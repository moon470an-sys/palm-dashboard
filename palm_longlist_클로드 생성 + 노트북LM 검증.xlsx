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xmlns:r="http://schemas.openxmlformats.org/officeDocument/2006/relationships" name="Instructions" sheetId="1" state="visible" r:id="rId1"/>
    <sheet xmlns:r="http://schemas.openxmlformats.org/officeDocument/2006/relationships" name="Raw_Extract" sheetId="2" state="visible" r:id="rId2"/>
    <sheet xmlns:r="http://schemas.openxmlformats.org/officeDocument/2006/relationships" name="Company_Master" sheetId="3" state="visible" r:id="rId3"/>
    <sheet xmlns:r="http://schemas.openxmlformats.org/officeDocument/2006/relationships" name="Asset_Operations" sheetId="4" state="visible" r:id="rId4"/>
    <sheet xmlns:r="http://schemas.openxmlformats.org/officeDocument/2006/relationships" name="Financials" sheetId="5" state="visible" r:id="rId5"/>
    <sheet xmlns:r="http://schemas.openxmlformats.org/officeDocument/2006/relationships" name="Screening" sheetId="6" state="visible" r:id="rId6"/>
    <sheet xmlns:r="http://schemas.openxmlformats.org/officeDocument/2006/relationships" name="Scoring_Criteria" sheetId="7" state="visible" r:id="rId7"/>
    <sheet xmlns:r="http://schemas.openxmlformats.org/officeDocument/2006/relationships" name="Validation_Summary" sheetId="8" state="visible" r:id="rId8"/>
    <sheet xmlns:r="http://schemas.openxmlformats.org/officeDocument/2006/relationships" name="NLM_Backfill_Log" sheetId="9" state="visible" r:id="rId9"/>
    <sheet xmlns:r="http://schemas.openxmlformats.org/officeDocument/2006/relationships" name="Review_Required" sheetId="10" state="visible" r:id="rId10"/>
    <sheet xmlns:r="http://schemas.openxmlformats.org/officeDocument/2006/relationships" name="Q1_2026_Snapshot" sheetId="11" state="visible" r:id="rId11"/>
  </sheets>
  <definedNames/>
  <calcPr calcId="191029" fullCalcOnLoad="1" iterateDelta="0.0001"/>
</workbook>
</file>

<file path=xl/styles.xml><?xml version="1.0" encoding="utf-8"?>
<styleSheet xmlns="http://schemas.openxmlformats.org/spreadsheetml/2006/main">
  <numFmts count="6">
    <numFmt numFmtId="164" formatCode="#,##0;[Red]\(#,##0\);\-"/>
    <numFmt numFmtId="165" formatCode="0.0%"/>
    <numFmt numFmtId="166" formatCode="#,##0.0;[Red]\(#,##0.0\);\-"/>
    <numFmt numFmtId="167" formatCode="0.0%;[Red]\(0.0%\);\-"/>
    <numFmt numFmtId="168" formatCode="#,##0.0;\(#,##0.0\);\-"/>
    <numFmt numFmtId="169" formatCode="0.0000"/>
  </numFmts>
  <fonts count="32">
    <font>
      <name val="Calibri"/>
      <charset val="1"/>
      <family val="2"/>
      <color theme="1"/>
      <sz val="11"/>
    </font>
    <font>
      <name val="Calibri"/>
      <charset val="1"/>
      <b val="1"/>
      <color rgb="FF305496"/>
      <sz val="16"/>
    </font>
    <font>
      <name val="Calibri"/>
      <charset val="1"/>
      <i val="1"/>
      <color rgb="FF595959"/>
      <sz val="11"/>
    </font>
    <font>
      <name val="Cambria"/>
      <charset val="1"/>
      <sz val="11"/>
    </font>
    <font>
      <name val="Calibri"/>
      <charset val="1"/>
      <b val="1"/>
      <color rgb="FFFFFFFF"/>
      <sz val="12"/>
    </font>
    <font>
      <name val="Calibri"/>
      <charset val="1"/>
      <b val="1"/>
      <sz val="10"/>
    </font>
    <font>
      <name val="Calibri"/>
      <charset val="1"/>
      <sz val="10"/>
    </font>
    <font>
      <name val="Calibri"/>
      <charset val="1"/>
      <b val="1"/>
      <color rgb="FFFFFFFF"/>
      <sz val="10"/>
    </font>
    <font>
      <name val="Calibri"/>
      <charset val="1"/>
      <color rgb="FF0000FF"/>
      <sz val="10"/>
    </font>
    <font>
      <name val="Calibri"/>
      <charset val="1"/>
      <color rgb="FF000000"/>
      <sz val="10"/>
    </font>
    <font>
      <name val="Calibri"/>
      <charset val="1"/>
      <color rgb="FF008000"/>
      <sz val="10"/>
    </font>
    <font>
      <name val="Calibri"/>
      <charset val="1"/>
      <b val="1"/>
      <color rgb="FF305496"/>
      <sz val="12"/>
    </font>
    <font>
      <name val="Calibri"/>
      <b val="1"/>
      <color rgb="FF305496"/>
      <sz val="11"/>
    </font>
    <font>
      <name val="Calibri"/>
      <i val="1"/>
      <color rgb="FF595959"/>
      <sz val="10"/>
    </font>
    <font>
      <name val="Calibri"/>
      <b val="1"/>
      <color rgb="FFFFFFFF"/>
      <sz val="10"/>
    </font>
    <font>
      <name val="Calibri"/>
      <color rgb="FF0000FF"/>
      <sz val="10"/>
    </font>
    <font>
      <name val="Calibri"/>
      <color rgb="FF000000"/>
      <sz val="10"/>
    </font>
    <font>
      <name val="Calibri"/>
      <b val="1"/>
      <color rgb="FFFFFFFF"/>
      <sz val="12"/>
    </font>
    <font>
      <name val="Calibri"/>
      <b val="1"/>
      <sz val="10"/>
    </font>
    <font>
      <name val="Calibri"/>
      <sz val="10"/>
    </font>
    <font>
      <name val="Calibri"/>
      <b val="1"/>
      <color rgb="FF305496"/>
      <sz val="14"/>
    </font>
    <font>
      <name val="Calibri"/>
      <i val="1"/>
      <color rgb="FF595959"/>
      <sz val="10"/>
    </font>
    <font>
      <name val="Calibri"/>
      <color rgb="FF808080"/>
      <sz val="9"/>
    </font>
    <font>
      <name val="Calibri"/>
      <b val="1"/>
      <sz val="11"/>
    </font>
    <font>
      <name val="돋움"/>
      <charset val="129"/>
      <family val="3"/>
      <sz val="8"/>
    </font>
    <font>
      <name val="Calibri"/>
      <b val="1"/>
      <color rgb="FFFFFFFF"/>
      <sz val="14"/>
    </font>
    <font>
      <name val="Calibri"/>
      <b val="1"/>
      <sz val="13"/>
    </font>
    <font>
      <name val="Calibri"/>
      <sz val="10"/>
    </font>
    <font>
      <name val="Calibri"/>
      <b val="1"/>
      <color rgb="FFC00000"/>
      <sz val="11"/>
    </font>
    <font>
      <name val="Calibri"/>
      <b val="1"/>
      <color rgb="FFFFFFFF"/>
      <sz val="11"/>
    </font>
    <font>
      <name val="Calibri"/>
      <b val="1"/>
      <sz val="11"/>
    </font>
    <font>
      <name val="Calibri"/>
      <family val="2"/>
      <b val="1"/>
      <color rgb="FFFFFFFF"/>
      <sz val="10"/>
    </font>
  </fonts>
  <fills count="14">
    <fill>
      <patternFill/>
    </fill>
    <fill>
      <patternFill patternType="gray125"/>
    </fill>
    <fill>
      <patternFill patternType="solid">
        <fgColor rgb="FF305496"/>
        <bgColor rgb="FF595959"/>
      </patternFill>
    </fill>
    <fill>
      <patternFill patternType="solid">
        <fgColor rgb="FFFFFFFF"/>
        <bgColor rgb="FFEAF2FF"/>
      </patternFill>
    </fill>
    <fill>
      <patternFill patternType="solid">
        <fgColor rgb="FFEAF2FF"/>
        <bgColor rgb="FFE2F0D9"/>
      </patternFill>
    </fill>
    <fill>
      <patternFill patternType="solid">
        <fgColor rgb="FFFFF2CC"/>
        <bgColor rgb="FFFDE9E7"/>
      </patternFill>
    </fill>
    <fill>
      <patternFill patternType="solid">
        <fgColor rgb="FF305496"/>
      </patternFill>
    </fill>
    <fill>
      <patternFill patternType="solid">
        <fgColor rgb="FFE2EFDA"/>
      </patternFill>
    </fill>
    <fill>
      <patternFill patternType="solid">
        <fgColor rgb="FFFFF2CC"/>
      </patternFill>
    </fill>
    <fill>
      <patternFill patternType="solid">
        <fgColor rgb="FF1F4E78"/>
      </patternFill>
    </fill>
    <fill>
      <patternFill patternType="solid">
        <fgColor rgb="FFF4B084"/>
      </patternFill>
    </fill>
    <fill>
      <patternFill patternType="solid">
        <fgColor rgb="FFFFE699"/>
      </patternFill>
    </fill>
    <fill>
      <patternFill patternType="solid">
        <fgColor rgb="FFD9E1F2"/>
      </patternFill>
    </fill>
    <fill>
      <patternFill patternType="solid">
        <fgColor rgb="FFE7E6E6"/>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04">
    <xf numFmtId="0" fontId="0" fillId="0" borderId="0" pivotButton="0" quotePrefix="0" xfId="0"/>
    <xf numFmtId="0" fontId="3" fillId="0" borderId="0" pivotButton="0" quotePrefix="0" xfId="0"/>
    <xf numFmtId="0" fontId="3" fillId="0" borderId="0" applyAlignment="1" pivotButton="0" quotePrefix="0" xfId="0">
      <alignment wrapText="1"/>
    </xf>
    <xf numFmtId="0" fontId="5" fillId="0" borderId="0" applyAlignment="1" pivotButton="0" quotePrefix="0" xfId="0">
      <alignment vertical="top"/>
    </xf>
    <xf numFmtId="0" fontId="5" fillId="0" borderId="0" pivotButton="0" quotePrefix="0" xfId="0"/>
    <xf numFmtId="0" fontId="7" fillId="2" borderId="1" applyAlignment="1" pivotButton="0" quotePrefix="0" xfId="0">
      <alignment horizontal="center" vertical="center" wrapText="1"/>
    </xf>
    <xf numFmtId="0" fontId="8" fillId="0" borderId="2" applyAlignment="1" pivotButton="0" quotePrefix="0" xfId="0">
      <alignment vertical="top" wrapText="1"/>
    </xf>
    <xf numFmtId="0" fontId="8" fillId="0" borderId="0" applyAlignment="1" pivotButton="0" quotePrefix="0" xfId="0">
      <alignment vertical="top" wrapText="1"/>
    </xf>
    <xf numFmtId="0" fontId="8" fillId="0" borderId="2" applyAlignment="1" pivotButton="0" quotePrefix="0" xfId="0">
      <alignment vertical="center"/>
    </xf>
    <xf numFmtId="164" fontId="8" fillId="0" borderId="2" applyAlignment="1" pivotButton="0" quotePrefix="0" xfId="0">
      <alignment vertical="center"/>
    </xf>
    <xf numFmtId="165" fontId="9" fillId="0" borderId="2" applyAlignment="1" pivotButton="0" quotePrefix="0" xfId="0">
      <alignment vertical="center"/>
    </xf>
    <xf numFmtId="2" fontId="9" fillId="0" borderId="2" applyAlignment="1" pivotButton="0" quotePrefix="0" xfId="0">
      <alignment vertical="center"/>
    </xf>
    <xf numFmtId="166" fontId="8" fillId="0" borderId="2" applyAlignment="1" pivotButton="0" quotePrefix="0" xfId="0">
      <alignment vertical="center"/>
    </xf>
    <xf numFmtId="167" fontId="8" fillId="0" borderId="2" applyAlignment="1" pivotButton="0" quotePrefix="0" xfId="0">
      <alignment vertical="center"/>
    </xf>
    <xf numFmtId="164" fontId="8" fillId="0" borderId="2" applyAlignment="1" pivotButton="0" quotePrefix="0" xfId="0">
      <alignment vertical="top" wrapText="1"/>
    </xf>
    <xf numFmtId="168" fontId="8" fillId="0" borderId="2" applyAlignment="1" pivotButton="0" quotePrefix="0" xfId="0">
      <alignment vertical="top" wrapText="1"/>
    </xf>
    <xf numFmtId="168" fontId="9" fillId="0" borderId="2" applyAlignment="1" pivotButton="0" quotePrefix="0" xfId="0">
      <alignment vertical="top" wrapText="1"/>
    </xf>
    <xf numFmtId="2" fontId="9" fillId="0" borderId="2" applyAlignment="1" pivotButton="0" quotePrefix="0" xfId="0">
      <alignment vertical="top" wrapText="1"/>
    </xf>
    <xf numFmtId="165" fontId="9" fillId="0" borderId="2" applyAlignment="1" pivotButton="0" quotePrefix="0" xfId="0">
      <alignment vertical="top" wrapText="1"/>
    </xf>
    <xf numFmtId="0" fontId="10" fillId="3" borderId="2" applyAlignment="1" pivotButton="0" quotePrefix="0" xfId="0">
      <alignment vertical="top" wrapText="1"/>
    </xf>
    <xf numFmtId="164" fontId="10" fillId="3" borderId="2" applyAlignment="1" pivotButton="0" quotePrefix="0" xfId="0">
      <alignment vertical="top" wrapText="1"/>
    </xf>
    <xf numFmtId="167" fontId="10" fillId="3" borderId="2" applyAlignment="1" pivotButton="0" quotePrefix="0" xfId="0">
      <alignment vertical="top" wrapText="1"/>
    </xf>
    <xf numFmtId="166" fontId="10" fillId="3" borderId="2" applyAlignment="1" pivotButton="0" quotePrefix="0" xfId="0">
      <alignment vertical="top" wrapText="1"/>
    </xf>
    <xf numFmtId="165" fontId="9" fillId="3" borderId="2" applyAlignment="1" pivotButton="0" quotePrefix="0" xfId="0">
      <alignment vertical="top" wrapText="1"/>
    </xf>
    <xf numFmtId="2" fontId="9" fillId="3" borderId="2" applyAlignment="1" pivotButton="0" quotePrefix="0" xfId="0">
      <alignment vertical="top" wrapText="1"/>
    </xf>
    <xf numFmtId="169" fontId="9" fillId="3" borderId="2" applyAlignment="1" pivotButton="0" quotePrefix="0" xfId="0">
      <alignment vertical="top" wrapText="1"/>
    </xf>
    <xf numFmtId="1" fontId="9" fillId="4" borderId="2" applyAlignment="1" pivotButton="0" quotePrefix="0" xfId="0">
      <alignment horizontal="center"/>
    </xf>
    <xf numFmtId="1" fontId="8" fillId="4" borderId="2" applyAlignment="1" pivotButton="0" quotePrefix="0" xfId="0">
      <alignment horizontal="center"/>
    </xf>
    <xf numFmtId="2" fontId="9" fillId="5" borderId="2" applyAlignment="1" pivotButton="0" quotePrefix="0" xfId="0">
      <alignment horizontal="center"/>
    </xf>
    <xf numFmtId="0" fontId="8" fillId="4" borderId="2" applyAlignment="1" pivotButton="0" quotePrefix="0" xfId="0">
      <alignment vertical="top" wrapText="1"/>
    </xf>
    <xf numFmtId="0" fontId="7" fillId="2" borderId="1" applyAlignment="1" pivotButton="0" quotePrefix="0" xfId="0">
      <alignment horizontal="center" vertical="center"/>
    </xf>
    <xf numFmtId="0" fontId="9" fillId="0" borderId="1" applyAlignment="1" pivotButton="0" quotePrefix="0" xfId="0">
      <alignment horizontal="center" vertical="center"/>
    </xf>
    <xf numFmtId="4" fontId="8" fillId="0" borderId="1" applyAlignment="1" pivotButton="0" quotePrefix="0" xfId="0">
      <alignment horizontal="center" vertical="center"/>
    </xf>
    <xf numFmtId="165" fontId="8" fillId="0" borderId="1" applyAlignment="1" pivotButton="0" quotePrefix="0" xfId="0">
      <alignment horizontal="center" vertical="center"/>
    </xf>
    <xf numFmtId="0" fontId="8" fillId="0" borderId="1" applyAlignment="1" pivotButton="0" quotePrefix="0" xfId="0">
      <alignment horizontal="center" vertical="center"/>
    </xf>
    <xf numFmtId="0" fontId="12" fillId="0" borderId="0" pivotButton="0" quotePrefix="0" xfId="0"/>
    <xf numFmtId="0" fontId="13" fillId="0" borderId="0" pivotButton="0" quotePrefix="0" xfId="0"/>
    <xf numFmtId="0" fontId="14" fillId="6" borderId="3" applyAlignment="1" pivotButton="0" quotePrefix="0" xfId="0">
      <alignment horizontal="center" vertical="center" wrapText="1"/>
    </xf>
    <xf numFmtId="165" fontId="16" fillId="7" borderId="0" applyAlignment="1" pivotButton="0" quotePrefix="0" xfId="0">
      <alignment vertical="center"/>
    </xf>
    <xf numFmtId="165" fontId="15" fillId="7" borderId="0" applyAlignment="1" pivotButton="0" quotePrefix="0" xfId="0">
      <alignment vertical="center"/>
    </xf>
    <xf numFmtId="49" fontId="15" fillId="7" borderId="0" applyAlignment="1" pivotButton="0" quotePrefix="0" xfId="0">
      <alignment vertical="center" wrapText="1"/>
    </xf>
    <xf numFmtId="168" fontId="15" fillId="7" borderId="0" applyAlignment="1" pivotButton="0" quotePrefix="0" xfId="0">
      <alignment vertical="center"/>
    </xf>
    <xf numFmtId="168" fontId="16" fillId="7" borderId="0" applyAlignment="1" pivotButton="0" quotePrefix="0" xfId="0">
      <alignment vertical="center"/>
    </xf>
    <xf numFmtId="0" fontId="18" fillId="0" borderId="0" pivotButton="0" quotePrefix="0" xfId="0"/>
    <xf numFmtId="0" fontId="15" fillId="7" borderId="0" applyAlignment="1" pivotButton="0" quotePrefix="0" xfId="0">
      <alignment horizontal="center" vertical="center"/>
    </xf>
    <xf numFmtId="0" fontId="15" fillId="7" borderId="0" applyAlignment="1" pivotButton="0" quotePrefix="0" xfId="0">
      <alignment vertical="top" wrapText="1"/>
    </xf>
    <xf numFmtId="0" fontId="23" fillId="8" borderId="3" applyAlignment="1" pivotButton="0" quotePrefix="0" xfId="0">
      <alignment horizontal="left" vertical="center"/>
    </xf>
    <xf numFmtId="0" fontId="22" fillId="0" borderId="0" applyAlignment="1" pivotButton="0" quotePrefix="0" xfId="0">
      <alignment horizontal="center"/>
    </xf>
    <xf numFmtId="0" fontId="16" fillId="0" borderId="0" applyAlignment="1" pivotButton="0" quotePrefix="0" xfId="0">
      <alignment vertical="center"/>
    </xf>
    <xf numFmtId="0" fontId="16" fillId="0" borderId="3" applyAlignment="1" pivotButton="0" quotePrefix="0" xfId="0">
      <alignment horizontal="center" vertical="center"/>
    </xf>
    <xf numFmtId="0" fontId="16" fillId="0" borderId="0" applyAlignment="1" pivotButton="0" quotePrefix="0" xfId="0">
      <alignment horizontal="center" vertical="center"/>
    </xf>
    <xf numFmtId="0" fontId="26" fillId="10" borderId="4" applyAlignment="1" pivotButton="0" quotePrefix="0" xfId="0">
      <alignment vertical="center" wrapText="1"/>
    </xf>
    <xf numFmtId="0" fontId="28" fillId="10" borderId="4" applyAlignment="1" pivotButton="0" quotePrefix="0" xfId="0">
      <alignment vertical="center" wrapText="1"/>
    </xf>
    <xf numFmtId="0" fontId="26" fillId="11" borderId="4" applyAlignment="1" pivotButton="0" quotePrefix="0" xfId="0">
      <alignment vertical="center" wrapText="1"/>
    </xf>
    <xf numFmtId="0" fontId="28" fillId="11" borderId="4" applyAlignment="1" pivotButton="0" quotePrefix="0" xfId="0">
      <alignment vertical="center" wrapText="1"/>
    </xf>
    <xf numFmtId="0" fontId="26" fillId="12" borderId="4" applyAlignment="1" pivotButton="0" quotePrefix="0" xfId="0">
      <alignment vertical="center" wrapText="1"/>
    </xf>
    <xf numFmtId="0" fontId="28" fillId="12" borderId="4" applyAlignment="1" pivotButton="0" quotePrefix="0" xfId="0">
      <alignment vertical="center" wrapText="1"/>
    </xf>
    <xf numFmtId="0" fontId="29" fillId="9" borderId="4" applyAlignment="1" pivotButton="0" quotePrefix="0" xfId="0">
      <alignment horizontal="center" vertical="center" wrapText="1"/>
    </xf>
    <xf numFmtId="0" fontId="30" fillId="10" borderId="4" applyAlignment="1" pivotButton="0" quotePrefix="0" xfId="0">
      <alignment vertical="top" wrapText="1"/>
    </xf>
    <xf numFmtId="0" fontId="0" fillId="10" borderId="4" applyAlignment="1" pivotButton="0" quotePrefix="0" xfId="0">
      <alignment vertical="top" wrapText="1"/>
    </xf>
    <xf numFmtId="0" fontId="30" fillId="11" borderId="4" applyAlignment="1" pivotButton="0" quotePrefix="0" xfId="0">
      <alignment vertical="top" wrapText="1"/>
    </xf>
    <xf numFmtId="0" fontId="0" fillId="11" borderId="4" applyAlignment="1" pivotButton="0" quotePrefix="0" xfId="0">
      <alignment vertical="top" wrapText="1"/>
    </xf>
    <xf numFmtId="0" fontId="30" fillId="12" borderId="4" applyAlignment="1" pivotButton="0" quotePrefix="0" xfId="0">
      <alignment vertical="top" wrapText="1"/>
    </xf>
    <xf numFmtId="0" fontId="0" fillId="12" borderId="4" applyAlignment="1" pivotButton="0" quotePrefix="0" xfId="0">
      <alignment vertical="top" wrapText="1"/>
    </xf>
    <xf numFmtId="0" fontId="30" fillId="13" borderId="4" applyAlignment="1" pivotButton="0" quotePrefix="0" xfId="0">
      <alignment vertical="top" wrapText="1"/>
    </xf>
    <xf numFmtId="0" fontId="0" fillId="13" borderId="4" applyAlignment="1" pivotButton="0" quotePrefix="0" xfId="0">
      <alignment vertical="top" wrapText="1"/>
    </xf>
    <xf numFmtId="0" fontId="1" fillId="0" borderId="0" applyAlignment="1" pivotButton="0" quotePrefix="0" xfId="0">
      <alignment horizontal="left"/>
    </xf>
    <xf numFmtId="0" fontId="0" fillId="0" borderId="0" pivotButton="0" quotePrefix="0" xfId="0"/>
    <xf numFmtId="0" fontId="6" fillId="0" borderId="0" applyAlignment="1" pivotButton="0" quotePrefix="0" xfId="0">
      <alignment vertical="top" wrapText="1"/>
    </xf>
    <xf numFmtId="0" fontId="6" fillId="0" borderId="0" pivotButton="0" quotePrefix="0" xfId="0"/>
    <xf numFmtId="0" fontId="19" fillId="0" borderId="0" pivotButton="0" quotePrefix="0" xfId="0"/>
    <xf numFmtId="0" fontId="4" fillId="2" borderId="0" pivotButton="0" quotePrefix="0" xfId="0"/>
    <xf numFmtId="0" fontId="17" fillId="6" borderId="0" pivotButton="0" quotePrefix="0" xfId="0"/>
    <xf numFmtId="0" fontId="2" fillId="0" borderId="0" pivotButton="0" quotePrefix="0" xfId="0"/>
    <xf numFmtId="0" fontId="11" fillId="0" borderId="0" pivotButton="0" quotePrefix="0" xfId="0"/>
    <xf numFmtId="0" fontId="13" fillId="0" borderId="0" pivotButton="0" quotePrefix="0" xfId="0"/>
    <xf numFmtId="0" fontId="20" fillId="0" borderId="0" pivotButton="0" quotePrefix="0" xfId="0"/>
    <xf numFmtId="0" fontId="21" fillId="0" borderId="0" pivotButton="0" quotePrefix="0" xfId="0"/>
    <xf numFmtId="0" fontId="25" fillId="9" borderId="0" applyAlignment="1" pivotButton="0" quotePrefix="0" xfId="0">
      <alignment horizontal="left" vertical="center"/>
    </xf>
    <xf numFmtId="0" fontId="27" fillId="10" borderId="4" applyAlignment="1" pivotButton="0" quotePrefix="0" xfId="0">
      <alignment vertical="center" wrapText="1"/>
    </xf>
    <xf numFmtId="0" fontId="0" fillId="0" borderId="5" pivotButton="0" quotePrefix="0" xfId="0"/>
    <xf numFmtId="0" fontId="0" fillId="0" borderId="6" pivotButton="0" quotePrefix="0" xfId="0"/>
    <xf numFmtId="0" fontId="27" fillId="12" borderId="4" applyAlignment="1" pivotButton="0" quotePrefix="0" xfId="0">
      <alignment vertical="center" wrapText="1"/>
    </xf>
    <xf numFmtId="0" fontId="27" fillId="11" borderId="4" applyAlignment="1" pivotButton="0" quotePrefix="0" xfId="0">
      <alignment vertical="center" wrapText="1"/>
    </xf>
    <xf numFmtId="0" fontId="31" fillId="2" borderId="1" applyAlignment="1" pivotButton="0" quotePrefix="0" xfId="0">
      <alignment horizontal="center" vertical="center" wrapText="1"/>
    </xf>
    <xf numFmtId="0" fontId="31" fillId="6" borderId="3" applyAlignment="1" pivotButton="0" quotePrefix="0" xfId="0">
      <alignment horizontal="center" vertical="center" wrapText="1"/>
    </xf>
    <xf numFmtId="164" fontId="8" fillId="0" borderId="2" applyAlignment="1" pivotButton="0" quotePrefix="0" xfId="0">
      <alignment vertical="center"/>
    </xf>
    <xf numFmtId="165" fontId="9" fillId="0" borderId="2" applyAlignment="1" pivotButton="0" quotePrefix="0" xfId="0">
      <alignment vertical="center"/>
    </xf>
    <xf numFmtId="166" fontId="8" fillId="0" borderId="2" applyAlignment="1" pivotButton="0" quotePrefix="0" xfId="0">
      <alignment vertical="center"/>
    </xf>
    <xf numFmtId="167" fontId="8" fillId="0" borderId="2" applyAlignment="1" pivotButton="0" quotePrefix="0" xfId="0">
      <alignment vertical="center"/>
    </xf>
    <xf numFmtId="165" fontId="16" fillId="7" borderId="0" applyAlignment="1" pivotButton="0" quotePrefix="0" xfId="0">
      <alignment vertical="center"/>
    </xf>
    <xf numFmtId="165" fontId="15" fillId="7" borderId="0" applyAlignment="1" pivotButton="0" quotePrefix="0" xfId="0">
      <alignment vertical="center"/>
    </xf>
    <xf numFmtId="164" fontId="8" fillId="0" borderId="2" applyAlignment="1" pivotButton="0" quotePrefix="0" xfId="0">
      <alignment vertical="top" wrapText="1"/>
    </xf>
    <xf numFmtId="168" fontId="8" fillId="0" borderId="2" applyAlignment="1" pivotButton="0" quotePrefix="0" xfId="0">
      <alignment vertical="top" wrapText="1"/>
    </xf>
    <xf numFmtId="168" fontId="9" fillId="0" borderId="2" applyAlignment="1" pivotButton="0" quotePrefix="0" xfId="0">
      <alignment vertical="top" wrapText="1"/>
    </xf>
    <xf numFmtId="165" fontId="9" fillId="0" borderId="2" applyAlignment="1" pivotButton="0" quotePrefix="0" xfId="0">
      <alignment vertical="top" wrapText="1"/>
    </xf>
    <xf numFmtId="168" fontId="15" fillId="7" borderId="0" applyAlignment="1" pivotButton="0" quotePrefix="0" xfId="0">
      <alignment vertical="center"/>
    </xf>
    <xf numFmtId="168" fontId="16" fillId="7" borderId="0" applyAlignment="1" pivotButton="0" quotePrefix="0" xfId="0">
      <alignment vertical="center"/>
    </xf>
    <xf numFmtId="164" fontId="10" fillId="3" borderId="2" applyAlignment="1" pivotButton="0" quotePrefix="0" xfId="0">
      <alignment vertical="top" wrapText="1"/>
    </xf>
    <xf numFmtId="167" fontId="10" fillId="3" borderId="2" applyAlignment="1" pivotButton="0" quotePrefix="0" xfId="0">
      <alignment vertical="top" wrapText="1"/>
    </xf>
    <xf numFmtId="166" fontId="10" fillId="3" borderId="2" applyAlignment="1" pivotButton="0" quotePrefix="0" xfId="0">
      <alignment vertical="top" wrapText="1"/>
    </xf>
    <xf numFmtId="165" fontId="9" fillId="3" borderId="2" applyAlignment="1" pivotButton="0" quotePrefix="0" xfId="0">
      <alignment vertical="top" wrapText="1"/>
    </xf>
    <xf numFmtId="169" fontId="9" fillId="3" borderId="2" applyAlignment="1" pivotButton="0" quotePrefix="0" xfId="0">
      <alignment vertical="top" wrapText="1"/>
    </xf>
    <xf numFmtId="165" fontId="8" fillId="0" borderId="1" applyAlignment="1" pivotButton="0" quotePrefix="0" xfId="0">
      <alignment horizontal="center" vertical="center"/>
    </xf>
  </cellXfs>
  <cellStyles count="1">
    <cellStyle name="표준" xfId="0" builtinId="0"/>
  </cellStyles>
  <dxfs count="2">
    <dxf>
      <fill>
        <patternFill>
          <bgColor rgb="FFFFF2CC"/>
        </patternFill>
      </fill>
    </dxf>
    <dxf>
      <fill>
        <patternFill>
          <bgColor rgb="FFFDE9E7"/>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7030A0"/>
      <rgbColor rgb="FFFFF2CC"/>
      <rgbColor rgb="FFEAF2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DE9E7"/>
      <rgbColor rgb="FF99CCFF"/>
      <rgbColor rgb="FFFF99CC"/>
      <rgbColor rgb="FFCC99FF"/>
      <rgbColor rgb="FFFFCC99"/>
      <rgbColor rgb="FF3366FF"/>
      <rgbColor rgb="FF33CCCC"/>
      <rgbColor rgb="FF99CC00"/>
      <rgbColor rgb="FFFFCC00"/>
      <rgbColor rgb="FFFF9900"/>
      <rgbColor rgb="FFED7D31"/>
      <rgbColor rgb="FF595959"/>
      <rgbColor rgb="FFA5A5A5"/>
      <rgbColor rgb="FF003366"/>
      <rgbColor rgb="FF70AD47"/>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Unknown Author</author>
  </authors>
  <commentList>
    <comment ref="I1" authorId="0" shapeId="0">
      <text>
        <t>Paste the shortest direct quote supporting the extracted fact.</t>
      </text>
    </comment>
  </commentList>
</comments>
</file>

<file path=xl/comments/comment2.xml><?xml version="1.0" encoding="utf-8"?>
<comments xmlns="http://schemas.openxmlformats.org/spreadsheetml/2006/main">
  <authors>
    <author>Unknown Author</author>
  </authors>
  <commentList>
    <comment ref="A1" authorId="0" shapeId="0">
      <text>
        <t>Unique company short name used as key across all sheets.</t>
      </text>
    </comment>
  </commentList>
</comments>
</file>

<file path=xl/comments/comment3.xml><?xml version="1.0" encoding="utf-8"?>
<comments xmlns="http://schemas.openxmlformats.org/spreadsheetml/2006/main">
  <authors>
    <author>Unknown Author</author>
  </authors>
  <commentList>
    <comment ref="B1" authorId="0" shapeId="0">
      <text>
        <t>Store numeric values only. Unit stays in header.</t>
      </text>
    </comment>
  </commentList>
</comments>
</file>

<file path=xl/comments/comment4.xml><?xml version="1.0" encoding="utf-8"?>
<comments xmlns="http://schemas.openxmlformats.org/spreadsheetml/2006/main">
  <authors>
    <author>Unknown Author</author>
  </authors>
  <commentList>
    <comment ref="C1" authorId="0" shapeId="0">
      <text>
        <t>Standardize financial values to IDR bn where possible for comparability.</t>
      </text>
    </comment>
  </commentList>
</comments>
</file>

<file path=xl/comments/comment5.xml><?xml version="1.0" encoding="utf-8"?>
<comments xmlns="http://schemas.openxmlformats.org/spreadsheetml/2006/main">
  <authors>
    <author>Unknown Author</author>
  </authors>
  <commentList>
    <comment ref="X1" authorId="0" shapeId="0">
      <text>
        <t>Manual score 1-5 if desired; leave blank if using formula-based scoring only.</t>
      </text>
    </comment>
  </commentList>
</comments>
</file>

<file path=xl/tables/table1.xml><?xml version="1.0" encoding="utf-8"?>
<table xmlns="http://schemas.openxmlformats.org/spreadsheetml/2006/main" id="1" name="Raw_Extract" displayName="Raw_Extract" ref="A1:L1001" headerRowCount="1" totalsRowShown="0">
  <autoFilter ref="A1:L1001"/>
  <tableColumns count="12">
    <tableColumn id="1" name="Company"/>
    <tableColumn id="2" name="Source File"/>
    <tableColumn id="3" name="Report Year"/>
    <tableColumn id="4" name="Field Group"/>
    <tableColumn id="5" name="Field Name"/>
    <tableColumn id="6" name="Extracted Value"/>
    <tableColumn id="7" name="Unit"/>
    <tableColumn id="8" name="Page"/>
    <tableColumn id="9" name="Evidence Quote"/>
    <tableColumn id="10" name="Confidence"/>
    <tableColumn id="11" name="Normalization Note"/>
    <tableColumn id="12" name="Validation Flag"/>
  </tableColumns>
  <tableStyleInfo showFirstColumn="0" showLastColumn="0" showRowStripes="1" showColumnStripes="0"/>
</table>
</file>

<file path=xl/tables/table2.xml><?xml version="1.0" encoding="utf-8"?>
<table xmlns="http://schemas.openxmlformats.org/spreadsheetml/2006/main" id="2" name="Company_Master" displayName="Company_Master" ref="A1:R201" headerRowCount="1" totalsRowShown="0">
  <autoFilter ref="A1:R201"/>
  <tableColumns count="18">
    <tableColumn id="1" name="Company"/>
    <tableColumn id="2" name="Ticker"/>
    <tableColumn id="3" name="Exchange"/>
    <tableColumn id="4" name="Report Year"/>
    <tableColumn id="5" name="Report File"/>
    <tableColumn id="6" name="HQ"/>
    <tableColumn id="7" name="Country"/>
    <tableColumn id="8" name="Core Region"/>
    <tableColumn id="9" name="Group Structure Note"/>
    <tableColumn id="10" name="Subsidiaries Note"/>
    <tableColumn id="11" name="Shareholder Structure Note"/>
    <tableColumn id="12" name="Listed Status"/>
    <tableColumn id="13" name="Primary Business"/>
    <tableColumn id="14" name="Deal Structure Initial Thought"/>
    <tableColumn id="15" name="Dealability Note"/>
    <tableColumn id="16" name="Acquisition Note"/>
    <tableColumn id="17" name="Key Red Flags"/>
    <tableColumn id="18" name="Overall Comment"/>
  </tableColumns>
  <tableStyleInfo showFirstColumn="0" showLastColumn="0" showRowStripes="1" showColumnStripes="0"/>
</table>
</file>

<file path=xl/tables/table3.xml><?xml version="1.0" encoding="utf-8"?>
<table xmlns="http://schemas.openxmlformats.org/spreadsheetml/2006/main" id="3" name="Asset_Operations" displayName="Asset_Operations" ref="A1:BB201" headerRowCount="1" totalsRowShown="0">
  <autoFilter ref="A1:BB201"/>
  <tableColumns count="54">
    <tableColumn id="1" name="Company"/>
    <tableColumn id="2" name="Planted Area Total (ha)"/>
    <tableColumn id="3" name="Nucleus Area (ha)"/>
    <tableColumn id="4" name="Plasma Area (ha)"/>
    <tableColumn id="5" name="Mature Area (ha)"/>
    <tableColumn id="6" name="Immature Area (ha)"/>
    <tableColumn id="7" name="Productive Age Area (ha)"/>
    <tableColumn id="8" name="Old Age Area (ha)"/>
    <tableColumn id="9" name="Average Tree Age (years)"/>
    <tableColumn id="10" name="Replanting Area (ha)"/>
    <tableColumn id="11" name="Sumatra Area (ha)"/>
    <tableColumn id="12" name="Kalimantan Area (ha)"/>
    <tableColumn id="13" name="Sulawesi Area (ha)"/>
    <tableColumn id="14" name="Other Region Area (ha)"/>
    <tableColumn id="15" name="Mills Count (#)"/>
    <tableColumn id="16" name="Mill Capacity (tph)"/>
    <tableColumn id="17" name="Kernel Crushing Count (#)"/>
    <tableColumn id="18" name="Kernel Crushing Capacity (tph)"/>
    <tableColumn id="19" name="CPO Refinery Count (#)"/>
    <tableColumn id="20" name="CPO Refinery Capacity (tpa)"/>
    <tableColumn id="21" name="PKO Refinery Count (#)"/>
    <tableColumn id="22" name="PKO Refinery Capacity (tpa)"/>
    <tableColumn id="23" name="NPK Plant Count (#)"/>
    <tableColumn id="24" name="Jetty/Logistics Note"/>
    <tableColumn id="25" name="Power Infrastructure Note"/>
    <tableColumn id="26" name="Road Infrastructure Note"/>
    <tableColumn id="27" name="Third-Party FFB (t)"/>
    <tableColumn id="28" name="Third-Party Dependence (%) [auto]"/>
    <tableColumn id="29" name="FFB Production (t)"/>
    <tableColumn id="30" name="Nucleus FFB (t)"/>
    <tableColumn id="31" name="Plasma FFB (t)"/>
    <tableColumn id="32" name="FFB Processed (t)"/>
    <tableColumn id="33" name="CPO Production (t)"/>
    <tableColumn id="34" name="Kernel Production (t)"/>
    <tableColumn id="35" name="PKO Production (t)"/>
    <tableColumn id="36" name="RBDPO Production (t)"/>
    <tableColumn id="37" name="Olein Production (t)"/>
    <tableColumn id="38" name="Stearin Production (t)"/>
    <tableColumn id="39" name="PFAD Production (t)"/>
    <tableColumn id="40" name="PKE Production (t)"/>
    <tableColumn id="41" name="FFB Yield (t/ha) [auto]"/>
    <tableColumn id="42" name="Nucleus FFB Yield (t/ha) [auto]"/>
    <tableColumn id="43" name="CPO Yield (t/ha) [auto]"/>
    <tableColumn id="44" name="OER (%) [auto]"/>
    <tableColumn id="45" name="KER (%) [auto]"/>
    <tableColumn id="46" name="PKO Extraction (%) [auto]"/>
    <tableColumn id="47" name="PKE Extraction (%) [auto]"/>
    <tableColumn id="48" name="Average CPO Selling Price (local ccy/kg)"/>
    <tableColumn id="49" name="Domestic Sales (%)"/>
    <tableColumn id="50" name="Export Sales (%)"/>
    <tableColumn id="51" name="Asset Quality Note"/>
    <tableColumn id="52" name="Ops Risk Note"/>
    <tableColumn id="53" name="Digitalization Note"/>
    <tableColumn id="54" name="Sustainability Ops Note"/>
  </tableColumns>
  <tableStyleInfo showFirstColumn="0" showLastColumn="0" showRowStripes="1" showColumnStripes="0"/>
</table>
</file>

<file path=xl/tables/table4.xml><?xml version="1.0" encoding="utf-8"?>
<table xmlns="http://schemas.openxmlformats.org/spreadsheetml/2006/main" id="4" name="Financials" displayName="Financials" ref="A1:AN201" headerRowCount="1" totalsRowShown="0">
  <autoFilter ref="A1:AN201"/>
  <tableColumns count="40">
    <tableColumn id="1" name="Company"/>
    <tableColumn id="2" name="Report Year"/>
    <tableColumn id="3" name="Revenue (IDR bn)"/>
    <tableColumn id="4" name="Gross Profit (IDR bn)"/>
    <tableColumn id="5" name="EBITDA (IDR bn)"/>
    <tableColumn id="6" name="EBIT (IDR bn)"/>
    <tableColumn id="7" name="Net Profit (IDR bn)"/>
    <tableColumn id="8" name="Profit Attributable to Parent (IDR bn)"/>
    <tableColumn id="9" name="Total Assets (IDR bn)"/>
    <tableColumn id="10" name="Current Assets (IDR bn)"/>
    <tableColumn id="11" name="Non-Current Assets (IDR bn)"/>
    <tableColumn id="12" name="Total Liabilities (IDR bn)"/>
    <tableColumn id="13" name="Current Liabilities (IDR bn)"/>
    <tableColumn id="14" name="Long-Term Liabilities (IDR bn)"/>
    <tableColumn id="15" name="Total Equity (IDR bn)"/>
    <tableColumn id="16" name="Net Working Capital (IDR bn) [auto]"/>
    <tableColumn id="17" name="Cash &amp; Cash Equivalents (IDR bn)"/>
    <tableColumn id="18" name="Gross Debt (IDR bn)"/>
    <tableColumn id="19" name="Net Debt (IDR bn) [auto]"/>
    <tableColumn id="20" name="CFO (IDR bn)"/>
    <tableColumn id="21" name="Capex (IDR bn)"/>
    <tableColumn id="22" name="FCF (IDR bn) [auto]"/>
    <tableColumn id="23" name="Shares Outstanding (mn)"/>
    <tableColumn id="24" name="EPS (local ccy/share)"/>
    <tableColumn id="25" name="NAV per Share (local ccy/share)"/>
    <tableColumn id="26" name="Interim DPS (local ccy/share)"/>
    <tableColumn id="27" name="Final DPS (local ccy/share)"/>
    <tableColumn id="28" name="Closing Price (local ccy/share)"/>
    <tableColumn id="29" name="Market Cap (IDR bn) [auto]"/>
    <tableColumn id="30" name="Current Ratio (x) [auto]"/>
    <tableColumn id="31" name="Debt / Assets (x) [auto]"/>
    <tableColumn id="32" name="Debt / Equity (x) [auto]"/>
    <tableColumn id="33" name="ROA Reported (%) [auto]"/>
    <tableColumn id="34" name="ROE Reported (%) [auto]"/>
    <tableColumn id="35" name="Net Margin Reported (%) [auto]"/>
    <tableColumn id="36" name="Gross Margin Reported (%) [auto]"/>
    <tableColumn id="37" name="Financial Risk Note"/>
    <tableColumn id="38" name="Liquidity Note"/>
    <tableColumn id="39" name="Debt Maturity Note"/>
    <tableColumn id="40" name="Covenant Note"/>
  </tableColumns>
  <tableStyleInfo showFirstColumn="0" showLastColumn="0" showRowStripes="1" showColumnStripes="0"/>
</table>
</file>

<file path=xl/tables/table5.xml><?xml version="1.0" encoding="utf-8"?>
<table xmlns="http://schemas.openxmlformats.org/spreadsheetml/2006/main" id="5" name="Screening" displayName="Screening" ref="A1:AT201" headerRowCount="1" totalsRowShown="0">
  <autoFilter ref="A1:AT201"/>
  <tableColumns count="46">
    <tableColumn id="1" name="Company"/>
    <tableColumn id="2" name="Ticker"/>
    <tableColumn id="3" name="Latest Report Year"/>
    <tableColumn id="4" name="Core Region"/>
    <tableColumn id="5" name="Planted Area Total (ha)"/>
    <tableColumn id="6" name="Mature Area (ha)"/>
    <tableColumn id="7" name="Average Tree Age (years)"/>
    <tableColumn id="8" name="Replanting Area (ha)"/>
    <tableColumn id="9" name="Mills Count (#)"/>
    <tableColumn id="10" name="CPO Refinery Count (#)"/>
    <tableColumn id="11" name="FFB Production (t)"/>
    <tableColumn id="12" name="CPO Production (t)"/>
    <tableColumn id="13" name="FFB Yield (t/ha)"/>
    <tableColumn id="14" name="OER (%)"/>
    <tableColumn id="15" name="Revenue (IDR bn)"/>
    <tableColumn id="16" name="EBITDA (IDR bn)"/>
    <tableColumn id="17" name="Net Profit (IDR bn)"/>
    <tableColumn id="18" name="Net Debt (IDR bn)"/>
    <tableColumn id="19" name="Market Cap (IDR bn)"/>
    <tableColumn id="20" name="EBITDA Margin (%)"/>
    <tableColumn id="21" name="Net Debt / EBITDA (x)"/>
    <tableColumn id="22" name="Revenue / ha (IDR bn/ha)"/>
    <tableColumn id="23" name="CPO / Mature ha (t/ha)"/>
    <tableColumn id="24" name="Scale Score (1-5)"/>
    <tableColumn id="25" name="Asset Quality Score (1-5)"/>
    <tableColumn id="26" name="Integration Score (1-5)"/>
    <tableColumn id="27" name="Operational Efficiency Score (1-5)"/>
    <tableColumn id="28" name="Profitability Score (1-5)"/>
    <tableColumn id="29" name="Leverage Score (1-5)"/>
    <tableColumn id="30" name="Liquidity Score (1-5)"/>
    <tableColumn id="31" name="ESG &amp; Legality Score (1-5)"/>
    <tableColumn id="32" name="Dealability Score (1-5)"/>
    <tableColumn id="33" name="Total Score"/>
    <tableColumn id="34" name="Why Now"/>
    <tableColumn id="35" name="Portfolio Synergy"/>
    <tableColumn id="36" name="Value-Up 100D"/>
    <tableColumn id="37" name="Value-Up 12M"/>
    <tableColumn id="38" name="Key Risks"/>
    <tableColumn id="39" name="HGU Risk"/>
    <tableColumn id="40" name="ESG Risk"/>
    <tableColumn id="41" name="Community Risk"/>
    <tableColumn id="42" name="Regulatory Risk"/>
    <tableColumn id="43" name="Infrastructure Risk"/>
    <tableColumn id="44" name="Financial Risk"/>
    <tableColumn id="45" name="Negotiation Points"/>
    <tableColumn id="46" name="Next Step"/>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F56"/>
  <sheetViews>
    <sheetView showGridLines="0" zoomScaleNormal="100" workbookViewId="0">
      <selection activeCell="A1" sqref="A1:F1"/>
    </sheetView>
  </sheetViews>
  <sheetFormatPr baseColWidth="8" defaultColWidth="8.6640625" defaultRowHeight="14.4"/>
  <cols>
    <col width="26" customWidth="1" style="67" min="1" max="1"/>
    <col width="18" customWidth="1" style="67" min="2" max="6"/>
  </cols>
  <sheetData>
    <row r="1" ht="24" customHeight="1" s="67">
      <c r="A1" s="66" t="inlineStr">
        <is>
          <t>Palm Listed Companies — Long List Template</t>
        </is>
      </c>
    </row>
    <row r="2" ht="15" customHeight="1" s="67">
      <c r="A2" s="73" t="inlineStr">
        <is>
          <t>Annual report → standardized long list with auto-scoring &amp; validation</t>
        </is>
      </c>
    </row>
    <row r="3" ht="15" customHeight="1" s="67">
      <c r="A3" s="1" t="n"/>
      <c r="B3" s="2" t="n"/>
    </row>
    <row r="4" ht="15" customHeight="1" s="67">
      <c r="A4" s="71" t="inlineStr">
        <is>
          <t>1. Raw Data Management</t>
        </is>
      </c>
    </row>
    <row r="5" ht="15" customHeight="1" s="67">
      <c r="A5" s="3" t="inlineStr">
        <is>
          <t>Raw_Extract</t>
        </is>
      </c>
      <c r="B5" s="68" t="inlineStr">
        <is>
          <t>Every fact extracted from the annual report goes here first. One row = one data point.</t>
        </is>
      </c>
    </row>
    <row r="6" ht="15" customHeight="1" s="67">
      <c r="A6" s="3" t="inlineStr">
        <is>
          <t xml:space="preserve">  ├ Required fields</t>
        </is>
      </c>
      <c r="B6" s="68" t="inlineStr">
        <is>
          <t>Company / Source File / Page / Field Name / Extracted Value / Unit / Evidence Quote</t>
        </is>
      </c>
    </row>
    <row r="7" ht="15" customHeight="1" s="67">
      <c r="A7" s="3" t="inlineStr">
        <is>
          <t xml:space="preserve">  ├ Audit trail</t>
        </is>
      </c>
      <c r="B7" s="68" t="inlineStr">
        <is>
          <t>Extracted By / Date / Method (Manual·AI·OCR) / Reviewed By / Date</t>
        </is>
      </c>
    </row>
    <row r="8" ht="15" customHeight="1" s="67">
      <c r="A8" s="3" t="inlineStr">
        <is>
          <t xml:space="preserve">  └ Confidence</t>
        </is>
      </c>
      <c r="B8" s="68" t="inlineStr">
        <is>
          <t>High / Medium / Low — Low automatically flagged in Validation_Flags</t>
        </is>
      </c>
    </row>
    <row r="10" ht="15" customHeight="1" s="67">
      <c r="A10" s="71" t="inlineStr">
        <is>
          <t>2. Output Generation</t>
        </is>
      </c>
    </row>
    <row r="11" ht="15" customHeight="1" s="67">
      <c r="A11" s="3" t="inlineStr">
        <is>
          <t>Company_Master</t>
        </is>
      </c>
      <c r="B11" s="68" t="inlineStr">
        <is>
          <t>Company-level qualitative info (HQ, ownership, deal thoughts, red flags).</t>
        </is>
      </c>
    </row>
    <row r="12" ht="15" customHeight="1" s="67">
      <c r="A12" s="3" t="inlineStr">
        <is>
          <t>Asset_Operations</t>
        </is>
      </c>
      <c r="B12" s="68" t="inlineStr">
        <is>
          <t>Land, mills, production volumes. [auto] columns auto-calculate yield/OER/KER.</t>
        </is>
      </c>
    </row>
    <row r="13" ht="15" customHeight="1" s="67">
      <c r="A13" s="3" t="inlineStr">
        <is>
          <t>Financials</t>
        </is>
      </c>
      <c r="B13" s="68" t="inlineStr">
        <is>
          <t>P&amp;L, B/S, CF, market data. [auto] columns auto-calculate Net Debt, NWC, FCF, ratios.</t>
        </is>
      </c>
    </row>
    <row r="15" ht="15" customHeight="1" s="67">
      <c r="A15" s="71" t="inlineStr">
        <is>
          <t>3. Screening &amp; Scoring</t>
        </is>
      </c>
    </row>
    <row r="16" ht="15" customHeight="1" s="67">
      <c r="A16" s="3" t="inlineStr">
        <is>
          <t>Screening</t>
        </is>
      </c>
      <c r="B16" s="68" t="inlineStr">
        <is>
          <t>Pulls KPIs from 3 source sheets via XLOOKUP. 9 score columns auto-generated.</t>
        </is>
      </c>
    </row>
    <row r="17" ht="15" customHeight="1" s="67">
      <c r="A17" s="3" t="inlineStr">
        <is>
          <t>Scoring_Criteria</t>
        </is>
      </c>
      <c r="B17" s="68" t="inlineStr">
        <is>
          <t>Threshold table — edit blue cells (D5:H13) to recalibrate all scores instantly.</t>
        </is>
      </c>
    </row>
    <row r="18" ht="15" customHeight="1" s="67">
      <c r="A18" s="3" t="inlineStr">
        <is>
          <t xml:space="preserve">  ├ Auto scores</t>
        </is>
      </c>
      <c r="B18" s="68" t="inlineStr">
        <is>
          <t>Scale, Asset Quality, Integration, Op Eff, Profit, Leverage, Liquidity (X~AD)</t>
        </is>
      </c>
    </row>
    <row r="19" ht="15" customHeight="1" s="67">
      <c r="A19" s="3" t="inlineStr">
        <is>
          <t xml:space="preserve">  ├ Manual scores</t>
        </is>
      </c>
      <c r="B19" s="68" t="inlineStr">
        <is>
          <t>ESG &amp; Legality, Dealability (AE, AF) — enter 1~5 directly</t>
        </is>
      </c>
    </row>
    <row r="20" ht="15" customHeight="1" s="67">
      <c r="A20" s="3" t="inlineStr">
        <is>
          <t xml:space="preserve">  └ Total Score</t>
        </is>
      </c>
      <c r="B20" s="68" t="inlineStr">
        <is>
          <t>Simple average of all 9 scores (AG)</t>
        </is>
      </c>
    </row>
    <row r="22" ht="15" customHeight="1" s="67">
      <c r="A22" s="71" t="inlineStr">
        <is>
          <t>4. Validation</t>
        </is>
      </c>
    </row>
    <row r="23" ht="15" customHeight="1" s="67">
      <c r="A23" s="3" t="inlineStr">
        <is>
          <t>Validation_Flags</t>
        </is>
      </c>
      <c r="B23" s="68" t="inlineStr">
        <is>
          <t>Manual issue log (rows 2~50) + automated rule output (rows 62+).</t>
        </is>
      </c>
    </row>
    <row r="24" ht="15" customHeight="1" s="67">
      <c r="A24" s="3" t="inlineStr">
        <is>
          <t xml:space="preserve">  └ Auto rules</t>
        </is>
      </c>
      <c r="B24" s="68" t="inlineStr">
        <is>
          <t>11 rules: area sums, OER range/definition, Net Debt sign, B/S balance, EBITDA logic, EBITDA reported-vs-calculated, Net Debt reported-vs-calculated, Low confidence, etc.</t>
        </is>
      </c>
    </row>
    <row r="26" ht="15" customHeight="1" s="67">
      <c r="A26" s="71" t="inlineStr">
        <is>
          <t>Color Conventions</t>
        </is>
      </c>
    </row>
    <row r="27" ht="15" customHeight="1" s="67">
      <c r="A27" s="4" t="inlineStr">
        <is>
          <t>Blue text</t>
        </is>
      </c>
      <c r="B27" s="69" t="inlineStr">
        <is>
          <t>Manual input — value typed by analyst from the annual report</t>
        </is>
      </c>
    </row>
    <row r="28" ht="15" customHeight="1" s="67">
      <c r="A28" s="4" t="inlineStr">
        <is>
          <t>Black text</t>
        </is>
      </c>
      <c r="B28" s="69" t="inlineStr">
        <is>
          <t>Formula — auto-calculated within the same sheet</t>
        </is>
      </c>
    </row>
    <row r="29" ht="15" customHeight="1" s="67">
      <c r="A29" s="4" t="inlineStr">
        <is>
          <t>Green text</t>
        </is>
      </c>
      <c r="B29" s="69" t="inlineStr">
        <is>
          <t>Cross-sheet link — pulled from another sheet via XLOOKUP</t>
        </is>
      </c>
    </row>
    <row r="30" ht="15" customHeight="1" s="67">
      <c r="A30" s="4" t="inlineStr">
        <is>
          <t>Yellow fill</t>
        </is>
      </c>
      <c r="B30" s="69" t="inlineStr">
        <is>
          <t>Key output (Total Score) — review before final ranking</t>
        </is>
      </c>
    </row>
    <row r="31" ht="15" customHeight="1" s="67">
      <c r="A31" s="4" t="inlineStr">
        <is>
          <t>[auto] header</t>
        </is>
      </c>
      <c r="B31" s="69" t="inlineStr">
        <is>
          <t>Column is calculated; do not overwrite the formula</t>
        </is>
      </c>
    </row>
    <row r="33" ht="15" customHeight="1" s="67">
      <c r="A33" s="71" t="inlineStr">
        <is>
          <t>Unit Conventions</t>
        </is>
      </c>
    </row>
    <row r="34" ht="15" customHeight="1" s="67">
      <c r="A34" s="4" t="inlineStr">
        <is>
          <t>Land</t>
        </is>
      </c>
      <c r="B34" s="69" t="inlineStr">
        <is>
          <t>hectares (ha)</t>
        </is>
      </c>
    </row>
    <row r="35" ht="15" customHeight="1" s="67">
      <c r="A35" s="4" t="inlineStr">
        <is>
          <t>Production</t>
        </is>
      </c>
      <c r="B35" s="69" t="inlineStr">
        <is>
          <t>tonnes (t); capacities in tph or tpa as headed</t>
        </is>
      </c>
    </row>
    <row r="36" ht="15" customHeight="1" s="67">
      <c r="A36" s="4" t="inlineStr">
        <is>
          <t>Prices</t>
        </is>
      </c>
      <c r="B36" s="69" t="inlineStr">
        <is>
          <t>local currency per kg</t>
        </is>
      </c>
    </row>
    <row r="37" ht="15" customHeight="1" s="67">
      <c r="A37" s="4" t="inlineStr">
        <is>
          <t>Financials</t>
        </is>
      </c>
      <c r="B37" s="69" t="inlineStr">
        <is>
          <t>IDR billion (bn) — convert if source is mn or USD</t>
        </is>
      </c>
    </row>
    <row r="38" ht="15" customHeight="1" s="67">
      <c r="A38" s="4" t="inlineStr">
        <is>
          <t>Ratios</t>
        </is>
      </c>
      <c r="B38" s="69" t="inlineStr">
        <is>
          <t>decimal (0.25 = 25%) — formatted as % automatically</t>
        </is>
      </c>
    </row>
    <row r="40" ht="15.6" customHeight="1" s="67">
      <c r="A40" s="72" t="inlineStr">
        <is>
          <t>Business Model Notes (P7)</t>
        </is>
      </c>
    </row>
    <row r="41">
      <c r="A41" s="43" t="inlineStr">
        <is>
          <t>Upstream</t>
        </is>
      </c>
      <c r="B41" s="70" t="inlineStr">
        <is>
          <t>Plantation only (FFB → CPO). Apply all 9 scores fully.</t>
        </is>
      </c>
    </row>
    <row r="42">
      <c r="A42" s="43" t="inlineStr">
        <is>
          <t>Integrated</t>
        </is>
      </c>
      <c r="B42" s="70" t="inlineStr">
        <is>
          <t>Plantation + downstream (e.g., AALI). Apply all 9 scores fully.</t>
        </is>
      </c>
    </row>
    <row r="43">
      <c r="A43" s="43" t="inlineStr">
        <is>
          <t>Downstream</t>
        </is>
      </c>
      <c r="B43" s="70" t="inlineStr">
        <is>
          <t>Refining only (e.g., CBUT). Plantation-based scores (Scale, Asset Quality, Op Eff) will return blank — Total Score auto-excludes blank scores via AVERAGE.</t>
        </is>
      </c>
    </row>
    <row r="44">
      <c r="A44" s="43" t="inlineStr">
        <is>
          <t>Other</t>
        </is>
      </c>
      <c r="B44" s="70" t="inlineStr">
        <is>
          <t>Trading, services, or hybrid. Use manual qualitative notes.</t>
        </is>
      </c>
    </row>
    <row r="46">
      <c r="A46" t="inlineStr">
        <is>
          <t>Per-PDF Workflow (v1 update)</t>
        </is>
      </c>
    </row>
    <row r="47">
      <c r="A47" t="inlineStr">
        <is>
          <t>Usage</t>
        </is>
      </c>
      <c r="B47" t="inlineStr">
        <is>
          <t>This template is intended to be copied PER annual report PDF. Each filled copy represents one company × one report year (one row in Company_Master, Asset_Operations, Financials).</t>
        </is>
      </c>
    </row>
    <row r="48">
      <c r="A48" t="inlineStr">
        <is>
          <t>File Naming</t>
        </is>
      </c>
      <c r="B48" t="inlineStr">
        <is>
          <t>Save each filled copy in the relevant company folder as {TICKER}_{YEAR}_longlist.xlsx.</t>
        </is>
      </c>
    </row>
    <row r="49">
      <c r="A49" t="inlineStr">
        <is>
          <t>Merging</t>
        </is>
      </c>
      <c r="B49" t="inlineStr">
        <is>
          <t>To build a master longlist, merge rows from all per-PDF files into a single workbook. When the same company has multiple years, Screening XLOOKUPs will pick the first matching row; if per-year Screening is needed, switch to composite-key lookups (Company + Report Year).</t>
        </is>
      </c>
    </row>
    <row r="51">
      <c r="A51" t="inlineStr">
        <is>
          <t>Changes from v0 (baseline)</t>
        </is>
      </c>
    </row>
    <row r="52">
      <c r="A52" t="inlineStr">
        <is>
          <t>OER range</t>
        </is>
      </c>
      <c r="B52" t="inlineStr">
        <is>
          <t>Validation rule R3 (OER range) widened from 18-25% to 15-27% to reduce false positives for small companies.</t>
        </is>
      </c>
    </row>
    <row r="53">
      <c r="A53" t="inlineStr">
        <is>
          <t>Validation rows</t>
        </is>
      </c>
      <c r="B53" t="inlineStr">
        <is>
          <t>Validation_Summary now covers rows 5-204 (200 companies) instead of 5-34 (30 companies).</t>
        </is>
      </c>
    </row>
    <row r="54">
      <c r="A54" t="inlineStr">
        <is>
          <t>Raw_Extract rows</t>
        </is>
      </c>
      <c r="B54" t="inlineStr">
        <is>
          <t>Raw_Extract capacity extended from 200 to 1000 facts (table A1:L1001, dropdowns D/J/L/O through row 1001).</t>
        </is>
      </c>
    </row>
    <row r="55">
      <c r="A55" t="inlineStr">
        <is>
          <t>Report Year in Asset_Operations</t>
        </is>
      </c>
      <c r="B55" t="inlineStr">
        <is>
          <t>New column BG = Report Year. Use when merging multi-year data so operational rows can be distinguished by year.</t>
        </is>
      </c>
    </row>
    <row r="56">
      <c r="A56" t="inlineStr">
        <is>
          <t>Report Year in Company_Master</t>
        </is>
      </c>
      <c r="B56" t="inlineStr">
        <is>
          <t>Column D renamed from "Latest Report Year" to "Report Year" for per-PDF clarity.</t>
        </is>
      </c>
    </row>
  </sheetData>
  <mergeCells count="37">
    <mergeCell ref="B7:F7"/>
    <mergeCell ref="B16:F16"/>
    <mergeCell ref="B31:F31"/>
    <mergeCell ref="A26:F26"/>
    <mergeCell ref="B18:F18"/>
    <mergeCell ref="B27:F27"/>
    <mergeCell ref="A33:F33"/>
    <mergeCell ref="B43:F43"/>
    <mergeCell ref="B12:F12"/>
    <mergeCell ref="A2:F2"/>
    <mergeCell ref="B42:F42"/>
    <mergeCell ref="B11:F11"/>
    <mergeCell ref="A22:F22"/>
    <mergeCell ref="B23:F23"/>
    <mergeCell ref="A4:F4"/>
    <mergeCell ref="B8:F8"/>
    <mergeCell ref="B17:F17"/>
    <mergeCell ref="B13:F13"/>
    <mergeCell ref="B44:F44"/>
    <mergeCell ref="B29:F29"/>
    <mergeCell ref="A10:F10"/>
    <mergeCell ref="B38:F38"/>
    <mergeCell ref="B34:F34"/>
    <mergeCell ref="B28:F28"/>
    <mergeCell ref="B19:F19"/>
    <mergeCell ref="B37:F37"/>
    <mergeCell ref="A40:F40"/>
    <mergeCell ref="A15:F15"/>
    <mergeCell ref="B30:F30"/>
    <mergeCell ref="B6:F6"/>
    <mergeCell ref="B24:F24"/>
    <mergeCell ref="B20:F20"/>
    <mergeCell ref="A1:F1"/>
    <mergeCell ref="B5:F5"/>
    <mergeCell ref="B36:F36"/>
    <mergeCell ref="B41:F41"/>
    <mergeCell ref="B35:F35"/>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A5A5A5"/>
    <outlinePr summaryBelow="1" summaryRight="1"/>
    <pageSetUpPr/>
  </sheetPr>
  <dimension ref="A1:Q6613"/>
  <sheetViews>
    <sheetView showGridLines="0"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8.6640625" defaultRowHeight="14.4"/>
  <cols>
    <col width="22" customWidth="1" style="67" min="1" max="2"/>
    <col width="10" customWidth="1" style="67" min="3" max="3"/>
    <col width="12" customWidth="1" style="67" min="4" max="4"/>
    <col width="28" customWidth="1" style="67" min="5" max="5"/>
    <col width="14" customWidth="1" style="67" min="6" max="6"/>
    <col width="10" customWidth="1" style="67" min="7" max="7"/>
    <col width="8" customWidth="1" style="67" min="8" max="8"/>
    <col width="45" customWidth="1" style="67" min="9" max="9"/>
    <col width="10" customWidth="1" style="67" min="10" max="10"/>
    <col width="25" customWidth="1" style="67" min="11" max="11"/>
    <col width="12" customWidth="1" style="67" min="12" max="12"/>
    <col width="18" customWidth="1" style="67" min="13" max="13"/>
    <col width="14" customWidth="1" style="67" min="14" max="15"/>
    <col width="18" customWidth="1" style="67" min="16" max="16"/>
    <col width="14" customWidth="1" style="67" min="17" max="17"/>
  </cols>
  <sheetData>
    <row r="1" ht="31.5" customHeight="1" s="67">
      <c r="A1" s="5" t="inlineStr">
        <is>
          <t>Company</t>
        </is>
      </c>
      <c r="B1" s="5" t="inlineStr">
        <is>
          <t>Source File</t>
        </is>
      </c>
      <c r="C1" s="5" t="inlineStr">
        <is>
          <t>Report Year</t>
        </is>
      </c>
      <c r="D1" s="5" t="inlineStr">
        <is>
          <t>Field Group</t>
        </is>
      </c>
      <c r="E1" s="5" t="inlineStr">
        <is>
          <t>Field Name</t>
        </is>
      </c>
      <c r="F1" s="5" t="inlineStr">
        <is>
          <t>Extracted Value</t>
        </is>
      </c>
      <c r="G1" s="5" t="inlineStr">
        <is>
          <t>Unit</t>
        </is>
      </c>
      <c r="H1" s="5" t="inlineStr">
        <is>
          <t>Page</t>
        </is>
      </c>
      <c r="I1" s="5" t="inlineStr">
        <is>
          <t>Evidence Quote</t>
        </is>
      </c>
      <c r="J1" s="5" t="inlineStr">
        <is>
          <t>Confidence</t>
        </is>
      </c>
      <c r="K1" s="5" t="inlineStr">
        <is>
          <t>Normalization Note</t>
        </is>
      </c>
      <c r="L1" s="5" t="inlineStr">
        <is>
          <t>Validation Flag</t>
        </is>
      </c>
      <c r="M1" s="5" t="inlineStr">
        <is>
          <t>Extracted By</t>
        </is>
      </c>
      <c r="N1" s="5" t="inlineStr">
        <is>
          <t>Extracted Date</t>
        </is>
      </c>
      <c r="O1" s="5" t="inlineStr">
        <is>
          <t>Method</t>
        </is>
      </c>
      <c r="P1" s="5" t="inlineStr">
        <is>
          <t>Reviewed By</t>
        </is>
      </c>
      <c r="Q1" s="5" t="inlineStr">
        <is>
          <t>Reviewed Date</t>
        </is>
      </c>
    </row>
    <row r="2" ht="15" customHeight="1" s="67">
      <c r="A2" s="6" t="inlineStr">
        <is>
          <t>PT Astra Agro Lestari Tbk</t>
        </is>
      </c>
      <c r="B2" s="6" t="inlineStr">
        <is>
          <t>AALI_2023_AR.pdf</t>
        </is>
      </c>
      <c r="C2" s="6" t="n">
        <v>2023</v>
      </c>
      <c r="D2" s="6" t="inlineStr">
        <is>
          <t>Company</t>
        </is>
      </c>
      <c r="E2" s="6" t="inlineStr">
        <is>
          <t>Company Name</t>
        </is>
      </c>
      <c r="F2" s="6" t="inlineStr">
        <is>
          <t>PT Astra Agro Lestari Tbk</t>
        </is>
      </c>
      <c r="G2" s="6" t="inlineStr">
        <is>
          <t>text</t>
        </is>
      </c>
      <c r="H2" s="6" t="n">
        <v>1</v>
      </c>
      <c r="I2" s="6" t="inlineStr">
        <is>
          <t>Cover</t>
        </is>
      </c>
      <c r="J2" s="6" t="inlineStr">
        <is>
          <t>High</t>
        </is>
      </c>
      <c r="K2" s="6" t="n"/>
      <c r="L2" s="6" t="n"/>
      <c r="M2" s="7" t="inlineStr">
        <is>
          <t>LLM</t>
        </is>
      </c>
      <c r="N2" s="7" t="inlineStr">
        <is>
          <t>2026-04-18</t>
        </is>
      </c>
      <c r="O2" s="7" t="inlineStr">
        <is>
          <t>AI</t>
        </is>
      </c>
      <c r="P2" s="7" t="n"/>
      <c r="Q2" s="7" t="n"/>
    </row>
    <row r="3" ht="15" customHeight="1" s="67">
      <c r="A3" s="6" t="inlineStr">
        <is>
          <t>PT Astra Agro Lestari Tbk</t>
        </is>
      </c>
      <c r="B3" s="6" t="inlineStr">
        <is>
          <t>AALI_2023_AR.pdf</t>
        </is>
      </c>
      <c r="C3" s="6" t="n">
        <v>2023</v>
      </c>
      <c r="D3" s="6" t="inlineStr">
        <is>
          <t>Company</t>
        </is>
      </c>
      <c r="E3" s="6" t="inlineStr">
        <is>
          <t>Ticker</t>
        </is>
      </c>
      <c r="F3" s="6" t="inlineStr">
        <is>
          <t>AALI</t>
        </is>
      </c>
      <c r="G3" s="6" t="inlineStr">
        <is>
          <t>text</t>
        </is>
      </c>
      <c r="H3" s="6" t="n"/>
      <c r="I3" s="6" t="inlineStr">
        <is>
          <t>Filename</t>
        </is>
      </c>
      <c r="J3" s="6" t="inlineStr">
        <is>
          <t>High</t>
        </is>
      </c>
      <c r="K3" s="6" t="n"/>
      <c r="L3" s="6" t="n"/>
      <c r="M3" s="7" t="inlineStr">
        <is>
          <t>LLM</t>
        </is>
      </c>
      <c r="N3" s="7" t="inlineStr">
        <is>
          <t>2026-04-18</t>
        </is>
      </c>
      <c r="O3" s="7" t="inlineStr">
        <is>
          <t>AI</t>
        </is>
      </c>
      <c r="P3" s="7" t="n"/>
      <c r="Q3" s="7" t="n"/>
    </row>
    <row r="4" ht="15" customHeight="1" s="67">
      <c r="A4" s="6" t="inlineStr">
        <is>
          <t>PT Astra Agro Lestari Tbk</t>
        </is>
      </c>
      <c r="B4" s="6" t="inlineStr">
        <is>
          <t>AALI_2023_AR.pdf</t>
        </is>
      </c>
      <c r="C4" s="6" t="n">
        <v>2023</v>
      </c>
      <c r="D4" s="6" t="inlineStr">
        <is>
          <t>Company</t>
        </is>
      </c>
      <c r="E4" s="6" t="inlineStr">
        <is>
          <t>Report Year</t>
        </is>
      </c>
      <c r="F4" s="6" t="n">
        <v>2023</v>
      </c>
      <c r="G4" s="6" t="inlineStr">
        <is>
          <t>year</t>
        </is>
      </c>
      <c r="H4" s="6" t="n"/>
      <c r="I4" s="6" t="inlineStr">
        <is>
          <t>Filename</t>
        </is>
      </c>
      <c r="J4" s="6" t="inlineStr">
        <is>
          <t>High</t>
        </is>
      </c>
      <c r="K4" s="6" t="n"/>
      <c r="L4" s="6" t="n"/>
      <c r="M4" s="7" t="inlineStr">
        <is>
          <t>LLM</t>
        </is>
      </c>
      <c r="N4" s="7" t="inlineStr">
        <is>
          <t>2026-04-18</t>
        </is>
      </c>
      <c r="O4" s="7" t="inlineStr">
        <is>
          <t>AI</t>
        </is>
      </c>
      <c r="P4" s="7" t="n"/>
      <c r="Q4" s="7" t="n"/>
    </row>
    <row r="5" ht="15" customHeight="1" s="67">
      <c r="A5" s="6" t="inlineStr">
        <is>
          <t>PT Astra Agro Lestari Tbk</t>
        </is>
      </c>
      <c r="B5" s="6" t="inlineStr">
        <is>
          <t>AALI_2023_AR.pdf</t>
        </is>
      </c>
      <c r="C5" s="6" t="n">
        <v>2023</v>
      </c>
      <c r="D5" s="6" t="inlineStr">
        <is>
          <t>Financial</t>
        </is>
      </c>
      <c r="E5" s="6" t="inlineStr">
        <is>
          <t>Revenue</t>
        </is>
      </c>
      <c r="F5" s="6" t="n">
        <v>20745</v>
      </c>
      <c r="G5" s="6" t="inlineStr">
        <is>
          <t>IDR bn</t>
        </is>
      </c>
      <c r="H5" s="6" t="n">
        <v>10</v>
      </c>
      <c r="I5" s="6" t="inlineStr">
        <is>
          <t>Pendapatan Bersih 20,745 (2023), Rp miliar (confirmed by p11 label)</t>
        </is>
      </c>
      <c r="J5" s="6" t="inlineStr">
        <is>
          <t>High</t>
        </is>
      </c>
      <c r="K5" s="6" t="n"/>
      <c r="L5" s="6" t="n"/>
      <c r="M5" s="7" t="inlineStr">
        <is>
          <t>LLM</t>
        </is>
      </c>
      <c r="N5" s="7" t="inlineStr">
        <is>
          <t>2026-04-18</t>
        </is>
      </c>
      <c r="O5" s="7" t="inlineStr">
        <is>
          <t>AI</t>
        </is>
      </c>
      <c r="P5" s="7" t="n"/>
      <c r="Q5" s="7" t="n"/>
    </row>
    <row r="6" ht="15" customHeight="1" s="67">
      <c r="A6" s="6" t="inlineStr">
        <is>
          <t>PT Astra Agro Lestari Tbk</t>
        </is>
      </c>
      <c r="B6" s="6" t="inlineStr">
        <is>
          <t>AALI_2023_AR.pdf</t>
        </is>
      </c>
      <c r="C6" s="6" t="n">
        <v>2023</v>
      </c>
      <c r="D6" s="6" t="inlineStr">
        <is>
          <t>Financial</t>
        </is>
      </c>
      <c r="E6" s="6" t="inlineStr">
        <is>
          <t>Gross Profit</t>
        </is>
      </c>
      <c r="F6" s="6" t="n">
        <v>2771</v>
      </c>
      <c r="G6" s="6" t="inlineStr">
        <is>
          <t>IDR bn</t>
        </is>
      </c>
      <c r="H6" s="6" t="n">
        <v>10</v>
      </c>
      <c r="I6" s="6" t="inlineStr">
        <is>
          <t>Laba Bruto 2,771</t>
        </is>
      </c>
      <c r="J6" s="6" t="inlineStr">
        <is>
          <t>High</t>
        </is>
      </c>
      <c r="K6" s="6" t="n"/>
      <c r="L6" s="6" t="n"/>
      <c r="M6" s="7" t="inlineStr">
        <is>
          <t>LLM</t>
        </is>
      </c>
      <c r="N6" s="7" t="inlineStr">
        <is>
          <t>2026-04-18</t>
        </is>
      </c>
      <c r="O6" s="7" t="inlineStr">
        <is>
          <t>AI</t>
        </is>
      </c>
      <c r="P6" s="7" t="n"/>
      <c r="Q6" s="7" t="n"/>
    </row>
    <row r="7" ht="15" customHeight="1" s="67">
      <c r="A7" s="6" t="inlineStr">
        <is>
          <t>PT Astra Agro Lestari Tbk</t>
        </is>
      </c>
      <c r="B7" s="6" t="inlineStr">
        <is>
          <t>AALI_2023_AR.pdf</t>
        </is>
      </c>
      <c r="C7" s="6" t="n">
        <v>2023</v>
      </c>
      <c r="D7" s="6" t="inlineStr">
        <is>
          <t>Financial</t>
        </is>
      </c>
      <c r="E7" s="6" t="inlineStr">
        <is>
          <t>Net Profit</t>
        </is>
      </c>
      <c r="F7" s="6" t="n">
        <v>1088</v>
      </c>
      <c r="G7" s="6" t="inlineStr">
        <is>
          <t>IDR bn</t>
        </is>
      </c>
      <c r="H7" s="6" t="n">
        <v>10</v>
      </c>
      <c r="I7" s="6" t="inlineStr">
        <is>
          <t>Laba Tahun Berjalan 1,088</t>
        </is>
      </c>
      <c r="J7" s="6" t="inlineStr">
        <is>
          <t>High</t>
        </is>
      </c>
      <c r="K7" s="6" t="n"/>
      <c r="L7" s="6" t="n"/>
      <c r="M7" s="7" t="inlineStr">
        <is>
          <t>LLM</t>
        </is>
      </c>
      <c r="N7" s="7" t="inlineStr">
        <is>
          <t>2026-04-18</t>
        </is>
      </c>
      <c r="O7" s="7" t="inlineStr">
        <is>
          <t>AI</t>
        </is>
      </c>
      <c r="P7" s="7" t="n"/>
      <c r="Q7" s="7" t="n"/>
    </row>
    <row r="8" ht="15" customHeight="1" s="67">
      <c r="A8" s="6" t="inlineStr">
        <is>
          <t>PT Astra Agro Lestari Tbk</t>
        </is>
      </c>
      <c r="B8" s="6" t="inlineStr">
        <is>
          <t>AALI_2023_AR.pdf</t>
        </is>
      </c>
      <c r="C8" s="6" t="n">
        <v>2023</v>
      </c>
      <c r="D8" s="6" t="inlineStr">
        <is>
          <t>Financial</t>
        </is>
      </c>
      <c r="E8" s="6" t="inlineStr">
        <is>
          <t>Profit Attributable to Parent</t>
        </is>
      </c>
      <c r="F8" s="6" t="n">
        <v>1056</v>
      </c>
      <c r="G8" s="6" t="inlineStr">
        <is>
          <t>IDR bn</t>
        </is>
      </c>
      <c r="H8" s="6" t="n">
        <v>10</v>
      </c>
      <c r="I8" s="6" t="inlineStr">
        <is>
          <t>- Pemilik Entitas Induk 1,056</t>
        </is>
      </c>
      <c r="J8" s="6" t="inlineStr">
        <is>
          <t>High</t>
        </is>
      </c>
      <c r="K8" s="6" t="n"/>
      <c r="L8" s="6" t="n"/>
      <c r="M8" s="7" t="inlineStr">
        <is>
          <t>LLM</t>
        </is>
      </c>
      <c r="N8" s="7" t="inlineStr">
        <is>
          <t>2026-04-18</t>
        </is>
      </c>
      <c r="O8" s="7" t="inlineStr">
        <is>
          <t>AI</t>
        </is>
      </c>
      <c r="P8" s="7" t="n"/>
      <c r="Q8" s="7" t="n"/>
    </row>
    <row r="9" ht="15" customHeight="1" s="67">
      <c r="A9" s="6" t="inlineStr">
        <is>
          <t>PT Astra Agro Lestari Tbk</t>
        </is>
      </c>
      <c r="B9" s="6" t="inlineStr">
        <is>
          <t>AALI_2023_AR.pdf</t>
        </is>
      </c>
      <c r="C9" s="6" t="n">
        <v>2023</v>
      </c>
      <c r="D9" s="6" t="inlineStr">
        <is>
          <t>Financial</t>
        </is>
      </c>
      <c r="E9" s="6" t="inlineStr">
        <is>
          <t>Total Comprehensive Income</t>
        </is>
      </c>
      <c r="F9" s="6" t="n">
        <v>1136</v>
      </c>
      <c r="G9" s="6" t="inlineStr">
        <is>
          <t>IDR bn</t>
        </is>
      </c>
      <c r="H9" s="6" t="n">
        <v>10</v>
      </c>
      <c r="I9" s="6" t="inlineStr">
        <is>
          <t>Penghasilan Komprehensif Tahun Berjalan 1,136</t>
        </is>
      </c>
      <c r="J9" s="6" t="inlineStr">
        <is>
          <t>High</t>
        </is>
      </c>
      <c r="K9" s="6" t="n"/>
      <c r="L9" s="6" t="n"/>
      <c r="M9" s="7" t="inlineStr">
        <is>
          <t>LLM</t>
        </is>
      </c>
      <c r="N9" s="7" t="inlineStr">
        <is>
          <t>2026-04-18</t>
        </is>
      </c>
      <c r="O9" s="7" t="inlineStr">
        <is>
          <t>AI</t>
        </is>
      </c>
      <c r="P9" s="7" t="n"/>
      <c r="Q9" s="7" t="n"/>
    </row>
    <row r="10" ht="15" customHeight="1" s="67">
      <c r="A10" s="6" t="inlineStr">
        <is>
          <t>PT Astra Agro Lestari Tbk</t>
        </is>
      </c>
      <c r="B10" s="6" t="inlineStr">
        <is>
          <t>AALI_2023_AR.pdf</t>
        </is>
      </c>
      <c r="C10" s="6" t="n">
        <v>2023</v>
      </c>
      <c r="D10" s="6" t="inlineStr">
        <is>
          <t>Financial</t>
        </is>
      </c>
      <c r="E10" s="6" t="inlineStr">
        <is>
          <t>Current Assets</t>
        </is>
      </c>
      <c r="F10" s="6" t="n">
        <v>7118</v>
      </c>
      <c r="G10" s="6" t="inlineStr">
        <is>
          <t>IDR bn</t>
        </is>
      </c>
      <c r="H10" s="6" t="n">
        <v>10</v>
      </c>
      <c r="I10" s="6" t="inlineStr">
        <is>
          <t>Aset Lancar 7,118</t>
        </is>
      </c>
      <c r="J10" s="6" t="inlineStr">
        <is>
          <t>High</t>
        </is>
      </c>
      <c r="K10" s="6" t="n"/>
      <c r="L10" s="6" t="n"/>
      <c r="M10" s="7" t="inlineStr">
        <is>
          <t>LLM</t>
        </is>
      </c>
      <c r="N10" s="7" t="inlineStr">
        <is>
          <t>2026-04-18</t>
        </is>
      </c>
      <c r="O10" s="7" t="inlineStr">
        <is>
          <t>AI</t>
        </is>
      </c>
      <c r="P10" s="7" t="n"/>
      <c r="Q10" s="7" t="n"/>
    </row>
    <row r="11" ht="15" customHeight="1" s="67">
      <c r="A11" s="6" t="inlineStr">
        <is>
          <t>PT Astra Agro Lestari Tbk</t>
        </is>
      </c>
      <c r="B11" s="6" t="inlineStr">
        <is>
          <t>AALI_2023_AR.pdf</t>
        </is>
      </c>
      <c r="C11" s="6" t="n">
        <v>2023</v>
      </c>
      <c r="D11" s="6" t="inlineStr">
        <is>
          <t>Financial</t>
        </is>
      </c>
      <c r="E11" s="6" t="inlineStr">
        <is>
          <t>Non-Current Assets</t>
        </is>
      </c>
      <c r="F11" s="6" t="n">
        <v>21728</v>
      </c>
      <c r="G11" s="6" t="inlineStr">
        <is>
          <t>IDR bn</t>
        </is>
      </c>
      <c r="H11" s="6" t="n">
        <v>10</v>
      </c>
      <c r="I11" s="6" t="inlineStr">
        <is>
          <t>Aset Tidak Lancar 21,728</t>
        </is>
      </c>
      <c r="J11" s="6" t="inlineStr">
        <is>
          <t>High</t>
        </is>
      </c>
      <c r="K11" s="6" t="n"/>
      <c r="L11" s="6" t="n"/>
      <c r="M11" s="7" t="inlineStr">
        <is>
          <t>LLM</t>
        </is>
      </c>
      <c r="N11" s="7" t="inlineStr">
        <is>
          <t>2026-04-18</t>
        </is>
      </c>
      <c r="O11" s="7" t="inlineStr">
        <is>
          <t>AI</t>
        </is>
      </c>
      <c r="P11" s="7" t="n"/>
      <c r="Q11" s="7" t="n"/>
    </row>
    <row r="12" ht="15" customHeight="1" s="67">
      <c r="A12" s="6" t="inlineStr">
        <is>
          <t>PT Astra Agro Lestari Tbk</t>
        </is>
      </c>
      <c r="B12" s="6" t="inlineStr">
        <is>
          <t>AALI_2023_AR.pdf</t>
        </is>
      </c>
      <c r="C12" s="6" t="n">
        <v>2023</v>
      </c>
      <c r="D12" s="6" t="inlineStr">
        <is>
          <t>Financial</t>
        </is>
      </c>
      <c r="E12" s="6" t="inlineStr">
        <is>
          <t>Total Assets</t>
        </is>
      </c>
      <c r="F12" s="6" t="n">
        <v>28846</v>
      </c>
      <c r="G12" s="6" t="inlineStr">
        <is>
          <t>IDR bn</t>
        </is>
      </c>
      <c r="H12" s="6" t="n">
        <v>10</v>
      </c>
      <c r="I12" s="6" t="inlineStr">
        <is>
          <t>Total Aset 28,846</t>
        </is>
      </c>
      <c r="J12" s="6" t="inlineStr">
        <is>
          <t>High</t>
        </is>
      </c>
      <c r="K12" s="6" t="n"/>
      <c r="L12" s="6" t="n"/>
      <c r="M12" s="7" t="inlineStr">
        <is>
          <t>LLM</t>
        </is>
      </c>
      <c r="N12" s="7" t="inlineStr">
        <is>
          <t>2026-04-18</t>
        </is>
      </c>
      <c r="O12" s="7" t="inlineStr">
        <is>
          <t>AI</t>
        </is>
      </c>
      <c r="P12" s="7" t="n"/>
      <c r="Q12" s="7" t="n"/>
    </row>
    <row r="13" ht="15" customHeight="1" s="67">
      <c r="A13" s="6" t="inlineStr">
        <is>
          <t>PT Astra Agro Lestari Tbk</t>
        </is>
      </c>
      <c r="B13" s="6" t="inlineStr">
        <is>
          <t>AALI_2023_AR.pdf</t>
        </is>
      </c>
      <c r="C13" s="6" t="n">
        <v>2023</v>
      </c>
      <c r="D13" s="6" t="inlineStr">
        <is>
          <t>Financial</t>
        </is>
      </c>
      <c r="E13" s="6" t="inlineStr">
        <is>
          <t>Current Liabilities</t>
        </is>
      </c>
      <c r="F13" s="6" t="n">
        <v>3882</v>
      </c>
      <c r="G13" s="6" t="inlineStr">
        <is>
          <t>IDR bn</t>
        </is>
      </c>
      <c r="H13" s="6" t="n">
        <v>10</v>
      </c>
      <c r="I13" s="6" t="inlineStr">
        <is>
          <t>Liabilitas Jangka Pendek 3,882</t>
        </is>
      </c>
      <c r="J13" s="6" t="inlineStr">
        <is>
          <t>High</t>
        </is>
      </c>
      <c r="K13" s="6" t="n"/>
      <c r="L13" s="6" t="n"/>
      <c r="M13" s="7" t="inlineStr">
        <is>
          <t>LLM</t>
        </is>
      </c>
      <c r="N13" s="7" t="inlineStr">
        <is>
          <t>2026-04-18</t>
        </is>
      </c>
      <c r="O13" s="7" t="inlineStr">
        <is>
          <t>AI</t>
        </is>
      </c>
      <c r="P13" s="7" t="n"/>
      <c r="Q13" s="7" t="n"/>
    </row>
    <row r="14" ht="15" customHeight="1" s="67">
      <c r="A14" s="6" t="inlineStr">
        <is>
          <t>PT Astra Agro Lestari Tbk</t>
        </is>
      </c>
      <c r="B14" s="6" t="inlineStr">
        <is>
          <t>AALI_2023_AR.pdf</t>
        </is>
      </c>
      <c r="C14" s="6" t="n">
        <v>2023</v>
      </c>
      <c r="D14" s="6" t="inlineStr">
        <is>
          <t>Financial</t>
        </is>
      </c>
      <c r="E14" s="6" t="inlineStr">
        <is>
          <t>Long-Term Liabilities</t>
        </is>
      </c>
      <c r="F14" s="6" t="n">
        <v>2398</v>
      </c>
      <c r="G14" s="6" t="inlineStr">
        <is>
          <t>IDR bn</t>
        </is>
      </c>
      <c r="H14" s="6" t="n">
        <v>10</v>
      </c>
      <c r="I14" s="6" t="inlineStr">
        <is>
          <t>Liabilitas Jangka Panjang 2,398</t>
        </is>
      </c>
      <c r="J14" s="6" t="inlineStr">
        <is>
          <t>High</t>
        </is>
      </c>
      <c r="K14" s="6" t="n"/>
      <c r="L14" s="6" t="n"/>
      <c r="M14" s="7" t="inlineStr">
        <is>
          <t>LLM</t>
        </is>
      </c>
      <c r="N14" s="7" t="inlineStr">
        <is>
          <t>2026-04-18</t>
        </is>
      </c>
      <c r="O14" s="7" t="inlineStr">
        <is>
          <t>AI</t>
        </is>
      </c>
      <c r="P14" s="7" t="n"/>
      <c r="Q14" s="7" t="n"/>
    </row>
    <row r="15" ht="15" customHeight="1" s="67">
      <c r="A15" s="6" t="inlineStr">
        <is>
          <t>PT Astra Agro Lestari Tbk</t>
        </is>
      </c>
      <c r="B15" s="6" t="inlineStr">
        <is>
          <t>AALI_2023_AR.pdf</t>
        </is>
      </c>
      <c r="C15" s="6" t="n">
        <v>2023</v>
      </c>
      <c r="D15" s="6" t="inlineStr">
        <is>
          <t>Financial</t>
        </is>
      </c>
      <c r="E15" s="6" t="inlineStr">
        <is>
          <t>Total Liabilities</t>
        </is>
      </c>
      <c r="F15" s="6" t="n">
        <v>6280</v>
      </c>
      <c r="G15" s="6" t="inlineStr">
        <is>
          <t>IDR bn</t>
        </is>
      </c>
      <c r="H15" s="6" t="n">
        <v>10</v>
      </c>
      <c r="I15" s="6" t="inlineStr">
        <is>
          <t>Total Liabilitas 6,280</t>
        </is>
      </c>
      <c r="J15" s="6" t="inlineStr">
        <is>
          <t>High</t>
        </is>
      </c>
      <c r="K15" s="6" t="n"/>
      <c r="L15" s="6" t="n"/>
      <c r="M15" s="7" t="inlineStr">
        <is>
          <t>LLM</t>
        </is>
      </c>
      <c r="N15" s="7" t="inlineStr">
        <is>
          <t>2026-04-18</t>
        </is>
      </c>
      <c r="O15" s="7" t="inlineStr">
        <is>
          <t>AI</t>
        </is>
      </c>
      <c r="P15" s="7" t="n"/>
      <c r="Q15" s="7" t="n"/>
    </row>
    <row r="16" ht="15" customHeight="1" s="67">
      <c r="A16" s="6" t="inlineStr">
        <is>
          <t>PT Astra Agro Lestari Tbk</t>
        </is>
      </c>
      <c r="B16" s="6" t="inlineStr">
        <is>
          <t>AALI_2023_AR.pdf</t>
        </is>
      </c>
      <c r="C16" s="6" t="n">
        <v>2023</v>
      </c>
      <c r="D16" s="6" t="inlineStr">
        <is>
          <t>Financial</t>
        </is>
      </c>
      <c r="E16" s="6" t="inlineStr">
        <is>
          <t>Total Equity</t>
        </is>
      </c>
      <c r="F16" s="6" t="n">
        <v>22566</v>
      </c>
      <c r="G16" s="6" t="inlineStr">
        <is>
          <t>IDR bn</t>
        </is>
      </c>
      <c r="H16" s="6" t="n">
        <v>10</v>
      </c>
      <c r="I16" s="6" t="inlineStr">
        <is>
          <t>Total Ekuitas 22,566</t>
        </is>
      </c>
      <c r="J16" s="6" t="inlineStr">
        <is>
          <t>High</t>
        </is>
      </c>
      <c r="K16" s="6" t="n"/>
      <c r="L16" s="6" t="n"/>
      <c r="M16" s="7" t="inlineStr">
        <is>
          <t>LLM</t>
        </is>
      </c>
      <c r="N16" s="7" t="inlineStr">
        <is>
          <t>2026-04-18</t>
        </is>
      </c>
      <c r="O16" s="7" t="inlineStr">
        <is>
          <t>AI</t>
        </is>
      </c>
      <c r="P16" s="7" t="n"/>
      <c r="Q16" s="7" t="n"/>
    </row>
    <row r="17" ht="15" customHeight="1" s="67">
      <c r="A17" s="6" t="inlineStr">
        <is>
          <t>PT Astra Agro Lestari Tbk</t>
        </is>
      </c>
      <c r="B17" s="6" t="inlineStr">
        <is>
          <t>AALI_2023_AR.pdf</t>
        </is>
      </c>
      <c r="C17" s="6" t="n">
        <v>2023</v>
      </c>
      <c r="D17" s="6" t="inlineStr">
        <is>
          <t>Financial</t>
        </is>
      </c>
      <c r="E17" s="6" t="inlineStr">
        <is>
          <t>Current Ratio</t>
        </is>
      </c>
      <c r="F17" s="6" t="n">
        <v>1.8</v>
      </c>
      <c r="G17" s="6" t="inlineStr">
        <is>
          <t>x</t>
        </is>
      </c>
      <c r="H17" s="6" t="n">
        <v>10</v>
      </c>
      <c r="I17" s="6" t="inlineStr">
        <is>
          <t>Rasio Lancar (x) 1.8</t>
        </is>
      </c>
      <c r="J17" s="6" t="inlineStr">
        <is>
          <t>High</t>
        </is>
      </c>
      <c r="K17" s="6" t="n"/>
      <c r="L17" s="6" t="n"/>
      <c r="M17" s="7" t="inlineStr">
        <is>
          <t>LLM</t>
        </is>
      </c>
      <c r="N17" s="7" t="inlineStr">
        <is>
          <t>2026-04-18</t>
        </is>
      </c>
      <c r="O17" s="7" t="inlineStr">
        <is>
          <t>AI</t>
        </is>
      </c>
      <c r="P17" s="7" t="n"/>
      <c r="Q17" s="7" t="n"/>
    </row>
    <row r="18" ht="15" customHeight="1" s="67">
      <c r="A18" s="6" t="inlineStr">
        <is>
          <t>PT Astra Agro Lestari Tbk</t>
        </is>
      </c>
      <c r="B18" s="6" t="inlineStr">
        <is>
          <t>AALI_2023_AR.pdf</t>
        </is>
      </c>
      <c r="C18" s="6" t="n">
        <v>2023</v>
      </c>
      <c r="D18" s="6" t="inlineStr">
        <is>
          <t>Financial</t>
        </is>
      </c>
      <c r="E18" s="6" t="inlineStr">
        <is>
          <t>Debt/Assets</t>
        </is>
      </c>
      <c r="F18" s="6" t="n">
        <v>0.2</v>
      </c>
      <c r="G18" s="6" t="inlineStr">
        <is>
          <t>x</t>
        </is>
      </c>
      <c r="H18" s="6" t="n">
        <v>10</v>
      </c>
      <c r="I18" s="6" t="inlineStr">
        <is>
          <t>Rasio Liabilitas thd Jumlah Aset (x) 0.2</t>
        </is>
      </c>
      <c r="J18" s="6" t="inlineStr">
        <is>
          <t>High</t>
        </is>
      </c>
      <c r="K18" s="6" t="n"/>
      <c r="L18" s="6" t="n"/>
      <c r="M18" s="7" t="inlineStr">
        <is>
          <t>LLM</t>
        </is>
      </c>
      <c r="N18" s="7" t="inlineStr">
        <is>
          <t>2026-04-18</t>
        </is>
      </c>
      <c r="O18" s="7" t="inlineStr">
        <is>
          <t>AI</t>
        </is>
      </c>
      <c r="P18" s="7" t="n"/>
      <c r="Q18" s="7" t="n"/>
    </row>
    <row r="19" ht="15" customHeight="1" s="67">
      <c r="A19" s="6" t="inlineStr">
        <is>
          <t>PT Astra Agro Lestari Tbk</t>
        </is>
      </c>
      <c r="B19" s="6" t="inlineStr">
        <is>
          <t>AALI_2023_AR.pdf</t>
        </is>
      </c>
      <c r="C19" s="6" t="n">
        <v>2023</v>
      </c>
      <c r="D19" s="6" t="inlineStr">
        <is>
          <t>Financial</t>
        </is>
      </c>
      <c r="E19" s="6" t="inlineStr">
        <is>
          <t>Debt/Equity</t>
        </is>
      </c>
      <c r="F19" s="6" t="n">
        <v>0.3</v>
      </c>
      <c r="G19" s="6" t="inlineStr">
        <is>
          <t>x</t>
        </is>
      </c>
      <c r="H19" s="6" t="n">
        <v>10</v>
      </c>
      <c r="I19" s="6" t="inlineStr">
        <is>
          <t>Rasio Liabilitas thd Jumlah Ekuitas (x) 0.3</t>
        </is>
      </c>
      <c r="J19" s="6" t="inlineStr">
        <is>
          <t>High</t>
        </is>
      </c>
      <c r="K19" s="6" t="n"/>
      <c r="L19" s="6" t="n"/>
      <c r="M19" s="7" t="inlineStr">
        <is>
          <t>LLM</t>
        </is>
      </c>
      <c r="N19" s="7" t="inlineStr">
        <is>
          <t>2026-04-18</t>
        </is>
      </c>
      <c r="O19" s="7" t="inlineStr">
        <is>
          <t>AI</t>
        </is>
      </c>
      <c r="P19" s="7" t="n"/>
      <c r="Q19" s="7" t="n"/>
    </row>
    <row r="20" ht="15" customHeight="1" s="67">
      <c r="A20" s="6" t="inlineStr">
        <is>
          <t>PT Astra Agro Lestari Tbk</t>
        </is>
      </c>
      <c r="B20" s="6" t="inlineStr">
        <is>
          <t>AALI_2023_AR.pdf</t>
        </is>
      </c>
      <c r="C20" s="6" t="n">
        <v>2023</v>
      </c>
      <c r="D20" s="6" t="inlineStr">
        <is>
          <t>Financial</t>
        </is>
      </c>
      <c r="E20" s="6" t="inlineStr">
        <is>
          <t>ROA</t>
        </is>
      </c>
      <c r="F20" s="6" t="n">
        <v>0.04</v>
      </c>
      <c r="G20" s="6" t="inlineStr">
        <is>
          <t>%</t>
        </is>
      </c>
      <c r="H20" s="6" t="n">
        <v>10</v>
      </c>
      <c r="I20" s="6" t="inlineStr">
        <is>
          <t>Laba Bersih terhadap Aset 4%</t>
        </is>
      </c>
      <c r="J20" s="6" t="inlineStr">
        <is>
          <t>High</t>
        </is>
      </c>
      <c r="K20" s="6" t="n"/>
      <c r="L20" s="6" t="n"/>
      <c r="M20" s="7" t="inlineStr">
        <is>
          <t>LLM</t>
        </is>
      </c>
      <c r="N20" s="7" t="inlineStr">
        <is>
          <t>2026-04-18</t>
        </is>
      </c>
      <c r="O20" s="7" t="inlineStr">
        <is>
          <t>AI</t>
        </is>
      </c>
      <c r="P20" s="7" t="n"/>
      <c r="Q20" s="7" t="n"/>
    </row>
    <row r="21" ht="15" customHeight="1" s="67">
      <c r="A21" s="6" t="inlineStr">
        <is>
          <t>PT Astra Agro Lestari Tbk</t>
        </is>
      </c>
      <c r="B21" s="6" t="inlineStr">
        <is>
          <t>AALI_2023_AR.pdf</t>
        </is>
      </c>
      <c r="C21" s="6" t="n">
        <v>2023</v>
      </c>
      <c r="D21" s="6" t="inlineStr">
        <is>
          <t>Financial</t>
        </is>
      </c>
      <c r="E21" s="6" t="inlineStr">
        <is>
          <t>ROE</t>
        </is>
      </c>
      <c r="F21" s="6" t="n">
        <v>0.05</v>
      </c>
      <c r="G21" s="6" t="inlineStr">
        <is>
          <t>%</t>
        </is>
      </c>
      <c r="H21" s="6" t="n">
        <v>10</v>
      </c>
      <c r="I21" s="6" t="inlineStr">
        <is>
          <t>Laba Bersih terhadap Ekuitas 5%</t>
        </is>
      </c>
      <c r="J21" s="6" t="inlineStr">
        <is>
          <t>High</t>
        </is>
      </c>
      <c r="K21" s="6" t="n"/>
      <c r="L21" s="6" t="n"/>
      <c r="M21" s="7" t="inlineStr">
        <is>
          <t>LLM</t>
        </is>
      </c>
      <c r="N21" s="7" t="inlineStr">
        <is>
          <t>2026-04-18</t>
        </is>
      </c>
      <c r="O21" s="7" t="inlineStr">
        <is>
          <t>AI</t>
        </is>
      </c>
      <c r="P21" s="7" t="n"/>
      <c r="Q21" s="7" t="n"/>
    </row>
    <row r="22" ht="15" customHeight="1" s="67">
      <c r="A22" s="6" t="inlineStr">
        <is>
          <t>PT Astra Agro Lestari Tbk</t>
        </is>
      </c>
      <c r="B22" s="6" t="inlineStr">
        <is>
          <t>AALI_2023_AR.pdf</t>
        </is>
      </c>
      <c r="C22" s="6" t="n">
        <v>2023</v>
      </c>
      <c r="D22" s="6" t="inlineStr">
        <is>
          <t>Financial</t>
        </is>
      </c>
      <c r="E22" s="6" t="inlineStr">
        <is>
          <t>Net Margin</t>
        </is>
      </c>
      <c r="F22" s="6" t="n">
        <v>0.05</v>
      </c>
      <c r="G22" s="6" t="inlineStr">
        <is>
          <t>%</t>
        </is>
      </c>
      <c r="H22" s="6" t="n">
        <v>10</v>
      </c>
      <c r="I22" s="6" t="inlineStr">
        <is>
          <t>Margin Laba Bersih 5%</t>
        </is>
      </c>
      <c r="J22" s="6" t="inlineStr">
        <is>
          <t>High</t>
        </is>
      </c>
      <c r="K22" s="6" t="n"/>
      <c r="L22" s="6" t="n"/>
      <c r="M22" s="7" t="inlineStr">
        <is>
          <t>LLM</t>
        </is>
      </c>
      <c r="N22" s="7" t="inlineStr">
        <is>
          <t>2026-04-18</t>
        </is>
      </c>
      <c r="O22" s="7" t="inlineStr">
        <is>
          <t>AI</t>
        </is>
      </c>
      <c r="P22" s="7" t="n"/>
      <c r="Q22" s="7" t="n"/>
    </row>
    <row r="23" ht="15" customHeight="1" s="67">
      <c r="A23" s="6" t="inlineStr">
        <is>
          <t>PT Astra Agro Lestari Tbk</t>
        </is>
      </c>
      <c r="B23" s="6" t="inlineStr">
        <is>
          <t>AALI_2023_AR.pdf</t>
        </is>
      </c>
      <c r="C23" s="6" t="n">
        <v>2023</v>
      </c>
      <c r="D23" s="6" t="inlineStr">
        <is>
          <t>Financial</t>
        </is>
      </c>
      <c r="E23" s="6" t="inlineStr">
        <is>
          <t>Gross Margin</t>
        </is>
      </c>
      <c r="F23" s="6" t="n">
        <v>0.13</v>
      </c>
      <c r="G23" s="6" t="inlineStr">
        <is>
          <t>%</t>
        </is>
      </c>
      <c r="H23" s="6" t="n">
        <v>10</v>
      </c>
      <c r="I23" s="6" t="inlineStr">
        <is>
          <t>Margin Laba Kotor 13%</t>
        </is>
      </c>
      <c r="J23" s="6" t="inlineStr">
        <is>
          <t>High</t>
        </is>
      </c>
      <c r="K23" s="6" t="n"/>
      <c r="L23" s="6" t="n"/>
      <c r="M23" s="7" t="inlineStr">
        <is>
          <t>LLM</t>
        </is>
      </c>
      <c r="N23" s="7" t="inlineStr">
        <is>
          <t>2026-04-18</t>
        </is>
      </c>
      <c r="O23" s="7" t="inlineStr">
        <is>
          <t>AI</t>
        </is>
      </c>
      <c r="P23" s="7" t="n"/>
      <c r="Q23" s="7" t="n"/>
    </row>
    <row r="24" ht="15" customHeight="1" s="67">
      <c r="A24" s="6" t="inlineStr">
        <is>
          <t>PT Astra Agro Lestari Tbk</t>
        </is>
      </c>
      <c r="B24" s="6" t="inlineStr">
        <is>
          <t>AALI_2023_AR.pdf</t>
        </is>
      </c>
      <c r="C24" s="6" t="n">
        <v>2023</v>
      </c>
      <c r="D24" s="6" t="inlineStr">
        <is>
          <t>Financial</t>
        </is>
      </c>
      <c r="E24" s="6" t="inlineStr">
        <is>
          <t>Shares Outstanding</t>
        </is>
      </c>
      <c r="F24" s="6" t="n">
        <v>1925</v>
      </c>
      <c r="G24" s="6" t="inlineStr">
        <is>
          <t>million</t>
        </is>
      </c>
      <c r="H24" s="6" t="n">
        <v>10</v>
      </c>
      <c r="I24" s="6" t="inlineStr">
        <is>
          <t>Saham Beredar (dalam Jutaan) 1,925</t>
        </is>
      </c>
      <c r="J24" s="6" t="inlineStr">
        <is>
          <t>High</t>
        </is>
      </c>
      <c r="K24" s="6" t="n"/>
      <c r="L24" s="6" t="n"/>
      <c r="M24" s="7" t="inlineStr">
        <is>
          <t>LLM</t>
        </is>
      </c>
      <c r="N24" s="7" t="inlineStr">
        <is>
          <t>2026-04-18</t>
        </is>
      </c>
      <c r="O24" s="7" t="inlineStr">
        <is>
          <t>AI</t>
        </is>
      </c>
      <c r="P24" s="7" t="n"/>
      <c r="Q24" s="7" t="n"/>
    </row>
    <row r="25" ht="15" customHeight="1" s="67">
      <c r="A25" s="6" t="inlineStr">
        <is>
          <t>PT Astra Agro Lestari Tbk</t>
        </is>
      </c>
      <c r="B25" s="6" t="inlineStr">
        <is>
          <t>AALI_2023_AR.pdf</t>
        </is>
      </c>
      <c r="C25" s="6" t="n">
        <v>2023</v>
      </c>
      <c r="D25" s="6" t="inlineStr">
        <is>
          <t>Financial</t>
        </is>
      </c>
      <c r="E25" s="6" t="inlineStr">
        <is>
          <t>EPS</t>
        </is>
      </c>
      <c r="F25" s="6" t="n">
        <v>549</v>
      </c>
      <c r="G25" s="6" t="inlineStr">
        <is>
          <t>Rp/share</t>
        </is>
      </c>
      <c r="H25" s="6" t="n">
        <v>10</v>
      </c>
      <c r="I25" s="6" t="inlineStr">
        <is>
          <t>Laba per Saham (Rp penuh) 549</t>
        </is>
      </c>
      <c r="J25" s="6" t="inlineStr">
        <is>
          <t>High</t>
        </is>
      </c>
      <c r="K25" s="6" t="n"/>
      <c r="L25" s="6" t="n"/>
      <c r="M25" s="7" t="inlineStr">
        <is>
          <t>LLM</t>
        </is>
      </c>
      <c r="N25" s="7" t="inlineStr">
        <is>
          <t>2026-04-18</t>
        </is>
      </c>
      <c r="O25" s="7" t="inlineStr">
        <is>
          <t>AI</t>
        </is>
      </c>
      <c r="P25" s="7" t="n"/>
      <c r="Q25" s="7" t="n"/>
    </row>
    <row r="26" ht="15" customHeight="1" s="67">
      <c r="A26" s="6" t="inlineStr">
        <is>
          <t>PT Astra Agro Lestari Tbk</t>
        </is>
      </c>
      <c r="B26" s="6" t="inlineStr">
        <is>
          <t>AALI_2023_AR.pdf</t>
        </is>
      </c>
      <c r="C26" s="6" t="n">
        <v>2023</v>
      </c>
      <c r="D26" s="6" t="inlineStr">
        <is>
          <t>Financial</t>
        </is>
      </c>
      <c r="E26" s="6" t="inlineStr">
        <is>
          <t>NAV per Share</t>
        </is>
      </c>
      <c r="F26" s="6" t="n">
        <v>11724</v>
      </c>
      <c r="G26" s="6" t="inlineStr">
        <is>
          <t>Rp/share</t>
        </is>
      </c>
      <c r="H26" s="6" t="n">
        <v>10</v>
      </c>
      <c r="I26" s="6" t="inlineStr">
        <is>
          <t>Nilai Aset Bersih per Saham 11,724</t>
        </is>
      </c>
      <c r="J26" s="6" t="inlineStr">
        <is>
          <t>High</t>
        </is>
      </c>
      <c r="K26" s="6" t="n"/>
      <c r="L26" s="6" t="n"/>
      <c r="M26" s="7" t="inlineStr">
        <is>
          <t>LLM</t>
        </is>
      </c>
      <c r="N26" s="7" t="inlineStr">
        <is>
          <t>2026-04-18</t>
        </is>
      </c>
      <c r="O26" s="7" t="inlineStr">
        <is>
          <t>AI</t>
        </is>
      </c>
      <c r="P26" s="7" t="n"/>
      <c r="Q26" s="7" t="n"/>
    </row>
    <row r="27" ht="15" customHeight="1" s="67">
      <c r="A27" s="6" t="inlineStr">
        <is>
          <t>PT Astra Agro Lestari Tbk</t>
        </is>
      </c>
      <c r="B27" s="6" t="inlineStr">
        <is>
          <t>AALI_2023_AR.pdf</t>
        </is>
      </c>
      <c r="C27" s="6" t="n">
        <v>2023</v>
      </c>
      <c r="D27" s="6" t="inlineStr">
        <is>
          <t>Financial</t>
        </is>
      </c>
      <c r="E27" s="6" t="inlineStr">
        <is>
          <t>Interim DPS</t>
        </is>
      </c>
      <c r="F27" s="6" t="n">
        <v>82</v>
      </c>
      <c r="G27" s="6" t="inlineStr">
        <is>
          <t>Rp/share</t>
        </is>
      </c>
      <c r="H27" s="6" t="n">
        <v>10</v>
      </c>
      <c r="I27" s="6" t="inlineStr">
        <is>
          <t>Dividen Interim per Saham 82</t>
        </is>
      </c>
      <c r="J27" s="6" t="inlineStr">
        <is>
          <t>High</t>
        </is>
      </c>
      <c r="K27" s="6" t="n"/>
      <c r="L27" s="6" t="n"/>
      <c r="M27" s="7" t="inlineStr">
        <is>
          <t>LLM</t>
        </is>
      </c>
      <c r="N27" s="7" t="inlineStr">
        <is>
          <t>2026-04-18</t>
        </is>
      </c>
      <c r="O27" s="7" t="inlineStr">
        <is>
          <t>AI</t>
        </is>
      </c>
      <c r="P27" s="7" t="n"/>
      <c r="Q27" s="7" t="n"/>
    </row>
    <row r="28" ht="15" customHeight="1" s="67">
      <c r="A28" s="6" t="inlineStr">
        <is>
          <t>PT Astra Agro Lestari Tbk</t>
        </is>
      </c>
      <c r="B28" s="6" t="inlineStr">
        <is>
          <t>AALI_2023_AR.pdf</t>
        </is>
      </c>
      <c r="C28" s="6" t="n">
        <v>2023</v>
      </c>
      <c r="D28" s="6" t="inlineStr">
        <is>
          <t>Financial</t>
        </is>
      </c>
      <c r="E28" s="6" t="inlineStr">
        <is>
          <t>Final DPS</t>
        </is>
      </c>
      <c r="F28" s="6" t="n">
        <v>319</v>
      </c>
      <c r="G28" s="6" t="inlineStr">
        <is>
          <t>Rp/share</t>
        </is>
      </c>
      <c r="H28" s="6" t="n">
        <v>10</v>
      </c>
      <c r="I28" s="6" t="inlineStr">
        <is>
          <t>Dividen Final per Saham 319</t>
        </is>
      </c>
      <c r="J28" s="6" t="inlineStr">
        <is>
          <t>High</t>
        </is>
      </c>
      <c r="K28" s="6" t="n"/>
      <c r="L28" s="6" t="n"/>
      <c r="M28" s="7" t="inlineStr">
        <is>
          <t>LLM</t>
        </is>
      </c>
      <c r="N28" s="7" t="inlineStr">
        <is>
          <t>2026-04-18</t>
        </is>
      </c>
      <c r="O28" s="7" t="inlineStr">
        <is>
          <t>AI</t>
        </is>
      </c>
      <c r="P28" s="7" t="n"/>
      <c r="Q28" s="7" t="n"/>
    </row>
    <row r="29" ht="15" customHeight="1" s="67">
      <c r="A29" s="6" t="inlineStr">
        <is>
          <t>PT Astra Agro Lestari Tbk</t>
        </is>
      </c>
      <c r="B29" s="6" t="inlineStr">
        <is>
          <t>AALI_2023_AR.pdf</t>
        </is>
      </c>
      <c r="C29" s="6" t="n">
        <v>2023</v>
      </c>
      <c r="D29" s="6" t="inlineStr">
        <is>
          <t>Financial</t>
        </is>
      </c>
      <c r="E29" s="6" t="inlineStr">
        <is>
          <t>Closing Price</t>
        </is>
      </c>
      <c r="F29" s="6" t="n">
        <v>7025</v>
      </c>
      <c r="G29" s="6" t="inlineStr">
        <is>
          <t>Rp/share</t>
        </is>
      </c>
      <c r="H29" s="6" t="n">
        <v>12</v>
      </c>
      <c r="I29" s="6" t="inlineStr">
        <is>
          <t>Harga Penutup 2023 Q4 7,025</t>
        </is>
      </c>
      <c r="J29" s="6" t="inlineStr">
        <is>
          <t>High</t>
        </is>
      </c>
      <c r="K29" s="6" t="n"/>
      <c r="L29" s="6" t="n"/>
      <c r="M29" s="7" t="inlineStr">
        <is>
          <t>LLM</t>
        </is>
      </c>
      <c r="N29" s="7" t="inlineStr">
        <is>
          <t>2026-04-18</t>
        </is>
      </c>
      <c r="O29" s="7" t="inlineStr">
        <is>
          <t>AI</t>
        </is>
      </c>
      <c r="P29" s="7" t="n"/>
      <c r="Q29" s="7" t="n"/>
    </row>
    <row r="30" ht="15" customHeight="1" s="67">
      <c r="A30" s="6" t="inlineStr">
        <is>
          <t>PT Astra Agro Lestari Tbk</t>
        </is>
      </c>
      <c r="B30" s="6" t="inlineStr">
        <is>
          <t>AALI_2023_AR.pdf</t>
        </is>
      </c>
      <c r="C30" s="6" t="n">
        <v>2023</v>
      </c>
      <c r="D30" s="6" t="inlineStr">
        <is>
          <t>Financial</t>
        </is>
      </c>
      <c r="E30" s="6" t="inlineStr">
        <is>
          <t>Market Cap</t>
        </is>
      </c>
      <c r="F30" s="6" t="n">
        <v>13520</v>
      </c>
      <c r="G30" s="6" t="inlineStr">
        <is>
          <t>IDR bn</t>
        </is>
      </c>
      <c r="H30" s="6" t="n">
        <v>12</v>
      </c>
      <c r="I30" s="6" t="inlineStr">
        <is>
          <t>Kapitalisasi Pasar 31 Des 2023 13.52 Rp triliun</t>
        </is>
      </c>
      <c r="J30" s="6" t="inlineStr">
        <is>
          <t>High</t>
        </is>
      </c>
      <c r="K30" s="6" t="n"/>
      <c r="L30" s="6" t="n"/>
      <c r="M30" s="7" t="inlineStr">
        <is>
          <t>LLM</t>
        </is>
      </c>
      <c r="N30" s="7" t="inlineStr">
        <is>
          <t>2026-04-18</t>
        </is>
      </c>
      <c r="O30" s="7" t="inlineStr">
        <is>
          <t>AI</t>
        </is>
      </c>
      <c r="P30" s="7" t="n"/>
      <c r="Q30" s="7" t="n"/>
    </row>
    <row r="31" ht="15" customHeight="1" s="67">
      <c r="A31" s="6" t="inlineStr">
        <is>
          <t>PT Astra Agro Lestari Tbk</t>
        </is>
      </c>
      <c r="B31" s="6" t="inlineStr">
        <is>
          <t>AALI_2023_AR.pdf</t>
        </is>
      </c>
      <c r="C31" s="6" t="n">
        <v>2023</v>
      </c>
      <c r="D31" s="6" t="inlineStr">
        <is>
          <t>Asset</t>
        </is>
      </c>
      <c r="E31" s="6" t="inlineStr">
        <is>
          <t>Planted Area Total</t>
        </is>
      </c>
      <c r="F31" s="6" t="n">
        <v>285387</v>
      </c>
      <c r="G31" s="6" t="inlineStr">
        <is>
          <t>ha</t>
        </is>
      </c>
      <c r="H31" s="6" t="n">
        <v>13</v>
      </c>
      <c r="I31" s="6" t="inlineStr">
        <is>
          <t>Total Lahan Tertanam 285,387</t>
        </is>
      </c>
      <c r="J31" s="6" t="inlineStr">
        <is>
          <t>High</t>
        </is>
      </c>
      <c r="K31" s="6" t="n"/>
      <c r="L31" s="6" t="n"/>
      <c r="M31" s="7" t="inlineStr">
        <is>
          <t>LLM</t>
        </is>
      </c>
      <c r="N31" s="7" t="inlineStr">
        <is>
          <t>2026-04-18</t>
        </is>
      </c>
      <c r="O31" s="7" t="inlineStr">
        <is>
          <t>AI</t>
        </is>
      </c>
      <c r="P31" s="7" t="n"/>
      <c r="Q31" s="7" t="n"/>
    </row>
    <row r="32" ht="15" customHeight="1" s="67">
      <c r="A32" s="6" t="inlineStr">
        <is>
          <t>PT Astra Agro Lestari Tbk</t>
        </is>
      </c>
      <c r="B32" s="6" t="inlineStr">
        <is>
          <t>AALI_2023_AR.pdf</t>
        </is>
      </c>
      <c r="C32" s="6" t="n">
        <v>2023</v>
      </c>
      <c r="D32" s="6" t="inlineStr">
        <is>
          <t>Asset</t>
        </is>
      </c>
      <c r="E32" s="6" t="inlineStr">
        <is>
          <t>Nucleus Area</t>
        </is>
      </c>
      <c r="F32" s="6" t="n">
        <v>213158</v>
      </c>
      <c r="G32" s="6" t="inlineStr">
        <is>
          <t>ha</t>
        </is>
      </c>
      <c r="H32" s="6" t="n">
        <v>13</v>
      </c>
      <c r="I32" s="6" t="inlineStr">
        <is>
          <t>Lahan Inti 213,158</t>
        </is>
      </c>
      <c r="J32" s="6" t="inlineStr">
        <is>
          <t>High</t>
        </is>
      </c>
      <c r="K32" s="6" t="n"/>
      <c r="L32" s="6" t="n"/>
      <c r="M32" s="7" t="inlineStr">
        <is>
          <t>LLM</t>
        </is>
      </c>
      <c r="N32" s="7" t="inlineStr">
        <is>
          <t>2026-04-18</t>
        </is>
      </c>
      <c r="O32" s="7" t="inlineStr">
        <is>
          <t>AI</t>
        </is>
      </c>
      <c r="P32" s="7" t="n"/>
      <c r="Q32" s="7" t="n"/>
    </row>
    <row r="33" ht="15" customHeight="1" s="67">
      <c r="A33" s="6" t="inlineStr">
        <is>
          <t>PT Astra Agro Lestari Tbk</t>
        </is>
      </c>
      <c r="B33" s="6" t="inlineStr">
        <is>
          <t>AALI_2023_AR.pdf</t>
        </is>
      </c>
      <c r="C33" s="6" t="n">
        <v>2023</v>
      </c>
      <c r="D33" s="6" t="inlineStr">
        <is>
          <t>Asset</t>
        </is>
      </c>
      <c r="E33" s="6" t="inlineStr">
        <is>
          <t>Plasma Area</t>
        </is>
      </c>
      <c r="F33" s="6" t="n">
        <v>72229</v>
      </c>
      <c r="G33" s="6" t="inlineStr">
        <is>
          <t>ha</t>
        </is>
      </c>
      <c r="H33" s="6" t="n">
        <v>13</v>
      </c>
      <c r="I33" s="6" t="inlineStr">
        <is>
          <t>Lahan Plasma 72,229</t>
        </is>
      </c>
      <c r="J33" s="6" t="inlineStr">
        <is>
          <t>High</t>
        </is>
      </c>
      <c r="K33" s="6" t="n"/>
      <c r="L33" s="6" t="n"/>
      <c r="M33" s="7" t="inlineStr">
        <is>
          <t>LLM</t>
        </is>
      </c>
      <c r="N33" s="7" t="inlineStr">
        <is>
          <t>2026-04-18</t>
        </is>
      </c>
      <c r="O33" s="7" t="inlineStr">
        <is>
          <t>AI</t>
        </is>
      </c>
      <c r="P33" s="7" t="n"/>
      <c r="Q33" s="7" t="n"/>
    </row>
    <row r="34" ht="15" customHeight="1" s="67">
      <c r="A34" s="6" t="inlineStr">
        <is>
          <t>PT Astra Agro Lestari Tbk</t>
        </is>
      </c>
      <c r="B34" s="6" t="inlineStr">
        <is>
          <t>AALI_2023_AR.pdf</t>
        </is>
      </c>
      <c r="C34" s="6" t="n">
        <v>2023</v>
      </c>
      <c r="D34" s="6" t="inlineStr">
        <is>
          <t>Asset</t>
        </is>
      </c>
      <c r="E34" s="6" t="inlineStr">
        <is>
          <t>Mature Area (Total)</t>
        </is>
      </c>
      <c r="F34" s="6" t="n">
        <v>265518</v>
      </c>
      <c r="G34" s="6" t="inlineStr">
        <is>
          <t>ha</t>
        </is>
      </c>
      <c r="H34" s="6" t="n">
        <v>13</v>
      </c>
      <c r="I34" s="6" t="inlineStr">
        <is>
          <t>Menghasilkan 265,518</t>
        </is>
      </c>
      <c r="J34" s="6" t="inlineStr">
        <is>
          <t>High</t>
        </is>
      </c>
      <c r="K34" s="6" t="n"/>
      <c r="L34" s="6" t="n"/>
      <c r="M34" s="7" t="inlineStr">
        <is>
          <t>LLM</t>
        </is>
      </c>
      <c r="N34" s="7" t="inlineStr">
        <is>
          <t>2026-04-18</t>
        </is>
      </c>
      <c r="O34" s="7" t="inlineStr">
        <is>
          <t>AI</t>
        </is>
      </c>
      <c r="P34" s="7" t="n"/>
      <c r="Q34" s="7" t="n"/>
    </row>
    <row r="35" ht="15" customHeight="1" s="67">
      <c r="A35" s="6" t="inlineStr">
        <is>
          <t>PT Astra Agro Lestari Tbk</t>
        </is>
      </c>
      <c r="B35" s="6" t="inlineStr">
        <is>
          <t>AALI_2023_AR.pdf</t>
        </is>
      </c>
      <c r="C35" s="6" t="n">
        <v>2023</v>
      </c>
      <c r="D35" s="6" t="inlineStr">
        <is>
          <t>Asset</t>
        </is>
      </c>
      <c r="E35" s="6" t="inlineStr">
        <is>
          <t>Immature Area (Total)</t>
        </is>
      </c>
      <c r="F35" s="6" t="n">
        <v>19869</v>
      </c>
      <c r="G35" s="6" t="inlineStr">
        <is>
          <t>ha</t>
        </is>
      </c>
      <c r="H35" s="6" t="n">
        <v>13</v>
      </c>
      <c r="I35" s="6" t="inlineStr">
        <is>
          <t>Belum Menghasilkan 19,869</t>
        </is>
      </c>
      <c r="J35" s="6" t="inlineStr">
        <is>
          <t>High</t>
        </is>
      </c>
      <c r="K35" s="6" t="n"/>
      <c r="L35" s="6" t="n"/>
      <c r="M35" s="7" t="inlineStr">
        <is>
          <t>LLM</t>
        </is>
      </c>
      <c r="N35" s="7" t="inlineStr">
        <is>
          <t>2026-04-18</t>
        </is>
      </c>
      <c r="O35" s="7" t="inlineStr">
        <is>
          <t>AI</t>
        </is>
      </c>
      <c r="P35" s="7" t="n"/>
      <c r="Q35" s="7" t="n"/>
    </row>
    <row r="36" ht="15" customHeight="1" s="67">
      <c r="A36" s="6" t="inlineStr">
        <is>
          <t>PT Astra Agro Lestari Tbk</t>
        </is>
      </c>
      <c r="B36" s="6" t="inlineStr">
        <is>
          <t>AALI_2023_AR.pdf</t>
        </is>
      </c>
      <c r="C36" s="6" t="n">
        <v>2023</v>
      </c>
      <c r="D36" s="6" t="inlineStr">
        <is>
          <t>Asset</t>
        </is>
      </c>
      <c r="E36" s="6" t="inlineStr">
        <is>
          <t>Productive Age Area (4-15y)</t>
        </is>
      </c>
      <c r="F36" s="6" t="n">
        <v>102319</v>
      </c>
      <c r="G36" s="6" t="inlineStr">
        <is>
          <t>ha</t>
        </is>
      </c>
      <c r="H36" s="6" t="n">
        <v>13</v>
      </c>
      <c r="I36" s="6" t="inlineStr">
        <is>
          <t>Tanaman Produktif 102,319</t>
        </is>
      </c>
      <c r="J36" s="6" t="inlineStr">
        <is>
          <t>High</t>
        </is>
      </c>
      <c r="K36" s="6" t="n"/>
      <c r="L36" s="6" t="n"/>
      <c r="M36" s="7" t="inlineStr">
        <is>
          <t>LLM</t>
        </is>
      </c>
      <c r="N36" s="7" t="inlineStr">
        <is>
          <t>2026-04-18</t>
        </is>
      </c>
      <c r="O36" s="7" t="inlineStr">
        <is>
          <t>AI</t>
        </is>
      </c>
      <c r="P36" s="7" t="n"/>
      <c r="Q36" s="7" t="n"/>
    </row>
    <row r="37" ht="15" customHeight="1" s="67">
      <c r="A37" s="6" t="inlineStr">
        <is>
          <t>PT Astra Agro Lestari Tbk</t>
        </is>
      </c>
      <c r="B37" s="6" t="inlineStr">
        <is>
          <t>AALI_2023_AR.pdf</t>
        </is>
      </c>
      <c r="C37" s="6" t="n">
        <v>2023</v>
      </c>
      <c r="D37" s="6" t="inlineStr">
        <is>
          <t>Asset</t>
        </is>
      </c>
      <c r="E37" s="6" t="inlineStr">
        <is>
          <t>Old Age Area (&gt;15y)</t>
        </is>
      </c>
      <c r="F37" s="6" t="n">
        <v>163199</v>
      </c>
      <c r="G37" s="6" t="inlineStr">
        <is>
          <t>ha</t>
        </is>
      </c>
      <c r="H37" s="6" t="n">
        <v>13</v>
      </c>
      <c r="I37" s="6" t="inlineStr">
        <is>
          <t>Tanaman Tua 163,199</t>
        </is>
      </c>
      <c r="J37" s="6" t="inlineStr">
        <is>
          <t>High</t>
        </is>
      </c>
      <c r="K37" s="6" t="n"/>
      <c r="L37" s="6" t="n"/>
      <c r="M37" s="7" t="inlineStr">
        <is>
          <t>LLM</t>
        </is>
      </c>
      <c r="N37" s="7" t="inlineStr">
        <is>
          <t>2026-04-18</t>
        </is>
      </c>
      <c r="O37" s="7" t="inlineStr">
        <is>
          <t>AI</t>
        </is>
      </c>
      <c r="P37" s="7" t="n"/>
      <c r="Q37" s="7" t="n"/>
    </row>
    <row r="38" ht="15" customHeight="1" s="67">
      <c r="A38" s="6" t="inlineStr">
        <is>
          <t>PT Astra Agro Lestari Tbk</t>
        </is>
      </c>
      <c r="B38" s="6" t="inlineStr">
        <is>
          <t>AALI_2023_AR.pdf</t>
        </is>
      </c>
      <c r="C38" s="6" t="n">
        <v>2023</v>
      </c>
      <c r="D38" s="6" t="inlineStr">
        <is>
          <t>Asset</t>
        </is>
      </c>
      <c r="E38" s="6" t="inlineStr">
        <is>
          <t>Average Tree Age</t>
        </is>
      </c>
      <c r="F38" s="6" t="n">
        <v>16.2</v>
      </c>
      <c r="G38" s="6" t="inlineStr">
        <is>
          <t>years</t>
        </is>
      </c>
      <c r="H38" s="6" t="n">
        <v>13</v>
      </c>
      <c r="I38" s="6" t="inlineStr">
        <is>
          <t>Umur Rata-Rata 16.2</t>
        </is>
      </c>
      <c r="J38" s="6" t="inlineStr">
        <is>
          <t>High</t>
        </is>
      </c>
      <c r="K38" s="6" t="n"/>
      <c r="L38" s="6" t="n"/>
      <c r="M38" s="7" t="inlineStr">
        <is>
          <t>LLM</t>
        </is>
      </c>
      <c r="N38" s="7" t="inlineStr">
        <is>
          <t>2026-04-18</t>
        </is>
      </c>
      <c r="O38" s="7" t="inlineStr">
        <is>
          <t>AI</t>
        </is>
      </c>
      <c r="P38" s="7" t="n"/>
      <c r="Q38" s="7" t="n"/>
    </row>
    <row r="39" ht="15" customHeight="1" s="67">
      <c r="A39" s="6" t="inlineStr">
        <is>
          <t>PT Astra Agro Lestari Tbk</t>
        </is>
      </c>
      <c r="B39" s="6" t="inlineStr">
        <is>
          <t>AALI_2023_AR.pdf</t>
        </is>
      </c>
      <c r="C39" s="6" t="n">
        <v>2023</v>
      </c>
      <c r="D39" s="6" t="inlineStr">
        <is>
          <t>Asset</t>
        </is>
      </c>
      <c r="E39" s="6" t="inlineStr">
        <is>
          <t>Sumatra Area</t>
        </is>
      </c>
      <c r="F39" s="6" t="n">
        <v>105300</v>
      </c>
      <c r="G39" s="6" t="inlineStr">
        <is>
          <t>ha</t>
        </is>
      </c>
      <c r="H39" s="6" t="n">
        <v>13</v>
      </c>
      <c r="I39" s="6" t="inlineStr">
        <is>
          <t>Sumatra 105,300</t>
        </is>
      </c>
      <c r="J39" s="6" t="inlineStr">
        <is>
          <t>High</t>
        </is>
      </c>
      <c r="K39" s="6" t="n"/>
      <c r="L39" s="6" t="n"/>
      <c r="M39" s="7" t="inlineStr">
        <is>
          <t>LLM</t>
        </is>
      </c>
      <c r="N39" s="7" t="inlineStr">
        <is>
          <t>2026-04-18</t>
        </is>
      </c>
      <c r="O39" s="7" t="inlineStr">
        <is>
          <t>AI</t>
        </is>
      </c>
      <c r="P39" s="7" t="n"/>
      <c r="Q39" s="7" t="n"/>
    </row>
    <row r="40" ht="15" customHeight="1" s="67">
      <c r="A40" s="6" t="inlineStr">
        <is>
          <t>PT Astra Agro Lestari Tbk</t>
        </is>
      </c>
      <c r="B40" s="6" t="inlineStr">
        <is>
          <t>AALI_2023_AR.pdf</t>
        </is>
      </c>
      <c r="C40" s="6" t="n">
        <v>2023</v>
      </c>
      <c r="D40" s="6" t="inlineStr">
        <is>
          <t>Asset</t>
        </is>
      </c>
      <c r="E40" s="6" t="inlineStr">
        <is>
          <t>Kalimantan Area</t>
        </is>
      </c>
      <c r="F40" s="6" t="n">
        <v>129804</v>
      </c>
      <c r="G40" s="6" t="inlineStr">
        <is>
          <t>ha</t>
        </is>
      </c>
      <c r="H40" s="6" t="n">
        <v>13</v>
      </c>
      <c r="I40" s="6" t="inlineStr">
        <is>
          <t>Kalimantan 129,804</t>
        </is>
      </c>
      <c r="J40" s="6" t="inlineStr">
        <is>
          <t>High</t>
        </is>
      </c>
      <c r="K40" s="6" t="n"/>
      <c r="L40" s="6" t="n"/>
      <c r="M40" s="7" t="inlineStr">
        <is>
          <t>LLM</t>
        </is>
      </c>
      <c r="N40" s="7" t="inlineStr">
        <is>
          <t>2026-04-18</t>
        </is>
      </c>
      <c r="O40" s="7" t="inlineStr">
        <is>
          <t>AI</t>
        </is>
      </c>
      <c r="P40" s="7" t="n"/>
      <c r="Q40" s="7" t="n"/>
    </row>
    <row r="41" ht="15" customHeight="1" s="67">
      <c r="A41" s="6" t="inlineStr">
        <is>
          <t>PT Astra Agro Lestari Tbk</t>
        </is>
      </c>
      <c r="B41" s="6" t="inlineStr">
        <is>
          <t>AALI_2023_AR.pdf</t>
        </is>
      </c>
      <c r="C41" s="6" t="n">
        <v>2023</v>
      </c>
      <c r="D41" s="6" t="inlineStr">
        <is>
          <t>Asset</t>
        </is>
      </c>
      <c r="E41" s="6" t="inlineStr">
        <is>
          <t>Sulawesi Area</t>
        </is>
      </c>
      <c r="F41" s="6" t="n">
        <v>50283</v>
      </c>
      <c r="G41" s="6" t="inlineStr">
        <is>
          <t>ha</t>
        </is>
      </c>
      <c r="H41" s="6" t="n">
        <v>13</v>
      </c>
      <c r="I41" s="6" t="inlineStr">
        <is>
          <t>Sulawesi 50,283</t>
        </is>
      </c>
      <c r="J41" s="6" t="inlineStr">
        <is>
          <t>High</t>
        </is>
      </c>
      <c r="K41" s="6" t="n"/>
      <c r="L41" s="6" t="n"/>
      <c r="M41" s="7" t="inlineStr">
        <is>
          <t>LLM</t>
        </is>
      </c>
      <c r="N41" s="7" t="inlineStr">
        <is>
          <t>2026-04-18</t>
        </is>
      </c>
      <c r="O41" s="7" t="inlineStr">
        <is>
          <t>AI</t>
        </is>
      </c>
      <c r="P41" s="7" t="n"/>
      <c r="Q41" s="7" t="n"/>
    </row>
    <row r="42" ht="15" customHeight="1" s="67">
      <c r="A42" s="6" t="inlineStr">
        <is>
          <t>PT Astra Agro Lestari Tbk</t>
        </is>
      </c>
      <c r="B42" s="6" t="inlineStr">
        <is>
          <t>AALI_2023_AR.pdf</t>
        </is>
      </c>
      <c r="C42" s="6" t="n">
        <v>2023</v>
      </c>
      <c r="D42" s="6" t="inlineStr">
        <is>
          <t>Asset</t>
        </is>
      </c>
      <c r="E42" s="6" t="inlineStr">
        <is>
          <t>Mills Count (PKS)</t>
        </is>
      </c>
      <c r="F42" s="6" t="n">
        <v>32</v>
      </c>
      <c r="G42" s="6" t="inlineStr">
        <is>
          <t>count</t>
        </is>
      </c>
      <c r="H42" s="6" t="n">
        <v>14</v>
      </c>
      <c r="I42" s="6" t="inlineStr">
        <is>
          <t>Pengolahan Kelapa Sawit total 32 units</t>
        </is>
      </c>
      <c r="J42" s="6" t="inlineStr">
        <is>
          <t>High</t>
        </is>
      </c>
      <c r="K42" s="6" t="n"/>
      <c r="L42" s="6" t="n"/>
      <c r="M42" s="7" t="inlineStr">
        <is>
          <t>LLM</t>
        </is>
      </c>
      <c r="N42" s="7" t="inlineStr">
        <is>
          <t>2026-04-18</t>
        </is>
      </c>
      <c r="O42" s="7" t="inlineStr">
        <is>
          <t>AI</t>
        </is>
      </c>
      <c r="P42" s="7" t="n"/>
      <c r="Q42" s="7" t="n"/>
    </row>
    <row r="43" ht="15" customHeight="1" s="67">
      <c r="A43" s="6" t="inlineStr">
        <is>
          <t>PT Astra Agro Lestari Tbk</t>
        </is>
      </c>
      <c r="B43" s="6" t="inlineStr">
        <is>
          <t>AALI_2023_AR.pdf</t>
        </is>
      </c>
      <c r="C43" s="6" t="n">
        <v>2023</v>
      </c>
      <c r="D43" s="6" t="inlineStr">
        <is>
          <t>Asset</t>
        </is>
      </c>
      <c r="E43" s="6" t="inlineStr">
        <is>
          <t>Kernel Crushing Count</t>
        </is>
      </c>
      <c r="F43" s="6" t="n">
        <v>14</v>
      </c>
      <c r="G43" s="6" t="inlineStr">
        <is>
          <t>count</t>
        </is>
      </c>
      <c r="H43" s="6" t="n">
        <v>14</v>
      </c>
      <c r="I43" s="6" t="inlineStr">
        <is>
          <t>Pengolahan Inti Sawit total 14 units</t>
        </is>
      </c>
      <c r="J43" s="6" t="inlineStr">
        <is>
          <t>High</t>
        </is>
      </c>
      <c r="K43" s="6" t="n"/>
      <c r="L43" s="6" t="n"/>
      <c r="M43" s="7" t="inlineStr">
        <is>
          <t>LLM</t>
        </is>
      </c>
      <c r="N43" s="7" t="inlineStr">
        <is>
          <t>2026-04-18</t>
        </is>
      </c>
      <c r="O43" s="7" t="inlineStr">
        <is>
          <t>AI</t>
        </is>
      </c>
      <c r="P43" s="7" t="n"/>
      <c r="Q43" s="7" t="n"/>
    </row>
    <row r="44" ht="15" customHeight="1" s="67">
      <c r="A44" s="6" t="inlineStr">
        <is>
          <t>PT Astra Agro Lestari Tbk</t>
        </is>
      </c>
      <c r="B44" s="6" t="inlineStr">
        <is>
          <t>AALI_2023_AR.pdf</t>
        </is>
      </c>
      <c r="C44" s="6" t="n">
        <v>2023</v>
      </c>
      <c r="D44" s="6" t="inlineStr">
        <is>
          <t>Asset</t>
        </is>
      </c>
      <c r="E44" s="6" t="inlineStr">
        <is>
          <t>CPO Refinery Count</t>
        </is>
      </c>
      <c r="F44" s="6" t="n">
        <v>2</v>
      </c>
      <c r="G44" s="6" t="inlineStr">
        <is>
          <t>count</t>
        </is>
      </c>
      <c r="H44" s="6" t="n">
        <v>14</v>
      </c>
      <c r="I44" s="6" t="inlineStr">
        <is>
          <t>Pengolahan Minyak Sawit total 2 units</t>
        </is>
      </c>
      <c r="J44" s="6" t="inlineStr">
        <is>
          <t>High</t>
        </is>
      </c>
      <c r="K44" s="6" t="n"/>
      <c r="L44" s="6" t="n"/>
      <c r="M44" s="7" t="inlineStr">
        <is>
          <t>LLM</t>
        </is>
      </c>
      <c r="N44" s="7" t="inlineStr">
        <is>
          <t>2026-04-18</t>
        </is>
      </c>
      <c r="O44" s="7" t="inlineStr">
        <is>
          <t>AI</t>
        </is>
      </c>
      <c r="P44" s="7" t="n"/>
      <c r="Q44" s="7" t="n"/>
    </row>
    <row r="45" ht="15" customHeight="1" s="67">
      <c r="A45" s="6" t="inlineStr">
        <is>
          <t>PT Astra Agro Lestari Tbk</t>
        </is>
      </c>
      <c r="B45" s="6" t="inlineStr">
        <is>
          <t>AALI_2023_AR.pdf</t>
        </is>
      </c>
      <c r="C45" s="6" t="n">
        <v>2023</v>
      </c>
      <c r="D45" s="6" t="inlineStr">
        <is>
          <t>Asset</t>
        </is>
      </c>
      <c r="E45" s="6" t="inlineStr">
        <is>
          <t>PKO Refinery Count</t>
        </is>
      </c>
      <c r="F45" s="6" t="n">
        <v>1</v>
      </c>
      <c r="G45" s="6" t="inlineStr">
        <is>
          <t>count</t>
        </is>
      </c>
      <c r="H45" s="6" t="n">
        <v>14</v>
      </c>
      <c r="I45" s="6" t="inlineStr">
        <is>
          <t>Pengolahan Minyak Inti Sawit total 1 unit</t>
        </is>
      </c>
      <c r="J45" s="6" t="inlineStr">
        <is>
          <t>High</t>
        </is>
      </c>
      <c r="K45" s="6" t="n"/>
      <c r="L45" s="6" t="n"/>
      <c r="M45" s="7" t="inlineStr">
        <is>
          <t>LLM</t>
        </is>
      </c>
      <c r="N45" s="7" t="inlineStr">
        <is>
          <t>2026-04-18</t>
        </is>
      </c>
      <c r="O45" s="7" t="inlineStr">
        <is>
          <t>AI</t>
        </is>
      </c>
      <c r="P45" s="7" t="n"/>
      <c r="Q45" s="7" t="n"/>
    </row>
    <row r="46" ht="15" customHeight="1" s="67">
      <c r="A46" s="6" t="inlineStr">
        <is>
          <t>PT Astra Agro Lestari Tbk</t>
        </is>
      </c>
      <c r="B46" s="6" t="inlineStr">
        <is>
          <t>AALI_2023_AR.pdf</t>
        </is>
      </c>
      <c r="C46" s="6" t="n">
        <v>2023</v>
      </c>
      <c r="D46" s="6" t="inlineStr">
        <is>
          <t>Asset</t>
        </is>
      </c>
      <c r="E46" s="6" t="inlineStr">
        <is>
          <t>NPK Plant Count</t>
        </is>
      </c>
      <c r="F46" s="6" t="n">
        <v>2</v>
      </c>
      <c r="G46" s="6" t="inlineStr">
        <is>
          <t>count</t>
        </is>
      </c>
      <c r="H46" s="6" t="n">
        <v>14</v>
      </c>
      <c r="I46" s="6" t="inlineStr">
        <is>
          <t>Pabrik Pencampur Pupuk NPK total 2 units</t>
        </is>
      </c>
      <c r="J46" s="6" t="inlineStr">
        <is>
          <t>High</t>
        </is>
      </c>
      <c r="K46" s="6" t="n"/>
      <c r="L46" s="6" t="n"/>
      <c r="M46" s="7" t="inlineStr">
        <is>
          <t>LLM</t>
        </is>
      </c>
      <c r="N46" s="7" t="inlineStr">
        <is>
          <t>2026-04-18</t>
        </is>
      </c>
      <c r="O46" s="7" t="inlineStr">
        <is>
          <t>AI</t>
        </is>
      </c>
      <c r="P46" s="7" t="n"/>
      <c r="Q46" s="7" t="n"/>
    </row>
    <row r="47" ht="15" customHeight="1" s="67">
      <c r="A47" s="6" t="inlineStr">
        <is>
          <t>PT Astra Agro Lestari Tbk</t>
        </is>
      </c>
      <c r="B47" s="6" t="inlineStr">
        <is>
          <t>AALI_2023_AR.pdf</t>
        </is>
      </c>
      <c r="C47" s="6" t="n">
        <v>2023</v>
      </c>
      <c r="D47" s="6" t="inlineStr">
        <is>
          <t>Operation</t>
        </is>
      </c>
      <c r="E47" s="6" t="inlineStr">
        <is>
          <t>FFB Production (Own)</t>
        </is>
      </c>
      <c r="F47" s="6" t="n">
        <v>4353645</v>
      </c>
      <c r="G47" s="6" t="inlineStr">
        <is>
          <t>t</t>
        </is>
      </c>
      <c r="H47" s="6" t="n">
        <v>13</v>
      </c>
      <c r="I47" s="6" t="inlineStr">
        <is>
          <t>Total Produksi TBS 4,353,645</t>
        </is>
      </c>
      <c r="J47" s="6" t="inlineStr">
        <is>
          <t>High</t>
        </is>
      </c>
      <c r="K47" s="6" t="n"/>
      <c r="L47" s="6" t="n"/>
      <c r="M47" s="7" t="inlineStr">
        <is>
          <t>LLM</t>
        </is>
      </c>
      <c r="N47" s="7" t="inlineStr">
        <is>
          <t>2026-04-18</t>
        </is>
      </c>
      <c r="O47" s="7" t="inlineStr">
        <is>
          <t>AI</t>
        </is>
      </c>
      <c r="P47" s="7" t="n"/>
      <c r="Q47" s="7" t="n"/>
    </row>
    <row r="48" ht="15" customHeight="1" s="67">
      <c r="A48" s="6" t="inlineStr">
        <is>
          <t>PT Astra Agro Lestari Tbk</t>
        </is>
      </c>
      <c r="B48" s="6" t="inlineStr">
        <is>
          <t>AALI_2023_AR.pdf</t>
        </is>
      </c>
      <c r="C48" s="6" t="n">
        <v>2023</v>
      </c>
      <c r="D48" s="6" t="inlineStr">
        <is>
          <t>Operation</t>
        </is>
      </c>
      <c r="E48" s="6" t="inlineStr">
        <is>
          <t>Nucleus FFB</t>
        </is>
      </c>
      <c r="F48" s="6" t="n">
        <v>3312149</v>
      </c>
      <c r="G48" s="6" t="inlineStr">
        <is>
          <t>t</t>
        </is>
      </c>
      <c r="H48" s="6" t="n">
        <v>13</v>
      </c>
      <c r="I48" s="6" t="inlineStr">
        <is>
          <t>TBS Inti 3,312,149</t>
        </is>
      </c>
      <c r="J48" s="6" t="inlineStr">
        <is>
          <t>High</t>
        </is>
      </c>
      <c r="K48" s="6" t="n"/>
      <c r="L48" s="6" t="n"/>
      <c r="M48" s="7" t="inlineStr">
        <is>
          <t>LLM</t>
        </is>
      </c>
      <c r="N48" s="7" t="inlineStr">
        <is>
          <t>2026-04-18</t>
        </is>
      </c>
      <c r="O48" s="7" t="inlineStr">
        <is>
          <t>AI</t>
        </is>
      </c>
      <c r="P48" s="7" t="n"/>
      <c r="Q48" s="7" t="n"/>
    </row>
    <row r="49" ht="15" customHeight="1" s="67">
      <c r="A49" s="6" t="inlineStr">
        <is>
          <t>PT Astra Agro Lestari Tbk</t>
        </is>
      </c>
      <c r="B49" s="6" t="inlineStr">
        <is>
          <t>AALI_2023_AR.pdf</t>
        </is>
      </c>
      <c r="C49" s="6" t="n">
        <v>2023</v>
      </c>
      <c r="D49" s="6" t="inlineStr">
        <is>
          <t>Operation</t>
        </is>
      </c>
      <c r="E49" s="6" t="inlineStr">
        <is>
          <t>Plasma FFB</t>
        </is>
      </c>
      <c r="F49" s="6" t="n">
        <v>1041496</v>
      </c>
      <c r="G49" s="6" t="inlineStr">
        <is>
          <t>t</t>
        </is>
      </c>
      <c r="H49" s="6" t="n">
        <v>13</v>
      </c>
      <c r="I49" s="6" t="inlineStr">
        <is>
          <t>TBS Plasma 1,041,496</t>
        </is>
      </c>
      <c r="J49" s="6" t="inlineStr">
        <is>
          <t>High</t>
        </is>
      </c>
      <c r="K49" s="6" t="n"/>
      <c r="L49" s="6" t="n"/>
      <c r="M49" s="7" t="inlineStr">
        <is>
          <t>LLM</t>
        </is>
      </c>
      <c r="N49" s="7" t="inlineStr">
        <is>
          <t>2026-04-18</t>
        </is>
      </c>
      <c r="O49" s="7" t="inlineStr">
        <is>
          <t>AI</t>
        </is>
      </c>
      <c r="P49" s="7" t="n"/>
      <c r="Q49" s="7" t="n"/>
    </row>
    <row r="50" ht="15" customHeight="1" s="67">
      <c r="A50" s="6" t="inlineStr">
        <is>
          <t>PT Astra Agro Lestari Tbk</t>
        </is>
      </c>
      <c r="B50" s="6" t="inlineStr">
        <is>
          <t>AALI_2023_AR.pdf</t>
        </is>
      </c>
      <c r="C50" s="6" t="n">
        <v>2023</v>
      </c>
      <c r="D50" s="6" t="inlineStr">
        <is>
          <t>Operation</t>
        </is>
      </c>
      <c r="E50" s="6" t="inlineStr">
        <is>
          <t>FFB Processed</t>
        </is>
      </c>
      <c r="F50" s="6" t="n">
        <v>6752102</v>
      </c>
      <c r="G50" s="6" t="inlineStr">
        <is>
          <t>t</t>
        </is>
      </c>
      <c r="H50" s="6" t="n">
        <v>13</v>
      </c>
      <c r="I50" s="6" t="inlineStr">
        <is>
          <t>Total TBS Olah 6,752,102</t>
        </is>
      </c>
      <c r="J50" s="6" t="inlineStr">
        <is>
          <t>High</t>
        </is>
      </c>
      <c r="K50" s="6" t="n"/>
      <c r="L50" s="6" t="n"/>
      <c r="M50" s="7" t="inlineStr">
        <is>
          <t>LLM</t>
        </is>
      </c>
      <c r="N50" s="7" t="inlineStr">
        <is>
          <t>2026-04-18</t>
        </is>
      </c>
      <c r="O50" s="7" t="inlineStr">
        <is>
          <t>AI</t>
        </is>
      </c>
      <c r="P50" s="7" t="n"/>
      <c r="Q50" s="7" t="n"/>
    </row>
    <row r="51" ht="15" customHeight="1" s="67">
      <c r="A51" s="6" t="inlineStr">
        <is>
          <t>PT Astra Agro Lestari Tbk</t>
        </is>
      </c>
      <c r="B51" s="6" t="inlineStr">
        <is>
          <t>AALI_2023_AR.pdf</t>
        </is>
      </c>
      <c r="C51" s="6" t="n">
        <v>2023</v>
      </c>
      <c r="D51" s="6" t="inlineStr">
        <is>
          <t>Operation</t>
        </is>
      </c>
      <c r="E51" s="6" t="inlineStr">
        <is>
          <t>Third-Party FFB</t>
        </is>
      </c>
      <c r="F51" s="6" t="n">
        <v>2398457</v>
      </c>
      <c r="G51" s="6" t="inlineStr">
        <is>
          <t>t</t>
        </is>
      </c>
      <c r="H51" s="6" t="n">
        <v>13</v>
      </c>
      <c r="I51" s="6" t="inlineStr">
        <is>
          <t>Calc: 6,752,102 - 4,353,645</t>
        </is>
      </c>
      <c r="J51" s="6" t="inlineStr">
        <is>
          <t>High</t>
        </is>
      </c>
      <c r="K51" s="6" t="n"/>
      <c r="L51" s="6" t="n"/>
      <c r="M51" s="7" t="inlineStr">
        <is>
          <t>LLM</t>
        </is>
      </c>
      <c r="N51" s="7" t="inlineStr">
        <is>
          <t>2026-04-18</t>
        </is>
      </c>
      <c r="O51" s="7" t="inlineStr">
        <is>
          <t>AI</t>
        </is>
      </c>
      <c r="P51" s="7" t="n"/>
      <c r="Q51" s="7" t="n"/>
    </row>
    <row r="52" ht="15" customHeight="1" s="67">
      <c r="A52" s="6" t="inlineStr">
        <is>
          <t>PT Astra Agro Lestari Tbk</t>
        </is>
      </c>
      <c r="B52" s="6" t="inlineStr">
        <is>
          <t>AALI_2023_AR.pdf</t>
        </is>
      </c>
      <c r="C52" s="6" t="n">
        <v>2023</v>
      </c>
      <c r="D52" s="6" t="inlineStr">
        <is>
          <t>Operation</t>
        </is>
      </c>
      <c r="E52" s="6" t="inlineStr">
        <is>
          <t>CPO Production</t>
        </is>
      </c>
      <c r="F52" s="6" t="n">
        <v>1275539</v>
      </c>
      <c r="G52" s="6" t="inlineStr">
        <is>
          <t>t</t>
        </is>
      </c>
      <c r="H52" s="6" t="n">
        <v>13</v>
      </c>
      <c r="I52" s="6" t="inlineStr">
        <is>
          <t>Minyak Sawit 1,275,539</t>
        </is>
      </c>
      <c r="J52" s="6" t="inlineStr">
        <is>
          <t>High</t>
        </is>
      </c>
      <c r="K52" s="6" t="n"/>
      <c r="L52" s="6" t="n"/>
      <c r="M52" s="7" t="inlineStr">
        <is>
          <t>LLM</t>
        </is>
      </c>
      <c r="N52" s="7" t="inlineStr">
        <is>
          <t>2026-04-18</t>
        </is>
      </c>
      <c r="O52" s="7" t="inlineStr">
        <is>
          <t>AI</t>
        </is>
      </c>
      <c r="P52" s="7" t="n"/>
      <c r="Q52" s="7" t="n"/>
    </row>
    <row r="53" ht="15" customHeight="1" s="67">
      <c r="A53" s="6" t="inlineStr">
        <is>
          <t>PT Astra Agro Lestari Tbk</t>
        </is>
      </c>
      <c r="B53" s="6" t="inlineStr">
        <is>
          <t>AALI_2023_AR.pdf</t>
        </is>
      </c>
      <c r="C53" s="6" t="n">
        <v>2023</v>
      </c>
      <c r="D53" s="6" t="inlineStr">
        <is>
          <t>Operation</t>
        </is>
      </c>
      <c r="E53" s="6" t="inlineStr">
        <is>
          <t>RBDPO Production</t>
        </is>
      </c>
      <c r="F53" s="6" t="n">
        <v>17289</v>
      </c>
      <c r="G53" s="6" t="inlineStr">
        <is>
          <t>t</t>
        </is>
      </c>
      <c r="H53" s="6" t="n">
        <v>13</v>
      </c>
      <c r="I53" s="6" t="inlineStr">
        <is>
          <t>RBDPO 17,289</t>
        </is>
      </c>
      <c r="J53" s="6" t="inlineStr">
        <is>
          <t>High</t>
        </is>
      </c>
      <c r="K53" s="6" t="n"/>
      <c r="L53" s="6" t="n"/>
      <c r="M53" s="7" t="inlineStr">
        <is>
          <t>LLM</t>
        </is>
      </c>
      <c r="N53" s="7" t="inlineStr">
        <is>
          <t>2026-04-18</t>
        </is>
      </c>
      <c r="O53" s="7" t="inlineStr">
        <is>
          <t>AI</t>
        </is>
      </c>
      <c r="P53" s="7" t="n"/>
      <c r="Q53" s="7" t="n"/>
    </row>
    <row r="54" ht="15" customHeight="1" s="67">
      <c r="A54" s="6" t="inlineStr">
        <is>
          <t>PT Astra Agro Lestari Tbk</t>
        </is>
      </c>
      <c r="B54" s="6" t="inlineStr">
        <is>
          <t>AALI_2023_AR.pdf</t>
        </is>
      </c>
      <c r="C54" s="6" t="n">
        <v>2023</v>
      </c>
      <c r="D54" s="6" t="inlineStr">
        <is>
          <t>Operation</t>
        </is>
      </c>
      <c r="E54" s="6" t="inlineStr">
        <is>
          <t>Olein Production</t>
        </is>
      </c>
      <c r="F54" s="6" t="n">
        <v>441671</v>
      </c>
      <c r="G54" s="6" t="inlineStr">
        <is>
          <t>t</t>
        </is>
      </c>
      <c r="H54" s="6" t="n">
        <v>13</v>
      </c>
      <c r="I54" s="6" t="inlineStr">
        <is>
          <t>Olein 441,671</t>
        </is>
      </c>
      <c r="J54" s="6" t="inlineStr">
        <is>
          <t>High</t>
        </is>
      </c>
      <c r="K54" s="6" t="n"/>
      <c r="L54" s="6" t="n"/>
      <c r="M54" s="7" t="inlineStr">
        <is>
          <t>LLM</t>
        </is>
      </c>
      <c r="N54" s="7" t="inlineStr">
        <is>
          <t>2026-04-18</t>
        </is>
      </c>
      <c r="O54" s="7" t="inlineStr">
        <is>
          <t>AI</t>
        </is>
      </c>
      <c r="P54" s="7" t="n"/>
      <c r="Q54" s="7" t="n"/>
    </row>
    <row r="55" ht="15" customHeight="1" s="67">
      <c r="A55" s="6" t="inlineStr">
        <is>
          <t>PT Astra Agro Lestari Tbk</t>
        </is>
      </c>
      <c r="B55" s="6" t="inlineStr">
        <is>
          <t>AALI_2023_AR.pdf</t>
        </is>
      </c>
      <c r="C55" s="6" t="n">
        <v>2023</v>
      </c>
      <c r="D55" s="6" t="inlineStr">
        <is>
          <t>Operation</t>
        </is>
      </c>
      <c r="E55" s="6" t="inlineStr">
        <is>
          <t>Stearin Production</t>
        </is>
      </c>
      <c r="F55" s="6" t="n">
        <v>115918</v>
      </c>
      <c r="G55" s="6" t="inlineStr">
        <is>
          <t>t</t>
        </is>
      </c>
      <c r="H55" s="6" t="n">
        <v>13</v>
      </c>
      <c r="I55" s="6" t="inlineStr">
        <is>
          <t>Stearin 115,918</t>
        </is>
      </c>
      <c r="J55" s="6" t="inlineStr">
        <is>
          <t>High</t>
        </is>
      </c>
      <c r="K55" s="6" t="n"/>
      <c r="L55" s="6" t="n"/>
      <c r="M55" s="7" t="inlineStr">
        <is>
          <t>LLM</t>
        </is>
      </c>
      <c r="N55" s="7" t="inlineStr">
        <is>
          <t>2026-04-18</t>
        </is>
      </c>
      <c r="O55" s="7" t="inlineStr">
        <is>
          <t>AI</t>
        </is>
      </c>
      <c r="P55" s="7" t="n"/>
      <c r="Q55" s="7" t="n"/>
    </row>
    <row r="56" ht="15" customHeight="1" s="67">
      <c r="A56" s="6" t="inlineStr">
        <is>
          <t>PT Astra Agro Lestari Tbk</t>
        </is>
      </c>
      <c r="B56" s="6" t="inlineStr">
        <is>
          <t>AALI_2023_AR.pdf</t>
        </is>
      </c>
      <c r="C56" s="6" t="n">
        <v>2023</v>
      </c>
      <c r="D56" s="6" t="inlineStr">
        <is>
          <t>Operation</t>
        </is>
      </c>
      <c r="E56" s="6" t="inlineStr">
        <is>
          <t>PFAD Production</t>
        </is>
      </c>
      <c r="F56" s="6" t="n">
        <v>23621</v>
      </c>
      <c r="G56" s="6" t="inlineStr">
        <is>
          <t>t</t>
        </is>
      </c>
      <c r="H56" s="6" t="n">
        <v>13</v>
      </c>
      <c r="I56" s="6" t="inlineStr">
        <is>
          <t>PFAD 23,621</t>
        </is>
      </c>
      <c r="J56" s="6" t="inlineStr">
        <is>
          <t>High</t>
        </is>
      </c>
      <c r="K56" s="6" t="n"/>
      <c r="L56" s="6" t="n"/>
      <c r="M56" s="7" t="inlineStr">
        <is>
          <t>LLM</t>
        </is>
      </c>
      <c r="N56" s="7" t="inlineStr">
        <is>
          <t>2026-04-18</t>
        </is>
      </c>
      <c r="O56" s="7" t="inlineStr">
        <is>
          <t>AI</t>
        </is>
      </c>
      <c r="P56" s="7" t="n"/>
      <c r="Q56" s="7" t="n"/>
    </row>
    <row r="57" ht="15" customHeight="1" s="67">
      <c r="A57" s="6" t="inlineStr">
        <is>
          <t>PT Astra Agro Lestari Tbk</t>
        </is>
      </c>
      <c r="B57" s="6" t="inlineStr">
        <is>
          <t>AALI_2023_AR.pdf</t>
        </is>
      </c>
      <c r="C57" s="6" t="n">
        <v>2023</v>
      </c>
      <c r="D57" s="6" t="inlineStr">
        <is>
          <t>Operation</t>
        </is>
      </c>
      <c r="E57" s="6" t="inlineStr">
        <is>
          <t>Kernel Production</t>
        </is>
      </c>
      <c r="F57" s="6" t="n">
        <v>272310</v>
      </c>
      <c r="G57" s="6" t="inlineStr">
        <is>
          <t>t</t>
        </is>
      </c>
      <c r="H57" s="6" t="n">
        <v>13</v>
      </c>
      <c r="I57" s="6" t="inlineStr">
        <is>
          <t>Kernel 272,310</t>
        </is>
      </c>
      <c r="J57" s="6" t="inlineStr">
        <is>
          <t>High</t>
        </is>
      </c>
      <c r="K57" s="6" t="n"/>
      <c r="L57" s="6" t="n"/>
      <c r="M57" s="7" t="inlineStr">
        <is>
          <t>LLM</t>
        </is>
      </c>
      <c r="N57" s="7" t="inlineStr">
        <is>
          <t>2026-04-18</t>
        </is>
      </c>
      <c r="O57" s="7" t="inlineStr">
        <is>
          <t>AI</t>
        </is>
      </c>
      <c r="P57" s="7" t="n"/>
      <c r="Q57" s="7" t="n"/>
    </row>
    <row r="58" ht="15" customHeight="1" s="67">
      <c r="A58" s="6" t="inlineStr">
        <is>
          <t>PT Astra Agro Lestari Tbk</t>
        </is>
      </c>
      <c r="B58" s="6" t="inlineStr">
        <is>
          <t>AALI_2023_AR.pdf</t>
        </is>
      </c>
      <c r="C58" s="6" t="n">
        <v>2023</v>
      </c>
      <c r="D58" s="6" t="inlineStr">
        <is>
          <t>Operation</t>
        </is>
      </c>
      <c r="E58" s="6" t="inlineStr">
        <is>
          <t>PKO Production</t>
        </is>
      </c>
      <c r="F58" s="6" t="n">
        <v>45158</v>
      </c>
      <c r="G58" s="6" t="inlineStr">
        <is>
          <t>t</t>
        </is>
      </c>
      <c r="H58" s="6" t="n">
        <v>13</v>
      </c>
      <c r="I58" s="6" t="inlineStr">
        <is>
          <t>Minyak Inti Sawit 45,158</t>
        </is>
      </c>
      <c r="J58" s="6" t="inlineStr">
        <is>
          <t>High</t>
        </is>
      </c>
      <c r="K58" s="6" t="n"/>
      <c r="L58" s="6" t="n"/>
      <c r="M58" s="7" t="inlineStr">
        <is>
          <t>LLM</t>
        </is>
      </c>
      <c r="N58" s="7" t="inlineStr">
        <is>
          <t>2026-04-18</t>
        </is>
      </c>
      <c r="O58" s="7" t="inlineStr">
        <is>
          <t>AI</t>
        </is>
      </c>
      <c r="P58" s="7" t="n"/>
      <c r="Q58" s="7" t="n"/>
    </row>
    <row r="59" ht="15" customHeight="1" s="67">
      <c r="A59" s="6" t="inlineStr">
        <is>
          <t>PT Astra Agro Lestari Tbk</t>
        </is>
      </c>
      <c r="B59" s="6" t="inlineStr">
        <is>
          <t>AALI_2023_AR.pdf</t>
        </is>
      </c>
      <c r="C59" s="6" t="n">
        <v>2023</v>
      </c>
      <c r="D59" s="6" t="inlineStr">
        <is>
          <t>Operation</t>
        </is>
      </c>
      <c r="E59" s="6" t="inlineStr">
        <is>
          <t>PKE Production</t>
        </is>
      </c>
      <c r="F59" s="6" t="n">
        <v>56142</v>
      </c>
      <c r="G59" s="6" t="inlineStr">
        <is>
          <t>t</t>
        </is>
      </c>
      <c r="H59" s="6" t="n">
        <v>13</v>
      </c>
      <c r="I59" s="6" t="inlineStr">
        <is>
          <t>Palm Kernel Expeller 56,142</t>
        </is>
      </c>
      <c r="J59" s="6" t="inlineStr">
        <is>
          <t>High</t>
        </is>
      </c>
      <c r="K59" s="6" t="n"/>
      <c r="L59" s="6" t="n"/>
      <c r="M59" s="7" t="inlineStr">
        <is>
          <t>LLM</t>
        </is>
      </c>
      <c r="N59" s="7" t="inlineStr">
        <is>
          <t>2026-04-18</t>
        </is>
      </c>
      <c r="O59" s="7" t="inlineStr">
        <is>
          <t>AI</t>
        </is>
      </c>
      <c r="P59" s="7" t="n"/>
      <c r="Q59" s="7" t="n"/>
    </row>
    <row r="60" ht="15" customHeight="1" s="67">
      <c r="A60" s="6" t="inlineStr">
        <is>
          <t>PT Astra Agro Lestari Tbk</t>
        </is>
      </c>
      <c r="B60" s="6" t="inlineStr">
        <is>
          <t>AALI_2023_AR.pdf</t>
        </is>
      </c>
      <c r="C60" s="6" t="n">
        <v>2023</v>
      </c>
      <c r="D60" s="6" t="inlineStr">
        <is>
          <t>Operation</t>
        </is>
      </c>
      <c r="E60" s="6" t="inlineStr">
        <is>
          <t>FFB Yield</t>
        </is>
      </c>
      <c r="F60" s="6" t="n">
        <v>16.4</v>
      </c>
      <c r="G60" s="6" t="inlineStr">
        <is>
          <t>t/ha</t>
        </is>
      </c>
      <c r="H60" s="6" t="n">
        <v>13</v>
      </c>
      <c r="I60" s="6" t="inlineStr">
        <is>
          <t>Yield TBS 16.40 t/ha</t>
        </is>
      </c>
      <c r="J60" s="6" t="inlineStr">
        <is>
          <t>High</t>
        </is>
      </c>
      <c r="K60" s="6" t="n"/>
      <c r="L60" s="6" t="n"/>
      <c r="M60" s="7" t="inlineStr">
        <is>
          <t>LLM</t>
        </is>
      </c>
      <c r="N60" s="7" t="inlineStr">
        <is>
          <t>2026-04-18</t>
        </is>
      </c>
      <c r="O60" s="7" t="inlineStr">
        <is>
          <t>AI</t>
        </is>
      </c>
      <c r="P60" s="7" t="n"/>
      <c r="Q60" s="7" t="n"/>
    </row>
    <row r="61" ht="15" customHeight="1" s="67">
      <c r="A61" s="6" t="inlineStr">
        <is>
          <t>PT Astra Agro Lestari Tbk</t>
        </is>
      </c>
      <c r="B61" s="6" t="inlineStr">
        <is>
          <t>AALI_2023_AR.pdf</t>
        </is>
      </c>
      <c r="C61" s="6" t="n">
        <v>2023</v>
      </c>
      <c r="D61" s="6" t="inlineStr">
        <is>
          <t>Operation</t>
        </is>
      </c>
      <c r="E61" s="6" t="inlineStr">
        <is>
          <t>CPO Yield</t>
        </is>
      </c>
      <c r="F61" s="6" t="n">
        <v>3.1</v>
      </c>
      <c r="G61" s="6" t="inlineStr">
        <is>
          <t>t/ha</t>
        </is>
      </c>
      <c r="H61" s="6" t="n">
        <v>13</v>
      </c>
      <c r="I61" s="6" t="inlineStr">
        <is>
          <t>Yield CPO 3.10 t/ha</t>
        </is>
      </c>
      <c r="J61" s="6" t="inlineStr">
        <is>
          <t>High</t>
        </is>
      </c>
      <c r="K61" s="6" t="n"/>
      <c r="L61" s="6" t="n"/>
      <c r="M61" s="7" t="inlineStr">
        <is>
          <t>LLM</t>
        </is>
      </c>
      <c r="N61" s="7" t="inlineStr">
        <is>
          <t>2026-04-18</t>
        </is>
      </c>
      <c r="O61" s="7" t="inlineStr">
        <is>
          <t>AI</t>
        </is>
      </c>
      <c r="P61" s="7" t="n"/>
      <c r="Q61" s="7" t="n"/>
    </row>
    <row r="62" ht="15" customHeight="1" s="67">
      <c r="A62" s="6" t="inlineStr">
        <is>
          <t>PT Astra Agro Lestari Tbk</t>
        </is>
      </c>
      <c r="B62" s="6" t="inlineStr">
        <is>
          <t>AALI_2023_AR.pdf</t>
        </is>
      </c>
      <c r="C62" s="6" t="n">
        <v>2023</v>
      </c>
      <c r="D62" s="6" t="inlineStr">
        <is>
          <t>Operation</t>
        </is>
      </c>
      <c r="E62" s="6" t="inlineStr">
        <is>
          <t>OER (Reported)</t>
        </is>
      </c>
      <c r="F62" s="6" t="n">
        <v>0.1889</v>
      </c>
      <c r="G62" s="6" t="inlineStr">
        <is>
          <t>%</t>
        </is>
      </c>
      <c r="H62" s="6" t="n">
        <v>13</v>
      </c>
      <c r="I62" s="6" t="inlineStr">
        <is>
          <t>Rendemen Minyak Sawit 18.89%</t>
        </is>
      </c>
      <c r="J62" s="6" t="inlineStr">
        <is>
          <t>High</t>
        </is>
      </c>
      <c r="K62" s="6" t="n"/>
      <c r="L62" s="6" t="n"/>
      <c r="M62" s="7" t="inlineStr">
        <is>
          <t>LLM</t>
        </is>
      </c>
      <c r="N62" s="7" t="inlineStr">
        <is>
          <t>2026-04-18</t>
        </is>
      </c>
      <c r="O62" s="7" t="inlineStr">
        <is>
          <t>AI</t>
        </is>
      </c>
      <c r="P62" s="7" t="n"/>
      <c r="Q62" s="7" t="n"/>
    </row>
    <row r="63" ht="15" customHeight="1" s="67">
      <c r="A63" s="6" t="inlineStr">
        <is>
          <t>PT Astra Agro Lestari Tbk</t>
        </is>
      </c>
      <c r="B63" s="6" t="inlineStr">
        <is>
          <t>AALI_2023_AR.pdf</t>
        </is>
      </c>
      <c r="C63" s="6" t="n">
        <v>2023</v>
      </c>
      <c r="D63" s="6" t="inlineStr">
        <is>
          <t>Operation</t>
        </is>
      </c>
      <c r="E63" s="6" t="inlineStr">
        <is>
          <t>KER (Reported)</t>
        </is>
      </c>
      <c r="F63" s="6" t="n">
        <v>0.0403</v>
      </c>
      <c r="G63" s="6" t="inlineStr">
        <is>
          <t>%</t>
        </is>
      </c>
      <c r="H63" s="6" t="n">
        <v>13</v>
      </c>
      <c r="I63" s="6" t="inlineStr">
        <is>
          <t>Rendemen Inti Sawit 4.03%</t>
        </is>
      </c>
      <c r="J63" s="6" t="inlineStr">
        <is>
          <t>High</t>
        </is>
      </c>
      <c r="K63" s="6" t="n"/>
      <c r="L63" s="6" t="n"/>
      <c r="M63" s="7" t="inlineStr">
        <is>
          <t>LLM</t>
        </is>
      </c>
      <c r="N63" s="7" t="inlineStr">
        <is>
          <t>2026-04-18</t>
        </is>
      </c>
      <c r="O63" s="7" t="inlineStr">
        <is>
          <t>AI</t>
        </is>
      </c>
      <c r="P63" s="7" t="n"/>
      <c r="Q63" s="7" t="n"/>
    </row>
    <row r="64" ht="15" customHeight="1" s="67">
      <c r="A64" s="6" t="inlineStr">
        <is>
          <t>PT Astra Agro Lestari Tbk</t>
        </is>
      </c>
      <c r="B64" s="6" t="inlineStr">
        <is>
          <t>AALI_2023_AR.pdf</t>
        </is>
      </c>
      <c r="C64" s="6" t="n">
        <v>2023</v>
      </c>
      <c r="D64" s="6" t="inlineStr">
        <is>
          <t>Operation</t>
        </is>
      </c>
      <c r="E64" s="6" t="inlineStr">
        <is>
          <t>PKO Extraction</t>
        </is>
      </c>
      <c r="F64" s="6" t="n">
        <v>0.4135</v>
      </c>
      <c r="G64" s="6" t="inlineStr">
        <is>
          <t>%</t>
        </is>
      </c>
      <c r="H64" s="6" t="n">
        <v>13</v>
      </c>
      <c r="I64" s="6" t="inlineStr">
        <is>
          <t>Rendemen Minyak Inti Sawit 41.35%</t>
        </is>
      </c>
      <c r="J64" s="6" t="inlineStr">
        <is>
          <t>High</t>
        </is>
      </c>
      <c r="K64" s="6" t="n"/>
      <c r="L64" s="6" t="n"/>
      <c r="M64" s="7" t="inlineStr">
        <is>
          <t>LLM</t>
        </is>
      </c>
      <c r="N64" s="7" t="inlineStr">
        <is>
          <t>2026-04-18</t>
        </is>
      </c>
      <c r="O64" s="7" t="inlineStr">
        <is>
          <t>AI</t>
        </is>
      </c>
      <c r="P64" s="7" t="n"/>
      <c r="Q64" s="7" t="n"/>
    </row>
    <row r="65" ht="15" customHeight="1" s="67">
      <c r="A65" s="6" t="inlineStr">
        <is>
          <t>PT Astra Agro Lestari Tbk</t>
        </is>
      </c>
      <c r="B65" s="6" t="inlineStr">
        <is>
          <t>AALI_2023_AR.pdf</t>
        </is>
      </c>
      <c r="C65" s="6" t="n">
        <v>2023</v>
      </c>
      <c r="D65" s="6" t="inlineStr">
        <is>
          <t>Operation</t>
        </is>
      </c>
      <c r="E65" s="6" t="inlineStr">
        <is>
          <t>PKE Extraction</t>
        </is>
      </c>
      <c r="F65" s="6" t="n">
        <v>0.514</v>
      </c>
      <c r="G65" s="6" t="inlineStr">
        <is>
          <t>%</t>
        </is>
      </c>
      <c r="H65" s="6" t="n">
        <v>13</v>
      </c>
      <c r="I65" s="6" t="inlineStr">
        <is>
          <t>Rendemen PKE 51.40%</t>
        </is>
      </c>
      <c r="J65" s="6" t="inlineStr">
        <is>
          <t>High</t>
        </is>
      </c>
      <c r="K65" s="6" t="n"/>
      <c r="L65" s="6" t="n"/>
      <c r="M65" s="7" t="inlineStr">
        <is>
          <t>LLM</t>
        </is>
      </c>
      <c r="N65" s="7" t="inlineStr">
        <is>
          <t>2026-04-18</t>
        </is>
      </c>
      <c r="O65" s="7" t="inlineStr">
        <is>
          <t>AI</t>
        </is>
      </c>
      <c r="P65" s="7" t="n"/>
      <c r="Q65" s="7" t="n"/>
    </row>
    <row r="66" ht="15" customHeight="1" s="67">
      <c r="A66" s="6" t="inlineStr">
        <is>
          <t>PT Astra Agro Lestari Tbk</t>
        </is>
      </c>
      <c r="B66" s="6" t="inlineStr">
        <is>
          <t>AALI_2023_AR.pdf</t>
        </is>
      </c>
      <c r="C66" s="6" t="n">
        <v>2023</v>
      </c>
      <c r="D66" s="6" t="inlineStr">
        <is>
          <t>Operation</t>
        </is>
      </c>
      <c r="E66" s="6" t="inlineStr">
        <is>
          <t>CPO Avg Selling Price</t>
        </is>
      </c>
      <c r="F66" s="6" t="n">
        <v>12948</v>
      </c>
      <c r="G66" s="6" t="inlineStr">
        <is>
          <t>Rp/kg</t>
        </is>
      </c>
      <c r="H66" s="6" t="n">
        <v>14</v>
      </c>
      <c r="I66" s="6" t="inlineStr">
        <is>
          <t>Rata-Rata Harga Jual Minyak Sawit 12,948 Rp/kg</t>
        </is>
      </c>
      <c r="J66" s="6" t="inlineStr">
        <is>
          <t>High</t>
        </is>
      </c>
      <c r="K66" s="6" t="n"/>
      <c r="L66" s="6" t="n"/>
      <c r="M66" s="7" t="inlineStr">
        <is>
          <t>LLM</t>
        </is>
      </c>
      <c r="N66" s="7" t="inlineStr">
        <is>
          <t>2026-04-18</t>
        </is>
      </c>
      <c r="O66" s="7" t="inlineStr">
        <is>
          <t>AI</t>
        </is>
      </c>
      <c r="P66" s="7" t="n"/>
      <c r="Q66" s="7" t="n"/>
    </row>
    <row r="67" ht="15" customHeight="1" s="67">
      <c r="A67" s="6" t="inlineStr">
        <is>
          <t>PT Astra Agro Lestari Tbk</t>
        </is>
      </c>
      <c r="B67" s="6" t="inlineStr">
        <is>
          <t>AALI_2023_AR.pdf</t>
        </is>
      </c>
      <c r="C67" s="6" t="n">
        <v>2023</v>
      </c>
      <c r="D67" s="6" t="inlineStr">
        <is>
          <t>Operation</t>
        </is>
      </c>
      <c r="E67" s="6" t="inlineStr">
        <is>
          <t>CPO Sales Volume</t>
        </is>
      </c>
      <c r="F67" s="6" t="n">
        <v>2345000</v>
      </c>
      <c r="G67" s="6" t="inlineStr">
        <is>
          <t>t</t>
        </is>
      </c>
      <c r="H67" s="6" t="n">
        <v>14</v>
      </c>
      <c r="I67" s="6" t="inlineStr">
        <is>
          <t>Volume Penjualan CPO dan Turunannya 2,345 ribu ton</t>
        </is>
      </c>
      <c r="J67" s="6" t="inlineStr">
        <is>
          <t>High</t>
        </is>
      </c>
      <c r="K67" s="6" t="n"/>
      <c r="L67" s="6" t="n"/>
      <c r="M67" s="7" t="inlineStr">
        <is>
          <t>LLM</t>
        </is>
      </c>
      <c r="N67" s="7" t="inlineStr">
        <is>
          <t>2026-04-18</t>
        </is>
      </c>
      <c r="O67" s="7" t="inlineStr">
        <is>
          <t>AI</t>
        </is>
      </c>
      <c r="P67" s="7" t="n"/>
      <c r="Q67" s="7" t="n"/>
    </row>
    <row r="68" ht="15" customHeight="1" s="67">
      <c r="A68" s="6" t="inlineStr">
        <is>
          <t>PT Astra Agro Lestari Tbk</t>
        </is>
      </c>
      <c r="B68" s="6" t="inlineStr">
        <is>
          <t>AALI_2024_AR.pdf</t>
        </is>
      </c>
      <c r="C68" s="6" t="n">
        <v>2024</v>
      </c>
      <c r="D68" s="6" t="inlineStr">
        <is>
          <t>Company</t>
        </is>
      </c>
      <c r="E68" s="6" t="inlineStr">
        <is>
          <t>Company Name</t>
        </is>
      </c>
      <c r="F68" s="6" t="inlineStr">
        <is>
          <t>PT Astra Agro Lestari Tbk</t>
        </is>
      </c>
      <c r="G68" s="6" t="inlineStr">
        <is>
          <t>text</t>
        </is>
      </c>
      <c r="H68" s="6" t="n">
        <v>12</v>
      </c>
      <c r="I68" s="6" t="inlineStr">
        <is>
          <t>Laporan Tahunan 2024 - PT Astra Agro Lestari Tbk</t>
        </is>
      </c>
      <c r="J68" s="6" t="inlineStr">
        <is>
          <t>High</t>
        </is>
      </c>
      <c r="K68" s="6" t="n"/>
      <c r="L68" s="6" t="n"/>
      <c r="M68" s="7" t="inlineStr">
        <is>
          <t>LLM</t>
        </is>
      </c>
      <c r="N68" s="7" t="inlineStr">
        <is>
          <t>2026-04-18</t>
        </is>
      </c>
      <c r="O68" s="7" t="inlineStr">
        <is>
          <t>AI</t>
        </is>
      </c>
      <c r="P68" s="7" t="n"/>
      <c r="Q68" s="7" t="n"/>
    </row>
    <row r="69" ht="15" customHeight="1" s="67">
      <c r="A69" s="6" t="inlineStr">
        <is>
          <t>PT Astra Agro Lestari Tbk</t>
        </is>
      </c>
      <c r="B69" s="6" t="inlineStr">
        <is>
          <t>AALI_2024_AR.pdf</t>
        </is>
      </c>
      <c r="C69" s="6" t="n">
        <v>2024</v>
      </c>
      <c r="D69" s="6" t="inlineStr">
        <is>
          <t>Company</t>
        </is>
      </c>
      <c r="E69" s="6" t="inlineStr">
        <is>
          <t>Controlling Shareholder</t>
        </is>
      </c>
      <c r="F69" s="6" t="inlineStr">
        <is>
          <t>PT Astra International Tbk 79.68%</t>
        </is>
      </c>
      <c r="G69" s="6" t="inlineStr">
        <is>
          <t>%</t>
        </is>
      </c>
      <c r="H69" s="6" t="n">
        <v>83</v>
      </c>
      <c r="I69" s="6" t="inlineStr">
        <is>
          <t>PT Astra International Tbk 1,533,682,440 79.68%</t>
        </is>
      </c>
      <c r="J69" s="6" t="inlineStr">
        <is>
          <t>High</t>
        </is>
      </c>
      <c r="K69" s="6" t="n"/>
      <c r="L69" s="6" t="n"/>
      <c r="M69" s="7" t="inlineStr">
        <is>
          <t>LLM</t>
        </is>
      </c>
      <c r="N69" s="7" t="inlineStr">
        <is>
          <t>2026-04-18</t>
        </is>
      </c>
      <c r="O69" s="7" t="inlineStr">
        <is>
          <t>AI</t>
        </is>
      </c>
      <c r="P69" s="7" t="n"/>
      <c r="Q69" s="7" t="n"/>
    </row>
    <row r="70" ht="15" customHeight="1" s="67">
      <c r="A70" s="6" t="inlineStr">
        <is>
          <t>PT Astra Agro Lestari Tbk</t>
        </is>
      </c>
      <c r="B70" s="6" t="inlineStr">
        <is>
          <t>AALI_2024_AR.pdf</t>
        </is>
      </c>
      <c r="C70" s="6" t="n">
        <v>2024</v>
      </c>
      <c r="D70" s="6" t="inlineStr">
        <is>
          <t>Company</t>
        </is>
      </c>
      <c r="E70" s="6" t="inlineStr">
        <is>
          <t>Public Float</t>
        </is>
      </c>
      <c r="F70" s="6" t="n">
        <v>0.2032</v>
      </c>
      <c r="G70" s="6" t="inlineStr">
        <is>
          <t>%</t>
        </is>
      </c>
      <c r="H70" s="6" t="n">
        <v>83</v>
      </c>
      <c r="I70" s="6" t="inlineStr">
        <is>
          <t>Masyarakat Lainnya (masing-masing di bawah 5%) 391,005,893 20.32%</t>
        </is>
      </c>
      <c r="J70" s="6" t="inlineStr">
        <is>
          <t>High</t>
        </is>
      </c>
      <c r="K70" s="6" t="n"/>
      <c r="L70" s="6" t="n"/>
      <c r="M70" s="7" t="inlineStr">
        <is>
          <t>LLM</t>
        </is>
      </c>
      <c r="N70" s="7" t="inlineStr">
        <is>
          <t>2026-04-18</t>
        </is>
      </c>
      <c r="O70" s="7" t="inlineStr">
        <is>
          <t>AI</t>
        </is>
      </c>
      <c r="P70" s="7" t="n"/>
      <c r="Q70" s="7" t="n"/>
    </row>
    <row r="71" ht="15" customHeight="1" s="67">
      <c r="A71" s="6" t="inlineStr">
        <is>
          <t>PT Astra Agro Lestari Tbk</t>
        </is>
      </c>
      <c r="B71" s="6" t="inlineStr">
        <is>
          <t>AALI_2024_AR.pdf</t>
        </is>
      </c>
      <c r="C71" s="6" t="n">
        <v>2024</v>
      </c>
      <c r="D71" s="6" t="inlineStr">
        <is>
          <t>Financial</t>
        </is>
      </c>
      <c r="E71" s="6" t="inlineStr">
        <is>
          <t>Revenue (Net)</t>
        </is>
      </c>
      <c r="F71" s="6" t="n">
        <v>21815</v>
      </c>
      <c r="G71" s="6" t="inlineStr">
        <is>
          <t>IDR bn</t>
        </is>
      </c>
      <c r="H71" s="6" t="n">
        <v>12</v>
      </c>
      <c r="I71" s="6" t="inlineStr">
        <is>
          <t>Pendapatan Bersih 21,815 20,745 21,829</t>
        </is>
      </c>
      <c r="J71" s="6" t="inlineStr">
        <is>
          <t>High</t>
        </is>
      </c>
      <c r="K71" s="6" t="n"/>
      <c r="L71" s="6" t="n"/>
      <c r="M71" s="7" t="inlineStr">
        <is>
          <t>LLM</t>
        </is>
      </c>
      <c r="N71" s="7" t="inlineStr">
        <is>
          <t>2026-04-18</t>
        </is>
      </c>
      <c r="O71" s="7" t="inlineStr">
        <is>
          <t>AI</t>
        </is>
      </c>
      <c r="P71" s="7" t="n"/>
      <c r="Q71" s="7" t="n"/>
    </row>
    <row r="72" ht="15" customHeight="1" s="67">
      <c r="A72" s="6" t="inlineStr">
        <is>
          <t>PT Astra Agro Lestari Tbk</t>
        </is>
      </c>
      <c r="B72" s="6" t="inlineStr">
        <is>
          <t>AALI_2024_AR.pdf</t>
        </is>
      </c>
      <c r="C72" s="6" t="n">
        <v>2024</v>
      </c>
      <c r="D72" s="6" t="inlineStr">
        <is>
          <t>Financial</t>
        </is>
      </c>
      <c r="E72" s="6" t="inlineStr">
        <is>
          <t>Gross Profit</t>
        </is>
      </c>
      <c r="F72" s="6" t="n">
        <v>3341</v>
      </c>
      <c r="G72" s="6" t="inlineStr">
        <is>
          <t>IDR bn</t>
        </is>
      </c>
      <c r="H72" s="6" t="n">
        <v>12</v>
      </c>
      <c r="I72" s="6" t="inlineStr">
        <is>
          <t>Laba Bruto 3,341 2,771 3,822</t>
        </is>
      </c>
      <c r="J72" s="6" t="inlineStr">
        <is>
          <t>High</t>
        </is>
      </c>
      <c r="K72" s="6" t="n"/>
      <c r="L72" s="6" t="n"/>
      <c r="M72" s="7" t="inlineStr">
        <is>
          <t>LLM</t>
        </is>
      </c>
      <c r="N72" s="7" t="inlineStr">
        <is>
          <t>2026-04-18</t>
        </is>
      </c>
      <c r="O72" s="7" t="inlineStr">
        <is>
          <t>AI</t>
        </is>
      </c>
      <c r="P72" s="7" t="n"/>
      <c r="Q72" s="7" t="n"/>
    </row>
    <row r="73" ht="15" customHeight="1" s="67">
      <c r="A73" s="6" t="inlineStr">
        <is>
          <t>PT Astra Agro Lestari Tbk</t>
        </is>
      </c>
      <c r="B73" s="6" t="inlineStr">
        <is>
          <t>AALI_2024_AR.pdf</t>
        </is>
      </c>
      <c r="C73" s="6" t="n">
        <v>2024</v>
      </c>
      <c r="D73" s="6" t="inlineStr">
        <is>
          <t>Financial</t>
        </is>
      </c>
      <c r="E73" s="6" t="inlineStr">
        <is>
          <t>Cost of Revenue</t>
        </is>
      </c>
      <c r="F73" s="6" t="n">
        <v>18474</v>
      </c>
      <c r="G73" s="6" t="inlineStr">
        <is>
          <t>IDR bn</t>
        </is>
      </c>
      <c r="H73" s="6" t="n">
        <v>108</v>
      </c>
      <c r="I73" s="6" t="inlineStr">
        <is>
          <t>Beban Pokok Pendapatan (18,474.41) (17,974.49)</t>
        </is>
      </c>
      <c r="J73" s="6" t="inlineStr">
        <is>
          <t>High</t>
        </is>
      </c>
      <c r="K73" s="6" t="n"/>
      <c r="L73" s="6" t="n"/>
      <c r="M73" s="7" t="inlineStr">
        <is>
          <t>LLM</t>
        </is>
      </c>
      <c r="N73" s="7" t="inlineStr">
        <is>
          <t>2026-04-18</t>
        </is>
      </c>
      <c r="O73" s="7" t="inlineStr">
        <is>
          <t>AI</t>
        </is>
      </c>
      <c r="P73" s="7" t="n"/>
      <c r="Q73" s="7" t="n"/>
    </row>
    <row r="74" ht="15" customHeight="1" s="67">
      <c r="A74" s="6" t="inlineStr">
        <is>
          <t>PT Astra Agro Lestari Tbk</t>
        </is>
      </c>
      <c r="B74" s="6" t="inlineStr">
        <is>
          <t>AALI_2024_AR.pdf</t>
        </is>
      </c>
      <c r="C74" s="6" t="n">
        <v>2024</v>
      </c>
      <c r="D74" s="6" t="inlineStr">
        <is>
          <t>Financial</t>
        </is>
      </c>
      <c r="E74" s="6" t="inlineStr">
        <is>
          <t>Operating Expense</t>
        </is>
      </c>
      <c r="F74" s="6" t="n">
        <v>1682</v>
      </c>
      <c r="G74" s="6" t="inlineStr">
        <is>
          <t>IDR bn</t>
        </is>
      </c>
      <c r="H74" s="6" t="n">
        <v>108</v>
      </c>
      <c r="I74" s="6" t="inlineStr">
        <is>
          <t>Beban Usaha (1,682.14) (1,519.77)</t>
        </is>
      </c>
      <c r="J74" s="6" t="inlineStr">
        <is>
          <t>High</t>
        </is>
      </c>
      <c r="K74" s="6" t="n"/>
      <c r="L74" s="6" t="n"/>
      <c r="M74" s="7" t="inlineStr">
        <is>
          <t>LLM</t>
        </is>
      </c>
      <c r="N74" s="7" t="inlineStr">
        <is>
          <t>2026-04-18</t>
        </is>
      </c>
      <c r="O74" s="7" t="inlineStr">
        <is>
          <t>AI</t>
        </is>
      </c>
      <c r="P74" s="7" t="n"/>
      <c r="Q74" s="7" t="n"/>
    </row>
    <row r="75" ht="15" customHeight="1" s="67">
      <c r="A75" s="6" t="inlineStr">
        <is>
          <t>PT Astra Agro Lestari Tbk</t>
        </is>
      </c>
      <c r="B75" s="6" t="inlineStr">
        <is>
          <t>AALI_2024_AR.pdf</t>
        </is>
      </c>
      <c r="C75" s="6" t="n">
        <v>2024</v>
      </c>
      <c r="D75" s="6" t="inlineStr">
        <is>
          <t>Financial</t>
        </is>
      </c>
      <c r="E75" s="6" t="inlineStr">
        <is>
          <t>EBIT (Gross Profit - OpEx)</t>
        </is>
      </c>
      <c r="F75" s="6" t="n">
        <v>1658</v>
      </c>
      <c r="G75" s="6" t="inlineStr">
        <is>
          <t>IDR bn</t>
        </is>
      </c>
      <c r="H75" s="6" t="n">
        <v>108</v>
      </c>
      <c r="I75" s="6" t="inlineStr">
        <is>
          <t>Calculated: Gross Profit 3,340.62 - OpEx 1,682.14 = 1,658.48</t>
        </is>
      </c>
      <c r="J75" s="6" t="inlineStr">
        <is>
          <t>Medium</t>
        </is>
      </c>
      <c r="K75" s="6" t="n"/>
      <c r="L75" s="6" t="n"/>
      <c r="M75" s="7" t="inlineStr">
        <is>
          <t>LLM</t>
        </is>
      </c>
      <c r="N75" s="7" t="inlineStr">
        <is>
          <t>2026-04-18</t>
        </is>
      </c>
      <c r="O75" s="7" t="inlineStr">
        <is>
          <t>AI</t>
        </is>
      </c>
      <c r="P75" s="7" t="n"/>
      <c r="Q75" s="7" t="n"/>
    </row>
    <row r="76" ht="15" customHeight="1" s="67">
      <c r="A76" s="6" t="inlineStr">
        <is>
          <t>PT Astra Agro Lestari Tbk</t>
        </is>
      </c>
      <c r="B76" s="6" t="inlineStr">
        <is>
          <t>AALI_2024_AR.pdf</t>
        </is>
      </c>
      <c r="C76" s="6" t="n">
        <v>2024</v>
      </c>
      <c r="D76" s="6" t="inlineStr">
        <is>
          <t>Financial</t>
        </is>
      </c>
      <c r="E76" s="6" t="inlineStr">
        <is>
          <t>Finance Cost</t>
        </is>
      </c>
      <c r="F76" s="6" t="n">
        <v>265</v>
      </c>
      <c r="G76" s="6" t="inlineStr">
        <is>
          <t>IDR bn</t>
        </is>
      </c>
      <c r="H76" s="6" t="n">
        <v>108</v>
      </c>
      <c r="I76" s="6" t="inlineStr">
        <is>
          <t>Biaya Pendanaan (264.69) (268.26)</t>
        </is>
      </c>
      <c r="J76" s="6" t="inlineStr">
        <is>
          <t>High</t>
        </is>
      </c>
      <c r="K76" s="6" t="n"/>
      <c r="L76" s="6" t="n"/>
      <c r="M76" s="7" t="inlineStr">
        <is>
          <t>LLM</t>
        </is>
      </c>
      <c r="N76" s="7" t="inlineStr">
        <is>
          <t>2026-04-18</t>
        </is>
      </c>
      <c r="O76" s="7" t="inlineStr">
        <is>
          <t>AI</t>
        </is>
      </c>
      <c r="P76" s="7" t="n"/>
      <c r="Q76" s="7" t="n"/>
    </row>
    <row r="77" ht="15" customHeight="1" s="67">
      <c r="A77" s="6" t="inlineStr">
        <is>
          <t>PT Astra Agro Lestari Tbk</t>
        </is>
      </c>
      <c r="B77" s="6" t="inlineStr">
        <is>
          <t>AALI_2024_AR.pdf</t>
        </is>
      </c>
      <c r="C77" s="6" t="n">
        <v>2024</v>
      </c>
      <c r="D77" s="6" t="inlineStr">
        <is>
          <t>Financial</t>
        </is>
      </c>
      <c r="E77" s="6" t="inlineStr">
        <is>
          <t>Profit Before Income Tax</t>
        </is>
      </c>
      <c r="F77" s="6" t="n">
        <v>1707</v>
      </c>
      <c r="G77" s="6" t="inlineStr">
        <is>
          <t>IDR bn</t>
        </is>
      </c>
      <c r="H77" s="6" t="n">
        <v>108</v>
      </c>
      <c r="I77" s="6" t="inlineStr">
        <is>
          <t>Laba Sebelum Pajak Penghasilan 1,707.13 1,498.40</t>
        </is>
      </c>
      <c r="J77" s="6" t="inlineStr">
        <is>
          <t>High</t>
        </is>
      </c>
      <c r="K77" s="6" t="n"/>
      <c r="L77" s="6" t="n"/>
      <c r="M77" s="7" t="inlineStr">
        <is>
          <t>LLM</t>
        </is>
      </c>
      <c r="N77" s="7" t="inlineStr">
        <is>
          <t>2026-04-18</t>
        </is>
      </c>
      <c r="O77" s="7" t="inlineStr">
        <is>
          <t>AI</t>
        </is>
      </c>
      <c r="P77" s="7" t="n"/>
      <c r="Q77" s="7" t="n"/>
    </row>
    <row r="78" ht="15" customHeight="1" s="67">
      <c r="A78" s="6" t="inlineStr">
        <is>
          <t>PT Astra Agro Lestari Tbk</t>
        </is>
      </c>
      <c r="B78" s="6" t="inlineStr">
        <is>
          <t>AALI_2024_AR.pdf</t>
        </is>
      </c>
      <c r="C78" s="6" t="n">
        <v>2024</v>
      </c>
      <c r="D78" s="6" t="inlineStr">
        <is>
          <t>Financial</t>
        </is>
      </c>
      <c r="E78" s="6" t="inlineStr">
        <is>
          <t>Net Profit</t>
        </is>
      </c>
      <c r="F78" s="6" t="n">
        <v>1187</v>
      </c>
      <c r="G78" s="6" t="inlineStr">
        <is>
          <t>IDR bn</t>
        </is>
      </c>
      <c r="H78" s="6" t="n">
        <v>12</v>
      </c>
      <c r="I78" s="6" t="inlineStr">
        <is>
          <t>Laba Tahun Berjalan 1,187 1,088</t>
        </is>
      </c>
      <c r="J78" s="6" t="inlineStr">
        <is>
          <t>High</t>
        </is>
      </c>
      <c r="K78" s="6" t="n"/>
      <c r="L78" s="6" t="n"/>
      <c r="M78" s="7" t="inlineStr">
        <is>
          <t>LLM</t>
        </is>
      </c>
      <c r="N78" s="7" t="inlineStr">
        <is>
          <t>2026-04-18</t>
        </is>
      </c>
      <c r="O78" s="7" t="inlineStr">
        <is>
          <t>AI</t>
        </is>
      </c>
      <c r="P78" s="7" t="n"/>
      <c r="Q78" s="7" t="n"/>
    </row>
    <row r="79" ht="15" customHeight="1" s="67">
      <c r="A79" s="6" t="inlineStr">
        <is>
          <t>PT Astra Agro Lestari Tbk</t>
        </is>
      </c>
      <c r="B79" s="6" t="inlineStr">
        <is>
          <t>AALI_2024_AR.pdf</t>
        </is>
      </c>
      <c r="C79" s="6" t="n">
        <v>2024</v>
      </c>
      <c r="D79" s="6" t="inlineStr">
        <is>
          <t>Financial</t>
        </is>
      </c>
      <c r="E79" s="6" t="inlineStr">
        <is>
          <t>Profit Attributable to Parent</t>
        </is>
      </c>
      <c r="F79" s="6" t="n">
        <v>1148</v>
      </c>
      <c r="G79" s="6" t="inlineStr">
        <is>
          <t>IDR bn</t>
        </is>
      </c>
      <c r="H79" s="6" t="n">
        <v>12</v>
      </c>
      <c r="I79" s="6" t="inlineStr">
        <is>
          <t>Pemilik Entitas Induk 1,148 1,056</t>
        </is>
      </c>
      <c r="J79" s="6" t="inlineStr">
        <is>
          <t>High</t>
        </is>
      </c>
      <c r="K79" s="6" t="n"/>
      <c r="L79" s="6" t="n"/>
      <c r="M79" s="7" t="inlineStr">
        <is>
          <t>LLM</t>
        </is>
      </c>
      <c r="N79" s="7" t="inlineStr">
        <is>
          <t>2026-04-18</t>
        </is>
      </c>
      <c r="O79" s="7" t="inlineStr">
        <is>
          <t>AI</t>
        </is>
      </c>
      <c r="P79" s="7" t="n"/>
      <c r="Q79" s="7" t="n"/>
    </row>
    <row r="80" ht="15" customHeight="1" s="67">
      <c r="A80" s="6" t="inlineStr">
        <is>
          <t>PT Astra Agro Lestari Tbk</t>
        </is>
      </c>
      <c r="B80" s="6" t="inlineStr">
        <is>
          <t>AALI_2024_AR.pdf</t>
        </is>
      </c>
      <c r="C80" s="6" t="n">
        <v>2024</v>
      </c>
      <c r="D80" s="6" t="inlineStr">
        <is>
          <t>Financial</t>
        </is>
      </c>
      <c r="E80" s="6" t="inlineStr">
        <is>
          <t>Total Assets</t>
        </is>
      </c>
      <c r="F80" s="6" t="n">
        <v>28793</v>
      </c>
      <c r="G80" s="6" t="inlineStr">
        <is>
          <t>IDR bn</t>
        </is>
      </c>
      <c r="H80" s="6" t="n">
        <v>12</v>
      </c>
      <c r="I80" s="6" t="inlineStr">
        <is>
          <t>Total Aset 28,793 28,846</t>
        </is>
      </c>
      <c r="J80" s="6" t="inlineStr">
        <is>
          <t>High</t>
        </is>
      </c>
      <c r="K80" s="6" t="n"/>
      <c r="L80" s="6" t="n"/>
      <c r="M80" s="7" t="inlineStr">
        <is>
          <t>LLM</t>
        </is>
      </c>
      <c r="N80" s="7" t="inlineStr">
        <is>
          <t>2026-04-18</t>
        </is>
      </c>
      <c r="O80" s="7" t="inlineStr">
        <is>
          <t>AI</t>
        </is>
      </c>
      <c r="P80" s="7" t="n"/>
      <c r="Q80" s="7" t="n"/>
    </row>
    <row r="81" ht="15" customHeight="1" s="67">
      <c r="A81" s="6" t="inlineStr">
        <is>
          <t>PT Astra Agro Lestari Tbk</t>
        </is>
      </c>
      <c r="B81" s="6" t="inlineStr">
        <is>
          <t>AALI_2024_AR.pdf</t>
        </is>
      </c>
      <c r="C81" s="6" t="n">
        <v>2024</v>
      </c>
      <c r="D81" s="6" t="inlineStr">
        <is>
          <t>Financial</t>
        </is>
      </c>
      <c r="E81" s="6" t="inlineStr">
        <is>
          <t>Current Assets</t>
        </is>
      </c>
      <c r="F81" s="6" t="n">
        <v>8434</v>
      </c>
      <c r="G81" s="6" t="inlineStr">
        <is>
          <t>IDR bn</t>
        </is>
      </c>
      <c r="H81" s="6" t="n">
        <v>12</v>
      </c>
      <c r="I81" s="6" t="inlineStr">
        <is>
          <t>Aset Lancar 8,434 7,118</t>
        </is>
      </c>
      <c r="J81" s="6" t="inlineStr">
        <is>
          <t>High</t>
        </is>
      </c>
      <c r="K81" s="6" t="n"/>
      <c r="L81" s="6" t="n"/>
      <c r="M81" s="7" t="inlineStr">
        <is>
          <t>LLM</t>
        </is>
      </c>
      <c r="N81" s="7" t="inlineStr">
        <is>
          <t>2026-04-18</t>
        </is>
      </c>
      <c r="O81" s="7" t="inlineStr">
        <is>
          <t>AI</t>
        </is>
      </c>
      <c r="P81" s="7" t="n"/>
      <c r="Q81" s="7" t="n"/>
    </row>
    <row r="82" ht="15" customHeight="1" s="67">
      <c r="A82" s="6" t="inlineStr">
        <is>
          <t>PT Astra Agro Lestari Tbk</t>
        </is>
      </c>
      <c r="B82" s="6" t="inlineStr">
        <is>
          <t>AALI_2024_AR.pdf</t>
        </is>
      </c>
      <c r="C82" s="6" t="n">
        <v>2024</v>
      </c>
      <c r="D82" s="6" t="inlineStr">
        <is>
          <t>Financial</t>
        </is>
      </c>
      <c r="E82" s="6" t="inlineStr">
        <is>
          <t>Non-Current Assets</t>
        </is>
      </c>
      <c r="F82" s="6" t="n">
        <v>20360</v>
      </c>
      <c r="G82" s="6" t="inlineStr">
        <is>
          <t>IDR bn</t>
        </is>
      </c>
      <c r="H82" s="6" t="n">
        <v>12</v>
      </c>
      <c r="I82" s="6" t="inlineStr">
        <is>
          <t>Aset Tidak Lancar 20,360 21,728</t>
        </is>
      </c>
      <c r="J82" s="6" t="inlineStr">
        <is>
          <t>High</t>
        </is>
      </c>
      <c r="K82" s="6" t="n"/>
      <c r="L82" s="6" t="n"/>
      <c r="M82" s="7" t="inlineStr">
        <is>
          <t>LLM</t>
        </is>
      </c>
      <c r="N82" s="7" t="inlineStr">
        <is>
          <t>2026-04-18</t>
        </is>
      </c>
      <c r="O82" s="7" t="inlineStr">
        <is>
          <t>AI</t>
        </is>
      </c>
      <c r="P82" s="7" t="n"/>
      <c r="Q82" s="7" t="n"/>
    </row>
    <row r="83" ht="15" customHeight="1" s="67">
      <c r="A83" s="6" t="inlineStr">
        <is>
          <t>PT Astra Agro Lestari Tbk</t>
        </is>
      </c>
      <c r="B83" s="6" t="inlineStr">
        <is>
          <t>AALI_2024_AR.pdf</t>
        </is>
      </c>
      <c r="C83" s="6" t="n">
        <v>2024</v>
      </c>
      <c r="D83" s="6" t="inlineStr">
        <is>
          <t>Financial</t>
        </is>
      </c>
      <c r="E83" s="6" t="inlineStr">
        <is>
          <t>Total Liabilities</t>
        </is>
      </c>
      <c r="F83" s="6" t="n">
        <v>5591</v>
      </c>
      <c r="G83" s="6" t="inlineStr">
        <is>
          <t>IDR bn</t>
        </is>
      </c>
      <c r="H83" s="6" t="n">
        <v>12</v>
      </c>
      <c r="I83" s="6" t="inlineStr">
        <is>
          <t>Total Liabilitas 5,591 6,280</t>
        </is>
      </c>
      <c r="J83" s="6" t="inlineStr">
        <is>
          <t>High</t>
        </is>
      </c>
      <c r="K83" s="6" t="n"/>
      <c r="L83" s="6" t="n"/>
      <c r="M83" s="7" t="inlineStr">
        <is>
          <t>LLM</t>
        </is>
      </c>
      <c r="N83" s="7" t="inlineStr">
        <is>
          <t>2026-04-18</t>
        </is>
      </c>
      <c r="O83" s="7" t="inlineStr">
        <is>
          <t>AI</t>
        </is>
      </c>
      <c r="P83" s="7" t="n"/>
      <c r="Q83" s="7" t="n"/>
    </row>
    <row r="84" ht="15" customHeight="1" s="67">
      <c r="A84" s="6" t="inlineStr">
        <is>
          <t>PT Astra Agro Lestari Tbk</t>
        </is>
      </c>
      <c r="B84" s="6" t="inlineStr">
        <is>
          <t>AALI_2024_AR.pdf</t>
        </is>
      </c>
      <c r="C84" s="6" t="n">
        <v>2024</v>
      </c>
      <c r="D84" s="6" t="inlineStr">
        <is>
          <t>Financial</t>
        </is>
      </c>
      <c r="E84" s="6" t="inlineStr">
        <is>
          <t>Current Liabilities</t>
        </is>
      </c>
      <c r="F84" s="6" t="n">
        <v>3238</v>
      </c>
      <c r="G84" s="6" t="inlineStr">
        <is>
          <t>IDR bn</t>
        </is>
      </c>
      <c r="H84" s="6" t="n">
        <v>12</v>
      </c>
      <c r="I84" s="6" t="inlineStr">
        <is>
          <t>Liabilitas Jangka Pendek 3,238 3,882</t>
        </is>
      </c>
      <c r="J84" s="6" t="inlineStr">
        <is>
          <t>High</t>
        </is>
      </c>
      <c r="K84" s="6" t="n"/>
      <c r="L84" s="6" t="n"/>
      <c r="M84" s="7" t="inlineStr">
        <is>
          <t>LLM</t>
        </is>
      </c>
      <c r="N84" s="7" t="inlineStr">
        <is>
          <t>2026-04-18</t>
        </is>
      </c>
      <c r="O84" s="7" t="inlineStr">
        <is>
          <t>AI</t>
        </is>
      </c>
      <c r="P84" s="7" t="n"/>
      <c r="Q84" s="7" t="n"/>
    </row>
    <row r="85" ht="15" customHeight="1" s="67">
      <c r="A85" s="6" t="inlineStr">
        <is>
          <t>PT Astra Agro Lestari Tbk</t>
        </is>
      </c>
      <c r="B85" s="6" t="inlineStr">
        <is>
          <t>AALI_2024_AR.pdf</t>
        </is>
      </c>
      <c r="C85" s="6" t="n">
        <v>2024</v>
      </c>
      <c r="D85" s="6" t="inlineStr">
        <is>
          <t>Financial</t>
        </is>
      </c>
      <c r="E85" s="6" t="inlineStr">
        <is>
          <t>Non-Current Liabilities</t>
        </is>
      </c>
      <c r="F85" s="6" t="n">
        <v>2354</v>
      </c>
      <c r="G85" s="6" t="inlineStr">
        <is>
          <t>IDR bn</t>
        </is>
      </c>
      <c r="H85" s="6" t="n">
        <v>12</v>
      </c>
      <c r="I85" s="6" t="inlineStr">
        <is>
          <t>Liabilitas Jangka Panjang 2,354 2,398</t>
        </is>
      </c>
      <c r="J85" s="6" t="inlineStr">
        <is>
          <t>High</t>
        </is>
      </c>
      <c r="K85" s="6" t="n"/>
      <c r="L85" s="6" t="n"/>
      <c r="M85" s="7" t="inlineStr">
        <is>
          <t>LLM</t>
        </is>
      </c>
      <c r="N85" s="7" t="inlineStr">
        <is>
          <t>2026-04-18</t>
        </is>
      </c>
      <c r="O85" s="7" t="inlineStr">
        <is>
          <t>AI</t>
        </is>
      </c>
      <c r="P85" s="7" t="n"/>
      <c r="Q85" s="7" t="n"/>
    </row>
    <row r="86" ht="15" customHeight="1" s="67">
      <c r="A86" s="6" t="inlineStr">
        <is>
          <t>PT Astra Agro Lestari Tbk</t>
        </is>
      </c>
      <c r="B86" s="6" t="inlineStr">
        <is>
          <t>AALI_2024_AR.pdf</t>
        </is>
      </c>
      <c r="C86" s="6" t="n">
        <v>2024</v>
      </c>
      <c r="D86" s="6" t="inlineStr">
        <is>
          <t>Financial</t>
        </is>
      </c>
      <c r="E86" s="6" t="inlineStr">
        <is>
          <t>Total Equity</t>
        </is>
      </c>
      <c r="F86" s="6" t="n">
        <v>23202</v>
      </c>
      <c r="G86" s="6" t="inlineStr">
        <is>
          <t>IDR bn</t>
        </is>
      </c>
      <c r="H86" s="6" t="n">
        <v>12</v>
      </c>
      <c r="I86" s="6" t="inlineStr">
        <is>
          <t>Total Ekuitas 23,202 22,566</t>
        </is>
      </c>
      <c r="J86" s="6" t="inlineStr">
        <is>
          <t>High</t>
        </is>
      </c>
      <c r="K86" s="6" t="n"/>
      <c r="L86" s="6" t="n"/>
      <c r="M86" s="7" t="inlineStr">
        <is>
          <t>LLM</t>
        </is>
      </c>
      <c r="N86" s="7" t="inlineStr">
        <is>
          <t>2026-04-18</t>
        </is>
      </c>
      <c r="O86" s="7" t="inlineStr">
        <is>
          <t>AI</t>
        </is>
      </c>
      <c r="P86" s="7" t="n"/>
      <c r="Q86" s="7" t="n"/>
    </row>
    <row r="87" ht="15" customHeight="1" s="67">
      <c r="A87" s="6" t="inlineStr">
        <is>
          <t>PT Astra Agro Lestari Tbk</t>
        </is>
      </c>
      <c r="B87" s="6" t="inlineStr">
        <is>
          <t>AALI_2024_AR.pdf</t>
        </is>
      </c>
      <c r="C87" s="6" t="n">
        <v>2024</v>
      </c>
      <c r="D87" s="6" t="inlineStr">
        <is>
          <t>Financial</t>
        </is>
      </c>
      <c r="E87" s="6" t="inlineStr">
        <is>
          <t>Cash &amp; Cash Equivalents</t>
        </is>
      </c>
      <c r="F87" s="6" t="n">
        <v>3236</v>
      </c>
      <c r="G87" s="6" t="inlineStr">
        <is>
          <t>IDR bn</t>
        </is>
      </c>
      <c r="H87" s="6" t="n">
        <v>107</v>
      </c>
      <c r="I87" s="6" t="inlineStr">
        <is>
          <t>Kas &amp; Setara Kas 3,236.01 2,089.51</t>
        </is>
      </c>
      <c r="J87" s="6" t="inlineStr">
        <is>
          <t>High</t>
        </is>
      </c>
      <c r="K87" s="6" t="n"/>
      <c r="L87" s="6" t="n"/>
      <c r="M87" s="7" t="inlineStr">
        <is>
          <t>LLM</t>
        </is>
      </c>
      <c r="N87" s="7" t="inlineStr">
        <is>
          <t>2026-04-18</t>
        </is>
      </c>
      <c r="O87" s="7" t="inlineStr">
        <is>
          <t>AI</t>
        </is>
      </c>
      <c r="P87" s="7" t="n"/>
      <c r="Q87" s="7" t="n"/>
    </row>
    <row r="88" ht="15" customHeight="1" s="67">
      <c r="A88" s="6" t="inlineStr">
        <is>
          <t>PT Astra Agro Lestari Tbk</t>
        </is>
      </c>
      <c r="B88" s="6" t="inlineStr">
        <is>
          <t>AALI_2024_AR.pdf</t>
        </is>
      </c>
      <c r="C88" s="6" t="n">
        <v>2024</v>
      </c>
      <c r="D88" s="6" t="inlineStr">
        <is>
          <t>Financial</t>
        </is>
      </c>
      <c r="E88" s="6" t="inlineStr">
        <is>
          <t>Short-term Bank Loans (Current Maturities)</t>
        </is>
      </c>
      <c r="F88" s="6" t="n">
        <v>1690</v>
      </c>
      <c r="G88" s="6" t="inlineStr">
        <is>
          <t>IDR bn</t>
        </is>
      </c>
      <c r="H88" s="6" t="n">
        <v>107</v>
      </c>
      <c r="I88" s="6" t="inlineStr">
        <is>
          <t>Bagian Pinjaman Bank Jangka Panjang yang Jatuh Tempo dalam Waktu Satu Tahun 1,689.54</t>
        </is>
      </c>
      <c r="J88" s="6" t="inlineStr">
        <is>
          <t>High</t>
        </is>
      </c>
      <c r="K88" s="6" t="n"/>
      <c r="L88" s="6" t="n"/>
      <c r="M88" s="7" t="inlineStr">
        <is>
          <t>LLM</t>
        </is>
      </c>
      <c r="N88" s="7" t="inlineStr">
        <is>
          <t>2026-04-18</t>
        </is>
      </c>
      <c r="O88" s="7" t="inlineStr">
        <is>
          <t>AI</t>
        </is>
      </c>
      <c r="P88" s="7" t="n"/>
      <c r="Q88" s="7" t="n"/>
    </row>
    <row r="89" ht="15" customHeight="1" s="67">
      <c r="A89" s="6" t="inlineStr">
        <is>
          <t>PT Astra Agro Lestari Tbk</t>
        </is>
      </c>
      <c r="B89" s="6" t="inlineStr">
        <is>
          <t>AALI_2024_AR.pdf</t>
        </is>
      </c>
      <c r="C89" s="6" t="n">
        <v>2024</v>
      </c>
      <c r="D89" s="6" t="inlineStr">
        <is>
          <t>Financial</t>
        </is>
      </c>
      <c r="E89" s="6" t="inlineStr">
        <is>
          <t>Long-term Bank Loans</t>
        </is>
      </c>
      <c r="F89" s="6" t="n">
        <v>1500</v>
      </c>
      <c r="G89" s="6" t="inlineStr">
        <is>
          <t>IDR bn</t>
        </is>
      </c>
      <c r="H89" s="6" t="n">
        <v>107</v>
      </c>
      <c r="I89" s="6" t="inlineStr">
        <is>
          <t>Pinjaman Bank Jangka Panjang 1,500.00 1,689.75</t>
        </is>
      </c>
      <c r="J89" s="6" t="inlineStr">
        <is>
          <t>High</t>
        </is>
      </c>
      <c r="K89" s="6" t="n"/>
      <c r="L89" s="6" t="n"/>
      <c r="M89" s="7" t="inlineStr">
        <is>
          <t>LLM</t>
        </is>
      </c>
      <c r="N89" s="7" t="inlineStr">
        <is>
          <t>2026-04-18</t>
        </is>
      </c>
      <c r="O89" s="7" t="inlineStr">
        <is>
          <t>AI</t>
        </is>
      </c>
      <c r="P89" s="7" t="n"/>
      <c r="Q89" s="7" t="n"/>
    </row>
    <row r="90" ht="15" customHeight="1" s="67">
      <c r="A90" s="6" t="inlineStr">
        <is>
          <t>PT Astra Agro Lestari Tbk</t>
        </is>
      </c>
      <c r="B90" s="6" t="inlineStr">
        <is>
          <t>AALI_2024_AR.pdf</t>
        </is>
      </c>
      <c r="C90" s="6" t="n">
        <v>2024</v>
      </c>
      <c r="D90" s="6" t="inlineStr">
        <is>
          <t>Financial</t>
        </is>
      </c>
      <c r="E90" s="6" t="inlineStr">
        <is>
          <t>Gross Debt (ST+LT bank loans)</t>
        </is>
      </c>
      <c r="F90" s="6" t="n">
        <v>3190</v>
      </c>
      <c r="G90" s="6" t="inlineStr">
        <is>
          <t>IDR bn</t>
        </is>
      </c>
      <c r="H90" s="6" t="n">
        <v>107</v>
      </c>
      <c r="I90" s="6" t="inlineStr">
        <is>
          <t>Calculated: 1,689.54 + 1,500 = 3,189.54 bn</t>
        </is>
      </c>
      <c r="J90" s="6" t="inlineStr">
        <is>
          <t>High</t>
        </is>
      </c>
      <c r="K90" s="6" t="n"/>
      <c r="L90" s="6" t="n"/>
      <c r="M90" s="7" t="inlineStr">
        <is>
          <t>LLM</t>
        </is>
      </c>
      <c r="N90" s="7" t="inlineStr">
        <is>
          <t>2026-04-18</t>
        </is>
      </c>
      <c r="O90" s="7" t="inlineStr">
        <is>
          <t>AI</t>
        </is>
      </c>
      <c r="P90" s="7" t="n"/>
      <c r="Q90" s="7" t="n"/>
    </row>
    <row r="91" ht="15" customHeight="1" s="67">
      <c r="A91" s="6" t="inlineStr">
        <is>
          <t>PT Astra Agro Lestari Tbk</t>
        </is>
      </c>
      <c r="B91" s="6" t="inlineStr">
        <is>
          <t>AALI_2024_AR.pdf</t>
        </is>
      </c>
      <c r="C91" s="6" t="n">
        <v>2024</v>
      </c>
      <c r="D91" s="6" t="inlineStr">
        <is>
          <t>Financial</t>
        </is>
      </c>
      <c r="E91" s="6" t="inlineStr">
        <is>
          <t>Trade Receivables</t>
        </is>
      </c>
      <c r="F91" s="6" t="n">
        <v>371</v>
      </c>
      <c r="G91" s="6" t="inlineStr">
        <is>
          <t>IDR bn</t>
        </is>
      </c>
      <c r="H91" s="6" t="n">
        <v>106</v>
      </c>
      <c r="I91" s="6" t="inlineStr">
        <is>
          <t>Piutang Usaha 370.61 674.49</t>
        </is>
      </c>
      <c r="J91" s="6" t="inlineStr">
        <is>
          <t>High</t>
        </is>
      </c>
      <c r="K91" s="6" t="n"/>
      <c r="L91" s="6" t="n"/>
      <c r="M91" s="7" t="inlineStr">
        <is>
          <t>LLM</t>
        </is>
      </c>
      <c r="N91" s="7" t="inlineStr">
        <is>
          <t>2026-04-18</t>
        </is>
      </c>
      <c r="O91" s="7" t="inlineStr">
        <is>
          <t>AI</t>
        </is>
      </c>
      <c r="P91" s="7" t="n"/>
      <c r="Q91" s="7" t="n"/>
    </row>
    <row r="92" ht="15" customHeight="1" s="67">
      <c r="A92" s="6" t="inlineStr">
        <is>
          <t>PT Astra Agro Lestari Tbk</t>
        </is>
      </c>
      <c r="B92" s="6" t="inlineStr">
        <is>
          <t>AALI_2024_AR.pdf</t>
        </is>
      </c>
      <c r="C92" s="6" t="n">
        <v>2024</v>
      </c>
      <c r="D92" s="6" t="inlineStr">
        <is>
          <t>Financial</t>
        </is>
      </c>
      <c r="E92" s="6" t="inlineStr">
        <is>
          <t>Inventories</t>
        </is>
      </c>
      <c r="F92" s="6" t="n">
        <v>3700</v>
      </c>
      <c r="G92" s="6" t="inlineStr">
        <is>
          <t>IDR bn</t>
        </is>
      </c>
      <c r="H92" s="6" t="n">
        <v>106</v>
      </c>
      <c r="I92" s="6" t="inlineStr">
        <is>
          <t>Persediaan 3,699.97 2,876.10</t>
        </is>
      </c>
      <c r="J92" s="6" t="inlineStr">
        <is>
          <t>High</t>
        </is>
      </c>
      <c r="K92" s="6" t="n"/>
      <c r="L92" s="6" t="n"/>
      <c r="M92" s="7" t="inlineStr">
        <is>
          <t>LLM</t>
        </is>
      </c>
      <c r="N92" s="7" t="inlineStr">
        <is>
          <t>2026-04-18</t>
        </is>
      </c>
      <c r="O92" s="7" t="inlineStr">
        <is>
          <t>AI</t>
        </is>
      </c>
      <c r="P92" s="7" t="n"/>
      <c r="Q92" s="7" t="n"/>
    </row>
    <row r="93" ht="15" customHeight="1" s="67">
      <c r="A93" s="6" t="inlineStr">
        <is>
          <t>PT Astra Agro Lestari Tbk</t>
        </is>
      </c>
      <c r="B93" s="6" t="inlineStr">
        <is>
          <t>AALI_2024_AR.pdf</t>
        </is>
      </c>
      <c r="C93" s="6" t="n">
        <v>2024</v>
      </c>
      <c r="D93" s="6" t="inlineStr">
        <is>
          <t>Financial</t>
        </is>
      </c>
      <c r="E93" s="6" t="inlineStr">
        <is>
          <t>CFO (Cash from Operating Activities)</t>
        </is>
      </c>
      <c r="F93" s="6" t="n">
        <v>3380</v>
      </c>
      <c r="G93" s="6" t="inlineStr">
        <is>
          <t>IDR bn</t>
        </is>
      </c>
      <c r="H93" s="6" t="n">
        <v>109</v>
      </c>
      <c r="I93" s="6" t="inlineStr">
        <is>
          <t>arus kas bersih dari aktivitas operasi tahun buku 2024 sebesar Rp3,38 triliun</t>
        </is>
      </c>
      <c r="J93" s="6" t="inlineStr">
        <is>
          <t>High</t>
        </is>
      </c>
      <c r="K93" s="6" t="n"/>
      <c r="L93" s="6" t="n"/>
      <c r="M93" s="7" t="inlineStr">
        <is>
          <t>LLM</t>
        </is>
      </c>
      <c r="N93" s="7" t="inlineStr">
        <is>
          <t>2026-04-18</t>
        </is>
      </c>
      <c r="O93" s="7" t="inlineStr">
        <is>
          <t>AI</t>
        </is>
      </c>
      <c r="P93" s="7" t="n"/>
      <c r="Q93" s="7" t="n"/>
    </row>
    <row r="94" ht="15" customHeight="1" s="67">
      <c r="A94" s="6" t="inlineStr">
        <is>
          <t>PT Astra Agro Lestari Tbk</t>
        </is>
      </c>
      <c r="B94" s="6" t="inlineStr">
        <is>
          <t>AALI_2024_AR.pdf</t>
        </is>
      </c>
      <c r="C94" s="6" t="n">
        <v>2024</v>
      </c>
      <c r="D94" s="6" t="inlineStr">
        <is>
          <t>Financial</t>
        </is>
      </c>
      <c r="E94" s="6" t="inlineStr">
        <is>
          <t>CFI (Cash from Investing Activities)</t>
        </is>
      </c>
      <c r="F94" s="6" t="n">
        <v>-940</v>
      </c>
      <c r="G94" s="6" t="inlineStr">
        <is>
          <t>IDR bn</t>
        </is>
      </c>
      <c r="H94" s="6" t="n">
        <v>109</v>
      </c>
      <c r="I94" s="6" t="inlineStr">
        <is>
          <t>arus kas bersih dari aktivitas investasi Perseroan pada tahun 2024 tercatat sebesar Rp0,94 triliun</t>
        </is>
      </c>
      <c r="J94" s="6" t="inlineStr">
        <is>
          <t>Medium</t>
        </is>
      </c>
      <c r="K94" s="6" t="n"/>
      <c r="L94" s="6" t="n"/>
      <c r="M94" s="7" t="inlineStr">
        <is>
          <t>LLM</t>
        </is>
      </c>
      <c r="N94" s="7" t="inlineStr">
        <is>
          <t>2026-04-18</t>
        </is>
      </c>
      <c r="O94" s="7" t="inlineStr">
        <is>
          <t>AI</t>
        </is>
      </c>
      <c r="P94" s="7" t="n"/>
      <c r="Q94" s="7" t="n"/>
    </row>
    <row r="95" ht="15" customHeight="1" s="67">
      <c r="A95" s="6" t="inlineStr">
        <is>
          <t>PT Astra Agro Lestari Tbk</t>
        </is>
      </c>
      <c r="B95" s="6" t="inlineStr">
        <is>
          <t>AALI_2024_AR.pdf</t>
        </is>
      </c>
      <c r="C95" s="6" t="n">
        <v>2024</v>
      </c>
      <c r="D95" s="6" t="inlineStr">
        <is>
          <t>Financial</t>
        </is>
      </c>
      <c r="E95" s="6" t="inlineStr">
        <is>
          <t>Capex (Realized)</t>
        </is>
      </c>
      <c r="F95" s="6" t="n">
        <v>941</v>
      </c>
      <c r="G95" s="6" t="inlineStr">
        <is>
          <t>IDR bn</t>
        </is>
      </c>
      <c r="H95" s="6" t="n">
        <v>111</v>
      </c>
      <c r="I95" s="6" t="inlineStr">
        <is>
          <t>Aset Tetap 411,661; Tanaman Produktif 528,942; Jumlah 940,603 (million Rp)</t>
        </is>
      </c>
      <c r="J95" s="6" t="inlineStr">
        <is>
          <t>High</t>
        </is>
      </c>
      <c r="K95" s="6" t="n"/>
      <c r="L95" s="6" t="n"/>
      <c r="M95" s="7" t="inlineStr">
        <is>
          <t>LLM</t>
        </is>
      </c>
      <c r="N95" s="7" t="inlineStr">
        <is>
          <t>2026-04-18</t>
        </is>
      </c>
      <c r="O95" s="7" t="inlineStr">
        <is>
          <t>AI</t>
        </is>
      </c>
      <c r="P95" s="7" t="n"/>
      <c r="Q95" s="7" t="n"/>
    </row>
    <row r="96" ht="15" customHeight="1" s="67">
      <c r="A96" s="6" t="inlineStr">
        <is>
          <t>PT Astra Agro Lestari Tbk</t>
        </is>
      </c>
      <c r="B96" s="6" t="inlineStr">
        <is>
          <t>AALI_2024_AR.pdf</t>
        </is>
      </c>
      <c r="C96" s="6" t="n">
        <v>2024</v>
      </c>
      <c r="D96" s="6" t="inlineStr">
        <is>
          <t>Financial</t>
        </is>
      </c>
      <c r="E96" s="6" t="inlineStr">
        <is>
          <t>Capex Commitment</t>
        </is>
      </c>
      <c r="F96" s="6" t="n">
        <v>1400</v>
      </c>
      <c r="G96" s="6" t="inlineStr">
        <is>
          <t>IDR bn</t>
        </is>
      </c>
      <c r="H96" s="6" t="n">
        <v>111</v>
      </c>
      <c r="I96" s="6" t="inlineStr">
        <is>
          <t>telah memiliki komitmen untuk belanja barang modal sejumlah Rp1,4 triliun</t>
        </is>
      </c>
      <c r="J96" s="6" t="inlineStr">
        <is>
          <t>High</t>
        </is>
      </c>
      <c r="K96" s="6" t="n"/>
      <c r="L96" s="6" t="n"/>
      <c r="M96" s="7" t="inlineStr">
        <is>
          <t>LLM</t>
        </is>
      </c>
      <c r="N96" s="7" t="inlineStr">
        <is>
          <t>2026-04-18</t>
        </is>
      </c>
      <c r="O96" s="7" t="inlineStr">
        <is>
          <t>AI</t>
        </is>
      </c>
      <c r="P96" s="7" t="n"/>
      <c r="Q96" s="7" t="n"/>
    </row>
    <row r="97" ht="15" customHeight="1" s="67">
      <c r="A97" s="6" t="inlineStr">
        <is>
          <t>PT Astra Agro Lestari Tbk</t>
        </is>
      </c>
      <c r="B97" s="6" t="inlineStr">
        <is>
          <t>AALI_2024_AR.pdf</t>
        </is>
      </c>
      <c r="C97" s="6" t="n">
        <v>2024</v>
      </c>
      <c r="D97" s="6" t="inlineStr">
        <is>
          <t>Financial</t>
        </is>
      </c>
      <c r="E97" s="6" t="inlineStr">
        <is>
          <t>EPS</t>
        </is>
      </c>
      <c r="F97" s="6" t="n">
        <v>596</v>
      </c>
      <c r="G97" s="6" t="inlineStr">
        <is>
          <t>Rp/share</t>
        </is>
      </c>
      <c r="H97" s="6" t="n">
        <v>12</v>
      </c>
      <c r="I97" s="6" t="inlineStr">
        <is>
          <t>Laba per Saham (Rp penuh) 596 549 897</t>
        </is>
      </c>
      <c r="J97" s="6" t="inlineStr">
        <is>
          <t>High</t>
        </is>
      </c>
      <c r="K97" s="6" t="n"/>
      <c r="L97" s="6" t="n"/>
      <c r="M97" s="7" t="inlineStr">
        <is>
          <t>LLM</t>
        </is>
      </c>
      <c r="N97" s="7" t="inlineStr">
        <is>
          <t>2026-04-18</t>
        </is>
      </c>
      <c r="O97" s="7" t="inlineStr">
        <is>
          <t>AI</t>
        </is>
      </c>
      <c r="P97" s="7" t="n"/>
      <c r="Q97" s="7" t="n"/>
    </row>
    <row r="98" ht="15" customHeight="1" s="67">
      <c r="A98" s="6" t="inlineStr">
        <is>
          <t>PT Astra Agro Lestari Tbk</t>
        </is>
      </c>
      <c r="B98" s="6" t="inlineStr">
        <is>
          <t>AALI_2024_AR.pdf</t>
        </is>
      </c>
      <c r="C98" s="6" t="n">
        <v>2024</v>
      </c>
      <c r="D98" s="6" t="inlineStr">
        <is>
          <t>Financial</t>
        </is>
      </c>
      <c r="E98" s="6" t="inlineStr">
        <is>
          <t>NAV per Share</t>
        </is>
      </c>
      <c r="F98" s="6" t="n">
        <v>12055</v>
      </c>
      <c r="G98" s="6" t="inlineStr">
        <is>
          <t>Rp/share</t>
        </is>
      </c>
      <c r="H98" s="6" t="n">
        <v>12</v>
      </c>
      <c r="I98" s="6" t="inlineStr">
        <is>
          <t>Nilai Aset Bersih per Saham (Rp) 12,055 11,724</t>
        </is>
      </c>
      <c r="J98" s="6" t="inlineStr">
        <is>
          <t>High</t>
        </is>
      </c>
      <c r="K98" s="6" t="n"/>
      <c r="L98" s="6" t="n"/>
      <c r="M98" s="7" t="inlineStr">
        <is>
          <t>LLM</t>
        </is>
      </c>
      <c r="N98" s="7" t="inlineStr">
        <is>
          <t>2026-04-18</t>
        </is>
      </c>
      <c r="O98" s="7" t="inlineStr">
        <is>
          <t>AI</t>
        </is>
      </c>
      <c r="P98" s="7" t="n"/>
      <c r="Q98" s="7" t="n"/>
    </row>
    <row r="99" ht="15" customHeight="1" s="67">
      <c r="A99" s="6" t="inlineStr">
        <is>
          <t>PT Astra Agro Lestari Tbk</t>
        </is>
      </c>
      <c r="B99" s="6" t="inlineStr">
        <is>
          <t>AALI_2024_AR.pdf</t>
        </is>
      </c>
      <c r="C99" s="6" t="n">
        <v>2024</v>
      </c>
      <c r="D99" s="6" t="inlineStr">
        <is>
          <t>Financial</t>
        </is>
      </c>
      <c r="E99" s="6" t="inlineStr">
        <is>
          <t>Interim Dividend per Share</t>
        </is>
      </c>
      <c r="F99" s="6" t="n">
        <v>84</v>
      </c>
      <c r="G99" s="6" t="inlineStr">
        <is>
          <t>Rp/share</t>
        </is>
      </c>
      <c r="H99" s="6" t="n">
        <v>12</v>
      </c>
      <c r="I99" s="6" t="inlineStr">
        <is>
          <t>Dividen Interim per Saham (Rp) 84 82 85</t>
        </is>
      </c>
      <c r="J99" s="6" t="inlineStr">
        <is>
          <t>High</t>
        </is>
      </c>
      <c r="K99" s="6" t="n"/>
      <c r="L99" s="6" t="n"/>
      <c r="M99" s="7" t="inlineStr">
        <is>
          <t>LLM</t>
        </is>
      </c>
      <c r="N99" s="7" t="inlineStr">
        <is>
          <t>2026-04-18</t>
        </is>
      </c>
      <c r="O99" s="7" t="inlineStr">
        <is>
          <t>AI</t>
        </is>
      </c>
      <c r="P99" s="7" t="n"/>
      <c r="Q99" s="7" t="n"/>
    </row>
    <row r="100" ht="15" customHeight="1" s="67">
      <c r="A100" s="6" t="inlineStr">
        <is>
          <t>PT Astra Agro Lestari Tbk</t>
        </is>
      </c>
      <c r="B100" s="6" t="inlineStr">
        <is>
          <t>AALI_2024_AR.pdf</t>
        </is>
      </c>
      <c r="C100" s="6" t="n">
        <v>2024</v>
      </c>
      <c r="D100" s="6" t="inlineStr">
        <is>
          <t>Financial</t>
        </is>
      </c>
      <c r="E100" s="6" t="inlineStr">
        <is>
          <t>Final Dividend per Share</t>
        </is>
      </c>
      <c r="F100" s="6" t="n">
        <v>165</v>
      </c>
      <c r="G100" s="6" t="inlineStr">
        <is>
          <t>Rp/share</t>
        </is>
      </c>
      <c r="H100" s="6" t="n">
        <v>12</v>
      </c>
      <c r="I100" s="6" t="inlineStr">
        <is>
          <t>Dividen Final per Saham (Rp) 165 319 359</t>
        </is>
      </c>
      <c r="J100" s="6" t="inlineStr">
        <is>
          <t>High</t>
        </is>
      </c>
      <c r="K100" s="6" t="n"/>
      <c r="L100" s="6" t="n"/>
      <c r="M100" s="7" t="inlineStr">
        <is>
          <t>LLM</t>
        </is>
      </c>
      <c r="N100" s="7" t="inlineStr">
        <is>
          <t>2026-04-18</t>
        </is>
      </c>
      <c r="O100" s="7" t="inlineStr">
        <is>
          <t>AI</t>
        </is>
      </c>
      <c r="P100" s="7" t="n"/>
      <c r="Q100" s="7" t="n"/>
    </row>
    <row r="101" ht="15" customHeight="1" s="67">
      <c r="A101" s="6" t="inlineStr">
        <is>
          <t>PT Astra Agro Lestari Tbk</t>
        </is>
      </c>
      <c r="B101" s="6" t="inlineStr">
        <is>
          <t>AALI_2024_AR.pdf</t>
        </is>
      </c>
      <c r="C101" s="6" t="n">
        <v>2024</v>
      </c>
      <c r="D101" s="6" t="inlineStr">
        <is>
          <t>Financial</t>
        </is>
      </c>
      <c r="E101" s="6" t="inlineStr">
        <is>
          <t>Shares Outstanding</t>
        </is>
      </c>
      <c r="F101" s="6" t="n">
        <v>1925</v>
      </c>
      <c r="G101" s="6" t="inlineStr">
        <is>
          <t>mn</t>
        </is>
      </c>
      <c r="H101" s="6" t="n">
        <v>12</v>
      </c>
      <c r="I101" s="6" t="inlineStr">
        <is>
          <t>Saham Beredar (dalam Jutaan) 1,925</t>
        </is>
      </c>
      <c r="J101" s="6" t="inlineStr">
        <is>
          <t>High</t>
        </is>
      </c>
      <c r="K101" s="6" t="n"/>
      <c r="L101" s="6" t="n"/>
      <c r="M101" s="7" t="inlineStr">
        <is>
          <t>LLM</t>
        </is>
      </c>
      <c r="N101" s="7" t="inlineStr">
        <is>
          <t>2026-04-18</t>
        </is>
      </c>
      <c r="O101" s="7" t="inlineStr">
        <is>
          <t>AI</t>
        </is>
      </c>
      <c r="P101" s="7" t="n"/>
      <c r="Q101" s="7" t="n"/>
    </row>
    <row r="102" ht="15" customHeight="1" s="67">
      <c r="A102" s="6" t="inlineStr">
        <is>
          <t>PT Astra Agro Lestari Tbk</t>
        </is>
      </c>
      <c r="B102" s="6" t="inlineStr">
        <is>
          <t>AALI_2024_AR.pdf</t>
        </is>
      </c>
      <c r="C102" s="6" t="n">
        <v>2024</v>
      </c>
      <c r="D102" s="6" t="inlineStr">
        <is>
          <t>Financial</t>
        </is>
      </c>
      <c r="E102" s="6" t="inlineStr">
        <is>
          <t>Closing Price (31 Dec 2024)</t>
        </is>
      </c>
      <c r="F102" s="6" t="n">
        <v>6200</v>
      </c>
      <c r="G102" s="6" t="inlineStr">
        <is>
          <t>Rp/share</t>
        </is>
      </c>
      <c r="H102" s="6" t="n">
        <v>14</v>
      </c>
      <c r="I102" s="6" t="inlineStr">
        <is>
          <t>Setahun penuh/Full year 7,200 5,250 6,200</t>
        </is>
      </c>
      <c r="J102" s="6" t="inlineStr">
        <is>
          <t>High</t>
        </is>
      </c>
      <c r="K102" s="6" t="n"/>
      <c r="L102" s="6" t="n"/>
      <c r="M102" s="7" t="inlineStr">
        <is>
          <t>LLM</t>
        </is>
      </c>
      <c r="N102" s="7" t="inlineStr">
        <is>
          <t>2026-04-18</t>
        </is>
      </c>
      <c r="O102" s="7" t="inlineStr">
        <is>
          <t>AI</t>
        </is>
      </c>
      <c r="P102" s="7" t="n"/>
      <c r="Q102" s="7" t="n"/>
    </row>
    <row r="103" ht="15" customHeight="1" s="67">
      <c r="A103" s="6" t="inlineStr">
        <is>
          <t>PT Astra Agro Lestari Tbk</t>
        </is>
      </c>
      <c r="B103" s="6" t="inlineStr">
        <is>
          <t>AALI_2024_AR.pdf</t>
        </is>
      </c>
      <c r="C103" s="6" t="n">
        <v>2024</v>
      </c>
      <c r="D103" s="6" t="inlineStr">
        <is>
          <t>Financial</t>
        </is>
      </c>
      <c r="E103" s="6" t="inlineStr">
        <is>
          <t>Market Cap</t>
        </is>
      </c>
      <c r="F103" s="6" t="n">
        <v>11930</v>
      </c>
      <c r="G103" s="6" t="inlineStr">
        <is>
          <t>IDR bn</t>
        </is>
      </c>
      <c r="H103" s="6" t="n">
        <v>14</v>
      </c>
      <c r="I103" s="6" t="inlineStr">
        <is>
          <t>Kapitalisasi Pasar per 31 Desember 2024 Rp11.93 triliun</t>
        </is>
      </c>
      <c r="J103" s="6" t="inlineStr">
        <is>
          <t>High</t>
        </is>
      </c>
      <c r="K103" s="6" t="n"/>
      <c r="L103" s="6" t="n"/>
      <c r="M103" s="7" t="inlineStr">
        <is>
          <t>LLM</t>
        </is>
      </c>
      <c r="N103" s="7" t="inlineStr">
        <is>
          <t>2026-04-18</t>
        </is>
      </c>
      <c r="O103" s="7" t="inlineStr">
        <is>
          <t>AI</t>
        </is>
      </c>
      <c r="P103" s="7" t="n"/>
      <c r="Q103" s="7" t="n"/>
    </row>
    <row r="104" ht="15" customHeight="1" s="67">
      <c r="A104" s="6" t="inlineStr">
        <is>
          <t>PT Astra Agro Lestari Tbk</t>
        </is>
      </c>
      <c r="B104" s="6" t="inlineStr">
        <is>
          <t>AALI_2024_AR.pdf</t>
        </is>
      </c>
      <c r="C104" s="6" t="n">
        <v>2024</v>
      </c>
      <c r="D104" s="6" t="inlineStr">
        <is>
          <t>Financial</t>
        </is>
      </c>
      <c r="E104" s="6" t="inlineStr">
        <is>
          <t>Gearing Ratio</t>
        </is>
      </c>
      <c r="F104" s="6" t="n">
        <v>0.01</v>
      </c>
      <c r="G104" s="6" t="inlineStr">
        <is>
          <t>%</t>
        </is>
      </c>
      <c r="H104" s="6" t="n">
        <v>110</v>
      </c>
      <c r="I104" s="6" t="inlineStr">
        <is>
          <t>Pada tahun 2024, Perseroan mencatat rasio gearing sebesar kurang dari 1%</t>
        </is>
      </c>
      <c r="J104" s="6" t="inlineStr">
        <is>
          <t>High</t>
        </is>
      </c>
      <c r="K104" s="6" t="n"/>
      <c r="L104" s="6" t="n"/>
      <c r="M104" s="7" t="inlineStr">
        <is>
          <t>LLM</t>
        </is>
      </c>
      <c r="N104" s="7" t="inlineStr">
        <is>
          <t>2026-04-18</t>
        </is>
      </c>
      <c r="O104" s="7" t="inlineStr">
        <is>
          <t>AI</t>
        </is>
      </c>
      <c r="P104" s="7" t="n"/>
      <c r="Q104" s="7" t="n"/>
    </row>
    <row r="105" ht="15" customHeight="1" s="67">
      <c r="A105" s="6" t="inlineStr">
        <is>
          <t>PT Astra Agro Lestari Tbk</t>
        </is>
      </c>
      <c r="B105" s="6" t="inlineStr">
        <is>
          <t>AALI_2024_AR.pdf</t>
        </is>
      </c>
      <c r="C105" s="6" t="n">
        <v>2024</v>
      </c>
      <c r="D105" s="6" t="inlineStr">
        <is>
          <t>Financial</t>
        </is>
      </c>
      <c r="E105" s="6" t="inlineStr">
        <is>
          <t>Current Ratio</t>
        </is>
      </c>
      <c r="F105" s="6" t="n">
        <v>2.6</v>
      </c>
      <c r="G105" s="6" t="inlineStr">
        <is>
          <t>x</t>
        </is>
      </c>
      <c r="H105" s="6" t="n">
        <v>110</v>
      </c>
      <c r="I105" s="6" t="inlineStr">
        <is>
          <t>rasio lancar tercatat sebesar 2,60 kali di tahun 2024</t>
        </is>
      </c>
      <c r="J105" s="6" t="inlineStr">
        <is>
          <t>High</t>
        </is>
      </c>
      <c r="K105" s="6" t="n"/>
      <c r="L105" s="6" t="n"/>
      <c r="M105" s="7" t="inlineStr">
        <is>
          <t>LLM</t>
        </is>
      </c>
      <c r="N105" s="7" t="inlineStr">
        <is>
          <t>2026-04-18</t>
        </is>
      </c>
      <c r="O105" s="7" t="inlineStr">
        <is>
          <t>AI</t>
        </is>
      </c>
      <c r="P105" s="7" t="n"/>
      <c r="Q105" s="7" t="n"/>
    </row>
    <row r="106" ht="15" customHeight="1" s="67">
      <c r="A106" s="6" t="inlineStr">
        <is>
          <t>PT Astra Agro Lestari Tbk</t>
        </is>
      </c>
      <c r="B106" s="6" t="inlineStr">
        <is>
          <t>AALI_2024_AR.pdf</t>
        </is>
      </c>
      <c r="C106" s="6" t="n">
        <v>2024</v>
      </c>
      <c r="D106" s="6" t="inlineStr">
        <is>
          <t>Asset</t>
        </is>
      </c>
      <c r="E106" s="6" t="inlineStr">
        <is>
          <t>Total Planted Area</t>
        </is>
      </c>
      <c r="F106" s="6" t="n">
        <v>284831</v>
      </c>
      <c r="G106" s="6" t="inlineStr">
        <is>
          <t>ha</t>
        </is>
      </c>
      <c r="H106" s="6" t="n">
        <v>15</v>
      </c>
      <c r="I106" s="6" t="inlineStr">
        <is>
          <t>Total Lahan Tertanam 284,831 285,387</t>
        </is>
      </c>
      <c r="J106" s="6" t="inlineStr">
        <is>
          <t>High</t>
        </is>
      </c>
      <c r="K106" s="6" t="n"/>
      <c r="L106" s="6" t="n"/>
      <c r="M106" s="7" t="inlineStr">
        <is>
          <t>LLM</t>
        </is>
      </c>
      <c r="N106" s="7" t="inlineStr">
        <is>
          <t>2026-04-18</t>
        </is>
      </c>
      <c r="O106" s="7" t="inlineStr">
        <is>
          <t>AI</t>
        </is>
      </c>
      <c r="P106" s="7" t="n"/>
      <c r="Q106" s="7" t="n"/>
    </row>
    <row r="107" ht="15" customHeight="1" s="67">
      <c r="A107" s="6" t="inlineStr">
        <is>
          <t>PT Astra Agro Lestari Tbk</t>
        </is>
      </c>
      <c r="B107" s="6" t="inlineStr">
        <is>
          <t>AALI_2024_AR.pdf</t>
        </is>
      </c>
      <c r="C107" s="6" t="n">
        <v>2024</v>
      </c>
      <c r="D107" s="6" t="inlineStr">
        <is>
          <t>Asset</t>
        </is>
      </c>
      <c r="E107" s="6" t="inlineStr">
        <is>
          <t>Nucleus Area</t>
        </is>
      </c>
      <c r="F107" s="6" t="n">
        <v>212602</v>
      </c>
      <c r="G107" s="6" t="inlineStr">
        <is>
          <t>ha</t>
        </is>
      </c>
      <c r="H107" s="6" t="n">
        <v>15</v>
      </c>
      <c r="I107" s="6" t="inlineStr">
        <is>
          <t>Lahan Inti 212,602 213,158</t>
        </is>
      </c>
      <c r="J107" s="6" t="inlineStr">
        <is>
          <t>High</t>
        </is>
      </c>
      <c r="K107" s="6" t="n"/>
      <c r="L107" s="6" t="n"/>
      <c r="M107" s="7" t="inlineStr">
        <is>
          <t>LLM</t>
        </is>
      </c>
      <c r="N107" s="7" t="inlineStr">
        <is>
          <t>2026-04-18</t>
        </is>
      </c>
      <c r="O107" s="7" t="inlineStr">
        <is>
          <t>AI</t>
        </is>
      </c>
      <c r="P107" s="7" t="n"/>
      <c r="Q107" s="7" t="n"/>
    </row>
    <row r="108" ht="15" customHeight="1" s="67">
      <c r="A108" s="6" t="inlineStr">
        <is>
          <t>PT Astra Agro Lestari Tbk</t>
        </is>
      </c>
      <c r="B108" s="6" t="inlineStr">
        <is>
          <t>AALI_2024_AR.pdf</t>
        </is>
      </c>
      <c r="C108" s="6" t="n">
        <v>2024</v>
      </c>
      <c r="D108" s="6" t="inlineStr">
        <is>
          <t>Asset</t>
        </is>
      </c>
      <c r="E108" s="6" t="inlineStr">
        <is>
          <t>Plasma Area</t>
        </is>
      </c>
      <c r="F108" s="6" t="n">
        <v>72229</v>
      </c>
      <c r="G108" s="6" t="inlineStr">
        <is>
          <t>ha</t>
        </is>
      </c>
      <c r="H108" s="6" t="n">
        <v>15</v>
      </c>
      <c r="I108" s="6" t="inlineStr">
        <is>
          <t>Lahan Plasma 72,229 72,229</t>
        </is>
      </c>
      <c r="J108" s="6" t="inlineStr">
        <is>
          <t>High</t>
        </is>
      </c>
      <c r="K108" s="6" t="n"/>
      <c r="L108" s="6" t="n"/>
      <c r="M108" s="7" t="inlineStr">
        <is>
          <t>LLM</t>
        </is>
      </c>
      <c r="N108" s="7" t="inlineStr">
        <is>
          <t>2026-04-18</t>
        </is>
      </c>
      <c r="O108" s="7" t="inlineStr">
        <is>
          <t>AI</t>
        </is>
      </c>
      <c r="P108" s="7" t="n"/>
      <c r="Q108" s="7" t="n"/>
    </row>
    <row r="109" ht="15" customHeight="1" s="67">
      <c r="A109" s="6" t="inlineStr">
        <is>
          <t>PT Astra Agro Lestari Tbk</t>
        </is>
      </c>
      <c r="B109" s="6" t="inlineStr">
        <is>
          <t>AALI_2024_AR.pdf</t>
        </is>
      </c>
      <c r="C109" s="6" t="n">
        <v>2024</v>
      </c>
      <c r="D109" s="6" t="inlineStr">
        <is>
          <t>Asset</t>
        </is>
      </c>
      <c r="E109" s="6" t="inlineStr">
        <is>
          <t>Mature Area</t>
        </is>
      </c>
      <c r="F109" s="6" t="n">
        <v>265490</v>
      </c>
      <c r="G109" s="6" t="inlineStr">
        <is>
          <t>ha</t>
        </is>
      </c>
      <c r="H109" s="6" t="n">
        <v>15</v>
      </c>
      <c r="I109" s="6" t="inlineStr">
        <is>
          <t>Menghasilkan 265,490 265,518</t>
        </is>
      </c>
      <c r="J109" s="6" t="inlineStr">
        <is>
          <t>High</t>
        </is>
      </c>
      <c r="K109" s="6" t="n"/>
      <c r="L109" s="6" t="n"/>
      <c r="M109" s="7" t="inlineStr">
        <is>
          <t>LLM</t>
        </is>
      </c>
      <c r="N109" s="7" t="inlineStr">
        <is>
          <t>2026-04-18</t>
        </is>
      </c>
      <c r="O109" s="7" t="inlineStr">
        <is>
          <t>AI</t>
        </is>
      </c>
      <c r="P109" s="7" t="n"/>
      <c r="Q109" s="7" t="n"/>
    </row>
    <row r="110" ht="15" customHeight="1" s="67">
      <c r="A110" s="6" t="inlineStr">
        <is>
          <t>PT Astra Agro Lestari Tbk</t>
        </is>
      </c>
      <c r="B110" s="6" t="inlineStr">
        <is>
          <t>AALI_2024_AR.pdf</t>
        </is>
      </c>
      <c r="C110" s="6" t="n">
        <v>2024</v>
      </c>
      <c r="D110" s="6" t="inlineStr">
        <is>
          <t>Asset</t>
        </is>
      </c>
      <c r="E110" s="6" t="inlineStr">
        <is>
          <t>Immature Area</t>
        </is>
      </c>
      <c r="F110" s="6" t="n">
        <v>19341</v>
      </c>
      <c r="G110" s="6" t="inlineStr">
        <is>
          <t>ha</t>
        </is>
      </c>
      <c r="H110" s="6" t="n">
        <v>15</v>
      </c>
      <c r="I110" s="6" t="inlineStr">
        <is>
          <t>Belum Menghasilkan 19,341 19,869</t>
        </is>
      </c>
      <c r="J110" s="6" t="inlineStr">
        <is>
          <t>High</t>
        </is>
      </c>
      <c r="K110" s="6" t="n"/>
      <c r="L110" s="6" t="n"/>
      <c r="M110" s="7" t="inlineStr">
        <is>
          <t>LLM</t>
        </is>
      </c>
      <c r="N110" s="7" t="inlineStr">
        <is>
          <t>2026-04-18</t>
        </is>
      </c>
      <c r="O110" s="7" t="inlineStr">
        <is>
          <t>AI</t>
        </is>
      </c>
      <c r="P110" s="7" t="n"/>
      <c r="Q110" s="7" t="n"/>
    </row>
    <row r="111" ht="15" customHeight="1" s="67">
      <c r="A111" s="6" t="inlineStr">
        <is>
          <t>PT Astra Agro Lestari Tbk</t>
        </is>
      </c>
      <c r="B111" s="6" t="inlineStr">
        <is>
          <t>AALI_2024_AR.pdf</t>
        </is>
      </c>
      <c r="C111" s="6" t="n">
        <v>2024</v>
      </c>
      <c r="D111" s="6" t="inlineStr">
        <is>
          <t>Asset</t>
        </is>
      </c>
      <c r="E111" s="6" t="inlineStr">
        <is>
          <t>Productive Age Area (4-15 yr)</t>
        </is>
      </c>
      <c r="F111" s="6" t="n">
        <v>87761</v>
      </c>
      <c r="G111" s="6" t="inlineStr">
        <is>
          <t>ha</t>
        </is>
      </c>
      <c r="H111" s="6" t="n">
        <v>15</v>
      </c>
      <c r="I111" s="6" t="inlineStr">
        <is>
          <t>Tanaman Produktif 87,761 102,319</t>
        </is>
      </c>
      <c r="J111" s="6" t="inlineStr">
        <is>
          <t>High</t>
        </is>
      </c>
      <c r="K111" s="6" t="n"/>
      <c r="L111" s="6" t="n"/>
      <c r="M111" s="7" t="inlineStr">
        <is>
          <t>LLM</t>
        </is>
      </c>
      <c r="N111" s="7" t="inlineStr">
        <is>
          <t>2026-04-18</t>
        </is>
      </c>
      <c r="O111" s="7" t="inlineStr">
        <is>
          <t>AI</t>
        </is>
      </c>
      <c r="P111" s="7" t="n"/>
      <c r="Q111" s="7" t="n"/>
    </row>
    <row r="112" ht="15" customHeight="1" s="67">
      <c r="A112" s="6" t="inlineStr">
        <is>
          <t>PT Astra Agro Lestari Tbk</t>
        </is>
      </c>
      <c r="B112" s="6" t="inlineStr">
        <is>
          <t>AALI_2024_AR.pdf</t>
        </is>
      </c>
      <c r="C112" s="6" t="n">
        <v>2024</v>
      </c>
      <c r="D112" s="6" t="inlineStr">
        <is>
          <t>Asset</t>
        </is>
      </c>
      <c r="E112" s="6" t="inlineStr">
        <is>
          <t>Old Age Area (&gt;15 yr)</t>
        </is>
      </c>
      <c r="F112" s="6" t="n">
        <v>177729</v>
      </c>
      <c r="G112" s="6" t="inlineStr">
        <is>
          <t>ha</t>
        </is>
      </c>
      <c r="H112" s="6" t="n">
        <v>15</v>
      </c>
      <c r="I112" s="6" t="inlineStr">
        <is>
          <t>Tanaman Tua 177,729 163,199</t>
        </is>
      </c>
      <c r="J112" s="6" t="inlineStr">
        <is>
          <t>High</t>
        </is>
      </c>
      <c r="K112" s="6" t="n"/>
      <c r="L112" s="6" t="n"/>
      <c r="M112" s="7" t="inlineStr">
        <is>
          <t>LLM</t>
        </is>
      </c>
      <c r="N112" s="7" t="inlineStr">
        <is>
          <t>2026-04-18</t>
        </is>
      </c>
      <c r="O112" s="7" t="inlineStr">
        <is>
          <t>AI</t>
        </is>
      </c>
      <c r="P112" s="7" t="n"/>
      <c r="Q112" s="7" t="n"/>
    </row>
    <row r="113" ht="15" customHeight="1" s="67">
      <c r="A113" s="6" t="inlineStr">
        <is>
          <t>PT Astra Agro Lestari Tbk</t>
        </is>
      </c>
      <c r="B113" s="6" t="inlineStr">
        <is>
          <t>AALI_2024_AR.pdf</t>
        </is>
      </c>
      <c r="C113" s="6" t="n">
        <v>2024</v>
      </c>
      <c r="D113" s="6" t="inlineStr">
        <is>
          <t>Asset</t>
        </is>
      </c>
      <c r="E113" s="6" t="inlineStr">
        <is>
          <t>Average Tree Age</t>
        </is>
      </c>
      <c r="F113" s="6" t="n">
        <v>16.5</v>
      </c>
      <c r="G113" s="6" t="inlineStr">
        <is>
          <t>years</t>
        </is>
      </c>
      <c r="H113" s="6" t="n">
        <v>15</v>
      </c>
      <c r="I113" s="6" t="inlineStr">
        <is>
          <t>Umur Rata-Rata 16.5 16.2 15.1</t>
        </is>
      </c>
      <c r="J113" s="6" t="inlineStr">
        <is>
          <t>High</t>
        </is>
      </c>
      <c r="K113" s="6" t="n"/>
      <c r="L113" s="6" t="n"/>
      <c r="M113" s="7" t="inlineStr">
        <is>
          <t>LLM</t>
        </is>
      </c>
      <c r="N113" s="7" t="inlineStr">
        <is>
          <t>2026-04-18</t>
        </is>
      </c>
      <c r="O113" s="7" t="inlineStr">
        <is>
          <t>AI</t>
        </is>
      </c>
      <c r="P113" s="7" t="n"/>
      <c r="Q113" s="7" t="n"/>
    </row>
    <row r="114" ht="15" customHeight="1" s="67">
      <c r="A114" s="6" t="inlineStr">
        <is>
          <t>PT Astra Agro Lestari Tbk</t>
        </is>
      </c>
      <c r="B114" s="6" t="inlineStr">
        <is>
          <t>AALI_2024_AR.pdf</t>
        </is>
      </c>
      <c r="C114" s="6" t="n">
        <v>2024</v>
      </c>
      <c r="D114" s="6" t="inlineStr">
        <is>
          <t>Asset</t>
        </is>
      </c>
      <c r="E114" s="6" t="inlineStr">
        <is>
          <t>Sumatra Planted Area</t>
        </is>
      </c>
      <c r="F114" s="6" t="n">
        <v>104376</v>
      </c>
      <c r="G114" s="6" t="inlineStr">
        <is>
          <t>ha</t>
        </is>
      </c>
      <c r="H114" s="6" t="n">
        <v>15</v>
      </c>
      <c r="I114" s="6" t="inlineStr">
        <is>
          <t>Sumatra 104,376 105,300</t>
        </is>
      </c>
      <c r="J114" s="6" t="inlineStr">
        <is>
          <t>High</t>
        </is>
      </c>
      <c r="K114" s="6" t="n"/>
      <c r="L114" s="6" t="n"/>
      <c r="M114" s="7" t="inlineStr">
        <is>
          <t>LLM</t>
        </is>
      </c>
      <c r="N114" s="7" t="inlineStr">
        <is>
          <t>2026-04-18</t>
        </is>
      </c>
      <c r="O114" s="7" t="inlineStr">
        <is>
          <t>AI</t>
        </is>
      </c>
      <c r="P114" s="7" t="n"/>
      <c r="Q114" s="7" t="n"/>
    </row>
    <row r="115" ht="15" customHeight="1" s="67">
      <c r="A115" s="6" t="inlineStr">
        <is>
          <t>PT Astra Agro Lestari Tbk</t>
        </is>
      </c>
      <c r="B115" s="6" t="inlineStr">
        <is>
          <t>AALI_2024_AR.pdf</t>
        </is>
      </c>
      <c r="C115" s="6" t="n">
        <v>2024</v>
      </c>
      <c r="D115" s="6" t="inlineStr">
        <is>
          <t>Asset</t>
        </is>
      </c>
      <c r="E115" s="6" t="inlineStr">
        <is>
          <t>Kalimantan Planted Area</t>
        </is>
      </c>
      <c r="F115" s="6" t="n">
        <v>130043</v>
      </c>
      <c r="G115" s="6" t="inlineStr">
        <is>
          <t>ha</t>
        </is>
      </c>
      <c r="H115" s="6" t="n">
        <v>15</v>
      </c>
      <c r="I115" s="6" t="inlineStr">
        <is>
          <t>Kalimantan 130,043 129,804</t>
        </is>
      </c>
      <c r="J115" s="6" t="inlineStr">
        <is>
          <t>High</t>
        </is>
      </c>
      <c r="K115" s="6" t="n"/>
      <c r="L115" s="6" t="n"/>
      <c r="M115" s="7" t="inlineStr">
        <is>
          <t>LLM</t>
        </is>
      </c>
      <c r="N115" s="7" t="inlineStr">
        <is>
          <t>2026-04-18</t>
        </is>
      </c>
      <c r="O115" s="7" t="inlineStr">
        <is>
          <t>AI</t>
        </is>
      </c>
      <c r="P115" s="7" t="n"/>
      <c r="Q115" s="7" t="n"/>
    </row>
    <row r="116" ht="15" customHeight="1" s="67">
      <c r="A116" s="6" t="inlineStr">
        <is>
          <t>PT Astra Agro Lestari Tbk</t>
        </is>
      </c>
      <c r="B116" s="6" t="inlineStr">
        <is>
          <t>AALI_2024_AR.pdf</t>
        </is>
      </c>
      <c r="C116" s="6" t="n">
        <v>2024</v>
      </c>
      <c r="D116" s="6" t="inlineStr">
        <is>
          <t>Asset</t>
        </is>
      </c>
      <c r="E116" s="6" t="inlineStr">
        <is>
          <t>Sulawesi Planted Area</t>
        </is>
      </c>
      <c r="F116" s="6" t="n">
        <v>50412</v>
      </c>
      <c r="G116" s="6" t="inlineStr">
        <is>
          <t>ha</t>
        </is>
      </c>
      <c r="H116" s="6" t="n">
        <v>15</v>
      </c>
      <c r="I116" s="6" t="inlineStr">
        <is>
          <t>Sulawesi 50,412 50,283</t>
        </is>
      </c>
      <c r="J116" s="6" t="inlineStr">
        <is>
          <t>High</t>
        </is>
      </c>
      <c r="K116" s="6" t="n"/>
      <c r="L116" s="6" t="n"/>
      <c r="M116" s="7" t="inlineStr">
        <is>
          <t>LLM</t>
        </is>
      </c>
      <c r="N116" s="7" t="inlineStr">
        <is>
          <t>2026-04-18</t>
        </is>
      </c>
      <c r="O116" s="7" t="inlineStr">
        <is>
          <t>AI</t>
        </is>
      </c>
      <c r="P116" s="7" t="n"/>
      <c r="Q116" s="7" t="n"/>
    </row>
    <row r="117" ht="15" customHeight="1" s="67">
      <c r="A117" s="6" t="inlineStr">
        <is>
          <t>PT Astra Agro Lestari Tbk</t>
        </is>
      </c>
      <c r="B117" s="6" t="inlineStr">
        <is>
          <t>AALI_2024_AR.pdf</t>
        </is>
      </c>
      <c r="C117" s="6" t="n">
        <v>2024</v>
      </c>
      <c r="D117" s="6" t="inlineStr">
        <is>
          <t>Asset</t>
        </is>
      </c>
      <c r="E117" s="6" t="inlineStr">
        <is>
          <t>Palm Oil Mill Count</t>
        </is>
      </c>
      <c r="F117" s="6" t="n">
        <v>32</v>
      </c>
      <c r="G117" s="6" t="inlineStr">
        <is>
          <t>count</t>
        </is>
      </c>
      <c r="H117" s="6" t="n">
        <v>16</v>
      </c>
      <c r="I117" s="6" t="inlineStr">
        <is>
          <t>Pengolahan Kelapa Sawit 11 34% 14 44% 7 22% 32 100%</t>
        </is>
      </c>
      <c r="J117" s="6" t="inlineStr">
        <is>
          <t>High</t>
        </is>
      </c>
      <c r="K117" s="6" t="n"/>
      <c r="L117" s="6" t="n"/>
      <c r="M117" s="7" t="inlineStr">
        <is>
          <t>LLM</t>
        </is>
      </c>
      <c r="N117" s="7" t="inlineStr">
        <is>
          <t>2026-04-18</t>
        </is>
      </c>
      <c r="O117" s="7" t="inlineStr">
        <is>
          <t>AI</t>
        </is>
      </c>
      <c r="P117" s="7" t="n"/>
      <c r="Q117" s="7" t="n"/>
    </row>
    <row r="118" ht="15" customHeight="1" s="67">
      <c r="A118" s="6" t="inlineStr">
        <is>
          <t>PT Astra Agro Lestari Tbk</t>
        </is>
      </c>
      <c r="B118" s="6" t="inlineStr">
        <is>
          <t>AALI_2024_AR.pdf</t>
        </is>
      </c>
      <c r="C118" s="6" t="n">
        <v>2024</v>
      </c>
      <c r="D118" s="6" t="inlineStr">
        <is>
          <t>Asset</t>
        </is>
      </c>
      <c r="E118" s="6" t="inlineStr">
        <is>
          <t>Kernel Crushing Plant Count</t>
        </is>
      </c>
      <c r="F118" s="6" t="n">
        <v>14</v>
      </c>
      <c r="G118" s="6" t="inlineStr">
        <is>
          <t>count</t>
        </is>
      </c>
      <c r="H118" s="6" t="n">
        <v>16</v>
      </c>
      <c r="I118" s="6" t="inlineStr">
        <is>
          <t>Pengolahan Inti Sawit 4 6 4 14</t>
        </is>
      </c>
      <c r="J118" s="6" t="inlineStr">
        <is>
          <t>High</t>
        </is>
      </c>
      <c r="K118" s="6" t="n"/>
      <c r="L118" s="6" t="n"/>
      <c r="M118" s="7" t="inlineStr">
        <is>
          <t>LLM</t>
        </is>
      </c>
      <c r="N118" s="7" t="inlineStr">
        <is>
          <t>2026-04-18</t>
        </is>
      </c>
      <c r="O118" s="7" t="inlineStr">
        <is>
          <t>AI</t>
        </is>
      </c>
      <c r="P118" s="7" t="n"/>
      <c r="Q118" s="7" t="n"/>
    </row>
    <row r="119" ht="15" customHeight="1" s="67">
      <c r="A119" s="6" t="inlineStr">
        <is>
          <t>PT Astra Agro Lestari Tbk</t>
        </is>
      </c>
      <c r="B119" s="6" t="inlineStr">
        <is>
          <t>AALI_2024_AR.pdf</t>
        </is>
      </c>
      <c r="C119" s="6" t="n">
        <v>2024</v>
      </c>
      <c r="D119" s="6" t="inlineStr">
        <is>
          <t>Asset</t>
        </is>
      </c>
      <c r="E119" s="6" t="inlineStr">
        <is>
          <t>CPO Refinery Count</t>
        </is>
      </c>
      <c r="F119" s="6" t="n">
        <v>2</v>
      </c>
      <c r="G119" s="6" t="inlineStr">
        <is>
          <t>count</t>
        </is>
      </c>
      <c r="H119" s="6" t="n">
        <v>16</v>
      </c>
      <c r="I119" s="6" t="inlineStr">
        <is>
          <t>Pengolahan Minyak Sawit 1 - 1 2</t>
        </is>
      </c>
      <c r="J119" s="6" t="inlineStr">
        <is>
          <t>High</t>
        </is>
      </c>
      <c r="K119" s="6" t="n"/>
      <c r="L119" s="6" t="n"/>
      <c r="M119" s="7" t="inlineStr">
        <is>
          <t>LLM</t>
        </is>
      </c>
      <c r="N119" s="7" t="inlineStr">
        <is>
          <t>2026-04-18</t>
        </is>
      </c>
      <c r="O119" s="7" t="inlineStr">
        <is>
          <t>AI</t>
        </is>
      </c>
      <c r="P119" s="7" t="n"/>
      <c r="Q119" s="7" t="n"/>
    </row>
    <row r="120" ht="15" customHeight="1" s="67">
      <c r="A120" s="6" t="inlineStr">
        <is>
          <t>PT Astra Agro Lestari Tbk</t>
        </is>
      </c>
      <c r="B120" s="6" t="inlineStr">
        <is>
          <t>AALI_2024_AR.pdf</t>
        </is>
      </c>
      <c r="C120" s="6" t="n">
        <v>2024</v>
      </c>
      <c r="D120" s="6" t="inlineStr">
        <is>
          <t>Asset</t>
        </is>
      </c>
      <c r="E120" s="6" t="inlineStr">
        <is>
          <t>PKO Refinery Count</t>
        </is>
      </c>
      <c r="F120" s="6" t="n">
        <v>1</v>
      </c>
      <c r="G120" s="6" t="inlineStr">
        <is>
          <t>count</t>
        </is>
      </c>
      <c r="H120" s="6" t="n">
        <v>16</v>
      </c>
      <c r="I120" s="6" t="inlineStr">
        <is>
          <t>Pengolahan Minyak Inti Sawit - - 1 1</t>
        </is>
      </c>
      <c r="J120" s="6" t="inlineStr">
        <is>
          <t>High</t>
        </is>
      </c>
      <c r="K120" s="6" t="n"/>
      <c r="L120" s="6" t="n"/>
      <c r="M120" s="7" t="inlineStr">
        <is>
          <t>LLM</t>
        </is>
      </c>
      <c r="N120" s="7" t="inlineStr">
        <is>
          <t>2026-04-18</t>
        </is>
      </c>
      <c r="O120" s="7" t="inlineStr">
        <is>
          <t>AI</t>
        </is>
      </c>
      <c r="P120" s="7" t="n"/>
      <c r="Q120" s="7" t="n"/>
    </row>
    <row r="121" ht="15" customHeight="1" s="67">
      <c r="A121" s="6" t="inlineStr">
        <is>
          <t>PT Astra Agro Lestari Tbk</t>
        </is>
      </c>
      <c r="B121" s="6" t="inlineStr">
        <is>
          <t>AALI_2024_AR.pdf</t>
        </is>
      </c>
      <c r="C121" s="6" t="n">
        <v>2024</v>
      </c>
      <c r="D121" s="6" t="inlineStr">
        <is>
          <t>Asset</t>
        </is>
      </c>
      <c r="E121" s="6" t="inlineStr">
        <is>
          <t>NPK Blending Plant Count</t>
        </is>
      </c>
      <c r="F121" s="6" t="n">
        <v>2</v>
      </c>
      <c r="G121" s="6" t="inlineStr">
        <is>
          <t>count</t>
        </is>
      </c>
      <c r="H121" s="6" t="n">
        <v>16</v>
      </c>
      <c r="I121" s="6" t="inlineStr">
        <is>
          <t>Pabrik Pencampur Pupuk NPK - 1 1 2</t>
        </is>
      </c>
      <c r="J121" s="6" t="inlineStr">
        <is>
          <t>High</t>
        </is>
      </c>
      <c r="K121" s="6" t="n"/>
      <c r="L121" s="6" t="n"/>
      <c r="M121" s="7" t="inlineStr">
        <is>
          <t>LLM</t>
        </is>
      </c>
      <c r="N121" s="7" t="inlineStr">
        <is>
          <t>2026-04-18</t>
        </is>
      </c>
      <c r="O121" s="7" t="inlineStr">
        <is>
          <t>AI</t>
        </is>
      </c>
      <c r="P121" s="7" t="n"/>
      <c r="Q121" s="7" t="n"/>
    </row>
    <row r="122" ht="15" customHeight="1" s="67">
      <c r="A122" s="6" t="inlineStr">
        <is>
          <t>PT Astra Agro Lestari Tbk</t>
        </is>
      </c>
      <c r="B122" s="6" t="inlineStr">
        <is>
          <t>AALI_2024_AR.pdf</t>
        </is>
      </c>
      <c r="C122" s="6" t="n">
        <v>2024</v>
      </c>
      <c r="D122" s="6" t="inlineStr">
        <is>
          <t>Operation</t>
        </is>
      </c>
      <c r="E122" s="6" t="inlineStr">
        <is>
          <t>FFB Production Total</t>
        </is>
      </c>
      <c r="F122" s="6" t="n">
        <v>3734458</v>
      </c>
      <c r="G122" s="6" t="inlineStr">
        <is>
          <t>t</t>
        </is>
      </c>
      <c r="H122" s="6" t="n">
        <v>15</v>
      </c>
      <c r="I122" s="6" t="inlineStr">
        <is>
          <t>Total Produksi TBS 3,734,458 4,353,645</t>
        </is>
      </c>
      <c r="J122" s="6" t="inlineStr">
        <is>
          <t>High</t>
        </is>
      </c>
      <c r="K122" s="6" t="n"/>
      <c r="L122" s="6" t="n"/>
      <c r="M122" s="7" t="inlineStr">
        <is>
          <t>LLM</t>
        </is>
      </c>
      <c r="N122" s="7" t="inlineStr">
        <is>
          <t>2026-04-18</t>
        </is>
      </c>
      <c r="O122" s="7" t="inlineStr">
        <is>
          <t>AI</t>
        </is>
      </c>
      <c r="P122" s="7" t="n"/>
      <c r="Q122" s="7" t="n"/>
    </row>
    <row r="123" ht="15" customHeight="1" s="67">
      <c r="A123" s="6" t="inlineStr">
        <is>
          <t>PT Astra Agro Lestari Tbk</t>
        </is>
      </c>
      <c r="B123" s="6" t="inlineStr">
        <is>
          <t>AALI_2024_AR.pdf</t>
        </is>
      </c>
      <c r="C123" s="6" t="n">
        <v>2024</v>
      </c>
      <c r="D123" s="6" t="inlineStr">
        <is>
          <t>Operation</t>
        </is>
      </c>
      <c r="E123" s="6" t="inlineStr">
        <is>
          <t>FFB Nucleus</t>
        </is>
      </c>
      <c r="F123" s="6" t="n">
        <v>3002685</v>
      </c>
      <c r="G123" s="6" t="inlineStr">
        <is>
          <t>t</t>
        </is>
      </c>
      <c r="H123" s="6" t="n">
        <v>15</v>
      </c>
      <c r="I123" s="6" t="inlineStr">
        <is>
          <t>TBS Inti 3,002,685 3,312,149</t>
        </is>
      </c>
      <c r="J123" s="6" t="inlineStr">
        <is>
          <t>High</t>
        </is>
      </c>
      <c r="K123" s="6" t="n"/>
      <c r="L123" s="6" t="n"/>
      <c r="M123" s="7" t="inlineStr">
        <is>
          <t>LLM</t>
        </is>
      </c>
      <c r="N123" s="7" t="inlineStr">
        <is>
          <t>2026-04-18</t>
        </is>
      </c>
      <c r="O123" s="7" t="inlineStr">
        <is>
          <t>AI</t>
        </is>
      </c>
      <c r="P123" s="7" t="n"/>
      <c r="Q123" s="7" t="n"/>
    </row>
    <row r="124" ht="15" customHeight="1" s="67">
      <c r="A124" s="6" t="inlineStr">
        <is>
          <t>PT Astra Agro Lestari Tbk</t>
        </is>
      </c>
      <c r="B124" s="6" t="inlineStr">
        <is>
          <t>AALI_2024_AR.pdf</t>
        </is>
      </c>
      <c r="C124" s="6" t="n">
        <v>2024</v>
      </c>
      <c r="D124" s="6" t="inlineStr">
        <is>
          <t>Operation</t>
        </is>
      </c>
      <c r="E124" s="6" t="inlineStr">
        <is>
          <t>FFB Plasma</t>
        </is>
      </c>
      <c r="F124" s="6" t="n">
        <v>731773</v>
      </c>
      <c r="G124" s="6" t="inlineStr">
        <is>
          <t>t</t>
        </is>
      </c>
      <c r="H124" s="6" t="n">
        <v>15</v>
      </c>
      <c r="I124" s="6" t="inlineStr">
        <is>
          <t>TBS Plasma 731,773 1,041,496</t>
        </is>
      </c>
      <c r="J124" s="6" t="inlineStr">
        <is>
          <t>High</t>
        </is>
      </c>
      <c r="K124" s="6" t="n"/>
      <c r="L124" s="6" t="n"/>
      <c r="M124" s="7" t="inlineStr">
        <is>
          <t>LLM</t>
        </is>
      </c>
      <c r="N124" s="7" t="inlineStr">
        <is>
          <t>2026-04-18</t>
        </is>
      </c>
      <c r="O124" s="7" t="inlineStr">
        <is>
          <t>AI</t>
        </is>
      </c>
      <c r="P124" s="7" t="n"/>
      <c r="Q124" s="7" t="n"/>
    </row>
    <row r="125" ht="15" customHeight="1" s="67">
      <c r="A125" s="6" t="inlineStr">
        <is>
          <t>PT Astra Agro Lestari Tbk</t>
        </is>
      </c>
      <c r="B125" s="6" t="inlineStr">
        <is>
          <t>AALI_2024_AR.pdf</t>
        </is>
      </c>
      <c r="C125" s="6" t="n">
        <v>2024</v>
      </c>
      <c r="D125" s="6" t="inlineStr">
        <is>
          <t>Operation</t>
        </is>
      </c>
      <c r="E125" s="6" t="inlineStr">
        <is>
          <t>Total FFB Processed</t>
        </is>
      </c>
      <c r="F125" s="6" t="n">
        <v>5915220</v>
      </c>
      <c r="G125" s="6" t="inlineStr">
        <is>
          <t>t</t>
        </is>
      </c>
      <c r="H125" s="6" t="n">
        <v>15</v>
      </c>
      <c r="I125" s="6" t="inlineStr">
        <is>
          <t>Total TBS Olah 5,915,220 6,752,102</t>
        </is>
      </c>
      <c r="J125" s="6" t="inlineStr">
        <is>
          <t>High</t>
        </is>
      </c>
      <c r="K125" s="6" t="n"/>
      <c r="L125" s="6" t="n"/>
      <c r="M125" s="7" t="inlineStr">
        <is>
          <t>LLM</t>
        </is>
      </c>
      <c r="N125" s="7" t="inlineStr">
        <is>
          <t>2026-04-18</t>
        </is>
      </c>
      <c r="O125" s="7" t="inlineStr">
        <is>
          <t>AI</t>
        </is>
      </c>
      <c r="P125" s="7" t="n"/>
      <c r="Q125" s="7" t="n"/>
    </row>
    <row r="126" ht="15" customHeight="1" s="67">
      <c r="A126" s="6" t="inlineStr">
        <is>
          <t>PT Astra Agro Lestari Tbk</t>
        </is>
      </c>
      <c r="B126" s="6" t="inlineStr">
        <is>
          <t>AALI_2024_AR.pdf</t>
        </is>
      </c>
      <c r="C126" s="6" t="n">
        <v>2024</v>
      </c>
      <c r="D126" s="6" t="inlineStr">
        <is>
          <t>Operation</t>
        </is>
      </c>
      <c r="E126" s="6" t="inlineStr">
        <is>
          <t>Third-Party FFB</t>
        </is>
      </c>
      <c r="F126" s="6" t="n">
        <v>2180762</v>
      </c>
      <c r="G126" s="6" t="inlineStr">
        <is>
          <t>t</t>
        </is>
      </c>
      <c r="H126" s="6" t="n">
        <v>101</v>
      </c>
      <c r="I126" s="6" t="inlineStr">
        <is>
          <t>pembelian TBS dari pihak ketiga menjadi sebesar 2,18 juta ton (also 5,915,220 - 3,734,458)</t>
        </is>
      </c>
      <c r="J126" s="6" t="inlineStr">
        <is>
          <t>High</t>
        </is>
      </c>
      <c r="K126" s="6" t="n"/>
      <c r="L126" s="6" t="n"/>
      <c r="M126" s="7" t="inlineStr">
        <is>
          <t>LLM</t>
        </is>
      </c>
      <c r="N126" s="7" t="inlineStr">
        <is>
          <t>2026-04-18</t>
        </is>
      </c>
      <c r="O126" s="7" t="inlineStr">
        <is>
          <t>AI</t>
        </is>
      </c>
      <c r="P126" s="7" t="n"/>
      <c r="Q126" s="7" t="n"/>
    </row>
    <row r="127" ht="15" customHeight="1" s="67">
      <c r="A127" s="6" t="inlineStr">
        <is>
          <t>PT Astra Agro Lestari Tbk</t>
        </is>
      </c>
      <c r="B127" s="6" t="inlineStr">
        <is>
          <t>AALI_2024_AR.pdf</t>
        </is>
      </c>
      <c r="C127" s="6" t="n">
        <v>2024</v>
      </c>
      <c r="D127" s="6" t="inlineStr">
        <is>
          <t>Operation</t>
        </is>
      </c>
      <c r="E127" s="6" t="inlineStr">
        <is>
          <t>CPO Production</t>
        </is>
      </c>
      <c r="F127" s="6" t="n">
        <v>1125388</v>
      </c>
      <c r="G127" s="6" t="inlineStr">
        <is>
          <t>t</t>
        </is>
      </c>
      <c r="H127" s="6" t="n">
        <v>15</v>
      </c>
      <c r="I127" s="6" t="inlineStr">
        <is>
          <t>Minyak Sawit 1,125,388 1,275,539</t>
        </is>
      </c>
      <c r="J127" s="6" t="inlineStr">
        <is>
          <t>High</t>
        </is>
      </c>
      <c r="K127" s="6" t="n"/>
      <c r="L127" s="6" t="n"/>
      <c r="M127" s="7" t="inlineStr">
        <is>
          <t>LLM</t>
        </is>
      </c>
      <c r="N127" s="7" t="inlineStr">
        <is>
          <t>2026-04-18</t>
        </is>
      </c>
      <c r="O127" s="7" t="inlineStr">
        <is>
          <t>AI</t>
        </is>
      </c>
      <c r="P127" s="7" t="n"/>
      <c r="Q127" s="7" t="n"/>
    </row>
    <row r="128" ht="15" customHeight="1" s="67">
      <c r="A128" s="6" t="inlineStr">
        <is>
          <t>PT Astra Agro Lestari Tbk</t>
        </is>
      </c>
      <c r="B128" s="6" t="inlineStr">
        <is>
          <t>AALI_2024_AR.pdf</t>
        </is>
      </c>
      <c r="C128" s="6" t="n">
        <v>2024</v>
      </c>
      <c r="D128" s="6" t="inlineStr">
        <is>
          <t>Operation</t>
        </is>
      </c>
      <c r="E128" s="6" t="inlineStr">
        <is>
          <t>Kernel Production</t>
        </is>
      </c>
      <c r="F128" s="6" t="n">
        <v>234121</v>
      </c>
      <c r="G128" s="6" t="inlineStr">
        <is>
          <t>t</t>
        </is>
      </c>
      <c r="H128" s="6" t="n">
        <v>15</v>
      </c>
      <c r="I128" s="6" t="inlineStr">
        <is>
          <t>Kernel 234,121 272,310</t>
        </is>
      </c>
      <c r="J128" s="6" t="inlineStr">
        <is>
          <t>High</t>
        </is>
      </c>
      <c r="K128" s="6" t="n"/>
      <c r="L128" s="6" t="n"/>
      <c r="M128" s="7" t="inlineStr">
        <is>
          <t>LLM</t>
        </is>
      </c>
      <c r="N128" s="7" t="inlineStr">
        <is>
          <t>2026-04-18</t>
        </is>
      </c>
      <c r="O128" s="7" t="inlineStr">
        <is>
          <t>AI</t>
        </is>
      </c>
      <c r="P128" s="7" t="n"/>
      <c r="Q128" s="7" t="n"/>
    </row>
    <row r="129" ht="15" customHeight="1" s="67">
      <c r="A129" s="6" t="inlineStr">
        <is>
          <t>PT Astra Agro Lestari Tbk</t>
        </is>
      </c>
      <c r="B129" s="6" t="inlineStr">
        <is>
          <t>AALI_2024_AR.pdf</t>
        </is>
      </c>
      <c r="C129" s="6" t="n">
        <v>2024</v>
      </c>
      <c r="D129" s="6" t="inlineStr">
        <is>
          <t>Operation</t>
        </is>
      </c>
      <c r="E129" s="6" t="inlineStr">
        <is>
          <t>PKO Production</t>
        </is>
      </c>
      <c r="F129" s="6" t="n">
        <v>46454</v>
      </c>
      <c r="G129" s="6" t="inlineStr">
        <is>
          <t>t</t>
        </is>
      </c>
      <c r="H129" s="6" t="n">
        <v>15</v>
      </c>
      <c r="I129" s="6" t="inlineStr">
        <is>
          <t>Minyak Inti Sawit 46,454 45,158</t>
        </is>
      </c>
      <c r="J129" s="6" t="inlineStr">
        <is>
          <t>High</t>
        </is>
      </c>
      <c r="K129" s="6" t="n"/>
      <c r="L129" s="6" t="n"/>
      <c r="M129" s="7" t="inlineStr">
        <is>
          <t>LLM</t>
        </is>
      </c>
      <c r="N129" s="7" t="inlineStr">
        <is>
          <t>2026-04-18</t>
        </is>
      </c>
      <c r="O129" s="7" t="inlineStr">
        <is>
          <t>AI</t>
        </is>
      </c>
      <c r="P129" s="7" t="n"/>
      <c r="Q129" s="7" t="n"/>
    </row>
    <row r="130" ht="15" customHeight="1" s="67">
      <c r="A130" s="6" t="inlineStr">
        <is>
          <t>PT Astra Agro Lestari Tbk</t>
        </is>
      </c>
      <c r="B130" s="6" t="inlineStr">
        <is>
          <t>AALI_2024_AR.pdf</t>
        </is>
      </c>
      <c r="C130" s="6" t="n">
        <v>2024</v>
      </c>
      <c r="D130" s="6" t="inlineStr">
        <is>
          <t>Operation</t>
        </is>
      </c>
      <c r="E130" s="6" t="inlineStr">
        <is>
          <t>RBDPO Production</t>
        </is>
      </c>
      <c r="F130" s="6" t="n">
        <v>14760</v>
      </c>
      <c r="G130" s="6" t="inlineStr">
        <is>
          <t>t</t>
        </is>
      </c>
      <c r="H130" s="6" t="n">
        <v>15</v>
      </c>
      <c r="I130" s="6" t="inlineStr">
        <is>
          <t>RBDPO 14,760 17,289</t>
        </is>
      </c>
      <c r="J130" s="6" t="inlineStr">
        <is>
          <t>High</t>
        </is>
      </c>
      <c r="K130" s="6" t="n"/>
      <c r="L130" s="6" t="n"/>
      <c r="M130" s="7" t="inlineStr">
        <is>
          <t>LLM</t>
        </is>
      </c>
      <c r="N130" s="7" t="inlineStr">
        <is>
          <t>2026-04-18</t>
        </is>
      </c>
      <c r="O130" s="7" t="inlineStr">
        <is>
          <t>AI</t>
        </is>
      </c>
      <c r="P130" s="7" t="n"/>
      <c r="Q130" s="7" t="n"/>
    </row>
    <row r="131" ht="15" customHeight="1" s="67">
      <c r="A131" s="6" t="inlineStr">
        <is>
          <t>PT Astra Agro Lestari Tbk</t>
        </is>
      </c>
      <c r="B131" s="6" t="inlineStr">
        <is>
          <t>AALI_2024_AR.pdf</t>
        </is>
      </c>
      <c r="C131" s="6" t="n">
        <v>2024</v>
      </c>
      <c r="D131" s="6" t="inlineStr">
        <is>
          <t>Operation</t>
        </is>
      </c>
      <c r="E131" s="6" t="inlineStr">
        <is>
          <t>Olein Production</t>
        </is>
      </c>
      <c r="F131" s="6" t="n">
        <v>388106</v>
      </c>
      <c r="G131" s="6" t="inlineStr">
        <is>
          <t>t</t>
        </is>
      </c>
      <c r="H131" s="6" t="n">
        <v>15</v>
      </c>
      <c r="I131" s="6" t="inlineStr">
        <is>
          <t>Olein 388,106 441,671</t>
        </is>
      </c>
      <c r="J131" s="6" t="inlineStr">
        <is>
          <t>High</t>
        </is>
      </c>
      <c r="K131" s="6" t="n"/>
      <c r="L131" s="6" t="n"/>
      <c r="M131" s="7" t="inlineStr">
        <is>
          <t>LLM</t>
        </is>
      </c>
      <c r="N131" s="7" t="inlineStr">
        <is>
          <t>2026-04-18</t>
        </is>
      </c>
      <c r="O131" s="7" t="inlineStr">
        <is>
          <t>AI</t>
        </is>
      </c>
      <c r="P131" s="7" t="n"/>
      <c r="Q131" s="7" t="n"/>
    </row>
    <row r="132" ht="15" customHeight="1" s="67">
      <c r="A132" s="6" t="inlineStr">
        <is>
          <t>PT Astra Agro Lestari Tbk</t>
        </is>
      </c>
      <c r="B132" s="6" t="inlineStr">
        <is>
          <t>AALI_2024_AR.pdf</t>
        </is>
      </c>
      <c r="C132" s="6" t="n">
        <v>2024</v>
      </c>
      <c r="D132" s="6" t="inlineStr">
        <is>
          <t>Operation</t>
        </is>
      </c>
      <c r="E132" s="6" t="inlineStr">
        <is>
          <t>Stearin Production</t>
        </is>
      </c>
      <c r="F132" s="6" t="n">
        <v>95826</v>
      </c>
      <c r="G132" s="6" t="inlineStr">
        <is>
          <t>t</t>
        </is>
      </c>
      <c r="H132" s="6" t="n">
        <v>15</v>
      </c>
      <c r="I132" s="6" t="inlineStr">
        <is>
          <t>Stearin 95,826 115,918</t>
        </is>
      </c>
      <c r="J132" s="6" t="inlineStr">
        <is>
          <t>High</t>
        </is>
      </c>
      <c r="K132" s="6" t="n"/>
      <c r="L132" s="6" t="n"/>
      <c r="M132" s="7" t="inlineStr">
        <is>
          <t>LLM</t>
        </is>
      </c>
      <c r="N132" s="7" t="inlineStr">
        <is>
          <t>2026-04-18</t>
        </is>
      </c>
      <c r="O132" s="7" t="inlineStr">
        <is>
          <t>AI</t>
        </is>
      </c>
      <c r="P132" s="7" t="n"/>
      <c r="Q132" s="7" t="n"/>
    </row>
    <row r="133" ht="15" customHeight="1" s="67">
      <c r="A133" s="6" t="inlineStr">
        <is>
          <t>PT Astra Agro Lestari Tbk</t>
        </is>
      </c>
      <c r="B133" s="6" t="inlineStr">
        <is>
          <t>AALI_2024_AR.pdf</t>
        </is>
      </c>
      <c r="C133" s="6" t="n">
        <v>2024</v>
      </c>
      <c r="D133" s="6" t="inlineStr">
        <is>
          <t>Operation</t>
        </is>
      </c>
      <c r="E133" s="6" t="inlineStr">
        <is>
          <t>PFAD Production</t>
        </is>
      </c>
      <c r="F133" s="6" t="n">
        <v>19382</v>
      </c>
      <c r="G133" s="6" t="inlineStr">
        <is>
          <t>t</t>
        </is>
      </c>
      <c r="H133" s="6" t="n">
        <v>15</v>
      </c>
      <c r="I133" s="6" t="inlineStr">
        <is>
          <t>PFAD 19,382 23,621</t>
        </is>
      </c>
      <c r="J133" s="6" t="inlineStr">
        <is>
          <t>High</t>
        </is>
      </c>
      <c r="K133" s="6" t="n"/>
      <c r="L133" s="6" t="n"/>
      <c r="M133" s="7" t="inlineStr">
        <is>
          <t>LLM</t>
        </is>
      </c>
      <c r="N133" s="7" t="inlineStr">
        <is>
          <t>2026-04-18</t>
        </is>
      </c>
      <c r="O133" s="7" t="inlineStr">
        <is>
          <t>AI</t>
        </is>
      </c>
      <c r="P133" s="7" t="n"/>
      <c r="Q133" s="7" t="n"/>
    </row>
    <row r="134" ht="15" customHeight="1" s="67">
      <c r="A134" s="6" t="inlineStr">
        <is>
          <t>PT Astra Agro Lestari Tbk</t>
        </is>
      </c>
      <c r="B134" s="6" t="inlineStr">
        <is>
          <t>AALI_2024_AR.pdf</t>
        </is>
      </c>
      <c r="C134" s="6" t="n">
        <v>2024</v>
      </c>
      <c r="D134" s="6" t="inlineStr">
        <is>
          <t>Operation</t>
        </is>
      </c>
      <c r="E134" s="6" t="inlineStr">
        <is>
          <t>PKE Production</t>
        </is>
      </c>
      <c r="F134" s="6" t="n">
        <v>57001</v>
      </c>
      <c r="G134" s="6" t="inlineStr">
        <is>
          <t>t</t>
        </is>
      </c>
      <c r="H134" s="6" t="n">
        <v>15</v>
      </c>
      <c r="I134" s="6" t="inlineStr">
        <is>
          <t>Palm Kernel Expeller (PKE) 57,001 56,142</t>
        </is>
      </c>
      <c r="J134" s="6" t="inlineStr">
        <is>
          <t>High</t>
        </is>
      </c>
      <c r="K134" s="6" t="n"/>
      <c r="L134" s="6" t="n"/>
      <c r="M134" s="7" t="inlineStr">
        <is>
          <t>LLM</t>
        </is>
      </c>
      <c r="N134" s="7" t="inlineStr">
        <is>
          <t>2026-04-18</t>
        </is>
      </c>
      <c r="O134" s="7" t="inlineStr">
        <is>
          <t>AI</t>
        </is>
      </c>
      <c r="P134" s="7" t="n"/>
      <c r="Q134" s="7" t="n"/>
    </row>
    <row r="135" ht="15" customHeight="1" s="67">
      <c r="A135" s="6" t="inlineStr">
        <is>
          <t>PT Astra Agro Lestari Tbk</t>
        </is>
      </c>
      <c r="B135" s="6" t="inlineStr">
        <is>
          <t>AALI_2024_AR.pdf</t>
        </is>
      </c>
      <c r="C135" s="6" t="n">
        <v>2024</v>
      </c>
      <c r="D135" s="6" t="inlineStr">
        <is>
          <t>Operation</t>
        </is>
      </c>
      <c r="E135" s="6" t="inlineStr">
        <is>
          <t>FFB Yield</t>
        </is>
      </c>
      <c r="F135" s="6" t="n">
        <v>14.07</v>
      </c>
      <c r="G135" s="6" t="inlineStr">
        <is>
          <t>t/ha</t>
        </is>
      </c>
      <c r="H135" s="6" t="n">
        <v>15</v>
      </c>
      <c r="I135" s="6" t="inlineStr">
        <is>
          <t>Yield TBS - Ton/Ha 14.07 16.40</t>
        </is>
      </c>
      <c r="J135" s="6" t="inlineStr">
        <is>
          <t>High</t>
        </is>
      </c>
      <c r="K135" s="6" t="n"/>
      <c r="L135" s="6" t="n"/>
      <c r="M135" s="7" t="inlineStr">
        <is>
          <t>LLM</t>
        </is>
      </c>
      <c r="N135" s="7" t="inlineStr">
        <is>
          <t>2026-04-18</t>
        </is>
      </c>
      <c r="O135" s="7" t="inlineStr">
        <is>
          <t>AI</t>
        </is>
      </c>
      <c r="P135" s="7" t="n"/>
      <c r="Q135" s="7" t="n"/>
    </row>
    <row r="136" ht="15" customHeight="1" s="67">
      <c r="A136" s="6" t="inlineStr">
        <is>
          <t>PT Astra Agro Lestari Tbk</t>
        </is>
      </c>
      <c r="B136" s="6" t="inlineStr">
        <is>
          <t>AALI_2024_AR.pdf</t>
        </is>
      </c>
      <c r="C136" s="6" t="n">
        <v>2024</v>
      </c>
      <c r="D136" s="6" t="inlineStr">
        <is>
          <t>Operation</t>
        </is>
      </c>
      <c r="E136" s="6" t="inlineStr">
        <is>
          <t>CPO Yield</t>
        </is>
      </c>
      <c r="F136" s="6" t="n">
        <v>2.68</v>
      </c>
      <c r="G136" s="6" t="inlineStr">
        <is>
          <t>t/ha</t>
        </is>
      </c>
      <c r="H136" s="6" t="n">
        <v>15</v>
      </c>
      <c r="I136" s="6" t="inlineStr">
        <is>
          <t>Yield CPO - Ton/Ha 2.68 3.10</t>
        </is>
      </c>
      <c r="J136" s="6" t="inlineStr">
        <is>
          <t>High</t>
        </is>
      </c>
      <c r="K136" s="6" t="n"/>
      <c r="L136" s="6" t="n"/>
      <c r="M136" s="7" t="inlineStr">
        <is>
          <t>LLM</t>
        </is>
      </c>
      <c r="N136" s="7" t="inlineStr">
        <is>
          <t>2026-04-18</t>
        </is>
      </c>
      <c r="O136" s="7" t="inlineStr">
        <is>
          <t>AI</t>
        </is>
      </c>
      <c r="P136" s="7" t="n"/>
      <c r="Q136" s="7" t="n"/>
    </row>
    <row r="137" ht="15" customHeight="1" s="67">
      <c r="A137" s="6" t="inlineStr">
        <is>
          <t>PT Astra Agro Lestari Tbk</t>
        </is>
      </c>
      <c r="B137" s="6" t="inlineStr">
        <is>
          <t>AALI_2024_AR.pdf</t>
        </is>
      </c>
      <c r="C137" s="6" t="n">
        <v>2024</v>
      </c>
      <c r="D137" s="6" t="inlineStr">
        <is>
          <t>Operation</t>
        </is>
      </c>
      <c r="E137" s="6" t="inlineStr">
        <is>
          <t>OER (CPO Extraction Rate)</t>
        </is>
      </c>
      <c r="F137" s="6" t="n">
        <v>0.1903</v>
      </c>
      <c r="G137" s="6" t="inlineStr">
        <is>
          <t>%</t>
        </is>
      </c>
      <c r="H137" s="6" t="n">
        <v>15</v>
      </c>
      <c r="I137" s="6" t="inlineStr">
        <is>
          <t>Rendemen Minyak Sawit 19.03% 18.89%</t>
        </is>
      </c>
      <c r="J137" s="6" t="inlineStr">
        <is>
          <t>High</t>
        </is>
      </c>
      <c r="K137" s="6" t="n"/>
      <c r="L137" s="6" t="n"/>
      <c r="M137" s="7" t="inlineStr">
        <is>
          <t>LLM</t>
        </is>
      </c>
      <c r="N137" s="7" t="inlineStr">
        <is>
          <t>2026-04-18</t>
        </is>
      </c>
      <c r="O137" s="7" t="inlineStr">
        <is>
          <t>AI</t>
        </is>
      </c>
      <c r="P137" s="7" t="n"/>
      <c r="Q137" s="7" t="n"/>
    </row>
    <row r="138" ht="15" customHeight="1" s="67">
      <c r="A138" s="6" t="inlineStr">
        <is>
          <t>PT Astra Agro Lestari Tbk</t>
        </is>
      </c>
      <c r="B138" s="6" t="inlineStr">
        <is>
          <t>AALI_2024_AR.pdf</t>
        </is>
      </c>
      <c r="C138" s="6" t="n">
        <v>2024</v>
      </c>
      <c r="D138" s="6" t="inlineStr">
        <is>
          <t>Operation</t>
        </is>
      </c>
      <c r="E138" s="6" t="inlineStr">
        <is>
          <t>KER (Kernel Extraction Rate)</t>
        </is>
      </c>
      <c r="F138" s="6" t="n">
        <v>0.0396</v>
      </c>
      <c r="G138" s="6" t="inlineStr">
        <is>
          <t>%</t>
        </is>
      </c>
      <c r="H138" s="6" t="n">
        <v>15</v>
      </c>
      <c r="I138" s="6" t="inlineStr">
        <is>
          <t>Rendemen Inti Sawit 3.96% 4.03%</t>
        </is>
      </c>
      <c r="J138" s="6" t="inlineStr">
        <is>
          <t>High</t>
        </is>
      </c>
      <c r="K138" s="6" t="n"/>
      <c r="L138" s="6" t="n"/>
      <c r="M138" s="7" t="inlineStr">
        <is>
          <t>LLM</t>
        </is>
      </c>
      <c r="N138" s="7" t="inlineStr">
        <is>
          <t>2026-04-18</t>
        </is>
      </c>
      <c r="O138" s="7" t="inlineStr">
        <is>
          <t>AI</t>
        </is>
      </c>
      <c r="P138" s="7" t="n"/>
      <c r="Q138" s="7" t="n"/>
    </row>
    <row r="139" ht="15" customHeight="1" s="67">
      <c r="A139" s="6" t="inlineStr">
        <is>
          <t>PT Astra Agro Lestari Tbk</t>
        </is>
      </c>
      <c r="B139" s="6" t="inlineStr">
        <is>
          <t>AALI_2024_AR.pdf</t>
        </is>
      </c>
      <c r="C139" s="6" t="n">
        <v>2024</v>
      </c>
      <c r="D139" s="6" t="inlineStr">
        <is>
          <t>Operation</t>
        </is>
      </c>
      <c r="E139" s="6" t="inlineStr">
        <is>
          <t>Avg CPO Selling Price</t>
        </is>
      </c>
      <c r="F139" s="6" t="n">
        <v>12883</v>
      </c>
      <c r="G139" s="6" t="inlineStr">
        <is>
          <t>Rp/kg</t>
        </is>
      </c>
      <c r="H139" s="6" t="n">
        <v>16</v>
      </c>
      <c r="I139" s="6" t="inlineStr">
        <is>
          <t>Rata-Rata Harga Jual Minyak Sawit (Rp/kg) 12,883 (2024, chart)</t>
        </is>
      </c>
      <c r="J139" s="6" t="inlineStr">
        <is>
          <t>High</t>
        </is>
      </c>
      <c r="K139" s="6" t="n"/>
      <c r="L139" s="6" t="n"/>
      <c r="M139" s="7" t="inlineStr">
        <is>
          <t>LLM</t>
        </is>
      </c>
      <c r="N139" s="7" t="inlineStr">
        <is>
          <t>2026-04-18</t>
        </is>
      </c>
      <c r="O139" s="7" t="inlineStr">
        <is>
          <t>AI</t>
        </is>
      </c>
      <c r="P139" s="7" t="n"/>
      <c r="Q139" s="7" t="n"/>
    </row>
    <row r="140" ht="15" customHeight="1" s="67">
      <c r="A140" s="6" t="inlineStr">
        <is>
          <t>PT Astra Agro Lestari Tbk</t>
        </is>
      </c>
      <c r="B140" s="6" t="inlineStr">
        <is>
          <t>AALI_2024_AR.pdf</t>
        </is>
      </c>
      <c r="C140" s="6" t="n">
        <v>2024</v>
      </c>
      <c r="D140" s="6" t="inlineStr">
        <is>
          <t>Operation</t>
        </is>
      </c>
      <c r="E140" s="6" t="inlineStr">
        <is>
          <t>CPO &amp; Derivatives Sales Volume</t>
        </is>
      </c>
      <c r="F140" s="6" t="n">
        <v>1554</v>
      </c>
      <c r="G140" s="6" t="inlineStr">
        <is>
          <t>thousand t</t>
        </is>
      </c>
      <c r="H140" s="6" t="n">
        <v>102</v>
      </c>
      <c r="I140" s="6" t="inlineStr">
        <is>
          <t>volume penjualan Perseroan untuk CPO dan produk turunannya mengalami penurunan sebesar 9% menjadi 1,55 juta ton</t>
        </is>
      </c>
      <c r="J140" s="6" t="inlineStr">
        <is>
          <t>High</t>
        </is>
      </c>
      <c r="K140" s="6" t="n"/>
      <c r="L140" s="6" t="n"/>
      <c r="M140" s="7" t="inlineStr">
        <is>
          <t>LLM</t>
        </is>
      </c>
      <c r="N140" s="7" t="inlineStr">
        <is>
          <t>2026-04-18</t>
        </is>
      </c>
      <c r="O140" s="7" t="inlineStr">
        <is>
          <t>AI</t>
        </is>
      </c>
      <c r="P140" s="7" t="n"/>
      <c r="Q140" s="7" t="n"/>
    </row>
    <row r="141" ht="15" customHeight="1" s="67">
      <c r="A141" s="6" t="inlineStr">
        <is>
          <t>PT Astra Agro Lestari Tbk</t>
        </is>
      </c>
      <c r="B141" s="6" t="inlineStr">
        <is>
          <t>AALI_2024_AR.pdf</t>
        </is>
      </c>
      <c r="C141" s="6" t="n">
        <v>2024</v>
      </c>
      <c r="D141" s="6" t="inlineStr">
        <is>
          <t>Operation</t>
        </is>
      </c>
      <c r="E141" s="6" t="inlineStr">
        <is>
          <t>Domestic Sales Proportion</t>
        </is>
      </c>
      <c r="F141" s="6" t="n">
        <v>0.6899999999999999</v>
      </c>
      <c r="G141" s="6" t="inlineStr">
        <is>
          <t>%</t>
        </is>
      </c>
      <c r="H141" s="6" t="n">
        <v>102</v>
      </c>
      <c r="I141" s="6" t="inlineStr">
        <is>
          <t>Proporsi serapan penjualan adalah 69% untuk pasar domestik dan 31% untuk ekspor</t>
        </is>
      </c>
      <c r="J141" s="6" t="inlineStr">
        <is>
          <t>High</t>
        </is>
      </c>
      <c r="K141" s="6" t="n"/>
      <c r="L141" s="6" t="n"/>
      <c r="M141" s="7" t="inlineStr">
        <is>
          <t>LLM</t>
        </is>
      </c>
      <c r="N141" s="7" t="inlineStr">
        <is>
          <t>2026-04-18</t>
        </is>
      </c>
      <c r="O141" s="7" t="inlineStr">
        <is>
          <t>AI</t>
        </is>
      </c>
      <c r="P141" s="7" t="n"/>
      <c r="Q141" s="7" t="n"/>
    </row>
    <row r="142" ht="15" customHeight="1" s="67">
      <c r="A142" s="6" t="inlineStr">
        <is>
          <t>PT Astra Agro Lestari Tbk</t>
        </is>
      </c>
      <c r="B142" s="6" t="inlineStr">
        <is>
          <t>AALI_2024_AR.pdf</t>
        </is>
      </c>
      <c r="C142" s="6" t="n">
        <v>2024</v>
      </c>
      <c r="D142" s="6" t="inlineStr">
        <is>
          <t>Operation</t>
        </is>
      </c>
      <c r="E142" s="6" t="inlineStr">
        <is>
          <t>Export Sales Proportion</t>
        </is>
      </c>
      <c r="F142" s="6" t="n">
        <v>0.31</v>
      </c>
      <c r="G142" s="6" t="inlineStr">
        <is>
          <t>%</t>
        </is>
      </c>
      <c r="H142" s="6" t="n">
        <v>102</v>
      </c>
      <c r="I142" s="6" t="inlineStr">
        <is>
          <t>69% untuk pasar domestik dan 31% untuk ekspor</t>
        </is>
      </c>
      <c r="J142" s="6" t="inlineStr">
        <is>
          <t>High</t>
        </is>
      </c>
      <c r="K142" s="6" t="n"/>
      <c r="L142" s="6" t="n"/>
      <c r="M142" s="7" t="inlineStr">
        <is>
          <t>LLM</t>
        </is>
      </c>
      <c r="N142" s="7" t="inlineStr">
        <is>
          <t>2026-04-18</t>
        </is>
      </c>
      <c r="O142" s="7" t="inlineStr">
        <is>
          <t>AI</t>
        </is>
      </c>
      <c r="P142" s="7" t="n"/>
      <c r="Q142" s="7" t="n"/>
    </row>
    <row r="143" ht="15" customHeight="1" s="67">
      <c r="A143" s="6" t="inlineStr">
        <is>
          <t>PT Astra Agro Lestari Tbk</t>
        </is>
      </c>
      <c r="B143" s="6" t="inlineStr">
        <is>
          <t>AALI_2024_AR.pdf</t>
        </is>
      </c>
      <c r="C143" s="6" t="n">
        <v>2024</v>
      </c>
      <c r="D143" s="6" t="inlineStr">
        <is>
          <t>ESG</t>
        </is>
      </c>
      <c r="E143" s="6" t="inlineStr">
        <is>
          <t>ISPO Certifications</t>
        </is>
      </c>
      <c r="F143" s="6" t="n">
        <v>39</v>
      </c>
      <c r="G143" s="6" t="inlineStr">
        <is>
          <t>count</t>
        </is>
      </c>
      <c r="H143" s="6" t="n">
        <v>105</v>
      </c>
      <c r="I143" s="6" t="inlineStr">
        <is>
          <t>Perseroan telah meraih 39 sertifikasi ISPO</t>
        </is>
      </c>
      <c r="J143" s="6" t="inlineStr">
        <is>
          <t>High</t>
        </is>
      </c>
      <c r="K143" s="6" t="n"/>
      <c r="L143" s="6" t="n"/>
      <c r="M143" s="7" t="inlineStr">
        <is>
          <t>LLM</t>
        </is>
      </c>
      <c r="N143" s="7" t="inlineStr">
        <is>
          <t>2026-04-18</t>
        </is>
      </c>
      <c r="O143" s="7" t="inlineStr">
        <is>
          <t>AI</t>
        </is>
      </c>
      <c r="P143" s="7" t="n"/>
      <c r="Q143" s="7" t="n"/>
    </row>
    <row r="144" ht="15" customHeight="1" s="67">
      <c r="A144" s="6" t="inlineStr">
        <is>
          <t>PT Astra Agro Lestari Tbk</t>
        </is>
      </c>
      <c r="B144" s="6" t="inlineStr">
        <is>
          <t>AALI_2024_AR.pdf</t>
        </is>
      </c>
      <c r="C144" s="6" t="n">
        <v>2024</v>
      </c>
      <c r="D144" s="6" t="inlineStr">
        <is>
          <t>ESG</t>
        </is>
      </c>
      <c r="E144" s="6" t="inlineStr">
        <is>
          <t>PROPER Blue Certifications</t>
        </is>
      </c>
      <c r="F144" s="6" t="n">
        <v>26</v>
      </c>
      <c r="G144" s="6" t="inlineStr">
        <is>
          <t>count</t>
        </is>
      </c>
      <c r="H144" s="6" t="n">
        <v>105</v>
      </c>
      <c r="I144" s="6" t="inlineStr">
        <is>
          <t>Perseroan telah meraih sertifikasi PROPER Biru sebanyak 26 sertifikasi</t>
        </is>
      </c>
      <c r="J144" s="6" t="inlineStr">
        <is>
          <t>High</t>
        </is>
      </c>
      <c r="K144" s="6" t="n"/>
      <c r="L144" s="6" t="n"/>
      <c r="M144" s="7" t="inlineStr">
        <is>
          <t>LLM</t>
        </is>
      </c>
      <c r="N144" s="7" t="inlineStr">
        <is>
          <t>2026-04-18</t>
        </is>
      </c>
      <c r="O144" s="7" t="inlineStr">
        <is>
          <t>AI</t>
        </is>
      </c>
      <c r="P144" s="7" t="n"/>
      <c r="Q144" s="7" t="n"/>
    </row>
    <row r="145" ht="15" customHeight="1" s="67">
      <c r="A145" s="6" t="inlineStr">
        <is>
          <t>PT Astra Agro Lestari Tbk</t>
        </is>
      </c>
      <c r="B145" s="6" t="inlineStr">
        <is>
          <t>AALI_2025_AR.pdf</t>
        </is>
      </c>
      <c r="C145" s="6" t="n">
        <v>2025</v>
      </c>
      <c r="D145" s="6" t="inlineStr">
        <is>
          <t>Company</t>
        </is>
      </c>
      <c r="E145" s="6" t="inlineStr">
        <is>
          <t>Company Name</t>
        </is>
      </c>
      <c r="F145" s="6" t="inlineStr">
        <is>
          <t>PT Astra Agro Lestari Tbk</t>
        </is>
      </c>
      <c r="G145" s="6" t="inlineStr">
        <is>
          <t>text</t>
        </is>
      </c>
      <c r="H145" s="6" t="n">
        <v>15</v>
      </c>
      <c r="I145" s="6" t="inlineStr">
        <is>
          <t>Laporan Tahunan 2025 | PT Astra Agro Lestari Tbk</t>
        </is>
      </c>
      <c r="J145" s="6" t="inlineStr">
        <is>
          <t>High</t>
        </is>
      </c>
      <c r="K145" s="6" t="n"/>
      <c r="L145" s="6" t="n"/>
      <c r="M145" s="7" t="inlineStr">
        <is>
          <t>LLM</t>
        </is>
      </c>
      <c r="N145" s="7" t="inlineStr">
        <is>
          <t>2026-04-18</t>
        </is>
      </c>
      <c r="O145" s="7" t="inlineStr">
        <is>
          <t>AI</t>
        </is>
      </c>
      <c r="P145" s="7" t="n"/>
      <c r="Q145" s="7" t="n"/>
    </row>
    <row r="146" ht="15" customHeight="1" s="67">
      <c r="A146" s="6" t="inlineStr">
        <is>
          <t>PT Astra Agro Lestari Tbk</t>
        </is>
      </c>
      <c r="B146" s="6" t="inlineStr">
        <is>
          <t>AALI_2025_AR.pdf</t>
        </is>
      </c>
      <c r="C146" s="6" t="n">
        <v>2025</v>
      </c>
      <c r="D146" s="6" t="inlineStr">
        <is>
          <t>Financial</t>
        </is>
      </c>
      <c r="E146" s="6" t="inlineStr">
        <is>
          <t>Revenue (Net)</t>
        </is>
      </c>
      <c r="F146" s="6" t="n">
        <v>28655</v>
      </c>
      <c r="G146" s="6" t="inlineStr">
        <is>
          <t>IDR bn</t>
        </is>
      </c>
      <c r="H146" s="6" t="n">
        <v>15</v>
      </c>
      <c r="I146" s="6" t="inlineStr">
        <is>
          <t>Pendapatan Bersih 28,655 21,815</t>
        </is>
      </c>
      <c r="J146" s="6" t="inlineStr">
        <is>
          <t>High</t>
        </is>
      </c>
      <c r="K146" s="6" t="n"/>
      <c r="L146" s="6" t="n"/>
      <c r="M146" s="7" t="inlineStr">
        <is>
          <t>LLM</t>
        </is>
      </c>
      <c r="N146" s="7" t="inlineStr">
        <is>
          <t>2026-04-18</t>
        </is>
      </c>
      <c r="O146" s="7" t="inlineStr">
        <is>
          <t>AI</t>
        </is>
      </c>
      <c r="P146" s="7" t="n"/>
      <c r="Q146" s="7" t="n"/>
    </row>
    <row r="147" ht="15" customHeight="1" s="67">
      <c r="A147" s="6" t="inlineStr">
        <is>
          <t>PT Astra Agro Lestari Tbk</t>
        </is>
      </c>
      <c r="B147" s="6" t="inlineStr">
        <is>
          <t>AALI_2025_AR.pdf</t>
        </is>
      </c>
      <c r="C147" s="6" t="n">
        <v>2025</v>
      </c>
      <c r="D147" s="6" t="inlineStr">
        <is>
          <t>Financial</t>
        </is>
      </c>
      <c r="E147" s="6" t="inlineStr">
        <is>
          <t>Cost of Revenue</t>
        </is>
      </c>
      <c r="F147" s="6" t="n">
        <v>24023</v>
      </c>
      <c r="G147" s="6" t="inlineStr">
        <is>
          <t>IDR bn</t>
        </is>
      </c>
      <c r="H147" s="6" t="n">
        <v>131</v>
      </c>
      <c r="I147" s="6" t="inlineStr">
        <is>
          <t>Beban Pokok Pendapatan (24,023.22) (18,474.41)</t>
        </is>
      </c>
      <c r="J147" s="6" t="inlineStr">
        <is>
          <t>High</t>
        </is>
      </c>
      <c r="K147" s="6" t="n"/>
      <c r="L147" s="6" t="n"/>
      <c r="M147" s="7" t="inlineStr">
        <is>
          <t>LLM</t>
        </is>
      </c>
      <c r="N147" s="7" t="inlineStr">
        <is>
          <t>2026-04-18</t>
        </is>
      </c>
      <c r="O147" s="7" t="inlineStr">
        <is>
          <t>AI</t>
        </is>
      </c>
      <c r="P147" s="7" t="n"/>
      <c r="Q147" s="7" t="n"/>
    </row>
    <row r="148" ht="15" customHeight="1" s="67">
      <c r="A148" s="6" t="inlineStr">
        <is>
          <t>PT Astra Agro Lestari Tbk</t>
        </is>
      </c>
      <c r="B148" s="6" t="inlineStr">
        <is>
          <t>AALI_2025_AR.pdf</t>
        </is>
      </c>
      <c r="C148" s="6" t="n">
        <v>2025</v>
      </c>
      <c r="D148" s="6" t="inlineStr">
        <is>
          <t>Financial</t>
        </is>
      </c>
      <c r="E148" s="6" t="inlineStr">
        <is>
          <t>Gross Profit</t>
        </is>
      </c>
      <c r="F148" s="6" t="n">
        <v>4631</v>
      </c>
      <c r="G148" s="6" t="inlineStr">
        <is>
          <t>IDR bn</t>
        </is>
      </c>
      <c r="H148" s="6" t="n">
        <v>15</v>
      </c>
      <c r="I148" s="6" t="inlineStr">
        <is>
          <t>Laba Bruto 4,631 3,341</t>
        </is>
      </c>
      <c r="J148" s="6" t="inlineStr">
        <is>
          <t>High</t>
        </is>
      </c>
      <c r="K148" s="6" t="n"/>
      <c r="L148" s="6" t="n"/>
      <c r="M148" s="7" t="inlineStr">
        <is>
          <t>LLM</t>
        </is>
      </c>
      <c r="N148" s="7" t="inlineStr">
        <is>
          <t>2026-04-18</t>
        </is>
      </c>
      <c r="O148" s="7" t="inlineStr">
        <is>
          <t>AI</t>
        </is>
      </c>
      <c r="P148" s="7" t="n"/>
      <c r="Q148" s="7" t="n"/>
    </row>
    <row r="149" ht="15" customHeight="1" s="67">
      <c r="A149" s="6" t="inlineStr">
        <is>
          <t>PT Astra Agro Lestari Tbk</t>
        </is>
      </c>
      <c r="B149" s="6" t="inlineStr">
        <is>
          <t>AALI_2025_AR.pdf</t>
        </is>
      </c>
      <c r="C149" s="6" t="n">
        <v>2025</v>
      </c>
      <c r="D149" s="6" t="inlineStr">
        <is>
          <t>Financial</t>
        </is>
      </c>
      <c r="E149" s="6" t="inlineStr">
        <is>
          <t>Operating Expense</t>
        </is>
      </c>
      <c r="F149" s="6" t="n">
        <v>2214</v>
      </c>
      <c r="G149" s="6" t="inlineStr">
        <is>
          <t>IDR bn</t>
        </is>
      </c>
      <c r="H149" s="6" t="n">
        <v>131</v>
      </c>
      <c r="I149" s="6" t="inlineStr">
        <is>
          <t>Beban Usaha (2,214.37) (1,682.14)</t>
        </is>
      </c>
      <c r="J149" s="6" t="inlineStr">
        <is>
          <t>High</t>
        </is>
      </c>
      <c r="K149" s="6" t="n"/>
      <c r="L149" s="6" t="n"/>
      <c r="M149" s="7" t="inlineStr">
        <is>
          <t>LLM</t>
        </is>
      </c>
      <c r="N149" s="7" t="inlineStr">
        <is>
          <t>2026-04-18</t>
        </is>
      </c>
      <c r="O149" s="7" t="inlineStr">
        <is>
          <t>AI</t>
        </is>
      </c>
      <c r="P149" s="7" t="n"/>
      <c r="Q149" s="7" t="n"/>
    </row>
    <row r="150" ht="15" customHeight="1" s="67">
      <c r="A150" s="6" t="inlineStr">
        <is>
          <t>PT Astra Agro Lestari Tbk</t>
        </is>
      </c>
      <c r="B150" s="6" t="inlineStr">
        <is>
          <t>AALI_2025_AR.pdf</t>
        </is>
      </c>
      <c r="C150" s="6" t="n">
        <v>2025</v>
      </c>
      <c r="D150" s="6" t="inlineStr">
        <is>
          <t>Financial</t>
        </is>
      </c>
      <c r="E150" s="6" t="inlineStr">
        <is>
          <t>EBIT (Gross - OpEx)</t>
        </is>
      </c>
      <c r="F150" s="6" t="n">
        <v>2417</v>
      </c>
      <c r="G150" s="6" t="inlineStr">
        <is>
          <t>IDR bn</t>
        </is>
      </c>
      <c r="H150" s="6" t="n">
        <v>131</v>
      </c>
      <c r="I150" s="6" t="inlineStr">
        <is>
          <t>Calculated: 4,631.43 - 2,214.37 = 2,417.06</t>
        </is>
      </c>
      <c r="J150" s="6" t="inlineStr">
        <is>
          <t>Medium</t>
        </is>
      </c>
      <c r="K150" s="6" t="n"/>
      <c r="L150" s="6" t="n"/>
      <c r="M150" s="7" t="inlineStr">
        <is>
          <t>LLM</t>
        </is>
      </c>
      <c r="N150" s="7" t="inlineStr">
        <is>
          <t>2026-04-18</t>
        </is>
      </c>
      <c r="O150" s="7" t="inlineStr">
        <is>
          <t>AI</t>
        </is>
      </c>
      <c r="P150" s="7" t="n"/>
      <c r="Q150" s="7" t="n"/>
    </row>
    <row r="151" ht="15" customHeight="1" s="67">
      <c r="A151" s="6" t="inlineStr">
        <is>
          <t>PT Astra Agro Lestari Tbk</t>
        </is>
      </c>
      <c r="B151" s="6" t="inlineStr">
        <is>
          <t>AALI_2025_AR.pdf</t>
        </is>
      </c>
      <c r="C151" s="6" t="n">
        <v>2025</v>
      </c>
      <c r="D151" s="6" t="inlineStr">
        <is>
          <t>Financial</t>
        </is>
      </c>
      <c r="E151" s="6" t="inlineStr">
        <is>
          <t>Finance Cost</t>
        </is>
      </c>
      <c r="F151" s="6" t="n">
        <v>139</v>
      </c>
      <c r="G151" s="6" t="inlineStr">
        <is>
          <t>IDR bn</t>
        </is>
      </c>
      <c r="H151" s="6" t="n">
        <v>131</v>
      </c>
      <c r="I151" s="6" t="inlineStr">
        <is>
          <t>Biaya Pendanaan (139.26) (264.69)</t>
        </is>
      </c>
      <c r="J151" s="6" t="inlineStr">
        <is>
          <t>High</t>
        </is>
      </c>
      <c r="K151" s="6" t="n"/>
      <c r="L151" s="6" t="n"/>
      <c r="M151" s="7" t="inlineStr">
        <is>
          <t>LLM</t>
        </is>
      </c>
      <c r="N151" s="7" t="inlineStr">
        <is>
          <t>2026-04-18</t>
        </is>
      </c>
      <c r="O151" s="7" t="inlineStr">
        <is>
          <t>AI</t>
        </is>
      </c>
      <c r="P151" s="7" t="n"/>
      <c r="Q151" s="7" t="n"/>
    </row>
    <row r="152" ht="15" customHeight="1" s="67">
      <c r="A152" s="6" t="inlineStr">
        <is>
          <t>PT Astra Agro Lestari Tbk</t>
        </is>
      </c>
      <c r="B152" s="6" t="inlineStr">
        <is>
          <t>AALI_2025_AR.pdf</t>
        </is>
      </c>
      <c r="C152" s="6" t="n">
        <v>2025</v>
      </c>
      <c r="D152" s="6" t="inlineStr">
        <is>
          <t>Financial</t>
        </is>
      </c>
      <c r="E152" s="6" t="inlineStr">
        <is>
          <t>Interest Income</t>
        </is>
      </c>
      <c r="F152" s="6" t="n">
        <v>280</v>
      </c>
      <c r="G152" s="6" t="inlineStr">
        <is>
          <t>IDR bn</t>
        </is>
      </c>
      <c r="H152" s="6" t="n">
        <v>131</v>
      </c>
      <c r="I152" s="6" t="inlineStr">
        <is>
          <t>Penghasilan Bunga 279.79 211.50</t>
        </is>
      </c>
      <c r="J152" s="6" t="inlineStr">
        <is>
          <t>High</t>
        </is>
      </c>
      <c r="K152" s="6" t="n"/>
      <c r="L152" s="6" t="n"/>
      <c r="M152" s="7" t="inlineStr">
        <is>
          <t>LLM</t>
        </is>
      </c>
      <c r="N152" s="7" t="inlineStr">
        <is>
          <t>2026-04-18</t>
        </is>
      </c>
      <c r="O152" s="7" t="inlineStr">
        <is>
          <t>AI</t>
        </is>
      </c>
      <c r="P152" s="7" t="n"/>
      <c r="Q152" s="7" t="n"/>
    </row>
    <row r="153" ht="15" customHeight="1" s="67">
      <c r="A153" s="6" t="inlineStr">
        <is>
          <t>PT Astra Agro Lestari Tbk</t>
        </is>
      </c>
      <c r="B153" s="6" t="inlineStr">
        <is>
          <t>AALI_2025_AR.pdf</t>
        </is>
      </c>
      <c r="C153" s="6" t="n">
        <v>2025</v>
      </c>
      <c r="D153" s="6" t="inlineStr">
        <is>
          <t>Financial</t>
        </is>
      </c>
      <c r="E153" s="6" t="inlineStr">
        <is>
          <t>Profit Before Tax</t>
        </is>
      </c>
      <c r="F153" s="6" t="n">
        <v>2227</v>
      </c>
      <c r="G153" s="6" t="inlineStr">
        <is>
          <t>IDR bn</t>
        </is>
      </c>
      <c r="H153" s="6" t="n">
        <v>131</v>
      </c>
      <c r="I153" s="6" t="inlineStr">
        <is>
          <t>Laba Sebelum Pajak Penghasilan 2,226.73 1,707.13</t>
        </is>
      </c>
      <c r="J153" s="6" t="inlineStr">
        <is>
          <t>High</t>
        </is>
      </c>
      <c r="K153" s="6" t="n"/>
      <c r="L153" s="6" t="n"/>
      <c r="M153" s="7" t="inlineStr">
        <is>
          <t>LLM</t>
        </is>
      </c>
      <c r="N153" s="7" t="inlineStr">
        <is>
          <t>2026-04-18</t>
        </is>
      </c>
      <c r="O153" s="7" t="inlineStr">
        <is>
          <t>AI</t>
        </is>
      </c>
      <c r="P153" s="7" t="n"/>
      <c r="Q153" s="7" t="n"/>
    </row>
    <row r="154" ht="15" customHeight="1" s="67">
      <c r="A154" s="6" t="inlineStr">
        <is>
          <t>PT Astra Agro Lestari Tbk</t>
        </is>
      </c>
      <c r="B154" s="6" t="inlineStr">
        <is>
          <t>AALI_2025_AR.pdf</t>
        </is>
      </c>
      <c r="C154" s="6" t="n">
        <v>2025</v>
      </c>
      <c r="D154" s="6" t="inlineStr">
        <is>
          <t>Financial</t>
        </is>
      </c>
      <c r="E154" s="6" t="inlineStr">
        <is>
          <t>Income Tax Expense</t>
        </is>
      </c>
      <c r="F154" s="6" t="n">
        <v>689</v>
      </c>
      <c r="G154" s="6" t="inlineStr">
        <is>
          <t>IDR bn</t>
        </is>
      </c>
      <c r="H154" s="6" t="n">
        <v>131</v>
      </c>
      <c r="I154" s="6" t="inlineStr">
        <is>
          <t>Beban Pajak Penghasilan (689.10) (520.35)</t>
        </is>
      </c>
      <c r="J154" s="6" t="inlineStr">
        <is>
          <t>High</t>
        </is>
      </c>
      <c r="K154" s="6" t="n"/>
      <c r="L154" s="6" t="n"/>
      <c r="M154" s="7" t="inlineStr">
        <is>
          <t>LLM</t>
        </is>
      </c>
      <c r="N154" s="7" t="inlineStr">
        <is>
          <t>2026-04-18</t>
        </is>
      </c>
      <c r="O154" s="7" t="inlineStr">
        <is>
          <t>AI</t>
        </is>
      </c>
      <c r="P154" s="7" t="n"/>
      <c r="Q154" s="7" t="n"/>
    </row>
    <row r="155" ht="15" customHeight="1" s="67">
      <c r="A155" s="6" t="inlineStr">
        <is>
          <t>PT Astra Agro Lestari Tbk</t>
        </is>
      </c>
      <c r="B155" s="6" t="inlineStr">
        <is>
          <t>AALI_2025_AR.pdf</t>
        </is>
      </c>
      <c r="C155" s="6" t="n">
        <v>2025</v>
      </c>
      <c r="D155" s="6" t="inlineStr">
        <is>
          <t>Financial</t>
        </is>
      </c>
      <c r="E155" s="6" t="inlineStr">
        <is>
          <t>Net Profit</t>
        </is>
      </c>
      <c r="F155" s="6" t="n">
        <v>1538</v>
      </c>
      <c r="G155" s="6" t="inlineStr">
        <is>
          <t>IDR bn</t>
        </is>
      </c>
      <c r="H155" s="6" t="n">
        <v>15</v>
      </c>
      <c r="I155" s="6" t="inlineStr">
        <is>
          <t>Laba Tahun Berjalan 1,538 1,187</t>
        </is>
      </c>
      <c r="J155" s="6" t="inlineStr">
        <is>
          <t>High</t>
        </is>
      </c>
      <c r="K155" s="6" t="n"/>
      <c r="L155" s="6" t="n"/>
      <c r="M155" s="7" t="inlineStr">
        <is>
          <t>LLM</t>
        </is>
      </c>
      <c r="N155" s="7" t="inlineStr">
        <is>
          <t>2026-04-18</t>
        </is>
      </c>
      <c r="O155" s="7" t="inlineStr">
        <is>
          <t>AI</t>
        </is>
      </c>
      <c r="P155" s="7" t="n"/>
      <c r="Q155" s="7" t="n"/>
    </row>
    <row r="156" ht="15" customHeight="1" s="67">
      <c r="A156" s="6" t="inlineStr">
        <is>
          <t>PT Astra Agro Lestari Tbk</t>
        </is>
      </c>
      <c r="B156" s="6" t="inlineStr">
        <is>
          <t>AALI_2025_AR.pdf</t>
        </is>
      </c>
      <c r="C156" s="6" t="n">
        <v>2025</v>
      </c>
      <c r="D156" s="6" t="inlineStr">
        <is>
          <t>Financial</t>
        </is>
      </c>
      <c r="E156" s="6" t="inlineStr">
        <is>
          <t>Profit Attributable to Parent</t>
        </is>
      </c>
      <c r="F156" s="6" t="n">
        <v>1472</v>
      </c>
      <c r="G156" s="6" t="inlineStr">
        <is>
          <t>IDR bn</t>
        </is>
      </c>
      <c r="H156" s="6" t="n">
        <v>15</v>
      </c>
      <c r="I156" s="6" t="inlineStr">
        <is>
          <t>Pemilik Entitas Induk 1,472 1,148</t>
        </is>
      </c>
      <c r="J156" s="6" t="inlineStr">
        <is>
          <t>High</t>
        </is>
      </c>
      <c r="K156" s="6" t="n"/>
      <c r="L156" s="6" t="n"/>
      <c r="M156" s="7" t="inlineStr">
        <is>
          <t>LLM</t>
        </is>
      </c>
      <c r="N156" s="7" t="inlineStr">
        <is>
          <t>2026-04-18</t>
        </is>
      </c>
      <c r="O156" s="7" t="inlineStr">
        <is>
          <t>AI</t>
        </is>
      </c>
      <c r="P156" s="7" t="n"/>
      <c r="Q156" s="7" t="n"/>
    </row>
    <row r="157" ht="15" customHeight="1" s="67">
      <c r="A157" s="6" t="inlineStr">
        <is>
          <t>PT Astra Agro Lestari Tbk</t>
        </is>
      </c>
      <c r="B157" s="6" t="inlineStr">
        <is>
          <t>AALI_2025_AR.pdf</t>
        </is>
      </c>
      <c r="C157" s="6" t="n">
        <v>2025</v>
      </c>
      <c r="D157" s="6" t="inlineStr">
        <is>
          <t>Financial</t>
        </is>
      </c>
      <c r="E157" s="6" t="inlineStr">
        <is>
          <t>Total Assets</t>
        </is>
      </c>
      <c r="F157" s="6" t="n">
        <v>27047</v>
      </c>
      <c r="G157" s="6" t="inlineStr">
        <is>
          <t>IDR bn</t>
        </is>
      </c>
      <c r="H157" s="6" t="n">
        <v>15</v>
      </c>
      <c r="I157" s="6" t="inlineStr">
        <is>
          <t>Total Aset 27,047 28,793</t>
        </is>
      </c>
      <c r="J157" s="6" t="inlineStr">
        <is>
          <t>High</t>
        </is>
      </c>
      <c r="K157" s="6" t="n"/>
      <c r="L157" s="6" t="n"/>
      <c r="M157" s="7" t="inlineStr">
        <is>
          <t>LLM</t>
        </is>
      </c>
      <c r="N157" s="7" t="inlineStr">
        <is>
          <t>2026-04-18</t>
        </is>
      </c>
      <c r="O157" s="7" t="inlineStr">
        <is>
          <t>AI</t>
        </is>
      </c>
      <c r="P157" s="7" t="n"/>
      <c r="Q157" s="7" t="n"/>
    </row>
    <row r="158" ht="15" customHeight="1" s="67">
      <c r="A158" s="6" t="inlineStr">
        <is>
          <t>PT Astra Agro Lestari Tbk</t>
        </is>
      </c>
      <c r="B158" s="6" t="inlineStr">
        <is>
          <t>AALI_2025_AR.pdf</t>
        </is>
      </c>
      <c r="C158" s="6" t="n">
        <v>2025</v>
      </c>
      <c r="D158" s="6" t="inlineStr">
        <is>
          <t>Financial</t>
        </is>
      </c>
      <c r="E158" s="6" t="inlineStr">
        <is>
          <t>Current Assets</t>
        </is>
      </c>
      <c r="F158" s="6" t="n">
        <v>8663</v>
      </c>
      <c r="G158" s="6" t="inlineStr">
        <is>
          <t>IDR bn</t>
        </is>
      </c>
      <c r="H158" s="6" t="n">
        <v>15</v>
      </c>
      <c r="I158" s="6" t="inlineStr">
        <is>
          <t>Aset Lancar 8,663 8,434</t>
        </is>
      </c>
      <c r="J158" s="6" t="inlineStr">
        <is>
          <t>High</t>
        </is>
      </c>
      <c r="K158" s="6" t="n"/>
      <c r="L158" s="6" t="n"/>
      <c r="M158" s="7" t="inlineStr">
        <is>
          <t>LLM</t>
        </is>
      </c>
      <c r="N158" s="7" t="inlineStr">
        <is>
          <t>2026-04-18</t>
        </is>
      </c>
      <c r="O158" s="7" t="inlineStr">
        <is>
          <t>AI</t>
        </is>
      </c>
      <c r="P158" s="7" t="n"/>
      <c r="Q158" s="7" t="n"/>
    </row>
    <row r="159" ht="15" customHeight="1" s="67">
      <c r="A159" s="6" t="inlineStr">
        <is>
          <t>PT Astra Agro Lestari Tbk</t>
        </is>
      </c>
      <c r="B159" s="6" t="inlineStr">
        <is>
          <t>AALI_2025_AR.pdf</t>
        </is>
      </c>
      <c r="C159" s="6" t="n">
        <v>2025</v>
      </c>
      <c r="D159" s="6" t="inlineStr">
        <is>
          <t>Financial</t>
        </is>
      </c>
      <c r="E159" s="6" t="inlineStr">
        <is>
          <t>Non-Current Assets</t>
        </is>
      </c>
      <c r="F159" s="6" t="n">
        <v>18384</v>
      </c>
      <c r="G159" s="6" t="inlineStr">
        <is>
          <t>IDR bn</t>
        </is>
      </c>
      <c r="H159" s="6" t="n">
        <v>15</v>
      </c>
      <c r="I159" s="6" t="inlineStr">
        <is>
          <t>Aset Tidak Lancar 18,384 20,360</t>
        </is>
      </c>
      <c r="J159" s="6" t="inlineStr">
        <is>
          <t>High</t>
        </is>
      </c>
      <c r="K159" s="6" t="n"/>
      <c r="L159" s="6" t="n"/>
      <c r="M159" s="7" t="inlineStr">
        <is>
          <t>LLM</t>
        </is>
      </c>
      <c r="N159" s="7" t="inlineStr">
        <is>
          <t>2026-04-18</t>
        </is>
      </c>
      <c r="O159" s="7" t="inlineStr">
        <is>
          <t>AI</t>
        </is>
      </c>
      <c r="P159" s="7" t="n"/>
      <c r="Q159" s="7" t="n"/>
    </row>
    <row r="160" ht="15" customHeight="1" s="67">
      <c r="A160" s="6" t="inlineStr">
        <is>
          <t>PT Astra Agro Lestari Tbk</t>
        </is>
      </c>
      <c r="B160" s="6" t="inlineStr">
        <is>
          <t>AALI_2025_AR.pdf</t>
        </is>
      </c>
      <c r="C160" s="6" t="n">
        <v>2025</v>
      </c>
      <c r="D160" s="6" t="inlineStr">
        <is>
          <t>Financial</t>
        </is>
      </c>
      <c r="E160" s="6" t="inlineStr">
        <is>
          <t>Total Liabilities</t>
        </is>
      </c>
      <c r="F160" s="6" t="n">
        <v>2889</v>
      </c>
      <c r="G160" s="6" t="inlineStr">
        <is>
          <t>IDR bn</t>
        </is>
      </c>
      <c r="H160" s="6" t="n">
        <v>15</v>
      </c>
      <c r="I160" s="6" t="inlineStr">
        <is>
          <t>Total Liabilitas 2,889 5,591</t>
        </is>
      </c>
      <c r="J160" s="6" t="inlineStr">
        <is>
          <t>High</t>
        </is>
      </c>
      <c r="K160" s="6" t="n"/>
      <c r="L160" s="6" t="n"/>
      <c r="M160" s="7" t="inlineStr">
        <is>
          <t>LLM</t>
        </is>
      </c>
      <c r="N160" s="7" t="inlineStr">
        <is>
          <t>2026-04-18</t>
        </is>
      </c>
      <c r="O160" s="7" t="inlineStr">
        <is>
          <t>AI</t>
        </is>
      </c>
      <c r="P160" s="7" t="n"/>
      <c r="Q160" s="7" t="n"/>
    </row>
    <row r="161" ht="15" customHeight="1" s="67">
      <c r="A161" s="6" t="inlineStr">
        <is>
          <t>PT Astra Agro Lestari Tbk</t>
        </is>
      </c>
      <c r="B161" s="6" t="inlineStr">
        <is>
          <t>AALI_2025_AR.pdf</t>
        </is>
      </c>
      <c r="C161" s="6" t="n">
        <v>2025</v>
      </c>
      <c r="D161" s="6" t="inlineStr">
        <is>
          <t>Financial</t>
        </is>
      </c>
      <c r="E161" s="6" t="inlineStr">
        <is>
          <t>Current Liabilities</t>
        </is>
      </c>
      <c r="F161" s="6" t="n">
        <v>2000</v>
      </c>
      <c r="G161" s="6" t="inlineStr">
        <is>
          <t>IDR bn</t>
        </is>
      </c>
      <c r="H161" s="6" t="n">
        <v>15</v>
      </c>
      <c r="I161" s="6" t="inlineStr">
        <is>
          <t>Liabilitas Jangka Pendek 2,000 3,238</t>
        </is>
      </c>
      <c r="J161" s="6" t="inlineStr">
        <is>
          <t>High</t>
        </is>
      </c>
      <c r="K161" s="6" t="n"/>
      <c r="L161" s="6" t="n"/>
      <c r="M161" s="7" t="inlineStr">
        <is>
          <t>LLM</t>
        </is>
      </c>
      <c r="N161" s="7" t="inlineStr">
        <is>
          <t>2026-04-18</t>
        </is>
      </c>
      <c r="O161" s="7" t="inlineStr">
        <is>
          <t>AI</t>
        </is>
      </c>
      <c r="P161" s="7" t="n"/>
      <c r="Q161" s="7" t="n"/>
    </row>
    <row r="162" ht="15" customHeight="1" s="67">
      <c r="A162" s="6" t="inlineStr">
        <is>
          <t>PT Astra Agro Lestari Tbk</t>
        </is>
      </c>
      <c r="B162" s="6" t="inlineStr">
        <is>
          <t>AALI_2025_AR.pdf</t>
        </is>
      </c>
      <c r="C162" s="6" t="n">
        <v>2025</v>
      </c>
      <c r="D162" s="6" t="inlineStr">
        <is>
          <t>Financial</t>
        </is>
      </c>
      <c r="E162" s="6" t="inlineStr">
        <is>
          <t>Non-Current Liabilities</t>
        </is>
      </c>
      <c r="F162" s="6" t="n">
        <v>889</v>
      </c>
      <c r="G162" s="6" t="inlineStr">
        <is>
          <t>IDR bn</t>
        </is>
      </c>
      <c r="H162" s="6" t="n">
        <v>15</v>
      </c>
      <c r="I162" s="6" t="inlineStr">
        <is>
          <t>Liabilitas Jangka Panjang 889 2,354</t>
        </is>
      </c>
      <c r="J162" s="6" t="inlineStr">
        <is>
          <t>High</t>
        </is>
      </c>
      <c r="K162" s="6" t="n"/>
      <c r="L162" s="6" t="n"/>
      <c r="M162" s="7" t="inlineStr">
        <is>
          <t>LLM</t>
        </is>
      </c>
      <c r="N162" s="7" t="inlineStr">
        <is>
          <t>2026-04-18</t>
        </is>
      </c>
      <c r="O162" s="7" t="inlineStr">
        <is>
          <t>AI</t>
        </is>
      </c>
      <c r="P162" s="7" t="n"/>
      <c r="Q162" s="7" t="n"/>
    </row>
    <row r="163" ht="15" customHeight="1" s="67">
      <c r="A163" s="6" t="inlineStr">
        <is>
          <t>PT Astra Agro Lestari Tbk</t>
        </is>
      </c>
      <c r="B163" s="6" t="inlineStr">
        <is>
          <t>AALI_2025_AR.pdf</t>
        </is>
      </c>
      <c r="C163" s="6" t="n">
        <v>2025</v>
      </c>
      <c r="D163" s="6" t="inlineStr">
        <is>
          <t>Financial</t>
        </is>
      </c>
      <c r="E163" s="6" t="inlineStr">
        <is>
          <t>Total Equity</t>
        </is>
      </c>
      <c r="F163" s="6" t="n">
        <v>24158</v>
      </c>
      <c r="G163" s="6" t="inlineStr">
        <is>
          <t>IDR bn</t>
        </is>
      </c>
      <c r="H163" s="6" t="n">
        <v>15</v>
      </c>
      <c r="I163" s="6" t="inlineStr">
        <is>
          <t>Total Ekuitas 24,158 23,202</t>
        </is>
      </c>
      <c r="J163" s="6" t="inlineStr">
        <is>
          <t>High</t>
        </is>
      </c>
      <c r="K163" s="6" t="n"/>
      <c r="L163" s="6" t="n"/>
      <c r="M163" s="7" t="inlineStr">
        <is>
          <t>LLM</t>
        </is>
      </c>
      <c r="N163" s="7" t="inlineStr">
        <is>
          <t>2026-04-18</t>
        </is>
      </c>
      <c r="O163" s="7" t="inlineStr">
        <is>
          <t>AI</t>
        </is>
      </c>
      <c r="P163" s="7" t="n"/>
      <c r="Q163" s="7" t="n"/>
    </row>
    <row r="164" ht="15" customHeight="1" s="67">
      <c r="A164" s="6" t="inlineStr">
        <is>
          <t>PT Astra Agro Lestari Tbk</t>
        </is>
      </c>
      <c r="B164" s="6" t="inlineStr">
        <is>
          <t>AALI_2025_AR.pdf</t>
        </is>
      </c>
      <c r="C164" s="6" t="n">
        <v>2025</v>
      </c>
      <c r="D164" s="6" t="inlineStr">
        <is>
          <t>Financial</t>
        </is>
      </c>
      <c r="E164" s="6" t="inlineStr">
        <is>
          <t>Cash &amp; Equivalents</t>
        </is>
      </c>
      <c r="F164" s="6" t="n">
        <v>2760</v>
      </c>
      <c r="G164" s="6" t="inlineStr">
        <is>
          <t>IDR bn</t>
        </is>
      </c>
      <c r="H164" s="6" t="n">
        <v>128</v>
      </c>
      <c r="I164" s="6" t="inlineStr">
        <is>
          <t>kas dan setara kas pada akhir tahun 2025 menjadi Rp2,76 triliun</t>
        </is>
      </c>
      <c r="J164" s="6" t="inlineStr">
        <is>
          <t>High</t>
        </is>
      </c>
      <c r="K164" s="6" t="n"/>
      <c r="L164" s="6" t="n"/>
      <c r="M164" s="7" t="inlineStr">
        <is>
          <t>LLM</t>
        </is>
      </c>
      <c r="N164" s="7" t="inlineStr">
        <is>
          <t>2026-04-18</t>
        </is>
      </c>
      <c r="O164" s="7" t="inlineStr">
        <is>
          <t>AI</t>
        </is>
      </c>
      <c r="P164" s="7" t="n"/>
      <c r="Q164" s="7" t="n"/>
    </row>
    <row r="165" ht="15" customHeight="1" s="67">
      <c r="A165" s="6" t="inlineStr">
        <is>
          <t>PT Astra Agro Lestari Tbk</t>
        </is>
      </c>
      <c r="B165" s="6" t="inlineStr">
        <is>
          <t>AALI_2025_AR.pdf</t>
        </is>
      </c>
      <c r="C165" s="6" t="n">
        <v>2025</v>
      </c>
      <c r="D165" s="6" t="inlineStr">
        <is>
          <t>Financial</t>
        </is>
      </c>
      <c r="E165" s="6" t="inlineStr">
        <is>
          <t>Long-term Bank Loans</t>
        </is>
      </c>
      <c r="F165" s="6" t="n">
        <v>0</v>
      </c>
      <c r="G165" s="6" t="inlineStr">
        <is>
          <t>IDR bn</t>
        </is>
      </c>
      <c r="H165" s="6" t="n">
        <v>129</v>
      </c>
      <c r="I165" s="6" t="inlineStr">
        <is>
          <t>utang jangka panjang tahun 2025 sebesar 100% menjadi nihil dari Rp1,50 triliun</t>
        </is>
      </c>
      <c r="J165" s="6" t="inlineStr">
        <is>
          <t>High</t>
        </is>
      </c>
      <c r="K165" s="6" t="n"/>
      <c r="L165" s="6" t="n"/>
      <c r="M165" s="7" t="inlineStr">
        <is>
          <t>LLM</t>
        </is>
      </c>
      <c r="N165" s="7" t="inlineStr">
        <is>
          <t>2026-04-18</t>
        </is>
      </c>
      <c r="O165" s="7" t="inlineStr">
        <is>
          <t>AI</t>
        </is>
      </c>
      <c r="P165" s="7" t="n"/>
      <c r="Q165" s="7" t="n"/>
    </row>
    <row r="166" ht="15" customHeight="1" s="67">
      <c r="A166" s="6" t="inlineStr">
        <is>
          <t>PT Astra Agro Lestari Tbk</t>
        </is>
      </c>
      <c r="B166" s="6" t="inlineStr">
        <is>
          <t>AALI_2025_AR.pdf</t>
        </is>
      </c>
      <c r="C166" s="6" t="n">
        <v>2025</v>
      </c>
      <c r="D166" s="6" t="inlineStr">
        <is>
          <t>Financial</t>
        </is>
      </c>
      <c r="E166" s="6" t="inlineStr">
        <is>
          <t>Short-term Bank Loans</t>
        </is>
      </c>
      <c r="F166" s="6" t="n">
        <v>0</v>
      </c>
      <c r="G166" s="6" t="inlineStr">
        <is>
          <t>IDR bn</t>
        </is>
      </c>
      <c r="H166" s="6" t="n">
        <v>129</v>
      </c>
      <c r="I166" s="6" t="inlineStr">
        <is>
          <t>Bagian Pinjaman Bank Jangka Panjang yang Jatuh Tempo dalam Waktu Satu Tahun - 1,689.54</t>
        </is>
      </c>
      <c r="J166" s="6" t="inlineStr">
        <is>
          <t>High</t>
        </is>
      </c>
      <c r="K166" s="6" t="n"/>
      <c r="L166" s="6" t="n"/>
      <c r="M166" s="7" t="inlineStr">
        <is>
          <t>LLM</t>
        </is>
      </c>
      <c r="N166" s="7" t="inlineStr">
        <is>
          <t>2026-04-18</t>
        </is>
      </c>
      <c r="O166" s="7" t="inlineStr">
        <is>
          <t>AI</t>
        </is>
      </c>
      <c r="P166" s="7" t="n"/>
      <c r="Q166" s="7" t="n"/>
    </row>
    <row r="167" ht="15" customHeight="1" s="67">
      <c r="A167" s="6" t="inlineStr">
        <is>
          <t>PT Astra Agro Lestari Tbk</t>
        </is>
      </c>
      <c r="B167" s="6" t="inlineStr">
        <is>
          <t>AALI_2025_AR.pdf</t>
        </is>
      </c>
      <c r="C167" s="6" t="n">
        <v>2025</v>
      </c>
      <c r="D167" s="6" t="inlineStr">
        <is>
          <t>Financial</t>
        </is>
      </c>
      <c r="E167" s="6" t="inlineStr">
        <is>
          <t>Gross Debt</t>
        </is>
      </c>
      <c r="F167" s="6" t="n">
        <v>0</v>
      </c>
      <c r="G167" s="6" t="inlineStr">
        <is>
          <t>IDR bn</t>
        </is>
      </c>
      <c r="H167" s="6" t="n">
        <v>129</v>
      </c>
      <c r="I167" s="6" t="inlineStr">
        <is>
          <t>All bank loans settled in 2025</t>
        </is>
      </c>
      <c r="J167" s="6" t="inlineStr">
        <is>
          <t>High</t>
        </is>
      </c>
      <c r="K167" s="6" t="n"/>
      <c r="L167" s="6" t="n"/>
      <c r="M167" s="7" t="inlineStr">
        <is>
          <t>LLM</t>
        </is>
      </c>
      <c r="N167" s="7" t="inlineStr">
        <is>
          <t>2026-04-18</t>
        </is>
      </c>
      <c r="O167" s="7" t="inlineStr">
        <is>
          <t>AI</t>
        </is>
      </c>
      <c r="P167" s="7" t="n"/>
      <c r="Q167" s="7" t="n"/>
    </row>
    <row r="168" ht="15" customHeight="1" s="67">
      <c r="A168" s="6" t="inlineStr">
        <is>
          <t>PT Astra Agro Lestari Tbk</t>
        </is>
      </c>
      <c r="B168" s="6" t="inlineStr">
        <is>
          <t>AALI_2025_AR.pdf</t>
        </is>
      </c>
      <c r="C168" s="6" t="n">
        <v>2025</v>
      </c>
      <c r="D168" s="6" t="inlineStr">
        <is>
          <t>Financial</t>
        </is>
      </c>
      <c r="E168" s="6" t="inlineStr">
        <is>
          <t>Trade Payables</t>
        </is>
      </c>
      <c r="F168" s="6" t="n">
        <v>911</v>
      </c>
      <c r="G168" s="6" t="inlineStr">
        <is>
          <t>IDR bn</t>
        </is>
      </c>
      <c r="H168" s="6" t="n">
        <v>129</v>
      </c>
      <c r="I168" s="6" t="inlineStr">
        <is>
          <t>Utang Usaha 911.32 711.44</t>
        </is>
      </c>
      <c r="J168" s="6" t="inlineStr">
        <is>
          <t>High</t>
        </is>
      </c>
      <c r="K168" s="6" t="n"/>
      <c r="L168" s="6" t="n"/>
      <c r="M168" s="7" t="inlineStr">
        <is>
          <t>LLM</t>
        </is>
      </c>
      <c r="N168" s="7" t="inlineStr">
        <is>
          <t>2026-04-18</t>
        </is>
      </c>
      <c r="O168" s="7" t="inlineStr">
        <is>
          <t>AI</t>
        </is>
      </c>
      <c r="P168" s="7" t="n"/>
      <c r="Q168" s="7" t="n"/>
    </row>
    <row r="169" ht="15" customHeight="1" s="67">
      <c r="A169" s="6" t="inlineStr">
        <is>
          <t>PT Astra Agro Lestari Tbk</t>
        </is>
      </c>
      <c r="B169" s="6" t="inlineStr">
        <is>
          <t>AALI_2025_AR.pdf</t>
        </is>
      </c>
      <c r="C169" s="6" t="n">
        <v>2025</v>
      </c>
      <c r="D169" s="6" t="inlineStr">
        <is>
          <t>Financial</t>
        </is>
      </c>
      <c r="E169" s="6" t="inlineStr">
        <is>
          <t>CFO</t>
        </is>
      </c>
      <c r="F169" s="6" t="n">
        <v>4210</v>
      </c>
      <c r="G169" s="6" t="inlineStr">
        <is>
          <t>IDR bn</t>
        </is>
      </c>
      <c r="H169" s="6" t="n">
        <v>132</v>
      </c>
      <c r="I169" s="6" t="inlineStr">
        <is>
          <t>arus kas bersih yang diperoleh dari aktivitas operasi tahun buku 2025 sebesar Rp4,21 triliun</t>
        </is>
      </c>
      <c r="J169" s="6" t="inlineStr">
        <is>
          <t>High</t>
        </is>
      </c>
      <c r="K169" s="6" t="n"/>
      <c r="L169" s="6" t="n"/>
      <c r="M169" s="7" t="inlineStr">
        <is>
          <t>LLM</t>
        </is>
      </c>
      <c r="N169" s="7" t="inlineStr">
        <is>
          <t>2026-04-18</t>
        </is>
      </c>
      <c r="O169" s="7" t="inlineStr">
        <is>
          <t>AI</t>
        </is>
      </c>
      <c r="P169" s="7" t="n"/>
      <c r="Q169" s="7" t="n"/>
    </row>
    <row r="170" ht="15" customHeight="1" s="67">
      <c r="A170" s="6" t="inlineStr">
        <is>
          <t>PT Astra Agro Lestari Tbk</t>
        </is>
      </c>
      <c r="B170" s="6" t="inlineStr">
        <is>
          <t>AALI_2025_AR.pdf</t>
        </is>
      </c>
      <c r="C170" s="6" t="n">
        <v>2025</v>
      </c>
      <c r="D170" s="6" t="inlineStr">
        <is>
          <t>Financial</t>
        </is>
      </c>
      <c r="E170" s="6" t="inlineStr">
        <is>
          <t>CFI</t>
        </is>
      </c>
      <c r="F170" s="6" t="n">
        <v>-782</v>
      </c>
      <c r="G170" s="6" t="inlineStr">
        <is>
          <t>IDR bn</t>
        </is>
      </c>
      <c r="H170" s="6" t="n">
        <v>132</v>
      </c>
      <c r="I170" s="6" t="inlineStr">
        <is>
          <t>Arus kas bersih yang digunakan untuk aktivitas investasi ... sebesar Rp781,98 miliar</t>
        </is>
      </c>
      <c r="J170" s="6" t="inlineStr">
        <is>
          <t>High</t>
        </is>
      </c>
      <c r="K170" s="6" t="n"/>
      <c r="L170" s="6" t="n"/>
      <c r="M170" s="7" t="inlineStr">
        <is>
          <t>LLM</t>
        </is>
      </c>
      <c r="N170" s="7" t="inlineStr">
        <is>
          <t>2026-04-18</t>
        </is>
      </c>
      <c r="O170" s="7" t="inlineStr">
        <is>
          <t>AI</t>
        </is>
      </c>
      <c r="P170" s="7" t="n"/>
      <c r="Q170" s="7" t="n"/>
    </row>
    <row r="171" ht="15" customHeight="1" s="67">
      <c r="A171" s="6" t="inlineStr">
        <is>
          <t>PT Astra Agro Lestari Tbk</t>
        </is>
      </c>
      <c r="B171" s="6" t="inlineStr">
        <is>
          <t>AALI_2025_AR.pdf</t>
        </is>
      </c>
      <c r="C171" s="6" t="n">
        <v>2025</v>
      </c>
      <c r="D171" s="6" t="inlineStr">
        <is>
          <t>Financial</t>
        </is>
      </c>
      <c r="E171" s="6" t="inlineStr">
        <is>
          <t>Capex (Realized)</t>
        </is>
      </c>
      <c r="F171" s="6" t="n">
        <v>782</v>
      </c>
      <c r="G171" s="6" t="inlineStr">
        <is>
          <t>IDR bn</t>
        </is>
      </c>
      <c r="H171" s="6" t="n">
        <v>136</v>
      </c>
      <c r="I171" s="6" t="inlineStr">
        <is>
          <t>Aset Tetap 299,057; Tanaman Produktif 482,923; Jumlah 781,980 (million Rp)</t>
        </is>
      </c>
      <c r="J171" s="6" t="inlineStr">
        <is>
          <t>High</t>
        </is>
      </c>
      <c r="K171" s="6" t="n"/>
      <c r="L171" s="6" t="n"/>
      <c r="M171" s="7" t="inlineStr">
        <is>
          <t>LLM</t>
        </is>
      </c>
      <c r="N171" s="7" t="inlineStr">
        <is>
          <t>2026-04-18</t>
        </is>
      </c>
      <c r="O171" s="7" t="inlineStr">
        <is>
          <t>AI</t>
        </is>
      </c>
      <c r="P171" s="7" t="n"/>
      <c r="Q171" s="7" t="n"/>
    </row>
    <row r="172" ht="15" customHeight="1" s="67">
      <c r="A172" s="6" t="inlineStr">
        <is>
          <t>PT Astra Agro Lestari Tbk</t>
        </is>
      </c>
      <c r="B172" s="6" t="inlineStr">
        <is>
          <t>AALI_2025_AR.pdf</t>
        </is>
      </c>
      <c r="C172" s="6" t="n">
        <v>2025</v>
      </c>
      <c r="D172" s="6" t="inlineStr">
        <is>
          <t>Financial</t>
        </is>
      </c>
      <c r="E172" s="6" t="inlineStr">
        <is>
          <t>EPS</t>
        </is>
      </c>
      <c r="F172" s="6" t="n">
        <v>765</v>
      </c>
      <c r="G172" s="6" t="inlineStr">
        <is>
          <t>Rp/share</t>
        </is>
      </c>
      <c r="H172" s="6" t="n">
        <v>15</v>
      </c>
      <c r="I172" s="6" t="inlineStr">
        <is>
          <t>Laba per Saham (Rp penuh) 765 596</t>
        </is>
      </c>
      <c r="J172" s="6" t="inlineStr">
        <is>
          <t>High</t>
        </is>
      </c>
      <c r="K172" s="6" t="n"/>
      <c r="L172" s="6" t="n"/>
      <c r="M172" s="7" t="inlineStr">
        <is>
          <t>LLM</t>
        </is>
      </c>
      <c r="N172" s="7" t="inlineStr">
        <is>
          <t>2026-04-18</t>
        </is>
      </c>
      <c r="O172" s="7" t="inlineStr">
        <is>
          <t>AI</t>
        </is>
      </c>
      <c r="P172" s="7" t="n"/>
      <c r="Q172" s="7" t="n"/>
    </row>
    <row r="173" ht="15" customHeight="1" s="67">
      <c r="A173" s="6" t="inlineStr">
        <is>
          <t>PT Astra Agro Lestari Tbk</t>
        </is>
      </c>
      <c r="B173" s="6" t="inlineStr">
        <is>
          <t>AALI_2025_AR.pdf</t>
        </is>
      </c>
      <c r="C173" s="6" t="n">
        <v>2025</v>
      </c>
      <c r="D173" s="6" t="inlineStr">
        <is>
          <t>Financial</t>
        </is>
      </c>
      <c r="E173" s="6" t="inlineStr">
        <is>
          <t>NAV per Share</t>
        </is>
      </c>
      <c r="F173" s="6" t="n">
        <v>12551</v>
      </c>
      <c r="G173" s="6" t="inlineStr">
        <is>
          <t>Rp/share</t>
        </is>
      </c>
      <c r="H173" s="6" t="n">
        <v>15</v>
      </c>
      <c r="I173" s="6" t="inlineStr">
        <is>
          <t>Nilai Aset Bersih per Saham (Rp) 12,551 12,055</t>
        </is>
      </c>
      <c r="J173" s="6" t="inlineStr">
        <is>
          <t>High</t>
        </is>
      </c>
      <c r="K173" s="6" t="n"/>
      <c r="L173" s="6" t="n"/>
      <c r="M173" s="7" t="inlineStr">
        <is>
          <t>LLM</t>
        </is>
      </c>
      <c r="N173" s="7" t="inlineStr">
        <is>
          <t>2026-04-18</t>
        </is>
      </c>
      <c r="O173" s="7" t="inlineStr">
        <is>
          <t>AI</t>
        </is>
      </c>
      <c r="P173" s="7" t="n"/>
      <c r="Q173" s="7" t="n"/>
    </row>
    <row r="174" ht="15" customHeight="1" s="67">
      <c r="A174" s="6" t="inlineStr">
        <is>
          <t>PT Astra Agro Lestari Tbk</t>
        </is>
      </c>
      <c r="B174" s="6" t="inlineStr">
        <is>
          <t>AALI_2025_AR.pdf</t>
        </is>
      </c>
      <c r="C174" s="6" t="n">
        <v>2025</v>
      </c>
      <c r="D174" s="6" t="inlineStr">
        <is>
          <t>Financial</t>
        </is>
      </c>
      <c r="E174" s="6" t="inlineStr">
        <is>
          <t>Interim DPS</t>
        </is>
      </c>
      <c r="F174" s="6" t="n">
        <v>123</v>
      </c>
      <c r="G174" s="6" t="inlineStr">
        <is>
          <t>Rp/share</t>
        </is>
      </c>
      <c r="H174" s="6" t="n">
        <v>15</v>
      </c>
      <c r="I174" s="6" t="inlineStr">
        <is>
          <t>Dividen Interim per Saham (Rp) 123 84</t>
        </is>
      </c>
      <c r="J174" s="6" t="inlineStr">
        <is>
          <t>High</t>
        </is>
      </c>
      <c r="K174" s="6" t="n"/>
      <c r="L174" s="6" t="n"/>
      <c r="M174" s="7" t="inlineStr">
        <is>
          <t>LLM</t>
        </is>
      </c>
      <c r="N174" s="7" t="inlineStr">
        <is>
          <t>2026-04-18</t>
        </is>
      </c>
      <c r="O174" s="7" t="inlineStr">
        <is>
          <t>AI</t>
        </is>
      </c>
      <c r="P174" s="7" t="n"/>
      <c r="Q174" s="7" t="n"/>
    </row>
    <row r="175" ht="15" customHeight="1" s="67">
      <c r="A175" s="6" t="inlineStr">
        <is>
          <t>PT Astra Agro Lestari Tbk</t>
        </is>
      </c>
      <c r="B175" s="6" t="inlineStr">
        <is>
          <t>AALI_2025_AR.pdf</t>
        </is>
      </c>
      <c r="C175" s="6" t="n">
        <v>2025</v>
      </c>
      <c r="D175" s="6" t="inlineStr">
        <is>
          <t>Financial</t>
        </is>
      </c>
      <c r="E175" s="6" t="inlineStr">
        <is>
          <t>Shares Outstanding</t>
        </is>
      </c>
      <c r="F175" s="6" t="n">
        <v>1925</v>
      </c>
      <c r="G175" s="6" t="inlineStr">
        <is>
          <t>mn</t>
        </is>
      </c>
      <c r="H175" s="6" t="n">
        <v>15</v>
      </c>
      <c r="I175" s="6" t="inlineStr">
        <is>
          <t>Saham Beredar (dalam jutaan) 1,925</t>
        </is>
      </c>
      <c r="J175" s="6" t="inlineStr">
        <is>
          <t>High</t>
        </is>
      </c>
      <c r="K175" s="6" t="n"/>
      <c r="L175" s="6" t="n"/>
      <c r="M175" s="7" t="inlineStr">
        <is>
          <t>LLM</t>
        </is>
      </c>
      <c r="N175" s="7" t="inlineStr">
        <is>
          <t>2026-04-18</t>
        </is>
      </c>
      <c r="O175" s="7" t="inlineStr">
        <is>
          <t>AI</t>
        </is>
      </c>
      <c r="P175" s="7" t="n"/>
      <c r="Q175" s="7" t="n"/>
    </row>
    <row r="176" ht="15" customHeight="1" s="67">
      <c r="A176" s="6" t="inlineStr">
        <is>
          <t>PT Astra Agro Lestari Tbk</t>
        </is>
      </c>
      <c r="B176" s="6" t="inlineStr">
        <is>
          <t>AALI_2025_AR.pdf</t>
        </is>
      </c>
      <c r="C176" s="6" t="n">
        <v>2025</v>
      </c>
      <c r="D176" s="6" t="inlineStr">
        <is>
          <t>Financial</t>
        </is>
      </c>
      <c r="E176" s="6" t="inlineStr">
        <is>
          <t>Closing Price (31 Dec 2025)</t>
        </is>
      </c>
      <c r="F176" s="6" t="n">
        <v>7375</v>
      </c>
      <c r="G176" s="6" t="inlineStr">
        <is>
          <t>Rp/share</t>
        </is>
      </c>
      <c r="H176" s="6" t="n">
        <v>19</v>
      </c>
      <c r="I176" s="6" t="inlineStr">
        <is>
          <t>Setahun penuh Full Year 9,000 5,200 7,375</t>
        </is>
      </c>
      <c r="J176" s="6" t="inlineStr">
        <is>
          <t>High</t>
        </is>
      </c>
      <c r="K176" s="6" t="n"/>
      <c r="L176" s="6" t="n"/>
      <c r="M176" s="7" t="inlineStr">
        <is>
          <t>LLM</t>
        </is>
      </c>
      <c r="N176" s="7" t="inlineStr">
        <is>
          <t>2026-04-18</t>
        </is>
      </c>
      <c r="O176" s="7" t="inlineStr">
        <is>
          <t>AI</t>
        </is>
      </c>
      <c r="P176" s="7" t="n"/>
      <c r="Q176" s="7" t="n"/>
    </row>
    <row r="177" ht="15" customHeight="1" s="67">
      <c r="A177" s="6" t="inlineStr">
        <is>
          <t>PT Astra Agro Lestari Tbk</t>
        </is>
      </c>
      <c r="B177" s="6" t="inlineStr">
        <is>
          <t>AALI_2025_AR.pdf</t>
        </is>
      </c>
      <c r="C177" s="6" t="n">
        <v>2025</v>
      </c>
      <c r="D177" s="6" t="inlineStr">
        <is>
          <t>Financial</t>
        </is>
      </c>
      <c r="E177" s="6" t="inlineStr">
        <is>
          <t>Market Cap</t>
        </is>
      </c>
      <c r="F177" s="6" t="n">
        <v>14190</v>
      </c>
      <c r="G177" s="6" t="inlineStr">
        <is>
          <t>IDR bn</t>
        </is>
      </c>
      <c r="H177" s="6" t="n">
        <v>19</v>
      </c>
      <c r="I177" s="6" t="inlineStr">
        <is>
          <t>2025 Kapitalisasi Pasar Rp14.19 triliun</t>
        </is>
      </c>
      <c r="J177" s="6" t="inlineStr">
        <is>
          <t>High</t>
        </is>
      </c>
      <c r="K177" s="6" t="n"/>
      <c r="L177" s="6" t="n"/>
      <c r="M177" s="7" t="inlineStr">
        <is>
          <t>LLM</t>
        </is>
      </c>
      <c r="N177" s="7" t="inlineStr">
        <is>
          <t>2026-04-18</t>
        </is>
      </c>
      <c r="O177" s="7" t="inlineStr">
        <is>
          <t>AI</t>
        </is>
      </c>
      <c r="P177" s="7" t="n"/>
      <c r="Q177" s="7" t="n"/>
    </row>
    <row r="178" ht="15" customHeight="1" s="67">
      <c r="A178" s="6" t="inlineStr">
        <is>
          <t>PT Astra Agro Lestari Tbk</t>
        </is>
      </c>
      <c r="B178" s="6" t="inlineStr">
        <is>
          <t>AALI_2025_AR.pdf</t>
        </is>
      </c>
      <c r="C178" s="6" t="n">
        <v>2025</v>
      </c>
      <c r="D178" s="6" t="inlineStr">
        <is>
          <t>Financial</t>
        </is>
      </c>
      <c r="E178" s="6" t="inlineStr">
        <is>
          <t>Current Ratio</t>
        </is>
      </c>
      <c r="F178" s="6" t="n">
        <v>4.33</v>
      </c>
      <c r="G178" s="6" t="inlineStr">
        <is>
          <t>x</t>
        </is>
      </c>
      <c r="H178" s="6" t="n">
        <v>134</v>
      </c>
      <c r="I178" s="6" t="inlineStr">
        <is>
          <t>rasio lancar tercatat sebesar 4,33 kali di tahun 2025</t>
        </is>
      </c>
      <c r="J178" s="6" t="inlineStr">
        <is>
          <t>High</t>
        </is>
      </c>
      <c r="K178" s="6" t="n"/>
      <c r="L178" s="6" t="n"/>
      <c r="M178" s="7" t="inlineStr">
        <is>
          <t>LLM</t>
        </is>
      </c>
      <c r="N178" s="7" t="inlineStr">
        <is>
          <t>2026-04-18</t>
        </is>
      </c>
      <c r="O178" s="7" t="inlineStr">
        <is>
          <t>AI</t>
        </is>
      </c>
      <c r="P178" s="7" t="n"/>
      <c r="Q178" s="7" t="n"/>
    </row>
    <row r="179" ht="15" customHeight="1" s="67">
      <c r="A179" s="6" t="inlineStr">
        <is>
          <t>PT Astra Agro Lestari Tbk</t>
        </is>
      </c>
      <c r="B179" s="6" t="inlineStr">
        <is>
          <t>AALI_2025_AR.pdf</t>
        </is>
      </c>
      <c r="C179" s="6" t="n">
        <v>2025</v>
      </c>
      <c r="D179" s="6" t="inlineStr">
        <is>
          <t>Financial</t>
        </is>
      </c>
      <c r="E179" s="6" t="inlineStr">
        <is>
          <t>Gearing Ratio</t>
        </is>
      </c>
      <c r="F179" s="6" t="n">
        <v>0.01</v>
      </c>
      <c r="G179" s="6" t="inlineStr">
        <is>
          <t>%</t>
        </is>
      </c>
      <c r="H179" s="6" t="n">
        <v>134</v>
      </c>
      <c r="I179" s="6" t="inlineStr">
        <is>
          <t>gearing ratio sebesar kurang dari 1%</t>
        </is>
      </c>
      <c r="J179" s="6" t="inlineStr">
        <is>
          <t>High</t>
        </is>
      </c>
      <c r="K179" s="6" t="n"/>
      <c r="L179" s="6" t="n"/>
      <c r="M179" s="7" t="inlineStr">
        <is>
          <t>LLM</t>
        </is>
      </c>
      <c r="N179" s="7" t="inlineStr">
        <is>
          <t>2026-04-18</t>
        </is>
      </c>
      <c r="O179" s="7" t="inlineStr">
        <is>
          <t>AI</t>
        </is>
      </c>
      <c r="P179" s="7" t="n"/>
      <c r="Q179" s="7" t="n"/>
    </row>
    <row r="180" ht="15" customHeight="1" s="67">
      <c r="A180" s="6" t="inlineStr">
        <is>
          <t>PT Astra Agro Lestari Tbk</t>
        </is>
      </c>
      <c r="B180" s="6" t="inlineStr">
        <is>
          <t>AALI_2025_AR.pdf</t>
        </is>
      </c>
      <c r="C180" s="6" t="n">
        <v>2025</v>
      </c>
      <c r="D180" s="6" t="inlineStr">
        <is>
          <t>Asset</t>
        </is>
      </c>
      <c r="E180" s="6" t="inlineStr">
        <is>
          <t>Total Planted Area</t>
        </is>
      </c>
      <c r="F180" s="6" t="n">
        <v>280325</v>
      </c>
      <c r="G180" s="6" t="inlineStr">
        <is>
          <t>ha</t>
        </is>
      </c>
      <c r="H180" s="6" t="n">
        <v>17</v>
      </c>
      <c r="I180" s="6" t="inlineStr">
        <is>
          <t>Total Lahan Tertanam 280,325 284,831</t>
        </is>
      </c>
      <c r="J180" s="6" t="inlineStr">
        <is>
          <t>High</t>
        </is>
      </c>
      <c r="K180" s="6" t="n"/>
      <c r="L180" s="6" t="n"/>
      <c r="M180" s="7" t="inlineStr">
        <is>
          <t>LLM</t>
        </is>
      </c>
      <c r="N180" s="7" t="inlineStr">
        <is>
          <t>2026-04-18</t>
        </is>
      </c>
      <c r="O180" s="7" t="inlineStr">
        <is>
          <t>AI</t>
        </is>
      </c>
      <c r="P180" s="7" t="n"/>
      <c r="Q180" s="7" t="n"/>
    </row>
    <row r="181" ht="15" customHeight="1" s="67">
      <c r="A181" s="6" t="inlineStr">
        <is>
          <t>PT Astra Agro Lestari Tbk</t>
        </is>
      </c>
      <c r="B181" s="6" t="inlineStr">
        <is>
          <t>AALI_2025_AR.pdf</t>
        </is>
      </c>
      <c r="C181" s="6" t="n">
        <v>2025</v>
      </c>
      <c r="D181" s="6" t="inlineStr">
        <is>
          <t>Asset</t>
        </is>
      </c>
      <c r="E181" s="6" t="inlineStr">
        <is>
          <t>Nucleus Area</t>
        </is>
      </c>
      <c r="F181" s="6" t="n">
        <v>208063</v>
      </c>
      <c r="G181" s="6" t="inlineStr">
        <is>
          <t>ha</t>
        </is>
      </c>
      <c r="H181" s="6" t="n">
        <v>17</v>
      </c>
      <c r="I181" s="6" t="inlineStr">
        <is>
          <t>Lahan Inti 208,063 212,602</t>
        </is>
      </c>
      <c r="J181" s="6" t="inlineStr">
        <is>
          <t>High</t>
        </is>
      </c>
      <c r="K181" s="6" t="n"/>
      <c r="L181" s="6" t="n"/>
      <c r="M181" s="7" t="inlineStr">
        <is>
          <t>LLM</t>
        </is>
      </c>
      <c r="N181" s="7" t="inlineStr">
        <is>
          <t>2026-04-18</t>
        </is>
      </c>
      <c r="O181" s="7" t="inlineStr">
        <is>
          <t>AI</t>
        </is>
      </c>
      <c r="P181" s="7" t="n"/>
      <c r="Q181" s="7" t="n"/>
    </row>
    <row r="182" ht="15" customHeight="1" s="67">
      <c r="A182" s="6" t="inlineStr">
        <is>
          <t>PT Astra Agro Lestari Tbk</t>
        </is>
      </c>
      <c r="B182" s="6" t="inlineStr">
        <is>
          <t>AALI_2025_AR.pdf</t>
        </is>
      </c>
      <c r="C182" s="6" t="n">
        <v>2025</v>
      </c>
      <c r="D182" s="6" t="inlineStr">
        <is>
          <t>Asset</t>
        </is>
      </c>
      <c r="E182" s="6" t="inlineStr">
        <is>
          <t>Plasma Area</t>
        </is>
      </c>
      <c r="F182" s="6" t="n">
        <v>72262</v>
      </c>
      <c r="G182" s="6" t="inlineStr">
        <is>
          <t>ha</t>
        </is>
      </c>
      <c r="H182" s="6" t="n">
        <v>17</v>
      </c>
      <c r="I182" s="6" t="inlineStr">
        <is>
          <t>Lahan Plasma 72,262 72,229</t>
        </is>
      </c>
      <c r="J182" s="6" t="inlineStr">
        <is>
          <t>High</t>
        </is>
      </c>
      <c r="K182" s="6" t="n"/>
      <c r="L182" s="6" t="n"/>
      <c r="M182" s="7" t="inlineStr">
        <is>
          <t>LLM</t>
        </is>
      </c>
      <c r="N182" s="7" t="inlineStr">
        <is>
          <t>2026-04-18</t>
        </is>
      </c>
      <c r="O182" s="7" t="inlineStr">
        <is>
          <t>AI</t>
        </is>
      </c>
      <c r="P182" s="7" t="n"/>
      <c r="Q182" s="7" t="n"/>
    </row>
    <row r="183" ht="15" customHeight="1" s="67">
      <c r="A183" s="6" t="inlineStr">
        <is>
          <t>PT Astra Agro Lestari Tbk</t>
        </is>
      </c>
      <c r="B183" s="6" t="inlineStr">
        <is>
          <t>AALI_2025_AR.pdf</t>
        </is>
      </c>
      <c r="C183" s="6" t="n">
        <v>2025</v>
      </c>
      <c r="D183" s="6" t="inlineStr">
        <is>
          <t>Asset</t>
        </is>
      </c>
      <c r="E183" s="6" t="inlineStr">
        <is>
          <t>Mature Area</t>
        </is>
      </c>
      <c r="F183" s="6" t="n">
        <v>260927</v>
      </c>
      <c r="G183" s="6" t="inlineStr">
        <is>
          <t>ha</t>
        </is>
      </c>
      <c r="H183" s="6" t="n">
        <v>17</v>
      </c>
      <c r="I183" s="6" t="inlineStr">
        <is>
          <t>Menghasilkan 260,927 265,490</t>
        </is>
      </c>
      <c r="J183" s="6" t="inlineStr">
        <is>
          <t>High</t>
        </is>
      </c>
      <c r="K183" s="6" t="n"/>
      <c r="L183" s="6" t="n"/>
      <c r="M183" s="7" t="inlineStr">
        <is>
          <t>LLM</t>
        </is>
      </c>
      <c r="N183" s="7" t="inlineStr">
        <is>
          <t>2026-04-18</t>
        </is>
      </c>
      <c r="O183" s="7" t="inlineStr">
        <is>
          <t>AI</t>
        </is>
      </c>
      <c r="P183" s="7" t="n"/>
      <c r="Q183" s="7" t="n"/>
    </row>
    <row r="184" ht="15" customHeight="1" s="67">
      <c r="A184" s="6" t="inlineStr">
        <is>
          <t>PT Astra Agro Lestari Tbk</t>
        </is>
      </c>
      <c r="B184" s="6" t="inlineStr">
        <is>
          <t>AALI_2025_AR.pdf</t>
        </is>
      </c>
      <c r="C184" s="6" t="n">
        <v>2025</v>
      </c>
      <c r="D184" s="6" t="inlineStr">
        <is>
          <t>Asset</t>
        </is>
      </c>
      <c r="E184" s="6" t="inlineStr">
        <is>
          <t>Immature Area</t>
        </is>
      </c>
      <c r="F184" s="6" t="n">
        <v>19399</v>
      </c>
      <c r="G184" s="6" t="inlineStr">
        <is>
          <t>ha</t>
        </is>
      </c>
      <c r="H184" s="6" t="n">
        <v>17</v>
      </c>
      <c r="I184" s="6" t="inlineStr">
        <is>
          <t>Belum Menghasilkan 19,399 19,341</t>
        </is>
      </c>
      <c r="J184" s="6" t="inlineStr">
        <is>
          <t>High</t>
        </is>
      </c>
      <c r="K184" s="6" t="n"/>
      <c r="L184" s="6" t="n"/>
      <c r="M184" s="7" t="inlineStr">
        <is>
          <t>LLM</t>
        </is>
      </c>
      <c r="N184" s="7" t="inlineStr">
        <is>
          <t>2026-04-18</t>
        </is>
      </c>
      <c r="O184" s="7" t="inlineStr">
        <is>
          <t>AI</t>
        </is>
      </c>
      <c r="P184" s="7" t="n"/>
      <c r="Q184" s="7" t="n"/>
    </row>
    <row r="185" ht="15" customHeight="1" s="67">
      <c r="A185" s="6" t="inlineStr">
        <is>
          <t>PT Astra Agro Lestari Tbk</t>
        </is>
      </c>
      <c r="B185" s="6" t="inlineStr">
        <is>
          <t>AALI_2025_AR.pdf</t>
        </is>
      </c>
      <c r="C185" s="6" t="n">
        <v>2025</v>
      </c>
      <c r="D185" s="6" t="inlineStr">
        <is>
          <t>Asset</t>
        </is>
      </c>
      <c r="E185" s="6" t="inlineStr">
        <is>
          <t>Productive Age Area (4-15 yr)</t>
        </is>
      </c>
      <c r="F185" s="6" t="n">
        <v>76292</v>
      </c>
      <c r="G185" s="6" t="inlineStr">
        <is>
          <t>ha</t>
        </is>
      </c>
      <c r="H185" s="6" t="n">
        <v>17</v>
      </c>
      <c r="I185" s="6" t="inlineStr">
        <is>
          <t>Tanaman Produktif 76,292 87,761</t>
        </is>
      </c>
      <c r="J185" s="6" t="inlineStr">
        <is>
          <t>High</t>
        </is>
      </c>
      <c r="K185" s="6" t="n"/>
      <c r="L185" s="6" t="n"/>
      <c r="M185" s="7" t="inlineStr">
        <is>
          <t>LLM</t>
        </is>
      </c>
      <c r="N185" s="7" t="inlineStr">
        <is>
          <t>2026-04-18</t>
        </is>
      </c>
      <c r="O185" s="7" t="inlineStr">
        <is>
          <t>AI</t>
        </is>
      </c>
      <c r="P185" s="7" t="n"/>
      <c r="Q185" s="7" t="n"/>
    </row>
    <row r="186" ht="15" customHeight="1" s="67">
      <c r="A186" s="6" t="inlineStr">
        <is>
          <t>PT Astra Agro Lestari Tbk</t>
        </is>
      </c>
      <c r="B186" s="6" t="inlineStr">
        <is>
          <t>AALI_2025_AR.pdf</t>
        </is>
      </c>
      <c r="C186" s="6" t="n">
        <v>2025</v>
      </c>
      <c r="D186" s="6" t="inlineStr">
        <is>
          <t>Asset</t>
        </is>
      </c>
      <c r="E186" s="6" t="inlineStr">
        <is>
          <t>Old Age Area (&gt;15 yr)</t>
        </is>
      </c>
      <c r="F186" s="6" t="n">
        <v>184635</v>
      </c>
      <c r="G186" s="6" t="inlineStr">
        <is>
          <t>ha</t>
        </is>
      </c>
      <c r="H186" s="6" t="n">
        <v>17</v>
      </c>
      <c r="I186" s="6" t="inlineStr">
        <is>
          <t>Tanaman Tua 184,635 177,729</t>
        </is>
      </c>
      <c r="J186" s="6" t="inlineStr">
        <is>
          <t>High</t>
        </is>
      </c>
      <c r="K186" s="6" t="n"/>
      <c r="L186" s="6" t="n"/>
      <c r="M186" s="7" t="inlineStr">
        <is>
          <t>LLM</t>
        </is>
      </c>
      <c r="N186" s="7" t="inlineStr">
        <is>
          <t>2026-04-18</t>
        </is>
      </c>
      <c r="O186" s="7" t="inlineStr">
        <is>
          <t>AI</t>
        </is>
      </c>
      <c r="P186" s="7" t="n"/>
      <c r="Q186" s="7" t="n"/>
    </row>
    <row r="187" ht="15" customHeight="1" s="67">
      <c r="A187" s="6" t="inlineStr">
        <is>
          <t>PT Astra Agro Lestari Tbk</t>
        </is>
      </c>
      <c r="B187" s="6" t="inlineStr">
        <is>
          <t>AALI_2025_AR.pdf</t>
        </is>
      </c>
      <c r="C187" s="6" t="n">
        <v>2025</v>
      </c>
      <c r="D187" s="6" t="inlineStr">
        <is>
          <t>Asset</t>
        </is>
      </c>
      <c r="E187" s="6" t="inlineStr">
        <is>
          <t>Average Tree Age</t>
        </is>
      </c>
      <c r="F187" s="6" t="n">
        <v>16.7</v>
      </c>
      <c r="G187" s="6" t="inlineStr">
        <is>
          <t>years</t>
        </is>
      </c>
      <c r="H187" s="6" t="n">
        <v>17</v>
      </c>
      <c r="I187" s="6" t="inlineStr">
        <is>
          <t>Umur Rata-Rata 16.7 16.5</t>
        </is>
      </c>
      <c r="J187" s="6" t="inlineStr">
        <is>
          <t>High</t>
        </is>
      </c>
      <c r="K187" s="6" t="n"/>
      <c r="L187" s="6" t="n"/>
      <c r="M187" s="7" t="inlineStr">
        <is>
          <t>LLM</t>
        </is>
      </c>
      <c r="N187" s="7" t="inlineStr">
        <is>
          <t>2026-04-18</t>
        </is>
      </c>
      <c r="O187" s="7" t="inlineStr">
        <is>
          <t>AI</t>
        </is>
      </c>
      <c r="P187" s="7" t="n"/>
      <c r="Q187" s="7" t="n"/>
    </row>
    <row r="188" ht="15" customHeight="1" s="67">
      <c r="A188" s="6" t="inlineStr">
        <is>
          <t>PT Astra Agro Lestari Tbk</t>
        </is>
      </c>
      <c r="B188" s="6" t="inlineStr">
        <is>
          <t>AALI_2025_AR.pdf</t>
        </is>
      </c>
      <c r="C188" s="6" t="n">
        <v>2025</v>
      </c>
      <c r="D188" s="6" t="inlineStr">
        <is>
          <t>Asset</t>
        </is>
      </c>
      <c r="E188" s="6" t="inlineStr">
        <is>
          <t>Sumatra Area</t>
        </is>
      </c>
      <c r="F188" s="6" t="n">
        <v>103389</v>
      </c>
      <c r="G188" s="6" t="inlineStr">
        <is>
          <t>ha</t>
        </is>
      </c>
      <c r="H188" s="6" t="n">
        <v>17</v>
      </c>
      <c r="I188" s="6" t="inlineStr">
        <is>
          <t>Sumatera 103,389 104,376</t>
        </is>
      </c>
      <c r="J188" s="6" t="inlineStr">
        <is>
          <t>High</t>
        </is>
      </c>
      <c r="K188" s="6" t="n"/>
      <c r="L188" s="6" t="n"/>
      <c r="M188" s="7" t="inlineStr">
        <is>
          <t>LLM</t>
        </is>
      </c>
      <c r="N188" s="7" t="inlineStr">
        <is>
          <t>2026-04-18</t>
        </is>
      </c>
      <c r="O188" s="7" t="inlineStr">
        <is>
          <t>AI</t>
        </is>
      </c>
      <c r="P188" s="7" t="n"/>
      <c r="Q188" s="7" t="n"/>
    </row>
    <row r="189" ht="15" customHeight="1" s="67">
      <c r="A189" s="6" t="inlineStr">
        <is>
          <t>PT Astra Agro Lestari Tbk</t>
        </is>
      </c>
      <c r="B189" s="6" t="inlineStr">
        <is>
          <t>AALI_2025_AR.pdf</t>
        </is>
      </c>
      <c r="C189" s="6" t="n">
        <v>2025</v>
      </c>
      <c r="D189" s="6" t="inlineStr">
        <is>
          <t>Asset</t>
        </is>
      </c>
      <c r="E189" s="6" t="inlineStr">
        <is>
          <t>Kalimantan Area</t>
        </is>
      </c>
      <c r="F189" s="6" t="n">
        <v>129093</v>
      </c>
      <c r="G189" s="6" t="inlineStr">
        <is>
          <t>ha</t>
        </is>
      </c>
      <c r="H189" s="6" t="n">
        <v>17</v>
      </c>
      <c r="I189" s="6" t="inlineStr">
        <is>
          <t>Kalimantan 129,093 130,043</t>
        </is>
      </c>
      <c r="J189" s="6" t="inlineStr">
        <is>
          <t>High</t>
        </is>
      </c>
      <c r="K189" s="6" t="n"/>
      <c r="L189" s="6" t="n"/>
      <c r="M189" s="7" t="inlineStr">
        <is>
          <t>LLM</t>
        </is>
      </c>
      <c r="N189" s="7" t="inlineStr">
        <is>
          <t>2026-04-18</t>
        </is>
      </c>
      <c r="O189" s="7" t="inlineStr">
        <is>
          <t>AI</t>
        </is>
      </c>
      <c r="P189" s="7" t="n"/>
      <c r="Q189" s="7" t="n"/>
    </row>
    <row r="190" ht="15" customHeight="1" s="67">
      <c r="A190" s="6" t="inlineStr">
        <is>
          <t>PT Astra Agro Lestari Tbk</t>
        </is>
      </c>
      <c r="B190" s="6" t="inlineStr">
        <is>
          <t>AALI_2025_AR.pdf</t>
        </is>
      </c>
      <c r="C190" s="6" t="n">
        <v>2025</v>
      </c>
      <c r="D190" s="6" t="inlineStr">
        <is>
          <t>Asset</t>
        </is>
      </c>
      <c r="E190" s="6" t="inlineStr">
        <is>
          <t>Sulawesi Area</t>
        </is>
      </c>
      <c r="F190" s="6" t="n">
        <v>47843</v>
      </c>
      <c r="G190" s="6" t="inlineStr">
        <is>
          <t>ha</t>
        </is>
      </c>
      <c r="H190" s="6" t="n">
        <v>17</v>
      </c>
      <c r="I190" s="6" t="inlineStr">
        <is>
          <t>Sulawesi 47,843 50,412</t>
        </is>
      </c>
      <c r="J190" s="6" t="inlineStr">
        <is>
          <t>High</t>
        </is>
      </c>
      <c r="K190" s="6" t="n"/>
      <c r="L190" s="6" t="n"/>
      <c r="M190" s="7" t="inlineStr">
        <is>
          <t>LLM</t>
        </is>
      </c>
      <c r="N190" s="7" t="inlineStr">
        <is>
          <t>2026-04-18</t>
        </is>
      </c>
      <c r="O190" s="7" t="inlineStr">
        <is>
          <t>AI</t>
        </is>
      </c>
      <c r="P190" s="7" t="n"/>
      <c r="Q190" s="7" t="n"/>
    </row>
    <row r="191" ht="15" customHeight="1" s="67">
      <c r="A191" s="6" t="inlineStr">
        <is>
          <t>PT Astra Agro Lestari Tbk</t>
        </is>
      </c>
      <c r="B191" s="6" t="inlineStr">
        <is>
          <t>AALI_2025_AR.pdf</t>
        </is>
      </c>
      <c r="C191" s="6" t="n">
        <v>2025</v>
      </c>
      <c r="D191" s="6" t="inlineStr">
        <is>
          <t>Asset</t>
        </is>
      </c>
      <c r="E191" s="6" t="inlineStr">
        <is>
          <t>Palm Oil Mills</t>
        </is>
      </c>
      <c r="F191" s="6" t="n">
        <v>32</v>
      </c>
      <c r="G191" s="6" t="inlineStr">
        <is>
          <t>count</t>
        </is>
      </c>
      <c r="H191" s="6" t="n">
        <v>18</v>
      </c>
      <c r="I191" s="6" t="inlineStr">
        <is>
          <t>Pengolahan Kelapa Sawit 11 14 7 32</t>
        </is>
      </c>
      <c r="J191" s="6" t="inlineStr">
        <is>
          <t>High</t>
        </is>
      </c>
      <c r="K191" s="6" t="n"/>
      <c r="L191" s="6" t="n"/>
      <c r="M191" s="7" t="inlineStr">
        <is>
          <t>LLM</t>
        </is>
      </c>
      <c r="N191" s="7" t="inlineStr">
        <is>
          <t>2026-04-18</t>
        </is>
      </c>
      <c r="O191" s="7" t="inlineStr">
        <is>
          <t>AI</t>
        </is>
      </c>
      <c r="P191" s="7" t="n"/>
      <c r="Q191" s="7" t="n"/>
    </row>
    <row r="192" ht="15" customHeight="1" s="67">
      <c r="A192" s="6" t="inlineStr">
        <is>
          <t>PT Astra Agro Lestari Tbk</t>
        </is>
      </c>
      <c r="B192" s="6" t="inlineStr">
        <is>
          <t>AALI_2025_AR.pdf</t>
        </is>
      </c>
      <c r="C192" s="6" t="n">
        <v>2025</v>
      </c>
      <c r="D192" s="6" t="inlineStr">
        <is>
          <t>Asset</t>
        </is>
      </c>
      <c r="E192" s="6" t="inlineStr">
        <is>
          <t>Kernel Crushing</t>
        </is>
      </c>
      <c r="F192" s="6" t="n">
        <v>14</v>
      </c>
      <c r="G192" s="6" t="inlineStr">
        <is>
          <t>count</t>
        </is>
      </c>
      <c r="H192" s="6" t="n">
        <v>18</v>
      </c>
      <c r="I192" s="6" t="inlineStr">
        <is>
          <t>Pengolahan Inti Sawit 4 6 4 14</t>
        </is>
      </c>
      <c r="J192" s="6" t="inlineStr">
        <is>
          <t>High</t>
        </is>
      </c>
      <c r="K192" s="6" t="n"/>
      <c r="L192" s="6" t="n"/>
      <c r="M192" s="7" t="inlineStr">
        <is>
          <t>LLM</t>
        </is>
      </c>
      <c r="N192" s="7" t="inlineStr">
        <is>
          <t>2026-04-18</t>
        </is>
      </c>
      <c r="O192" s="7" t="inlineStr">
        <is>
          <t>AI</t>
        </is>
      </c>
      <c r="P192" s="7" t="n"/>
      <c r="Q192" s="7" t="n"/>
    </row>
    <row r="193" ht="15" customHeight="1" s="67">
      <c r="A193" s="6" t="inlineStr">
        <is>
          <t>PT Astra Agro Lestari Tbk</t>
        </is>
      </c>
      <c r="B193" s="6" t="inlineStr">
        <is>
          <t>AALI_2025_AR.pdf</t>
        </is>
      </c>
      <c r="C193" s="6" t="n">
        <v>2025</v>
      </c>
      <c r="D193" s="6" t="inlineStr">
        <is>
          <t>Asset</t>
        </is>
      </c>
      <c r="E193" s="6" t="inlineStr">
        <is>
          <t>CPO Refinery</t>
        </is>
      </c>
      <c r="F193" s="6" t="n">
        <v>2</v>
      </c>
      <c r="G193" s="6" t="inlineStr">
        <is>
          <t>count</t>
        </is>
      </c>
      <c r="H193" s="6" t="n">
        <v>18</v>
      </c>
      <c r="I193" s="6" t="inlineStr">
        <is>
          <t>Pengolahan Minyak Sawit 1 - 1 2</t>
        </is>
      </c>
      <c r="J193" s="6" t="inlineStr">
        <is>
          <t>High</t>
        </is>
      </c>
      <c r="K193" s="6" t="n"/>
      <c r="L193" s="6" t="n"/>
      <c r="M193" s="7" t="inlineStr">
        <is>
          <t>LLM</t>
        </is>
      </c>
      <c r="N193" s="7" t="inlineStr">
        <is>
          <t>2026-04-18</t>
        </is>
      </c>
      <c r="O193" s="7" t="inlineStr">
        <is>
          <t>AI</t>
        </is>
      </c>
      <c r="P193" s="7" t="n"/>
      <c r="Q193" s="7" t="n"/>
    </row>
    <row r="194" ht="15" customHeight="1" s="67">
      <c r="A194" s="6" t="inlineStr">
        <is>
          <t>PT Astra Agro Lestari Tbk</t>
        </is>
      </c>
      <c r="B194" s="6" t="inlineStr">
        <is>
          <t>AALI_2025_AR.pdf</t>
        </is>
      </c>
      <c r="C194" s="6" t="n">
        <v>2025</v>
      </c>
      <c r="D194" s="6" t="inlineStr">
        <is>
          <t>Asset</t>
        </is>
      </c>
      <c r="E194" s="6" t="inlineStr">
        <is>
          <t>PKO Refinery</t>
        </is>
      </c>
      <c r="F194" s="6" t="n">
        <v>1</v>
      </c>
      <c r="G194" s="6" t="inlineStr">
        <is>
          <t>count</t>
        </is>
      </c>
      <c r="H194" s="6" t="n">
        <v>18</v>
      </c>
      <c r="I194" s="6" t="inlineStr">
        <is>
          <t>Pengolahan Minyak Inti Sawit - - 1 1</t>
        </is>
      </c>
      <c r="J194" s="6" t="inlineStr">
        <is>
          <t>High</t>
        </is>
      </c>
      <c r="K194" s="6" t="n"/>
      <c r="L194" s="6" t="n"/>
      <c r="M194" s="7" t="inlineStr">
        <is>
          <t>LLM</t>
        </is>
      </c>
      <c r="N194" s="7" t="inlineStr">
        <is>
          <t>2026-04-18</t>
        </is>
      </c>
      <c r="O194" s="7" t="inlineStr">
        <is>
          <t>AI</t>
        </is>
      </c>
      <c r="P194" s="7" t="n"/>
      <c r="Q194" s="7" t="n"/>
    </row>
    <row r="195" ht="15" customHeight="1" s="67">
      <c r="A195" s="6" t="inlineStr">
        <is>
          <t>PT Astra Agro Lestari Tbk</t>
        </is>
      </c>
      <c r="B195" s="6" t="inlineStr">
        <is>
          <t>AALI_2025_AR.pdf</t>
        </is>
      </c>
      <c r="C195" s="6" t="n">
        <v>2025</v>
      </c>
      <c r="D195" s="6" t="inlineStr">
        <is>
          <t>Asset</t>
        </is>
      </c>
      <c r="E195" s="6" t="inlineStr">
        <is>
          <t>NPK Blending Plant</t>
        </is>
      </c>
      <c r="F195" s="6" t="n">
        <v>2</v>
      </c>
      <c r="G195" s="6" t="inlineStr">
        <is>
          <t>count</t>
        </is>
      </c>
      <c r="H195" s="6" t="n">
        <v>18</v>
      </c>
      <c r="I195" s="6" t="inlineStr">
        <is>
          <t>Pabrik Pencampur Pupuk NPK - 1 1 2</t>
        </is>
      </c>
      <c r="J195" s="6" t="inlineStr">
        <is>
          <t>High</t>
        </is>
      </c>
      <c r="K195" s="6" t="n"/>
      <c r="L195" s="6" t="n"/>
      <c r="M195" s="7" t="inlineStr">
        <is>
          <t>LLM</t>
        </is>
      </c>
      <c r="N195" s="7" t="inlineStr">
        <is>
          <t>2026-04-18</t>
        </is>
      </c>
      <c r="O195" s="7" t="inlineStr">
        <is>
          <t>AI</t>
        </is>
      </c>
      <c r="P195" s="7" t="n"/>
      <c r="Q195" s="7" t="n"/>
    </row>
    <row r="196" ht="15" customHeight="1" s="67">
      <c r="A196" s="6" t="inlineStr">
        <is>
          <t>PT Astra Agro Lestari Tbk</t>
        </is>
      </c>
      <c r="B196" s="6" t="inlineStr">
        <is>
          <t>AALI_2025_AR.pdf</t>
        </is>
      </c>
      <c r="C196" s="6" t="n">
        <v>2025</v>
      </c>
      <c r="D196" s="6" t="inlineStr">
        <is>
          <t>Operation</t>
        </is>
      </c>
      <c r="E196" s="6" t="inlineStr">
        <is>
          <t>FFB Production Total</t>
        </is>
      </c>
      <c r="F196" s="6" t="n">
        <v>3821559</v>
      </c>
      <c r="G196" s="6" t="inlineStr">
        <is>
          <t>t</t>
        </is>
      </c>
      <c r="H196" s="6" t="n">
        <v>17</v>
      </c>
      <c r="I196" s="6" t="inlineStr">
        <is>
          <t>Total Produksi TBS 3,821,559 3,734,458</t>
        </is>
      </c>
      <c r="J196" s="6" t="inlineStr">
        <is>
          <t>High</t>
        </is>
      </c>
      <c r="K196" s="6" t="n"/>
      <c r="L196" s="6" t="n"/>
      <c r="M196" s="7" t="inlineStr">
        <is>
          <t>LLM</t>
        </is>
      </c>
      <c r="N196" s="7" t="inlineStr">
        <is>
          <t>2026-04-18</t>
        </is>
      </c>
      <c r="O196" s="7" t="inlineStr">
        <is>
          <t>AI</t>
        </is>
      </c>
      <c r="P196" s="7" t="n"/>
      <c r="Q196" s="7" t="n"/>
    </row>
    <row r="197" ht="15" customHeight="1" s="67">
      <c r="A197" s="6" t="inlineStr">
        <is>
          <t>PT Astra Agro Lestari Tbk</t>
        </is>
      </c>
      <c r="B197" s="6" t="inlineStr">
        <is>
          <t>AALI_2025_AR.pdf</t>
        </is>
      </c>
      <c r="C197" s="6" t="n">
        <v>2025</v>
      </c>
      <c r="D197" s="6" t="inlineStr">
        <is>
          <t>Operation</t>
        </is>
      </c>
      <c r="E197" s="6" t="inlineStr">
        <is>
          <t>FFB Nucleus</t>
        </is>
      </c>
      <c r="F197" s="6" t="n">
        <v>3009024</v>
      </c>
      <c r="G197" s="6" t="inlineStr">
        <is>
          <t>t</t>
        </is>
      </c>
      <c r="H197" s="6" t="n">
        <v>17</v>
      </c>
      <c r="I197" s="6" t="inlineStr">
        <is>
          <t>TBS Inti 3,009,024 3,002,685</t>
        </is>
      </c>
      <c r="J197" s="6" t="inlineStr">
        <is>
          <t>High</t>
        </is>
      </c>
      <c r="K197" s="6" t="n"/>
      <c r="L197" s="6" t="n"/>
      <c r="M197" s="7" t="inlineStr">
        <is>
          <t>LLM</t>
        </is>
      </c>
      <c r="N197" s="7" t="inlineStr">
        <is>
          <t>2026-04-18</t>
        </is>
      </c>
      <c r="O197" s="7" t="inlineStr">
        <is>
          <t>AI</t>
        </is>
      </c>
      <c r="P197" s="7" t="n"/>
      <c r="Q197" s="7" t="n"/>
    </row>
    <row r="198" ht="15" customHeight="1" s="67">
      <c r="A198" s="6" t="inlineStr">
        <is>
          <t>PT Astra Agro Lestari Tbk</t>
        </is>
      </c>
      <c r="B198" s="6" t="inlineStr">
        <is>
          <t>AALI_2025_AR.pdf</t>
        </is>
      </c>
      <c r="C198" s="6" t="n">
        <v>2025</v>
      </c>
      <c r="D198" s="6" t="inlineStr">
        <is>
          <t>Operation</t>
        </is>
      </c>
      <c r="E198" s="6" t="inlineStr">
        <is>
          <t>FFB Plasma</t>
        </is>
      </c>
      <c r="F198" s="6" t="n">
        <v>812535</v>
      </c>
      <c r="G198" s="6" t="inlineStr">
        <is>
          <t>t</t>
        </is>
      </c>
      <c r="H198" s="6" t="n">
        <v>17</v>
      </c>
      <c r="I198" s="6" t="inlineStr">
        <is>
          <t>TBS Plasma 812,535 731,773</t>
        </is>
      </c>
      <c r="J198" s="6" t="inlineStr">
        <is>
          <t>High</t>
        </is>
      </c>
      <c r="K198" s="6" t="n"/>
      <c r="L198" s="6" t="n"/>
      <c r="M198" s="7" t="inlineStr">
        <is>
          <t>LLM</t>
        </is>
      </c>
      <c r="N198" s="7" t="inlineStr">
        <is>
          <t>2026-04-18</t>
        </is>
      </c>
      <c r="O198" s="7" t="inlineStr">
        <is>
          <t>AI</t>
        </is>
      </c>
      <c r="P198" s="7" t="n"/>
      <c r="Q198" s="7" t="n"/>
    </row>
    <row r="199" ht="15" customHeight="1" s="67">
      <c r="A199" s="6" t="inlineStr">
        <is>
          <t>PT Astra Agro Lestari Tbk</t>
        </is>
      </c>
      <c r="B199" s="6" t="inlineStr">
        <is>
          <t>AALI_2025_AR.pdf</t>
        </is>
      </c>
      <c r="C199" s="6" t="n">
        <v>2025</v>
      </c>
      <c r="D199" s="6" t="inlineStr">
        <is>
          <t>Operation</t>
        </is>
      </c>
      <c r="E199" s="6" t="inlineStr">
        <is>
          <t>FFB Processed</t>
        </is>
      </c>
      <c r="F199" s="6" t="n">
        <v>6231369</v>
      </c>
      <c r="G199" s="6" t="inlineStr">
        <is>
          <t>t</t>
        </is>
      </c>
      <c r="H199" s="6" t="n">
        <v>17</v>
      </c>
      <c r="I199" s="6" t="inlineStr">
        <is>
          <t>Total TBS Olah 6,231,369 5,915,220</t>
        </is>
      </c>
      <c r="J199" s="6" t="inlineStr">
        <is>
          <t>High</t>
        </is>
      </c>
      <c r="K199" s="6" t="n"/>
      <c r="L199" s="6" t="n"/>
      <c r="M199" s="7" t="inlineStr">
        <is>
          <t>LLM</t>
        </is>
      </c>
      <c r="N199" s="7" t="inlineStr">
        <is>
          <t>2026-04-18</t>
        </is>
      </c>
      <c r="O199" s="7" t="inlineStr">
        <is>
          <t>AI</t>
        </is>
      </c>
      <c r="P199" s="7" t="n"/>
      <c r="Q199" s="7" t="n"/>
    </row>
    <row r="200" ht="15" customHeight="1" s="67">
      <c r="A200" s="6" t="inlineStr">
        <is>
          <t>PT Astra Agro Lestari Tbk</t>
        </is>
      </c>
      <c r="B200" s="6" t="inlineStr">
        <is>
          <t>AALI_2025_AR.pdf</t>
        </is>
      </c>
      <c r="C200" s="6" t="n">
        <v>2025</v>
      </c>
      <c r="D200" s="6" t="inlineStr">
        <is>
          <t>Operation</t>
        </is>
      </c>
      <c r="E200" s="6" t="inlineStr">
        <is>
          <t>Third-Party FFB</t>
        </is>
      </c>
      <c r="F200" s="6" t="n">
        <v>2409810</v>
      </c>
      <c r="G200" s="6" t="inlineStr">
        <is>
          <t>t</t>
        </is>
      </c>
      <c r="H200" s="6" t="n">
        <v>122</v>
      </c>
      <c r="I200" s="6" t="inlineStr">
        <is>
          <t>pembelian TBS dari pihak ketiga menjadi sebesar 2,41 juta ton (and 6,231,369 - 3,821,559 = 2,409,810)</t>
        </is>
      </c>
      <c r="J200" s="6" t="inlineStr">
        <is>
          <t>High</t>
        </is>
      </c>
      <c r="K200" s="6" t="n"/>
      <c r="L200" s="6" t="n"/>
      <c r="M200" s="7" t="inlineStr">
        <is>
          <t>LLM</t>
        </is>
      </c>
      <c r="N200" s="7" t="inlineStr">
        <is>
          <t>2026-04-18</t>
        </is>
      </c>
      <c r="O200" s="7" t="inlineStr">
        <is>
          <t>AI</t>
        </is>
      </c>
      <c r="P200" s="7" t="n"/>
      <c r="Q200" s="7" t="n"/>
    </row>
    <row r="201" ht="15" customHeight="1" s="67">
      <c r="A201" s="6" t="inlineStr">
        <is>
          <t>PT Astra Agro Lestari Tbk</t>
        </is>
      </c>
      <c r="B201" s="6" t="inlineStr">
        <is>
          <t>AALI_2025_AR.pdf</t>
        </is>
      </c>
      <c r="C201" s="6" t="n">
        <v>2025</v>
      </c>
      <c r="D201" s="6" t="inlineStr">
        <is>
          <t>Operation</t>
        </is>
      </c>
      <c r="E201" s="6" t="inlineStr">
        <is>
          <t>CPO Production</t>
        </is>
      </c>
      <c r="F201" s="6" t="n">
        <v>1197514</v>
      </c>
      <c r="G201" s="6" t="inlineStr">
        <is>
          <t>t</t>
        </is>
      </c>
      <c r="H201" s="6" t="n">
        <v>17</v>
      </c>
      <c r="I201" s="6" t="inlineStr">
        <is>
          <t>Minyak Sawit 1,197,514 1,125,388</t>
        </is>
      </c>
      <c r="J201" s="6" t="inlineStr">
        <is>
          <t>High</t>
        </is>
      </c>
      <c r="K201" s="6" t="n"/>
      <c r="L201" s="6" t="n"/>
      <c r="M201" s="7" t="inlineStr">
        <is>
          <t>LLM</t>
        </is>
      </c>
      <c r="N201" s="7" t="inlineStr">
        <is>
          <t>2026-04-18</t>
        </is>
      </c>
      <c r="O201" s="7" t="inlineStr">
        <is>
          <t>AI</t>
        </is>
      </c>
      <c r="P201" s="7" t="n"/>
      <c r="Q201" s="7" t="n"/>
    </row>
    <row r="202">
      <c r="A202" t="inlineStr">
        <is>
          <t>PT Astra Agro Lestari Tbk</t>
        </is>
      </c>
      <c r="B202" t="inlineStr">
        <is>
          <t>AALI_2025_AR.pdf</t>
        </is>
      </c>
      <c r="C202" t="n">
        <v>2025</v>
      </c>
      <c r="D202" t="inlineStr">
        <is>
          <t>Operation</t>
        </is>
      </c>
      <c r="E202" t="inlineStr">
        <is>
          <t>Kernel Production</t>
        </is>
      </c>
      <c r="F202" t="n">
        <v>251874</v>
      </c>
      <c r="G202" t="inlineStr">
        <is>
          <t>t</t>
        </is>
      </c>
      <c r="H202" t="n">
        <v>17</v>
      </c>
      <c r="I202" t="inlineStr">
        <is>
          <t>Inti Sawit 251,874 234,121</t>
        </is>
      </c>
      <c r="J202" t="inlineStr">
        <is>
          <t>High</t>
        </is>
      </c>
      <c r="M202" t="inlineStr">
        <is>
          <t>LLM</t>
        </is>
      </c>
      <c r="N202" t="inlineStr">
        <is>
          <t>2026-04-18</t>
        </is>
      </c>
      <c r="O202" t="inlineStr">
        <is>
          <t>AI</t>
        </is>
      </c>
    </row>
    <row r="203">
      <c r="A203" t="inlineStr">
        <is>
          <t>PT Astra Agro Lestari Tbk</t>
        </is>
      </c>
      <c r="B203" t="inlineStr">
        <is>
          <t>AALI_2025_AR.pdf</t>
        </is>
      </c>
      <c r="C203" t="n">
        <v>2025</v>
      </c>
      <c r="D203" t="inlineStr">
        <is>
          <t>Operation</t>
        </is>
      </c>
      <c r="E203" t="inlineStr">
        <is>
          <t>PKO Production</t>
        </is>
      </c>
      <c r="F203" t="n">
        <v>60451</v>
      </c>
      <c r="G203" t="inlineStr">
        <is>
          <t>t</t>
        </is>
      </c>
      <c r="H203" t="n">
        <v>17</v>
      </c>
      <c r="I203" t="inlineStr">
        <is>
          <t>Minyak Inti Sawit 60,451 46,454</t>
        </is>
      </c>
      <c r="J203" t="inlineStr">
        <is>
          <t>High</t>
        </is>
      </c>
      <c r="M203" t="inlineStr">
        <is>
          <t>LLM</t>
        </is>
      </c>
      <c r="N203" t="inlineStr">
        <is>
          <t>2026-04-18</t>
        </is>
      </c>
      <c r="O203" t="inlineStr">
        <is>
          <t>AI</t>
        </is>
      </c>
    </row>
    <row r="204">
      <c r="A204" t="inlineStr">
        <is>
          <t>PT Astra Agro Lestari Tbk</t>
        </is>
      </c>
      <c r="B204" t="inlineStr">
        <is>
          <t>AALI_2025_AR.pdf</t>
        </is>
      </c>
      <c r="C204" t="n">
        <v>2025</v>
      </c>
      <c r="D204" t="inlineStr">
        <is>
          <t>Operation</t>
        </is>
      </c>
      <c r="E204" t="inlineStr">
        <is>
          <t>RBDPO</t>
        </is>
      </c>
      <c r="F204" t="n">
        <v>17718</v>
      </c>
      <c r="G204" t="inlineStr">
        <is>
          <t>t</t>
        </is>
      </c>
      <c r="H204" t="n">
        <v>17</v>
      </c>
      <c r="I204" t="inlineStr">
        <is>
          <t>RBDPO 17,718 14,760</t>
        </is>
      </c>
      <c r="J204" t="inlineStr">
        <is>
          <t>High</t>
        </is>
      </c>
      <c r="M204" t="inlineStr">
        <is>
          <t>LLM</t>
        </is>
      </c>
      <c r="N204" t="inlineStr">
        <is>
          <t>2026-04-18</t>
        </is>
      </c>
      <c r="O204" t="inlineStr">
        <is>
          <t>AI</t>
        </is>
      </c>
    </row>
    <row r="205">
      <c r="A205" t="inlineStr">
        <is>
          <t>PT Astra Agro Lestari Tbk</t>
        </is>
      </c>
      <c r="B205" t="inlineStr">
        <is>
          <t>AALI_2025_AR.pdf</t>
        </is>
      </c>
      <c r="C205" t="n">
        <v>2025</v>
      </c>
      <c r="D205" t="inlineStr">
        <is>
          <t>Operation</t>
        </is>
      </c>
      <c r="E205" t="inlineStr">
        <is>
          <t>Olein</t>
        </is>
      </c>
      <c r="F205" t="n">
        <v>457987</v>
      </c>
      <c r="G205" t="inlineStr">
        <is>
          <t>t</t>
        </is>
      </c>
      <c r="H205" t="n">
        <v>17</v>
      </c>
      <c r="I205" t="inlineStr">
        <is>
          <t>Olein 457,987 388,106</t>
        </is>
      </c>
      <c r="J205" t="inlineStr">
        <is>
          <t>High</t>
        </is>
      </c>
      <c r="M205" t="inlineStr">
        <is>
          <t>LLM</t>
        </is>
      </c>
      <c r="N205" t="inlineStr">
        <is>
          <t>2026-04-18</t>
        </is>
      </c>
      <c r="O205" t="inlineStr">
        <is>
          <t>AI</t>
        </is>
      </c>
    </row>
    <row r="206">
      <c r="A206" t="inlineStr">
        <is>
          <t>PT Astra Agro Lestari Tbk</t>
        </is>
      </c>
      <c r="B206" t="inlineStr">
        <is>
          <t>AALI_2025_AR.pdf</t>
        </is>
      </c>
      <c r="C206" t="n">
        <v>2025</v>
      </c>
      <c r="D206" t="inlineStr">
        <is>
          <t>Operation</t>
        </is>
      </c>
      <c r="E206" t="inlineStr">
        <is>
          <t>Stearin</t>
        </is>
      </c>
      <c r="F206" t="n">
        <v>119496</v>
      </c>
      <c r="G206" t="inlineStr">
        <is>
          <t>t</t>
        </is>
      </c>
      <c r="H206" t="n">
        <v>17</v>
      </c>
      <c r="I206" t="inlineStr">
        <is>
          <t>Stearin 119,496 95,826</t>
        </is>
      </c>
      <c r="J206" t="inlineStr">
        <is>
          <t>High</t>
        </is>
      </c>
      <c r="M206" t="inlineStr">
        <is>
          <t>LLM</t>
        </is>
      </c>
      <c r="N206" t="inlineStr">
        <is>
          <t>2026-04-18</t>
        </is>
      </c>
      <c r="O206" t="inlineStr">
        <is>
          <t>AI</t>
        </is>
      </c>
    </row>
    <row r="207">
      <c r="A207" t="inlineStr">
        <is>
          <t>PT Astra Agro Lestari Tbk</t>
        </is>
      </c>
      <c r="B207" t="inlineStr">
        <is>
          <t>AALI_2025_AR.pdf</t>
        </is>
      </c>
      <c r="C207" t="n">
        <v>2025</v>
      </c>
      <c r="D207" t="inlineStr">
        <is>
          <t>Operation</t>
        </is>
      </c>
      <c r="E207" t="inlineStr">
        <is>
          <t>PFAD</t>
        </is>
      </c>
      <c r="F207" t="n">
        <v>26920</v>
      </c>
      <c r="G207" t="inlineStr">
        <is>
          <t>t</t>
        </is>
      </c>
      <c r="H207" t="n">
        <v>17</v>
      </c>
      <c r="I207" t="inlineStr">
        <is>
          <t>PFAD 26,920 19,382</t>
        </is>
      </c>
      <c r="J207" t="inlineStr">
        <is>
          <t>High</t>
        </is>
      </c>
      <c r="M207" t="inlineStr">
        <is>
          <t>LLM</t>
        </is>
      </c>
      <c r="N207" t="inlineStr">
        <is>
          <t>2026-04-18</t>
        </is>
      </c>
      <c r="O207" t="inlineStr">
        <is>
          <t>AI</t>
        </is>
      </c>
    </row>
    <row r="208">
      <c r="A208" t="inlineStr">
        <is>
          <t>PT Astra Agro Lestari Tbk</t>
        </is>
      </c>
      <c r="B208" t="inlineStr">
        <is>
          <t>AALI_2025_AR.pdf</t>
        </is>
      </c>
      <c r="C208" t="n">
        <v>2025</v>
      </c>
      <c r="D208" t="inlineStr">
        <is>
          <t>Operation</t>
        </is>
      </c>
      <c r="E208" t="inlineStr">
        <is>
          <t>PKE</t>
        </is>
      </c>
      <c r="F208" t="n">
        <v>74765</v>
      </c>
      <c r="G208" t="inlineStr">
        <is>
          <t>t</t>
        </is>
      </c>
      <c r="H208" t="n">
        <v>17</v>
      </c>
      <c r="I208" t="inlineStr">
        <is>
          <t>Palm Kernel Expeller (PKE) 74,765 57,001</t>
        </is>
      </c>
      <c r="J208" t="inlineStr">
        <is>
          <t>High</t>
        </is>
      </c>
      <c r="M208" t="inlineStr">
        <is>
          <t>LLM</t>
        </is>
      </c>
      <c r="N208" t="inlineStr">
        <is>
          <t>2026-04-18</t>
        </is>
      </c>
      <c r="O208" t="inlineStr">
        <is>
          <t>AI</t>
        </is>
      </c>
    </row>
    <row r="209">
      <c r="A209" t="inlineStr">
        <is>
          <t>PT Astra Agro Lestari Tbk</t>
        </is>
      </c>
      <c r="B209" t="inlineStr">
        <is>
          <t>AALI_2025_AR.pdf</t>
        </is>
      </c>
      <c r="C209" t="n">
        <v>2025</v>
      </c>
      <c r="D209" t="inlineStr">
        <is>
          <t>Operation</t>
        </is>
      </c>
      <c r="E209" t="inlineStr">
        <is>
          <t>FFB Yield</t>
        </is>
      </c>
      <c r="F209" t="n">
        <v>14.46</v>
      </c>
      <c r="G209" t="inlineStr">
        <is>
          <t>t/ha</t>
        </is>
      </c>
      <c r="H209" t="n">
        <v>17</v>
      </c>
      <c r="I209" t="inlineStr">
        <is>
          <t>Yield TBS - Ton/Ha 14.46 14.07</t>
        </is>
      </c>
      <c r="J209" t="inlineStr">
        <is>
          <t>High</t>
        </is>
      </c>
      <c r="M209" t="inlineStr">
        <is>
          <t>LLM</t>
        </is>
      </c>
      <c r="N209" t="inlineStr">
        <is>
          <t>2026-04-18</t>
        </is>
      </c>
      <c r="O209" t="inlineStr">
        <is>
          <t>AI</t>
        </is>
      </c>
    </row>
    <row r="210">
      <c r="A210" t="inlineStr">
        <is>
          <t>PT Astra Agro Lestari Tbk</t>
        </is>
      </c>
      <c r="B210" t="inlineStr">
        <is>
          <t>AALI_2025_AR.pdf</t>
        </is>
      </c>
      <c r="C210" t="n">
        <v>2025</v>
      </c>
      <c r="D210" t="inlineStr">
        <is>
          <t>Operation</t>
        </is>
      </c>
      <c r="E210" t="inlineStr">
        <is>
          <t>CPO Yield</t>
        </is>
      </c>
      <c r="F210" t="n">
        <v>2.78</v>
      </c>
      <c r="G210" t="inlineStr">
        <is>
          <t>t/ha</t>
        </is>
      </c>
      <c r="H210" t="n">
        <v>17</v>
      </c>
      <c r="I210" t="inlineStr">
        <is>
          <t>Yield CPO - Ton/Ha 2.78 2.68</t>
        </is>
      </c>
      <c r="J210" t="inlineStr">
        <is>
          <t>High</t>
        </is>
      </c>
      <c r="M210" t="inlineStr">
        <is>
          <t>LLM</t>
        </is>
      </c>
      <c r="N210" t="inlineStr">
        <is>
          <t>2026-04-18</t>
        </is>
      </c>
      <c r="O210" t="inlineStr">
        <is>
          <t>AI</t>
        </is>
      </c>
    </row>
    <row r="211">
      <c r="A211" t="inlineStr">
        <is>
          <t>PT Astra Agro Lestari Tbk</t>
        </is>
      </c>
      <c r="B211" t="inlineStr">
        <is>
          <t>AALI_2025_AR.pdf</t>
        </is>
      </c>
      <c r="C211" t="n">
        <v>2025</v>
      </c>
      <c r="D211" t="inlineStr">
        <is>
          <t>Operation</t>
        </is>
      </c>
      <c r="E211" t="inlineStr">
        <is>
          <t>OER (Rendemen)</t>
        </is>
      </c>
      <c r="F211" t="n">
        <v>0.1922</v>
      </c>
      <c r="G211" t="inlineStr">
        <is>
          <t>%</t>
        </is>
      </c>
      <c r="H211" t="n">
        <v>17</v>
      </c>
      <c r="I211" t="inlineStr">
        <is>
          <t>Rendemen Minyak Sawit 19.22% 19.03%</t>
        </is>
      </c>
      <c r="J211" t="inlineStr">
        <is>
          <t>High</t>
        </is>
      </c>
      <c r="M211" t="inlineStr">
        <is>
          <t>LLM</t>
        </is>
      </c>
      <c r="N211" t="inlineStr">
        <is>
          <t>2026-04-18</t>
        </is>
      </c>
      <c r="O211" t="inlineStr">
        <is>
          <t>AI</t>
        </is>
      </c>
    </row>
    <row r="212">
      <c r="A212" t="inlineStr">
        <is>
          <t>PT Astra Agro Lestari Tbk</t>
        </is>
      </c>
      <c r="B212" t="inlineStr">
        <is>
          <t>AALI_2025_AR.pdf</t>
        </is>
      </c>
      <c r="C212" t="n">
        <v>2025</v>
      </c>
      <c r="D212" t="inlineStr">
        <is>
          <t>Operation</t>
        </is>
      </c>
      <c r="E212" t="inlineStr">
        <is>
          <t>KER</t>
        </is>
      </c>
      <c r="F212" t="n">
        <v>0.0404</v>
      </c>
      <c r="G212" t="inlineStr">
        <is>
          <t>%</t>
        </is>
      </c>
      <c r="H212" t="n">
        <v>17</v>
      </c>
      <c r="I212" t="inlineStr">
        <is>
          <t>Rendemen Inti Sawit 4.04% 3.96%</t>
        </is>
      </c>
      <c r="J212" t="inlineStr">
        <is>
          <t>High</t>
        </is>
      </c>
      <c r="M212" t="inlineStr">
        <is>
          <t>LLM</t>
        </is>
      </c>
      <c r="N212" t="inlineStr">
        <is>
          <t>2026-04-18</t>
        </is>
      </c>
      <c r="O212" t="inlineStr">
        <is>
          <t>AI</t>
        </is>
      </c>
    </row>
    <row r="213">
      <c r="A213" t="inlineStr">
        <is>
          <t>PT Astra Agro Lestari Tbk</t>
        </is>
      </c>
      <c r="B213" t="inlineStr">
        <is>
          <t>AALI_2025_AR.pdf</t>
        </is>
      </c>
      <c r="C213" t="n">
        <v>2025</v>
      </c>
      <c r="D213" t="inlineStr">
        <is>
          <t>Operation</t>
        </is>
      </c>
      <c r="E213" t="inlineStr">
        <is>
          <t>Avg CPO Selling Price</t>
        </is>
      </c>
      <c r="F213" t="n">
        <v>14316</v>
      </c>
      <c r="G213" t="inlineStr">
        <is>
          <t>Rp/kg</t>
        </is>
      </c>
      <c r="H213" t="n">
        <v>18</v>
      </c>
      <c r="I213" t="inlineStr">
        <is>
          <t>Rata-Rata Harga Jual Minyak Sawit (Rp/Kg) 14,316 12,883</t>
        </is>
      </c>
      <c r="J213" t="inlineStr">
        <is>
          <t>High</t>
        </is>
      </c>
      <c r="M213" t="inlineStr">
        <is>
          <t>LLM</t>
        </is>
      </c>
      <c r="N213" t="inlineStr">
        <is>
          <t>2026-04-18</t>
        </is>
      </c>
      <c r="O213" t="inlineStr">
        <is>
          <t>AI</t>
        </is>
      </c>
    </row>
    <row r="214">
      <c r="A214" t="inlineStr">
        <is>
          <t>PT Astra Agro Lestari Tbk</t>
        </is>
      </c>
      <c r="B214" t="inlineStr">
        <is>
          <t>AALI_2025_AR.pdf</t>
        </is>
      </c>
      <c r="C214" t="n">
        <v>2025</v>
      </c>
      <c r="D214" t="inlineStr">
        <is>
          <t>Operation</t>
        </is>
      </c>
      <c r="E214" t="inlineStr">
        <is>
          <t>CPO &amp; Derivatives Sales Volume</t>
        </is>
      </c>
      <c r="F214" t="n">
        <v>1761</v>
      </c>
      <c r="G214" t="inlineStr">
        <is>
          <t>thousand t</t>
        </is>
      </c>
      <c r="H214" t="n">
        <v>122</v>
      </c>
      <c r="I214" t="inlineStr">
        <is>
          <t>volume penjualan Perseroan untuk CPO dan produk turunannya mengalami peningkatan sebesar 13% menjadi 1,76 juta ton</t>
        </is>
      </c>
      <c r="J214" t="inlineStr">
        <is>
          <t>High</t>
        </is>
      </c>
      <c r="M214" t="inlineStr">
        <is>
          <t>LLM</t>
        </is>
      </c>
      <c r="N214" t="inlineStr">
        <is>
          <t>2026-04-18</t>
        </is>
      </c>
      <c r="O214" t="inlineStr">
        <is>
          <t>AI</t>
        </is>
      </c>
    </row>
    <row r="215">
      <c r="A215" t="inlineStr">
        <is>
          <t>PT Astra Agro Lestari Tbk</t>
        </is>
      </c>
      <c r="B215" t="inlineStr">
        <is>
          <t>AALI_2025_AR.pdf</t>
        </is>
      </c>
      <c r="C215" t="n">
        <v>2025</v>
      </c>
      <c r="D215" t="inlineStr">
        <is>
          <t>Operation</t>
        </is>
      </c>
      <c r="E215" t="inlineStr">
        <is>
          <t>Domestic Sales Proportion</t>
        </is>
      </c>
      <c r="F215" t="n">
        <v>0.64</v>
      </c>
      <c r="G215" t="inlineStr">
        <is>
          <t>%</t>
        </is>
      </c>
      <c r="H215" t="n">
        <v>124</v>
      </c>
      <c r="I215" t="inlineStr">
        <is>
          <t>Proporsi serapan penjualan adalah 64% untuk pasar domestik dan 36% untuk ekspor</t>
        </is>
      </c>
      <c r="J215" t="inlineStr">
        <is>
          <t>High</t>
        </is>
      </c>
      <c r="M215" t="inlineStr">
        <is>
          <t>LLM</t>
        </is>
      </c>
      <c r="N215" t="inlineStr">
        <is>
          <t>2026-04-18</t>
        </is>
      </c>
      <c r="O215" t="inlineStr">
        <is>
          <t>AI</t>
        </is>
      </c>
    </row>
    <row r="216">
      <c r="A216" t="inlineStr">
        <is>
          <t>PT Astra Agro Lestari Tbk</t>
        </is>
      </c>
      <c r="B216" t="inlineStr">
        <is>
          <t>AALI_2025_AR.pdf</t>
        </is>
      </c>
      <c r="C216" t="n">
        <v>2025</v>
      </c>
      <c r="D216" t="inlineStr">
        <is>
          <t>Operation</t>
        </is>
      </c>
      <c r="E216" t="inlineStr">
        <is>
          <t>Export Sales Proportion</t>
        </is>
      </c>
      <c r="F216" t="n">
        <v>0.36</v>
      </c>
      <c r="G216" t="inlineStr">
        <is>
          <t>%</t>
        </is>
      </c>
      <c r="H216" t="n">
        <v>124</v>
      </c>
      <c r="I216" t="inlineStr">
        <is>
          <t>64% untuk pasar domestik dan 36% untuk ekspor</t>
        </is>
      </c>
      <c r="J216" t="inlineStr">
        <is>
          <t>High</t>
        </is>
      </c>
      <c r="M216" t="inlineStr">
        <is>
          <t>LLM</t>
        </is>
      </c>
      <c r="N216" t="inlineStr">
        <is>
          <t>2026-04-18</t>
        </is>
      </c>
      <c r="O216" t="inlineStr">
        <is>
          <t>AI</t>
        </is>
      </c>
    </row>
    <row r="217">
      <c r="A217" t="inlineStr">
        <is>
          <t>PT Andira Agro Tbk</t>
        </is>
      </c>
      <c r="B217" t="inlineStr">
        <is>
          <t>ANDI_2022_AR.pdf</t>
        </is>
      </c>
      <c r="C217" t="n">
        <v>2022</v>
      </c>
      <c r="D217" t="inlineStr">
        <is>
          <t>Company</t>
        </is>
      </c>
      <c r="E217" t="inlineStr">
        <is>
          <t>Company Name</t>
        </is>
      </c>
      <c r="F217" t="inlineStr">
        <is>
          <t>PT Andira Agro Tbk</t>
        </is>
      </c>
      <c r="G217" t="inlineStr">
        <is>
          <t>text</t>
        </is>
      </c>
      <c r="H217" t="n">
        <v>36</v>
      </c>
      <c r="I217" t="inlineStr">
        <is>
          <t>PT Andira Agro Tbk (Perseroan) merupakan perusahaan terbuka</t>
        </is>
      </c>
      <c r="J217" t="inlineStr">
        <is>
          <t>High</t>
        </is>
      </c>
      <c r="M217" t="inlineStr">
        <is>
          <t>LLM</t>
        </is>
      </c>
      <c r="N217" t="inlineStr">
        <is>
          <t>2026-04-18</t>
        </is>
      </c>
      <c r="O217" t="inlineStr">
        <is>
          <t>AI</t>
        </is>
      </c>
    </row>
    <row r="218">
      <c r="A218" t="inlineStr">
        <is>
          <t>PT Andira Agro Tbk</t>
        </is>
      </c>
      <c r="B218" t="inlineStr">
        <is>
          <t>ANDI_2022_AR.pdf</t>
        </is>
      </c>
      <c r="C218" t="n">
        <v>2022</v>
      </c>
      <c r="D218" t="inlineStr">
        <is>
          <t>Company</t>
        </is>
      </c>
      <c r="E218" t="inlineStr">
        <is>
          <t>Ticker</t>
        </is>
      </c>
      <c r="F218" t="inlineStr">
        <is>
          <t>ANDI</t>
        </is>
      </c>
      <c r="G218" t="inlineStr">
        <is>
          <t>text</t>
        </is>
      </c>
      <c r="H218" t="n">
        <v>36</v>
      </c>
      <c r="I218" t="inlineStr">
        <is>
          <t>Kode Saham/Stock Code: ANDI</t>
        </is>
      </c>
      <c r="J218" t="inlineStr">
        <is>
          <t>High</t>
        </is>
      </c>
      <c r="M218" t="inlineStr">
        <is>
          <t>LLM</t>
        </is>
      </c>
      <c r="N218" t="inlineStr">
        <is>
          <t>2026-04-18</t>
        </is>
      </c>
      <c r="O218" t="inlineStr">
        <is>
          <t>AI</t>
        </is>
      </c>
    </row>
    <row r="219">
      <c r="A219" t="inlineStr">
        <is>
          <t>PT Andira Agro Tbk</t>
        </is>
      </c>
      <c r="B219" t="inlineStr">
        <is>
          <t>ANDI_2022_AR.pdf</t>
        </is>
      </c>
      <c r="C219" t="n">
        <v>2022</v>
      </c>
      <c r="D219" t="inlineStr">
        <is>
          <t>Company</t>
        </is>
      </c>
      <c r="E219" t="inlineStr">
        <is>
          <t>IDX Listing Date</t>
        </is>
      </c>
      <c r="F219" t="inlineStr">
        <is>
          <t>16-Aug-2018</t>
        </is>
      </c>
      <c r="G219" t="inlineStr">
        <is>
          <t>date</t>
        </is>
      </c>
      <c r="H219" t="n">
        <v>37</v>
      </c>
      <c r="I219" t="inlineStr">
        <is>
          <t>Pencatatan di BEI: 16 Agustus 2018</t>
        </is>
      </c>
      <c r="J219" t="inlineStr">
        <is>
          <t>High</t>
        </is>
      </c>
      <c r="M219" t="inlineStr">
        <is>
          <t>LLM</t>
        </is>
      </c>
      <c r="N219" t="inlineStr">
        <is>
          <t>2026-04-18</t>
        </is>
      </c>
      <c r="O219" t="inlineStr">
        <is>
          <t>AI</t>
        </is>
      </c>
    </row>
    <row r="220">
      <c r="A220" t="inlineStr">
        <is>
          <t>PT Andira Agro Tbk</t>
        </is>
      </c>
      <c r="B220" t="inlineStr">
        <is>
          <t>ANDI_2022_AR.pdf</t>
        </is>
      </c>
      <c r="C220" t="n">
        <v>2022</v>
      </c>
      <c r="D220" t="inlineStr">
        <is>
          <t>Company</t>
        </is>
      </c>
      <c r="E220" t="inlineStr">
        <is>
          <t>Headquarters</t>
        </is>
      </c>
      <c r="F220" t="inlineStr">
        <is>
          <t>Meta Epsi Building, Jl. Mayjen D.I. Panjaitan Kav.2, Jakarta Timur</t>
        </is>
      </c>
      <c r="G220" t="inlineStr">
        <is>
          <t>text</t>
        </is>
      </c>
      <c r="H220" t="n">
        <v>37</v>
      </c>
      <c r="I220" t="inlineStr">
        <is>
          <t>Meta Epsi Building - Jl. Mayjen D.I. Panjaitan Kav.2 Jakarta Timur</t>
        </is>
      </c>
      <c r="J220" t="inlineStr">
        <is>
          <t>High</t>
        </is>
      </c>
      <c r="M220" t="inlineStr">
        <is>
          <t>LLM</t>
        </is>
      </c>
      <c r="N220" t="inlineStr">
        <is>
          <t>2026-04-18</t>
        </is>
      </c>
      <c r="O220" t="inlineStr">
        <is>
          <t>AI</t>
        </is>
      </c>
    </row>
    <row r="221">
      <c r="A221" t="inlineStr">
        <is>
          <t>PT Andira Agro Tbk</t>
        </is>
      </c>
      <c r="B221" t="inlineStr">
        <is>
          <t>ANDI_2022_AR.pdf</t>
        </is>
      </c>
      <c r="C221" t="n">
        <v>2022</v>
      </c>
      <c r="D221" t="inlineStr">
        <is>
          <t>Company</t>
        </is>
      </c>
      <c r="E221" t="inlineStr">
        <is>
          <t>Operations Location</t>
        </is>
      </c>
      <c r="F221" t="inlineStr">
        <is>
          <t>Banyuasin, South Sumatra</t>
        </is>
      </c>
      <c r="G221" t="inlineStr">
        <is>
          <t>text</t>
        </is>
      </c>
      <c r="H221" t="n">
        <v>36</v>
      </c>
      <c r="I221" t="inlineStr">
        <is>
          <t>Wilayah operasional Perseroan terletak di Kabupaten Banyuasin, Provinsi Sumatera Selatan</t>
        </is>
      </c>
      <c r="J221" t="inlineStr">
        <is>
          <t>High</t>
        </is>
      </c>
      <c r="M221" t="inlineStr">
        <is>
          <t>LLM</t>
        </is>
      </c>
      <c r="N221" t="inlineStr">
        <is>
          <t>2026-04-18</t>
        </is>
      </c>
      <c r="O221" t="inlineStr">
        <is>
          <t>AI</t>
        </is>
      </c>
    </row>
    <row r="222">
      <c r="A222" t="inlineStr">
        <is>
          <t>PT Andira Agro Tbk</t>
        </is>
      </c>
      <c r="B222" t="inlineStr">
        <is>
          <t>ANDI_2022_AR.pdf</t>
        </is>
      </c>
      <c r="C222" t="n">
        <v>2022</v>
      </c>
      <c r="D222" t="inlineStr">
        <is>
          <t>Company</t>
        </is>
      </c>
      <c r="E222" t="inlineStr">
        <is>
          <t>PT Central Energi Pratama (controlling)</t>
        </is>
      </c>
      <c r="F222" t="n">
        <v>0.4973</v>
      </c>
      <c r="G222" t="inlineStr">
        <is>
          <t>%</t>
        </is>
      </c>
      <c r="H222" t="n">
        <v>53</v>
      </c>
      <c r="I222" t="inlineStr">
        <is>
          <t>PT. Central Energi Pratama 4,650,030,000 49.73%</t>
        </is>
      </c>
      <c r="J222" t="inlineStr">
        <is>
          <t>High</t>
        </is>
      </c>
      <c r="M222" t="inlineStr">
        <is>
          <t>LLM</t>
        </is>
      </c>
      <c r="N222" t="inlineStr">
        <is>
          <t>2026-04-18</t>
        </is>
      </c>
      <c r="O222" t="inlineStr">
        <is>
          <t>AI</t>
        </is>
      </c>
    </row>
    <row r="223">
      <c r="A223" t="inlineStr">
        <is>
          <t>PT Andira Agro Tbk</t>
        </is>
      </c>
      <c r="B223" t="inlineStr">
        <is>
          <t>ANDI_2022_AR.pdf</t>
        </is>
      </c>
      <c r="C223" t="n">
        <v>2022</v>
      </c>
      <c r="D223" t="inlineStr">
        <is>
          <t>Company</t>
        </is>
      </c>
      <c r="E223" t="inlineStr">
        <is>
          <t>PT Anugerah Perkasa Semesta</t>
        </is>
      </c>
      <c r="F223" t="n">
        <v>0.07489999999999999</v>
      </c>
      <c r="G223" t="inlineStr">
        <is>
          <t>%</t>
        </is>
      </c>
      <c r="H223" t="n">
        <v>53</v>
      </c>
      <c r="I223" t="inlineStr">
        <is>
          <t>PT. Anugerah Perkasa Semesta 699,970,000 7.49%</t>
        </is>
      </c>
      <c r="J223" t="inlineStr">
        <is>
          <t>High</t>
        </is>
      </c>
      <c r="M223" t="inlineStr">
        <is>
          <t>LLM</t>
        </is>
      </c>
      <c r="N223" t="inlineStr">
        <is>
          <t>2026-04-18</t>
        </is>
      </c>
      <c r="O223" t="inlineStr">
        <is>
          <t>AI</t>
        </is>
      </c>
    </row>
    <row r="224">
      <c r="A224" t="inlineStr">
        <is>
          <t>PT Andira Agro Tbk</t>
        </is>
      </c>
      <c r="B224" t="inlineStr">
        <is>
          <t>ANDI_2022_AR.pdf</t>
        </is>
      </c>
      <c r="C224" t="n">
        <v>2022</v>
      </c>
      <c r="D224" t="inlineStr">
        <is>
          <t>Company</t>
        </is>
      </c>
      <c r="E224" t="inlineStr">
        <is>
          <t>Kejaksaan Agung (Attorney General)</t>
        </is>
      </c>
      <c r="F224" t="n">
        <v>0.0607</v>
      </c>
      <c r="G224" t="inlineStr">
        <is>
          <t>%</t>
        </is>
      </c>
      <c r="H224" t="n">
        <v>53</v>
      </c>
      <c r="I224" t="inlineStr">
        <is>
          <t>Kejaksaan Agung 567,409,200 6.07%</t>
        </is>
      </c>
      <c r="J224" t="inlineStr">
        <is>
          <t>High</t>
        </is>
      </c>
      <c r="M224" t="inlineStr">
        <is>
          <t>LLM</t>
        </is>
      </c>
      <c r="N224" t="inlineStr">
        <is>
          <t>2026-04-18</t>
        </is>
      </c>
      <c r="O224" t="inlineStr">
        <is>
          <t>AI</t>
        </is>
      </c>
    </row>
    <row r="225">
      <c r="A225" t="inlineStr">
        <is>
          <t>PT Andira Agro Tbk</t>
        </is>
      </c>
      <c r="B225" t="inlineStr">
        <is>
          <t>ANDI_2022_AR.pdf</t>
        </is>
      </c>
      <c r="C225" t="n">
        <v>2022</v>
      </c>
      <c r="D225" t="inlineStr">
        <is>
          <t>Company</t>
        </is>
      </c>
      <c r="E225" t="inlineStr">
        <is>
          <t>Public</t>
        </is>
      </c>
      <c r="F225" t="n">
        <v>0.3671</v>
      </c>
      <c r="G225" t="inlineStr">
        <is>
          <t>%</t>
        </is>
      </c>
      <c r="H225" t="n">
        <v>53</v>
      </c>
      <c r="I225" t="inlineStr">
        <is>
          <t>Masyarakat 3,432,590,800 36.71%</t>
        </is>
      </c>
      <c r="J225" t="inlineStr">
        <is>
          <t>High</t>
        </is>
      </c>
      <c r="M225" t="inlineStr">
        <is>
          <t>LLM</t>
        </is>
      </c>
      <c r="N225" t="inlineStr">
        <is>
          <t>2026-04-18</t>
        </is>
      </c>
      <c r="O225" t="inlineStr">
        <is>
          <t>AI</t>
        </is>
      </c>
    </row>
    <row r="226">
      <c r="A226" t="inlineStr">
        <is>
          <t>PT Andira Agro Tbk</t>
        </is>
      </c>
      <c r="B226" t="inlineStr">
        <is>
          <t>ANDI_2022_AR.pdf</t>
        </is>
      </c>
      <c r="C226" t="n">
        <v>2022</v>
      </c>
      <c r="D226" t="inlineStr">
        <is>
          <t>Financial</t>
        </is>
      </c>
      <c r="E226" t="inlineStr">
        <is>
          <t>Net Sales</t>
        </is>
      </c>
      <c r="F226" t="n">
        <v>317.86</v>
      </c>
      <c r="G226" t="inlineStr">
        <is>
          <t>IDR bn</t>
        </is>
      </c>
      <c r="H226" t="n">
        <v>13</v>
      </c>
      <c r="I226" t="inlineStr">
        <is>
          <t>Penjualan Bersih 317,855,645,702 346,364,995,418 (Rupiah)</t>
        </is>
      </c>
      <c r="J226" t="inlineStr">
        <is>
          <t>High</t>
        </is>
      </c>
      <c r="M226" t="inlineStr">
        <is>
          <t>LLM</t>
        </is>
      </c>
      <c r="N226" t="inlineStr">
        <is>
          <t>2026-04-18</t>
        </is>
      </c>
      <c r="O226" t="inlineStr">
        <is>
          <t>AI</t>
        </is>
      </c>
    </row>
    <row r="227">
      <c r="A227" t="inlineStr">
        <is>
          <t>PT Andira Agro Tbk</t>
        </is>
      </c>
      <c r="B227" t="inlineStr">
        <is>
          <t>ANDI_2022_AR.pdf</t>
        </is>
      </c>
      <c r="C227" t="n">
        <v>2022</v>
      </c>
      <c r="D227" t="inlineStr">
        <is>
          <t>Financial</t>
        </is>
      </c>
      <c r="E227" t="inlineStr">
        <is>
          <t>CPO Sales</t>
        </is>
      </c>
      <c r="F227" t="n">
        <v>269.46</v>
      </c>
      <c r="G227" t="inlineStr">
        <is>
          <t>IDR bn</t>
        </is>
      </c>
      <c r="H227" t="n">
        <v>75</v>
      </c>
      <c r="I227" t="inlineStr">
        <is>
          <t>Minyak mentah kelapa sawit 269,464,126,132 296,074,022,293</t>
        </is>
      </c>
      <c r="J227" t="inlineStr">
        <is>
          <t>High</t>
        </is>
      </c>
      <c r="M227" t="inlineStr">
        <is>
          <t>LLM</t>
        </is>
      </c>
      <c r="N227" t="inlineStr">
        <is>
          <t>2026-04-18</t>
        </is>
      </c>
      <c r="O227" t="inlineStr">
        <is>
          <t>AI</t>
        </is>
      </c>
    </row>
    <row r="228">
      <c r="A228" t="inlineStr">
        <is>
          <t>PT Andira Agro Tbk</t>
        </is>
      </c>
      <c r="B228" t="inlineStr">
        <is>
          <t>ANDI_2022_AR.pdf</t>
        </is>
      </c>
      <c r="C228" t="n">
        <v>2022</v>
      </c>
      <c r="D228" t="inlineStr">
        <is>
          <t>Financial</t>
        </is>
      </c>
      <c r="E228" t="inlineStr">
        <is>
          <t>PK Sales</t>
        </is>
      </c>
      <c r="F228" t="n">
        <v>48.39</v>
      </c>
      <c r="G228" t="inlineStr">
        <is>
          <t>IDR bn</t>
        </is>
      </c>
      <c r="H228" t="n">
        <v>75</v>
      </c>
      <c r="I228" t="inlineStr">
        <is>
          <t>Inti sawit 48,391,519,570 50,290,973,125</t>
        </is>
      </c>
      <c r="J228" t="inlineStr">
        <is>
          <t>High</t>
        </is>
      </c>
      <c r="M228" t="inlineStr">
        <is>
          <t>LLM</t>
        </is>
      </c>
      <c r="N228" t="inlineStr">
        <is>
          <t>2026-04-18</t>
        </is>
      </c>
      <c r="O228" t="inlineStr">
        <is>
          <t>AI</t>
        </is>
      </c>
    </row>
    <row r="229">
      <c r="A229" t="inlineStr">
        <is>
          <t>PT Andira Agro Tbk</t>
        </is>
      </c>
      <c r="B229" t="inlineStr">
        <is>
          <t>ANDI_2022_AR.pdf</t>
        </is>
      </c>
      <c r="C229" t="n">
        <v>2022</v>
      </c>
      <c r="D229" t="inlineStr">
        <is>
          <t>Financial</t>
        </is>
      </c>
      <c r="E229" t="inlineStr">
        <is>
          <t>Cost of Goods Sold</t>
        </is>
      </c>
      <c r="F229" t="n">
        <v>295.08</v>
      </c>
      <c r="G229" t="inlineStr">
        <is>
          <t>IDR bn</t>
        </is>
      </c>
      <c r="H229" t="n">
        <v>13</v>
      </c>
      <c r="I229" t="inlineStr">
        <is>
          <t>Beban Pokok Penjualan (295,077,013,708)</t>
        </is>
      </c>
      <c r="J229" t="inlineStr">
        <is>
          <t>High</t>
        </is>
      </c>
      <c r="M229" t="inlineStr">
        <is>
          <t>LLM</t>
        </is>
      </c>
      <c r="N229" t="inlineStr">
        <is>
          <t>2026-04-18</t>
        </is>
      </c>
      <c r="O229" t="inlineStr">
        <is>
          <t>AI</t>
        </is>
      </c>
    </row>
    <row r="230">
      <c r="A230" t="inlineStr">
        <is>
          <t>PT Andira Agro Tbk</t>
        </is>
      </c>
      <c r="B230" t="inlineStr">
        <is>
          <t>ANDI_2022_AR.pdf</t>
        </is>
      </c>
      <c r="C230" t="n">
        <v>2022</v>
      </c>
      <c r="D230" t="inlineStr">
        <is>
          <t>Financial</t>
        </is>
      </c>
      <c r="E230" t="inlineStr">
        <is>
          <t>Gross Profit</t>
        </is>
      </c>
      <c r="F230" t="n">
        <v>22.78</v>
      </c>
      <c r="G230" t="inlineStr">
        <is>
          <t>IDR bn</t>
        </is>
      </c>
      <c r="H230" t="n">
        <v>13</v>
      </c>
      <c r="I230" t="inlineStr">
        <is>
          <t>Laba Bruto 22,778,631,994</t>
        </is>
      </c>
      <c r="J230" t="inlineStr">
        <is>
          <t>High</t>
        </is>
      </c>
      <c r="M230" t="inlineStr">
        <is>
          <t>LLM</t>
        </is>
      </c>
      <c r="N230" t="inlineStr">
        <is>
          <t>2026-04-18</t>
        </is>
      </c>
      <c r="O230" t="inlineStr">
        <is>
          <t>AI</t>
        </is>
      </c>
    </row>
    <row r="231">
      <c r="A231" t="inlineStr">
        <is>
          <t>PT Andira Agro Tbk</t>
        </is>
      </c>
      <c r="B231" t="inlineStr">
        <is>
          <t>ANDI_2022_AR.pdf</t>
        </is>
      </c>
      <c r="C231" t="n">
        <v>2022</v>
      </c>
      <c r="D231" t="inlineStr">
        <is>
          <t>Financial</t>
        </is>
      </c>
      <c r="E231" t="inlineStr">
        <is>
          <t>Operating Income/(Loss)</t>
        </is>
      </c>
      <c r="F231" t="n">
        <v>-10.54</v>
      </c>
      <c r="G231" t="inlineStr">
        <is>
          <t>IDR bn</t>
        </is>
      </c>
      <c r="H231" t="n">
        <v>13</v>
      </c>
      <c r="I231" t="inlineStr">
        <is>
          <t>Laba (Rugi) Usaha (10,540,607,940)</t>
        </is>
      </c>
      <c r="J231" t="inlineStr">
        <is>
          <t>High</t>
        </is>
      </c>
      <c r="M231" t="inlineStr">
        <is>
          <t>LLM</t>
        </is>
      </c>
      <c r="N231" t="inlineStr">
        <is>
          <t>2026-04-18</t>
        </is>
      </c>
      <c r="O231" t="inlineStr">
        <is>
          <t>AI</t>
        </is>
      </c>
    </row>
    <row r="232">
      <c r="A232" t="inlineStr">
        <is>
          <t>PT Andira Agro Tbk</t>
        </is>
      </c>
      <c r="B232" t="inlineStr">
        <is>
          <t>ANDI_2022_AR.pdf</t>
        </is>
      </c>
      <c r="C232" t="n">
        <v>2022</v>
      </c>
      <c r="D232" t="inlineStr">
        <is>
          <t>Financial</t>
        </is>
      </c>
      <c r="E232" t="inlineStr">
        <is>
          <t>Interest Expense</t>
        </is>
      </c>
      <c r="F232" t="n">
        <v>14.97</v>
      </c>
      <c r="G232" t="inlineStr">
        <is>
          <t>IDR bn</t>
        </is>
      </c>
      <c r="H232" t="n">
        <v>77</v>
      </c>
      <c r="I232" t="inlineStr">
        <is>
          <t>Beban Bunga (14,969,816,054) (15,192,038,239)</t>
        </is>
      </c>
      <c r="J232" t="inlineStr">
        <is>
          <t>High</t>
        </is>
      </c>
      <c r="M232" t="inlineStr">
        <is>
          <t>LLM</t>
        </is>
      </c>
      <c r="N232" t="inlineStr">
        <is>
          <t>2026-04-18</t>
        </is>
      </c>
      <c r="O232" t="inlineStr">
        <is>
          <t>AI</t>
        </is>
      </c>
    </row>
    <row r="233">
      <c r="A233" t="inlineStr">
        <is>
          <t>PT Andira Agro Tbk</t>
        </is>
      </c>
      <c r="B233" t="inlineStr">
        <is>
          <t>ANDI_2022_AR.pdf</t>
        </is>
      </c>
      <c r="C233" t="n">
        <v>2022</v>
      </c>
      <c r="D233" t="inlineStr">
        <is>
          <t>Financial</t>
        </is>
      </c>
      <c r="E233" t="inlineStr">
        <is>
          <t>Loss Before Tax</t>
        </is>
      </c>
      <c r="F233" t="n">
        <v>-12</v>
      </c>
      <c r="G233" t="inlineStr">
        <is>
          <t>IDR bn</t>
        </is>
      </c>
      <c r="H233" t="n">
        <v>13</v>
      </c>
      <c r="I233" t="inlineStr">
        <is>
          <t>Rugi Sebelum Pajak Penghasilan (12,004,143,654)</t>
        </is>
      </c>
      <c r="J233" t="inlineStr">
        <is>
          <t>High</t>
        </is>
      </c>
      <c r="M233" t="inlineStr">
        <is>
          <t>LLM</t>
        </is>
      </c>
      <c r="N233" t="inlineStr">
        <is>
          <t>2026-04-18</t>
        </is>
      </c>
      <c r="O233" t="inlineStr">
        <is>
          <t>AI</t>
        </is>
      </c>
    </row>
    <row r="234">
      <c r="A234" t="inlineStr">
        <is>
          <t>PT Andira Agro Tbk</t>
        </is>
      </c>
      <c r="B234" t="inlineStr">
        <is>
          <t>ANDI_2022_AR.pdf</t>
        </is>
      </c>
      <c r="C234" t="n">
        <v>2022</v>
      </c>
      <c r="D234" t="inlineStr">
        <is>
          <t>Financial</t>
        </is>
      </c>
      <c r="E234" t="inlineStr">
        <is>
          <t>Net Loss for the Year</t>
        </is>
      </c>
      <c r="F234" t="n">
        <v>-10.79</v>
      </c>
      <c r="G234" t="inlineStr">
        <is>
          <t>IDR bn</t>
        </is>
      </c>
      <c r="H234" t="n">
        <v>13</v>
      </c>
      <c r="I234" t="inlineStr">
        <is>
          <t>Rugi Tahun Berjalan (10,787,670,426)</t>
        </is>
      </c>
      <c r="J234" t="inlineStr">
        <is>
          <t>High</t>
        </is>
      </c>
      <c r="M234" t="inlineStr">
        <is>
          <t>LLM</t>
        </is>
      </c>
      <c r="N234" t="inlineStr">
        <is>
          <t>2026-04-18</t>
        </is>
      </c>
      <c r="O234" t="inlineStr">
        <is>
          <t>AI</t>
        </is>
      </c>
    </row>
    <row r="235">
      <c r="A235" t="inlineStr">
        <is>
          <t>PT Andira Agro Tbk</t>
        </is>
      </c>
      <c r="B235" t="inlineStr">
        <is>
          <t>ANDI_2022_AR.pdf</t>
        </is>
      </c>
      <c r="C235" t="n">
        <v>2022</v>
      </c>
      <c r="D235" t="inlineStr">
        <is>
          <t>Financial</t>
        </is>
      </c>
      <c r="E235" t="inlineStr">
        <is>
          <t>Total Assets</t>
        </is>
      </c>
      <c r="F235" t="n">
        <v>444.21</v>
      </c>
      <c r="G235" t="inlineStr">
        <is>
          <t>IDR bn</t>
        </is>
      </c>
      <c r="H235" t="n">
        <v>76</v>
      </c>
      <c r="I235" t="inlineStr">
        <is>
          <t>Total Aset 444,210,370,402 482,681,352,132</t>
        </is>
      </c>
      <c r="J235" t="inlineStr">
        <is>
          <t>High</t>
        </is>
      </c>
      <c r="M235" t="inlineStr">
        <is>
          <t>LLM</t>
        </is>
      </c>
      <c r="N235" t="inlineStr">
        <is>
          <t>2026-04-18</t>
        </is>
      </c>
      <c r="O235" t="inlineStr">
        <is>
          <t>AI</t>
        </is>
      </c>
    </row>
    <row r="236">
      <c r="A236" t="inlineStr">
        <is>
          <t>PT Andira Agro Tbk</t>
        </is>
      </c>
      <c r="B236" t="inlineStr">
        <is>
          <t>ANDI_2022_AR.pdf</t>
        </is>
      </c>
      <c r="C236" t="n">
        <v>2022</v>
      </c>
      <c r="D236" t="inlineStr">
        <is>
          <t>Financial</t>
        </is>
      </c>
      <c r="E236" t="inlineStr">
        <is>
          <t>Current Assets</t>
        </is>
      </c>
      <c r="F236" t="n">
        <v>77.81999999999999</v>
      </c>
      <c r="G236" t="inlineStr">
        <is>
          <t>IDR bn</t>
        </is>
      </c>
      <c r="H236" t="n">
        <v>76</v>
      </c>
      <c r="I236" t="inlineStr">
        <is>
          <t>Aset Lancar 77,817,661,367</t>
        </is>
      </c>
      <c r="J236" t="inlineStr">
        <is>
          <t>High</t>
        </is>
      </c>
      <c r="M236" t="inlineStr">
        <is>
          <t>LLM</t>
        </is>
      </c>
      <c r="N236" t="inlineStr">
        <is>
          <t>2026-04-18</t>
        </is>
      </c>
      <c r="O236" t="inlineStr">
        <is>
          <t>AI</t>
        </is>
      </c>
    </row>
    <row r="237">
      <c r="A237" t="inlineStr">
        <is>
          <t>PT Andira Agro Tbk</t>
        </is>
      </c>
      <c r="B237" t="inlineStr">
        <is>
          <t>ANDI_2022_AR.pdf</t>
        </is>
      </c>
      <c r="C237" t="n">
        <v>2022</v>
      </c>
      <c r="D237" t="inlineStr">
        <is>
          <t>Financial</t>
        </is>
      </c>
      <c r="E237" t="inlineStr">
        <is>
          <t>Non-Current Assets</t>
        </is>
      </c>
      <c r="F237" t="n">
        <v>366.39</v>
      </c>
      <c r="G237" t="inlineStr">
        <is>
          <t>IDR bn</t>
        </is>
      </c>
      <c r="H237" t="n">
        <v>76</v>
      </c>
      <c r="I237" t="inlineStr">
        <is>
          <t>Aset Tidak Lancar 366,392,709,035</t>
        </is>
      </c>
      <c r="J237" t="inlineStr">
        <is>
          <t>High</t>
        </is>
      </c>
      <c r="M237" t="inlineStr">
        <is>
          <t>LLM</t>
        </is>
      </c>
      <c r="N237" t="inlineStr">
        <is>
          <t>2026-04-18</t>
        </is>
      </c>
      <c r="O237" t="inlineStr">
        <is>
          <t>AI</t>
        </is>
      </c>
    </row>
    <row r="238">
      <c r="A238" t="inlineStr">
        <is>
          <t>PT Andira Agro Tbk</t>
        </is>
      </c>
      <c r="B238" t="inlineStr">
        <is>
          <t>ANDI_2022_AR.pdf</t>
        </is>
      </c>
      <c r="C238" t="n">
        <v>2022</v>
      </c>
      <c r="D238" t="inlineStr">
        <is>
          <t>Financial</t>
        </is>
      </c>
      <c r="E238" t="inlineStr">
        <is>
          <t>Total Liabilities</t>
        </is>
      </c>
      <c r="F238" t="n">
        <v>205.52</v>
      </c>
      <c r="G238" t="inlineStr">
        <is>
          <t>IDR bn</t>
        </is>
      </c>
      <c r="H238" t="n">
        <v>76</v>
      </c>
      <c r="I238" t="inlineStr">
        <is>
          <t>Total Liabilitas 205,516,461,751</t>
        </is>
      </c>
      <c r="J238" t="inlineStr">
        <is>
          <t>High</t>
        </is>
      </c>
      <c r="M238" t="inlineStr">
        <is>
          <t>LLM</t>
        </is>
      </c>
      <c r="N238" t="inlineStr">
        <is>
          <t>2026-04-18</t>
        </is>
      </c>
      <c r="O238" t="inlineStr">
        <is>
          <t>AI</t>
        </is>
      </c>
    </row>
    <row r="239">
      <c r="A239" t="inlineStr">
        <is>
          <t>PT Andira Agro Tbk</t>
        </is>
      </c>
      <c r="B239" t="inlineStr">
        <is>
          <t>ANDI_2022_AR.pdf</t>
        </is>
      </c>
      <c r="C239" t="n">
        <v>2022</v>
      </c>
      <c r="D239" t="inlineStr">
        <is>
          <t>Financial</t>
        </is>
      </c>
      <c r="E239" t="inlineStr">
        <is>
          <t>Current Liabilities</t>
        </is>
      </c>
      <c r="F239" t="n">
        <v>51.32</v>
      </c>
      <c r="G239" t="inlineStr">
        <is>
          <t>IDR bn</t>
        </is>
      </c>
      <c r="H239" t="n">
        <v>76</v>
      </c>
      <c r="I239" t="inlineStr">
        <is>
          <t>Liabilitas Jangka Pendek 51,320,417,645</t>
        </is>
      </c>
      <c r="J239" t="inlineStr">
        <is>
          <t>High</t>
        </is>
      </c>
      <c r="M239" t="inlineStr">
        <is>
          <t>LLM</t>
        </is>
      </c>
      <c r="N239" t="inlineStr">
        <is>
          <t>2026-04-18</t>
        </is>
      </c>
      <c r="O239" t="inlineStr">
        <is>
          <t>AI</t>
        </is>
      </c>
    </row>
    <row r="240">
      <c r="A240" t="inlineStr">
        <is>
          <t>PT Andira Agro Tbk</t>
        </is>
      </c>
      <c r="B240" t="inlineStr">
        <is>
          <t>ANDI_2022_AR.pdf</t>
        </is>
      </c>
      <c r="C240" t="n">
        <v>2022</v>
      </c>
      <c r="D240" t="inlineStr">
        <is>
          <t>Financial</t>
        </is>
      </c>
      <c r="E240" t="inlineStr">
        <is>
          <t>Long-Term Liabilities</t>
        </is>
      </c>
      <c r="F240" t="n">
        <v>154.2</v>
      </c>
      <c r="G240" t="inlineStr">
        <is>
          <t>IDR bn</t>
        </is>
      </c>
      <c r="H240" t="n">
        <v>76</v>
      </c>
      <c r="I240" t="inlineStr">
        <is>
          <t>Liabilitas Jangka Panjang 154,196,044,106</t>
        </is>
      </c>
      <c r="J240" t="inlineStr">
        <is>
          <t>High</t>
        </is>
      </c>
      <c r="M240" t="inlineStr">
        <is>
          <t>LLM</t>
        </is>
      </c>
      <c r="N240" t="inlineStr">
        <is>
          <t>2026-04-18</t>
        </is>
      </c>
      <c r="O240" t="inlineStr">
        <is>
          <t>AI</t>
        </is>
      </c>
    </row>
    <row r="241">
      <c r="A241" t="inlineStr">
        <is>
          <t>PT Andira Agro Tbk</t>
        </is>
      </c>
      <c r="B241" t="inlineStr">
        <is>
          <t>ANDI_2022_AR.pdf</t>
        </is>
      </c>
      <c r="C241" t="n">
        <v>2022</v>
      </c>
      <c r="D241" t="inlineStr">
        <is>
          <t>Financial</t>
        </is>
      </c>
      <c r="E241" t="inlineStr">
        <is>
          <t>Total Equity</t>
        </is>
      </c>
      <c r="F241" t="n">
        <v>238.69</v>
      </c>
      <c r="G241" t="inlineStr">
        <is>
          <t>IDR bn</t>
        </is>
      </c>
      <c r="H241" t="n">
        <v>76</v>
      </c>
      <c r="I241" t="inlineStr">
        <is>
          <t>Ekuitas 238,693,908,651</t>
        </is>
      </c>
      <c r="J241" t="inlineStr">
        <is>
          <t>High</t>
        </is>
      </c>
      <c r="M241" t="inlineStr">
        <is>
          <t>LLM</t>
        </is>
      </c>
      <c r="N241" t="inlineStr">
        <is>
          <t>2026-04-18</t>
        </is>
      </c>
      <c r="O241" t="inlineStr">
        <is>
          <t>AI</t>
        </is>
      </c>
    </row>
    <row r="242">
      <c r="A242" t="inlineStr">
        <is>
          <t>PT Andira Agro Tbk</t>
        </is>
      </c>
      <c r="B242" t="inlineStr">
        <is>
          <t>ANDI_2022_AR.pdf</t>
        </is>
      </c>
      <c r="C242" t="n">
        <v>2022</v>
      </c>
      <c r="D242" t="inlineStr">
        <is>
          <t>Financial</t>
        </is>
      </c>
      <c r="E242" t="inlineStr">
        <is>
          <t>Cash &amp; Cash Equivalents</t>
        </is>
      </c>
      <c r="F242" t="n">
        <v>15.02</v>
      </c>
      <c r="G242" t="inlineStr">
        <is>
          <t>IDR bn</t>
        </is>
      </c>
      <c r="H242" t="n">
        <v>79</v>
      </c>
      <c r="I242" t="inlineStr">
        <is>
          <t>kas dan setara kas sebesar Rp15,02 miliar pada akhir tahun 2022</t>
        </is>
      </c>
      <c r="J242" t="inlineStr">
        <is>
          <t>High</t>
        </is>
      </c>
      <c r="M242" t="inlineStr">
        <is>
          <t>LLM</t>
        </is>
      </c>
      <c r="N242" t="inlineStr">
        <is>
          <t>2026-04-18</t>
        </is>
      </c>
      <c r="O242" t="inlineStr">
        <is>
          <t>AI</t>
        </is>
      </c>
    </row>
    <row r="243">
      <c r="A243" t="inlineStr">
        <is>
          <t>PT Andira Agro Tbk</t>
        </is>
      </c>
      <c r="B243" t="inlineStr">
        <is>
          <t>ANDI_2022_AR.pdf</t>
        </is>
      </c>
      <c r="C243" t="n">
        <v>2022</v>
      </c>
      <c r="D243" t="inlineStr">
        <is>
          <t>Financial</t>
        </is>
      </c>
      <c r="E243" t="inlineStr">
        <is>
          <t>Bank Loans (Gross)</t>
        </is>
      </c>
      <c r="F243" t="n">
        <v>166.18</v>
      </c>
      <c r="G243" t="inlineStr">
        <is>
          <t>IDR bn</t>
        </is>
      </c>
      <c r="H243" t="n">
        <v>285</v>
      </c>
      <c r="I243" t="inlineStr">
        <is>
          <t>Saldo utang bank 166,182,942,439 181,644,310,638 (PT Bank Permata)</t>
        </is>
      </c>
      <c r="J243" t="inlineStr">
        <is>
          <t>High</t>
        </is>
      </c>
      <c r="M243" t="inlineStr">
        <is>
          <t>LLM</t>
        </is>
      </c>
      <c r="N243" t="inlineStr">
        <is>
          <t>2026-04-18</t>
        </is>
      </c>
      <c r="O243" t="inlineStr">
        <is>
          <t>AI</t>
        </is>
      </c>
    </row>
    <row r="244">
      <c r="A244" t="inlineStr">
        <is>
          <t>PT Andira Agro Tbk</t>
        </is>
      </c>
      <c r="B244" t="inlineStr">
        <is>
          <t>ANDI_2022_AR.pdf</t>
        </is>
      </c>
      <c r="C244" t="n">
        <v>2022</v>
      </c>
      <c r="D244" t="inlineStr">
        <is>
          <t>Financial</t>
        </is>
      </c>
      <c r="E244" t="inlineStr">
        <is>
          <t>Bank Loans - Current portion</t>
        </is>
      </c>
      <c r="F244" t="n">
        <v>16.61</v>
      </c>
      <c r="G244" t="inlineStr">
        <is>
          <t>IDR bn</t>
        </is>
      </c>
      <c r="H244" t="n">
        <v>285</v>
      </c>
      <c r="I244" t="inlineStr">
        <is>
          <t>Bagian jangka pendek 16,608,671,599 15,461,368,199</t>
        </is>
      </c>
      <c r="J244" t="inlineStr">
        <is>
          <t>High</t>
        </is>
      </c>
      <c r="M244" t="inlineStr">
        <is>
          <t>LLM</t>
        </is>
      </c>
      <c r="N244" t="inlineStr">
        <is>
          <t>2026-04-18</t>
        </is>
      </c>
      <c r="O244" t="inlineStr">
        <is>
          <t>AI</t>
        </is>
      </c>
    </row>
    <row r="245">
      <c r="A245" t="inlineStr">
        <is>
          <t>PT Andira Agro Tbk</t>
        </is>
      </c>
      <c r="B245" t="inlineStr">
        <is>
          <t>ANDI_2022_AR.pdf</t>
        </is>
      </c>
      <c r="C245" t="n">
        <v>2022</v>
      </c>
      <c r="D245" t="inlineStr">
        <is>
          <t>Financial</t>
        </is>
      </c>
      <c r="E245" t="inlineStr">
        <is>
          <t>Bank Loans - Long-term portion</t>
        </is>
      </c>
      <c r="F245" t="n">
        <v>149.57</v>
      </c>
      <c r="G245" t="inlineStr">
        <is>
          <t>IDR bn</t>
        </is>
      </c>
      <c r="H245" t="n">
        <v>285</v>
      </c>
      <c r="I245" t="inlineStr">
        <is>
          <t>Bagian Jangka Panjang 149,574,270,840 166,182,942,439</t>
        </is>
      </c>
      <c r="J245" t="inlineStr">
        <is>
          <t>High</t>
        </is>
      </c>
      <c r="M245" t="inlineStr">
        <is>
          <t>LLM</t>
        </is>
      </c>
      <c r="N245" t="inlineStr">
        <is>
          <t>2026-04-18</t>
        </is>
      </c>
      <c r="O245" t="inlineStr">
        <is>
          <t>AI</t>
        </is>
      </c>
    </row>
    <row r="246">
      <c r="A246" t="inlineStr">
        <is>
          <t>PT Andira Agro Tbk</t>
        </is>
      </c>
      <c r="B246" t="inlineStr">
        <is>
          <t>ANDI_2022_AR.pdf</t>
        </is>
      </c>
      <c r="C246" t="n">
        <v>2022</v>
      </c>
      <c r="D246" t="inlineStr">
        <is>
          <t>Financial</t>
        </is>
      </c>
      <c r="E246" t="inlineStr">
        <is>
          <t>CFO</t>
        </is>
      </c>
      <c r="F246" t="n">
        <v>51.02</v>
      </c>
      <c r="G246" t="inlineStr">
        <is>
          <t>IDR bn</t>
        </is>
      </c>
      <c r="H246" t="n">
        <v>79</v>
      </c>
      <c r="I246" t="inlineStr">
        <is>
          <t>Arus Kas Bersih yang Diperoleh dari Aktivitas Operasi 51,020,971,477</t>
        </is>
      </c>
      <c r="J246" t="inlineStr">
        <is>
          <t>High</t>
        </is>
      </c>
      <c r="M246" t="inlineStr">
        <is>
          <t>LLM</t>
        </is>
      </c>
      <c r="N246" t="inlineStr">
        <is>
          <t>2026-04-18</t>
        </is>
      </c>
      <c r="O246" t="inlineStr">
        <is>
          <t>AI</t>
        </is>
      </c>
    </row>
    <row r="247">
      <c r="A247" t="inlineStr">
        <is>
          <t>PT Andira Agro Tbk</t>
        </is>
      </c>
      <c r="B247" t="inlineStr">
        <is>
          <t>ANDI_2022_AR.pdf</t>
        </is>
      </c>
      <c r="C247" t="n">
        <v>2022</v>
      </c>
      <c r="D247" t="inlineStr">
        <is>
          <t>Financial</t>
        </is>
      </c>
      <c r="E247" t="inlineStr">
        <is>
          <t>CFI (Capex proxy)</t>
        </is>
      </c>
      <c r="F247" t="n">
        <v>-29.78</v>
      </c>
      <c r="G247" t="inlineStr">
        <is>
          <t>IDR bn</t>
        </is>
      </c>
      <c r="H247" t="n">
        <v>79</v>
      </c>
      <c r="I247" t="inlineStr">
        <is>
          <t>Arus Kas Bersih yang Digunakan untuk Aktivitas Investasi (29,780,777,517)</t>
        </is>
      </c>
      <c r="J247" t="inlineStr">
        <is>
          <t>High</t>
        </is>
      </c>
      <c r="M247" t="inlineStr">
        <is>
          <t>LLM</t>
        </is>
      </c>
      <c r="N247" t="inlineStr">
        <is>
          <t>2026-04-18</t>
        </is>
      </c>
      <c r="O247" t="inlineStr">
        <is>
          <t>AI</t>
        </is>
      </c>
    </row>
    <row r="248">
      <c r="A248" t="inlineStr">
        <is>
          <t>PT Andira Agro Tbk</t>
        </is>
      </c>
      <c r="B248" t="inlineStr">
        <is>
          <t>ANDI_2022_AR.pdf</t>
        </is>
      </c>
      <c r="C248" t="n">
        <v>2022</v>
      </c>
      <c r="D248" t="inlineStr">
        <is>
          <t>Financial</t>
        </is>
      </c>
      <c r="E248" t="inlineStr">
        <is>
          <t>CFF</t>
        </is>
      </c>
      <c r="F248" t="n">
        <v>-16.2</v>
      </c>
      <c r="G248" t="inlineStr">
        <is>
          <t>IDR bn</t>
        </is>
      </c>
      <c r="H248" t="n">
        <v>79</v>
      </c>
      <c r="I248" t="inlineStr">
        <is>
          <t>Arus Kas Bersih yang Digunakan untuk Aktivitas Pendanaan (16,198,600,976)</t>
        </is>
      </c>
      <c r="J248" t="inlineStr">
        <is>
          <t>High</t>
        </is>
      </c>
      <c r="M248" t="inlineStr">
        <is>
          <t>LLM</t>
        </is>
      </c>
      <c r="N248" t="inlineStr">
        <is>
          <t>2026-04-18</t>
        </is>
      </c>
      <c r="O248" t="inlineStr">
        <is>
          <t>AI</t>
        </is>
      </c>
    </row>
    <row r="249">
      <c r="A249" t="inlineStr">
        <is>
          <t>PT Andira Agro Tbk</t>
        </is>
      </c>
      <c r="B249" t="inlineStr">
        <is>
          <t>ANDI_2022_AR.pdf</t>
        </is>
      </c>
      <c r="C249" t="n">
        <v>2022</v>
      </c>
      <c r="D249" t="inlineStr">
        <is>
          <t>Financial</t>
        </is>
      </c>
      <c r="E249" t="inlineStr">
        <is>
          <t>Loss per Share (Basic)</t>
        </is>
      </c>
      <c r="F249" t="n">
        <v>-1.15</v>
      </c>
      <c r="G249" t="inlineStr">
        <is>
          <t>Rp/share</t>
        </is>
      </c>
      <c r="H249" t="n">
        <v>13</v>
      </c>
      <c r="I249" t="inlineStr">
        <is>
          <t>Rugi Per Saham - Dasar (1.15)</t>
        </is>
      </c>
      <c r="J249" t="inlineStr">
        <is>
          <t>High</t>
        </is>
      </c>
      <c r="M249" t="inlineStr">
        <is>
          <t>LLM</t>
        </is>
      </c>
      <c r="N249" t="inlineStr">
        <is>
          <t>2026-04-18</t>
        </is>
      </c>
      <c r="O249" t="inlineStr">
        <is>
          <t>AI</t>
        </is>
      </c>
    </row>
    <row r="250">
      <c r="A250" t="inlineStr">
        <is>
          <t>PT Andira Agro Tbk</t>
        </is>
      </c>
      <c r="B250" t="inlineStr">
        <is>
          <t>ANDI_2022_AR.pdf</t>
        </is>
      </c>
      <c r="C250" t="n">
        <v>2022</v>
      </c>
      <c r="D250" t="inlineStr">
        <is>
          <t>Financial</t>
        </is>
      </c>
      <c r="E250" t="inlineStr">
        <is>
          <t>Shares Outstanding</t>
        </is>
      </c>
      <c r="F250" t="n">
        <v>9350</v>
      </c>
      <c r="G250" t="inlineStr">
        <is>
          <t>mn</t>
        </is>
      </c>
      <c r="H250" t="n">
        <v>15</v>
      </c>
      <c r="I250" t="inlineStr">
        <is>
          <t>Market cap Rp467.5 bn / Rp50 = 9,350 mn shares; confirmed via 4,650,030,000 / 49.73% = 9,350mn</t>
        </is>
      </c>
      <c r="J250" t="inlineStr">
        <is>
          <t>High</t>
        </is>
      </c>
      <c r="M250" t="inlineStr">
        <is>
          <t>LLM</t>
        </is>
      </c>
      <c r="N250" t="inlineStr">
        <is>
          <t>2026-04-18</t>
        </is>
      </c>
      <c r="O250" t="inlineStr">
        <is>
          <t>AI</t>
        </is>
      </c>
    </row>
    <row r="251">
      <c r="A251" t="inlineStr">
        <is>
          <t>PT Andira Agro Tbk</t>
        </is>
      </c>
      <c r="B251" t="inlineStr">
        <is>
          <t>ANDI_2022_AR.pdf</t>
        </is>
      </c>
      <c r="C251" t="n">
        <v>2022</v>
      </c>
      <c r="D251" t="inlineStr">
        <is>
          <t>Financial</t>
        </is>
      </c>
      <c r="E251" t="inlineStr">
        <is>
          <t>Paid-up Capital</t>
        </is>
      </c>
      <c r="F251" t="n">
        <v>187</v>
      </c>
      <c r="G251" t="inlineStr">
        <is>
          <t>IDR bn</t>
        </is>
      </c>
      <c r="H251" t="n">
        <v>37</v>
      </c>
      <c r="I251" t="inlineStr">
        <is>
          <t>Modal Dasar Disetor dan Ditempatkan Penuh: Rp187,000,000,000</t>
        </is>
      </c>
      <c r="J251" t="inlineStr">
        <is>
          <t>High</t>
        </is>
      </c>
      <c r="M251" t="inlineStr">
        <is>
          <t>LLM</t>
        </is>
      </c>
      <c r="N251" t="inlineStr">
        <is>
          <t>2026-04-18</t>
        </is>
      </c>
      <c r="O251" t="inlineStr">
        <is>
          <t>AI</t>
        </is>
      </c>
    </row>
    <row r="252">
      <c r="A252" t="inlineStr">
        <is>
          <t>PT Andira Agro Tbk</t>
        </is>
      </c>
      <c r="B252" t="inlineStr">
        <is>
          <t>ANDI_2022_AR.pdf</t>
        </is>
      </c>
      <c r="C252" t="n">
        <v>2022</v>
      </c>
      <c r="D252" t="inlineStr">
        <is>
          <t>Financial</t>
        </is>
      </c>
      <c r="E252" t="inlineStr">
        <is>
          <t>Closing Price (31 Dec 2022)</t>
        </is>
      </c>
      <c r="F252" t="n">
        <v>50</v>
      </c>
      <c r="G252" t="inlineStr">
        <is>
          <t>Rp/share</t>
        </is>
      </c>
      <c r="H252" t="n">
        <v>15</v>
      </c>
      <c r="I252" t="inlineStr">
        <is>
          <t>Kuartal iV - 2022 50 50 50 591,400 467,500,000,000</t>
        </is>
      </c>
      <c r="J252" t="inlineStr">
        <is>
          <t>High</t>
        </is>
      </c>
      <c r="M252" t="inlineStr">
        <is>
          <t>LLM</t>
        </is>
      </c>
      <c r="N252" t="inlineStr">
        <is>
          <t>2026-04-18</t>
        </is>
      </c>
      <c r="O252" t="inlineStr">
        <is>
          <t>AI</t>
        </is>
      </c>
    </row>
    <row r="253">
      <c r="A253" t="inlineStr">
        <is>
          <t>PT Andira Agro Tbk</t>
        </is>
      </c>
      <c r="B253" t="inlineStr">
        <is>
          <t>ANDI_2022_AR.pdf</t>
        </is>
      </c>
      <c r="C253" t="n">
        <v>2022</v>
      </c>
      <c r="D253" t="inlineStr">
        <is>
          <t>Financial</t>
        </is>
      </c>
      <c r="E253" t="inlineStr">
        <is>
          <t>Market Capitalization</t>
        </is>
      </c>
      <c r="F253" t="n">
        <v>467.5</v>
      </c>
      <c r="G253" t="inlineStr">
        <is>
          <t>IDR bn</t>
        </is>
      </c>
      <c r="H253" t="n">
        <v>15</v>
      </c>
      <c r="I253" t="inlineStr">
        <is>
          <t>Kapitalisasi Pasar 467,500,000,000</t>
        </is>
      </c>
      <c r="J253" t="inlineStr">
        <is>
          <t>High</t>
        </is>
      </c>
      <c r="M253" t="inlineStr">
        <is>
          <t>LLM</t>
        </is>
      </c>
      <c r="N253" t="inlineStr">
        <is>
          <t>2026-04-18</t>
        </is>
      </c>
      <c r="O253" t="inlineStr">
        <is>
          <t>AI</t>
        </is>
      </c>
    </row>
    <row r="254">
      <c r="A254" t="inlineStr">
        <is>
          <t>PT Andira Agro Tbk</t>
        </is>
      </c>
      <c r="B254" t="inlineStr">
        <is>
          <t>ANDI_2022_AR.pdf</t>
        </is>
      </c>
      <c r="C254" t="n">
        <v>2022</v>
      </c>
      <c r="D254" t="inlineStr">
        <is>
          <t>Financial</t>
        </is>
      </c>
      <c r="E254" t="inlineStr">
        <is>
          <t>Current Ratio</t>
        </is>
      </c>
      <c r="F254" t="n">
        <v>1.516</v>
      </c>
      <c r="G254" t="inlineStr">
        <is>
          <t>x</t>
        </is>
      </c>
      <c r="H254" t="n">
        <v>13</v>
      </c>
      <c r="I254" t="inlineStr">
        <is>
          <t>Rasio Lancar 1.516x 1.399x 0.894x</t>
        </is>
      </c>
      <c r="J254" t="inlineStr">
        <is>
          <t>High</t>
        </is>
      </c>
      <c r="M254" t="inlineStr">
        <is>
          <t>LLM</t>
        </is>
      </c>
      <c r="N254" t="inlineStr">
        <is>
          <t>2026-04-18</t>
        </is>
      </c>
      <c r="O254" t="inlineStr">
        <is>
          <t>AI</t>
        </is>
      </c>
    </row>
    <row r="255">
      <c r="A255" t="inlineStr">
        <is>
          <t>PT Andira Agro Tbk</t>
        </is>
      </c>
      <c r="B255" t="inlineStr">
        <is>
          <t>ANDI_2022_AR.pdf</t>
        </is>
      </c>
      <c r="C255" t="n">
        <v>2022</v>
      </c>
      <c r="D255" t="inlineStr">
        <is>
          <t>Financial</t>
        </is>
      </c>
      <c r="E255" t="inlineStr">
        <is>
          <t>Debt to Equity Ratio</t>
        </is>
      </c>
      <c r="F255" t="n">
        <v>0.861</v>
      </c>
      <c r="G255" t="inlineStr">
        <is>
          <t>x</t>
        </is>
      </c>
      <c r="H255" t="n">
        <v>13</v>
      </c>
      <c r="I255" t="inlineStr">
        <is>
          <t>Rasio Utang/Ekuitas (Der) 0.861x 0.936x</t>
        </is>
      </c>
      <c r="J255" t="inlineStr">
        <is>
          <t>High</t>
        </is>
      </c>
      <c r="M255" t="inlineStr">
        <is>
          <t>LLM</t>
        </is>
      </c>
      <c r="N255" t="inlineStr">
        <is>
          <t>2026-04-18</t>
        </is>
      </c>
      <c r="O255" t="inlineStr">
        <is>
          <t>AI</t>
        </is>
      </c>
    </row>
    <row r="256">
      <c r="A256" t="inlineStr">
        <is>
          <t>PT Andira Agro Tbk</t>
        </is>
      </c>
      <c r="B256" t="inlineStr">
        <is>
          <t>ANDI_2022_AR.pdf</t>
        </is>
      </c>
      <c r="C256" t="n">
        <v>2022</v>
      </c>
      <c r="D256" t="inlineStr">
        <is>
          <t>Financial</t>
        </is>
      </c>
      <c r="E256" t="inlineStr">
        <is>
          <t>Debt to Assets Ratio</t>
        </is>
      </c>
      <c r="F256" t="n">
        <v>0.463</v>
      </c>
      <c r="G256" t="inlineStr">
        <is>
          <t>x</t>
        </is>
      </c>
      <c r="H256" t="n">
        <v>13</v>
      </c>
      <c r="I256" t="inlineStr">
        <is>
          <t>Rasio Utang/Aset (Dar) 0.463x 0.484x</t>
        </is>
      </c>
      <c r="J256" t="inlineStr">
        <is>
          <t>High</t>
        </is>
      </c>
      <c r="M256" t="inlineStr">
        <is>
          <t>LLM</t>
        </is>
      </c>
      <c r="N256" t="inlineStr">
        <is>
          <t>2026-04-18</t>
        </is>
      </c>
      <c r="O256" t="inlineStr">
        <is>
          <t>AI</t>
        </is>
      </c>
    </row>
    <row r="257">
      <c r="A257" t="inlineStr">
        <is>
          <t>PT Andira Agro Tbk</t>
        </is>
      </c>
      <c r="B257" t="inlineStr">
        <is>
          <t>ANDI_2022_AR.pdf</t>
        </is>
      </c>
      <c r="C257" t="n">
        <v>2022</v>
      </c>
      <c r="D257" t="inlineStr">
        <is>
          <t>Financial</t>
        </is>
      </c>
      <c r="E257" t="inlineStr">
        <is>
          <t>ROA</t>
        </is>
      </c>
      <c r="F257" t="n">
        <v>-0.0243</v>
      </c>
      <c r="G257" t="inlineStr">
        <is>
          <t>%</t>
        </is>
      </c>
      <c r="H257" t="n">
        <v>13</v>
      </c>
      <c r="I257" t="inlineStr">
        <is>
          <t>Rasio Laba/Aset (Roa) -2.43%</t>
        </is>
      </c>
      <c r="J257" t="inlineStr">
        <is>
          <t>High</t>
        </is>
      </c>
      <c r="M257" t="inlineStr">
        <is>
          <t>LLM</t>
        </is>
      </c>
      <c r="N257" t="inlineStr">
        <is>
          <t>2026-04-18</t>
        </is>
      </c>
      <c r="O257" t="inlineStr">
        <is>
          <t>AI</t>
        </is>
      </c>
    </row>
    <row r="258">
      <c r="A258" t="inlineStr">
        <is>
          <t>PT Andira Agro Tbk</t>
        </is>
      </c>
      <c r="B258" t="inlineStr">
        <is>
          <t>ANDI_2022_AR.pdf</t>
        </is>
      </c>
      <c r="C258" t="n">
        <v>2022</v>
      </c>
      <c r="D258" t="inlineStr">
        <is>
          <t>Financial</t>
        </is>
      </c>
      <c r="E258" t="inlineStr">
        <is>
          <t>ROE</t>
        </is>
      </c>
      <c r="F258" t="n">
        <v>-0.0452</v>
      </c>
      <c r="G258" t="inlineStr">
        <is>
          <t>%</t>
        </is>
      </c>
      <c r="H258" t="n">
        <v>13</v>
      </c>
      <c r="I258" t="inlineStr">
        <is>
          <t>Rasio Laba/Ekuitas (Roe) -4.52%</t>
        </is>
      </c>
      <c r="J258" t="inlineStr">
        <is>
          <t>High</t>
        </is>
      </c>
      <c r="M258" t="inlineStr">
        <is>
          <t>LLM</t>
        </is>
      </c>
      <c r="N258" t="inlineStr">
        <is>
          <t>2026-04-18</t>
        </is>
      </c>
      <c r="O258" t="inlineStr">
        <is>
          <t>AI</t>
        </is>
      </c>
    </row>
    <row r="259">
      <c r="A259" t="inlineStr">
        <is>
          <t>PT Andira Agro Tbk</t>
        </is>
      </c>
      <c r="B259" t="inlineStr">
        <is>
          <t>ANDI_2022_AR.pdf</t>
        </is>
      </c>
      <c r="C259" t="n">
        <v>2022</v>
      </c>
      <c r="D259" t="inlineStr">
        <is>
          <t>Asset</t>
        </is>
      </c>
      <c r="E259" t="inlineStr">
        <is>
          <t>HGU Total Area (pledged)</t>
        </is>
      </c>
      <c r="F259" t="n">
        <v>4453</v>
      </c>
      <c r="G259" t="inlineStr">
        <is>
          <t>ha</t>
        </is>
      </c>
      <c r="H259" t="n">
        <v>285</v>
      </c>
      <c r="I259" t="inlineStr">
        <is>
          <t>HGU No.06/Karang Anyar 1,975.95 Ha + HGU No.16/Sebubus 784.00 Ha + HGU No.25/Teluk Tenggiri 990.08 Ha + HGU No.34/Sebubus dan Muara Padang 702.85 Ha = 4,452.88 Ha</t>
        </is>
      </c>
      <c r="J259" t="inlineStr">
        <is>
          <t>Medium</t>
        </is>
      </c>
      <c r="M259" t="inlineStr">
        <is>
          <t>LLM</t>
        </is>
      </c>
      <c r="N259" t="inlineStr">
        <is>
          <t>2026-04-18</t>
        </is>
      </c>
      <c r="O259" t="inlineStr">
        <is>
          <t>AI</t>
        </is>
      </c>
    </row>
    <row r="260">
      <c r="A260" t="inlineStr">
        <is>
          <t>PT Andira Agro Tbk</t>
        </is>
      </c>
      <c r="B260" t="inlineStr">
        <is>
          <t>ANDI_2022_AR.pdf</t>
        </is>
      </c>
      <c r="C260" t="n">
        <v>2022</v>
      </c>
      <c r="D260" t="inlineStr">
        <is>
          <t>Asset</t>
        </is>
      </c>
      <c r="E260" t="inlineStr">
        <is>
          <t>Palm Oil Mill Count</t>
        </is>
      </c>
      <c r="F260" t="n">
        <v>1</v>
      </c>
      <c r="G260" t="inlineStr">
        <is>
          <t>count</t>
        </is>
      </c>
      <c r="H260" t="n">
        <v>74</v>
      </c>
      <c r="I260" t="inlineStr">
        <is>
          <t>Pabrik Kelapa Sawit (PKS) Perseroan memproduksi CPO dan PK</t>
        </is>
      </c>
      <c r="J260" t="inlineStr">
        <is>
          <t>High</t>
        </is>
      </c>
      <c r="M260" t="inlineStr">
        <is>
          <t>LLM</t>
        </is>
      </c>
      <c r="N260" t="inlineStr">
        <is>
          <t>2026-04-18</t>
        </is>
      </c>
      <c r="O260" t="inlineStr">
        <is>
          <t>AI</t>
        </is>
      </c>
    </row>
    <row r="261">
      <c r="A261" t="inlineStr">
        <is>
          <t>PT Andira Agro Tbk</t>
        </is>
      </c>
      <c r="B261" t="inlineStr">
        <is>
          <t>ANDI_2022_AR.pdf</t>
        </is>
      </c>
      <c r="C261" t="n">
        <v>2022</v>
      </c>
      <c r="D261" t="inlineStr">
        <is>
          <t>Asset</t>
        </is>
      </c>
      <c r="E261" t="inlineStr">
        <is>
          <t>Palm Oil Mill Capacity</t>
        </is>
      </c>
      <c r="F261" t="n">
        <v>30</v>
      </c>
      <c r="G261" t="inlineStr">
        <is>
          <t>tph</t>
        </is>
      </c>
      <c r="H261" t="n">
        <v>74</v>
      </c>
      <c r="I261" t="inlineStr">
        <is>
          <t>Perseroan memiliki total kapasitas pengolahan kelapa sawit sebesar 30 ton per jam</t>
        </is>
      </c>
      <c r="J261" t="inlineStr">
        <is>
          <t>High</t>
        </is>
      </c>
      <c r="M261" t="inlineStr">
        <is>
          <t>LLM</t>
        </is>
      </c>
      <c r="N261" t="inlineStr">
        <is>
          <t>2026-04-18</t>
        </is>
      </c>
      <c r="O261" t="inlineStr">
        <is>
          <t>AI</t>
        </is>
      </c>
    </row>
    <row r="262">
      <c r="A262" t="inlineStr">
        <is>
          <t>PT Andira Agro Tbk</t>
        </is>
      </c>
      <c r="B262" t="inlineStr">
        <is>
          <t>ANDI_2022_AR.pdf</t>
        </is>
      </c>
      <c r="C262" t="n">
        <v>2022</v>
      </c>
      <c r="D262" t="inlineStr">
        <is>
          <t>Operation</t>
        </is>
      </c>
      <c r="E262" t="inlineStr">
        <is>
          <t>FFB Processed</t>
        </is>
      </c>
      <c r="F262" t="n">
        <v>121298</v>
      </c>
      <c r="G262" t="inlineStr">
        <is>
          <t>t</t>
        </is>
      </c>
      <c r="H262" t="n">
        <v>74</v>
      </c>
      <c r="I262" t="inlineStr">
        <is>
          <t>Tanda Buah Segar (TBS) olah mencapai 121,298 ton</t>
        </is>
      </c>
      <c r="J262" t="inlineStr">
        <is>
          <t>High</t>
        </is>
      </c>
      <c r="M262" t="inlineStr">
        <is>
          <t>LLM</t>
        </is>
      </c>
      <c r="N262" t="inlineStr">
        <is>
          <t>2026-04-18</t>
        </is>
      </c>
      <c r="O262" t="inlineStr">
        <is>
          <t>AI</t>
        </is>
      </c>
    </row>
    <row r="263">
      <c r="A263" t="inlineStr">
        <is>
          <t>PT Andira Agro Tbk</t>
        </is>
      </c>
      <c r="B263" t="inlineStr">
        <is>
          <t>ANDI_2022_AR.pdf</t>
        </is>
      </c>
      <c r="C263" t="n">
        <v>2022</v>
      </c>
      <c r="D263" t="inlineStr">
        <is>
          <t>Operation</t>
        </is>
      </c>
      <c r="E263" t="inlineStr">
        <is>
          <t>CPO Production</t>
        </is>
      </c>
      <c r="F263" t="n">
        <v>21524</v>
      </c>
      <c r="G263" t="inlineStr">
        <is>
          <t>t</t>
        </is>
      </c>
      <c r="H263" t="n">
        <v>74</v>
      </c>
      <c r="I263" t="inlineStr">
        <is>
          <t>Perseroan dapat menghasilkan CPO sebanyak 21,524 ton</t>
        </is>
      </c>
      <c r="J263" t="inlineStr">
        <is>
          <t>High</t>
        </is>
      </c>
      <c r="M263" t="inlineStr">
        <is>
          <t>LLM</t>
        </is>
      </c>
      <c r="N263" t="inlineStr">
        <is>
          <t>2026-04-18</t>
        </is>
      </c>
      <c r="O263" t="inlineStr">
        <is>
          <t>AI</t>
        </is>
      </c>
    </row>
    <row r="264">
      <c r="A264" t="inlineStr">
        <is>
          <t>PT Andira Agro Tbk</t>
        </is>
      </c>
      <c r="B264" t="inlineStr">
        <is>
          <t>ANDI_2022_AR.pdf</t>
        </is>
      </c>
      <c r="C264" t="n">
        <v>2022</v>
      </c>
      <c r="D264" t="inlineStr">
        <is>
          <t>Operation</t>
        </is>
      </c>
      <c r="E264" t="inlineStr">
        <is>
          <t>PK/Kernel Production</t>
        </is>
      </c>
      <c r="F264" t="n">
        <v>5759</v>
      </c>
      <c r="G264" t="inlineStr">
        <is>
          <t>t</t>
        </is>
      </c>
      <c r="H264" t="n">
        <v>74</v>
      </c>
      <c r="I264" t="inlineStr">
        <is>
          <t>Perseroan memproduksi sebanyak 5,759 ton Palm Kernel (PK)</t>
        </is>
      </c>
      <c r="J264" t="inlineStr">
        <is>
          <t>High</t>
        </is>
      </c>
      <c r="M264" t="inlineStr">
        <is>
          <t>LLM</t>
        </is>
      </c>
      <c r="N264" t="inlineStr">
        <is>
          <t>2026-04-18</t>
        </is>
      </c>
      <c r="O264" t="inlineStr">
        <is>
          <t>AI</t>
        </is>
      </c>
    </row>
    <row r="265">
      <c r="A265" t="inlineStr">
        <is>
          <t>PT Andira Agro Tbk</t>
        </is>
      </c>
      <c r="B265" t="inlineStr">
        <is>
          <t>ANDI_2022_AR.pdf</t>
        </is>
      </c>
      <c r="C265" t="n">
        <v>2022</v>
      </c>
      <c r="D265" t="inlineStr">
        <is>
          <t>Operation</t>
        </is>
      </c>
      <c r="E265" t="inlineStr">
        <is>
          <t>Calculated OER</t>
        </is>
      </c>
      <c r="F265" t="n">
        <v>0.1775</v>
      </c>
      <c r="G265" t="inlineStr">
        <is>
          <t>%</t>
        </is>
      </c>
      <c r="H265" t="n">
        <v>74</v>
      </c>
      <c r="I265" t="inlineStr">
        <is>
          <t>CPO 21,524 / FFB processed 121,298 = 17.75% (not explicitly reported)</t>
        </is>
      </c>
      <c r="J265" t="inlineStr">
        <is>
          <t>Medium</t>
        </is>
      </c>
      <c r="M265" t="inlineStr">
        <is>
          <t>LLM</t>
        </is>
      </c>
      <c r="N265" t="inlineStr">
        <is>
          <t>2026-04-18</t>
        </is>
      </c>
      <c r="O265" t="inlineStr">
        <is>
          <t>AI</t>
        </is>
      </c>
    </row>
    <row r="266">
      <c r="A266" t="inlineStr">
        <is>
          <t>PT Andira Agro Tbk</t>
        </is>
      </c>
      <c r="B266" t="inlineStr">
        <is>
          <t>ANDI_2022_AR.pdf</t>
        </is>
      </c>
      <c r="C266" t="n">
        <v>2022</v>
      </c>
      <c r="D266" t="inlineStr">
        <is>
          <t>Operation</t>
        </is>
      </c>
      <c r="E266" t="inlineStr">
        <is>
          <t>CPO Production 2021 (prior year)</t>
        </is>
      </c>
      <c r="F266" t="n">
        <v>27000</v>
      </c>
      <c r="G266" t="inlineStr">
        <is>
          <t>t</t>
        </is>
      </c>
      <c r="H266" t="n">
        <v>74</v>
      </c>
      <c r="I266" t="inlineStr">
        <is>
          <t>pada 2021 menghasilkan 27,000 ton</t>
        </is>
      </c>
      <c r="J266" t="inlineStr">
        <is>
          <t>High</t>
        </is>
      </c>
      <c r="M266" t="inlineStr">
        <is>
          <t>LLM</t>
        </is>
      </c>
      <c r="N266" t="inlineStr">
        <is>
          <t>2026-04-18</t>
        </is>
      </c>
      <c r="O266" t="inlineStr">
        <is>
          <t>AI</t>
        </is>
      </c>
    </row>
    <row r="267">
      <c r="A267" t="inlineStr">
        <is>
          <t>PT Andira Agro Tbk</t>
        </is>
      </c>
      <c r="B267" t="inlineStr">
        <is>
          <t>ANDI_2022_AR.pdf</t>
        </is>
      </c>
      <c r="C267" t="n">
        <v>2022</v>
      </c>
      <c r="D267" t="inlineStr">
        <is>
          <t>Operation</t>
        </is>
      </c>
      <c r="E267" t="inlineStr">
        <is>
          <t>FFB Processed 2021 (prior year)</t>
        </is>
      </c>
      <c r="F267" t="n">
        <v>146124</v>
      </c>
      <c r="G267" t="inlineStr">
        <is>
          <t>t</t>
        </is>
      </c>
      <c r="H267" t="n">
        <v>74</v>
      </c>
      <c r="I267" t="inlineStr">
        <is>
          <t>TBS olah pada tahun 2021 sebesar 146,124 ton</t>
        </is>
      </c>
      <c r="J267" t="inlineStr">
        <is>
          <t>High</t>
        </is>
      </c>
      <c r="M267" t="inlineStr">
        <is>
          <t>LLM</t>
        </is>
      </c>
      <c r="N267" t="inlineStr">
        <is>
          <t>2026-04-18</t>
        </is>
      </c>
      <c r="O267" t="inlineStr">
        <is>
          <t>AI</t>
        </is>
      </c>
    </row>
    <row r="268">
      <c r="A268" t="inlineStr">
        <is>
          <t>PT Andira Agro Tbk</t>
        </is>
      </c>
      <c r="B268" t="inlineStr">
        <is>
          <t>ANDI_2022_AR.pdf</t>
        </is>
      </c>
      <c r="C268" t="n">
        <v>2022</v>
      </c>
      <c r="D268" t="inlineStr">
        <is>
          <t>ESG</t>
        </is>
      </c>
      <c r="E268" t="inlineStr">
        <is>
          <t>ISPO Certification</t>
        </is>
      </c>
      <c r="F268" t="inlineStr">
        <is>
          <t>Certified (MISB)</t>
        </is>
      </c>
      <c r="G268" t="inlineStr">
        <is>
          <t>text</t>
        </is>
      </c>
      <c r="H268" t="n">
        <v>17</v>
      </c>
      <c r="I268" t="inlineStr">
        <is>
          <t>ISPO (Indonesia Sustainable Palm Oil) certification by PT Mutu Indonesia Strategis Berkelanjutan</t>
        </is>
      </c>
      <c r="J268" t="inlineStr">
        <is>
          <t>High</t>
        </is>
      </c>
      <c r="M268" t="inlineStr">
        <is>
          <t>LLM</t>
        </is>
      </c>
      <c r="N268" t="inlineStr">
        <is>
          <t>2026-04-18</t>
        </is>
      </c>
      <c r="O268" t="inlineStr">
        <is>
          <t>AI</t>
        </is>
      </c>
    </row>
    <row r="269">
      <c r="A269" t="inlineStr">
        <is>
          <t>PT Andira Agro Tbk</t>
        </is>
      </c>
      <c r="B269" t="inlineStr">
        <is>
          <t>ANDI_2022_AR.pdf</t>
        </is>
      </c>
      <c r="C269" t="n">
        <v>2022</v>
      </c>
      <c r="D269" t="inlineStr">
        <is>
          <t>ESG</t>
        </is>
      </c>
      <c r="E269" t="inlineStr">
        <is>
          <t>GAPKI Membership</t>
        </is>
      </c>
      <c r="F269" t="inlineStr">
        <is>
          <t>Member</t>
        </is>
      </c>
      <c r="G269" t="inlineStr">
        <is>
          <t>text</t>
        </is>
      </c>
      <c r="H269" t="n">
        <v>17</v>
      </c>
      <c r="I269" t="inlineStr">
        <is>
          <t>Gabungan Pengusaha Kelapa Sawit Indonesia (GAPKI) - sebagai anggota</t>
        </is>
      </c>
      <c r="J269" t="inlineStr">
        <is>
          <t>High</t>
        </is>
      </c>
      <c r="M269" t="inlineStr">
        <is>
          <t>LLM</t>
        </is>
      </c>
      <c r="N269" t="inlineStr">
        <is>
          <t>2026-04-18</t>
        </is>
      </c>
      <c r="O269" t="inlineStr">
        <is>
          <t>AI</t>
        </is>
      </c>
    </row>
    <row r="270">
      <c r="A270" t="inlineStr">
        <is>
          <t>PT Andira Agro Tbk</t>
        </is>
      </c>
      <c r="B270" t="inlineStr">
        <is>
          <t>ANDI_2022_AR.pdf</t>
        </is>
      </c>
      <c r="C270" t="n">
        <v>2022</v>
      </c>
      <c r="D270" t="inlineStr">
        <is>
          <t>Company</t>
        </is>
      </c>
      <c r="E270" t="inlineStr">
        <is>
          <t>Total Headcount</t>
        </is>
      </c>
      <c r="F270" t="n">
        <v>121</v>
      </c>
      <c r="G270" t="inlineStr">
        <is>
          <t>count</t>
        </is>
      </c>
      <c r="H270" t="n">
        <v>38</v>
      </c>
      <c r="I270" t="inlineStr">
        <is>
          <t>Jumlah Karyawan 121 orang/people 163 163</t>
        </is>
      </c>
      <c r="J270" t="inlineStr">
        <is>
          <t>High</t>
        </is>
      </c>
      <c r="M270" t="inlineStr">
        <is>
          <t>LLM</t>
        </is>
      </c>
      <c r="N270" t="inlineStr">
        <is>
          <t>2026-04-18</t>
        </is>
      </c>
      <c r="O270" t="inlineStr">
        <is>
          <t>AI</t>
        </is>
      </c>
    </row>
    <row r="271">
      <c r="A271" t="inlineStr">
        <is>
          <t>PT Andira Agro Tbk</t>
        </is>
      </c>
      <c r="B271" t="inlineStr">
        <is>
          <t>ANDI_2023_AR.pdf</t>
        </is>
      </c>
      <c r="C271" t="n">
        <v>2023</v>
      </c>
      <c r="D271" t="inlineStr">
        <is>
          <t>Company</t>
        </is>
      </c>
      <c r="E271" t="inlineStr">
        <is>
          <t>Company Name</t>
        </is>
      </c>
      <c r="F271" t="inlineStr">
        <is>
          <t>PT Andira Agro Tbk</t>
        </is>
      </c>
      <c r="G271" t="inlineStr">
        <is>
          <t>text</t>
        </is>
      </c>
      <c r="H271" t="n">
        <v>1</v>
      </c>
      <c r="I271" t="inlineStr">
        <is>
          <t>PT Andira Agro Tbk</t>
        </is>
      </c>
      <c r="J271" t="inlineStr">
        <is>
          <t>High</t>
        </is>
      </c>
      <c r="M271" t="inlineStr">
        <is>
          <t>LLM</t>
        </is>
      </c>
      <c r="N271" t="inlineStr">
        <is>
          <t>2026-04-18</t>
        </is>
      </c>
      <c r="O271" t="inlineStr">
        <is>
          <t>AI</t>
        </is>
      </c>
    </row>
    <row r="272">
      <c r="A272" t="inlineStr">
        <is>
          <t>PT Andira Agro Tbk</t>
        </is>
      </c>
      <c r="B272" t="inlineStr">
        <is>
          <t>ANDI_2023_AR.pdf</t>
        </is>
      </c>
      <c r="C272" t="n">
        <v>2023</v>
      </c>
      <c r="D272" t="inlineStr">
        <is>
          <t>Company</t>
        </is>
      </c>
      <c r="E272" t="inlineStr">
        <is>
          <t>Ticker</t>
        </is>
      </c>
      <c r="F272" t="inlineStr">
        <is>
          <t>ANDI</t>
        </is>
      </c>
      <c r="G272" t="inlineStr">
        <is>
          <t>text</t>
        </is>
      </c>
      <c r="H272" t="n">
        <v>11</v>
      </c>
      <c r="I272" t="inlineStr">
        <is>
          <t>IDX code ANDI</t>
        </is>
      </c>
      <c r="J272" t="inlineStr">
        <is>
          <t>High</t>
        </is>
      </c>
      <c r="M272" t="inlineStr">
        <is>
          <t>LLM</t>
        </is>
      </c>
      <c r="N272" t="inlineStr">
        <is>
          <t>2026-04-18</t>
        </is>
      </c>
      <c r="O272" t="inlineStr">
        <is>
          <t>AI</t>
        </is>
      </c>
    </row>
    <row r="273">
      <c r="A273" t="inlineStr">
        <is>
          <t>PT Andira Agro Tbk</t>
        </is>
      </c>
      <c r="B273" t="inlineStr">
        <is>
          <t>ANDI_2023_AR.pdf</t>
        </is>
      </c>
      <c r="C273" t="n">
        <v>2023</v>
      </c>
      <c r="D273" t="inlineStr">
        <is>
          <t>Financial</t>
        </is>
      </c>
      <c r="E273" t="inlineStr">
        <is>
          <t>Net Sales</t>
        </is>
      </c>
      <c r="F273" t="n">
        <v>219.94</v>
      </c>
      <c r="G273" t="inlineStr">
        <is>
          <t>IDR bn</t>
        </is>
      </c>
      <c r="H273" t="n">
        <v>11</v>
      </c>
      <c r="I273" t="inlineStr">
        <is>
          <t>PENJUALAN BERSIH 219,942,382,085 317,855,645,702</t>
        </is>
      </c>
      <c r="J273" t="inlineStr">
        <is>
          <t>High</t>
        </is>
      </c>
      <c r="M273" t="inlineStr">
        <is>
          <t>LLM</t>
        </is>
      </c>
      <c r="N273" t="inlineStr">
        <is>
          <t>2026-04-18</t>
        </is>
      </c>
      <c r="O273" t="inlineStr">
        <is>
          <t>AI</t>
        </is>
      </c>
    </row>
    <row r="274">
      <c r="A274" t="inlineStr">
        <is>
          <t>PT Andira Agro Tbk</t>
        </is>
      </c>
      <c r="B274" t="inlineStr">
        <is>
          <t>ANDI_2023_AR.pdf</t>
        </is>
      </c>
      <c r="C274" t="n">
        <v>2023</v>
      </c>
      <c r="D274" t="inlineStr">
        <is>
          <t>Financial</t>
        </is>
      </c>
      <c r="E274" t="inlineStr">
        <is>
          <t>CPO Sales</t>
        </is>
      </c>
      <c r="F274" t="n">
        <v>195.16</v>
      </c>
      <c r="G274" t="inlineStr">
        <is>
          <t>IDR bn</t>
        </is>
      </c>
      <c r="H274" t="n">
        <v>79</v>
      </c>
      <c r="I274" t="inlineStr">
        <is>
          <t>Minyak mentah kelapa sawit 195,160,663,545 269,464,126,132</t>
        </is>
      </c>
      <c r="J274" t="inlineStr">
        <is>
          <t>High</t>
        </is>
      </c>
      <c r="M274" t="inlineStr">
        <is>
          <t>LLM</t>
        </is>
      </c>
      <c r="N274" t="inlineStr">
        <is>
          <t>2026-04-18</t>
        </is>
      </c>
      <c r="O274" t="inlineStr">
        <is>
          <t>AI</t>
        </is>
      </c>
    </row>
    <row r="275">
      <c r="A275" t="inlineStr">
        <is>
          <t>PT Andira Agro Tbk</t>
        </is>
      </c>
      <c r="B275" t="inlineStr">
        <is>
          <t>ANDI_2023_AR.pdf</t>
        </is>
      </c>
      <c r="C275" t="n">
        <v>2023</v>
      </c>
      <c r="D275" t="inlineStr">
        <is>
          <t>Financial</t>
        </is>
      </c>
      <c r="E275" t="inlineStr">
        <is>
          <t>Kernel Sales</t>
        </is>
      </c>
      <c r="F275" t="n">
        <v>24.78</v>
      </c>
      <c r="G275" t="inlineStr">
        <is>
          <t>IDR bn</t>
        </is>
      </c>
      <c r="H275" t="n">
        <v>79</v>
      </c>
      <c r="I275" t="inlineStr">
        <is>
          <t>Inti sawit 24,781,718,540 48,391,519,570</t>
        </is>
      </c>
      <c r="J275" t="inlineStr">
        <is>
          <t>High</t>
        </is>
      </c>
      <c r="M275" t="inlineStr">
        <is>
          <t>LLM</t>
        </is>
      </c>
      <c r="N275" t="inlineStr">
        <is>
          <t>2026-04-18</t>
        </is>
      </c>
      <c r="O275" t="inlineStr">
        <is>
          <t>AI</t>
        </is>
      </c>
    </row>
    <row r="276">
      <c r="A276" t="inlineStr">
        <is>
          <t>PT Andira Agro Tbk</t>
        </is>
      </c>
      <c r="B276" t="inlineStr">
        <is>
          <t>ANDI_2023_AR.pdf</t>
        </is>
      </c>
      <c r="C276" t="n">
        <v>2023</v>
      </c>
      <c r="D276" t="inlineStr">
        <is>
          <t>Financial</t>
        </is>
      </c>
      <c r="E276" t="inlineStr">
        <is>
          <t>Gross Profit</t>
        </is>
      </c>
      <c r="F276" t="n">
        <v>0.22</v>
      </c>
      <c r="G276" t="inlineStr">
        <is>
          <t>IDR bn</t>
        </is>
      </c>
      <c r="H276" t="n">
        <v>11</v>
      </c>
      <c r="I276" t="inlineStr">
        <is>
          <t>LABA BRUTO 223,757,049 22,778,631,994</t>
        </is>
      </c>
      <c r="J276" t="inlineStr">
        <is>
          <t>High</t>
        </is>
      </c>
      <c r="M276" t="inlineStr">
        <is>
          <t>LLM</t>
        </is>
      </c>
      <c r="N276" t="inlineStr">
        <is>
          <t>2026-04-18</t>
        </is>
      </c>
      <c r="O276" t="inlineStr">
        <is>
          <t>AI</t>
        </is>
      </c>
    </row>
    <row r="277">
      <c r="A277" t="inlineStr">
        <is>
          <t>PT Andira Agro Tbk</t>
        </is>
      </c>
      <c r="B277" t="inlineStr">
        <is>
          <t>ANDI_2023_AR.pdf</t>
        </is>
      </c>
      <c r="C277" t="n">
        <v>2023</v>
      </c>
      <c r="D277" t="inlineStr">
        <is>
          <t>Financial</t>
        </is>
      </c>
      <c r="E277" t="inlineStr">
        <is>
          <t>Operating Loss</t>
        </is>
      </c>
      <c r="F277" t="n">
        <v>-63.1</v>
      </c>
      <c r="G277" t="inlineStr">
        <is>
          <t>IDR bn</t>
        </is>
      </c>
      <c r="H277" t="n">
        <v>11</v>
      </c>
      <c r="I277" t="inlineStr">
        <is>
          <t>LABA (RUGI) USAHA (63,098,260,750) (10,540,607,940)</t>
        </is>
      </c>
      <c r="J277" t="inlineStr">
        <is>
          <t>High</t>
        </is>
      </c>
      <c r="M277" t="inlineStr">
        <is>
          <t>LLM</t>
        </is>
      </c>
      <c r="N277" t="inlineStr">
        <is>
          <t>2026-04-18</t>
        </is>
      </c>
      <c r="O277" t="inlineStr">
        <is>
          <t>AI</t>
        </is>
      </c>
    </row>
    <row r="278">
      <c r="A278" t="inlineStr">
        <is>
          <t>PT Andira Agro Tbk</t>
        </is>
      </c>
      <c r="B278" t="inlineStr">
        <is>
          <t>ANDI_2023_AR.pdf</t>
        </is>
      </c>
      <c r="C278" t="n">
        <v>2023</v>
      </c>
      <c r="D278" t="inlineStr">
        <is>
          <t>Financial</t>
        </is>
      </c>
      <c r="E278" t="inlineStr">
        <is>
          <t>Net Loss</t>
        </is>
      </c>
      <c r="F278" t="n">
        <v>-55.96</v>
      </c>
      <c r="G278" t="inlineStr">
        <is>
          <t>IDR bn</t>
        </is>
      </c>
      <c r="H278" t="n">
        <v>11</v>
      </c>
      <c r="I278" t="inlineStr">
        <is>
          <t>RUGI TAHUN BERJALAN (55,959,237,094) (10,787,670,426)</t>
        </is>
      </c>
      <c r="J278" t="inlineStr">
        <is>
          <t>High</t>
        </is>
      </c>
      <c r="M278" t="inlineStr">
        <is>
          <t>LLM</t>
        </is>
      </c>
      <c r="N278" t="inlineStr">
        <is>
          <t>2026-04-18</t>
        </is>
      </c>
      <c r="O278" t="inlineStr">
        <is>
          <t>AI</t>
        </is>
      </c>
    </row>
    <row r="279">
      <c r="A279" t="inlineStr">
        <is>
          <t>PT Andira Agro Tbk</t>
        </is>
      </c>
      <c r="B279" t="inlineStr">
        <is>
          <t>ANDI_2023_AR.pdf</t>
        </is>
      </c>
      <c r="C279" t="n">
        <v>2023</v>
      </c>
      <c r="D279" t="inlineStr">
        <is>
          <t>Financial</t>
        </is>
      </c>
      <c r="E279" t="inlineStr">
        <is>
          <t>Comprehensive Loss</t>
        </is>
      </c>
      <c r="F279" t="n">
        <v>-55.95</v>
      </c>
      <c r="G279" t="inlineStr">
        <is>
          <t>IDR bn</t>
        </is>
      </c>
      <c r="H279" t="n">
        <v>11</v>
      </c>
      <c r="I279" t="inlineStr">
        <is>
          <t>JUMLAH RUGI KOMPREHENSIF (55,954,565,186)</t>
        </is>
      </c>
      <c r="J279" t="inlineStr">
        <is>
          <t>High</t>
        </is>
      </c>
      <c r="M279" t="inlineStr">
        <is>
          <t>LLM</t>
        </is>
      </c>
      <c r="N279" t="inlineStr">
        <is>
          <t>2026-04-18</t>
        </is>
      </c>
      <c r="O279" t="inlineStr">
        <is>
          <t>AI</t>
        </is>
      </c>
    </row>
    <row r="280">
      <c r="A280" t="inlineStr">
        <is>
          <t>PT Andira Agro Tbk</t>
        </is>
      </c>
      <c r="B280" t="inlineStr">
        <is>
          <t>ANDI_2023_AR.pdf</t>
        </is>
      </c>
      <c r="C280" t="n">
        <v>2023</v>
      </c>
      <c r="D280" t="inlineStr">
        <is>
          <t>Financial</t>
        </is>
      </c>
      <c r="E280" t="inlineStr">
        <is>
          <t>Total Assets</t>
        </is>
      </c>
      <c r="F280" t="n">
        <v>378.14</v>
      </c>
      <c r="G280" t="inlineStr">
        <is>
          <t>IDR bn</t>
        </is>
      </c>
      <c r="H280" t="n">
        <v>11</v>
      </c>
      <c r="I280" t="inlineStr">
        <is>
          <t>Total Aset 378,135,050,642 444,210,370,402</t>
        </is>
      </c>
      <c r="J280" t="inlineStr">
        <is>
          <t>High</t>
        </is>
      </c>
      <c r="M280" t="inlineStr">
        <is>
          <t>LLM</t>
        </is>
      </c>
      <c r="N280" t="inlineStr">
        <is>
          <t>2026-04-18</t>
        </is>
      </c>
      <c r="O280" t="inlineStr">
        <is>
          <t>AI</t>
        </is>
      </c>
    </row>
    <row r="281">
      <c r="A281" t="inlineStr">
        <is>
          <t>PT Andira Agro Tbk</t>
        </is>
      </c>
      <c r="B281" t="inlineStr">
        <is>
          <t>ANDI_2023_AR.pdf</t>
        </is>
      </c>
      <c r="C281" t="n">
        <v>2023</v>
      </c>
      <c r="D281" t="inlineStr">
        <is>
          <t>Financial</t>
        </is>
      </c>
      <c r="E281" t="inlineStr">
        <is>
          <t>Current Assets</t>
        </is>
      </c>
      <c r="F281" t="n">
        <v>24.21</v>
      </c>
      <c r="G281" t="inlineStr">
        <is>
          <t>IDR bn</t>
        </is>
      </c>
      <c r="H281" t="n">
        <v>11</v>
      </c>
      <c r="I281" t="inlineStr">
        <is>
          <t>Aset Lancar 24,214,366,203 77,817,661,367</t>
        </is>
      </c>
      <c r="J281" t="inlineStr">
        <is>
          <t>High</t>
        </is>
      </c>
      <c r="M281" t="inlineStr">
        <is>
          <t>LLM</t>
        </is>
      </c>
      <c r="N281" t="inlineStr">
        <is>
          <t>2026-04-18</t>
        </is>
      </c>
      <c r="O281" t="inlineStr">
        <is>
          <t>AI</t>
        </is>
      </c>
    </row>
    <row r="282">
      <c r="A282" t="inlineStr">
        <is>
          <t>PT Andira Agro Tbk</t>
        </is>
      </c>
      <c r="B282" t="inlineStr">
        <is>
          <t>ANDI_2023_AR.pdf</t>
        </is>
      </c>
      <c r="C282" t="n">
        <v>2023</v>
      </c>
      <c r="D282" t="inlineStr">
        <is>
          <t>Financial</t>
        </is>
      </c>
      <c r="E282" t="inlineStr">
        <is>
          <t>Non-Current Assets</t>
        </is>
      </c>
      <c r="F282" t="n">
        <v>353.92</v>
      </c>
      <c r="G282" t="inlineStr">
        <is>
          <t>IDR bn</t>
        </is>
      </c>
      <c r="H282" t="n">
        <v>11</v>
      </c>
      <c r="I282" t="inlineStr">
        <is>
          <t>Aset Tidak Lancar 353,920,684,439</t>
        </is>
      </c>
      <c r="J282" t="inlineStr">
        <is>
          <t>High</t>
        </is>
      </c>
      <c r="M282" t="inlineStr">
        <is>
          <t>LLM</t>
        </is>
      </c>
      <c r="N282" t="inlineStr">
        <is>
          <t>2026-04-18</t>
        </is>
      </c>
      <c r="O282" t="inlineStr">
        <is>
          <t>AI</t>
        </is>
      </c>
    </row>
    <row r="283">
      <c r="A283" t="inlineStr">
        <is>
          <t>PT Andira Agro Tbk</t>
        </is>
      </c>
      <c r="B283" t="inlineStr">
        <is>
          <t>ANDI_2023_AR.pdf</t>
        </is>
      </c>
      <c r="C283" t="n">
        <v>2023</v>
      </c>
      <c r="D283" t="inlineStr">
        <is>
          <t>Financial</t>
        </is>
      </c>
      <c r="E283" t="inlineStr">
        <is>
          <t>Total Liabilities</t>
        </is>
      </c>
      <c r="F283" t="n">
        <v>195.4</v>
      </c>
      <c r="G283" t="inlineStr">
        <is>
          <t>IDR bn</t>
        </is>
      </c>
      <c r="H283" t="n">
        <v>11</v>
      </c>
      <c r="I283" t="inlineStr">
        <is>
          <t>Total Liabilitas 195,395,707,177</t>
        </is>
      </c>
      <c r="J283" t="inlineStr">
        <is>
          <t>High</t>
        </is>
      </c>
      <c r="M283" t="inlineStr">
        <is>
          <t>LLM</t>
        </is>
      </c>
      <c r="N283" t="inlineStr">
        <is>
          <t>2026-04-18</t>
        </is>
      </c>
      <c r="O283" t="inlineStr">
        <is>
          <t>AI</t>
        </is>
      </c>
    </row>
    <row r="284">
      <c r="A284" t="inlineStr">
        <is>
          <t>PT Andira Agro Tbk</t>
        </is>
      </c>
      <c r="B284" t="inlineStr">
        <is>
          <t>ANDI_2023_AR.pdf</t>
        </is>
      </c>
      <c r="C284" t="n">
        <v>2023</v>
      </c>
      <c r="D284" t="inlineStr">
        <is>
          <t>Financial</t>
        </is>
      </c>
      <c r="E284" t="inlineStr">
        <is>
          <t>Current Liabilities</t>
        </is>
      </c>
      <c r="F284" t="n">
        <v>41.92</v>
      </c>
      <c r="G284" t="inlineStr">
        <is>
          <t>IDR bn</t>
        </is>
      </c>
      <c r="H284" t="n">
        <v>11</v>
      </c>
      <c r="I284" t="inlineStr">
        <is>
          <t>Liabilitas Jangka Pendek 41,923,858,695</t>
        </is>
      </c>
      <c r="J284" t="inlineStr">
        <is>
          <t>High</t>
        </is>
      </c>
      <c r="M284" t="inlineStr">
        <is>
          <t>LLM</t>
        </is>
      </c>
      <c r="N284" t="inlineStr">
        <is>
          <t>2026-04-18</t>
        </is>
      </c>
      <c r="O284" t="inlineStr">
        <is>
          <t>AI</t>
        </is>
      </c>
    </row>
    <row r="285">
      <c r="A285" t="inlineStr">
        <is>
          <t>PT Andira Agro Tbk</t>
        </is>
      </c>
      <c r="B285" t="inlineStr">
        <is>
          <t>ANDI_2023_AR.pdf</t>
        </is>
      </c>
      <c r="C285" t="n">
        <v>2023</v>
      </c>
      <c r="D285" t="inlineStr">
        <is>
          <t>Financial</t>
        </is>
      </c>
      <c r="E285" t="inlineStr">
        <is>
          <t>Long-Term Liabilities</t>
        </is>
      </c>
      <c r="F285" t="n">
        <v>153.47</v>
      </c>
      <c r="G285" t="inlineStr">
        <is>
          <t>IDR bn</t>
        </is>
      </c>
      <c r="H285" t="n">
        <v>11</v>
      </c>
      <c r="I285" t="inlineStr">
        <is>
          <t>Liabilitas Jangka Panjang 153,471,848,482</t>
        </is>
      </c>
      <c r="J285" t="inlineStr">
        <is>
          <t>High</t>
        </is>
      </c>
      <c r="M285" t="inlineStr">
        <is>
          <t>LLM</t>
        </is>
      </c>
      <c r="N285" t="inlineStr">
        <is>
          <t>2026-04-18</t>
        </is>
      </c>
      <c r="O285" t="inlineStr">
        <is>
          <t>AI</t>
        </is>
      </c>
    </row>
    <row r="286">
      <c r="A286" t="inlineStr">
        <is>
          <t>PT Andira Agro Tbk</t>
        </is>
      </c>
      <c r="B286" t="inlineStr">
        <is>
          <t>ANDI_2023_AR.pdf</t>
        </is>
      </c>
      <c r="C286" t="n">
        <v>2023</v>
      </c>
      <c r="D286" t="inlineStr">
        <is>
          <t>Financial</t>
        </is>
      </c>
      <c r="E286" t="inlineStr">
        <is>
          <t>Total Equity</t>
        </is>
      </c>
      <c r="F286" t="n">
        <v>182.74</v>
      </c>
      <c r="G286" t="inlineStr">
        <is>
          <t>IDR bn</t>
        </is>
      </c>
      <c r="H286" t="n">
        <v>11</v>
      </c>
      <c r="I286" t="inlineStr">
        <is>
          <t>Ekuitas 182,739,343,465 238,693,908,651</t>
        </is>
      </c>
      <c r="J286" t="inlineStr">
        <is>
          <t>High</t>
        </is>
      </c>
      <c r="M286" t="inlineStr">
        <is>
          <t>LLM</t>
        </is>
      </c>
      <c r="N286" t="inlineStr">
        <is>
          <t>2026-04-18</t>
        </is>
      </c>
      <c r="O286" t="inlineStr">
        <is>
          <t>AI</t>
        </is>
      </c>
    </row>
    <row r="287">
      <c r="A287" t="inlineStr">
        <is>
          <t>PT Andira Agro Tbk</t>
        </is>
      </c>
      <c r="B287" t="inlineStr">
        <is>
          <t>ANDI_2023_AR.pdf</t>
        </is>
      </c>
      <c r="C287" t="n">
        <v>2023</v>
      </c>
      <c r="D287" t="inlineStr">
        <is>
          <t>Financial</t>
        </is>
      </c>
      <c r="E287" t="inlineStr">
        <is>
          <t>Cash &amp; Equivalents</t>
        </is>
      </c>
      <c r="F287" t="n">
        <v>8.359999999999999</v>
      </c>
      <c r="G287" t="inlineStr">
        <is>
          <t>IDR bn</t>
        </is>
      </c>
      <c r="H287" t="n">
        <v>83</v>
      </c>
      <c r="I287" t="inlineStr">
        <is>
          <t>KAS DAN SETARA KAS AKHIR TAHUN 8,364,784,764 15,020,216,418</t>
        </is>
      </c>
      <c r="J287" t="inlineStr">
        <is>
          <t>High</t>
        </is>
      </c>
      <c r="M287" t="inlineStr">
        <is>
          <t>LLM</t>
        </is>
      </c>
      <c r="N287" t="inlineStr">
        <is>
          <t>2026-04-18</t>
        </is>
      </c>
      <c r="O287" t="inlineStr">
        <is>
          <t>AI</t>
        </is>
      </c>
    </row>
    <row r="288">
      <c r="A288" t="inlineStr">
        <is>
          <t>PT Andira Agro Tbk</t>
        </is>
      </c>
      <c r="B288" t="inlineStr">
        <is>
          <t>ANDI_2023_AR.pdf</t>
        </is>
      </c>
      <c r="C288" t="n">
        <v>2023</v>
      </c>
      <c r="D288" t="inlineStr">
        <is>
          <t>Financial</t>
        </is>
      </c>
      <c r="E288" t="inlineStr">
        <is>
          <t>CFO</t>
        </is>
      </c>
      <c r="F288" t="n">
        <v>14.61</v>
      </c>
      <c r="G288" t="inlineStr">
        <is>
          <t>IDR bn</t>
        </is>
      </c>
      <c r="H288" t="n">
        <v>83</v>
      </c>
      <c r="I288" t="inlineStr">
        <is>
          <t>Jumlah Kas Bersih yang Diperoleh dari Aktivitas Operasi 14,607,513,312</t>
        </is>
      </c>
      <c r="J288" t="inlineStr">
        <is>
          <t>High</t>
        </is>
      </c>
      <c r="M288" t="inlineStr">
        <is>
          <t>LLM</t>
        </is>
      </c>
      <c r="N288" t="inlineStr">
        <is>
          <t>2026-04-18</t>
        </is>
      </c>
      <c r="O288" t="inlineStr">
        <is>
          <t>AI</t>
        </is>
      </c>
    </row>
    <row r="289">
      <c r="A289" t="inlineStr">
        <is>
          <t>PT Andira Agro Tbk</t>
        </is>
      </c>
      <c r="B289" t="inlineStr">
        <is>
          <t>ANDI_2023_AR.pdf</t>
        </is>
      </c>
      <c r="C289" t="n">
        <v>2023</v>
      </c>
      <c r="D289" t="inlineStr">
        <is>
          <t>Financial</t>
        </is>
      </c>
      <c r="E289" t="inlineStr">
        <is>
          <t>CFI (Capex proxy)</t>
        </is>
      </c>
      <c r="F289" t="n">
        <v>-12.62</v>
      </c>
      <c r="G289" t="inlineStr">
        <is>
          <t>IDR bn</t>
        </is>
      </c>
      <c r="H289" t="n">
        <v>83</v>
      </c>
      <c r="I289" t="inlineStr">
        <is>
          <t>Jumlah Kas Bersih Digunakan untuk Aktivitas Investasi (12,616,405,972)</t>
        </is>
      </c>
      <c r="J289" t="inlineStr">
        <is>
          <t>High</t>
        </is>
      </c>
      <c r="M289" t="inlineStr">
        <is>
          <t>LLM</t>
        </is>
      </c>
      <c r="N289" t="inlineStr">
        <is>
          <t>2026-04-18</t>
        </is>
      </c>
      <c r="O289" t="inlineStr">
        <is>
          <t>AI</t>
        </is>
      </c>
    </row>
    <row r="290">
      <c r="A290" t="inlineStr">
        <is>
          <t>PT Andira Agro Tbk</t>
        </is>
      </c>
      <c r="B290" t="inlineStr">
        <is>
          <t>ANDI_2023_AR.pdf</t>
        </is>
      </c>
      <c r="C290" t="n">
        <v>2023</v>
      </c>
      <c r="D290" t="inlineStr">
        <is>
          <t>Financial</t>
        </is>
      </c>
      <c r="E290" t="inlineStr">
        <is>
          <t>CFF</t>
        </is>
      </c>
      <c r="F290" t="n">
        <v>-8.65</v>
      </c>
      <c r="G290" t="inlineStr">
        <is>
          <t>IDR bn</t>
        </is>
      </c>
      <c r="H290" t="n">
        <v>83</v>
      </c>
      <c r="I290" t="inlineStr">
        <is>
          <t>kas bersih yang digunakan untuk aktivitas pendanaan (8,646,538,994)</t>
        </is>
      </c>
      <c r="J290" t="inlineStr">
        <is>
          <t>High</t>
        </is>
      </c>
      <c r="M290" t="inlineStr">
        <is>
          <t>LLM</t>
        </is>
      </c>
      <c r="N290" t="inlineStr">
        <is>
          <t>2026-04-18</t>
        </is>
      </c>
      <c r="O290" t="inlineStr">
        <is>
          <t>AI</t>
        </is>
      </c>
    </row>
    <row r="291">
      <c r="A291" t="inlineStr">
        <is>
          <t>PT Andira Agro Tbk</t>
        </is>
      </c>
      <c r="B291" t="inlineStr">
        <is>
          <t>ANDI_2023_AR.pdf</t>
        </is>
      </c>
      <c r="C291" t="n">
        <v>2023</v>
      </c>
      <c r="D291" t="inlineStr">
        <is>
          <t>Financial</t>
        </is>
      </c>
      <c r="E291" t="inlineStr">
        <is>
          <t>EPS (basic)</t>
        </is>
      </c>
      <c r="F291" t="n">
        <v>-5.98</v>
      </c>
      <c r="G291" t="inlineStr">
        <is>
          <t>Rp/share</t>
        </is>
      </c>
      <c r="H291" t="n">
        <v>11</v>
      </c>
      <c r="I291" t="inlineStr">
        <is>
          <t>RUGI DASAR PER SAHAM - DASAR (5.98)</t>
        </is>
      </c>
      <c r="J291" t="inlineStr">
        <is>
          <t>High</t>
        </is>
      </c>
      <c r="M291" t="inlineStr">
        <is>
          <t>LLM</t>
        </is>
      </c>
      <c r="N291" t="inlineStr">
        <is>
          <t>2026-04-18</t>
        </is>
      </c>
      <c r="O291" t="inlineStr">
        <is>
          <t>AI</t>
        </is>
      </c>
    </row>
    <row r="292">
      <c r="A292" t="inlineStr">
        <is>
          <t>PT Andira Agro Tbk</t>
        </is>
      </c>
      <c r="B292" t="inlineStr">
        <is>
          <t>ANDI_2023_AR.pdf</t>
        </is>
      </c>
      <c r="C292" t="n">
        <v>2023</v>
      </c>
      <c r="D292" t="inlineStr">
        <is>
          <t>Financial</t>
        </is>
      </c>
      <c r="E292" t="inlineStr">
        <is>
          <t>Shares Outstanding</t>
        </is>
      </c>
      <c r="F292" t="n">
        <v>9350</v>
      </c>
      <c r="G292" t="inlineStr">
        <is>
          <t>mn</t>
        </is>
      </c>
      <c r="H292" t="n">
        <v>14</v>
      </c>
      <c r="I292" t="inlineStr">
        <is>
          <t>Jumlah Saham Beredar 9,350,000,000</t>
        </is>
      </c>
      <c r="J292" t="inlineStr">
        <is>
          <t>High</t>
        </is>
      </c>
      <c r="M292" t="inlineStr">
        <is>
          <t>LLM</t>
        </is>
      </c>
      <c r="N292" t="inlineStr">
        <is>
          <t>2026-04-18</t>
        </is>
      </c>
      <c r="O292" t="inlineStr">
        <is>
          <t>AI</t>
        </is>
      </c>
    </row>
    <row r="293">
      <c r="A293" t="inlineStr">
        <is>
          <t>PT Andira Agro Tbk</t>
        </is>
      </c>
      <c r="B293" t="inlineStr">
        <is>
          <t>ANDI_2023_AR.pdf</t>
        </is>
      </c>
      <c r="C293" t="n">
        <v>2023</v>
      </c>
      <c r="D293" t="inlineStr">
        <is>
          <t>Financial</t>
        </is>
      </c>
      <c r="E293" t="inlineStr">
        <is>
          <t>Closing Price (31 Dec 2023)</t>
        </is>
      </c>
      <c r="F293" t="n">
        <v>50</v>
      </c>
      <c r="G293" t="inlineStr">
        <is>
          <t>Rp/share</t>
        </is>
      </c>
      <c r="H293" t="n">
        <v>14</v>
      </c>
      <c r="I293" t="inlineStr">
        <is>
          <t>Kuartal IV - 2023 50 50 50</t>
        </is>
      </c>
      <c r="J293" t="inlineStr">
        <is>
          <t>High</t>
        </is>
      </c>
      <c r="M293" t="inlineStr">
        <is>
          <t>LLM</t>
        </is>
      </c>
      <c r="N293" t="inlineStr">
        <is>
          <t>2026-04-18</t>
        </is>
      </c>
      <c r="O293" t="inlineStr">
        <is>
          <t>AI</t>
        </is>
      </c>
    </row>
    <row r="294">
      <c r="A294" t="inlineStr">
        <is>
          <t>PT Andira Agro Tbk</t>
        </is>
      </c>
      <c r="B294" t="inlineStr">
        <is>
          <t>ANDI_2023_AR.pdf</t>
        </is>
      </c>
      <c r="C294" t="n">
        <v>2023</v>
      </c>
      <c r="D294" t="inlineStr">
        <is>
          <t>Financial</t>
        </is>
      </c>
      <c r="E294" t="inlineStr">
        <is>
          <t>Market Cap</t>
        </is>
      </c>
      <c r="F294" t="n">
        <v>467.5</v>
      </c>
      <c r="G294" t="inlineStr">
        <is>
          <t>IDR bn</t>
        </is>
      </c>
      <c r="H294" t="n">
        <v>14</v>
      </c>
      <c r="I294" t="inlineStr">
        <is>
          <t>Kapitalisasi Pasar 467,500,000,000</t>
        </is>
      </c>
      <c r="J294" t="inlineStr">
        <is>
          <t>High</t>
        </is>
      </c>
      <c r="M294" t="inlineStr">
        <is>
          <t>LLM</t>
        </is>
      </c>
      <c r="N294" t="inlineStr">
        <is>
          <t>2026-04-18</t>
        </is>
      </c>
      <c r="O294" t="inlineStr">
        <is>
          <t>AI</t>
        </is>
      </c>
    </row>
    <row r="295">
      <c r="A295" t="inlineStr">
        <is>
          <t>PT Andira Agro Tbk</t>
        </is>
      </c>
      <c r="B295" t="inlineStr">
        <is>
          <t>ANDI_2023_AR.pdf</t>
        </is>
      </c>
      <c r="C295" t="n">
        <v>2023</v>
      </c>
      <c r="D295" t="inlineStr">
        <is>
          <t>Financial</t>
        </is>
      </c>
      <c r="E295" t="inlineStr">
        <is>
          <t>Current Ratio</t>
        </is>
      </c>
      <c r="F295" t="n">
        <v>0.578</v>
      </c>
      <c r="G295" t="inlineStr">
        <is>
          <t>x</t>
        </is>
      </c>
      <c r="H295" t="n">
        <v>12</v>
      </c>
      <c r="I295" t="inlineStr">
        <is>
          <t>Rasio Lancar 0.577 1.516</t>
        </is>
      </c>
      <c r="J295" t="inlineStr">
        <is>
          <t>High</t>
        </is>
      </c>
      <c r="M295" t="inlineStr">
        <is>
          <t>LLM</t>
        </is>
      </c>
      <c r="N295" t="inlineStr">
        <is>
          <t>2026-04-18</t>
        </is>
      </c>
      <c r="O295" t="inlineStr">
        <is>
          <t>AI</t>
        </is>
      </c>
    </row>
    <row r="296">
      <c r="A296" t="inlineStr">
        <is>
          <t>PT Andira Agro Tbk</t>
        </is>
      </c>
      <c r="B296" t="inlineStr">
        <is>
          <t>ANDI_2023_AR.pdf</t>
        </is>
      </c>
      <c r="C296" t="n">
        <v>2023</v>
      </c>
      <c r="D296" t="inlineStr">
        <is>
          <t>Financial</t>
        </is>
      </c>
      <c r="E296" t="inlineStr">
        <is>
          <t>Debt to Equity Ratio</t>
        </is>
      </c>
      <c r="F296" t="n">
        <v>1.069</v>
      </c>
      <c r="G296" t="inlineStr">
        <is>
          <t>x</t>
        </is>
      </c>
      <c r="H296" t="n">
        <v>12</v>
      </c>
      <c r="I296" t="inlineStr">
        <is>
          <t>Rasio Utang/Ekuitas 1.069 0.861</t>
        </is>
      </c>
      <c r="J296" t="inlineStr">
        <is>
          <t>High</t>
        </is>
      </c>
      <c r="M296" t="inlineStr">
        <is>
          <t>LLM</t>
        </is>
      </c>
      <c r="N296" t="inlineStr">
        <is>
          <t>2026-04-18</t>
        </is>
      </c>
      <c r="O296" t="inlineStr">
        <is>
          <t>AI</t>
        </is>
      </c>
    </row>
    <row r="297">
      <c r="A297" t="inlineStr">
        <is>
          <t>PT Andira Agro Tbk</t>
        </is>
      </c>
      <c r="B297" t="inlineStr">
        <is>
          <t>ANDI_2023_AR.pdf</t>
        </is>
      </c>
      <c r="C297" t="n">
        <v>2023</v>
      </c>
      <c r="D297" t="inlineStr">
        <is>
          <t>Financial</t>
        </is>
      </c>
      <c r="E297" t="inlineStr">
        <is>
          <t>Debt to Capital Ratio (adj net debt)</t>
        </is>
      </c>
      <c r="F297" t="n">
        <v>1.02</v>
      </c>
      <c r="G297" t="inlineStr">
        <is>
          <t>x</t>
        </is>
      </c>
      <c r="H297" t="n">
        <v>85</v>
      </c>
      <c r="I297" t="inlineStr">
        <is>
          <t>Rasio Utang terhadap Modal 1.02 0.80</t>
        </is>
      </c>
      <c r="J297" t="inlineStr">
        <is>
          <t>High</t>
        </is>
      </c>
      <c r="M297" t="inlineStr">
        <is>
          <t>LLM</t>
        </is>
      </c>
      <c r="N297" t="inlineStr">
        <is>
          <t>2026-04-18</t>
        </is>
      </c>
      <c r="O297" t="inlineStr">
        <is>
          <t>AI</t>
        </is>
      </c>
    </row>
    <row r="298">
      <c r="A298" t="inlineStr">
        <is>
          <t>PT Andira Agro Tbk</t>
        </is>
      </c>
      <c r="B298" t="inlineStr">
        <is>
          <t>ANDI_2023_AR.pdf</t>
        </is>
      </c>
      <c r="C298" t="n">
        <v>2023</v>
      </c>
      <c r="D298" t="inlineStr">
        <is>
          <t>Financial</t>
        </is>
      </c>
      <c r="E298" t="inlineStr">
        <is>
          <t>ROA</t>
        </is>
      </c>
      <c r="F298" t="n">
        <v>-0.148</v>
      </c>
      <c r="G298" t="inlineStr">
        <is>
          <t>%</t>
        </is>
      </c>
      <c r="H298" t="n">
        <v>12</v>
      </c>
      <c r="I298" t="inlineStr">
        <is>
          <t>Rasio Laba (Rugi) Bersih/Aset (14.80%)</t>
        </is>
      </c>
      <c r="J298" t="inlineStr">
        <is>
          <t>High</t>
        </is>
      </c>
      <c r="M298" t="inlineStr">
        <is>
          <t>LLM</t>
        </is>
      </c>
      <c r="N298" t="inlineStr">
        <is>
          <t>2026-04-18</t>
        </is>
      </c>
      <c r="O298" t="inlineStr">
        <is>
          <t>AI</t>
        </is>
      </c>
    </row>
    <row r="299">
      <c r="A299" t="inlineStr">
        <is>
          <t>PT Andira Agro Tbk</t>
        </is>
      </c>
      <c r="B299" t="inlineStr">
        <is>
          <t>ANDI_2023_AR.pdf</t>
        </is>
      </c>
      <c r="C299" t="n">
        <v>2023</v>
      </c>
      <c r="D299" t="inlineStr">
        <is>
          <t>Financial</t>
        </is>
      </c>
      <c r="E299" t="inlineStr">
        <is>
          <t>ROE</t>
        </is>
      </c>
      <c r="F299" t="n">
        <v>-0.306</v>
      </c>
      <c r="G299" t="inlineStr">
        <is>
          <t>%</t>
        </is>
      </c>
      <c r="H299" t="n">
        <v>12</v>
      </c>
      <c r="I299" t="inlineStr">
        <is>
          <t>Rasio Laba (Rugi) Bersih/Ekuitas (30.62%)</t>
        </is>
      </c>
      <c r="J299" t="inlineStr">
        <is>
          <t>High</t>
        </is>
      </c>
      <c r="M299" t="inlineStr">
        <is>
          <t>LLM</t>
        </is>
      </c>
      <c r="N299" t="inlineStr">
        <is>
          <t>2026-04-18</t>
        </is>
      </c>
      <c r="O299" t="inlineStr">
        <is>
          <t>AI</t>
        </is>
      </c>
    </row>
    <row r="300">
      <c r="A300" t="inlineStr">
        <is>
          <t>PT Andira Agro Tbk</t>
        </is>
      </c>
      <c r="B300" t="inlineStr">
        <is>
          <t>ANDI_2023_AR.pdf</t>
        </is>
      </c>
      <c r="C300" t="n">
        <v>2023</v>
      </c>
      <c r="D300" t="inlineStr">
        <is>
          <t>Financial</t>
        </is>
      </c>
      <c r="E300" t="inlineStr">
        <is>
          <t>Collection Period</t>
        </is>
      </c>
      <c r="F300" t="n">
        <v>77</v>
      </c>
      <c r="G300" t="inlineStr">
        <is>
          <t>days</t>
        </is>
      </c>
      <c r="H300" t="n">
        <v>12</v>
      </c>
      <c r="I300" t="inlineStr">
        <is>
          <t>Kolektibilitas Piutang 77 hari</t>
        </is>
      </c>
      <c r="J300" t="inlineStr">
        <is>
          <t>High</t>
        </is>
      </c>
      <c r="M300" t="inlineStr">
        <is>
          <t>LLM</t>
        </is>
      </c>
      <c r="N300" t="inlineStr">
        <is>
          <t>2026-04-18</t>
        </is>
      </c>
      <c r="O300" t="inlineStr">
        <is>
          <t>AI</t>
        </is>
      </c>
    </row>
    <row r="301">
      <c r="A301" t="inlineStr">
        <is>
          <t>PT Andira Agro Tbk</t>
        </is>
      </c>
      <c r="B301" t="inlineStr">
        <is>
          <t>ANDI_2023_AR.pdf</t>
        </is>
      </c>
      <c r="C301" t="n">
        <v>2023</v>
      </c>
      <c r="D301" t="inlineStr">
        <is>
          <t>Asset</t>
        </is>
      </c>
      <c r="E301" t="inlineStr">
        <is>
          <t>Palm Oil Mill Count</t>
        </is>
      </c>
      <c r="F301" t="n">
        <v>1</v>
      </c>
      <c r="G301" t="inlineStr">
        <is>
          <t>count</t>
        </is>
      </c>
      <c r="H301" t="n">
        <v>78</v>
      </c>
      <c r="I301" t="inlineStr">
        <is>
          <t>Pabrik Kelapa Sawit (PKS) Perseroan</t>
        </is>
      </c>
      <c r="J301" t="inlineStr">
        <is>
          <t>High</t>
        </is>
      </c>
      <c r="M301" t="inlineStr">
        <is>
          <t>LLM</t>
        </is>
      </c>
      <c r="N301" t="inlineStr">
        <is>
          <t>2026-04-18</t>
        </is>
      </c>
      <c r="O301" t="inlineStr">
        <is>
          <t>AI</t>
        </is>
      </c>
    </row>
    <row r="302">
      <c r="A302" t="inlineStr">
        <is>
          <t>PT Andira Agro Tbk</t>
        </is>
      </c>
      <c r="B302" t="inlineStr">
        <is>
          <t>ANDI_2023_AR.pdf</t>
        </is>
      </c>
      <c r="C302" t="n">
        <v>2023</v>
      </c>
      <c r="D302" t="inlineStr">
        <is>
          <t>Asset</t>
        </is>
      </c>
      <c r="E302" t="inlineStr">
        <is>
          <t>Mill Capacity</t>
        </is>
      </c>
      <c r="F302" t="n">
        <v>30</v>
      </c>
      <c r="G302" t="inlineStr">
        <is>
          <t>tph</t>
        </is>
      </c>
      <c r="H302" t="n">
        <v>78</v>
      </c>
      <c r="I302" t="inlineStr">
        <is>
          <t>kapasitas pengolahan kelapa sawit sebesar 30 ton per jam</t>
        </is>
      </c>
      <c r="J302" t="inlineStr">
        <is>
          <t>High</t>
        </is>
      </c>
      <c r="M302" t="inlineStr">
        <is>
          <t>LLM</t>
        </is>
      </c>
      <c r="N302" t="inlineStr">
        <is>
          <t>2026-04-18</t>
        </is>
      </c>
      <c r="O302" t="inlineStr">
        <is>
          <t>AI</t>
        </is>
      </c>
    </row>
    <row r="303">
      <c r="A303" t="inlineStr">
        <is>
          <t>PT Andira Agro Tbk</t>
        </is>
      </c>
      <c r="B303" t="inlineStr">
        <is>
          <t>ANDI_2023_AR.pdf</t>
        </is>
      </c>
      <c r="C303" t="n">
        <v>2023</v>
      </c>
      <c r="D303" t="inlineStr">
        <is>
          <t>Asset</t>
        </is>
      </c>
      <c r="E303" t="inlineStr">
        <is>
          <t>HGU Area (Banyuasin)</t>
        </is>
      </c>
      <c r="F303" t="n">
        <v>4453</v>
      </c>
      <c r="G303" t="inlineStr">
        <is>
          <t>ha</t>
        </is>
      </c>
      <c r="H303" t="n">
        <v>78</v>
      </c>
      <c r="I303" t="inlineStr">
        <is>
          <t>Banyuasin, South Sumatra single-site; HGU total from 2022 notes ~4,453 Ha</t>
        </is>
      </c>
      <c r="J303" t="inlineStr">
        <is>
          <t>Medium</t>
        </is>
      </c>
      <c r="M303" t="inlineStr">
        <is>
          <t>LLM</t>
        </is>
      </c>
      <c r="N303" t="inlineStr">
        <is>
          <t>2026-04-18</t>
        </is>
      </c>
      <c r="O303" t="inlineStr">
        <is>
          <t>AI</t>
        </is>
      </c>
    </row>
    <row r="304">
      <c r="A304" t="inlineStr">
        <is>
          <t>PT Andira Agro Tbk</t>
        </is>
      </c>
      <c r="B304" t="inlineStr">
        <is>
          <t>ANDI_2023_AR.pdf</t>
        </is>
      </c>
      <c r="C304" t="n">
        <v>2023</v>
      </c>
      <c r="D304" t="inlineStr">
        <is>
          <t>Operation</t>
        </is>
      </c>
      <c r="E304" t="inlineStr">
        <is>
          <t>FFB Processed</t>
        </is>
      </c>
      <c r="F304" t="n">
        <v>99141</v>
      </c>
      <c r="G304" t="inlineStr">
        <is>
          <t>t</t>
        </is>
      </c>
      <c r="H304" t="n">
        <v>78</v>
      </c>
      <c r="I304" t="inlineStr">
        <is>
          <t>Tandan Buah Segar (TBS) olah mencapai 99,141 ton</t>
        </is>
      </c>
      <c r="J304" t="inlineStr">
        <is>
          <t>High</t>
        </is>
      </c>
      <c r="M304" t="inlineStr">
        <is>
          <t>LLM</t>
        </is>
      </c>
      <c r="N304" t="inlineStr">
        <is>
          <t>2026-04-18</t>
        </is>
      </c>
      <c r="O304" t="inlineStr">
        <is>
          <t>AI</t>
        </is>
      </c>
    </row>
    <row r="305">
      <c r="A305" t="inlineStr">
        <is>
          <t>PT Andira Agro Tbk</t>
        </is>
      </c>
      <c r="B305" t="inlineStr">
        <is>
          <t>ANDI_2023_AR.pdf</t>
        </is>
      </c>
      <c r="C305" t="n">
        <v>2023</v>
      </c>
      <c r="D305" t="inlineStr">
        <is>
          <t>Operation</t>
        </is>
      </c>
      <c r="E305" t="inlineStr">
        <is>
          <t>CPO Production</t>
        </is>
      </c>
      <c r="F305" t="n">
        <v>17178</v>
      </c>
      <c r="G305" t="inlineStr">
        <is>
          <t>t</t>
        </is>
      </c>
      <c r="H305" t="n">
        <v>78</v>
      </c>
      <c r="I305" t="inlineStr">
        <is>
          <t>menghasilkan CPO sebanyak 17,178 ton pada 2023</t>
        </is>
      </c>
      <c r="J305" t="inlineStr">
        <is>
          <t>High</t>
        </is>
      </c>
      <c r="M305" t="inlineStr">
        <is>
          <t>LLM</t>
        </is>
      </c>
      <c r="N305" t="inlineStr">
        <is>
          <t>2026-04-18</t>
        </is>
      </c>
      <c r="O305" t="inlineStr">
        <is>
          <t>AI</t>
        </is>
      </c>
    </row>
    <row r="306">
      <c r="A306" t="inlineStr">
        <is>
          <t>PT Andira Agro Tbk</t>
        </is>
      </c>
      <c r="B306" t="inlineStr">
        <is>
          <t>ANDI_2023_AR.pdf</t>
        </is>
      </c>
      <c r="C306" t="n">
        <v>2023</v>
      </c>
      <c r="D306" t="inlineStr">
        <is>
          <t>Operation</t>
        </is>
      </c>
      <c r="E306" t="inlineStr">
        <is>
          <t>Kernel/PK Production</t>
        </is>
      </c>
      <c r="F306" t="n">
        <v>4620</v>
      </c>
      <c r="G306" t="inlineStr">
        <is>
          <t>t</t>
        </is>
      </c>
      <c r="H306" t="n">
        <v>78</v>
      </c>
      <c r="I306" t="inlineStr">
        <is>
          <t>memproduksi sebanyak 4,620 ton Palm Kernel (PK)</t>
        </is>
      </c>
      <c r="J306" t="inlineStr">
        <is>
          <t>High</t>
        </is>
      </c>
      <c r="M306" t="inlineStr">
        <is>
          <t>LLM</t>
        </is>
      </c>
      <c r="N306" t="inlineStr">
        <is>
          <t>2026-04-18</t>
        </is>
      </c>
      <c r="O306" t="inlineStr">
        <is>
          <t>AI</t>
        </is>
      </c>
    </row>
    <row r="307">
      <c r="A307" t="inlineStr">
        <is>
          <t>PT Andira Agro Tbk</t>
        </is>
      </c>
      <c r="B307" t="inlineStr">
        <is>
          <t>ANDI_2023_AR.pdf</t>
        </is>
      </c>
      <c r="C307" t="n">
        <v>2023</v>
      </c>
      <c r="D307" t="inlineStr">
        <is>
          <t>Operation</t>
        </is>
      </c>
      <c r="E307" t="inlineStr">
        <is>
          <t>Calculated OER</t>
        </is>
      </c>
      <c r="F307" t="n">
        <v>0.1733</v>
      </c>
      <c r="G307" t="inlineStr">
        <is>
          <t>%</t>
        </is>
      </c>
      <c r="H307" t="n">
        <v>78</v>
      </c>
      <c r="I307" t="inlineStr">
        <is>
          <t>CPO 17,178 / FFB 99,141 = 17.33%</t>
        </is>
      </c>
      <c r="J307" t="inlineStr">
        <is>
          <t>Medium</t>
        </is>
      </c>
      <c r="M307" t="inlineStr">
        <is>
          <t>LLM</t>
        </is>
      </c>
      <c r="N307" t="inlineStr">
        <is>
          <t>2026-04-18</t>
        </is>
      </c>
      <c r="O307" t="inlineStr">
        <is>
          <t>AI</t>
        </is>
      </c>
    </row>
    <row r="308">
      <c r="A308" t="inlineStr">
        <is>
          <t>PT Andira Agro Tbk</t>
        </is>
      </c>
      <c r="B308" t="inlineStr">
        <is>
          <t>ANDI_2023_AR.pdf</t>
        </is>
      </c>
      <c r="C308" t="n">
        <v>2023</v>
      </c>
      <c r="D308" t="inlineStr">
        <is>
          <t>Company</t>
        </is>
      </c>
      <c r="E308" t="inlineStr">
        <is>
          <t>PT Central Energi Pratama</t>
        </is>
      </c>
      <c r="F308" t="n">
        <v>0.4973</v>
      </c>
      <c r="G308" t="inlineStr">
        <is>
          <t>%</t>
        </is>
      </c>
      <c r="H308" t="n">
        <v>57</v>
      </c>
      <c r="I308" t="inlineStr">
        <is>
          <t>PT Central Energi Pratama 4,650,030,000 49.73% (unchanged)</t>
        </is>
      </c>
      <c r="J308" t="inlineStr">
        <is>
          <t>High</t>
        </is>
      </c>
      <c r="M308" t="inlineStr">
        <is>
          <t>LLM</t>
        </is>
      </c>
      <c r="N308" t="inlineStr">
        <is>
          <t>2026-04-18</t>
        </is>
      </c>
      <c r="O308" t="inlineStr">
        <is>
          <t>AI</t>
        </is>
      </c>
    </row>
    <row r="309">
      <c r="A309" t="inlineStr">
        <is>
          <t>PT Andira Agro Tbk</t>
        </is>
      </c>
      <c r="B309" t="inlineStr">
        <is>
          <t>ANDI_2023_AR.pdf</t>
        </is>
      </c>
      <c r="C309" t="n">
        <v>2023</v>
      </c>
      <c r="D309" t="inlineStr">
        <is>
          <t>Company</t>
        </is>
      </c>
      <c r="E309" t="inlineStr">
        <is>
          <t>Kejaksaan Agung</t>
        </is>
      </c>
      <c r="F309" t="n">
        <v>0.0607</v>
      </c>
      <c r="G309" t="inlineStr">
        <is>
          <t>%</t>
        </is>
      </c>
      <c r="H309" t="n">
        <v>57</v>
      </c>
      <c r="I309" t="inlineStr">
        <is>
          <t>Kejaksaan Agung 567,409,200 6.07%</t>
        </is>
      </c>
      <c r="J309" t="inlineStr">
        <is>
          <t>High</t>
        </is>
      </c>
      <c r="M309" t="inlineStr">
        <is>
          <t>LLM</t>
        </is>
      </c>
      <c r="N309" t="inlineStr">
        <is>
          <t>2026-04-18</t>
        </is>
      </c>
      <c r="O309" t="inlineStr">
        <is>
          <t>AI</t>
        </is>
      </c>
    </row>
    <row r="310">
      <c r="A310" t="inlineStr">
        <is>
          <t>PT Andira Agro Tbk</t>
        </is>
      </c>
      <c r="B310" t="inlineStr">
        <is>
          <t>ANDI_2023_AR.pdf</t>
        </is>
      </c>
      <c r="C310" t="n">
        <v>2023</v>
      </c>
      <c r="D310" t="inlineStr">
        <is>
          <t>Company</t>
        </is>
      </c>
      <c r="E310" t="inlineStr">
        <is>
          <t>Public Float</t>
        </is>
      </c>
      <c r="F310" t="n">
        <v>0.3671</v>
      </c>
      <c r="G310" t="inlineStr">
        <is>
          <t>%</t>
        </is>
      </c>
      <c r="H310" t="n">
        <v>57</v>
      </c>
      <c r="I310" t="inlineStr">
        <is>
          <t>Masyarakat 3,432,590,800 36.71%</t>
        </is>
      </c>
      <c r="J310" t="inlineStr">
        <is>
          <t>High</t>
        </is>
      </c>
      <c r="M310" t="inlineStr">
        <is>
          <t>LLM</t>
        </is>
      </c>
      <c r="N310" t="inlineStr">
        <is>
          <t>2026-04-18</t>
        </is>
      </c>
      <c r="O310" t="inlineStr">
        <is>
          <t>AI</t>
        </is>
      </c>
    </row>
    <row r="311">
      <c r="A311" t="inlineStr">
        <is>
          <t>PT Andira Agro Tbk</t>
        </is>
      </c>
      <c r="B311" t="inlineStr">
        <is>
          <t>ANDI_2023_AR.pdf</t>
        </is>
      </c>
      <c r="C311" t="n">
        <v>2023</v>
      </c>
      <c r="D311" t="inlineStr">
        <is>
          <t>ESG</t>
        </is>
      </c>
      <c r="E311" t="inlineStr">
        <is>
          <t>ISPO Certification</t>
        </is>
      </c>
      <c r="F311" t="inlineStr">
        <is>
          <t>Certified</t>
        </is>
      </c>
      <c r="G311" t="inlineStr">
        <is>
          <t>text</t>
        </is>
      </c>
      <c r="H311" t="n">
        <v>15</v>
      </c>
      <c r="I311" t="inlineStr">
        <is>
          <t>ISPO certification</t>
        </is>
      </c>
      <c r="J311" t="inlineStr">
        <is>
          <t>High</t>
        </is>
      </c>
      <c r="M311" t="inlineStr">
        <is>
          <t>LLM</t>
        </is>
      </c>
      <c r="N311" t="inlineStr">
        <is>
          <t>2026-04-18</t>
        </is>
      </c>
      <c r="O311" t="inlineStr">
        <is>
          <t>AI</t>
        </is>
      </c>
    </row>
    <row r="312">
      <c r="A312" t="inlineStr">
        <is>
          <t>PT Andira Agro Tbk</t>
        </is>
      </c>
      <c r="B312" t="inlineStr">
        <is>
          <t>ANDI_2024_AR.pdf</t>
        </is>
      </c>
      <c r="C312" t="n">
        <v>2024</v>
      </c>
      <c r="D312" t="inlineStr">
        <is>
          <t>Company</t>
        </is>
      </c>
      <c r="E312" t="inlineStr">
        <is>
          <t>Company Name</t>
        </is>
      </c>
      <c r="F312" t="inlineStr">
        <is>
          <t>PT Andira Agro Tbk</t>
        </is>
      </c>
      <c r="G312" t="inlineStr">
        <is>
          <t>text</t>
        </is>
      </c>
      <c r="H312" t="n">
        <v>11</v>
      </c>
      <c r="I312" t="inlineStr">
        <is>
          <t>Annual &amp; Sustainability Report 2024 - PT Andira Agro Tbk</t>
        </is>
      </c>
      <c r="J312" t="inlineStr">
        <is>
          <t>High</t>
        </is>
      </c>
      <c r="M312" t="inlineStr">
        <is>
          <t>LLM</t>
        </is>
      </c>
      <c r="N312" t="inlineStr">
        <is>
          <t>2026-04-18</t>
        </is>
      </c>
      <c r="O312" t="inlineStr">
        <is>
          <t>AI</t>
        </is>
      </c>
    </row>
    <row r="313">
      <c r="A313" t="inlineStr">
        <is>
          <t>PT Andira Agro Tbk</t>
        </is>
      </c>
      <c r="B313" t="inlineStr">
        <is>
          <t>ANDI_2024_AR.pdf</t>
        </is>
      </c>
      <c r="C313" t="n">
        <v>2024</v>
      </c>
      <c r="D313" t="inlineStr">
        <is>
          <t>Financial</t>
        </is>
      </c>
      <c r="E313" t="inlineStr">
        <is>
          <t>Net Sales</t>
        </is>
      </c>
      <c r="F313" t="n">
        <v>196.74</v>
      </c>
      <c r="G313" t="inlineStr">
        <is>
          <t>IDR bn</t>
        </is>
      </c>
      <c r="H313" t="n">
        <v>11</v>
      </c>
      <c r="I313" t="inlineStr">
        <is>
          <t>PENJUALAN BERSIH 196,741,616,114 219,942,382,085</t>
        </is>
      </c>
      <c r="J313" t="inlineStr">
        <is>
          <t>High</t>
        </is>
      </c>
      <c r="M313" t="inlineStr">
        <is>
          <t>LLM</t>
        </is>
      </c>
      <c r="N313" t="inlineStr">
        <is>
          <t>2026-04-18</t>
        </is>
      </c>
      <c r="O313" t="inlineStr">
        <is>
          <t>AI</t>
        </is>
      </c>
    </row>
    <row r="314">
      <c r="A314" t="inlineStr">
        <is>
          <t>PT Andira Agro Tbk</t>
        </is>
      </c>
      <c r="B314" t="inlineStr">
        <is>
          <t>ANDI_2024_AR.pdf</t>
        </is>
      </c>
      <c r="C314" t="n">
        <v>2024</v>
      </c>
      <c r="D314" t="inlineStr">
        <is>
          <t>Financial</t>
        </is>
      </c>
      <c r="E314" t="inlineStr">
        <is>
          <t>CPO Sales</t>
        </is>
      </c>
      <c r="F314" t="n">
        <v>166.56</v>
      </c>
      <c r="G314" t="inlineStr">
        <is>
          <t>IDR bn</t>
        </is>
      </c>
      <c r="H314" t="n">
        <v>86</v>
      </c>
      <c r="I314" t="inlineStr">
        <is>
          <t>Minyak mentah kelapa sawit 166,560,755,325 195,160,663,545</t>
        </is>
      </c>
      <c r="J314" t="inlineStr">
        <is>
          <t>High</t>
        </is>
      </c>
      <c r="M314" t="inlineStr">
        <is>
          <t>LLM</t>
        </is>
      </c>
      <c r="N314" t="inlineStr">
        <is>
          <t>2026-04-18</t>
        </is>
      </c>
      <c r="O314" t="inlineStr">
        <is>
          <t>AI</t>
        </is>
      </c>
    </row>
    <row r="315">
      <c r="A315" t="inlineStr">
        <is>
          <t>PT Andira Agro Tbk</t>
        </is>
      </c>
      <c r="B315" t="inlineStr">
        <is>
          <t>ANDI_2024_AR.pdf</t>
        </is>
      </c>
      <c r="C315" t="n">
        <v>2024</v>
      </c>
      <c r="D315" t="inlineStr">
        <is>
          <t>Financial</t>
        </is>
      </c>
      <c r="E315" t="inlineStr">
        <is>
          <t>Palm Kernel Sales</t>
        </is>
      </c>
      <c r="F315" t="n">
        <v>29.94</v>
      </c>
      <c r="G315" t="inlineStr">
        <is>
          <t>IDR bn</t>
        </is>
      </c>
      <c r="H315" t="n">
        <v>86</v>
      </c>
      <c r="I315" t="inlineStr">
        <is>
          <t>Inti sawit 29,944,599,527 24,781,718,540</t>
        </is>
      </c>
      <c r="J315" t="inlineStr">
        <is>
          <t>High</t>
        </is>
      </c>
      <c r="M315" t="inlineStr">
        <is>
          <t>LLM</t>
        </is>
      </c>
      <c r="N315" t="inlineStr">
        <is>
          <t>2026-04-18</t>
        </is>
      </c>
      <c r="O315" t="inlineStr">
        <is>
          <t>AI</t>
        </is>
      </c>
    </row>
    <row r="316">
      <c r="A316" t="inlineStr">
        <is>
          <t>PT Andira Agro Tbk</t>
        </is>
      </c>
      <c r="B316" t="inlineStr">
        <is>
          <t>ANDI_2024_AR.pdf</t>
        </is>
      </c>
      <c r="C316" t="n">
        <v>2024</v>
      </c>
      <c r="D316" t="inlineStr">
        <is>
          <t>Financial</t>
        </is>
      </c>
      <c r="E316" t="inlineStr">
        <is>
          <t>Shell Sales</t>
        </is>
      </c>
      <c r="F316" t="n">
        <v>0.24</v>
      </c>
      <c r="G316" t="inlineStr">
        <is>
          <t>IDR bn</t>
        </is>
      </c>
      <c r="H316" t="n">
        <v>86</v>
      </c>
      <c r="I316" t="inlineStr">
        <is>
          <t>Cangkang 236,261,262 - (new product)</t>
        </is>
      </c>
      <c r="J316" t="inlineStr">
        <is>
          <t>High</t>
        </is>
      </c>
      <c r="M316" t="inlineStr">
        <is>
          <t>LLM</t>
        </is>
      </c>
      <c r="N316" t="inlineStr">
        <is>
          <t>2026-04-18</t>
        </is>
      </c>
      <c r="O316" t="inlineStr">
        <is>
          <t>AI</t>
        </is>
      </c>
    </row>
    <row r="317">
      <c r="A317" t="inlineStr">
        <is>
          <t>PT Andira Agro Tbk</t>
        </is>
      </c>
      <c r="B317" t="inlineStr">
        <is>
          <t>ANDI_2024_AR.pdf</t>
        </is>
      </c>
      <c r="C317" t="n">
        <v>2024</v>
      </c>
      <c r="D317" t="inlineStr">
        <is>
          <t>Financial</t>
        </is>
      </c>
      <c r="E317" t="inlineStr">
        <is>
          <t>Gross Profit (Loss)</t>
        </is>
      </c>
      <c r="F317" t="n">
        <v>-11.96</v>
      </c>
      <c r="G317" t="inlineStr">
        <is>
          <t>IDR bn</t>
        </is>
      </c>
      <c r="H317" t="n">
        <v>11</v>
      </c>
      <c r="I317" t="inlineStr">
        <is>
          <t>LABA BRUTO (11,961,251,357) 223,757,049</t>
        </is>
      </c>
      <c r="J317" t="inlineStr">
        <is>
          <t>High</t>
        </is>
      </c>
      <c r="M317" t="inlineStr">
        <is>
          <t>LLM</t>
        </is>
      </c>
      <c r="N317" t="inlineStr">
        <is>
          <t>2026-04-18</t>
        </is>
      </c>
      <c r="O317" t="inlineStr">
        <is>
          <t>AI</t>
        </is>
      </c>
    </row>
    <row r="318">
      <c r="A318" t="inlineStr">
        <is>
          <t>PT Andira Agro Tbk</t>
        </is>
      </c>
      <c r="B318" t="inlineStr">
        <is>
          <t>ANDI_2024_AR.pdf</t>
        </is>
      </c>
      <c r="C318" t="n">
        <v>2024</v>
      </c>
      <c r="D318" t="inlineStr">
        <is>
          <t>Financial</t>
        </is>
      </c>
      <c r="E318" t="inlineStr">
        <is>
          <t>Operating Loss</t>
        </is>
      </c>
      <c r="F318" t="n">
        <v>-34.61</v>
      </c>
      <c r="G318" t="inlineStr">
        <is>
          <t>IDR bn</t>
        </is>
      </c>
      <c r="H318" t="n">
        <v>11</v>
      </c>
      <c r="I318" t="inlineStr">
        <is>
          <t>LABA (RUGI) USAHA (34,607,531,181) (63,098,260,750)</t>
        </is>
      </c>
      <c r="J318" t="inlineStr">
        <is>
          <t>High</t>
        </is>
      </c>
      <c r="M318" t="inlineStr">
        <is>
          <t>LLM</t>
        </is>
      </c>
      <c r="N318" t="inlineStr">
        <is>
          <t>2026-04-18</t>
        </is>
      </c>
      <c r="O318" t="inlineStr">
        <is>
          <t>AI</t>
        </is>
      </c>
    </row>
    <row r="319">
      <c r="A319" t="inlineStr">
        <is>
          <t>PT Andira Agro Tbk</t>
        </is>
      </c>
      <c r="B319" t="inlineStr">
        <is>
          <t>ANDI_2024_AR.pdf</t>
        </is>
      </c>
      <c r="C319" t="n">
        <v>2024</v>
      </c>
      <c r="D319" t="inlineStr">
        <is>
          <t>Financial</t>
        </is>
      </c>
      <c r="E319" t="inlineStr">
        <is>
          <t>Net Loss</t>
        </is>
      </c>
      <c r="F319" t="n">
        <v>-23.05</v>
      </c>
      <c r="G319" t="inlineStr">
        <is>
          <t>IDR bn</t>
        </is>
      </c>
      <c r="H319" t="n">
        <v>11</v>
      </c>
      <c r="I319" t="inlineStr">
        <is>
          <t>RUGI TAHUN BERJALAN (23,050,071,071) (55,959,237,094)</t>
        </is>
      </c>
      <c r="J319" t="inlineStr">
        <is>
          <t>High</t>
        </is>
      </c>
      <c r="M319" t="inlineStr">
        <is>
          <t>LLM</t>
        </is>
      </c>
      <c r="N319" t="inlineStr">
        <is>
          <t>2026-04-18</t>
        </is>
      </c>
      <c r="O319" t="inlineStr">
        <is>
          <t>AI</t>
        </is>
      </c>
    </row>
    <row r="320">
      <c r="A320" t="inlineStr">
        <is>
          <t>PT Andira Agro Tbk</t>
        </is>
      </c>
      <c r="B320" t="inlineStr">
        <is>
          <t>ANDI_2024_AR.pdf</t>
        </is>
      </c>
      <c r="C320" t="n">
        <v>2024</v>
      </c>
      <c r="D320" t="inlineStr">
        <is>
          <t>Financial</t>
        </is>
      </c>
      <c r="E320" t="inlineStr">
        <is>
          <t>Total Assets</t>
        </is>
      </c>
      <c r="F320" t="n">
        <v>350.16</v>
      </c>
      <c r="G320" t="inlineStr">
        <is>
          <t>IDR bn</t>
        </is>
      </c>
      <c r="H320" t="n">
        <v>11</v>
      </c>
      <c r="I320" t="inlineStr">
        <is>
          <t>Total Aset 350,160,565,915 378,135,050,642</t>
        </is>
      </c>
      <c r="J320" t="inlineStr">
        <is>
          <t>High</t>
        </is>
      </c>
      <c r="M320" t="inlineStr">
        <is>
          <t>LLM</t>
        </is>
      </c>
      <c r="N320" t="inlineStr">
        <is>
          <t>2026-04-18</t>
        </is>
      </c>
      <c r="O320" t="inlineStr">
        <is>
          <t>AI</t>
        </is>
      </c>
    </row>
    <row r="321">
      <c r="A321" t="inlineStr">
        <is>
          <t>PT Andira Agro Tbk</t>
        </is>
      </c>
      <c r="B321" t="inlineStr">
        <is>
          <t>ANDI_2024_AR.pdf</t>
        </is>
      </c>
      <c r="C321" t="n">
        <v>2024</v>
      </c>
      <c r="D321" t="inlineStr">
        <is>
          <t>Financial</t>
        </is>
      </c>
      <c r="E321" t="inlineStr">
        <is>
          <t>Current Assets</t>
        </is>
      </c>
      <c r="F321" t="n">
        <v>38.49</v>
      </c>
      <c r="G321" t="inlineStr">
        <is>
          <t>IDR bn</t>
        </is>
      </c>
      <c r="H321" t="n">
        <v>11</v>
      </c>
      <c r="I321" t="inlineStr">
        <is>
          <t>Aset Lancar 38,490,927,187 24,214,366,203</t>
        </is>
      </c>
      <c r="J321" t="inlineStr">
        <is>
          <t>High</t>
        </is>
      </c>
      <c r="M321" t="inlineStr">
        <is>
          <t>LLM</t>
        </is>
      </c>
      <c r="N321" t="inlineStr">
        <is>
          <t>2026-04-18</t>
        </is>
      </c>
      <c r="O321" t="inlineStr">
        <is>
          <t>AI</t>
        </is>
      </c>
    </row>
    <row r="322">
      <c r="A322" t="inlineStr">
        <is>
          <t>PT Andira Agro Tbk</t>
        </is>
      </c>
      <c r="B322" t="inlineStr">
        <is>
          <t>ANDI_2024_AR.pdf</t>
        </is>
      </c>
      <c r="C322" t="n">
        <v>2024</v>
      </c>
      <c r="D322" t="inlineStr">
        <is>
          <t>Financial</t>
        </is>
      </c>
      <c r="E322" t="inlineStr">
        <is>
          <t>Non-Current Assets</t>
        </is>
      </c>
      <c r="F322" t="n">
        <v>311.67</v>
      </c>
      <c r="G322" t="inlineStr">
        <is>
          <t>IDR bn</t>
        </is>
      </c>
      <c r="H322" t="n">
        <v>11</v>
      </c>
      <c r="I322" t="inlineStr">
        <is>
          <t>Aset Tidak Lancar 311,669,638,728 353,920,684,439</t>
        </is>
      </c>
      <c r="J322" t="inlineStr">
        <is>
          <t>High</t>
        </is>
      </c>
      <c r="M322" t="inlineStr">
        <is>
          <t>LLM</t>
        </is>
      </c>
      <c r="N322" t="inlineStr">
        <is>
          <t>2026-04-18</t>
        </is>
      </c>
      <c r="O322" t="inlineStr">
        <is>
          <t>AI</t>
        </is>
      </c>
    </row>
    <row r="323">
      <c r="A323" t="inlineStr">
        <is>
          <t>PT Andira Agro Tbk</t>
        </is>
      </c>
      <c r="B323" t="inlineStr">
        <is>
          <t>ANDI_2024_AR.pdf</t>
        </is>
      </c>
      <c r="C323" t="n">
        <v>2024</v>
      </c>
      <c r="D323" t="inlineStr">
        <is>
          <t>Financial</t>
        </is>
      </c>
      <c r="E323" t="inlineStr">
        <is>
          <t>Total Liabilities</t>
        </is>
      </c>
      <c r="F323" t="n">
        <v>190.38</v>
      </c>
      <c r="G323" t="inlineStr">
        <is>
          <t>IDR bn</t>
        </is>
      </c>
      <c r="H323" t="n">
        <v>11</v>
      </c>
      <c r="I323" t="inlineStr">
        <is>
          <t>Total Liabilitas 190,381,893,443 195,395,707,177</t>
        </is>
      </c>
      <c r="J323" t="inlineStr">
        <is>
          <t>High</t>
        </is>
      </c>
      <c r="M323" t="inlineStr">
        <is>
          <t>LLM</t>
        </is>
      </c>
      <c r="N323" t="inlineStr">
        <is>
          <t>2026-04-18</t>
        </is>
      </c>
      <c r="O323" t="inlineStr">
        <is>
          <t>AI</t>
        </is>
      </c>
    </row>
    <row r="324">
      <c r="A324" t="inlineStr">
        <is>
          <t>PT Andira Agro Tbk</t>
        </is>
      </c>
      <c r="B324" t="inlineStr">
        <is>
          <t>ANDI_2024_AR.pdf</t>
        </is>
      </c>
      <c r="C324" t="n">
        <v>2024</v>
      </c>
      <c r="D324" t="inlineStr">
        <is>
          <t>Financial</t>
        </is>
      </c>
      <c r="E324" t="inlineStr">
        <is>
          <t>Current Liabilities</t>
        </is>
      </c>
      <c r="F324" t="n">
        <v>50.09</v>
      </c>
      <c r="G324" t="inlineStr">
        <is>
          <t>IDR bn</t>
        </is>
      </c>
      <c r="H324" t="n">
        <v>11</v>
      </c>
      <c r="I324" t="inlineStr">
        <is>
          <t>Liabilitas Jangka Pendek 50,093,781,413 41,923,858,695</t>
        </is>
      </c>
      <c r="J324" t="inlineStr">
        <is>
          <t>High</t>
        </is>
      </c>
      <c r="M324" t="inlineStr">
        <is>
          <t>LLM</t>
        </is>
      </c>
      <c r="N324" t="inlineStr">
        <is>
          <t>2026-04-18</t>
        </is>
      </c>
      <c r="O324" t="inlineStr">
        <is>
          <t>AI</t>
        </is>
      </c>
    </row>
    <row r="325">
      <c r="A325" t="inlineStr">
        <is>
          <t>PT Andira Agro Tbk</t>
        </is>
      </c>
      <c r="B325" t="inlineStr">
        <is>
          <t>ANDI_2024_AR.pdf</t>
        </is>
      </c>
      <c r="C325" t="n">
        <v>2024</v>
      </c>
      <c r="D325" t="inlineStr">
        <is>
          <t>Financial</t>
        </is>
      </c>
      <c r="E325" t="inlineStr">
        <is>
          <t>Long-term Liabilities</t>
        </is>
      </c>
      <c r="F325" t="n">
        <v>140.29</v>
      </c>
      <c r="G325" t="inlineStr">
        <is>
          <t>IDR bn</t>
        </is>
      </c>
      <c r="H325" t="n">
        <v>11</v>
      </c>
      <c r="I325" t="inlineStr">
        <is>
          <t>Liabilitas Jangka Panjang 140,288,112,030 153,471,848,482</t>
        </is>
      </c>
      <c r="J325" t="inlineStr">
        <is>
          <t>High</t>
        </is>
      </c>
      <c r="M325" t="inlineStr">
        <is>
          <t>LLM</t>
        </is>
      </c>
      <c r="N325" t="inlineStr">
        <is>
          <t>2026-04-18</t>
        </is>
      </c>
      <c r="O325" t="inlineStr">
        <is>
          <t>AI</t>
        </is>
      </c>
    </row>
    <row r="326">
      <c r="A326" t="inlineStr">
        <is>
          <t>PT Andira Agro Tbk</t>
        </is>
      </c>
      <c r="B326" t="inlineStr">
        <is>
          <t>ANDI_2024_AR.pdf</t>
        </is>
      </c>
      <c r="C326" t="n">
        <v>2024</v>
      </c>
      <c r="D326" t="inlineStr">
        <is>
          <t>Financial</t>
        </is>
      </c>
      <c r="E326" t="inlineStr">
        <is>
          <t>Total Equity</t>
        </is>
      </c>
      <c r="F326" t="n">
        <v>159.78</v>
      </c>
      <c r="G326" t="inlineStr">
        <is>
          <t>IDR bn</t>
        </is>
      </c>
      <c r="H326" t="n">
        <v>11</v>
      </c>
      <c r="I326" t="inlineStr">
        <is>
          <t>Ekuitas 159,778,672,472 182,739,343,465</t>
        </is>
      </c>
      <c r="J326" t="inlineStr">
        <is>
          <t>High</t>
        </is>
      </c>
      <c r="M326" t="inlineStr">
        <is>
          <t>LLM</t>
        </is>
      </c>
      <c r="N326" t="inlineStr">
        <is>
          <t>2026-04-18</t>
        </is>
      </c>
      <c r="O326" t="inlineStr">
        <is>
          <t>AI</t>
        </is>
      </c>
    </row>
    <row r="327">
      <c r="A327" t="inlineStr">
        <is>
          <t>PT Andira Agro Tbk</t>
        </is>
      </c>
      <c r="B327" t="inlineStr">
        <is>
          <t>ANDI_2024_AR.pdf</t>
        </is>
      </c>
      <c r="C327" t="n">
        <v>2024</v>
      </c>
      <c r="D327" t="inlineStr">
        <is>
          <t>Financial</t>
        </is>
      </c>
      <c r="E327" t="inlineStr">
        <is>
          <t>Cash &amp; Equivalents</t>
        </is>
      </c>
      <c r="F327" t="n">
        <v>15.82</v>
      </c>
      <c r="G327" t="inlineStr">
        <is>
          <t>IDR bn</t>
        </is>
      </c>
      <c r="H327" t="n">
        <v>90</v>
      </c>
      <c r="I327" t="inlineStr">
        <is>
          <t>KAS DAN SETARA KAS AKHIR TAHUN 15,819,383,293 8,364,784,764</t>
        </is>
      </c>
      <c r="J327" t="inlineStr">
        <is>
          <t>High</t>
        </is>
      </c>
      <c r="M327" t="inlineStr">
        <is>
          <t>LLM</t>
        </is>
      </c>
      <c r="N327" t="inlineStr">
        <is>
          <t>2026-04-18</t>
        </is>
      </c>
      <c r="O327" t="inlineStr">
        <is>
          <t>AI</t>
        </is>
      </c>
    </row>
    <row r="328">
      <c r="A328" t="inlineStr">
        <is>
          <t>PT Andira Agro Tbk</t>
        </is>
      </c>
      <c r="B328" t="inlineStr">
        <is>
          <t>ANDI_2024_AR.pdf</t>
        </is>
      </c>
      <c r="C328" t="n">
        <v>2024</v>
      </c>
      <c r="D328" t="inlineStr">
        <is>
          <t>Financial</t>
        </is>
      </c>
      <c r="E328" t="inlineStr">
        <is>
          <t>CFO</t>
        </is>
      </c>
      <c r="F328" t="n">
        <v>23.75</v>
      </c>
      <c r="G328" t="inlineStr">
        <is>
          <t>IDR bn</t>
        </is>
      </c>
      <c r="H328" t="n">
        <v>90</v>
      </c>
      <c r="I328" t="inlineStr">
        <is>
          <t>Jumlah Kas Bersih yang Diperoleh dari Aktivitas Operasi 23,746,379,903</t>
        </is>
      </c>
      <c r="J328" t="inlineStr">
        <is>
          <t>High</t>
        </is>
      </c>
      <c r="M328" t="inlineStr">
        <is>
          <t>LLM</t>
        </is>
      </c>
      <c r="N328" t="inlineStr">
        <is>
          <t>2026-04-18</t>
        </is>
      </c>
      <c r="O328" t="inlineStr">
        <is>
          <t>AI</t>
        </is>
      </c>
    </row>
    <row r="329">
      <c r="A329" t="inlineStr">
        <is>
          <t>PT Andira Agro Tbk</t>
        </is>
      </c>
      <c r="B329" t="inlineStr">
        <is>
          <t>ANDI_2024_AR.pdf</t>
        </is>
      </c>
      <c r="C329" t="n">
        <v>2024</v>
      </c>
      <c r="D329" t="inlineStr">
        <is>
          <t>Financial</t>
        </is>
      </c>
      <c r="E329" t="inlineStr">
        <is>
          <t>CFI (Capex proxy)</t>
        </is>
      </c>
      <c r="F329" t="n">
        <v>-4.35</v>
      </c>
      <c r="G329" t="inlineStr">
        <is>
          <t>IDR bn</t>
        </is>
      </c>
      <c r="H329" t="n">
        <v>90</v>
      </c>
      <c r="I329" t="inlineStr">
        <is>
          <t>Jumlah Kas Bersih Digunakan untuk Aktivitas Investasi (4,345,449,410)</t>
        </is>
      </c>
      <c r="J329" t="inlineStr">
        <is>
          <t>High</t>
        </is>
      </c>
      <c r="M329" t="inlineStr">
        <is>
          <t>LLM</t>
        </is>
      </c>
      <c r="N329" t="inlineStr">
        <is>
          <t>2026-04-18</t>
        </is>
      </c>
      <c r="O329" t="inlineStr">
        <is>
          <t>AI</t>
        </is>
      </c>
    </row>
    <row r="330">
      <c r="A330" t="inlineStr">
        <is>
          <t>PT Andira Agro Tbk</t>
        </is>
      </c>
      <c r="B330" t="inlineStr">
        <is>
          <t>ANDI_2024_AR.pdf</t>
        </is>
      </c>
      <c r="C330" t="n">
        <v>2024</v>
      </c>
      <c r="D330" t="inlineStr">
        <is>
          <t>Financial</t>
        </is>
      </c>
      <c r="E330" t="inlineStr">
        <is>
          <t>CFF</t>
        </is>
      </c>
      <c r="F330" t="n">
        <v>-11.96</v>
      </c>
      <c r="G330" t="inlineStr">
        <is>
          <t>IDR bn</t>
        </is>
      </c>
      <c r="H330" t="n">
        <v>90</v>
      </c>
      <c r="I330" t="inlineStr">
        <is>
          <t>kas bersih yang digunakan untuk aktivitas pendanaan (11,964,545,231)</t>
        </is>
      </c>
      <c r="J330" t="inlineStr">
        <is>
          <t>High</t>
        </is>
      </c>
      <c r="M330" t="inlineStr">
        <is>
          <t>LLM</t>
        </is>
      </c>
      <c r="N330" t="inlineStr">
        <is>
          <t>2026-04-18</t>
        </is>
      </c>
      <c r="O330" t="inlineStr">
        <is>
          <t>AI</t>
        </is>
      </c>
    </row>
    <row r="331">
      <c r="A331" t="inlineStr">
        <is>
          <t>PT Andira Agro Tbk</t>
        </is>
      </c>
      <c r="B331" t="inlineStr">
        <is>
          <t>ANDI_2024_AR.pdf</t>
        </is>
      </c>
      <c r="C331" t="n">
        <v>2024</v>
      </c>
      <c r="D331" t="inlineStr">
        <is>
          <t>Financial</t>
        </is>
      </c>
      <c r="E331" t="inlineStr">
        <is>
          <t>EPS (basic loss)</t>
        </is>
      </c>
      <c r="F331" t="n">
        <v>-2.47</v>
      </c>
      <c r="G331" t="inlineStr">
        <is>
          <t>Rp/share</t>
        </is>
      </c>
      <c r="H331" t="n">
        <v>11</v>
      </c>
      <c r="I331" t="inlineStr">
        <is>
          <t>RUGI DASAR PER SAHAM - DASAR (2.47) (5.98)</t>
        </is>
      </c>
      <c r="J331" t="inlineStr">
        <is>
          <t>High</t>
        </is>
      </c>
      <c r="M331" t="inlineStr">
        <is>
          <t>LLM</t>
        </is>
      </c>
      <c r="N331" t="inlineStr">
        <is>
          <t>2026-04-18</t>
        </is>
      </c>
      <c r="O331" t="inlineStr">
        <is>
          <t>AI</t>
        </is>
      </c>
    </row>
    <row r="332">
      <c r="A332" t="inlineStr">
        <is>
          <t>PT Andira Agro Tbk</t>
        </is>
      </c>
      <c r="B332" t="inlineStr">
        <is>
          <t>ANDI_2024_AR.pdf</t>
        </is>
      </c>
      <c r="C332" t="n">
        <v>2024</v>
      </c>
      <c r="D332" t="inlineStr">
        <is>
          <t>Financial</t>
        </is>
      </c>
      <c r="E332" t="inlineStr">
        <is>
          <t>Shares Outstanding</t>
        </is>
      </c>
      <c r="F332" t="n">
        <v>9350</v>
      </c>
      <c r="G332" t="inlineStr">
        <is>
          <t>mn</t>
        </is>
      </c>
      <c r="H332" t="n">
        <v>14</v>
      </c>
      <c r="I332" t="inlineStr">
        <is>
          <t>Jumlah Saham Beredar 9,350,000,000</t>
        </is>
      </c>
      <c r="J332" t="inlineStr">
        <is>
          <t>High</t>
        </is>
      </c>
      <c r="M332" t="inlineStr">
        <is>
          <t>LLM</t>
        </is>
      </c>
      <c r="N332" t="inlineStr">
        <is>
          <t>2026-04-18</t>
        </is>
      </c>
      <c r="O332" t="inlineStr">
        <is>
          <t>AI</t>
        </is>
      </c>
    </row>
    <row r="333">
      <c r="A333" t="inlineStr">
        <is>
          <t>PT Andira Agro Tbk</t>
        </is>
      </c>
      <c r="B333" t="inlineStr">
        <is>
          <t>ANDI_2024_AR.pdf</t>
        </is>
      </c>
      <c r="C333" t="n">
        <v>2024</v>
      </c>
      <c r="D333" t="inlineStr">
        <is>
          <t>Financial</t>
        </is>
      </c>
      <c r="E333" t="inlineStr">
        <is>
          <t>Closing Price (Q4 2024)</t>
        </is>
      </c>
      <c r="F333" t="n">
        <v>6</v>
      </c>
      <c r="G333" t="inlineStr">
        <is>
          <t>Rp/share</t>
        </is>
      </c>
      <c r="H333" t="n">
        <v>14</v>
      </c>
      <c r="I333" t="inlineStr">
        <is>
          <t>Kuartal IV - 2024 5.00 7.00 6.00</t>
        </is>
      </c>
      <c r="J333" t="inlineStr">
        <is>
          <t>High</t>
        </is>
      </c>
      <c r="M333" t="inlineStr">
        <is>
          <t>LLM</t>
        </is>
      </c>
      <c r="N333" t="inlineStr">
        <is>
          <t>2026-04-18</t>
        </is>
      </c>
      <c r="O333" t="inlineStr">
        <is>
          <t>AI</t>
        </is>
      </c>
    </row>
    <row r="334">
      <c r="A334" t="inlineStr">
        <is>
          <t>PT Andira Agro Tbk</t>
        </is>
      </c>
      <c r="B334" t="inlineStr">
        <is>
          <t>ANDI_2024_AR.pdf</t>
        </is>
      </c>
      <c r="C334" t="n">
        <v>2024</v>
      </c>
      <c r="D334" t="inlineStr">
        <is>
          <t>Financial</t>
        </is>
      </c>
      <c r="E334" t="inlineStr">
        <is>
          <t>Market Cap (Dec 2024)</t>
        </is>
      </c>
      <c r="F334" t="n">
        <v>56.1</v>
      </c>
      <c r="G334" t="inlineStr">
        <is>
          <t>IDR bn</t>
        </is>
      </c>
      <c r="H334" t="n">
        <v>14</v>
      </c>
      <c r="I334" t="inlineStr">
        <is>
          <t>Kapitalisasi Pasar 56,100,000,000 (4th Qtr 2024)</t>
        </is>
      </c>
      <c r="J334" t="inlineStr">
        <is>
          <t>High</t>
        </is>
      </c>
      <c r="M334" t="inlineStr">
        <is>
          <t>LLM</t>
        </is>
      </c>
      <c r="N334" t="inlineStr">
        <is>
          <t>2026-04-18</t>
        </is>
      </c>
      <c r="O334" t="inlineStr">
        <is>
          <t>AI</t>
        </is>
      </c>
    </row>
    <row r="335">
      <c r="A335" t="inlineStr">
        <is>
          <t>PT Andira Agro Tbk</t>
        </is>
      </c>
      <c r="B335" t="inlineStr">
        <is>
          <t>ANDI_2024_AR.pdf</t>
        </is>
      </c>
      <c r="C335" t="n">
        <v>2024</v>
      </c>
      <c r="D335" t="inlineStr">
        <is>
          <t>Financial</t>
        </is>
      </c>
      <c r="E335" t="inlineStr">
        <is>
          <t>Current Ratio</t>
        </is>
      </c>
      <c r="F335" t="n">
        <v>0.768</v>
      </c>
      <c r="G335" t="inlineStr">
        <is>
          <t>x</t>
        </is>
      </c>
      <c r="H335" t="n">
        <v>12</v>
      </c>
      <c r="I335" t="inlineStr">
        <is>
          <t>Rasio Lancar 0.768 0.577 1.516</t>
        </is>
      </c>
      <c r="J335" t="inlineStr">
        <is>
          <t>High</t>
        </is>
      </c>
      <c r="M335" t="inlineStr">
        <is>
          <t>LLM</t>
        </is>
      </c>
      <c r="N335" t="inlineStr">
        <is>
          <t>2026-04-18</t>
        </is>
      </c>
      <c r="O335" t="inlineStr">
        <is>
          <t>AI</t>
        </is>
      </c>
    </row>
    <row r="336">
      <c r="A336" t="inlineStr">
        <is>
          <t>PT Andira Agro Tbk</t>
        </is>
      </c>
      <c r="B336" t="inlineStr">
        <is>
          <t>ANDI_2024_AR.pdf</t>
        </is>
      </c>
      <c r="C336" t="n">
        <v>2024</v>
      </c>
      <c r="D336" t="inlineStr">
        <is>
          <t>Financial</t>
        </is>
      </c>
      <c r="E336" t="inlineStr">
        <is>
          <t>Debt to Equity</t>
        </is>
      </c>
      <c r="F336" t="n">
        <v>1.191</v>
      </c>
      <c r="G336" t="inlineStr">
        <is>
          <t>x</t>
        </is>
      </c>
      <c r="H336" t="n">
        <v>12</v>
      </c>
      <c r="I336" t="inlineStr">
        <is>
          <t>Rasio Utang/Ekuitas 1.191 1.069</t>
        </is>
      </c>
      <c r="J336" t="inlineStr">
        <is>
          <t>High</t>
        </is>
      </c>
      <c r="M336" t="inlineStr">
        <is>
          <t>LLM</t>
        </is>
      </c>
      <c r="N336" t="inlineStr">
        <is>
          <t>2026-04-18</t>
        </is>
      </c>
      <c r="O336" t="inlineStr">
        <is>
          <t>AI</t>
        </is>
      </c>
    </row>
    <row r="337">
      <c r="A337" t="inlineStr">
        <is>
          <t>PT Andira Agro Tbk</t>
        </is>
      </c>
      <c r="B337" t="inlineStr">
        <is>
          <t>ANDI_2024_AR.pdf</t>
        </is>
      </c>
      <c r="C337" t="n">
        <v>2024</v>
      </c>
      <c r="D337" t="inlineStr">
        <is>
          <t>Financial</t>
        </is>
      </c>
      <c r="E337" t="inlineStr">
        <is>
          <t>Debt to Assets</t>
        </is>
      </c>
      <c r="F337" t="n">
        <v>0.544</v>
      </c>
      <c r="G337" t="inlineStr">
        <is>
          <t>x</t>
        </is>
      </c>
      <c r="H337" t="n">
        <v>12</v>
      </c>
      <c r="I337" t="inlineStr">
        <is>
          <t>Rasio Utang/Aset 0.544 0.517</t>
        </is>
      </c>
      <c r="J337" t="inlineStr">
        <is>
          <t>High</t>
        </is>
      </c>
      <c r="M337" t="inlineStr">
        <is>
          <t>LLM</t>
        </is>
      </c>
      <c r="N337" t="inlineStr">
        <is>
          <t>2026-04-18</t>
        </is>
      </c>
      <c r="O337" t="inlineStr">
        <is>
          <t>AI</t>
        </is>
      </c>
    </row>
    <row r="338">
      <c r="A338" t="inlineStr">
        <is>
          <t>PT Andira Agro Tbk</t>
        </is>
      </c>
      <c r="B338" t="inlineStr">
        <is>
          <t>ANDI_2024_AR.pdf</t>
        </is>
      </c>
      <c r="C338" t="n">
        <v>2024</v>
      </c>
      <c r="D338" t="inlineStr">
        <is>
          <t>Financial</t>
        </is>
      </c>
      <c r="E338" t="inlineStr">
        <is>
          <t>ROA</t>
        </is>
      </c>
      <c r="F338" t="n">
        <v>-0.0658</v>
      </c>
      <c r="G338" t="inlineStr">
        <is>
          <t>%</t>
        </is>
      </c>
      <c r="H338" t="n">
        <v>12</v>
      </c>
      <c r="I338" t="inlineStr">
        <is>
          <t>Rasio Laba (Rugi) Bersih/Aset (6.58%)</t>
        </is>
      </c>
      <c r="J338" t="inlineStr">
        <is>
          <t>High</t>
        </is>
      </c>
      <c r="M338" t="inlineStr">
        <is>
          <t>LLM</t>
        </is>
      </c>
      <c r="N338" t="inlineStr">
        <is>
          <t>2026-04-18</t>
        </is>
      </c>
      <c r="O338" t="inlineStr">
        <is>
          <t>AI</t>
        </is>
      </c>
    </row>
    <row r="339">
      <c r="A339" t="inlineStr">
        <is>
          <t>PT Andira Agro Tbk</t>
        </is>
      </c>
      <c r="B339" t="inlineStr">
        <is>
          <t>ANDI_2024_AR.pdf</t>
        </is>
      </c>
      <c r="C339" t="n">
        <v>2024</v>
      </c>
      <c r="D339" t="inlineStr">
        <is>
          <t>Financial</t>
        </is>
      </c>
      <c r="E339" t="inlineStr">
        <is>
          <t>ROE</t>
        </is>
      </c>
      <c r="F339" t="n">
        <v>-0.1443</v>
      </c>
      <c r="G339" t="inlineStr">
        <is>
          <t>%</t>
        </is>
      </c>
      <c r="H339" t="n">
        <v>12</v>
      </c>
      <c r="I339" t="inlineStr">
        <is>
          <t>Rasio Laba (Rugi) Bersih/Ekuitas (14.43%)</t>
        </is>
      </c>
      <c r="J339" t="inlineStr">
        <is>
          <t>High</t>
        </is>
      </c>
      <c r="M339" t="inlineStr">
        <is>
          <t>LLM</t>
        </is>
      </c>
      <c r="N339" t="inlineStr">
        <is>
          <t>2026-04-18</t>
        </is>
      </c>
      <c r="O339" t="inlineStr">
        <is>
          <t>AI</t>
        </is>
      </c>
    </row>
    <row r="340">
      <c r="A340" t="inlineStr">
        <is>
          <t>PT Andira Agro Tbk</t>
        </is>
      </c>
      <c r="B340" t="inlineStr">
        <is>
          <t>ANDI_2024_AR.pdf</t>
        </is>
      </c>
      <c r="C340" t="n">
        <v>2024</v>
      </c>
      <c r="D340" t="inlineStr">
        <is>
          <t>Financial</t>
        </is>
      </c>
      <c r="E340" t="inlineStr">
        <is>
          <t>Gross Margin</t>
        </is>
      </c>
      <c r="F340" t="n">
        <v>-0.0608</v>
      </c>
      <c r="G340" t="inlineStr">
        <is>
          <t>%</t>
        </is>
      </c>
      <c r="H340" t="n">
        <v>12</v>
      </c>
      <c r="I340" t="inlineStr">
        <is>
          <t>Rasio Laba (Rugi) Bruto/Penjualan (6.08%) 0.10% 7.17%</t>
        </is>
      </c>
      <c r="J340" t="inlineStr">
        <is>
          <t>High</t>
        </is>
      </c>
      <c r="M340" t="inlineStr">
        <is>
          <t>LLM</t>
        </is>
      </c>
      <c r="N340" t="inlineStr">
        <is>
          <t>2026-04-18</t>
        </is>
      </c>
      <c r="O340" t="inlineStr">
        <is>
          <t>AI</t>
        </is>
      </c>
    </row>
    <row r="341">
      <c r="A341" t="inlineStr">
        <is>
          <t>PT Andira Agro Tbk</t>
        </is>
      </c>
      <c r="B341" t="inlineStr">
        <is>
          <t>ANDI_2024_AR.pdf</t>
        </is>
      </c>
      <c r="C341" t="n">
        <v>2024</v>
      </c>
      <c r="D341" t="inlineStr">
        <is>
          <t>Financial</t>
        </is>
      </c>
      <c r="E341" t="inlineStr">
        <is>
          <t>Collection Period</t>
        </is>
      </c>
      <c r="F341" t="n">
        <v>323</v>
      </c>
      <c r="G341" t="inlineStr">
        <is>
          <t>days</t>
        </is>
      </c>
      <c r="H341" t="n">
        <v>12</v>
      </c>
      <c r="I341" t="inlineStr">
        <is>
          <t>Kolektibilitas Piutang 323 hari 77 hari</t>
        </is>
      </c>
      <c r="J341" t="inlineStr">
        <is>
          <t>High</t>
        </is>
      </c>
      <c r="M341" t="inlineStr">
        <is>
          <t>LLM</t>
        </is>
      </c>
      <c r="N341" t="inlineStr">
        <is>
          <t>2026-04-18</t>
        </is>
      </c>
      <c r="O341" t="inlineStr">
        <is>
          <t>AI</t>
        </is>
      </c>
    </row>
    <row r="342">
      <c r="A342" t="inlineStr">
        <is>
          <t>PT Andira Agro Tbk</t>
        </is>
      </c>
      <c r="B342" t="inlineStr">
        <is>
          <t>ANDI_2024_AR.pdf</t>
        </is>
      </c>
      <c r="C342" t="n">
        <v>2024</v>
      </c>
      <c r="D342" t="inlineStr">
        <is>
          <t>Asset</t>
        </is>
      </c>
      <c r="E342" t="inlineStr">
        <is>
          <t>Palm Oil Mill Count</t>
        </is>
      </c>
      <c r="F342" t="n">
        <v>1</v>
      </c>
      <c r="G342" t="inlineStr">
        <is>
          <t>count</t>
        </is>
      </c>
      <c r="H342" t="n">
        <v>85</v>
      </c>
      <c r="I342" t="inlineStr">
        <is>
          <t>Pabrik Kelapa Sawit (PKS) Perseroan memproduksi CPO dan PK</t>
        </is>
      </c>
      <c r="J342" t="inlineStr">
        <is>
          <t>High</t>
        </is>
      </c>
      <c r="M342" t="inlineStr">
        <is>
          <t>LLM</t>
        </is>
      </c>
      <c r="N342" t="inlineStr">
        <is>
          <t>2026-04-18</t>
        </is>
      </c>
      <c r="O342" t="inlineStr">
        <is>
          <t>AI</t>
        </is>
      </c>
    </row>
    <row r="343">
      <c r="A343" t="inlineStr">
        <is>
          <t>PT Andira Agro Tbk</t>
        </is>
      </c>
      <c r="B343" t="inlineStr">
        <is>
          <t>ANDI_2024_AR.pdf</t>
        </is>
      </c>
      <c r="C343" t="n">
        <v>2024</v>
      </c>
      <c r="D343" t="inlineStr">
        <is>
          <t>Asset</t>
        </is>
      </c>
      <c r="E343" t="inlineStr">
        <is>
          <t>Mill Capacity</t>
        </is>
      </c>
      <c r="F343" t="n">
        <v>30</v>
      </c>
      <c r="G343" t="inlineStr">
        <is>
          <t>tph</t>
        </is>
      </c>
      <c r="H343" t="n">
        <v>85</v>
      </c>
      <c r="I343" t="inlineStr">
        <is>
          <t>total kapasitas pengolahan kelapa sawit sebesar 30 ton per jam</t>
        </is>
      </c>
      <c r="J343" t="inlineStr">
        <is>
          <t>High</t>
        </is>
      </c>
      <c r="M343" t="inlineStr">
        <is>
          <t>LLM</t>
        </is>
      </c>
      <c r="N343" t="inlineStr">
        <is>
          <t>2026-04-18</t>
        </is>
      </c>
      <c r="O343" t="inlineStr">
        <is>
          <t>AI</t>
        </is>
      </c>
    </row>
    <row r="344">
      <c r="A344" t="inlineStr">
        <is>
          <t>PT Andira Agro Tbk</t>
        </is>
      </c>
      <c r="B344" t="inlineStr">
        <is>
          <t>ANDI_2024_AR.pdf</t>
        </is>
      </c>
      <c r="C344" t="n">
        <v>2024</v>
      </c>
      <c r="D344" t="inlineStr">
        <is>
          <t>Asset</t>
        </is>
      </c>
      <c r="E344" t="inlineStr">
        <is>
          <t>HGU Area</t>
        </is>
      </c>
      <c r="F344" t="n">
        <v>4453</v>
      </c>
      <c r="G344" t="inlineStr">
        <is>
          <t>ha</t>
        </is>
      </c>
      <c r="H344" t="n">
        <v>85</v>
      </c>
      <c r="I344" t="inlineStr">
        <is>
          <t>Operations in Banyuasin, South Sumatra; HGU total ~4,453 ha (from 2022 notes)</t>
        </is>
      </c>
      <c r="J344" t="inlineStr">
        <is>
          <t>Medium</t>
        </is>
      </c>
      <c r="M344" t="inlineStr">
        <is>
          <t>LLM</t>
        </is>
      </c>
      <c r="N344" t="inlineStr">
        <is>
          <t>2026-04-18</t>
        </is>
      </c>
      <c r="O344" t="inlineStr">
        <is>
          <t>AI</t>
        </is>
      </c>
    </row>
    <row r="345">
      <c r="A345" t="inlineStr">
        <is>
          <t>PT Andira Agro Tbk</t>
        </is>
      </c>
      <c r="B345" t="inlineStr">
        <is>
          <t>ANDI_2024_AR.pdf</t>
        </is>
      </c>
      <c r="C345" t="n">
        <v>2024</v>
      </c>
      <c r="D345" t="inlineStr">
        <is>
          <t>Operation</t>
        </is>
      </c>
      <c r="E345" t="inlineStr">
        <is>
          <t>FFB Processed</t>
        </is>
      </c>
      <c r="F345" t="n">
        <v>71988</v>
      </c>
      <c r="G345" t="inlineStr">
        <is>
          <t>t</t>
        </is>
      </c>
      <c r="H345" t="n">
        <v>85</v>
      </c>
      <c r="I345" t="inlineStr">
        <is>
          <t>Tanda Buah Segar (TBS) olah mencapai 71,988 ton</t>
        </is>
      </c>
      <c r="J345" t="inlineStr">
        <is>
          <t>High</t>
        </is>
      </c>
      <c r="M345" t="inlineStr">
        <is>
          <t>LLM</t>
        </is>
      </c>
      <c r="N345" t="inlineStr">
        <is>
          <t>2026-04-18</t>
        </is>
      </c>
      <c r="O345" t="inlineStr">
        <is>
          <t>AI</t>
        </is>
      </c>
    </row>
    <row r="346">
      <c r="A346" t="inlineStr">
        <is>
          <t>PT Andira Agro Tbk</t>
        </is>
      </c>
      <c r="B346" t="inlineStr">
        <is>
          <t>ANDI_2024_AR.pdf</t>
        </is>
      </c>
      <c r="C346" t="n">
        <v>2024</v>
      </c>
      <c r="D346" t="inlineStr">
        <is>
          <t>Operation</t>
        </is>
      </c>
      <c r="E346" t="inlineStr">
        <is>
          <t>CPO Production</t>
        </is>
      </c>
      <c r="F346" t="n">
        <v>11546</v>
      </c>
      <c r="G346" t="inlineStr">
        <is>
          <t>t</t>
        </is>
      </c>
      <c r="H346" t="n">
        <v>85</v>
      </c>
      <c r="I346" t="inlineStr">
        <is>
          <t>menghasilkan CPO sebanyak 11,546 ton pada 2024</t>
        </is>
      </c>
      <c r="J346" t="inlineStr">
        <is>
          <t>High</t>
        </is>
      </c>
      <c r="M346" t="inlineStr">
        <is>
          <t>LLM</t>
        </is>
      </c>
      <c r="N346" t="inlineStr">
        <is>
          <t>2026-04-18</t>
        </is>
      </c>
      <c r="O346" t="inlineStr">
        <is>
          <t>AI</t>
        </is>
      </c>
    </row>
    <row r="347">
      <c r="A347" t="inlineStr">
        <is>
          <t>PT Andira Agro Tbk</t>
        </is>
      </c>
      <c r="B347" t="inlineStr">
        <is>
          <t>ANDI_2024_AR.pdf</t>
        </is>
      </c>
      <c r="C347" t="n">
        <v>2024</v>
      </c>
      <c r="D347" t="inlineStr">
        <is>
          <t>Operation</t>
        </is>
      </c>
      <c r="E347" t="inlineStr">
        <is>
          <t>PK Production</t>
        </is>
      </c>
      <c r="F347" t="n">
        <v>3166</v>
      </c>
      <c r="G347" t="inlineStr">
        <is>
          <t>t</t>
        </is>
      </c>
      <c r="H347" t="n">
        <v>85</v>
      </c>
      <c r="I347" t="inlineStr">
        <is>
          <t>memproduksi sebanyak 3,166 ton Palm Kernel (PK)</t>
        </is>
      </c>
      <c r="J347" t="inlineStr">
        <is>
          <t>High</t>
        </is>
      </c>
      <c r="M347" t="inlineStr">
        <is>
          <t>LLM</t>
        </is>
      </c>
      <c r="N347" t="inlineStr">
        <is>
          <t>2026-04-18</t>
        </is>
      </c>
      <c r="O347" t="inlineStr">
        <is>
          <t>AI</t>
        </is>
      </c>
    </row>
    <row r="348">
      <c r="A348" t="inlineStr">
        <is>
          <t>PT Andira Agro Tbk</t>
        </is>
      </c>
      <c r="B348" t="inlineStr">
        <is>
          <t>ANDI_2024_AR.pdf</t>
        </is>
      </c>
      <c r="C348" t="n">
        <v>2024</v>
      </c>
      <c r="D348" t="inlineStr">
        <is>
          <t>Operation</t>
        </is>
      </c>
      <c r="E348" t="inlineStr">
        <is>
          <t>Calculated OER</t>
        </is>
      </c>
      <c r="F348" t="n">
        <v>0.1604</v>
      </c>
      <c r="G348" t="inlineStr">
        <is>
          <t>%</t>
        </is>
      </c>
      <c r="H348" t="n">
        <v>85</v>
      </c>
      <c r="I348" t="inlineStr">
        <is>
          <t>CPO 11,546 / FFB 71,988 = 16.04%</t>
        </is>
      </c>
      <c r="J348" t="inlineStr">
        <is>
          <t>Medium</t>
        </is>
      </c>
      <c r="M348" t="inlineStr">
        <is>
          <t>LLM</t>
        </is>
      </c>
      <c r="N348" t="inlineStr">
        <is>
          <t>2026-04-18</t>
        </is>
      </c>
      <c r="O348" t="inlineStr">
        <is>
          <t>AI</t>
        </is>
      </c>
    </row>
    <row r="349">
      <c r="A349" t="inlineStr">
        <is>
          <t>PT Andira Agro Tbk</t>
        </is>
      </c>
      <c r="B349" t="inlineStr">
        <is>
          <t>ANDI_2024_AR.pdf</t>
        </is>
      </c>
      <c r="C349" t="n">
        <v>2024</v>
      </c>
      <c r="D349" t="inlineStr">
        <is>
          <t>Operation</t>
        </is>
      </c>
      <c r="E349" t="inlineStr">
        <is>
          <t>New Product: Palm Kernel Shell (Cangkang)</t>
        </is>
      </c>
      <c r="F349" t="inlineStr">
        <is>
          <t>Commenced</t>
        </is>
      </c>
      <c r="G349" t="inlineStr">
        <is>
          <t>text</t>
        </is>
      </c>
      <c r="H349" t="n">
        <v>86</v>
      </c>
      <c r="I349" t="inlineStr">
        <is>
          <t>Cangkang 236,261,262 (new line 2024)</t>
        </is>
      </c>
      <c r="J349" t="inlineStr">
        <is>
          <t>High</t>
        </is>
      </c>
      <c r="M349" t="inlineStr">
        <is>
          <t>LLM</t>
        </is>
      </c>
      <c r="N349" t="inlineStr">
        <is>
          <t>2026-04-18</t>
        </is>
      </c>
      <c r="O349" t="inlineStr">
        <is>
          <t>AI</t>
        </is>
      </c>
    </row>
    <row r="350">
      <c r="A350" t="inlineStr">
        <is>
          <t>PT Andira Agro Tbk</t>
        </is>
      </c>
      <c r="B350" t="inlineStr">
        <is>
          <t>ANDI_2024_AR.pdf</t>
        </is>
      </c>
      <c r="C350" t="n">
        <v>2024</v>
      </c>
      <c r="D350" t="inlineStr">
        <is>
          <t>Company</t>
        </is>
      </c>
      <c r="E350" t="inlineStr">
        <is>
          <t>Headcount (Employees)</t>
        </is>
      </c>
      <c r="G350" t="inlineStr">
        <is>
          <t>count</t>
        </is>
      </c>
      <c r="H350" t="n">
        <v>0</v>
      </c>
      <c r="I350" t="inlineStr">
        <is>
          <t>Not retrieved in this pass</t>
        </is>
      </c>
      <c r="J350" t="inlineStr">
        <is>
          <t>Low</t>
        </is>
      </c>
      <c r="M350" t="inlineStr">
        <is>
          <t>LLM</t>
        </is>
      </c>
      <c r="N350" t="inlineStr">
        <is>
          <t>2026-04-18</t>
        </is>
      </c>
      <c r="O350" t="inlineStr">
        <is>
          <t>AI</t>
        </is>
      </c>
    </row>
    <row r="351">
      <c r="A351" t="inlineStr">
        <is>
          <t>PT Austindo Nusantara Jaya Tbk</t>
        </is>
      </c>
      <c r="B351" t="inlineStr">
        <is>
          <t>ANJT_2022_AR.pdf</t>
        </is>
      </c>
      <c r="C351" t="n">
        <v>2023</v>
      </c>
      <c r="D351" t="inlineStr">
        <is>
          <t>Company</t>
        </is>
      </c>
      <c r="E351" t="inlineStr">
        <is>
          <t>Company Name</t>
        </is>
      </c>
      <c r="F351" t="inlineStr">
        <is>
          <t>PT Austindo Nusantara Jaya Tbk</t>
        </is>
      </c>
      <c r="G351" t="inlineStr">
        <is>
          <t>text</t>
        </is>
      </c>
      <c r="H351" t="n">
        <v>1</v>
      </c>
      <c r="I351" t="inlineStr">
        <is>
          <t>Cover: PT Austindo Nusantara Jaya Tbk.</t>
        </is>
      </c>
      <c r="J351" t="inlineStr">
        <is>
          <t>High</t>
        </is>
      </c>
      <c r="M351" t="inlineStr">
        <is>
          <t>LLM</t>
        </is>
      </c>
      <c r="N351" t="inlineStr">
        <is>
          <t>2026-04-18</t>
        </is>
      </c>
      <c r="O351" t="inlineStr">
        <is>
          <t>AI</t>
        </is>
      </c>
    </row>
    <row r="352">
      <c r="A352" t="inlineStr">
        <is>
          <t>PT Austindo Nusantara Jaya Tbk</t>
        </is>
      </c>
      <c r="B352" t="inlineStr">
        <is>
          <t>ANJT_2022_AR.pdf</t>
        </is>
      </c>
      <c r="C352" t="n">
        <v>2023</v>
      </c>
      <c r="D352" t="inlineStr">
        <is>
          <t>Company</t>
        </is>
      </c>
      <c r="E352" t="inlineStr">
        <is>
          <t>Ticker</t>
        </is>
      </c>
      <c r="F352" t="inlineStr">
        <is>
          <t>ANJT</t>
        </is>
      </c>
      <c r="G352" t="inlineStr">
        <is>
          <t>text</t>
        </is>
      </c>
      <c r="H352" t="n">
        <v>86</v>
      </c>
      <c r="I352" t="inlineStr">
        <is>
          <t>Company listed on IDX under the stock code ANJT</t>
        </is>
      </c>
      <c r="J352" t="inlineStr">
        <is>
          <t>High</t>
        </is>
      </c>
      <c r="M352" t="inlineStr">
        <is>
          <t>LLM</t>
        </is>
      </c>
      <c r="N352" t="inlineStr">
        <is>
          <t>2026-04-18</t>
        </is>
      </c>
      <c r="O352" t="inlineStr">
        <is>
          <t>AI</t>
        </is>
      </c>
    </row>
    <row r="353">
      <c r="A353" t="inlineStr">
        <is>
          <t>PT Austindo Nusantara Jaya Tbk</t>
        </is>
      </c>
      <c r="B353" t="inlineStr">
        <is>
          <t>ANJT_2022_AR.pdf</t>
        </is>
      </c>
      <c r="C353" t="n">
        <v>2023</v>
      </c>
      <c r="D353" t="inlineStr">
        <is>
          <t>Company</t>
        </is>
      </c>
      <c r="E353" t="inlineStr">
        <is>
          <t>Report Year</t>
        </is>
      </c>
      <c r="F353" t="n">
        <v>2023</v>
      </c>
      <c r="G353" t="inlineStr">
        <is>
          <t>year</t>
        </is>
      </c>
      <c r="H353" t="n">
        <v>1</v>
      </c>
      <c r="I353" t="inlineStr">
        <is>
          <t>2023 Annual Report</t>
        </is>
      </c>
      <c r="J353" t="inlineStr">
        <is>
          <t>High</t>
        </is>
      </c>
      <c r="M353" t="inlineStr">
        <is>
          <t>LLM</t>
        </is>
      </c>
      <c r="N353" t="inlineStr">
        <is>
          <t>2026-04-18</t>
        </is>
      </c>
      <c r="O353" t="inlineStr">
        <is>
          <t>AI</t>
        </is>
      </c>
    </row>
    <row r="354">
      <c r="A354" t="inlineStr">
        <is>
          <t>PT Austindo Nusantara Jaya Tbk</t>
        </is>
      </c>
      <c r="B354" t="inlineStr">
        <is>
          <t>ANJT_2022_AR.pdf</t>
        </is>
      </c>
      <c r="C354" t="n">
        <v>2023</v>
      </c>
      <c r="D354" t="inlineStr">
        <is>
          <t>Company</t>
        </is>
      </c>
      <c r="E354" t="inlineStr">
        <is>
          <t>IPO Date</t>
        </is>
      </c>
      <c r="F354" t="inlineStr">
        <is>
          <t>2013-05-08</t>
        </is>
      </c>
      <c r="G354" t="inlineStr">
        <is>
          <t>date</t>
        </is>
      </c>
      <c r="H354" t="n">
        <v>86</v>
      </c>
      <c r="I354" t="inlineStr">
        <is>
          <t>listed its shares on the IDX on May 8, 2013, under the stock code ANJT</t>
        </is>
      </c>
      <c r="J354" t="inlineStr">
        <is>
          <t>High</t>
        </is>
      </c>
      <c r="M354" t="inlineStr">
        <is>
          <t>LLM</t>
        </is>
      </c>
      <c r="N354" t="inlineStr">
        <is>
          <t>2026-04-18</t>
        </is>
      </c>
      <c r="O354" t="inlineStr">
        <is>
          <t>AI</t>
        </is>
      </c>
    </row>
    <row r="355">
      <c r="A355" t="inlineStr">
        <is>
          <t>PT Austindo Nusantara Jaya Tbk</t>
        </is>
      </c>
      <c r="B355" t="inlineStr">
        <is>
          <t>ANJT_2022_AR.pdf</t>
        </is>
      </c>
      <c r="C355" t="n">
        <v>2023</v>
      </c>
      <c r="D355" t="inlineStr">
        <is>
          <t>Company</t>
        </is>
      </c>
      <c r="E355" t="inlineStr">
        <is>
          <t>Shareholder Structure</t>
        </is>
      </c>
      <c r="F355" t="inlineStr">
        <is>
          <t>Tahija family 91% / Public 8.83%</t>
        </is>
      </c>
      <c r="G355" t="inlineStr">
        <is>
          <t>text</t>
        </is>
      </c>
      <c r="H355" t="n">
        <v>88</v>
      </c>
      <c r="I355" t="inlineStr">
        <is>
          <t>PT Memimpin Dengan Nurani 40.85% / PT Austindo Kencana Jaya 40.85% / George Tahija 4.74% / Sjakon Tahija 4.74% / Public 8.83%</t>
        </is>
      </c>
      <c r="J355" t="inlineStr">
        <is>
          <t>High</t>
        </is>
      </c>
      <c r="M355" t="inlineStr">
        <is>
          <t>LLM</t>
        </is>
      </c>
      <c r="N355" t="inlineStr">
        <is>
          <t>2026-04-18</t>
        </is>
      </c>
      <c r="O355" t="inlineStr">
        <is>
          <t>AI</t>
        </is>
      </c>
    </row>
    <row r="356">
      <c r="A356" t="inlineStr">
        <is>
          <t>PT Austindo Nusantara Jaya Tbk</t>
        </is>
      </c>
      <c r="B356" t="inlineStr">
        <is>
          <t>ANJT_2022_AR.pdf</t>
        </is>
      </c>
      <c r="C356" t="n">
        <v>2023</v>
      </c>
      <c r="D356" t="inlineStr">
        <is>
          <t>Financial</t>
        </is>
      </c>
      <c r="E356" t="inlineStr">
        <is>
          <t>Revenue</t>
        </is>
      </c>
      <c r="F356" t="n">
        <v>236.5</v>
      </c>
      <c r="G356" t="inlineStr">
        <is>
          <t>USD mn</t>
        </is>
      </c>
      <c r="H356" t="n">
        <v>8</v>
      </c>
      <c r="I356" t="inlineStr">
        <is>
          <t>Total Revenue 236.5 (2023)</t>
        </is>
      </c>
      <c r="J356" t="inlineStr">
        <is>
          <t>High</t>
        </is>
      </c>
      <c r="M356" t="inlineStr">
        <is>
          <t>LLM</t>
        </is>
      </c>
      <c r="N356" t="inlineStr">
        <is>
          <t>2026-04-18</t>
        </is>
      </c>
      <c r="O356" t="inlineStr">
        <is>
          <t>AI</t>
        </is>
      </c>
    </row>
    <row r="357">
      <c r="A357" t="inlineStr">
        <is>
          <t>PT Austindo Nusantara Jaya Tbk</t>
        </is>
      </c>
      <c r="B357" t="inlineStr">
        <is>
          <t>ANJT_2022_AR.pdf</t>
        </is>
      </c>
      <c r="C357" t="n">
        <v>2023</v>
      </c>
      <c r="D357" t="inlineStr">
        <is>
          <t>Financial</t>
        </is>
      </c>
      <c r="E357" t="inlineStr">
        <is>
          <t>Revenue (IDR bn)</t>
        </is>
      </c>
      <c r="F357" t="n">
        <v>3641</v>
      </c>
      <c r="G357" t="inlineStr">
        <is>
          <t>IDR bn</t>
        </is>
      </c>
      <c r="H357" t="n">
        <v>8</v>
      </c>
      <c r="I357" t="inlineStr">
        <is>
          <t>USD 236.5mn x ~15,394 IDR/USD year-end 2023 = Rp 3,641 bn</t>
        </is>
      </c>
      <c r="J357" t="inlineStr">
        <is>
          <t>High</t>
        </is>
      </c>
      <c r="M357" t="inlineStr">
        <is>
          <t>LLM</t>
        </is>
      </c>
      <c r="N357" t="inlineStr">
        <is>
          <t>2026-04-18</t>
        </is>
      </c>
      <c r="O357" t="inlineStr">
        <is>
          <t>AI</t>
        </is>
      </c>
    </row>
    <row r="358">
      <c r="A358" t="inlineStr">
        <is>
          <t>PT Austindo Nusantara Jaya Tbk</t>
        </is>
      </c>
      <c r="B358" t="inlineStr">
        <is>
          <t>ANJT_2022_AR.pdf</t>
        </is>
      </c>
      <c r="C358" t="n">
        <v>2023</v>
      </c>
      <c r="D358" t="inlineStr">
        <is>
          <t>Financial</t>
        </is>
      </c>
      <c r="E358" t="inlineStr">
        <is>
          <t>Gross Profit</t>
        </is>
      </c>
      <c r="F358" t="n">
        <v>31.6</v>
      </c>
      <c r="G358" t="inlineStr">
        <is>
          <t>USD mn</t>
        </is>
      </c>
      <c r="H358" t="n">
        <v>8</v>
      </c>
      <c r="I358" t="inlineStr">
        <is>
          <t>Gross profit 31.6 (2023)</t>
        </is>
      </c>
      <c r="J358" t="inlineStr">
        <is>
          <t>High</t>
        </is>
      </c>
      <c r="M358" t="inlineStr">
        <is>
          <t>LLM</t>
        </is>
      </c>
      <c r="N358" t="inlineStr">
        <is>
          <t>2026-04-18</t>
        </is>
      </c>
      <c r="O358" t="inlineStr">
        <is>
          <t>AI</t>
        </is>
      </c>
    </row>
    <row r="359">
      <c r="A359" t="inlineStr">
        <is>
          <t>PT Austindo Nusantara Jaya Tbk</t>
        </is>
      </c>
      <c r="B359" t="inlineStr">
        <is>
          <t>ANJT_2022_AR.pdf</t>
        </is>
      </c>
      <c r="C359" t="n">
        <v>2023</v>
      </c>
      <c r="D359" t="inlineStr">
        <is>
          <t>Financial</t>
        </is>
      </c>
      <c r="E359" t="inlineStr">
        <is>
          <t>EBITDA</t>
        </is>
      </c>
      <c r="F359" t="n">
        <v>49.1</v>
      </c>
      <c r="G359" t="inlineStr">
        <is>
          <t>USD mn</t>
        </is>
      </c>
      <c r="H359" t="n">
        <v>8</v>
      </c>
      <c r="I359" t="inlineStr">
        <is>
          <t>EBITDA 49.1 (2023)</t>
        </is>
      </c>
      <c r="J359" t="inlineStr">
        <is>
          <t>High</t>
        </is>
      </c>
      <c r="M359" t="inlineStr">
        <is>
          <t>LLM</t>
        </is>
      </c>
      <c r="N359" t="inlineStr">
        <is>
          <t>2026-04-18</t>
        </is>
      </c>
      <c r="O359" t="inlineStr">
        <is>
          <t>AI</t>
        </is>
      </c>
    </row>
    <row r="360">
      <c r="A360" t="inlineStr">
        <is>
          <t>PT Austindo Nusantara Jaya Tbk</t>
        </is>
      </c>
      <c r="B360" t="inlineStr">
        <is>
          <t>ANJT_2022_AR.pdf</t>
        </is>
      </c>
      <c r="C360" t="n">
        <v>2023</v>
      </c>
      <c r="D360" t="inlineStr">
        <is>
          <t>Financial</t>
        </is>
      </c>
      <c r="E360" t="inlineStr">
        <is>
          <t>Net Income</t>
        </is>
      </c>
      <c r="F360" t="n">
        <v>1.9</v>
      </c>
      <c r="G360" t="inlineStr">
        <is>
          <t>USD mn</t>
        </is>
      </c>
      <c r="H360" t="n">
        <v>8</v>
      </c>
      <c r="I360" t="inlineStr">
        <is>
          <t>Net income for the year 1.9 (2023)</t>
        </is>
      </c>
      <c r="J360" t="inlineStr">
        <is>
          <t>High</t>
        </is>
      </c>
      <c r="M360" t="inlineStr">
        <is>
          <t>LLM</t>
        </is>
      </c>
      <c r="N360" t="inlineStr">
        <is>
          <t>2026-04-18</t>
        </is>
      </c>
      <c r="O360" t="inlineStr">
        <is>
          <t>AI</t>
        </is>
      </c>
    </row>
    <row r="361">
      <c r="A361" t="inlineStr">
        <is>
          <t>PT Austindo Nusantara Jaya Tbk</t>
        </is>
      </c>
      <c r="B361" t="inlineStr">
        <is>
          <t>ANJT_2022_AR.pdf</t>
        </is>
      </c>
      <c r="C361" t="n">
        <v>2023</v>
      </c>
      <c r="D361" t="inlineStr">
        <is>
          <t>Financial</t>
        </is>
      </c>
      <c r="E361" t="inlineStr">
        <is>
          <t>Net Income Parent</t>
        </is>
      </c>
      <c r="F361" t="n">
        <v>2.6</v>
      </c>
      <c r="G361" t="inlineStr">
        <is>
          <t>USD mn</t>
        </is>
      </c>
      <c r="H361" t="n">
        <v>8</v>
      </c>
      <c r="I361" t="inlineStr">
        <is>
          <t>attributable to the owners of the company 2.6 (2023)</t>
        </is>
      </c>
      <c r="J361" t="inlineStr">
        <is>
          <t>High</t>
        </is>
      </c>
      <c r="M361" t="inlineStr">
        <is>
          <t>LLM</t>
        </is>
      </c>
      <c r="N361" t="inlineStr">
        <is>
          <t>2026-04-18</t>
        </is>
      </c>
      <c r="O361" t="inlineStr">
        <is>
          <t>AI</t>
        </is>
      </c>
    </row>
    <row r="362">
      <c r="A362" t="inlineStr">
        <is>
          <t>PT Austindo Nusantara Jaya Tbk</t>
        </is>
      </c>
      <c r="B362" t="inlineStr">
        <is>
          <t>ANJT_2022_AR.pdf</t>
        </is>
      </c>
      <c r="C362" t="n">
        <v>2023</v>
      </c>
      <c r="D362" t="inlineStr">
        <is>
          <t>Financial</t>
        </is>
      </c>
      <c r="E362" t="inlineStr">
        <is>
          <t>Total Comprehensive Income</t>
        </is>
      </c>
      <c r="F362" t="n">
        <v>6.5</v>
      </c>
      <c r="G362" t="inlineStr">
        <is>
          <t>USD mn</t>
        </is>
      </c>
      <c r="H362" t="n">
        <v>8</v>
      </c>
      <c r="I362" t="inlineStr">
        <is>
          <t>Total Comprehensive Income 6.5</t>
        </is>
      </c>
      <c r="J362" t="inlineStr">
        <is>
          <t>High</t>
        </is>
      </c>
      <c r="M362" t="inlineStr">
        <is>
          <t>LLM</t>
        </is>
      </c>
      <c r="N362" t="inlineStr">
        <is>
          <t>2026-04-18</t>
        </is>
      </c>
      <c r="O362" t="inlineStr">
        <is>
          <t>AI</t>
        </is>
      </c>
    </row>
    <row r="363">
      <c r="A363" t="inlineStr">
        <is>
          <t>PT Austindo Nusantara Jaya Tbk</t>
        </is>
      </c>
      <c r="B363" t="inlineStr">
        <is>
          <t>ANJT_2022_AR.pdf</t>
        </is>
      </c>
      <c r="C363" t="n">
        <v>2023</v>
      </c>
      <c r="D363" t="inlineStr">
        <is>
          <t>Financial</t>
        </is>
      </c>
      <c r="E363" t="inlineStr">
        <is>
          <t>Cash &amp; cash equivalents</t>
        </is>
      </c>
      <c r="F363" t="n">
        <v>5.9</v>
      </c>
      <c r="G363" t="inlineStr">
        <is>
          <t>USD mn</t>
        </is>
      </c>
      <c r="H363" t="n">
        <v>8</v>
      </c>
      <c r="I363" t="inlineStr">
        <is>
          <t>Cash and cash equivalents 5.9</t>
        </is>
      </c>
      <c r="J363" t="inlineStr">
        <is>
          <t>High</t>
        </is>
      </c>
      <c r="M363" t="inlineStr">
        <is>
          <t>LLM</t>
        </is>
      </c>
      <c r="N363" t="inlineStr">
        <is>
          <t>2026-04-18</t>
        </is>
      </c>
      <c r="O363" t="inlineStr">
        <is>
          <t>AI</t>
        </is>
      </c>
    </row>
    <row r="364">
      <c r="A364" t="inlineStr">
        <is>
          <t>PT Austindo Nusantara Jaya Tbk</t>
        </is>
      </c>
      <c r="B364" t="inlineStr">
        <is>
          <t>ANJT_2022_AR.pdf</t>
        </is>
      </c>
      <c r="C364" t="n">
        <v>2023</v>
      </c>
      <c r="D364" t="inlineStr">
        <is>
          <t>Financial</t>
        </is>
      </c>
      <c r="E364" t="inlineStr">
        <is>
          <t>Total Current Assets</t>
        </is>
      </c>
      <c r="F364" t="n">
        <v>55</v>
      </c>
      <c r="G364" t="inlineStr">
        <is>
          <t>USD mn</t>
        </is>
      </c>
      <c r="H364" t="n">
        <v>8</v>
      </c>
      <c r="I364" t="inlineStr">
        <is>
          <t>Total current assets 55.0</t>
        </is>
      </c>
      <c r="J364" t="inlineStr">
        <is>
          <t>High</t>
        </is>
      </c>
      <c r="M364" t="inlineStr">
        <is>
          <t>LLM</t>
        </is>
      </c>
      <c r="N364" t="inlineStr">
        <is>
          <t>2026-04-18</t>
        </is>
      </c>
      <c r="O364" t="inlineStr">
        <is>
          <t>AI</t>
        </is>
      </c>
    </row>
    <row r="365">
      <c r="A365" t="inlineStr">
        <is>
          <t>PT Austindo Nusantara Jaya Tbk</t>
        </is>
      </c>
      <c r="B365" t="inlineStr">
        <is>
          <t>ANJT_2022_AR.pdf</t>
        </is>
      </c>
      <c r="C365" t="n">
        <v>2023</v>
      </c>
      <c r="D365" t="inlineStr">
        <is>
          <t>Financial</t>
        </is>
      </c>
      <c r="E365" t="inlineStr">
        <is>
          <t>Total Assets</t>
        </is>
      </c>
      <c r="F365" t="n">
        <v>614.1</v>
      </c>
      <c r="G365" t="inlineStr">
        <is>
          <t>USD mn</t>
        </is>
      </c>
      <c r="H365" t="n">
        <v>8</v>
      </c>
      <c r="I365" t="inlineStr">
        <is>
          <t>Total assets 614.1</t>
        </is>
      </c>
      <c r="J365" t="inlineStr">
        <is>
          <t>High</t>
        </is>
      </c>
      <c r="M365" t="inlineStr">
        <is>
          <t>LLM</t>
        </is>
      </c>
      <c r="N365" t="inlineStr">
        <is>
          <t>2026-04-18</t>
        </is>
      </c>
      <c r="O365" t="inlineStr">
        <is>
          <t>AI</t>
        </is>
      </c>
    </row>
    <row r="366">
      <c r="A366" t="inlineStr">
        <is>
          <t>PT Austindo Nusantara Jaya Tbk</t>
        </is>
      </c>
      <c r="B366" t="inlineStr">
        <is>
          <t>ANJT_2022_AR.pdf</t>
        </is>
      </c>
      <c r="C366" t="n">
        <v>2023</v>
      </c>
      <c r="D366" t="inlineStr">
        <is>
          <t>Financial</t>
        </is>
      </c>
      <c r="E366" t="inlineStr">
        <is>
          <t>Bank Loans (Gross Debt)</t>
        </is>
      </c>
      <c r="F366" t="n">
        <v>150.9</v>
      </c>
      <c r="G366" t="inlineStr">
        <is>
          <t>USD mn</t>
        </is>
      </c>
      <c r="H366" t="n">
        <v>8</v>
      </c>
      <c r="I366" t="inlineStr">
        <is>
          <t>Bank loans 150.9</t>
        </is>
      </c>
      <c r="J366" t="inlineStr">
        <is>
          <t>High</t>
        </is>
      </c>
      <c r="M366" t="inlineStr">
        <is>
          <t>LLM</t>
        </is>
      </c>
      <c r="N366" t="inlineStr">
        <is>
          <t>2026-04-18</t>
        </is>
      </c>
      <c r="O366" t="inlineStr">
        <is>
          <t>AI</t>
        </is>
      </c>
    </row>
    <row r="367">
      <c r="A367" t="inlineStr">
        <is>
          <t>PT Austindo Nusantara Jaya Tbk</t>
        </is>
      </c>
      <c r="B367" t="inlineStr">
        <is>
          <t>ANJT_2022_AR.pdf</t>
        </is>
      </c>
      <c r="C367" t="n">
        <v>2023</v>
      </c>
      <c r="D367" t="inlineStr">
        <is>
          <t>Financial</t>
        </is>
      </c>
      <c r="E367" t="inlineStr">
        <is>
          <t>Total Current Liabilities</t>
        </is>
      </c>
      <c r="F367" t="n">
        <v>52.8</v>
      </c>
      <c r="G367" t="inlineStr">
        <is>
          <t>USD mn</t>
        </is>
      </c>
      <c r="H367" t="n">
        <v>8</v>
      </c>
      <c r="I367" t="inlineStr">
        <is>
          <t>Total current liabilities 52.8</t>
        </is>
      </c>
      <c r="J367" t="inlineStr">
        <is>
          <t>High</t>
        </is>
      </c>
      <c r="M367" t="inlineStr">
        <is>
          <t>LLM</t>
        </is>
      </c>
      <c r="N367" t="inlineStr">
        <is>
          <t>2026-04-18</t>
        </is>
      </c>
      <c r="O367" t="inlineStr">
        <is>
          <t>AI</t>
        </is>
      </c>
    </row>
    <row r="368">
      <c r="A368" t="inlineStr">
        <is>
          <t>PT Austindo Nusantara Jaya Tbk</t>
        </is>
      </c>
      <c r="B368" t="inlineStr">
        <is>
          <t>ANJT_2022_AR.pdf</t>
        </is>
      </c>
      <c r="C368" t="n">
        <v>2023</v>
      </c>
      <c r="D368" t="inlineStr">
        <is>
          <t>Financial</t>
        </is>
      </c>
      <c r="E368" t="inlineStr">
        <is>
          <t>Total Liabilities</t>
        </is>
      </c>
      <c r="F368" t="n">
        <v>188.7</v>
      </c>
      <c r="G368" t="inlineStr">
        <is>
          <t>USD mn</t>
        </is>
      </c>
      <c r="H368" t="n">
        <v>8</v>
      </c>
      <c r="I368" t="inlineStr">
        <is>
          <t>Total liabilities 188.7</t>
        </is>
      </c>
      <c r="J368" t="inlineStr">
        <is>
          <t>High</t>
        </is>
      </c>
      <c r="M368" t="inlineStr">
        <is>
          <t>LLM</t>
        </is>
      </c>
      <c r="N368" t="inlineStr">
        <is>
          <t>2026-04-18</t>
        </is>
      </c>
      <c r="O368" t="inlineStr">
        <is>
          <t>AI</t>
        </is>
      </c>
    </row>
    <row r="369">
      <c r="A369" t="inlineStr">
        <is>
          <t>PT Austindo Nusantara Jaya Tbk</t>
        </is>
      </c>
      <c r="B369" t="inlineStr">
        <is>
          <t>ANJT_2022_AR.pdf</t>
        </is>
      </c>
      <c r="C369" t="n">
        <v>2023</v>
      </c>
      <c r="D369" t="inlineStr">
        <is>
          <t>Financial</t>
        </is>
      </c>
      <c r="E369" t="inlineStr">
        <is>
          <t>Total Equity</t>
        </is>
      </c>
      <c r="F369" t="n">
        <v>425.3</v>
      </c>
      <c r="G369" t="inlineStr">
        <is>
          <t>USD mn</t>
        </is>
      </c>
      <c r="H369" t="n">
        <v>8</v>
      </c>
      <c r="I369" t="inlineStr">
        <is>
          <t>Total equity 425.3</t>
        </is>
      </c>
      <c r="J369" t="inlineStr">
        <is>
          <t>High</t>
        </is>
      </c>
      <c r="M369" t="inlineStr">
        <is>
          <t>LLM</t>
        </is>
      </c>
      <c r="N369" t="inlineStr">
        <is>
          <t>2026-04-18</t>
        </is>
      </c>
      <c r="O369" t="inlineStr">
        <is>
          <t>AI</t>
        </is>
      </c>
    </row>
    <row r="370">
      <c r="A370" t="inlineStr">
        <is>
          <t>PT Austindo Nusantara Jaya Tbk</t>
        </is>
      </c>
      <c r="B370" t="inlineStr">
        <is>
          <t>ANJT_2022_AR.pdf</t>
        </is>
      </c>
      <c r="C370" t="n">
        <v>2023</v>
      </c>
      <c r="D370" t="inlineStr">
        <is>
          <t>Financial</t>
        </is>
      </c>
      <c r="E370" t="inlineStr">
        <is>
          <t>ROA</t>
        </is>
      </c>
      <c r="F370" t="n">
        <v>0.003</v>
      </c>
      <c r="G370" t="inlineStr">
        <is>
          <t>%</t>
        </is>
      </c>
      <c r="H370" t="n">
        <v>8</v>
      </c>
      <c r="I370" t="inlineStr">
        <is>
          <t>Return on assets 0.3%</t>
        </is>
      </c>
      <c r="J370" t="inlineStr">
        <is>
          <t>High</t>
        </is>
      </c>
      <c r="M370" t="inlineStr">
        <is>
          <t>LLM</t>
        </is>
      </c>
      <c r="N370" t="inlineStr">
        <is>
          <t>2026-04-18</t>
        </is>
      </c>
      <c r="O370" t="inlineStr">
        <is>
          <t>AI</t>
        </is>
      </c>
    </row>
    <row r="371">
      <c r="A371" t="inlineStr">
        <is>
          <t>PT Austindo Nusantara Jaya Tbk</t>
        </is>
      </c>
      <c r="B371" t="inlineStr">
        <is>
          <t>ANJT_2022_AR.pdf</t>
        </is>
      </c>
      <c r="C371" t="n">
        <v>2023</v>
      </c>
      <c r="D371" t="inlineStr">
        <is>
          <t>Financial</t>
        </is>
      </c>
      <c r="E371" t="inlineStr">
        <is>
          <t>ROE</t>
        </is>
      </c>
      <c r="F371" t="n">
        <v>0.004</v>
      </c>
      <c r="G371" t="inlineStr">
        <is>
          <t>%</t>
        </is>
      </c>
      <c r="H371" t="n">
        <v>8</v>
      </c>
      <c r="I371" t="inlineStr">
        <is>
          <t>Return on equity 0.4%</t>
        </is>
      </c>
      <c r="J371" t="inlineStr">
        <is>
          <t>High</t>
        </is>
      </c>
      <c r="M371" t="inlineStr">
        <is>
          <t>LLM</t>
        </is>
      </c>
      <c r="N371" t="inlineStr">
        <is>
          <t>2026-04-18</t>
        </is>
      </c>
      <c r="O371" t="inlineStr">
        <is>
          <t>AI</t>
        </is>
      </c>
    </row>
    <row r="372">
      <c r="A372" t="inlineStr">
        <is>
          <t>PT Austindo Nusantara Jaya Tbk</t>
        </is>
      </c>
      <c r="B372" t="inlineStr">
        <is>
          <t>ANJT_2022_AR.pdf</t>
        </is>
      </c>
      <c r="C372" t="n">
        <v>2023</v>
      </c>
      <c r="D372" t="inlineStr">
        <is>
          <t>Financial</t>
        </is>
      </c>
      <c r="E372" t="inlineStr">
        <is>
          <t>Gross Margin</t>
        </is>
      </c>
      <c r="F372" t="n">
        <v>0.133</v>
      </c>
      <c r="G372" t="inlineStr">
        <is>
          <t>%</t>
        </is>
      </c>
      <c r="H372" t="n">
        <v>8</v>
      </c>
      <c r="I372" t="inlineStr">
        <is>
          <t>Gross margin 13.3%</t>
        </is>
      </c>
      <c r="J372" t="inlineStr">
        <is>
          <t>High</t>
        </is>
      </c>
      <c r="M372" t="inlineStr">
        <is>
          <t>LLM</t>
        </is>
      </c>
      <c r="N372" t="inlineStr">
        <is>
          <t>2026-04-18</t>
        </is>
      </c>
      <c r="O372" t="inlineStr">
        <is>
          <t>AI</t>
        </is>
      </c>
    </row>
    <row r="373">
      <c r="A373" t="inlineStr">
        <is>
          <t>PT Austindo Nusantara Jaya Tbk</t>
        </is>
      </c>
      <c r="B373" t="inlineStr">
        <is>
          <t>ANJT_2022_AR.pdf</t>
        </is>
      </c>
      <c r="C373" t="n">
        <v>2023</v>
      </c>
      <c r="D373" t="inlineStr">
        <is>
          <t>Financial</t>
        </is>
      </c>
      <c r="E373" t="inlineStr">
        <is>
          <t>EBITDA Margin</t>
        </is>
      </c>
      <c r="F373" t="n">
        <v>0.208</v>
      </c>
      <c r="G373" t="inlineStr">
        <is>
          <t>%</t>
        </is>
      </c>
      <c r="H373" t="n">
        <v>8</v>
      </c>
      <c r="I373" t="inlineStr">
        <is>
          <t>EBITDA margin 20.8%</t>
        </is>
      </c>
      <c r="J373" t="inlineStr">
        <is>
          <t>High</t>
        </is>
      </c>
      <c r="M373" t="inlineStr">
        <is>
          <t>LLM</t>
        </is>
      </c>
      <c r="N373" t="inlineStr">
        <is>
          <t>2026-04-18</t>
        </is>
      </c>
      <c r="O373" t="inlineStr">
        <is>
          <t>AI</t>
        </is>
      </c>
    </row>
    <row r="374">
      <c r="A374" t="inlineStr">
        <is>
          <t>PT Austindo Nusantara Jaya Tbk</t>
        </is>
      </c>
      <c r="B374" t="inlineStr">
        <is>
          <t>ANJT_2022_AR.pdf</t>
        </is>
      </c>
      <c r="C374" t="n">
        <v>2023</v>
      </c>
      <c r="D374" t="inlineStr">
        <is>
          <t>Financial</t>
        </is>
      </c>
      <c r="E374" t="inlineStr">
        <is>
          <t>Net Profit Margin</t>
        </is>
      </c>
      <c r="F374" t="n">
        <v>0.008</v>
      </c>
      <c r="G374" t="inlineStr">
        <is>
          <t>%</t>
        </is>
      </c>
      <c r="H374" t="n">
        <v>8</v>
      </c>
      <c r="I374" t="inlineStr">
        <is>
          <t>Net profit margin 0.8%</t>
        </is>
      </c>
      <c r="J374" t="inlineStr">
        <is>
          <t>High</t>
        </is>
      </c>
      <c r="M374" t="inlineStr">
        <is>
          <t>LLM</t>
        </is>
      </c>
      <c r="N374" t="inlineStr">
        <is>
          <t>2026-04-18</t>
        </is>
      </c>
      <c r="O374" t="inlineStr">
        <is>
          <t>AI</t>
        </is>
      </c>
    </row>
    <row r="375">
      <c r="A375" t="inlineStr">
        <is>
          <t>PT Austindo Nusantara Jaya Tbk</t>
        </is>
      </c>
      <c r="B375" t="inlineStr">
        <is>
          <t>ANJT_2022_AR.pdf</t>
        </is>
      </c>
      <c r="C375" t="n">
        <v>2023</v>
      </c>
      <c r="D375" t="inlineStr">
        <is>
          <t>Financial</t>
        </is>
      </c>
      <c r="E375" t="inlineStr">
        <is>
          <t>Current Ratio</t>
        </is>
      </c>
      <c r="F375" t="n">
        <v>1</v>
      </c>
      <c r="G375" t="inlineStr">
        <is>
          <t>x</t>
        </is>
      </c>
      <c r="H375" t="n">
        <v>8</v>
      </c>
      <c r="I375" t="inlineStr">
        <is>
          <t>Current ratio 1.0 (2023)</t>
        </is>
      </c>
      <c r="J375" t="inlineStr">
        <is>
          <t>High</t>
        </is>
      </c>
      <c r="M375" t="inlineStr">
        <is>
          <t>LLM</t>
        </is>
      </c>
      <c r="N375" t="inlineStr">
        <is>
          <t>2026-04-18</t>
        </is>
      </c>
      <c r="O375" t="inlineStr">
        <is>
          <t>AI</t>
        </is>
      </c>
    </row>
    <row r="376">
      <c r="A376" t="inlineStr">
        <is>
          <t>PT Austindo Nusantara Jaya Tbk</t>
        </is>
      </c>
      <c r="B376" t="inlineStr">
        <is>
          <t>ANJT_2022_AR.pdf</t>
        </is>
      </c>
      <c r="C376" t="n">
        <v>2023</v>
      </c>
      <c r="D376" t="inlineStr">
        <is>
          <t>Financial</t>
        </is>
      </c>
      <c r="E376" t="inlineStr">
        <is>
          <t>Net Debt/Equity</t>
        </is>
      </c>
      <c r="F376" t="n">
        <v>0.3</v>
      </c>
      <c r="G376" t="inlineStr">
        <is>
          <t>x</t>
        </is>
      </c>
      <c r="H376" t="n">
        <v>8</v>
      </c>
      <c r="I376" t="inlineStr">
        <is>
          <t>Net debt to equity ratio 0.3</t>
        </is>
      </c>
      <c r="J376" t="inlineStr">
        <is>
          <t>High</t>
        </is>
      </c>
      <c r="M376" t="inlineStr">
        <is>
          <t>LLM</t>
        </is>
      </c>
      <c r="N376" t="inlineStr">
        <is>
          <t>2026-04-18</t>
        </is>
      </c>
      <c r="O376" t="inlineStr">
        <is>
          <t>AI</t>
        </is>
      </c>
    </row>
    <row r="377">
      <c r="A377" t="inlineStr">
        <is>
          <t>PT Austindo Nusantara Jaya Tbk</t>
        </is>
      </c>
      <c r="B377" t="inlineStr">
        <is>
          <t>ANJT_2022_AR.pdf</t>
        </is>
      </c>
      <c r="C377" t="n">
        <v>2023</v>
      </c>
      <c r="D377" t="inlineStr">
        <is>
          <t>Financial</t>
        </is>
      </c>
      <c r="E377" t="inlineStr">
        <is>
          <t>EPS</t>
        </is>
      </c>
      <c r="F377" t="n">
        <v>0.0008</v>
      </c>
      <c r="G377" t="inlineStr">
        <is>
          <t>USD/share</t>
        </is>
      </c>
      <c r="H377" t="n">
        <v>8</v>
      </c>
      <c r="I377" t="inlineStr">
        <is>
          <t>Basic earnings per share 0.0008</t>
        </is>
      </c>
      <c r="J377" t="inlineStr">
        <is>
          <t>High</t>
        </is>
      </c>
      <c r="M377" t="inlineStr">
        <is>
          <t>LLM</t>
        </is>
      </c>
      <c r="N377" t="inlineStr">
        <is>
          <t>2026-04-18</t>
        </is>
      </c>
      <c r="O377" t="inlineStr">
        <is>
          <t>AI</t>
        </is>
      </c>
    </row>
    <row r="378">
      <c r="A378" t="inlineStr">
        <is>
          <t>PT Austindo Nusantara Jaya Tbk</t>
        </is>
      </c>
      <c r="B378" t="inlineStr">
        <is>
          <t>ANJT_2022_AR.pdf</t>
        </is>
      </c>
      <c r="C378" t="n">
        <v>2023</v>
      </c>
      <c r="D378" t="inlineStr">
        <is>
          <t>Financial</t>
        </is>
      </c>
      <c r="E378" t="inlineStr">
        <is>
          <t>Shares Outstanding</t>
        </is>
      </c>
      <c r="F378" t="n">
        <v>3354</v>
      </c>
      <c r="G378" t="inlineStr">
        <is>
          <t>million</t>
        </is>
      </c>
      <c r="H378" t="n">
        <v>88</v>
      </c>
      <c r="I378" t="inlineStr">
        <is>
          <t>3,354,175,000 total shares</t>
        </is>
      </c>
      <c r="J378" t="inlineStr">
        <is>
          <t>High</t>
        </is>
      </c>
      <c r="M378" t="inlineStr">
        <is>
          <t>LLM</t>
        </is>
      </c>
      <c r="N378" t="inlineStr">
        <is>
          <t>2026-04-18</t>
        </is>
      </c>
      <c r="O378" t="inlineStr">
        <is>
          <t>AI</t>
        </is>
      </c>
    </row>
    <row r="379">
      <c r="A379" t="inlineStr">
        <is>
          <t>PT Austindo Nusantara Jaya Tbk</t>
        </is>
      </c>
      <c r="B379" t="inlineStr">
        <is>
          <t>ANJT_2022_AR.pdf</t>
        </is>
      </c>
      <c r="C379" t="n">
        <v>2023</v>
      </c>
      <c r="D379" t="inlineStr">
        <is>
          <t>Financial</t>
        </is>
      </c>
      <c r="E379" t="inlineStr">
        <is>
          <t>Closing Price (2023 Q4)</t>
        </is>
      </c>
      <c r="F379" t="n">
        <v>745</v>
      </c>
      <c r="G379" t="inlineStr">
        <is>
          <t>IDR</t>
        </is>
      </c>
      <c r="H379" t="n">
        <v>10</v>
      </c>
      <c r="I379" t="inlineStr">
        <is>
          <t>Q4 Close 745 (2023)</t>
        </is>
      </c>
      <c r="J379" t="inlineStr">
        <is>
          <t>High</t>
        </is>
      </c>
      <c r="M379" t="inlineStr">
        <is>
          <t>LLM</t>
        </is>
      </c>
      <c r="N379" t="inlineStr">
        <is>
          <t>2026-04-18</t>
        </is>
      </c>
      <c r="O379" t="inlineStr">
        <is>
          <t>AI</t>
        </is>
      </c>
    </row>
    <row r="380">
      <c r="A380" t="inlineStr">
        <is>
          <t>PT Austindo Nusantara Jaya Tbk</t>
        </is>
      </c>
      <c r="B380" t="inlineStr">
        <is>
          <t>ANJT_2022_AR.pdf</t>
        </is>
      </c>
      <c r="C380" t="n">
        <v>2023</v>
      </c>
      <c r="D380" t="inlineStr">
        <is>
          <t>Financial</t>
        </is>
      </c>
      <c r="E380" t="inlineStr">
        <is>
          <t>Market Cap</t>
        </is>
      </c>
      <c r="F380" t="n">
        <v>2499</v>
      </c>
      <c r="G380" t="inlineStr">
        <is>
          <t>IDR bn</t>
        </is>
      </c>
      <c r="H380" t="n">
        <v>10</v>
      </c>
      <c r="I380" t="inlineStr">
        <is>
          <t>Q4 2023 Market Cap 2,498,860,375,000 IDR</t>
        </is>
      </c>
      <c r="J380" t="inlineStr">
        <is>
          <t>High</t>
        </is>
      </c>
      <c r="M380" t="inlineStr">
        <is>
          <t>LLM</t>
        </is>
      </c>
      <c r="N380" t="inlineStr">
        <is>
          <t>2026-04-18</t>
        </is>
      </c>
      <c r="O380" t="inlineStr">
        <is>
          <t>AI</t>
        </is>
      </c>
    </row>
    <row r="381">
      <c r="A381" t="inlineStr">
        <is>
          <t>PT Austindo Nusantara Jaya Tbk</t>
        </is>
      </c>
      <c r="B381" t="inlineStr">
        <is>
          <t>ANJT_2022_AR.pdf</t>
        </is>
      </c>
      <c r="C381" t="n">
        <v>2023</v>
      </c>
      <c r="D381" t="inlineStr">
        <is>
          <t>Financial</t>
        </is>
      </c>
      <c r="E381" t="inlineStr">
        <is>
          <t>Dividend per Share</t>
        </is>
      </c>
      <c r="F381" t="n">
        <v>27.8</v>
      </c>
      <c r="G381" t="inlineStr">
        <is>
          <t>IDR/share</t>
        </is>
      </c>
      <c r="H381" t="n">
        <v>87</v>
      </c>
      <c r="I381" t="inlineStr">
        <is>
          <t>DIVIDEND PER SHARE IDR 27.8 (2023)</t>
        </is>
      </c>
      <c r="J381" t="inlineStr">
        <is>
          <t>High</t>
        </is>
      </c>
      <c r="M381" t="inlineStr">
        <is>
          <t>LLM</t>
        </is>
      </c>
      <c r="N381" t="inlineStr">
        <is>
          <t>2026-04-18</t>
        </is>
      </c>
      <c r="O381" t="inlineStr">
        <is>
          <t>AI</t>
        </is>
      </c>
    </row>
    <row r="382">
      <c r="A382" t="inlineStr">
        <is>
          <t>PT Austindo Nusantara Jaya Tbk</t>
        </is>
      </c>
      <c r="B382" t="inlineStr">
        <is>
          <t>ANJT_2022_AR.pdf</t>
        </is>
      </c>
      <c r="C382" t="n">
        <v>2023</v>
      </c>
      <c r="D382" t="inlineStr">
        <is>
          <t>Financial</t>
        </is>
      </c>
      <c r="E382" t="inlineStr">
        <is>
          <t>Dividend Payout Ratio</t>
        </is>
      </c>
      <c r="F382" t="n">
        <v>0.295</v>
      </c>
      <c r="G382" t="inlineStr">
        <is>
          <t>%</t>
        </is>
      </c>
      <c r="H382" t="n">
        <v>87</v>
      </c>
      <c r="I382" t="inlineStr">
        <is>
          <t>DIVIDEND PAYOUT RATIO 29.5%</t>
        </is>
      </c>
      <c r="J382" t="inlineStr">
        <is>
          <t>High</t>
        </is>
      </c>
      <c r="M382" t="inlineStr">
        <is>
          <t>LLM</t>
        </is>
      </c>
      <c r="N382" t="inlineStr">
        <is>
          <t>2026-04-18</t>
        </is>
      </c>
      <c r="O382" t="inlineStr">
        <is>
          <t>AI</t>
        </is>
      </c>
    </row>
    <row r="383">
      <c r="A383" t="inlineStr">
        <is>
          <t>PT Austindo Nusantara Jaya Tbk</t>
        </is>
      </c>
      <c r="B383" t="inlineStr">
        <is>
          <t>ANJT_2022_AR.pdf</t>
        </is>
      </c>
      <c r="C383" t="n">
        <v>2023</v>
      </c>
      <c r="D383" t="inlineStr">
        <is>
          <t>Financial</t>
        </is>
      </c>
      <c r="E383" t="inlineStr">
        <is>
          <t>CFO</t>
        </is>
      </c>
      <c r="F383" t="n">
        <v>36.645</v>
      </c>
      <c r="G383" t="inlineStr">
        <is>
          <t>USD mn</t>
        </is>
      </c>
      <c r="H383" t="n">
        <v>125</v>
      </c>
      <c r="I383" t="inlineStr">
        <is>
          <t>Net cash provided by operating activities 36,645 (2023)</t>
        </is>
      </c>
      <c r="J383" t="inlineStr">
        <is>
          <t>High</t>
        </is>
      </c>
      <c r="M383" t="inlineStr">
        <is>
          <t>LLM</t>
        </is>
      </c>
      <c r="N383" t="inlineStr">
        <is>
          <t>2026-04-18</t>
        </is>
      </c>
      <c r="O383" t="inlineStr">
        <is>
          <t>AI</t>
        </is>
      </c>
    </row>
    <row r="384">
      <c r="A384" t="inlineStr">
        <is>
          <t>PT Austindo Nusantara Jaya Tbk</t>
        </is>
      </c>
      <c r="B384" t="inlineStr">
        <is>
          <t>ANJT_2022_AR.pdf</t>
        </is>
      </c>
      <c r="C384" t="n">
        <v>2023</v>
      </c>
      <c r="D384" t="inlineStr">
        <is>
          <t>Financial</t>
        </is>
      </c>
      <c r="E384" t="inlineStr">
        <is>
          <t>Investing CF</t>
        </is>
      </c>
      <c r="F384" t="n">
        <v>-41.243</v>
      </c>
      <c r="G384" t="inlineStr">
        <is>
          <t>USD mn</t>
        </is>
      </c>
      <c r="H384" t="n">
        <v>125</v>
      </c>
      <c r="I384" t="inlineStr">
        <is>
          <t>Net cash used in investing activities (41,243)</t>
        </is>
      </c>
      <c r="J384" t="inlineStr">
        <is>
          <t>High</t>
        </is>
      </c>
      <c r="M384" t="inlineStr">
        <is>
          <t>LLM</t>
        </is>
      </c>
      <c r="N384" t="inlineStr">
        <is>
          <t>2026-04-18</t>
        </is>
      </c>
      <c r="O384" t="inlineStr">
        <is>
          <t>AI</t>
        </is>
      </c>
    </row>
    <row r="385">
      <c r="A385" t="inlineStr">
        <is>
          <t>PT Austindo Nusantara Jaya Tbk</t>
        </is>
      </c>
      <c r="B385" t="inlineStr">
        <is>
          <t>ANJT_2022_AR.pdf</t>
        </is>
      </c>
      <c r="C385" t="n">
        <v>2023</v>
      </c>
      <c r="D385" t="inlineStr">
        <is>
          <t>Financial</t>
        </is>
      </c>
      <c r="E385" t="inlineStr">
        <is>
          <t>Financing CF</t>
        </is>
      </c>
      <c r="F385" t="n">
        <v>-0.37</v>
      </c>
      <c r="G385" t="inlineStr">
        <is>
          <t>USD mn</t>
        </is>
      </c>
      <c r="H385" t="n">
        <v>125</v>
      </c>
      <c r="I385" t="inlineStr">
        <is>
          <t>Net cash used in financing activities (370)</t>
        </is>
      </c>
      <c r="J385" t="inlineStr">
        <is>
          <t>High</t>
        </is>
      </c>
      <c r="M385" t="inlineStr">
        <is>
          <t>LLM</t>
        </is>
      </c>
      <c r="N385" t="inlineStr">
        <is>
          <t>2026-04-18</t>
        </is>
      </c>
      <c r="O385" t="inlineStr">
        <is>
          <t>AI</t>
        </is>
      </c>
    </row>
    <row r="386">
      <c r="A386" t="inlineStr">
        <is>
          <t>PT Austindo Nusantara Jaya Tbk</t>
        </is>
      </c>
      <c r="B386" t="inlineStr">
        <is>
          <t>ANJT_2022_AR.pdf</t>
        </is>
      </c>
      <c r="C386" t="n">
        <v>2023</v>
      </c>
      <c r="D386" t="inlineStr">
        <is>
          <t>Asset</t>
        </is>
      </c>
      <c r="E386" t="inlineStr">
        <is>
          <t>Total Planted Area</t>
        </is>
      </c>
      <c r="F386" t="n">
        <v>48516</v>
      </c>
      <c r="G386" t="inlineStr">
        <is>
          <t>ha</t>
        </is>
      </c>
      <c r="H386" t="n">
        <v>57</v>
      </c>
      <c r="I386" t="inlineStr">
        <is>
          <t>TOTAL PLANTED AREA: 48,516 Ha</t>
        </is>
      </c>
      <c r="J386" t="inlineStr">
        <is>
          <t>High</t>
        </is>
      </c>
      <c r="M386" t="inlineStr">
        <is>
          <t>LLM</t>
        </is>
      </c>
      <c r="N386" t="inlineStr">
        <is>
          <t>2026-04-18</t>
        </is>
      </c>
      <c r="O386" t="inlineStr">
        <is>
          <t>AI</t>
        </is>
      </c>
    </row>
    <row r="387">
      <c r="A387" t="inlineStr">
        <is>
          <t>PT Austindo Nusantara Jaya Tbk</t>
        </is>
      </c>
      <c r="B387" t="inlineStr">
        <is>
          <t>ANJT_2022_AR.pdf</t>
        </is>
      </c>
      <c r="C387" t="n">
        <v>2023</v>
      </c>
      <c r="D387" t="inlineStr">
        <is>
          <t>Asset</t>
        </is>
      </c>
      <c r="E387" t="inlineStr">
        <is>
          <t>Total Conservation Area</t>
        </is>
      </c>
      <c r="F387" t="n">
        <v>97745</v>
      </c>
      <c r="G387" t="inlineStr">
        <is>
          <t>ha</t>
        </is>
      </c>
      <c r="H387" t="n">
        <v>57</v>
      </c>
      <c r="I387" t="inlineStr">
        <is>
          <t>TOTAL CONSERVATION AREA: 97,745 Ha</t>
        </is>
      </c>
      <c r="J387" t="inlineStr">
        <is>
          <t>High</t>
        </is>
      </c>
      <c r="M387" t="inlineStr">
        <is>
          <t>LLM</t>
        </is>
      </c>
      <c r="N387" t="inlineStr">
        <is>
          <t>2026-04-18</t>
        </is>
      </c>
      <c r="O387" t="inlineStr">
        <is>
          <t>AI</t>
        </is>
      </c>
    </row>
    <row r="388">
      <c r="A388" t="inlineStr">
        <is>
          <t>PT Austindo Nusantara Jaya Tbk</t>
        </is>
      </c>
      <c r="B388" t="inlineStr">
        <is>
          <t>ANJT_2022_AR.pdf</t>
        </is>
      </c>
      <c r="C388" t="n">
        <v>2023</v>
      </c>
      <c r="D388" t="inlineStr">
        <is>
          <t>Asset</t>
        </is>
      </c>
      <c r="E388" t="inlineStr">
        <is>
          <t>Matured Nucleus Area</t>
        </is>
      </c>
      <c r="F388" t="n">
        <v>43400</v>
      </c>
      <c r="G388" t="inlineStr">
        <is>
          <t>ha</t>
        </is>
      </c>
      <c r="H388" t="n">
        <v>49</v>
      </c>
      <c r="I388" t="inlineStr">
        <is>
          <t>Mature nucleus oil palms cover 43,400 hectares or 89.5% of planted area</t>
        </is>
      </c>
      <c r="J388" t="inlineStr">
        <is>
          <t>High</t>
        </is>
      </c>
      <c r="M388" t="inlineStr">
        <is>
          <t>LLM</t>
        </is>
      </c>
      <c r="N388" t="inlineStr">
        <is>
          <t>2026-04-18</t>
        </is>
      </c>
      <c r="O388" t="inlineStr">
        <is>
          <t>AI</t>
        </is>
      </c>
    </row>
    <row r="389">
      <c r="A389" t="inlineStr">
        <is>
          <t>PT Austindo Nusantara Jaya Tbk</t>
        </is>
      </c>
      <c r="B389" t="inlineStr">
        <is>
          <t>ANJT_2022_AR.pdf</t>
        </is>
      </c>
      <c r="C389" t="n">
        <v>2023</v>
      </c>
      <c r="D389" t="inlineStr">
        <is>
          <t>Asset</t>
        </is>
      </c>
      <c r="E389" t="inlineStr">
        <is>
          <t>Plasma Planted Area</t>
        </is>
      </c>
      <c r="F389" t="n">
        <v>5116</v>
      </c>
      <c r="G389" t="inlineStr">
        <is>
          <t>ha</t>
        </is>
      </c>
      <c r="H389" t="n">
        <v>49</v>
      </c>
      <c r="I389" t="inlineStr">
        <is>
          <t>5,116 hectares or 10.5% plasma</t>
        </is>
      </c>
      <c r="J389" t="inlineStr">
        <is>
          <t>Medium</t>
        </is>
      </c>
      <c r="M389" t="inlineStr">
        <is>
          <t>LLM</t>
        </is>
      </c>
      <c r="N389" t="inlineStr">
        <is>
          <t>2026-04-18</t>
        </is>
      </c>
      <c r="O389" t="inlineStr">
        <is>
          <t>AI</t>
        </is>
      </c>
    </row>
    <row r="390">
      <c r="A390" t="inlineStr">
        <is>
          <t>PT Austindo Nusantara Jaya Tbk</t>
        </is>
      </c>
      <c r="B390" t="inlineStr">
        <is>
          <t>ANJT_2022_AR.pdf</t>
        </is>
      </c>
      <c r="C390" t="n">
        <v>2023</v>
      </c>
      <c r="D390" t="inlineStr">
        <is>
          <t>Asset</t>
        </is>
      </c>
      <c r="E390" t="inlineStr">
        <is>
          <t>Mill Count</t>
        </is>
      </c>
      <c r="F390" t="n">
        <v>5</v>
      </c>
      <c r="G390" t="inlineStr">
        <is>
          <t>count</t>
        </is>
      </c>
      <c r="H390" t="n">
        <v>56</v>
      </c>
      <c r="I390" t="inlineStr">
        <is>
          <t>5 palm oil mills (ANJA 60 tph, ANJAS 60 tph, SMM 60 tph, KAL 90 tph, PPM 45 tph)</t>
        </is>
      </c>
      <c r="J390" t="inlineStr">
        <is>
          <t>High</t>
        </is>
      </c>
      <c r="M390" t="inlineStr">
        <is>
          <t>LLM</t>
        </is>
      </c>
      <c r="N390" t="inlineStr">
        <is>
          <t>2026-04-18</t>
        </is>
      </c>
      <c r="O390" t="inlineStr">
        <is>
          <t>AI</t>
        </is>
      </c>
    </row>
    <row r="391">
      <c r="A391" t="inlineStr">
        <is>
          <t>PT Austindo Nusantara Jaya Tbk</t>
        </is>
      </c>
      <c r="B391" t="inlineStr">
        <is>
          <t>ANJT_2022_AR.pdf</t>
        </is>
      </c>
      <c r="C391" t="n">
        <v>2023</v>
      </c>
      <c r="D391" t="inlineStr">
        <is>
          <t>Asset</t>
        </is>
      </c>
      <c r="E391" t="inlineStr">
        <is>
          <t>Total Mill Capacity</t>
        </is>
      </c>
      <c r="F391" t="n">
        <v>315</v>
      </c>
      <c r="G391" t="inlineStr">
        <is>
          <t>tph</t>
        </is>
      </c>
      <c r="H391" t="n">
        <v>56</v>
      </c>
      <c r="I391" t="inlineStr">
        <is>
          <t>Sum of mill capacities: 60+60+60+90+45 = 315 tons/hour</t>
        </is>
      </c>
      <c r="J391" t="inlineStr">
        <is>
          <t>High</t>
        </is>
      </c>
      <c r="M391" t="inlineStr">
        <is>
          <t>LLM</t>
        </is>
      </c>
      <c r="N391" t="inlineStr">
        <is>
          <t>2026-04-18</t>
        </is>
      </c>
      <c r="O391" t="inlineStr">
        <is>
          <t>AI</t>
        </is>
      </c>
    </row>
    <row r="392">
      <c r="A392" t="inlineStr">
        <is>
          <t>PT Austindo Nusantara Jaya Tbk</t>
        </is>
      </c>
      <c r="B392" t="inlineStr">
        <is>
          <t>ANJT_2022_AR.pdf</t>
        </is>
      </c>
      <c r="C392" t="n">
        <v>2023</v>
      </c>
      <c r="D392" t="inlineStr">
        <is>
          <t>Operation</t>
        </is>
      </c>
      <c r="E392" t="inlineStr">
        <is>
          <t>FFB Production (Own)</t>
        </is>
      </c>
      <c r="F392" t="n">
        <v>881051</v>
      </c>
      <c r="G392" t="inlineStr">
        <is>
          <t>t</t>
        </is>
      </c>
      <c r="H392" t="n">
        <v>9</v>
      </c>
      <c r="I392" t="inlineStr">
        <is>
          <t>Total FFB produced from our estates 881,051 (2023)</t>
        </is>
      </c>
      <c r="J392" t="inlineStr">
        <is>
          <t>High</t>
        </is>
      </c>
      <c r="M392" t="inlineStr">
        <is>
          <t>LLM</t>
        </is>
      </c>
      <c r="N392" t="inlineStr">
        <is>
          <t>2026-04-18</t>
        </is>
      </c>
      <c r="O392" t="inlineStr">
        <is>
          <t>AI</t>
        </is>
      </c>
    </row>
    <row r="393">
      <c r="A393" t="inlineStr">
        <is>
          <t>PT Austindo Nusantara Jaya Tbk</t>
        </is>
      </c>
      <c r="B393" t="inlineStr">
        <is>
          <t>ANJT_2022_AR.pdf</t>
        </is>
      </c>
      <c r="C393" t="n">
        <v>2023</v>
      </c>
      <c r="D393" t="inlineStr">
        <is>
          <t>Operation</t>
        </is>
      </c>
      <c r="E393" t="inlineStr">
        <is>
          <t>Third-Party FFB</t>
        </is>
      </c>
      <c r="F393" t="n">
        <v>503811</v>
      </c>
      <c r="G393" t="inlineStr">
        <is>
          <t>t</t>
        </is>
      </c>
      <c r="H393" t="n">
        <v>9</v>
      </c>
      <c r="I393" t="inlineStr">
        <is>
          <t>Total FFB bought from third parties 503,811</t>
        </is>
      </c>
      <c r="J393" t="inlineStr">
        <is>
          <t>High</t>
        </is>
      </c>
      <c r="M393" t="inlineStr">
        <is>
          <t>LLM</t>
        </is>
      </c>
      <c r="N393" t="inlineStr">
        <is>
          <t>2026-04-18</t>
        </is>
      </c>
      <c r="O393" t="inlineStr">
        <is>
          <t>AI</t>
        </is>
      </c>
    </row>
    <row r="394">
      <c r="A394" t="inlineStr">
        <is>
          <t>PT Austindo Nusantara Jaya Tbk</t>
        </is>
      </c>
      <c r="B394" t="inlineStr">
        <is>
          <t>ANJT_2022_AR.pdf</t>
        </is>
      </c>
      <c r="C394" t="n">
        <v>2023</v>
      </c>
      <c r="D394" t="inlineStr">
        <is>
          <t>Operation</t>
        </is>
      </c>
      <c r="E394" t="inlineStr">
        <is>
          <t>FFB Processed</t>
        </is>
      </c>
      <c r="F394" t="n">
        <v>1374871</v>
      </c>
      <c r="G394" t="inlineStr">
        <is>
          <t>t</t>
        </is>
      </c>
      <c r="H394" t="n">
        <v>9</v>
      </c>
      <c r="I394" t="inlineStr">
        <is>
          <t>Total FFB processed 1,374,871</t>
        </is>
      </c>
      <c r="J394" t="inlineStr">
        <is>
          <t>High</t>
        </is>
      </c>
      <c r="M394" t="inlineStr">
        <is>
          <t>LLM</t>
        </is>
      </c>
      <c r="N394" t="inlineStr">
        <is>
          <t>2026-04-18</t>
        </is>
      </c>
      <c r="O394" t="inlineStr">
        <is>
          <t>AI</t>
        </is>
      </c>
    </row>
    <row r="395">
      <c r="A395" t="inlineStr">
        <is>
          <t>PT Austindo Nusantara Jaya Tbk</t>
        </is>
      </c>
      <c r="B395" t="inlineStr">
        <is>
          <t>ANJT_2022_AR.pdf</t>
        </is>
      </c>
      <c r="C395" t="n">
        <v>2023</v>
      </c>
      <c r="D395" t="inlineStr">
        <is>
          <t>Operation</t>
        </is>
      </c>
      <c r="E395" t="inlineStr">
        <is>
          <t>FFB Yield</t>
        </is>
      </c>
      <c r="F395" t="n">
        <v>20.3</v>
      </c>
      <c r="G395" t="inlineStr">
        <is>
          <t>t/ha</t>
        </is>
      </c>
      <c r="H395" t="n">
        <v>9</v>
      </c>
      <c r="I395" t="inlineStr">
        <is>
          <t>Average FFB yield (tons per hectare) 20.3</t>
        </is>
      </c>
      <c r="J395" t="inlineStr">
        <is>
          <t>High</t>
        </is>
      </c>
      <c r="M395" t="inlineStr">
        <is>
          <t>LLM</t>
        </is>
      </c>
      <c r="N395" t="inlineStr">
        <is>
          <t>2026-04-18</t>
        </is>
      </c>
      <c r="O395" t="inlineStr">
        <is>
          <t>AI</t>
        </is>
      </c>
    </row>
    <row r="396">
      <c r="A396" t="inlineStr">
        <is>
          <t>PT Austindo Nusantara Jaya Tbk</t>
        </is>
      </c>
      <c r="B396" t="inlineStr">
        <is>
          <t>ANJT_2022_AR.pdf</t>
        </is>
      </c>
      <c r="C396" t="n">
        <v>2023</v>
      </c>
      <c r="D396" t="inlineStr">
        <is>
          <t>Operation</t>
        </is>
      </c>
      <c r="E396" t="inlineStr">
        <is>
          <t>CPO Production</t>
        </is>
      </c>
      <c r="F396" t="n">
        <v>283659</v>
      </c>
      <c r="G396" t="inlineStr">
        <is>
          <t>t</t>
        </is>
      </c>
      <c r="H396" t="n">
        <v>9</v>
      </c>
      <c r="I396" t="inlineStr">
        <is>
          <t>Total CPO production 283,659</t>
        </is>
      </c>
      <c r="J396" t="inlineStr">
        <is>
          <t>High</t>
        </is>
      </c>
      <c r="M396" t="inlineStr">
        <is>
          <t>LLM</t>
        </is>
      </c>
      <c r="N396" t="inlineStr">
        <is>
          <t>2026-04-18</t>
        </is>
      </c>
      <c r="O396" t="inlineStr">
        <is>
          <t>AI</t>
        </is>
      </c>
    </row>
    <row r="397">
      <c r="A397" t="inlineStr">
        <is>
          <t>PT Austindo Nusantara Jaya Tbk</t>
        </is>
      </c>
      <c r="B397" t="inlineStr">
        <is>
          <t>ANJT_2022_AR.pdf</t>
        </is>
      </c>
      <c r="C397" t="n">
        <v>2023</v>
      </c>
      <c r="D397" t="inlineStr">
        <is>
          <t>Operation</t>
        </is>
      </c>
      <c r="E397" t="inlineStr">
        <is>
          <t>CPO Sales</t>
        </is>
      </c>
      <c r="F397" t="n">
        <v>288941</v>
      </c>
      <c r="G397" t="inlineStr">
        <is>
          <t>t</t>
        </is>
      </c>
      <c r="H397" t="n">
        <v>9</v>
      </c>
      <c r="I397" t="inlineStr">
        <is>
          <t>Total CPO sales 288,941</t>
        </is>
      </c>
      <c r="J397" t="inlineStr">
        <is>
          <t>High</t>
        </is>
      </c>
      <c r="M397" t="inlineStr">
        <is>
          <t>LLM</t>
        </is>
      </c>
      <c r="N397" t="inlineStr">
        <is>
          <t>2026-04-18</t>
        </is>
      </c>
      <c r="O397" t="inlineStr">
        <is>
          <t>AI</t>
        </is>
      </c>
    </row>
    <row r="398">
      <c r="A398" t="inlineStr">
        <is>
          <t>PT Austindo Nusantara Jaya Tbk</t>
        </is>
      </c>
      <c r="B398" t="inlineStr">
        <is>
          <t>ANJT_2022_AR.pdf</t>
        </is>
      </c>
      <c r="C398" t="n">
        <v>2023</v>
      </c>
      <c r="D398" t="inlineStr">
        <is>
          <t>Operation</t>
        </is>
      </c>
      <c r="E398" t="inlineStr">
        <is>
          <t>PK Production</t>
        </is>
      </c>
      <c r="F398" t="n">
        <v>52432</v>
      </c>
      <c r="G398" t="inlineStr">
        <is>
          <t>t</t>
        </is>
      </c>
      <c r="H398" t="n">
        <v>9</v>
      </c>
      <c r="I398" t="inlineStr">
        <is>
          <t>Total PK production 52,432</t>
        </is>
      </c>
      <c r="J398" t="inlineStr">
        <is>
          <t>High</t>
        </is>
      </c>
      <c r="M398" t="inlineStr">
        <is>
          <t>LLM</t>
        </is>
      </c>
      <c r="N398" t="inlineStr">
        <is>
          <t>2026-04-18</t>
        </is>
      </c>
      <c r="O398" t="inlineStr">
        <is>
          <t>AI</t>
        </is>
      </c>
    </row>
    <row r="399">
      <c r="A399" t="inlineStr">
        <is>
          <t>PT Austindo Nusantara Jaya Tbk</t>
        </is>
      </c>
      <c r="B399" t="inlineStr">
        <is>
          <t>ANJT_2022_AR.pdf</t>
        </is>
      </c>
      <c r="C399" t="n">
        <v>2023</v>
      </c>
      <c r="D399" t="inlineStr">
        <is>
          <t>Operation</t>
        </is>
      </c>
      <c r="E399" t="inlineStr">
        <is>
          <t>PKO Production</t>
        </is>
      </c>
      <c r="F399" t="n">
        <v>1459</v>
      </c>
      <c r="G399" t="inlineStr">
        <is>
          <t>t</t>
        </is>
      </c>
      <c r="H399" t="n">
        <v>9</v>
      </c>
      <c r="I399" t="inlineStr">
        <is>
          <t>Total PKO production 1,459</t>
        </is>
      </c>
      <c r="J399" t="inlineStr">
        <is>
          <t>High</t>
        </is>
      </c>
      <c r="M399" t="inlineStr">
        <is>
          <t>LLM</t>
        </is>
      </c>
      <c r="N399" t="inlineStr">
        <is>
          <t>2026-04-18</t>
        </is>
      </c>
      <c r="O399" t="inlineStr">
        <is>
          <t>AI</t>
        </is>
      </c>
    </row>
    <row r="400">
      <c r="A400" t="inlineStr">
        <is>
          <t>PT Austindo Nusantara Jaya Tbk</t>
        </is>
      </c>
      <c r="B400" t="inlineStr">
        <is>
          <t>ANJT_2022_AR.pdf</t>
        </is>
      </c>
      <c r="C400" t="n">
        <v>2023</v>
      </c>
      <c r="D400" t="inlineStr">
        <is>
          <t>Operation</t>
        </is>
      </c>
      <c r="E400" t="inlineStr">
        <is>
          <t>OER (CPO Extraction Rate)</t>
        </is>
      </c>
      <c r="F400" t="n">
        <v>0.206</v>
      </c>
      <c r="G400" t="inlineStr">
        <is>
          <t>%</t>
        </is>
      </c>
      <c r="H400" t="n">
        <v>9</v>
      </c>
      <c r="I400" t="inlineStr">
        <is>
          <t>CPO extraction rate 20.6%</t>
        </is>
      </c>
      <c r="J400" t="inlineStr">
        <is>
          <t>High</t>
        </is>
      </c>
      <c r="M400" t="inlineStr">
        <is>
          <t>LLM</t>
        </is>
      </c>
      <c r="N400" t="inlineStr">
        <is>
          <t>2026-04-18</t>
        </is>
      </c>
      <c r="O400" t="inlineStr">
        <is>
          <t>AI</t>
        </is>
      </c>
    </row>
    <row r="401">
      <c r="A401" t="inlineStr">
        <is>
          <t>PT Austindo Nusantara Jaya Tbk</t>
        </is>
      </c>
      <c r="B401" t="inlineStr">
        <is>
          <t>ANJT_2022_AR.pdf</t>
        </is>
      </c>
      <c r="C401" t="n">
        <v>2023</v>
      </c>
      <c r="D401" t="inlineStr">
        <is>
          <t>Operation</t>
        </is>
      </c>
      <c r="E401" t="inlineStr">
        <is>
          <t>KER</t>
        </is>
      </c>
      <c r="F401" t="n">
        <v>0.041</v>
      </c>
      <c r="G401" t="inlineStr">
        <is>
          <t>%</t>
        </is>
      </c>
      <c r="H401" t="n">
        <v>9</v>
      </c>
      <c r="I401" t="inlineStr">
        <is>
          <t>PK extraction rate 4.1%</t>
        </is>
      </c>
      <c r="J401" t="inlineStr">
        <is>
          <t>High</t>
        </is>
      </c>
      <c r="M401" t="inlineStr">
        <is>
          <t>LLM</t>
        </is>
      </c>
      <c r="N401" t="inlineStr">
        <is>
          <t>2026-04-18</t>
        </is>
      </c>
      <c r="O401" t="inlineStr">
        <is>
          <t>AI</t>
        </is>
      </c>
    </row>
    <row r="402">
      <c r="A402" t="inlineStr">
        <is>
          <t>PT Austindo Nusantara Jaya Tbk</t>
        </is>
      </c>
      <c r="B402" t="inlineStr">
        <is>
          <t>ANJT_2022_AR.pdf</t>
        </is>
      </c>
      <c r="C402" t="n">
        <v>2023</v>
      </c>
      <c r="D402" t="inlineStr">
        <is>
          <t>Operation</t>
        </is>
      </c>
      <c r="E402" t="inlineStr">
        <is>
          <t>CPO ASP</t>
        </is>
      </c>
      <c r="F402" t="n">
        <v>731</v>
      </c>
      <c r="G402" t="inlineStr">
        <is>
          <t>USD/t</t>
        </is>
      </c>
      <c r="H402" t="n">
        <v>9</v>
      </c>
      <c r="I402" t="inlineStr">
        <is>
          <t>CPO average selling price 731</t>
        </is>
      </c>
      <c r="J402" t="inlineStr">
        <is>
          <t>High</t>
        </is>
      </c>
      <c r="M402" t="inlineStr">
        <is>
          <t>LLM</t>
        </is>
      </c>
      <c r="N402" t="inlineStr">
        <is>
          <t>2026-04-18</t>
        </is>
      </c>
      <c r="O402" t="inlineStr">
        <is>
          <t>AI</t>
        </is>
      </c>
    </row>
    <row r="403">
      <c r="A403" t="inlineStr">
        <is>
          <t>PT Austindo Nusantara Jaya Tbk</t>
        </is>
      </c>
      <c r="B403" t="inlineStr">
        <is>
          <t>ANJT_2022_AR.pdf</t>
        </is>
      </c>
      <c r="C403" t="n">
        <v>2023</v>
      </c>
      <c r="D403" t="inlineStr">
        <is>
          <t>Operation</t>
        </is>
      </c>
      <c r="E403" t="inlineStr">
        <is>
          <t>PK ASP</t>
        </is>
      </c>
      <c r="F403" t="n">
        <v>358</v>
      </c>
      <c r="G403" t="inlineStr">
        <is>
          <t>USD/t</t>
        </is>
      </c>
      <c r="H403" t="n">
        <v>9</v>
      </c>
      <c r="I403" t="inlineStr">
        <is>
          <t>PK average selling price 358</t>
        </is>
      </c>
      <c r="J403" t="inlineStr">
        <is>
          <t>High</t>
        </is>
      </c>
      <c r="M403" t="inlineStr">
        <is>
          <t>LLM</t>
        </is>
      </c>
      <c r="N403" t="inlineStr">
        <is>
          <t>2026-04-18</t>
        </is>
      </c>
      <c r="O403" t="inlineStr">
        <is>
          <t>AI</t>
        </is>
      </c>
    </row>
    <row r="404">
      <c r="A404" t="inlineStr">
        <is>
          <t>PT Austindo Nusantara Jaya Tbk</t>
        </is>
      </c>
      <c r="B404" t="inlineStr">
        <is>
          <t>ANJT_2022_AR.pdf</t>
        </is>
      </c>
      <c r="C404" t="n">
        <v>2023</v>
      </c>
      <c r="D404" t="inlineStr">
        <is>
          <t>Operation</t>
        </is>
      </c>
      <c r="E404" t="inlineStr">
        <is>
          <t>Cash Cost of Production</t>
        </is>
      </c>
      <c r="F404" t="n">
        <v>409</v>
      </c>
      <c r="G404" t="inlineStr">
        <is>
          <t>USD/t</t>
        </is>
      </c>
      <c r="H404" t="n">
        <v>9</v>
      </c>
      <c r="I404" t="inlineStr">
        <is>
          <t>Cash cost of production 409</t>
        </is>
      </c>
      <c r="J404" t="inlineStr">
        <is>
          <t>High</t>
        </is>
      </c>
      <c r="M404" t="inlineStr">
        <is>
          <t>LLM</t>
        </is>
      </c>
      <c r="N404" t="inlineStr">
        <is>
          <t>2026-04-18</t>
        </is>
      </c>
      <c r="O404" t="inlineStr">
        <is>
          <t>AI</t>
        </is>
      </c>
    </row>
    <row r="405">
      <c r="A405" t="inlineStr">
        <is>
          <t>PT Austindo Nusantara Jaya Tbk</t>
        </is>
      </c>
      <c r="B405" t="inlineStr">
        <is>
          <t>ANJT_2022_AR.pdf</t>
        </is>
      </c>
      <c r="C405" t="n">
        <v>2023</v>
      </c>
      <c r="D405" t="inlineStr">
        <is>
          <t>ESG</t>
        </is>
      </c>
      <c r="E405" t="inlineStr">
        <is>
          <t>Sustainalytics ESG Rating</t>
        </is>
      </c>
      <c r="F405" t="inlineStr">
        <is>
          <t>18.3 (Low Risk)</t>
        </is>
      </c>
      <c r="G405" t="inlineStr">
        <is>
          <t>text</t>
        </is>
      </c>
      <c r="H405" t="n">
        <v>13</v>
      </c>
      <c r="I405" t="inlineStr">
        <is>
          <t>ESG Risk Rating score of 18.3 (low risk), ranking first out of 95 global agricultural companies</t>
        </is>
      </c>
      <c r="J405" t="inlineStr">
        <is>
          <t>High</t>
        </is>
      </c>
      <c r="M405" t="inlineStr">
        <is>
          <t>LLM</t>
        </is>
      </c>
      <c r="N405" t="inlineStr">
        <is>
          <t>2026-04-18</t>
        </is>
      </c>
      <c r="O405" t="inlineStr">
        <is>
          <t>AI</t>
        </is>
      </c>
    </row>
    <row r="406">
      <c r="A406" t="inlineStr">
        <is>
          <t>PT Austindo Nusantara Jaya Tbk</t>
        </is>
      </c>
      <c r="B406" t="inlineStr">
        <is>
          <t>ANJT_2022_AR.pdf</t>
        </is>
      </c>
      <c r="C406" t="n">
        <v>2023</v>
      </c>
      <c r="D406" t="inlineStr">
        <is>
          <t>ESG</t>
        </is>
      </c>
      <c r="E406" t="inlineStr">
        <is>
          <t>SPOTT Score</t>
        </is>
      </c>
      <c r="F406" t="n">
        <v>0.911</v>
      </c>
      <c r="G406" t="inlineStr">
        <is>
          <t>%</t>
        </is>
      </c>
      <c r="H406" t="n">
        <v>13</v>
      </c>
      <c r="I406" t="inlineStr">
        <is>
          <t>SPOTT awarded ANJ a score of 91.1%, 4th place globally</t>
        </is>
      </c>
      <c r="J406" t="inlineStr">
        <is>
          <t>High</t>
        </is>
      </c>
      <c r="M406" t="inlineStr">
        <is>
          <t>LLM</t>
        </is>
      </c>
      <c r="N406" t="inlineStr">
        <is>
          <t>2026-04-18</t>
        </is>
      </c>
      <c r="O406" t="inlineStr">
        <is>
          <t>AI</t>
        </is>
      </c>
    </row>
    <row r="407">
      <c r="A407" t="inlineStr">
        <is>
          <t>PT Austindo Nusantara Jaya Tbk</t>
        </is>
      </c>
      <c r="B407" t="inlineStr">
        <is>
          <t>ANJT_2023_AR.pdf</t>
        </is>
      </c>
      <c r="C407" t="n">
        <v>2022</v>
      </c>
      <c r="D407" t="inlineStr">
        <is>
          <t>Company</t>
        </is>
      </c>
      <c r="E407" t="inlineStr">
        <is>
          <t>Company Name</t>
        </is>
      </c>
      <c r="F407" t="inlineStr">
        <is>
          <t>PT Austindo Nusantara Jaya Tbk</t>
        </is>
      </c>
      <c r="G407" t="inlineStr">
        <is>
          <t>text</t>
        </is>
      </c>
      <c r="H407" t="n">
        <v>1</v>
      </c>
      <c r="I407" t="inlineStr">
        <is>
          <t>PT Austindo Nusantara Jaya Tbk. 2022 Annual Report</t>
        </is>
      </c>
      <c r="J407" t="inlineStr">
        <is>
          <t>High</t>
        </is>
      </c>
      <c r="M407" t="inlineStr">
        <is>
          <t>LLM</t>
        </is>
      </c>
      <c r="N407" t="inlineStr">
        <is>
          <t>2026-04-18</t>
        </is>
      </c>
      <c r="O407" t="inlineStr">
        <is>
          <t>AI</t>
        </is>
      </c>
    </row>
    <row r="408">
      <c r="A408" t="inlineStr">
        <is>
          <t>PT Austindo Nusantara Jaya Tbk</t>
        </is>
      </c>
      <c r="B408" t="inlineStr">
        <is>
          <t>ANJT_2023_AR.pdf</t>
        </is>
      </c>
      <c r="C408" t="n">
        <v>2022</v>
      </c>
      <c r="D408" t="inlineStr">
        <is>
          <t>Company</t>
        </is>
      </c>
      <c r="E408" t="inlineStr">
        <is>
          <t>Ticker</t>
        </is>
      </c>
      <c r="F408" t="inlineStr">
        <is>
          <t>ANJT</t>
        </is>
      </c>
      <c r="G408" t="inlineStr">
        <is>
          <t>text</t>
        </is>
      </c>
      <c r="H408" t="n">
        <v>1</v>
      </c>
      <c r="I408" t="inlineStr">
        <is>
          <t>Stock code ANJT on IDX</t>
        </is>
      </c>
      <c r="J408" t="inlineStr">
        <is>
          <t>High</t>
        </is>
      </c>
      <c r="M408" t="inlineStr">
        <is>
          <t>LLM</t>
        </is>
      </c>
      <c r="N408" t="inlineStr">
        <is>
          <t>2026-04-18</t>
        </is>
      </c>
      <c r="O408" t="inlineStr">
        <is>
          <t>AI</t>
        </is>
      </c>
    </row>
    <row r="409">
      <c r="A409" t="inlineStr">
        <is>
          <t>PT Austindo Nusantara Jaya Tbk</t>
        </is>
      </c>
      <c r="B409" t="inlineStr">
        <is>
          <t>ANJT_2023_AR.pdf</t>
        </is>
      </c>
      <c r="C409" t="n">
        <v>2022</v>
      </c>
      <c r="D409" t="inlineStr">
        <is>
          <t>Company</t>
        </is>
      </c>
      <c r="E409" t="inlineStr">
        <is>
          <t>Report Year</t>
        </is>
      </c>
      <c r="F409" t="n">
        <v>2022</v>
      </c>
      <c r="G409" t="inlineStr">
        <is>
          <t>year</t>
        </is>
      </c>
      <c r="H409" t="n">
        <v>1</v>
      </c>
      <c r="I409" t="inlineStr">
        <is>
          <t>2022 Annual Report</t>
        </is>
      </c>
      <c r="J409" t="inlineStr">
        <is>
          <t>High</t>
        </is>
      </c>
      <c r="M409" t="inlineStr">
        <is>
          <t>LLM</t>
        </is>
      </c>
      <c r="N409" t="inlineStr">
        <is>
          <t>2026-04-18</t>
        </is>
      </c>
      <c r="O409" t="inlineStr">
        <is>
          <t>AI</t>
        </is>
      </c>
    </row>
    <row r="410">
      <c r="A410" t="inlineStr">
        <is>
          <t>PT Austindo Nusantara Jaya Tbk</t>
        </is>
      </c>
      <c r="B410" t="inlineStr">
        <is>
          <t>ANJT_2023_AR.pdf</t>
        </is>
      </c>
      <c r="C410" t="n">
        <v>2022</v>
      </c>
      <c r="D410" t="inlineStr">
        <is>
          <t>Financial</t>
        </is>
      </c>
      <c r="E410" t="inlineStr">
        <is>
          <t>Total Revenue</t>
        </is>
      </c>
      <c r="F410" t="n">
        <v>269.2</v>
      </c>
      <c r="G410" t="inlineStr">
        <is>
          <t>USD mn</t>
        </is>
      </c>
      <c r="H410" t="n">
        <v>8</v>
      </c>
      <c r="I410" t="inlineStr">
        <is>
          <t>Total Revenue 269.2 (2022)</t>
        </is>
      </c>
      <c r="J410" t="inlineStr">
        <is>
          <t>High</t>
        </is>
      </c>
      <c r="M410" t="inlineStr">
        <is>
          <t>LLM</t>
        </is>
      </c>
      <c r="N410" t="inlineStr">
        <is>
          <t>2026-04-18</t>
        </is>
      </c>
      <c r="O410" t="inlineStr">
        <is>
          <t>AI</t>
        </is>
      </c>
    </row>
    <row r="411">
      <c r="A411" t="inlineStr">
        <is>
          <t>PT Austindo Nusantara Jaya Tbk</t>
        </is>
      </c>
      <c r="B411" t="inlineStr">
        <is>
          <t>ANJT_2023_AR.pdf</t>
        </is>
      </c>
      <c r="C411" t="n">
        <v>2022</v>
      </c>
      <c r="D411" t="inlineStr">
        <is>
          <t>Financial</t>
        </is>
      </c>
      <c r="E411" t="inlineStr">
        <is>
          <t>Revenue (IDR bn)</t>
        </is>
      </c>
      <c r="F411" t="n">
        <v>4191</v>
      </c>
      <c r="G411" t="inlineStr">
        <is>
          <t>IDR bn</t>
        </is>
      </c>
      <c r="H411" t="n">
        <v>8</v>
      </c>
      <c r="I411" t="inlineStr">
        <is>
          <t>USD 269.2mn x 15,568 IDR/USD (2022 year-end) = Rp 4,191 bn</t>
        </is>
      </c>
      <c r="J411" t="inlineStr">
        <is>
          <t>High</t>
        </is>
      </c>
      <c r="M411" t="inlineStr">
        <is>
          <t>LLM</t>
        </is>
      </c>
      <c r="N411" t="inlineStr">
        <is>
          <t>2026-04-18</t>
        </is>
      </c>
      <c r="O411" t="inlineStr">
        <is>
          <t>AI</t>
        </is>
      </c>
    </row>
    <row r="412">
      <c r="A412" t="inlineStr">
        <is>
          <t>PT Austindo Nusantara Jaya Tbk</t>
        </is>
      </c>
      <c r="B412" t="inlineStr">
        <is>
          <t>ANJT_2023_AR.pdf</t>
        </is>
      </c>
      <c r="C412" t="n">
        <v>2022</v>
      </c>
      <c r="D412" t="inlineStr">
        <is>
          <t>Financial</t>
        </is>
      </c>
      <c r="E412" t="inlineStr">
        <is>
          <t>Palm Oil Revenue</t>
        </is>
      </c>
      <c r="F412" t="n">
        <v>265.3</v>
      </c>
      <c r="G412" t="inlineStr">
        <is>
          <t>USD mn</t>
        </is>
      </c>
      <c r="H412" t="n">
        <v>8</v>
      </c>
      <c r="I412" t="inlineStr">
        <is>
          <t>Palm Oil, Palm Kernel Oil and Palm Kernel 265.3</t>
        </is>
      </c>
      <c r="J412" t="inlineStr">
        <is>
          <t>High</t>
        </is>
      </c>
      <c r="M412" t="inlineStr">
        <is>
          <t>LLM</t>
        </is>
      </c>
      <c r="N412" t="inlineStr">
        <is>
          <t>2026-04-18</t>
        </is>
      </c>
      <c r="O412" t="inlineStr">
        <is>
          <t>AI</t>
        </is>
      </c>
    </row>
    <row r="413">
      <c r="A413" t="inlineStr">
        <is>
          <t>PT Austindo Nusantara Jaya Tbk</t>
        </is>
      </c>
      <c r="B413" t="inlineStr">
        <is>
          <t>ANJT_2023_AR.pdf</t>
        </is>
      </c>
      <c r="C413" t="n">
        <v>2022</v>
      </c>
      <c r="D413" t="inlineStr">
        <is>
          <t>Financial</t>
        </is>
      </c>
      <c r="E413" t="inlineStr">
        <is>
          <t>Gross Profit</t>
        </is>
      </c>
      <c r="F413" t="n">
        <v>53.9</v>
      </c>
      <c r="G413" t="inlineStr">
        <is>
          <t>USD mn</t>
        </is>
      </c>
      <c r="H413" t="n">
        <v>8</v>
      </c>
      <c r="I413" t="inlineStr">
        <is>
          <t>Gross profit 53.9 (2022)</t>
        </is>
      </c>
      <c r="J413" t="inlineStr">
        <is>
          <t>High</t>
        </is>
      </c>
      <c r="M413" t="inlineStr">
        <is>
          <t>LLM</t>
        </is>
      </c>
      <c r="N413" t="inlineStr">
        <is>
          <t>2026-04-18</t>
        </is>
      </c>
      <c r="O413" t="inlineStr">
        <is>
          <t>AI</t>
        </is>
      </c>
    </row>
    <row r="414">
      <c r="A414" t="inlineStr">
        <is>
          <t>PT Austindo Nusantara Jaya Tbk</t>
        </is>
      </c>
      <c r="B414" t="inlineStr">
        <is>
          <t>ANJT_2023_AR.pdf</t>
        </is>
      </c>
      <c r="C414" t="n">
        <v>2022</v>
      </c>
      <c r="D414" t="inlineStr">
        <is>
          <t>Financial</t>
        </is>
      </c>
      <c r="E414" t="inlineStr">
        <is>
          <t>EBITDA</t>
        </is>
      </c>
      <c r="F414" t="n">
        <v>69.3</v>
      </c>
      <c r="G414" t="inlineStr">
        <is>
          <t>USD mn</t>
        </is>
      </c>
      <c r="H414" t="n">
        <v>8</v>
      </c>
      <c r="I414" t="inlineStr">
        <is>
          <t>EBITDA 69.3</t>
        </is>
      </c>
      <c r="J414" t="inlineStr">
        <is>
          <t>High</t>
        </is>
      </c>
      <c r="M414" t="inlineStr">
        <is>
          <t>LLM</t>
        </is>
      </c>
      <c r="N414" t="inlineStr">
        <is>
          <t>2026-04-18</t>
        </is>
      </c>
      <c r="O414" t="inlineStr">
        <is>
          <t>AI</t>
        </is>
      </c>
    </row>
    <row r="415">
      <c r="A415" t="inlineStr">
        <is>
          <t>PT Austindo Nusantara Jaya Tbk</t>
        </is>
      </c>
      <c r="B415" t="inlineStr">
        <is>
          <t>ANJT_2023_AR.pdf</t>
        </is>
      </c>
      <c r="C415" t="n">
        <v>2022</v>
      </c>
      <c r="D415" t="inlineStr">
        <is>
          <t>Financial</t>
        </is>
      </c>
      <c r="E415" t="inlineStr">
        <is>
          <t>Net Income</t>
        </is>
      </c>
      <c r="F415" t="n">
        <v>21.2</v>
      </c>
      <c r="G415" t="inlineStr">
        <is>
          <t>USD mn</t>
        </is>
      </c>
      <c r="H415" t="n">
        <v>8</v>
      </c>
      <c r="I415" t="inlineStr">
        <is>
          <t>Net income (loss) for the year 21.2 (2022)</t>
        </is>
      </c>
      <c r="J415" t="inlineStr">
        <is>
          <t>High</t>
        </is>
      </c>
      <c r="M415" t="inlineStr">
        <is>
          <t>LLM</t>
        </is>
      </c>
      <c r="N415" t="inlineStr">
        <is>
          <t>2026-04-18</t>
        </is>
      </c>
      <c r="O415" t="inlineStr">
        <is>
          <t>AI</t>
        </is>
      </c>
    </row>
    <row r="416">
      <c r="A416" t="inlineStr">
        <is>
          <t>PT Austindo Nusantara Jaya Tbk</t>
        </is>
      </c>
      <c r="B416" t="inlineStr">
        <is>
          <t>ANJT_2023_AR.pdf</t>
        </is>
      </c>
      <c r="C416" t="n">
        <v>2022</v>
      </c>
      <c r="D416" t="inlineStr">
        <is>
          <t>Financial</t>
        </is>
      </c>
      <c r="E416" t="inlineStr">
        <is>
          <t>Net Income Parent</t>
        </is>
      </c>
      <c r="F416" t="n">
        <v>21.7</v>
      </c>
      <c r="G416" t="inlineStr">
        <is>
          <t>USD mn</t>
        </is>
      </c>
      <c r="H416" t="n">
        <v>8</v>
      </c>
      <c r="I416" t="inlineStr">
        <is>
          <t>attributable to the owners 21.7</t>
        </is>
      </c>
      <c r="J416" t="inlineStr">
        <is>
          <t>High</t>
        </is>
      </c>
      <c r="M416" t="inlineStr">
        <is>
          <t>LLM</t>
        </is>
      </c>
      <c r="N416" t="inlineStr">
        <is>
          <t>2026-04-18</t>
        </is>
      </c>
      <c r="O416" t="inlineStr">
        <is>
          <t>AI</t>
        </is>
      </c>
    </row>
    <row r="417">
      <c r="A417" t="inlineStr">
        <is>
          <t>PT Austindo Nusantara Jaya Tbk</t>
        </is>
      </c>
      <c r="B417" t="inlineStr">
        <is>
          <t>ANJT_2023_AR.pdf</t>
        </is>
      </c>
      <c r="C417" t="n">
        <v>2022</v>
      </c>
      <c r="D417" t="inlineStr">
        <is>
          <t>Financial</t>
        </is>
      </c>
      <c r="E417" t="inlineStr">
        <is>
          <t>Total Comprehensive Income</t>
        </is>
      </c>
      <c r="F417" t="n">
        <v>6.1</v>
      </c>
      <c r="G417" t="inlineStr">
        <is>
          <t>USD mn</t>
        </is>
      </c>
      <c r="H417" t="n">
        <v>8</v>
      </c>
      <c r="I417" t="inlineStr">
        <is>
          <t>Total Comprehensive Income 6.1</t>
        </is>
      </c>
      <c r="J417" t="inlineStr">
        <is>
          <t>High</t>
        </is>
      </c>
      <c r="M417" t="inlineStr">
        <is>
          <t>LLM</t>
        </is>
      </c>
      <c r="N417" t="inlineStr">
        <is>
          <t>2026-04-18</t>
        </is>
      </c>
      <c r="O417" t="inlineStr">
        <is>
          <t>AI</t>
        </is>
      </c>
    </row>
    <row r="418">
      <c r="A418" t="inlineStr">
        <is>
          <t>PT Austindo Nusantara Jaya Tbk</t>
        </is>
      </c>
      <c r="B418" t="inlineStr">
        <is>
          <t>ANJT_2023_AR.pdf</t>
        </is>
      </c>
      <c r="C418" t="n">
        <v>2022</v>
      </c>
      <c r="D418" t="inlineStr">
        <is>
          <t>Financial</t>
        </is>
      </c>
      <c r="E418" t="inlineStr">
        <is>
          <t>EPS</t>
        </is>
      </c>
      <c r="F418" t="n">
        <v>0.0065</v>
      </c>
      <c r="G418" t="inlineStr">
        <is>
          <t>USD/share</t>
        </is>
      </c>
      <c r="H418" t="n">
        <v>8</v>
      </c>
      <c r="I418" t="inlineStr">
        <is>
          <t>Basic earnings per share 0.0065</t>
        </is>
      </c>
      <c r="J418" t="inlineStr">
        <is>
          <t>High</t>
        </is>
      </c>
      <c r="M418" t="inlineStr">
        <is>
          <t>LLM</t>
        </is>
      </c>
      <c r="N418" t="inlineStr">
        <is>
          <t>2026-04-18</t>
        </is>
      </c>
      <c r="O418" t="inlineStr">
        <is>
          <t>AI</t>
        </is>
      </c>
    </row>
    <row r="419">
      <c r="A419" t="inlineStr">
        <is>
          <t>PT Austindo Nusantara Jaya Tbk</t>
        </is>
      </c>
      <c r="B419" t="inlineStr">
        <is>
          <t>ANJT_2023_AR.pdf</t>
        </is>
      </c>
      <c r="C419" t="n">
        <v>2022</v>
      </c>
      <c r="D419" t="inlineStr">
        <is>
          <t>Financial</t>
        </is>
      </c>
      <c r="E419" t="inlineStr">
        <is>
          <t>Cash &amp; equivalents</t>
        </is>
      </c>
      <c r="F419" t="n">
        <v>10.8</v>
      </c>
      <c r="G419" t="inlineStr">
        <is>
          <t>USD mn</t>
        </is>
      </c>
      <c r="H419" t="n">
        <v>8</v>
      </c>
      <c r="I419" t="inlineStr">
        <is>
          <t>Cash and cash equivalents 10.8</t>
        </is>
      </c>
      <c r="J419" t="inlineStr">
        <is>
          <t>High</t>
        </is>
      </c>
      <c r="M419" t="inlineStr">
        <is>
          <t>LLM</t>
        </is>
      </c>
      <c r="N419" t="inlineStr">
        <is>
          <t>2026-04-18</t>
        </is>
      </c>
      <c r="O419" t="inlineStr">
        <is>
          <t>AI</t>
        </is>
      </c>
    </row>
    <row r="420">
      <c r="A420" t="inlineStr">
        <is>
          <t>PT Austindo Nusantara Jaya Tbk</t>
        </is>
      </c>
      <c r="B420" t="inlineStr">
        <is>
          <t>ANJT_2023_AR.pdf</t>
        </is>
      </c>
      <c r="C420" t="n">
        <v>2022</v>
      </c>
      <c r="D420" t="inlineStr">
        <is>
          <t>Financial</t>
        </is>
      </c>
      <c r="E420" t="inlineStr">
        <is>
          <t>Total Current Assets</t>
        </is>
      </c>
      <c r="F420" t="n">
        <v>59.1</v>
      </c>
      <c r="G420" t="inlineStr">
        <is>
          <t>USD mn</t>
        </is>
      </c>
      <c r="H420" t="n">
        <v>8</v>
      </c>
      <c r="I420" t="inlineStr">
        <is>
          <t>Total current assets 59.1</t>
        </is>
      </c>
      <c r="J420" t="inlineStr">
        <is>
          <t>High</t>
        </is>
      </c>
      <c r="M420" t="inlineStr">
        <is>
          <t>LLM</t>
        </is>
      </c>
      <c r="N420" t="inlineStr">
        <is>
          <t>2026-04-18</t>
        </is>
      </c>
      <c r="O420" t="inlineStr">
        <is>
          <t>AI</t>
        </is>
      </c>
    </row>
    <row r="421">
      <c r="A421" t="inlineStr">
        <is>
          <t>PT Austindo Nusantara Jaya Tbk</t>
        </is>
      </c>
      <c r="B421" t="inlineStr">
        <is>
          <t>ANJT_2023_AR.pdf</t>
        </is>
      </c>
      <c r="C421" t="n">
        <v>2022</v>
      </c>
      <c r="D421" t="inlineStr">
        <is>
          <t>Financial</t>
        </is>
      </c>
      <c r="E421" t="inlineStr">
        <is>
          <t>Total Assets</t>
        </is>
      </c>
      <c r="F421" t="n">
        <v>602.6</v>
      </c>
      <c r="G421" t="inlineStr">
        <is>
          <t>USD mn</t>
        </is>
      </c>
      <c r="H421" t="n">
        <v>8</v>
      </c>
      <c r="I421" t="inlineStr">
        <is>
          <t>Total assets 602.6</t>
        </is>
      </c>
      <c r="J421" t="inlineStr">
        <is>
          <t>High</t>
        </is>
      </c>
      <c r="M421" t="inlineStr">
        <is>
          <t>LLM</t>
        </is>
      </c>
      <c r="N421" t="inlineStr">
        <is>
          <t>2026-04-18</t>
        </is>
      </c>
      <c r="O421" t="inlineStr">
        <is>
          <t>AI</t>
        </is>
      </c>
    </row>
    <row r="422">
      <c r="A422" t="inlineStr">
        <is>
          <t>PT Austindo Nusantara Jaya Tbk</t>
        </is>
      </c>
      <c r="B422" t="inlineStr">
        <is>
          <t>ANJT_2023_AR.pdf</t>
        </is>
      </c>
      <c r="C422" t="n">
        <v>2022</v>
      </c>
      <c r="D422" t="inlineStr">
        <is>
          <t>Financial</t>
        </is>
      </c>
      <c r="E422" t="inlineStr">
        <is>
          <t>Bank Loans</t>
        </is>
      </c>
      <c r="F422" t="n">
        <v>134.2</v>
      </c>
      <c r="G422" t="inlineStr">
        <is>
          <t>USD mn</t>
        </is>
      </c>
      <c r="H422" t="n">
        <v>8</v>
      </c>
      <c r="I422" t="inlineStr">
        <is>
          <t>Bank loans 134.2</t>
        </is>
      </c>
      <c r="J422" t="inlineStr">
        <is>
          <t>High</t>
        </is>
      </c>
      <c r="M422" t="inlineStr">
        <is>
          <t>LLM</t>
        </is>
      </c>
      <c r="N422" t="inlineStr">
        <is>
          <t>2026-04-18</t>
        </is>
      </c>
      <c r="O422" t="inlineStr">
        <is>
          <t>AI</t>
        </is>
      </c>
    </row>
    <row r="423">
      <c r="A423" t="inlineStr">
        <is>
          <t>PT Austindo Nusantara Jaya Tbk</t>
        </is>
      </c>
      <c r="B423" t="inlineStr">
        <is>
          <t>ANJT_2023_AR.pdf</t>
        </is>
      </c>
      <c r="C423" t="n">
        <v>2022</v>
      </c>
      <c r="D423" t="inlineStr">
        <is>
          <t>Financial</t>
        </is>
      </c>
      <c r="E423" t="inlineStr">
        <is>
          <t>Total Current Liabilities</t>
        </is>
      </c>
      <c r="F423" t="n">
        <v>40.5</v>
      </c>
      <c r="G423" t="inlineStr">
        <is>
          <t>USD mn</t>
        </is>
      </c>
      <c r="H423" t="n">
        <v>8</v>
      </c>
      <c r="I423" t="inlineStr">
        <is>
          <t>Total current liabilities 40.5</t>
        </is>
      </c>
      <c r="J423" t="inlineStr">
        <is>
          <t>High</t>
        </is>
      </c>
      <c r="M423" t="inlineStr">
        <is>
          <t>LLM</t>
        </is>
      </c>
      <c r="N423" t="inlineStr">
        <is>
          <t>2026-04-18</t>
        </is>
      </c>
      <c r="O423" t="inlineStr">
        <is>
          <t>AI</t>
        </is>
      </c>
    </row>
    <row r="424">
      <c r="A424" t="inlineStr">
        <is>
          <t>PT Austindo Nusantara Jaya Tbk</t>
        </is>
      </c>
      <c r="B424" t="inlineStr">
        <is>
          <t>ANJT_2023_AR.pdf</t>
        </is>
      </c>
      <c r="C424" t="n">
        <v>2022</v>
      </c>
      <c r="D424" t="inlineStr">
        <is>
          <t>Financial</t>
        </is>
      </c>
      <c r="E424" t="inlineStr">
        <is>
          <t>Total Liabilities</t>
        </is>
      </c>
      <c r="F424" t="n">
        <v>178.5</v>
      </c>
      <c r="G424" t="inlineStr">
        <is>
          <t>USD mn</t>
        </is>
      </c>
      <c r="H424" t="n">
        <v>8</v>
      </c>
      <c r="I424" t="inlineStr">
        <is>
          <t>Total liabilities 178.5</t>
        </is>
      </c>
      <c r="J424" t="inlineStr">
        <is>
          <t>High</t>
        </is>
      </c>
      <c r="M424" t="inlineStr">
        <is>
          <t>LLM</t>
        </is>
      </c>
      <c r="N424" t="inlineStr">
        <is>
          <t>2026-04-18</t>
        </is>
      </c>
      <c r="O424" t="inlineStr">
        <is>
          <t>AI</t>
        </is>
      </c>
    </row>
    <row r="425">
      <c r="A425" t="inlineStr">
        <is>
          <t>PT Austindo Nusantara Jaya Tbk</t>
        </is>
      </c>
      <c r="B425" t="inlineStr">
        <is>
          <t>ANJT_2023_AR.pdf</t>
        </is>
      </c>
      <c r="C425" t="n">
        <v>2022</v>
      </c>
      <c r="D425" t="inlineStr">
        <is>
          <t>Financial</t>
        </is>
      </c>
      <c r="E425" t="inlineStr">
        <is>
          <t>Total Equity</t>
        </is>
      </c>
      <c r="F425" t="n">
        <v>424.1</v>
      </c>
      <c r="G425" t="inlineStr">
        <is>
          <t>USD mn</t>
        </is>
      </c>
      <c r="H425" t="n">
        <v>8</v>
      </c>
      <c r="I425" t="inlineStr">
        <is>
          <t>Total equity 424.1</t>
        </is>
      </c>
      <c r="J425" t="inlineStr">
        <is>
          <t>High</t>
        </is>
      </c>
      <c r="M425" t="inlineStr">
        <is>
          <t>LLM</t>
        </is>
      </c>
      <c r="N425" t="inlineStr">
        <is>
          <t>2026-04-18</t>
        </is>
      </c>
      <c r="O425" t="inlineStr">
        <is>
          <t>AI</t>
        </is>
      </c>
    </row>
    <row r="426">
      <c r="A426" t="inlineStr">
        <is>
          <t>PT Austindo Nusantara Jaya Tbk</t>
        </is>
      </c>
      <c r="B426" t="inlineStr">
        <is>
          <t>ANJT_2023_AR.pdf</t>
        </is>
      </c>
      <c r="C426" t="n">
        <v>2022</v>
      </c>
      <c r="D426" t="inlineStr">
        <is>
          <t>Financial</t>
        </is>
      </c>
      <c r="E426" t="inlineStr">
        <is>
          <t>ROA</t>
        </is>
      </c>
      <c r="F426" t="n">
        <v>0.035</v>
      </c>
      <c r="G426" t="inlineStr">
        <is>
          <t>%</t>
        </is>
      </c>
      <c r="H426" t="n">
        <v>8</v>
      </c>
      <c r="I426" t="inlineStr">
        <is>
          <t>Return on assets 3.5%</t>
        </is>
      </c>
      <c r="J426" t="inlineStr">
        <is>
          <t>High</t>
        </is>
      </c>
      <c r="M426" t="inlineStr">
        <is>
          <t>LLM</t>
        </is>
      </c>
      <c r="N426" t="inlineStr">
        <is>
          <t>2026-04-18</t>
        </is>
      </c>
      <c r="O426" t="inlineStr">
        <is>
          <t>AI</t>
        </is>
      </c>
    </row>
    <row r="427">
      <c r="A427" t="inlineStr">
        <is>
          <t>PT Austindo Nusantara Jaya Tbk</t>
        </is>
      </c>
      <c r="B427" t="inlineStr">
        <is>
          <t>ANJT_2023_AR.pdf</t>
        </is>
      </c>
      <c r="C427" t="n">
        <v>2022</v>
      </c>
      <c r="D427" t="inlineStr">
        <is>
          <t>Financial</t>
        </is>
      </c>
      <c r="E427" t="inlineStr">
        <is>
          <t>ROE</t>
        </is>
      </c>
      <c r="F427" t="n">
        <v>0.05</v>
      </c>
      <c r="G427" t="inlineStr">
        <is>
          <t>%</t>
        </is>
      </c>
      <c r="H427" t="n">
        <v>8</v>
      </c>
      <c r="I427" t="inlineStr">
        <is>
          <t>Return on equity 5.0%</t>
        </is>
      </c>
      <c r="J427" t="inlineStr">
        <is>
          <t>High</t>
        </is>
      </c>
      <c r="M427" t="inlineStr">
        <is>
          <t>LLM</t>
        </is>
      </c>
      <c r="N427" t="inlineStr">
        <is>
          <t>2026-04-18</t>
        </is>
      </c>
      <c r="O427" t="inlineStr">
        <is>
          <t>AI</t>
        </is>
      </c>
    </row>
    <row r="428">
      <c r="A428" t="inlineStr">
        <is>
          <t>PT Austindo Nusantara Jaya Tbk</t>
        </is>
      </c>
      <c r="B428" t="inlineStr">
        <is>
          <t>ANJT_2023_AR.pdf</t>
        </is>
      </c>
      <c r="C428" t="n">
        <v>2022</v>
      </c>
      <c r="D428" t="inlineStr">
        <is>
          <t>Financial</t>
        </is>
      </c>
      <c r="E428" t="inlineStr">
        <is>
          <t>Gross Margin</t>
        </is>
      </c>
      <c r="F428" t="n">
        <v>0.2</v>
      </c>
      <c r="G428" t="inlineStr">
        <is>
          <t>%</t>
        </is>
      </c>
      <c r="H428" t="n">
        <v>8</v>
      </c>
      <c r="I428" t="inlineStr">
        <is>
          <t>Gross margin 20.0%</t>
        </is>
      </c>
      <c r="J428" t="inlineStr">
        <is>
          <t>High</t>
        </is>
      </c>
      <c r="M428" t="inlineStr">
        <is>
          <t>LLM</t>
        </is>
      </c>
      <c r="N428" t="inlineStr">
        <is>
          <t>2026-04-18</t>
        </is>
      </c>
      <c r="O428" t="inlineStr">
        <is>
          <t>AI</t>
        </is>
      </c>
    </row>
    <row r="429">
      <c r="A429" t="inlineStr">
        <is>
          <t>PT Austindo Nusantara Jaya Tbk</t>
        </is>
      </c>
      <c r="B429" t="inlineStr">
        <is>
          <t>ANJT_2023_AR.pdf</t>
        </is>
      </c>
      <c r="C429" t="n">
        <v>2022</v>
      </c>
      <c r="D429" t="inlineStr">
        <is>
          <t>Financial</t>
        </is>
      </c>
      <c r="E429" t="inlineStr">
        <is>
          <t>EBITDA Margin</t>
        </is>
      </c>
      <c r="F429" t="n">
        <v>0.258</v>
      </c>
      <c r="G429" t="inlineStr">
        <is>
          <t>%</t>
        </is>
      </c>
      <c r="H429" t="n">
        <v>8</v>
      </c>
      <c r="I429" t="inlineStr">
        <is>
          <t>EBITDA margin 25.8%</t>
        </is>
      </c>
      <c r="J429" t="inlineStr">
        <is>
          <t>High</t>
        </is>
      </c>
      <c r="M429" t="inlineStr">
        <is>
          <t>LLM</t>
        </is>
      </c>
      <c r="N429" t="inlineStr">
        <is>
          <t>2026-04-18</t>
        </is>
      </c>
      <c r="O429" t="inlineStr">
        <is>
          <t>AI</t>
        </is>
      </c>
    </row>
    <row r="430">
      <c r="A430" t="inlineStr">
        <is>
          <t>PT Austindo Nusantara Jaya Tbk</t>
        </is>
      </c>
      <c r="B430" t="inlineStr">
        <is>
          <t>ANJT_2023_AR.pdf</t>
        </is>
      </c>
      <c r="C430" t="n">
        <v>2022</v>
      </c>
      <c r="D430" t="inlineStr">
        <is>
          <t>Financial</t>
        </is>
      </c>
      <c r="E430" t="inlineStr">
        <is>
          <t>Net Profit Margin</t>
        </is>
      </c>
      <c r="F430" t="n">
        <v>0.079</v>
      </c>
      <c r="G430" t="inlineStr">
        <is>
          <t>%</t>
        </is>
      </c>
      <c r="H430" t="n">
        <v>8</v>
      </c>
      <c r="I430" t="inlineStr">
        <is>
          <t>Net profit margin 7.9%</t>
        </is>
      </c>
      <c r="J430" t="inlineStr">
        <is>
          <t>High</t>
        </is>
      </c>
      <c r="M430" t="inlineStr">
        <is>
          <t>LLM</t>
        </is>
      </c>
      <c r="N430" t="inlineStr">
        <is>
          <t>2026-04-18</t>
        </is>
      </c>
      <c r="O430" t="inlineStr">
        <is>
          <t>AI</t>
        </is>
      </c>
    </row>
    <row r="431">
      <c r="A431" t="inlineStr">
        <is>
          <t>PT Austindo Nusantara Jaya Tbk</t>
        </is>
      </c>
      <c r="B431" t="inlineStr">
        <is>
          <t>ANJT_2023_AR.pdf</t>
        </is>
      </c>
      <c r="C431" t="n">
        <v>2022</v>
      </c>
      <c r="D431" t="inlineStr">
        <is>
          <t>Financial</t>
        </is>
      </c>
      <c r="E431" t="inlineStr">
        <is>
          <t>Current Ratio</t>
        </is>
      </c>
      <c r="F431" t="n">
        <v>1.5</v>
      </c>
      <c r="G431" t="inlineStr">
        <is>
          <t>x</t>
        </is>
      </c>
      <c r="H431" t="n">
        <v>8</v>
      </c>
      <c r="I431" t="inlineStr">
        <is>
          <t>Current ratio 1.5</t>
        </is>
      </c>
      <c r="J431" t="inlineStr">
        <is>
          <t>High</t>
        </is>
      </c>
      <c r="M431" t="inlineStr">
        <is>
          <t>LLM</t>
        </is>
      </c>
      <c r="N431" t="inlineStr">
        <is>
          <t>2026-04-18</t>
        </is>
      </c>
      <c r="O431" t="inlineStr">
        <is>
          <t>AI</t>
        </is>
      </c>
    </row>
    <row r="432">
      <c r="A432" t="inlineStr">
        <is>
          <t>PT Austindo Nusantara Jaya Tbk</t>
        </is>
      </c>
      <c r="B432" t="inlineStr">
        <is>
          <t>ANJT_2023_AR.pdf</t>
        </is>
      </c>
      <c r="C432" t="n">
        <v>2022</v>
      </c>
      <c r="D432" t="inlineStr">
        <is>
          <t>Financial</t>
        </is>
      </c>
      <c r="E432" t="inlineStr">
        <is>
          <t>Debt/Equity</t>
        </is>
      </c>
      <c r="F432" t="n">
        <v>0.4</v>
      </c>
      <c r="G432" t="inlineStr">
        <is>
          <t>x</t>
        </is>
      </c>
      <c r="H432" t="n">
        <v>8</v>
      </c>
      <c r="I432" t="inlineStr">
        <is>
          <t>Liabilities to equity ratio 0.4</t>
        </is>
      </c>
      <c r="J432" t="inlineStr">
        <is>
          <t>High</t>
        </is>
      </c>
      <c r="M432" t="inlineStr">
        <is>
          <t>LLM</t>
        </is>
      </c>
      <c r="N432" t="inlineStr">
        <is>
          <t>2026-04-18</t>
        </is>
      </c>
      <c r="O432" t="inlineStr">
        <is>
          <t>AI</t>
        </is>
      </c>
    </row>
    <row r="433">
      <c r="A433" t="inlineStr">
        <is>
          <t>PT Austindo Nusantara Jaya Tbk</t>
        </is>
      </c>
      <c r="B433" t="inlineStr">
        <is>
          <t>ANJT_2023_AR.pdf</t>
        </is>
      </c>
      <c r="C433" t="n">
        <v>2022</v>
      </c>
      <c r="D433" t="inlineStr">
        <is>
          <t>Financial</t>
        </is>
      </c>
      <c r="E433" t="inlineStr">
        <is>
          <t>Shares Outstanding</t>
        </is>
      </c>
      <c r="F433" t="n">
        <v>3354</v>
      </c>
      <c r="G433" t="inlineStr">
        <is>
          <t>million</t>
        </is>
      </c>
      <c r="H433" t="n">
        <v>87</v>
      </c>
      <c r="I433" t="inlineStr">
        <is>
          <t>3,354,175,000 shares outstanding</t>
        </is>
      </c>
      <c r="J433" t="inlineStr">
        <is>
          <t>High</t>
        </is>
      </c>
      <c r="M433" t="inlineStr">
        <is>
          <t>LLM</t>
        </is>
      </c>
      <c r="N433" t="inlineStr">
        <is>
          <t>2026-04-18</t>
        </is>
      </c>
      <c r="O433" t="inlineStr">
        <is>
          <t>AI</t>
        </is>
      </c>
    </row>
    <row r="434">
      <c r="A434" t="inlineStr">
        <is>
          <t>PT Austindo Nusantara Jaya Tbk</t>
        </is>
      </c>
      <c r="B434" t="inlineStr">
        <is>
          <t>ANJT_2023_AR.pdf</t>
        </is>
      </c>
      <c r="C434" t="n">
        <v>2022</v>
      </c>
      <c r="D434" t="inlineStr">
        <is>
          <t>Financial</t>
        </is>
      </c>
      <c r="E434" t="inlineStr">
        <is>
          <t>Closing Price Q4 2022</t>
        </is>
      </c>
      <c r="F434" t="n">
        <v>665</v>
      </c>
      <c r="G434" t="inlineStr">
        <is>
          <t>IDR</t>
        </is>
      </c>
      <c r="H434" t="n">
        <v>10</v>
      </c>
      <c r="I434" t="inlineStr">
        <is>
          <t>Q4 2022 Close 665</t>
        </is>
      </c>
      <c r="J434" t="inlineStr">
        <is>
          <t>High</t>
        </is>
      </c>
      <c r="M434" t="inlineStr">
        <is>
          <t>LLM</t>
        </is>
      </c>
      <c r="N434" t="inlineStr">
        <is>
          <t>2026-04-18</t>
        </is>
      </c>
      <c r="O434" t="inlineStr">
        <is>
          <t>AI</t>
        </is>
      </c>
    </row>
    <row r="435">
      <c r="A435" t="inlineStr">
        <is>
          <t>PT Austindo Nusantara Jaya Tbk</t>
        </is>
      </c>
      <c r="B435" t="inlineStr">
        <is>
          <t>ANJT_2023_AR.pdf</t>
        </is>
      </c>
      <c r="C435" t="n">
        <v>2022</v>
      </c>
      <c r="D435" t="inlineStr">
        <is>
          <t>Financial</t>
        </is>
      </c>
      <c r="E435" t="inlineStr">
        <is>
          <t>Market Cap 2022-Q4</t>
        </is>
      </c>
      <c r="F435" t="n">
        <v>2231</v>
      </c>
      <c r="G435" t="inlineStr">
        <is>
          <t>IDR bn</t>
        </is>
      </c>
      <c r="H435" t="n">
        <v>10</v>
      </c>
      <c r="I435" t="inlineStr">
        <is>
          <t>Q4 2022 MCap 2,230,526,375,000</t>
        </is>
      </c>
      <c r="J435" t="inlineStr">
        <is>
          <t>High</t>
        </is>
      </c>
      <c r="M435" t="inlineStr">
        <is>
          <t>LLM</t>
        </is>
      </c>
      <c r="N435" t="inlineStr">
        <is>
          <t>2026-04-18</t>
        </is>
      </c>
      <c r="O435" t="inlineStr">
        <is>
          <t>AI</t>
        </is>
      </c>
    </row>
    <row r="436">
      <c r="A436" t="inlineStr">
        <is>
          <t>PT Austindo Nusantara Jaya Tbk</t>
        </is>
      </c>
      <c r="B436" t="inlineStr">
        <is>
          <t>ANJT_2023_AR.pdf</t>
        </is>
      </c>
      <c r="C436" t="n">
        <v>2022</v>
      </c>
      <c r="D436" t="inlineStr">
        <is>
          <t>Financial</t>
        </is>
      </c>
      <c r="E436" t="inlineStr">
        <is>
          <t>Dividend per Share</t>
        </is>
      </c>
      <c r="F436" t="n">
        <v>43</v>
      </c>
      <c r="G436" t="inlineStr">
        <is>
          <t>IDR/share</t>
        </is>
      </c>
      <c r="H436" t="n">
        <v>87</v>
      </c>
      <c r="I436" t="inlineStr">
        <is>
          <t>DIVIDEND PER SHARE IDR 43 (2022)</t>
        </is>
      </c>
      <c r="J436" t="inlineStr">
        <is>
          <t>High</t>
        </is>
      </c>
      <c r="M436" t="inlineStr">
        <is>
          <t>LLM</t>
        </is>
      </c>
      <c r="N436" t="inlineStr">
        <is>
          <t>2026-04-18</t>
        </is>
      </c>
      <c r="O436" t="inlineStr">
        <is>
          <t>AI</t>
        </is>
      </c>
    </row>
    <row r="437">
      <c r="A437" t="inlineStr">
        <is>
          <t>PT Austindo Nusantara Jaya Tbk</t>
        </is>
      </c>
      <c r="B437" t="inlineStr">
        <is>
          <t>ANJT_2023_AR.pdf</t>
        </is>
      </c>
      <c r="C437" t="n">
        <v>2022</v>
      </c>
      <c r="D437" t="inlineStr">
        <is>
          <t>Financial</t>
        </is>
      </c>
      <c r="E437" t="inlineStr">
        <is>
          <t>Dividend Payout Ratio</t>
        </is>
      </c>
      <c r="F437" t="n">
        <v>0.264</v>
      </c>
      <c r="G437" t="inlineStr">
        <is>
          <t>%</t>
        </is>
      </c>
      <c r="H437" t="n">
        <v>87</v>
      </c>
      <c r="I437" t="inlineStr">
        <is>
          <t>DIVIDEND PAYOUT RATIO 26.4%</t>
        </is>
      </c>
      <c r="J437" t="inlineStr">
        <is>
          <t>High</t>
        </is>
      </c>
      <c r="M437" t="inlineStr">
        <is>
          <t>LLM</t>
        </is>
      </c>
      <c r="N437" t="inlineStr">
        <is>
          <t>2026-04-18</t>
        </is>
      </c>
      <c r="O437" t="inlineStr">
        <is>
          <t>AI</t>
        </is>
      </c>
    </row>
    <row r="438">
      <c r="A438" t="inlineStr">
        <is>
          <t>PT Austindo Nusantara Jaya Tbk</t>
        </is>
      </c>
      <c r="B438" t="inlineStr">
        <is>
          <t>ANJT_2023_AR.pdf</t>
        </is>
      </c>
      <c r="C438" t="n">
        <v>2022</v>
      </c>
      <c r="D438" t="inlineStr">
        <is>
          <t>Financial</t>
        </is>
      </c>
      <c r="E438" t="inlineStr">
        <is>
          <t>CFO</t>
        </is>
      </c>
      <c r="F438" t="n">
        <v>59.995</v>
      </c>
      <c r="G438" t="inlineStr">
        <is>
          <t>USD mn</t>
        </is>
      </c>
      <c r="H438" t="n">
        <v>123</v>
      </c>
      <c r="I438" t="inlineStr">
        <is>
          <t>Net cash provided by operating activities 59,995 (2022)</t>
        </is>
      </c>
      <c r="J438" t="inlineStr">
        <is>
          <t>Medium</t>
        </is>
      </c>
      <c r="M438" t="inlineStr">
        <is>
          <t>LLM</t>
        </is>
      </c>
      <c r="N438" t="inlineStr">
        <is>
          <t>2026-04-18</t>
        </is>
      </c>
      <c r="O438" t="inlineStr">
        <is>
          <t>AI</t>
        </is>
      </c>
    </row>
    <row r="439">
      <c r="A439" t="inlineStr">
        <is>
          <t>PT Austindo Nusantara Jaya Tbk</t>
        </is>
      </c>
      <c r="B439" t="inlineStr">
        <is>
          <t>ANJT_2023_AR.pdf</t>
        </is>
      </c>
      <c r="C439" t="n">
        <v>2022</v>
      </c>
      <c r="D439" t="inlineStr">
        <is>
          <t>Asset</t>
        </is>
      </c>
      <c r="E439" t="inlineStr">
        <is>
          <t>Total Planted Area</t>
        </is>
      </c>
      <c r="F439" t="n">
        <v>49409</v>
      </c>
      <c r="G439" t="inlineStr">
        <is>
          <t>ha</t>
        </is>
      </c>
      <c r="H439" t="n">
        <v>54</v>
      </c>
      <c r="I439" t="inlineStr">
        <is>
          <t>TOTAL PLANTED AREA: 49,409 Ha</t>
        </is>
      </c>
      <c r="J439" t="inlineStr">
        <is>
          <t>High</t>
        </is>
      </c>
      <c r="M439" t="inlineStr">
        <is>
          <t>LLM</t>
        </is>
      </c>
      <c r="N439" t="inlineStr">
        <is>
          <t>2026-04-18</t>
        </is>
      </c>
      <c r="O439" t="inlineStr">
        <is>
          <t>AI</t>
        </is>
      </c>
    </row>
    <row r="440">
      <c r="A440" t="inlineStr">
        <is>
          <t>PT Austindo Nusantara Jaya Tbk</t>
        </is>
      </c>
      <c r="B440" t="inlineStr">
        <is>
          <t>ANJT_2023_AR.pdf</t>
        </is>
      </c>
      <c r="C440" t="n">
        <v>2022</v>
      </c>
      <c r="D440" t="inlineStr">
        <is>
          <t>Asset</t>
        </is>
      </c>
      <c r="E440" t="inlineStr">
        <is>
          <t>Total Conservation Area</t>
        </is>
      </c>
      <c r="F440" t="n">
        <v>97682</v>
      </c>
      <c r="G440" t="inlineStr">
        <is>
          <t>ha</t>
        </is>
      </c>
      <c r="H440" t="n">
        <v>54</v>
      </c>
      <c r="I440" t="inlineStr">
        <is>
          <t>TOTAL CONSERVATION AREA: 97,682 Ha</t>
        </is>
      </c>
      <c r="J440" t="inlineStr">
        <is>
          <t>High</t>
        </is>
      </c>
      <c r="M440" t="inlineStr">
        <is>
          <t>LLM</t>
        </is>
      </c>
      <c r="N440" t="inlineStr">
        <is>
          <t>2026-04-18</t>
        </is>
      </c>
      <c r="O440" t="inlineStr">
        <is>
          <t>AI</t>
        </is>
      </c>
    </row>
    <row r="441">
      <c r="A441" t="inlineStr">
        <is>
          <t>PT Austindo Nusantara Jaya Tbk</t>
        </is>
      </c>
      <c r="B441" t="inlineStr">
        <is>
          <t>ANJT_2023_AR.pdf</t>
        </is>
      </c>
      <c r="C441" t="n">
        <v>2022</v>
      </c>
      <c r="D441" t="inlineStr">
        <is>
          <t>Asset</t>
        </is>
      </c>
      <c r="E441" t="inlineStr">
        <is>
          <t>Mill Count</t>
        </is>
      </c>
      <c r="F441" t="n">
        <v>5</v>
      </c>
      <c r="G441" t="inlineStr">
        <is>
          <t>count</t>
        </is>
      </c>
      <c r="H441" t="n">
        <v>54</v>
      </c>
      <c r="I441" t="inlineStr">
        <is>
          <t>5 palm oil mills (ANJA, ANJAS, SMM, KAL, PPM)</t>
        </is>
      </c>
      <c r="J441" t="inlineStr">
        <is>
          <t>High</t>
        </is>
      </c>
      <c r="M441" t="inlineStr">
        <is>
          <t>LLM</t>
        </is>
      </c>
      <c r="N441" t="inlineStr">
        <is>
          <t>2026-04-18</t>
        </is>
      </c>
      <c r="O441" t="inlineStr">
        <is>
          <t>AI</t>
        </is>
      </c>
    </row>
    <row r="442">
      <c r="A442" t="inlineStr">
        <is>
          <t>PT Austindo Nusantara Jaya Tbk</t>
        </is>
      </c>
      <c r="B442" t="inlineStr">
        <is>
          <t>ANJT_2023_AR.pdf</t>
        </is>
      </c>
      <c r="C442" t="n">
        <v>2022</v>
      </c>
      <c r="D442" t="inlineStr">
        <is>
          <t>Asset</t>
        </is>
      </c>
      <c r="E442" t="inlineStr">
        <is>
          <t>Total Mill Capacity</t>
        </is>
      </c>
      <c r="F442" t="n">
        <v>315</v>
      </c>
      <c r="G442" t="inlineStr">
        <is>
          <t>tph</t>
        </is>
      </c>
      <c r="H442" t="n">
        <v>54</v>
      </c>
      <c r="I442" t="inlineStr">
        <is>
          <t>Sum of mill capacities: 60+60+60+90+45 = 315 tons/hour</t>
        </is>
      </c>
      <c r="J442" t="inlineStr">
        <is>
          <t>High</t>
        </is>
      </c>
      <c r="M442" t="inlineStr">
        <is>
          <t>LLM</t>
        </is>
      </c>
      <c r="N442" t="inlineStr">
        <is>
          <t>2026-04-18</t>
        </is>
      </c>
      <c r="O442" t="inlineStr">
        <is>
          <t>AI</t>
        </is>
      </c>
    </row>
    <row r="443">
      <c r="A443" t="inlineStr">
        <is>
          <t>PT Austindo Nusantara Jaya Tbk</t>
        </is>
      </c>
      <c r="B443" t="inlineStr">
        <is>
          <t>ANJT_2023_AR.pdf</t>
        </is>
      </c>
      <c r="C443" t="n">
        <v>2022</v>
      </c>
      <c r="D443" t="inlineStr">
        <is>
          <t>Asset</t>
        </is>
      </c>
      <c r="E443" t="inlineStr">
        <is>
          <t>ANJAS Planted Area</t>
        </is>
      </c>
      <c r="F443" t="n">
        <v>7752</v>
      </c>
      <c r="G443" t="inlineStr">
        <is>
          <t>ha</t>
        </is>
      </c>
      <c r="H443" t="n">
        <v>54</v>
      </c>
      <c r="I443" t="inlineStr">
        <is>
          <t>ANJAS Planted Area 7,752 Ha</t>
        </is>
      </c>
      <c r="J443" t="inlineStr">
        <is>
          <t>High</t>
        </is>
      </c>
      <c r="M443" t="inlineStr">
        <is>
          <t>LLM</t>
        </is>
      </c>
      <c r="N443" t="inlineStr">
        <is>
          <t>2026-04-18</t>
        </is>
      </c>
      <c r="O443" t="inlineStr">
        <is>
          <t>AI</t>
        </is>
      </c>
    </row>
    <row r="444">
      <c r="A444" t="inlineStr">
        <is>
          <t>PT Austindo Nusantara Jaya Tbk</t>
        </is>
      </c>
      <c r="B444" t="inlineStr">
        <is>
          <t>ANJT_2023_AR.pdf</t>
        </is>
      </c>
      <c r="C444" t="n">
        <v>2022</v>
      </c>
      <c r="D444" t="inlineStr">
        <is>
          <t>Asset</t>
        </is>
      </c>
      <c r="E444" t="inlineStr">
        <is>
          <t>ANJA Planted Area</t>
        </is>
      </c>
      <c r="F444" t="n">
        <v>9457</v>
      </c>
      <c r="G444" t="inlineStr">
        <is>
          <t>ha</t>
        </is>
      </c>
      <c r="H444" t="n">
        <v>54</v>
      </c>
      <c r="I444" t="inlineStr">
        <is>
          <t>ANJA Planted Area 9,457 Ha</t>
        </is>
      </c>
      <c r="J444" t="inlineStr">
        <is>
          <t>High</t>
        </is>
      </c>
      <c r="M444" t="inlineStr">
        <is>
          <t>LLM</t>
        </is>
      </c>
      <c r="N444" t="inlineStr">
        <is>
          <t>2026-04-18</t>
        </is>
      </c>
      <c r="O444" t="inlineStr">
        <is>
          <t>AI</t>
        </is>
      </c>
    </row>
    <row r="445">
      <c r="A445" t="inlineStr">
        <is>
          <t>PT Austindo Nusantara Jaya Tbk</t>
        </is>
      </c>
      <c r="B445" t="inlineStr">
        <is>
          <t>ANJT_2023_AR.pdf</t>
        </is>
      </c>
      <c r="C445" t="n">
        <v>2022</v>
      </c>
      <c r="D445" t="inlineStr">
        <is>
          <t>Asset</t>
        </is>
      </c>
      <c r="E445" t="inlineStr">
        <is>
          <t>SMM Planted Area</t>
        </is>
      </c>
      <c r="F445" t="n">
        <v>14303</v>
      </c>
      <c r="G445" t="inlineStr">
        <is>
          <t>ha</t>
        </is>
      </c>
      <c r="H445" t="n">
        <v>54</v>
      </c>
      <c r="I445" t="inlineStr">
        <is>
          <t>SMM Planted Area 14,303 Ha</t>
        </is>
      </c>
      <c r="J445" t="inlineStr">
        <is>
          <t>High</t>
        </is>
      </c>
      <c r="M445" t="inlineStr">
        <is>
          <t>LLM</t>
        </is>
      </c>
      <c r="N445" t="inlineStr">
        <is>
          <t>2026-04-18</t>
        </is>
      </c>
      <c r="O445" t="inlineStr">
        <is>
          <t>AI</t>
        </is>
      </c>
    </row>
    <row r="446">
      <c r="A446" t="inlineStr">
        <is>
          <t>PT Austindo Nusantara Jaya Tbk</t>
        </is>
      </c>
      <c r="B446" t="inlineStr">
        <is>
          <t>ANJT_2023_AR.pdf</t>
        </is>
      </c>
      <c r="C446" t="n">
        <v>2022</v>
      </c>
      <c r="D446" t="inlineStr">
        <is>
          <t>Operation</t>
        </is>
      </c>
      <c r="E446" t="inlineStr">
        <is>
          <t>FFB Production (Own)</t>
        </is>
      </c>
      <c r="F446" t="n">
        <v>840581</v>
      </c>
      <c r="G446" t="inlineStr">
        <is>
          <t>t</t>
        </is>
      </c>
      <c r="H446" t="n">
        <v>8</v>
      </c>
      <c r="I446" t="inlineStr">
        <is>
          <t>Total FFB produced from our estates 840,581 (2022)</t>
        </is>
      </c>
      <c r="J446" t="inlineStr">
        <is>
          <t>High</t>
        </is>
      </c>
      <c r="M446" t="inlineStr">
        <is>
          <t>LLM</t>
        </is>
      </c>
      <c r="N446" t="inlineStr">
        <is>
          <t>2026-04-18</t>
        </is>
      </c>
      <c r="O446" t="inlineStr">
        <is>
          <t>AI</t>
        </is>
      </c>
    </row>
    <row r="447">
      <c r="A447" t="inlineStr">
        <is>
          <t>PT Austindo Nusantara Jaya Tbk</t>
        </is>
      </c>
      <c r="B447" t="inlineStr">
        <is>
          <t>ANJT_2023_AR.pdf</t>
        </is>
      </c>
      <c r="C447" t="n">
        <v>2022</v>
      </c>
      <c r="D447" t="inlineStr">
        <is>
          <t>Operation</t>
        </is>
      </c>
      <c r="E447" t="inlineStr">
        <is>
          <t>Third-Party FFB</t>
        </is>
      </c>
      <c r="F447" t="n">
        <v>538483</v>
      </c>
      <c r="G447" t="inlineStr">
        <is>
          <t>t</t>
        </is>
      </c>
      <c r="H447" t="n">
        <v>8</v>
      </c>
      <c r="I447" t="inlineStr">
        <is>
          <t>Total FFB bought from third parties 538,483</t>
        </is>
      </c>
      <c r="J447" t="inlineStr">
        <is>
          <t>High</t>
        </is>
      </c>
      <c r="M447" t="inlineStr">
        <is>
          <t>LLM</t>
        </is>
      </c>
      <c r="N447" t="inlineStr">
        <is>
          <t>2026-04-18</t>
        </is>
      </c>
      <c r="O447" t="inlineStr">
        <is>
          <t>AI</t>
        </is>
      </c>
    </row>
    <row r="448">
      <c r="A448" t="inlineStr">
        <is>
          <t>PT Austindo Nusantara Jaya Tbk</t>
        </is>
      </c>
      <c r="B448" t="inlineStr">
        <is>
          <t>ANJT_2023_AR.pdf</t>
        </is>
      </c>
      <c r="C448" t="n">
        <v>2022</v>
      </c>
      <c r="D448" t="inlineStr">
        <is>
          <t>Operation</t>
        </is>
      </c>
      <c r="E448" t="inlineStr">
        <is>
          <t>FFB Processed</t>
        </is>
      </c>
      <c r="F448" t="n">
        <v>1379064</v>
      </c>
      <c r="G448" t="inlineStr">
        <is>
          <t>t</t>
        </is>
      </c>
      <c r="H448" t="n">
        <v>8</v>
      </c>
      <c r="I448" t="inlineStr">
        <is>
          <t>Total FFB processed 1,379,064</t>
        </is>
      </c>
      <c r="J448" t="inlineStr">
        <is>
          <t>High</t>
        </is>
      </c>
      <c r="M448" t="inlineStr">
        <is>
          <t>LLM</t>
        </is>
      </c>
      <c r="N448" t="inlineStr">
        <is>
          <t>2026-04-18</t>
        </is>
      </c>
      <c r="O448" t="inlineStr">
        <is>
          <t>AI</t>
        </is>
      </c>
    </row>
    <row r="449">
      <c r="A449" t="inlineStr">
        <is>
          <t>PT Austindo Nusantara Jaya Tbk</t>
        </is>
      </c>
      <c r="B449" t="inlineStr">
        <is>
          <t>ANJT_2023_AR.pdf</t>
        </is>
      </c>
      <c r="C449" t="n">
        <v>2022</v>
      </c>
      <c r="D449" t="inlineStr">
        <is>
          <t>Operation</t>
        </is>
      </c>
      <c r="E449" t="inlineStr">
        <is>
          <t>FFB Yield</t>
        </is>
      </c>
      <c r="F449" t="n">
        <v>19.4</v>
      </c>
      <c r="G449" t="inlineStr">
        <is>
          <t>t/ha</t>
        </is>
      </c>
      <c r="H449" t="n">
        <v>8</v>
      </c>
      <c r="I449" t="inlineStr">
        <is>
          <t>Average FFB yield 19.4 t/ha</t>
        </is>
      </c>
      <c r="J449" t="inlineStr">
        <is>
          <t>High</t>
        </is>
      </c>
      <c r="M449" t="inlineStr">
        <is>
          <t>LLM</t>
        </is>
      </c>
      <c r="N449" t="inlineStr">
        <is>
          <t>2026-04-18</t>
        </is>
      </c>
      <c r="O449" t="inlineStr">
        <is>
          <t>AI</t>
        </is>
      </c>
    </row>
    <row r="450">
      <c r="A450" t="inlineStr">
        <is>
          <t>PT Austindo Nusantara Jaya Tbk</t>
        </is>
      </c>
      <c r="B450" t="inlineStr">
        <is>
          <t>ANJT_2023_AR.pdf</t>
        </is>
      </c>
      <c r="C450" t="n">
        <v>2022</v>
      </c>
      <c r="D450" t="inlineStr">
        <is>
          <t>Operation</t>
        </is>
      </c>
      <c r="E450" t="inlineStr">
        <is>
          <t>CPO Production</t>
        </is>
      </c>
      <c r="F450" t="n">
        <v>275769</v>
      </c>
      <c r="G450" t="inlineStr">
        <is>
          <t>t</t>
        </is>
      </c>
      <c r="H450" t="n">
        <v>8</v>
      </c>
      <c r="I450" t="inlineStr">
        <is>
          <t>Total CPO production 275,769</t>
        </is>
      </c>
      <c r="J450" t="inlineStr">
        <is>
          <t>High</t>
        </is>
      </c>
      <c r="M450" t="inlineStr">
        <is>
          <t>LLM</t>
        </is>
      </c>
      <c r="N450" t="inlineStr">
        <is>
          <t>2026-04-18</t>
        </is>
      </c>
      <c r="O450" t="inlineStr">
        <is>
          <t>AI</t>
        </is>
      </c>
    </row>
    <row r="451">
      <c r="A451" t="inlineStr">
        <is>
          <t>PT Austindo Nusantara Jaya Tbk</t>
        </is>
      </c>
      <c r="B451" t="inlineStr">
        <is>
          <t>ANJT_2023_AR.pdf</t>
        </is>
      </c>
      <c r="C451" t="n">
        <v>2022</v>
      </c>
      <c r="D451" t="inlineStr">
        <is>
          <t>Operation</t>
        </is>
      </c>
      <c r="E451" t="inlineStr">
        <is>
          <t>CPO Sales</t>
        </is>
      </c>
      <c r="F451" t="n">
        <v>275320</v>
      </c>
      <c r="G451" t="inlineStr">
        <is>
          <t>t</t>
        </is>
      </c>
      <c r="H451" t="n">
        <v>8</v>
      </c>
      <c r="I451" t="inlineStr">
        <is>
          <t>Total CPO sales 275,320</t>
        </is>
      </c>
      <c r="J451" t="inlineStr">
        <is>
          <t>High</t>
        </is>
      </c>
      <c r="M451" t="inlineStr">
        <is>
          <t>LLM</t>
        </is>
      </c>
      <c r="N451" t="inlineStr">
        <is>
          <t>2026-04-18</t>
        </is>
      </c>
      <c r="O451" t="inlineStr">
        <is>
          <t>AI</t>
        </is>
      </c>
    </row>
    <row r="452">
      <c r="A452" t="inlineStr">
        <is>
          <t>PT Austindo Nusantara Jaya Tbk</t>
        </is>
      </c>
      <c r="B452" t="inlineStr">
        <is>
          <t>ANJT_2023_AR.pdf</t>
        </is>
      </c>
      <c r="C452" t="n">
        <v>2022</v>
      </c>
      <c r="D452" t="inlineStr">
        <is>
          <t>Operation</t>
        </is>
      </c>
      <c r="E452" t="inlineStr">
        <is>
          <t>PK Production</t>
        </is>
      </c>
      <c r="F452" t="n">
        <v>55011</v>
      </c>
      <c r="G452" t="inlineStr">
        <is>
          <t>t</t>
        </is>
      </c>
      <c r="H452" t="n">
        <v>8</v>
      </c>
      <c r="I452" t="inlineStr">
        <is>
          <t>Total PK production 55,011</t>
        </is>
      </c>
      <c r="J452" t="inlineStr">
        <is>
          <t>High</t>
        </is>
      </c>
      <c r="M452" t="inlineStr">
        <is>
          <t>LLM</t>
        </is>
      </c>
      <c r="N452" t="inlineStr">
        <is>
          <t>2026-04-18</t>
        </is>
      </c>
      <c r="O452" t="inlineStr">
        <is>
          <t>AI</t>
        </is>
      </c>
    </row>
    <row r="453">
      <c r="A453" t="inlineStr">
        <is>
          <t>PT Austindo Nusantara Jaya Tbk</t>
        </is>
      </c>
      <c r="B453" t="inlineStr">
        <is>
          <t>ANJT_2023_AR.pdf</t>
        </is>
      </c>
      <c r="C453" t="n">
        <v>2022</v>
      </c>
      <c r="D453" t="inlineStr">
        <is>
          <t>Operation</t>
        </is>
      </c>
      <c r="E453" t="inlineStr">
        <is>
          <t>PKO Production</t>
        </is>
      </c>
      <c r="F453" t="n">
        <v>1052</v>
      </c>
      <c r="G453" t="inlineStr">
        <is>
          <t>t</t>
        </is>
      </c>
      <c r="H453" t="n">
        <v>8</v>
      </c>
      <c r="I453" t="inlineStr">
        <is>
          <t>Total PKO production 1,052</t>
        </is>
      </c>
      <c r="J453" t="inlineStr">
        <is>
          <t>High</t>
        </is>
      </c>
      <c r="M453" t="inlineStr">
        <is>
          <t>LLM</t>
        </is>
      </c>
      <c r="N453" t="inlineStr">
        <is>
          <t>2026-04-18</t>
        </is>
      </c>
      <c r="O453" t="inlineStr">
        <is>
          <t>AI</t>
        </is>
      </c>
    </row>
    <row r="454">
      <c r="A454" t="inlineStr">
        <is>
          <t>PT Austindo Nusantara Jaya Tbk</t>
        </is>
      </c>
      <c r="B454" t="inlineStr">
        <is>
          <t>ANJT_2023_AR.pdf</t>
        </is>
      </c>
      <c r="C454" t="n">
        <v>2022</v>
      </c>
      <c r="D454" t="inlineStr">
        <is>
          <t>Operation</t>
        </is>
      </c>
      <c r="E454" t="inlineStr">
        <is>
          <t>OER</t>
        </is>
      </c>
      <c r="F454" t="n">
        <v>0.201</v>
      </c>
      <c r="G454" t="inlineStr">
        <is>
          <t>%</t>
        </is>
      </c>
      <c r="H454" t="n">
        <v>8</v>
      </c>
      <c r="I454" t="inlineStr">
        <is>
          <t>CPO extraction rate 20.1%</t>
        </is>
      </c>
      <c r="J454" t="inlineStr">
        <is>
          <t>High</t>
        </is>
      </c>
      <c r="M454" t="inlineStr">
        <is>
          <t>LLM</t>
        </is>
      </c>
      <c r="N454" t="inlineStr">
        <is>
          <t>2026-04-18</t>
        </is>
      </c>
      <c r="O454" t="inlineStr">
        <is>
          <t>AI</t>
        </is>
      </c>
    </row>
    <row r="455">
      <c r="A455" t="inlineStr">
        <is>
          <t>PT Austindo Nusantara Jaya Tbk</t>
        </is>
      </c>
      <c r="B455" t="inlineStr">
        <is>
          <t>ANJT_2023_AR.pdf</t>
        </is>
      </c>
      <c r="C455" t="n">
        <v>2022</v>
      </c>
      <c r="D455" t="inlineStr">
        <is>
          <t>Operation</t>
        </is>
      </c>
      <c r="E455" t="inlineStr">
        <is>
          <t>KER</t>
        </is>
      </c>
      <c r="F455" t="n">
        <v>0.044</v>
      </c>
      <c r="G455" t="inlineStr">
        <is>
          <t>%</t>
        </is>
      </c>
      <c r="H455" t="n">
        <v>8</v>
      </c>
      <c r="I455" t="inlineStr">
        <is>
          <t>PK extraction rate 4.4%</t>
        </is>
      </c>
      <c r="J455" t="inlineStr">
        <is>
          <t>High</t>
        </is>
      </c>
      <c r="M455" t="inlineStr">
        <is>
          <t>LLM</t>
        </is>
      </c>
      <c r="N455" t="inlineStr">
        <is>
          <t>2026-04-18</t>
        </is>
      </c>
      <c r="O455" t="inlineStr">
        <is>
          <t>AI</t>
        </is>
      </c>
    </row>
    <row r="456">
      <c r="A456" t="inlineStr">
        <is>
          <t>PT Austindo Nusantara Jaya Tbk</t>
        </is>
      </c>
      <c r="B456" t="inlineStr">
        <is>
          <t>ANJT_2023_AR.pdf</t>
        </is>
      </c>
      <c r="C456" t="n">
        <v>2022</v>
      </c>
      <c r="D456" t="inlineStr">
        <is>
          <t>Operation</t>
        </is>
      </c>
      <c r="E456" t="inlineStr">
        <is>
          <t>CPO ASP</t>
        </is>
      </c>
      <c r="F456" t="n">
        <v>842</v>
      </c>
      <c r="G456" t="inlineStr">
        <is>
          <t>USD/t</t>
        </is>
      </c>
      <c r="H456" t="n">
        <v>8</v>
      </c>
      <c r="I456" t="inlineStr">
        <is>
          <t>CPO average selling price 842</t>
        </is>
      </c>
      <c r="J456" t="inlineStr">
        <is>
          <t>High</t>
        </is>
      </c>
      <c r="M456" t="inlineStr">
        <is>
          <t>LLM</t>
        </is>
      </c>
      <c r="N456" t="inlineStr">
        <is>
          <t>2026-04-18</t>
        </is>
      </c>
      <c r="O456" t="inlineStr">
        <is>
          <t>AI</t>
        </is>
      </c>
    </row>
    <row r="457">
      <c r="A457" t="inlineStr">
        <is>
          <t>PT Austindo Nusantara Jaya Tbk</t>
        </is>
      </c>
      <c r="B457" t="inlineStr">
        <is>
          <t>ANJT_2023_AR.pdf</t>
        </is>
      </c>
      <c r="C457" t="n">
        <v>2022</v>
      </c>
      <c r="D457" t="inlineStr">
        <is>
          <t>Operation</t>
        </is>
      </c>
      <c r="E457" t="inlineStr">
        <is>
          <t>PK ASP</t>
        </is>
      </c>
      <c r="F457" t="n">
        <v>559</v>
      </c>
      <c r="G457" t="inlineStr">
        <is>
          <t>USD/t</t>
        </is>
      </c>
      <c r="H457" t="n">
        <v>8</v>
      </c>
      <c r="I457" t="inlineStr">
        <is>
          <t>PK average selling price 559</t>
        </is>
      </c>
      <c r="J457" t="inlineStr">
        <is>
          <t>High</t>
        </is>
      </c>
      <c r="M457" t="inlineStr">
        <is>
          <t>LLM</t>
        </is>
      </c>
      <c r="N457" t="inlineStr">
        <is>
          <t>2026-04-18</t>
        </is>
      </c>
      <c r="O457" t="inlineStr">
        <is>
          <t>AI</t>
        </is>
      </c>
    </row>
    <row r="458">
      <c r="A458" t="inlineStr">
        <is>
          <t>PT Austindo Nusantara Jaya Tbk</t>
        </is>
      </c>
      <c r="B458" t="inlineStr">
        <is>
          <t>ANJT_2023_AR.pdf</t>
        </is>
      </c>
      <c r="C458" t="n">
        <v>2022</v>
      </c>
      <c r="D458" t="inlineStr">
        <is>
          <t>Operation</t>
        </is>
      </c>
      <c r="E458" t="inlineStr">
        <is>
          <t>PKO ASP</t>
        </is>
      </c>
      <c r="F458" t="n">
        <v>1081</v>
      </c>
      <c r="G458" t="inlineStr">
        <is>
          <t>USD/t</t>
        </is>
      </c>
      <c r="H458" t="n">
        <v>8</v>
      </c>
      <c r="I458" t="inlineStr">
        <is>
          <t>PKO average selling price 1,081</t>
        </is>
      </c>
      <c r="J458" t="inlineStr">
        <is>
          <t>High</t>
        </is>
      </c>
      <c r="M458" t="inlineStr">
        <is>
          <t>LLM</t>
        </is>
      </c>
      <c r="N458" t="inlineStr">
        <is>
          <t>2026-04-18</t>
        </is>
      </c>
      <c r="O458" t="inlineStr">
        <is>
          <t>AI</t>
        </is>
      </c>
    </row>
    <row r="459">
      <c r="A459" t="inlineStr">
        <is>
          <t>PT Austindo Nusantara Jaya Tbk</t>
        </is>
      </c>
      <c r="B459" t="inlineStr">
        <is>
          <t>ANJT_2023_AR.pdf</t>
        </is>
      </c>
      <c r="C459" t="n">
        <v>2022</v>
      </c>
      <c r="D459" t="inlineStr">
        <is>
          <t>Operation</t>
        </is>
      </c>
      <c r="E459" t="inlineStr">
        <is>
          <t>Cash Cost of Production</t>
        </is>
      </c>
      <c r="F459" t="n">
        <v>402</v>
      </c>
      <c r="G459" t="inlineStr">
        <is>
          <t>USD/t</t>
        </is>
      </c>
      <c r="H459" t="n">
        <v>8</v>
      </c>
      <c r="I459" t="inlineStr">
        <is>
          <t>Cash cost of production 402</t>
        </is>
      </c>
      <c r="J459" t="inlineStr">
        <is>
          <t>High</t>
        </is>
      </c>
      <c r="M459" t="inlineStr">
        <is>
          <t>LLM</t>
        </is>
      </c>
      <c r="N459" t="inlineStr">
        <is>
          <t>2026-04-18</t>
        </is>
      </c>
      <c r="O459" t="inlineStr">
        <is>
          <t>AI</t>
        </is>
      </c>
    </row>
    <row r="460">
      <c r="A460" t="inlineStr">
        <is>
          <t>PT Austindo Nusantara Jaya Tbk</t>
        </is>
      </c>
      <c r="B460" t="inlineStr">
        <is>
          <t>ANJT_2024_AR.pdf</t>
        </is>
      </c>
      <c r="C460" t="n">
        <v>2024</v>
      </c>
      <c r="D460" t="inlineStr">
        <is>
          <t>Company</t>
        </is>
      </c>
      <c r="E460" t="inlineStr">
        <is>
          <t>Company Name</t>
        </is>
      </c>
      <c r="F460" t="inlineStr">
        <is>
          <t>PT Austindo Nusantara Jaya Tbk</t>
        </is>
      </c>
      <c r="G460" t="inlineStr">
        <is>
          <t>text</t>
        </is>
      </c>
      <c r="H460" t="n">
        <v>1</v>
      </c>
      <c r="I460" t="inlineStr">
        <is>
          <t>2024 Annual Report, PT Austindo Nusantara Jaya Tbk.</t>
        </is>
      </c>
      <c r="J460" t="inlineStr">
        <is>
          <t>High</t>
        </is>
      </c>
      <c r="M460" t="inlineStr">
        <is>
          <t>LLM</t>
        </is>
      </c>
      <c r="N460" t="inlineStr">
        <is>
          <t>2026-04-18</t>
        </is>
      </c>
      <c r="O460" t="inlineStr">
        <is>
          <t>AI</t>
        </is>
      </c>
    </row>
    <row r="461">
      <c r="A461" t="inlineStr">
        <is>
          <t>PT Austindo Nusantara Jaya Tbk</t>
        </is>
      </c>
      <c r="B461" t="inlineStr">
        <is>
          <t>ANJT_2024_AR.pdf</t>
        </is>
      </c>
      <c r="C461" t="n">
        <v>2024</v>
      </c>
      <c r="D461" t="inlineStr">
        <is>
          <t>Company</t>
        </is>
      </c>
      <c r="E461" t="inlineStr">
        <is>
          <t>Ticker</t>
        </is>
      </c>
      <c r="F461" t="inlineStr">
        <is>
          <t>ANJT</t>
        </is>
      </c>
      <c r="G461" t="inlineStr">
        <is>
          <t>text</t>
        </is>
      </c>
      <c r="H461" t="n">
        <v>1</v>
      </c>
      <c r="I461" t="inlineStr">
        <is>
          <t>Listed on IDX under stock code ANJT</t>
        </is>
      </c>
      <c r="J461" t="inlineStr">
        <is>
          <t>High</t>
        </is>
      </c>
      <c r="M461" t="inlineStr">
        <is>
          <t>LLM</t>
        </is>
      </c>
      <c r="N461" t="inlineStr">
        <is>
          <t>2026-04-18</t>
        </is>
      </c>
      <c r="O461" t="inlineStr">
        <is>
          <t>AI</t>
        </is>
      </c>
    </row>
    <row r="462">
      <c r="A462" t="inlineStr">
        <is>
          <t>PT Austindo Nusantara Jaya Tbk</t>
        </is>
      </c>
      <c r="B462" t="inlineStr">
        <is>
          <t>ANJT_2024_AR.pdf</t>
        </is>
      </c>
      <c r="C462" t="n">
        <v>2024</v>
      </c>
      <c r="D462" t="inlineStr">
        <is>
          <t>Company</t>
        </is>
      </c>
      <c r="E462" t="inlineStr">
        <is>
          <t>Report Year</t>
        </is>
      </c>
      <c r="F462" t="n">
        <v>2024</v>
      </c>
      <c r="G462" t="inlineStr">
        <is>
          <t>year</t>
        </is>
      </c>
      <c r="H462" t="n">
        <v>1</v>
      </c>
      <c r="I462" t="inlineStr">
        <is>
          <t>2024 Annual Report</t>
        </is>
      </c>
      <c r="J462" t="inlineStr">
        <is>
          <t>High</t>
        </is>
      </c>
      <c r="M462" t="inlineStr">
        <is>
          <t>LLM</t>
        </is>
      </c>
      <c r="N462" t="inlineStr">
        <is>
          <t>2026-04-18</t>
        </is>
      </c>
      <c r="O462" t="inlineStr">
        <is>
          <t>AI</t>
        </is>
      </c>
    </row>
    <row r="463">
      <c r="A463" t="inlineStr">
        <is>
          <t>PT Austindo Nusantara Jaya Tbk</t>
        </is>
      </c>
      <c r="B463" t="inlineStr">
        <is>
          <t>ANJT_2024_AR.pdf</t>
        </is>
      </c>
      <c r="C463" t="n">
        <v>2024</v>
      </c>
      <c r="D463" t="inlineStr">
        <is>
          <t>Financial</t>
        </is>
      </c>
      <c r="E463" t="inlineStr">
        <is>
          <t>Total Revenue</t>
        </is>
      </c>
      <c r="F463" t="n">
        <v>236.8</v>
      </c>
      <c r="G463" t="inlineStr">
        <is>
          <t>USD mn</t>
        </is>
      </c>
      <c r="H463" t="n">
        <v>8</v>
      </c>
      <c r="I463" t="inlineStr">
        <is>
          <t>Total Revenue 236.8 (2024)</t>
        </is>
      </c>
      <c r="J463" t="inlineStr">
        <is>
          <t>High</t>
        </is>
      </c>
      <c r="M463" t="inlineStr">
        <is>
          <t>LLM</t>
        </is>
      </c>
      <c r="N463" t="inlineStr">
        <is>
          <t>2026-04-18</t>
        </is>
      </c>
      <c r="O463" t="inlineStr">
        <is>
          <t>AI</t>
        </is>
      </c>
    </row>
    <row r="464">
      <c r="A464" t="inlineStr">
        <is>
          <t>PT Austindo Nusantara Jaya Tbk</t>
        </is>
      </c>
      <c r="B464" t="inlineStr">
        <is>
          <t>ANJT_2024_AR.pdf</t>
        </is>
      </c>
      <c r="C464" t="n">
        <v>2024</v>
      </c>
      <c r="D464" t="inlineStr">
        <is>
          <t>Financial</t>
        </is>
      </c>
      <c r="E464" t="inlineStr">
        <is>
          <t>Revenue (IDR bn)</t>
        </is>
      </c>
      <c r="F464" t="n">
        <v>3827</v>
      </c>
      <c r="G464" t="inlineStr">
        <is>
          <t>IDR bn</t>
        </is>
      </c>
      <c r="H464" t="n">
        <v>8</v>
      </c>
      <c r="I464" t="inlineStr">
        <is>
          <t>USD 236.8mn x 16,162 IDR/USD = Rp 3,827 bn</t>
        </is>
      </c>
      <c r="J464" t="inlineStr">
        <is>
          <t>High</t>
        </is>
      </c>
      <c r="M464" t="inlineStr">
        <is>
          <t>LLM</t>
        </is>
      </c>
      <c r="N464" t="inlineStr">
        <is>
          <t>2026-04-18</t>
        </is>
      </c>
      <c r="O464" t="inlineStr">
        <is>
          <t>AI</t>
        </is>
      </c>
    </row>
    <row r="465">
      <c r="A465" t="inlineStr">
        <is>
          <t>PT Austindo Nusantara Jaya Tbk</t>
        </is>
      </c>
      <c r="B465" t="inlineStr">
        <is>
          <t>ANJT_2024_AR.pdf</t>
        </is>
      </c>
      <c r="C465" t="n">
        <v>2024</v>
      </c>
      <c r="D465" t="inlineStr">
        <is>
          <t>Financial</t>
        </is>
      </c>
      <c r="E465" t="inlineStr">
        <is>
          <t>Palm Oil Revenue</t>
        </is>
      </c>
      <c r="F465" t="n">
        <v>230.9</v>
      </c>
      <c r="G465" t="inlineStr">
        <is>
          <t>USD mn</t>
        </is>
      </c>
      <c r="H465" t="n">
        <v>8</v>
      </c>
      <c r="I465" t="inlineStr">
        <is>
          <t>Palm Oil Products 230.9</t>
        </is>
      </c>
      <c r="J465" t="inlineStr">
        <is>
          <t>High</t>
        </is>
      </c>
      <c r="M465" t="inlineStr">
        <is>
          <t>LLM</t>
        </is>
      </c>
      <c r="N465" t="inlineStr">
        <is>
          <t>2026-04-18</t>
        </is>
      </c>
      <c r="O465" t="inlineStr">
        <is>
          <t>AI</t>
        </is>
      </c>
    </row>
    <row r="466">
      <c r="A466" t="inlineStr">
        <is>
          <t>PT Austindo Nusantara Jaya Tbk</t>
        </is>
      </c>
      <c r="B466" t="inlineStr">
        <is>
          <t>ANJT_2024_AR.pdf</t>
        </is>
      </c>
      <c r="C466" t="n">
        <v>2024</v>
      </c>
      <c r="D466" t="inlineStr">
        <is>
          <t>Financial</t>
        </is>
      </c>
      <c r="E466" t="inlineStr">
        <is>
          <t>Gross Profit</t>
        </is>
      </c>
      <c r="F466" t="n">
        <v>47.3</v>
      </c>
      <c r="G466" t="inlineStr">
        <is>
          <t>USD mn</t>
        </is>
      </c>
      <c r="H466" t="n">
        <v>8</v>
      </c>
      <c r="I466" t="inlineStr">
        <is>
          <t>Gross profit 47.3 (2024)</t>
        </is>
      </c>
      <c r="J466" t="inlineStr">
        <is>
          <t>High</t>
        </is>
      </c>
      <c r="M466" t="inlineStr">
        <is>
          <t>LLM</t>
        </is>
      </c>
      <c r="N466" t="inlineStr">
        <is>
          <t>2026-04-18</t>
        </is>
      </c>
      <c r="O466" t="inlineStr">
        <is>
          <t>AI</t>
        </is>
      </c>
    </row>
    <row r="467">
      <c r="A467" t="inlineStr">
        <is>
          <t>PT Austindo Nusantara Jaya Tbk</t>
        </is>
      </c>
      <c r="B467" t="inlineStr">
        <is>
          <t>ANJT_2024_AR.pdf</t>
        </is>
      </c>
      <c r="C467" t="n">
        <v>2024</v>
      </c>
      <c r="D467" t="inlineStr">
        <is>
          <t>Financial</t>
        </is>
      </c>
      <c r="E467" t="inlineStr">
        <is>
          <t>EBITDA</t>
        </is>
      </c>
      <c r="F467" t="n">
        <v>59.2</v>
      </c>
      <c r="G467" t="inlineStr">
        <is>
          <t>USD mn</t>
        </is>
      </c>
      <c r="H467" t="n">
        <v>8</v>
      </c>
      <c r="I467" t="inlineStr">
        <is>
          <t>EBITDA 59.2</t>
        </is>
      </c>
      <c r="J467" t="inlineStr">
        <is>
          <t>High</t>
        </is>
      </c>
      <c r="M467" t="inlineStr">
        <is>
          <t>LLM</t>
        </is>
      </c>
      <c r="N467" t="inlineStr">
        <is>
          <t>2026-04-18</t>
        </is>
      </c>
      <c r="O467" t="inlineStr">
        <is>
          <t>AI</t>
        </is>
      </c>
    </row>
    <row r="468">
      <c r="A468" t="inlineStr">
        <is>
          <t>PT Austindo Nusantara Jaya Tbk</t>
        </is>
      </c>
      <c r="B468" t="inlineStr">
        <is>
          <t>ANJT_2024_AR.pdf</t>
        </is>
      </c>
      <c r="C468" t="n">
        <v>2024</v>
      </c>
      <c r="D468" t="inlineStr">
        <is>
          <t>Financial</t>
        </is>
      </c>
      <c r="E468" t="inlineStr">
        <is>
          <t>Net Income</t>
        </is>
      </c>
      <c r="F468" t="n">
        <v>9.199999999999999</v>
      </c>
      <c r="G468" t="inlineStr">
        <is>
          <t>USD mn</t>
        </is>
      </c>
      <c r="H468" t="n">
        <v>8</v>
      </c>
      <c r="I468" t="inlineStr">
        <is>
          <t>Net income for the year 9.2</t>
        </is>
      </c>
      <c r="J468" t="inlineStr">
        <is>
          <t>High</t>
        </is>
      </c>
      <c r="M468" t="inlineStr">
        <is>
          <t>LLM</t>
        </is>
      </c>
      <c r="N468" t="inlineStr">
        <is>
          <t>2026-04-18</t>
        </is>
      </c>
      <c r="O468" t="inlineStr">
        <is>
          <t>AI</t>
        </is>
      </c>
    </row>
    <row r="469">
      <c r="A469" t="inlineStr">
        <is>
          <t>PT Austindo Nusantara Jaya Tbk</t>
        </is>
      </c>
      <c r="B469" t="inlineStr">
        <is>
          <t>ANJT_2024_AR.pdf</t>
        </is>
      </c>
      <c r="C469" t="n">
        <v>2024</v>
      </c>
      <c r="D469" t="inlineStr">
        <is>
          <t>Financial</t>
        </is>
      </c>
      <c r="E469" t="inlineStr">
        <is>
          <t>Net Income Parent</t>
        </is>
      </c>
      <c r="F469" t="n">
        <v>9.6</v>
      </c>
      <c r="G469" t="inlineStr">
        <is>
          <t>USD mn</t>
        </is>
      </c>
      <c r="H469" t="n">
        <v>8</v>
      </c>
      <c r="I469" t="inlineStr">
        <is>
          <t>attributable to owners of the company 9.6</t>
        </is>
      </c>
      <c r="J469" t="inlineStr">
        <is>
          <t>High</t>
        </is>
      </c>
      <c r="M469" t="inlineStr">
        <is>
          <t>LLM</t>
        </is>
      </c>
      <c r="N469" t="inlineStr">
        <is>
          <t>2026-04-18</t>
        </is>
      </c>
      <c r="O469" t="inlineStr">
        <is>
          <t>AI</t>
        </is>
      </c>
    </row>
    <row r="470">
      <c r="A470" t="inlineStr">
        <is>
          <t>PT Austindo Nusantara Jaya Tbk</t>
        </is>
      </c>
      <c r="B470" t="inlineStr">
        <is>
          <t>ANJT_2024_AR.pdf</t>
        </is>
      </c>
      <c r="C470" t="n">
        <v>2024</v>
      </c>
      <c r="D470" t="inlineStr">
        <is>
          <t>Financial</t>
        </is>
      </c>
      <c r="E470" t="inlineStr">
        <is>
          <t>Total Comprehensive Income</t>
        </is>
      </c>
      <c r="F470" t="n">
        <v>0</v>
      </c>
      <c r="G470" t="inlineStr">
        <is>
          <t>USD mn</t>
        </is>
      </c>
      <c r="H470" t="n">
        <v>8</v>
      </c>
      <c r="I470" t="inlineStr">
        <is>
          <t>Total Comprehensive Income (0.0)</t>
        </is>
      </c>
      <c r="J470" t="inlineStr">
        <is>
          <t>Medium</t>
        </is>
      </c>
      <c r="M470" t="inlineStr">
        <is>
          <t>LLM</t>
        </is>
      </c>
      <c r="N470" t="inlineStr">
        <is>
          <t>2026-04-18</t>
        </is>
      </c>
      <c r="O470" t="inlineStr">
        <is>
          <t>AI</t>
        </is>
      </c>
    </row>
    <row r="471">
      <c r="A471" t="inlineStr">
        <is>
          <t>PT Austindo Nusantara Jaya Tbk</t>
        </is>
      </c>
      <c r="B471" t="inlineStr">
        <is>
          <t>ANJT_2024_AR.pdf</t>
        </is>
      </c>
      <c r="C471" t="n">
        <v>2024</v>
      </c>
      <c r="D471" t="inlineStr">
        <is>
          <t>Financial</t>
        </is>
      </c>
      <c r="E471" t="inlineStr">
        <is>
          <t>EPS</t>
        </is>
      </c>
      <c r="F471" t="n">
        <v>0.0029</v>
      </c>
      <c r="G471" t="inlineStr">
        <is>
          <t>USD/share</t>
        </is>
      </c>
      <c r="H471" t="n">
        <v>8</v>
      </c>
      <c r="I471" t="inlineStr">
        <is>
          <t>Basic earnings per share 0.0029</t>
        </is>
      </c>
      <c r="J471" t="inlineStr">
        <is>
          <t>High</t>
        </is>
      </c>
      <c r="M471" t="inlineStr">
        <is>
          <t>LLM</t>
        </is>
      </c>
      <c r="N471" t="inlineStr">
        <is>
          <t>2026-04-18</t>
        </is>
      </c>
      <c r="O471" t="inlineStr">
        <is>
          <t>AI</t>
        </is>
      </c>
    </row>
    <row r="472">
      <c r="A472" t="inlineStr">
        <is>
          <t>PT Austindo Nusantara Jaya Tbk</t>
        </is>
      </c>
      <c r="B472" t="inlineStr">
        <is>
          <t>ANJT_2024_AR.pdf</t>
        </is>
      </c>
      <c r="C472" t="n">
        <v>2024</v>
      </c>
      <c r="D472" t="inlineStr">
        <is>
          <t>Financial</t>
        </is>
      </c>
      <c r="E472" t="inlineStr">
        <is>
          <t>Cash &amp; equivalents</t>
        </is>
      </c>
      <c r="F472" t="n">
        <v>9.1</v>
      </c>
      <c r="G472" t="inlineStr">
        <is>
          <t>USD mn</t>
        </is>
      </c>
      <c r="H472" t="n">
        <v>8</v>
      </c>
      <c r="I472" t="inlineStr">
        <is>
          <t>Cash and cash equivalents 9.1</t>
        </is>
      </c>
      <c r="J472" t="inlineStr">
        <is>
          <t>High</t>
        </is>
      </c>
      <c r="M472" t="inlineStr">
        <is>
          <t>LLM</t>
        </is>
      </c>
      <c r="N472" t="inlineStr">
        <is>
          <t>2026-04-18</t>
        </is>
      </c>
      <c r="O472" t="inlineStr">
        <is>
          <t>AI</t>
        </is>
      </c>
    </row>
    <row r="473">
      <c r="A473" t="inlineStr">
        <is>
          <t>PT Austindo Nusantara Jaya Tbk</t>
        </is>
      </c>
      <c r="B473" t="inlineStr">
        <is>
          <t>ANJT_2024_AR.pdf</t>
        </is>
      </c>
      <c r="C473" t="n">
        <v>2024</v>
      </c>
      <c r="D473" t="inlineStr">
        <is>
          <t>Financial</t>
        </is>
      </c>
      <c r="E473" t="inlineStr">
        <is>
          <t>Total Current Assets</t>
        </is>
      </c>
      <c r="F473" t="n">
        <v>62.2</v>
      </c>
      <c r="G473" t="inlineStr">
        <is>
          <t>USD mn</t>
        </is>
      </c>
      <c r="H473" t="n">
        <v>8</v>
      </c>
      <c r="I473" t="inlineStr">
        <is>
          <t>Total current assets 62.2</t>
        </is>
      </c>
      <c r="J473" t="inlineStr">
        <is>
          <t>High</t>
        </is>
      </c>
      <c r="M473" t="inlineStr">
        <is>
          <t>LLM</t>
        </is>
      </c>
      <c r="N473" t="inlineStr">
        <is>
          <t>2026-04-18</t>
        </is>
      </c>
      <c r="O473" t="inlineStr">
        <is>
          <t>AI</t>
        </is>
      </c>
    </row>
    <row r="474">
      <c r="A474" t="inlineStr">
        <is>
          <t>PT Austindo Nusantara Jaya Tbk</t>
        </is>
      </c>
      <c r="B474" t="inlineStr">
        <is>
          <t>ANJT_2024_AR.pdf</t>
        </is>
      </c>
      <c r="C474" t="n">
        <v>2024</v>
      </c>
      <c r="D474" t="inlineStr">
        <is>
          <t>Financial</t>
        </is>
      </c>
      <c r="E474" t="inlineStr">
        <is>
          <t>Total Assets</t>
        </is>
      </c>
      <c r="F474" t="n">
        <v>573.2</v>
      </c>
      <c r="G474" t="inlineStr">
        <is>
          <t>USD mn</t>
        </is>
      </c>
      <c r="H474" t="n">
        <v>8</v>
      </c>
      <c r="I474" t="inlineStr">
        <is>
          <t>Total assets 573.2</t>
        </is>
      </c>
      <c r="J474" t="inlineStr">
        <is>
          <t>High</t>
        </is>
      </c>
      <c r="M474" t="inlineStr">
        <is>
          <t>LLM</t>
        </is>
      </c>
      <c r="N474" t="inlineStr">
        <is>
          <t>2026-04-18</t>
        </is>
      </c>
      <c r="O474" t="inlineStr">
        <is>
          <t>AI</t>
        </is>
      </c>
    </row>
    <row r="475">
      <c r="A475" t="inlineStr">
        <is>
          <t>PT Austindo Nusantara Jaya Tbk</t>
        </is>
      </c>
      <c r="B475" t="inlineStr">
        <is>
          <t>ANJT_2024_AR.pdf</t>
        </is>
      </c>
      <c r="C475" t="n">
        <v>2024</v>
      </c>
      <c r="D475" t="inlineStr">
        <is>
          <t>Financial</t>
        </is>
      </c>
      <c r="E475" t="inlineStr">
        <is>
          <t>Bank Loans</t>
        </is>
      </c>
      <c r="F475" t="n">
        <v>145.5</v>
      </c>
      <c r="G475" t="inlineStr">
        <is>
          <t>USD mn</t>
        </is>
      </c>
      <c r="H475" t="n">
        <v>8</v>
      </c>
      <c r="I475" t="inlineStr">
        <is>
          <t>Bank loans 145.5</t>
        </is>
      </c>
      <c r="J475" t="inlineStr">
        <is>
          <t>High</t>
        </is>
      </c>
      <c r="M475" t="inlineStr">
        <is>
          <t>LLM</t>
        </is>
      </c>
      <c r="N475" t="inlineStr">
        <is>
          <t>2026-04-18</t>
        </is>
      </c>
      <c r="O475" t="inlineStr">
        <is>
          <t>AI</t>
        </is>
      </c>
    </row>
    <row r="476">
      <c r="A476" t="inlineStr">
        <is>
          <t>PT Austindo Nusantara Jaya Tbk</t>
        </is>
      </c>
      <c r="B476" t="inlineStr">
        <is>
          <t>ANJT_2024_AR.pdf</t>
        </is>
      </c>
      <c r="C476" t="n">
        <v>2024</v>
      </c>
      <c r="D476" t="inlineStr">
        <is>
          <t>Financial</t>
        </is>
      </c>
      <c r="E476" t="inlineStr">
        <is>
          <t>Total Current Liabilities</t>
        </is>
      </c>
      <c r="F476" t="n">
        <v>49.4</v>
      </c>
      <c r="G476" t="inlineStr">
        <is>
          <t>USD mn</t>
        </is>
      </c>
      <c r="H476" t="n">
        <v>8</v>
      </c>
      <c r="I476" t="inlineStr">
        <is>
          <t>Total current liabilities 49.4</t>
        </is>
      </c>
      <c r="J476" t="inlineStr">
        <is>
          <t>High</t>
        </is>
      </c>
      <c r="M476" t="inlineStr">
        <is>
          <t>LLM</t>
        </is>
      </c>
      <c r="N476" t="inlineStr">
        <is>
          <t>2026-04-18</t>
        </is>
      </c>
      <c r="O476" t="inlineStr">
        <is>
          <t>AI</t>
        </is>
      </c>
    </row>
    <row r="477">
      <c r="A477" t="inlineStr">
        <is>
          <t>PT Austindo Nusantara Jaya Tbk</t>
        </is>
      </c>
      <c r="B477" t="inlineStr">
        <is>
          <t>ANJT_2024_AR.pdf</t>
        </is>
      </c>
      <c r="C477" t="n">
        <v>2024</v>
      </c>
      <c r="D477" t="inlineStr">
        <is>
          <t>Financial</t>
        </is>
      </c>
      <c r="E477" t="inlineStr">
        <is>
          <t>Total Liabilities</t>
        </is>
      </c>
      <c r="F477" t="n">
        <v>181.3</v>
      </c>
      <c r="G477" t="inlineStr">
        <is>
          <t>USD mn</t>
        </is>
      </c>
      <c r="H477" t="n">
        <v>8</v>
      </c>
      <c r="I477" t="inlineStr">
        <is>
          <t>Total liabilities 181.3</t>
        </is>
      </c>
      <c r="J477" t="inlineStr">
        <is>
          <t>High</t>
        </is>
      </c>
      <c r="M477" t="inlineStr">
        <is>
          <t>LLM</t>
        </is>
      </c>
      <c r="N477" t="inlineStr">
        <is>
          <t>2026-04-18</t>
        </is>
      </c>
      <c r="O477" t="inlineStr">
        <is>
          <t>AI</t>
        </is>
      </c>
    </row>
    <row r="478">
      <c r="A478" t="inlineStr">
        <is>
          <t>PT Austindo Nusantara Jaya Tbk</t>
        </is>
      </c>
      <c r="B478" t="inlineStr">
        <is>
          <t>ANJT_2024_AR.pdf</t>
        </is>
      </c>
      <c r="C478" t="n">
        <v>2024</v>
      </c>
      <c r="D478" t="inlineStr">
        <is>
          <t>Financial</t>
        </is>
      </c>
      <c r="E478" t="inlineStr">
        <is>
          <t>Total Equity</t>
        </is>
      </c>
      <c r="F478" t="n">
        <v>391.9</v>
      </c>
      <c r="G478" t="inlineStr">
        <is>
          <t>USD mn</t>
        </is>
      </c>
      <c r="H478" t="n">
        <v>8</v>
      </c>
      <c r="I478" t="inlineStr">
        <is>
          <t>Total equity 391.9</t>
        </is>
      </c>
      <c r="J478" t="inlineStr">
        <is>
          <t>High</t>
        </is>
      </c>
      <c r="M478" t="inlineStr">
        <is>
          <t>LLM</t>
        </is>
      </c>
      <c r="N478" t="inlineStr">
        <is>
          <t>2026-04-18</t>
        </is>
      </c>
      <c r="O478" t="inlineStr">
        <is>
          <t>AI</t>
        </is>
      </c>
    </row>
    <row r="479">
      <c r="A479" t="inlineStr">
        <is>
          <t>PT Austindo Nusantara Jaya Tbk</t>
        </is>
      </c>
      <c r="B479" t="inlineStr">
        <is>
          <t>ANJT_2024_AR.pdf</t>
        </is>
      </c>
      <c r="C479" t="n">
        <v>2024</v>
      </c>
      <c r="D479" t="inlineStr">
        <is>
          <t>Financial</t>
        </is>
      </c>
      <c r="E479" t="inlineStr">
        <is>
          <t>ROA</t>
        </is>
      </c>
      <c r="F479" t="n">
        <v>0.016</v>
      </c>
      <c r="G479" t="inlineStr">
        <is>
          <t>%</t>
        </is>
      </c>
      <c r="H479" t="n">
        <v>8</v>
      </c>
      <c r="I479" t="inlineStr">
        <is>
          <t>Return on assets 1.6%</t>
        </is>
      </c>
      <c r="J479" t="inlineStr">
        <is>
          <t>High</t>
        </is>
      </c>
      <c r="M479" t="inlineStr">
        <is>
          <t>LLM</t>
        </is>
      </c>
      <c r="N479" t="inlineStr">
        <is>
          <t>2026-04-18</t>
        </is>
      </c>
      <c r="O479" t="inlineStr">
        <is>
          <t>AI</t>
        </is>
      </c>
    </row>
    <row r="480">
      <c r="A480" t="inlineStr">
        <is>
          <t>PT Austindo Nusantara Jaya Tbk</t>
        </is>
      </c>
      <c r="B480" t="inlineStr">
        <is>
          <t>ANJT_2024_AR.pdf</t>
        </is>
      </c>
      <c r="C480" t="n">
        <v>2024</v>
      </c>
      <c r="D480" t="inlineStr">
        <is>
          <t>Financial</t>
        </is>
      </c>
      <c r="E480" t="inlineStr">
        <is>
          <t>ROE</t>
        </is>
      </c>
      <c r="F480" t="n">
        <v>0.023</v>
      </c>
      <c r="G480" t="inlineStr">
        <is>
          <t>%</t>
        </is>
      </c>
      <c r="H480" t="n">
        <v>8</v>
      </c>
      <c r="I480" t="inlineStr">
        <is>
          <t>Return on equity 2.3%</t>
        </is>
      </c>
      <c r="J480" t="inlineStr">
        <is>
          <t>High</t>
        </is>
      </c>
      <c r="M480" t="inlineStr">
        <is>
          <t>LLM</t>
        </is>
      </c>
      <c r="N480" t="inlineStr">
        <is>
          <t>2026-04-18</t>
        </is>
      </c>
      <c r="O480" t="inlineStr">
        <is>
          <t>AI</t>
        </is>
      </c>
    </row>
    <row r="481">
      <c r="A481" t="inlineStr">
        <is>
          <t>PT Austindo Nusantara Jaya Tbk</t>
        </is>
      </c>
      <c r="B481" t="inlineStr">
        <is>
          <t>ANJT_2024_AR.pdf</t>
        </is>
      </c>
      <c r="C481" t="n">
        <v>2024</v>
      </c>
      <c r="D481" t="inlineStr">
        <is>
          <t>Financial</t>
        </is>
      </c>
      <c r="E481" t="inlineStr">
        <is>
          <t>Gross Margin</t>
        </is>
      </c>
      <c r="F481" t="n">
        <v>0.2</v>
      </c>
      <c r="G481" t="inlineStr">
        <is>
          <t>%</t>
        </is>
      </c>
      <c r="H481" t="n">
        <v>8</v>
      </c>
      <c r="I481" t="inlineStr">
        <is>
          <t>Gross margin 20.0%</t>
        </is>
      </c>
      <c r="J481" t="inlineStr">
        <is>
          <t>High</t>
        </is>
      </c>
      <c r="M481" t="inlineStr">
        <is>
          <t>LLM</t>
        </is>
      </c>
      <c r="N481" t="inlineStr">
        <is>
          <t>2026-04-18</t>
        </is>
      </c>
      <c r="O481" t="inlineStr">
        <is>
          <t>AI</t>
        </is>
      </c>
    </row>
    <row r="482">
      <c r="A482" t="inlineStr">
        <is>
          <t>PT Austindo Nusantara Jaya Tbk</t>
        </is>
      </c>
      <c r="B482" t="inlineStr">
        <is>
          <t>ANJT_2024_AR.pdf</t>
        </is>
      </c>
      <c r="C482" t="n">
        <v>2024</v>
      </c>
      <c r="D482" t="inlineStr">
        <is>
          <t>Financial</t>
        </is>
      </c>
      <c r="E482" t="inlineStr">
        <is>
          <t>EBITDA Margin</t>
        </is>
      </c>
      <c r="F482" t="n">
        <v>0.166</v>
      </c>
      <c r="G482" t="inlineStr">
        <is>
          <t>%</t>
        </is>
      </c>
      <c r="H482" t="n">
        <v>8</v>
      </c>
      <c r="I482" t="inlineStr">
        <is>
          <t>EBITDA margin 16.6%</t>
        </is>
      </c>
      <c r="J482" t="inlineStr">
        <is>
          <t>High</t>
        </is>
      </c>
      <c r="M482" t="inlineStr">
        <is>
          <t>LLM</t>
        </is>
      </c>
      <c r="N482" t="inlineStr">
        <is>
          <t>2026-04-18</t>
        </is>
      </c>
      <c r="O482" t="inlineStr">
        <is>
          <t>AI</t>
        </is>
      </c>
    </row>
    <row r="483">
      <c r="A483" t="inlineStr">
        <is>
          <t>PT Austindo Nusantara Jaya Tbk</t>
        </is>
      </c>
      <c r="B483" t="inlineStr">
        <is>
          <t>ANJT_2024_AR.pdf</t>
        </is>
      </c>
      <c r="C483" t="n">
        <v>2024</v>
      </c>
      <c r="D483" t="inlineStr">
        <is>
          <t>Financial</t>
        </is>
      </c>
      <c r="E483" t="inlineStr">
        <is>
          <t>Net Profit Margin</t>
        </is>
      </c>
      <c r="F483" t="n">
        <v>0.039</v>
      </c>
      <c r="G483" t="inlineStr">
        <is>
          <t>%</t>
        </is>
      </c>
      <c r="H483" t="n">
        <v>8</v>
      </c>
      <c r="I483" t="inlineStr">
        <is>
          <t>Net profit margin 3.9%</t>
        </is>
      </c>
      <c r="J483" t="inlineStr">
        <is>
          <t>High</t>
        </is>
      </c>
      <c r="M483" t="inlineStr">
        <is>
          <t>LLM</t>
        </is>
      </c>
      <c r="N483" t="inlineStr">
        <is>
          <t>2026-04-18</t>
        </is>
      </c>
      <c r="O483" t="inlineStr">
        <is>
          <t>AI</t>
        </is>
      </c>
    </row>
    <row r="484">
      <c r="A484" t="inlineStr">
        <is>
          <t>PT Austindo Nusantara Jaya Tbk</t>
        </is>
      </c>
      <c r="B484" t="inlineStr">
        <is>
          <t>ANJT_2024_AR.pdf</t>
        </is>
      </c>
      <c r="C484" t="n">
        <v>2024</v>
      </c>
      <c r="D484" t="inlineStr">
        <is>
          <t>Financial</t>
        </is>
      </c>
      <c r="E484" t="inlineStr">
        <is>
          <t>Current Ratio</t>
        </is>
      </c>
      <c r="F484" t="n">
        <v>1.3</v>
      </c>
      <c r="G484" t="inlineStr">
        <is>
          <t>x</t>
        </is>
      </c>
      <c r="H484" t="n">
        <v>8</v>
      </c>
      <c r="I484" t="inlineStr">
        <is>
          <t>Current ratio 1.3</t>
        </is>
      </c>
      <c r="J484" t="inlineStr">
        <is>
          <t>High</t>
        </is>
      </c>
      <c r="M484" t="inlineStr">
        <is>
          <t>LLM</t>
        </is>
      </c>
      <c r="N484" t="inlineStr">
        <is>
          <t>2026-04-18</t>
        </is>
      </c>
      <c r="O484" t="inlineStr">
        <is>
          <t>AI</t>
        </is>
      </c>
    </row>
    <row r="485">
      <c r="A485" t="inlineStr">
        <is>
          <t>PT Austindo Nusantara Jaya Tbk</t>
        </is>
      </c>
      <c r="B485" t="inlineStr">
        <is>
          <t>ANJT_2024_AR.pdf</t>
        </is>
      </c>
      <c r="C485" t="n">
        <v>2024</v>
      </c>
      <c r="D485" t="inlineStr">
        <is>
          <t>Financial</t>
        </is>
      </c>
      <c r="E485" t="inlineStr">
        <is>
          <t>Net Debt/Equity</t>
        </is>
      </c>
      <c r="F485" t="n">
        <v>0.3</v>
      </c>
      <c r="G485" t="inlineStr">
        <is>
          <t>x</t>
        </is>
      </c>
      <c r="H485" t="n">
        <v>8</v>
      </c>
      <c r="I485" t="inlineStr">
        <is>
          <t>Net debt to equity ratio 0.3</t>
        </is>
      </c>
      <c r="J485" t="inlineStr">
        <is>
          <t>High</t>
        </is>
      </c>
      <c r="M485" t="inlineStr">
        <is>
          <t>LLM</t>
        </is>
      </c>
      <c r="N485" t="inlineStr">
        <is>
          <t>2026-04-18</t>
        </is>
      </c>
      <c r="O485" t="inlineStr">
        <is>
          <t>AI</t>
        </is>
      </c>
    </row>
    <row r="486">
      <c r="A486" t="inlineStr">
        <is>
          <t>PT Austindo Nusantara Jaya Tbk</t>
        </is>
      </c>
      <c r="B486" t="inlineStr">
        <is>
          <t>ANJT_2024_AR.pdf</t>
        </is>
      </c>
      <c r="C486" t="n">
        <v>2024</v>
      </c>
      <c r="D486" t="inlineStr">
        <is>
          <t>Financial</t>
        </is>
      </c>
      <c r="E486" t="inlineStr">
        <is>
          <t>Shares Outstanding</t>
        </is>
      </c>
      <c r="F486" t="n">
        <v>3354</v>
      </c>
      <c r="G486" t="inlineStr">
        <is>
          <t>million</t>
        </is>
      </c>
      <c r="H486" t="n">
        <v>10</v>
      </c>
      <c r="I486" t="inlineStr">
        <is>
          <t>3,354,175,000 outstanding</t>
        </is>
      </c>
      <c r="J486" t="inlineStr">
        <is>
          <t>High</t>
        </is>
      </c>
      <c r="M486" t="inlineStr">
        <is>
          <t>LLM</t>
        </is>
      </c>
      <c r="N486" t="inlineStr">
        <is>
          <t>2026-04-18</t>
        </is>
      </c>
      <c r="O486" t="inlineStr">
        <is>
          <t>AI</t>
        </is>
      </c>
    </row>
    <row r="487">
      <c r="A487" t="inlineStr">
        <is>
          <t>PT Austindo Nusantara Jaya Tbk</t>
        </is>
      </c>
      <c r="B487" t="inlineStr">
        <is>
          <t>ANJT_2024_AR.pdf</t>
        </is>
      </c>
      <c r="C487" t="n">
        <v>2024</v>
      </c>
      <c r="D487" t="inlineStr">
        <is>
          <t>Financial</t>
        </is>
      </c>
      <c r="E487" t="inlineStr">
        <is>
          <t>Closing Price Q4 2024</t>
        </is>
      </c>
      <c r="F487" t="n">
        <v>715</v>
      </c>
      <c r="G487" t="inlineStr">
        <is>
          <t>IDR</t>
        </is>
      </c>
      <c r="H487" t="n">
        <v>10</v>
      </c>
      <c r="I487" t="inlineStr">
        <is>
          <t>Q4 2024 Close 715</t>
        </is>
      </c>
      <c r="J487" t="inlineStr">
        <is>
          <t>High</t>
        </is>
      </c>
      <c r="M487" t="inlineStr">
        <is>
          <t>LLM</t>
        </is>
      </c>
      <c r="N487" t="inlineStr">
        <is>
          <t>2026-04-18</t>
        </is>
      </c>
      <c r="O487" t="inlineStr">
        <is>
          <t>AI</t>
        </is>
      </c>
    </row>
    <row r="488">
      <c r="A488" t="inlineStr">
        <is>
          <t>PT Austindo Nusantara Jaya Tbk</t>
        </is>
      </c>
      <c r="B488" t="inlineStr">
        <is>
          <t>ANJT_2024_AR.pdf</t>
        </is>
      </c>
      <c r="C488" t="n">
        <v>2024</v>
      </c>
      <c r="D488" t="inlineStr">
        <is>
          <t>Financial</t>
        </is>
      </c>
      <c r="E488" t="inlineStr">
        <is>
          <t>Market Cap Q4 2024</t>
        </is>
      </c>
      <c r="F488" t="n">
        <v>2398</v>
      </c>
      <c r="G488" t="inlineStr">
        <is>
          <t>IDR bn</t>
        </is>
      </c>
      <c r="H488" t="n">
        <v>10</v>
      </c>
      <c r="I488" t="inlineStr">
        <is>
          <t>Market Cap 2,398,235,125,000 (2024 Q4)</t>
        </is>
      </c>
      <c r="J488" t="inlineStr">
        <is>
          <t>High</t>
        </is>
      </c>
      <c r="M488" t="inlineStr">
        <is>
          <t>LLM</t>
        </is>
      </c>
      <c r="N488" t="inlineStr">
        <is>
          <t>2026-04-18</t>
        </is>
      </c>
      <c r="O488" t="inlineStr">
        <is>
          <t>AI</t>
        </is>
      </c>
    </row>
    <row r="489">
      <c r="A489" t="inlineStr">
        <is>
          <t>PT Austindo Nusantara Jaya Tbk</t>
        </is>
      </c>
      <c r="B489" t="inlineStr">
        <is>
          <t>ANJT_2024_AR.pdf</t>
        </is>
      </c>
      <c r="C489" t="n">
        <v>2024</v>
      </c>
      <c r="D489" t="inlineStr">
        <is>
          <t>Financial</t>
        </is>
      </c>
      <c r="E489" t="inlineStr">
        <is>
          <t>Interim DPS (for FY2023)</t>
        </is>
      </c>
      <c r="F489" t="n">
        <v>27.8</v>
      </c>
      <c r="G489" t="inlineStr">
        <is>
          <t>IDR/share</t>
        </is>
      </c>
      <c r="H489" t="n">
        <v>139</v>
      </c>
      <c r="I489" t="inlineStr">
        <is>
          <t>Dividend per share IDR 27.8 distributed in 2024 from FY2023 earnings</t>
        </is>
      </c>
      <c r="J489" t="inlineStr">
        <is>
          <t>High</t>
        </is>
      </c>
      <c r="M489" t="inlineStr">
        <is>
          <t>LLM</t>
        </is>
      </c>
      <c r="N489" t="inlineStr">
        <is>
          <t>2026-04-18</t>
        </is>
      </c>
      <c r="O489" t="inlineStr">
        <is>
          <t>AI</t>
        </is>
      </c>
    </row>
    <row r="490">
      <c r="A490" t="inlineStr">
        <is>
          <t>PT Austindo Nusantara Jaya Tbk</t>
        </is>
      </c>
      <c r="B490" t="inlineStr">
        <is>
          <t>ANJT_2024_AR.pdf</t>
        </is>
      </c>
      <c r="C490" t="n">
        <v>2024</v>
      </c>
      <c r="D490" t="inlineStr">
        <is>
          <t>Financial</t>
        </is>
      </c>
      <c r="E490" t="inlineStr">
        <is>
          <t>CFO</t>
        </is>
      </c>
      <c r="F490" t="n">
        <v>43.656</v>
      </c>
      <c r="G490" t="inlineStr">
        <is>
          <t>USD mn</t>
        </is>
      </c>
      <c r="H490" t="n">
        <v>122</v>
      </c>
      <c r="I490" t="inlineStr">
        <is>
          <t>Net cash provided by operating activities 43,656 (2024)</t>
        </is>
      </c>
      <c r="J490" t="inlineStr">
        <is>
          <t>High</t>
        </is>
      </c>
      <c r="M490" t="inlineStr">
        <is>
          <t>LLM</t>
        </is>
      </c>
      <c r="N490" t="inlineStr">
        <is>
          <t>2026-04-18</t>
        </is>
      </c>
      <c r="O490" t="inlineStr">
        <is>
          <t>AI</t>
        </is>
      </c>
    </row>
    <row r="491">
      <c r="A491" t="inlineStr">
        <is>
          <t>PT Austindo Nusantara Jaya Tbk</t>
        </is>
      </c>
      <c r="B491" t="inlineStr">
        <is>
          <t>ANJT_2024_AR.pdf</t>
        </is>
      </c>
      <c r="C491" t="n">
        <v>2024</v>
      </c>
      <c r="D491" t="inlineStr">
        <is>
          <t>Financial</t>
        </is>
      </c>
      <c r="E491" t="inlineStr">
        <is>
          <t>Investing CF</t>
        </is>
      </c>
      <c r="F491" t="n">
        <v>-27.964</v>
      </c>
      <c r="G491" t="inlineStr">
        <is>
          <t>USD mn</t>
        </is>
      </c>
      <c r="H491" t="n">
        <v>122</v>
      </c>
      <c r="I491" t="inlineStr">
        <is>
          <t>Net cash used in investing activities (27,964)</t>
        </is>
      </c>
      <c r="J491" t="inlineStr">
        <is>
          <t>High</t>
        </is>
      </c>
      <c r="M491" t="inlineStr">
        <is>
          <t>LLM</t>
        </is>
      </c>
      <c r="N491" t="inlineStr">
        <is>
          <t>2026-04-18</t>
        </is>
      </c>
      <c r="O491" t="inlineStr">
        <is>
          <t>AI</t>
        </is>
      </c>
    </row>
    <row r="492">
      <c r="A492" t="inlineStr">
        <is>
          <t>PT Austindo Nusantara Jaya Tbk</t>
        </is>
      </c>
      <c r="B492" t="inlineStr">
        <is>
          <t>ANJT_2024_AR.pdf</t>
        </is>
      </c>
      <c r="C492" t="n">
        <v>2024</v>
      </c>
      <c r="D492" t="inlineStr">
        <is>
          <t>Financial</t>
        </is>
      </c>
      <c r="E492" t="inlineStr">
        <is>
          <t>Financing CF</t>
        </is>
      </c>
      <c r="F492" t="n">
        <v>-12.411</v>
      </c>
      <c r="G492" t="inlineStr">
        <is>
          <t>USD mn</t>
        </is>
      </c>
      <c r="H492" t="n">
        <v>122</v>
      </c>
      <c r="I492" t="inlineStr">
        <is>
          <t>Net cash used in financing activities (12,411)</t>
        </is>
      </c>
      <c r="J492" t="inlineStr">
        <is>
          <t>High</t>
        </is>
      </c>
      <c r="M492" t="inlineStr">
        <is>
          <t>LLM</t>
        </is>
      </c>
      <c r="N492" t="inlineStr">
        <is>
          <t>2026-04-18</t>
        </is>
      </c>
      <c r="O492" t="inlineStr">
        <is>
          <t>AI</t>
        </is>
      </c>
    </row>
    <row r="493">
      <c r="A493" t="inlineStr">
        <is>
          <t>PT Austindo Nusantara Jaya Tbk</t>
        </is>
      </c>
      <c r="B493" t="inlineStr">
        <is>
          <t>ANJT_2024_AR.pdf</t>
        </is>
      </c>
      <c r="C493" t="n">
        <v>2024</v>
      </c>
      <c r="D493" t="inlineStr">
        <is>
          <t>Asset</t>
        </is>
      </c>
      <c r="E493" t="inlineStr">
        <is>
          <t>Total Planted Area</t>
        </is>
      </c>
      <c r="F493" t="n">
        <v>53357</v>
      </c>
      <c r="G493" t="inlineStr">
        <is>
          <t>ha</t>
        </is>
      </c>
      <c r="H493" t="n">
        <v>51</v>
      </c>
      <c r="I493" t="inlineStr">
        <is>
          <t>TOTAL PLANTED AREA: 48,352 Ha (nucleus) + plasma/partnership = total of 53,357 Ha per MDA p.108</t>
        </is>
      </c>
      <c r="J493" t="inlineStr">
        <is>
          <t>High</t>
        </is>
      </c>
      <c r="M493" t="inlineStr">
        <is>
          <t>LLM</t>
        </is>
      </c>
      <c r="N493" t="inlineStr">
        <is>
          <t>2026-04-18</t>
        </is>
      </c>
      <c r="O493" t="inlineStr">
        <is>
          <t>AI</t>
        </is>
      </c>
    </row>
    <row r="494">
      <c r="A494" t="inlineStr">
        <is>
          <t>PT Austindo Nusantara Jaya Tbk</t>
        </is>
      </c>
      <c r="B494" t="inlineStr">
        <is>
          <t>ANJT_2024_AR.pdf</t>
        </is>
      </c>
      <c r="C494" t="n">
        <v>2024</v>
      </c>
      <c r="D494" t="inlineStr">
        <is>
          <t>Asset</t>
        </is>
      </c>
      <c r="E494" t="inlineStr">
        <is>
          <t>Nucleus Planted Area</t>
        </is>
      </c>
      <c r="F494" t="n">
        <v>48352</v>
      </c>
      <c r="G494" t="inlineStr">
        <is>
          <t>ha</t>
        </is>
      </c>
      <c r="H494" t="n">
        <v>51</v>
      </c>
      <c r="I494" t="inlineStr">
        <is>
          <t>TOTAL PLANTED AREA: 48,352 Ha (nucleus)</t>
        </is>
      </c>
      <c r="J494" t="inlineStr">
        <is>
          <t>High</t>
        </is>
      </c>
      <c r="M494" t="inlineStr">
        <is>
          <t>LLM</t>
        </is>
      </c>
      <c r="N494" t="inlineStr">
        <is>
          <t>2026-04-18</t>
        </is>
      </c>
      <c r="O494" t="inlineStr">
        <is>
          <t>AI</t>
        </is>
      </c>
    </row>
    <row r="495">
      <c r="A495" t="inlineStr">
        <is>
          <t>PT Austindo Nusantara Jaya Tbk</t>
        </is>
      </c>
      <c r="B495" t="inlineStr">
        <is>
          <t>ANJT_2024_AR.pdf</t>
        </is>
      </c>
      <c r="C495" t="n">
        <v>2024</v>
      </c>
      <c r="D495" t="inlineStr">
        <is>
          <t>Asset</t>
        </is>
      </c>
      <c r="E495" t="inlineStr">
        <is>
          <t>Matured Plantation Area</t>
        </is>
      </c>
      <c r="F495" t="n">
        <v>42176</v>
      </c>
      <c r="G495" t="inlineStr">
        <is>
          <t>ha</t>
        </is>
      </c>
      <c r="H495" t="n">
        <v>108</v>
      </c>
      <c r="I495" t="inlineStr">
        <is>
          <t>Our productive plantation area of 42,176 hectares in 2024</t>
        </is>
      </c>
      <c r="J495" t="inlineStr">
        <is>
          <t>High</t>
        </is>
      </c>
      <c r="M495" t="inlineStr">
        <is>
          <t>LLM</t>
        </is>
      </c>
      <c r="N495" t="inlineStr">
        <is>
          <t>2026-04-18</t>
        </is>
      </c>
      <c r="O495" t="inlineStr">
        <is>
          <t>AI</t>
        </is>
      </c>
    </row>
    <row r="496">
      <c r="A496" t="inlineStr">
        <is>
          <t>PT Austindo Nusantara Jaya Tbk</t>
        </is>
      </c>
      <c r="B496" t="inlineStr">
        <is>
          <t>ANJT_2024_AR.pdf</t>
        </is>
      </c>
      <c r="C496" t="n">
        <v>2024</v>
      </c>
      <c r="D496" t="inlineStr">
        <is>
          <t>Asset</t>
        </is>
      </c>
      <c r="E496" t="inlineStr">
        <is>
          <t>Replanted Area in 2024</t>
        </is>
      </c>
      <c r="F496" t="n">
        <v>1718</v>
      </c>
      <c r="G496" t="inlineStr">
        <is>
          <t>ha</t>
        </is>
      </c>
      <c r="H496" t="n">
        <v>108</v>
      </c>
      <c r="I496" t="inlineStr">
        <is>
          <t>we replanted 1,718 hectares at ANJA and SMM</t>
        </is>
      </c>
      <c r="J496" t="inlineStr">
        <is>
          <t>High</t>
        </is>
      </c>
      <c r="M496" t="inlineStr">
        <is>
          <t>LLM</t>
        </is>
      </c>
      <c r="N496" t="inlineStr">
        <is>
          <t>2026-04-18</t>
        </is>
      </c>
      <c r="O496" t="inlineStr">
        <is>
          <t>AI</t>
        </is>
      </c>
    </row>
    <row r="497">
      <c r="A497" t="inlineStr">
        <is>
          <t>PT Austindo Nusantara Jaya Tbk</t>
        </is>
      </c>
      <c r="B497" t="inlineStr">
        <is>
          <t>ANJT_2024_AR.pdf</t>
        </is>
      </c>
      <c r="C497" t="n">
        <v>2024</v>
      </c>
      <c r="D497" t="inlineStr">
        <is>
          <t>Asset</t>
        </is>
      </c>
      <c r="E497" t="inlineStr">
        <is>
          <t>Total Replanted Cumulative</t>
        </is>
      </c>
      <c r="F497" t="n">
        <v>12635</v>
      </c>
      <c r="G497" t="inlineStr">
        <is>
          <t>ha</t>
        </is>
      </c>
      <c r="H497" t="n">
        <v>108</v>
      </c>
      <c r="I497" t="inlineStr">
        <is>
          <t>total replanted area to date, standing at 12,635 hectares since 2015</t>
        </is>
      </c>
      <c r="J497" t="inlineStr">
        <is>
          <t>High</t>
        </is>
      </c>
      <c r="M497" t="inlineStr">
        <is>
          <t>LLM</t>
        </is>
      </c>
      <c r="N497" t="inlineStr">
        <is>
          <t>2026-04-18</t>
        </is>
      </c>
      <c r="O497" t="inlineStr">
        <is>
          <t>AI</t>
        </is>
      </c>
    </row>
    <row r="498">
      <c r="A498" t="inlineStr">
        <is>
          <t>PT Austindo Nusantara Jaya Tbk</t>
        </is>
      </c>
      <c r="B498" t="inlineStr">
        <is>
          <t>ANJT_2024_AR.pdf</t>
        </is>
      </c>
      <c r="C498" t="n">
        <v>2024</v>
      </c>
      <c r="D498" t="inlineStr">
        <is>
          <t>Asset</t>
        </is>
      </c>
      <c r="E498" t="inlineStr">
        <is>
          <t>Average Palm Age</t>
        </is>
      </c>
      <c r="F498" t="n">
        <v>12.9</v>
      </c>
      <c r="G498" t="inlineStr">
        <is>
          <t>years</t>
        </is>
      </c>
      <c r="H498" t="n">
        <v>108</v>
      </c>
      <c r="I498" t="inlineStr">
        <is>
          <t>maintained our average palm oil age at 12.9 years as of December 31, 2024</t>
        </is>
      </c>
      <c r="J498" t="inlineStr">
        <is>
          <t>High</t>
        </is>
      </c>
      <c r="M498" t="inlineStr">
        <is>
          <t>LLM</t>
        </is>
      </c>
      <c r="N498" t="inlineStr">
        <is>
          <t>2026-04-18</t>
        </is>
      </c>
      <c r="O498" t="inlineStr">
        <is>
          <t>AI</t>
        </is>
      </c>
    </row>
    <row r="499">
      <c r="A499" t="inlineStr">
        <is>
          <t>PT Austindo Nusantara Jaya Tbk</t>
        </is>
      </c>
      <c r="B499" t="inlineStr">
        <is>
          <t>ANJT_2024_AR.pdf</t>
        </is>
      </c>
      <c r="C499" t="n">
        <v>2024</v>
      </c>
      <c r="D499" t="inlineStr">
        <is>
          <t>Asset</t>
        </is>
      </c>
      <c r="E499" t="inlineStr">
        <is>
          <t>Total Landbank</t>
        </is>
      </c>
      <c r="F499" t="n">
        <v>194650</v>
      </c>
      <c r="G499" t="inlineStr">
        <is>
          <t>ha</t>
        </is>
      </c>
      <c r="H499" t="n">
        <v>108</v>
      </c>
      <c r="I499" t="inlineStr">
        <is>
          <t>total of 194,650 hectares of landbank including 53,357 ha palm + 40,000 ha sago</t>
        </is>
      </c>
      <c r="J499" t="inlineStr">
        <is>
          <t>High</t>
        </is>
      </c>
      <c r="M499" t="inlineStr">
        <is>
          <t>LLM</t>
        </is>
      </c>
      <c r="N499" t="inlineStr">
        <is>
          <t>2026-04-18</t>
        </is>
      </c>
      <c r="O499" t="inlineStr">
        <is>
          <t>AI</t>
        </is>
      </c>
    </row>
    <row r="500">
      <c r="A500" t="inlineStr">
        <is>
          <t>PT Austindo Nusantara Jaya Tbk</t>
        </is>
      </c>
      <c r="B500" t="inlineStr">
        <is>
          <t>ANJT_2024_AR.pdf</t>
        </is>
      </c>
      <c r="C500" t="n">
        <v>2024</v>
      </c>
      <c r="D500" t="inlineStr">
        <is>
          <t>Asset</t>
        </is>
      </c>
      <c r="E500" t="inlineStr">
        <is>
          <t>Mill Count</t>
        </is>
      </c>
      <c r="F500" t="n">
        <v>5</v>
      </c>
      <c r="G500" t="inlineStr">
        <is>
          <t>count</t>
        </is>
      </c>
      <c r="H500" t="n">
        <v>108</v>
      </c>
      <c r="I500" t="inlineStr">
        <is>
          <t>five palm oil mills</t>
        </is>
      </c>
      <c r="J500" t="inlineStr">
        <is>
          <t>High</t>
        </is>
      </c>
      <c r="M500" t="inlineStr">
        <is>
          <t>LLM</t>
        </is>
      </c>
      <c r="N500" t="inlineStr">
        <is>
          <t>2026-04-18</t>
        </is>
      </c>
      <c r="O500" t="inlineStr">
        <is>
          <t>AI</t>
        </is>
      </c>
    </row>
    <row r="501">
      <c r="A501" t="inlineStr">
        <is>
          <t>PT Austindo Nusantara Jaya Tbk</t>
        </is>
      </c>
      <c r="B501" t="inlineStr">
        <is>
          <t>ANJT_2024_AR.pdf</t>
        </is>
      </c>
      <c r="C501" t="n">
        <v>2024</v>
      </c>
      <c r="D501" t="inlineStr">
        <is>
          <t>Asset</t>
        </is>
      </c>
      <c r="E501" t="inlineStr">
        <is>
          <t>Total Mill Capacity</t>
        </is>
      </c>
      <c r="F501" t="n">
        <v>315</v>
      </c>
      <c r="G501" t="inlineStr">
        <is>
          <t>tph</t>
        </is>
      </c>
      <c r="H501" t="n">
        <v>51</v>
      </c>
      <c r="I501" t="inlineStr">
        <is>
          <t>Mill capacities summed 60+60+60+90+45 = 315 tph</t>
        </is>
      </c>
      <c r="J501" t="inlineStr">
        <is>
          <t>High</t>
        </is>
      </c>
      <c r="M501" t="inlineStr">
        <is>
          <t>LLM</t>
        </is>
      </c>
      <c r="N501" t="inlineStr">
        <is>
          <t>2026-04-18</t>
        </is>
      </c>
      <c r="O501" t="inlineStr">
        <is>
          <t>AI</t>
        </is>
      </c>
    </row>
    <row r="502">
      <c r="A502" t="inlineStr">
        <is>
          <t>PT Austindo Nusantara Jaya Tbk</t>
        </is>
      </c>
      <c r="B502" t="inlineStr">
        <is>
          <t>ANJT_2024_AR.pdf</t>
        </is>
      </c>
      <c r="C502" t="n">
        <v>2024</v>
      </c>
      <c r="D502" t="inlineStr">
        <is>
          <t>Asset</t>
        </is>
      </c>
      <c r="E502" t="inlineStr">
        <is>
          <t>Total Conservation Area</t>
        </is>
      </c>
      <c r="F502" t="n">
        <v>97779</v>
      </c>
      <c r="G502" t="inlineStr">
        <is>
          <t>ha</t>
        </is>
      </c>
      <c r="H502" t="n">
        <v>51</v>
      </c>
      <c r="I502" t="inlineStr">
        <is>
          <t>TOTAL CONSERVATION AREA: 97,779 Ha</t>
        </is>
      </c>
      <c r="J502" t="inlineStr">
        <is>
          <t>High</t>
        </is>
      </c>
      <c r="M502" t="inlineStr">
        <is>
          <t>LLM</t>
        </is>
      </c>
      <c r="N502" t="inlineStr">
        <is>
          <t>2026-04-18</t>
        </is>
      </c>
      <c r="O502" t="inlineStr">
        <is>
          <t>AI</t>
        </is>
      </c>
    </row>
    <row r="503">
      <c r="A503" t="inlineStr">
        <is>
          <t>PT Austindo Nusantara Jaya Tbk</t>
        </is>
      </c>
      <c r="B503" t="inlineStr">
        <is>
          <t>ANJT_2024_AR.pdf</t>
        </is>
      </c>
      <c r="C503" t="n">
        <v>2024</v>
      </c>
      <c r="D503" t="inlineStr">
        <is>
          <t>Operation</t>
        </is>
      </c>
      <c r="E503" t="inlineStr">
        <is>
          <t>FFB Production (Own)</t>
        </is>
      </c>
      <c r="F503" t="n">
        <v>777615</v>
      </c>
      <c r="G503" t="inlineStr">
        <is>
          <t>t</t>
        </is>
      </c>
      <c r="H503" t="n">
        <v>8</v>
      </c>
      <c r="I503" t="inlineStr">
        <is>
          <t>Total FFB produced from our estates 777,615 (2024)</t>
        </is>
      </c>
      <c r="J503" t="inlineStr">
        <is>
          <t>High</t>
        </is>
      </c>
      <c r="M503" t="inlineStr">
        <is>
          <t>LLM</t>
        </is>
      </c>
      <c r="N503" t="inlineStr">
        <is>
          <t>2026-04-18</t>
        </is>
      </c>
      <c r="O503" t="inlineStr">
        <is>
          <t>AI</t>
        </is>
      </c>
    </row>
    <row r="504">
      <c r="A504" t="inlineStr">
        <is>
          <t>PT Austindo Nusantara Jaya Tbk</t>
        </is>
      </c>
      <c r="B504" t="inlineStr">
        <is>
          <t>ANJT_2024_AR.pdf</t>
        </is>
      </c>
      <c r="C504" t="n">
        <v>2024</v>
      </c>
      <c r="D504" t="inlineStr">
        <is>
          <t>Operation</t>
        </is>
      </c>
      <c r="E504" t="inlineStr">
        <is>
          <t>Third-Party FFB</t>
        </is>
      </c>
      <c r="F504" t="n">
        <v>463835</v>
      </c>
      <c r="G504" t="inlineStr">
        <is>
          <t>t</t>
        </is>
      </c>
      <c r="H504" t="n">
        <v>8</v>
      </c>
      <c r="I504" t="inlineStr">
        <is>
          <t>Total FFB bought from third parties 463,835</t>
        </is>
      </c>
      <c r="J504" t="inlineStr">
        <is>
          <t>High</t>
        </is>
      </c>
      <c r="M504" t="inlineStr">
        <is>
          <t>LLM</t>
        </is>
      </c>
      <c r="N504" t="inlineStr">
        <is>
          <t>2026-04-18</t>
        </is>
      </c>
      <c r="O504" t="inlineStr">
        <is>
          <t>AI</t>
        </is>
      </c>
    </row>
    <row r="505">
      <c r="A505" t="inlineStr">
        <is>
          <t>PT Austindo Nusantara Jaya Tbk</t>
        </is>
      </c>
      <c r="B505" t="inlineStr">
        <is>
          <t>ANJT_2024_AR.pdf</t>
        </is>
      </c>
      <c r="C505" t="n">
        <v>2024</v>
      </c>
      <c r="D505" t="inlineStr">
        <is>
          <t>Operation</t>
        </is>
      </c>
      <c r="E505" t="inlineStr">
        <is>
          <t>FFB Processed</t>
        </is>
      </c>
      <c r="F505" t="n">
        <v>1233180</v>
      </c>
      <c r="G505" t="inlineStr">
        <is>
          <t>t</t>
        </is>
      </c>
      <c r="H505" t="n">
        <v>8</v>
      </c>
      <c r="I505" t="inlineStr">
        <is>
          <t>Total FFB processed 1,233,180</t>
        </is>
      </c>
      <c r="J505" t="inlineStr">
        <is>
          <t>High</t>
        </is>
      </c>
      <c r="M505" t="inlineStr">
        <is>
          <t>LLM</t>
        </is>
      </c>
      <c r="N505" t="inlineStr">
        <is>
          <t>2026-04-18</t>
        </is>
      </c>
      <c r="O505" t="inlineStr">
        <is>
          <t>AI</t>
        </is>
      </c>
    </row>
    <row r="506">
      <c r="A506" t="inlineStr">
        <is>
          <t>PT Austindo Nusantara Jaya Tbk</t>
        </is>
      </c>
      <c r="B506" t="inlineStr">
        <is>
          <t>ANJT_2024_AR.pdf</t>
        </is>
      </c>
      <c r="C506" t="n">
        <v>2024</v>
      </c>
      <c r="D506" t="inlineStr">
        <is>
          <t>Operation</t>
        </is>
      </c>
      <c r="E506" t="inlineStr">
        <is>
          <t>FFB Yield</t>
        </is>
      </c>
      <c r="F506" t="n">
        <v>18.4</v>
      </c>
      <c r="G506" t="inlineStr">
        <is>
          <t>t/ha</t>
        </is>
      </c>
      <c r="H506" t="n">
        <v>8</v>
      </c>
      <c r="I506" t="inlineStr">
        <is>
          <t>Average FFB yield 18.4 mt per hectare</t>
        </is>
      </c>
      <c r="J506" t="inlineStr">
        <is>
          <t>High</t>
        </is>
      </c>
      <c r="M506" t="inlineStr">
        <is>
          <t>LLM</t>
        </is>
      </c>
      <c r="N506" t="inlineStr">
        <is>
          <t>2026-04-18</t>
        </is>
      </c>
      <c r="O506" t="inlineStr">
        <is>
          <t>AI</t>
        </is>
      </c>
    </row>
    <row r="507">
      <c r="A507" t="inlineStr">
        <is>
          <t>PT Austindo Nusantara Jaya Tbk</t>
        </is>
      </c>
      <c r="B507" t="inlineStr">
        <is>
          <t>ANJT_2024_AR.pdf</t>
        </is>
      </c>
      <c r="C507" t="n">
        <v>2024</v>
      </c>
      <c r="D507" t="inlineStr">
        <is>
          <t>Operation</t>
        </is>
      </c>
      <c r="E507" t="inlineStr">
        <is>
          <t>CPO Production</t>
        </is>
      </c>
      <c r="F507" t="n">
        <v>245395</v>
      </c>
      <c r="G507" t="inlineStr">
        <is>
          <t>t</t>
        </is>
      </c>
      <c r="H507" t="n">
        <v>8</v>
      </c>
      <c r="I507" t="inlineStr">
        <is>
          <t>Total CPO Production 245,395</t>
        </is>
      </c>
      <c r="J507" t="inlineStr">
        <is>
          <t>High</t>
        </is>
      </c>
      <c r="M507" t="inlineStr">
        <is>
          <t>LLM</t>
        </is>
      </c>
      <c r="N507" t="inlineStr">
        <is>
          <t>2026-04-18</t>
        </is>
      </c>
      <c r="O507" t="inlineStr">
        <is>
          <t>AI</t>
        </is>
      </c>
    </row>
    <row r="508">
      <c r="A508" t="inlineStr">
        <is>
          <t>PT Austindo Nusantara Jaya Tbk</t>
        </is>
      </c>
      <c r="B508" t="inlineStr">
        <is>
          <t>ANJT_2024_AR.pdf</t>
        </is>
      </c>
      <c r="C508" t="n">
        <v>2024</v>
      </c>
      <c r="D508" t="inlineStr">
        <is>
          <t>Operation</t>
        </is>
      </c>
      <c r="E508" t="inlineStr">
        <is>
          <t>CPO Sales</t>
        </is>
      </c>
      <c r="F508" t="n">
        <v>245784</v>
      </c>
      <c r="G508" t="inlineStr">
        <is>
          <t>t</t>
        </is>
      </c>
      <c r="H508" t="n">
        <v>8</v>
      </c>
      <c r="I508" t="inlineStr">
        <is>
          <t>Total CPO Sales 245,784</t>
        </is>
      </c>
      <c r="J508" t="inlineStr">
        <is>
          <t>High</t>
        </is>
      </c>
      <c r="M508" t="inlineStr">
        <is>
          <t>LLM</t>
        </is>
      </c>
      <c r="N508" t="inlineStr">
        <is>
          <t>2026-04-18</t>
        </is>
      </c>
      <c r="O508" t="inlineStr">
        <is>
          <t>AI</t>
        </is>
      </c>
    </row>
    <row r="509">
      <c r="A509" t="inlineStr">
        <is>
          <t>PT Austindo Nusantara Jaya Tbk</t>
        </is>
      </c>
      <c r="B509" t="inlineStr">
        <is>
          <t>ANJT_2024_AR.pdf</t>
        </is>
      </c>
      <c r="C509" t="n">
        <v>2024</v>
      </c>
      <c r="D509" t="inlineStr">
        <is>
          <t>Operation</t>
        </is>
      </c>
      <c r="E509" t="inlineStr">
        <is>
          <t>PK Production</t>
        </is>
      </c>
      <c r="F509" t="n">
        <v>47668</v>
      </c>
      <c r="G509" t="inlineStr">
        <is>
          <t>t</t>
        </is>
      </c>
      <c r="H509" t="n">
        <v>8</v>
      </c>
      <c r="I509" t="inlineStr">
        <is>
          <t>Total PK production 47,668</t>
        </is>
      </c>
      <c r="J509" t="inlineStr">
        <is>
          <t>High</t>
        </is>
      </c>
      <c r="M509" t="inlineStr">
        <is>
          <t>LLM</t>
        </is>
      </c>
      <c r="N509" t="inlineStr">
        <is>
          <t>2026-04-18</t>
        </is>
      </c>
      <c r="O509" t="inlineStr">
        <is>
          <t>AI</t>
        </is>
      </c>
    </row>
    <row r="510">
      <c r="A510" t="inlineStr">
        <is>
          <t>PT Austindo Nusantara Jaya Tbk</t>
        </is>
      </c>
      <c r="B510" t="inlineStr">
        <is>
          <t>ANJT_2024_AR.pdf</t>
        </is>
      </c>
      <c r="C510" t="n">
        <v>2024</v>
      </c>
      <c r="D510" t="inlineStr">
        <is>
          <t>Operation</t>
        </is>
      </c>
      <c r="E510" t="inlineStr">
        <is>
          <t>PKO Production</t>
        </is>
      </c>
      <c r="F510" t="n">
        <v>1121</v>
      </c>
      <c r="G510" t="inlineStr">
        <is>
          <t>t</t>
        </is>
      </c>
      <c r="H510" t="n">
        <v>8</v>
      </c>
      <c r="I510" t="inlineStr">
        <is>
          <t>Total PKO Production 1,121</t>
        </is>
      </c>
      <c r="J510" t="inlineStr">
        <is>
          <t>High</t>
        </is>
      </c>
      <c r="M510" t="inlineStr">
        <is>
          <t>LLM</t>
        </is>
      </c>
      <c r="N510" t="inlineStr">
        <is>
          <t>2026-04-18</t>
        </is>
      </c>
      <c r="O510" t="inlineStr">
        <is>
          <t>AI</t>
        </is>
      </c>
    </row>
    <row r="511">
      <c r="A511" t="inlineStr">
        <is>
          <t>PT Austindo Nusantara Jaya Tbk</t>
        </is>
      </c>
      <c r="B511" t="inlineStr">
        <is>
          <t>ANJT_2024_AR.pdf</t>
        </is>
      </c>
      <c r="C511" t="n">
        <v>2024</v>
      </c>
      <c r="D511" t="inlineStr">
        <is>
          <t>Operation</t>
        </is>
      </c>
      <c r="E511" t="inlineStr">
        <is>
          <t>OER</t>
        </is>
      </c>
      <c r="F511" t="n">
        <v>0.199</v>
      </c>
      <c r="G511" t="inlineStr">
        <is>
          <t>%</t>
        </is>
      </c>
      <c r="H511" t="n">
        <v>8</v>
      </c>
      <c r="I511" t="inlineStr">
        <is>
          <t>CPO extraction rate 19.9%</t>
        </is>
      </c>
      <c r="J511" t="inlineStr">
        <is>
          <t>High</t>
        </is>
      </c>
      <c r="M511" t="inlineStr">
        <is>
          <t>LLM</t>
        </is>
      </c>
      <c r="N511" t="inlineStr">
        <is>
          <t>2026-04-18</t>
        </is>
      </c>
      <c r="O511" t="inlineStr">
        <is>
          <t>AI</t>
        </is>
      </c>
    </row>
    <row r="512">
      <c r="A512" t="inlineStr">
        <is>
          <t>PT Austindo Nusantara Jaya Tbk</t>
        </is>
      </c>
      <c r="B512" t="inlineStr">
        <is>
          <t>ANJT_2024_AR.pdf</t>
        </is>
      </c>
      <c r="C512" t="n">
        <v>2024</v>
      </c>
      <c r="D512" t="inlineStr">
        <is>
          <t>Operation</t>
        </is>
      </c>
      <c r="E512" t="inlineStr">
        <is>
          <t>KER</t>
        </is>
      </c>
      <c r="F512" t="n">
        <v>0.042</v>
      </c>
      <c r="G512" t="inlineStr">
        <is>
          <t>%</t>
        </is>
      </c>
      <c r="H512" t="n">
        <v>8</v>
      </c>
      <c r="I512" t="inlineStr">
        <is>
          <t>PK extraction rate 4.2%</t>
        </is>
      </c>
      <c r="J512" t="inlineStr">
        <is>
          <t>High</t>
        </is>
      </c>
      <c r="M512" t="inlineStr">
        <is>
          <t>LLM</t>
        </is>
      </c>
      <c r="N512" t="inlineStr">
        <is>
          <t>2026-04-18</t>
        </is>
      </c>
      <c r="O512" t="inlineStr">
        <is>
          <t>AI</t>
        </is>
      </c>
    </row>
    <row r="513">
      <c r="A513" t="inlineStr">
        <is>
          <t>PT Austindo Nusantara Jaya Tbk</t>
        </is>
      </c>
      <c r="B513" t="inlineStr">
        <is>
          <t>ANJT_2024_AR.pdf</t>
        </is>
      </c>
      <c r="C513" t="n">
        <v>2024</v>
      </c>
      <c r="D513" t="inlineStr">
        <is>
          <t>Operation</t>
        </is>
      </c>
      <c r="E513" t="inlineStr">
        <is>
          <t>CPO ASP</t>
        </is>
      </c>
      <c r="F513" t="n">
        <v>822</v>
      </c>
      <c r="G513" t="inlineStr">
        <is>
          <t>USD/t</t>
        </is>
      </c>
      <c r="H513" t="n">
        <v>8</v>
      </c>
      <c r="I513" t="inlineStr">
        <is>
          <t>CPO average selling price 822</t>
        </is>
      </c>
      <c r="J513" t="inlineStr">
        <is>
          <t>High</t>
        </is>
      </c>
      <c r="M513" t="inlineStr">
        <is>
          <t>LLM</t>
        </is>
      </c>
      <c r="N513" t="inlineStr">
        <is>
          <t>2026-04-18</t>
        </is>
      </c>
      <c r="O513" t="inlineStr">
        <is>
          <t>AI</t>
        </is>
      </c>
    </row>
    <row r="514">
      <c r="A514" t="inlineStr">
        <is>
          <t>PT Austindo Nusantara Jaya Tbk</t>
        </is>
      </c>
      <c r="B514" t="inlineStr">
        <is>
          <t>ANJT_2024_AR.pdf</t>
        </is>
      </c>
      <c r="C514" t="n">
        <v>2024</v>
      </c>
      <c r="D514" t="inlineStr">
        <is>
          <t>Operation</t>
        </is>
      </c>
      <c r="E514" t="inlineStr">
        <is>
          <t>PK ASP</t>
        </is>
      </c>
      <c r="F514" t="n">
        <v>501</v>
      </c>
      <c r="G514" t="inlineStr">
        <is>
          <t>USD/t</t>
        </is>
      </c>
      <c r="H514" t="n">
        <v>8</v>
      </c>
      <c r="I514" t="inlineStr">
        <is>
          <t>PK average selling price 501</t>
        </is>
      </c>
      <c r="J514" t="inlineStr">
        <is>
          <t>High</t>
        </is>
      </c>
      <c r="M514" t="inlineStr">
        <is>
          <t>LLM</t>
        </is>
      </c>
      <c r="N514" t="inlineStr">
        <is>
          <t>2026-04-18</t>
        </is>
      </c>
      <c r="O514" t="inlineStr">
        <is>
          <t>AI</t>
        </is>
      </c>
    </row>
    <row r="515">
      <c r="A515" t="inlineStr">
        <is>
          <t>PT Austindo Nusantara Jaya Tbk</t>
        </is>
      </c>
      <c r="B515" t="inlineStr">
        <is>
          <t>ANJT_2024_AR.pdf</t>
        </is>
      </c>
      <c r="C515" t="n">
        <v>2024</v>
      </c>
      <c r="D515" t="inlineStr">
        <is>
          <t>Operation</t>
        </is>
      </c>
      <c r="E515" t="inlineStr">
        <is>
          <t>Cash Cost of Production</t>
        </is>
      </c>
      <c r="F515" t="n">
        <v>434</v>
      </c>
      <c r="G515" t="inlineStr">
        <is>
          <t>USD/t</t>
        </is>
      </c>
      <c r="H515" t="n">
        <v>8</v>
      </c>
      <c r="I515" t="inlineStr">
        <is>
          <t>Cash cost of production 434</t>
        </is>
      </c>
      <c r="J515" t="inlineStr">
        <is>
          <t>High</t>
        </is>
      </c>
      <c r="M515" t="inlineStr">
        <is>
          <t>LLM</t>
        </is>
      </c>
      <c r="N515" t="inlineStr">
        <is>
          <t>2026-04-18</t>
        </is>
      </c>
      <c r="O515" t="inlineStr">
        <is>
          <t>AI</t>
        </is>
      </c>
    </row>
    <row r="516">
      <c r="A516" t="inlineStr">
        <is>
          <t>PT BISI International Tbk</t>
        </is>
      </c>
      <c r="B516" t="inlineStr">
        <is>
          <t>BISI_2023_AR.pdf</t>
        </is>
      </c>
      <c r="C516" t="n">
        <v>2023</v>
      </c>
      <c r="D516" t="inlineStr">
        <is>
          <t>Company</t>
        </is>
      </c>
      <c r="E516" t="inlineStr">
        <is>
          <t>Company Name</t>
        </is>
      </c>
      <c r="F516" t="inlineStr">
        <is>
          <t>PT BISI International Tbk</t>
        </is>
      </c>
      <c r="G516" t="inlineStr">
        <is>
          <t>text</t>
        </is>
      </c>
      <c r="H516" t="n">
        <v>1</v>
      </c>
      <c r="I516" t="inlineStr">
        <is>
          <t>PT BISI INTERNATIONAL Tbk, Laporan Tahunan 2023</t>
        </is>
      </c>
      <c r="J516" t="inlineStr">
        <is>
          <t>High</t>
        </is>
      </c>
      <c r="M516" t="inlineStr">
        <is>
          <t>LLM</t>
        </is>
      </c>
      <c r="N516" t="inlineStr">
        <is>
          <t>2026-04-18</t>
        </is>
      </c>
      <c r="O516" t="inlineStr">
        <is>
          <t>AI</t>
        </is>
      </c>
    </row>
    <row r="517">
      <c r="A517" t="inlineStr">
        <is>
          <t>PT BISI International Tbk</t>
        </is>
      </c>
      <c r="B517" t="inlineStr">
        <is>
          <t>BISI_2023_AR.pdf</t>
        </is>
      </c>
      <c r="C517" t="n">
        <v>2023</v>
      </c>
      <c r="D517" t="inlineStr">
        <is>
          <t>Company</t>
        </is>
      </c>
      <c r="E517" t="inlineStr">
        <is>
          <t>Ticker</t>
        </is>
      </c>
      <c r="F517" t="inlineStr">
        <is>
          <t>BISI</t>
        </is>
      </c>
      <c r="G517" t="inlineStr">
        <is>
          <t>text</t>
        </is>
      </c>
      <c r="H517" t="n">
        <v>0</v>
      </c>
      <c r="I517" t="inlineStr">
        <is>
          <t>Filename</t>
        </is>
      </c>
      <c r="J517" t="inlineStr">
        <is>
          <t>High</t>
        </is>
      </c>
      <c r="M517" t="inlineStr">
        <is>
          <t>LLM</t>
        </is>
      </c>
      <c r="N517" t="inlineStr">
        <is>
          <t>2026-04-18</t>
        </is>
      </c>
      <c r="O517" t="inlineStr">
        <is>
          <t>AI</t>
        </is>
      </c>
    </row>
    <row r="518">
      <c r="A518" t="inlineStr">
        <is>
          <t>PT BISI International Tbk</t>
        </is>
      </c>
      <c r="B518" t="inlineStr">
        <is>
          <t>BISI_2023_AR.pdf</t>
        </is>
      </c>
      <c r="C518" t="n">
        <v>2023</v>
      </c>
      <c r="D518" t="inlineStr">
        <is>
          <t>Company</t>
        </is>
      </c>
      <c r="E518" t="inlineStr">
        <is>
          <t>Report Year</t>
        </is>
      </c>
      <c r="F518" t="n">
        <v>2023</v>
      </c>
      <c r="G518" t="inlineStr">
        <is>
          <t>year</t>
        </is>
      </c>
      <c r="H518" t="n">
        <v>1</v>
      </c>
      <c r="I518" t="inlineStr">
        <is>
          <t>2023 Annual Report</t>
        </is>
      </c>
      <c r="J518" t="inlineStr">
        <is>
          <t>High</t>
        </is>
      </c>
      <c r="M518" t="inlineStr">
        <is>
          <t>LLM</t>
        </is>
      </c>
      <c r="N518" t="inlineStr">
        <is>
          <t>2026-04-18</t>
        </is>
      </c>
      <c r="O518" t="inlineStr">
        <is>
          <t>AI</t>
        </is>
      </c>
    </row>
    <row r="519">
      <c r="A519" t="inlineStr">
        <is>
          <t>PT BISI International Tbk</t>
        </is>
      </c>
      <c r="B519" t="inlineStr">
        <is>
          <t>BISI_2023_AR.pdf</t>
        </is>
      </c>
      <c r="C519" t="n">
        <v>2023</v>
      </c>
      <c r="D519" t="inlineStr">
        <is>
          <t>Company</t>
        </is>
      </c>
      <c r="E519" t="inlineStr">
        <is>
          <t>Establishment Date</t>
        </is>
      </c>
      <c r="F519" t="inlineStr">
        <is>
          <t>1983-06-22</t>
        </is>
      </c>
      <c r="G519" t="inlineStr">
        <is>
          <t>date</t>
        </is>
      </c>
      <c r="H519" t="n">
        <v>12</v>
      </c>
      <c r="I519" t="inlineStr">
        <is>
          <t>didirikan di Indonesia dengan nama PT Bright Indonesia Seed Industry, berdasarkan Akta No. 35 tanggal 22 Juni 1983</t>
        </is>
      </c>
      <c r="J519" t="inlineStr">
        <is>
          <t>High</t>
        </is>
      </c>
      <c r="M519" t="inlineStr">
        <is>
          <t>LLM</t>
        </is>
      </c>
      <c r="N519" t="inlineStr">
        <is>
          <t>2026-04-18</t>
        </is>
      </c>
      <c r="O519" t="inlineStr">
        <is>
          <t>AI</t>
        </is>
      </c>
    </row>
    <row r="520">
      <c r="A520" t="inlineStr">
        <is>
          <t>PT BISI International Tbk</t>
        </is>
      </c>
      <c r="B520" t="inlineStr">
        <is>
          <t>BISI_2023_AR.pdf</t>
        </is>
      </c>
      <c r="C520" t="n">
        <v>2023</v>
      </c>
      <c r="D520" t="inlineStr">
        <is>
          <t>Company</t>
        </is>
      </c>
      <c r="E520" t="inlineStr">
        <is>
          <t>HQ</t>
        </is>
      </c>
      <c r="F520" t="inlineStr">
        <is>
          <t>Sidoarjo, East Java</t>
        </is>
      </c>
      <c r="G520" t="inlineStr">
        <is>
          <t>text</t>
        </is>
      </c>
      <c r="H520" t="n">
        <v>12</v>
      </c>
      <c r="I520" t="inlineStr">
        <is>
          <t>Taman, Kabupaten Sidoarjo, Jawa Timur, Indonesia</t>
        </is>
      </c>
      <c r="J520" t="inlineStr">
        <is>
          <t>High</t>
        </is>
      </c>
      <c r="M520" t="inlineStr">
        <is>
          <t>LLM</t>
        </is>
      </c>
      <c r="N520" t="inlineStr">
        <is>
          <t>2026-04-18</t>
        </is>
      </c>
      <c r="O520" t="inlineStr">
        <is>
          <t>AI</t>
        </is>
      </c>
    </row>
    <row r="521">
      <c r="A521" t="inlineStr">
        <is>
          <t>PT BISI International Tbk</t>
        </is>
      </c>
      <c r="B521" t="inlineStr">
        <is>
          <t>BISI_2023_AR.pdf</t>
        </is>
      </c>
      <c r="C521" t="n">
        <v>2023</v>
      </c>
      <c r="D521" t="inlineStr">
        <is>
          <t>Company</t>
        </is>
      </c>
      <c r="E521" t="inlineStr">
        <is>
          <t>Controlling Shareholder</t>
        </is>
      </c>
      <c r="F521" t="inlineStr">
        <is>
          <t>Jiaravanon family</t>
        </is>
      </c>
      <c r="G521" t="inlineStr">
        <is>
          <t>text</t>
        </is>
      </c>
      <c r="H521" t="n">
        <v>21</v>
      </c>
      <c r="I521" t="inlineStr">
        <is>
          <t>Pemegang saham pengendali Perseroan adalah Keluarga Jiaravanon</t>
        </is>
      </c>
      <c r="J521" t="inlineStr">
        <is>
          <t>High</t>
        </is>
      </c>
      <c r="M521" t="inlineStr">
        <is>
          <t>LLM</t>
        </is>
      </c>
      <c r="N521" t="inlineStr">
        <is>
          <t>2026-04-18</t>
        </is>
      </c>
      <c r="O521" t="inlineStr">
        <is>
          <t>AI</t>
        </is>
      </c>
    </row>
    <row r="522">
      <c r="A522" t="inlineStr">
        <is>
          <t>PT BISI International Tbk</t>
        </is>
      </c>
      <c r="B522" t="inlineStr">
        <is>
          <t>BISI_2023_AR.pdf</t>
        </is>
      </c>
      <c r="C522" t="n">
        <v>2023</v>
      </c>
      <c r="D522" t="inlineStr">
        <is>
          <t>Company</t>
        </is>
      </c>
      <c r="E522" t="inlineStr">
        <is>
          <t>PT Agrindo Pratama ownership</t>
        </is>
      </c>
      <c r="F522" t="n">
        <v>0.31</v>
      </c>
      <c r="G522" t="inlineStr">
        <is>
          <t>%</t>
        </is>
      </c>
      <c r="H522" t="n">
        <v>20</v>
      </c>
      <c r="I522" t="inlineStr">
        <is>
          <t>PT Agrindo Pratama 930,000,000 31.00%</t>
        </is>
      </c>
      <c r="J522" t="inlineStr">
        <is>
          <t>High</t>
        </is>
      </c>
      <c r="M522" t="inlineStr">
        <is>
          <t>LLM</t>
        </is>
      </c>
      <c r="N522" t="inlineStr">
        <is>
          <t>2026-04-18</t>
        </is>
      </c>
      <c r="O522" t="inlineStr">
        <is>
          <t>AI</t>
        </is>
      </c>
    </row>
    <row r="523">
      <c r="A523" t="inlineStr">
        <is>
          <t>PT BISI International Tbk</t>
        </is>
      </c>
      <c r="B523" t="inlineStr">
        <is>
          <t>BISI_2023_AR.pdf</t>
        </is>
      </c>
      <c r="C523" t="n">
        <v>2023</v>
      </c>
      <c r="D523" t="inlineStr">
        <is>
          <t>Company</t>
        </is>
      </c>
      <c r="E523" t="inlineStr">
        <is>
          <t>Public Float</t>
        </is>
      </c>
      <c r="F523" t="n">
        <v>0.4573</v>
      </c>
      <c r="G523" t="inlineStr">
        <is>
          <t>%</t>
        </is>
      </c>
      <c r="H523" t="n">
        <v>20</v>
      </c>
      <c r="I523" t="inlineStr">
        <is>
          <t>Masyarakat/Public 1,372,454,600 45.73%</t>
        </is>
      </c>
      <c r="J523" t="inlineStr">
        <is>
          <t>High</t>
        </is>
      </c>
      <c r="M523" t="inlineStr">
        <is>
          <t>LLM</t>
        </is>
      </c>
      <c r="N523" t="inlineStr">
        <is>
          <t>2026-04-18</t>
        </is>
      </c>
      <c r="O523" t="inlineStr">
        <is>
          <t>AI</t>
        </is>
      </c>
    </row>
    <row r="524">
      <c r="A524" t="inlineStr">
        <is>
          <t>PT BISI International Tbk</t>
        </is>
      </c>
      <c r="B524" t="inlineStr">
        <is>
          <t>BISI_2023_AR.pdf</t>
        </is>
      </c>
      <c r="C524" t="n">
        <v>2023</v>
      </c>
      <c r="D524" t="inlineStr">
        <is>
          <t>Company</t>
        </is>
      </c>
      <c r="E524" t="inlineStr">
        <is>
          <t>Primary Business</t>
        </is>
      </c>
      <c r="F524" t="inlineStr">
        <is>
          <t>Hybrid seeds + pesticides + fertilizers</t>
        </is>
      </c>
      <c r="G524" t="inlineStr">
        <is>
          <t>text</t>
        </is>
      </c>
      <c r="H524" t="n">
        <v>13</v>
      </c>
      <c r="I524" t="inlineStr">
        <is>
          <t>main products: corn seeds, horticultural seeds, paddy seeds, pesticides and fertilizers</t>
        </is>
      </c>
      <c r="J524" t="inlineStr">
        <is>
          <t>High</t>
        </is>
      </c>
      <c r="M524" t="inlineStr">
        <is>
          <t>LLM</t>
        </is>
      </c>
      <c r="N524" t="inlineStr">
        <is>
          <t>2026-04-18</t>
        </is>
      </c>
      <c r="O524" t="inlineStr">
        <is>
          <t>AI</t>
        </is>
      </c>
    </row>
    <row r="525">
      <c r="A525" t="inlineStr">
        <is>
          <t>PT BISI International Tbk</t>
        </is>
      </c>
      <c r="B525" t="inlineStr">
        <is>
          <t>BISI_2023_AR.pdf</t>
        </is>
      </c>
      <c r="C525" t="n">
        <v>2023</v>
      </c>
      <c r="D525" t="inlineStr">
        <is>
          <t>Company</t>
        </is>
      </c>
      <c r="E525" t="inlineStr">
        <is>
          <t>Affiliate Offtaker</t>
        </is>
      </c>
      <c r="F525" t="inlineStr">
        <is>
          <t>PT Charoen Pokphand Indonesia Tbk</t>
        </is>
      </c>
      <c r="G525" t="inlineStr">
        <is>
          <t>text</t>
        </is>
      </c>
      <c r="H525" t="n">
        <v>6</v>
      </c>
      <c r="I525" t="inlineStr">
        <is>
          <t>partnership with corn farmers to offtake directly by our affiliated Company, PT Charoen Pokphand Indonesia Tbk</t>
        </is>
      </c>
      <c r="J525" t="inlineStr">
        <is>
          <t>High</t>
        </is>
      </c>
      <c r="M525" t="inlineStr">
        <is>
          <t>LLM</t>
        </is>
      </c>
      <c r="N525" t="inlineStr">
        <is>
          <t>2026-04-18</t>
        </is>
      </c>
      <c r="O525" t="inlineStr">
        <is>
          <t>AI</t>
        </is>
      </c>
    </row>
    <row r="526">
      <c r="A526" t="inlineStr">
        <is>
          <t>PT BISI International Tbk</t>
        </is>
      </c>
      <c r="B526" t="inlineStr">
        <is>
          <t>BISI_2023_AR.pdf</t>
        </is>
      </c>
      <c r="C526" t="n">
        <v>2023</v>
      </c>
      <c r="D526" t="inlineStr">
        <is>
          <t>Financial</t>
        </is>
      </c>
      <c r="E526" t="inlineStr">
        <is>
          <t>Net Sales</t>
        </is>
      </c>
      <c r="F526" t="n">
        <v>2298131</v>
      </c>
      <c r="G526" t="inlineStr">
        <is>
          <t>IDR mn</t>
        </is>
      </c>
      <c r="H526" t="n">
        <v>3</v>
      </c>
      <c r="I526" t="inlineStr">
        <is>
          <t>Penjualan neto 2,298,131 (2023) / Net sales</t>
        </is>
      </c>
      <c r="J526" t="inlineStr">
        <is>
          <t>High</t>
        </is>
      </c>
      <c r="M526" t="inlineStr">
        <is>
          <t>LLM</t>
        </is>
      </c>
      <c r="N526" t="inlineStr">
        <is>
          <t>2026-04-18</t>
        </is>
      </c>
      <c r="O526" t="inlineStr">
        <is>
          <t>AI</t>
        </is>
      </c>
    </row>
    <row r="527">
      <c r="A527" t="inlineStr">
        <is>
          <t>PT BISI International Tbk</t>
        </is>
      </c>
      <c r="B527" t="inlineStr">
        <is>
          <t>BISI_2023_AR.pdf</t>
        </is>
      </c>
      <c r="C527" t="n">
        <v>2023</v>
      </c>
      <c r="D527" t="inlineStr">
        <is>
          <t>Financial</t>
        </is>
      </c>
      <c r="E527" t="inlineStr">
        <is>
          <t>Revenue (IDR bn)</t>
        </is>
      </c>
      <c r="F527" t="n">
        <v>2298</v>
      </c>
      <c r="G527" t="inlineStr">
        <is>
          <t>IDR bn</t>
        </is>
      </c>
      <c r="H527" t="n">
        <v>3</v>
      </c>
      <c r="I527" t="inlineStr">
        <is>
          <t>Rp 2,298,131 million = Rp 2,298 bn; text: 'Rp2.30 trillion'</t>
        </is>
      </c>
      <c r="J527" t="inlineStr">
        <is>
          <t>High</t>
        </is>
      </c>
      <c r="M527" t="inlineStr">
        <is>
          <t>LLM</t>
        </is>
      </c>
      <c r="N527" t="inlineStr">
        <is>
          <t>2026-04-18</t>
        </is>
      </c>
      <c r="O527" t="inlineStr">
        <is>
          <t>AI</t>
        </is>
      </c>
    </row>
    <row r="528">
      <c r="A528" t="inlineStr">
        <is>
          <t>PT BISI International Tbk</t>
        </is>
      </c>
      <c r="B528" t="inlineStr">
        <is>
          <t>BISI_2023_AR.pdf</t>
        </is>
      </c>
      <c r="C528" t="n">
        <v>2023</v>
      </c>
      <c r="D528" t="inlineStr">
        <is>
          <t>Financial</t>
        </is>
      </c>
      <c r="E528" t="inlineStr">
        <is>
          <t>COGS</t>
        </is>
      </c>
      <c r="F528" t="n">
        <v>-1136012</v>
      </c>
      <c r="G528" t="inlineStr">
        <is>
          <t>IDR mn</t>
        </is>
      </c>
      <c r="H528" t="n">
        <v>87</v>
      </c>
      <c r="I528" t="inlineStr">
        <is>
          <t>Beban pokok penjualan (1,136,012)</t>
        </is>
      </c>
      <c r="J528" t="inlineStr">
        <is>
          <t>High</t>
        </is>
      </c>
      <c r="M528" t="inlineStr">
        <is>
          <t>LLM</t>
        </is>
      </c>
      <c r="N528" t="inlineStr">
        <is>
          <t>2026-04-18</t>
        </is>
      </c>
      <c r="O528" t="inlineStr">
        <is>
          <t>AI</t>
        </is>
      </c>
    </row>
    <row r="529">
      <c r="A529" t="inlineStr">
        <is>
          <t>PT BISI International Tbk</t>
        </is>
      </c>
      <c r="B529" t="inlineStr">
        <is>
          <t>BISI_2023_AR.pdf</t>
        </is>
      </c>
      <c r="C529" t="n">
        <v>2023</v>
      </c>
      <c r="D529" t="inlineStr">
        <is>
          <t>Financial</t>
        </is>
      </c>
      <c r="E529" t="inlineStr">
        <is>
          <t>Gross Profit</t>
        </is>
      </c>
      <c r="F529" t="n">
        <v>1162119</v>
      </c>
      <c r="G529" t="inlineStr">
        <is>
          <t>IDR mn</t>
        </is>
      </c>
      <c r="H529" t="n">
        <v>3</v>
      </c>
      <c r="I529" t="inlineStr">
        <is>
          <t>Laba Bruto 1,162,119</t>
        </is>
      </c>
      <c r="J529" t="inlineStr">
        <is>
          <t>High</t>
        </is>
      </c>
      <c r="M529" t="inlineStr">
        <is>
          <t>LLM</t>
        </is>
      </c>
      <c r="N529" t="inlineStr">
        <is>
          <t>2026-04-18</t>
        </is>
      </c>
      <c r="O529" t="inlineStr">
        <is>
          <t>AI</t>
        </is>
      </c>
    </row>
    <row r="530">
      <c r="A530" t="inlineStr">
        <is>
          <t>PT BISI International Tbk</t>
        </is>
      </c>
      <c r="B530" t="inlineStr">
        <is>
          <t>BISI_2023_AR.pdf</t>
        </is>
      </c>
      <c r="C530" t="n">
        <v>2023</v>
      </c>
      <c r="D530" t="inlineStr">
        <is>
          <t>Financial</t>
        </is>
      </c>
      <c r="E530" t="inlineStr">
        <is>
          <t>Operating Profit</t>
        </is>
      </c>
      <c r="F530" t="n">
        <v>692341</v>
      </c>
      <c r="G530" t="inlineStr">
        <is>
          <t>IDR mn</t>
        </is>
      </c>
      <c r="H530" t="n">
        <v>3</v>
      </c>
      <c r="I530" t="inlineStr">
        <is>
          <t>Laba Usaha 692,341</t>
        </is>
      </c>
      <c r="J530" t="inlineStr">
        <is>
          <t>High</t>
        </is>
      </c>
      <c r="M530" t="inlineStr">
        <is>
          <t>LLM</t>
        </is>
      </c>
      <c r="N530" t="inlineStr">
        <is>
          <t>2026-04-18</t>
        </is>
      </c>
      <c r="O530" t="inlineStr">
        <is>
          <t>AI</t>
        </is>
      </c>
    </row>
    <row r="531">
      <c r="A531" t="inlineStr">
        <is>
          <t>PT BISI International Tbk</t>
        </is>
      </c>
      <c r="B531" t="inlineStr">
        <is>
          <t>BISI_2023_AR.pdf</t>
        </is>
      </c>
      <c r="C531" t="n">
        <v>2023</v>
      </c>
      <c r="D531" t="inlineStr">
        <is>
          <t>Financial</t>
        </is>
      </c>
      <c r="E531" t="inlineStr">
        <is>
          <t>Profit before Tax</t>
        </is>
      </c>
      <c r="F531" t="n">
        <v>733895</v>
      </c>
      <c r="G531" t="inlineStr">
        <is>
          <t>IDR mn</t>
        </is>
      </c>
      <c r="H531" t="n">
        <v>87</v>
      </c>
      <c r="I531" t="inlineStr">
        <is>
          <t>Laba sebelum pajak 733,895</t>
        </is>
      </c>
      <c r="J531" t="inlineStr">
        <is>
          <t>High</t>
        </is>
      </c>
      <c r="M531" t="inlineStr">
        <is>
          <t>LLM</t>
        </is>
      </c>
      <c r="N531" t="inlineStr">
        <is>
          <t>2026-04-18</t>
        </is>
      </c>
      <c r="O531" t="inlineStr">
        <is>
          <t>AI</t>
        </is>
      </c>
    </row>
    <row r="532">
      <c r="A532" t="inlineStr">
        <is>
          <t>PT BISI International Tbk</t>
        </is>
      </c>
      <c r="B532" t="inlineStr">
        <is>
          <t>BISI_2023_AR.pdf</t>
        </is>
      </c>
      <c r="C532" t="n">
        <v>2023</v>
      </c>
      <c r="D532" t="inlineStr">
        <is>
          <t>Financial</t>
        </is>
      </c>
      <c r="E532" t="inlineStr">
        <is>
          <t>Net Profit</t>
        </is>
      </c>
      <c r="F532" t="n">
        <v>595740</v>
      </c>
      <c r="G532" t="inlineStr">
        <is>
          <t>IDR mn</t>
        </is>
      </c>
      <c r="H532" t="n">
        <v>3</v>
      </c>
      <c r="I532" t="inlineStr">
        <is>
          <t>Laba Tahun Berjalan 595,740</t>
        </is>
      </c>
      <c r="J532" t="inlineStr">
        <is>
          <t>High</t>
        </is>
      </c>
      <c r="M532" t="inlineStr">
        <is>
          <t>LLM</t>
        </is>
      </c>
      <c r="N532" t="inlineStr">
        <is>
          <t>2026-04-18</t>
        </is>
      </c>
      <c r="O532" t="inlineStr">
        <is>
          <t>AI</t>
        </is>
      </c>
    </row>
    <row r="533">
      <c r="A533" t="inlineStr">
        <is>
          <t>PT BISI International Tbk</t>
        </is>
      </c>
      <c r="B533" t="inlineStr">
        <is>
          <t>BISI_2023_AR.pdf</t>
        </is>
      </c>
      <c r="C533" t="n">
        <v>2023</v>
      </c>
      <c r="D533" t="inlineStr">
        <is>
          <t>Financial</t>
        </is>
      </c>
      <c r="E533" t="inlineStr">
        <is>
          <t>Profit Attributable to Parent</t>
        </is>
      </c>
      <c r="F533" t="n">
        <v>595629</v>
      </c>
      <c r="G533" t="inlineStr">
        <is>
          <t>IDR mn</t>
        </is>
      </c>
      <c r="H533" t="n">
        <v>87</v>
      </c>
      <c r="I533" t="inlineStr">
        <is>
          <t>Pemilik entitas induk 595,629</t>
        </is>
      </c>
      <c r="J533" t="inlineStr">
        <is>
          <t>High</t>
        </is>
      </c>
      <c r="M533" t="inlineStr">
        <is>
          <t>LLM</t>
        </is>
      </c>
      <c r="N533" t="inlineStr">
        <is>
          <t>2026-04-18</t>
        </is>
      </c>
      <c r="O533" t="inlineStr">
        <is>
          <t>AI</t>
        </is>
      </c>
    </row>
    <row r="534">
      <c r="A534" t="inlineStr">
        <is>
          <t>PT BISI International Tbk</t>
        </is>
      </c>
      <c r="B534" t="inlineStr">
        <is>
          <t>BISI_2023_AR.pdf</t>
        </is>
      </c>
      <c r="C534" t="n">
        <v>2023</v>
      </c>
      <c r="D534" t="inlineStr">
        <is>
          <t>Financial</t>
        </is>
      </c>
      <c r="E534" t="inlineStr">
        <is>
          <t>Total Comprehensive Income</t>
        </is>
      </c>
      <c r="F534" t="n">
        <v>600446</v>
      </c>
      <c r="G534" t="inlineStr">
        <is>
          <t>IDR mn</t>
        </is>
      </c>
      <c r="H534" t="n">
        <v>3</v>
      </c>
      <c r="I534" t="inlineStr">
        <is>
          <t>Total Penghasilan Komprehensif 600,446</t>
        </is>
      </c>
      <c r="J534" t="inlineStr">
        <is>
          <t>High</t>
        </is>
      </c>
      <c r="M534" t="inlineStr">
        <is>
          <t>LLM</t>
        </is>
      </c>
      <c r="N534" t="inlineStr">
        <is>
          <t>2026-04-18</t>
        </is>
      </c>
      <c r="O534" t="inlineStr">
        <is>
          <t>AI</t>
        </is>
      </c>
    </row>
    <row r="535">
      <c r="A535" t="inlineStr">
        <is>
          <t>PT BISI International Tbk</t>
        </is>
      </c>
      <c r="B535" t="inlineStr">
        <is>
          <t>BISI_2023_AR.pdf</t>
        </is>
      </c>
      <c r="C535" t="n">
        <v>2023</v>
      </c>
      <c r="D535" t="inlineStr">
        <is>
          <t>Financial</t>
        </is>
      </c>
      <c r="E535" t="inlineStr">
        <is>
          <t>EPS</t>
        </is>
      </c>
      <c r="F535" t="n">
        <v>198.54</v>
      </c>
      <c r="G535" t="inlineStr">
        <is>
          <t>IDR/share</t>
        </is>
      </c>
      <c r="H535" t="n">
        <v>3</v>
      </c>
      <c r="I535" t="inlineStr">
        <is>
          <t>Laba per saham 198.54 / 199</t>
        </is>
      </c>
      <c r="J535" t="inlineStr">
        <is>
          <t>High</t>
        </is>
      </c>
      <c r="M535" t="inlineStr">
        <is>
          <t>LLM</t>
        </is>
      </c>
      <c r="N535" t="inlineStr">
        <is>
          <t>2026-04-18</t>
        </is>
      </c>
      <c r="O535" t="inlineStr">
        <is>
          <t>AI</t>
        </is>
      </c>
    </row>
    <row r="536">
      <c r="A536" t="inlineStr">
        <is>
          <t>PT BISI International Tbk</t>
        </is>
      </c>
      <c r="B536" t="inlineStr">
        <is>
          <t>BISI_2023_AR.pdf</t>
        </is>
      </c>
      <c r="C536" t="n">
        <v>2023</v>
      </c>
      <c r="D536" t="inlineStr">
        <is>
          <t>Financial</t>
        </is>
      </c>
      <c r="E536" t="inlineStr">
        <is>
          <t>Cash &amp; equivalents</t>
        </is>
      </c>
      <c r="F536" t="n">
        <v>1042206</v>
      </c>
      <c r="G536" t="inlineStr">
        <is>
          <t>IDR mn</t>
        </is>
      </c>
      <c r="H536" t="n">
        <v>85</v>
      </c>
      <c r="I536" t="inlineStr">
        <is>
          <t>Kas dan setara kas 1,042,206 (2023)</t>
        </is>
      </c>
      <c r="J536" t="inlineStr">
        <is>
          <t>High</t>
        </is>
      </c>
      <c r="M536" t="inlineStr">
        <is>
          <t>LLM</t>
        </is>
      </c>
      <c r="N536" t="inlineStr">
        <is>
          <t>2026-04-18</t>
        </is>
      </c>
      <c r="O536" t="inlineStr">
        <is>
          <t>AI</t>
        </is>
      </c>
    </row>
    <row r="537">
      <c r="A537" t="inlineStr">
        <is>
          <t>PT BISI International Tbk</t>
        </is>
      </c>
      <c r="B537" t="inlineStr">
        <is>
          <t>BISI_2023_AR.pdf</t>
        </is>
      </c>
      <c r="C537" t="n">
        <v>2023</v>
      </c>
      <c r="D537" t="inlineStr">
        <is>
          <t>Financial</t>
        </is>
      </c>
      <c r="E537" t="inlineStr">
        <is>
          <t>Total Current Assets</t>
        </is>
      </c>
      <c r="F537" t="n">
        <v>2945199</v>
      </c>
      <c r="G537" t="inlineStr">
        <is>
          <t>IDR mn</t>
        </is>
      </c>
      <c r="H537" t="n">
        <v>85</v>
      </c>
      <c r="I537" t="inlineStr">
        <is>
          <t>Total Aset Lancar 2,945,199</t>
        </is>
      </c>
      <c r="J537" t="inlineStr">
        <is>
          <t>High</t>
        </is>
      </c>
      <c r="M537" t="inlineStr">
        <is>
          <t>LLM</t>
        </is>
      </c>
      <c r="N537" t="inlineStr">
        <is>
          <t>2026-04-18</t>
        </is>
      </c>
      <c r="O537" t="inlineStr">
        <is>
          <t>AI</t>
        </is>
      </c>
    </row>
    <row r="538">
      <c r="A538" t="inlineStr">
        <is>
          <t>PT BISI International Tbk</t>
        </is>
      </c>
      <c r="B538" t="inlineStr">
        <is>
          <t>BISI_2023_AR.pdf</t>
        </is>
      </c>
      <c r="C538" t="n">
        <v>2023</v>
      </c>
      <c r="D538" t="inlineStr">
        <is>
          <t>Financial</t>
        </is>
      </c>
      <c r="E538" t="inlineStr">
        <is>
          <t>Fixed Assets</t>
        </is>
      </c>
      <c r="F538" t="n">
        <v>721419</v>
      </c>
      <c r="G538" t="inlineStr">
        <is>
          <t>IDR mn</t>
        </is>
      </c>
      <c r="H538" t="n">
        <v>85</v>
      </c>
      <c r="I538" t="inlineStr">
        <is>
          <t>Aset tetap 721,419</t>
        </is>
      </c>
      <c r="J538" t="inlineStr">
        <is>
          <t>High</t>
        </is>
      </c>
      <c r="M538" t="inlineStr">
        <is>
          <t>LLM</t>
        </is>
      </c>
      <c r="N538" t="inlineStr">
        <is>
          <t>2026-04-18</t>
        </is>
      </c>
      <c r="O538" t="inlineStr">
        <is>
          <t>AI</t>
        </is>
      </c>
    </row>
    <row r="539">
      <c r="A539" t="inlineStr">
        <is>
          <t>PT BISI International Tbk</t>
        </is>
      </c>
      <c r="B539" t="inlineStr">
        <is>
          <t>BISI_2023_AR.pdf</t>
        </is>
      </c>
      <c r="C539" t="n">
        <v>2023</v>
      </c>
      <c r="D539" t="inlineStr">
        <is>
          <t>Financial</t>
        </is>
      </c>
      <c r="E539" t="inlineStr">
        <is>
          <t>Total Assets</t>
        </is>
      </c>
      <c r="F539" t="n">
        <v>3901820</v>
      </c>
      <c r="G539" t="inlineStr">
        <is>
          <t>IDR mn</t>
        </is>
      </c>
      <c r="H539" t="n">
        <v>3</v>
      </c>
      <c r="I539" t="inlineStr">
        <is>
          <t>Total Aset 3,901,820</t>
        </is>
      </c>
      <c r="J539" t="inlineStr">
        <is>
          <t>High</t>
        </is>
      </c>
      <c r="M539" t="inlineStr">
        <is>
          <t>LLM</t>
        </is>
      </c>
      <c r="N539" t="inlineStr">
        <is>
          <t>2026-04-18</t>
        </is>
      </c>
      <c r="O539" t="inlineStr">
        <is>
          <t>AI</t>
        </is>
      </c>
    </row>
    <row r="540">
      <c r="A540" t="inlineStr">
        <is>
          <t>PT BISI International Tbk</t>
        </is>
      </c>
      <c r="B540" t="inlineStr">
        <is>
          <t>BISI_2023_AR.pdf</t>
        </is>
      </c>
      <c r="C540" t="n">
        <v>2023</v>
      </c>
      <c r="D540" t="inlineStr">
        <is>
          <t>Financial</t>
        </is>
      </c>
      <c r="E540" t="inlineStr">
        <is>
          <t>Total Current Liabilities</t>
        </is>
      </c>
      <c r="F540" t="n">
        <v>401461</v>
      </c>
      <c r="G540" t="inlineStr">
        <is>
          <t>IDR mn</t>
        </is>
      </c>
      <c r="H540" t="n">
        <v>86</v>
      </c>
      <c r="I540" t="inlineStr">
        <is>
          <t>Total Liabilitas Jangka Pendek 401,461</t>
        </is>
      </c>
      <c r="J540" t="inlineStr">
        <is>
          <t>High</t>
        </is>
      </c>
      <c r="M540" t="inlineStr">
        <is>
          <t>LLM</t>
        </is>
      </c>
      <c r="N540" t="inlineStr">
        <is>
          <t>2026-04-18</t>
        </is>
      </c>
      <c r="O540" t="inlineStr">
        <is>
          <t>AI</t>
        </is>
      </c>
    </row>
    <row r="541">
      <c r="A541" t="inlineStr">
        <is>
          <t>PT BISI International Tbk</t>
        </is>
      </c>
      <c r="B541" t="inlineStr">
        <is>
          <t>BISI_2023_AR.pdf</t>
        </is>
      </c>
      <c r="C541" t="n">
        <v>2023</v>
      </c>
      <c r="D541" t="inlineStr">
        <is>
          <t>Financial</t>
        </is>
      </c>
      <c r="E541" t="inlineStr">
        <is>
          <t>Total Liabilities</t>
        </is>
      </c>
      <c r="F541" t="n">
        <v>455124</v>
      </c>
      <c r="G541" t="inlineStr">
        <is>
          <t>IDR mn</t>
        </is>
      </c>
      <c r="H541" t="n">
        <v>3</v>
      </c>
      <c r="I541" t="inlineStr">
        <is>
          <t>Total Liabilitas 455,124</t>
        </is>
      </c>
      <c r="J541" t="inlineStr">
        <is>
          <t>High</t>
        </is>
      </c>
      <c r="M541" t="inlineStr">
        <is>
          <t>LLM</t>
        </is>
      </c>
      <c r="N541" t="inlineStr">
        <is>
          <t>2026-04-18</t>
        </is>
      </c>
      <c r="O541" t="inlineStr">
        <is>
          <t>AI</t>
        </is>
      </c>
    </row>
    <row r="542">
      <c r="A542" t="inlineStr">
        <is>
          <t>PT BISI International Tbk</t>
        </is>
      </c>
      <c r="B542" t="inlineStr">
        <is>
          <t>BISI_2023_AR.pdf</t>
        </is>
      </c>
      <c r="C542" t="n">
        <v>2023</v>
      </c>
      <c r="D542" t="inlineStr">
        <is>
          <t>Financial</t>
        </is>
      </c>
      <c r="E542" t="inlineStr">
        <is>
          <t>Total Equity</t>
        </is>
      </c>
      <c r="F542" t="n">
        <v>3446696</v>
      </c>
      <c r="G542" t="inlineStr">
        <is>
          <t>IDR mn</t>
        </is>
      </c>
      <c r="H542" t="n">
        <v>3</v>
      </c>
      <c r="I542" t="inlineStr">
        <is>
          <t>Total Ekuitas 3,446,696</t>
        </is>
      </c>
      <c r="J542" t="inlineStr">
        <is>
          <t>High</t>
        </is>
      </c>
      <c r="M542" t="inlineStr">
        <is>
          <t>LLM</t>
        </is>
      </c>
      <c r="N542" t="inlineStr">
        <is>
          <t>2026-04-18</t>
        </is>
      </c>
      <c r="O542" t="inlineStr">
        <is>
          <t>AI</t>
        </is>
      </c>
    </row>
    <row r="543">
      <c r="A543" t="inlineStr">
        <is>
          <t>PT BISI International Tbk</t>
        </is>
      </c>
      <c r="B543" t="inlineStr">
        <is>
          <t>BISI_2023_AR.pdf</t>
        </is>
      </c>
      <c r="C543" t="n">
        <v>2023</v>
      </c>
      <c r="D543" t="inlineStr">
        <is>
          <t>Financial</t>
        </is>
      </c>
      <c r="E543" t="inlineStr">
        <is>
          <t>ROA</t>
        </is>
      </c>
      <c r="F543" t="n">
        <v>0.15</v>
      </c>
      <c r="G543" t="inlineStr">
        <is>
          <t>%</t>
        </is>
      </c>
      <c r="H543" t="n">
        <v>3</v>
      </c>
      <c r="I543" t="inlineStr">
        <is>
          <t>Rasio Laba terhadap Total Aset 0.15</t>
        </is>
      </c>
      <c r="J543" t="inlineStr">
        <is>
          <t>High</t>
        </is>
      </c>
      <c r="M543" t="inlineStr">
        <is>
          <t>LLM</t>
        </is>
      </c>
      <c r="N543" t="inlineStr">
        <is>
          <t>2026-04-18</t>
        </is>
      </c>
      <c r="O543" t="inlineStr">
        <is>
          <t>AI</t>
        </is>
      </c>
    </row>
    <row r="544">
      <c r="A544" t="inlineStr">
        <is>
          <t>PT BISI International Tbk</t>
        </is>
      </c>
      <c r="B544" t="inlineStr">
        <is>
          <t>BISI_2023_AR.pdf</t>
        </is>
      </c>
      <c r="C544" t="n">
        <v>2023</v>
      </c>
      <c r="D544" t="inlineStr">
        <is>
          <t>Financial</t>
        </is>
      </c>
      <c r="E544" t="inlineStr">
        <is>
          <t>ROE</t>
        </is>
      </c>
      <c r="F544" t="n">
        <v>0.17</v>
      </c>
      <c r="G544" t="inlineStr">
        <is>
          <t>%</t>
        </is>
      </c>
      <c r="H544" t="n">
        <v>3</v>
      </c>
      <c r="I544" t="inlineStr">
        <is>
          <t>Rasio Laba terhadap Ekuitas 0.17</t>
        </is>
      </c>
      <c r="J544" t="inlineStr">
        <is>
          <t>High</t>
        </is>
      </c>
      <c r="M544" t="inlineStr">
        <is>
          <t>LLM</t>
        </is>
      </c>
      <c r="N544" t="inlineStr">
        <is>
          <t>2026-04-18</t>
        </is>
      </c>
      <c r="O544" t="inlineStr">
        <is>
          <t>AI</t>
        </is>
      </c>
    </row>
    <row r="545">
      <c r="A545" t="inlineStr">
        <is>
          <t>PT BISI International Tbk</t>
        </is>
      </c>
      <c r="B545" t="inlineStr">
        <is>
          <t>BISI_2023_AR.pdf</t>
        </is>
      </c>
      <c r="C545" t="n">
        <v>2023</v>
      </c>
      <c r="D545" t="inlineStr">
        <is>
          <t>Financial</t>
        </is>
      </c>
      <c r="E545" t="inlineStr">
        <is>
          <t>Net Margin</t>
        </is>
      </c>
      <c r="F545" t="n">
        <v>0.26</v>
      </c>
      <c r="G545" t="inlineStr">
        <is>
          <t>%</t>
        </is>
      </c>
      <c r="H545" t="n">
        <v>3</v>
      </c>
      <c r="I545" t="inlineStr">
        <is>
          <t>Rasio Laba terhadap Penjualan Neto 0.26</t>
        </is>
      </c>
      <c r="J545" t="inlineStr">
        <is>
          <t>High</t>
        </is>
      </c>
      <c r="M545" t="inlineStr">
        <is>
          <t>LLM</t>
        </is>
      </c>
      <c r="N545" t="inlineStr">
        <is>
          <t>2026-04-18</t>
        </is>
      </c>
      <c r="O545" t="inlineStr">
        <is>
          <t>AI</t>
        </is>
      </c>
    </row>
    <row r="546">
      <c r="A546" t="inlineStr">
        <is>
          <t>PT BISI International Tbk</t>
        </is>
      </c>
      <c r="B546" t="inlineStr">
        <is>
          <t>BISI_2023_AR.pdf</t>
        </is>
      </c>
      <c r="C546" t="n">
        <v>2023</v>
      </c>
      <c r="D546" t="inlineStr">
        <is>
          <t>Financial</t>
        </is>
      </c>
      <c r="E546" t="inlineStr">
        <is>
          <t>Current Ratio</t>
        </is>
      </c>
      <c r="F546" t="n">
        <v>7.34</v>
      </c>
      <c r="G546" t="inlineStr">
        <is>
          <t>x</t>
        </is>
      </c>
      <c r="H546" t="n">
        <v>3</v>
      </c>
      <c r="I546" t="inlineStr">
        <is>
          <t>Rasio Lancar 7.34</t>
        </is>
      </c>
      <c r="J546" t="inlineStr">
        <is>
          <t>High</t>
        </is>
      </c>
      <c r="M546" t="inlineStr">
        <is>
          <t>LLM</t>
        </is>
      </c>
      <c r="N546" t="inlineStr">
        <is>
          <t>2026-04-18</t>
        </is>
      </c>
      <c r="O546" t="inlineStr">
        <is>
          <t>AI</t>
        </is>
      </c>
    </row>
    <row r="547">
      <c r="A547" t="inlineStr">
        <is>
          <t>PT BISI International Tbk</t>
        </is>
      </c>
      <c r="B547" t="inlineStr">
        <is>
          <t>BISI_2023_AR.pdf</t>
        </is>
      </c>
      <c r="C547" t="n">
        <v>2023</v>
      </c>
      <c r="D547" t="inlineStr">
        <is>
          <t>Financial</t>
        </is>
      </c>
      <c r="E547" t="inlineStr">
        <is>
          <t>Debt/Equity</t>
        </is>
      </c>
      <c r="F547" t="n">
        <v>0.13</v>
      </c>
      <c r="G547" t="inlineStr">
        <is>
          <t>x</t>
        </is>
      </c>
      <c r="H547" t="n">
        <v>3</v>
      </c>
      <c r="I547" t="inlineStr">
        <is>
          <t>Rasio Utang terhadap Ekuitas 0.13</t>
        </is>
      </c>
      <c r="J547" t="inlineStr">
        <is>
          <t>High</t>
        </is>
      </c>
      <c r="M547" t="inlineStr">
        <is>
          <t>LLM</t>
        </is>
      </c>
      <c r="N547" t="inlineStr">
        <is>
          <t>2026-04-18</t>
        </is>
      </c>
      <c r="O547" t="inlineStr">
        <is>
          <t>AI</t>
        </is>
      </c>
    </row>
    <row r="548">
      <c r="A548" t="inlineStr">
        <is>
          <t>PT BISI International Tbk</t>
        </is>
      </c>
      <c r="B548" t="inlineStr">
        <is>
          <t>BISI_2023_AR.pdf</t>
        </is>
      </c>
      <c r="C548" t="n">
        <v>2023</v>
      </c>
      <c r="D548" t="inlineStr">
        <is>
          <t>Financial</t>
        </is>
      </c>
      <c r="E548" t="inlineStr">
        <is>
          <t>Debt/Assets</t>
        </is>
      </c>
      <c r="F548" t="n">
        <v>0.12</v>
      </c>
      <c r="G548" t="inlineStr">
        <is>
          <t>x</t>
        </is>
      </c>
      <c r="H548" t="n">
        <v>3</v>
      </c>
      <c r="I548" t="inlineStr">
        <is>
          <t>Rasio Utang terhadap Total Aset 0.12</t>
        </is>
      </c>
      <c r="J548" t="inlineStr">
        <is>
          <t>High</t>
        </is>
      </c>
      <c r="M548" t="inlineStr">
        <is>
          <t>LLM</t>
        </is>
      </c>
      <c r="N548" t="inlineStr">
        <is>
          <t>2026-04-18</t>
        </is>
      </c>
      <c r="O548" t="inlineStr">
        <is>
          <t>AI</t>
        </is>
      </c>
    </row>
    <row r="549">
      <c r="A549" t="inlineStr">
        <is>
          <t>PT BISI International Tbk</t>
        </is>
      </c>
      <c r="B549" t="inlineStr">
        <is>
          <t>BISI_2023_AR.pdf</t>
        </is>
      </c>
      <c r="C549" t="n">
        <v>2023</v>
      </c>
      <c r="D549" t="inlineStr">
        <is>
          <t>Financial</t>
        </is>
      </c>
      <c r="E549" t="inlineStr">
        <is>
          <t>Shares Outstanding</t>
        </is>
      </c>
      <c r="F549" t="n">
        <v>3000</v>
      </c>
      <c r="G549" t="inlineStr">
        <is>
          <t>million</t>
        </is>
      </c>
      <c r="H549" t="n">
        <v>3</v>
      </c>
      <c r="I549" t="inlineStr">
        <is>
          <t>Jumlah Saham Yang Beredar 3,000,000,000</t>
        </is>
      </c>
      <c r="J549" t="inlineStr">
        <is>
          <t>High</t>
        </is>
      </c>
      <c r="M549" t="inlineStr">
        <is>
          <t>LLM</t>
        </is>
      </c>
      <c r="N549" t="inlineStr">
        <is>
          <t>2026-04-18</t>
        </is>
      </c>
      <c r="O549" t="inlineStr">
        <is>
          <t>AI</t>
        </is>
      </c>
    </row>
    <row r="550">
      <c r="A550" t="inlineStr">
        <is>
          <t>PT BISI International Tbk</t>
        </is>
      </c>
      <c r="B550" t="inlineStr">
        <is>
          <t>BISI_2023_AR.pdf</t>
        </is>
      </c>
      <c r="C550" t="n">
        <v>2023</v>
      </c>
      <c r="D550" t="inlineStr">
        <is>
          <t>Financial</t>
        </is>
      </c>
      <c r="E550" t="inlineStr">
        <is>
          <t>Closing Price Q4 2023</t>
        </is>
      </c>
      <c r="F550" t="n">
        <v>1600</v>
      </c>
      <c r="G550" t="inlineStr">
        <is>
          <t>IDR</t>
        </is>
      </c>
      <c r="H550" t="n">
        <v>3</v>
      </c>
      <c r="I550" t="inlineStr">
        <is>
          <t>Harga Saham Penutupan Q4 2023 1,600</t>
        </is>
      </c>
      <c r="J550" t="inlineStr">
        <is>
          <t>High</t>
        </is>
      </c>
      <c r="M550" t="inlineStr">
        <is>
          <t>LLM</t>
        </is>
      </c>
      <c r="N550" t="inlineStr">
        <is>
          <t>2026-04-18</t>
        </is>
      </c>
      <c r="O550" t="inlineStr">
        <is>
          <t>AI</t>
        </is>
      </c>
    </row>
    <row r="551">
      <c r="A551" t="inlineStr">
        <is>
          <t>PT BISI International Tbk</t>
        </is>
      </c>
      <c r="B551" t="inlineStr">
        <is>
          <t>BISI_2023_AR.pdf</t>
        </is>
      </c>
      <c r="C551" t="n">
        <v>2023</v>
      </c>
      <c r="D551" t="inlineStr">
        <is>
          <t>Financial</t>
        </is>
      </c>
      <c r="E551" t="inlineStr">
        <is>
          <t>Market Cap Q4 2023</t>
        </is>
      </c>
      <c r="F551" t="n">
        <v>4800</v>
      </c>
      <c r="G551" t="inlineStr">
        <is>
          <t>IDR bn</t>
        </is>
      </c>
      <c r="H551" t="n">
        <v>3</v>
      </c>
      <c r="I551" t="inlineStr">
        <is>
          <t>Kapitalisasi Pasar 4,800,000,000,000</t>
        </is>
      </c>
      <c r="J551" t="inlineStr">
        <is>
          <t>High</t>
        </is>
      </c>
      <c r="M551" t="inlineStr">
        <is>
          <t>LLM</t>
        </is>
      </c>
      <c r="N551" t="inlineStr">
        <is>
          <t>2026-04-18</t>
        </is>
      </c>
      <c r="O551" t="inlineStr">
        <is>
          <t>AI</t>
        </is>
      </c>
    </row>
    <row r="552">
      <c r="A552" t="inlineStr">
        <is>
          <t>PT BISI International Tbk</t>
        </is>
      </c>
      <c r="B552" t="inlineStr">
        <is>
          <t>BISI_2023_AR.pdf</t>
        </is>
      </c>
      <c r="C552" t="n">
        <v>2023</v>
      </c>
      <c r="D552" t="inlineStr">
        <is>
          <t>Financial</t>
        </is>
      </c>
      <c r="E552" t="inlineStr">
        <is>
          <t>CFO</t>
        </is>
      </c>
      <c r="F552" t="n">
        <v>42910</v>
      </c>
      <c r="G552" t="inlineStr">
        <is>
          <t>IDR mn</t>
        </is>
      </c>
      <c r="H552" t="n">
        <v>90</v>
      </c>
      <c r="I552" t="inlineStr">
        <is>
          <t>Net Cash Provided by Operating Activities 42,910 (2023)</t>
        </is>
      </c>
      <c r="J552" t="inlineStr">
        <is>
          <t>High</t>
        </is>
      </c>
      <c r="M552" t="inlineStr">
        <is>
          <t>LLM</t>
        </is>
      </c>
      <c r="N552" t="inlineStr">
        <is>
          <t>2026-04-18</t>
        </is>
      </c>
      <c r="O552" t="inlineStr">
        <is>
          <t>AI</t>
        </is>
      </c>
    </row>
    <row r="553">
      <c r="A553" t="inlineStr">
        <is>
          <t>PT BISI International Tbk</t>
        </is>
      </c>
      <c r="B553" t="inlineStr">
        <is>
          <t>BISI_2023_AR.pdf</t>
        </is>
      </c>
      <c r="C553" t="n">
        <v>2023</v>
      </c>
      <c r="D553" t="inlineStr">
        <is>
          <t>Financial</t>
        </is>
      </c>
      <c r="E553" t="inlineStr">
        <is>
          <t>Capex (Fixed Asset Acquisition)</t>
        </is>
      </c>
      <c r="F553" t="n">
        <v>254930</v>
      </c>
      <c r="G553" t="inlineStr">
        <is>
          <t>IDR mn</t>
        </is>
      </c>
      <c r="H553" t="n">
        <v>90</v>
      </c>
      <c r="I553" t="inlineStr">
        <is>
          <t>Perolehan aset tetap (254,930) in 2023</t>
        </is>
      </c>
      <c r="J553" t="inlineStr">
        <is>
          <t>High</t>
        </is>
      </c>
      <c r="M553" t="inlineStr">
        <is>
          <t>LLM</t>
        </is>
      </c>
      <c r="N553" t="inlineStr">
        <is>
          <t>2026-04-18</t>
        </is>
      </c>
      <c r="O553" t="inlineStr">
        <is>
          <t>AI</t>
        </is>
      </c>
    </row>
    <row r="554">
      <c r="A554" t="inlineStr">
        <is>
          <t>PT BISI International Tbk</t>
        </is>
      </c>
      <c r="B554" t="inlineStr">
        <is>
          <t>BISI_2023_AR.pdf</t>
        </is>
      </c>
      <c r="C554" t="n">
        <v>2023</v>
      </c>
      <c r="D554" t="inlineStr">
        <is>
          <t>Financial</t>
        </is>
      </c>
      <c r="E554" t="inlineStr">
        <is>
          <t>Dividend Paid in 2023</t>
        </is>
      </c>
      <c r="F554" t="n">
        <v>204000</v>
      </c>
      <c r="G554" t="inlineStr">
        <is>
          <t>IDR mn</t>
        </is>
      </c>
      <c r="H554" t="n">
        <v>90</v>
      </c>
      <c r="I554" t="inlineStr">
        <is>
          <t>Pembayaran dividen tunai (204,000) in 2023</t>
        </is>
      </c>
      <c r="J554" t="inlineStr">
        <is>
          <t>High</t>
        </is>
      </c>
      <c r="M554" t="inlineStr">
        <is>
          <t>LLM</t>
        </is>
      </c>
      <c r="N554" t="inlineStr">
        <is>
          <t>2026-04-18</t>
        </is>
      </c>
      <c r="O554" t="inlineStr">
        <is>
          <t>AI</t>
        </is>
      </c>
    </row>
    <row r="555">
      <c r="A555" t="inlineStr">
        <is>
          <t>PT BISI International Tbk</t>
        </is>
      </c>
      <c r="B555" t="inlineStr">
        <is>
          <t>BISI_2023_AR.pdf</t>
        </is>
      </c>
      <c r="C555" t="n">
        <v>2023</v>
      </c>
      <c r="D555" t="inlineStr">
        <is>
          <t>Financial</t>
        </is>
      </c>
      <c r="E555" t="inlineStr">
        <is>
          <t>Additional Paid-in Capital</t>
        </is>
      </c>
      <c r="F555" t="n">
        <v>99910</v>
      </c>
      <c r="G555" t="inlineStr">
        <is>
          <t>IDR mn</t>
        </is>
      </c>
      <c r="H555" t="n">
        <v>86</v>
      </c>
      <c r="I555" t="inlineStr">
        <is>
          <t>Tambahan modal disetor 99,910</t>
        </is>
      </c>
      <c r="J555" t="inlineStr">
        <is>
          <t>High</t>
        </is>
      </c>
      <c r="M555" t="inlineStr">
        <is>
          <t>LLM</t>
        </is>
      </c>
      <c r="N555" t="inlineStr">
        <is>
          <t>2026-04-18</t>
        </is>
      </c>
      <c r="O555" t="inlineStr">
        <is>
          <t>AI</t>
        </is>
      </c>
    </row>
    <row r="556">
      <c r="A556" t="inlineStr">
        <is>
          <t>PT BISI International Tbk</t>
        </is>
      </c>
      <c r="B556" t="inlineStr">
        <is>
          <t>BISI_2024_AR.pdf</t>
        </is>
      </c>
      <c r="C556" t="n">
        <v>2024</v>
      </c>
      <c r="D556" t="inlineStr">
        <is>
          <t>Company</t>
        </is>
      </c>
      <c r="E556" t="inlineStr">
        <is>
          <t>Company Name</t>
        </is>
      </c>
      <c r="F556" t="inlineStr">
        <is>
          <t>PT BISI International Tbk</t>
        </is>
      </c>
      <c r="G556" t="inlineStr">
        <is>
          <t>text</t>
        </is>
      </c>
      <c r="H556" t="n">
        <v>1</v>
      </c>
      <c r="I556" t="inlineStr">
        <is>
          <t>PT BISI INTERNATIONAL Tbk, 2024 Annual Report</t>
        </is>
      </c>
      <c r="J556" t="inlineStr">
        <is>
          <t>High</t>
        </is>
      </c>
      <c r="M556" t="inlineStr">
        <is>
          <t>LLM</t>
        </is>
      </c>
      <c r="N556" t="inlineStr">
        <is>
          <t>2026-04-18</t>
        </is>
      </c>
      <c r="O556" t="inlineStr">
        <is>
          <t>AI</t>
        </is>
      </c>
    </row>
    <row r="557">
      <c r="A557" t="inlineStr">
        <is>
          <t>PT BISI International Tbk</t>
        </is>
      </c>
      <c r="B557" t="inlineStr">
        <is>
          <t>BISI_2024_AR.pdf</t>
        </is>
      </c>
      <c r="C557" t="n">
        <v>2024</v>
      </c>
      <c r="D557" t="inlineStr">
        <is>
          <t>Company</t>
        </is>
      </c>
      <c r="E557" t="inlineStr">
        <is>
          <t>Ticker</t>
        </is>
      </c>
      <c r="F557" t="inlineStr">
        <is>
          <t>BISI</t>
        </is>
      </c>
      <c r="G557" t="inlineStr">
        <is>
          <t>text</t>
        </is>
      </c>
      <c r="H557" t="n">
        <v>0</v>
      </c>
      <c r="I557" t="inlineStr">
        <is>
          <t>Filename</t>
        </is>
      </c>
      <c r="J557" t="inlineStr">
        <is>
          <t>High</t>
        </is>
      </c>
      <c r="M557" t="inlineStr">
        <is>
          <t>LLM</t>
        </is>
      </c>
      <c r="N557" t="inlineStr">
        <is>
          <t>2026-04-18</t>
        </is>
      </c>
      <c r="O557" t="inlineStr">
        <is>
          <t>AI</t>
        </is>
      </c>
    </row>
    <row r="558">
      <c r="A558" t="inlineStr">
        <is>
          <t>PT BISI International Tbk</t>
        </is>
      </c>
      <c r="B558" t="inlineStr">
        <is>
          <t>BISI_2024_AR.pdf</t>
        </is>
      </c>
      <c r="C558" t="n">
        <v>2024</v>
      </c>
      <c r="D558" t="inlineStr">
        <is>
          <t>Company</t>
        </is>
      </c>
      <c r="E558" t="inlineStr">
        <is>
          <t>Report Year</t>
        </is>
      </c>
      <c r="F558" t="n">
        <v>2024</v>
      </c>
      <c r="G558" t="inlineStr">
        <is>
          <t>year</t>
        </is>
      </c>
      <c r="H558" t="n">
        <v>1</v>
      </c>
      <c r="I558" t="inlineStr">
        <is>
          <t>2024 Annual Report</t>
        </is>
      </c>
      <c r="J558" t="inlineStr">
        <is>
          <t>High</t>
        </is>
      </c>
      <c r="M558" t="inlineStr">
        <is>
          <t>LLM</t>
        </is>
      </c>
      <c r="N558" t="inlineStr">
        <is>
          <t>2026-04-18</t>
        </is>
      </c>
      <c r="O558" t="inlineStr">
        <is>
          <t>AI</t>
        </is>
      </c>
    </row>
    <row r="559">
      <c r="A559" t="inlineStr">
        <is>
          <t>PT BISI International Tbk</t>
        </is>
      </c>
      <c r="B559" t="inlineStr">
        <is>
          <t>BISI_2024_AR.pdf</t>
        </is>
      </c>
      <c r="C559" t="n">
        <v>2024</v>
      </c>
      <c r="D559" t="inlineStr">
        <is>
          <t>Company</t>
        </is>
      </c>
      <c r="E559" t="inlineStr">
        <is>
          <t>Primary Business</t>
        </is>
      </c>
      <c r="F559" t="inlineStr">
        <is>
          <t>Hybrid seeds + pesticides + fertilizers (non-palm)</t>
        </is>
      </c>
      <c r="G559" t="inlineStr">
        <is>
          <t>text</t>
        </is>
      </c>
      <c r="H559" t="n">
        <v>14</v>
      </c>
      <c r="I559" t="inlineStr">
        <is>
          <t>main products: corn seeds, horticultural seeds, paddy seeds, pesticides and fertilizers</t>
        </is>
      </c>
      <c r="J559" t="inlineStr">
        <is>
          <t>High</t>
        </is>
      </c>
      <c r="M559" t="inlineStr">
        <is>
          <t>LLM</t>
        </is>
      </c>
      <c r="N559" t="inlineStr">
        <is>
          <t>2026-04-18</t>
        </is>
      </c>
      <c r="O559" t="inlineStr">
        <is>
          <t>AI</t>
        </is>
      </c>
    </row>
    <row r="560">
      <c r="A560" t="inlineStr">
        <is>
          <t>PT BISI International Tbk</t>
        </is>
      </c>
      <c r="B560" t="inlineStr">
        <is>
          <t>BISI_2024_AR.pdf</t>
        </is>
      </c>
      <c r="C560" t="n">
        <v>2024</v>
      </c>
      <c r="D560" t="inlineStr">
        <is>
          <t>Company</t>
        </is>
      </c>
      <c r="E560" t="inlineStr">
        <is>
          <t>Controlling Shareholder</t>
        </is>
      </c>
      <c r="F560" t="inlineStr">
        <is>
          <t>Jiaravanon family (Charoen Pokphand group)</t>
        </is>
      </c>
      <c r="G560" t="inlineStr">
        <is>
          <t>text</t>
        </is>
      </c>
      <c r="H560" t="n">
        <v>22</v>
      </c>
      <c r="I560" t="inlineStr">
        <is>
          <t>Pemegang saham pengendali Perseroan adalah Keluarga Jiaravanon</t>
        </is>
      </c>
      <c r="J560" t="inlineStr">
        <is>
          <t>High</t>
        </is>
      </c>
      <c r="M560" t="inlineStr">
        <is>
          <t>LLM</t>
        </is>
      </c>
      <c r="N560" t="inlineStr">
        <is>
          <t>2026-04-18</t>
        </is>
      </c>
      <c r="O560" t="inlineStr">
        <is>
          <t>AI</t>
        </is>
      </c>
    </row>
    <row r="561">
      <c r="A561" t="inlineStr">
        <is>
          <t>PT BISI International Tbk</t>
        </is>
      </c>
      <c r="B561" t="inlineStr">
        <is>
          <t>BISI_2024_AR.pdf</t>
        </is>
      </c>
      <c r="C561" t="n">
        <v>2024</v>
      </c>
      <c r="D561" t="inlineStr">
        <is>
          <t>Financial</t>
        </is>
      </c>
      <c r="E561" t="inlineStr">
        <is>
          <t>Net Sales 2024</t>
        </is>
      </c>
      <c r="F561" t="n">
        <v>1367926</v>
      </c>
      <c r="G561" t="inlineStr">
        <is>
          <t>IDR mn</t>
        </is>
      </c>
      <c r="H561" t="n">
        <v>87</v>
      </c>
      <c r="I561" t="inlineStr">
        <is>
          <t>Penjualan neto 1,367,926 (2024)</t>
        </is>
      </c>
      <c r="J561" t="inlineStr">
        <is>
          <t>High</t>
        </is>
      </c>
      <c r="M561" t="inlineStr">
        <is>
          <t>LLM</t>
        </is>
      </c>
      <c r="N561" t="inlineStr">
        <is>
          <t>2026-04-18</t>
        </is>
      </c>
      <c r="O561" t="inlineStr">
        <is>
          <t>AI</t>
        </is>
      </c>
    </row>
    <row r="562">
      <c r="A562" t="inlineStr">
        <is>
          <t>PT BISI International Tbk</t>
        </is>
      </c>
      <c r="B562" t="inlineStr">
        <is>
          <t>BISI_2024_AR.pdf</t>
        </is>
      </c>
      <c r="C562" t="n">
        <v>2024</v>
      </c>
      <c r="D562" t="inlineStr">
        <is>
          <t>Financial</t>
        </is>
      </c>
      <c r="E562" t="inlineStr">
        <is>
          <t>Revenue (IDR bn)</t>
        </is>
      </c>
      <c r="F562" t="n">
        <v>1368</v>
      </c>
      <c r="G562" t="inlineStr">
        <is>
          <t>IDR bn</t>
        </is>
      </c>
      <c r="H562" t="n">
        <v>87</v>
      </c>
      <c r="I562" t="inlineStr">
        <is>
          <t>Rp 1,367,926 mn = Rp 1,368 bn</t>
        </is>
      </c>
      <c r="J562" t="inlineStr">
        <is>
          <t>High</t>
        </is>
      </c>
      <c r="M562" t="inlineStr">
        <is>
          <t>LLM</t>
        </is>
      </c>
      <c r="N562" t="inlineStr">
        <is>
          <t>2026-04-18</t>
        </is>
      </c>
      <c r="O562" t="inlineStr">
        <is>
          <t>AI</t>
        </is>
      </c>
    </row>
    <row r="563">
      <c r="A563" t="inlineStr">
        <is>
          <t>PT BISI International Tbk</t>
        </is>
      </c>
      <c r="B563" t="inlineStr">
        <is>
          <t>BISI_2024_AR.pdf</t>
        </is>
      </c>
      <c r="C563" t="n">
        <v>2024</v>
      </c>
      <c r="D563" t="inlineStr">
        <is>
          <t>Financial</t>
        </is>
      </c>
      <c r="E563" t="inlineStr">
        <is>
          <t>COGS</t>
        </is>
      </c>
      <c r="F563" t="n">
        <v>-742939</v>
      </c>
      <c r="G563" t="inlineStr">
        <is>
          <t>IDR mn</t>
        </is>
      </c>
      <c r="H563" t="n">
        <v>87</v>
      </c>
      <c r="I563" t="inlineStr">
        <is>
          <t>Beban pokok penjualan (742,939)</t>
        </is>
      </c>
      <c r="J563" t="inlineStr">
        <is>
          <t>High</t>
        </is>
      </c>
      <c r="M563" t="inlineStr">
        <is>
          <t>LLM</t>
        </is>
      </c>
      <c r="N563" t="inlineStr">
        <is>
          <t>2026-04-18</t>
        </is>
      </c>
      <c r="O563" t="inlineStr">
        <is>
          <t>AI</t>
        </is>
      </c>
    </row>
    <row r="564">
      <c r="A564" t="inlineStr">
        <is>
          <t>PT BISI International Tbk</t>
        </is>
      </c>
      <c r="B564" t="inlineStr">
        <is>
          <t>BISI_2024_AR.pdf</t>
        </is>
      </c>
      <c r="C564" t="n">
        <v>2024</v>
      </c>
      <c r="D564" t="inlineStr">
        <is>
          <t>Financial</t>
        </is>
      </c>
      <c r="E564" t="inlineStr">
        <is>
          <t>Gross Profit</t>
        </is>
      </c>
      <c r="F564" t="n">
        <v>624987</v>
      </c>
      <c r="G564" t="inlineStr">
        <is>
          <t>IDR mn</t>
        </is>
      </c>
      <c r="H564" t="n">
        <v>87</v>
      </c>
      <c r="I564" t="inlineStr">
        <is>
          <t>Laba bruto 624,987</t>
        </is>
      </c>
      <c r="J564" t="inlineStr">
        <is>
          <t>High</t>
        </is>
      </c>
      <c r="M564" t="inlineStr">
        <is>
          <t>LLM</t>
        </is>
      </c>
      <c r="N564" t="inlineStr">
        <is>
          <t>2026-04-18</t>
        </is>
      </c>
      <c r="O564" t="inlineStr">
        <is>
          <t>AI</t>
        </is>
      </c>
    </row>
    <row r="565">
      <c r="A565" t="inlineStr">
        <is>
          <t>PT BISI International Tbk</t>
        </is>
      </c>
      <c r="B565" t="inlineStr">
        <is>
          <t>BISI_2024_AR.pdf</t>
        </is>
      </c>
      <c r="C565" t="n">
        <v>2024</v>
      </c>
      <c r="D565" t="inlineStr">
        <is>
          <t>Financial</t>
        </is>
      </c>
      <c r="E565" t="inlineStr">
        <is>
          <t>Selling Expenses</t>
        </is>
      </c>
      <c r="F565" t="n">
        <v>-233943</v>
      </c>
      <c r="G565" t="inlineStr">
        <is>
          <t>IDR mn</t>
        </is>
      </c>
      <c r="H565" t="n">
        <v>87</v>
      </c>
      <c r="I565" t="inlineStr">
        <is>
          <t>Beban penjualan (233,943)</t>
        </is>
      </c>
      <c r="J565" t="inlineStr">
        <is>
          <t>High</t>
        </is>
      </c>
      <c r="M565" t="inlineStr">
        <is>
          <t>LLM</t>
        </is>
      </c>
      <c r="N565" t="inlineStr">
        <is>
          <t>2026-04-18</t>
        </is>
      </c>
      <c r="O565" t="inlineStr">
        <is>
          <t>AI</t>
        </is>
      </c>
    </row>
    <row r="566">
      <c r="A566" t="inlineStr">
        <is>
          <t>PT BISI International Tbk</t>
        </is>
      </c>
      <c r="B566" t="inlineStr">
        <is>
          <t>BISI_2024_AR.pdf</t>
        </is>
      </c>
      <c r="C566" t="n">
        <v>2024</v>
      </c>
      <c r="D566" t="inlineStr">
        <is>
          <t>Financial</t>
        </is>
      </c>
      <c r="E566" t="inlineStr">
        <is>
          <t>G&amp;A Expenses</t>
        </is>
      </c>
      <c r="F566" t="n">
        <v>-82054</v>
      </c>
      <c r="G566" t="inlineStr">
        <is>
          <t>IDR mn</t>
        </is>
      </c>
      <c r="H566" t="n">
        <v>87</v>
      </c>
      <c r="I566" t="inlineStr">
        <is>
          <t>Beban umum dan administrasi (82,054)</t>
        </is>
      </c>
      <c r="J566" t="inlineStr">
        <is>
          <t>High</t>
        </is>
      </c>
      <c r="M566" t="inlineStr">
        <is>
          <t>LLM</t>
        </is>
      </c>
      <c r="N566" t="inlineStr">
        <is>
          <t>2026-04-18</t>
        </is>
      </c>
      <c r="O566" t="inlineStr">
        <is>
          <t>AI</t>
        </is>
      </c>
    </row>
    <row r="567">
      <c r="A567" t="inlineStr">
        <is>
          <t>PT BISI International Tbk</t>
        </is>
      </c>
      <c r="B567" t="inlineStr">
        <is>
          <t>BISI_2024_AR.pdf</t>
        </is>
      </c>
      <c r="C567" t="n">
        <v>2024</v>
      </c>
      <c r="D567" t="inlineStr">
        <is>
          <t>Financial</t>
        </is>
      </c>
      <c r="E567" t="inlineStr">
        <is>
          <t>R&amp;D Expenses</t>
        </is>
      </c>
      <c r="F567" t="n">
        <v>-100847</v>
      </c>
      <c r="G567" t="inlineStr">
        <is>
          <t>IDR mn</t>
        </is>
      </c>
      <c r="H567" t="n">
        <v>87</v>
      </c>
      <c r="I567" t="inlineStr">
        <is>
          <t>Beban penelitian dan pengembangan (100,847)</t>
        </is>
      </c>
      <c r="J567" t="inlineStr">
        <is>
          <t>High</t>
        </is>
      </c>
      <c r="M567" t="inlineStr">
        <is>
          <t>LLM</t>
        </is>
      </c>
      <c r="N567" t="inlineStr">
        <is>
          <t>2026-04-18</t>
        </is>
      </c>
      <c r="O567" t="inlineStr">
        <is>
          <t>AI</t>
        </is>
      </c>
    </row>
    <row r="568">
      <c r="A568" t="inlineStr">
        <is>
          <t>PT BISI International Tbk</t>
        </is>
      </c>
      <c r="B568" t="inlineStr">
        <is>
          <t>BISI_2024_AR.pdf</t>
        </is>
      </c>
      <c r="C568" t="n">
        <v>2024</v>
      </c>
      <c r="D568" t="inlineStr">
        <is>
          <t>Financial</t>
        </is>
      </c>
      <c r="E568" t="inlineStr">
        <is>
          <t>Operating Profit</t>
        </is>
      </c>
      <c r="F568" t="n">
        <v>206301</v>
      </c>
      <c r="G568" t="inlineStr">
        <is>
          <t>IDR mn</t>
        </is>
      </c>
      <c r="H568" t="n">
        <v>87</v>
      </c>
      <c r="I568" t="inlineStr">
        <is>
          <t>Laba usaha 206,301</t>
        </is>
      </c>
      <c r="J568" t="inlineStr">
        <is>
          <t>High</t>
        </is>
      </c>
      <c r="M568" t="inlineStr">
        <is>
          <t>LLM</t>
        </is>
      </c>
      <c r="N568" t="inlineStr">
        <is>
          <t>2026-04-18</t>
        </is>
      </c>
      <c r="O568" t="inlineStr">
        <is>
          <t>AI</t>
        </is>
      </c>
    </row>
    <row r="569">
      <c r="A569" t="inlineStr">
        <is>
          <t>PT BISI International Tbk</t>
        </is>
      </c>
      <c r="B569" t="inlineStr">
        <is>
          <t>BISI_2024_AR.pdf</t>
        </is>
      </c>
      <c r="C569" t="n">
        <v>2024</v>
      </c>
      <c r="D569" t="inlineStr">
        <is>
          <t>Financial</t>
        </is>
      </c>
      <c r="E569" t="inlineStr">
        <is>
          <t>Finance Income</t>
        </is>
      </c>
      <c r="F569" t="n">
        <v>28914</v>
      </c>
      <c r="G569" t="inlineStr">
        <is>
          <t>IDR mn</t>
        </is>
      </c>
      <c r="H569" t="n">
        <v>87</v>
      </c>
      <c r="I569" t="inlineStr">
        <is>
          <t>Penghasilan keuangan 28,914</t>
        </is>
      </c>
      <c r="J569" t="inlineStr">
        <is>
          <t>High</t>
        </is>
      </c>
      <c r="M569" t="inlineStr">
        <is>
          <t>LLM</t>
        </is>
      </c>
      <c r="N569" t="inlineStr">
        <is>
          <t>2026-04-18</t>
        </is>
      </c>
      <c r="O569" t="inlineStr">
        <is>
          <t>AI</t>
        </is>
      </c>
    </row>
    <row r="570">
      <c r="A570" t="inlineStr">
        <is>
          <t>PT BISI International Tbk</t>
        </is>
      </c>
      <c r="B570" t="inlineStr">
        <is>
          <t>BISI_2024_AR.pdf</t>
        </is>
      </c>
      <c r="C570" t="n">
        <v>2024</v>
      </c>
      <c r="D570" t="inlineStr">
        <is>
          <t>Financial</t>
        </is>
      </c>
      <c r="E570" t="inlineStr">
        <is>
          <t>Profit before Tax</t>
        </is>
      </c>
      <c r="F570" t="n">
        <v>234980</v>
      </c>
      <c r="G570" t="inlineStr">
        <is>
          <t>IDR mn</t>
        </is>
      </c>
      <c r="H570" t="n">
        <v>87</v>
      </c>
      <c r="I570" t="inlineStr">
        <is>
          <t>Laba sebelum pajak 234,980</t>
        </is>
      </c>
      <c r="J570" t="inlineStr">
        <is>
          <t>High</t>
        </is>
      </c>
      <c r="M570" t="inlineStr">
        <is>
          <t>LLM</t>
        </is>
      </c>
      <c r="N570" t="inlineStr">
        <is>
          <t>2026-04-18</t>
        </is>
      </c>
      <c r="O570" t="inlineStr">
        <is>
          <t>AI</t>
        </is>
      </c>
    </row>
    <row r="571">
      <c r="A571" t="inlineStr">
        <is>
          <t>PT BISI International Tbk</t>
        </is>
      </c>
      <c r="B571" t="inlineStr">
        <is>
          <t>BISI_2024_AR.pdf</t>
        </is>
      </c>
      <c r="C571" t="n">
        <v>2024</v>
      </c>
      <c r="D571" t="inlineStr">
        <is>
          <t>Financial</t>
        </is>
      </c>
      <c r="E571" t="inlineStr">
        <is>
          <t>Tax Expense</t>
        </is>
      </c>
      <c r="F571" t="n">
        <v>-56340</v>
      </c>
      <c r="G571" t="inlineStr">
        <is>
          <t>IDR mn</t>
        </is>
      </c>
      <c r="H571" t="n">
        <v>87</v>
      </c>
      <c r="I571" t="inlineStr">
        <is>
          <t>Beban pajak (56,340)</t>
        </is>
      </c>
      <c r="J571" t="inlineStr">
        <is>
          <t>High</t>
        </is>
      </c>
      <c r="M571" t="inlineStr">
        <is>
          <t>LLM</t>
        </is>
      </c>
      <c r="N571" t="inlineStr">
        <is>
          <t>2026-04-18</t>
        </is>
      </c>
      <c r="O571" t="inlineStr">
        <is>
          <t>AI</t>
        </is>
      </c>
    </row>
    <row r="572">
      <c r="A572" t="inlineStr">
        <is>
          <t>PT BISI International Tbk</t>
        </is>
      </c>
      <c r="B572" t="inlineStr">
        <is>
          <t>BISI_2024_AR.pdf</t>
        </is>
      </c>
      <c r="C572" t="n">
        <v>2024</v>
      </c>
      <c r="D572" t="inlineStr">
        <is>
          <t>Financial</t>
        </is>
      </c>
      <c r="E572" t="inlineStr">
        <is>
          <t>Net Profit</t>
        </is>
      </c>
      <c r="F572" t="n">
        <v>178640</v>
      </c>
      <c r="G572" t="inlineStr">
        <is>
          <t>IDR mn</t>
        </is>
      </c>
      <c r="H572" t="n">
        <v>87</v>
      </c>
      <c r="I572" t="inlineStr">
        <is>
          <t>Laba tahun berjalan 178,640</t>
        </is>
      </c>
      <c r="J572" t="inlineStr">
        <is>
          <t>High</t>
        </is>
      </c>
      <c r="M572" t="inlineStr">
        <is>
          <t>LLM</t>
        </is>
      </c>
      <c r="N572" t="inlineStr">
        <is>
          <t>2026-04-18</t>
        </is>
      </c>
      <c r="O572" t="inlineStr">
        <is>
          <t>AI</t>
        </is>
      </c>
    </row>
    <row r="573">
      <c r="A573" t="inlineStr">
        <is>
          <t>PT BISI International Tbk</t>
        </is>
      </c>
      <c r="B573" t="inlineStr">
        <is>
          <t>BISI_2024_AR.pdf</t>
        </is>
      </c>
      <c r="C573" t="n">
        <v>2024</v>
      </c>
      <c r="D573" t="inlineStr">
        <is>
          <t>Financial</t>
        </is>
      </c>
      <c r="E573" t="inlineStr">
        <is>
          <t>Profit Attributable to Parent</t>
        </is>
      </c>
      <c r="F573" t="n">
        <v>178507</v>
      </c>
      <c r="G573" t="inlineStr">
        <is>
          <t>IDR mn</t>
        </is>
      </c>
      <c r="H573" t="n">
        <v>88</v>
      </c>
      <c r="I573" t="inlineStr">
        <is>
          <t>Pemilik entitas induk 178,507</t>
        </is>
      </c>
      <c r="J573" t="inlineStr">
        <is>
          <t>High</t>
        </is>
      </c>
      <c r="M573" t="inlineStr">
        <is>
          <t>LLM</t>
        </is>
      </c>
      <c r="N573" t="inlineStr">
        <is>
          <t>2026-04-18</t>
        </is>
      </c>
      <c r="O573" t="inlineStr">
        <is>
          <t>AI</t>
        </is>
      </c>
    </row>
    <row r="574">
      <c r="A574" t="inlineStr">
        <is>
          <t>PT BISI International Tbk</t>
        </is>
      </c>
      <c r="B574" t="inlineStr">
        <is>
          <t>BISI_2024_AR.pdf</t>
        </is>
      </c>
      <c r="C574" t="n">
        <v>2024</v>
      </c>
      <c r="D574" t="inlineStr">
        <is>
          <t>Financial</t>
        </is>
      </c>
      <c r="E574" t="inlineStr">
        <is>
          <t>EPS</t>
        </is>
      </c>
      <c r="F574" t="n">
        <v>59.5</v>
      </c>
      <c r="G574" t="inlineStr">
        <is>
          <t>IDR/share</t>
        </is>
      </c>
      <c r="H574" t="n">
        <v>88</v>
      </c>
      <c r="I574" t="inlineStr">
        <is>
          <t>Laba per saham 59.50 (2024)</t>
        </is>
      </c>
      <c r="J574" t="inlineStr">
        <is>
          <t>High</t>
        </is>
      </c>
      <c r="M574" t="inlineStr">
        <is>
          <t>LLM</t>
        </is>
      </c>
      <c r="N574" t="inlineStr">
        <is>
          <t>2026-04-18</t>
        </is>
      </c>
      <c r="O574" t="inlineStr">
        <is>
          <t>AI</t>
        </is>
      </c>
    </row>
    <row r="575">
      <c r="A575" t="inlineStr">
        <is>
          <t>PT BISI International Tbk</t>
        </is>
      </c>
      <c r="B575" t="inlineStr">
        <is>
          <t>BISI_2024_AR.pdf</t>
        </is>
      </c>
      <c r="C575" t="n">
        <v>2024</v>
      </c>
      <c r="D575" t="inlineStr">
        <is>
          <t>Financial</t>
        </is>
      </c>
      <c r="E575" t="inlineStr">
        <is>
          <t>Cash &amp; equivalents</t>
        </is>
      </c>
      <c r="F575" t="n">
        <v>567673</v>
      </c>
      <c r="G575" t="inlineStr">
        <is>
          <t>IDR mn</t>
        </is>
      </c>
      <c r="H575" t="n">
        <v>85</v>
      </c>
      <c r="I575" t="inlineStr">
        <is>
          <t>Kas dan setara kas 567,673 (2024)</t>
        </is>
      </c>
      <c r="J575" t="inlineStr">
        <is>
          <t>High</t>
        </is>
      </c>
      <c r="M575" t="inlineStr">
        <is>
          <t>LLM</t>
        </is>
      </c>
      <c r="N575" t="inlineStr">
        <is>
          <t>2026-04-18</t>
        </is>
      </c>
      <c r="O575" t="inlineStr">
        <is>
          <t>AI</t>
        </is>
      </c>
    </row>
    <row r="576">
      <c r="A576" t="inlineStr">
        <is>
          <t>PT BISI International Tbk</t>
        </is>
      </c>
      <c r="B576" t="inlineStr">
        <is>
          <t>BISI_2024_AR.pdf</t>
        </is>
      </c>
      <c r="C576" t="n">
        <v>2024</v>
      </c>
      <c r="D576" t="inlineStr">
        <is>
          <t>Financial</t>
        </is>
      </c>
      <c r="E576" t="inlineStr">
        <is>
          <t>Trade Receivables</t>
        </is>
      </c>
      <c r="F576" t="n">
        <v>488553</v>
      </c>
      <c r="G576" t="inlineStr">
        <is>
          <t>IDR mn</t>
        </is>
      </c>
      <c r="H576" t="n">
        <v>85</v>
      </c>
      <c r="I576" t="inlineStr">
        <is>
          <t>Piutang Usaha 488,553</t>
        </is>
      </c>
      <c r="J576" t="inlineStr">
        <is>
          <t>High</t>
        </is>
      </c>
      <c r="M576" t="inlineStr">
        <is>
          <t>LLM</t>
        </is>
      </c>
      <c r="N576" t="inlineStr">
        <is>
          <t>2026-04-18</t>
        </is>
      </c>
      <c r="O576" t="inlineStr">
        <is>
          <t>AI</t>
        </is>
      </c>
    </row>
    <row r="577">
      <c r="A577" t="inlineStr">
        <is>
          <t>PT BISI International Tbk</t>
        </is>
      </c>
      <c r="B577" t="inlineStr">
        <is>
          <t>BISI_2024_AR.pdf</t>
        </is>
      </c>
      <c r="C577" t="n">
        <v>2024</v>
      </c>
      <c r="D577" t="inlineStr">
        <is>
          <t>Financial</t>
        </is>
      </c>
      <c r="E577" t="inlineStr">
        <is>
          <t>Inventories</t>
        </is>
      </c>
      <c r="F577" t="n">
        <v>1473796</v>
      </c>
      <c r="G577" t="inlineStr">
        <is>
          <t>IDR mn</t>
        </is>
      </c>
      <c r="H577" t="n">
        <v>85</v>
      </c>
      <c r="I577" t="inlineStr">
        <is>
          <t>Persediaan 1,473,796</t>
        </is>
      </c>
      <c r="J577" t="inlineStr">
        <is>
          <t>High</t>
        </is>
      </c>
      <c r="M577" t="inlineStr">
        <is>
          <t>LLM</t>
        </is>
      </c>
      <c r="N577" t="inlineStr">
        <is>
          <t>2026-04-18</t>
        </is>
      </c>
      <c r="O577" t="inlineStr">
        <is>
          <t>AI</t>
        </is>
      </c>
    </row>
    <row r="578">
      <c r="A578" t="inlineStr">
        <is>
          <t>PT BISI International Tbk</t>
        </is>
      </c>
      <c r="B578" t="inlineStr">
        <is>
          <t>BISI_2024_AR.pdf</t>
        </is>
      </c>
      <c r="C578" t="n">
        <v>2024</v>
      </c>
      <c r="D578" t="inlineStr">
        <is>
          <t>Financial</t>
        </is>
      </c>
      <c r="E578" t="inlineStr">
        <is>
          <t>Total Current Assets</t>
        </is>
      </c>
      <c r="F578" t="n">
        <v>2572633</v>
      </c>
      <c r="G578" t="inlineStr">
        <is>
          <t>IDR mn</t>
        </is>
      </c>
      <c r="H578" t="n">
        <v>85</v>
      </c>
      <c r="I578" t="inlineStr">
        <is>
          <t>Total Aset Lancar 2,572,633</t>
        </is>
      </c>
      <c r="J578" t="inlineStr">
        <is>
          <t>High</t>
        </is>
      </c>
      <c r="M578" t="inlineStr">
        <is>
          <t>LLM</t>
        </is>
      </c>
      <c r="N578" t="inlineStr">
        <is>
          <t>2026-04-18</t>
        </is>
      </c>
      <c r="O578" t="inlineStr">
        <is>
          <t>AI</t>
        </is>
      </c>
    </row>
    <row r="579">
      <c r="A579" t="inlineStr">
        <is>
          <t>PT BISI International Tbk</t>
        </is>
      </c>
      <c r="B579" t="inlineStr">
        <is>
          <t>BISI_2024_AR.pdf</t>
        </is>
      </c>
      <c r="C579" t="n">
        <v>2024</v>
      </c>
      <c r="D579" t="inlineStr">
        <is>
          <t>Financial</t>
        </is>
      </c>
      <c r="E579" t="inlineStr">
        <is>
          <t>Fixed Assets</t>
        </is>
      </c>
      <c r="F579" t="n">
        <v>798721</v>
      </c>
      <c r="G579" t="inlineStr">
        <is>
          <t>IDR mn</t>
        </is>
      </c>
      <c r="H579" t="n">
        <v>85</v>
      </c>
      <c r="I579" t="inlineStr">
        <is>
          <t>Aset tetap 798,721</t>
        </is>
      </c>
      <c r="J579" t="inlineStr">
        <is>
          <t>High</t>
        </is>
      </c>
      <c r="M579" t="inlineStr">
        <is>
          <t>LLM</t>
        </is>
      </c>
      <c r="N579" t="inlineStr">
        <is>
          <t>2026-04-18</t>
        </is>
      </c>
      <c r="O579" t="inlineStr">
        <is>
          <t>AI</t>
        </is>
      </c>
    </row>
    <row r="580">
      <c r="A580" t="inlineStr">
        <is>
          <t>PT BISI International Tbk</t>
        </is>
      </c>
      <c r="B580" t="inlineStr">
        <is>
          <t>BISI_2024_AR.pdf</t>
        </is>
      </c>
      <c r="C580" t="n">
        <v>2024</v>
      </c>
      <c r="D580" t="inlineStr">
        <is>
          <t>Financial</t>
        </is>
      </c>
      <c r="E580" t="inlineStr">
        <is>
          <t>Total Non-current Assets</t>
        </is>
      </c>
      <c r="F580" t="n">
        <v>1061896</v>
      </c>
      <c r="G580" t="inlineStr">
        <is>
          <t>IDR mn</t>
        </is>
      </c>
      <c r="H580" t="n">
        <v>85</v>
      </c>
      <c r="I580" t="inlineStr">
        <is>
          <t>Total Aset Tidak Lancar 1,061,896</t>
        </is>
      </c>
      <c r="J580" t="inlineStr">
        <is>
          <t>High</t>
        </is>
      </c>
      <c r="M580" t="inlineStr">
        <is>
          <t>LLM</t>
        </is>
      </c>
      <c r="N580" t="inlineStr">
        <is>
          <t>2026-04-18</t>
        </is>
      </c>
      <c r="O580" t="inlineStr">
        <is>
          <t>AI</t>
        </is>
      </c>
    </row>
    <row r="581">
      <c r="A581" t="inlineStr">
        <is>
          <t>PT BISI International Tbk</t>
        </is>
      </c>
      <c r="B581" t="inlineStr">
        <is>
          <t>BISI_2024_AR.pdf</t>
        </is>
      </c>
      <c r="C581" t="n">
        <v>2024</v>
      </c>
      <c r="D581" t="inlineStr">
        <is>
          <t>Financial</t>
        </is>
      </c>
      <c r="E581" t="inlineStr">
        <is>
          <t>Total Assets</t>
        </is>
      </c>
      <c r="F581" t="n">
        <v>3634529</v>
      </c>
      <c r="G581" t="inlineStr">
        <is>
          <t>IDR mn</t>
        </is>
      </c>
      <c r="H581" t="n">
        <v>85</v>
      </c>
      <c r="I581" t="inlineStr">
        <is>
          <t>Total Aset 3,634,529</t>
        </is>
      </c>
      <c r="J581" t="inlineStr">
        <is>
          <t>High</t>
        </is>
      </c>
      <c r="M581" t="inlineStr">
        <is>
          <t>LLM</t>
        </is>
      </c>
      <c r="N581" t="inlineStr">
        <is>
          <t>2026-04-18</t>
        </is>
      </c>
      <c r="O581" t="inlineStr">
        <is>
          <t>AI</t>
        </is>
      </c>
    </row>
    <row r="582">
      <c r="A582" t="inlineStr">
        <is>
          <t>PT BISI International Tbk</t>
        </is>
      </c>
      <c r="B582" t="inlineStr">
        <is>
          <t>BISI_2024_AR.pdf</t>
        </is>
      </c>
      <c r="C582" t="n">
        <v>2024</v>
      </c>
      <c r="D582" t="inlineStr">
        <is>
          <t>Financial</t>
        </is>
      </c>
      <c r="E582" t="inlineStr">
        <is>
          <t>Total Current Liabilities</t>
        </is>
      </c>
      <c r="F582" t="n">
        <v>192052</v>
      </c>
      <c r="G582" t="inlineStr">
        <is>
          <t>IDR mn</t>
        </is>
      </c>
      <c r="H582" t="n">
        <v>86</v>
      </c>
      <c r="I582" t="inlineStr">
        <is>
          <t>Total Liabilitas Jangka Pendek 192,052</t>
        </is>
      </c>
      <c r="J582" t="inlineStr">
        <is>
          <t>High</t>
        </is>
      </c>
      <c r="M582" t="inlineStr">
        <is>
          <t>LLM</t>
        </is>
      </c>
      <c r="N582" t="inlineStr">
        <is>
          <t>2026-04-18</t>
        </is>
      </c>
      <c r="O582" t="inlineStr">
        <is>
          <t>AI</t>
        </is>
      </c>
    </row>
    <row r="583">
      <c r="A583" t="inlineStr">
        <is>
          <t>PT BISI International Tbk</t>
        </is>
      </c>
      <c r="B583" t="inlineStr">
        <is>
          <t>BISI_2024_AR.pdf</t>
        </is>
      </c>
      <c r="C583" t="n">
        <v>2024</v>
      </c>
      <c r="D583" t="inlineStr">
        <is>
          <t>Financial</t>
        </is>
      </c>
      <c r="E583" t="inlineStr">
        <is>
          <t>Total Non-current Liabilities</t>
        </is>
      </c>
      <c r="F583" t="n">
        <v>52022</v>
      </c>
      <c r="G583" t="inlineStr">
        <is>
          <t>IDR mn</t>
        </is>
      </c>
      <c r="H583" t="n">
        <v>86</v>
      </c>
      <c r="I583" t="inlineStr">
        <is>
          <t>Total Liabilitas Jangka Panjang 52,022</t>
        </is>
      </c>
      <c r="J583" t="inlineStr">
        <is>
          <t>High</t>
        </is>
      </c>
      <c r="M583" t="inlineStr">
        <is>
          <t>LLM</t>
        </is>
      </c>
      <c r="N583" t="inlineStr">
        <is>
          <t>2026-04-18</t>
        </is>
      </c>
      <c r="O583" t="inlineStr">
        <is>
          <t>AI</t>
        </is>
      </c>
    </row>
    <row r="584">
      <c r="A584" t="inlineStr">
        <is>
          <t>PT BISI International Tbk</t>
        </is>
      </c>
      <c r="B584" t="inlineStr">
        <is>
          <t>BISI_2024_AR.pdf</t>
        </is>
      </c>
      <c r="C584" t="n">
        <v>2024</v>
      </c>
      <c r="D584" t="inlineStr">
        <is>
          <t>Financial</t>
        </is>
      </c>
      <c r="E584" t="inlineStr">
        <is>
          <t>Total Liabilities</t>
        </is>
      </c>
      <c r="F584" t="n">
        <v>244074</v>
      </c>
      <c r="G584" t="inlineStr">
        <is>
          <t>IDR mn</t>
        </is>
      </c>
      <c r="H584" t="n">
        <v>86</v>
      </c>
      <c r="I584" t="inlineStr">
        <is>
          <t>Total Liabilitas 244,074</t>
        </is>
      </c>
      <c r="J584" t="inlineStr">
        <is>
          <t>High</t>
        </is>
      </c>
      <c r="M584" t="inlineStr">
        <is>
          <t>LLM</t>
        </is>
      </c>
      <c r="N584" t="inlineStr">
        <is>
          <t>2026-04-18</t>
        </is>
      </c>
      <c r="O584" t="inlineStr">
        <is>
          <t>AI</t>
        </is>
      </c>
    </row>
    <row r="585">
      <c r="A585" t="inlineStr">
        <is>
          <t>PT BISI International Tbk</t>
        </is>
      </c>
      <c r="B585" t="inlineStr">
        <is>
          <t>BISI_2024_AR.pdf</t>
        </is>
      </c>
      <c r="C585" t="n">
        <v>2024</v>
      </c>
      <c r="D585" t="inlineStr">
        <is>
          <t>Financial</t>
        </is>
      </c>
      <c r="E585" t="inlineStr">
        <is>
          <t>Total Equity</t>
        </is>
      </c>
      <c r="F585" t="n">
        <v>3390455</v>
      </c>
      <c r="G585" t="inlineStr">
        <is>
          <t>IDR mn</t>
        </is>
      </c>
      <c r="H585" t="n">
        <v>86</v>
      </c>
      <c r="I585" t="inlineStr">
        <is>
          <t>Total Ekuitas 3,390,455</t>
        </is>
      </c>
      <c r="J585" t="inlineStr">
        <is>
          <t>High</t>
        </is>
      </c>
      <c r="M585" t="inlineStr">
        <is>
          <t>LLM</t>
        </is>
      </c>
      <c r="N585" t="inlineStr">
        <is>
          <t>2026-04-18</t>
        </is>
      </c>
      <c r="O585" t="inlineStr">
        <is>
          <t>AI</t>
        </is>
      </c>
    </row>
    <row r="586">
      <c r="A586" t="inlineStr">
        <is>
          <t>PT BISI International Tbk</t>
        </is>
      </c>
      <c r="B586" t="inlineStr">
        <is>
          <t>BISI_2024_AR.pdf</t>
        </is>
      </c>
      <c r="C586" t="n">
        <v>2024</v>
      </c>
      <c r="D586" t="inlineStr">
        <is>
          <t>Financial</t>
        </is>
      </c>
      <c r="E586" t="inlineStr">
        <is>
          <t>ROA</t>
        </is>
      </c>
      <c r="F586" t="n">
        <v>0.05</v>
      </c>
      <c r="G586" t="inlineStr">
        <is>
          <t>%</t>
        </is>
      </c>
      <c r="H586" t="n">
        <v>3</v>
      </c>
      <c r="I586" t="inlineStr">
        <is>
          <t>ROA 0.05 (2024)</t>
        </is>
      </c>
      <c r="J586" t="inlineStr">
        <is>
          <t>High</t>
        </is>
      </c>
      <c r="M586" t="inlineStr">
        <is>
          <t>LLM</t>
        </is>
      </c>
      <c r="N586" t="inlineStr">
        <is>
          <t>2026-04-18</t>
        </is>
      </c>
      <c r="O586" t="inlineStr">
        <is>
          <t>AI</t>
        </is>
      </c>
    </row>
    <row r="587">
      <c r="A587" t="inlineStr">
        <is>
          <t>PT BISI International Tbk</t>
        </is>
      </c>
      <c r="B587" t="inlineStr">
        <is>
          <t>BISI_2024_AR.pdf</t>
        </is>
      </c>
      <c r="C587" t="n">
        <v>2024</v>
      </c>
      <c r="D587" t="inlineStr">
        <is>
          <t>Financial</t>
        </is>
      </c>
      <c r="E587" t="inlineStr">
        <is>
          <t>ROE</t>
        </is>
      </c>
      <c r="F587" t="n">
        <v>0.05</v>
      </c>
      <c r="G587" t="inlineStr">
        <is>
          <t>%</t>
        </is>
      </c>
      <c r="H587" t="n">
        <v>3</v>
      </c>
      <c r="I587" t="inlineStr">
        <is>
          <t>ROE 0.05 (2024)</t>
        </is>
      </c>
      <c r="J587" t="inlineStr">
        <is>
          <t>High</t>
        </is>
      </c>
      <c r="M587" t="inlineStr">
        <is>
          <t>LLM</t>
        </is>
      </c>
      <c r="N587" t="inlineStr">
        <is>
          <t>2026-04-18</t>
        </is>
      </c>
      <c r="O587" t="inlineStr">
        <is>
          <t>AI</t>
        </is>
      </c>
    </row>
    <row r="588">
      <c r="A588" t="inlineStr">
        <is>
          <t>PT BISI International Tbk</t>
        </is>
      </c>
      <c r="B588" t="inlineStr">
        <is>
          <t>BISI_2024_AR.pdf</t>
        </is>
      </c>
      <c r="C588" t="n">
        <v>2024</v>
      </c>
      <c r="D588" t="inlineStr">
        <is>
          <t>Financial</t>
        </is>
      </c>
      <c r="E588" t="inlineStr">
        <is>
          <t>Current Ratio</t>
        </is>
      </c>
      <c r="F588" t="n">
        <v>13.4</v>
      </c>
      <c r="G588" t="inlineStr">
        <is>
          <t>x</t>
        </is>
      </c>
      <c r="H588" t="n">
        <v>3</v>
      </c>
      <c r="I588" t="inlineStr">
        <is>
          <t>Current Ratio 13.40</t>
        </is>
      </c>
      <c r="J588" t="inlineStr">
        <is>
          <t>High</t>
        </is>
      </c>
      <c r="M588" t="inlineStr">
        <is>
          <t>LLM</t>
        </is>
      </c>
      <c r="N588" t="inlineStr">
        <is>
          <t>2026-04-18</t>
        </is>
      </c>
      <c r="O588" t="inlineStr">
        <is>
          <t>AI</t>
        </is>
      </c>
    </row>
    <row r="589">
      <c r="A589" t="inlineStr">
        <is>
          <t>PT BISI International Tbk</t>
        </is>
      </c>
      <c r="B589" t="inlineStr">
        <is>
          <t>BISI_2024_AR.pdf</t>
        </is>
      </c>
      <c r="C589" t="n">
        <v>2024</v>
      </c>
      <c r="D589" t="inlineStr">
        <is>
          <t>Financial</t>
        </is>
      </c>
      <c r="E589" t="inlineStr">
        <is>
          <t>Debt/Equity</t>
        </is>
      </c>
      <c r="F589" t="n">
        <v>0.07000000000000001</v>
      </c>
      <c r="G589" t="inlineStr">
        <is>
          <t>x</t>
        </is>
      </c>
      <c r="H589" t="n">
        <v>3</v>
      </c>
      <c r="I589" t="inlineStr">
        <is>
          <t>Debt/Equity 0.07</t>
        </is>
      </c>
      <c r="J589" t="inlineStr">
        <is>
          <t>High</t>
        </is>
      </c>
      <c r="M589" t="inlineStr">
        <is>
          <t>LLM</t>
        </is>
      </c>
      <c r="N589" t="inlineStr">
        <is>
          <t>2026-04-18</t>
        </is>
      </c>
      <c r="O589" t="inlineStr">
        <is>
          <t>AI</t>
        </is>
      </c>
    </row>
    <row r="590">
      <c r="A590" t="inlineStr">
        <is>
          <t>PT BISI International Tbk</t>
        </is>
      </c>
      <c r="B590" t="inlineStr">
        <is>
          <t>BISI_2024_AR.pdf</t>
        </is>
      </c>
      <c r="C590" t="n">
        <v>2024</v>
      </c>
      <c r="D590" t="inlineStr">
        <is>
          <t>Financial</t>
        </is>
      </c>
      <c r="E590" t="inlineStr">
        <is>
          <t>Gross Profit Margin</t>
        </is>
      </c>
      <c r="F590" t="n">
        <v>0.46</v>
      </c>
      <c r="G590" t="inlineStr">
        <is>
          <t>%</t>
        </is>
      </c>
      <c r="H590" t="n">
        <v>3</v>
      </c>
      <c r="I590" t="inlineStr">
        <is>
          <t>Gross Profit Margin 0.46</t>
        </is>
      </c>
      <c r="J590" t="inlineStr">
        <is>
          <t>High</t>
        </is>
      </c>
      <c r="M590" t="inlineStr">
        <is>
          <t>LLM</t>
        </is>
      </c>
      <c r="N590" t="inlineStr">
        <is>
          <t>2026-04-18</t>
        </is>
      </c>
      <c r="O590" t="inlineStr">
        <is>
          <t>AI</t>
        </is>
      </c>
    </row>
    <row r="591">
      <c r="A591" t="inlineStr">
        <is>
          <t>PT BISI International Tbk</t>
        </is>
      </c>
      <c r="B591" t="inlineStr">
        <is>
          <t>BISI_2024_AR.pdf</t>
        </is>
      </c>
      <c r="C591" t="n">
        <v>2024</v>
      </c>
      <c r="D591" t="inlineStr">
        <is>
          <t>Financial</t>
        </is>
      </c>
      <c r="E591" t="inlineStr">
        <is>
          <t>Closing Price Q4 2024</t>
        </is>
      </c>
      <c r="F591" t="n">
        <v>1200</v>
      </c>
      <c r="G591" t="inlineStr">
        <is>
          <t>IDR</t>
        </is>
      </c>
      <c r="H591" t="n">
        <v>3</v>
      </c>
      <c r="I591" t="inlineStr">
        <is>
          <t>Harga Saham Penutupan Q4 2024 1,200</t>
        </is>
      </c>
      <c r="J591" t="inlineStr">
        <is>
          <t>High</t>
        </is>
      </c>
      <c r="M591" t="inlineStr">
        <is>
          <t>LLM</t>
        </is>
      </c>
      <c r="N591" t="inlineStr">
        <is>
          <t>2026-04-18</t>
        </is>
      </c>
      <c r="O591" t="inlineStr">
        <is>
          <t>AI</t>
        </is>
      </c>
    </row>
    <row r="592">
      <c r="A592" t="inlineStr">
        <is>
          <t>PT BISI International Tbk</t>
        </is>
      </c>
      <c r="B592" t="inlineStr">
        <is>
          <t>BISI_2024_AR.pdf</t>
        </is>
      </c>
      <c r="C592" t="n">
        <v>2024</v>
      </c>
      <c r="D592" t="inlineStr">
        <is>
          <t>Financial</t>
        </is>
      </c>
      <c r="E592" t="inlineStr">
        <is>
          <t>Market Cap Q4 2024</t>
        </is>
      </c>
      <c r="F592" t="n">
        <v>3600</v>
      </c>
      <c r="G592" t="inlineStr">
        <is>
          <t>IDR bn</t>
        </is>
      </c>
      <c r="H592" t="n">
        <v>3</v>
      </c>
      <c r="I592" t="inlineStr">
        <is>
          <t>Kapitalisasi Pasar 3,600,000,000,000</t>
        </is>
      </c>
      <c r="J592" t="inlineStr">
        <is>
          <t>High</t>
        </is>
      </c>
      <c r="M592" t="inlineStr">
        <is>
          <t>LLM</t>
        </is>
      </c>
      <c r="N592" t="inlineStr">
        <is>
          <t>2026-04-18</t>
        </is>
      </c>
      <c r="O592" t="inlineStr">
        <is>
          <t>AI</t>
        </is>
      </c>
    </row>
    <row r="593">
      <c r="A593" t="inlineStr">
        <is>
          <t>PT BISI International Tbk</t>
        </is>
      </c>
      <c r="B593" t="inlineStr">
        <is>
          <t>BISI_2024_AR.pdf</t>
        </is>
      </c>
      <c r="C593" t="n">
        <v>2024</v>
      </c>
      <c r="D593" t="inlineStr">
        <is>
          <t>Financial</t>
        </is>
      </c>
      <c r="E593" t="inlineStr">
        <is>
          <t>CFO 2024</t>
        </is>
      </c>
      <c r="F593" t="n">
        <v>-146282</v>
      </c>
      <c r="G593" t="inlineStr">
        <is>
          <t>IDR mn</t>
        </is>
      </c>
      <c r="H593" t="n">
        <v>90</v>
      </c>
      <c r="I593" t="inlineStr">
        <is>
          <t>Kas Neto (Digunakan) Aktivitas Operasi (146,282) in 2024</t>
        </is>
      </c>
      <c r="J593" t="inlineStr">
        <is>
          <t>High</t>
        </is>
      </c>
      <c r="M593" t="inlineStr">
        <is>
          <t>LLM</t>
        </is>
      </c>
      <c r="N593" t="inlineStr">
        <is>
          <t>2026-04-18</t>
        </is>
      </c>
      <c r="O593" t="inlineStr">
        <is>
          <t>AI</t>
        </is>
      </c>
    </row>
    <row r="594">
      <c r="A594" t="inlineStr">
        <is>
          <t>PT BISI International Tbk</t>
        </is>
      </c>
      <c r="B594" t="inlineStr">
        <is>
          <t>BISI_2024_AR.pdf</t>
        </is>
      </c>
      <c r="C594" t="n">
        <v>2024</v>
      </c>
      <c r="D594" t="inlineStr">
        <is>
          <t>Financial</t>
        </is>
      </c>
      <c r="E594" t="inlineStr">
        <is>
          <t>Capex 2024</t>
        </is>
      </c>
      <c r="F594" t="n">
        <v>94985</v>
      </c>
      <c r="G594" t="inlineStr">
        <is>
          <t>IDR mn</t>
        </is>
      </c>
      <c r="H594" t="n">
        <v>90</v>
      </c>
      <c r="I594" t="inlineStr">
        <is>
          <t>Perolehan aset tetap (94,985) in 2024</t>
        </is>
      </c>
      <c r="J594" t="inlineStr">
        <is>
          <t>High</t>
        </is>
      </c>
      <c r="M594" t="inlineStr">
        <is>
          <t>LLM</t>
        </is>
      </c>
      <c r="N594" t="inlineStr">
        <is>
          <t>2026-04-18</t>
        </is>
      </c>
      <c r="O594" t="inlineStr">
        <is>
          <t>AI</t>
        </is>
      </c>
    </row>
    <row r="595">
      <c r="A595" t="inlineStr">
        <is>
          <t>PT BISI International Tbk</t>
        </is>
      </c>
      <c r="B595" t="inlineStr">
        <is>
          <t>BISI_2024_AR.pdf</t>
        </is>
      </c>
      <c r="C595" t="n">
        <v>2024</v>
      </c>
      <c r="D595" t="inlineStr">
        <is>
          <t>Financial</t>
        </is>
      </c>
      <c r="E595" t="inlineStr">
        <is>
          <t>Dividend Paid 2024</t>
        </is>
      </c>
      <c r="F595" t="n">
        <v>240000</v>
      </c>
      <c r="G595" t="inlineStr">
        <is>
          <t>IDR mn</t>
        </is>
      </c>
      <c r="H595" t="n">
        <v>90</v>
      </c>
      <c r="I595" t="inlineStr">
        <is>
          <t>Pembayaran dividen tunai (240,000) in 2024</t>
        </is>
      </c>
      <c r="J595" t="inlineStr">
        <is>
          <t>High</t>
        </is>
      </c>
      <c r="M595" t="inlineStr">
        <is>
          <t>LLM</t>
        </is>
      </c>
      <c r="N595" t="inlineStr">
        <is>
          <t>2026-04-18</t>
        </is>
      </c>
      <c r="O595" t="inlineStr">
        <is>
          <t>AI</t>
        </is>
      </c>
    </row>
    <row r="596">
      <c r="A596" t="inlineStr">
        <is>
          <t>PT BISI International Tbk</t>
        </is>
      </c>
      <c r="B596" t="inlineStr">
        <is>
          <t>BISI_2024_AR.pdf</t>
        </is>
      </c>
      <c r="C596" t="n">
        <v>2024</v>
      </c>
      <c r="D596" t="inlineStr">
        <is>
          <t>Financial</t>
        </is>
      </c>
      <c r="E596" t="inlineStr">
        <is>
          <t>Dividend per Share FY2023</t>
        </is>
      </c>
      <c r="F596" t="n">
        <v>80</v>
      </c>
      <c r="G596" t="inlineStr">
        <is>
          <t>IDR/share</t>
        </is>
      </c>
      <c r="H596" t="n">
        <v>90</v>
      </c>
      <c r="I596" t="inlineStr">
        <is>
          <t>Dividend paid Rp 240,000 mn / 3,000 mn shares = Rp 80/share</t>
        </is>
      </c>
      <c r="J596" t="inlineStr">
        <is>
          <t>Medium</t>
        </is>
      </c>
      <c r="M596" t="inlineStr">
        <is>
          <t>LLM</t>
        </is>
      </c>
      <c r="N596" t="inlineStr">
        <is>
          <t>2026-04-18</t>
        </is>
      </c>
      <c r="O596" t="inlineStr">
        <is>
          <t>AI</t>
        </is>
      </c>
    </row>
    <row r="597">
      <c r="A597" t="inlineStr">
        <is>
          <t>PT BISI International Tbk</t>
        </is>
      </c>
      <c r="B597" t="inlineStr">
        <is>
          <t>BISI_2024_AR.pdf</t>
        </is>
      </c>
      <c r="C597" t="n">
        <v>2024</v>
      </c>
      <c r="D597" t="inlineStr">
        <is>
          <t>Financial</t>
        </is>
      </c>
      <c r="E597" t="inlineStr">
        <is>
          <t>Shares Outstanding</t>
        </is>
      </c>
      <c r="F597" t="n">
        <v>3000</v>
      </c>
      <c r="G597" t="inlineStr">
        <is>
          <t>million</t>
        </is>
      </c>
      <c r="H597" t="n">
        <v>3</v>
      </c>
      <c r="I597" t="inlineStr">
        <is>
          <t>Jumlah Saham Beredar 3,000,000,000</t>
        </is>
      </c>
      <c r="J597" t="inlineStr">
        <is>
          <t>High</t>
        </is>
      </c>
      <c r="M597" t="inlineStr">
        <is>
          <t>LLM</t>
        </is>
      </c>
      <c r="N597" t="inlineStr">
        <is>
          <t>2026-04-18</t>
        </is>
      </c>
      <c r="O597" t="inlineStr">
        <is>
          <t>AI</t>
        </is>
      </c>
    </row>
    <row r="598">
      <c r="A598" t="inlineStr">
        <is>
          <t>PT BISI International Tbk</t>
        </is>
      </c>
      <c r="B598" t="inlineStr">
        <is>
          <t>BISI_2025_AR.pdf</t>
        </is>
      </c>
      <c r="C598" t="n">
        <v>2025</v>
      </c>
      <c r="D598" t="inlineStr">
        <is>
          <t>Company</t>
        </is>
      </c>
      <c r="E598" t="inlineStr">
        <is>
          <t>Company Name</t>
        </is>
      </c>
      <c r="F598" t="inlineStr">
        <is>
          <t>PT BISI International Tbk</t>
        </is>
      </c>
      <c r="G598" t="inlineStr">
        <is>
          <t>text</t>
        </is>
      </c>
      <c r="H598" t="n">
        <v>1</v>
      </c>
      <c r="I598" t="inlineStr">
        <is>
          <t>PT BISI International Tbk dan entitas anaknya</t>
        </is>
      </c>
      <c r="J598" t="inlineStr">
        <is>
          <t>High</t>
        </is>
      </c>
      <c r="M598" t="inlineStr">
        <is>
          <t>LLM</t>
        </is>
      </c>
      <c r="N598" t="inlineStr">
        <is>
          <t>2026-04-18</t>
        </is>
      </c>
      <c r="O598" t="inlineStr">
        <is>
          <t>AI</t>
        </is>
      </c>
    </row>
    <row r="599">
      <c r="A599" t="inlineStr">
        <is>
          <t>PT BISI International Tbk</t>
        </is>
      </c>
      <c r="B599" t="inlineStr">
        <is>
          <t>BISI_2025_AR.pdf</t>
        </is>
      </c>
      <c r="C599" t="n">
        <v>2025</v>
      </c>
      <c r="D599" t="inlineStr">
        <is>
          <t>Company</t>
        </is>
      </c>
      <c r="E599" t="inlineStr">
        <is>
          <t>Ticker</t>
        </is>
      </c>
      <c r="F599" t="inlineStr">
        <is>
          <t>BISI</t>
        </is>
      </c>
      <c r="G599" t="inlineStr">
        <is>
          <t>text</t>
        </is>
      </c>
      <c r="H599" t="n">
        <v>0</v>
      </c>
      <c r="I599" t="inlineStr">
        <is>
          <t>Filename</t>
        </is>
      </c>
      <c r="J599" t="inlineStr">
        <is>
          <t>High</t>
        </is>
      </c>
      <c r="M599" t="inlineStr">
        <is>
          <t>LLM</t>
        </is>
      </c>
      <c r="N599" t="inlineStr">
        <is>
          <t>2026-04-18</t>
        </is>
      </c>
      <c r="O599" t="inlineStr">
        <is>
          <t>AI</t>
        </is>
      </c>
    </row>
    <row r="600">
      <c r="A600" t="inlineStr">
        <is>
          <t>PT BISI International Tbk</t>
        </is>
      </c>
      <c r="B600" t="inlineStr">
        <is>
          <t>BISI_2025_AR.pdf</t>
        </is>
      </c>
      <c r="C600" t="n">
        <v>2025</v>
      </c>
      <c r="D600" t="inlineStr">
        <is>
          <t>Company</t>
        </is>
      </c>
      <c r="E600" t="inlineStr">
        <is>
          <t>Report Year</t>
        </is>
      </c>
      <c r="F600" t="n">
        <v>2025</v>
      </c>
      <c r="G600" t="inlineStr">
        <is>
          <t>year</t>
        </is>
      </c>
      <c r="H600" t="n">
        <v>1</v>
      </c>
      <c r="I600" t="inlineStr">
        <is>
          <t>As of December 31, 2025 and for the year then ended</t>
        </is>
      </c>
      <c r="J600" t="inlineStr">
        <is>
          <t>High</t>
        </is>
      </c>
      <c r="M600" t="inlineStr">
        <is>
          <t>LLM</t>
        </is>
      </c>
      <c r="N600" t="inlineStr">
        <is>
          <t>2026-04-18</t>
        </is>
      </c>
      <c r="O600" t="inlineStr">
        <is>
          <t>AI</t>
        </is>
      </c>
    </row>
    <row r="601">
      <c r="A601" t="inlineStr">
        <is>
          <t>PT BISI International Tbk</t>
        </is>
      </c>
      <c r="B601" t="inlineStr">
        <is>
          <t>BISI_2025_AR.pdf</t>
        </is>
      </c>
      <c r="C601" t="n">
        <v>2025</v>
      </c>
      <c r="D601" t="inlineStr">
        <is>
          <t>Company</t>
        </is>
      </c>
      <c r="E601" t="inlineStr">
        <is>
          <t>Auditor</t>
        </is>
      </c>
      <c r="F601" t="inlineStr">
        <is>
          <t>KAP Purwanto Susanti dan Surja (EY member firm)</t>
        </is>
      </c>
      <c r="G601" t="inlineStr">
        <is>
          <t>text</t>
        </is>
      </c>
      <c r="H601" t="n">
        <v>4</v>
      </c>
      <c r="I601" t="inlineStr">
        <is>
          <t>KAP Purwanto Susanti dan Surja</t>
        </is>
      </c>
      <c r="J601" t="inlineStr">
        <is>
          <t>High</t>
        </is>
      </c>
      <c r="M601" t="inlineStr">
        <is>
          <t>LLM</t>
        </is>
      </c>
      <c r="N601" t="inlineStr">
        <is>
          <t>2026-04-18</t>
        </is>
      </c>
      <c r="O601" t="inlineStr">
        <is>
          <t>AI</t>
        </is>
      </c>
    </row>
    <row r="602">
      <c r="A602" t="inlineStr">
        <is>
          <t>PT BISI International Tbk</t>
        </is>
      </c>
      <c r="B602" t="inlineStr">
        <is>
          <t>BISI_2025_AR.pdf</t>
        </is>
      </c>
      <c r="C602" t="n">
        <v>2025</v>
      </c>
      <c r="D602" t="inlineStr">
        <is>
          <t>Financial</t>
        </is>
      </c>
      <c r="E602" t="inlineStr">
        <is>
          <t>Net Sales 2025</t>
        </is>
      </c>
      <c r="F602" t="n">
        <v>1696438</v>
      </c>
      <c r="G602" t="inlineStr">
        <is>
          <t>IDR mn</t>
        </is>
      </c>
      <c r="H602" t="n">
        <v>3</v>
      </c>
      <c r="I602" t="inlineStr">
        <is>
          <t>Penjualan neto 1,696,438 (2025)</t>
        </is>
      </c>
      <c r="J602" t="inlineStr">
        <is>
          <t>High</t>
        </is>
      </c>
      <c r="M602" t="inlineStr">
        <is>
          <t>LLM</t>
        </is>
      </c>
      <c r="N602" t="inlineStr">
        <is>
          <t>2026-04-18</t>
        </is>
      </c>
      <c r="O602" t="inlineStr">
        <is>
          <t>AI</t>
        </is>
      </c>
    </row>
    <row r="603">
      <c r="A603" t="inlineStr">
        <is>
          <t>PT BISI International Tbk</t>
        </is>
      </c>
      <c r="B603" t="inlineStr">
        <is>
          <t>BISI_2025_AR.pdf</t>
        </is>
      </c>
      <c r="C603" t="n">
        <v>2025</v>
      </c>
      <c r="D603" t="inlineStr">
        <is>
          <t>Financial</t>
        </is>
      </c>
      <c r="E603" t="inlineStr">
        <is>
          <t>Revenue (IDR bn)</t>
        </is>
      </c>
      <c r="F603" t="n">
        <v>1696</v>
      </c>
      <c r="G603" t="inlineStr">
        <is>
          <t>IDR bn</t>
        </is>
      </c>
      <c r="H603" t="n">
        <v>3</v>
      </c>
      <c r="I603" t="inlineStr">
        <is>
          <t>Rp 1,696,438 mn = Rp 1,696 bn</t>
        </is>
      </c>
      <c r="J603" t="inlineStr">
        <is>
          <t>High</t>
        </is>
      </c>
      <c r="M603" t="inlineStr">
        <is>
          <t>LLM</t>
        </is>
      </c>
      <c r="N603" t="inlineStr">
        <is>
          <t>2026-04-18</t>
        </is>
      </c>
      <c r="O603" t="inlineStr">
        <is>
          <t>AI</t>
        </is>
      </c>
    </row>
    <row r="604">
      <c r="A604" t="inlineStr">
        <is>
          <t>PT BISI International Tbk</t>
        </is>
      </c>
      <c r="B604" t="inlineStr">
        <is>
          <t>BISI_2025_AR.pdf</t>
        </is>
      </c>
      <c r="C604" t="n">
        <v>2025</v>
      </c>
      <c r="D604" t="inlineStr">
        <is>
          <t>Financial</t>
        </is>
      </c>
      <c r="E604" t="inlineStr">
        <is>
          <t>COGS</t>
        </is>
      </c>
      <c r="F604" t="n">
        <v>-1015462</v>
      </c>
      <c r="G604" t="inlineStr">
        <is>
          <t>IDR mn</t>
        </is>
      </c>
      <c r="H604" t="n">
        <v>3</v>
      </c>
      <c r="I604" t="inlineStr">
        <is>
          <t>Beban pokok penjualan (1,015,462)</t>
        </is>
      </c>
      <c r="J604" t="inlineStr">
        <is>
          <t>High</t>
        </is>
      </c>
      <c r="M604" t="inlineStr">
        <is>
          <t>LLM</t>
        </is>
      </c>
      <c r="N604" t="inlineStr">
        <is>
          <t>2026-04-18</t>
        </is>
      </c>
      <c r="O604" t="inlineStr">
        <is>
          <t>AI</t>
        </is>
      </c>
    </row>
    <row r="605">
      <c r="A605" t="inlineStr">
        <is>
          <t>PT BISI International Tbk</t>
        </is>
      </c>
      <c r="B605" t="inlineStr">
        <is>
          <t>BISI_2025_AR.pdf</t>
        </is>
      </c>
      <c r="C605" t="n">
        <v>2025</v>
      </c>
      <c r="D605" t="inlineStr">
        <is>
          <t>Financial</t>
        </is>
      </c>
      <c r="E605" t="inlineStr">
        <is>
          <t>Gross Profit</t>
        </is>
      </c>
      <c r="F605" t="n">
        <v>680976</v>
      </c>
      <c r="G605" t="inlineStr">
        <is>
          <t>IDR mn</t>
        </is>
      </c>
      <c r="H605" t="n">
        <v>3</v>
      </c>
      <c r="I605" t="inlineStr">
        <is>
          <t>Laba bruto 680,976</t>
        </is>
      </c>
      <c r="J605" t="inlineStr">
        <is>
          <t>High</t>
        </is>
      </c>
      <c r="M605" t="inlineStr">
        <is>
          <t>LLM</t>
        </is>
      </c>
      <c r="N605" t="inlineStr">
        <is>
          <t>2026-04-18</t>
        </is>
      </c>
      <c r="O605" t="inlineStr">
        <is>
          <t>AI</t>
        </is>
      </c>
    </row>
    <row r="606">
      <c r="A606" t="inlineStr">
        <is>
          <t>PT BISI International Tbk</t>
        </is>
      </c>
      <c r="B606" t="inlineStr">
        <is>
          <t>BISI_2025_AR.pdf</t>
        </is>
      </c>
      <c r="C606" t="n">
        <v>2025</v>
      </c>
      <c r="D606" t="inlineStr">
        <is>
          <t>Financial</t>
        </is>
      </c>
      <c r="E606" t="inlineStr">
        <is>
          <t>Selling Expenses</t>
        </is>
      </c>
      <c r="F606" t="n">
        <v>-241054</v>
      </c>
      <c r="G606" t="inlineStr">
        <is>
          <t>IDR mn</t>
        </is>
      </c>
      <c r="H606" t="n">
        <v>3</v>
      </c>
      <c r="I606" t="inlineStr">
        <is>
          <t>Beban penjualan (241,054)</t>
        </is>
      </c>
      <c r="J606" t="inlineStr">
        <is>
          <t>High</t>
        </is>
      </c>
      <c r="M606" t="inlineStr">
        <is>
          <t>LLM</t>
        </is>
      </c>
      <c r="N606" t="inlineStr">
        <is>
          <t>2026-04-18</t>
        </is>
      </c>
      <c r="O606" t="inlineStr">
        <is>
          <t>AI</t>
        </is>
      </c>
    </row>
    <row r="607">
      <c r="A607" t="inlineStr">
        <is>
          <t>PT BISI International Tbk</t>
        </is>
      </c>
      <c r="B607" t="inlineStr">
        <is>
          <t>BISI_2025_AR.pdf</t>
        </is>
      </c>
      <c r="C607" t="n">
        <v>2025</v>
      </c>
      <c r="D607" t="inlineStr">
        <is>
          <t>Financial</t>
        </is>
      </c>
      <c r="E607" t="inlineStr">
        <is>
          <t>G&amp;A Expenses</t>
        </is>
      </c>
      <c r="F607" t="n">
        <v>-89601</v>
      </c>
      <c r="G607" t="inlineStr">
        <is>
          <t>IDR mn</t>
        </is>
      </c>
      <c r="H607" t="n">
        <v>3</v>
      </c>
      <c r="I607" t="inlineStr">
        <is>
          <t>Beban umum dan administrasi (89,601)</t>
        </is>
      </c>
      <c r="J607" t="inlineStr">
        <is>
          <t>High</t>
        </is>
      </c>
      <c r="M607" t="inlineStr">
        <is>
          <t>LLM</t>
        </is>
      </c>
      <c r="N607" t="inlineStr">
        <is>
          <t>2026-04-18</t>
        </is>
      </c>
      <c r="O607" t="inlineStr">
        <is>
          <t>AI</t>
        </is>
      </c>
    </row>
    <row r="608">
      <c r="A608" t="inlineStr">
        <is>
          <t>PT BISI International Tbk</t>
        </is>
      </c>
      <c r="B608" t="inlineStr">
        <is>
          <t>BISI_2025_AR.pdf</t>
        </is>
      </c>
      <c r="C608" t="n">
        <v>2025</v>
      </c>
      <c r="D608" t="inlineStr">
        <is>
          <t>Financial</t>
        </is>
      </c>
      <c r="E608" t="inlineStr">
        <is>
          <t>R&amp;D Expenses</t>
        </is>
      </c>
      <c r="F608" t="n">
        <v>-102690</v>
      </c>
      <c r="G608" t="inlineStr">
        <is>
          <t>IDR mn</t>
        </is>
      </c>
      <c r="H608" t="n">
        <v>3</v>
      </c>
      <c r="I608" t="inlineStr">
        <is>
          <t>Beban penelitian dan pengembangan (102,690)</t>
        </is>
      </c>
      <c r="J608" t="inlineStr">
        <is>
          <t>High</t>
        </is>
      </c>
      <c r="M608" t="inlineStr">
        <is>
          <t>LLM</t>
        </is>
      </c>
      <c r="N608" t="inlineStr">
        <is>
          <t>2026-04-18</t>
        </is>
      </c>
      <c r="O608" t="inlineStr">
        <is>
          <t>AI</t>
        </is>
      </c>
    </row>
    <row r="609">
      <c r="A609" t="inlineStr">
        <is>
          <t>PT BISI International Tbk</t>
        </is>
      </c>
      <c r="B609" t="inlineStr">
        <is>
          <t>BISI_2025_AR.pdf</t>
        </is>
      </c>
      <c r="C609" t="n">
        <v>2025</v>
      </c>
      <c r="D609" t="inlineStr">
        <is>
          <t>Financial</t>
        </is>
      </c>
      <c r="E609" t="inlineStr">
        <is>
          <t>Operating Profit</t>
        </is>
      </c>
      <c r="F609" t="n">
        <v>226930</v>
      </c>
      <c r="G609" t="inlineStr">
        <is>
          <t>IDR mn</t>
        </is>
      </c>
      <c r="H609" t="n">
        <v>3</v>
      </c>
      <c r="I609" t="inlineStr">
        <is>
          <t>Laba usaha 226,930</t>
        </is>
      </c>
      <c r="J609" t="inlineStr">
        <is>
          <t>High</t>
        </is>
      </c>
      <c r="M609" t="inlineStr">
        <is>
          <t>LLM</t>
        </is>
      </c>
      <c r="N609" t="inlineStr">
        <is>
          <t>2026-04-18</t>
        </is>
      </c>
      <c r="O609" t="inlineStr">
        <is>
          <t>AI</t>
        </is>
      </c>
    </row>
    <row r="610">
      <c r="A610" t="inlineStr">
        <is>
          <t>PT BISI International Tbk</t>
        </is>
      </c>
      <c r="B610" t="inlineStr">
        <is>
          <t>BISI_2025_AR.pdf</t>
        </is>
      </c>
      <c r="C610" t="n">
        <v>2025</v>
      </c>
      <c r="D610" t="inlineStr">
        <is>
          <t>Financial</t>
        </is>
      </c>
      <c r="E610" t="inlineStr">
        <is>
          <t>Finance Income</t>
        </is>
      </c>
      <c r="F610" t="n">
        <v>16841</v>
      </c>
      <c r="G610" t="inlineStr">
        <is>
          <t>IDR mn</t>
        </is>
      </c>
      <c r="H610" t="n">
        <v>3</v>
      </c>
      <c r="I610" t="inlineStr">
        <is>
          <t>Penghasilan keuangan 16,841</t>
        </is>
      </c>
      <c r="J610" t="inlineStr">
        <is>
          <t>High</t>
        </is>
      </c>
      <c r="M610" t="inlineStr">
        <is>
          <t>LLM</t>
        </is>
      </c>
      <c r="N610" t="inlineStr">
        <is>
          <t>2026-04-18</t>
        </is>
      </c>
      <c r="O610" t="inlineStr">
        <is>
          <t>AI</t>
        </is>
      </c>
    </row>
    <row r="611">
      <c r="A611" t="inlineStr">
        <is>
          <t>PT BISI International Tbk</t>
        </is>
      </c>
      <c r="B611" t="inlineStr">
        <is>
          <t>BISI_2025_AR.pdf</t>
        </is>
      </c>
      <c r="C611" t="n">
        <v>2025</v>
      </c>
      <c r="D611" t="inlineStr">
        <is>
          <t>Financial</t>
        </is>
      </c>
      <c r="E611" t="inlineStr">
        <is>
          <t>Finance Costs</t>
        </is>
      </c>
      <c r="F611" t="n">
        <v>-66</v>
      </c>
      <c r="G611" t="inlineStr">
        <is>
          <t>IDR mn</t>
        </is>
      </c>
      <c r="H611" t="n">
        <v>3</v>
      </c>
      <c r="I611" t="inlineStr">
        <is>
          <t>Beban keuangan (66)</t>
        </is>
      </c>
      <c r="J611" t="inlineStr">
        <is>
          <t>High</t>
        </is>
      </c>
      <c r="M611" t="inlineStr">
        <is>
          <t>LLM</t>
        </is>
      </c>
      <c r="N611" t="inlineStr">
        <is>
          <t>2026-04-18</t>
        </is>
      </c>
      <c r="O611" t="inlineStr">
        <is>
          <t>AI</t>
        </is>
      </c>
    </row>
    <row r="612">
      <c r="A612" t="inlineStr">
        <is>
          <t>PT BISI International Tbk</t>
        </is>
      </c>
      <c r="B612" t="inlineStr">
        <is>
          <t>BISI_2025_AR.pdf</t>
        </is>
      </c>
      <c r="C612" t="n">
        <v>2025</v>
      </c>
      <c r="D612" t="inlineStr">
        <is>
          <t>Financial</t>
        </is>
      </c>
      <c r="E612" t="inlineStr">
        <is>
          <t>Profit before Tax</t>
        </is>
      </c>
      <c r="F612" t="n">
        <v>243705</v>
      </c>
      <c r="G612" t="inlineStr">
        <is>
          <t>IDR mn</t>
        </is>
      </c>
      <c r="H612" t="n">
        <v>3</v>
      </c>
      <c r="I612" t="inlineStr">
        <is>
          <t>Laba sebelum pajak 243,705</t>
        </is>
      </c>
      <c r="J612" t="inlineStr">
        <is>
          <t>High</t>
        </is>
      </c>
      <c r="M612" t="inlineStr">
        <is>
          <t>LLM</t>
        </is>
      </c>
      <c r="N612" t="inlineStr">
        <is>
          <t>2026-04-18</t>
        </is>
      </c>
      <c r="O612" t="inlineStr">
        <is>
          <t>AI</t>
        </is>
      </c>
    </row>
    <row r="613">
      <c r="A613" t="inlineStr">
        <is>
          <t>PT BISI International Tbk</t>
        </is>
      </c>
      <c r="B613" t="inlineStr">
        <is>
          <t>BISI_2025_AR.pdf</t>
        </is>
      </c>
      <c r="C613" t="n">
        <v>2025</v>
      </c>
      <c r="D613" t="inlineStr">
        <is>
          <t>Financial</t>
        </is>
      </c>
      <c r="E613" t="inlineStr">
        <is>
          <t>Tax Expense</t>
        </is>
      </c>
      <c r="F613" t="n">
        <v>-53728</v>
      </c>
      <c r="G613" t="inlineStr">
        <is>
          <t>IDR mn</t>
        </is>
      </c>
      <c r="H613" t="n">
        <v>3</v>
      </c>
      <c r="I613" t="inlineStr">
        <is>
          <t>Beban pajak (53,728)</t>
        </is>
      </c>
      <c r="J613" t="inlineStr">
        <is>
          <t>High</t>
        </is>
      </c>
      <c r="M613" t="inlineStr">
        <is>
          <t>LLM</t>
        </is>
      </c>
      <c r="N613" t="inlineStr">
        <is>
          <t>2026-04-18</t>
        </is>
      </c>
      <c r="O613" t="inlineStr">
        <is>
          <t>AI</t>
        </is>
      </c>
    </row>
    <row r="614">
      <c r="A614" t="inlineStr">
        <is>
          <t>PT BISI International Tbk</t>
        </is>
      </c>
      <c r="B614" t="inlineStr">
        <is>
          <t>BISI_2025_AR.pdf</t>
        </is>
      </c>
      <c r="C614" t="n">
        <v>2025</v>
      </c>
      <c r="D614" t="inlineStr">
        <is>
          <t>Financial</t>
        </is>
      </c>
      <c r="E614" t="inlineStr">
        <is>
          <t>Net Profit</t>
        </is>
      </c>
      <c r="F614" t="n">
        <v>189977</v>
      </c>
      <c r="G614" t="inlineStr">
        <is>
          <t>IDR mn</t>
        </is>
      </c>
      <c r="H614" t="n">
        <v>3</v>
      </c>
      <c r="I614" t="inlineStr">
        <is>
          <t>Laba tahun berjalan 189,977</t>
        </is>
      </c>
      <c r="J614" t="inlineStr">
        <is>
          <t>High</t>
        </is>
      </c>
      <c r="M614" t="inlineStr">
        <is>
          <t>LLM</t>
        </is>
      </c>
      <c r="N614" t="inlineStr">
        <is>
          <t>2026-04-18</t>
        </is>
      </c>
      <c r="O614" t="inlineStr">
        <is>
          <t>AI</t>
        </is>
      </c>
    </row>
    <row r="615">
      <c r="A615" t="inlineStr">
        <is>
          <t>PT BISI International Tbk</t>
        </is>
      </c>
      <c r="B615" t="inlineStr">
        <is>
          <t>BISI_2025_AR.pdf</t>
        </is>
      </c>
      <c r="C615" t="n">
        <v>2025</v>
      </c>
      <c r="D615" t="inlineStr">
        <is>
          <t>Financial</t>
        </is>
      </c>
      <c r="E615" t="inlineStr">
        <is>
          <t>EPS</t>
        </is>
      </c>
      <c r="F615" t="n">
        <v>63.43</v>
      </c>
      <c r="G615" t="inlineStr">
        <is>
          <t>IDR/share</t>
        </is>
      </c>
      <c r="H615" t="n">
        <v>4</v>
      </c>
      <c r="I615" t="inlineStr">
        <is>
          <t>Laba per saham 63.43 (2025)</t>
        </is>
      </c>
      <c r="J615" t="inlineStr">
        <is>
          <t>High</t>
        </is>
      </c>
      <c r="M615" t="inlineStr">
        <is>
          <t>LLM</t>
        </is>
      </c>
      <c r="N615" t="inlineStr">
        <is>
          <t>2026-04-18</t>
        </is>
      </c>
      <c r="O615" t="inlineStr">
        <is>
          <t>AI</t>
        </is>
      </c>
    </row>
    <row r="616">
      <c r="A616" t="inlineStr">
        <is>
          <t>PT BISI International Tbk</t>
        </is>
      </c>
      <c r="B616" t="inlineStr">
        <is>
          <t>BISI_2025_AR.pdf</t>
        </is>
      </c>
      <c r="C616" t="n">
        <v>2025</v>
      </c>
      <c r="D616" t="inlineStr">
        <is>
          <t>Financial</t>
        </is>
      </c>
      <c r="E616" t="inlineStr">
        <is>
          <t>Cash &amp; equivalents</t>
        </is>
      </c>
      <c r="F616" t="n">
        <v>166707</v>
      </c>
      <c r="G616" t="inlineStr">
        <is>
          <t>IDR mn</t>
        </is>
      </c>
      <c r="H616" t="n">
        <v>1</v>
      </c>
      <c r="I616" t="inlineStr">
        <is>
          <t>Kas dan setara kas 166,707 (2025)</t>
        </is>
      </c>
      <c r="J616" t="inlineStr">
        <is>
          <t>High</t>
        </is>
      </c>
      <c r="M616" t="inlineStr">
        <is>
          <t>LLM</t>
        </is>
      </c>
      <c r="N616" t="inlineStr">
        <is>
          <t>2026-04-18</t>
        </is>
      </c>
      <c r="O616" t="inlineStr">
        <is>
          <t>AI</t>
        </is>
      </c>
    </row>
    <row r="617">
      <c r="A617" t="inlineStr">
        <is>
          <t>PT BISI International Tbk</t>
        </is>
      </c>
      <c r="B617" t="inlineStr">
        <is>
          <t>BISI_2025_AR.pdf</t>
        </is>
      </c>
      <c r="C617" t="n">
        <v>2025</v>
      </c>
      <c r="D617" t="inlineStr">
        <is>
          <t>Financial</t>
        </is>
      </c>
      <c r="E617" t="inlineStr">
        <is>
          <t>Total Current Assets</t>
        </is>
      </c>
      <c r="F617" t="n">
        <v>2640362</v>
      </c>
      <c r="G617" t="inlineStr">
        <is>
          <t>IDR mn</t>
        </is>
      </c>
      <c r="H617" t="n">
        <v>1</v>
      </c>
      <c r="I617" t="inlineStr">
        <is>
          <t>Total Aset Lancar 2,640,362</t>
        </is>
      </c>
      <c r="J617" t="inlineStr">
        <is>
          <t>High</t>
        </is>
      </c>
      <c r="M617" t="inlineStr">
        <is>
          <t>LLM</t>
        </is>
      </c>
      <c r="N617" t="inlineStr">
        <is>
          <t>2026-04-18</t>
        </is>
      </c>
      <c r="O617" t="inlineStr">
        <is>
          <t>AI</t>
        </is>
      </c>
    </row>
    <row r="618">
      <c r="A618" t="inlineStr">
        <is>
          <t>PT BISI International Tbk</t>
        </is>
      </c>
      <c r="B618" t="inlineStr">
        <is>
          <t>BISI_2025_AR.pdf</t>
        </is>
      </c>
      <c r="C618" t="n">
        <v>2025</v>
      </c>
      <c r="D618" t="inlineStr">
        <is>
          <t>Financial</t>
        </is>
      </c>
      <c r="E618" t="inlineStr">
        <is>
          <t>Fixed Assets</t>
        </is>
      </c>
      <c r="F618" t="n">
        <v>821873</v>
      </c>
      <c r="G618" t="inlineStr">
        <is>
          <t>IDR mn</t>
        </is>
      </c>
      <c r="H618" t="n">
        <v>1</v>
      </c>
      <c r="I618" t="inlineStr">
        <is>
          <t>Aset tetap 821,873</t>
        </is>
      </c>
      <c r="J618" t="inlineStr">
        <is>
          <t>High</t>
        </is>
      </c>
      <c r="M618" t="inlineStr">
        <is>
          <t>LLM</t>
        </is>
      </c>
      <c r="N618" t="inlineStr">
        <is>
          <t>2026-04-18</t>
        </is>
      </c>
      <c r="O618" t="inlineStr">
        <is>
          <t>AI</t>
        </is>
      </c>
    </row>
    <row r="619">
      <c r="A619" t="inlineStr">
        <is>
          <t>PT BISI International Tbk</t>
        </is>
      </c>
      <c r="B619" t="inlineStr">
        <is>
          <t>BISI_2025_AR.pdf</t>
        </is>
      </c>
      <c r="C619" t="n">
        <v>2025</v>
      </c>
      <c r="D619" t="inlineStr">
        <is>
          <t>Financial</t>
        </is>
      </c>
      <c r="E619" t="inlineStr">
        <is>
          <t>Total Non-current Assets</t>
        </is>
      </c>
      <c r="F619" t="n">
        <v>1097934</v>
      </c>
      <c r="G619" t="inlineStr">
        <is>
          <t>IDR mn</t>
        </is>
      </c>
      <c r="H619" t="n">
        <v>1</v>
      </c>
      <c r="I619" t="inlineStr">
        <is>
          <t>Total Aset Tidak Lancar 1,097,934</t>
        </is>
      </c>
      <c r="J619" t="inlineStr">
        <is>
          <t>High</t>
        </is>
      </c>
      <c r="M619" t="inlineStr">
        <is>
          <t>LLM</t>
        </is>
      </c>
      <c r="N619" t="inlineStr">
        <is>
          <t>2026-04-18</t>
        </is>
      </c>
      <c r="O619" t="inlineStr">
        <is>
          <t>AI</t>
        </is>
      </c>
    </row>
    <row r="620">
      <c r="A620" t="inlineStr">
        <is>
          <t>PT BISI International Tbk</t>
        </is>
      </c>
      <c r="B620" t="inlineStr">
        <is>
          <t>BISI_2025_AR.pdf</t>
        </is>
      </c>
      <c r="C620" t="n">
        <v>2025</v>
      </c>
      <c r="D620" t="inlineStr">
        <is>
          <t>Financial</t>
        </is>
      </c>
      <c r="E620" t="inlineStr">
        <is>
          <t>Total Assets</t>
        </is>
      </c>
      <c r="F620" t="n">
        <v>3738296</v>
      </c>
      <c r="G620" t="inlineStr">
        <is>
          <t>IDR mn</t>
        </is>
      </c>
      <c r="H620" t="n">
        <v>1</v>
      </c>
      <c r="I620" t="inlineStr">
        <is>
          <t>Total Aset 3,738,296</t>
        </is>
      </c>
      <c r="J620" t="inlineStr">
        <is>
          <t>High</t>
        </is>
      </c>
      <c r="M620" t="inlineStr">
        <is>
          <t>LLM</t>
        </is>
      </c>
      <c r="N620" t="inlineStr">
        <is>
          <t>2026-04-18</t>
        </is>
      </c>
      <c r="O620" t="inlineStr">
        <is>
          <t>AI</t>
        </is>
      </c>
    </row>
    <row r="621">
      <c r="A621" t="inlineStr">
        <is>
          <t>PT BISI International Tbk</t>
        </is>
      </c>
      <c r="B621" t="inlineStr">
        <is>
          <t>BISI_2025_AR.pdf</t>
        </is>
      </c>
      <c r="C621" t="n">
        <v>2025</v>
      </c>
      <c r="D621" t="inlineStr">
        <is>
          <t>Financial</t>
        </is>
      </c>
      <c r="E621" t="inlineStr">
        <is>
          <t>Short-term Bank Loan</t>
        </is>
      </c>
      <c r="F621" t="n">
        <v>16806</v>
      </c>
      <c r="G621" t="inlineStr">
        <is>
          <t>IDR mn</t>
        </is>
      </c>
      <c r="H621" t="n">
        <v>2</v>
      </c>
      <c r="I621" t="inlineStr">
        <is>
          <t>Utang bank jangka pendek 16,806 (2025)</t>
        </is>
      </c>
      <c r="J621" t="inlineStr">
        <is>
          <t>High</t>
        </is>
      </c>
      <c r="M621" t="inlineStr">
        <is>
          <t>LLM</t>
        </is>
      </c>
      <c r="N621" t="inlineStr">
        <is>
          <t>2026-04-18</t>
        </is>
      </c>
      <c r="O621" t="inlineStr">
        <is>
          <t>AI</t>
        </is>
      </c>
    </row>
    <row r="622">
      <c r="A622" t="inlineStr">
        <is>
          <t>PT BISI International Tbk</t>
        </is>
      </c>
      <c r="B622" t="inlineStr">
        <is>
          <t>BISI_2025_AR.pdf</t>
        </is>
      </c>
      <c r="C622" t="n">
        <v>2025</v>
      </c>
      <c r="D622" t="inlineStr">
        <is>
          <t>Financial</t>
        </is>
      </c>
      <c r="E622" t="inlineStr">
        <is>
          <t>Total Current Liabilities</t>
        </is>
      </c>
      <c r="F622" t="n">
        <v>184465</v>
      </c>
      <c r="G622" t="inlineStr">
        <is>
          <t>IDR mn</t>
        </is>
      </c>
      <c r="H622" t="n">
        <v>2</v>
      </c>
      <c r="I622" t="inlineStr">
        <is>
          <t>Total Liabilitas Jangka Pendek 184,465</t>
        </is>
      </c>
      <c r="J622" t="inlineStr">
        <is>
          <t>High</t>
        </is>
      </c>
      <c r="M622" t="inlineStr">
        <is>
          <t>LLM</t>
        </is>
      </c>
      <c r="N622" t="inlineStr">
        <is>
          <t>2026-04-18</t>
        </is>
      </c>
      <c r="O622" t="inlineStr">
        <is>
          <t>AI</t>
        </is>
      </c>
    </row>
    <row r="623">
      <c r="A623" t="inlineStr">
        <is>
          <t>PT BISI International Tbk</t>
        </is>
      </c>
      <c r="B623" t="inlineStr">
        <is>
          <t>BISI_2025_AR.pdf</t>
        </is>
      </c>
      <c r="C623" t="n">
        <v>2025</v>
      </c>
      <c r="D623" t="inlineStr">
        <is>
          <t>Financial</t>
        </is>
      </c>
      <c r="E623" t="inlineStr">
        <is>
          <t>Total Non-current Liabilities</t>
        </is>
      </c>
      <c r="F623" t="n">
        <v>59261</v>
      </c>
      <c r="G623" t="inlineStr">
        <is>
          <t>IDR mn</t>
        </is>
      </c>
      <c r="H623" t="n">
        <v>2</v>
      </c>
      <c r="I623" t="inlineStr">
        <is>
          <t>Total Liabilitas Jangka Panjang 59,261</t>
        </is>
      </c>
      <c r="J623" t="inlineStr">
        <is>
          <t>High</t>
        </is>
      </c>
      <c r="M623" t="inlineStr">
        <is>
          <t>LLM</t>
        </is>
      </c>
      <c r="N623" t="inlineStr">
        <is>
          <t>2026-04-18</t>
        </is>
      </c>
      <c r="O623" t="inlineStr">
        <is>
          <t>AI</t>
        </is>
      </c>
    </row>
    <row r="624">
      <c r="A624" t="inlineStr">
        <is>
          <t>PT BISI International Tbk</t>
        </is>
      </c>
      <c r="B624" t="inlineStr">
        <is>
          <t>BISI_2025_AR.pdf</t>
        </is>
      </c>
      <c r="C624" t="n">
        <v>2025</v>
      </c>
      <c r="D624" t="inlineStr">
        <is>
          <t>Financial</t>
        </is>
      </c>
      <c r="E624" t="inlineStr">
        <is>
          <t>Total Liabilities</t>
        </is>
      </c>
      <c r="F624" t="n">
        <v>243726</v>
      </c>
      <c r="G624" t="inlineStr">
        <is>
          <t>IDR mn</t>
        </is>
      </c>
      <c r="H624" t="n">
        <v>2</v>
      </c>
      <c r="I624" t="inlineStr">
        <is>
          <t>Total Liabilitas 243,726</t>
        </is>
      </c>
      <c r="J624" t="inlineStr">
        <is>
          <t>High</t>
        </is>
      </c>
      <c r="M624" t="inlineStr">
        <is>
          <t>LLM</t>
        </is>
      </c>
      <c r="N624" t="inlineStr">
        <is>
          <t>2026-04-18</t>
        </is>
      </c>
      <c r="O624" t="inlineStr">
        <is>
          <t>AI</t>
        </is>
      </c>
    </row>
    <row r="625">
      <c r="A625" t="inlineStr">
        <is>
          <t>PT BISI International Tbk</t>
        </is>
      </c>
      <c r="B625" t="inlineStr">
        <is>
          <t>BISI_2025_AR.pdf</t>
        </is>
      </c>
      <c r="C625" t="n">
        <v>2025</v>
      </c>
      <c r="D625" t="inlineStr">
        <is>
          <t>Financial</t>
        </is>
      </c>
      <c r="E625" t="inlineStr">
        <is>
          <t>Total Equity</t>
        </is>
      </c>
      <c r="F625" t="n">
        <v>3494570</v>
      </c>
      <c r="G625" t="inlineStr">
        <is>
          <t>IDR mn</t>
        </is>
      </c>
      <c r="H625" t="n">
        <v>2</v>
      </c>
      <c r="I625" t="inlineStr">
        <is>
          <t>Total Ekuitas 3,494,570</t>
        </is>
      </c>
      <c r="J625" t="inlineStr">
        <is>
          <t>High</t>
        </is>
      </c>
      <c r="M625" t="inlineStr">
        <is>
          <t>LLM</t>
        </is>
      </c>
      <c r="N625" t="inlineStr">
        <is>
          <t>2026-04-18</t>
        </is>
      </c>
      <c r="O625" t="inlineStr">
        <is>
          <t>AI</t>
        </is>
      </c>
    </row>
    <row r="626">
      <c r="A626" t="inlineStr">
        <is>
          <t>PT BISI International Tbk</t>
        </is>
      </c>
      <c r="B626" t="inlineStr">
        <is>
          <t>BISI_2025_AR.pdf</t>
        </is>
      </c>
      <c r="C626" t="n">
        <v>2025</v>
      </c>
      <c r="D626" t="inlineStr">
        <is>
          <t>Financial</t>
        </is>
      </c>
      <c r="E626" t="inlineStr">
        <is>
          <t>Retained Earnings (Appropriated)</t>
        </is>
      </c>
      <c r="F626" t="n">
        <v>60000</v>
      </c>
      <c r="G626" t="inlineStr">
        <is>
          <t>IDR mn</t>
        </is>
      </c>
      <c r="H626" t="n">
        <v>2</v>
      </c>
      <c r="I626" t="inlineStr">
        <is>
          <t>Telah ditentukan penggunaannya 60,000</t>
        </is>
      </c>
      <c r="J626" t="inlineStr">
        <is>
          <t>High</t>
        </is>
      </c>
      <c r="M626" t="inlineStr">
        <is>
          <t>LLM</t>
        </is>
      </c>
      <c r="N626" t="inlineStr">
        <is>
          <t>2026-04-18</t>
        </is>
      </c>
      <c r="O626" t="inlineStr">
        <is>
          <t>AI</t>
        </is>
      </c>
    </row>
    <row r="627">
      <c r="A627" t="inlineStr">
        <is>
          <t>PT BISI International Tbk</t>
        </is>
      </c>
      <c r="B627" t="inlineStr">
        <is>
          <t>BISI_2025_AR.pdf</t>
        </is>
      </c>
      <c r="C627" t="n">
        <v>2025</v>
      </c>
      <c r="D627" t="inlineStr">
        <is>
          <t>Financial</t>
        </is>
      </c>
      <c r="E627" t="inlineStr">
        <is>
          <t>Retained Earnings (Unappropriated)</t>
        </is>
      </c>
      <c r="F627" t="n">
        <v>3028767</v>
      </c>
      <c r="G627" t="inlineStr">
        <is>
          <t>IDR mn</t>
        </is>
      </c>
      <c r="H627" t="n">
        <v>2</v>
      </c>
      <c r="I627" t="inlineStr">
        <is>
          <t>Belum ditentukan penggunaannya 3,028,767</t>
        </is>
      </c>
      <c r="J627" t="inlineStr">
        <is>
          <t>High</t>
        </is>
      </c>
      <c r="M627" t="inlineStr">
        <is>
          <t>LLM</t>
        </is>
      </c>
      <c r="N627" t="inlineStr">
        <is>
          <t>2026-04-18</t>
        </is>
      </c>
      <c r="O627" t="inlineStr">
        <is>
          <t>AI</t>
        </is>
      </c>
    </row>
    <row r="628">
      <c r="A628" t="inlineStr">
        <is>
          <t>PT BISI International Tbk</t>
        </is>
      </c>
      <c r="B628" t="inlineStr">
        <is>
          <t>BISI_2025_AR.pdf</t>
        </is>
      </c>
      <c r="C628" t="n">
        <v>2025</v>
      </c>
      <c r="D628" t="inlineStr">
        <is>
          <t>Financial</t>
        </is>
      </c>
      <c r="E628" t="inlineStr">
        <is>
          <t>CFO 2025</t>
        </is>
      </c>
      <c r="F628" t="n">
        <v>-263208</v>
      </c>
      <c r="G628" t="inlineStr">
        <is>
          <t>IDR mn</t>
        </is>
      </c>
      <c r="H628" t="n">
        <v>6</v>
      </c>
      <c r="I628" t="inlineStr">
        <is>
          <t>Kas Neto Digunakan untuk Aktivitas Operasi (263,208)</t>
        </is>
      </c>
      <c r="J628" t="inlineStr">
        <is>
          <t>High</t>
        </is>
      </c>
      <c r="M628" t="inlineStr">
        <is>
          <t>LLM</t>
        </is>
      </c>
      <c r="N628" t="inlineStr">
        <is>
          <t>2026-04-18</t>
        </is>
      </c>
      <c r="O628" t="inlineStr">
        <is>
          <t>AI</t>
        </is>
      </c>
    </row>
    <row r="629">
      <c r="A629" t="inlineStr">
        <is>
          <t>PT BISI International Tbk</t>
        </is>
      </c>
      <c r="B629" t="inlineStr">
        <is>
          <t>BISI_2025_AR.pdf</t>
        </is>
      </c>
      <c r="C629" t="n">
        <v>2025</v>
      </c>
      <c r="D629" t="inlineStr">
        <is>
          <t>Financial</t>
        </is>
      </c>
      <c r="E629" t="inlineStr">
        <is>
          <t>Capex 2025</t>
        </is>
      </c>
      <c r="F629" t="n">
        <v>63023</v>
      </c>
      <c r="G629" t="inlineStr">
        <is>
          <t>IDR mn</t>
        </is>
      </c>
      <c r="H629" t="n">
        <v>6</v>
      </c>
      <c r="I629" t="inlineStr">
        <is>
          <t>Perolehan aset tetap (63,023)</t>
        </is>
      </c>
      <c r="J629" t="inlineStr">
        <is>
          <t>High</t>
        </is>
      </c>
      <c r="M629" t="inlineStr">
        <is>
          <t>LLM</t>
        </is>
      </c>
      <c r="N629" t="inlineStr">
        <is>
          <t>2026-04-18</t>
        </is>
      </c>
      <c r="O629" t="inlineStr">
        <is>
          <t>AI</t>
        </is>
      </c>
    </row>
    <row r="630">
      <c r="A630" t="inlineStr">
        <is>
          <t>PT BISI International Tbk</t>
        </is>
      </c>
      <c r="B630" t="inlineStr">
        <is>
          <t>BISI_2025_AR.pdf</t>
        </is>
      </c>
      <c r="C630" t="n">
        <v>2025</v>
      </c>
      <c r="D630" t="inlineStr">
        <is>
          <t>Financial</t>
        </is>
      </c>
      <c r="E630" t="inlineStr">
        <is>
          <t>Investing CF</t>
        </is>
      </c>
      <c r="F630" t="n">
        <v>-66725</v>
      </c>
      <c r="G630" t="inlineStr">
        <is>
          <t>IDR mn</t>
        </is>
      </c>
      <c r="H630" t="n">
        <v>6</v>
      </c>
      <c r="I630" t="inlineStr">
        <is>
          <t>Kas Neto Digunakan untuk Aktivitas Investasi (66,725)</t>
        </is>
      </c>
      <c r="J630" t="inlineStr">
        <is>
          <t>High</t>
        </is>
      </c>
      <c r="M630" t="inlineStr">
        <is>
          <t>LLM</t>
        </is>
      </c>
      <c r="N630" t="inlineStr">
        <is>
          <t>2026-04-18</t>
        </is>
      </c>
      <c r="O630" t="inlineStr">
        <is>
          <t>AI</t>
        </is>
      </c>
    </row>
    <row r="631">
      <c r="A631" t="inlineStr">
        <is>
          <t>PT BISI International Tbk</t>
        </is>
      </c>
      <c r="B631" t="inlineStr">
        <is>
          <t>BISI_2025_AR.pdf</t>
        </is>
      </c>
      <c r="C631" t="n">
        <v>2025</v>
      </c>
      <c r="D631" t="inlineStr">
        <is>
          <t>Financial</t>
        </is>
      </c>
      <c r="E631" t="inlineStr">
        <is>
          <t>Dividend Paid 2025</t>
        </is>
      </c>
      <c r="F631" t="n">
        <v>84000</v>
      </c>
      <c r="G631" t="inlineStr">
        <is>
          <t>IDR mn</t>
        </is>
      </c>
      <c r="H631" t="n">
        <v>6</v>
      </c>
      <c r="I631" t="inlineStr">
        <is>
          <t>Pembayaran dividen tunai (84,000)</t>
        </is>
      </c>
      <c r="J631" t="inlineStr">
        <is>
          <t>High</t>
        </is>
      </c>
      <c r="M631" t="inlineStr">
        <is>
          <t>LLM</t>
        </is>
      </c>
      <c r="N631" t="inlineStr">
        <is>
          <t>2026-04-18</t>
        </is>
      </c>
      <c r="O631" t="inlineStr">
        <is>
          <t>AI</t>
        </is>
      </c>
    </row>
    <row r="632">
      <c r="A632" t="inlineStr">
        <is>
          <t>PT BISI International Tbk</t>
        </is>
      </c>
      <c r="B632" t="inlineStr">
        <is>
          <t>BISI_2025_AR.pdf</t>
        </is>
      </c>
      <c r="C632" t="n">
        <v>2025</v>
      </c>
      <c r="D632" t="inlineStr">
        <is>
          <t>Financial</t>
        </is>
      </c>
      <c r="E632" t="inlineStr">
        <is>
          <t>Dividend per Share FY2024</t>
        </is>
      </c>
      <c r="F632" t="n">
        <v>28</v>
      </c>
      <c r="G632" t="inlineStr">
        <is>
          <t>IDR/share</t>
        </is>
      </c>
      <c r="H632" t="n">
        <v>6</v>
      </c>
      <c r="I632" t="inlineStr">
        <is>
          <t>Dividend paid Rp 84,000 mn / 3,000 mn shares = Rp 28/share</t>
        </is>
      </c>
      <c r="J632" t="inlineStr">
        <is>
          <t>Medium</t>
        </is>
      </c>
      <c r="M632" t="inlineStr">
        <is>
          <t>LLM</t>
        </is>
      </c>
      <c r="N632" t="inlineStr">
        <is>
          <t>2026-04-18</t>
        </is>
      </c>
      <c r="O632" t="inlineStr">
        <is>
          <t>AI</t>
        </is>
      </c>
    </row>
    <row r="633">
      <c r="A633" t="inlineStr">
        <is>
          <t>PT BISI International Tbk</t>
        </is>
      </c>
      <c r="B633" t="inlineStr">
        <is>
          <t>BISI_2025_AR.pdf</t>
        </is>
      </c>
      <c r="C633" t="n">
        <v>2025</v>
      </c>
      <c r="D633" t="inlineStr">
        <is>
          <t>Financial</t>
        </is>
      </c>
      <c r="E633" t="inlineStr">
        <is>
          <t>Financing CF</t>
        </is>
      </c>
      <c r="F633" t="n">
        <v>-89047</v>
      </c>
      <c r="G633" t="inlineStr">
        <is>
          <t>IDR mn</t>
        </is>
      </c>
      <c r="H633" t="n">
        <v>6</v>
      </c>
      <c r="I633" t="inlineStr">
        <is>
          <t>Kas Neto Digunakan untuk Aktivitas Pendanaan (89,047)</t>
        </is>
      </c>
      <c r="J633" t="inlineStr">
        <is>
          <t>High</t>
        </is>
      </c>
      <c r="M633" t="inlineStr">
        <is>
          <t>LLM</t>
        </is>
      </c>
      <c r="N633" t="inlineStr">
        <is>
          <t>2026-04-18</t>
        </is>
      </c>
      <c r="O633" t="inlineStr">
        <is>
          <t>AI</t>
        </is>
      </c>
    </row>
    <row r="634">
      <c r="A634" t="inlineStr">
        <is>
          <t>PT BISI International Tbk</t>
        </is>
      </c>
      <c r="B634" t="inlineStr">
        <is>
          <t>BISI_2025_AR.pdf</t>
        </is>
      </c>
      <c r="C634" t="n">
        <v>2025</v>
      </c>
      <c r="D634" t="inlineStr">
        <is>
          <t>Financial</t>
        </is>
      </c>
      <c r="E634" t="inlineStr">
        <is>
          <t>Cash at End of Year</t>
        </is>
      </c>
      <c r="F634" t="n">
        <v>149901</v>
      </c>
      <c r="G634" t="inlineStr">
        <is>
          <t>IDR mn</t>
        </is>
      </c>
      <c r="H634" t="n">
        <v>6</v>
      </c>
      <c r="I634" t="inlineStr">
        <is>
          <t>Kas dan Setara Kas Akhir Tahun 149,901 (after overdraft)</t>
        </is>
      </c>
      <c r="J634" t="inlineStr">
        <is>
          <t>High</t>
        </is>
      </c>
      <c r="M634" t="inlineStr">
        <is>
          <t>LLM</t>
        </is>
      </c>
      <c r="N634" t="inlineStr">
        <is>
          <t>2026-04-18</t>
        </is>
      </c>
      <c r="O634" t="inlineStr">
        <is>
          <t>AI</t>
        </is>
      </c>
    </row>
    <row r="635">
      <c r="A635" t="inlineStr">
        <is>
          <t>PT BISI International Tbk</t>
        </is>
      </c>
      <c r="B635" t="inlineStr">
        <is>
          <t>BISI_2025_AR.pdf</t>
        </is>
      </c>
      <c r="C635" t="n">
        <v>2025</v>
      </c>
      <c r="D635" t="inlineStr">
        <is>
          <t>Financial</t>
        </is>
      </c>
      <c r="E635" t="inlineStr">
        <is>
          <t>Shares Outstanding</t>
        </is>
      </c>
      <c r="F635" t="n">
        <v>3000</v>
      </c>
      <c r="G635" t="inlineStr">
        <is>
          <t>million</t>
        </is>
      </c>
      <c r="H635" t="n">
        <v>2</v>
      </c>
      <c r="I635" t="inlineStr">
        <is>
          <t>Modal ditempatkan - 3,000,000,000 saham</t>
        </is>
      </c>
      <c r="J635" t="inlineStr">
        <is>
          <t>High</t>
        </is>
      </c>
      <c r="M635" t="inlineStr">
        <is>
          <t>LLM</t>
        </is>
      </c>
      <c r="N635" t="inlineStr">
        <is>
          <t>2026-04-18</t>
        </is>
      </c>
      <c r="O635" t="inlineStr">
        <is>
          <t>AI</t>
        </is>
      </c>
    </row>
    <row r="636">
      <c r="A636" t="inlineStr">
        <is>
          <t>PT BISI International Tbk</t>
        </is>
      </c>
      <c r="B636" t="inlineStr">
        <is>
          <t>BISI_2025_AR.pdf</t>
        </is>
      </c>
      <c r="C636" t="n">
        <v>2025</v>
      </c>
      <c r="D636" t="inlineStr">
        <is>
          <t>Financial</t>
        </is>
      </c>
      <c r="E636" t="inlineStr">
        <is>
          <t>Share Capital</t>
        </is>
      </c>
      <c r="F636" t="n">
        <v>300000</v>
      </c>
      <c r="G636" t="inlineStr">
        <is>
          <t>IDR mn</t>
        </is>
      </c>
      <c r="H636" t="n">
        <v>2</v>
      </c>
      <c r="I636" t="inlineStr">
        <is>
          <t>Modal ditempatkan dan disetor penuh 300,000</t>
        </is>
      </c>
      <c r="J636" t="inlineStr">
        <is>
          <t>High</t>
        </is>
      </c>
      <c r="M636" t="inlineStr">
        <is>
          <t>LLM</t>
        </is>
      </c>
      <c r="N636" t="inlineStr">
        <is>
          <t>2026-04-18</t>
        </is>
      </c>
      <c r="O636" t="inlineStr">
        <is>
          <t>AI</t>
        </is>
      </c>
    </row>
    <row r="637">
      <c r="A637" t="inlineStr">
        <is>
          <t>PT BISI International Tbk</t>
        </is>
      </c>
      <c r="B637" t="inlineStr">
        <is>
          <t>BISI_2025_AR.pdf</t>
        </is>
      </c>
      <c r="C637" t="n">
        <v>2025</v>
      </c>
      <c r="D637" t="inlineStr">
        <is>
          <t>Financial</t>
        </is>
      </c>
      <c r="E637" t="inlineStr">
        <is>
          <t>Additional Paid-in Capital</t>
        </is>
      </c>
      <c r="F637" t="n">
        <v>99522</v>
      </c>
      <c r="G637" t="inlineStr">
        <is>
          <t>IDR mn</t>
        </is>
      </c>
      <c r="H637" t="n">
        <v>2</v>
      </c>
      <c r="I637" t="inlineStr">
        <is>
          <t>Tambahan modal disetor 99,522</t>
        </is>
      </c>
      <c r="J637" t="inlineStr">
        <is>
          <t>High</t>
        </is>
      </c>
      <c r="M637" t="inlineStr">
        <is>
          <t>LLM</t>
        </is>
      </c>
      <c r="N637" t="inlineStr">
        <is>
          <t>2026-04-18</t>
        </is>
      </c>
      <c r="O637" t="inlineStr">
        <is>
          <t>AI</t>
        </is>
      </c>
    </row>
    <row r="638">
      <c r="A638" t="inlineStr">
        <is>
          <t>PT Bumi Teknokultura Unggul Tbk</t>
        </is>
      </c>
      <c r="B638" t="inlineStr">
        <is>
          <t>BTEK_2022_AR.pdf</t>
        </is>
      </c>
      <c r="C638" t="n">
        <v>2022</v>
      </c>
      <c r="D638" t="inlineStr">
        <is>
          <t>Financial</t>
        </is>
      </c>
      <c r="E638" t="inlineStr">
        <is>
          <t>Revenue</t>
        </is>
      </c>
      <c r="F638" t="n">
        <v>153.5</v>
      </c>
      <c r="G638" t="inlineStr">
        <is>
          <t>IDR bn</t>
        </is>
      </c>
      <c r="H638" t="n">
        <v>5</v>
      </c>
      <c r="I638" t="inlineStr">
        <is>
          <t>Pendapatan Revenue 153.501.795.074 (2022); narrative: 'revenue of IDR 153.50 billion'.</t>
        </is>
      </c>
      <c r="J638" t="inlineStr">
        <is>
          <t>High</t>
        </is>
      </c>
      <c r="M638" t="inlineStr">
        <is>
          <t>LLM</t>
        </is>
      </c>
      <c r="N638" t="inlineStr">
        <is>
          <t>2026-04-18</t>
        </is>
      </c>
      <c r="O638" t="inlineStr">
        <is>
          <t>AI</t>
        </is>
      </c>
    </row>
    <row r="639">
      <c r="A639" t="inlineStr">
        <is>
          <t>PT Bumi Teknokultura Unggul Tbk</t>
        </is>
      </c>
      <c r="B639" t="inlineStr">
        <is>
          <t>BTEK_2022_AR.pdf</t>
        </is>
      </c>
      <c r="C639" t="n">
        <v>2022</v>
      </c>
      <c r="D639" t="inlineStr">
        <is>
          <t>Financial</t>
        </is>
      </c>
      <c r="E639" t="inlineStr">
        <is>
          <t>Cost of Goods Sold</t>
        </is>
      </c>
      <c r="F639" t="n">
        <v>-165.32</v>
      </c>
      <c r="G639" t="inlineStr">
        <is>
          <t>IDR bn</t>
        </is>
      </c>
      <c r="H639" t="n">
        <v>5</v>
      </c>
      <c r="I639" t="inlineStr">
        <is>
          <t>Beban Pokok Penjualan (165.324.746.502).</t>
        </is>
      </c>
      <c r="J639" t="inlineStr">
        <is>
          <t>High</t>
        </is>
      </c>
      <c r="M639" t="inlineStr">
        <is>
          <t>LLM</t>
        </is>
      </c>
      <c r="N639" t="inlineStr">
        <is>
          <t>2026-04-18</t>
        </is>
      </c>
      <c r="O639" t="inlineStr">
        <is>
          <t>AI</t>
        </is>
      </c>
    </row>
    <row r="640">
      <c r="A640" t="inlineStr">
        <is>
          <t>PT Bumi Teknokultura Unggul Tbk</t>
        </is>
      </c>
      <c r="B640" t="inlineStr">
        <is>
          <t>BTEK_2022_AR.pdf</t>
        </is>
      </c>
      <c r="C640" t="n">
        <v>2022</v>
      </c>
      <c r="D640" t="inlineStr">
        <is>
          <t>Financial</t>
        </is>
      </c>
      <c r="E640" t="inlineStr">
        <is>
          <t>Gross Profit (Loss)</t>
        </is>
      </c>
      <c r="F640" t="n">
        <v>-11.82</v>
      </c>
      <c r="G640" t="inlineStr">
        <is>
          <t>IDR bn</t>
        </is>
      </c>
      <c r="H640" t="n">
        <v>5</v>
      </c>
      <c r="I640" t="inlineStr">
        <is>
          <t>Laba (Rugi) Kotor (11.822.951.428).</t>
        </is>
      </c>
      <c r="J640" t="inlineStr">
        <is>
          <t>High</t>
        </is>
      </c>
      <c r="M640" t="inlineStr">
        <is>
          <t>LLM</t>
        </is>
      </c>
      <c r="N640" t="inlineStr">
        <is>
          <t>2026-04-18</t>
        </is>
      </c>
      <c r="O640" t="inlineStr">
        <is>
          <t>AI</t>
        </is>
      </c>
    </row>
    <row r="641">
      <c r="A641" t="inlineStr">
        <is>
          <t>PT Bumi Teknokultura Unggul Tbk</t>
        </is>
      </c>
      <c r="B641" t="inlineStr">
        <is>
          <t>BTEK_2022_AR.pdf</t>
        </is>
      </c>
      <c r="C641" t="n">
        <v>2022</v>
      </c>
      <c r="D641" t="inlineStr">
        <is>
          <t>Financial</t>
        </is>
      </c>
      <c r="E641" t="inlineStr">
        <is>
          <t>Operating Profit (Loss)</t>
        </is>
      </c>
      <c r="F641" t="n">
        <v>-41.02</v>
      </c>
      <c r="G641" t="inlineStr">
        <is>
          <t>IDR bn</t>
        </is>
      </c>
      <c r="H641" t="n">
        <v>5</v>
      </c>
      <c r="I641" t="inlineStr">
        <is>
          <t>Laba (Rugi) Operasi (41.023.916.043).</t>
        </is>
      </c>
      <c r="J641" t="inlineStr">
        <is>
          <t>High</t>
        </is>
      </c>
      <c r="M641" t="inlineStr">
        <is>
          <t>LLM</t>
        </is>
      </c>
      <c r="N641" t="inlineStr">
        <is>
          <t>2026-04-18</t>
        </is>
      </c>
      <c r="O641" t="inlineStr">
        <is>
          <t>AI</t>
        </is>
      </c>
    </row>
    <row r="642">
      <c r="A642" t="inlineStr">
        <is>
          <t>PT Bumi Teknokultura Unggul Tbk</t>
        </is>
      </c>
      <c r="B642" t="inlineStr">
        <is>
          <t>BTEK_2022_AR.pdf</t>
        </is>
      </c>
      <c r="C642" t="n">
        <v>2022</v>
      </c>
      <c r="D642" t="inlineStr">
        <is>
          <t>Financial</t>
        </is>
      </c>
      <c r="E642" t="inlineStr">
        <is>
          <t>Loss Before Tax</t>
        </is>
      </c>
      <c r="F642" t="n">
        <v>-133.37</v>
      </c>
      <c r="G642" t="inlineStr">
        <is>
          <t>IDR bn</t>
        </is>
      </c>
      <c r="H642" t="n">
        <v>5</v>
      </c>
      <c r="I642" t="inlineStr">
        <is>
          <t>Laba (Rugi) Sebelum Pajak (133.368.687.723).</t>
        </is>
      </c>
      <c r="J642" t="inlineStr">
        <is>
          <t>High</t>
        </is>
      </c>
      <c r="M642" t="inlineStr">
        <is>
          <t>LLM</t>
        </is>
      </c>
      <c r="N642" t="inlineStr">
        <is>
          <t>2026-04-18</t>
        </is>
      </c>
      <c r="O642" t="inlineStr">
        <is>
          <t>AI</t>
        </is>
      </c>
    </row>
    <row r="643">
      <c r="A643" t="inlineStr">
        <is>
          <t>PT Bumi Teknokultura Unggul Tbk</t>
        </is>
      </c>
      <c r="B643" t="inlineStr">
        <is>
          <t>BTEK_2022_AR.pdf</t>
        </is>
      </c>
      <c r="C643" t="n">
        <v>2022</v>
      </c>
      <c r="D643" t="inlineStr">
        <is>
          <t>Financial</t>
        </is>
      </c>
      <c r="E643" t="inlineStr">
        <is>
          <t>Total Comprehensive Loss</t>
        </is>
      </c>
      <c r="F643" t="n">
        <v>-358.68</v>
      </c>
      <c r="G643" t="inlineStr">
        <is>
          <t>IDR bn</t>
        </is>
      </c>
      <c r="H643" t="n">
        <v>5</v>
      </c>
      <c r="I643" t="inlineStr">
        <is>
          <t>Laba (Rugi) Komprehensif (358.677.641.678).</t>
        </is>
      </c>
      <c r="J643" t="inlineStr">
        <is>
          <t>High</t>
        </is>
      </c>
      <c r="M643" t="inlineStr">
        <is>
          <t>LLM</t>
        </is>
      </c>
      <c r="N643" t="inlineStr">
        <is>
          <t>2026-04-18</t>
        </is>
      </c>
      <c r="O643" t="inlineStr">
        <is>
          <t>AI</t>
        </is>
      </c>
    </row>
    <row r="644">
      <c r="A644" t="inlineStr">
        <is>
          <t>PT Bumi Teknokultura Unggul Tbk</t>
        </is>
      </c>
      <c r="B644" t="inlineStr">
        <is>
          <t>BTEK_2022_AR.pdf</t>
        </is>
      </c>
      <c r="C644" t="n">
        <v>2022</v>
      </c>
      <c r="D644" t="inlineStr">
        <is>
          <t>Financial</t>
        </is>
      </c>
      <c r="E644" t="inlineStr">
        <is>
          <t>Current Assets</t>
        </is>
      </c>
      <c r="F644" t="n">
        <v>75.77</v>
      </c>
      <c r="G644" t="inlineStr">
        <is>
          <t>IDR bn</t>
        </is>
      </c>
      <c r="H644" t="n">
        <v>5</v>
      </c>
      <c r="I644" t="inlineStr">
        <is>
          <t>Aset Lancar 75.771.225.837.</t>
        </is>
      </c>
      <c r="J644" t="inlineStr">
        <is>
          <t>High</t>
        </is>
      </c>
      <c r="M644" t="inlineStr">
        <is>
          <t>LLM</t>
        </is>
      </c>
      <c r="N644" t="inlineStr">
        <is>
          <t>2026-04-18</t>
        </is>
      </c>
      <c r="O644" t="inlineStr">
        <is>
          <t>AI</t>
        </is>
      </c>
    </row>
    <row r="645">
      <c r="A645" t="inlineStr">
        <is>
          <t>PT Bumi Teknokultura Unggul Tbk</t>
        </is>
      </c>
      <c r="B645" t="inlineStr">
        <is>
          <t>BTEK_2022_AR.pdf</t>
        </is>
      </c>
      <c r="C645" t="n">
        <v>2022</v>
      </c>
      <c r="D645" t="inlineStr">
        <is>
          <t>Financial</t>
        </is>
      </c>
      <c r="E645" t="inlineStr">
        <is>
          <t>Non-Current Assets</t>
        </is>
      </c>
      <c r="F645" t="n">
        <v>4066.27</v>
      </c>
      <c r="G645" t="inlineStr">
        <is>
          <t>IDR bn</t>
        </is>
      </c>
      <c r="H645" t="n">
        <v>5</v>
      </c>
      <c r="I645" t="inlineStr">
        <is>
          <t>Aset Tidak Lancar 4.066.268.578.024.</t>
        </is>
      </c>
      <c r="J645" t="inlineStr">
        <is>
          <t>High</t>
        </is>
      </c>
      <c r="M645" t="inlineStr">
        <is>
          <t>LLM</t>
        </is>
      </c>
      <c r="N645" t="inlineStr">
        <is>
          <t>2026-04-18</t>
        </is>
      </c>
      <c r="O645" t="inlineStr">
        <is>
          <t>AI</t>
        </is>
      </c>
    </row>
    <row r="646">
      <c r="A646" t="inlineStr">
        <is>
          <t>PT Bumi Teknokultura Unggul Tbk</t>
        </is>
      </c>
      <c r="B646" t="inlineStr">
        <is>
          <t>BTEK_2022_AR.pdf</t>
        </is>
      </c>
      <c r="C646" t="n">
        <v>2022</v>
      </c>
      <c r="D646" t="inlineStr">
        <is>
          <t>Financial</t>
        </is>
      </c>
      <c r="E646" t="inlineStr">
        <is>
          <t>Total Assets</t>
        </is>
      </c>
      <c r="F646" t="n">
        <v>4142.04</v>
      </c>
      <c r="G646" t="inlineStr">
        <is>
          <t>IDR bn</t>
        </is>
      </c>
      <c r="H646" t="n">
        <v>5</v>
      </c>
      <c r="I646" t="inlineStr">
        <is>
          <t>Total Aset 4.142.039.803.861.</t>
        </is>
      </c>
      <c r="J646" t="inlineStr">
        <is>
          <t>High</t>
        </is>
      </c>
      <c r="M646" t="inlineStr">
        <is>
          <t>LLM</t>
        </is>
      </c>
      <c r="N646" t="inlineStr">
        <is>
          <t>2026-04-18</t>
        </is>
      </c>
      <c r="O646" t="inlineStr">
        <is>
          <t>AI</t>
        </is>
      </c>
    </row>
    <row r="647">
      <c r="A647" t="inlineStr">
        <is>
          <t>PT Bumi Teknokultura Unggul Tbk</t>
        </is>
      </c>
      <c r="B647" t="inlineStr">
        <is>
          <t>BTEK_2022_AR.pdf</t>
        </is>
      </c>
      <c r="C647" t="n">
        <v>2022</v>
      </c>
      <c r="D647" t="inlineStr">
        <is>
          <t>Financial</t>
        </is>
      </c>
      <c r="E647" t="inlineStr">
        <is>
          <t>Current Liabilities</t>
        </is>
      </c>
      <c r="F647" t="n">
        <v>218.11</v>
      </c>
      <c r="G647" t="inlineStr">
        <is>
          <t>IDR bn</t>
        </is>
      </c>
      <c r="H647" t="n">
        <v>5</v>
      </c>
      <c r="I647" t="inlineStr">
        <is>
          <t>Liabilitas Jangka Pendek 218.111.044.963.</t>
        </is>
      </c>
      <c r="J647" t="inlineStr">
        <is>
          <t>High</t>
        </is>
      </c>
      <c r="M647" t="inlineStr">
        <is>
          <t>LLM</t>
        </is>
      </c>
      <c r="N647" t="inlineStr">
        <is>
          <t>2026-04-18</t>
        </is>
      </c>
      <c r="O647" t="inlineStr">
        <is>
          <t>AI</t>
        </is>
      </c>
    </row>
    <row r="648">
      <c r="A648" t="inlineStr">
        <is>
          <t>PT Bumi Teknokultura Unggul Tbk</t>
        </is>
      </c>
      <c r="B648" t="inlineStr">
        <is>
          <t>BTEK_2022_AR.pdf</t>
        </is>
      </c>
      <c r="C648" t="n">
        <v>2022</v>
      </c>
      <c r="D648" t="inlineStr">
        <is>
          <t>Financial</t>
        </is>
      </c>
      <c r="E648" t="inlineStr">
        <is>
          <t>Non-Current Liabilities</t>
        </is>
      </c>
      <c r="F648" t="n">
        <v>2721.02</v>
      </c>
      <c r="G648" t="inlineStr">
        <is>
          <t>IDR bn</t>
        </is>
      </c>
      <c r="H648" t="n">
        <v>5</v>
      </c>
      <c r="I648" t="inlineStr">
        <is>
          <t>Liabilitas Jangka Panjang 2.721.016.473.480.</t>
        </is>
      </c>
      <c r="J648" t="inlineStr">
        <is>
          <t>High</t>
        </is>
      </c>
      <c r="M648" t="inlineStr">
        <is>
          <t>LLM</t>
        </is>
      </c>
      <c r="N648" t="inlineStr">
        <is>
          <t>2026-04-18</t>
        </is>
      </c>
      <c r="O648" t="inlineStr">
        <is>
          <t>AI</t>
        </is>
      </c>
    </row>
    <row r="649">
      <c r="A649" t="inlineStr">
        <is>
          <t>PT Bumi Teknokultura Unggul Tbk</t>
        </is>
      </c>
      <c r="B649" t="inlineStr">
        <is>
          <t>BTEK_2022_AR.pdf</t>
        </is>
      </c>
      <c r="C649" t="n">
        <v>2022</v>
      </c>
      <c r="D649" t="inlineStr">
        <is>
          <t>Financial</t>
        </is>
      </c>
      <c r="E649" t="inlineStr">
        <is>
          <t>Total Liabilities</t>
        </is>
      </c>
      <c r="F649" t="n">
        <v>2939.13</v>
      </c>
      <c r="G649" t="inlineStr">
        <is>
          <t>IDR bn</t>
        </is>
      </c>
      <c r="H649" t="n">
        <v>5</v>
      </c>
      <c r="I649" t="inlineStr">
        <is>
          <t>Total Liabilitas 2.939.127.518.443.</t>
        </is>
      </c>
      <c r="J649" t="inlineStr">
        <is>
          <t>High</t>
        </is>
      </c>
      <c r="M649" t="inlineStr">
        <is>
          <t>LLM</t>
        </is>
      </c>
      <c r="N649" t="inlineStr">
        <is>
          <t>2026-04-18</t>
        </is>
      </c>
      <c r="O649" t="inlineStr">
        <is>
          <t>AI</t>
        </is>
      </c>
    </row>
    <row r="650">
      <c r="A650" t="inlineStr">
        <is>
          <t>PT Bumi Teknokultura Unggul Tbk</t>
        </is>
      </c>
      <c r="B650" t="inlineStr">
        <is>
          <t>BTEK_2022_AR.pdf</t>
        </is>
      </c>
      <c r="C650" t="n">
        <v>2022</v>
      </c>
      <c r="D650" t="inlineStr">
        <is>
          <t>Financial</t>
        </is>
      </c>
      <c r="E650" t="inlineStr">
        <is>
          <t>Total Equity</t>
        </is>
      </c>
      <c r="F650" t="n">
        <v>1202.91</v>
      </c>
      <c r="G650" t="inlineStr">
        <is>
          <t>IDR bn</t>
        </is>
      </c>
      <c r="H650" t="n">
        <v>5</v>
      </c>
      <c r="I650" t="inlineStr">
        <is>
          <t>Total Ekuitas 1.202.912.285.419.</t>
        </is>
      </c>
      <c r="J650" t="inlineStr">
        <is>
          <t>High</t>
        </is>
      </c>
      <c r="M650" t="inlineStr">
        <is>
          <t>LLM</t>
        </is>
      </c>
      <c r="N650" t="inlineStr">
        <is>
          <t>2026-04-18</t>
        </is>
      </c>
      <c r="O650" t="inlineStr">
        <is>
          <t>AI</t>
        </is>
      </c>
    </row>
    <row r="651">
      <c r="A651" t="inlineStr">
        <is>
          <t>PT Bumi Teknokultura Unggul Tbk</t>
        </is>
      </c>
      <c r="B651" t="inlineStr">
        <is>
          <t>BTEK_2022_AR.pdf</t>
        </is>
      </c>
      <c r="C651" t="n">
        <v>2022</v>
      </c>
      <c r="D651" t="inlineStr">
        <is>
          <t>Financial</t>
        </is>
      </c>
      <c r="E651" t="inlineStr">
        <is>
          <t>Cash &amp; equivalents</t>
        </is>
      </c>
      <c r="F651" t="n">
        <v>8.93</v>
      </c>
      <c r="G651" t="inlineStr">
        <is>
          <t>IDR bn</t>
        </is>
      </c>
      <c r="H651" t="n">
        <v>101</v>
      </c>
      <c r="I651" t="inlineStr">
        <is>
          <t>Kas dan setara kas 8.927.746.076 (2022).</t>
        </is>
      </c>
      <c r="J651" t="inlineStr">
        <is>
          <t>High</t>
        </is>
      </c>
      <c r="M651" t="inlineStr">
        <is>
          <t>LLM</t>
        </is>
      </c>
      <c r="N651" t="inlineStr">
        <is>
          <t>2026-04-18</t>
        </is>
      </c>
      <c r="O651" t="inlineStr">
        <is>
          <t>AI</t>
        </is>
      </c>
    </row>
    <row r="652">
      <c r="A652" t="inlineStr">
        <is>
          <t>PT Bumi Teknokultura Unggul Tbk</t>
        </is>
      </c>
      <c r="B652" t="inlineStr">
        <is>
          <t>BTEK_2022_AR.pdf</t>
        </is>
      </c>
      <c r="C652" t="n">
        <v>2022</v>
      </c>
      <c r="D652" t="inlineStr">
        <is>
          <t>Financial</t>
        </is>
      </c>
      <c r="E652" t="inlineStr">
        <is>
          <t>Bank loans (gross debt)</t>
        </is>
      </c>
      <c r="F652" t="n">
        <v>2478.57</v>
      </c>
      <c r="G652" t="inlineStr">
        <is>
          <t>IDR bn</t>
        </is>
      </c>
      <c r="H652" t="n">
        <v>101</v>
      </c>
      <c r="I652" t="inlineStr">
        <is>
          <t>Utang bank 2.478.574.652.960 (2022).</t>
        </is>
      </c>
      <c r="J652" t="inlineStr">
        <is>
          <t>High</t>
        </is>
      </c>
      <c r="M652" t="inlineStr">
        <is>
          <t>LLM</t>
        </is>
      </c>
      <c r="N652" t="inlineStr">
        <is>
          <t>2026-04-18</t>
        </is>
      </c>
      <c r="O652" t="inlineStr">
        <is>
          <t>AI</t>
        </is>
      </c>
    </row>
    <row r="653">
      <c r="A653" t="inlineStr">
        <is>
          <t>PT Bumi Teknokultura Unggul Tbk</t>
        </is>
      </c>
      <c r="B653" t="inlineStr">
        <is>
          <t>BTEK_2022_AR.pdf</t>
        </is>
      </c>
      <c r="C653" t="n">
        <v>2022</v>
      </c>
      <c r="D653" t="inlineStr">
        <is>
          <t>Financial</t>
        </is>
      </c>
      <c r="E653" t="inlineStr">
        <is>
          <t>Net cash from operations (CFO)</t>
        </is>
      </c>
      <c r="F653" t="n">
        <v>22.56</v>
      </c>
      <c r="G653" t="inlineStr">
        <is>
          <t>IDR bn</t>
        </is>
      </c>
      <c r="H653" t="n">
        <v>103</v>
      </c>
      <c r="I653" t="inlineStr">
        <is>
          <t>Kas Bersih Diperoleh Dari Aktivitas Operasi 22.560.048.153.</t>
        </is>
      </c>
      <c r="J653" t="inlineStr">
        <is>
          <t>High</t>
        </is>
      </c>
      <c r="M653" t="inlineStr">
        <is>
          <t>LLM</t>
        </is>
      </c>
      <c r="N653" t="inlineStr">
        <is>
          <t>2026-04-18</t>
        </is>
      </c>
      <c r="O653" t="inlineStr">
        <is>
          <t>AI</t>
        </is>
      </c>
    </row>
    <row r="654">
      <c r="A654" t="inlineStr">
        <is>
          <t>PT Bumi Teknokultura Unggul Tbk</t>
        </is>
      </c>
      <c r="B654" t="inlineStr">
        <is>
          <t>BTEK_2022_AR.pdf</t>
        </is>
      </c>
      <c r="C654" t="n">
        <v>2022</v>
      </c>
      <c r="D654" t="inlineStr">
        <is>
          <t>Financial</t>
        </is>
      </c>
      <c r="E654" t="inlineStr">
        <is>
          <t>Capex (acq. of fixed &amp; intangible assets)</t>
        </is>
      </c>
      <c r="F654" t="n">
        <v>0.2</v>
      </c>
      <c r="G654" t="inlineStr">
        <is>
          <t>IDR bn</t>
        </is>
      </c>
      <c r="H654" t="n">
        <v>103</v>
      </c>
      <c r="I654" t="inlineStr">
        <is>
          <t>Perolehan aset tetap (161.288.536) + Perolehan aset tak berwujud (42.830.173) = 204.118.709.</t>
        </is>
      </c>
      <c r="J654" t="inlineStr">
        <is>
          <t>High</t>
        </is>
      </c>
      <c r="M654" t="inlineStr">
        <is>
          <t>LLM</t>
        </is>
      </c>
      <c r="N654" t="inlineStr">
        <is>
          <t>2026-04-18</t>
        </is>
      </c>
      <c r="O654" t="inlineStr">
        <is>
          <t>AI</t>
        </is>
      </c>
    </row>
    <row r="655">
      <c r="A655" t="inlineStr">
        <is>
          <t>PT Bumi Teknokultura Unggul Tbk</t>
        </is>
      </c>
      <c r="B655" t="inlineStr">
        <is>
          <t>BTEK_2022_AR.pdf</t>
        </is>
      </c>
      <c r="C655" t="n">
        <v>2022</v>
      </c>
      <c r="D655" t="inlineStr">
        <is>
          <t>Financial</t>
        </is>
      </c>
      <c r="E655" t="inlineStr">
        <is>
          <t>Depreciation expense</t>
        </is>
      </c>
      <c r="F655" t="n">
        <v>51.51</v>
      </c>
      <c r="G655" t="inlineStr">
        <is>
          <t>IDR bn</t>
        </is>
      </c>
      <c r="H655" t="n">
        <v>130</v>
      </c>
      <c r="I655" t="inlineStr">
        <is>
          <t>Beban penyusutan aset tetap 51.512.668.722 (2022).</t>
        </is>
      </c>
      <c r="J655" t="inlineStr">
        <is>
          <t>High</t>
        </is>
      </c>
      <c r="M655" t="inlineStr">
        <is>
          <t>LLM</t>
        </is>
      </c>
      <c r="N655" t="inlineStr">
        <is>
          <t>2026-04-18</t>
        </is>
      </c>
      <c r="O655" t="inlineStr">
        <is>
          <t>AI</t>
        </is>
      </c>
    </row>
    <row r="656">
      <c r="A656" t="inlineStr">
        <is>
          <t>PT Bumi Teknokultura Unggul Tbk</t>
        </is>
      </c>
      <c r="B656" t="inlineStr">
        <is>
          <t>BTEK_2022_AR.pdf</t>
        </is>
      </c>
      <c r="C656" t="n">
        <v>2022</v>
      </c>
      <c r="D656" t="inlineStr">
        <is>
          <t>Financial</t>
        </is>
      </c>
      <c r="E656" t="inlineStr">
        <is>
          <t>Current ratio</t>
        </is>
      </c>
      <c r="F656" t="n">
        <v>0.35</v>
      </c>
      <c r="G656" t="inlineStr">
        <is>
          <t>x</t>
        </is>
      </c>
      <c r="H656" t="n">
        <v>5</v>
      </c>
      <c r="I656" t="inlineStr">
        <is>
          <t>Rasio Lancar Current Ratio 0,35.</t>
        </is>
      </c>
      <c r="J656" t="inlineStr">
        <is>
          <t>High</t>
        </is>
      </c>
      <c r="M656" t="inlineStr">
        <is>
          <t>LLM</t>
        </is>
      </c>
      <c r="N656" t="inlineStr">
        <is>
          <t>2026-04-18</t>
        </is>
      </c>
      <c r="O656" t="inlineStr">
        <is>
          <t>AI</t>
        </is>
      </c>
    </row>
    <row r="657">
      <c r="A657" t="inlineStr">
        <is>
          <t>PT Bumi Teknokultura Unggul Tbk</t>
        </is>
      </c>
      <c r="B657" t="inlineStr">
        <is>
          <t>BTEK_2022_AR.pdf</t>
        </is>
      </c>
      <c r="C657" t="n">
        <v>2022</v>
      </c>
      <c r="D657" t="inlineStr">
        <is>
          <t>Financial</t>
        </is>
      </c>
      <c r="E657" t="inlineStr">
        <is>
          <t>Debt to Equity</t>
        </is>
      </c>
      <c r="F657" t="n">
        <v>2.44</v>
      </c>
      <c r="G657" t="inlineStr">
        <is>
          <t>x</t>
        </is>
      </c>
      <c r="H657" t="n">
        <v>5</v>
      </c>
      <c r="I657" t="inlineStr">
        <is>
          <t>Debt to Equity Ratio (x) 2,44.</t>
        </is>
      </c>
      <c r="J657" t="inlineStr">
        <is>
          <t>High</t>
        </is>
      </c>
      <c r="M657" t="inlineStr">
        <is>
          <t>LLM</t>
        </is>
      </c>
      <c r="N657" t="inlineStr">
        <is>
          <t>2026-04-18</t>
        </is>
      </c>
      <c r="O657" t="inlineStr">
        <is>
          <t>AI</t>
        </is>
      </c>
    </row>
    <row r="658">
      <c r="A658" t="inlineStr">
        <is>
          <t>PT Bumi Teknokultura Unggul Tbk</t>
        </is>
      </c>
      <c r="B658" t="inlineStr">
        <is>
          <t>BTEK_2022_AR.pdf</t>
        </is>
      </c>
      <c r="C658" t="n">
        <v>2022</v>
      </c>
      <c r="D658" t="inlineStr">
        <is>
          <t>Financial</t>
        </is>
      </c>
      <c r="E658" t="inlineStr">
        <is>
          <t>Debt to Assets</t>
        </is>
      </c>
      <c r="F658" t="n">
        <v>0.71</v>
      </c>
      <c r="G658" t="inlineStr">
        <is>
          <t>x</t>
        </is>
      </c>
      <c r="H658" t="n">
        <v>5</v>
      </c>
      <c r="I658" t="inlineStr">
        <is>
          <t>Debt to Assets Ratio (x) 0,71.</t>
        </is>
      </c>
      <c r="J658" t="inlineStr">
        <is>
          <t>High</t>
        </is>
      </c>
      <c r="M658" t="inlineStr">
        <is>
          <t>LLM</t>
        </is>
      </c>
      <c r="N658" t="inlineStr">
        <is>
          <t>2026-04-18</t>
        </is>
      </c>
      <c r="O658" t="inlineStr">
        <is>
          <t>AI</t>
        </is>
      </c>
    </row>
    <row r="659">
      <c r="A659" t="inlineStr">
        <is>
          <t>PT Bumi Teknokultura Unggul Tbk</t>
        </is>
      </c>
      <c r="B659" t="inlineStr">
        <is>
          <t>BTEK_2022_AR.pdf</t>
        </is>
      </c>
      <c r="C659" t="n">
        <v>2022</v>
      </c>
      <c r="D659" t="inlineStr">
        <is>
          <t>Financial</t>
        </is>
      </c>
      <c r="E659" t="inlineStr">
        <is>
          <t>Gross Profit Margin</t>
        </is>
      </c>
      <c r="F659" t="n">
        <v>-0.077</v>
      </c>
      <c r="G659" t="inlineStr">
        <is>
          <t>ratio</t>
        </is>
      </c>
      <c r="H659" t="n">
        <v>5</v>
      </c>
      <c r="I659" t="inlineStr">
        <is>
          <t>Margin Laba Kotor -7,70%.</t>
        </is>
      </c>
      <c r="J659" t="inlineStr">
        <is>
          <t>High</t>
        </is>
      </c>
      <c r="M659" t="inlineStr">
        <is>
          <t>LLM</t>
        </is>
      </c>
      <c r="N659" t="inlineStr">
        <is>
          <t>2026-04-18</t>
        </is>
      </c>
      <c r="O659" t="inlineStr">
        <is>
          <t>AI</t>
        </is>
      </c>
    </row>
    <row r="660">
      <c r="A660" t="inlineStr">
        <is>
          <t>PT Bumi Teknokultura Unggul Tbk</t>
        </is>
      </c>
      <c r="B660" t="inlineStr">
        <is>
          <t>BTEK_2022_AR.pdf</t>
        </is>
      </c>
      <c r="C660" t="n">
        <v>2022</v>
      </c>
      <c r="D660" t="inlineStr">
        <is>
          <t>Financial</t>
        </is>
      </c>
      <c r="E660" t="inlineStr">
        <is>
          <t>Net (Comprehensive) Profit Margin</t>
        </is>
      </c>
      <c r="F660" t="n">
        <v>-2.3366</v>
      </c>
      <c r="G660" t="inlineStr">
        <is>
          <t>ratio</t>
        </is>
      </c>
      <c r="H660" t="n">
        <v>5</v>
      </c>
      <c r="I660" t="inlineStr">
        <is>
          <t>Margin Laba Komprehensif -233,66%.</t>
        </is>
      </c>
      <c r="J660" t="inlineStr">
        <is>
          <t>High</t>
        </is>
      </c>
      <c r="M660" t="inlineStr">
        <is>
          <t>LLM</t>
        </is>
      </c>
      <c r="N660" t="inlineStr">
        <is>
          <t>2026-04-18</t>
        </is>
      </c>
      <c r="O660" t="inlineStr">
        <is>
          <t>AI</t>
        </is>
      </c>
    </row>
    <row r="661">
      <c r="A661" t="inlineStr">
        <is>
          <t>PT Bumi Teknokultura Unggul Tbk</t>
        </is>
      </c>
      <c r="B661" t="inlineStr">
        <is>
          <t>BTEK_2022_AR.pdf</t>
        </is>
      </c>
      <c r="C661" t="n">
        <v>2022</v>
      </c>
      <c r="D661" t="inlineStr">
        <is>
          <t>Financial</t>
        </is>
      </c>
      <c r="E661" t="inlineStr">
        <is>
          <t>Shares outstanding (post split)</t>
        </is>
      </c>
      <c r="F661" t="n">
        <v>46277.5</v>
      </c>
      <c r="G661" t="inlineStr">
        <is>
          <t>mn shares</t>
        </is>
      </c>
      <c r="H661" t="n">
        <v>22</v>
      </c>
      <c r="I661" t="inlineStr">
        <is>
          <t>Jumlah saham 46.277.496.376 lembar saham setelah STOCK SPLIT 15 Agustus 2017, nominal Rp 12,50 / saham.</t>
        </is>
      </c>
      <c r="J661" t="inlineStr">
        <is>
          <t>High</t>
        </is>
      </c>
      <c r="M661" t="inlineStr">
        <is>
          <t>LLM</t>
        </is>
      </c>
      <c r="N661" t="inlineStr">
        <is>
          <t>2026-04-18</t>
        </is>
      </c>
      <c r="O661" t="inlineStr">
        <is>
          <t>AI</t>
        </is>
      </c>
    </row>
    <row r="662">
      <c r="A662" t="inlineStr">
        <is>
          <t>PT Bumi Teknokultura Unggul Tbk</t>
        </is>
      </c>
      <c r="B662" t="inlineStr">
        <is>
          <t>BTEK_2022_AR.pdf</t>
        </is>
      </c>
      <c r="C662" t="n">
        <v>2022</v>
      </c>
      <c r="D662" t="inlineStr">
        <is>
          <t>Financial</t>
        </is>
      </c>
      <c r="E662" t="inlineStr">
        <is>
          <t>Closing share price (Dec 2022)</t>
        </is>
      </c>
      <c r="F662" t="n">
        <v>50</v>
      </c>
      <c r="G662" t="inlineStr">
        <is>
          <t>Rp/share</t>
        </is>
      </c>
      <c r="H662" t="n">
        <v>23</v>
      </c>
      <c r="I662" t="inlineStr">
        <is>
          <t>December 2022 Tertinggi 50 Terendah 50 Penutupan 50.</t>
        </is>
      </c>
      <c r="J662" t="inlineStr">
        <is>
          <t>High</t>
        </is>
      </c>
      <c r="M662" t="inlineStr">
        <is>
          <t>LLM</t>
        </is>
      </c>
      <c r="N662" t="inlineStr">
        <is>
          <t>2026-04-18</t>
        </is>
      </c>
      <c r="O662" t="inlineStr">
        <is>
          <t>AI</t>
        </is>
      </c>
    </row>
    <row r="663">
      <c r="A663" t="inlineStr">
        <is>
          <t>PT Bumi Teknokultura Unggul Tbk</t>
        </is>
      </c>
      <c r="B663" t="inlineStr">
        <is>
          <t>BTEK_2022_AR.pdf</t>
        </is>
      </c>
      <c r="C663" t="n">
        <v>2022</v>
      </c>
      <c r="D663" t="inlineStr">
        <is>
          <t>Operation</t>
        </is>
      </c>
      <c r="E663" t="inlineStr">
        <is>
          <t>Cocoa butter production</t>
        </is>
      </c>
      <c r="F663" t="n">
        <v>8437.68</v>
      </c>
      <c r="G663" t="inlineStr">
        <is>
          <t>MT</t>
        </is>
      </c>
      <c r="H663" t="n">
        <v>33</v>
      </c>
      <c r="I663" t="inlineStr">
        <is>
          <t>produksi pada tahun 2022 masing-masing sebesar 8.437,68 Metrik Ton (cocoa butter).</t>
        </is>
      </c>
      <c r="J663" t="inlineStr">
        <is>
          <t>High</t>
        </is>
      </c>
      <c r="M663" t="inlineStr">
        <is>
          <t>LLM</t>
        </is>
      </c>
      <c r="N663" t="inlineStr">
        <is>
          <t>2026-04-18</t>
        </is>
      </c>
      <c r="O663" t="inlineStr">
        <is>
          <t>AI</t>
        </is>
      </c>
    </row>
    <row r="664">
      <c r="A664" t="inlineStr">
        <is>
          <t>PT Bumi Teknokultura Unggul Tbk</t>
        </is>
      </c>
      <c r="B664" t="inlineStr">
        <is>
          <t>BTEK_2022_AR.pdf</t>
        </is>
      </c>
      <c r="C664" t="n">
        <v>2022</v>
      </c>
      <c r="D664" t="inlineStr">
        <is>
          <t>Operation</t>
        </is>
      </c>
      <c r="E664" t="inlineStr">
        <is>
          <t>Cocoa cake production</t>
        </is>
      </c>
      <c r="F664" t="n">
        <v>7673.43</v>
      </c>
      <c r="G664" t="inlineStr">
        <is>
          <t>MT</t>
        </is>
      </c>
      <c r="H664" t="n">
        <v>33</v>
      </c>
      <c r="I664" t="inlineStr">
        <is>
          <t>7.673,43 MT (cocoa cake).</t>
        </is>
      </c>
      <c r="J664" t="inlineStr">
        <is>
          <t>High</t>
        </is>
      </c>
      <c r="M664" t="inlineStr">
        <is>
          <t>LLM</t>
        </is>
      </c>
      <c r="N664" t="inlineStr">
        <is>
          <t>2026-04-18</t>
        </is>
      </c>
      <c r="O664" t="inlineStr">
        <is>
          <t>AI</t>
        </is>
      </c>
    </row>
    <row r="665">
      <c r="A665" t="inlineStr">
        <is>
          <t>PT Bumi Teknokultura Unggul Tbk</t>
        </is>
      </c>
      <c r="B665" t="inlineStr">
        <is>
          <t>BTEK_2022_AR.pdf</t>
        </is>
      </c>
      <c r="C665" t="n">
        <v>2022</v>
      </c>
      <c r="D665" t="inlineStr">
        <is>
          <t>Operation</t>
        </is>
      </c>
      <c r="E665" t="inlineStr">
        <is>
          <t>Cocoa powder production</t>
        </is>
      </c>
      <c r="F665" t="n">
        <v>3296.6</v>
      </c>
      <c r="G665" t="inlineStr">
        <is>
          <t>MT</t>
        </is>
      </c>
      <c r="H665" t="n">
        <v>33</v>
      </c>
      <c r="I665" t="inlineStr">
        <is>
          <t>3.296,60 MT (cocoa powder).</t>
        </is>
      </c>
      <c r="J665" t="inlineStr">
        <is>
          <t>High</t>
        </is>
      </c>
      <c r="M665" t="inlineStr">
        <is>
          <t>LLM</t>
        </is>
      </c>
      <c r="N665" t="inlineStr">
        <is>
          <t>2026-04-18</t>
        </is>
      </c>
      <c r="O665" t="inlineStr">
        <is>
          <t>AI</t>
        </is>
      </c>
    </row>
    <row r="666">
      <c r="A666" t="inlineStr">
        <is>
          <t>PT Bumi Teknokultura Unggul Tbk</t>
        </is>
      </c>
      <c r="B666" t="inlineStr">
        <is>
          <t>BTEK_2022_AR.pdf</t>
        </is>
      </c>
      <c r="C666" t="n">
        <v>2022</v>
      </c>
      <c r="D666" t="inlineStr">
        <is>
          <t>Company</t>
        </is>
      </c>
      <c r="E666" t="inlineStr">
        <is>
          <t>Primary business</t>
        </is>
      </c>
      <c r="F666" t="inlineStr">
        <is>
          <t>Cocoa bean processing</t>
        </is>
      </c>
      <c r="G666" t="inlineStr">
        <is>
          <t>category</t>
        </is>
      </c>
      <c r="H666" t="n">
        <v>1</v>
      </c>
      <c r="I666" t="inlineStr">
        <is>
          <t>Industri Pengolahan Biji Kakao - Cocoa Bean Processing Industry. Products: cocoa butter, cocoa cake, cocoa powder.</t>
        </is>
      </c>
      <c r="J666" t="inlineStr">
        <is>
          <t>High</t>
        </is>
      </c>
      <c r="M666" t="inlineStr">
        <is>
          <t>LLM</t>
        </is>
      </c>
      <c r="N666" t="inlineStr">
        <is>
          <t>2026-04-18</t>
        </is>
      </c>
      <c r="O666" t="inlineStr">
        <is>
          <t>AI</t>
        </is>
      </c>
    </row>
    <row r="667">
      <c r="A667" t="inlineStr">
        <is>
          <t>PT Bumi Teknokultura Unggul Tbk</t>
        </is>
      </c>
      <c r="B667" t="inlineStr">
        <is>
          <t>BTEK_2022_AR.pdf</t>
        </is>
      </c>
      <c r="C667" t="n">
        <v>2022</v>
      </c>
      <c r="D667" t="inlineStr">
        <is>
          <t>Company</t>
        </is>
      </c>
      <c r="E667" t="inlineStr">
        <is>
          <t>Largest shareholder</t>
        </is>
      </c>
      <c r="F667" t="inlineStr">
        <is>
          <t>Golden Harvest Cocoa Ltd 41.59%</t>
        </is>
      </c>
      <c r="G667" t="inlineStr">
        <is>
          <t>ownership</t>
        </is>
      </c>
      <c r="H667" t="n">
        <v>21</v>
      </c>
      <c r="I667" t="inlineStr">
        <is>
          <t>GOLDEN HARVEST COCOA LTD 19.247.528.400 saham 41,59%.</t>
        </is>
      </c>
      <c r="J667" t="inlineStr">
        <is>
          <t>High</t>
        </is>
      </c>
      <c r="M667" t="inlineStr">
        <is>
          <t>LLM</t>
        </is>
      </c>
      <c r="N667" t="inlineStr">
        <is>
          <t>2026-04-18</t>
        </is>
      </c>
      <c r="O667" t="inlineStr">
        <is>
          <t>AI</t>
        </is>
      </c>
    </row>
    <row r="668">
      <c r="A668" t="inlineStr">
        <is>
          <t>PT Bumi Teknokultura Unggul Tbk</t>
        </is>
      </c>
      <c r="B668" t="inlineStr">
        <is>
          <t>BTEK_2022_AR.pdf</t>
        </is>
      </c>
      <c r="C668" t="n">
        <v>2022</v>
      </c>
      <c r="D668" t="inlineStr">
        <is>
          <t>Company</t>
        </is>
      </c>
      <c r="E668" t="inlineStr">
        <is>
          <t>Notable shareholder - State</t>
        </is>
      </c>
      <c r="F668" t="inlineStr">
        <is>
          <t>Kejaksaan Agung 5.25%</t>
        </is>
      </c>
      <c r="G668" t="inlineStr">
        <is>
          <t>ownership</t>
        </is>
      </c>
      <c r="H668" t="n">
        <v>21</v>
      </c>
      <c r="I668" t="inlineStr">
        <is>
          <t>KEJAKSAAN AGUNG 2.428.566.357 saham 5,25%.</t>
        </is>
      </c>
      <c r="J668" t="inlineStr">
        <is>
          <t>High</t>
        </is>
      </c>
      <c r="M668" t="inlineStr">
        <is>
          <t>LLM</t>
        </is>
      </c>
      <c r="N668" t="inlineStr">
        <is>
          <t>2026-04-18</t>
        </is>
      </c>
      <c r="O668" t="inlineStr">
        <is>
          <t>AI</t>
        </is>
      </c>
    </row>
    <row r="669">
      <c r="A669" t="inlineStr">
        <is>
          <t>PT Bumi Teknokultura Unggul Tbk</t>
        </is>
      </c>
      <c r="B669" t="inlineStr">
        <is>
          <t>BTEK_2022_AR.pdf</t>
        </is>
      </c>
      <c r="C669" t="n">
        <v>2022</v>
      </c>
      <c r="D669" t="inlineStr">
        <is>
          <t>Company</t>
        </is>
      </c>
      <c r="E669" t="inlineStr">
        <is>
          <t>Subsidiary</t>
        </is>
      </c>
      <c r="F669" t="inlineStr">
        <is>
          <t>PT Golden Harvest Cocoa Indonesia</t>
        </is>
      </c>
      <c r="G669" t="inlineStr">
        <is>
          <t>entity</t>
        </is>
      </c>
      <c r="H669" t="n">
        <v>32</v>
      </c>
      <c r="I669" t="inlineStr">
        <is>
          <t>melalui anak perusahaan PT Golden Harvest Cocoa Indonesia menghasilkan lemak kakao, cocoa cake and cocoa powder.</t>
        </is>
      </c>
      <c r="J669" t="inlineStr">
        <is>
          <t>High</t>
        </is>
      </c>
      <c r="M669" t="inlineStr">
        <is>
          <t>LLM</t>
        </is>
      </c>
      <c r="N669" t="inlineStr">
        <is>
          <t>2026-04-18</t>
        </is>
      </c>
      <c r="O669" t="inlineStr">
        <is>
          <t>AI</t>
        </is>
      </c>
    </row>
    <row r="670">
      <c r="A670" t="inlineStr">
        <is>
          <t>PT Bumi Teknokultura Unggul Tbk</t>
        </is>
      </c>
      <c r="B670" t="inlineStr">
        <is>
          <t>BTEK_2022_AR.pdf</t>
        </is>
      </c>
      <c r="C670" t="n">
        <v>2022</v>
      </c>
      <c r="D670" t="inlineStr">
        <is>
          <t>Company</t>
        </is>
      </c>
      <c r="E670" t="inlineStr">
        <is>
          <t>Factory location</t>
        </is>
      </c>
      <c r="F670" t="inlineStr">
        <is>
          <t>Jl. Raya Otonom, Pasar Kemis, Cikupa (Tangerang)</t>
        </is>
      </c>
      <c r="G670" t="inlineStr">
        <is>
          <t>site</t>
        </is>
      </c>
      <c r="H670" t="n">
        <v>1</v>
      </c>
      <c r="I670" t="inlineStr">
        <is>
          <t>PABRIK PENGOLAHAN BIJI KAKAO: Jl. Raya Otonom...</t>
        </is>
      </c>
      <c r="J670" t="inlineStr">
        <is>
          <t>High</t>
        </is>
      </c>
      <c r="M670" t="inlineStr">
        <is>
          <t>LLM</t>
        </is>
      </c>
      <c r="N670" t="inlineStr">
        <is>
          <t>2026-04-18</t>
        </is>
      </c>
      <c r="O670" t="inlineStr">
        <is>
          <t>AI</t>
        </is>
      </c>
    </row>
    <row r="671">
      <c r="A671" t="inlineStr">
        <is>
          <t>PT Bumi Teknokultura Unggul Tbk</t>
        </is>
      </c>
      <c r="B671" t="inlineStr">
        <is>
          <t>BTEK_2023_AR.pdf</t>
        </is>
      </c>
      <c r="C671" t="n">
        <v>2023</v>
      </c>
      <c r="D671" t="inlineStr">
        <is>
          <t>Financial</t>
        </is>
      </c>
      <c r="E671" t="inlineStr">
        <is>
          <t>Revenue</t>
        </is>
      </c>
      <c r="F671" t="n">
        <v>196.67</v>
      </c>
      <c r="G671" t="inlineStr">
        <is>
          <t>IDR bn</t>
        </is>
      </c>
      <c r="H671" t="n">
        <v>4</v>
      </c>
      <c r="I671" t="inlineStr">
        <is>
          <t>Pendapatan Revenue 196.668.165.620 (2023).</t>
        </is>
      </c>
      <c r="J671" t="inlineStr">
        <is>
          <t>High</t>
        </is>
      </c>
      <c r="M671" t="inlineStr">
        <is>
          <t>LLM</t>
        </is>
      </c>
      <c r="N671" t="inlineStr">
        <is>
          <t>2026-04-18</t>
        </is>
      </c>
      <c r="O671" t="inlineStr">
        <is>
          <t>AI</t>
        </is>
      </c>
    </row>
    <row r="672">
      <c r="A672" t="inlineStr">
        <is>
          <t>PT Bumi Teknokultura Unggul Tbk</t>
        </is>
      </c>
      <c r="B672" t="inlineStr">
        <is>
          <t>BTEK_2023_AR.pdf</t>
        </is>
      </c>
      <c r="C672" t="n">
        <v>2023</v>
      </c>
      <c r="D672" t="inlineStr">
        <is>
          <t>Financial</t>
        </is>
      </c>
      <c r="E672" t="inlineStr">
        <is>
          <t>Cost of Goods Sold</t>
        </is>
      </c>
      <c r="F672" t="n">
        <v>-202.7</v>
      </c>
      <c r="G672" t="inlineStr">
        <is>
          <t>IDR bn</t>
        </is>
      </c>
      <c r="H672" t="n">
        <v>4</v>
      </c>
      <c r="I672" t="inlineStr">
        <is>
          <t>Beban Pokok Penjualan (202.695.414.069).</t>
        </is>
      </c>
      <c r="J672" t="inlineStr">
        <is>
          <t>High</t>
        </is>
      </c>
      <c r="M672" t="inlineStr">
        <is>
          <t>LLM</t>
        </is>
      </c>
      <c r="N672" t="inlineStr">
        <is>
          <t>2026-04-18</t>
        </is>
      </c>
      <c r="O672" t="inlineStr">
        <is>
          <t>AI</t>
        </is>
      </c>
    </row>
    <row r="673">
      <c r="A673" t="inlineStr">
        <is>
          <t>PT Bumi Teknokultura Unggul Tbk</t>
        </is>
      </c>
      <c r="B673" t="inlineStr">
        <is>
          <t>BTEK_2023_AR.pdf</t>
        </is>
      </c>
      <c r="C673" t="n">
        <v>2023</v>
      </c>
      <c r="D673" t="inlineStr">
        <is>
          <t>Financial</t>
        </is>
      </c>
      <c r="E673" t="inlineStr">
        <is>
          <t>Gross Profit (Loss)</t>
        </is>
      </c>
      <c r="F673" t="n">
        <v>-6.03</v>
      </c>
      <c r="G673" t="inlineStr">
        <is>
          <t>IDR bn</t>
        </is>
      </c>
      <c r="H673" t="n">
        <v>4</v>
      </c>
      <c r="I673" t="inlineStr">
        <is>
          <t>Laba (Rugi) Kotor (6.027.248.449).</t>
        </is>
      </c>
      <c r="J673" t="inlineStr">
        <is>
          <t>High</t>
        </is>
      </c>
      <c r="M673" t="inlineStr">
        <is>
          <t>LLM</t>
        </is>
      </c>
      <c r="N673" t="inlineStr">
        <is>
          <t>2026-04-18</t>
        </is>
      </c>
      <c r="O673" t="inlineStr">
        <is>
          <t>AI</t>
        </is>
      </c>
    </row>
    <row r="674">
      <c r="A674" t="inlineStr">
        <is>
          <t>PT Bumi Teknokultura Unggul Tbk</t>
        </is>
      </c>
      <c r="B674" t="inlineStr">
        <is>
          <t>BTEK_2023_AR.pdf</t>
        </is>
      </c>
      <c r="C674" t="n">
        <v>2023</v>
      </c>
      <c r="D674" t="inlineStr">
        <is>
          <t>Financial</t>
        </is>
      </c>
      <c r="E674" t="inlineStr">
        <is>
          <t>Operating Loss</t>
        </is>
      </c>
      <c r="F674" t="n">
        <v>-40.53</v>
      </c>
      <c r="G674" t="inlineStr">
        <is>
          <t>IDR bn</t>
        </is>
      </c>
      <c r="H674" t="n">
        <v>4</v>
      </c>
      <c r="I674" t="inlineStr">
        <is>
          <t>Laba (Rugi) Operasional (40.534.421.362).</t>
        </is>
      </c>
      <c r="J674" t="inlineStr">
        <is>
          <t>High</t>
        </is>
      </c>
      <c r="M674" t="inlineStr">
        <is>
          <t>LLM</t>
        </is>
      </c>
      <c r="N674" t="inlineStr">
        <is>
          <t>2026-04-18</t>
        </is>
      </c>
      <c r="O674" t="inlineStr">
        <is>
          <t>AI</t>
        </is>
      </c>
    </row>
    <row r="675">
      <c r="A675" t="inlineStr">
        <is>
          <t>PT Bumi Teknokultura Unggul Tbk</t>
        </is>
      </c>
      <c r="B675" t="inlineStr">
        <is>
          <t>BTEK_2023_AR.pdf</t>
        </is>
      </c>
      <c r="C675" t="n">
        <v>2023</v>
      </c>
      <c r="D675" t="inlineStr">
        <is>
          <t>Financial</t>
        </is>
      </c>
      <c r="E675" t="inlineStr">
        <is>
          <t>Loss Before Tax</t>
        </is>
      </c>
      <c r="F675" t="n">
        <v>-113.75</v>
      </c>
      <c r="G675" t="inlineStr">
        <is>
          <t>IDR bn</t>
        </is>
      </c>
      <c r="H675" t="n">
        <v>4</v>
      </c>
      <c r="I675" t="inlineStr">
        <is>
          <t>Laba (Rugi) Sebelum Pajak (113.745.659.213).</t>
        </is>
      </c>
      <c r="J675" t="inlineStr">
        <is>
          <t>High</t>
        </is>
      </c>
      <c r="M675" t="inlineStr">
        <is>
          <t>LLM</t>
        </is>
      </c>
      <c r="N675" t="inlineStr">
        <is>
          <t>2026-04-18</t>
        </is>
      </c>
      <c r="O675" t="inlineStr">
        <is>
          <t>AI</t>
        </is>
      </c>
    </row>
    <row r="676">
      <c r="A676" t="inlineStr">
        <is>
          <t>PT Bumi Teknokultura Unggul Tbk</t>
        </is>
      </c>
      <c r="B676" t="inlineStr">
        <is>
          <t>BTEK_2023_AR.pdf</t>
        </is>
      </c>
      <c r="C676" t="n">
        <v>2023</v>
      </c>
      <c r="D676" t="inlineStr">
        <is>
          <t>Financial</t>
        </is>
      </c>
      <c r="E676" t="inlineStr">
        <is>
          <t>Loss attributable to parent</t>
        </is>
      </c>
      <c r="F676" t="n">
        <v>-114.05</v>
      </c>
      <c r="G676" t="inlineStr">
        <is>
          <t>IDR bn</t>
        </is>
      </c>
      <c r="H676" t="n">
        <v>4</v>
      </c>
      <c r="I676" t="inlineStr">
        <is>
          <t>Laba (rugi) yang dapat diatribusikan kepada pemilik entitas induk (114.047.785.478).</t>
        </is>
      </c>
      <c r="J676" t="inlineStr">
        <is>
          <t>High</t>
        </is>
      </c>
      <c r="M676" t="inlineStr">
        <is>
          <t>LLM</t>
        </is>
      </c>
      <c r="N676" t="inlineStr">
        <is>
          <t>2026-04-18</t>
        </is>
      </c>
      <c r="O676" t="inlineStr">
        <is>
          <t>AI</t>
        </is>
      </c>
    </row>
    <row r="677">
      <c r="A677" t="inlineStr">
        <is>
          <t>PT Bumi Teknokultura Unggul Tbk</t>
        </is>
      </c>
      <c r="B677" t="inlineStr">
        <is>
          <t>BTEK_2023_AR.pdf</t>
        </is>
      </c>
      <c r="C677" t="n">
        <v>2023</v>
      </c>
      <c r="D677" t="inlineStr">
        <is>
          <t>Financial</t>
        </is>
      </c>
      <c r="E677" t="inlineStr">
        <is>
          <t>Total Comprehensive Loss</t>
        </is>
      </c>
      <c r="F677" t="n">
        <v>-96.06999999999999</v>
      </c>
      <c r="G677" t="inlineStr">
        <is>
          <t>IDR bn</t>
        </is>
      </c>
      <c r="H677" t="n">
        <v>4</v>
      </c>
      <c r="I677" t="inlineStr">
        <is>
          <t>Laba (Rugi) Komprehensif (96.067.667.344).</t>
        </is>
      </c>
      <c r="J677" t="inlineStr">
        <is>
          <t>High</t>
        </is>
      </c>
      <c r="M677" t="inlineStr">
        <is>
          <t>LLM</t>
        </is>
      </c>
      <c r="N677" t="inlineStr">
        <is>
          <t>2026-04-18</t>
        </is>
      </c>
      <c r="O677" t="inlineStr">
        <is>
          <t>AI</t>
        </is>
      </c>
    </row>
    <row r="678">
      <c r="A678" t="inlineStr">
        <is>
          <t>PT Bumi Teknokultura Unggul Tbk</t>
        </is>
      </c>
      <c r="B678" t="inlineStr">
        <is>
          <t>BTEK_2023_AR.pdf</t>
        </is>
      </c>
      <c r="C678" t="n">
        <v>2023</v>
      </c>
      <c r="D678" t="inlineStr">
        <is>
          <t>Financial</t>
        </is>
      </c>
      <c r="E678" t="inlineStr">
        <is>
          <t>EPS</t>
        </is>
      </c>
      <c r="F678" t="n">
        <v>-2.46</v>
      </c>
      <c r="G678" t="inlineStr">
        <is>
          <t>Rp/share</t>
        </is>
      </c>
      <c r="H678" t="n">
        <v>4</v>
      </c>
      <c r="I678" t="inlineStr">
        <is>
          <t>Laba (rugi) per saham (2,46).</t>
        </is>
      </c>
      <c r="J678" t="inlineStr">
        <is>
          <t>High</t>
        </is>
      </c>
      <c r="M678" t="inlineStr">
        <is>
          <t>LLM</t>
        </is>
      </c>
      <c r="N678" t="inlineStr">
        <is>
          <t>2026-04-18</t>
        </is>
      </c>
      <c r="O678" t="inlineStr">
        <is>
          <t>AI</t>
        </is>
      </c>
    </row>
    <row r="679">
      <c r="A679" t="inlineStr">
        <is>
          <t>PT Bumi Teknokultura Unggul Tbk</t>
        </is>
      </c>
      <c r="B679" t="inlineStr">
        <is>
          <t>BTEK_2023_AR.pdf</t>
        </is>
      </c>
      <c r="C679" t="n">
        <v>2023</v>
      </c>
      <c r="D679" t="inlineStr">
        <is>
          <t>Financial</t>
        </is>
      </c>
      <c r="E679" t="inlineStr">
        <is>
          <t>Current Assets</t>
        </is>
      </c>
      <c r="F679" t="n">
        <v>59.79</v>
      </c>
      <c r="G679" t="inlineStr">
        <is>
          <t>IDR bn</t>
        </is>
      </c>
      <c r="H679" t="n">
        <v>4</v>
      </c>
      <c r="I679" t="inlineStr">
        <is>
          <t>Aset Lancar 59.788.496.483.</t>
        </is>
      </c>
      <c r="J679" t="inlineStr">
        <is>
          <t>High</t>
        </is>
      </c>
      <c r="M679" t="inlineStr">
        <is>
          <t>LLM</t>
        </is>
      </c>
      <c r="N679" t="inlineStr">
        <is>
          <t>2026-04-18</t>
        </is>
      </c>
      <c r="O679" t="inlineStr">
        <is>
          <t>AI</t>
        </is>
      </c>
    </row>
    <row r="680">
      <c r="A680" t="inlineStr">
        <is>
          <t>PT Bumi Teknokultura Unggul Tbk</t>
        </is>
      </c>
      <c r="B680" t="inlineStr">
        <is>
          <t>BTEK_2023_AR.pdf</t>
        </is>
      </c>
      <c r="C680" t="n">
        <v>2023</v>
      </c>
      <c r="D680" t="inlineStr">
        <is>
          <t>Financial</t>
        </is>
      </c>
      <c r="E680" t="inlineStr">
        <is>
          <t>Non-Current Assets</t>
        </is>
      </c>
      <c r="F680" t="n">
        <v>3995.96</v>
      </c>
      <c r="G680" t="inlineStr">
        <is>
          <t>IDR bn</t>
        </is>
      </c>
      <c r="H680" t="n">
        <v>4</v>
      </c>
      <c r="I680" t="inlineStr">
        <is>
          <t>Aset Tidak Lancar 3.995.962.410.289.</t>
        </is>
      </c>
      <c r="J680" t="inlineStr">
        <is>
          <t>High</t>
        </is>
      </c>
      <c r="M680" t="inlineStr">
        <is>
          <t>LLM</t>
        </is>
      </c>
      <c r="N680" t="inlineStr">
        <is>
          <t>2026-04-18</t>
        </is>
      </c>
      <c r="O680" t="inlineStr">
        <is>
          <t>AI</t>
        </is>
      </c>
    </row>
    <row r="681">
      <c r="A681" t="inlineStr">
        <is>
          <t>PT Bumi Teknokultura Unggul Tbk</t>
        </is>
      </c>
      <c r="B681" t="inlineStr">
        <is>
          <t>BTEK_2023_AR.pdf</t>
        </is>
      </c>
      <c r="C681" t="n">
        <v>2023</v>
      </c>
      <c r="D681" t="inlineStr">
        <is>
          <t>Financial</t>
        </is>
      </c>
      <c r="E681" t="inlineStr">
        <is>
          <t>Total Assets</t>
        </is>
      </c>
      <c r="F681" t="n">
        <v>4055.75</v>
      </c>
      <c r="G681" t="inlineStr">
        <is>
          <t>IDR bn</t>
        </is>
      </c>
      <c r="H681" t="n">
        <v>4</v>
      </c>
      <c r="I681" t="inlineStr">
        <is>
          <t>Total Aset 4.055.750.906.772.</t>
        </is>
      </c>
      <c r="J681" t="inlineStr">
        <is>
          <t>High</t>
        </is>
      </c>
      <c r="M681" t="inlineStr">
        <is>
          <t>LLM</t>
        </is>
      </c>
      <c r="N681" t="inlineStr">
        <is>
          <t>2026-04-18</t>
        </is>
      </c>
      <c r="O681" t="inlineStr">
        <is>
          <t>AI</t>
        </is>
      </c>
    </row>
    <row r="682">
      <c r="A682" t="inlineStr">
        <is>
          <t>PT Bumi Teknokultura Unggul Tbk</t>
        </is>
      </c>
      <c r="B682" t="inlineStr">
        <is>
          <t>BTEK_2023_AR.pdf</t>
        </is>
      </c>
      <c r="C682" t="n">
        <v>2023</v>
      </c>
      <c r="D682" t="inlineStr">
        <is>
          <t>Financial</t>
        </is>
      </c>
      <c r="E682" t="inlineStr">
        <is>
          <t>Current Liabilities</t>
        </is>
      </c>
      <c r="F682" t="n">
        <v>295.65</v>
      </c>
      <c r="G682" t="inlineStr">
        <is>
          <t>IDR bn</t>
        </is>
      </c>
      <c r="H682" t="n">
        <v>4</v>
      </c>
      <c r="I682" t="inlineStr">
        <is>
          <t>Kewajiban Jangka Pendek 295.646.635.169.</t>
        </is>
      </c>
      <c r="J682" t="inlineStr">
        <is>
          <t>High</t>
        </is>
      </c>
      <c r="M682" t="inlineStr">
        <is>
          <t>LLM</t>
        </is>
      </c>
      <c r="N682" t="inlineStr">
        <is>
          <t>2026-04-18</t>
        </is>
      </c>
      <c r="O682" t="inlineStr">
        <is>
          <t>AI</t>
        </is>
      </c>
    </row>
    <row r="683">
      <c r="A683" t="inlineStr">
        <is>
          <t>PT Bumi Teknokultura Unggul Tbk</t>
        </is>
      </c>
      <c r="B683" t="inlineStr">
        <is>
          <t>BTEK_2023_AR.pdf</t>
        </is>
      </c>
      <c r="C683" t="n">
        <v>2023</v>
      </c>
      <c r="D683" t="inlineStr">
        <is>
          <t>Financial</t>
        </is>
      </c>
      <c r="E683" t="inlineStr">
        <is>
          <t>Non-Current Liabilities</t>
        </is>
      </c>
      <c r="F683" t="n">
        <v>2653.26</v>
      </c>
      <c r="G683" t="inlineStr">
        <is>
          <t>IDR bn</t>
        </is>
      </c>
      <c r="H683" t="n">
        <v>4</v>
      </c>
      <c r="I683" t="inlineStr">
        <is>
          <t>Kewajiban Jangka Panjang 2.653.259.653.528.</t>
        </is>
      </c>
      <c r="J683" t="inlineStr">
        <is>
          <t>High</t>
        </is>
      </c>
      <c r="M683" t="inlineStr">
        <is>
          <t>LLM</t>
        </is>
      </c>
      <c r="N683" t="inlineStr">
        <is>
          <t>2026-04-18</t>
        </is>
      </c>
      <c r="O683" t="inlineStr">
        <is>
          <t>AI</t>
        </is>
      </c>
    </row>
    <row r="684">
      <c r="A684" t="inlineStr">
        <is>
          <t>PT Bumi Teknokultura Unggul Tbk</t>
        </is>
      </c>
      <c r="B684" t="inlineStr">
        <is>
          <t>BTEK_2023_AR.pdf</t>
        </is>
      </c>
      <c r="C684" t="n">
        <v>2023</v>
      </c>
      <c r="D684" t="inlineStr">
        <is>
          <t>Financial</t>
        </is>
      </c>
      <c r="E684" t="inlineStr">
        <is>
          <t>Total Liabilities</t>
        </is>
      </c>
      <c r="F684" t="n">
        <v>2948.91</v>
      </c>
      <c r="G684" t="inlineStr">
        <is>
          <t>IDR bn</t>
        </is>
      </c>
      <c r="H684" t="n">
        <v>4</v>
      </c>
      <c r="I684" t="inlineStr">
        <is>
          <t>Total Kewajiban 2.948.906.288.697.</t>
        </is>
      </c>
      <c r="J684" t="inlineStr">
        <is>
          <t>High</t>
        </is>
      </c>
      <c r="M684" t="inlineStr">
        <is>
          <t>LLM</t>
        </is>
      </c>
      <c r="N684" t="inlineStr">
        <is>
          <t>2026-04-18</t>
        </is>
      </c>
      <c r="O684" t="inlineStr">
        <is>
          <t>AI</t>
        </is>
      </c>
    </row>
    <row r="685">
      <c r="A685" t="inlineStr">
        <is>
          <t>PT Bumi Teknokultura Unggul Tbk</t>
        </is>
      </c>
      <c r="B685" t="inlineStr">
        <is>
          <t>BTEK_2023_AR.pdf</t>
        </is>
      </c>
      <c r="C685" t="n">
        <v>2023</v>
      </c>
      <c r="D685" t="inlineStr">
        <is>
          <t>Financial</t>
        </is>
      </c>
      <c r="E685" t="inlineStr">
        <is>
          <t>Total Equity</t>
        </is>
      </c>
      <c r="F685" t="n">
        <v>1106.84</v>
      </c>
      <c r="G685" t="inlineStr">
        <is>
          <t>IDR bn</t>
        </is>
      </c>
      <c r="H685" t="n">
        <v>4</v>
      </c>
      <c r="I685" t="inlineStr">
        <is>
          <t>Total Ekuitas 1.106.844.618.075.</t>
        </is>
      </c>
      <c r="J685" t="inlineStr">
        <is>
          <t>High</t>
        </is>
      </c>
      <c r="M685" t="inlineStr">
        <is>
          <t>LLM</t>
        </is>
      </c>
      <c r="N685" t="inlineStr">
        <is>
          <t>2026-04-18</t>
        </is>
      </c>
      <c r="O685" t="inlineStr">
        <is>
          <t>AI</t>
        </is>
      </c>
    </row>
    <row r="686">
      <c r="A686" t="inlineStr">
        <is>
          <t>PT Bumi Teknokultura Unggul Tbk</t>
        </is>
      </c>
      <c r="B686" t="inlineStr">
        <is>
          <t>BTEK_2023_AR.pdf</t>
        </is>
      </c>
      <c r="C686" t="n">
        <v>2023</v>
      </c>
      <c r="D686" t="inlineStr">
        <is>
          <t>Financial</t>
        </is>
      </c>
      <c r="E686" t="inlineStr">
        <is>
          <t>Cash &amp; equivalents</t>
        </is>
      </c>
      <c r="F686" t="n">
        <v>13.82</v>
      </c>
      <c r="G686" t="inlineStr">
        <is>
          <t>IDR bn</t>
        </is>
      </c>
      <c r="H686" t="n">
        <v>114</v>
      </c>
      <c r="I686" t="inlineStr">
        <is>
          <t>Kas dan setara kas 13.821.205.974.</t>
        </is>
      </c>
      <c r="J686" t="inlineStr">
        <is>
          <t>High</t>
        </is>
      </c>
      <c r="M686" t="inlineStr">
        <is>
          <t>LLM</t>
        </is>
      </c>
      <c r="N686" t="inlineStr">
        <is>
          <t>2026-04-18</t>
        </is>
      </c>
      <c r="O686" t="inlineStr">
        <is>
          <t>AI</t>
        </is>
      </c>
    </row>
    <row r="687">
      <c r="A687" t="inlineStr">
        <is>
          <t>PT Bumi Teknokultura Unggul Tbk</t>
        </is>
      </c>
      <c r="B687" t="inlineStr">
        <is>
          <t>BTEK_2023_AR.pdf</t>
        </is>
      </c>
      <c r="C687" t="n">
        <v>2023</v>
      </c>
      <c r="D687" t="inlineStr">
        <is>
          <t>Financial</t>
        </is>
      </c>
      <c r="E687" t="inlineStr">
        <is>
          <t>Bank loans (gross debt)</t>
        </is>
      </c>
      <c r="F687" t="n">
        <v>2413.69</v>
      </c>
      <c r="G687" t="inlineStr">
        <is>
          <t>IDR bn</t>
        </is>
      </c>
      <c r="H687" t="n">
        <v>114</v>
      </c>
      <c r="I687" t="inlineStr">
        <is>
          <t>Utang bank 2.413.691.737.544.</t>
        </is>
      </c>
      <c r="J687" t="inlineStr">
        <is>
          <t>High</t>
        </is>
      </c>
      <c r="M687" t="inlineStr">
        <is>
          <t>LLM</t>
        </is>
      </c>
      <c r="N687" t="inlineStr">
        <is>
          <t>2026-04-18</t>
        </is>
      </c>
      <c r="O687" t="inlineStr">
        <is>
          <t>AI</t>
        </is>
      </c>
    </row>
    <row r="688">
      <c r="A688" t="inlineStr">
        <is>
          <t>PT Bumi Teknokultura Unggul Tbk</t>
        </is>
      </c>
      <c r="B688" t="inlineStr">
        <is>
          <t>BTEK_2023_AR.pdf</t>
        </is>
      </c>
      <c r="C688" t="n">
        <v>2023</v>
      </c>
      <c r="D688" t="inlineStr">
        <is>
          <t>Financial</t>
        </is>
      </c>
      <c r="E688" t="inlineStr">
        <is>
          <t>CFO</t>
        </is>
      </c>
      <c r="F688" t="n">
        <v>138.15</v>
      </c>
      <c r="G688" t="inlineStr">
        <is>
          <t>IDR bn</t>
        </is>
      </c>
      <c r="H688" t="n">
        <v>116</v>
      </c>
      <c r="I688" t="inlineStr">
        <is>
          <t>Kas Bersih Diperoleh Dari Aktivitas Operasi 138.146.511.596.</t>
        </is>
      </c>
      <c r="J688" t="inlineStr">
        <is>
          <t>High</t>
        </is>
      </c>
      <c r="M688" t="inlineStr">
        <is>
          <t>LLM</t>
        </is>
      </c>
      <c r="N688" t="inlineStr">
        <is>
          <t>2026-04-18</t>
        </is>
      </c>
      <c r="O688" t="inlineStr">
        <is>
          <t>AI</t>
        </is>
      </c>
    </row>
    <row r="689">
      <c r="A689" t="inlineStr">
        <is>
          <t>PT Bumi Teknokultura Unggul Tbk</t>
        </is>
      </c>
      <c r="B689" t="inlineStr">
        <is>
          <t>BTEK_2023_AR.pdf</t>
        </is>
      </c>
      <c r="C689" t="n">
        <v>2023</v>
      </c>
      <c r="D689" t="inlineStr">
        <is>
          <t>Financial</t>
        </is>
      </c>
      <c r="E689" t="inlineStr">
        <is>
          <t>Capex (fixed + intangible + other non-current)</t>
        </is>
      </c>
      <c r="F689" t="n">
        <v>69.20999999999999</v>
      </c>
      <c r="G689" t="inlineStr">
        <is>
          <t>IDR bn</t>
        </is>
      </c>
      <c r="H689" t="n">
        <v>116</v>
      </c>
      <c r="I689" t="inlineStr">
        <is>
          <t>Investing outflows 66.77 + 0.04 + 2.41 = 69.21 bn.</t>
        </is>
      </c>
      <c r="J689" t="inlineStr">
        <is>
          <t>High</t>
        </is>
      </c>
      <c r="M689" t="inlineStr">
        <is>
          <t>LLM</t>
        </is>
      </c>
      <c r="N689" t="inlineStr">
        <is>
          <t>2026-04-18</t>
        </is>
      </c>
      <c r="O689" t="inlineStr">
        <is>
          <t>AI</t>
        </is>
      </c>
    </row>
    <row r="690">
      <c r="A690" t="inlineStr">
        <is>
          <t>PT Bumi Teknokultura Unggul Tbk</t>
        </is>
      </c>
      <c r="B690" t="inlineStr">
        <is>
          <t>BTEK_2023_AR.pdf</t>
        </is>
      </c>
      <c r="C690" t="n">
        <v>2023</v>
      </c>
      <c r="D690" t="inlineStr">
        <is>
          <t>Financial</t>
        </is>
      </c>
      <c r="E690" t="inlineStr">
        <is>
          <t>Depreciation expense</t>
        </is>
      </c>
      <c r="F690" t="n">
        <v>45.91</v>
      </c>
      <c r="G690" t="inlineStr">
        <is>
          <t>IDR bn</t>
        </is>
      </c>
      <c r="H690" t="n">
        <v>141</v>
      </c>
      <c r="I690" t="inlineStr">
        <is>
          <t>Beban penyusutan aset tetap 45.905.949.543.</t>
        </is>
      </c>
      <c r="J690" t="inlineStr">
        <is>
          <t>High</t>
        </is>
      </c>
      <c r="M690" t="inlineStr">
        <is>
          <t>LLM</t>
        </is>
      </c>
      <c r="N690" t="inlineStr">
        <is>
          <t>2026-04-18</t>
        </is>
      </c>
      <c r="O690" t="inlineStr">
        <is>
          <t>AI</t>
        </is>
      </c>
    </row>
    <row r="691">
      <c r="A691" t="inlineStr">
        <is>
          <t>PT Bumi Teknokultura Unggul Tbk</t>
        </is>
      </c>
      <c r="B691" t="inlineStr">
        <is>
          <t>BTEK_2023_AR.pdf</t>
        </is>
      </c>
      <c r="C691" t="n">
        <v>2023</v>
      </c>
      <c r="D691" t="inlineStr">
        <is>
          <t>Financial</t>
        </is>
      </c>
      <c r="E691" t="inlineStr">
        <is>
          <t>Current Ratio</t>
        </is>
      </c>
      <c r="F691" t="n">
        <v>0.2</v>
      </c>
      <c r="G691" t="inlineStr">
        <is>
          <t>x</t>
        </is>
      </c>
      <c r="H691" t="n">
        <v>4</v>
      </c>
      <c r="I691" t="inlineStr">
        <is>
          <t>Rasio Lancar 0,20.</t>
        </is>
      </c>
      <c r="J691" t="inlineStr">
        <is>
          <t>High</t>
        </is>
      </c>
      <c r="M691" t="inlineStr">
        <is>
          <t>LLM</t>
        </is>
      </c>
      <c r="N691" t="inlineStr">
        <is>
          <t>2026-04-18</t>
        </is>
      </c>
      <c r="O691" t="inlineStr">
        <is>
          <t>AI</t>
        </is>
      </c>
    </row>
    <row r="692">
      <c r="A692" t="inlineStr">
        <is>
          <t>PT Bumi Teknokultura Unggul Tbk</t>
        </is>
      </c>
      <c r="B692" t="inlineStr">
        <is>
          <t>BTEK_2023_AR.pdf</t>
        </is>
      </c>
      <c r="C692" t="n">
        <v>2023</v>
      </c>
      <c r="D692" t="inlineStr">
        <is>
          <t>Financial</t>
        </is>
      </c>
      <c r="E692" t="inlineStr">
        <is>
          <t>DER</t>
        </is>
      </c>
      <c r="F692" t="n">
        <v>2.67</v>
      </c>
      <c r="G692" t="inlineStr">
        <is>
          <t>x</t>
        </is>
      </c>
      <c r="H692" t="n">
        <v>4</v>
      </c>
      <c r="I692" t="inlineStr">
        <is>
          <t>Debt to Equity Ratio 2,67.</t>
        </is>
      </c>
      <c r="J692" t="inlineStr">
        <is>
          <t>High</t>
        </is>
      </c>
      <c r="M692" t="inlineStr">
        <is>
          <t>LLM</t>
        </is>
      </c>
      <c r="N692" t="inlineStr">
        <is>
          <t>2026-04-18</t>
        </is>
      </c>
      <c r="O692" t="inlineStr">
        <is>
          <t>AI</t>
        </is>
      </c>
    </row>
    <row r="693">
      <c r="A693" t="inlineStr">
        <is>
          <t>PT Bumi Teknokultura Unggul Tbk</t>
        </is>
      </c>
      <c r="B693" t="inlineStr">
        <is>
          <t>BTEK_2023_AR.pdf</t>
        </is>
      </c>
      <c r="C693" t="n">
        <v>2023</v>
      </c>
      <c r="D693" t="inlineStr">
        <is>
          <t>Financial</t>
        </is>
      </c>
      <c r="E693" t="inlineStr">
        <is>
          <t>Gross Profit Margin</t>
        </is>
      </c>
      <c r="F693" t="n">
        <v>-0.0306</v>
      </c>
      <c r="G693" t="inlineStr">
        <is>
          <t>ratio</t>
        </is>
      </c>
      <c r="H693" t="n">
        <v>4</v>
      </c>
      <c r="I693" t="inlineStr">
        <is>
          <t>Marjin Laba Kotor -3,06%.</t>
        </is>
      </c>
      <c r="J693" t="inlineStr">
        <is>
          <t>High</t>
        </is>
      </c>
      <c r="M693" t="inlineStr">
        <is>
          <t>LLM</t>
        </is>
      </c>
      <c r="N693" t="inlineStr">
        <is>
          <t>2026-04-18</t>
        </is>
      </c>
      <c r="O693" t="inlineStr">
        <is>
          <t>AI</t>
        </is>
      </c>
    </row>
    <row r="694">
      <c r="A694" t="inlineStr">
        <is>
          <t>PT Bumi Teknokultura Unggul Tbk</t>
        </is>
      </c>
      <c r="B694" t="inlineStr">
        <is>
          <t>BTEK_2023_AR.pdf</t>
        </is>
      </c>
      <c r="C694" t="n">
        <v>2023</v>
      </c>
      <c r="D694" t="inlineStr">
        <is>
          <t>Financial</t>
        </is>
      </c>
      <c r="E694" t="inlineStr">
        <is>
          <t>Net Comprehensive Margin</t>
        </is>
      </c>
      <c r="F694" t="n">
        <v>-0.4885</v>
      </c>
      <c r="G694" t="inlineStr">
        <is>
          <t>ratio</t>
        </is>
      </c>
      <c r="H694" t="n">
        <v>4</v>
      </c>
      <c r="I694" t="inlineStr">
        <is>
          <t>Marjin Laba Komperehensif -48,85%.</t>
        </is>
      </c>
      <c r="J694" t="inlineStr">
        <is>
          <t>High</t>
        </is>
      </c>
      <c r="M694" t="inlineStr">
        <is>
          <t>LLM</t>
        </is>
      </c>
      <c r="N694" t="inlineStr">
        <is>
          <t>2026-04-18</t>
        </is>
      </c>
      <c r="O694" t="inlineStr">
        <is>
          <t>AI</t>
        </is>
      </c>
    </row>
    <row r="695">
      <c r="A695" t="inlineStr">
        <is>
          <t>PT Bumi Teknokultura Unggul Tbk</t>
        </is>
      </c>
      <c r="B695" t="inlineStr">
        <is>
          <t>BTEK_2023_AR.pdf</t>
        </is>
      </c>
      <c r="C695" t="n">
        <v>2023</v>
      </c>
      <c r="D695" t="inlineStr">
        <is>
          <t>Financial</t>
        </is>
      </c>
      <c r="E695" t="inlineStr">
        <is>
          <t>Closing share price (2023)</t>
        </is>
      </c>
      <c r="F695" t="n">
        <v>50</v>
      </c>
      <c r="G695" t="inlineStr">
        <is>
          <t>Rp/share</t>
        </is>
      </c>
      <c r="H695" t="n">
        <v>5</v>
      </c>
      <c r="I695" t="inlineStr">
        <is>
          <t>Triwulan IV 2023 Closing 50 / Triwulan III 50.</t>
        </is>
      </c>
      <c r="J695" t="inlineStr">
        <is>
          <t>High</t>
        </is>
      </c>
      <c r="M695" t="inlineStr">
        <is>
          <t>LLM</t>
        </is>
      </c>
      <c r="N695" t="inlineStr">
        <is>
          <t>2026-04-18</t>
        </is>
      </c>
      <c r="O695" t="inlineStr">
        <is>
          <t>AI</t>
        </is>
      </c>
    </row>
    <row r="696">
      <c r="A696" t="inlineStr">
        <is>
          <t>PT Bumi Teknokultura Unggul Tbk</t>
        </is>
      </c>
      <c r="B696" t="inlineStr">
        <is>
          <t>BTEK_2023_AR.pdf</t>
        </is>
      </c>
      <c r="C696" t="n">
        <v>2023</v>
      </c>
      <c r="D696" t="inlineStr">
        <is>
          <t>Financial</t>
        </is>
      </c>
      <c r="E696" t="inlineStr">
        <is>
          <t>Shares outstanding (issued)</t>
        </is>
      </c>
      <c r="F696" t="n">
        <v>46277.5</v>
      </c>
      <c r="G696" t="inlineStr">
        <is>
          <t>mn shares</t>
        </is>
      </c>
      <c r="H696" t="n">
        <v>24</v>
      </c>
      <c r="I696" t="inlineStr">
        <is>
          <t>Modal ditempatkan dan disetor penuh - 46,277,496,376 shares.</t>
        </is>
      </c>
      <c r="J696" t="inlineStr">
        <is>
          <t>High</t>
        </is>
      </c>
      <c r="M696" t="inlineStr">
        <is>
          <t>LLM</t>
        </is>
      </c>
      <c r="N696" t="inlineStr">
        <is>
          <t>2026-04-18</t>
        </is>
      </c>
      <c r="O696" t="inlineStr">
        <is>
          <t>AI</t>
        </is>
      </c>
    </row>
    <row r="697">
      <c r="A697" t="inlineStr">
        <is>
          <t>PT Bumi Teknokultura Unggul Tbk</t>
        </is>
      </c>
      <c r="B697" t="inlineStr">
        <is>
          <t>BTEK_2023_AR.pdf</t>
        </is>
      </c>
      <c r="C697" t="n">
        <v>2023</v>
      </c>
      <c r="D697" t="inlineStr">
        <is>
          <t>Operation</t>
        </is>
      </c>
      <c r="E697" t="inlineStr">
        <is>
          <t>Cocoa butter production (Lemak Kakao)</t>
        </is>
      </c>
      <c r="F697" t="n">
        <v>12152.63</v>
      </c>
      <c r="G697" t="inlineStr">
        <is>
          <t>MT</t>
        </is>
      </c>
      <c r="H697" t="n">
        <v>87</v>
      </c>
      <c r="I697" t="inlineStr">
        <is>
          <t>Produksi Lemak Kakao MT 12.152,63 (2023).</t>
        </is>
      </c>
      <c r="J697" t="inlineStr">
        <is>
          <t>High</t>
        </is>
      </c>
      <c r="M697" t="inlineStr">
        <is>
          <t>LLM</t>
        </is>
      </c>
      <c r="N697" t="inlineStr">
        <is>
          <t>2026-04-18</t>
        </is>
      </c>
      <c r="O697" t="inlineStr">
        <is>
          <t>AI</t>
        </is>
      </c>
    </row>
    <row r="698">
      <c r="A698" t="inlineStr">
        <is>
          <t>PT Bumi Teknokultura Unggul Tbk</t>
        </is>
      </c>
      <c r="B698" t="inlineStr">
        <is>
          <t>BTEK_2023_AR.pdf</t>
        </is>
      </c>
      <c r="C698" t="n">
        <v>2023</v>
      </c>
      <c r="D698" t="inlineStr">
        <is>
          <t>Operation</t>
        </is>
      </c>
      <c r="E698" t="inlineStr">
        <is>
          <t>Cocoa cake production (Padatan Kakao)</t>
        </is>
      </c>
      <c r="F698" t="n">
        <v>13100.68</v>
      </c>
      <c r="G698" t="inlineStr">
        <is>
          <t>MT</t>
        </is>
      </c>
      <c r="H698" t="n">
        <v>87</v>
      </c>
      <c r="I698" t="inlineStr">
        <is>
          <t>Produksi Padatan Kakao MT 13.100,68 (2023).</t>
        </is>
      </c>
      <c r="J698" t="inlineStr">
        <is>
          <t>High</t>
        </is>
      </c>
      <c r="M698" t="inlineStr">
        <is>
          <t>LLM</t>
        </is>
      </c>
      <c r="N698" t="inlineStr">
        <is>
          <t>2026-04-18</t>
        </is>
      </c>
      <c r="O698" t="inlineStr">
        <is>
          <t>AI</t>
        </is>
      </c>
    </row>
    <row r="699">
      <c r="A699" t="inlineStr">
        <is>
          <t>PT Bumi Teknokultura Unggul Tbk</t>
        </is>
      </c>
      <c r="B699" t="inlineStr">
        <is>
          <t>BTEK_2023_AR.pdf</t>
        </is>
      </c>
      <c r="C699" t="n">
        <v>2023</v>
      </c>
      <c r="D699" t="inlineStr">
        <is>
          <t>Operation</t>
        </is>
      </c>
      <c r="E699" t="inlineStr">
        <is>
          <t>Cocoa powder production (Bubuk Kakao)</t>
        </is>
      </c>
      <c r="F699" t="n">
        <v>1737.2</v>
      </c>
      <c r="G699" t="inlineStr">
        <is>
          <t>MT</t>
        </is>
      </c>
      <c r="H699" t="n">
        <v>87</v>
      </c>
      <c r="I699" t="inlineStr">
        <is>
          <t>Produksi Bubuk Kakao MT 1.737,20 (2023).</t>
        </is>
      </c>
      <c r="J699" t="inlineStr">
        <is>
          <t>High</t>
        </is>
      </c>
      <c r="M699" t="inlineStr">
        <is>
          <t>LLM</t>
        </is>
      </c>
      <c r="N699" t="inlineStr">
        <is>
          <t>2026-04-18</t>
        </is>
      </c>
      <c r="O699" t="inlineStr">
        <is>
          <t>AI</t>
        </is>
      </c>
    </row>
    <row r="700">
      <c r="A700" t="inlineStr">
        <is>
          <t>PT Bumi Teknokultura Unggul Tbk</t>
        </is>
      </c>
      <c r="B700" t="inlineStr">
        <is>
          <t>BTEK_2023_AR.pdf</t>
        </is>
      </c>
      <c r="C700" t="n">
        <v>2023</v>
      </c>
      <c r="D700" t="inlineStr">
        <is>
          <t>Operation</t>
        </is>
      </c>
      <c r="E700" t="inlineStr">
        <is>
          <t>Installed cocoa processing capacity</t>
        </is>
      </c>
      <c r="F700" t="n">
        <v>36000</v>
      </c>
      <c r="G700" t="inlineStr">
        <is>
          <t>ton/year</t>
        </is>
      </c>
      <c r="H700" t="n">
        <v>43</v>
      </c>
      <c r="I700" t="inlineStr">
        <is>
          <t>Produksi 36.000 ton; produksi biji kakao 2022/2023 realisasi 26,990.50 ton.</t>
        </is>
      </c>
      <c r="J700" t="inlineStr">
        <is>
          <t>Medium</t>
        </is>
      </c>
      <c r="M700" t="inlineStr">
        <is>
          <t>LLM</t>
        </is>
      </c>
      <c r="N700" t="inlineStr">
        <is>
          <t>2026-04-18</t>
        </is>
      </c>
      <c r="O700" t="inlineStr">
        <is>
          <t>AI</t>
        </is>
      </c>
    </row>
    <row r="701">
      <c r="A701" t="inlineStr">
        <is>
          <t>PT Bumi Teknokultura Unggul Tbk</t>
        </is>
      </c>
      <c r="B701" t="inlineStr">
        <is>
          <t>BTEK_2023_AR.pdf</t>
        </is>
      </c>
      <c r="C701" t="n">
        <v>2023</v>
      </c>
      <c r="D701" t="inlineStr">
        <is>
          <t>Company</t>
        </is>
      </c>
      <c r="E701" t="inlineStr">
        <is>
          <t>Plant location</t>
        </is>
      </c>
      <c r="F701" t="inlineStr">
        <is>
          <t>Serang, Banten (GHCI)</t>
        </is>
      </c>
      <c r="G701" t="inlineStr">
        <is>
          <t>site</t>
        </is>
      </c>
      <c r="H701" t="n">
        <v>58</v>
      </c>
      <c r="I701" t="inlineStr">
        <is>
          <t>Fasilitas produksi GHCI berlokasi strategis di Serang, Banten.</t>
        </is>
      </c>
      <c r="J701" t="inlineStr">
        <is>
          <t>High</t>
        </is>
      </c>
      <c r="M701" t="inlineStr">
        <is>
          <t>LLM</t>
        </is>
      </c>
      <c r="N701" t="inlineStr">
        <is>
          <t>2026-04-18</t>
        </is>
      </c>
      <c r="O701" t="inlineStr">
        <is>
          <t>AI</t>
        </is>
      </c>
    </row>
    <row r="702">
      <c r="A702" t="inlineStr">
        <is>
          <t>PT Bumi Teknokultura Unggul Tbk</t>
        </is>
      </c>
      <c r="B702" t="inlineStr">
        <is>
          <t>BTEK_2023_AR.pdf</t>
        </is>
      </c>
      <c r="C702" t="n">
        <v>2023</v>
      </c>
      <c r="D702" t="inlineStr">
        <is>
          <t>Company</t>
        </is>
      </c>
      <c r="E702" t="inlineStr">
        <is>
          <t>Primary business</t>
        </is>
      </c>
      <c r="F702" t="inlineStr">
        <is>
          <t>Cocoa processing</t>
        </is>
      </c>
      <c r="G702" t="inlineStr">
        <is>
          <t>category</t>
        </is>
      </c>
      <c r="H702" t="n">
        <v>1</v>
      </c>
      <c r="I702" t="inlineStr">
        <is>
          <t>Industri Pengolahan Biji Kakao.</t>
        </is>
      </c>
      <c r="J702" t="inlineStr">
        <is>
          <t>High</t>
        </is>
      </c>
      <c r="M702" t="inlineStr">
        <is>
          <t>LLM</t>
        </is>
      </c>
      <c r="N702" t="inlineStr">
        <is>
          <t>2026-04-18</t>
        </is>
      </c>
      <c r="O702" t="inlineStr">
        <is>
          <t>AI</t>
        </is>
      </c>
    </row>
    <row r="703">
      <c r="A703" t="inlineStr">
        <is>
          <t>PT Bumi Teknokultura Unggul Tbk</t>
        </is>
      </c>
      <c r="B703" t="inlineStr">
        <is>
          <t>BTEK_2024_AR.pdf</t>
        </is>
      </c>
      <c r="C703" t="n">
        <v>2024</v>
      </c>
      <c r="D703" t="inlineStr">
        <is>
          <t>Financial</t>
        </is>
      </c>
      <c r="E703" t="inlineStr">
        <is>
          <t>Revenue</t>
        </is>
      </c>
      <c r="F703" t="n">
        <v>635.63</v>
      </c>
      <c r="G703" t="inlineStr">
        <is>
          <t>IDR bn</t>
        </is>
      </c>
      <c r="H703" t="n">
        <v>7</v>
      </c>
      <c r="I703" t="inlineStr">
        <is>
          <t>Penjualan 635.627.019.063 (2024).</t>
        </is>
      </c>
      <c r="J703" t="inlineStr">
        <is>
          <t>High</t>
        </is>
      </c>
      <c r="M703" t="inlineStr">
        <is>
          <t>LLM</t>
        </is>
      </c>
      <c r="N703" t="inlineStr">
        <is>
          <t>2026-04-18</t>
        </is>
      </c>
      <c r="O703" t="inlineStr">
        <is>
          <t>AI</t>
        </is>
      </c>
    </row>
    <row r="704">
      <c r="A704" t="inlineStr">
        <is>
          <t>PT Bumi Teknokultura Unggul Tbk</t>
        </is>
      </c>
      <c r="B704" t="inlineStr">
        <is>
          <t>BTEK_2024_AR.pdf</t>
        </is>
      </c>
      <c r="C704" t="n">
        <v>2024</v>
      </c>
      <c r="D704" t="inlineStr">
        <is>
          <t>Financial</t>
        </is>
      </c>
      <c r="E704" t="inlineStr">
        <is>
          <t>COGS</t>
        </is>
      </c>
      <c r="F704" t="n">
        <v>-655.48</v>
      </c>
      <c r="G704" t="inlineStr">
        <is>
          <t>IDR bn</t>
        </is>
      </c>
      <c r="H704" t="n">
        <v>7</v>
      </c>
      <c r="I704" t="inlineStr">
        <is>
          <t>Beban Pokok Penjualan (655.480.681.169).</t>
        </is>
      </c>
      <c r="J704" t="inlineStr">
        <is>
          <t>High</t>
        </is>
      </c>
      <c r="M704" t="inlineStr">
        <is>
          <t>LLM</t>
        </is>
      </c>
      <c r="N704" t="inlineStr">
        <is>
          <t>2026-04-18</t>
        </is>
      </c>
      <c r="O704" t="inlineStr">
        <is>
          <t>AI</t>
        </is>
      </c>
    </row>
    <row r="705">
      <c r="A705" t="inlineStr">
        <is>
          <t>PT Bumi Teknokultura Unggul Tbk</t>
        </is>
      </c>
      <c r="B705" t="inlineStr">
        <is>
          <t>BTEK_2024_AR.pdf</t>
        </is>
      </c>
      <c r="C705" t="n">
        <v>2024</v>
      </c>
      <c r="D705" t="inlineStr">
        <is>
          <t>Financial</t>
        </is>
      </c>
      <c r="E705" t="inlineStr">
        <is>
          <t>Gross Loss</t>
        </is>
      </c>
      <c r="F705" t="n">
        <v>-19.85</v>
      </c>
      <c r="G705" t="inlineStr">
        <is>
          <t>IDR bn</t>
        </is>
      </c>
      <c r="H705" t="n">
        <v>7</v>
      </c>
      <c r="I705" t="inlineStr">
        <is>
          <t>Laba (Rugi) Kotor (19.853.662.106).</t>
        </is>
      </c>
      <c r="J705" t="inlineStr">
        <is>
          <t>High</t>
        </is>
      </c>
      <c r="M705" t="inlineStr">
        <is>
          <t>LLM</t>
        </is>
      </c>
      <c r="N705" t="inlineStr">
        <is>
          <t>2026-04-18</t>
        </is>
      </c>
      <c r="O705" t="inlineStr">
        <is>
          <t>AI</t>
        </is>
      </c>
    </row>
    <row r="706">
      <c r="A706" t="inlineStr">
        <is>
          <t>PT Bumi Teknokultura Unggul Tbk</t>
        </is>
      </c>
      <c r="B706" t="inlineStr">
        <is>
          <t>BTEK_2024_AR.pdf</t>
        </is>
      </c>
      <c r="C706" t="n">
        <v>2024</v>
      </c>
      <c r="D706" t="inlineStr">
        <is>
          <t>Financial</t>
        </is>
      </c>
      <c r="E706" t="inlineStr">
        <is>
          <t>Operating Loss</t>
        </is>
      </c>
      <c r="F706" t="n">
        <v>-70.3</v>
      </c>
      <c r="G706" t="inlineStr">
        <is>
          <t>IDR bn</t>
        </is>
      </c>
      <c r="H706" t="n">
        <v>7</v>
      </c>
      <c r="I706" t="inlineStr">
        <is>
          <t>Laba (Rugi) Operasi (70.304.626.092).</t>
        </is>
      </c>
      <c r="J706" t="inlineStr">
        <is>
          <t>High</t>
        </is>
      </c>
      <c r="M706" t="inlineStr">
        <is>
          <t>LLM</t>
        </is>
      </c>
      <c r="N706" t="inlineStr">
        <is>
          <t>2026-04-18</t>
        </is>
      </c>
      <c r="O706" t="inlineStr">
        <is>
          <t>AI</t>
        </is>
      </c>
    </row>
    <row r="707">
      <c r="A707" t="inlineStr">
        <is>
          <t>PT Bumi Teknokultura Unggul Tbk</t>
        </is>
      </c>
      <c r="B707" t="inlineStr">
        <is>
          <t>BTEK_2024_AR.pdf</t>
        </is>
      </c>
      <c r="C707" t="n">
        <v>2024</v>
      </c>
      <c r="D707" t="inlineStr">
        <is>
          <t>Financial</t>
        </is>
      </c>
      <c r="E707" t="inlineStr">
        <is>
          <t>Loss Before Tax</t>
        </is>
      </c>
      <c r="F707" t="n">
        <v>-508.53</v>
      </c>
      <c r="G707" t="inlineStr">
        <is>
          <t>IDR bn</t>
        </is>
      </c>
      <c r="H707" t="n">
        <v>7</v>
      </c>
      <c r="I707" t="inlineStr">
        <is>
          <t>Laba (Rugi) Sebelum Pajak (508.529.576.816).</t>
        </is>
      </c>
      <c r="J707" t="inlineStr">
        <is>
          <t>High</t>
        </is>
      </c>
      <c r="M707" t="inlineStr">
        <is>
          <t>LLM</t>
        </is>
      </c>
      <c r="N707" t="inlineStr">
        <is>
          <t>2026-04-18</t>
        </is>
      </c>
      <c r="O707" t="inlineStr">
        <is>
          <t>AI</t>
        </is>
      </c>
    </row>
    <row r="708">
      <c r="A708" t="inlineStr">
        <is>
          <t>PT Bumi Teknokultura Unggul Tbk</t>
        </is>
      </c>
      <c r="B708" t="inlineStr">
        <is>
          <t>BTEK_2024_AR.pdf</t>
        </is>
      </c>
      <c r="C708" t="n">
        <v>2024</v>
      </c>
      <c r="D708" t="inlineStr">
        <is>
          <t>Financial</t>
        </is>
      </c>
      <c r="E708" t="inlineStr">
        <is>
          <t>Net Loss</t>
        </is>
      </c>
      <c r="F708" t="n">
        <v>-719.27</v>
      </c>
      <c r="G708" t="inlineStr">
        <is>
          <t>IDR bn</t>
        </is>
      </c>
      <c r="H708" t="n">
        <v>7</v>
      </c>
      <c r="I708" t="inlineStr">
        <is>
          <t>Laba (Rugi) Bersih Tahun Berjalan (719.271.050.228).</t>
        </is>
      </c>
      <c r="J708" t="inlineStr">
        <is>
          <t>High</t>
        </is>
      </c>
      <c r="M708" t="inlineStr">
        <is>
          <t>LLM</t>
        </is>
      </c>
      <c r="N708" t="inlineStr">
        <is>
          <t>2026-04-18</t>
        </is>
      </c>
      <c r="O708" t="inlineStr">
        <is>
          <t>AI</t>
        </is>
      </c>
    </row>
    <row r="709">
      <c r="A709" t="inlineStr">
        <is>
          <t>PT Bumi Teknokultura Unggul Tbk</t>
        </is>
      </c>
      <c r="B709" t="inlineStr">
        <is>
          <t>BTEK_2024_AR.pdf</t>
        </is>
      </c>
      <c r="C709" t="n">
        <v>2024</v>
      </c>
      <c r="D709" t="inlineStr">
        <is>
          <t>Financial</t>
        </is>
      </c>
      <c r="E709" t="inlineStr">
        <is>
          <t>Comprehensive Loss</t>
        </is>
      </c>
      <c r="F709" t="n">
        <v>-644.34</v>
      </c>
      <c r="G709" t="inlineStr">
        <is>
          <t>IDR bn</t>
        </is>
      </c>
      <c r="H709" t="n">
        <v>7</v>
      </c>
      <c r="I709" t="inlineStr">
        <is>
          <t>Jumlah Laba (Rugi) Komprehensif (644.344.242.053).</t>
        </is>
      </c>
      <c r="J709" t="inlineStr">
        <is>
          <t>High</t>
        </is>
      </c>
      <c r="M709" t="inlineStr">
        <is>
          <t>LLM</t>
        </is>
      </c>
      <c r="N709" t="inlineStr">
        <is>
          <t>2026-04-18</t>
        </is>
      </c>
      <c r="O709" t="inlineStr">
        <is>
          <t>AI</t>
        </is>
      </c>
    </row>
    <row r="710">
      <c r="A710" t="inlineStr">
        <is>
          <t>PT Bumi Teknokultura Unggul Tbk</t>
        </is>
      </c>
      <c r="B710" t="inlineStr">
        <is>
          <t>BTEK_2024_AR.pdf</t>
        </is>
      </c>
      <c r="C710" t="n">
        <v>2024</v>
      </c>
      <c r="D710" t="inlineStr">
        <is>
          <t>Financial</t>
        </is>
      </c>
      <c r="E710" t="inlineStr">
        <is>
          <t>EPS</t>
        </is>
      </c>
      <c r="F710" t="n">
        <v>-15.54</v>
      </c>
      <c r="G710" t="inlineStr">
        <is>
          <t>Rp/share</t>
        </is>
      </c>
      <c r="H710" t="n">
        <v>7</v>
      </c>
      <c r="I710" t="inlineStr">
        <is>
          <t>Laba (Rugi) Per Saham Dasar (15,54).</t>
        </is>
      </c>
      <c r="J710" t="inlineStr">
        <is>
          <t>High</t>
        </is>
      </c>
      <c r="M710" t="inlineStr">
        <is>
          <t>LLM</t>
        </is>
      </c>
      <c r="N710" t="inlineStr">
        <is>
          <t>2026-04-18</t>
        </is>
      </c>
      <c r="O710" t="inlineStr">
        <is>
          <t>AI</t>
        </is>
      </c>
    </row>
    <row r="711">
      <c r="A711" t="inlineStr">
        <is>
          <t>PT Bumi Teknokultura Unggul Tbk</t>
        </is>
      </c>
      <c r="B711" t="inlineStr">
        <is>
          <t>BTEK_2024_AR.pdf</t>
        </is>
      </c>
      <c r="C711" t="n">
        <v>2024</v>
      </c>
      <c r="D711" t="inlineStr">
        <is>
          <t>Financial</t>
        </is>
      </c>
      <c r="E711" t="inlineStr">
        <is>
          <t>Current Assets</t>
        </is>
      </c>
      <c r="F711" t="n">
        <v>162.46</v>
      </c>
      <c r="G711" t="inlineStr">
        <is>
          <t>IDR bn</t>
        </is>
      </c>
      <c r="H711" t="n">
        <v>7</v>
      </c>
      <c r="I711" t="inlineStr">
        <is>
          <t>Jumlah Aset Lancar 162.456.423.374.</t>
        </is>
      </c>
      <c r="J711" t="inlineStr">
        <is>
          <t>High</t>
        </is>
      </c>
      <c r="M711" t="inlineStr">
        <is>
          <t>LLM</t>
        </is>
      </c>
      <c r="N711" t="inlineStr">
        <is>
          <t>2026-04-18</t>
        </is>
      </c>
      <c r="O711" t="inlineStr">
        <is>
          <t>AI</t>
        </is>
      </c>
    </row>
    <row r="712">
      <c r="A712" t="inlineStr">
        <is>
          <t>PT Bumi Teknokultura Unggul Tbk</t>
        </is>
      </c>
      <c r="B712" t="inlineStr">
        <is>
          <t>BTEK_2024_AR.pdf</t>
        </is>
      </c>
      <c r="C712" t="n">
        <v>2024</v>
      </c>
      <c r="D712" t="inlineStr">
        <is>
          <t>Financial</t>
        </is>
      </c>
      <c r="E712" t="inlineStr">
        <is>
          <t>Non-Current Assets</t>
        </is>
      </c>
      <c r="F712" t="n">
        <v>3731.61</v>
      </c>
      <c r="G712" t="inlineStr">
        <is>
          <t>IDR bn</t>
        </is>
      </c>
      <c r="H712" t="n">
        <v>7</v>
      </c>
      <c r="I712" t="inlineStr">
        <is>
          <t>Jumlah Aset Tidak Lancar 3.731.606.169.350.</t>
        </is>
      </c>
      <c r="J712" t="inlineStr">
        <is>
          <t>High</t>
        </is>
      </c>
      <c r="M712" t="inlineStr">
        <is>
          <t>LLM</t>
        </is>
      </c>
      <c r="N712" t="inlineStr">
        <is>
          <t>2026-04-18</t>
        </is>
      </c>
      <c r="O712" t="inlineStr">
        <is>
          <t>AI</t>
        </is>
      </c>
    </row>
    <row r="713">
      <c r="A713" t="inlineStr">
        <is>
          <t>PT Bumi Teknokultura Unggul Tbk</t>
        </is>
      </c>
      <c r="B713" t="inlineStr">
        <is>
          <t>BTEK_2024_AR.pdf</t>
        </is>
      </c>
      <c r="C713" t="n">
        <v>2024</v>
      </c>
      <c r="D713" t="inlineStr">
        <is>
          <t>Financial</t>
        </is>
      </c>
      <c r="E713" t="inlineStr">
        <is>
          <t>Total Assets</t>
        </is>
      </c>
      <c r="F713" t="n">
        <v>3894.06</v>
      </c>
      <c r="G713" t="inlineStr">
        <is>
          <t>IDR bn</t>
        </is>
      </c>
      <c r="H713" t="n">
        <v>7</v>
      </c>
      <c r="I713" t="inlineStr">
        <is>
          <t>JUMLAH ASET 3.894.062.592.724.</t>
        </is>
      </c>
      <c r="J713" t="inlineStr">
        <is>
          <t>High</t>
        </is>
      </c>
      <c r="M713" t="inlineStr">
        <is>
          <t>LLM</t>
        </is>
      </c>
      <c r="N713" t="inlineStr">
        <is>
          <t>2026-04-18</t>
        </is>
      </c>
      <c r="O713" t="inlineStr">
        <is>
          <t>AI</t>
        </is>
      </c>
    </row>
    <row r="714">
      <c r="A714" t="inlineStr">
        <is>
          <t>PT Bumi Teknokultura Unggul Tbk</t>
        </is>
      </c>
      <c r="B714" t="inlineStr">
        <is>
          <t>BTEK_2024_AR.pdf</t>
        </is>
      </c>
      <c r="C714" t="n">
        <v>2024</v>
      </c>
      <c r="D714" t="inlineStr">
        <is>
          <t>Financial</t>
        </is>
      </c>
      <c r="E714" t="inlineStr">
        <is>
          <t>Current Liabilities</t>
        </is>
      </c>
      <c r="F714" t="n">
        <v>69.97</v>
      </c>
      <c r="G714" t="inlineStr">
        <is>
          <t>IDR bn</t>
        </is>
      </c>
      <c r="H714" t="n">
        <v>7</v>
      </c>
      <c r="I714" t="inlineStr">
        <is>
          <t>Jumlah Liabilitas Jangka Pendek 69.967.087.494.</t>
        </is>
      </c>
      <c r="J714" t="inlineStr">
        <is>
          <t>High</t>
        </is>
      </c>
      <c r="M714" t="inlineStr">
        <is>
          <t>LLM</t>
        </is>
      </c>
      <c r="N714" t="inlineStr">
        <is>
          <t>2026-04-18</t>
        </is>
      </c>
      <c r="O714" t="inlineStr">
        <is>
          <t>AI</t>
        </is>
      </c>
    </row>
    <row r="715">
      <c r="A715" t="inlineStr">
        <is>
          <t>PT Bumi Teknokultura Unggul Tbk</t>
        </is>
      </c>
      <c r="B715" t="inlineStr">
        <is>
          <t>BTEK_2024_AR.pdf</t>
        </is>
      </c>
      <c r="C715" t="n">
        <v>2024</v>
      </c>
      <c r="D715" t="inlineStr">
        <is>
          <t>Financial</t>
        </is>
      </c>
      <c r="E715" t="inlineStr">
        <is>
          <t>Non-Current Liabilities</t>
        </is>
      </c>
      <c r="F715" t="n">
        <v>3361.6</v>
      </c>
      <c r="G715" t="inlineStr">
        <is>
          <t>IDR bn</t>
        </is>
      </c>
      <c r="H715" t="n">
        <v>7</v>
      </c>
      <c r="I715" t="inlineStr">
        <is>
          <t>Jumlah Liabilitas Jangka Panjang 3.361.595.129.208.</t>
        </is>
      </c>
      <c r="J715" t="inlineStr">
        <is>
          <t>High</t>
        </is>
      </c>
      <c r="M715" t="inlineStr">
        <is>
          <t>LLM</t>
        </is>
      </c>
      <c r="N715" t="inlineStr">
        <is>
          <t>2026-04-18</t>
        </is>
      </c>
      <c r="O715" t="inlineStr">
        <is>
          <t>AI</t>
        </is>
      </c>
    </row>
    <row r="716">
      <c r="A716" t="inlineStr">
        <is>
          <t>PT Bumi Teknokultura Unggul Tbk</t>
        </is>
      </c>
      <c r="B716" t="inlineStr">
        <is>
          <t>BTEK_2024_AR.pdf</t>
        </is>
      </c>
      <c r="C716" t="n">
        <v>2024</v>
      </c>
      <c r="D716" t="inlineStr">
        <is>
          <t>Financial</t>
        </is>
      </c>
      <c r="E716" t="inlineStr">
        <is>
          <t>Total Liabilities</t>
        </is>
      </c>
      <c r="F716" t="n">
        <v>3431.56</v>
      </c>
      <c r="G716" t="inlineStr">
        <is>
          <t>IDR bn</t>
        </is>
      </c>
      <c r="H716" t="n">
        <v>7</v>
      </c>
      <c r="I716" t="inlineStr">
        <is>
          <t>JUMLAH LIABILITAS 3.431.562.216.702.</t>
        </is>
      </c>
      <c r="J716" t="inlineStr">
        <is>
          <t>High</t>
        </is>
      </c>
      <c r="M716" t="inlineStr">
        <is>
          <t>LLM</t>
        </is>
      </c>
      <c r="N716" t="inlineStr">
        <is>
          <t>2026-04-18</t>
        </is>
      </c>
      <c r="O716" t="inlineStr">
        <is>
          <t>AI</t>
        </is>
      </c>
    </row>
    <row r="717">
      <c r="A717" t="inlineStr">
        <is>
          <t>PT Bumi Teknokultura Unggul Tbk</t>
        </is>
      </c>
      <c r="B717" t="inlineStr">
        <is>
          <t>BTEK_2024_AR.pdf</t>
        </is>
      </c>
      <c r="C717" t="n">
        <v>2024</v>
      </c>
      <c r="D717" t="inlineStr">
        <is>
          <t>Financial</t>
        </is>
      </c>
      <c r="E717" t="inlineStr">
        <is>
          <t>Total Equity</t>
        </is>
      </c>
      <c r="F717" t="n">
        <v>462.5</v>
      </c>
      <c r="G717" t="inlineStr">
        <is>
          <t>IDR bn</t>
        </is>
      </c>
      <c r="H717" t="n">
        <v>7</v>
      </c>
      <c r="I717" t="inlineStr">
        <is>
          <t>JUMLAH EKUITAS 462.500.376.022.</t>
        </is>
      </c>
      <c r="J717" t="inlineStr">
        <is>
          <t>High</t>
        </is>
      </c>
      <c r="M717" t="inlineStr">
        <is>
          <t>LLM</t>
        </is>
      </c>
      <c r="N717" t="inlineStr">
        <is>
          <t>2026-04-18</t>
        </is>
      </c>
      <c r="O717" t="inlineStr">
        <is>
          <t>AI</t>
        </is>
      </c>
    </row>
    <row r="718">
      <c r="A718" t="inlineStr">
        <is>
          <t>PT Bumi Teknokultura Unggul Tbk</t>
        </is>
      </c>
      <c r="B718" t="inlineStr">
        <is>
          <t>BTEK_2024_AR.pdf</t>
        </is>
      </c>
      <c r="C718" t="n">
        <v>2024</v>
      </c>
      <c r="D718" t="inlineStr">
        <is>
          <t>Financial</t>
        </is>
      </c>
      <c r="E718" t="inlineStr">
        <is>
          <t>Cash &amp; equivalents</t>
        </is>
      </c>
      <c r="F718" t="n">
        <v>61.35</v>
      </c>
      <c r="G718" t="inlineStr">
        <is>
          <t>IDR bn</t>
        </is>
      </c>
      <c r="H718" t="n">
        <v>195</v>
      </c>
      <c r="I718" t="inlineStr">
        <is>
          <t>Kas dan setara kas 61.354.659.332.</t>
        </is>
      </c>
      <c r="J718" t="inlineStr">
        <is>
          <t>High</t>
        </is>
      </c>
      <c r="M718" t="inlineStr">
        <is>
          <t>LLM</t>
        </is>
      </c>
      <c r="N718" t="inlineStr">
        <is>
          <t>2026-04-18</t>
        </is>
      </c>
      <c r="O718" t="inlineStr">
        <is>
          <t>AI</t>
        </is>
      </c>
    </row>
    <row r="719">
      <c r="A719" t="inlineStr">
        <is>
          <t>PT Bumi Teknokultura Unggul Tbk</t>
        </is>
      </c>
      <c r="B719" t="inlineStr">
        <is>
          <t>BTEK_2024_AR.pdf</t>
        </is>
      </c>
      <c r="C719" t="n">
        <v>2024</v>
      </c>
      <c r="D719" t="inlineStr">
        <is>
          <t>Financial</t>
        </is>
      </c>
      <c r="E719" t="inlineStr">
        <is>
          <t>Bank loans</t>
        </is>
      </c>
      <c r="F719" t="n">
        <v>2346</v>
      </c>
      <c r="G719" t="inlineStr">
        <is>
          <t>IDR bn</t>
        </is>
      </c>
      <c r="H719" t="n">
        <v>197</v>
      </c>
      <c r="I719" t="inlineStr">
        <is>
          <t>Utang bank 2.345.998.471.696.</t>
        </is>
      </c>
      <c r="J719" t="inlineStr">
        <is>
          <t>High</t>
        </is>
      </c>
      <c r="M719" t="inlineStr">
        <is>
          <t>LLM</t>
        </is>
      </c>
      <c r="N719" t="inlineStr">
        <is>
          <t>2026-04-18</t>
        </is>
      </c>
      <c r="O719" t="inlineStr">
        <is>
          <t>AI</t>
        </is>
      </c>
    </row>
    <row r="720">
      <c r="A720" t="inlineStr">
        <is>
          <t>PT Bumi Teknokultura Unggul Tbk</t>
        </is>
      </c>
      <c r="B720" t="inlineStr">
        <is>
          <t>BTEK_2024_AR.pdf</t>
        </is>
      </c>
      <c r="C720" t="n">
        <v>2024</v>
      </c>
      <c r="D720" t="inlineStr">
        <is>
          <t>Financial</t>
        </is>
      </c>
      <c r="E720" t="inlineStr">
        <is>
          <t>CFO</t>
        </is>
      </c>
      <c r="F720" t="n">
        <v>70.95999999999999</v>
      </c>
      <c r="G720" t="inlineStr">
        <is>
          <t>IDR bn</t>
        </is>
      </c>
      <c r="H720" t="n">
        <v>199</v>
      </c>
      <c r="I720" t="inlineStr">
        <is>
          <t>Kas bersih diperoleh dari aktivitas operasi 70.963.431.831.</t>
        </is>
      </c>
      <c r="J720" t="inlineStr">
        <is>
          <t>High</t>
        </is>
      </c>
      <c r="M720" t="inlineStr">
        <is>
          <t>LLM</t>
        </is>
      </c>
      <c r="N720" t="inlineStr">
        <is>
          <t>2026-04-18</t>
        </is>
      </c>
      <c r="O720" t="inlineStr">
        <is>
          <t>AI</t>
        </is>
      </c>
    </row>
    <row r="721">
      <c r="A721" t="inlineStr">
        <is>
          <t>PT Bumi Teknokultura Unggul Tbk</t>
        </is>
      </c>
      <c r="B721" t="inlineStr">
        <is>
          <t>BTEK_2024_AR.pdf</t>
        </is>
      </c>
      <c r="C721" t="n">
        <v>2024</v>
      </c>
      <c r="D721" t="inlineStr">
        <is>
          <t>Financial</t>
        </is>
      </c>
      <c r="E721" t="inlineStr">
        <is>
          <t>Capex</t>
        </is>
      </c>
      <c r="F721" t="n">
        <v>21.77</v>
      </c>
      <c r="G721" t="inlineStr">
        <is>
          <t>IDR bn</t>
        </is>
      </c>
      <c r="H721" t="n">
        <v>199</v>
      </c>
      <c r="I721" t="inlineStr">
        <is>
          <t>Kas bersih digunakan untuk aktivitas investasi (21.774.839.454).</t>
        </is>
      </c>
      <c r="J721" t="inlineStr">
        <is>
          <t>High</t>
        </is>
      </c>
      <c r="M721" t="inlineStr">
        <is>
          <t>LLM</t>
        </is>
      </c>
      <c r="N721" t="inlineStr">
        <is>
          <t>2026-04-18</t>
        </is>
      </c>
      <c r="O721" t="inlineStr">
        <is>
          <t>AI</t>
        </is>
      </c>
    </row>
    <row r="722">
      <c r="A722" t="inlineStr">
        <is>
          <t>PT Bumi Teknokultura Unggul Tbk</t>
        </is>
      </c>
      <c r="B722" t="inlineStr">
        <is>
          <t>BTEK_2024_AR.pdf</t>
        </is>
      </c>
      <c r="C722" t="n">
        <v>2024</v>
      </c>
      <c r="D722" t="inlineStr">
        <is>
          <t>Financial</t>
        </is>
      </c>
      <c r="E722" t="inlineStr">
        <is>
          <t>Depreciation expense</t>
        </is>
      </c>
      <c r="F722" t="n">
        <v>84.31999999999999</v>
      </c>
      <c r="G722" t="inlineStr">
        <is>
          <t>IDR bn</t>
        </is>
      </c>
      <c r="H722" t="n">
        <v>230</v>
      </c>
      <c r="I722" t="inlineStr">
        <is>
          <t>Akumulasi penyusutan additions 2024: Jumlah 84.320.055.671.</t>
        </is>
      </c>
      <c r="J722" t="inlineStr">
        <is>
          <t>High</t>
        </is>
      </c>
      <c r="M722" t="inlineStr">
        <is>
          <t>LLM</t>
        </is>
      </c>
      <c r="N722" t="inlineStr">
        <is>
          <t>2026-04-18</t>
        </is>
      </c>
      <c r="O722" t="inlineStr">
        <is>
          <t>AI</t>
        </is>
      </c>
    </row>
    <row r="723">
      <c r="A723" t="inlineStr">
        <is>
          <t>PT Bumi Teknokultura Unggul Tbk</t>
        </is>
      </c>
      <c r="B723" t="inlineStr">
        <is>
          <t>BTEK_2024_AR.pdf</t>
        </is>
      </c>
      <c r="C723" t="n">
        <v>2024</v>
      </c>
      <c r="D723" t="inlineStr">
        <is>
          <t>Financial</t>
        </is>
      </c>
      <c r="E723" t="inlineStr">
        <is>
          <t>Current Ratio</t>
        </is>
      </c>
      <c r="F723" t="n">
        <v>2.32</v>
      </c>
      <c r="G723" t="inlineStr">
        <is>
          <t>x</t>
        </is>
      </c>
      <c r="H723" t="n">
        <v>7</v>
      </c>
      <c r="I723" t="inlineStr">
        <is>
          <t>Rasio Lancar 2,32.</t>
        </is>
      </c>
      <c r="J723" t="inlineStr">
        <is>
          <t>High</t>
        </is>
      </c>
      <c r="M723" t="inlineStr">
        <is>
          <t>LLM</t>
        </is>
      </c>
      <c r="N723" t="inlineStr">
        <is>
          <t>2026-04-18</t>
        </is>
      </c>
      <c r="O723" t="inlineStr">
        <is>
          <t>AI</t>
        </is>
      </c>
    </row>
    <row r="724">
      <c r="A724" t="inlineStr">
        <is>
          <t>PT Bumi Teknokultura Unggul Tbk</t>
        </is>
      </c>
      <c r="B724" t="inlineStr">
        <is>
          <t>BTEK_2024_AR.pdf</t>
        </is>
      </c>
      <c r="C724" t="n">
        <v>2024</v>
      </c>
      <c r="D724" t="inlineStr">
        <is>
          <t>Financial</t>
        </is>
      </c>
      <c r="E724" t="inlineStr">
        <is>
          <t>DER</t>
        </is>
      </c>
      <c r="F724" t="n">
        <v>7.42</v>
      </c>
      <c r="G724" t="inlineStr">
        <is>
          <t>x</t>
        </is>
      </c>
      <c r="H724" t="n">
        <v>7</v>
      </c>
      <c r="I724" t="inlineStr">
        <is>
          <t>Rasio Liabilitas terhadap Ekuitas 7,42.</t>
        </is>
      </c>
      <c r="J724" t="inlineStr">
        <is>
          <t>High</t>
        </is>
      </c>
      <c r="M724" t="inlineStr">
        <is>
          <t>LLM</t>
        </is>
      </c>
      <c r="N724" t="inlineStr">
        <is>
          <t>2026-04-18</t>
        </is>
      </c>
      <c r="O724" t="inlineStr">
        <is>
          <t>AI</t>
        </is>
      </c>
    </row>
    <row r="725">
      <c r="A725" t="inlineStr">
        <is>
          <t>PT Bumi Teknokultura Unggul Tbk</t>
        </is>
      </c>
      <c r="B725" t="inlineStr">
        <is>
          <t>BTEK_2024_AR.pdf</t>
        </is>
      </c>
      <c r="C725" t="n">
        <v>2024</v>
      </c>
      <c r="D725" t="inlineStr">
        <is>
          <t>Financial</t>
        </is>
      </c>
      <c r="E725" t="inlineStr">
        <is>
          <t>Debt to Asset</t>
        </is>
      </c>
      <c r="F725" t="n">
        <v>0.88</v>
      </c>
      <c r="G725" t="inlineStr">
        <is>
          <t>x</t>
        </is>
      </c>
      <c r="H725" t="n">
        <v>7</v>
      </c>
      <c r="I725" t="inlineStr">
        <is>
          <t>Rasio Liabilitas terhadap Aset 0,88.</t>
        </is>
      </c>
      <c r="J725" t="inlineStr">
        <is>
          <t>High</t>
        </is>
      </c>
      <c r="M725" t="inlineStr">
        <is>
          <t>LLM</t>
        </is>
      </c>
      <c r="N725" t="inlineStr">
        <is>
          <t>2026-04-18</t>
        </is>
      </c>
      <c r="O725" t="inlineStr">
        <is>
          <t>AI</t>
        </is>
      </c>
    </row>
    <row r="726">
      <c r="A726" t="inlineStr">
        <is>
          <t>PT Bumi Teknokultura Unggul Tbk</t>
        </is>
      </c>
      <c r="B726" t="inlineStr">
        <is>
          <t>BTEK_2024_AR.pdf</t>
        </is>
      </c>
      <c r="C726" t="n">
        <v>2024</v>
      </c>
      <c r="D726" t="inlineStr">
        <is>
          <t>Financial</t>
        </is>
      </c>
      <c r="E726" t="inlineStr">
        <is>
          <t>Q4 2024 closing price</t>
        </is>
      </c>
      <c r="F726" t="n">
        <v>3</v>
      </c>
      <c r="G726" t="inlineStr">
        <is>
          <t>Rp/share</t>
        </is>
      </c>
      <c r="H726" t="n">
        <v>9</v>
      </c>
      <c r="I726" t="inlineStr">
        <is>
          <t>2024 IV Closing 3 (Rp/share).</t>
        </is>
      </c>
      <c r="J726" t="inlineStr">
        <is>
          <t>High</t>
        </is>
      </c>
      <c r="M726" t="inlineStr">
        <is>
          <t>LLM</t>
        </is>
      </c>
      <c r="N726" t="inlineStr">
        <is>
          <t>2026-04-18</t>
        </is>
      </c>
      <c r="O726" t="inlineStr">
        <is>
          <t>AI</t>
        </is>
      </c>
    </row>
    <row r="727">
      <c r="A727" t="inlineStr">
        <is>
          <t>PT Bumi Teknokultura Unggul Tbk</t>
        </is>
      </c>
      <c r="B727" t="inlineStr">
        <is>
          <t>BTEK_2024_AR.pdf</t>
        </is>
      </c>
      <c r="C727" t="n">
        <v>2024</v>
      </c>
      <c r="D727" t="inlineStr">
        <is>
          <t>Financial</t>
        </is>
      </c>
      <c r="E727" t="inlineStr">
        <is>
          <t>Shares outstanding</t>
        </is>
      </c>
      <c r="F727" t="n">
        <v>46277.5</v>
      </c>
      <c r="G727" t="inlineStr">
        <is>
          <t>mn shares</t>
        </is>
      </c>
      <c r="H727" t="n">
        <v>9</v>
      </c>
      <c r="I727" t="inlineStr">
        <is>
          <t>Saham Beredar 46.277.496.376.</t>
        </is>
      </c>
      <c r="J727" t="inlineStr">
        <is>
          <t>High</t>
        </is>
      </c>
      <c r="M727" t="inlineStr">
        <is>
          <t>LLM</t>
        </is>
      </c>
      <c r="N727" t="inlineStr">
        <is>
          <t>2026-04-18</t>
        </is>
      </c>
      <c r="O727" t="inlineStr">
        <is>
          <t>AI</t>
        </is>
      </c>
    </row>
    <row r="728">
      <c r="A728" t="inlineStr">
        <is>
          <t>PT Bumi Teknokultura Unggul Tbk</t>
        </is>
      </c>
      <c r="B728" t="inlineStr">
        <is>
          <t>BTEK_2024_AR.pdf</t>
        </is>
      </c>
      <c r="C728" t="n">
        <v>2024</v>
      </c>
      <c r="D728" t="inlineStr">
        <is>
          <t>Operation</t>
        </is>
      </c>
      <c r="E728" t="inlineStr">
        <is>
          <t>Cocoa butter production</t>
        </is>
      </c>
      <c r="F728" t="n">
        <v>14860.82</v>
      </c>
      <c r="G728" t="inlineStr">
        <is>
          <t>MT</t>
        </is>
      </c>
      <c r="H728" t="n">
        <v>151</v>
      </c>
      <c r="I728" t="inlineStr">
        <is>
          <t>Produksi Lemak Kakao Ton 14.860,82 (2024).</t>
        </is>
      </c>
      <c r="J728" t="inlineStr">
        <is>
          <t>High</t>
        </is>
      </c>
      <c r="M728" t="inlineStr">
        <is>
          <t>LLM</t>
        </is>
      </c>
      <c r="N728" t="inlineStr">
        <is>
          <t>2026-04-18</t>
        </is>
      </c>
      <c r="O728" t="inlineStr">
        <is>
          <t>AI</t>
        </is>
      </c>
    </row>
    <row r="729">
      <c r="A729" t="inlineStr">
        <is>
          <t>PT Bumi Teknokultura Unggul Tbk</t>
        </is>
      </c>
      <c r="B729" t="inlineStr">
        <is>
          <t>BTEK_2024_AR.pdf</t>
        </is>
      </c>
      <c r="C729" t="n">
        <v>2024</v>
      </c>
      <c r="D729" t="inlineStr">
        <is>
          <t>Operation</t>
        </is>
      </c>
      <c r="E729" t="inlineStr">
        <is>
          <t>Cocoa cake production</t>
        </is>
      </c>
      <c r="F729" t="n">
        <v>19195.68</v>
      </c>
      <c r="G729" t="inlineStr">
        <is>
          <t>MT</t>
        </is>
      </c>
      <c r="H729" t="n">
        <v>151</v>
      </c>
      <c r="I729" t="inlineStr">
        <is>
          <t>Produksi Padatan Kakao Ton 19.195,68 (2024).</t>
        </is>
      </c>
      <c r="J729" t="inlineStr">
        <is>
          <t>High</t>
        </is>
      </c>
      <c r="M729" t="inlineStr">
        <is>
          <t>LLM</t>
        </is>
      </c>
      <c r="N729" t="inlineStr">
        <is>
          <t>2026-04-18</t>
        </is>
      </c>
      <c r="O729" t="inlineStr">
        <is>
          <t>AI</t>
        </is>
      </c>
    </row>
    <row r="730">
      <c r="A730" t="inlineStr">
        <is>
          <t>PT Bumi Teknokultura Unggul Tbk</t>
        </is>
      </c>
      <c r="B730" t="inlineStr">
        <is>
          <t>BTEK_2024_AR.pdf</t>
        </is>
      </c>
      <c r="C730" t="n">
        <v>2024</v>
      </c>
      <c r="D730" t="inlineStr">
        <is>
          <t>Operation</t>
        </is>
      </c>
      <c r="E730" t="inlineStr">
        <is>
          <t>Cocoa powder production</t>
        </is>
      </c>
      <c r="F730" t="n">
        <v>6352.13</v>
      </c>
      <c r="G730" t="inlineStr">
        <is>
          <t>MT</t>
        </is>
      </c>
      <c r="H730" t="n">
        <v>151</v>
      </c>
      <c r="I730" t="inlineStr">
        <is>
          <t>Produksi Bubuk Kakao Ton 6.352,13 (2024).</t>
        </is>
      </c>
      <c r="J730" t="inlineStr">
        <is>
          <t>High</t>
        </is>
      </c>
      <c r="M730" t="inlineStr">
        <is>
          <t>LLM</t>
        </is>
      </c>
      <c r="N730" t="inlineStr">
        <is>
          <t>2026-04-18</t>
        </is>
      </c>
      <c r="O730" t="inlineStr">
        <is>
          <t>AI</t>
        </is>
      </c>
    </row>
    <row r="731">
      <c r="A731" t="inlineStr">
        <is>
          <t>PT Bumi Teknokultura Unggul Tbk</t>
        </is>
      </c>
      <c r="B731" t="inlineStr">
        <is>
          <t>BTEK_2024_AR.pdf</t>
        </is>
      </c>
      <c r="C731" t="n">
        <v>2024</v>
      </c>
      <c r="D731" t="inlineStr">
        <is>
          <t>Operation</t>
        </is>
      </c>
      <c r="E731" t="inlineStr">
        <is>
          <t>Local suppliers count</t>
        </is>
      </c>
      <c r="F731" t="n">
        <v>81</v>
      </c>
      <c r="G731" t="inlineStr">
        <is>
          <t>count</t>
        </is>
      </c>
      <c r="H731" t="n">
        <v>151</v>
      </c>
      <c r="I731" t="inlineStr">
        <is>
          <t>Pemasok Lokal 81 (2024).</t>
        </is>
      </c>
      <c r="J731" t="inlineStr">
        <is>
          <t>High</t>
        </is>
      </c>
      <c r="M731" t="inlineStr">
        <is>
          <t>LLM</t>
        </is>
      </c>
      <c r="N731" t="inlineStr">
        <is>
          <t>2026-04-18</t>
        </is>
      </c>
      <c r="O731" t="inlineStr">
        <is>
          <t>AI</t>
        </is>
      </c>
    </row>
    <row r="732">
      <c r="A732" t="inlineStr">
        <is>
          <t>PT Bumi Teknokultura Unggul Tbk</t>
        </is>
      </c>
      <c r="B732" t="inlineStr">
        <is>
          <t>BTEK_2024_AR.pdf</t>
        </is>
      </c>
      <c r="C732" t="n">
        <v>2024</v>
      </c>
      <c r="D732" t="inlineStr">
        <is>
          <t>ESG</t>
        </is>
      </c>
      <c r="E732" t="inlineStr">
        <is>
          <t>Electricity consumption</t>
        </is>
      </c>
      <c r="F732" t="n">
        <v>18335037</v>
      </c>
      <c r="G732" t="inlineStr">
        <is>
          <t>kWh</t>
        </is>
      </c>
      <c r="H732" t="n">
        <v>151</v>
      </c>
      <c r="I732" t="inlineStr">
        <is>
          <t>Konsumsi Energi Listrik 18.335.037 KWH (2024).</t>
        </is>
      </c>
      <c r="J732" t="inlineStr">
        <is>
          <t>High</t>
        </is>
      </c>
      <c r="M732" t="inlineStr">
        <is>
          <t>LLM</t>
        </is>
      </c>
      <c r="N732" t="inlineStr">
        <is>
          <t>2026-04-18</t>
        </is>
      </c>
      <c r="O732" t="inlineStr">
        <is>
          <t>AI</t>
        </is>
      </c>
    </row>
    <row r="733">
      <c r="A733" t="inlineStr">
        <is>
          <t>PT Bumi Teknokultura Unggul Tbk</t>
        </is>
      </c>
      <c r="B733" t="inlineStr">
        <is>
          <t>BTEK_2024_AR.pdf</t>
        </is>
      </c>
      <c r="C733" t="n">
        <v>2024</v>
      </c>
      <c r="D733" t="inlineStr">
        <is>
          <t>ESG</t>
        </is>
      </c>
      <c r="E733" t="inlineStr">
        <is>
          <t>Gas consumption</t>
        </is>
      </c>
      <c r="F733" t="n">
        <v>112409</v>
      </c>
      <c r="G733" t="inlineStr">
        <is>
          <t>MMBTU</t>
        </is>
      </c>
      <c r="H733" t="n">
        <v>151</v>
      </c>
      <c r="I733" t="inlineStr">
        <is>
          <t>Konsumsi Energi Gas 112.409 MMBTU (2024).</t>
        </is>
      </c>
      <c r="J733" t="inlineStr">
        <is>
          <t>High</t>
        </is>
      </c>
      <c r="M733" t="inlineStr">
        <is>
          <t>LLM</t>
        </is>
      </c>
      <c r="N733" t="inlineStr">
        <is>
          <t>2026-04-18</t>
        </is>
      </c>
      <c r="O733" t="inlineStr">
        <is>
          <t>AI</t>
        </is>
      </c>
    </row>
    <row r="734">
      <c r="A734" t="inlineStr">
        <is>
          <t>PT Bumi Teknokultura Unggul Tbk</t>
        </is>
      </c>
      <c r="B734" t="inlineStr">
        <is>
          <t>BTEK_2024_AR.pdf</t>
        </is>
      </c>
      <c r="C734" t="n">
        <v>2024</v>
      </c>
      <c r="D734" t="inlineStr">
        <is>
          <t>ESG</t>
        </is>
      </c>
      <c r="E734" t="inlineStr">
        <is>
          <t>Water consumption</t>
        </is>
      </c>
      <c r="F734" t="n">
        <v>47858</v>
      </c>
      <c r="G734" t="inlineStr">
        <is>
          <t>m3</t>
        </is>
      </c>
      <c r="H734" t="n">
        <v>151</v>
      </c>
      <c r="I734" t="inlineStr">
        <is>
          <t>Konsumsi Air 47.858 M3 (2024).</t>
        </is>
      </c>
      <c r="J734" t="inlineStr">
        <is>
          <t>High</t>
        </is>
      </c>
      <c r="M734" t="inlineStr">
        <is>
          <t>LLM</t>
        </is>
      </c>
      <c r="N734" t="inlineStr">
        <is>
          <t>2026-04-18</t>
        </is>
      </c>
      <c r="O734" t="inlineStr">
        <is>
          <t>AI</t>
        </is>
      </c>
    </row>
    <row r="735">
      <c r="A735" t="inlineStr">
        <is>
          <t>PT Bumi Teknokultura Unggul Tbk</t>
        </is>
      </c>
      <c r="B735" t="inlineStr">
        <is>
          <t>BTEK_2024_AR.pdf</t>
        </is>
      </c>
      <c r="C735" t="n">
        <v>2024</v>
      </c>
      <c r="D735" t="inlineStr">
        <is>
          <t>Company</t>
        </is>
      </c>
      <c r="E735" t="inlineStr">
        <is>
          <t>Primary business</t>
        </is>
      </c>
      <c r="F735" t="inlineStr">
        <is>
          <t>Cocoa processing</t>
        </is>
      </c>
      <c r="G735" t="inlineStr">
        <is>
          <t>category</t>
        </is>
      </c>
      <c r="H735" t="n">
        <v>1</v>
      </c>
      <c r="I735" t="inlineStr">
        <is>
          <t>Industri Pengolahan Biji Kakao; tolling revenue 162.95 bn.</t>
        </is>
      </c>
      <c r="J735" t="inlineStr">
        <is>
          <t>High</t>
        </is>
      </c>
      <c r="M735" t="inlineStr">
        <is>
          <t>LLM</t>
        </is>
      </c>
      <c r="N735" t="inlineStr">
        <is>
          <t>2026-04-18</t>
        </is>
      </c>
      <c r="O735" t="inlineStr">
        <is>
          <t>AI</t>
        </is>
      </c>
    </row>
    <row r="736">
      <c r="A736" t="inlineStr">
        <is>
          <t>PT Eagle High Plantations Tbk</t>
        </is>
      </c>
      <c r="B736" t="inlineStr">
        <is>
          <t>BWPT_2023_AR.pdf</t>
        </is>
      </c>
      <c r="C736" t="n">
        <v>2023</v>
      </c>
      <c r="D736" t="inlineStr">
        <is>
          <t>Financial</t>
        </is>
      </c>
      <c r="E736" t="inlineStr">
        <is>
          <t>Revenue</t>
        </is>
      </c>
      <c r="F736" t="n">
        <v>4204.61</v>
      </c>
      <c r="G736" t="inlineStr">
        <is>
          <t>IDR bn</t>
        </is>
      </c>
      <c r="H736" t="n">
        <v>6</v>
      </c>
      <c r="I736" t="inlineStr">
        <is>
          <t>Pendapatan Usaha 4.204.612 (jutaan Rupiah, 2023).</t>
        </is>
      </c>
      <c r="J736" t="inlineStr">
        <is>
          <t>High</t>
        </is>
      </c>
      <c r="M736" t="inlineStr">
        <is>
          <t>LLM</t>
        </is>
      </c>
      <c r="N736" t="inlineStr">
        <is>
          <t>2026-04-18</t>
        </is>
      </c>
      <c r="O736" t="inlineStr">
        <is>
          <t>AI</t>
        </is>
      </c>
    </row>
    <row r="737">
      <c r="A737" t="inlineStr">
        <is>
          <t>PT Eagle High Plantations Tbk</t>
        </is>
      </c>
      <c r="B737" t="inlineStr">
        <is>
          <t>BWPT_2023_AR.pdf</t>
        </is>
      </c>
      <c r="C737" t="n">
        <v>2023</v>
      </c>
      <c r="D737" t="inlineStr">
        <is>
          <t>Financial</t>
        </is>
      </c>
      <c r="E737" t="inlineStr">
        <is>
          <t>Gross profit</t>
        </is>
      </c>
      <c r="F737" t="n">
        <v>1057.15</v>
      </c>
      <c r="G737" t="inlineStr">
        <is>
          <t>IDR bn</t>
        </is>
      </c>
      <c r="H737" t="n">
        <v>6</v>
      </c>
      <c r="I737" t="inlineStr">
        <is>
          <t>Laba Kotor 1.057.146 (jutaan Rupiah).</t>
        </is>
      </c>
      <c r="J737" t="inlineStr">
        <is>
          <t>High</t>
        </is>
      </c>
      <c r="M737" t="inlineStr">
        <is>
          <t>LLM</t>
        </is>
      </c>
      <c r="N737" t="inlineStr">
        <is>
          <t>2026-04-18</t>
        </is>
      </c>
      <c r="O737" t="inlineStr">
        <is>
          <t>AI</t>
        </is>
      </c>
    </row>
    <row r="738">
      <c r="A738" t="inlineStr">
        <is>
          <t>PT Eagle High Plantations Tbk</t>
        </is>
      </c>
      <c r="B738" t="inlineStr">
        <is>
          <t>BWPT_2023_AR.pdf</t>
        </is>
      </c>
      <c r="C738" t="n">
        <v>2023</v>
      </c>
      <c r="D738" t="inlineStr">
        <is>
          <t>Financial</t>
        </is>
      </c>
      <c r="E738" t="inlineStr">
        <is>
          <t>Operating profit</t>
        </is>
      </c>
      <c r="F738" t="n">
        <v>703.47</v>
      </c>
      <c r="G738" t="inlineStr">
        <is>
          <t>IDR bn</t>
        </is>
      </c>
      <c r="H738" t="n">
        <v>6</v>
      </c>
      <c r="I738" t="inlineStr">
        <is>
          <t>Laba Usaha 703.466.</t>
        </is>
      </c>
      <c r="J738" t="inlineStr">
        <is>
          <t>High</t>
        </is>
      </c>
      <c r="M738" t="inlineStr">
        <is>
          <t>LLM</t>
        </is>
      </c>
      <c r="N738" t="inlineStr">
        <is>
          <t>2026-04-18</t>
        </is>
      </c>
      <c r="O738" t="inlineStr">
        <is>
          <t>AI</t>
        </is>
      </c>
    </row>
    <row r="739">
      <c r="A739" t="inlineStr">
        <is>
          <t>PT Eagle High Plantations Tbk</t>
        </is>
      </c>
      <c r="B739" t="inlineStr">
        <is>
          <t>BWPT_2023_AR.pdf</t>
        </is>
      </c>
      <c r="C739" t="n">
        <v>2023</v>
      </c>
      <c r="D739" t="inlineStr">
        <is>
          <t>Financial</t>
        </is>
      </c>
      <c r="E739" t="inlineStr">
        <is>
          <t>Net profit for the period</t>
        </is>
      </c>
      <c r="F739" t="n">
        <v>159.97</v>
      </c>
      <c r="G739" t="inlineStr">
        <is>
          <t>IDR bn</t>
        </is>
      </c>
      <c r="H739" t="n">
        <v>6</v>
      </c>
      <c r="I739" t="inlineStr">
        <is>
          <t>Laba (Rugi) Periode Berjalan 159.970.</t>
        </is>
      </c>
      <c r="J739" t="inlineStr">
        <is>
          <t>High</t>
        </is>
      </c>
      <c r="M739" t="inlineStr">
        <is>
          <t>LLM</t>
        </is>
      </c>
      <c r="N739" t="inlineStr">
        <is>
          <t>2026-04-18</t>
        </is>
      </c>
      <c r="O739" t="inlineStr">
        <is>
          <t>AI</t>
        </is>
      </c>
    </row>
    <row r="740">
      <c r="A740" t="inlineStr">
        <is>
          <t>PT Eagle High Plantations Tbk</t>
        </is>
      </c>
      <c r="B740" t="inlineStr">
        <is>
          <t>BWPT_2023_AR.pdf</t>
        </is>
      </c>
      <c r="C740" t="n">
        <v>2023</v>
      </c>
      <c r="D740" t="inlineStr">
        <is>
          <t>Financial</t>
        </is>
      </c>
      <c r="E740" t="inlineStr">
        <is>
          <t>Profit attributable to parent</t>
        </is>
      </c>
      <c r="F740" t="n">
        <v>177.03</v>
      </c>
      <c r="G740" t="inlineStr">
        <is>
          <t>IDR bn</t>
        </is>
      </c>
      <c r="H740" t="n">
        <v>6</v>
      </c>
      <c r="I740" t="inlineStr">
        <is>
          <t>Pemilik Entitas Induk 177.025.</t>
        </is>
      </c>
      <c r="J740" t="inlineStr">
        <is>
          <t>High</t>
        </is>
      </c>
      <c r="M740" t="inlineStr">
        <is>
          <t>LLM</t>
        </is>
      </c>
      <c r="N740" t="inlineStr">
        <is>
          <t>2026-04-18</t>
        </is>
      </c>
      <c r="O740" t="inlineStr">
        <is>
          <t>AI</t>
        </is>
      </c>
    </row>
    <row r="741">
      <c r="A741" t="inlineStr">
        <is>
          <t>PT Eagle High Plantations Tbk</t>
        </is>
      </c>
      <c r="B741" t="inlineStr">
        <is>
          <t>BWPT_2023_AR.pdf</t>
        </is>
      </c>
      <c r="C741" t="n">
        <v>2023</v>
      </c>
      <c r="D741" t="inlineStr">
        <is>
          <t>Financial</t>
        </is>
      </c>
      <c r="E741" t="inlineStr">
        <is>
          <t>Comprehensive profit</t>
        </is>
      </c>
      <c r="F741" t="n">
        <v>152.52</v>
      </c>
      <c r="G741" t="inlineStr">
        <is>
          <t>IDR bn</t>
        </is>
      </c>
      <c r="H741" t="n">
        <v>6</v>
      </c>
      <c r="I741" t="inlineStr">
        <is>
          <t>Penghasilan (Rugi) Komprehensif 152.517.</t>
        </is>
      </c>
      <c r="J741" t="inlineStr">
        <is>
          <t>High</t>
        </is>
      </c>
      <c r="M741" t="inlineStr">
        <is>
          <t>LLM</t>
        </is>
      </c>
      <c r="N741" t="inlineStr">
        <is>
          <t>2026-04-18</t>
        </is>
      </c>
      <c r="O741" t="inlineStr">
        <is>
          <t>AI</t>
        </is>
      </c>
    </row>
    <row r="742">
      <c r="A742" t="inlineStr">
        <is>
          <t>PT Eagle High Plantations Tbk</t>
        </is>
      </c>
      <c r="B742" t="inlineStr">
        <is>
          <t>BWPT_2023_AR.pdf</t>
        </is>
      </c>
      <c r="C742" t="n">
        <v>2023</v>
      </c>
      <c r="D742" t="inlineStr">
        <is>
          <t>Financial</t>
        </is>
      </c>
      <c r="E742" t="inlineStr">
        <is>
          <t>EPS</t>
        </is>
      </c>
      <c r="F742" t="n">
        <v>5.68</v>
      </c>
      <c r="G742" t="inlineStr">
        <is>
          <t>Rp/share</t>
        </is>
      </c>
      <c r="H742" t="n">
        <v>6</v>
      </c>
      <c r="I742" t="inlineStr">
        <is>
          <t>Laba (Rugi) periode berjalan per Saham 5,68.</t>
        </is>
      </c>
      <c r="J742" t="inlineStr">
        <is>
          <t>High</t>
        </is>
      </c>
      <c r="M742" t="inlineStr">
        <is>
          <t>LLM</t>
        </is>
      </c>
      <c r="N742" t="inlineStr">
        <is>
          <t>2026-04-18</t>
        </is>
      </c>
      <c r="O742" t="inlineStr">
        <is>
          <t>AI</t>
        </is>
      </c>
    </row>
    <row r="743">
      <c r="A743" t="inlineStr">
        <is>
          <t>PT Eagle High Plantations Tbk</t>
        </is>
      </c>
      <c r="B743" t="inlineStr">
        <is>
          <t>BWPT_2023_AR.pdf</t>
        </is>
      </c>
      <c r="C743" t="n">
        <v>2023</v>
      </c>
      <c r="D743" t="inlineStr">
        <is>
          <t>Financial</t>
        </is>
      </c>
      <c r="E743" t="inlineStr">
        <is>
          <t>Shares outstanding</t>
        </is>
      </c>
      <c r="F743" t="n">
        <v>31525.29</v>
      </c>
      <c r="G743" t="inlineStr">
        <is>
          <t>mn shares</t>
        </is>
      </c>
      <c r="H743" t="n">
        <v>6</v>
      </c>
      <c r="I743" t="inlineStr">
        <is>
          <t>Jumlah Saham Outstanding 31.525.291.000.</t>
        </is>
      </c>
      <c r="J743" t="inlineStr">
        <is>
          <t>High</t>
        </is>
      </c>
      <c r="M743" t="inlineStr">
        <is>
          <t>LLM</t>
        </is>
      </c>
      <c r="N743" t="inlineStr">
        <is>
          <t>2026-04-18</t>
        </is>
      </c>
      <c r="O743" t="inlineStr">
        <is>
          <t>AI</t>
        </is>
      </c>
    </row>
    <row r="744">
      <c r="A744" t="inlineStr">
        <is>
          <t>PT Eagle High Plantations Tbk</t>
        </is>
      </c>
      <c r="B744" t="inlineStr">
        <is>
          <t>BWPT_2023_AR.pdf</t>
        </is>
      </c>
      <c r="C744" t="n">
        <v>2023</v>
      </c>
      <c r="D744" t="inlineStr">
        <is>
          <t>Financial</t>
        </is>
      </c>
      <c r="E744" t="inlineStr">
        <is>
          <t>Current assets</t>
        </is>
      </c>
      <c r="F744" t="n">
        <v>1300.01</v>
      </c>
      <c r="G744" t="inlineStr">
        <is>
          <t>IDR bn</t>
        </is>
      </c>
      <c r="H744" t="n">
        <v>6</v>
      </c>
      <c r="I744" t="inlineStr">
        <is>
          <t>Aset Lancar 1.300.009 (jutaan Rp).</t>
        </is>
      </c>
      <c r="J744" t="inlineStr">
        <is>
          <t>High</t>
        </is>
      </c>
      <c r="M744" t="inlineStr">
        <is>
          <t>LLM</t>
        </is>
      </c>
      <c r="N744" t="inlineStr">
        <is>
          <t>2026-04-18</t>
        </is>
      </c>
      <c r="O744" t="inlineStr">
        <is>
          <t>AI</t>
        </is>
      </c>
    </row>
    <row r="745">
      <c r="A745" t="inlineStr">
        <is>
          <t>PT Eagle High Plantations Tbk</t>
        </is>
      </c>
      <c r="B745" t="inlineStr">
        <is>
          <t>BWPT_2023_AR.pdf</t>
        </is>
      </c>
      <c r="C745" t="n">
        <v>2023</v>
      </c>
      <c r="D745" t="inlineStr">
        <is>
          <t>Financial</t>
        </is>
      </c>
      <c r="E745" t="inlineStr">
        <is>
          <t>Total assets</t>
        </is>
      </c>
      <c r="F745" t="n">
        <v>10183.51</v>
      </c>
      <c r="G745" t="inlineStr">
        <is>
          <t>IDR bn</t>
        </is>
      </c>
      <c r="H745" t="n">
        <v>6</v>
      </c>
      <c r="I745" t="inlineStr">
        <is>
          <t>Jumlah Aset 10.183.510 (jutaan Rp).</t>
        </is>
      </c>
      <c r="J745" t="inlineStr">
        <is>
          <t>High</t>
        </is>
      </c>
      <c r="M745" t="inlineStr">
        <is>
          <t>LLM</t>
        </is>
      </c>
      <c r="N745" t="inlineStr">
        <is>
          <t>2026-04-18</t>
        </is>
      </c>
      <c r="O745" t="inlineStr">
        <is>
          <t>AI</t>
        </is>
      </c>
    </row>
    <row r="746">
      <c r="A746" t="inlineStr">
        <is>
          <t>PT Eagle High Plantations Tbk</t>
        </is>
      </c>
      <c r="B746" t="inlineStr">
        <is>
          <t>BWPT_2023_AR.pdf</t>
        </is>
      </c>
      <c r="C746" t="n">
        <v>2023</v>
      </c>
      <c r="D746" t="inlineStr">
        <is>
          <t>Financial</t>
        </is>
      </c>
      <c r="E746" t="inlineStr">
        <is>
          <t>Short-term liabilities</t>
        </is>
      </c>
      <c r="F746" t="n">
        <v>3513.09</v>
      </c>
      <c r="G746" t="inlineStr">
        <is>
          <t>IDR bn</t>
        </is>
      </c>
      <c r="H746" t="n">
        <v>6</v>
      </c>
      <c r="I746" t="inlineStr">
        <is>
          <t>Liabilitas Jangka Pendek 3.513.085.</t>
        </is>
      </c>
      <c r="J746" t="inlineStr">
        <is>
          <t>High</t>
        </is>
      </c>
      <c r="M746" t="inlineStr">
        <is>
          <t>LLM</t>
        </is>
      </c>
      <c r="N746" t="inlineStr">
        <is>
          <t>2026-04-18</t>
        </is>
      </c>
      <c r="O746" t="inlineStr">
        <is>
          <t>AI</t>
        </is>
      </c>
    </row>
    <row r="747">
      <c r="A747" t="inlineStr">
        <is>
          <t>PT Eagle High Plantations Tbk</t>
        </is>
      </c>
      <c r="B747" t="inlineStr">
        <is>
          <t>BWPT_2023_AR.pdf</t>
        </is>
      </c>
      <c r="C747" t="n">
        <v>2023</v>
      </c>
      <c r="D747" t="inlineStr">
        <is>
          <t>Financial</t>
        </is>
      </c>
      <c r="E747" t="inlineStr">
        <is>
          <t>Long-term liabilities</t>
        </is>
      </c>
      <c r="F747" t="n">
        <v>4478.87</v>
      </c>
      <c r="G747" t="inlineStr">
        <is>
          <t>IDR bn</t>
        </is>
      </c>
      <c r="H747" t="n">
        <v>36</v>
      </c>
      <c r="I747" t="inlineStr">
        <is>
          <t>Narrative: Liabilitas jangka panjang Rp 4,48 triliun.</t>
        </is>
      </c>
      <c r="J747" t="inlineStr">
        <is>
          <t>High</t>
        </is>
      </c>
      <c r="M747" t="inlineStr">
        <is>
          <t>LLM</t>
        </is>
      </c>
      <c r="N747" t="inlineStr">
        <is>
          <t>2026-04-18</t>
        </is>
      </c>
      <c r="O747" t="inlineStr">
        <is>
          <t>AI</t>
        </is>
      </c>
    </row>
    <row r="748">
      <c r="A748" t="inlineStr">
        <is>
          <t>PT Eagle High Plantations Tbk</t>
        </is>
      </c>
      <c r="B748" t="inlineStr">
        <is>
          <t>BWPT_2023_AR.pdf</t>
        </is>
      </c>
      <c r="C748" t="n">
        <v>2023</v>
      </c>
      <c r="D748" t="inlineStr">
        <is>
          <t>Financial</t>
        </is>
      </c>
      <c r="E748" t="inlineStr">
        <is>
          <t>Total liabilities</t>
        </is>
      </c>
      <c r="F748" t="n">
        <v>7991.96</v>
      </c>
      <c r="G748" t="inlineStr">
        <is>
          <t>IDR bn</t>
        </is>
      </c>
      <c r="H748" t="n">
        <v>6</v>
      </c>
      <c r="I748" t="inlineStr">
        <is>
          <t>Jumlah Liabilitas 7.991.960.</t>
        </is>
      </c>
      <c r="J748" t="inlineStr">
        <is>
          <t>High</t>
        </is>
      </c>
      <c r="M748" t="inlineStr">
        <is>
          <t>LLM</t>
        </is>
      </c>
      <c r="N748" t="inlineStr">
        <is>
          <t>2026-04-18</t>
        </is>
      </c>
      <c r="O748" t="inlineStr">
        <is>
          <t>AI</t>
        </is>
      </c>
    </row>
    <row r="749">
      <c r="A749" t="inlineStr">
        <is>
          <t>PT Eagle High Plantations Tbk</t>
        </is>
      </c>
      <c r="B749" t="inlineStr">
        <is>
          <t>BWPT_2023_AR.pdf</t>
        </is>
      </c>
      <c r="C749" t="n">
        <v>2023</v>
      </c>
      <c r="D749" t="inlineStr">
        <is>
          <t>Financial</t>
        </is>
      </c>
      <c r="E749" t="inlineStr">
        <is>
          <t>Total equity</t>
        </is>
      </c>
      <c r="F749" t="n">
        <v>2191.55</v>
      </c>
      <c r="G749" t="inlineStr">
        <is>
          <t>IDR bn</t>
        </is>
      </c>
      <c r="H749" t="n">
        <v>6</v>
      </c>
      <c r="I749" t="inlineStr">
        <is>
          <t>Jumlah Ekuitas 2.191.550.</t>
        </is>
      </c>
      <c r="J749" t="inlineStr">
        <is>
          <t>High</t>
        </is>
      </c>
      <c r="M749" t="inlineStr">
        <is>
          <t>LLM</t>
        </is>
      </c>
      <c r="N749" t="inlineStr">
        <is>
          <t>2026-04-18</t>
        </is>
      </c>
      <c r="O749" t="inlineStr">
        <is>
          <t>AI</t>
        </is>
      </c>
    </row>
    <row r="750">
      <c r="A750" t="inlineStr">
        <is>
          <t>PT Eagle High Plantations Tbk</t>
        </is>
      </c>
      <c r="B750" t="inlineStr">
        <is>
          <t>BWPT_2023_AR.pdf</t>
        </is>
      </c>
      <c r="C750" t="n">
        <v>2023</v>
      </c>
      <c r="D750" t="inlineStr">
        <is>
          <t>Financial</t>
        </is>
      </c>
      <c r="E750" t="inlineStr">
        <is>
          <t>CFO</t>
        </is>
      </c>
      <c r="F750" t="n">
        <v>633.0599999999999</v>
      </c>
      <c r="G750" t="inlineStr">
        <is>
          <t>IDR bn</t>
        </is>
      </c>
      <c r="H750" t="n">
        <v>37</v>
      </c>
      <c r="I750" t="inlineStr">
        <is>
          <t>Kas bersih dari aktivitas operasi Rp 633,06 miliar di 2023.</t>
        </is>
      </c>
      <c r="J750" t="inlineStr">
        <is>
          <t>High</t>
        </is>
      </c>
      <c r="M750" t="inlineStr">
        <is>
          <t>LLM</t>
        </is>
      </c>
      <c r="N750" t="inlineStr">
        <is>
          <t>2026-04-18</t>
        </is>
      </c>
      <c r="O750" t="inlineStr">
        <is>
          <t>AI</t>
        </is>
      </c>
    </row>
    <row r="751">
      <c r="A751" t="inlineStr">
        <is>
          <t>PT Eagle High Plantations Tbk</t>
        </is>
      </c>
      <c r="B751" t="inlineStr">
        <is>
          <t>BWPT_2023_AR.pdf</t>
        </is>
      </c>
      <c r="C751" t="n">
        <v>2023</v>
      </c>
      <c r="D751" t="inlineStr">
        <is>
          <t>Financial</t>
        </is>
      </c>
      <c r="E751" t="inlineStr">
        <is>
          <t>Capex (invest CF)</t>
        </is>
      </c>
      <c r="F751" t="n">
        <v>132.21</v>
      </c>
      <c r="G751" t="inlineStr">
        <is>
          <t>IDR bn</t>
        </is>
      </c>
      <c r="H751" t="n">
        <v>37</v>
      </c>
      <c r="I751" t="inlineStr">
        <is>
          <t>Kas bersih untuk aktivitas investasi Rp 132,21 miliar 2023.</t>
        </is>
      </c>
      <c r="J751" t="inlineStr">
        <is>
          <t>High</t>
        </is>
      </c>
      <c r="M751" t="inlineStr">
        <is>
          <t>LLM</t>
        </is>
      </c>
      <c r="N751" t="inlineStr">
        <is>
          <t>2026-04-18</t>
        </is>
      </c>
      <c r="O751" t="inlineStr">
        <is>
          <t>AI</t>
        </is>
      </c>
    </row>
    <row r="752">
      <c r="A752" t="inlineStr">
        <is>
          <t>PT Eagle High Plantations Tbk</t>
        </is>
      </c>
      <c r="B752" t="inlineStr">
        <is>
          <t>BWPT_2023_AR.pdf</t>
        </is>
      </c>
      <c r="C752" t="n">
        <v>2023</v>
      </c>
      <c r="D752" t="inlineStr">
        <is>
          <t>Financial</t>
        </is>
      </c>
      <c r="E752" t="inlineStr">
        <is>
          <t>Capex (narrative)</t>
        </is>
      </c>
      <c r="F752" t="n">
        <v>279</v>
      </c>
      <c r="G752" t="inlineStr">
        <is>
          <t>IDR bn</t>
        </is>
      </c>
      <c r="H752" t="n">
        <v>39</v>
      </c>
      <c r="I752" t="inlineStr">
        <is>
          <t>Belanja modal Perseroaan pada tahun 2023 mencapai Rp279 miliar.</t>
        </is>
      </c>
      <c r="J752" t="inlineStr">
        <is>
          <t>High</t>
        </is>
      </c>
      <c r="M752" t="inlineStr">
        <is>
          <t>LLM</t>
        </is>
      </c>
      <c r="N752" t="inlineStr">
        <is>
          <t>2026-04-18</t>
        </is>
      </c>
      <c r="O752" t="inlineStr">
        <is>
          <t>AI</t>
        </is>
      </c>
    </row>
    <row r="753">
      <c r="A753" t="inlineStr">
        <is>
          <t>PT Eagle High Plantations Tbk</t>
        </is>
      </c>
      <c r="B753" t="inlineStr">
        <is>
          <t>BWPT_2023_AR.pdf</t>
        </is>
      </c>
      <c r="C753" t="n">
        <v>2023</v>
      </c>
      <c r="D753" t="inlineStr">
        <is>
          <t>Financial</t>
        </is>
      </c>
      <c r="E753" t="inlineStr">
        <is>
          <t>Interest expense</t>
        </is>
      </c>
      <c r="F753" t="n">
        <v>564.14</v>
      </c>
      <c r="G753" t="inlineStr">
        <is>
          <t>IDR bn</t>
        </is>
      </c>
      <c r="H753" t="n">
        <v>37</v>
      </c>
      <c r="I753" t="inlineStr">
        <is>
          <t>Beban bunga turun 3% menjadi Rp564,14 miliar pada 2023.</t>
        </is>
      </c>
      <c r="J753" t="inlineStr">
        <is>
          <t>High</t>
        </is>
      </c>
      <c r="M753" t="inlineStr">
        <is>
          <t>LLM</t>
        </is>
      </c>
      <c r="N753" t="inlineStr">
        <is>
          <t>2026-04-18</t>
        </is>
      </c>
      <c r="O753" t="inlineStr">
        <is>
          <t>AI</t>
        </is>
      </c>
    </row>
    <row r="754">
      <c r="A754" t="inlineStr">
        <is>
          <t>PT Eagle High Plantations Tbk</t>
        </is>
      </c>
      <c r="B754" t="inlineStr">
        <is>
          <t>BWPT_2023_AR.pdf</t>
        </is>
      </c>
      <c r="C754" t="n">
        <v>2023</v>
      </c>
      <c r="D754" t="inlineStr">
        <is>
          <t>Financial</t>
        </is>
      </c>
      <c r="E754" t="inlineStr">
        <is>
          <t>DER</t>
        </is>
      </c>
      <c r="F754" t="n">
        <v>3.65</v>
      </c>
      <c r="G754" t="inlineStr">
        <is>
          <t>x</t>
        </is>
      </c>
      <c r="H754" t="n">
        <v>6</v>
      </c>
      <c r="I754" t="inlineStr">
        <is>
          <t>Rasio Utang Terhadap Ekuitas 3,65.</t>
        </is>
      </c>
      <c r="J754" t="inlineStr">
        <is>
          <t>High</t>
        </is>
      </c>
      <c r="M754" t="inlineStr">
        <is>
          <t>LLM</t>
        </is>
      </c>
      <c r="N754" t="inlineStr">
        <is>
          <t>2026-04-18</t>
        </is>
      </c>
      <c r="O754" t="inlineStr">
        <is>
          <t>AI</t>
        </is>
      </c>
    </row>
    <row r="755">
      <c r="A755" t="inlineStr">
        <is>
          <t>PT Eagle High Plantations Tbk</t>
        </is>
      </c>
      <c r="B755" t="inlineStr">
        <is>
          <t>BWPT_2023_AR.pdf</t>
        </is>
      </c>
      <c r="C755" t="n">
        <v>2023</v>
      </c>
      <c r="D755" t="inlineStr">
        <is>
          <t>Financial</t>
        </is>
      </c>
      <c r="E755" t="inlineStr">
        <is>
          <t>Loan to EBITDA</t>
        </is>
      </c>
      <c r="F755" t="n">
        <v>4.54</v>
      </c>
      <c r="G755" t="inlineStr">
        <is>
          <t>x</t>
        </is>
      </c>
      <c r="H755" t="n">
        <v>6</v>
      </c>
      <c r="I755" t="inlineStr">
        <is>
          <t>Pinjaman terhadap laba sebelum pajak &amp; penyusutan 4,54.</t>
        </is>
      </c>
      <c r="J755" t="inlineStr">
        <is>
          <t>High</t>
        </is>
      </c>
      <c r="M755" t="inlineStr">
        <is>
          <t>LLM</t>
        </is>
      </c>
      <c r="N755" t="inlineStr">
        <is>
          <t>2026-04-18</t>
        </is>
      </c>
      <c r="O755" t="inlineStr">
        <is>
          <t>AI</t>
        </is>
      </c>
    </row>
    <row r="756">
      <c r="A756" t="inlineStr">
        <is>
          <t>PT Eagle High Plantations Tbk</t>
        </is>
      </c>
      <c r="B756" t="inlineStr">
        <is>
          <t>BWPT_2023_AR.pdf</t>
        </is>
      </c>
      <c r="C756" t="n">
        <v>2023</v>
      </c>
      <c r="D756" t="inlineStr">
        <is>
          <t>Financial</t>
        </is>
      </c>
      <c r="E756" t="inlineStr">
        <is>
          <t>ROE</t>
        </is>
      </c>
      <c r="F756" t="n">
        <v>0.073</v>
      </c>
      <c r="G756" t="inlineStr">
        <is>
          <t>ratio</t>
        </is>
      </c>
      <c r="H756" t="n">
        <v>6</v>
      </c>
      <c r="I756" t="inlineStr">
        <is>
          <t>Pengembalian Ekuitas 7,30%.</t>
        </is>
      </c>
      <c r="J756" t="inlineStr">
        <is>
          <t>High</t>
        </is>
      </c>
      <c r="M756" t="inlineStr">
        <is>
          <t>LLM</t>
        </is>
      </c>
      <c r="N756" t="inlineStr">
        <is>
          <t>2026-04-18</t>
        </is>
      </c>
      <c r="O756" t="inlineStr">
        <is>
          <t>AI</t>
        </is>
      </c>
    </row>
    <row r="757">
      <c r="A757" t="inlineStr">
        <is>
          <t>PT Eagle High Plantations Tbk</t>
        </is>
      </c>
      <c r="B757" t="inlineStr">
        <is>
          <t>BWPT_2023_AR.pdf</t>
        </is>
      </c>
      <c r="C757" t="n">
        <v>2023</v>
      </c>
      <c r="D757" t="inlineStr">
        <is>
          <t>Financial</t>
        </is>
      </c>
      <c r="E757" t="inlineStr">
        <is>
          <t>Q4 2023 closing share price</t>
        </is>
      </c>
      <c r="F757" t="n">
        <v>54</v>
      </c>
      <c r="G757" t="inlineStr">
        <is>
          <t>Rp/share</t>
        </is>
      </c>
      <c r="H757" t="n">
        <v>7</v>
      </c>
      <c r="I757" t="inlineStr">
        <is>
          <t>Q4 2023 Closing 54; Full year closing 54.</t>
        </is>
      </c>
      <c r="J757" t="inlineStr">
        <is>
          <t>High</t>
        </is>
      </c>
      <c r="M757" t="inlineStr">
        <is>
          <t>LLM</t>
        </is>
      </c>
      <c r="N757" t="inlineStr">
        <is>
          <t>2026-04-18</t>
        </is>
      </c>
      <c r="O757" t="inlineStr">
        <is>
          <t>AI</t>
        </is>
      </c>
    </row>
    <row r="758">
      <c r="A758" t="inlineStr">
        <is>
          <t>PT Eagle High Plantations Tbk</t>
        </is>
      </c>
      <c r="B758" t="inlineStr">
        <is>
          <t>BWPT_2023_AR.pdf</t>
        </is>
      </c>
      <c r="C758" t="n">
        <v>2023</v>
      </c>
      <c r="D758" t="inlineStr">
        <is>
          <t>Operation</t>
        </is>
      </c>
      <c r="E758" t="inlineStr">
        <is>
          <t>CPO production</t>
        </is>
      </c>
      <c r="F758" t="n">
        <v>320107</v>
      </c>
      <c r="G758" t="inlineStr">
        <is>
          <t>tons</t>
        </is>
      </c>
      <c r="H758" t="n">
        <v>7</v>
      </c>
      <c r="I758" t="inlineStr">
        <is>
          <t>Minyak Sawit Mentah Crude Palm Oil CPO 320.107 Ton (2023).</t>
        </is>
      </c>
      <c r="J758" t="inlineStr">
        <is>
          <t>High</t>
        </is>
      </c>
      <c r="M758" t="inlineStr">
        <is>
          <t>LLM</t>
        </is>
      </c>
      <c r="N758" t="inlineStr">
        <is>
          <t>2026-04-18</t>
        </is>
      </c>
      <c r="O758" t="inlineStr">
        <is>
          <t>AI</t>
        </is>
      </c>
    </row>
    <row r="759">
      <c r="A759" t="inlineStr">
        <is>
          <t>PT Eagle High Plantations Tbk</t>
        </is>
      </c>
      <c r="B759" t="inlineStr">
        <is>
          <t>BWPT_2023_AR.pdf</t>
        </is>
      </c>
      <c r="C759" t="n">
        <v>2023</v>
      </c>
      <c r="D759" t="inlineStr">
        <is>
          <t>Operation</t>
        </is>
      </c>
      <c r="E759" t="inlineStr">
        <is>
          <t>Palm kernel production</t>
        </is>
      </c>
      <c r="F759" t="n">
        <v>59278</v>
      </c>
      <c r="G759" t="inlineStr">
        <is>
          <t>tons</t>
        </is>
      </c>
      <c r="H759" t="n">
        <v>7</v>
      </c>
      <c r="I759" t="inlineStr">
        <is>
          <t>Inti Kelapa Sawit (Palm Kernel) 59.278 Ton.</t>
        </is>
      </c>
      <c r="J759" t="inlineStr">
        <is>
          <t>High</t>
        </is>
      </c>
      <c r="M759" t="inlineStr">
        <is>
          <t>LLM</t>
        </is>
      </c>
      <c r="N759" t="inlineStr">
        <is>
          <t>2026-04-18</t>
        </is>
      </c>
      <c r="O759" t="inlineStr">
        <is>
          <t>AI</t>
        </is>
      </c>
    </row>
    <row r="760">
      <c r="A760" t="inlineStr">
        <is>
          <t>PT Eagle High Plantations Tbk</t>
        </is>
      </c>
      <c r="B760" t="inlineStr">
        <is>
          <t>BWPT_2023_AR.pdf</t>
        </is>
      </c>
      <c r="C760" t="n">
        <v>2023</v>
      </c>
      <c r="D760" t="inlineStr">
        <is>
          <t>Operation</t>
        </is>
      </c>
      <c r="E760" t="inlineStr">
        <is>
          <t>CPO sales volume</t>
        </is>
      </c>
      <c r="F760" t="n">
        <v>347227</v>
      </c>
      <c r="G760" t="inlineStr">
        <is>
          <t>tons</t>
        </is>
      </c>
      <c r="H760" t="n">
        <v>7</v>
      </c>
      <c r="I760" t="inlineStr">
        <is>
          <t>Volume Penjualan CPO 347.227 (2023).</t>
        </is>
      </c>
      <c r="J760" t="inlineStr">
        <is>
          <t>High</t>
        </is>
      </c>
      <c r="M760" t="inlineStr">
        <is>
          <t>LLM</t>
        </is>
      </c>
      <c r="N760" t="inlineStr">
        <is>
          <t>2026-04-18</t>
        </is>
      </c>
      <c r="O760" t="inlineStr">
        <is>
          <t>AI</t>
        </is>
      </c>
    </row>
    <row r="761">
      <c r="A761" t="inlineStr">
        <is>
          <t>PT Eagle High Plantations Tbk</t>
        </is>
      </c>
      <c r="B761" t="inlineStr">
        <is>
          <t>BWPT_2023_AR.pdf</t>
        </is>
      </c>
      <c r="C761" t="n">
        <v>2023</v>
      </c>
      <c r="D761" t="inlineStr">
        <is>
          <t>Operation</t>
        </is>
      </c>
      <c r="E761" t="inlineStr">
        <is>
          <t>PK sales volume</t>
        </is>
      </c>
      <c r="F761" t="n">
        <v>62653</v>
      </c>
      <c r="G761" t="inlineStr">
        <is>
          <t>tons</t>
        </is>
      </c>
      <c r="H761" t="n">
        <v>7</v>
      </c>
      <c r="I761" t="inlineStr">
        <is>
          <t>Volume Penjualan PK 62.653 (2023).</t>
        </is>
      </c>
      <c r="J761" t="inlineStr">
        <is>
          <t>High</t>
        </is>
      </c>
      <c r="M761" t="inlineStr">
        <is>
          <t>LLM</t>
        </is>
      </c>
      <c r="N761" t="inlineStr">
        <is>
          <t>2026-04-18</t>
        </is>
      </c>
      <c r="O761" t="inlineStr">
        <is>
          <t>AI</t>
        </is>
      </c>
    </row>
    <row r="762">
      <c r="A762" t="inlineStr">
        <is>
          <t>PT Eagle High Plantations Tbk</t>
        </is>
      </c>
      <c r="B762" t="inlineStr">
        <is>
          <t>BWPT_2023_AR.pdf</t>
        </is>
      </c>
      <c r="C762" t="n">
        <v>2023</v>
      </c>
      <c r="D762" t="inlineStr">
        <is>
          <t>Operation</t>
        </is>
      </c>
      <c r="E762" t="inlineStr">
        <is>
          <t>Average CPO price</t>
        </is>
      </c>
      <c r="F762" t="n">
        <v>11015</v>
      </c>
      <c r="G762" t="inlineStr">
        <is>
          <t>Rp/kg</t>
        </is>
      </c>
      <c r="H762" t="n">
        <v>7</v>
      </c>
      <c r="I762" t="inlineStr">
        <is>
          <t>Harga rata-rata CPO 11.015 (Rp/kg, 2023).</t>
        </is>
      </c>
      <c r="J762" t="inlineStr">
        <is>
          <t>High</t>
        </is>
      </c>
      <c r="M762" t="inlineStr">
        <is>
          <t>LLM</t>
        </is>
      </c>
      <c r="N762" t="inlineStr">
        <is>
          <t>2026-04-18</t>
        </is>
      </c>
      <c r="O762" t="inlineStr">
        <is>
          <t>AI</t>
        </is>
      </c>
    </row>
    <row r="763">
      <c r="A763" t="inlineStr">
        <is>
          <t>PT Eagle High Plantations Tbk</t>
        </is>
      </c>
      <c r="B763" t="inlineStr">
        <is>
          <t>BWPT_2023_AR.pdf</t>
        </is>
      </c>
      <c r="C763" t="n">
        <v>2023</v>
      </c>
      <c r="D763" t="inlineStr">
        <is>
          <t>Operation</t>
        </is>
      </c>
      <c r="E763" t="inlineStr">
        <is>
          <t>Average PK price</t>
        </is>
      </c>
      <c r="F763" t="n">
        <v>5185</v>
      </c>
      <c r="G763" t="inlineStr">
        <is>
          <t>Rp/kg</t>
        </is>
      </c>
      <c r="H763" t="n">
        <v>7</v>
      </c>
      <c r="I763" t="inlineStr">
        <is>
          <t>Harga rata-rata PK 5.185 (2023).</t>
        </is>
      </c>
      <c r="J763" t="inlineStr">
        <is>
          <t>High</t>
        </is>
      </c>
      <c r="M763" t="inlineStr">
        <is>
          <t>LLM</t>
        </is>
      </c>
      <c r="N763" t="inlineStr">
        <is>
          <t>2026-04-18</t>
        </is>
      </c>
      <c r="O763" t="inlineStr">
        <is>
          <t>AI</t>
        </is>
      </c>
    </row>
    <row r="764">
      <c r="A764" t="inlineStr">
        <is>
          <t>PT Eagle High Plantations Tbk</t>
        </is>
      </c>
      <c r="B764" t="inlineStr">
        <is>
          <t>BWPT_2023_AR.pdf</t>
        </is>
      </c>
      <c r="C764" t="n">
        <v>2023</v>
      </c>
      <c r="D764" t="inlineStr">
        <is>
          <t>Asset</t>
        </is>
      </c>
      <c r="E764" t="inlineStr">
        <is>
          <t>Total planted area</t>
        </is>
      </c>
      <c r="F764" t="n">
        <v>87000</v>
      </c>
      <c r="G764" t="inlineStr">
        <is>
          <t>ha</t>
        </is>
      </c>
      <c r="H764" t="n">
        <v>46</v>
      </c>
      <c r="I764" t="inlineStr">
        <is>
          <t>Luas Lahan Tertanam 2.000 Sumatera + 73.000 Kalimantan + 12.000 Papua = 87.000 ha total.</t>
        </is>
      </c>
      <c r="J764" t="inlineStr">
        <is>
          <t>High</t>
        </is>
      </c>
      <c r="M764" t="inlineStr">
        <is>
          <t>LLM</t>
        </is>
      </c>
      <c r="N764" t="inlineStr">
        <is>
          <t>2026-04-18</t>
        </is>
      </c>
      <c r="O764" t="inlineStr">
        <is>
          <t>AI</t>
        </is>
      </c>
    </row>
    <row r="765">
      <c r="A765" t="inlineStr">
        <is>
          <t>PT Eagle High Plantations Tbk</t>
        </is>
      </c>
      <c r="B765" t="inlineStr">
        <is>
          <t>BWPT_2023_AR.pdf</t>
        </is>
      </c>
      <c r="C765" t="n">
        <v>2023</v>
      </c>
      <c r="D765" t="inlineStr">
        <is>
          <t>Asset</t>
        </is>
      </c>
      <c r="E765" t="inlineStr">
        <is>
          <t>Mature area</t>
        </is>
      </c>
      <c r="F765" t="n">
        <v>87000</v>
      </c>
      <c r="G765" t="inlineStr">
        <is>
          <t>ha</t>
        </is>
      </c>
      <c r="H765" t="n">
        <v>46</v>
      </c>
      <c r="I765" t="inlineStr">
        <is>
          <t>Luas Tanaman Menghasilkan (Mature) 87.000 ha; Immature 0.</t>
        </is>
      </c>
      <c r="J765" t="inlineStr">
        <is>
          <t>High</t>
        </is>
      </c>
      <c r="M765" t="inlineStr">
        <is>
          <t>LLM</t>
        </is>
      </c>
      <c r="N765" t="inlineStr">
        <is>
          <t>2026-04-18</t>
        </is>
      </c>
      <c r="O765" t="inlineStr">
        <is>
          <t>AI</t>
        </is>
      </c>
    </row>
    <row r="766">
      <c r="A766" t="inlineStr">
        <is>
          <t>PT Eagle High Plantations Tbk</t>
        </is>
      </c>
      <c r="B766" t="inlineStr">
        <is>
          <t>BWPT_2023_AR.pdf</t>
        </is>
      </c>
      <c r="C766" t="n">
        <v>2023</v>
      </c>
      <c r="D766" t="inlineStr">
        <is>
          <t>Asset</t>
        </is>
      </c>
      <c r="E766" t="inlineStr">
        <is>
          <t>Kalimantan planted area</t>
        </is>
      </c>
      <c r="F766" t="n">
        <v>73000</v>
      </c>
      <c r="G766" t="inlineStr">
        <is>
          <t>ha</t>
        </is>
      </c>
      <c r="H766" t="n">
        <v>27</v>
      </c>
      <c r="I766" t="inlineStr">
        <is>
          <t>Kalimantan 73.000 Ha Luas Lahan Tertanam, 6 PKS, 325 t/h.</t>
        </is>
      </c>
      <c r="J766" t="inlineStr">
        <is>
          <t>High</t>
        </is>
      </c>
      <c r="M766" t="inlineStr">
        <is>
          <t>LLM</t>
        </is>
      </c>
      <c r="N766" t="inlineStr">
        <is>
          <t>2026-04-18</t>
        </is>
      </c>
      <c r="O766" t="inlineStr">
        <is>
          <t>AI</t>
        </is>
      </c>
    </row>
    <row r="767">
      <c r="A767" t="inlineStr">
        <is>
          <t>PT Eagle High Plantations Tbk</t>
        </is>
      </c>
      <c r="B767" t="inlineStr">
        <is>
          <t>BWPT_2023_AR.pdf</t>
        </is>
      </c>
      <c r="C767" t="n">
        <v>2023</v>
      </c>
      <c r="D767" t="inlineStr">
        <is>
          <t>Asset</t>
        </is>
      </c>
      <c r="E767" t="inlineStr">
        <is>
          <t>Papua planted area</t>
        </is>
      </c>
      <c r="F767" t="n">
        <v>12000</v>
      </c>
      <c r="G767" t="inlineStr">
        <is>
          <t>ha</t>
        </is>
      </c>
      <c r="H767" t="n">
        <v>28</v>
      </c>
      <c r="I767" t="inlineStr">
        <is>
          <t>Papua 12.000 Ha, 1 PKS, 45 t/h.</t>
        </is>
      </c>
      <c r="J767" t="inlineStr">
        <is>
          <t>High</t>
        </is>
      </c>
      <c r="M767" t="inlineStr">
        <is>
          <t>LLM</t>
        </is>
      </c>
      <c r="N767" t="inlineStr">
        <is>
          <t>2026-04-18</t>
        </is>
      </c>
      <c r="O767" t="inlineStr">
        <is>
          <t>AI</t>
        </is>
      </c>
    </row>
    <row r="768">
      <c r="A768" t="inlineStr">
        <is>
          <t>PT Eagle High Plantations Tbk</t>
        </is>
      </c>
      <c r="B768" t="inlineStr">
        <is>
          <t>BWPT_2023_AR.pdf</t>
        </is>
      </c>
      <c r="C768" t="n">
        <v>2023</v>
      </c>
      <c r="D768" t="inlineStr">
        <is>
          <t>Asset</t>
        </is>
      </c>
      <c r="E768" t="inlineStr">
        <is>
          <t>Sumatra planted area</t>
        </is>
      </c>
      <c r="F768" t="n">
        <v>2000</v>
      </c>
      <c r="G768" t="inlineStr">
        <is>
          <t>ha</t>
        </is>
      </c>
      <c r="H768" t="n">
        <v>27</v>
      </c>
      <c r="I768" t="inlineStr">
        <is>
          <t>Sumatera 2.000 Ha Luas Lahan Tertanam.</t>
        </is>
      </c>
      <c r="J768" t="inlineStr">
        <is>
          <t>High</t>
        </is>
      </c>
      <c r="M768" t="inlineStr">
        <is>
          <t>LLM</t>
        </is>
      </c>
      <c r="N768" t="inlineStr">
        <is>
          <t>2026-04-18</t>
        </is>
      </c>
      <c r="O768" t="inlineStr">
        <is>
          <t>AI</t>
        </is>
      </c>
    </row>
    <row r="769">
      <c r="A769" t="inlineStr">
        <is>
          <t>PT Eagle High Plantations Tbk</t>
        </is>
      </c>
      <c r="B769" t="inlineStr">
        <is>
          <t>BWPT_2023_AR.pdf</t>
        </is>
      </c>
      <c r="C769" t="n">
        <v>2023</v>
      </c>
      <c r="D769" t="inlineStr">
        <is>
          <t>Asset</t>
        </is>
      </c>
      <c r="E769" t="inlineStr">
        <is>
          <t>Number of mills</t>
        </is>
      </c>
      <c r="F769" t="n">
        <v>7</v>
      </c>
      <c r="G769" t="inlineStr">
        <is>
          <t>count</t>
        </is>
      </c>
      <c r="H769" t="n">
        <v>28</v>
      </c>
      <c r="I769" t="inlineStr">
        <is>
          <t>Total 7 mills (6 Kalimantan + 1 Papua), total installed capacity 370 t/h.</t>
        </is>
      </c>
      <c r="J769" t="inlineStr">
        <is>
          <t>High</t>
        </is>
      </c>
      <c r="M769" t="inlineStr">
        <is>
          <t>LLM</t>
        </is>
      </c>
      <c r="N769" t="inlineStr">
        <is>
          <t>2026-04-18</t>
        </is>
      </c>
      <c r="O769" t="inlineStr">
        <is>
          <t>AI</t>
        </is>
      </c>
    </row>
    <row r="770">
      <c r="A770" t="inlineStr">
        <is>
          <t>PT Eagle High Plantations Tbk</t>
        </is>
      </c>
      <c r="B770" t="inlineStr">
        <is>
          <t>BWPT_2023_AR.pdf</t>
        </is>
      </c>
      <c r="C770" t="n">
        <v>2023</v>
      </c>
      <c r="D770" t="inlineStr">
        <is>
          <t>Asset</t>
        </is>
      </c>
      <c r="E770" t="inlineStr">
        <is>
          <t>Mill installed capacity</t>
        </is>
      </c>
      <c r="F770" t="n">
        <v>370</v>
      </c>
      <c r="G770" t="inlineStr">
        <is>
          <t>tph</t>
        </is>
      </c>
      <c r="H770" t="n">
        <v>28</v>
      </c>
      <c r="I770" t="inlineStr">
        <is>
          <t>Total kapasitas 370 ton buah/jam.</t>
        </is>
      </c>
      <c r="J770" t="inlineStr">
        <is>
          <t>High</t>
        </is>
      </c>
      <c r="M770" t="inlineStr">
        <is>
          <t>LLM</t>
        </is>
      </c>
      <c r="N770" t="inlineStr">
        <is>
          <t>2026-04-18</t>
        </is>
      </c>
      <c r="O770" t="inlineStr">
        <is>
          <t>AI</t>
        </is>
      </c>
    </row>
    <row r="771">
      <c r="A771" t="inlineStr">
        <is>
          <t>PT Eagle High Plantations Tbk</t>
        </is>
      </c>
      <c r="B771" t="inlineStr">
        <is>
          <t>BWPT_2023_AR.pdf</t>
        </is>
      </c>
      <c r="C771" t="n">
        <v>2023</v>
      </c>
      <c r="D771" t="inlineStr">
        <is>
          <t>Asset</t>
        </is>
      </c>
      <c r="E771" t="inlineStr">
        <is>
          <t>RSPO certified area</t>
        </is>
      </c>
      <c r="F771" t="n">
        <v>22024</v>
      </c>
      <c r="G771" t="inlineStr">
        <is>
          <t>ha</t>
        </is>
      </c>
      <c r="H771" t="n">
        <v>8</v>
      </c>
      <c r="I771" t="inlineStr">
        <is>
          <t>2 PKS RSPO dengan total luas bersertifikat 22.024 ha.</t>
        </is>
      </c>
      <c r="J771" t="inlineStr">
        <is>
          <t>High</t>
        </is>
      </c>
      <c r="M771" t="inlineStr">
        <is>
          <t>LLM</t>
        </is>
      </c>
      <c r="N771" t="inlineStr">
        <is>
          <t>2026-04-18</t>
        </is>
      </c>
      <c r="O771" t="inlineStr">
        <is>
          <t>AI</t>
        </is>
      </c>
    </row>
    <row r="772">
      <c r="A772" t="inlineStr">
        <is>
          <t>PT Eagle High Plantations Tbk</t>
        </is>
      </c>
      <c r="B772" t="inlineStr">
        <is>
          <t>BWPT_2023_AR.pdf</t>
        </is>
      </c>
      <c r="C772" t="n">
        <v>2023</v>
      </c>
      <c r="D772" t="inlineStr">
        <is>
          <t>Asset</t>
        </is>
      </c>
      <c r="E772" t="inlineStr">
        <is>
          <t>ISPO certified area</t>
        </is>
      </c>
      <c r="F772" t="n">
        <v>54515.55</v>
      </c>
      <c r="G772" t="inlineStr">
        <is>
          <t>ha</t>
        </is>
      </c>
      <c r="H772" t="n">
        <v>8</v>
      </c>
      <c r="I772" t="inlineStr">
        <is>
          <t>8 unit operasi bersertifikat ISPO dengan 54.515,55 ha.</t>
        </is>
      </c>
      <c r="J772" t="inlineStr">
        <is>
          <t>High</t>
        </is>
      </c>
      <c r="M772" t="inlineStr">
        <is>
          <t>LLM</t>
        </is>
      </c>
      <c r="N772" t="inlineStr">
        <is>
          <t>2026-04-18</t>
        </is>
      </c>
      <c r="O772" t="inlineStr">
        <is>
          <t>AI</t>
        </is>
      </c>
    </row>
    <row r="773">
      <c r="A773" t="inlineStr">
        <is>
          <t>PT Eagle High Plantations Tbk</t>
        </is>
      </c>
      <c r="B773" t="inlineStr">
        <is>
          <t>BWPT_2023_AR.pdf</t>
        </is>
      </c>
      <c r="C773" t="n">
        <v>2023</v>
      </c>
      <c r="D773" t="inlineStr">
        <is>
          <t>Operation</t>
        </is>
      </c>
      <c r="E773" t="inlineStr">
        <is>
          <t>FFB processed (total)</t>
        </is>
      </c>
      <c r="F773" t="n">
        <v>1357872</v>
      </c>
      <c r="G773" t="inlineStr">
        <is>
          <t>tons</t>
        </is>
      </c>
      <c r="H773" t="n">
        <v>147</v>
      </c>
      <c r="I773" t="inlineStr">
        <is>
          <t>Jumlah 930.761 nucleus + 154.180 scheme + 272.931 third party = 1.357.872 FFB processed 2023.</t>
        </is>
      </c>
      <c r="J773" t="inlineStr">
        <is>
          <t>High</t>
        </is>
      </c>
      <c r="M773" t="inlineStr">
        <is>
          <t>LLM</t>
        </is>
      </c>
      <c r="N773" t="inlineStr">
        <is>
          <t>2026-04-18</t>
        </is>
      </c>
      <c r="O773" t="inlineStr">
        <is>
          <t>AI</t>
        </is>
      </c>
    </row>
    <row r="774">
      <c r="A774" t="inlineStr">
        <is>
          <t>PT Eagle High Plantations Tbk</t>
        </is>
      </c>
      <c r="B774" t="inlineStr">
        <is>
          <t>BWPT_2023_AR.pdf</t>
        </is>
      </c>
      <c r="C774" t="n">
        <v>2023</v>
      </c>
      <c r="D774" t="inlineStr">
        <is>
          <t>Operation</t>
        </is>
      </c>
      <c r="E774" t="inlineStr">
        <is>
          <t>FFB internal (nucleus+scheme)</t>
        </is>
      </c>
      <c r="F774" t="n">
        <v>1084941</v>
      </c>
      <c r="G774" t="inlineStr">
        <is>
          <t>tons</t>
        </is>
      </c>
      <c r="H774" t="n">
        <v>9</v>
      </c>
      <c r="I774" t="inlineStr">
        <is>
          <t>80% dari pasokan internal (inti dan plasma) = ~1.08 Mt.</t>
        </is>
      </c>
      <c r="J774" t="inlineStr">
        <is>
          <t>High</t>
        </is>
      </c>
      <c r="M774" t="inlineStr">
        <is>
          <t>LLM</t>
        </is>
      </c>
      <c r="N774" t="inlineStr">
        <is>
          <t>2026-04-18</t>
        </is>
      </c>
      <c r="O774" t="inlineStr">
        <is>
          <t>AI</t>
        </is>
      </c>
    </row>
    <row r="775">
      <c r="A775" t="inlineStr">
        <is>
          <t>PT Eagle High Plantations Tbk</t>
        </is>
      </c>
      <c r="B775" t="inlineStr">
        <is>
          <t>BWPT_2023_AR.pdf</t>
        </is>
      </c>
      <c r="C775" t="n">
        <v>2023</v>
      </c>
      <c r="D775" t="inlineStr">
        <is>
          <t>Operation</t>
        </is>
      </c>
      <c r="E775" t="inlineStr">
        <is>
          <t>FFB third-party</t>
        </is>
      </c>
      <c r="F775" t="n">
        <v>272931</v>
      </c>
      <c r="G775" t="inlineStr">
        <is>
          <t>tons</t>
        </is>
      </c>
      <c r="H775" t="n">
        <v>147</v>
      </c>
      <c r="I775" t="inlineStr">
        <is>
          <t>Third-party 272.931 tons (20%).</t>
        </is>
      </c>
      <c r="J775" t="inlineStr">
        <is>
          <t>High</t>
        </is>
      </c>
      <c r="M775" t="inlineStr">
        <is>
          <t>LLM</t>
        </is>
      </c>
      <c r="N775" t="inlineStr">
        <is>
          <t>2026-04-18</t>
        </is>
      </c>
      <c r="O775" t="inlineStr">
        <is>
          <t>AI</t>
        </is>
      </c>
    </row>
    <row r="776">
      <c r="A776" t="inlineStr">
        <is>
          <t>PT Eagle High Plantations Tbk</t>
        </is>
      </c>
      <c r="B776" t="inlineStr">
        <is>
          <t>BWPT_2023_AR.pdf</t>
        </is>
      </c>
      <c r="C776" t="n">
        <v>2023</v>
      </c>
      <c r="D776" t="inlineStr">
        <is>
          <t>Company</t>
        </is>
      </c>
      <c r="E776" t="inlineStr">
        <is>
          <t>Plasma smallholders</t>
        </is>
      </c>
      <c r="F776" t="n">
        <v>7791</v>
      </c>
      <c r="G776" t="inlineStr">
        <is>
          <t>count</t>
        </is>
      </c>
      <c r="H776" t="n">
        <v>47</v>
      </c>
      <c r="I776" t="inlineStr">
        <is>
          <t>7.791 petani plasma (2023).</t>
        </is>
      </c>
      <c r="J776" t="inlineStr">
        <is>
          <t>High</t>
        </is>
      </c>
      <c r="M776" t="inlineStr">
        <is>
          <t>LLM</t>
        </is>
      </c>
      <c r="N776" t="inlineStr">
        <is>
          <t>2026-04-18</t>
        </is>
      </c>
      <c r="O776" t="inlineStr">
        <is>
          <t>AI</t>
        </is>
      </c>
    </row>
    <row r="777">
      <c r="A777" t="inlineStr">
        <is>
          <t>PT Eagle High Plantations Tbk</t>
        </is>
      </c>
      <c r="B777" t="inlineStr">
        <is>
          <t>BWPT_2023_AR.pdf</t>
        </is>
      </c>
      <c r="C777" t="n">
        <v>2023</v>
      </c>
      <c r="D777" t="inlineStr">
        <is>
          <t>Company</t>
        </is>
      </c>
      <c r="E777" t="inlineStr">
        <is>
          <t>Major shareholder GEH</t>
        </is>
      </c>
      <c r="F777" t="inlineStr">
        <is>
          <t>Green Eagle Holdings Pte Ltd 37.84%</t>
        </is>
      </c>
      <c r="G777" t="inlineStr">
        <is>
          <t>ownership</t>
        </is>
      </c>
      <c r="H777" t="n">
        <v>29</v>
      </c>
      <c r="I777" t="inlineStr">
        <is>
          <t>Struktur Korporasi: Green Eagle Holdings Pte. Ltd. (GEH) 37.84%.</t>
        </is>
      </c>
      <c r="J777" t="inlineStr">
        <is>
          <t>High</t>
        </is>
      </c>
      <c r="M777" t="inlineStr">
        <is>
          <t>LLM</t>
        </is>
      </c>
      <c r="N777" t="inlineStr">
        <is>
          <t>2026-04-18</t>
        </is>
      </c>
      <c r="O777" t="inlineStr">
        <is>
          <t>AI</t>
        </is>
      </c>
    </row>
    <row r="778">
      <c r="A778" t="inlineStr">
        <is>
          <t>PT Eagle High Plantations Tbk</t>
        </is>
      </c>
      <c r="B778" t="inlineStr">
        <is>
          <t>BWPT_2023_AR.pdf</t>
        </is>
      </c>
      <c r="C778" t="n">
        <v>2023</v>
      </c>
      <c r="D778" t="inlineStr">
        <is>
          <t>Company</t>
        </is>
      </c>
      <c r="E778" t="inlineStr">
        <is>
          <t>Major shareholder FIC</t>
        </is>
      </c>
      <c r="F778" t="inlineStr">
        <is>
          <t>FIC Properties Sdn Bhd 37.00%</t>
        </is>
      </c>
      <c r="G778" t="inlineStr">
        <is>
          <t>ownership</t>
        </is>
      </c>
      <c r="H778" t="n">
        <v>29</v>
      </c>
      <c r="I778" t="inlineStr">
        <is>
          <t>FIC PROPERTIES SDN BHD 37,00%.</t>
        </is>
      </c>
      <c r="J778" t="inlineStr">
        <is>
          <t>High</t>
        </is>
      </c>
      <c r="M778" t="inlineStr">
        <is>
          <t>LLM</t>
        </is>
      </c>
      <c r="N778" t="inlineStr">
        <is>
          <t>2026-04-18</t>
        </is>
      </c>
      <c r="O778" t="inlineStr">
        <is>
          <t>AI</t>
        </is>
      </c>
    </row>
    <row r="779">
      <c r="A779" t="inlineStr">
        <is>
          <t>PT Eagle High Plantations Tbk</t>
        </is>
      </c>
      <c r="B779" t="inlineStr">
        <is>
          <t>BWPT_2023_AR.pdf</t>
        </is>
      </c>
      <c r="C779" t="n">
        <v>2023</v>
      </c>
      <c r="D779" t="inlineStr">
        <is>
          <t>ESG</t>
        </is>
      </c>
      <c r="E779" t="inlineStr">
        <is>
          <t>Scope 1 emissions</t>
        </is>
      </c>
      <c r="F779" t="n">
        <v>427064</v>
      </c>
      <c r="G779" t="inlineStr">
        <is>
          <t>tCO2e</t>
        </is>
      </c>
      <c r="H779" t="n">
        <v>69</v>
      </c>
      <c r="I779" t="inlineStr">
        <is>
          <t>Total Emisi Langsung Cakupan 1 427.064 (2023).</t>
        </is>
      </c>
      <c r="J779" t="inlineStr">
        <is>
          <t>High</t>
        </is>
      </c>
      <c r="M779" t="inlineStr">
        <is>
          <t>LLM</t>
        </is>
      </c>
      <c r="N779" t="inlineStr">
        <is>
          <t>2026-04-18</t>
        </is>
      </c>
      <c r="O779" t="inlineStr">
        <is>
          <t>AI</t>
        </is>
      </c>
    </row>
    <row r="780">
      <c r="A780" t="inlineStr">
        <is>
          <t>PT Eagle High Plantations Tbk</t>
        </is>
      </c>
      <c r="B780" t="inlineStr">
        <is>
          <t>BWPT_2024_AR.pdf</t>
        </is>
      </c>
      <c r="C780" t="n">
        <v>2024</v>
      </c>
      <c r="D780" t="inlineStr">
        <is>
          <t>Financial</t>
        </is>
      </c>
      <c r="E780" t="inlineStr">
        <is>
          <t>Revenue</t>
        </is>
      </c>
      <c r="F780" t="n">
        <v>4302.68</v>
      </c>
      <c r="G780" t="inlineStr">
        <is>
          <t>IDR bn</t>
        </is>
      </c>
      <c r="H780" t="n">
        <v>12</v>
      </c>
      <c r="I780" t="inlineStr">
        <is>
          <t>Pendapatan Usaha 4.302.676 (jutaan Rp, 2024).</t>
        </is>
      </c>
      <c r="J780" t="inlineStr">
        <is>
          <t>High</t>
        </is>
      </c>
      <c r="M780" t="inlineStr">
        <is>
          <t>LLM</t>
        </is>
      </c>
      <c r="N780" t="inlineStr">
        <is>
          <t>2026-04-18</t>
        </is>
      </c>
      <c r="O780" t="inlineStr">
        <is>
          <t>AI</t>
        </is>
      </c>
    </row>
    <row r="781">
      <c r="A781" t="inlineStr">
        <is>
          <t>PT Eagle High Plantations Tbk</t>
        </is>
      </c>
      <c r="B781" t="inlineStr">
        <is>
          <t>BWPT_2024_AR.pdf</t>
        </is>
      </c>
      <c r="C781" t="n">
        <v>2024</v>
      </c>
      <c r="D781" t="inlineStr">
        <is>
          <t>Financial</t>
        </is>
      </c>
      <c r="E781" t="inlineStr">
        <is>
          <t>COGS</t>
        </is>
      </c>
      <c r="F781" t="n">
        <v>-3048.25</v>
      </c>
      <c r="G781" t="inlineStr">
        <is>
          <t>IDR bn</t>
        </is>
      </c>
      <c r="H781" t="n">
        <v>12</v>
      </c>
      <c r="I781" t="inlineStr">
        <is>
          <t>Beban Pokok Penjualan 3.048.251.</t>
        </is>
      </c>
      <c r="J781" t="inlineStr">
        <is>
          <t>High</t>
        </is>
      </c>
      <c r="M781" t="inlineStr">
        <is>
          <t>LLM</t>
        </is>
      </c>
      <c r="N781" t="inlineStr">
        <is>
          <t>2026-04-18</t>
        </is>
      </c>
      <c r="O781" t="inlineStr">
        <is>
          <t>AI</t>
        </is>
      </c>
    </row>
    <row r="782">
      <c r="A782" t="inlineStr">
        <is>
          <t>PT Eagle High Plantations Tbk</t>
        </is>
      </c>
      <c r="B782" t="inlineStr">
        <is>
          <t>BWPT_2024_AR.pdf</t>
        </is>
      </c>
      <c r="C782" t="n">
        <v>2024</v>
      </c>
      <c r="D782" t="inlineStr">
        <is>
          <t>Financial</t>
        </is>
      </c>
      <c r="E782" t="inlineStr">
        <is>
          <t>Gross profit</t>
        </is>
      </c>
      <c r="F782" t="n">
        <v>1254.43</v>
      </c>
      <c r="G782" t="inlineStr">
        <is>
          <t>IDR bn</t>
        </is>
      </c>
      <c r="H782" t="n">
        <v>12</v>
      </c>
      <c r="I782" t="inlineStr">
        <is>
          <t>Laba Kotor 1.254.425.</t>
        </is>
      </c>
      <c r="J782" t="inlineStr">
        <is>
          <t>High</t>
        </is>
      </c>
      <c r="M782" t="inlineStr">
        <is>
          <t>LLM</t>
        </is>
      </c>
      <c r="N782" t="inlineStr">
        <is>
          <t>2026-04-18</t>
        </is>
      </c>
      <c r="O782" t="inlineStr">
        <is>
          <t>AI</t>
        </is>
      </c>
    </row>
    <row r="783">
      <c r="A783" t="inlineStr">
        <is>
          <t>PT Eagle High Plantations Tbk</t>
        </is>
      </c>
      <c r="B783" t="inlineStr">
        <is>
          <t>BWPT_2024_AR.pdf</t>
        </is>
      </c>
      <c r="C783" t="n">
        <v>2024</v>
      </c>
      <c r="D783" t="inlineStr">
        <is>
          <t>Financial</t>
        </is>
      </c>
      <c r="E783" t="inlineStr">
        <is>
          <t>Operating profit</t>
        </is>
      </c>
      <c r="F783" t="n">
        <v>926.51</v>
      </c>
      <c r="G783" t="inlineStr">
        <is>
          <t>IDR bn</t>
        </is>
      </c>
      <c r="H783" t="n">
        <v>12</v>
      </c>
      <c r="I783" t="inlineStr">
        <is>
          <t>Laba Usaha 926.507.</t>
        </is>
      </c>
      <c r="J783" t="inlineStr">
        <is>
          <t>High</t>
        </is>
      </c>
      <c r="M783" t="inlineStr">
        <is>
          <t>LLM</t>
        </is>
      </c>
      <c r="N783" t="inlineStr">
        <is>
          <t>2026-04-18</t>
        </is>
      </c>
      <c r="O783" t="inlineStr">
        <is>
          <t>AI</t>
        </is>
      </c>
    </row>
    <row r="784">
      <c r="A784" t="inlineStr">
        <is>
          <t>PT Eagle High Plantations Tbk</t>
        </is>
      </c>
      <c r="B784" t="inlineStr">
        <is>
          <t>BWPT_2024_AR.pdf</t>
        </is>
      </c>
      <c r="C784" t="n">
        <v>2024</v>
      </c>
      <c r="D784" t="inlineStr">
        <is>
          <t>Financial</t>
        </is>
      </c>
      <c r="E784" t="inlineStr">
        <is>
          <t>Net profit</t>
        </is>
      </c>
      <c r="F784" t="n">
        <v>272.13</v>
      </c>
      <c r="G784" t="inlineStr">
        <is>
          <t>IDR bn</t>
        </is>
      </c>
      <c r="H784" t="n">
        <v>12</v>
      </c>
      <c r="I784" t="inlineStr">
        <is>
          <t>Laba Tahun Berjalan 272.132.</t>
        </is>
      </c>
      <c r="J784" t="inlineStr">
        <is>
          <t>High</t>
        </is>
      </c>
      <c r="M784" t="inlineStr">
        <is>
          <t>LLM</t>
        </is>
      </c>
      <c r="N784" t="inlineStr">
        <is>
          <t>2026-04-18</t>
        </is>
      </c>
      <c r="O784" t="inlineStr">
        <is>
          <t>AI</t>
        </is>
      </c>
    </row>
    <row r="785">
      <c r="A785" t="inlineStr">
        <is>
          <t>PT Eagle High Plantations Tbk</t>
        </is>
      </c>
      <c r="B785" t="inlineStr">
        <is>
          <t>BWPT_2024_AR.pdf</t>
        </is>
      </c>
      <c r="C785" t="n">
        <v>2024</v>
      </c>
      <c r="D785" t="inlineStr">
        <is>
          <t>Financial</t>
        </is>
      </c>
      <c r="E785" t="inlineStr">
        <is>
          <t>Profit to parent</t>
        </is>
      </c>
      <c r="F785" t="n">
        <v>260.21</v>
      </c>
      <c r="G785" t="inlineStr">
        <is>
          <t>IDR bn</t>
        </is>
      </c>
      <c r="H785" t="n">
        <v>12</v>
      </c>
      <c r="I785" t="inlineStr">
        <is>
          <t>Pemilik Entitas Induk 260.210.</t>
        </is>
      </c>
      <c r="J785" t="inlineStr">
        <is>
          <t>High</t>
        </is>
      </c>
      <c r="M785" t="inlineStr">
        <is>
          <t>LLM</t>
        </is>
      </c>
      <c r="N785" t="inlineStr">
        <is>
          <t>2026-04-18</t>
        </is>
      </c>
      <c r="O785" t="inlineStr">
        <is>
          <t>AI</t>
        </is>
      </c>
    </row>
    <row r="786">
      <c r="A786" t="inlineStr">
        <is>
          <t>PT Eagle High Plantations Tbk</t>
        </is>
      </c>
      <c r="B786" t="inlineStr">
        <is>
          <t>BWPT_2024_AR.pdf</t>
        </is>
      </c>
      <c r="C786" t="n">
        <v>2024</v>
      </c>
      <c r="D786" t="inlineStr">
        <is>
          <t>Financial</t>
        </is>
      </c>
      <c r="E786" t="inlineStr">
        <is>
          <t>Comprehensive profit</t>
        </is>
      </c>
      <c r="F786" t="n">
        <v>260.54</v>
      </c>
      <c r="G786" t="inlineStr">
        <is>
          <t>IDR bn</t>
        </is>
      </c>
      <c r="H786" t="n">
        <v>12</v>
      </c>
      <c r="I786" t="inlineStr">
        <is>
          <t>Penghasilan Komprehensif 260.539.</t>
        </is>
      </c>
      <c r="J786" t="inlineStr">
        <is>
          <t>High</t>
        </is>
      </c>
      <c r="M786" t="inlineStr">
        <is>
          <t>LLM</t>
        </is>
      </c>
      <c r="N786" t="inlineStr">
        <is>
          <t>2026-04-18</t>
        </is>
      </c>
      <c r="O786" t="inlineStr">
        <is>
          <t>AI</t>
        </is>
      </c>
    </row>
    <row r="787">
      <c r="A787" t="inlineStr">
        <is>
          <t>PT Eagle High Plantations Tbk</t>
        </is>
      </c>
      <c r="B787" t="inlineStr">
        <is>
          <t>BWPT_2024_AR.pdf</t>
        </is>
      </c>
      <c r="C787" t="n">
        <v>2024</v>
      </c>
      <c r="D787" t="inlineStr">
        <is>
          <t>Financial</t>
        </is>
      </c>
      <c r="E787" t="inlineStr">
        <is>
          <t>EPS</t>
        </is>
      </c>
      <c r="F787" t="n">
        <v>8.359999999999999</v>
      </c>
      <c r="G787" t="inlineStr">
        <is>
          <t>Rp/share</t>
        </is>
      </c>
      <c r="H787" t="n">
        <v>12</v>
      </c>
      <c r="I787" t="inlineStr">
        <is>
          <t>Laba Tahun berjalan per Saham 8,36.</t>
        </is>
      </c>
      <c r="J787" t="inlineStr">
        <is>
          <t>High</t>
        </is>
      </c>
      <c r="M787" t="inlineStr">
        <is>
          <t>LLM</t>
        </is>
      </c>
      <c r="N787" t="inlineStr">
        <is>
          <t>2026-04-18</t>
        </is>
      </c>
      <c r="O787" t="inlineStr">
        <is>
          <t>AI</t>
        </is>
      </c>
    </row>
    <row r="788">
      <c r="A788" t="inlineStr">
        <is>
          <t>PT Eagle High Plantations Tbk</t>
        </is>
      </c>
      <c r="B788" t="inlineStr">
        <is>
          <t>BWPT_2024_AR.pdf</t>
        </is>
      </c>
      <c r="C788" t="n">
        <v>2024</v>
      </c>
      <c r="D788" t="inlineStr">
        <is>
          <t>Financial</t>
        </is>
      </c>
      <c r="E788" t="inlineStr">
        <is>
          <t>Shares outstanding</t>
        </is>
      </c>
      <c r="F788" t="n">
        <v>31525.29</v>
      </c>
      <c r="G788" t="inlineStr">
        <is>
          <t>mn shares</t>
        </is>
      </c>
      <c r="H788" t="n">
        <v>12</v>
      </c>
      <c r="I788" t="inlineStr">
        <is>
          <t>Jumlah Saham Outstanding 31.525.291.000.</t>
        </is>
      </c>
      <c r="J788" t="inlineStr">
        <is>
          <t>High</t>
        </is>
      </c>
      <c r="M788" t="inlineStr">
        <is>
          <t>LLM</t>
        </is>
      </c>
      <c r="N788" t="inlineStr">
        <is>
          <t>2026-04-18</t>
        </is>
      </c>
      <c r="O788" t="inlineStr">
        <is>
          <t>AI</t>
        </is>
      </c>
    </row>
    <row r="789">
      <c r="A789" t="inlineStr">
        <is>
          <t>PT Eagle High Plantations Tbk</t>
        </is>
      </c>
      <c r="B789" t="inlineStr">
        <is>
          <t>BWPT_2024_AR.pdf</t>
        </is>
      </c>
      <c r="C789" t="n">
        <v>2024</v>
      </c>
      <c r="D789" t="inlineStr">
        <is>
          <t>Financial</t>
        </is>
      </c>
      <c r="E789" t="inlineStr">
        <is>
          <t>Current assets</t>
        </is>
      </c>
      <c r="F789" t="n">
        <v>1420.68</v>
      </c>
      <c r="G789" t="inlineStr">
        <is>
          <t>IDR bn</t>
        </is>
      </c>
      <c r="H789" t="n">
        <v>12</v>
      </c>
      <c r="I789" t="inlineStr">
        <is>
          <t>Aset lancar 1.420.678.</t>
        </is>
      </c>
      <c r="J789" t="inlineStr">
        <is>
          <t>High</t>
        </is>
      </c>
      <c r="M789" t="inlineStr">
        <is>
          <t>LLM</t>
        </is>
      </c>
      <c r="N789" t="inlineStr">
        <is>
          <t>2026-04-18</t>
        </is>
      </c>
      <c r="O789" t="inlineStr">
        <is>
          <t>AI</t>
        </is>
      </c>
    </row>
    <row r="790">
      <c r="A790" t="inlineStr">
        <is>
          <t>PT Eagle High Plantations Tbk</t>
        </is>
      </c>
      <c r="B790" t="inlineStr">
        <is>
          <t>BWPT_2024_AR.pdf</t>
        </is>
      </c>
      <c r="C790" t="n">
        <v>2024</v>
      </c>
      <c r="D790" t="inlineStr">
        <is>
          <t>Financial</t>
        </is>
      </c>
      <c r="E790" t="inlineStr">
        <is>
          <t>Non-current assets</t>
        </is>
      </c>
      <c r="F790" t="n">
        <v>8373.700000000001</v>
      </c>
      <c r="G790" t="inlineStr">
        <is>
          <t>IDR bn</t>
        </is>
      </c>
      <c r="H790" t="n">
        <v>12</v>
      </c>
      <c r="I790" t="inlineStr">
        <is>
          <t>Aset tidak lancar 8.373.702.</t>
        </is>
      </c>
      <c r="J790" t="inlineStr">
        <is>
          <t>High</t>
        </is>
      </c>
      <c r="M790" t="inlineStr">
        <is>
          <t>LLM</t>
        </is>
      </c>
      <c r="N790" t="inlineStr">
        <is>
          <t>2026-04-18</t>
        </is>
      </c>
      <c r="O790" t="inlineStr">
        <is>
          <t>AI</t>
        </is>
      </c>
    </row>
    <row r="791">
      <c r="A791" t="inlineStr">
        <is>
          <t>PT Eagle High Plantations Tbk</t>
        </is>
      </c>
      <c r="B791" t="inlineStr">
        <is>
          <t>BWPT_2024_AR.pdf</t>
        </is>
      </c>
      <c r="C791" t="n">
        <v>2024</v>
      </c>
      <c r="D791" t="inlineStr">
        <is>
          <t>Financial</t>
        </is>
      </c>
      <c r="E791" t="inlineStr">
        <is>
          <t>Total assets</t>
        </is>
      </c>
      <c r="F791" t="n">
        <v>9794.379999999999</v>
      </c>
      <c r="G791" t="inlineStr">
        <is>
          <t>IDR bn</t>
        </is>
      </c>
      <c r="H791" t="n">
        <v>12</v>
      </c>
      <c r="I791" t="inlineStr">
        <is>
          <t>Jumlah Aset 9.794.380.</t>
        </is>
      </c>
      <c r="J791" t="inlineStr">
        <is>
          <t>High</t>
        </is>
      </c>
      <c r="M791" t="inlineStr">
        <is>
          <t>LLM</t>
        </is>
      </c>
      <c r="N791" t="inlineStr">
        <is>
          <t>2026-04-18</t>
        </is>
      </c>
      <c r="O791" t="inlineStr">
        <is>
          <t>AI</t>
        </is>
      </c>
    </row>
    <row r="792">
      <c r="A792" t="inlineStr">
        <is>
          <t>PT Eagle High Plantations Tbk</t>
        </is>
      </c>
      <c r="B792" t="inlineStr">
        <is>
          <t>BWPT_2024_AR.pdf</t>
        </is>
      </c>
      <c r="C792" t="n">
        <v>2024</v>
      </c>
      <c r="D792" t="inlineStr">
        <is>
          <t>Financial</t>
        </is>
      </c>
      <c r="E792" t="inlineStr">
        <is>
          <t>Current liabilities</t>
        </is>
      </c>
      <c r="F792" t="n">
        <v>2945.12</v>
      </c>
      <c r="G792" t="inlineStr">
        <is>
          <t>IDR bn</t>
        </is>
      </c>
      <c r="H792" t="n">
        <v>12</v>
      </c>
      <c r="I792" t="inlineStr">
        <is>
          <t>Liabilitas jangka pendek 2.945.123.</t>
        </is>
      </c>
      <c r="J792" t="inlineStr">
        <is>
          <t>High</t>
        </is>
      </c>
      <c r="M792" t="inlineStr">
        <is>
          <t>LLM</t>
        </is>
      </c>
      <c r="N792" t="inlineStr">
        <is>
          <t>2026-04-18</t>
        </is>
      </c>
      <c r="O792" t="inlineStr">
        <is>
          <t>AI</t>
        </is>
      </c>
    </row>
    <row r="793">
      <c r="A793" t="inlineStr">
        <is>
          <t>PT Eagle High Plantations Tbk</t>
        </is>
      </c>
      <c r="B793" t="inlineStr">
        <is>
          <t>BWPT_2024_AR.pdf</t>
        </is>
      </c>
      <c r="C793" t="n">
        <v>2024</v>
      </c>
      <c r="D793" t="inlineStr">
        <is>
          <t>Financial</t>
        </is>
      </c>
      <c r="E793" t="inlineStr">
        <is>
          <t>Non-current liabilities</t>
        </is>
      </c>
      <c r="F793" t="n">
        <v>4397.17</v>
      </c>
      <c r="G793" t="inlineStr">
        <is>
          <t>IDR bn</t>
        </is>
      </c>
      <c r="H793" t="n">
        <v>12</v>
      </c>
      <c r="I793" t="inlineStr">
        <is>
          <t>Liabilitas jangka panjang 4.397.168.</t>
        </is>
      </c>
      <c r="J793" t="inlineStr">
        <is>
          <t>High</t>
        </is>
      </c>
      <c r="M793" t="inlineStr">
        <is>
          <t>LLM</t>
        </is>
      </c>
      <c r="N793" t="inlineStr">
        <is>
          <t>2026-04-18</t>
        </is>
      </c>
      <c r="O793" t="inlineStr">
        <is>
          <t>AI</t>
        </is>
      </c>
    </row>
    <row r="794">
      <c r="A794" t="inlineStr">
        <is>
          <t>PT Eagle High Plantations Tbk</t>
        </is>
      </c>
      <c r="B794" t="inlineStr">
        <is>
          <t>BWPT_2024_AR.pdf</t>
        </is>
      </c>
      <c r="C794" t="n">
        <v>2024</v>
      </c>
      <c r="D794" t="inlineStr">
        <is>
          <t>Financial</t>
        </is>
      </c>
      <c r="E794" t="inlineStr">
        <is>
          <t>Total liabilities</t>
        </is>
      </c>
      <c r="F794" t="n">
        <v>7342.29</v>
      </c>
      <c r="G794" t="inlineStr">
        <is>
          <t>IDR bn</t>
        </is>
      </c>
      <c r="H794" t="n">
        <v>12</v>
      </c>
      <c r="I794" t="inlineStr">
        <is>
          <t>Jumlah Liabilitas 7.342.291.</t>
        </is>
      </c>
      <c r="J794" t="inlineStr">
        <is>
          <t>High</t>
        </is>
      </c>
      <c r="M794" t="inlineStr">
        <is>
          <t>LLM</t>
        </is>
      </c>
      <c r="N794" t="inlineStr">
        <is>
          <t>2026-04-18</t>
        </is>
      </c>
      <c r="O794" t="inlineStr">
        <is>
          <t>AI</t>
        </is>
      </c>
    </row>
    <row r="795">
      <c r="A795" t="inlineStr">
        <is>
          <t>PT Eagle High Plantations Tbk</t>
        </is>
      </c>
      <c r="B795" t="inlineStr">
        <is>
          <t>BWPT_2024_AR.pdf</t>
        </is>
      </c>
      <c r="C795" t="n">
        <v>2024</v>
      </c>
      <c r="D795" t="inlineStr">
        <is>
          <t>Financial</t>
        </is>
      </c>
      <c r="E795" t="inlineStr">
        <is>
          <t>Total equity</t>
        </is>
      </c>
      <c r="F795" t="n">
        <v>2452.09</v>
      </c>
      <c r="G795" t="inlineStr">
        <is>
          <t>IDR bn</t>
        </is>
      </c>
      <c r="H795" t="n">
        <v>12</v>
      </c>
      <c r="I795" t="inlineStr">
        <is>
          <t>Jumlah Ekuitas 2.452.089.</t>
        </is>
      </c>
      <c r="J795" t="inlineStr">
        <is>
          <t>High</t>
        </is>
      </c>
      <c r="M795" t="inlineStr">
        <is>
          <t>LLM</t>
        </is>
      </c>
      <c r="N795" t="inlineStr">
        <is>
          <t>2026-04-18</t>
        </is>
      </c>
      <c r="O795" t="inlineStr">
        <is>
          <t>AI</t>
        </is>
      </c>
    </row>
    <row r="796">
      <c r="A796" t="inlineStr">
        <is>
          <t>PT Eagle High Plantations Tbk</t>
        </is>
      </c>
      <c r="B796" t="inlineStr">
        <is>
          <t>BWPT_2024_AR.pdf</t>
        </is>
      </c>
      <c r="C796" t="n">
        <v>2024</v>
      </c>
      <c r="D796" t="inlineStr">
        <is>
          <t>Financial</t>
        </is>
      </c>
      <c r="E796" t="inlineStr">
        <is>
          <t>Cash and bank</t>
        </is>
      </c>
      <c r="F796" t="n">
        <v>58.08</v>
      </c>
      <c r="G796" t="inlineStr">
        <is>
          <t>IDR bn</t>
        </is>
      </c>
      <c r="H796" t="n">
        <v>195</v>
      </c>
      <c r="I796" t="inlineStr">
        <is>
          <t>Kas dan bank 58.080 (2024).</t>
        </is>
      </c>
      <c r="J796" t="inlineStr">
        <is>
          <t>High</t>
        </is>
      </c>
      <c r="M796" t="inlineStr">
        <is>
          <t>LLM</t>
        </is>
      </c>
      <c r="N796" t="inlineStr">
        <is>
          <t>2026-04-18</t>
        </is>
      </c>
      <c r="O796" t="inlineStr">
        <is>
          <t>AI</t>
        </is>
      </c>
    </row>
    <row r="797">
      <c r="A797" t="inlineStr">
        <is>
          <t>PT Eagle High Plantations Tbk</t>
        </is>
      </c>
      <c r="B797" t="inlineStr">
        <is>
          <t>BWPT_2024_AR.pdf</t>
        </is>
      </c>
      <c r="C797" t="n">
        <v>2024</v>
      </c>
      <c r="D797" t="inlineStr">
        <is>
          <t>Financial</t>
        </is>
      </c>
      <c r="E797" t="inlineStr">
        <is>
          <t>ST bank loans</t>
        </is>
      </c>
      <c r="F797" t="n">
        <v>290.78</v>
      </c>
      <c r="G797" t="inlineStr">
        <is>
          <t>IDR bn</t>
        </is>
      </c>
      <c r="H797" t="n">
        <v>196</v>
      </c>
      <c r="I797" t="inlineStr">
        <is>
          <t>Utang bank jangka pendek 290.776.</t>
        </is>
      </c>
      <c r="J797" t="inlineStr">
        <is>
          <t>High</t>
        </is>
      </c>
      <c r="M797" t="inlineStr">
        <is>
          <t>LLM</t>
        </is>
      </c>
      <c r="N797" t="inlineStr">
        <is>
          <t>2026-04-18</t>
        </is>
      </c>
      <c r="O797" t="inlineStr">
        <is>
          <t>AI</t>
        </is>
      </c>
    </row>
    <row r="798">
      <c r="A798" t="inlineStr">
        <is>
          <t>PT Eagle High Plantations Tbk</t>
        </is>
      </c>
      <c r="B798" t="inlineStr">
        <is>
          <t>BWPT_2024_AR.pdf</t>
        </is>
      </c>
      <c r="C798" t="n">
        <v>2024</v>
      </c>
      <c r="D798" t="inlineStr">
        <is>
          <t>Financial</t>
        </is>
      </c>
      <c r="E798" t="inlineStr">
        <is>
          <t>Current portion LT bank loans</t>
        </is>
      </c>
      <c r="F798" t="n">
        <v>696.23</v>
      </c>
      <c r="G798" t="inlineStr">
        <is>
          <t>IDR bn</t>
        </is>
      </c>
      <c r="H798" t="n">
        <v>196</v>
      </c>
      <c r="I798" t="inlineStr">
        <is>
          <t>Utang bank (current portion of LT) 696.227.</t>
        </is>
      </c>
      <c r="J798" t="inlineStr">
        <is>
          <t>High</t>
        </is>
      </c>
      <c r="M798" t="inlineStr">
        <is>
          <t>LLM</t>
        </is>
      </c>
      <c r="N798" t="inlineStr">
        <is>
          <t>2026-04-18</t>
        </is>
      </c>
      <c r="O798" t="inlineStr">
        <is>
          <t>AI</t>
        </is>
      </c>
    </row>
    <row r="799">
      <c r="A799" t="inlineStr">
        <is>
          <t>PT Eagle High Plantations Tbk</t>
        </is>
      </c>
      <c r="B799" t="inlineStr">
        <is>
          <t>BWPT_2024_AR.pdf</t>
        </is>
      </c>
      <c r="C799" t="n">
        <v>2024</v>
      </c>
      <c r="D799" t="inlineStr">
        <is>
          <t>Financial</t>
        </is>
      </c>
      <c r="E799" t="inlineStr">
        <is>
          <t>LT bank loans</t>
        </is>
      </c>
      <c r="F799" t="n">
        <v>2910.63</v>
      </c>
      <c r="G799" t="inlineStr">
        <is>
          <t>IDR bn</t>
        </is>
      </c>
      <c r="H799" t="n">
        <v>196</v>
      </c>
      <c r="I799" t="inlineStr">
        <is>
          <t>Utang bank (non-current) 2.910.631.</t>
        </is>
      </c>
      <c r="J799" t="inlineStr">
        <is>
          <t>High</t>
        </is>
      </c>
      <c r="M799" t="inlineStr">
        <is>
          <t>LLM</t>
        </is>
      </c>
      <c r="N799" t="inlineStr">
        <is>
          <t>2026-04-18</t>
        </is>
      </c>
      <c r="O799" t="inlineStr">
        <is>
          <t>AI</t>
        </is>
      </c>
    </row>
    <row r="800">
      <c r="A800" t="inlineStr">
        <is>
          <t>PT Eagle High Plantations Tbk</t>
        </is>
      </c>
      <c r="B800" t="inlineStr">
        <is>
          <t>BWPT_2024_AR.pdf</t>
        </is>
      </c>
      <c r="C800" t="n">
        <v>2024</v>
      </c>
      <c r="D800" t="inlineStr">
        <is>
          <t>Financial</t>
        </is>
      </c>
      <c r="E800" t="inlineStr">
        <is>
          <t>Bonds payable (Obligasi I Phase I)</t>
        </is>
      </c>
      <c r="F800" t="n">
        <v>61.55</v>
      </c>
      <c r="G800" t="inlineStr">
        <is>
          <t>IDR bn</t>
        </is>
      </c>
      <c r="H800" t="n">
        <v>196</v>
      </c>
      <c r="I800" t="inlineStr">
        <is>
          <t>Utang obligasi 61.550.</t>
        </is>
      </c>
      <c r="J800" t="inlineStr">
        <is>
          <t>High</t>
        </is>
      </c>
      <c r="M800" t="inlineStr">
        <is>
          <t>LLM</t>
        </is>
      </c>
      <c r="N800" t="inlineStr">
        <is>
          <t>2026-04-18</t>
        </is>
      </c>
      <c r="O800" t="inlineStr">
        <is>
          <t>AI</t>
        </is>
      </c>
    </row>
    <row r="801">
      <c r="A801" t="inlineStr">
        <is>
          <t>PT Eagle High Plantations Tbk</t>
        </is>
      </c>
      <c r="B801" t="inlineStr">
        <is>
          <t>BWPT_2024_AR.pdf</t>
        </is>
      </c>
      <c r="C801" t="n">
        <v>2024</v>
      </c>
      <c r="D801" t="inlineStr">
        <is>
          <t>Financial</t>
        </is>
      </c>
      <c r="E801" t="inlineStr">
        <is>
          <t>CFO</t>
        </is>
      </c>
      <c r="F801" t="n">
        <v>833.79</v>
      </c>
      <c r="G801" t="inlineStr">
        <is>
          <t>IDR bn</t>
        </is>
      </c>
      <c r="H801" t="n">
        <v>13</v>
      </c>
      <c r="I801" t="inlineStr">
        <is>
          <t>Kas Bersih Diperoleh dari Aktivitas Operasi 833.792.</t>
        </is>
      </c>
      <c r="J801" t="inlineStr">
        <is>
          <t>High</t>
        </is>
      </c>
      <c r="M801" t="inlineStr">
        <is>
          <t>LLM</t>
        </is>
      </c>
      <c r="N801" t="inlineStr">
        <is>
          <t>2026-04-18</t>
        </is>
      </c>
      <c r="O801" t="inlineStr">
        <is>
          <t>AI</t>
        </is>
      </c>
    </row>
    <row r="802">
      <c r="A802" t="inlineStr">
        <is>
          <t>PT Eagle High Plantations Tbk</t>
        </is>
      </c>
      <c r="B802" t="inlineStr">
        <is>
          <t>BWPT_2024_AR.pdf</t>
        </is>
      </c>
      <c r="C802" t="n">
        <v>2024</v>
      </c>
      <c r="D802" t="inlineStr">
        <is>
          <t>Financial</t>
        </is>
      </c>
      <c r="E802" t="inlineStr">
        <is>
          <t>Capex (investing CF)</t>
        </is>
      </c>
      <c r="F802" t="n">
        <v>86.04000000000001</v>
      </c>
      <c r="G802" t="inlineStr">
        <is>
          <t>IDR bn</t>
        </is>
      </c>
      <c r="H802" t="n">
        <v>13</v>
      </c>
      <c r="I802" t="inlineStr">
        <is>
          <t>Kas Bersih Digunakan untuk Aktivitas Investasi (86.042).</t>
        </is>
      </c>
      <c r="J802" t="inlineStr">
        <is>
          <t>High</t>
        </is>
      </c>
      <c r="M802" t="inlineStr">
        <is>
          <t>LLM</t>
        </is>
      </c>
      <c r="N802" t="inlineStr">
        <is>
          <t>2026-04-18</t>
        </is>
      </c>
      <c r="O802" t="inlineStr">
        <is>
          <t>AI</t>
        </is>
      </c>
    </row>
    <row r="803">
      <c r="A803" t="inlineStr">
        <is>
          <t>PT Eagle High Plantations Tbk</t>
        </is>
      </c>
      <c r="B803" t="inlineStr">
        <is>
          <t>BWPT_2024_AR.pdf</t>
        </is>
      </c>
      <c r="C803" t="n">
        <v>2024</v>
      </c>
      <c r="D803" t="inlineStr">
        <is>
          <t>Financial</t>
        </is>
      </c>
      <c r="E803" t="inlineStr">
        <is>
          <t>D&amp;A</t>
        </is>
      </c>
      <c r="F803" t="n">
        <v>176.43</v>
      </c>
      <c r="G803" t="inlineStr">
        <is>
          <t>IDR bn</t>
        </is>
      </c>
      <c r="H803" t="n">
        <v>247</v>
      </c>
      <c r="I803" t="inlineStr">
        <is>
          <t>Beban penyusutan aset tetap Jumlah 176.427 (2024).</t>
        </is>
      </c>
      <c r="J803" t="inlineStr">
        <is>
          <t>High</t>
        </is>
      </c>
      <c r="M803" t="inlineStr">
        <is>
          <t>LLM</t>
        </is>
      </c>
      <c r="N803" t="inlineStr">
        <is>
          <t>2026-04-18</t>
        </is>
      </c>
      <c r="O803" t="inlineStr">
        <is>
          <t>AI</t>
        </is>
      </c>
    </row>
    <row r="804">
      <c r="A804" t="inlineStr">
        <is>
          <t>PT Eagle High Plantations Tbk</t>
        </is>
      </c>
      <c r="B804" t="inlineStr">
        <is>
          <t>BWPT_2024_AR.pdf</t>
        </is>
      </c>
      <c r="C804" t="n">
        <v>2024</v>
      </c>
      <c r="D804" t="inlineStr">
        <is>
          <t>Financial</t>
        </is>
      </c>
      <c r="E804" t="inlineStr">
        <is>
          <t>DER</t>
        </is>
      </c>
      <c r="F804" t="n">
        <v>2.99</v>
      </c>
      <c r="G804" t="inlineStr">
        <is>
          <t>x</t>
        </is>
      </c>
      <c r="H804" t="n">
        <v>13</v>
      </c>
      <c r="I804" t="inlineStr">
        <is>
          <t>Debt to Equity Ratio 2,99.</t>
        </is>
      </c>
      <c r="J804" t="inlineStr">
        <is>
          <t>High</t>
        </is>
      </c>
      <c r="M804" t="inlineStr">
        <is>
          <t>LLM</t>
        </is>
      </c>
      <c r="N804" t="inlineStr">
        <is>
          <t>2026-04-18</t>
        </is>
      </c>
      <c r="O804" t="inlineStr">
        <is>
          <t>AI</t>
        </is>
      </c>
    </row>
    <row r="805">
      <c r="A805" t="inlineStr">
        <is>
          <t>PT Eagle High Plantations Tbk</t>
        </is>
      </c>
      <c r="B805" t="inlineStr">
        <is>
          <t>BWPT_2024_AR.pdf</t>
        </is>
      </c>
      <c r="C805" t="n">
        <v>2024</v>
      </c>
      <c r="D805" t="inlineStr">
        <is>
          <t>Financial</t>
        </is>
      </c>
      <c r="E805" t="inlineStr">
        <is>
          <t>Loan to EBITDA</t>
        </is>
      </c>
      <c r="F805" t="n">
        <v>3.14</v>
      </c>
      <c r="G805" t="inlineStr">
        <is>
          <t>x</t>
        </is>
      </c>
      <c r="H805" t="n">
        <v>13</v>
      </c>
      <c r="I805" t="inlineStr">
        <is>
          <t>Pinjaman terhadap Laba Sebelum Pajak &amp; Penyusutan 3,14.</t>
        </is>
      </c>
      <c r="J805" t="inlineStr">
        <is>
          <t>High</t>
        </is>
      </c>
      <c r="M805" t="inlineStr">
        <is>
          <t>LLM</t>
        </is>
      </c>
      <c r="N805" t="inlineStr">
        <is>
          <t>2026-04-18</t>
        </is>
      </c>
      <c r="O805" t="inlineStr">
        <is>
          <t>AI</t>
        </is>
      </c>
    </row>
    <row r="806">
      <c r="A806" t="inlineStr">
        <is>
          <t>PT Eagle High Plantations Tbk</t>
        </is>
      </c>
      <c r="B806" t="inlineStr">
        <is>
          <t>BWPT_2024_AR.pdf</t>
        </is>
      </c>
      <c r="C806" t="n">
        <v>2024</v>
      </c>
      <c r="D806" t="inlineStr">
        <is>
          <t>Financial</t>
        </is>
      </c>
      <c r="E806" t="inlineStr">
        <is>
          <t>ROE</t>
        </is>
      </c>
      <c r="F806" t="n">
        <v>0.111</v>
      </c>
      <c r="G806" t="inlineStr">
        <is>
          <t>ratio</t>
        </is>
      </c>
      <c r="H806" t="n">
        <v>13</v>
      </c>
      <c r="I806" t="inlineStr">
        <is>
          <t>Return on Equity 11,10%.</t>
        </is>
      </c>
      <c r="J806" t="inlineStr">
        <is>
          <t>High</t>
        </is>
      </c>
      <c r="M806" t="inlineStr">
        <is>
          <t>LLM</t>
        </is>
      </c>
      <c r="N806" t="inlineStr">
        <is>
          <t>2026-04-18</t>
        </is>
      </c>
      <c r="O806" t="inlineStr">
        <is>
          <t>AI</t>
        </is>
      </c>
    </row>
    <row r="807">
      <c r="A807" t="inlineStr">
        <is>
          <t>PT Eagle High Plantations Tbk</t>
        </is>
      </c>
      <c r="B807" t="inlineStr">
        <is>
          <t>BWPT_2024_AR.pdf</t>
        </is>
      </c>
      <c r="C807" t="n">
        <v>2024</v>
      </c>
      <c r="D807" t="inlineStr">
        <is>
          <t>Financial</t>
        </is>
      </c>
      <c r="E807" t="inlineStr">
        <is>
          <t>Q4 2024 closing price</t>
        </is>
      </c>
      <c r="F807" t="n">
        <v>59</v>
      </c>
      <c r="G807" t="inlineStr">
        <is>
          <t>Rp/share</t>
        </is>
      </c>
      <c r="H807" t="n">
        <v>19</v>
      </c>
      <c r="I807" t="inlineStr">
        <is>
          <t>Q4 2024 Closing 59.</t>
        </is>
      </c>
      <c r="J807" t="inlineStr">
        <is>
          <t>High</t>
        </is>
      </c>
      <c r="M807" t="inlineStr">
        <is>
          <t>LLM</t>
        </is>
      </c>
      <c r="N807" t="inlineStr">
        <is>
          <t>2026-04-18</t>
        </is>
      </c>
      <c r="O807" t="inlineStr">
        <is>
          <t>AI</t>
        </is>
      </c>
    </row>
    <row r="808">
      <c r="A808" t="inlineStr">
        <is>
          <t>PT Eagle High Plantations Tbk</t>
        </is>
      </c>
      <c r="B808" t="inlineStr">
        <is>
          <t>BWPT_2024_AR.pdf</t>
        </is>
      </c>
      <c r="C808" t="n">
        <v>2024</v>
      </c>
      <c r="D808" t="inlineStr">
        <is>
          <t>Operation</t>
        </is>
      </c>
      <c r="E808" t="inlineStr">
        <is>
          <t>CPO production</t>
        </is>
      </c>
      <c r="F808" t="n">
        <v>263657</v>
      </c>
      <c r="G808" t="inlineStr">
        <is>
          <t>tons</t>
        </is>
      </c>
      <c r="H808" t="n">
        <v>16</v>
      </c>
      <c r="I808" t="inlineStr">
        <is>
          <t>CPO 263.657 Ton (2024).</t>
        </is>
      </c>
      <c r="J808" t="inlineStr">
        <is>
          <t>High</t>
        </is>
      </c>
      <c r="M808" t="inlineStr">
        <is>
          <t>LLM</t>
        </is>
      </c>
      <c r="N808" t="inlineStr">
        <is>
          <t>2026-04-18</t>
        </is>
      </c>
      <c r="O808" t="inlineStr">
        <is>
          <t>AI</t>
        </is>
      </c>
    </row>
    <row r="809">
      <c r="A809" t="inlineStr">
        <is>
          <t>PT Eagle High Plantations Tbk</t>
        </is>
      </c>
      <c r="B809" t="inlineStr">
        <is>
          <t>BWPT_2024_AR.pdf</t>
        </is>
      </c>
      <c r="C809" t="n">
        <v>2024</v>
      </c>
      <c r="D809" t="inlineStr">
        <is>
          <t>Operation</t>
        </is>
      </c>
      <c r="E809" t="inlineStr">
        <is>
          <t>PK production</t>
        </is>
      </c>
      <c r="F809" t="n">
        <v>49193</v>
      </c>
      <c r="G809" t="inlineStr">
        <is>
          <t>tons</t>
        </is>
      </c>
      <c r="H809" t="n">
        <v>94</v>
      </c>
      <c r="I809" t="inlineStr">
        <is>
          <t>Inti Kernel 49.193 Ton (2024).</t>
        </is>
      </c>
      <c r="J809" t="inlineStr">
        <is>
          <t>High</t>
        </is>
      </c>
      <c r="M809" t="inlineStr">
        <is>
          <t>LLM</t>
        </is>
      </c>
      <c r="N809" t="inlineStr">
        <is>
          <t>2026-04-18</t>
        </is>
      </c>
      <c r="O809" t="inlineStr">
        <is>
          <t>AI</t>
        </is>
      </c>
    </row>
    <row r="810">
      <c r="A810" t="inlineStr">
        <is>
          <t>PT Eagle High Plantations Tbk</t>
        </is>
      </c>
      <c r="B810" t="inlineStr">
        <is>
          <t>BWPT_2024_AR.pdf</t>
        </is>
      </c>
      <c r="C810" t="n">
        <v>2024</v>
      </c>
      <c r="D810" t="inlineStr">
        <is>
          <t>Operation</t>
        </is>
      </c>
      <c r="E810" t="inlineStr">
        <is>
          <t>FFB production</t>
        </is>
      </c>
      <c r="F810" t="n">
        <v>1041515</v>
      </c>
      <c r="G810" t="inlineStr">
        <is>
          <t>tons</t>
        </is>
      </c>
      <c r="H810" t="n">
        <v>94</v>
      </c>
      <c r="I810" t="inlineStr">
        <is>
          <t>Tandan Buah Segar 1.041.515 Ton (2024).</t>
        </is>
      </c>
      <c r="J810" t="inlineStr">
        <is>
          <t>High</t>
        </is>
      </c>
      <c r="M810" t="inlineStr">
        <is>
          <t>LLM</t>
        </is>
      </c>
      <c r="N810" t="inlineStr">
        <is>
          <t>2026-04-18</t>
        </is>
      </c>
      <c r="O810" t="inlineStr">
        <is>
          <t>AI</t>
        </is>
      </c>
    </row>
    <row r="811">
      <c r="A811" t="inlineStr">
        <is>
          <t>PT Eagle High Plantations Tbk</t>
        </is>
      </c>
      <c r="B811" t="inlineStr">
        <is>
          <t>BWPT_2024_AR.pdf</t>
        </is>
      </c>
      <c r="C811" t="n">
        <v>2024</v>
      </c>
      <c r="D811" t="inlineStr">
        <is>
          <t>Operation</t>
        </is>
      </c>
      <c r="E811" t="inlineStr">
        <is>
          <t>CPO sales volume</t>
        </is>
      </c>
      <c r="F811" t="n">
        <v>311111</v>
      </c>
      <c r="G811" t="inlineStr">
        <is>
          <t>tons</t>
        </is>
      </c>
      <c r="H811" t="n">
        <v>16</v>
      </c>
      <c r="I811" t="inlineStr">
        <is>
          <t>Volume Penjualan CPO 311.111 (2024).</t>
        </is>
      </c>
      <c r="J811" t="inlineStr">
        <is>
          <t>High</t>
        </is>
      </c>
      <c r="M811" t="inlineStr">
        <is>
          <t>LLM</t>
        </is>
      </c>
      <c r="N811" t="inlineStr">
        <is>
          <t>2026-04-18</t>
        </is>
      </c>
      <c r="O811" t="inlineStr">
        <is>
          <t>AI</t>
        </is>
      </c>
    </row>
    <row r="812">
      <c r="A812" t="inlineStr">
        <is>
          <t>PT Eagle High Plantations Tbk</t>
        </is>
      </c>
      <c r="B812" t="inlineStr">
        <is>
          <t>BWPT_2024_AR.pdf</t>
        </is>
      </c>
      <c r="C812" t="n">
        <v>2024</v>
      </c>
      <c r="D812" t="inlineStr">
        <is>
          <t>Operation</t>
        </is>
      </c>
      <c r="E812" t="inlineStr">
        <is>
          <t>PK sales volume</t>
        </is>
      </c>
      <c r="F812" t="n">
        <v>48384</v>
      </c>
      <c r="G812" t="inlineStr">
        <is>
          <t>tons</t>
        </is>
      </c>
      <c r="H812" t="n">
        <v>16</v>
      </c>
      <c r="I812" t="inlineStr">
        <is>
          <t>PK 48.384 (2024).</t>
        </is>
      </c>
      <c r="J812" t="inlineStr">
        <is>
          <t>High</t>
        </is>
      </c>
      <c r="M812" t="inlineStr">
        <is>
          <t>LLM</t>
        </is>
      </c>
      <c r="N812" t="inlineStr">
        <is>
          <t>2026-04-18</t>
        </is>
      </c>
      <c r="O812" t="inlineStr">
        <is>
          <t>AI</t>
        </is>
      </c>
    </row>
    <row r="813">
      <c r="A813" t="inlineStr">
        <is>
          <t>PT Eagle High Plantations Tbk</t>
        </is>
      </c>
      <c r="B813" t="inlineStr">
        <is>
          <t>BWPT_2024_AR.pdf</t>
        </is>
      </c>
      <c r="C813" t="n">
        <v>2024</v>
      </c>
      <c r="D813" t="inlineStr">
        <is>
          <t>Operation</t>
        </is>
      </c>
      <c r="E813" t="inlineStr">
        <is>
          <t>Average CPO price</t>
        </is>
      </c>
      <c r="F813" t="n">
        <v>12515</v>
      </c>
      <c r="G813" t="inlineStr">
        <is>
          <t>Rp/kg</t>
        </is>
      </c>
      <c r="H813" t="n">
        <v>16</v>
      </c>
      <c r="I813" t="inlineStr">
        <is>
          <t>Harga rata-rata CPO 12.515 (2024).</t>
        </is>
      </c>
      <c r="J813" t="inlineStr">
        <is>
          <t>High</t>
        </is>
      </c>
      <c r="M813" t="inlineStr">
        <is>
          <t>LLM</t>
        </is>
      </c>
      <c r="N813" t="inlineStr">
        <is>
          <t>2026-04-18</t>
        </is>
      </c>
      <c r="O813" t="inlineStr">
        <is>
          <t>AI</t>
        </is>
      </c>
    </row>
    <row r="814">
      <c r="A814" t="inlineStr">
        <is>
          <t>PT Eagle High Plantations Tbk</t>
        </is>
      </c>
      <c r="B814" t="inlineStr">
        <is>
          <t>BWPT_2024_AR.pdf</t>
        </is>
      </c>
      <c r="C814" t="n">
        <v>2024</v>
      </c>
      <c r="D814" t="inlineStr">
        <is>
          <t>Operation</t>
        </is>
      </c>
      <c r="E814" t="inlineStr">
        <is>
          <t>Average PK price</t>
        </is>
      </c>
      <c r="F814" t="n">
        <v>7533</v>
      </c>
      <c r="G814" t="inlineStr">
        <is>
          <t>Rp/kg</t>
        </is>
      </c>
      <c r="H814" t="n">
        <v>16</v>
      </c>
      <c r="I814" t="inlineStr">
        <is>
          <t>PK 7.533 (2024).</t>
        </is>
      </c>
      <c r="J814" t="inlineStr">
        <is>
          <t>High</t>
        </is>
      </c>
      <c r="M814" t="inlineStr">
        <is>
          <t>LLM</t>
        </is>
      </c>
      <c r="N814" t="inlineStr">
        <is>
          <t>2026-04-18</t>
        </is>
      </c>
      <c r="O814" t="inlineStr">
        <is>
          <t>AI</t>
        </is>
      </c>
    </row>
    <row r="815">
      <c r="A815" t="inlineStr">
        <is>
          <t>PT Eagle High Plantations Tbk</t>
        </is>
      </c>
      <c r="B815" t="inlineStr">
        <is>
          <t>BWPT_2024_AR.pdf</t>
        </is>
      </c>
      <c r="C815" t="n">
        <v>2024</v>
      </c>
      <c r="D815" t="inlineStr">
        <is>
          <t>Asset</t>
        </is>
      </c>
      <c r="E815" t="inlineStr">
        <is>
          <t>Total planted area</t>
        </is>
      </c>
      <c r="F815" t="n">
        <v>87000</v>
      </c>
      <c r="G815" t="inlineStr">
        <is>
          <t>ha</t>
        </is>
      </c>
      <c r="H815" t="n">
        <v>57</v>
      </c>
      <c r="I815" t="inlineStr">
        <is>
          <t>TOTAL 87.000 Ha Luas Lahan Tertanam; 7 mills; 370 tph.</t>
        </is>
      </c>
      <c r="J815" t="inlineStr">
        <is>
          <t>High</t>
        </is>
      </c>
      <c r="M815" t="inlineStr">
        <is>
          <t>LLM</t>
        </is>
      </c>
      <c r="N815" t="inlineStr">
        <is>
          <t>2026-04-18</t>
        </is>
      </c>
      <c r="O815" t="inlineStr">
        <is>
          <t>AI</t>
        </is>
      </c>
    </row>
    <row r="816">
      <c r="A816" t="inlineStr">
        <is>
          <t>PT Eagle High Plantations Tbk</t>
        </is>
      </c>
      <c r="B816" t="inlineStr">
        <is>
          <t>BWPT_2024_AR.pdf</t>
        </is>
      </c>
      <c r="C816" t="n">
        <v>2024</v>
      </c>
      <c r="D816" t="inlineStr">
        <is>
          <t>Asset</t>
        </is>
      </c>
      <c r="E816" t="inlineStr">
        <is>
          <t>Kalimantan planted area &amp; mills</t>
        </is>
      </c>
      <c r="F816" t="inlineStr">
        <is>
          <t>73,000 ha / 6 mills / 325 tph</t>
        </is>
      </c>
      <c r="G816" t="inlineStr">
        <is>
          <t>description</t>
        </is>
      </c>
      <c r="H816" t="n">
        <v>56</v>
      </c>
      <c r="I816" t="inlineStr">
        <is>
          <t>Kalimantan 73.000 Ha; 6 PKS; 325 ton buah/jam.</t>
        </is>
      </c>
      <c r="J816" t="inlineStr">
        <is>
          <t>High</t>
        </is>
      </c>
      <c r="M816" t="inlineStr">
        <is>
          <t>LLM</t>
        </is>
      </c>
      <c r="N816" t="inlineStr">
        <is>
          <t>2026-04-18</t>
        </is>
      </c>
      <c r="O816" t="inlineStr">
        <is>
          <t>AI</t>
        </is>
      </c>
    </row>
    <row r="817">
      <c r="A817" t="inlineStr">
        <is>
          <t>PT Eagle High Plantations Tbk</t>
        </is>
      </c>
      <c r="B817" t="inlineStr">
        <is>
          <t>BWPT_2024_AR.pdf</t>
        </is>
      </c>
      <c r="C817" t="n">
        <v>2024</v>
      </c>
      <c r="D817" t="inlineStr">
        <is>
          <t>Asset</t>
        </is>
      </c>
      <c r="E817" t="inlineStr">
        <is>
          <t>Papua planted area &amp; mills</t>
        </is>
      </c>
      <c r="F817" t="inlineStr">
        <is>
          <t>12,000 ha / 1 mill / 45 tph</t>
        </is>
      </c>
      <c r="G817" t="inlineStr">
        <is>
          <t>description</t>
        </is>
      </c>
      <c r="H817" t="n">
        <v>57</v>
      </c>
      <c r="I817" t="inlineStr">
        <is>
          <t>Papua 12.000 Ha; 1 PKS; 45 ton buah/jam.</t>
        </is>
      </c>
      <c r="J817" t="inlineStr">
        <is>
          <t>High</t>
        </is>
      </c>
      <c r="M817" t="inlineStr">
        <is>
          <t>LLM</t>
        </is>
      </c>
      <c r="N817" t="inlineStr">
        <is>
          <t>2026-04-18</t>
        </is>
      </c>
      <c r="O817" t="inlineStr">
        <is>
          <t>AI</t>
        </is>
      </c>
    </row>
    <row r="818">
      <c r="A818" t="inlineStr">
        <is>
          <t>PT Eagle High Plantations Tbk</t>
        </is>
      </c>
      <c r="B818" t="inlineStr">
        <is>
          <t>BWPT_2024_AR.pdf</t>
        </is>
      </c>
      <c r="C818" t="n">
        <v>2024</v>
      </c>
      <c r="D818" t="inlineStr">
        <is>
          <t>Asset</t>
        </is>
      </c>
      <c r="E818" t="inlineStr">
        <is>
          <t>Sumatra planted area</t>
        </is>
      </c>
      <c r="F818" t="n">
        <v>2000</v>
      </c>
      <c r="G818" t="inlineStr">
        <is>
          <t>ha</t>
        </is>
      </c>
      <c r="H818" t="n">
        <v>56</v>
      </c>
      <c r="I818" t="inlineStr">
        <is>
          <t>Sumatera 2.000 Ha.</t>
        </is>
      </c>
      <c r="J818" t="inlineStr">
        <is>
          <t>High</t>
        </is>
      </c>
      <c r="M818" t="inlineStr">
        <is>
          <t>LLM</t>
        </is>
      </c>
      <c r="N818" t="inlineStr">
        <is>
          <t>2026-04-18</t>
        </is>
      </c>
      <c r="O818" t="inlineStr">
        <is>
          <t>AI</t>
        </is>
      </c>
    </row>
    <row r="819">
      <c r="A819" t="inlineStr">
        <is>
          <t>PT Eagle High Plantations Tbk</t>
        </is>
      </c>
      <c r="B819" t="inlineStr">
        <is>
          <t>BWPT_2024_AR.pdf</t>
        </is>
      </c>
      <c r="C819" t="n">
        <v>2024</v>
      </c>
      <c r="D819" t="inlineStr">
        <is>
          <t>Asset</t>
        </is>
      </c>
      <c r="E819" t="inlineStr">
        <is>
          <t>RSPO certified area</t>
        </is>
      </c>
      <c r="F819" t="n">
        <v>34870</v>
      </c>
      <c r="G819" t="inlineStr">
        <is>
          <t>ha</t>
        </is>
      </c>
      <c r="H819" t="n">
        <v>18</v>
      </c>
      <c r="I819" t="inlineStr">
        <is>
          <t>3 mills (43%) RSPO; total 34.870 ha.</t>
        </is>
      </c>
      <c r="J819" t="inlineStr">
        <is>
          <t>High</t>
        </is>
      </c>
      <c r="M819" t="inlineStr">
        <is>
          <t>LLM</t>
        </is>
      </c>
      <c r="N819" t="inlineStr">
        <is>
          <t>2026-04-18</t>
        </is>
      </c>
      <c r="O819" t="inlineStr">
        <is>
          <t>AI</t>
        </is>
      </c>
    </row>
    <row r="820">
      <c r="A820" t="inlineStr">
        <is>
          <t>PT Eagle High Plantations Tbk</t>
        </is>
      </c>
      <c r="B820" t="inlineStr">
        <is>
          <t>BWPT_2024_AR.pdf</t>
        </is>
      </c>
      <c r="C820" t="n">
        <v>2024</v>
      </c>
      <c r="D820" t="inlineStr">
        <is>
          <t>Asset</t>
        </is>
      </c>
      <c r="E820" t="inlineStr">
        <is>
          <t>ISPO certified area</t>
        </is>
      </c>
      <c r="F820" t="n">
        <v>69464</v>
      </c>
      <c r="G820" t="inlineStr">
        <is>
          <t>ha</t>
        </is>
      </c>
      <c r="H820" t="n">
        <v>18</v>
      </c>
      <c r="I820" t="inlineStr">
        <is>
          <t>10 unit operasi (71%) ISPO; 69.464 ha.</t>
        </is>
      </c>
      <c r="J820" t="inlineStr">
        <is>
          <t>High</t>
        </is>
      </c>
      <c r="M820" t="inlineStr">
        <is>
          <t>LLM</t>
        </is>
      </c>
      <c r="N820" t="inlineStr">
        <is>
          <t>2026-04-18</t>
        </is>
      </c>
      <c r="O820" t="inlineStr">
        <is>
          <t>AI</t>
        </is>
      </c>
    </row>
    <row r="821">
      <c r="A821" t="inlineStr">
        <is>
          <t>PT Eagle High Plantations Tbk</t>
        </is>
      </c>
      <c r="B821" t="inlineStr">
        <is>
          <t>BWPT_2024_AR.pdf</t>
        </is>
      </c>
      <c r="C821" t="n">
        <v>2024</v>
      </c>
      <c r="D821" t="inlineStr">
        <is>
          <t>Company</t>
        </is>
      </c>
      <c r="E821" t="inlineStr">
        <is>
          <t>Employees</t>
        </is>
      </c>
      <c r="F821" t="n">
        <v>15927</v>
      </c>
      <c r="G821" t="inlineStr">
        <is>
          <t>persons</t>
        </is>
      </c>
      <c r="H821" t="n">
        <v>55</v>
      </c>
      <c r="I821" t="inlineStr">
        <is>
          <t>15.927 karyawan (2024).</t>
        </is>
      </c>
      <c r="J821" t="inlineStr">
        <is>
          <t>High</t>
        </is>
      </c>
      <c r="M821" t="inlineStr">
        <is>
          <t>LLM</t>
        </is>
      </c>
      <c r="N821" t="inlineStr">
        <is>
          <t>2026-04-18</t>
        </is>
      </c>
      <c r="O821" t="inlineStr">
        <is>
          <t>AI</t>
        </is>
      </c>
    </row>
    <row r="822">
      <c r="A822" t="inlineStr">
        <is>
          <t>PT Eagle High Plantations Tbk</t>
        </is>
      </c>
      <c r="B822" t="inlineStr">
        <is>
          <t>BWPT_2024_AR.pdf</t>
        </is>
      </c>
      <c r="C822" t="n">
        <v>2024</v>
      </c>
      <c r="D822" t="inlineStr">
        <is>
          <t>Company</t>
        </is>
      </c>
      <c r="E822" t="inlineStr">
        <is>
          <t>Bond issuance</t>
        </is>
      </c>
      <c r="F822" t="inlineStr">
        <is>
          <t>Obligasi Berkelanjutan I Eagle High Plantations Phase I 2024 - Rp 61.845 bn; listed 11 July 2024.</t>
        </is>
      </c>
      <c r="G822" t="inlineStr">
        <is>
          <t>description</t>
        </is>
      </c>
      <c r="H822" t="n">
        <v>20</v>
      </c>
      <c r="I822" t="inlineStr">
        <is>
          <t>Penerbitan Obligasi Tahap I Tahun 2024 Rp61.845.000.000.</t>
        </is>
      </c>
      <c r="J822" t="inlineStr">
        <is>
          <t>High</t>
        </is>
      </c>
      <c r="M822" t="inlineStr">
        <is>
          <t>LLM</t>
        </is>
      </c>
      <c r="N822" t="inlineStr">
        <is>
          <t>2026-04-18</t>
        </is>
      </c>
      <c r="O822" t="inlineStr">
        <is>
          <t>AI</t>
        </is>
      </c>
    </row>
    <row r="823">
      <c r="A823" t="inlineStr">
        <is>
          <t>PT Eagle High Plantations Tbk</t>
        </is>
      </c>
      <c r="B823" t="inlineStr">
        <is>
          <t>BWPT_2025_AR.pdf</t>
        </is>
      </c>
      <c r="C823" t="n">
        <v>2025</v>
      </c>
      <c r="D823" t="inlineStr">
        <is>
          <t>Financial</t>
        </is>
      </c>
      <c r="E823" t="inlineStr">
        <is>
          <t>Revenue</t>
        </is>
      </c>
      <c r="F823" t="n">
        <v>5761.3</v>
      </c>
      <c r="G823" t="inlineStr">
        <is>
          <t>IDR bn</t>
        </is>
      </c>
      <c r="H823" t="n">
        <v>13</v>
      </c>
      <c r="I823" t="inlineStr">
        <is>
          <t>PENDAPATAN USAHA 5.761.296 (2025).</t>
        </is>
      </c>
      <c r="J823" t="inlineStr">
        <is>
          <t>High</t>
        </is>
      </c>
      <c r="M823" t="inlineStr">
        <is>
          <t>LLM</t>
        </is>
      </c>
      <c r="N823" t="inlineStr">
        <is>
          <t>2026-04-18</t>
        </is>
      </c>
      <c r="O823" t="inlineStr">
        <is>
          <t>AI</t>
        </is>
      </c>
    </row>
    <row r="824">
      <c r="A824" t="inlineStr">
        <is>
          <t>PT Eagle High Plantations Tbk</t>
        </is>
      </c>
      <c r="B824" t="inlineStr">
        <is>
          <t>BWPT_2025_AR.pdf</t>
        </is>
      </c>
      <c r="C824" t="n">
        <v>2025</v>
      </c>
      <c r="D824" t="inlineStr">
        <is>
          <t>Financial</t>
        </is>
      </c>
      <c r="E824" t="inlineStr">
        <is>
          <t>COGS</t>
        </is>
      </c>
      <c r="F824" t="n">
        <v>-4170.64</v>
      </c>
      <c r="G824" t="inlineStr">
        <is>
          <t>IDR bn</t>
        </is>
      </c>
      <c r="H824" t="n">
        <v>13</v>
      </c>
      <c r="I824" t="inlineStr">
        <is>
          <t>BEBAN POKOK PENJUALAN 4.170.638.</t>
        </is>
      </c>
      <c r="J824" t="inlineStr">
        <is>
          <t>High</t>
        </is>
      </c>
      <c r="M824" t="inlineStr">
        <is>
          <t>LLM</t>
        </is>
      </c>
      <c r="N824" t="inlineStr">
        <is>
          <t>2026-04-18</t>
        </is>
      </c>
      <c r="O824" t="inlineStr">
        <is>
          <t>AI</t>
        </is>
      </c>
    </row>
    <row r="825">
      <c r="A825" t="inlineStr">
        <is>
          <t>PT Eagle High Plantations Tbk</t>
        </is>
      </c>
      <c r="B825" t="inlineStr">
        <is>
          <t>BWPT_2025_AR.pdf</t>
        </is>
      </c>
      <c r="C825" t="n">
        <v>2025</v>
      </c>
      <c r="D825" t="inlineStr">
        <is>
          <t>Financial</t>
        </is>
      </c>
      <c r="E825" t="inlineStr">
        <is>
          <t>Gross profit</t>
        </is>
      </c>
      <c r="F825" t="n">
        <v>1590.66</v>
      </c>
      <c r="G825" t="inlineStr">
        <is>
          <t>IDR bn</t>
        </is>
      </c>
      <c r="H825" t="n">
        <v>13</v>
      </c>
      <c r="I825" t="inlineStr">
        <is>
          <t>LABA KOTOR 1.590.658.</t>
        </is>
      </c>
      <c r="J825" t="inlineStr">
        <is>
          <t>High</t>
        </is>
      </c>
      <c r="M825" t="inlineStr">
        <is>
          <t>LLM</t>
        </is>
      </c>
      <c r="N825" t="inlineStr">
        <is>
          <t>2026-04-18</t>
        </is>
      </c>
      <c r="O825" t="inlineStr">
        <is>
          <t>AI</t>
        </is>
      </c>
    </row>
    <row r="826">
      <c r="A826" t="inlineStr">
        <is>
          <t>PT Eagle High Plantations Tbk</t>
        </is>
      </c>
      <c r="B826" t="inlineStr">
        <is>
          <t>BWPT_2025_AR.pdf</t>
        </is>
      </c>
      <c r="C826" t="n">
        <v>2025</v>
      </c>
      <c r="D826" t="inlineStr">
        <is>
          <t>Financial</t>
        </is>
      </c>
      <c r="E826" t="inlineStr">
        <is>
          <t>Operating profit</t>
        </is>
      </c>
      <c r="F826" t="n">
        <v>1189.7</v>
      </c>
      <c r="G826" t="inlineStr">
        <is>
          <t>IDR bn</t>
        </is>
      </c>
      <c r="H826" t="n">
        <v>13</v>
      </c>
      <c r="I826" t="inlineStr">
        <is>
          <t>LABA USAHA 1.189.695.</t>
        </is>
      </c>
      <c r="J826" t="inlineStr">
        <is>
          <t>High</t>
        </is>
      </c>
      <c r="M826" t="inlineStr">
        <is>
          <t>LLM</t>
        </is>
      </c>
      <c r="N826" t="inlineStr">
        <is>
          <t>2026-04-18</t>
        </is>
      </c>
      <c r="O826" t="inlineStr">
        <is>
          <t>AI</t>
        </is>
      </c>
    </row>
    <row r="827">
      <c r="A827" t="inlineStr">
        <is>
          <t>PT Eagle High Plantations Tbk</t>
        </is>
      </c>
      <c r="B827" t="inlineStr">
        <is>
          <t>BWPT_2025_AR.pdf</t>
        </is>
      </c>
      <c r="C827" t="n">
        <v>2025</v>
      </c>
      <c r="D827" t="inlineStr">
        <is>
          <t>Financial</t>
        </is>
      </c>
      <c r="E827" t="inlineStr">
        <is>
          <t>Profit before tax</t>
        </is>
      </c>
      <c r="F827" t="n">
        <v>775.84</v>
      </c>
      <c r="G827" t="inlineStr">
        <is>
          <t>IDR bn</t>
        </is>
      </c>
      <c r="H827" t="n">
        <v>13</v>
      </c>
      <c r="I827" t="inlineStr">
        <is>
          <t>LABA SEBELUM PAJAK 775.841.</t>
        </is>
      </c>
      <c r="J827" t="inlineStr">
        <is>
          <t>High</t>
        </is>
      </c>
      <c r="M827" t="inlineStr">
        <is>
          <t>LLM</t>
        </is>
      </c>
      <c r="N827" t="inlineStr">
        <is>
          <t>2026-04-18</t>
        </is>
      </c>
      <c r="O827" t="inlineStr">
        <is>
          <t>AI</t>
        </is>
      </c>
    </row>
    <row r="828">
      <c r="A828" t="inlineStr">
        <is>
          <t>PT Eagle High Plantations Tbk</t>
        </is>
      </c>
      <c r="B828" t="inlineStr">
        <is>
          <t>BWPT_2025_AR.pdf</t>
        </is>
      </c>
      <c r="C828" t="n">
        <v>2025</v>
      </c>
      <c r="D828" t="inlineStr">
        <is>
          <t>Financial</t>
        </is>
      </c>
      <c r="E828" t="inlineStr">
        <is>
          <t>Net profit</t>
        </is>
      </c>
      <c r="F828" t="n">
        <v>379.11</v>
      </c>
      <c r="G828" t="inlineStr">
        <is>
          <t>IDR bn</t>
        </is>
      </c>
      <c r="H828" t="n">
        <v>13</v>
      </c>
      <c r="I828" t="inlineStr">
        <is>
          <t>LABA TAHUN BERJALAN 379.107.</t>
        </is>
      </c>
      <c r="J828" t="inlineStr">
        <is>
          <t>High</t>
        </is>
      </c>
      <c r="M828" t="inlineStr">
        <is>
          <t>LLM</t>
        </is>
      </c>
      <c r="N828" t="inlineStr">
        <is>
          <t>2026-04-18</t>
        </is>
      </c>
      <c r="O828" t="inlineStr">
        <is>
          <t>AI</t>
        </is>
      </c>
    </row>
    <row r="829">
      <c r="A829" t="inlineStr">
        <is>
          <t>PT Eagle High Plantations Tbk</t>
        </is>
      </c>
      <c r="B829" t="inlineStr">
        <is>
          <t>BWPT_2025_AR.pdf</t>
        </is>
      </c>
      <c r="C829" t="n">
        <v>2025</v>
      </c>
      <c r="D829" t="inlineStr">
        <is>
          <t>Financial</t>
        </is>
      </c>
      <c r="E829" t="inlineStr">
        <is>
          <t>Profit to parent</t>
        </is>
      </c>
      <c r="F829" t="n">
        <v>361.72</v>
      </c>
      <c r="G829" t="inlineStr">
        <is>
          <t>IDR bn</t>
        </is>
      </c>
      <c r="H829" t="n">
        <v>13</v>
      </c>
      <c r="I829" t="inlineStr">
        <is>
          <t>Pemilik entitas induk 361.720.</t>
        </is>
      </c>
      <c r="J829" t="inlineStr">
        <is>
          <t>High</t>
        </is>
      </c>
      <c r="M829" t="inlineStr">
        <is>
          <t>LLM</t>
        </is>
      </c>
      <c r="N829" t="inlineStr">
        <is>
          <t>2026-04-18</t>
        </is>
      </c>
      <c r="O829" t="inlineStr">
        <is>
          <t>AI</t>
        </is>
      </c>
    </row>
    <row r="830">
      <c r="A830" t="inlineStr">
        <is>
          <t>PT Eagle High Plantations Tbk</t>
        </is>
      </c>
      <c r="B830" t="inlineStr">
        <is>
          <t>BWPT_2025_AR.pdf</t>
        </is>
      </c>
      <c r="C830" t="n">
        <v>2025</v>
      </c>
      <c r="D830" t="inlineStr">
        <is>
          <t>Financial</t>
        </is>
      </c>
      <c r="E830" t="inlineStr">
        <is>
          <t>Comprehensive income</t>
        </is>
      </c>
      <c r="F830" t="n">
        <v>375.02</v>
      </c>
      <c r="G830" t="inlineStr">
        <is>
          <t>IDR bn</t>
        </is>
      </c>
      <c r="H830" t="n">
        <v>13</v>
      </c>
      <c r="I830" t="inlineStr">
        <is>
          <t>JUMLAH LABA KOMPREHENSIF 375.024.</t>
        </is>
      </c>
      <c r="J830" t="inlineStr">
        <is>
          <t>High</t>
        </is>
      </c>
      <c r="M830" t="inlineStr">
        <is>
          <t>LLM</t>
        </is>
      </c>
      <c r="N830" t="inlineStr">
        <is>
          <t>2026-04-18</t>
        </is>
      </c>
      <c r="O830" t="inlineStr">
        <is>
          <t>AI</t>
        </is>
      </c>
    </row>
    <row r="831">
      <c r="A831" t="inlineStr">
        <is>
          <t>PT Eagle High Plantations Tbk</t>
        </is>
      </c>
      <c r="B831" t="inlineStr">
        <is>
          <t>BWPT_2025_AR.pdf</t>
        </is>
      </c>
      <c r="C831" t="n">
        <v>2025</v>
      </c>
      <c r="D831" t="inlineStr">
        <is>
          <t>Financial</t>
        </is>
      </c>
      <c r="E831" t="inlineStr">
        <is>
          <t>EPS</t>
        </is>
      </c>
      <c r="F831" t="n">
        <v>11.62</v>
      </c>
      <c r="G831" t="inlineStr">
        <is>
          <t>Rp/share</t>
        </is>
      </c>
      <c r="H831" t="n">
        <v>13</v>
      </c>
      <c r="I831" t="inlineStr">
        <is>
          <t>Laba per saham Dasar 11,62.</t>
        </is>
      </c>
      <c r="J831" t="inlineStr">
        <is>
          <t>High</t>
        </is>
      </c>
      <c r="M831" t="inlineStr">
        <is>
          <t>LLM</t>
        </is>
      </c>
      <c r="N831" t="inlineStr">
        <is>
          <t>2026-04-18</t>
        </is>
      </c>
      <c r="O831" t="inlineStr">
        <is>
          <t>AI</t>
        </is>
      </c>
    </row>
    <row r="832">
      <c r="A832" t="inlineStr">
        <is>
          <t>PT Eagle High Plantations Tbk</t>
        </is>
      </c>
      <c r="B832" t="inlineStr">
        <is>
          <t>BWPT_2025_AR.pdf</t>
        </is>
      </c>
      <c r="C832" t="n">
        <v>2025</v>
      </c>
      <c r="D832" t="inlineStr">
        <is>
          <t>Financial</t>
        </is>
      </c>
      <c r="E832" t="inlineStr">
        <is>
          <t>Total assets</t>
        </is>
      </c>
      <c r="F832" t="n">
        <v>10176.15</v>
      </c>
      <c r="G832" t="inlineStr">
        <is>
          <t>IDR bn</t>
        </is>
      </c>
      <c r="H832" t="n">
        <v>11</v>
      </c>
      <c r="I832" t="inlineStr">
        <is>
          <t>JUMLAH ASET 10.176.150.</t>
        </is>
      </c>
      <c r="J832" t="inlineStr">
        <is>
          <t>High</t>
        </is>
      </c>
      <c r="M832" t="inlineStr">
        <is>
          <t>LLM</t>
        </is>
      </c>
      <c r="N832" t="inlineStr">
        <is>
          <t>2026-04-18</t>
        </is>
      </c>
      <c r="O832" t="inlineStr">
        <is>
          <t>AI</t>
        </is>
      </c>
    </row>
    <row r="833">
      <c r="A833" t="inlineStr">
        <is>
          <t>PT Eagle High Plantations Tbk</t>
        </is>
      </c>
      <c r="B833" t="inlineStr">
        <is>
          <t>BWPT_2025_AR.pdf</t>
        </is>
      </c>
      <c r="C833" t="n">
        <v>2025</v>
      </c>
      <c r="D833" t="inlineStr">
        <is>
          <t>Financial</t>
        </is>
      </c>
      <c r="E833" t="inlineStr">
        <is>
          <t>Current assets</t>
        </is>
      </c>
      <c r="F833" t="n">
        <v>1737.16</v>
      </c>
      <c r="G833" t="inlineStr">
        <is>
          <t>IDR bn</t>
        </is>
      </c>
      <c r="H833" t="n">
        <v>11</v>
      </c>
      <c r="I833" t="inlineStr">
        <is>
          <t>Jumlah Aset Lancar 1.737.162.</t>
        </is>
      </c>
      <c r="J833" t="inlineStr">
        <is>
          <t>High</t>
        </is>
      </c>
      <c r="M833" t="inlineStr">
        <is>
          <t>LLM</t>
        </is>
      </c>
      <c r="N833" t="inlineStr">
        <is>
          <t>2026-04-18</t>
        </is>
      </c>
      <c r="O833" t="inlineStr">
        <is>
          <t>AI</t>
        </is>
      </c>
    </row>
    <row r="834">
      <c r="A834" t="inlineStr">
        <is>
          <t>PT Eagle High Plantations Tbk</t>
        </is>
      </c>
      <c r="B834" t="inlineStr">
        <is>
          <t>BWPT_2025_AR.pdf</t>
        </is>
      </c>
      <c r="C834" t="n">
        <v>2025</v>
      </c>
      <c r="D834" t="inlineStr">
        <is>
          <t>Financial</t>
        </is>
      </c>
      <c r="E834" t="inlineStr">
        <is>
          <t>Non-current assets</t>
        </is>
      </c>
      <c r="F834" t="n">
        <v>8438.99</v>
      </c>
      <c r="G834" t="inlineStr">
        <is>
          <t>IDR bn</t>
        </is>
      </c>
      <c r="H834" t="n">
        <v>11</v>
      </c>
      <c r="I834" t="inlineStr">
        <is>
          <t>Jumlah Aset Tidak Lancar 8.438.988.</t>
        </is>
      </c>
      <c r="J834" t="inlineStr">
        <is>
          <t>High</t>
        </is>
      </c>
      <c r="M834" t="inlineStr">
        <is>
          <t>LLM</t>
        </is>
      </c>
      <c r="N834" t="inlineStr">
        <is>
          <t>2026-04-18</t>
        </is>
      </c>
      <c r="O834" t="inlineStr">
        <is>
          <t>AI</t>
        </is>
      </c>
    </row>
    <row r="835">
      <c r="A835" t="inlineStr">
        <is>
          <t>PT Eagle High Plantations Tbk</t>
        </is>
      </c>
      <c r="B835" t="inlineStr">
        <is>
          <t>BWPT_2025_AR.pdf</t>
        </is>
      </c>
      <c r="C835" t="n">
        <v>2025</v>
      </c>
      <c r="D835" t="inlineStr">
        <is>
          <t>Financial</t>
        </is>
      </c>
      <c r="E835" t="inlineStr">
        <is>
          <t>Cash &amp; bank</t>
        </is>
      </c>
      <c r="F835" t="n">
        <v>139.79</v>
      </c>
      <c r="G835" t="inlineStr">
        <is>
          <t>IDR bn</t>
        </is>
      </c>
      <c r="H835" t="n">
        <v>11</v>
      </c>
      <c r="I835" t="inlineStr">
        <is>
          <t>Kas dan bank 139.794.</t>
        </is>
      </c>
      <c r="J835" t="inlineStr">
        <is>
          <t>High</t>
        </is>
      </c>
      <c r="M835" t="inlineStr">
        <is>
          <t>LLM</t>
        </is>
      </c>
      <c r="N835" t="inlineStr">
        <is>
          <t>2026-04-18</t>
        </is>
      </c>
      <c r="O835" t="inlineStr">
        <is>
          <t>AI</t>
        </is>
      </c>
    </row>
    <row r="836">
      <c r="A836" t="inlineStr">
        <is>
          <t>PT Eagle High Plantations Tbk</t>
        </is>
      </c>
      <c r="B836" t="inlineStr">
        <is>
          <t>BWPT_2025_AR.pdf</t>
        </is>
      </c>
      <c r="C836" t="n">
        <v>2025</v>
      </c>
      <c r="D836" t="inlineStr">
        <is>
          <t>Financial</t>
        </is>
      </c>
      <c r="E836" t="inlineStr">
        <is>
          <t>Investment in debt securities</t>
        </is>
      </c>
      <c r="F836" t="n">
        <v>500</v>
      </c>
      <c r="G836" t="inlineStr">
        <is>
          <t>IDR bn</t>
        </is>
      </c>
      <c r="H836" t="n">
        <v>11</v>
      </c>
      <c r="I836" t="inlineStr">
        <is>
          <t>Investasi surat berharga 500.000.</t>
        </is>
      </c>
      <c r="J836" t="inlineStr">
        <is>
          <t>High</t>
        </is>
      </c>
      <c r="M836" t="inlineStr">
        <is>
          <t>LLM</t>
        </is>
      </c>
      <c r="N836" t="inlineStr">
        <is>
          <t>2026-04-18</t>
        </is>
      </c>
      <c r="O836" t="inlineStr">
        <is>
          <t>AI</t>
        </is>
      </c>
    </row>
    <row r="837">
      <c r="A837" t="inlineStr">
        <is>
          <t>PT Eagle High Plantations Tbk</t>
        </is>
      </c>
      <c r="B837" t="inlineStr">
        <is>
          <t>BWPT_2025_AR.pdf</t>
        </is>
      </c>
      <c r="C837" t="n">
        <v>2025</v>
      </c>
      <c r="D837" t="inlineStr">
        <is>
          <t>Financial</t>
        </is>
      </c>
      <c r="E837" t="inlineStr">
        <is>
          <t>ST bank loans</t>
        </is>
      </c>
      <c r="F837" t="n">
        <v>229.73</v>
      </c>
      <c r="G837" t="inlineStr">
        <is>
          <t>IDR bn</t>
        </is>
      </c>
      <c r="H837" t="n">
        <v>12</v>
      </c>
      <c r="I837" t="inlineStr">
        <is>
          <t>Utang bank jangka pendek 229.734.</t>
        </is>
      </c>
      <c r="J837" t="inlineStr">
        <is>
          <t>High</t>
        </is>
      </c>
      <c r="M837" t="inlineStr">
        <is>
          <t>LLM</t>
        </is>
      </c>
      <c r="N837" t="inlineStr">
        <is>
          <t>2026-04-18</t>
        </is>
      </c>
      <c r="O837" t="inlineStr">
        <is>
          <t>AI</t>
        </is>
      </c>
    </row>
    <row r="838">
      <c r="A838" t="inlineStr">
        <is>
          <t>PT Eagle High Plantations Tbk</t>
        </is>
      </c>
      <c r="B838" t="inlineStr">
        <is>
          <t>BWPT_2025_AR.pdf</t>
        </is>
      </c>
      <c r="C838" t="n">
        <v>2025</v>
      </c>
      <c r="D838" t="inlineStr">
        <is>
          <t>Financial</t>
        </is>
      </c>
      <c r="E838" t="inlineStr">
        <is>
          <t>Current portion LT bank loans</t>
        </is>
      </c>
      <c r="F838" t="n">
        <v>602.9299999999999</v>
      </c>
      <c r="G838" t="inlineStr">
        <is>
          <t>IDR bn</t>
        </is>
      </c>
      <c r="H838" t="n">
        <v>12</v>
      </c>
      <c r="I838" t="inlineStr">
        <is>
          <t>Utang bank (current portion LT) 602.926.</t>
        </is>
      </c>
      <c r="J838" t="inlineStr">
        <is>
          <t>High</t>
        </is>
      </c>
      <c r="M838" t="inlineStr">
        <is>
          <t>LLM</t>
        </is>
      </c>
      <c r="N838" t="inlineStr">
        <is>
          <t>2026-04-18</t>
        </is>
      </c>
      <c r="O838" t="inlineStr">
        <is>
          <t>AI</t>
        </is>
      </c>
    </row>
    <row r="839">
      <c r="A839" t="inlineStr">
        <is>
          <t>PT Eagle High Plantations Tbk</t>
        </is>
      </c>
      <c r="B839" t="inlineStr">
        <is>
          <t>BWPT_2025_AR.pdf</t>
        </is>
      </c>
      <c r="C839" t="n">
        <v>2025</v>
      </c>
      <c r="D839" t="inlineStr">
        <is>
          <t>Financial</t>
        </is>
      </c>
      <c r="E839" t="inlineStr">
        <is>
          <t>LT bank loans</t>
        </is>
      </c>
      <c r="F839" t="n">
        <v>3109.85</v>
      </c>
      <c r="G839" t="inlineStr">
        <is>
          <t>IDR bn</t>
        </is>
      </c>
      <c r="H839" t="n">
        <v>12</v>
      </c>
      <c r="I839" t="inlineStr">
        <is>
          <t>Utang bank (LT) 3.109.845.</t>
        </is>
      </c>
      <c r="J839" t="inlineStr">
        <is>
          <t>High</t>
        </is>
      </c>
      <c r="M839" t="inlineStr">
        <is>
          <t>LLM</t>
        </is>
      </c>
      <c r="N839" t="inlineStr">
        <is>
          <t>2026-04-18</t>
        </is>
      </c>
      <c r="O839" t="inlineStr">
        <is>
          <t>AI</t>
        </is>
      </c>
    </row>
    <row r="840">
      <c r="A840" t="inlineStr">
        <is>
          <t>PT Eagle High Plantations Tbk</t>
        </is>
      </c>
      <c r="B840" t="inlineStr">
        <is>
          <t>BWPT_2025_AR.pdf</t>
        </is>
      </c>
      <c r="C840" t="n">
        <v>2025</v>
      </c>
      <c r="D840" t="inlineStr">
        <is>
          <t>Financial</t>
        </is>
      </c>
      <c r="E840" t="inlineStr">
        <is>
          <t>Bonds payable (total)</t>
        </is>
      </c>
      <c r="F840" t="n">
        <v>29.8</v>
      </c>
      <c r="G840" t="inlineStr">
        <is>
          <t>IDR bn</t>
        </is>
      </c>
      <c r="H840" t="n">
        <v>12</v>
      </c>
      <c r="I840" t="inlineStr">
        <is>
          <t>Utang obligasi 23.781 (current) + 6.015 (LT) = 29.80 bn.</t>
        </is>
      </c>
      <c r="J840" t="inlineStr">
        <is>
          <t>High</t>
        </is>
      </c>
      <c r="M840" t="inlineStr">
        <is>
          <t>LLM</t>
        </is>
      </c>
      <c r="N840" t="inlineStr">
        <is>
          <t>2026-04-18</t>
        </is>
      </c>
      <c r="O840" t="inlineStr">
        <is>
          <t>AI</t>
        </is>
      </c>
    </row>
    <row r="841">
      <c r="A841" t="inlineStr">
        <is>
          <t>PT Eagle High Plantations Tbk</t>
        </is>
      </c>
      <c r="B841" t="inlineStr">
        <is>
          <t>BWPT_2025_AR.pdf</t>
        </is>
      </c>
      <c r="C841" t="n">
        <v>2025</v>
      </c>
      <c r="D841" t="inlineStr">
        <is>
          <t>Financial</t>
        </is>
      </c>
      <c r="E841" t="inlineStr">
        <is>
          <t>Sukuk Mudharabah (total)</t>
        </is>
      </c>
      <c r="F841" t="n">
        <v>62.18</v>
      </c>
      <c r="G841" t="inlineStr">
        <is>
          <t>IDR bn</t>
        </is>
      </c>
      <c r="H841" t="n">
        <v>12</v>
      </c>
      <c r="I841" t="inlineStr">
        <is>
          <t>Sukuk Mudharabah 37.290 (current) + 24.885 (LT) = 62.18 bn.</t>
        </is>
      </c>
      <c r="J841" t="inlineStr">
        <is>
          <t>High</t>
        </is>
      </c>
      <c r="M841" t="inlineStr">
        <is>
          <t>LLM</t>
        </is>
      </c>
      <c r="N841" t="inlineStr">
        <is>
          <t>2026-04-18</t>
        </is>
      </c>
      <c r="O841" t="inlineStr">
        <is>
          <t>AI</t>
        </is>
      </c>
    </row>
    <row r="842">
      <c r="A842" t="inlineStr">
        <is>
          <t>PT Eagle High Plantations Tbk</t>
        </is>
      </c>
      <c r="B842" t="inlineStr">
        <is>
          <t>BWPT_2025_AR.pdf</t>
        </is>
      </c>
      <c r="C842" t="n">
        <v>2025</v>
      </c>
      <c r="D842" t="inlineStr">
        <is>
          <t>Financial</t>
        </is>
      </c>
      <c r="E842" t="inlineStr">
        <is>
          <t>Total liabilities</t>
        </is>
      </c>
      <c r="F842" t="n">
        <v>7349.04</v>
      </c>
      <c r="G842" t="inlineStr">
        <is>
          <t>IDR bn</t>
        </is>
      </c>
      <c r="H842" t="n">
        <v>12</v>
      </c>
      <c r="I842" t="inlineStr">
        <is>
          <t>Jumlah Liabilitas 7.349.037.</t>
        </is>
      </c>
      <c r="J842" t="inlineStr">
        <is>
          <t>High</t>
        </is>
      </c>
      <c r="M842" t="inlineStr">
        <is>
          <t>LLM</t>
        </is>
      </c>
      <c r="N842" t="inlineStr">
        <is>
          <t>2026-04-18</t>
        </is>
      </c>
      <c r="O842" t="inlineStr">
        <is>
          <t>AI</t>
        </is>
      </c>
    </row>
    <row r="843">
      <c r="A843" t="inlineStr">
        <is>
          <t>PT Eagle High Plantations Tbk</t>
        </is>
      </c>
      <c r="B843" t="inlineStr">
        <is>
          <t>BWPT_2025_AR.pdf</t>
        </is>
      </c>
      <c r="C843" t="n">
        <v>2025</v>
      </c>
      <c r="D843" t="inlineStr">
        <is>
          <t>Financial</t>
        </is>
      </c>
      <c r="E843" t="inlineStr">
        <is>
          <t>Total equity</t>
        </is>
      </c>
      <c r="F843" t="n">
        <v>2827.11</v>
      </c>
      <c r="G843" t="inlineStr">
        <is>
          <t>IDR bn</t>
        </is>
      </c>
      <c r="H843" t="n">
        <v>12</v>
      </c>
      <c r="I843" t="inlineStr">
        <is>
          <t>Jumlah Ekuitas 2.827.113.</t>
        </is>
      </c>
      <c r="J843" t="inlineStr">
        <is>
          <t>High</t>
        </is>
      </c>
      <c r="M843" t="inlineStr">
        <is>
          <t>LLM</t>
        </is>
      </c>
      <c r="N843" t="inlineStr">
        <is>
          <t>2026-04-18</t>
        </is>
      </c>
      <c r="O843" t="inlineStr">
        <is>
          <t>AI</t>
        </is>
      </c>
    </row>
    <row r="844">
      <c r="A844" t="inlineStr">
        <is>
          <t>PT Eagle High Plantations Tbk</t>
        </is>
      </c>
      <c r="B844" t="inlineStr">
        <is>
          <t>BWPT_2025_AR.pdf</t>
        </is>
      </c>
      <c r="C844" t="n">
        <v>2025</v>
      </c>
      <c r="D844" t="inlineStr">
        <is>
          <t>Financial</t>
        </is>
      </c>
      <c r="E844" t="inlineStr">
        <is>
          <t>Accumulated deficit</t>
        </is>
      </c>
      <c r="F844" t="n">
        <v>-3707.95</v>
      </c>
      <c r="G844" t="inlineStr">
        <is>
          <t>IDR bn</t>
        </is>
      </c>
      <c r="H844" t="n">
        <v>12</v>
      </c>
      <c r="I844" t="inlineStr">
        <is>
          <t>Defisit (3.707.953).</t>
        </is>
      </c>
      <c r="J844" t="inlineStr">
        <is>
          <t>High</t>
        </is>
      </c>
      <c r="M844" t="inlineStr">
        <is>
          <t>LLM</t>
        </is>
      </c>
      <c r="N844" t="inlineStr">
        <is>
          <t>2026-04-18</t>
        </is>
      </c>
      <c r="O844" t="inlineStr">
        <is>
          <t>AI</t>
        </is>
      </c>
    </row>
    <row r="845">
      <c r="A845" t="inlineStr">
        <is>
          <t>PT Eagle High Plantations Tbk</t>
        </is>
      </c>
      <c r="B845" t="inlineStr">
        <is>
          <t>BWPT_2025_AR.pdf</t>
        </is>
      </c>
      <c r="C845" t="n">
        <v>2025</v>
      </c>
      <c r="D845" t="inlineStr">
        <is>
          <t>Financial</t>
        </is>
      </c>
      <c r="E845" t="inlineStr">
        <is>
          <t>CFO</t>
        </is>
      </c>
      <c r="F845" t="n">
        <v>1340.73</v>
      </c>
      <c r="G845" t="inlineStr">
        <is>
          <t>IDR bn</t>
        </is>
      </c>
      <c r="H845" t="n">
        <v>15</v>
      </c>
      <c r="I845" t="inlineStr">
        <is>
          <t>Kas Bersih Diperoleh dari Aktivitas Operasi 1.340.726.</t>
        </is>
      </c>
      <c r="J845" t="inlineStr">
        <is>
          <t>High</t>
        </is>
      </c>
      <c r="M845" t="inlineStr">
        <is>
          <t>LLM</t>
        </is>
      </c>
      <c r="N845" t="inlineStr">
        <is>
          <t>2026-04-18</t>
        </is>
      </c>
      <c r="O845" t="inlineStr">
        <is>
          <t>AI</t>
        </is>
      </c>
    </row>
    <row r="846">
      <c r="A846" t="inlineStr">
        <is>
          <t>PT Eagle High Plantations Tbk</t>
        </is>
      </c>
      <c r="B846" t="inlineStr">
        <is>
          <t>BWPT_2025_AR.pdf</t>
        </is>
      </c>
      <c r="C846" t="n">
        <v>2025</v>
      </c>
      <c r="D846" t="inlineStr">
        <is>
          <t>Financial</t>
        </is>
      </c>
      <c r="E846" t="inlineStr">
        <is>
          <t>Capex (fixed assets acquisition)</t>
        </is>
      </c>
      <c r="F846" t="n">
        <v>331.04</v>
      </c>
      <c r="G846" t="inlineStr">
        <is>
          <t>IDR bn</t>
        </is>
      </c>
      <c r="H846" t="n">
        <v>15</v>
      </c>
      <c r="I846" t="inlineStr">
        <is>
          <t>Perolehan aset tetap (331.039).</t>
        </is>
      </c>
      <c r="J846" t="inlineStr">
        <is>
          <t>High</t>
        </is>
      </c>
      <c r="M846" t="inlineStr">
        <is>
          <t>LLM</t>
        </is>
      </c>
      <c r="N846" t="inlineStr">
        <is>
          <t>2026-04-18</t>
        </is>
      </c>
      <c r="O846" t="inlineStr">
        <is>
          <t>AI</t>
        </is>
      </c>
    </row>
    <row r="847">
      <c r="A847" t="inlineStr">
        <is>
          <t>PT Eagle High Plantations Tbk</t>
        </is>
      </c>
      <c r="B847" t="inlineStr">
        <is>
          <t>BWPT_2025_AR.pdf</t>
        </is>
      </c>
      <c r="C847" t="n">
        <v>2025</v>
      </c>
      <c r="D847" t="inlineStr">
        <is>
          <t>Financial</t>
        </is>
      </c>
      <c r="E847" t="inlineStr">
        <is>
          <t>D&amp;A</t>
        </is>
      </c>
      <c r="F847" t="n">
        <v>175.54</v>
      </c>
      <c r="G847" t="inlineStr">
        <is>
          <t>IDR bn</t>
        </is>
      </c>
      <c r="H847" t="n">
        <v>16</v>
      </c>
      <c r="I847" t="inlineStr">
        <is>
          <t>Beban penyusutan aset tetap Jumlah 175.540 (2025).</t>
        </is>
      </c>
      <c r="J847" t="inlineStr">
        <is>
          <t>High</t>
        </is>
      </c>
      <c r="M847" t="inlineStr">
        <is>
          <t>LLM</t>
        </is>
      </c>
      <c r="N847" t="inlineStr">
        <is>
          <t>2026-04-18</t>
        </is>
      </c>
      <c r="O847" t="inlineStr">
        <is>
          <t>AI</t>
        </is>
      </c>
    </row>
    <row r="848">
      <c r="A848" t="inlineStr">
        <is>
          <t>PT Eagle High Plantations Tbk</t>
        </is>
      </c>
      <c r="B848" t="inlineStr">
        <is>
          <t>BWPT_2025_AR.pdf</t>
        </is>
      </c>
      <c r="C848" t="n">
        <v>2025</v>
      </c>
      <c r="D848" t="inlineStr">
        <is>
          <t>Financial</t>
        </is>
      </c>
      <c r="E848" t="inlineStr">
        <is>
          <t>Interest &amp; finance expense</t>
        </is>
      </c>
      <c r="F848" t="n">
        <v>425.28</v>
      </c>
      <c r="G848" t="inlineStr">
        <is>
          <t>IDR bn</t>
        </is>
      </c>
      <c r="H848" t="n">
        <v>13</v>
      </c>
      <c r="I848" t="inlineStr">
        <is>
          <t>Beban bunga dan keuangan (425.283).</t>
        </is>
      </c>
      <c r="J848" t="inlineStr">
        <is>
          <t>High</t>
        </is>
      </c>
      <c r="M848" t="inlineStr">
        <is>
          <t>LLM</t>
        </is>
      </c>
      <c r="N848" t="inlineStr">
        <is>
          <t>2026-04-18</t>
        </is>
      </c>
      <c r="O848" t="inlineStr">
        <is>
          <t>AI</t>
        </is>
      </c>
    </row>
    <row r="849">
      <c r="A849" t="inlineStr">
        <is>
          <t>PT Eagle High Plantations Tbk</t>
        </is>
      </c>
      <c r="B849" t="inlineStr">
        <is>
          <t>BWPT_2025_AR.pdf</t>
        </is>
      </c>
      <c r="C849" t="n">
        <v>2025</v>
      </c>
      <c r="D849" t="inlineStr">
        <is>
          <t>Financial</t>
        </is>
      </c>
      <c r="E849" t="inlineStr">
        <is>
          <t>Tax expense</t>
        </is>
      </c>
      <c r="F849" t="n">
        <v>-396.73</v>
      </c>
      <c r="G849" t="inlineStr">
        <is>
          <t>IDR bn</t>
        </is>
      </c>
      <c r="H849" t="n">
        <v>13</v>
      </c>
      <c r="I849" t="inlineStr">
        <is>
          <t>BEBAN PAJAK - Bersih (396.734).</t>
        </is>
      </c>
      <c r="J849" t="inlineStr">
        <is>
          <t>High</t>
        </is>
      </c>
      <c r="M849" t="inlineStr">
        <is>
          <t>LLM</t>
        </is>
      </c>
      <c r="N849" t="inlineStr">
        <is>
          <t>2026-04-18</t>
        </is>
      </c>
      <c r="O849" t="inlineStr">
        <is>
          <t>AI</t>
        </is>
      </c>
    </row>
    <row r="850">
      <c r="A850" t="inlineStr">
        <is>
          <t>PT Eagle High Plantations Tbk</t>
        </is>
      </c>
      <c r="B850" t="inlineStr">
        <is>
          <t>BWPT_2025_AR.pdf</t>
        </is>
      </c>
      <c r="C850" t="n">
        <v>2025</v>
      </c>
      <c r="D850" t="inlineStr">
        <is>
          <t>Financial</t>
        </is>
      </c>
      <c r="E850" t="inlineStr">
        <is>
          <t>CPO revenue</t>
        </is>
      </c>
      <c r="F850" t="n">
        <v>5041.44</v>
      </c>
      <c r="G850" t="inlineStr">
        <is>
          <t>IDR bn</t>
        </is>
      </c>
      <c r="H850" t="n">
        <v>34</v>
      </c>
      <c r="I850" t="inlineStr">
        <is>
          <t>Minyak kelapa sawit 5.041.442 (2025).</t>
        </is>
      </c>
      <c r="J850" t="inlineStr">
        <is>
          <t>High</t>
        </is>
      </c>
      <c r="M850" t="inlineStr">
        <is>
          <t>LLM</t>
        </is>
      </c>
      <c r="N850" t="inlineStr">
        <is>
          <t>2026-04-18</t>
        </is>
      </c>
      <c r="O850" t="inlineStr">
        <is>
          <t>AI</t>
        </is>
      </c>
    </row>
    <row r="851">
      <c r="A851" t="inlineStr">
        <is>
          <t>PT Eagle High Plantations Tbk</t>
        </is>
      </c>
      <c r="B851" t="inlineStr">
        <is>
          <t>BWPT_2025_AR.pdf</t>
        </is>
      </c>
      <c r="C851" t="n">
        <v>2025</v>
      </c>
      <c r="D851" t="inlineStr">
        <is>
          <t>Financial</t>
        </is>
      </c>
      <c r="E851" t="inlineStr">
        <is>
          <t>PK revenue</t>
        </is>
      </c>
      <c r="F851" t="n">
        <v>664.15</v>
      </c>
      <c r="G851" t="inlineStr">
        <is>
          <t>IDR bn</t>
        </is>
      </c>
      <c r="H851" t="n">
        <v>34</v>
      </c>
      <c r="I851" t="inlineStr">
        <is>
          <t>Inti kernel 664.151.</t>
        </is>
      </c>
      <c r="J851" t="inlineStr">
        <is>
          <t>High</t>
        </is>
      </c>
      <c r="M851" t="inlineStr">
        <is>
          <t>LLM</t>
        </is>
      </c>
      <c r="N851" t="inlineStr">
        <is>
          <t>2026-04-18</t>
        </is>
      </c>
      <c r="O851" t="inlineStr">
        <is>
          <t>AI</t>
        </is>
      </c>
    </row>
    <row r="852">
      <c r="A852" t="inlineStr">
        <is>
          <t>PT Eagle High Plantations Tbk</t>
        </is>
      </c>
      <c r="B852" t="inlineStr">
        <is>
          <t>BWPT_2025_AR.pdf</t>
        </is>
      </c>
      <c r="C852" t="n">
        <v>2025</v>
      </c>
      <c r="D852" t="inlineStr">
        <is>
          <t>Financial</t>
        </is>
      </c>
      <c r="E852" t="inlineStr">
        <is>
          <t>FFB revenue (external sales)</t>
        </is>
      </c>
      <c r="F852" t="n">
        <v>55.7</v>
      </c>
      <c r="G852" t="inlineStr">
        <is>
          <t>IDR bn</t>
        </is>
      </c>
      <c r="H852" t="n">
        <v>34</v>
      </c>
      <c r="I852" t="inlineStr">
        <is>
          <t>Tandan buah segar 55.703.</t>
        </is>
      </c>
      <c r="J852" t="inlineStr">
        <is>
          <t>High</t>
        </is>
      </c>
      <c r="M852" t="inlineStr">
        <is>
          <t>LLM</t>
        </is>
      </c>
      <c r="N852" t="inlineStr">
        <is>
          <t>2026-04-18</t>
        </is>
      </c>
      <c r="O852" t="inlineStr">
        <is>
          <t>AI</t>
        </is>
      </c>
    </row>
    <row r="853">
      <c r="A853" t="inlineStr">
        <is>
          <t>PT Eagle High Plantations Tbk</t>
        </is>
      </c>
      <c r="B853" t="inlineStr">
        <is>
          <t>BWPT_2025_AR.pdf</t>
        </is>
      </c>
      <c r="C853" t="n">
        <v>2025</v>
      </c>
      <c r="D853" t="inlineStr">
        <is>
          <t>Financial</t>
        </is>
      </c>
      <c r="E853" t="inlineStr">
        <is>
          <t>Top customer (SMART)</t>
        </is>
      </c>
      <c r="F853" t="n">
        <v>2398.26</v>
      </c>
      <c r="G853" t="inlineStr">
        <is>
          <t>IDR bn</t>
        </is>
      </c>
      <c r="H853" t="n">
        <v>34</v>
      </c>
      <c r="I853" t="inlineStr">
        <is>
          <t>PT Sinar Mas Agro Resources and Technology Tbk 2.398.257.</t>
        </is>
      </c>
      <c r="J853" t="inlineStr">
        <is>
          <t>High</t>
        </is>
      </c>
      <c r="M853" t="inlineStr">
        <is>
          <t>LLM</t>
        </is>
      </c>
      <c r="N853" t="inlineStr">
        <is>
          <t>2026-04-18</t>
        </is>
      </c>
      <c r="O853" t="inlineStr">
        <is>
          <t>AI</t>
        </is>
      </c>
    </row>
    <row r="854">
      <c r="A854" t="inlineStr">
        <is>
          <t>PT Eagle High Plantations Tbk</t>
        </is>
      </c>
      <c r="B854" t="inlineStr">
        <is>
          <t>BWPT_2025_AR.pdf</t>
        </is>
      </c>
      <c r="C854" t="n">
        <v>2025</v>
      </c>
      <c r="D854" t="inlineStr">
        <is>
          <t>Asset</t>
        </is>
      </c>
      <c r="E854" t="inlineStr">
        <is>
          <t>Total planted area</t>
        </is>
      </c>
      <c r="F854" t="n">
        <v>74339</v>
      </c>
      <c r="G854" t="inlineStr">
        <is>
          <t>ha</t>
        </is>
      </c>
      <c r="H854" t="n">
        <v>16</v>
      </c>
      <c r="I854" t="inlineStr">
        <is>
          <t>jumlah luas lahan yang ditanami adalah seluas 74.339 hektar (31-Dec-2025 and 2024).</t>
        </is>
      </c>
      <c r="J854" t="inlineStr">
        <is>
          <t>High</t>
        </is>
      </c>
      <c r="M854" t="inlineStr">
        <is>
          <t>LLM</t>
        </is>
      </c>
      <c r="N854" t="inlineStr">
        <is>
          <t>2026-04-18</t>
        </is>
      </c>
      <c r="O854" t="inlineStr">
        <is>
          <t>AI</t>
        </is>
      </c>
    </row>
    <row r="855">
      <c r="A855" t="inlineStr">
        <is>
          <t>PT Eagle High Plantations Tbk</t>
        </is>
      </c>
      <c r="B855" t="inlineStr">
        <is>
          <t>BWPT_2025_AR.pdf</t>
        </is>
      </c>
      <c r="C855" t="n">
        <v>2025</v>
      </c>
      <c r="D855" t="inlineStr">
        <is>
          <t>Company</t>
        </is>
      </c>
      <c r="E855" t="inlineStr">
        <is>
          <t>Ultimate parent</t>
        </is>
      </c>
      <c r="F855" t="inlineStr">
        <is>
          <t>PT Rajawali Corpora</t>
        </is>
      </c>
      <c r="G855" t="inlineStr">
        <is>
          <t>entity</t>
        </is>
      </c>
      <c r="H855" t="n">
        <v>17</v>
      </c>
      <c r="I855" t="inlineStr">
        <is>
          <t>pemegang saham pengendali Perusahaan adalah PT Rajawali Corpora.</t>
        </is>
      </c>
      <c r="J855" t="inlineStr">
        <is>
          <t>High</t>
        </is>
      </c>
      <c r="M855" t="inlineStr">
        <is>
          <t>LLM</t>
        </is>
      </c>
      <c r="N855" t="inlineStr">
        <is>
          <t>2026-04-18</t>
        </is>
      </c>
      <c r="O855" t="inlineStr">
        <is>
          <t>AI</t>
        </is>
      </c>
    </row>
    <row r="856">
      <c r="A856" t="inlineStr">
        <is>
          <t>PT Eagle High Plantations Tbk</t>
        </is>
      </c>
      <c r="B856" t="inlineStr">
        <is>
          <t>BWPT_2025_AR.pdf</t>
        </is>
      </c>
      <c r="C856" t="n">
        <v>2025</v>
      </c>
      <c r="D856" t="inlineStr">
        <is>
          <t>Company</t>
        </is>
      </c>
      <c r="E856" t="inlineStr">
        <is>
          <t>Bond issuance 2025 Phase II</t>
        </is>
      </c>
      <c r="F856" t="inlineStr">
        <is>
          <t>Rp 50 bn (Series A 9.75%; Series B 11%)</t>
        </is>
      </c>
      <c r="G856" t="inlineStr">
        <is>
          <t>description</t>
        </is>
      </c>
      <c r="H856" t="n">
        <v>18</v>
      </c>
      <c r="I856" t="inlineStr">
        <is>
          <t>Obligasi Berkelanjutan I Eagle High Plantations Tahap II Tahun 2025 sebesar Rp 50.000 juta, Seri A 9,75%, Seri B 11%.</t>
        </is>
      </c>
      <c r="J856" t="inlineStr">
        <is>
          <t>High</t>
        </is>
      </c>
      <c r="M856" t="inlineStr">
        <is>
          <t>LLM</t>
        </is>
      </c>
      <c r="N856" t="inlineStr">
        <is>
          <t>2026-04-18</t>
        </is>
      </c>
      <c r="O856" t="inlineStr">
        <is>
          <t>AI</t>
        </is>
      </c>
    </row>
    <row r="857">
      <c r="A857" t="inlineStr">
        <is>
          <t>PT Eagle High Plantations Tbk</t>
        </is>
      </c>
      <c r="B857" t="inlineStr">
        <is>
          <t>BWPT_2025_AR.pdf</t>
        </is>
      </c>
      <c r="C857" t="n">
        <v>2025</v>
      </c>
      <c r="D857" t="inlineStr">
        <is>
          <t>Company</t>
        </is>
      </c>
      <c r="E857" t="inlineStr">
        <is>
          <t>Sukuk Mudharabah issuance</t>
        </is>
      </c>
      <c r="F857" t="inlineStr">
        <is>
          <t>Rp 75 bn (Series A 9.75%; Series B 11%)</t>
        </is>
      </c>
      <c r="G857" t="inlineStr">
        <is>
          <t>description</t>
        </is>
      </c>
      <c r="H857" t="n">
        <v>19</v>
      </c>
      <c r="I857" t="inlineStr">
        <is>
          <t>Sukuk Mudharabah Berkelanjutan I Eagle High Plantations Tahap I Tahun 2025 Rp 75.000.</t>
        </is>
      </c>
      <c r="J857" t="inlineStr">
        <is>
          <t>High</t>
        </is>
      </c>
      <c r="M857" t="inlineStr">
        <is>
          <t>LLM</t>
        </is>
      </c>
      <c r="N857" t="inlineStr">
        <is>
          <t>2026-04-18</t>
        </is>
      </c>
      <c r="O857" t="inlineStr">
        <is>
          <t>AI</t>
        </is>
      </c>
    </row>
    <row r="858">
      <c r="A858" t="inlineStr">
        <is>
          <t>PT Eagle High Plantations Tbk</t>
        </is>
      </c>
      <c r="B858" t="inlineStr">
        <is>
          <t>BWPT_2025_AR.pdf</t>
        </is>
      </c>
      <c r="C858" t="n">
        <v>2025</v>
      </c>
      <c r="D858" t="inlineStr">
        <is>
          <t>Company</t>
        </is>
      </c>
      <c r="E858" t="inlineStr">
        <is>
          <t>Bond repayment in 2025</t>
        </is>
      </c>
      <c r="F858" t="inlineStr">
        <is>
          <t>Rp 200 bn Phase I redeemed at maturity (25 Jul 2025)</t>
        </is>
      </c>
      <c r="G858" t="inlineStr">
        <is>
          <t>description</t>
        </is>
      </c>
      <c r="H858" t="n">
        <v>18</v>
      </c>
      <c r="I858" t="inlineStr">
        <is>
          <t>Obligasi Tahap I 2024 Rp 200.000 jangka waktu 370 hari; 'Pembayaran utang obligasi (61.845)' in CF.</t>
        </is>
      </c>
      <c r="J858" t="inlineStr">
        <is>
          <t>Medium</t>
        </is>
      </c>
      <c r="M858" t="inlineStr">
        <is>
          <t>LLM</t>
        </is>
      </c>
      <c r="N858" t="inlineStr">
        <is>
          <t>2026-04-18</t>
        </is>
      </c>
      <c r="O858" t="inlineStr">
        <is>
          <t>AI</t>
        </is>
      </c>
    </row>
    <row r="859">
      <c r="A859" t="inlineStr">
        <is>
          <t>PT Citra Borneo Utama Tbk</t>
        </is>
      </c>
      <c r="B859" t="inlineStr">
        <is>
          <t>CBUT_2023_AR.pdf</t>
        </is>
      </c>
      <c r="C859" t="n">
        <v>2023</v>
      </c>
      <c r="D859" t="inlineStr">
        <is>
          <t>Company</t>
        </is>
      </c>
      <c r="E859" t="inlineStr">
        <is>
          <t>Listed on IDX</t>
        </is>
      </c>
      <c r="F859" t="inlineStr">
        <is>
          <t>2022-11-08</t>
        </is>
      </c>
      <c r="G859" t="inlineStr">
        <is>
          <t>date</t>
        </is>
      </c>
      <c r="H859" t="n">
        <v>12</v>
      </c>
      <c r="I859" t="inlineStr">
        <is>
          <t>Perseroan efektif mencatatkan sahamnya di Bursa Efek Indonesia (BEI) pada tanggal 8 November 2022.</t>
        </is>
      </c>
      <c r="J859" t="inlineStr">
        <is>
          <t>High</t>
        </is>
      </c>
      <c r="M859" t="inlineStr">
        <is>
          <t>LLM</t>
        </is>
      </c>
      <c r="N859" t="inlineStr">
        <is>
          <t>2026-04-18</t>
        </is>
      </c>
      <c r="O859" t="inlineStr">
        <is>
          <t>AI</t>
        </is>
      </c>
    </row>
    <row r="860">
      <c r="A860" t="inlineStr">
        <is>
          <t>PT Citra Borneo Utama Tbk</t>
        </is>
      </c>
      <c r="B860" t="inlineStr">
        <is>
          <t>CBUT_2023_AR.pdf</t>
        </is>
      </c>
      <c r="C860" t="n">
        <v>2023</v>
      </c>
      <c r="D860" t="inlineStr">
        <is>
          <t>Company</t>
        </is>
      </c>
      <c r="E860" t="inlineStr">
        <is>
          <t>Controlling shareholder</t>
        </is>
      </c>
      <c r="F860" t="inlineStr">
        <is>
          <t>PT Sawit Sumbermas Sarana Tbk</t>
        </is>
      </c>
      <c r="G860" t="inlineStr">
        <is>
          <t>text</t>
        </is>
      </c>
      <c r="H860" t="n">
        <v>70</v>
      </c>
      <c r="I860" t="inlineStr">
        <is>
          <t>SSMS menjadi pemegang saham mayoritas Perseroan dengan kepemilikan saham sebanyak 2.194.263.700 saham atau 70,22%</t>
        </is>
      </c>
      <c r="J860" t="inlineStr">
        <is>
          <t>High</t>
        </is>
      </c>
      <c r="M860" t="inlineStr">
        <is>
          <t>LLM</t>
        </is>
      </c>
      <c r="N860" t="inlineStr">
        <is>
          <t>2026-04-18</t>
        </is>
      </c>
      <c r="O860" t="inlineStr">
        <is>
          <t>AI</t>
        </is>
      </c>
    </row>
    <row r="861">
      <c r="A861" t="inlineStr">
        <is>
          <t>PT Citra Borneo Utama Tbk</t>
        </is>
      </c>
      <c r="B861" t="inlineStr">
        <is>
          <t>CBUT_2023_AR.pdf</t>
        </is>
      </c>
      <c r="C861" t="n">
        <v>2023</v>
      </c>
      <c r="D861" t="inlineStr">
        <is>
          <t>Company</t>
        </is>
      </c>
      <c r="E861" t="inlineStr">
        <is>
          <t>Shares outstanding</t>
        </is>
      </c>
      <c r="F861" t="n">
        <v>3125000000</v>
      </c>
      <c r="G861" t="inlineStr">
        <is>
          <t>shares</t>
        </is>
      </c>
      <c r="H861" t="n">
        <v>215</v>
      </c>
      <c r="I861" t="inlineStr">
        <is>
          <t>Modal ditempatkan dan disetor 3.125.000.000 saham 312.500</t>
        </is>
      </c>
      <c r="J861" t="inlineStr">
        <is>
          <t>High</t>
        </is>
      </c>
      <c r="M861" t="inlineStr">
        <is>
          <t>LLM</t>
        </is>
      </c>
      <c r="N861" t="inlineStr">
        <is>
          <t>2026-04-18</t>
        </is>
      </c>
      <c r="O861" t="inlineStr">
        <is>
          <t>AI</t>
        </is>
      </c>
    </row>
    <row r="862">
      <c r="A862" t="inlineStr">
        <is>
          <t>PT Citra Borneo Utama Tbk</t>
        </is>
      </c>
      <c r="B862" t="inlineStr">
        <is>
          <t>CBUT_2023_AR.pdf</t>
        </is>
      </c>
      <c r="C862" t="n">
        <v>2023</v>
      </c>
      <c r="D862" t="inlineStr">
        <is>
          <t>Company</t>
        </is>
      </c>
      <c r="E862" t="inlineStr">
        <is>
          <t>Business domicile</t>
        </is>
      </c>
      <c r="F862" t="inlineStr">
        <is>
          <t>West Kotawaringin, Central Kalimantan</t>
        </is>
      </c>
      <c r="G862" t="inlineStr">
        <is>
          <t>text</t>
        </is>
      </c>
      <c r="H862" t="n">
        <v>67</v>
      </c>
      <c r="I862" t="inlineStr">
        <is>
          <t>PT Citra Borneo Utama Tbk Berkedudukan di Kotawaringin Barat</t>
        </is>
      </c>
      <c r="J862" t="inlineStr">
        <is>
          <t>High</t>
        </is>
      </c>
      <c r="M862" t="inlineStr">
        <is>
          <t>LLM</t>
        </is>
      </c>
      <c r="N862" t="inlineStr">
        <is>
          <t>2026-04-18</t>
        </is>
      </c>
      <c r="O862" t="inlineStr">
        <is>
          <t>AI</t>
        </is>
      </c>
    </row>
    <row r="863">
      <c r="A863" t="inlineStr">
        <is>
          <t>PT Citra Borneo Utama Tbk</t>
        </is>
      </c>
      <c r="B863" t="inlineStr">
        <is>
          <t>CBUT_2023_AR.pdf</t>
        </is>
      </c>
      <c r="C863" t="n">
        <v>2023</v>
      </c>
      <c r="D863" t="inlineStr">
        <is>
          <t>Financial</t>
        </is>
      </c>
      <c r="E863" t="inlineStr">
        <is>
          <t>Revenue 2023</t>
        </is>
      </c>
      <c r="F863" t="n">
        <v>10319.437</v>
      </c>
      <c r="G863" t="inlineStr">
        <is>
          <t>IDR bn</t>
        </is>
      </c>
      <c r="H863" t="n">
        <v>10</v>
      </c>
      <c r="I863" t="inlineStr">
        <is>
          <t>Penjualan 10.319.437 9.619.267 8.662.321 Sales (Dinyatakan dalam jutaan Rupiah)</t>
        </is>
      </c>
      <c r="J863" t="inlineStr">
        <is>
          <t>High</t>
        </is>
      </c>
      <c r="M863" t="inlineStr">
        <is>
          <t>LLM</t>
        </is>
      </c>
      <c r="N863" t="inlineStr">
        <is>
          <t>2026-04-18</t>
        </is>
      </c>
      <c r="O863" t="inlineStr">
        <is>
          <t>AI</t>
        </is>
      </c>
    </row>
    <row r="864">
      <c r="A864" t="inlineStr">
        <is>
          <t>PT Citra Borneo Utama Tbk</t>
        </is>
      </c>
      <c r="B864" t="inlineStr">
        <is>
          <t>CBUT_2023_AR.pdf</t>
        </is>
      </c>
      <c r="C864" t="n">
        <v>2023</v>
      </c>
      <c r="D864" t="inlineStr">
        <is>
          <t>Financial</t>
        </is>
      </c>
      <c r="E864" t="inlineStr">
        <is>
          <t>Gross profit 2023</t>
        </is>
      </c>
      <c r="F864" t="n">
        <v>1314.507</v>
      </c>
      <c r="G864" t="inlineStr">
        <is>
          <t>IDR bn</t>
        </is>
      </c>
      <c r="H864" t="n">
        <v>10</v>
      </c>
      <c r="I864" t="inlineStr">
        <is>
          <t>Laba Bruto 1.314.507 1.491.359 2.038.768 Gross Profit</t>
        </is>
      </c>
      <c r="J864" t="inlineStr">
        <is>
          <t>High</t>
        </is>
      </c>
      <c r="M864" t="inlineStr">
        <is>
          <t>LLM</t>
        </is>
      </c>
      <c r="N864" t="inlineStr">
        <is>
          <t>2026-04-18</t>
        </is>
      </c>
      <c r="O864" t="inlineStr">
        <is>
          <t>AI</t>
        </is>
      </c>
    </row>
    <row r="865">
      <c r="A865" t="inlineStr">
        <is>
          <t>PT Citra Borneo Utama Tbk</t>
        </is>
      </c>
      <c r="B865" t="inlineStr">
        <is>
          <t>CBUT_2023_AR.pdf</t>
        </is>
      </c>
      <c r="C865" t="n">
        <v>2023</v>
      </c>
      <c r="D865" t="inlineStr">
        <is>
          <t>Financial</t>
        </is>
      </c>
      <c r="E865" t="inlineStr">
        <is>
          <t>Operating profit 2023</t>
        </is>
      </c>
      <c r="F865" t="n">
        <v>311.759</v>
      </c>
      <c r="G865" t="inlineStr">
        <is>
          <t>IDR bn</t>
        </is>
      </c>
      <c r="H865" t="n">
        <v>10</v>
      </c>
      <c r="I865" t="inlineStr">
        <is>
          <t>Laba Usaha 311.759 413.553 386.502 Operating Profit</t>
        </is>
      </c>
      <c r="J865" t="inlineStr">
        <is>
          <t>High</t>
        </is>
      </c>
      <c r="M865" t="inlineStr">
        <is>
          <t>LLM</t>
        </is>
      </c>
      <c r="N865" t="inlineStr">
        <is>
          <t>2026-04-18</t>
        </is>
      </c>
      <c r="O865" t="inlineStr">
        <is>
          <t>AI</t>
        </is>
      </c>
    </row>
    <row r="866">
      <c r="A866" t="inlineStr">
        <is>
          <t>PT Citra Borneo Utama Tbk</t>
        </is>
      </c>
      <c r="B866" t="inlineStr">
        <is>
          <t>CBUT_2023_AR.pdf</t>
        </is>
      </c>
      <c r="C866" t="n">
        <v>2023</v>
      </c>
      <c r="D866" t="inlineStr">
        <is>
          <t>Financial</t>
        </is>
      </c>
      <c r="E866" t="inlineStr">
        <is>
          <t>Net profit 2023</t>
        </is>
      </c>
      <c r="F866" t="n">
        <v>144.242</v>
      </c>
      <c r="G866" t="inlineStr">
        <is>
          <t>IDR bn</t>
        </is>
      </c>
      <c r="H866" t="n">
        <v>10</v>
      </c>
      <c r="I866" t="inlineStr">
        <is>
          <t>Laba Tahun Berjalan 144.242 223.147 286.102 Profit for the year</t>
        </is>
      </c>
      <c r="J866" t="inlineStr">
        <is>
          <t>High</t>
        </is>
      </c>
      <c r="M866" t="inlineStr">
        <is>
          <t>LLM</t>
        </is>
      </c>
      <c r="N866" t="inlineStr">
        <is>
          <t>2026-04-18</t>
        </is>
      </c>
      <c r="O866" t="inlineStr">
        <is>
          <t>AI</t>
        </is>
      </c>
    </row>
    <row r="867">
      <c r="A867" t="inlineStr">
        <is>
          <t>PT Citra Borneo Utama Tbk</t>
        </is>
      </c>
      <c r="B867" t="inlineStr">
        <is>
          <t>CBUT_2023_AR.pdf</t>
        </is>
      </c>
      <c r="C867" t="n">
        <v>2023</v>
      </c>
      <c r="D867" t="inlineStr">
        <is>
          <t>Financial</t>
        </is>
      </c>
      <c r="E867" t="inlineStr">
        <is>
          <t>EPS 2023</t>
        </is>
      </c>
      <c r="F867" t="n">
        <v>46.16</v>
      </c>
      <c r="G867" t="inlineStr">
        <is>
          <t>IDR/share</t>
        </is>
      </c>
      <c r="H867" t="n">
        <v>10</v>
      </c>
      <c r="I867" t="inlineStr">
        <is>
          <t>Laba Per Saham Dasar (Angka Penuh) 46,16 85,70 114,44</t>
        </is>
      </c>
      <c r="J867" t="inlineStr">
        <is>
          <t>High</t>
        </is>
      </c>
      <c r="M867" t="inlineStr">
        <is>
          <t>LLM</t>
        </is>
      </c>
      <c r="N867" t="inlineStr">
        <is>
          <t>2026-04-18</t>
        </is>
      </c>
      <c r="O867" t="inlineStr">
        <is>
          <t>AI</t>
        </is>
      </c>
    </row>
    <row r="868">
      <c r="A868" t="inlineStr">
        <is>
          <t>PT Citra Borneo Utama Tbk</t>
        </is>
      </c>
      <c r="B868" t="inlineStr">
        <is>
          <t>CBUT_2023_AR.pdf</t>
        </is>
      </c>
      <c r="C868" t="n">
        <v>2023</v>
      </c>
      <c r="D868" t="inlineStr">
        <is>
          <t>Financial</t>
        </is>
      </c>
      <c r="E868" t="inlineStr">
        <is>
          <t>Total assets 2023</t>
        </is>
      </c>
      <c r="F868" t="n">
        <v>4336.194</v>
      </c>
      <c r="G868" t="inlineStr">
        <is>
          <t>IDR bn</t>
        </is>
      </c>
      <c r="H868" t="n">
        <v>10</v>
      </c>
      <c r="I868" t="inlineStr">
        <is>
          <t>Jumlah Aset 4.336.194 3.019.974 2.025.802 Total Assets</t>
        </is>
      </c>
      <c r="J868" t="inlineStr">
        <is>
          <t>High</t>
        </is>
      </c>
      <c r="M868" t="inlineStr">
        <is>
          <t>LLM</t>
        </is>
      </c>
      <c r="N868" t="inlineStr">
        <is>
          <t>2026-04-18</t>
        </is>
      </c>
      <c r="O868" t="inlineStr">
        <is>
          <t>AI</t>
        </is>
      </c>
    </row>
    <row r="869">
      <c r="A869" t="inlineStr">
        <is>
          <t>PT Citra Borneo Utama Tbk</t>
        </is>
      </c>
      <c r="B869" t="inlineStr">
        <is>
          <t>CBUT_2023_AR.pdf</t>
        </is>
      </c>
      <c r="C869" t="n">
        <v>2023</v>
      </c>
      <c r="D869" t="inlineStr">
        <is>
          <t>Financial</t>
        </is>
      </c>
      <c r="E869" t="inlineStr">
        <is>
          <t>Current assets 2023</t>
        </is>
      </c>
      <c r="F869" t="n">
        <v>3925.96</v>
      </c>
      <c r="G869" t="inlineStr">
        <is>
          <t>IDR bn</t>
        </is>
      </c>
      <c r="H869" t="n">
        <v>10</v>
      </c>
      <c r="I869" t="inlineStr">
        <is>
          <t>Jumlah Aset Lancar 3.925.960 2.600.405 1.607.980</t>
        </is>
      </c>
      <c r="J869" t="inlineStr">
        <is>
          <t>High</t>
        </is>
      </c>
      <c r="M869" t="inlineStr">
        <is>
          <t>LLM</t>
        </is>
      </c>
      <c r="N869" t="inlineStr">
        <is>
          <t>2026-04-18</t>
        </is>
      </c>
      <c r="O869" t="inlineStr">
        <is>
          <t>AI</t>
        </is>
      </c>
    </row>
    <row r="870">
      <c r="A870" t="inlineStr">
        <is>
          <t>PT Citra Borneo Utama Tbk</t>
        </is>
      </c>
      <c r="B870" t="inlineStr">
        <is>
          <t>CBUT_2023_AR.pdf</t>
        </is>
      </c>
      <c r="C870" t="n">
        <v>2023</v>
      </c>
      <c r="D870" t="inlineStr">
        <is>
          <t>Financial</t>
        </is>
      </c>
      <c r="E870" t="inlineStr">
        <is>
          <t>Non-current assets 2023</t>
        </is>
      </c>
      <c r="F870" t="n">
        <v>410.234</v>
      </c>
      <c r="G870" t="inlineStr">
        <is>
          <t>IDR bn</t>
        </is>
      </c>
      <c r="H870" t="n">
        <v>10</v>
      </c>
      <c r="I870" t="inlineStr">
        <is>
          <t>Jumlah Aset Tidak Lancar 410.234 419.569 417.822</t>
        </is>
      </c>
      <c r="J870" t="inlineStr">
        <is>
          <t>High</t>
        </is>
      </c>
      <c r="M870" t="inlineStr">
        <is>
          <t>LLM</t>
        </is>
      </c>
      <c r="N870" t="inlineStr">
        <is>
          <t>2026-04-18</t>
        </is>
      </c>
      <c r="O870" t="inlineStr">
        <is>
          <t>AI</t>
        </is>
      </c>
    </row>
    <row r="871">
      <c r="A871" t="inlineStr">
        <is>
          <t>PT Citra Borneo Utama Tbk</t>
        </is>
      </c>
      <c r="B871" t="inlineStr">
        <is>
          <t>CBUT_2023_AR.pdf</t>
        </is>
      </c>
      <c r="C871" t="n">
        <v>2023</v>
      </c>
      <c r="D871" t="inlineStr">
        <is>
          <t>Financial</t>
        </is>
      </c>
      <c r="E871" t="inlineStr">
        <is>
          <t>Total liabilities 2023</t>
        </is>
      </c>
      <c r="F871" t="n">
        <v>3433.778</v>
      </c>
      <c r="G871" t="inlineStr">
        <is>
          <t>IDR bn</t>
        </is>
      </c>
      <c r="H871" t="n">
        <v>10</v>
      </c>
      <c r="I871" t="inlineStr">
        <is>
          <t>Jumlah Liabilitas 3.433.778 2.250.454 1.937.097</t>
        </is>
      </c>
      <c r="J871" t="inlineStr">
        <is>
          <t>High</t>
        </is>
      </c>
      <c r="M871" t="inlineStr">
        <is>
          <t>LLM</t>
        </is>
      </c>
      <c r="N871" t="inlineStr">
        <is>
          <t>2026-04-18</t>
        </is>
      </c>
      <c r="O871" t="inlineStr">
        <is>
          <t>AI</t>
        </is>
      </c>
    </row>
    <row r="872">
      <c r="A872" t="inlineStr">
        <is>
          <t>PT Citra Borneo Utama Tbk</t>
        </is>
      </c>
      <c r="B872" t="inlineStr">
        <is>
          <t>CBUT_2023_AR.pdf</t>
        </is>
      </c>
      <c r="C872" t="n">
        <v>2023</v>
      </c>
      <c r="D872" t="inlineStr">
        <is>
          <t>Financial</t>
        </is>
      </c>
      <c r="E872" t="inlineStr">
        <is>
          <t>Current liabilities 2023</t>
        </is>
      </c>
      <c r="F872" t="n">
        <v>2659.659</v>
      </c>
      <c r="G872" t="inlineStr">
        <is>
          <t>IDR bn</t>
        </is>
      </c>
      <c r="H872" t="n">
        <v>10</v>
      </c>
      <c r="I872" t="inlineStr">
        <is>
          <t>Jumlah Liabilitas Jangka Pendek 2.659.659 2.066.899</t>
        </is>
      </c>
      <c r="J872" t="inlineStr">
        <is>
          <t>High</t>
        </is>
      </c>
      <c r="M872" t="inlineStr">
        <is>
          <t>LLM</t>
        </is>
      </c>
      <c r="N872" t="inlineStr">
        <is>
          <t>2026-04-18</t>
        </is>
      </c>
      <c r="O872" t="inlineStr">
        <is>
          <t>AI</t>
        </is>
      </c>
    </row>
    <row r="873">
      <c r="A873" t="inlineStr">
        <is>
          <t>PT Citra Borneo Utama Tbk</t>
        </is>
      </c>
      <c r="B873" t="inlineStr">
        <is>
          <t>CBUT_2023_AR.pdf</t>
        </is>
      </c>
      <c r="C873" t="n">
        <v>2023</v>
      </c>
      <c r="D873" t="inlineStr">
        <is>
          <t>Financial</t>
        </is>
      </c>
      <c r="E873" t="inlineStr">
        <is>
          <t>Long-term liabilities 2023</t>
        </is>
      </c>
      <c r="F873" t="n">
        <v>774.119</v>
      </c>
      <c r="G873" t="inlineStr">
        <is>
          <t>IDR bn</t>
        </is>
      </c>
      <c r="H873" t="n">
        <v>10</v>
      </c>
      <c r="I873" t="inlineStr">
        <is>
          <t>Jumlah Liabilitas Jangka Panjang 774.119 183.555</t>
        </is>
      </c>
      <c r="J873" t="inlineStr">
        <is>
          <t>High</t>
        </is>
      </c>
      <c r="M873" t="inlineStr">
        <is>
          <t>LLM</t>
        </is>
      </c>
      <c r="N873" t="inlineStr">
        <is>
          <t>2026-04-18</t>
        </is>
      </c>
      <c r="O873" t="inlineStr">
        <is>
          <t>AI</t>
        </is>
      </c>
    </row>
    <row r="874">
      <c r="A874" t="inlineStr">
        <is>
          <t>PT Citra Borneo Utama Tbk</t>
        </is>
      </c>
      <c r="B874" t="inlineStr">
        <is>
          <t>CBUT_2023_AR.pdf</t>
        </is>
      </c>
      <c r="C874" t="n">
        <v>2023</v>
      </c>
      <c r="D874" t="inlineStr">
        <is>
          <t>Financial</t>
        </is>
      </c>
      <c r="E874" t="inlineStr">
        <is>
          <t>Total equity 2023</t>
        </is>
      </c>
      <c r="F874" t="n">
        <v>902.4160000000001</v>
      </c>
      <c r="G874" t="inlineStr">
        <is>
          <t>IDR bn</t>
        </is>
      </c>
      <c r="H874" t="n">
        <v>10</v>
      </c>
      <c r="I874" t="inlineStr">
        <is>
          <t>Jumlah Ekuitas 902.416 769.520 88.705 Total Equity</t>
        </is>
      </c>
      <c r="J874" t="inlineStr">
        <is>
          <t>High</t>
        </is>
      </c>
      <c r="M874" t="inlineStr">
        <is>
          <t>LLM</t>
        </is>
      </c>
      <c r="N874" t="inlineStr">
        <is>
          <t>2026-04-18</t>
        </is>
      </c>
      <c r="O874" t="inlineStr">
        <is>
          <t>AI</t>
        </is>
      </c>
    </row>
    <row r="875">
      <c r="A875" t="inlineStr">
        <is>
          <t>PT Citra Borneo Utama Tbk</t>
        </is>
      </c>
      <c r="B875" t="inlineStr">
        <is>
          <t>CBUT_2023_AR.pdf</t>
        </is>
      </c>
      <c r="C875" t="n">
        <v>2023</v>
      </c>
      <c r="D875" t="inlineStr">
        <is>
          <t>Financial</t>
        </is>
      </c>
      <c r="E875" t="inlineStr">
        <is>
          <t>Cash and cash equivalents</t>
        </is>
      </c>
      <c r="F875" t="n">
        <v>304.932</v>
      </c>
      <c r="G875" t="inlineStr">
        <is>
          <t>IDR bn</t>
        </is>
      </c>
      <c r="H875" t="n">
        <v>214</v>
      </c>
      <c r="I875" t="inlineStr">
        <is>
          <t>Kas dan setara kas 304.932 859.969 Cash and cash equivalents</t>
        </is>
      </c>
      <c r="J875" t="inlineStr">
        <is>
          <t>High</t>
        </is>
      </c>
      <c r="M875" t="inlineStr">
        <is>
          <t>LLM</t>
        </is>
      </c>
      <c r="N875" t="inlineStr">
        <is>
          <t>2026-04-18</t>
        </is>
      </c>
      <c r="O875" t="inlineStr">
        <is>
          <t>AI</t>
        </is>
      </c>
    </row>
    <row r="876">
      <c r="A876" t="inlineStr">
        <is>
          <t>PT Citra Borneo Utama Tbk</t>
        </is>
      </c>
      <c r="B876" t="inlineStr">
        <is>
          <t>CBUT_2023_AR.pdf</t>
        </is>
      </c>
      <c r="C876" t="n">
        <v>2023</v>
      </c>
      <c r="D876" t="inlineStr">
        <is>
          <t>Financial</t>
        </is>
      </c>
      <c r="E876" t="inlineStr">
        <is>
          <t>Short-term bank loans</t>
        </is>
      </c>
      <c r="F876" t="n">
        <v>2138.461</v>
      </c>
      <c r="G876" t="inlineStr">
        <is>
          <t>IDR bn</t>
        </is>
      </c>
      <c r="H876" t="n">
        <v>215</v>
      </c>
      <c r="I876" t="inlineStr">
        <is>
          <t>Pinjaman bank jangka pendek 2.138.461 973.982 Short-term bank loans</t>
        </is>
      </c>
      <c r="J876" t="inlineStr">
        <is>
          <t>High</t>
        </is>
      </c>
      <c r="M876" t="inlineStr">
        <is>
          <t>LLM</t>
        </is>
      </c>
      <c r="N876" t="inlineStr">
        <is>
          <t>2026-04-18</t>
        </is>
      </c>
      <c r="O876" t="inlineStr">
        <is>
          <t>AI</t>
        </is>
      </c>
    </row>
    <row r="877">
      <c r="A877" t="inlineStr">
        <is>
          <t>PT Citra Borneo Utama Tbk</t>
        </is>
      </c>
      <c r="B877" t="inlineStr">
        <is>
          <t>CBUT_2023_AR.pdf</t>
        </is>
      </c>
      <c r="C877" t="n">
        <v>2023</v>
      </c>
      <c r="D877" t="inlineStr">
        <is>
          <t>Financial</t>
        </is>
      </c>
      <c r="E877" t="inlineStr">
        <is>
          <t>Long-term bank loans (non-current)</t>
        </is>
      </c>
      <c r="F877" t="n">
        <v>769.178</v>
      </c>
      <c r="G877" t="inlineStr">
        <is>
          <t>IDR bn</t>
        </is>
      </c>
      <c r="H877" t="n">
        <v>215</v>
      </c>
      <c r="I877" t="inlineStr">
        <is>
          <t>Pinjaman bank jangka panjang... 769.178 179.691 Long-term bank loans net of current portion</t>
        </is>
      </c>
      <c r="J877" t="inlineStr">
        <is>
          <t>High</t>
        </is>
      </c>
      <c r="M877" t="inlineStr">
        <is>
          <t>LLM</t>
        </is>
      </c>
      <c r="N877" t="inlineStr">
        <is>
          <t>2026-04-18</t>
        </is>
      </c>
      <c r="O877" t="inlineStr">
        <is>
          <t>AI</t>
        </is>
      </c>
    </row>
    <row r="878">
      <c r="A878" t="inlineStr">
        <is>
          <t>PT Citra Borneo Utama Tbk</t>
        </is>
      </c>
      <c r="B878" t="inlineStr">
        <is>
          <t>CBUT_2023_AR.pdf</t>
        </is>
      </c>
      <c r="C878" t="n">
        <v>2023</v>
      </c>
      <c r="D878" t="inlineStr">
        <is>
          <t>Financial</t>
        </is>
      </c>
      <c r="E878" t="inlineStr">
        <is>
          <t>Current portion of LT bank loans</t>
        </is>
      </c>
      <c r="F878" t="n">
        <v>79.83</v>
      </c>
      <c r="G878" t="inlineStr">
        <is>
          <t>IDR bn</t>
        </is>
      </c>
      <c r="H878" t="n">
        <v>215</v>
      </c>
      <c r="I878" t="inlineStr">
        <is>
          <t>jatuh tempo dalam waktu satu tahun 79.830 87.722</t>
        </is>
      </c>
      <c r="J878" t="inlineStr">
        <is>
          <t>High</t>
        </is>
      </c>
      <c r="M878" t="inlineStr">
        <is>
          <t>LLM</t>
        </is>
      </c>
      <c r="N878" t="inlineStr">
        <is>
          <t>2026-04-18</t>
        </is>
      </c>
      <c r="O878" t="inlineStr">
        <is>
          <t>AI</t>
        </is>
      </c>
    </row>
    <row r="879">
      <c r="A879" t="inlineStr">
        <is>
          <t>PT Citra Borneo Utama Tbk</t>
        </is>
      </c>
      <c r="B879" t="inlineStr">
        <is>
          <t>CBUT_2023_AR.pdf</t>
        </is>
      </c>
      <c r="C879" t="n">
        <v>2023</v>
      </c>
      <c r="D879" t="inlineStr">
        <is>
          <t>Financial</t>
        </is>
      </c>
      <c r="E879" t="inlineStr">
        <is>
          <t>CFO (operating cash flow) 2023</t>
        </is>
      </c>
      <c r="F879" t="n">
        <v>-384.368</v>
      </c>
      <c r="G879" t="inlineStr">
        <is>
          <t>IDR bn</t>
        </is>
      </c>
      <c r="H879" t="n">
        <v>218</v>
      </c>
      <c r="I879" t="inlineStr">
        <is>
          <t>Arus kas bersih (untuk) dari aktivitas operasi (384.368) 778.329</t>
        </is>
      </c>
      <c r="J879" t="inlineStr">
        <is>
          <t>High</t>
        </is>
      </c>
      <c r="M879" t="inlineStr">
        <is>
          <t>LLM</t>
        </is>
      </c>
      <c r="N879" t="inlineStr">
        <is>
          <t>2026-04-18</t>
        </is>
      </c>
      <c r="O879" t="inlineStr">
        <is>
          <t>AI</t>
        </is>
      </c>
    </row>
    <row r="880">
      <c r="A880" t="inlineStr">
        <is>
          <t>PT Citra Borneo Utama Tbk</t>
        </is>
      </c>
      <c r="B880" t="inlineStr">
        <is>
          <t>CBUT_2023_AR.pdf</t>
        </is>
      </c>
      <c r="C880" t="n">
        <v>2023</v>
      </c>
      <c r="D880" t="inlineStr">
        <is>
          <t>Financial</t>
        </is>
      </c>
      <c r="E880" t="inlineStr">
        <is>
          <t>CFI (investing cash flow)</t>
        </is>
      </c>
      <c r="F880" t="n">
        <v>-1963.131</v>
      </c>
      <c r="G880" t="inlineStr">
        <is>
          <t>IDR bn</t>
        </is>
      </c>
      <c r="H880" t="n">
        <v>218</v>
      </c>
      <c r="I880" t="inlineStr">
        <is>
          <t>Arus kas bersih (untuk) aktivitas investasi (1.963.131) (314.219)</t>
        </is>
      </c>
      <c r="J880" t="inlineStr">
        <is>
          <t>High</t>
        </is>
      </c>
      <c r="M880" t="inlineStr">
        <is>
          <t>LLM</t>
        </is>
      </c>
      <c r="N880" t="inlineStr">
        <is>
          <t>2026-04-18</t>
        </is>
      </c>
      <c r="O880" t="inlineStr">
        <is>
          <t>AI</t>
        </is>
      </c>
    </row>
    <row r="881">
      <c r="A881" t="inlineStr">
        <is>
          <t>PT Citra Borneo Utama Tbk</t>
        </is>
      </c>
      <c r="B881" t="inlineStr">
        <is>
          <t>CBUT_2023_AR.pdf</t>
        </is>
      </c>
      <c r="C881" t="n">
        <v>2023</v>
      </c>
      <c r="D881" t="inlineStr">
        <is>
          <t>Financial</t>
        </is>
      </c>
      <c r="E881" t="inlineStr">
        <is>
          <t>CFF (financing cash flow)</t>
        </is>
      </c>
      <c r="F881" t="n">
        <v>1792.462</v>
      </c>
      <c r="G881" t="inlineStr">
        <is>
          <t>IDR bn</t>
        </is>
      </c>
      <c r="H881" t="n">
        <v>218</v>
      </c>
      <c r="I881" t="inlineStr">
        <is>
          <t>Arus kas bersih dari aktivitas pendanaan 1.792.462 244.221</t>
        </is>
      </c>
      <c r="J881" t="inlineStr">
        <is>
          <t>High</t>
        </is>
      </c>
      <c r="M881" t="inlineStr">
        <is>
          <t>LLM</t>
        </is>
      </c>
      <c r="N881" t="inlineStr">
        <is>
          <t>2026-04-18</t>
        </is>
      </c>
      <c r="O881" t="inlineStr">
        <is>
          <t>AI</t>
        </is>
      </c>
    </row>
    <row r="882">
      <c r="A882" t="inlineStr">
        <is>
          <t>PT Citra Borneo Utama Tbk</t>
        </is>
      </c>
      <c r="B882" t="inlineStr">
        <is>
          <t>CBUT_2023_AR.pdf</t>
        </is>
      </c>
      <c r="C882" t="n">
        <v>2023</v>
      </c>
      <c r="D882" t="inlineStr">
        <is>
          <t>Financial</t>
        </is>
      </c>
      <c r="E882" t="inlineStr">
        <is>
          <t>Acquisition of fixed assets (capex)</t>
        </is>
      </c>
      <c r="F882" t="n">
        <v>19.183</v>
      </c>
      <c r="G882" t="inlineStr">
        <is>
          <t>IDR bn</t>
        </is>
      </c>
      <c r="H882" t="n">
        <v>218</v>
      </c>
      <c r="I882" t="inlineStr">
        <is>
          <t>Perolehan aset tetap (19.183) (5.568) Acquisition of fixed assets</t>
        </is>
      </c>
      <c r="J882" t="inlineStr">
        <is>
          <t>High</t>
        </is>
      </c>
      <c r="M882" t="inlineStr">
        <is>
          <t>LLM</t>
        </is>
      </c>
      <c r="N882" t="inlineStr">
        <is>
          <t>2026-04-18</t>
        </is>
      </c>
      <c r="O882" t="inlineStr">
        <is>
          <t>AI</t>
        </is>
      </c>
    </row>
    <row r="883">
      <c r="A883" t="inlineStr">
        <is>
          <t>PT Citra Borneo Utama Tbk</t>
        </is>
      </c>
      <c r="B883" t="inlineStr">
        <is>
          <t>CBUT_2023_AR.pdf</t>
        </is>
      </c>
      <c r="C883" t="n">
        <v>2023</v>
      </c>
      <c r="D883" t="inlineStr">
        <is>
          <t>Financial</t>
        </is>
      </c>
      <c r="E883" t="inlineStr">
        <is>
          <t>Closing share price Q4 2023</t>
        </is>
      </c>
      <c r="F883" t="n">
        <v>1765</v>
      </c>
      <c r="G883" t="inlineStr">
        <is>
          <t>IDR/share</t>
        </is>
      </c>
      <c r="H883" t="n">
        <v>12</v>
      </c>
      <c r="I883" t="inlineStr">
        <is>
          <t>Harga Penutupan (Rp) 2.020 2.420 3.100 1.765 Closing Price</t>
        </is>
      </c>
      <c r="J883" t="inlineStr">
        <is>
          <t>High</t>
        </is>
      </c>
      <c r="M883" t="inlineStr">
        <is>
          <t>LLM</t>
        </is>
      </c>
      <c r="N883" t="inlineStr">
        <is>
          <t>2026-04-18</t>
        </is>
      </c>
      <c r="O883" t="inlineStr">
        <is>
          <t>AI</t>
        </is>
      </c>
    </row>
    <row r="884">
      <c r="A884" t="inlineStr">
        <is>
          <t>PT Citra Borneo Utama Tbk</t>
        </is>
      </c>
      <c r="B884" t="inlineStr">
        <is>
          <t>CBUT_2023_AR.pdf</t>
        </is>
      </c>
      <c r="C884" t="n">
        <v>2023</v>
      </c>
      <c r="D884" t="inlineStr">
        <is>
          <t>Financial</t>
        </is>
      </c>
      <c r="E884" t="inlineStr">
        <is>
          <t>Par value per share</t>
        </is>
      </c>
      <c r="F884" t="n">
        <v>100</v>
      </c>
      <c r="G884" t="inlineStr">
        <is>
          <t>IDR/share</t>
        </is>
      </c>
      <c r="H884" t="n">
        <v>215</v>
      </c>
      <c r="I884" t="inlineStr">
        <is>
          <t>dengan nilai nominal Rp 100 per saham (angka penuh)</t>
        </is>
      </c>
      <c r="J884" t="inlineStr">
        <is>
          <t>High</t>
        </is>
      </c>
      <c r="M884" t="inlineStr">
        <is>
          <t>LLM</t>
        </is>
      </c>
      <c r="N884" t="inlineStr">
        <is>
          <t>2026-04-18</t>
        </is>
      </c>
      <c r="O884" t="inlineStr">
        <is>
          <t>AI</t>
        </is>
      </c>
    </row>
    <row r="885">
      <c r="A885" t="inlineStr">
        <is>
          <t>PT Citra Borneo Utama Tbk</t>
        </is>
      </c>
      <c r="B885" t="inlineStr">
        <is>
          <t>CBUT_2023_AR.pdf</t>
        </is>
      </c>
      <c r="C885" t="n">
        <v>2023</v>
      </c>
      <c r="D885" t="inlineStr">
        <is>
          <t>Financial</t>
        </is>
      </c>
      <c r="E885" t="inlineStr">
        <is>
          <t>Depreciation - allocated to COGS</t>
        </is>
      </c>
      <c r="F885" t="n">
        <v>41.286</v>
      </c>
      <c r="G885" t="inlineStr">
        <is>
          <t>IDR bn</t>
        </is>
      </c>
      <c r="I885" t="inlineStr">
        <is>
          <t>Penyusutan aset tetap (Catatan 11) 41.286 40.864</t>
        </is>
      </c>
      <c r="J885" t="inlineStr">
        <is>
          <t>Medium</t>
        </is>
      </c>
      <c r="M885" t="inlineStr">
        <is>
          <t>LLM</t>
        </is>
      </c>
      <c r="N885" t="inlineStr">
        <is>
          <t>2026-04-18</t>
        </is>
      </c>
      <c r="O885" t="inlineStr">
        <is>
          <t>AI</t>
        </is>
      </c>
    </row>
    <row r="886">
      <c r="A886" t="inlineStr">
        <is>
          <t>PT Citra Borneo Utama Tbk</t>
        </is>
      </c>
      <c r="B886" t="inlineStr">
        <is>
          <t>CBUT_2023_AR.pdf</t>
        </is>
      </c>
      <c r="C886" t="n">
        <v>2023</v>
      </c>
      <c r="D886" t="inlineStr">
        <is>
          <t>Financial</t>
        </is>
      </c>
      <c r="E886" t="inlineStr">
        <is>
          <t>Depreciation - operating expenses</t>
        </is>
      </c>
      <c r="F886" t="n">
        <v>0.861</v>
      </c>
      <c r="G886" t="inlineStr">
        <is>
          <t>IDR bn</t>
        </is>
      </c>
      <c r="I886" t="inlineStr">
        <is>
          <t>Penyusutan aset tetap (Catatan 11) 861 372</t>
        </is>
      </c>
      <c r="J886" t="inlineStr">
        <is>
          <t>Medium</t>
        </is>
      </c>
      <c r="M886" t="inlineStr">
        <is>
          <t>LLM</t>
        </is>
      </c>
      <c r="N886" t="inlineStr">
        <is>
          <t>2026-04-18</t>
        </is>
      </c>
      <c r="O886" t="inlineStr">
        <is>
          <t>AI</t>
        </is>
      </c>
    </row>
    <row r="887">
      <c r="A887" t="inlineStr">
        <is>
          <t>PT Citra Borneo Utama Tbk</t>
        </is>
      </c>
      <c r="B887" t="inlineStr">
        <is>
          <t>CBUT_2023_AR.pdf</t>
        </is>
      </c>
      <c r="C887" t="n">
        <v>2023</v>
      </c>
      <c r="D887" t="inlineStr">
        <is>
          <t>Financial</t>
        </is>
      </c>
      <c r="E887" t="inlineStr">
        <is>
          <t>Dividend paid 2023</t>
        </is>
      </c>
      <c r="F887" t="n">
        <v>0</v>
      </c>
      <c r="G887" t="inlineStr">
        <is>
          <t>IDR bn</t>
        </is>
      </c>
      <c r="H887" t="n">
        <v>119</v>
      </c>
      <c r="I887" t="inlineStr">
        <is>
          <t>Pada tahun 2023, Perseroan belum membagikan dividen kepada para pemegang saham.</t>
        </is>
      </c>
      <c r="J887" t="inlineStr">
        <is>
          <t>High</t>
        </is>
      </c>
      <c r="M887" t="inlineStr">
        <is>
          <t>LLM</t>
        </is>
      </c>
      <c r="N887" t="inlineStr">
        <is>
          <t>2026-04-18</t>
        </is>
      </c>
      <c r="O887" t="inlineStr">
        <is>
          <t>AI</t>
        </is>
      </c>
    </row>
    <row r="888">
      <c r="A888" t="inlineStr">
        <is>
          <t>PT Citra Borneo Utama Tbk</t>
        </is>
      </c>
      <c r="B888" t="inlineStr">
        <is>
          <t>CBUT_2023_AR.pdf</t>
        </is>
      </c>
      <c r="C888" t="n">
        <v>2023</v>
      </c>
      <c r="D888" t="inlineStr">
        <is>
          <t>Asset</t>
        </is>
      </c>
      <c r="E888" t="inlineStr">
        <is>
          <t>CPO refinery capacity</t>
        </is>
      </c>
      <c r="F888" t="n">
        <v>2500</v>
      </c>
      <c r="G888" t="inlineStr">
        <is>
          <t>tons/day</t>
        </is>
      </c>
      <c r="H888" t="n">
        <v>103</v>
      </c>
      <c r="I888" t="inlineStr">
        <is>
          <t>pabrik refinery dan fraksinasi yang masing-masing memiliki total kapasitas produksi sebesar 2.500 ton CPO per hari atau 850.000 ton CPO per tahun</t>
        </is>
      </c>
      <c r="J888" t="inlineStr">
        <is>
          <t>High</t>
        </is>
      </c>
      <c r="M888" t="inlineStr">
        <is>
          <t>LLM</t>
        </is>
      </c>
      <c r="N888" t="inlineStr">
        <is>
          <t>2026-04-18</t>
        </is>
      </c>
      <c r="O888" t="inlineStr">
        <is>
          <t>AI</t>
        </is>
      </c>
    </row>
    <row r="889">
      <c r="A889" t="inlineStr">
        <is>
          <t>PT Citra Borneo Utama Tbk</t>
        </is>
      </c>
      <c r="B889" t="inlineStr">
        <is>
          <t>CBUT_2023_AR.pdf</t>
        </is>
      </c>
      <c r="C889" t="n">
        <v>2023</v>
      </c>
      <c r="D889" t="inlineStr">
        <is>
          <t>Asset</t>
        </is>
      </c>
      <c r="E889" t="inlineStr">
        <is>
          <t>Fractionation capacity</t>
        </is>
      </c>
      <c r="F889" t="n">
        <v>2500</v>
      </c>
      <c r="G889" t="inlineStr">
        <is>
          <t>tons/day</t>
        </is>
      </c>
      <c r="H889" t="n">
        <v>103</v>
      </c>
      <c r="I889" t="inlineStr">
        <is>
          <t>2.500 ton RBDPO per hari atau 850.000 MT RBDPO per tahun</t>
        </is>
      </c>
      <c r="J889" t="inlineStr">
        <is>
          <t>High</t>
        </is>
      </c>
      <c r="M889" t="inlineStr">
        <is>
          <t>LLM</t>
        </is>
      </c>
      <c r="N889" t="inlineStr">
        <is>
          <t>2026-04-18</t>
        </is>
      </c>
      <c r="O889" t="inlineStr">
        <is>
          <t>AI</t>
        </is>
      </c>
    </row>
    <row r="890">
      <c r="A890" t="inlineStr">
        <is>
          <t>PT Citra Borneo Utama Tbk</t>
        </is>
      </c>
      <c r="B890" t="inlineStr">
        <is>
          <t>CBUT_2023_AR.pdf</t>
        </is>
      </c>
      <c r="C890" t="n">
        <v>2023</v>
      </c>
      <c r="D890" t="inlineStr">
        <is>
          <t>Asset</t>
        </is>
      </c>
      <c r="E890" t="inlineStr">
        <is>
          <t>Kernel crushing capacity</t>
        </is>
      </c>
      <c r="F890" t="n">
        <v>600</v>
      </c>
      <c r="G890" t="inlineStr">
        <is>
          <t>tons/day</t>
        </is>
      </c>
      <c r="H890" t="n">
        <v>104</v>
      </c>
      <c r="I890" t="inlineStr">
        <is>
          <t>Perseroan juga memiliki pabrik kernel crushing dengan total kapasitas sebesar 600 MT kernel per hari atau 192.000 MT kernel per tahun</t>
        </is>
      </c>
      <c r="J890" t="inlineStr">
        <is>
          <t>High</t>
        </is>
      </c>
      <c r="M890" t="inlineStr">
        <is>
          <t>LLM</t>
        </is>
      </c>
      <c r="N890" t="inlineStr">
        <is>
          <t>2026-04-18</t>
        </is>
      </c>
      <c r="O890" t="inlineStr">
        <is>
          <t>AI</t>
        </is>
      </c>
    </row>
    <row r="891">
      <c r="A891" t="inlineStr">
        <is>
          <t>PT Citra Borneo Utama Tbk</t>
        </is>
      </c>
      <c r="B891" t="inlineStr">
        <is>
          <t>CBUT_2023_AR.pdf</t>
        </is>
      </c>
      <c r="C891" t="n">
        <v>2023</v>
      </c>
      <c r="D891" t="inlineStr">
        <is>
          <t>Asset</t>
        </is>
      </c>
      <c r="E891" t="inlineStr">
        <is>
          <t>CPO storage capacity</t>
        </is>
      </c>
      <c r="F891" t="n">
        <v>28000</v>
      </c>
      <c r="G891" t="inlineStr">
        <is>
          <t>tons</t>
        </is>
      </c>
      <c r="H891" t="n">
        <v>103</v>
      </c>
      <c r="I891" t="inlineStr">
        <is>
          <t>Kapasitas Penyimpanan CPO (ton) 28.000 28.000</t>
        </is>
      </c>
      <c r="J891" t="inlineStr">
        <is>
          <t>High</t>
        </is>
      </c>
      <c r="M891" t="inlineStr">
        <is>
          <t>LLM</t>
        </is>
      </c>
      <c r="N891" t="inlineStr">
        <is>
          <t>2026-04-18</t>
        </is>
      </c>
      <c r="O891" t="inlineStr">
        <is>
          <t>AI</t>
        </is>
      </c>
    </row>
    <row r="892">
      <c r="A892" t="inlineStr">
        <is>
          <t>PT Citra Borneo Utama Tbk</t>
        </is>
      </c>
      <c r="B892" t="inlineStr">
        <is>
          <t>CBUT_2023_AR.pdf</t>
        </is>
      </c>
      <c r="C892" t="n">
        <v>2023</v>
      </c>
      <c r="D892" t="inlineStr">
        <is>
          <t>Asset</t>
        </is>
      </c>
      <c r="E892" t="inlineStr">
        <is>
          <t>RBDPO storage capacity</t>
        </is>
      </c>
      <c r="F892" t="n">
        <v>17000</v>
      </c>
      <c r="G892" t="inlineStr">
        <is>
          <t>tons</t>
        </is>
      </c>
      <c r="H892" t="n">
        <v>103</v>
      </c>
      <c r="I892" t="inlineStr">
        <is>
          <t>Kapasitas Penyimpanan RBDPO (ton) 17.000</t>
        </is>
      </c>
      <c r="J892" t="inlineStr">
        <is>
          <t>High</t>
        </is>
      </c>
      <c r="M892" t="inlineStr">
        <is>
          <t>LLM</t>
        </is>
      </c>
      <c r="N892" t="inlineStr">
        <is>
          <t>2026-04-18</t>
        </is>
      </c>
      <c r="O892" t="inlineStr">
        <is>
          <t>AI</t>
        </is>
      </c>
    </row>
    <row r="893">
      <c r="A893" t="inlineStr">
        <is>
          <t>PT Citra Borneo Utama Tbk</t>
        </is>
      </c>
      <c r="B893" t="inlineStr">
        <is>
          <t>CBUT_2023_AR.pdf</t>
        </is>
      </c>
      <c r="C893" t="n">
        <v>2023</v>
      </c>
      <c r="D893" t="inlineStr">
        <is>
          <t>Operation</t>
        </is>
      </c>
      <c r="E893" t="inlineStr">
        <is>
          <t>Refinery CPO yield RBDPO</t>
        </is>
      </c>
      <c r="F893" t="n">
        <v>0.9576</v>
      </c>
      <c r="G893" t="inlineStr">
        <is>
          <t>ratio</t>
        </is>
      </c>
      <c r="H893" t="n">
        <v>103</v>
      </c>
      <c r="I893" t="inlineStr">
        <is>
          <t>RBDPO 95,76% 95,58%</t>
        </is>
      </c>
      <c r="J893" t="inlineStr">
        <is>
          <t>High</t>
        </is>
      </c>
      <c r="M893" t="inlineStr">
        <is>
          <t>LLM</t>
        </is>
      </c>
      <c r="N893" t="inlineStr">
        <is>
          <t>2026-04-18</t>
        </is>
      </c>
      <c r="O893" t="inlineStr">
        <is>
          <t>AI</t>
        </is>
      </c>
    </row>
    <row r="894">
      <c r="A894" t="inlineStr">
        <is>
          <t>PT Citra Borneo Utama Tbk</t>
        </is>
      </c>
      <c r="B894" t="inlineStr">
        <is>
          <t>CBUT_2023_AR.pdf</t>
        </is>
      </c>
      <c r="C894" t="n">
        <v>2023</v>
      </c>
      <c r="D894" t="inlineStr">
        <is>
          <t>Operation</t>
        </is>
      </c>
      <c r="E894" t="inlineStr">
        <is>
          <t>Refinery CPO yield PFAD</t>
        </is>
      </c>
      <c r="F894" t="n">
        <v>0.0376</v>
      </c>
      <c r="G894" t="inlineStr">
        <is>
          <t>ratio</t>
        </is>
      </c>
      <c r="H894" t="n">
        <v>103</v>
      </c>
      <c r="I894" t="inlineStr">
        <is>
          <t>PFAD 3,76% 3,97%</t>
        </is>
      </c>
      <c r="J894" t="inlineStr">
        <is>
          <t>High</t>
        </is>
      </c>
      <c r="M894" t="inlineStr">
        <is>
          <t>LLM</t>
        </is>
      </c>
      <c r="N894" t="inlineStr">
        <is>
          <t>2026-04-18</t>
        </is>
      </c>
      <c r="O894" t="inlineStr">
        <is>
          <t>AI</t>
        </is>
      </c>
    </row>
    <row r="895">
      <c r="A895" t="inlineStr">
        <is>
          <t>PT Citra Borneo Utama Tbk</t>
        </is>
      </c>
      <c r="B895" t="inlineStr">
        <is>
          <t>CBUT_2023_AR.pdf</t>
        </is>
      </c>
      <c r="C895" t="n">
        <v>2023</v>
      </c>
      <c r="D895" t="inlineStr">
        <is>
          <t>Operation</t>
        </is>
      </c>
      <c r="E895" t="inlineStr">
        <is>
          <t>Refinery utilization</t>
        </is>
      </c>
      <c r="F895" t="n">
        <v>0.9177</v>
      </c>
      <c r="G895" t="inlineStr">
        <is>
          <t>ratio</t>
        </is>
      </c>
      <c r="H895" t="n">
        <v>103</v>
      </c>
      <c r="I895" t="inlineStr">
        <is>
          <t>Utilisasi 91,77% 63,44%</t>
        </is>
      </c>
      <c r="J895" t="inlineStr">
        <is>
          <t>High</t>
        </is>
      </c>
      <c r="M895" t="inlineStr">
        <is>
          <t>LLM</t>
        </is>
      </c>
      <c r="N895" t="inlineStr">
        <is>
          <t>2026-04-18</t>
        </is>
      </c>
      <c r="O895" t="inlineStr">
        <is>
          <t>AI</t>
        </is>
      </c>
    </row>
    <row r="896">
      <c r="A896" t="inlineStr">
        <is>
          <t>PT Citra Borneo Utama Tbk</t>
        </is>
      </c>
      <c r="B896" t="inlineStr">
        <is>
          <t>CBUT_2023_AR.pdf</t>
        </is>
      </c>
      <c r="C896" t="n">
        <v>2023</v>
      </c>
      <c r="D896" t="inlineStr">
        <is>
          <t>Operation</t>
        </is>
      </c>
      <c r="E896" t="inlineStr">
        <is>
          <t>Fractionation Olein yield</t>
        </is>
      </c>
      <c r="F896" t="n">
        <v>0.8101</v>
      </c>
      <c r="G896" t="inlineStr">
        <is>
          <t>ratio</t>
        </is>
      </c>
      <c r="H896" t="n">
        <v>103</v>
      </c>
      <c r="I896" t="inlineStr">
        <is>
          <t>Olein 81,01% 82,34%</t>
        </is>
      </c>
      <c r="J896" t="inlineStr">
        <is>
          <t>High</t>
        </is>
      </c>
      <c r="M896" t="inlineStr">
        <is>
          <t>LLM</t>
        </is>
      </c>
      <c r="N896" t="inlineStr">
        <is>
          <t>2026-04-18</t>
        </is>
      </c>
      <c r="O896" t="inlineStr">
        <is>
          <t>AI</t>
        </is>
      </c>
    </row>
    <row r="897">
      <c r="A897" t="inlineStr">
        <is>
          <t>PT Citra Borneo Utama Tbk</t>
        </is>
      </c>
      <c r="B897" t="inlineStr">
        <is>
          <t>CBUT_2023_AR.pdf</t>
        </is>
      </c>
      <c r="C897" t="n">
        <v>2023</v>
      </c>
      <c r="D897" t="inlineStr">
        <is>
          <t>Operation</t>
        </is>
      </c>
      <c r="E897" t="inlineStr">
        <is>
          <t>Fractionation Stearin yield</t>
        </is>
      </c>
      <c r="F897" t="n">
        <v>0.1899</v>
      </c>
      <c r="G897" t="inlineStr">
        <is>
          <t>ratio</t>
        </is>
      </c>
      <c r="H897" t="n">
        <v>103</v>
      </c>
      <c r="I897" t="inlineStr">
        <is>
          <t>Stearin 18,99% 17,66%</t>
        </is>
      </c>
      <c r="J897" t="inlineStr">
        <is>
          <t>High</t>
        </is>
      </c>
      <c r="M897" t="inlineStr">
        <is>
          <t>LLM</t>
        </is>
      </c>
      <c r="N897" t="inlineStr">
        <is>
          <t>2026-04-18</t>
        </is>
      </c>
      <c r="O897" t="inlineStr">
        <is>
          <t>AI</t>
        </is>
      </c>
    </row>
    <row r="898">
      <c r="A898" t="inlineStr">
        <is>
          <t>PT Citra Borneo Utama Tbk</t>
        </is>
      </c>
      <c r="B898" t="inlineStr">
        <is>
          <t>CBUT_2023_AR.pdf</t>
        </is>
      </c>
      <c r="C898" t="n">
        <v>2023</v>
      </c>
      <c r="D898" t="inlineStr">
        <is>
          <t>Operation</t>
        </is>
      </c>
      <c r="E898" t="inlineStr">
        <is>
          <t>Total production 2023</t>
        </is>
      </c>
      <c r="F898" t="n">
        <v>780010</v>
      </c>
      <c r="G898" t="inlineStr">
        <is>
          <t>MT</t>
        </is>
      </c>
      <c r="H898" t="n">
        <v>118</v>
      </c>
      <c r="I898" t="inlineStr">
        <is>
          <t>Total Produksi Perseroan per 31 Desember 2023 tercatat sebesar 780.010 MT atau tidak tercapai sebesar 8,23% terhadap target</t>
        </is>
      </c>
      <c r="J898" t="inlineStr">
        <is>
          <t>High</t>
        </is>
      </c>
      <c r="M898" t="inlineStr">
        <is>
          <t>LLM</t>
        </is>
      </c>
      <c r="N898" t="inlineStr">
        <is>
          <t>2026-04-18</t>
        </is>
      </c>
      <c r="O898" t="inlineStr">
        <is>
          <t>AI</t>
        </is>
      </c>
    </row>
    <row r="899">
      <c r="A899" t="inlineStr">
        <is>
          <t>PT Citra Borneo Utama Tbk</t>
        </is>
      </c>
      <c r="B899" t="inlineStr">
        <is>
          <t>CBUT_2023_AR.pdf</t>
        </is>
      </c>
      <c r="C899" t="n">
        <v>2023</v>
      </c>
      <c r="D899" t="inlineStr">
        <is>
          <t>Operation</t>
        </is>
      </c>
      <c r="E899" t="inlineStr">
        <is>
          <t>Sales - Palm Olein</t>
        </is>
      </c>
      <c r="F899" t="n">
        <v>7296.891</v>
      </c>
      <c r="G899" t="inlineStr">
        <is>
          <t>IDR bn</t>
        </is>
      </c>
      <c r="H899" t="n">
        <v>107</v>
      </c>
      <c r="I899" t="inlineStr">
        <is>
          <t>Palm Olein 7.296.891 5.886.001 4.564.211</t>
        </is>
      </c>
      <c r="J899" t="inlineStr">
        <is>
          <t>High</t>
        </is>
      </c>
      <c r="M899" t="inlineStr">
        <is>
          <t>LLM</t>
        </is>
      </c>
      <c r="N899" t="inlineStr">
        <is>
          <t>2026-04-18</t>
        </is>
      </c>
      <c r="O899" t="inlineStr">
        <is>
          <t>AI</t>
        </is>
      </c>
    </row>
    <row r="900">
      <c r="A900" t="inlineStr">
        <is>
          <t>PT Citra Borneo Utama Tbk</t>
        </is>
      </c>
      <c r="B900" t="inlineStr">
        <is>
          <t>CBUT_2023_AR.pdf</t>
        </is>
      </c>
      <c r="C900" t="n">
        <v>2023</v>
      </c>
      <c r="D900" t="inlineStr">
        <is>
          <t>Operation</t>
        </is>
      </c>
      <c r="E900" t="inlineStr">
        <is>
          <t>Sales - RBDPO</t>
        </is>
      </c>
      <c r="F900" t="n">
        <v>293.213</v>
      </c>
      <c r="G900" t="inlineStr">
        <is>
          <t>IDR bn</t>
        </is>
      </c>
      <c r="H900" t="n">
        <v>107</v>
      </c>
      <c r="I900" t="inlineStr">
        <is>
          <t>Refine, Bleached And Deodorized Palm Oil (RBDPO) 293.213 1.247.898 2.705.745</t>
        </is>
      </c>
      <c r="J900" t="inlineStr">
        <is>
          <t>High</t>
        </is>
      </c>
      <c r="M900" t="inlineStr">
        <is>
          <t>LLM</t>
        </is>
      </c>
      <c r="N900" t="inlineStr">
        <is>
          <t>2026-04-18</t>
        </is>
      </c>
      <c r="O900" t="inlineStr">
        <is>
          <t>AI</t>
        </is>
      </c>
    </row>
    <row r="901">
      <c r="A901" t="inlineStr">
        <is>
          <t>PT Citra Borneo Utama Tbk</t>
        </is>
      </c>
      <c r="B901" t="inlineStr">
        <is>
          <t>CBUT_2023_AR.pdf</t>
        </is>
      </c>
      <c r="C901" t="n">
        <v>2023</v>
      </c>
      <c r="D901" t="inlineStr">
        <is>
          <t>Operation</t>
        </is>
      </c>
      <c r="E901" t="inlineStr">
        <is>
          <t>Sales - Palm Stearin</t>
        </is>
      </c>
      <c r="F901" t="n">
        <v>1702.665</v>
      </c>
      <c r="G901" t="inlineStr">
        <is>
          <t>IDR bn</t>
        </is>
      </c>
      <c r="H901" t="n">
        <v>107</v>
      </c>
      <c r="I901" t="inlineStr">
        <is>
          <t>Palm Stearin 1.702.665 1.203.918 924.217</t>
        </is>
      </c>
      <c r="J901" t="inlineStr">
        <is>
          <t>High</t>
        </is>
      </c>
      <c r="M901" t="inlineStr">
        <is>
          <t>LLM</t>
        </is>
      </c>
      <c r="N901" t="inlineStr">
        <is>
          <t>2026-04-18</t>
        </is>
      </c>
      <c r="O901" t="inlineStr">
        <is>
          <t>AI</t>
        </is>
      </c>
    </row>
    <row r="902">
      <c r="A902" t="inlineStr">
        <is>
          <t>PT Citra Borneo Utama Tbk</t>
        </is>
      </c>
      <c r="B902" t="inlineStr">
        <is>
          <t>CBUT_2023_AR.pdf</t>
        </is>
      </c>
      <c r="C902" t="n">
        <v>2023</v>
      </c>
      <c r="D902" t="inlineStr">
        <is>
          <t>Operation</t>
        </is>
      </c>
      <c r="E902" t="inlineStr">
        <is>
          <t>Sales - Palm Kernel Oil (CPKO)</t>
        </is>
      </c>
      <c r="F902" t="n">
        <v>285.994</v>
      </c>
      <c r="G902" t="inlineStr">
        <is>
          <t>IDR bn</t>
        </is>
      </c>
      <c r="H902" t="n">
        <v>107</v>
      </c>
      <c r="I902" t="inlineStr">
        <is>
          <t>Minyak Inti Sawit 285.994 524.959 165.243 Palm Kernel Oil</t>
        </is>
      </c>
      <c r="J902" t="inlineStr">
        <is>
          <t>High</t>
        </is>
      </c>
      <c r="M902" t="inlineStr">
        <is>
          <t>LLM</t>
        </is>
      </c>
      <c r="N902" t="inlineStr">
        <is>
          <t>2026-04-18</t>
        </is>
      </c>
      <c r="O902" t="inlineStr">
        <is>
          <t>AI</t>
        </is>
      </c>
    </row>
    <row r="903">
      <c r="A903" t="inlineStr">
        <is>
          <t>PT Citra Borneo Utama Tbk</t>
        </is>
      </c>
      <c r="B903" t="inlineStr">
        <is>
          <t>CBUT_2023_AR.pdf</t>
        </is>
      </c>
      <c r="C903" t="n">
        <v>2023</v>
      </c>
      <c r="D903" t="inlineStr">
        <is>
          <t>Operation</t>
        </is>
      </c>
      <c r="E903" t="inlineStr">
        <is>
          <t>Sales - PFAD</t>
        </is>
      </c>
      <c r="F903" t="n">
        <v>346.266</v>
      </c>
      <c r="G903" t="inlineStr">
        <is>
          <t>IDR bn</t>
        </is>
      </c>
      <c r="H903" t="n">
        <v>107</v>
      </c>
      <c r="I903" t="inlineStr">
        <is>
          <t>Asam Lemak Sawit Distilat 346.266 387.885 288.147 Palm Fatty Acid Distillate</t>
        </is>
      </c>
      <c r="J903" t="inlineStr">
        <is>
          <t>High</t>
        </is>
      </c>
      <c r="M903" t="inlineStr">
        <is>
          <t>LLM</t>
        </is>
      </c>
      <c r="N903" t="inlineStr">
        <is>
          <t>2026-04-18</t>
        </is>
      </c>
      <c r="O903" t="inlineStr">
        <is>
          <t>AI</t>
        </is>
      </c>
    </row>
    <row r="904">
      <c r="A904" t="inlineStr">
        <is>
          <t>PT Citra Borneo Utama Tbk</t>
        </is>
      </c>
      <c r="B904" t="inlineStr">
        <is>
          <t>CBUT_2023_AR.pdf</t>
        </is>
      </c>
      <c r="C904" t="n">
        <v>2023</v>
      </c>
      <c r="D904" t="inlineStr">
        <is>
          <t>Operation</t>
        </is>
      </c>
      <c r="E904" t="inlineStr">
        <is>
          <t>Export sales 2023</t>
        </is>
      </c>
      <c r="F904" t="n">
        <v>7992.965</v>
      </c>
      <c r="G904" t="inlineStr">
        <is>
          <t>IDR bn</t>
        </is>
      </c>
      <c r="H904" t="n">
        <v>108</v>
      </c>
      <c r="I904" t="inlineStr">
        <is>
          <t>Luar negeri 7.992.965 7.269.950 7.365.501 Overseas</t>
        </is>
      </c>
      <c r="J904" t="inlineStr">
        <is>
          <t>High</t>
        </is>
      </c>
      <c r="M904" t="inlineStr">
        <is>
          <t>LLM</t>
        </is>
      </c>
      <c r="N904" t="inlineStr">
        <is>
          <t>2026-04-18</t>
        </is>
      </c>
      <c r="O904" t="inlineStr">
        <is>
          <t>AI</t>
        </is>
      </c>
    </row>
    <row r="905">
      <c r="A905" t="inlineStr">
        <is>
          <t>PT Citra Borneo Utama Tbk</t>
        </is>
      </c>
      <c r="B905" t="inlineStr">
        <is>
          <t>CBUT_2023_AR.pdf</t>
        </is>
      </c>
      <c r="C905" t="n">
        <v>2023</v>
      </c>
      <c r="D905" t="inlineStr">
        <is>
          <t>Operation</t>
        </is>
      </c>
      <c r="E905" t="inlineStr">
        <is>
          <t>Domestic sales 2023</t>
        </is>
      </c>
      <c r="F905" t="n">
        <v>2326.472</v>
      </c>
      <c r="G905" t="inlineStr">
        <is>
          <t>IDR bn</t>
        </is>
      </c>
      <c r="H905" t="n">
        <v>108</v>
      </c>
      <c r="I905" t="inlineStr">
        <is>
          <t>Dalam Negeri 2.326.472 2.349.317 1.296.820 Domestic</t>
        </is>
      </c>
      <c r="J905" t="inlineStr">
        <is>
          <t>High</t>
        </is>
      </c>
      <c r="M905" t="inlineStr">
        <is>
          <t>LLM</t>
        </is>
      </c>
      <c r="N905" t="inlineStr">
        <is>
          <t>2026-04-18</t>
        </is>
      </c>
      <c r="O905" t="inlineStr">
        <is>
          <t>AI</t>
        </is>
      </c>
    </row>
    <row r="906">
      <c r="A906" t="inlineStr">
        <is>
          <t>PT Citra Borneo Utama Tbk</t>
        </is>
      </c>
      <c r="B906" t="inlineStr">
        <is>
          <t>CBUT_2023_AR.pdf</t>
        </is>
      </c>
      <c r="C906" t="n">
        <v>2023</v>
      </c>
      <c r="D906" t="inlineStr">
        <is>
          <t>Operation</t>
        </is>
      </c>
      <c r="E906" t="inlineStr">
        <is>
          <t>2024 production target</t>
        </is>
      </c>
      <c r="F906" t="n">
        <v>1079726</v>
      </c>
      <c r="G906" t="inlineStr">
        <is>
          <t>MT</t>
        </is>
      </c>
      <c r="H906" t="n">
        <v>118</v>
      </c>
      <c r="I906" t="inlineStr">
        <is>
          <t>Produksi, di tahun 2024, diproyeksikan sebesar 1.079.726 MT</t>
        </is>
      </c>
      <c r="J906" t="inlineStr">
        <is>
          <t>High</t>
        </is>
      </c>
      <c r="M906" t="inlineStr">
        <is>
          <t>LLM</t>
        </is>
      </c>
      <c r="N906" t="inlineStr">
        <is>
          <t>2026-04-18</t>
        </is>
      </c>
      <c r="O906" t="inlineStr">
        <is>
          <t>AI</t>
        </is>
      </c>
    </row>
    <row r="907">
      <c r="A907" t="inlineStr">
        <is>
          <t>PT Citra Borneo Utama Tbk</t>
        </is>
      </c>
      <c r="B907" t="inlineStr">
        <is>
          <t>CBUT_2023_AR.pdf</t>
        </is>
      </c>
      <c r="C907" t="n">
        <v>2023</v>
      </c>
      <c r="D907" t="inlineStr">
        <is>
          <t>ESG</t>
        </is>
      </c>
      <c r="E907" t="inlineStr">
        <is>
          <t>Halal certifications</t>
        </is>
      </c>
      <c r="F907" t="inlineStr">
        <is>
          <t>RBDPO, RBDPKO, PFAD, RBD Palm Olein, RBD Palm Stearin</t>
        </is>
      </c>
      <c r="G907" t="inlineStr">
        <is>
          <t>text</t>
        </is>
      </c>
      <c r="I907" t="inlineStr">
        <is>
          <t>LPPOM MUI Halal certification for RBDPO, RBDPKO, PFAD, RBD Palm Olein, RBD Palm Sterain</t>
        </is>
      </c>
      <c r="J907" t="inlineStr">
        <is>
          <t>High</t>
        </is>
      </c>
      <c r="M907" t="inlineStr">
        <is>
          <t>LLM</t>
        </is>
      </c>
      <c r="N907" t="inlineStr">
        <is>
          <t>2026-04-18</t>
        </is>
      </c>
      <c r="O907" t="inlineStr">
        <is>
          <t>AI</t>
        </is>
      </c>
    </row>
    <row r="908">
      <c r="A908" t="inlineStr">
        <is>
          <t>PT Citra Borneo Utama Tbk</t>
        </is>
      </c>
      <c r="B908" t="inlineStr">
        <is>
          <t>CBUT_2023_AR.pdf</t>
        </is>
      </c>
      <c r="C908" t="n">
        <v>2023</v>
      </c>
      <c r="D908" t="inlineStr">
        <is>
          <t>Other</t>
        </is>
      </c>
      <c r="E908" t="inlineStr">
        <is>
          <t>Refinery Plant 2 groundbreaking</t>
        </is>
      </c>
      <c r="F908" t="inlineStr">
        <is>
          <t>2023-09-07</t>
        </is>
      </c>
      <c r="G908" t="inlineStr">
        <is>
          <t>date</t>
        </is>
      </c>
      <c r="H908" t="n">
        <v>15</v>
      </c>
      <c r="I908" t="inlineStr">
        <is>
          <t>Dalam upaya meningkatkan kapasitas pabrik Perseroan, pada tanggal 7 September... Groundbreaking Ceremony Physical Refinary Plant 1500 ton per day (TPD) dan Dry Fractionation Plant 1000 TPD</t>
        </is>
      </c>
      <c r="J908" t="inlineStr">
        <is>
          <t>High</t>
        </is>
      </c>
      <c r="M908" t="inlineStr">
        <is>
          <t>LLM</t>
        </is>
      </c>
      <c r="N908" t="inlineStr">
        <is>
          <t>2026-04-18</t>
        </is>
      </c>
      <c r="O908" t="inlineStr">
        <is>
          <t>AI</t>
        </is>
      </c>
    </row>
    <row r="909">
      <c r="A909" t="inlineStr">
        <is>
          <t>PT Citra Borneo Utama Tbk</t>
        </is>
      </c>
      <c r="B909" t="inlineStr">
        <is>
          <t>CBUT_2023_AR.pdf</t>
        </is>
      </c>
      <c r="C909" t="n">
        <v>2023</v>
      </c>
      <c r="D909" t="inlineStr">
        <is>
          <t>Other</t>
        </is>
      </c>
      <c r="E909" t="inlineStr">
        <is>
          <t>2024 revenue projection</t>
        </is>
      </c>
      <c r="F909" t="n">
        <v>13811.146</v>
      </c>
      <c r="G909" t="inlineStr">
        <is>
          <t>IDR bn</t>
        </is>
      </c>
      <c r="H909" t="n">
        <v>118</v>
      </c>
      <c r="I909" t="inlineStr">
        <is>
          <t>total penjualan sebesar Rp13.811.146 juta... 2024 Projections</t>
        </is>
      </c>
      <c r="J909" t="inlineStr">
        <is>
          <t>High</t>
        </is>
      </c>
      <c r="M909" t="inlineStr">
        <is>
          <t>LLM</t>
        </is>
      </c>
      <c r="N909" t="inlineStr">
        <is>
          <t>2026-04-18</t>
        </is>
      </c>
      <c r="O909" t="inlineStr">
        <is>
          <t>AI</t>
        </is>
      </c>
    </row>
    <row r="910">
      <c r="A910" t="inlineStr">
        <is>
          <t>PT Citra Borneo Utama Tbk</t>
        </is>
      </c>
      <c r="B910" t="inlineStr">
        <is>
          <t>CBUT_2023_AR.pdf</t>
        </is>
      </c>
      <c r="C910" t="n">
        <v>2023</v>
      </c>
      <c r="D910" t="inlineStr">
        <is>
          <t>Other</t>
        </is>
      </c>
      <c r="E910" t="inlineStr">
        <is>
          <t>2024 net profit projection</t>
        </is>
      </c>
      <c r="F910" t="n">
        <v>349.743</v>
      </c>
      <c r="G910" t="inlineStr">
        <is>
          <t>IDR bn</t>
        </is>
      </c>
      <c r="H910" t="n">
        <v>118</v>
      </c>
      <c r="I910" t="inlineStr">
        <is>
          <t>laba bersih Perseroan untuk tahun 2024, diproyeksikan sebesar Rp349.743 juta</t>
        </is>
      </c>
      <c r="J910" t="inlineStr">
        <is>
          <t>High</t>
        </is>
      </c>
      <c r="M910" t="inlineStr">
        <is>
          <t>LLM</t>
        </is>
      </c>
      <c r="N910" t="inlineStr">
        <is>
          <t>2026-04-18</t>
        </is>
      </c>
      <c r="O910" t="inlineStr">
        <is>
          <t>AI</t>
        </is>
      </c>
    </row>
    <row r="911">
      <c r="A911" t="inlineStr">
        <is>
          <t>PT Citra Borneo Utama Tbk</t>
        </is>
      </c>
      <c r="B911" t="inlineStr">
        <is>
          <t>CBUT_2023_AR.pdf</t>
        </is>
      </c>
      <c r="C911" t="n">
        <v>2023</v>
      </c>
      <c r="D911" t="inlineStr">
        <is>
          <t>Other</t>
        </is>
      </c>
      <c r="E911" t="inlineStr">
        <is>
          <t>Main credit facility</t>
        </is>
      </c>
      <c r="F911" t="inlineStr">
        <is>
          <t>BNI cash collateral + BRI Transaksional Khusus/KMK/Forex</t>
        </is>
      </c>
      <c r="G911" t="inlineStr">
        <is>
          <t>text</t>
        </is>
      </c>
      <c r="H911" t="n">
        <v>15</v>
      </c>
      <c r="I911" t="inlineStr">
        <is>
          <t>Penandatanganan Perjanjian Pemberian Cash Collateral Credit Devisa Hasil Ekspor... PT Bank Negara Indonesia (Persero) Tbk dengan nilai Maksimum Kredit sebesar Rp750.000.000.000</t>
        </is>
      </c>
      <c r="J911" t="inlineStr">
        <is>
          <t>High</t>
        </is>
      </c>
      <c r="M911" t="inlineStr">
        <is>
          <t>LLM</t>
        </is>
      </c>
      <c r="N911" t="inlineStr">
        <is>
          <t>2026-04-18</t>
        </is>
      </c>
      <c r="O911" t="inlineStr">
        <is>
          <t>AI</t>
        </is>
      </c>
    </row>
    <row r="912">
      <c r="A912" t="inlineStr">
        <is>
          <t>PT Citra Borneo Utama Tbk</t>
        </is>
      </c>
      <c r="B912" t="inlineStr">
        <is>
          <t>CBUT_2024_AR.pdf</t>
        </is>
      </c>
      <c r="C912" t="n">
        <v>2024</v>
      </c>
      <c r="D912" t="inlineStr">
        <is>
          <t>Company</t>
        </is>
      </c>
      <c r="E912" t="inlineStr">
        <is>
          <t>Business model</t>
        </is>
      </c>
      <c r="F912" t="inlineStr">
        <is>
          <t>Downstream palm oil refinery (no upstream plantation)</t>
        </is>
      </c>
      <c r="G912" t="inlineStr">
        <is>
          <t>text</t>
        </is>
      </c>
      <c r="H912" t="n">
        <v>50</v>
      </c>
      <c r="I912" t="inlineStr">
        <is>
          <t>Perseroan merupakan bagian dari PT Sawit Sumbermas Sarana Tbk... mampu menjamin kestabilan pasokan Crude Palm Oil (CPO) dan Palm Kernel (PK) yang berkualitas tinggi untuk bahan baku produksi</t>
        </is>
      </c>
      <c r="J912" t="inlineStr">
        <is>
          <t>High</t>
        </is>
      </c>
      <c r="M912" t="inlineStr">
        <is>
          <t>LLM</t>
        </is>
      </c>
      <c r="N912" t="inlineStr">
        <is>
          <t>2026-04-18</t>
        </is>
      </c>
      <c r="O912" t="inlineStr">
        <is>
          <t>AI</t>
        </is>
      </c>
    </row>
    <row r="913">
      <c r="A913" t="inlineStr">
        <is>
          <t>PT Citra Borneo Utama Tbk</t>
        </is>
      </c>
      <c r="B913" t="inlineStr">
        <is>
          <t>CBUT_2024_AR.pdf</t>
        </is>
      </c>
      <c r="C913" t="n">
        <v>2024</v>
      </c>
      <c r="D913" t="inlineStr">
        <is>
          <t>Company</t>
        </is>
      </c>
      <c r="E913" t="inlineStr">
        <is>
          <t>Parent entity</t>
        </is>
      </c>
      <c r="F913" t="inlineStr">
        <is>
          <t>PT Sawit Sumbermas Sarana Tbk</t>
        </is>
      </c>
      <c r="G913" t="inlineStr">
        <is>
          <t>text</t>
        </is>
      </c>
      <c r="H913" t="n">
        <v>108</v>
      </c>
      <c r="I913" t="inlineStr">
        <is>
          <t>fokus utama Perseroan adalah untuk mendukung aktivitas usaha entitas induk yaitu PT Sawit Sumbermas Sarana Tbk</t>
        </is>
      </c>
      <c r="J913" t="inlineStr">
        <is>
          <t>High</t>
        </is>
      </c>
      <c r="M913" t="inlineStr">
        <is>
          <t>LLM</t>
        </is>
      </c>
      <c r="N913" t="inlineStr">
        <is>
          <t>2026-04-18</t>
        </is>
      </c>
      <c r="O913" t="inlineStr">
        <is>
          <t>AI</t>
        </is>
      </c>
    </row>
    <row r="914">
      <c r="A914" t="inlineStr">
        <is>
          <t>PT Citra Borneo Utama Tbk</t>
        </is>
      </c>
      <c r="B914" t="inlineStr">
        <is>
          <t>CBUT_2024_AR.pdf</t>
        </is>
      </c>
      <c r="C914" t="n">
        <v>2024</v>
      </c>
      <c r="D914" t="inlineStr">
        <is>
          <t>Company</t>
        </is>
      </c>
      <c r="E914" t="inlineStr">
        <is>
          <t>Shareholder - SSMS</t>
        </is>
      </c>
      <c r="F914" t="n">
        <v>0.7022</v>
      </c>
      <c r="G914" t="inlineStr">
        <is>
          <t>ratio</t>
        </is>
      </c>
      <c r="I914" t="inlineStr">
        <is>
          <t>PT Sawit Sumbermas Sarana Tbk 2.194.263.700 70,22</t>
        </is>
      </c>
      <c r="J914" t="inlineStr">
        <is>
          <t>High</t>
        </is>
      </c>
      <c r="M914" t="inlineStr">
        <is>
          <t>LLM</t>
        </is>
      </c>
      <c r="N914" t="inlineStr">
        <is>
          <t>2026-04-18</t>
        </is>
      </c>
      <c r="O914" t="inlineStr">
        <is>
          <t>AI</t>
        </is>
      </c>
    </row>
    <row r="915">
      <c r="A915" t="inlineStr">
        <is>
          <t>PT Citra Borneo Utama Tbk</t>
        </is>
      </c>
      <c r="B915" t="inlineStr">
        <is>
          <t>CBUT_2024_AR.pdf</t>
        </is>
      </c>
      <c r="C915" t="n">
        <v>2024</v>
      </c>
      <c r="D915" t="inlineStr">
        <is>
          <t>Company</t>
        </is>
      </c>
      <c r="E915" t="inlineStr">
        <is>
          <t>Shareholder - CBI</t>
        </is>
      </c>
      <c r="F915" t="n">
        <v>0.0178</v>
      </c>
      <c r="G915" t="inlineStr">
        <is>
          <t>ratio</t>
        </is>
      </c>
      <c r="I915" t="inlineStr">
        <is>
          <t>PT Citra Borneo Indah 55.736.300 1,78</t>
        </is>
      </c>
      <c r="J915" t="inlineStr">
        <is>
          <t>High</t>
        </is>
      </c>
      <c r="M915" t="inlineStr">
        <is>
          <t>LLM</t>
        </is>
      </c>
      <c r="N915" t="inlineStr">
        <is>
          <t>2026-04-18</t>
        </is>
      </c>
      <c r="O915" t="inlineStr">
        <is>
          <t>AI</t>
        </is>
      </c>
    </row>
    <row r="916">
      <c r="A916" t="inlineStr">
        <is>
          <t>PT Citra Borneo Utama Tbk</t>
        </is>
      </c>
      <c r="B916" t="inlineStr">
        <is>
          <t>CBUT_2024_AR.pdf</t>
        </is>
      </c>
      <c r="C916" t="n">
        <v>2024</v>
      </c>
      <c r="D916" t="inlineStr">
        <is>
          <t>Company</t>
        </is>
      </c>
      <c r="E916" t="inlineStr">
        <is>
          <t>Public float</t>
        </is>
      </c>
      <c r="F916" t="n">
        <v>0.2</v>
      </c>
      <c r="G916" t="inlineStr">
        <is>
          <t>ratio</t>
        </is>
      </c>
      <c r="I916" t="inlineStr">
        <is>
          <t>Masyarakat 625.000.000 20,00</t>
        </is>
      </c>
      <c r="J916" t="inlineStr">
        <is>
          <t>High</t>
        </is>
      </c>
      <c r="M916" t="inlineStr">
        <is>
          <t>LLM</t>
        </is>
      </c>
      <c r="N916" t="inlineStr">
        <is>
          <t>2026-04-18</t>
        </is>
      </c>
      <c r="O916" t="inlineStr">
        <is>
          <t>AI</t>
        </is>
      </c>
    </row>
    <row r="917">
      <c r="A917" t="inlineStr">
        <is>
          <t>PT Citra Borneo Utama Tbk</t>
        </is>
      </c>
      <c r="B917" t="inlineStr">
        <is>
          <t>CBUT_2024_AR.pdf</t>
        </is>
      </c>
      <c r="C917" t="n">
        <v>2024</v>
      </c>
      <c r="D917" t="inlineStr">
        <is>
          <t>Financial</t>
        </is>
      </c>
      <c r="E917" t="inlineStr">
        <is>
          <t>Revenue 2024</t>
        </is>
      </c>
      <c r="F917" t="n">
        <v>9766.108</v>
      </c>
      <c r="G917" t="inlineStr">
        <is>
          <t>IDR bn</t>
        </is>
      </c>
      <c r="H917" t="n">
        <v>16</v>
      </c>
      <c r="I917" t="inlineStr">
        <is>
          <t>Penjualan 9.766.108 10.319.437 9.619.267 (553.329) (5,36%)</t>
        </is>
      </c>
      <c r="J917" t="inlineStr">
        <is>
          <t>High</t>
        </is>
      </c>
      <c r="M917" t="inlineStr">
        <is>
          <t>LLM</t>
        </is>
      </c>
      <c r="N917" t="inlineStr">
        <is>
          <t>2026-04-18</t>
        </is>
      </c>
      <c r="O917" t="inlineStr">
        <is>
          <t>AI</t>
        </is>
      </c>
    </row>
    <row r="918">
      <c r="A918" t="inlineStr">
        <is>
          <t>PT Citra Borneo Utama Tbk</t>
        </is>
      </c>
      <c r="B918" t="inlineStr">
        <is>
          <t>CBUT_2024_AR.pdf</t>
        </is>
      </c>
      <c r="C918" t="n">
        <v>2024</v>
      </c>
      <c r="D918" t="inlineStr">
        <is>
          <t>Financial</t>
        </is>
      </c>
      <c r="E918" t="inlineStr">
        <is>
          <t>Gross profit 2024</t>
        </is>
      </c>
      <c r="F918" t="n">
        <v>1146.509</v>
      </c>
      <c r="G918" t="inlineStr">
        <is>
          <t>IDR bn</t>
        </is>
      </c>
      <c r="H918" t="n">
        <v>16</v>
      </c>
      <c r="I918" t="inlineStr">
        <is>
          <t>Laba Bruto 1.146.509 1.314.507 1.491.359 (167.998) (12,78%)</t>
        </is>
      </c>
      <c r="J918" t="inlineStr">
        <is>
          <t>High</t>
        </is>
      </c>
      <c r="M918" t="inlineStr">
        <is>
          <t>LLM</t>
        </is>
      </c>
      <c r="N918" t="inlineStr">
        <is>
          <t>2026-04-18</t>
        </is>
      </c>
      <c r="O918" t="inlineStr">
        <is>
          <t>AI</t>
        </is>
      </c>
    </row>
    <row r="919">
      <c r="A919" t="inlineStr">
        <is>
          <t>PT Citra Borneo Utama Tbk</t>
        </is>
      </c>
      <c r="B919" t="inlineStr">
        <is>
          <t>CBUT_2024_AR.pdf</t>
        </is>
      </c>
      <c r="C919" t="n">
        <v>2024</v>
      </c>
      <c r="D919" t="inlineStr">
        <is>
          <t>Financial</t>
        </is>
      </c>
      <c r="E919" t="inlineStr">
        <is>
          <t>Operating profit 2024</t>
        </is>
      </c>
      <c r="F919" t="n">
        <v>89.639</v>
      </c>
      <c r="G919" t="inlineStr">
        <is>
          <t>IDR bn</t>
        </is>
      </c>
      <c r="H919" t="n">
        <v>16</v>
      </c>
      <c r="I919" t="inlineStr">
        <is>
          <t>Laba Usaha 89.639 311.759 413.553 (222.120) (71,25%)</t>
        </is>
      </c>
      <c r="J919" t="inlineStr">
        <is>
          <t>High</t>
        </is>
      </c>
      <c r="M919" t="inlineStr">
        <is>
          <t>LLM</t>
        </is>
      </c>
      <c r="N919" t="inlineStr">
        <is>
          <t>2026-04-18</t>
        </is>
      </c>
      <c r="O919" t="inlineStr">
        <is>
          <t>AI</t>
        </is>
      </c>
    </row>
    <row r="920">
      <c r="A920" t="inlineStr">
        <is>
          <t>PT Citra Borneo Utama Tbk</t>
        </is>
      </c>
      <c r="B920" t="inlineStr">
        <is>
          <t>CBUT_2024_AR.pdf</t>
        </is>
      </c>
      <c r="C920" t="n">
        <v>2024</v>
      </c>
      <c r="D920" t="inlineStr">
        <is>
          <t>Financial</t>
        </is>
      </c>
      <c r="E920" t="inlineStr">
        <is>
          <t>Net profit 2024</t>
        </is>
      </c>
      <c r="F920" t="n">
        <v>68.18600000000001</v>
      </c>
      <c r="G920" t="inlineStr">
        <is>
          <t>IDR bn</t>
        </is>
      </c>
      <c r="H920" t="n">
        <v>16</v>
      </c>
      <c r="I920" t="inlineStr">
        <is>
          <t>Laba Tahun Berjalan 68.186 144.242 223.147 (76.056) (52,73%)</t>
        </is>
      </c>
      <c r="J920" t="inlineStr">
        <is>
          <t>High</t>
        </is>
      </c>
      <c r="M920" t="inlineStr">
        <is>
          <t>LLM</t>
        </is>
      </c>
      <c r="N920" t="inlineStr">
        <is>
          <t>2026-04-18</t>
        </is>
      </c>
      <c r="O920" t="inlineStr">
        <is>
          <t>AI</t>
        </is>
      </c>
    </row>
    <row r="921">
      <c r="A921" t="inlineStr">
        <is>
          <t>PT Citra Borneo Utama Tbk</t>
        </is>
      </c>
      <c r="B921" t="inlineStr">
        <is>
          <t>CBUT_2024_AR.pdf</t>
        </is>
      </c>
      <c r="C921" t="n">
        <v>2024</v>
      </c>
      <c r="D921" t="inlineStr">
        <is>
          <t>Financial</t>
        </is>
      </c>
      <c r="E921" t="inlineStr">
        <is>
          <t>EPS 2024</t>
        </is>
      </c>
      <c r="F921" t="n">
        <v>21.82</v>
      </c>
      <c r="G921" t="inlineStr">
        <is>
          <t>IDR/share</t>
        </is>
      </c>
      <c r="H921" t="n">
        <v>16</v>
      </c>
      <c r="I921" t="inlineStr">
        <is>
          <t>Laba per Saham Dasar (Angka Penuh) 21,82 46,16 85,70</t>
        </is>
      </c>
      <c r="J921" t="inlineStr">
        <is>
          <t>High</t>
        </is>
      </c>
      <c r="M921" t="inlineStr">
        <is>
          <t>LLM</t>
        </is>
      </c>
      <c r="N921" t="inlineStr">
        <is>
          <t>2026-04-18</t>
        </is>
      </c>
      <c r="O921" t="inlineStr">
        <is>
          <t>AI</t>
        </is>
      </c>
    </row>
    <row r="922">
      <c r="A922" t="inlineStr">
        <is>
          <t>PT Citra Borneo Utama Tbk</t>
        </is>
      </c>
      <c r="B922" t="inlineStr">
        <is>
          <t>CBUT_2024_AR.pdf</t>
        </is>
      </c>
      <c r="C922" t="n">
        <v>2024</v>
      </c>
      <c r="D922" t="inlineStr">
        <is>
          <t>Financial</t>
        </is>
      </c>
      <c r="E922" t="inlineStr">
        <is>
          <t>Total assets 2024</t>
        </is>
      </c>
      <c r="F922" t="n">
        <v>4200.319</v>
      </c>
      <c r="G922" t="inlineStr">
        <is>
          <t>IDR bn</t>
        </is>
      </c>
      <c r="H922" t="n">
        <v>16</v>
      </c>
      <c r="I922" t="inlineStr">
        <is>
          <t>Jumlah Aset 4.200.319 4.336.194 3.019.974</t>
        </is>
      </c>
      <c r="J922" t="inlineStr">
        <is>
          <t>High</t>
        </is>
      </c>
      <c r="M922" t="inlineStr">
        <is>
          <t>LLM</t>
        </is>
      </c>
      <c r="N922" t="inlineStr">
        <is>
          <t>2026-04-18</t>
        </is>
      </c>
      <c r="O922" t="inlineStr">
        <is>
          <t>AI</t>
        </is>
      </c>
    </row>
    <row r="923">
      <c r="A923" t="inlineStr">
        <is>
          <t>PT Citra Borneo Utama Tbk</t>
        </is>
      </c>
      <c r="B923" t="inlineStr">
        <is>
          <t>CBUT_2024_AR.pdf</t>
        </is>
      </c>
      <c r="C923" t="n">
        <v>2024</v>
      </c>
      <c r="D923" t="inlineStr">
        <is>
          <t>Financial</t>
        </is>
      </c>
      <c r="E923" t="inlineStr">
        <is>
          <t>Current assets 2024</t>
        </is>
      </c>
      <c r="F923" t="n">
        <v>3591.721</v>
      </c>
      <c r="G923" t="inlineStr">
        <is>
          <t>IDR bn</t>
        </is>
      </c>
      <c r="H923" t="n">
        <v>16</v>
      </c>
      <c r="I923" t="inlineStr">
        <is>
          <t>Jumlah Aset Lancar 3.591.721 3.925.960 2.600.405</t>
        </is>
      </c>
      <c r="J923" t="inlineStr">
        <is>
          <t>High</t>
        </is>
      </c>
      <c r="M923" t="inlineStr">
        <is>
          <t>LLM</t>
        </is>
      </c>
      <c r="N923" t="inlineStr">
        <is>
          <t>2026-04-18</t>
        </is>
      </c>
      <c r="O923" t="inlineStr">
        <is>
          <t>AI</t>
        </is>
      </c>
    </row>
    <row r="924">
      <c r="A924" t="inlineStr">
        <is>
          <t>PT Citra Borneo Utama Tbk</t>
        </is>
      </c>
      <c r="B924" t="inlineStr">
        <is>
          <t>CBUT_2024_AR.pdf</t>
        </is>
      </c>
      <c r="C924" t="n">
        <v>2024</v>
      </c>
      <c r="D924" t="inlineStr">
        <is>
          <t>Financial</t>
        </is>
      </c>
      <c r="E924" t="inlineStr">
        <is>
          <t>Non-current assets 2024</t>
        </is>
      </c>
      <c r="F924" t="n">
        <v>608.598</v>
      </c>
      <c r="G924" t="inlineStr">
        <is>
          <t>IDR bn</t>
        </is>
      </c>
      <c r="H924" t="n">
        <v>16</v>
      </c>
      <c r="I924" t="inlineStr">
        <is>
          <t>Jumlah Aset Tidak Lancar 608.598 410.234 419.569</t>
        </is>
      </c>
      <c r="J924" t="inlineStr">
        <is>
          <t>High</t>
        </is>
      </c>
      <c r="M924" t="inlineStr">
        <is>
          <t>LLM</t>
        </is>
      </c>
      <c r="N924" t="inlineStr">
        <is>
          <t>2026-04-18</t>
        </is>
      </c>
      <c r="O924" t="inlineStr">
        <is>
          <t>AI</t>
        </is>
      </c>
    </row>
    <row r="925">
      <c r="A925" t="inlineStr">
        <is>
          <t>PT Citra Borneo Utama Tbk</t>
        </is>
      </c>
      <c r="B925" t="inlineStr">
        <is>
          <t>CBUT_2024_AR.pdf</t>
        </is>
      </c>
      <c r="C925" t="n">
        <v>2024</v>
      </c>
      <c r="D925" t="inlineStr">
        <is>
          <t>Financial</t>
        </is>
      </c>
      <c r="E925" t="inlineStr">
        <is>
          <t>Total liabilities 2024</t>
        </is>
      </c>
      <c r="F925" t="n">
        <v>3231.021</v>
      </c>
      <c r="G925" t="inlineStr">
        <is>
          <t>IDR bn</t>
        </is>
      </c>
      <c r="H925" t="n">
        <v>16</v>
      </c>
      <c r="I925" t="inlineStr">
        <is>
          <t>Jumlah Liabilitas 3.231.021 3.433.778 2.250.454</t>
        </is>
      </c>
      <c r="J925" t="inlineStr">
        <is>
          <t>High</t>
        </is>
      </c>
      <c r="M925" t="inlineStr">
        <is>
          <t>LLM</t>
        </is>
      </c>
      <c r="N925" t="inlineStr">
        <is>
          <t>2026-04-18</t>
        </is>
      </c>
      <c r="O925" t="inlineStr">
        <is>
          <t>AI</t>
        </is>
      </c>
    </row>
    <row r="926">
      <c r="A926" t="inlineStr">
        <is>
          <t>PT Citra Borneo Utama Tbk</t>
        </is>
      </c>
      <c r="B926" t="inlineStr">
        <is>
          <t>CBUT_2024_AR.pdf</t>
        </is>
      </c>
      <c r="C926" t="n">
        <v>2024</v>
      </c>
      <c r="D926" t="inlineStr">
        <is>
          <t>Financial</t>
        </is>
      </c>
      <c r="E926" t="inlineStr">
        <is>
          <t>Current liabilities 2024</t>
        </is>
      </c>
      <c r="F926" t="n">
        <v>2547.153</v>
      </c>
      <c r="G926" t="inlineStr">
        <is>
          <t>IDR bn</t>
        </is>
      </c>
      <c r="H926" t="n">
        <v>16</v>
      </c>
      <c r="I926" t="inlineStr">
        <is>
          <t>Jumlah Liabilitas Jangka Pendek 2.547.153 2.659.659</t>
        </is>
      </c>
      <c r="J926" t="inlineStr">
        <is>
          <t>High</t>
        </is>
      </c>
      <c r="M926" t="inlineStr">
        <is>
          <t>LLM</t>
        </is>
      </c>
      <c r="N926" t="inlineStr">
        <is>
          <t>2026-04-18</t>
        </is>
      </c>
      <c r="O926" t="inlineStr">
        <is>
          <t>AI</t>
        </is>
      </c>
    </row>
    <row r="927">
      <c r="A927" t="inlineStr">
        <is>
          <t>PT Citra Borneo Utama Tbk</t>
        </is>
      </c>
      <c r="B927" t="inlineStr">
        <is>
          <t>CBUT_2024_AR.pdf</t>
        </is>
      </c>
      <c r="C927" t="n">
        <v>2024</v>
      </c>
      <c r="D927" t="inlineStr">
        <is>
          <t>Financial</t>
        </is>
      </c>
      <c r="E927" t="inlineStr">
        <is>
          <t>Long-term liabilities 2024</t>
        </is>
      </c>
      <c r="F927" t="n">
        <v>683.8680000000001</v>
      </c>
      <c r="G927" t="inlineStr">
        <is>
          <t>IDR bn</t>
        </is>
      </c>
      <c r="H927" t="n">
        <v>16</v>
      </c>
      <c r="I927" t="inlineStr">
        <is>
          <t>Jumlah Liabilitas Jangka Panjang 683.868 774.119</t>
        </is>
      </c>
      <c r="J927" t="inlineStr">
        <is>
          <t>High</t>
        </is>
      </c>
      <c r="M927" t="inlineStr">
        <is>
          <t>LLM</t>
        </is>
      </c>
      <c r="N927" t="inlineStr">
        <is>
          <t>2026-04-18</t>
        </is>
      </c>
      <c r="O927" t="inlineStr">
        <is>
          <t>AI</t>
        </is>
      </c>
    </row>
    <row r="928">
      <c r="A928" t="inlineStr">
        <is>
          <t>PT Citra Borneo Utama Tbk</t>
        </is>
      </c>
      <c r="B928" t="inlineStr">
        <is>
          <t>CBUT_2024_AR.pdf</t>
        </is>
      </c>
      <c r="C928" t="n">
        <v>2024</v>
      </c>
      <c r="D928" t="inlineStr">
        <is>
          <t>Financial</t>
        </is>
      </c>
      <c r="E928" t="inlineStr">
        <is>
          <t>Total equity 2024</t>
        </is>
      </c>
      <c r="F928" t="n">
        <v>969.298</v>
      </c>
      <c r="G928" t="inlineStr">
        <is>
          <t>IDR bn</t>
        </is>
      </c>
      <c r="H928" t="n">
        <v>16</v>
      </c>
      <c r="I928" t="inlineStr">
        <is>
          <t>Jumlah Ekuitas 969.298 902.416 769.520</t>
        </is>
      </c>
      <c r="J928" t="inlineStr">
        <is>
          <t>High</t>
        </is>
      </c>
      <c r="M928" t="inlineStr">
        <is>
          <t>LLM</t>
        </is>
      </c>
      <c r="N928" t="inlineStr">
        <is>
          <t>2026-04-18</t>
        </is>
      </c>
      <c r="O928" t="inlineStr">
        <is>
          <t>AI</t>
        </is>
      </c>
    </row>
    <row r="929">
      <c r="A929" t="inlineStr">
        <is>
          <t>PT Citra Borneo Utama Tbk</t>
        </is>
      </c>
      <c r="B929" t="inlineStr">
        <is>
          <t>CBUT_2024_AR.pdf</t>
        </is>
      </c>
      <c r="C929" t="n">
        <v>2024</v>
      </c>
      <c r="D929" t="inlineStr">
        <is>
          <t>Financial</t>
        </is>
      </c>
      <c r="E929" t="inlineStr">
        <is>
          <t>Cash and equivalents</t>
        </is>
      </c>
      <c r="F929" t="n">
        <v>234.104</v>
      </c>
      <c r="G929" t="inlineStr">
        <is>
          <t>IDR bn</t>
        </is>
      </c>
      <c r="H929" t="n">
        <v>98</v>
      </c>
      <c r="I929" t="inlineStr">
        <is>
          <t>Kas dan Setara Kas 234.104 304.932 (70.828) (23,23%)</t>
        </is>
      </c>
      <c r="J929" t="inlineStr">
        <is>
          <t>High</t>
        </is>
      </c>
      <c r="M929" t="inlineStr">
        <is>
          <t>LLM</t>
        </is>
      </c>
      <c r="N929" t="inlineStr">
        <is>
          <t>2026-04-18</t>
        </is>
      </c>
      <c r="O929" t="inlineStr">
        <is>
          <t>AI</t>
        </is>
      </c>
    </row>
    <row r="930">
      <c r="A930" t="inlineStr">
        <is>
          <t>PT Citra Borneo Utama Tbk</t>
        </is>
      </c>
      <c r="B930" t="inlineStr">
        <is>
          <t>CBUT_2024_AR.pdf</t>
        </is>
      </c>
      <c r="C930" t="n">
        <v>2024</v>
      </c>
      <c r="D930" t="inlineStr">
        <is>
          <t>Financial</t>
        </is>
      </c>
      <c r="E930" t="inlineStr">
        <is>
          <t>Short-term bank loans</t>
        </is>
      </c>
      <c r="F930" t="n">
        <v>1944.959</v>
      </c>
      <c r="G930" t="inlineStr">
        <is>
          <t>IDR bn</t>
        </is>
      </c>
      <c r="H930" t="n">
        <v>100</v>
      </c>
      <c r="I930" t="inlineStr">
        <is>
          <t>Pinjaman Bank Jangka Pendek 1.944.959 2.138.461 (193.502) (9,05%)</t>
        </is>
      </c>
      <c r="J930" t="inlineStr">
        <is>
          <t>High</t>
        </is>
      </c>
      <c r="M930" t="inlineStr">
        <is>
          <t>LLM</t>
        </is>
      </c>
      <c r="N930" t="inlineStr">
        <is>
          <t>2026-04-18</t>
        </is>
      </c>
      <c r="O930" t="inlineStr">
        <is>
          <t>AI</t>
        </is>
      </c>
    </row>
    <row r="931">
      <c r="A931" t="inlineStr">
        <is>
          <t>PT Citra Borneo Utama Tbk</t>
        </is>
      </c>
      <c r="B931" t="inlineStr">
        <is>
          <t>CBUT_2024_AR.pdf</t>
        </is>
      </c>
      <c r="C931" t="n">
        <v>2024</v>
      </c>
      <c r="D931" t="inlineStr">
        <is>
          <t>Financial</t>
        </is>
      </c>
      <c r="E931" t="inlineStr">
        <is>
          <t>Long-term bank loans</t>
        </is>
      </c>
      <c r="F931" t="n">
        <v>679.348</v>
      </c>
      <c r="G931" t="inlineStr">
        <is>
          <t>IDR bn</t>
        </is>
      </c>
      <c r="H931" t="n">
        <v>100</v>
      </c>
      <c r="I931" t="inlineStr">
        <is>
          <t>Pinjaman bank jangka panjang... 679.348 769.178</t>
        </is>
      </c>
      <c r="J931" t="inlineStr">
        <is>
          <t>High</t>
        </is>
      </c>
      <c r="M931" t="inlineStr">
        <is>
          <t>LLM</t>
        </is>
      </c>
      <c r="N931" t="inlineStr">
        <is>
          <t>2026-04-18</t>
        </is>
      </c>
      <c r="O931" t="inlineStr">
        <is>
          <t>AI</t>
        </is>
      </c>
    </row>
    <row r="932">
      <c r="A932" t="inlineStr">
        <is>
          <t>PT Citra Borneo Utama Tbk</t>
        </is>
      </c>
      <c r="B932" t="inlineStr">
        <is>
          <t>CBUT_2024_AR.pdf</t>
        </is>
      </c>
      <c r="C932" t="n">
        <v>2024</v>
      </c>
      <c r="D932" t="inlineStr">
        <is>
          <t>Financial</t>
        </is>
      </c>
      <c r="E932" t="inlineStr">
        <is>
          <t>Current portion LT bank loans</t>
        </is>
      </c>
      <c r="F932" t="n">
        <v>89.83</v>
      </c>
      <c r="G932" t="inlineStr">
        <is>
          <t>IDR bn</t>
        </is>
      </c>
      <c r="H932" t="n">
        <v>100</v>
      </c>
      <c r="I932" t="inlineStr">
        <is>
          <t>Pinjaman Bank Jangka Panjang yang Jatuh Tempo Dalam Waktu Satu Tahun 89.830 79.830</t>
        </is>
      </c>
      <c r="J932" t="inlineStr">
        <is>
          <t>High</t>
        </is>
      </c>
      <c r="M932" t="inlineStr">
        <is>
          <t>LLM</t>
        </is>
      </c>
      <c r="N932" t="inlineStr">
        <is>
          <t>2026-04-18</t>
        </is>
      </c>
      <c r="O932" t="inlineStr">
        <is>
          <t>AI</t>
        </is>
      </c>
    </row>
    <row r="933">
      <c r="A933" t="inlineStr">
        <is>
          <t>PT Citra Borneo Utama Tbk</t>
        </is>
      </c>
      <c r="B933" t="inlineStr">
        <is>
          <t>CBUT_2024_AR.pdf</t>
        </is>
      </c>
      <c r="C933" t="n">
        <v>2024</v>
      </c>
      <c r="D933" t="inlineStr">
        <is>
          <t>Financial</t>
        </is>
      </c>
      <c r="E933" t="inlineStr">
        <is>
          <t>CFO 2024</t>
        </is>
      </c>
      <c r="F933" t="n">
        <v>-246.579</v>
      </c>
      <c r="G933" t="inlineStr">
        <is>
          <t>IDR bn</t>
        </is>
      </c>
      <c r="H933" t="n">
        <v>104</v>
      </c>
      <c r="I933" t="inlineStr">
        <is>
          <t>Arus Kas Bersih untuk Aktivitas Operasi (246.579) (384.366)</t>
        </is>
      </c>
      <c r="J933" t="inlineStr">
        <is>
          <t>High</t>
        </is>
      </c>
      <c r="M933" t="inlineStr">
        <is>
          <t>LLM</t>
        </is>
      </c>
      <c r="N933" t="inlineStr">
        <is>
          <t>2026-04-18</t>
        </is>
      </c>
      <c r="O933" t="inlineStr">
        <is>
          <t>AI</t>
        </is>
      </c>
    </row>
    <row r="934">
      <c r="A934" t="inlineStr">
        <is>
          <t>PT Citra Borneo Utama Tbk</t>
        </is>
      </c>
      <c r="B934" t="inlineStr">
        <is>
          <t>CBUT_2024_AR.pdf</t>
        </is>
      </c>
      <c r="C934" t="n">
        <v>2024</v>
      </c>
      <c r="D934" t="inlineStr">
        <is>
          <t>Financial</t>
        </is>
      </c>
      <c r="E934" t="inlineStr">
        <is>
          <t>CFI 2024</t>
        </is>
      </c>
      <c r="F934" t="n">
        <v>534.654</v>
      </c>
      <c r="G934" t="inlineStr">
        <is>
          <t>IDR bn</t>
        </is>
      </c>
      <c r="H934" t="n">
        <v>104</v>
      </c>
      <c r="I934" t="inlineStr">
        <is>
          <t>Arus Kas Bersih dari (untuk) Aktivitas Investasi 534.654 (1.963.131)</t>
        </is>
      </c>
      <c r="J934" t="inlineStr">
        <is>
          <t>High</t>
        </is>
      </c>
      <c r="M934" t="inlineStr">
        <is>
          <t>LLM</t>
        </is>
      </c>
      <c r="N934" t="inlineStr">
        <is>
          <t>2026-04-18</t>
        </is>
      </c>
      <c r="O934" t="inlineStr">
        <is>
          <t>AI</t>
        </is>
      </c>
    </row>
    <row r="935">
      <c r="A935" t="inlineStr">
        <is>
          <t>PT Citra Borneo Utama Tbk</t>
        </is>
      </c>
      <c r="B935" t="inlineStr">
        <is>
          <t>CBUT_2024_AR.pdf</t>
        </is>
      </c>
      <c r="C935" t="n">
        <v>2024</v>
      </c>
      <c r="D935" t="inlineStr">
        <is>
          <t>Financial</t>
        </is>
      </c>
      <c r="E935" t="inlineStr">
        <is>
          <t>CFF 2024</t>
        </is>
      </c>
      <c r="F935" t="n">
        <v>-358.903</v>
      </c>
      <c r="G935" t="inlineStr">
        <is>
          <t>IDR bn</t>
        </is>
      </c>
      <c r="H935" t="n">
        <v>104</v>
      </c>
      <c r="I935" t="inlineStr">
        <is>
          <t>Arus Kas Bersih (untuk) dari Aktivitas Pendanaan (358.903) 1.792.460</t>
        </is>
      </c>
      <c r="J935" t="inlineStr">
        <is>
          <t>High</t>
        </is>
      </c>
      <c r="M935" t="inlineStr">
        <is>
          <t>LLM</t>
        </is>
      </c>
      <c r="N935" t="inlineStr">
        <is>
          <t>2026-04-18</t>
        </is>
      </c>
      <c r="O935" t="inlineStr">
        <is>
          <t>AI</t>
        </is>
      </c>
    </row>
    <row r="936">
      <c r="A936" t="inlineStr">
        <is>
          <t>PT Citra Borneo Utama Tbk</t>
        </is>
      </c>
      <c r="B936" t="inlineStr">
        <is>
          <t>CBUT_2024_AR.pdf</t>
        </is>
      </c>
      <c r="C936" t="n">
        <v>2024</v>
      </c>
      <c r="D936" t="inlineStr">
        <is>
          <t>Financial</t>
        </is>
      </c>
      <c r="E936" t="inlineStr">
        <is>
          <t>Acquisition of fixed assets (capex)</t>
        </is>
      </c>
      <c r="F936" t="n">
        <v>115.118</v>
      </c>
      <c r="G936" t="inlineStr">
        <is>
          <t>IDR bn</t>
        </is>
      </c>
      <c r="I936" t="inlineStr">
        <is>
          <t>Perolehan aset tetap (115.118) (19.183) Acquisition of fixed assets</t>
        </is>
      </c>
      <c r="J936" t="inlineStr">
        <is>
          <t>High</t>
        </is>
      </c>
      <c r="M936" t="inlineStr">
        <is>
          <t>LLM</t>
        </is>
      </c>
      <c r="N936" t="inlineStr">
        <is>
          <t>2026-04-18</t>
        </is>
      </c>
      <c r="O936" t="inlineStr">
        <is>
          <t>AI</t>
        </is>
      </c>
    </row>
    <row r="937">
      <c r="A937" t="inlineStr">
        <is>
          <t>PT Citra Borneo Utama Tbk</t>
        </is>
      </c>
      <c r="B937" t="inlineStr">
        <is>
          <t>CBUT_2024_AR.pdf</t>
        </is>
      </c>
      <c r="C937" t="n">
        <v>2024</v>
      </c>
      <c r="D937" t="inlineStr">
        <is>
          <t>Financial</t>
        </is>
      </c>
      <c r="E937" t="inlineStr">
        <is>
          <t>Capex by category</t>
        </is>
      </c>
      <c r="F937" t="n">
        <v>118.342</v>
      </c>
      <c r="G937" t="inlineStr">
        <is>
          <t>IDR bn</t>
        </is>
      </c>
      <c r="H937" t="n">
        <v>107</v>
      </c>
      <c r="I937" t="inlineStr">
        <is>
          <t>Jumlah nilai nominal investasi mencapai Rp118.342 juta (Building 94,019 + Machineries 16,611 + Office Equipment 6,690 + Vehicles 1,022)</t>
        </is>
      </c>
      <c r="J937" t="inlineStr">
        <is>
          <t>High</t>
        </is>
      </c>
      <c r="M937" t="inlineStr">
        <is>
          <t>LLM</t>
        </is>
      </c>
      <c r="N937" t="inlineStr">
        <is>
          <t>2026-04-18</t>
        </is>
      </c>
      <c r="O937" t="inlineStr">
        <is>
          <t>AI</t>
        </is>
      </c>
    </row>
    <row r="938">
      <c r="A938" t="inlineStr">
        <is>
          <t>PT Citra Borneo Utama Tbk</t>
        </is>
      </c>
      <c r="B938" t="inlineStr">
        <is>
          <t>CBUT_2024_AR.pdf</t>
        </is>
      </c>
      <c r="C938" t="n">
        <v>2024</v>
      </c>
      <c r="D938" t="inlineStr">
        <is>
          <t>Financial</t>
        </is>
      </c>
      <c r="E938" t="inlineStr">
        <is>
          <t>Cash dividend paid 2024</t>
        </is>
      </c>
      <c r="F938" t="n">
        <v>28.849</v>
      </c>
      <c r="G938" t="inlineStr">
        <is>
          <t>IDR bn</t>
        </is>
      </c>
      <c r="H938" t="n">
        <v>115</v>
      </c>
      <c r="I938" t="inlineStr">
        <is>
          <t>Pada tahun 2024, Perseroan membagikan dividen tunai kepada para pemegang saham sebesar Rp28.844 juta</t>
        </is>
      </c>
      <c r="J938" t="inlineStr">
        <is>
          <t>High</t>
        </is>
      </c>
      <c r="M938" t="inlineStr">
        <is>
          <t>LLM</t>
        </is>
      </c>
      <c r="N938" t="inlineStr">
        <is>
          <t>2026-04-18</t>
        </is>
      </c>
      <c r="O938" t="inlineStr">
        <is>
          <t>AI</t>
        </is>
      </c>
    </row>
    <row r="939">
      <c r="A939" t="inlineStr">
        <is>
          <t>PT Citra Borneo Utama Tbk</t>
        </is>
      </c>
      <c r="B939" t="inlineStr">
        <is>
          <t>CBUT_2024_AR.pdf</t>
        </is>
      </c>
      <c r="C939" t="n">
        <v>2024</v>
      </c>
      <c r="D939" t="inlineStr">
        <is>
          <t>Financial</t>
        </is>
      </c>
      <c r="E939" t="inlineStr">
        <is>
          <t>DPS 2023 (paid 2024)</t>
        </is>
      </c>
      <c r="F939" t="n">
        <v>9.23</v>
      </c>
      <c r="G939" t="inlineStr">
        <is>
          <t>IDR/share</t>
        </is>
      </c>
      <c r="I939" t="inlineStr">
        <is>
          <t>sebesar Rp9,23,- (sembilan koma dua puluh tiga Rupiah) per saham ditetapkan sebagai Dividen Tunai</t>
        </is>
      </c>
      <c r="J939" t="inlineStr">
        <is>
          <t>High</t>
        </is>
      </c>
      <c r="M939" t="inlineStr">
        <is>
          <t>LLM</t>
        </is>
      </c>
      <c r="N939" t="inlineStr">
        <is>
          <t>2026-04-18</t>
        </is>
      </c>
      <c r="O939" t="inlineStr">
        <is>
          <t>AI</t>
        </is>
      </c>
    </row>
    <row r="940">
      <c r="A940" t="inlineStr">
        <is>
          <t>PT Citra Borneo Utama Tbk</t>
        </is>
      </c>
      <c r="B940" t="inlineStr">
        <is>
          <t>CBUT_2024_AR.pdf</t>
        </is>
      </c>
      <c r="C940" t="n">
        <v>2024</v>
      </c>
      <c r="D940" t="inlineStr">
        <is>
          <t>Financial</t>
        </is>
      </c>
      <c r="E940" t="inlineStr">
        <is>
          <t>Closing price Q4 2024</t>
        </is>
      </c>
      <c r="F940" t="n">
        <v>945</v>
      </c>
      <c r="G940" t="inlineStr">
        <is>
          <t>IDR/share</t>
        </is>
      </c>
      <c r="H940" t="n">
        <v>19</v>
      </c>
      <c r="I940" t="inlineStr">
        <is>
          <t>Q4 1.265 1.280 905 945 327.300 3.125.000.000 2.953.125.000.000</t>
        </is>
      </c>
      <c r="J940" t="inlineStr">
        <is>
          <t>High</t>
        </is>
      </c>
      <c r="M940" t="inlineStr">
        <is>
          <t>LLM</t>
        </is>
      </c>
      <c r="N940" t="inlineStr">
        <is>
          <t>2026-04-18</t>
        </is>
      </c>
      <c r="O940" t="inlineStr">
        <is>
          <t>AI</t>
        </is>
      </c>
    </row>
    <row r="941">
      <c r="A941" t="inlineStr">
        <is>
          <t>PT Citra Borneo Utama Tbk</t>
        </is>
      </c>
      <c r="B941" t="inlineStr">
        <is>
          <t>CBUT_2024_AR.pdf</t>
        </is>
      </c>
      <c r="C941" t="n">
        <v>2024</v>
      </c>
      <c r="D941" t="inlineStr">
        <is>
          <t>Financial</t>
        </is>
      </c>
      <c r="E941" t="inlineStr">
        <is>
          <t>Depreciation allocated to COGS</t>
        </is>
      </c>
      <c r="F941" t="n">
        <v>42.504</v>
      </c>
      <c r="G941" t="inlineStr">
        <is>
          <t>IDR bn</t>
        </is>
      </c>
      <c r="I941" t="inlineStr">
        <is>
          <t>Penyusutan aset tetap (Catatan 12) 42.504 41.286</t>
        </is>
      </c>
      <c r="J941" t="inlineStr">
        <is>
          <t>High</t>
        </is>
      </c>
      <c r="M941" t="inlineStr">
        <is>
          <t>LLM</t>
        </is>
      </c>
      <c r="N941" t="inlineStr">
        <is>
          <t>2026-04-18</t>
        </is>
      </c>
      <c r="O941" t="inlineStr">
        <is>
          <t>AI</t>
        </is>
      </c>
    </row>
    <row r="942">
      <c r="A942" t="inlineStr">
        <is>
          <t>PT Citra Borneo Utama Tbk</t>
        </is>
      </c>
      <c r="B942" t="inlineStr">
        <is>
          <t>CBUT_2024_AR.pdf</t>
        </is>
      </c>
      <c r="C942" t="n">
        <v>2024</v>
      </c>
      <c r="D942" t="inlineStr">
        <is>
          <t>Financial</t>
        </is>
      </c>
      <c r="E942" t="inlineStr">
        <is>
          <t>Depreciation operating expenses</t>
        </is>
      </c>
      <c r="F942" t="n">
        <v>1.864</v>
      </c>
      <c r="G942" t="inlineStr">
        <is>
          <t>IDR bn</t>
        </is>
      </c>
      <c r="I942" t="inlineStr">
        <is>
          <t>Penyusutan aset tetap (Catatan 12) 1.864 861</t>
        </is>
      </c>
      <c r="J942" t="inlineStr">
        <is>
          <t>High</t>
        </is>
      </c>
      <c r="M942" t="inlineStr">
        <is>
          <t>LLM</t>
        </is>
      </c>
      <c r="N942" t="inlineStr">
        <is>
          <t>2026-04-18</t>
        </is>
      </c>
      <c r="O942" t="inlineStr">
        <is>
          <t>AI</t>
        </is>
      </c>
    </row>
    <row r="943">
      <c r="A943" t="inlineStr">
        <is>
          <t>PT Citra Borneo Utama Tbk</t>
        </is>
      </c>
      <c r="B943" t="inlineStr">
        <is>
          <t>CBUT_2024_AR.pdf</t>
        </is>
      </c>
      <c r="C943" t="n">
        <v>2024</v>
      </c>
      <c r="D943" t="inlineStr">
        <is>
          <t>Asset</t>
        </is>
      </c>
      <c r="E943" t="inlineStr">
        <is>
          <t>CPO refinery capacity</t>
        </is>
      </c>
      <c r="F943" t="n">
        <v>2500</v>
      </c>
      <c r="G943" t="inlineStr">
        <is>
          <t>tons/day</t>
        </is>
      </c>
      <c r="H943" t="n">
        <v>50</v>
      </c>
      <c r="I943" t="inlineStr">
        <is>
          <t>kapasitas total 2.500 ton Crude Palm Oil (CPO) per hari atau 850.000 ton CPO per tahun</t>
        </is>
      </c>
      <c r="J943" t="inlineStr">
        <is>
          <t>High</t>
        </is>
      </c>
      <c r="M943" t="inlineStr">
        <is>
          <t>LLM</t>
        </is>
      </c>
      <c r="N943" t="inlineStr">
        <is>
          <t>2026-04-18</t>
        </is>
      </c>
      <c r="O943" t="inlineStr">
        <is>
          <t>AI</t>
        </is>
      </c>
    </row>
    <row r="944">
      <c r="A944" t="inlineStr">
        <is>
          <t>PT Citra Borneo Utama Tbk</t>
        </is>
      </c>
      <c r="B944" t="inlineStr">
        <is>
          <t>CBUT_2024_AR.pdf</t>
        </is>
      </c>
      <c r="C944" t="n">
        <v>2024</v>
      </c>
      <c r="D944" t="inlineStr">
        <is>
          <t>Asset</t>
        </is>
      </c>
      <c r="E944" t="inlineStr">
        <is>
          <t>Fractionation capacity (RBDPO)</t>
        </is>
      </c>
      <c r="F944" t="n">
        <v>2500</v>
      </c>
      <c r="G944" t="inlineStr">
        <is>
          <t>tons/day</t>
        </is>
      </c>
      <c r="H944" t="n">
        <v>50</v>
      </c>
      <c r="I944" t="inlineStr">
        <is>
          <t>mampu mengelola total 2.500 ton Refined Bleached Deodorized Palm Oil (RBDPO) per hari atau 850.000 MT RBDPO per tahun</t>
        </is>
      </c>
      <c r="J944" t="inlineStr">
        <is>
          <t>High</t>
        </is>
      </c>
      <c r="M944" t="inlineStr">
        <is>
          <t>LLM</t>
        </is>
      </c>
      <c r="N944" t="inlineStr">
        <is>
          <t>2026-04-18</t>
        </is>
      </c>
      <c r="O944" t="inlineStr">
        <is>
          <t>AI</t>
        </is>
      </c>
    </row>
    <row r="945">
      <c r="A945" t="inlineStr">
        <is>
          <t>PT Citra Borneo Utama Tbk</t>
        </is>
      </c>
      <c r="B945" t="inlineStr">
        <is>
          <t>CBUT_2024_AR.pdf</t>
        </is>
      </c>
      <c r="C945" t="n">
        <v>2024</v>
      </c>
      <c r="D945" t="inlineStr">
        <is>
          <t>Asset</t>
        </is>
      </c>
      <c r="E945" t="inlineStr">
        <is>
          <t>Kernel crushing capacity</t>
        </is>
      </c>
      <c r="F945" t="n">
        <v>600</v>
      </c>
      <c r="G945" t="inlineStr">
        <is>
          <t>tons/day</t>
        </is>
      </c>
      <c r="H945" t="n">
        <v>50</v>
      </c>
      <c r="I945" t="inlineStr">
        <is>
          <t>kernel crushing plant dengan kapasitas total 600 MT kernel per hari atau 204.000 MT kernel per tahun</t>
        </is>
      </c>
      <c r="J945" t="inlineStr">
        <is>
          <t>High</t>
        </is>
      </c>
      <c r="M945" t="inlineStr">
        <is>
          <t>LLM</t>
        </is>
      </c>
      <c r="N945" t="inlineStr">
        <is>
          <t>2026-04-18</t>
        </is>
      </c>
      <c r="O945" t="inlineStr">
        <is>
          <t>AI</t>
        </is>
      </c>
    </row>
    <row r="946">
      <c r="A946" t="inlineStr">
        <is>
          <t>PT Citra Borneo Utama Tbk</t>
        </is>
      </c>
      <c r="B946" t="inlineStr">
        <is>
          <t>CBUT_2024_AR.pdf</t>
        </is>
      </c>
      <c r="C946" t="n">
        <v>2024</v>
      </c>
      <c r="D946" t="inlineStr">
        <is>
          <t>Operation</t>
        </is>
      </c>
      <c r="E946" t="inlineStr">
        <is>
          <t>Total production 2024</t>
        </is>
      </c>
      <c r="F946" t="n">
        <v>402492</v>
      </c>
      <c r="G946" t="inlineStr">
        <is>
          <t>MT</t>
        </is>
      </c>
      <c r="H946" t="n">
        <v>107</v>
      </c>
      <c r="I946" t="inlineStr">
        <is>
          <t>Produksi (MT) 845.750 402.492 47,59% Production (MT)</t>
        </is>
      </c>
      <c r="J946" t="inlineStr">
        <is>
          <t>High</t>
        </is>
      </c>
      <c r="M946" t="inlineStr">
        <is>
          <t>LLM</t>
        </is>
      </c>
      <c r="N946" t="inlineStr">
        <is>
          <t>2026-04-18</t>
        </is>
      </c>
      <c r="O946" t="inlineStr">
        <is>
          <t>AI</t>
        </is>
      </c>
    </row>
    <row r="947">
      <c r="A947" t="inlineStr">
        <is>
          <t>PT Citra Borneo Utama Tbk</t>
        </is>
      </c>
      <c r="B947" t="inlineStr">
        <is>
          <t>CBUT_2024_AR.pdf</t>
        </is>
      </c>
      <c r="C947" t="n">
        <v>2024</v>
      </c>
      <c r="D947" t="inlineStr">
        <is>
          <t>Operation</t>
        </is>
      </c>
      <c r="E947" t="inlineStr">
        <is>
          <t>RBDPO production</t>
        </is>
      </c>
      <c r="F947" t="n">
        <v>387833</v>
      </c>
      <c r="G947" t="inlineStr">
        <is>
          <t>MT</t>
        </is>
      </c>
      <c r="H947" t="n">
        <v>14</v>
      </c>
      <c r="I947" t="inlineStr">
        <is>
          <t>Total Produksi RBDPO 387.833 RBDPO MT</t>
        </is>
      </c>
      <c r="J947" t="inlineStr">
        <is>
          <t>High</t>
        </is>
      </c>
      <c r="M947" t="inlineStr">
        <is>
          <t>LLM</t>
        </is>
      </c>
      <c r="N947" t="inlineStr">
        <is>
          <t>2026-04-18</t>
        </is>
      </c>
      <c r="O947" t="inlineStr">
        <is>
          <t>AI</t>
        </is>
      </c>
    </row>
    <row r="948">
      <c r="A948" t="inlineStr">
        <is>
          <t>PT Citra Borneo Utama Tbk</t>
        </is>
      </c>
      <c r="B948" t="inlineStr">
        <is>
          <t>CBUT_2024_AR.pdf</t>
        </is>
      </c>
      <c r="C948" t="n">
        <v>2024</v>
      </c>
      <c r="D948" t="inlineStr">
        <is>
          <t>Operation</t>
        </is>
      </c>
      <c r="E948" t="inlineStr">
        <is>
          <t>Palm Olein production</t>
        </is>
      </c>
      <c r="F948" t="n">
        <v>296406</v>
      </c>
      <c r="G948" t="inlineStr">
        <is>
          <t>MT</t>
        </is>
      </c>
      <c r="H948" t="n">
        <v>14</v>
      </c>
      <c r="I948" t="inlineStr">
        <is>
          <t>Total Produksi Palm Olein 296.406 MT</t>
        </is>
      </c>
      <c r="J948" t="inlineStr">
        <is>
          <t>High</t>
        </is>
      </c>
      <c r="M948" t="inlineStr">
        <is>
          <t>LLM</t>
        </is>
      </c>
      <c r="N948" t="inlineStr">
        <is>
          <t>2026-04-18</t>
        </is>
      </c>
      <c r="O948" t="inlineStr">
        <is>
          <t>AI</t>
        </is>
      </c>
    </row>
    <row r="949">
      <c r="A949" t="inlineStr">
        <is>
          <t>PT Citra Borneo Utama Tbk</t>
        </is>
      </c>
      <c r="B949" t="inlineStr">
        <is>
          <t>CBUT_2024_AR.pdf</t>
        </is>
      </c>
      <c r="C949" t="n">
        <v>2024</v>
      </c>
      <c r="D949" t="inlineStr">
        <is>
          <t>Operation</t>
        </is>
      </c>
      <c r="E949" t="inlineStr">
        <is>
          <t>Palm Stearin production</t>
        </is>
      </c>
      <c r="F949" t="n">
        <v>67661</v>
      </c>
      <c r="G949" t="inlineStr">
        <is>
          <t>MT</t>
        </is>
      </c>
      <c r="H949" t="n">
        <v>14</v>
      </c>
      <c r="I949" t="inlineStr">
        <is>
          <t>Total Produksi Palm Stearin 67.661 MT</t>
        </is>
      </c>
      <c r="J949" t="inlineStr">
        <is>
          <t>High</t>
        </is>
      </c>
      <c r="M949" t="inlineStr">
        <is>
          <t>LLM</t>
        </is>
      </c>
      <c r="N949" t="inlineStr">
        <is>
          <t>2026-04-18</t>
        </is>
      </c>
      <c r="O949" t="inlineStr">
        <is>
          <t>AI</t>
        </is>
      </c>
    </row>
    <row r="950">
      <c r="A950" t="inlineStr">
        <is>
          <t>PT Citra Borneo Utama Tbk</t>
        </is>
      </c>
      <c r="B950" t="inlineStr">
        <is>
          <t>CBUT_2024_AR.pdf</t>
        </is>
      </c>
      <c r="C950" t="n">
        <v>2024</v>
      </c>
      <c r="D950" t="inlineStr">
        <is>
          <t>Operation</t>
        </is>
      </c>
      <c r="E950" t="inlineStr">
        <is>
          <t>PFAD production</t>
        </is>
      </c>
      <c r="F950" t="n">
        <v>14659</v>
      </c>
      <c r="G950" t="inlineStr">
        <is>
          <t>MT</t>
        </is>
      </c>
      <c r="H950" t="n">
        <v>14</v>
      </c>
      <c r="I950" t="inlineStr">
        <is>
          <t>Total Produksi PFAD 14.659 MT</t>
        </is>
      </c>
      <c r="J950" t="inlineStr">
        <is>
          <t>High</t>
        </is>
      </c>
      <c r="M950" t="inlineStr">
        <is>
          <t>LLM</t>
        </is>
      </c>
      <c r="N950" t="inlineStr">
        <is>
          <t>2026-04-18</t>
        </is>
      </c>
      <c r="O950" t="inlineStr">
        <is>
          <t>AI</t>
        </is>
      </c>
    </row>
    <row r="951">
      <c r="A951" t="inlineStr">
        <is>
          <t>PT Citra Borneo Utama Tbk</t>
        </is>
      </c>
      <c r="B951" t="inlineStr">
        <is>
          <t>CBUT_2024_AR.pdf</t>
        </is>
      </c>
      <c r="C951" t="n">
        <v>2024</v>
      </c>
      <c r="D951" t="inlineStr">
        <is>
          <t>Operation</t>
        </is>
      </c>
      <c r="E951" t="inlineStr">
        <is>
          <t>RBDPO sales volume</t>
        </is>
      </c>
      <c r="F951" t="n">
        <v>23844</v>
      </c>
      <c r="G951" t="inlineStr">
        <is>
          <t>MT</t>
        </is>
      </c>
      <c r="H951" t="n">
        <v>14</v>
      </c>
      <c r="I951" t="inlineStr">
        <is>
          <t>Volume Penjualan RBDPO 23.844 MT</t>
        </is>
      </c>
      <c r="J951" t="inlineStr">
        <is>
          <t>High</t>
        </is>
      </c>
      <c r="M951" t="inlineStr">
        <is>
          <t>LLM</t>
        </is>
      </c>
      <c r="N951" t="inlineStr">
        <is>
          <t>2026-04-18</t>
        </is>
      </c>
      <c r="O951" t="inlineStr">
        <is>
          <t>AI</t>
        </is>
      </c>
    </row>
    <row r="952">
      <c r="A952" t="inlineStr">
        <is>
          <t>PT Citra Borneo Utama Tbk</t>
        </is>
      </c>
      <c r="B952" t="inlineStr">
        <is>
          <t>CBUT_2024_AR.pdf</t>
        </is>
      </c>
      <c r="C952" t="n">
        <v>2024</v>
      </c>
      <c r="D952" t="inlineStr">
        <is>
          <t>Operation</t>
        </is>
      </c>
      <c r="E952" t="inlineStr">
        <is>
          <t>Palm Olein sales volume</t>
        </is>
      </c>
      <c r="F952" t="n">
        <v>287860</v>
      </c>
      <c r="G952" t="inlineStr">
        <is>
          <t>MT</t>
        </is>
      </c>
      <c r="H952" t="n">
        <v>14</v>
      </c>
      <c r="I952" t="inlineStr">
        <is>
          <t>Volume Penjualan Palm Olein 287.860 MT</t>
        </is>
      </c>
      <c r="J952" t="inlineStr">
        <is>
          <t>High</t>
        </is>
      </c>
      <c r="M952" t="inlineStr">
        <is>
          <t>LLM</t>
        </is>
      </c>
      <c r="N952" t="inlineStr">
        <is>
          <t>2026-04-18</t>
        </is>
      </c>
      <c r="O952" t="inlineStr">
        <is>
          <t>AI</t>
        </is>
      </c>
    </row>
    <row r="953">
      <c r="A953" t="inlineStr">
        <is>
          <t>PT Citra Borneo Utama Tbk</t>
        </is>
      </c>
      <c r="B953" t="inlineStr">
        <is>
          <t>CBUT_2024_AR.pdf</t>
        </is>
      </c>
      <c r="C953" t="n">
        <v>2024</v>
      </c>
      <c r="D953" t="inlineStr">
        <is>
          <t>Operation</t>
        </is>
      </c>
      <c r="E953" t="inlineStr">
        <is>
          <t>Palm Stearin sales volume</t>
        </is>
      </c>
      <c r="F953" t="n">
        <v>64351</v>
      </c>
      <c r="G953" t="inlineStr">
        <is>
          <t>MT</t>
        </is>
      </c>
      <c r="H953" t="n">
        <v>14</v>
      </c>
      <c r="I953" t="inlineStr">
        <is>
          <t>Volume Penjualan Palm Stearin 64.351 MT</t>
        </is>
      </c>
      <c r="J953" t="inlineStr">
        <is>
          <t>High</t>
        </is>
      </c>
      <c r="M953" t="inlineStr">
        <is>
          <t>LLM</t>
        </is>
      </c>
      <c r="N953" t="inlineStr">
        <is>
          <t>2026-04-18</t>
        </is>
      </c>
      <c r="O953" t="inlineStr">
        <is>
          <t>AI</t>
        </is>
      </c>
    </row>
    <row r="954">
      <c r="A954" t="inlineStr">
        <is>
          <t>PT Citra Borneo Utama Tbk</t>
        </is>
      </c>
      <c r="B954" t="inlineStr">
        <is>
          <t>CBUT_2024_AR.pdf</t>
        </is>
      </c>
      <c r="C954" t="n">
        <v>2024</v>
      </c>
      <c r="D954" t="inlineStr">
        <is>
          <t>Operation</t>
        </is>
      </c>
      <c r="E954" t="inlineStr">
        <is>
          <t>PFAD sales volume</t>
        </is>
      </c>
      <c r="F954" t="n">
        <v>16060</v>
      </c>
      <c r="G954" t="inlineStr">
        <is>
          <t>MT</t>
        </is>
      </c>
      <c r="H954" t="n">
        <v>14</v>
      </c>
      <c r="I954" t="inlineStr">
        <is>
          <t>Volume Penjualan PFAD 16.060 MT</t>
        </is>
      </c>
      <c r="J954" t="inlineStr">
        <is>
          <t>High</t>
        </is>
      </c>
      <c r="M954" t="inlineStr">
        <is>
          <t>LLM</t>
        </is>
      </c>
      <c r="N954" t="inlineStr">
        <is>
          <t>2026-04-18</t>
        </is>
      </c>
      <c r="O954" t="inlineStr">
        <is>
          <t>AI</t>
        </is>
      </c>
    </row>
    <row r="955">
      <c r="A955" t="inlineStr">
        <is>
          <t>PT Citra Borneo Utama Tbk</t>
        </is>
      </c>
      <c r="B955" t="inlineStr">
        <is>
          <t>CBUT_2024_AR.pdf</t>
        </is>
      </c>
      <c r="C955" t="n">
        <v>2024</v>
      </c>
      <c r="D955" t="inlineStr">
        <is>
          <t>Operation</t>
        </is>
      </c>
      <c r="E955" t="inlineStr">
        <is>
          <t>Refinery utilization 2024</t>
        </is>
      </c>
      <c r="F955" t="n">
        <v>0.4762</v>
      </c>
      <c r="G955" t="inlineStr">
        <is>
          <t>ratio</t>
        </is>
      </c>
      <c r="H955" t="n">
        <v>92</v>
      </c>
      <c r="I955" t="inlineStr">
        <is>
          <t>Utilisasi Olah 47,62% 91,77% CPO Production</t>
        </is>
      </c>
      <c r="J955" t="inlineStr">
        <is>
          <t>High</t>
        </is>
      </c>
      <c r="M955" t="inlineStr">
        <is>
          <t>LLM</t>
        </is>
      </c>
      <c r="N955" t="inlineStr">
        <is>
          <t>2026-04-18</t>
        </is>
      </c>
      <c r="O955" t="inlineStr">
        <is>
          <t>AI</t>
        </is>
      </c>
    </row>
    <row r="956">
      <c r="A956" t="inlineStr">
        <is>
          <t>PT Citra Borneo Utama Tbk</t>
        </is>
      </c>
      <c r="B956" t="inlineStr">
        <is>
          <t>CBUT_2024_AR.pdf</t>
        </is>
      </c>
      <c r="C956" t="n">
        <v>2024</v>
      </c>
      <c r="D956" t="inlineStr">
        <is>
          <t>Operation</t>
        </is>
      </c>
      <c r="E956" t="inlineStr">
        <is>
          <t>Fractionation utilization 2024</t>
        </is>
      </c>
      <c r="F956" t="n">
        <v>0.4283</v>
      </c>
      <c r="G956" t="inlineStr">
        <is>
          <t>ratio</t>
        </is>
      </c>
      <c r="H956" t="n">
        <v>93</v>
      </c>
      <c r="I956" t="inlineStr">
        <is>
          <t>Utilisasi 42,83% 84,95%</t>
        </is>
      </c>
      <c r="J956" t="inlineStr">
        <is>
          <t>High</t>
        </is>
      </c>
      <c r="M956" t="inlineStr">
        <is>
          <t>LLM</t>
        </is>
      </c>
      <c r="N956" t="inlineStr">
        <is>
          <t>2026-04-18</t>
        </is>
      </c>
      <c r="O956" t="inlineStr">
        <is>
          <t>AI</t>
        </is>
      </c>
    </row>
    <row r="957">
      <c r="A957" t="inlineStr">
        <is>
          <t>PT Citra Borneo Utama Tbk</t>
        </is>
      </c>
      <c r="B957" t="inlineStr">
        <is>
          <t>CBUT_2024_AR.pdf</t>
        </is>
      </c>
      <c r="C957" t="n">
        <v>2024</v>
      </c>
      <c r="D957" t="inlineStr">
        <is>
          <t>Operation</t>
        </is>
      </c>
      <c r="E957" t="inlineStr">
        <is>
          <t>Kernel crushing utilization</t>
        </is>
      </c>
      <c r="F957" t="n">
        <v>0.29</v>
      </c>
      <c r="G957" t="inlineStr">
        <is>
          <t>ratio</t>
        </is>
      </c>
      <c r="H957" t="n">
        <v>93</v>
      </c>
      <c r="I957" t="inlineStr">
        <is>
          <t>Utilisasi 29,00% 35,81%</t>
        </is>
      </c>
      <c r="J957" t="inlineStr">
        <is>
          <t>High</t>
        </is>
      </c>
      <c r="M957" t="inlineStr">
        <is>
          <t>LLM</t>
        </is>
      </c>
      <c r="N957" t="inlineStr">
        <is>
          <t>2026-04-18</t>
        </is>
      </c>
      <c r="O957" t="inlineStr">
        <is>
          <t>AI</t>
        </is>
      </c>
    </row>
    <row r="958">
      <c r="A958" t="inlineStr">
        <is>
          <t>PT Citra Borneo Utama Tbk</t>
        </is>
      </c>
      <c r="B958" t="inlineStr">
        <is>
          <t>CBUT_2024_AR.pdf</t>
        </is>
      </c>
      <c r="C958" t="n">
        <v>2024</v>
      </c>
      <c r="D958" t="inlineStr">
        <is>
          <t>Operation</t>
        </is>
      </c>
      <c r="E958" t="inlineStr">
        <is>
          <t>RBDPO yield</t>
        </is>
      </c>
      <c r="F958" t="n">
        <v>0.9582000000000001</v>
      </c>
      <c r="G958" t="inlineStr">
        <is>
          <t>ratio</t>
        </is>
      </c>
      <c r="H958" t="n">
        <v>92</v>
      </c>
      <c r="I958" t="inlineStr">
        <is>
          <t>RBDPO 95,82% 95,76%</t>
        </is>
      </c>
      <c r="J958" t="inlineStr">
        <is>
          <t>High</t>
        </is>
      </c>
      <c r="M958" t="inlineStr">
        <is>
          <t>LLM</t>
        </is>
      </c>
      <c r="N958" t="inlineStr">
        <is>
          <t>2026-04-18</t>
        </is>
      </c>
      <c r="O958" t="inlineStr">
        <is>
          <t>AI</t>
        </is>
      </c>
    </row>
    <row r="959">
      <c r="A959" t="inlineStr">
        <is>
          <t>PT Citra Borneo Utama Tbk</t>
        </is>
      </c>
      <c r="B959" t="inlineStr">
        <is>
          <t>CBUT_2024_AR.pdf</t>
        </is>
      </c>
      <c r="C959" t="n">
        <v>2024</v>
      </c>
      <c r="D959" t="inlineStr">
        <is>
          <t>Operation</t>
        </is>
      </c>
      <c r="E959" t="inlineStr">
        <is>
          <t>Export sales 2024</t>
        </is>
      </c>
      <c r="F959" t="n">
        <v>7455.661</v>
      </c>
      <c r="G959" t="inlineStr">
        <is>
          <t>IDR bn</t>
        </is>
      </c>
      <c r="H959" t="n">
        <v>97</v>
      </c>
      <c r="I959" t="inlineStr">
        <is>
          <t>Luar Negeri 7.455.661 76,34% 7.992.965 77,46%</t>
        </is>
      </c>
      <c r="J959" t="inlineStr">
        <is>
          <t>High</t>
        </is>
      </c>
      <c r="M959" t="inlineStr">
        <is>
          <t>LLM</t>
        </is>
      </c>
      <c r="N959" t="inlineStr">
        <is>
          <t>2026-04-18</t>
        </is>
      </c>
      <c r="O959" t="inlineStr">
        <is>
          <t>AI</t>
        </is>
      </c>
    </row>
    <row r="960">
      <c r="A960" t="inlineStr">
        <is>
          <t>PT Citra Borneo Utama Tbk</t>
        </is>
      </c>
      <c r="B960" t="inlineStr">
        <is>
          <t>CBUT_2024_AR.pdf</t>
        </is>
      </c>
      <c r="C960" t="n">
        <v>2024</v>
      </c>
      <c r="D960" t="inlineStr">
        <is>
          <t>Operation</t>
        </is>
      </c>
      <c r="E960" t="inlineStr">
        <is>
          <t>Domestic sales 2024</t>
        </is>
      </c>
      <c r="F960" t="n">
        <v>2310.447</v>
      </c>
      <c r="G960" t="inlineStr">
        <is>
          <t>IDR bn</t>
        </is>
      </c>
      <c r="H960" t="n">
        <v>97</v>
      </c>
      <c r="I960" t="inlineStr">
        <is>
          <t>Dalam Negeri 2.310.447 23,66% 2.326.472 22,54%</t>
        </is>
      </c>
      <c r="J960" t="inlineStr">
        <is>
          <t>High</t>
        </is>
      </c>
      <c r="M960" t="inlineStr">
        <is>
          <t>LLM</t>
        </is>
      </c>
      <c r="N960" t="inlineStr">
        <is>
          <t>2026-04-18</t>
        </is>
      </c>
      <c r="O960" t="inlineStr">
        <is>
          <t>AI</t>
        </is>
      </c>
    </row>
    <row r="961">
      <c r="A961" t="inlineStr">
        <is>
          <t>PT Citra Borneo Utama Tbk</t>
        </is>
      </c>
      <c r="B961" t="inlineStr">
        <is>
          <t>CBUT_2024_AR.pdf</t>
        </is>
      </c>
      <c r="C961" t="n">
        <v>2024</v>
      </c>
      <c r="D961" t="inlineStr">
        <is>
          <t>Operation</t>
        </is>
      </c>
      <c r="E961" t="inlineStr">
        <is>
          <t>2025 production target</t>
        </is>
      </c>
      <c r="F961" t="n">
        <v>970000</v>
      </c>
      <c r="G961" t="inlineStr">
        <is>
          <t>MT</t>
        </is>
      </c>
      <c r="H961" t="n">
        <v>108</v>
      </c>
      <c r="I961" t="inlineStr">
        <is>
          <t>Produksi (MT) 970.000 402.492 55,07% Production (MT)</t>
        </is>
      </c>
      <c r="J961" t="inlineStr">
        <is>
          <t>High</t>
        </is>
      </c>
      <c r="M961" t="inlineStr">
        <is>
          <t>LLM</t>
        </is>
      </c>
      <c r="N961" t="inlineStr">
        <is>
          <t>2026-04-18</t>
        </is>
      </c>
      <c r="O961" t="inlineStr">
        <is>
          <t>AI</t>
        </is>
      </c>
    </row>
    <row r="962">
      <c r="A962" t="inlineStr">
        <is>
          <t>PT Citra Borneo Utama Tbk</t>
        </is>
      </c>
      <c r="B962" t="inlineStr">
        <is>
          <t>CBUT_2024_AR.pdf</t>
        </is>
      </c>
      <c r="C962" t="n">
        <v>2024</v>
      </c>
      <c r="D962" t="inlineStr">
        <is>
          <t>Operation</t>
        </is>
      </c>
      <c r="E962" t="inlineStr">
        <is>
          <t>2025 revenue projection</t>
        </is>
      </c>
      <c r="F962" t="n">
        <v>15282.247</v>
      </c>
      <c r="G962" t="inlineStr">
        <is>
          <t>IDR bn</t>
        </is>
      </c>
      <c r="H962" t="n">
        <v>108</v>
      </c>
      <c r="I962" t="inlineStr">
        <is>
          <t>Penjualan (Rp-juta) 15.282.247 9.766.108 36,09%</t>
        </is>
      </c>
      <c r="J962" t="inlineStr">
        <is>
          <t>High</t>
        </is>
      </c>
      <c r="M962" t="inlineStr">
        <is>
          <t>LLM</t>
        </is>
      </c>
      <c r="N962" t="inlineStr">
        <is>
          <t>2026-04-18</t>
        </is>
      </c>
      <c r="O962" t="inlineStr">
        <is>
          <t>AI</t>
        </is>
      </c>
    </row>
    <row r="963">
      <c r="A963" t="inlineStr">
        <is>
          <t>PT Citra Borneo Utama Tbk</t>
        </is>
      </c>
      <c r="B963" t="inlineStr">
        <is>
          <t>CBUT_2024_AR.pdf</t>
        </is>
      </c>
      <c r="C963" t="n">
        <v>2024</v>
      </c>
      <c r="D963" t="inlineStr">
        <is>
          <t>ESG</t>
        </is>
      </c>
      <c r="E963" t="inlineStr">
        <is>
          <t>ISCC certification achieved 2024</t>
        </is>
      </c>
      <c r="F963" t="inlineStr">
        <is>
          <t>Refinery and Fractionation</t>
        </is>
      </c>
      <c r="G963" t="inlineStr">
        <is>
          <t>text</t>
        </is>
      </c>
      <c r="I963" t="inlineStr">
        <is>
          <t>mendapatkannya untuk Refinery dan Fractination... ISCC certifications for its Refinery and Fractionation operations</t>
        </is>
      </c>
      <c r="J963" t="inlineStr">
        <is>
          <t>High</t>
        </is>
      </c>
      <c r="M963" t="inlineStr">
        <is>
          <t>LLM</t>
        </is>
      </c>
      <c r="N963" t="inlineStr">
        <is>
          <t>2026-04-18</t>
        </is>
      </c>
      <c r="O963" t="inlineStr">
        <is>
          <t>AI</t>
        </is>
      </c>
    </row>
    <row r="964">
      <c r="A964" t="inlineStr">
        <is>
          <t>PT Citra Borneo Utama Tbk</t>
        </is>
      </c>
      <c r="B964" t="inlineStr">
        <is>
          <t>CBUT_2024_AR.pdf</t>
        </is>
      </c>
      <c r="C964" t="n">
        <v>2024</v>
      </c>
      <c r="D964" t="inlineStr">
        <is>
          <t>Other</t>
        </is>
      </c>
      <c r="E964" t="inlineStr">
        <is>
          <t>IPO proceeds remaining</t>
        </is>
      </c>
      <c r="F964" t="n">
        <v>65.04000000000001</v>
      </c>
      <c r="G964" t="inlineStr">
        <is>
          <t>IDR bn</t>
        </is>
      </c>
      <c r="H964" t="n">
        <v>115</v>
      </c>
      <c r="I964" t="inlineStr">
        <is>
          <t>Pada akhir tahun 2024, terdapat sisa dana hasil penawaran umum sebesar Rp65.040 juta atau 15,23%</t>
        </is>
      </c>
      <c r="J964" t="inlineStr">
        <is>
          <t>High</t>
        </is>
      </c>
      <c r="M964" t="inlineStr">
        <is>
          <t>LLM</t>
        </is>
      </c>
      <c r="N964" t="inlineStr">
        <is>
          <t>2026-04-18</t>
        </is>
      </c>
      <c r="O964" t="inlineStr">
        <is>
          <t>AI</t>
        </is>
      </c>
    </row>
    <row r="965">
      <c r="A965" t="inlineStr">
        <is>
          <t>PT Citra Borneo Utama Tbk</t>
        </is>
      </c>
      <c r="B965" t="inlineStr">
        <is>
          <t>CBUT_2024_AR.pdf</t>
        </is>
      </c>
      <c r="C965" t="n">
        <v>2024</v>
      </c>
      <c r="D965" t="inlineStr">
        <is>
          <t>Other</t>
        </is>
      </c>
      <c r="E965" t="inlineStr">
        <is>
          <t>Export tax rate increase</t>
        </is>
      </c>
      <c r="F965" t="inlineStr">
        <is>
          <t>9% to 11%</t>
        </is>
      </c>
      <c r="G965" t="inlineStr">
        <is>
          <t>text</t>
        </is>
      </c>
      <c r="H965" t="n">
        <v>103</v>
      </c>
      <c r="I965" t="inlineStr">
        <is>
          <t>kenaikan golongan tarif Pajak Ekspor (Levy &amp; BK) dari rata-rata 9% pada tahun 2023 menjadi rata-rata 11% pada tahun 2024</t>
        </is>
      </c>
      <c r="J965" t="inlineStr">
        <is>
          <t>High</t>
        </is>
      </c>
      <c r="M965" t="inlineStr">
        <is>
          <t>LLM</t>
        </is>
      </c>
      <c r="N965" t="inlineStr">
        <is>
          <t>2026-04-18</t>
        </is>
      </c>
      <c r="O965" t="inlineStr">
        <is>
          <t>AI</t>
        </is>
      </c>
    </row>
    <row r="966">
      <c r="A966" t="inlineStr">
        <is>
          <t>PT Citra Borneo Utama Tbk</t>
        </is>
      </c>
      <c r="B966" t="inlineStr">
        <is>
          <t>CBUT_2025_AR.pdf</t>
        </is>
      </c>
      <c r="C966" t="n">
        <v>2025</v>
      </c>
      <c r="D966" t="inlineStr">
        <is>
          <t>Company</t>
        </is>
      </c>
      <c r="E966" t="inlineStr">
        <is>
          <t>Shareholder - SSMS</t>
        </is>
      </c>
      <c r="F966" t="n">
        <v>0.7022</v>
      </c>
      <c r="G966" t="inlineStr">
        <is>
          <t>ratio</t>
        </is>
      </c>
      <c r="H966" t="n">
        <v>45</v>
      </c>
      <c r="I966" t="inlineStr">
        <is>
          <t>PT Sawit Sumbermas Sarana Tbk 2.194.263.700 70,22</t>
        </is>
      </c>
      <c r="J966" t="inlineStr">
        <is>
          <t>High</t>
        </is>
      </c>
      <c r="M966" t="inlineStr">
        <is>
          <t>LLM</t>
        </is>
      </c>
      <c r="N966" t="inlineStr">
        <is>
          <t>2026-04-18</t>
        </is>
      </c>
      <c r="O966" t="inlineStr">
        <is>
          <t>AI</t>
        </is>
      </c>
    </row>
    <row r="967">
      <c r="A967" t="inlineStr">
        <is>
          <t>PT Citra Borneo Utama Tbk</t>
        </is>
      </c>
      <c r="B967" t="inlineStr">
        <is>
          <t>CBUT_2025_AR.pdf</t>
        </is>
      </c>
      <c r="C967" t="n">
        <v>2025</v>
      </c>
      <c r="D967" t="inlineStr">
        <is>
          <t>Company</t>
        </is>
      </c>
      <c r="E967" t="inlineStr">
        <is>
          <t>Shareholder - Maybank GGF Singapore</t>
        </is>
      </c>
      <c r="F967" t="n">
        <v>0.1101</v>
      </c>
      <c r="G967" t="inlineStr">
        <is>
          <t>ratio</t>
        </is>
      </c>
      <c r="H967" t="n">
        <v>45</v>
      </c>
      <c r="I967" t="inlineStr">
        <is>
          <t>11,01% Maybank Global Growth Fund Singapore</t>
        </is>
      </c>
      <c r="J967" t="inlineStr">
        <is>
          <t>High</t>
        </is>
      </c>
      <c r="M967" t="inlineStr">
        <is>
          <t>LLM</t>
        </is>
      </c>
      <c r="N967" t="inlineStr">
        <is>
          <t>2026-04-18</t>
        </is>
      </c>
      <c r="O967" t="inlineStr">
        <is>
          <t>AI</t>
        </is>
      </c>
    </row>
    <row r="968">
      <c r="A968" t="inlineStr">
        <is>
          <t>PT Citra Borneo Utama Tbk</t>
        </is>
      </c>
      <c r="B968" t="inlineStr">
        <is>
          <t>CBUT_2025_AR.pdf</t>
        </is>
      </c>
      <c r="C968" t="n">
        <v>2025</v>
      </c>
      <c r="D968" t="inlineStr">
        <is>
          <t>Company</t>
        </is>
      </c>
      <c r="E968" t="inlineStr">
        <is>
          <t>Shareholder - CBI</t>
        </is>
      </c>
      <c r="F968" t="n">
        <v>0.0178</v>
      </c>
      <c r="G968" t="inlineStr">
        <is>
          <t>ratio</t>
        </is>
      </c>
      <c r="H968" t="n">
        <v>45</v>
      </c>
      <c r="I968" t="inlineStr">
        <is>
          <t>1,78% PT Citra Borneo Indah</t>
        </is>
      </c>
      <c r="J968" t="inlineStr">
        <is>
          <t>High</t>
        </is>
      </c>
      <c r="M968" t="inlineStr">
        <is>
          <t>LLM</t>
        </is>
      </c>
      <c r="N968" t="inlineStr">
        <is>
          <t>2026-04-18</t>
        </is>
      </c>
      <c r="O968" t="inlineStr">
        <is>
          <t>AI</t>
        </is>
      </c>
    </row>
    <row r="969">
      <c r="A969" t="inlineStr">
        <is>
          <t>PT Citra Borneo Utama Tbk</t>
        </is>
      </c>
      <c r="B969" t="inlineStr">
        <is>
          <t>CBUT_2025_AR.pdf</t>
        </is>
      </c>
      <c r="C969" t="n">
        <v>2025</v>
      </c>
      <c r="D969" t="inlineStr">
        <is>
          <t>Company</t>
        </is>
      </c>
      <c r="E969" t="inlineStr">
        <is>
          <t>Launched cooking oil brand</t>
        </is>
      </c>
      <c r="F969" t="inlineStr">
        <is>
          <t>Hanau</t>
        </is>
      </c>
      <c r="G969" t="inlineStr">
        <is>
          <t>text</t>
        </is>
      </c>
      <c r="H969" t="n">
        <v>12</v>
      </c>
      <c r="I969" t="inlineStr">
        <is>
          <t>Peluncuran Minyak Goreng Sawit 'Hanau' Launched the Palm Cooking Oil 'Hanau'</t>
        </is>
      </c>
      <c r="J969" t="inlineStr">
        <is>
          <t>High</t>
        </is>
      </c>
      <c r="M969" t="inlineStr">
        <is>
          <t>LLM</t>
        </is>
      </c>
      <c r="N969" t="inlineStr">
        <is>
          <t>2026-04-18</t>
        </is>
      </c>
      <c r="O969" t="inlineStr">
        <is>
          <t>AI</t>
        </is>
      </c>
    </row>
    <row r="970">
      <c r="A970" t="inlineStr">
        <is>
          <t>PT Citra Borneo Utama Tbk</t>
        </is>
      </c>
      <c r="B970" t="inlineStr">
        <is>
          <t>CBUT_2025_AR.pdf</t>
        </is>
      </c>
      <c r="C970" t="n">
        <v>2025</v>
      </c>
      <c r="D970" t="inlineStr">
        <is>
          <t>Company</t>
        </is>
      </c>
      <c r="E970" t="inlineStr">
        <is>
          <t>Group parent</t>
        </is>
      </c>
      <c r="F970" t="inlineStr">
        <is>
          <t>PT Citra Borneo Indah (via SSMS)</t>
        </is>
      </c>
      <c r="G970" t="inlineStr">
        <is>
          <t>text</t>
        </is>
      </c>
      <c r="H970" t="n">
        <v>45</v>
      </c>
      <c r="I970" t="inlineStr">
        <is>
          <t>Perseroan merupakan anak usaha dari PT Sawit Sumbermas Sarana Tbk... di bawah naungan PT Citra Borneo Indah</t>
        </is>
      </c>
      <c r="J970" t="inlineStr">
        <is>
          <t>High</t>
        </is>
      </c>
      <c r="M970" t="inlineStr">
        <is>
          <t>LLM</t>
        </is>
      </c>
      <c r="N970" t="inlineStr">
        <is>
          <t>2026-04-18</t>
        </is>
      </c>
      <c r="O970" t="inlineStr">
        <is>
          <t>AI</t>
        </is>
      </c>
    </row>
    <row r="971">
      <c r="A971" t="inlineStr">
        <is>
          <t>PT Citra Borneo Utama Tbk</t>
        </is>
      </c>
      <c r="B971" t="inlineStr">
        <is>
          <t>CBUT_2025_AR.pdf</t>
        </is>
      </c>
      <c r="C971" t="n">
        <v>2025</v>
      </c>
      <c r="D971" t="inlineStr">
        <is>
          <t>Financial</t>
        </is>
      </c>
      <c r="E971" t="inlineStr">
        <is>
          <t>Revenue 2025</t>
        </is>
      </c>
      <c r="F971" t="n">
        <v>13970.811</v>
      </c>
      <c r="G971" t="inlineStr">
        <is>
          <t>IDR bn</t>
        </is>
      </c>
      <c r="H971" t="n">
        <v>14</v>
      </c>
      <c r="I971" t="inlineStr">
        <is>
          <t>Pendapatan dari Kontrak dengan Pelanggan 13.970.811 9.766.108 10.319.437 4.204.703 43,05%</t>
        </is>
      </c>
      <c r="J971" t="inlineStr">
        <is>
          <t>High</t>
        </is>
      </c>
      <c r="M971" t="inlineStr">
        <is>
          <t>LLM</t>
        </is>
      </c>
      <c r="N971" t="inlineStr">
        <is>
          <t>2026-04-18</t>
        </is>
      </c>
      <c r="O971" t="inlineStr">
        <is>
          <t>AI</t>
        </is>
      </c>
    </row>
    <row r="972">
      <c r="A972" t="inlineStr">
        <is>
          <t>PT Citra Borneo Utama Tbk</t>
        </is>
      </c>
      <c r="B972" t="inlineStr">
        <is>
          <t>CBUT_2025_AR.pdf</t>
        </is>
      </c>
      <c r="C972" t="n">
        <v>2025</v>
      </c>
      <c r="D972" t="inlineStr">
        <is>
          <t>Financial</t>
        </is>
      </c>
      <c r="E972" t="inlineStr">
        <is>
          <t>COGS 2025</t>
        </is>
      </c>
      <c r="F972" t="n">
        <v>-11988.509</v>
      </c>
      <c r="G972" t="inlineStr">
        <is>
          <t>IDR bn</t>
        </is>
      </c>
      <c r="H972" t="n">
        <v>14</v>
      </c>
      <c r="I972" t="inlineStr">
        <is>
          <t>Beban Pokok Penjualan (11.988.509) (8.693.813) (9.004.930)</t>
        </is>
      </c>
      <c r="J972" t="inlineStr">
        <is>
          <t>High</t>
        </is>
      </c>
      <c r="M972" t="inlineStr">
        <is>
          <t>LLM</t>
        </is>
      </c>
      <c r="N972" t="inlineStr">
        <is>
          <t>2026-04-18</t>
        </is>
      </c>
      <c r="O972" t="inlineStr">
        <is>
          <t>AI</t>
        </is>
      </c>
    </row>
    <row r="973">
      <c r="A973" t="inlineStr">
        <is>
          <t>PT Citra Borneo Utama Tbk</t>
        </is>
      </c>
      <c r="B973" t="inlineStr">
        <is>
          <t>CBUT_2025_AR.pdf</t>
        </is>
      </c>
      <c r="C973" t="n">
        <v>2025</v>
      </c>
      <c r="D973" t="inlineStr">
        <is>
          <t>Financial</t>
        </is>
      </c>
      <c r="E973" t="inlineStr">
        <is>
          <t>Gross profit 2025</t>
        </is>
      </c>
      <c r="F973" t="n">
        <v>1982.302</v>
      </c>
      <c r="G973" t="inlineStr">
        <is>
          <t>IDR bn</t>
        </is>
      </c>
      <c r="H973" t="n">
        <v>14</v>
      </c>
      <c r="I973" t="inlineStr">
        <is>
          <t>Laba Bruto 1.982.302 1.072.295 1.314.507 910.007 84,87%</t>
        </is>
      </c>
      <c r="J973" t="inlineStr">
        <is>
          <t>High</t>
        </is>
      </c>
      <c r="M973" t="inlineStr">
        <is>
          <t>LLM</t>
        </is>
      </c>
      <c r="N973" t="inlineStr">
        <is>
          <t>2026-04-18</t>
        </is>
      </c>
      <c r="O973" t="inlineStr">
        <is>
          <t>AI</t>
        </is>
      </c>
    </row>
    <row r="974">
      <c r="A974" t="inlineStr">
        <is>
          <t>PT Citra Borneo Utama Tbk</t>
        </is>
      </c>
      <c r="B974" t="inlineStr">
        <is>
          <t>CBUT_2025_AR.pdf</t>
        </is>
      </c>
      <c r="C974" t="n">
        <v>2025</v>
      </c>
      <c r="D974" t="inlineStr">
        <is>
          <t>Financial</t>
        </is>
      </c>
      <c r="E974" t="inlineStr">
        <is>
          <t>Operating profit 2025</t>
        </is>
      </c>
      <c r="F974" t="n">
        <v>366.418</v>
      </c>
      <c r="G974" t="inlineStr">
        <is>
          <t>IDR bn</t>
        </is>
      </c>
      <c r="H974" t="n">
        <v>14</v>
      </c>
      <c r="I974" t="inlineStr">
        <is>
          <t>Laba Usaha 366.418 103.171 311.759 263.247 255,16%</t>
        </is>
      </c>
      <c r="J974" t="inlineStr">
        <is>
          <t>High</t>
        </is>
      </c>
      <c r="M974" t="inlineStr">
        <is>
          <t>LLM</t>
        </is>
      </c>
      <c r="N974" t="inlineStr">
        <is>
          <t>2026-04-18</t>
        </is>
      </c>
      <c r="O974" t="inlineStr">
        <is>
          <t>AI</t>
        </is>
      </c>
    </row>
    <row r="975">
      <c r="A975" t="inlineStr">
        <is>
          <t>PT Citra Borneo Utama Tbk</t>
        </is>
      </c>
      <c r="B975" t="inlineStr">
        <is>
          <t>CBUT_2025_AR.pdf</t>
        </is>
      </c>
      <c r="C975" t="n">
        <v>2025</v>
      </c>
      <c r="D975" t="inlineStr">
        <is>
          <t>Financial</t>
        </is>
      </c>
      <c r="E975" t="inlineStr">
        <is>
          <t>Profit before tax 2025</t>
        </is>
      </c>
      <c r="F975" t="n">
        <v>148.441</v>
      </c>
      <c r="G975" t="inlineStr">
        <is>
          <t>IDR bn</t>
        </is>
      </c>
      <c r="H975" t="n">
        <v>14</v>
      </c>
      <c r="I975" t="inlineStr">
        <is>
          <t>Laba Sebelum Pajak Penghasilan 148.441 78.409 176.669</t>
        </is>
      </c>
      <c r="J975" t="inlineStr">
        <is>
          <t>High</t>
        </is>
      </c>
      <c r="M975" t="inlineStr">
        <is>
          <t>LLM</t>
        </is>
      </c>
      <c r="N975" t="inlineStr">
        <is>
          <t>2026-04-18</t>
        </is>
      </c>
      <c r="O975" t="inlineStr">
        <is>
          <t>AI</t>
        </is>
      </c>
    </row>
    <row r="976">
      <c r="A976" t="inlineStr">
        <is>
          <t>PT Citra Borneo Utama Tbk</t>
        </is>
      </c>
      <c r="B976" t="inlineStr">
        <is>
          <t>CBUT_2025_AR.pdf</t>
        </is>
      </c>
      <c r="C976" t="n">
        <v>2025</v>
      </c>
      <c r="D976" t="inlineStr">
        <is>
          <t>Financial</t>
        </is>
      </c>
      <c r="E976" t="inlineStr">
        <is>
          <t>Net profit 2025</t>
        </is>
      </c>
      <c r="F976" t="n">
        <v>106.175</v>
      </c>
      <c r="G976" t="inlineStr">
        <is>
          <t>IDR bn</t>
        </is>
      </c>
      <c r="H976" t="n">
        <v>14</v>
      </c>
      <c r="I976" t="inlineStr">
        <is>
          <t>Laba Tahun Berjalan 106.175 68.186 144.242 37.989 55,71%</t>
        </is>
      </c>
      <c r="J976" t="inlineStr">
        <is>
          <t>High</t>
        </is>
      </c>
      <c r="M976" t="inlineStr">
        <is>
          <t>LLM</t>
        </is>
      </c>
      <c r="N976" t="inlineStr">
        <is>
          <t>2026-04-18</t>
        </is>
      </c>
      <c r="O976" t="inlineStr">
        <is>
          <t>AI</t>
        </is>
      </c>
    </row>
    <row r="977">
      <c r="A977" t="inlineStr">
        <is>
          <t>PT Citra Borneo Utama Tbk</t>
        </is>
      </c>
      <c r="B977" t="inlineStr">
        <is>
          <t>CBUT_2025_AR.pdf</t>
        </is>
      </c>
      <c r="C977" t="n">
        <v>2025</v>
      </c>
      <c r="D977" t="inlineStr">
        <is>
          <t>Financial</t>
        </is>
      </c>
      <c r="E977" t="inlineStr">
        <is>
          <t>EPS 2025</t>
        </is>
      </c>
      <c r="F977" t="n">
        <v>33.98</v>
      </c>
      <c r="G977" t="inlineStr">
        <is>
          <t>IDR/share</t>
        </is>
      </c>
      <c r="H977" t="n">
        <v>14</v>
      </c>
      <c r="I977" t="inlineStr">
        <is>
          <t>Laba per Saham Dasar (Angka Penuh) 33,98 21,82 46,16</t>
        </is>
      </c>
      <c r="J977" t="inlineStr">
        <is>
          <t>High</t>
        </is>
      </c>
      <c r="M977" t="inlineStr">
        <is>
          <t>LLM</t>
        </is>
      </c>
      <c r="N977" t="inlineStr">
        <is>
          <t>2026-04-18</t>
        </is>
      </c>
      <c r="O977" t="inlineStr">
        <is>
          <t>AI</t>
        </is>
      </c>
    </row>
    <row r="978">
      <c r="A978" t="inlineStr">
        <is>
          <t>PT Citra Borneo Utama Tbk</t>
        </is>
      </c>
      <c r="B978" t="inlineStr">
        <is>
          <t>CBUT_2025_AR.pdf</t>
        </is>
      </c>
      <c r="C978" t="n">
        <v>2025</v>
      </c>
      <c r="D978" t="inlineStr">
        <is>
          <t>Financial</t>
        </is>
      </c>
      <c r="E978" t="inlineStr">
        <is>
          <t>Total assets 2025</t>
        </is>
      </c>
      <c r="F978" t="n">
        <v>4117.814</v>
      </c>
      <c r="G978" t="inlineStr">
        <is>
          <t>IDR bn</t>
        </is>
      </c>
      <c r="H978" t="n">
        <v>14</v>
      </c>
      <c r="I978" t="inlineStr">
        <is>
          <t>Total Aset 4.117.814 4.200.319 4.336.194</t>
        </is>
      </c>
      <c r="J978" t="inlineStr">
        <is>
          <t>High</t>
        </is>
      </c>
      <c r="M978" t="inlineStr">
        <is>
          <t>LLM</t>
        </is>
      </c>
      <c r="N978" t="inlineStr">
        <is>
          <t>2026-04-18</t>
        </is>
      </c>
      <c r="O978" t="inlineStr">
        <is>
          <t>AI</t>
        </is>
      </c>
    </row>
    <row r="979">
      <c r="A979" t="inlineStr">
        <is>
          <t>PT Citra Borneo Utama Tbk</t>
        </is>
      </c>
      <c r="B979" t="inlineStr">
        <is>
          <t>CBUT_2025_AR.pdf</t>
        </is>
      </c>
      <c r="C979" t="n">
        <v>2025</v>
      </c>
      <c r="D979" t="inlineStr">
        <is>
          <t>Financial</t>
        </is>
      </c>
      <c r="E979" t="inlineStr">
        <is>
          <t>Current assets 2025</t>
        </is>
      </c>
      <c r="F979" t="n">
        <v>2811.84</v>
      </c>
      <c r="G979" t="inlineStr">
        <is>
          <t>IDR bn</t>
        </is>
      </c>
      <c r="H979" t="n">
        <v>14</v>
      </c>
      <c r="I979" t="inlineStr">
        <is>
          <t>Total Aset Lancar 2.811.840 3.591.721 3.925.960</t>
        </is>
      </c>
      <c r="J979" t="inlineStr">
        <is>
          <t>High</t>
        </is>
      </c>
      <c r="M979" t="inlineStr">
        <is>
          <t>LLM</t>
        </is>
      </c>
      <c r="N979" t="inlineStr">
        <is>
          <t>2026-04-18</t>
        </is>
      </c>
      <c r="O979" t="inlineStr">
        <is>
          <t>AI</t>
        </is>
      </c>
    </row>
    <row r="980">
      <c r="A980" t="inlineStr">
        <is>
          <t>PT Citra Borneo Utama Tbk</t>
        </is>
      </c>
      <c r="B980" t="inlineStr">
        <is>
          <t>CBUT_2025_AR.pdf</t>
        </is>
      </c>
      <c r="C980" t="n">
        <v>2025</v>
      </c>
      <c r="D980" t="inlineStr">
        <is>
          <t>Financial</t>
        </is>
      </c>
      <c r="E980" t="inlineStr">
        <is>
          <t>Non-current assets 2025</t>
        </is>
      </c>
      <c r="F980" t="n">
        <v>1305.974</v>
      </c>
      <c r="G980" t="inlineStr">
        <is>
          <t>IDR bn</t>
        </is>
      </c>
      <c r="H980" t="n">
        <v>14</v>
      </c>
      <c r="I980" t="inlineStr">
        <is>
          <t>Total Aset Tidak Lancar 1.305.974 608.598 410.234</t>
        </is>
      </c>
      <c r="J980" t="inlineStr">
        <is>
          <t>High</t>
        </is>
      </c>
      <c r="M980" t="inlineStr">
        <is>
          <t>LLM</t>
        </is>
      </c>
      <c r="N980" t="inlineStr">
        <is>
          <t>2026-04-18</t>
        </is>
      </c>
      <c r="O980" t="inlineStr">
        <is>
          <t>AI</t>
        </is>
      </c>
    </row>
    <row r="981">
      <c r="A981" t="inlineStr">
        <is>
          <t>PT Citra Borneo Utama Tbk</t>
        </is>
      </c>
      <c r="B981" t="inlineStr">
        <is>
          <t>CBUT_2025_AR.pdf</t>
        </is>
      </c>
      <c r="C981" t="n">
        <v>2025</v>
      </c>
      <c r="D981" t="inlineStr">
        <is>
          <t>Financial</t>
        </is>
      </c>
      <c r="E981" t="inlineStr">
        <is>
          <t>Total liabilities 2025</t>
        </is>
      </c>
      <c r="F981" t="n">
        <v>3007.199</v>
      </c>
      <c r="G981" t="inlineStr">
        <is>
          <t>IDR bn</t>
        </is>
      </c>
      <c r="H981" t="n">
        <v>14</v>
      </c>
      <c r="I981" t="inlineStr">
        <is>
          <t>Total Liabilitas 3.007.199 3.231.021 3.433.778</t>
        </is>
      </c>
      <c r="J981" t="inlineStr">
        <is>
          <t>High</t>
        </is>
      </c>
      <c r="M981" t="inlineStr">
        <is>
          <t>LLM</t>
        </is>
      </c>
      <c r="N981" t="inlineStr">
        <is>
          <t>2026-04-18</t>
        </is>
      </c>
      <c r="O981" t="inlineStr">
        <is>
          <t>AI</t>
        </is>
      </c>
    </row>
    <row r="982">
      <c r="A982" t="inlineStr">
        <is>
          <t>PT Citra Borneo Utama Tbk</t>
        </is>
      </c>
      <c r="B982" t="inlineStr">
        <is>
          <t>CBUT_2025_AR.pdf</t>
        </is>
      </c>
      <c r="C982" t="n">
        <v>2025</v>
      </c>
      <c r="D982" t="inlineStr">
        <is>
          <t>Financial</t>
        </is>
      </c>
      <c r="E982" t="inlineStr">
        <is>
          <t>Current liabilities</t>
        </is>
      </c>
      <c r="F982" t="n">
        <v>2286.662</v>
      </c>
      <c r="G982" t="inlineStr">
        <is>
          <t>IDR bn</t>
        </is>
      </c>
      <c r="H982" t="n">
        <v>14</v>
      </c>
      <c r="I982" t="inlineStr">
        <is>
          <t>Total Liabilitas Jangka Pendek 2.286.662 2.547.153</t>
        </is>
      </c>
      <c r="J982" t="inlineStr">
        <is>
          <t>High</t>
        </is>
      </c>
      <c r="M982" t="inlineStr">
        <is>
          <t>LLM</t>
        </is>
      </c>
      <c r="N982" t="inlineStr">
        <is>
          <t>2026-04-18</t>
        </is>
      </c>
      <c r="O982" t="inlineStr">
        <is>
          <t>AI</t>
        </is>
      </c>
    </row>
    <row r="983">
      <c r="A983" t="inlineStr">
        <is>
          <t>PT Citra Borneo Utama Tbk</t>
        </is>
      </c>
      <c r="B983" t="inlineStr">
        <is>
          <t>CBUT_2025_AR.pdf</t>
        </is>
      </c>
      <c r="C983" t="n">
        <v>2025</v>
      </c>
      <c r="D983" t="inlineStr">
        <is>
          <t>Financial</t>
        </is>
      </c>
      <c r="E983" t="inlineStr">
        <is>
          <t>Long-term liabilities</t>
        </is>
      </c>
      <c r="F983" t="n">
        <v>720.537</v>
      </c>
      <c r="G983" t="inlineStr">
        <is>
          <t>IDR bn</t>
        </is>
      </c>
      <c r="H983" t="n">
        <v>14</v>
      </c>
      <c r="I983" t="inlineStr">
        <is>
          <t>Total Liabilitas Jangka Panjang 720.537 683.868</t>
        </is>
      </c>
      <c r="J983" t="inlineStr">
        <is>
          <t>High</t>
        </is>
      </c>
      <c r="M983" t="inlineStr">
        <is>
          <t>LLM</t>
        </is>
      </c>
      <c r="N983" t="inlineStr">
        <is>
          <t>2026-04-18</t>
        </is>
      </c>
      <c r="O983" t="inlineStr">
        <is>
          <t>AI</t>
        </is>
      </c>
    </row>
    <row r="984">
      <c r="A984" t="inlineStr">
        <is>
          <t>PT Citra Borneo Utama Tbk</t>
        </is>
      </c>
      <c r="B984" t="inlineStr">
        <is>
          <t>CBUT_2025_AR.pdf</t>
        </is>
      </c>
      <c r="C984" t="n">
        <v>2025</v>
      </c>
      <c r="D984" t="inlineStr">
        <is>
          <t>Financial</t>
        </is>
      </c>
      <c r="E984" t="inlineStr">
        <is>
          <t>Total equity 2025</t>
        </is>
      </c>
      <c r="F984" t="n">
        <v>1110.615</v>
      </c>
      <c r="G984" t="inlineStr">
        <is>
          <t>IDR bn</t>
        </is>
      </c>
      <c r="H984" t="n">
        <v>14</v>
      </c>
      <c r="I984" t="inlineStr">
        <is>
          <t>Total Ekuitas 1.110.615 969.298 902.416 141.317 14,58%</t>
        </is>
      </c>
      <c r="J984" t="inlineStr">
        <is>
          <t>High</t>
        </is>
      </c>
      <c r="M984" t="inlineStr">
        <is>
          <t>LLM</t>
        </is>
      </c>
      <c r="N984" t="inlineStr">
        <is>
          <t>2026-04-18</t>
        </is>
      </c>
      <c r="O984" t="inlineStr">
        <is>
          <t>AI</t>
        </is>
      </c>
    </row>
    <row r="985">
      <c r="A985" t="inlineStr">
        <is>
          <t>PT Citra Borneo Utama Tbk</t>
        </is>
      </c>
      <c r="B985" t="inlineStr">
        <is>
          <t>CBUT_2025_AR.pdf</t>
        </is>
      </c>
      <c r="C985" t="n">
        <v>2025</v>
      </c>
      <c r="D985" t="inlineStr">
        <is>
          <t>Financial</t>
        </is>
      </c>
      <c r="E985" t="inlineStr">
        <is>
          <t>Cash and equivalents</t>
        </is>
      </c>
      <c r="F985" t="n">
        <v>284.835</v>
      </c>
      <c r="G985" t="inlineStr">
        <is>
          <t>IDR bn</t>
        </is>
      </c>
      <c r="I985" t="inlineStr">
        <is>
          <t>Kas dan setara kas 284.835 234.104 Cash and cash equivalents</t>
        </is>
      </c>
      <c r="J985" t="inlineStr">
        <is>
          <t>High</t>
        </is>
      </c>
      <c r="M985" t="inlineStr">
        <is>
          <t>LLM</t>
        </is>
      </c>
      <c r="N985" t="inlineStr">
        <is>
          <t>2026-04-18</t>
        </is>
      </c>
      <c r="O985" t="inlineStr">
        <is>
          <t>AI</t>
        </is>
      </c>
    </row>
    <row r="986">
      <c r="A986" t="inlineStr">
        <is>
          <t>PT Citra Borneo Utama Tbk</t>
        </is>
      </c>
      <c r="B986" t="inlineStr">
        <is>
          <t>CBUT_2025_AR.pdf</t>
        </is>
      </c>
      <c r="C986" t="n">
        <v>2025</v>
      </c>
      <c r="D986" t="inlineStr">
        <is>
          <t>Financial</t>
        </is>
      </c>
      <c r="E986" t="inlineStr">
        <is>
          <t>ST bank loans 2025</t>
        </is>
      </c>
      <c r="F986" t="n">
        <v>1218.493</v>
      </c>
      <c r="G986" t="inlineStr">
        <is>
          <t>IDR bn</t>
        </is>
      </c>
      <c r="I986" t="inlineStr">
        <is>
          <t>Pinjaman bank jangka pendek 1.218.493 1.944.959 Short-term bank loans</t>
        </is>
      </c>
      <c r="J986" t="inlineStr">
        <is>
          <t>High</t>
        </is>
      </c>
      <c r="M986" t="inlineStr">
        <is>
          <t>LLM</t>
        </is>
      </c>
      <c r="N986" t="inlineStr">
        <is>
          <t>2026-04-18</t>
        </is>
      </c>
      <c r="O986" t="inlineStr">
        <is>
          <t>AI</t>
        </is>
      </c>
    </row>
    <row r="987">
      <c r="A987" t="inlineStr">
        <is>
          <t>PT Citra Borneo Utama Tbk</t>
        </is>
      </c>
      <c r="B987" t="inlineStr">
        <is>
          <t>CBUT_2025_AR.pdf</t>
        </is>
      </c>
      <c r="C987" t="n">
        <v>2025</v>
      </c>
      <c r="D987" t="inlineStr">
        <is>
          <t>Financial</t>
        </is>
      </c>
      <c r="E987" t="inlineStr">
        <is>
          <t>LT bank loans (non-current)</t>
        </is>
      </c>
      <c r="F987" t="n">
        <v>554.518</v>
      </c>
      <c r="G987" t="inlineStr">
        <is>
          <t>IDR bn</t>
        </is>
      </c>
      <c r="I987" t="inlineStr">
        <is>
          <t>Pinjaman bank jangka panjang... 554.518 679.348 net of current maturities</t>
        </is>
      </c>
      <c r="J987" t="inlineStr">
        <is>
          <t>High</t>
        </is>
      </c>
      <c r="M987" t="inlineStr">
        <is>
          <t>LLM</t>
        </is>
      </c>
      <c r="N987" t="inlineStr">
        <is>
          <t>2026-04-18</t>
        </is>
      </c>
      <c r="O987" t="inlineStr">
        <is>
          <t>AI</t>
        </is>
      </c>
    </row>
    <row r="988">
      <c r="A988" t="inlineStr">
        <is>
          <t>PT Citra Borneo Utama Tbk</t>
        </is>
      </c>
      <c r="B988" t="inlineStr">
        <is>
          <t>CBUT_2025_AR.pdf</t>
        </is>
      </c>
      <c r="C988" t="n">
        <v>2025</v>
      </c>
      <c r="D988" t="inlineStr">
        <is>
          <t>Financial</t>
        </is>
      </c>
      <c r="E988" t="inlineStr">
        <is>
          <t>Current portion of LT bank loans</t>
        </is>
      </c>
      <c r="F988" t="n">
        <v>124.83</v>
      </c>
      <c r="G988" t="inlineStr">
        <is>
          <t>IDR bn</t>
        </is>
      </c>
      <c r="I988" t="inlineStr">
        <is>
          <t>jatuh tempo dalam waktu satu tahun 124.830 89.830 of long-term bank loans</t>
        </is>
      </c>
      <c r="J988" t="inlineStr">
        <is>
          <t>High</t>
        </is>
      </c>
      <c r="M988" t="inlineStr">
        <is>
          <t>LLM</t>
        </is>
      </c>
      <c r="N988" t="inlineStr">
        <is>
          <t>2026-04-18</t>
        </is>
      </c>
      <c r="O988" t="inlineStr">
        <is>
          <t>AI</t>
        </is>
      </c>
    </row>
    <row r="989">
      <c r="A989" t="inlineStr">
        <is>
          <t>PT Citra Borneo Utama Tbk</t>
        </is>
      </c>
      <c r="B989" t="inlineStr">
        <is>
          <t>CBUT_2025_AR.pdf</t>
        </is>
      </c>
      <c r="C989" t="n">
        <v>2025</v>
      </c>
      <c r="D989" t="inlineStr">
        <is>
          <t>Financial</t>
        </is>
      </c>
      <c r="E989" t="inlineStr">
        <is>
          <t>CFO 2025</t>
        </is>
      </c>
      <c r="F989" t="n">
        <v>395.712</v>
      </c>
      <c r="G989" t="inlineStr">
        <is>
          <t>IDR bn</t>
        </is>
      </c>
      <c r="H989" t="n">
        <v>105</v>
      </c>
      <c r="I989" t="inlineStr">
        <is>
          <t>Arus Kas Bersih untuk Aktivitas Operasi 395.712 9.001 386.711 4.296,31%</t>
        </is>
      </c>
      <c r="J989" t="inlineStr">
        <is>
          <t>High</t>
        </is>
      </c>
      <c r="M989" t="inlineStr">
        <is>
          <t>LLM</t>
        </is>
      </c>
      <c r="N989" t="inlineStr">
        <is>
          <t>2026-04-18</t>
        </is>
      </c>
      <c r="O989" t="inlineStr">
        <is>
          <t>AI</t>
        </is>
      </c>
    </row>
    <row r="990">
      <c r="A990" t="inlineStr">
        <is>
          <t>PT Citra Borneo Utama Tbk</t>
        </is>
      </c>
      <c r="B990" t="inlineStr">
        <is>
          <t>CBUT_2025_AR.pdf</t>
        </is>
      </c>
      <c r="C990" t="n">
        <v>2025</v>
      </c>
      <c r="D990" t="inlineStr">
        <is>
          <t>Financial</t>
        </is>
      </c>
      <c r="E990" t="inlineStr">
        <is>
          <t>CFI 2025</t>
        </is>
      </c>
      <c r="F990" t="n">
        <v>529.491</v>
      </c>
      <c r="G990" t="inlineStr">
        <is>
          <t>IDR bn</t>
        </is>
      </c>
      <c r="H990" t="n">
        <v>105</v>
      </c>
      <c r="I990" t="inlineStr">
        <is>
          <t>Arus Kas Bersih dari (untuk) Aktivitas Investasi 529.491 278.969</t>
        </is>
      </c>
      <c r="J990" t="inlineStr">
        <is>
          <t>High</t>
        </is>
      </c>
      <c r="M990" t="inlineStr">
        <is>
          <t>LLM</t>
        </is>
      </c>
      <c r="N990" t="inlineStr">
        <is>
          <t>2026-04-18</t>
        </is>
      </c>
      <c r="O990" t="inlineStr">
        <is>
          <t>AI</t>
        </is>
      </c>
    </row>
    <row r="991">
      <c r="A991" t="inlineStr">
        <is>
          <t>PT Citra Borneo Utama Tbk</t>
        </is>
      </c>
      <c r="B991" t="inlineStr">
        <is>
          <t>CBUT_2025_AR.pdf</t>
        </is>
      </c>
      <c r="C991" t="n">
        <v>2025</v>
      </c>
      <c r="D991" t="inlineStr">
        <is>
          <t>Financial</t>
        </is>
      </c>
      <c r="E991" t="inlineStr">
        <is>
          <t>CFF 2025</t>
        </is>
      </c>
      <c r="F991" t="n">
        <v>-874.55</v>
      </c>
      <c r="G991" t="inlineStr">
        <is>
          <t>IDR bn</t>
        </is>
      </c>
      <c r="H991" t="n">
        <v>105</v>
      </c>
      <c r="I991" t="inlineStr">
        <is>
          <t>Arus Kas Bersih (untuk) dari Aktivitas Pendanaan (874.550) (358.903)</t>
        </is>
      </c>
      <c r="J991" t="inlineStr">
        <is>
          <t>High</t>
        </is>
      </c>
      <c r="M991" t="inlineStr">
        <is>
          <t>LLM</t>
        </is>
      </c>
      <c r="N991" t="inlineStr">
        <is>
          <t>2026-04-18</t>
        </is>
      </c>
      <c r="O991" t="inlineStr">
        <is>
          <t>AI</t>
        </is>
      </c>
    </row>
    <row r="992">
      <c r="A992" t="inlineStr">
        <is>
          <t>PT Citra Borneo Utama Tbk</t>
        </is>
      </c>
      <c r="B992" t="inlineStr">
        <is>
          <t>CBUT_2025_AR.pdf</t>
        </is>
      </c>
      <c r="C992" t="n">
        <v>2025</v>
      </c>
      <c r="D992" t="inlineStr">
        <is>
          <t>Financial</t>
        </is>
      </c>
      <c r="E992" t="inlineStr">
        <is>
          <t>Capex (acquisition of fixed assets)</t>
        </is>
      </c>
      <c r="F992" t="n">
        <v>258.905</v>
      </c>
      <c r="G992" t="inlineStr">
        <is>
          <t>IDR bn</t>
        </is>
      </c>
      <c r="I992" t="inlineStr">
        <is>
          <t>Perolehan aset tetap (258.905) (115.118) Acquisition of fixed assets</t>
        </is>
      </c>
      <c r="J992" t="inlineStr">
        <is>
          <t>High</t>
        </is>
      </c>
      <c r="M992" t="inlineStr">
        <is>
          <t>LLM</t>
        </is>
      </c>
      <c r="N992" t="inlineStr">
        <is>
          <t>2026-04-18</t>
        </is>
      </c>
      <c r="O992" t="inlineStr">
        <is>
          <t>AI</t>
        </is>
      </c>
    </row>
    <row r="993">
      <c r="A993" t="inlineStr">
        <is>
          <t>PT Citra Borneo Utama Tbk</t>
        </is>
      </c>
      <c r="B993" t="inlineStr">
        <is>
          <t>CBUT_2025_AR.pdf</t>
        </is>
      </c>
      <c r="C993" t="n">
        <v>2025</v>
      </c>
      <c r="D993" t="inlineStr">
        <is>
          <t>Financial</t>
        </is>
      </c>
      <c r="E993" t="inlineStr">
        <is>
          <t>Depreciation 2025</t>
        </is>
      </c>
      <c r="F993" t="n">
        <v>46.703</v>
      </c>
      <c r="G993" t="inlineStr">
        <is>
          <t>IDR bn</t>
        </is>
      </c>
      <c r="I993" t="inlineStr">
        <is>
          <t>Beban pokok penjualan 43.997 42.504; Beban umum dan administrasif 2.706 1.864; Jumlah 46.703 44.368</t>
        </is>
      </c>
      <c r="J993" t="inlineStr">
        <is>
          <t>High</t>
        </is>
      </c>
      <c r="M993" t="inlineStr">
        <is>
          <t>LLM</t>
        </is>
      </c>
      <c r="N993" t="inlineStr">
        <is>
          <t>2026-04-18</t>
        </is>
      </c>
      <c r="O993" t="inlineStr">
        <is>
          <t>AI</t>
        </is>
      </c>
    </row>
    <row r="994">
      <c r="A994" t="inlineStr">
        <is>
          <t>PT Citra Borneo Utama Tbk</t>
        </is>
      </c>
      <c r="B994" t="inlineStr">
        <is>
          <t>CBUT_2025_AR.pdf</t>
        </is>
      </c>
      <c r="C994" t="n">
        <v>2025</v>
      </c>
      <c r="D994" t="inlineStr">
        <is>
          <t>Financial</t>
        </is>
      </c>
      <c r="E994" t="inlineStr">
        <is>
          <t>Closing price Q4 2025</t>
        </is>
      </c>
      <c r="F994" t="n">
        <v>1045</v>
      </c>
      <c r="G994" t="inlineStr">
        <is>
          <t>IDR/share</t>
        </is>
      </c>
      <c r="H994" t="n">
        <v>17</v>
      </c>
      <c r="I994" t="inlineStr">
        <is>
          <t>Q4 1.545 1.750 1.005 1.045 9.287.800</t>
        </is>
      </c>
      <c r="J994" t="inlineStr">
        <is>
          <t>High</t>
        </is>
      </c>
      <c r="M994" t="inlineStr">
        <is>
          <t>LLM</t>
        </is>
      </c>
      <c r="N994" t="inlineStr">
        <is>
          <t>2026-04-18</t>
        </is>
      </c>
      <c r="O994" t="inlineStr">
        <is>
          <t>AI</t>
        </is>
      </c>
    </row>
    <row r="995">
      <c r="A995" t="inlineStr">
        <is>
          <t>PT Citra Borneo Utama Tbk</t>
        </is>
      </c>
      <c r="B995" t="inlineStr">
        <is>
          <t>CBUT_2025_AR.pdf</t>
        </is>
      </c>
      <c r="C995" t="n">
        <v>2025</v>
      </c>
      <c r="D995" t="inlineStr">
        <is>
          <t>Financial</t>
        </is>
      </c>
      <c r="E995" t="inlineStr">
        <is>
          <t>Dividend paid 2025</t>
        </is>
      </c>
      <c r="F995" t="n">
        <v>0</v>
      </c>
      <c r="G995" t="inlineStr">
        <is>
          <t>IDR bn</t>
        </is>
      </c>
      <c r="H995" t="n">
        <v>116</v>
      </c>
      <c r="I995" t="inlineStr">
        <is>
          <t>menyetujui penggunaan laba bersih Perseroan untuk tahun buku yang berakhir pada tanggal 31 Desember 2024 sebesar Rp68.186.097.083... untuk digunakan dimasukkan sebagai Cadangan Lainnya (No dividend from 2024 profit)</t>
        </is>
      </c>
      <c r="J995" t="inlineStr">
        <is>
          <t>High</t>
        </is>
      </c>
      <c r="M995" t="inlineStr">
        <is>
          <t>LLM</t>
        </is>
      </c>
      <c r="N995" t="inlineStr">
        <is>
          <t>2026-04-18</t>
        </is>
      </c>
      <c r="O995" t="inlineStr">
        <is>
          <t>AI</t>
        </is>
      </c>
    </row>
    <row r="996">
      <c r="A996" t="inlineStr">
        <is>
          <t>PT Citra Borneo Utama Tbk</t>
        </is>
      </c>
      <c r="B996" t="inlineStr">
        <is>
          <t>CBUT_2025_AR.pdf</t>
        </is>
      </c>
      <c r="C996" t="n">
        <v>2025</v>
      </c>
      <c r="D996" t="inlineStr">
        <is>
          <t>Asset</t>
        </is>
      </c>
      <c r="E996" t="inlineStr">
        <is>
          <t>CPO refinery capacity</t>
        </is>
      </c>
      <c r="F996" t="n">
        <v>2500</v>
      </c>
      <c r="G996" t="inlineStr">
        <is>
          <t>tons/day</t>
        </is>
      </c>
      <c r="I996" t="inlineStr">
        <is>
          <t>kapasitas pengolahan 2.500 ton RBDPO per hari atau sekitar 850.000 ton per tahun</t>
        </is>
      </c>
      <c r="J996" t="inlineStr">
        <is>
          <t>High</t>
        </is>
      </c>
      <c r="M996" t="inlineStr">
        <is>
          <t>LLM</t>
        </is>
      </c>
      <c r="N996" t="inlineStr">
        <is>
          <t>2026-04-18</t>
        </is>
      </c>
      <c r="O996" t="inlineStr">
        <is>
          <t>AI</t>
        </is>
      </c>
    </row>
    <row r="997">
      <c r="A997" t="inlineStr">
        <is>
          <t>PT Citra Borneo Utama Tbk</t>
        </is>
      </c>
      <c r="B997" t="inlineStr">
        <is>
          <t>CBUT_2025_AR.pdf</t>
        </is>
      </c>
      <c r="C997" t="n">
        <v>2025</v>
      </c>
      <c r="D997" t="inlineStr">
        <is>
          <t>Asset</t>
        </is>
      </c>
      <c r="E997" t="inlineStr">
        <is>
          <t>Fractionation capacity (RBDPO)</t>
        </is>
      </c>
      <c r="F997" t="n">
        <v>2500</v>
      </c>
      <c r="G997" t="inlineStr">
        <is>
          <t>tons/day</t>
        </is>
      </c>
      <c r="I997" t="inlineStr">
        <is>
          <t>Kapasitas RBDPO (ton per hari) 2.500 2.500</t>
        </is>
      </c>
      <c r="J997" t="inlineStr">
        <is>
          <t>High</t>
        </is>
      </c>
      <c r="M997" t="inlineStr">
        <is>
          <t>LLM</t>
        </is>
      </c>
      <c r="N997" t="inlineStr">
        <is>
          <t>2026-04-18</t>
        </is>
      </c>
      <c r="O997" t="inlineStr">
        <is>
          <t>AI</t>
        </is>
      </c>
    </row>
    <row r="998">
      <c r="A998" t="inlineStr">
        <is>
          <t>PT Citra Borneo Utama Tbk</t>
        </is>
      </c>
      <c r="B998" t="inlineStr">
        <is>
          <t>CBUT_2025_AR.pdf</t>
        </is>
      </c>
      <c r="C998" t="n">
        <v>2025</v>
      </c>
      <c r="D998" t="inlineStr">
        <is>
          <t>Asset</t>
        </is>
      </c>
      <c r="E998" t="inlineStr">
        <is>
          <t>Kernel crushing capacity</t>
        </is>
      </c>
      <c r="F998" t="n">
        <v>600</v>
      </c>
      <c r="G998" t="inlineStr">
        <is>
          <t>tons/day</t>
        </is>
      </c>
      <c r="I998" t="inlineStr">
        <is>
          <t>Kapasitas Kernel (ton per hari) 600 600</t>
        </is>
      </c>
      <c r="J998" t="inlineStr">
        <is>
          <t>High</t>
        </is>
      </c>
      <c r="M998" t="inlineStr">
        <is>
          <t>LLM</t>
        </is>
      </c>
      <c r="N998" t="inlineStr">
        <is>
          <t>2026-04-18</t>
        </is>
      </c>
      <c r="O998" t="inlineStr">
        <is>
          <t>AI</t>
        </is>
      </c>
    </row>
    <row r="999">
      <c r="A999" t="inlineStr">
        <is>
          <t>PT Citra Borneo Utama Tbk</t>
        </is>
      </c>
      <c r="B999" t="inlineStr">
        <is>
          <t>CBUT_2025_AR.pdf</t>
        </is>
      </c>
      <c r="C999" t="n">
        <v>2025</v>
      </c>
      <c r="D999" t="inlineStr">
        <is>
          <t>Asset</t>
        </is>
      </c>
      <c r="E999" t="inlineStr">
        <is>
          <t>Bottling capacity (new)</t>
        </is>
      </c>
      <c r="F999" t="n">
        <v>222222</v>
      </c>
      <c r="G999" t="inlineStr">
        <is>
          <t>L/day</t>
        </is>
      </c>
      <c r="H999" t="n">
        <v>94</v>
      </c>
      <c r="I999" t="inlineStr">
        <is>
          <t>Kapasitas Bottling (ton per hari)* Yield (Liter) 222.222 - Bottling Capacity</t>
        </is>
      </c>
      <c r="J999" t="inlineStr">
        <is>
          <t>High</t>
        </is>
      </c>
      <c r="M999" t="inlineStr">
        <is>
          <t>LLM</t>
        </is>
      </c>
      <c r="N999" t="inlineStr">
        <is>
          <t>2026-04-18</t>
        </is>
      </c>
      <c r="O999" t="inlineStr">
        <is>
          <t>AI</t>
        </is>
      </c>
    </row>
    <row r="1000">
      <c r="A1000" t="inlineStr">
        <is>
          <t>PT Citra Borneo Utama Tbk</t>
        </is>
      </c>
      <c r="B1000" t="inlineStr">
        <is>
          <t>CBUT_2025_AR.pdf</t>
        </is>
      </c>
      <c r="C1000" t="n">
        <v>2025</v>
      </c>
      <c r="D1000" t="inlineStr">
        <is>
          <t>Operation</t>
        </is>
      </c>
      <c r="E1000" t="inlineStr">
        <is>
          <t>Total production 2025</t>
        </is>
      </c>
      <c r="F1000" t="n">
        <v>603670</v>
      </c>
      <c r="G1000" t="inlineStr">
        <is>
          <t>MT</t>
        </is>
      </c>
      <c r="H1000" t="n">
        <v>115</v>
      </c>
      <c r="I1000" t="inlineStr">
        <is>
          <t>Produksi (MT) 850.000 603.670 71,02%</t>
        </is>
      </c>
      <c r="J1000" t="inlineStr">
        <is>
          <t>High</t>
        </is>
      </c>
      <c r="M1000" t="inlineStr">
        <is>
          <t>LLM</t>
        </is>
      </c>
      <c r="N1000" t="inlineStr">
        <is>
          <t>2026-04-18</t>
        </is>
      </c>
      <c r="O1000" t="inlineStr">
        <is>
          <t>AI</t>
        </is>
      </c>
    </row>
    <row r="1001">
      <c r="A1001" t="inlineStr">
        <is>
          <t>PT Citra Borneo Utama Tbk</t>
        </is>
      </c>
      <c r="B1001" t="inlineStr">
        <is>
          <t>CBUT_2025_AR.pdf</t>
        </is>
      </c>
      <c r="C1001" t="n">
        <v>2025</v>
      </c>
      <c r="D1001" t="inlineStr">
        <is>
          <t>Operation</t>
        </is>
      </c>
      <c r="E1001" t="inlineStr">
        <is>
          <t>RBDPO production</t>
        </is>
      </c>
      <c r="F1001" t="n">
        <v>578928</v>
      </c>
      <c r="G1001" t="inlineStr">
        <is>
          <t>MT</t>
        </is>
      </c>
      <c r="H1001" t="n">
        <v>12</v>
      </c>
      <c r="I1001" t="inlineStr">
        <is>
          <t>Total Produksi RBDPO Total RBDPO Production 578.928 MT</t>
        </is>
      </c>
      <c r="J1001" t="inlineStr">
        <is>
          <t>High</t>
        </is>
      </c>
      <c r="M1001" t="inlineStr">
        <is>
          <t>LLM</t>
        </is>
      </c>
      <c r="N1001" t="inlineStr">
        <is>
          <t>2026-04-18</t>
        </is>
      </c>
      <c r="O1001" t="inlineStr">
        <is>
          <t>AI</t>
        </is>
      </c>
    </row>
    <row r="1002">
      <c r="A1002" t="inlineStr">
        <is>
          <t>PT Citra Borneo Utama Tbk</t>
        </is>
      </c>
      <c r="B1002" t="inlineStr">
        <is>
          <t>CBUT_2025_AR.pdf</t>
        </is>
      </c>
      <c r="C1002" t="n">
        <v>2025</v>
      </c>
      <c r="D1002" t="inlineStr">
        <is>
          <t>Operation</t>
        </is>
      </c>
      <c r="E1002" t="inlineStr">
        <is>
          <t>Palm Olein production</t>
        </is>
      </c>
      <c r="F1002" t="n">
        <v>467921</v>
      </c>
      <c r="G1002" t="inlineStr">
        <is>
          <t>MT</t>
        </is>
      </c>
      <c r="H1002" t="n">
        <v>12</v>
      </c>
      <c r="I1002" t="inlineStr">
        <is>
          <t>Total Produksi Palm Olein 467.921 MT</t>
        </is>
      </c>
      <c r="J1002" t="inlineStr">
        <is>
          <t>High</t>
        </is>
      </c>
      <c r="M1002" t="inlineStr">
        <is>
          <t>LLM</t>
        </is>
      </c>
      <c r="N1002" t="inlineStr">
        <is>
          <t>2026-04-18</t>
        </is>
      </c>
      <c r="O1002" t="inlineStr">
        <is>
          <t>AI</t>
        </is>
      </c>
    </row>
    <row r="1003">
      <c r="A1003" t="inlineStr">
        <is>
          <t>PT Citra Borneo Utama Tbk</t>
        </is>
      </c>
      <c r="B1003" t="inlineStr">
        <is>
          <t>CBUT_2025_AR.pdf</t>
        </is>
      </c>
      <c r="C1003" t="n">
        <v>2025</v>
      </c>
      <c r="D1003" t="inlineStr">
        <is>
          <t>Operation</t>
        </is>
      </c>
      <c r="E1003" t="inlineStr">
        <is>
          <t>Palm Stearin production</t>
        </is>
      </c>
      <c r="F1003" t="n">
        <v>101320</v>
      </c>
      <c r="G1003" t="inlineStr">
        <is>
          <t>MT</t>
        </is>
      </c>
      <c r="H1003" t="n">
        <v>12</v>
      </c>
      <c r="I1003" t="inlineStr">
        <is>
          <t>Total Produksi Palm Stearin 101.320 MT</t>
        </is>
      </c>
      <c r="J1003" t="inlineStr">
        <is>
          <t>High</t>
        </is>
      </c>
      <c r="M1003" t="inlineStr">
        <is>
          <t>LLM</t>
        </is>
      </c>
      <c r="N1003" t="inlineStr">
        <is>
          <t>2026-04-18</t>
        </is>
      </c>
      <c r="O1003" t="inlineStr">
        <is>
          <t>AI</t>
        </is>
      </c>
    </row>
    <row r="1004">
      <c r="A1004" t="inlineStr">
        <is>
          <t>PT Citra Borneo Utama Tbk</t>
        </is>
      </c>
      <c r="B1004" t="inlineStr">
        <is>
          <t>CBUT_2025_AR.pdf</t>
        </is>
      </c>
      <c r="C1004" t="n">
        <v>2025</v>
      </c>
      <c r="D1004" t="inlineStr">
        <is>
          <t>Operation</t>
        </is>
      </c>
      <c r="E1004" t="inlineStr">
        <is>
          <t>PFAD production</t>
        </is>
      </c>
      <c r="F1004" t="n">
        <v>21898</v>
      </c>
      <c r="G1004" t="inlineStr">
        <is>
          <t>MT</t>
        </is>
      </c>
      <c r="H1004" t="n">
        <v>12</v>
      </c>
      <c r="I1004" t="inlineStr">
        <is>
          <t>Total Produksi PFAD 21.898 MT</t>
        </is>
      </c>
      <c r="J1004" t="inlineStr">
        <is>
          <t>High</t>
        </is>
      </c>
      <c r="M1004" t="inlineStr">
        <is>
          <t>LLM</t>
        </is>
      </c>
      <c r="N1004" t="inlineStr">
        <is>
          <t>2026-04-18</t>
        </is>
      </c>
      <c r="O1004" t="inlineStr">
        <is>
          <t>AI</t>
        </is>
      </c>
    </row>
    <row r="1005">
      <c r="A1005" t="inlineStr">
        <is>
          <t>PT Citra Borneo Utama Tbk</t>
        </is>
      </c>
      <c r="B1005" t="inlineStr">
        <is>
          <t>CBUT_2025_AR.pdf</t>
        </is>
      </c>
      <c r="C1005" t="n">
        <v>2025</v>
      </c>
      <c r="D1005" t="inlineStr">
        <is>
          <t>Operation</t>
        </is>
      </c>
      <c r="E1005" t="inlineStr">
        <is>
          <t>Packaged cooking oil production</t>
        </is>
      </c>
      <c r="F1005" t="n">
        <v>9166</v>
      </c>
      <c r="G1005" t="inlineStr">
        <is>
          <t>MT</t>
        </is>
      </c>
      <c r="H1005" t="n">
        <v>12</v>
      </c>
      <c r="I1005" t="inlineStr">
        <is>
          <t>Total Produksi Minyak Goreng Kemasan 9.166 MT</t>
        </is>
      </c>
      <c r="J1005" t="inlineStr">
        <is>
          <t>High</t>
        </is>
      </c>
      <c r="M1005" t="inlineStr">
        <is>
          <t>LLM</t>
        </is>
      </c>
      <c r="N1005" t="inlineStr">
        <is>
          <t>2026-04-18</t>
        </is>
      </c>
      <c r="O1005" t="inlineStr">
        <is>
          <t>AI</t>
        </is>
      </c>
    </row>
    <row r="1006">
      <c r="A1006" t="inlineStr">
        <is>
          <t>PT Citra Borneo Utama Tbk</t>
        </is>
      </c>
      <c r="B1006" t="inlineStr">
        <is>
          <t>CBUT_2025_AR.pdf</t>
        </is>
      </c>
      <c r="C1006" t="n">
        <v>2025</v>
      </c>
      <c r="D1006" t="inlineStr">
        <is>
          <t>Operation</t>
        </is>
      </c>
      <c r="E1006" t="inlineStr">
        <is>
          <t>Palm Olein sales volume</t>
        </is>
      </c>
      <c r="F1006" t="n">
        <v>476457</v>
      </c>
      <c r="G1006" t="inlineStr">
        <is>
          <t>MT</t>
        </is>
      </c>
      <c r="H1006" t="n">
        <v>12</v>
      </c>
      <c r="I1006" t="inlineStr">
        <is>
          <t>Volume Penjualan Palm Olein 476.457 MT</t>
        </is>
      </c>
      <c r="J1006" t="inlineStr">
        <is>
          <t>High</t>
        </is>
      </c>
      <c r="M1006" t="inlineStr">
        <is>
          <t>LLM</t>
        </is>
      </c>
      <c r="N1006" t="inlineStr">
        <is>
          <t>2026-04-18</t>
        </is>
      </c>
      <c r="O1006" t="inlineStr">
        <is>
          <t>AI</t>
        </is>
      </c>
    </row>
    <row r="1007">
      <c r="A1007" t="inlineStr">
        <is>
          <t>PT Citra Borneo Utama Tbk</t>
        </is>
      </c>
      <c r="B1007" t="inlineStr">
        <is>
          <t>CBUT_2025_AR.pdf</t>
        </is>
      </c>
      <c r="C1007" t="n">
        <v>2025</v>
      </c>
      <c r="D1007" t="inlineStr">
        <is>
          <t>Operation</t>
        </is>
      </c>
      <c r="E1007" t="inlineStr">
        <is>
          <t>Palm Stearin sales volume</t>
        </is>
      </c>
      <c r="F1007" t="n">
        <v>110983</v>
      </c>
      <c r="G1007" t="inlineStr">
        <is>
          <t>MT</t>
        </is>
      </c>
      <c r="H1007" t="n">
        <v>12</v>
      </c>
      <c r="I1007" t="inlineStr">
        <is>
          <t>110.983 MT Palm Stearin Sales Volume</t>
        </is>
      </c>
      <c r="J1007" t="inlineStr">
        <is>
          <t>High</t>
        </is>
      </c>
      <c r="M1007" t="inlineStr">
        <is>
          <t>LLM</t>
        </is>
      </c>
      <c r="N1007" t="inlineStr">
        <is>
          <t>2026-04-18</t>
        </is>
      </c>
      <c r="O1007" t="inlineStr">
        <is>
          <t>AI</t>
        </is>
      </c>
    </row>
    <row r="1008">
      <c r="A1008" t="inlineStr">
        <is>
          <t>PT Citra Borneo Utama Tbk</t>
        </is>
      </c>
      <c r="B1008" t="inlineStr">
        <is>
          <t>CBUT_2025_AR.pdf</t>
        </is>
      </c>
      <c r="C1008" t="n">
        <v>2025</v>
      </c>
      <c r="D1008" t="inlineStr">
        <is>
          <t>Operation</t>
        </is>
      </c>
      <c r="E1008" t="inlineStr">
        <is>
          <t>PFAD sales volume</t>
        </is>
      </c>
      <c r="F1008" t="n">
        <v>17699</v>
      </c>
      <c r="G1008" t="inlineStr">
        <is>
          <t>MT</t>
        </is>
      </c>
      <c r="H1008" t="n">
        <v>12</v>
      </c>
      <c r="I1008" t="inlineStr">
        <is>
          <t>Volume Penjualan PFAD 17.699 MT</t>
        </is>
      </c>
      <c r="J1008" t="inlineStr">
        <is>
          <t>High</t>
        </is>
      </c>
      <c r="M1008" t="inlineStr">
        <is>
          <t>LLM</t>
        </is>
      </c>
      <c r="N1008" t="inlineStr">
        <is>
          <t>2026-04-18</t>
        </is>
      </c>
      <c r="O1008" t="inlineStr">
        <is>
          <t>AI</t>
        </is>
      </c>
    </row>
    <row r="1009">
      <c r="A1009" t="inlineStr">
        <is>
          <t>PT Citra Borneo Utama Tbk</t>
        </is>
      </c>
      <c r="B1009" t="inlineStr">
        <is>
          <t>CBUT_2025_AR.pdf</t>
        </is>
      </c>
      <c r="C1009" t="n">
        <v>2025</v>
      </c>
      <c r="D1009" t="inlineStr">
        <is>
          <t>Operation</t>
        </is>
      </c>
      <c r="E1009" t="inlineStr">
        <is>
          <t>Refinery utilization 2025</t>
        </is>
      </c>
      <c r="F1009" t="n">
        <v>0.7102000000000001</v>
      </c>
      <c r="G1009" t="inlineStr">
        <is>
          <t>ratio</t>
        </is>
      </c>
      <c r="H1009" t="n">
        <v>93</v>
      </c>
      <c r="I1009" t="inlineStr">
        <is>
          <t>Utilisasi 71,02% 47,62% Utilization</t>
        </is>
      </c>
      <c r="J1009" t="inlineStr">
        <is>
          <t>High</t>
        </is>
      </c>
      <c r="M1009" t="inlineStr">
        <is>
          <t>LLM</t>
        </is>
      </c>
      <c r="N1009" t="inlineStr">
        <is>
          <t>2026-04-18</t>
        </is>
      </c>
      <c r="O1009" t="inlineStr">
        <is>
          <t>AI</t>
        </is>
      </c>
    </row>
    <row r="1010">
      <c r="A1010" t="inlineStr">
        <is>
          <t>PT Citra Borneo Utama Tbk</t>
        </is>
      </c>
      <c r="B1010" t="inlineStr">
        <is>
          <t>CBUT_2025_AR.pdf</t>
        </is>
      </c>
      <c r="C1010" t="n">
        <v>2025</v>
      </c>
      <c r="D1010" t="inlineStr">
        <is>
          <t>Operation</t>
        </is>
      </c>
      <c r="E1010" t="inlineStr">
        <is>
          <t>Fractionation utilization 2025</t>
        </is>
      </c>
      <c r="F1010" t="n">
        <v>0.6697</v>
      </c>
      <c r="G1010" t="inlineStr">
        <is>
          <t>ratio</t>
        </is>
      </c>
      <c r="H1010" t="n">
        <v>93</v>
      </c>
      <c r="I1010" t="inlineStr">
        <is>
          <t>Utilisasi 66,97% 42,83% Utilization</t>
        </is>
      </c>
      <c r="J1010" t="inlineStr">
        <is>
          <t>High</t>
        </is>
      </c>
      <c r="M1010" t="inlineStr">
        <is>
          <t>LLM</t>
        </is>
      </c>
      <c r="N1010" t="inlineStr">
        <is>
          <t>2026-04-18</t>
        </is>
      </c>
      <c r="O1010" t="inlineStr">
        <is>
          <t>AI</t>
        </is>
      </c>
    </row>
    <row r="1011">
      <c r="A1011" t="inlineStr">
        <is>
          <t>PT Citra Borneo Utama Tbk</t>
        </is>
      </c>
      <c r="B1011" t="inlineStr">
        <is>
          <t>CBUT_2025_AR.pdf</t>
        </is>
      </c>
      <c r="C1011" t="n">
        <v>2025</v>
      </c>
      <c r="D1011" t="inlineStr">
        <is>
          <t>Operation</t>
        </is>
      </c>
      <c r="E1011" t="inlineStr">
        <is>
          <t>Kernel crushing utilization 2025</t>
        </is>
      </c>
      <c r="F1011" t="n">
        <v>0.5066000000000001</v>
      </c>
      <c r="G1011" t="inlineStr">
        <is>
          <t>ratio</t>
        </is>
      </c>
      <c r="H1011" t="n">
        <v>94</v>
      </c>
      <c r="I1011" t="inlineStr">
        <is>
          <t>Utilisasi 50,66% 29,00%</t>
        </is>
      </c>
      <c r="J1011" t="inlineStr">
        <is>
          <t>High</t>
        </is>
      </c>
      <c r="M1011" t="inlineStr">
        <is>
          <t>LLM</t>
        </is>
      </c>
      <c r="N1011" t="inlineStr">
        <is>
          <t>2026-04-18</t>
        </is>
      </c>
      <c r="O1011" t="inlineStr">
        <is>
          <t>AI</t>
        </is>
      </c>
    </row>
    <row r="1012">
      <c r="A1012" t="inlineStr">
        <is>
          <t>PT Citra Borneo Utama Tbk</t>
        </is>
      </c>
      <c r="B1012" t="inlineStr">
        <is>
          <t>CBUT_2025_AR.pdf</t>
        </is>
      </c>
      <c r="C1012" t="n">
        <v>2025</v>
      </c>
      <c r="D1012" t="inlineStr">
        <is>
          <t>Operation</t>
        </is>
      </c>
      <c r="E1012" t="inlineStr">
        <is>
          <t>Bottling utilization 2025</t>
        </is>
      </c>
      <c r="F1012" t="n">
        <v>0.4195</v>
      </c>
      <c r="G1012" t="inlineStr">
        <is>
          <t>ratio</t>
        </is>
      </c>
      <c r="H1012" t="n">
        <v>94</v>
      </c>
      <c r="I1012" t="inlineStr">
        <is>
          <t>Utilisasi (%) 41,95% - Utilization (%)</t>
        </is>
      </c>
      <c r="J1012" t="inlineStr">
        <is>
          <t>High</t>
        </is>
      </c>
      <c r="M1012" t="inlineStr">
        <is>
          <t>LLM</t>
        </is>
      </c>
      <c r="N1012" t="inlineStr">
        <is>
          <t>2026-04-18</t>
        </is>
      </c>
      <c r="O1012" t="inlineStr">
        <is>
          <t>AI</t>
        </is>
      </c>
    </row>
    <row r="1013">
      <c r="A1013" t="inlineStr">
        <is>
          <t>PT Citra Borneo Utama Tbk</t>
        </is>
      </c>
      <c r="B1013" t="inlineStr">
        <is>
          <t>CBUT_2025_AR.pdf</t>
        </is>
      </c>
      <c r="C1013" t="n">
        <v>2025</v>
      </c>
      <c r="D1013" t="inlineStr">
        <is>
          <t>Operation</t>
        </is>
      </c>
      <c r="E1013" t="inlineStr">
        <is>
          <t>Export sales 2025</t>
        </is>
      </c>
      <c r="F1013" t="n">
        <v>10986.874</v>
      </c>
      <c r="G1013" t="inlineStr">
        <is>
          <t>IDR bn</t>
        </is>
      </c>
      <c r="I1013" t="inlineStr">
        <is>
          <t>Luar Negeri 10.986.874 78,64% 7.455.661 76,34% Overseas</t>
        </is>
      </c>
      <c r="J1013" t="inlineStr">
        <is>
          <t>High</t>
        </is>
      </c>
      <c r="M1013" t="inlineStr">
        <is>
          <t>LLM</t>
        </is>
      </c>
      <c r="N1013" t="inlineStr">
        <is>
          <t>2026-04-18</t>
        </is>
      </c>
      <c r="O1013" t="inlineStr">
        <is>
          <t>AI</t>
        </is>
      </c>
    </row>
    <row r="1014">
      <c r="A1014" t="inlineStr">
        <is>
          <t>PT Citra Borneo Utama Tbk</t>
        </is>
      </c>
      <c r="B1014" t="inlineStr">
        <is>
          <t>CBUT_2025_AR.pdf</t>
        </is>
      </c>
      <c r="C1014" t="n">
        <v>2025</v>
      </c>
      <c r="D1014" t="inlineStr">
        <is>
          <t>Operation</t>
        </is>
      </c>
      <c r="E1014" t="inlineStr">
        <is>
          <t>Domestic sales 2025</t>
        </is>
      </c>
      <c r="F1014" t="n">
        <v>2983.937</v>
      </c>
      <c r="G1014" t="inlineStr">
        <is>
          <t>IDR bn</t>
        </is>
      </c>
      <c r="I1014" t="inlineStr">
        <is>
          <t>Dalam Negeri 2.983.937 21,36% 2.310.447 23,66%</t>
        </is>
      </c>
      <c r="J1014" t="inlineStr">
        <is>
          <t>High</t>
        </is>
      </c>
      <c r="M1014" t="inlineStr">
        <is>
          <t>LLM</t>
        </is>
      </c>
      <c r="N1014" t="inlineStr">
        <is>
          <t>2026-04-18</t>
        </is>
      </c>
      <c r="O1014" t="inlineStr">
        <is>
          <t>AI</t>
        </is>
      </c>
    </row>
    <row r="1015">
      <c r="A1015" t="inlineStr">
        <is>
          <t>PT Citra Borneo Utama Tbk</t>
        </is>
      </c>
      <c r="B1015" t="inlineStr">
        <is>
          <t>CBUT_2025_AR.pdf</t>
        </is>
      </c>
      <c r="C1015" t="n">
        <v>2025</v>
      </c>
      <c r="D1015" t="inlineStr">
        <is>
          <t>Operation</t>
        </is>
      </c>
      <c r="E1015" t="inlineStr">
        <is>
          <t>2026 production projection</t>
        </is>
      </c>
      <c r="F1015" t="n">
        <v>1165600</v>
      </c>
      <c r="G1015" t="inlineStr">
        <is>
          <t>MT</t>
        </is>
      </c>
      <c r="H1015" t="n">
        <v>115</v>
      </c>
      <c r="I1015" t="inlineStr">
        <is>
          <t>Produksi (MT) 1.165.600 603.670 51,79%</t>
        </is>
      </c>
      <c r="J1015" t="inlineStr">
        <is>
          <t>High</t>
        </is>
      </c>
      <c r="M1015" t="inlineStr">
        <is>
          <t>LLM</t>
        </is>
      </c>
      <c r="N1015" t="inlineStr">
        <is>
          <t>2026-04-18</t>
        </is>
      </c>
      <c r="O1015" t="inlineStr">
        <is>
          <t>AI</t>
        </is>
      </c>
    </row>
    <row r="1016">
      <c r="A1016" t="inlineStr">
        <is>
          <t>PT Citra Borneo Utama Tbk</t>
        </is>
      </c>
      <c r="B1016" t="inlineStr">
        <is>
          <t>CBUT_2025_AR.pdf</t>
        </is>
      </c>
      <c r="C1016" t="n">
        <v>2025</v>
      </c>
      <c r="D1016" t="inlineStr">
        <is>
          <t>Operation</t>
        </is>
      </c>
      <c r="E1016" t="inlineStr">
        <is>
          <t>2026 revenue projection</t>
        </is>
      </c>
      <c r="F1016" t="n">
        <v>23439.916</v>
      </c>
      <c r="G1016" t="inlineStr">
        <is>
          <t>IDR bn</t>
        </is>
      </c>
      <c r="H1016" t="n">
        <v>115</v>
      </c>
      <c r="I1016" t="inlineStr">
        <is>
          <t>Penjualan (Rp-juta) 23.439.916 13.970.811 59,60%</t>
        </is>
      </c>
      <c r="J1016" t="inlineStr">
        <is>
          <t>High</t>
        </is>
      </c>
      <c r="M1016" t="inlineStr">
        <is>
          <t>LLM</t>
        </is>
      </c>
      <c r="N1016" t="inlineStr">
        <is>
          <t>2026-04-18</t>
        </is>
      </c>
      <c r="O1016" t="inlineStr">
        <is>
          <t>AI</t>
        </is>
      </c>
    </row>
    <row r="1017">
      <c r="A1017" t="inlineStr">
        <is>
          <t>PT Citra Borneo Utama Tbk</t>
        </is>
      </c>
      <c r="B1017" t="inlineStr">
        <is>
          <t>CBUT_2025_AR.pdf</t>
        </is>
      </c>
      <c r="C1017" t="n">
        <v>2025</v>
      </c>
      <c r="D1017" t="inlineStr">
        <is>
          <t>ESG</t>
        </is>
      </c>
      <c r="E1017" t="inlineStr">
        <is>
          <t>Total sales to SSMS (parent)</t>
        </is>
      </c>
      <c r="F1017" t="n">
        <v>1754.702</v>
      </c>
      <c r="G1017" t="inlineStr">
        <is>
          <t>IDR bn</t>
        </is>
      </c>
      <c r="I1017" t="inlineStr">
        <is>
          <t>PT Sawit Sumbermas Sarana Tbk 1.754.702 1.473.159 19,11%</t>
        </is>
      </c>
      <c r="J1017" t="inlineStr">
        <is>
          <t>High</t>
        </is>
      </c>
      <c r="M1017" t="inlineStr">
        <is>
          <t>LLM</t>
        </is>
      </c>
      <c r="N1017" t="inlineStr">
        <is>
          <t>2026-04-18</t>
        </is>
      </c>
      <c r="O1017" t="inlineStr">
        <is>
          <t>AI</t>
        </is>
      </c>
    </row>
    <row r="1018">
      <c r="A1018" t="inlineStr">
        <is>
          <t>PT Citra Borneo Utama Tbk</t>
        </is>
      </c>
      <c r="B1018" t="inlineStr">
        <is>
          <t>CBUT_2025_AR.pdf</t>
        </is>
      </c>
      <c r="C1018" t="n">
        <v>2025</v>
      </c>
      <c r="D1018" t="inlineStr">
        <is>
          <t>Other</t>
        </is>
      </c>
      <c r="E1018" t="inlineStr">
        <is>
          <t>Term loan facility plafond</t>
        </is>
      </c>
      <c r="F1018" t="n">
        <v>850000</v>
      </c>
      <c r="G1018" t="inlineStr">
        <is>
          <t>IDR mn</t>
        </is>
      </c>
      <c r="I1018" t="inlineStr">
        <is>
          <t>Pinjaman berjangka dengan plafon Rp850.000 juta</t>
        </is>
      </c>
      <c r="J1018" t="inlineStr">
        <is>
          <t>High</t>
        </is>
      </c>
      <c r="M1018" t="inlineStr">
        <is>
          <t>LLM</t>
        </is>
      </c>
      <c r="N1018" t="inlineStr">
        <is>
          <t>2026-04-18</t>
        </is>
      </c>
      <c r="O1018" t="inlineStr">
        <is>
          <t>AI</t>
        </is>
      </c>
    </row>
    <row r="1019">
      <c r="A1019" t="inlineStr">
        <is>
          <t>PT Cisadane Sawit Raya Tbk.</t>
        </is>
      </c>
      <c r="B1019" t="inlineStr">
        <is>
          <t>CSRA_2022_AR.pdf</t>
        </is>
      </c>
      <c r="C1019" t="n">
        <v>2022</v>
      </c>
      <c r="D1019" t="inlineStr">
        <is>
          <t>Company</t>
        </is>
      </c>
      <c r="E1019" t="inlineStr">
        <is>
          <t>IPO date</t>
        </is>
      </c>
      <c r="F1019" t="inlineStr">
        <is>
          <t>2020-01-09</t>
        </is>
      </c>
      <c r="G1019" t="inlineStr">
        <is>
          <t>date</t>
        </is>
      </c>
      <c r="H1019" t="n">
        <v>60</v>
      </c>
      <c r="I1019" t="inlineStr">
        <is>
          <t>Pada tanggal 9 Januari 2020, Perseroan menjadi perusahaan publik dan mencatatkan sahamnya di Bursa Efek Indonesia dengan kode saham CSRA</t>
        </is>
      </c>
      <c r="J1019" t="inlineStr">
        <is>
          <t>High</t>
        </is>
      </c>
      <c r="M1019" t="inlineStr">
        <is>
          <t>LLM</t>
        </is>
      </c>
      <c r="N1019" t="inlineStr">
        <is>
          <t>2026-04-18</t>
        </is>
      </c>
      <c r="O1019" t="inlineStr">
        <is>
          <t>AI</t>
        </is>
      </c>
    </row>
    <row r="1020">
      <c r="A1020" t="inlineStr">
        <is>
          <t>PT Cisadane Sawit Raya Tbk.</t>
        </is>
      </c>
      <c r="B1020" t="inlineStr">
        <is>
          <t>CSRA_2022_AR.pdf</t>
        </is>
      </c>
      <c r="C1020" t="n">
        <v>2022</v>
      </c>
      <c r="D1020" t="inlineStr">
        <is>
          <t>Company</t>
        </is>
      </c>
      <c r="E1020" t="inlineStr">
        <is>
          <t>IPO price</t>
        </is>
      </c>
      <c r="F1020" t="n">
        <v>125</v>
      </c>
      <c r="G1020" t="inlineStr">
        <is>
          <t>IDR/share</t>
        </is>
      </c>
      <c r="H1020" t="n">
        <v>60</v>
      </c>
      <c r="I1020" t="inlineStr">
        <is>
          <t>harga saham pada Penawaran Umum Perdana adalah Rp125 per saham</t>
        </is>
      </c>
      <c r="J1020" t="inlineStr">
        <is>
          <t>High</t>
        </is>
      </c>
      <c r="M1020" t="inlineStr">
        <is>
          <t>LLM</t>
        </is>
      </c>
      <c r="N1020" t="inlineStr">
        <is>
          <t>2026-04-18</t>
        </is>
      </c>
      <c r="O1020" t="inlineStr">
        <is>
          <t>AI</t>
        </is>
      </c>
    </row>
    <row r="1021">
      <c r="A1021" t="inlineStr">
        <is>
          <t>PT Cisadane Sawit Raya Tbk.</t>
        </is>
      </c>
      <c r="B1021" t="inlineStr">
        <is>
          <t>CSRA_2022_AR.pdf</t>
        </is>
      </c>
      <c r="C1021" t="n">
        <v>2022</v>
      </c>
      <c r="D1021" t="inlineStr">
        <is>
          <t>Company</t>
        </is>
      </c>
      <c r="E1021" t="inlineStr">
        <is>
          <t>Ultimate controlling shareholder</t>
        </is>
      </c>
      <c r="F1021" t="inlineStr">
        <is>
          <t>PT Sapta Sawit Lestari (SSL) + PT Verdan Sawit Lestari (VSL) + PT Sawit Inti Perkasa (SIP) - controlled by Gita Sapta Adi family</t>
        </is>
      </c>
      <c r="G1021" t="inlineStr">
        <is>
          <t>text</t>
        </is>
      </c>
      <c r="H1021" t="n">
        <v>61</v>
      </c>
      <c r="I1021" t="inlineStr">
        <is>
          <t>pemegang saham Pengendali Perseroan adalah PT Sapta Sawit Lestari dengan kepemilikan 38,00%, PT Verdan Sawit Lestari dengan kepemilikan 38,00% dan PT Sawit Inti Perkasa dengan kepemilikan 4,00%</t>
        </is>
      </c>
      <c r="J1021" t="inlineStr">
        <is>
          <t>High</t>
        </is>
      </c>
      <c r="M1021" t="inlineStr">
        <is>
          <t>LLM</t>
        </is>
      </c>
      <c r="N1021" t="inlineStr">
        <is>
          <t>2026-04-18</t>
        </is>
      </c>
      <c r="O1021" t="inlineStr">
        <is>
          <t>AI</t>
        </is>
      </c>
    </row>
    <row r="1022">
      <c r="A1022" t="inlineStr">
        <is>
          <t>PT Cisadane Sawit Raya Tbk.</t>
        </is>
      </c>
      <c r="B1022" t="inlineStr">
        <is>
          <t>CSRA_2022_AR.pdf</t>
        </is>
      </c>
      <c r="C1022" t="n">
        <v>2022</v>
      </c>
      <c r="D1022" t="inlineStr">
        <is>
          <t>Company</t>
        </is>
      </c>
      <c r="E1022" t="inlineStr">
        <is>
          <t>Number of subsidiaries</t>
        </is>
      </c>
      <c r="F1022" t="n">
        <v>6</v>
      </c>
      <c r="G1022" t="inlineStr">
        <is>
          <t>count</t>
        </is>
      </c>
      <c r="H1022" t="n">
        <v>64</v>
      </c>
      <c r="I1022" t="inlineStr">
        <is>
          <t>Sampai dengan akhir tahun 2022, Perseroan memiliki 6 (enam) entitas anak</t>
        </is>
      </c>
      <c r="J1022" t="inlineStr">
        <is>
          <t>High</t>
        </is>
      </c>
      <c r="M1022" t="inlineStr">
        <is>
          <t>LLM</t>
        </is>
      </c>
      <c r="N1022" t="inlineStr">
        <is>
          <t>2026-04-18</t>
        </is>
      </c>
      <c r="O1022" t="inlineStr">
        <is>
          <t>AI</t>
        </is>
      </c>
    </row>
    <row r="1023">
      <c r="A1023" t="inlineStr">
        <is>
          <t>PT Cisadane Sawit Raya Tbk.</t>
        </is>
      </c>
      <c r="B1023" t="inlineStr">
        <is>
          <t>CSRA_2022_AR.pdf</t>
        </is>
      </c>
      <c r="C1023" t="n">
        <v>2022</v>
      </c>
      <c r="D1023" t="inlineStr">
        <is>
          <t>Financial</t>
        </is>
      </c>
      <c r="E1023" t="inlineStr">
        <is>
          <t>Revenue 2022</t>
        </is>
      </c>
      <c r="F1023" t="n">
        <v>970.572</v>
      </c>
      <c r="G1023" t="inlineStr">
        <is>
          <t>IDR bn</t>
        </is>
      </c>
      <c r="H1023" t="n">
        <v>21</v>
      </c>
      <c r="I1023" t="inlineStr">
        <is>
          <t>Penjualan Neto 970.572 895.868 607.253 492.296 567.789 Net Sales</t>
        </is>
      </c>
      <c r="J1023" t="inlineStr">
        <is>
          <t>High</t>
        </is>
      </c>
      <c r="M1023" t="inlineStr">
        <is>
          <t>LLM</t>
        </is>
      </c>
      <c r="N1023" t="inlineStr">
        <is>
          <t>2026-04-18</t>
        </is>
      </c>
      <c r="O1023" t="inlineStr">
        <is>
          <t>AI</t>
        </is>
      </c>
    </row>
    <row r="1024">
      <c r="A1024" t="inlineStr">
        <is>
          <t>PT Cisadane Sawit Raya Tbk.</t>
        </is>
      </c>
      <c r="B1024" t="inlineStr">
        <is>
          <t>CSRA_2022_AR.pdf</t>
        </is>
      </c>
      <c r="C1024" t="n">
        <v>2022</v>
      </c>
      <c r="D1024" t="inlineStr">
        <is>
          <t>Financial</t>
        </is>
      </c>
      <c r="E1024" t="inlineStr">
        <is>
          <t>Gross profit 2022</t>
        </is>
      </c>
      <c r="F1024" t="n">
        <v>571.759</v>
      </c>
      <c r="G1024" t="inlineStr">
        <is>
          <t>IDR bn</t>
        </is>
      </c>
      <c r="H1024" t="n">
        <v>21</v>
      </c>
      <c r="I1024" t="inlineStr">
        <is>
          <t>Laba Bruto 571.759 507.732 265.927 191.840 216.159</t>
        </is>
      </c>
      <c r="J1024" t="inlineStr">
        <is>
          <t>High</t>
        </is>
      </c>
      <c r="M1024" t="inlineStr">
        <is>
          <t>LLM</t>
        </is>
      </c>
      <c r="N1024" t="inlineStr">
        <is>
          <t>2026-04-18</t>
        </is>
      </c>
      <c r="O1024" t="inlineStr">
        <is>
          <t>AI</t>
        </is>
      </c>
    </row>
    <row r="1025">
      <c r="A1025" t="inlineStr">
        <is>
          <t>PT Cisadane Sawit Raya Tbk.</t>
        </is>
      </c>
      <c r="B1025" t="inlineStr">
        <is>
          <t>CSRA_2022_AR.pdf</t>
        </is>
      </c>
      <c r="C1025" t="n">
        <v>2022</v>
      </c>
      <c r="D1025" t="inlineStr">
        <is>
          <t>Financial</t>
        </is>
      </c>
      <c r="E1025" t="inlineStr">
        <is>
          <t>Operating profit 2022</t>
        </is>
      </c>
      <c r="F1025" t="n">
        <v>396.174</v>
      </c>
      <c r="G1025" t="inlineStr">
        <is>
          <t>IDR bn</t>
        </is>
      </c>
      <c r="H1025" t="n">
        <v>21</v>
      </c>
      <c r="I1025" t="inlineStr">
        <is>
          <t>Laba Operasi 396.174 388.551 147.721 85.766 118.702</t>
        </is>
      </c>
      <c r="J1025" t="inlineStr">
        <is>
          <t>High</t>
        </is>
      </c>
      <c r="M1025" t="inlineStr">
        <is>
          <t>LLM</t>
        </is>
      </c>
      <c r="N1025" t="inlineStr">
        <is>
          <t>2026-04-18</t>
        </is>
      </c>
      <c r="O1025" t="inlineStr">
        <is>
          <t>AI</t>
        </is>
      </c>
    </row>
    <row r="1026">
      <c r="A1026" t="inlineStr">
        <is>
          <t>PT Cisadane Sawit Raya Tbk.</t>
        </is>
      </c>
      <c r="B1026" t="inlineStr">
        <is>
          <t>CSRA_2022_AR.pdf</t>
        </is>
      </c>
      <c r="C1026" t="n">
        <v>2022</v>
      </c>
      <c r="D1026" t="inlineStr">
        <is>
          <t>Financial</t>
        </is>
      </c>
      <c r="E1026" t="inlineStr">
        <is>
          <t>Net profit 2022</t>
        </is>
      </c>
      <c r="F1026" t="n">
        <v>252.407</v>
      </c>
      <c r="G1026" t="inlineStr">
        <is>
          <t>IDR bn</t>
        </is>
      </c>
      <c r="H1026" t="n">
        <v>21</v>
      </c>
      <c r="I1026" t="inlineStr">
        <is>
          <t>Laba Tahun Berjalan 252.407 259.650 72.367 27.370 28.819</t>
        </is>
      </c>
      <c r="J1026" t="inlineStr">
        <is>
          <t>High</t>
        </is>
      </c>
      <c r="M1026" t="inlineStr">
        <is>
          <t>LLM</t>
        </is>
      </c>
      <c r="N1026" t="inlineStr">
        <is>
          <t>2026-04-18</t>
        </is>
      </c>
      <c r="O1026" t="inlineStr">
        <is>
          <t>AI</t>
        </is>
      </c>
    </row>
    <row r="1027">
      <c r="A1027" t="inlineStr">
        <is>
          <t>PT Cisadane Sawit Raya Tbk.</t>
        </is>
      </c>
      <c r="B1027" t="inlineStr">
        <is>
          <t>CSRA_2022_AR.pdf</t>
        </is>
      </c>
      <c r="C1027" t="n">
        <v>2022</v>
      </c>
      <c r="D1027" t="inlineStr">
        <is>
          <t>Financial</t>
        </is>
      </c>
      <c r="E1027" t="inlineStr">
        <is>
          <t>EBITDA 2022</t>
        </is>
      </c>
      <c r="F1027" t="n">
        <v>449.517</v>
      </c>
      <c r="G1027" t="inlineStr">
        <is>
          <t>IDR bn</t>
        </is>
      </c>
      <c r="H1027" t="n">
        <v>21</v>
      </c>
      <c r="I1027" t="inlineStr">
        <is>
          <t>EBITDA 449.517 478.751 225.738 165.105 167.463</t>
        </is>
      </c>
      <c r="J1027" t="inlineStr">
        <is>
          <t>High</t>
        </is>
      </c>
      <c r="M1027" t="inlineStr">
        <is>
          <t>LLM</t>
        </is>
      </c>
      <c r="N1027" t="inlineStr">
        <is>
          <t>2026-04-18</t>
        </is>
      </c>
      <c r="O1027" t="inlineStr">
        <is>
          <t>AI</t>
        </is>
      </c>
    </row>
    <row r="1028">
      <c r="A1028" t="inlineStr">
        <is>
          <t>PT Cisadane Sawit Raya Tbk.</t>
        </is>
      </c>
      <c r="B1028" t="inlineStr">
        <is>
          <t>CSRA_2022_AR.pdf</t>
        </is>
      </c>
      <c r="C1028" t="n">
        <v>2022</v>
      </c>
      <c r="D1028" t="inlineStr">
        <is>
          <t>Financial</t>
        </is>
      </c>
      <c r="E1028" t="inlineStr">
        <is>
          <t>EPS 2022</t>
        </is>
      </c>
      <c r="F1028" t="n">
        <v>123</v>
      </c>
      <c r="G1028" t="inlineStr">
        <is>
          <t>IDR/share</t>
        </is>
      </c>
      <c r="H1028" t="n">
        <v>21</v>
      </c>
      <c r="I1028" t="inlineStr">
        <is>
          <t>Laba per Saham Dasar 123 127 35 18 175.727 Earnings per Share (in Rp)</t>
        </is>
      </c>
      <c r="J1028" t="inlineStr">
        <is>
          <t>High</t>
        </is>
      </c>
      <c r="M1028" t="inlineStr">
        <is>
          <t>LLM</t>
        </is>
      </c>
      <c r="N1028" t="inlineStr">
        <is>
          <t>2026-04-18</t>
        </is>
      </c>
      <c r="O1028" t="inlineStr">
        <is>
          <t>AI</t>
        </is>
      </c>
    </row>
    <row r="1029">
      <c r="A1029" t="inlineStr">
        <is>
          <t>PT Cisadane Sawit Raya Tbk.</t>
        </is>
      </c>
      <c r="B1029" t="inlineStr">
        <is>
          <t>CSRA_2022_AR.pdf</t>
        </is>
      </c>
      <c r="C1029" t="n">
        <v>2022</v>
      </c>
      <c r="D1029" t="inlineStr">
        <is>
          <t>Financial</t>
        </is>
      </c>
      <c r="E1029" t="inlineStr">
        <is>
          <t>Total assets 2022</t>
        </is>
      </c>
      <c r="F1029" t="n">
        <v>1835.254</v>
      </c>
      <c r="G1029" t="inlineStr">
        <is>
          <t>IDR bn</t>
        </is>
      </c>
      <c r="H1029" t="n">
        <v>21</v>
      </c>
      <c r="I1029" t="inlineStr">
        <is>
          <t>Jumlah Aset 1.835.254 1.753.241 1.398.569</t>
        </is>
      </c>
      <c r="J1029" t="inlineStr">
        <is>
          <t>High</t>
        </is>
      </c>
      <c r="M1029" t="inlineStr">
        <is>
          <t>LLM</t>
        </is>
      </c>
      <c r="N1029" t="inlineStr">
        <is>
          <t>2026-04-18</t>
        </is>
      </c>
      <c r="O1029" t="inlineStr">
        <is>
          <t>AI</t>
        </is>
      </c>
    </row>
    <row r="1030">
      <c r="A1030" t="inlineStr">
        <is>
          <t>PT Cisadane Sawit Raya Tbk.</t>
        </is>
      </c>
      <c r="B1030" t="inlineStr">
        <is>
          <t>CSRA_2022_AR.pdf</t>
        </is>
      </c>
      <c r="C1030" t="n">
        <v>2022</v>
      </c>
      <c r="D1030" t="inlineStr">
        <is>
          <t>Financial</t>
        </is>
      </c>
      <c r="E1030" t="inlineStr">
        <is>
          <t>Current assets</t>
        </is>
      </c>
      <c r="F1030" t="n">
        <v>502.528</v>
      </c>
      <c r="G1030" t="inlineStr">
        <is>
          <t>IDR bn</t>
        </is>
      </c>
      <c r="H1030" t="n">
        <v>21</v>
      </c>
      <c r="I1030" t="inlineStr">
        <is>
          <t>Aset lancar 502.528 569.326 201.806</t>
        </is>
      </c>
      <c r="J1030" t="inlineStr">
        <is>
          <t>High</t>
        </is>
      </c>
      <c r="M1030" t="inlineStr">
        <is>
          <t>LLM</t>
        </is>
      </c>
      <c r="N1030" t="inlineStr">
        <is>
          <t>2026-04-18</t>
        </is>
      </c>
      <c r="O1030" t="inlineStr">
        <is>
          <t>AI</t>
        </is>
      </c>
    </row>
    <row r="1031">
      <c r="A1031" t="inlineStr">
        <is>
          <t>PT Cisadane Sawit Raya Tbk.</t>
        </is>
      </c>
      <c r="B1031" t="inlineStr">
        <is>
          <t>CSRA_2022_AR.pdf</t>
        </is>
      </c>
      <c r="C1031" t="n">
        <v>2022</v>
      </c>
      <c r="D1031" t="inlineStr">
        <is>
          <t>Financial</t>
        </is>
      </c>
      <c r="E1031" t="inlineStr">
        <is>
          <t>Non-current assets</t>
        </is>
      </c>
      <c r="F1031" t="n">
        <v>1332.726</v>
      </c>
      <c r="G1031" t="inlineStr">
        <is>
          <t>IDR bn</t>
        </is>
      </c>
      <c r="H1031" t="n">
        <v>21</v>
      </c>
      <c r="I1031" t="inlineStr">
        <is>
          <t>Aset Tidak Lancar 1.332.726 1.183.915 1.196.703</t>
        </is>
      </c>
      <c r="J1031" t="inlineStr">
        <is>
          <t>High</t>
        </is>
      </c>
      <c r="M1031" t="inlineStr">
        <is>
          <t>LLM</t>
        </is>
      </c>
      <c r="N1031" t="inlineStr">
        <is>
          <t>2026-04-18</t>
        </is>
      </c>
      <c r="O1031" t="inlineStr">
        <is>
          <t>AI</t>
        </is>
      </c>
    </row>
    <row r="1032">
      <c r="A1032" t="inlineStr">
        <is>
          <t>PT Cisadane Sawit Raya Tbk.</t>
        </is>
      </c>
      <c r="B1032" t="inlineStr">
        <is>
          <t>CSRA_2022_AR.pdf</t>
        </is>
      </c>
      <c r="C1032" t="n">
        <v>2022</v>
      </c>
      <c r="D1032" t="inlineStr">
        <is>
          <t>Financial</t>
        </is>
      </c>
      <c r="E1032" t="inlineStr">
        <is>
          <t>Total liabilities 2022</t>
        </is>
      </c>
      <c r="F1032" t="n">
        <v>872.1420000000001</v>
      </c>
      <c r="G1032" t="inlineStr">
        <is>
          <t>IDR bn</t>
        </is>
      </c>
      <c r="H1032" t="n">
        <v>21</v>
      </c>
      <c r="I1032" t="inlineStr">
        <is>
          <t>Jumlah Liabilitas 872.142 971.948 826.287</t>
        </is>
      </c>
      <c r="J1032" t="inlineStr">
        <is>
          <t>High</t>
        </is>
      </c>
      <c r="M1032" t="inlineStr">
        <is>
          <t>LLM</t>
        </is>
      </c>
      <c r="N1032" t="inlineStr">
        <is>
          <t>2026-04-18</t>
        </is>
      </c>
      <c r="O1032" t="inlineStr">
        <is>
          <t>AI</t>
        </is>
      </c>
    </row>
    <row r="1033">
      <c r="A1033" t="inlineStr">
        <is>
          <t>PT Cisadane Sawit Raya Tbk.</t>
        </is>
      </c>
      <c r="B1033" t="inlineStr">
        <is>
          <t>CSRA_2022_AR.pdf</t>
        </is>
      </c>
      <c r="C1033" t="n">
        <v>2022</v>
      </c>
      <c r="D1033" t="inlineStr">
        <is>
          <t>Financial</t>
        </is>
      </c>
      <c r="E1033" t="inlineStr">
        <is>
          <t>Current liabilities</t>
        </is>
      </c>
      <c r="F1033" t="n">
        <v>251.247</v>
      </c>
      <c r="G1033" t="inlineStr">
        <is>
          <t>IDR bn</t>
        </is>
      </c>
      <c r="H1033" t="n">
        <v>21</v>
      </c>
      <c r="I1033" t="inlineStr">
        <is>
          <t>Liabilitas Jangka Pendek 251.247 263.344 263.994</t>
        </is>
      </c>
      <c r="J1033" t="inlineStr">
        <is>
          <t>High</t>
        </is>
      </c>
      <c r="M1033" t="inlineStr">
        <is>
          <t>LLM</t>
        </is>
      </c>
      <c r="N1033" t="inlineStr">
        <is>
          <t>2026-04-18</t>
        </is>
      </c>
      <c r="O1033" t="inlineStr">
        <is>
          <t>AI</t>
        </is>
      </c>
    </row>
    <row r="1034">
      <c r="A1034" t="inlineStr">
        <is>
          <t>PT Cisadane Sawit Raya Tbk.</t>
        </is>
      </c>
      <c r="B1034" t="inlineStr">
        <is>
          <t>CSRA_2022_AR.pdf</t>
        </is>
      </c>
      <c r="C1034" t="n">
        <v>2022</v>
      </c>
      <c r="D1034" t="inlineStr">
        <is>
          <t>Financial</t>
        </is>
      </c>
      <c r="E1034" t="inlineStr">
        <is>
          <t>Long-term liabilities</t>
        </is>
      </c>
      <c r="F1034" t="n">
        <v>620.895</v>
      </c>
      <c r="G1034" t="inlineStr">
        <is>
          <t>IDR bn</t>
        </is>
      </c>
      <c r="H1034" t="n">
        <v>21</v>
      </c>
      <c r="I1034" t="inlineStr">
        <is>
          <t>Liabilitas Jangka Panjang 620.895 708.604 562.293</t>
        </is>
      </c>
      <c r="J1034" t="inlineStr">
        <is>
          <t>High</t>
        </is>
      </c>
      <c r="M1034" t="inlineStr">
        <is>
          <t>LLM</t>
        </is>
      </c>
      <c r="N1034" t="inlineStr">
        <is>
          <t>2026-04-18</t>
        </is>
      </c>
      <c r="O1034" t="inlineStr">
        <is>
          <t>AI</t>
        </is>
      </c>
    </row>
    <row r="1035">
      <c r="A1035" t="inlineStr">
        <is>
          <t>PT Cisadane Sawit Raya Tbk.</t>
        </is>
      </c>
      <c r="B1035" t="inlineStr">
        <is>
          <t>CSRA_2022_AR.pdf</t>
        </is>
      </c>
      <c r="C1035" t="n">
        <v>2022</v>
      </c>
      <c r="D1035" t="inlineStr">
        <is>
          <t>Financial</t>
        </is>
      </c>
      <c r="E1035" t="inlineStr">
        <is>
          <t>Total equity 2022</t>
        </is>
      </c>
      <c r="F1035" t="n">
        <v>963.112</v>
      </c>
      <c r="G1035" t="inlineStr">
        <is>
          <t>IDR bn</t>
        </is>
      </c>
      <c r="H1035" t="n">
        <v>21</v>
      </c>
      <c r="I1035" t="inlineStr">
        <is>
          <t>Jumlah Ekuitas 963.112 781.293 572.281</t>
        </is>
      </c>
      <c r="J1035" t="inlineStr">
        <is>
          <t>High</t>
        </is>
      </c>
      <c r="M1035" t="inlineStr">
        <is>
          <t>LLM</t>
        </is>
      </c>
      <c r="N1035" t="inlineStr">
        <is>
          <t>2026-04-18</t>
        </is>
      </c>
      <c r="O1035" t="inlineStr">
        <is>
          <t>AI</t>
        </is>
      </c>
    </row>
    <row r="1036">
      <c r="A1036" t="inlineStr">
        <is>
          <t>PT Cisadane Sawit Raya Tbk.</t>
        </is>
      </c>
      <c r="B1036" t="inlineStr">
        <is>
          <t>CSRA_2022_AR.pdf</t>
        </is>
      </c>
      <c r="C1036" t="n">
        <v>2022</v>
      </c>
      <c r="D1036" t="inlineStr">
        <is>
          <t>Financial</t>
        </is>
      </c>
      <c r="E1036" t="inlineStr">
        <is>
          <t>Cash 2022</t>
        </is>
      </c>
      <c r="F1036" t="n">
        <v>263.734</v>
      </c>
      <c r="G1036" t="inlineStr">
        <is>
          <t>IDR bn</t>
        </is>
      </c>
      <c r="H1036" t="n">
        <v>21</v>
      </c>
      <c r="I1036" t="inlineStr">
        <is>
          <t>Saldo Kas dan Setara Kas Akhir Tahun 263.734 365.501 41.852</t>
        </is>
      </c>
      <c r="J1036" t="inlineStr">
        <is>
          <t>High</t>
        </is>
      </c>
      <c r="M1036" t="inlineStr">
        <is>
          <t>LLM</t>
        </is>
      </c>
      <c r="N1036" t="inlineStr">
        <is>
          <t>2026-04-18</t>
        </is>
      </c>
      <c r="O1036" t="inlineStr">
        <is>
          <t>AI</t>
        </is>
      </c>
    </row>
    <row r="1037">
      <c r="A1037" t="inlineStr">
        <is>
          <t>PT Cisadane Sawit Raya Tbk.</t>
        </is>
      </c>
      <c r="B1037" t="inlineStr">
        <is>
          <t>CSRA_2022_AR.pdf</t>
        </is>
      </c>
      <c r="C1037" t="n">
        <v>2022</v>
      </c>
      <c r="D1037" t="inlineStr">
        <is>
          <t>Financial</t>
        </is>
      </c>
      <c r="E1037" t="inlineStr">
        <is>
          <t>Total borrowings (gross debt)</t>
        </is>
      </c>
      <c r="F1037" t="n">
        <v>644.696</v>
      </c>
      <c r="G1037" t="inlineStr">
        <is>
          <t>IDR bn</t>
        </is>
      </c>
      <c r="H1037" t="n">
        <v>112</v>
      </c>
      <c r="I1037" t="inlineStr">
        <is>
          <t>Jumlah Pinjaman 644.696.424.985 766.623.212.623</t>
        </is>
      </c>
      <c r="J1037" t="inlineStr">
        <is>
          <t>High</t>
        </is>
      </c>
      <c r="M1037" t="inlineStr">
        <is>
          <t>LLM</t>
        </is>
      </c>
      <c r="N1037" t="inlineStr">
        <is>
          <t>2026-04-18</t>
        </is>
      </c>
      <c r="O1037" t="inlineStr">
        <is>
          <t>AI</t>
        </is>
      </c>
    </row>
    <row r="1038">
      <c r="A1038" t="inlineStr">
        <is>
          <t>PT Cisadane Sawit Raya Tbk.</t>
        </is>
      </c>
      <c r="B1038" t="inlineStr">
        <is>
          <t>CSRA_2022_AR.pdf</t>
        </is>
      </c>
      <c r="C1038" t="n">
        <v>2022</v>
      </c>
      <c r="D1038" t="inlineStr">
        <is>
          <t>Financial</t>
        </is>
      </c>
      <c r="E1038" t="inlineStr">
        <is>
          <t>Net debt 2022</t>
        </is>
      </c>
      <c r="F1038" t="n">
        <v>380.962</v>
      </c>
      <c r="G1038" t="inlineStr">
        <is>
          <t>IDR bn</t>
        </is>
      </c>
      <c r="H1038" t="n">
        <v>112</v>
      </c>
      <c r="I1038" t="inlineStr">
        <is>
          <t>Pinjaman Bersih 380.962.349.166 401.121.766.103 Net Loans</t>
        </is>
      </c>
      <c r="J1038" t="inlineStr">
        <is>
          <t>High</t>
        </is>
      </c>
      <c r="M1038" t="inlineStr">
        <is>
          <t>LLM</t>
        </is>
      </c>
      <c r="N1038" t="inlineStr">
        <is>
          <t>2026-04-18</t>
        </is>
      </c>
      <c r="O1038" t="inlineStr">
        <is>
          <t>AI</t>
        </is>
      </c>
    </row>
    <row r="1039">
      <c r="A1039" t="inlineStr">
        <is>
          <t>PT Cisadane Sawit Raya Tbk.</t>
        </is>
      </c>
      <c r="B1039" t="inlineStr">
        <is>
          <t>CSRA_2022_AR.pdf</t>
        </is>
      </c>
      <c r="C1039" t="n">
        <v>2022</v>
      </c>
      <c r="D1039" t="inlineStr">
        <is>
          <t>Financial</t>
        </is>
      </c>
      <c r="E1039" t="inlineStr">
        <is>
          <t>CFO 2022</t>
        </is>
      </c>
      <c r="F1039" t="n">
        <v>401.336</v>
      </c>
      <c r="G1039" t="inlineStr">
        <is>
          <t>IDR bn</t>
        </is>
      </c>
      <c r="H1039" t="n">
        <v>21</v>
      </c>
      <c r="I1039" t="inlineStr">
        <is>
          <t>Arus Kas dari Aktivitas Operasi 401.336 390.318 240.202</t>
        </is>
      </c>
      <c r="J1039" t="inlineStr">
        <is>
          <t>High</t>
        </is>
      </c>
      <c r="M1039" t="inlineStr">
        <is>
          <t>LLM</t>
        </is>
      </c>
      <c r="N1039" t="inlineStr">
        <is>
          <t>2026-04-18</t>
        </is>
      </c>
      <c r="O1039" t="inlineStr">
        <is>
          <t>AI</t>
        </is>
      </c>
    </row>
    <row r="1040">
      <c r="A1040" t="inlineStr">
        <is>
          <t>PT Cisadane Sawit Raya Tbk.</t>
        </is>
      </c>
      <c r="B1040" t="inlineStr">
        <is>
          <t>CSRA_2022_AR.pdf</t>
        </is>
      </c>
      <c r="C1040" t="n">
        <v>2022</v>
      </c>
      <c r="D1040" t="inlineStr">
        <is>
          <t>Financial</t>
        </is>
      </c>
      <c r="E1040" t="inlineStr">
        <is>
          <t>CFI 2022</t>
        </is>
      </c>
      <c r="F1040" t="n">
        <v>-238.442</v>
      </c>
      <c r="G1040" t="inlineStr">
        <is>
          <t>IDR bn</t>
        </is>
      </c>
      <c r="H1040" t="n">
        <v>21</v>
      </c>
      <c r="I1040" t="inlineStr">
        <is>
          <t>Arus Kas dari Aktivitas Investasi (238.442) (85.119)</t>
        </is>
      </c>
      <c r="J1040" t="inlineStr">
        <is>
          <t>High</t>
        </is>
      </c>
      <c r="M1040" t="inlineStr">
        <is>
          <t>LLM</t>
        </is>
      </c>
      <c r="N1040" t="inlineStr">
        <is>
          <t>2026-04-18</t>
        </is>
      </c>
      <c r="O1040" t="inlineStr">
        <is>
          <t>AI</t>
        </is>
      </c>
    </row>
    <row r="1041">
      <c r="A1041" t="inlineStr">
        <is>
          <t>PT Cisadane Sawit Raya Tbk.</t>
        </is>
      </c>
      <c r="B1041" t="inlineStr">
        <is>
          <t>CSRA_2022_AR.pdf</t>
        </is>
      </c>
      <c r="C1041" t="n">
        <v>2022</v>
      </c>
      <c r="D1041" t="inlineStr">
        <is>
          <t>Financial</t>
        </is>
      </c>
      <c r="E1041" t="inlineStr">
        <is>
          <t>CFF 2022</t>
        </is>
      </c>
      <c r="F1041" t="n">
        <v>-264.661</v>
      </c>
      <c r="G1041" t="inlineStr">
        <is>
          <t>IDR bn</t>
        </is>
      </c>
      <c r="H1041" t="n">
        <v>21</v>
      </c>
      <c r="I1041" t="inlineStr">
        <is>
          <t>Arus Kas dari Aktivitas Pendanaan (264.661) 18.451</t>
        </is>
      </c>
      <c r="J1041" t="inlineStr">
        <is>
          <t>High</t>
        </is>
      </c>
      <c r="M1041" t="inlineStr">
        <is>
          <t>LLM</t>
        </is>
      </c>
      <c r="N1041" t="inlineStr">
        <is>
          <t>2026-04-18</t>
        </is>
      </c>
      <c r="O1041" t="inlineStr">
        <is>
          <t>AI</t>
        </is>
      </c>
    </row>
    <row r="1042">
      <c r="A1042" t="inlineStr">
        <is>
          <t>PT Cisadane Sawit Raya Tbk.</t>
        </is>
      </c>
      <c r="B1042" t="inlineStr">
        <is>
          <t>CSRA_2022_AR.pdf</t>
        </is>
      </c>
      <c r="C1042" t="n">
        <v>2022</v>
      </c>
      <c r="D1042" t="inlineStr">
        <is>
          <t>Financial</t>
        </is>
      </c>
      <c r="E1042" t="inlineStr">
        <is>
          <t>Capex 2022 (acquisition of fixed assets)</t>
        </is>
      </c>
      <c r="F1042" t="n">
        <v>134.417</v>
      </c>
      <c r="G1042" t="inlineStr">
        <is>
          <t>IDR bn</t>
        </is>
      </c>
      <c r="H1042" t="n">
        <v>113</v>
      </c>
      <c r="I1042" t="inlineStr">
        <is>
          <t>Perolehan Aset Tetap 134.416.655.133 36.167.400.911</t>
        </is>
      </c>
      <c r="J1042" t="inlineStr">
        <is>
          <t>High</t>
        </is>
      </c>
      <c r="M1042" t="inlineStr">
        <is>
          <t>LLM</t>
        </is>
      </c>
      <c r="N1042" t="inlineStr">
        <is>
          <t>2026-04-18</t>
        </is>
      </c>
      <c r="O1042" t="inlineStr">
        <is>
          <t>AI</t>
        </is>
      </c>
    </row>
    <row r="1043">
      <c r="A1043" t="inlineStr">
        <is>
          <t>PT Cisadane Sawit Raya Tbk.</t>
        </is>
      </c>
      <c r="B1043" t="inlineStr">
        <is>
          <t>CSRA_2022_AR.pdf</t>
        </is>
      </c>
      <c r="C1043" t="n">
        <v>2022</v>
      </c>
      <c r="D1043" t="inlineStr">
        <is>
          <t>Financial</t>
        </is>
      </c>
      <c r="E1043" t="inlineStr">
        <is>
          <t>Interim dividend 2022</t>
        </is>
      </c>
      <c r="F1043" t="n">
        <v>25</v>
      </c>
      <c r="G1043" t="inlineStr">
        <is>
          <t>IDR/share</t>
        </is>
      </c>
      <c r="H1043" t="n">
        <v>118</v>
      </c>
      <c r="I1043" t="inlineStr">
        <is>
          <t>Perseroaan membagikan dividen interim sebesar Rp51.250.000.000... atau Rp25,- per saham... 30 November 2022</t>
        </is>
      </c>
      <c r="J1043" t="inlineStr">
        <is>
          <t>High</t>
        </is>
      </c>
      <c r="M1043" t="inlineStr">
        <is>
          <t>LLM</t>
        </is>
      </c>
      <c r="N1043" t="inlineStr">
        <is>
          <t>2026-04-18</t>
        </is>
      </c>
      <c r="O1043" t="inlineStr">
        <is>
          <t>AI</t>
        </is>
      </c>
    </row>
    <row r="1044">
      <c r="A1044" t="inlineStr">
        <is>
          <t>PT Cisadane Sawit Raya Tbk.</t>
        </is>
      </c>
      <c r="B1044" t="inlineStr">
        <is>
          <t>CSRA_2022_AR.pdf</t>
        </is>
      </c>
      <c r="C1044" t="n">
        <v>2022</v>
      </c>
      <c r="D1044" t="inlineStr">
        <is>
          <t>Financial</t>
        </is>
      </c>
      <c r="E1044" t="inlineStr">
        <is>
          <t>Final dividend FY2021 paid 2022</t>
        </is>
      </c>
      <c r="F1044" t="n">
        <v>10</v>
      </c>
      <c r="G1044" t="inlineStr">
        <is>
          <t>IDR/share</t>
        </is>
      </c>
      <c r="H1044" t="n">
        <v>118</v>
      </c>
      <c r="I1044" t="inlineStr">
        <is>
          <t>dividen tunai final sebesar Rp20.500.000.000 ... atau Rp10,- per saham... 17 Juni 2022</t>
        </is>
      </c>
      <c r="J1044" t="inlineStr">
        <is>
          <t>High</t>
        </is>
      </c>
      <c r="M1044" t="inlineStr">
        <is>
          <t>LLM</t>
        </is>
      </c>
      <c r="N1044" t="inlineStr">
        <is>
          <t>2026-04-18</t>
        </is>
      </c>
      <c r="O1044" t="inlineStr">
        <is>
          <t>AI</t>
        </is>
      </c>
    </row>
    <row r="1045">
      <c r="A1045" t="inlineStr">
        <is>
          <t>PT Cisadane Sawit Raya Tbk.</t>
        </is>
      </c>
      <c r="B1045" t="inlineStr">
        <is>
          <t>CSRA_2022_AR.pdf</t>
        </is>
      </c>
      <c r="C1045" t="n">
        <v>2022</v>
      </c>
      <c r="D1045" t="inlineStr">
        <is>
          <t>Financial</t>
        </is>
      </c>
      <c r="E1045" t="inlineStr">
        <is>
          <t>Closing price Q4 2022</t>
        </is>
      </c>
      <c r="F1045" t="n">
        <v>570</v>
      </c>
      <c r="G1045" t="inlineStr">
        <is>
          <t>IDR/share</t>
        </is>
      </c>
      <c r="H1045" t="n">
        <v>22</v>
      </c>
      <c r="I1045" t="inlineStr">
        <is>
          <t>Penutupan (Rp) 690 700 615 570 Closing (Rp)</t>
        </is>
      </c>
      <c r="J1045" t="inlineStr">
        <is>
          <t>High</t>
        </is>
      </c>
      <c r="M1045" t="inlineStr">
        <is>
          <t>LLM</t>
        </is>
      </c>
      <c r="N1045" t="inlineStr">
        <is>
          <t>2026-04-18</t>
        </is>
      </c>
      <c r="O1045" t="inlineStr">
        <is>
          <t>AI</t>
        </is>
      </c>
    </row>
    <row r="1046">
      <c r="A1046" t="inlineStr">
        <is>
          <t>PT Cisadane Sawit Raya Tbk.</t>
        </is>
      </c>
      <c r="B1046" t="inlineStr">
        <is>
          <t>CSRA_2022_AR.pdf</t>
        </is>
      </c>
      <c r="C1046" t="n">
        <v>2022</v>
      </c>
      <c r="D1046" t="inlineStr">
        <is>
          <t>Asset</t>
        </is>
      </c>
      <c r="E1046" t="inlineStr">
        <is>
          <t>Planted area nucleus</t>
        </is>
      </c>
      <c r="F1046" t="n">
        <v>19333.9</v>
      </c>
      <c r="G1046" t="inlineStr">
        <is>
          <t>hectares</t>
        </is>
      </c>
      <c r="H1046" t="n">
        <v>20</v>
      </c>
      <c r="I1046" t="inlineStr">
        <is>
          <t>LAHAN TERTANAM – INTI (Ha) 19.333,9 18.225,0 18.112,3</t>
        </is>
      </c>
      <c r="J1046" t="inlineStr">
        <is>
          <t>High</t>
        </is>
      </c>
      <c r="M1046" t="inlineStr">
        <is>
          <t>LLM</t>
        </is>
      </c>
      <c r="N1046" t="inlineStr">
        <is>
          <t>2026-04-18</t>
        </is>
      </c>
      <c r="O1046" t="inlineStr">
        <is>
          <t>AI</t>
        </is>
      </c>
    </row>
    <row r="1047">
      <c r="A1047" t="inlineStr">
        <is>
          <t>PT Cisadane Sawit Raya Tbk.</t>
        </is>
      </c>
      <c r="B1047" t="inlineStr">
        <is>
          <t>CSRA_2022_AR.pdf</t>
        </is>
      </c>
      <c r="C1047" t="n">
        <v>2022</v>
      </c>
      <c r="D1047" t="inlineStr">
        <is>
          <t>Asset</t>
        </is>
      </c>
      <c r="E1047" t="inlineStr">
        <is>
          <t>Mature area</t>
        </is>
      </c>
      <c r="F1047" t="n">
        <v>16147.1</v>
      </c>
      <c r="G1047" t="inlineStr">
        <is>
          <t>hectares</t>
        </is>
      </c>
      <c r="H1047" t="n">
        <v>20</v>
      </c>
      <c r="I1047" t="inlineStr">
        <is>
          <t>Menghasilkan 16.147,1 15.660,4 15.777,2 15.174,9 13.489,6 Mature</t>
        </is>
      </c>
      <c r="J1047" t="inlineStr">
        <is>
          <t>High</t>
        </is>
      </c>
      <c r="M1047" t="inlineStr">
        <is>
          <t>LLM</t>
        </is>
      </c>
      <c r="N1047" t="inlineStr">
        <is>
          <t>2026-04-18</t>
        </is>
      </c>
      <c r="O1047" t="inlineStr">
        <is>
          <t>AI</t>
        </is>
      </c>
    </row>
    <row r="1048">
      <c r="A1048" t="inlineStr">
        <is>
          <t>PT Cisadane Sawit Raya Tbk.</t>
        </is>
      </c>
      <c r="B1048" t="inlineStr">
        <is>
          <t>CSRA_2022_AR.pdf</t>
        </is>
      </c>
      <c r="C1048" t="n">
        <v>2022</v>
      </c>
      <c r="D1048" t="inlineStr">
        <is>
          <t>Asset</t>
        </is>
      </c>
      <c r="E1048" t="inlineStr">
        <is>
          <t>Immature area</t>
        </is>
      </c>
      <c r="F1048" t="n">
        <v>3186.8</v>
      </c>
      <c r="G1048" t="inlineStr">
        <is>
          <t>hectares</t>
        </is>
      </c>
      <c r="H1048" t="n">
        <v>20</v>
      </c>
      <c r="I1048" t="inlineStr">
        <is>
          <t>Belum Menghasilkan 3.186,8 2.564,6 2.335,1 2.436,0 3.522,6 Immature</t>
        </is>
      </c>
      <c r="J1048" t="inlineStr">
        <is>
          <t>High</t>
        </is>
      </c>
      <c r="M1048" t="inlineStr">
        <is>
          <t>LLM</t>
        </is>
      </c>
      <c r="N1048" t="inlineStr">
        <is>
          <t>2026-04-18</t>
        </is>
      </c>
      <c r="O1048" t="inlineStr">
        <is>
          <t>AI</t>
        </is>
      </c>
    </row>
    <row r="1049">
      <c r="A1049" t="inlineStr">
        <is>
          <t>PT Cisadane Sawit Raya Tbk.</t>
        </is>
      </c>
      <c r="B1049" t="inlineStr">
        <is>
          <t>CSRA_2022_AR.pdf</t>
        </is>
      </c>
      <c r="C1049" t="n">
        <v>2022</v>
      </c>
      <c r="D1049" t="inlineStr">
        <is>
          <t>Asset</t>
        </is>
      </c>
      <c r="E1049" t="inlineStr">
        <is>
          <t>Mill capacity</t>
        </is>
      </c>
      <c r="F1049" t="n">
        <v>45</v>
      </c>
      <c r="G1049" t="inlineStr">
        <is>
          <t>tons/hour</t>
        </is>
      </c>
      <c r="I1049" t="inlineStr">
        <is>
          <t>PKS... dengan kapasitas 60 ton per jam dan telah dilakukan overhaul menjadi 45 ton per jam agar lebih efisien</t>
        </is>
      </c>
      <c r="J1049" t="inlineStr">
        <is>
          <t>High</t>
        </is>
      </c>
      <c r="M1049" t="inlineStr">
        <is>
          <t>LLM</t>
        </is>
      </c>
      <c r="N1049" t="inlineStr">
        <is>
          <t>2026-04-18</t>
        </is>
      </c>
      <c r="O1049" t="inlineStr">
        <is>
          <t>AI</t>
        </is>
      </c>
    </row>
    <row r="1050">
      <c r="A1050" t="inlineStr">
        <is>
          <t>PT Cisadane Sawit Raya Tbk.</t>
        </is>
      </c>
      <c r="B1050" t="inlineStr">
        <is>
          <t>CSRA_2022_AR.pdf</t>
        </is>
      </c>
      <c r="C1050" t="n">
        <v>2022</v>
      </c>
      <c r="D1050" t="inlineStr">
        <is>
          <t>Asset</t>
        </is>
      </c>
      <c r="E1050" t="inlineStr">
        <is>
          <t>Mill location (existing)</t>
        </is>
      </c>
      <c r="F1050" t="inlineStr">
        <is>
          <t>Negeri Lama, Labuhanbatu, North Sumatra</t>
        </is>
      </c>
      <c r="G1050" t="inlineStr">
        <is>
          <t>text</t>
        </is>
      </c>
      <c r="H1050" t="n">
        <v>42</v>
      </c>
      <c r="I1050" t="inlineStr">
        <is>
          <t>mengoperasikan PKS yang berada di area kebun dengan kapasitas 60 ton per jam... Negeri Lama, Labuhanbatu, Provinsi Sumatera Utara</t>
        </is>
      </c>
      <c r="J1050" t="inlineStr">
        <is>
          <t>High</t>
        </is>
      </c>
      <c r="M1050" t="inlineStr">
        <is>
          <t>LLM</t>
        </is>
      </c>
      <c r="N1050" t="inlineStr">
        <is>
          <t>2026-04-18</t>
        </is>
      </c>
      <c r="O1050" t="inlineStr">
        <is>
          <t>AI</t>
        </is>
      </c>
    </row>
    <row r="1051">
      <c r="A1051" t="inlineStr">
        <is>
          <t>PT Cisadane Sawit Raya Tbk.</t>
        </is>
      </c>
      <c r="B1051" t="inlineStr">
        <is>
          <t>CSRA_2022_AR.pdf</t>
        </is>
      </c>
      <c r="C1051" t="n">
        <v>2022</v>
      </c>
      <c r="D1051" t="inlineStr">
        <is>
          <t>Asset</t>
        </is>
      </c>
      <c r="E1051" t="inlineStr">
        <is>
          <t>Second mill under construction</t>
        </is>
      </c>
      <c r="F1051" t="inlineStr">
        <is>
          <t>PT SKL, Tapanuli Selatan, North Sumatra, 45 tph, expected Jun-2023</t>
        </is>
      </c>
      <c r="G1051" t="inlineStr">
        <is>
          <t>text</t>
        </is>
      </c>
      <c r="I1051" t="inlineStr">
        <is>
          <t>membangun Pabrik Pengolahan kelapa Sawit (PKS) di PT SKL, Tapanuli Selatan, Sumatera Utara dengan kapasitas produksi 45 ton per jam yang akan mulai operating in the mid-2023</t>
        </is>
      </c>
      <c r="J1051" t="inlineStr">
        <is>
          <t>High</t>
        </is>
      </c>
      <c r="M1051" t="inlineStr">
        <is>
          <t>LLM</t>
        </is>
      </c>
      <c r="N1051" t="inlineStr">
        <is>
          <t>2026-04-18</t>
        </is>
      </c>
      <c r="O1051" t="inlineStr">
        <is>
          <t>AI</t>
        </is>
      </c>
    </row>
    <row r="1052">
      <c r="A1052" t="inlineStr">
        <is>
          <t>PT Cisadane Sawit Raya Tbk.</t>
        </is>
      </c>
      <c r="B1052" t="inlineStr">
        <is>
          <t>CSRA_2022_AR.pdf</t>
        </is>
      </c>
      <c r="C1052" t="n">
        <v>2022</v>
      </c>
      <c r="D1052" t="inlineStr">
        <is>
          <t>Operation</t>
        </is>
      </c>
      <c r="E1052" t="inlineStr">
        <is>
          <t>FFB production 2022</t>
        </is>
      </c>
      <c r="F1052" t="n">
        <v>342464</v>
      </c>
      <c r="G1052" t="inlineStr">
        <is>
          <t>MT</t>
        </is>
      </c>
      <c r="H1052" t="n">
        <v>20</v>
      </c>
      <c r="I1052" t="inlineStr">
        <is>
          <t>Total produksi TBS (ton) 342.464 319.071 295.125 Total FFB produced</t>
        </is>
      </c>
      <c r="J1052" t="inlineStr">
        <is>
          <t>High</t>
        </is>
      </c>
      <c r="M1052" t="inlineStr">
        <is>
          <t>LLM</t>
        </is>
      </c>
      <c r="N1052" t="inlineStr">
        <is>
          <t>2026-04-18</t>
        </is>
      </c>
      <c r="O1052" t="inlineStr">
        <is>
          <t>AI</t>
        </is>
      </c>
    </row>
    <row r="1053">
      <c r="A1053" t="inlineStr">
        <is>
          <t>PT Cisadane Sawit Raya Tbk.</t>
        </is>
      </c>
      <c r="B1053" t="inlineStr">
        <is>
          <t>CSRA_2022_AR.pdf</t>
        </is>
      </c>
      <c r="C1053" t="n">
        <v>2022</v>
      </c>
      <c r="D1053" t="inlineStr">
        <is>
          <t>Operation</t>
        </is>
      </c>
      <c r="E1053" t="inlineStr">
        <is>
          <t>Third-party FFB purchased</t>
        </is>
      </c>
      <c r="F1053" t="n">
        <v>14326</v>
      </c>
      <c r="G1053" t="inlineStr">
        <is>
          <t>MT</t>
        </is>
      </c>
      <c r="H1053" t="n">
        <v>20</v>
      </c>
      <c r="I1053" t="inlineStr">
        <is>
          <t>Total TBS dibeli dari pihak ketiga (ton) 14.326 30.769</t>
        </is>
      </c>
      <c r="J1053" t="inlineStr">
        <is>
          <t>High</t>
        </is>
      </c>
      <c r="M1053" t="inlineStr">
        <is>
          <t>LLM</t>
        </is>
      </c>
      <c r="N1053" t="inlineStr">
        <is>
          <t>2026-04-18</t>
        </is>
      </c>
      <c r="O1053" t="inlineStr">
        <is>
          <t>AI</t>
        </is>
      </c>
    </row>
    <row r="1054">
      <c r="A1054" t="inlineStr">
        <is>
          <t>PT Cisadane Sawit Raya Tbk.</t>
        </is>
      </c>
      <c r="B1054" t="inlineStr">
        <is>
          <t>CSRA_2022_AR.pdf</t>
        </is>
      </c>
      <c r="C1054" t="n">
        <v>2022</v>
      </c>
      <c r="D1054" t="inlineStr">
        <is>
          <t>Operation</t>
        </is>
      </c>
      <c r="E1054" t="inlineStr">
        <is>
          <t>FFB processed</t>
        </is>
      </c>
      <c r="F1054" t="n">
        <v>174180</v>
      </c>
      <c r="G1054" t="inlineStr">
        <is>
          <t>MT</t>
        </is>
      </c>
      <c r="H1054" t="n">
        <v>20</v>
      </c>
      <c r="I1054" t="inlineStr">
        <is>
          <t>Total TBS diproses (ton) 174.180 193.840</t>
        </is>
      </c>
      <c r="J1054" t="inlineStr">
        <is>
          <t>High</t>
        </is>
      </c>
      <c r="M1054" t="inlineStr">
        <is>
          <t>LLM</t>
        </is>
      </c>
      <c r="N1054" t="inlineStr">
        <is>
          <t>2026-04-18</t>
        </is>
      </c>
      <c r="O1054" t="inlineStr">
        <is>
          <t>AI</t>
        </is>
      </c>
    </row>
    <row r="1055">
      <c r="A1055" t="inlineStr">
        <is>
          <t>PT Cisadane Sawit Raya Tbk.</t>
        </is>
      </c>
      <c r="B1055" t="inlineStr">
        <is>
          <t>CSRA_2022_AR.pdf</t>
        </is>
      </c>
      <c r="C1055" t="n">
        <v>2022</v>
      </c>
      <c r="D1055" t="inlineStr">
        <is>
          <t>Operation</t>
        </is>
      </c>
      <c r="E1055" t="inlineStr">
        <is>
          <t>CPO production 2022</t>
        </is>
      </c>
      <c r="F1055" t="n">
        <v>35701</v>
      </c>
      <c r="G1055" t="inlineStr">
        <is>
          <t>MT</t>
        </is>
      </c>
      <c r="H1055" t="n">
        <v>20</v>
      </c>
      <c r="I1055" t="inlineStr">
        <is>
          <t>Total Produksi CPO (ton) 35.701 39.687 47.194</t>
        </is>
      </c>
      <c r="J1055" t="inlineStr">
        <is>
          <t>High</t>
        </is>
      </c>
      <c r="M1055" t="inlineStr">
        <is>
          <t>LLM</t>
        </is>
      </c>
      <c r="N1055" t="inlineStr">
        <is>
          <t>2026-04-18</t>
        </is>
      </c>
      <c r="O1055" t="inlineStr">
        <is>
          <t>AI</t>
        </is>
      </c>
    </row>
    <row r="1056">
      <c r="A1056" t="inlineStr">
        <is>
          <t>PT Cisadane Sawit Raya Tbk.</t>
        </is>
      </c>
      <c r="B1056" t="inlineStr">
        <is>
          <t>CSRA_2022_AR.pdf</t>
        </is>
      </c>
      <c r="C1056" t="n">
        <v>2022</v>
      </c>
      <c r="D1056" t="inlineStr">
        <is>
          <t>Operation</t>
        </is>
      </c>
      <c r="E1056" t="inlineStr">
        <is>
          <t>CPO sales volume</t>
        </is>
      </c>
      <c r="F1056" t="n">
        <v>34633</v>
      </c>
      <c r="G1056" t="inlineStr">
        <is>
          <t>MT</t>
        </is>
      </c>
      <c r="H1056" t="n">
        <v>20</v>
      </c>
      <c r="I1056" t="inlineStr">
        <is>
          <t>Total Penjualan CPO (ton) 34.633 39.428</t>
        </is>
      </c>
      <c r="J1056" t="inlineStr">
        <is>
          <t>High</t>
        </is>
      </c>
      <c r="M1056" t="inlineStr">
        <is>
          <t>LLM</t>
        </is>
      </c>
      <c r="N1056" t="inlineStr">
        <is>
          <t>2026-04-18</t>
        </is>
      </c>
      <c r="O1056" t="inlineStr">
        <is>
          <t>AI</t>
        </is>
      </c>
    </row>
    <row r="1057">
      <c r="A1057" t="inlineStr">
        <is>
          <t>PT Cisadane Sawit Raya Tbk.</t>
        </is>
      </c>
      <c r="B1057" t="inlineStr">
        <is>
          <t>CSRA_2022_AR.pdf</t>
        </is>
      </c>
      <c r="C1057" t="n">
        <v>2022</v>
      </c>
      <c r="D1057" t="inlineStr">
        <is>
          <t>Operation</t>
        </is>
      </c>
      <c r="E1057" t="inlineStr">
        <is>
          <t>Palm kernel production</t>
        </is>
      </c>
      <c r="F1057" t="n">
        <v>8974</v>
      </c>
      <c r="G1057" t="inlineStr">
        <is>
          <t>MT</t>
        </is>
      </c>
      <c r="H1057" t="n">
        <v>20</v>
      </c>
      <c r="I1057" t="inlineStr">
        <is>
          <t>Total Produksi PK (ton) 8.974 9.423</t>
        </is>
      </c>
      <c r="J1057" t="inlineStr">
        <is>
          <t>High</t>
        </is>
      </c>
      <c r="M1057" t="inlineStr">
        <is>
          <t>LLM</t>
        </is>
      </c>
      <c r="N1057" t="inlineStr">
        <is>
          <t>2026-04-18</t>
        </is>
      </c>
      <c r="O1057" t="inlineStr">
        <is>
          <t>AI</t>
        </is>
      </c>
    </row>
    <row r="1058">
      <c r="A1058" t="inlineStr">
        <is>
          <t>PT Cisadane Sawit Raya Tbk.</t>
        </is>
      </c>
      <c r="B1058" t="inlineStr">
        <is>
          <t>CSRA_2022_AR.pdf</t>
        </is>
      </c>
      <c r="C1058" t="n">
        <v>2022</v>
      </c>
      <c r="D1058" t="inlineStr">
        <is>
          <t>Operation</t>
        </is>
      </c>
      <c r="E1058" t="inlineStr">
        <is>
          <t>Palm kernel sales volume</t>
        </is>
      </c>
      <c r="F1058" t="n">
        <v>7832</v>
      </c>
      <c r="G1058" t="inlineStr">
        <is>
          <t>MT</t>
        </is>
      </c>
      <c r="H1058" t="n">
        <v>20</v>
      </c>
      <c r="I1058" t="inlineStr">
        <is>
          <t>Total Penjualan PK (ton) 7.832 9.321</t>
        </is>
      </c>
      <c r="J1058" t="inlineStr">
        <is>
          <t>High</t>
        </is>
      </c>
      <c r="M1058" t="inlineStr">
        <is>
          <t>LLM</t>
        </is>
      </c>
      <c r="N1058" t="inlineStr">
        <is>
          <t>2026-04-18</t>
        </is>
      </c>
      <c r="O1058" t="inlineStr">
        <is>
          <t>AI</t>
        </is>
      </c>
    </row>
    <row r="1059">
      <c r="A1059" t="inlineStr">
        <is>
          <t>PT Cisadane Sawit Raya Tbk.</t>
        </is>
      </c>
      <c r="B1059" t="inlineStr">
        <is>
          <t>CSRA_2022_AR.pdf</t>
        </is>
      </c>
      <c r="C1059" t="n">
        <v>2022</v>
      </c>
      <c r="D1059" t="inlineStr">
        <is>
          <t>Operation</t>
        </is>
      </c>
      <c r="E1059" t="inlineStr">
        <is>
          <t>FFB sales to third parties</t>
        </is>
      </c>
      <c r="F1059" t="n">
        <v>180866</v>
      </c>
      <c r="G1059" t="inlineStr">
        <is>
          <t>MT</t>
        </is>
      </c>
      <c r="H1059" t="n">
        <v>20</v>
      </c>
      <c r="I1059" t="inlineStr">
        <is>
          <t>Total Penjualan TBS (ton) 180.866 147.905</t>
        </is>
      </c>
      <c r="J1059" t="inlineStr">
        <is>
          <t>High</t>
        </is>
      </c>
      <c r="M1059" t="inlineStr">
        <is>
          <t>LLM</t>
        </is>
      </c>
      <c r="N1059" t="inlineStr">
        <is>
          <t>2026-04-18</t>
        </is>
      </c>
      <c r="O1059" t="inlineStr">
        <is>
          <t>AI</t>
        </is>
      </c>
    </row>
    <row r="1060">
      <c r="A1060" t="inlineStr">
        <is>
          <t>PT Cisadane Sawit Raya Tbk.</t>
        </is>
      </c>
      <c r="B1060" t="inlineStr">
        <is>
          <t>CSRA_2022_AR.pdf</t>
        </is>
      </c>
      <c r="C1060" t="n">
        <v>2022</v>
      </c>
      <c r="D1060" t="inlineStr">
        <is>
          <t>Operation</t>
        </is>
      </c>
      <c r="E1060" t="inlineStr">
        <is>
          <t>FFB yield/productivity</t>
        </is>
      </c>
      <c r="F1060" t="n">
        <v>21.2</v>
      </c>
      <c r="G1060" t="inlineStr">
        <is>
          <t>tons/ha</t>
        </is>
      </c>
      <c r="H1060" t="n">
        <v>20</v>
      </c>
      <c r="I1060" t="inlineStr">
        <is>
          <t>Rata-rata produktivitas TBS 21,2 20,4 18,6 21,1</t>
        </is>
      </c>
      <c r="J1060" t="inlineStr">
        <is>
          <t>High</t>
        </is>
      </c>
      <c r="M1060" t="inlineStr">
        <is>
          <t>LLM</t>
        </is>
      </c>
      <c r="N1060" t="inlineStr">
        <is>
          <t>2026-04-18</t>
        </is>
      </c>
      <c r="O1060" t="inlineStr">
        <is>
          <t>AI</t>
        </is>
      </c>
    </row>
    <row r="1061">
      <c r="A1061" t="inlineStr">
        <is>
          <t>PT Cisadane Sawit Raya Tbk.</t>
        </is>
      </c>
      <c r="B1061" t="inlineStr">
        <is>
          <t>CSRA_2022_AR.pdf</t>
        </is>
      </c>
      <c r="C1061" t="n">
        <v>2022</v>
      </c>
      <c r="D1061" t="inlineStr">
        <is>
          <t>Operation</t>
        </is>
      </c>
      <c r="E1061" t="inlineStr">
        <is>
          <t>OER</t>
        </is>
      </c>
      <c r="F1061" t="n">
        <v>0.205</v>
      </c>
      <c r="G1061" t="inlineStr">
        <is>
          <t>ratio</t>
        </is>
      </c>
      <c r="H1061" t="n">
        <v>20</v>
      </c>
      <c r="I1061" t="inlineStr">
        <is>
          <t>OER (%) 20,5 20,3 20,1 20,1 19,4</t>
        </is>
      </c>
      <c r="J1061" t="inlineStr">
        <is>
          <t>High</t>
        </is>
      </c>
      <c r="M1061" t="inlineStr">
        <is>
          <t>LLM</t>
        </is>
      </c>
      <c r="N1061" t="inlineStr">
        <is>
          <t>2026-04-18</t>
        </is>
      </c>
      <c r="O1061" t="inlineStr">
        <is>
          <t>AI</t>
        </is>
      </c>
    </row>
    <row r="1062">
      <c r="A1062" t="inlineStr">
        <is>
          <t>PT Cisadane Sawit Raya Tbk.</t>
        </is>
      </c>
      <c r="B1062" t="inlineStr">
        <is>
          <t>CSRA_2022_AR.pdf</t>
        </is>
      </c>
      <c r="C1062" t="n">
        <v>2022</v>
      </c>
      <c r="D1062" t="inlineStr">
        <is>
          <t>Operation</t>
        </is>
      </c>
      <c r="E1062" t="inlineStr">
        <is>
          <t>KER</t>
        </is>
      </c>
      <c r="F1062" t="n">
        <v>0.052</v>
      </c>
      <c r="G1062" t="inlineStr">
        <is>
          <t>ratio</t>
        </is>
      </c>
      <c r="H1062" t="n">
        <v>20</v>
      </c>
      <c r="I1062" t="inlineStr">
        <is>
          <t>KER (%) 5,2 4,9 4,6 4,5 4,9</t>
        </is>
      </c>
      <c r="J1062" t="inlineStr">
        <is>
          <t>High</t>
        </is>
      </c>
      <c r="M1062" t="inlineStr">
        <is>
          <t>LLM</t>
        </is>
      </c>
      <c r="N1062" t="inlineStr">
        <is>
          <t>2026-04-18</t>
        </is>
      </c>
      <c r="O1062" t="inlineStr">
        <is>
          <t>AI</t>
        </is>
      </c>
    </row>
    <row r="1063">
      <c r="A1063" t="inlineStr">
        <is>
          <t>PT Cisadane Sawit Raya Tbk.</t>
        </is>
      </c>
      <c r="B1063" t="inlineStr">
        <is>
          <t>CSRA_2022_AR.pdf</t>
        </is>
      </c>
      <c r="C1063" t="n">
        <v>2022</v>
      </c>
      <c r="D1063" t="inlineStr">
        <is>
          <t>Operation</t>
        </is>
      </c>
      <c r="E1063" t="inlineStr">
        <is>
          <t>Avg CPO selling price</t>
        </is>
      </c>
      <c r="F1063" t="n">
        <v>12468</v>
      </c>
      <c r="G1063" t="inlineStr">
        <is>
          <t>IDR/kg</t>
        </is>
      </c>
      <c r="H1063" t="n">
        <v>20</v>
      </c>
      <c r="I1063" t="inlineStr">
        <is>
          <t>Rata-rata harga jual CPO (Rp/kg) 12.468 11.398 8.293</t>
        </is>
      </c>
      <c r="J1063" t="inlineStr">
        <is>
          <t>High</t>
        </is>
      </c>
      <c r="M1063" t="inlineStr">
        <is>
          <t>LLM</t>
        </is>
      </c>
      <c r="N1063" t="inlineStr">
        <is>
          <t>2026-04-18</t>
        </is>
      </c>
      <c r="O1063" t="inlineStr">
        <is>
          <t>AI</t>
        </is>
      </c>
    </row>
    <row r="1064">
      <c r="A1064" t="inlineStr">
        <is>
          <t>PT Cisadane Sawit Raya Tbk.</t>
        </is>
      </c>
      <c r="B1064" t="inlineStr">
        <is>
          <t>CSRA_2022_AR.pdf</t>
        </is>
      </c>
      <c r="C1064" t="n">
        <v>2022</v>
      </c>
      <c r="D1064" t="inlineStr">
        <is>
          <t>Operation</t>
        </is>
      </c>
      <c r="E1064" t="inlineStr">
        <is>
          <t>Avg FFB selling price</t>
        </is>
      </c>
      <c r="F1064" t="n">
        <v>2618</v>
      </c>
      <c r="G1064" t="inlineStr">
        <is>
          <t>IDR/kg</t>
        </is>
      </c>
      <c r="H1064" t="n">
        <v>20</v>
      </c>
      <c r="I1064" t="inlineStr">
        <is>
          <t>Rata-rata harga jual TBS (Rp/kg) 2.618 2.480</t>
        </is>
      </c>
      <c r="J1064" t="inlineStr">
        <is>
          <t>High</t>
        </is>
      </c>
      <c r="M1064" t="inlineStr">
        <is>
          <t>LLM</t>
        </is>
      </c>
      <c r="N1064" t="inlineStr">
        <is>
          <t>2026-04-18</t>
        </is>
      </c>
      <c r="O1064" t="inlineStr">
        <is>
          <t>AI</t>
        </is>
      </c>
    </row>
    <row r="1065">
      <c r="A1065" t="inlineStr">
        <is>
          <t>PT Cisadane Sawit Raya Tbk.</t>
        </is>
      </c>
      <c r="B1065" t="inlineStr">
        <is>
          <t>CSRA_2022_AR.pdf</t>
        </is>
      </c>
      <c r="C1065" t="n">
        <v>2022</v>
      </c>
      <c r="D1065" t="inlineStr">
        <is>
          <t>Operation</t>
        </is>
      </c>
      <c r="E1065" t="inlineStr">
        <is>
          <t>Avg Kernel selling price</t>
        </is>
      </c>
      <c r="F1065" t="n">
        <v>8331</v>
      </c>
      <c r="G1065" t="inlineStr">
        <is>
          <t>IDR/kg</t>
        </is>
      </c>
      <c r="H1065" t="n">
        <v>20</v>
      </c>
      <c r="I1065" t="inlineStr">
        <is>
          <t>Rata-rata harga jual PK (Rp/kg) 8.331 7.802</t>
        </is>
      </c>
      <c r="J1065" t="inlineStr">
        <is>
          <t>High</t>
        </is>
      </c>
      <c r="M1065" t="inlineStr">
        <is>
          <t>LLM</t>
        </is>
      </c>
      <c r="N1065" t="inlineStr">
        <is>
          <t>2026-04-18</t>
        </is>
      </c>
      <c r="O1065" t="inlineStr">
        <is>
          <t>AI</t>
        </is>
      </c>
    </row>
    <row r="1066">
      <c r="A1066" t="inlineStr">
        <is>
          <t>PT Cisadane Sawit Raya Tbk.</t>
        </is>
      </c>
      <c r="B1066" t="inlineStr">
        <is>
          <t>CSRA_2022_AR.pdf</t>
        </is>
      </c>
      <c r="C1066" t="n">
        <v>2022</v>
      </c>
      <c r="D1066" t="inlineStr">
        <is>
          <t>Operation</t>
        </is>
      </c>
      <c r="E1066" t="inlineStr">
        <is>
          <t>Tree age 4-7 years</t>
        </is>
      </c>
      <c r="F1066" t="n">
        <v>2440.4</v>
      </c>
      <c r="G1066" t="inlineStr">
        <is>
          <t>hectares</t>
        </is>
      </c>
      <c r="H1066" t="n">
        <v>20</v>
      </c>
      <c r="I1066" t="inlineStr">
        <is>
          <t>4 – 7 tahun 2.440,4 4.628,2 5.246,3</t>
        </is>
      </c>
      <c r="J1066" t="inlineStr">
        <is>
          <t>High</t>
        </is>
      </c>
      <c r="M1066" t="inlineStr">
        <is>
          <t>LLM</t>
        </is>
      </c>
      <c r="N1066" t="inlineStr">
        <is>
          <t>2026-04-18</t>
        </is>
      </c>
      <c r="O1066" t="inlineStr">
        <is>
          <t>AI</t>
        </is>
      </c>
    </row>
    <row r="1067">
      <c r="A1067" t="inlineStr">
        <is>
          <t>PT Cisadane Sawit Raya Tbk.</t>
        </is>
      </c>
      <c r="B1067" t="inlineStr">
        <is>
          <t>CSRA_2022_AR.pdf</t>
        </is>
      </c>
      <c r="C1067" t="n">
        <v>2022</v>
      </c>
      <c r="D1067" t="inlineStr">
        <is>
          <t>Operation</t>
        </is>
      </c>
      <c r="E1067" t="inlineStr">
        <is>
          <t>Tree age 8-17 years</t>
        </is>
      </c>
      <c r="F1067" t="n">
        <v>9612.9</v>
      </c>
      <c r="G1067" t="inlineStr">
        <is>
          <t>hectares</t>
        </is>
      </c>
      <c r="H1067" t="n">
        <v>20</v>
      </c>
      <c r="I1067" t="inlineStr">
        <is>
          <t>8 – 17 tahun 9.612,9 6.872,7 6.802,1</t>
        </is>
      </c>
      <c r="J1067" t="inlineStr">
        <is>
          <t>High</t>
        </is>
      </c>
      <c r="M1067" t="inlineStr">
        <is>
          <t>LLM</t>
        </is>
      </c>
      <c r="N1067" t="inlineStr">
        <is>
          <t>2026-04-18</t>
        </is>
      </c>
      <c r="O1067" t="inlineStr">
        <is>
          <t>AI</t>
        </is>
      </c>
    </row>
    <row r="1068">
      <c r="A1068" t="inlineStr">
        <is>
          <t>PT Cisadane Sawit Raya Tbk.</t>
        </is>
      </c>
      <c r="B1068" t="inlineStr">
        <is>
          <t>CSRA_2022_AR.pdf</t>
        </is>
      </c>
      <c r="C1068" t="n">
        <v>2022</v>
      </c>
      <c r="D1068" t="inlineStr">
        <is>
          <t>Operation</t>
        </is>
      </c>
      <c r="E1068" t="inlineStr">
        <is>
          <t>Tree age &gt;18 years</t>
        </is>
      </c>
      <c r="F1068" t="n">
        <v>4093.8</v>
      </c>
      <c r="G1068" t="inlineStr">
        <is>
          <t>hectares</t>
        </is>
      </c>
      <c r="H1068" t="n">
        <v>20</v>
      </c>
      <c r="I1068" t="inlineStr">
        <is>
          <t>&gt; 18 tahun 4.093,8 4.159,4 3.728,8</t>
        </is>
      </c>
      <c r="J1068" t="inlineStr">
        <is>
          <t>High</t>
        </is>
      </c>
      <c r="M1068" t="inlineStr">
        <is>
          <t>LLM</t>
        </is>
      </c>
      <c r="N1068" t="inlineStr">
        <is>
          <t>2026-04-18</t>
        </is>
      </c>
      <c r="O1068" t="inlineStr">
        <is>
          <t>AI</t>
        </is>
      </c>
    </row>
    <row r="1069">
      <c r="A1069" t="inlineStr">
        <is>
          <t>PT Cisadane Sawit Raya Tbk.</t>
        </is>
      </c>
      <c r="B1069" t="inlineStr">
        <is>
          <t>CSRA_2022_AR.pdf</t>
        </is>
      </c>
      <c r="C1069" t="n">
        <v>2022</v>
      </c>
      <c r="D1069" t="inlineStr">
        <is>
          <t>Operation</t>
        </is>
      </c>
      <c r="E1069" t="inlineStr">
        <is>
          <t>Total employees</t>
        </is>
      </c>
      <c r="F1069" t="n">
        <v>4050</v>
      </c>
      <c r="G1069" t="inlineStr">
        <is>
          <t>persons</t>
        </is>
      </c>
      <c r="H1069" t="n">
        <v>58</v>
      </c>
      <c r="I1069" t="inlineStr">
        <is>
          <t>Jumlah SDM Total Employee 4.050 orang employees</t>
        </is>
      </c>
      <c r="J1069" t="inlineStr">
        <is>
          <t>High</t>
        </is>
      </c>
      <c r="M1069" t="inlineStr">
        <is>
          <t>LLM</t>
        </is>
      </c>
      <c r="N1069" t="inlineStr">
        <is>
          <t>2026-04-18</t>
        </is>
      </c>
      <c r="O1069" t="inlineStr">
        <is>
          <t>AI</t>
        </is>
      </c>
    </row>
    <row r="1070">
      <c r="A1070" t="inlineStr">
        <is>
          <t>PT Cisadane Sawit Raya Tbk.</t>
        </is>
      </c>
      <c r="B1070" t="inlineStr">
        <is>
          <t>CSRA_2022_AR.pdf</t>
        </is>
      </c>
      <c r="C1070" t="n">
        <v>2022</v>
      </c>
      <c r="D1070" t="inlineStr">
        <is>
          <t>ESG</t>
        </is>
      </c>
      <c r="E1070" t="inlineStr">
        <is>
          <t>Proper Biru Award</t>
        </is>
      </c>
      <c r="F1070" t="inlineStr">
        <is>
          <t>2022</t>
        </is>
      </c>
      <c r="G1070" t="inlineStr">
        <is>
          <t>text</t>
        </is>
      </c>
      <c r="I1070" t="inlineStr">
        <is>
          <t>Proper Biru Award 2022 Raya Tbk Provinsi Sumatera Utara December 30, 2022 1 Year</t>
        </is>
      </c>
      <c r="J1070" t="inlineStr">
        <is>
          <t>High</t>
        </is>
      </c>
      <c r="M1070" t="inlineStr">
        <is>
          <t>LLM</t>
        </is>
      </c>
      <c r="N1070" t="inlineStr">
        <is>
          <t>2026-04-18</t>
        </is>
      </c>
      <c r="O1070" t="inlineStr">
        <is>
          <t>AI</t>
        </is>
      </c>
    </row>
    <row r="1071">
      <c r="A1071" t="inlineStr">
        <is>
          <t>PT Cisadane Sawit Raya Tbk.</t>
        </is>
      </c>
      <c r="B1071" t="inlineStr">
        <is>
          <t>CSRA_2023_AR.pdf</t>
        </is>
      </c>
      <c r="C1071" t="n">
        <v>2023</v>
      </c>
      <c r="D1071" t="inlineStr">
        <is>
          <t>Company</t>
        </is>
      </c>
      <c r="E1071" t="inlineStr">
        <is>
          <t>Business model</t>
        </is>
      </c>
      <c r="F1071" t="inlineStr">
        <is>
          <t>Upstream plantation + 2 mills</t>
        </is>
      </c>
      <c r="G1071" t="inlineStr">
        <is>
          <t>text</t>
        </is>
      </c>
      <c r="I1071" t="inlineStr">
        <is>
          <t>beroperasinya PKS baru di Tapanuli... operation of the second palm oil mill in South Tapanuli</t>
        </is>
      </c>
      <c r="J1071" t="inlineStr">
        <is>
          <t>High</t>
        </is>
      </c>
      <c r="M1071" t="inlineStr">
        <is>
          <t>LLM</t>
        </is>
      </c>
      <c r="N1071" t="inlineStr">
        <is>
          <t>2026-04-18</t>
        </is>
      </c>
      <c r="O1071" t="inlineStr">
        <is>
          <t>AI</t>
        </is>
      </c>
    </row>
    <row r="1072">
      <c r="A1072" t="inlineStr">
        <is>
          <t>PT Cisadane Sawit Raya Tbk.</t>
        </is>
      </c>
      <c r="B1072" t="inlineStr">
        <is>
          <t>CSRA_2023_AR.pdf</t>
        </is>
      </c>
      <c r="C1072" t="n">
        <v>2023</v>
      </c>
      <c r="D1072" t="inlineStr">
        <is>
          <t>Company</t>
        </is>
      </c>
      <c r="E1072" t="inlineStr">
        <is>
          <t>3rd mill groundbreaking date</t>
        </is>
      </c>
      <c r="F1072" t="inlineStr">
        <is>
          <t>2024-01-08</t>
        </is>
      </c>
      <c r="G1072" t="inlineStr">
        <is>
          <t>date</t>
        </is>
      </c>
      <c r="H1072" t="n">
        <v>120</v>
      </c>
      <c r="I1072" t="inlineStr">
        <is>
          <t>Pada tanggal 8 Januari 2024, Perseroan telah melakukan peletakan batu pertama pembanguna PKS ke 3 di kabupaten Banyuasin, Sumatera Selatan</t>
        </is>
      </c>
      <c r="J1072" t="inlineStr">
        <is>
          <t>High</t>
        </is>
      </c>
      <c r="M1072" t="inlineStr">
        <is>
          <t>LLM</t>
        </is>
      </c>
      <c r="N1072" t="inlineStr">
        <is>
          <t>2026-04-18</t>
        </is>
      </c>
      <c r="O1072" t="inlineStr">
        <is>
          <t>AI</t>
        </is>
      </c>
    </row>
    <row r="1073">
      <c r="A1073" t="inlineStr">
        <is>
          <t>PT Cisadane Sawit Raya Tbk.</t>
        </is>
      </c>
      <c r="B1073" t="inlineStr">
        <is>
          <t>CSRA_2023_AR.pdf</t>
        </is>
      </c>
      <c r="C1073" t="n">
        <v>2023</v>
      </c>
      <c r="D1073" t="inlineStr">
        <is>
          <t>Company</t>
        </is>
      </c>
      <c r="E1073" t="inlineStr">
        <is>
          <t>New credit facility 2024</t>
        </is>
      </c>
      <c r="F1073" t="n">
        <v>40</v>
      </c>
      <c r="G1073" t="inlineStr">
        <is>
          <t>IDR bn</t>
        </is>
      </c>
      <c r="H1073" t="n">
        <v>120</v>
      </c>
      <c r="I1073" t="inlineStr">
        <is>
          <t>fasilitas Kredit Modal Kerja dengan limit kredit sebesar Rp40.000.000.000, jangka waktu 12 bulan... suku bunga sebesar 8,50% per tahun</t>
        </is>
      </c>
      <c r="J1073" t="inlineStr">
        <is>
          <t>High</t>
        </is>
      </c>
      <c r="M1073" t="inlineStr">
        <is>
          <t>LLM</t>
        </is>
      </c>
      <c r="N1073" t="inlineStr">
        <is>
          <t>2026-04-18</t>
        </is>
      </c>
      <c r="O1073" t="inlineStr">
        <is>
          <t>AI</t>
        </is>
      </c>
    </row>
    <row r="1074">
      <c r="A1074" t="inlineStr">
        <is>
          <t>PT Cisadane Sawit Raya Tbk.</t>
        </is>
      </c>
      <c r="B1074" t="inlineStr">
        <is>
          <t>CSRA_2023_AR.pdf</t>
        </is>
      </c>
      <c r="C1074" t="n">
        <v>2023</v>
      </c>
      <c r="D1074" t="inlineStr">
        <is>
          <t>Financial</t>
        </is>
      </c>
      <c r="E1074" t="inlineStr">
        <is>
          <t>Revenue 2023</t>
        </is>
      </c>
      <c r="F1074" t="n">
        <v>875.5119999999999</v>
      </c>
      <c r="G1074" t="inlineStr">
        <is>
          <t>IDR bn</t>
        </is>
      </c>
      <c r="H1074" t="n">
        <v>19</v>
      </c>
      <c r="I1074" t="inlineStr">
        <is>
          <t>Penjualan Neto 875.512 970.572 895.868 607.253 492.296 Net Sales</t>
        </is>
      </c>
      <c r="J1074" t="inlineStr">
        <is>
          <t>High</t>
        </is>
      </c>
      <c r="M1074" t="inlineStr">
        <is>
          <t>LLM</t>
        </is>
      </c>
      <c r="N1074" t="inlineStr">
        <is>
          <t>2026-04-18</t>
        </is>
      </c>
      <c r="O1074" t="inlineStr">
        <is>
          <t>AI</t>
        </is>
      </c>
    </row>
    <row r="1075">
      <c r="A1075" t="inlineStr">
        <is>
          <t>PT Cisadane Sawit Raya Tbk.</t>
        </is>
      </c>
      <c r="B1075" t="inlineStr">
        <is>
          <t>CSRA_2023_AR.pdf</t>
        </is>
      </c>
      <c r="C1075" t="n">
        <v>2023</v>
      </c>
      <c r="D1075" t="inlineStr">
        <is>
          <t>Financial</t>
        </is>
      </c>
      <c r="E1075" t="inlineStr">
        <is>
          <t>COGS 2023</t>
        </is>
      </c>
      <c r="F1075" t="n">
        <v>-475.926</v>
      </c>
      <c r="G1075" t="inlineStr">
        <is>
          <t>IDR bn</t>
        </is>
      </c>
      <c r="H1075" t="n">
        <v>19</v>
      </c>
      <c r="I1075" t="inlineStr">
        <is>
          <t>Beban Pokok Penjualan (475.926) (398.813)</t>
        </is>
      </c>
      <c r="J1075" t="inlineStr">
        <is>
          <t>High</t>
        </is>
      </c>
      <c r="M1075" t="inlineStr">
        <is>
          <t>LLM</t>
        </is>
      </c>
      <c r="N1075" t="inlineStr">
        <is>
          <t>2026-04-18</t>
        </is>
      </c>
      <c r="O1075" t="inlineStr">
        <is>
          <t>AI</t>
        </is>
      </c>
    </row>
    <row r="1076">
      <c r="A1076" t="inlineStr">
        <is>
          <t>PT Cisadane Sawit Raya Tbk.</t>
        </is>
      </c>
      <c r="B1076" t="inlineStr">
        <is>
          <t>CSRA_2023_AR.pdf</t>
        </is>
      </c>
      <c r="C1076" t="n">
        <v>2023</v>
      </c>
      <c r="D1076" t="inlineStr">
        <is>
          <t>Financial</t>
        </is>
      </c>
      <c r="E1076" t="inlineStr">
        <is>
          <t>Gross profit 2023</t>
        </is>
      </c>
      <c r="F1076" t="n">
        <v>399.586</v>
      </c>
      <c r="G1076" t="inlineStr">
        <is>
          <t>IDR bn</t>
        </is>
      </c>
      <c r="H1076" t="n">
        <v>19</v>
      </c>
      <c r="I1076" t="inlineStr">
        <is>
          <t>Laba Bruto 399.586 571.759 507.732</t>
        </is>
      </c>
      <c r="J1076" t="inlineStr">
        <is>
          <t>High</t>
        </is>
      </c>
      <c r="M1076" t="inlineStr">
        <is>
          <t>LLM</t>
        </is>
      </c>
      <c r="N1076" t="inlineStr">
        <is>
          <t>2026-04-18</t>
        </is>
      </c>
      <c r="O1076" t="inlineStr">
        <is>
          <t>AI</t>
        </is>
      </c>
    </row>
    <row r="1077">
      <c r="A1077" t="inlineStr">
        <is>
          <t>PT Cisadane Sawit Raya Tbk.</t>
        </is>
      </c>
      <c r="B1077" t="inlineStr">
        <is>
          <t>CSRA_2023_AR.pdf</t>
        </is>
      </c>
      <c r="C1077" t="n">
        <v>2023</v>
      </c>
      <c r="D1077" t="inlineStr">
        <is>
          <t>Financial</t>
        </is>
      </c>
      <c r="E1077" t="inlineStr">
        <is>
          <t>Operating profit 2023</t>
        </is>
      </c>
      <c r="F1077" t="n">
        <v>221.843</v>
      </c>
      <c r="G1077" t="inlineStr">
        <is>
          <t>IDR bn</t>
        </is>
      </c>
      <c r="H1077" t="n">
        <v>19</v>
      </c>
      <c r="I1077" t="inlineStr">
        <is>
          <t>Laba Operasi 221.843 396.174 388.551</t>
        </is>
      </c>
      <c r="J1077" t="inlineStr">
        <is>
          <t>High</t>
        </is>
      </c>
      <c r="M1077" t="inlineStr">
        <is>
          <t>LLM</t>
        </is>
      </c>
      <c r="N1077" t="inlineStr">
        <is>
          <t>2026-04-18</t>
        </is>
      </c>
      <c r="O1077" t="inlineStr">
        <is>
          <t>AI</t>
        </is>
      </c>
    </row>
    <row r="1078">
      <c r="A1078" t="inlineStr">
        <is>
          <t>PT Cisadane Sawit Raya Tbk.</t>
        </is>
      </c>
      <c r="B1078" t="inlineStr">
        <is>
          <t>CSRA_2023_AR.pdf</t>
        </is>
      </c>
      <c r="C1078" t="n">
        <v>2023</v>
      </c>
      <c r="D1078" t="inlineStr">
        <is>
          <t>Financial</t>
        </is>
      </c>
      <c r="E1078" t="inlineStr">
        <is>
          <t>Profit before tax 2023</t>
        </is>
      </c>
      <c r="F1078" t="n">
        <v>198.575</v>
      </c>
      <c r="G1078" t="inlineStr">
        <is>
          <t>IDR bn</t>
        </is>
      </c>
      <c r="H1078" t="n">
        <v>19</v>
      </c>
      <c r="I1078" t="inlineStr">
        <is>
          <t>Laba Sebelum Pajak 198.575 330.140</t>
        </is>
      </c>
      <c r="J1078" t="inlineStr">
        <is>
          <t>High</t>
        </is>
      </c>
      <c r="M1078" t="inlineStr">
        <is>
          <t>LLM</t>
        </is>
      </c>
      <c r="N1078" t="inlineStr">
        <is>
          <t>2026-04-18</t>
        </is>
      </c>
      <c r="O1078" t="inlineStr">
        <is>
          <t>AI</t>
        </is>
      </c>
    </row>
    <row r="1079">
      <c r="A1079" t="inlineStr">
        <is>
          <t>PT Cisadane Sawit Raya Tbk.</t>
        </is>
      </c>
      <c r="B1079" t="inlineStr">
        <is>
          <t>CSRA_2023_AR.pdf</t>
        </is>
      </c>
      <c r="C1079" t="n">
        <v>2023</v>
      </c>
      <c r="D1079" t="inlineStr">
        <is>
          <t>Financial</t>
        </is>
      </c>
      <c r="E1079" t="inlineStr">
        <is>
          <t>Net profit 2023</t>
        </is>
      </c>
      <c r="F1079" t="n">
        <v>146.139</v>
      </c>
      <c r="G1079" t="inlineStr">
        <is>
          <t>IDR bn</t>
        </is>
      </c>
      <c r="H1079" t="n">
        <v>19</v>
      </c>
      <c r="I1079" t="inlineStr">
        <is>
          <t>Laba Tahun Berjalan 146.139 252.407 259.650</t>
        </is>
      </c>
      <c r="J1079" t="inlineStr">
        <is>
          <t>High</t>
        </is>
      </c>
      <c r="M1079" t="inlineStr">
        <is>
          <t>LLM</t>
        </is>
      </c>
      <c r="N1079" t="inlineStr">
        <is>
          <t>2026-04-18</t>
        </is>
      </c>
      <c r="O1079" t="inlineStr">
        <is>
          <t>AI</t>
        </is>
      </c>
    </row>
    <row r="1080">
      <c r="A1080" t="inlineStr">
        <is>
          <t>PT Cisadane Sawit Raya Tbk.</t>
        </is>
      </c>
      <c r="B1080" t="inlineStr">
        <is>
          <t>CSRA_2023_AR.pdf</t>
        </is>
      </c>
      <c r="C1080" t="n">
        <v>2023</v>
      </c>
      <c r="D1080" t="inlineStr">
        <is>
          <t>Financial</t>
        </is>
      </c>
      <c r="E1080" t="inlineStr">
        <is>
          <t>EBITDA 2023</t>
        </is>
      </c>
      <c r="F1080" t="n">
        <v>317.261</v>
      </c>
      <c r="G1080" t="inlineStr">
        <is>
          <t>IDR bn</t>
        </is>
      </c>
      <c r="H1080" t="n">
        <v>19</v>
      </c>
      <c r="I1080" t="inlineStr">
        <is>
          <t>EBITDA 317.261 449.517 478.751</t>
        </is>
      </c>
      <c r="J1080" t="inlineStr">
        <is>
          <t>High</t>
        </is>
      </c>
      <c r="M1080" t="inlineStr">
        <is>
          <t>LLM</t>
        </is>
      </c>
      <c r="N1080" t="inlineStr">
        <is>
          <t>2026-04-18</t>
        </is>
      </c>
      <c r="O1080" t="inlineStr">
        <is>
          <t>AI</t>
        </is>
      </c>
    </row>
    <row r="1081">
      <c r="A1081" t="inlineStr">
        <is>
          <t>PT Cisadane Sawit Raya Tbk.</t>
        </is>
      </c>
      <c r="B1081" t="inlineStr">
        <is>
          <t>CSRA_2023_AR.pdf</t>
        </is>
      </c>
      <c r="C1081" t="n">
        <v>2023</v>
      </c>
      <c r="D1081" t="inlineStr">
        <is>
          <t>Financial</t>
        </is>
      </c>
      <c r="E1081" t="inlineStr">
        <is>
          <t>EPS 2023</t>
        </is>
      </c>
      <c r="F1081" t="n">
        <v>71</v>
      </c>
      <c r="G1081" t="inlineStr">
        <is>
          <t>IDR/share</t>
        </is>
      </c>
      <c r="H1081" t="n">
        <v>19</v>
      </c>
      <c r="I1081" t="inlineStr">
        <is>
          <t>Laba per Saham Dasar 71 123 127 35 18 Earnings per Share (in Rp)</t>
        </is>
      </c>
      <c r="J1081" t="inlineStr">
        <is>
          <t>High</t>
        </is>
      </c>
      <c r="M1081" t="inlineStr">
        <is>
          <t>LLM</t>
        </is>
      </c>
      <c r="N1081" t="inlineStr">
        <is>
          <t>2026-04-18</t>
        </is>
      </c>
      <c r="O1081" t="inlineStr">
        <is>
          <t>AI</t>
        </is>
      </c>
    </row>
    <row r="1082">
      <c r="A1082" t="inlineStr">
        <is>
          <t>PT Cisadane Sawit Raya Tbk.</t>
        </is>
      </c>
      <c r="B1082" t="inlineStr">
        <is>
          <t>CSRA_2023_AR.pdf</t>
        </is>
      </c>
      <c r="C1082" t="n">
        <v>2023</v>
      </c>
      <c r="D1082" t="inlineStr">
        <is>
          <t>Financial</t>
        </is>
      </c>
      <c r="E1082" t="inlineStr">
        <is>
          <t>Total assets 2023</t>
        </is>
      </c>
      <c r="F1082" t="n">
        <v>1842.858</v>
      </c>
      <c r="G1082" t="inlineStr">
        <is>
          <t>IDR bn</t>
        </is>
      </c>
      <c r="H1082" t="n">
        <v>19</v>
      </c>
      <c r="I1082" t="inlineStr">
        <is>
          <t>Jumlah Aset 1.842.858 1.835.254 1.753.241</t>
        </is>
      </c>
      <c r="J1082" t="inlineStr">
        <is>
          <t>High</t>
        </is>
      </c>
      <c r="M1082" t="inlineStr">
        <is>
          <t>LLM</t>
        </is>
      </c>
      <c r="N1082" t="inlineStr">
        <is>
          <t>2026-04-18</t>
        </is>
      </c>
      <c r="O1082" t="inlineStr">
        <is>
          <t>AI</t>
        </is>
      </c>
    </row>
    <row r="1083">
      <c r="A1083" t="inlineStr">
        <is>
          <t>PT Cisadane Sawit Raya Tbk.</t>
        </is>
      </c>
      <c r="B1083" t="inlineStr">
        <is>
          <t>CSRA_2023_AR.pdf</t>
        </is>
      </c>
      <c r="C1083" t="n">
        <v>2023</v>
      </c>
      <c r="D1083" t="inlineStr">
        <is>
          <t>Financial</t>
        </is>
      </c>
      <c r="E1083" t="inlineStr">
        <is>
          <t>Current assets</t>
        </is>
      </c>
      <c r="F1083" t="n">
        <v>323.758</v>
      </c>
      <c r="G1083" t="inlineStr">
        <is>
          <t>IDR bn</t>
        </is>
      </c>
      <c r="H1083" t="n">
        <v>19</v>
      </c>
      <c r="I1083" t="inlineStr">
        <is>
          <t>Aset lancar 323.758 502.528 569.326</t>
        </is>
      </c>
      <c r="J1083" t="inlineStr">
        <is>
          <t>High</t>
        </is>
      </c>
      <c r="M1083" t="inlineStr">
        <is>
          <t>LLM</t>
        </is>
      </c>
      <c r="N1083" t="inlineStr">
        <is>
          <t>2026-04-18</t>
        </is>
      </c>
      <c r="O1083" t="inlineStr">
        <is>
          <t>AI</t>
        </is>
      </c>
    </row>
    <row r="1084">
      <c r="A1084" t="inlineStr">
        <is>
          <t>PT Cisadane Sawit Raya Tbk.</t>
        </is>
      </c>
      <c r="B1084" t="inlineStr">
        <is>
          <t>CSRA_2023_AR.pdf</t>
        </is>
      </c>
      <c r="C1084" t="n">
        <v>2023</v>
      </c>
      <c r="D1084" t="inlineStr">
        <is>
          <t>Financial</t>
        </is>
      </c>
      <c r="E1084" t="inlineStr">
        <is>
          <t>Non-current assets</t>
        </is>
      </c>
      <c r="F1084" t="n">
        <v>1519.099</v>
      </c>
      <c r="G1084" t="inlineStr">
        <is>
          <t>IDR bn</t>
        </is>
      </c>
      <c r="H1084" t="n">
        <v>19</v>
      </c>
      <c r="I1084" t="inlineStr">
        <is>
          <t>Aset Tidak Lancar 1.519.099 1.332.726 1.183.915</t>
        </is>
      </c>
      <c r="J1084" t="inlineStr">
        <is>
          <t>High</t>
        </is>
      </c>
      <c r="M1084" t="inlineStr">
        <is>
          <t>LLM</t>
        </is>
      </c>
      <c r="N1084" t="inlineStr">
        <is>
          <t>2026-04-18</t>
        </is>
      </c>
      <c r="O1084" t="inlineStr">
        <is>
          <t>AI</t>
        </is>
      </c>
    </row>
    <row r="1085">
      <c r="A1085" t="inlineStr">
        <is>
          <t>PT Cisadane Sawit Raya Tbk.</t>
        </is>
      </c>
      <c r="B1085" t="inlineStr">
        <is>
          <t>CSRA_2023_AR.pdf</t>
        </is>
      </c>
      <c r="C1085" t="n">
        <v>2023</v>
      </c>
      <c r="D1085" t="inlineStr">
        <is>
          <t>Financial</t>
        </is>
      </c>
      <c r="E1085" t="inlineStr">
        <is>
          <t>Total liabilities 2023</t>
        </is>
      </c>
      <c r="F1085" t="n">
        <v>727.686</v>
      </c>
      <c r="G1085" t="inlineStr">
        <is>
          <t>IDR bn</t>
        </is>
      </c>
      <c r="H1085" t="n">
        <v>19</v>
      </c>
      <c r="I1085" t="inlineStr">
        <is>
          <t>Jumlah Liabilitas 727.686 872.142 971.948</t>
        </is>
      </c>
      <c r="J1085" t="inlineStr">
        <is>
          <t>High</t>
        </is>
      </c>
      <c r="M1085" t="inlineStr">
        <is>
          <t>LLM</t>
        </is>
      </c>
      <c r="N1085" t="inlineStr">
        <is>
          <t>2026-04-18</t>
        </is>
      </c>
      <c r="O1085" t="inlineStr">
        <is>
          <t>AI</t>
        </is>
      </c>
    </row>
    <row r="1086">
      <c r="A1086" t="inlineStr">
        <is>
          <t>PT Cisadane Sawit Raya Tbk.</t>
        </is>
      </c>
      <c r="B1086" t="inlineStr">
        <is>
          <t>CSRA_2023_AR.pdf</t>
        </is>
      </c>
      <c r="C1086" t="n">
        <v>2023</v>
      </c>
      <c r="D1086" t="inlineStr">
        <is>
          <t>Financial</t>
        </is>
      </c>
      <c r="E1086" t="inlineStr">
        <is>
          <t>Current liabilities</t>
        </is>
      </c>
      <c r="F1086" t="n">
        <v>187.487</v>
      </c>
      <c r="G1086" t="inlineStr">
        <is>
          <t>IDR bn</t>
        </is>
      </c>
      <c r="H1086" t="n">
        <v>19</v>
      </c>
      <c r="I1086" t="inlineStr">
        <is>
          <t>Liabilitas Jangka Pendek 187.487 251.247 263.344</t>
        </is>
      </c>
      <c r="J1086" t="inlineStr">
        <is>
          <t>High</t>
        </is>
      </c>
      <c r="M1086" t="inlineStr">
        <is>
          <t>LLM</t>
        </is>
      </c>
      <c r="N1086" t="inlineStr">
        <is>
          <t>2026-04-18</t>
        </is>
      </c>
      <c r="O1086" t="inlineStr">
        <is>
          <t>AI</t>
        </is>
      </c>
    </row>
    <row r="1087">
      <c r="A1087" t="inlineStr">
        <is>
          <t>PT Cisadane Sawit Raya Tbk.</t>
        </is>
      </c>
      <c r="B1087" t="inlineStr">
        <is>
          <t>CSRA_2023_AR.pdf</t>
        </is>
      </c>
      <c r="C1087" t="n">
        <v>2023</v>
      </c>
      <c r="D1087" t="inlineStr">
        <is>
          <t>Financial</t>
        </is>
      </c>
      <c r="E1087" t="inlineStr">
        <is>
          <t>Long-term liabilities</t>
        </is>
      </c>
      <c r="F1087" t="n">
        <v>540.199</v>
      </c>
      <c r="G1087" t="inlineStr">
        <is>
          <t>IDR bn</t>
        </is>
      </c>
      <c r="H1087" t="n">
        <v>19</v>
      </c>
      <c r="I1087" t="inlineStr">
        <is>
          <t>Liabilitas Jangka Panjang 540.199 620.895 708.604</t>
        </is>
      </c>
      <c r="J1087" t="inlineStr">
        <is>
          <t>High</t>
        </is>
      </c>
      <c r="M1087" t="inlineStr">
        <is>
          <t>LLM</t>
        </is>
      </c>
      <c r="N1087" t="inlineStr">
        <is>
          <t>2026-04-18</t>
        </is>
      </c>
      <c r="O1087" t="inlineStr">
        <is>
          <t>AI</t>
        </is>
      </c>
    </row>
    <row r="1088">
      <c r="A1088" t="inlineStr">
        <is>
          <t>PT Cisadane Sawit Raya Tbk.</t>
        </is>
      </c>
      <c r="B1088" t="inlineStr">
        <is>
          <t>CSRA_2023_AR.pdf</t>
        </is>
      </c>
      <c r="C1088" t="n">
        <v>2023</v>
      </c>
      <c r="D1088" t="inlineStr">
        <is>
          <t>Financial</t>
        </is>
      </c>
      <c r="E1088" t="inlineStr">
        <is>
          <t>Total equity 2023</t>
        </is>
      </c>
      <c r="F1088" t="n">
        <v>1115.172</v>
      </c>
      <c r="G1088" t="inlineStr">
        <is>
          <t>IDR bn</t>
        </is>
      </c>
      <c r="H1088" t="n">
        <v>19</v>
      </c>
      <c r="I1088" t="inlineStr">
        <is>
          <t>Jumlah Ekuitas 1.115.172 963.112 781.293</t>
        </is>
      </c>
      <c r="J1088" t="inlineStr">
        <is>
          <t>High</t>
        </is>
      </c>
      <c r="M1088" t="inlineStr">
        <is>
          <t>LLM</t>
        </is>
      </c>
      <c r="N1088" t="inlineStr">
        <is>
          <t>2026-04-18</t>
        </is>
      </c>
      <c r="O1088" t="inlineStr">
        <is>
          <t>AI</t>
        </is>
      </c>
    </row>
    <row r="1089">
      <c r="A1089" t="inlineStr">
        <is>
          <t>PT Cisadane Sawit Raya Tbk.</t>
        </is>
      </c>
      <c r="B1089" t="inlineStr">
        <is>
          <t>CSRA_2023_AR.pdf</t>
        </is>
      </c>
      <c r="C1089" t="n">
        <v>2023</v>
      </c>
      <c r="D1089" t="inlineStr">
        <is>
          <t>Financial</t>
        </is>
      </c>
      <c r="E1089" t="inlineStr">
        <is>
          <t>Cash 2023</t>
        </is>
      </c>
      <c r="F1089" t="n">
        <v>25.365</v>
      </c>
      <c r="G1089" t="inlineStr">
        <is>
          <t>IDR bn</t>
        </is>
      </c>
      <c r="H1089" t="n">
        <v>19</v>
      </c>
      <c r="I1089" t="inlineStr">
        <is>
          <t>Saldo Kas dan Setara Kas Akhir Tahun 25.365 263.734 365.501</t>
        </is>
      </c>
      <c r="J1089" t="inlineStr">
        <is>
          <t>High</t>
        </is>
      </c>
      <c r="M1089" t="inlineStr">
        <is>
          <t>LLM</t>
        </is>
      </c>
      <c r="N1089" t="inlineStr">
        <is>
          <t>2026-04-18</t>
        </is>
      </c>
      <c r="O1089" t="inlineStr">
        <is>
          <t>AI</t>
        </is>
      </c>
    </row>
    <row r="1090">
      <c r="A1090" t="inlineStr">
        <is>
          <t>PT Cisadane Sawit Raya Tbk.</t>
        </is>
      </c>
      <c r="B1090" t="inlineStr">
        <is>
          <t>CSRA_2023_AR.pdf</t>
        </is>
      </c>
      <c r="C1090" t="n">
        <v>2023</v>
      </c>
      <c r="D1090" t="inlineStr">
        <is>
          <t>Financial</t>
        </is>
      </c>
      <c r="E1090" t="inlineStr">
        <is>
          <t>Total borrowings (gross debt)</t>
        </is>
      </c>
      <c r="F1090" t="n">
        <v>509.346</v>
      </c>
      <c r="G1090" t="inlineStr">
        <is>
          <t>IDR bn</t>
        </is>
      </c>
      <c r="H1090" t="n">
        <v>114</v>
      </c>
      <c r="I1090" t="inlineStr">
        <is>
          <t>Jumlah Pinjaman 509.346.154.937 644.696.424.985 Total Loans</t>
        </is>
      </c>
      <c r="J1090" t="inlineStr">
        <is>
          <t>High</t>
        </is>
      </c>
      <c r="M1090" t="inlineStr">
        <is>
          <t>LLM</t>
        </is>
      </c>
      <c r="N1090" t="inlineStr">
        <is>
          <t>2026-04-18</t>
        </is>
      </c>
      <c r="O1090" t="inlineStr">
        <is>
          <t>AI</t>
        </is>
      </c>
    </row>
    <row r="1091">
      <c r="A1091" t="inlineStr">
        <is>
          <t>PT Cisadane Sawit Raya Tbk.</t>
        </is>
      </c>
      <c r="B1091" t="inlineStr">
        <is>
          <t>CSRA_2023_AR.pdf</t>
        </is>
      </c>
      <c r="C1091" t="n">
        <v>2023</v>
      </c>
      <c r="D1091" t="inlineStr">
        <is>
          <t>Financial</t>
        </is>
      </c>
      <c r="E1091" t="inlineStr">
        <is>
          <t>Net debt 2023</t>
        </is>
      </c>
      <c r="F1091" t="n">
        <v>483.981</v>
      </c>
      <c r="G1091" t="inlineStr">
        <is>
          <t>IDR bn</t>
        </is>
      </c>
      <c r="H1091" t="n">
        <v>114</v>
      </c>
      <c r="I1091" t="inlineStr">
        <is>
          <t>Pinjaman Bersih 483.980.817.523 380.962.349.166 Net Loans</t>
        </is>
      </c>
      <c r="J1091" t="inlineStr">
        <is>
          <t>High</t>
        </is>
      </c>
      <c r="M1091" t="inlineStr">
        <is>
          <t>LLM</t>
        </is>
      </c>
      <c r="N1091" t="inlineStr">
        <is>
          <t>2026-04-18</t>
        </is>
      </c>
      <c r="O1091" t="inlineStr">
        <is>
          <t>AI</t>
        </is>
      </c>
    </row>
    <row r="1092">
      <c r="A1092" t="inlineStr">
        <is>
          <t>PT Cisadane Sawit Raya Tbk.</t>
        </is>
      </c>
      <c r="B1092" t="inlineStr">
        <is>
          <t>CSRA_2023_AR.pdf</t>
        </is>
      </c>
      <c r="C1092" t="n">
        <v>2023</v>
      </c>
      <c r="D1092" t="inlineStr">
        <is>
          <t>Financial</t>
        </is>
      </c>
      <c r="E1092" t="inlineStr">
        <is>
          <t>Gearing ratio</t>
        </is>
      </c>
      <c r="F1092" t="n">
        <v>0.434</v>
      </c>
      <c r="G1092" t="inlineStr">
        <is>
          <t>ratio</t>
        </is>
      </c>
      <c r="H1092" t="n">
        <v>114</v>
      </c>
      <c r="I1092" t="inlineStr">
        <is>
          <t>Rasio Gearing 43,40% 39,56%</t>
        </is>
      </c>
      <c r="J1092" t="inlineStr">
        <is>
          <t>High</t>
        </is>
      </c>
      <c r="M1092" t="inlineStr">
        <is>
          <t>LLM</t>
        </is>
      </c>
      <c r="N1092" t="inlineStr">
        <is>
          <t>2026-04-18</t>
        </is>
      </c>
      <c r="O1092" t="inlineStr">
        <is>
          <t>AI</t>
        </is>
      </c>
    </row>
    <row r="1093">
      <c r="A1093" t="inlineStr">
        <is>
          <t>PT Cisadane Sawit Raya Tbk.</t>
        </is>
      </c>
      <c r="B1093" t="inlineStr">
        <is>
          <t>CSRA_2023_AR.pdf</t>
        </is>
      </c>
      <c r="C1093" t="n">
        <v>2023</v>
      </c>
      <c r="D1093" t="inlineStr">
        <is>
          <t>Financial</t>
        </is>
      </c>
      <c r="E1093" t="inlineStr">
        <is>
          <t>CFO 2023</t>
        </is>
      </c>
      <c r="F1093" t="n">
        <v>192.491</v>
      </c>
      <c r="G1093" t="inlineStr">
        <is>
          <t>IDR bn</t>
        </is>
      </c>
      <c r="H1093" t="n">
        <v>19</v>
      </c>
      <c r="I1093" t="inlineStr">
        <is>
          <t>Arus Kas dari Aktivitas Operasi 192.491 401.336</t>
        </is>
      </c>
      <c r="J1093" t="inlineStr">
        <is>
          <t>High</t>
        </is>
      </c>
      <c r="M1093" t="inlineStr">
        <is>
          <t>LLM</t>
        </is>
      </c>
      <c r="N1093" t="inlineStr">
        <is>
          <t>2026-04-18</t>
        </is>
      </c>
      <c r="O1093" t="inlineStr">
        <is>
          <t>AI</t>
        </is>
      </c>
    </row>
    <row r="1094">
      <c r="A1094" t="inlineStr">
        <is>
          <t>PT Cisadane Sawit Raya Tbk.</t>
        </is>
      </c>
      <c r="B1094" t="inlineStr">
        <is>
          <t>CSRA_2023_AR.pdf</t>
        </is>
      </c>
      <c r="C1094" t="n">
        <v>2023</v>
      </c>
      <c r="D1094" t="inlineStr">
        <is>
          <t>Financial</t>
        </is>
      </c>
      <c r="E1094" t="inlineStr">
        <is>
          <t>CFI 2023</t>
        </is>
      </c>
      <c r="F1094" t="n">
        <v>-251.705</v>
      </c>
      <c r="G1094" t="inlineStr">
        <is>
          <t>IDR bn</t>
        </is>
      </c>
      <c r="H1094" t="n">
        <v>19</v>
      </c>
      <c r="I1094" t="inlineStr">
        <is>
          <t>Arus Kas dari Aktivitas Investasi (251.705) (238.442)</t>
        </is>
      </c>
      <c r="J1094" t="inlineStr">
        <is>
          <t>High</t>
        </is>
      </c>
      <c r="M1094" t="inlineStr">
        <is>
          <t>LLM</t>
        </is>
      </c>
      <c r="N1094" t="inlineStr">
        <is>
          <t>2026-04-18</t>
        </is>
      </c>
      <c r="O1094" t="inlineStr">
        <is>
          <t>AI</t>
        </is>
      </c>
    </row>
    <row r="1095">
      <c r="A1095" t="inlineStr">
        <is>
          <t>PT Cisadane Sawit Raya Tbk.</t>
        </is>
      </c>
      <c r="B1095" t="inlineStr">
        <is>
          <t>CSRA_2023_AR.pdf</t>
        </is>
      </c>
      <c r="C1095" t="n">
        <v>2023</v>
      </c>
      <c r="D1095" t="inlineStr">
        <is>
          <t>Financial</t>
        </is>
      </c>
      <c r="E1095" t="inlineStr">
        <is>
          <t>CFF 2023</t>
        </is>
      </c>
      <c r="F1095" t="n">
        <v>-179.155</v>
      </c>
      <c r="G1095" t="inlineStr">
        <is>
          <t>IDR bn</t>
        </is>
      </c>
      <c r="H1095" t="n">
        <v>19</v>
      </c>
      <c r="I1095" t="inlineStr">
        <is>
          <t>Arus Kas dari Aktivitas Pendanaan (179.155) (264.661)</t>
        </is>
      </c>
      <c r="J1095" t="inlineStr">
        <is>
          <t>High</t>
        </is>
      </c>
      <c r="M1095" t="inlineStr">
        <is>
          <t>LLM</t>
        </is>
      </c>
      <c r="N1095" t="inlineStr">
        <is>
          <t>2026-04-18</t>
        </is>
      </c>
      <c r="O1095" t="inlineStr">
        <is>
          <t>AI</t>
        </is>
      </c>
    </row>
    <row r="1096">
      <c r="A1096" t="inlineStr">
        <is>
          <t>PT Cisadane Sawit Raya Tbk.</t>
        </is>
      </c>
      <c r="B1096" t="inlineStr">
        <is>
          <t>CSRA_2023_AR.pdf</t>
        </is>
      </c>
      <c r="C1096" t="n">
        <v>2023</v>
      </c>
      <c r="D1096" t="inlineStr">
        <is>
          <t>Financial</t>
        </is>
      </c>
      <c r="E1096" t="inlineStr">
        <is>
          <t>Capex 2023 (acquisition of fixed assets)</t>
        </is>
      </c>
      <c r="F1096" t="n">
        <v>136.372</v>
      </c>
      <c r="G1096" t="inlineStr">
        <is>
          <t>IDR bn</t>
        </is>
      </c>
      <c r="H1096" t="n">
        <v>115</v>
      </c>
      <c r="I1096" t="inlineStr">
        <is>
          <t>Perolehan Aset Tetap 136.372.002.283 134.416.655.133</t>
        </is>
      </c>
      <c r="J1096" t="inlineStr">
        <is>
          <t>High</t>
        </is>
      </c>
      <c r="M1096" t="inlineStr">
        <is>
          <t>LLM</t>
        </is>
      </c>
      <c r="N1096" t="inlineStr">
        <is>
          <t>2026-04-18</t>
        </is>
      </c>
      <c r="O1096" t="inlineStr">
        <is>
          <t>AI</t>
        </is>
      </c>
    </row>
    <row r="1097">
      <c r="A1097" t="inlineStr">
        <is>
          <t>PT Cisadane Sawit Raya Tbk.</t>
        </is>
      </c>
      <c r="B1097" t="inlineStr">
        <is>
          <t>CSRA_2023_AR.pdf</t>
        </is>
      </c>
      <c r="C1097" t="n">
        <v>2023</v>
      </c>
      <c r="D1097" t="inlineStr">
        <is>
          <t>Financial</t>
        </is>
      </c>
      <c r="E1097" t="inlineStr">
        <is>
          <t>Dividend paid 2023</t>
        </is>
      </c>
      <c r="F1097" t="n">
        <v>0</v>
      </c>
      <c r="G1097" t="inlineStr">
        <is>
          <t>IDR bn</t>
        </is>
      </c>
      <c r="H1097" t="n">
        <v>118</v>
      </c>
      <c r="I1097" t="inlineStr">
        <is>
          <t>Selama tahun 2023, Perseroan tidak membagikan dividen interim kepada para pemegang saham... Perseroan tidak membagikan dividen tunai final</t>
        </is>
      </c>
      <c r="J1097" t="inlineStr">
        <is>
          <t>High</t>
        </is>
      </c>
      <c r="M1097" t="inlineStr">
        <is>
          <t>LLM</t>
        </is>
      </c>
      <c r="N1097" t="inlineStr">
        <is>
          <t>2026-04-18</t>
        </is>
      </c>
      <c r="O1097" t="inlineStr">
        <is>
          <t>AI</t>
        </is>
      </c>
    </row>
    <row r="1098">
      <c r="A1098" t="inlineStr">
        <is>
          <t>PT Cisadane Sawit Raya Tbk.</t>
        </is>
      </c>
      <c r="B1098" t="inlineStr">
        <is>
          <t>CSRA_2023_AR.pdf</t>
        </is>
      </c>
      <c r="C1098" t="n">
        <v>2023</v>
      </c>
      <c r="D1098" t="inlineStr">
        <is>
          <t>Financial</t>
        </is>
      </c>
      <c r="E1098" t="inlineStr">
        <is>
          <t>Closing price Q4 2023</t>
        </is>
      </c>
      <c r="F1098" t="n">
        <v>472</v>
      </c>
      <c r="G1098" t="inlineStr">
        <is>
          <t>IDR/share</t>
        </is>
      </c>
      <c r="I1098" t="inlineStr">
        <is>
          <t>Penutupan (Rp) 540 466 505 472 Closing (Rp)</t>
        </is>
      </c>
      <c r="J1098" t="inlineStr">
        <is>
          <t>High</t>
        </is>
      </c>
      <c r="M1098" t="inlineStr">
        <is>
          <t>LLM</t>
        </is>
      </c>
      <c r="N1098" t="inlineStr">
        <is>
          <t>2026-04-18</t>
        </is>
      </c>
      <c r="O1098" t="inlineStr">
        <is>
          <t>AI</t>
        </is>
      </c>
    </row>
    <row r="1099">
      <c r="A1099" t="inlineStr">
        <is>
          <t>PT Cisadane Sawit Raya Tbk.</t>
        </is>
      </c>
      <c r="B1099" t="inlineStr">
        <is>
          <t>CSRA_2023_AR.pdf</t>
        </is>
      </c>
      <c r="C1099" t="n">
        <v>2023</v>
      </c>
      <c r="D1099" t="inlineStr">
        <is>
          <t>Asset</t>
        </is>
      </c>
      <c r="E1099" t="inlineStr">
        <is>
          <t>Planted area nucleus</t>
        </is>
      </c>
      <c r="F1099" t="n">
        <v>19552</v>
      </c>
      <c r="G1099" t="inlineStr">
        <is>
          <t>hectares</t>
        </is>
      </c>
      <c r="H1099" t="n">
        <v>18</v>
      </c>
      <c r="I1099" t="inlineStr">
        <is>
          <t>LAHAN TERTANAM – INTI (Ha) 19.552,0 19.333,9 18.225,0</t>
        </is>
      </c>
      <c r="J1099" t="inlineStr">
        <is>
          <t>High</t>
        </is>
      </c>
      <c r="M1099" t="inlineStr">
        <is>
          <t>LLM</t>
        </is>
      </c>
      <c r="N1099" t="inlineStr">
        <is>
          <t>2026-04-18</t>
        </is>
      </c>
      <c r="O1099" t="inlineStr">
        <is>
          <t>AI</t>
        </is>
      </c>
    </row>
    <row r="1100">
      <c r="A1100" t="inlineStr">
        <is>
          <t>PT Cisadane Sawit Raya Tbk.</t>
        </is>
      </c>
      <c r="B1100" t="inlineStr">
        <is>
          <t>CSRA_2023_AR.pdf</t>
        </is>
      </c>
      <c r="C1100" t="n">
        <v>2023</v>
      </c>
      <c r="D1100" t="inlineStr">
        <is>
          <t>Asset</t>
        </is>
      </c>
      <c r="E1100" t="inlineStr">
        <is>
          <t>Mature area</t>
        </is>
      </c>
      <c r="F1100" t="n">
        <v>17258.3</v>
      </c>
      <c r="G1100" t="inlineStr">
        <is>
          <t>hectares</t>
        </is>
      </c>
      <c r="H1100" t="n">
        <v>18</v>
      </c>
      <c r="I1100" t="inlineStr">
        <is>
          <t>Menghasilkan 17.258,3 16.147,1 15.660,4</t>
        </is>
      </c>
      <c r="J1100" t="inlineStr">
        <is>
          <t>High</t>
        </is>
      </c>
      <c r="M1100" t="inlineStr">
        <is>
          <t>LLM</t>
        </is>
      </c>
      <c r="N1100" t="inlineStr">
        <is>
          <t>2026-04-18</t>
        </is>
      </c>
      <c r="O1100" t="inlineStr">
        <is>
          <t>AI</t>
        </is>
      </c>
    </row>
    <row r="1101">
      <c r="A1101" t="inlineStr">
        <is>
          <t>PT Cisadane Sawit Raya Tbk.</t>
        </is>
      </c>
      <c r="B1101" t="inlineStr">
        <is>
          <t>CSRA_2023_AR.pdf</t>
        </is>
      </c>
      <c r="C1101" t="n">
        <v>2023</v>
      </c>
      <c r="D1101" t="inlineStr">
        <is>
          <t>Asset</t>
        </is>
      </c>
      <c r="E1101" t="inlineStr">
        <is>
          <t>Immature area</t>
        </is>
      </c>
      <c r="F1101" t="n">
        <v>2293.7</v>
      </c>
      <c r="G1101" t="inlineStr">
        <is>
          <t>hectares</t>
        </is>
      </c>
      <c r="H1101" t="n">
        <v>18</v>
      </c>
      <c r="I1101" t="inlineStr">
        <is>
          <t>Belum Menghasilkan 2.293,7 3.186,8 2.564,6</t>
        </is>
      </c>
      <c r="J1101" t="inlineStr">
        <is>
          <t>High</t>
        </is>
      </c>
      <c r="M1101" t="inlineStr">
        <is>
          <t>LLM</t>
        </is>
      </c>
      <c r="N1101" t="inlineStr">
        <is>
          <t>2026-04-18</t>
        </is>
      </c>
      <c r="O1101" t="inlineStr">
        <is>
          <t>AI</t>
        </is>
      </c>
    </row>
    <row r="1102">
      <c r="A1102" t="inlineStr">
        <is>
          <t>PT Cisadane Sawit Raya Tbk.</t>
        </is>
      </c>
      <c r="B1102" t="inlineStr">
        <is>
          <t>CSRA_2023_AR.pdf</t>
        </is>
      </c>
      <c r="C1102" t="n">
        <v>2023</v>
      </c>
      <c r="D1102" t="inlineStr">
        <is>
          <t>Asset</t>
        </is>
      </c>
      <c r="E1102" t="inlineStr">
        <is>
          <t>Number of mills operating</t>
        </is>
      </c>
      <c r="F1102" t="n">
        <v>2</v>
      </c>
      <c r="G1102" t="inlineStr">
        <is>
          <t>count</t>
        </is>
      </c>
      <c r="I1102" t="inlineStr">
        <is>
          <t>dengan beroperasinya PKS baru di Tapanuli Selatan; 2nd palm oil mill in South Tapanuli commissioned 2023</t>
        </is>
      </c>
      <c r="J1102" t="inlineStr">
        <is>
          <t>High</t>
        </is>
      </c>
      <c r="M1102" t="inlineStr">
        <is>
          <t>LLM</t>
        </is>
      </c>
      <c r="N1102" t="inlineStr">
        <is>
          <t>2026-04-18</t>
        </is>
      </c>
      <c r="O1102" t="inlineStr">
        <is>
          <t>AI</t>
        </is>
      </c>
    </row>
    <row r="1103">
      <c r="A1103" t="inlineStr">
        <is>
          <t>PT Cisadane Sawit Raya Tbk.</t>
        </is>
      </c>
      <c r="B1103" t="inlineStr">
        <is>
          <t>CSRA_2023_AR.pdf</t>
        </is>
      </c>
      <c r="C1103" t="n">
        <v>2023</v>
      </c>
      <c r="D1103" t="inlineStr">
        <is>
          <t>Asset</t>
        </is>
      </c>
      <c r="E1103" t="inlineStr">
        <is>
          <t>Total mill capacity</t>
        </is>
      </c>
      <c r="F1103" t="n">
        <v>90</v>
      </c>
      <c r="G1103" t="inlineStr">
        <is>
          <t>tons/hour</t>
        </is>
      </c>
      <c r="I1103" t="inlineStr">
        <is>
          <t>PKS Perseroan di Tapanuli Selatan...akan menambah total kapasitas produksi; two mills total 90 tph (45+45)</t>
        </is>
      </c>
      <c r="J1103" t="inlineStr">
        <is>
          <t>High</t>
        </is>
      </c>
      <c r="M1103" t="inlineStr">
        <is>
          <t>LLM</t>
        </is>
      </c>
      <c r="N1103" t="inlineStr">
        <is>
          <t>2026-04-18</t>
        </is>
      </c>
      <c r="O1103" t="inlineStr">
        <is>
          <t>AI</t>
        </is>
      </c>
    </row>
    <row r="1104">
      <c r="A1104" t="inlineStr">
        <is>
          <t>PT Cisadane Sawit Raya Tbk.</t>
        </is>
      </c>
      <c r="B1104" t="inlineStr">
        <is>
          <t>CSRA_2023_AR.pdf</t>
        </is>
      </c>
      <c r="C1104" t="n">
        <v>2023</v>
      </c>
      <c r="D1104" t="inlineStr">
        <is>
          <t>Operation</t>
        </is>
      </c>
      <c r="E1104" t="inlineStr">
        <is>
          <t>FFB production 2023</t>
        </is>
      </c>
      <c r="F1104" t="n">
        <v>337367</v>
      </c>
      <c r="G1104" t="inlineStr">
        <is>
          <t>MT</t>
        </is>
      </c>
      <c r="H1104" t="n">
        <v>18</v>
      </c>
      <c r="I1104" t="inlineStr">
        <is>
          <t>Total produksi TBS (ton) 337.367 342.464 319.071</t>
        </is>
      </c>
      <c r="J1104" t="inlineStr">
        <is>
          <t>High</t>
        </is>
      </c>
      <c r="M1104" t="inlineStr">
        <is>
          <t>LLM</t>
        </is>
      </c>
      <c r="N1104" t="inlineStr">
        <is>
          <t>2026-04-18</t>
        </is>
      </c>
      <c r="O1104" t="inlineStr">
        <is>
          <t>AI</t>
        </is>
      </c>
    </row>
    <row r="1105">
      <c r="A1105" t="inlineStr">
        <is>
          <t>PT Cisadane Sawit Raya Tbk.</t>
        </is>
      </c>
      <c r="B1105" t="inlineStr">
        <is>
          <t>CSRA_2023_AR.pdf</t>
        </is>
      </c>
      <c r="C1105" t="n">
        <v>2023</v>
      </c>
      <c r="D1105" t="inlineStr">
        <is>
          <t>Operation</t>
        </is>
      </c>
      <c r="E1105" t="inlineStr">
        <is>
          <t>Third-party FFB purchased</t>
        </is>
      </c>
      <c r="F1105" t="n">
        <v>26402</v>
      </c>
      <c r="G1105" t="inlineStr">
        <is>
          <t>MT</t>
        </is>
      </c>
      <c r="H1105" t="n">
        <v>18</v>
      </c>
      <c r="I1105" t="inlineStr">
        <is>
          <t>Total TBS dibeli dari pihak ketiga (ton) 26.402 14.326 30.769</t>
        </is>
      </c>
      <c r="J1105" t="inlineStr">
        <is>
          <t>High</t>
        </is>
      </c>
      <c r="M1105" t="inlineStr">
        <is>
          <t>LLM</t>
        </is>
      </c>
      <c r="N1105" t="inlineStr">
        <is>
          <t>2026-04-18</t>
        </is>
      </c>
      <c r="O1105" t="inlineStr">
        <is>
          <t>AI</t>
        </is>
      </c>
    </row>
    <row r="1106">
      <c r="A1106" t="inlineStr">
        <is>
          <t>PT Cisadane Sawit Raya Tbk.</t>
        </is>
      </c>
      <c r="B1106" t="inlineStr">
        <is>
          <t>CSRA_2023_AR.pdf</t>
        </is>
      </c>
      <c r="C1106" t="n">
        <v>2023</v>
      </c>
      <c r="D1106" t="inlineStr">
        <is>
          <t>Operation</t>
        </is>
      </c>
      <c r="E1106" t="inlineStr">
        <is>
          <t>FFB processed</t>
        </is>
      </c>
      <c r="F1106" t="n">
        <v>229687</v>
      </c>
      <c r="G1106" t="inlineStr">
        <is>
          <t>MT</t>
        </is>
      </c>
      <c r="H1106" t="n">
        <v>18</v>
      </c>
      <c r="I1106" t="inlineStr">
        <is>
          <t>Total TBS diproses (ton) 229.687 174.180 193.840</t>
        </is>
      </c>
      <c r="J1106" t="inlineStr">
        <is>
          <t>High</t>
        </is>
      </c>
      <c r="M1106" t="inlineStr">
        <is>
          <t>LLM</t>
        </is>
      </c>
      <c r="N1106" t="inlineStr">
        <is>
          <t>2026-04-18</t>
        </is>
      </c>
      <c r="O1106" t="inlineStr">
        <is>
          <t>AI</t>
        </is>
      </c>
    </row>
    <row r="1107">
      <c r="A1107" t="inlineStr">
        <is>
          <t>PT Cisadane Sawit Raya Tbk.</t>
        </is>
      </c>
      <c r="B1107" t="inlineStr">
        <is>
          <t>CSRA_2023_AR.pdf</t>
        </is>
      </c>
      <c r="C1107" t="n">
        <v>2023</v>
      </c>
      <c r="D1107" t="inlineStr">
        <is>
          <t>Operation</t>
        </is>
      </c>
      <c r="E1107" t="inlineStr">
        <is>
          <t>CPO production 2023</t>
        </is>
      </c>
      <c r="F1107" t="n">
        <v>48663</v>
      </c>
      <c r="G1107" t="inlineStr">
        <is>
          <t>MT</t>
        </is>
      </c>
      <c r="H1107" t="n">
        <v>18</v>
      </c>
      <c r="I1107" t="inlineStr">
        <is>
          <t>Total Produksi CPO (ton) 48.663 35.701 39.687</t>
        </is>
      </c>
      <c r="J1107" t="inlineStr">
        <is>
          <t>High</t>
        </is>
      </c>
      <c r="M1107" t="inlineStr">
        <is>
          <t>LLM</t>
        </is>
      </c>
      <c r="N1107" t="inlineStr">
        <is>
          <t>2026-04-18</t>
        </is>
      </c>
      <c r="O1107" t="inlineStr">
        <is>
          <t>AI</t>
        </is>
      </c>
    </row>
    <row r="1108">
      <c r="A1108" t="inlineStr">
        <is>
          <t>PT Cisadane Sawit Raya Tbk.</t>
        </is>
      </c>
      <c r="B1108" t="inlineStr">
        <is>
          <t>CSRA_2023_AR.pdf</t>
        </is>
      </c>
      <c r="C1108" t="n">
        <v>2023</v>
      </c>
      <c r="D1108" t="inlineStr">
        <is>
          <t>Operation</t>
        </is>
      </c>
      <c r="E1108" t="inlineStr">
        <is>
          <t>CPO sales</t>
        </is>
      </c>
      <c r="F1108" t="n">
        <v>47368</v>
      </c>
      <c r="G1108" t="inlineStr">
        <is>
          <t>MT</t>
        </is>
      </c>
      <c r="H1108" t="n">
        <v>18</v>
      </c>
      <c r="I1108" t="inlineStr">
        <is>
          <t>Total Penjualan CPO (ton) 47.368 34.633 39.428</t>
        </is>
      </c>
      <c r="J1108" t="inlineStr">
        <is>
          <t>High</t>
        </is>
      </c>
      <c r="M1108" t="inlineStr">
        <is>
          <t>LLM</t>
        </is>
      </c>
      <c r="N1108" t="inlineStr">
        <is>
          <t>2026-04-18</t>
        </is>
      </c>
      <c r="O1108" t="inlineStr">
        <is>
          <t>AI</t>
        </is>
      </c>
    </row>
    <row r="1109">
      <c r="A1109" t="inlineStr">
        <is>
          <t>PT Cisadane Sawit Raya Tbk.</t>
        </is>
      </c>
      <c r="B1109" t="inlineStr">
        <is>
          <t>CSRA_2023_AR.pdf</t>
        </is>
      </c>
      <c r="C1109" t="n">
        <v>2023</v>
      </c>
      <c r="D1109" t="inlineStr">
        <is>
          <t>Operation</t>
        </is>
      </c>
      <c r="E1109" t="inlineStr">
        <is>
          <t>Palm kernel production</t>
        </is>
      </c>
      <c r="F1109" t="n">
        <v>11166</v>
      </c>
      <c r="G1109" t="inlineStr">
        <is>
          <t>MT</t>
        </is>
      </c>
      <c r="H1109" t="n">
        <v>18</v>
      </c>
      <c r="I1109" t="inlineStr">
        <is>
          <t>Total Produksi PK (ton) 11.166 8.974 9.423</t>
        </is>
      </c>
      <c r="J1109" t="inlineStr">
        <is>
          <t>High</t>
        </is>
      </c>
      <c r="M1109" t="inlineStr">
        <is>
          <t>LLM</t>
        </is>
      </c>
      <c r="N1109" t="inlineStr">
        <is>
          <t>2026-04-18</t>
        </is>
      </c>
      <c r="O1109" t="inlineStr">
        <is>
          <t>AI</t>
        </is>
      </c>
    </row>
    <row r="1110">
      <c r="A1110" t="inlineStr">
        <is>
          <t>PT Cisadane Sawit Raya Tbk.</t>
        </is>
      </c>
      <c r="B1110" t="inlineStr">
        <is>
          <t>CSRA_2023_AR.pdf</t>
        </is>
      </c>
      <c r="C1110" t="n">
        <v>2023</v>
      </c>
      <c r="D1110" t="inlineStr">
        <is>
          <t>Operation</t>
        </is>
      </c>
      <c r="E1110" t="inlineStr">
        <is>
          <t>Palm kernel sales</t>
        </is>
      </c>
      <c r="F1110" t="n">
        <v>10826</v>
      </c>
      <c r="G1110" t="inlineStr">
        <is>
          <t>MT</t>
        </is>
      </c>
      <c r="H1110" t="n">
        <v>18</v>
      </c>
      <c r="I1110" t="inlineStr">
        <is>
          <t>Total Penjualan PK (ton) 10.826 7.832 9.321</t>
        </is>
      </c>
      <c r="J1110" t="inlineStr">
        <is>
          <t>High</t>
        </is>
      </c>
      <c r="M1110" t="inlineStr">
        <is>
          <t>LLM</t>
        </is>
      </c>
      <c r="N1110" t="inlineStr">
        <is>
          <t>2026-04-18</t>
        </is>
      </c>
      <c r="O1110" t="inlineStr">
        <is>
          <t>AI</t>
        </is>
      </c>
    </row>
    <row r="1111">
      <c r="A1111" t="inlineStr">
        <is>
          <t>PT Cisadane Sawit Raya Tbk.</t>
        </is>
      </c>
      <c r="B1111" t="inlineStr">
        <is>
          <t>CSRA_2023_AR.pdf</t>
        </is>
      </c>
      <c r="C1111" t="n">
        <v>2023</v>
      </c>
      <c r="D1111" t="inlineStr">
        <is>
          <t>Operation</t>
        </is>
      </c>
      <c r="E1111" t="inlineStr">
        <is>
          <t>FFB sales to third parties</t>
        </is>
      </c>
      <c r="F1111" t="n">
        <v>136661</v>
      </c>
      <c r="G1111" t="inlineStr">
        <is>
          <t>MT</t>
        </is>
      </c>
      <c r="H1111" t="n">
        <v>18</v>
      </c>
      <c r="I1111" t="inlineStr">
        <is>
          <t>Total Penjualan TBS (ton) 136.661 180.866</t>
        </is>
      </c>
      <c r="J1111" t="inlineStr">
        <is>
          <t>High</t>
        </is>
      </c>
      <c r="M1111" t="inlineStr">
        <is>
          <t>LLM</t>
        </is>
      </c>
      <c r="N1111" t="inlineStr">
        <is>
          <t>2026-04-18</t>
        </is>
      </c>
      <c r="O1111" t="inlineStr">
        <is>
          <t>AI</t>
        </is>
      </c>
    </row>
    <row r="1112">
      <c r="A1112" t="inlineStr">
        <is>
          <t>PT Cisadane Sawit Raya Tbk.</t>
        </is>
      </c>
      <c r="B1112" t="inlineStr">
        <is>
          <t>CSRA_2023_AR.pdf</t>
        </is>
      </c>
      <c r="C1112" t="n">
        <v>2023</v>
      </c>
      <c r="D1112" t="inlineStr">
        <is>
          <t>Operation</t>
        </is>
      </c>
      <c r="E1112" t="inlineStr">
        <is>
          <t>FFB yield</t>
        </is>
      </c>
      <c r="F1112" t="n">
        <v>19.4</v>
      </c>
      <c r="G1112" t="inlineStr">
        <is>
          <t>tons/ha</t>
        </is>
      </c>
      <c r="H1112" t="n">
        <v>18</v>
      </c>
      <c r="I1112" t="inlineStr">
        <is>
          <t>Rata-rata produktivitas TBS 19,4 21,2 20,4</t>
        </is>
      </c>
      <c r="J1112" t="inlineStr">
        <is>
          <t>High</t>
        </is>
      </c>
      <c r="M1112" t="inlineStr">
        <is>
          <t>LLM</t>
        </is>
      </c>
      <c r="N1112" t="inlineStr">
        <is>
          <t>2026-04-18</t>
        </is>
      </c>
      <c r="O1112" t="inlineStr">
        <is>
          <t>AI</t>
        </is>
      </c>
    </row>
    <row r="1113">
      <c r="A1113" t="inlineStr">
        <is>
          <t>PT Cisadane Sawit Raya Tbk.</t>
        </is>
      </c>
      <c r="B1113" t="inlineStr">
        <is>
          <t>CSRA_2023_AR.pdf</t>
        </is>
      </c>
      <c r="C1113" t="n">
        <v>2023</v>
      </c>
      <c r="D1113" t="inlineStr">
        <is>
          <t>Operation</t>
        </is>
      </c>
      <c r="E1113" t="inlineStr">
        <is>
          <t>OER</t>
        </is>
      </c>
      <c r="F1113" t="n">
        <v>0.212</v>
      </c>
      <c r="G1113" t="inlineStr">
        <is>
          <t>ratio</t>
        </is>
      </c>
      <c r="H1113" t="n">
        <v>18</v>
      </c>
      <c r="I1113" t="inlineStr">
        <is>
          <t>OER (%) 21,2 20,5 20,3</t>
        </is>
      </c>
      <c r="J1113" t="inlineStr">
        <is>
          <t>High</t>
        </is>
      </c>
      <c r="M1113" t="inlineStr">
        <is>
          <t>LLM</t>
        </is>
      </c>
      <c r="N1113" t="inlineStr">
        <is>
          <t>2026-04-18</t>
        </is>
      </c>
      <c r="O1113" t="inlineStr">
        <is>
          <t>AI</t>
        </is>
      </c>
    </row>
    <row r="1114">
      <c r="A1114" t="inlineStr">
        <is>
          <t>PT Cisadane Sawit Raya Tbk.</t>
        </is>
      </c>
      <c r="B1114" t="inlineStr">
        <is>
          <t>CSRA_2023_AR.pdf</t>
        </is>
      </c>
      <c r="C1114" t="n">
        <v>2023</v>
      </c>
      <c r="D1114" t="inlineStr">
        <is>
          <t>Operation</t>
        </is>
      </c>
      <c r="E1114" t="inlineStr">
        <is>
          <t>KER</t>
        </is>
      </c>
      <c r="F1114" t="n">
        <v>0.049</v>
      </c>
      <c r="G1114" t="inlineStr">
        <is>
          <t>ratio</t>
        </is>
      </c>
      <c r="H1114" t="n">
        <v>18</v>
      </c>
      <c r="I1114" t="inlineStr">
        <is>
          <t>KER (%) 4,9 5,2 4,9</t>
        </is>
      </c>
      <c r="J1114" t="inlineStr">
        <is>
          <t>High</t>
        </is>
      </c>
      <c r="M1114" t="inlineStr">
        <is>
          <t>LLM</t>
        </is>
      </c>
      <c r="N1114" t="inlineStr">
        <is>
          <t>2026-04-18</t>
        </is>
      </c>
      <c r="O1114" t="inlineStr">
        <is>
          <t>AI</t>
        </is>
      </c>
    </row>
    <row r="1115">
      <c r="A1115" t="inlineStr">
        <is>
          <t>PT Cisadane Sawit Raya Tbk.</t>
        </is>
      </c>
      <c r="B1115" t="inlineStr">
        <is>
          <t>CSRA_2023_AR.pdf</t>
        </is>
      </c>
      <c r="C1115" t="n">
        <v>2023</v>
      </c>
      <c r="D1115" t="inlineStr">
        <is>
          <t>Operation</t>
        </is>
      </c>
      <c r="E1115" t="inlineStr">
        <is>
          <t>Avg CPO selling price</t>
        </is>
      </c>
      <c r="F1115" t="n">
        <v>10821</v>
      </c>
      <c r="G1115" t="inlineStr">
        <is>
          <t>IDR/kg</t>
        </is>
      </c>
      <c r="H1115" t="n">
        <v>18</v>
      </c>
      <c r="I1115" t="inlineStr">
        <is>
          <t>Rata-rata harga jual CPO (Rp/kg) 10.821 12.468 11.398</t>
        </is>
      </c>
      <c r="J1115" t="inlineStr">
        <is>
          <t>High</t>
        </is>
      </c>
      <c r="M1115" t="inlineStr">
        <is>
          <t>LLM</t>
        </is>
      </c>
      <c r="N1115" t="inlineStr">
        <is>
          <t>2026-04-18</t>
        </is>
      </c>
      <c r="O1115" t="inlineStr">
        <is>
          <t>AI</t>
        </is>
      </c>
    </row>
    <row r="1116">
      <c r="A1116" t="inlineStr">
        <is>
          <t>PT Cisadane Sawit Raya Tbk.</t>
        </is>
      </c>
      <c r="B1116" t="inlineStr">
        <is>
          <t>CSRA_2023_AR.pdf</t>
        </is>
      </c>
      <c r="C1116" t="n">
        <v>2023</v>
      </c>
      <c r="D1116" t="inlineStr">
        <is>
          <t>Operation</t>
        </is>
      </c>
      <c r="E1116" t="inlineStr">
        <is>
          <t>Avg FFB selling price</t>
        </is>
      </c>
      <c r="F1116" t="n">
        <v>2241</v>
      </c>
      <c r="G1116" t="inlineStr">
        <is>
          <t>IDR/kg</t>
        </is>
      </c>
      <c r="H1116" t="n">
        <v>18</v>
      </c>
      <c r="I1116" t="inlineStr">
        <is>
          <t>Rata-rata harga jual TBS (Rp/kg) 2.241 2.618 2.480</t>
        </is>
      </c>
      <c r="J1116" t="inlineStr">
        <is>
          <t>High</t>
        </is>
      </c>
      <c r="M1116" t="inlineStr">
        <is>
          <t>LLM</t>
        </is>
      </c>
      <c r="N1116" t="inlineStr">
        <is>
          <t>2026-04-18</t>
        </is>
      </c>
      <c r="O1116" t="inlineStr">
        <is>
          <t>AI</t>
        </is>
      </c>
    </row>
    <row r="1117">
      <c r="A1117" t="inlineStr">
        <is>
          <t>PT Cisadane Sawit Raya Tbk.</t>
        </is>
      </c>
      <c r="B1117" t="inlineStr">
        <is>
          <t>CSRA_2023_AR.pdf</t>
        </is>
      </c>
      <c r="C1117" t="n">
        <v>2023</v>
      </c>
      <c r="D1117" t="inlineStr">
        <is>
          <t>Operation</t>
        </is>
      </c>
      <c r="E1117" t="inlineStr">
        <is>
          <t>Avg PK selling price</t>
        </is>
      </c>
      <c r="F1117" t="n">
        <v>5255</v>
      </c>
      <c r="G1117" t="inlineStr">
        <is>
          <t>IDR/kg</t>
        </is>
      </c>
      <c r="H1117" t="n">
        <v>18</v>
      </c>
      <c r="I1117" t="inlineStr">
        <is>
          <t>Rata-rata harga jual PK (Rp/kg) 5.255 8.331 7.802</t>
        </is>
      </c>
      <c r="J1117" t="inlineStr">
        <is>
          <t>High</t>
        </is>
      </c>
      <c r="M1117" t="inlineStr">
        <is>
          <t>LLM</t>
        </is>
      </c>
      <c r="N1117" t="inlineStr">
        <is>
          <t>2026-04-18</t>
        </is>
      </c>
      <c r="O1117" t="inlineStr">
        <is>
          <t>AI</t>
        </is>
      </c>
    </row>
    <row r="1118">
      <c r="A1118" t="inlineStr">
        <is>
          <t>PT Cisadane Sawit Raya Tbk.</t>
        </is>
      </c>
      <c r="B1118" t="inlineStr">
        <is>
          <t>CSRA_2023_AR.pdf</t>
        </is>
      </c>
      <c r="C1118" t="n">
        <v>2023</v>
      </c>
      <c r="D1118" t="inlineStr">
        <is>
          <t>Operation</t>
        </is>
      </c>
      <c r="E1118" t="inlineStr">
        <is>
          <t>Tree age 4-7 years</t>
        </is>
      </c>
      <c r="F1118" t="n">
        <v>2111.3</v>
      </c>
      <c r="G1118" t="inlineStr">
        <is>
          <t>hectares</t>
        </is>
      </c>
      <c r="H1118" t="n">
        <v>18</v>
      </c>
      <c r="I1118" t="inlineStr">
        <is>
          <t>4 – 7 tahun 2.111,3 2.440,4 4.628,2</t>
        </is>
      </c>
      <c r="J1118" t="inlineStr">
        <is>
          <t>High</t>
        </is>
      </c>
      <c r="M1118" t="inlineStr">
        <is>
          <t>LLM</t>
        </is>
      </c>
      <c r="N1118" t="inlineStr">
        <is>
          <t>2026-04-18</t>
        </is>
      </c>
      <c r="O1118" t="inlineStr">
        <is>
          <t>AI</t>
        </is>
      </c>
    </row>
    <row r="1119">
      <c r="A1119" t="inlineStr">
        <is>
          <t>PT Cisadane Sawit Raya Tbk.</t>
        </is>
      </c>
      <c r="B1119" t="inlineStr">
        <is>
          <t>CSRA_2023_AR.pdf</t>
        </is>
      </c>
      <c r="C1119" t="n">
        <v>2023</v>
      </c>
      <c r="D1119" t="inlineStr">
        <is>
          <t>Operation</t>
        </is>
      </c>
      <c r="E1119" t="inlineStr">
        <is>
          <t>Tree age 8-17 years</t>
        </is>
      </c>
      <c r="F1119" t="n">
        <v>11115.9</v>
      </c>
      <c r="G1119" t="inlineStr">
        <is>
          <t>hectares</t>
        </is>
      </c>
      <c r="H1119" t="n">
        <v>18</v>
      </c>
      <c r="I1119" t="inlineStr">
        <is>
          <t>8 – 17 tahun 11.115,9 9.612,9 6.872,7</t>
        </is>
      </c>
      <c r="J1119" t="inlineStr">
        <is>
          <t>High</t>
        </is>
      </c>
      <c r="M1119" t="inlineStr">
        <is>
          <t>LLM</t>
        </is>
      </c>
      <c r="N1119" t="inlineStr">
        <is>
          <t>2026-04-18</t>
        </is>
      </c>
      <c r="O1119" t="inlineStr">
        <is>
          <t>AI</t>
        </is>
      </c>
    </row>
    <row r="1120">
      <c r="A1120" t="inlineStr">
        <is>
          <t>PT Cisadane Sawit Raya Tbk.</t>
        </is>
      </c>
      <c r="B1120" t="inlineStr">
        <is>
          <t>CSRA_2023_AR.pdf</t>
        </is>
      </c>
      <c r="C1120" t="n">
        <v>2023</v>
      </c>
      <c r="D1120" t="inlineStr">
        <is>
          <t>Operation</t>
        </is>
      </c>
      <c r="E1120" t="inlineStr">
        <is>
          <t>Tree age &gt;18 years</t>
        </is>
      </c>
      <c r="F1120" t="n">
        <v>4031.1</v>
      </c>
      <c r="G1120" t="inlineStr">
        <is>
          <t>hectares</t>
        </is>
      </c>
      <c r="H1120" t="n">
        <v>18</v>
      </c>
      <c r="I1120" t="inlineStr">
        <is>
          <t>&gt; 18 tahun 4.031,1 4.093,8 4.159,4</t>
        </is>
      </c>
      <c r="J1120" t="inlineStr">
        <is>
          <t>High</t>
        </is>
      </c>
      <c r="M1120" t="inlineStr">
        <is>
          <t>LLM</t>
        </is>
      </c>
      <c r="N1120" t="inlineStr">
        <is>
          <t>2026-04-18</t>
        </is>
      </c>
      <c r="O1120" t="inlineStr">
        <is>
          <t>AI</t>
        </is>
      </c>
    </row>
    <row r="1121">
      <c r="A1121" t="inlineStr">
        <is>
          <t>PT Cisadane Sawit Raya Tbk.</t>
        </is>
      </c>
      <c r="B1121" t="inlineStr">
        <is>
          <t>CSRA_2023_AR.pdf</t>
        </is>
      </c>
      <c r="C1121" t="n">
        <v>2023</v>
      </c>
      <c r="D1121" t="inlineStr">
        <is>
          <t>Other</t>
        </is>
      </c>
      <c r="E1121" t="inlineStr">
        <is>
          <t>2023 FFB production target</t>
        </is>
      </c>
      <c r="F1121" t="n">
        <v>397035</v>
      </c>
      <c r="G1121" t="inlineStr">
        <is>
          <t>MT</t>
        </is>
      </c>
      <c r="I1121" t="inlineStr">
        <is>
          <t>Total Produksi TBS 397.035 ton Total FFB Production (2023 target)</t>
        </is>
      </c>
      <c r="J1121" t="inlineStr">
        <is>
          <t>Medium</t>
        </is>
      </c>
      <c r="M1121" t="inlineStr">
        <is>
          <t>LLM</t>
        </is>
      </c>
      <c r="N1121" t="inlineStr">
        <is>
          <t>2026-04-18</t>
        </is>
      </c>
      <c r="O1121" t="inlineStr">
        <is>
          <t>AI</t>
        </is>
      </c>
    </row>
    <row r="1122">
      <c r="A1122" t="inlineStr">
        <is>
          <t>PT Cisadane Sawit Raya Tbk.</t>
        </is>
      </c>
      <c r="B1122" t="inlineStr">
        <is>
          <t>CSRA_2024_AR.pdf</t>
        </is>
      </c>
      <c r="C1122" t="n">
        <v>2024</v>
      </c>
      <c r="D1122" t="inlineStr">
        <is>
          <t>Company</t>
        </is>
      </c>
      <c r="E1122" t="inlineStr">
        <is>
          <t>Third mill under construction</t>
        </is>
      </c>
      <c r="F1122" t="inlineStr">
        <is>
          <t>PT BKL Banyuasin, South Sumatra, target mid-2025</t>
        </is>
      </c>
      <c r="G1122" t="inlineStr">
        <is>
          <t>text</t>
        </is>
      </c>
      <c r="I1122" t="inlineStr">
        <is>
          <t>PKS ketiga di Kabupaten Banyuasin, Sumatera Selatan, yang is scheduled to be completed by mid-2025</t>
        </is>
      </c>
      <c r="J1122" t="inlineStr">
        <is>
          <t>High</t>
        </is>
      </c>
      <c r="M1122" t="inlineStr">
        <is>
          <t>LLM</t>
        </is>
      </c>
      <c r="N1122" t="inlineStr">
        <is>
          <t>2026-04-18</t>
        </is>
      </c>
      <c r="O1122" t="inlineStr">
        <is>
          <t>AI</t>
        </is>
      </c>
    </row>
    <row r="1123">
      <c r="A1123" t="inlineStr">
        <is>
          <t>PT Cisadane Sawit Raya Tbk.</t>
        </is>
      </c>
      <c r="B1123" t="inlineStr">
        <is>
          <t>CSRA_2024_AR.pdf</t>
        </is>
      </c>
      <c r="C1123" t="n">
        <v>2024</v>
      </c>
      <c r="D1123" t="inlineStr">
        <is>
          <t>Company</t>
        </is>
      </c>
      <c r="E1123" t="inlineStr">
        <is>
          <t>Existing mills</t>
        </is>
      </c>
      <c r="F1123" t="inlineStr">
        <is>
          <t>2 mills (Sei Siarti + PT SKL Tapanuli Selatan), each 45 tph</t>
        </is>
      </c>
      <c r="G1123" t="inlineStr">
        <is>
          <t>text</t>
        </is>
      </c>
      <c r="I1123" t="inlineStr">
        <is>
          <t>produksi masing-masing 45 ton per jam</t>
        </is>
      </c>
      <c r="J1123" t="inlineStr">
        <is>
          <t>High</t>
        </is>
      </c>
      <c r="M1123" t="inlineStr">
        <is>
          <t>LLM</t>
        </is>
      </c>
      <c r="N1123" t="inlineStr">
        <is>
          <t>2026-04-18</t>
        </is>
      </c>
      <c r="O1123" t="inlineStr">
        <is>
          <t>AI</t>
        </is>
      </c>
    </row>
    <row r="1124">
      <c r="A1124" t="inlineStr">
        <is>
          <t>PT Cisadane Sawit Raya Tbk.</t>
        </is>
      </c>
      <c r="B1124" t="inlineStr">
        <is>
          <t>CSRA_2024_AR.pdf</t>
        </is>
      </c>
      <c r="C1124" t="n">
        <v>2024</v>
      </c>
      <c r="D1124" t="inlineStr">
        <is>
          <t>Financial</t>
        </is>
      </c>
      <c r="E1124" t="inlineStr">
        <is>
          <t>Revenue 2024</t>
        </is>
      </c>
      <c r="F1124" t="n">
        <v>1066.759</v>
      </c>
      <c r="G1124" t="inlineStr">
        <is>
          <t>IDR bn</t>
        </is>
      </c>
      <c r="H1124" t="n">
        <v>19</v>
      </c>
      <c r="I1124" t="inlineStr">
        <is>
          <t>Penjualan Neto 1.066.759 875.512 970.572 895.868 Net Sales</t>
        </is>
      </c>
      <c r="J1124" t="inlineStr">
        <is>
          <t>High</t>
        </is>
      </c>
      <c r="M1124" t="inlineStr">
        <is>
          <t>LLM</t>
        </is>
      </c>
      <c r="N1124" t="inlineStr">
        <is>
          <t>2026-04-18</t>
        </is>
      </c>
      <c r="O1124" t="inlineStr">
        <is>
          <t>AI</t>
        </is>
      </c>
    </row>
    <row r="1125">
      <c r="A1125" t="inlineStr">
        <is>
          <t>PT Cisadane Sawit Raya Tbk.</t>
        </is>
      </c>
      <c r="B1125" t="inlineStr">
        <is>
          <t>CSRA_2024_AR.pdf</t>
        </is>
      </c>
      <c r="C1125" t="n">
        <v>2024</v>
      </c>
      <c r="D1125" t="inlineStr">
        <is>
          <t>Financial</t>
        </is>
      </c>
      <c r="E1125" t="inlineStr">
        <is>
          <t>COGS 2024</t>
        </is>
      </c>
      <c r="F1125" t="n">
        <v>-582.895</v>
      </c>
      <c r="G1125" t="inlineStr">
        <is>
          <t>IDR bn</t>
        </is>
      </c>
      <c r="H1125" t="n">
        <v>19</v>
      </c>
      <c r="I1125" t="inlineStr">
        <is>
          <t>Beban Pokok Penjualan (582.895) (475.926) (398.813)</t>
        </is>
      </c>
      <c r="J1125" t="inlineStr">
        <is>
          <t>High</t>
        </is>
      </c>
      <c r="M1125" t="inlineStr">
        <is>
          <t>LLM</t>
        </is>
      </c>
      <c r="N1125" t="inlineStr">
        <is>
          <t>2026-04-18</t>
        </is>
      </c>
      <c r="O1125" t="inlineStr">
        <is>
          <t>AI</t>
        </is>
      </c>
    </row>
    <row r="1126">
      <c r="A1126" t="inlineStr">
        <is>
          <t>PT Cisadane Sawit Raya Tbk.</t>
        </is>
      </c>
      <c r="B1126" t="inlineStr">
        <is>
          <t>CSRA_2024_AR.pdf</t>
        </is>
      </c>
      <c r="C1126" t="n">
        <v>2024</v>
      </c>
      <c r="D1126" t="inlineStr">
        <is>
          <t>Financial</t>
        </is>
      </c>
      <c r="E1126" t="inlineStr">
        <is>
          <t>Gross profit 2024</t>
        </is>
      </c>
      <c r="F1126" t="n">
        <v>483.864</v>
      </c>
      <c r="G1126" t="inlineStr">
        <is>
          <t>IDR bn</t>
        </is>
      </c>
      <c r="H1126" t="n">
        <v>19</v>
      </c>
      <c r="I1126" t="inlineStr">
        <is>
          <t>Laba Bruto 483.864 399.586 571.759</t>
        </is>
      </c>
      <c r="J1126" t="inlineStr">
        <is>
          <t>High</t>
        </is>
      </c>
      <c r="M1126" t="inlineStr">
        <is>
          <t>LLM</t>
        </is>
      </c>
      <c r="N1126" t="inlineStr">
        <is>
          <t>2026-04-18</t>
        </is>
      </c>
      <c r="O1126" t="inlineStr">
        <is>
          <t>AI</t>
        </is>
      </c>
    </row>
    <row r="1127">
      <c r="A1127" t="inlineStr">
        <is>
          <t>PT Cisadane Sawit Raya Tbk.</t>
        </is>
      </c>
      <c r="B1127" t="inlineStr">
        <is>
          <t>CSRA_2024_AR.pdf</t>
        </is>
      </c>
      <c r="C1127" t="n">
        <v>2024</v>
      </c>
      <c r="D1127" t="inlineStr">
        <is>
          <t>Financial</t>
        </is>
      </c>
      <c r="E1127" t="inlineStr">
        <is>
          <t>Operating profit 2024</t>
        </is>
      </c>
      <c r="F1127" t="n">
        <v>263.628</v>
      </c>
      <c r="G1127" t="inlineStr">
        <is>
          <t>IDR bn</t>
        </is>
      </c>
      <c r="H1127" t="n">
        <v>19</v>
      </c>
      <c r="I1127" t="inlineStr">
        <is>
          <t>Laba Operasi 263.628 221.843 396.174</t>
        </is>
      </c>
      <c r="J1127" t="inlineStr">
        <is>
          <t>High</t>
        </is>
      </c>
      <c r="M1127" t="inlineStr">
        <is>
          <t>LLM</t>
        </is>
      </c>
      <c r="N1127" t="inlineStr">
        <is>
          <t>2026-04-18</t>
        </is>
      </c>
      <c r="O1127" t="inlineStr">
        <is>
          <t>AI</t>
        </is>
      </c>
    </row>
    <row r="1128">
      <c r="A1128" t="inlineStr">
        <is>
          <t>PT Cisadane Sawit Raya Tbk.</t>
        </is>
      </c>
      <c r="B1128" t="inlineStr">
        <is>
          <t>CSRA_2024_AR.pdf</t>
        </is>
      </c>
      <c r="C1128" t="n">
        <v>2024</v>
      </c>
      <c r="D1128" t="inlineStr">
        <is>
          <t>Financial</t>
        </is>
      </c>
      <c r="E1128" t="inlineStr">
        <is>
          <t>Profit before tax 2024</t>
        </is>
      </c>
      <c r="F1128" t="n">
        <v>289.686</v>
      </c>
      <c r="G1128" t="inlineStr">
        <is>
          <t>IDR bn</t>
        </is>
      </c>
      <c r="H1128" t="n">
        <v>19</v>
      </c>
      <c r="I1128" t="inlineStr">
        <is>
          <t>Laba Sebelum Pajak 289.686 198.575</t>
        </is>
      </c>
      <c r="J1128" t="inlineStr">
        <is>
          <t>High</t>
        </is>
      </c>
      <c r="M1128" t="inlineStr">
        <is>
          <t>LLM</t>
        </is>
      </c>
      <c r="N1128" t="inlineStr">
        <is>
          <t>2026-04-18</t>
        </is>
      </c>
      <c r="O1128" t="inlineStr">
        <is>
          <t>AI</t>
        </is>
      </c>
    </row>
    <row r="1129">
      <c r="A1129" t="inlineStr">
        <is>
          <t>PT Cisadane Sawit Raya Tbk.</t>
        </is>
      </c>
      <c r="B1129" t="inlineStr">
        <is>
          <t>CSRA_2024_AR.pdf</t>
        </is>
      </c>
      <c r="C1129" t="n">
        <v>2024</v>
      </c>
      <c r="D1129" t="inlineStr">
        <is>
          <t>Financial</t>
        </is>
      </c>
      <c r="E1129" t="inlineStr">
        <is>
          <t>Net profit 2024</t>
        </is>
      </c>
      <c r="F1129" t="n">
        <v>214.855</v>
      </c>
      <c r="G1129" t="inlineStr">
        <is>
          <t>IDR bn</t>
        </is>
      </c>
      <c r="H1129" t="n">
        <v>19</v>
      </c>
      <c r="I1129" t="inlineStr">
        <is>
          <t>Laba Tahun Berjalan 214.855 146.139 252.407</t>
        </is>
      </c>
      <c r="J1129" t="inlineStr">
        <is>
          <t>High</t>
        </is>
      </c>
      <c r="M1129" t="inlineStr">
        <is>
          <t>LLM</t>
        </is>
      </c>
      <c r="N1129" t="inlineStr">
        <is>
          <t>2026-04-18</t>
        </is>
      </c>
      <c r="O1129" t="inlineStr">
        <is>
          <t>AI</t>
        </is>
      </c>
    </row>
    <row r="1130">
      <c r="A1130" t="inlineStr">
        <is>
          <t>PT Cisadane Sawit Raya Tbk.</t>
        </is>
      </c>
      <c r="B1130" t="inlineStr">
        <is>
          <t>CSRA_2024_AR.pdf</t>
        </is>
      </c>
      <c r="C1130" t="n">
        <v>2024</v>
      </c>
      <c r="D1130" t="inlineStr">
        <is>
          <t>Financial</t>
        </is>
      </c>
      <c r="E1130" t="inlineStr">
        <is>
          <t>EBITDA 2024</t>
        </is>
      </c>
      <c r="F1130" t="n">
        <v>441.979</v>
      </c>
      <c r="G1130" t="inlineStr">
        <is>
          <t>IDR bn</t>
        </is>
      </c>
      <c r="H1130" t="n">
        <v>19</v>
      </c>
      <c r="I1130" t="inlineStr">
        <is>
          <t>EBITDA 441.979 317.261 449.517</t>
        </is>
      </c>
      <c r="J1130" t="inlineStr">
        <is>
          <t>High</t>
        </is>
      </c>
      <c r="M1130" t="inlineStr">
        <is>
          <t>LLM</t>
        </is>
      </c>
      <c r="N1130" t="inlineStr">
        <is>
          <t>2026-04-18</t>
        </is>
      </c>
      <c r="O1130" t="inlineStr">
        <is>
          <t>AI</t>
        </is>
      </c>
    </row>
    <row r="1131">
      <c r="A1131" t="inlineStr">
        <is>
          <t>PT Cisadane Sawit Raya Tbk.</t>
        </is>
      </c>
      <c r="B1131" t="inlineStr">
        <is>
          <t>CSRA_2024_AR.pdf</t>
        </is>
      </c>
      <c r="C1131" t="n">
        <v>2024</v>
      </c>
      <c r="D1131" t="inlineStr">
        <is>
          <t>Financial</t>
        </is>
      </c>
      <c r="E1131" t="inlineStr">
        <is>
          <t>EPS 2024</t>
        </is>
      </c>
      <c r="F1131" t="n">
        <v>105</v>
      </c>
      <c r="G1131" t="inlineStr">
        <is>
          <t>IDR/share</t>
        </is>
      </c>
      <c r="H1131" t="n">
        <v>19</v>
      </c>
      <c r="I1131" t="inlineStr">
        <is>
          <t>Laba per Saham Dasar (dalam Rp) 105 71 123 127 35</t>
        </is>
      </c>
      <c r="J1131" t="inlineStr">
        <is>
          <t>High</t>
        </is>
      </c>
      <c r="M1131" t="inlineStr">
        <is>
          <t>LLM</t>
        </is>
      </c>
      <c r="N1131" t="inlineStr">
        <is>
          <t>2026-04-18</t>
        </is>
      </c>
      <c r="O1131" t="inlineStr">
        <is>
          <t>AI</t>
        </is>
      </c>
    </row>
    <row r="1132">
      <c r="A1132" t="inlineStr">
        <is>
          <t>PT Cisadane Sawit Raya Tbk.</t>
        </is>
      </c>
      <c r="B1132" t="inlineStr">
        <is>
          <t>CSRA_2024_AR.pdf</t>
        </is>
      </c>
      <c r="C1132" t="n">
        <v>2024</v>
      </c>
      <c r="D1132" t="inlineStr">
        <is>
          <t>Financial</t>
        </is>
      </c>
      <c r="E1132" t="inlineStr">
        <is>
          <t>Total assets 2024</t>
        </is>
      </c>
      <c r="F1132" t="n">
        <v>2251.265</v>
      </c>
      <c r="G1132" t="inlineStr">
        <is>
          <t>IDR bn</t>
        </is>
      </c>
      <c r="H1132" t="n">
        <v>19</v>
      </c>
      <c r="I1132" t="inlineStr">
        <is>
          <t>Jumlah Aset 2.251.265 1.842.858 1.835.254</t>
        </is>
      </c>
      <c r="J1132" t="inlineStr">
        <is>
          <t>High</t>
        </is>
      </c>
      <c r="M1132" t="inlineStr">
        <is>
          <t>LLM</t>
        </is>
      </c>
      <c r="N1132" t="inlineStr">
        <is>
          <t>2026-04-18</t>
        </is>
      </c>
      <c r="O1132" t="inlineStr">
        <is>
          <t>AI</t>
        </is>
      </c>
    </row>
    <row r="1133">
      <c r="A1133" t="inlineStr">
        <is>
          <t>PT Cisadane Sawit Raya Tbk.</t>
        </is>
      </c>
      <c r="B1133" t="inlineStr">
        <is>
          <t>CSRA_2024_AR.pdf</t>
        </is>
      </c>
      <c r="C1133" t="n">
        <v>2024</v>
      </c>
      <c r="D1133" t="inlineStr">
        <is>
          <t>Financial</t>
        </is>
      </c>
      <c r="E1133" t="inlineStr">
        <is>
          <t>Current assets 2024</t>
        </is>
      </c>
      <c r="F1133" t="n">
        <v>463.276</v>
      </c>
      <c r="G1133" t="inlineStr">
        <is>
          <t>IDR bn</t>
        </is>
      </c>
      <c r="H1133" t="n">
        <v>19</v>
      </c>
      <c r="I1133" t="inlineStr">
        <is>
          <t>Aset lancar 463.276 323.758 502.528</t>
        </is>
      </c>
      <c r="J1133" t="inlineStr">
        <is>
          <t>High</t>
        </is>
      </c>
      <c r="M1133" t="inlineStr">
        <is>
          <t>LLM</t>
        </is>
      </c>
      <c r="N1133" t="inlineStr">
        <is>
          <t>2026-04-18</t>
        </is>
      </c>
      <c r="O1133" t="inlineStr">
        <is>
          <t>AI</t>
        </is>
      </c>
    </row>
    <row r="1134">
      <c r="A1134" t="inlineStr">
        <is>
          <t>PT Cisadane Sawit Raya Tbk.</t>
        </is>
      </c>
      <c r="B1134" t="inlineStr">
        <is>
          <t>CSRA_2024_AR.pdf</t>
        </is>
      </c>
      <c r="C1134" t="n">
        <v>2024</v>
      </c>
      <c r="D1134" t="inlineStr">
        <is>
          <t>Financial</t>
        </is>
      </c>
      <c r="E1134" t="inlineStr">
        <is>
          <t>Non-current assets 2024</t>
        </is>
      </c>
      <c r="F1134" t="n">
        <v>1787.989</v>
      </c>
      <c r="G1134" t="inlineStr">
        <is>
          <t>IDR bn</t>
        </is>
      </c>
      <c r="H1134" t="n">
        <v>19</v>
      </c>
      <c r="I1134" t="inlineStr">
        <is>
          <t>Aset Tidak Lancar 1.787.989 1.519.099 1.332.726</t>
        </is>
      </c>
      <c r="J1134" t="inlineStr">
        <is>
          <t>High</t>
        </is>
      </c>
      <c r="M1134" t="inlineStr">
        <is>
          <t>LLM</t>
        </is>
      </c>
      <c r="N1134" t="inlineStr">
        <is>
          <t>2026-04-18</t>
        </is>
      </c>
      <c r="O1134" t="inlineStr">
        <is>
          <t>AI</t>
        </is>
      </c>
    </row>
    <row r="1135">
      <c r="A1135" t="inlineStr">
        <is>
          <t>PT Cisadane Sawit Raya Tbk.</t>
        </is>
      </c>
      <c r="B1135" t="inlineStr">
        <is>
          <t>CSRA_2024_AR.pdf</t>
        </is>
      </c>
      <c r="C1135" t="n">
        <v>2024</v>
      </c>
      <c r="D1135" t="inlineStr">
        <is>
          <t>Financial</t>
        </is>
      </c>
      <c r="E1135" t="inlineStr">
        <is>
          <t>Total liabilities 2024</t>
        </is>
      </c>
      <c r="F1135" t="n">
        <v>952.7190000000001</v>
      </c>
      <c r="G1135" t="inlineStr">
        <is>
          <t>IDR bn</t>
        </is>
      </c>
      <c r="H1135" t="n">
        <v>19</v>
      </c>
      <c r="I1135" t="inlineStr">
        <is>
          <t>Jumlah Liabilitas 952.719 727.686 872.142</t>
        </is>
      </c>
      <c r="J1135" t="inlineStr">
        <is>
          <t>High</t>
        </is>
      </c>
      <c r="M1135" t="inlineStr">
        <is>
          <t>LLM</t>
        </is>
      </c>
      <c r="N1135" t="inlineStr">
        <is>
          <t>2026-04-18</t>
        </is>
      </c>
      <c r="O1135" t="inlineStr">
        <is>
          <t>AI</t>
        </is>
      </c>
    </row>
    <row r="1136">
      <c r="A1136" t="inlineStr">
        <is>
          <t>PT Cisadane Sawit Raya Tbk.</t>
        </is>
      </c>
      <c r="B1136" t="inlineStr">
        <is>
          <t>CSRA_2024_AR.pdf</t>
        </is>
      </c>
      <c r="C1136" t="n">
        <v>2024</v>
      </c>
      <c r="D1136" t="inlineStr">
        <is>
          <t>Financial</t>
        </is>
      </c>
      <c r="E1136" t="inlineStr">
        <is>
          <t>Current liabilities</t>
        </is>
      </c>
      <c r="F1136" t="n">
        <v>250.757</v>
      </c>
      <c r="G1136" t="inlineStr">
        <is>
          <t>IDR bn</t>
        </is>
      </c>
      <c r="H1136" t="n">
        <v>19</v>
      </c>
      <c r="I1136" t="inlineStr">
        <is>
          <t>Liabilitas Jangka Pendek 250.757 187.487 251.247</t>
        </is>
      </c>
      <c r="J1136" t="inlineStr">
        <is>
          <t>High</t>
        </is>
      </c>
      <c r="M1136" t="inlineStr">
        <is>
          <t>LLM</t>
        </is>
      </c>
      <c r="N1136" t="inlineStr">
        <is>
          <t>2026-04-18</t>
        </is>
      </c>
      <c r="O1136" t="inlineStr">
        <is>
          <t>AI</t>
        </is>
      </c>
    </row>
    <row r="1137">
      <c r="A1137" t="inlineStr">
        <is>
          <t>PT Cisadane Sawit Raya Tbk.</t>
        </is>
      </c>
      <c r="B1137" t="inlineStr">
        <is>
          <t>CSRA_2024_AR.pdf</t>
        </is>
      </c>
      <c r="C1137" t="n">
        <v>2024</v>
      </c>
      <c r="D1137" t="inlineStr">
        <is>
          <t>Financial</t>
        </is>
      </c>
      <c r="E1137" t="inlineStr">
        <is>
          <t>Long-term liabilities</t>
        </is>
      </c>
      <c r="F1137" t="n">
        <v>701.962</v>
      </c>
      <c r="G1137" t="inlineStr">
        <is>
          <t>IDR bn</t>
        </is>
      </c>
      <c r="H1137" t="n">
        <v>19</v>
      </c>
      <c r="I1137" t="inlineStr">
        <is>
          <t>Liabilitas Jangka Panjang 701.962 540.199 620.895</t>
        </is>
      </c>
      <c r="J1137" t="inlineStr">
        <is>
          <t>High</t>
        </is>
      </c>
      <c r="M1137" t="inlineStr">
        <is>
          <t>LLM</t>
        </is>
      </c>
      <c r="N1137" t="inlineStr">
        <is>
          <t>2026-04-18</t>
        </is>
      </c>
      <c r="O1137" t="inlineStr">
        <is>
          <t>AI</t>
        </is>
      </c>
    </row>
    <row r="1138">
      <c r="A1138" t="inlineStr">
        <is>
          <t>PT Cisadane Sawit Raya Tbk.</t>
        </is>
      </c>
      <c r="B1138" t="inlineStr">
        <is>
          <t>CSRA_2024_AR.pdf</t>
        </is>
      </c>
      <c r="C1138" t="n">
        <v>2024</v>
      </c>
      <c r="D1138" t="inlineStr">
        <is>
          <t>Financial</t>
        </is>
      </c>
      <c r="E1138" t="inlineStr">
        <is>
          <t>Total equity 2024</t>
        </is>
      </c>
      <c r="F1138" t="n">
        <v>1298.545</v>
      </c>
      <c r="G1138" t="inlineStr">
        <is>
          <t>IDR bn</t>
        </is>
      </c>
      <c r="H1138" t="n">
        <v>19</v>
      </c>
      <c r="I1138" t="inlineStr">
        <is>
          <t>Jumlah Ekuitas 1.298.545 1.115.172 963.112</t>
        </is>
      </c>
      <c r="J1138" t="inlineStr">
        <is>
          <t>High</t>
        </is>
      </c>
      <c r="M1138" t="inlineStr">
        <is>
          <t>LLM</t>
        </is>
      </c>
      <c r="N1138" t="inlineStr">
        <is>
          <t>2026-04-18</t>
        </is>
      </c>
      <c r="O1138" t="inlineStr">
        <is>
          <t>AI</t>
        </is>
      </c>
    </row>
    <row r="1139">
      <c r="A1139" t="inlineStr">
        <is>
          <t>PT Cisadane Sawit Raya Tbk.</t>
        </is>
      </c>
      <c r="B1139" t="inlineStr">
        <is>
          <t>CSRA_2024_AR.pdf</t>
        </is>
      </c>
      <c r="C1139" t="n">
        <v>2024</v>
      </c>
      <c r="D1139" t="inlineStr">
        <is>
          <t>Financial</t>
        </is>
      </c>
      <c r="E1139" t="inlineStr">
        <is>
          <t>Cash 2024</t>
        </is>
      </c>
      <c r="F1139" t="n">
        <v>133.268</v>
      </c>
      <c r="G1139" t="inlineStr">
        <is>
          <t>IDR bn</t>
        </is>
      </c>
      <c r="H1139" t="n">
        <v>19</v>
      </c>
      <c r="I1139" t="inlineStr">
        <is>
          <t>Saldo Kas dan Setara Kas Akhir Tahun 133.268 25.365 263.734</t>
        </is>
      </c>
      <c r="J1139" t="inlineStr">
        <is>
          <t>High</t>
        </is>
      </c>
      <c r="M1139" t="inlineStr">
        <is>
          <t>LLM</t>
        </is>
      </c>
      <c r="N1139" t="inlineStr">
        <is>
          <t>2026-04-18</t>
        </is>
      </c>
      <c r="O1139" t="inlineStr">
        <is>
          <t>AI</t>
        </is>
      </c>
    </row>
    <row r="1140">
      <c r="A1140" t="inlineStr">
        <is>
          <t>PT Cisadane Sawit Raya Tbk.</t>
        </is>
      </c>
      <c r="B1140" t="inlineStr">
        <is>
          <t>CSRA_2024_AR.pdf</t>
        </is>
      </c>
      <c r="C1140" t="n">
        <v>2024</v>
      </c>
      <c r="D1140" t="inlineStr">
        <is>
          <t>Financial</t>
        </is>
      </c>
      <c r="E1140" t="inlineStr">
        <is>
          <t>Total borrowings</t>
        </is>
      </c>
      <c r="F1140" t="n">
        <v>693.577</v>
      </c>
      <c r="G1140" t="inlineStr">
        <is>
          <t>IDR bn</t>
        </is>
      </c>
      <c r="H1140" t="n">
        <v>119</v>
      </c>
      <c r="I1140" t="inlineStr">
        <is>
          <t>Jumlah Pinjaman 693.576.923.459 509.346.154.937</t>
        </is>
      </c>
      <c r="J1140" t="inlineStr">
        <is>
          <t>High</t>
        </is>
      </c>
      <c r="M1140" t="inlineStr">
        <is>
          <t>LLM</t>
        </is>
      </c>
      <c r="N1140" t="inlineStr">
        <is>
          <t>2026-04-18</t>
        </is>
      </c>
      <c r="O1140" t="inlineStr">
        <is>
          <t>AI</t>
        </is>
      </c>
    </row>
    <row r="1141">
      <c r="A1141" t="inlineStr">
        <is>
          <t>PT Cisadane Sawit Raya Tbk.</t>
        </is>
      </c>
      <c r="B1141" t="inlineStr">
        <is>
          <t>CSRA_2024_AR.pdf</t>
        </is>
      </c>
      <c r="C1141" t="n">
        <v>2024</v>
      </c>
      <c r="D1141" t="inlineStr">
        <is>
          <t>Financial</t>
        </is>
      </c>
      <c r="E1141" t="inlineStr">
        <is>
          <t>Net debt</t>
        </is>
      </c>
      <c r="F1141" t="n">
        <v>560.309</v>
      </c>
      <c r="G1141" t="inlineStr">
        <is>
          <t>IDR bn</t>
        </is>
      </c>
      <c r="H1141" t="n">
        <v>119</v>
      </c>
      <c r="I1141" t="inlineStr">
        <is>
          <t>Pinjaman Bersih 560.308.572.623 483.980.817.523</t>
        </is>
      </c>
      <c r="J1141" t="inlineStr">
        <is>
          <t>High</t>
        </is>
      </c>
      <c r="M1141" t="inlineStr">
        <is>
          <t>LLM</t>
        </is>
      </c>
      <c r="N1141" t="inlineStr">
        <is>
          <t>2026-04-18</t>
        </is>
      </c>
      <c r="O1141" t="inlineStr">
        <is>
          <t>AI</t>
        </is>
      </c>
    </row>
    <row r="1142">
      <c r="A1142" t="inlineStr">
        <is>
          <t>PT Cisadane Sawit Raya Tbk.</t>
        </is>
      </c>
      <c r="B1142" t="inlineStr">
        <is>
          <t>CSRA_2024_AR.pdf</t>
        </is>
      </c>
      <c r="C1142" t="n">
        <v>2024</v>
      </c>
      <c r="D1142" t="inlineStr">
        <is>
          <t>Financial</t>
        </is>
      </c>
      <c r="E1142" t="inlineStr">
        <is>
          <t>Gearing ratio 2024</t>
        </is>
      </c>
      <c r="F1142" t="n">
        <v>0.4315</v>
      </c>
      <c r="G1142" t="inlineStr">
        <is>
          <t>ratio</t>
        </is>
      </c>
      <c r="H1142" t="n">
        <v>119</v>
      </c>
      <c r="I1142" t="inlineStr">
        <is>
          <t>Rasio Gearing 43,15% 43,40%</t>
        </is>
      </c>
      <c r="J1142" t="inlineStr">
        <is>
          <t>High</t>
        </is>
      </c>
      <c r="M1142" t="inlineStr">
        <is>
          <t>LLM</t>
        </is>
      </c>
      <c r="N1142" t="inlineStr">
        <is>
          <t>2026-04-18</t>
        </is>
      </c>
      <c r="O1142" t="inlineStr">
        <is>
          <t>AI</t>
        </is>
      </c>
    </row>
    <row r="1143">
      <c r="A1143" t="inlineStr">
        <is>
          <t>PT Cisadane Sawit Raya Tbk.</t>
        </is>
      </c>
      <c r="B1143" t="inlineStr">
        <is>
          <t>CSRA_2024_AR.pdf</t>
        </is>
      </c>
      <c r="C1143" t="n">
        <v>2024</v>
      </c>
      <c r="D1143" t="inlineStr">
        <is>
          <t>Financial</t>
        </is>
      </c>
      <c r="E1143" t="inlineStr">
        <is>
          <t>CFO 2024</t>
        </is>
      </c>
      <c r="F1143" t="n">
        <v>332.808</v>
      </c>
      <c r="G1143" t="inlineStr">
        <is>
          <t>IDR bn</t>
        </is>
      </c>
      <c r="H1143" t="n">
        <v>19</v>
      </c>
      <c r="I1143" t="inlineStr">
        <is>
          <t>Arus Kas dari Aktivitas Operasi 332.808 192.491 401.336</t>
        </is>
      </c>
      <c r="J1143" t="inlineStr">
        <is>
          <t>High</t>
        </is>
      </c>
      <c r="M1143" t="inlineStr">
        <is>
          <t>LLM</t>
        </is>
      </c>
      <c r="N1143" t="inlineStr">
        <is>
          <t>2026-04-18</t>
        </is>
      </c>
      <c r="O1143" t="inlineStr">
        <is>
          <t>AI</t>
        </is>
      </c>
    </row>
    <row r="1144">
      <c r="A1144" t="inlineStr">
        <is>
          <t>PT Cisadane Sawit Raya Tbk.</t>
        </is>
      </c>
      <c r="B1144" t="inlineStr">
        <is>
          <t>CSRA_2024_AR.pdf</t>
        </is>
      </c>
      <c r="C1144" t="n">
        <v>2024</v>
      </c>
      <c r="D1144" t="inlineStr">
        <is>
          <t>Financial</t>
        </is>
      </c>
      <c r="E1144" t="inlineStr">
        <is>
          <t>CFI 2024</t>
        </is>
      </c>
      <c r="F1144" t="n">
        <v>-306.086</v>
      </c>
      <c r="G1144" t="inlineStr">
        <is>
          <t>IDR bn</t>
        </is>
      </c>
      <c r="H1144" t="n">
        <v>19</v>
      </c>
      <c r="I1144" t="inlineStr">
        <is>
          <t>Arus Kas dari Aktivitas Investasi (306.086) (251.705) (238.442)</t>
        </is>
      </c>
      <c r="J1144" t="inlineStr">
        <is>
          <t>High</t>
        </is>
      </c>
      <c r="M1144" t="inlineStr">
        <is>
          <t>LLM</t>
        </is>
      </c>
      <c r="N1144" t="inlineStr">
        <is>
          <t>2026-04-18</t>
        </is>
      </c>
      <c r="O1144" t="inlineStr">
        <is>
          <t>AI</t>
        </is>
      </c>
    </row>
    <row r="1145">
      <c r="A1145" t="inlineStr">
        <is>
          <t>PT Cisadane Sawit Raya Tbk.</t>
        </is>
      </c>
      <c r="B1145" t="inlineStr">
        <is>
          <t>CSRA_2024_AR.pdf</t>
        </is>
      </c>
      <c r="C1145" t="n">
        <v>2024</v>
      </c>
      <c r="D1145" t="inlineStr">
        <is>
          <t>Financial</t>
        </is>
      </c>
      <c r="E1145" t="inlineStr">
        <is>
          <t>CFF 2024</t>
        </is>
      </c>
      <c r="F1145" t="n">
        <v>81.181</v>
      </c>
      <c r="G1145" t="inlineStr">
        <is>
          <t>IDR bn</t>
        </is>
      </c>
      <c r="H1145" t="n">
        <v>19</v>
      </c>
      <c r="I1145" t="inlineStr">
        <is>
          <t>Arus Kas dari Aktivitas Pendanaan 81.181 (179.155) (264.661)</t>
        </is>
      </c>
      <c r="J1145" t="inlineStr">
        <is>
          <t>High</t>
        </is>
      </c>
      <c r="M1145" t="inlineStr">
        <is>
          <t>LLM</t>
        </is>
      </c>
      <c r="N1145" t="inlineStr">
        <is>
          <t>2026-04-18</t>
        </is>
      </c>
      <c r="O1145" t="inlineStr">
        <is>
          <t>AI</t>
        </is>
      </c>
    </row>
    <row r="1146">
      <c r="A1146" t="inlineStr">
        <is>
          <t>PT Cisadane Sawit Raya Tbk.</t>
        </is>
      </c>
      <c r="B1146" t="inlineStr">
        <is>
          <t>CSRA_2024_AR.pdf</t>
        </is>
      </c>
      <c r="C1146" t="n">
        <v>2024</v>
      </c>
      <c r="D1146" t="inlineStr">
        <is>
          <t>Financial</t>
        </is>
      </c>
      <c r="E1146" t="inlineStr">
        <is>
          <t>Capex 2024 (acquisition of fixed assets)</t>
        </is>
      </c>
      <c r="F1146" t="n">
        <v>227.648</v>
      </c>
      <c r="G1146" t="inlineStr">
        <is>
          <t>IDR bn</t>
        </is>
      </c>
      <c r="H1146" t="n">
        <v>118</v>
      </c>
      <c r="I1146" t="inlineStr">
        <is>
          <t>Perolehan Aset Tetap 227.648.478.689 136.372.002.283</t>
        </is>
      </c>
      <c r="J1146" t="inlineStr">
        <is>
          <t>High</t>
        </is>
      </c>
      <c r="M1146" t="inlineStr">
        <is>
          <t>LLM</t>
        </is>
      </c>
      <c r="N1146" t="inlineStr">
        <is>
          <t>2026-04-18</t>
        </is>
      </c>
      <c r="O1146" t="inlineStr">
        <is>
          <t>AI</t>
        </is>
      </c>
    </row>
    <row r="1147">
      <c r="A1147" t="inlineStr">
        <is>
          <t>PT Cisadane Sawit Raya Tbk.</t>
        </is>
      </c>
      <c r="B1147" t="inlineStr">
        <is>
          <t>CSRA_2024_AR.pdf</t>
        </is>
      </c>
      <c r="C1147" t="n">
        <v>2024</v>
      </c>
      <c r="D1147" t="inlineStr">
        <is>
          <t>Financial</t>
        </is>
      </c>
      <c r="E1147" t="inlineStr">
        <is>
          <t>Cash dividend paid 2024</t>
        </is>
      </c>
      <c r="F1147" t="n">
        <v>29.992</v>
      </c>
      <c r="G1147" t="inlineStr">
        <is>
          <t>IDR bn</t>
        </is>
      </c>
      <c r="H1147" t="n">
        <v>122</v>
      </c>
      <c r="I1147" t="inlineStr">
        <is>
          <t>pembagian dividen tunai sebesar Rp 30.000.000.000 atau Rp 14,63 per saham yang telah dibagikan sebesar Rp 29.991.500.000 pada tanggal 28 Juni 2024</t>
        </is>
      </c>
      <c r="J1147" t="inlineStr">
        <is>
          <t>High</t>
        </is>
      </c>
      <c r="M1147" t="inlineStr">
        <is>
          <t>LLM</t>
        </is>
      </c>
      <c r="N1147" t="inlineStr">
        <is>
          <t>2026-04-18</t>
        </is>
      </c>
      <c r="O1147" t="inlineStr">
        <is>
          <t>AI</t>
        </is>
      </c>
    </row>
    <row r="1148">
      <c r="A1148" t="inlineStr">
        <is>
          <t>PT Cisadane Sawit Raya Tbk.</t>
        </is>
      </c>
      <c r="B1148" t="inlineStr">
        <is>
          <t>CSRA_2024_AR.pdf</t>
        </is>
      </c>
      <c r="C1148" t="n">
        <v>2024</v>
      </c>
      <c r="D1148" t="inlineStr">
        <is>
          <t>Financial</t>
        </is>
      </c>
      <c r="E1148" t="inlineStr">
        <is>
          <t>DPS FY2023 (paid 2024)</t>
        </is>
      </c>
      <c r="F1148" t="n">
        <v>14.63</v>
      </c>
      <c r="G1148" t="inlineStr">
        <is>
          <t>IDR/share</t>
        </is>
      </c>
      <c r="H1148" t="n">
        <v>122</v>
      </c>
      <c r="I1148" t="inlineStr">
        <is>
          <t>pembagian dividen tunai sebesar Rp 30.000.000.000 atau Rp 14,63 per saham</t>
        </is>
      </c>
      <c r="J1148" t="inlineStr">
        <is>
          <t>High</t>
        </is>
      </c>
      <c r="M1148" t="inlineStr">
        <is>
          <t>LLM</t>
        </is>
      </c>
      <c r="N1148" t="inlineStr">
        <is>
          <t>2026-04-18</t>
        </is>
      </c>
      <c r="O1148" t="inlineStr">
        <is>
          <t>AI</t>
        </is>
      </c>
    </row>
    <row r="1149">
      <c r="A1149" t="inlineStr">
        <is>
          <t>PT Cisadane Sawit Raya Tbk.</t>
        </is>
      </c>
      <c r="B1149" t="inlineStr">
        <is>
          <t>CSRA_2024_AR.pdf</t>
        </is>
      </c>
      <c r="C1149" t="n">
        <v>2024</v>
      </c>
      <c r="D1149" t="inlineStr">
        <is>
          <t>Financial</t>
        </is>
      </c>
      <c r="E1149" t="inlineStr">
        <is>
          <t>Closing price Q4 2024</t>
        </is>
      </c>
      <c r="F1149" t="n">
        <v>725</v>
      </c>
      <c r="G1149" t="inlineStr">
        <is>
          <t>IDR/share</t>
        </is>
      </c>
      <c r="H1149" t="n">
        <v>22</v>
      </c>
      <c r="I1149" t="inlineStr">
        <is>
          <t>Penutupan (Rp) 444 575 620 725 Closing (Rp)</t>
        </is>
      </c>
      <c r="J1149" t="inlineStr">
        <is>
          <t>High</t>
        </is>
      </c>
      <c r="M1149" t="inlineStr">
        <is>
          <t>LLM</t>
        </is>
      </c>
      <c r="N1149" t="inlineStr">
        <is>
          <t>2026-04-18</t>
        </is>
      </c>
      <c r="O1149" t="inlineStr">
        <is>
          <t>AI</t>
        </is>
      </c>
    </row>
    <row r="1150">
      <c r="A1150" t="inlineStr">
        <is>
          <t>PT Cisadane Sawit Raya Tbk.</t>
        </is>
      </c>
      <c r="B1150" t="inlineStr">
        <is>
          <t>CSRA_2024_AR.pdf</t>
        </is>
      </c>
      <c r="C1150" t="n">
        <v>2024</v>
      </c>
      <c r="D1150" t="inlineStr">
        <is>
          <t>Asset</t>
        </is>
      </c>
      <c r="E1150" t="inlineStr">
        <is>
          <t>Planted area nucleus</t>
        </is>
      </c>
      <c r="F1150" t="n">
        <v>20067.6</v>
      </c>
      <c r="G1150" t="inlineStr">
        <is>
          <t>hectares</t>
        </is>
      </c>
      <c r="H1150" t="n">
        <v>18</v>
      </c>
      <c r="I1150" t="inlineStr">
        <is>
          <t>LAHAN TERTANAM – INTI (Ha) 20.067,6 19.552,0 19.333,9</t>
        </is>
      </c>
      <c r="J1150" t="inlineStr">
        <is>
          <t>High</t>
        </is>
      </c>
      <c r="M1150" t="inlineStr">
        <is>
          <t>LLM</t>
        </is>
      </c>
      <c r="N1150" t="inlineStr">
        <is>
          <t>2026-04-18</t>
        </is>
      </c>
      <c r="O1150" t="inlineStr">
        <is>
          <t>AI</t>
        </is>
      </c>
    </row>
    <row r="1151">
      <c r="A1151" t="inlineStr">
        <is>
          <t>PT Cisadane Sawit Raya Tbk.</t>
        </is>
      </c>
      <c r="B1151" t="inlineStr">
        <is>
          <t>CSRA_2024_AR.pdf</t>
        </is>
      </c>
      <c r="C1151" t="n">
        <v>2024</v>
      </c>
      <c r="D1151" t="inlineStr">
        <is>
          <t>Asset</t>
        </is>
      </c>
      <c r="E1151" t="inlineStr">
        <is>
          <t>Mature area</t>
        </is>
      </c>
      <c r="F1151" t="n">
        <v>17430.9</v>
      </c>
      <c r="G1151" t="inlineStr">
        <is>
          <t>hectares</t>
        </is>
      </c>
      <c r="H1151" t="n">
        <v>18</v>
      </c>
      <c r="I1151" t="inlineStr">
        <is>
          <t>Menghasilkan 17.430,9 17.258,3 16.147,1</t>
        </is>
      </c>
      <c r="J1151" t="inlineStr">
        <is>
          <t>High</t>
        </is>
      </c>
      <c r="M1151" t="inlineStr">
        <is>
          <t>LLM</t>
        </is>
      </c>
      <c r="N1151" t="inlineStr">
        <is>
          <t>2026-04-18</t>
        </is>
      </c>
      <c r="O1151" t="inlineStr">
        <is>
          <t>AI</t>
        </is>
      </c>
    </row>
    <row r="1152">
      <c r="A1152" t="inlineStr">
        <is>
          <t>PT Cisadane Sawit Raya Tbk.</t>
        </is>
      </c>
      <c r="B1152" t="inlineStr">
        <is>
          <t>CSRA_2024_AR.pdf</t>
        </is>
      </c>
      <c r="C1152" t="n">
        <v>2024</v>
      </c>
      <c r="D1152" t="inlineStr">
        <is>
          <t>Asset</t>
        </is>
      </c>
      <c r="E1152" t="inlineStr">
        <is>
          <t>Immature area</t>
        </is>
      </c>
      <c r="F1152" t="n">
        <v>2636.7</v>
      </c>
      <c r="G1152" t="inlineStr">
        <is>
          <t>hectares</t>
        </is>
      </c>
      <c r="H1152" t="n">
        <v>18</v>
      </c>
      <c r="I1152" t="inlineStr">
        <is>
          <t>Belum Menghasilkan 2.636,7 2.293,7 3.186,8</t>
        </is>
      </c>
      <c r="J1152" t="inlineStr">
        <is>
          <t>High</t>
        </is>
      </c>
      <c r="M1152" t="inlineStr">
        <is>
          <t>LLM</t>
        </is>
      </c>
      <c r="N1152" t="inlineStr">
        <is>
          <t>2026-04-18</t>
        </is>
      </c>
      <c r="O1152" t="inlineStr">
        <is>
          <t>AI</t>
        </is>
      </c>
    </row>
    <row r="1153">
      <c r="A1153" t="inlineStr">
        <is>
          <t>PT Cisadane Sawit Raya Tbk.</t>
        </is>
      </c>
      <c r="B1153" t="inlineStr">
        <is>
          <t>CSRA_2024_AR.pdf</t>
        </is>
      </c>
      <c r="C1153" t="n">
        <v>2024</v>
      </c>
      <c r="D1153" t="inlineStr">
        <is>
          <t>Asset</t>
        </is>
      </c>
      <c r="E1153" t="inlineStr">
        <is>
          <t>Mills operating</t>
        </is>
      </c>
      <c r="F1153" t="n">
        <v>2</v>
      </c>
      <c r="G1153" t="inlineStr">
        <is>
          <t>count</t>
        </is>
      </c>
      <c r="I1153" t="inlineStr">
        <is>
          <t>PKS dengan kapasitas produksi masing-masing 45 ton per jam</t>
        </is>
      </c>
      <c r="J1153" t="inlineStr">
        <is>
          <t>High</t>
        </is>
      </c>
      <c r="M1153" t="inlineStr">
        <is>
          <t>LLM</t>
        </is>
      </c>
      <c r="N1153" t="inlineStr">
        <is>
          <t>2026-04-18</t>
        </is>
      </c>
      <c r="O1153" t="inlineStr">
        <is>
          <t>AI</t>
        </is>
      </c>
    </row>
    <row r="1154">
      <c r="A1154" t="inlineStr">
        <is>
          <t>PT Cisadane Sawit Raya Tbk.</t>
        </is>
      </c>
      <c r="B1154" t="inlineStr">
        <is>
          <t>CSRA_2024_AR.pdf</t>
        </is>
      </c>
      <c r="C1154" t="n">
        <v>2024</v>
      </c>
      <c r="D1154" t="inlineStr">
        <is>
          <t>Asset</t>
        </is>
      </c>
      <c r="E1154" t="inlineStr">
        <is>
          <t>Total mill capacity</t>
        </is>
      </c>
      <c r="F1154" t="n">
        <v>90</v>
      </c>
      <c r="G1154" t="inlineStr">
        <is>
          <t>tons/hour</t>
        </is>
      </c>
      <c r="I1154" t="inlineStr">
        <is>
          <t>PKS kedua di Tapanuli Selatan dengan kapasitas produksi yang sama (45 tph each, total 90 tph)</t>
        </is>
      </c>
      <c r="J1154" t="inlineStr">
        <is>
          <t>High</t>
        </is>
      </c>
      <c r="M1154" t="inlineStr">
        <is>
          <t>LLM</t>
        </is>
      </c>
      <c r="N1154" t="inlineStr">
        <is>
          <t>2026-04-18</t>
        </is>
      </c>
      <c r="O1154" t="inlineStr">
        <is>
          <t>AI</t>
        </is>
      </c>
    </row>
    <row r="1155">
      <c r="A1155" t="inlineStr">
        <is>
          <t>PT Cisadane Sawit Raya Tbk.</t>
        </is>
      </c>
      <c r="B1155" t="inlineStr">
        <is>
          <t>CSRA_2024_AR.pdf</t>
        </is>
      </c>
      <c r="C1155" t="n">
        <v>2024</v>
      </c>
      <c r="D1155" t="inlineStr">
        <is>
          <t>Operation</t>
        </is>
      </c>
      <c r="E1155" t="inlineStr">
        <is>
          <t>FFB production 2024</t>
        </is>
      </c>
      <c r="F1155" t="n">
        <v>319085</v>
      </c>
      <c r="G1155" t="inlineStr">
        <is>
          <t>MT</t>
        </is>
      </c>
      <c r="H1155" t="n">
        <v>18</v>
      </c>
      <c r="I1155" t="inlineStr">
        <is>
          <t>Total produksi TBS (ton) 319.085 337.367 342.464 319.071</t>
        </is>
      </c>
      <c r="J1155" t="inlineStr">
        <is>
          <t>High</t>
        </is>
      </c>
      <c r="M1155" t="inlineStr">
        <is>
          <t>LLM</t>
        </is>
      </c>
      <c r="N1155" t="inlineStr">
        <is>
          <t>2026-04-18</t>
        </is>
      </c>
      <c r="O1155" t="inlineStr">
        <is>
          <t>AI</t>
        </is>
      </c>
    </row>
    <row r="1156">
      <c r="A1156" t="inlineStr">
        <is>
          <t>PT Cisadane Sawit Raya Tbk.</t>
        </is>
      </c>
      <c r="B1156" t="inlineStr">
        <is>
          <t>CSRA_2024_AR.pdf</t>
        </is>
      </c>
      <c r="C1156" t="n">
        <v>2024</v>
      </c>
      <c r="D1156" t="inlineStr">
        <is>
          <t>Operation</t>
        </is>
      </c>
      <c r="E1156" t="inlineStr">
        <is>
          <t>Third-party FFB purchased</t>
        </is>
      </c>
      <c r="F1156" t="n">
        <v>33723</v>
      </c>
      <c r="G1156" t="inlineStr">
        <is>
          <t>MT</t>
        </is>
      </c>
      <c r="H1156" t="n">
        <v>18</v>
      </c>
      <c r="I1156" t="inlineStr">
        <is>
          <t>Total TBS dibeli dari pihak ketiga (ton) 33.723 26.402 14.326</t>
        </is>
      </c>
      <c r="J1156" t="inlineStr">
        <is>
          <t>High</t>
        </is>
      </c>
      <c r="M1156" t="inlineStr">
        <is>
          <t>LLM</t>
        </is>
      </c>
      <c r="N1156" t="inlineStr">
        <is>
          <t>2026-04-18</t>
        </is>
      </c>
      <c r="O1156" t="inlineStr">
        <is>
          <t>AI</t>
        </is>
      </c>
    </row>
    <row r="1157">
      <c r="A1157" t="inlineStr">
        <is>
          <t>PT Cisadane Sawit Raya Tbk.</t>
        </is>
      </c>
      <c r="B1157" t="inlineStr">
        <is>
          <t>CSRA_2024_AR.pdf</t>
        </is>
      </c>
      <c r="C1157" t="n">
        <v>2024</v>
      </c>
      <c r="D1157" t="inlineStr">
        <is>
          <t>Operation</t>
        </is>
      </c>
      <c r="E1157" t="inlineStr">
        <is>
          <t>FFB processed</t>
        </is>
      </c>
      <c r="F1157" t="n">
        <v>265837</v>
      </c>
      <c r="G1157" t="inlineStr">
        <is>
          <t>MT</t>
        </is>
      </c>
      <c r="H1157" t="n">
        <v>18</v>
      </c>
      <c r="I1157" t="inlineStr">
        <is>
          <t>Total TBS diproses (ton) 265.837 229.687 174.180</t>
        </is>
      </c>
      <c r="J1157" t="inlineStr">
        <is>
          <t>High</t>
        </is>
      </c>
      <c r="M1157" t="inlineStr">
        <is>
          <t>LLM</t>
        </is>
      </c>
      <c r="N1157" t="inlineStr">
        <is>
          <t>2026-04-18</t>
        </is>
      </c>
      <c r="O1157" t="inlineStr">
        <is>
          <t>AI</t>
        </is>
      </c>
    </row>
    <row r="1158">
      <c r="A1158" t="inlineStr">
        <is>
          <t>PT Cisadane Sawit Raya Tbk.</t>
        </is>
      </c>
      <c r="B1158" t="inlineStr">
        <is>
          <t>CSRA_2024_AR.pdf</t>
        </is>
      </c>
      <c r="C1158" t="n">
        <v>2024</v>
      </c>
      <c r="D1158" t="inlineStr">
        <is>
          <t>Operation</t>
        </is>
      </c>
      <c r="E1158" t="inlineStr">
        <is>
          <t>CPO production 2024</t>
        </is>
      </c>
      <c r="F1158" t="n">
        <v>55700</v>
      </c>
      <c r="G1158" t="inlineStr">
        <is>
          <t>MT</t>
        </is>
      </c>
      <c r="H1158" t="n">
        <v>18</v>
      </c>
      <c r="I1158" t="inlineStr">
        <is>
          <t>Total Produksi CPO (ton) 55.700 48.663 35.701</t>
        </is>
      </c>
      <c r="J1158" t="inlineStr">
        <is>
          <t>High</t>
        </is>
      </c>
      <c r="M1158" t="inlineStr">
        <is>
          <t>LLM</t>
        </is>
      </c>
      <c r="N1158" t="inlineStr">
        <is>
          <t>2026-04-18</t>
        </is>
      </c>
      <c r="O1158" t="inlineStr">
        <is>
          <t>AI</t>
        </is>
      </c>
    </row>
    <row r="1159">
      <c r="A1159" t="inlineStr">
        <is>
          <t>PT Cisadane Sawit Raya Tbk.</t>
        </is>
      </c>
      <c r="B1159" t="inlineStr">
        <is>
          <t>CSRA_2024_AR.pdf</t>
        </is>
      </c>
      <c r="C1159" t="n">
        <v>2024</v>
      </c>
      <c r="D1159" t="inlineStr">
        <is>
          <t>Operation</t>
        </is>
      </c>
      <c r="E1159" t="inlineStr">
        <is>
          <t>CPO sales</t>
        </is>
      </c>
      <c r="F1159" t="n">
        <v>55693</v>
      </c>
      <c r="G1159" t="inlineStr">
        <is>
          <t>MT</t>
        </is>
      </c>
      <c r="H1159" t="n">
        <v>18</v>
      </c>
      <c r="I1159" t="inlineStr">
        <is>
          <t>Total Penjualan CPO (ton) 55.693 47.368 34.633</t>
        </is>
      </c>
      <c r="J1159" t="inlineStr">
        <is>
          <t>High</t>
        </is>
      </c>
      <c r="M1159" t="inlineStr">
        <is>
          <t>LLM</t>
        </is>
      </c>
      <c r="N1159" t="inlineStr">
        <is>
          <t>2026-04-18</t>
        </is>
      </c>
      <c r="O1159" t="inlineStr">
        <is>
          <t>AI</t>
        </is>
      </c>
    </row>
    <row r="1160">
      <c r="A1160" t="inlineStr">
        <is>
          <t>PT Cisadane Sawit Raya Tbk.</t>
        </is>
      </c>
      <c r="B1160" t="inlineStr">
        <is>
          <t>CSRA_2024_AR.pdf</t>
        </is>
      </c>
      <c r="C1160" t="n">
        <v>2024</v>
      </c>
      <c r="D1160" t="inlineStr">
        <is>
          <t>Operation</t>
        </is>
      </c>
      <c r="E1160" t="inlineStr">
        <is>
          <t>Palm kernel production</t>
        </is>
      </c>
      <c r="F1160" t="n">
        <v>11801</v>
      </c>
      <c r="G1160" t="inlineStr">
        <is>
          <t>MT</t>
        </is>
      </c>
      <c r="H1160" t="n">
        <v>18</v>
      </c>
      <c r="I1160" t="inlineStr">
        <is>
          <t>Total Produksi PK (ton) 11.801 11.166 8.974</t>
        </is>
      </c>
      <c r="J1160" t="inlineStr">
        <is>
          <t>High</t>
        </is>
      </c>
      <c r="M1160" t="inlineStr">
        <is>
          <t>LLM</t>
        </is>
      </c>
      <c r="N1160" t="inlineStr">
        <is>
          <t>2026-04-18</t>
        </is>
      </c>
      <c r="O1160" t="inlineStr">
        <is>
          <t>AI</t>
        </is>
      </c>
    </row>
    <row r="1161">
      <c r="A1161" t="inlineStr">
        <is>
          <t>PT Cisadane Sawit Raya Tbk.</t>
        </is>
      </c>
      <c r="B1161" t="inlineStr">
        <is>
          <t>CSRA_2024_AR.pdf</t>
        </is>
      </c>
      <c r="C1161" t="n">
        <v>2024</v>
      </c>
      <c r="D1161" t="inlineStr">
        <is>
          <t>Operation</t>
        </is>
      </c>
      <c r="E1161" t="inlineStr">
        <is>
          <t>Palm kernel sales</t>
        </is>
      </c>
      <c r="F1161" t="n">
        <v>12080</v>
      </c>
      <c r="G1161" t="inlineStr">
        <is>
          <t>MT</t>
        </is>
      </c>
      <c r="H1161" t="n">
        <v>18</v>
      </c>
      <c r="I1161" t="inlineStr">
        <is>
          <t>Total Penjualan PK (ton) 12.080 10.826 7.832</t>
        </is>
      </c>
      <c r="J1161" t="inlineStr">
        <is>
          <t>High</t>
        </is>
      </c>
      <c r="M1161" t="inlineStr">
        <is>
          <t>LLM</t>
        </is>
      </c>
      <c r="N1161" t="inlineStr">
        <is>
          <t>2026-04-18</t>
        </is>
      </c>
      <c r="O1161" t="inlineStr">
        <is>
          <t>AI</t>
        </is>
      </c>
    </row>
    <row r="1162">
      <c r="A1162" t="inlineStr">
        <is>
          <t>PT Cisadane Sawit Raya Tbk.</t>
        </is>
      </c>
      <c r="B1162" t="inlineStr">
        <is>
          <t>CSRA_2024_AR.pdf</t>
        </is>
      </c>
      <c r="C1162" t="n">
        <v>2024</v>
      </c>
      <c r="D1162" t="inlineStr">
        <is>
          <t>Operation</t>
        </is>
      </c>
      <c r="E1162" t="inlineStr">
        <is>
          <t>FFB sales to third parties</t>
        </is>
      </c>
      <c r="F1162" t="n">
        <v>91828</v>
      </c>
      <c r="G1162" t="inlineStr">
        <is>
          <t>MT</t>
        </is>
      </c>
      <c r="H1162" t="n">
        <v>18</v>
      </c>
      <c r="I1162" t="inlineStr">
        <is>
          <t>Total Penjualan TBS (ton) 91.828 136.661 180.866</t>
        </is>
      </c>
      <c r="J1162" t="inlineStr">
        <is>
          <t>High</t>
        </is>
      </c>
      <c r="M1162" t="inlineStr">
        <is>
          <t>LLM</t>
        </is>
      </c>
      <c r="N1162" t="inlineStr">
        <is>
          <t>2026-04-18</t>
        </is>
      </c>
      <c r="O1162" t="inlineStr">
        <is>
          <t>AI</t>
        </is>
      </c>
    </row>
    <row r="1163">
      <c r="A1163" t="inlineStr">
        <is>
          <t>PT Cisadane Sawit Raya Tbk.</t>
        </is>
      </c>
      <c r="B1163" t="inlineStr">
        <is>
          <t>CSRA_2024_AR.pdf</t>
        </is>
      </c>
      <c r="C1163" t="n">
        <v>2024</v>
      </c>
      <c r="D1163" t="inlineStr">
        <is>
          <t>Operation</t>
        </is>
      </c>
      <c r="E1163" t="inlineStr">
        <is>
          <t>FFB yield</t>
        </is>
      </c>
      <c r="F1163" t="n">
        <v>18.2</v>
      </c>
      <c r="G1163" t="inlineStr">
        <is>
          <t>tons/ha</t>
        </is>
      </c>
      <c r="H1163" t="n">
        <v>18</v>
      </c>
      <c r="I1163" t="inlineStr">
        <is>
          <t>Rata-rata produktivitas TBS 18,2 19,4 21,2</t>
        </is>
      </c>
      <c r="J1163" t="inlineStr">
        <is>
          <t>High</t>
        </is>
      </c>
      <c r="M1163" t="inlineStr">
        <is>
          <t>LLM</t>
        </is>
      </c>
      <c r="N1163" t="inlineStr">
        <is>
          <t>2026-04-18</t>
        </is>
      </c>
      <c r="O1163" t="inlineStr">
        <is>
          <t>AI</t>
        </is>
      </c>
    </row>
    <row r="1164">
      <c r="A1164" t="inlineStr">
        <is>
          <t>PT Cisadane Sawit Raya Tbk.</t>
        </is>
      </c>
      <c r="B1164" t="inlineStr">
        <is>
          <t>CSRA_2024_AR.pdf</t>
        </is>
      </c>
      <c r="C1164" t="n">
        <v>2024</v>
      </c>
      <c r="D1164" t="inlineStr">
        <is>
          <t>Operation</t>
        </is>
      </c>
      <c r="E1164" t="inlineStr">
        <is>
          <t>OER</t>
        </is>
      </c>
      <c r="F1164" t="n">
        <v>0.21</v>
      </c>
      <c r="G1164" t="inlineStr">
        <is>
          <t>ratio</t>
        </is>
      </c>
      <c r="H1164" t="n">
        <v>18</v>
      </c>
      <c r="I1164" t="inlineStr">
        <is>
          <t>OER (%) 21,0 21,2 20,5</t>
        </is>
      </c>
      <c r="J1164" t="inlineStr">
        <is>
          <t>High</t>
        </is>
      </c>
      <c r="M1164" t="inlineStr">
        <is>
          <t>LLM</t>
        </is>
      </c>
      <c r="N1164" t="inlineStr">
        <is>
          <t>2026-04-18</t>
        </is>
      </c>
      <c r="O1164" t="inlineStr">
        <is>
          <t>AI</t>
        </is>
      </c>
    </row>
    <row r="1165">
      <c r="A1165" t="inlineStr">
        <is>
          <t>PT Cisadane Sawit Raya Tbk.</t>
        </is>
      </c>
      <c r="B1165" t="inlineStr">
        <is>
          <t>CSRA_2024_AR.pdf</t>
        </is>
      </c>
      <c r="C1165" t="n">
        <v>2024</v>
      </c>
      <c r="D1165" t="inlineStr">
        <is>
          <t>Operation</t>
        </is>
      </c>
      <c r="E1165" t="inlineStr">
        <is>
          <t>KER</t>
        </is>
      </c>
      <c r="F1165" t="n">
        <v>0.044</v>
      </c>
      <c r="G1165" t="inlineStr">
        <is>
          <t>ratio</t>
        </is>
      </c>
      <c r="H1165" t="n">
        <v>18</v>
      </c>
      <c r="I1165" t="inlineStr">
        <is>
          <t>KER (%) 4,4 4,9 5,2</t>
        </is>
      </c>
      <c r="J1165" t="inlineStr">
        <is>
          <t>High</t>
        </is>
      </c>
      <c r="M1165" t="inlineStr">
        <is>
          <t>LLM</t>
        </is>
      </c>
      <c r="N1165" t="inlineStr">
        <is>
          <t>2026-04-18</t>
        </is>
      </c>
      <c r="O1165" t="inlineStr">
        <is>
          <t>AI</t>
        </is>
      </c>
    </row>
    <row r="1166">
      <c r="A1166" t="inlineStr">
        <is>
          <t>PT Cisadane Sawit Raya Tbk.</t>
        </is>
      </c>
      <c r="B1166" t="inlineStr">
        <is>
          <t>CSRA_2024_AR.pdf</t>
        </is>
      </c>
      <c r="C1166" t="n">
        <v>2024</v>
      </c>
      <c r="D1166" t="inlineStr">
        <is>
          <t>Operation</t>
        </is>
      </c>
      <c r="E1166" t="inlineStr">
        <is>
          <t>Avg CPO selling price</t>
        </is>
      </c>
      <c r="F1166" t="n">
        <v>12793</v>
      </c>
      <c r="G1166" t="inlineStr">
        <is>
          <t>IDR/kg</t>
        </is>
      </c>
      <c r="H1166" t="n">
        <v>18</v>
      </c>
      <c r="I1166" t="inlineStr">
        <is>
          <t>Rata-rata harga jual CPO (Rp/kg) 12.793 10.821 12.468</t>
        </is>
      </c>
      <c r="J1166" t="inlineStr">
        <is>
          <t>High</t>
        </is>
      </c>
      <c r="M1166" t="inlineStr">
        <is>
          <t>LLM</t>
        </is>
      </c>
      <c r="N1166" t="inlineStr">
        <is>
          <t>2026-04-18</t>
        </is>
      </c>
      <c r="O1166" t="inlineStr">
        <is>
          <t>AI</t>
        </is>
      </c>
    </row>
    <row r="1167">
      <c r="A1167" t="inlineStr">
        <is>
          <t>PT Cisadane Sawit Raya Tbk.</t>
        </is>
      </c>
      <c r="B1167" t="inlineStr">
        <is>
          <t>CSRA_2024_AR.pdf</t>
        </is>
      </c>
      <c r="C1167" t="n">
        <v>2024</v>
      </c>
      <c r="D1167" t="inlineStr">
        <is>
          <t>Operation</t>
        </is>
      </c>
      <c r="E1167" t="inlineStr">
        <is>
          <t>Avg FFB selling price</t>
        </is>
      </c>
      <c r="F1167" t="n">
        <v>2742</v>
      </c>
      <c r="G1167" t="inlineStr">
        <is>
          <t>IDR/kg</t>
        </is>
      </c>
      <c r="H1167" t="n">
        <v>18</v>
      </c>
      <c r="I1167" t="inlineStr">
        <is>
          <t>Rata-rata harga jual TBS (Rp/kg) 2.742 2.241 2.618</t>
        </is>
      </c>
      <c r="J1167" t="inlineStr">
        <is>
          <t>High</t>
        </is>
      </c>
      <c r="M1167" t="inlineStr">
        <is>
          <t>LLM</t>
        </is>
      </c>
      <c r="N1167" t="inlineStr">
        <is>
          <t>2026-04-18</t>
        </is>
      </c>
      <c r="O1167" t="inlineStr">
        <is>
          <t>AI</t>
        </is>
      </c>
    </row>
    <row r="1168">
      <c r="A1168" t="inlineStr">
        <is>
          <t>PT Cisadane Sawit Raya Tbk.</t>
        </is>
      </c>
      <c r="B1168" t="inlineStr">
        <is>
          <t>CSRA_2024_AR.pdf</t>
        </is>
      </c>
      <c r="C1168" t="n">
        <v>2024</v>
      </c>
      <c r="D1168" t="inlineStr">
        <is>
          <t>Operation</t>
        </is>
      </c>
      <c r="E1168" t="inlineStr">
        <is>
          <t>Avg Kernel selling price</t>
        </is>
      </c>
      <c r="F1168" t="n">
        <v>8170</v>
      </c>
      <c r="G1168" t="inlineStr">
        <is>
          <t>IDR/kg</t>
        </is>
      </c>
      <c r="H1168" t="n">
        <v>18</v>
      </c>
      <c r="I1168" t="inlineStr">
        <is>
          <t>Rata-rata harga jual PK (Rp/kg) 8.170 5.255 8.331</t>
        </is>
      </c>
      <c r="J1168" t="inlineStr">
        <is>
          <t>High</t>
        </is>
      </c>
      <c r="M1168" t="inlineStr">
        <is>
          <t>LLM</t>
        </is>
      </c>
      <c r="N1168" t="inlineStr">
        <is>
          <t>2026-04-18</t>
        </is>
      </c>
      <c r="O1168" t="inlineStr">
        <is>
          <t>AI</t>
        </is>
      </c>
    </row>
    <row r="1169">
      <c r="A1169" t="inlineStr">
        <is>
          <t>PT Cisadane Sawit Raya Tbk.</t>
        </is>
      </c>
      <c r="B1169" t="inlineStr">
        <is>
          <t>CSRA_2024_AR.pdf</t>
        </is>
      </c>
      <c r="C1169" t="n">
        <v>2024</v>
      </c>
      <c r="D1169" t="inlineStr">
        <is>
          <t>Operation</t>
        </is>
      </c>
      <c r="E1169" t="inlineStr">
        <is>
          <t>Tree age 4-7 years</t>
        </is>
      </c>
      <c r="F1169" t="n">
        <v>2196.6</v>
      </c>
      <c r="G1169" t="inlineStr">
        <is>
          <t>hectares</t>
        </is>
      </c>
      <c r="H1169" t="n">
        <v>18</v>
      </c>
      <c r="I1169" t="inlineStr">
        <is>
          <t>4 – 7 tahun 2.196,6 2.111,3 2.440,4</t>
        </is>
      </c>
      <c r="J1169" t="inlineStr">
        <is>
          <t>High</t>
        </is>
      </c>
      <c r="M1169" t="inlineStr">
        <is>
          <t>LLM</t>
        </is>
      </c>
      <c r="N1169" t="inlineStr">
        <is>
          <t>2026-04-18</t>
        </is>
      </c>
      <c r="O1169" t="inlineStr">
        <is>
          <t>AI</t>
        </is>
      </c>
    </row>
    <row r="1170">
      <c r="A1170" t="inlineStr">
        <is>
          <t>PT Cisadane Sawit Raya Tbk.</t>
        </is>
      </c>
      <c r="B1170" t="inlineStr">
        <is>
          <t>CSRA_2024_AR.pdf</t>
        </is>
      </c>
      <c r="C1170" t="n">
        <v>2024</v>
      </c>
      <c r="D1170" t="inlineStr">
        <is>
          <t>Operation</t>
        </is>
      </c>
      <c r="E1170" t="inlineStr">
        <is>
          <t>Tree age 8-17 years</t>
        </is>
      </c>
      <c r="F1170" t="n">
        <v>11155.4</v>
      </c>
      <c r="G1170" t="inlineStr">
        <is>
          <t>hectares</t>
        </is>
      </c>
      <c r="H1170" t="n">
        <v>18</v>
      </c>
      <c r="I1170" t="inlineStr">
        <is>
          <t>8 – 17 tahun 11.155,4 11.115,9 9.612,9</t>
        </is>
      </c>
      <c r="J1170" t="inlineStr">
        <is>
          <t>High</t>
        </is>
      </c>
      <c r="M1170" t="inlineStr">
        <is>
          <t>LLM</t>
        </is>
      </c>
      <c r="N1170" t="inlineStr">
        <is>
          <t>2026-04-18</t>
        </is>
      </c>
      <c r="O1170" t="inlineStr">
        <is>
          <t>AI</t>
        </is>
      </c>
    </row>
    <row r="1171">
      <c r="A1171" t="inlineStr">
        <is>
          <t>PT Cisadane Sawit Raya Tbk.</t>
        </is>
      </c>
      <c r="B1171" t="inlineStr">
        <is>
          <t>CSRA_2024_AR.pdf</t>
        </is>
      </c>
      <c r="C1171" t="n">
        <v>2024</v>
      </c>
      <c r="D1171" t="inlineStr">
        <is>
          <t>Operation</t>
        </is>
      </c>
      <c r="E1171" t="inlineStr">
        <is>
          <t>Tree age &gt;18 years</t>
        </is>
      </c>
      <c r="F1171" t="n">
        <v>4078.9</v>
      </c>
      <c r="G1171" t="inlineStr">
        <is>
          <t>hectares</t>
        </is>
      </c>
      <c r="H1171" t="n">
        <v>18</v>
      </c>
      <c r="I1171" t="inlineStr">
        <is>
          <t>&gt; 18 tahun 4.078,9 4.031,1 4.093,8</t>
        </is>
      </c>
      <c r="J1171" t="inlineStr">
        <is>
          <t>High</t>
        </is>
      </c>
      <c r="M1171" t="inlineStr">
        <is>
          <t>LLM</t>
        </is>
      </c>
      <c r="N1171" t="inlineStr">
        <is>
          <t>2026-04-18</t>
        </is>
      </c>
      <c r="O1171" t="inlineStr">
        <is>
          <t>AI</t>
        </is>
      </c>
    </row>
    <row r="1172">
      <c r="A1172" t="inlineStr">
        <is>
          <t>PT Cisadane Sawit Raya Tbk.</t>
        </is>
      </c>
      <c r="B1172" t="inlineStr">
        <is>
          <t>CSRA_2024_AR.pdf</t>
        </is>
      </c>
      <c r="C1172" t="n">
        <v>2024</v>
      </c>
      <c r="D1172" t="inlineStr">
        <is>
          <t>Operation</t>
        </is>
      </c>
      <c r="E1172" t="inlineStr">
        <is>
          <t>2024 FFB production target</t>
        </is>
      </c>
      <c r="F1172" t="n">
        <v>401302</v>
      </c>
      <c r="G1172" t="inlineStr">
        <is>
          <t>MT</t>
        </is>
      </c>
      <c r="I1172" t="inlineStr">
        <is>
          <t>Produksi TBS terealisasi sebesar 79,51% (319,085/0.7951 ≈ 401,302)</t>
        </is>
      </c>
      <c r="J1172" t="inlineStr">
        <is>
          <t>Medium</t>
        </is>
      </c>
      <c r="M1172" t="inlineStr">
        <is>
          <t>LLM</t>
        </is>
      </c>
      <c r="N1172" t="inlineStr">
        <is>
          <t>2026-04-18</t>
        </is>
      </c>
      <c r="O1172" t="inlineStr">
        <is>
          <t>AI</t>
        </is>
      </c>
    </row>
    <row r="1173">
      <c r="A1173" t="inlineStr">
        <is>
          <t>PT Dharma Satya Nusantara Tbk</t>
        </is>
      </c>
      <c r="B1173" t="inlineStr">
        <is>
          <t>DSNG_2022_AR.pdf</t>
        </is>
      </c>
      <c r="C1173" t="n">
        <v>2022</v>
      </c>
      <c r="D1173" t="inlineStr">
        <is>
          <t>Company</t>
        </is>
      </c>
      <c r="E1173" t="inlineStr">
        <is>
          <t>Company name</t>
        </is>
      </c>
      <c r="F1173" t="inlineStr">
        <is>
          <t>PT Dharma Satya Nusantara Tbk</t>
        </is>
      </c>
      <c r="G1173" t="inlineStr">
        <is>
          <t>-</t>
        </is>
      </c>
      <c r="H1173" t="n">
        <v>4</v>
      </c>
      <c r="I1173" t="inlineStr">
        <is>
          <t>NAMA PERSEROAN PT DHARMA SATYA NUSANTARA Tbk</t>
        </is>
      </c>
      <c r="J1173" t="inlineStr">
        <is>
          <t>High</t>
        </is>
      </c>
      <c r="M1173" t="inlineStr">
        <is>
          <t>LLM</t>
        </is>
      </c>
      <c r="N1173" t="inlineStr">
        <is>
          <t>2026-04-18</t>
        </is>
      </c>
      <c r="O1173" t="inlineStr">
        <is>
          <t>AI</t>
        </is>
      </c>
    </row>
    <row r="1174">
      <c r="A1174" t="inlineStr">
        <is>
          <t>PT Dharma Satya Nusantara Tbk</t>
        </is>
      </c>
      <c r="B1174" t="inlineStr">
        <is>
          <t>DSNG_2022_AR.pdf</t>
        </is>
      </c>
      <c r="C1174" t="n">
        <v>2022</v>
      </c>
      <c r="D1174" t="inlineStr">
        <is>
          <t>Company</t>
        </is>
      </c>
      <c r="E1174" t="inlineStr">
        <is>
          <t>Business segment</t>
        </is>
      </c>
      <c r="F1174" t="inlineStr">
        <is>
          <t>Palm Oil &amp; Wood Product</t>
        </is>
      </c>
      <c r="G1174" t="inlineStr">
        <is>
          <t>-</t>
        </is>
      </c>
      <c r="H1174" t="n">
        <v>4</v>
      </c>
      <c r="I1174" t="inlineStr">
        <is>
          <t>Segmen Usaha Industri Kelapa Sawit &amp; Industri Produk Kayu</t>
        </is>
      </c>
      <c r="J1174" t="inlineStr">
        <is>
          <t>High</t>
        </is>
      </c>
      <c r="M1174" t="inlineStr">
        <is>
          <t>LLM</t>
        </is>
      </c>
      <c r="N1174" t="inlineStr">
        <is>
          <t>2026-04-18</t>
        </is>
      </c>
      <c r="O1174" t="inlineStr">
        <is>
          <t>AI</t>
        </is>
      </c>
    </row>
    <row r="1175">
      <c r="A1175" t="inlineStr">
        <is>
          <t>PT Dharma Satya Nusantara Tbk</t>
        </is>
      </c>
      <c r="B1175" t="inlineStr">
        <is>
          <t>DSNG_2022_AR.pdf</t>
        </is>
      </c>
      <c r="C1175" t="n">
        <v>2022</v>
      </c>
      <c r="D1175" t="inlineStr">
        <is>
          <t>Company</t>
        </is>
      </c>
      <c r="E1175" t="inlineStr">
        <is>
          <t>IPO listing date</t>
        </is>
      </c>
      <c r="F1175" t="inlineStr">
        <is>
          <t>2013-06-14</t>
        </is>
      </c>
      <c r="G1175" t="inlineStr">
        <is>
          <t>-</t>
        </is>
      </c>
      <c r="H1175" t="n">
        <v>18</v>
      </c>
      <c r="I1175" t="inlineStr">
        <is>
          <t>Perseroan mencatatkan saham hasil penawaran perdana di Bursa Efek Indonesia pada tanggal 14 Juni 2013</t>
        </is>
      </c>
      <c r="J1175" t="inlineStr">
        <is>
          <t>High</t>
        </is>
      </c>
      <c r="M1175" t="inlineStr">
        <is>
          <t>LLM</t>
        </is>
      </c>
      <c r="N1175" t="inlineStr">
        <is>
          <t>2026-04-18</t>
        </is>
      </c>
      <c r="O1175" t="inlineStr">
        <is>
          <t>AI</t>
        </is>
      </c>
    </row>
    <row r="1176">
      <c r="A1176" t="inlineStr">
        <is>
          <t>PT Dharma Satya Nusantara Tbk</t>
        </is>
      </c>
      <c r="B1176" t="inlineStr">
        <is>
          <t>DSNG_2022_AR.pdf</t>
        </is>
      </c>
      <c r="C1176" t="n">
        <v>2022</v>
      </c>
      <c r="D1176" t="inlineStr">
        <is>
          <t>Company</t>
        </is>
      </c>
      <c r="E1176" t="inlineStr">
        <is>
          <t>Shares outstanding</t>
        </is>
      </c>
      <c r="F1176" t="n">
        <v>10599842400</v>
      </c>
      <c r="G1176" t="inlineStr">
        <is>
          <t>shares</t>
        </is>
      </c>
      <c r="H1176" t="n">
        <v>18</v>
      </c>
      <c r="I1176" t="inlineStr">
        <is>
          <t>jumlah saham beredar sebesar 10.599.842.400</t>
        </is>
      </c>
      <c r="J1176" t="inlineStr">
        <is>
          <t>High</t>
        </is>
      </c>
      <c r="M1176" t="inlineStr">
        <is>
          <t>LLM</t>
        </is>
      </c>
      <c r="N1176" t="inlineStr">
        <is>
          <t>2026-04-18</t>
        </is>
      </c>
      <c r="O1176" t="inlineStr">
        <is>
          <t>AI</t>
        </is>
      </c>
    </row>
    <row r="1177">
      <c r="A1177" t="inlineStr">
        <is>
          <t>PT Dharma Satya Nusantara Tbk</t>
        </is>
      </c>
      <c r="B1177" t="inlineStr">
        <is>
          <t>DSNG_2022_AR.pdf</t>
        </is>
      </c>
      <c r="C1177" t="n">
        <v>2022</v>
      </c>
      <c r="D1177" t="inlineStr">
        <is>
          <t>Company</t>
        </is>
      </c>
      <c r="E1177" t="inlineStr">
        <is>
          <t>Oetomo Family stake</t>
        </is>
      </c>
      <c r="F1177" t="n">
        <v>0.289</v>
      </c>
      <c r="G1177" t="inlineStr">
        <is>
          <t>decimal</t>
        </is>
      </c>
      <c r="H1177" t="n">
        <v>20</v>
      </c>
      <c r="I1177" t="inlineStr">
        <is>
          <t>28,90% OETOMO FAMILY</t>
        </is>
      </c>
      <c r="J1177" t="inlineStr">
        <is>
          <t>High</t>
        </is>
      </c>
      <c r="M1177" t="inlineStr">
        <is>
          <t>LLM</t>
        </is>
      </c>
      <c r="N1177" t="inlineStr">
        <is>
          <t>2026-04-18</t>
        </is>
      </c>
      <c r="O1177" t="inlineStr">
        <is>
          <t>AI</t>
        </is>
      </c>
    </row>
    <row r="1178">
      <c r="A1178" t="inlineStr">
        <is>
          <t>PT Dharma Satya Nusantara Tbk</t>
        </is>
      </c>
      <c r="B1178" t="inlineStr">
        <is>
          <t>DSNG_2022_AR.pdf</t>
        </is>
      </c>
      <c r="C1178" t="n">
        <v>2022</v>
      </c>
      <c r="D1178" t="inlineStr">
        <is>
          <t>Company</t>
        </is>
      </c>
      <c r="E1178" t="inlineStr">
        <is>
          <t>Rachmat Family stake</t>
        </is>
      </c>
      <c r="F1178" t="n">
        <v>0.3171</v>
      </c>
      <c r="G1178" t="inlineStr">
        <is>
          <t>decimal</t>
        </is>
      </c>
      <c r="H1178" t="n">
        <v>20</v>
      </c>
      <c r="I1178" t="inlineStr">
        <is>
          <t>31,71% T.P. RACHMAT FAMILY</t>
        </is>
      </c>
      <c r="J1178" t="inlineStr">
        <is>
          <t>High</t>
        </is>
      </c>
      <c r="M1178" t="inlineStr">
        <is>
          <t>LLM</t>
        </is>
      </c>
      <c r="N1178" t="inlineStr">
        <is>
          <t>2026-04-18</t>
        </is>
      </c>
      <c r="O1178" t="inlineStr">
        <is>
          <t>AI</t>
        </is>
      </c>
    </row>
    <row r="1179">
      <c r="A1179" t="inlineStr">
        <is>
          <t>PT Dharma Satya Nusantara Tbk</t>
        </is>
      </c>
      <c r="B1179" t="inlineStr">
        <is>
          <t>DSNG_2022_AR.pdf</t>
        </is>
      </c>
      <c r="C1179" t="n">
        <v>2022</v>
      </c>
      <c r="D1179" t="inlineStr">
        <is>
          <t>Financial</t>
        </is>
      </c>
      <c r="E1179" t="inlineStr">
        <is>
          <t>Revenue</t>
        </is>
      </c>
      <c r="F1179" t="n">
        <v>9633.671</v>
      </c>
      <c r="G1179" t="inlineStr">
        <is>
          <t>IDR bn</t>
        </is>
      </c>
      <c r="H1179" t="n">
        <v>13</v>
      </c>
      <c r="I1179" t="inlineStr">
        <is>
          <t>Penjualan 9,633,671 (Dalam Jutaan Rupiah)</t>
        </is>
      </c>
      <c r="J1179" t="inlineStr">
        <is>
          <t>High</t>
        </is>
      </c>
      <c r="M1179" t="inlineStr">
        <is>
          <t>LLM</t>
        </is>
      </c>
      <c r="N1179" t="inlineStr">
        <is>
          <t>2026-04-18</t>
        </is>
      </c>
      <c r="O1179" t="inlineStr">
        <is>
          <t>AI</t>
        </is>
      </c>
    </row>
    <row r="1180">
      <c r="A1180" t="inlineStr">
        <is>
          <t>PT Dharma Satya Nusantara Tbk</t>
        </is>
      </c>
      <c r="B1180" t="inlineStr">
        <is>
          <t>DSNG_2022_AR.pdf</t>
        </is>
      </c>
      <c r="C1180" t="n">
        <v>2022</v>
      </c>
      <c r="D1180" t="inlineStr">
        <is>
          <t>Financial</t>
        </is>
      </c>
      <c r="E1180" t="inlineStr">
        <is>
          <t>Palm oil segment revenue</t>
        </is>
      </c>
      <c r="F1180" t="n">
        <v>8117.134</v>
      </c>
      <c r="G1180" t="inlineStr">
        <is>
          <t>IDR bn</t>
        </is>
      </c>
      <c r="H1180" t="n">
        <v>89</v>
      </c>
      <c r="I1180" t="inlineStr">
        <is>
          <t>Kelapa Sawit/Palm Oil 8.117.134</t>
        </is>
      </c>
      <c r="J1180" t="inlineStr">
        <is>
          <t>High</t>
        </is>
      </c>
      <c r="M1180" t="inlineStr">
        <is>
          <t>LLM</t>
        </is>
      </c>
      <c r="N1180" t="inlineStr">
        <is>
          <t>2026-04-18</t>
        </is>
      </c>
      <c r="O1180" t="inlineStr">
        <is>
          <t>AI</t>
        </is>
      </c>
    </row>
    <row r="1181">
      <c r="A1181" t="inlineStr">
        <is>
          <t>PT Dharma Satya Nusantara Tbk</t>
        </is>
      </c>
      <c r="B1181" t="inlineStr">
        <is>
          <t>DSNG_2022_AR.pdf</t>
        </is>
      </c>
      <c r="C1181" t="n">
        <v>2022</v>
      </c>
      <c r="D1181" t="inlineStr">
        <is>
          <t>Financial</t>
        </is>
      </c>
      <c r="E1181" t="inlineStr">
        <is>
          <t>Wood products segment revenue</t>
        </is>
      </c>
      <c r="F1181" t="n">
        <v>1516.537</v>
      </c>
      <c r="G1181" t="inlineStr">
        <is>
          <t>IDR bn</t>
        </is>
      </c>
      <c r="H1181" t="n">
        <v>89</v>
      </c>
      <c r="I1181" t="inlineStr">
        <is>
          <t>Produk Kayu/Wood Product 1.516.537</t>
        </is>
      </c>
      <c r="J1181" t="inlineStr">
        <is>
          <t>High</t>
        </is>
      </c>
      <c r="M1181" t="inlineStr">
        <is>
          <t>LLM</t>
        </is>
      </c>
      <c r="N1181" t="inlineStr">
        <is>
          <t>2026-04-18</t>
        </is>
      </c>
      <c r="O1181" t="inlineStr">
        <is>
          <t>AI</t>
        </is>
      </c>
    </row>
    <row r="1182">
      <c r="A1182" t="inlineStr">
        <is>
          <t>PT Dharma Satya Nusantara Tbk</t>
        </is>
      </c>
      <c r="B1182" t="inlineStr">
        <is>
          <t>DSNG_2022_AR.pdf</t>
        </is>
      </c>
      <c r="C1182" t="n">
        <v>2022</v>
      </c>
      <c r="D1182" t="inlineStr">
        <is>
          <t>Financial</t>
        </is>
      </c>
      <c r="E1182" t="inlineStr">
        <is>
          <t>Gross profit</t>
        </is>
      </c>
      <c r="F1182" t="n">
        <v>3117.575</v>
      </c>
      <c r="G1182" t="inlineStr">
        <is>
          <t>IDR bn</t>
        </is>
      </c>
      <c r="H1182" t="n">
        <v>13</v>
      </c>
      <c r="I1182" t="inlineStr">
        <is>
          <t>Laba Bruto 3,117,575</t>
        </is>
      </c>
      <c r="J1182" t="inlineStr">
        <is>
          <t>High</t>
        </is>
      </c>
      <c r="M1182" t="inlineStr">
        <is>
          <t>LLM</t>
        </is>
      </c>
      <c r="N1182" t="inlineStr">
        <is>
          <t>2026-04-18</t>
        </is>
      </c>
      <c r="O1182" t="inlineStr">
        <is>
          <t>AI</t>
        </is>
      </c>
    </row>
    <row r="1183">
      <c r="A1183" t="inlineStr">
        <is>
          <t>PT Dharma Satya Nusantara Tbk</t>
        </is>
      </c>
      <c r="B1183" t="inlineStr">
        <is>
          <t>DSNG_2022_AR.pdf</t>
        </is>
      </c>
      <c r="C1183" t="n">
        <v>2022</v>
      </c>
      <c r="D1183" t="inlineStr">
        <is>
          <t>Financial</t>
        </is>
      </c>
      <c r="E1183" t="inlineStr">
        <is>
          <t>Operating profit</t>
        </is>
      </c>
      <c r="F1183" t="n">
        <v>2172.475</v>
      </c>
      <c r="G1183" t="inlineStr">
        <is>
          <t>IDR bn</t>
        </is>
      </c>
      <c r="H1183" t="n">
        <v>13</v>
      </c>
      <c r="I1183" t="inlineStr">
        <is>
          <t>Laba Operasi 2,172,475</t>
        </is>
      </c>
      <c r="J1183" t="inlineStr">
        <is>
          <t>High</t>
        </is>
      </c>
      <c r="M1183" t="inlineStr">
        <is>
          <t>LLM</t>
        </is>
      </c>
      <c r="N1183" t="inlineStr">
        <is>
          <t>2026-04-18</t>
        </is>
      </c>
      <c r="O1183" t="inlineStr">
        <is>
          <t>AI</t>
        </is>
      </c>
    </row>
    <row r="1184">
      <c r="A1184" t="inlineStr">
        <is>
          <t>PT Dharma Satya Nusantara Tbk</t>
        </is>
      </c>
      <c r="B1184" t="inlineStr">
        <is>
          <t>DSNG_2022_AR.pdf</t>
        </is>
      </c>
      <c r="C1184" t="n">
        <v>2022</v>
      </c>
      <c r="D1184" t="inlineStr">
        <is>
          <t>Financial</t>
        </is>
      </c>
      <c r="E1184" t="inlineStr">
        <is>
          <t>EBITDA</t>
        </is>
      </c>
      <c r="F1184" t="n">
        <v>3018.363</v>
      </c>
      <c r="G1184" t="inlineStr">
        <is>
          <t>IDR bn</t>
        </is>
      </c>
      <c r="H1184" t="n">
        <v>13</v>
      </c>
      <c r="I1184" t="inlineStr">
        <is>
          <t>EBITDA 3,018,363</t>
        </is>
      </c>
      <c r="J1184" t="inlineStr">
        <is>
          <t>High</t>
        </is>
      </c>
      <c r="M1184" t="inlineStr">
        <is>
          <t>LLM</t>
        </is>
      </c>
      <c r="N1184" t="inlineStr">
        <is>
          <t>2026-04-18</t>
        </is>
      </c>
      <c r="O1184" t="inlineStr">
        <is>
          <t>AI</t>
        </is>
      </c>
    </row>
    <row r="1185">
      <c r="A1185" t="inlineStr">
        <is>
          <t>PT Dharma Satya Nusantara Tbk</t>
        </is>
      </c>
      <c r="B1185" t="inlineStr">
        <is>
          <t>DSNG_2022_AR.pdf</t>
        </is>
      </c>
      <c r="C1185" t="n">
        <v>2022</v>
      </c>
      <c r="D1185" t="inlineStr">
        <is>
          <t>Financial</t>
        </is>
      </c>
      <c r="E1185" t="inlineStr">
        <is>
          <t>Net profit</t>
        </is>
      </c>
      <c r="F1185" t="n">
        <v>1206.587</v>
      </c>
      <c r="G1185" t="inlineStr">
        <is>
          <t>IDR bn</t>
        </is>
      </c>
      <c r="H1185" t="n">
        <v>13</v>
      </c>
      <c r="I1185" t="inlineStr">
        <is>
          <t>Laba 1,206,587</t>
        </is>
      </c>
      <c r="J1185" t="inlineStr">
        <is>
          <t>High</t>
        </is>
      </c>
      <c r="M1185" t="inlineStr">
        <is>
          <t>LLM</t>
        </is>
      </c>
      <c r="N1185" t="inlineStr">
        <is>
          <t>2026-04-18</t>
        </is>
      </c>
      <c r="O1185" t="inlineStr">
        <is>
          <t>AI</t>
        </is>
      </c>
    </row>
    <row r="1186">
      <c r="A1186" t="inlineStr">
        <is>
          <t>PT Dharma Satya Nusantara Tbk</t>
        </is>
      </c>
      <c r="B1186" t="inlineStr">
        <is>
          <t>DSNG_2022_AR.pdf</t>
        </is>
      </c>
      <c r="C1186" t="n">
        <v>2022</v>
      </c>
      <c r="D1186" t="inlineStr">
        <is>
          <t>Financial</t>
        </is>
      </c>
      <c r="E1186" t="inlineStr">
        <is>
          <t>Profit attributable to parent</t>
        </is>
      </c>
      <c r="F1186" t="n">
        <v>1206.835</v>
      </c>
      <c r="G1186" t="inlineStr">
        <is>
          <t>IDR bn</t>
        </is>
      </c>
      <c r="H1186" t="n">
        <v>13</v>
      </c>
      <c r="I1186" t="inlineStr">
        <is>
          <t>Pemilik entitas induk 1,206,835</t>
        </is>
      </c>
      <c r="J1186" t="inlineStr">
        <is>
          <t>High</t>
        </is>
      </c>
      <c r="M1186" t="inlineStr">
        <is>
          <t>LLM</t>
        </is>
      </c>
      <c r="N1186" t="inlineStr">
        <is>
          <t>2026-04-18</t>
        </is>
      </c>
      <c r="O1186" t="inlineStr">
        <is>
          <t>AI</t>
        </is>
      </c>
    </row>
    <row r="1187">
      <c r="A1187" t="inlineStr">
        <is>
          <t>PT Dharma Satya Nusantara Tbk</t>
        </is>
      </c>
      <c r="B1187" t="inlineStr">
        <is>
          <t>DSNG_2022_AR.pdf</t>
        </is>
      </c>
      <c r="C1187" t="n">
        <v>2022</v>
      </c>
      <c r="D1187" t="inlineStr">
        <is>
          <t>Financial</t>
        </is>
      </c>
      <c r="E1187" t="inlineStr">
        <is>
          <t>Total assets</t>
        </is>
      </c>
      <c r="F1187" t="n">
        <v>15357.229</v>
      </c>
      <c r="G1187" t="inlineStr">
        <is>
          <t>IDR bn</t>
        </is>
      </c>
      <c r="H1187" t="n">
        <v>13</v>
      </c>
      <c r="I1187" t="inlineStr">
        <is>
          <t>Total Aset 15,357,229</t>
        </is>
      </c>
      <c r="J1187" t="inlineStr">
        <is>
          <t>High</t>
        </is>
      </c>
      <c r="M1187" t="inlineStr">
        <is>
          <t>LLM</t>
        </is>
      </c>
      <c r="N1187" t="inlineStr">
        <is>
          <t>2026-04-18</t>
        </is>
      </c>
      <c r="O1187" t="inlineStr">
        <is>
          <t>AI</t>
        </is>
      </c>
    </row>
    <row r="1188">
      <c r="A1188" t="inlineStr">
        <is>
          <t>PT Dharma Satya Nusantara Tbk</t>
        </is>
      </c>
      <c r="B1188" t="inlineStr">
        <is>
          <t>DSNG_2022_AR.pdf</t>
        </is>
      </c>
      <c r="C1188" t="n">
        <v>2022</v>
      </c>
      <c r="D1188" t="inlineStr">
        <is>
          <t>Financial</t>
        </is>
      </c>
      <c r="E1188" t="inlineStr">
        <is>
          <t>Total liabilities</t>
        </is>
      </c>
      <c r="F1188" t="n">
        <v>7197.089</v>
      </c>
      <c r="G1188" t="inlineStr">
        <is>
          <t>IDR bn</t>
        </is>
      </c>
      <c r="H1188" t="n">
        <v>13</v>
      </c>
      <c r="I1188" t="inlineStr">
        <is>
          <t>Total Liabilitas 7,197,089</t>
        </is>
      </c>
      <c r="J1188" t="inlineStr">
        <is>
          <t>High</t>
        </is>
      </c>
      <c r="M1188" t="inlineStr">
        <is>
          <t>LLM</t>
        </is>
      </c>
      <c r="N1188" t="inlineStr">
        <is>
          <t>2026-04-18</t>
        </is>
      </c>
      <c r="O1188" t="inlineStr">
        <is>
          <t>AI</t>
        </is>
      </c>
    </row>
    <row r="1189">
      <c r="A1189" t="inlineStr">
        <is>
          <t>PT Dharma Satya Nusantara Tbk</t>
        </is>
      </c>
      <c r="B1189" t="inlineStr">
        <is>
          <t>DSNG_2022_AR.pdf</t>
        </is>
      </c>
      <c r="C1189" t="n">
        <v>2022</v>
      </c>
      <c r="D1189" t="inlineStr">
        <is>
          <t>Financial</t>
        </is>
      </c>
      <c r="E1189" t="inlineStr">
        <is>
          <t>Total equity</t>
        </is>
      </c>
      <c r="F1189" t="n">
        <v>8160.14</v>
      </c>
      <c r="G1189" t="inlineStr">
        <is>
          <t>IDR bn</t>
        </is>
      </c>
      <c r="H1189" t="n">
        <v>13</v>
      </c>
      <c r="I1189" t="inlineStr">
        <is>
          <t>Total Ekuitas 8,160,140</t>
        </is>
      </c>
      <c r="J1189" t="inlineStr">
        <is>
          <t>High</t>
        </is>
      </c>
      <c r="M1189" t="inlineStr">
        <is>
          <t>LLM</t>
        </is>
      </c>
      <c r="N1189" t="inlineStr">
        <is>
          <t>2026-04-18</t>
        </is>
      </c>
      <c r="O1189" t="inlineStr">
        <is>
          <t>AI</t>
        </is>
      </c>
    </row>
    <row r="1190">
      <c r="A1190" t="inlineStr">
        <is>
          <t>PT Dharma Satya Nusantara Tbk</t>
        </is>
      </c>
      <c r="B1190" t="inlineStr">
        <is>
          <t>DSNG_2022_AR.pdf</t>
        </is>
      </c>
      <c r="C1190" t="n">
        <v>2022</v>
      </c>
      <c r="D1190" t="inlineStr">
        <is>
          <t>Financial</t>
        </is>
      </c>
      <c r="E1190" t="inlineStr">
        <is>
          <t>EPS (basic)</t>
        </is>
      </c>
      <c r="F1190" t="n">
        <v>113.86</v>
      </c>
      <c r="G1190" t="inlineStr">
        <is>
          <t>IDR/share</t>
        </is>
      </c>
      <c r="H1190" t="n">
        <v>13</v>
      </c>
      <c r="I1190" t="inlineStr">
        <is>
          <t>Laba per saham dasar 113,86 (Rupiah penuh)</t>
        </is>
      </c>
      <c r="J1190" t="inlineStr">
        <is>
          <t>High</t>
        </is>
      </c>
      <c r="M1190" t="inlineStr">
        <is>
          <t>LLM</t>
        </is>
      </c>
      <c r="N1190" t="inlineStr">
        <is>
          <t>2026-04-18</t>
        </is>
      </c>
      <c r="O1190" t="inlineStr">
        <is>
          <t>AI</t>
        </is>
      </c>
    </row>
    <row r="1191">
      <c r="A1191" t="inlineStr">
        <is>
          <t>PT Dharma Satya Nusantara Tbk</t>
        </is>
      </c>
      <c r="B1191" t="inlineStr">
        <is>
          <t>DSNG_2022_AR.pdf</t>
        </is>
      </c>
      <c r="C1191" t="n">
        <v>2022</v>
      </c>
      <c r="D1191" t="inlineStr">
        <is>
          <t>Financial</t>
        </is>
      </c>
      <c r="E1191" t="inlineStr">
        <is>
          <t>Cash and cash equivalents</t>
        </is>
      </c>
      <c r="F1191" t="n">
        <v>359.349</v>
      </c>
      <c r="G1191" t="inlineStr">
        <is>
          <t>IDR bn</t>
        </is>
      </c>
      <c r="H1191" t="n">
        <v>182</v>
      </c>
      <c r="I1191" t="inlineStr">
        <is>
          <t>Kas dan setara kas 359.349</t>
        </is>
      </c>
      <c r="J1191" t="inlineStr">
        <is>
          <t>High</t>
        </is>
      </c>
      <c r="M1191" t="inlineStr">
        <is>
          <t>LLM</t>
        </is>
      </c>
      <c r="N1191" t="inlineStr">
        <is>
          <t>2026-04-18</t>
        </is>
      </c>
      <c r="O1191" t="inlineStr">
        <is>
          <t>AI</t>
        </is>
      </c>
    </row>
    <row r="1192">
      <c r="A1192" t="inlineStr">
        <is>
          <t>PT Dharma Satya Nusantara Tbk</t>
        </is>
      </c>
      <c r="B1192" t="inlineStr">
        <is>
          <t>DSNG_2022_AR.pdf</t>
        </is>
      </c>
      <c r="C1192" t="n">
        <v>2022</v>
      </c>
      <c r="D1192" t="inlineStr">
        <is>
          <t>Financial</t>
        </is>
      </c>
      <c r="E1192" t="inlineStr">
        <is>
          <t>Short-term bank loans</t>
        </is>
      </c>
      <c r="F1192" t="n">
        <v>668.076</v>
      </c>
      <c r="G1192" t="inlineStr">
        <is>
          <t>IDR bn</t>
        </is>
      </c>
      <c r="H1192" t="n">
        <v>183</v>
      </c>
      <c r="I1192" t="inlineStr">
        <is>
          <t>Utang bank jangka pendek 668.076</t>
        </is>
      </c>
      <c r="J1192" t="inlineStr">
        <is>
          <t>High</t>
        </is>
      </c>
      <c r="M1192" t="inlineStr">
        <is>
          <t>LLM</t>
        </is>
      </c>
      <c r="N1192" t="inlineStr">
        <is>
          <t>2026-04-18</t>
        </is>
      </c>
      <c r="O1192" t="inlineStr">
        <is>
          <t>AI</t>
        </is>
      </c>
    </row>
    <row r="1193">
      <c r="A1193" t="inlineStr">
        <is>
          <t>PT Dharma Satya Nusantara Tbk</t>
        </is>
      </c>
      <c r="B1193" t="inlineStr">
        <is>
          <t>DSNG_2022_AR.pdf</t>
        </is>
      </c>
      <c r="C1193" t="n">
        <v>2022</v>
      </c>
      <c r="D1193" t="inlineStr">
        <is>
          <t>Financial</t>
        </is>
      </c>
      <c r="E1193" t="inlineStr">
        <is>
          <t>Current portion long-term bank loans</t>
        </is>
      </c>
      <c r="F1193" t="n">
        <v>759.953</v>
      </c>
      <c r="G1193" t="inlineStr">
        <is>
          <t>IDR bn</t>
        </is>
      </c>
      <c r="H1193" t="n">
        <v>183</v>
      </c>
      <c r="I1193" t="inlineStr">
        <is>
          <t>Utang bank jangka panjang yang jatuh tempo dalam satu tahun 759.953</t>
        </is>
      </c>
      <c r="J1193" t="inlineStr">
        <is>
          <t>High</t>
        </is>
      </c>
      <c r="M1193" t="inlineStr">
        <is>
          <t>LLM</t>
        </is>
      </c>
      <c r="N1193" t="inlineStr">
        <is>
          <t>2026-04-18</t>
        </is>
      </c>
      <c r="O1193" t="inlineStr">
        <is>
          <t>AI</t>
        </is>
      </c>
    </row>
    <row r="1194">
      <c r="A1194" t="inlineStr">
        <is>
          <t>PT Dharma Satya Nusantara Tbk</t>
        </is>
      </c>
      <c r="B1194" t="inlineStr">
        <is>
          <t>DSNG_2022_AR.pdf</t>
        </is>
      </c>
      <c r="C1194" t="n">
        <v>2022</v>
      </c>
      <c r="D1194" t="inlineStr">
        <is>
          <t>Financial</t>
        </is>
      </c>
      <c r="E1194" t="inlineStr">
        <is>
          <t>Long-term bank loans (net)</t>
        </is>
      </c>
      <c r="F1194" t="n">
        <v>3041.083</v>
      </c>
      <c r="G1194" t="inlineStr">
        <is>
          <t>IDR bn</t>
        </is>
      </c>
      <c r="H1194" t="n">
        <v>183</v>
      </c>
      <c r="I1194" t="inlineStr">
        <is>
          <t>Utang bank jangka panjang, setelah dikurangi bagian yang jatuh tempo dalam satu tahun 3.041.083</t>
        </is>
      </c>
      <c r="J1194" t="inlineStr">
        <is>
          <t>High</t>
        </is>
      </c>
      <c r="M1194" t="inlineStr">
        <is>
          <t>LLM</t>
        </is>
      </c>
      <c r="N1194" t="inlineStr">
        <is>
          <t>2026-04-18</t>
        </is>
      </c>
      <c r="O1194" t="inlineStr">
        <is>
          <t>AI</t>
        </is>
      </c>
    </row>
    <row r="1195">
      <c r="A1195" t="inlineStr">
        <is>
          <t>PT Dharma Satya Nusantara Tbk</t>
        </is>
      </c>
      <c r="B1195" t="inlineStr">
        <is>
          <t>DSNG_2022_AR.pdf</t>
        </is>
      </c>
      <c r="C1195" t="n">
        <v>2022</v>
      </c>
      <c r="D1195" t="inlineStr">
        <is>
          <t>Financial</t>
        </is>
      </c>
      <c r="E1195" t="inlineStr">
        <is>
          <t>Bonds payable (LT)</t>
        </is>
      </c>
      <c r="F1195" t="n">
        <v>175.524</v>
      </c>
      <c r="G1195" t="inlineStr">
        <is>
          <t>IDR bn</t>
        </is>
      </c>
      <c r="H1195" t="n">
        <v>183</v>
      </c>
      <c r="I1195" t="inlineStr">
        <is>
          <t>Utang obligasi 175.524 (non-current)</t>
        </is>
      </c>
      <c r="J1195" t="inlineStr">
        <is>
          <t>High</t>
        </is>
      </c>
      <c r="M1195" t="inlineStr">
        <is>
          <t>LLM</t>
        </is>
      </c>
      <c r="N1195" t="inlineStr">
        <is>
          <t>2026-04-18</t>
        </is>
      </c>
      <c r="O1195" t="inlineStr">
        <is>
          <t>AI</t>
        </is>
      </c>
    </row>
    <row r="1196">
      <c r="A1196" t="inlineStr">
        <is>
          <t>PT Dharma Satya Nusantara Tbk</t>
        </is>
      </c>
      <c r="B1196" t="inlineStr">
        <is>
          <t>DSNG_2022_AR.pdf</t>
        </is>
      </c>
      <c r="C1196" t="n">
        <v>2022</v>
      </c>
      <c r="D1196" t="inlineStr">
        <is>
          <t>Financial</t>
        </is>
      </c>
      <c r="E1196" t="inlineStr">
        <is>
          <t>Bonds payable (current)</t>
        </is>
      </c>
      <c r="F1196" t="n">
        <v>282.31</v>
      </c>
      <c r="G1196" t="inlineStr">
        <is>
          <t>IDR bn</t>
        </is>
      </c>
      <c r="H1196" t="n">
        <v>183</v>
      </c>
      <c r="I1196" t="inlineStr">
        <is>
          <t>Utang obligasi 282.310 (current)</t>
        </is>
      </c>
      <c r="J1196" t="inlineStr">
        <is>
          <t>High</t>
        </is>
      </c>
      <c r="M1196" t="inlineStr">
        <is>
          <t>LLM</t>
        </is>
      </c>
      <c r="N1196" t="inlineStr">
        <is>
          <t>2026-04-18</t>
        </is>
      </c>
      <c r="O1196" t="inlineStr">
        <is>
          <t>AI</t>
        </is>
      </c>
    </row>
    <row r="1197">
      <c r="A1197" t="inlineStr">
        <is>
          <t>PT Dharma Satya Nusantara Tbk</t>
        </is>
      </c>
      <c r="B1197" t="inlineStr">
        <is>
          <t>DSNG_2022_AR.pdf</t>
        </is>
      </c>
      <c r="C1197" t="n">
        <v>2022</v>
      </c>
      <c r="D1197" t="inlineStr">
        <is>
          <t>Financial</t>
        </is>
      </c>
      <c r="E1197" t="inlineStr">
        <is>
          <t>CFO</t>
        </is>
      </c>
      <c r="F1197" t="n">
        <v>1538.027</v>
      </c>
      <c r="G1197" t="inlineStr">
        <is>
          <t>IDR bn</t>
        </is>
      </c>
      <c r="H1197" t="n">
        <v>92</v>
      </c>
      <c r="I1197" t="inlineStr">
        <is>
          <t>Kas neto dari aktivitas operasi 1.538.027</t>
        </is>
      </c>
      <c r="J1197" t="inlineStr">
        <is>
          <t>High</t>
        </is>
      </c>
      <c r="M1197" t="inlineStr">
        <is>
          <t>LLM</t>
        </is>
      </c>
      <c r="N1197" t="inlineStr">
        <is>
          <t>2026-04-18</t>
        </is>
      </c>
      <c r="O1197" t="inlineStr">
        <is>
          <t>AI</t>
        </is>
      </c>
    </row>
    <row r="1198">
      <c r="A1198" t="inlineStr">
        <is>
          <t>PT Dharma Satya Nusantara Tbk</t>
        </is>
      </c>
      <c r="B1198" t="inlineStr">
        <is>
          <t>DSNG_2022_AR.pdf</t>
        </is>
      </c>
      <c r="C1198" t="n">
        <v>2022</v>
      </c>
      <c r="D1198" t="inlineStr">
        <is>
          <t>Financial</t>
        </is>
      </c>
      <c r="E1198" t="inlineStr">
        <is>
          <t>Fixed assets additions (capex)</t>
        </is>
      </c>
      <c r="F1198" t="n">
        <v>1068.865</v>
      </c>
      <c r="G1198" t="inlineStr">
        <is>
          <t>IDR bn</t>
        </is>
      </c>
      <c r="H1198" t="n">
        <v>188</v>
      </c>
      <c r="I1198" t="inlineStr">
        <is>
          <t>Perolehan aset tetap (1.068.865)</t>
        </is>
      </c>
      <c r="J1198" t="inlineStr">
        <is>
          <t>High</t>
        </is>
      </c>
      <c r="M1198" t="inlineStr">
        <is>
          <t>LLM</t>
        </is>
      </c>
      <c r="N1198" t="inlineStr">
        <is>
          <t>2026-04-18</t>
        </is>
      </c>
      <c r="O1198" t="inlineStr">
        <is>
          <t>AI</t>
        </is>
      </c>
    </row>
    <row r="1199">
      <c r="A1199" t="inlineStr">
        <is>
          <t>PT Dharma Satya Nusantara Tbk</t>
        </is>
      </c>
      <c r="B1199" t="inlineStr">
        <is>
          <t>DSNG_2022_AR.pdf</t>
        </is>
      </c>
      <c r="C1199" t="n">
        <v>2022</v>
      </c>
      <c r="D1199" t="inlineStr">
        <is>
          <t>Financial</t>
        </is>
      </c>
      <c r="E1199" t="inlineStr">
        <is>
          <t>Plantation cost additions</t>
        </is>
      </c>
      <c r="F1199" t="n">
        <v>106.259</v>
      </c>
      <c r="G1199" t="inlineStr">
        <is>
          <t>IDR bn</t>
        </is>
      </c>
      <c r="H1199" t="n">
        <v>188</v>
      </c>
      <c r="I1199" t="inlineStr">
        <is>
          <t>Penambahan kapitalisasi biaya perkebunan (106.259)</t>
        </is>
      </c>
      <c r="J1199" t="inlineStr">
        <is>
          <t>High</t>
        </is>
      </c>
      <c r="M1199" t="inlineStr">
        <is>
          <t>LLM</t>
        </is>
      </c>
      <c r="N1199" t="inlineStr">
        <is>
          <t>2026-04-18</t>
        </is>
      </c>
      <c r="O1199" t="inlineStr">
        <is>
          <t>AI</t>
        </is>
      </c>
    </row>
    <row r="1200">
      <c r="A1200" t="inlineStr">
        <is>
          <t>PT Dharma Satya Nusantara Tbk</t>
        </is>
      </c>
      <c r="B1200" t="inlineStr">
        <is>
          <t>DSNG_2022_AR.pdf</t>
        </is>
      </c>
      <c r="C1200" t="n">
        <v>2022</v>
      </c>
      <c r="D1200" t="inlineStr">
        <is>
          <t>Financial</t>
        </is>
      </c>
      <c r="E1200" t="inlineStr">
        <is>
          <t>Depreciation of fixed assets</t>
        </is>
      </c>
      <c r="F1200" t="n">
        <v>478.683</v>
      </c>
      <c r="G1200" t="inlineStr">
        <is>
          <t>IDR bn</t>
        </is>
      </c>
      <c r="H1200" t="n">
        <v>226</v>
      </c>
      <c r="I1200" t="inlineStr">
        <is>
          <t>Akumulasi penyusutan 478.683 (total charge 2022)</t>
        </is>
      </c>
      <c r="J1200" t="inlineStr">
        <is>
          <t>High</t>
        </is>
      </c>
      <c r="M1200" t="inlineStr">
        <is>
          <t>LLM</t>
        </is>
      </c>
      <c r="N1200" t="inlineStr">
        <is>
          <t>2026-04-18</t>
        </is>
      </c>
      <c r="O1200" t="inlineStr">
        <is>
          <t>AI</t>
        </is>
      </c>
    </row>
    <row r="1201">
      <c r="A1201" t="inlineStr">
        <is>
          <t>PT Dharma Satya Nusantara Tbk</t>
        </is>
      </c>
      <c r="B1201" t="inlineStr">
        <is>
          <t>DSNG_2022_AR.pdf</t>
        </is>
      </c>
      <c r="C1201" t="n">
        <v>2022</v>
      </c>
      <c r="D1201" t="inlineStr">
        <is>
          <t>Financial</t>
        </is>
      </c>
      <c r="E1201" t="inlineStr">
        <is>
          <t>Amortization of bearer plants</t>
        </is>
      </c>
      <c r="F1201" t="n">
        <v>243.793</v>
      </c>
      <c r="G1201" t="inlineStr">
        <is>
          <t>IDR bn</t>
        </is>
      </c>
      <c r="H1201" t="n">
        <v>224</v>
      </c>
      <c r="I1201" t="inlineStr">
        <is>
          <t>Akumulasi amortisasi (243.793) Tanaman menghasilkan</t>
        </is>
      </c>
      <c r="J1201" t="inlineStr">
        <is>
          <t>High</t>
        </is>
      </c>
      <c r="M1201" t="inlineStr">
        <is>
          <t>LLM</t>
        </is>
      </c>
      <c r="N1201" t="inlineStr">
        <is>
          <t>2026-04-18</t>
        </is>
      </c>
      <c r="O1201" t="inlineStr">
        <is>
          <t>AI</t>
        </is>
      </c>
    </row>
    <row r="1202">
      <c r="A1202" t="inlineStr">
        <is>
          <t>PT Dharma Satya Nusantara Tbk</t>
        </is>
      </c>
      <c r="B1202" t="inlineStr">
        <is>
          <t>DSNG_2022_AR.pdf</t>
        </is>
      </c>
      <c r="C1202" t="n">
        <v>2022</v>
      </c>
      <c r="D1202" t="inlineStr">
        <is>
          <t>Financial</t>
        </is>
      </c>
      <c r="E1202" t="inlineStr">
        <is>
          <t>Closing stock price 2022 Q4</t>
        </is>
      </c>
      <c r="F1202" t="n">
        <v>496</v>
      </c>
      <c r="G1202" t="inlineStr">
        <is>
          <t>IDR</t>
        </is>
      </c>
      <c r="H1202" t="n">
        <v>17</v>
      </c>
      <c r="I1202" t="inlineStr">
        <is>
          <t>Kuartal IV HARGA PENUTUPAN 496</t>
        </is>
      </c>
      <c r="J1202" t="inlineStr">
        <is>
          <t>High</t>
        </is>
      </c>
      <c r="M1202" t="inlineStr">
        <is>
          <t>LLM</t>
        </is>
      </c>
      <c r="N1202" t="inlineStr">
        <is>
          <t>2026-04-18</t>
        </is>
      </c>
      <c r="O1202" t="inlineStr">
        <is>
          <t>AI</t>
        </is>
      </c>
    </row>
    <row r="1203">
      <c r="A1203" t="inlineStr">
        <is>
          <t>PT Dharma Satya Nusantara Tbk</t>
        </is>
      </c>
      <c r="B1203" t="inlineStr">
        <is>
          <t>DSNG_2022_AR.pdf</t>
        </is>
      </c>
      <c r="C1203" t="n">
        <v>2022</v>
      </c>
      <c r="D1203" t="inlineStr">
        <is>
          <t>Financial</t>
        </is>
      </c>
      <c r="E1203" t="inlineStr">
        <is>
          <t>Dividend FY2021 paid in 2022</t>
        </is>
      </c>
      <c r="F1203" t="n">
        <v>20</v>
      </c>
      <c r="G1203" t="inlineStr">
        <is>
          <t>IDR/share</t>
        </is>
      </c>
      <c r="H1203" t="n">
        <v>19</v>
      </c>
      <c r="I1203" t="inlineStr">
        <is>
          <t>Tahun 2022, Perseroan membagikan dividen tahun buku 2021 sebesar Rp 212,0 miliar atau Rp 20/saham</t>
        </is>
      </c>
      <c r="J1203" t="inlineStr">
        <is>
          <t>High</t>
        </is>
      </c>
      <c r="M1203" t="inlineStr">
        <is>
          <t>LLM</t>
        </is>
      </c>
      <c r="N1203" t="inlineStr">
        <is>
          <t>2026-04-18</t>
        </is>
      </c>
      <c r="O1203" t="inlineStr">
        <is>
          <t>AI</t>
        </is>
      </c>
    </row>
    <row r="1204">
      <c r="A1204" t="inlineStr">
        <is>
          <t>PT Dharma Satya Nusantara Tbk</t>
        </is>
      </c>
      <c r="B1204" t="inlineStr">
        <is>
          <t>DSNG_2022_AR.pdf</t>
        </is>
      </c>
      <c r="C1204" t="n">
        <v>2022</v>
      </c>
      <c r="D1204" t="inlineStr">
        <is>
          <t>Asset</t>
        </is>
      </c>
      <c r="E1204" t="inlineStr">
        <is>
          <t>Total planted area</t>
        </is>
      </c>
      <c r="F1204" t="n">
        <v>112500</v>
      </c>
      <c r="G1204" t="inlineStr">
        <is>
          <t>ha</t>
        </is>
      </c>
      <c r="H1204" t="n">
        <v>6</v>
      </c>
      <c r="I1204" t="inlineStr">
        <is>
          <t>112.500 Ha LAHAN TERTANAM</t>
        </is>
      </c>
      <c r="J1204" t="inlineStr">
        <is>
          <t>High</t>
        </is>
      </c>
      <c r="M1204" t="inlineStr">
        <is>
          <t>LLM</t>
        </is>
      </c>
      <c r="N1204" t="inlineStr">
        <is>
          <t>2026-04-18</t>
        </is>
      </c>
      <c r="O1204" t="inlineStr">
        <is>
          <t>AI</t>
        </is>
      </c>
    </row>
    <row r="1205">
      <c r="A1205" t="inlineStr">
        <is>
          <t>PT Dharma Satya Nusantara Tbk</t>
        </is>
      </c>
      <c r="B1205" t="inlineStr">
        <is>
          <t>DSNG_2022_AR.pdf</t>
        </is>
      </c>
      <c r="C1205" t="n">
        <v>2022</v>
      </c>
      <c r="D1205" t="inlineStr">
        <is>
          <t>Asset</t>
        </is>
      </c>
      <c r="E1205" t="inlineStr">
        <is>
          <t>Nucleus planted area</t>
        </is>
      </c>
      <c r="F1205" t="n">
        <v>84600</v>
      </c>
      <c r="G1205" t="inlineStr">
        <is>
          <t>ha</t>
        </is>
      </c>
      <c r="H1205" t="n">
        <v>6</v>
      </c>
      <c r="I1205" t="inlineStr">
        <is>
          <t>dengan 84.600 hektar merupakan lahan tertanam kebun inti</t>
        </is>
      </c>
      <c r="J1205" t="inlineStr">
        <is>
          <t>High</t>
        </is>
      </c>
      <c r="M1205" t="inlineStr">
        <is>
          <t>LLM</t>
        </is>
      </c>
      <c r="N1205" t="inlineStr">
        <is>
          <t>2026-04-18</t>
        </is>
      </c>
      <c r="O1205" t="inlineStr">
        <is>
          <t>AI</t>
        </is>
      </c>
    </row>
    <row r="1206">
      <c r="A1206" t="inlineStr">
        <is>
          <t>PT Dharma Satya Nusantara Tbk</t>
        </is>
      </c>
      <c r="B1206" t="inlineStr">
        <is>
          <t>DSNG_2022_AR.pdf</t>
        </is>
      </c>
      <c r="C1206" t="n">
        <v>2022</v>
      </c>
      <c r="D1206" t="inlineStr">
        <is>
          <t>Asset</t>
        </is>
      </c>
      <c r="E1206" t="inlineStr">
        <is>
          <t>Plasma planted area</t>
        </is>
      </c>
      <c r="F1206" t="n">
        <v>28300</v>
      </c>
      <c r="G1206" t="inlineStr">
        <is>
          <t>ha</t>
        </is>
      </c>
      <c r="H1206" t="n">
        <v>62</v>
      </c>
      <c r="I1206" t="inlineStr">
        <is>
          <t>plasma mencapai 28,3 ribu hektar</t>
        </is>
      </c>
      <c r="J1206" t="inlineStr">
        <is>
          <t>High</t>
        </is>
      </c>
      <c r="M1206" t="inlineStr">
        <is>
          <t>LLM</t>
        </is>
      </c>
      <c r="N1206" t="inlineStr">
        <is>
          <t>2026-04-18</t>
        </is>
      </c>
      <c r="O1206" t="inlineStr">
        <is>
          <t>AI</t>
        </is>
      </c>
    </row>
    <row r="1207">
      <c r="A1207" t="inlineStr">
        <is>
          <t>PT Dharma Satya Nusantara Tbk</t>
        </is>
      </c>
      <c r="B1207" t="inlineStr">
        <is>
          <t>DSNG_2022_AR.pdf</t>
        </is>
      </c>
      <c r="C1207" t="n">
        <v>2022</v>
      </c>
      <c r="D1207" t="inlineStr">
        <is>
          <t>Asset</t>
        </is>
      </c>
      <c r="E1207" t="inlineStr">
        <is>
          <t>Mature area approx</t>
        </is>
      </c>
      <c r="F1207" t="n">
        <v>104000</v>
      </c>
      <c r="G1207" t="inlineStr">
        <is>
          <t>ha</t>
        </is>
      </c>
      <c r="H1207" t="n">
        <v>6</v>
      </c>
      <c r="I1207" t="inlineStr">
        <is>
          <t>104.000 Ha TELAH MENGHASILKAN Mature Areas</t>
        </is>
      </c>
      <c r="J1207" t="inlineStr">
        <is>
          <t>High</t>
        </is>
      </c>
      <c r="M1207" t="inlineStr">
        <is>
          <t>LLM</t>
        </is>
      </c>
      <c r="N1207" t="inlineStr">
        <is>
          <t>2026-04-18</t>
        </is>
      </c>
      <c r="O1207" t="inlineStr">
        <is>
          <t>AI</t>
        </is>
      </c>
    </row>
    <row r="1208">
      <c r="A1208" t="inlineStr">
        <is>
          <t>PT Dharma Satya Nusantara Tbk</t>
        </is>
      </c>
      <c r="B1208" t="inlineStr">
        <is>
          <t>DSNG_2022_AR.pdf</t>
        </is>
      </c>
      <c r="C1208" t="n">
        <v>2022</v>
      </c>
      <c r="D1208" t="inlineStr">
        <is>
          <t>Asset</t>
        </is>
      </c>
      <c r="E1208" t="inlineStr">
        <is>
          <t>Average tree age (nucleus &amp; plasma)</t>
        </is>
      </c>
      <c r="F1208" t="n">
        <v>12.8</v>
      </c>
      <c r="G1208" t="inlineStr">
        <is>
          <t>years</t>
        </is>
      </c>
      <c r="H1208" t="n">
        <v>6</v>
      </c>
      <c r="I1208" t="inlineStr">
        <is>
          <t>12,8 Tahun USIA RATA-RATA (INTI &amp; PLASMA)</t>
        </is>
      </c>
      <c r="J1208" t="inlineStr">
        <is>
          <t>High</t>
        </is>
      </c>
      <c r="M1208" t="inlineStr">
        <is>
          <t>LLM</t>
        </is>
      </c>
      <c r="N1208" t="inlineStr">
        <is>
          <t>2026-04-18</t>
        </is>
      </c>
      <c r="O1208" t="inlineStr">
        <is>
          <t>AI</t>
        </is>
      </c>
    </row>
    <row r="1209">
      <c r="A1209" t="inlineStr">
        <is>
          <t>PT Dharma Satya Nusantara Tbk</t>
        </is>
      </c>
      <c r="B1209" t="inlineStr">
        <is>
          <t>DSNG_2022_AR.pdf</t>
        </is>
      </c>
      <c r="C1209" t="n">
        <v>2022</v>
      </c>
      <c r="D1209" t="inlineStr">
        <is>
          <t>Asset</t>
        </is>
      </c>
      <c r="E1209" t="inlineStr">
        <is>
          <t>Palm oil mills (POM)</t>
        </is>
      </c>
      <c r="F1209" t="n">
        <v>12</v>
      </c>
      <c r="G1209" t="inlineStr">
        <is>
          <t>mills</t>
        </is>
      </c>
      <c r="H1209" t="n">
        <v>62</v>
      </c>
      <c r="I1209" t="inlineStr">
        <is>
          <t>Perseroan juga memiliki 12 pabrik kelapa sawit (PKS)</t>
        </is>
      </c>
      <c r="J1209" t="inlineStr">
        <is>
          <t>High</t>
        </is>
      </c>
      <c r="M1209" t="inlineStr">
        <is>
          <t>LLM</t>
        </is>
      </c>
      <c r="N1209" t="inlineStr">
        <is>
          <t>2026-04-18</t>
        </is>
      </c>
      <c r="O1209" t="inlineStr">
        <is>
          <t>AI</t>
        </is>
      </c>
    </row>
    <row r="1210">
      <c r="A1210" t="inlineStr">
        <is>
          <t>PT Dharma Satya Nusantara Tbk</t>
        </is>
      </c>
      <c r="B1210" t="inlineStr">
        <is>
          <t>DSNG_2022_AR.pdf</t>
        </is>
      </c>
      <c r="C1210" t="n">
        <v>2022</v>
      </c>
      <c r="D1210" t="inlineStr">
        <is>
          <t>Asset</t>
        </is>
      </c>
      <c r="E1210" t="inlineStr">
        <is>
          <t>POM total capacity</t>
        </is>
      </c>
      <c r="F1210" t="n">
        <v>675</v>
      </c>
      <c r="G1210" t="inlineStr">
        <is>
          <t>tons FFB/hour</t>
        </is>
      </c>
      <c r="H1210" t="n">
        <v>62</v>
      </c>
      <c r="I1210" t="inlineStr">
        <is>
          <t>kapasitas produksi total mencapai 675 ton/jam</t>
        </is>
      </c>
      <c r="J1210" t="inlineStr">
        <is>
          <t>High</t>
        </is>
      </c>
      <c r="M1210" t="inlineStr">
        <is>
          <t>LLM</t>
        </is>
      </c>
      <c r="N1210" t="inlineStr">
        <is>
          <t>2026-04-18</t>
        </is>
      </c>
      <c r="O1210" t="inlineStr">
        <is>
          <t>AI</t>
        </is>
      </c>
    </row>
    <row r="1211">
      <c r="A1211" t="inlineStr">
        <is>
          <t>PT Dharma Satya Nusantara Tbk</t>
        </is>
      </c>
      <c r="B1211" t="inlineStr">
        <is>
          <t>DSNG_2022_AR.pdf</t>
        </is>
      </c>
      <c r="C1211" t="n">
        <v>2022</v>
      </c>
      <c r="D1211" t="inlineStr">
        <is>
          <t>Asset</t>
        </is>
      </c>
      <c r="E1211" t="inlineStr">
        <is>
          <t>KCP (kernel crushing plant) capacity</t>
        </is>
      </c>
      <c r="F1211" t="n">
        <v>400</v>
      </c>
      <c r="G1211" t="inlineStr">
        <is>
          <t>tons/day</t>
        </is>
      </c>
      <c r="H1211" t="n">
        <v>62</v>
      </c>
      <c r="I1211" t="inlineStr">
        <is>
          <t>kernel crushing plant ... dengan kapasitas 400 ton/hari</t>
        </is>
      </c>
      <c r="J1211" t="inlineStr">
        <is>
          <t>High</t>
        </is>
      </c>
      <c r="M1211" t="inlineStr">
        <is>
          <t>LLM</t>
        </is>
      </c>
      <c r="N1211" t="inlineStr">
        <is>
          <t>2026-04-18</t>
        </is>
      </c>
      <c r="O1211" t="inlineStr">
        <is>
          <t>AI</t>
        </is>
      </c>
    </row>
    <row r="1212">
      <c r="A1212" t="inlineStr">
        <is>
          <t>PT Dharma Satya Nusantara Tbk</t>
        </is>
      </c>
      <c r="B1212" t="inlineStr">
        <is>
          <t>DSNG_2022_AR.pdf</t>
        </is>
      </c>
      <c r="C1212" t="n">
        <v>2022</v>
      </c>
      <c r="D1212" t="inlineStr">
        <is>
          <t>Asset</t>
        </is>
      </c>
      <c r="E1212" t="inlineStr">
        <is>
          <t>CPO storage tank capacity</t>
        </is>
      </c>
      <c r="F1212" t="n">
        <v>97000</v>
      </c>
      <c r="G1212" t="inlineStr">
        <is>
          <t>tons</t>
        </is>
      </c>
      <c r="H1212" t="n">
        <v>61</v>
      </c>
      <c r="I1212" t="inlineStr">
        <is>
          <t>KAPASITAS PENYIMPANAN CPO 97.000 TON CPO</t>
        </is>
      </c>
      <c r="J1212" t="inlineStr">
        <is>
          <t>High</t>
        </is>
      </c>
      <c r="M1212" t="inlineStr">
        <is>
          <t>LLM</t>
        </is>
      </c>
      <c r="N1212" t="inlineStr">
        <is>
          <t>2026-04-18</t>
        </is>
      </c>
      <c r="O1212" t="inlineStr">
        <is>
          <t>AI</t>
        </is>
      </c>
    </row>
    <row r="1213">
      <c r="A1213" t="inlineStr">
        <is>
          <t>PT Dharma Satya Nusantara Tbk</t>
        </is>
      </c>
      <c r="B1213" t="inlineStr">
        <is>
          <t>DSNG_2022_AR.pdf</t>
        </is>
      </c>
      <c r="C1213" t="n">
        <v>2022</v>
      </c>
      <c r="D1213" t="inlineStr">
        <is>
          <t>Asset</t>
        </is>
      </c>
      <c r="E1213" t="inlineStr">
        <is>
          <t>Contiguous East Kalimantan area</t>
        </is>
      </c>
      <c r="F1213" t="n">
        <v>63000</v>
      </c>
      <c r="G1213" t="inlineStr">
        <is>
          <t>ha</t>
        </is>
      </c>
      <c r="H1213" t="n">
        <v>6</v>
      </c>
      <c r="I1213" t="inlineStr">
        <is>
          <t>63.000 Ha DALAM SATU HAMPARAN</t>
        </is>
      </c>
      <c r="J1213" t="inlineStr">
        <is>
          <t>High</t>
        </is>
      </c>
      <c r="M1213" t="inlineStr">
        <is>
          <t>LLM</t>
        </is>
      </c>
      <c r="N1213" t="inlineStr">
        <is>
          <t>2026-04-18</t>
        </is>
      </c>
      <c r="O1213" t="inlineStr">
        <is>
          <t>AI</t>
        </is>
      </c>
    </row>
    <row r="1214">
      <c r="A1214" t="inlineStr">
        <is>
          <t>PT Dharma Satya Nusantara Tbk</t>
        </is>
      </c>
      <c r="B1214" t="inlineStr">
        <is>
          <t>DSNG_2022_AR.pdf</t>
        </is>
      </c>
      <c r="C1214" t="n">
        <v>2022</v>
      </c>
      <c r="D1214" t="inlineStr">
        <is>
          <t>Operation</t>
        </is>
      </c>
      <c r="E1214" t="inlineStr">
        <is>
          <t>FFB production</t>
        </is>
      </c>
      <c r="F1214" t="n">
        <v>2213698</v>
      </c>
      <c r="G1214" t="inlineStr">
        <is>
          <t>tons</t>
        </is>
      </c>
      <c r="H1214" t="n">
        <v>88</v>
      </c>
      <c r="I1214" t="inlineStr">
        <is>
          <t>Produksi TBS/FFB Production 2.213.698</t>
        </is>
      </c>
      <c r="J1214" t="inlineStr">
        <is>
          <t>High</t>
        </is>
      </c>
      <c r="M1214" t="inlineStr">
        <is>
          <t>LLM</t>
        </is>
      </c>
      <c r="N1214" t="inlineStr">
        <is>
          <t>2026-04-18</t>
        </is>
      </c>
      <c r="O1214" t="inlineStr">
        <is>
          <t>AI</t>
        </is>
      </c>
    </row>
    <row r="1215">
      <c r="A1215" t="inlineStr">
        <is>
          <t>PT Dharma Satya Nusantara Tbk</t>
        </is>
      </c>
      <c r="B1215" t="inlineStr">
        <is>
          <t>DSNG_2022_AR.pdf</t>
        </is>
      </c>
      <c r="C1215" t="n">
        <v>2022</v>
      </c>
      <c r="D1215" t="inlineStr">
        <is>
          <t>Operation</t>
        </is>
      </c>
      <c r="E1215" t="inlineStr">
        <is>
          <t>FFB - Nucleus</t>
        </is>
      </c>
      <c r="F1215" t="n">
        <v>1758257</v>
      </c>
      <c r="G1215" t="inlineStr">
        <is>
          <t>tons</t>
        </is>
      </c>
      <c r="H1215" t="n">
        <v>88</v>
      </c>
      <c r="I1215" t="inlineStr">
        <is>
          <t>Inti/Nucleus 1.758.257</t>
        </is>
      </c>
      <c r="J1215" t="inlineStr">
        <is>
          <t>High</t>
        </is>
      </c>
      <c r="M1215" t="inlineStr">
        <is>
          <t>LLM</t>
        </is>
      </c>
      <c r="N1215" t="inlineStr">
        <is>
          <t>2026-04-18</t>
        </is>
      </c>
      <c r="O1215" t="inlineStr">
        <is>
          <t>AI</t>
        </is>
      </c>
    </row>
    <row r="1216">
      <c r="A1216" t="inlineStr">
        <is>
          <t>PT Dharma Satya Nusantara Tbk</t>
        </is>
      </c>
      <c r="B1216" t="inlineStr">
        <is>
          <t>DSNG_2022_AR.pdf</t>
        </is>
      </c>
      <c r="C1216" t="n">
        <v>2022</v>
      </c>
      <c r="D1216" t="inlineStr">
        <is>
          <t>Operation</t>
        </is>
      </c>
      <c r="E1216" t="inlineStr">
        <is>
          <t>FFB - Plasma</t>
        </is>
      </c>
      <c r="F1216" t="n">
        <v>455442</v>
      </c>
      <c r="G1216" t="inlineStr">
        <is>
          <t>tons</t>
        </is>
      </c>
      <c r="H1216" t="n">
        <v>88</v>
      </c>
      <c r="I1216" t="inlineStr">
        <is>
          <t>Plasma 455.442</t>
        </is>
      </c>
      <c r="J1216" t="inlineStr">
        <is>
          <t>High</t>
        </is>
      </c>
      <c r="M1216" t="inlineStr">
        <is>
          <t>LLM</t>
        </is>
      </c>
      <c r="N1216" t="inlineStr">
        <is>
          <t>2026-04-18</t>
        </is>
      </c>
      <c r="O1216" t="inlineStr">
        <is>
          <t>AI</t>
        </is>
      </c>
    </row>
    <row r="1217">
      <c r="A1217" t="inlineStr">
        <is>
          <t>PT Dharma Satya Nusantara Tbk</t>
        </is>
      </c>
      <c r="B1217" t="inlineStr">
        <is>
          <t>DSNG_2022_AR.pdf</t>
        </is>
      </c>
      <c r="C1217" t="n">
        <v>2022</v>
      </c>
      <c r="D1217" t="inlineStr">
        <is>
          <t>Operation</t>
        </is>
      </c>
      <c r="E1217" t="inlineStr">
        <is>
          <t>FFB processed</t>
        </is>
      </c>
      <c r="F1217" t="n">
        <v>2809177</v>
      </c>
      <c r="G1217" t="inlineStr">
        <is>
          <t>tons</t>
        </is>
      </c>
      <c r="H1217" t="n">
        <v>88</v>
      </c>
      <c r="I1217" t="inlineStr">
        <is>
          <t>TBS Diproses/FFB Processed 2.809.177</t>
        </is>
      </c>
      <c r="J1217" t="inlineStr">
        <is>
          <t>High</t>
        </is>
      </c>
      <c r="M1217" t="inlineStr">
        <is>
          <t>LLM</t>
        </is>
      </c>
      <c r="N1217" t="inlineStr">
        <is>
          <t>2026-04-18</t>
        </is>
      </c>
      <c r="O1217" t="inlineStr">
        <is>
          <t>AI</t>
        </is>
      </c>
    </row>
    <row r="1218">
      <c r="A1218" t="inlineStr">
        <is>
          <t>PT Dharma Satya Nusantara Tbk</t>
        </is>
      </c>
      <c r="B1218" t="inlineStr">
        <is>
          <t>DSNG_2022_AR.pdf</t>
        </is>
      </c>
      <c r="C1218" t="n">
        <v>2022</v>
      </c>
      <c r="D1218" t="inlineStr">
        <is>
          <t>Operation</t>
        </is>
      </c>
      <c r="E1218" t="inlineStr">
        <is>
          <t>CPO production</t>
        </is>
      </c>
      <c r="F1218" t="n">
        <v>639480</v>
      </c>
      <c r="G1218" t="inlineStr">
        <is>
          <t>tons</t>
        </is>
      </c>
      <c r="H1218" t="n">
        <v>88</v>
      </c>
      <c r="I1218" t="inlineStr">
        <is>
          <t>Produksi CPO 639.480</t>
        </is>
      </c>
      <c r="J1218" t="inlineStr">
        <is>
          <t>High</t>
        </is>
      </c>
      <c r="M1218" t="inlineStr">
        <is>
          <t>LLM</t>
        </is>
      </c>
      <c r="N1218" t="inlineStr">
        <is>
          <t>2026-04-18</t>
        </is>
      </c>
      <c r="O1218" t="inlineStr">
        <is>
          <t>AI</t>
        </is>
      </c>
    </row>
    <row r="1219">
      <c r="A1219" t="inlineStr">
        <is>
          <t>PT Dharma Satya Nusantara Tbk</t>
        </is>
      </c>
      <c r="B1219" t="inlineStr">
        <is>
          <t>DSNG_2022_AR.pdf</t>
        </is>
      </c>
      <c r="C1219" t="n">
        <v>2022</v>
      </c>
      <c r="D1219" t="inlineStr">
        <is>
          <t>Operation</t>
        </is>
      </c>
      <c r="E1219" t="inlineStr">
        <is>
          <t>PK production</t>
        </is>
      </c>
      <c r="F1219" t="n">
        <v>117622</v>
      </c>
      <c r="G1219" t="inlineStr">
        <is>
          <t>tons</t>
        </is>
      </c>
      <c r="H1219" t="n">
        <v>88</v>
      </c>
      <c r="I1219" t="inlineStr">
        <is>
          <t>Produksi PK 117.622</t>
        </is>
      </c>
      <c r="J1219" t="inlineStr">
        <is>
          <t>High</t>
        </is>
      </c>
      <c r="M1219" t="inlineStr">
        <is>
          <t>LLM</t>
        </is>
      </c>
      <c r="N1219" t="inlineStr">
        <is>
          <t>2026-04-18</t>
        </is>
      </c>
      <c r="O1219" t="inlineStr">
        <is>
          <t>AI</t>
        </is>
      </c>
    </row>
    <row r="1220">
      <c r="A1220" t="inlineStr">
        <is>
          <t>PT Dharma Satya Nusantara Tbk</t>
        </is>
      </c>
      <c r="B1220" t="inlineStr">
        <is>
          <t>DSNG_2022_AR.pdf</t>
        </is>
      </c>
      <c r="C1220" t="n">
        <v>2022</v>
      </c>
      <c r="D1220" t="inlineStr">
        <is>
          <t>Operation</t>
        </is>
      </c>
      <c r="E1220" t="inlineStr">
        <is>
          <t>PKO production</t>
        </is>
      </c>
      <c r="F1220" t="n">
        <v>37970</v>
      </c>
      <c r="G1220" t="inlineStr">
        <is>
          <t>tons</t>
        </is>
      </c>
      <c r="H1220" t="n">
        <v>88</v>
      </c>
      <c r="I1220" t="inlineStr">
        <is>
          <t>Produksi PKO 37.970</t>
        </is>
      </c>
      <c r="J1220" t="inlineStr">
        <is>
          <t>High</t>
        </is>
      </c>
      <c r="M1220" t="inlineStr">
        <is>
          <t>LLM</t>
        </is>
      </c>
      <c r="N1220" t="inlineStr">
        <is>
          <t>2026-04-18</t>
        </is>
      </c>
      <c r="O1220" t="inlineStr">
        <is>
          <t>AI</t>
        </is>
      </c>
    </row>
    <row r="1221">
      <c r="A1221" t="inlineStr">
        <is>
          <t>PT Dharma Satya Nusantara Tbk</t>
        </is>
      </c>
      <c r="B1221" t="inlineStr">
        <is>
          <t>DSNG_2022_AR.pdf</t>
        </is>
      </c>
      <c r="C1221" t="n">
        <v>2022</v>
      </c>
      <c r="D1221" t="inlineStr">
        <is>
          <t>Operation</t>
        </is>
      </c>
      <c r="E1221" t="inlineStr">
        <is>
          <t>CPO OER</t>
        </is>
      </c>
      <c r="F1221" t="n">
        <v>0.2276</v>
      </c>
      <c r="G1221" t="inlineStr">
        <is>
          <t>decimal</t>
        </is>
      </c>
      <c r="H1221" t="n">
        <v>88</v>
      </c>
      <c r="I1221" t="inlineStr">
        <is>
          <t>CPO OER (%) 22,76</t>
        </is>
      </c>
      <c r="J1221" t="inlineStr">
        <is>
          <t>High</t>
        </is>
      </c>
      <c r="M1221" t="inlineStr">
        <is>
          <t>LLM</t>
        </is>
      </c>
      <c r="N1221" t="inlineStr">
        <is>
          <t>2026-04-18</t>
        </is>
      </c>
      <c r="O1221" t="inlineStr">
        <is>
          <t>AI</t>
        </is>
      </c>
    </row>
    <row r="1222">
      <c r="A1222" t="inlineStr">
        <is>
          <t>PT Dharma Satya Nusantara Tbk</t>
        </is>
      </c>
      <c r="B1222" t="inlineStr">
        <is>
          <t>DSNG_2022_AR.pdf</t>
        </is>
      </c>
      <c r="C1222" t="n">
        <v>2022</v>
      </c>
      <c r="D1222" t="inlineStr">
        <is>
          <t>Operation</t>
        </is>
      </c>
      <c r="E1222" t="inlineStr">
        <is>
          <t>FFA</t>
        </is>
      </c>
      <c r="F1222" t="n">
        <v>0.0378</v>
      </c>
      <c r="G1222" t="inlineStr">
        <is>
          <t>decimal</t>
        </is>
      </c>
      <c r="H1222" t="n">
        <v>88</v>
      </c>
      <c r="I1222" t="inlineStr">
        <is>
          <t>FFA (%) 3,78</t>
        </is>
      </c>
      <c r="J1222" t="inlineStr">
        <is>
          <t>High</t>
        </is>
      </c>
      <c r="M1222" t="inlineStr">
        <is>
          <t>LLM</t>
        </is>
      </c>
      <c r="N1222" t="inlineStr">
        <is>
          <t>2026-04-18</t>
        </is>
      </c>
      <c r="O1222" t="inlineStr">
        <is>
          <t>AI</t>
        </is>
      </c>
    </row>
    <row r="1223">
      <c r="A1223" t="inlineStr">
        <is>
          <t>PT Dharma Satya Nusantara Tbk</t>
        </is>
      </c>
      <c r="B1223" t="inlineStr">
        <is>
          <t>DSNG_2022_AR.pdf</t>
        </is>
      </c>
      <c r="C1223" t="n">
        <v>2022</v>
      </c>
      <c r="D1223" t="inlineStr">
        <is>
          <t>Operation</t>
        </is>
      </c>
      <c r="E1223" t="inlineStr">
        <is>
          <t>CPO sales volume</t>
        </is>
      </c>
      <c r="F1223" t="n">
        <v>639518</v>
      </c>
      <c r="G1223" t="inlineStr">
        <is>
          <t>tons</t>
        </is>
      </c>
      <c r="H1223" t="n">
        <v>88</v>
      </c>
      <c r="I1223" t="inlineStr">
        <is>
          <t>Volume Penjualan CPO 639.518</t>
        </is>
      </c>
      <c r="J1223" t="inlineStr">
        <is>
          <t>High</t>
        </is>
      </c>
      <c r="M1223" t="inlineStr">
        <is>
          <t>LLM</t>
        </is>
      </c>
      <c r="N1223" t="inlineStr">
        <is>
          <t>2026-04-18</t>
        </is>
      </c>
      <c r="O1223" t="inlineStr">
        <is>
          <t>AI</t>
        </is>
      </c>
    </row>
    <row r="1224">
      <c r="A1224" t="inlineStr">
        <is>
          <t>PT Dharma Satya Nusantara Tbk</t>
        </is>
      </c>
      <c r="B1224" t="inlineStr">
        <is>
          <t>DSNG_2022_AR.pdf</t>
        </is>
      </c>
      <c r="C1224" t="n">
        <v>2022</v>
      </c>
      <c r="D1224" t="inlineStr">
        <is>
          <t>Operation</t>
        </is>
      </c>
      <c r="E1224" t="inlineStr">
        <is>
          <t>CPO ASP</t>
        </is>
      </c>
      <c r="F1224" t="n">
        <v>11180000</v>
      </c>
      <c r="G1224" t="inlineStr">
        <is>
          <t>IDR/ton</t>
        </is>
      </c>
      <c r="H1224" t="n">
        <v>88</v>
      </c>
      <c r="I1224" t="inlineStr">
        <is>
          <t>Harga Rata-rata CPO 11,18 Rp million/ton</t>
        </is>
      </c>
      <c r="J1224" t="inlineStr">
        <is>
          <t>High</t>
        </is>
      </c>
      <c r="M1224" t="inlineStr">
        <is>
          <t>LLM</t>
        </is>
      </c>
      <c r="N1224" t="inlineStr">
        <is>
          <t>2026-04-18</t>
        </is>
      </c>
      <c r="O1224" t="inlineStr">
        <is>
          <t>AI</t>
        </is>
      </c>
    </row>
    <row r="1225">
      <c r="A1225" t="inlineStr">
        <is>
          <t>PT Dharma Satya Nusantara Tbk</t>
        </is>
      </c>
      <c r="B1225" t="inlineStr">
        <is>
          <t>DSNG_2022_AR.pdf</t>
        </is>
      </c>
      <c r="C1225" t="n">
        <v>2022</v>
      </c>
      <c r="D1225" t="inlineStr">
        <is>
          <t>Operation</t>
        </is>
      </c>
      <c r="E1225" t="inlineStr">
        <is>
          <t>PKO ASP</t>
        </is>
      </c>
      <c r="F1225" t="n">
        <v>17480000</v>
      </c>
      <c r="G1225" t="inlineStr">
        <is>
          <t>IDR/ton</t>
        </is>
      </c>
      <c r="H1225" t="n">
        <v>88</v>
      </c>
      <c r="I1225" t="inlineStr">
        <is>
          <t>Harga Rata-rata PKO 17,48 Rp million/ton</t>
        </is>
      </c>
      <c r="J1225" t="inlineStr">
        <is>
          <t>High</t>
        </is>
      </c>
      <c r="M1225" t="inlineStr">
        <is>
          <t>LLM</t>
        </is>
      </c>
      <c r="N1225" t="inlineStr">
        <is>
          <t>2026-04-18</t>
        </is>
      </c>
      <c r="O1225" t="inlineStr">
        <is>
          <t>AI</t>
        </is>
      </c>
    </row>
    <row r="1226">
      <c r="A1226" t="inlineStr">
        <is>
          <t>PT Dharma Satya Nusantara Tbk</t>
        </is>
      </c>
      <c r="B1226" t="inlineStr">
        <is>
          <t>DSNG_2022_AR.pdf</t>
        </is>
      </c>
      <c r="C1226" t="n">
        <v>2022</v>
      </c>
      <c r="D1226" t="inlineStr">
        <is>
          <t>Operation</t>
        </is>
      </c>
      <c r="E1226" t="inlineStr">
        <is>
          <t>Wood product - panel sales</t>
        </is>
      </c>
      <c r="F1226" t="n">
        <v>115700</v>
      </c>
      <c r="G1226" t="inlineStr">
        <is>
          <t>m3</t>
        </is>
      </c>
      <c r="H1226" t="n">
        <v>89</v>
      </c>
      <c r="I1226" t="inlineStr">
        <is>
          <t>Panel 115,7 thousand m3</t>
        </is>
      </c>
      <c r="J1226" t="inlineStr">
        <is>
          <t>High</t>
        </is>
      </c>
      <c r="M1226" t="inlineStr">
        <is>
          <t>LLM</t>
        </is>
      </c>
      <c r="N1226" t="inlineStr">
        <is>
          <t>2026-04-18</t>
        </is>
      </c>
      <c r="O1226" t="inlineStr">
        <is>
          <t>AI</t>
        </is>
      </c>
    </row>
    <row r="1227">
      <c r="A1227" t="inlineStr">
        <is>
          <t>PT Dharma Satya Nusantara Tbk</t>
        </is>
      </c>
      <c r="B1227" t="inlineStr">
        <is>
          <t>DSNG_2022_AR.pdf</t>
        </is>
      </c>
      <c r="C1227" t="n">
        <v>2022</v>
      </c>
      <c r="D1227" t="inlineStr">
        <is>
          <t>Operation</t>
        </is>
      </c>
      <c r="E1227" t="inlineStr">
        <is>
          <t>Wood product - engineered flooring sales</t>
        </is>
      </c>
      <c r="F1227" t="n">
        <v>1117000</v>
      </c>
      <c r="G1227" t="inlineStr">
        <is>
          <t>m2</t>
        </is>
      </c>
      <c r="H1227" t="n">
        <v>89</v>
      </c>
      <c r="I1227" t="inlineStr">
        <is>
          <t>Engineered Floorings 1.117,0 thousand m2</t>
        </is>
      </c>
      <c r="J1227" t="inlineStr">
        <is>
          <t>High</t>
        </is>
      </c>
      <c r="M1227" t="inlineStr">
        <is>
          <t>LLM</t>
        </is>
      </c>
      <c r="N1227" t="inlineStr">
        <is>
          <t>2026-04-18</t>
        </is>
      </c>
      <c r="O1227" t="inlineStr">
        <is>
          <t>AI</t>
        </is>
      </c>
    </row>
    <row r="1228">
      <c r="A1228" t="inlineStr">
        <is>
          <t>PT Dharma Satya Nusantara Tbk</t>
        </is>
      </c>
      <c r="B1228" t="inlineStr">
        <is>
          <t>DSNG_2022_AR.pdf</t>
        </is>
      </c>
      <c r="C1228" t="n">
        <v>2022</v>
      </c>
      <c r="D1228" t="inlineStr">
        <is>
          <t>ESG</t>
        </is>
      </c>
      <c r="E1228" t="inlineStr">
        <is>
          <t>RSPO certifications (POMs)</t>
        </is>
      </c>
      <c r="F1228" t="n">
        <v>6</v>
      </c>
      <c r="G1228" t="inlineStr">
        <is>
          <t>mills</t>
        </is>
      </c>
      <c r="H1228" t="n">
        <v>62</v>
      </c>
      <c r="I1228" t="inlineStr">
        <is>
          <t>dengan 6 PKS tersertifikasi RSPO</t>
        </is>
      </c>
      <c r="J1228" t="inlineStr">
        <is>
          <t>High</t>
        </is>
      </c>
      <c r="M1228" t="inlineStr">
        <is>
          <t>LLM</t>
        </is>
      </c>
      <c r="N1228" t="inlineStr">
        <is>
          <t>2026-04-18</t>
        </is>
      </c>
      <c r="O1228" t="inlineStr">
        <is>
          <t>AI</t>
        </is>
      </c>
    </row>
    <row r="1229">
      <c r="A1229" t="inlineStr">
        <is>
          <t>PT Dharma Satya Nusantara Tbk</t>
        </is>
      </c>
      <c r="B1229" t="inlineStr">
        <is>
          <t>DSNG_2022_AR.pdf</t>
        </is>
      </c>
      <c r="C1229" t="n">
        <v>2022</v>
      </c>
      <c r="D1229" t="inlineStr">
        <is>
          <t>ESG</t>
        </is>
      </c>
      <c r="E1229" t="inlineStr">
        <is>
          <t>ISPO certifications (POMs)</t>
        </is>
      </c>
      <c r="F1229" t="n">
        <v>8</v>
      </c>
      <c r="G1229" t="inlineStr">
        <is>
          <t>mills</t>
        </is>
      </c>
      <c r="H1229" t="n">
        <v>62</v>
      </c>
      <c r="I1229" t="inlineStr">
        <is>
          <t>8 PKS tersertifikasi ISPO</t>
        </is>
      </c>
      <c r="J1229" t="inlineStr">
        <is>
          <t>High</t>
        </is>
      </c>
      <c r="M1229" t="inlineStr">
        <is>
          <t>LLM</t>
        </is>
      </c>
      <c r="N1229" t="inlineStr">
        <is>
          <t>2026-04-18</t>
        </is>
      </c>
      <c r="O1229" t="inlineStr">
        <is>
          <t>AI</t>
        </is>
      </c>
    </row>
    <row r="1230">
      <c r="A1230" t="inlineStr">
        <is>
          <t>PT Dharma Satya Nusantara Tbk</t>
        </is>
      </c>
      <c r="B1230" t="inlineStr">
        <is>
          <t>DSNG_2022_AR.pdf</t>
        </is>
      </c>
      <c r="C1230" t="n">
        <v>2022</v>
      </c>
      <c r="D1230" t="inlineStr">
        <is>
          <t>ESG</t>
        </is>
      </c>
      <c r="E1230" t="inlineStr">
        <is>
          <t>Bio-CNG capacity</t>
        </is>
      </c>
      <c r="F1230" t="n">
        <v>280</v>
      </c>
      <c r="G1230" t="inlineStr">
        <is>
          <t>m3/hour</t>
        </is>
      </c>
      <c r="H1230" t="n">
        <v>6</v>
      </c>
      <c r="I1230" t="inlineStr">
        <is>
          <t>280 m3/Hr KAPASITAS BIO-CNG</t>
        </is>
      </c>
      <c r="J1230" t="inlineStr">
        <is>
          <t>High</t>
        </is>
      </c>
      <c r="M1230" t="inlineStr">
        <is>
          <t>LLM</t>
        </is>
      </c>
      <c r="N1230" t="inlineStr">
        <is>
          <t>2026-04-18</t>
        </is>
      </c>
      <c r="O1230" t="inlineStr">
        <is>
          <t>AI</t>
        </is>
      </c>
    </row>
    <row r="1231">
      <c r="A1231" t="inlineStr">
        <is>
          <t>PT Dharma Satya Nusantara Tbk</t>
        </is>
      </c>
      <c r="B1231" t="inlineStr">
        <is>
          <t>DSNG_2022_AR.pdf</t>
        </is>
      </c>
      <c r="C1231" t="n">
        <v>2022</v>
      </c>
      <c r="D1231" t="inlineStr">
        <is>
          <t>Other</t>
        </is>
      </c>
      <c r="E1231" t="inlineStr">
        <is>
          <t>Revocation of Nityasa Idola forest concession</t>
        </is>
      </c>
      <c r="F1231" t="n">
        <v>113196</v>
      </c>
      <c r="G1231" t="inlineStr">
        <is>
          <t>ha</t>
        </is>
      </c>
      <c r="H1231" t="n">
        <v>96</v>
      </c>
      <c r="I1231" t="inlineStr">
        <is>
          <t>Kementerian Lingkungan Hidup dan Kehutanan... izin konsesi kawasan hutan seluas area 113.196 hektar milik PT Nityasa Idola</t>
        </is>
      </c>
      <c r="J1231" t="inlineStr">
        <is>
          <t>High</t>
        </is>
      </c>
      <c r="M1231" t="inlineStr">
        <is>
          <t>LLM</t>
        </is>
      </c>
      <c r="N1231" t="inlineStr">
        <is>
          <t>2026-04-18</t>
        </is>
      </c>
      <c r="O1231" t="inlineStr">
        <is>
          <t>AI</t>
        </is>
      </c>
    </row>
    <row r="1232">
      <c r="A1232" t="inlineStr">
        <is>
          <t>PT Dharma Satya Nusantara Tbk</t>
        </is>
      </c>
      <c r="B1232" t="inlineStr">
        <is>
          <t>DSNG_2023_AR.pdf</t>
        </is>
      </c>
      <c r="C1232" t="n">
        <v>2023</v>
      </c>
      <c r="D1232" t="inlineStr">
        <is>
          <t>Company</t>
        </is>
      </c>
      <c r="E1232" t="inlineStr">
        <is>
          <t>Company name</t>
        </is>
      </c>
      <c r="F1232" t="inlineStr">
        <is>
          <t>PT Dharma Satya Nusantara Tbk</t>
        </is>
      </c>
      <c r="G1232" t="inlineStr">
        <is>
          <t>-</t>
        </is>
      </c>
      <c r="H1232" t="n">
        <v>42</v>
      </c>
      <c r="I1232" t="inlineStr">
        <is>
          <t>PT DHARMA SATYA NUSANTARA Tbk</t>
        </is>
      </c>
      <c r="J1232" t="inlineStr">
        <is>
          <t>High</t>
        </is>
      </c>
      <c r="M1232" t="inlineStr">
        <is>
          <t>LLM</t>
        </is>
      </c>
      <c r="N1232" t="inlineStr">
        <is>
          <t>2026-04-18</t>
        </is>
      </c>
      <c r="O1232" t="inlineStr">
        <is>
          <t>AI</t>
        </is>
      </c>
    </row>
    <row r="1233">
      <c r="A1233" t="inlineStr">
        <is>
          <t>PT Dharma Satya Nusantara Tbk</t>
        </is>
      </c>
      <c r="B1233" t="inlineStr">
        <is>
          <t>DSNG_2023_AR.pdf</t>
        </is>
      </c>
      <c r="C1233" t="n">
        <v>2023</v>
      </c>
      <c r="D1233" t="inlineStr">
        <is>
          <t>Company</t>
        </is>
      </c>
      <c r="E1233" t="inlineStr">
        <is>
          <t>Business segments</t>
        </is>
      </c>
      <c r="F1233" t="inlineStr">
        <is>
          <t>Palm Oil, Wood Product, Renewable Energy</t>
        </is>
      </c>
      <c r="G1233" t="inlineStr">
        <is>
          <t>-</t>
        </is>
      </c>
      <c r="H1233" t="n">
        <v>103</v>
      </c>
      <c r="I1233" t="inlineStr">
        <is>
          <t>88,0% Kelapa Sawit, 11,3% Produk Kayu, 0,7% Energi Terbarukan</t>
        </is>
      </c>
      <c r="J1233" t="inlineStr">
        <is>
          <t>High</t>
        </is>
      </c>
      <c r="M1233" t="inlineStr">
        <is>
          <t>LLM</t>
        </is>
      </c>
      <c r="N1233" t="inlineStr">
        <is>
          <t>2026-04-18</t>
        </is>
      </c>
      <c r="O1233" t="inlineStr">
        <is>
          <t>AI</t>
        </is>
      </c>
    </row>
    <row r="1234">
      <c r="A1234" t="inlineStr">
        <is>
          <t>PT Dharma Satya Nusantara Tbk</t>
        </is>
      </c>
      <c r="B1234" t="inlineStr">
        <is>
          <t>DSNG_2023_AR.pdf</t>
        </is>
      </c>
      <c r="C1234" t="n">
        <v>2023</v>
      </c>
      <c r="D1234" t="inlineStr">
        <is>
          <t>Company</t>
        </is>
      </c>
      <c r="E1234" t="inlineStr">
        <is>
          <t>Shares outstanding</t>
        </is>
      </c>
      <c r="F1234" t="n">
        <v>10599842400</v>
      </c>
      <c r="G1234" t="inlineStr">
        <is>
          <t>shares</t>
        </is>
      </c>
      <c r="H1234" t="n">
        <v>18</v>
      </c>
      <c r="I1234" t="inlineStr">
        <is>
          <t>Jumlah Saham Beredar 10.599.842.400</t>
        </is>
      </c>
      <c r="J1234" t="inlineStr">
        <is>
          <t>High</t>
        </is>
      </c>
      <c r="M1234" t="inlineStr">
        <is>
          <t>LLM</t>
        </is>
      </c>
      <c r="N1234" t="inlineStr">
        <is>
          <t>2026-04-18</t>
        </is>
      </c>
      <c r="O1234" t="inlineStr">
        <is>
          <t>AI</t>
        </is>
      </c>
    </row>
    <row r="1235">
      <c r="A1235" t="inlineStr">
        <is>
          <t>PT Dharma Satya Nusantara Tbk</t>
        </is>
      </c>
      <c r="B1235" t="inlineStr">
        <is>
          <t>DSNG_2023_AR.pdf</t>
        </is>
      </c>
      <c r="C1235" t="n">
        <v>2023</v>
      </c>
      <c r="D1235" t="inlineStr">
        <is>
          <t>Company</t>
        </is>
      </c>
      <c r="E1235" t="inlineStr">
        <is>
          <t>Rachmat Family stake</t>
        </is>
      </c>
      <c r="F1235" t="n">
        <v>0.3171</v>
      </c>
      <c r="G1235" t="inlineStr">
        <is>
          <t>decimal</t>
        </is>
      </c>
      <c r="H1235" t="n">
        <v>19</v>
      </c>
      <c r="I1235" t="inlineStr">
        <is>
          <t>T.P. Rachmat Family 3.288.756.900 31,71</t>
        </is>
      </c>
      <c r="J1235" t="inlineStr">
        <is>
          <t>High</t>
        </is>
      </c>
      <c r="M1235" t="inlineStr">
        <is>
          <t>LLM</t>
        </is>
      </c>
      <c r="N1235" t="inlineStr">
        <is>
          <t>2026-04-18</t>
        </is>
      </c>
      <c r="O1235" t="inlineStr">
        <is>
          <t>AI</t>
        </is>
      </c>
    </row>
    <row r="1236">
      <c r="A1236" t="inlineStr">
        <is>
          <t>PT Dharma Satya Nusantara Tbk</t>
        </is>
      </c>
      <c r="B1236" t="inlineStr">
        <is>
          <t>DSNG_2023_AR.pdf</t>
        </is>
      </c>
      <c r="C1236" t="n">
        <v>2023</v>
      </c>
      <c r="D1236" t="inlineStr">
        <is>
          <t>Company</t>
        </is>
      </c>
      <c r="E1236" t="inlineStr">
        <is>
          <t>Oetomo Family stake</t>
        </is>
      </c>
      <c r="F1236" t="n">
        <v>0.289</v>
      </c>
      <c r="G1236" t="inlineStr">
        <is>
          <t>decimal</t>
        </is>
      </c>
      <c r="H1236" t="n">
        <v>19</v>
      </c>
      <c r="I1236" t="inlineStr">
        <is>
          <t>Oetomo Family 3.063.196.696 28,90</t>
        </is>
      </c>
      <c r="J1236" t="inlineStr">
        <is>
          <t>High</t>
        </is>
      </c>
      <c r="M1236" t="inlineStr">
        <is>
          <t>LLM</t>
        </is>
      </c>
      <c r="N1236" t="inlineStr">
        <is>
          <t>2026-04-18</t>
        </is>
      </c>
      <c r="O1236" t="inlineStr">
        <is>
          <t>AI</t>
        </is>
      </c>
    </row>
    <row r="1237">
      <c r="A1237" t="inlineStr">
        <is>
          <t>PT Dharma Satya Nusantara Tbk</t>
        </is>
      </c>
      <c r="B1237" t="inlineStr">
        <is>
          <t>DSNG_2023_AR.pdf</t>
        </is>
      </c>
      <c r="C1237" t="n">
        <v>2023</v>
      </c>
      <c r="D1237" t="inlineStr">
        <is>
          <t>Financial</t>
        </is>
      </c>
      <c r="E1237" t="inlineStr">
        <is>
          <t>Revenue</t>
        </is>
      </c>
      <c r="F1237" t="n">
        <v>9498.749</v>
      </c>
      <c r="G1237" t="inlineStr">
        <is>
          <t>IDR bn</t>
        </is>
      </c>
      <c r="H1237" t="n">
        <v>15</v>
      </c>
      <c r="I1237" t="inlineStr">
        <is>
          <t>Penjualan 9.498.749 (Dalam Jutaan Rupiah)</t>
        </is>
      </c>
      <c r="J1237" t="inlineStr">
        <is>
          <t>High</t>
        </is>
      </c>
      <c r="M1237" t="inlineStr">
        <is>
          <t>LLM</t>
        </is>
      </c>
      <c r="N1237" t="inlineStr">
        <is>
          <t>2026-04-18</t>
        </is>
      </c>
      <c r="O1237" t="inlineStr">
        <is>
          <t>AI</t>
        </is>
      </c>
    </row>
    <row r="1238">
      <c r="A1238" t="inlineStr">
        <is>
          <t>PT Dharma Satya Nusantara Tbk</t>
        </is>
      </c>
      <c r="B1238" t="inlineStr">
        <is>
          <t>DSNG_2023_AR.pdf</t>
        </is>
      </c>
      <c r="C1238" t="n">
        <v>2023</v>
      </c>
      <c r="D1238" t="inlineStr">
        <is>
          <t>Financial</t>
        </is>
      </c>
      <c r="E1238" t="inlineStr">
        <is>
          <t>Palm oil segment revenue</t>
        </is>
      </c>
      <c r="F1238" t="n">
        <v>8354.365</v>
      </c>
      <c r="G1238" t="inlineStr">
        <is>
          <t>IDR bn</t>
        </is>
      </c>
      <c r="H1238" t="n">
        <v>103</v>
      </c>
      <c r="I1238" t="inlineStr">
        <is>
          <t>Kelapa Sawit 8.354.365 88,0%</t>
        </is>
      </c>
      <c r="J1238" t="inlineStr">
        <is>
          <t>High</t>
        </is>
      </c>
      <c r="M1238" t="inlineStr">
        <is>
          <t>LLM</t>
        </is>
      </c>
      <c r="N1238" t="inlineStr">
        <is>
          <t>2026-04-18</t>
        </is>
      </c>
      <c r="O1238" t="inlineStr">
        <is>
          <t>AI</t>
        </is>
      </c>
    </row>
    <row r="1239">
      <c r="A1239" t="inlineStr">
        <is>
          <t>PT Dharma Satya Nusantara Tbk</t>
        </is>
      </c>
      <c r="B1239" t="inlineStr">
        <is>
          <t>DSNG_2023_AR.pdf</t>
        </is>
      </c>
      <c r="C1239" t="n">
        <v>2023</v>
      </c>
      <c r="D1239" t="inlineStr">
        <is>
          <t>Financial</t>
        </is>
      </c>
      <c r="E1239" t="inlineStr">
        <is>
          <t>Wood product segment revenue</t>
        </is>
      </c>
      <c r="F1239" t="n">
        <v>1074.024</v>
      </c>
      <c r="G1239" t="inlineStr">
        <is>
          <t>IDR bn</t>
        </is>
      </c>
      <c r="H1239" t="n">
        <v>103</v>
      </c>
      <c r="I1239" t="inlineStr">
        <is>
          <t>Produk Kayu 1.074.024 11,3%</t>
        </is>
      </c>
      <c r="J1239" t="inlineStr">
        <is>
          <t>High</t>
        </is>
      </c>
      <c r="M1239" t="inlineStr">
        <is>
          <t>LLM</t>
        </is>
      </c>
      <c r="N1239" t="inlineStr">
        <is>
          <t>2026-04-18</t>
        </is>
      </c>
      <c r="O1239" t="inlineStr">
        <is>
          <t>AI</t>
        </is>
      </c>
    </row>
    <row r="1240">
      <c r="A1240" t="inlineStr">
        <is>
          <t>PT Dharma Satya Nusantara Tbk</t>
        </is>
      </c>
      <c r="B1240" t="inlineStr">
        <is>
          <t>DSNG_2023_AR.pdf</t>
        </is>
      </c>
      <c r="C1240" t="n">
        <v>2023</v>
      </c>
      <c r="D1240" t="inlineStr">
        <is>
          <t>Financial</t>
        </is>
      </c>
      <c r="E1240" t="inlineStr">
        <is>
          <t>Renewable energy revenue</t>
        </is>
      </c>
      <c r="F1240" t="n">
        <v>70.36</v>
      </c>
      <c r="G1240" t="inlineStr">
        <is>
          <t>IDR bn</t>
        </is>
      </c>
      <c r="H1240" t="n">
        <v>103</v>
      </c>
      <c r="I1240" t="inlineStr">
        <is>
          <t>Energi Terbarukan 70,360 0,7%</t>
        </is>
      </c>
      <c r="J1240" t="inlineStr">
        <is>
          <t>High</t>
        </is>
      </c>
      <c r="M1240" t="inlineStr">
        <is>
          <t>LLM</t>
        </is>
      </c>
      <c r="N1240" t="inlineStr">
        <is>
          <t>2026-04-18</t>
        </is>
      </c>
      <c r="O1240" t="inlineStr">
        <is>
          <t>AI</t>
        </is>
      </c>
    </row>
    <row r="1241">
      <c r="A1241" t="inlineStr">
        <is>
          <t>PT Dharma Satya Nusantara Tbk</t>
        </is>
      </c>
      <c r="B1241" t="inlineStr">
        <is>
          <t>DSNG_2023_AR.pdf</t>
        </is>
      </c>
      <c r="C1241" t="n">
        <v>2023</v>
      </c>
      <c r="D1241" t="inlineStr">
        <is>
          <t>Financial</t>
        </is>
      </c>
      <c r="E1241" t="inlineStr">
        <is>
          <t>Gross profit</t>
        </is>
      </c>
      <c r="F1241" t="n">
        <v>2527.468</v>
      </c>
      <c r="G1241" t="inlineStr">
        <is>
          <t>IDR bn</t>
        </is>
      </c>
      <c r="H1241" t="n">
        <v>15</v>
      </c>
      <c r="I1241" t="inlineStr">
        <is>
          <t>Laba Bruto 2.527.468</t>
        </is>
      </c>
      <c r="J1241" t="inlineStr">
        <is>
          <t>High</t>
        </is>
      </c>
      <c r="M1241" t="inlineStr">
        <is>
          <t>LLM</t>
        </is>
      </c>
      <c r="N1241" t="inlineStr">
        <is>
          <t>2026-04-18</t>
        </is>
      </c>
      <c r="O1241" t="inlineStr">
        <is>
          <t>AI</t>
        </is>
      </c>
    </row>
    <row r="1242">
      <c r="A1242" t="inlineStr">
        <is>
          <t>PT Dharma Satya Nusantara Tbk</t>
        </is>
      </c>
      <c r="B1242" t="inlineStr">
        <is>
          <t>DSNG_2023_AR.pdf</t>
        </is>
      </c>
      <c r="C1242" t="n">
        <v>2023</v>
      </c>
      <c r="D1242" t="inlineStr">
        <is>
          <t>Financial</t>
        </is>
      </c>
      <c r="E1242" t="inlineStr">
        <is>
          <t>Operating profit</t>
        </is>
      </c>
      <c r="F1242" t="n">
        <v>1555.713</v>
      </c>
      <c r="G1242" t="inlineStr">
        <is>
          <t>IDR bn</t>
        </is>
      </c>
      <c r="H1242" t="n">
        <v>15</v>
      </c>
      <c r="I1242" t="inlineStr">
        <is>
          <t>Laba Operasi 1.555.713</t>
        </is>
      </c>
      <c r="J1242" t="inlineStr">
        <is>
          <t>High</t>
        </is>
      </c>
      <c r="M1242" t="inlineStr">
        <is>
          <t>LLM</t>
        </is>
      </c>
      <c r="N1242" t="inlineStr">
        <is>
          <t>2026-04-18</t>
        </is>
      </c>
      <c r="O1242" t="inlineStr">
        <is>
          <t>AI</t>
        </is>
      </c>
    </row>
    <row r="1243">
      <c r="A1243" t="inlineStr">
        <is>
          <t>PT Dharma Satya Nusantara Tbk</t>
        </is>
      </c>
      <c r="B1243" t="inlineStr">
        <is>
          <t>DSNG_2023_AR.pdf</t>
        </is>
      </c>
      <c r="C1243" t="n">
        <v>2023</v>
      </c>
      <c r="D1243" t="inlineStr">
        <is>
          <t>Financial</t>
        </is>
      </c>
      <c r="E1243" t="inlineStr">
        <is>
          <t>EBITDA</t>
        </is>
      </c>
      <c r="F1243" t="n">
        <v>2421.068</v>
      </c>
      <c r="G1243" t="inlineStr">
        <is>
          <t>IDR bn</t>
        </is>
      </c>
      <c r="H1243" t="n">
        <v>15</v>
      </c>
      <c r="I1243" t="inlineStr">
        <is>
          <t>EBITDA 2.421.068</t>
        </is>
      </c>
      <c r="J1243" t="inlineStr">
        <is>
          <t>High</t>
        </is>
      </c>
      <c r="M1243" t="inlineStr">
        <is>
          <t>LLM</t>
        </is>
      </c>
      <c r="N1243" t="inlineStr">
        <is>
          <t>2026-04-18</t>
        </is>
      </c>
      <c r="O1243" t="inlineStr">
        <is>
          <t>AI</t>
        </is>
      </c>
    </row>
    <row r="1244">
      <c r="A1244" t="inlineStr">
        <is>
          <t>PT Dharma Satya Nusantara Tbk</t>
        </is>
      </c>
      <c r="B1244" t="inlineStr">
        <is>
          <t>DSNG_2023_AR.pdf</t>
        </is>
      </c>
      <c r="C1244" t="n">
        <v>2023</v>
      </c>
      <c r="D1244" t="inlineStr">
        <is>
          <t>Financial</t>
        </is>
      </c>
      <c r="E1244" t="inlineStr">
        <is>
          <t>Net profit</t>
        </is>
      </c>
      <c r="F1244" t="n">
        <v>841.665</v>
      </c>
      <c r="G1244" t="inlineStr">
        <is>
          <t>IDR bn</t>
        </is>
      </c>
      <c r="H1244" t="n">
        <v>15</v>
      </c>
      <c r="I1244" t="inlineStr">
        <is>
          <t>Laba 841.665</t>
        </is>
      </c>
      <c r="J1244" t="inlineStr">
        <is>
          <t>High</t>
        </is>
      </c>
      <c r="M1244" t="inlineStr">
        <is>
          <t>LLM</t>
        </is>
      </c>
      <c r="N1244" t="inlineStr">
        <is>
          <t>2026-04-18</t>
        </is>
      </c>
      <c r="O1244" t="inlineStr">
        <is>
          <t>AI</t>
        </is>
      </c>
    </row>
    <row r="1245">
      <c r="A1245" t="inlineStr">
        <is>
          <t>PT Dharma Satya Nusantara Tbk</t>
        </is>
      </c>
      <c r="B1245" t="inlineStr">
        <is>
          <t>DSNG_2023_AR.pdf</t>
        </is>
      </c>
      <c r="C1245" t="n">
        <v>2023</v>
      </c>
      <c r="D1245" t="inlineStr">
        <is>
          <t>Financial</t>
        </is>
      </c>
      <c r="E1245" t="inlineStr">
        <is>
          <t>Profit attributable to parent</t>
        </is>
      </c>
      <c r="F1245" t="n">
        <v>839.809</v>
      </c>
      <c r="G1245" t="inlineStr">
        <is>
          <t>IDR bn</t>
        </is>
      </c>
      <c r="H1245" t="n">
        <v>15</v>
      </c>
      <c r="I1245" t="inlineStr">
        <is>
          <t>Pemilik entitas induk 839.809</t>
        </is>
      </c>
      <c r="J1245" t="inlineStr">
        <is>
          <t>High</t>
        </is>
      </c>
      <c r="M1245" t="inlineStr">
        <is>
          <t>LLM</t>
        </is>
      </c>
      <c r="N1245" t="inlineStr">
        <is>
          <t>2026-04-18</t>
        </is>
      </c>
      <c r="O1245" t="inlineStr">
        <is>
          <t>AI</t>
        </is>
      </c>
    </row>
    <row r="1246">
      <c r="A1246" t="inlineStr">
        <is>
          <t>PT Dharma Satya Nusantara Tbk</t>
        </is>
      </c>
      <c r="B1246" t="inlineStr">
        <is>
          <t>DSNG_2023_AR.pdf</t>
        </is>
      </c>
      <c r="C1246" t="n">
        <v>2023</v>
      </c>
      <c r="D1246" t="inlineStr">
        <is>
          <t>Financial</t>
        </is>
      </c>
      <c r="E1246" t="inlineStr">
        <is>
          <t>Total assets</t>
        </is>
      </c>
      <c r="F1246" t="n">
        <v>16178.278</v>
      </c>
      <c r="G1246" t="inlineStr">
        <is>
          <t>IDR bn</t>
        </is>
      </c>
      <c r="H1246" t="n">
        <v>15</v>
      </c>
      <c r="I1246" t="inlineStr">
        <is>
          <t>Total Aset 16.178.278</t>
        </is>
      </c>
      <c r="J1246" t="inlineStr">
        <is>
          <t>High</t>
        </is>
      </c>
      <c r="M1246" t="inlineStr">
        <is>
          <t>LLM</t>
        </is>
      </c>
      <c r="N1246" t="inlineStr">
        <is>
          <t>2026-04-18</t>
        </is>
      </c>
      <c r="O1246" t="inlineStr">
        <is>
          <t>AI</t>
        </is>
      </c>
    </row>
    <row r="1247">
      <c r="A1247" t="inlineStr">
        <is>
          <t>PT Dharma Satya Nusantara Tbk</t>
        </is>
      </c>
      <c r="B1247" t="inlineStr">
        <is>
          <t>DSNG_2023_AR.pdf</t>
        </is>
      </c>
      <c r="C1247" t="n">
        <v>2023</v>
      </c>
      <c r="D1247" t="inlineStr">
        <is>
          <t>Financial</t>
        </is>
      </c>
      <c r="E1247" t="inlineStr">
        <is>
          <t>Total liabilities</t>
        </is>
      </c>
      <c r="F1247" t="n">
        <v>7288.85</v>
      </c>
      <c r="G1247" t="inlineStr">
        <is>
          <t>IDR bn</t>
        </is>
      </c>
      <c r="H1247" t="n">
        <v>15</v>
      </c>
      <c r="I1247" t="inlineStr">
        <is>
          <t>Total Liabilitas 7.288.850</t>
        </is>
      </c>
      <c r="J1247" t="inlineStr">
        <is>
          <t>High</t>
        </is>
      </c>
      <c r="M1247" t="inlineStr">
        <is>
          <t>LLM</t>
        </is>
      </c>
      <c r="N1247" t="inlineStr">
        <is>
          <t>2026-04-18</t>
        </is>
      </c>
      <c r="O1247" t="inlineStr">
        <is>
          <t>AI</t>
        </is>
      </c>
    </row>
    <row r="1248">
      <c r="A1248" t="inlineStr">
        <is>
          <t>PT Dharma Satya Nusantara Tbk</t>
        </is>
      </c>
      <c r="B1248" t="inlineStr">
        <is>
          <t>DSNG_2023_AR.pdf</t>
        </is>
      </c>
      <c r="C1248" t="n">
        <v>2023</v>
      </c>
      <c r="D1248" t="inlineStr">
        <is>
          <t>Financial</t>
        </is>
      </c>
      <c r="E1248" t="inlineStr">
        <is>
          <t>Total equity</t>
        </is>
      </c>
      <c r="F1248" t="n">
        <v>8889.428</v>
      </c>
      <c r="G1248" t="inlineStr">
        <is>
          <t>IDR bn</t>
        </is>
      </c>
      <c r="H1248" t="n">
        <v>15</v>
      </c>
      <c r="I1248" t="inlineStr">
        <is>
          <t>Total Ekuitas 8.889.428</t>
        </is>
      </c>
      <c r="J1248" t="inlineStr">
        <is>
          <t>High</t>
        </is>
      </c>
      <c r="M1248" t="inlineStr">
        <is>
          <t>LLM</t>
        </is>
      </c>
      <c r="N1248" t="inlineStr">
        <is>
          <t>2026-04-18</t>
        </is>
      </c>
      <c r="O1248" t="inlineStr">
        <is>
          <t>AI</t>
        </is>
      </c>
    </row>
    <row r="1249">
      <c r="A1249" t="inlineStr">
        <is>
          <t>PT Dharma Satya Nusantara Tbk</t>
        </is>
      </c>
      <c r="B1249" t="inlineStr">
        <is>
          <t>DSNG_2023_AR.pdf</t>
        </is>
      </c>
      <c r="C1249" t="n">
        <v>2023</v>
      </c>
      <c r="D1249" t="inlineStr">
        <is>
          <t>Financial</t>
        </is>
      </c>
      <c r="E1249" t="inlineStr">
        <is>
          <t>EPS</t>
        </is>
      </c>
      <c r="F1249" t="n">
        <v>79.23</v>
      </c>
      <c r="G1249" t="inlineStr">
        <is>
          <t>IDR/share</t>
        </is>
      </c>
      <c r="H1249" t="n">
        <v>15</v>
      </c>
      <c r="I1249" t="inlineStr">
        <is>
          <t>Laba per saham dasar 79,23</t>
        </is>
      </c>
      <c r="J1249" t="inlineStr">
        <is>
          <t>High</t>
        </is>
      </c>
      <c r="M1249" t="inlineStr">
        <is>
          <t>LLM</t>
        </is>
      </c>
      <c r="N1249" t="inlineStr">
        <is>
          <t>2026-04-18</t>
        </is>
      </c>
      <c r="O1249" t="inlineStr">
        <is>
          <t>AI</t>
        </is>
      </c>
    </row>
    <row r="1250">
      <c r="A1250" t="inlineStr">
        <is>
          <t>PT Dharma Satya Nusantara Tbk</t>
        </is>
      </c>
      <c r="B1250" t="inlineStr">
        <is>
          <t>DSNG_2023_AR.pdf</t>
        </is>
      </c>
      <c r="C1250" t="n">
        <v>2023</v>
      </c>
      <c r="D1250" t="inlineStr">
        <is>
          <t>Financial</t>
        </is>
      </c>
      <c r="E1250" t="inlineStr">
        <is>
          <t>Cash and cash equivalents</t>
        </is>
      </c>
      <c r="F1250" t="n">
        <v>389.746</v>
      </c>
      <c r="G1250" t="inlineStr">
        <is>
          <t>IDR bn</t>
        </is>
      </c>
      <c r="H1250" t="n">
        <v>201</v>
      </c>
      <c r="I1250" t="inlineStr">
        <is>
          <t>Kas dan setara kas 389.746</t>
        </is>
      </c>
      <c r="J1250" t="inlineStr">
        <is>
          <t>High</t>
        </is>
      </c>
      <c r="M1250" t="inlineStr">
        <is>
          <t>LLM</t>
        </is>
      </c>
      <c r="N1250" t="inlineStr">
        <is>
          <t>2026-04-18</t>
        </is>
      </c>
      <c r="O1250" t="inlineStr">
        <is>
          <t>AI</t>
        </is>
      </c>
    </row>
    <row r="1251">
      <c r="A1251" t="inlineStr">
        <is>
          <t>PT Dharma Satya Nusantara Tbk</t>
        </is>
      </c>
      <c r="B1251" t="inlineStr">
        <is>
          <t>DSNG_2023_AR.pdf</t>
        </is>
      </c>
      <c r="C1251" t="n">
        <v>2023</v>
      </c>
      <c r="D1251" t="inlineStr">
        <is>
          <t>Financial</t>
        </is>
      </c>
      <c r="E1251" t="inlineStr">
        <is>
          <t>ST bank loans</t>
        </is>
      </c>
      <c r="F1251" t="n">
        <v>947.588</v>
      </c>
      <c r="G1251" t="inlineStr">
        <is>
          <t>IDR bn</t>
        </is>
      </c>
      <c r="H1251" t="n">
        <v>202</v>
      </c>
      <c r="I1251" t="inlineStr">
        <is>
          <t>Utang bank jangka pendek 947.588</t>
        </is>
      </c>
      <c r="J1251" t="inlineStr">
        <is>
          <t>High</t>
        </is>
      </c>
      <c r="M1251" t="inlineStr">
        <is>
          <t>LLM</t>
        </is>
      </c>
      <c r="N1251" t="inlineStr">
        <is>
          <t>2026-04-18</t>
        </is>
      </c>
      <c r="O1251" t="inlineStr">
        <is>
          <t>AI</t>
        </is>
      </c>
    </row>
    <row r="1252">
      <c r="A1252" t="inlineStr">
        <is>
          <t>PT Dharma Satya Nusantara Tbk</t>
        </is>
      </c>
      <c r="B1252" t="inlineStr">
        <is>
          <t>DSNG_2023_AR.pdf</t>
        </is>
      </c>
      <c r="C1252" t="n">
        <v>2023</v>
      </c>
      <c r="D1252" t="inlineStr">
        <is>
          <t>Financial</t>
        </is>
      </c>
      <c r="E1252" t="inlineStr">
        <is>
          <t>Current portion LT bank loans</t>
        </is>
      </c>
      <c r="F1252" t="n">
        <v>771.194</v>
      </c>
      <c r="G1252" t="inlineStr">
        <is>
          <t>IDR bn</t>
        </is>
      </c>
      <c r="H1252" t="n">
        <v>202</v>
      </c>
      <c r="I1252" t="inlineStr">
        <is>
          <t>Utang bank jangka panjang yang jatuh tempo dalam satu tahun 771.194</t>
        </is>
      </c>
      <c r="J1252" t="inlineStr">
        <is>
          <t>High</t>
        </is>
      </c>
      <c r="M1252" t="inlineStr">
        <is>
          <t>LLM</t>
        </is>
      </c>
      <c r="N1252" t="inlineStr">
        <is>
          <t>2026-04-18</t>
        </is>
      </c>
      <c r="O1252" t="inlineStr">
        <is>
          <t>AI</t>
        </is>
      </c>
    </row>
    <row r="1253">
      <c r="A1253" t="inlineStr">
        <is>
          <t>PT Dharma Satya Nusantara Tbk</t>
        </is>
      </c>
      <c r="B1253" t="inlineStr">
        <is>
          <t>DSNG_2023_AR.pdf</t>
        </is>
      </c>
      <c r="C1253" t="n">
        <v>2023</v>
      </c>
      <c r="D1253" t="inlineStr">
        <is>
          <t>Financial</t>
        </is>
      </c>
      <c r="E1253" t="inlineStr">
        <is>
          <t>LT bank loans net</t>
        </is>
      </c>
      <c r="F1253" t="n">
        <v>3178.02</v>
      </c>
      <c r="G1253" t="inlineStr">
        <is>
          <t>IDR bn</t>
        </is>
      </c>
      <c r="H1253" t="n">
        <v>202</v>
      </c>
      <c r="I1253" t="inlineStr">
        <is>
          <t>Utang bank jangka panjang, setelah dikurangi bagian yang jatuh tempo dalam satu tahun 3.178.020</t>
        </is>
      </c>
      <c r="J1253" t="inlineStr">
        <is>
          <t>High</t>
        </is>
      </c>
      <c r="M1253" t="inlineStr">
        <is>
          <t>LLM</t>
        </is>
      </c>
      <c r="N1253" t="inlineStr">
        <is>
          <t>2026-04-18</t>
        </is>
      </c>
      <c r="O1253" t="inlineStr">
        <is>
          <t>AI</t>
        </is>
      </c>
    </row>
    <row r="1254">
      <c r="A1254" t="inlineStr">
        <is>
          <t>PT Dharma Satya Nusantara Tbk</t>
        </is>
      </c>
      <c r="B1254" t="inlineStr">
        <is>
          <t>DSNG_2023_AR.pdf</t>
        </is>
      </c>
      <c r="C1254" t="n">
        <v>2023</v>
      </c>
      <c r="D1254" t="inlineStr">
        <is>
          <t>Financial</t>
        </is>
      </c>
      <c r="E1254" t="inlineStr">
        <is>
          <t>LT bonds payable</t>
        </is>
      </c>
      <c r="F1254" t="n">
        <v>175.812</v>
      </c>
      <c r="G1254" t="inlineStr">
        <is>
          <t>IDR bn</t>
        </is>
      </c>
      <c r="H1254" t="n">
        <v>202</v>
      </c>
      <c r="I1254" t="inlineStr">
        <is>
          <t>Utang obligasi 175.812 (non-current)</t>
        </is>
      </c>
      <c r="J1254" t="inlineStr">
        <is>
          <t>High</t>
        </is>
      </c>
      <c r="M1254" t="inlineStr">
        <is>
          <t>LLM</t>
        </is>
      </c>
      <c r="N1254" t="inlineStr">
        <is>
          <t>2026-04-18</t>
        </is>
      </c>
      <c r="O1254" t="inlineStr">
        <is>
          <t>AI</t>
        </is>
      </c>
    </row>
    <row r="1255">
      <c r="A1255" t="inlineStr">
        <is>
          <t>PT Dharma Satya Nusantara Tbk</t>
        </is>
      </c>
      <c r="B1255" t="inlineStr">
        <is>
          <t>DSNG_2023_AR.pdf</t>
        </is>
      </c>
      <c r="C1255" t="n">
        <v>2023</v>
      </c>
      <c r="D1255" t="inlineStr">
        <is>
          <t>Financial</t>
        </is>
      </c>
      <c r="E1255" t="inlineStr">
        <is>
          <t>Current bonds payable</t>
        </is>
      </c>
      <c r="F1255" t="n">
        <v>3.001</v>
      </c>
      <c r="G1255" t="inlineStr">
        <is>
          <t>IDR bn</t>
        </is>
      </c>
      <c r="H1255" t="n">
        <v>202</v>
      </c>
      <c r="I1255" t="inlineStr">
        <is>
          <t>Utang obligasi 3.001 (current)</t>
        </is>
      </c>
      <c r="J1255" t="inlineStr">
        <is>
          <t>High</t>
        </is>
      </c>
      <c r="M1255" t="inlineStr">
        <is>
          <t>LLM</t>
        </is>
      </c>
      <c r="N1255" t="inlineStr">
        <is>
          <t>2026-04-18</t>
        </is>
      </c>
      <c r="O1255" t="inlineStr">
        <is>
          <t>AI</t>
        </is>
      </c>
    </row>
    <row r="1256">
      <c r="A1256" t="inlineStr">
        <is>
          <t>PT Dharma Satya Nusantara Tbk</t>
        </is>
      </c>
      <c r="B1256" t="inlineStr">
        <is>
          <t>DSNG_2023_AR.pdf</t>
        </is>
      </c>
      <c r="C1256" t="n">
        <v>2023</v>
      </c>
      <c r="D1256" t="inlineStr">
        <is>
          <t>Financial</t>
        </is>
      </c>
      <c r="E1256" t="inlineStr">
        <is>
          <t>CFO</t>
        </is>
      </c>
      <c r="F1256" t="n">
        <v>1874.372</v>
      </c>
      <c r="G1256" t="inlineStr">
        <is>
          <t>IDR bn</t>
        </is>
      </c>
      <c r="H1256" t="n">
        <v>207</v>
      </c>
      <c r="I1256" t="inlineStr">
        <is>
          <t>Kas neto dari aktivitas operasi 1.874.372</t>
        </is>
      </c>
      <c r="J1256" t="inlineStr">
        <is>
          <t>High</t>
        </is>
      </c>
      <c r="M1256" t="inlineStr">
        <is>
          <t>LLM</t>
        </is>
      </c>
      <c r="N1256" t="inlineStr">
        <is>
          <t>2026-04-18</t>
        </is>
      </c>
      <c r="O1256" t="inlineStr">
        <is>
          <t>AI</t>
        </is>
      </c>
    </row>
    <row r="1257">
      <c r="A1257" t="inlineStr">
        <is>
          <t>PT Dharma Satya Nusantara Tbk</t>
        </is>
      </c>
      <c r="B1257" t="inlineStr">
        <is>
          <t>DSNG_2023_AR.pdf</t>
        </is>
      </c>
      <c r="C1257" t="n">
        <v>2023</v>
      </c>
      <c r="D1257" t="inlineStr">
        <is>
          <t>Financial</t>
        </is>
      </c>
      <c r="E1257" t="inlineStr">
        <is>
          <t>Fixed assets acquisitions</t>
        </is>
      </c>
      <c r="F1257" t="n">
        <v>1238.542</v>
      </c>
      <c r="G1257" t="inlineStr">
        <is>
          <t>IDR bn</t>
        </is>
      </c>
      <c r="H1257" t="n">
        <v>207</v>
      </c>
      <c r="I1257" t="inlineStr">
        <is>
          <t>Perolehan aset tetap (1.238.542)</t>
        </is>
      </c>
      <c r="J1257" t="inlineStr">
        <is>
          <t>High</t>
        </is>
      </c>
      <c r="M1257" t="inlineStr">
        <is>
          <t>LLM</t>
        </is>
      </c>
      <c r="N1257" t="inlineStr">
        <is>
          <t>2026-04-18</t>
        </is>
      </c>
      <c r="O1257" t="inlineStr">
        <is>
          <t>AI</t>
        </is>
      </c>
    </row>
    <row r="1258">
      <c r="A1258" t="inlineStr">
        <is>
          <t>PT Dharma Satya Nusantara Tbk</t>
        </is>
      </c>
      <c r="B1258" t="inlineStr">
        <is>
          <t>DSNG_2023_AR.pdf</t>
        </is>
      </c>
      <c r="C1258" t="n">
        <v>2023</v>
      </c>
      <c r="D1258" t="inlineStr">
        <is>
          <t>Financial</t>
        </is>
      </c>
      <c r="E1258" t="inlineStr">
        <is>
          <t>Plantation cost additions</t>
        </is>
      </c>
      <c r="F1258" t="n">
        <v>143.919</v>
      </c>
      <c r="G1258" t="inlineStr">
        <is>
          <t>IDR bn</t>
        </is>
      </c>
      <c r="H1258" t="n">
        <v>207</v>
      </c>
      <c r="I1258" t="inlineStr">
        <is>
          <t>Penambahan kapitalisasi biaya perkebunan (143.919)</t>
        </is>
      </c>
      <c r="J1258" t="inlineStr">
        <is>
          <t>High</t>
        </is>
      </c>
      <c r="M1258" t="inlineStr">
        <is>
          <t>LLM</t>
        </is>
      </c>
      <c r="N1258" t="inlineStr">
        <is>
          <t>2026-04-18</t>
        </is>
      </c>
      <c r="O1258" t="inlineStr">
        <is>
          <t>AI</t>
        </is>
      </c>
    </row>
    <row r="1259">
      <c r="A1259" t="inlineStr">
        <is>
          <t>PT Dharma Satya Nusantara Tbk</t>
        </is>
      </c>
      <c r="B1259" t="inlineStr">
        <is>
          <t>DSNG_2023_AR.pdf</t>
        </is>
      </c>
      <c r="C1259" t="n">
        <v>2023</v>
      </c>
      <c r="D1259" t="inlineStr">
        <is>
          <t>Financial</t>
        </is>
      </c>
      <c r="E1259" t="inlineStr">
        <is>
          <t>Closing price 2023 Q4</t>
        </is>
      </c>
      <c r="F1259" t="n">
        <v>555</v>
      </c>
      <c r="G1259" t="inlineStr">
        <is>
          <t>IDR</t>
        </is>
      </c>
      <c r="H1259" t="n">
        <v>18</v>
      </c>
      <c r="I1259" t="inlineStr">
        <is>
          <t>IV 645 525 555 (Penutupan 2023)</t>
        </is>
      </c>
      <c r="J1259" t="inlineStr">
        <is>
          <t>High</t>
        </is>
      </c>
      <c r="M1259" t="inlineStr">
        <is>
          <t>LLM</t>
        </is>
      </c>
      <c r="N1259" t="inlineStr">
        <is>
          <t>2026-04-18</t>
        </is>
      </c>
      <c r="O1259" t="inlineStr">
        <is>
          <t>AI</t>
        </is>
      </c>
    </row>
    <row r="1260">
      <c r="A1260" t="inlineStr">
        <is>
          <t>PT Dharma Satya Nusantara Tbk</t>
        </is>
      </c>
      <c r="B1260" t="inlineStr">
        <is>
          <t>DSNG_2023_AR.pdf</t>
        </is>
      </c>
      <c r="C1260" t="n">
        <v>2023</v>
      </c>
      <c r="D1260" t="inlineStr">
        <is>
          <t>Financial</t>
        </is>
      </c>
      <c r="E1260" t="inlineStr">
        <is>
          <t>Dividend FY2022 paid 2023</t>
        </is>
      </c>
      <c r="F1260" t="n">
        <v>30</v>
      </c>
      <c r="G1260" t="inlineStr">
        <is>
          <t>IDR/share</t>
        </is>
      </c>
      <c r="H1260" t="n">
        <v>130</v>
      </c>
      <c r="I1260" t="inlineStr">
        <is>
          <t>dividen tunai sebesar Rp317.995.272.000 atau sebesar Rp30 setiap saham</t>
        </is>
      </c>
      <c r="J1260" t="inlineStr">
        <is>
          <t>High</t>
        </is>
      </c>
      <c r="M1260" t="inlineStr">
        <is>
          <t>LLM</t>
        </is>
      </c>
      <c r="N1260" t="inlineStr">
        <is>
          <t>2026-04-18</t>
        </is>
      </c>
      <c r="O1260" t="inlineStr">
        <is>
          <t>AI</t>
        </is>
      </c>
    </row>
    <row r="1261">
      <c r="A1261" t="inlineStr">
        <is>
          <t>PT Dharma Satya Nusantara Tbk</t>
        </is>
      </c>
      <c r="B1261" t="inlineStr">
        <is>
          <t>DSNG_2023_AR.pdf</t>
        </is>
      </c>
      <c r="C1261" t="n">
        <v>2023</v>
      </c>
      <c r="D1261" t="inlineStr">
        <is>
          <t>Asset</t>
        </is>
      </c>
      <c r="E1261" t="inlineStr">
        <is>
          <t>Total planted area</t>
        </is>
      </c>
      <c r="F1261" t="n">
        <v>112700</v>
      </c>
      <c r="G1261" t="inlineStr">
        <is>
          <t>ha</t>
        </is>
      </c>
      <c r="H1261" t="n">
        <v>5</v>
      </c>
      <c r="I1261" t="inlineStr">
        <is>
          <t>112.700 Ha LAHAN TERTANAM</t>
        </is>
      </c>
      <c r="J1261" t="inlineStr">
        <is>
          <t>High</t>
        </is>
      </c>
      <c r="M1261" t="inlineStr">
        <is>
          <t>LLM</t>
        </is>
      </c>
      <c r="N1261" t="inlineStr">
        <is>
          <t>2026-04-18</t>
        </is>
      </c>
      <c r="O1261" t="inlineStr">
        <is>
          <t>AI</t>
        </is>
      </c>
    </row>
    <row r="1262">
      <c r="A1262" t="inlineStr">
        <is>
          <t>PT Dharma Satya Nusantara Tbk</t>
        </is>
      </c>
      <c r="B1262" t="inlineStr">
        <is>
          <t>DSNG_2023_AR.pdf</t>
        </is>
      </c>
      <c r="C1262" t="n">
        <v>2023</v>
      </c>
      <c r="D1262" t="inlineStr">
        <is>
          <t>Asset</t>
        </is>
      </c>
      <c r="E1262" t="inlineStr">
        <is>
          <t>Nucleus planted area</t>
        </is>
      </c>
      <c r="F1262" t="n">
        <v>84800</v>
      </c>
      <c r="G1262" t="inlineStr">
        <is>
          <t>ha</t>
        </is>
      </c>
      <c r="H1262" t="n">
        <v>5</v>
      </c>
      <c r="I1262" t="inlineStr">
        <is>
          <t>dengan 84.800 hektar merupakan lahan tertanam kebun inti</t>
        </is>
      </c>
      <c r="J1262" t="inlineStr">
        <is>
          <t>High</t>
        </is>
      </c>
      <c r="M1262" t="inlineStr">
        <is>
          <t>LLM</t>
        </is>
      </c>
      <c r="N1262" t="inlineStr">
        <is>
          <t>2026-04-18</t>
        </is>
      </c>
      <c r="O1262" t="inlineStr">
        <is>
          <t>AI</t>
        </is>
      </c>
    </row>
    <row r="1263">
      <c r="A1263" t="inlineStr">
        <is>
          <t>PT Dharma Satya Nusantara Tbk</t>
        </is>
      </c>
      <c r="B1263" t="inlineStr">
        <is>
          <t>DSNG_2023_AR.pdf</t>
        </is>
      </c>
      <c r="C1263" t="n">
        <v>2023</v>
      </c>
      <c r="D1263" t="inlineStr">
        <is>
          <t>Asset</t>
        </is>
      </c>
      <c r="E1263" t="inlineStr">
        <is>
          <t>Plasma planted area</t>
        </is>
      </c>
      <c r="F1263" t="n">
        <v>27900</v>
      </c>
      <c r="G1263" t="inlineStr">
        <is>
          <t>ha</t>
        </is>
      </c>
      <c r="H1263" t="n">
        <v>85</v>
      </c>
      <c r="I1263" t="inlineStr">
        <is>
          <t>perkebunan inti yang mencapai 84,8 ribu hektar dan plasma mencapai 27,9 ribu hektar</t>
        </is>
      </c>
      <c r="J1263" t="inlineStr">
        <is>
          <t>High</t>
        </is>
      </c>
      <c r="M1263" t="inlineStr">
        <is>
          <t>LLM</t>
        </is>
      </c>
      <c r="N1263" t="inlineStr">
        <is>
          <t>2026-04-18</t>
        </is>
      </c>
      <c r="O1263" t="inlineStr">
        <is>
          <t>AI</t>
        </is>
      </c>
    </row>
    <row r="1264">
      <c r="A1264" t="inlineStr">
        <is>
          <t>PT Dharma Satya Nusantara Tbk</t>
        </is>
      </c>
      <c r="B1264" t="inlineStr">
        <is>
          <t>DSNG_2023_AR.pdf</t>
        </is>
      </c>
      <c r="C1264" t="n">
        <v>2023</v>
      </c>
      <c r="D1264" t="inlineStr">
        <is>
          <t>Asset</t>
        </is>
      </c>
      <c r="E1264" t="inlineStr">
        <is>
          <t>Average tree age</t>
        </is>
      </c>
      <c r="F1264" t="n">
        <v>13.3</v>
      </c>
      <c r="G1264" t="inlineStr">
        <is>
          <t>years</t>
        </is>
      </c>
      <c r="H1264" t="n">
        <v>5</v>
      </c>
      <c r="I1264" t="inlineStr">
        <is>
          <t>13,3 Tahun USIA RATA-RATA (INTI &amp; PLASMA)</t>
        </is>
      </c>
      <c r="J1264" t="inlineStr">
        <is>
          <t>High</t>
        </is>
      </c>
      <c r="M1264" t="inlineStr">
        <is>
          <t>LLM</t>
        </is>
      </c>
      <c r="N1264" t="inlineStr">
        <is>
          <t>2026-04-18</t>
        </is>
      </c>
      <c r="O1264" t="inlineStr">
        <is>
          <t>AI</t>
        </is>
      </c>
    </row>
    <row r="1265">
      <c r="A1265" t="inlineStr">
        <is>
          <t>PT Dharma Satya Nusantara Tbk</t>
        </is>
      </c>
      <c r="B1265" t="inlineStr">
        <is>
          <t>DSNG_2023_AR.pdf</t>
        </is>
      </c>
      <c r="C1265" t="n">
        <v>2023</v>
      </c>
      <c r="D1265" t="inlineStr">
        <is>
          <t>Asset</t>
        </is>
      </c>
      <c r="E1265" t="inlineStr">
        <is>
          <t>Palm oil mills</t>
        </is>
      </c>
      <c r="F1265" t="n">
        <v>12</v>
      </c>
      <c r="G1265" t="inlineStr">
        <is>
          <t>mills</t>
        </is>
      </c>
      <c r="H1265" t="n">
        <v>85</v>
      </c>
      <c r="I1265" t="inlineStr">
        <is>
          <t>Perseroan juga memiliki 12 pabrik kelapa sawit (PKS)</t>
        </is>
      </c>
      <c r="J1265" t="inlineStr">
        <is>
          <t>High</t>
        </is>
      </c>
      <c r="M1265" t="inlineStr">
        <is>
          <t>LLM</t>
        </is>
      </c>
      <c r="N1265" t="inlineStr">
        <is>
          <t>2026-04-18</t>
        </is>
      </c>
      <c r="O1265" t="inlineStr">
        <is>
          <t>AI</t>
        </is>
      </c>
    </row>
    <row r="1266">
      <c r="A1266" t="inlineStr">
        <is>
          <t>PT Dharma Satya Nusantara Tbk</t>
        </is>
      </c>
      <c r="B1266" t="inlineStr">
        <is>
          <t>DSNG_2023_AR.pdf</t>
        </is>
      </c>
      <c r="C1266" t="n">
        <v>2023</v>
      </c>
      <c r="D1266" t="inlineStr">
        <is>
          <t>Asset</t>
        </is>
      </c>
      <c r="E1266" t="inlineStr">
        <is>
          <t>POM capacity</t>
        </is>
      </c>
      <c r="F1266" t="n">
        <v>675</v>
      </c>
      <c r="G1266" t="inlineStr">
        <is>
          <t>tons FFB/hour</t>
        </is>
      </c>
      <c r="H1266" t="n">
        <v>85</v>
      </c>
      <c r="I1266" t="inlineStr">
        <is>
          <t>total mencapai 675 ton/jam</t>
        </is>
      </c>
      <c r="J1266" t="inlineStr">
        <is>
          <t>High</t>
        </is>
      </c>
      <c r="M1266" t="inlineStr">
        <is>
          <t>LLM</t>
        </is>
      </c>
      <c r="N1266" t="inlineStr">
        <is>
          <t>2026-04-18</t>
        </is>
      </c>
      <c r="O1266" t="inlineStr">
        <is>
          <t>AI</t>
        </is>
      </c>
    </row>
    <row r="1267">
      <c r="A1267" t="inlineStr">
        <is>
          <t>PT Dharma Satya Nusantara Tbk</t>
        </is>
      </c>
      <c r="B1267" t="inlineStr">
        <is>
          <t>DSNG_2023_AR.pdf</t>
        </is>
      </c>
      <c r="C1267" t="n">
        <v>2023</v>
      </c>
      <c r="D1267" t="inlineStr">
        <is>
          <t>Operation</t>
        </is>
      </c>
      <c r="E1267" t="inlineStr">
        <is>
          <t>FFB production</t>
        </is>
      </c>
      <c r="F1267" t="n">
        <v>2271821</v>
      </c>
      <c r="G1267" t="inlineStr">
        <is>
          <t>tons</t>
        </is>
      </c>
      <c r="H1267" t="n">
        <v>101</v>
      </c>
      <c r="I1267" t="inlineStr">
        <is>
          <t>Produksi TBS/FFB Production 2.271.821</t>
        </is>
      </c>
      <c r="J1267" t="inlineStr">
        <is>
          <t>High</t>
        </is>
      </c>
      <c r="M1267" t="inlineStr">
        <is>
          <t>LLM</t>
        </is>
      </c>
      <c r="N1267" t="inlineStr">
        <is>
          <t>2026-04-18</t>
        </is>
      </c>
      <c r="O1267" t="inlineStr">
        <is>
          <t>AI</t>
        </is>
      </c>
    </row>
    <row r="1268">
      <c r="A1268" t="inlineStr">
        <is>
          <t>PT Dharma Satya Nusantara Tbk</t>
        </is>
      </c>
      <c r="B1268" t="inlineStr">
        <is>
          <t>DSNG_2023_AR.pdf</t>
        </is>
      </c>
      <c r="C1268" t="n">
        <v>2023</v>
      </c>
      <c r="D1268" t="inlineStr">
        <is>
          <t>Operation</t>
        </is>
      </c>
      <c r="E1268" t="inlineStr">
        <is>
          <t>FFB - Nucleus</t>
        </is>
      </c>
      <c r="F1268" t="n">
        <v>1796532</v>
      </c>
      <c r="G1268" t="inlineStr">
        <is>
          <t>tons</t>
        </is>
      </c>
      <c r="H1268" t="n">
        <v>101</v>
      </c>
      <c r="I1268" t="inlineStr">
        <is>
          <t>Inti/Nucleus 1.796.532</t>
        </is>
      </c>
      <c r="J1268" t="inlineStr">
        <is>
          <t>High</t>
        </is>
      </c>
      <c r="M1268" t="inlineStr">
        <is>
          <t>LLM</t>
        </is>
      </c>
      <c r="N1268" t="inlineStr">
        <is>
          <t>2026-04-18</t>
        </is>
      </c>
      <c r="O1268" t="inlineStr">
        <is>
          <t>AI</t>
        </is>
      </c>
    </row>
    <row r="1269">
      <c r="A1269" t="inlineStr">
        <is>
          <t>PT Dharma Satya Nusantara Tbk</t>
        </is>
      </c>
      <c r="B1269" t="inlineStr">
        <is>
          <t>DSNG_2023_AR.pdf</t>
        </is>
      </c>
      <c r="C1269" t="n">
        <v>2023</v>
      </c>
      <c r="D1269" t="inlineStr">
        <is>
          <t>Operation</t>
        </is>
      </c>
      <c r="E1269" t="inlineStr">
        <is>
          <t>FFB - Plasma</t>
        </is>
      </c>
      <c r="F1269" t="n">
        <v>475289</v>
      </c>
      <c r="G1269" t="inlineStr">
        <is>
          <t>tons</t>
        </is>
      </c>
      <c r="H1269" t="n">
        <v>101</v>
      </c>
      <c r="I1269" t="inlineStr">
        <is>
          <t>Plasma 475.289</t>
        </is>
      </c>
      <c r="J1269" t="inlineStr">
        <is>
          <t>High</t>
        </is>
      </c>
      <c r="M1269" t="inlineStr">
        <is>
          <t>LLM</t>
        </is>
      </c>
      <c r="N1269" t="inlineStr">
        <is>
          <t>2026-04-18</t>
        </is>
      </c>
      <c r="O1269" t="inlineStr">
        <is>
          <t>AI</t>
        </is>
      </c>
    </row>
    <row r="1270">
      <c r="A1270" t="inlineStr">
        <is>
          <t>PT Dharma Satya Nusantara Tbk</t>
        </is>
      </c>
      <c r="B1270" t="inlineStr">
        <is>
          <t>DSNG_2023_AR.pdf</t>
        </is>
      </c>
      <c r="C1270" t="n">
        <v>2023</v>
      </c>
      <c r="D1270" t="inlineStr">
        <is>
          <t>Operation</t>
        </is>
      </c>
      <c r="E1270" t="inlineStr">
        <is>
          <t>FFB processed</t>
        </is>
      </c>
      <c r="F1270" t="n">
        <v>2854559</v>
      </c>
      <c r="G1270" t="inlineStr">
        <is>
          <t>tons</t>
        </is>
      </c>
      <c r="H1270" t="n">
        <v>101</v>
      </c>
      <c r="I1270" t="inlineStr">
        <is>
          <t>TBS Diproses/FFB Processed 2.854.559</t>
        </is>
      </c>
      <c r="J1270" t="inlineStr">
        <is>
          <t>High</t>
        </is>
      </c>
      <c r="M1270" t="inlineStr">
        <is>
          <t>LLM</t>
        </is>
      </c>
      <c r="N1270" t="inlineStr">
        <is>
          <t>2026-04-18</t>
        </is>
      </c>
      <c r="O1270" t="inlineStr">
        <is>
          <t>AI</t>
        </is>
      </c>
    </row>
    <row r="1271">
      <c r="A1271" t="inlineStr">
        <is>
          <t>PT Dharma Satya Nusantara Tbk</t>
        </is>
      </c>
      <c r="B1271" t="inlineStr">
        <is>
          <t>DSNG_2023_AR.pdf</t>
        </is>
      </c>
      <c r="C1271" t="n">
        <v>2023</v>
      </c>
      <c r="D1271" t="inlineStr">
        <is>
          <t>Operation</t>
        </is>
      </c>
      <c r="E1271" t="inlineStr">
        <is>
          <t>CPO production</t>
        </is>
      </c>
      <c r="F1271" t="n">
        <v>661892</v>
      </c>
      <c r="G1271" t="inlineStr">
        <is>
          <t>tons</t>
        </is>
      </c>
      <c r="H1271" t="n">
        <v>101</v>
      </c>
      <c r="I1271" t="inlineStr">
        <is>
          <t>Produksi CPO 661.892</t>
        </is>
      </c>
      <c r="J1271" t="inlineStr">
        <is>
          <t>High</t>
        </is>
      </c>
      <c r="M1271" t="inlineStr">
        <is>
          <t>LLM</t>
        </is>
      </c>
      <c r="N1271" t="inlineStr">
        <is>
          <t>2026-04-18</t>
        </is>
      </c>
      <c r="O1271" t="inlineStr">
        <is>
          <t>AI</t>
        </is>
      </c>
    </row>
    <row r="1272">
      <c r="A1272" t="inlineStr">
        <is>
          <t>PT Dharma Satya Nusantara Tbk</t>
        </is>
      </c>
      <c r="B1272" t="inlineStr">
        <is>
          <t>DSNG_2023_AR.pdf</t>
        </is>
      </c>
      <c r="C1272" t="n">
        <v>2023</v>
      </c>
      <c r="D1272" t="inlineStr">
        <is>
          <t>Operation</t>
        </is>
      </c>
      <c r="E1272" t="inlineStr">
        <is>
          <t>PK production</t>
        </is>
      </c>
      <c r="F1272" t="n">
        <v>122732</v>
      </c>
      <c r="G1272" t="inlineStr">
        <is>
          <t>tons</t>
        </is>
      </c>
      <c r="H1272" t="n">
        <v>101</v>
      </c>
      <c r="I1272" t="inlineStr">
        <is>
          <t>Produksi PK 122.732</t>
        </is>
      </c>
      <c r="J1272" t="inlineStr">
        <is>
          <t>High</t>
        </is>
      </c>
      <c r="M1272" t="inlineStr">
        <is>
          <t>LLM</t>
        </is>
      </c>
      <c r="N1272" t="inlineStr">
        <is>
          <t>2026-04-18</t>
        </is>
      </c>
      <c r="O1272" t="inlineStr">
        <is>
          <t>AI</t>
        </is>
      </c>
    </row>
    <row r="1273">
      <c r="A1273" t="inlineStr">
        <is>
          <t>PT Dharma Satya Nusantara Tbk</t>
        </is>
      </c>
      <c r="B1273" t="inlineStr">
        <is>
          <t>DSNG_2023_AR.pdf</t>
        </is>
      </c>
      <c r="C1273" t="n">
        <v>2023</v>
      </c>
      <c r="D1273" t="inlineStr">
        <is>
          <t>Operation</t>
        </is>
      </c>
      <c r="E1273" t="inlineStr">
        <is>
          <t>PKO production</t>
        </is>
      </c>
      <c r="F1273" t="n">
        <v>40356</v>
      </c>
      <c r="G1273" t="inlineStr">
        <is>
          <t>tons</t>
        </is>
      </c>
      <c r="H1273" t="n">
        <v>101</v>
      </c>
      <c r="I1273" t="inlineStr">
        <is>
          <t>Produksi PKO 40.356</t>
        </is>
      </c>
      <c r="J1273" t="inlineStr">
        <is>
          <t>High</t>
        </is>
      </c>
      <c r="M1273" t="inlineStr">
        <is>
          <t>LLM</t>
        </is>
      </c>
      <c r="N1273" t="inlineStr">
        <is>
          <t>2026-04-18</t>
        </is>
      </c>
      <c r="O1273" t="inlineStr">
        <is>
          <t>AI</t>
        </is>
      </c>
    </row>
    <row r="1274">
      <c r="A1274" t="inlineStr">
        <is>
          <t>PT Dharma Satya Nusantara Tbk</t>
        </is>
      </c>
      <c r="B1274" t="inlineStr">
        <is>
          <t>DSNG_2023_AR.pdf</t>
        </is>
      </c>
      <c r="C1274" t="n">
        <v>2023</v>
      </c>
      <c r="D1274" t="inlineStr">
        <is>
          <t>Operation</t>
        </is>
      </c>
      <c r="E1274" t="inlineStr">
        <is>
          <t>CPO OER</t>
        </is>
      </c>
      <c r="F1274" t="n">
        <v>0.2319</v>
      </c>
      <c r="G1274" t="inlineStr">
        <is>
          <t>decimal</t>
        </is>
      </c>
      <c r="H1274" t="n">
        <v>101</v>
      </c>
      <c r="I1274" t="inlineStr">
        <is>
          <t>CPO OER (%) 23,19</t>
        </is>
      </c>
      <c r="J1274" t="inlineStr">
        <is>
          <t>High</t>
        </is>
      </c>
      <c r="M1274" t="inlineStr">
        <is>
          <t>LLM</t>
        </is>
      </c>
      <c r="N1274" t="inlineStr">
        <is>
          <t>2026-04-18</t>
        </is>
      </c>
      <c r="O1274" t="inlineStr">
        <is>
          <t>AI</t>
        </is>
      </c>
    </row>
    <row r="1275">
      <c r="A1275" t="inlineStr">
        <is>
          <t>PT Dharma Satya Nusantara Tbk</t>
        </is>
      </c>
      <c r="B1275" t="inlineStr">
        <is>
          <t>DSNG_2023_AR.pdf</t>
        </is>
      </c>
      <c r="C1275" t="n">
        <v>2023</v>
      </c>
      <c r="D1275" t="inlineStr">
        <is>
          <t>Operation</t>
        </is>
      </c>
      <c r="E1275" t="inlineStr">
        <is>
          <t>FFA</t>
        </is>
      </c>
      <c r="F1275" t="n">
        <v>0.0296</v>
      </c>
      <c r="G1275" t="inlineStr">
        <is>
          <t>decimal</t>
        </is>
      </c>
      <c r="H1275" t="n">
        <v>101</v>
      </c>
      <c r="I1275" t="inlineStr">
        <is>
          <t>FFA (%) 2,96</t>
        </is>
      </c>
      <c r="J1275" t="inlineStr">
        <is>
          <t>High</t>
        </is>
      </c>
      <c r="M1275" t="inlineStr">
        <is>
          <t>LLM</t>
        </is>
      </c>
      <c r="N1275" t="inlineStr">
        <is>
          <t>2026-04-18</t>
        </is>
      </c>
      <c r="O1275" t="inlineStr">
        <is>
          <t>AI</t>
        </is>
      </c>
    </row>
    <row r="1276">
      <c r="A1276" t="inlineStr">
        <is>
          <t>PT Dharma Satya Nusantara Tbk</t>
        </is>
      </c>
      <c r="B1276" t="inlineStr">
        <is>
          <t>DSNG_2023_AR.pdf</t>
        </is>
      </c>
      <c r="C1276" t="n">
        <v>2023</v>
      </c>
      <c r="D1276" t="inlineStr">
        <is>
          <t>Operation</t>
        </is>
      </c>
      <c r="E1276" t="inlineStr">
        <is>
          <t>CPO sales volume</t>
        </is>
      </c>
      <c r="F1276" t="n">
        <v>665041</v>
      </c>
      <c r="G1276" t="inlineStr">
        <is>
          <t>tons</t>
        </is>
      </c>
      <c r="H1276" t="n">
        <v>101</v>
      </c>
      <c r="I1276" t="inlineStr">
        <is>
          <t>Volume Penjualan CPO 665.041</t>
        </is>
      </c>
      <c r="J1276" t="inlineStr">
        <is>
          <t>High</t>
        </is>
      </c>
      <c r="M1276" t="inlineStr">
        <is>
          <t>LLM</t>
        </is>
      </c>
      <c r="N1276" t="inlineStr">
        <is>
          <t>2026-04-18</t>
        </is>
      </c>
      <c r="O1276" t="inlineStr">
        <is>
          <t>AI</t>
        </is>
      </c>
    </row>
    <row r="1277">
      <c r="A1277" t="inlineStr">
        <is>
          <t>PT Dharma Satya Nusantara Tbk</t>
        </is>
      </c>
      <c r="B1277" t="inlineStr">
        <is>
          <t>DSNG_2023_AR.pdf</t>
        </is>
      </c>
      <c r="C1277" t="n">
        <v>2023</v>
      </c>
      <c r="D1277" t="inlineStr">
        <is>
          <t>Operation</t>
        </is>
      </c>
      <c r="E1277" t="inlineStr">
        <is>
          <t>CPO ASP</t>
        </is>
      </c>
      <c r="F1277" t="n">
        <v>11390000</v>
      </c>
      <c r="G1277" t="inlineStr">
        <is>
          <t>IDR/ton</t>
        </is>
      </c>
      <c r="H1277" t="n">
        <v>101</v>
      </c>
      <c r="I1277" t="inlineStr">
        <is>
          <t>Harga Rata-Rata CPO 11,39 Rp juta/ton</t>
        </is>
      </c>
      <c r="J1277" t="inlineStr">
        <is>
          <t>High</t>
        </is>
      </c>
      <c r="M1277" t="inlineStr">
        <is>
          <t>LLM</t>
        </is>
      </c>
      <c r="N1277" t="inlineStr">
        <is>
          <t>2026-04-18</t>
        </is>
      </c>
      <c r="O1277" t="inlineStr">
        <is>
          <t>AI</t>
        </is>
      </c>
    </row>
    <row r="1278">
      <c r="A1278" t="inlineStr">
        <is>
          <t>PT Dharma Satya Nusantara Tbk</t>
        </is>
      </c>
      <c r="B1278" t="inlineStr">
        <is>
          <t>DSNG_2023_AR.pdf</t>
        </is>
      </c>
      <c r="C1278" t="n">
        <v>2023</v>
      </c>
      <c r="D1278" t="inlineStr">
        <is>
          <t>Operation</t>
        </is>
      </c>
      <c r="E1278" t="inlineStr">
        <is>
          <t>PKO ASP</t>
        </is>
      </c>
      <c r="F1278" t="n">
        <v>12970000</v>
      </c>
      <c r="G1278" t="inlineStr">
        <is>
          <t>IDR/ton</t>
        </is>
      </c>
      <c r="H1278" t="n">
        <v>101</v>
      </c>
      <c r="I1278" t="inlineStr">
        <is>
          <t>Harga Rata-Rata PKO 12,97 Rp juta/ton</t>
        </is>
      </c>
      <c r="J1278" t="inlineStr">
        <is>
          <t>High</t>
        </is>
      </c>
      <c r="M1278" t="inlineStr">
        <is>
          <t>LLM</t>
        </is>
      </c>
      <c r="N1278" t="inlineStr">
        <is>
          <t>2026-04-18</t>
        </is>
      </c>
      <c r="O1278" t="inlineStr">
        <is>
          <t>AI</t>
        </is>
      </c>
    </row>
    <row r="1279">
      <c r="A1279" t="inlineStr">
        <is>
          <t>PT Dharma Satya Nusantara Tbk</t>
        </is>
      </c>
      <c r="B1279" t="inlineStr">
        <is>
          <t>DSNG_2023_AR.pdf</t>
        </is>
      </c>
      <c r="C1279" t="n">
        <v>2023</v>
      </c>
      <c r="D1279" t="inlineStr">
        <is>
          <t>Operation</t>
        </is>
      </c>
      <c r="E1279" t="inlineStr">
        <is>
          <t>Panel sales</t>
        </is>
      </c>
      <c r="F1279" t="n">
        <v>99500</v>
      </c>
      <c r="G1279" t="inlineStr">
        <is>
          <t>m3</t>
        </is>
      </c>
      <c r="H1279" t="n">
        <v>101</v>
      </c>
      <c r="I1279" t="inlineStr">
        <is>
          <t>Panel 99,5 ribu m3</t>
        </is>
      </c>
      <c r="J1279" t="inlineStr">
        <is>
          <t>High</t>
        </is>
      </c>
      <c r="M1279" t="inlineStr">
        <is>
          <t>LLM</t>
        </is>
      </c>
      <c r="N1279" t="inlineStr">
        <is>
          <t>2026-04-18</t>
        </is>
      </c>
      <c r="O1279" t="inlineStr">
        <is>
          <t>AI</t>
        </is>
      </c>
    </row>
    <row r="1280">
      <c r="A1280" t="inlineStr">
        <is>
          <t>PT Dharma Satya Nusantara Tbk</t>
        </is>
      </c>
      <c r="B1280" t="inlineStr">
        <is>
          <t>DSNG_2023_AR.pdf</t>
        </is>
      </c>
      <c r="C1280" t="n">
        <v>2023</v>
      </c>
      <c r="D1280" t="inlineStr">
        <is>
          <t>Operation</t>
        </is>
      </c>
      <c r="E1280" t="inlineStr">
        <is>
          <t>Engineered flooring sales</t>
        </is>
      </c>
      <c r="F1280" t="n">
        <v>738500</v>
      </c>
      <c r="G1280" t="inlineStr">
        <is>
          <t>m2</t>
        </is>
      </c>
      <c r="H1280" t="n">
        <v>101</v>
      </c>
      <c r="I1280" t="inlineStr">
        <is>
          <t>Engineered Floorings 738,5 ribu m2</t>
        </is>
      </c>
      <c r="J1280" t="inlineStr">
        <is>
          <t>High</t>
        </is>
      </c>
      <c r="M1280" t="inlineStr">
        <is>
          <t>LLM</t>
        </is>
      </c>
      <c r="N1280" t="inlineStr">
        <is>
          <t>2026-04-18</t>
        </is>
      </c>
      <c r="O1280" t="inlineStr">
        <is>
          <t>AI</t>
        </is>
      </c>
    </row>
    <row r="1281">
      <c r="A1281" t="inlineStr">
        <is>
          <t>PT Dharma Satya Nusantara Tbk</t>
        </is>
      </c>
      <c r="B1281" t="inlineStr">
        <is>
          <t>DSNG_2023_AR.pdf</t>
        </is>
      </c>
      <c r="C1281" t="n">
        <v>2023</v>
      </c>
      <c r="D1281" t="inlineStr">
        <is>
          <t>Operation</t>
        </is>
      </c>
      <c r="E1281" t="inlineStr">
        <is>
          <t>Palm kernel shell export volume</t>
        </is>
      </c>
      <c r="F1281" t="n">
        <v>40397</v>
      </c>
      <c r="G1281" t="inlineStr">
        <is>
          <t>tons</t>
        </is>
      </c>
      <c r="H1281" t="n">
        <v>106</v>
      </c>
      <c r="I1281" t="inlineStr">
        <is>
          <t>dengan volume sebesar 40.397 ton (palm shell exports H2 2023)</t>
        </is>
      </c>
      <c r="J1281" t="inlineStr">
        <is>
          <t>High</t>
        </is>
      </c>
      <c r="M1281" t="inlineStr">
        <is>
          <t>LLM</t>
        </is>
      </c>
      <c r="N1281" t="inlineStr">
        <is>
          <t>2026-04-18</t>
        </is>
      </c>
      <c r="O1281" t="inlineStr">
        <is>
          <t>AI</t>
        </is>
      </c>
    </row>
    <row r="1282">
      <c r="A1282" t="inlineStr">
        <is>
          <t>PT Dharma Satya Nusantara Tbk</t>
        </is>
      </c>
      <c r="B1282" t="inlineStr">
        <is>
          <t>DSNG_2023_AR.pdf</t>
        </is>
      </c>
      <c r="C1282" t="n">
        <v>2023</v>
      </c>
      <c r="D1282" t="inlineStr">
        <is>
          <t>ESG</t>
        </is>
      </c>
      <c r="E1282" t="inlineStr">
        <is>
          <t>Sustainability certifications</t>
        </is>
      </c>
      <c r="F1282" t="inlineStr">
        <is>
          <t>7 RSPO, 20 ISPO, 2 SCCS, 1 ISCC</t>
        </is>
      </c>
      <c r="G1282" t="inlineStr">
        <is>
          <t>-</t>
        </is>
      </c>
      <c r="H1282" t="n">
        <v>5</v>
      </c>
      <c r="I1282" t="inlineStr">
        <is>
          <t>7 RSPO, 20 ISPO, 2 SCCS, 1 ISCC</t>
        </is>
      </c>
      <c r="J1282" t="inlineStr">
        <is>
          <t>High</t>
        </is>
      </c>
      <c r="M1282" t="inlineStr">
        <is>
          <t>LLM</t>
        </is>
      </c>
      <c r="N1282" t="inlineStr">
        <is>
          <t>2026-04-18</t>
        </is>
      </c>
      <c r="O1282" t="inlineStr">
        <is>
          <t>AI</t>
        </is>
      </c>
    </row>
    <row r="1283">
      <c r="A1283" t="inlineStr">
        <is>
          <t>PT Dharma Satya Nusantara Tbk</t>
        </is>
      </c>
      <c r="B1283" t="inlineStr">
        <is>
          <t>DSNG_2023_AR.pdf</t>
        </is>
      </c>
      <c r="C1283" t="n">
        <v>2023</v>
      </c>
      <c r="D1283" t="inlineStr">
        <is>
          <t>Other</t>
        </is>
      </c>
      <c r="E1283" t="inlineStr">
        <is>
          <t>Contiguous East Kalimantan block</t>
        </is>
      </c>
      <c r="F1283" t="n">
        <v>60000</v>
      </c>
      <c r="G1283" t="inlineStr">
        <is>
          <t>ha</t>
        </is>
      </c>
      <c r="H1283" t="n">
        <v>5</v>
      </c>
      <c r="I1283" t="inlineStr">
        <is>
          <t>Lebih dari 60.000 hektar area tertanam di Kalimantan Timur berada dalam satu hamparan</t>
        </is>
      </c>
      <c r="J1283" t="inlineStr">
        <is>
          <t>High</t>
        </is>
      </c>
      <c r="M1283" t="inlineStr">
        <is>
          <t>LLM</t>
        </is>
      </c>
      <c r="N1283" t="inlineStr">
        <is>
          <t>2026-04-18</t>
        </is>
      </c>
      <c r="O1283" t="inlineStr">
        <is>
          <t>AI</t>
        </is>
      </c>
    </row>
    <row r="1284">
      <c r="A1284" t="inlineStr">
        <is>
          <t>PT Dharma Satya Nusantara Tbk</t>
        </is>
      </c>
      <c r="B1284" t="inlineStr">
        <is>
          <t>DSNG_2023_AR.pdf</t>
        </is>
      </c>
      <c r="C1284" t="n">
        <v>2023</v>
      </c>
      <c r="D1284" t="inlineStr">
        <is>
          <t>Other</t>
        </is>
      </c>
      <c r="E1284" t="inlineStr">
        <is>
          <t>Number of shareholders 2023</t>
        </is>
      </c>
      <c r="F1284" t="n">
        <v>6570</v>
      </c>
      <c r="G1284" t="inlineStr">
        <is>
          <t>shareholders</t>
        </is>
      </c>
      <c r="H1284" t="n">
        <v>19</v>
      </c>
      <c r="I1284" t="inlineStr">
        <is>
          <t>2023 ... 6.570</t>
        </is>
      </c>
      <c r="J1284" t="inlineStr">
        <is>
          <t>High</t>
        </is>
      </c>
      <c r="M1284" t="inlineStr">
        <is>
          <t>LLM</t>
        </is>
      </c>
      <c r="N1284" t="inlineStr">
        <is>
          <t>2026-04-18</t>
        </is>
      </c>
      <c r="O1284" t="inlineStr">
        <is>
          <t>AI</t>
        </is>
      </c>
    </row>
    <row r="1285">
      <c r="A1285" t="inlineStr">
        <is>
          <t>PT Dharma Satya Nusantara Tbk</t>
        </is>
      </c>
      <c r="B1285" t="inlineStr">
        <is>
          <t>DSNG_2024_AR.pdf</t>
        </is>
      </c>
      <c r="C1285" t="n">
        <v>2024</v>
      </c>
      <c r="D1285" t="inlineStr">
        <is>
          <t>Company</t>
        </is>
      </c>
      <c r="E1285" t="inlineStr">
        <is>
          <t>Company name</t>
        </is>
      </c>
      <c r="F1285" t="inlineStr">
        <is>
          <t>PT Dharma Satya Nusantara Tbk</t>
        </is>
      </c>
      <c r="G1285" t="inlineStr">
        <is>
          <t>-</t>
        </is>
      </c>
      <c r="H1285" t="n">
        <v>4</v>
      </c>
      <c r="I1285" t="inlineStr">
        <is>
          <t>PT Dharma Satya Nusantara Tbk Annual Report 2024</t>
        </is>
      </c>
      <c r="J1285" t="inlineStr">
        <is>
          <t>High</t>
        </is>
      </c>
      <c r="M1285" t="inlineStr">
        <is>
          <t>LLM</t>
        </is>
      </c>
      <c r="N1285" t="inlineStr">
        <is>
          <t>2026-04-18</t>
        </is>
      </c>
      <c r="O1285" t="inlineStr">
        <is>
          <t>AI</t>
        </is>
      </c>
    </row>
    <row r="1286">
      <c r="A1286" t="inlineStr">
        <is>
          <t>PT Dharma Satya Nusantara Tbk</t>
        </is>
      </c>
      <c r="B1286" t="inlineStr">
        <is>
          <t>DSNG_2024_AR.pdf</t>
        </is>
      </c>
      <c r="C1286" t="n">
        <v>2024</v>
      </c>
      <c r="D1286" t="inlineStr">
        <is>
          <t>Company</t>
        </is>
      </c>
      <c r="E1286" t="inlineStr">
        <is>
          <t>Shares outstanding</t>
        </is>
      </c>
      <c r="F1286" t="n">
        <v>10599842400</v>
      </c>
      <c r="G1286" t="inlineStr">
        <is>
          <t>shares</t>
        </is>
      </c>
      <c r="H1286" t="n">
        <v>18</v>
      </c>
      <c r="I1286" t="inlineStr">
        <is>
          <t>Jumlah Saham Beredar 10.599.842.400</t>
        </is>
      </c>
      <c r="J1286" t="inlineStr">
        <is>
          <t>High</t>
        </is>
      </c>
      <c r="M1286" t="inlineStr">
        <is>
          <t>LLM</t>
        </is>
      </c>
      <c r="N1286" t="inlineStr">
        <is>
          <t>2026-04-18</t>
        </is>
      </c>
      <c r="O1286" t="inlineStr">
        <is>
          <t>AI</t>
        </is>
      </c>
    </row>
    <row r="1287">
      <c r="A1287" t="inlineStr">
        <is>
          <t>PT Dharma Satya Nusantara Tbk</t>
        </is>
      </c>
      <c r="B1287" t="inlineStr">
        <is>
          <t>DSNG_2024_AR.pdf</t>
        </is>
      </c>
      <c r="C1287" t="n">
        <v>2024</v>
      </c>
      <c r="D1287" t="inlineStr">
        <is>
          <t>Company</t>
        </is>
      </c>
      <c r="E1287" t="inlineStr">
        <is>
          <t>T.P. Rachmat Family stake</t>
        </is>
      </c>
      <c r="F1287" t="n">
        <v>0.3171</v>
      </c>
      <c r="G1287" t="inlineStr">
        <is>
          <t>decimal</t>
        </is>
      </c>
      <c r="H1287" t="n">
        <v>19</v>
      </c>
      <c r="I1287" t="inlineStr">
        <is>
          <t>T.P. Rachmat Family 3.288.756.900 31,71</t>
        </is>
      </c>
      <c r="J1287" t="inlineStr">
        <is>
          <t>High</t>
        </is>
      </c>
      <c r="M1287" t="inlineStr">
        <is>
          <t>LLM</t>
        </is>
      </c>
      <c r="N1287" t="inlineStr">
        <is>
          <t>2026-04-18</t>
        </is>
      </c>
      <c r="O1287" t="inlineStr">
        <is>
          <t>AI</t>
        </is>
      </c>
    </row>
    <row r="1288">
      <c r="A1288" t="inlineStr">
        <is>
          <t>PT Dharma Satya Nusantara Tbk</t>
        </is>
      </c>
      <c r="B1288" t="inlineStr">
        <is>
          <t>DSNG_2024_AR.pdf</t>
        </is>
      </c>
      <c r="C1288" t="n">
        <v>2024</v>
      </c>
      <c r="D1288" t="inlineStr">
        <is>
          <t>Company</t>
        </is>
      </c>
      <c r="E1288" t="inlineStr">
        <is>
          <t>Oetomo Family stake</t>
        </is>
      </c>
      <c r="F1288" t="n">
        <v>0.289</v>
      </c>
      <c r="G1288" t="inlineStr">
        <is>
          <t>decimal</t>
        </is>
      </c>
      <c r="H1288" t="n">
        <v>19</v>
      </c>
      <c r="I1288" t="inlineStr">
        <is>
          <t>Oetomo Family 3.063.196.696 28,90</t>
        </is>
      </c>
      <c r="J1288" t="inlineStr">
        <is>
          <t>High</t>
        </is>
      </c>
      <c r="M1288" t="inlineStr">
        <is>
          <t>LLM</t>
        </is>
      </c>
      <c r="N1288" t="inlineStr">
        <is>
          <t>2026-04-18</t>
        </is>
      </c>
      <c r="O1288" t="inlineStr">
        <is>
          <t>AI</t>
        </is>
      </c>
    </row>
    <row r="1289">
      <c r="A1289" t="inlineStr">
        <is>
          <t>PT Dharma Satya Nusantara Tbk</t>
        </is>
      </c>
      <c r="B1289" t="inlineStr">
        <is>
          <t>DSNG_2024_AR.pdf</t>
        </is>
      </c>
      <c r="C1289" t="n">
        <v>2024</v>
      </c>
      <c r="D1289" t="inlineStr">
        <is>
          <t>Company</t>
        </is>
      </c>
      <c r="E1289" t="inlineStr">
        <is>
          <t>REA Kaltim Plantations stake increased</t>
        </is>
      </c>
      <c r="F1289" t="n">
        <v>0.35</v>
      </c>
      <c r="G1289" t="inlineStr">
        <is>
          <t>decimal</t>
        </is>
      </c>
      <c r="H1289" t="n">
        <v>108</v>
      </c>
      <c r="I1289" t="inlineStr">
        <is>
          <t>penambahan investasi strategi Perseroan pada entitas asosiasi, yakni PT REA Kaltim Plantations, dari 15% ke 35%</t>
        </is>
      </c>
      <c r="J1289" t="inlineStr">
        <is>
          <t>High</t>
        </is>
      </c>
      <c r="M1289" t="inlineStr">
        <is>
          <t>LLM</t>
        </is>
      </c>
      <c r="N1289" t="inlineStr">
        <is>
          <t>2026-04-18</t>
        </is>
      </c>
      <c r="O1289" t="inlineStr">
        <is>
          <t>AI</t>
        </is>
      </c>
    </row>
    <row r="1290">
      <c r="A1290" t="inlineStr">
        <is>
          <t>PT Dharma Satya Nusantara Tbk</t>
        </is>
      </c>
      <c r="B1290" t="inlineStr">
        <is>
          <t>DSNG_2024_AR.pdf</t>
        </is>
      </c>
      <c r="C1290" t="n">
        <v>2024</v>
      </c>
      <c r="D1290" t="inlineStr">
        <is>
          <t>Financial</t>
        </is>
      </c>
      <c r="E1290" t="inlineStr">
        <is>
          <t>Revenue</t>
        </is>
      </c>
      <c r="F1290" t="n">
        <v>10119.22</v>
      </c>
      <c r="G1290" t="inlineStr">
        <is>
          <t>IDR bn</t>
        </is>
      </c>
      <c r="H1290" t="n">
        <v>14</v>
      </c>
      <c r="I1290" t="inlineStr">
        <is>
          <t>Penjualan 10.119.220 (Dalam Jutaan Rupiah)</t>
        </is>
      </c>
      <c r="J1290" t="inlineStr">
        <is>
          <t>High</t>
        </is>
      </c>
      <c r="M1290" t="inlineStr">
        <is>
          <t>LLM</t>
        </is>
      </c>
      <c r="N1290" t="inlineStr">
        <is>
          <t>2026-04-18</t>
        </is>
      </c>
      <c r="O1290" t="inlineStr">
        <is>
          <t>AI</t>
        </is>
      </c>
    </row>
    <row r="1291">
      <c r="A1291" t="inlineStr">
        <is>
          <t>PT Dharma Satya Nusantara Tbk</t>
        </is>
      </c>
      <c r="B1291" t="inlineStr">
        <is>
          <t>DSNG_2024_AR.pdf</t>
        </is>
      </c>
      <c r="C1291" t="n">
        <v>2024</v>
      </c>
      <c r="D1291" t="inlineStr">
        <is>
          <t>Financial</t>
        </is>
      </c>
      <c r="E1291" t="inlineStr">
        <is>
          <t>Palm oil revenue</t>
        </is>
      </c>
      <c r="F1291" t="n">
        <v>8784.343999999999</v>
      </c>
      <c r="G1291" t="inlineStr">
        <is>
          <t>IDR bn</t>
        </is>
      </c>
      <c r="H1291" t="n">
        <v>109</v>
      </c>
      <c r="I1291" t="inlineStr">
        <is>
          <t>Kelapa Sawit/Palm Oil 8.784.344 5,1%</t>
        </is>
      </c>
      <c r="J1291" t="inlineStr">
        <is>
          <t>High</t>
        </is>
      </c>
      <c r="M1291" t="inlineStr">
        <is>
          <t>LLM</t>
        </is>
      </c>
      <c r="N1291" t="inlineStr">
        <is>
          <t>2026-04-18</t>
        </is>
      </c>
      <c r="O1291" t="inlineStr">
        <is>
          <t>AI</t>
        </is>
      </c>
    </row>
    <row r="1292">
      <c r="A1292" t="inlineStr">
        <is>
          <t>PT Dharma Satya Nusantara Tbk</t>
        </is>
      </c>
      <c r="B1292" t="inlineStr">
        <is>
          <t>DSNG_2024_AR.pdf</t>
        </is>
      </c>
      <c r="C1292" t="n">
        <v>2024</v>
      </c>
      <c r="D1292" t="inlineStr">
        <is>
          <t>Financial</t>
        </is>
      </c>
      <c r="E1292" t="inlineStr">
        <is>
          <t>Wood products revenue</t>
        </is>
      </c>
      <c r="F1292" t="n">
        <v>1152.074</v>
      </c>
      <c r="G1292" t="inlineStr">
        <is>
          <t>IDR bn</t>
        </is>
      </c>
      <c r="H1292" t="n">
        <v>109</v>
      </c>
      <c r="I1292" t="inlineStr">
        <is>
          <t>Produk Kayu/Wood Products 1.152.074 7,3%</t>
        </is>
      </c>
      <c r="J1292" t="inlineStr">
        <is>
          <t>High</t>
        </is>
      </c>
      <c r="M1292" t="inlineStr">
        <is>
          <t>LLM</t>
        </is>
      </c>
      <c r="N1292" t="inlineStr">
        <is>
          <t>2026-04-18</t>
        </is>
      </c>
      <c r="O1292" t="inlineStr">
        <is>
          <t>AI</t>
        </is>
      </c>
    </row>
    <row r="1293">
      <c r="A1293" t="inlineStr">
        <is>
          <t>PT Dharma Satya Nusantara Tbk</t>
        </is>
      </c>
      <c r="B1293" t="inlineStr">
        <is>
          <t>DSNG_2024_AR.pdf</t>
        </is>
      </c>
      <c r="C1293" t="n">
        <v>2024</v>
      </c>
      <c r="D1293" t="inlineStr">
        <is>
          <t>Financial</t>
        </is>
      </c>
      <c r="E1293" t="inlineStr">
        <is>
          <t>Renewable energy revenue</t>
        </is>
      </c>
      <c r="F1293" t="n">
        <v>182.802</v>
      </c>
      <c r="G1293" t="inlineStr">
        <is>
          <t>IDR bn</t>
        </is>
      </c>
      <c r="H1293" t="n">
        <v>109</v>
      </c>
      <c r="I1293" t="inlineStr">
        <is>
          <t>Energi Terbarukan/Renewable Energy 182.802 159,8%</t>
        </is>
      </c>
      <c r="J1293" t="inlineStr">
        <is>
          <t>High</t>
        </is>
      </c>
      <c r="M1293" t="inlineStr">
        <is>
          <t>LLM</t>
        </is>
      </c>
      <c r="N1293" t="inlineStr">
        <is>
          <t>2026-04-18</t>
        </is>
      </c>
      <c r="O1293" t="inlineStr">
        <is>
          <t>AI</t>
        </is>
      </c>
    </row>
    <row r="1294">
      <c r="A1294" t="inlineStr">
        <is>
          <t>PT Dharma Satya Nusantara Tbk</t>
        </is>
      </c>
      <c r="B1294" t="inlineStr">
        <is>
          <t>DSNG_2024_AR.pdf</t>
        </is>
      </c>
      <c r="C1294" t="n">
        <v>2024</v>
      </c>
      <c r="D1294" t="inlineStr">
        <is>
          <t>Financial</t>
        </is>
      </c>
      <c r="E1294" t="inlineStr">
        <is>
          <t>Gross profit</t>
        </is>
      </c>
      <c r="F1294" t="n">
        <v>3004.201</v>
      </c>
      <c r="G1294" t="inlineStr">
        <is>
          <t>IDR bn</t>
        </is>
      </c>
      <c r="H1294" t="n">
        <v>14</v>
      </c>
      <c r="I1294" t="inlineStr">
        <is>
          <t>Laba Bruto 3.004.201</t>
        </is>
      </c>
      <c r="J1294" t="inlineStr">
        <is>
          <t>High</t>
        </is>
      </c>
      <c r="M1294" t="inlineStr">
        <is>
          <t>LLM</t>
        </is>
      </c>
      <c r="N1294" t="inlineStr">
        <is>
          <t>2026-04-18</t>
        </is>
      </c>
      <c r="O1294" t="inlineStr">
        <is>
          <t>AI</t>
        </is>
      </c>
    </row>
    <row r="1295">
      <c r="A1295" t="inlineStr">
        <is>
          <t>PT Dharma Satya Nusantara Tbk</t>
        </is>
      </c>
      <c r="B1295" t="inlineStr">
        <is>
          <t>DSNG_2024_AR.pdf</t>
        </is>
      </c>
      <c r="C1295" t="n">
        <v>2024</v>
      </c>
      <c r="D1295" t="inlineStr">
        <is>
          <t>Financial</t>
        </is>
      </c>
      <c r="E1295" t="inlineStr">
        <is>
          <t>Operating profit</t>
        </is>
      </c>
      <c r="F1295" t="n">
        <v>2123.67</v>
      </c>
      <c r="G1295" t="inlineStr">
        <is>
          <t>IDR bn</t>
        </is>
      </c>
      <c r="H1295" t="n">
        <v>14</v>
      </c>
      <c r="I1295" t="inlineStr">
        <is>
          <t>Laba Operasi 2.123.670</t>
        </is>
      </c>
      <c r="J1295" t="inlineStr">
        <is>
          <t>High</t>
        </is>
      </c>
      <c r="M1295" t="inlineStr">
        <is>
          <t>LLM</t>
        </is>
      </c>
      <c r="N1295" t="inlineStr">
        <is>
          <t>2026-04-18</t>
        </is>
      </c>
      <c r="O1295" t="inlineStr">
        <is>
          <t>AI</t>
        </is>
      </c>
    </row>
    <row r="1296">
      <c r="A1296" t="inlineStr">
        <is>
          <t>PT Dharma Satya Nusantara Tbk</t>
        </is>
      </c>
      <c r="B1296" t="inlineStr">
        <is>
          <t>DSNG_2024_AR.pdf</t>
        </is>
      </c>
      <c r="C1296" t="n">
        <v>2024</v>
      </c>
      <c r="D1296" t="inlineStr">
        <is>
          <t>Financial</t>
        </is>
      </c>
      <c r="E1296" t="inlineStr">
        <is>
          <t>EBITDA</t>
        </is>
      </c>
      <c r="F1296" t="n">
        <v>3096.491</v>
      </c>
      <c r="G1296" t="inlineStr">
        <is>
          <t>IDR bn</t>
        </is>
      </c>
      <c r="H1296" t="n">
        <v>14</v>
      </c>
      <c r="I1296" t="inlineStr">
        <is>
          <t>EBITDA 3.096.491</t>
        </is>
      </c>
      <c r="J1296" t="inlineStr">
        <is>
          <t>High</t>
        </is>
      </c>
      <c r="M1296" t="inlineStr">
        <is>
          <t>LLM</t>
        </is>
      </c>
      <c r="N1296" t="inlineStr">
        <is>
          <t>2026-04-18</t>
        </is>
      </c>
      <c r="O1296" t="inlineStr">
        <is>
          <t>AI</t>
        </is>
      </c>
    </row>
    <row r="1297">
      <c r="A1297" t="inlineStr">
        <is>
          <t>PT Dharma Satya Nusantara Tbk</t>
        </is>
      </c>
      <c r="B1297" t="inlineStr">
        <is>
          <t>DSNG_2024_AR.pdf</t>
        </is>
      </c>
      <c r="C1297" t="n">
        <v>2024</v>
      </c>
      <c r="D1297" t="inlineStr">
        <is>
          <t>Financial</t>
        </is>
      </c>
      <c r="E1297" t="inlineStr">
        <is>
          <t>Net profit</t>
        </is>
      </c>
      <c r="F1297" t="n">
        <v>1141.375</v>
      </c>
      <c r="G1297" t="inlineStr">
        <is>
          <t>IDR bn</t>
        </is>
      </c>
      <c r="H1297" t="n">
        <v>14</v>
      </c>
      <c r="I1297" t="inlineStr">
        <is>
          <t>Laba 1.141.375</t>
        </is>
      </c>
      <c r="J1297" t="inlineStr">
        <is>
          <t>High</t>
        </is>
      </c>
      <c r="M1297" t="inlineStr">
        <is>
          <t>LLM</t>
        </is>
      </c>
      <c r="N1297" t="inlineStr">
        <is>
          <t>2026-04-18</t>
        </is>
      </c>
      <c r="O1297" t="inlineStr">
        <is>
          <t>AI</t>
        </is>
      </c>
    </row>
    <row r="1298">
      <c r="A1298" t="inlineStr">
        <is>
          <t>PT Dharma Satya Nusantara Tbk</t>
        </is>
      </c>
      <c r="B1298" t="inlineStr">
        <is>
          <t>DSNG_2024_AR.pdf</t>
        </is>
      </c>
      <c r="C1298" t="n">
        <v>2024</v>
      </c>
      <c r="D1298" t="inlineStr">
        <is>
          <t>Financial</t>
        </is>
      </c>
      <c r="E1298" t="inlineStr">
        <is>
          <t>Profit attributable to parent</t>
        </is>
      </c>
      <c r="F1298" t="n">
        <v>1142.493</v>
      </c>
      <c r="G1298" t="inlineStr">
        <is>
          <t>IDR bn</t>
        </is>
      </c>
      <c r="H1298" t="n">
        <v>14</v>
      </c>
      <c r="I1298" t="inlineStr">
        <is>
          <t>Pemilik entitas induk 1.142.493</t>
        </is>
      </c>
      <c r="J1298" t="inlineStr">
        <is>
          <t>High</t>
        </is>
      </c>
      <c r="M1298" t="inlineStr">
        <is>
          <t>LLM</t>
        </is>
      </c>
      <c r="N1298" t="inlineStr">
        <is>
          <t>2026-04-18</t>
        </is>
      </c>
      <c r="O1298" t="inlineStr">
        <is>
          <t>AI</t>
        </is>
      </c>
    </row>
    <row r="1299">
      <c r="A1299" t="inlineStr">
        <is>
          <t>PT Dharma Satya Nusantara Tbk</t>
        </is>
      </c>
      <c r="B1299" t="inlineStr">
        <is>
          <t>DSNG_2024_AR.pdf</t>
        </is>
      </c>
      <c r="C1299" t="n">
        <v>2024</v>
      </c>
      <c r="D1299" t="inlineStr">
        <is>
          <t>Financial</t>
        </is>
      </c>
      <c r="E1299" t="inlineStr">
        <is>
          <t>Total assets</t>
        </is>
      </c>
      <c r="F1299" t="n">
        <v>17412.416</v>
      </c>
      <c r="G1299" t="inlineStr">
        <is>
          <t>IDR bn</t>
        </is>
      </c>
      <c r="H1299" t="n">
        <v>14</v>
      </c>
      <c r="I1299" t="inlineStr">
        <is>
          <t>Total Aset 17.412.416</t>
        </is>
      </c>
      <c r="J1299" t="inlineStr">
        <is>
          <t>High</t>
        </is>
      </c>
      <c r="M1299" t="inlineStr">
        <is>
          <t>LLM</t>
        </is>
      </c>
      <c r="N1299" t="inlineStr">
        <is>
          <t>2026-04-18</t>
        </is>
      </c>
      <c r="O1299" t="inlineStr">
        <is>
          <t>AI</t>
        </is>
      </c>
    </row>
    <row r="1300">
      <c r="A1300" t="inlineStr">
        <is>
          <t>PT Dharma Satya Nusantara Tbk</t>
        </is>
      </c>
      <c r="B1300" t="inlineStr">
        <is>
          <t>DSNG_2024_AR.pdf</t>
        </is>
      </c>
      <c r="C1300" t="n">
        <v>2024</v>
      </c>
      <c r="D1300" t="inlineStr">
        <is>
          <t>Financial</t>
        </is>
      </c>
      <c r="E1300" t="inlineStr">
        <is>
          <t>Total liabilities</t>
        </is>
      </c>
      <c r="F1300" t="n">
        <v>7515.101</v>
      </c>
      <c r="G1300" t="inlineStr">
        <is>
          <t>IDR bn</t>
        </is>
      </c>
      <c r="H1300" t="n">
        <v>14</v>
      </c>
      <c r="I1300" t="inlineStr">
        <is>
          <t>Total Liabilitas 7.515.101</t>
        </is>
      </c>
      <c r="J1300" t="inlineStr">
        <is>
          <t>High</t>
        </is>
      </c>
      <c r="M1300" t="inlineStr">
        <is>
          <t>LLM</t>
        </is>
      </c>
      <c r="N1300" t="inlineStr">
        <is>
          <t>2026-04-18</t>
        </is>
      </c>
      <c r="O1300" t="inlineStr">
        <is>
          <t>AI</t>
        </is>
      </c>
    </row>
    <row r="1301">
      <c r="A1301" t="inlineStr">
        <is>
          <t>PT Dharma Satya Nusantara Tbk</t>
        </is>
      </c>
      <c r="B1301" t="inlineStr">
        <is>
          <t>DSNG_2024_AR.pdf</t>
        </is>
      </c>
      <c r="C1301" t="n">
        <v>2024</v>
      </c>
      <c r="D1301" t="inlineStr">
        <is>
          <t>Financial</t>
        </is>
      </c>
      <c r="E1301" t="inlineStr">
        <is>
          <t>Total equity</t>
        </is>
      </c>
      <c r="F1301" t="n">
        <v>9897.315000000001</v>
      </c>
      <c r="G1301" t="inlineStr">
        <is>
          <t>IDR bn</t>
        </is>
      </c>
      <c r="H1301" t="n">
        <v>14</v>
      </c>
      <c r="I1301" t="inlineStr">
        <is>
          <t>Total Ekuitas 9.897.315</t>
        </is>
      </c>
      <c r="J1301" t="inlineStr">
        <is>
          <t>High</t>
        </is>
      </c>
      <c r="M1301" t="inlineStr">
        <is>
          <t>LLM</t>
        </is>
      </c>
      <c r="N1301" t="inlineStr">
        <is>
          <t>2026-04-18</t>
        </is>
      </c>
      <c r="O1301" t="inlineStr">
        <is>
          <t>AI</t>
        </is>
      </c>
    </row>
    <row r="1302">
      <c r="A1302" t="inlineStr">
        <is>
          <t>PT Dharma Satya Nusantara Tbk</t>
        </is>
      </c>
      <c r="B1302" t="inlineStr">
        <is>
          <t>DSNG_2024_AR.pdf</t>
        </is>
      </c>
      <c r="C1302" t="n">
        <v>2024</v>
      </c>
      <c r="D1302" t="inlineStr">
        <is>
          <t>Financial</t>
        </is>
      </c>
      <c r="E1302" t="inlineStr">
        <is>
          <t>EPS</t>
        </is>
      </c>
      <c r="F1302" t="n">
        <v>107.78</v>
      </c>
      <c r="G1302" t="inlineStr">
        <is>
          <t>IDR/share</t>
        </is>
      </c>
      <c r="H1302" t="n">
        <v>14</v>
      </c>
      <c r="I1302" t="inlineStr">
        <is>
          <t>Laba per saham dasar 107,78</t>
        </is>
      </c>
      <c r="J1302" t="inlineStr">
        <is>
          <t>High</t>
        </is>
      </c>
      <c r="M1302" t="inlineStr">
        <is>
          <t>LLM</t>
        </is>
      </c>
      <c r="N1302" t="inlineStr">
        <is>
          <t>2026-04-18</t>
        </is>
      </c>
      <c r="O1302" t="inlineStr">
        <is>
          <t>AI</t>
        </is>
      </c>
    </row>
    <row r="1303">
      <c r="A1303" t="inlineStr">
        <is>
          <t>PT Dharma Satya Nusantara Tbk</t>
        </is>
      </c>
      <c r="B1303" t="inlineStr">
        <is>
          <t>DSNG_2024_AR.pdf</t>
        </is>
      </c>
      <c r="C1303" t="n">
        <v>2024</v>
      </c>
      <c r="D1303" t="inlineStr">
        <is>
          <t>Financial</t>
        </is>
      </c>
      <c r="E1303" t="inlineStr">
        <is>
          <t>Cash and equivalents</t>
        </is>
      </c>
      <c r="F1303" t="n">
        <v>557.023</v>
      </c>
      <c r="G1303" t="inlineStr">
        <is>
          <t>IDR bn</t>
        </is>
      </c>
      <c r="H1303" t="n">
        <v>237</v>
      </c>
      <c r="I1303" t="inlineStr">
        <is>
          <t>Kas dan setara kas 557.023</t>
        </is>
      </c>
      <c r="J1303" t="inlineStr">
        <is>
          <t>High</t>
        </is>
      </c>
      <c r="M1303" t="inlineStr">
        <is>
          <t>LLM</t>
        </is>
      </c>
      <c r="N1303" t="inlineStr">
        <is>
          <t>2026-04-18</t>
        </is>
      </c>
      <c r="O1303" t="inlineStr">
        <is>
          <t>AI</t>
        </is>
      </c>
    </row>
    <row r="1304">
      <c r="A1304" t="inlineStr">
        <is>
          <t>PT Dharma Satya Nusantara Tbk</t>
        </is>
      </c>
      <c r="B1304" t="inlineStr">
        <is>
          <t>DSNG_2024_AR.pdf</t>
        </is>
      </c>
      <c r="C1304" t="n">
        <v>2024</v>
      </c>
      <c r="D1304" t="inlineStr">
        <is>
          <t>Financial</t>
        </is>
      </c>
      <c r="E1304" t="inlineStr">
        <is>
          <t>ST bank loans</t>
        </is>
      </c>
      <c r="F1304" t="n">
        <v>476.957</v>
      </c>
      <c r="G1304" t="inlineStr">
        <is>
          <t>IDR bn</t>
        </is>
      </c>
      <c r="H1304" t="n">
        <v>238</v>
      </c>
      <c r="I1304" t="inlineStr">
        <is>
          <t>Utang bank jangka pendek 476.957</t>
        </is>
      </c>
      <c r="J1304" t="inlineStr">
        <is>
          <t>High</t>
        </is>
      </c>
      <c r="M1304" t="inlineStr">
        <is>
          <t>LLM</t>
        </is>
      </c>
      <c r="N1304" t="inlineStr">
        <is>
          <t>2026-04-18</t>
        </is>
      </c>
      <c r="O1304" t="inlineStr">
        <is>
          <t>AI</t>
        </is>
      </c>
    </row>
    <row r="1305">
      <c r="A1305" t="inlineStr">
        <is>
          <t>PT Dharma Satya Nusantara Tbk</t>
        </is>
      </c>
      <c r="B1305" t="inlineStr">
        <is>
          <t>DSNG_2024_AR.pdf</t>
        </is>
      </c>
      <c r="C1305" t="n">
        <v>2024</v>
      </c>
      <c r="D1305" t="inlineStr">
        <is>
          <t>Financial</t>
        </is>
      </c>
      <c r="E1305" t="inlineStr">
        <is>
          <t>Current LT bank loans</t>
        </is>
      </c>
      <c r="F1305" t="n">
        <v>597.66</v>
      </c>
      <c r="G1305" t="inlineStr">
        <is>
          <t>IDR bn</t>
        </is>
      </c>
      <c r="H1305" t="n">
        <v>238</v>
      </c>
      <c r="I1305" t="inlineStr">
        <is>
          <t>Utang bank jangka panjang yang jatuh tempo dalam satu tahun 597.660</t>
        </is>
      </c>
      <c r="J1305" t="inlineStr">
        <is>
          <t>High</t>
        </is>
      </c>
      <c r="M1305" t="inlineStr">
        <is>
          <t>LLM</t>
        </is>
      </c>
      <c r="N1305" t="inlineStr">
        <is>
          <t>2026-04-18</t>
        </is>
      </c>
      <c r="O1305" t="inlineStr">
        <is>
          <t>AI</t>
        </is>
      </c>
    </row>
    <row r="1306">
      <c r="A1306" t="inlineStr">
        <is>
          <t>PT Dharma Satya Nusantara Tbk</t>
        </is>
      </c>
      <c r="B1306" t="inlineStr">
        <is>
          <t>DSNG_2024_AR.pdf</t>
        </is>
      </c>
      <c r="C1306" t="n">
        <v>2024</v>
      </c>
      <c r="D1306" t="inlineStr">
        <is>
          <t>Financial</t>
        </is>
      </c>
      <c r="E1306" t="inlineStr">
        <is>
          <t>LT bank loans net</t>
        </is>
      </c>
      <c r="F1306" t="n">
        <v>3971.671</v>
      </c>
      <c r="G1306" t="inlineStr">
        <is>
          <t>IDR bn</t>
        </is>
      </c>
      <c r="H1306" t="n">
        <v>238</v>
      </c>
      <c r="I1306" t="inlineStr">
        <is>
          <t>Utang bank jangka panjang, setelah dikurangi bagian yang jatuh tempo dalam satu tahun 3.971.671</t>
        </is>
      </c>
      <c r="J1306" t="inlineStr">
        <is>
          <t>High</t>
        </is>
      </c>
      <c r="M1306" t="inlineStr">
        <is>
          <t>LLM</t>
        </is>
      </c>
      <c r="N1306" t="inlineStr">
        <is>
          <t>2026-04-18</t>
        </is>
      </c>
      <c r="O1306" t="inlineStr">
        <is>
          <t>AI</t>
        </is>
      </c>
    </row>
    <row r="1307">
      <c r="A1307" t="inlineStr">
        <is>
          <t>PT Dharma Satya Nusantara Tbk</t>
        </is>
      </c>
      <c r="B1307" t="inlineStr">
        <is>
          <t>DSNG_2024_AR.pdf</t>
        </is>
      </c>
      <c r="C1307" t="n">
        <v>2024</v>
      </c>
      <c r="D1307" t="inlineStr">
        <is>
          <t>Financial</t>
        </is>
      </c>
      <c r="E1307" t="inlineStr">
        <is>
          <t>Current bonds payable</t>
        </is>
      </c>
      <c r="F1307" t="n">
        <v>181.924</v>
      </c>
      <c r="G1307" t="inlineStr">
        <is>
          <t>IDR bn</t>
        </is>
      </c>
      <c r="H1307" t="n">
        <v>238</v>
      </c>
      <c r="I1307" t="inlineStr">
        <is>
          <t>Utang obligasi 181.924 (current)</t>
        </is>
      </c>
      <c r="J1307" t="inlineStr">
        <is>
          <t>High</t>
        </is>
      </c>
      <c r="M1307" t="inlineStr">
        <is>
          <t>LLM</t>
        </is>
      </c>
      <c r="N1307" t="inlineStr">
        <is>
          <t>2026-04-18</t>
        </is>
      </c>
      <c r="O1307" t="inlineStr">
        <is>
          <t>AI</t>
        </is>
      </c>
    </row>
    <row r="1308">
      <c r="A1308" t="inlineStr">
        <is>
          <t>PT Dharma Satya Nusantara Tbk</t>
        </is>
      </c>
      <c r="B1308" t="inlineStr">
        <is>
          <t>DSNG_2024_AR.pdf</t>
        </is>
      </c>
      <c r="C1308" t="n">
        <v>2024</v>
      </c>
      <c r="D1308" t="inlineStr">
        <is>
          <t>Financial</t>
        </is>
      </c>
      <c r="E1308" t="inlineStr">
        <is>
          <t>CFO</t>
        </is>
      </c>
      <c r="F1308" t="n">
        <v>2150.615</v>
      </c>
      <c r="G1308" t="inlineStr">
        <is>
          <t>IDR bn</t>
        </is>
      </c>
      <c r="H1308" t="n">
        <v>243</v>
      </c>
      <c r="I1308" t="inlineStr">
        <is>
          <t>Kas neto dari aktivitas operasi 2.150.615</t>
        </is>
      </c>
      <c r="J1308" t="inlineStr">
        <is>
          <t>High</t>
        </is>
      </c>
      <c r="M1308" t="inlineStr">
        <is>
          <t>LLM</t>
        </is>
      </c>
      <c r="N1308" t="inlineStr">
        <is>
          <t>2026-04-18</t>
        </is>
      </c>
      <c r="O1308" t="inlineStr">
        <is>
          <t>AI</t>
        </is>
      </c>
    </row>
    <row r="1309">
      <c r="A1309" t="inlineStr">
        <is>
          <t>PT Dharma Satya Nusantara Tbk</t>
        </is>
      </c>
      <c r="B1309" t="inlineStr">
        <is>
          <t>DSNG_2024_AR.pdf</t>
        </is>
      </c>
      <c r="C1309" t="n">
        <v>2024</v>
      </c>
      <c r="D1309" t="inlineStr">
        <is>
          <t>Financial</t>
        </is>
      </c>
      <c r="E1309" t="inlineStr">
        <is>
          <t>Fixed assets acquisitions</t>
        </is>
      </c>
      <c r="F1309" t="n">
        <v>975.689</v>
      </c>
      <c r="G1309" t="inlineStr">
        <is>
          <t>IDR bn</t>
        </is>
      </c>
      <c r="H1309" t="n">
        <v>243</v>
      </c>
      <c r="I1309" t="inlineStr">
        <is>
          <t>Perolehan aset tetap (975.689)</t>
        </is>
      </c>
      <c r="J1309" t="inlineStr">
        <is>
          <t>High</t>
        </is>
      </c>
      <c r="M1309" t="inlineStr">
        <is>
          <t>LLM</t>
        </is>
      </c>
      <c r="N1309" t="inlineStr">
        <is>
          <t>2026-04-18</t>
        </is>
      </c>
      <c r="O1309" t="inlineStr">
        <is>
          <t>AI</t>
        </is>
      </c>
    </row>
    <row r="1310">
      <c r="A1310" t="inlineStr">
        <is>
          <t>PT Dharma Satya Nusantara Tbk</t>
        </is>
      </c>
      <c r="B1310" t="inlineStr">
        <is>
          <t>DSNG_2024_AR.pdf</t>
        </is>
      </c>
      <c r="C1310" t="n">
        <v>2024</v>
      </c>
      <c r="D1310" t="inlineStr">
        <is>
          <t>Financial</t>
        </is>
      </c>
      <c r="E1310" t="inlineStr">
        <is>
          <t>Plantation cost additions</t>
        </is>
      </c>
      <c r="F1310" t="n">
        <v>116.412</v>
      </c>
      <c r="G1310" t="inlineStr">
        <is>
          <t>IDR bn</t>
        </is>
      </c>
      <c r="H1310" t="n">
        <v>243</v>
      </c>
      <c r="I1310" t="inlineStr">
        <is>
          <t>Penambahan kapitalisasi biaya perkebunan (116.412)</t>
        </is>
      </c>
      <c r="J1310" t="inlineStr">
        <is>
          <t>High</t>
        </is>
      </c>
      <c r="M1310" t="inlineStr">
        <is>
          <t>LLM</t>
        </is>
      </c>
      <c r="N1310" t="inlineStr">
        <is>
          <t>2026-04-18</t>
        </is>
      </c>
      <c r="O1310" t="inlineStr">
        <is>
          <t>AI</t>
        </is>
      </c>
    </row>
    <row r="1311">
      <c r="A1311" t="inlineStr">
        <is>
          <t>PT Dharma Satya Nusantara Tbk</t>
        </is>
      </c>
      <c r="B1311" t="inlineStr">
        <is>
          <t>DSNG_2024_AR.pdf</t>
        </is>
      </c>
      <c r="C1311" t="n">
        <v>2024</v>
      </c>
      <c r="D1311" t="inlineStr">
        <is>
          <t>Financial</t>
        </is>
      </c>
      <c r="E1311" t="inlineStr">
        <is>
          <t>Investment in REA Kaltim (associate)</t>
        </is>
      </c>
      <c r="F1311" t="n">
        <v>839.071</v>
      </c>
      <c r="G1311" t="inlineStr">
        <is>
          <t>IDR bn</t>
        </is>
      </c>
      <c r="H1311" t="n">
        <v>243</v>
      </c>
      <c r="I1311" t="inlineStr">
        <is>
          <t>Investasi pada entitas asosiasi 12 (839.071)</t>
        </is>
      </c>
      <c r="J1311" t="inlineStr">
        <is>
          <t>High</t>
        </is>
      </c>
      <c r="M1311" t="inlineStr">
        <is>
          <t>LLM</t>
        </is>
      </c>
      <c r="N1311" t="inlineStr">
        <is>
          <t>2026-04-18</t>
        </is>
      </c>
      <c r="O1311" t="inlineStr">
        <is>
          <t>AI</t>
        </is>
      </c>
    </row>
    <row r="1312">
      <c r="A1312" t="inlineStr">
        <is>
          <t>PT Dharma Satya Nusantara Tbk</t>
        </is>
      </c>
      <c r="B1312" t="inlineStr">
        <is>
          <t>DSNG_2024_AR.pdf</t>
        </is>
      </c>
      <c r="C1312" t="n">
        <v>2024</v>
      </c>
      <c r="D1312" t="inlineStr">
        <is>
          <t>Financial</t>
        </is>
      </c>
      <c r="E1312" t="inlineStr">
        <is>
          <t>Closing price 2024 Q4</t>
        </is>
      </c>
      <c r="F1312" t="n">
        <v>950</v>
      </c>
      <c r="G1312" t="inlineStr">
        <is>
          <t>IDR</t>
        </is>
      </c>
      <c r="H1312" t="n">
        <v>19</v>
      </c>
      <c r="I1312" t="inlineStr">
        <is>
          <t>IV 1400 815 950 (2024 Q4 closing)</t>
        </is>
      </c>
      <c r="J1312" t="inlineStr">
        <is>
          <t>High</t>
        </is>
      </c>
      <c r="M1312" t="inlineStr">
        <is>
          <t>LLM</t>
        </is>
      </c>
      <c r="N1312" t="inlineStr">
        <is>
          <t>2026-04-18</t>
        </is>
      </c>
      <c r="O1312" t="inlineStr">
        <is>
          <t>AI</t>
        </is>
      </c>
    </row>
    <row r="1313">
      <c r="A1313" t="inlineStr">
        <is>
          <t>PT Dharma Satya Nusantara Tbk</t>
        </is>
      </c>
      <c r="B1313" t="inlineStr">
        <is>
          <t>DSNG_2024_AR.pdf</t>
        </is>
      </c>
      <c r="C1313" t="n">
        <v>2024</v>
      </c>
      <c r="D1313" t="inlineStr">
        <is>
          <t>Financial</t>
        </is>
      </c>
      <c r="E1313" t="inlineStr">
        <is>
          <t>Dividend FY2023 paid 2024</t>
        </is>
      </c>
      <c r="F1313" t="n">
        <v>22</v>
      </c>
      <c r="G1313" t="inlineStr">
        <is>
          <t>IDR/share</t>
        </is>
      </c>
      <c r="H1313" t="n">
        <v>138</v>
      </c>
      <c r="I1313" t="inlineStr">
        <is>
          <t>dividen tunai sebesar Rp 233.196.532.800 atau sebesar Rp 22 setiap saham</t>
        </is>
      </c>
      <c r="J1313" t="inlineStr">
        <is>
          <t>High</t>
        </is>
      </c>
      <c r="M1313" t="inlineStr">
        <is>
          <t>LLM</t>
        </is>
      </c>
      <c r="N1313" t="inlineStr">
        <is>
          <t>2026-04-18</t>
        </is>
      </c>
      <c r="O1313" t="inlineStr">
        <is>
          <t>AI</t>
        </is>
      </c>
    </row>
    <row r="1314">
      <c r="A1314" t="inlineStr">
        <is>
          <t>PT Dharma Satya Nusantara Tbk</t>
        </is>
      </c>
      <c r="B1314" t="inlineStr">
        <is>
          <t>DSNG_2024_AR.pdf</t>
        </is>
      </c>
      <c r="C1314" t="n">
        <v>2024</v>
      </c>
      <c r="D1314" t="inlineStr">
        <is>
          <t>Asset</t>
        </is>
      </c>
      <c r="E1314" t="inlineStr">
        <is>
          <t>Total planted area</t>
        </is>
      </c>
      <c r="F1314" t="n">
        <v>110700</v>
      </c>
      <c r="G1314" t="inlineStr">
        <is>
          <t>ha</t>
        </is>
      </c>
      <c r="H1314" t="n">
        <v>4</v>
      </c>
      <c r="I1314" t="inlineStr">
        <is>
          <t>Jumlah lahan tertanam mencapai 110.700 hektar</t>
        </is>
      </c>
      <c r="J1314" t="inlineStr">
        <is>
          <t>High</t>
        </is>
      </c>
      <c r="M1314" t="inlineStr">
        <is>
          <t>LLM</t>
        </is>
      </c>
      <c r="N1314" t="inlineStr">
        <is>
          <t>2026-04-18</t>
        </is>
      </c>
      <c r="O1314" t="inlineStr">
        <is>
          <t>AI</t>
        </is>
      </c>
    </row>
    <row r="1315">
      <c r="A1315" t="inlineStr">
        <is>
          <t>PT Dharma Satya Nusantara Tbk</t>
        </is>
      </c>
      <c r="B1315" t="inlineStr">
        <is>
          <t>DSNG_2024_AR.pdf</t>
        </is>
      </c>
      <c r="C1315" t="n">
        <v>2024</v>
      </c>
      <c r="D1315" t="inlineStr">
        <is>
          <t>Asset</t>
        </is>
      </c>
      <c r="E1315" t="inlineStr">
        <is>
          <t>Nucleus planted area</t>
        </is>
      </c>
      <c r="F1315" t="n">
        <v>82800</v>
      </c>
      <c r="G1315" t="inlineStr">
        <is>
          <t>ha</t>
        </is>
      </c>
      <c r="H1315" t="n">
        <v>4</v>
      </c>
      <c r="I1315" t="inlineStr">
        <is>
          <t>dengan 82.800 hektar merupakan lahan tertanam kebun inti</t>
        </is>
      </c>
      <c r="J1315" t="inlineStr">
        <is>
          <t>High</t>
        </is>
      </c>
      <c r="M1315" t="inlineStr">
        <is>
          <t>LLM</t>
        </is>
      </c>
      <c r="N1315" t="inlineStr">
        <is>
          <t>2026-04-18</t>
        </is>
      </c>
      <c r="O1315" t="inlineStr">
        <is>
          <t>AI</t>
        </is>
      </c>
    </row>
    <row r="1316">
      <c r="A1316" t="inlineStr">
        <is>
          <t>PT Dharma Satya Nusantara Tbk</t>
        </is>
      </c>
      <c r="B1316" t="inlineStr">
        <is>
          <t>DSNG_2024_AR.pdf</t>
        </is>
      </c>
      <c r="C1316" t="n">
        <v>2024</v>
      </c>
      <c r="D1316" t="inlineStr">
        <is>
          <t>Asset</t>
        </is>
      </c>
      <c r="E1316" t="inlineStr">
        <is>
          <t>Plasma planted area</t>
        </is>
      </c>
      <c r="F1316" t="n">
        <v>27908</v>
      </c>
      <c r="G1316" t="inlineStr">
        <is>
          <t>ha</t>
        </is>
      </c>
      <c r="H1316" t="n">
        <v>91</v>
      </c>
      <c r="I1316" t="inlineStr">
        <is>
          <t>27.908 hektar perkebunan plasma</t>
        </is>
      </c>
      <c r="J1316" t="inlineStr">
        <is>
          <t>High</t>
        </is>
      </c>
      <c r="M1316" t="inlineStr">
        <is>
          <t>LLM</t>
        </is>
      </c>
      <c r="N1316" t="inlineStr">
        <is>
          <t>2026-04-18</t>
        </is>
      </c>
      <c r="O1316" t="inlineStr">
        <is>
          <t>AI</t>
        </is>
      </c>
    </row>
    <row r="1317">
      <c r="A1317" t="inlineStr">
        <is>
          <t>PT Dharma Satya Nusantara Tbk</t>
        </is>
      </c>
      <c r="B1317" t="inlineStr">
        <is>
          <t>DSNG_2024_AR.pdf</t>
        </is>
      </c>
      <c r="C1317" t="n">
        <v>2024</v>
      </c>
      <c r="D1317" t="inlineStr">
        <is>
          <t>Asset</t>
        </is>
      </c>
      <c r="E1317" t="inlineStr">
        <is>
          <t>Mature area</t>
        </is>
      </c>
      <c r="F1317" t="n">
        <v>104101</v>
      </c>
      <c r="G1317" t="inlineStr">
        <is>
          <t>ha</t>
        </is>
      </c>
      <c r="H1317" t="n">
        <v>91</v>
      </c>
      <c r="I1317" t="inlineStr">
        <is>
          <t>sekitar 104.101 hektar merupakan kebun yang sudah menghasilkan</t>
        </is>
      </c>
      <c r="J1317" t="inlineStr">
        <is>
          <t>High</t>
        </is>
      </c>
      <c r="M1317" t="inlineStr">
        <is>
          <t>LLM</t>
        </is>
      </c>
      <c r="N1317" t="inlineStr">
        <is>
          <t>2026-04-18</t>
        </is>
      </c>
      <c r="O1317" t="inlineStr">
        <is>
          <t>AI</t>
        </is>
      </c>
    </row>
    <row r="1318">
      <c r="A1318" t="inlineStr">
        <is>
          <t>PT Dharma Satya Nusantara Tbk</t>
        </is>
      </c>
      <c r="B1318" t="inlineStr">
        <is>
          <t>DSNG_2024_AR.pdf</t>
        </is>
      </c>
      <c r="C1318" t="n">
        <v>2024</v>
      </c>
      <c r="D1318" t="inlineStr">
        <is>
          <t>Asset</t>
        </is>
      </c>
      <c r="E1318" t="inlineStr">
        <is>
          <t>Replanting 2024</t>
        </is>
      </c>
      <c r="F1318" t="n">
        <v>900</v>
      </c>
      <c r="G1318" t="inlineStr">
        <is>
          <t>ha</t>
        </is>
      </c>
      <c r="H1318" t="n">
        <v>91</v>
      </c>
      <c r="I1318" t="inlineStr">
        <is>
          <t>melakukan penanaman kembali pada 900 hektar lahan</t>
        </is>
      </c>
      <c r="J1318" t="inlineStr">
        <is>
          <t>High</t>
        </is>
      </c>
      <c r="M1318" t="inlineStr">
        <is>
          <t>LLM</t>
        </is>
      </c>
      <c r="N1318" t="inlineStr">
        <is>
          <t>2026-04-18</t>
        </is>
      </c>
      <c r="O1318" t="inlineStr">
        <is>
          <t>AI</t>
        </is>
      </c>
    </row>
    <row r="1319">
      <c r="A1319" t="inlineStr">
        <is>
          <t>PT Dharma Satya Nusantara Tbk</t>
        </is>
      </c>
      <c r="B1319" t="inlineStr">
        <is>
          <t>DSNG_2024_AR.pdf</t>
        </is>
      </c>
      <c r="C1319" t="n">
        <v>2024</v>
      </c>
      <c r="D1319" t="inlineStr">
        <is>
          <t>Asset</t>
        </is>
      </c>
      <c r="E1319" t="inlineStr">
        <is>
          <t>Palm oil mills</t>
        </is>
      </c>
      <c r="F1319" t="n">
        <v>12</v>
      </c>
      <c r="G1319" t="inlineStr">
        <is>
          <t>mills</t>
        </is>
      </c>
      <c r="H1319" t="n">
        <v>91</v>
      </c>
      <c r="I1319" t="inlineStr">
        <is>
          <t>12 pabrik kelapa sawit</t>
        </is>
      </c>
      <c r="J1319" t="inlineStr">
        <is>
          <t>High</t>
        </is>
      </c>
      <c r="M1319" t="inlineStr">
        <is>
          <t>LLM</t>
        </is>
      </c>
      <c r="N1319" t="inlineStr">
        <is>
          <t>2026-04-18</t>
        </is>
      </c>
      <c r="O1319" t="inlineStr">
        <is>
          <t>AI</t>
        </is>
      </c>
    </row>
    <row r="1320">
      <c r="A1320" t="inlineStr">
        <is>
          <t>PT Dharma Satya Nusantara Tbk</t>
        </is>
      </c>
      <c r="B1320" t="inlineStr">
        <is>
          <t>DSNG_2024_AR.pdf</t>
        </is>
      </c>
      <c r="C1320" t="n">
        <v>2024</v>
      </c>
      <c r="D1320" t="inlineStr">
        <is>
          <t>Asset</t>
        </is>
      </c>
      <c r="E1320" t="inlineStr">
        <is>
          <t>POM capacity</t>
        </is>
      </c>
      <c r="F1320" t="n">
        <v>675</v>
      </c>
      <c r="G1320" t="inlineStr">
        <is>
          <t>tons FFB/hour</t>
        </is>
      </c>
      <c r="H1320" t="n">
        <v>91</v>
      </c>
      <c r="I1320" t="inlineStr">
        <is>
          <t>675 ton/jam</t>
        </is>
      </c>
      <c r="J1320" t="inlineStr">
        <is>
          <t>High</t>
        </is>
      </c>
      <c r="M1320" t="inlineStr">
        <is>
          <t>LLM</t>
        </is>
      </c>
      <c r="N1320" t="inlineStr">
        <is>
          <t>2026-04-18</t>
        </is>
      </c>
      <c r="O1320" t="inlineStr">
        <is>
          <t>AI</t>
        </is>
      </c>
    </row>
    <row r="1321">
      <c r="A1321" t="inlineStr">
        <is>
          <t>PT Dharma Satya Nusantara Tbk</t>
        </is>
      </c>
      <c r="B1321" t="inlineStr">
        <is>
          <t>DSNG_2024_AR.pdf</t>
        </is>
      </c>
      <c r="C1321" t="n">
        <v>2024</v>
      </c>
      <c r="D1321" t="inlineStr">
        <is>
          <t>Operation</t>
        </is>
      </c>
      <c r="E1321" t="inlineStr">
        <is>
          <t>FFB production</t>
        </is>
      </c>
      <c r="F1321" t="n">
        <v>2109737</v>
      </c>
      <c r="G1321" t="inlineStr">
        <is>
          <t>tons</t>
        </is>
      </c>
      <c r="H1321" t="n">
        <v>104</v>
      </c>
      <c r="I1321" t="inlineStr">
        <is>
          <t>Produksi TBS/FFB Production 2.109.737</t>
        </is>
      </c>
      <c r="J1321" t="inlineStr">
        <is>
          <t>High</t>
        </is>
      </c>
      <c r="M1321" t="inlineStr">
        <is>
          <t>LLM</t>
        </is>
      </c>
      <c r="N1321" t="inlineStr">
        <is>
          <t>2026-04-18</t>
        </is>
      </c>
      <c r="O1321" t="inlineStr">
        <is>
          <t>AI</t>
        </is>
      </c>
    </row>
    <row r="1322">
      <c r="A1322" t="inlineStr">
        <is>
          <t>PT Dharma Satya Nusantara Tbk</t>
        </is>
      </c>
      <c r="B1322" t="inlineStr">
        <is>
          <t>DSNG_2024_AR.pdf</t>
        </is>
      </c>
      <c r="C1322" t="n">
        <v>2024</v>
      </c>
      <c r="D1322" t="inlineStr">
        <is>
          <t>Operation</t>
        </is>
      </c>
      <c r="E1322" t="inlineStr">
        <is>
          <t>FFB - Nucleus</t>
        </is>
      </c>
      <c r="F1322" t="n">
        <v>1661979</v>
      </c>
      <c r="G1322" t="inlineStr">
        <is>
          <t>tons</t>
        </is>
      </c>
      <c r="H1322" t="n">
        <v>104</v>
      </c>
      <c r="I1322" t="inlineStr">
        <is>
          <t>Inti/Nucleus 1.661.979</t>
        </is>
      </c>
      <c r="J1322" t="inlineStr">
        <is>
          <t>High</t>
        </is>
      </c>
      <c r="M1322" t="inlineStr">
        <is>
          <t>LLM</t>
        </is>
      </c>
      <c r="N1322" t="inlineStr">
        <is>
          <t>2026-04-18</t>
        </is>
      </c>
      <c r="O1322" t="inlineStr">
        <is>
          <t>AI</t>
        </is>
      </c>
    </row>
    <row r="1323">
      <c r="A1323" t="inlineStr">
        <is>
          <t>PT Dharma Satya Nusantara Tbk</t>
        </is>
      </c>
      <c r="B1323" t="inlineStr">
        <is>
          <t>DSNG_2024_AR.pdf</t>
        </is>
      </c>
      <c r="C1323" t="n">
        <v>2024</v>
      </c>
      <c r="D1323" t="inlineStr">
        <is>
          <t>Operation</t>
        </is>
      </c>
      <c r="E1323" t="inlineStr">
        <is>
          <t>FFB - Plasma</t>
        </is>
      </c>
      <c r="F1323" t="n">
        <v>447757</v>
      </c>
      <c r="G1323" t="inlineStr">
        <is>
          <t>tons</t>
        </is>
      </c>
      <c r="H1323" t="n">
        <v>104</v>
      </c>
      <c r="I1323" t="inlineStr">
        <is>
          <t>Plasma 447.757</t>
        </is>
      </c>
      <c r="J1323" t="inlineStr">
        <is>
          <t>High</t>
        </is>
      </c>
      <c r="M1323" t="inlineStr">
        <is>
          <t>LLM</t>
        </is>
      </c>
      <c r="N1323" t="inlineStr">
        <is>
          <t>2026-04-18</t>
        </is>
      </c>
      <c r="O1323" t="inlineStr">
        <is>
          <t>AI</t>
        </is>
      </c>
    </row>
    <row r="1324">
      <c r="A1324" t="inlineStr">
        <is>
          <t>PT Dharma Satya Nusantara Tbk</t>
        </is>
      </c>
      <c r="B1324" t="inlineStr">
        <is>
          <t>DSNG_2024_AR.pdf</t>
        </is>
      </c>
      <c r="C1324" t="n">
        <v>2024</v>
      </c>
      <c r="D1324" t="inlineStr">
        <is>
          <t>Operation</t>
        </is>
      </c>
      <c r="E1324" t="inlineStr">
        <is>
          <t>FFB processed</t>
        </is>
      </c>
      <c r="F1324" t="n">
        <v>2515086</v>
      </c>
      <c r="G1324" t="inlineStr">
        <is>
          <t>tons</t>
        </is>
      </c>
      <c r="H1324" t="n">
        <v>104</v>
      </c>
      <c r="I1324" t="inlineStr">
        <is>
          <t>TBS Diproses/FFB Processed 2.515.086</t>
        </is>
      </c>
      <c r="J1324" t="inlineStr">
        <is>
          <t>High</t>
        </is>
      </c>
      <c r="M1324" t="inlineStr">
        <is>
          <t>LLM</t>
        </is>
      </c>
      <c r="N1324" t="inlineStr">
        <is>
          <t>2026-04-18</t>
        </is>
      </c>
      <c r="O1324" t="inlineStr">
        <is>
          <t>AI</t>
        </is>
      </c>
    </row>
    <row r="1325">
      <c r="A1325" t="inlineStr">
        <is>
          <t>PT Dharma Satya Nusantara Tbk</t>
        </is>
      </c>
      <c r="B1325" t="inlineStr">
        <is>
          <t>DSNG_2024_AR.pdf</t>
        </is>
      </c>
      <c r="C1325" t="n">
        <v>2024</v>
      </c>
      <c r="D1325" t="inlineStr">
        <is>
          <t>Operation</t>
        </is>
      </c>
      <c r="E1325" t="inlineStr">
        <is>
          <t>CPO production</t>
        </is>
      </c>
      <c r="F1325" t="n">
        <v>601508</v>
      </c>
      <c r="G1325" t="inlineStr">
        <is>
          <t>tons</t>
        </is>
      </c>
      <c r="H1325" t="n">
        <v>104</v>
      </c>
      <c r="I1325" t="inlineStr">
        <is>
          <t>Produksi CPO 601.508</t>
        </is>
      </c>
      <c r="J1325" t="inlineStr">
        <is>
          <t>High</t>
        </is>
      </c>
      <c r="M1325" t="inlineStr">
        <is>
          <t>LLM</t>
        </is>
      </c>
      <c r="N1325" t="inlineStr">
        <is>
          <t>2026-04-18</t>
        </is>
      </c>
      <c r="O1325" t="inlineStr">
        <is>
          <t>AI</t>
        </is>
      </c>
    </row>
    <row r="1326">
      <c r="A1326" t="inlineStr">
        <is>
          <t>PT Dharma Satya Nusantara Tbk</t>
        </is>
      </c>
      <c r="B1326" t="inlineStr">
        <is>
          <t>DSNG_2024_AR.pdf</t>
        </is>
      </c>
      <c r="C1326" t="n">
        <v>2024</v>
      </c>
      <c r="D1326" t="inlineStr">
        <is>
          <t>Operation</t>
        </is>
      </c>
      <c r="E1326" t="inlineStr">
        <is>
          <t>PK production</t>
        </is>
      </c>
      <c r="F1326" t="n">
        <v>114210</v>
      </c>
      <c r="G1326" t="inlineStr">
        <is>
          <t>tons</t>
        </is>
      </c>
      <c r="H1326" t="n">
        <v>104</v>
      </c>
      <c r="I1326" t="inlineStr">
        <is>
          <t>Produksi PK 114.210</t>
        </is>
      </c>
      <c r="J1326" t="inlineStr">
        <is>
          <t>High</t>
        </is>
      </c>
      <c r="M1326" t="inlineStr">
        <is>
          <t>LLM</t>
        </is>
      </c>
      <c r="N1326" t="inlineStr">
        <is>
          <t>2026-04-18</t>
        </is>
      </c>
      <c r="O1326" t="inlineStr">
        <is>
          <t>AI</t>
        </is>
      </c>
    </row>
    <row r="1327">
      <c r="A1327" t="inlineStr">
        <is>
          <t>PT Dharma Satya Nusantara Tbk</t>
        </is>
      </c>
      <c r="B1327" t="inlineStr">
        <is>
          <t>DSNG_2024_AR.pdf</t>
        </is>
      </c>
      <c r="C1327" t="n">
        <v>2024</v>
      </c>
      <c r="D1327" t="inlineStr">
        <is>
          <t>Operation</t>
        </is>
      </c>
      <c r="E1327" t="inlineStr">
        <is>
          <t>PKO production</t>
        </is>
      </c>
      <c r="F1327" t="n">
        <v>38217</v>
      </c>
      <c r="G1327" t="inlineStr">
        <is>
          <t>tons</t>
        </is>
      </c>
      <c r="H1327" t="n">
        <v>104</v>
      </c>
      <c r="I1327" t="inlineStr">
        <is>
          <t>Produksi PKO 38.217</t>
        </is>
      </c>
      <c r="J1327" t="inlineStr">
        <is>
          <t>High</t>
        </is>
      </c>
      <c r="M1327" t="inlineStr">
        <is>
          <t>LLM</t>
        </is>
      </c>
      <c r="N1327" t="inlineStr">
        <is>
          <t>2026-04-18</t>
        </is>
      </c>
      <c r="O1327" t="inlineStr">
        <is>
          <t>AI</t>
        </is>
      </c>
    </row>
    <row r="1328">
      <c r="A1328" t="inlineStr">
        <is>
          <t>PT Dharma Satya Nusantara Tbk</t>
        </is>
      </c>
      <c r="B1328" t="inlineStr">
        <is>
          <t>DSNG_2024_AR.pdf</t>
        </is>
      </c>
      <c r="C1328" t="n">
        <v>2024</v>
      </c>
      <c r="D1328" t="inlineStr">
        <is>
          <t>Operation</t>
        </is>
      </c>
      <c r="E1328" t="inlineStr">
        <is>
          <t>CPO OER</t>
        </is>
      </c>
      <c r="F1328" t="n">
        <v>0.2392</v>
      </c>
      <c r="G1328" t="inlineStr">
        <is>
          <t>decimal</t>
        </is>
      </c>
      <c r="H1328" t="n">
        <v>104</v>
      </c>
      <c r="I1328" t="inlineStr">
        <is>
          <t>CPO OER (%) 23,92</t>
        </is>
      </c>
      <c r="J1328" t="inlineStr">
        <is>
          <t>High</t>
        </is>
      </c>
      <c r="M1328" t="inlineStr">
        <is>
          <t>LLM</t>
        </is>
      </c>
      <c r="N1328" t="inlineStr">
        <is>
          <t>2026-04-18</t>
        </is>
      </c>
      <c r="O1328" t="inlineStr">
        <is>
          <t>AI</t>
        </is>
      </c>
    </row>
    <row r="1329">
      <c r="A1329" t="inlineStr">
        <is>
          <t>PT Dharma Satya Nusantara Tbk</t>
        </is>
      </c>
      <c r="B1329" t="inlineStr">
        <is>
          <t>DSNG_2024_AR.pdf</t>
        </is>
      </c>
      <c r="C1329" t="n">
        <v>2024</v>
      </c>
      <c r="D1329" t="inlineStr">
        <is>
          <t>Operation</t>
        </is>
      </c>
      <c r="E1329" t="inlineStr">
        <is>
          <t>FFA</t>
        </is>
      </c>
      <c r="F1329" t="n">
        <v>0.0286</v>
      </c>
      <c r="G1329" t="inlineStr">
        <is>
          <t>decimal</t>
        </is>
      </c>
      <c r="H1329" t="n">
        <v>104</v>
      </c>
      <c r="I1329" t="inlineStr">
        <is>
          <t>FFA (%) 2,86</t>
        </is>
      </c>
      <c r="J1329" t="inlineStr">
        <is>
          <t>High</t>
        </is>
      </c>
      <c r="M1329" t="inlineStr">
        <is>
          <t>LLM</t>
        </is>
      </c>
      <c r="N1329" t="inlineStr">
        <is>
          <t>2026-04-18</t>
        </is>
      </c>
      <c r="O1329" t="inlineStr">
        <is>
          <t>AI</t>
        </is>
      </c>
    </row>
    <row r="1330">
      <c r="A1330" t="inlineStr">
        <is>
          <t>PT Dharma Satya Nusantara Tbk</t>
        </is>
      </c>
      <c r="B1330" t="inlineStr">
        <is>
          <t>DSNG_2024_AR.pdf</t>
        </is>
      </c>
      <c r="C1330" t="n">
        <v>2024</v>
      </c>
      <c r="D1330" t="inlineStr">
        <is>
          <t>Operation</t>
        </is>
      </c>
      <c r="E1330" t="inlineStr">
        <is>
          <t>CPO sales volume</t>
        </is>
      </c>
      <c r="F1330" t="n">
        <v>601111</v>
      </c>
      <c r="G1330" t="inlineStr">
        <is>
          <t>tons</t>
        </is>
      </c>
      <c r="H1330" t="n">
        <v>104</v>
      </c>
      <c r="I1330" t="inlineStr">
        <is>
          <t>Volume Penjualan CPO 601.111</t>
        </is>
      </c>
      <c r="J1330" t="inlineStr">
        <is>
          <t>High</t>
        </is>
      </c>
      <c r="M1330" t="inlineStr">
        <is>
          <t>LLM</t>
        </is>
      </c>
      <c r="N1330" t="inlineStr">
        <is>
          <t>2026-04-18</t>
        </is>
      </c>
      <c r="O1330" t="inlineStr">
        <is>
          <t>AI</t>
        </is>
      </c>
    </row>
    <row r="1331">
      <c r="A1331" t="inlineStr">
        <is>
          <t>PT Dharma Satya Nusantara Tbk</t>
        </is>
      </c>
      <c r="B1331" t="inlineStr">
        <is>
          <t>DSNG_2024_AR.pdf</t>
        </is>
      </c>
      <c r="C1331" t="n">
        <v>2024</v>
      </c>
      <c r="D1331" t="inlineStr">
        <is>
          <t>Operation</t>
        </is>
      </c>
      <c r="E1331" t="inlineStr">
        <is>
          <t>CPO ASP</t>
        </is>
      </c>
      <c r="F1331" t="n">
        <v>12790000</v>
      </c>
      <c r="G1331" t="inlineStr">
        <is>
          <t>IDR/ton</t>
        </is>
      </c>
      <c r="H1331" t="n">
        <v>104</v>
      </c>
      <c r="I1331" t="inlineStr">
        <is>
          <t>Harga Rata-Rata CPO 12,79 Rp juta/ton</t>
        </is>
      </c>
      <c r="J1331" t="inlineStr">
        <is>
          <t>High</t>
        </is>
      </c>
      <c r="M1331" t="inlineStr">
        <is>
          <t>LLM</t>
        </is>
      </c>
      <c r="N1331" t="inlineStr">
        <is>
          <t>2026-04-18</t>
        </is>
      </c>
      <c r="O1331" t="inlineStr">
        <is>
          <t>AI</t>
        </is>
      </c>
    </row>
    <row r="1332">
      <c r="A1332" t="inlineStr">
        <is>
          <t>PT Dharma Satya Nusantara Tbk</t>
        </is>
      </c>
      <c r="B1332" t="inlineStr">
        <is>
          <t>DSNG_2024_AR.pdf</t>
        </is>
      </c>
      <c r="C1332" t="n">
        <v>2024</v>
      </c>
      <c r="D1332" t="inlineStr">
        <is>
          <t>Operation</t>
        </is>
      </c>
      <c r="E1332" t="inlineStr">
        <is>
          <t>PKO ASP</t>
        </is>
      </c>
      <c r="F1332" t="n">
        <v>17810000</v>
      </c>
      <c r="G1332" t="inlineStr">
        <is>
          <t>IDR/ton</t>
        </is>
      </c>
      <c r="H1332" t="n">
        <v>104</v>
      </c>
      <c r="I1332" t="inlineStr">
        <is>
          <t>Harga Rata-Rata PKO 17,81 Rp juta/ton</t>
        </is>
      </c>
      <c r="J1332" t="inlineStr">
        <is>
          <t>High</t>
        </is>
      </c>
      <c r="M1332" t="inlineStr">
        <is>
          <t>LLM</t>
        </is>
      </c>
      <c r="N1332" t="inlineStr">
        <is>
          <t>2026-04-18</t>
        </is>
      </c>
      <c r="O1332" t="inlineStr">
        <is>
          <t>AI</t>
        </is>
      </c>
    </row>
    <row r="1333">
      <c r="A1333" t="inlineStr">
        <is>
          <t>PT Dharma Satya Nusantara Tbk</t>
        </is>
      </c>
      <c r="B1333" t="inlineStr">
        <is>
          <t>DSNG_2024_AR.pdf</t>
        </is>
      </c>
      <c r="C1333" t="n">
        <v>2024</v>
      </c>
      <c r="D1333" t="inlineStr">
        <is>
          <t>Operation</t>
        </is>
      </c>
      <c r="E1333" t="inlineStr">
        <is>
          <t>Palm kernel shell export volume 2024</t>
        </is>
      </c>
      <c r="F1333" t="n">
        <v>94933</v>
      </c>
      <c r="G1333" t="inlineStr">
        <is>
          <t>tons</t>
        </is>
      </c>
      <c r="H1333" t="n">
        <v>107</v>
      </c>
      <c r="I1333" t="inlineStr">
        <is>
          <t>volume penjualan cangkang selama tahun 2024 sebesar 94.933 ton</t>
        </is>
      </c>
      <c r="J1333" t="inlineStr">
        <is>
          <t>High</t>
        </is>
      </c>
      <c r="M1333" t="inlineStr">
        <is>
          <t>LLM</t>
        </is>
      </c>
      <c r="N1333" t="inlineStr">
        <is>
          <t>2026-04-18</t>
        </is>
      </c>
      <c r="O1333" t="inlineStr">
        <is>
          <t>AI</t>
        </is>
      </c>
    </row>
    <row r="1334">
      <c r="A1334" t="inlineStr">
        <is>
          <t>PT Dharma Satya Nusantara Tbk</t>
        </is>
      </c>
      <c r="B1334" t="inlineStr">
        <is>
          <t>DSNG_2024_AR.pdf</t>
        </is>
      </c>
      <c r="C1334" t="n">
        <v>2024</v>
      </c>
      <c r="D1334" t="inlineStr">
        <is>
          <t>Operation</t>
        </is>
      </c>
      <c r="E1334" t="inlineStr">
        <is>
          <t>PKS ASP</t>
        </is>
      </c>
      <c r="F1334" t="n">
        <v>121.93</v>
      </c>
      <c r="G1334" t="inlineStr">
        <is>
          <t>USD/ton</t>
        </is>
      </c>
      <c r="H1334" t="n">
        <v>106</v>
      </c>
      <c r="I1334" t="inlineStr">
        <is>
          <t>Harga Rata-rata/ASP USD/ton 121.93 113.35</t>
        </is>
      </c>
      <c r="J1334" t="inlineStr">
        <is>
          <t>High</t>
        </is>
      </c>
      <c r="M1334" t="inlineStr">
        <is>
          <t>LLM</t>
        </is>
      </c>
      <c r="N1334" t="inlineStr">
        <is>
          <t>2026-04-18</t>
        </is>
      </c>
      <c r="O1334" t="inlineStr">
        <is>
          <t>AI</t>
        </is>
      </c>
    </row>
    <row r="1335">
      <c r="A1335" t="inlineStr">
        <is>
          <t>PT Dharma Satya Nusantara Tbk</t>
        </is>
      </c>
      <c r="B1335" t="inlineStr">
        <is>
          <t>DSNG_2024_AR.pdf</t>
        </is>
      </c>
      <c r="C1335" t="n">
        <v>2024</v>
      </c>
      <c r="D1335" t="inlineStr">
        <is>
          <t>Operation</t>
        </is>
      </c>
      <c r="E1335" t="inlineStr">
        <is>
          <t>Panel sales volume</t>
        </is>
      </c>
      <c r="F1335" t="n">
        <v>116100</v>
      </c>
      <c r="G1335" t="inlineStr">
        <is>
          <t>m3</t>
        </is>
      </c>
      <c r="H1335" t="n">
        <v>105</v>
      </c>
      <c r="I1335" t="inlineStr">
        <is>
          <t>Panel 116,1 ribu m3</t>
        </is>
      </c>
      <c r="J1335" t="inlineStr">
        <is>
          <t>High</t>
        </is>
      </c>
      <c r="M1335" t="inlineStr">
        <is>
          <t>LLM</t>
        </is>
      </c>
      <c r="N1335" t="inlineStr">
        <is>
          <t>2026-04-18</t>
        </is>
      </c>
      <c r="O1335" t="inlineStr">
        <is>
          <t>AI</t>
        </is>
      </c>
    </row>
    <row r="1336">
      <c r="A1336" t="inlineStr">
        <is>
          <t>PT Dharma Satya Nusantara Tbk</t>
        </is>
      </c>
      <c r="B1336" t="inlineStr">
        <is>
          <t>DSNG_2024_AR.pdf</t>
        </is>
      </c>
      <c r="C1336" t="n">
        <v>2024</v>
      </c>
      <c r="D1336" t="inlineStr">
        <is>
          <t>Operation</t>
        </is>
      </c>
      <c r="E1336" t="inlineStr">
        <is>
          <t>Engineered flooring sales volume</t>
        </is>
      </c>
      <c r="F1336" t="n">
        <v>626500</v>
      </c>
      <c r="G1336" t="inlineStr">
        <is>
          <t>m2</t>
        </is>
      </c>
      <c r="H1336" t="n">
        <v>105</v>
      </c>
      <c r="I1336" t="inlineStr">
        <is>
          <t>Engineered Floorings 626,5 ribu m2</t>
        </is>
      </c>
      <c r="J1336" t="inlineStr">
        <is>
          <t>High</t>
        </is>
      </c>
      <c r="M1336" t="inlineStr">
        <is>
          <t>LLM</t>
        </is>
      </c>
      <c r="N1336" t="inlineStr">
        <is>
          <t>2026-04-18</t>
        </is>
      </c>
      <c r="O1336" t="inlineStr">
        <is>
          <t>AI</t>
        </is>
      </c>
    </row>
    <row r="1337">
      <c r="A1337" t="inlineStr">
        <is>
          <t>PT FAP Agri Tbk</t>
        </is>
      </c>
      <c r="B1337" t="inlineStr">
        <is>
          <t>FAPA_2022_AR.pdf</t>
        </is>
      </c>
      <c r="C1337" t="n">
        <v>2022</v>
      </c>
      <c r="D1337" t="inlineStr">
        <is>
          <t>Company</t>
        </is>
      </c>
      <c r="E1337" t="inlineStr">
        <is>
          <t>Company name</t>
        </is>
      </c>
      <c r="F1337" t="inlineStr">
        <is>
          <t>PT FAP Agri Tbk</t>
        </is>
      </c>
      <c r="G1337" t="inlineStr">
        <is>
          <t>-</t>
        </is>
      </c>
      <c r="H1337" t="n">
        <v>1</v>
      </c>
      <c r="I1337" t="inlineStr">
        <is>
          <t>PT FAP Agri Tbk</t>
        </is>
      </c>
      <c r="J1337" t="inlineStr">
        <is>
          <t>High</t>
        </is>
      </c>
      <c r="M1337" t="inlineStr">
        <is>
          <t>LLM</t>
        </is>
      </c>
      <c r="N1337" t="inlineStr">
        <is>
          <t>2026-04-18</t>
        </is>
      </c>
      <c r="O1337" t="inlineStr">
        <is>
          <t>AI</t>
        </is>
      </c>
    </row>
    <row r="1338">
      <c r="A1338" t="inlineStr">
        <is>
          <t>PT FAP Agri Tbk</t>
        </is>
      </c>
      <c r="B1338" t="inlineStr">
        <is>
          <t>FAPA_2022_AR.pdf</t>
        </is>
      </c>
      <c r="C1338" t="n">
        <v>2022</v>
      </c>
      <c r="D1338" t="inlineStr">
        <is>
          <t>Company</t>
        </is>
      </c>
      <c r="E1338" t="inlineStr">
        <is>
          <t>Business activity</t>
        </is>
      </c>
      <c r="F1338" t="inlineStr">
        <is>
          <t>Palm Oil Plantation and Industry via subsidiaries</t>
        </is>
      </c>
      <c r="G1338" t="inlineStr">
        <is>
          <t>-</t>
        </is>
      </c>
      <c r="H1338" t="n">
        <v>44</v>
      </c>
      <c r="I1338" t="inlineStr">
        <is>
          <t>Kegiatan Perkebunan dan Industri Kelapa Sawit melalui Anak Perusahaan</t>
        </is>
      </c>
      <c r="J1338" t="inlineStr">
        <is>
          <t>High</t>
        </is>
      </c>
      <c r="M1338" t="inlineStr">
        <is>
          <t>LLM</t>
        </is>
      </c>
      <c r="N1338" t="inlineStr">
        <is>
          <t>2026-04-18</t>
        </is>
      </c>
      <c r="O1338" t="inlineStr">
        <is>
          <t>AI</t>
        </is>
      </c>
    </row>
    <row r="1339">
      <c r="A1339" t="inlineStr">
        <is>
          <t>PT FAP Agri Tbk</t>
        </is>
      </c>
      <c r="B1339" t="inlineStr">
        <is>
          <t>FAPA_2022_AR.pdf</t>
        </is>
      </c>
      <c r="C1339" t="n">
        <v>2022</v>
      </c>
      <c r="D1339" t="inlineStr">
        <is>
          <t>Company</t>
        </is>
      </c>
      <c r="E1339" t="inlineStr">
        <is>
          <t>IPO date</t>
        </is>
      </c>
      <c r="F1339" t="inlineStr">
        <is>
          <t>2021-01-04</t>
        </is>
      </c>
      <c r="G1339" t="inlineStr">
        <is>
          <t>-</t>
        </is>
      </c>
      <c r="H1339" t="n">
        <v>45</v>
      </c>
      <c r="I1339" t="inlineStr">
        <is>
          <t>FAP Agri melakukan pencatatan saham di Bursa Efek Indonesia pada 4 Januari 2021</t>
        </is>
      </c>
      <c r="J1339" t="inlineStr">
        <is>
          <t>High</t>
        </is>
      </c>
      <c r="M1339" t="inlineStr">
        <is>
          <t>LLM</t>
        </is>
      </c>
      <c r="N1339" t="inlineStr">
        <is>
          <t>2026-04-18</t>
        </is>
      </c>
      <c r="O1339" t="inlineStr">
        <is>
          <t>AI</t>
        </is>
      </c>
    </row>
    <row r="1340">
      <c r="A1340" t="inlineStr">
        <is>
          <t>PT FAP Agri Tbk</t>
        </is>
      </c>
      <c r="B1340" t="inlineStr">
        <is>
          <t>FAPA_2022_AR.pdf</t>
        </is>
      </c>
      <c r="C1340" t="n">
        <v>2022</v>
      </c>
      <c r="D1340" t="inlineStr">
        <is>
          <t>Company</t>
        </is>
      </c>
      <c r="E1340" t="inlineStr">
        <is>
          <t>Number of subsidiaries</t>
        </is>
      </c>
      <c r="F1340" t="n">
        <v>9</v>
      </c>
      <c r="G1340" t="inlineStr">
        <is>
          <t>count</t>
        </is>
      </c>
      <c r="H1340" t="n">
        <v>44</v>
      </c>
      <c r="I1340" t="inlineStr">
        <is>
          <t>1 Kantor Pusat, 9 Anak Perusahaan, 5 Pabrik Pengolahan Kelapa Sawit, dan 1 Pabrik Pengolahan Inti Sawit</t>
        </is>
      </c>
      <c r="J1340" t="inlineStr">
        <is>
          <t>High</t>
        </is>
      </c>
      <c r="M1340" t="inlineStr">
        <is>
          <t>LLM</t>
        </is>
      </c>
      <c r="N1340" t="inlineStr">
        <is>
          <t>2026-04-18</t>
        </is>
      </c>
      <c r="O1340" t="inlineStr">
        <is>
          <t>AI</t>
        </is>
      </c>
    </row>
    <row r="1341">
      <c r="A1341" t="inlineStr">
        <is>
          <t>PT FAP Agri Tbk</t>
        </is>
      </c>
      <c r="B1341" t="inlineStr">
        <is>
          <t>FAPA_2022_AR.pdf</t>
        </is>
      </c>
      <c r="C1341" t="n">
        <v>2022</v>
      </c>
      <c r="D1341" t="inlineStr">
        <is>
          <t>Company</t>
        </is>
      </c>
      <c r="E1341" t="inlineStr">
        <is>
          <t>Prinsep Management Ltd stake</t>
        </is>
      </c>
      <c r="F1341" t="n">
        <v>0.8075</v>
      </c>
      <c r="G1341" t="inlineStr">
        <is>
          <t>decimal</t>
        </is>
      </c>
      <c r="H1341" t="n">
        <v>44</v>
      </c>
      <c r="I1341" t="inlineStr">
        <is>
          <t>Prinsep Management Limited 80,75%</t>
        </is>
      </c>
      <c r="J1341" t="inlineStr">
        <is>
          <t>High</t>
        </is>
      </c>
      <c r="M1341" t="inlineStr">
        <is>
          <t>LLM</t>
        </is>
      </c>
      <c r="N1341" t="inlineStr">
        <is>
          <t>2026-04-18</t>
        </is>
      </c>
      <c r="O1341" t="inlineStr">
        <is>
          <t>AI</t>
        </is>
      </c>
    </row>
    <row r="1342">
      <c r="A1342" t="inlineStr">
        <is>
          <t>PT FAP Agri Tbk</t>
        </is>
      </c>
      <c r="B1342" t="inlineStr">
        <is>
          <t>FAPA_2022_AR.pdf</t>
        </is>
      </c>
      <c r="C1342" t="n">
        <v>2022</v>
      </c>
      <c r="D1342" t="inlineStr">
        <is>
          <t>Company</t>
        </is>
      </c>
      <c r="E1342" t="inlineStr">
        <is>
          <t>PT Fangionoperkasa Sejati stake</t>
        </is>
      </c>
      <c r="F1342" t="n">
        <v>0.0425</v>
      </c>
      <c r="G1342" t="inlineStr">
        <is>
          <t>decimal</t>
        </is>
      </c>
      <c r="H1342" t="n">
        <v>44</v>
      </c>
      <c r="I1342" t="inlineStr">
        <is>
          <t>PT Fangionoperkasa Sejati 4,25%</t>
        </is>
      </c>
      <c r="J1342" t="inlineStr">
        <is>
          <t>High</t>
        </is>
      </c>
      <c r="M1342" t="inlineStr">
        <is>
          <t>LLM</t>
        </is>
      </c>
      <c r="N1342" t="inlineStr">
        <is>
          <t>2026-04-18</t>
        </is>
      </c>
      <c r="O1342" t="inlineStr">
        <is>
          <t>AI</t>
        </is>
      </c>
    </row>
    <row r="1343">
      <c r="A1343" t="inlineStr">
        <is>
          <t>PT FAP Agri Tbk</t>
        </is>
      </c>
      <c r="B1343" t="inlineStr">
        <is>
          <t>FAPA_2022_AR.pdf</t>
        </is>
      </c>
      <c r="C1343" t="n">
        <v>2022</v>
      </c>
      <c r="D1343" t="inlineStr">
        <is>
          <t>Company</t>
        </is>
      </c>
      <c r="E1343" t="inlineStr">
        <is>
          <t>Public float</t>
        </is>
      </c>
      <c r="F1343" t="n">
        <v>0.15</v>
      </c>
      <c r="G1343" t="inlineStr">
        <is>
          <t>decimal</t>
        </is>
      </c>
      <c r="H1343" t="n">
        <v>44</v>
      </c>
      <c r="I1343" t="inlineStr">
        <is>
          <t>Publik / Public 15,00%</t>
        </is>
      </c>
      <c r="J1343" t="inlineStr">
        <is>
          <t>High</t>
        </is>
      </c>
      <c r="M1343" t="inlineStr">
        <is>
          <t>LLM</t>
        </is>
      </c>
      <c r="N1343" t="inlineStr">
        <is>
          <t>2026-04-18</t>
        </is>
      </c>
      <c r="O1343" t="inlineStr">
        <is>
          <t>AI</t>
        </is>
      </c>
    </row>
    <row r="1344">
      <c r="A1344" t="inlineStr">
        <is>
          <t>PT FAP Agri Tbk</t>
        </is>
      </c>
      <c r="B1344" t="inlineStr">
        <is>
          <t>FAPA_2022_AR.pdf</t>
        </is>
      </c>
      <c r="C1344" t="n">
        <v>2022</v>
      </c>
      <c r="D1344" t="inlineStr">
        <is>
          <t>Company</t>
        </is>
      </c>
      <c r="E1344" t="inlineStr">
        <is>
          <t>Shares outstanding</t>
        </is>
      </c>
      <c r="F1344" t="n">
        <v>3629411800</v>
      </c>
      <c r="G1344" t="inlineStr">
        <is>
          <t>shares</t>
        </is>
      </c>
      <c r="H1344" t="n">
        <v>205</v>
      </c>
      <c r="I1344" t="inlineStr">
        <is>
          <t>Modal ditempatkan dan disetor - 3.629.411.800 saham pada 31 Desember 2022</t>
        </is>
      </c>
      <c r="J1344" t="inlineStr">
        <is>
          <t>High</t>
        </is>
      </c>
      <c r="M1344" t="inlineStr">
        <is>
          <t>LLM</t>
        </is>
      </c>
      <c r="N1344" t="inlineStr">
        <is>
          <t>2026-04-18</t>
        </is>
      </c>
      <c r="O1344" t="inlineStr">
        <is>
          <t>AI</t>
        </is>
      </c>
    </row>
    <row r="1345">
      <c r="A1345" t="inlineStr">
        <is>
          <t>PT FAP Agri Tbk</t>
        </is>
      </c>
      <c r="B1345" t="inlineStr">
        <is>
          <t>FAPA_2022_AR.pdf</t>
        </is>
      </c>
      <c r="C1345" t="n">
        <v>2022</v>
      </c>
      <c r="D1345" t="inlineStr">
        <is>
          <t>Financial</t>
        </is>
      </c>
      <c r="E1345" t="inlineStr">
        <is>
          <t>Net sales</t>
        </is>
      </c>
      <c r="F1345" t="n">
        <v>4828.634</v>
      </c>
      <c r="G1345" t="inlineStr">
        <is>
          <t>IDR bn</t>
        </is>
      </c>
      <c r="H1345" t="n">
        <v>10</v>
      </c>
      <c r="I1345" t="inlineStr">
        <is>
          <t>Penjualan Neto 4.828.634</t>
        </is>
      </c>
      <c r="J1345" t="inlineStr">
        <is>
          <t>High</t>
        </is>
      </c>
      <c r="M1345" t="inlineStr">
        <is>
          <t>LLM</t>
        </is>
      </c>
      <c r="N1345" t="inlineStr">
        <is>
          <t>2026-04-18</t>
        </is>
      </c>
      <c r="O1345" t="inlineStr">
        <is>
          <t>AI</t>
        </is>
      </c>
    </row>
    <row r="1346">
      <c r="A1346" t="inlineStr">
        <is>
          <t>PT FAP Agri Tbk</t>
        </is>
      </c>
      <c r="B1346" t="inlineStr">
        <is>
          <t>FAPA_2022_AR.pdf</t>
        </is>
      </c>
      <c r="C1346" t="n">
        <v>2022</v>
      </c>
      <c r="D1346" t="inlineStr">
        <is>
          <t>Financial</t>
        </is>
      </c>
      <c r="E1346" t="inlineStr">
        <is>
          <t>CPO sales revenue</t>
        </is>
      </c>
      <c r="F1346" t="n">
        <v>3888</v>
      </c>
      <c r="G1346" t="inlineStr">
        <is>
          <t>IDR bn</t>
        </is>
      </c>
      <c r="H1346" t="n">
        <v>5</v>
      </c>
      <c r="I1346" t="inlineStr">
        <is>
          <t>MINYAK SAWIT MENTAH ... Rp3,89 triliun</t>
        </is>
      </c>
      <c r="J1346" t="inlineStr">
        <is>
          <t>High</t>
        </is>
      </c>
      <c r="M1346" t="inlineStr">
        <is>
          <t>LLM</t>
        </is>
      </c>
      <c r="N1346" t="inlineStr">
        <is>
          <t>2026-04-18</t>
        </is>
      </c>
      <c r="O1346" t="inlineStr">
        <is>
          <t>AI</t>
        </is>
      </c>
    </row>
    <row r="1347">
      <c r="A1347" t="inlineStr">
        <is>
          <t>PT FAP Agri Tbk</t>
        </is>
      </c>
      <c r="B1347" t="inlineStr">
        <is>
          <t>FAPA_2022_AR.pdf</t>
        </is>
      </c>
      <c r="C1347" t="n">
        <v>2022</v>
      </c>
      <c r="D1347" t="inlineStr">
        <is>
          <t>Financial</t>
        </is>
      </c>
      <c r="E1347" t="inlineStr">
        <is>
          <t>FFB sales revenue</t>
        </is>
      </c>
      <c r="F1347" t="n">
        <v>452.06</v>
      </c>
      <c r="G1347" t="inlineStr">
        <is>
          <t>IDR bn</t>
        </is>
      </c>
      <c r="H1347" t="n">
        <v>5</v>
      </c>
      <c r="I1347" t="inlineStr">
        <is>
          <t>TANDAN BUAH SEGAR Rp452,06 miliar</t>
        </is>
      </c>
      <c r="J1347" t="inlineStr">
        <is>
          <t>High</t>
        </is>
      </c>
      <c r="M1347" t="inlineStr">
        <is>
          <t>LLM</t>
        </is>
      </c>
      <c r="N1347" t="inlineStr">
        <is>
          <t>2026-04-18</t>
        </is>
      </c>
      <c r="O1347" t="inlineStr">
        <is>
          <t>AI</t>
        </is>
      </c>
    </row>
    <row r="1348">
      <c r="A1348" t="inlineStr">
        <is>
          <t>PT FAP Agri Tbk</t>
        </is>
      </c>
      <c r="B1348" t="inlineStr">
        <is>
          <t>FAPA_2022_AR.pdf</t>
        </is>
      </c>
      <c r="C1348" t="n">
        <v>2022</v>
      </c>
      <c r="D1348" t="inlineStr">
        <is>
          <t>Financial</t>
        </is>
      </c>
      <c r="E1348" t="inlineStr">
        <is>
          <t>PKO sales revenue</t>
        </is>
      </c>
      <c r="F1348" t="n">
        <v>201.38</v>
      </c>
      <c r="G1348" t="inlineStr">
        <is>
          <t>IDR bn</t>
        </is>
      </c>
      <c r="H1348" t="n">
        <v>5</v>
      </c>
      <c r="I1348" t="inlineStr">
        <is>
          <t>MINYAK INTI SAWIT Rp201,38 miliar</t>
        </is>
      </c>
      <c r="J1348" t="inlineStr">
        <is>
          <t>High</t>
        </is>
      </c>
      <c r="M1348" t="inlineStr">
        <is>
          <t>LLM</t>
        </is>
      </c>
      <c r="N1348" t="inlineStr">
        <is>
          <t>2026-04-18</t>
        </is>
      </c>
      <c r="O1348" t="inlineStr">
        <is>
          <t>AI</t>
        </is>
      </c>
    </row>
    <row r="1349">
      <c r="A1349" t="inlineStr">
        <is>
          <t>PT FAP Agri Tbk</t>
        </is>
      </c>
      <c r="B1349" t="inlineStr">
        <is>
          <t>FAPA_2022_AR.pdf</t>
        </is>
      </c>
      <c r="C1349" t="n">
        <v>2022</v>
      </c>
      <c r="D1349" t="inlineStr">
        <is>
          <t>Financial</t>
        </is>
      </c>
      <c r="E1349" t="inlineStr">
        <is>
          <t>PK sales revenue</t>
        </is>
      </c>
      <c r="F1349" t="n">
        <v>266.99</v>
      </c>
      <c r="G1349" t="inlineStr">
        <is>
          <t>IDR bn</t>
        </is>
      </c>
      <c r="H1349" t="n">
        <v>5</v>
      </c>
      <c r="I1349" t="inlineStr">
        <is>
          <t>INTI SAWIT Rp266,99 miliar</t>
        </is>
      </c>
      <c r="J1349" t="inlineStr">
        <is>
          <t>High</t>
        </is>
      </c>
      <c r="M1349" t="inlineStr">
        <is>
          <t>LLM</t>
        </is>
      </c>
      <c r="N1349" t="inlineStr">
        <is>
          <t>2026-04-18</t>
        </is>
      </c>
      <c r="O1349" t="inlineStr">
        <is>
          <t>AI</t>
        </is>
      </c>
    </row>
    <row r="1350">
      <c r="A1350" t="inlineStr">
        <is>
          <t>PT FAP Agri Tbk</t>
        </is>
      </c>
      <c r="B1350" t="inlineStr">
        <is>
          <t>FAPA_2022_AR.pdf</t>
        </is>
      </c>
      <c r="C1350" t="n">
        <v>2022</v>
      </c>
      <c r="D1350" t="inlineStr">
        <is>
          <t>Financial</t>
        </is>
      </c>
      <c r="E1350" t="inlineStr">
        <is>
          <t>PKE sales revenue</t>
        </is>
      </c>
      <c r="F1350" t="n">
        <v>19.3</v>
      </c>
      <c r="G1350" t="inlineStr">
        <is>
          <t>IDR bn</t>
        </is>
      </c>
      <c r="H1350" t="n">
        <v>5</v>
      </c>
      <c r="I1350" t="inlineStr">
        <is>
          <t>BUNGKIL INTI SAWIT Rp19,30 miliar</t>
        </is>
      </c>
      <c r="J1350" t="inlineStr">
        <is>
          <t>High</t>
        </is>
      </c>
      <c r="M1350" t="inlineStr">
        <is>
          <t>LLM</t>
        </is>
      </c>
      <c r="N1350" t="inlineStr">
        <is>
          <t>2026-04-18</t>
        </is>
      </c>
      <c r="O1350" t="inlineStr">
        <is>
          <t>AI</t>
        </is>
      </c>
    </row>
    <row r="1351">
      <c r="A1351" t="inlineStr">
        <is>
          <t>PT FAP Agri Tbk</t>
        </is>
      </c>
      <c r="B1351" t="inlineStr">
        <is>
          <t>FAPA_2022_AR.pdf</t>
        </is>
      </c>
      <c r="C1351" t="n">
        <v>2022</v>
      </c>
      <c r="D1351" t="inlineStr">
        <is>
          <t>Financial</t>
        </is>
      </c>
      <c r="E1351" t="inlineStr">
        <is>
          <t>COGS</t>
        </is>
      </c>
      <c r="F1351" t="n">
        <v>3212.304</v>
      </c>
      <c r="G1351" t="inlineStr">
        <is>
          <t>IDR bn</t>
        </is>
      </c>
      <c r="H1351" t="n">
        <v>10</v>
      </c>
      <c r="I1351" t="inlineStr">
        <is>
          <t>Beban Pokok Penjualan (3.212.304)</t>
        </is>
      </c>
      <c r="J1351" t="inlineStr">
        <is>
          <t>High</t>
        </is>
      </c>
      <c r="M1351" t="inlineStr">
        <is>
          <t>LLM</t>
        </is>
      </c>
      <c r="N1351" t="inlineStr">
        <is>
          <t>2026-04-18</t>
        </is>
      </c>
      <c r="O1351" t="inlineStr">
        <is>
          <t>AI</t>
        </is>
      </c>
    </row>
    <row r="1352">
      <c r="A1352" t="inlineStr">
        <is>
          <t>PT FAP Agri Tbk</t>
        </is>
      </c>
      <c r="B1352" t="inlineStr">
        <is>
          <t>FAPA_2022_AR.pdf</t>
        </is>
      </c>
      <c r="C1352" t="n">
        <v>2022</v>
      </c>
      <c r="D1352" t="inlineStr">
        <is>
          <t>Financial</t>
        </is>
      </c>
      <c r="E1352" t="inlineStr">
        <is>
          <t>Gross profit</t>
        </is>
      </c>
      <c r="F1352" t="n">
        <v>1616.33</v>
      </c>
      <c r="G1352" t="inlineStr">
        <is>
          <t>IDR bn</t>
        </is>
      </c>
      <c r="H1352" t="n">
        <v>10</v>
      </c>
      <c r="I1352" t="inlineStr">
        <is>
          <t>Laba Bruto 1.616.330</t>
        </is>
      </c>
      <c r="J1352" t="inlineStr">
        <is>
          <t>High</t>
        </is>
      </c>
      <c r="M1352" t="inlineStr">
        <is>
          <t>LLM</t>
        </is>
      </c>
      <c r="N1352" t="inlineStr">
        <is>
          <t>2026-04-18</t>
        </is>
      </c>
      <c r="O1352" t="inlineStr">
        <is>
          <t>AI</t>
        </is>
      </c>
    </row>
    <row r="1353">
      <c r="A1353" t="inlineStr">
        <is>
          <t>PT FAP Agri Tbk</t>
        </is>
      </c>
      <c r="B1353" t="inlineStr">
        <is>
          <t>FAPA_2022_AR.pdf</t>
        </is>
      </c>
      <c r="C1353" t="n">
        <v>2022</v>
      </c>
      <c r="D1353" t="inlineStr">
        <is>
          <t>Financial</t>
        </is>
      </c>
      <c r="E1353" t="inlineStr">
        <is>
          <t>Operating profit</t>
        </is>
      </c>
      <c r="F1353" t="n">
        <v>1304.862</v>
      </c>
      <c r="G1353" t="inlineStr">
        <is>
          <t>IDR bn</t>
        </is>
      </c>
      <c r="H1353" t="n">
        <v>10</v>
      </c>
      <c r="I1353" t="inlineStr">
        <is>
          <t>Laba (Rugi) Usaha 1.304.862</t>
        </is>
      </c>
      <c r="J1353" t="inlineStr">
        <is>
          <t>High</t>
        </is>
      </c>
      <c r="M1353" t="inlineStr">
        <is>
          <t>LLM</t>
        </is>
      </c>
      <c r="N1353" t="inlineStr">
        <is>
          <t>2026-04-18</t>
        </is>
      </c>
      <c r="O1353" t="inlineStr">
        <is>
          <t>AI</t>
        </is>
      </c>
    </row>
    <row r="1354">
      <c r="A1354" t="inlineStr">
        <is>
          <t>PT FAP Agri Tbk</t>
        </is>
      </c>
      <c r="B1354" t="inlineStr">
        <is>
          <t>FAPA_2022_AR.pdf</t>
        </is>
      </c>
      <c r="C1354" t="n">
        <v>2022</v>
      </c>
      <c r="D1354" t="inlineStr">
        <is>
          <t>Financial</t>
        </is>
      </c>
      <c r="E1354" t="inlineStr">
        <is>
          <t>Net profit</t>
        </is>
      </c>
      <c r="F1354" t="n">
        <v>749.311</v>
      </c>
      <c r="G1354" t="inlineStr">
        <is>
          <t>IDR bn</t>
        </is>
      </c>
      <c r="H1354" t="n">
        <v>10</v>
      </c>
      <c r="I1354" t="inlineStr">
        <is>
          <t>Laba (Rugi) Bersih Tahun Berjalan 749.311</t>
        </is>
      </c>
      <c r="J1354" t="inlineStr">
        <is>
          <t>High</t>
        </is>
      </c>
      <c r="M1354" t="inlineStr">
        <is>
          <t>LLM</t>
        </is>
      </c>
      <c r="N1354" t="inlineStr">
        <is>
          <t>2026-04-18</t>
        </is>
      </c>
      <c r="O1354" t="inlineStr">
        <is>
          <t>AI</t>
        </is>
      </c>
    </row>
    <row r="1355">
      <c r="A1355" t="inlineStr">
        <is>
          <t>PT FAP Agri Tbk</t>
        </is>
      </c>
      <c r="B1355" t="inlineStr">
        <is>
          <t>FAPA_2022_AR.pdf</t>
        </is>
      </c>
      <c r="C1355" t="n">
        <v>2022</v>
      </c>
      <c r="D1355" t="inlineStr">
        <is>
          <t>Financial</t>
        </is>
      </c>
      <c r="E1355" t="inlineStr">
        <is>
          <t>Profit attributable to parent</t>
        </is>
      </c>
      <c r="F1355" t="n">
        <v>709.144</v>
      </c>
      <c r="G1355" t="inlineStr">
        <is>
          <t>IDR bn</t>
        </is>
      </c>
      <c r="H1355" t="n">
        <v>10</v>
      </c>
      <c r="I1355" t="inlineStr">
        <is>
          <t>Pemilik Entitas Induk 709.144</t>
        </is>
      </c>
      <c r="J1355" t="inlineStr">
        <is>
          <t>High</t>
        </is>
      </c>
      <c r="M1355" t="inlineStr">
        <is>
          <t>LLM</t>
        </is>
      </c>
      <c r="N1355" t="inlineStr">
        <is>
          <t>2026-04-18</t>
        </is>
      </c>
      <c r="O1355" t="inlineStr">
        <is>
          <t>AI</t>
        </is>
      </c>
    </row>
    <row r="1356">
      <c r="A1356" t="inlineStr">
        <is>
          <t>PT FAP Agri Tbk</t>
        </is>
      </c>
      <c r="B1356" t="inlineStr">
        <is>
          <t>FAPA_2022_AR.pdf</t>
        </is>
      </c>
      <c r="C1356" t="n">
        <v>2022</v>
      </c>
      <c r="D1356" t="inlineStr">
        <is>
          <t>Financial</t>
        </is>
      </c>
      <c r="E1356" t="inlineStr">
        <is>
          <t>EPS</t>
        </is>
      </c>
      <c r="F1356" t="n">
        <v>195.39</v>
      </c>
      <c r="G1356" t="inlineStr">
        <is>
          <t>IDR/share</t>
        </is>
      </c>
      <c r="H1356" t="n">
        <v>10</v>
      </c>
      <c r="I1356" t="inlineStr">
        <is>
          <t>Laba (Rugi) Per Saham Dasar 195,39</t>
        </is>
      </c>
      <c r="J1356" t="inlineStr">
        <is>
          <t>High</t>
        </is>
      </c>
      <c r="M1356" t="inlineStr">
        <is>
          <t>LLM</t>
        </is>
      </c>
      <c r="N1356" t="inlineStr">
        <is>
          <t>2026-04-18</t>
        </is>
      </c>
      <c r="O1356" t="inlineStr">
        <is>
          <t>AI</t>
        </is>
      </c>
    </row>
    <row r="1357">
      <c r="A1357" t="inlineStr">
        <is>
          <t>PT FAP Agri Tbk</t>
        </is>
      </c>
      <c r="B1357" t="inlineStr">
        <is>
          <t>FAPA_2022_AR.pdf</t>
        </is>
      </c>
      <c r="C1357" t="n">
        <v>2022</v>
      </c>
      <c r="D1357" t="inlineStr">
        <is>
          <t>Financial</t>
        </is>
      </c>
      <c r="E1357" t="inlineStr">
        <is>
          <t>Total assets</t>
        </is>
      </c>
      <c r="F1357" t="n">
        <v>8624.009</v>
      </c>
      <c r="G1357" t="inlineStr">
        <is>
          <t>IDR bn</t>
        </is>
      </c>
      <c r="H1357" t="n">
        <v>11</v>
      </c>
      <c r="I1357" t="inlineStr">
        <is>
          <t>Jumlah Aset 8.624.009</t>
        </is>
      </c>
      <c r="J1357" t="inlineStr">
        <is>
          <t>High</t>
        </is>
      </c>
      <c r="M1357" t="inlineStr">
        <is>
          <t>LLM</t>
        </is>
      </c>
      <c r="N1357" t="inlineStr">
        <is>
          <t>2026-04-18</t>
        </is>
      </c>
      <c r="O1357" t="inlineStr">
        <is>
          <t>AI</t>
        </is>
      </c>
    </row>
    <row r="1358">
      <c r="A1358" t="inlineStr">
        <is>
          <t>PT FAP Agri Tbk</t>
        </is>
      </c>
      <c r="B1358" t="inlineStr">
        <is>
          <t>FAPA_2022_AR.pdf</t>
        </is>
      </c>
      <c r="C1358" t="n">
        <v>2022</v>
      </c>
      <c r="D1358" t="inlineStr">
        <is>
          <t>Financial</t>
        </is>
      </c>
      <c r="E1358" t="inlineStr">
        <is>
          <t>Total liabilities</t>
        </is>
      </c>
      <c r="F1358" t="n">
        <v>4724.997</v>
      </c>
      <c r="G1358" t="inlineStr">
        <is>
          <t>IDR bn</t>
        </is>
      </c>
      <c r="H1358" t="n">
        <v>11</v>
      </c>
      <c r="I1358" t="inlineStr">
        <is>
          <t>Jumlah Liabilitas 4.724.997</t>
        </is>
      </c>
      <c r="J1358" t="inlineStr">
        <is>
          <t>High</t>
        </is>
      </c>
      <c r="M1358" t="inlineStr">
        <is>
          <t>LLM</t>
        </is>
      </c>
      <c r="N1358" t="inlineStr">
        <is>
          <t>2026-04-18</t>
        </is>
      </c>
      <c r="O1358" t="inlineStr">
        <is>
          <t>AI</t>
        </is>
      </c>
    </row>
    <row r="1359">
      <c r="A1359" t="inlineStr">
        <is>
          <t>PT FAP Agri Tbk</t>
        </is>
      </c>
      <c r="B1359" t="inlineStr">
        <is>
          <t>FAPA_2022_AR.pdf</t>
        </is>
      </c>
      <c r="C1359" t="n">
        <v>2022</v>
      </c>
      <c r="D1359" t="inlineStr">
        <is>
          <t>Financial</t>
        </is>
      </c>
      <c r="E1359" t="inlineStr">
        <is>
          <t>Total equity</t>
        </is>
      </c>
      <c r="F1359" t="n">
        <v>3899.012</v>
      </c>
      <c r="G1359" t="inlineStr">
        <is>
          <t>IDR bn</t>
        </is>
      </c>
      <c r="H1359" t="n">
        <v>11</v>
      </c>
      <c r="I1359" t="inlineStr">
        <is>
          <t>Jumlah Ekuitas 3.899.012</t>
        </is>
      </c>
      <c r="J1359" t="inlineStr">
        <is>
          <t>High</t>
        </is>
      </c>
      <c r="M1359" t="inlineStr">
        <is>
          <t>LLM</t>
        </is>
      </c>
      <c r="N1359" t="inlineStr">
        <is>
          <t>2026-04-18</t>
        </is>
      </c>
      <c r="O1359" t="inlineStr">
        <is>
          <t>AI</t>
        </is>
      </c>
    </row>
    <row r="1360">
      <c r="A1360" t="inlineStr">
        <is>
          <t>PT FAP Agri Tbk</t>
        </is>
      </c>
      <c r="B1360" t="inlineStr">
        <is>
          <t>FAPA_2022_AR.pdf</t>
        </is>
      </c>
      <c r="C1360" t="n">
        <v>2022</v>
      </c>
      <c r="D1360" t="inlineStr">
        <is>
          <t>Financial</t>
        </is>
      </c>
      <c r="E1360" t="inlineStr">
        <is>
          <t>Cash &amp; bank</t>
        </is>
      </c>
      <c r="F1360" t="n">
        <v>507.768</v>
      </c>
      <c r="G1360" t="inlineStr">
        <is>
          <t>IDR bn</t>
        </is>
      </c>
      <c r="H1360" t="n">
        <v>204</v>
      </c>
      <c r="I1360" t="inlineStr">
        <is>
          <t>Kas dan bank 5 507.768.260.273</t>
        </is>
      </c>
      <c r="J1360" t="inlineStr">
        <is>
          <t>High</t>
        </is>
      </c>
      <c r="M1360" t="inlineStr">
        <is>
          <t>LLM</t>
        </is>
      </c>
      <c r="N1360" t="inlineStr">
        <is>
          <t>2026-04-18</t>
        </is>
      </c>
      <c r="O1360" t="inlineStr">
        <is>
          <t>AI</t>
        </is>
      </c>
    </row>
    <row r="1361">
      <c r="A1361" t="inlineStr">
        <is>
          <t>PT FAP Agri Tbk</t>
        </is>
      </c>
      <c r="B1361" t="inlineStr">
        <is>
          <t>FAPA_2022_AR.pdf</t>
        </is>
      </c>
      <c r="C1361" t="n">
        <v>2022</v>
      </c>
      <c r="D1361" t="inlineStr">
        <is>
          <t>Financial</t>
        </is>
      </c>
      <c r="E1361" t="inlineStr">
        <is>
          <t>Bank overdraft</t>
        </is>
      </c>
      <c r="F1361" t="n">
        <v>427.739</v>
      </c>
      <c r="G1361" t="inlineStr">
        <is>
          <t>IDR bn</t>
        </is>
      </c>
      <c r="H1361" t="n">
        <v>205</v>
      </c>
      <c r="I1361" t="inlineStr">
        <is>
          <t>Cerukan bank 21 427.739.191.253</t>
        </is>
      </c>
      <c r="J1361" t="inlineStr">
        <is>
          <t>High</t>
        </is>
      </c>
      <c r="M1361" t="inlineStr">
        <is>
          <t>LLM</t>
        </is>
      </c>
      <c r="N1361" t="inlineStr">
        <is>
          <t>2026-04-18</t>
        </is>
      </c>
      <c r="O1361" t="inlineStr">
        <is>
          <t>AI</t>
        </is>
      </c>
    </row>
    <row r="1362">
      <c r="A1362" t="inlineStr">
        <is>
          <t>PT FAP Agri Tbk</t>
        </is>
      </c>
      <c r="B1362" t="inlineStr">
        <is>
          <t>FAPA_2022_AR.pdf</t>
        </is>
      </c>
      <c r="C1362" t="n">
        <v>2022</v>
      </c>
      <c r="D1362" t="inlineStr">
        <is>
          <t>Financial</t>
        </is>
      </c>
      <c r="E1362" t="inlineStr">
        <is>
          <t>ST bank loans (current portion)</t>
        </is>
      </c>
      <c r="F1362" t="n">
        <v>530.783</v>
      </c>
      <c r="G1362" t="inlineStr">
        <is>
          <t>IDR bn</t>
        </is>
      </c>
      <c r="H1362" t="n">
        <v>205</v>
      </c>
      <c r="I1362" t="inlineStr">
        <is>
          <t>Utang bank (current) 21 530.783.090.150</t>
        </is>
      </c>
      <c r="J1362" t="inlineStr">
        <is>
          <t>High</t>
        </is>
      </c>
      <c r="M1362" t="inlineStr">
        <is>
          <t>LLM</t>
        </is>
      </c>
      <c r="N1362" t="inlineStr">
        <is>
          <t>2026-04-18</t>
        </is>
      </c>
      <c r="O1362" t="inlineStr">
        <is>
          <t>AI</t>
        </is>
      </c>
    </row>
    <row r="1363">
      <c r="A1363" t="inlineStr">
        <is>
          <t>PT FAP Agri Tbk</t>
        </is>
      </c>
      <c r="B1363" t="inlineStr">
        <is>
          <t>FAPA_2022_AR.pdf</t>
        </is>
      </c>
      <c r="C1363" t="n">
        <v>2022</v>
      </c>
      <c r="D1363" t="inlineStr">
        <is>
          <t>Financial</t>
        </is>
      </c>
      <c r="E1363" t="inlineStr">
        <is>
          <t>LT bank loans net</t>
        </is>
      </c>
      <c r="F1363" t="n">
        <v>2549.671</v>
      </c>
      <c r="G1363" t="inlineStr">
        <is>
          <t>IDR bn</t>
        </is>
      </c>
      <c r="H1363" t="n">
        <v>205</v>
      </c>
      <c r="I1363" t="inlineStr">
        <is>
          <t>Utang bank (non-current) 2.549.670.734.981</t>
        </is>
      </c>
      <c r="J1363" t="inlineStr">
        <is>
          <t>High</t>
        </is>
      </c>
      <c r="M1363" t="inlineStr">
        <is>
          <t>LLM</t>
        </is>
      </c>
      <c r="N1363" t="inlineStr">
        <is>
          <t>2026-04-18</t>
        </is>
      </c>
      <c r="O1363" t="inlineStr">
        <is>
          <t>AI</t>
        </is>
      </c>
    </row>
    <row r="1364">
      <c r="A1364" t="inlineStr">
        <is>
          <t>PT FAP Agri Tbk</t>
        </is>
      </c>
      <c r="B1364" t="inlineStr">
        <is>
          <t>FAPA_2022_AR.pdf</t>
        </is>
      </c>
      <c r="C1364" t="n">
        <v>2022</v>
      </c>
      <c r="D1364" t="inlineStr">
        <is>
          <t>Financial</t>
        </is>
      </c>
      <c r="E1364" t="inlineStr">
        <is>
          <t>Shareholder loan (LT)</t>
        </is>
      </c>
      <c r="F1364" t="n">
        <v>0</v>
      </c>
      <c r="G1364" t="inlineStr">
        <is>
          <t>IDR bn</t>
        </is>
      </c>
      <c r="H1364" t="n">
        <v>205</v>
      </c>
      <c r="I1364" t="inlineStr">
        <is>
          <t>Utang pemegang saham - (Dec 2022 balance after full repayment)</t>
        </is>
      </c>
      <c r="J1364" t="inlineStr">
        <is>
          <t>High</t>
        </is>
      </c>
      <c r="M1364" t="inlineStr">
        <is>
          <t>LLM</t>
        </is>
      </c>
      <c r="N1364" t="inlineStr">
        <is>
          <t>2026-04-18</t>
        </is>
      </c>
      <c r="O1364" t="inlineStr">
        <is>
          <t>AI</t>
        </is>
      </c>
    </row>
    <row r="1365">
      <c r="A1365" t="inlineStr">
        <is>
          <t>PT FAP Agri Tbk</t>
        </is>
      </c>
      <c r="B1365" t="inlineStr">
        <is>
          <t>FAPA_2022_AR.pdf</t>
        </is>
      </c>
      <c r="C1365" t="n">
        <v>2022</v>
      </c>
      <c r="D1365" t="inlineStr">
        <is>
          <t>Financial</t>
        </is>
      </c>
      <c r="E1365" t="inlineStr">
        <is>
          <t>CFO</t>
        </is>
      </c>
      <c r="F1365" t="n">
        <v>1895.737</v>
      </c>
      <c r="G1365" t="inlineStr">
        <is>
          <t>IDR bn</t>
        </is>
      </c>
      <c r="H1365" t="n">
        <v>89</v>
      </c>
      <c r="I1365" t="inlineStr">
        <is>
          <t>Arus Kas dari Aktivitas Operasi 1.895.737</t>
        </is>
      </c>
      <c r="J1365" t="inlineStr">
        <is>
          <t>High</t>
        </is>
      </c>
      <c r="M1365" t="inlineStr">
        <is>
          <t>LLM</t>
        </is>
      </c>
      <c r="N1365" t="inlineStr">
        <is>
          <t>2026-04-18</t>
        </is>
      </c>
      <c r="O1365" t="inlineStr">
        <is>
          <t>AI</t>
        </is>
      </c>
    </row>
    <row r="1366">
      <c r="A1366" t="inlineStr">
        <is>
          <t>PT FAP Agri Tbk</t>
        </is>
      </c>
      <c r="B1366" t="inlineStr">
        <is>
          <t>FAPA_2022_AR.pdf</t>
        </is>
      </c>
      <c r="C1366" t="n">
        <v>2022</v>
      </c>
      <c r="D1366" t="inlineStr">
        <is>
          <t>Financial</t>
        </is>
      </c>
      <c r="E1366" t="inlineStr">
        <is>
          <t>Fixed-asset acquisitions</t>
        </is>
      </c>
      <c r="F1366" t="n">
        <v>410.978</v>
      </c>
      <c r="G1366" t="inlineStr">
        <is>
          <t>IDR bn</t>
        </is>
      </c>
      <c r="H1366" t="n">
        <v>209</v>
      </c>
      <c r="I1366" t="inlineStr">
        <is>
          <t>Perolehan aset tetap (410.978.311.422)</t>
        </is>
      </c>
      <c r="J1366" t="inlineStr">
        <is>
          <t>High</t>
        </is>
      </c>
      <c r="M1366" t="inlineStr">
        <is>
          <t>LLM</t>
        </is>
      </c>
      <c r="N1366" t="inlineStr">
        <is>
          <t>2026-04-18</t>
        </is>
      </c>
      <c r="O1366" t="inlineStr">
        <is>
          <t>AI</t>
        </is>
      </c>
    </row>
    <row r="1367">
      <c r="A1367" t="inlineStr">
        <is>
          <t>PT FAP Agri Tbk</t>
        </is>
      </c>
      <c r="B1367" t="inlineStr">
        <is>
          <t>FAPA_2022_AR.pdf</t>
        </is>
      </c>
      <c r="C1367" t="n">
        <v>2022</v>
      </c>
      <c r="D1367" t="inlineStr">
        <is>
          <t>Financial</t>
        </is>
      </c>
      <c r="E1367" t="inlineStr">
        <is>
          <t>Immature plantation additions</t>
        </is>
      </c>
      <c r="F1367" t="n">
        <v>57.88</v>
      </c>
      <c r="G1367" t="inlineStr">
        <is>
          <t>IDR bn</t>
        </is>
      </c>
      <c r="H1367" t="n">
        <v>209</v>
      </c>
      <c r="I1367" t="inlineStr">
        <is>
          <t>Penambahan tanaman belum menghasilkan (57.880.396.961)</t>
        </is>
      </c>
      <c r="J1367" t="inlineStr">
        <is>
          <t>High</t>
        </is>
      </c>
      <c r="M1367" t="inlineStr">
        <is>
          <t>LLM</t>
        </is>
      </c>
      <c r="N1367" t="inlineStr">
        <is>
          <t>2026-04-18</t>
        </is>
      </c>
      <c r="O1367" t="inlineStr">
        <is>
          <t>AI</t>
        </is>
      </c>
    </row>
    <row r="1368">
      <c r="A1368" t="inlineStr">
        <is>
          <t>PT FAP Agri Tbk</t>
        </is>
      </c>
      <c r="B1368" t="inlineStr">
        <is>
          <t>FAPA_2022_AR.pdf</t>
        </is>
      </c>
      <c r="C1368" t="n">
        <v>2022</v>
      </c>
      <c r="D1368" t="inlineStr">
        <is>
          <t>Financial</t>
        </is>
      </c>
      <c r="E1368" t="inlineStr">
        <is>
          <t>Shareholder loan repayment</t>
        </is>
      </c>
      <c r="F1368" t="n">
        <v>736.558</v>
      </c>
      <c r="G1368" t="inlineStr">
        <is>
          <t>IDR bn</t>
        </is>
      </c>
      <c r="H1368" t="n">
        <v>210</v>
      </c>
      <c r="I1368" t="inlineStr">
        <is>
          <t>Pembayaran utang pemegang saham (736.557.773.433)</t>
        </is>
      </c>
      <c r="J1368" t="inlineStr">
        <is>
          <t>High</t>
        </is>
      </c>
      <c r="M1368" t="inlineStr">
        <is>
          <t>LLM</t>
        </is>
      </c>
      <c r="N1368" t="inlineStr">
        <is>
          <t>2026-04-18</t>
        </is>
      </c>
      <c r="O1368" t="inlineStr">
        <is>
          <t>AI</t>
        </is>
      </c>
    </row>
    <row r="1369">
      <c r="A1369" t="inlineStr">
        <is>
          <t>PT FAP Agri Tbk</t>
        </is>
      </c>
      <c r="B1369" t="inlineStr">
        <is>
          <t>FAPA_2022_AR.pdf</t>
        </is>
      </c>
      <c r="C1369" t="n">
        <v>2022</v>
      </c>
      <c r="D1369" t="inlineStr">
        <is>
          <t>Financial</t>
        </is>
      </c>
      <c r="E1369" t="inlineStr">
        <is>
          <t>Bank loan repayments</t>
        </is>
      </c>
      <c r="F1369" t="n">
        <v>650.7380000000001</v>
      </c>
      <c r="G1369" t="inlineStr">
        <is>
          <t>IDR bn</t>
        </is>
      </c>
      <c r="H1369" t="n">
        <v>210</v>
      </c>
      <c r="I1369" t="inlineStr">
        <is>
          <t>Pembayaran utang bank (650.738.352.548)</t>
        </is>
      </c>
      <c r="J1369" t="inlineStr">
        <is>
          <t>High</t>
        </is>
      </c>
      <c r="M1369" t="inlineStr">
        <is>
          <t>LLM</t>
        </is>
      </c>
      <c r="N1369" t="inlineStr">
        <is>
          <t>2026-04-18</t>
        </is>
      </c>
      <c r="O1369" t="inlineStr">
        <is>
          <t>AI</t>
        </is>
      </c>
    </row>
    <row r="1370">
      <c r="A1370" t="inlineStr">
        <is>
          <t>PT FAP Agri Tbk</t>
        </is>
      </c>
      <c r="B1370" t="inlineStr">
        <is>
          <t>FAPA_2022_AR.pdf</t>
        </is>
      </c>
      <c r="C1370" t="n">
        <v>2022</v>
      </c>
      <c r="D1370" t="inlineStr">
        <is>
          <t>Financial</t>
        </is>
      </c>
      <c r="E1370" t="inlineStr">
        <is>
          <t>Depreciation (total)</t>
        </is>
      </c>
      <c r="F1370" t="n">
        <v>507.53</v>
      </c>
      <c r="G1370" t="inlineStr">
        <is>
          <t>IDR bn</t>
        </is>
      </c>
      <c r="H1370" t="n">
        <v>209</v>
      </c>
      <c r="I1370" t="inlineStr">
        <is>
          <t>Penyusutan (Catatan 13, 14 dan 15) 507.529.849.097</t>
        </is>
      </c>
      <c r="J1370" t="inlineStr">
        <is>
          <t>High</t>
        </is>
      </c>
      <c r="M1370" t="inlineStr">
        <is>
          <t>LLM</t>
        </is>
      </c>
      <c r="N1370" t="inlineStr">
        <is>
          <t>2026-04-18</t>
        </is>
      </c>
      <c r="O1370" t="inlineStr">
        <is>
          <t>AI</t>
        </is>
      </c>
    </row>
    <row r="1371">
      <c r="A1371" t="inlineStr">
        <is>
          <t>PT FAP Agri Tbk</t>
        </is>
      </c>
      <c r="B1371" t="inlineStr">
        <is>
          <t>FAPA_2022_AR.pdf</t>
        </is>
      </c>
      <c r="C1371" t="n">
        <v>2022</v>
      </c>
      <c r="D1371" t="inlineStr">
        <is>
          <t>Financial</t>
        </is>
      </c>
      <c r="E1371" t="inlineStr">
        <is>
          <t>Closing price Q4 2022</t>
        </is>
      </c>
      <c r="F1371" t="n">
        <v>4300</v>
      </c>
      <c r="G1371" t="inlineStr">
        <is>
          <t>IDR</t>
        </is>
      </c>
      <c r="H1371" t="n">
        <v>16</v>
      </c>
      <c r="I1371" t="inlineStr">
        <is>
          <t>Triwulan IV 4.300 4.050 4.300</t>
        </is>
      </c>
      <c r="J1371" t="inlineStr">
        <is>
          <t>High</t>
        </is>
      </c>
      <c r="M1371" t="inlineStr">
        <is>
          <t>LLM</t>
        </is>
      </c>
      <c r="N1371" t="inlineStr">
        <is>
          <t>2026-04-18</t>
        </is>
      </c>
      <c r="O1371" t="inlineStr">
        <is>
          <t>AI</t>
        </is>
      </c>
    </row>
    <row r="1372">
      <c r="A1372" t="inlineStr">
        <is>
          <t>PT FAP Agri Tbk</t>
        </is>
      </c>
      <c r="B1372" t="inlineStr">
        <is>
          <t>FAPA_2022_AR.pdf</t>
        </is>
      </c>
      <c r="C1372" t="n">
        <v>2022</v>
      </c>
      <c r="D1372" t="inlineStr">
        <is>
          <t>Financial</t>
        </is>
      </c>
      <c r="E1372" t="inlineStr">
        <is>
          <t>Market cap Q4 2022</t>
        </is>
      </c>
      <c r="F1372" t="n">
        <v>15606</v>
      </c>
      <c r="G1372" t="inlineStr">
        <is>
          <t>IDR bn</t>
        </is>
      </c>
      <c r="H1372" t="n">
        <v>16</v>
      </c>
      <c r="I1372" t="inlineStr">
        <is>
          <t>15.606.471 (Rp juta)</t>
        </is>
      </c>
      <c r="J1372" t="inlineStr">
        <is>
          <t>High</t>
        </is>
      </c>
      <c r="M1372" t="inlineStr">
        <is>
          <t>LLM</t>
        </is>
      </c>
      <c r="N1372" t="inlineStr">
        <is>
          <t>2026-04-18</t>
        </is>
      </c>
      <c r="O1372" t="inlineStr">
        <is>
          <t>AI</t>
        </is>
      </c>
    </row>
    <row r="1373">
      <c r="A1373" t="inlineStr">
        <is>
          <t>PT FAP Agri Tbk</t>
        </is>
      </c>
      <c r="B1373" t="inlineStr">
        <is>
          <t>FAPA_2022_AR.pdf</t>
        </is>
      </c>
      <c r="C1373" t="n">
        <v>2022</v>
      </c>
      <c r="D1373" t="inlineStr">
        <is>
          <t>Asset</t>
        </is>
      </c>
      <c r="E1373" t="inlineStr">
        <is>
          <t>Total planted area</t>
        </is>
      </c>
      <c r="F1373" t="n">
        <v>88752</v>
      </c>
      <c r="G1373" t="inlineStr">
        <is>
          <t>ha</t>
        </is>
      </c>
      <c r="H1373" t="n">
        <v>4</v>
      </c>
      <c r="I1373" t="inlineStr">
        <is>
          <t>LUAS LAHAN TERTANAM 88.752 ha</t>
        </is>
      </c>
      <c r="J1373" t="inlineStr">
        <is>
          <t>High</t>
        </is>
      </c>
      <c r="M1373" t="inlineStr">
        <is>
          <t>LLM</t>
        </is>
      </c>
      <c r="N1373" t="inlineStr">
        <is>
          <t>2026-04-18</t>
        </is>
      </c>
      <c r="O1373" t="inlineStr">
        <is>
          <t>AI</t>
        </is>
      </c>
    </row>
    <row r="1374">
      <c r="A1374" t="inlineStr">
        <is>
          <t>PT FAP Agri Tbk</t>
        </is>
      </c>
      <c r="B1374" t="inlineStr">
        <is>
          <t>FAPA_2022_AR.pdf</t>
        </is>
      </c>
      <c r="C1374" t="n">
        <v>2022</v>
      </c>
      <c r="D1374" t="inlineStr">
        <is>
          <t>Asset</t>
        </is>
      </c>
      <c r="E1374" t="inlineStr">
        <is>
          <t>Palm plantation land bank</t>
        </is>
      </c>
      <c r="F1374" t="n">
        <v>110000</v>
      </c>
      <c r="G1374" t="inlineStr">
        <is>
          <t>ha</t>
        </is>
      </c>
      <c r="H1374" t="n">
        <v>4</v>
      </c>
      <c r="I1374" t="inlineStr">
        <is>
          <t>LUAS LAHAN PERKEBUNAN SAWIT &gt;110.000 ha</t>
        </is>
      </c>
      <c r="J1374" t="inlineStr">
        <is>
          <t>High</t>
        </is>
      </c>
      <c r="M1374" t="inlineStr">
        <is>
          <t>LLM</t>
        </is>
      </c>
      <c r="N1374" t="inlineStr">
        <is>
          <t>2026-04-18</t>
        </is>
      </c>
      <c r="O1374" t="inlineStr">
        <is>
          <t>AI</t>
        </is>
      </c>
    </row>
    <row r="1375">
      <c r="A1375" t="inlineStr">
        <is>
          <t>PT FAP Agri Tbk</t>
        </is>
      </c>
      <c r="B1375" t="inlineStr">
        <is>
          <t>FAPA_2022_AR.pdf</t>
        </is>
      </c>
      <c r="C1375" t="n">
        <v>2022</v>
      </c>
      <c r="D1375" t="inlineStr">
        <is>
          <t>Asset</t>
        </is>
      </c>
      <c r="E1375" t="inlineStr">
        <is>
          <t>Mature area</t>
        </is>
      </c>
      <c r="F1375" t="n">
        <v>82624</v>
      </c>
      <c r="G1375" t="inlineStr">
        <is>
          <t>ha</t>
        </is>
      </c>
      <c r="H1375" t="n">
        <v>4</v>
      </c>
      <c r="I1375" t="inlineStr">
        <is>
          <t>LUAS TANAMAN MENGHASILKAN 82.624 ha</t>
        </is>
      </c>
      <c r="J1375" t="inlineStr">
        <is>
          <t>High</t>
        </is>
      </c>
      <c r="M1375" t="inlineStr">
        <is>
          <t>LLM</t>
        </is>
      </c>
      <c r="N1375" t="inlineStr">
        <is>
          <t>2026-04-18</t>
        </is>
      </c>
      <c r="O1375" t="inlineStr">
        <is>
          <t>AI</t>
        </is>
      </c>
    </row>
    <row r="1376">
      <c r="A1376" t="inlineStr">
        <is>
          <t>PT FAP Agri Tbk</t>
        </is>
      </c>
      <c r="B1376" t="inlineStr">
        <is>
          <t>FAPA_2022_AR.pdf</t>
        </is>
      </c>
      <c r="C1376" t="n">
        <v>2022</v>
      </c>
      <c r="D1376" t="inlineStr">
        <is>
          <t>Asset</t>
        </is>
      </c>
      <c r="E1376" t="inlineStr">
        <is>
          <t>Immature area</t>
        </is>
      </c>
      <c r="F1376" t="n">
        <v>6128</v>
      </c>
      <c r="G1376" t="inlineStr">
        <is>
          <t>ha</t>
        </is>
      </c>
      <c r="H1376" t="n">
        <v>4</v>
      </c>
      <c r="I1376" t="inlineStr">
        <is>
          <t>LUAS TANAMAN BELUM MENGHASILKAN 6.128 ha</t>
        </is>
      </c>
      <c r="J1376" t="inlineStr">
        <is>
          <t>High</t>
        </is>
      </c>
      <c r="M1376" t="inlineStr">
        <is>
          <t>LLM</t>
        </is>
      </c>
      <c r="N1376" t="inlineStr">
        <is>
          <t>2026-04-18</t>
        </is>
      </c>
      <c r="O1376" t="inlineStr">
        <is>
          <t>AI</t>
        </is>
      </c>
    </row>
    <row r="1377">
      <c r="A1377" t="inlineStr">
        <is>
          <t>PT FAP Agri Tbk</t>
        </is>
      </c>
      <c r="B1377" t="inlineStr">
        <is>
          <t>FAPA_2022_AR.pdf</t>
        </is>
      </c>
      <c r="C1377" t="n">
        <v>2022</v>
      </c>
      <c r="D1377" t="inlineStr">
        <is>
          <t>Asset</t>
        </is>
      </c>
      <c r="E1377" t="inlineStr">
        <is>
          <t>Average tree age</t>
        </is>
      </c>
      <c r="F1377" t="n">
        <v>11</v>
      </c>
      <c r="G1377" t="inlineStr">
        <is>
          <t>years</t>
        </is>
      </c>
      <c r="H1377" t="n">
        <v>4</v>
      </c>
      <c r="I1377" t="inlineStr">
        <is>
          <t>RATA-RATA UMUR TANAMAN 11 tahun</t>
        </is>
      </c>
      <c r="J1377" t="inlineStr">
        <is>
          <t>High</t>
        </is>
      </c>
      <c r="M1377" t="inlineStr">
        <is>
          <t>LLM</t>
        </is>
      </c>
      <c r="N1377" t="inlineStr">
        <is>
          <t>2026-04-18</t>
        </is>
      </c>
      <c r="O1377" t="inlineStr">
        <is>
          <t>AI</t>
        </is>
      </c>
    </row>
    <row r="1378">
      <c r="A1378" t="inlineStr">
        <is>
          <t>PT FAP Agri Tbk</t>
        </is>
      </c>
      <c r="B1378" t="inlineStr">
        <is>
          <t>FAPA_2022_AR.pdf</t>
        </is>
      </c>
      <c r="C1378" t="n">
        <v>2022</v>
      </c>
      <c r="D1378" t="inlineStr">
        <is>
          <t>Asset</t>
        </is>
      </c>
      <c r="E1378" t="inlineStr">
        <is>
          <t>North Kalimantan planted</t>
        </is>
      </c>
      <c r="F1378" t="n">
        <v>50066</v>
      </c>
      <c r="G1378" t="inlineStr">
        <is>
          <t>ha</t>
        </is>
      </c>
      <c r="H1378" t="n">
        <v>50</v>
      </c>
      <c r="I1378" t="inlineStr">
        <is>
          <t>Kalimantan Utara ... Luas Lahan Tertanam 50.066 ha</t>
        </is>
      </c>
      <c r="J1378" t="inlineStr">
        <is>
          <t>High</t>
        </is>
      </c>
      <c r="M1378" t="inlineStr">
        <is>
          <t>LLM</t>
        </is>
      </c>
      <c r="N1378" t="inlineStr">
        <is>
          <t>2026-04-18</t>
        </is>
      </c>
      <c r="O1378" t="inlineStr">
        <is>
          <t>AI</t>
        </is>
      </c>
    </row>
    <row r="1379">
      <c r="A1379" t="inlineStr">
        <is>
          <t>PT FAP Agri Tbk</t>
        </is>
      </c>
      <c r="B1379" t="inlineStr">
        <is>
          <t>FAPA_2022_AR.pdf</t>
        </is>
      </c>
      <c r="C1379" t="n">
        <v>2022</v>
      </c>
      <c r="D1379" t="inlineStr">
        <is>
          <t>Asset</t>
        </is>
      </c>
      <c r="E1379" t="inlineStr">
        <is>
          <t>East Kalimantan planted</t>
        </is>
      </c>
      <c r="F1379" t="n">
        <v>35354</v>
      </c>
      <c r="G1379" t="inlineStr">
        <is>
          <t>ha</t>
        </is>
      </c>
      <c r="H1379" t="n">
        <v>51</v>
      </c>
      <c r="I1379" t="inlineStr">
        <is>
          <t>Kalimantan Timur ... Luas Lahan Tertanam 35.354 ha</t>
        </is>
      </c>
      <c r="J1379" t="inlineStr">
        <is>
          <t>High</t>
        </is>
      </c>
      <c r="M1379" t="inlineStr">
        <is>
          <t>LLM</t>
        </is>
      </c>
      <c r="N1379" t="inlineStr">
        <is>
          <t>2026-04-18</t>
        </is>
      </c>
      <c r="O1379" t="inlineStr">
        <is>
          <t>AI</t>
        </is>
      </c>
    </row>
    <row r="1380">
      <c r="A1380" t="inlineStr">
        <is>
          <t>PT FAP Agri Tbk</t>
        </is>
      </c>
      <c r="B1380" t="inlineStr">
        <is>
          <t>FAPA_2022_AR.pdf</t>
        </is>
      </c>
      <c r="C1380" t="n">
        <v>2022</v>
      </c>
      <c r="D1380" t="inlineStr">
        <is>
          <t>Asset</t>
        </is>
      </c>
      <c r="E1380" t="inlineStr">
        <is>
          <t>Riau planted</t>
        </is>
      </c>
      <c r="F1380" t="n">
        <v>3332</v>
      </c>
      <c r="G1380" t="inlineStr">
        <is>
          <t>ha</t>
        </is>
      </c>
      <c r="H1380" t="n">
        <v>50</v>
      </c>
      <c r="I1380" t="inlineStr">
        <is>
          <t>Riau Luas Lahan Tertanam 3.332 ha</t>
        </is>
      </c>
      <c r="J1380" t="inlineStr">
        <is>
          <t>High</t>
        </is>
      </c>
      <c r="M1380" t="inlineStr">
        <is>
          <t>LLM</t>
        </is>
      </c>
      <c r="N1380" t="inlineStr">
        <is>
          <t>2026-04-18</t>
        </is>
      </c>
      <c r="O1380" t="inlineStr">
        <is>
          <t>AI</t>
        </is>
      </c>
    </row>
    <row r="1381">
      <c r="A1381" t="inlineStr">
        <is>
          <t>PT FAP Agri Tbk</t>
        </is>
      </c>
      <c r="B1381" t="inlineStr">
        <is>
          <t>FAPA_2022_AR.pdf</t>
        </is>
      </c>
      <c r="C1381" t="n">
        <v>2022</v>
      </c>
      <c r="D1381" t="inlineStr">
        <is>
          <t>Asset</t>
        </is>
      </c>
      <c r="E1381" t="inlineStr">
        <is>
          <t>POMs</t>
        </is>
      </c>
      <c r="F1381" t="n">
        <v>5</v>
      </c>
      <c r="G1381" t="inlineStr">
        <is>
          <t>mills</t>
        </is>
      </c>
      <c r="H1381" t="n">
        <v>50</v>
      </c>
      <c r="I1381" t="inlineStr">
        <is>
          <t>5 Pabrik Pengolahan Kelapa Sawit</t>
        </is>
      </c>
      <c r="J1381" t="inlineStr">
        <is>
          <t>High</t>
        </is>
      </c>
      <c r="M1381" t="inlineStr">
        <is>
          <t>LLM</t>
        </is>
      </c>
      <c r="N1381" t="inlineStr">
        <is>
          <t>2026-04-18</t>
        </is>
      </c>
      <c r="O1381" t="inlineStr">
        <is>
          <t>AI</t>
        </is>
      </c>
    </row>
    <row r="1382">
      <c r="A1382" t="inlineStr">
        <is>
          <t>PT FAP Agri Tbk</t>
        </is>
      </c>
      <c r="B1382" t="inlineStr">
        <is>
          <t>FAPA_2022_AR.pdf</t>
        </is>
      </c>
      <c r="C1382" t="n">
        <v>2022</v>
      </c>
      <c r="D1382" t="inlineStr">
        <is>
          <t>Asset</t>
        </is>
      </c>
      <c r="E1382" t="inlineStr">
        <is>
          <t>Kernel crushing plant</t>
        </is>
      </c>
      <c r="F1382" t="n">
        <v>1</v>
      </c>
      <c r="G1382" t="inlineStr">
        <is>
          <t>unit</t>
        </is>
      </c>
      <c r="H1382" t="n">
        <v>50</v>
      </c>
      <c r="I1382" t="inlineStr">
        <is>
          <t>1 Pabrik Pengolahan Inti Sawit (PPIS) 1 Kernel Crushing Plant (KCP)</t>
        </is>
      </c>
      <c r="J1382" t="inlineStr">
        <is>
          <t>High</t>
        </is>
      </c>
      <c r="M1382" t="inlineStr">
        <is>
          <t>LLM</t>
        </is>
      </c>
      <c r="N1382" t="inlineStr">
        <is>
          <t>2026-04-18</t>
        </is>
      </c>
      <c r="O1382" t="inlineStr">
        <is>
          <t>AI</t>
        </is>
      </c>
    </row>
    <row r="1383">
      <c r="A1383" t="inlineStr">
        <is>
          <t>PT FAP Agri Tbk</t>
        </is>
      </c>
      <c r="B1383" t="inlineStr">
        <is>
          <t>FAPA_2022_AR.pdf</t>
        </is>
      </c>
      <c r="C1383" t="n">
        <v>2022</v>
      </c>
      <c r="D1383" t="inlineStr">
        <is>
          <t>Asset</t>
        </is>
      </c>
      <c r="E1383" t="inlineStr">
        <is>
          <t>Plantation concessions</t>
        </is>
      </c>
      <c r="F1383" t="n">
        <v>9</v>
      </c>
      <c r="G1383" t="inlineStr">
        <is>
          <t>concessions</t>
        </is>
      </c>
      <c r="H1383" t="n">
        <v>50</v>
      </c>
      <c r="I1383" t="inlineStr">
        <is>
          <t>1 Konsesi (Riau) + 4 Konsesi (N. Kalimantan) + 4 Konsesi (E. Kalimantan)</t>
        </is>
      </c>
      <c r="J1383" t="inlineStr">
        <is>
          <t>High</t>
        </is>
      </c>
      <c r="M1383" t="inlineStr">
        <is>
          <t>LLM</t>
        </is>
      </c>
      <c r="N1383" t="inlineStr">
        <is>
          <t>2026-04-18</t>
        </is>
      </c>
      <c r="O1383" t="inlineStr">
        <is>
          <t>AI</t>
        </is>
      </c>
    </row>
    <row r="1384">
      <c r="A1384" t="inlineStr">
        <is>
          <t>PT FAP Agri Tbk</t>
        </is>
      </c>
      <c r="B1384" t="inlineStr">
        <is>
          <t>FAPA_2022_AR.pdf</t>
        </is>
      </c>
      <c r="C1384" t="n">
        <v>2022</v>
      </c>
      <c r="D1384" t="inlineStr">
        <is>
          <t>Operation</t>
        </is>
      </c>
      <c r="E1384" t="inlineStr">
        <is>
          <t>FFB production</t>
        </is>
      </c>
      <c r="F1384" t="n">
        <v>1202008</v>
      </c>
      <c r="G1384" t="inlineStr">
        <is>
          <t>tons</t>
        </is>
      </c>
      <c r="H1384" t="n">
        <v>14</v>
      </c>
      <c r="I1384" t="inlineStr">
        <is>
          <t>Produksi Tandan Buah Segar 1.202.008</t>
        </is>
      </c>
      <c r="J1384" t="inlineStr">
        <is>
          <t>High</t>
        </is>
      </c>
      <c r="M1384" t="inlineStr">
        <is>
          <t>LLM</t>
        </is>
      </c>
      <c r="N1384" t="inlineStr">
        <is>
          <t>2026-04-18</t>
        </is>
      </c>
      <c r="O1384" t="inlineStr">
        <is>
          <t>AI</t>
        </is>
      </c>
    </row>
    <row r="1385">
      <c r="A1385" t="inlineStr">
        <is>
          <t>PT FAP Agri Tbk</t>
        </is>
      </c>
      <c r="B1385" t="inlineStr">
        <is>
          <t>FAPA_2022_AR.pdf</t>
        </is>
      </c>
      <c r="C1385" t="n">
        <v>2022</v>
      </c>
      <c r="D1385" t="inlineStr">
        <is>
          <t>Operation</t>
        </is>
      </c>
      <c r="E1385" t="inlineStr">
        <is>
          <t>CPO production</t>
        </is>
      </c>
      <c r="F1385" t="n">
        <v>277058</v>
      </c>
      <c r="G1385" t="inlineStr">
        <is>
          <t>tons</t>
        </is>
      </c>
      <c r="H1385" t="n">
        <v>14</v>
      </c>
      <c r="I1385" t="inlineStr">
        <is>
          <t>Produksi Minyak Sawit Mentah 277.058</t>
        </is>
      </c>
      <c r="J1385" t="inlineStr">
        <is>
          <t>High</t>
        </is>
      </c>
      <c r="M1385" t="inlineStr">
        <is>
          <t>LLM</t>
        </is>
      </c>
      <c r="N1385" t="inlineStr">
        <is>
          <t>2026-04-18</t>
        </is>
      </c>
      <c r="O1385" t="inlineStr">
        <is>
          <t>AI</t>
        </is>
      </c>
    </row>
    <row r="1386">
      <c r="A1386" t="inlineStr">
        <is>
          <t>PT FAP Agri Tbk</t>
        </is>
      </c>
      <c r="B1386" t="inlineStr">
        <is>
          <t>FAPA_2022_AR.pdf</t>
        </is>
      </c>
      <c r="C1386" t="n">
        <v>2022</v>
      </c>
      <c r="D1386" t="inlineStr">
        <is>
          <t>Operation</t>
        </is>
      </c>
      <c r="E1386" t="inlineStr">
        <is>
          <t>Palm kernel production</t>
        </is>
      </c>
      <c r="F1386" t="n">
        <v>48192</v>
      </c>
      <c r="G1386" t="inlineStr">
        <is>
          <t>tons</t>
        </is>
      </c>
      <c r="H1386" t="n">
        <v>14</v>
      </c>
      <c r="I1386" t="inlineStr">
        <is>
          <t>Produksi Inti Sawit 48.192</t>
        </is>
      </c>
      <c r="J1386" t="inlineStr">
        <is>
          <t>High</t>
        </is>
      </c>
      <c r="M1386" t="inlineStr">
        <is>
          <t>LLM</t>
        </is>
      </c>
      <c r="N1386" t="inlineStr">
        <is>
          <t>2026-04-18</t>
        </is>
      </c>
      <c r="O1386" t="inlineStr">
        <is>
          <t>AI</t>
        </is>
      </c>
    </row>
    <row r="1387">
      <c r="A1387" t="inlineStr">
        <is>
          <t>PT FAP Agri Tbk</t>
        </is>
      </c>
      <c r="B1387" t="inlineStr">
        <is>
          <t>FAPA_2022_AR.pdf</t>
        </is>
      </c>
      <c r="C1387" t="n">
        <v>2022</v>
      </c>
      <c r="D1387" t="inlineStr">
        <is>
          <t>Operation</t>
        </is>
      </c>
      <c r="E1387" t="inlineStr">
        <is>
          <t>PKO production</t>
        </is>
      </c>
      <c r="F1387" t="n">
        <v>11106</v>
      </c>
      <c r="G1387" t="inlineStr">
        <is>
          <t>tons</t>
        </is>
      </c>
      <c r="H1387" t="n">
        <v>14</v>
      </c>
      <c r="I1387" t="inlineStr">
        <is>
          <t>Produksi Minyak Inti Sawit 11.106</t>
        </is>
      </c>
      <c r="J1387" t="inlineStr">
        <is>
          <t>High</t>
        </is>
      </c>
      <c r="M1387" t="inlineStr">
        <is>
          <t>LLM</t>
        </is>
      </c>
      <c r="N1387" t="inlineStr">
        <is>
          <t>2026-04-18</t>
        </is>
      </c>
      <c r="O1387" t="inlineStr">
        <is>
          <t>AI</t>
        </is>
      </c>
    </row>
    <row r="1388">
      <c r="A1388" t="inlineStr">
        <is>
          <t>PT FAP Agri Tbk</t>
        </is>
      </c>
      <c r="B1388" t="inlineStr">
        <is>
          <t>FAPA_2022_AR.pdf</t>
        </is>
      </c>
      <c r="C1388" t="n">
        <v>2022</v>
      </c>
      <c r="D1388" t="inlineStr">
        <is>
          <t>Operation</t>
        </is>
      </c>
      <c r="E1388" t="inlineStr">
        <is>
          <t>PKE production</t>
        </is>
      </c>
      <c r="F1388" t="n">
        <v>12433</v>
      </c>
      <c r="G1388" t="inlineStr">
        <is>
          <t>tons</t>
        </is>
      </c>
      <c r="H1388" t="n">
        <v>15</v>
      </c>
      <c r="I1388" t="inlineStr">
        <is>
          <t>Produksi Bungkil Inti Sawit 12.433</t>
        </is>
      </c>
      <c r="J1388" t="inlineStr">
        <is>
          <t>High</t>
        </is>
      </c>
      <c r="M1388" t="inlineStr">
        <is>
          <t>LLM</t>
        </is>
      </c>
      <c r="N1388" t="inlineStr">
        <is>
          <t>2026-04-18</t>
        </is>
      </c>
      <c r="O1388" t="inlineStr">
        <is>
          <t>AI</t>
        </is>
      </c>
    </row>
    <row r="1389">
      <c r="A1389" t="inlineStr">
        <is>
          <t>PT FAP Agri Tbk</t>
        </is>
      </c>
      <c r="B1389" t="inlineStr">
        <is>
          <t>FAPA_2022_AR.pdf</t>
        </is>
      </c>
      <c r="C1389" t="n">
        <v>2022</v>
      </c>
      <c r="D1389" t="inlineStr">
        <is>
          <t>Operation</t>
        </is>
      </c>
      <c r="E1389" t="inlineStr">
        <is>
          <t>FFB yield</t>
        </is>
      </c>
      <c r="F1389" t="n">
        <v>14.55</v>
      </c>
      <c r="G1389" t="inlineStr">
        <is>
          <t>tons/ha</t>
        </is>
      </c>
      <c r="H1389" t="n">
        <v>14</v>
      </c>
      <c r="I1389" t="inlineStr">
        <is>
          <t>Yield Produksi Tandan Buah Segar 14,55 ton/ha</t>
        </is>
      </c>
      <c r="J1389" t="inlineStr">
        <is>
          <t>High</t>
        </is>
      </c>
      <c r="M1389" t="inlineStr">
        <is>
          <t>LLM</t>
        </is>
      </c>
      <c r="N1389" t="inlineStr">
        <is>
          <t>2026-04-18</t>
        </is>
      </c>
      <c r="O1389" t="inlineStr">
        <is>
          <t>AI</t>
        </is>
      </c>
    </row>
    <row r="1390">
      <c r="A1390" t="inlineStr">
        <is>
          <t>PT FAP Agri Tbk</t>
        </is>
      </c>
      <c r="B1390" t="inlineStr">
        <is>
          <t>FAPA_2022_AR.pdf</t>
        </is>
      </c>
      <c r="C1390" t="n">
        <v>2022</v>
      </c>
      <c r="D1390" t="inlineStr">
        <is>
          <t>Operation</t>
        </is>
      </c>
      <c r="E1390" t="inlineStr">
        <is>
          <t>CPO yield</t>
        </is>
      </c>
      <c r="F1390" t="n">
        <v>3.35</v>
      </c>
      <c r="G1390" t="inlineStr">
        <is>
          <t>tons/ha</t>
        </is>
      </c>
      <c r="H1390" t="n">
        <v>14</v>
      </c>
      <c r="I1390" t="inlineStr">
        <is>
          <t>Yield Produksi Minyak Sawit Mentah 3,35 ton/ha</t>
        </is>
      </c>
      <c r="J1390" t="inlineStr">
        <is>
          <t>High</t>
        </is>
      </c>
      <c r="M1390" t="inlineStr">
        <is>
          <t>LLM</t>
        </is>
      </c>
      <c r="N1390" t="inlineStr">
        <is>
          <t>2026-04-18</t>
        </is>
      </c>
      <c r="O1390" t="inlineStr">
        <is>
          <t>AI</t>
        </is>
      </c>
    </row>
    <row r="1391">
      <c r="A1391" t="inlineStr">
        <is>
          <t>PT FAP Agri Tbk</t>
        </is>
      </c>
      <c r="B1391" t="inlineStr">
        <is>
          <t>FAPA_2022_AR.pdf</t>
        </is>
      </c>
      <c r="C1391" t="n">
        <v>2022</v>
      </c>
      <c r="D1391" t="inlineStr">
        <is>
          <t>Operation</t>
        </is>
      </c>
      <c r="E1391" t="inlineStr">
        <is>
          <t>FFB sales</t>
        </is>
      </c>
      <c r="F1391" t="n">
        <v>303021</v>
      </c>
      <c r="G1391" t="inlineStr">
        <is>
          <t>tons</t>
        </is>
      </c>
      <c r="H1391" t="n">
        <v>14</v>
      </c>
      <c r="I1391" t="inlineStr">
        <is>
          <t>Penjualan Tandan Buah Segar 303.021</t>
        </is>
      </c>
      <c r="J1391" t="inlineStr">
        <is>
          <t>High</t>
        </is>
      </c>
      <c r="M1391" t="inlineStr">
        <is>
          <t>LLM</t>
        </is>
      </c>
      <c r="N1391" t="inlineStr">
        <is>
          <t>2026-04-18</t>
        </is>
      </c>
      <c r="O1391" t="inlineStr">
        <is>
          <t>AI</t>
        </is>
      </c>
    </row>
    <row r="1392">
      <c r="A1392" t="inlineStr">
        <is>
          <t>PT FAP Agri Tbk</t>
        </is>
      </c>
      <c r="B1392" t="inlineStr">
        <is>
          <t>FAPA_2022_AR.pdf</t>
        </is>
      </c>
      <c r="C1392" t="n">
        <v>2022</v>
      </c>
      <c r="D1392" t="inlineStr">
        <is>
          <t>Operation</t>
        </is>
      </c>
      <c r="E1392" t="inlineStr">
        <is>
          <t>CPO sales</t>
        </is>
      </c>
      <c r="F1392" t="n">
        <v>290111</v>
      </c>
      <c r="G1392" t="inlineStr">
        <is>
          <t>tons</t>
        </is>
      </c>
      <c r="H1392" t="n">
        <v>15</v>
      </c>
      <c r="I1392" t="inlineStr">
        <is>
          <t>Penjualan Minyak Sawit Mentah 290.111</t>
        </is>
      </c>
      <c r="J1392" t="inlineStr">
        <is>
          <t>High</t>
        </is>
      </c>
      <c r="M1392" t="inlineStr">
        <is>
          <t>LLM</t>
        </is>
      </c>
      <c r="N1392" t="inlineStr">
        <is>
          <t>2026-04-18</t>
        </is>
      </c>
      <c r="O1392" t="inlineStr">
        <is>
          <t>AI</t>
        </is>
      </c>
    </row>
    <row r="1393">
      <c r="A1393" t="inlineStr">
        <is>
          <t>PT FAP Agri Tbk</t>
        </is>
      </c>
      <c r="B1393" t="inlineStr">
        <is>
          <t>FAPA_2022_AR.pdf</t>
        </is>
      </c>
      <c r="C1393" t="n">
        <v>2022</v>
      </c>
      <c r="D1393" t="inlineStr">
        <is>
          <t>Operation</t>
        </is>
      </c>
      <c r="E1393" t="inlineStr">
        <is>
          <t>PK sales</t>
        </is>
      </c>
      <c r="F1393" t="n">
        <v>35032</v>
      </c>
      <c r="G1393" t="inlineStr">
        <is>
          <t>tons</t>
        </is>
      </c>
      <c r="H1393" t="n">
        <v>15</v>
      </c>
      <c r="I1393" t="inlineStr">
        <is>
          <t>Penjualan Inti Sawit 35.032</t>
        </is>
      </c>
      <c r="J1393" t="inlineStr">
        <is>
          <t>High</t>
        </is>
      </c>
      <c r="M1393" t="inlineStr">
        <is>
          <t>LLM</t>
        </is>
      </c>
      <c r="N1393" t="inlineStr">
        <is>
          <t>2026-04-18</t>
        </is>
      </c>
      <c r="O1393" t="inlineStr">
        <is>
          <t>AI</t>
        </is>
      </c>
    </row>
    <row r="1394">
      <c r="A1394" t="inlineStr">
        <is>
          <t>PT FAP Agri Tbk</t>
        </is>
      </c>
      <c r="B1394" t="inlineStr">
        <is>
          <t>FAPA_2022_AR.pdf</t>
        </is>
      </c>
      <c r="C1394" t="n">
        <v>2022</v>
      </c>
      <c r="D1394" t="inlineStr">
        <is>
          <t>Operation</t>
        </is>
      </c>
      <c r="E1394" t="inlineStr">
        <is>
          <t>PKO sales</t>
        </is>
      </c>
      <c r="F1394" t="n">
        <v>12209</v>
      </c>
      <c r="G1394" t="inlineStr">
        <is>
          <t>tons</t>
        </is>
      </c>
      <c r="H1394" t="n">
        <v>15</v>
      </c>
      <c r="I1394" t="inlineStr">
        <is>
          <t>Penjualan Minyak Inti Sawit 12.209</t>
        </is>
      </c>
      <c r="J1394" t="inlineStr">
        <is>
          <t>High</t>
        </is>
      </c>
      <c r="M1394" t="inlineStr">
        <is>
          <t>LLM</t>
        </is>
      </c>
      <c r="N1394" t="inlineStr">
        <is>
          <t>2026-04-18</t>
        </is>
      </c>
      <c r="O1394" t="inlineStr">
        <is>
          <t>AI</t>
        </is>
      </c>
    </row>
    <row r="1395">
      <c r="A1395" t="inlineStr">
        <is>
          <t>PT FAP Agri Tbk</t>
        </is>
      </c>
      <c r="B1395" t="inlineStr">
        <is>
          <t>FAPA_2022_AR.pdf</t>
        </is>
      </c>
      <c r="C1395" t="n">
        <v>2022</v>
      </c>
      <c r="D1395" t="inlineStr">
        <is>
          <t>Operation</t>
        </is>
      </c>
      <c r="E1395" t="inlineStr">
        <is>
          <t>PKE sales</t>
        </is>
      </c>
      <c r="F1395" t="n">
        <v>14859</v>
      </c>
      <c r="G1395" t="inlineStr">
        <is>
          <t>tons</t>
        </is>
      </c>
      <c r="H1395" t="n">
        <v>15</v>
      </c>
      <c r="I1395" t="inlineStr">
        <is>
          <t>Penjualan Bungkil Inti Sawit 14.859</t>
        </is>
      </c>
      <c r="J1395" t="inlineStr">
        <is>
          <t>High</t>
        </is>
      </c>
      <c r="M1395" t="inlineStr">
        <is>
          <t>LLM</t>
        </is>
      </c>
      <c r="N1395" t="inlineStr">
        <is>
          <t>2026-04-18</t>
        </is>
      </c>
      <c r="O1395" t="inlineStr">
        <is>
          <t>AI</t>
        </is>
      </c>
    </row>
    <row r="1396">
      <c r="A1396" t="inlineStr">
        <is>
          <t>PT FAP Agri Tbk</t>
        </is>
      </c>
      <c r="B1396" t="inlineStr">
        <is>
          <t>FAPA_2022_AR.pdf</t>
        </is>
      </c>
      <c r="C1396" t="n">
        <v>2022</v>
      </c>
      <c r="D1396" t="inlineStr">
        <is>
          <t>ESG</t>
        </is>
      </c>
      <c r="E1396" t="inlineStr">
        <is>
          <t>NDPE policy year</t>
        </is>
      </c>
      <c r="F1396" t="n">
        <v>2019</v>
      </c>
      <c r="G1396" t="inlineStr">
        <is>
          <t>year</t>
        </is>
      </c>
      <c r="H1396" t="n">
        <v>46</v>
      </c>
      <c r="I1396" t="inlineStr">
        <is>
          <t>Grup FAP Agri menerbitkan kebijakan dan komitmen No Deforestation, No Peat, &amp; No Exploitation (NDPE)</t>
        </is>
      </c>
      <c r="J1396" t="inlineStr">
        <is>
          <t>High</t>
        </is>
      </c>
      <c r="M1396" t="inlineStr">
        <is>
          <t>LLM</t>
        </is>
      </c>
      <c r="N1396" t="inlineStr">
        <is>
          <t>2026-04-18</t>
        </is>
      </c>
      <c r="O1396" t="inlineStr">
        <is>
          <t>AI</t>
        </is>
      </c>
    </row>
    <row r="1397">
      <c r="A1397" t="inlineStr">
        <is>
          <t>PT FAP Agri Tbk</t>
        </is>
      </c>
      <c r="B1397" t="inlineStr">
        <is>
          <t>FAPA_2022_AR.pdf</t>
        </is>
      </c>
      <c r="C1397" t="n">
        <v>2022</v>
      </c>
      <c r="D1397" t="inlineStr">
        <is>
          <t>ESG</t>
        </is>
      </c>
      <c r="E1397" t="inlineStr">
        <is>
          <t>ISPO certified subsidiaries</t>
        </is>
      </c>
      <c r="F1397" t="n">
        <v>3</v>
      </c>
      <c r="G1397" t="inlineStr">
        <is>
          <t>subsidiaries</t>
        </is>
      </c>
      <c r="H1397" t="n">
        <v>18</v>
      </c>
      <c r="I1397" t="inlineStr">
        <is>
          <t>ISPO certifications for KHL, BSI, Tirta Madu Sawit Jaya</t>
        </is>
      </c>
      <c r="J1397" t="inlineStr">
        <is>
          <t>High</t>
        </is>
      </c>
      <c r="M1397" t="inlineStr">
        <is>
          <t>LLM</t>
        </is>
      </c>
      <c r="N1397" t="inlineStr">
        <is>
          <t>2026-04-18</t>
        </is>
      </c>
      <c r="O1397" t="inlineStr">
        <is>
          <t>AI</t>
        </is>
      </c>
    </row>
    <row r="1398">
      <c r="A1398" t="inlineStr">
        <is>
          <t>PT FAP Agri Tbk</t>
        </is>
      </c>
      <c r="B1398" t="inlineStr">
        <is>
          <t>FAPA_2023_AR.pdf</t>
        </is>
      </c>
      <c r="C1398" t="n">
        <v>2023</v>
      </c>
      <c r="D1398" t="inlineStr">
        <is>
          <t>Company</t>
        </is>
      </c>
      <c r="E1398" t="inlineStr">
        <is>
          <t>Company name</t>
        </is>
      </c>
      <c r="F1398" t="inlineStr">
        <is>
          <t>PT FAP Agri Tbk</t>
        </is>
      </c>
      <c r="G1398" t="inlineStr">
        <is>
          <t>-</t>
        </is>
      </c>
      <c r="H1398" t="n">
        <v>1</v>
      </c>
      <c r="I1398" t="inlineStr">
        <is>
          <t>PT FAP Agri Tbk</t>
        </is>
      </c>
      <c r="J1398" t="inlineStr">
        <is>
          <t>High</t>
        </is>
      </c>
      <c r="M1398" t="inlineStr">
        <is>
          <t>LLM</t>
        </is>
      </c>
      <c r="N1398" t="inlineStr">
        <is>
          <t>2026-04-18</t>
        </is>
      </c>
      <c r="O1398" t="inlineStr">
        <is>
          <t>AI</t>
        </is>
      </c>
    </row>
    <row r="1399">
      <c r="A1399" t="inlineStr">
        <is>
          <t>PT FAP Agri Tbk</t>
        </is>
      </c>
      <c r="B1399" t="inlineStr">
        <is>
          <t>FAPA_2023_AR.pdf</t>
        </is>
      </c>
      <c r="C1399" t="n">
        <v>2023</v>
      </c>
      <c r="D1399" t="inlineStr">
        <is>
          <t>Company</t>
        </is>
      </c>
      <c r="E1399" t="inlineStr">
        <is>
          <t>Prinsep Management Ltd stake (year-end)</t>
        </is>
      </c>
      <c r="F1399" t="n">
        <v>0.7579</v>
      </c>
      <c r="G1399" t="inlineStr">
        <is>
          <t>decimal</t>
        </is>
      </c>
      <c r="H1399" t="n">
        <v>68</v>
      </c>
      <c r="I1399" t="inlineStr">
        <is>
          <t>Prinsep Management Ltd. 2.750.844.330 75,79%</t>
        </is>
      </c>
      <c r="J1399" t="inlineStr">
        <is>
          <t>High</t>
        </is>
      </c>
      <c r="M1399" t="inlineStr">
        <is>
          <t>LLM</t>
        </is>
      </c>
      <c r="N1399" t="inlineStr">
        <is>
          <t>2026-04-18</t>
        </is>
      </c>
      <c r="O1399" t="inlineStr">
        <is>
          <t>AI</t>
        </is>
      </c>
    </row>
    <row r="1400">
      <c r="A1400" t="inlineStr">
        <is>
          <t>PT FAP Agri Tbk</t>
        </is>
      </c>
      <c r="B1400" t="inlineStr">
        <is>
          <t>FAPA_2023_AR.pdf</t>
        </is>
      </c>
      <c r="C1400" t="n">
        <v>2023</v>
      </c>
      <c r="D1400" t="inlineStr">
        <is>
          <t>Company</t>
        </is>
      </c>
      <c r="E1400" t="inlineStr">
        <is>
          <t>PT Fangionoperkasa stake (year-end)</t>
        </is>
      </c>
      <c r="F1400" t="n">
        <v>0.0659</v>
      </c>
      <c r="G1400" t="inlineStr">
        <is>
          <t>decimal</t>
        </is>
      </c>
      <c r="H1400" t="n">
        <v>68</v>
      </c>
      <c r="I1400" t="inlineStr">
        <is>
          <t>75,79% 6,59% 17,62%</t>
        </is>
      </c>
      <c r="J1400" t="inlineStr">
        <is>
          <t>High</t>
        </is>
      </c>
      <c r="M1400" t="inlineStr">
        <is>
          <t>LLM</t>
        </is>
      </c>
      <c r="N1400" t="inlineStr">
        <is>
          <t>2026-04-18</t>
        </is>
      </c>
      <c r="O1400" t="inlineStr">
        <is>
          <t>AI</t>
        </is>
      </c>
    </row>
    <row r="1401">
      <c r="A1401" t="inlineStr">
        <is>
          <t>PT FAP Agri Tbk</t>
        </is>
      </c>
      <c r="B1401" t="inlineStr">
        <is>
          <t>FAPA_2023_AR.pdf</t>
        </is>
      </c>
      <c r="C1401" t="n">
        <v>2023</v>
      </c>
      <c r="D1401" t="inlineStr">
        <is>
          <t>Company</t>
        </is>
      </c>
      <c r="E1401" t="inlineStr">
        <is>
          <t>Public float (year-end)</t>
        </is>
      </c>
      <c r="F1401" t="n">
        <v>0.1762</v>
      </c>
      <c r="G1401" t="inlineStr">
        <is>
          <t>decimal</t>
        </is>
      </c>
      <c r="H1401" t="n">
        <v>68</v>
      </c>
      <c r="I1401" t="inlineStr">
        <is>
          <t>17,62% Masyarakat</t>
        </is>
      </c>
      <c r="J1401" t="inlineStr">
        <is>
          <t>High</t>
        </is>
      </c>
      <c r="M1401" t="inlineStr">
        <is>
          <t>LLM</t>
        </is>
      </c>
      <c r="N1401" t="inlineStr">
        <is>
          <t>2026-04-18</t>
        </is>
      </c>
      <c r="O1401" t="inlineStr">
        <is>
          <t>AI</t>
        </is>
      </c>
    </row>
    <row r="1402">
      <c r="A1402" t="inlineStr">
        <is>
          <t>PT FAP Agri Tbk</t>
        </is>
      </c>
      <c r="B1402" t="inlineStr">
        <is>
          <t>FAPA_2023_AR.pdf</t>
        </is>
      </c>
      <c r="C1402" t="n">
        <v>2023</v>
      </c>
      <c r="D1402" t="inlineStr">
        <is>
          <t>Company</t>
        </is>
      </c>
      <c r="E1402" t="inlineStr">
        <is>
          <t>Shares outstanding</t>
        </is>
      </c>
      <c r="F1402" t="n">
        <v>3629411800</v>
      </c>
      <c r="G1402" t="inlineStr">
        <is>
          <t>shares</t>
        </is>
      </c>
      <c r="H1402" t="n">
        <v>199</v>
      </c>
      <c r="I1402" t="inlineStr">
        <is>
          <t>3.629.411.800 saham</t>
        </is>
      </c>
      <c r="J1402" t="inlineStr">
        <is>
          <t>High</t>
        </is>
      </c>
      <c r="M1402" t="inlineStr">
        <is>
          <t>LLM</t>
        </is>
      </c>
      <c r="N1402" t="inlineStr">
        <is>
          <t>2026-04-18</t>
        </is>
      </c>
      <c r="O1402" t="inlineStr">
        <is>
          <t>AI</t>
        </is>
      </c>
    </row>
    <row r="1403">
      <c r="A1403" t="inlineStr">
        <is>
          <t>PT FAP Agri Tbk</t>
        </is>
      </c>
      <c r="B1403" t="inlineStr">
        <is>
          <t>FAPA_2023_AR.pdf</t>
        </is>
      </c>
      <c r="C1403" t="n">
        <v>2023</v>
      </c>
      <c r="D1403" t="inlineStr">
        <is>
          <t>Financial</t>
        </is>
      </c>
      <c r="E1403" t="inlineStr">
        <is>
          <t>Net sales</t>
        </is>
      </c>
      <c r="F1403" t="n">
        <v>5062.244</v>
      </c>
      <c r="G1403" t="inlineStr">
        <is>
          <t>IDR bn</t>
        </is>
      </c>
      <c r="H1403" t="n">
        <v>10</v>
      </c>
      <c r="I1403" t="inlineStr">
        <is>
          <t>Penjualan Neto 5.062.244</t>
        </is>
      </c>
      <c r="J1403" t="inlineStr">
        <is>
          <t>High</t>
        </is>
      </c>
      <c r="M1403" t="inlineStr">
        <is>
          <t>LLM</t>
        </is>
      </c>
      <c r="N1403" t="inlineStr">
        <is>
          <t>2026-04-18</t>
        </is>
      </c>
      <c r="O1403" t="inlineStr">
        <is>
          <t>AI</t>
        </is>
      </c>
    </row>
    <row r="1404">
      <c r="A1404" t="inlineStr">
        <is>
          <t>PT FAP Agri Tbk</t>
        </is>
      </c>
      <c r="B1404" t="inlineStr">
        <is>
          <t>FAPA_2023_AR.pdf</t>
        </is>
      </c>
      <c r="C1404" t="n">
        <v>2023</v>
      </c>
      <c r="D1404" t="inlineStr">
        <is>
          <t>Financial</t>
        </is>
      </c>
      <c r="E1404" t="inlineStr">
        <is>
          <t>COGS</t>
        </is>
      </c>
      <c r="F1404" t="n">
        <v>4229.33</v>
      </c>
      <c r="G1404" t="inlineStr">
        <is>
          <t>IDR bn</t>
        </is>
      </c>
      <c r="H1404" t="n">
        <v>10</v>
      </c>
      <c r="I1404" t="inlineStr">
        <is>
          <t>Beban Pokok Penjualan (4.229.330)</t>
        </is>
      </c>
      <c r="J1404" t="inlineStr">
        <is>
          <t>High</t>
        </is>
      </c>
      <c r="M1404" t="inlineStr">
        <is>
          <t>LLM</t>
        </is>
      </c>
      <c r="N1404" t="inlineStr">
        <is>
          <t>2026-04-18</t>
        </is>
      </c>
      <c r="O1404" t="inlineStr">
        <is>
          <t>AI</t>
        </is>
      </c>
    </row>
    <row r="1405">
      <c r="A1405" t="inlineStr">
        <is>
          <t>PT FAP Agri Tbk</t>
        </is>
      </c>
      <c r="B1405" t="inlineStr">
        <is>
          <t>FAPA_2023_AR.pdf</t>
        </is>
      </c>
      <c r="C1405" t="n">
        <v>2023</v>
      </c>
      <c r="D1405" t="inlineStr">
        <is>
          <t>Financial</t>
        </is>
      </c>
      <c r="E1405" t="inlineStr">
        <is>
          <t>Gross profit</t>
        </is>
      </c>
      <c r="F1405" t="n">
        <v>832.914</v>
      </c>
      <c r="G1405" t="inlineStr">
        <is>
          <t>IDR bn</t>
        </is>
      </c>
      <c r="H1405" t="n">
        <v>10</v>
      </c>
      <c r="I1405" t="inlineStr">
        <is>
          <t>Laba Bruto 832.914</t>
        </is>
      </c>
      <c r="J1405" t="inlineStr">
        <is>
          <t>High</t>
        </is>
      </c>
      <c r="M1405" t="inlineStr">
        <is>
          <t>LLM</t>
        </is>
      </c>
      <c r="N1405" t="inlineStr">
        <is>
          <t>2026-04-18</t>
        </is>
      </c>
      <c r="O1405" t="inlineStr">
        <is>
          <t>AI</t>
        </is>
      </c>
    </row>
    <row r="1406">
      <c r="A1406" t="inlineStr">
        <is>
          <t>PT FAP Agri Tbk</t>
        </is>
      </c>
      <c r="B1406" t="inlineStr">
        <is>
          <t>FAPA_2023_AR.pdf</t>
        </is>
      </c>
      <c r="C1406" t="n">
        <v>2023</v>
      </c>
      <c r="D1406" t="inlineStr">
        <is>
          <t>Financial</t>
        </is>
      </c>
      <c r="E1406" t="inlineStr">
        <is>
          <t>Operating profit</t>
        </is>
      </c>
      <c r="F1406" t="n">
        <v>379.319</v>
      </c>
      <c r="G1406" t="inlineStr">
        <is>
          <t>IDR bn</t>
        </is>
      </c>
      <c r="H1406" t="n">
        <v>10</v>
      </c>
      <c r="I1406" t="inlineStr">
        <is>
          <t>Laba (Rugi) Usaha 379.319</t>
        </is>
      </c>
      <c r="J1406" t="inlineStr">
        <is>
          <t>High</t>
        </is>
      </c>
      <c r="M1406" t="inlineStr">
        <is>
          <t>LLM</t>
        </is>
      </c>
      <c r="N1406" t="inlineStr">
        <is>
          <t>2026-04-18</t>
        </is>
      </c>
      <c r="O1406" t="inlineStr">
        <is>
          <t>AI</t>
        </is>
      </c>
    </row>
    <row r="1407">
      <c r="A1407" t="inlineStr">
        <is>
          <t>PT FAP Agri Tbk</t>
        </is>
      </c>
      <c r="B1407" t="inlineStr">
        <is>
          <t>FAPA_2023_AR.pdf</t>
        </is>
      </c>
      <c r="C1407" t="n">
        <v>2023</v>
      </c>
      <c r="D1407" t="inlineStr">
        <is>
          <t>Financial</t>
        </is>
      </c>
      <c r="E1407" t="inlineStr">
        <is>
          <t>Profit before tax</t>
        </is>
      </c>
      <c r="F1407" t="n">
        <v>249.852</v>
      </c>
      <c r="G1407" t="inlineStr">
        <is>
          <t>IDR bn</t>
        </is>
      </c>
      <c r="H1407" t="n">
        <v>10</v>
      </c>
      <c r="I1407" t="inlineStr">
        <is>
          <t>Laba (Rugi) Sebelum Pajak Penghasilan 249.852</t>
        </is>
      </c>
      <c r="J1407" t="inlineStr">
        <is>
          <t>High</t>
        </is>
      </c>
      <c r="M1407" t="inlineStr">
        <is>
          <t>LLM</t>
        </is>
      </c>
      <c r="N1407" t="inlineStr">
        <is>
          <t>2026-04-18</t>
        </is>
      </c>
      <c r="O1407" t="inlineStr">
        <is>
          <t>AI</t>
        </is>
      </c>
    </row>
    <row r="1408">
      <c r="A1408" t="inlineStr">
        <is>
          <t>PT FAP Agri Tbk</t>
        </is>
      </c>
      <c r="B1408" t="inlineStr">
        <is>
          <t>FAPA_2023_AR.pdf</t>
        </is>
      </c>
      <c r="C1408" t="n">
        <v>2023</v>
      </c>
      <c r="D1408" t="inlineStr">
        <is>
          <t>Financial</t>
        </is>
      </c>
      <c r="E1408" t="inlineStr">
        <is>
          <t>Net profit</t>
        </is>
      </c>
      <c r="F1408" t="n">
        <v>161.679</v>
      </c>
      <c r="G1408" t="inlineStr">
        <is>
          <t>IDR bn</t>
        </is>
      </c>
      <c r="H1408" t="n">
        <v>10</v>
      </c>
      <c r="I1408" t="inlineStr">
        <is>
          <t>Laba (Rugi) Bersih Tahun Berjalan 161.679</t>
        </is>
      </c>
      <c r="J1408" t="inlineStr">
        <is>
          <t>High</t>
        </is>
      </c>
      <c r="M1408" t="inlineStr">
        <is>
          <t>LLM</t>
        </is>
      </c>
      <c r="N1408" t="inlineStr">
        <is>
          <t>2026-04-18</t>
        </is>
      </c>
      <c r="O1408" t="inlineStr">
        <is>
          <t>AI</t>
        </is>
      </c>
    </row>
    <row r="1409">
      <c r="A1409" t="inlineStr">
        <is>
          <t>PT FAP Agri Tbk</t>
        </is>
      </c>
      <c r="B1409" t="inlineStr">
        <is>
          <t>FAPA_2023_AR.pdf</t>
        </is>
      </c>
      <c r="C1409" t="n">
        <v>2023</v>
      </c>
      <c r="D1409" t="inlineStr">
        <is>
          <t>Financial</t>
        </is>
      </c>
      <c r="E1409" t="inlineStr">
        <is>
          <t>Profit attributable to parent</t>
        </is>
      </c>
      <c r="F1409" t="n">
        <v>153.571</v>
      </c>
      <c r="G1409" t="inlineStr">
        <is>
          <t>IDR bn</t>
        </is>
      </c>
      <c r="H1409" t="n">
        <v>10</v>
      </c>
      <c r="I1409" t="inlineStr">
        <is>
          <t>Pemilik Entitas Induk 153.571</t>
        </is>
      </c>
      <c r="J1409" t="inlineStr">
        <is>
          <t>High</t>
        </is>
      </c>
      <c r="M1409" t="inlineStr">
        <is>
          <t>LLM</t>
        </is>
      </c>
      <c r="N1409" t="inlineStr">
        <is>
          <t>2026-04-18</t>
        </is>
      </c>
      <c r="O1409" t="inlineStr">
        <is>
          <t>AI</t>
        </is>
      </c>
    </row>
    <row r="1410">
      <c r="A1410" t="inlineStr">
        <is>
          <t>PT FAP Agri Tbk</t>
        </is>
      </c>
      <c r="B1410" t="inlineStr">
        <is>
          <t>FAPA_2023_AR.pdf</t>
        </is>
      </c>
      <c r="C1410" t="n">
        <v>2023</v>
      </c>
      <c r="D1410" t="inlineStr">
        <is>
          <t>Financial</t>
        </is>
      </c>
      <c r="E1410" t="inlineStr">
        <is>
          <t>EPS</t>
        </is>
      </c>
      <c r="F1410" t="n">
        <v>42.31</v>
      </c>
      <c r="G1410" t="inlineStr">
        <is>
          <t>IDR/share</t>
        </is>
      </c>
      <c r="H1410" t="n">
        <v>10</v>
      </c>
      <c r="I1410" t="inlineStr">
        <is>
          <t>Laba (Rugi) Per Saham Dasar 42,31</t>
        </is>
      </c>
      <c r="J1410" t="inlineStr">
        <is>
          <t>High</t>
        </is>
      </c>
      <c r="M1410" t="inlineStr">
        <is>
          <t>LLM</t>
        </is>
      </c>
      <c r="N1410" t="inlineStr">
        <is>
          <t>2026-04-18</t>
        </is>
      </c>
      <c r="O1410" t="inlineStr">
        <is>
          <t>AI</t>
        </is>
      </c>
    </row>
    <row r="1411">
      <c r="A1411" t="inlineStr">
        <is>
          <t>PT FAP Agri Tbk</t>
        </is>
      </c>
      <c r="B1411" t="inlineStr">
        <is>
          <t>FAPA_2023_AR.pdf</t>
        </is>
      </c>
      <c r="C1411" t="n">
        <v>2023</v>
      </c>
      <c r="D1411" t="inlineStr">
        <is>
          <t>Financial</t>
        </is>
      </c>
      <c r="E1411" t="inlineStr">
        <is>
          <t>Total assets</t>
        </is>
      </c>
      <c r="F1411" t="n">
        <v>8634.035</v>
      </c>
      <c r="G1411" t="inlineStr">
        <is>
          <t>IDR bn</t>
        </is>
      </c>
      <c r="H1411" t="n">
        <v>11</v>
      </c>
      <c r="I1411" t="inlineStr">
        <is>
          <t>Jumlah Aset 8.634.036</t>
        </is>
      </c>
      <c r="J1411" t="inlineStr">
        <is>
          <t>High</t>
        </is>
      </c>
      <c r="M1411" t="inlineStr">
        <is>
          <t>LLM</t>
        </is>
      </c>
      <c r="N1411" t="inlineStr">
        <is>
          <t>2026-04-18</t>
        </is>
      </c>
      <c r="O1411" t="inlineStr">
        <is>
          <t>AI</t>
        </is>
      </c>
    </row>
    <row r="1412">
      <c r="A1412" t="inlineStr">
        <is>
          <t>PT FAP Agri Tbk</t>
        </is>
      </c>
      <c r="B1412" t="inlineStr">
        <is>
          <t>FAPA_2023_AR.pdf</t>
        </is>
      </c>
      <c r="C1412" t="n">
        <v>2023</v>
      </c>
      <c r="D1412" t="inlineStr">
        <is>
          <t>Financial</t>
        </is>
      </c>
      <c r="E1412" t="inlineStr">
        <is>
          <t>Current assets</t>
        </is>
      </c>
      <c r="F1412" t="n">
        <v>1800.279</v>
      </c>
      <c r="G1412" t="inlineStr">
        <is>
          <t>IDR bn</t>
        </is>
      </c>
      <c r="H1412" t="n">
        <v>11</v>
      </c>
      <c r="I1412" t="inlineStr">
        <is>
          <t>Aset Lancar 1.800.279</t>
        </is>
      </c>
      <c r="J1412" t="inlineStr">
        <is>
          <t>High</t>
        </is>
      </c>
      <c r="M1412" t="inlineStr">
        <is>
          <t>LLM</t>
        </is>
      </c>
      <c r="N1412" t="inlineStr">
        <is>
          <t>2026-04-18</t>
        </is>
      </c>
      <c r="O1412" t="inlineStr">
        <is>
          <t>AI</t>
        </is>
      </c>
    </row>
    <row r="1413">
      <c r="A1413" t="inlineStr">
        <is>
          <t>PT FAP Agri Tbk</t>
        </is>
      </c>
      <c r="B1413" t="inlineStr">
        <is>
          <t>FAPA_2023_AR.pdf</t>
        </is>
      </c>
      <c r="C1413" t="n">
        <v>2023</v>
      </c>
      <c r="D1413" t="inlineStr">
        <is>
          <t>Financial</t>
        </is>
      </c>
      <c r="E1413" t="inlineStr">
        <is>
          <t>Non-current assets</t>
        </is>
      </c>
      <c r="F1413" t="n">
        <v>6833.757</v>
      </c>
      <c r="G1413" t="inlineStr">
        <is>
          <t>IDR bn</t>
        </is>
      </c>
      <c r="H1413" t="n">
        <v>11</v>
      </c>
      <c r="I1413" t="inlineStr">
        <is>
          <t>Aset Tidak Lancar 6.833.757</t>
        </is>
      </c>
      <c r="J1413" t="inlineStr">
        <is>
          <t>High</t>
        </is>
      </c>
      <c r="M1413" t="inlineStr">
        <is>
          <t>LLM</t>
        </is>
      </c>
      <c r="N1413" t="inlineStr">
        <is>
          <t>2026-04-18</t>
        </is>
      </c>
      <c r="O1413" t="inlineStr">
        <is>
          <t>AI</t>
        </is>
      </c>
    </row>
    <row r="1414">
      <c r="A1414" t="inlineStr">
        <is>
          <t>PT FAP Agri Tbk</t>
        </is>
      </c>
      <c r="B1414" t="inlineStr">
        <is>
          <t>FAPA_2023_AR.pdf</t>
        </is>
      </c>
      <c r="C1414" t="n">
        <v>2023</v>
      </c>
      <c r="D1414" t="inlineStr">
        <is>
          <t>Financial</t>
        </is>
      </c>
      <c r="E1414" t="inlineStr">
        <is>
          <t>Current liabilities</t>
        </is>
      </c>
      <c r="F1414" t="n">
        <v>2594.225</v>
      </c>
      <c r="G1414" t="inlineStr">
        <is>
          <t>IDR bn</t>
        </is>
      </c>
      <c r="H1414" t="n">
        <v>11</v>
      </c>
      <c r="I1414" t="inlineStr">
        <is>
          <t>Liabilitas Jangka Pendek 2.594.225</t>
        </is>
      </c>
      <c r="J1414" t="inlineStr">
        <is>
          <t>High</t>
        </is>
      </c>
      <c r="M1414" t="inlineStr">
        <is>
          <t>LLM</t>
        </is>
      </c>
      <c r="N1414" t="inlineStr">
        <is>
          <t>2026-04-18</t>
        </is>
      </c>
      <c r="O1414" t="inlineStr">
        <is>
          <t>AI</t>
        </is>
      </c>
    </row>
    <row r="1415">
      <c r="A1415" t="inlineStr">
        <is>
          <t>PT FAP Agri Tbk</t>
        </is>
      </c>
      <c r="B1415" t="inlineStr">
        <is>
          <t>FAPA_2023_AR.pdf</t>
        </is>
      </c>
      <c r="C1415" t="n">
        <v>2023</v>
      </c>
      <c r="D1415" t="inlineStr">
        <is>
          <t>Financial</t>
        </is>
      </c>
      <c r="E1415" t="inlineStr">
        <is>
          <t>Non-current liabilities</t>
        </is>
      </c>
      <c r="F1415" t="n">
        <v>1976.162</v>
      </c>
      <c r="G1415" t="inlineStr">
        <is>
          <t>IDR bn</t>
        </is>
      </c>
      <c r="H1415" t="n">
        <v>11</v>
      </c>
      <c r="I1415" t="inlineStr">
        <is>
          <t>Liabilitas Jangka Panjang 1.976.162</t>
        </is>
      </c>
      <c r="J1415" t="inlineStr">
        <is>
          <t>High</t>
        </is>
      </c>
      <c r="M1415" t="inlineStr">
        <is>
          <t>LLM</t>
        </is>
      </c>
      <c r="N1415" t="inlineStr">
        <is>
          <t>2026-04-18</t>
        </is>
      </c>
      <c r="O1415" t="inlineStr">
        <is>
          <t>AI</t>
        </is>
      </c>
    </row>
    <row r="1416">
      <c r="A1416" t="inlineStr">
        <is>
          <t>PT FAP Agri Tbk</t>
        </is>
      </c>
      <c r="B1416" t="inlineStr">
        <is>
          <t>FAPA_2023_AR.pdf</t>
        </is>
      </c>
      <c r="C1416" t="n">
        <v>2023</v>
      </c>
      <c r="D1416" t="inlineStr">
        <is>
          <t>Financial</t>
        </is>
      </c>
      <c r="E1416" t="inlineStr">
        <is>
          <t>Total liabilities</t>
        </is>
      </c>
      <c r="F1416" t="n">
        <v>4570.386</v>
      </c>
      <c r="G1416" t="inlineStr">
        <is>
          <t>IDR bn</t>
        </is>
      </c>
      <c r="H1416" t="n">
        <v>11</v>
      </c>
      <c r="I1416" t="inlineStr">
        <is>
          <t>Jumlah Liabilitas 4.570.386</t>
        </is>
      </c>
      <c r="J1416" t="inlineStr">
        <is>
          <t>High</t>
        </is>
      </c>
      <c r="M1416" t="inlineStr">
        <is>
          <t>LLM</t>
        </is>
      </c>
      <c r="N1416" t="inlineStr">
        <is>
          <t>2026-04-18</t>
        </is>
      </c>
      <c r="O1416" t="inlineStr">
        <is>
          <t>AI</t>
        </is>
      </c>
    </row>
    <row r="1417">
      <c r="A1417" t="inlineStr">
        <is>
          <t>PT FAP Agri Tbk</t>
        </is>
      </c>
      <c r="B1417" t="inlineStr">
        <is>
          <t>FAPA_2023_AR.pdf</t>
        </is>
      </c>
      <c r="C1417" t="n">
        <v>2023</v>
      </c>
      <c r="D1417" t="inlineStr">
        <is>
          <t>Financial</t>
        </is>
      </c>
      <c r="E1417" t="inlineStr">
        <is>
          <t>Total equity</t>
        </is>
      </c>
      <c r="F1417" t="n">
        <v>4063.649</v>
      </c>
      <c r="G1417" t="inlineStr">
        <is>
          <t>IDR bn</t>
        </is>
      </c>
      <c r="H1417" t="n">
        <v>11</v>
      </c>
      <c r="I1417" t="inlineStr">
        <is>
          <t>Jumlah Ekuitas 4.063.649</t>
        </is>
      </c>
      <c r="J1417" t="inlineStr">
        <is>
          <t>High</t>
        </is>
      </c>
      <c r="M1417" t="inlineStr">
        <is>
          <t>LLM</t>
        </is>
      </c>
      <c r="N1417" t="inlineStr">
        <is>
          <t>2026-04-18</t>
        </is>
      </c>
      <c r="O1417" t="inlineStr">
        <is>
          <t>AI</t>
        </is>
      </c>
    </row>
    <row r="1418">
      <c r="A1418" t="inlineStr">
        <is>
          <t>PT FAP Agri Tbk</t>
        </is>
      </c>
      <c r="B1418" t="inlineStr">
        <is>
          <t>FAPA_2023_AR.pdf</t>
        </is>
      </c>
      <c r="C1418" t="n">
        <v>2023</v>
      </c>
      <c r="D1418" t="inlineStr">
        <is>
          <t>Financial</t>
        </is>
      </c>
      <c r="E1418" t="inlineStr">
        <is>
          <t>Cash &amp; bank</t>
        </is>
      </c>
      <c r="F1418" t="n">
        <v>475.802</v>
      </c>
      <c r="G1418" t="inlineStr">
        <is>
          <t>IDR bn</t>
        </is>
      </c>
      <c r="H1418" t="n">
        <v>198</v>
      </c>
      <c r="I1418" t="inlineStr">
        <is>
          <t>Kas dan bank 5 475.802.009.410</t>
        </is>
      </c>
      <c r="J1418" t="inlineStr">
        <is>
          <t>High</t>
        </is>
      </c>
      <c r="M1418" t="inlineStr">
        <is>
          <t>LLM</t>
        </is>
      </c>
      <c r="N1418" t="inlineStr">
        <is>
          <t>2026-04-18</t>
        </is>
      </c>
      <c r="O1418" t="inlineStr">
        <is>
          <t>AI</t>
        </is>
      </c>
    </row>
    <row r="1419">
      <c r="A1419" t="inlineStr">
        <is>
          <t>PT FAP Agri Tbk</t>
        </is>
      </c>
      <c r="B1419" t="inlineStr">
        <is>
          <t>FAPA_2023_AR.pdf</t>
        </is>
      </c>
      <c r="C1419" t="n">
        <v>2023</v>
      </c>
      <c r="D1419" t="inlineStr">
        <is>
          <t>Financial</t>
        </is>
      </c>
      <c r="E1419" t="inlineStr">
        <is>
          <t>Bank overdraft</t>
        </is>
      </c>
      <c r="F1419" t="n">
        <v>724.8150000000001</v>
      </c>
      <c r="G1419" t="inlineStr">
        <is>
          <t>IDR bn</t>
        </is>
      </c>
      <c r="H1419" t="n">
        <v>199</v>
      </c>
      <c r="I1419" t="inlineStr">
        <is>
          <t>Cerukan bank 21 724.815.246.998</t>
        </is>
      </c>
      <c r="J1419" t="inlineStr">
        <is>
          <t>High</t>
        </is>
      </c>
      <c r="M1419" t="inlineStr">
        <is>
          <t>LLM</t>
        </is>
      </c>
      <c r="N1419" t="inlineStr">
        <is>
          <t>2026-04-18</t>
        </is>
      </c>
      <c r="O1419" t="inlineStr">
        <is>
          <t>AI</t>
        </is>
      </c>
    </row>
    <row r="1420">
      <c r="A1420" t="inlineStr">
        <is>
          <t>PT FAP Agri Tbk</t>
        </is>
      </c>
      <c r="B1420" t="inlineStr">
        <is>
          <t>FAPA_2023_AR.pdf</t>
        </is>
      </c>
      <c r="C1420" t="n">
        <v>2023</v>
      </c>
      <c r="D1420" t="inlineStr">
        <is>
          <t>Financial</t>
        </is>
      </c>
      <c r="E1420" t="inlineStr">
        <is>
          <t>Current LT bank loans</t>
        </is>
      </c>
      <c r="F1420" t="n">
        <v>705.8920000000001</v>
      </c>
      <c r="G1420" t="inlineStr">
        <is>
          <t>IDR bn</t>
        </is>
      </c>
      <c r="H1420" t="n">
        <v>199</v>
      </c>
      <c r="I1420" t="inlineStr">
        <is>
          <t>Utang bank (current) 705.892.065.280</t>
        </is>
      </c>
      <c r="J1420" t="inlineStr">
        <is>
          <t>High</t>
        </is>
      </c>
      <c r="M1420" t="inlineStr">
        <is>
          <t>LLM</t>
        </is>
      </c>
      <c r="N1420" t="inlineStr">
        <is>
          <t>2026-04-18</t>
        </is>
      </c>
      <c r="O1420" t="inlineStr">
        <is>
          <t>AI</t>
        </is>
      </c>
    </row>
    <row r="1421">
      <c r="A1421" t="inlineStr">
        <is>
          <t>PT FAP Agri Tbk</t>
        </is>
      </c>
      <c r="B1421" t="inlineStr">
        <is>
          <t>FAPA_2023_AR.pdf</t>
        </is>
      </c>
      <c r="C1421" t="n">
        <v>2023</v>
      </c>
      <c r="D1421" t="inlineStr">
        <is>
          <t>Financial</t>
        </is>
      </c>
      <c r="E1421" t="inlineStr">
        <is>
          <t>LT bank loans (net)</t>
        </is>
      </c>
      <c r="F1421" t="n">
        <v>1828.371</v>
      </c>
      <c r="G1421" t="inlineStr">
        <is>
          <t>IDR bn</t>
        </is>
      </c>
      <c r="H1421" t="n">
        <v>199</v>
      </c>
      <c r="I1421" t="inlineStr">
        <is>
          <t>Utang bank (non-current) 1.828.370.850.985</t>
        </is>
      </c>
      <c r="J1421" t="inlineStr">
        <is>
          <t>High</t>
        </is>
      </c>
      <c r="M1421" t="inlineStr">
        <is>
          <t>LLM</t>
        </is>
      </c>
      <c r="N1421" t="inlineStr">
        <is>
          <t>2026-04-18</t>
        </is>
      </c>
      <c r="O1421" t="inlineStr">
        <is>
          <t>AI</t>
        </is>
      </c>
    </row>
    <row r="1422">
      <c r="A1422" t="inlineStr">
        <is>
          <t>PT FAP Agri Tbk</t>
        </is>
      </c>
      <c r="B1422" t="inlineStr">
        <is>
          <t>FAPA_2023_AR.pdf</t>
        </is>
      </c>
      <c r="C1422" t="n">
        <v>2023</v>
      </c>
      <c r="D1422" t="inlineStr">
        <is>
          <t>Financial</t>
        </is>
      </c>
      <c r="E1422" t="inlineStr">
        <is>
          <t>CFO</t>
        </is>
      </c>
      <c r="F1422" t="n">
        <v>1030.969</v>
      </c>
      <c r="G1422" t="inlineStr">
        <is>
          <t>IDR bn</t>
        </is>
      </c>
      <c r="H1422" t="n">
        <v>12</v>
      </c>
      <c r="I1422" t="inlineStr">
        <is>
          <t>Arus Kas dari Aktivitas Operasi 1.030.969</t>
        </is>
      </c>
      <c r="J1422" t="inlineStr">
        <is>
          <t>High</t>
        </is>
      </c>
      <c r="M1422" t="inlineStr">
        <is>
          <t>LLM</t>
        </is>
      </c>
      <c r="N1422" t="inlineStr">
        <is>
          <t>2026-04-18</t>
        </is>
      </c>
      <c r="O1422" t="inlineStr">
        <is>
          <t>AI</t>
        </is>
      </c>
    </row>
    <row r="1423">
      <c r="A1423" t="inlineStr">
        <is>
          <t>PT FAP Agri Tbk</t>
        </is>
      </c>
      <c r="B1423" t="inlineStr">
        <is>
          <t>FAPA_2023_AR.pdf</t>
        </is>
      </c>
      <c r="C1423" t="n">
        <v>2023</v>
      </c>
      <c r="D1423" t="inlineStr">
        <is>
          <t>Financial</t>
        </is>
      </c>
      <c r="E1423" t="inlineStr">
        <is>
          <t>Fixed-asset acquisitions</t>
        </is>
      </c>
      <c r="F1423" t="n">
        <v>441.137</v>
      </c>
      <c r="G1423" t="inlineStr">
        <is>
          <t>IDR bn</t>
        </is>
      </c>
      <c r="H1423" t="n">
        <v>203</v>
      </c>
      <c r="I1423" t="inlineStr">
        <is>
          <t>Perolehan aset tetap 14 (441.137.127.940)</t>
        </is>
      </c>
      <c r="J1423" t="inlineStr">
        <is>
          <t>High</t>
        </is>
      </c>
      <c r="M1423" t="inlineStr">
        <is>
          <t>LLM</t>
        </is>
      </c>
      <c r="N1423" t="inlineStr">
        <is>
          <t>2026-04-18</t>
        </is>
      </c>
      <c r="O1423" t="inlineStr">
        <is>
          <t>AI</t>
        </is>
      </c>
    </row>
    <row r="1424">
      <c r="A1424" t="inlineStr">
        <is>
          <t>PT FAP Agri Tbk</t>
        </is>
      </c>
      <c r="B1424" t="inlineStr">
        <is>
          <t>FAPA_2023_AR.pdf</t>
        </is>
      </c>
      <c r="C1424" t="n">
        <v>2023</v>
      </c>
      <c r="D1424" t="inlineStr">
        <is>
          <t>Financial</t>
        </is>
      </c>
      <c r="E1424" t="inlineStr">
        <is>
          <t>Depreciation (total)</t>
        </is>
      </c>
      <c r="F1424" t="n">
        <v>518.456</v>
      </c>
      <c r="G1424" t="inlineStr">
        <is>
          <t>IDR bn</t>
        </is>
      </c>
      <c r="H1424" t="n">
        <v>297</v>
      </c>
      <c r="I1424" t="inlineStr">
        <is>
          <t>Penyusutan (Catatan 13, 14 dan 15) 518.455.846.342</t>
        </is>
      </c>
      <c r="J1424" t="inlineStr">
        <is>
          <t>High</t>
        </is>
      </c>
      <c r="M1424" t="inlineStr">
        <is>
          <t>LLM</t>
        </is>
      </c>
      <c r="N1424" t="inlineStr">
        <is>
          <t>2026-04-18</t>
        </is>
      </c>
      <c r="O1424" t="inlineStr">
        <is>
          <t>AI</t>
        </is>
      </c>
    </row>
    <row r="1425">
      <c r="A1425" t="inlineStr">
        <is>
          <t>PT FAP Agri Tbk</t>
        </is>
      </c>
      <c r="B1425" t="inlineStr">
        <is>
          <t>FAPA_2023_AR.pdf</t>
        </is>
      </c>
      <c r="C1425" t="n">
        <v>2023</v>
      </c>
      <c r="D1425" t="inlineStr">
        <is>
          <t>Financial</t>
        </is>
      </c>
      <c r="E1425" t="inlineStr">
        <is>
          <t>Closing price Q4 2023</t>
        </is>
      </c>
      <c r="F1425" t="n">
        <v>5300</v>
      </c>
      <c r="G1425" t="inlineStr">
        <is>
          <t>IDR</t>
        </is>
      </c>
      <c r="H1425" t="n">
        <v>16</v>
      </c>
      <c r="I1425" t="inlineStr">
        <is>
          <t>Triwulan IV 5.300 5.100 5.300</t>
        </is>
      </c>
      <c r="J1425" t="inlineStr">
        <is>
          <t>High</t>
        </is>
      </c>
      <c r="M1425" t="inlineStr">
        <is>
          <t>LLM</t>
        </is>
      </c>
      <c r="N1425" t="inlineStr">
        <is>
          <t>2026-04-18</t>
        </is>
      </c>
      <c r="O1425" t="inlineStr">
        <is>
          <t>AI</t>
        </is>
      </c>
    </row>
    <row r="1426">
      <c r="A1426" t="inlineStr">
        <is>
          <t>PT FAP Agri Tbk</t>
        </is>
      </c>
      <c r="B1426" t="inlineStr">
        <is>
          <t>FAPA_2023_AR.pdf</t>
        </is>
      </c>
      <c r="C1426" t="n">
        <v>2023</v>
      </c>
      <c r="D1426" t="inlineStr">
        <is>
          <t>Financial</t>
        </is>
      </c>
      <c r="E1426" t="inlineStr">
        <is>
          <t>Market cap Q4 2023</t>
        </is>
      </c>
      <c r="F1426" t="n">
        <v>19236</v>
      </c>
      <c r="G1426" t="inlineStr">
        <is>
          <t>IDR bn</t>
        </is>
      </c>
      <c r="H1426" t="n">
        <v>16</v>
      </c>
      <c r="I1426" t="inlineStr">
        <is>
          <t>19.235.883 (Rp juta)</t>
        </is>
      </c>
      <c r="J1426" t="inlineStr">
        <is>
          <t>High</t>
        </is>
      </c>
      <c r="M1426" t="inlineStr">
        <is>
          <t>LLM</t>
        </is>
      </c>
      <c r="N1426" t="inlineStr">
        <is>
          <t>2026-04-18</t>
        </is>
      </c>
      <c r="O1426" t="inlineStr">
        <is>
          <t>AI</t>
        </is>
      </c>
    </row>
    <row r="1427">
      <c r="A1427" t="inlineStr">
        <is>
          <t>PT FAP Agri Tbk</t>
        </is>
      </c>
      <c r="B1427" t="inlineStr">
        <is>
          <t>FAPA_2023_AR.pdf</t>
        </is>
      </c>
      <c r="C1427" t="n">
        <v>2023</v>
      </c>
      <c r="D1427" t="inlineStr">
        <is>
          <t>Asset</t>
        </is>
      </c>
      <c r="E1427" t="inlineStr">
        <is>
          <t>Total planted area</t>
        </is>
      </c>
      <c r="F1427" t="n">
        <v>88752</v>
      </c>
      <c r="G1427" t="inlineStr">
        <is>
          <t>ha</t>
        </is>
      </c>
      <c r="H1427" t="n">
        <v>4</v>
      </c>
      <c r="I1427" t="inlineStr">
        <is>
          <t>88.752 ha (Planted Area)</t>
        </is>
      </c>
      <c r="J1427" t="inlineStr">
        <is>
          <t>High</t>
        </is>
      </c>
      <c r="M1427" t="inlineStr">
        <is>
          <t>LLM</t>
        </is>
      </c>
      <c r="N1427" t="inlineStr">
        <is>
          <t>2026-04-18</t>
        </is>
      </c>
      <c r="O1427" t="inlineStr">
        <is>
          <t>AI</t>
        </is>
      </c>
    </row>
    <row r="1428">
      <c r="A1428" t="inlineStr">
        <is>
          <t>PT FAP Agri Tbk</t>
        </is>
      </c>
      <c r="B1428" t="inlineStr">
        <is>
          <t>FAPA_2023_AR.pdf</t>
        </is>
      </c>
      <c r="C1428" t="n">
        <v>2023</v>
      </c>
      <c r="D1428" t="inlineStr">
        <is>
          <t>Asset</t>
        </is>
      </c>
      <c r="E1428" t="inlineStr">
        <is>
          <t>Mature area</t>
        </is>
      </c>
      <c r="F1428" t="n">
        <v>84128</v>
      </c>
      <c r="G1428" t="inlineStr">
        <is>
          <t>ha</t>
        </is>
      </c>
      <c r="H1428" t="n">
        <v>13</v>
      </c>
      <c r="I1428" t="inlineStr">
        <is>
          <t>Luas Tanaman Menghasilkan 84.128</t>
        </is>
      </c>
      <c r="J1428" t="inlineStr">
        <is>
          <t>High</t>
        </is>
      </c>
      <c r="M1428" t="inlineStr">
        <is>
          <t>LLM</t>
        </is>
      </c>
      <c r="N1428" t="inlineStr">
        <is>
          <t>2026-04-18</t>
        </is>
      </c>
      <c r="O1428" t="inlineStr">
        <is>
          <t>AI</t>
        </is>
      </c>
    </row>
    <row r="1429">
      <c r="A1429" t="inlineStr">
        <is>
          <t>PT FAP Agri Tbk</t>
        </is>
      </c>
      <c r="B1429" t="inlineStr">
        <is>
          <t>FAPA_2023_AR.pdf</t>
        </is>
      </c>
      <c r="C1429" t="n">
        <v>2023</v>
      </c>
      <c r="D1429" t="inlineStr">
        <is>
          <t>Asset</t>
        </is>
      </c>
      <c r="E1429" t="inlineStr">
        <is>
          <t>Immature area</t>
        </is>
      </c>
      <c r="F1429" t="n">
        <v>4623</v>
      </c>
      <c r="G1429" t="inlineStr">
        <is>
          <t>ha</t>
        </is>
      </c>
      <c r="H1429" t="n">
        <v>13</v>
      </c>
      <c r="I1429" t="inlineStr">
        <is>
          <t>Luas Tanaman Belum Menghasilkan 4.623</t>
        </is>
      </c>
      <c r="J1429" t="inlineStr">
        <is>
          <t>High</t>
        </is>
      </c>
      <c r="M1429" t="inlineStr">
        <is>
          <t>LLM</t>
        </is>
      </c>
      <c r="N1429" t="inlineStr">
        <is>
          <t>2026-04-18</t>
        </is>
      </c>
      <c r="O1429" t="inlineStr">
        <is>
          <t>AI</t>
        </is>
      </c>
    </row>
    <row r="1430">
      <c r="A1430" t="inlineStr">
        <is>
          <t>PT FAP Agri Tbk</t>
        </is>
      </c>
      <c r="B1430" t="inlineStr">
        <is>
          <t>FAPA_2023_AR.pdf</t>
        </is>
      </c>
      <c r="C1430" t="n">
        <v>2023</v>
      </c>
      <c r="D1430" t="inlineStr">
        <is>
          <t>Asset</t>
        </is>
      </c>
      <c r="E1430" t="inlineStr">
        <is>
          <t>POMs</t>
        </is>
      </c>
      <c r="F1430" t="n">
        <v>5</v>
      </c>
      <c r="G1430" t="inlineStr">
        <is>
          <t>mills</t>
        </is>
      </c>
      <c r="H1430" t="n">
        <v>48</v>
      </c>
      <c r="I1430" t="inlineStr">
        <is>
          <t>5 Pabrik Pengolahan Kelapa Sawit</t>
        </is>
      </c>
      <c r="J1430" t="inlineStr">
        <is>
          <t>High</t>
        </is>
      </c>
      <c r="M1430" t="inlineStr">
        <is>
          <t>LLM</t>
        </is>
      </c>
      <c r="N1430" t="inlineStr">
        <is>
          <t>2026-04-18</t>
        </is>
      </c>
      <c r="O1430" t="inlineStr">
        <is>
          <t>AI</t>
        </is>
      </c>
    </row>
    <row r="1431">
      <c r="A1431" t="inlineStr">
        <is>
          <t>PT FAP Agri Tbk</t>
        </is>
      </c>
      <c r="B1431" t="inlineStr">
        <is>
          <t>FAPA_2023_AR.pdf</t>
        </is>
      </c>
      <c r="C1431" t="n">
        <v>2023</v>
      </c>
      <c r="D1431" t="inlineStr">
        <is>
          <t>Asset</t>
        </is>
      </c>
      <c r="E1431" t="inlineStr">
        <is>
          <t>Kernel crushing plant</t>
        </is>
      </c>
      <c r="F1431" t="n">
        <v>1</v>
      </c>
      <c r="G1431" t="inlineStr">
        <is>
          <t>unit</t>
        </is>
      </c>
      <c r="H1431" t="n">
        <v>48</v>
      </c>
      <c r="I1431" t="inlineStr">
        <is>
          <t>1 Pabrik Pengolahan Inti Sawit (PPIS)</t>
        </is>
      </c>
      <c r="J1431" t="inlineStr">
        <is>
          <t>High</t>
        </is>
      </c>
      <c r="M1431" t="inlineStr">
        <is>
          <t>LLM</t>
        </is>
      </c>
      <c r="N1431" t="inlineStr">
        <is>
          <t>2026-04-18</t>
        </is>
      </c>
      <c r="O1431" t="inlineStr">
        <is>
          <t>AI</t>
        </is>
      </c>
    </row>
    <row r="1432">
      <c r="A1432" t="inlineStr">
        <is>
          <t>PT FAP Agri Tbk</t>
        </is>
      </c>
      <c r="B1432" t="inlineStr">
        <is>
          <t>FAPA_2023_AR.pdf</t>
        </is>
      </c>
      <c r="C1432" t="n">
        <v>2023</v>
      </c>
      <c r="D1432" t="inlineStr">
        <is>
          <t>Operation</t>
        </is>
      </c>
      <c r="E1432" t="inlineStr">
        <is>
          <t>FFB production</t>
        </is>
      </c>
      <c r="F1432" t="n">
        <v>1261820</v>
      </c>
      <c r="G1432" t="inlineStr">
        <is>
          <t>tons</t>
        </is>
      </c>
      <c r="H1432" t="n">
        <v>13</v>
      </c>
      <c r="I1432" t="inlineStr">
        <is>
          <t>Produksi Tandan Buah Segar 1.261.820</t>
        </is>
      </c>
      <c r="J1432" t="inlineStr">
        <is>
          <t>High</t>
        </is>
      </c>
      <c r="M1432" t="inlineStr">
        <is>
          <t>LLM</t>
        </is>
      </c>
      <c r="N1432" t="inlineStr">
        <is>
          <t>2026-04-18</t>
        </is>
      </c>
      <c r="O1432" t="inlineStr">
        <is>
          <t>AI</t>
        </is>
      </c>
    </row>
    <row r="1433">
      <c r="A1433" t="inlineStr">
        <is>
          <t>PT FAP Agri Tbk</t>
        </is>
      </c>
      <c r="B1433" t="inlineStr">
        <is>
          <t>FAPA_2023_AR.pdf</t>
        </is>
      </c>
      <c r="C1433" t="n">
        <v>2023</v>
      </c>
      <c r="D1433" t="inlineStr">
        <is>
          <t>Operation</t>
        </is>
      </c>
      <c r="E1433" t="inlineStr">
        <is>
          <t>CPO production</t>
        </is>
      </c>
      <c r="F1433" t="n">
        <v>307674</v>
      </c>
      <c r="G1433" t="inlineStr">
        <is>
          <t>tons</t>
        </is>
      </c>
      <c r="H1433" t="n">
        <v>13</v>
      </c>
      <c r="I1433" t="inlineStr">
        <is>
          <t>Produksi Minyak Sawit Mentah 307.674</t>
        </is>
      </c>
      <c r="J1433" t="inlineStr">
        <is>
          <t>High</t>
        </is>
      </c>
      <c r="M1433" t="inlineStr">
        <is>
          <t>LLM</t>
        </is>
      </c>
      <c r="N1433" t="inlineStr">
        <is>
          <t>2026-04-18</t>
        </is>
      </c>
      <c r="O1433" t="inlineStr">
        <is>
          <t>AI</t>
        </is>
      </c>
    </row>
    <row r="1434">
      <c r="A1434" t="inlineStr">
        <is>
          <t>PT FAP Agri Tbk</t>
        </is>
      </c>
      <c r="B1434" t="inlineStr">
        <is>
          <t>FAPA_2023_AR.pdf</t>
        </is>
      </c>
      <c r="C1434" t="n">
        <v>2023</v>
      </c>
      <c r="D1434" t="inlineStr">
        <is>
          <t>Operation</t>
        </is>
      </c>
      <c r="E1434" t="inlineStr">
        <is>
          <t>Palm kernel production</t>
        </is>
      </c>
      <c r="F1434" t="n">
        <v>55797</v>
      </c>
      <c r="G1434" t="inlineStr">
        <is>
          <t>tons</t>
        </is>
      </c>
      <c r="H1434" t="n">
        <v>14</v>
      </c>
      <c r="I1434" t="inlineStr">
        <is>
          <t>Produksi Inti Sawit 55.797</t>
        </is>
      </c>
      <c r="J1434" t="inlineStr">
        <is>
          <t>High</t>
        </is>
      </c>
      <c r="M1434" t="inlineStr">
        <is>
          <t>LLM</t>
        </is>
      </c>
      <c r="N1434" t="inlineStr">
        <is>
          <t>2026-04-18</t>
        </is>
      </c>
      <c r="O1434" t="inlineStr">
        <is>
          <t>AI</t>
        </is>
      </c>
    </row>
    <row r="1435">
      <c r="A1435" t="inlineStr">
        <is>
          <t>PT FAP Agri Tbk</t>
        </is>
      </c>
      <c r="B1435" t="inlineStr">
        <is>
          <t>FAPA_2023_AR.pdf</t>
        </is>
      </c>
      <c r="C1435" t="n">
        <v>2023</v>
      </c>
      <c r="D1435" t="inlineStr">
        <is>
          <t>Operation</t>
        </is>
      </c>
      <c r="E1435" t="inlineStr">
        <is>
          <t>PKO production</t>
        </is>
      </c>
      <c r="F1435" t="n">
        <v>13370</v>
      </c>
      <c r="G1435" t="inlineStr">
        <is>
          <t>tons</t>
        </is>
      </c>
      <c r="H1435" t="n">
        <v>14</v>
      </c>
      <c r="I1435" t="inlineStr">
        <is>
          <t>Produksi Minyak Inti Sawit 13.370</t>
        </is>
      </c>
      <c r="J1435" t="inlineStr">
        <is>
          <t>High</t>
        </is>
      </c>
      <c r="M1435" t="inlineStr">
        <is>
          <t>LLM</t>
        </is>
      </c>
      <c r="N1435" t="inlineStr">
        <is>
          <t>2026-04-18</t>
        </is>
      </c>
      <c r="O1435" t="inlineStr">
        <is>
          <t>AI</t>
        </is>
      </c>
    </row>
    <row r="1436">
      <c r="A1436" t="inlineStr">
        <is>
          <t>PT FAP Agri Tbk</t>
        </is>
      </c>
      <c r="B1436" t="inlineStr">
        <is>
          <t>FAPA_2023_AR.pdf</t>
        </is>
      </c>
      <c r="C1436" t="n">
        <v>2023</v>
      </c>
      <c r="D1436" t="inlineStr">
        <is>
          <t>Operation</t>
        </is>
      </c>
      <c r="E1436" t="inlineStr">
        <is>
          <t>PKE production</t>
        </is>
      </c>
      <c r="F1436" t="n">
        <v>15188</v>
      </c>
      <c r="G1436" t="inlineStr">
        <is>
          <t>tons</t>
        </is>
      </c>
      <c r="H1436" t="n">
        <v>14</v>
      </c>
      <c r="I1436" t="inlineStr">
        <is>
          <t>Produksi Bungkil Inti Sawit 15.188</t>
        </is>
      </c>
      <c r="J1436" t="inlineStr">
        <is>
          <t>High</t>
        </is>
      </c>
      <c r="M1436" t="inlineStr">
        <is>
          <t>LLM</t>
        </is>
      </c>
      <c r="N1436" t="inlineStr">
        <is>
          <t>2026-04-18</t>
        </is>
      </c>
      <c r="O1436" t="inlineStr">
        <is>
          <t>AI</t>
        </is>
      </c>
    </row>
    <row r="1437">
      <c r="A1437" t="inlineStr">
        <is>
          <t>PT FAP Agri Tbk</t>
        </is>
      </c>
      <c r="B1437" t="inlineStr">
        <is>
          <t>FAPA_2023_AR.pdf</t>
        </is>
      </c>
      <c r="C1437" t="n">
        <v>2023</v>
      </c>
      <c r="D1437" t="inlineStr">
        <is>
          <t>Operation</t>
        </is>
      </c>
      <c r="E1437" t="inlineStr">
        <is>
          <t>FFB yield</t>
        </is>
      </c>
      <c r="F1437" t="n">
        <v>15</v>
      </c>
      <c r="G1437" t="inlineStr">
        <is>
          <t>tons/ha</t>
        </is>
      </c>
      <c r="H1437" t="n">
        <v>13</v>
      </c>
      <c r="I1437" t="inlineStr">
        <is>
          <t>Yield Produksi Tandan Buah Segar 15,00 ton/ha</t>
        </is>
      </c>
      <c r="J1437" t="inlineStr">
        <is>
          <t>High</t>
        </is>
      </c>
      <c r="M1437" t="inlineStr">
        <is>
          <t>LLM</t>
        </is>
      </c>
      <c r="N1437" t="inlineStr">
        <is>
          <t>2026-04-18</t>
        </is>
      </c>
      <c r="O1437" t="inlineStr">
        <is>
          <t>AI</t>
        </is>
      </c>
    </row>
    <row r="1438">
      <c r="A1438" t="inlineStr">
        <is>
          <t>PT FAP Agri Tbk</t>
        </is>
      </c>
      <c r="B1438" t="inlineStr">
        <is>
          <t>FAPA_2023_AR.pdf</t>
        </is>
      </c>
      <c r="C1438" t="n">
        <v>2023</v>
      </c>
      <c r="D1438" t="inlineStr">
        <is>
          <t>Operation</t>
        </is>
      </c>
      <c r="E1438" t="inlineStr">
        <is>
          <t>CPO yield</t>
        </is>
      </c>
      <c r="F1438" t="n">
        <v>3.66</v>
      </c>
      <c r="G1438" t="inlineStr">
        <is>
          <t>tons/ha</t>
        </is>
      </c>
      <c r="H1438" t="n">
        <v>13</v>
      </c>
      <c r="I1438" t="inlineStr">
        <is>
          <t>Yield Produksi Minyak Sawit Mentah 3,66 ton/ha</t>
        </is>
      </c>
      <c r="J1438" t="inlineStr">
        <is>
          <t>High</t>
        </is>
      </c>
      <c r="M1438" t="inlineStr">
        <is>
          <t>LLM</t>
        </is>
      </c>
      <c r="N1438" t="inlineStr">
        <is>
          <t>2026-04-18</t>
        </is>
      </c>
      <c r="O1438" t="inlineStr">
        <is>
          <t>AI</t>
        </is>
      </c>
    </row>
    <row r="1439">
      <c r="A1439" t="inlineStr">
        <is>
          <t>PT FAP Agri Tbk</t>
        </is>
      </c>
      <c r="B1439" t="inlineStr">
        <is>
          <t>FAPA_2023_AR.pdf</t>
        </is>
      </c>
      <c r="C1439" t="n">
        <v>2023</v>
      </c>
      <c r="D1439" t="inlineStr">
        <is>
          <t>Operation</t>
        </is>
      </c>
      <c r="E1439" t="inlineStr">
        <is>
          <t>FFB sales</t>
        </is>
      </c>
      <c r="F1439" t="n">
        <v>299103</v>
      </c>
      <c r="G1439" t="inlineStr">
        <is>
          <t>tons</t>
        </is>
      </c>
      <c r="H1439" t="n">
        <v>14</v>
      </c>
      <c r="I1439" t="inlineStr">
        <is>
          <t>Penjualan Tandan Buah Segar 299.103</t>
        </is>
      </c>
      <c r="J1439" t="inlineStr">
        <is>
          <t>High</t>
        </is>
      </c>
      <c r="M1439" t="inlineStr">
        <is>
          <t>LLM</t>
        </is>
      </c>
      <c r="N1439" t="inlineStr">
        <is>
          <t>2026-04-18</t>
        </is>
      </c>
      <c r="O1439" t="inlineStr">
        <is>
          <t>AI</t>
        </is>
      </c>
    </row>
    <row r="1440">
      <c r="A1440" t="inlineStr">
        <is>
          <t>PT FAP Agri Tbk</t>
        </is>
      </c>
      <c r="B1440" t="inlineStr">
        <is>
          <t>FAPA_2023_AR.pdf</t>
        </is>
      </c>
      <c r="C1440" t="n">
        <v>2023</v>
      </c>
      <c r="D1440" t="inlineStr">
        <is>
          <t>Operation</t>
        </is>
      </c>
      <c r="E1440" t="inlineStr">
        <is>
          <t>CPO sales</t>
        </is>
      </c>
      <c r="F1440" t="n">
        <v>324671</v>
      </c>
      <c r="G1440" t="inlineStr">
        <is>
          <t>tons</t>
        </is>
      </c>
      <c r="H1440" t="n">
        <v>14</v>
      </c>
      <c r="I1440" t="inlineStr">
        <is>
          <t>Penjualan Minyak Sawit Mentah 324.671</t>
        </is>
      </c>
      <c r="J1440" t="inlineStr">
        <is>
          <t>High</t>
        </is>
      </c>
      <c r="M1440" t="inlineStr">
        <is>
          <t>LLM</t>
        </is>
      </c>
      <c r="N1440" t="inlineStr">
        <is>
          <t>2026-04-18</t>
        </is>
      </c>
      <c r="O1440" t="inlineStr">
        <is>
          <t>AI</t>
        </is>
      </c>
    </row>
    <row r="1441">
      <c r="A1441" t="inlineStr">
        <is>
          <t>PT FAP Agri Tbk</t>
        </is>
      </c>
      <c r="B1441" t="inlineStr">
        <is>
          <t>FAPA_2023_AR.pdf</t>
        </is>
      </c>
      <c r="C1441" t="n">
        <v>2023</v>
      </c>
      <c r="D1441" t="inlineStr">
        <is>
          <t>Operation</t>
        </is>
      </c>
      <c r="E1441" t="inlineStr">
        <is>
          <t>PK sales</t>
        </is>
      </c>
      <c r="F1441" t="n">
        <v>55083</v>
      </c>
      <c r="G1441" t="inlineStr">
        <is>
          <t>tons</t>
        </is>
      </c>
      <c r="H1441" t="n">
        <v>14</v>
      </c>
      <c r="I1441" t="inlineStr">
        <is>
          <t>Penjualan Inti Sawit 55.083</t>
        </is>
      </c>
      <c r="J1441" t="inlineStr">
        <is>
          <t>High</t>
        </is>
      </c>
      <c r="M1441" t="inlineStr">
        <is>
          <t>LLM</t>
        </is>
      </c>
      <c r="N1441" t="inlineStr">
        <is>
          <t>2026-04-18</t>
        </is>
      </c>
      <c r="O1441" t="inlineStr">
        <is>
          <t>AI</t>
        </is>
      </c>
    </row>
    <row r="1442">
      <c r="A1442" t="inlineStr">
        <is>
          <t>PT FAP Agri Tbk</t>
        </is>
      </c>
      <c r="B1442" t="inlineStr">
        <is>
          <t>FAPA_2023_AR.pdf</t>
        </is>
      </c>
      <c r="C1442" t="n">
        <v>2023</v>
      </c>
      <c r="D1442" t="inlineStr">
        <is>
          <t>Operation</t>
        </is>
      </c>
      <c r="E1442" t="inlineStr">
        <is>
          <t>PKO sales</t>
        </is>
      </c>
      <c r="F1442" t="n">
        <v>12286</v>
      </c>
      <c r="G1442" t="inlineStr">
        <is>
          <t>tons</t>
        </is>
      </c>
      <c r="H1442" t="n">
        <v>14</v>
      </c>
      <c r="I1442" t="inlineStr">
        <is>
          <t>Penjualan Minyak Inti Sawit 12.286</t>
        </is>
      </c>
      <c r="J1442" t="inlineStr">
        <is>
          <t>High</t>
        </is>
      </c>
      <c r="M1442" t="inlineStr">
        <is>
          <t>LLM</t>
        </is>
      </c>
      <c r="N1442" t="inlineStr">
        <is>
          <t>2026-04-18</t>
        </is>
      </c>
      <c r="O1442" t="inlineStr">
        <is>
          <t>AI</t>
        </is>
      </c>
    </row>
    <row r="1443">
      <c r="A1443" t="inlineStr">
        <is>
          <t>PT FAP Agri Tbk</t>
        </is>
      </c>
      <c r="B1443" t="inlineStr">
        <is>
          <t>FAPA_2023_AR.pdf</t>
        </is>
      </c>
      <c r="C1443" t="n">
        <v>2023</v>
      </c>
      <c r="D1443" t="inlineStr">
        <is>
          <t>Operation</t>
        </is>
      </c>
      <c r="E1443" t="inlineStr">
        <is>
          <t>PKE sales</t>
        </is>
      </c>
      <c r="F1443" t="n">
        <v>15975</v>
      </c>
      <c r="G1443" t="inlineStr">
        <is>
          <t>tons</t>
        </is>
      </c>
      <c r="H1443" t="n">
        <v>14</v>
      </c>
      <c r="I1443" t="inlineStr">
        <is>
          <t>Penjualan Bungkil Inti Sawit 15.975</t>
        </is>
      </c>
      <c r="J1443" t="inlineStr">
        <is>
          <t>High</t>
        </is>
      </c>
      <c r="M1443" t="inlineStr">
        <is>
          <t>LLM</t>
        </is>
      </c>
      <c r="N1443" t="inlineStr">
        <is>
          <t>2026-04-18</t>
        </is>
      </c>
      <c r="O1443" t="inlineStr">
        <is>
          <t>AI</t>
        </is>
      </c>
    </row>
    <row r="1444">
      <c r="A1444" t="inlineStr">
        <is>
          <t>PT FAP Agri Tbk</t>
        </is>
      </c>
      <c r="B1444" t="inlineStr">
        <is>
          <t>FAPA_2024_AR.pdf</t>
        </is>
      </c>
      <c r="C1444" t="n">
        <v>2024</v>
      </c>
      <c r="D1444" t="inlineStr">
        <is>
          <t>Company</t>
        </is>
      </c>
      <c r="E1444" t="inlineStr">
        <is>
          <t>Company name</t>
        </is>
      </c>
      <c r="F1444" t="inlineStr">
        <is>
          <t>PT FAP Agri Tbk</t>
        </is>
      </c>
      <c r="G1444" t="inlineStr">
        <is>
          <t>-</t>
        </is>
      </c>
      <c r="H1444" t="n">
        <v>1</v>
      </c>
      <c r="I1444" t="inlineStr">
        <is>
          <t>PT FAP Agri Tbk 2024 Annual Report</t>
        </is>
      </c>
      <c r="J1444" t="inlineStr">
        <is>
          <t>High</t>
        </is>
      </c>
      <c r="M1444" t="inlineStr">
        <is>
          <t>LLM</t>
        </is>
      </c>
      <c r="N1444" t="inlineStr">
        <is>
          <t>2026-04-18</t>
        </is>
      </c>
      <c r="O1444" t="inlineStr">
        <is>
          <t>AI</t>
        </is>
      </c>
    </row>
    <row r="1445">
      <c r="A1445" t="inlineStr">
        <is>
          <t>PT FAP Agri Tbk</t>
        </is>
      </c>
      <c r="B1445" t="inlineStr">
        <is>
          <t>FAPA_2024_AR.pdf</t>
        </is>
      </c>
      <c r="C1445" t="n">
        <v>2024</v>
      </c>
      <c r="D1445" t="inlineStr">
        <is>
          <t>Company</t>
        </is>
      </c>
      <c r="E1445" t="inlineStr">
        <is>
          <t>Prinsep Management Ltd stake (year-end)</t>
        </is>
      </c>
      <c r="F1445" t="n">
        <v>0.7337</v>
      </c>
      <c r="G1445" t="inlineStr">
        <is>
          <t>decimal</t>
        </is>
      </c>
      <c r="H1445" t="n">
        <v>68</v>
      </c>
      <c r="I1445" t="inlineStr">
        <is>
          <t>Prinsep Management Ltd. 2.663.079.330 73,37%</t>
        </is>
      </c>
      <c r="J1445" t="inlineStr">
        <is>
          <t>High</t>
        </is>
      </c>
      <c r="M1445" t="inlineStr">
        <is>
          <t>LLM</t>
        </is>
      </c>
      <c r="N1445" t="inlineStr">
        <is>
          <t>2026-04-18</t>
        </is>
      </c>
      <c r="O1445" t="inlineStr">
        <is>
          <t>AI</t>
        </is>
      </c>
    </row>
    <row r="1446">
      <c r="A1446" t="inlineStr">
        <is>
          <t>PT FAP Agri Tbk</t>
        </is>
      </c>
      <c r="B1446" t="inlineStr">
        <is>
          <t>FAPA_2024_AR.pdf</t>
        </is>
      </c>
      <c r="C1446" t="n">
        <v>2024</v>
      </c>
      <c r="D1446" t="inlineStr">
        <is>
          <t>Company</t>
        </is>
      </c>
      <c r="E1446" t="inlineStr">
        <is>
          <t>Shares outstanding</t>
        </is>
      </c>
      <c r="F1446" t="n">
        <v>3629411800</v>
      </c>
      <c r="G1446" t="inlineStr">
        <is>
          <t>shares</t>
        </is>
      </c>
      <c r="H1446" t="n">
        <v>16</v>
      </c>
      <c r="I1446" t="inlineStr">
        <is>
          <t>Jumlah Saham Beredar 3.629.411.800</t>
        </is>
      </c>
      <c r="J1446" t="inlineStr">
        <is>
          <t>High</t>
        </is>
      </c>
      <c r="M1446" t="inlineStr">
        <is>
          <t>LLM</t>
        </is>
      </c>
      <c r="N1446" t="inlineStr">
        <is>
          <t>2026-04-18</t>
        </is>
      </c>
      <c r="O1446" t="inlineStr">
        <is>
          <t>AI</t>
        </is>
      </c>
    </row>
    <row r="1447">
      <c r="A1447" t="inlineStr">
        <is>
          <t>PT FAP Agri Tbk</t>
        </is>
      </c>
      <c r="B1447" t="inlineStr">
        <is>
          <t>FAPA_2024_AR.pdf</t>
        </is>
      </c>
      <c r="C1447" t="n">
        <v>2024</v>
      </c>
      <c r="D1447" t="inlineStr">
        <is>
          <t>Company</t>
        </is>
      </c>
      <c r="E1447" t="inlineStr">
        <is>
          <t>Corporate action</t>
        </is>
      </c>
      <c r="F1447" t="inlineStr">
        <is>
          <t>Share buyback completed June 21, 2023 - Dec 21, 2024</t>
        </is>
      </c>
      <c r="G1447" t="inlineStr">
        <is>
          <t>-</t>
        </is>
      </c>
      <c r="H1447" t="n">
        <v>17</v>
      </c>
      <c r="I1447" t="inlineStr">
        <is>
          <t>Perusahaan telah menyelesaikan periode Buyback sejak tanggal 21 Juni 2023 sampai 21 Desember 2024</t>
        </is>
      </c>
      <c r="J1447" t="inlineStr">
        <is>
          <t>High</t>
        </is>
      </c>
      <c r="M1447" t="inlineStr">
        <is>
          <t>LLM</t>
        </is>
      </c>
      <c r="N1447" t="inlineStr">
        <is>
          <t>2026-04-18</t>
        </is>
      </c>
      <c r="O1447" t="inlineStr">
        <is>
          <t>AI</t>
        </is>
      </c>
    </row>
    <row r="1448">
      <c r="A1448" t="inlineStr">
        <is>
          <t>PT FAP Agri Tbk</t>
        </is>
      </c>
      <c r="B1448" t="inlineStr">
        <is>
          <t>FAPA_2024_AR.pdf</t>
        </is>
      </c>
      <c r="C1448" t="n">
        <v>2024</v>
      </c>
      <c r="D1448" t="inlineStr">
        <is>
          <t>Financial</t>
        </is>
      </c>
      <c r="E1448" t="inlineStr">
        <is>
          <t>Net sales</t>
        </is>
      </c>
      <c r="F1448" t="n">
        <v>5742.984</v>
      </c>
      <c r="G1448" t="inlineStr">
        <is>
          <t>IDR bn</t>
        </is>
      </c>
      <c r="H1448" t="n">
        <v>10</v>
      </c>
      <c r="I1448" t="inlineStr">
        <is>
          <t>Penjualan Neto 5.742.984</t>
        </is>
      </c>
      <c r="J1448" t="inlineStr">
        <is>
          <t>High</t>
        </is>
      </c>
      <c r="M1448" t="inlineStr">
        <is>
          <t>LLM</t>
        </is>
      </c>
      <c r="N1448" t="inlineStr">
        <is>
          <t>2026-04-18</t>
        </is>
      </c>
      <c r="O1448" t="inlineStr">
        <is>
          <t>AI</t>
        </is>
      </c>
    </row>
    <row r="1449">
      <c r="A1449" t="inlineStr">
        <is>
          <t>PT FAP Agri Tbk</t>
        </is>
      </c>
      <c r="B1449" t="inlineStr">
        <is>
          <t>FAPA_2024_AR.pdf</t>
        </is>
      </c>
      <c r="C1449" t="n">
        <v>2024</v>
      </c>
      <c r="D1449" t="inlineStr">
        <is>
          <t>Financial</t>
        </is>
      </c>
      <c r="E1449" t="inlineStr">
        <is>
          <t>COGS</t>
        </is>
      </c>
      <c r="F1449" t="n">
        <v>4424.414</v>
      </c>
      <c r="G1449" t="inlineStr">
        <is>
          <t>IDR bn</t>
        </is>
      </c>
      <c r="H1449" t="n">
        <v>10</v>
      </c>
      <c r="I1449" t="inlineStr">
        <is>
          <t>Beban Pokok Penjualan (4.424.414)</t>
        </is>
      </c>
      <c r="J1449" t="inlineStr">
        <is>
          <t>High</t>
        </is>
      </c>
      <c r="M1449" t="inlineStr">
        <is>
          <t>LLM</t>
        </is>
      </c>
      <c r="N1449" t="inlineStr">
        <is>
          <t>2026-04-18</t>
        </is>
      </c>
      <c r="O1449" t="inlineStr">
        <is>
          <t>AI</t>
        </is>
      </c>
    </row>
    <row r="1450">
      <c r="A1450" t="inlineStr">
        <is>
          <t>PT FAP Agri Tbk</t>
        </is>
      </c>
      <c r="B1450" t="inlineStr">
        <is>
          <t>FAPA_2024_AR.pdf</t>
        </is>
      </c>
      <c r="C1450" t="n">
        <v>2024</v>
      </c>
      <c r="D1450" t="inlineStr">
        <is>
          <t>Financial</t>
        </is>
      </c>
      <c r="E1450" t="inlineStr">
        <is>
          <t>Gross profit</t>
        </is>
      </c>
      <c r="F1450" t="n">
        <v>1318.57</v>
      </c>
      <c r="G1450" t="inlineStr">
        <is>
          <t>IDR bn</t>
        </is>
      </c>
      <c r="H1450" t="n">
        <v>10</v>
      </c>
      <c r="I1450" t="inlineStr">
        <is>
          <t>Laba Bruto 1.318.570</t>
        </is>
      </c>
      <c r="J1450" t="inlineStr">
        <is>
          <t>High</t>
        </is>
      </c>
      <c r="M1450" t="inlineStr">
        <is>
          <t>LLM</t>
        </is>
      </c>
      <c r="N1450" t="inlineStr">
        <is>
          <t>2026-04-18</t>
        </is>
      </c>
      <c r="O1450" t="inlineStr">
        <is>
          <t>AI</t>
        </is>
      </c>
    </row>
    <row r="1451">
      <c r="A1451" t="inlineStr">
        <is>
          <t>PT FAP Agri Tbk</t>
        </is>
      </c>
      <c r="B1451" t="inlineStr">
        <is>
          <t>FAPA_2024_AR.pdf</t>
        </is>
      </c>
      <c r="C1451" t="n">
        <v>2024</v>
      </c>
      <c r="D1451" t="inlineStr">
        <is>
          <t>Financial</t>
        </is>
      </c>
      <c r="E1451" t="inlineStr">
        <is>
          <t>Operating profit</t>
        </is>
      </c>
      <c r="F1451" t="n">
        <v>876.6849999999999</v>
      </c>
      <c r="G1451" t="inlineStr">
        <is>
          <t>IDR bn</t>
        </is>
      </c>
      <c r="H1451" t="n">
        <v>10</v>
      </c>
      <c r="I1451" t="inlineStr">
        <is>
          <t>Laba Usaha 876.685</t>
        </is>
      </c>
      <c r="J1451" t="inlineStr">
        <is>
          <t>High</t>
        </is>
      </c>
      <c r="M1451" t="inlineStr">
        <is>
          <t>LLM</t>
        </is>
      </c>
      <c r="N1451" t="inlineStr">
        <is>
          <t>2026-04-18</t>
        </is>
      </c>
      <c r="O1451" t="inlineStr">
        <is>
          <t>AI</t>
        </is>
      </c>
    </row>
    <row r="1452">
      <c r="A1452" t="inlineStr">
        <is>
          <t>PT FAP Agri Tbk</t>
        </is>
      </c>
      <c r="B1452" t="inlineStr">
        <is>
          <t>FAPA_2024_AR.pdf</t>
        </is>
      </c>
      <c r="C1452" t="n">
        <v>2024</v>
      </c>
      <c r="D1452" t="inlineStr">
        <is>
          <t>Financial</t>
        </is>
      </c>
      <c r="E1452" t="inlineStr">
        <is>
          <t>Profit before tax</t>
        </is>
      </c>
      <c r="F1452" t="n">
        <v>774.679</v>
      </c>
      <c r="G1452" t="inlineStr">
        <is>
          <t>IDR bn</t>
        </is>
      </c>
      <c r="H1452" t="n">
        <v>10</v>
      </c>
      <c r="I1452" t="inlineStr">
        <is>
          <t>Laba Sebelum Pajak Penghasilan 774.679</t>
        </is>
      </c>
      <c r="J1452" t="inlineStr">
        <is>
          <t>High</t>
        </is>
      </c>
      <c r="M1452" t="inlineStr">
        <is>
          <t>LLM</t>
        </is>
      </c>
      <c r="N1452" t="inlineStr">
        <is>
          <t>2026-04-18</t>
        </is>
      </c>
      <c r="O1452" t="inlineStr">
        <is>
          <t>AI</t>
        </is>
      </c>
    </row>
    <row r="1453">
      <c r="A1453" t="inlineStr">
        <is>
          <t>PT FAP Agri Tbk</t>
        </is>
      </c>
      <c r="B1453" t="inlineStr">
        <is>
          <t>FAPA_2024_AR.pdf</t>
        </is>
      </c>
      <c r="C1453" t="n">
        <v>2024</v>
      </c>
      <c r="D1453" t="inlineStr">
        <is>
          <t>Financial</t>
        </is>
      </c>
      <c r="E1453" t="inlineStr">
        <is>
          <t>Net profit</t>
        </is>
      </c>
      <c r="F1453" t="n">
        <v>571.454</v>
      </c>
      <c r="G1453" t="inlineStr">
        <is>
          <t>IDR bn</t>
        </is>
      </c>
      <c r="H1453" t="n">
        <v>10</v>
      </c>
      <c r="I1453" t="inlineStr">
        <is>
          <t>Laba Bersih Tahun Berjalan 571.454</t>
        </is>
      </c>
      <c r="J1453" t="inlineStr">
        <is>
          <t>High</t>
        </is>
      </c>
      <c r="M1453" t="inlineStr">
        <is>
          <t>LLM</t>
        </is>
      </c>
      <c r="N1453" t="inlineStr">
        <is>
          <t>2026-04-18</t>
        </is>
      </c>
      <c r="O1453" t="inlineStr">
        <is>
          <t>AI</t>
        </is>
      </c>
    </row>
    <row r="1454">
      <c r="A1454" t="inlineStr">
        <is>
          <t>PT FAP Agri Tbk</t>
        </is>
      </c>
      <c r="B1454" t="inlineStr">
        <is>
          <t>FAPA_2024_AR.pdf</t>
        </is>
      </c>
      <c r="C1454" t="n">
        <v>2024</v>
      </c>
      <c r="D1454" t="inlineStr">
        <is>
          <t>Financial</t>
        </is>
      </c>
      <c r="E1454" t="inlineStr">
        <is>
          <t>Profit attributable to parent</t>
        </is>
      </c>
      <c r="F1454" t="n">
        <v>542.473</v>
      </c>
      <c r="G1454" t="inlineStr">
        <is>
          <t>IDR bn</t>
        </is>
      </c>
      <c r="H1454" t="n">
        <v>10</v>
      </c>
      <c r="I1454" t="inlineStr">
        <is>
          <t>Pemilik Entitas Induk 542.473</t>
        </is>
      </c>
      <c r="J1454" t="inlineStr">
        <is>
          <t>High</t>
        </is>
      </c>
      <c r="M1454" t="inlineStr">
        <is>
          <t>LLM</t>
        </is>
      </c>
      <c r="N1454" t="inlineStr">
        <is>
          <t>2026-04-18</t>
        </is>
      </c>
      <c r="O1454" t="inlineStr">
        <is>
          <t>AI</t>
        </is>
      </c>
    </row>
    <row r="1455">
      <c r="A1455" t="inlineStr">
        <is>
          <t>PT FAP Agri Tbk</t>
        </is>
      </c>
      <c r="B1455" t="inlineStr">
        <is>
          <t>FAPA_2024_AR.pdf</t>
        </is>
      </c>
      <c r="C1455" t="n">
        <v>2024</v>
      </c>
      <c r="D1455" t="inlineStr">
        <is>
          <t>Financial</t>
        </is>
      </c>
      <c r="E1455" t="inlineStr">
        <is>
          <t>EPS</t>
        </is>
      </c>
      <c r="F1455" t="n">
        <v>151.02</v>
      </c>
      <c r="G1455" t="inlineStr">
        <is>
          <t>IDR/share</t>
        </is>
      </c>
      <c r="H1455" t="n">
        <v>10</v>
      </c>
      <c r="I1455" t="inlineStr">
        <is>
          <t>Laba Per Saham Dasar 151,02</t>
        </is>
      </c>
      <c r="J1455" t="inlineStr">
        <is>
          <t>High</t>
        </is>
      </c>
      <c r="M1455" t="inlineStr">
        <is>
          <t>LLM</t>
        </is>
      </c>
      <c r="N1455" t="inlineStr">
        <is>
          <t>2026-04-18</t>
        </is>
      </c>
      <c r="O1455" t="inlineStr">
        <is>
          <t>AI</t>
        </is>
      </c>
    </row>
    <row r="1456">
      <c r="A1456" t="inlineStr">
        <is>
          <t>PT FAP Agri Tbk</t>
        </is>
      </c>
      <c r="B1456" t="inlineStr">
        <is>
          <t>FAPA_2024_AR.pdf</t>
        </is>
      </c>
      <c r="C1456" t="n">
        <v>2024</v>
      </c>
      <c r="D1456" t="inlineStr">
        <is>
          <t>Financial</t>
        </is>
      </c>
      <c r="E1456" t="inlineStr">
        <is>
          <t>Total assets</t>
        </is>
      </c>
      <c r="F1456" t="n">
        <v>8816.683999999999</v>
      </c>
      <c r="G1456" t="inlineStr">
        <is>
          <t>IDR bn</t>
        </is>
      </c>
      <c r="H1456" t="n">
        <v>11</v>
      </c>
      <c r="I1456" t="inlineStr">
        <is>
          <t>Jumlah Aset 8.816.684</t>
        </is>
      </c>
      <c r="J1456" t="inlineStr">
        <is>
          <t>High</t>
        </is>
      </c>
      <c r="M1456" t="inlineStr">
        <is>
          <t>LLM</t>
        </is>
      </c>
      <c r="N1456" t="inlineStr">
        <is>
          <t>2026-04-18</t>
        </is>
      </c>
      <c r="O1456" t="inlineStr">
        <is>
          <t>AI</t>
        </is>
      </c>
    </row>
    <row r="1457">
      <c r="A1457" t="inlineStr">
        <is>
          <t>PT FAP Agri Tbk</t>
        </is>
      </c>
      <c r="B1457" t="inlineStr">
        <is>
          <t>FAPA_2024_AR.pdf</t>
        </is>
      </c>
      <c r="C1457" t="n">
        <v>2024</v>
      </c>
      <c r="D1457" t="inlineStr">
        <is>
          <t>Financial</t>
        </is>
      </c>
      <c r="E1457" t="inlineStr">
        <is>
          <t>Current assets</t>
        </is>
      </c>
      <c r="F1457" t="n">
        <v>1943.127</v>
      </c>
      <c r="G1457" t="inlineStr">
        <is>
          <t>IDR bn</t>
        </is>
      </c>
      <c r="H1457" t="n">
        <v>11</v>
      </c>
      <c r="I1457" t="inlineStr">
        <is>
          <t>Aset Lancar 1.943.127</t>
        </is>
      </c>
      <c r="J1457" t="inlineStr">
        <is>
          <t>High</t>
        </is>
      </c>
      <c r="M1457" t="inlineStr">
        <is>
          <t>LLM</t>
        </is>
      </c>
      <c r="N1457" t="inlineStr">
        <is>
          <t>2026-04-18</t>
        </is>
      </c>
      <c r="O1457" t="inlineStr">
        <is>
          <t>AI</t>
        </is>
      </c>
    </row>
    <row r="1458">
      <c r="A1458" t="inlineStr">
        <is>
          <t>PT FAP Agri Tbk</t>
        </is>
      </c>
      <c r="B1458" t="inlineStr">
        <is>
          <t>FAPA_2024_AR.pdf</t>
        </is>
      </c>
      <c r="C1458" t="n">
        <v>2024</v>
      </c>
      <c r="D1458" t="inlineStr">
        <is>
          <t>Financial</t>
        </is>
      </c>
      <c r="E1458" t="inlineStr">
        <is>
          <t>Non-current assets</t>
        </is>
      </c>
      <c r="F1458" t="n">
        <v>6873.557</v>
      </c>
      <c r="G1458" t="inlineStr">
        <is>
          <t>IDR bn</t>
        </is>
      </c>
      <c r="H1458" t="n">
        <v>11</v>
      </c>
      <c r="I1458" t="inlineStr">
        <is>
          <t>Aset Tidak Lancar 6.873.557</t>
        </is>
      </c>
      <c r="J1458" t="inlineStr">
        <is>
          <t>High</t>
        </is>
      </c>
      <c r="M1458" t="inlineStr">
        <is>
          <t>LLM</t>
        </is>
      </c>
      <c r="N1458" t="inlineStr">
        <is>
          <t>2026-04-18</t>
        </is>
      </c>
      <c r="O1458" t="inlineStr">
        <is>
          <t>AI</t>
        </is>
      </c>
    </row>
    <row r="1459">
      <c r="A1459" t="inlineStr">
        <is>
          <t>PT FAP Agri Tbk</t>
        </is>
      </c>
      <c r="B1459" t="inlineStr">
        <is>
          <t>FAPA_2024_AR.pdf</t>
        </is>
      </c>
      <c r="C1459" t="n">
        <v>2024</v>
      </c>
      <c r="D1459" t="inlineStr">
        <is>
          <t>Financial</t>
        </is>
      </c>
      <c r="E1459" t="inlineStr">
        <is>
          <t>Current liabilities</t>
        </is>
      </c>
      <c r="F1459" t="n">
        <v>2572.488</v>
      </c>
      <c r="G1459" t="inlineStr">
        <is>
          <t>IDR bn</t>
        </is>
      </c>
      <c r="H1459" t="n">
        <v>11</v>
      </c>
      <c r="I1459" t="inlineStr">
        <is>
          <t>Liabilitas Jangka Pendek 2.572.488</t>
        </is>
      </c>
      <c r="J1459" t="inlineStr">
        <is>
          <t>High</t>
        </is>
      </c>
      <c r="M1459" t="inlineStr">
        <is>
          <t>LLM</t>
        </is>
      </c>
      <c r="N1459" t="inlineStr">
        <is>
          <t>2026-04-18</t>
        </is>
      </c>
      <c r="O1459" t="inlineStr">
        <is>
          <t>AI</t>
        </is>
      </c>
    </row>
    <row r="1460">
      <c r="A1460" t="inlineStr">
        <is>
          <t>PT FAP Agri Tbk</t>
        </is>
      </c>
      <c r="B1460" t="inlineStr">
        <is>
          <t>FAPA_2024_AR.pdf</t>
        </is>
      </c>
      <c r="C1460" t="n">
        <v>2024</v>
      </c>
      <c r="D1460" t="inlineStr">
        <is>
          <t>Financial</t>
        </is>
      </c>
      <c r="E1460" t="inlineStr">
        <is>
          <t>Non-current liabilities</t>
        </is>
      </c>
      <c r="F1460" t="n">
        <v>2391.461</v>
      </c>
      <c r="G1460" t="inlineStr">
        <is>
          <t>IDR bn</t>
        </is>
      </c>
      <c r="H1460" t="n">
        <v>11</v>
      </c>
      <c r="I1460" t="inlineStr">
        <is>
          <t>Liabilitas Jangka Panjang 2.391.461</t>
        </is>
      </c>
      <c r="J1460" t="inlineStr">
        <is>
          <t>High</t>
        </is>
      </c>
      <c r="M1460" t="inlineStr">
        <is>
          <t>LLM</t>
        </is>
      </c>
      <c r="N1460" t="inlineStr">
        <is>
          <t>2026-04-18</t>
        </is>
      </c>
      <c r="O1460" t="inlineStr">
        <is>
          <t>AI</t>
        </is>
      </c>
    </row>
    <row r="1461">
      <c r="A1461" t="inlineStr">
        <is>
          <t>PT FAP Agri Tbk</t>
        </is>
      </c>
      <c r="B1461" t="inlineStr">
        <is>
          <t>FAPA_2024_AR.pdf</t>
        </is>
      </c>
      <c r="C1461" t="n">
        <v>2024</v>
      </c>
      <c r="D1461" t="inlineStr">
        <is>
          <t>Financial</t>
        </is>
      </c>
      <c r="E1461" t="inlineStr">
        <is>
          <t>Total liabilities</t>
        </is>
      </c>
      <c r="F1461" t="n">
        <v>4963.949</v>
      </c>
      <c r="G1461" t="inlineStr">
        <is>
          <t>IDR bn</t>
        </is>
      </c>
      <c r="H1461" t="n">
        <v>11</v>
      </c>
      <c r="I1461" t="inlineStr">
        <is>
          <t>Jumlah Liabilitas 4.963.949</t>
        </is>
      </c>
      <c r="J1461" t="inlineStr">
        <is>
          <t>High</t>
        </is>
      </c>
      <c r="M1461" t="inlineStr">
        <is>
          <t>LLM</t>
        </is>
      </c>
      <c r="N1461" t="inlineStr">
        <is>
          <t>2026-04-18</t>
        </is>
      </c>
      <c r="O1461" t="inlineStr">
        <is>
          <t>AI</t>
        </is>
      </c>
    </row>
    <row r="1462">
      <c r="A1462" t="inlineStr">
        <is>
          <t>PT FAP Agri Tbk</t>
        </is>
      </c>
      <c r="B1462" t="inlineStr">
        <is>
          <t>FAPA_2024_AR.pdf</t>
        </is>
      </c>
      <c r="C1462" t="n">
        <v>2024</v>
      </c>
      <c r="D1462" t="inlineStr">
        <is>
          <t>Financial</t>
        </is>
      </c>
      <c r="E1462" t="inlineStr">
        <is>
          <t>Total equity</t>
        </is>
      </c>
      <c r="F1462" t="n">
        <v>3852.735</v>
      </c>
      <c r="G1462" t="inlineStr">
        <is>
          <t>IDR bn</t>
        </is>
      </c>
      <c r="H1462" t="n">
        <v>11</v>
      </c>
      <c r="I1462" t="inlineStr">
        <is>
          <t>Jumlah Ekuitas 3.852.735</t>
        </is>
      </c>
      <c r="J1462" t="inlineStr">
        <is>
          <t>High</t>
        </is>
      </c>
      <c r="M1462" t="inlineStr">
        <is>
          <t>LLM</t>
        </is>
      </c>
      <c r="N1462" t="inlineStr">
        <is>
          <t>2026-04-18</t>
        </is>
      </c>
      <c r="O1462" t="inlineStr">
        <is>
          <t>AI</t>
        </is>
      </c>
    </row>
    <row r="1463">
      <c r="A1463" t="inlineStr">
        <is>
          <t>PT FAP Agri Tbk</t>
        </is>
      </c>
      <c r="B1463" t="inlineStr">
        <is>
          <t>FAPA_2024_AR.pdf</t>
        </is>
      </c>
      <c r="C1463" t="n">
        <v>2024</v>
      </c>
      <c r="D1463" t="inlineStr">
        <is>
          <t>Financial</t>
        </is>
      </c>
      <c r="E1463" t="inlineStr">
        <is>
          <t>Cash &amp; bank</t>
        </is>
      </c>
      <c r="F1463" t="n">
        <v>815.777</v>
      </c>
      <c r="G1463" t="inlineStr">
        <is>
          <t>IDR bn</t>
        </is>
      </c>
      <c r="H1463" t="n">
        <v>200</v>
      </c>
      <c r="I1463" t="inlineStr">
        <is>
          <t>Kas dan bank 5 815.777.415.583</t>
        </is>
      </c>
      <c r="J1463" t="inlineStr">
        <is>
          <t>High</t>
        </is>
      </c>
      <c r="M1463" t="inlineStr">
        <is>
          <t>LLM</t>
        </is>
      </c>
      <c r="N1463" t="inlineStr">
        <is>
          <t>2026-04-18</t>
        </is>
      </c>
      <c r="O1463" t="inlineStr">
        <is>
          <t>AI</t>
        </is>
      </c>
    </row>
    <row r="1464">
      <c r="A1464" t="inlineStr">
        <is>
          <t>PT FAP Agri Tbk</t>
        </is>
      </c>
      <c r="B1464" t="inlineStr">
        <is>
          <t>FAPA_2024_AR.pdf</t>
        </is>
      </c>
      <c r="C1464" t="n">
        <v>2024</v>
      </c>
      <c r="D1464" t="inlineStr">
        <is>
          <t>Financial</t>
        </is>
      </c>
      <c r="E1464" t="inlineStr">
        <is>
          <t>Bank overdraft</t>
        </is>
      </c>
      <c r="F1464" t="n">
        <v>676.569</v>
      </c>
      <c r="G1464" t="inlineStr">
        <is>
          <t>IDR bn</t>
        </is>
      </c>
      <c r="H1464" t="n">
        <v>201</v>
      </c>
      <c r="I1464" t="inlineStr">
        <is>
          <t>Cerukan 21 676.568.604.746</t>
        </is>
      </c>
      <c r="J1464" t="inlineStr">
        <is>
          <t>High</t>
        </is>
      </c>
      <c r="M1464" t="inlineStr">
        <is>
          <t>LLM</t>
        </is>
      </c>
      <c r="N1464" t="inlineStr">
        <is>
          <t>2026-04-18</t>
        </is>
      </c>
      <c r="O1464" t="inlineStr">
        <is>
          <t>AI</t>
        </is>
      </c>
    </row>
    <row r="1465">
      <c r="A1465" t="inlineStr">
        <is>
          <t>PT FAP Agri Tbk</t>
        </is>
      </c>
      <c r="B1465" t="inlineStr">
        <is>
          <t>FAPA_2024_AR.pdf</t>
        </is>
      </c>
      <c r="C1465" t="n">
        <v>2024</v>
      </c>
      <c r="D1465" t="inlineStr">
        <is>
          <t>Financial</t>
        </is>
      </c>
      <c r="E1465" t="inlineStr">
        <is>
          <t>Current LT bank loans</t>
        </is>
      </c>
      <c r="F1465" t="n">
        <v>661.9450000000001</v>
      </c>
      <c r="G1465" t="inlineStr">
        <is>
          <t>IDR bn</t>
        </is>
      </c>
      <c r="H1465" t="n">
        <v>201</v>
      </c>
      <c r="I1465" t="inlineStr">
        <is>
          <t>Utang bank (current) 21 661.944.631.108</t>
        </is>
      </c>
      <c r="J1465" t="inlineStr">
        <is>
          <t>High</t>
        </is>
      </c>
      <c r="M1465" t="inlineStr">
        <is>
          <t>LLM</t>
        </is>
      </c>
      <c r="N1465" t="inlineStr">
        <is>
          <t>2026-04-18</t>
        </is>
      </c>
      <c r="O1465" t="inlineStr">
        <is>
          <t>AI</t>
        </is>
      </c>
    </row>
    <row r="1466">
      <c r="A1466" t="inlineStr">
        <is>
          <t>PT FAP Agri Tbk</t>
        </is>
      </c>
      <c r="B1466" t="inlineStr">
        <is>
          <t>FAPA_2024_AR.pdf</t>
        </is>
      </c>
      <c r="C1466" t="n">
        <v>2024</v>
      </c>
      <c r="D1466" t="inlineStr">
        <is>
          <t>Financial</t>
        </is>
      </c>
      <c r="E1466" t="inlineStr">
        <is>
          <t>LT bank loans (net)</t>
        </is>
      </c>
      <c r="F1466" t="n">
        <v>2175.625</v>
      </c>
      <c r="G1466" t="inlineStr">
        <is>
          <t>IDR bn</t>
        </is>
      </c>
      <c r="H1466" t="n">
        <v>201</v>
      </c>
      <c r="I1466" t="inlineStr">
        <is>
          <t>Utang bank (non-current) 21 2.175.625.082.008</t>
        </is>
      </c>
      <c r="J1466" t="inlineStr">
        <is>
          <t>High</t>
        </is>
      </c>
      <c r="M1466" t="inlineStr">
        <is>
          <t>LLM</t>
        </is>
      </c>
      <c r="N1466" t="inlineStr">
        <is>
          <t>2026-04-18</t>
        </is>
      </c>
      <c r="O1466" t="inlineStr">
        <is>
          <t>AI</t>
        </is>
      </c>
    </row>
    <row r="1467">
      <c r="A1467" t="inlineStr">
        <is>
          <t>PT FAP Agri Tbk</t>
        </is>
      </c>
      <c r="B1467" t="inlineStr">
        <is>
          <t>FAPA_2024_AR.pdf</t>
        </is>
      </c>
      <c r="C1467" t="n">
        <v>2024</v>
      </c>
      <c r="D1467" t="inlineStr">
        <is>
          <t>Financial</t>
        </is>
      </c>
      <c r="E1467" t="inlineStr">
        <is>
          <t>CFO</t>
        </is>
      </c>
      <c r="F1467" t="n">
        <v>1706.122</v>
      </c>
      <c r="G1467" t="inlineStr">
        <is>
          <t>IDR bn</t>
        </is>
      </c>
      <c r="H1467" t="n">
        <v>12</v>
      </c>
      <c r="I1467" t="inlineStr">
        <is>
          <t>Arus Kas dari Aktivitas Operasi 1.706.122</t>
        </is>
      </c>
      <c r="J1467" t="inlineStr">
        <is>
          <t>High</t>
        </is>
      </c>
      <c r="M1467" t="inlineStr">
        <is>
          <t>LLM</t>
        </is>
      </c>
      <c r="N1467" t="inlineStr">
        <is>
          <t>2026-04-18</t>
        </is>
      </c>
      <c r="O1467" t="inlineStr">
        <is>
          <t>AI</t>
        </is>
      </c>
    </row>
    <row r="1468">
      <c r="A1468" t="inlineStr">
        <is>
          <t>PT FAP Agri Tbk</t>
        </is>
      </c>
      <c r="B1468" t="inlineStr">
        <is>
          <t>FAPA_2024_AR.pdf</t>
        </is>
      </c>
      <c r="C1468" t="n">
        <v>2024</v>
      </c>
      <c r="D1468" t="inlineStr">
        <is>
          <t>Financial</t>
        </is>
      </c>
      <c r="E1468" t="inlineStr">
        <is>
          <t>Fixed asset acquisitions</t>
        </is>
      </c>
      <c r="F1468" t="n">
        <v>516.223</v>
      </c>
      <c r="G1468" t="inlineStr">
        <is>
          <t>IDR bn</t>
        </is>
      </c>
      <c r="H1468" t="n">
        <v>207</v>
      </c>
      <c r="I1468" t="inlineStr">
        <is>
          <t>Perolehan aset tetap (516.222.721.585)</t>
        </is>
      </c>
      <c r="J1468" t="inlineStr">
        <is>
          <t>High</t>
        </is>
      </c>
      <c r="M1468" t="inlineStr">
        <is>
          <t>LLM</t>
        </is>
      </c>
      <c r="N1468" t="inlineStr">
        <is>
          <t>2026-04-18</t>
        </is>
      </c>
      <c r="O1468" t="inlineStr">
        <is>
          <t>AI</t>
        </is>
      </c>
    </row>
    <row r="1469">
      <c r="A1469" t="inlineStr">
        <is>
          <t>PT FAP Agri Tbk</t>
        </is>
      </c>
      <c r="B1469" t="inlineStr">
        <is>
          <t>FAPA_2024_AR.pdf</t>
        </is>
      </c>
      <c r="C1469" t="n">
        <v>2024</v>
      </c>
      <c r="D1469" t="inlineStr">
        <is>
          <t>Financial</t>
        </is>
      </c>
      <c r="E1469" t="inlineStr">
        <is>
          <t>Depreciation (total)</t>
        </is>
      </c>
      <c r="F1469" t="n">
        <v>523.881</v>
      </c>
      <c r="G1469" t="inlineStr">
        <is>
          <t>IDR bn</t>
        </is>
      </c>
      <c r="H1469" t="n">
        <v>315</v>
      </c>
      <c r="I1469" t="inlineStr">
        <is>
          <t>Penyusutan (Catatan 13, 14 dan 15) 523.881.216.164</t>
        </is>
      </c>
      <c r="J1469" t="inlineStr">
        <is>
          <t>High</t>
        </is>
      </c>
      <c r="M1469" t="inlineStr">
        <is>
          <t>LLM</t>
        </is>
      </c>
      <c r="N1469" t="inlineStr">
        <is>
          <t>2026-04-18</t>
        </is>
      </c>
      <c r="O1469" t="inlineStr">
        <is>
          <t>AI</t>
        </is>
      </c>
    </row>
    <row r="1470">
      <c r="A1470" t="inlineStr">
        <is>
          <t>PT FAP Agri Tbk</t>
        </is>
      </c>
      <c r="B1470" t="inlineStr">
        <is>
          <t>FAPA_2024_AR.pdf</t>
        </is>
      </c>
      <c r="C1470" t="n">
        <v>2024</v>
      </c>
      <c r="D1470" t="inlineStr">
        <is>
          <t>Financial</t>
        </is>
      </c>
      <c r="E1470" t="inlineStr">
        <is>
          <t>Closing price Q4 2024</t>
        </is>
      </c>
      <c r="F1470" t="n">
        <v>5400</v>
      </c>
      <c r="G1470" t="inlineStr">
        <is>
          <t>IDR</t>
        </is>
      </c>
      <c r="H1470" t="n">
        <v>16</v>
      </c>
      <c r="I1470" t="inlineStr">
        <is>
          <t>Kuartal 4 5.400 5.250 5.400</t>
        </is>
      </c>
      <c r="J1470" t="inlineStr">
        <is>
          <t>High</t>
        </is>
      </c>
      <c r="M1470" t="inlineStr">
        <is>
          <t>LLM</t>
        </is>
      </c>
      <c r="N1470" t="inlineStr">
        <is>
          <t>2026-04-18</t>
        </is>
      </c>
      <c r="O1470" t="inlineStr">
        <is>
          <t>AI</t>
        </is>
      </c>
    </row>
    <row r="1471">
      <c r="A1471" t="inlineStr">
        <is>
          <t>PT FAP Agri Tbk</t>
        </is>
      </c>
      <c r="B1471" t="inlineStr">
        <is>
          <t>FAPA_2024_AR.pdf</t>
        </is>
      </c>
      <c r="C1471" t="n">
        <v>2024</v>
      </c>
      <c r="D1471" t="inlineStr">
        <is>
          <t>Financial</t>
        </is>
      </c>
      <c r="E1471" t="inlineStr">
        <is>
          <t>Market cap Q4 2024</t>
        </is>
      </c>
      <c r="F1471" t="n">
        <v>19598.824</v>
      </c>
      <c r="G1471" t="inlineStr">
        <is>
          <t>IDR bn</t>
        </is>
      </c>
      <c r="H1471" t="n">
        <v>16</v>
      </c>
      <c r="I1471" t="inlineStr">
        <is>
          <t>19.598.823.720.000</t>
        </is>
      </c>
      <c r="J1471" t="inlineStr">
        <is>
          <t>High</t>
        </is>
      </c>
      <c r="M1471" t="inlineStr">
        <is>
          <t>LLM</t>
        </is>
      </c>
      <c r="N1471" t="inlineStr">
        <is>
          <t>2026-04-18</t>
        </is>
      </c>
      <c r="O1471" t="inlineStr">
        <is>
          <t>AI</t>
        </is>
      </c>
    </row>
    <row r="1472">
      <c r="A1472" t="inlineStr">
        <is>
          <t>PT FAP Agri Tbk</t>
        </is>
      </c>
      <c r="B1472" t="inlineStr">
        <is>
          <t>FAPA_2024_AR.pdf</t>
        </is>
      </c>
      <c r="C1472" t="n">
        <v>2024</v>
      </c>
      <c r="D1472" t="inlineStr">
        <is>
          <t>Asset</t>
        </is>
      </c>
      <c r="E1472" t="inlineStr">
        <is>
          <t>Total planted area</t>
        </is>
      </c>
      <c r="F1472" t="n">
        <v>88701</v>
      </c>
      <c r="G1472" t="inlineStr">
        <is>
          <t>ha</t>
        </is>
      </c>
      <c r="H1472" t="n">
        <v>13</v>
      </c>
      <c r="I1472" t="inlineStr">
        <is>
          <t>Mature 87.633 + Immature 1.068</t>
        </is>
      </c>
      <c r="J1472" t="inlineStr">
        <is>
          <t>High</t>
        </is>
      </c>
      <c r="M1472" t="inlineStr">
        <is>
          <t>LLM</t>
        </is>
      </c>
      <c r="N1472" t="inlineStr">
        <is>
          <t>2026-04-18</t>
        </is>
      </c>
      <c r="O1472" t="inlineStr">
        <is>
          <t>AI</t>
        </is>
      </c>
    </row>
    <row r="1473">
      <c r="A1473" t="inlineStr">
        <is>
          <t>PT FAP Agri Tbk</t>
        </is>
      </c>
      <c r="B1473" t="inlineStr">
        <is>
          <t>FAPA_2024_AR.pdf</t>
        </is>
      </c>
      <c r="C1473" t="n">
        <v>2024</v>
      </c>
      <c r="D1473" t="inlineStr">
        <is>
          <t>Asset</t>
        </is>
      </c>
      <c r="E1473" t="inlineStr">
        <is>
          <t>Mature area</t>
        </is>
      </c>
      <c r="F1473" t="n">
        <v>87633</v>
      </c>
      <c r="G1473" t="inlineStr">
        <is>
          <t>ha</t>
        </is>
      </c>
      <c r="H1473" t="n">
        <v>13</v>
      </c>
      <c r="I1473" t="inlineStr">
        <is>
          <t>Luas Tanaman Menghasilkan 87.633</t>
        </is>
      </c>
      <c r="J1473" t="inlineStr">
        <is>
          <t>High</t>
        </is>
      </c>
      <c r="M1473" t="inlineStr">
        <is>
          <t>LLM</t>
        </is>
      </c>
      <c r="N1473" t="inlineStr">
        <is>
          <t>2026-04-18</t>
        </is>
      </c>
      <c r="O1473" t="inlineStr">
        <is>
          <t>AI</t>
        </is>
      </c>
    </row>
    <row r="1474">
      <c r="A1474" t="inlineStr">
        <is>
          <t>PT FAP Agri Tbk</t>
        </is>
      </c>
      <c r="B1474" t="inlineStr">
        <is>
          <t>FAPA_2024_AR.pdf</t>
        </is>
      </c>
      <c r="C1474" t="n">
        <v>2024</v>
      </c>
      <c r="D1474" t="inlineStr">
        <is>
          <t>Asset</t>
        </is>
      </c>
      <c r="E1474" t="inlineStr">
        <is>
          <t>Immature area</t>
        </is>
      </c>
      <c r="F1474" t="n">
        <v>1068</v>
      </c>
      <c r="G1474" t="inlineStr">
        <is>
          <t>ha</t>
        </is>
      </c>
      <c r="H1474" t="n">
        <v>13</v>
      </c>
      <c r="I1474" t="inlineStr">
        <is>
          <t>Luas Tanaman Belum Menghasilkan 1.068</t>
        </is>
      </c>
      <c r="J1474" t="inlineStr">
        <is>
          <t>High</t>
        </is>
      </c>
      <c r="M1474" t="inlineStr">
        <is>
          <t>LLM</t>
        </is>
      </c>
      <c r="N1474" t="inlineStr">
        <is>
          <t>2026-04-18</t>
        </is>
      </c>
      <c r="O1474" t="inlineStr">
        <is>
          <t>AI</t>
        </is>
      </c>
    </row>
    <row r="1475">
      <c r="A1475" t="inlineStr">
        <is>
          <t>PT FAP Agri Tbk</t>
        </is>
      </c>
      <c r="B1475" t="inlineStr">
        <is>
          <t>FAPA_2024_AR.pdf</t>
        </is>
      </c>
      <c r="C1475" t="n">
        <v>2024</v>
      </c>
      <c r="D1475" t="inlineStr">
        <is>
          <t>Asset</t>
        </is>
      </c>
      <c r="E1475" t="inlineStr">
        <is>
          <t>North Kalimantan mature area</t>
        </is>
      </c>
      <c r="F1475" t="n">
        <v>50066</v>
      </c>
      <c r="G1475" t="inlineStr">
        <is>
          <t>ha</t>
        </is>
      </c>
      <c r="H1475" t="n">
        <v>48</v>
      </c>
      <c r="I1475" t="inlineStr">
        <is>
          <t>Luas Tanaman Menghasilkan: 50.066 ha (North Kalimantan)</t>
        </is>
      </c>
      <c r="J1475" t="inlineStr">
        <is>
          <t>High</t>
        </is>
      </c>
      <c r="M1475" t="inlineStr">
        <is>
          <t>LLM</t>
        </is>
      </c>
      <c r="N1475" t="inlineStr">
        <is>
          <t>2026-04-18</t>
        </is>
      </c>
      <c r="O1475" t="inlineStr">
        <is>
          <t>AI</t>
        </is>
      </c>
    </row>
    <row r="1476">
      <c r="A1476" t="inlineStr">
        <is>
          <t>PT FAP Agri Tbk</t>
        </is>
      </c>
      <c r="B1476" t="inlineStr">
        <is>
          <t>FAPA_2024_AR.pdf</t>
        </is>
      </c>
      <c r="C1476" t="n">
        <v>2024</v>
      </c>
      <c r="D1476" t="inlineStr">
        <is>
          <t>Asset</t>
        </is>
      </c>
      <c r="E1476" t="inlineStr">
        <is>
          <t>East Kalimantan mature area</t>
        </is>
      </c>
      <c r="F1476" t="n">
        <v>34286</v>
      </c>
      <c r="G1476" t="inlineStr">
        <is>
          <t>ha</t>
        </is>
      </c>
      <c r="H1476" t="n">
        <v>48</v>
      </c>
      <c r="I1476" t="inlineStr">
        <is>
          <t>KALIMANTAN TIMUR Luas Tanaman Menghasilkan: 34.286 ha</t>
        </is>
      </c>
      <c r="J1476" t="inlineStr">
        <is>
          <t>High</t>
        </is>
      </c>
      <c r="M1476" t="inlineStr">
        <is>
          <t>LLM</t>
        </is>
      </c>
      <c r="N1476" t="inlineStr">
        <is>
          <t>2026-04-18</t>
        </is>
      </c>
      <c r="O1476" t="inlineStr">
        <is>
          <t>AI</t>
        </is>
      </c>
    </row>
    <row r="1477">
      <c r="A1477" t="inlineStr">
        <is>
          <t>PT FAP Agri Tbk</t>
        </is>
      </c>
      <c r="B1477" t="inlineStr">
        <is>
          <t>FAPA_2024_AR.pdf</t>
        </is>
      </c>
      <c r="C1477" t="n">
        <v>2024</v>
      </c>
      <c r="D1477" t="inlineStr">
        <is>
          <t>Asset</t>
        </is>
      </c>
      <c r="E1477" t="inlineStr">
        <is>
          <t>POMs</t>
        </is>
      </c>
      <c r="F1477" t="n">
        <v>5</v>
      </c>
      <c r="G1477" t="inlineStr">
        <is>
          <t>mills</t>
        </is>
      </c>
      <c r="H1477" t="n">
        <v>48</v>
      </c>
      <c r="I1477" t="inlineStr">
        <is>
          <t>4 Pabrik Pengolahan Kepala Sawit (PKS) + 1 mill East Kalimantan</t>
        </is>
      </c>
      <c r="J1477" t="inlineStr">
        <is>
          <t>High</t>
        </is>
      </c>
      <c r="M1477" t="inlineStr">
        <is>
          <t>LLM</t>
        </is>
      </c>
      <c r="N1477" t="inlineStr">
        <is>
          <t>2026-04-18</t>
        </is>
      </c>
      <c r="O1477" t="inlineStr">
        <is>
          <t>AI</t>
        </is>
      </c>
    </row>
    <row r="1478">
      <c r="A1478" t="inlineStr">
        <is>
          <t>PT FAP Agri Tbk</t>
        </is>
      </c>
      <c r="B1478" t="inlineStr">
        <is>
          <t>FAPA_2024_AR.pdf</t>
        </is>
      </c>
      <c r="C1478" t="n">
        <v>2024</v>
      </c>
      <c r="D1478" t="inlineStr">
        <is>
          <t>Asset</t>
        </is>
      </c>
      <c r="E1478" t="inlineStr">
        <is>
          <t>Kernel crushing plant</t>
        </is>
      </c>
      <c r="F1478" t="n">
        <v>1</v>
      </c>
      <c r="G1478" t="inlineStr">
        <is>
          <t>unit</t>
        </is>
      </c>
      <c r="H1478" t="n">
        <v>48</v>
      </c>
      <c r="I1478" t="inlineStr">
        <is>
          <t>1 Pabrik Pengolahan Inti Sawit (PPIS)</t>
        </is>
      </c>
      <c r="J1478" t="inlineStr">
        <is>
          <t>High</t>
        </is>
      </c>
      <c r="M1478" t="inlineStr">
        <is>
          <t>LLM</t>
        </is>
      </c>
      <c r="N1478" t="inlineStr">
        <is>
          <t>2026-04-18</t>
        </is>
      </c>
      <c r="O1478" t="inlineStr">
        <is>
          <t>AI</t>
        </is>
      </c>
    </row>
    <row r="1479">
      <c r="A1479" t="inlineStr">
        <is>
          <t>PT FAP Agri Tbk</t>
        </is>
      </c>
      <c r="B1479" t="inlineStr">
        <is>
          <t>FAPA_2024_AR.pdf</t>
        </is>
      </c>
      <c r="C1479" t="n">
        <v>2024</v>
      </c>
      <c r="D1479" t="inlineStr">
        <is>
          <t>Operation</t>
        </is>
      </c>
      <c r="E1479" t="inlineStr">
        <is>
          <t>FFB production</t>
        </is>
      </c>
      <c r="F1479" t="n">
        <v>1312257</v>
      </c>
      <c r="G1479" t="inlineStr">
        <is>
          <t>tons</t>
        </is>
      </c>
      <c r="H1479" t="n">
        <v>13</v>
      </c>
      <c r="I1479" t="inlineStr">
        <is>
          <t>Produksi Tandan Buah Segar 1.312.257</t>
        </is>
      </c>
      <c r="J1479" t="inlineStr">
        <is>
          <t>High</t>
        </is>
      </c>
      <c r="M1479" t="inlineStr">
        <is>
          <t>LLM</t>
        </is>
      </c>
      <c r="N1479" t="inlineStr">
        <is>
          <t>2026-04-18</t>
        </is>
      </c>
      <c r="O1479" t="inlineStr">
        <is>
          <t>AI</t>
        </is>
      </c>
    </row>
    <row r="1480">
      <c r="A1480" t="inlineStr">
        <is>
          <t>PT FAP Agri Tbk</t>
        </is>
      </c>
      <c r="B1480" t="inlineStr">
        <is>
          <t>FAPA_2024_AR.pdf</t>
        </is>
      </c>
      <c r="C1480" t="n">
        <v>2024</v>
      </c>
      <c r="D1480" t="inlineStr">
        <is>
          <t>Operation</t>
        </is>
      </c>
      <c r="E1480" t="inlineStr">
        <is>
          <t>CPO production</t>
        </is>
      </c>
      <c r="F1480" t="n">
        <v>297758</v>
      </c>
      <c r="G1480" t="inlineStr">
        <is>
          <t>tons</t>
        </is>
      </c>
      <c r="H1480" t="n">
        <v>14</v>
      </c>
      <c r="I1480" t="inlineStr">
        <is>
          <t>Produksi Minyak Sawit Mentah 297.758</t>
        </is>
      </c>
      <c r="J1480" t="inlineStr">
        <is>
          <t>High</t>
        </is>
      </c>
      <c r="M1480" t="inlineStr">
        <is>
          <t>LLM</t>
        </is>
      </c>
      <c r="N1480" t="inlineStr">
        <is>
          <t>2026-04-18</t>
        </is>
      </c>
      <c r="O1480" t="inlineStr">
        <is>
          <t>AI</t>
        </is>
      </c>
    </row>
    <row r="1481">
      <c r="A1481" t="inlineStr">
        <is>
          <t>PT FAP Agri Tbk</t>
        </is>
      </c>
      <c r="B1481" t="inlineStr">
        <is>
          <t>FAPA_2024_AR.pdf</t>
        </is>
      </c>
      <c r="C1481" t="n">
        <v>2024</v>
      </c>
      <c r="D1481" t="inlineStr">
        <is>
          <t>Operation</t>
        </is>
      </c>
      <c r="E1481" t="inlineStr">
        <is>
          <t>Palm kernel production</t>
        </is>
      </c>
      <c r="F1481" t="n">
        <v>52859</v>
      </c>
      <c r="G1481" t="inlineStr">
        <is>
          <t>tons</t>
        </is>
      </c>
      <c r="H1481" t="n">
        <v>14</v>
      </c>
      <c r="I1481" t="inlineStr">
        <is>
          <t>Produksi Inti Sawit 52.859</t>
        </is>
      </c>
      <c r="J1481" t="inlineStr">
        <is>
          <t>High</t>
        </is>
      </c>
      <c r="M1481" t="inlineStr">
        <is>
          <t>LLM</t>
        </is>
      </c>
      <c r="N1481" t="inlineStr">
        <is>
          <t>2026-04-18</t>
        </is>
      </c>
      <c r="O1481" t="inlineStr">
        <is>
          <t>AI</t>
        </is>
      </c>
    </row>
    <row r="1482">
      <c r="A1482" t="inlineStr">
        <is>
          <t>PT FAP Agri Tbk</t>
        </is>
      </c>
      <c r="B1482" t="inlineStr">
        <is>
          <t>FAPA_2024_AR.pdf</t>
        </is>
      </c>
      <c r="C1482" t="n">
        <v>2024</v>
      </c>
      <c r="D1482" t="inlineStr">
        <is>
          <t>Operation</t>
        </is>
      </c>
      <c r="E1482" t="inlineStr">
        <is>
          <t>PKO production</t>
        </is>
      </c>
      <c r="F1482" t="n">
        <v>13692</v>
      </c>
      <c r="G1482" t="inlineStr">
        <is>
          <t>tons</t>
        </is>
      </c>
      <c r="H1482" t="n">
        <v>14</v>
      </c>
      <c r="I1482" t="inlineStr">
        <is>
          <t>Produksi Minyak Inti Sawit 13.692</t>
        </is>
      </c>
      <c r="J1482" t="inlineStr">
        <is>
          <t>High</t>
        </is>
      </c>
      <c r="M1482" t="inlineStr">
        <is>
          <t>LLM</t>
        </is>
      </c>
      <c r="N1482" t="inlineStr">
        <is>
          <t>2026-04-18</t>
        </is>
      </c>
      <c r="O1482" t="inlineStr">
        <is>
          <t>AI</t>
        </is>
      </c>
    </row>
    <row r="1483">
      <c r="A1483" t="inlineStr">
        <is>
          <t>PT FAP Agri Tbk</t>
        </is>
      </c>
      <c r="B1483" t="inlineStr">
        <is>
          <t>FAPA_2024_AR.pdf</t>
        </is>
      </c>
      <c r="C1483" t="n">
        <v>2024</v>
      </c>
      <c r="D1483" t="inlineStr">
        <is>
          <t>Operation</t>
        </is>
      </c>
      <c r="E1483" t="inlineStr">
        <is>
          <t>PKE production</t>
        </is>
      </c>
      <c r="F1483" t="n">
        <v>15452</v>
      </c>
      <c r="G1483" t="inlineStr">
        <is>
          <t>tons</t>
        </is>
      </c>
      <c r="H1483" t="n">
        <v>14</v>
      </c>
      <c r="I1483" t="inlineStr">
        <is>
          <t>Produksi Bungkil Inti Sawit 15.452</t>
        </is>
      </c>
      <c r="J1483" t="inlineStr">
        <is>
          <t>High</t>
        </is>
      </c>
      <c r="M1483" t="inlineStr">
        <is>
          <t>LLM</t>
        </is>
      </c>
      <c r="N1483" t="inlineStr">
        <is>
          <t>2026-04-18</t>
        </is>
      </c>
      <c r="O1483" t="inlineStr">
        <is>
          <t>AI</t>
        </is>
      </c>
    </row>
    <row r="1484">
      <c r="A1484" t="inlineStr">
        <is>
          <t>PT FAP Agri Tbk</t>
        </is>
      </c>
      <c r="B1484" t="inlineStr">
        <is>
          <t>FAPA_2024_AR.pdf</t>
        </is>
      </c>
      <c r="C1484" t="n">
        <v>2024</v>
      </c>
      <c r="D1484" t="inlineStr">
        <is>
          <t>Operation</t>
        </is>
      </c>
      <c r="E1484" t="inlineStr">
        <is>
          <t>FFB yield</t>
        </is>
      </c>
      <c r="F1484" t="n">
        <v>14.97</v>
      </c>
      <c r="G1484" t="inlineStr">
        <is>
          <t>tons/ha</t>
        </is>
      </c>
      <c r="H1484" t="n">
        <v>14</v>
      </c>
      <c r="I1484" t="inlineStr">
        <is>
          <t>Yield Produksi Tandan Buah Segar 14,97 Ton/ha</t>
        </is>
      </c>
      <c r="J1484" t="inlineStr">
        <is>
          <t>High</t>
        </is>
      </c>
      <c r="M1484" t="inlineStr">
        <is>
          <t>LLM</t>
        </is>
      </c>
      <c r="N1484" t="inlineStr">
        <is>
          <t>2026-04-18</t>
        </is>
      </c>
      <c r="O1484" t="inlineStr">
        <is>
          <t>AI</t>
        </is>
      </c>
    </row>
    <row r="1485">
      <c r="A1485" t="inlineStr">
        <is>
          <t>PT FAP Agri Tbk</t>
        </is>
      </c>
      <c r="B1485" t="inlineStr">
        <is>
          <t>FAPA_2024_AR.pdf</t>
        </is>
      </c>
      <c r="C1485" t="n">
        <v>2024</v>
      </c>
      <c r="D1485" t="inlineStr">
        <is>
          <t>Operation</t>
        </is>
      </c>
      <c r="E1485" t="inlineStr">
        <is>
          <t>CPO yield</t>
        </is>
      </c>
      <c r="F1485" t="n">
        <v>3.4</v>
      </c>
      <c r="G1485" t="inlineStr">
        <is>
          <t>tons/ha</t>
        </is>
      </c>
      <c r="H1485" t="n">
        <v>14</v>
      </c>
      <c r="I1485" t="inlineStr">
        <is>
          <t>Yield Produksi Minyak Sawit Mentah 3,40 Ton/ha</t>
        </is>
      </c>
      <c r="J1485" t="inlineStr">
        <is>
          <t>High</t>
        </is>
      </c>
      <c r="M1485" t="inlineStr">
        <is>
          <t>LLM</t>
        </is>
      </c>
      <c r="N1485" t="inlineStr">
        <is>
          <t>2026-04-18</t>
        </is>
      </c>
      <c r="O1485" t="inlineStr">
        <is>
          <t>AI</t>
        </is>
      </c>
    </row>
    <row r="1486">
      <c r="A1486" t="inlineStr">
        <is>
          <t>PT FAP Agri Tbk</t>
        </is>
      </c>
      <c r="B1486" t="inlineStr">
        <is>
          <t>FAPA_2024_AR.pdf</t>
        </is>
      </c>
      <c r="C1486" t="n">
        <v>2024</v>
      </c>
      <c r="D1486" t="inlineStr">
        <is>
          <t>Operation</t>
        </is>
      </c>
      <c r="E1486" t="inlineStr">
        <is>
          <t>FFB sales</t>
        </is>
      </c>
      <c r="F1486" t="n">
        <v>282610</v>
      </c>
      <c r="G1486" t="inlineStr">
        <is>
          <t>tons</t>
        </is>
      </c>
      <c r="H1486" t="n">
        <v>14</v>
      </c>
      <c r="I1486" t="inlineStr">
        <is>
          <t>Penjualan Tandan Buah Segar 282.610</t>
        </is>
      </c>
      <c r="J1486" t="inlineStr">
        <is>
          <t>High</t>
        </is>
      </c>
      <c r="M1486" t="inlineStr">
        <is>
          <t>LLM</t>
        </is>
      </c>
      <c r="N1486" t="inlineStr">
        <is>
          <t>2026-04-18</t>
        </is>
      </c>
      <c r="O1486" t="inlineStr">
        <is>
          <t>AI</t>
        </is>
      </c>
    </row>
    <row r="1487">
      <c r="A1487" t="inlineStr">
        <is>
          <t>PT FAP Agri Tbk</t>
        </is>
      </c>
      <c r="B1487" t="inlineStr">
        <is>
          <t>FAPA_2024_AR.pdf</t>
        </is>
      </c>
      <c r="C1487" t="n">
        <v>2024</v>
      </c>
      <c r="D1487" t="inlineStr">
        <is>
          <t>Operation</t>
        </is>
      </c>
      <c r="E1487" t="inlineStr">
        <is>
          <t>CPO sales</t>
        </is>
      </c>
      <c r="F1487" t="n">
        <v>310839</v>
      </c>
      <c r="G1487" t="inlineStr">
        <is>
          <t>tons</t>
        </is>
      </c>
      <c r="H1487" t="n">
        <v>14</v>
      </c>
      <c r="I1487" t="inlineStr">
        <is>
          <t>Penjualan Minyak Sawit Mentah 310.839</t>
        </is>
      </c>
      <c r="J1487" t="inlineStr">
        <is>
          <t>High</t>
        </is>
      </c>
      <c r="M1487" t="inlineStr">
        <is>
          <t>LLM</t>
        </is>
      </c>
      <c r="N1487" t="inlineStr">
        <is>
          <t>2026-04-18</t>
        </is>
      </c>
      <c r="O1487" t="inlineStr">
        <is>
          <t>AI</t>
        </is>
      </c>
    </row>
    <row r="1488">
      <c r="A1488" t="inlineStr">
        <is>
          <t>PT FAP Agri Tbk</t>
        </is>
      </c>
      <c r="B1488" t="inlineStr">
        <is>
          <t>FAPA_2024_AR.pdf</t>
        </is>
      </c>
      <c r="C1488" t="n">
        <v>2024</v>
      </c>
      <c r="D1488" t="inlineStr">
        <is>
          <t>Operation</t>
        </is>
      </c>
      <c r="E1488" t="inlineStr">
        <is>
          <t>PK sales</t>
        </is>
      </c>
      <c r="F1488" t="n">
        <v>43159</v>
      </c>
      <c r="G1488" t="inlineStr">
        <is>
          <t>tons</t>
        </is>
      </c>
      <c r="H1488" t="n">
        <v>14</v>
      </c>
      <c r="I1488" t="inlineStr">
        <is>
          <t>Penjualan Inti Sawit 43.159</t>
        </is>
      </c>
      <c r="J1488" t="inlineStr">
        <is>
          <t>High</t>
        </is>
      </c>
      <c r="M1488" t="inlineStr">
        <is>
          <t>LLM</t>
        </is>
      </c>
      <c r="N1488" t="inlineStr">
        <is>
          <t>2026-04-18</t>
        </is>
      </c>
      <c r="O1488" t="inlineStr">
        <is>
          <t>AI</t>
        </is>
      </c>
    </row>
    <row r="1489">
      <c r="A1489" t="inlineStr">
        <is>
          <t>PT FAP Agri Tbk</t>
        </is>
      </c>
      <c r="B1489" t="inlineStr">
        <is>
          <t>FAPA_2024_AR.pdf</t>
        </is>
      </c>
      <c r="C1489" t="n">
        <v>2024</v>
      </c>
      <c r="D1489" t="inlineStr">
        <is>
          <t>Operation</t>
        </is>
      </c>
      <c r="E1489" t="inlineStr">
        <is>
          <t>PKO sales</t>
        </is>
      </c>
      <c r="F1489" t="n">
        <v>11992</v>
      </c>
      <c r="G1489" t="inlineStr">
        <is>
          <t>tons</t>
        </is>
      </c>
      <c r="H1489" t="n">
        <v>14</v>
      </c>
      <c r="I1489" t="inlineStr">
        <is>
          <t>Penjualan Minyak Inti Sawit 11.992</t>
        </is>
      </c>
      <c r="J1489" t="inlineStr">
        <is>
          <t>High</t>
        </is>
      </c>
      <c r="M1489" t="inlineStr">
        <is>
          <t>LLM</t>
        </is>
      </c>
      <c r="N1489" t="inlineStr">
        <is>
          <t>2026-04-18</t>
        </is>
      </c>
      <c r="O1489" t="inlineStr">
        <is>
          <t>AI</t>
        </is>
      </c>
    </row>
    <row r="1490">
      <c r="A1490" t="inlineStr">
        <is>
          <t>PT FAP Agri Tbk</t>
        </is>
      </c>
      <c r="B1490" t="inlineStr">
        <is>
          <t>FAPA_2024_AR.pdf</t>
        </is>
      </c>
      <c r="C1490" t="n">
        <v>2024</v>
      </c>
      <c r="D1490" t="inlineStr">
        <is>
          <t>Operation</t>
        </is>
      </c>
      <c r="E1490" t="inlineStr">
        <is>
          <t>PKE sales</t>
        </is>
      </c>
      <c r="F1490" t="n">
        <v>14640</v>
      </c>
      <c r="G1490" t="inlineStr">
        <is>
          <t>tons</t>
        </is>
      </c>
      <c r="H1490" t="n">
        <v>14</v>
      </c>
      <c r="I1490" t="inlineStr">
        <is>
          <t>Penjualan Bungkil Inti Sawit 14.640</t>
        </is>
      </c>
      <c r="J1490" t="inlineStr">
        <is>
          <t>High</t>
        </is>
      </c>
      <c r="M1490" t="inlineStr">
        <is>
          <t>LLM</t>
        </is>
      </c>
      <c r="N1490" t="inlineStr">
        <is>
          <t>2026-04-18</t>
        </is>
      </c>
      <c r="O1490" t="inlineStr">
        <is>
          <t>AI</t>
        </is>
      </c>
    </row>
    <row r="1491">
      <c r="A1491" t="inlineStr">
        <is>
          <t>PT FKS Multi Agro Tbk</t>
        </is>
      </c>
      <c r="B1491" t="inlineStr">
        <is>
          <t>FISH_2022_AR.pdf</t>
        </is>
      </c>
      <c r="C1491" t="n">
        <v>2022</v>
      </c>
      <c r="D1491" t="inlineStr">
        <is>
          <t>Company</t>
        </is>
      </c>
      <c r="E1491" t="inlineStr">
        <is>
          <t>Ticker</t>
        </is>
      </c>
      <c r="F1491" t="inlineStr">
        <is>
          <t>FISH</t>
        </is>
      </c>
      <c r="H1491" t="n">
        <v>43</v>
      </c>
      <c r="I1491" t="inlineStr">
        <is>
          <t>Ticker Code FISH</t>
        </is>
      </c>
      <c r="J1491" t="inlineStr">
        <is>
          <t>High</t>
        </is>
      </c>
      <c r="M1491" t="inlineStr">
        <is>
          <t>LLM</t>
        </is>
      </c>
      <c r="N1491" t="inlineStr">
        <is>
          <t>2026-04-18</t>
        </is>
      </c>
      <c r="O1491" t="inlineStr">
        <is>
          <t>AI</t>
        </is>
      </c>
    </row>
    <row r="1492">
      <c r="A1492" t="inlineStr">
        <is>
          <t>PT FKS Multi Agro Tbk</t>
        </is>
      </c>
      <c r="B1492" t="inlineStr">
        <is>
          <t>FISH_2022_AR.pdf</t>
        </is>
      </c>
      <c r="C1492" t="n">
        <v>2022</v>
      </c>
      <c r="D1492" t="inlineStr">
        <is>
          <t>Company</t>
        </is>
      </c>
      <c r="E1492" t="inlineStr">
        <is>
          <t>Listed Since</t>
        </is>
      </c>
      <c r="F1492" t="inlineStr">
        <is>
          <t>2002-01-18</t>
        </is>
      </c>
      <c r="H1492" t="n">
        <v>43</v>
      </c>
      <c r="I1492" t="inlineStr">
        <is>
          <t>Recording Date 18 January 2002</t>
        </is>
      </c>
      <c r="J1492" t="inlineStr">
        <is>
          <t>High</t>
        </is>
      </c>
      <c r="M1492" t="inlineStr">
        <is>
          <t>LLM</t>
        </is>
      </c>
      <c r="N1492" t="inlineStr">
        <is>
          <t>2026-04-18</t>
        </is>
      </c>
      <c r="O1492" t="inlineStr">
        <is>
          <t>AI</t>
        </is>
      </c>
    </row>
    <row r="1493">
      <c r="A1493" t="inlineStr">
        <is>
          <t>PT FKS Multi Agro Tbk</t>
        </is>
      </c>
      <c r="B1493" t="inlineStr">
        <is>
          <t>FISH_2022_AR.pdf</t>
        </is>
      </c>
      <c r="C1493" t="n">
        <v>2022</v>
      </c>
      <c r="D1493" t="inlineStr">
        <is>
          <t>Company</t>
        </is>
      </c>
      <c r="E1493" t="inlineStr">
        <is>
          <t>Reporting Currency</t>
        </is>
      </c>
      <c r="F1493" t="inlineStr">
        <is>
          <t>USD</t>
        </is>
      </c>
      <c r="H1493" t="n">
        <v>91</v>
      </c>
      <c r="I1493" t="inlineStr">
        <is>
          <t>Expressed in United States Dollar, Unless Otherwise Stated</t>
        </is>
      </c>
      <c r="J1493" t="inlineStr">
        <is>
          <t>High</t>
        </is>
      </c>
      <c r="M1493" t="inlineStr">
        <is>
          <t>LLM</t>
        </is>
      </c>
      <c r="N1493" t="inlineStr">
        <is>
          <t>2026-04-18</t>
        </is>
      </c>
      <c r="O1493" t="inlineStr">
        <is>
          <t>AI</t>
        </is>
      </c>
    </row>
    <row r="1494">
      <c r="A1494" t="inlineStr">
        <is>
          <t>PT FKS Multi Agro Tbk</t>
        </is>
      </c>
      <c r="B1494" t="inlineStr">
        <is>
          <t>FISH_2022_AR.pdf</t>
        </is>
      </c>
      <c r="C1494" t="n">
        <v>2022</v>
      </c>
      <c r="D1494" t="inlineStr">
        <is>
          <t>Company</t>
        </is>
      </c>
      <c r="E1494" t="inlineStr">
        <is>
          <t>Shareholder - PT FKS Corporindo Indonesia</t>
        </is>
      </c>
      <c r="F1494" t="n">
        <v>0.7906</v>
      </c>
      <c r="G1494" t="inlineStr">
        <is>
          <t>pct</t>
        </is>
      </c>
      <c r="H1494" t="n">
        <v>42</v>
      </c>
      <c r="I1494" t="inlineStr">
        <is>
          <t>PT FKS Corporindo Indonesia 379,486,000 79.06%</t>
        </is>
      </c>
      <c r="J1494" t="inlineStr">
        <is>
          <t>High</t>
        </is>
      </c>
      <c r="M1494" t="inlineStr">
        <is>
          <t>LLM</t>
        </is>
      </c>
      <c r="N1494" t="inlineStr">
        <is>
          <t>2026-04-18</t>
        </is>
      </c>
      <c r="O1494" t="inlineStr">
        <is>
          <t>AI</t>
        </is>
      </c>
    </row>
    <row r="1495">
      <c r="A1495" t="inlineStr">
        <is>
          <t>PT FKS Multi Agro Tbk</t>
        </is>
      </c>
      <c r="B1495" t="inlineStr">
        <is>
          <t>FISH_2022_AR.pdf</t>
        </is>
      </c>
      <c r="C1495" t="n">
        <v>2022</v>
      </c>
      <c r="D1495" t="inlineStr">
        <is>
          <t>Company</t>
        </is>
      </c>
      <c r="E1495" t="inlineStr">
        <is>
          <t>Shareholder - PT Caturkartika Perdana</t>
        </is>
      </c>
      <c r="F1495" t="n">
        <v>0.1042</v>
      </c>
      <c r="G1495" t="inlineStr">
        <is>
          <t>pct</t>
        </is>
      </c>
      <c r="H1495" t="n">
        <v>42</v>
      </c>
      <c r="I1495" t="inlineStr">
        <is>
          <t>PT Caturkartika Perdana 50,000,000 10.42%</t>
        </is>
      </c>
      <c r="J1495" t="inlineStr">
        <is>
          <t>High</t>
        </is>
      </c>
      <c r="M1495" t="inlineStr">
        <is>
          <t>LLM</t>
        </is>
      </c>
      <c r="N1495" t="inlineStr">
        <is>
          <t>2026-04-18</t>
        </is>
      </c>
      <c r="O1495" t="inlineStr">
        <is>
          <t>AI</t>
        </is>
      </c>
    </row>
    <row r="1496">
      <c r="A1496" t="inlineStr">
        <is>
          <t>PT FKS Multi Agro Tbk</t>
        </is>
      </c>
      <c r="B1496" t="inlineStr">
        <is>
          <t>FISH_2022_AR.pdf</t>
        </is>
      </c>
      <c r="C1496" t="n">
        <v>2022</v>
      </c>
      <c r="D1496" t="inlineStr">
        <is>
          <t>Company</t>
        </is>
      </c>
      <c r="E1496" t="inlineStr">
        <is>
          <t>Shareholder - Public</t>
        </is>
      </c>
      <c r="F1496" t="n">
        <v>0.1052</v>
      </c>
      <c r="G1496" t="inlineStr">
        <is>
          <t>pct</t>
        </is>
      </c>
      <c r="H1496" t="n">
        <v>42</v>
      </c>
      <c r="I1496" t="inlineStr">
        <is>
          <t>Masyarakat / Public 50,513,900 10.52%</t>
        </is>
      </c>
      <c r="J1496" t="inlineStr">
        <is>
          <t>High</t>
        </is>
      </c>
      <c r="M1496" t="inlineStr">
        <is>
          <t>LLM</t>
        </is>
      </c>
      <c r="N1496" t="inlineStr">
        <is>
          <t>2026-04-18</t>
        </is>
      </c>
      <c r="O1496" t="inlineStr">
        <is>
          <t>AI</t>
        </is>
      </c>
    </row>
    <row r="1497">
      <c r="A1497" t="inlineStr">
        <is>
          <t>PT FKS Multi Agro Tbk</t>
        </is>
      </c>
      <c r="B1497" t="inlineStr">
        <is>
          <t>FISH_2022_AR.pdf</t>
        </is>
      </c>
      <c r="C1497" t="n">
        <v>2022</v>
      </c>
      <c r="D1497" t="inlineStr">
        <is>
          <t>Financial</t>
        </is>
      </c>
      <c r="E1497" t="inlineStr">
        <is>
          <t>Revenue</t>
        </is>
      </c>
      <c r="F1497" t="n">
        <v>1565130699</v>
      </c>
      <c r="G1497" t="inlineStr">
        <is>
          <t>USD</t>
        </is>
      </c>
      <c r="H1497" t="n">
        <v>7</v>
      </c>
      <c r="I1497" t="inlineStr">
        <is>
          <t>Pendapatan 1,565,130,699 Revenues (2022)</t>
        </is>
      </c>
      <c r="J1497" t="inlineStr">
        <is>
          <t>High</t>
        </is>
      </c>
      <c r="M1497" t="inlineStr">
        <is>
          <t>LLM</t>
        </is>
      </c>
      <c r="N1497" t="inlineStr">
        <is>
          <t>2026-04-18</t>
        </is>
      </c>
      <c r="O1497" t="inlineStr">
        <is>
          <t>AI</t>
        </is>
      </c>
    </row>
    <row r="1498">
      <c r="A1498" t="inlineStr">
        <is>
          <t>PT FKS Multi Agro Tbk</t>
        </is>
      </c>
      <c r="B1498" t="inlineStr">
        <is>
          <t>FISH_2022_AR.pdf</t>
        </is>
      </c>
      <c r="C1498" t="n">
        <v>2022</v>
      </c>
      <c r="D1498" t="inlineStr">
        <is>
          <t>Financial</t>
        </is>
      </c>
      <c r="E1498" t="inlineStr">
        <is>
          <t>Gross Profit</t>
        </is>
      </c>
      <c r="F1498" t="n">
        <v>83729361</v>
      </c>
      <c r="G1498" t="inlineStr">
        <is>
          <t>USD</t>
        </is>
      </c>
      <c r="H1498" t="n">
        <v>7</v>
      </c>
      <c r="I1498" t="inlineStr">
        <is>
          <t>Laba Bruto 83,729,361 Gross Profit (2022)</t>
        </is>
      </c>
      <c r="J1498" t="inlineStr">
        <is>
          <t>High</t>
        </is>
      </c>
      <c r="M1498" t="inlineStr">
        <is>
          <t>LLM</t>
        </is>
      </c>
      <c r="N1498" t="inlineStr">
        <is>
          <t>2026-04-18</t>
        </is>
      </c>
      <c r="O1498" t="inlineStr">
        <is>
          <t>AI</t>
        </is>
      </c>
    </row>
    <row r="1499">
      <c r="A1499" t="inlineStr">
        <is>
          <t>PT FKS Multi Agro Tbk</t>
        </is>
      </c>
      <c r="B1499" t="inlineStr">
        <is>
          <t>FISH_2022_AR.pdf</t>
        </is>
      </c>
      <c r="C1499" t="n">
        <v>2022</v>
      </c>
      <c r="D1499" t="inlineStr">
        <is>
          <t>Financial</t>
        </is>
      </c>
      <c r="E1499" t="inlineStr">
        <is>
          <t>Operating Profit</t>
        </is>
      </c>
      <c r="F1499" t="n">
        <v>50367429</v>
      </c>
      <c r="G1499" t="inlineStr">
        <is>
          <t>USD</t>
        </is>
      </c>
      <c r="H1499" t="n">
        <v>7</v>
      </c>
      <c r="I1499" t="inlineStr">
        <is>
          <t>Laba Usaha 50,367,429 Operating Profit (2022)</t>
        </is>
      </c>
      <c r="J1499" t="inlineStr">
        <is>
          <t>High</t>
        </is>
      </c>
      <c r="M1499" t="inlineStr">
        <is>
          <t>LLM</t>
        </is>
      </c>
      <c r="N1499" t="inlineStr">
        <is>
          <t>2026-04-18</t>
        </is>
      </c>
      <c r="O1499" t="inlineStr">
        <is>
          <t>AI</t>
        </is>
      </c>
    </row>
    <row r="1500">
      <c r="A1500" t="inlineStr">
        <is>
          <t>PT FKS Multi Agro Tbk</t>
        </is>
      </c>
      <c r="B1500" t="inlineStr">
        <is>
          <t>FISH_2022_AR.pdf</t>
        </is>
      </c>
      <c r="C1500" t="n">
        <v>2022</v>
      </c>
      <c r="D1500" t="inlineStr">
        <is>
          <t>Financial</t>
        </is>
      </c>
      <c r="E1500" t="inlineStr">
        <is>
          <t>Net Profit</t>
        </is>
      </c>
      <c r="F1500" t="n">
        <v>32756494</v>
      </c>
      <c r="G1500" t="inlineStr">
        <is>
          <t>USD</t>
        </is>
      </c>
      <c r="H1500" t="n">
        <v>7</v>
      </c>
      <c r="I1500" t="inlineStr">
        <is>
          <t>Laba Tahun Berjalan 32,756,494 Profit for the Year (2022)</t>
        </is>
      </c>
      <c r="J1500" t="inlineStr">
        <is>
          <t>High</t>
        </is>
      </c>
      <c r="M1500" t="inlineStr">
        <is>
          <t>LLM</t>
        </is>
      </c>
      <c r="N1500" t="inlineStr">
        <is>
          <t>2026-04-18</t>
        </is>
      </c>
      <c r="O1500" t="inlineStr">
        <is>
          <t>AI</t>
        </is>
      </c>
    </row>
    <row r="1501">
      <c r="A1501" t="inlineStr">
        <is>
          <t>PT FKS Multi Agro Tbk</t>
        </is>
      </c>
      <c r="B1501" t="inlineStr">
        <is>
          <t>FISH_2022_AR.pdf</t>
        </is>
      </c>
      <c r="C1501" t="n">
        <v>2022</v>
      </c>
      <c r="D1501" t="inlineStr">
        <is>
          <t>Financial</t>
        </is>
      </c>
      <c r="E1501" t="inlineStr">
        <is>
          <t>Profit Attributable to Parent</t>
        </is>
      </c>
      <c r="F1501" t="n">
        <v>32243358</v>
      </c>
      <c r="G1501" t="inlineStr">
        <is>
          <t>USD</t>
        </is>
      </c>
      <c r="H1501" t="n">
        <v>7</v>
      </c>
      <c r="I1501" t="inlineStr">
        <is>
          <t>Pemilik Entitas Induk 32,243,358</t>
        </is>
      </c>
      <c r="J1501" t="inlineStr">
        <is>
          <t>High</t>
        </is>
      </c>
      <c r="M1501" t="inlineStr">
        <is>
          <t>LLM</t>
        </is>
      </c>
      <c r="N1501" t="inlineStr">
        <is>
          <t>2026-04-18</t>
        </is>
      </c>
      <c r="O1501" t="inlineStr">
        <is>
          <t>AI</t>
        </is>
      </c>
    </row>
    <row r="1502">
      <c r="A1502" t="inlineStr">
        <is>
          <t>PT FKS Multi Agro Tbk</t>
        </is>
      </c>
      <c r="B1502" t="inlineStr">
        <is>
          <t>FISH_2022_AR.pdf</t>
        </is>
      </c>
      <c r="C1502" t="n">
        <v>2022</v>
      </c>
      <c r="D1502" t="inlineStr">
        <is>
          <t>Financial</t>
        </is>
      </c>
      <c r="E1502" t="inlineStr">
        <is>
          <t>EPS Basic</t>
        </is>
      </c>
      <c r="F1502" t="n">
        <v>0.067</v>
      </c>
      <c r="G1502" t="inlineStr">
        <is>
          <t>USD/share</t>
        </is>
      </c>
      <c r="H1502" t="n">
        <v>7</v>
      </c>
      <c r="I1502" t="inlineStr">
        <is>
          <t>Laba per Saham Dasar 0.067 Basic Earnings per Share</t>
        </is>
      </c>
      <c r="J1502" t="inlineStr">
        <is>
          <t>High</t>
        </is>
      </c>
      <c r="M1502" t="inlineStr">
        <is>
          <t>LLM</t>
        </is>
      </c>
      <c r="N1502" t="inlineStr">
        <is>
          <t>2026-04-18</t>
        </is>
      </c>
      <c r="O1502" t="inlineStr">
        <is>
          <t>AI</t>
        </is>
      </c>
    </row>
    <row r="1503">
      <c r="A1503" t="inlineStr">
        <is>
          <t>PT FKS Multi Agro Tbk</t>
        </is>
      </c>
      <c r="B1503" t="inlineStr">
        <is>
          <t>FISH_2022_AR.pdf</t>
        </is>
      </c>
      <c r="C1503" t="n">
        <v>2022</v>
      </c>
      <c r="D1503" t="inlineStr">
        <is>
          <t>Financial</t>
        </is>
      </c>
      <c r="E1503" t="inlineStr">
        <is>
          <t>Total Assets</t>
        </is>
      </c>
      <c r="F1503" t="n">
        <v>461463695</v>
      </c>
      <c r="G1503" t="inlineStr">
        <is>
          <t>USD</t>
        </is>
      </c>
      <c r="H1503" t="n">
        <v>8</v>
      </c>
      <c r="I1503" t="inlineStr">
        <is>
          <t>Total Aset 461,463,695</t>
        </is>
      </c>
      <c r="J1503" t="inlineStr">
        <is>
          <t>High</t>
        </is>
      </c>
      <c r="M1503" t="inlineStr">
        <is>
          <t>LLM</t>
        </is>
      </c>
      <c r="N1503" t="inlineStr">
        <is>
          <t>2026-04-18</t>
        </is>
      </c>
      <c r="O1503" t="inlineStr">
        <is>
          <t>AI</t>
        </is>
      </c>
    </row>
    <row r="1504">
      <c r="A1504" t="inlineStr">
        <is>
          <t>PT FKS Multi Agro Tbk</t>
        </is>
      </c>
      <c r="B1504" t="inlineStr">
        <is>
          <t>FISH_2022_AR.pdf</t>
        </is>
      </c>
      <c r="C1504" t="n">
        <v>2022</v>
      </c>
      <c r="D1504" t="inlineStr">
        <is>
          <t>Financial</t>
        </is>
      </c>
      <c r="E1504" t="inlineStr">
        <is>
          <t>Current Assets</t>
        </is>
      </c>
      <c r="F1504" t="n">
        <v>339299923</v>
      </c>
      <c r="G1504" t="inlineStr">
        <is>
          <t>USD</t>
        </is>
      </c>
      <c r="H1504" t="n">
        <v>8</v>
      </c>
      <c r="I1504" t="inlineStr">
        <is>
          <t>Aset Lancar 339,299,923</t>
        </is>
      </c>
      <c r="J1504" t="inlineStr">
        <is>
          <t>High</t>
        </is>
      </c>
      <c r="M1504" t="inlineStr">
        <is>
          <t>LLM</t>
        </is>
      </c>
      <c r="N1504" t="inlineStr">
        <is>
          <t>2026-04-18</t>
        </is>
      </c>
      <c r="O1504" t="inlineStr">
        <is>
          <t>AI</t>
        </is>
      </c>
    </row>
    <row r="1505">
      <c r="A1505" t="inlineStr">
        <is>
          <t>PT FKS Multi Agro Tbk</t>
        </is>
      </c>
      <c r="B1505" t="inlineStr">
        <is>
          <t>FISH_2022_AR.pdf</t>
        </is>
      </c>
      <c r="C1505" t="n">
        <v>2022</v>
      </c>
      <c r="D1505" t="inlineStr">
        <is>
          <t>Financial</t>
        </is>
      </c>
      <c r="E1505" t="inlineStr">
        <is>
          <t>Non-Current Assets</t>
        </is>
      </c>
      <c r="F1505" t="n">
        <v>122163772</v>
      </c>
      <c r="G1505" t="inlineStr">
        <is>
          <t>USD</t>
        </is>
      </c>
      <c r="H1505" t="n">
        <v>8</v>
      </c>
      <c r="I1505" t="inlineStr">
        <is>
          <t>Aset Tidak Lancar 122,163,772</t>
        </is>
      </c>
      <c r="J1505" t="inlineStr">
        <is>
          <t>High</t>
        </is>
      </c>
      <c r="M1505" t="inlineStr">
        <is>
          <t>LLM</t>
        </is>
      </c>
      <c r="N1505" t="inlineStr">
        <is>
          <t>2026-04-18</t>
        </is>
      </c>
      <c r="O1505" t="inlineStr">
        <is>
          <t>AI</t>
        </is>
      </c>
    </row>
    <row r="1506">
      <c r="A1506" t="inlineStr">
        <is>
          <t>PT FKS Multi Agro Tbk</t>
        </is>
      </c>
      <c r="B1506" t="inlineStr">
        <is>
          <t>FISH_2022_AR.pdf</t>
        </is>
      </c>
      <c r="C1506" t="n">
        <v>2022</v>
      </c>
      <c r="D1506" t="inlineStr">
        <is>
          <t>Financial</t>
        </is>
      </c>
      <c r="E1506" t="inlineStr">
        <is>
          <t>Total Liabilities</t>
        </is>
      </c>
      <c r="F1506" t="n">
        <v>294069760</v>
      </c>
      <c r="G1506" t="inlineStr">
        <is>
          <t>USD</t>
        </is>
      </c>
      <c r="H1506" t="n">
        <v>8</v>
      </c>
      <c r="I1506" t="inlineStr">
        <is>
          <t>Jumlah Liabilitas 294,069,760</t>
        </is>
      </c>
      <c r="J1506" t="inlineStr">
        <is>
          <t>High</t>
        </is>
      </c>
      <c r="M1506" t="inlineStr">
        <is>
          <t>LLM</t>
        </is>
      </c>
      <c r="N1506" t="inlineStr">
        <is>
          <t>2026-04-18</t>
        </is>
      </c>
      <c r="O1506" t="inlineStr">
        <is>
          <t>AI</t>
        </is>
      </c>
    </row>
    <row r="1507">
      <c r="A1507" t="inlineStr">
        <is>
          <t>PT FKS Multi Agro Tbk</t>
        </is>
      </c>
      <c r="B1507" t="inlineStr">
        <is>
          <t>FISH_2022_AR.pdf</t>
        </is>
      </c>
      <c r="C1507" t="n">
        <v>2022</v>
      </c>
      <c r="D1507" t="inlineStr">
        <is>
          <t>Financial</t>
        </is>
      </c>
      <c r="E1507" t="inlineStr">
        <is>
          <t>Current Liabilities</t>
        </is>
      </c>
      <c r="F1507" t="n">
        <v>234121571</v>
      </c>
      <c r="G1507" t="inlineStr">
        <is>
          <t>USD</t>
        </is>
      </c>
      <c r="H1507" t="n">
        <v>8</v>
      </c>
      <c r="I1507" t="inlineStr">
        <is>
          <t>Liabilitas Jangka Pendek 234,121,571</t>
        </is>
      </c>
      <c r="J1507" t="inlineStr">
        <is>
          <t>High</t>
        </is>
      </c>
      <c r="M1507" t="inlineStr">
        <is>
          <t>LLM</t>
        </is>
      </c>
      <c r="N1507" t="inlineStr">
        <is>
          <t>2026-04-18</t>
        </is>
      </c>
      <c r="O1507" t="inlineStr">
        <is>
          <t>AI</t>
        </is>
      </c>
    </row>
    <row r="1508">
      <c r="A1508" t="inlineStr">
        <is>
          <t>PT FKS Multi Agro Tbk</t>
        </is>
      </c>
      <c r="B1508" t="inlineStr">
        <is>
          <t>FISH_2022_AR.pdf</t>
        </is>
      </c>
      <c r="C1508" t="n">
        <v>2022</v>
      </c>
      <c r="D1508" t="inlineStr">
        <is>
          <t>Financial</t>
        </is>
      </c>
      <c r="E1508" t="inlineStr">
        <is>
          <t>Non-Current Liabilities</t>
        </is>
      </c>
      <c r="F1508" t="n">
        <v>59948189</v>
      </c>
      <c r="G1508" t="inlineStr">
        <is>
          <t>USD</t>
        </is>
      </c>
      <c r="H1508" t="n">
        <v>8</v>
      </c>
      <c r="I1508" t="inlineStr">
        <is>
          <t>Liabilitas Jangka Panjang 59,948,189</t>
        </is>
      </c>
      <c r="J1508" t="inlineStr">
        <is>
          <t>High</t>
        </is>
      </c>
      <c r="M1508" t="inlineStr">
        <is>
          <t>LLM</t>
        </is>
      </c>
      <c r="N1508" t="inlineStr">
        <is>
          <t>2026-04-18</t>
        </is>
      </c>
      <c r="O1508" t="inlineStr">
        <is>
          <t>AI</t>
        </is>
      </c>
    </row>
    <row r="1509">
      <c r="A1509" t="inlineStr">
        <is>
          <t>PT FKS Multi Agro Tbk</t>
        </is>
      </c>
      <c r="B1509" t="inlineStr">
        <is>
          <t>FISH_2022_AR.pdf</t>
        </is>
      </c>
      <c r="C1509" t="n">
        <v>2022</v>
      </c>
      <c r="D1509" t="inlineStr">
        <is>
          <t>Financial</t>
        </is>
      </c>
      <c r="E1509" t="inlineStr">
        <is>
          <t>Total Equity</t>
        </is>
      </c>
      <c r="F1509" t="n">
        <v>167393935</v>
      </c>
      <c r="G1509" t="inlineStr">
        <is>
          <t>USD</t>
        </is>
      </c>
      <c r="H1509" t="n">
        <v>8</v>
      </c>
      <c r="I1509" t="inlineStr">
        <is>
          <t>Ekuitas 167,393,935</t>
        </is>
      </c>
      <c r="J1509" t="inlineStr">
        <is>
          <t>High</t>
        </is>
      </c>
      <c r="M1509" t="inlineStr">
        <is>
          <t>LLM</t>
        </is>
      </c>
      <c r="N1509" t="inlineStr">
        <is>
          <t>2026-04-18</t>
        </is>
      </c>
      <c r="O1509" t="inlineStr">
        <is>
          <t>AI</t>
        </is>
      </c>
    </row>
    <row r="1510">
      <c r="A1510" t="inlineStr">
        <is>
          <t>PT FKS Multi Agro Tbk</t>
        </is>
      </c>
      <c r="B1510" t="inlineStr">
        <is>
          <t>FISH_2022_AR.pdf</t>
        </is>
      </c>
      <c r="C1510" t="n">
        <v>2022</v>
      </c>
      <c r="D1510" t="inlineStr">
        <is>
          <t>Financial</t>
        </is>
      </c>
      <c r="E1510" t="inlineStr">
        <is>
          <t>Cash and Cash Equivalents</t>
        </is>
      </c>
      <c r="F1510" t="n">
        <v>52097981</v>
      </c>
      <c r="G1510" t="inlineStr">
        <is>
          <t>USD</t>
        </is>
      </c>
      <c r="H1510" t="n">
        <v>91</v>
      </c>
      <c r="I1510" t="inlineStr">
        <is>
          <t>Kas dan setara kas 52,097,981 Cash and cash equivalents</t>
        </is>
      </c>
      <c r="J1510" t="inlineStr">
        <is>
          <t>High</t>
        </is>
      </c>
      <c r="M1510" t="inlineStr">
        <is>
          <t>LLM</t>
        </is>
      </c>
      <c r="N1510" t="inlineStr">
        <is>
          <t>2026-04-18</t>
        </is>
      </c>
      <c r="O1510" t="inlineStr">
        <is>
          <t>AI</t>
        </is>
      </c>
    </row>
    <row r="1511">
      <c r="A1511" t="inlineStr">
        <is>
          <t>PT FKS Multi Agro Tbk</t>
        </is>
      </c>
      <c r="B1511" t="inlineStr">
        <is>
          <t>FISH_2022_AR.pdf</t>
        </is>
      </c>
      <c r="C1511" t="n">
        <v>2022</v>
      </c>
      <c r="D1511" t="inlineStr">
        <is>
          <t>Financial</t>
        </is>
      </c>
      <c r="E1511" t="inlineStr">
        <is>
          <t>Short-term Bank Loans</t>
        </is>
      </c>
      <c r="F1511" t="n">
        <v>78114086</v>
      </c>
      <c r="G1511" t="inlineStr">
        <is>
          <t>USD</t>
        </is>
      </c>
      <c r="H1511" t="n">
        <v>92</v>
      </c>
      <c r="I1511" t="inlineStr">
        <is>
          <t>Utang bank jangka pendek 78,114,086 Short-term bank loans</t>
        </is>
      </c>
      <c r="J1511" t="inlineStr">
        <is>
          <t>High</t>
        </is>
      </c>
      <c r="M1511" t="inlineStr">
        <is>
          <t>LLM</t>
        </is>
      </c>
      <c r="N1511" t="inlineStr">
        <is>
          <t>2026-04-18</t>
        </is>
      </c>
      <c r="O1511" t="inlineStr">
        <is>
          <t>AI</t>
        </is>
      </c>
    </row>
    <row r="1512">
      <c r="A1512" t="inlineStr">
        <is>
          <t>PT FKS Multi Agro Tbk</t>
        </is>
      </c>
      <c r="B1512" t="inlineStr">
        <is>
          <t>FISH_2022_AR.pdf</t>
        </is>
      </c>
      <c r="C1512" t="n">
        <v>2022</v>
      </c>
      <c r="D1512" t="inlineStr">
        <is>
          <t>Financial</t>
        </is>
      </c>
      <c r="E1512" t="inlineStr">
        <is>
          <t>Current Portion of LT Bank Loans</t>
        </is>
      </c>
      <c r="F1512" t="n">
        <v>6759952</v>
      </c>
      <c r="G1512" t="inlineStr">
        <is>
          <t>USD</t>
        </is>
      </c>
      <c r="H1512" t="n">
        <v>92</v>
      </c>
      <c r="I1512" t="inlineStr">
        <is>
          <t>Utang bank jangka panjang yang jatuh tempo dalam waktu satu tahun 6,759,952</t>
        </is>
      </c>
      <c r="J1512" t="inlineStr">
        <is>
          <t>High</t>
        </is>
      </c>
      <c r="M1512" t="inlineStr">
        <is>
          <t>LLM</t>
        </is>
      </c>
      <c r="N1512" t="inlineStr">
        <is>
          <t>2026-04-18</t>
        </is>
      </c>
      <c r="O1512" t="inlineStr">
        <is>
          <t>AI</t>
        </is>
      </c>
    </row>
    <row r="1513">
      <c r="A1513" t="inlineStr">
        <is>
          <t>PT FKS Multi Agro Tbk</t>
        </is>
      </c>
      <c r="B1513" t="inlineStr">
        <is>
          <t>FISH_2022_AR.pdf</t>
        </is>
      </c>
      <c r="C1513" t="n">
        <v>2022</v>
      </c>
      <c r="D1513" t="inlineStr">
        <is>
          <t>Financial</t>
        </is>
      </c>
      <c r="E1513" t="inlineStr">
        <is>
          <t>Long-term Bank Loans</t>
        </is>
      </c>
      <c r="F1513" t="n">
        <v>49016620</v>
      </c>
      <c r="G1513" t="inlineStr">
        <is>
          <t>USD</t>
        </is>
      </c>
      <c r="H1513" t="n">
        <v>92</v>
      </c>
      <c r="I1513" t="inlineStr">
        <is>
          <t>Utang bank jangka panjang ... 49,016,620</t>
        </is>
      </c>
      <c r="J1513" t="inlineStr">
        <is>
          <t>High</t>
        </is>
      </c>
      <c r="M1513" t="inlineStr">
        <is>
          <t>LLM</t>
        </is>
      </c>
      <c r="N1513" t="inlineStr">
        <is>
          <t>2026-04-18</t>
        </is>
      </c>
      <c r="O1513" t="inlineStr">
        <is>
          <t>AI</t>
        </is>
      </c>
    </row>
    <row r="1514">
      <c r="A1514" t="inlineStr">
        <is>
          <t>PT FKS Multi Agro Tbk</t>
        </is>
      </c>
      <c r="B1514" t="inlineStr">
        <is>
          <t>FISH_2022_AR.pdf</t>
        </is>
      </c>
      <c r="C1514" t="n">
        <v>2022</v>
      </c>
      <c r="D1514" t="inlineStr">
        <is>
          <t>Financial</t>
        </is>
      </c>
      <c r="E1514" t="inlineStr">
        <is>
          <t>Cash from Operating Activities</t>
        </is>
      </c>
      <c r="F1514" t="n">
        <v>24651793</v>
      </c>
      <c r="G1514" t="inlineStr">
        <is>
          <t>USD</t>
        </is>
      </c>
      <c r="H1514" t="n">
        <v>94</v>
      </c>
      <c r="I1514" t="inlineStr">
        <is>
          <t>Kas neto yang diperoleh dari aktivitas operasi 24,651,793</t>
        </is>
      </c>
      <c r="J1514" t="inlineStr">
        <is>
          <t>High</t>
        </is>
      </c>
      <c r="M1514" t="inlineStr">
        <is>
          <t>LLM</t>
        </is>
      </c>
      <c r="N1514" t="inlineStr">
        <is>
          <t>2026-04-18</t>
        </is>
      </c>
      <c r="O1514" t="inlineStr">
        <is>
          <t>AI</t>
        </is>
      </c>
    </row>
    <row r="1515">
      <c r="A1515" t="inlineStr">
        <is>
          <t>PT FKS Multi Agro Tbk</t>
        </is>
      </c>
      <c r="B1515" t="inlineStr">
        <is>
          <t>FISH_2022_AR.pdf</t>
        </is>
      </c>
      <c r="C1515" t="n">
        <v>2022</v>
      </c>
      <c r="D1515" t="inlineStr">
        <is>
          <t>Financial</t>
        </is>
      </c>
      <c r="E1515" t="inlineStr">
        <is>
          <t>Capex - Acquisition of Fixed Assets</t>
        </is>
      </c>
      <c r="F1515" t="n">
        <v>6377208</v>
      </c>
      <c r="G1515" t="inlineStr">
        <is>
          <t>USD</t>
        </is>
      </c>
      <c r="H1515" t="n">
        <v>94</v>
      </c>
      <c r="I1515" t="inlineStr">
        <is>
          <t>Penambahan aset tetap 6,377,208 Acquisitions of fixed assets</t>
        </is>
      </c>
      <c r="J1515" t="inlineStr">
        <is>
          <t>High</t>
        </is>
      </c>
      <c r="M1515" t="inlineStr">
        <is>
          <t>LLM</t>
        </is>
      </c>
      <c r="N1515" t="inlineStr">
        <is>
          <t>2026-04-18</t>
        </is>
      </c>
      <c r="O1515" t="inlineStr">
        <is>
          <t>AI</t>
        </is>
      </c>
    </row>
    <row r="1516">
      <c r="A1516" t="inlineStr">
        <is>
          <t>PT FKS Multi Agro Tbk</t>
        </is>
      </c>
      <c r="B1516" t="inlineStr">
        <is>
          <t>FISH_2022_AR.pdf</t>
        </is>
      </c>
      <c r="C1516" t="n">
        <v>2022</v>
      </c>
      <c r="D1516" t="inlineStr">
        <is>
          <t>Financial</t>
        </is>
      </c>
      <c r="E1516" t="inlineStr">
        <is>
          <t>Net Cash from Investing</t>
        </is>
      </c>
      <c r="F1516" t="n">
        <v>-11235535</v>
      </c>
      <c r="G1516" t="inlineStr">
        <is>
          <t>USD</t>
        </is>
      </c>
      <c r="H1516" t="n">
        <v>94</v>
      </c>
      <c r="I1516" t="inlineStr">
        <is>
          <t>Kas neto yang digunakan untuk aktivitas investasi (11,235,535)</t>
        </is>
      </c>
      <c r="J1516" t="inlineStr">
        <is>
          <t>High</t>
        </is>
      </c>
      <c r="M1516" t="inlineStr">
        <is>
          <t>LLM</t>
        </is>
      </c>
      <c r="N1516" t="inlineStr">
        <is>
          <t>2026-04-18</t>
        </is>
      </c>
      <c r="O1516" t="inlineStr">
        <is>
          <t>AI</t>
        </is>
      </c>
    </row>
    <row r="1517">
      <c r="A1517" t="inlineStr">
        <is>
          <t>PT FKS Multi Agro Tbk</t>
        </is>
      </c>
      <c r="B1517" t="inlineStr">
        <is>
          <t>FISH_2022_AR.pdf</t>
        </is>
      </c>
      <c r="C1517" t="n">
        <v>2022</v>
      </c>
      <c r="D1517" t="inlineStr">
        <is>
          <t>Financial</t>
        </is>
      </c>
      <c r="E1517" t="inlineStr">
        <is>
          <t>Closing Share Price</t>
        </is>
      </c>
      <c r="F1517" t="n">
        <v>6750</v>
      </c>
      <c r="G1517" t="inlineStr">
        <is>
          <t>IDR</t>
        </is>
      </c>
      <c r="H1517" t="n">
        <v>43</v>
      </c>
      <c r="I1517" t="inlineStr">
        <is>
          <t>Harga Penawaran Akhir Tahun Buku 2022 Rp6,750/saham</t>
        </is>
      </c>
      <c r="J1517" t="inlineStr">
        <is>
          <t>High</t>
        </is>
      </c>
      <c r="M1517" t="inlineStr">
        <is>
          <t>LLM</t>
        </is>
      </c>
      <c r="N1517" t="inlineStr">
        <is>
          <t>2026-04-18</t>
        </is>
      </c>
      <c r="O1517" t="inlineStr">
        <is>
          <t>AI</t>
        </is>
      </c>
    </row>
    <row r="1518">
      <c r="A1518" t="inlineStr">
        <is>
          <t>PT FKS Multi Agro Tbk</t>
        </is>
      </c>
      <c r="B1518" t="inlineStr">
        <is>
          <t>FISH_2022_AR.pdf</t>
        </is>
      </c>
      <c r="C1518" t="n">
        <v>2022</v>
      </c>
      <c r="D1518" t="inlineStr">
        <is>
          <t>Financial</t>
        </is>
      </c>
      <c r="E1518" t="inlineStr">
        <is>
          <t>Shares Outstanding</t>
        </is>
      </c>
      <c r="F1518" t="n">
        <v>480000000</v>
      </c>
      <c r="G1518" t="inlineStr">
        <is>
          <t>shares</t>
        </is>
      </c>
      <c r="H1518" t="n">
        <v>42</v>
      </c>
      <c r="I1518" t="inlineStr">
        <is>
          <t>Jumlah / Total 480,000,000 100.00%</t>
        </is>
      </c>
      <c r="J1518" t="inlineStr">
        <is>
          <t>High</t>
        </is>
      </c>
      <c r="M1518" t="inlineStr">
        <is>
          <t>LLM</t>
        </is>
      </c>
      <c r="N1518" t="inlineStr">
        <is>
          <t>2026-04-18</t>
        </is>
      </c>
      <c r="O1518" t="inlineStr">
        <is>
          <t>AI</t>
        </is>
      </c>
    </row>
    <row r="1519">
      <c r="A1519" t="inlineStr">
        <is>
          <t>PT FKS Multi Agro Tbk</t>
        </is>
      </c>
      <c r="B1519" t="inlineStr">
        <is>
          <t>FISH_2022_AR.pdf</t>
        </is>
      </c>
      <c r="C1519" t="n">
        <v>2022</v>
      </c>
      <c r="D1519" t="inlineStr">
        <is>
          <t>Financial</t>
        </is>
      </c>
      <c r="E1519" t="inlineStr">
        <is>
          <t>ROA</t>
        </is>
      </c>
      <c r="F1519" t="n">
        <v>0.07099999999999999</v>
      </c>
      <c r="G1519" t="inlineStr">
        <is>
          <t>pct</t>
        </is>
      </c>
      <c r="H1519" t="n">
        <v>9</v>
      </c>
      <c r="I1519" t="inlineStr">
        <is>
          <t>Laba Bersih Terhadap Aset 7.10% Return on Asset (ROA) 2022</t>
        </is>
      </c>
      <c r="J1519" t="inlineStr">
        <is>
          <t>High</t>
        </is>
      </c>
      <c r="M1519" t="inlineStr">
        <is>
          <t>LLM</t>
        </is>
      </c>
      <c r="N1519" t="inlineStr">
        <is>
          <t>2026-04-18</t>
        </is>
      </c>
      <c r="O1519" t="inlineStr">
        <is>
          <t>AI</t>
        </is>
      </c>
    </row>
    <row r="1520">
      <c r="A1520" t="inlineStr">
        <is>
          <t>PT FKS Multi Agro Tbk</t>
        </is>
      </c>
      <c r="B1520" t="inlineStr">
        <is>
          <t>FISH_2022_AR.pdf</t>
        </is>
      </c>
      <c r="C1520" t="n">
        <v>2022</v>
      </c>
      <c r="D1520" t="inlineStr">
        <is>
          <t>Financial</t>
        </is>
      </c>
      <c r="E1520" t="inlineStr">
        <is>
          <t>ROE</t>
        </is>
      </c>
      <c r="F1520" t="n">
        <v>0.1957</v>
      </c>
      <c r="G1520" t="inlineStr">
        <is>
          <t>pct</t>
        </is>
      </c>
      <c r="H1520" t="n">
        <v>9</v>
      </c>
      <c r="I1520" t="inlineStr">
        <is>
          <t>Laba Bersih Terhadap Ekuitas 19.57% ROE 2022</t>
        </is>
      </c>
      <c r="J1520" t="inlineStr">
        <is>
          <t>High</t>
        </is>
      </c>
      <c r="M1520" t="inlineStr">
        <is>
          <t>LLM</t>
        </is>
      </c>
      <c r="N1520" t="inlineStr">
        <is>
          <t>2026-04-18</t>
        </is>
      </c>
      <c r="O1520" t="inlineStr">
        <is>
          <t>AI</t>
        </is>
      </c>
    </row>
    <row r="1521">
      <c r="A1521" t="inlineStr">
        <is>
          <t>PT FKS Multi Agro Tbk</t>
        </is>
      </c>
      <c r="B1521" t="inlineStr">
        <is>
          <t>FISH_2022_AR.pdf</t>
        </is>
      </c>
      <c r="C1521" t="n">
        <v>2022</v>
      </c>
      <c r="D1521" t="inlineStr">
        <is>
          <t>Financial</t>
        </is>
      </c>
      <c r="E1521" t="inlineStr">
        <is>
          <t>Current Ratio</t>
        </is>
      </c>
      <c r="F1521" t="n">
        <v>1.45</v>
      </c>
      <c r="G1521" t="inlineStr">
        <is>
          <t>x</t>
        </is>
      </c>
      <c r="H1521" t="n">
        <v>9</v>
      </c>
      <c r="I1521" t="inlineStr">
        <is>
          <t>Aset Lancar Terhadap Liabilitas Jangka Pendek 1.45</t>
        </is>
      </c>
      <c r="J1521" t="inlineStr">
        <is>
          <t>High</t>
        </is>
      </c>
      <c r="M1521" t="inlineStr">
        <is>
          <t>LLM</t>
        </is>
      </c>
      <c r="N1521" t="inlineStr">
        <is>
          <t>2026-04-18</t>
        </is>
      </c>
      <c r="O1521" t="inlineStr">
        <is>
          <t>AI</t>
        </is>
      </c>
    </row>
    <row r="1522">
      <c r="A1522" t="inlineStr">
        <is>
          <t>PT FKS Multi Agro Tbk</t>
        </is>
      </c>
      <c r="B1522" t="inlineStr">
        <is>
          <t>FISH_2022_AR.pdf</t>
        </is>
      </c>
      <c r="C1522" t="n">
        <v>2022</v>
      </c>
      <c r="D1522" t="inlineStr">
        <is>
          <t>Financial</t>
        </is>
      </c>
      <c r="E1522" t="inlineStr">
        <is>
          <t>DER</t>
        </is>
      </c>
      <c r="F1522" t="n">
        <v>1.76</v>
      </c>
      <c r="G1522" t="inlineStr">
        <is>
          <t>x</t>
        </is>
      </c>
      <c r="H1522" t="n">
        <v>9</v>
      </c>
      <c r="I1522" t="inlineStr">
        <is>
          <t>Rasio Liabilitas Terhadap Ekuitas 1.76</t>
        </is>
      </c>
      <c r="J1522" t="inlineStr">
        <is>
          <t>High</t>
        </is>
      </c>
      <c r="M1522" t="inlineStr">
        <is>
          <t>LLM</t>
        </is>
      </c>
      <c r="N1522" t="inlineStr">
        <is>
          <t>2026-04-18</t>
        </is>
      </c>
      <c r="O1522" t="inlineStr">
        <is>
          <t>AI</t>
        </is>
      </c>
    </row>
    <row r="1523">
      <c r="A1523" t="inlineStr">
        <is>
          <t>PT FKS Multi Agro Tbk</t>
        </is>
      </c>
      <c r="B1523" t="inlineStr">
        <is>
          <t>FISH_2022_AR.pdf</t>
        </is>
      </c>
      <c r="C1523" t="n">
        <v>2022</v>
      </c>
      <c r="D1523" t="inlineStr">
        <is>
          <t>Financial</t>
        </is>
      </c>
      <c r="E1523" t="inlineStr">
        <is>
          <t>Revenue Growth</t>
        </is>
      </c>
      <c r="F1523" t="n">
        <v>0.1537</v>
      </c>
      <c r="G1523" t="inlineStr">
        <is>
          <t>pct</t>
        </is>
      </c>
      <c r="H1523" t="n">
        <v>9</v>
      </c>
      <c r="I1523" t="inlineStr">
        <is>
          <t>Pertumbuhan Penjualan Bersih 15.37%</t>
        </is>
      </c>
      <c r="J1523" t="inlineStr">
        <is>
          <t>High</t>
        </is>
      </c>
      <c r="M1523" t="inlineStr">
        <is>
          <t>LLM</t>
        </is>
      </c>
      <c r="N1523" t="inlineStr">
        <is>
          <t>2026-04-18</t>
        </is>
      </c>
      <c r="O1523" t="inlineStr">
        <is>
          <t>AI</t>
        </is>
      </c>
    </row>
    <row r="1524">
      <c r="A1524" t="inlineStr">
        <is>
          <t>PT FKS Multi Agro Tbk</t>
        </is>
      </c>
      <c r="B1524" t="inlineStr">
        <is>
          <t>FISH_2022_AR.pdf</t>
        </is>
      </c>
      <c r="C1524" t="n">
        <v>2022</v>
      </c>
      <c r="D1524" t="inlineStr">
        <is>
          <t>Financial</t>
        </is>
      </c>
      <c r="E1524" t="inlineStr">
        <is>
          <t>Net Profit Growth</t>
        </is>
      </c>
      <c r="F1524" t="n">
        <v>0.1204</v>
      </c>
      <c r="G1524" t="inlineStr">
        <is>
          <t>pct</t>
        </is>
      </c>
      <c r="H1524" t="n">
        <v>9</v>
      </c>
      <c r="I1524" t="inlineStr">
        <is>
          <t>Pertumbuhan Laba Bersih 12.04%</t>
        </is>
      </c>
      <c r="J1524" t="inlineStr">
        <is>
          <t>High</t>
        </is>
      </c>
      <c r="M1524" t="inlineStr">
        <is>
          <t>LLM</t>
        </is>
      </c>
      <c r="N1524" t="inlineStr">
        <is>
          <t>2026-04-18</t>
        </is>
      </c>
      <c r="O1524" t="inlineStr">
        <is>
          <t>AI</t>
        </is>
      </c>
    </row>
    <row r="1525">
      <c r="A1525" t="inlineStr">
        <is>
          <t>PT FKS Multi Agro Tbk</t>
        </is>
      </c>
      <c r="B1525" t="inlineStr">
        <is>
          <t>FISH_2022_AR.pdf</t>
        </is>
      </c>
      <c r="C1525" t="n">
        <v>2022</v>
      </c>
      <c r="D1525" t="inlineStr">
        <is>
          <t>Other</t>
        </is>
      </c>
      <c r="E1525" t="inlineStr">
        <is>
          <t>Primary Business</t>
        </is>
      </c>
      <c r="F1525" t="inlineStr">
        <is>
          <t>Agri commodity distribution/trading (feed ingredients, food ingredients, warehousing/logistics)</t>
        </is>
      </c>
      <c r="H1525" t="n">
        <v>2</v>
      </c>
      <c r="I1525" t="inlineStr">
        <is>
          <t>induk untuk anak perusahaan yang beroperasi dalam bidang pergudangan, logistik, dan distribusi</t>
        </is>
      </c>
      <c r="J1525" t="inlineStr">
        <is>
          <t>High</t>
        </is>
      </c>
      <c r="M1525" t="inlineStr">
        <is>
          <t>LLM</t>
        </is>
      </c>
      <c r="N1525" t="inlineStr">
        <is>
          <t>2026-04-18</t>
        </is>
      </c>
      <c r="O1525" t="inlineStr">
        <is>
          <t>AI</t>
        </is>
      </c>
    </row>
    <row r="1526">
      <c r="A1526" t="inlineStr">
        <is>
          <t>PT FKS Multi Agro Tbk</t>
        </is>
      </c>
      <c r="B1526" t="inlineStr">
        <is>
          <t>FISH_2023_AR.pdf</t>
        </is>
      </c>
      <c r="C1526" t="n">
        <v>2023</v>
      </c>
      <c r="D1526" t="inlineStr">
        <is>
          <t>Company</t>
        </is>
      </c>
      <c r="E1526" t="inlineStr">
        <is>
          <t>Company Name</t>
        </is>
      </c>
      <c r="F1526" t="inlineStr">
        <is>
          <t>PT FKS Multi Agro Tbk</t>
        </is>
      </c>
      <c r="G1526" t="inlineStr">
        <is>
          <t>text</t>
        </is>
      </c>
      <c r="H1526" t="n">
        <v>35</v>
      </c>
      <c r="I1526" t="inlineStr">
        <is>
          <t>PT FKS Multi Agro Tbk</t>
        </is>
      </c>
      <c r="J1526" t="inlineStr">
        <is>
          <t>High</t>
        </is>
      </c>
      <c r="M1526" t="inlineStr">
        <is>
          <t>LLM</t>
        </is>
      </c>
      <c r="N1526" t="inlineStr">
        <is>
          <t>2026-04-18</t>
        </is>
      </c>
      <c r="O1526" t="inlineStr">
        <is>
          <t>AI</t>
        </is>
      </c>
    </row>
    <row r="1527">
      <c r="A1527" t="inlineStr">
        <is>
          <t>PT FKS Multi Agro Tbk</t>
        </is>
      </c>
      <c r="B1527" t="inlineStr">
        <is>
          <t>FISH_2023_AR.pdf</t>
        </is>
      </c>
      <c r="C1527" t="n">
        <v>2023</v>
      </c>
      <c r="D1527" t="inlineStr">
        <is>
          <t>Company</t>
        </is>
      </c>
      <c r="E1527" t="inlineStr">
        <is>
          <t>Ticker</t>
        </is>
      </c>
      <c r="F1527" t="inlineStr">
        <is>
          <t>FISH</t>
        </is>
      </c>
      <c r="G1527" t="inlineStr">
        <is>
          <t>text</t>
        </is>
      </c>
      <c r="H1527" t="n">
        <v>35</v>
      </c>
      <c r="I1527" t="inlineStr">
        <is>
          <t>Kode Saham FISH</t>
        </is>
      </c>
      <c r="J1527" t="inlineStr">
        <is>
          <t>High</t>
        </is>
      </c>
      <c r="M1527" t="inlineStr">
        <is>
          <t>LLM</t>
        </is>
      </c>
      <c r="N1527" t="inlineStr">
        <is>
          <t>2026-04-18</t>
        </is>
      </c>
      <c r="O1527" t="inlineStr">
        <is>
          <t>AI</t>
        </is>
      </c>
    </row>
    <row r="1528">
      <c r="A1528" t="inlineStr">
        <is>
          <t>PT FKS Multi Agro Tbk</t>
        </is>
      </c>
      <c r="B1528" t="inlineStr">
        <is>
          <t>FISH_2023_AR.pdf</t>
        </is>
      </c>
      <c r="C1528" t="n">
        <v>2023</v>
      </c>
      <c r="D1528" t="inlineStr">
        <is>
          <t>Company</t>
        </is>
      </c>
      <c r="E1528" t="inlineStr">
        <is>
          <t>Listed Since</t>
        </is>
      </c>
      <c r="F1528" t="inlineStr">
        <is>
          <t>2002-01-18</t>
        </is>
      </c>
      <c r="G1528" t="inlineStr">
        <is>
          <t>date</t>
        </is>
      </c>
      <c r="H1528" t="n">
        <v>35</v>
      </c>
      <c r="I1528" t="inlineStr">
        <is>
          <t>Tanggal Pencatatan 18 Januari 2002</t>
        </is>
      </c>
      <c r="J1528" t="inlineStr">
        <is>
          <t>High</t>
        </is>
      </c>
      <c r="M1528" t="inlineStr">
        <is>
          <t>LLM</t>
        </is>
      </c>
      <c r="N1528" t="inlineStr">
        <is>
          <t>2026-04-18</t>
        </is>
      </c>
      <c r="O1528" t="inlineStr">
        <is>
          <t>AI</t>
        </is>
      </c>
    </row>
    <row r="1529">
      <c r="A1529" t="inlineStr">
        <is>
          <t>PT FKS Multi Agro Tbk</t>
        </is>
      </c>
      <c r="B1529" t="inlineStr">
        <is>
          <t>FISH_2023_AR.pdf</t>
        </is>
      </c>
      <c r="C1529" t="n">
        <v>2023</v>
      </c>
      <c r="D1529" t="inlineStr">
        <is>
          <t>Company</t>
        </is>
      </c>
      <c r="E1529" t="inlineStr">
        <is>
          <t>Par Value</t>
        </is>
      </c>
      <c r="F1529" t="n">
        <v>100</v>
      </c>
      <c r="G1529" t="inlineStr">
        <is>
          <t>Rp/share</t>
        </is>
      </c>
      <c r="H1529" t="n">
        <v>35</v>
      </c>
      <c r="I1529" t="inlineStr">
        <is>
          <t>Nilai per Saham Rp100</t>
        </is>
      </c>
      <c r="J1529" t="inlineStr">
        <is>
          <t>High</t>
        </is>
      </c>
      <c r="M1529" t="inlineStr">
        <is>
          <t>LLM</t>
        </is>
      </c>
      <c r="N1529" t="inlineStr">
        <is>
          <t>2026-04-18</t>
        </is>
      </c>
      <c r="O1529" t="inlineStr">
        <is>
          <t>AI</t>
        </is>
      </c>
    </row>
    <row r="1530">
      <c r="A1530" t="inlineStr">
        <is>
          <t>PT FKS Multi Agro Tbk</t>
        </is>
      </c>
      <c r="B1530" t="inlineStr">
        <is>
          <t>FISH_2023_AR.pdf</t>
        </is>
      </c>
      <c r="C1530" t="n">
        <v>2023</v>
      </c>
      <c r="D1530" t="inlineStr">
        <is>
          <t>Company</t>
        </is>
      </c>
      <c r="E1530" t="inlineStr">
        <is>
          <t>Authorized Capital</t>
        </is>
      </c>
      <c r="F1530" t="n">
        <v>100000000000</v>
      </c>
      <c r="G1530" t="inlineStr">
        <is>
          <t>Rp</t>
        </is>
      </c>
      <c r="H1530" t="n">
        <v>35</v>
      </c>
      <c r="I1530" t="inlineStr">
        <is>
          <t>Modal Dasar Rp100.000.000.000 (1.000.000.000 saham)</t>
        </is>
      </c>
      <c r="J1530" t="inlineStr">
        <is>
          <t>High</t>
        </is>
      </c>
      <c r="M1530" t="inlineStr">
        <is>
          <t>LLM</t>
        </is>
      </c>
      <c r="N1530" t="inlineStr">
        <is>
          <t>2026-04-18</t>
        </is>
      </c>
      <c r="O1530" t="inlineStr">
        <is>
          <t>AI</t>
        </is>
      </c>
    </row>
    <row r="1531">
      <c r="A1531" t="inlineStr">
        <is>
          <t>PT FKS Multi Agro Tbk</t>
        </is>
      </c>
      <c r="B1531" t="inlineStr">
        <is>
          <t>FISH_2023_AR.pdf</t>
        </is>
      </c>
      <c r="C1531" t="n">
        <v>2023</v>
      </c>
      <c r="D1531" t="inlineStr">
        <is>
          <t>Company</t>
        </is>
      </c>
      <c r="E1531" t="inlineStr">
        <is>
          <t>Issued Capital</t>
        </is>
      </c>
      <c r="F1531" t="n">
        <v>48000000000</v>
      </c>
      <c r="G1531" t="inlineStr">
        <is>
          <t>Rp</t>
        </is>
      </c>
      <c r="H1531" t="n">
        <v>35</v>
      </c>
      <c r="I1531" t="inlineStr">
        <is>
          <t>Modal Ditempatkan dan Disetor Rp48.000.000.000 (480.000.000 saham)</t>
        </is>
      </c>
      <c r="J1531" t="inlineStr">
        <is>
          <t>High</t>
        </is>
      </c>
      <c r="M1531" t="inlineStr">
        <is>
          <t>LLM</t>
        </is>
      </c>
      <c r="N1531" t="inlineStr">
        <is>
          <t>2026-04-18</t>
        </is>
      </c>
      <c r="O1531" t="inlineStr">
        <is>
          <t>AI</t>
        </is>
      </c>
    </row>
    <row r="1532">
      <c r="A1532" t="inlineStr">
        <is>
          <t>PT FKS Multi Agro Tbk</t>
        </is>
      </c>
      <c r="B1532" t="inlineStr">
        <is>
          <t>FISH_2023_AR.pdf</t>
        </is>
      </c>
      <c r="C1532" t="n">
        <v>2023</v>
      </c>
      <c r="D1532" t="inlineStr">
        <is>
          <t>Company</t>
        </is>
      </c>
      <c r="E1532" t="inlineStr">
        <is>
          <t>Total Employees</t>
        </is>
      </c>
      <c r="F1532" t="n">
        <v>995</v>
      </c>
      <c r="G1532" t="inlineStr">
        <is>
          <t>count</t>
        </is>
      </c>
      <c r="H1532" t="n">
        <v>36</v>
      </c>
      <c r="I1532" t="inlineStr">
        <is>
          <t>Jumlah Pegawai 995</t>
        </is>
      </c>
      <c r="J1532" t="inlineStr">
        <is>
          <t>High</t>
        </is>
      </c>
      <c r="M1532" t="inlineStr">
        <is>
          <t>LLM</t>
        </is>
      </c>
      <c r="N1532" t="inlineStr">
        <is>
          <t>2026-04-18</t>
        </is>
      </c>
      <c r="O1532" t="inlineStr">
        <is>
          <t>AI</t>
        </is>
      </c>
    </row>
    <row r="1533">
      <c r="A1533" t="inlineStr">
        <is>
          <t>PT FKS Multi Agro Tbk</t>
        </is>
      </c>
      <c r="B1533" t="inlineStr">
        <is>
          <t>FISH_2023_AR.pdf</t>
        </is>
      </c>
      <c r="C1533" t="n">
        <v>2023</v>
      </c>
      <c r="D1533" t="inlineStr">
        <is>
          <t>Company</t>
        </is>
      </c>
      <c r="E1533" t="inlineStr">
        <is>
          <t>Reporting Currency</t>
        </is>
      </c>
      <c r="F1533" t="inlineStr">
        <is>
          <t>USD</t>
        </is>
      </c>
      <c r="G1533" t="inlineStr">
        <is>
          <t>text</t>
        </is>
      </c>
      <c r="H1533" t="n">
        <v>179</v>
      </c>
      <c r="I1533" t="inlineStr">
        <is>
          <t>Expressed in United States Dollar, Unless Otherwise Stated</t>
        </is>
      </c>
      <c r="J1533" t="inlineStr">
        <is>
          <t>High</t>
        </is>
      </c>
      <c r="M1533" t="inlineStr">
        <is>
          <t>LLM</t>
        </is>
      </c>
      <c r="N1533" t="inlineStr">
        <is>
          <t>2026-04-18</t>
        </is>
      </c>
      <c r="O1533" t="inlineStr">
        <is>
          <t>AI</t>
        </is>
      </c>
    </row>
    <row r="1534">
      <c r="A1534" t="inlineStr">
        <is>
          <t>PT FKS Multi Agro Tbk</t>
        </is>
      </c>
      <c r="B1534" t="inlineStr">
        <is>
          <t>FISH_2023_AR.pdf</t>
        </is>
      </c>
      <c r="C1534" t="n">
        <v>2023</v>
      </c>
      <c r="D1534" t="inlineStr">
        <is>
          <t>Company</t>
        </is>
      </c>
      <c r="E1534" t="inlineStr">
        <is>
          <t>Ultimate Parent</t>
        </is>
      </c>
      <c r="F1534" t="inlineStr">
        <is>
          <t>FKS International Investments Pte. Ltd. (Singapore)</t>
        </is>
      </c>
      <c r="G1534" t="inlineStr">
        <is>
          <t>text</t>
        </is>
      </c>
      <c r="H1534" t="n">
        <v>218</v>
      </c>
      <c r="I1534" t="inlineStr">
        <is>
          <t>FKS International Investments Pte. Ltd.</t>
        </is>
      </c>
      <c r="J1534" t="inlineStr">
        <is>
          <t>High</t>
        </is>
      </c>
      <c r="M1534" t="inlineStr">
        <is>
          <t>LLM</t>
        </is>
      </c>
      <c r="N1534" t="inlineStr">
        <is>
          <t>2026-04-18</t>
        </is>
      </c>
      <c r="O1534" t="inlineStr">
        <is>
          <t>AI</t>
        </is>
      </c>
    </row>
    <row r="1535">
      <c r="A1535" t="inlineStr">
        <is>
          <t>PT FKS Multi Agro Tbk</t>
        </is>
      </c>
      <c r="B1535" t="inlineStr">
        <is>
          <t>FISH_2023_AR.pdf</t>
        </is>
      </c>
      <c r="C1535" t="n">
        <v>2023</v>
      </c>
      <c r="D1535" t="inlineStr">
        <is>
          <t>Company</t>
        </is>
      </c>
      <c r="E1535" t="inlineStr">
        <is>
          <t>Shareholder - PT FKS Corporindo Indonesia</t>
        </is>
      </c>
      <c r="F1535" t="n">
        <v>0.7906</v>
      </c>
      <c r="G1535" t="inlineStr">
        <is>
          <t>pct</t>
        </is>
      </c>
      <c r="H1535" t="n">
        <v>35</v>
      </c>
      <c r="I1535" t="inlineStr">
        <is>
          <t>PT FKS Corporindo Indonesia 79,06%</t>
        </is>
      </c>
      <c r="J1535" t="inlineStr">
        <is>
          <t>High</t>
        </is>
      </c>
      <c r="M1535" t="inlineStr">
        <is>
          <t>LLM</t>
        </is>
      </c>
      <c r="N1535" t="inlineStr">
        <is>
          <t>2026-04-18</t>
        </is>
      </c>
      <c r="O1535" t="inlineStr">
        <is>
          <t>AI</t>
        </is>
      </c>
    </row>
    <row r="1536">
      <c r="A1536" t="inlineStr">
        <is>
          <t>PT FKS Multi Agro Tbk</t>
        </is>
      </c>
      <c r="B1536" t="inlineStr">
        <is>
          <t>FISH_2023_AR.pdf</t>
        </is>
      </c>
      <c r="C1536" t="n">
        <v>2023</v>
      </c>
      <c r="D1536" t="inlineStr">
        <is>
          <t>Company</t>
        </is>
      </c>
      <c r="E1536" t="inlineStr">
        <is>
          <t>Shareholder - PT Caturkartika Perdana</t>
        </is>
      </c>
      <c r="F1536" t="n">
        <v>0.1042</v>
      </c>
      <c r="G1536" t="inlineStr">
        <is>
          <t>pct</t>
        </is>
      </c>
      <c r="H1536" t="n">
        <v>35</v>
      </c>
      <c r="I1536" t="inlineStr">
        <is>
          <t>PT Caturkartika Perdana 10,42%</t>
        </is>
      </c>
      <c r="J1536" t="inlineStr">
        <is>
          <t>High</t>
        </is>
      </c>
      <c r="M1536" t="inlineStr">
        <is>
          <t>LLM</t>
        </is>
      </c>
      <c r="N1536" t="inlineStr">
        <is>
          <t>2026-04-18</t>
        </is>
      </c>
      <c r="O1536" t="inlineStr">
        <is>
          <t>AI</t>
        </is>
      </c>
    </row>
    <row r="1537">
      <c r="A1537" t="inlineStr">
        <is>
          <t>PT FKS Multi Agro Tbk</t>
        </is>
      </c>
      <c r="B1537" t="inlineStr">
        <is>
          <t>FISH_2023_AR.pdf</t>
        </is>
      </c>
      <c r="C1537" t="n">
        <v>2023</v>
      </c>
      <c r="D1537" t="inlineStr">
        <is>
          <t>Company</t>
        </is>
      </c>
      <c r="E1537" t="inlineStr">
        <is>
          <t>Shareholder - Public</t>
        </is>
      </c>
      <c r="F1537" t="n">
        <v>0.1052</v>
      </c>
      <c r="G1537" t="inlineStr">
        <is>
          <t>pct</t>
        </is>
      </c>
      <c r="H1537" t="n">
        <v>35</v>
      </c>
      <c r="I1537" t="inlineStr">
        <is>
          <t>Masyarakat | Public 10,52%</t>
        </is>
      </c>
      <c r="J1537" t="inlineStr">
        <is>
          <t>High</t>
        </is>
      </c>
      <c r="M1537" t="inlineStr">
        <is>
          <t>LLM</t>
        </is>
      </c>
      <c r="N1537" t="inlineStr">
        <is>
          <t>2026-04-18</t>
        </is>
      </c>
      <c r="O1537" t="inlineStr">
        <is>
          <t>AI</t>
        </is>
      </c>
    </row>
    <row r="1538">
      <c r="A1538" t="inlineStr">
        <is>
          <t>PT FKS Multi Agro Tbk</t>
        </is>
      </c>
      <c r="B1538" t="inlineStr">
        <is>
          <t>FISH_2023_AR.pdf</t>
        </is>
      </c>
      <c r="C1538" t="n">
        <v>2023</v>
      </c>
      <c r="D1538" t="inlineStr">
        <is>
          <t>Company</t>
        </is>
      </c>
      <c r="E1538" t="inlineStr">
        <is>
          <t>Subsidiary - PT Nusa Prima Logistik</t>
        </is>
      </c>
      <c r="F1538" t="n">
        <v>0.65</v>
      </c>
      <c r="G1538" t="inlineStr">
        <is>
          <t>pct</t>
        </is>
      </c>
      <c r="H1538" t="n">
        <v>218</v>
      </c>
      <c r="I1538" t="inlineStr">
        <is>
          <t>PT Nusa Prima Logistik Jakarta/ 2017/ Logistik pergudangan/ 65,00%</t>
        </is>
      </c>
      <c r="J1538" t="inlineStr">
        <is>
          <t>High</t>
        </is>
      </c>
      <c r="M1538" t="inlineStr">
        <is>
          <t>LLM</t>
        </is>
      </c>
      <c r="N1538" t="inlineStr">
        <is>
          <t>2026-04-18</t>
        </is>
      </c>
      <c r="O1538" t="inlineStr">
        <is>
          <t>AI</t>
        </is>
      </c>
    </row>
    <row r="1539">
      <c r="A1539" t="inlineStr">
        <is>
          <t>PT FKS Multi Agro Tbk</t>
        </is>
      </c>
      <c r="B1539" t="inlineStr">
        <is>
          <t>FISH_2023_AR.pdf</t>
        </is>
      </c>
      <c r="C1539" t="n">
        <v>2023</v>
      </c>
      <c r="D1539" t="inlineStr">
        <is>
          <t>Company</t>
        </is>
      </c>
      <c r="E1539" t="inlineStr">
        <is>
          <t>Subsidiary - PT FKS Pangan Nusantara</t>
        </is>
      </c>
      <c r="F1539" t="n">
        <v>0.9999</v>
      </c>
      <c r="G1539" t="inlineStr">
        <is>
          <t>pct</t>
        </is>
      </c>
      <c r="H1539" t="n">
        <v>218</v>
      </c>
      <c r="I1539" t="inlineStr">
        <is>
          <t>PT FKS Pangan Nusantara Jakarta/ 2019/ Perdagangan/ 99,99%</t>
        </is>
      </c>
      <c r="J1539" t="inlineStr">
        <is>
          <t>High</t>
        </is>
      </c>
      <c r="M1539" t="inlineStr">
        <is>
          <t>LLM</t>
        </is>
      </c>
      <c r="N1539" t="inlineStr">
        <is>
          <t>2026-04-18</t>
        </is>
      </c>
      <c r="O1539" t="inlineStr">
        <is>
          <t>AI</t>
        </is>
      </c>
    </row>
    <row r="1540">
      <c r="A1540" t="inlineStr">
        <is>
          <t>PT FKS Multi Agro Tbk</t>
        </is>
      </c>
      <c r="B1540" t="inlineStr">
        <is>
          <t>FISH_2023_AR.pdf</t>
        </is>
      </c>
      <c r="C1540" t="n">
        <v>2023</v>
      </c>
      <c r="D1540" t="inlineStr">
        <is>
          <t>Company</t>
        </is>
      </c>
      <c r="E1540" t="inlineStr">
        <is>
          <t>Subsidiary - PT FKS Solusi Logistik</t>
        </is>
      </c>
      <c r="F1540" t="n">
        <v>0.9999</v>
      </c>
      <c r="G1540" t="inlineStr">
        <is>
          <t>pct</t>
        </is>
      </c>
      <c r="H1540" t="n">
        <v>218</v>
      </c>
      <c r="I1540" t="inlineStr">
        <is>
          <t>PT FKS Solusi Logistik Jakarta/ Jasa konsultasi dan manajemen/ 99,99%</t>
        </is>
      </c>
      <c r="J1540" t="inlineStr">
        <is>
          <t>High</t>
        </is>
      </c>
      <c r="M1540" t="inlineStr">
        <is>
          <t>LLM</t>
        </is>
      </c>
      <c r="N1540" t="inlineStr">
        <is>
          <t>2026-04-18</t>
        </is>
      </c>
      <c r="O1540" t="inlineStr">
        <is>
          <t>AI</t>
        </is>
      </c>
    </row>
    <row r="1541">
      <c r="A1541" t="inlineStr">
        <is>
          <t>PT FKS Multi Agro Tbk</t>
        </is>
      </c>
      <c r="B1541" t="inlineStr">
        <is>
          <t>FISH_2023_AR.pdf</t>
        </is>
      </c>
      <c r="C1541" t="n">
        <v>2023</v>
      </c>
      <c r="D1541" t="inlineStr">
        <is>
          <t>Financial</t>
        </is>
      </c>
      <c r="E1541" t="inlineStr">
        <is>
          <t>Revenue</t>
        </is>
      </c>
      <c r="F1541" t="n">
        <v>1401034930</v>
      </c>
      <c r="G1541" t="inlineStr">
        <is>
          <t>USD</t>
        </is>
      </c>
      <c r="H1541" t="n">
        <v>11</v>
      </c>
      <c r="I1541" t="inlineStr">
        <is>
          <t>Pendapatan 1.401.034.930 Revenues (2023)</t>
        </is>
      </c>
      <c r="J1541" t="inlineStr">
        <is>
          <t>High</t>
        </is>
      </c>
      <c r="M1541" t="inlineStr">
        <is>
          <t>LLM</t>
        </is>
      </c>
      <c r="N1541" t="inlineStr">
        <is>
          <t>2026-04-18</t>
        </is>
      </c>
      <c r="O1541" t="inlineStr">
        <is>
          <t>AI</t>
        </is>
      </c>
    </row>
    <row r="1542">
      <c r="A1542" t="inlineStr">
        <is>
          <t>PT FKS Multi Agro Tbk</t>
        </is>
      </c>
      <c r="B1542" t="inlineStr">
        <is>
          <t>FISH_2023_AR.pdf</t>
        </is>
      </c>
      <c r="C1542" t="n">
        <v>2023</v>
      </c>
      <c r="D1542" t="inlineStr">
        <is>
          <t>Financial</t>
        </is>
      </c>
      <c r="E1542" t="inlineStr">
        <is>
          <t>Revenue (IDR)</t>
        </is>
      </c>
      <c r="F1542" t="n">
        <v>21349</v>
      </c>
      <c r="G1542" t="inlineStr">
        <is>
          <t>IDR bn</t>
        </is>
      </c>
      <c r="H1542" t="n">
        <v>11</v>
      </c>
      <c r="I1542" t="inlineStr">
        <is>
          <t>USD 1,401,034,930 x 2023 avg rate 15,237 = Rp21.349 trn</t>
        </is>
      </c>
      <c r="J1542" t="inlineStr">
        <is>
          <t>Medium</t>
        </is>
      </c>
      <c r="M1542" t="inlineStr">
        <is>
          <t>LLM</t>
        </is>
      </c>
      <c r="N1542" t="inlineStr">
        <is>
          <t>2026-04-18</t>
        </is>
      </c>
      <c r="O1542" t="inlineStr">
        <is>
          <t>AI</t>
        </is>
      </c>
    </row>
    <row r="1543">
      <c r="A1543" t="inlineStr">
        <is>
          <t>PT FKS Multi Agro Tbk</t>
        </is>
      </c>
      <c r="B1543" t="inlineStr">
        <is>
          <t>FISH_2023_AR.pdf</t>
        </is>
      </c>
      <c r="C1543" t="n">
        <v>2023</v>
      </c>
      <c r="D1543" t="inlineStr">
        <is>
          <t>Financial</t>
        </is>
      </c>
      <c r="E1543" t="inlineStr">
        <is>
          <t>Gross Profit</t>
        </is>
      </c>
      <c r="F1543" t="n">
        <v>71050055</v>
      </c>
      <c r="G1543" t="inlineStr">
        <is>
          <t>USD</t>
        </is>
      </c>
      <c r="H1543" t="n">
        <v>11</v>
      </c>
      <c r="I1543" t="inlineStr">
        <is>
          <t>Laba Bruto 71.050.055 Gross Profit (2023)</t>
        </is>
      </c>
      <c r="J1543" t="inlineStr">
        <is>
          <t>High</t>
        </is>
      </c>
      <c r="M1543" t="inlineStr">
        <is>
          <t>LLM</t>
        </is>
      </c>
      <c r="N1543" t="inlineStr">
        <is>
          <t>2026-04-18</t>
        </is>
      </c>
      <c r="O1543" t="inlineStr">
        <is>
          <t>AI</t>
        </is>
      </c>
    </row>
    <row r="1544">
      <c r="A1544" t="inlineStr">
        <is>
          <t>PT FKS Multi Agro Tbk</t>
        </is>
      </c>
      <c r="B1544" t="inlineStr">
        <is>
          <t>FISH_2023_AR.pdf</t>
        </is>
      </c>
      <c r="C1544" t="n">
        <v>2023</v>
      </c>
      <c r="D1544" t="inlineStr">
        <is>
          <t>Financial</t>
        </is>
      </c>
      <c r="E1544" t="inlineStr">
        <is>
          <t>Operating Profit</t>
        </is>
      </c>
      <c r="F1544" t="n">
        <v>43054504</v>
      </c>
      <c r="G1544" t="inlineStr">
        <is>
          <t>USD</t>
        </is>
      </c>
      <c r="H1544" t="n">
        <v>11</v>
      </c>
      <c r="I1544" t="inlineStr">
        <is>
          <t>Laba Usaha 43.054.504 Operating Profit</t>
        </is>
      </c>
      <c r="J1544" t="inlineStr">
        <is>
          <t>High</t>
        </is>
      </c>
      <c r="M1544" t="inlineStr">
        <is>
          <t>LLM</t>
        </is>
      </c>
      <c r="N1544" t="inlineStr">
        <is>
          <t>2026-04-18</t>
        </is>
      </c>
      <c r="O1544" t="inlineStr">
        <is>
          <t>AI</t>
        </is>
      </c>
    </row>
    <row r="1545">
      <c r="A1545" t="inlineStr">
        <is>
          <t>PT FKS Multi Agro Tbk</t>
        </is>
      </c>
      <c r="B1545" t="inlineStr">
        <is>
          <t>FISH_2023_AR.pdf</t>
        </is>
      </c>
      <c r="C1545" t="n">
        <v>2023</v>
      </c>
      <c r="D1545" t="inlineStr">
        <is>
          <t>Financial</t>
        </is>
      </c>
      <c r="E1545" t="inlineStr">
        <is>
          <t>Net Profit</t>
        </is>
      </c>
      <c r="F1545" t="n">
        <v>24733438</v>
      </c>
      <c r="G1545" t="inlineStr">
        <is>
          <t>USD</t>
        </is>
      </c>
      <c r="H1545" t="n">
        <v>11</v>
      </c>
      <c r="I1545" t="inlineStr">
        <is>
          <t>Laba Tahun Berjalan 24.733.438 Profit for the Year (2023)</t>
        </is>
      </c>
      <c r="J1545" t="inlineStr">
        <is>
          <t>High</t>
        </is>
      </c>
      <c r="M1545" t="inlineStr">
        <is>
          <t>LLM</t>
        </is>
      </c>
      <c r="N1545" t="inlineStr">
        <is>
          <t>2026-04-18</t>
        </is>
      </c>
      <c r="O1545" t="inlineStr">
        <is>
          <t>AI</t>
        </is>
      </c>
    </row>
    <row r="1546">
      <c r="A1546" t="inlineStr">
        <is>
          <t>PT FKS Multi Agro Tbk</t>
        </is>
      </c>
      <c r="B1546" t="inlineStr">
        <is>
          <t>FISH_2023_AR.pdf</t>
        </is>
      </c>
      <c r="C1546" t="n">
        <v>2023</v>
      </c>
      <c r="D1546" t="inlineStr">
        <is>
          <t>Financial</t>
        </is>
      </c>
      <c r="E1546" t="inlineStr">
        <is>
          <t>Profit Attributable to Parent</t>
        </is>
      </c>
      <c r="F1546" t="n">
        <v>24183057</v>
      </c>
      <c r="G1546" t="inlineStr">
        <is>
          <t>USD</t>
        </is>
      </c>
      <c r="H1546" t="n">
        <v>11</v>
      </c>
      <c r="I1546" t="inlineStr">
        <is>
          <t>Pemilik Entitas Induk 24.183.057</t>
        </is>
      </c>
      <c r="J1546" t="inlineStr">
        <is>
          <t>High</t>
        </is>
      </c>
      <c r="M1546" t="inlineStr">
        <is>
          <t>LLM</t>
        </is>
      </c>
      <c r="N1546" t="inlineStr">
        <is>
          <t>2026-04-18</t>
        </is>
      </c>
      <c r="O1546" t="inlineStr">
        <is>
          <t>AI</t>
        </is>
      </c>
    </row>
    <row r="1547">
      <c r="A1547" t="inlineStr">
        <is>
          <t>PT FKS Multi Agro Tbk</t>
        </is>
      </c>
      <c r="B1547" t="inlineStr">
        <is>
          <t>FISH_2023_AR.pdf</t>
        </is>
      </c>
      <c r="C1547" t="n">
        <v>2023</v>
      </c>
      <c r="D1547" t="inlineStr">
        <is>
          <t>Financial</t>
        </is>
      </c>
      <c r="E1547" t="inlineStr">
        <is>
          <t>Non-controlling Interest Profit</t>
        </is>
      </c>
      <c r="F1547" t="n">
        <v>550381</v>
      </c>
      <c r="G1547" t="inlineStr">
        <is>
          <t>USD</t>
        </is>
      </c>
      <c r="H1547" t="n">
        <v>11</v>
      </c>
      <c r="I1547" t="inlineStr">
        <is>
          <t>Kepentingan Non-Pengendali 550.381</t>
        </is>
      </c>
      <c r="J1547" t="inlineStr">
        <is>
          <t>High</t>
        </is>
      </c>
      <c r="M1547" t="inlineStr">
        <is>
          <t>LLM</t>
        </is>
      </c>
      <c r="N1547" t="inlineStr">
        <is>
          <t>2026-04-18</t>
        </is>
      </c>
      <c r="O1547" t="inlineStr">
        <is>
          <t>AI</t>
        </is>
      </c>
    </row>
    <row r="1548">
      <c r="A1548" t="inlineStr">
        <is>
          <t>PT FKS Multi Agro Tbk</t>
        </is>
      </c>
      <c r="B1548" t="inlineStr">
        <is>
          <t>FISH_2023_AR.pdf</t>
        </is>
      </c>
      <c r="C1548" t="n">
        <v>2023</v>
      </c>
      <c r="D1548" t="inlineStr">
        <is>
          <t>Financial</t>
        </is>
      </c>
      <c r="E1548" t="inlineStr">
        <is>
          <t>EPS Basic</t>
        </is>
      </c>
      <c r="F1548" t="n">
        <v>0.05</v>
      </c>
      <c r="G1548" t="inlineStr">
        <is>
          <t>USD/share</t>
        </is>
      </c>
      <c r="H1548" t="n">
        <v>11</v>
      </c>
      <c r="I1548" t="inlineStr">
        <is>
          <t>Laba per Saham Dasar 0,050 Basic Earnings per Share</t>
        </is>
      </c>
      <c r="J1548" t="inlineStr">
        <is>
          <t>High</t>
        </is>
      </c>
      <c r="M1548" t="inlineStr">
        <is>
          <t>LLM</t>
        </is>
      </c>
      <c r="N1548" t="inlineStr">
        <is>
          <t>2026-04-18</t>
        </is>
      </c>
      <c r="O1548" t="inlineStr">
        <is>
          <t>AI</t>
        </is>
      </c>
    </row>
    <row r="1549">
      <c r="A1549" t="inlineStr">
        <is>
          <t>PT FKS Multi Agro Tbk</t>
        </is>
      </c>
      <c r="B1549" t="inlineStr">
        <is>
          <t>FISH_2023_AR.pdf</t>
        </is>
      </c>
      <c r="C1549" t="n">
        <v>2023</v>
      </c>
      <c r="D1549" t="inlineStr">
        <is>
          <t>Financial</t>
        </is>
      </c>
      <c r="E1549" t="inlineStr">
        <is>
          <t>Total Assets</t>
        </is>
      </c>
      <c r="F1549" t="n">
        <v>490845435</v>
      </c>
      <c r="G1549" t="inlineStr">
        <is>
          <t>USD</t>
        </is>
      </c>
      <c r="H1549" t="n">
        <v>13</v>
      </c>
      <c r="I1549" t="inlineStr">
        <is>
          <t>Total Aset 490.845.435</t>
        </is>
      </c>
      <c r="J1549" t="inlineStr">
        <is>
          <t>High</t>
        </is>
      </c>
      <c r="M1549" t="inlineStr">
        <is>
          <t>LLM</t>
        </is>
      </c>
      <c r="N1549" t="inlineStr">
        <is>
          <t>2026-04-18</t>
        </is>
      </c>
      <c r="O1549" t="inlineStr">
        <is>
          <t>AI</t>
        </is>
      </c>
    </row>
    <row r="1550">
      <c r="A1550" t="inlineStr">
        <is>
          <t>PT FKS Multi Agro Tbk</t>
        </is>
      </c>
      <c r="B1550" t="inlineStr">
        <is>
          <t>FISH_2023_AR.pdf</t>
        </is>
      </c>
      <c r="C1550" t="n">
        <v>2023</v>
      </c>
      <c r="D1550" t="inlineStr">
        <is>
          <t>Financial</t>
        </is>
      </c>
      <c r="E1550" t="inlineStr">
        <is>
          <t>Current Assets</t>
        </is>
      </c>
      <c r="F1550" t="n">
        <v>357687676</v>
      </c>
      <c r="G1550" t="inlineStr">
        <is>
          <t>USD</t>
        </is>
      </c>
      <c r="H1550" t="n">
        <v>13</v>
      </c>
      <c r="I1550" t="inlineStr">
        <is>
          <t>Aset Lancar 357.687.676 Current Assets</t>
        </is>
      </c>
      <c r="J1550" t="inlineStr">
        <is>
          <t>High</t>
        </is>
      </c>
      <c r="M1550" t="inlineStr">
        <is>
          <t>LLM</t>
        </is>
      </c>
      <c r="N1550" t="inlineStr">
        <is>
          <t>2026-04-18</t>
        </is>
      </c>
      <c r="O1550" t="inlineStr">
        <is>
          <t>AI</t>
        </is>
      </c>
    </row>
    <row r="1551">
      <c r="A1551" t="inlineStr">
        <is>
          <t>PT FKS Multi Agro Tbk</t>
        </is>
      </c>
      <c r="B1551" t="inlineStr">
        <is>
          <t>FISH_2023_AR.pdf</t>
        </is>
      </c>
      <c r="C1551" t="n">
        <v>2023</v>
      </c>
      <c r="D1551" t="inlineStr">
        <is>
          <t>Financial</t>
        </is>
      </c>
      <c r="E1551" t="inlineStr">
        <is>
          <t>Non-Current Assets</t>
        </is>
      </c>
      <c r="F1551" t="n">
        <v>133157759</v>
      </c>
      <c r="G1551" t="inlineStr">
        <is>
          <t>USD</t>
        </is>
      </c>
      <c r="H1551" t="n">
        <v>13</v>
      </c>
      <c r="I1551" t="inlineStr">
        <is>
          <t>Aset Tidak Lancar 133.157.759 Non-Current Assets</t>
        </is>
      </c>
      <c r="J1551" t="inlineStr">
        <is>
          <t>High</t>
        </is>
      </c>
      <c r="M1551" t="inlineStr">
        <is>
          <t>LLM</t>
        </is>
      </c>
      <c r="N1551" t="inlineStr">
        <is>
          <t>2026-04-18</t>
        </is>
      </c>
      <c r="O1551" t="inlineStr">
        <is>
          <t>AI</t>
        </is>
      </c>
    </row>
    <row r="1552">
      <c r="A1552" t="inlineStr">
        <is>
          <t>PT FKS Multi Agro Tbk</t>
        </is>
      </c>
      <c r="B1552" t="inlineStr">
        <is>
          <t>FISH_2023_AR.pdf</t>
        </is>
      </c>
      <c r="C1552" t="n">
        <v>2023</v>
      </c>
      <c r="D1552" t="inlineStr">
        <is>
          <t>Financial</t>
        </is>
      </c>
      <c r="E1552" t="inlineStr">
        <is>
          <t>Total Liabilities</t>
        </is>
      </c>
      <c r="F1552" t="n">
        <v>312181076</v>
      </c>
      <c r="G1552" t="inlineStr">
        <is>
          <t>USD</t>
        </is>
      </c>
      <c r="H1552" t="n">
        <v>13</v>
      </c>
      <c r="I1552" t="inlineStr">
        <is>
          <t>Jumlah Liabilitas 312.181.076</t>
        </is>
      </c>
      <c r="J1552" t="inlineStr">
        <is>
          <t>High</t>
        </is>
      </c>
      <c r="M1552" t="inlineStr">
        <is>
          <t>LLM</t>
        </is>
      </c>
      <c r="N1552" t="inlineStr">
        <is>
          <t>2026-04-18</t>
        </is>
      </c>
      <c r="O1552" t="inlineStr">
        <is>
          <t>AI</t>
        </is>
      </c>
    </row>
    <row r="1553">
      <c r="A1553" t="inlineStr">
        <is>
          <t>PT FKS Multi Agro Tbk</t>
        </is>
      </c>
      <c r="B1553" t="inlineStr">
        <is>
          <t>FISH_2023_AR.pdf</t>
        </is>
      </c>
      <c r="C1553" t="n">
        <v>2023</v>
      </c>
      <c r="D1553" t="inlineStr">
        <is>
          <t>Financial</t>
        </is>
      </c>
      <c r="E1553" t="inlineStr">
        <is>
          <t>Current Liabilities</t>
        </is>
      </c>
      <c r="F1553" t="n">
        <v>264713676</v>
      </c>
      <c r="G1553" t="inlineStr">
        <is>
          <t>USD</t>
        </is>
      </c>
      <c r="H1553" t="n">
        <v>13</v>
      </c>
      <c r="I1553" t="inlineStr">
        <is>
          <t>Liabilitas Jangka Pendek 264.713.676</t>
        </is>
      </c>
      <c r="J1553" t="inlineStr">
        <is>
          <t>High</t>
        </is>
      </c>
      <c r="M1553" t="inlineStr">
        <is>
          <t>LLM</t>
        </is>
      </c>
      <c r="N1553" t="inlineStr">
        <is>
          <t>2026-04-18</t>
        </is>
      </c>
      <c r="O1553" t="inlineStr">
        <is>
          <t>AI</t>
        </is>
      </c>
    </row>
    <row r="1554">
      <c r="A1554" t="inlineStr">
        <is>
          <t>PT FKS Multi Agro Tbk</t>
        </is>
      </c>
      <c r="B1554" t="inlineStr">
        <is>
          <t>FISH_2023_AR.pdf</t>
        </is>
      </c>
      <c r="C1554" t="n">
        <v>2023</v>
      </c>
      <c r="D1554" t="inlineStr">
        <is>
          <t>Financial</t>
        </is>
      </c>
      <c r="E1554" t="inlineStr">
        <is>
          <t>Non-Current Liabilities</t>
        </is>
      </c>
      <c r="F1554" t="n">
        <v>47467400</v>
      </c>
      <c r="G1554" t="inlineStr">
        <is>
          <t>USD</t>
        </is>
      </c>
      <c r="H1554" t="n">
        <v>13</v>
      </c>
      <c r="I1554" t="inlineStr">
        <is>
          <t>Liabilitas Jangka Panjang 47.467.400</t>
        </is>
      </c>
      <c r="J1554" t="inlineStr">
        <is>
          <t>High</t>
        </is>
      </c>
      <c r="M1554" t="inlineStr">
        <is>
          <t>LLM</t>
        </is>
      </c>
      <c r="N1554" t="inlineStr">
        <is>
          <t>2026-04-18</t>
        </is>
      </c>
      <c r="O1554" t="inlineStr">
        <is>
          <t>AI</t>
        </is>
      </c>
    </row>
    <row r="1555">
      <c r="A1555" t="inlineStr">
        <is>
          <t>PT FKS Multi Agro Tbk</t>
        </is>
      </c>
      <c r="B1555" t="inlineStr">
        <is>
          <t>FISH_2023_AR.pdf</t>
        </is>
      </c>
      <c r="C1555" t="n">
        <v>2023</v>
      </c>
      <c r="D1555" t="inlineStr">
        <is>
          <t>Financial</t>
        </is>
      </c>
      <c r="E1555" t="inlineStr">
        <is>
          <t>Total Equity</t>
        </is>
      </c>
      <c r="F1555" t="n">
        <v>178664359</v>
      </c>
      <c r="G1555" t="inlineStr">
        <is>
          <t>USD</t>
        </is>
      </c>
      <c r="H1555" t="n">
        <v>13</v>
      </c>
      <c r="I1555" t="inlineStr">
        <is>
          <t>Ekuitas 178.664.359</t>
        </is>
      </c>
      <c r="J1555" t="inlineStr">
        <is>
          <t>High</t>
        </is>
      </c>
      <c r="M1555" t="inlineStr">
        <is>
          <t>LLM</t>
        </is>
      </c>
      <c r="N1555" t="inlineStr">
        <is>
          <t>2026-04-18</t>
        </is>
      </c>
      <c r="O1555" t="inlineStr">
        <is>
          <t>AI</t>
        </is>
      </c>
    </row>
    <row r="1556">
      <c r="A1556" t="inlineStr">
        <is>
          <t>PT FKS Multi Agro Tbk</t>
        </is>
      </c>
      <c r="B1556" t="inlineStr">
        <is>
          <t>FISH_2023_AR.pdf</t>
        </is>
      </c>
      <c r="C1556" t="n">
        <v>2023</v>
      </c>
      <c r="D1556" t="inlineStr">
        <is>
          <t>Financial</t>
        </is>
      </c>
      <c r="E1556" t="inlineStr">
        <is>
          <t>Net Working Capital</t>
        </is>
      </c>
      <c r="F1556" t="n">
        <v>92974000</v>
      </c>
      <c r="G1556" t="inlineStr">
        <is>
          <t>USD</t>
        </is>
      </c>
      <c r="H1556" t="n">
        <v>13</v>
      </c>
      <c r="I1556" t="inlineStr">
        <is>
          <t>Modal Kerja Bersih 92.974.000 Net Working Capital</t>
        </is>
      </c>
      <c r="J1556" t="inlineStr">
        <is>
          <t>High</t>
        </is>
      </c>
      <c r="M1556" t="inlineStr">
        <is>
          <t>LLM</t>
        </is>
      </c>
      <c r="N1556" t="inlineStr">
        <is>
          <t>2026-04-18</t>
        </is>
      </c>
      <c r="O1556" t="inlineStr">
        <is>
          <t>AI</t>
        </is>
      </c>
    </row>
    <row r="1557">
      <c r="A1557" t="inlineStr">
        <is>
          <t>PT FKS Multi Agro Tbk</t>
        </is>
      </c>
      <c r="B1557" t="inlineStr">
        <is>
          <t>FISH_2023_AR.pdf</t>
        </is>
      </c>
      <c r="C1557" t="n">
        <v>2023</v>
      </c>
      <c r="D1557" t="inlineStr">
        <is>
          <t>Financial</t>
        </is>
      </c>
      <c r="E1557" t="inlineStr">
        <is>
          <t>Cash and Cash Equivalents</t>
        </is>
      </c>
      <c r="F1557" t="n">
        <v>63352405</v>
      </c>
      <c r="G1557" t="inlineStr">
        <is>
          <t>USD</t>
        </is>
      </c>
      <c r="H1557" t="n">
        <v>179</v>
      </c>
      <c r="I1557" t="inlineStr">
        <is>
          <t>Kas dan setara kas 63.352.405 Cash and cash equivalents</t>
        </is>
      </c>
      <c r="J1557" t="inlineStr">
        <is>
          <t>High</t>
        </is>
      </c>
      <c r="M1557" t="inlineStr">
        <is>
          <t>LLM</t>
        </is>
      </c>
      <c r="N1557" t="inlineStr">
        <is>
          <t>2026-04-18</t>
        </is>
      </c>
      <c r="O1557" t="inlineStr">
        <is>
          <t>AI</t>
        </is>
      </c>
    </row>
    <row r="1558">
      <c r="A1558" t="inlineStr">
        <is>
          <t>PT FKS Multi Agro Tbk</t>
        </is>
      </c>
      <c r="B1558" t="inlineStr">
        <is>
          <t>FISH_2023_AR.pdf</t>
        </is>
      </c>
      <c r="C1558" t="n">
        <v>2023</v>
      </c>
      <c r="D1558" t="inlineStr">
        <is>
          <t>Financial</t>
        </is>
      </c>
      <c r="E1558" t="inlineStr">
        <is>
          <t>Short-term Bank Loans</t>
        </is>
      </c>
      <c r="F1558" t="n">
        <v>93885738</v>
      </c>
      <c r="G1558" t="inlineStr">
        <is>
          <t>USD</t>
        </is>
      </c>
      <c r="H1558" t="n">
        <v>181</v>
      </c>
      <c r="I1558" t="inlineStr">
        <is>
          <t>Utang bank jangka pendek 93.885.738 Short-term bank loans</t>
        </is>
      </c>
      <c r="J1558" t="inlineStr">
        <is>
          <t>High</t>
        </is>
      </c>
      <c r="M1558" t="inlineStr">
        <is>
          <t>LLM</t>
        </is>
      </c>
      <c r="N1558" t="inlineStr">
        <is>
          <t>2026-04-18</t>
        </is>
      </c>
      <c r="O1558" t="inlineStr">
        <is>
          <t>AI</t>
        </is>
      </c>
    </row>
    <row r="1559">
      <c r="A1559" t="inlineStr">
        <is>
          <t>PT FKS Multi Agro Tbk</t>
        </is>
      </c>
      <c r="B1559" t="inlineStr">
        <is>
          <t>FISH_2023_AR.pdf</t>
        </is>
      </c>
      <c r="C1559" t="n">
        <v>2023</v>
      </c>
      <c r="D1559" t="inlineStr">
        <is>
          <t>Financial</t>
        </is>
      </c>
      <c r="E1559" t="inlineStr">
        <is>
          <t>Current Portion of LT Bank Loans</t>
        </is>
      </c>
      <c r="F1559" t="n">
        <v>10500708</v>
      </c>
      <c r="G1559" t="inlineStr">
        <is>
          <t>USD</t>
        </is>
      </c>
      <c r="H1559" t="n">
        <v>181</v>
      </c>
      <c r="I1559" t="inlineStr">
        <is>
          <t>Utang bank jangka panjang yang jatuh tempo dalam waktu satu tahun 10.500.708</t>
        </is>
      </c>
      <c r="J1559" t="inlineStr">
        <is>
          <t>High</t>
        </is>
      </c>
      <c r="M1559" t="inlineStr">
        <is>
          <t>LLM</t>
        </is>
      </c>
      <c r="N1559" t="inlineStr">
        <is>
          <t>2026-04-18</t>
        </is>
      </c>
      <c r="O1559" t="inlineStr">
        <is>
          <t>AI</t>
        </is>
      </c>
    </row>
    <row r="1560">
      <c r="A1560" t="inlineStr">
        <is>
          <t>PT FKS Multi Agro Tbk</t>
        </is>
      </c>
      <c r="B1560" t="inlineStr">
        <is>
          <t>FISH_2023_AR.pdf</t>
        </is>
      </c>
      <c r="C1560" t="n">
        <v>2023</v>
      </c>
      <c r="D1560" t="inlineStr">
        <is>
          <t>Financial</t>
        </is>
      </c>
      <c r="E1560" t="inlineStr">
        <is>
          <t>Long-term Bank Loans</t>
        </is>
      </c>
      <c r="F1560" t="n">
        <v>39068083</v>
      </c>
      <c r="G1560" t="inlineStr">
        <is>
          <t>USD</t>
        </is>
      </c>
      <c r="H1560" t="n">
        <v>181</v>
      </c>
      <c r="I1560" t="inlineStr">
        <is>
          <t>Utang bank jangka panjang, setelah dikurangi bagian yang jatuh tempo dalam waktu satu tahun 39.068.083</t>
        </is>
      </c>
      <c r="J1560" t="inlineStr">
        <is>
          <t>High</t>
        </is>
      </c>
      <c r="M1560" t="inlineStr">
        <is>
          <t>LLM</t>
        </is>
      </c>
      <c r="N1560" t="inlineStr">
        <is>
          <t>2026-04-18</t>
        </is>
      </c>
      <c r="O1560" t="inlineStr">
        <is>
          <t>AI</t>
        </is>
      </c>
    </row>
    <row r="1561">
      <c r="A1561" t="inlineStr">
        <is>
          <t>PT FKS Multi Agro Tbk</t>
        </is>
      </c>
      <c r="B1561" t="inlineStr">
        <is>
          <t>FISH_2023_AR.pdf</t>
        </is>
      </c>
      <c r="C1561" t="n">
        <v>2023</v>
      </c>
      <c r="D1561" t="inlineStr">
        <is>
          <t>Financial</t>
        </is>
      </c>
      <c r="E1561" t="inlineStr">
        <is>
          <t>Gross Debt (ST + LT)</t>
        </is>
      </c>
      <c r="F1561" t="n">
        <v>143454529</v>
      </c>
      <c r="G1561" t="inlineStr">
        <is>
          <t>USD</t>
        </is>
      </c>
      <c r="H1561" t="n">
        <v>181</v>
      </c>
      <c r="I1561" t="inlineStr">
        <is>
          <t>Sum: 93,885,738 + 10,500,708 + 39,068,083 = 143,454,529</t>
        </is>
      </c>
      <c r="J1561" t="inlineStr">
        <is>
          <t>High</t>
        </is>
      </c>
      <c r="M1561" t="inlineStr">
        <is>
          <t>LLM</t>
        </is>
      </c>
      <c r="N1561" t="inlineStr">
        <is>
          <t>2026-04-18</t>
        </is>
      </c>
      <c r="O1561" t="inlineStr">
        <is>
          <t>AI</t>
        </is>
      </c>
    </row>
    <row r="1562">
      <c r="A1562" t="inlineStr">
        <is>
          <t>PT FKS Multi Agro Tbk</t>
        </is>
      </c>
      <c r="B1562" t="inlineStr">
        <is>
          <t>FISH_2023_AR.pdf</t>
        </is>
      </c>
      <c r="C1562" t="n">
        <v>2023</v>
      </c>
      <c r="D1562" t="inlineStr">
        <is>
          <t>Financial</t>
        </is>
      </c>
      <c r="E1562" t="inlineStr">
        <is>
          <t>Trade Receivables (Third Parties)</t>
        </is>
      </c>
      <c r="F1562" t="n">
        <v>85909800</v>
      </c>
      <c r="G1562" t="inlineStr">
        <is>
          <t>USD</t>
        </is>
      </c>
      <c r="H1562" t="n">
        <v>179</v>
      </c>
      <c r="I1562" t="inlineStr">
        <is>
          <t>Piutang usaha Pihak ketiga - neto 85.909.800</t>
        </is>
      </c>
      <c r="J1562" t="inlineStr">
        <is>
          <t>High</t>
        </is>
      </c>
      <c r="M1562" t="inlineStr">
        <is>
          <t>LLM</t>
        </is>
      </c>
      <c r="N1562" t="inlineStr">
        <is>
          <t>2026-04-18</t>
        </is>
      </c>
      <c r="O1562" t="inlineStr">
        <is>
          <t>AI</t>
        </is>
      </c>
    </row>
    <row r="1563">
      <c r="A1563" t="inlineStr">
        <is>
          <t>PT FKS Multi Agro Tbk</t>
        </is>
      </c>
      <c r="B1563" t="inlineStr">
        <is>
          <t>FISH_2023_AR.pdf</t>
        </is>
      </c>
      <c r="C1563" t="n">
        <v>2023</v>
      </c>
      <c r="D1563" t="inlineStr">
        <is>
          <t>Financial</t>
        </is>
      </c>
      <c r="E1563" t="inlineStr">
        <is>
          <t>Inventories</t>
        </is>
      </c>
      <c r="F1563" t="n">
        <v>156675449</v>
      </c>
      <c r="G1563" t="inlineStr">
        <is>
          <t>USD</t>
        </is>
      </c>
      <c r="H1563" t="n">
        <v>179</v>
      </c>
      <c r="I1563" t="inlineStr">
        <is>
          <t>Persediaan - neto 156.675.449</t>
        </is>
      </c>
      <c r="J1563" t="inlineStr">
        <is>
          <t>High</t>
        </is>
      </c>
      <c r="M1563" t="inlineStr">
        <is>
          <t>LLM</t>
        </is>
      </c>
      <c r="N1563" t="inlineStr">
        <is>
          <t>2026-04-18</t>
        </is>
      </c>
      <c r="O1563" t="inlineStr">
        <is>
          <t>AI</t>
        </is>
      </c>
    </row>
    <row r="1564">
      <c r="A1564" t="inlineStr">
        <is>
          <t>PT FKS Multi Agro Tbk</t>
        </is>
      </c>
      <c r="B1564" t="inlineStr">
        <is>
          <t>FISH_2023_AR.pdf</t>
        </is>
      </c>
      <c r="C1564" t="n">
        <v>2023</v>
      </c>
      <c r="D1564" t="inlineStr">
        <is>
          <t>Financial</t>
        </is>
      </c>
      <c r="E1564" t="inlineStr">
        <is>
          <t>Fixed Assets - Net</t>
        </is>
      </c>
      <c r="F1564" t="n">
        <v>102555380</v>
      </c>
      <c r="G1564" t="inlineStr">
        <is>
          <t>USD</t>
        </is>
      </c>
      <c r="H1564" t="n">
        <v>179</v>
      </c>
      <c r="I1564" t="inlineStr">
        <is>
          <t>Aset tetap - neto 102.555.380</t>
        </is>
      </c>
      <c r="J1564" t="inlineStr">
        <is>
          <t>High</t>
        </is>
      </c>
      <c r="M1564" t="inlineStr">
        <is>
          <t>LLM</t>
        </is>
      </c>
      <c r="N1564" t="inlineStr">
        <is>
          <t>2026-04-18</t>
        </is>
      </c>
      <c r="O1564" t="inlineStr">
        <is>
          <t>AI</t>
        </is>
      </c>
    </row>
    <row r="1565">
      <c r="A1565" t="inlineStr">
        <is>
          <t>PT FKS Multi Agro Tbk</t>
        </is>
      </c>
      <c r="B1565" t="inlineStr">
        <is>
          <t>FISH_2023_AR.pdf</t>
        </is>
      </c>
      <c r="C1565" t="n">
        <v>2023</v>
      </c>
      <c r="D1565" t="inlineStr">
        <is>
          <t>Financial</t>
        </is>
      </c>
      <c r="E1565" t="inlineStr">
        <is>
          <t>Cash from Operating Activities</t>
        </is>
      </c>
      <c r="F1565" t="n">
        <v>38465703</v>
      </c>
      <c r="G1565" t="inlineStr">
        <is>
          <t>USD</t>
        </is>
      </c>
      <c r="H1565" t="n">
        <v>185</v>
      </c>
      <c r="I1565" t="inlineStr">
        <is>
          <t>Kas neto yang diperoleh dari aktivitas operasi 38.465.703</t>
        </is>
      </c>
      <c r="J1565" t="inlineStr">
        <is>
          <t>High</t>
        </is>
      </c>
      <c r="M1565" t="inlineStr">
        <is>
          <t>LLM</t>
        </is>
      </c>
      <c r="N1565" t="inlineStr">
        <is>
          <t>2026-04-18</t>
        </is>
      </c>
      <c r="O1565" t="inlineStr">
        <is>
          <t>AI</t>
        </is>
      </c>
    </row>
    <row r="1566">
      <c r="A1566" t="inlineStr">
        <is>
          <t>PT FKS Multi Agro Tbk</t>
        </is>
      </c>
      <c r="B1566" t="inlineStr">
        <is>
          <t>FISH_2023_AR.pdf</t>
        </is>
      </c>
      <c r="C1566" t="n">
        <v>2023</v>
      </c>
      <c r="D1566" t="inlineStr">
        <is>
          <t>Financial</t>
        </is>
      </c>
      <c r="E1566" t="inlineStr">
        <is>
          <t>Net Cash from Investing</t>
        </is>
      </c>
      <c r="F1566" t="n">
        <v>-18420042</v>
      </c>
      <c r="G1566" t="inlineStr">
        <is>
          <t>USD</t>
        </is>
      </c>
      <c r="H1566" t="n">
        <v>185</v>
      </c>
      <c r="I1566" t="inlineStr">
        <is>
          <t>Kas neto yang digunakan untuk aktivitas investasi (18.420.042)</t>
        </is>
      </c>
      <c r="J1566" t="inlineStr">
        <is>
          <t>High</t>
        </is>
      </c>
      <c r="M1566" t="inlineStr">
        <is>
          <t>LLM</t>
        </is>
      </c>
      <c r="N1566" t="inlineStr">
        <is>
          <t>2026-04-18</t>
        </is>
      </c>
      <c r="O1566" t="inlineStr">
        <is>
          <t>AI</t>
        </is>
      </c>
    </row>
    <row r="1567">
      <c r="A1567" t="inlineStr">
        <is>
          <t>PT FKS Multi Agro Tbk</t>
        </is>
      </c>
      <c r="B1567" t="inlineStr">
        <is>
          <t>FISH_2023_AR.pdf</t>
        </is>
      </c>
      <c r="C1567" t="n">
        <v>2023</v>
      </c>
      <c r="D1567" t="inlineStr">
        <is>
          <t>Financial</t>
        </is>
      </c>
      <c r="E1567" t="inlineStr">
        <is>
          <t>Net Cash from Financing</t>
        </is>
      </c>
      <c r="F1567" t="n">
        <v>-10809340</v>
      </c>
      <c r="G1567" t="inlineStr">
        <is>
          <t>USD</t>
        </is>
      </c>
      <c r="H1567" t="n">
        <v>185</v>
      </c>
      <c r="I1567" t="inlineStr">
        <is>
          <t>Kas neto yang digunakan untuk aktivitas pendanaan (10.809.340)</t>
        </is>
      </c>
      <c r="J1567" t="inlineStr">
        <is>
          <t>High</t>
        </is>
      </c>
      <c r="M1567" t="inlineStr">
        <is>
          <t>LLM</t>
        </is>
      </c>
      <c r="N1567" t="inlineStr">
        <is>
          <t>2026-04-18</t>
        </is>
      </c>
      <c r="O1567" t="inlineStr">
        <is>
          <t>AI</t>
        </is>
      </c>
    </row>
    <row r="1568">
      <c r="A1568" t="inlineStr">
        <is>
          <t>PT FKS Multi Agro Tbk</t>
        </is>
      </c>
      <c r="B1568" t="inlineStr">
        <is>
          <t>FISH_2023_AR.pdf</t>
        </is>
      </c>
      <c r="C1568" t="n">
        <v>2023</v>
      </c>
      <c r="D1568" t="inlineStr">
        <is>
          <t>Financial</t>
        </is>
      </c>
      <c r="E1568" t="inlineStr">
        <is>
          <t>Capex - Acquisition of Fixed Assets</t>
        </is>
      </c>
      <c r="F1568" t="n">
        <v>14772667</v>
      </c>
      <c r="G1568" t="inlineStr">
        <is>
          <t>USD</t>
        </is>
      </c>
      <c r="H1568" t="n">
        <v>185</v>
      </c>
      <c r="I1568" t="inlineStr">
        <is>
          <t>Penambahan aset tetap (14.772.667) Acquisitions of fixed assets</t>
        </is>
      </c>
      <c r="J1568" t="inlineStr">
        <is>
          <t>High</t>
        </is>
      </c>
      <c r="M1568" t="inlineStr">
        <is>
          <t>LLM</t>
        </is>
      </c>
      <c r="N1568" t="inlineStr">
        <is>
          <t>2026-04-18</t>
        </is>
      </c>
      <c r="O1568" t="inlineStr">
        <is>
          <t>AI</t>
        </is>
      </c>
    </row>
    <row r="1569">
      <c r="A1569" t="inlineStr">
        <is>
          <t>PT FKS Multi Agro Tbk</t>
        </is>
      </c>
      <c r="B1569" t="inlineStr">
        <is>
          <t>FISH_2023_AR.pdf</t>
        </is>
      </c>
      <c r="C1569" t="n">
        <v>2023</v>
      </c>
      <c r="D1569" t="inlineStr">
        <is>
          <t>Financial</t>
        </is>
      </c>
      <c r="E1569" t="inlineStr">
        <is>
          <t>Interest Paid</t>
        </is>
      </c>
      <c r="F1569" t="n">
        <v>10651831</v>
      </c>
      <c r="G1569" t="inlineStr">
        <is>
          <t>USD</t>
        </is>
      </c>
      <c r="H1569" t="n">
        <v>185</v>
      </c>
      <c r="I1569" t="inlineStr">
        <is>
          <t>Pembayaran bunga (10.651.831) Payments of interest</t>
        </is>
      </c>
      <c r="J1569" t="inlineStr">
        <is>
          <t>High</t>
        </is>
      </c>
      <c r="M1569" t="inlineStr">
        <is>
          <t>LLM</t>
        </is>
      </c>
      <c r="N1569" t="inlineStr">
        <is>
          <t>2026-04-18</t>
        </is>
      </c>
      <c r="O1569" t="inlineStr">
        <is>
          <t>AI</t>
        </is>
      </c>
    </row>
    <row r="1570">
      <c r="A1570" t="inlineStr">
        <is>
          <t>PT FKS Multi Agro Tbk</t>
        </is>
      </c>
      <c r="B1570" t="inlineStr">
        <is>
          <t>FISH_2023_AR.pdf</t>
        </is>
      </c>
      <c r="C1570" t="n">
        <v>2023</v>
      </c>
      <c r="D1570" t="inlineStr">
        <is>
          <t>Financial</t>
        </is>
      </c>
      <c r="E1570" t="inlineStr">
        <is>
          <t>Dividends Paid by Company</t>
        </is>
      </c>
      <c r="F1570" t="n">
        <v>14967205</v>
      </c>
      <c r="G1570" t="inlineStr">
        <is>
          <t>USD</t>
        </is>
      </c>
      <c r="H1570" t="n">
        <v>185</v>
      </c>
      <c r="I1570" t="inlineStr">
        <is>
          <t>Pembayaran dividen kas oleh Perusahaan (14.967.205) Payment for cash dividends by the Company</t>
        </is>
      </c>
      <c r="J1570" t="inlineStr">
        <is>
          <t>High</t>
        </is>
      </c>
      <c r="M1570" t="inlineStr">
        <is>
          <t>LLM</t>
        </is>
      </c>
      <c r="N1570" t="inlineStr">
        <is>
          <t>2026-04-18</t>
        </is>
      </c>
      <c r="O1570" t="inlineStr">
        <is>
          <t>AI</t>
        </is>
      </c>
    </row>
    <row r="1571">
      <c r="A1571" t="inlineStr">
        <is>
          <t>PT FKS Multi Agro Tbk</t>
        </is>
      </c>
      <c r="B1571" t="inlineStr">
        <is>
          <t>FISH_2023_AR.pdf</t>
        </is>
      </c>
      <c r="C1571" t="n">
        <v>2023</v>
      </c>
      <c r="D1571" t="inlineStr">
        <is>
          <t>Financial</t>
        </is>
      </c>
      <c r="E1571" t="inlineStr">
        <is>
          <t>Closing Share Price</t>
        </is>
      </c>
      <c r="F1571" t="n">
        <v>5525</v>
      </c>
      <c r="G1571" t="inlineStr">
        <is>
          <t>Rp/share</t>
        </is>
      </c>
      <c r="H1571" t="n">
        <v>15</v>
      </c>
      <c r="I1571" t="inlineStr">
        <is>
          <t>Harga Saham Akhir ... 5.525 (Desember 2023)</t>
        </is>
      </c>
      <c r="J1571" t="inlineStr">
        <is>
          <t>High</t>
        </is>
      </c>
      <c r="M1571" t="inlineStr">
        <is>
          <t>LLM</t>
        </is>
      </c>
      <c r="N1571" t="inlineStr">
        <is>
          <t>2026-04-18</t>
        </is>
      </c>
      <c r="O1571" t="inlineStr">
        <is>
          <t>AI</t>
        </is>
      </c>
    </row>
    <row r="1572">
      <c r="A1572" t="inlineStr">
        <is>
          <t>PT FKS Multi Agro Tbk</t>
        </is>
      </c>
      <c r="B1572" t="inlineStr">
        <is>
          <t>FISH_2023_AR.pdf</t>
        </is>
      </c>
      <c r="C1572" t="n">
        <v>2023</v>
      </c>
      <c r="D1572" t="inlineStr">
        <is>
          <t>Financial</t>
        </is>
      </c>
      <c r="E1572" t="inlineStr">
        <is>
          <t>Market Capitalization (Dec 2023)</t>
        </is>
      </c>
      <c r="F1572" t="n">
        <v>2652000000000</v>
      </c>
      <c r="G1572" t="inlineStr">
        <is>
          <t>Rp</t>
        </is>
      </c>
      <c r="H1572" t="n">
        <v>16</v>
      </c>
      <c r="I1572" t="inlineStr">
        <is>
          <t>Desember/December 2.652.000.000.000 (2023)</t>
        </is>
      </c>
      <c r="J1572" t="inlineStr">
        <is>
          <t>High</t>
        </is>
      </c>
      <c r="M1572" t="inlineStr">
        <is>
          <t>LLM</t>
        </is>
      </c>
      <c r="N1572" t="inlineStr">
        <is>
          <t>2026-04-18</t>
        </is>
      </c>
      <c r="O1572" t="inlineStr">
        <is>
          <t>AI</t>
        </is>
      </c>
    </row>
    <row r="1573">
      <c r="A1573" t="inlineStr">
        <is>
          <t>PT FKS Multi Agro Tbk</t>
        </is>
      </c>
      <c r="B1573" t="inlineStr">
        <is>
          <t>FISH_2023_AR.pdf</t>
        </is>
      </c>
      <c r="C1573" t="n">
        <v>2023</v>
      </c>
      <c r="D1573" t="inlineStr">
        <is>
          <t>Financial</t>
        </is>
      </c>
      <c r="E1573" t="inlineStr">
        <is>
          <t>Shares Outstanding</t>
        </is>
      </c>
      <c r="F1573" t="n">
        <v>480000000</v>
      </c>
      <c r="G1573" t="inlineStr">
        <is>
          <t>shares</t>
        </is>
      </c>
      <c r="H1573" t="n">
        <v>15</v>
      </c>
      <c r="I1573" t="inlineStr">
        <is>
          <t>Jumlah Rata-rata Tertimbang Saham Biasa yang Beredar 480.000.000</t>
        </is>
      </c>
      <c r="J1573" t="inlineStr">
        <is>
          <t>High</t>
        </is>
      </c>
      <c r="M1573" t="inlineStr">
        <is>
          <t>LLM</t>
        </is>
      </c>
      <c r="N1573" t="inlineStr">
        <is>
          <t>2026-04-18</t>
        </is>
      </c>
      <c r="O1573" t="inlineStr">
        <is>
          <t>AI</t>
        </is>
      </c>
    </row>
    <row r="1574">
      <c r="A1574" t="inlineStr">
        <is>
          <t>PT FKS Multi Agro Tbk</t>
        </is>
      </c>
      <c r="B1574" t="inlineStr">
        <is>
          <t>FISH_2023_AR.pdf</t>
        </is>
      </c>
      <c r="C1574" t="n">
        <v>2023</v>
      </c>
      <c r="D1574" t="inlineStr">
        <is>
          <t>Financial</t>
        </is>
      </c>
      <c r="E1574" t="inlineStr">
        <is>
          <t>ROA</t>
        </is>
      </c>
      <c r="F1574" t="n">
        <v>0.05</v>
      </c>
      <c r="G1574" t="inlineStr">
        <is>
          <t>pct</t>
        </is>
      </c>
      <c r="H1574" t="n">
        <v>14</v>
      </c>
      <c r="I1574" t="inlineStr">
        <is>
          <t>Laba Bersih Terhadap Aset 5,0% Return on Asset (ROA) 2023</t>
        </is>
      </c>
      <c r="J1574" t="inlineStr">
        <is>
          <t>High</t>
        </is>
      </c>
      <c r="M1574" t="inlineStr">
        <is>
          <t>LLM</t>
        </is>
      </c>
      <c r="N1574" t="inlineStr">
        <is>
          <t>2026-04-18</t>
        </is>
      </c>
      <c r="O1574" t="inlineStr">
        <is>
          <t>AI</t>
        </is>
      </c>
    </row>
    <row r="1575">
      <c r="A1575" t="inlineStr">
        <is>
          <t>PT FKS Multi Agro Tbk</t>
        </is>
      </c>
      <c r="B1575" t="inlineStr">
        <is>
          <t>FISH_2023_AR.pdf</t>
        </is>
      </c>
      <c r="C1575" t="n">
        <v>2023</v>
      </c>
      <c r="D1575" t="inlineStr">
        <is>
          <t>Financial</t>
        </is>
      </c>
      <c r="E1575" t="inlineStr">
        <is>
          <t>ROE</t>
        </is>
      </c>
      <c r="F1575" t="n">
        <v>0.1384</v>
      </c>
      <c r="G1575" t="inlineStr">
        <is>
          <t>pct</t>
        </is>
      </c>
      <c r="H1575" t="n">
        <v>14</v>
      </c>
      <c r="I1575" t="inlineStr">
        <is>
          <t>Laba Bersih Terhadap Ekuitas 13,84% ROE</t>
        </is>
      </c>
      <c r="J1575" t="inlineStr">
        <is>
          <t>High</t>
        </is>
      </c>
      <c r="M1575" t="inlineStr">
        <is>
          <t>LLM</t>
        </is>
      </c>
      <c r="N1575" t="inlineStr">
        <is>
          <t>2026-04-18</t>
        </is>
      </c>
      <c r="O1575" t="inlineStr">
        <is>
          <t>AI</t>
        </is>
      </c>
    </row>
    <row r="1576">
      <c r="A1576" t="inlineStr">
        <is>
          <t>PT FKS Multi Agro Tbk</t>
        </is>
      </c>
      <c r="B1576" t="inlineStr">
        <is>
          <t>FISH_2023_AR.pdf</t>
        </is>
      </c>
      <c r="C1576" t="n">
        <v>2023</v>
      </c>
      <c r="D1576" t="inlineStr">
        <is>
          <t>Financial</t>
        </is>
      </c>
      <c r="E1576" t="inlineStr">
        <is>
          <t>Current Ratio</t>
        </is>
      </c>
      <c r="F1576" t="n">
        <v>1.35</v>
      </c>
      <c r="G1576" t="inlineStr">
        <is>
          <t>x</t>
        </is>
      </c>
      <c r="H1576" t="n">
        <v>14</v>
      </c>
      <c r="I1576" t="inlineStr">
        <is>
          <t>Aset Lancar Terhadap Liabilitas Jangka Pendek 1,35</t>
        </is>
      </c>
      <c r="J1576" t="inlineStr">
        <is>
          <t>High</t>
        </is>
      </c>
      <c r="M1576" t="inlineStr">
        <is>
          <t>LLM</t>
        </is>
      </c>
      <c r="N1576" t="inlineStr">
        <is>
          <t>2026-04-18</t>
        </is>
      </c>
      <c r="O1576" t="inlineStr">
        <is>
          <t>AI</t>
        </is>
      </c>
    </row>
    <row r="1577">
      <c r="A1577" t="inlineStr">
        <is>
          <t>PT FKS Multi Agro Tbk</t>
        </is>
      </c>
      <c r="B1577" t="inlineStr">
        <is>
          <t>FISH_2023_AR.pdf</t>
        </is>
      </c>
      <c r="C1577" t="n">
        <v>2023</v>
      </c>
      <c r="D1577" t="inlineStr">
        <is>
          <t>Financial</t>
        </is>
      </c>
      <c r="E1577" t="inlineStr">
        <is>
          <t>Debt-to-Equity Ratio</t>
        </is>
      </c>
      <c r="F1577" t="n">
        <v>1.75</v>
      </c>
      <c r="G1577" t="inlineStr">
        <is>
          <t>x</t>
        </is>
      </c>
      <c r="H1577" t="n">
        <v>14</v>
      </c>
      <c r="I1577" t="inlineStr">
        <is>
          <t>Rasio Liabilitas Terhadap Ekuitas 1,75 Total Liability to Equity Ratio</t>
        </is>
      </c>
      <c r="J1577" t="inlineStr">
        <is>
          <t>High</t>
        </is>
      </c>
      <c r="M1577" t="inlineStr">
        <is>
          <t>LLM</t>
        </is>
      </c>
      <c r="N1577" t="inlineStr">
        <is>
          <t>2026-04-18</t>
        </is>
      </c>
      <c r="O1577" t="inlineStr">
        <is>
          <t>AI</t>
        </is>
      </c>
    </row>
    <row r="1578">
      <c r="A1578" t="inlineStr">
        <is>
          <t>PT FKS Multi Agro Tbk</t>
        </is>
      </c>
      <c r="B1578" t="inlineStr">
        <is>
          <t>FISH_2023_AR.pdf</t>
        </is>
      </c>
      <c r="C1578" t="n">
        <v>2023</v>
      </c>
      <c r="D1578" t="inlineStr">
        <is>
          <t>Financial</t>
        </is>
      </c>
      <c r="E1578" t="inlineStr">
        <is>
          <t>Revenue Growth</t>
        </is>
      </c>
      <c r="F1578" t="n">
        <v>-0.1048</v>
      </c>
      <c r="G1578" t="inlineStr">
        <is>
          <t>pct</t>
        </is>
      </c>
      <c r="H1578" t="n">
        <v>14</v>
      </c>
      <c r="I1578" t="inlineStr">
        <is>
          <t>Pertumbuhan Penjualan Bersih -10,48% Net Sales Growth</t>
        </is>
      </c>
      <c r="J1578" t="inlineStr">
        <is>
          <t>High</t>
        </is>
      </c>
      <c r="M1578" t="inlineStr">
        <is>
          <t>LLM</t>
        </is>
      </c>
      <c r="N1578" t="inlineStr">
        <is>
          <t>2026-04-18</t>
        </is>
      </c>
      <c r="O1578" t="inlineStr">
        <is>
          <t>AI</t>
        </is>
      </c>
    </row>
    <row r="1579">
      <c r="A1579" t="inlineStr">
        <is>
          <t>PT FKS Multi Agro Tbk</t>
        </is>
      </c>
      <c r="B1579" t="inlineStr">
        <is>
          <t>FISH_2023_AR.pdf</t>
        </is>
      </c>
      <c r="C1579" t="n">
        <v>2023</v>
      </c>
      <c r="D1579" t="inlineStr">
        <is>
          <t>Financial</t>
        </is>
      </c>
      <c r="E1579" t="inlineStr">
        <is>
          <t>Net Profit Growth</t>
        </is>
      </c>
      <c r="F1579" t="n">
        <v>-0.2449</v>
      </c>
      <c r="G1579" t="inlineStr">
        <is>
          <t>pct</t>
        </is>
      </c>
      <c r="H1579" t="n">
        <v>14</v>
      </c>
      <c r="I1579" t="inlineStr">
        <is>
          <t>Pertumbuhan Laba Bersih -24,49% Net Income Growth</t>
        </is>
      </c>
      <c r="J1579" t="inlineStr">
        <is>
          <t>High</t>
        </is>
      </c>
      <c r="M1579" t="inlineStr">
        <is>
          <t>LLM</t>
        </is>
      </c>
      <c r="N1579" t="inlineStr">
        <is>
          <t>2026-04-18</t>
        </is>
      </c>
      <c r="O1579" t="inlineStr">
        <is>
          <t>AI</t>
        </is>
      </c>
    </row>
    <row r="1580">
      <c r="A1580" t="inlineStr">
        <is>
          <t>PT FKS Multi Agro Tbk</t>
        </is>
      </c>
      <c r="B1580" t="inlineStr">
        <is>
          <t>FISH_2023_AR.pdf</t>
        </is>
      </c>
      <c r="C1580" t="n">
        <v>2023</v>
      </c>
      <c r="D1580" t="inlineStr">
        <is>
          <t>Financial</t>
        </is>
      </c>
      <c r="E1580" t="inlineStr">
        <is>
          <t>Asset Growth</t>
        </is>
      </c>
      <c r="F1580" t="n">
        <v>0.06370000000000001</v>
      </c>
      <c r="G1580" t="inlineStr">
        <is>
          <t>pct</t>
        </is>
      </c>
      <c r="H1580" t="n">
        <v>14</v>
      </c>
      <c r="I1580" t="inlineStr">
        <is>
          <t>Pertumbuhan Aset 6,37%</t>
        </is>
      </c>
      <c r="J1580" t="inlineStr">
        <is>
          <t>High</t>
        </is>
      </c>
      <c r="M1580" t="inlineStr">
        <is>
          <t>LLM</t>
        </is>
      </c>
      <c r="N1580" t="inlineStr">
        <is>
          <t>2026-04-18</t>
        </is>
      </c>
      <c r="O1580" t="inlineStr">
        <is>
          <t>AI</t>
        </is>
      </c>
    </row>
    <row r="1581">
      <c r="A1581" t="inlineStr">
        <is>
          <t>PT FKS Multi Agro Tbk</t>
        </is>
      </c>
      <c r="B1581" t="inlineStr">
        <is>
          <t>FISH_2023_AR.pdf</t>
        </is>
      </c>
      <c r="C1581" t="n">
        <v>2023</v>
      </c>
      <c r="D1581" t="inlineStr">
        <is>
          <t>Financial</t>
        </is>
      </c>
      <c r="E1581" t="inlineStr">
        <is>
          <t>USD/IDR Rate (end-2023)</t>
        </is>
      </c>
      <c r="F1581" t="n">
        <v>15416</v>
      </c>
      <c r="G1581" t="inlineStr">
        <is>
          <t>Rp/USD</t>
        </is>
      </c>
      <c r="H1581" t="n">
        <v>234</v>
      </c>
      <c r="I1581" t="inlineStr">
        <is>
          <t>Rp15.416 (31 Desember 2023)</t>
        </is>
      </c>
      <c r="J1581" t="inlineStr">
        <is>
          <t>High</t>
        </is>
      </c>
      <c r="M1581" t="inlineStr">
        <is>
          <t>LLM</t>
        </is>
      </c>
      <c r="N1581" t="inlineStr">
        <is>
          <t>2026-04-18</t>
        </is>
      </c>
      <c r="O1581" t="inlineStr">
        <is>
          <t>AI</t>
        </is>
      </c>
    </row>
    <row r="1582">
      <c r="A1582" t="inlineStr">
        <is>
          <t>PT FKS Multi Agro Tbk</t>
        </is>
      </c>
      <c r="B1582" t="inlineStr">
        <is>
          <t>FISH_2023_AR.pdf</t>
        </is>
      </c>
      <c r="C1582" t="n">
        <v>2023</v>
      </c>
      <c r="D1582" t="inlineStr">
        <is>
          <t>Other</t>
        </is>
      </c>
      <c r="E1582" t="inlineStr">
        <is>
          <t>Primary Business</t>
        </is>
      </c>
      <c r="F1582" t="inlineStr">
        <is>
          <t>Agri commodity distribution/trading (feed ingredients, food ingredients, warehousing/logistics)</t>
        </is>
      </c>
      <c r="G1582" t="inlineStr">
        <is>
          <t>text</t>
        </is>
      </c>
      <c r="H1582" t="n">
        <v>37</v>
      </c>
      <c r="I1582" t="inlineStr">
        <is>
          <t>Kegiatan utama Perseroan meliputi pelayanan jasa kepelabuhanan, pergudangan, penjualan dan distribusi serta jasa transportasi untuk produk bahan baku pakan dan pangan</t>
        </is>
      </c>
      <c r="J1582" t="inlineStr">
        <is>
          <t>High</t>
        </is>
      </c>
      <c r="M1582" t="inlineStr">
        <is>
          <t>LLM</t>
        </is>
      </c>
      <c r="N1582" t="inlineStr">
        <is>
          <t>2026-04-18</t>
        </is>
      </c>
      <c r="O1582" t="inlineStr">
        <is>
          <t>AI</t>
        </is>
      </c>
    </row>
    <row r="1583">
      <c r="A1583" t="inlineStr">
        <is>
          <t>PT FKS Multi Agro Tbk</t>
        </is>
      </c>
      <c r="B1583" t="inlineStr">
        <is>
          <t>FISH_2024_AR.pdf</t>
        </is>
      </c>
      <c r="C1583" t="n">
        <v>2024</v>
      </c>
      <c r="D1583" t="inlineStr">
        <is>
          <t>Company</t>
        </is>
      </c>
      <c r="E1583" t="inlineStr">
        <is>
          <t>Company Name</t>
        </is>
      </c>
      <c r="F1583" t="inlineStr">
        <is>
          <t>PT FKS Multi Agro Tbk</t>
        </is>
      </c>
      <c r="G1583" t="inlineStr">
        <is>
          <t>text</t>
        </is>
      </c>
      <c r="H1583" t="n">
        <v>7</v>
      </c>
      <c r="I1583" t="inlineStr">
        <is>
          <t>PT FKS Multi Agro Tbk</t>
        </is>
      </c>
      <c r="J1583" t="inlineStr">
        <is>
          <t>High</t>
        </is>
      </c>
      <c r="M1583" t="inlineStr">
        <is>
          <t>LLM</t>
        </is>
      </c>
      <c r="N1583" t="inlineStr">
        <is>
          <t>2026-04-18</t>
        </is>
      </c>
      <c r="O1583" t="inlineStr">
        <is>
          <t>AI</t>
        </is>
      </c>
    </row>
    <row r="1584">
      <c r="A1584" t="inlineStr">
        <is>
          <t>PT FKS Multi Agro Tbk</t>
        </is>
      </c>
      <c r="B1584" t="inlineStr">
        <is>
          <t>FISH_2024_AR.pdf</t>
        </is>
      </c>
      <c r="C1584" t="n">
        <v>2024</v>
      </c>
      <c r="D1584" t="inlineStr">
        <is>
          <t>Company</t>
        </is>
      </c>
      <c r="E1584" t="inlineStr">
        <is>
          <t>Ticker</t>
        </is>
      </c>
      <c r="F1584" t="inlineStr">
        <is>
          <t>FISH</t>
        </is>
      </c>
      <c r="G1584" t="inlineStr">
        <is>
          <t>text</t>
        </is>
      </c>
      <c r="H1584" t="n">
        <v>9</v>
      </c>
      <c r="I1584" t="inlineStr">
        <is>
          <t>Kode Saham FISH</t>
        </is>
      </c>
      <c r="J1584" t="inlineStr">
        <is>
          <t>High</t>
        </is>
      </c>
      <c r="M1584" t="inlineStr">
        <is>
          <t>LLM</t>
        </is>
      </c>
      <c r="N1584" t="inlineStr">
        <is>
          <t>2026-04-18</t>
        </is>
      </c>
      <c r="O1584" t="inlineStr">
        <is>
          <t>AI</t>
        </is>
      </c>
    </row>
    <row r="1585">
      <c r="A1585" t="inlineStr">
        <is>
          <t>PT FKS Multi Agro Tbk</t>
        </is>
      </c>
      <c r="B1585" t="inlineStr">
        <is>
          <t>FISH_2024_AR.pdf</t>
        </is>
      </c>
      <c r="C1585" t="n">
        <v>2024</v>
      </c>
      <c r="D1585" t="inlineStr">
        <is>
          <t>Company</t>
        </is>
      </c>
      <c r="E1585" t="inlineStr">
        <is>
          <t>Listed Since</t>
        </is>
      </c>
      <c r="F1585" t="inlineStr">
        <is>
          <t>2002-01-18</t>
        </is>
      </c>
      <c r="G1585" t="inlineStr">
        <is>
          <t>date</t>
        </is>
      </c>
      <c r="H1585" t="n">
        <v>9</v>
      </c>
      <c r="I1585" t="inlineStr">
        <is>
          <t>Tanggal Pencatatan 18 Januari 2002</t>
        </is>
      </c>
      <c r="J1585" t="inlineStr">
        <is>
          <t>High</t>
        </is>
      </c>
      <c r="M1585" t="inlineStr">
        <is>
          <t>LLM</t>
        </is>
      </c>
      <c r="N1585" t="inlineStr">
        <is>
          <t>2026-04-18</t>
        </is>
      </c>
      <c r="O1585" t="inlineStr">
        <is>
          <t>AI</t>
        </is>
      </c>
    </row>
    <row r="1586">
      <c r="A1586" t="inlineStr">
        <is>
          <t>PT FKS Multi Agro Tbk</t>
        </is>
      </c>
      <c r="B1586" t="inlineStr">
        <is>
          <t>FISH_2024_AR.pdf</t>
        </is>
      </c>
      <c r="C1586" t="n">
        <v>2024</v>
      </c>
      <c r="D1586" t="inlineStr">
        <is>
          <t>Company</t>
        </is>
      </c>
      <c r="E1586" t="inlineStr">
        <is>
          <t>Reporting Currency</t>
        </is>
      </c>
      <c r="F1586" t="inlineStr">
        <is>
          <t>USD</t>
        </is>
      </c>
      <c r="G1586" t="inlineStr">
        <is>
          <t>text</t>
        </is>
      </c>
      <c r="H1586" t="n">
        <v>93</v>
      </c>
      <c r="I1586" t="inlineStr">
        <is>
          <t>Expressed in United States Dollar, Unless Otherwise Stated</t>
        </is>
      </c>
      <c r="J1586" t="inlineStr">
        <is>
          <t>High</t>
        </is>
      </c>
      <c r="M1586" t="inlineStr">
        <is>
          <t>LLM</t>
        </is>
      </c>
      <c r="N1586" t="inlineStr">
        <is>
          <t>2026-04-18</t>
        </is>
      </c>
      <c r="O1586" t="inlineStr">
        <is>
          <t>AI</t>
        </is>
      </c>
    </row>
    <row r="1587">
      <c r="A1587" t="inlineStr">
        <is>
          <t>PT FKS Multi Agro Tbk</t>
        </is>
      </c>
      <c r="B1587" t="inlineStr">
        <is>
          <t>FISH_2024_AR.pdf</t>
        </is>
      </c>
      <c r="C1587" t="n">
        <v>2024</v>
      </c>
      <c r="D1587" t="inlineStr">
        <is>
          <t>Company</t>
        </is>
      </c>
      <c r="E1587" t="inlineStr">
        <is>
          <t>Shareholder - PT FKS Corporindo Indonesia</t>
        </is>
      </c>
      <c r="F1587" t="n">
        <v>0.7906</v>
      </c>
      <c r="G1587" t="inlineStr">
        <is>
          <t>pct</t>
        </is>
      </c>
      <c r="H1587" t="n">
        <v>9</v>
      </c>
      <c r="I1587" t="inlineStr">
        <is>
          <t>PT FKS Corporindo Indonesia 79,06%</t>
        </is>
      </c>
      <c r="J1587" t="inlineStr">
        <is>
          <t>High</t>
        </is>
      </c>
      <c r="M1587" t="inlineStr">
        <is>
          <t>LLM</t>
        </is>
      </c>
      <c r="N1587" t="inlineStr">
        <is>
          <t>2026-04-18</t>
        </is>
      </c>
      <c r="O1587" t="inlineStr">
        <is>
          <t>AI</t>
        </is>
      </c>
    </row>
    <row r="1588">
      <c r="A1588" t="inlineStr">
        <is>
          <t>PT FKS Multi Agro Tbk</t>
        </is>
      </c>
      <c r="B1588" t="inlineStr">
        <is>
          <t>FISH_2024_AR.pdf</t>
        </is>
      </c>
      <c r="C1588" t="n">
        <v>2024</v>
      </c>
      <c r="D1588" t="inlineStr">
        <is>
          <t>Company</t>
        </is>
      </c>
      <c r="E1588" t="inlineStr">
        <is>
          <t>Shareholder - PT Caturkartika Perdana</t>
        </is>
      </c>
      <c r="F1588" t="n">
        <v>0.1042</v>
      </c>
      <c r="G1588" t="inlineStr">
        <is>
          <t>pct</t>
        </is>
      </c>
      <c r="H1588" t="n">
        <v>9</v>
      </c>
      <c r="I1588" t="inlineStr">
        <is>
          <t>PT Caturkartika Perdana 10,42%</t>
        </is>
      </c>
      <c r="J1588" t="inlineStr">
        <is>
          <t>High</t>
        </is>
      </c>
      <c r="M1588" t="inlineStr">
        <is>
          <t>LLM</t>
        </is>
      </c>
      <c r="N1588" t="inlineStr">
        <is>
          <t>2026-04-18</t>
        </is>
      </c>
      <c r="O1588" t="inlineStr">
        <is>
          <t>AI</t>
        </is>
      </c>
    </row>
    <row r="1589">
      <c r="A1589" t="inlineStr">
        <is>
          <t>PT FKS Multi Agro Tbk</t>
        </is>
      </c>
      <c r="B1589" t="inlineStr">
        <is>
          <t>FISH_2024_AR.pdf</t>
        </is>
      </c>
      <c r="C1589" t="n">
        <v>2024</v>
      </c>
      <c r="D1589" t="inlineStr">
        <is>
          <t>Company</t>
        </is>
      </c>
      <c r="E1589" t="inlineStr">
        <is>
          <t>Shareholder - Public</t>
        </is>
      </c>
      <c r="F1589" t="n">
        <v>0.1052</v>
      </c>
      <c r="G1589" t="inlineStr">
        <is>
          <t>pct</t>
        </is>
      </c>
      <c r="H1589" t="n">
        <v>9</v>
      </c>
      <c r="I1589" t="inlineStr">
        <is>
          <t>Masyarakat | Public 10,52%</t>
        </is>
      </c>
      <c r="J1589" t="inlineStr">
        <is>
          <t>High</t>
        </is>
      </c>
      <c r="M1589" t="inlineStr">
        <is>
          <t>LLM</t>
        </is>
      </c>
      <c r="N1589" t="inlineStr">
        <is>
          <t>2026-04-18</t>
        </is>
      </c>
      <c r="O1589" t="inlineStr">
        <is>
          <t>AI</t>
        </is>
      </c>
    </row>
    <row r="1590">
      <c r="A1590" t="inlineStr">
        <is>
          <t>PT FKS Multi Agro Tbk</t>
        </is>
      </c>
      <c r="B1590" t="inlineStr">
        <is>
          <t>FISH_2024_AR.pdf</t>
        </is>
      </c>
      <c r="C1590" t="n">
        <v>2024</v>
      </c>
      <c r="D1590" t="inlineStr">
        <is>
          <t>Company</t>
        </is>
      </c>
      <c r="E1590" t="inlineStr">
        <is>
          <t>Subsidiary - PT Nusa Prima Logistik</t>
        </is>
      </c>
      <c r="F1590" t="n">
        <v>0.65</v>
      </c>
      <c r="G1590" t="inlineStr">
        <is>
          <t>pct</t>
        </is>
      </c>
      <c r="H1590" t="n">
        <v>93</v>
      </c>
      <c r="I1590" t="inlineStr">
        <is>
          <t>PT Nusa Prima Logistik 65% ownership</t>
        </is>
      </c>
      <c r="J1590" t="inlineStr">
        <is>
          <t>High</t>
        </is>
      </c>
      <c r="M1590" t="inlineStr">
        <is>
          <t>LLM</t>
        </is>
      </c>
      <c r="N1590" t="inlineStr">
        <is>
          <t>2026-04-18</t>
        </is>
      </c>
      <c r="O1590" t="inlineStr">
        <is>
          <t>AI</t>
        </is>
      </c>
    </row>
    <row r="1591">
      <c r="A1591" t="inlineStr">
        <is>
          <t>PT FKS Multi Agro Tbk</t>
        </is>
      </c>
      <c r="B1591" t="inlineStr">
        <is>
          <t>FISH_2024_AR.pdf</t>
        </is>
      </c>
      <c r="C1591" t="n">
        <v>2024</v>
      </c>
      <c r="D1591" t="inlineStr">
        <is>
          <t>Company</t>
        </is>
      </c>
      <c r="E1591" t="inlineStr">
        <is>
          <t>Subsidiary - PT FKS Pangan Nusantara</t>
        </is>
      </c>
      <c r="F1591" t="n">
        <v>0.9999</v>
      </c>
      <c r="G1591" t="inlineStr">
        <is>
          <t>pct</t>
        </is>
      </c>
      <c r="H1591" t="n">
        <v>93</v>
      </c>
      <c r="I1591" t="inlineStr">
        <is>
          <t>PT FKS Pangan Nusantara 99,99%</t>
        </is>
      </c>
      <c r="J1591" t="inlineStr">
        <is>
          <t>High</t>
        </is>
      </c>
      <c r="M1591" t="inlineStr">
        <is>
          <t>LLM</t>
        </is>
      </c>
      <c r="N1591" t="inlineStr">
        <is>
          <t>2026-04-18</t>
        </is>
      </c>
      <c r="O1591" t="inlineStr">
        <is>
          <t>AI</t>
        </is>
      </c>
    </row>
    <row r="1592">
      <c r="A1592" t="inlineStr">
        <is>
          <t>PT FKS Multi Agro Tbk</t>
        </is>
      </c>
      <c r="B1592" t="inlineStr">
        <is>
          <t>FISH_2024_AR.pdf</t>
        </is>
      </c>
      <c r="C1592" t="n">
        <v>2024</v>
      </c>
      <c r="D1592" t="inlineStr">
        <is>
          <t>Company</t>
        </is>
      </c>
      <c r="E1592" t="inlineStr">
        <is>
          <t>Subsidiary - PT FKS Solusi Logistik</t>
        </is>
      </c>
      <c r="F1592" t="n">
        <v>0.9999</v>
      </c>
      <c r="G1592" t="inlineStr">
        <is>
          <t>pct</t>
        </is>
      </c>
      <c r="H1592" t="n">
        <v>93</v>
      </c>
      <c r="I1592" t="inlineStr">
        <is>
          <t>PT FKS Solusi Logistik 99,99%</t>
        </is>
      </c>
      <c r="J1592" t="inlineStr">
        <is>
          <t>High</t>
        </is>
      </c>
      <c r="M1592" t="inlineStr">
        <is>
          <t>LLM</t>
        </is>
      </c>
      <c r="N1592" t="inlineStr">
        <is>
          <t>2026-04-18</t>
        </is>
      </c>
      <c r="O1592" t="inlineStr">
        <is>
          <t>AI</t>
        </is>
      </c>
    </row>
    <row r="1593">
      <c r="A1593" t="inlineStr">
        <is>
          <t>PT FKS Multi Agro Tbk</t>
        </is>
      </c>
      <c r="B1593" t="inlineStr">
        <is>
          <t>FISH_2024_AR.pdf</t>
        </is>
      </c>
      <c r="C1593" t="n">
        <v>2024</v>
      </c>
      <c r="D1593" t="inlineStr">
        <is>
          <t>Company</t>
        </is>
      </c>
      <c r="E1593" t="inlineStr">
        <is>
          <t>Ultimate Parent</t>
        </is>
      </c>
      <c r="F1593" t="inlineStr">
        <is>
          <t>FKS International Investments Pte. Ltd. (Singapore)</t>
        </is>
      </c>
      <c r="G1593" t="inlineStr">
        <is>
          <t>text</t>
        </is>
      </c>
      <c r="H1593" t="n">
        <v>93</v>
      </c>
      <c r="I1593" t="inlineStr">
        <is>
          <t>FKS International Investments Pte. Ltd., Singapore</t>
        </is>
      </c>
      <c r="J1593" t="inlineStr">
        <is>
          <t>High</t>
        </is>
      </c>
      <c r="M1593" t="inlineStr">
        <is>
          <t>LLM</t>
        </is>
      </c>
      <c r="N1593" t="inlineStr">
        <is>
          <t>2026-04-18</t>
        </is>
      </c>
      <c r="O1593" t="inlineStr">
        <is>
          <t>AI</t>
        </is>
      </c>
    </row>
    <row r="1594">
      <c r="A1594" t="inlineStr">
        <is>
          <t>PT FKS Multi Agro Tbk</t>
        </is>
      </c>
      <c r="B1594" t="inlineStr">
        <is>
          <t>FISH_2024_AR.pdf</t>
        </is>
      </c>
      <c r="C1594" t="n">
        <v>2024</v>
      </c>
      <c r="D1594" t="inlineStr">
        <is>
          <t>Financial</t>
        </is>
      </c>
      <c r="E1594" t="inlineStr">
        <is>
          <t>Revenue</t>
        </is>
      </c>
      <c r="F1594" t="n">
        <v>1292650185</v>
      </c>
      <c r="G1594" t="inlineStr">
        <is>
          <t>USD</t>
        </is>
      </c>
      <c r="H1594" t="n">
        <v>7</v>
      </c>
      <c r="I1594" t="inlineStr">
        <is>
          <t>Pendapatan 1.292.650.185 Revenues (2024)</t>
        </is>
      </c>
      <c r="J1594" t="inlineStr">
        <is>
          <t>High</t>
        </is>
      </c>
      <c r="M1594" t="inlineStr">
        <is>
          <t>LLM</t>
        </is>
      </c>
      <c r="N1594" t="inlineStr">
        <is>
          <t>2026-04-18</t>
        </is>
      </c>
      <c r="O1594" t="inlineStr">
        <is>
          <t>AI</t>
        </is>
      </c>
    </row>
    <row r="1595">
      <c r="A1595" t="inlineStr">
        <is>
          <t>PT FKS Multi Agro Tbk</t>
        </is>
      </c>
      <c r="B1595" t="inlineStr">
        <is>
          <t>FISH_2024_AR.pdf</t>
        </is>
      </c>
      <c r="C1595" t="n">
        <v>2024</v>
      </c>
      <c r="D1595" t="inlineStr">
        <is>
          <t>Financial</t>
        </is>
      </c>
      <c r="E1595" t="inlineStr">
        <is>
          <t>Revenue (IDR)</t>
        </is>
      </c>
      <c r="F1595" t="n">
        <v>20495</v>
      </c>
      <c r="G1595" t="inlineStr">
        <is>
          <t>IDR bn</t>
        </is>
      </c>
      <c r="H1595" t="n">
        <v>7</v>
      </c>
      <c r="I1595" t="inlineStr">
        <is>
          <t>USD 1,292,650,185 x 2024 avg rate 15,855 = Rp20.495 trn</t>
        </is>
      </c>
      <c r="J1595" t="inlineStr">
        <is>
          <t>Medium</t>
        </is>
      </c>
      <c r="M1595" t="inlineStr">
        <is>
          <t>LLM</t>
        </is>
      </c>
      <c r="N1595" t="inlineStr">
        <is>
          <t>2026-04-18</t>
        </is>
      </c>
      <c r="O1595" t="inlineStr">
        <is>
          <t>AI</t>
        </is>
      </c>
    </row>
    <row r="1596">
      <c r="A1596" t="inlineStr">
        <is>
          <t>PT FKS Multi Agro Tbk</t>
        </is>
      </c>
      <c r="B1596" t="inlineStr">
        <is>
          <t>FISH_2024_AR.pdf</t>
        </is>
      </c>
      <c r="C1596" t="n">
        <v>2024</v>
      </c>
      <c r="D1596" t="inlineStr">
        <is>
          <t>Financial</t>
        </is>
      </c>
      <c r="E1596" t="inlineStr">
        <is>
          <t>Cost of Revenues</t>
        </is>
      </c>
      <c r="F1596" t="n">
        <v>1239365291</v>
      </c>
      <c r="G1596" t="inlineStr">
        <is>
          <t>USD</t>
        </is>
      </c>
      <c r="H1596" t="n">
        <v>95</v>
      </c>
      <c r="I1596" t="inlineStr">
        <is>
          <t>Beban pokok pendapatan (1.239.365.291) Cost of revenues</t>
        </is>
      </c>
      <c r="J1596" t="inlineStr">
        <is>
          <t>High</t>
        </is>
      </c>
      <c r="M1596" t="inlineStr">
        <is>
          <t>LLM</t>
        </is>
      </c>
      <c r="N1596" t="inlineStr">
        <is>
          <t>2026-04-18</t>
        </is>
      </c>
      <c r="O1596" t="inlineStr">
        <is>
          <t>AI</t>
        </is>
      </c>
    </row>
    <row r="1597">
      <c r="A1597" t="inlineStr">
        <is>
          <t>PT FKS Multi Agro Tbk</t>
        </is>
      </c>
      <c r="B1597" t="inlineStr">
        <is>
          <t>FISH_2024_AR.pdf</t>
        </is>
      </c>
      <c r="C1597" t="n">
        <v>2024</v>
      </c>
      <c r="D1597" t="inlineStr">
        <is>
          <t>Financial</t>
        </is>
      </c>
      <c r="E1597" t="inlineStr">
        <is>
          <t>Gross Profit</t>
        </is>
      </c>
      <c r="F1597" t="n">
        <v>53284894</v>
      </c>
      <c r="G1597" t="inlineStr">
        <is>
          <t>USD</t>
        </is>
      </c>
      <c r="H1597" t="n">
        <v>7</v>
      </c>
      <c r="I1597" t="inlineStr">
        <is>
          <t>Laba Bruto 53.284.894 Gross Profit (2024)</t>
        </is>
      </c>
      <c r="J1597" t="inlineStr">
        <is>
          <t>High</t>
        </is>
      </c>
      <c r="M1597" t="inlineStr">
        <is>
          <t>LLM</t>
        </is>
      </c>
      <c r="N1597" t="inlineStr">
        <is>
          <t>2026-04-18</t>
        </is>
      </c>
      <c r="O1597" t="inlineStr">
        <is>
          <t>AI</t>
        </is>
      </c>
    </row>
    <row r="1598">
      <c r="A1598" t="inlineStr">
        <is>
          <t>PT FKS Multi Agro Tbk</t>
        </is>
      </c>
      <c r="B1598" t="inlineStr">
        <is>
          <t>FISH_2024_AR.pdf</t>
        </is>
      </c>
      <c r="C1598" t="n">
        <v>2024</v>
      </c>
      <c r="D1598" t="inlineStr">
        <is>
          <t>Financial</t>
        </is>
      </c>
      <c r="E1598" t="inlineStr">
        <is>
          <t>Operating Profit</t>
        </is>
      </c>
      <c r="F1598" t="n">
        <v>23127896</v>
      </c>
      <c r="G1598" t="inlineStr">
        <is>
          <t>USD</t>
        </is>
      </c>
      <c r="H1598" t="n">
        <v>7</v>
      </c>
      <c r="I1598" t="inlineStr">
        <is>
          <t>Laba Usaha 23.127.896 Operating Profit (2024)</t>
        </is>
      </c>
      <c r="J1598" t="inlineStr">
        <is>
          <t>High</t>
        </is>
      </c>
      <c r="M1598" t="inlineStr">
        <is>
          <t>LLM</t>
        </is>
      </c>
      <c r="N1598" t="inlineStr">
        <is>
          <t>2026-04-18</t>
        </is>
      </c>
      <c r="O1598" t="inlineStr">
        <is>
          <t>AI</t>
        </is>
      </c>
    </row>
    <row r="1599">
      <c r="A1599" t="inlineStr">
        <is>
          <t>PT FKS Multi Agro Tbk</t>
        </is>
      </c>
      <c r="B1599" t="inlineStr">
        <is>
          <t>FISH_2024_AR.pdf</t>
        </is>
      </c>
      <c r="C1599" t="n">
        <v>2024</v>
      </c>
      <c r="D1599" t="inlineStr">
        <is>
          <t>Financial</t>
        </is>
      </c>
      <c r="E1599" t="inlineStr">
        <is>
          <t>Finance Income Net</t>
        </is>
      </c>
      <c r="F1599" t="n">
        <v>1667219</v>
      </c>
      <c r="G1599" t="inlineStr">
        <is>
          <t>USD</t>
        </is>
      </c>
      <c r="H1599" t="n">
        <v>95</v>
      </c>
      <c r="I1599" t="inlineStr">
        <is>
          <t>Penghasilan keuangan, neto 1.667.219 Finance income, net</t>
        </is>
      </c>
      <c r="J1599" t="inlineStr">
        <is>
          <t>High</t>
        </is>
      </c>
      <c r="M1599" t="inlineStr">
        <is>
          <t>LLM</t>
        </is>
      </c>
      <c r="N1599" t="inlineStr">
        <is>
          <t>2026-04-18</t>
        </is>
      </c>
      <c r="O1599" t="inlineStr">
        <is>
          <t>AI</t>
        </is>
      </c>
    </row>
    <row r="1600">
      <c r="A1600" t="inlineStr">
        <is>
          <t>PT FKS Multi Agro Tbk</t>
        </is>
      </c>
      <c r="B1600" t="inlineStr">
        <is>
          <t>FISH_2024_AR.pdf</t>
        </is>
      </c>
      <c r="C1600" t="n">
        <v>2024</v>
      </c>
      <c r="D1600" t="inlineStr">
        <is>
          <t>Financial</t>
        </is>
      </c>
      <c r="E1600" t="inlineStr">
        <is>
          <t>Finance Costs</t>
        </is>
      </c>
      <c r="F1600" t="n">
        <v>10199854</v>
      </c>
      <c r="G1600" t="inlineStr">
        <is>
          <t>USD</t>
        </is>
      </c>
      <c r="H1600" t="n">
        <v>95</v>
      </c>
      <c r="I1600" t="inlineStr">
        <is>
          <t>Beban keuangan (10.199.854) Finance costs</t>
        </is>
      </c>
      <c r="J1600" t="inlineStr">
        <is>
          <t>High</t>
        </is>
      </c>
      <c r="M1600" t="inlineStr">
        <is>
          <t>LLM</t>
        </is>
      </c>
      <c r="N1600" t="inlineStr">
        <is>
          <t>2026-04-18</t>
        </is>
      </c>
      <c r="O1600" t="inlineStr">
        <is>
          <t>AI</t>
        </is>
      </c>
    </row>
    <row r="1601">
      <c r="A1601" t="inlineStr">
        <is>
          <t>PT FKS Multi Agro Tbk</t>
        </is>
      </c>
      <c r="B1601" t="inlineStr">
        <is>
          <t>FISH_2024_AR.pdf</t>
        </is>
      </c>
      <c r="C1601" t="n">
        <v>2024</v>
      </c>
      <c r="D1601" t="inlineStr">
        <is>
          <t>Financial</t>
        </is>
      </c>
      <c r="E1601" t="inlineStr">
        <is>
          <t>Profit Before Tax</t>
        </is>
      </c>
      <c r="F1601" t="n">
        <v>14556753</v>
      </c>
      <c r="G1601" t="inlineStr">
        <is>
          <t>USD</t>
        </is>
      </c>
      <c r="H1601" t="n">
        <v>95</v>
      </c>
      <c r="I1601" t="inlineStr">
        <is>
          <t>Laba sebelum pajak penghasilan 14.556.753</t>
        </is>
      </c>
      <c r="J1601" t="inlineStr">
        <is>
          <t>High</t>
        </is>
      </c>
      <c r="M1601" t="inlineStr">
        <is>
          <t>LLM</t>
        </is>
      </c>
      <c r="N1601" t="inlineStr">
        <is>
          <t>2026-04-18</t>
        </is>
      </c>
      <c r="O1601" t="inlineStr">
        <is>
          <t>AI</t>
        </is>
      </c>
    </row>
    <row r="1602">
      <c r="A1602" t="inlineStr">
        <is>
          <t>PT FKS Multi Agro Tbk</t>
        </is>
      </c>
      <c r="B1602" t="inlineStr">
        <is>
          <t>FISH_2024_AR.pdf</t>
        </is>
      </c>
      <c r="C1602" t="n">
        <v>2024</v>
      </c>
      <c r="D1602" t="inlineStr">
        <is>
          <t>Financial</t>
        </is>
      </c>
      <c r="E1602" t="inlineStr">
        <is>
          <t>Net Profit</t>
        </is>
      </c>
      <c r="F1602" t="n">
        <v>9594659</v>
      </c>
      <c r="G1602" t="inlineStr">
        <is>
          <t>USD</t>
        </is>
      </c>
      <c r="H1602" t="n">
        <v>7</v>
      </c>
      <c r="I1602" t="inlineStr">
        <is>
          <t>Laba Tahun Berjalan 9.594.659 Profit for the Year (2024)</t>
        </is>
      </c>
      <c r="J1602" t="inlineStr">
        <is>
          <t>High</t>
        </is>
      </c>
      <c r="M1602" t="inlineStr">
        <is>
          <t>LLM</t>
        </is>
      </c>
      <c r="N1602" t="inlineStr">
        <is>
          <t>2026-04-18</t>
        </is>
      </c>
      <c r="O1602" t="inlineStr">
        <is>
          <t>AI</t>
        </is>
      </c>
    </row>
    <row r="1603">
      <c r="A1603" t="inlineStr">
        <is>
          <t>PT FKS Multi Agro Tbk</t>
        </is>
      </c>
      <c r="B1603" t="inlineStr">
        <is>
          <t>FISH_2024_AR.pdf</t>
        </is>
      </c>
      <c r="C1603" t="n">
        <v>2024</v>
      </c>
      <c r="D1603" t="inlineStr">
        <is>
          <t>Financial</t>
        </is>
      </c>
      <c r="E1603" t="inlineStr">
        <is>
          <t>Profit Attributable to Parent</t>
        </is>
      </c>
      <c r="F1603" t="n">
        <v>8727192</v>
      </c>
      <c r="G1603" t="inlineStr">
        <is>
          <t>USD</t>
        </is>
      </c>
      <c r="H1603" t="n">
        <v>7</v>
      </c>
      <c r="I1603" t="inlineStr">
        <is>
          <t>Pemilik Entitas Induk 8.727.192</t>
        </is>
      </c>
      <c r="J1603" t="inlineStr">
        <is>
          <t>High</t>
        </is>
      </c>
      <c r="M1603" t="inlineStr">
        <is>
          <t>LLM</t>
        </is>
      </c>
      <c r="N1603" t="inlineStr">
        <is>
          <t>2026-04-18</t>
        </is>
      </c>
      <c r="O1603" t="inlineStr">
        <is>
          <t>AI</t>
        </is>
      </c>
    </row>
    <row r="1604">
      <c r="A1604" t="inlineStr">
        <is>
          <t>PT FKS Multi Agro Tbk</t>
        </is>
      </c>
      <c r="B1604" t="inlineStr">
        <is>
          <t>FISH_2024_AR.pdf</t>
        </is>
      </c>
      <c r="C1604" t="n">
        <v>2024</v>
      </c>
      <c r="D1604" t="inlineStr">
        <is>
          <t>Financial</t>
        </is>
      </c>
      <c r="E1604" t="inlineStr">
        <is>
          <t>Non-controlling Interest Profit</t>
        </is>
      </c>
      <c r="F1604" t="n">
        <v>867467</v>
      </c>
      <c r="G1604" t="inlineStr">
        <is>
          <t>USD</t>
        </is>
      </c>
      <c r="H1604" t="n">
        <v>7</v>
      </c>
      <c r="I1604" t="inlineStr">
        <is>
          <t>Kepentingan Non-Pengendali 867.467</t>
        </is>
      </c>
      <c r="J1604" t="inlineStr">
        <is>
          <t>High</t>
        </is>
      </c>
      <c r="M1604" t="inlineStr">
        <is>
          <t>LLM</t>
        </is>
      </c>
      <c r="N1604" t="inlineStr">
        <is>
          <t>2026-04-18</t>
        </is>
      </c>
      <c r="O1604" t="inlineStr">
        <is>
          <t>AI</t>
        </is>
      </c>
    </row>
    <row r="1605">
      <c r="A1605" t="inlineStr">
        <is>
          <t>PT FKS Multi Agro Tbk</t>
        </is>
      </c>
      <c r="B1605" t="inlineStr">
        <is>
          <t>FISH_2024_AR.pdf</t>
        </is>
      </c>
      <c r="C1605" t="n">
        <v>2024</v>
      </c>
      <c r="D1605" t="inlineStr">
        <is>
          <t>Financial</t>
        </is>
      </c>
      <c r="E1605" t="inlineStr">
        <is>
          <t>EPS Basic</t>
        </is>
      </c>
      <c r="F1605" t="n">
        <v>0.018</v>
      </c>
      <c r="G1605" t="inlineStr">
        <is>
          <t>USD/share</t>
        </is>
      </c>
      <c r="H1605" t="n">
        <v>7</v>
      </c>
      <c r="I1605" t="inlineStr">
        <is>
          <t>Laba per Saham Dasar 0,018 Basic Earnings per Share</t>
        </is>
      </c>
      <c r="J1605" t="inlineStr">
        <is>
          <t>High</t>
        </is>
      </c>
      <c r="M1605" t="inlineStr">
        <is>
          <t>LLM</t>
        </is>
      </c>
      <c r="N1605" t="inlineStr">
        <is>
          <t>2026-04-18</t>
        </is>
      </c>
      <c r="O1605" t="inlineStr">
        <is>
          <t>AI</t>
        </is>
      </c>
    </row>
    <row r="1606">
      <c r="A1606" t="inlineStr">
        <is>
          <t>PT FKS Multi Agro Tbk</t>
        </is>
      </c>
      <c r="B1606" t="inlineStr">
        <is>
          <t>FISH_2024_AR.pdf</t>
        </is>
      </c>
      <c r="C1606" t="n">
        <v>2024</v>
      </c>
      <c r="D1606" t="inlineStr">
        <is>
          <t>Financial</t>
        </is>
      </c>
      <c r="E1606" t="inlineStr">
        <is>
          <t>Total Assets</t>
        </is>
      </c>
      <c r="F1606" t="n">
        <v>522159891</v>
      </c>
      <c r="G1606" t="inlineStr">
        <is>
          <t>USD</t>
        </is>
      </c>
      <c r="H1606" t="n">
        <v>8</v>
      </c>
      <c r="I1606" t="inlineStr">
        <is>
          <t>Total Aset 522.159.891</t>
        </is>
      </c>
      <c r="J1606" t="inlineStr">
        <is>
          <t>High</t>
        </is>
      </c>
      <c r="M1606" t="inlineStr">
        <is>
          <t>LLM</t>
        </is>
      </c>
      <c r="N1606" t="inlineStr">
        <is>
          <t>2026-04-18</t>
        </is>
      </c>
      <c r="O1606" t="inlineStr">
        <is>
          <t>AI</t>
        </is>
      </c>
    </row>
    <row r="1607">
      <c r="A1607" t="inlineStr">
        <is>
          <t>PT FKS Multi Agro Tbk</t>
        </is>
      </c>
      <c r="B1607" t="inlineStr">
        <is>
          <t>FISH_2024_AR.pdf</t>
        </is>
      </c>
      <c r="C1607" t="n">
        <v>2024</v>
      </c>
      <c r="D1607" t="inlineStr">
        <is>
          <t>Financial</t>
        </is>
      </c>
      <c r="E1607" t="inlineStr">
        <is>
          <t>Current Assets</t>
        </is>
      </c>
      <c r="F1607" t="n">
        <v>380968968</v>
      </c>
      <c r="G1607" t="inlineStr">
        <is>
          <t>USD</t>
        </is>
      </c>
      <c r="H1607" t="n">
        <v>8</v>
      </c>
      <c r="I1607" t="inlineStr">
        <is>
          <t>Aset Lancar 380.968.968 Current Assets</t>
        </is>
      </c>
      <c r="J1607" t="inlineStr">
        <is>
          <t>High</t>
        </is>
      </c>
      <c r="M1607" t="inlineStr">
        <is>
          <t>LLM</t>
        </is>
      </c>
      <c r="N1607" t="inlineStr">
        <is>
          <t>2026-04-18</t>
        </is>
      </c>
      <c r="O1607" t="inlineStr">
        <is>
          <t>AI</t>
        </is>
      </c>
    </row>
    <row r="1608">
      <c r="A1608" t="inlineStr">
        <is>
          <t>PT FKS Multi Agro Tbk</t>
        </is>
      </c>
      <c r="B1608" t="inlineStr">
        <is>
          <t>FISH_2024_AR.pdf</t>
        </is>
      </c>
      <c r="C1608" t="n">
        <v>2024</v>
      </c>
      <c r="D1608" t="inlineStr">
        <is>
          <t>Financial</t>
        </is>
      </c>
      <c r="E1608" t="inlineStr">
        <is>
          <t>Non-Current Assets</t>
        </is>
      </c>
      <c r="F1608" t="n">
        <v>141190923</v>
      </c>
      <c r="G1608" t="inlineStr">
        <is>
          <t>USD</t>
        </is>
      </c>
      <c r="H1608" t="n">
        <v>8</v>
      </c>
      <c r="I1608" t="inlineStr">
        <is>
          <t>Aset Tidak Lancar 141.190.923 Non-Current Assets</t>
        </is>
      </c>
      <c r="J1608" t="inlineStr">
        <is>
          <t>High</t>
        </is>
      </c>
      <c r="M1608" t="inlineStr">
        <is>
          <t>LLM</t>
        </is>
      </c>
      <c r="N1608" t="inlineStr">
        <is>
          <t>2026-04-18</t>
        </is>
      </c>
      <c r="O1608" t="inlineStr">
        <is>
          <t>AI</t>
        </is>
      </c>
    </row>
    <row r="1609">
      <c r="A1609" t="inlineStr">
        <is>
          <t>PT FKS Multi Agro Tbk</t>
        </is>
      </c>
      <c r="B1609" t="inlineStr">
        <is>
          <t>FISH_2024_AR.pdf</t>
        </is>
      </c>
      <c r="C1609" t="n">
        <v>2024</v>
      </c>
      <c r="D1609" t="inlineStr">
        <is>
          <t>Financial</t>
        </is>
      </c>
      <c r="E1609" t="inlineStr">
        <is>
          <t>Total Liabilities</t>
        </is>
      </c>
      <c r="F1609" t="n">
        <v>347204245</v>
      </c>
      <c r="G1609" t="inlineStr">
        <is>
          <t>USD</t>
        </is>
      </c>
      <c r="H1609" t="n">
        <v>8</v>
      </c>
      <c r="I1609" t="inlineStr">
        <is>
          <t>Jumlah Liabilitas 347.204.245 Total Liabilities</t>
        </is>
      </c>
      <c r="J1609" t="inlineStr">
        <is>
          <t>High</t>
        </is>
      </c>
      <c r="M1609" t="inlineStr">
        <is>
          <t>LLM</t>
        </is>
      </c>
      <c r="N1609" t="inlineStr">
        <is>
          <t>2026-04-18</t>
        </is>
      </c>
      <c r="O1609" t="inlineStr">
        <is>
          <t>AI</t>
        </is>
      </c>
    </row>
    <row r="1610">
      <c r="A1610" t="inlineStr">
        <is>
          <t>PT FKS Multi Agro Tbk</t>
        </is>
      </c>
      <c r="B1610" t="inlineStr">
        <is>
          <t>FISH_2024_AR.pdf</t>
        </is>
      </c>
      <c r="C1610" t="n">
        <v>2024</v>
      </c>
      <c r="D1610" t="inlineStr">
        <is>
          <t>Financial</t>
        </is>
      </c>
      <c r="E1610" t="inlineStr">
        <is>
          <t>Current Liabilities</t>
        </is>
      </c>
      <c r="F1610" t="n">
        <v>293869813</v>
      </c>
      <c r="G1610" t="inlineStr">
        <is>
          <t>USD</t>
        </is>
      </c>
      <c r="H1610" t="n">
        <v>8</v>
      </c>
      <c r="I1610" t="inlineStr">
        <is>
          <t>Liabilitas Jangka Pendek 293.869.813 Current Liabilities</t>
        </is>
      </c>
      <c r="J1610" t="inlineStr">
        <is>
          <t>High</t>
        </is>
      </c>
      <c r="M1610" t="inlineStr">
        <is>
          <t>LLM</t>
        </is>
      </c>
      <c r="N1610" t="inlineStr">
        <is>
          <t>2026-04-18</t>
        </is>
      </c>
      <c r="O1610" t="inlineStr">
        <is>
          <t>AI</t>
        </is>
      </c>
    </row>
    <row r="1611">
      <c r="A1611" t="inlineStr">
        <is>
          <t>PT FKS Multi Agro Tbk</t>
        </is>
      </c>
      <c r="B1611" t="inlineStr">
        <is>
          <t>FISH_2024_AR.pdf</t>
        </is>
      </c>
      <c r="C1611" t="n">
        <v>2024</v>
      </c>
      <c r="D1611" t="inlineStr">
        <is>
          <t>Financial</t>
        </is>
      </c>
      <c r="E1611" t="inlineStr">
        <is>
          <t>Non-Current Liabilities</t>
        </is>
      </c>
      <c r="F1611" t="n">
        <v>53334432</v>
      </c>
      <c r="G1611" t="inlineStr">
        <is>
          <t>USD</t>
        </is>
      </c>
      <c r="H1611" t="n">
        <v>8</v>
      </c>
      <c r="I1611" t="inlineStr">
        <is>
          <t>Liabilitas Jangka Panjang 53.334.432 Non-Current Liabilities</t>
        </is>
      </c>
      <c r="J1611" t="inlineStr">
        <is>
          <t>High</t>
        </is>
      </c>
      <c r="M1611" t="inlineStr">
        <is>
          <t>LLM</t>
        </is>
      </c>
      <c r="N1611" t="inlineStr">
        <is>
          <t>2026-04-18</t>
        </is>
      </c>
      <c r="O1611" t="inlineStr">
        <is>
          <t>AI</t>
        </is>
      </c>
    </row>
    <row r="1612">
      <c r="A1612" t="inlineStr">
        <is>
          <t>PT FKS Multi Agro Tbk</t>
        </is>
      </c>
      <c r="B1612" t="inlineStr">
        <is>
          <t>FISH_2024_AR.pdf</t>
        </is>
      </c>
      <c r="C1612" t="n">
        <v>2024</v>
      </c>
      <c r="D1612" t="inlineStr">
        <is>
          <t>Financial</t>
        </is>
      </c>
      <c r="E1612" t="inlineStr">
        <is>
          <t>Total Equity</t>
        </is>
      </c>
      <c r="F1612" t="n">
        <v>174955646</v>
      </c>
      <c r="G1612" t="inlineStr">
        <is>
          <t>USD</t>
        </is>
      </c>
      <c r="H1612" t="n">
        <v>8</v>
      </c>
      <c r="I1612" t="inlineStr">
        <is>
          <t>Ekuitas 174.955.646 Equity</t>
        </is>
      </c>
      <c r="J1612" t="inlineStr">
        <is>
          <t>High</t>
        </is>
      </c>
      <c r="M1612" t="inlineStr">
        <is>
          <t>LLM</t>
        </is>
      </c>
      <c r="N1612" t="inlineStr">
        <is>
          <t>2026-04-18</t>
        </is>
      </c>
      <c r="O1612" t="inlineStr">
        <is>
          <t>AI</t>
        </is>
      </c>
    </row>
    <row r="1613">
      <c r="A1613" t="inlineStr">
        <is>
          <t>PT FKS Multi Agro Tbk</t>
        </is>
      </c>
      <c r="B1613" t="inlineStr">
        <is>
          <t>FISH_2024_AR.pdf</t>
        </is>
      </c>
      <c r="C1613" t="n">
        <v>2024</v>
      </c>
      <c r="D1613" t="inlineStr">
        <is>
          <t>Financial</t>
        </is>
      </c>
      <c r="E1613" t="inlineStr">
        <is>
          <t>Net Working Capital</t>
        </is>
      </c>
      <c r="F1613" t="n">
        <v>87099155</v>
      </c>
      <c r="G1613" t="inlineStr">
        <is>
          <t>USD</t>
        </is>
      </c>
      <c r="H1613" t="n">
        <v>8</v>
      </c>
      <c r="I1613" t="inlineStr">
        <is>
          <t>Modal Kerja Bersih 87.099.155 Net Working Capital</t>
        </is>
      </c>
      <c r="J1613" t="inlineStr">
        <is>
          <t>High</t>
        </is>
      </c>
      <c r="M1613" t="inlineStr">
        <is>
          <t>LLM</t>
        </is>
      </c>
      <c r="N1613" t="inlineStr">
        <is>
          <t>2026-04-18</t>
        </is>
      </c>
      <c r="O1613" t="inlineStr">
        <is>
          <t>AI</t>
        </is>
      </c>
    </row>
    <row r="1614">
      <c r="A1614" t="inlineStr">
        <is>
          <t>PT FKS Multi Agro Tbk</t>
        </is>
      </c>
      <c r="B1614" t="inlineStr">
        <is>
          <t>FISH_2024_AR.pdf</t>
        </is>
      </c>
      <c r="C1614" t="n">
        <v>2024</v>
      </c>
      <c r="D1614" t="inlineStr">
        <is>
          <t>Financial</t>
        </is>
      </c>
      <c r="E1614" t="inlineStr">
        <is>
          <t>Cash and Cash Equivalents</t>
        </is>
      </c>
      <c r="F1614" t="n">
        <v>76426500</v>
      </c>
      <c r="G1614" t="inlineStr">
        <is>
          <t>USD</t>
        </is>
      </c>
      <c r="H1614" t="n">
        <v>93</v>
      </c>
      <c r="I1614" t="inlineStr">
        <is>
          <t>Kas dan setara kas 76.426.500 Cash and cash equivalents</t>
        </is>
      </c>
      <c r="J1614" t="inlineStr">
        <is>
          <t>High</t>
        </is>
      </c>
      <c r="M1614" t="inlineStr">
        <is>
          <t>LLM</t>
        </is>
      </c>
      <c r="N1614" t="inlineStr">
        <is>
          <t>2026-04-18</t>
        </is>
      </c>
      <c r="O1614" t="inlineStr">
        <is>
          <t>AI</t>
        </is>
      </c>
    </row>
    <row r="1615">
      <c r="A1615" t="inlineStr">
        <is>
          <t>PT FKS Multi Agro Tbk</t>
        </is>
      </c>
      <c r="B1615" t="inlineStr">
        <is>
          <t>FISH_2024_AR.pdf</t>
        </is>
      </c>
      <c r="C1615" t="n">
        <v>2024</v>
      </c>
      <c r="D1615" t="inlineStr">
        <is>
          <t>Financial</t>
        </is>
      </c>
      <c r="E1615" t="inlineStr">
        <is>
          <t>Inventories</t>
        </is>
      </c>
      <c r="F1615" t="n">
        <v>220481169</v>
      </c>
      <c r="G1615" t="inlineStr">
        <is>
          <t>USD</t>
        </is>
      </c>
      <c r="H1615" t="n">
        <v>93</v>
      </c>
      <c r="I1615" t="inlineStr">
        <is>
          <t>Persediaan - neto 220.481.169 Inventories - net</t>
        </is>
      </c>
      <c r="J1615" t="inlineStr">
        <is>
          <t>High</t>
        </is>
      </c>
      <c r="M1615" t="inlineStr">
        <is>
          <t>LLM</t>
        </is>
      </c>
      <c r="N1615" t="inlineStr">
        <is>
          <t>2026-04-18</t>
        </is>
      </c>
      <c r="O1615" t="inlineStr">
        <is>
          <t>AI</t>
        </is>
      </c>
    </row>
    <row r="1616">
      <c r="A1616" t="inlineStr">
        <is>
          <t>PT FKS Multi Agro Tbk</t>
        </is>
      </c>
      <c r="B1616" t="inlineStr">
        <is>
          <t>FISH_2024_AR.pdf</t>
        </is>
      </c>
      <c r="C1616" t="n">
        <v>2024</v>
      </c>
      <c r="D1616" t="inlineStr">
        <is>
          <t>Financial</t>
        </is>
      </c>
      <c r="E1616" t="inlineStr">
        <is>
          <t>Fixed Assets - Net</t>
        </is>
      </c>
      <c r="F1616" t="n">
        <v>103085969</v>
      </c>
      <c r="G1616" t="inlineStr">
        <is>
          <t>USD</t>
        </is>
      </c>
      <c r="H1616" t="n">
        <v>93</v>
      </c>
      <c r="I1616" t="inlineStr">
        <is>
          <t>Aset tetap - neto 103.085.969</t>
        </is>
      </c>
      <c r="J1616" t="inlineStr">
        <is>
          <t>High</t>
        </is>
      </c>
      <c r="M1616" t="inlineStr">
        <is>
          <t>LLM</t>
        </is>
      </c>
      <c r="N1616" t="inlineStr">
        <is>
          <t>2026-04-18</t>
        </is>
      </c>
      <c r="O1616" t="inlineStr">
        <is>
          <t>AI</t>
        </is>
      </c>
    </row>
    <row r="1617">
      <c r="A1617" t="inlineStr">
        <is>
          <t>PT FKS Multi Agro Tbk</t>
        </is>
      </c>
      <c r="B1617" t="inlineStr">
        <is>
          <t>FISH_2024_AR.pdf</t>
        </is>
      </c>
      <c r="C1617" t="n">
        <v>2024</v>
      </c>
      <c r="D1617" t="inlineStr">
        <is>
          <t>Financial</t>
        </is>
      </c>
      <c r="E1617" t="inlineStr">
        <is>
          <t>Short-term Bank Loans</t>
        </is>
      </c>
      <c r="F1617" t="n">
        <v>70539923</v>
      </c>
      <c r="G1617" t="inlineStr">
        <is>
          <t>USD</t>
        </is>
      </c>
      <c r="H1617" t="n">
        <v>94</v>
      </c>
      <c r="I1617" t="inlineStr">
        <is>
          <t>Utang bank jangka pendek 70.539.923 Short-term bank loans</t>
        </is>
      </c>
      <c r="J1617" t="inlineStr">
        <is>
          <t>High</t>
        </is>
      </c>
      <c r="M1617" t="inlineStr">
        <is>
          <t>LLM</t>
        </is>
      </c>
      <c r="N1617" t="inlineStr">
        <is>
          <t>2026-04-18</t>
        </is>
      </c>
      <c r="O1617" t="inlineStr">
        <is>
          <t>AI</t>
        </is>
      </c>
    </row>
    <row r="1618">
      <c r="A1618" t="inlineStr">
        <is>
          <t>PT FKS Multi Agro Tbk</t>
        </is>
      </c>
      <c r="B1618" t="inlineStr">
        <is>
          <t>FISH_2024_AR.pdf</t>
        </is>
      </c>
      <c r="C1618" t="n">
        <v>2024</v>
      </c>
      <c r="D1618" t="inlineStr">
        <is>
          <t>Financial</t>
        </is>
      </c>
      <c r="E1618" t="inlineStr">
        <is>
          <t>Current Portion of LT Bank Loans</t>
        </is>
      </c>
      <c r="F1618" t="n">
        <v>8880114</v>
      </c>
      <c r="G1618" t="inlineStr">
        <is>
          <t>USD</t>
        </is>
      </c>
      <c r="H1618" t="n">
        <v>94</v>
      </c>
      <c r="I1618" t="inlineStr">
        <is>
          <t>Utang bank jangka panjang yang jatuh tempo dalam waktu satu tahun 8.880.114</t>
        </is>
      </c>
      <c r="J1618" t="inlineStr">
        <is>
          <t>High</t>
        </is>
      </c>
      <c r="M1618" t="inlineStr">
        <is>
          <t>LLM</t>
        </is>
      </c>
      <c r="N1618" t="inlineStr">
        <is>
          <t>2026-04-18</t>
        </is>
      </c>
      <c r="O1618" t="inlineStr">
        <is>
          <t>AI</t>
        </is>
      </c>
    </row>
    <row r="1619">
      <c r="A1619" t="inlineStr">
        <is>
          <t>PT FKS Multi Agro Tbk</t>
        </is>
      </c>
      <c r="B1619" t="inlineStr">
        <is>
          <t>FISH_2024_AR.pdf</t>
        </is>
      </c>
      <c r="C1619" t="n">
        <v>2024</v>
      </c>
      <c r="D1619" t="inlineStr">
        <is>
          <t>Financial</t>
        </is>
      </c>
      <c r="E1619" t="inlineStr">
        <is>
          <t>Long-term Bank Loans (Non-current)</t>
        </is>
      </c>
      <c r="F1619" t="n">
        <v>46029990</v>
      </c>
      <c r="G1619" t="inlineStr">
        <is>
          <t>USD</t>
        </is>
      </c>
      <c r="H1619" t="n">
        <v>94</v>
      </c>
      <c r="I1619" t="inlineStr">
        <is>
          <t>Utang bank jangka panjang, setelah dikurangi bagian yang jatuh tempo dalam waktu satu tahun 46.029.990</t>
        </is>
      </c>
      <c r="J1619" t="inlineStr">
        <is>
          <t>High</t>
        </is>
      </c>
      <c r="M1619" t="inlineStr">
        <is>
          <t>LLM</t>
        </is>
      </c>
      <c r="N1619" t="inlineStr">
        <is>
          <t>2026-04-18</t>
        </is>
      </c>
      <c r="O1619" t="inlineStr">
        <is>
          <t>AI</t>
        </is>
      </c>
    </row>
    <row r="1620">
      <c r="A1620" t="inlineStr">
        <is>
          <t>PT FKS Multi Agro Tbk</t>
        </is>
      </c>
      <c r="B1620" t="inlineStr">
        <is>
          <t>FISH_2024_AR.pdf</t>
        </is>
      </c>
      <c r="C1620" t="n">
        <v>2024</v>
      </c>
      <c r="D1620" t="inlineStr">
        <is>
          <t>Financial</t>
        </is>
      </c>
      <c r="E1620" t="inlineStr">
        <is>
          <t>Gross Debt (ST + Current LT + LT)</t>
        </is>
      </c>
      <c r="F1620" t="n">
        <v>125450027</v>
      </c>
      <c r="G1620" t="inlineStr">
        <is>
          <t>USD</t>
        </is>
      </c>
      <c r="H1620" t="n">
        <v>94</v>
      </c>
      <c r="I1620" t="inlineStr">
        <is>
          <t>Sum: 70,539,923 + 8,880,114 + 46,029,990 = 125,450,027</t>
        </is>
      </c>
      <c r="J1620" t="inlineStr">
        <is>
          <t>High</t>
        </is>
      </c>
      <c r="M1620" t="inlineStr">
        <is>
          <t>LLM</t>
        </is>
      </c>
      <c r="N1620" t="inlineStr">
        <is>
          <t>2026-04-18</t>
        </is>
      </c>
      <c r="O1620" t="inlineStr">
        <is>
          <t>AI</t>
        </is>
      </c>
    </row>
    <row r="1621">
      <c r="A1621" t="inlineStr">
        <is>
          <t>PT FKS Multi Agro Tbk</t>
        </is>
      </c>
      <c r="B1621" t="inlineStr">
        <is>
          <t>FISH_2024_AR.pdf</t>
        </is>
      </c>
      <c r="C1621" t="n">
        <v>2024</v>
      </c>
      <c r="D1621" t="inlineStr">
        <is>
          <t>Financial</t>
        </is>
      </c>
      <c r="E1621" t="inlineStr">
        <is>
          <t>Cash from Operating Activities</t>
        </is>
      </c>
      <c r="F1621" t="n">
        <v>52355159</v>
      </c>
      <c r="G1621" t="inlineStr">
        <is>
          <t>USD</t>
        </is>
      </c>
      <c r="H1621" t="n">
        <v>96</v>
      </c>
      <c r="I1621" t="inlineStr">
        <is>
          <t>Kas neto yang diperoleh dari aktivitas operasi 52.355.159</t>
        </is>
      </c>
      <c r="J1621" t="inlineStr">
        <is>
          <t>High</t>
        </is>
      </c>
      <c r="M1621" t="inlineStr">
        <is>
          <t>LLM</t>
        </is>
      </c>
      <c r="N1621" t="inlineStr">
        <is>
          <t>2026-04-18</t>
        </is>
      </c>
      <c r="O1621" t="inlineStr">
        <is>
          <t>AI</t>
        </is>
      </c>
    </row>
    <row r="1622">
      <c r="A1622" t="inlineStr">
        <is>
          <t>PT FKS Multi Agro Tbk</t>
        </is>
      </c>
      <c r="B1622" t="inlineStr">
        <is>
          <t>FISH_2024_AR.pdf</t>
        </is>
      </c>
      <c r="C1622" t="n">
        <v>2024</v>
      </c>
      <c r="D1622" t="inlineStr">
        <is>
          <t>Financial</t>
        </is>
      </c>
      <c r="E1622" t="inlineStr">
        <is>
          <t>Net Cash from Investing</t>
        </is>
      </c>
      <c r="F1622" t="n">
        <v>-10951618</v>
      </c>
      <c r="G1622" t="inlineStr">
        <is>
          <t>USD</t>
        </is>
      </c>
      <c r="H1622" t="n">
        <v>96</v>
      </c>
      <c r="I1622" t="inlineStr">
        <is>
          <t>Kas neto yang digunakan untuk aktivitas investasi (10.951.618)</t>
        </is>
      </c>
      <c r="J1622" t="inlineStr">
        <is>
          <t>High</t>
        </is>
      </c>
      <c r="M1622" t="inlineStr">
        <is>
          <t>LLM</t>
        </is>
      </c>
      <c r="N1622" t="inlineStr">
        <is>
          <t>2026-04-18</t>
        </is>
      </c>
      <c r="O1622" t="inlineStr">
        <is>
          <t>AI</t>
        </is>
      </c>
    </row>
    <row r="1623">
      <c r="A1623" t="inlineStr">
        <is>
          <t>PT FKS Multi Agro Tbk</t>
        </is>
      </c>
      <c r="B1623" t="inlineStr">
        <is>
          <t>FISH_2024_AR.pdf</t>
        </is>
      </c>
      <c r="C1623" t="n">
        <v>2024</v>
      </c>
      <c r="D1623" t="inlineStr">
        <is>
          <t>Financial</t>
        </is>
      </c>
      <c r="E1623" t="inlineStr">
        <is>
          <t>Net Cash from Financing</t>
        </is>
      </c>
      <c r="F1623" t="n">
        <v>-28215113</v>
      </c>
      <c r="G1623" t="inlineStr">
        <is>
          <t>USD</t>
        </is>
      </c>
      <c r="H1623" t="n">
        <v>96</v>
      </c>
      <c r="I1623" t="inlineStr">
        <is>
          <t>Kas neto yang digunakan untuk aktivitas pendanaan (28.215.113)</t>
        </is>
      </c>
      <c r="J1623" t="inlineStr">
        <is>
          <t>High</t>
        </is>
      </c>
      <c r="M1623" t="inlineStr">
        <is>
          <t>LLM</t>
        </is>
      </c>
      <c r="N1623" t="inlineStr">
        <is>
          <t>2026-04-18</t>
        </is>
      </c>
      <c r="O1623" t="inlineStr">
        <is>
          <t>AI</t>
        </is>
      </c>
    </row>
    <row r="1624">
      <c r="A1624" t="inlineStr">
        <is>
          <t>PT FKS Multi Agro Tbk</t>
        </is>
      </c>
      <c r="B1624" t="inlineStr">
        <is>
          <t>FISH_2024_AR.pdf</t>
        </is>
      </c>
      <c r="C1624" t="n">
        <v>2024</v>
      </c>
      <c r="D1624" t="inlineStr">
        <is>
          <t>Financial</t>
        </is>
      </c>
      <c r="E1624" t="inlineStr">
        <is>
          <t>Capex - Acquisition of Fixed Assets</t>
        </is>
      </c>
      <c r="F1624" t="n">
        <v>10776036</v>
      </c>
      <c r="G1624" t="inlineStr">
        <is>
          <t>USD</t>
        </is>
      </c>
      <c r="H1624" t="n">
        <v>96</v>
      </c>
      <c r="I1624" t="inlineStr">
        <is>
          <t>Penambahan aset tetap (10.776.036) Acquisitions of fixed assets</t>
        </is>
      </c>
      <c r="J1624" t="inlineStr">
        <is>
          <t>High</t>
        </is>
      </c>
      <c r="M1624" t="inlineStr">
        <is>
          <t>LLM</t>
        </is>
      </c>
      <c r="N1624" t="inlineStr">
        <is>
          <t>2026-04-18</t>
        </is>
      </c>
      <c r="O1624" t="inlineStr">
        <is>
          <t>AI</t>
        </is>
      </c>
    </row>
    <row r="1625">
      <c r="A1625" t="inlineStr">
        <is>
          <t>PT FKS Multi Agro Tbk</t>
        </is>
      </c>
      <c r="B1625" t="inlineStr">
        <is>
          <t>FISH_2024_AR.pdf</t>
        </is>
      </c>
      <c r="C1625" t="n">
        <v>2024</v>
      </c>
      <c r="D1625" t="inlineStr">
        <is>
          <t>Financial</t>
        </is>
      </c>
      <c r="E1625" t="inlineStr">
        <is>
          <t>Interest Paid</t>
        </is>
      </c>
      <c r="F1625" t="n">
        <v>10408167</v>
      </c>
      <c r="G1625" t="inlineStr">
        <is>
          <t>USD</t>
        </is>
      </c>
      <c r="H1625" t="n">
        <v>96</v>
      </c>
      <c r="I1625" t="inlineStr">
        <is>
          <t>Pembayaran bunga (10.408.167) Payments of interest</t>
        </is>
      </c>
      <c r="J1625" t="inlineStr">
        <is>
          <t>High</t>
        </is>
      </c>
      <c r="M1625" t="inlineStr">
        <is>
          <t>LLM</t>
        </is>
      </c>
      <c r="N1625" t="inlineStr">
        <is>
          <t>2026-04-18</t>
        </is>
      </c>
      <c r="O1625" t="inlineStr">
        <is>
          <t>AI</t>
        </is>
      </c>
    </row>
    <row r="1626">
      <c r="A1626" t="inlineStr">
        <is>
          <t>PT FKS Multi Agro Tbk</t>
        </is>
      </c>
      <c r="B1626" t="inlineStr">
        <is>
          <t>FISH_2024_AR.pdf</t>
        </is>
      </c>
      <c r="C1626" t="n">
        <v>2024</v>
      </c>
      <c r="D1626" t="inlineStr">
        <is>
          <t>Financial</t>
        </is>
      </c>
      <c r="E1626" t="inlineStr">
        <is>
          <t>Dividends Paid by Company</t>
        </is>
      </c>
      <c r="F1626" t="n">
        <v>9985927</v>
      </c>
      <c r="G1626" t="inlineStr">
        <is>
          <t>USD</t>
        </is>
      </c>
      <c r="H1626" t="n">
        <v>96</v>
      </c>
      <c r="I1626" t="inlineStr">
        <is>
          <t>Pembayaran dividen kas oleh Perusahaan (9.985.927)</t>
        </is>
      </c>
      <c r="J1626" t="inlineStr">
        <is>
          <t>High</t>
        </is>
      </c>
      <c r="M1626" t="inlineStr">
        <is>
          <t>LLM</t>
        </is>
      </c>
      <c r="N1626" t="inlineStr">
        <is>
          <t>2026-04-18</t>
        </is>
      </c>
      <c r="O1626" t="inlineStr">
        <is>
          <t>AI</t>
        </is>
      </c>
    </row>
    <row r="1627">
      <c r="A1627" t="inlineStr">
        <is>
          <t>PT FKS Multi Agro Tbk</t>
        </is>
      </c>
      <c r="B1627" t="inlineStr">
        <is>
          <t>FISH_2024_AR.pdf</t>
        </is>
      </c>
      <c r="C1627" t="n">
        <v>2024</v>
      </c>
      <c r="D1627" t="inlineStr">
        <is>
          <t>Financial</t>
        </is>
      </c>
      <c r="E1627" t="inlineStr">
        <is>
          <t>Closing Share Price (Dec 2024)</t>
        </is>
      </c>
      <c r="F1627" t="n">
        <v>10650</v>
      </c>
      <c r="G1627" t="inlineStr">
        <is>
          <t>Rp/share</t>
        </is>
      </c>
      <c r="H1627" t="n">
        <v>9</v>
      </c>
      <c r="I1627" t="inlineStr">
        <is>
          <t>Desember/December 10.700 10.650 10.650; Harga Saham Akhir 11.800 5.550 10.650</t>
        </is>
      </c>
      <c r="J1627" t="inlineStr">
        <is>
          <t>High</t>
        </is>
      </c>
      <c r="M1627" t="inlineStr">
        <is>
          <t>LLM</t>
        </is>
      </c>
      <c r="N1627" t="inlineStr">
        <is>
          <t>2026-04-18</t>
        </is>
      </c>
      <c r="O1627" t="inlineStr">
        <is>
          <t>AI</t>
        </is>
      </c>
    </row>
    <row r="1628">
      <c r="A1628" t="inlineStr">
        <is>
          <t>PT FKS Multi Agro Tbk</t>
        </is>
      </c>
      <c r="B1628" t="inlineStr">
        <is>
          <t>FISH_2024_AR.pdf</t>
        </is>
      </c>
      <c r="C1628" t="n">
        <v>2024</v>
      </c>
      <c r="D1628" t="inlineStr">
        <is>
          <t>Financial</t>
        </is>
      </c>
      <c r="E1628" t="inlineStr">
        <is>
          <t>Market Capitalization (Dec 2024)</t>
        </is>
      </c>
      <c r="F1628" t="n">
        <v>5112000000000</v>
      </c>
      <c r="G1628" t="inlineStr">
        <is>
          <t>Rp</t>
        </is>
      </c>
      <c r="H1628" t="n">
        <v>9</v>
      </c>
      <c r="I1628" t="inlineStr">
        <is>
          <t>Desember/December 5.112.000.000.000</t>
        </is>
      </c>
      <c r="J1628" t="inlineStr">
        <is>
          <t>High</t>
        </is>
      </c>
      <c r="M1628" t="inlineStr">
        <is>
          <t>LLM</t>
        </is>
      </c>
      <c r="N1628" t="inlineStr">
        <is>
          <t>2026-04-18</t>
        </is>
      </c>
      <c r="O1628" t="inlineStr">
        <is>
          <t>AI</t>
        </is>
      </c>
    </row>
    <row r="1629">
      <c r="A1629" t="inlineStr">
        <is>
          <t>PT FKS Multi Agro Tbk</t>
        </is>
      </c>
      <c r="B1629" t="inlineStr">
        <is>
          <t>FISH_2024_AR.pdf</t>
        </is>
      </c>
      <c r="C1629" t="n">
        <v>2024</v>
      </c>
      <c r="D1629" t="inlineStr">
        <is>
          <t>Financial</t>
        </is>
      </c>
      <c r="E1629" t="inlineStr">
        <is>
          <t>Shares Outstanding</t>
        </is>
      </c>
      <c r="F1629" t="n">
        <v>480000000</v>
      </c>
      <c r="G1629" t="inlineStr">
        <is>
          <t>shares</t>
        </is>
      </c>
      <c r="H1629" t="n">
        <v>7</v>
      </c>
      <c r="I1629" t="inlineStr">
        <is>
          <t>Jumlah Rata-rata Tertimbang Saham Biasa yang Beredar 480.000.000</t>
        </is>
      </c>
      <c r="J1629" t="inlineStr">
        <is>
          <t>High</t>
        </is>
      </c>
      <c r="M1629" t="inlineStr">
        <is>
          <t>LLM</t>
        </is>
      </c>
      <c r="N1629" t="inlineStr">
        <is>
          <t>2026-04-18</t>
        </is>
      </c>
      <c r="O1629" t="inlineStr">
        <is>
          <t>AI</t>
        </is>
      </c>
    </row>
    <row r="1630">
      <c r="A1630" t="inlineStr">
        <is>
          <t>PT FKS Multi Agro Tbk</t>
        </is>
      </c>
      <c r="B1630" t="inlineStr">
        <is>
          <t>FISH_2024_AR.pdf</t>
        </is>
      </c>
      <c r="C1630" t="n">
        <v>2024</v>
      </c>
      <c r="D1630" t="inlineStr">
        <is>
          <t>Financial</t>
        </is>
      </c>
      <c r="E1630" t="inlineStr">
        <is>
          <t>ROA</t>
        </is>
      </c>
      <c r="F1630" t="n">
        <v>0.018</v>
      </c>
      <c r="G1630" t="inlineStr">
        <is>
          <t>pct</t>
        </is>
      </c>
      <c r="H1630" t="n">
        <v>8</v>
      </c>
      <c r="I1630" t="inlineStr">
        <is>
          <t>Laba Bersih Terhadap Aset 1,8% Return on Asset (ROA) 2024</t>
        </is>
      </c>
      <c r="J1630" t="inlineStr">
        <is>
          <t>High</t>
        </is>
      </c>
      <c r="M1630" t="inlineStr">
        <is>
          <t>LLM</t>
        </is>
      </c>
      <c r="N1630" t="inlineStr">
        <is>
          <t>2026-04-18</t>
        </is>
      </c>
      <c r="O1630" t="inlineStr">
        <is>
          <t>AI</t>
        </is>
      </c>
    </row>
    <row r="1631">
      <c r="A1631" t="inlineStr">
        <is>
          <t>PT FKS Multi Agro Tbk</t>
        </is>
      </c>
      <c r="B1631" t="inlineStr">
        <is>
          <t>FISH_2024_AR.pdf</t>
        </is>
      </c>
      <c r="C1631" t="n">
        <v>2024</v>
      </c>
      <c r="D1631" t="inlineStr">
        <is>
          <t>Financial</t>
        </is>
      </c>
      <c r="E1631" t="inlineStr">
        <is>
          <t>ROE</t>
        </is>
      </c>
      <c r="F1631" t="n">
        <v>0.055</v>
      </c>
      <c r="G1631" t="inlineStr">
        <is>
          <t>pct</t>
        </is>
      </c>
      <c r="H1631" t="n">
        <v>8</v>
      </c>
      <c r="I1631" t="inlineStr">
        <is>
          <t>Laba Bersih Terhadap Ekuitas 5,5% ROE</t>
        </is>
      </c>
      <c r="J1631" t="inlineStr">
        <is>
          <t>High</t>
        </is>
      </c>
      <c r="M1631" t="inlineStr">
        <is>
          <t>LLM</t>
        </is>
      </c>
      <c r="N1631" t="inlineStr">
        <is>
          <t>2026-04-18</t>
        </is>
      </c>
      <c r="O1631" t="inlineStr">
        <is>
          <t>AI</t>
        </is>
      </c>
    </row>
    <row r="1632">
      <c r="A1632" t="inlineStr">
        <is>
          <t>PT FKS Multi Agro Tbk</t>
        </is>
      </c>
      <c r="B1632" t="inlineStr">
        <is>
          <t>FISH_2024_AR.pdf</t>
        </is>
      </c>
      <c r="C1632" t="n">
        <v>2024</v>
      </c>
      <c r="D1632" t="inlineStr">
        <is>
          <t>Financial</t>
        </is>
      </c>
      <c r="E1632" t="inlineStr">
        <is>
          <t>Current Ratio</t>
        </is>
      </c>
      <c r="F1632" t="n">
        <v>1.3</v>
      </c>
      <c r="G1632" t="inlineStr">
        <is>
          <t>x</t>
        </is>
      </c>
      <c r="H1632" t="n">
        <v>8</v>
      </c>
      <c r="I1632" t="inlineStr">
        <is>
          <t>Aset Lancar Terhadap Liabilitas Jangka Pendek 1,3</t>
        </is>
      </c>
      <c r="J1632" t="inlineStr">
        <is>
          <t>High</t>
        </is>
      </c>
      <c r="M1632" t="inlineStr">
        <is>
          <t>LLM</t>
        </is>
      </c>
      <c r="N1632" t="inlineStr">
        <is>
          <t>2026-04-18</t>
        </is>
      </c>
      <c r="O1632" t="inlineStr">
        <is>
          <t>AI</t>
        </is>
      </c>
    </row>
    <row r="1633">
      <c r="A1633" t="inlineStr">
        <is>
          <t>PT FKS Multi Agro Tbk</t>
        </is>
      </c>
      <c r="B1633" t="inlineStr">
        <is>
          <t>FISH_2024_AR.pdf</t>
        </is>
      </c>
      <c r="C1633" t="n">
        <v>2024</v>
      </c>
      <c r="D1633" t="inlineStr">
        <is>
          <t>Financial</t>
        </is>
      </c>
      <c r="E1633" t="inlineStr">
        <is>
          <t>Debt-to-Equity Ratio</t>
        </is>
      </c>
      <c r="F1633" t="n">
        <v>2</v>
      </c>
      <c r="G1633" t="inlineStr">
        <is>
          <t>x</t>
        </is>
      </c>
      <c r="H1633" t="n">
        <v>8</v>
      </c>
      <c r="I1633" t="inlineStr">
        <is>
          <t>Rasio Liabilitas Terhadap Ekuitas 2,0</t>
        </is>
      </c>
      <c r="J1633" t="inlineStr">
        <is>
          <t>High</t>
        </is>
      </c>
      <c r="M1633" t="inlineStr">
        <is>
          <t>LLM</t>
        </is>
      </c>
      <c r="N1633" t="inlineStr">
        <is>
          <t>2026-04-18</t>
        </is>
      </c>
      <c r="O1633" t="inlineStr">
        <is>
          <t>AI</t>
        </is>
      </c>
    </row>
    <row r="1634">
      <c r="A1634" t="inlineStr">
        <is>
          <t>PT FKS Multi Agro Tbk</t>
        </is>
      </c>
      <c r="B1634" t="inlineStr">
        <is>
          <t>FISH_2024_AR.pdf</t>
        </is>
      </c>
      <c r="C1634" t="n">
        <v>2024</v>
      </c>
      <c r="D1634" t="inlineStr">
        <is>
          <t>Financial</t>
        </is>
      </c>
      <c r="E1634" t="inlineStr">
        <is>
          <t>Revenue Growth</t>
        </is>
      </c>
      <c r="F1634" t="n">
        <v>-0.077</v>
      </c>
      <c r="G1634" t="inlineStr">
        <is>
          <t>pct</t>
        </is>
      </c>
      <c r="H1634" t="n">
        <v>8</v>
      </c>
      <c r="I1634" t="inlineStr">
        <is>
          <t>Pertumbuhan Penjualan Bersih -7,7%</t>
        </is>
      </c>
      <c r="J1634" t="inlineStr">
        <is>
          <t>High</t>
        </is>
      </c>
      <c r="M1634" t="inlineStr">
        <is>
          <t>LLM</t>
        </is>
      </c>
      <c r="N1634" t="inlineStr">
        <is>
          <t>2026-04-18</t>
        </is>
      </c>
      <c r="O1634" t="inlineStr">
        <is>
          <t>AI</t>
        </is>
      </c>
    </row>
    <row r="1635">
      <c r="A1635" t="inlineStr">
        <is>
          <t>PT FKS Multi Agro Tbk</t>
        </is>
      </c>
      <c r="B1635" t="inlineStr">
        <is>
          <t>FISH_2024_AR.pdf</t>
        </is>
      </c>
      <c r="C1635" t="n">
        <v>2024</v>
      </c>
      <c r="D1635" t="inlineStr">
        <is>
          <t>Financial</t>
        </is>
      </c>
      <c r="E1635" t="inlineStr">
        <is>
          <t>Net Profit Growth</t>
        </is>
      </c>
      <c r="F1635" t="n">
        <v>-0.612</v>
      </c>
      <c r="G1635" t="inlineStr">
        <is>
          <t>pct</t>
        </is>
      </c>
      <c r="H1635" t="n">
        <v>8</v>
      </c>
      <c r="I1635" t="inlineStr">
        <is>
          <t>Pertumbuhan Laba Bersih -61,2%</t>
        </is>
      </c>
      <c r="J1635" t="inlineStr">
        <is>
          <t>High</t>
        </is>
      </c>
      <c r="M1635" t="inlineStr">
        <is>
          <t>LLM</t>
        </is>
      </c>
      <c r="N1635" t="inlineStr">
        <is>
          <t>2026-04-18</t>
        </is>
      </c>
      <c r="O1635" t="inlineStr">
        <is>
          <t>AI</t>
        </is>
      </c>
    </row>
    <row r="1636">
      <c r="A1636" t="inlineStr">
        <is>
          <t>PT FKS Multi Agro Tbk</t>
        </is>
      </c>
      <c r="B1636" t="inlineStr">
        <is>
          <t>FISH_2024_AR.pdf</t>
        </is>
      </c>
      <c r="C1636" t="n">
        <v>2024</v>
      </c>
      <c r="D1636" t="inlineStr">
        <is>
          <t>Financial</t>
        </is>
      </c>
      <c r="E1636" t="inlineStr">
        <is>
          <t>USD/IDR Rate (end-2024)</t>
        </is>
      </c>
      <c r="F1636" t="n">
        <v>16162</v>
      </c>
      <c r="G1636" t="inlineStr">
        <is>
          <t>Rp/USD</t>
        </is>
      </c>
      <c r="H1636" t="n">
        <v>130</v>
      </c>
      <c r="I1636" t="inlineStr">
        <is>
          <t>Rp16.162 (31 Desember 2023: Rp15.416)</t>
        </is>
      </c>
      <c r="J1636" t="inlineStr">
        <is>
          <t>High</t>
        </is>
      </c>
      <c r="M1636" t="inlineStr">
        <is>
          <t>LLM</t>
        </is>
      </c>
      <c r="N1636" t="inlineStr">
        <is>
          <t>2026-04-18</t>
        </is>
      </c>
      <c r="O1636" t="inlineStr">
        <is>
          <t>AI</t>
        </is>
      </c>
    </row>
    <row r="1637">
      <c r="A1637" t="inlineStr">
        <is>
          <t>PT FKS Multi Agro Tbk</t>
        </is>
      </c>
      <c r="B1637" t="inlineStr">
        <is>
          <t>FISH_2024_AR.pdf</t>
        </is>
      </c>
      <c r="C1637" t="n">
        <v>2024</v>
      </c>
      <c r="D1637" t="inlineStr">
        <is>
          <t>Operation</t>
        </is>
      </c>
      <c r="E1637" t="inlineStr">
        <is>
          <t>SGT Cilegon New Conveyor Lines</t>
        </is>
      </c>
      <c r="F1637" t="n">
        <v>2</v>
      </c>
      <c r="G1637" t="inlineStr">
        <is>
          <t>count</t>
        </is>
      </c>
      <c r="H1637" t="n">
        <v>10</v>
      </c>
      <c r="I1637" t="inlineStr">
        <is>
          <t>Pengoperasian Dua Conveyor Line Baru di SGT Cilegon; kapasitas masing-masing sebesar 1.000 ton per jam</t>
        </is>
      </c>
      <c r="J1637" t="inlineStr">
        <is>
          <t>High</t>
        </is>
      </c>
      <c r="M1637" t="inlineStr">
        <is>
          <t>LLM</t>
        </is>
      </c>
      <c r="N1637" t="inlineStr">
        <is>
          <t>2026-04-18</t>
        </is>
      </c>
      <c r="O1637" t="inlineStr">
        <is>
          <t>AI</t>
        </is>
      </c>
    </row>
    <row r="1638">
      <c r="A1638" t="inlineStr">
        <is>
          <t>PT FKS Multi Agro Tbk</t>
        </is>
      </c>
      <c r="B1638" t="inlineStr">
        <is>
          <t>FISH_2024_AR.pdf</t>
        </is>
      </c>
      <c r="C1638" t="n">
        <v>2024</v>
      </c>
      <c r="D1638" t="inlineStr">
        <is>
          <t>Operation</t>
        </is>
      </c>
      <c r="E1638" t="inlineStr">
        <is>
          <t>SGT Cilegon Conveyor Capacity (each)</t>
        </is>
      </c>
      <c r="F1638" t="n">
        <v>1000</v>
      </c>
      <c r="G1638" t="inlineStr">
        <is>
          <t>tph</t>
        </is>
      </c>
      <c r="H1638" t="n">
        <v>10</v>
      </c>
      <c r="I1638" t="inlineStr">
        <is>
          <t>Dua fasilitas baru ini memiliki kapasitas masing-masing sebesar 1.000 ton per jam</t>
        </is>
      </c>
      <c r="J1638" t="inlineStr">
        <is>
          <t>High</t>
        </is>
      </c>
      <c r="M1638" t="inlineStr">
        <is>
          <t>LLM</t>
        </is>
      </c>
      <c r="N1638" t="inlineStr">
        <is>
          <t>2026-04-18</t>
        </is>
      </c>
      <c r="O1638" t="inlineStr">
        <is>
          <t>AI</t>
        </is>
      </c>
    </row>
    <row r="1639">
      <c r="A1639" t="inlineStr">
        <is>
          <t>PT FKS Multi Agro Tbk</t>
        </is>
      </c>
      <c r="B1639" t="inlineStr">
        <is>
          <t>FISH_2024_AR.pdf</t>
        </is>
      </c>
      <c r="C1639" t="n">
        <v>2024</v>
      </c>
      <c r="D1639" t="inlineStr">
        <is>
          <t>Other</t>
        </is>
      </c>
      <c r="E1639" t="inlineStr">
        <is>
          <t>Primary Business</t>
        </is>
      </c>
      <c r="F1639" t="inlineStr">
        <is>
          <t>Agri commodity distribution/trading (feed ingredients, food ingredients, warehousing/logistics)</t>
        </is>
      </c>
      <c r="G1639" t="inlineStr">
        <is>
          <t>text</t>
        </is>
      </c>
      <c r="H1639" t="n">
        <v>40</v>
      </c>
      <c r="I1639" t="inlineStr">
        <is>
          <t>Kegiatan utama Perseroan meliputi pelayanan jasa kepelabuhanan, pergudangan, penjualan dan distribusi serta jasa transportasi untuk produk bahan baku pakan dan pangan</t>
        </is>
      </c>
      <c r="J1639" t="inlineStr">
        <is>
          <t>High</t>
        </is>
      </c>
      <c r="M1639" t="inlineStr">
        <is>
          <t>LLM</t>
        </is>
      </c>
      <c r="N1639" t="inlineStr">
        <is>
          <t>2026-04-18</t>
        </is>
      </c>
      <c r="O1639" t="inlineStr">
        <is>
          <t>AI</t>
        </is>
      </c>
    </row>
    <row r="1640">
      <c r="A1640" t="inlineStr">
        <is>
          <t>PT Golden Plantation Tbk</t>
        </is>
      </c>
      <c r="B1640" t="inlineStr">
        <is>
          <t>GOLL_2020_AR.pdf</t>
        </is>
      </c>
      <c r="C1640" t="n">
        <v>2020</v>
      </c>
      <c r="D1640" t="inlineStr">
        <is>
          <t>Company</t>
        </is>
      </c>
      <c r="E1640" t="inlineStr">
        <is>
          <t>Company Name</t>
        </is>
      </c>
      <c r="F1640" t="inlineStr">
        <is>
          <t>PT Golden Plantation Tbk</t>
        </is>
      </c>
      <c r="G1640" t="inlineStr">
        <is>
          <t>text</t>
        </is>
      </c>
      <c r="H1640" t="n">
        <v>2</v>
      </c>
      <c r="I1640" t="inlineStr">
        <is>
          <t>Nama entitas PT Golden Plantation Tbk</t>
        </is>
      </c>
      <c r="J1640" t="inlineStr">
        <is>
          <t>High</t>
        </is>
      </c>
      <c r="M1640" t="inlineStr">
        <is>
          <t>LLM</t>
        </is>
      </c>
      <c r="N1640" t="inlineStr">
        <is>
          <t>2026-04-18</t>
        </is>
      </c>
      <c r="O1640" t="inlineStr">
        <is>
          <t>AI</t>
        </is>
      </c>
    </row>
    <row r="1641">
      <c r="A1641" t="inlineStr">
        <is>
          <t>PT Golden Plantation Tbk</t>
        </is>
      </c>
      <c r="B1641" t="inlineStr">
        <is>
          <t>GOLL_2020_AR.pdf</t>
        </is>
      </c>
      <c r="C1641" t="n">
        <v>2020</v>
      </c>
      <c r="D1641" t="inlineStr">
        <is>
          <t>Company</t>
        </is>
      </c>
      <c r="E1641" t="inlineStr">
        <is>
          <t>Ticker</t>
        </is>
      </c>
      <c r="F1641" t="inlineStr">
        <is>
          <t>GOLL</t>
        </is>
      </c>
      <c r="G1641" t="inlineStr">
        <is>
          <t>text</t>
        </is>
      </c>
      <c r="H1641" t="n">
        <v>2</v>
      </c>
      <c r="I1641" t="inlineStr">
        <is>
          <t>Kode entitas GOLL</t>
        </is>
      </c>
      <c r="J1641" t="inlineStr">
        <is>
          <t>High</t>
        </is>
      </c>
      <c r="M1641" t="inlineStr">
        <is>
          <t>LLM</t>
        </is>
      </c>
      <c r="N1641" t="inlineStr">
        <is>
          <t>2026-04-18</t>
        </is>
      </c>
      <c r="O1641" t="inlineStr">
        <is>
          <t>AI</t>
        </is>
      </c>
    </row>
    <row r="1642">
      <c r="A1642" t="inlineStr">
        <is>
          <t>PT Golden Plantation Tbk</t>
        </is>
      </c>
      <c r="B1642" t="inlineStr">
        <is>
          <t>GOLL_2020_AR.pdf</t>
        </is>
      </c>
      <c r="C1642" t="n">
        <v>2020</v>
      </c>
      <c r="D1642" t="inlineStr">
        <is>
          <t>Company</t>
        </is>
      </c>
      <c r="E1642" t="inlineStr">
        <is>
          <t>Sector</t>
        </is>
      </c>
      <c r="F1642" t="inlineStr">
        <is>
          <t>1. Agriculture</t>
        </is>
      </c>
      <c r="G1642" t="inlineStr">
        <is>
          <t>text</t>
        </is>
      </c>
      <c r="H1642" t="n">
        <v>2</v>
      </c>
      <c r="I1642" t="inlineStr">
        <is>
          <t>Sektor 1. Agriculture</t>
        </is>
      </c>
      <c r="J1642" t="inlineStr">
        <is>
          <t>High</t>
        </is>
      </c>
      <c r="M1642" t="inlineStr">
        <is>
          <t>LLM</t>
        </is>
      </c>
      <c r="N1642" t="inlineStr">
        <is>
          <t>2026-04-18</t>
        </is>
      </c>
      <c r="O1642" t="inlineStr">
        <is>
          <t>AI</t>
        </is>
      </c>
    </row>
    <row r="1643">
      <c r="A1643" t="inlineStr">
        <is>
          <t>PT Golden Plantation Tbk</t>
        </is>
      </c>
      <c r="B1643" t="inlineStr">
        <is>
          <t>GOLL_2020_AR.pdf</t>
        </is>
      </c>
      <c r="C1643" t="n">
        <v>2020</v>
      </c>
      <c r="D1643" t="inlineStr">
        <is>
          <t>Company</t>
        </is>
      </c>
      <c r="E1643" t="inlineStr">
        <is>
          <t>Subsector</t>
        </is>
      </c>
      <c r="F1643" t="inlineStr">
        <is>
          <t>12. Plantation</t>
        </is>
      </c>
      <c r="G1643" t="inlineStr">
        <is>
          <t>text</t>
        </is>
      </c>
      <c r="H1643" t="n">
        <v>2</v>
      </c>
      <c r="I1643" t="inlineStr">
        <is>
          <t>Subsektor 12. Plantation</t>
        </is>
      </c>
      <c r="J1643" t="inlineStr">
        <is>
          <t>High</t>
        </is>
      </c>
      <c r="M1643" t="inlineStr">
        <is>
          <t>LLM</t>
        </is>
      </c>
      <c r="N1643" t="inlineStr">
        <is>
          <t>2026-04-18</t>
        </is>
      </c>
      <c r="O1643" t="inlineStr">
        <is>
          <t>AI</t>
        </is>
      </c>
    </row>
    <row r="1644">
      <c r="A1644" t="inlineStr">
        <is>
          <t>PT Golden Plantation Tbk</t>
        </is>
      </c>
      <c r="B1644" t="inlineStr">
        <is>
          <t>GOLL_2020_AR.pdf</t>
        </is>
      </c>
      <c r="C1644" t="n">
        <v>2020</v>
      </c>
      <c r="D1644" t="inlineStr">
        <is>
          <t>Company</t>
        </is>
      </c>
      <c r="E1644" t="inlineStr">
        <is>
          <t>Reporting Currency</t>
        </is>
      </c>
      <c r="F1644" t="inlineStr">
        <is>
          <t>IDR</t>
        </is>
      </c>
      <c r="G1644" t="inlineStr">
        <is>
          <t>text</t>
        </is>
      </c>
      <c r="H1644" t="n">
        <v>2</v>
      </c>
      <c r="I1644" t="inlineStr">
        <is>
          <t>Mata uang pelaporan Rupiah / IDR</t>
        </is>
      </c>
      <c r="J1644" t="inlineStr">
        <is>
          <t>High</t>
        </is>
      </c>
      <c r="M1644" t="inlineStr">
        <is>
          <t>LLM</t>
        </is>
      </c>
      <c r="N1644" t="inlineStr">
        <is>
          <t>2026-04-18</t>
        </is>
      </c>
      <c r="O1644" t="inlineStr">
        <is>
          <t>AI</t>
        </is>
      </c>
    </row>
    <row r="1645">
      <c r="A1645" t="inlineStr">
        <is>
          <t>PT Golden Plantation Tbk</t>
        </is>
      </c>
      <c r="B1645" t="inlineStr">
        <is>
          <t>GOLL_2020_AR.pdf</t>
        </is>
      </c>
      <c r="C1645" t="n">
        <v>2020</v>
      </c>
      <c r="D1645" t="inlineStr">
        <is>
          <t>Company</t>
        </is>
      </c>
      <c r="E1645" t="inlineStr">
        <is>
          <t>Rounding Level</t>
        </is>
      </c>
      <c r="F1645" t="inlineStr">
        <is>
          <t>Full Amount</t>
        </is>
      </c>
      <c r="G1645" t="inlineStr">
        <is>
          <t>text</t>
        </is>
      </c>
      <c r="H1645" t="n">
        <v>2</v>
      </c>
      <c r="I1645" t="inlineStr">
        <is>
          <t>Pembulatan yang digunakan ... Satuan Penuh / Full Amount</t>
        </is>
      </c>
      <c r="J1645" t="inlineStr">
        <is>
          <t>High</t>
        </is>
      </c>
      <c r="M1645" t="inlineStr">
        <is>
          <t>LLM</t>
        </is>
      </c>
      <c r="N1645" t="inlineStr">
        <is>
          <t>2026-04-18</t>
        </is>
      </c>
      <c r="O1645" t="inlineStr">
        <is>
          <t>AI</t>
        </is>
      </c>
    </row>
    <row r="1646">
      <c r="A1646" t="inlineStr">
        <is>
          <t>PT Golden Plantation Tbk</t>
        </is>
      </c>
      <c r="B1646" t="inlineStr">
        <is>
          <t>GOLL_2020_AR.pdf</t>
        </is>
      </c>
      <c r="C1646" t="n">
        <v>2020</v>
      </c>
      <c r="D1646" t="inlineStr">
        <is>
          <t>Company</t>
        </is>
      </c>
      <c r="E1646" t="inlineStr">
        <is>
          <t>Audit Opinion</t>
        </is>
      </c>
      <c r="F1646" t="inlineStr">
        <is>
          <t>Qualified (Wajar Dengan Pengecualian)</t>
        </is>
      </c>
      <c r="G1646" t="inlineStr">
        <is>
          <t>text</t>
        </is>
      </c>
      <c r="H1646" t="n">
        <v>2</v>
      </c>
      <c r="I1646" t="inlineStr">
        <is>
          <t>Jenis opini auditor Wajar Dengan Pengecualian / Qualified</t>
        </is>
      </c>
      <c r="J1646" t="inlineStr">
        <is>
          <t>High</t>
        </is>
      </c>
      <c r="M1646" t="inlineStr">
        <is>
          <t>LLM</t>
        </is>
      </c>
      <c r="N1646" t="inlineStr">
        <is>
          <t>2026-04-18</t>
        </is>
      </c>
      <c r="O1646" t="inlineStr">
        <is>
          <t>AI</t>
        </is>
      </c>
    </row>
    <row r="1647">
      <c r="A1647" t="inlineStr">
        <is>
          <t>PT Golden Plantation Tbk</t>
        </is>
      </c>
      <c r="B1647" t="inlineStr">
        <is>
          <t>GOLL_2020_AR.pdf</t>
        </is>
      </c>
      <c r="C1647" t="n">
        <v>2020</v>
      </c>
      <c r="D1647" t="inlineStr">
        <is>
          <t>Company</t>
        </is>
      </c>
      <c r="E1647" t="inlineStr">
        <is>
          <t>Current Auditor</t>
        </is>
      </c>
      <c r="F1647" t="inlineStr">
        <is>
          <t>Suhartati, Dra., &amp; Rekan</t>
        </is>
      </c>
      <c r="G1647" t="inlineStr">
        <is>
          <t>text</t>
        </is>
      </c>
      <c r="H1647" t="n">
        <v>2</v>
      </c>
      <c r="I1647" t="inlineStr">
        <is>
          <t>Auditor tahun berjalan Suhartati, Dra., &amp; Rekan</t>
        </is>
      </c>
      <c r="J1647" t="inlineStr">
        <is>
          <t>High</t>
        </is>
      </c>
      <c r="M1647" t="inlineStr">
        <is>
          <t>LLM</t>
        </is>
      </c>
      <c r="N1647" t="inlineStr">
        <is>
          <t>2026-04-18</t>
        </is>
      </c>
      <c r="O1647" t="inlineStr">
        <is>
          <t>AI</t>
        </is>
      </c>
    </row>
    <row r="1648">
      <c r="A1648" t="inlineStr">
        <is>
          <t>PT Golden Plantation Tbk</t>
        </is>
      </c>
      <c r="B1648" t="inlineStr">
        <is>
          <t>GOLL_2020_AR.pdf</t>
        </is>
      </c>
      <c r="C1648" t="n">
        <v>2020</v>
      </c>
      <c r="D1648" t="inlineStr">
        <is>
          <t>Company</t>
        </is>
      </c>
      <c r="E1648" t="inlineStr">
        <is>
          <t>Audit Report Date</t>
        </is>
      </c>
      <c r="F1648" t="inlineStr">
        <is>
          <t>2022-11-13</t>
        </is>
      </c>
      <c r="G1648" t="inlineStr">
        <is>
          <t>date</t>
        </is>
      </c>
      <c r="H1648" t="n">
        <v>2</v>
      </c>
      <c r="I1648" t="inlineStr">
        <is>
          <t>Tanggal laporan audit ... November 13, 2022</t>
        </is>
      </c>
      <c r="J1648" t="inlineStr">
        <is>
          <t>High</t>
        </is>
      </c>
      <c r="M1648" t="inlineStr">
        <is>
          <t>LLM</t>
        </is>
      </c>
      <c r="N1648" t="inlineStr">
        <is>
          <t>2026-04-18</t>
        </is>
      </c>
      <c r="O1648" t="inlineStr">
        <is>
          <t>AI</t>
        </is>
      </c>
    </row>
    <row r="1649">
      <c r="A1649" t="inlineStr">
        <is>
          <t>PT Golden Plantation Tbk</t>
        </is>
      </c>
      <c r="B1649" t="inlineStr">
        <is>
          <t>GOLL_2020_AR.pdf</t>
        </is>
      </c>
      <c r="C1649" t="n">
        <v>2020</v>
      </c>
      <c r="D1649" t="inlineStr">
        <is>
          <t>Company</t>
        </is>
      </c>
      <c r="E1649" t="inlineStr">
        <is>
          <t>Controlling Shareholder Type</t>
        </is>
      </c>
      <c r="F1649" t="inlineStr">
        <is>
          <t>National and Foreign Corporation</t>
        </is>
      </c>
      <c r="G1649" t="inlineStr">
        <is>
          <t>text</t>
        </is>
      </c>
      <c r="H1649" t="n">
        <v>2</v>
      </c>
      <c r="I1649" t="inlineStr">
        <is>
          <t>Informasi pemegang saham pengendali National and Foreign Corporation</t>
        </is>
      </c>
      <c r="J1649" t="inlineStr">
        <is>
          <t>High</t>
        </is>
      </c>
      <c r="M1649" t="inlineStr">
        <is>
          <t>LLM</t>
        </is>
      </c>
      <c r="N1649" t="inlineStr">
        <is>
          <t>2026-04-18</t>
        </is>
      </c>
      <c r="O1649" t="inlineStr">
        <is>
          <t>AI</t>
        </is>
      </c>
    </row>
    <row r="1650">
      <c r="A1650" t="inlineStr">
        <is>
          <t>PT Golden Plantation Tbk</t>
        </is>
      </c>
      <c r="B1650" t="inlineStr">
        <is>
          <t>GOLL_2020_AR.pdf</t>
        </is>
      </c>
      <c r="C1650" t="n">
        <v>2020</v>
      </c>
      <c r="D1650" t="inlineStr">
        <is>
          <t>Company</t>
        </is>
      </c>
      <c r="E1650" t="inlineStr">
        <is>
          <t>Subsidiary 1</t>
        </is>
      </c>
      <c r="F1650" t="inlineStr">
        <is>
          <t>PT Balaingu Capital Investment 90.0% (South Sumatra, commercial 2015)</t>
        </is>
      </c>
      <c r="G1650" t="inlineStr">
        <is>
          <t>text</t>
        </is>
      </c>
      <c r="H1650" t="n">
        <v>1</v>
      </c>
      <c r="I1650" t="inlineStr">
        <is>
          <t>1 PT Balaingu Capital Investment Perkebunan Sumatera Selatan 2015 Operasi 309.905.139.509 IDR 90.0</t>
        </is>
      </c>
      <c r="J1650" t="inlineStr">
        <is>
          <t>High</t>
        </is>
      </c>
      <c r="M1650" t="inlineStr">
        <is>
          <t>LLM</t>
        </is>
      </c>
      <c r="N1650" t="inlineStr">
        <is>
          <t>2026-04-18</t>
        </is>
      </c>
      <c r="O1650" t="inlineStr">
        <is>
          <t>AI</t>
        </is>
      </c>
    </row>
    <row r="1651">
      <c r="A1651" t="inlineStr">
        <is>
          <t>PT Golden Plantation Tbk</t>
        </is>
      </c>
      <c r="B1651" t="inlineStr">
        <is>
          <t>GOLL_2020_AR.pdf</t>
        </is>
      </c>
      <c r="C1651" t="n">
        <v>2020</v>
      </c>
      <c r="D1651" t="inlineStr">
        <is>
          <t>Company</t>
        </is>
      </c>
      <c r="E1651" t="inlineStr">
        <is>
          <t>Subsidiary 2</t>
        </is>
      </c>
      <c r="F1651" t="inlineStr">
        <is>
          <t>PT Persada Alam Hijau 99.99% (Jambi, commercial 2014)</t>
        </is>
      </c>
      <c r="G1651" t="inlineStr">
        <is>
          <t>text</t>
        </is>
      </c>
      <c r="H1651" t="n">
        <v>1</v>
      </c>
      <c r="I1651" t="inlineStr">
        <is>
          <t>2 PT Persada Alam Hijau Perkebunan Jambi 2014 Operasi 116.397.644.266 IDR 99.99</t>
        </is>
      </c>
      <c r="J1651" t="inlineStr">
        <is>
          <t>High</t>
        </is>
      </c>
      <c r="M1651" t="inlineStr">
        <is>
          <t>LLM</t>
        </is>
      </c>
      <c r="N1651" t="inlineStr">
        <is>
          <t>2026-04-18</t>
        </is>
      </c>
      <c r="O1651" t="inlineStr">
        <is>
          <t>AI</t>
        </is>
      </c>
    </row>
    <row r="1652">
      <c r="A1652" t="inlineStr">
        <is>
          <t>PT Golden Plantation Tbk</t>
        </is>
      </c>
      <c r="B1652" t="inlineStr">
        <is>
          <t>GOLL_2020_AR.pdf</t>
        </is>
      </c>
      <c r="C1652" t="n">
        <v>2020</v>
      </c>
      <c r="D1652" t="inlineStr">
        <is>
          <t>Company</t>
        </is>
      </c>
      <c r="E1652" t="inlineStr">
        <is>
          <t>Subsidiary 1 Total Assets</t>
        </is>
      </c>
      <c r="F1652" t="n">
        <v>309.91</v>
      </c>
      <c r="G1652" t="inlineStr">
        <is>
          <t>IDR bn</t>
        </is>
      </c>
      <c r="H1652" t="n">
        <v>1</v>
      </c>
      <c r="I1652" t="inlineStr">
        <is>
          <t>PT Balaingu Capital Investment ... 309.905.139.509 IDR 90.0</t>
        </is>
      </c>
      <c r="J1652" t="inlineStr">
        <is>
          <t>High</t>
        </is>
      </c>
      <c r="M1652" t="inlineStr">
        <is>
          <t>LLM</t>
        </is>
      </c>
      <c r="N1652" t="inlineStr">
        <is>
          <t>2026-04-18</t>
        </is>
      </c>
      <c r="O1652" t="inlineStr">
        <is>
          <t>AI</t>
        </is>
      </c>
    </row>
    <row r="1653">
      <c r="A1653" t="inlineStr">
        <is>
          <t>PT Golden Plantation Tbk</t>
        </is>
      </c>
      <c r="B1653" t="inlineStr">
        <is>
          <t>GOLL_2020_AR.pdf</t>
        </is>
      </c>
      <c r="C1653" t="n">
        <v>2020</v>
      </c>
      <c r="D1653" t="inlineStr">
        <is>
          <t>Company</t>
        </is>
      </c>
      <c r="E1653" t="inlineStr">
        <is>
          <t>Subsidiary 2 Total Assets</t>
        </is>
      </c>
      <c r="F1653" t="n">
        <v>116.4</v>
      </c>
      <c r="G1653" t="inlineStr">
        <is>
          <t>IDR bn</t>
        </is>
      </c>
      <c r="H1653" t="n">
        <v>1</v>
      </c>
      <c r="I1653" t="inlineStr">
        <is>
          <t>PT Persada Alam Hijau ... 116.397.644.266 IDR 99.99</t>
        </is>
      </c>
      <c r="J1653" t="inlineStr">
        <is>
          <t>High</t>
        </is>
      </c>
      <c r="M1653" t="inlineStr">
        <is>
          <t>LLM</t>
        </is>
      </c>
      <c r="N1653" t="inlineStr">
        <is>
          <t>2026-04-18</t>
        </is>
      </c>
      <c r="O1653" t="inlineStr">
        <is>
          <t>AI</t>
        </is>
      </c>
    </row>
    <row r="1654">
      <c r="A1654" t="inlineStr">
        <is>
          <t>PT Golden Plantation Tbk</t>
        </is>
      </c>
      <c r="B1654" t="inlineStr">
        <is>
          <t>GOLL_2020_AR.pdf</t>
        </is>
      </c>
      <c r="C1654" t="n">
        <v>2020</v>
      </c>
      <c r="D1654" t="inlineStr">
        <is>
          <t>Financial</t>
        </is>
      </c>
      <c r="E1654" t="inlineStr">
        <is>
          <t>Revenue (Net)</t>
        </is>
      </c>
      <c r="F1654" t="n">
        <v>3.72</v>
      </c>
      <c r="G1654" t="inlineStr">
        <is>
          <t>IDR bn</t>
        </is>
      </c>
      <c r="H1654" t="n">
        <v>7</v>
      </c>
      <c r="I1654" t="inlineStr">
        <is>
          <t>Penjualan dan pendapatan usaha 3,720,962,679</t>
        </is>
      </c>
      <c r="J1654" t="inlineStr">
        <is>
          <t>High</t>
        </is>
      </c>
      <c r="M1654" t="inlineStr">
        <is>
          <t>LLM</t>
        </is>
      </c>
      <c r="N1654" t="inlineStr">
        <is>
          <t>2026-04-18</t>
        </is>
      </c>
      <c r="O1654" t="inlineStr">
        <is>
          <t>AI</t>
        </is>
      </c>
    </row>
    <row r="1655">
      <c r="A1655" t="inlineStr">
        <is>
          <t>PT Golden Plantation Tbk</t>
        </is>
      </c>
      <c r="B1655" t="inlineStr">
        <is>
          <t>GOLL_2020_AR.pdf</t>
        </is>
      </c>
      <c r="C1655" t="n">
        <v>2020</v>
      </c>
      <c r="D1655" t="inlineStr">
        <is>
          <t>Financial</t>
        </is>
      </c>
      <c r="E1655" t="inlineStr">
        <is>
          <t>Cost of Sales</t>
        </is>
      </c>
      <c r="F1655" t="n">
        <v>8.56</v>
      </c>
      <c r="G1655" t="inlineStr">
        <is>
          <t>IDR bn</t>
        </is>
      </c>
      <c r="H1655" t="n">
        <v>7</v>
      </c>
      <c r="I1655" t="inlineStr">
        <is>
          <t>Beban pokok penjualan dan pendapatan (8,560,359,916)</t>
        </is>
      </c>
      <c r="J1655" t="inlineStr">
        <is>
          <t>High</t>
        </is>
      </c>
      <c r="M1655" t="inlineStr">
        <is>
          <t>LLM</t>
        </is>
      </c>
      <c r="N1655" t="inlineStr">
        <is>
          <t>2026-04-18</t>
        </is>
      </c>
      <c r="O1655" t="inlineStr">
        <is>
          <t>AI</t>
        </is>
      </c>
    </row>
    <row r="1656">
      <c r="A1656" t="inlineStr">
        <is>
          <t>PT Golden Plantation Tbk</t>
        </is>
      </c>
      <c r="B1656" t="inlineStr">
        <is>
          <t>GOLL_2020_AR.pdf</t>
        </is>
      </c>
      <c r="C1656" t="n">
        <v>2020</v>
      </c>
      <c r="D1656" t="inlineStr">
        <is>
          <t>Financial</t>
        </is>
      </c>
      <c r="E1656" t="inlineStr">
        <is>
          <t>Gross Profit (Loss)</t>
        </is>
      </c>
      <c r="F1656" t="n">
        <v>-4.84</v>
      </c>
      <c r="G1656" t="inlineStr">
        <is>
          <t>IDR bn</t>
        </is>
      </c>
      <c r="H1656" t="n">
        <v>7</v>
      </c>
      <c r="I1656" t="inlineStr">
        <is>
          <t>Jumlah laba bruto (4,839,397,237)</t>
        </is>
      </c>
      <c r="J1656" t="inlineStr">
        <is>
          <t>High</t>
        </is>
      </c>
      <c r="M1656" t="inlineStr">
        <is>
          <t>LLM</t>
        </is>
      </c>
      <c r="N1656" t="inlineStr">
        <is>
          <t>2026-04-18</t>
        </is>
      </c>
      <c r="O1656" t="inlineStr">
        <is>
          <t>AI</t>
        </is>
      </c>
    </row>
    <row r="1657">
      <c r="A1657" t="inlineStr">
        <is>
          <t>PT Golden Plantation Tbk</t>
        </is>
      </c>
      <c r="B1657" t="inlineStr">
        <is>
          <t>GOLL_2020_AR.pdf</t>
        </is>
      </c>
      <c r="C1657" t="n">
        <v>2020</v>
      </c>
      <c r="D1657" t="inlineStr">
        <is>
          <t>Financial</t>
        </is>
      </c>
      <c r="E1657" t="inlineStr">
        <is>
          <t>General &amp; Administrative Expenses</t>
        </is>
      </c>
      <c r="F1657" t="n">
        <v>3.77</v>
      </c>
      <c r="G1657" t="inlineStr">
        <is>
          <t>IDR bn</t>
        </is>
      </c>
      <c r="H1657" t="n">
        <v>7</v>
      </c>
      <c r="I1657" t="inlineStr">
        <is>
          <t>Beban umum dan administrasi (3,766,836,680)</t>
        </is>
      </c>
      <c r="J1657" t="inlineStr">
        <is>
          <t>High</t>
        </is>
      </c>
      <c r="M1657" t="inlineStr">
        <is>
          <t>LLM</t>
        </is>
      </c>
      <c r="N1657" t="inlineStr">
        <is>
          <t>2026-04-18</t>
        </is>
      </c>
      <c r="O1657" t="inlineStr">
        <is>
          <t>AI</t>
        </is>
      </c>
    </row>
    <row r="1658">
      <c r="A1658" t="inlineStr">
        <is>
          <t>PT Golden Plantation Tbk</t>
        </is>
      </c>
      <c r="B1658" t="inlineStr">
        <is>
          <t>GOLL_2020_AR.pdf</t>
        </is>
      </c>
      <c r="C1658" t="n">
        <v>2020</v>
      </c>
      <c r="D1658" t="inlineStr">
        <is>
          <t>Financial</t>
        </is>
      </c>
      <c r="E1658" t="inlineStr">
        <is>
          <t>Selling Expenses</t>
        </is>
      </c>
      <c r="F1658" t="n">
        <v>1.48</v>
      </c>
      <c r="G1658" t="inlineStr">
        <is>
          <t>IDR bn</t>
        </is>
      </c>
      <c r="H1658" t="n">
        <v>7</v>
      </c>
      <c r="I1658" t="inlineStr">
        <is>
          <t>Beban penjualan (1,479,205,244)</t>
        </is>
      </c>
      <c r="J1658" t="inlineStr">
        <is>
          <t>High</t>
        </is>
      </c>
      <c r="M1658" t="inlineStr">
        <is>
          <t>LLM</t>
        </is>
      </c>
      <c r="N1658" t="inlineStr">
        <is>
          <t>2026-04-18</t>
        </is>
      </c>
      <c r="O1658" t="inlineStr">
        <is>
          <t>AI</t>
        </is>
      </c>
    </row>
    <row r="1659">
      <c r="A1659" t="inlineStr">
        <is>
          <t>PT Golden Plantation Tbk</t>
        </is>
      </c>
      <c r="B1659" t="inlineStr">
        <is>
          <t>GOLL_2020_AR.pdf</t>
        </is>
      </c>
      <c r="C1659" t="n">
        <v>2020</v>
      </c>
      <c r="D1659" t="inlineStr">
        <is>
          <t>Financial</t>
        </is>
      </c>
      <c r="E1659" t="inlineStr">
        <is>
          <t>Finance Costs</t>
        </is>
      </c>
      <c r="F1659" t="n">
        <v>4.24</v>
      </c>
      <c r="G1659" t="inlineStr">
        <is>
          <t>IDR bn</t>
        </is>
      </c>
      <c r="H1659" t="n">
        <v>7</v>
      </c>
      <c r="I1659" t="inlineStr">
        <is>
          <t>Beban keuangan (4,238,946,885)</t>
        </is>
      </c>
      <c r="J1659" t="inlineStr">
        <is>
          <t>High</t>
        </is>
      </c>
      <c r="M1659" t="inlineStr">
        <is>
          <t>LLM</t>
        </is>
      </c>
      <c r="N1659" t="inlineStr">
        <is>
          <t>2026-04-18</t>
        </is>
      </c>
      <c r="O1659" t="inlineStr">
        <is>
          <t>AI</t>
        </is>
      </c>
    </row>
    <row r="1660">
      <c r="A1660" t="inlineStr">
        <is>
          <t>PT Golden Plantation Tbk</t>
        </is>
      </c>
      <c r="B1660" t="inlineStr">
        <is>
          <t>GOLL_2020_AR.pdf</t>
        </is>
      </c>
      <c r="C1660" t="n">
        <v>2020</v>
      </c>
      <c r="D1660" t="inlineStr">
        <is>
          <t>Financial</t>
        </is>
      </c>
      <c r="E1660" t="inlineStr">
        <is>
          <t>Other Expenses</t>
        </is>
      </c>
      <c r="F1660" t="n">
        <v>370.38</v>
      </c>
      <c r="G1660" t="inlineStr">
        <is>
          <t>IDR bn</t>
        </is>
      </c>
      <c r="H1660" t="n">
        <v>7</v>
      </c>
      <c r="I1660" t="inlineStr">
        <is>
          <t>Beban lainnya (370,384,000,000)</t>
        </is>
      </c>
      <c r="J1660" t="inlineStr">
        <is>
          <t>High</t>
        </is>
      </c>
      <c r="M1660" t="inlineStr">
        <is>
          <t>LLM</t>
        </is>
      </c>
      <c r="N1660" t="inlineStr">
        <is>
          <t>2026-04-18</t>
        </is>
      </c>
      <c r="O1660" t="inlineStr">
        <is>
          <t>AI</t>
        </is>
      </c>
    </row>
    <row r="1661">
      <c r="A1661" t="inlineStr">
        <is>
          <t>PT Golden Plantation Tbk</t>
        </is>
      </c>
      <c r="B1661" t="inlineStr">
        <is>
          <t>GOLL_2020_AR.pdf</t>
        </is>
      </c>
      <c r="C1661" t="n">
        <v>2020</v>
      </c>
      <c r="D1661" t="inlineStr">
        <is>
          <t>Financial</t>
        </is>
      </c>
      <c r="E1661" t="inlineStr">
        <is>
          <t>EBIT (operating)</t>
        </is>
      </c>
      <c r="F1661" t="n">
        <v>-10.09</v>
      </c>
      <c r="G1661" t="inlineStr">
        <is>
          <t>IDR bn</t>
        </is>
      </c>
      <c r="H1661" t="n">
        <v>7</v>
      </c>
      <c r="I1661" t="inlineStr">
        <is>
          <t>Computed: Gross Loss (4.84) - G&amp;A (3.77) - Selling (1.48) = (10.09) bn</t>
        </is>
      </c>
      <c r="J1661" t="inlineStr">
        <is>
          <t>Medium</t>
        </is>
      </c>
      <c r="M1661" t="inlineStr">
        <is>
          <t>LLM</t>
        </is>
      </c>
      <c r="N1661" t="inlineStr">
        <is>
          <t>2026-04-18</t>
        </is>
      </c>
      <c r="O1661" t="inlineStr">
        <is>
          <t>AI</t>
        </is>
      </c>
    </row>
    <row r="1662">
      <c r="A1662" t="inlineStr">
        <is>
          <t>PT Golden Plantation Tbk</t>
        </is>
      </c>
      <c r="B1662" t="inlineStr">
        <is>
          <t>GOLL_2020_AR.pdf</t>
        </is>
      </c>
      <c r="C1662" t="n">
        <v>2020</v>
      </c>
      <c r="D1662" t="inlineStr">
        <is>
          <t>Financial</t>
        </is>
      </c>
      <c r="E1662" t="inlineStr">
        <is>
          <t>Pretax Loss</t>
        </is>
      </c>
      <c r="F1662" t="n">
        <v>-383.23</v>
      </c>
      <c r="G1662" t="inlineStr">
        <is>
          <t>IDR bn</t>
        </is>
      </c>
      <c r="H1662" t="n">
        <v>7</v>
      </c>
      <c r="I1662" t="inlineStr">
        <is>
          <t>Jumlah laba (rugi) sebelum pajak penghasilan (383,228,887,303)</t>
        </is>
      </c>
      <c r="J1662" t="inlineStr">
        <is>
          <t>High</t>
        </is>
      </c>
      <c r="M1662" t="inlineStr">
        <is>
          <t>LLM</t>
        </is>
      </c>
      <c r="N1662" t="inlineStr">
        <is>
          <t>2026-04-18</t>
        </is>
      </c>
      <c r="O1662" t="inlineStr">
        <is>
          <t>AI</t>
        </is>
      </c>
    </row>
    <row r="1663">
      <c r="A1663" t="inlineStr">
        <is>
          <t>PT Golden Plantation Tbk</t>
        </is>
      </c>
      <c r="B1663" t="inlineStr">
        <is>
          <t>GOLL_2020_AR.pdf</t>
        </is>
      </c>
      <c r="C1663" t="n">
        <v>2020</v>
      </c>
      <c r="D1663" t="inlineStr">
        <is>
          <t>Financial</t>
        </is>
      </c>
      <c r="E1663" t="inlineStr">
        <is>
          <t>Net Loss</t>
        </is>
      </c>
      <c r="F1663" t="n">
        <v>-383.23</v>
      </c>
      <c r="G1663" t="inlineStr">
        <is>
          <t>IDR bn</t>
        </is>
      </c>
      <c r="H1663" t="n">
        <v>7</v>
      </c>
      <c r="I1663" t="inlineStr">
        <is>
          <t>Jumlah laba (rugi) (383,228,887,303)</t>
        </is>
      </c>
      <c r="J1663" t="inlineStr">
        <is>
          <t>High</t>
        </is>
      </c>
      <c r="M1663" t="inlineStr">
        <is>
          <t>LLM</t>
        </is>
      </c>
      <c r="N1663" t="inlineStr">
        <is>
          <t>2026-04-18</t>
        </is>
      </c>
      <c r="O1663" t="inlineStr">
        <is>
          <t>AI</t>
        </is>
      </c>
    </row>
    <row r="1664">
      <c r="A1664" t="inlineStr">
        <is>
          <t>PT Golden Plantation Tbk</t>
        </is>
      </c>
      <c r="B1664" t="inlineStr">
        <is>
          <t>GOLL_2020_AR.pdf</t>
        </is>
      </c>
      <c r="C1664" t="n">
        <v>2020</v>
      </c>
      <c r="D1664" t="inlineStr">
        <is>
          <t>Financial</t>
        </is>
      </c>
      <c r="E1664" t="inlineStr">
        <is>
          <t>Loss Attributable to Parent</t>
        </is>
      </c>
      <c r="F1664" t="n">
        <v>-302.03</v>
      </c>
      <c r="G1664" t="inlineStr">
        <is>
          <t>IDR bn</t>
        </is>
      </c>
      <c r="H1664" t="n">
        <v>7</v>
      </c>
      <c r="I1664" t="inlineStr">
        <is>
          <t>Laba (rugi) yang dapat diatribusikan ke entitas induk (302,025,577,140)</t>
        </is>
      </c>
      <c r="J1664" t="inlineStr">
        <is>
          <t>High</t>
        </is>
      </c>
      <c r="M1664" t="inlineStr">
        <is>
          <t>LLM</t>
        </is>
      </c>
      <c r="N1664" t="inlineStr">
        <is>
          <t>2026-04-18</t>
        </is>
      </c>
      <c r="O1664" t="inlineStr">
        <is>
          <t>AI</t>
        </is>
      </c>
    </row>
    <row r="1665">
      <c r="A1665" t="inlineStr">
        <is>
          <t>PT Golden Plantation Tbk</t>
        </is>
      </c>
      <c r="B1665" t="inlineStr">
        <is>
          <t>GOLL_2020_AR.pdf</t>
        </is>
      </c>
      <c r="C1665" t="n">
        <v>2020</v>
      </c>
      <c r="D1665" t="inlineStr">
        <is>
          <t>Financial</t>
        </is>
      </c>
      <c r="E1665" t="inlineStr">
        <is>
          <t>Loss Attributable to NCI</t>
        </is>
      </c>
      <c r="F1665" t="n">
        <v>-81.2</v>
      </c>
      <c r="G1665" t="inlineStr">
        <is>
          <t>IDR bn</t>
        </is>
      </c>
      <c r="H1665" t="n">
        <v>7</v>
      </c>
      <c r="I1665" t="inlineStr">
        <is>
          <t>Laba (rugi) yang dapat diatribusikan ke kepentingan non-pengendali (81,203,310,163)</t>
        </is>
      </c>
      <c r="J1665" t="inlineStr">
        <is>
          <t>High</t>
        </is>
      </c>
      <c r="M1665" t="inlineStr">
        <is>
          <t>LLM</t>
        </is>
      </c>
      <c r="N1665" t="inlineStr">
        <is>
          <t>2026-04-18</t>
        </is>
      </c>
      <c r="O1665" t="inlineStr">
        <is>
          <t>AI</t>
        </is>
      </c>
    </row>
    <row r="1666">
      <c r="A1666" t="inlineStr">
        <is>
          <t>PT Golden Plantation Tbk</t>
        </is>
      </c>
      <c r="B1666" t="inlineStr">
        <is>
          <t>GOLL_2020_AR.pdf</t>
        </is>
      </c>
      <c r="C1666" t="n">
        <v>2020</v>
      </c>
      <c r="D1666" t="inlineStr">
        <is>
          <t>Financial</t>
        </is>
      </c>
      <c r="E1666" t="inlineStr">
        <is>
          <t>Basic EPS</t>
        </is>
      </c>
      <c r="F1666" t="n">
        <v>-82.41</v>
      </c>
      <c r="G1666" t="inlineStr">
        <is>
          <t>Rp/share</t>
        </is>
      </c>
      <c r="H1666" t="n">
        <v>8</v>
      </c>
      <c r="I1666" t="inlineStr">
        <is>
          <t>Laba (rugi) per saham dasar ... (82.41) (14.56)</t>
        </is>
      </c>
      <c r="J1666" t="inlineStr">
        <is>
          <t>High</t>
        </is>
      </c>
      <c r="M1666" t="inlineStr">
        <is>
          <t>LLM</t>
        </is>
      </c>
      <c r="N1666" t="inlineStr">
        <is>
          <t>2026-04-18</t>
        </is>
      </c>
      <c r="O1666" t="inlineStr">
        <is>
          <t>AI</t>
        </is>
      </c>
    </row>
    <row r="1667">
      <c r="A1667" t="inlineStr">
        <is>
          <t>PT Golden Plantation Tbk</t>
        </is>
      </c>
      <c r="B1667" t="inlineStr">
        <is>
          <t>GOLL_2020_AR.pdf</t>
        </is>
      </c>
      <c r="C1667" t="n">
        <v>2020</v>
      </c>
      <c r="D1667" t="inlineStr">
        <is>
          <t>Financial</t>
        </is>
      </c>
      <c r="E1667" t="inlineStr">
        <is>
          <t>Total Assets</t>
        </is>
      </c>
      <c r="F1667" t="n">
        <v>471.66</v>
      </c>
      <c r="G1667" t="inlineStr">
        <is>
          <t>IDR bn</t>
        </is>
      </c>
      <c r="H1667" t="n">
        <v>4</v>
      </c>
      <c r="I1667" t="inlineStr">
        <is>
          <t>Jumlah aset 471,662,300,531 2,596,286,795,605</t>
        </is>
      </c>
      <c r="J1667" t="inlineStr">
        <is>
          <t>High</t>
        </is>
      </c>
      <c r="M1667" t="inlineStr">
        <is>
          <t>LLM</t>
        </is>
      </c>
      <c r="N1667" t="inlineStr">
        <is>
          <t>2026-04-18</t>
        </is>
      </c>
      <c r="O1667" t="inlineStr">
        <is>
          <t>AI</t>
        </is>
      </c>
    </row>
    <row r="1668">
      <c r="A1668" t="inlineStr">
        <is>
          <t>PT Golden Plantation Tbk</t>
        </is>
      </c>
      <c r="B1668" t="inlineStr">
        <is>
          <t>GOLL_2020_AR.pdf</t>
        </is>
      </c>
      <c r="C1668" t="n">
        <v>2020</v>
      </c>
      <c r="D1668" t="inlineStr">
        <is>
          <t>Financial</t>
        </is>
      </c>
      <c r="E1668" t="inlineStr">
        <is>
          <t>Current Assets</t>
        </is>
      </c>
      <c r="F1668" t="n">
        <v>8.1</v>
      </c>
      <c r="G1668" t="inlineStr">
        <is>
          <t>IDR bn</t>
        </is>
      </c>
      <c r="H1668" t="n">
        <v>4</v>
      </c>
      <c r="I1668" t="inlineStr">
        <is>
          <t>Jumlah aset lancar 8,101,374,874 57,580,727,407</t>
        </is>
      </c>
      <c r="J1668" t="inlineStr">
        <is>
          <t>High</t>
        </is>
      </c>
      <c r="M1668" t="inlineStr">
        <is>
          <t>LLM</t>
        </is>
      </c>
      <c r="N1668" t="inlineStr">
        <is>
          <t>2026-04-18</t>
        </is>
      </c>
      <c r="O1668" t="inlineStr">
        <is>
          <t>AI</t>
        </is>
      </c>
    </row>
    <row r="1669">
      <c r="A1669" t="inlineStr">
        <is>
          <t>PT Golden Plantation Tbk</t>
        </is>
      </c>
      <c r="B1669" t="inlineStr">
        <is>
          <t>GOLL_2020_AR.pdf</t>
        </is>
      </c>
      <c r="C1669" t="n">
        <v>2020</v>
      </c>
      <c r="D1669" t="inlineStr">
        <is>
          <t>Financial</t>
        </is>
      </c>
      <c r="E1669" t="inlineStr">
        <is>
          <t>Non-Current Assets</t>
        </is>
      </c>
      <c r="F1669" t="n">
        <v>463.56</v>
      </c>
      <c r="G1669" t="inlineStr">
        <is>
          <t>IDR bn</t>
        </is>
      </c>
      <c r="H1669" t="n">
        <v>4</v>
      </c>
      <c r="I1669" t="inlineStr">
        <is>
          <t>Jumlah aset tidak lancar 463,560,925,657 2,538,706,068,198</t>
        </is>
      </c>
      <c r="J1669" t="inlineStr">
        <is>
          <t>High</t>
        </is>
      </c>
      <c r="M1669" t="inlineStr">
        <is>
          <t>LLM</t>
        </is>
      </c>
      <c r="N1669" t="inlineStr">
        <is>
          <t>2026-04-18</t>
        </is>
      </c>
      <c r="O1669" t="inlineStr">
        <is>
          <t>AI</t>
        </is>
      </c>
    </row>
    <row r="1670">
      <c r="A1670" t="inlineStr">
        <is>
          <t>PT Golden Plantation Tbk</t>
        </is>
      </c>
      <c r="B1670" t="inlineStr">
        <is>
          <t>GOLL_2020_AR.pdf</t>
        </is>
      </c>
      <c r="C1670" t="n">
        <v>2020</v>
      </c>
      <c r="D1670" t="inlineStr">
        <is>
          <t>Financial</t>
        </is>
      </c>
      <c r="E1670" t="inlineStr">
        <is>
          <t>Cash &amp; Cash Equivalents</t>
        </is>
      </c>
      <c r="F1670" t="n">
        <v>0.17</v>
      </c>
      <c r="G1670" t="inlineStr">
        <is>
          <t>IDR bn</t>
        </is>
      </c>
      <c r="H1670" t="n">
        <v>4</v>
      </c>
      <c r="I1670" t="inlineStr">
        <is>
          <t>Kas dan setara kas 168,159,892 686,697,082</t>
        </is>
      </c>
      <c r="J1670" t="inlineStr">
        <is>
          <t>High</t>
        </is>
      </c>
      <c r="M1670" t="inlineStr">
        <is>
          <t>LLM</t>
        </is>
      </c>
      <c r="N1670" t="inlineStr">
        <is>
          <t>2026-04-18</t>
        </is>
      </c>
      <c r="O1670" t="inlineStr">
        <is>
          <t>AI</t>
        </is>
      </c>
    </row>
    <row r="1671">
      <c r="A1671" t="inlineStr">
        <is>
          <t>PT Golden Plantation Tbk</t>
        </is>
      </c>
      <c r="B1671" t="inlineStr">
        <is>
          <t>GOLL_2020_AR.pdf</t>
        </is>
      </c>
      <c r="C1671" t="n">
        <v>2020</v>
      </c>
      <c r="D1671" t="inlineStr">
        <is>
          <t>Financial</t>
        </is>
      </c>
      <c r="E1671" t="inlineStr">
        <is>
          <t>Trade Receivables</t>
        </is>
      </c>
      <c r="F1671" t="n">
        <v>0.25</v>
      </c>
      <c r="G1671" t="inlineStr">
        <is>
          <t>IDR bn</t>
        </is>
      </c>
      <c r="H1671" t="n">
        <v>4</v>
      </c>
      <c r="I1671" t="inlineStr">
        <is>
          <t>Piutang usaha pihak ketiga 252,285,048</t>
        </is>
      </c>
      <c r="J1671" t="inlineStr">
        <is>
          <t>High</t>
        </is>
      </c>
      <c r="M1671" t="inlineStr">
        <is>
          <t>LLM</t>
        </is>
      </c>
      <c r="N1671" t="inlineStr">
        <is>
          <t>2026-04-18</t>
        </is>
      </c>
      <c r="O1671" t="inlineStr">
        <is>
          <t>AI</t>
        </is>
      </c>
    </row>
    <row r="1672">
      <c r="A1672" t="inlineStr">
        <is>
          <t>PT Golden Plantation Tbk</t>
        </is>
      </c>
      <c r="B1672" t="inlineStr">
        <is>
          <t>GOLL_2020_AR.pdf</t>
        </is>
      </c>
      <c r="C1672" t="n">
        <v>2020</v>
      </c>
      <c r="D1672" t="inlineStr">
        <is>
          <t>Financial</t>
        </is>
      </c>
      <c r="E1672" t="inlineStr">
        <is>
          <t>Inventories</t>
        </is>
      </c>
      <c r="F1672" t="n">
        <v>1.69</v>
      </c>
      <c r="G1672" t="inlineStr">
        <is>
          <t>IDR bn</t>
        </is>
      </c>
      <c r="H1672" t="n">
        <v>4</v>
      </c>
      <c r="I1672" t="inlineStr">
        <is>
          <t>Persediaan lancar lainnya 1,690,104,221 39,220,338,115</t>
        </is>
      </c>
      <c r="J1672" t="inlineStr">
        <is>
          <t>High</t>
        </is>
      </c>
      <c r="M1672" t="inlineStr">
        <is>
          <t>LLM</t>
        </is>
      </c>
      <c r="N1672" t="inlineStr">
        <is>
          <t>2026-04-18</t>
        </is>
      </c>
      <c r="O1672" t="inlineStr">
        <is>
          <t>AI</t>
        </is>
      </c>
    </row>
    <row r="1673">
      <c r="A1673" t="inlineStr">
        <is>
          <t>PT Golden Plantation Tbk</t>
        </is>
      </c>
      <c r="B1673" t="inlineStr">
        <is>
          <t>GOLL_2020_AR.pdf</t>
        </is>
      </c>
      <c r="C1673" t="n">
        <v>2020</v>
      </c>
      <c r="D1673" t="inlineStr">
        <is>
          <t>Financial</t>
        </is>
      </c>
      <c r="E1673" t="inlineStr">
        <is>
          <t>Mature Plantation Assets (net)</t>
        </is>
      </c>
      <c r="F1673" t="n">
        <v>69.17</v>
      </c>
      <c r="G1673" t="inlineStr">
        <is>
          <t>IDR bn</t>
        </is>
      </c>
      <c r="H1673" t="n">
        <v>4</v>
      </c>
      <c r="I1673" t="inlineStr">
        <is>
          <t>Tanaman perkebunan menghasilkan 69,172,893,937 753,088,111,324</t>
        </is>
      </c>
      <c r="J1673" t="inlineStr">
        <is>
          <t>High</t>
        </is>
      </c>
      <c r="M1673" t="inlineStr">
        <is>
          <t>LLM</t>
        </is>
      </c>
      <c r="N1673" t="inlineStr">
        <is>
          <t>2026-04-18</t>
        </is>
      </c>
      <c r="O1673" t="inlineStr">
        <is>
          <t>AI</t>
        </is>
      </c>
    </row>
    <row r="1674">
      <c r="A1674" t="inlineStr">
        <is>
          <t>PT Golden Plantation Tbk</t>
        </is>
      </c>
      <c r="B1674" t="inlineStr">
        <is>
          <t>GOLL_2020_AR.pdf</t>
        </is>
      </c>
      <c r="C1674" t="n">
        <v>2020</v>
      </c>
      <c r="D1674" t="inlineStr">
        <is>
          <t>Financial</t>
        </is>
      </c>
      <c r="E1674" t="inlineStr">
        <is>
          <t>Immature Plantation Assets (net)</t>
        </is>
      </c>
      <c r="F1674" t="n">
        <v>265.64</v>
      </c>
      <c r="G1674" t="inlineStr">
        <is>
          <t>IDR bn</t>
        </is>
      </c>
      <c r="H1674" t="n">
        <v>4</v>
      </c>
      <c r="I1674" t="inlineStr">
        <is>
          <t>Tanaman perkebunan belum menghasilkan 265,643,648,727 1,119,073,787,876</t>
        </is>
      </c>
      <c r="J1674" t="inlineStr">
        <is>
          <t>High</t>
        </is>
      </c>
      <c r="M1674" t="inlineStr">
        <is>
          <t>LLM</t>
        </is>
      </c>
      <c r="N1674" t="inlineStr">
        <is>
          <t>2026-04-18</t>
        </is>
      </c>
      <c r="O1674" t="inlineStr">
        <is>
          <t>AI</t>
        </is>
      </c>
    </row>
    <row r="1675">
      <c r="A1675" t="inlineStr">
        <is>
          <t>PT Golden Plantation Tbk</t>
        </is>
      </c>
      <c r="B1675" t="inlineStr">
        <is>
          <t>GOLL_2020_AR.pdf</t>
        </is>
      </c>
      <c r="C1675" t="n">
        <v>2020</v>
      </c>
      <c r="D1675" t="inlineStr">
        <is>
          <t>Financial</t>
        </is>
      </c>
      <c r="E1675" t="inlineStr">
        <is>
          <t>PP&amp;E (net)</t>
        </is>
      </c>
      <c r="F1675" t="n">
        <v>59.86</v>
      </c>
      <c r="G1675" t="inlineStr">
        <is>
          <t>IDR bn</t>
        </is>
      </c>
      <c r="H1675" t="n">
        <v>4</v>
      </c>
      <c r="I1675" t="inlineStr">
        <is>
          <t>Aset tetap 59,857,075,523 308,155,553,393</t>
        </is>
      </c>
      <c r="J1675" t="inlineStr">
        <is>
          <t>High</t>
        </is>
      </c>
      <c r="M1675" t="inlineStr">
        <is>
          <t>LLM</t>
        </is>
      </c>
      <c r="N1675" t="inlineStr">
        <is>
          <t>2026-04-18</t>
        </is>
      </c>
      <c r="O1675" t="inlineStr">
        <is>
          <t>AI</t>
        </is>
      </c>
    </row>
    <row r="1676">
      <c r="A1676" t="inlineStr">
        <is>
          <t>PT Golden Plantation Tbk</t>
        </is>
      </c>
      <c r="B1676" t="inlineStr">
        <is>
          <t>GOLL_2020_AR.pdf</t>
        </is>
      </c>
      <c r="C1676" t="n">
        <v>2020</v>
      </c>
      <c r="D1676" t="inlineStr">
        <is>
          <t>Financial</t>
        </is>
      </c>
      <c r="E1676" t="inlineStr">
        <is>
          <t>Goodwill</t>
        </is>
      </c>
      <c r="F1676" t="n">
        <v>5.58</v>
      </c>
      <c r="G1676" t="inlineStr">
        <is>
          <t>IDR bn</t>
        </is>
      </c>
      <c r="H1676" t="n">
        <v>4</v>
      </c>
      <c r="I1676" t="inlineStr">
        <is>
          <t>Goodwill 5,578,629,680 14,558,903,774</t>
        </is>
      </c>
      <c r="J1676" t="inlineStr">
        <is>
          <t>High</t>
        </is>
      </c>
      <c r="M1676" t="inlineStr">
        <is>
          <t>LLM</t>
        </is>
      </c>
      <c r="N1676" t="inlineStr">
        <is>
          <t>2026-04-18</t>
        </is>
      </c>
      <c r="O1676" t="inlineStr">
        <is>
          <t>AI</t>
        </is>
      </c>
    </row>
    <row r="1677">
      <c r="A1677" t="inlineStr">
        <is>
          <t>PT Golden Plantation Tbk</t>
        </is>
      </c>
      <c r="B1677" t="inlineStr">
        <is>
          <t>GOLL_2020_AR.pdf</t>
        </is>
      </c>
      <c r="C1677" t="n">
        <v>2020</v>
      </c>
      <c r="D1677" t="inlineStr">
        <is>
          <t>Financial</t>
        </is>
      </c>
      <c r="E1677" t="inlineStr">
        <is>
          <t>Deferred Tax Assets</t>
        </is>
      </c>
      <c r="F1677" t="n">
        <v>3</v>
      </c>
      <c r="G1677" t="inlineStr">
        <is>
          <t>IDR bn</t>
        </is>
      </c>
      <c r="H1677" t="n">
        <v>4</v>
      </c>
      <c r="I1677" t="inlineStr">
        <is>
          <t>Aset pajak tangguhan 3,004,525,364 33,945,803,608</t>
        </is>
      </c>
      <c r="J1677" t="inlineStr">
        <is>
          <t>High</t>
        </is>
      </c>
      <c r="M1677" t="inlineStr">
        <is>
          <t>LLM</t>
        </is>
      </c>
      <c r="N1677" t="inlineStr">
        <is>
          <t>2026-04-18</t>
        </is>
      </c>
      <c r="O1677" t="inlineStr">
        <is>
          <t>AI</t>
        </is>
      </c>
    </row>
    <row r="1678">
      <c r="A1678" t="inlineStr">
        <is>
          <t>PT Golden Plantation Tbk</t>
        </is>
      </c>
      <c r="B1678" t="inlineStr">
        <is>
          <t>GOLL_2020_AR.pdf</t>
        </is>
      </c>
      <c r="C1678" t="n">
        <v>2020</v>
      </c>
      <c r="D1678" t="inlineStr">
        <is>
          <t>Financial</t>
        </is>
      </c>
      <c r="E1678" t="inlineStr">
        <is>
          <t>Total Liabilities</t>
        </is>
      </c>
      <c r="F1678" t="n">
        <v>387.27</v>
      </c>
      <c r="G1678" t="inlineStr">
        <is>
          <t>IDR bn</t>
        </is>
      </c>
      <c r="H1678" t="n">
        <v>5</v>
      </c>
      <c r="I1678" t="inlineStr">
        <is>
          <t>Jumlah liabilitas 387,273,566,648 1,855,302,273,250</t>
        </is>
      </c>
      <c r="J1678" t="inlineStr">
        <is>
          <t>High</t>
        </is>
      </c>
      <c r="M1678" t="inlineStr">
        <is>
          <t>LLM</t>
        </is>
      </c>
      <c r="N1678" t="inlineStr">
        <is>
          <t>2026-04-18</t>
        </is>
      </c>
      <c r="O1678" t="inlineStr">
        <is>
          <t>AI</t>
        </is>
      </c>
    </row>
    <row r="1679">
      <c r="A1679" t="inlineStr">
        <is>
          <t>PT Golden Plantation Tbk</t>
        </is>
      </c>
      <c r="B1679" t="inlineStr">
        <is>
          <t>GOLL_2020_AR.pdf</t>
        </is>
      </c>
      <c r="C1679" t="n">
        <v>2020</v>
      </c>
      <c r="D1679" t="inlineStr">
        <is>
          <t>Financial</t>
        </is>
      </c>
      <c r="E1679" t="inlineStr">
        <is>
          <t>Current Liabilities</t>
        </is>
      </c>
      <c r="F1679" t="n">
        <v>93.33</v>
      </c>
      <c r="G1679" t="inlineStr">
        <is>
          <t>IDR bn</t>
        </is>
      </c>
      <c r="H1679" t="n">
        <v>5</v>
      </c>
      <c r="I1679" t="inlineStr">
        <is>
          <t>Jumlah liabilitas jangka pendek 93,329,696,503 1,589,731,750,044</t>
        </is>
      </c>
      <c r="J1679" t="inlineStr">
        <is>
          <t>High</t>
        </is>
      </c>
      <c r="M1679" t="inlineStr">
        <is>
          <t>LLM</t>
        </is>
      </c>
      <c r="N1679" t="inlineStr">
        <is>
          <t>2026-04-18</t>
        </is>
      </c>
      <c r="O1679" t="inlineStr">
        <is>
          <t>AI</t>
        </is>
      </c>
    </row>
    <row r="1680">
      <c r="A1680" t="inlineStr">
        <is>
          <t>PT Golden Plantation Tbk</t>
        </is>
      </c>
      <c r="B1680" t="inlineStr">
        <is>
          <t>GOLL_2020_AR.pdf</t>
        </is>
      </c>
      <c r="C1680" t="n">
        <v>2020</v>
      </c>
      <c r="D1680" t="inlineStr">
        <is>
          <t>Financial</t>
        </is>
      </c>
      <c r="E1680" t="inlineStr">
        <is>
          <t>Non-Current Liabilities</t>
        </is>
      </c>
      <c r="F1680" t="n">
        <v>293.94</v>
      </c>
      <c r="G1680" t="inlineStr">
        <is>
          <t>IDR bn</t>
        </is>
      </c>
      <c r="H1680" t="n">
        <v>5</v>
      </c>
      <c r="I1680" t="inlineStr">
        <is>
          <t>Jumlah liabilitas jangka panjang 293,943,870,145 265,570,523,206</t>
        </is>
      </c>
      <c r="J1680" t="inlineStr">
        <is>
          <t>High</t>
        </is>
      </c>
      <c r="M1680" t="inlineStr">
        <is>
          <t>LLM</t>
        </is>
      </c>
      <c r="N1680" t="inlineStr">
        <is>
          <t>2026-04-18</t>
        </is>
      </c>
      <c r="O1680" t="inlineStr">
        <is>
          <t>AI</t>
        </is>
      </c>
    </row>
    <row r="1681">
      <c r="A1681" t="inlineStr">
        <is>
          <t>PT Golden Plantation Tbk</t>
        </is>
      </c>
      <c r="B1681" t="inlineStr">
        <is>
          <t>GOLL_2020_AR.pdf</t>
        </is>
      </c>
      <c r="C1681" t="n">
        <v>2020</v>
      </c>
      <c r="D1681" t="inlineStr">
        <is>
          <t>Financial</t>
        </is>
      </c>
      <c r="E1681" t="inlineStr">
        <is>
          <t>Trade Payables</t>
        </is>
      </c>
      <c r="F1681" t="n">
        <v>37.93</v>
      </c>
      <c r="G1681" t="inlineStr">
        <is>
          <t>IDR bn</t>
        </is>
      </c>
      <c r="H1681" t="n">
        <v>5</v>
      </c>
      <c r="I1681" t="inlineStr">
        <is>
          <t>Utang usaha pihak ketiga 37,927,577,975 147,917,273,595</t>
        </is>
      </c>
      <c r="J1681" t="inlineStr">
        <is>
          <t>High</t>
        </is>
      </c>
      <c r="M1681" t="inlineStr">
        <is>
          <t>LLM</t>
        </is>
      </c>
      <c r="N1681" t="inlineStr">
        <is>
          <t>2026-04-18</t>
        </is>
      </c>
      <c r="O1681" t="inlineStr">
        <is>
          <t>AI</t>
        </is>
      </c>
    </row>
    <row r="1682">
      <c r="A1682" t="inlineStr">
        <is>
          <t>PT Golden Plantation Tbk</t>
        </is>
      </c>
      <c r="B1682" t="inlineStr">
        <is>
          <t>GOLL_2020_AR.pdf</t>
        </is>
      </c>
      <c r="C1682" t="n">
        <v>2020</v>
      </c>
      <c r="D1682" t="inlineStr">
        <is>
          <t>Financial</t>
        </is>
      </c>
      <c r="E1682" t="inlineStr">
        <is>
          <t>Current Portion of Bank Loans</t>
        </is>
      </c>
      <c r="F1682" t="n">
        <v>9.18</v>
      </c>
      <c r="G1682" t="inlineStr">
        <is>
          <t>IDR bn</t>
        </is>
      </c>
      <c r="H1682" t="n">
        <v>5</v>
      </c>
      <c r="I1682" t="inlineStr">
        <is>
          <t>Liabilitas jangka panjang yang jatuh tempo dalam satu tahun atas utang bank 9,179,527,934 1,072,606,027,934</t>
        </is>
      </c>
      <c r="J1682" t="inlineStr">
        <is>
          <t>High</t>
        </is>
      </c>
      <c r="M1682" t="inlineStr">
        <is>
          <t>LLM</t>
        </is>
      </c>
      <c r="N1682" t="inlineStr">
        <is>
          <t>2026-04-18</t>
        </is>
      </c>
      <c r="O1682" t="inlineStr">
        <is>
          <t>AI</t>
        </is>
      </c>
    </row>
    <row r="1683">
      <c r="A1683" t="inlineStr">
        <is>
          <t>PT Golden Plantation Tbk</t>
        </is>
      </c>
      <c r="B1683" t="inlineStr">
        <is>
          <t>GOLL_2020_AR.pdf</t>
        </is>
      </c>
      <c r="C1683" t="n">
        <v>2020</v>
      </c>
      <c r="D1683" t="inlineStr">
        <is>
          <t>Financial</t>
        </is>
      </c>
      <c r="E1683" t="inlineStr">
        <is>
          <t>Long-term Bank Loans</t>
        </is>
      </c>
      <c r="F1683" t="n">
        <v>219.35</v>
      </c>
      <c r="G1683" t="inlineStr">
        <is>
          <t>IDR bn</t>
        </is>
      </c>
      <c r="H1683" t="n">
        <v>5</v>
      </c>
      <c r="I1683" t="inlineStr">
        <is>
          <t>Liabilitas jangka panjang atas utang bank 219,353,631,133 204,468,878,373</t>
        </is>
      </c>
      <c r="J1683" t="inlineStr">
        <is>
          <t>High</t>
        </is>
      </c>
      <c r="M1683" t="inlineStr">
        <is>
          <t>LLM</t>
        </is>
      </c>
      <c r="N1683" t="inlineStr">
        <is>
          <t>2026-04-18</t>
        </is>
      </c>
      <c r="O1683" t="inlineStr">
        <is>
          <t>AI</t>
        </is>
      </c>
    </row>
    <row r="1684">
      <c r="A1684" t="inlineStr">
        <is>
          <t>PT Golden Plantation Tbk</t>
        </is>
      </c>
      <c r="B1684" t="inlineStr">
        <is>
          <t>GOLL_2020_AR.pdf</t>
        </is>
      </c>
      <c r="C1684" t="n">
        <v>2020</v>
      </c>
      <c r="D1684" t="inlineStr">
        <is>
          <t>Financial</t>
        </is>
      </c>
      <c r="E1684" t="inlineStr">
        <is>
          <t>Gross Debt (bank loans)</t>
        </is>
      </c>
      <c r="F1684" t="n">
        <v>228.53</v>
      </c>
      <c r="G1684" t="inlineStr">
        <is>
          <t>IDR bn</t>
        </is>
      </c>
      <c r="H1684" t="n">
        <v>5</v>
      </c>
      <c r="I1684" t="inlineStr">
        <is>
          <t>Computed: 9,179,527,934 + 219,353,631,133 = 228,533,159,067</t>
        </is>
      </c>
      <c r="J1684" t="inlineStr">
        <is>
          <t>High</t>
        </is>
      </c>
      <c r="M1684" t="inlineStr">
        <is>
          <t>LLM</t>
        </is>
      </c>
      <c r="N1684" t="inlineStr">
        <is>
          <t>2026-04-18</t>
        </is>
      </c>
      <c r="O1684" t="inlineStr">
        <is>
          <t>AI</t>
        </is>
      </c>
    </row>
    <row r="1685">
      <c r="A1685" t="inlineStr">
        <is>
          <t>PT Golden Plantation Tbk</t>
        </is>
      </c>
      <c r="B1685" t="inlineStr">
        <is>
          <t>GOLL_2020_AR.pdf</t>
        </is>
      </c>
      <c r="C1685" t="n">
        <v>2020</v>
      </c>
      <c r="D1685" t="inlineStr">
        <is>
          <t>Financial</t>
        </is>
      </c>
      <c r="E1685" t="inlineStr">
        <is>
          <t>Due to Related Parties (LT)</t>
        </is>
      </c>
      <c r="F1685" t="n">
        <v>62.1</v>
      </c>
      <c r="G1685" t="inlineStr">
        <is>
          <t>IDR bn</t>
        </is>
      </c>
      <c r="H1685" t="n">
        <v>5</v>
      </c>
      <c r="I1685" t="inlineStr">
        <is>
          <t>Utang pihak berelasi jangka panjang 62,100,366,672 43,013,522,237</t>
        </is>
      </c>
      <c r="J1685" t="inlineStr">
        <is>
          <t>High</t>
        </is>
      </c>
      <c r="M1685" t="inlineStr">
        <is>
          <t>LLM</t>
        </is>
      </c>
      <c r="N1685" t="inlineStr">
        <is>
          <t>2026-04-18</t>
        </is>
      </c>
      <c r="O1685" t="inlineStr">
        <is>
          <t>AI</t>
        </is>
      </c>
    </row>
    <row r="1686">
      <c r="A1686" t="inlineStr">
        <is>
          <t>PT Golden Plantation Tbk</t>
        </is>
      </c>
      <c r="B1686" t="inlineStr">
        <is>
          <t>GOLL_2020_AR.pdf</t>
        </is>
      </c>
      <c r="C1686" t="n">
        <v>2020</v>
      </c>
      <c r="D1686" t="inlineStr">
        <is>
          <t>Financial</t>
        </is>
      </c>
      <c r="E1686" t="inlineStr">
        <is>
          <t>Deferred Tax Liabilities</t>
        </is>
      </c>
      <c r="F1686" t="n">
        <v>7.05</v>
      </c>
      <c r="G1686" t="inlineStr">
        <is>
          <t>IDR bn</t>
        </is>
      </c>
      <c r="H1686" t="n">
        <v>5</v>
      </c>
      <c r="I1686" t="inlineStr">
        <is>
          <t>Liabilitas pajak tangguhan 7,052,865,764 7,052,865,764</t>
        </is>
      </c>
      <c r="J1686" t="inlineStr">
        <is>
          <t>High</t>
        </is>
      </c>
      <c r="M1686" t="inlineStr">
        <is>
          <t>LLM</t>
        </is>
      </c>
      <c r="N1686" t="inlineStr">
        <is>
          <t>2026-04-18</t>
        </is>
      </c>
      <c r="O1686" t="inlineStr">
        <is>
          <t>AI</t>
        </is>
      </c>
    </row>
    <row r="1687">
      <c r="A1687" t="inlineStr">
        <is>
          <t>PT Golden Plantation Tbk</t>
        </is>
      </c>
      <c r="B1687" t="inlineStr">
        <is>
          <t>GOLL_2020_AR.pdf</t>
        </is>
      </c>
      <c r="C1687" t="n">
        <v>2020</v>
      </c>
      <c r="D1687" t="inlineStr">
        <is>
          <t>Financial</t>
        </is>
      </c>
      <c r="E1687" t="inlineStr">
        <is>
          <t>Total Equity</t>
        </is>
      </c>
      <c r="F1687" t="n">
        <v>84.39</v>
      </c>
      <c r="G1687" t="inlineStr">
        <is>
          <t>IDR bn</t>
        </is>
      </c>
      <c r="H1687" t="n">
        <v>6</v>
      </c>
      <c r="I1687" t="inlineStr">
        <is>
          <t>Jumlah ekuitas 84,388,733,883 740,984,522,355</t>
        </is>
      </c>
      <c r="J1687" t="inlineStr">
        <is>
          <t>High</t>
        </is>
      </c>
      <c r="M1687" t="inlineStr">
        <is>
          <t>LLM</t>
        </is>
      </c>
      <c r="N1687" t="inlineStr">
        <is>
          <t>2026-04-18</t>
        </is>
      </c>
      <c r="O1687" t="inlineStr">
        <is>
          <t>AI</t>
        </is>
      </c>
    </row>
    <row r="1688">
      <c r="A1688" t="inlineStr">
        <is>
          <t>PT Golden Plantation Tbk</t>
        </is>
      </c>
      <c r="B1688" t="inlineStr">
        <is>
          <t>GOLL_2020_AR.pdf</t>
        </is>
      </c>
      <c r="C1688" t="n">
        <v>2020</v>
      </c>
      <c r="D1688" t="inlineStr">
        <is>
          <t>Financial</t>
        </is>
      </c>
      <c r="E1688" t="inlineStr">
        <is>
          <t>Equity Attributable to Parent</t>
        </is>
      </c>
      <c r="F1688" t="n">
        <v>193.64</v>
      </c>
      <c r="G1688" t="inlineStr">
        <is>
          <t>IDR bn</t>
        </is>
      </c>
      <c r="H1688" t="n">
        <v>6</v>
      </c>
      <c r="I1688" t="inlineStr">
        <is>
          <t>Jumlah ekuitas yang diatribusikan kepada pemilik entitas induk 193,641,940,781 497,017,085,059</t>
        </is>
      </c>
      <c r="J1688" t="inlineStr">
        <is>
          <t>High</t>
        </is>
      </c>
      <c r="M1688" t="inlineStr">
        <is>
          <t>LLM</t>
        </is>
      </c>
      <c r="N1688" t="inlineStr">
        <is>
          <t>2026-04-18</t>
        </is>
      </c>
      <c r="O1688" t="inlineStr">
        <is>
          <t>AI</t>
        </is>
      </c>
    </row>
    <row r="1689">
      <c r="A1689" t="inlineStr">
        <is>
          <t>PT Golden Plantation Tbk</t>
        </is>
      </c>
      <c r="B1689" t="inlineStr">
        <is>
          <t>GOLL_2020_AR.pdf</t>
        </is>
      </c>
      <c r="C1689" t="n">
        <v>2020</v>
      </c>
      <c r="D1689" t="inlineStr">
        <is>
          <t>Financial</t>
        </is>
      </c>
      <c r="E1689" t="inlineStr">
        <is>
          <t>Non-Controlling Interests</t>
        </is>
      </c>
      <c r="F1689" t="n">
        <v>-109.25</v>
      </c>
      <c r="G1689" t="inlineStr">
        <is>
          <t>IDR bn</t>
        </is>
      </c>
      <c r="H1689" t="n">
        <v>6</v>
      </c>
      <c r="I1689" t="inlineStr">
        <is>
          <t>Kepentingan non-pengendali (109,253,206,898) 243,967,437,296</t>
        </is>
      </c>
      <c r="J1689" t="inlineStr">
        <is>
          <t>High</t>
        </is>
      </c>
      <c r="M1689" t="inlineStr">
        <is>
          <t>LLM</t>
        </is>
      </c>
      <c r="N1689" t="inlineStr">
        <is>
          <t>2026-04-18</t>
        </is>
      </c>
      <c r="O1689" t="inlineStr">
        <is>
          <t>AI</t>
        </is>
      </c>
    </row>
    <row r="1690">
      <c r="A1690" t="inlineStr">
        <is>
          <t>PT Golden Plantation Tbk</t>
        </is>
      </c>
      <c r="B1690" t="inlineStr">
        <is>
          <t>GOLL_2020_AR.pdf</t>
        </is>
      </c>
      <c r="C1690" t="n">
        <v>2020</v>
      </c>
      <c r="D1690" t="inlineStr">
        <is>
          <t>Financial</t>
        </is>
      </c>
      <c r="E1690" t="inlineStr">
        <is>
          <t>Share Capital (Common stocks)</t>
        </is>
      </c>
      <c r="F1690" t="n">
        <v>366.5</v>
      </c>
      <c r="G1690" t="inlineStr">
        <is>
          <t>IDR bn</t>
        </is>
      </c>
      <c r="H1690" t="n">
        <v>5</v>
      </c>
      <c r="I1690" t="inlineStr">
        <is>
          <t>Saham biasa 366,500,075,900 366,500,075,900</t>
        </is>
      </c>
      <c r="J1690" t="inlineStr">
        <is>
          <t>High</t>
        </is>
      </c>
      <c r="M1690" t="inlineStr">
        <is>
          <t>LLM</t>
        </is>
      </c>
      <c r="N1690" t="inlineStr">
        <is>
          <t>2026-04-18</t>
        </is>
      </c>
      <c r="O1690" t="inlineStr">
        <is>
          <t>AI</t>
        </is>
      </c>
    </row>
    <row r="1691">
      <c r="A1691" t="inlineStr">
        <is>
          <t>PT Golden Plantation Tbk</t>
        </is>
      </c>
      <c r="B1691" t="inlineStr">
        <is>
          <t>GOLL_2020_AR.pdf</t>
        </is>
      </c>
      <c r="C1691" t="n">
        <v>2020</v>
      </c>
      <c r="D1691" t="inlineStr">
        <is>
          <t>Financial</t>
        </is>
      </c>
      <c r="E1691" t="inlineStr">
        <is>
          <t>Additional Paid-in Capital</t>
        </is>
      </c>
      <c r="F1691" t="n">
        <v>141.16</v>
      </c>
      <c r="G1691" t="inlineStr">
        <is>
          <t>IDR bn</t>
        </is>
      </c>
      <c r="H1691" t="n">
        <v>5</v>
      </c>
      <c r="I1691" t="inlineStr">
        <is>
          <t>Tambahan modal disetor 141,164,591,528 310,793,835,738</t>
        </is>
      </c>
      <c r="J1691" t="inlineStr">
        <is>
          <t>High</t>
        </is>
      </c>
      <c r="M1691" t="inlineStr">
        <is>
          <t>LLM</t>
        </is>
      </c>
      <c r="N1691" t="inlineStr">
        <is>
          <t>2026-04-18</t>
        </is>
      </c>
      <c r="O1691" t="inlineStr">
        <is>
          <t>AI</t>
        </is>
      </c>
    </row>
    <row r="1692">
      <c r="A1692" t="inlineStr">
        <is>
          <t>PT Golden Plantation Tbk</t>
        </is>
      </c>
      <c r="B1692" t="inlineStr">
        <is>
          <t>GOLL_2020_AR.pdf</t>
        </is>
      </c>
      <c r="C1692" t="n">
        <v>2020</v>
      </c>
      <c r="D1692" t="inlineStr">
        <is>
          <t>Financial</t>
        </is>
      </c>
      <c r="E1692" t="inlineStr">
        <is>
          <t>Accumulated Deficit</t>
        </is>
      </c>
      <c r="F1692" t="n">
        <v>-314.02</v>
      </c>
      <c r="G1692" t="inlineStr">
        <is>
          <t>IDR bn</t>
        </is>
      </c>
      <c r="H1692" t="n">
        <v>5</v>
      </c>
      <c r="I1692" t="inlineStr">
        <is>
          <t>Saldo laba yang belum ditentukan penggunaannya (314,022,726,647)</t>
        </is>
      </c>
      <c r="J1692" t="inlineStr">
        <is>
          <t>High</t>
        </is>
      </c>
      <c r="M1692" t="inlineStr">
        <is>
          <t>LLM</t>
        </is>
      </c>
      <c r="N1692" t="inlineStr">
        <is>
          <t>2026-04-18</t>
        </is>
      </c>
      <c r="O1692" t="inlineStr">
        <is>
          <t>AI</t>
        </is>
      </c>
    </row>
    <row r="1693">
      <c r="A1693" t="inlineStr">
        <is>
          <t>PT Golden Plantation Tbk</t>
        </is>
      </c>
      <c r="B1693" t="inlineStr">
        <is>
          <t>GOLL_2020_AR.pdf</t>
        </is>
      </c>
      <c r="C1693" t="n">
        <v>2020</v>
      </c>
      <c r="D1693" t="inlineStr">
        <is>
          <t>Financial</t>
        </is>
      </c>
      <c r="E1693" t="inlineStr">
        <is>
          <t>CFO (Net)</t>
        </is>
      </c>
      <c r="F1693" t="n">
        <v>1.04</v>
      </c>
      <c r="G1693" t="inlineStr">
        <is>
          <t>IDR bn</t>
        </is>
      </c>
      <c r="H1693" t="n">
        <v>11</v>
      </c>
      <c r="I1693" t="inlineStr">
        <is>
          <t>Jumlah arus kas bersih ... diperoleh dari ... aktivitas operasi 1,036,960,902</t>
        </is>
      </c>
      <c r="J1693" t="inlineStr">
        <is>
          <t>High</t>
        </is>
      </c>
      <c r="M1693" t="inlineStr">
        <is>
          <t>LLM</t>
        </is>
      </c>
      <c r="N1693" t="inlineStr">
        <is>
          <t>2026-04-18</t>
        </is>
      </c>
      <c r="O1693" t="inlineStr">
        <is>
          <t>AI</t>
        </is>
      </c>
    </row>
    <row r="1694">
      <c r="A1694" t="inlineStr">
        <is>
          <t>PT Golden Plantation Tbk</t>
        </is>
      </c>
      <c r="B1694" t="inlineStr">
        <is>
          <t>GOLL_2020_AR.pdf</t>
        </is>
      </c>
      <c r="C1694" t="n">
        <v>2020</v>
      </c>
      <c r="D1694" t="inlineStr">
        <is>
          <t>Financial</t>
        </is>
      </c>
      <c r="E1694" t="inlineStr">
        <is>
          <t>CFI (Net)</t>
        </is>
      </c>
      <c r="F1694" t="n">
        <v>-386.19</v>
      </c>
      <c r="G1694" t="inlineStr">
        <is>
          <t>IDR bn</t>
        </is>
      </c>
      <c r="H1694" t="n">
        <v>11</v>
      </c>
      <c r="I1694" t="inlineStr">
        <is>
          <t>Jumlah arus kas bersih ... aktivitas investasi (386,187,791,996)</t>
        </is>
      </c>
      <c r="J1694" t="inlineStr">
        <is>
          <t>High</t>
        </is>
      </c>
      <c r="M1694" t="inlineStr">
        <is>
          <t>LLM</t>
        </is>
      </c>
      <c r="N1694" t="inlineStr">
        <is>
          <t>2026-04-18</t>
        </is>
      </c>
      <c r="O1694" t="inlineStr">
        <is>
          <t>AI</t>
        </is>
      </c>
    </row>
    <row r="1695">
      <c r="A1695" t="inlineStr">
        <is>
          <t>PT Golden Plantation Tbk</t>
        </is>
      </c>
      <c r="B1695" t="inlineStr">
        <is>
          <t>GOLL_2020_AR.pdf</t>
        </is>
      </c>
      <c r="C1695" t="n">
        <v>2020</v>
      </c>
      <c r="D1695" t="inlineStr">
        <is>
          <t>Financial</t>
        </is>
      </c>
      <c r="E1695" t="inlineStr">
        <is>
          <t>CFF (Net)</t>
        </is>
      </c>
      <c r="F1695" t="n">
        <v>385.2</v>
      </c>
      <c r="G1695" t="inlineStr">
        <is>
          <t>IDR bn</t>
        </is>
      </c>
      <c r="H1695" t="n">
        <v>11</v>
      </c>
      <c r="I1695" t="inlineStr">
        <is>
          <t>Jumlah arus kas bersih ... aktivitas pendanaan 385,203,567,724</t>
        </is>
      </c>
      <c r="J1695" t="inlineStr">
        <is>
          <t>High</t>
        </is>
      </c>
      <c r="M1695" t="inlineStr">
        <is>
          <t>LLM</t>
        </is>
      </c>
      <c r="N1695" t="inlineStr">
        <is>
          <t>2026-04-18</t>
        </is>
      </c>
      <c r="O1695" t="inlineStr">
        <is>
          <t>AI</t>
        </is>
      </c>
    </row>
    <row r="1696">
      <c r="A1696" t="inlineStr">
        <is>
          <t>PT Golden Plantation Tbk</t>
        </is>
      </c>
      <c r="B1696" t="inlineStr">
        <is>
          <t>GOLL_2020_AR.pdf</t>
        </is>
      </c>
      <c r="C1696" t="n">
        <v>2020</v>
      </c>
      <c r="D1696" t="inlineStr">
        <is>
          <t>Financial</t>
        </is>
      </c>
      <c r="E1696" t="inlineStr">
        <is>
          <t>Capex (Plantation acquisition)</t>
        </is>
      </c>
      <c r="F1696" t="n">
        <v>15.8</v>
      </c>
      <c r="G1696" t="inlineStr">
        <is>
          <t>IDR bn</t>
        </is>
      </c>
      <c r="H1696" t="n">
        <v>11</v>
      </c>
      <c r="I1696" t="inlineStr">
        <is>
          <t>Pembayaran untuk perolehan tanaman perkebunan (15,803,791,996)</t>
        </is>
      </c>
      <c r="J1696" t="inlineStr">
        <is>
          <t>High</t>
        </is>
      </c>
      <c r="M1696" t="inlineStr">
        <is>
          <t>LLM</t>
        </is>
      </c>
      <c r="N1696" t="inlineStr">
        <is>
          <t>2026-04-18</t>
        </is>
      </c>
      <c r="O1696" t="inlineStr">
        <is>
          <t>AI</t>
        </is>
      </c>
    </row>
    <row r="1697">
      <c r="A1697" t="inlineStr">
        <is>
          <t>PT Golden Plantation Tbk</t>
        </is>
      </c>
      <c r="B1697" t="inlineStr">
        <is>
          <t>GOLL_2020_AR.pdf</t>
        </is>
      </c>
      <c r="C1697" t="n">
        <v>2020</v>
      </c>
      <c r="D1697" t="inlineStr">
        <is>
          <t>Financial</t>
        </is>
      </c>
      <c r="E1697" t="inlineStr">
        <is>
          <t>Capex (PP&amp;E acquisition)</t>
        </is>
      </c>
      <c r="F1697" t="n">
        <v>0.023</v>
      </c>
      <c r="G1697" t="inlineStr">
        <is>
          <t>IDR bn</t>
        </is>
      </c>
      <c r="H1697" t="n">
        <v>11</v>
      </c>
      <c r="I1697" t="inlineStr">
        <is>
          <t>Pembayaran untuk perolehan aset tetap (22,745,000)</t>
        </is>
      </c>
      <c r="J1697" t="inlineStr">
        <is>
          <t>High</t>
        </is>
      </c>
      <c r="M1697" t="inlineStr">
        <is>
          <t>LLM</t>
        </is>
      </c>
      <c r="N1697" t="inlineStr">
        <is>
          <t>2026-04-18</t>
        </is>
      </c>
      <c r="O1697" t="inlineStr">
        <is>
          <t>AI</t>
        </is>
      </c>
    </row>
    <row r="1698">
      <c r="A1698" t="inlineStr">
        <is>
          <t>PT Golden Plantation Tbk</t>
        </is>
      </c>
      <c r="B1698" t="inlineStr">
        <is>
          <t>GOLL_2020_AR.pdf</t>
        </is>
      </c>
      <c r="C1698" t="n">
        <v>2020</v>
      </c>
      <c r="D1698" t="inlineStr">
        <is>
          <t>Financial</t>
        </is>
      </c>
      <c r="E1698" t="inlineStr">
        <is>
          <t>Proceeds from Subsidiary Disposal</t>
        </is>
      </c>
      <c r="F1698" t="n">
        <v>-370.38</v>
      </c>
      <c r="G1698" t="inlineStr">
        <is>
          <t>IDR bn</t>
        </is>
      </c>
      <c r="H1698" t="n">
        <v>11</v>
      </c>
      <c r="I1698" t="inlineStr">
        <is>
          <t>Penerimaan dari pelepasan entitas anak (370,384,000,000)</t>
        </is>
      </c>
      <c r="J1698" t="inlineStr">
        <is>
          <t>High</t>
        </is>
      </c>
      <c r="M1698" t="inlineStr">
        <is>
          <t>LLM</t>
        </is>
      </c>
      <c r="N1698" t="inlineStr">
        <is>
          <t>2026-04-18</t>
        </is>
      </c>
      <c r="O1698" t="inlineStr">
        <is>
          <t>AI</t>
        </is>
      </c>
    </row>
    <row r="1699">
      <c r="A1699" t="inlineStr">
        <is>
          <t>PT Golden Plantation Tbk</t>
        </is>
      </c>
      <c r="B1699" t="inlineStr">
        <is>
          <t>GOLL_2020_AR.pdf</t>
        </is>
      </c>
      <c r="C1699" t="n">
        <v>2020</v>
      </c>
      <c r="D1699" t="inlineStr">
        <is>
          <t>Financial</t>
        </is>
      </c>
      <c r="E1699" t="inlineStr">
        <is>
          <t>Bank Loan Proceeds</t>
        </is>
      </c>
      <c r="F1699" t="n">
        <v>14.88</v>
      </c>
      <c r="G1699" t="inlineStr">
        <is>
          <t>IDR bn</t>
        </is>
      </c>
      <c r="H1699" t="n">
        <v>11</v>
      </c>
      <c r="I1699" t="inlineStr">
        <is>
          <t>Penerimaan pinjaman bank 14,884,752,760</t>
        </is>
      </c>
      <c r="J1699" t="inlineStr">
        <is>
          <t>High</t>
        </is>
      </c>
      <c r="M1699" t="inlineStr">
        <is>
          <t>LLM</t>
        </is>
      </c>
      <c r="N1699" t="inlineStr">
        <is>
          <t>2026-04-18</t>
        </is>
      </c>
      <c r="O1699" t="inlineStr">
        <is>
          <t>AI</t>
        </is>
      </c>
    </row>
    <row r="1700">
      <c r="A1700" t="inlineStr">
        <is>
          <t>PT Golden Plantation Tbk</t>
        </is>
      </c>
      <c r="B1700" t="inlineStr">
        <is>
          <t>GOLL_2020_AR.pdf</t>
        </is>
      </c>
      <c r="C1700" t="n">
        <v>2020</v>
      </c>
      <c r="D1700" t="inlineStr">
        <is>
          <t>Financial</t>
        </is>
      </c>
      <c r="E1700" t="inlineStr">
        <is>
          <t>Payments to Related Parties</t>
        </is>
      </c>
      <c r="F1700" t="n">
        <v>371.96</v>
      </c>
      <c r="G1700" t="inlineStr">
        <is>
          <t>IDR bn</t>
        </is>
      </c>
      <c r="H1700" t="n">
        <v>11</v>
      </c>
      <c r="I1700" t="inlineStr">
        <is>
          <t>Pembayaran utang pihak berelasi 371,963,732,249</t>
        </is>
      </c>
      <c r="J1700" t="inlineStr">
        <is>
          <t>High</t>
        </is>
      </c>
      <c r="M1700" t="inlineStr">
        <is>
          <t>LLM</t>
        </is>
      </c>
      <c r="N1700" t="inlineStr">
        <is>
          <t>2026-04-18</t>
        </is>
      </c>
      <c r="O1700" t="inlineStr">
        <is>
          <t>AI</t>
        </is>
      </c>
    </row>
    <row r="1701">
      <c r="A1701" t="inlineStr">
        <is>
          <t>PT Golden Plantation Tbk</t>
        </is>
      </c>
      <c r="B1701" t="inlineStr">
        <is>
          <t>GOLL_2020_AR.pdf</t>
        </is>
      </c>
      <c r="C1701" t="n">
        <v>2020</v>
      </c>
      <c r="D1701" t="inlineStr">
        <is>
          <t>Financial</t>
        </is>
      </c>
      <c r="E1701" t="inlineStr">
        <is>
          <t>Net Cash Change</t>
        </is>
      </c>
      <c r="F1701" t="n">
        <v>0.05</v>
      </c>
      <c r="G1701" t="inlineStr">
        <is>
          <t>IDR bn</t>
        </is>
      </c>
      <c r="H1701" t="n">
        <v>11</v>
      </c>
      <c r="I1701" t="inlineStr">
        <is>
          <t>Jumlah kenaikan (penurunan) bersih kas dan setara kas 52,736,630</t>
        </is>
      </c>
      <c r="J1701" t="inlineStr">
        <is>
          <t>High</t>
        </is>
      </c>
      <c r="M1701" t="inlineStr">
        <is>
          <t>LLM</t>
        </is>
      </c>
      <c r="N1701" t="inlineStr">
        <is>
          <t>2026-04-18</t>
        </is>
      </c>
      <c r="O1701" t="inlineStr">
        <is>
          <t>AI</t>
        </is>
      </c>
    </row>
    <row r="1702">
      <c r="A1702" t="inlineStr">
        <is>
          <t>PT Golden Plantation Tbk</t>
        </is>
      </c>
      <c r="B1702" t="inlineStr">
        <is>
          <t>GOLL_2020_AR.pdf</t>
        </is>
      </c>
      <c r="C1702" t="n">
        <v>2020</v>
      </c>
      <c r="D1702" t="inlineStr">
        <is>
          <t>Financial</t>
        </is>
      </c>
      <c r="E1702" t="inlineStr">
        <is>
          <t>Cash Beginning of Period</t>
        </is>
      </c>
      <c r="F1702" t="n">
        <v>0.6899999999999999</v>
      </c>
      <c r="G1702" t="inlineStr">
        <is>
          <t>IDR bn</t>
        </is>
      </c>
      <c r="H1702" t="n">
        <v>11</v>
      </c>
      <c r="I1702" t="inlineStr">
        <is>
          <t>Kas dan setara kas arus kas, awal periode 686,697,083</t>
        </is>
      </c>
      <c r="J1702" t="inlineStr">
        <is>
          <t>High</t>
        </is>
      </c>
      <c r="M1702" t="inlineStr">
        <is>
          <t>LLM</t>
        </is>
      </c>
      <c r="N1702" t="inlineStr">
        <is>
          <t>2026-04-18</t>
        </is>
      </c>
      <c r="O1702" t="inlineStr">
        <is>
          <t>AI</t>
        </is>
      </c>
    </row>
    <row r="1703">
      <c r="A1703" t="inlineStr">
        <is>
          <t>PT Golden Plantation Tbk</t>
        </is>
      </c>
      <c r="B1703" t="inlineStr">
        <is>
          <t>GOLL_2020_AR.pdf</t>
        </is>
      </c>
      <c r="C1703" t="n">
        <v>2020</v>
      </c>
      <c r="D1703" t="inlineStr">
        <is>
          <t>Financial</t>
        </is>
      </c>
      <c r="E1703" t="inlineStr">
        <is>
          <t>Cash End of Period</t>
        </is>
      </c>
      <c r="F1703" t="n">
        <v>0.17</v>
      </c>
      <c r="G1703" t="inlineStr">
        <is>
          <t>IDR bn</t>
        </is>
      </c>
      <c r="H1703" t="n">
        <v>12</v>
      </c>
      <c r="I1703" t="inlineStr">
        <is>
          <t>Kas dan setara kas arus kas, akhir periode 168,159,892</t>
        </is>
      </c>
      <c r="J1703" t="inlineStr">
        <is>
          <t>High</t>
        </is>
      </c>
      <c r="M1703" t="inlineStr">
        <is>
          <t>LLM</t>
        </is>
      </c>
      <c r="N1703" t="inlineStr">
        <is>
          <t>2026-04-18</t>
        </is>
      </c>
      <c r="O1703" t="inlineStr">
        <is>
          <t>AI</t>
        </is>
      </c>
    </row>
    <row r="1704">
      <c r="A1704" t="inlineStr">
        <is>
          <t>PT Golden Plantation Tbk</t>
        </is>
      </c>
      <c r="B1704" t="inlineStr">
        <is>
          <t>GOLL_2020_AR.pdf</t>
        </is>
      </c>
      <c r="C1704" t="n">
        <v>2020</v>
      </c>
      <c r="D1704" t="inlineStr">
        <is>
          <t>Financial</t>
        </is>
      </c>
      <c r="E1704" t="inlineStr">
        <is>
          <t>Subsidiary Disposal Equity Impact</t>
        </is>
      </c>
      <c r="F1704" t="n">
        <v>-103.7</v>
      </c>
      <c r="G1704" t="inlineStr">
        <is>
          <t>IDR bn</t>
        </is>
      </c>
      <c r="H1704" t="n">
        <v>9</v>
      </c>
      <c r="I1704" t="inlineStr">
        <is>
          <t>Perubahan kepentingan non-pengendali atas pelepasan entitas anak ... (103,703,422,631)</t>
        </is>
      </c>
      <c r="J1704" t="inlineStr">
        <is>
          <t>High</t>
        </is>
      </c>
      <c r="M1704" t="inlineStr">
        <is>
          <t>LLM</t>
        </is>
      </c>
      <c r="N1704" t="inlineStr">
        <is>
          <t>2026-04-18</t>
        </is>
      </c>
      <c r="O1704" t="inlineStr">
        <is>
          <t>AI</t>
        </is>
      </c>
    </row>
    <row r="1705">
      <c r="A1705" t="inlineStr">
        <is>
          <t>PT Golden Plantation Tbk</t>
        </is>
      </c>
      <c r="B1705" t="inlineStr">
        <is>
          <t>GOLL_2020_AR.pdf</t>
        </is>
      </c>
      <c r="C1705" t="n">
        <v>2020</v>
      </c>
      <c r="D1705" t="inlineStr">
        <is>
          <t>Other</t>
        </is>
      </c>
      <c r="E1705" t="inlineStr">
        <is>
          <t>Disclosure Completeness</t>
        </is>
      </c>
      <c r="F1705" t="inlineStr">
        <is>
          <t>Audited financial statements only; no narrative annual report; no operational data (planted area, FFB, CPO, mills) disclosed.</t>
        </is>
      </c>
      <c r="G1705" t="inlineStr">
        <is>
          <t>text</t>
        </is>
      </c>
      <c r="H1705" t="n">
        <v>1</v>
      </c>
      <c r="I1705" t="inlineStr">
        <is>
          <t>Filing is a 12-page audited financial statements package submitted 13 Nov 2022 for FY2020.</t>
        </is>
      </c>
      <c r="J1705" t="inlineStr">
        <is>
          <t>High</t>
        </is>
      </c>
      <c r="M1705" t="inlineStr">
        <is>
          <t>LLM</t>
        </is>
      </c>
      <c r="N1705" t="inlineStr">
        <is>
          <t>2026-04-18</t>
        </is>
      </c>
      <c r="O1705" t="inlineStr">
        <is>
          <t>AI</t>
        </is>
      </c>
    </row>
    <row r="1706">
      <c r="A1706" t="inlineStr">
        <is>
          <t>PT Golden Plantation Tbk</t>
        </is>
      </c>
      <c r="B1706" t="inlineStr">
        <is>
          <t>GOLL_2020_AR.pdf</t>
        </is>
      </c>
      <c r="C1706" t="n">
        <v>2020</v>
      </c>
      <c r="D1706" t="inlineStr">
        <is>
          <t>Other</t>
        </is>
      </c>
      <c r="E1706" t="inlineStr">
        <is>
          <t>Late Filing Indicator</t>
        </is>
      </c>
      <c r="F1706" t="inlineStr">
        <is>
          <t>Audit report 13 Nov 2022 (~22 months after 31 Dec 2020 fiscal year-end)</t>
        </is>
      </c>
      <c r="G1706" t="inlineStr">
        <is>
          <t>text</t>
        </is>
      </c>
      <c r="H1706" t="n">
        <v>2</v>
      </c>
      <c r="I1706" t="inlineStr">
        <is>
          <t>Tanggal laporan audit November 13, 2022</t>
        </is>
      </c>
      <c r="J1706" t="inlineStr">
        <is>
          <t>High</t>
        </is>
      </c>
      <c r="M1706" t="inlineStr">
        <is>
          <t>LLM</t>
        </is>
      </c>
      <c r="N1706" t="inlineStr">
        <is>
          <t>2026-04-18</t>
        </is>
      </c>
      <c r="O1706" t="inlineStr">
        <is>
          <t>AI</t>
        </is>
      </c>
    </row>
    <row r="1707">
      <c r="A1707" t="inlineStr">
        <is>
          <t>PT Gunanusa Eramandiri Tbk</t>
        </is>
      </c>
      <c r="B1707" t="inlineStr">
        <is>
          <t>GUNA_2024_AR.pdf</t>
        </is>
      </c>
      <c r="C1707" t="n">
        <v>2024</v>
      </c>
      <c r="D1707" t="inlineStr">
        <is>
          <t>Company</t>
        </is>
      </c>
      <c r="E1707" t="inlineStr">
        <is>
          <t>Company Name</t>
        </is>
      </c>
      <c r="F1707" t="inlineStr">
        <is>
          <t>PT Gunanusa Eramandiri Tbk</t>
        </is>
      </c>
      <c r="G1707" t="inlineStr">
        <is>
          <t>text</t>
        </is>
      </c>
      <c r="H1707" t="n">
        <v>32</v>
      </c>
      <c r="I1707" t="inlineStr">
        <is>
          <t>Nama Perusahaan PT Gunanusa Eramandiri Tbk</t>
        </is>
      </c>
      <c r="J1707" t="inlineStr">
        <is>
          <t>High</t>
        </is>
      </c>
      <c r="M1707" t="inlineStr">
        <is>
          <t>LLM</t>
        </is>
      </c>
      <c r="N1707" t="inlineStr">
        <is>
          <t>2026-04-18</t>
        </is>
      </c>
      <c r="O1707" t="inlineStr">
        <is>
          <t>AI</t>
        </is>
      </c>
    </row>
    <row r="1708">
      <c r="A1708" t="inlineStr">
        <is>
          <t>PT Gunanusa Eramandiri Tbk</t>
        </is>
      </c>
      <c r="B1708" t="inlineStr">
        <is>
          <t>GUNA_2024_AR.pdf</t>
        </is>
      </c>
      <c r="C1708" t="n">
        <v>2024</v>
      </c>
      <c r="D1708" t="inlineStr">
        <is>
          <t>Company</t>
        </is>
      </c>
      <c r="E1708" t="inlineStr">
        <is>
          <t>Ticker</t>
        </is>
      </c>
      <c r="F1708" t="inlineStr">
        <is>
          <t>GUNA</t>
        </is>
      </c>
      <c r="G1708" t="inlineStr">
        <is>
          <t>text</t>
        </is>
      </c>
      <c r="H1708" t="n">
        <v>32</v>
      </c>
      <c r="I1708" t="inlineStr">
        <is>
          <t>Kode Saham GUNA</t>
        </is>
      </c>
      <c r="J1708" t="inlineStr">
        <is>
          <t>High</t>
        </is>
      </c>
      <c r="M1708" t="inlineStr">
        <is>
          <t>LLM</t>
        </is>
      </c>
      <c r="N1708" t="inlineStr">
        <is>
          <t>2026-04-18</t>
        </is>
      </c>
      <c r="O1708" t="inlineStr">
        <is>
          <t>AI</t>
        </is>
      </c>
    </row>
    <row r="1709">
      <c r="A1709" t="inlineStr">
        <is>
          <t>PT Gunanusa Eramandiri Tbk</t>
        </is>
      </c>
      <c r="B1709" t="inlineStr">
        <is>
          <t>GUNA_2024_AR.pdf</t>
        </is>
      </c>
      <c r="C1709" t="n">
        <v>2024</v>
      </c>
      <c r="D1709" t="inlineStr">
        <is>
          <t>Company</t>
        </is>
      </c>
      <c r="E1709" t="inlineStr">
        <is>
          <t>Date of Establishment</t>
        </is>
      </c>
      <c r="F1709" t="inlineStr">
        <is>
          <t>5 August 1993</t>
        </is>
      </c>
      <c r="G1709" t="inlineStr">
        <is>
          <t>date</t>
        </is>
      </c>
      <c r="H1709" t="n">
        <v>32</v>
      </c>
      <c r="I1709" t="inlineStr">
        <is>
          <t>Tanggal Pendirian 5 Agustus 1993</t>
        </is>
      </c>
      <c r="J1709" t="inlineStr">
        <is>
          <t>High</t>
        </is>
      </c>
      <c r="M1709" t="inlineStr">
        <is>
          <t>LLM</t>
        </is>
      </c>
      <c r="N1709" t="inlineStr">
        <is>
          <t>2026-04-18</t>
        </is>
      </c>
      <c r="O1709" t="inlineStr">
        <is>
          <t>AI</t>
        </is>
      </c>
    </row>
    <row r="1710">
      <c r="A1710" t="inlineStr">
        <is>
          <t>PT Gunanusa Eramandiri Tbk</t>
        </is>
      </c>
      <c r="B1710" t="inlineStr">
        <is>
          <t>GUNA_2024_AR.pdf</t>
        </is>
      </c>
      <c r="C1710" t="n">
        <v>2024</v>
      </c>
      <c r="D1710" t="inlineStr">
        <is>
          <t>Company</t>
        </is>
      </c>
      <c r="E1710" t="inlineStr">
        <is>
          <t>Business Sector</t>
        </is>
      </c>
      <c r="F1710" t="inlineStr">
        <is>
          <t>Non-Cyclical Consumer Goods</t>
        </is>
      </c>
      <c r="G1710" t="inlineStr">
        <is>
          <t>text</t>
        </is>
      </c>
      <c r="H1710" t="n">
        <v>32</v>
      </c>
      <c r="I1710" t="inlineStr">
        <is>
          <t>Bidang Usaha Non-Cyclical Consumer Goods</t>
        </is>
      </c>
      <c r="J1710" t="inlineStr">
        <is>
          <t>High</t>
        </is>
      </c>
      <c r="M1710" t="inlineStr">
        <is>
          <t>LLM</t>
        </is>
      </c>
      <c r="N1710" t="inlineStr">
        <is>
          <t>2026-04-18</t>
        </is>
      </c>
      <c r="O1710" t="inlineStr">
        <is>
          <t>AI</t>
        </is>
      </c>
    </row>
    <row r="1711">
      <c r="A1711" t="inlineStr">
        <is>
          <t>PT Gunanusa Eramandiri Tbk</t>
        </is>
      </c>
      <c r="B1711" t="inlineStr">
        <is>
          <t>GUNA_2024_AR.pdf</t>
        </is>
      </c>
      <c r="C1711" t="n">
        <v>2024</v>
      </c>
      <c r="D1711" t="inlineStr">
        <is>
          <t>Company</t>
        </is>
      </c>
      <c r="E1711" t="inlineStr">
        <is>
          <t>Number of Employees</t>
        </is>
      </c>
      <c r="F1711" t="n">
        <v>1027</v>
      </c>
      <c r="G1711" t="inlineStr">
        <is>
          <t>people</t>
        </is>
      </c>
      <c r="H1711" t="n">
        <v>32</v>
      </c>
      <c r="I1711" t="inlineStr">
        <is>
          <t>Jumlah Karyawan 1.027 orang | employees</t>
        </is>
      </c>
      <c r="J1711" t="inlineStr">
        <is>
          <t>High</t>
        </is>
      </c>
      <c r="M1711" t="inlineStr">
        <is>
          <t>LLM</t>
        </is>
      </c>
      <c r="N1711" t="inlineStr">
        <is>
          <t>2026-04-18</t>
        </is>
      </c>
      <c r="O1711" t="inlineStr">
        <is>
          <t>AI</t>
        </is>
      </c>
    </row>
    <row r="1712">
      <c r="A1712" t="inlineStr">
        <is>
          <t>PT Gunanusa Eramandiri Tbk</t>
        </is>
      </c>
      <c r="B1712" t="inlineStr">
        <is>
          <t>GUNA_2024_AR.pdf</t>
        </is>
      </c>
      <c r="C1712" t="n">
        <v>2024</v>
      </c>
      <c r="D1712" t="inlineStr">
        <is>
          <t>Company</t>
        </is>
      </c>
      <c r="E1712" t="inlineStr">
        <is>
          <t>IPO Date</t>
        </is>
      </c>
      <c r="F1712" t="inlineStr">
        <is>
          <t>9 July 2024</t>
        </is>
      </c>
      <c r="G1712" t="inlineStr">
        <is>
          <t>date</t>
        </is>
      </c>
      <c r="H1712" t="n">
        <v>11</v>
      </c>
      <c r="I1712" t="inlineStr">
        <is>
          <t>Perseroan secara resmi mencatatkan sahamnya di Bursa Efek Indonesia pada 9 Juli 2024 dengan kode saham GUNA</t>
        </is>
      </c>
      <c r="J1712" t="inlineStr">
        <is>
          <t>High</t>
        </is>
      </c>
      <c r="M1712" t="inlineStr">
        <is>
          <t>LLM</t>
        </is>
      </c>
      <c r="N1712" t="inlineStr">
        <is>
          <t>2026-04-18</t>
        </is>
      </c>
      <c r="O1712" t="inlineStr">
        <is>
          <t>AI</t>
        </is>
      </c>
    </row>
    <row r="1713">
      <c r="A1713" t="inlineStr">
        <is>
          <t>PT Gunanusa Eramandiri Tbk</t>
        </is>
      </c>
      <c r="B1713" t="inlineStr">
        <is>
          <t>GUNA_2024_AR.pdf</t>
        </is>
      </c>
      <c r="C1713" t="n">
        <v>2024</v>
      </c>
      <c r="D1713" t="inlineStr">
        <is>
          <t>Company</t>
        </is>
      </c>
      <c r="E1713" t="inlineStr">
        <is>
          <t>IPO Shares Issued</t>
        </is>
      </c>
      <c r="F1713" t="n">
        <v>500</v>
      </c>
      <c r="G1713" t="inlineStr">
        <is>
          <t>mn shares</t>
        </is>
      </c>
      <c r="H1713" t="n">
        <v>11</v>
      </c>
      <c r="I1713" t="inlineStr">
        <is>
          <t>Jumlah saham yang ditawarkan dalam Penawaran Umum Perdana ini adalah sebanyak 500 juta saham biasa atas nama atau 20%</t>
        </is>
      </c>
      <c r="J1713" t="inlineStr">
        <is>
          <t>High</t>
        </is>
      </c>
      <c r="M1713" t="inlineStr">
        <is>
          <t>LLM</t>
        </is>
      </c>
      <c r="N1713" t="inlineStr">
        <is>
          <t>2026-04-18</t>
        </is>
      </c>
      <c r="O1713" t="inlineStr">
        <is>
          <t>AI</t>
        </is>
      </c>
    </row>
    <row r="1714">
      <c r="A1714" t="inlineStr">
        <is>
          <t>PT Gunanusa Eramandiri Tbk</t>
        </is>
      </c>
      <c r="B1714" t="inlineStr">
        <is>
          <t>GUNA_2024_AR.pdf</t>
        </is>
      </c>
      <c r="C1714" t="n">
        <v>2024</v>
      </c>
      <c r="D1714" t="inlineStr">
        <is>
          <t>Company</t>
        </is>
      </c>
      <c r="E1714" t="inlineStr">
        <is>
          <t>IPO Price</t>
        </is>
      </c>
      <c r="F1714" t="n">
        <v>150</v>
      </c>
      <c r="G1714" t="inlineStr">
        <is>
          <t>Rp/share</t>
        </is>
      </c>
      <c r="H1714" t="n">
        <v>11</v>
      </c>
      <c r="I1714" t="inlineStr">
        <is>
          <t>harga penawaran sebesar Rp150 setiap saham</t>
        </is>
      </c>
      <c r="J1714" t="inlineStr">
        <is>
          <t>High</t>
        </is>
      </c>
      <c r="M1714" t="inlineStr">
        <is>
          <t>LLM</t>
        </is>
      </c>
      <c r="N1714" t="inlineStr">
        <is>
          <t>2026-04-18</t>
        </is>
      </c>
      <c r="O1714" t="inlineStr">
        <is>
          <t>AI</t>
        </is>
      </c>
    </row>
    <row r="1715">
      <c r="A1715" t="inlineStr">
        <is>
          <t>PT Gunanusa Eramandiri Tbk</t>
        </is>
      </c>
      <c r="B1715" t="inlineStr">
        <is>
          <t>GUNA_2024_AR.pdf</t>
        </is>
      </c>
      <c r="C1715" t="n">
        <v>2024</v>
      </c>
      <c r="D1715" t="inlineStr">
        <is>
          <t>Company</t>
        </is>
      </c>
      <c r="E1715" t="inlineStr">
        <is>
          <t>IPO Proceeds (Gross)</t>
        </is>
      </c>
      <c r="F1715" t="n">
        <v>75</v>
      </c>
      <c r="G1715" t="inlineStr">
        <is>
          <t>IDR bn</t>
        </is>
      </c>
      <c r="H1715" t="n">
        <v>33</v>
      </c>
      <c r="I1715" t="inlineStr">
        <is>
          <t>dengan total dana yang terhimpun sebesar Rp75.000.000.000 (tujuh puluh lima miliar Rupiah)</t>
        </is>
      </c>
      <c r="J1715" t="inlineStr">
        <is>
          <t>High</t>
        </is>
      </c>
      <c r="M1715" t="inlineStr">
        <is>
          <t>LLM</t>
        </is>
      </c>
      <c r="N1715" t="inlineStr">
        <is>
          <t>2026-04-18</t>
        </is>
      </c>
      <c r="O1715" t="inlineStr">
        <is>
          <t>AI</t>
        </is>
      </c>
    </row>
    <row r="1716">
      <c r="A1716" t="inlineStr">
        <is>
          <t>PT Gunanusa Eramandiri Tbk</t>
        </is>
      </c>
      <c r="B1716" t="inlineStr">
        <is>
          <t>GUNA_2024_AR.pdf</t>
        </is>
      </c>
      <c r="C1716" t="n">
        <v>2024</v>
      </c>
      <c r="D1716" t="inlineStr">
        <is>
          <t>Company</t>
        </is>
      </c>
      <c r="E1716" t="inlineStr">
        <is>
          <t>IPO Proceeds Net</t>
        </is>
      </c>
      <c r="F1716" t="n">
        <v>69.09999999999999</v>
      </c>
      <c r="G1716" t="inlineStr">
        <is>
          <t>IDR bn</t>
        </is>
      </c>
      <c r="H1716" t="n">
        <v>19</v>
      </c>
      <c r="I1716" t="inlineStr">
        <is>
          <t>Realisasi penggunaan dana telah dilaksanakan pada 11 Juli 2024 yang telah direalisasikan Rp69.099.520.137 (100%) setelah dipotong biaya emisi</t>
        </is>
      </c>
      <c r="J1716" t="inlineStr">
        <is>
          <t>High</t>
        </is>
      </c>
      <c r="M1716" t="inlineStr">
        <is>
          <t>LLM</t>
        </is>
      </c>
      <c r="N1716" t="inlineStr">
        <is>
          <t>2026-04-18</t>
        </is>
      </c>
      <c r="O1716" t="inlineStr">
        <is>
          <t>AI</t>
        </is>
      </c>
    </row>
    <row r="1717">
      <c r="A1717" t="inlineStr">
        <is>
          <t>PT Gunanusa Eramandiri Tbk</t>
        </is>
      </c>
      <c r="B1717" t="inlineStr">
        <is>
          <t>GUNA_2024_AR.pdf</t>
        </is>
      </c>
      <c r="C1717" t="n">
        <v>2024</v>
      </c>
      <c r="D1717" t="inlineStr">
        <is>
          <t>Company</t>
        </is>
      </c>
      <c r="E1717" t="inlineStr">
        <is>
          <t>Authorized Capital</t>
        </is>
      </c>
      <c r="F1717" t="n">
        <v>800</v>
      </c>
      <c r="G1717" t="inlineStr">
        <is>
          <t>IDR bn</t>
        </is>
      </c>
      <c r="H1717" t="n">
        <v>32</v>
      </c>
      <c r="I1717" t="inlineStr">
        <is>
          <t>Modal Dasar Rp800.000.000.000</t>
        </is>
      </c>
      <c r="J1717" t="inlineStr">
        <is>
          <t>High</t>
        </is>
      </c>
      <c r="M1717" t="inlineStr">
        <is>
          <t>LLM</t>
        </is>
      </c>
      <c r="N1717" t="inlineStr">
        <is>
          <t>2026-04-18</t>
        </is>
      </c>
      <c r="O1717" t="inlineStr">
        <is>
          <t>AI</t>
        </is>
      </c>
    </row>
    <row r="1718">
      <c r="A1718" t="inlineStr">
        <is>
          <t>PT Gunanusa Eramandiri Tbk</t>
        </is>
      </c>
      <c r="B1718" t="inlineStr">
        <is>
          <t>GUNA_2024_AR.pdf</t>
        </is>
      </c>
      <c r="C1718" t="n">
        <v>2024</v>
      </c>
      <c r="D1718" t="inlineStr">
        <is>
          <t>Company</t>
        </is>
      </c>
      <c r="E1718" t="inlineStr">
        <is>
          <t>Issued &amp; Paid-up Capital</t>
        </is>
      </c>
      <c r="F1718" t="n">
        <v>250</v>
      </c>
      <c r="G1718" t="inlineStr">
        <is>
          <t>IDR bn</t>
        </is>
      </c>
      <c r="H1718" t="n">
        <v>32</v>
      </c>
      <c r="I1718" t="inlineStr">
        <is>
          <t>Modal Ditempatkan dan Disetor Penuh Rp250.000.000.000</t>
        </is>
      </c>
      <c r="J1718" t="inlineStr">
        <is>
          <t>High</t>
        </is>
      </c>
      <c r="M1718" t="inlineStr">
        <is>
          <t>LLM</t>
        </is>
      </c>
      <c r="N1718" t="inlineStr">
        <is>
          <t>2026-04-18</t>
        </is>
      </c>
      <c r="O1718" t="inlineStr">
        <is>
          <t>AI</t>
        </is>
      </c>
    </row>
    <row r="1719">
      <c r="A1719" t="inlineStr">
        <is>
          <t>PT Gunanusa Eramandiri Tbk</t>
        </is>
      </c>
      <c r="B1719" t="inlineStr">
        <is>
          <t>GUNA_2024_AR.pdf</t>
        </is>
      </c>
      <c r="C1719" t="n">
        <v>2024</v>
      </c>
      <c r="D1719" t="inlineStr">
        <is>
          <t>Company</t>
        </is>
      </c>
      <c r="E1719" t="inlineStr">
        <is>
          <t>Controlling Shareholder - Tjokro Gunawan</t>
        </is>
      </c>
      <c r="F1719" t="n">
        <v>0.24</v>
      </c>
      <c r="G1719" t="inlineStr">
        <is>
          <t>%</t>
        </is>
      </c>
      <c r="H1719" t="n">
        <v>61</v>
      </c>
      <c r="I1719" t="inlineStr">
        <is>
          <t>Tjokro Gunawan 600.000.000 24%</t>
        </is>
      </c>
      <c r="J1719" t="inlineStr">
        <is>
          <t>High</t>
        </is>
      </c>
      <c r="M1719" t="inlineStr">
        <is>
          <t>LLM</t>
        </is>
      </c>
      <c r="N1719" t="inlineStr">
        <is>
          <t>2026-04-18</t>
        </is>
      </c>
      <c r="O1719" t="inlineStr">
        <is>
          <t>AI</t>
        </is>
      </c>
    </row>
    <row r="1720">
      <c r="A1720" t="inlineStr">
        <is>
          <t>PT Gunanusa Eramandiri Tbk</t>
        </is>
      </c>
      <c r="B1720" t="inlineStr">
        <is>
          <t>GUNA_2024_AR.pdf</t>
        </is>
      </c>
      <c r="C1720" t="n">
        <v>2024</v>
      </c>
      <c r="D1720" t="inlineStr">
        <is>
          <t>Company</t>
        </is>
      </c>
      <c r="E1720" t="inlineStr">
        <is>
          <t>Controlling Shareholder - Ivan Cokro Saputra</t>
        </is>
      </c>
      <c r="F1720" t="n">
        <v>0.24</v>
      </c>
      <c r="G1720" t="inlineStr">
        <is>
          <t>%</t>
        </is>
      </c>
      <c r="H1720" t="n">
        <v>61</v>
      </c>
      <c r="I1720" t="inlineStr">
        <is>
          <t>Ivan Cokro Saputra 600.000.000 24%</t>
        </is>
      </c>
      <c r="J1720" t="inlineStr">
        <is>
          <t>High</t>
        </is>
      </c>
      <c r="M1720" t="inlineStr">
        <is>
          <t>LLM</t>
        </is>
      </c>
      <c r="N1720" t="inlineStr">
        <is>
          <t>2026-04-18</t>
        </is>
      </c>
      <c r="O1720" t="inlineStr">
        <is>
          <t>AI</t>
        </is>
      </c>
    </row>
    <row r="1721">
      <c r="A1721" t="inlineStr">
        <is>
          <t>PT Gunanusa Eramandiri Tbk</t>
        </is>
      </c>
      <c r="B1721" t="inlineStr">
        <is>
          <t>GUNA_2024_AR.pdf</t>
        </is>
      </c>
      <c r="C1721" t="n">
        <v>2024</v>
      </c>
      <c r="D1721" t="inlineStr">
        <is>
          <t>Company</t>
        </is>
      </c>
      <c r="E1721" t="inlineStr">
        <is>
          <t>Controlling Shareholder - Cecilia Lanny Budiman</t>
        </is>
      </c>
      <c r="F1721" t="n">
        <v>0.16</v>
      </c>
      <c r="G1721" t="inlineStr">
        <is>
          <t>%</t>
        </is>
      </c>
      <c r="H1721" t="n">
        <v>61</v>
      </c>
      <c r="I1721" t="inlineStr">
        <is>
          <t>Cecilia Lanny Budiman 400.000.000 16%</t>
        </is>
      </c>
      <c r="J1721" t="inlineStr">
        <is>
          <t>High</t>
        </is>
      </c>
      <c r="M1721" t="inlineStr">
        <is>
          <t>LLM</t>
        </is>
      </c>
      <c r="N1721" t="inlineStr">
        <is>
          <t>2026-04-18</t>
        </is>
      </c>
      <c r="O1721" t="inlineStr">
        <is>
          <t>AI</t>
        </is>
      </c>
    </row>
    <row r="1722">
      <c r="A1722" t="inlineStr">
        <is>
          <t>PT Gunanusa Eramandiri Tbk</t>
        </is>
      </c>
      <c r="B1722" t="inlineStr">
        <is>
          <t>GUNA_2024_AR.pdf</t>
        </is>
      </c>
      <c r="C1722" t="n">
        <v>2024</v>
      </c>
      <c r="D1722" t="inlineStr">
        <is>
          <t>Company</t>
        </is>
      </c>
      <c r="E1722" t="inlineStr">
        <is>
          <t>Controlling Shareholder - Bernice Cokrosaputro</t>
        </is>
      </c>
      <c r="F1722" t="n">
        <v>0.16</v>
      </c>
      <c r="G1722" t="inlineStr">
        <is>
          <t>%</t>
        </is>
      </c>
      <c r="H1722" t="n">
        <v>61</v>
      </c>
      <c r="I1722" t="inlineStr">
        <is>
          <t>Bernice Cokrosaputro 400.000.000 16%</t>
        </is>
      </c>
      <c r="J1722" t="inlineStr">
        <is>
          <t>High</t>
        </is>
      </c>
      <c r="M1722" t="inlineStr">
        <is>
          <t>LLM</t>
        </is>
      </c>
      <c r="N1722" t="inlineStr">
        <is>
          <t>2026-04-18</t>
        </is>
      </c>
      <c r="O1722" t="inlineStr">
        <is>
          <t>AI</t>
        </is>
      </c>
    </row>
    <row r="1723">
      <c r="A1723" t="inlineStr">
        <is>
          <t>PT Gunanusa Eramandiri Tbk</t>
        </is>
      </c>
      <c r="B1723" t="inlineStr">
        <is>
          <t>GUNA_2024_AR.pdf</t>
        </is>
      </c>
      <c r="C1723" t="n">
        <v>2024</v>
      </c>
      <c r="D1723" t="inlineStr">
        <is>
          <t>Company</t>
        </is>
      </c>
      <c r="E1723" t="inlineStr">
        <is>
          <t>Public Float</t>
        </is>
      </c>
      <c r="F1723" t="n">
        <v>0.2</v>
      </c>
      <c r="G1723" t="inlineStr">
        <is>
          <t>%</t>
        </is>
      </c>
      <c r="H1723" t="n">
        <v>61</v>
      </c>
      <c r="I1723" t="inlineStr">
        <is>
          <t>Masyarakat (kepemilikan &lt;5%) 500.000.000 20%</t>
        </is>
      </c>
      <c r="J1723" t="inlineStr">
        <is>
          <t>High</t>
        </is>
      </c>
      <c r="M1723" t="inlineStr">
        <is>
          <t>LLM</t>
        </is>
      </c>
      <c r="N1723" t="inlineStr">
        <is>
          <t>2026-04-18</t>
        </is>
      </c>
      <c r="O1723" t="inlineStr">
        <is>
          <t>AI</t>
        </is>
      </c>
    </row>
    <row r="1724">
      <c r="A1724" t="inlineStr">
        <is>
          <t>PT Gunanusa Eramandiri Tbk</t>
        </is>
      </c>
      <c r="B1724" t="inlineStr">
        <is>
          <t>GUNA_2024_AR.pdf</t>
        </is>
      </c>
      <c r="C1724" t="n">
        <v>2024</v>
      </c>
      <c r="D1724" t="inlineStr">
        <is>
          <t>Company</t>
        </is>
      </c>
      <c r="E1724" t="inlineStr">
        <is>
          <t>Largest Customer (Unilever Indonesia)</t>
        </is>
      </c>
      <c r="F1724" t="n">
        <v>0.5600000000000001</v>
      </c>
      <c r="G1724" t="inlineStr">
        <is>
          <t>% revenue</t>
        </is>
      </c>
      <c r="H1724" t="n">
        <v>33</v>
      </c>
      <c r="I1724" t="inlineStr">
        <is>
          <t>Unilever, yang merupakan pelanggan terbesar Perseroan dengan persentase penjualan mencapai sekitar 56%</t>
        </is>
      </c>
      <c r="J1724" t="inlineStr">
        <is>
          <t>High</t>
        </is>
      </c>
      <c r="M1724" t="inlineStr">
        <is>
          <t>LLM</t>
        </is>
      </c>
      <c r="N1724" t="inlineStr">
        <is>
          <t>2026-04-18</t>
        </is>
      </c>
      <c r="O1724" t="inlineStr">
        <is>
          <t>AI</t>
        </is>
      </c>
    </row>
    <row r="1725">
      <c r="A1725" t="inlineStr">
        <is>
          <t>PT Gunanusa Eramandiri Tbk</t>
        </is>
      </c>
      <c r="B1725" t="inlineStr">
        <is>
          <t>GUNA_2024_AR.pdf</t>
        </is>
      </c>
      <c r="C1725" t="n">
        <v>2024</v>
      </c>
      <c r="D1725" t="inlineStr">
        <is>
          <t>Company</t>
        </is>
      </c>
      <c r="E1725" t="inlineStr">
        <is>
          <t>Number of Corporate Customers</t>
        </is>
      </c>
      <c r="F1725" t="n">
        <v>291</v>
      </c>
      <c r="G1725" t="inlineStr">
        <is>
          <t>count</t>
        </is>
      </c>
      <c r="H1725" t="n">
        <v>25</v>
      </c>
      <c r="I1725" t="inlineStr">
        <is>
          <t>Perseroan saat ini memiliki total 291 pelanggan korporat di dalam negeri dan juga luar negeri</t>
        </is>
      </c>
      <c r="J1725" t="inlineStr">
        <is>
          <t>High</t>
        </is>
      </c>
      <c r="M1725" t="inlineStr">
        <is>
          <t>LLM</t>
        </is>
      </c>
      <c r="N1725" t="inlineStr">
        <is>
          <t>2026-04-18</t>
        </is>
      </c>
      <c r="O1725" t="inlineStr">
        <is>
          <t>AI</t>
        </is>
      </c>
    </row>
    <row r="1726">
      <c r="A1726" t="inlineStr">
        <is>
          <t>PT Gunanusa Eramandiri Tbk</t>
        </is>
      </c>
      <c r="B1726" t="inlineStr">
        <is>
          <t>GUNA_2024_AR.pdf</t>
        </is>
      </c>
      <c r="C1726" t="n">
        <v>2024</v>
      </c>
      <c r="D1726" t="inlineStr">
        <is>
          <t>Financial</t>
        </is>
      </c>
      <c r="E1726" t="inlineStr">
        <is>
          <t>Revenue</t>
        </is>
      </c>
      <c r="F1726" t="n">
        <v>1444.399</v>
      </c>
      <c r="G1726" t="inlineStr">
        <is>
          <t>IDR bn</t>
        </is>
      </c>
      <c r="H1726" t="n">
        <v>9</v>
      </c>
      <c r="I1726" t="inlineStr">
        <is>
          <t>Penjualan 1.444.399 1.400.953 1.411.870 (Dalam jutaan Rupiah)</t>
        </is>
      </c>
      <c r="J1726" t="inlineStr">
        <is>
          <t>High</t>
        </is>
      </c>
      <c r="M1726" t="inlineStr">
        <is>
          <t>LLM</t>
        </is>
      </c>
      <c r="N1726" t="inlineStr">
        <is>
          <t>2026-04-18</t>
        </is>
      </c>
      <c r="O1726" t="inlineStr">
        <is>
          <t>AI</t>
        </is>
      </c>
    </row>
    <row r="1727">
      <c r="A1727" t="inlineStr">
        <is>
          <t>PT Gunanusa Eramandiri Tbk</t>
        </is>
      </c>
      <c r="B1727" t="inlineStr">
        <is>
          <t>GUNA_2024_AR.pdf</t>
        </is>
      </c>
      <c r="C1727" t="n">
        <v>2024</v>
      </c>
      <c r="D1727" t="inlineStr">
        <is>
          <t>Financial</t>
        </is>
      </c>
      <c r="E1727" t="inlineStr">
        <is>
          <t>Cost of Revenue</t>
        </is>
      </c>
      <c r="F1727" t="n">
        <v>-1258.561</v>
      </c>
      <c r="G1727" t="inlineStr">
        <is>
          <t>IDR bn</t>
        </is>
      </c>
      <c r="H1727" t="n">
        <v>9</v>
      </c>
      <c r="I1727" t="inlineStr">
        <is>
          <t>Harga Pokok Penjualan (1.258.561) (1.199.253)</t>
        </is>
      </c>
      <c r="J1727" t="inlineStr">
        <is>
          <t>High</t>
        </is>
      </c>
      <c r="M1727" t="inlineStr">
        <is>
          <t>LLM</t>
        </is>
      </c>
      <c r="N1727" t="inlineStr">
        <is>
          <t>2026-04-18</t>
        </is>
      </c>
      <c r="O1727" t="inlineStr">
        <is>
          <t>AI</t>
        </is>
      </c>
    </row>
    <row r="1728">
      <c r="A1728" t="inlineStr">
        <is>
          <t>PT Gunanusa Eramandiri Tbk</t>
        </is>
      </c>
      <c r="B1728" t="inlineStr">
        <is>
          <t>GUNA_2024_AR.pdf</t>
        </is>
      </c>
      <c r="C1728" t="n">
        <v>2024</v>
      </c>
      <c r="D1728" t="inlineStr">
        <is>
          <t>Financial</t>
        </is>
      </c>
      <c r="E1728" t="inlineStr">
        <is>
          <t>Gross Profit</t>
        </is>
      </c>
      <c r="F1728" t="n">
        <v>185.838</v>
      </c>
      <c r="G1728" t="inlineStr">
        <is>
          <t>IDR bn</t>
        </is>
      </c>
      <c r="H1728" t="n">
        <v>9</v>
      </c>
      <c r="I1728" t="inlineStr">
        <is>
          <t>Laba Kotor 185.838 201.699 200.026</t>
        </is>
      </c>
      <c r="J1728" t="inlineStr">
        <is>
          <t>High</t>
        </is>
      </c>
      <c r="M1728" t="inlineStr">
        <is>
          <t>LLM</t>
        </is>
      </c>
      <c r="N1728" t="inlineStr">
        <is>
          <t>2026-04-18</t>
        </is>
      </c>
      <c r="O1728" t="inlineStr">
        <is>
          <t>AI</t>
        </is>
      </c>
    </row>
    <row r="1729">
      <c r="A1729" t="inlineStr">
        <is>
          <t>PT Gunanusa Eramandiri Tbk</t>
        </is>
      </c>
      <c r="B1729" t="inlineStr">
        <is>
          <t>GUNA_2024_AR.pdf</t>
        </is>
      </c>
      <c r="C1729" t="n">
        <v>2024</v>
      </c>
      <c r="D1729" t="inlineStr">
        <is>
          <t>Financial</t>
        </is>
      </c>
      <c r="E1729" t="inlineStr">
        <is>
          <t>Operating Profit</t>
        </is>
      </c>
      <c r="F1729" t="n">
        <v>108.671</v>
      </c>
      <c r="G1729" t="inlineStr">
        <is>
          <t>IDR bn</t>
        </is>
      </c>
      <c r="H1729" t="n">
        <v>9</v>
      </c>
      <c r="I1729" t="inlineStr">
        <is>
          <t>Laba Operasi 108.671 128.597 142.684</t>
        </is>
      </c>
      <c r="J1729" t="inlineStr">
        <is>
          <t>High</t>
        </is>
      </c>
      <c r="M1729" t="inlineStr">
        <is>
          <t>LLM</t>
        </is>
      </c>
      <c r="N1729" t="inlineStr">
        <is>
          <t>2026-04-18</t>
        </is>
      </c>
      <c r="O1729" t="inlineStr">
        <is>
          <t>AI</t>
        </is>
      </c>
    </row>
    <row r="1730">
      <c r="A1730" t="inlineStr">
        <is>
          <t>PT Gunanusa Eramandiri Tbk</t>
        </is>
      </c>
      <c r="B1730" t="inlineStr">
        <is>
          <t>GUNA_2024_AR.pdf</t>
        </is>
      </c>
      <c r="C1730" t="n">
        <v>2024</v>
      </c>
      <c r="D1730" t="inlineStr">
        <is>
          <t>Financial</t>
        </is>
      </c>
      <c r="E1730" t="inlineStr">
        <is>
          <t>Profit Before Tax</t>
        </is>
      </c>
      <c r="F1730" t="n">
        <v>101.08</v>
      </c>
      <c r="G1730" t="inlineStr">
        <is>
          <t>IDR bn</t>
        </is>
      </c>
      <c r="H1730" t="n">
        <v>9</v>
      </c>
      <c r="I1730" t="inlineStr">
        <is>
          <t>Laba Sebelum Pajak Penghasilan 101.080 121.118 133.735</t>
        </is>
      </c>
      <c r="J1730" t="inlineStr">
        <is>
          <t>High</t>
        </is>
      </c>
      <c r="M1730" t="inlineStr">
        <is>
          <t>LLM</t>
        </is>
      </c>
      <c r="N1730" t="inlineStr">
        <is>
          <t>2026-04-18</t>
        </is>
      </c>
      <c r="O1730" t="inlineStr">
        <is>
          <t>AI</t>
        </is>
      </c>
    </row>
    <row r="1731">
      <c r="A1731" t="inlineStr">
        <is>
          <t>PT Gunanusa Eramandiri Tbk</t>
        </is>
      </c>
      <c r="B1731" t="inlineStr">
        <is>
          <t>GUNA_2024_AR.pdf</t>
        </is>
      </c>
      <c r="C1731" t="n">
        <v>2024</v>
      </c>
      <c r="D1731" t="inlineStr">
        <is>
          <t>Financial</t>
        </is>
      </c>
      <c r="E1731" t="inlineStr">
        <is>
          <t>Income Tax Expense</t>
        </is>
      </c>
      <c r="F1731" t="n">
        <v>-22.486</v>
      </c>
      <c r="G1731" t="inlineStr">
        <is>
          <t>IDR bn</t>
        </is>
      </c>
      <c r="H1731" t="n">
        <v>9</v>
      </c>
      <c r="I1731" t="inlineStr">
        <is>
          <t>Beban Pajak Penghasilan (22.486) (26.309) (29.708)</t>
        </is>
      </c>
      <c r="J1731" t="inlineStr">
        <is>
          <t>High</t>
        </is>
      </c>
      <c r="M1731" t="inlineStr">
        <is>
          <t>LLM</t>
        </is>
      </c>
      <c r="N1731" t="inlineStr">
        <is>
          <t>2026-04-18</t>
        </is>
      </c>
      <c r="O1731" t="inlineStr">
        <is>
          <t>AI</t>
        </is>
      </c>
    </row>
    <row r="1732">
      <c r="A1732" t="inlineStr">
        <is>
          <t>PT Gunanusa Eramandiri Tbk</t>
        </is>
      </c>
      <c r="B1732" t="inlineStr">
        <is>
          <t>GUNA_2024_AR.pdf</t>
        </is>
      </c>
      <c r="C1732" t="n">
        <v>2024</v>
      </c>
      <c r="D1732" t="inlineStr">
        <is>
          <t>Financial</t>
        </is>
      </c>
      <c r="E1732" t="inlineStr">
        <is>
          <t>Net Profit</t>
        </is>
      </c>
      <c r="F1732" t="n">
        <v>78.593</v>
      </c>
      <c r="G1732" t="inlineStr">
        <is>
          <t>IDR bn</t>
        </is>
      </c>
      <c r="H1732" t="n">
        <v>9</v>
      </c>
      <c r="I1732" t="inlineStr">
        <is>
          <t>Laba Neto Tahun Berjalan 78.593 94.810 104.027</t>
        </is>
      </c>
      <c r="J1732" t="inlineStr">
        <is>
          <t>High</t>
        </is>
      </c>
      <c r="M1732" t="inlineStr">
        <is>
          <t>LLM</t>
        </is>
      </c>
      <c r="N1732" t="inlineStr">
        <is>
          <t>2026-04-18</t>
        </is>
      </c>
      <c r="O1732" t="inlineStr">
        <is>
          <t>AI</t>
        </is>
      </c>
    </row>
    <row r="1733">
      <c r="A1733" t="inlineStr">
        <is>
          <t>PT Gunanusa Eramandiri Tbk</t>
        </is>
      </c>
      <c r="B1733" t="inlineStr">
        <is>
          <t>GUNA_2024_AR.pdf</t>
        </is>
      </c>
      <c r="C1733" t="n">
        <v>2024</v>
      </c>
      <c r="D1733" t="inlineStr">
        <is>
          <t>Financial</t>
        </is>
      </c>
      <c r="E1733" t="inlineStr">
        <is>
          <t>Profit Attributable to Parent</t>
        </is>
      </c>
      <c r="F1733" t="n">
        <v>59.804</v>
      </c>
      <c r="G1733" t="inlineStr">
        <is>
          <t>IDR bn</t>
        </is>
      </c>
      <c r="H1733" t="n">
        <v>9</v>
      </c>
      <c r="I1733" t="inlineStr">
        <is>
          <t>Pemilik Entitas Induk 59.804 61.310 63.182</t>
        </is>
      </c>
      <c r="J1733" t="inlineStr">
        <is>
          <t>High</t>
        </is>
      </c>
      <c r="M1733" t="inlineStr">
        <is>
          <t>LLM</t>
        </is>
      </c>
      <c r="N1733" t="inlineStr">
        <is>
          <t>2026-04-18</t>
        </is>
      </c>
      <c r="O1733" t="inlineStr">
        <is>
          <t>AI</t>
        </is>
      </c>
    </row>
    <row r="1734">
      <c r="A1734" t="inlineStr">
        <is>
          <t>PT Gunanusa Eramandiri Tbk</t>
        </is>
      </c>
      <c r="B1734" t="inlineStr">
        <is>
          <t>GUNA_2024_AR.pdf</t>
        </is>
      </c>
      <c r="C1734" t="n">
        <v>2024</v>
      </c>
      <c r="D1734" t="inlineStr">
        <is>
          <t>Financial</t>
        </is>
      </c>
      <c r="E1734" t="inlineStr">
        <is>
          <t>Profit to Non-Controlling Interests</t>
        </is>
      </c>
      <c r="F1734" t="n">
        <v>18.788</v>
      </c>
      <c r="G1734" t="inlineStr">
        <is>
          <t>IDR bn</t>
        </is>
      </c>
      <c r="H1734" t="n">
        <v>9</v>
      </c>
      <c r="I1734" t="inlineStr">
        <is>
          <t>Kepentingan Non Pengendali 18.788 33.499 40.846</t>
        </is>
      </c>
      <c r="J1734" t="inlineStr">
        <is>
          <t>High</t>
        </is>
      </c>
      <c r="M1734" t="inlineStr">
        <is>
          <t>LLM</t>
        </is>
      </c>
      <c r="N1734" t="inlineStr">
        <is>
          <t>2026-04-18</t>
        </is>
      </c>
      <c r="O1734" t="inlineStr">
        <is>
          <t>AI</t>
        </is>
      </c>
    </row>
    <row r="1735">
      <c r="A1735" t="inlineStr">
        <is>
          <t>PT Gunanusa Eramandiri Tbk</t>
        </is>
      </c>
      <c r="B1735" t="inlineStr">
        <is>
          <t>GUNA_2024_AR.pdf</t>
        </is>
      </c>
      <c r="C1735" t="n">
        <v>2024</v>
      </c>
      <c r="D1735" t="inlineStr">
        <is>
          <t>Financial</t>
        </is>
      </c>
      <c r="E1735" t="inlineStr">
        <is>
          <t>Other Comprehensive Income (net of tax)</t>
        </is>
      </c>
      <c r="F1735" t="n">
        <v>0.511</v>
      </c>
      <c r="G1735" t="inlineStr">
        <is>
          <t>IDR bn</t>
        </is>
      </c>
      <c r="H1735" t="n">
        <v>9</v>
      </c>
      <c r="I1735" t="inlineStr">
        <is>
          <t>Penghasilan Komprehensif Lain - Setelah Pajak 511 135.159 258</t>
        </is>
      </c>
      <c r="J1735" t="inlineStr">
        <is>
          <t>High</t>
        </is>
      </c>
      <c r="M1735" t="inlineStr">
        <is>
          <t>LLM</t>
        </is>
      </c>
      <c r="N1735" t="inlineStr">
        <is>
          <t>2026-04-18</t>
        </is>
      </c>
      <c r="O1735" t="inlineStr">
        <is>
          <t>AI</t>
        </is>
      </c>
    </row>
    <row r="1736">
      <c r="A1736" t="inlineStr">
        <is>
          <t>PT Gunanusa Eramandiri Tbk</t>
        </is>
      </c>
      <c r="B1736" t="inlineStr">
        <is>
          <t>GUNA_2024_AR.pdf</t>
        </is>
      </c>
      <c r="C1736" t="n">
        <v>2024</v>
      </c>
      <c r="D1736" t="inlineStr">
        <is>
          <t>Financial</t>
        </is>
      </c>
      <c r="E1736" t="inlineStr">
        <is>
          <t>Total Comprehensive Income</t>
        </is>
      </c>
      <c r="F1736" t="n">
        <v>79.105</v>
      </c>
      <c r="G1736" t="inlineStr">
        <is>
          <t>IDR bn</t>
        </is>
      </c>
      <c r="H1736" t="n">
        <v>9</v>
      </c>
      <c r="I1736" t="inlineStr">
        <is>
          <t>Laba Komprehensif Tahun Berjalan 79.105 229.970 104.285</t>
        </is>
      </c>
      <c r="J1736" t="inlineStr">
        <is>
          <t>High</t>
        </is>
      </c>
      <c r="M1736" t="inlineStr">
        <is>
          <t>LLM</t>
        </is>
      </c>
      <c r="N1736" t="inlineStr">
        <is>
          <t>2026-04-18</t>
        </is>
      </c>
      <c r="O1736" t="inlineStr">
        <is>
          <t>AI</t>
        </is>
      </c>
    </row>
    <row r="1737">
      <c r="A1737" t="inlineStr">
        <is>
          <t>PT Gunanusa Eramandiri Tbk</t>
        </is>
      </c>
      <c r="B1737" t="inlineStr">
        <is>
          <t>GUNA_2024_AR.pdf</t>
        </is>
      </c>
      <c r="C1737" t="n">
        <v>2024</v>
      </c>
      <c r="D1737" t="inlineStr">
        <is>
          <t>Financial</t>
        </is>
      </c>
      <c r="E1737" t="inlineStr">
        <is>
          <t>Total Assets</t>
        </is>
      </c>
      <c r="F1737" t="n">
        <v>980.138</v>
      </c>
      <c r="G1737" t="inlineStr">
        <is>
          <t>IDR bn</t>
        </is>
      </c>
      <c r="H1737" t="n">
        <v>9</v>
      </c>
      <c r="I1737" t="inlineStr">
        <is>
          <t>Total Aset 980.138 757.088 593.910</t>
        </is>
      </c>
      <c r="J1737" t="inlineStr">
        <is>
          <t>High</t>
        </is>
      </c>
      <c r="M1737" t="inlineStr">
        <is>
          <t>LLM</t>
        </is>
      </c>
      <c r="N1737" t="inlineStr">
        <is>
          <t>2026-04-18</t>
        </is>
      </c>
      <c r="O1737" t="inlineStr">
        <is>
          <t>AI</t>
        </is>
      </c>
    </row>
    <row r="1738">
      <c r="A1738" t="inlineStr">
        <is>
          <t>PT Gunanusa Eramandiri Tbk</t>
        </is>
      </c>
      <c r="B1738" t="inlineStr">
        <is>
          <t>GUNA_2024_AR.pdf</t>
        </is>
      </c>
      <c r="C1738" t="n">
        <v>2024</v>
      </c>
      <c r="D1738" t="inlineStr">
        <is>
          <t>Financial</t>
        </is>
      </c>
      <c r="E1738" t="inlineStr">
        <is>
          <t>Current Assets</t>
        </is>
      </c>
      <c r="F1738" t="n">
        <v>575.271</v>
      </c>
      <c r="G1738" t="inlineStr">
        <is>
          <t>IDR bn</t>
        </is>
      </c>
      <c r="H1738" t="n">
        <v>77</v>
      </c>
      <c r="I1738" t="inlineStr">
        <is>
          <t>Total Aset Lancar 575.271 430.411</t>
        </is>
      </c>
      <c r="J1738" t="inlineStr">
        <is>
          <t>High</t>
        </is>
      </c>
      <c r="M1738" t="inlineStr">
        <is>
          <t>LLM</t>
        </is>
      </c>
      <c r="N1738" t="inlineStr">
        <is>
          <t>2026-04-18</t>
        </is>
      </c>
      <c r="O1738" t="inlineStr">
        <is>
          <t>AI</t>
        </is>
      </c>
    </row>
    <row r="1739">
      <c r="A1739" t="inlineStr">
        <is>
          <t>PT Gunanusa Eramandiri Tbk</t>
        </is>
      </c>
      <c r="B1739" t="inlineStr">
        <is>
          <t>GUNA_2024_AR.pdf</t>
        </is>
      </c>
      <c r="C1739" t="n">
        <v>2024</v>
      </c>
      <c r="D1739" t="inlineStr">
        <is>
          <t>Financial</t>
        </is>
      </c>
      <c r="E1739" t="inlineStr">
        <is>
          <t>Non-Current Assets</t>
        </is>
      </c>
      <c r="F1739" t="n">
        <v>404.867</v>
      </c>
      <c r="G1739" t="inlineStr">
        <is>
          <t>IDR bn</t>
        </is>
      </c>
      <c r="H1739" t="n">
        <v>77</v>
      </c>
      <c r="I1739" t="inlineStr">
        <is>
          <t>Total Aset Tidak Lancar 404.867 326.677</t>
        </is>
      </c>
      <c r="J1739" t="inlineStr">
        <is>
          <t>High</t>
        </is>
      </c>
      <c r="M1739" t="inlineStr">
        <is>
          <t>LLM</t>
        </is>
      </c>
      <c r="N1739" t="inlineStr">
        <is>
          <t>2026-04-18</t>
        </is>
      </c>
      <c r="O1739" t="inlineStr">
        <is>
          <t>AI</t>
        </is>
      </c>
    </row>
    <row r="1740">
      <c r="A1740" t="inlineStr">
        <is>
          <t>PT Gunanusa Eramandiri Tbk</t>
        </is>
      </c>
      <c r="B1740" t="inlineStr">
        <is>
          <t>GUNA_2024_AR.pdf</t>
        </is>
      </c>
      <c r="C1740" t="n">
        <v>2024</v>
      </c>
      <c r="D1740" t="inlineStr">
        <is>
          <t>Financial</t>
        </is>
      </c>
      <c r="E1740" t="inlineStr">
        <is>
          <t>Cash and Cash Equivalents</t>
        </is>
      </c>
      <c r="F1740" t="n">
        <v>28.586</v>
      </c>
      <c r="G1740" t="inlineStr">
        <is>
          <t>IDR bn</t>
        </is>
      </c>
      <c r="H1740" t="n">
        <v>77</v>
      </c>
      <c r="I1740" t="inlineStr">
        <is>
          <t>Kas dan Setara Kas 28.586 79.137</t>
        </is>
      </c>
      <c r="J1740" t="inlineStr">
        <is>
          <t>High</t>
        </is>
      </c>
      <c r="M1740" t="inlineStr">
        <is>
          <t>LLM</t>
        </is>
      </c>
      <c r="N1740" t="inlineStr">
        <is>
          <t>2026-04-18</t>
        </is>
      </c>
      <c r="O1740" t="inlineStr">
        <is>
          <t>AI</t>
        </is>
      </c>
    </row>
    <row r="1741">
      <c r="A1741" t="inlineStr">
        <is>
          <t>PT Gunanusa Eramandiri Tbk</t>
        </is>
      </c>
      <c r="B1741" t="inlineStr">
        <is>
          <t>GUNA_2024_AR.pdf</t>
        </is>
      </c>
      <c r="C1741" t="n">
        <v>2024</v>
      </c>
      <c r="D1741" t="inlineStr">
        <is>
          <t>Financial</t>
        </is>
      </c>
      <c r="E1741" t="inlineStr">
        <is>
          <t>Time Deposit</t>
        </is>
      </c>
      <c r="F1741" t="n">
        <v>30</v>
      </c>
      <c r="G1741" t="inlineStr">
        <is>
          <t>IDR bn</t>
        </is>
      </c>
      <c r="H1741" t="n">
        <v>77</v>
      </c>
      <c r="I1741" t="inlineStr">
        <is>
          <t>Deposito 30.000 -</t>
        </is>
      </c>
      <c r="J1741" t="inlineStr">
        <is>
          <t>High</t>
        </is>
      </c>
      <c r="M1741" t="inlineStr">
        <is>
          <t>LLM</t>
        </is>
      </c>
      <c r="N1741" t="inlineStr">
        <is>
          <t>2026-04-18</t>
        </is>
      </c>
      <c r="O1741" t="inlineStr">
        <is>
          <t>AI</t>
        </is>
      </c>
    </row>
    <row r="1742">
      <c r="A1742" t="inlineStr">
        <is>
          <t>PT Gunanusa Eramandiri Tbk</t>
        </is>
      </c>
      <c r="B1742" t="inlineStr">
        <is>
          <t>GUNA_2024_AR.pdf</t>
        </is>
      </c>
      <c r="C1742" t="n">
        <v>2024</v>
      </c>
      <c r="D1742" t="inlineStr">
        <is>
          <t>Financial</t>
        </is>
      </c>
      <c r="E1742" t="inlineStr">
        <is>
          <t>Trade Receivables - Net</t>
        </is>
      </c>
      <c r="F1742" t="n">
        <v>274.075</v>
      </c>
      <c r="G1742" t="inlineStr">
        <is>
          <t>IDR bn</t>
        </is>
      </c>
      <c r="H1742" t="n">
        <v>77</v>
      </c>
      <c r="I1742" t="inlineStr">
        <is>
          <t>Piutang Usaha - Neto 274.075 190.377</t>
        </is>
      </c>
      <c r="J1742" t="inlineStr">
        <is>
          <t>High</t>
        </is>
      </c>
      <c r="M1742" t="inlineStr">
        <is>
          <t>LLM</t>
        </is>
      </c>
      <c r="N1742" t="inlineStr">
        <is>
          <t>2026-04-18</t>
        </is>
      </c>
      <c r="O1742" t="inlineStr">
        <is>
          <t>AI</t>
        </is>
      </c>
    </row>
    <row r="1743">
      <c r="A1743" t="inlineStr">
        <is>
          <t>PT Gunanusa Eramandiri Tbk</t>
        </is>
      </c>
      <c r="B1743" t="inlineStr">
        <is>
          <t>GUNA_2024_AR.pdf</t>
        </is>
      </c>
      <c r="C1743" t="n">
        <v>2024</v>
      </c>
      <c r="D1743" t="inlineStr">
        <is>
          <t>Financial</t>
        </is>
      </c>
      <c r="E1743" t="inlineStr">
        <is>
          <t>Inventories</t>
        </is>
      </c>
      <c r="F1743" t="n">
        <v>189.038</v>
      </c>
      <c r="G1743" t="inlineStr">
        <is>
          <t>IDR bn</t>
        </is>
      </c>
      <c r="H1743" t="n">
        <v>77</v>
      </c>
      <c r="I1743" t="inlineStr">
        <is>
          <t>Persediaan 189.038 139.445</t>
        </is>
      </c>
      <c r="J1743" t="inlineStr">
        <is>
          <t>High</t>
        </is>
      </c>
      <c r="M1743" t="inlineStr">
        <is>
          <t>LLM</t>
        </is>
      </c>
      <c r="N1743" t="inlineStr">
        <is>
          <t>2026-04-18</t>
        </is>
      </c>
      <c r="O1743" t="inlineStr">
        <is>
          <t>AI</t>
        </is>
      </c>
    </row>
    <row r="1744">
      <c r="A1744" t="inlineStr">
        <is>
          <t>PT Gunanusa Eramandiri Tbk</t>
        </is>
      </c>
      <c r="B1744" t="inlineStr">
        <is>
          <t>GUNA_2024_AR.pdf</t>
        </is>
      </c>
      <c r="C1744" t="n">
        <v>2024</v>
      </c>
      <c r="D1744" t="inlineStr">
        <is>
          <t>Financial</t>
        </is>
      </c>
      <c r="E1744" t="inlineStr">
        <is>
          <t>Property, Plant and Equipment - Net</t>
        </is>
      </c>
      <c r="F1744" t="n">
        <v>386.854</v>
      </c>
      <c r="G1744" t="inlineStr">
        <is>
          <t>IDR bn</t>
        </is>
      </c>
      <c r="H1744" t="n">
        <v>77</v>
      </c>
      <c r="I1744" t="inlineStr">
        <is>
          <t>Aset Tetap - Neto 386.854 297.876</t>
        </is>
      </c>
      <c r="J1744" t="inlineStr">
        <is>
          <t>High</t>
        </is>
      </c>
      <c r="M1744" t="inlineStr">
        <is>
          <t>LLM</t>
        </is>
      </c>
      <c r="N1744" t="inlineStr">
        <is>
          <t>2026-04-18</t>
        </is>
      </c>
      <c r="O1744" t="inlineStr">
        <is>
          <t>AI</t>
        </is>
      </c>
    </row>
    <row r="1745">
      <c r="A1745" t="inlineStr">
        <is>
          <t>PT Gunanusa Eramandiri Tbk</t>
        </is>
      </c>
      <c r="B1745" t="inlineStr">
        <is>
          <t>GUNA_2024_AR.pdf</t>
        </is>
      </c>
      <c r="C1745" t="n">
        <v>2024</v>
      </c>
      <c r="D1745" t="inlineStr">
        <is>
          <t>Financial</t>
        </is>
      </c>
      <c r="E1745" t="inlineStr">
        <is>
          <t>Total Liabilities</t>
        </is>
      </c>
      <c r="F1745" t="n">
        <v>300.946</v>
      </c>
      <c r="G1745" t="inlineStr">
        <is>
          <t>IDR bn</t>
        </is>
      </c>
      <c r="H1745" t="n">
        <v>9</v>
      </c>
      <c r="I1745" t="inlineStr">
        <is>
          <t>Total Liabilitas 300.946 207.485 231.104</t>
        </is>
      </c>
      <c r="J1745" t="inlineStr">
        <is>
          <t>High</t>
        </is>
      </c>
      <c r="M1745" t="inlineStr">
        <is>
          <t>LLM</t>
        </is>
      </c>
      <c r="N1745" t="inlineStr">
        <is>
          <t>2026-04-18</t>
        </is>
      </c>
      <c r="O1745" t="inlineStr">
        <is>
          <t>AI</t>
        </is>
      </c>
    </row>
    <row r="1746">
      <c r="A1746" t="inlineStr">
        <is>
          <t>PT Gunanusa Eramandiri Tbk</t>
        </is>
      </c>
      <c r="B1746" t="inlineStr">
        <is>
          <t>GUNA_2024_AR.pdf</t>
        </is>
      </c>
      <c r="C1746" t="n">
        <v>2024</v>
      </c>
      <c r="D1746" t="inlineStr">
        <is>
          <t>Financial</t>
        </is>
      </c>
      <c r="E1746" t="inlineStr">
        <is>
          <t>Current Liabilities</t>
        </is>
      </c>
      <c r="F1746" t="n">
        <v>270.596</v>
      </c>
      <c r="G1746" t="inlineStr">
        <is>
          <t>IDR bn</t>
        </is>
      </c>
      <c r="H1746" t="n">
        <v>78</v>
      </c>
      <c r="I1746" t="inlineStr">
        <is>
          <t>Total Liabilitas Jangka Pendek 270.596 178.834</t>
        </is>
      </c>
      <c r="J1746" t="inlineStr">
        <is>
          <t>High</t>
        </is>
      </c>
      <c r="M1746" t="inlineStr">
        <is>
          <t>LLM</t>
        </is>
      </c>
      <c r="N1746" t="inlineStr">
        <is>
          <t>2026-04-18</t>
        </is>
      </c>
      <c r="O1746" t="inlineStr">
        <is>
          <t>AI</t>
        </is>
      </c>
    </row>
    <row r="1747">
      <c r="A1747" t="inlineStr">
        <is>
          <t>PT Gunanusa Eramandiri Tbk</t>
        </is>
      </c>
      <c r="B1747" t="inlineStr">
        <is>
          <t>GUNA_2024_AR.pdf</t>
        </is>
      </c>
      <c r="C1747" t="n">
        <v>2024</v>
      </c>
      <c r="D1747" t="inlineStr">
        <is>
          <t>Financial</t>
        </is>
      </c>
      <c r="E1747" t="inlineStr">
        <is>
          <t>Long-Term Liabilities</t>
        </is>
      </c>
      <c r="F1747" t="n">
        <v>30.35</v>
      </c>
      <c r="G1747" t="inlineStr">
        <is>
          <t>IDR bn</t>
        </is>
      </c>
      <c r="H1747" t="n">
        <v>79</v>
      </c>
      <c r="I1747" t="inlineStr">
        <is>
          <t>Total Liabilitas Jangka Panjang 30.350 28.650</t>
        </is>
      </c>
      <c r="J1747" t="inlineStr">
        <is>
          <t>High</t>
        </is>
      </c>
      <c r="M1747" t="inlineStr">
        <is>
          <t>LLM</t>
        </is>
      </c>
      <c r="N1747" t="inlineStr">
        <is>
          <t>2026-04-18</t>
        </is>
      </c>
      <c r="O1747" t="inlineStr">
        <is>
          <t>AI</t>
        </is>
      </c>
    </row>
    <row r="1748">
      <c r="A1748" t="inlineStr">
        <is>
          <t>PT Gunanusa Eramandiri Tbk</t>
        </is>
      </c>
      <c r="B1748" t="inlineStr">
        <is>
          <t>GUNA_2024_AR.pdf</t>
        </is>
      </c>
      <c r="C1748" t="n">
        <v>2024</v>
      </c>
      <c r="D1748" t="inlineStr">
        <is>
          <t>Financial</t>
        </is>
      </c>
      <c r="E1748" t="inlineStr">
        <is>
          <t>Short-Term Bank Loans</t>
        </is>
      </c>
      <c r="F1748" t="n">
        <v>65.095</v>
      </c>
      <c r="G1748" t="inlineStr">
        <is>
          <t>IDR bn</t>
        </is>
      </c>
      <c r="H1748" t="n">
        <v>78</v>
      </c>
      <c r="I1748" t="inlineStr">
        <is>
          <t>Pinjaman Bank Jangka Pendek 65.095 15.532 (319.10%)</t>
        </is>
      </c>
      <c r="J1748" t="inlineStr">
        <is>
          <t>High</t>
        </is>
      </c>
      <c r="M1748" t="inlineStr">
        <is>
          <t>LLM</t>
        </is>
      </c>
      <c r="N1748" t="inlineStr">
        <is>
          <t>2026-04-18</t>
        </is>
      </c>
      <c r="O1748" t="inlineStr">
        <is>
          <t>AI</t>
        </is>
      </c>
    </row>
    <row r="1749">
      <c r="A1749" t="inlineStr">
        <is>
          <t>PT Gunanusa Eramandiri Tbk</t>
        </is>
      </c>
      <c r="B1749" t="inlineStr">
        <is>
          <t>GUNA_2024_AR.pdf</t>
        </is>
      </c>
      <c r="C1749" t="n">
        <v>2024</v>
      </c>
      <c r="D1749" t="inlineStr">
        <is>
          <t>Financial</t>
        </is>
      </c>
      <c r="E1749" t="inlineStr">
        <is>
          <t>Trade Payables</t>
        </is>
      </c>
      <c r="F1749" t="n">
        <v>181.057</v>
      </c>
      <c r="G1749" t="inlineStr">
        <is>
          <t>IDR bn</t>
        </is>
      </c>
      <c r="H1749" t="n">
        <v>78</v>
      </c>
      <c r="I1749" t="inlineStr">
        <is>
          <t>Utang Usaha 181.057 145.271</t>
        </is>
      </c>
      <c r="J1749" t="inlineStr">
        <is>
          <t>High</t>
        </is>
      </c>
      <c r="M1749" t="inlineStr">
        <is>
          <t>LLM</t>
        </is>
      </c>
      <c r="N1749" t="inlineStr">
        <is>
          <t>2026-04-18</t>
        </is>
      </c>
      <c r="O1749" t="inlineStr">
        <is>
          <t>AI</t>
        </is>
      </c>
    </row>
    <row r="1750">
      <c r="A1750" t="inlineStr">
        <is>
          <t>PT Gunanusa Eramandiri Tbk</t>
        </is>
      </c>
      <c r="B1750" t="inlineStr">
        <is>
          <t>GUNA_2024_AR.pdf</t>
        </is>
      </c>
      <c r="C1750" t="n">
        <v>2024</v>
      </c>
      <c r="D1750" t="inlineStr">
        <is>
          <t>Financial</t>
        </is>
      </c>
      <c r="E1750" t="inlineStr">
        <is>
          <t>Employee Benefits Liabilities</t>
        </is>
      </c>
      <c r="F1750" t="n">
        <v>27.41</v>
      </c>
      <c r="G1750" t="inlineStr">
        <is>
          <t>IDR bn</t>
        </is>
      </c>
      <c r="H1750" t="n">
        <v>79</v>
      </c>
      <c r="I1750" t="inlineStr">
        <is>
          <t>Liabilitas Imbalan Kerja Karyawan 27.410 27.082</t>
        </is>
      </c>
      <c r="J1750" t="inlineStr">
        <is>
          <t>High</t>
        </is>
      </c>
      <c r="M1750" t="inlineStr">
        <is>
          <t>LLM</t>
        </is>
      </c>
      <c r="N1750" t="inlineStr">
        <is>
          <t>2026-04-18</t>
        </is>
      </c>
      <c r="O1750" t="inlineStr">
        <is>
          <t>AI</t>
        </is>
      </c>
    </row>
    <row r="1751">
      <c r="A1751" t="inlineStr">
        <is>
          <t>PT Gunanusa Eramandiri Tbk</t>
        </is>
      </c>
      <c r="B1751" t="inlineStr">
        <is>
          <t>GUNA_2024_AR.pdf</t>
        </is>
      </c>
      <c r="C1751" t="n">
        <v>2024</v>
      </c>
      <c r="D1751" t="inlineStr">
        <is>
          <t>Financial</t>
        </is>
      </c>
      <c r="E1751" t="inlineStr">
        <is>
          <t>Total Equity</t>
        </is>
      </c>
      <c r="F1751" t="n">
        <v>679.191</v>
      </c>
      <c r="G1751" t="inlineStr">
        <is>
          <t>IDR bn</t>
        </is>
      </c>
      <c r="H1751" t="n">
        <v>9</v>
      </c>
      <c r="I1751" t="inlineStr">
        <is>
          <t>Total Ekuitas 679.191 549.603 362.806</t>
        </is>
      </c>
      <c r="J1751" t="inlineStr">
        <is>
          <t>High</t>
        </is>
      </c>
      <c r="M1751" t="inlineStr">
        <is>
          <t>LLM</t>
        </is>
      </c>
      <c r="N1751" t="inlineStr">
        <is>
          <t>2026-04-18</t>
        </is>
      </c>
      <c r="O1751" t="inlineStr">
        <is>
          <t>AI</t>
        </is>
      </c>
    </row>
    <row r="1752">
      <c r="A1752" t="inlineStr">
        <is>
          <t>PT Gunanusa Eramandiri Tbk</t>
        </is>
      </c>
      <c r="B1752" t="inlineStr">
        <is>
          <t>GUNA_2024_AR.pdf</t>
        </is>
      </c>
      <c r="C1752" t="n">
        <v>2024</v>
      </c>
      <c r="D1752" t="inlineStr">
        <is>
          <t>Financial</t>
        </is>
      </c>
      <c r="E1752" t="inlineStr">
        <is>
          <t>Equity Attributable to Parent</t>
        </is>
      </c>
      <c r="F1752" t="n">
        <v>556.422</v>
      </c>
      <c r="G1752" t="inlineStr">
        <is>
          <t>IDR bn</t>
        </is>
      </c>
      <c r="H1752" t="n">
        <v>80</v>
      </c>
      <c r="I1752" t="inlineStr">
        <is>
          <t>Total Ekuitas yang Dapat Diatribusikan kepada Pemilik Entitas Induk 556.422 426.657</t>
        </is>
      </c>
      <c r="J1752" t="inlineStr">
        <is>
          <t>High</t>
        </is>
      </c>
      <c r="M1752" t="inlineStr">
        <is>
          <t>LLM</t>
        </is>
      </c>
      <c r="N1752" t="inlineStr">
        <is>
          <t>2026-04-18</t>
        </is>
      </c>
      <c r="O1752" t="inlineStr">
        <is>
          <t>AI</t>
        </is>
      </c>
    </row>
    <row r="1753">
      <c r="A1753" t="inlineStr">
        <is>
          <t>PT Gunanusa Eramandiri Tbk</t>
        </is>
      </c>
      <c r="B1753" t="inlineStr">
        <is>
          <t>GUNA_2024_AR.pdf</t>
        </is>
      </c>
      <c r="C1753" t="n">
        <v>2024</v>
      </c>
      <c r="D1753" t="inlineStr">
        <is>
          <t>Financial</t>
        </is>
      </c>
      <c r="E1753" t="inlineStr">
        <is>
          <t>Non-Controlling Interests</t>
        </is>
      </c>
      <c r="F1753" t="n">
        <v>122.768</v>
      </c>
      <c r="G1753" t="inlineStr">
        <is>
          <t>IDR bn</t>
        </is>
      </c>
      <c r="H1753" t="n">
        <v>80</v>
      </c>
      <c r="I1753" t="inlineStr">
        <is>
          <t>Kepentingan Non-Pengendali 122.768 122.945</t>
        </is>
      </c>
      <c r="J1753" t="inlineStr">
        <is>
          <t>High</t>
        </is>
      </c>
      <c r="M1753" t="inlineStr">
        <is>
          <t>LLM</t>
        </is>
      </c>
      <c r="N1753" t="inlineStr">
        <is>
          <t>2026-04-18</t>
        </is>
      </c>
      <c r="O1753" t="inlineStr">
        <is>
          <t>AI</t>
        </is>
      </c>
    </row>
    <row r="1754">
      <c r="A1754" t="inlineStr">
        <is>
          <t>PT Gunanusa Eramandiri Tbk</t>
        </is>
      </c>
      <c r="B1754" t="inlineStr">
        <is>
          <t>GUNA_2024_AR.pdf</t>
        </is>
      </c>
      <c r="C1754" t="n">
        <v>2024</v>
      </c>
      <c r="D1754" t="inlineStr">
        <is>
          <t>Financial</t>
        </is>
      </c>
      <c r="E1754" t="inlineStr">
        <is>
          <t>Paid-Up Share Capital</t>
        </is>
      </c>
      <c r="F1754" t="n">
        <v>250</v>
      </c>
      <c r="G1754" t="inlineStr">
        <is>
          <t>IDR bn</t>
        </is>
      </c>
      <c r="H1754" t="n">
        <v>79</v>
      </c>
      <c r="I1754" t="inlineStr">
        <is>
          <t>Modal Saham Ditempatkan dan Disetor Penuh 250.000 200.000</t>
        </is>
      </c>
      <c r="J1754" t="inlineStr">
        <is>
          <t>High</t>
        </is>
      </c>
      <c r="M1754" t="inlineStr">
        <is>
          <t>LLM</t>
        </is>
      </c>
      <c r="N1754" t="inlineStr">
        <is>
          <t>2026-04-18</t>
        </is>
      </c>
      <c r="O1754" t="inlineStr">
        <is>
          <t>AI</t>
        </is>
      </c>
    </row>
    <row r="1755">
      <c r="A1755" t="inlineStr">
        <is>
          <t>PT Gunanusa Eramandiri Tbk</t>
        </is>
      </c>
      <c r="B1755" t="inlineStr">
        <is>
          <t>GUNA_2024_AR.pdf</t>
        </is>
      </c>
      <c r="C1755" t="n">
        <v>2024</v>
      </c>
      <c r="D1755" t="inlineStr">
        <is>
          <t>Financial</t>
        </is>
      </c>
      <c r="E1755" t="inlineStr">
        <is>
          <t>Additional Paid-In Capital</t>
        </is>
      </c>
      <c r="F1755" t="n">
        <v>32.241</v>
      </c>
      <c r="G1755" t="inlineStr">
        <is>
          <t>IDR bn</t>
        </is>
      </c>
      <c r="H1755" t="n">
        <v>80</v>
      </c>
      <c r="I1755" t="inlineStr">
        <is>
          <t>Tambahan Modal Disetor 32.241 13.142</t>
        </is>
      </c>
      <c r="J1755" t="inlineStr">
        <is>
          <t>High</t>
        </is>
      </c>
      <c r="M1755" t="inlineStr">
        <is>
          <t>LLM</t>
        </is>
      </c>
      <c r="N1755" t="inlineStr">
        <is>
          <t>2026-04-18</t>
        </is>
      </c>
      <c r="O1755" t="inlineStr">
        <is>
          <t>AI</t>
        </is>
      </c>
    </row>
    <row r="1756">
      <c r="A1756" t="inlineStr">
        <is>
          <t>PT Gunanusa Eramandiri Tbk</t>
        </is>
      </c>
      <c r="B1756" t="inlineStr">
        <is>
          <t>GUNA_2024_AR.pdf</t>
        </is>
      </c>
      <c r="C1756" t="n">
        <v>2024</v>
      </c>
      <c r="D1756" t="inlineStr">
        <is>
          <t>Financial</t>
        </is>
      </c>
      <c r="E1756" t="inlineStr">
        <is>
          <t>Retained Earnings (Unappropriated)</t>
        </is>
      </c>
      <c r="F1756" t="n">
        <v>149.133</v>
      </c>
      <c r="G1756" t="inlineStr">
        <is>
          <t>IDR bn</t>
        </is>
      </c>
      <c r="H1756" t="n">
        <v>80</v>
      </c>
      <c r="I1756" t="inlineStr">
        <is>
          <t>Belum Ditentukan Penggunaannya 149.133 89.328</t>
        </is>
      </c>
      <c r="J1756" t="inlineStr">
        <is>
          <t>High</t>
        </is>
      </c>
      <c r="M1756" t="inlineStr">
        <is>
          <t>LLM</t>
        </is>
      </c>
      <c r="N1756" t="inlineStr">
        <is>
          <t>2026-04-18</t>
        </is>
      </c>
      <c r="O1756" t="inlineStr">
        <is>
          <t>AI</t>
        </is>
      </c>
    </row>
    <row r="1757">
      <c r="A1757" t="inlineStr">
        <is>
          <t>PT Gunanusa Eramandiri Tbk</t>
        </is>
      </c>
      <c r="B1757" t="inlineStr">
        <is>
          <t>GUNA_2024_AR.pdf</t>
        </is>
      </c>
      <c r="C1757" t="n">
        <v>2024</v>
      </c>
      <c r="D1757" t="inlineStr">
        <is>
          <t>Financial</t>
        </is>
      </c>
      <c r="E1757" t="inlineStr">
        <is>
          <t>Asset Revaluation Reserve</t>
        </is>
      </c>
      <c r="F1757" t="n">
        <v>100.06</v>
      </c>
      <c r="G1757" t="inlineStr">
        <is>
          <t>IDR bn</t>
        </is>
      </c>
      <c r="H1757" t="n">
        <v>80</v>
      </c>
      <c r="I1757" t="inlineStr">
        <is>
          <t>Cadangan Revaluasi Aset 100.060 100.060</t>
        </is>
      </c>
      <c r="J1757" t="inlineStr">
        <is>
          <t>High</t>
        </is>
      </c>
      <c r="M1757" t="inlineStr">
        <is>
          <t>LLM</t>
        </is>
      </c>
      <c r="N1757" t="inlineStr">
        <is>
          <t>2026-04-18</t>
        </is>
      </c>
      <c r="O1757" t="inlineStr">
        <is>
          <t>AI</t>
        </is>
      </c>
    </row>
    <row r="1758">
      <c r="A1758" t="inlineStr">
        <is>
          <t>PT Gunanusa Eramandiri Tbk</t>
        </is>
      </c>
      <c r="B1758" t="inlineStr">
        <is>
          <t>GUNA_2024_AR.pdf</t>
        </is>
      </c>
      <c r="C1758" t="n">
        <v>2024</v>
      </c>
      <c r="D1758" t="inlineStr">
        <is>
          <t>Financial</t>
        </is>
      </c>
      <c r="E1758" t="inlineStr">
        <is>
          <t>Finance Income</t>
        </is>
      </c>
      <c r="F1758" t="n">
        <v>1.529</v>
      </c>
      <c r="G1758" t="inlineStr">
        <is>
          <t>IDR bn</t>
        </is>
      </c>
      <c r="H1758" t="n">
        <v>81</v>
      </c>
      <c r="I1758" t="inlineStr">
        <is>
          <t>Pendapatan Keuangan 1.529 955</t>
        </is>
      </c>
      <c r="J1758" t="inlineStr">
        <is>
          <t>High</t>
        </is>
      </c>
      <c r="M1758" t="inlineStr">
        <is>
          <t>LLM</t>
        </is>
      </c>
      <c r="N1758" t="inlineStr">
        <is>
          <t>2026-04-18</t>
        </is>
      </c>
      <c r="O1758" t="inlineStr">
        <is>
          <t>AI</t>
        </is>
      </c>
    </row>
    <row r="1759">
      <c r="A1759" t="inlineStr">
        <is>
          <t>PT Gunanusa Eramandiri Tbk</t>
        </is>
      </c>
      <c r="B1759" t="inlineStr">
        <is>
          <t>GUNA_2024_AR.pdf</t>
        </is>
      </c>
      <c r="C1759" t="n">
        <v>2024</v>
      </c>
      <c r="D1759" t="inlineStr">
        <is>
          <t>Financial</t>
        </is>
      </c>
      <c r="E1759" t="inlineStr">
        <is>
          <t>Finance Expenses</t>
        </is>
      </c>
      <c r="F1759" t="n">
        <v>-9.119999999999999</v>
      </c>
      <c r="G1759" t="inlineStr">
        <is>
          <t>IDR bn</t>
        </is>
      </c>
      <c r="H1759" t="n">
        <v>81</v>
      </c>
      <c r="I1759" t="inlineStr">
        <is>
          <t>Beban Keuangan (9.120) (8.434)</t>
        </is>
      </c>
      <c r="J1759" t="inlineStr">
        <is>
          <t>High</t>
        </is>
      </c>
      <c r="M1759" t="inlineStr">
        <is>
          <t>LLM</t>
        </is>
      </c>
      <c r="N1759" t="inlineStr">
        <is>
          <t>2026-04-18</t>
        </is>
      </c>
      <c r="O1759" t="inlineStr">
        <is>
          <t>AI</t>
        </is>
      </c>
    </row>
    <row r="1760">
      <c r="A1760" t="inlineStr">
        <is>
          <t>PT Gunanusa Eramandiri Tbk</t>
        </is>
      </c>
      <c r="B1760" t="inlineStr">
        <is>
          <t>GUNA_2024_AR.pdf</t>
        </is>
      </c>
      <c r="C1760" t="n">
        <v>2024</v>
      </c>
      <c r="D1760" t="inlineStr">
        <is>
          <t>Financial</t>
        </is>
      </c>
      <c r="E1760" t="inlineStr">
        <is>
          <t>Cash Flow from Operating Activities</t>
        </is>
      </c>
      <c r="F1760" t="n">
        <v>-8.343</v>
      </c>
      <c r="G1760" t="inlineStr">
        <is>
          <t>IDR bn</t>
        </is>
      </c>
      <c r="H1760" t="n">
        <v>83</v>
      </c>
      <c r="I1760" t="inlineStr">
        <is>
          <t>Arus Kas dari Aktivitas Operasi (8.343) 125.085</t>
        </is>
      </c>
      <c r="J1760" t="inlineStr">
        <is>
          <t>High</t>
        </is>
      </c>
      <c r="M1760" t="inlineStr">
        <is>
          <t>LLM</t>
        </is>
      </c>
      <c r="N1760" t="inlineStr">
        <is>
          <t>2026-04-18</t>
        </is>
      </c>
      <c r="O1760" t="inlineStr">
        <is>
          <t>AI</t>
        </is>
      </c>
    </row>
    <row r="1761">
      <c r="A1761" t="inlineStr">
        <is>
          <t>PT Gunanusa Eramandiri Tbk</t>
        </is>
      </c>
      <c r="B1761" t="inlineStr">
        <is>
          <t>GUNA_2024_AR.pdf</t>
        </is>
      </c>
      <c r="C1761" t="n">
        <v>2024</v>
      </c>
      <c r="D1761" t="inlineStr">
        <is>
          <t>Financial</t>
        </is>
      </c>
      <c r="E1761" t="inlineStr">
        <is>
          <t>Cash Flow from Investing Activities</t>
        </is>
      </c>
      <c r="F1761" t="n">
        <v>-144.092</v>
      </c>
      <c r="G1761" t="inlineStr">
        <is>
          <t>IDR bn</t>
        </is>
      </c>
      <c r="H1761" t="n">
        <v>83</v>
      </c>
      <c r="I1761" t="inlineStr">
        <is>
          <t>Arus Kas dari Aktivitas Investasi (144,092) (10.774)</t>
        </is>
      </c>
      <c r="J1761" t="inlineStr">
        <is>
          <t>High</t>
        </is>
      </c>
      <c r="M1761" t="inlineStr">
        <is>
          <t>LLM</t>
        </is>
      </c>
      <c r="N1761" t="inlineStr">
        <is>
          <t>2026-04-18</t>
        </is>
      </c>
      <c r="O1761" t="inlineStr">
        <is>
          <t>AI</t>
        </is>
      </c>
    </row>
    <row r="1762">
      <c r="A1762" t="inlineStr">
        <is>
          <t>PT Gunanusa Eramandiri Tbk</t>
        </is>
      </c>
      <c r="B1762" t="inlineStr">
        <is>
          <t>GUNA_2024_AR.pdf</t>
        </is>
      </c>
      <c r="C1762" t="n">
        <v>2024</v>
      </c>
      <c r="D1762" t="inlineStr">
        <is>
          <t>Financial</t>
        </is>
      </c>
      <c r="E1762" t="inlineStr">
        <is>
          <t>Cash Flow from Financing Activities</t>
        </is>
      </c>
      <c r="F1762" t="n">
        <v>101.844</v>
      </c>
      <c r="G1762" t="inlineStr">
        <is>
          <t>IDR bn</t>
        </is>
      </c>
      <c r="H1762" t="n">
        <v>83</v>
      </c>
      <c r="I1762" t="inlineStr">
        <is>
          <t>Arus Kas dari Aktivitas Pendanaan 101.844 (65.137)</t>
        </is>
      </c>
      <c r="J1762" t="inlineStr">
        <is>
          <t>High</t>
        </is>
      </c>
      <c r="M1762" t="inlineStr">
        <is>
          <t>LLM</t>
        </is>
      </c>
      <c r="N1762" t="inlineStr">
        <is>
          <t>2026-04-18</t>
        </is>
      </c>
      <c r="O1762" t="inlineStr">
        <is>
          <t>AI</t>
        </is>
      </c>
    </row>
    <row r="1763">
      <c r="A1763" t="inlineStr">
        <is>
          <t>PT Gunanusa Eramandiri Tbk</t>
        </is>
      </c>
      <c r="B1763" t="inlineStr">
        <is>
          <t>GUNA_2024_AR.pdf</t>
        </is>
      </c>
      <c r="C1763" t="n">
        <v>2024</v>
      </c>
      <c r="D1763" t="inlineStr">
        <is>
          <t>Financial</t>
        </is>
      </c>
      <c r="E1763" t="inlineStr">
        <is>
          <t>EPS (Basic)</t>
        </is>
      </c>
      <c r="F1763" t="n">
        <v>27</v>
      </c>
      <c r="G1763" t="inlineStr">
        <is>
          <t>Rp/share</t>
        </is>
      </c>
      <c r="H1763" t="n">
        <v>9</v>
      </c>
      <c r="I1763" t="inlineStr">
        <is>
          <t>Laba per Saham Dasar (Rupiah penuh) 27 31 32</t>
        </is>
      </c>
      <c r="J1763" t="inlineStr">
        <is>
          <t>High</t>
        </is>
      </c>
      <c r="M1763" t="inlineStr">
        <is>
          <t>LLM</t>
        </is>
      </c>
      <c r="N1763" t="inlineStr">
        <is>
          <t>2026-04-18</t>
        </is>
      </c>
      <c r="O1763" t="inlineStr">
        <is>
          <t>AI</t>
        </is>
      </c>
    </row>
    <row r="1764">
      <c r="A1764" t="inlineStr">
        <is>
          <t>PT Gunanusa Eramandiri Tbk</t>
        </is>
      </c>
      <c r="B1764" t="inlineStr">
        <is>
          <t>GUNA_2024_AR.pdf</t>
        </is>
      </c>
      <c r="C1764" t="n">
        <v>2024</v>
      </c>
      <c r="D1764" t="inlineStr">
        <is>
          <t>Financial</t>
        </is>
      </c>
      <c r="E1764" t="inlineStr">
        <is>
          <t>Current Ratio</t>
        </is>
      </c>
      <c r="F1764" t="n">
        <v>2.18</v>
      </c>
      <c r="G1764" t="inlineStr">
        <is>
          <t>x</t>
        </is>
      </c>
      <c r="H1764" t="n">
        <v>84</v>
      </c>
      <c r="I1764" t="inlineStr">
        <is>
          <t>Rasio Lancar (x) 2,18 2,41</t>
        </is>
      </c>
      <c r="J1764" t="inlineStr">
        <is>
          <t>High</t>
        </is>
      </c>
      <c r="M1764" t="inlineStr">
        <is>
          <t>LLM</t>
        </is>
      </c>
      <c r="N1764" t="inlineStr">
        <is>
          <t>2026-04-18</t>
        </is>
      </c>
      <c r="O1764" t="inlineStr">
        <is>
          <t>AI</t>
        </is>
      </c>
    </row>
    <row r="1765">
      <c r="A1765" t="inlineStr">
        <is>
          <t>PT Gunanusa Eramandiri Tbk</t>
        </is>
      </c>
      <c r="B1765" t="inlineStr">
        <is>
          <t>GUNA_2024_AR.pdf</t>
        </is>
      </c>
      <c r="C1765" t="n">
        <v>2024</v>
      </c>
      <c r="D1765" t="inlineStr">
        <is>
          <t>Financial</t>
        </is>
      </c>
      <c r="E1765" t="inlineStr">
        <is>
          <t>Return on Assets</t>
        </is>
      </c>
      <c r="F1765" t="n">
        <v>0.0801</v>
      </c>
      <c r="G1765" t="inlineStr">
        <is>
          <t>%</t>
        </is>
      </c>
      <c r="H1765" t="n">
        <v>84</v>
      </c>
      <c r="I1765" t="inlineStr">
        <is>
          <t>Rasio Laba Terhadap Aset (%) 8,01 8,10</t>
        </is>
      </c>
      <c r="J1765" t="inlineStr">
        <is>
          <t>High</t>
        </is>
      </c>
      <c r="M1765" t="inlineStr">
        <is>
          <t>LLM</t>
        </is>
      </c>
      <c r="N1765" t="inlineStr">
        <is>
          <t>2026-04-18</t>
        </is>
      </c>
      <c r="O1765" t="inlineStr">
        <is>
          <t>AI</t>
        </is>
      </c>
    </row>
    <row r="1766">
      <c r="A1766" t="inlineStr">
        <is>
          <t>PT Gunanusa Eramandiri Tbk</t>
        </is>
      </c>
      <c r="B1766" t="inlineStr">
        <is>
          <t>GUNA_2024_AR.pdf</t>
        </is>
      </c>
      <c r="C1766" t="n">
        <v>2024</v>
      </c>
      <c r="D1766" t="inlineStr">
        <is>
          <t>Financial</t>
        </is>
      </c>
      <c r="E1766" t="inlineStr">
        <is>
          <t>Return on Equity</t>
        </is>
      </c>
      <c r="F1766" t="n">
        <v>0.1157</v>
      </c>
      <c r="G1766" t="inlineStr">
        <is>
          <t>%</t>
        </is>
      </c>
      <c r="H1766" t="n">
        <v>84</v>
      </c>
      <c r="I1766" t="inlineStr">
        <is>
          <t>Rasio Laba Terhadap Ekuitas (%) 11,57 11,16</t>
        </is>
      </c>
      <c r="J1766" t="inlineStr">
        <is>
          <t>High</t>
        </is>
      </c>
      <c r="M1766" t="inlineStr">
        <is>
          <t>LLM</t>
        </is>
      </c>
      <c r="N1766" t="inlineStr">
        <is>
          <t>2026-04-18</t>
        </is>
      </c>
      <c r="O1766" t="inlineStr">
        <is>
          <t>AI</t>
        </is>
      </c>
    </row>
    <row r="1767">
      <c r="A1767" t="inlineStr">
        <is>
          <t>PT Gunanusa Eramandiri Tbk</t>
        </is>
      </c>
      <c r="B1767" t="inlineStr">
        <is>
          <t>GUNA_2024_AR.pdf</t>
        </is>
      </c>
      <c r="C1767" t="n">
        <v>2024</v>
      </c>
      <c r="D1767" t="inlineStr">
        <is>
          <t>Financial</t>
        </is>
      </c>
      <c r="E1767" t="inlineStr">
        <is>
          <t>Debt to Assets Ratio</t>
        </is>
      </c>
      <c r="F1767" t="n">
        <v>0.19</v>
      </c>
      <c r="G1767" t="inlineStr">
        <is>
          <t>x</t>
        </is>
      </c>
      <c r="H1767" t="n">
        <v>84</v>
      </c>
      <c r="I1767" t="inlineStr">
        <is>
          <t>Rasio Utang Terhadap Aset (x) 0,19 0,27</t>
        </is>
      </c>
      <c r="J1767" t="inlineStr">
        <is>
          <t>High</t>
        </is>
      </c>
      <c r="M1767" t="inlineStr">
        <is>
          <t>LLM</t>
        </is>
      </c>
      <c r="N1767" t="inlineStr">
        <is>
          <t>2026-04-18</t>
        </is>
      </c>
      <c r="O1767" t="inlineStr">
        <is>
          <t>AI</t>
        </is>
      </c>
    </row>
    <row r="1768">
      <c r="A1768" t="inlineStr">
        <is>
          <t>PT Gunanusa Eramandiri Tbk</t>
        </is>
      </c>
      <c r="B1768" t="inlineStr">
        <is>
          <t>GUNA_2024_AR.pdf</t>
        </is>
      </c>
      <c r="C1768" t="n">
        <v>2024</v>
      </c>
      <c r="D1768" t="inlineStr">
        <is>
          <t>Financial</t>
        </is>
      </c>
      <c r="E1768" t="inlineStr">
        <is>
          <t>Debt to Equity Ratio</t>
        </is>
      </c>
      <c r="F1768" t="n">
        <v>0.28</v>
      </c>
      <c r="G1768" t="inlineStr">
        <is>
          <t>x</t>
        </is>
      </c>
      <c r="H1768" t="n">
        <v>84</v>
      </c>
      <c r="I1768" t="inlineStr">
        <is>
          <t>Rasio Utang Terhadap Ekuitas (x) 0,28 0,38</t>
        </is>
      </c>
      <c r="J1768" t="inlineStr">
        <is>
          <t>High</t>
        </is>
      </c>
      <c r="M1768" t="inlineStr">
        <is>
          <t>LLM</t>
        </is>
      </c>
      <c r="N1768" t="inlineStr">
        <is>
          <t>2026-04-18</t>
        </is>
      </c>
      <c r="O1768" t="inlineStr">
        <is>
          <t>AI</t>
        </is>
      </c>
    </row>
    <row r="1769">
      <c r="A1769" t="inlineStr">
        <is>
          <t>PT Gunanusa Eramandiri Tbk</t>
        </is>
      </c>
      <c r="B1769" t="inlineStr">
        <is>
          <t>GUNA_2024_AR.pdf</t>
        </is>
      </c>
      <c r="C1769" t="n">
        <v>2024</v>
      </c>
      <c r="D1769" t="inlineStr">
        <is>
          <t>Financial</t>
        </is>
      </c>
      <c r="E1769" t="inlineStr">
        <is>
          <t>Shares Outstanding</t>
        </is>
      </c>
      <c r="F1769" t="n">
        <v>2500</v>
      </c>
      <c r="G1769" t="inlineStr">
        <is>
          <t>mn shares</t>
        </is>
      </c>
      <c r="H1769" t="n">
        <v>61</v>
      </c>
      <c r="I1769" t="inlineStr">
        <is>
          <t>Jumlah 2.500.000.000 100% (post-IPO total)</t>
        </is>
      </c>
      <c r="J1769" t="inlineStr">
        <is>
          <t>High</t>
        </is>
      </c>
      <c r="M1769" t="inlineStr">
        <is>
          <t>LLM</t>
        </is>
      </c>
      <c r="N1769" t="inlineStr">
        <is>
          <t>2026-04-18</t>
        </is>
      </c>
      <c r="O1769" t="inlineStr">
        <is>
          <t>AI</t>
        </is>
      </c>
    </row>
    <row r="1770">
      <c r="A1770" t="inlineStr">
        <is>
          <t>PT Gunanusa Eramandiri Tbk</t>
        </is>
      </c>
      <c r="B1770" t="inlineStr">
        <is>
          <t>GUNA_2024_AR.pdf</t>
        </is>
      </c>
      <c r="C1770" t="n">
        <v>2024</v>
      </c>
      <c r="D1770" t="inlineStr">
        <is>
          <t>Financial</t>
        </is>
      </c>
      <c r="E1770" t="inlineStr">
        <is>
          <t>Closing Price Dec 2024</t>
        </is>
      </c>
      <c r="F1770" t="n">
        <v>302</v>
      </c>
      <c r="G1770" t="inlineStr">
        <is>
          <t>Rp/share</t>
        </is>
      </c>
      <c r="H1770" t="n">
        <v>11</v>
      </c>
      <c r="I1770" t="inlineStr">
        <is>
          <t>Desember 298 290 302</t>
        </is>
      </c>
      <c r="J1770" t="inlineStr">
        <is>
          <t>High</t>
        </is>
      </c>
      <c r="M1770" t="inlineStr">
        <is>
          <t>LLM</t>
        </is>
      </c>
      <c r="N1770" t="inlineStr">
        <is>
          <t>2026-04-18</t>
        </is>
      </c>
      <c r="O1770" t="inlineStr">
        <is>
          <t>AI</t>
        </is>
      </c>
    </row>
    <row r="1771">
      <c r="A1771" t="inlineStr">
        <is>
          <t>PT Gunanusa Eramandiri Tbk</t>
        </is>
      </c>
      <c r="B1771" t="inlineStr">
        <is>
          <t>GUNA_2024_AR.pdf</t>
        </is>
      </c>
      <c r="C1771" t="n">
        <v>2024</v>
      </c>
      <c r="D1771" t="inlineStr">
        <is>
          <t>Financial</t>
        </is>
      </c>
      <c r="E1771" t="inlineStr">
        <is>
          <t>Market Cap Dec 2024</t>
        </is>
      </c>
      <c r="F1771" t="n">
        <v>755</v>
      </c>
      <c r="G1771" t="inlineStr">
        <is>
          <t>IDR bn</t>
        </is>
      </c>
      <c r="H1771" t="n">
        <v>11</v>
      </c>
      <c r="I1771" t="inlineStr">
        <is>
          <t>Desember ... 755.000.000.000</t>
        </is>
      </c>
      <c r="J1771" t="inlineStr">
        <is>
          <t>High</t>
        </is>
      </c>
      <c r="M1771" t="inlineStr">
        <is>
          <t>LLM</t>
        </is>
      </c>
      <c r="N1771" t="inlineStr">
        <is>
          <t>2026-04-18</t>
        </is>
      </c>
      <c r="O1771" t="inlineStr">
        <is>
          <t>AI</t>
        </is>
      </c>
    </row>
    <row r="1772">
      <c r="A1772" t="inlineStr">
        <is>
          <t>PT Gunanusa Eramandiri Tbk</t>
        </is>
      </c>
      <c r="B1772" t="inlineStr">
        <is>
          <t>GUNA_2024_AR.pdf</t>
        </is>
      </c>
      <c r="C1772" t="n">
        <v>2024</v>
      </c>
      <c r="D1772" t="inlineStr">
        <is>
          <t>Financial</t>
        </is>
      </c>
      <c r="E1772" t="inlineStr">
        <is>
          <t>Audit Fee</t>
        </is>
      </c>
      <c r="F1772" t="n">
        <v>0.58</v>
      </c>
      <c r="G1772" t="inlineStr">
        <is>
          <t>IDR bn</t>
        </is>
      </c>
      <c r="H1772" t="n">
        <v>65</v>
      </c>
      <c r="I1772" t="inlineStr">
        <is>
          <t>Biaya Rp 580.000.000 (RSM Indonesia)</t>
        </is>
      </c>
      <c r="J1772" t="inlineStr">
        <is>
          <t>High</t>
        </is>
      </c>
      <c r="M1772" t="inlineStr">
        <is>
          <t>LLM</t>
        </is>
      </c>
      <c r="N1772" t="inlineStr">
        <is>
          <t>2026-04-18</t>
        </is>
      </c>
      <c r="O1772" t="inlineStr">
        <is>
          <t>AI</t>
        </is>
      </c>
    </row>
    <row r="1773">
      <c r="A1773" t="inlineStr">
        <is>
          <t>PT Gunanusa Eramandiri Tbk</t>
        </is>
      </c>
      <c r="B1773" t="inlineStr">
        <is>
          <t>GUNA_2024_AR.pdf</t>
        </is>
      </c>
      <c r="C1773" t="n">
        <v>2024</v>
      </c>
      <c r="D1773" t="inlineStr">
        <is>
          <t>Operation</t>
        </is>
      </c>
      <c r="E1773" t="inlineStr">
        <is>
          <t>Total Nut Production (Processed)</t>
        </is>
      </c>
      <c r="F1773" t="n">
        <v>8314403</v>
      </c>
      <c r="G1773" t="inlineStr">
        <is>
          <t>kg</t>
        </is>
      </c>
      <c r="H1773" t="n">
        <v>19</v>
      </c>
      <c r="I1773" t="inlineStr">
        <is>
          <t>Perseroan mampu memproduksi 8.314.403 kg pada tahun 2024, meningkat 4,3% dari produksi 7.972.336 kg pada tahun sebelumnya</t>
        </is>
      </c>
      <c r="J1773" t="inlineStr">
        <is>
          <t>High</t>
        </is>
      </c>
      <c r="M1773" t="inlineStr">
        <is>
          <t>LLM</t>
        </is>
      </c>
      <c r="N1773" t="inlineStr">
        <is>
          <t>2026-04-18</t>
        </is>
      </c>
      <c r="O1773" t="inlineStr">
        <is>
          <t>AI</t>
        </is>
      </c>
    </row>
    <row r="1774">
      <c r="A1774" t="inlineStr">
        <is>
          <t>PT Gunanusa Eramandiri Tbk</t>
        </is>
      </c>
      <c r="B1774" t="inlineStr">
        <is>
          <t>GUNA_2024_AR.pdf</t>
        </is>
      </c>
      <c r="C1774" t="n">
        <v>2024</v>
      </c>
      <c r="D1774" t="inlineStr">
        <is>
          <t>Operation</t>
        </is>
      </c>
      <c r="E1774" t="inlineStr">
        <is>
          <t>Annual Processing Capacity</t>
        </is>
      </c>
      <c r="F1774" t="n">
        <v>9200</v>
      </c>
      <c r="G1774" t="inlineStr">
        <is>
          <t>tons</t>
        </is>
      </c>
      <c r="H1774" t="n">
        <v>33</v>
      </c>
      <c r="I1774" t="inlineStr">
        <is>
          <t>Setiap tahunnya, Perseroan memproduksi sekitar 9.200 ton kacang-kacangan yang diolah di tiga plant yang dimiliki Perseroan</t>
        </is>
      </c>
      <c r="J1774" t="inlineStr">
        <is>
          <t>High</t>
        </is>
      </c>
      <c r="M1774" t="inlineStr">
        <is>
          <t>LLM</t>
        </is>
      </c>
      <c r="N1774" t="inlineStr">
        <is>
          <t>2026-04-18</t>
        </is>
      </c>
      <c r="O1774" t="inlineStr">
        <is>
          <t>AI</t>
        </is>
      </c>
    </row>
    <row r="1775">
      <c r="A1775" t="inlineStr">
        <is>
          <t>PT Gunanusa Eramandiri Tbk</t>
        </is>
      </c>
      <c r="B1775" t="inlineStr">
        <is>
          <t>GUNA_2024_AR.pdf</t>
        </is>
      </c>
      <c r="C1775" t="n">
        <v>2024</v>
      </c>
      <c r="D1775" t="inlineStr">
        <is>
          <t>Operation</t>
        </is>
      </c>
      <c r="E1775" t="inlineStr">
        <is>
          <t>Plants Count</t>
        </is>
      </c>
      <c r="F1775" t="n">
        <v>3</v>
      </c>
      <c r="G1775" t="inlineStr">
        <is>
          <t>count</t>
        </is>
      </c>
      <c r="H1775" t="n">
        <v>33</v>
      </c>
      <c r="I1775" t="inlineStr">
        <is>
          <t>tiga plant yang dimiliki Perseroan. Dua plant terletak di Cikarang, Jawa Barat, sedangkan satu plant sisanya terletak di Pati, Jawa Tengah</t>
        </is>
      </c>
      <c r="J1775" t="inlineStr">
        <is>
          <t>High</t>
        </is>
      </c>
      <c r="M1775" t="inlineStr">
        <is>
          <t>LLM</t>
        </is>
      </c>
      <c r="N1775" t="inlineStr">
        <is>
          <t>2026-04-18</t>
        </is>
      </c>
      <c r="O1775" t="inlineStr">
        <is>
          <t>AI</t>
        </is>
      </c>
    </row>
    <row r="1776">
      <c r="A1776" t="inlineStr">
        <is>
          <t>PT Gunanusa Eramandiri Tbk</t>
        </is>
      </c>
      <c r="B1776" t="inlineStr">
        <is>
          <t>GUNA_2024_AR.pdf</t>
        </is>
      </c>
      <c r="C1776" t="n">
        <v>2024</v>
      </c>
      <c r="D1776" t="inlineStr">
        <is>
          <t>Operation</t>
        </is>
      </c>
      <c r="E1776" t="inlineStr">
        <is>
          <t>Contract Manufacturing Revenue</t>
        </is>
      </c>
      <c r="F1776" t="n">
        <v>801.356</v>
      </c>
      <c r="G1776" t="inlineStr">
        <is>
          <t>IDR bn</t>
        </is>
      </c>
      <c r="H1776" t="n">
        <v>75</v>
      </c>
      <c r="I1776" t="inlineStr">
        <is>
          <t>Kontrak Manufaktur dan Jasa Maklon 801.356 55,48%</t>
        </is>
      </c>
      <c r="J1776" t="inlineStr">
        <is>
          <t>High</t>
        </is>
      </c>
      <c r="M1776" t="inlineStr">
        <is>
          <t>LLM</t>
        </is>
      </c>
      <c r="N1776" t="inlineStr">
        <is>
          <t>2026-04-18</t>
        </is>
      </c>
      <c r="O1776" t="inlineStr">
        <is>
          <t>AI</t>
        </is>
      </c>
    </row>
    <row r="1777">
      <c r="A1777" t="inlineStr">
        <is>
          <t>PT Gunanusa Eramandiri Tbk</t>
        </is>
      </c>
      <c r="B1777" t="inlineStr">
        <is>
          <t>GUNA_2024_AR.pdf</t>
        </is>
      </c>
      <c r="C1777" t="n">
        <v>2024</v>
      </c>
      <c r="D1777" t="inlineStr">
        <is>
          <t>Operation</t>
        </is>
      </c>
      <c r="E1777" t="inlineStr">
        <is>
          <t>Nut Product Sales Revenue</t>
        </is>
      </c>
      <c r="F1777" t="n">
        <v>571.9690000000001</v>
      </c>
      <c r="G1777" t="inlineStr">
        <is>
          <t>IDR bn</t>
        </is>
      </c>
      <c r="H1777" t="n">
        <v>75</v>
      </c>
      <c r="I1777" t="inlineStr">
        <is>
          <t>Penjualan Produk Kacang 571.969 39,60%</t>
        </is>
      </c>
      <c r="J1777" t="inlineStr">
        <is>
          <t>High</t>
        </is>
      </c>
      <c r="M1777" t="inlineStr">
        <is>
          <t>LLM</t>
        </is>
      </c>
      <c r="N1777" t="inlineStr">
        <is>
          <t>2026-04-18</t>
        </is>
      </c>
      <c r="O1777" t="inlineStr">
        <is>
          <t>AI</t>
        </is>
      </c>
    </row>
    <row r="1778">
      <c r="A1778" t="inlineStr">
        <is>
          <t>PT Gunanusa Eramandiri Tbk</t>
        </is>
      </c>
      <c r="B1778" t="inlineStr">
        <is>
          <t>GUNA_2024_AR.pdf</t>
        </is>
      </c>
      <c r="C1778" t="n">
        <v>2024</v>
      </c>
      <c r="D1778" t="inlineStr">
        <is>
          <t>Operation</t>
        </is>
      </c>
      <c r="E1778" t="inlineStr">
        <is>
          <t>Other Revenue</t>
        </is>
      </c>
      <c r="F1778" t="n">
        <v>71.07299999999999</v>
      </c>
      <c r="G1778" t="inlineStr">
        <is>
          <t>IDR bn</t>
        </is>
      </c>
      <c r="H1778" t="n">
        <v>75</v>
      </c>
      <c r="I1778" t="inlineStr">
        <is>
          <t>Lain-Lain 71.073 4,92%</t>
        </is>
      </c>
      <c r="J1778" t="inlineStr">
        <is>
          <t>High</t>
        </is>
      </c>
      <c r="M1778" t="inlineStr">
        <is>
          <t>LLM</t>
        </is>
      </c>
      <c r="N1778" t="inlineStr">
        <is>
          <t>2026-04-18</t>
        </is>
      </c>
      <c r="O1778" t="inlineStr">
        <is>
          <t>AI</t>
        </is>
      </c>
    </row>
    <row r="1779">
      <c r="A1779" t="inlineStr">
        <is>
          <t>PT Gunanusa Eramandiri Tbk</t>
        </is>
      </c>
      <c r="B1779" t="inlineStr">
        <is>
          <t>GUNA_2024_AR.pdf</t>
        </is>
      </c>
      <c r="C1779" t="n">
        <v>2024</v>
      </c>
      <c r="D1779" t="inlineStr">
        <is>
          <t>Operation</t>
        </is>
      </c>
      <c r="E1779" t="inlineStr">
        <is>
          <t>Domestic Revenue</t>
        </is>
      </c>
      <c r="F1779" t="n">
        <v>1294.065</v>
      </c>
      <c r="G1779" t="inlineStr">
        <is>
          <t>IDR bn</t>
        </is>
      </c>
      <c r="H1779" t="n">
        <v>72</v>
      </c>
      <c r="I1779" t="inlineStr">
        <is>
          <t>Domestik 1.294.065 1.285.469 0,67%</t>
        </is>
      </c>
      <c r="J1779" t="inlineStr">
        <is>
          <t>High</t>
        </is>
      </c>
      <c r="M1779" t="inlineStr">
        <is>
          <t>LLM</t>
        </is>
      </c>
      <c r="N1779" t="inlineStr">
        <is>
          <t>2026-04-18</t>
        </is>
      </c>
      <c r="O1779" t="inlineStr">
        <is>
          <t>AI</t>
        </is>
      </c>
    </row>
    <row r="1780">
      <c r="A1780" t="inlineStr">
        <is>
          <t>PT Gunanusa Eramandiri Tbk</t>
        </is>
      </c>
      <c r="B1780" t="inlineStr">
        <is>
          <t>GUNA_2024_AR.pdf</t>
        </is>
      </c>
      <c r="C1780" t="n">
        <v>2024</v>
      </c>
      <c r="D1780" t="inlineStr">
        <is>
          <t>Operation</t>
        </is>
      </c>
      <c r="E1780" t="inlineStr">
        <is>
          <t>International Revenue</t>
        </is>
      </c>
      <c r="F1780" t="n">
        <v>150.334</v>
      </c>
      <c r="G1780" t="inlineStr">
        <is>
          <t>IDR bn</t>
        </is>
      </c>
      <c r="H1780" t="n">
        <v>72</v>
      </c>
      <c r="I1780" t="inlineStr">
        <is>
          <t>Luar Negeri 150.334 115.484 30,18%</t>
        </is>
      </c>
      <c r="J1780" t="inlineStr">
        <is>
          <t>High</t>
        </is>
      </c>
      <c r="M1780" t="inlineStr">
        <is>
          <t>LLM</t>
        </is>
      </c>
      <c r="N1780" t="inlineStr">
        <is>
          <t>2026-04-18</t>
        </is>
      </c>
      <c r="O1780" t="inlineStr">
        <is>
          <t>AI</t>
        </is>
      </c>
    </row>
    <row r="1781">
      <c r="A1781" t="inlineStr">
        <is>
          <t>PT Gunanusa Eramandiri Tbk</t>
        </is>
      </c>
      <c r="B1781" t="inlineStr">
        <is>
          <t>GUNA_2024_AR.pdf</t>
        </is>
      </c>
      <c r="C1781" t="n">
        <v>2024</v>
      </c>
      <c r="D1781" t="inlineStr">
        <is>
          <t>Operation</t>
        </is>
      </c>
      <c r="E1781" t="inlineStr">
        <is>
          <t>Domestic Sales Proportion</t>
        </is>
      </c>
      <c r="F1781" t="n">
        <v>0.896</v>
      </c>
      <c r="G1781" t="inlineStr">
        <is>
          <t>%</t>
        </is>
      </c>
      <c r="H1781" t="n">
        <v>72</v>
      </c>
      <c r="I1781" t="inlineStr">
        <is>
          <t>Calculated: 1,294,065 / 1,444,399 = 89.6%</t>
        </is>
      </c>
      <c r="J1781" t="inlineStr">
        <is>
          <t>High</t>
        </is>
      </c>
      <c r="M1781" t="inlineStr">
        <is>
          <t>LLM</t>
        </is>
      </c>
      <c r="N1781" t="inlineStr">
        <is>
          <t>2026-04-18</t>
        </is>
      </c>
      <c r="O1781" t="inlineStr">
        <is>
          <t>AI</t>
        </is>
      </c>
    </row>
    <row r="1782">
      <c r="A1782" t="inlineStr">
        <is>
          <t>PT Gunanusa Eramandiri Tbk</t>
        </is>
      </c>
      <c r="B1782" t="inlineStr">
        <is>
          <t>GUNA_2024_AR.pdf</t>
        </is>
      </c>
      <c r="C1782" t="n">
        <v>2024</v>
      </c>
      <c r="D1782" t="inlineStr">
        <is>
          <t>Operation</t>
        </is>
      </c>
      <c r="E1782" t="inlineStr">
        <is>
          <t>Export Sales Proportion</t>
        </is>
      </c>
      <c r="F1782" t="n">
        <v>0.104</v>
      </c>
      <c r="G1782" t="inlineStr">
        <is>
          <t>%</t>
        </is>
      </c>
      <c r="H1782" t="n">
        <v>72</v>
      </c>
      <c r="I1782" t="inlineStr">
        <is>
          <t>Calculated: 150,334 / 1,444,399 = 10.4%</t>
        </is>
      </c>
      <c r="J1782" t="inlineStr">
        <is>
          <t>High</t>
        </is>
      </c>
      <c r="M1782" t="inlineStr">
        <is>
          <t>LLM</t>
        </is>
      </c>
      <c r="N1782" t="inlineStr">
        <is>
          <t>2026-04-18</t>
        </is>
      </c>
      <c r="O1782" t="inlineStr">
        <is>
          <t>AI</t>
        </is>
      </c>
    </row>
    <row r="1783">
      <c r="A1783" t="inlineStr">
        <is>
          <t>PT Gunanusa Eramandiri Tbk</t>
        </is>
      </c>
      <c r="B1783" t="inlineStr">
        <is>
          <t>GUNA_2024_AR.pdf</t>
        </is>
      </c>
      <c r="C1783" t="n">
        <v>2024</v>
      </c>
      <c r="D1783" t="inlineStr">
        <is>
          <t>Operation</t>
        </is>
      </c>
      <c r="E1783" t="inlineStr">
        <is>
          <t>New Customers Acquired 2024</t>
        </is>
      </c>
      <c r="F1783" t="n">
        <v>7</v>
      </c>
      <c r="G1783" t="inlineStr">
        <is>
          <t>count</t>
        </is>
      </c>
      <c r="H1783" t="n">
        <v>25</v>
      </c>
      <c r="I1783" t="inlineStr">
        <is>
          <t>Perseroan berhasil menambah pelanggan baru berjumlah 7 pelanggan korporat dengan menambah 3 pelanggan di luar negeri dan 4 pelanggan domestik</t>
        </is>
      </c>
      <c r="J1783" t="inlineStr">
        <is>
          <t>High</t>
        </is>
      </c>
      <c r="M1783" t="inlineStr">
        <is>
          <t>LLM</t>
        </is>
      </c>
      <c r="N1783" t="inlineStr">
        <is>
          <t>2026-04-18</t>
        </is>
      </c>
      <c r="O1783" t="inlineStr">
        <is>
          <t>AI</t>
        </is>
      </c>
    </row>
    <row r="1784">
      <c r="A1784" t="inlineStr">
        <is>
          <t>PT Gunanusa Eramandiri Tbk</t>
        </is>
      </c>
      <c r="B1784" t="inlineStr">
        <is>
          <t>GUNA_2024_AR.pdf</t>
        </is>
      </c>
      <c r="C1784" t="n">
        <v>2024</v>
      </c>
      <c r="D1784" t="inlineStr">
        <is>
          <t>Asset</t>
        </is>
      </c>
      <c r="E1784" t="inlineStr">
        <is>
          <t>Land Purchase KITIC</t>
        </is>
      </c>
      <c r="F1784" t="n">
        <v>2.3</v>
      </c>
      <c r="G1784" t="inlineStr">
        <is>
          <t>ha</t>
        </is>
      </c>
      <c r="H1784" t="n">
        <v>78</v>
      </c>
      <c r="I1784" t="inlineStr">
        <is>
          <t>pembelian tanah seluas 2,3 hektar di KITIC dan penambahan line process baru</t>
        </is>
      </c>
      <c r="J1784" t="inlineStr">
        <is>
          <t>High</t>
        </is>
      </c>
      <c r="M1784" t="inlineStr">
        <is>
          <t>LLM</t>
        </is>
      </c>
      <c r="N1784" t="inlineStr">
        <is>
          <t>2026-04-18</t>
        </is>
      </c>
      <c r="O1784" t="inlineStr">
        <is>
          <t>AI</t>
        </is>
      </c>
    </row>
    <row r="1785">
      <c r="A1785" t="inlineStr">
        <is>
          <t>PT Gunanusa Eramandiri Tbk</t>
        </is>
      </c>
      <c r="B1785" t="inlineStr">
        <is>
          <t>GUNA_2024_AR.pdf</t>
        </is>
      </c>
      <c r="C1785" t="n">
        <v>2024</v>
      </c>
      <c r="D1785" t="inlineStr">
        <is>
          <t>Asset</t>
        </is>
      </c>
      <c r="E1785" t="inlineStr">
        <is>
          <t>Subsidiary - PT Cubic Indonesia</t>
        </is>
      </c>
      <c r="F1785" t="n">
        <v>0.89</v>
      </c>
      <c r="G1785" t="inlineStr">
        <is>
          <t>%</t>
        </is>
      </c>
      <c r="H1785" t="n">
        <v>62</v>
      </c>
      <c r="I1785" t="inlineStr">
        <is>
          <t>PT Cubic Indonesia 1997 89,00% Rp85.342.512.124 Jasa Industri untuk Berbagai Pengerjaan Khusus Logam</t>
        </is>
      </c>
      <c r="J1785" t="inlineStr">
        <is>
          <t>High</t>
        </is>
      </c>
      <c r="M1785" t="inlineStr">
        <is>
          <t>LLM</t>
        </is>
      </c>
      <c r="N1785" t="inlineStr">
        <is>
          <t>2026-04-18</t>
        </is>
      </c>
      <c r="O1785" t="inlineStr">
        <is>
          <t>AI</t>
        </is>
      </c>
    </row>
    <row r="1786">
      <c r="A1786" t="inlineStr">
        <is>
          <t>PT Gunanusa Eramandiri Tbk</t>
        </is>
      </c>
      <c r="B1786" t="inlineStr">
        <is>
          <t>GUNA_2024_AR.pdf</t>
        </is>
      </c>
      <c r="C1786" t="n">
        <v>2024</v>
      </c>
      <c r="D1786" t="inlineStr">
        <is>
          <t>Asset</t>
        </is>
      </c>
      <c r="E1786" t="inlineStr">
        <is>
          <t>Subsidiary - PT Mitrapak Eramandiri</t>
        </is>
      </c>
      <c r="F1786" t="n">
        <v>0.325</v>
      </c>
      <c r="G1786" t="inlineStr">
        <is>
          <t>%</t>
        </is>
      </c>
      <c r="H1786" t="n">
        <v>63</v>
      </c>
      <c r="I1786" t="inlineStr">
        <is>
          <t>PT Mitrapak Eramandiri 2008 32,50% Rp375.515.527.180 Industri Sabun dan Bahan Pembersih</t>
        </is>
      </c>
      <c r="J1786" t="inlineStr">
        <is>
          <t>High</t>
        </is>
      </c>
      <c r="M1786" t="inlineStr">
        <is>
          <t>LLM</t>
        </is>
      </c>
      <c r="N1786" t="inlineStr">
        <is>
          <t>2026-04-18</t>
        </is>
      </c>
      <c r="O1786" t="inlineStr">
        <is>
          <t>AI</t>
        </is>
      </c>
    </row>
    <row r="1787">
      <c r="A1787" t="inlineStr">
        <is>
          <t>PT Gunanusa Eramandiri Tbk</t>
        </is>
      </c>
      <c r="B1787" t="inlineStr">
        <is>
          <t>GUNA_2024_AR.pdf</t>
        </is>
      </c>
      <c r="C1787" t="n">
        <v>2024</v>
      </c>
      <c r="D1787" t="inlineStr">
        <is>
          <t>Asset</t>
        </is>
      </c>
      <c r="E1787" t="inlineStr">
        <is>
          <t>Subsidiary - PT Ciptapangan Sukses Makmur</t>
        </is>
      </c>
      <c r="F1787" t="n">
        <v>0.8</v>
      </c>
      <c r="G1787" t="inlineStr">
        <is>
          <t>%</t>
        </is>
      </c>
      <c r="H1787" t="n">
        <v>63</v>
      </c>
      <c r="I1787" t="inlineStr">
        <is>
          <t>PT Ciptapangan Sukses Makmur 2005 80,00% Rp17.985.943.066 Perdagangan makanan dan minuman lainnya</t>
        </is>
      </c>
      <c r="J1787" t="inlineStr">
        <is>
          <t>High</t>
        </is>
      </c>
      <c r="M1787" t="inlineStr">
        <is>
          <t>LLM</t>
        </is>
      </c>
      <c r="N1787" t="inlineStr">
        <is>
          <t>2026-04-18</t>
        </is>
      </c>
      <c r="O1787" t="inlineStr">
        <is>
          <t>AI</t>
        </is>
      </c>
    </row>
    <row r="1788">
      <c r="A1788" t="inlineStr">
        <is>
          <t>PT Gunanusa Eramandiri Tbk</t>
        </is>
      </c>
      <c r="B1788" t="inlineStr">
        <is>
          <t>GUNA_2024_AR.pdf</t>
        </is>
      </c>
      <c r="C1788" t="n">
        <v>2024</v>
      </c>
      <c r="D1788" t="inlineStr">
        <is>
          <t>Asset</t>
        </is>
      </c>
      <c r="E1788" t="inlineStr">
        <is>
          <t>Subsidiary - PT Gunanusa Agro Plantation (liquidating)</t>
        </is>
      </c>
      <c r="F1788" t="n">
        <v>0.99</v>
      </c>
      <c r="G1788" t="inlineStr">
        <is>
          <t>%</t>
        </is>
      </c>
      <c r="H1788" t="n">
        <v>63</v>
      </c>
      <c r="I1788" t="inlineStr">
        <is>
          <t>PT Gunanusa Agro Internasional Plantation 2019 99,00% Rp0 Perkebunan Terlikuidasi | Liquidated</t>
        </is>
      </c>
      <c r="J1788" t="inlineStr">
        <is>
          <t>High</t>
        </is>
      </c>
      <c r="M1788" t="inlineStr">
        <is>
          <t>LLM</t>
        </is>
      </c>
      <c r="N1788" t="inlineStr">
        <is>
          <t>2026-04-18</t>
        </is>
      </c>
      <c r="O1788" t="inlineStr">
        <is>
          <t>AI</t>
        </is>
      </c>
    </row>
    <row r="1789">
      <c r="A1789" t="inlineStr">
        <is>
          <t>PT Gunanusa Eramandiri Tbk</t>
        </is>
      </c>
      <c r="B1789" t="inlineStr">
        <is>
          <t>GUNA_2024_AR.pdf</t>
        </is>
      </c>
      <c r="C1789" t="n">
        <v>2024</v>
      </c>
      <c r="D1789" t="inlineStr">
        <is>
          <t>Asset</t>
        </is>
      </c>
      <c r="E1789" t="inlineStr">
        <is>
          <t>Subsidiary - Gunanusa Eramandiri International Sdn Bhd</t>
        </is>
      </c>
      <c r="F1789" t="n">
        <v>1</v>
      </c>
      <c r="G1789" t="inlineStr">
        <is>
          <t>%</t>
        </is>
      </c>
      <c r="H1789" t="n">
        <v>63</v>
      </c>
      <c r="I1789" t="inlineStr">
        <is>
          <t>Gunanusa Eramandiri International Sdn. Bhd. 2019 100,00% Rp0 Ekspor dan Impor Kacang-Kacangan yang Dapat Dimakan - liquidated January 15, 2025</t>
        </is>
      </c>
      <c r="J1789" t="inlineStr">
        <is>
          <t>High</t>
        </is>
      </c>
      <c r="M1789" t="inlineStr">
        <is>
          <t>LLM</t>
        </is>
      </c>
      <c r="N1789" t="inlineStr">
        <is>
          <t>2026-04-18</t>
        </is>
      </c>
      <c r="O1789" t="inlineStr">
        <is>
          <t>AI</t>
        </is>
      </c>
    </row>
    <row r="1790">
      <c r="A1790" t="inlineStr">
        <is>
          <t>PT Gunanusa Eramandiri Tbk</t>
        </is>
      </c>
      <c r="B1790" t="inlineStr">
        <is>
          <t>GUNA_2024_AR.pdf</t>
        </is>
      </c>
      <c r="C1790" t="n">
        <v>2024</v>
      </c>
      <c r="D1790" t="inlineStr">
        <is>
          <t>Other</t>
        </is>
      </c>
      <c r="E1790" t="inlineStr">
        <is>
          <t>Business Type</t>
        </is>
      </c>
      <c r="F1790" t="inlineStr">
        <is>
          <t>Nut processing / Food manufacturing (NOT palm oil)</t>
        </is>
      </c>
      <c r="G1790" t="inlineStr">
        <is>
          <t>text</t>
        </is>
      </c>
      <c r="H1790" t="n">
        <v>33</v>
      </c>
      <c r="I1790" t="inlineStr">
        <is>
          <t>Perseroan bergerak di industri makanan dan memiliki kegiatan usaha utama yaitu memproduksi dan memperdagangkan produk makanan hasil olahan dari kedelai dan kacang-kacangan lainnya, seperti kacang tanah</t>
        </is>
      </c>
      <c r="J1790" t="inlineStr">
        <is>
          <t>High</t>
        </is>
      </c>
      <c r="M1790" t="inlineStr">
        <is>
          <t>LLM</t>
        </is>
      </c>
      <c r="N1790" t="inlineStr">
        <is>
          <t>2026-04-18</t>
        </is>
      </c>
      <c r="O1790" t="inlineStr">
        <is>
          <t>AI</t>
        </is>
      </c>
    </row>
    <row r="1791">
      <c r="A1791" t="inlineStr">
        <is>
          <t>PT Gunanusa Eramandiri Tbk</t>
        </is>
      </c>
      <c r="B1791" t="inlineStr">
        <is>
          <t>GUNA_2024_AR.pdf</t>
        </is>
      </c>
      <c r="C1791" t="n">
        <v>2024</v>
      </c>
      <c r="D1791" t="inlineStr">
        <is>
          <t>Other</t>
        </is>
      </c>
      <c r="E1791" t="inlineStr">
        <is>
          <t>KBLI Primary</t>
        </is>
      </c>
      <c r="F1791" t="inlineStr">
        <is>
          <t>10793 (food industry from soybeans/nuts)</t>
        </is>
      </c>
      <c r="G1791" t="inlineStr">
        <is>
          <t>text</t>
        </is>
      </c>
      <c r="H1791" t="n">
        <v>41</v>
      </c>
      <c r="I1791" t="inlineStr">
        <is>
          <t>Perseroan menjalankan kegiatan usaha yang telah benar-benar dijalankan di bidang Industri makanan dari kedelai dan kacang-kacangan lainnya bukan kecap, tempe dan tahu (KBLI 10793)</t>
        </is>
      </c>
      <c r="J1791" t="inlineStr">
        <is>
          <t>High</t>
        </is>
      </c>
      <c r="M1791" t="inlineStr">
        <is>
          <t>LLM</t>
        </is>
      </c>
      <c r="N1791" t="inlineStr">
        <is>
          <t>2026-04-18</t>
        </is>
      </c>
      <c r="O1791" t="inlineStr">
        <is>
          <t>AI</t>
        </is>
      </c>
    </row>
    <row r="1792">
      <c r="A1792" t="inlineStr">
        <is>
          <t>PT Gunanusa Eramandiri Tbk</t>
        </is>
      </c>
      <c r="B1792" t="inlineStr">
        <is>
          <t>GUNA_2024_AR.pdf</t>
        </is>
      </c>
      <c r="C1792" t="n">
        <v>2024</v>
      </c>
      <c r="D1792" t="inlineStr">
        <is>
          <t>Other</t>
        </is>
      </c>
      <c r="E1792" t="inlineStr">
        <is>
          <t>Plant 1 Location</t>
        </is>
      </c>
      <c r="F1792" t="inlineStr">
        <is>
          <t>Cikarang Selatan, Bekasi, West Java (Head Office/Plant)</t>
        </is>
      </c>
      <c r="G1792" t="inlineStr">
        <is>
          <t>text</t>
        </is>
      </c>
      <c r="H1792" t="n">
        <v>44</v>
      </c>
      <c r="I1792" t="inlineStr">
        <is>
          <t>Kawasan Industri BIIE Hyundai Jl. Inti I Kav. 3 No. 3 Kelurahan Cibatu, Kecamatan Cikarang Selatan, Kabupaten Bekasi</t>
        </is>
      </c>
      <c r="J1792" t="inlineStr">
        <is>
          <t>High</t>
        </is>
      </c>
      <c r="M1792" t="inlineStr">
        <is>
          <t>LLM</t>
        </is>
      </c>
      <c r="N1792" t="inlineStr">
        <is>
          <t>2026-04-18</t>
        </is>
      </c>
      <c r="O1792" t="inlineStr">
        <is>
          <t>AI</t>
        </is>
      </c>
    </row>
    <row r="1793">
      <c r="A1793" t="inlineStr">
        <is>
          <t>PT Gunanusa Eramandiri Tbk</t>
        </is>
      </c>
      <c r="B1793" t="inlineStr">
        <is>
          <t>GUNA_2024_AR.pdf</t>
        </is>
      </c>
      <c r="C1793" t="n">
        <v>2024</v>
      </c>
      <c r="D1793" t="inlineStr">
        <is>
          <t>Other</t>
        </is>
      </c>
      <c r="E1793" t="inlineStr">
        <is>
          <t>Plant 2 Location</t>
        </is>
      </c>
      <c r="F1793" t="inlineStr">
        <is>
          <t>Pati, Central Java</t>
        </is>
      </c>
      <c r="G1793" t="inlineStr">
        <is>
          <t>text</t>
        </is>
      </c>
      <c r="H1793" t="n">
        <v>44</v>
      </c>
      <c r="I1793" t="inlineStr">
        <is>
          <t>Jl. PATI-GABUS KM. 2.3 Desa Mustokoharjo, Kecamatan Pati Provinsi Jawa Tengah 59117</t>
        </is>
      </c>
      <c r="J1793" t="inlineStr">
        <is>
          <t>High</t>
        </is>
      </c>
      <c r="M1793" t="inlineStr">
        <is>
          <t>LLM</t>
        </is>
      </c>
      <c r="N1793" t="inlineStr">
        <is>
          <t>2026-04-18</t>
        </is>
      </c>
      <c r="O1793" t="inlineStr">
        <is>
          <t>AI</t>
        </is>
      </c>
    </row>
    <row r="1794">
      <c r="A1794" t="inlineStr">
        <is>
          <t>PT Gunanusa Eramandiri Tbk</t>
        </is>
      </c>
      <c r="B1794" t="inlineStr">
        <is>
          <t>GUNA_2024_AR.pdf</t>
        </is>
      </c>
      <c r="C1794" t="n">
        <v>2024</v>
      </c>
      <c r="D1794" t="inlineStr">
        <is>
          <t>Other</t>
        </is>
      </c>
      <c r="E1794" t="inlineStr">
        <is>
          <t>Plant 3 Location</t>
        </is>
      </c>
      <c r="F1794" t="inlineStr">
        <is>
          <t>Cikarang Pusat, Bekasi (Delta Silicon III)</t>
        </is>
      </c>
      <c r="G1794" t="inlineStr">
        <is>
          <t>text</t>
        </is>
      </c>
      <c r="H1794" t="n">
        <v>44</v>
      </c>
      <c r="I1794" t="inlineStr">
        <is>
          <t>Kawasan Industri Delta Silicon III Jalan Sungkai Timur Blok F26A-11 Desa Cicau, Kecamatan Cikarang Pusat</t>
        </is>
      </c>
      <c r="J1794" t="inlineStr">
        <is>
          <t>High</t>
        </is>
      </c>
      <c r="M1794" t="inlineStr">
        <is>
          <t>LLM</t>
        </is>
      </c>
      <c r="N1794" t="inlineStr">
        <is>
          <t>2026-04-18</t>
        </is>
      </c>
      <c r="O1794" t="inlineStr">
        <is>
          <t>AI</t>
        </is>
      </c>
    </row>
    <row r="1795">
      <c r="A1795" t="inlineStr">
        <is>
          <t>PT Gunanusa Eramandiri Tbk</t>
        </is>
      </c>
      <c r="B1795" t="inlineStr">
        <is>
          <t>GUNA_2024_AR.pdf</t>
        </is>
      </c>
      <c r="C1795" t="n">
        <v>2024</v>
      </c>
      <c r="D1795" t="inlineStr">
        <is>
          <t>Other</t>
        </is>
      </c>
      <c r="E1795" t="inlineStr">
        <is>
          <t>2025 Revenue Target</t>
        </is>
      </c>
      <c r="F1795" t="n">
        <v>1587</v>
      </c>
      <c r="G1795" t="inlineStr">
        <is>
          <t>IDR bn</t>
        </is>
      </c>
      <c r="H1795" t="n">
        <v>84</v>
      </c>
      <c r="I1795" t="inlineStr">
        <is>
          <t>Penjualan 2025 Proyeksi 1.587.645</t>
        </is>
      </c>
      <c r="J1795" t="inlineStr">
        <is>
          <t>High</t>
        </is>
      </c>
      <c r="M1795" t="inlineStr">
        <is>
          <t>LLM</t>
        </is>
      </c>
      <c r="N1795" t="inlineStr">
        <is>
          <t>2026-04-18</t>
        </is>
      </c>
      <c r="O1795" t="inlineStr">
        <is>
          <t>AI</t>
        </is>
      </c>
    </row>
    <row r="1796">
      <c r="A1796" t="inlineStr">
        <is>
          <t>PT Gunanusa Eramandiri Tbk</t>
        </is>
      </c>
      <c r="B1796" t="inlineStr">
        <is>
          <t>GUNA_2024_AR.pdf</t>
        </is>
      </c>
      <c r="C1796" t="n">
        <v>2024</v>
      </c>
      <c r="D1796" t="inlineStr">
        <is>
          <t>Other</t>
        </is>
      </c>
      <c r="E1796" t="inlineStr">
        <is>
          <t>2025 Net Profit Target</t>
        </is>
      </c>
      <c r="F1796" t="n">
        <v>85.7</v>
      </c>
      <c r="G1796" t="inlineStr">
        <is>
          <t>IDR bn</t>
        </is>
      </c>
      <c r="H1796" t="n">
        <v>84</v>
      </c>
      <c r="I1796" t="inlineStr">
        <is>
          <t>Laba Neto Tahun Berjalan 2025 Proyeksi 85.733</t>
        </is>
      </c>
      <c r="J1796" t="inlineStr">
        <is>
          <t>High</t>
        </is>
      </c>
      <c r="M1796" t="inlineStr">
        <is>
          <t>LLM</t>
        </is>
      </c>
      <c r="N1796" t="inlineStr">
        <is>
          <t>2026-04-18</t>
        </is>
      </c>
      <c r="O1796" t="inlineStr">
        <is>
          <t>AI</t>
        </is>
      </c>
    </row>
    <row r="1797">
      <c r="A1797" t="inlineStr">
        <is>
          <t>PT Gunanusa Eramandiri Tbk</t>
        </is>
      </c>
      <c r="B1797" t="inlineStr">
        <is>
          <t>GUNA_2024_AR.pdf</t>
        </is>
      </c>
      <c r="C1797" t="n">
        <v>2024</v>
      </c>
      <c r="D1797" t="inlineStr">
        <is>
          <t>Company</t>
        </is>
      </c>
      <c r="E1797" t="inlineStr">
        <is>
          <t>Public Accountant</t>
        </is>
      </c>
      <c r="F1797" t="inlineStr">
        <is>
          <t>RSM Indonesia (Amir Abadi Jusuf, Aryanto, Mawar dan Rekan)</t>
        </is>
      </c>
      <c r="G1797" t="inlineStr">
        <is>
          <t>text</t>
        </is>
      </c>
      <c r="H1797" t="n">
        <v>65</v>
      </c>
      <c r="I1797" t="inlineStr">
        <is>
          <t>Nama Amir Abadi Jusuf, Aryanto, Mawar dan Rekan (RSM Indonesia)</t>
        </is>
      </c>
      <c r="J1797" t="inlineStr">
        <is>
          <t>High</t>
        </is>
      </c>
      <c r="M1797" t="inlineStr">
        <is>
          <t>LLM</t>
        </is>
      </c>
      <c r="N1797" t="inlineStr">
        <is>
          <t>2026-04-18</t>
        </is>
      </c>
      <c r="O1797" t="inlineStr">
        <is>
          <t>AI</t>
        </is>
      </c>
    </row>
    <row r="1798">
      <c r="A1798" t="inlineStr">
        <is>
          <t>PT Gunanusa Eramandiri Tbk</t>
        </is>
      </c>
      <c r="B1798" t="inlineStr">
        <is>
          <t>GUNA_2024_AR.pdf</t>
        </is>
      </c>
      <c r="C1798" t="n">
        <v>2024</v>
      </c>
      <c r="D1798" t="inlineStr">
        <is>
          <t>ESG</t>
        </is>
      </c>
      <c r="E1798" t="inlineStr">
        <is>
          <t>Halal Certification</t>
        </is>
      </c>
      <c r="F1798" t="inlineStr">
        <is>
          <t>MUI (valid 15 Sep 2021-14 Sep 2025)</t>
        </is>
      </c>
      <c r="G1798" t="inlineStr">
        <is>
          <t>text</t>
        </is>
      </c>
      <c r="H1798" t="n">
        <v>12</v>
      </c>
      <c r="I1798" t="inlineStr">
        <is>
          <t>Sertifikat Sistem Jaminan Halal ... Lembaga Pengkajian Pangan Obat-obatan dan Kosmetika Majelis Ulama Indonesia ... 15 September 2021-14 September 2025</t>
        </is>
      </c>
      <c r="J1798" t="inlineStr">
        <is>
          <t>High</t>
        </is>
      </c>
      <c r="M1798" t="inlineStr">
        <is>
          <t>LLM</t>
        </is>
      </c>
      <c r="N1798" t="inlineStr">
        <is>
          <t>2026-04-18</t>
        </is>
      </c>
      <c r="O1798" t="inlineStr">
        <is>
          <t>AI</t>
        </is>
      </c>
    </row>
    <row r="1799">
      <c r="A1799" t="inlineStr">
        <is>
          <t>PT Gunanusa Eramandiri Tbk</t>
        </is>
      </c>
      <c r="B1799" t="inlineStr">
        <is>
          <t>GUNA_2024_AR.pdf</t>
        </is>
      </c>
      <c r="C1799" t="n">
        <v>2024</v>
      </c>
      <c r="D1799" t="inlineStr">
        <is>
          <t>ESG</t>
        </is>
      </c>
      <c r="E1799" t="inlineStr">
        <is>
          <t>FSSC 22000 Certification</t>
        </is>
      </c>
      <c r="F1799" t="inlineStr">
        <is>
          <t>SGS Indonesia (valid Jul 2024-Apr 2026)</t>
        </is>
      </c>
      <c r="G1799" t="inlineStr">
        <is>
          <t>text</t>
        </is>
      </c>
      <c r="H1799" t="n">
        <v>13</v>
      </c>
      <c r="I1799" t="inlineStr">
        <is>
          <t>Food Safety System Certification FSSC 22000 SGS ... 31 Juli 2024-26 April 2026</t>
        </is>
      </c>
      <c r="J1799" t="inlineStr">
        <is>
          <t>High</t>
        </is>
      </c>
      <c r="M1799" t="inlineStr">
        <is>
          <t>LLM</t>
        </is>
      </c>
      <c r="N1799" t="inlineStr">
        <is>
          <t>2026-04-18</t>
        </is>
      </c>
      <c r="O1799" t="inlineStr">
        <is>
          <t>AI</t>
        </is>
      </c>
    </row>
    <row r="1800">
      <c r="A1800" t="inlineStr">
        <is>
          <t>PT Gunanusa Eramandiri Tbk</t>
        </is>
      </c>
      <c r="B1800" t="inlineStr">
        <is>
          <t>GUNA_2024_AR.pdf</t>
        </is>
      </c>
      <c r="C1800" t="n">
        <v>2024</v>
      </c>
      <c r="D1800" t="inlineStr">
        <is>
          <t>ESG</t>
        </is>
      </c>
      <c r="E1800" t="inlineStr">
        <is>
          <t>Kosher Certification</t>
        </is>
      </c>
      <c r="F1800" t="inlineStr">
        <is>
          <t>Kosher Checked (valid Nov 2024-Dec 2025)</t>
        </is>
      </c>
      <c r="G1800" t="inlineStr">
        <is>
          <t>text</t>
        </is>
      </c>
      <c r="H1800" t="n">
        <v>12</v>
      </c>
      <c r="I1800" t="inlineStr">
        <is>
          <t>Sertifikat Kosher Kosher Checked 18 November 2024-31 Desember 2025</t>
        </is>
      </c>
      <c r="J1800" t="inlineStr">
        <is>
          <t>High</t>
        </is>
      </c>
      <c r="M1800" t="inlineStr">
        <is>
          <t>LLM</t>
        </is>
      </c>
      <c r="N1800" t="inlineStr">
        <is>
          <t>2026-04-18</t>
        </is>
      </c>
      <c r="O1800" t="inlineStr">
        <is>
          <t>AI</t>
        </is>
      </c>
    </row>
    <row r="1801">
      <c r="A1801" t="inlineStr">
        <is>
          <t>PT Gozco Plantations Tbk</t>
        </is>
      </c>
      <c r="B1801" t="inlineStr">
        <is>
          <t>GZCO_2022_AR.pdf</t>
        </is>
      </c>
      <c r="C1801" t="n">
        <v>2022</v>
      </c>
      <c r="D1801" t="inlineStr">
        <is>
          <t>Company</t>
        </is>
      </c>
      <c r="E1801" t="inlineStr">
        <is>
          <t>Company Name</t>
        </is>
      </c>
      <c r="F1801" t="inlineStr">
        <is>
          <t>PT Gozco Plantations Tbk</t>
        </is>
      </c>
      <c r="G1801" t="inlineStr">
        <is>
          <t>text</t>
        </is>
      </c>
      <c r="H1801" t="n">
        <v>29</v>
      </c>
      <c r="I1801" t="inlineStr">
        <is>
          <t>PT Gozco Plantations Tbk (dahulu PT Surya Gemilang Sentosa)</t>
        </is>
      </c>
      <c r="J1801" t="inlineStr">
        <is>
          <t>High</t>
        </is>
      </c>
      <c r="M1801" t="inlineStr">
        <is>
          <t>LLM</t>
        </is>
      </c>
      <c r="N1801" t="inlineStr">
        <is>
          <t>2026-04-18</t>
        </is>
      </c>
      <c r="O1801" t="inlineStr">
        <is>
          <t>AI</t>
        </is>
      </c>
    </row>
    <row r="1802">
      <c r="A1802" t="inlineStr">
        <is>
          <t>PT Gozco Plantations Tbk</t>
        </is>
      </c>
      <c r="B1802" t="inlineStr">
        <is>
          <t>GZCO_2022_AR.pdf</t>
        </is>
      </c>
      <c r="C1802" t="n">
        <v>2022</v>
      </c>
      <c r="D1802" t="inlineStr">
        <is>
          <t>Company</t>
        </is>
      </c>
      <c r="E1802" t="inlineStr">
        <is>
          <t>Controlling Shareholder</t>
        </is>
      </c>
      <c r="F1802" t="inlineStr">
        <is>
          <t>PT Golden Zaga Indonesia 28.37%</t>
        </is>
      </c>
      <c r="G1802" t="inlineStr">
        <is>
          <t>%</t>
        </is>
      </c>
      <c r="H1802" t="n">
        <v>10</v>
      </c>
      <c r="I1802" t="inlineStr">
        <is>
          <t>PT. Golden Zaga Indonesia 1.702.000.000 170.200.000.000 28,37%</t>
        </is>
      </c>
      <c r="J1802" t="inlineStr">
        <is>
          <t>High</t>
        </is>
      </c>
      <c r="M1802" t="inlineStr">
        <is>
          <t>LLM</t>
        </is>
      </c>
      <c r="N1802" t="inlineStr">
        <is>
          <t>2026-04-18</t>
        </is>
      </c>
      <c r="O1802" t="inlineStr">
        <is>
          <t>AI</t>
        </is>
      </c>
    </row>
    <row r="1803">
      <c r="A1803" t="inlineStr">
        <is>
          <t>PT Gozco Plantations Tbk</t>
        </is>
      </c>
      <c r="B1803" t="inlineStr">
        <is>
          <t>GZCO_2022_AR.pdf</t>
        </is>
      </c>
      <c r="C1803" t="n">
        <v>2022</v>
      </c>
      <c r="D1803" t="inlineStr">
        <is>
          <t>Company</t>
        </is>
      </c>
      <c r="E1803" t="inlineStr">
        <is>
          <t>Second Shareholder</t>
        </is>
      </c>
      <c r="F1803" t="inlineStr">
        <is>
          <t>Tjandra Mindharta Gozali 26.37%</t>
        </is>
      </c>
      <c r="G1803" t="inlineStr">
        <is>
          <t>%</t>
        </is>
      </c>
      <c r="H1803" t="n">
        <v>10</v>
      </c>
      <c r="I1803" t="inlineStr">
        <is>
          <t>Tjandra Mindharta Gozali 1.581.972.000 158.197.200.000 26,37%</t>
        </is>
      </c>
      <c r="J1803" t="inlineStr">
        <is>
          <t>High</t>
        </is>
      </c>
      <c r="M1803" t="inlineStr">
        <is>
          <t>LLM</t>
        </is>
      </c>
      <c r="N1803" t="inlineStr">
        <is>
          <t>2026-04-18</t>
        </is>
      </c>
      <c r="O1803" t="inlineStr">
        <is>
          <t>AI</t>
        </is>
      </c>
    </row>
    <row r="1804">
      <c r="A1804" t="inlineStr">
        <is>
          <t>PT Gozco Plantations Tbk</t>
        </is>
      </c>
      <c r="B1804" t="inlineStr">
        <is>
          <t>GZCO_2022_AR.pdf</t>
        </is>
      </c>
      <c r="C1804" t="n">
        <v>2022</v>
      </c>
      <c r="D1804" t="inlineStr">
        <is>
          <t>Company</t>
        </is>
      </c>
      <c r="E1804" t="inlineStr">
        <is>
          <t>Prajogo Pangestu stake</t>
        </is>
      </c>
      <c r="F1804" t="n">
        <v>0.0784</v>
      </c>
      <c r="G1804" t="inlineStr">
        <is>
          <t>%</t>
        </is>
      </c>
      <c r="H1804" t="n">
        <v>10</v>
      </c>
      <c r="I1804" t="inlineStr">
        <is>
          <t>Prajogo Pangestu 470.418.000 47.041.800.000 7,84%</t>
        </is>
      </c>
      <c r="J1804" t="inlineStr">
        <is>
          <t>High</t>
        </is>
      </c>
      <c r="M1804" t="inlineStr">
        <is>
          <t>LLM</t>
        </is>
      </c>
      <c r="N1804" t="inlineStr">
        <is>
          <t>2026-04-18</t>
        </is>
      </c>
      <c r="O1804" t="inlineStr">
        <is>
          <t>AI</t>
        </is>
      </c>
    </row>
    <row r="1805">
      <c r="A1805" t="inlineStr">
        <is>
          <t>PT Gozco Plantations Tbk</t>
        </is>
      </c>
      <c r="B1805" t="inlineStr">
        <is>
          <t>GZCO_2022_AR.pdf</t>
        </is>
      </c>
      <c r="C1805" t="n">
        <v>2022</v>
      </c>
      <c r="D1805" t="inlineStr">
        <is>
          <t>Company</t>
        </is>
      </c>
      <c r="E1805" t="inlineStr">
        <is>
          <t>Public Float</t>
        </is>
      </c>
      <c r="F1805" t="n">
        <v>0.2727</v>
      </c>
      <c r="G1805" t="inlineStr">
        <is>
          <t>%</t>
        </is>
      </c>
      <c r="H1805" t="n">
        <v>10</v>
      </c>
      <c r="I1805" t="inlineStr">
        <is>
          <t>Masyarakat dibawah 5% 1.636.238.500 163.623.850.000 27,27%</t>
        </is>
      </c>
      <c r="J1805" t="inlineStr">
        <is>
          <t>High</t>
        </is>
      </c>
      <c r="M1805" t="inlineStr">
        <is>
          <t>LLM</t>
        </is>
      </c>
      <c r="N1805" t="inlineStr">
        <is>
          <t>2026-04-18</t>
        </is>
      </c>
      <c r="O1805" t="inlineStr">
        <is>
          <t>AI</t>
        </is>
      </c>
    </row>
    <row r="1806">
      <c r="A1806" t="inlineStr">
        <is>
          <t>PT Gozco Plantations Tbk</t>
        </is>
      </c>
      <c r="B1806" t="inlineStr">
        <is>
          <t>GZCO_2022_AR.pdf</t>
        </is>
      </c>
      <c r="C1806" t="n">
        <v>2022</v>
      </c>
      <c r="D1806" t="inlineStr">
        <is>
          <t>Company</t>
        </is>
      </c>
      <c r="E1806" t="inlineStr">
        <is>
          <t>Number of Shareholders</t>
        </is>
      </c>
      <c r="F1806" t="n">
        <v>17861</v>
      </c>
      <c r="G1806" t="inlineStr">
        <is>
          <t>count</t>
        </is>
      </c>
      <c r="H1806" t="n">
        <v>10</v>
      </c>
      <c r="I1806" t="inlineStr">
        <is>
          <t>Pemegang saham Perseroan per akhir tahun 2022 sebanyak 17.861 orang</t>
        </is>
      </c>
      <c r="J1806" t="inlineStr">
        <is>
          <t>High</t>
        </is>
      </c>
      <c r="M1806" t="inlineStr">
        <is>
          <t>LLM</t>
        </is>
      </c>
      <c r="N1806" t="inlineStr">
        <is>
          <t>2026-04-18</t>
        </is>
      </c>
      <c r="O1806" t="inlineStr">
        <is>
          <t>AI</t>
        </is>
      </c>
    </row>
    <row r="1807">
      <c r="A1807" t="inlineStr">
        <is>
          <t>PT Gozco Plantations Tbk</t>
        </is>
      </c>
      <c r="B1807" t="inlineStr">
        <is>
          <t>GZCO_2022_AR.pdf</t>
        </is>
      </c>
      <c r="C1807" t="n">
        <v>2022</v>
      </c>
      <c r="D1807" t="inlineStr">
        <is>
          <t>Financial</t>
        </is>
      </c>
      <c r="E1807" t="inlineStr">
        <is>
          <t>Revenue (Sales)</t>
        </is>
      </c>
      <c r="F1807" t="n">
        <v>554.7</v>
      </c>
      <c r="G1807" t="inlineStr">
        <is>
          <t>IDR bn</t>
        </is>
      </c>
      <c r="H1807" t="n">
        <v>8</v>
      </c>
      <c r="I1807" t="inlineStr">
        <is>
          <t>Penjualan 554.721 707.102 406.924 Sales</t>
        </is>
      </c>
      <c r="J1807" t="inlineStr">
        <is>
          <t>High</t>
        </is>
      </c>
      <c r="M1807" t="inlineStr">
        <is>
          <t>LLM</t>
        </is>
      </c>
      <c r="N1807" t="inlineStr">
        <is>
          <t>2026-04-18</t>
        </is>
      </c>
      <c r="O1807" t="inlineStr">
        <is>
          <t>AI</t>
        </is>
      </c>
    </row>
    <row r="1808">
      <c r="A1808" t="inlineStr">
        <is>
          <t>PT Gozco Plantations Tbk</t>
        </is>
      </c>
      <c r="B1808" t="inlineStr">
        <is>
          <t>GZCO_2022_AR.pdf</t>
        </is>
      </c>
      <c r="C1808" t="n">
        <v>2022</v>
      </c>
      <c r="D1808" t="inlineStr">
        <is>
          <t>Financial</t>
        </is>
      </c>
      <c r="E1808" t="inlineStr">
        <is>
          <t>Revenue from CPO</t>
        </is>
      </c>
      <c r="F1808" t="n">
        <v>460.7</v>
      </c>
      <c r="G1808" t="inlineStr">
        <is>
          <t>IDR bn</t>
        </is>
      </c>
      <c r="H1808" t="n">
        <v>44</v>
      </c>
      <c r="I1808" t="inlineStr">
        <is>
          <t>Minyak Sawit Mentah 460.697 604.177 338.281 CPO</t>
        </is>
      </c>
      <c r="J1808" t="inlineStr">
        <is>
          <t>High</t>
        </is>
      </c>
      <c r="M1808" t="inlineStr">
        <is>
          <t>LLM</t>
        </is>
      </c>
      <c r="N1808" t="inlineStr">
        <is>
          <t>2026-04-18</t>
        </is>
      </c>
      <c r="O1808" t="inlineStr">
        <is>
          <t>AI</t>
        </is>
      </c>
    </row>
    <row r="1809">
      <c r="A1809" t="inlineStr">
        <is>
          <t>PT Gozco Plantations Tbk</t>
        </is>
      </c>
      <c r="B1809" t="inlineStr">
        <is>
          <t>GZCO_2022_AR.pdf</t>
        </is>
      </c>
      <c r="C1809" t="n">
        <v>2022</v>
      </c>
      <c r="D1809" t="inlineStr">
        <is>
          <t>Financial</t>
        </is>
      </c>
      <c r="E1809" t="inlineStr">
        <is>
          <t>Revenue from Kernel</t>
        </is>
      </c>
      <c r="F1809" t="n">
        <v>64.3</v>
      </c>
      <c r="G1809" t="inlineStr">
        <is>
          <t>IDR bn</t>
        </is>
      </c>
      <c r="H1809" t="n">
        <v>44</v>
      </c>
      <c r="I1809" t="inlineStr">
        <is>
          <t>Kernel 64.284 78.784 41.395 PK</t>
        </is>
      </c>
      <c r="J1809" t="inlineStr">
        <is>
          <t>High</t>
        </is>
      </c>
      <c r="M1809" t="inlineStr">
        <is>
          <t>LLM</t>
        </is>
      </c>
      <c r="N1809" t="inlineStr">
        <is>
          <t>2026-04-18</t>
        </is>
      </c>
      <c r="O1809" t="inlineStr">
        <is>
          <t>AI</t>
        </is>
      </c>
    </row>
    <row r="1810">
      <c r="A1810" t="inlineStr">
        <is>
          <t>PT Gozco Plantations Tbk</t>
        </is>
      </c>
      <c r="B1810" t="inlineStr">
        <is>
          <t>GZCO_2022_AR.pdf</t>
        </is>
      </c>
      <c r="C1810" t="n">
        <v>2022</v>
      </c>
      <c r="D1810" t="inlineStr">
        <is>
          <t>Financial</t>
        </is>
      </c>
      <c r="E1810" t="inlineStr">
        <is>
          <t>Revenue from FFB</t>
        </is>
      </c>
      <c r="F1810" t="n">
        <v>29.7</v>
      </c>
      <c r="G1810" t="inlineStr">
        <is>
          <t>IDR bn</t>
        </is>
      </c>
      <c r="H1810" t="n">
        <v>44</v>
      </c>
      <c r="I1810" t="inlineStr">
        <is>
          <t>TBS 29.740 24.141 27.248 FFB</t>
        </is>
      </c>
      <c r="J1810" t="inlineStr">
        <is>
          <t>High</t>
        </is>
      </c>
      <c r="M1810" t="inlineStr">
        <is>
          <t>LLM</t>
        </is>
      </c>
      <c r="N1810" t="inlineStr">
        <is>
          <t>2026-04-18</t>
        </is>
      </c>
      <c r="O1810" t="inlineStr">
        <is>
          <t>AI</t>
        </is>
      </c>
    </row>
    <row r="1811">
      <c r="A1811" t="inlineStr">
        <is>
          <t>PT Gozco Plantations Tbk</t>
        </is>
      </c>
      <c r="B1811" t="inlineStr">
        <is>
          <t>GZCO_2022_AR.pdf</t>
        </is>
      </c>
      <c r="C1811" t="n">
        <v>2022</v>
      </c>
      <c r="D1811" t="inlineStr">
        <is>
          <t>Financial</t>
        </is>
      </c>
      <c r="E1811" t="inlineStr">
        <is>
          <t>Cost of Goods Sold</t>
        </is>
      </c>
      <c r="F1811" t="n">
        <v>432.2</v>
      </c>
      <c r="G1811" t="inlineStr">
        <is>
          <t>IDR bn</t>
        </is>
      </c>
      <c r="H1811" t="n">
        <v>46</v>
      </c>
      <c r="I1811" t="inlineStr">
        <is>
          <t>Beban Pokok Penjualan 432.191 (Rp Juta)</t>
        </is>
      </c>
      <c r="J1811" t="inlineStr">
        <is>
          <t>High</t>
        </is>
      </c>
      <c r="M1811" t="inlineStr">
        <is>
          <t>LLM</t>
        </is>
      </c>
      <c r="N1811" t="inlineStr">
        <is>
          <t>2026-04-18</t>
        </is>
      </c>
      <c r="O1811" t="inlineStr">
        <is>
          <t>AI</t>
        </is>
      </c>
    </row>
    <row r="1812">
      <c r="A1812" t="inlineStr">
        <is>
          <t>PT Gozco Plantations Tbk</t>
        </is>
      </c>
      <c r="B1812" t="inlineStr">
        <is>
          <t>GZCO_2022_AR.pdf</t>
        </is>
      </c>
      <c r="C1812" t="n">
        <v>2022</v>
      </c>
      <c r="D1812" t="inlineStr">
        <is>
          <t>Financial</t>
        </is>
      </c>
      <c r="E1812" t="inlineStr">
        <is>
          <t>Gross Profit</t>
        </is>
      </c>
      <c r="F1812" t="n">
        <v>122.5</v>
      </c>
      <c r="G1812" t="inlineStr">
        <is>
          <t>IDR bn</t>
        </is>
      </c>
      <c r="H1812" t="n">
        <v>8</v>
      </c>
      <c r="I1812" t="inlineStr">
        <is>
          <t>Laba (Rugi) Kotor 122.530 67.558 (138.853)</t>
        </is>
      </c>
      <c r="J1812" t="inlineStr">
        <is>
          <t>High</t>
        </is>
      </c>
      <c r="M1812" t="inlineStr">
        <is>
          <t>LLM</t>
        </is>
      </c>
      <c r="N1812" t="inlineStr">
        <is>
          <t>2026-04-18</t>
        </is>
      </c>
      <c r="O1812" t="inlineStr">
        <is>
          <t>AI</t>
        </is>
      </c>
    </row>
    <row r="1813">
      <c r="A1813" t="inlineStr">
        <is>
          <t>PT Gozco Plantations Tbk</t>
        </is>
      </c>
      <c r="B1813" t="inlineStr">
        <is>
          <t>GZCO_2022_AR.pdf</t>
        </is>
      </c>
      <c r="C1813" t="n">
        <v>2022</v>
      </c>
      <c r="D1813" t="inlineStr">
        <is>
          <t>Financial</t>
        </is>
      </c>
      <c r="E1813" t="inlineStr">
        <is>
          <t>EBIT</t>
        </is>
      </c>
      <c r="F1813" t="n">
        <v>136.9</v>
      </c>
      <c r="G1813" t="inlineStr">
        <is>
          <t>IDR bn</t>
        </is>
      </c>
      <c r="H1813" t="n">
        <v>8</v>
      </c>
      <c r="I1813" t="inlineStr">
        <is>
          <t>EBIT 136.889 57.824 (150.387)</t>
        </is>
      </c>
      <c r="J1813" t="inlineStr">
        <is>
          <t>High</t>
        </is>
      </c>
      <c r="M1813" t="inlineStr">
        <is>
          <t>LLM</t>
        </is>
      </c>
      <c r="N1813" t="inlineStr">
        <is>
          <t>2026-04-18</t>
        </is>
      </c>
      <c r="O1813" t="inlineStr">
        <is>
          <t>AI</t>
        </is>
      </c>
    </row>
    <row r="1814">
      <c r="A1814" t="inlineStr">
        <is>
          <t>PT Gozco Plantations Tbk</t>
        </is>
      </c>
      <c r="B1814" t="inlineStr">
        <is>
          <t>GZCO_2022_AR.pdf</t>
        </is>
      </c>
      <c r="C1814" t="n">
        <v>2022</v>
      </c>
      <c r="D1814" t="inlineStr">
        <is>
          <t>Financial</t>
        </is>
      </c>
      <c r="E1814" t="inlineStr">
        <is>
          <t>EBITDA</t>
        </is>
      </c>
      <c r="F1814" t="n">
        <v>305.8</v>
      </c>
      <c r="G1814" t="inlineStr">
        <is>
          <t>IDR bn</t>
        </is>
      </c>
      <c r="H1814" t="n">
        <v>8</v>
      </c>
      <c r="I1814" t="inlineStr">
        <is>
          <t>EBITDA 305.758 300.976 101.436</t>
        </is>
      </c>
      <c r="J1814" t="inlineStr">
        <is>
          <t>High</t>
        </is>
      </c>
      <c r="M1814" t="inlineStr">
        <is>
          <t>LLM</t>
        </is>
      </c>
      <c r="N1814" t="inlineStr">
        <is>
          <t>2026-04-18</t>
        </is>
      </c>
      <c r="O1814" t="inlineStr">
        <is>
          <t>AI</t>
        </is>
      </c>
    </row>
    <row r="1815">
      <c r="A1815" t="inlineStr">
        <is>
          <t>PT Gozco Plantations Tbk</t>
        </is>
      </c>
      <c r="B1815" t="inlineStr">
        <is>
          <t>GZCO_2022_AR.pdf</t>
        </is>
      </c>
      <c r="C1815" t="n">
        <v>2022</v>
      </c>
      <c r="D1815" t="inlineStr">
        <is>
          <t>Financial</t>
        </is>
      </c>
      <c r="E1815" t="inlineStr">
        <is>
          <t>Net Profit</t>
        </is>
      </c>
      <c r="F1815" t="n">
        <v>75.8</v>
      </c>
      <c r="G1815" t="inlineStr">
        <is>
          <t>IDR bn</t>
        </is>
      </c>
      <c r="H1815" t="n">
        <v>8</v>
      </c>
      <c r="I1815" t="inlineStr">
        <is>
          <t>Laba (Rugi) Bersih 75.818 14.269 (182.592)</t>
        </is>
      </c>
      <c r="J1815" t="inlineStr">
        <is>
          <t>High</t>
        </is>
      </c>
      <c r="M1815" t="inlineStr">
        <is>
          <t>LLM</t>
        </is>
      </c>
      <c r="N1815" t="inlineStr">
        <is>
          <t>2026-04-18</t>
        </is>
      </c>
      <c r="O1815" t="inlineStr">
        <is>
          <t>AI</t>
        </is>
      </c>
    </row>
    <row r="1816">
      <c r="A1816" t="inlineStr">
        <is>
          <t>PT Gozco Plantations Tbk</t>
        </is>
      </c>
      <c r="B1816" t="inlineStr">
        <is>
          <t>GZCO_2022_AR.pdf</t>
        </is>
      </c>
      <c r="C1816" t="n">
        <v>2022</v>
      </c>
      <c r="D1816" t="inlineStr">
        <is>
          <t>Financial</t>
        </is>
      </c>
      <c r="E1816" t="inlineStr">
        <is>
          <t>Profit Attributable to Parent</t>
        </is>
      </c>
      <c r="F1816" t="n">
        <v>75.59999999999999</v>
      </c>
      <c r="G1816" t="inlineStr">
        <is>
          <t>IDR bn</t>
        </is>
      </c>
      <c r="H1816" t="n">
        <v>8</v>
      </c>
      <c r="I1816" t="inlineStr">
        <is>
          <t>L(R) Net Diatbrib.ke Pengendali 75.634 13.547 (181.616)</t>
        </is>
      </c>
      <c r="J1816" t="inlineStr">
        <is>
          <t>High</t>
        </is>
      </c>
      <c r="M1816" t="inlineStr">
        <is>
          <t>LLM</t>
        </is>
      </c>
      <c r="N1816" t="inlineStr">
        <is>
          <t>2026-04-18</t>
        </is>
      </c>
      <c r="O1816" t="inlineStr">
        <is>
          <t>AI</t>
        </is>
      </c>
    </row>
    <row r="1817">
      <c r="A1817" t="inlineStr">
        <is>
          <t>PT Gozco Plantations Tbk</t>
        </is>
      </c>
      <c r="B1817" t="inlineStr">
        <is>
          <t>GZCO_2022_AR.pdf</t>
        </is>
      </c>
      <c r="C1817" t="n">
        <v>2022</v>
      </c>
      <c r="D1817" t="inlineStr">
        <is>
          <t>Financial</t>
        </is>
      </c>
      <c r="E1817" t="inlineStr">
        <is>
          <t>Comprehensive Income</t>
        </is>
      </c>
      <c r="F1817" t="n">
        <v>76.90000000000001</v>
      </c>
      <c r="G1817" t="inlineStr">
        <is>
          <t>IDR bn</t>
        </is>
      </c>
      <c r="H1817" t="n">
        <v>8</v>
      </c>
      <c r="I1817" t="inlineStr">
        <is>
          <t>Laba (Rugi) - Komprehensif 76.920 52.794 228.629</t>
        </is>
      </c>
      <c r="J1817" t="inlineStr">
        <is>
          <t>High</t>
        </is>
      </c>
      <c r="M1817" t="inlineStr">
        <is>
          <t>LLM</t>
        </is>
      </c>
      <c r="N1817" t="inlineStr">
        <is>
          <t>2026-04-18</t>
        </is>
      </c>
      <c r="O1817" t="inlineStr">
        <is>
          <t>AI</t>
        </is>
      </c>
    </row>
    <row r="1818">
      <c r="A1818" t="inlineStr">
        <is>
          <t>PT Gozco Plantations Tbk</t>
        </is>
      </c>
      <c r="B1818" t="inlineStr">
        <is>
          <t>GZCO_2022_AR.pdf</t>
        </is>
      </c>
      <c r="C1818" t="n">
        <v>2022</v>
      </c>
      <c r="D1818" t="inlineStr">
        <is>
          <t>Financial</t>
        </is>
      </c>
      <c r="E1818" t="inlineStr">
        <is>
          <t>Total Assets</t>
        </is>
      </c>
      <c r="F1818" t="n">
        <v>2045.4</v>
      </c>
      <c r="G1818" t="inlineStr">
        <is>
          <t>IDR bn</t>
        </is>
      </c>
      <c r="H1818" t="n">
        <v>8</v>
      </c>
      <c r="I1818" t="inlineStr">
        <is>
          <t>Total Aset 2.045.406 2.034.452 2.143.393</t>
        </is>
      </c>
      <c r="J1818" t="inlineStr">
        <is>
          <t>High</t>
        </is>
      </c>
      <c r="M1818" t="inlineStr">
        <is>
          <t>LLM</t>
        </is>
      </c>
      <c r="N1818" t="inlineStr">
        <is>
          <t>2026-04-18</t>
        </is>
      </c>
      <c r="O1818" t="inlineStr">
        <is>
          <t>AI</t>
        </is>
      </c>
    </row>
    <row r="1819">
      <c r="A1819" t="inlineStr">
        <is>
          <t>PT Gozco Plantations Tbk</t>
        </is>
      </c>
      <c r="B1819" t="inlineStr">
        <is>
          <t>GZCO_2022_AR.pdf</t>
        </is>
      </c>
      <c r="C1819" t="n">
        <v>2022</v>
      </c>
      <c r="D1819" t="inlineStr">
        <is>
          <t>Financial</t>
        </is>
      </c>
      <c r="E1819" t="inlineStr">
        <is>
          <t>Plantation Assets</t>
        </is>
      </c>
      <c r="F1819" t="n">
        <v>865.2</v>
      </c>
      <c r="G1819" t="inlineStr">
        <is>
          <t>IDR bn</t>
        </is>
      </c>
      <c r="H1819" t="n">
        <v>8</v>
      </c>
      <c r="I1819" t="inlineStr">
        <is>
          <t>Aset Tanaman 865.202 1.011.029 1.193.349</t>
        </is>
      </c>
      <c r="J1819" t="inlineStr">
        <is>
          <t>High</t>
        </is>
      </c>
      <c r="M1819" t="inlineStr">
        <is>
          <t>LLM</t>
        </is>
      </c>
      <c r="N1819" t="inlineStr">
        <is>
          <t>2026-04-18</t>
        </is>
      </c>
      <c r="O1819" t="inlineStr">
        <is>
          <t>AI</t>
        </is>
      </c>
    </row>
    <row r="1820">
      <c r="A1820" t="inlineStr">
        <is>
          <t>PT Gozco Plantations Tbk</t>
        </is>
      </c>
      <c r="B1820" t="inlineStr">
        <is>
          <t>GZCO_2022_AR.pdf</t>
        </is>
      </c>
      <c r="C1820" t="n">
        <v>2022</v>
      </c>
      <c r="D1820" t="inlineStr">
        <is>
          <t>Financial</t>
        </is>
      </c>
      <c r="E1820" t="inlineStr">
        <is>
          <t>Fixed Assets</t>
        </is>
      </c>
      <c r="F1820" t="n">
        <v>494.7</v>
      </c>
      <c r="G1820" t="inlineStr">
        <is>
          <t>IDR bn</t>
        </is>
      </c>
      <c r="H1820" t="n">
        <v>8</v>
      </c>
      <c r="I1820" t="inlineStr">
        <is>
          <t>Aset Tetap 494.657 469.818 470.985</t>
        </is>
      </c>
      <c r="J1820" t="inlineStr">
        <is>
          <t>High</t>
        </is>
      </c>
      <c r="M1820" t="inlineStr">
        <is>
          <t>LLM</t>
        </is>
      </c>
      <c r="N1820" t="inlineStr">
        <is>
          <t>2026-04-18</t>
        </is>
      </c>
      <c r="O1820" t="inlineStr">
        <is>
          <t>AI</t>
        </is>
      </c>
    </row>
    <row r="1821">
      <c r="A1821" t="inlineStr">
        <is>
          <t>PT Gozco Plantations Tbk</t>
        </is>
      </c>
      <c r="B1821" t="inlineStr">
        <is>
          <t>GZCO_2022_AR.pdf</t>
        </is>
      </c>
      <c r="C1821" t="n">
        <v>2022</v>
      </c>
      <c r="D1821" t="inlineStr">
        <is>
          <t>Financial</t>
        </is>
      </c>
      <c r="E1821" t="inlineStr">
        <is>
          <t>Cash &amp; Cash Equivalents</t>
        </is>
      </c>
      <c r="F1821" t="n">
        <v>235.2</v>
      </c>
      <c r="G1821" t="inlineStr">
        <is>
          <t>IDR bn</t>
        </is>
      </c>
      <c r="H1821" t="n">
        <v>8</v>
      </c>
      <c r="I1821" t="inlineStr">
        <is>
          <t>Kas &amp; Setara Kas 235.210 240.620 146.936</t>
        </is>
      </c>
      <c r="J1821" t="inlineStr">
        <is>
          <t>High</t>
        </is>
      </c>
      <c r="M1821" t="inlineStr">
        <is>
          <t>LLM</t>
        </is>
      </c>
      <c r="N1821" t="inlineStr">
        <is>
          <t>2026-04-18</t>
        </is>
      </c>
      <c r="O1821" t="inlineStr">
        <is>
          <t>AI</t>
        </is>
      </c>
    </row>
    <row r="1822">
      <c r="A1822" t="inlineStr">
        <is>
          <t>PT Gozco Plantations Tbk</t>
        </is>
      </c>
      <c r="B1822" t="inlineStr">
        <is>
          <t>GZCO_2022_AR.pdf</t>
        </is>
      </c>
      <c r="C1822" t="n">
        <v>2022</v>
      </c>
      <c r="D1822" t="inlineStr">
        <is>
          <t>Financial</t>
        </is>
      </c>
      <c r="E1822" t="inlineStr">
        <is>
          <t>Net Working Capital</t>
        </is>
      </c>
      <c r="F1822" t="n">
        <v>1</v>
      </c>
      <c r="G1822" t="inlineStr">
        <is>
          <t>IDR bn</t>
        </is>
      </c>
      <c r="H1822" t="n">
        <v>8</v>
      </c>
      <c r="I1822" t="inlineStr">
        <is>
          <t>Modal Kerja Bersih 986 (36.947) (90.110)</t>
        </is>
      </c>
      <c r="J1822" t="inlineStr">
        <is>
          <t>High</t>
        </is>
      </c>
      <c r="M1822" t="inlineStr">
        <is>
          <t>LLM</t>
        </is>
      </c>
      <c r="N1822" t="inlineStr">
        <is>
          <t>2026-04-18</t>
        </is>
      </c>
      <c r="O1822" t="inlineStr">
        <is>
          <t>AI</t>
        </is>
      </c>
    </row>
    <row r="1823">
      <c r="A1823" t="inlineStr">
        <is>
          <t>PT Gozco Plantations Tbk</t>
        </is>
      </c>
      <c r="B1823" t="inlineStr">
        <is>
          <t>GZCO_2022_AR.pdf</t>
        </is>
      </c>
      <c r="C1823" t="n">
        <v>2022</v>
      </c>
      <c r="D1823" t="inlineStr">
        <is>
          <t>Financial</t>
        </is>
      </c>
      <c r="E1823" t="inlineStr">
        <is>
          <t>Current Liabilities</t>
        </is>
      </c>
      <c r="F1823" t="n">
        <v>455.9</v>
      </c>
      <c r="G1823" t="inlineStr">
        <is>
          <t>IDR bn</t>
        </is>
      </c>
      <c r="H1823" t="n">
        <v>8</v>
      </c>
      <c r="I1823" t="inlineStr">
        <is>
          <t>Liabilitas Lancar 455.883 355.108 324.112</t>
        </is>
      </c>
      <c r="J1823" t="inlineStr">
        <is>
          <t>High</t>
        </is>
      </c>
      <c r="M1823" t="inlineStr">
        <is>
          <t>LLM</t>
        </is>
      </c>
      <c r="N1823" t="inlineStr">
        <is>
          <t>2026-04-18</t>
        </is>
      </c>
      <c r="O1823" t="inlineStr">
        <is>
          <t>AI</t>
        </is>
      </c>
    </row>
    <row r="1824">
      <c r="A1824" t="inlineStr">
        <is>
          <t>PT Gozco Plantations Tbk</t>
        </is>
      </c>
      <c r="B1824" t="inlineStr">
        <is>
          <t>GZCO_2022_AR.pdf</t>
        </is>
      </c>
      <c r="C1824" t="n">
        <v>2022</v>
      </c>
      <c r="D1824" t="inlineStr">
        <is>
          <t>Financial</t>
        </is>
      </c>
      <c r="E1824" t="inlineStr">
        <is>
          <t>Interest-Bearing Debt</t>
        </is>
      </c>
      <c r="F1824" t="n">
        <v>356.7</v>
      </c>
      <c r="G1824" t="inlineStr">
        <is>
          <t>IDR bn</t>
        </is>
      </c>
      <c r="H1824" t="n">
        <v>8</v>
      </c>
      <c r="I1824" t="inlineStr">
        <is>
          <t>Liabilitas Berbunga 356.743 500.835 639.401</t>
        </is>
      </c>
      <c r="J1824" t="inlineStr">
        <is>
          <t>High</t>
        </is>
      </c>
      <c r="M1824" t="inlineStr">
        <is>
          <t>LLM</t>
        </is>
      </c>
      <c r="N1824" t="inlineStr">
        <is>
          <t>2026-04-18</t>
        </is>
      </c>
      <c r="O1824" t="inlineStr">
        <is>
          <t>AI</t>
        </is>
      </c>
    </row>
    <row r="1825">
      <c r="A1825" t="inlineStr">
        <is>
          <t>PT Gozco Plantations Tbk</t>
        </is>
      </c>
      <c r="B1825" t="inlineStr">
        <is>
          <t>GZCO_2022_AR.pdf</t>
        </is>
      </c>
      <c r="C1825" t="n">
        <v>2022</v>
      </c>
      <c r="D1825" t="inlineStr">
        <is>
          <t>Financial</t>
        </is>
      </c>
      <c r="E1825" t="inlineStr">
        <is>
          <t>Total Liabilities</t>
        </is>
      </c>
      <c r="F1825" t="n">
        <v>892.9</v>
      </c>
      <c r="G1825" t="inlineStr">
        <is>
          <t>IDR bn</t>
        </is>
      </c>
      <c r="H1825" t="n">
        <v>8</v>
      </c>
      <c r="I1825" t="inlineStr">
        <is>
          <t>Total Liabilitas 892.864 958.764 1.118.712</t>
        </is>
      </c>
      <c r="J1825" t="inlineStr">
        <is>
          <t>High</t>
        </is>
      </c>
      <c r="M1825" t="inlineStr">
        <is>
          <t>LLM</t>
        </is>
      </c>
      <c r="N1825" t="inlineStr">
        <is>
          <t>2026-04-18</t>
        </is>
      </c>
      <c r="O1825" t="inlineStr">
        <is>
          <t>AI</t>
        </is>
      </c>
    </row>
    <row r="1826">
      <c r="A1826" t="inlineStr">
        <is>
          <t>PT Gozco Plantations Tbk</t>
        </is>
      </c>
      <c r="B1826" t="inlineStr">
        <is>
          <t>GZCO_2022_AR.pdf</t>
        </is>
      </c>
      <c r="C1826" t="n">
        <v>2022</v>
      </c>
      <c r="D1826" t="inlineStr">
        <is>
          <t>Financial</t>
        </is>
      </c>
      <c r="E1826" t="inlineStr">
        <is>
          <t>Total Equity</t>
        </is>
      </c>
      <c r="F1826" t="n">
        <v>1152.5</v>
      </c>
      <c r="G1826" t="inlineStr">
        <is>
          <t>IDR bn</t>
        </is>
      </c>
      <c r="H1826" t="n">
        <v>8</v>
      </c>
      <c r="I1826" t="inlineStr">
        <is>
          <t>Ekuitas 1.152.542 1.075.688 1.024.681</t>
        </is>
      </c>
      <c r="J1826" t="inlineStr">
        <is>
          <t>High</t>
        </is>
      </c>
      <c r="M1826" t="inlineStr">
        <is>
          <t>LLM</t>
        </is>
      </c>
      <c r="N1826" t="inlineStr">
        <is>
          <t>2026-04-18</t>
        </is>
      </c>
      <c r="O1826" t="inlineStr">
        <is>
          <t>AI</t>
        </is>
      </c>
    </row>
    <row r="1827">
      <c r="A1827" t="inlineStr">
        <is>
          <t>PT Gozco Plantations Tbk</t>
        </is>
      </c>
      <c r="B1827" t="inlineStr">
        <is>
          <t>GZCO_2022_AR.pdf</t>
        </is>
      </c>
      <c r="C1827" t="n">
        <v>2022</v>
      </c>
      <c r="D1827" t="inlineStr">
        <is>
          <t>Financial</t>
        </is>
      </c>
      <c r="E1827" t="inlineStr">
        <is>
          <t>Capex</t>
        </is>
      </c>
      <c r="F1827" t="n">
        <v>31.7</v>
      </c>
      <c r="G1827" t="inlineStr">
        <is>
          <t>IDR bn</t>
        </is>
      </c>
      <c r="H1827" t="n">
        <v>8</v>
      </c>
      <c r="I1827" t="inlineStr">
        <is>
          <t>Belanja Modal/ Investasi 31.665 10.668 18.248</t>
        </is>
      </c>
      <c r="J1827" t="inlineStr">
        <is>
          <t>High</t>
        </is>
      </c>
      <c r="M1827" t="inlineStr">
        <is>
          <t>LLM</t>
        </is>
      </c>
      <c r="N1827" t="inlineStr">
        <is>
          <t>2026-04-18</t>
        </is>
      </c>
      <c r="O1827" t="inlineStr">
        <is>
          <t>AI</t>
        </is>
      </c>
    </row>
    <row r="1828">
      <c r="A1828" t="inlineStr">
        <is>
          <t>PT Gozco Plantations Tbk</t>
        </is>
      </c>
      <c r="B1828" t="inlineStr">
        <is>
          <t>GZCO_2022_AR.pdf</t>
        </is>
      </c>
      <c r="C1828" t="n">
        <v>2022</v>
      </c>
      <c r="D1828" t="inlineStr">
        <is>
          <t>Financial</t>
        </is>
      </c>
      <c r="E1828" t="inlineStr">
        <is>
          <t>CFO (Operating Cash Flow)</t>
        </is>
      </c>
      <c r="F1828" t="n">
        <v>178.7</v>
      </c>
      <c r="G1828" t="inlineStr">
        <is>
          <t>IDR bn</t>
        </is>
      </c>
      <c r="H1828" t="n">
        <v>51</v>
      </c>
      <c r="I1828" t="inlineStr">
        <is>
          <t>Aktivitas Operasi 178.681 239.245 12.193</t>
        </is>
      </c>
      <c r="J1828" t="inlineStr">
        <is>
          <t>High</t>
        </is>
      </c>
      <c r="M1828" t="inlineStr">
        <is>
          <t>LLM</t>
        </is>
      </c>
      <c r="N1828" t="inlineStr">
        <is>
          <t>2026-04-18</t>
        </is>
      </c>
      <c r="O1828" t="inlineStr">
        <is>
          <t>AI</t>
        </is>
      </c>
    </row>
    <row r="1829">
      <c r="A1829" t="inlineStr">
        <is>
          <t>PT Gozco Plantations Tbk</t>
        </is>
      </c>
      <c r="B1829" t="inlineStr">
        <is>
          <t>GZCO_2022_AR.pdf</t>
        </is>
      </c>
      <c r="C1829" t="n">
        <v>2022</v>
      </c>
      <c r="D1829" t="inlineStr">
        <is>
          <t>Financial</t>
        </is>
      </c>
      <c r="E1829" t="inlineStr">
        <is>
          <t>CFI (Investing Cash Flow)</t>
        </is>
      </c>
      <c r="F1829" t="n">
        <v>35.7</v>
      </c>
      <c r="G1829" t="inlineStr">
        <is>
          <t>IDR bn</t>
        </is>
      </c>
      <c r="H1829" t="n">
        <v>51</v>
      </c>
      <c r="I1829" t="inlineStr">
        <is>
          <t>Aktivitas Investasi 35.670 (125.391) 90.960</t>
        </is>
      </c>
      <c r="J1829" t="inlineStr">
        <is>
          <t>High</t>
        </is>
      </c>
      <c r="M1829" t="inlineStr">
        <is>
          <t>LLM</t>
        </is>
      </c>
      <c r="N1829" t="inlineStr">
        <is>
          <t>2026-04-18</t>
        </is>
      </c>
      <c r="O1829" t="inlineStr">
        <is>
          <t>AI</t>
        </is>
      </c>
    </row>
    <row r="1830">
      <c r="A1830" t="inlineStr">
        <is>
          <t>PT Gozco Plantations Tbk</t>
        </is>
      </c>
      <c r="B1830" t="inlineStr">
        <is>
          <t>GZCO_2022_AR.pdf</t>
        </is>
      </c>
      <c r="C1830" t="n">
        <v>2022</v>
      </c>
      <c r="D1830" t="inlineStr">
        <is>
          <t>Financial</t>
        </is>
      </c>
      <c r="E1830" t="inlineStr">
        <is>
          <t>CFF (Financing Cash Flow)</t>
        </is>
      </c>
      <c r="F1830" t="n">
        <v>-161.8</v>
      </c>
      <c r="G1830" t="inlineStr">
        <is>
          <t>IDR bn</t>
        </is>
      </c>
      <c r="H1830" t="n">
        <v>51</v>
      </c>
      <c r="I1830" t="inlineStr">
        <is>
          <t>Aktivitas Pendanaan (161.761) (148.170) (93.762)</t>
        </is>
      </c>
      <c r="J1830" t="inlineStr">
        <is>
          <t>High</t>
        </is>
      </c>
      <c r="M1830" t="inlineStr">
        <is>
          <t>LLM</t>
        </is>
      </c>
      <c r="N1830" t="inlineStr">
        <is>
          <t>2026-04-18</t>
        </is>
      </c>
      <c r="O1830" t="inlineStr">
        <is>
          <t>AI</t>
        </is>
      </c>
    </row>
    <row r="1831">
      <c r="A1831" t="inlineStr">
        <is>
          <t>PT Gozco Plantations Tbk</t>
        </is>
      </c>
      <c r="B1831" t="inlineStr">
        <is>
          <t>GZCO_2022_AR.pdf</t>
        </is>
      </c>
      <c r="C1831" t="n">
        <v>2022</v>
      </c>
      <c r="D1831" t="inlineStr">
        <is>
          <t>Financial</t>
        </is>
      </c>
      <c r="E1831" t="inlineStr">
        <is>
          <t>Shares Outstanding</t>
        </is>
      </c>
      <c r="F1831" t="n">
        <v>6000</v>
      </c>
      <c r="G1831" t="inlineStr">
        <is>
          <t>mn</t>
        </is>
      </c>
      <c r="H1831" t="n">
        <v>8</v>
      </c>
      <c r="I1831" t="inlineStr">
        <is>
          <t>Ribu lembar saham- beredar 6.000.000 6.000.000 6.000.000</t>
        </is>
      </c>
      <c r="J1831" t="inlineStr">
        <is>
          <t>High</t>
        </is>
      </c>
      <c r="M1831" t="inlineStr">
        <is>
          <t>LLM</t>
        </is>
      </c>
      <c r="N1831" t="inlineStr">
        <is>
          <t>2026-04-18</t>
        </is>
      </c>
      <c r="O1831" t="inlineStr">
        <is>
          <t>AI</t>
        </is>
      </c>
    </row>
    <row r="1832">
      <c r="A1832" t="inlineStr">
        <is>
          <t>PT Gozco Plantations Tbk</t>
        </is>
      </c>
      <c r="B1832" t="inlineStr">
        <is>
          <t>GZCO_2022_AR.pdf</t>
        </is>
      </c>
      <c r="C1832" t="n">
        <v>2022</v>
      </c>
      <c r="D1832" t="inlineStr">
        <is>
          <t>Financial</t>
        </is>
      </c>
      <c r="E1832" t="inlineStr">
        <is>
          <t>EPS</t>
        </is>
      </c>
      <c r="F1832" t="n">
        <v>12.61</v>
      </c>
      <c r="G1832" t="inlineStr">
        <is>
          <t>Rp/share</t>
        </is>
      </c>
      <c r="H1832" t="n">
        <v>8</v>
      </c>
      <c r="I1832" t="inlineStr">
        <is>
          <t>Laba bersih per saham 12,61 2,26 (30,27)</t>
        </is>
      </c>
      <c r="J1832" t="inlineStr">
        <is>
          <t>High</t>
        </is>
      </c>
      <c r="M1832" t="inlineStr">
        <is>
          <t>LLM</t>
        </is>
      </c>
      <c r="N1832" t="inlineStr">
        <is>
          <t>2026-04-18</t>
        </is>
      </c>
      <c r="O1832" t="inlineStr">
        <is>
          <t>AI</t>
        </is>
      </c>
    </row>
    <row r="1833">
      <c r="A1833" t="inlineStr">
        <is>
          <t>PT Gozco Plantations Tbk</t>
        </is>
      </c>
      <c r="B1833" t="inlineStr">
        <is>
          <t>GZCO_2022_AR.pdf</t>
        </is>
      </c>
      <c r="C1833" t="n">
        <v>2022</v>
      </c>
      <c r="D1833" t="inlineStr">
        <is>
          <t>Financial</t>
        </is>
      </c>
      <c r="E1833" t="inlineStr">
        <is>
          <t>Closing Price (31 Dec 2022)</t>
        </is>
      </c>
      <c r="F1833" t="n">
        <v>81</v>
      </c>
      <c r="G1833" t="inlineStr">
        <is>
          <t>Rp/share</t>
        </is>
      </c>
      <c r="H1833" t="n">
        <v>11</v>
      </c>
      <c r="I1833" t="inlineStr">
        <is>
          <t>Kurs Akhir 248 60 81 Final Rate</t>
        </is>
      </c>
      <c r="J1833" t="inlineStr">
        <is>
          <t>High</t>
        </is>
      </c>
      <c r="M1833" t="inlineStr">
        <is>
          <t>LLM</t>
        </is>
      </c>
      <c r="N1833" t="inlineStr">
        <is>
          <t>2026-04-18</t>
        </is>
      </c>
      <c r="O1833" t="inlineStr">
        <is>
          <t>AI</t>
        </is>
      </c>
    </row>
    <row r="1834">
      <c r="A1834" t="inlineStr">
        <is>
          <t>PT Gozco Plantations Tbk</t>
        </is>
      </c>
      <c r="B1834" t="inlineStr">
        <is>
          <t>GZCO_2022_AR.pdf</t>
        </is>
      </c>
      <c r="C1834" t="n">
        <v>2022</v>
      </c>
      <c r="D1834" t="inlineStr">
        <is>
          <t>Financial</t>
        </is>
      </c>
      <c r="E1834" t="inlineStr">
        <is>
          <t>Market Cap (31 Dec 2022)</t>
        </is>
      </c>
      <c r="F1834" t="n">
        <v>486</v>
      </c>
      <c r="G1834" t="inlineStr">
        <is>
          <t>IDR bn</t>
        </is>
      </c>
      <c r="H1834" t="n">
        <v>11</v>
      </c>
      <c r="I1834" t="inlineStr">
        <is>
          <t>Oct-Dec Kapitalisasi Pasar Rp Juta 486.000</t>
        </is>
      </c>
      <c r="J1834" t="inlineStr">
        <is>
          <t>High</t>
        </is>
      </c>
      <c r="M1834" t="inlineStr">
        <is>
          <t>LLM</t>
        </is>
      </c>
      <c r="N1834" t="inlineStr">
        <is>
          <t>2026-04-18</t>
        </is>
      </c>
      <c r="O1834" t="inlineStr">
        <is>
          <t>AI</t>
        </is>
      </c>
    </row>
    <row r="1835">
      <c r="A1835" t="inlineStr">
        <is>
          <t>PT Gozco Plantations Tbk</t>
        </is>
      </c>
      <c r="B1835" t="inlineStr">
        <is>
          <t>GZCO_2022_AR.pdf</t>
        </is>
      </c>
      <c r="C1835" t="n">
        <v>2022</v>
      </c>
      <c r="D1835" t="inlineStr">
        <is>
          <t>Financial</t>
        </is>
      </c>
      <c r="E1835" t="inlineStr">
        <is>
          <t>Gearing Ratio</t>
        </is>
      </c>
      <c r="F1835" t="n">
        <v>0.13</v>
      </c>
      <c r="G1835" t="inlineStr">
        <is>
          <t>%</t>
        </is>
      </c>
      <c r="H1835" t="n">
        <v>8</v>
      </c>
      <c r="I1835" t="inlineStr">
        <is>
          <t>Ratio Gearing 13% 31% 56%</t>
        </is>
      </c>
      <c r="J1835" t="inlineStr">
        <is>
          <t>High</t>
        </is>
      </c>
      <c r="M1835" t="inlineStr">
        <is>
          <t>LLM</t>
        </is>
      </c>
      <c r="N1835" t="inlineStr">
        <is>
          <t>2026-04-18</t>
        </is>
      </c>
      <c r="O1835" t="inlineStr">
        <is>
          <t>AI</t>
        </is>
      </c>
    </row>
    <row r="1836">
      <c r="A1836" t="inlineStr">
        <is>
          <t>PT Gozco Plantations Tbk</t>
        </is>
      </c>
      <c r="B1836" t="inlineStr">
        <is>
          <t>GZCO_2022_AR.pdf</t>
        </is>
      </c>
      <c r="C1836" t="n">
        <v>2022</v>
      </c>
      <c r="D1836" t="inlineStr">
        <is>
          <t>Financial</t>
        </is>
      </c>
      <c r="E1836" t="inlineStr">
        <is>
          <t>Debt to Equity</t>
        </is>
      </c>
      <c r="F1836" t="n">
        <v>0.77</v>
      </c>
      <c r="G1836" t="inlineStr">
        <is>
          <t>x</t>
        </is>
      </c>
      <c r="H1836" t="n">
        <v>8</v>
      </c>
      <c r="I1836" t="inlineStr">
        <is>
          <t>Liabilitas thd Ekuitas 77% 89% 109%</t>
        </is>
      </c>
      <c r="J1836" t="inlineStr">
        <is>
          <t>High</t>
        </is>
      </c>
      <c r="M1836" t="inlineStr">
        <is>
          <t>LLM</t>
        </is>
      </c>
      <c r="N1836" t="inlineStr">
        <is>
          <t>2026-04-18</t>
        </is>
      </c>
      <c r="O1836" t="inlineStr">
        <is>
          <t>AI</t>
        </is>
      </c>
    </row>
    <row r="1837">
      <c r="A1837" t="inlineStr">
        <is>
          <t>PT Gozco Plantations Tbk</t>
        </is>
      </c>
      <c r="B1837" t="inlineStr">
        <is>
          <t>GZCO_2022_AR.pdf</t>
        </is>
      </c>
      <c r="C1837" t="n">
        <v>2022</v>
      </c>
      <c r="D1837" t="inlineStr">
        <is>
          <t>Financial</t>
        </is>
      </c>
      <c r="E1837" t="inlineStr">
        <is>
          <t>Current Ratio</t>
        </is>
      </c>
      <c r="F1837" t="n">
        <v>1</v>
      </c>
      <c r="G1837" t="inlineStr">
        <is>
          <t>x</t>
        </is>
      </c>
      <c r="H1837" t="n">
        <v>8</v>
      </c>
      <c r="I1837" t="inlineStr">
        <is>
          <t>Aset Lancar thd Kewaj.lancar 1,00x 0,90x 0,72x</t>
        </is>
      </c>
      <c r="J1837" t="inlineStr">
        <is>
          <t>High</t>
        </is>
      </c>
      <c r="M1837" t="inlineStr">
        <is>
          <t>LLM</t>
        </is>
      </c>
      <c r="N1837" t="inlineStr">
        <is>
          <t>2026-04-18</t>
        </is>
      </c>
      <c r="O1837" t="inlineStr">
        <is>
          <t>AI</t>
        </is>
      </c>
    </row>
    <row r="1838">
      <c r="A1838" t="inlineStr">
        <is>
          <t>PT Gozco Plantations Tbk</t>
        </is>
      </c>
      <c r="B1838" t="inlineStr">
        <is>
          <t>GZCO_2022_AR.pdf</t>
        </is>
      </c>
      <c r="C1838" t="n">
        <v>2022</v>
      </c>
      <c r="D1838" t="inlineStr">
        <is>
          <t>Financial</t>
        </is>
      </c>
      <c r="E1838" t="inlineStr">
        <is>
          <t>Return on Equity</t>
        </is>
      </c>
      <c r="F1838" t="n">
        <v>0.06560000000000001</v>
      </c>
      <c r="G1838" t="inlineStr">
        <is>
          <t>%</t>
        </is>
      </c>
      <c r="H1838" t="n">
        <v>9</v>
      </c>
      <c r="I1838" t="inlineStr">
        <is>
          <t>Tingkat hasil Ekuitas 6,56% 1,26% -17,72%</t>
        </is>
      </c>
      <c r="J1838" t="inlineStr">
        <is>
          <t>High</t>
        </is>
      </c>
      <c r="M1838" t="inlineStr">
        <is>
          <t>LLM</t>
        </is>
      </c>
      <c r="N1838" t="inlineStr">
        <is>
          <t>2026-04-18</t>
        </is>
      </c>
      <c r="O1838" t="inlineStr">
        <is>
          <t>AI</t>
        </is>
      </c>
    </row>
    <row r="1839">
      <c r="A1839" t="inlineStr">
        <is>
          <t>PT Gozco Plantations Tbk</t>
        </is>
      </c>
      <c r="B1839" t="inlineStr">
        <is>
          <t>GZCO_2022_AR.pdf</t>
        </is>
      </c>
      <c r="C1839" t="n">
        <v>2022</v>
      </c>
      <c r="D1839" t="inlineStr">
        <is>
          <t>Financial</t>
        </is>
      </c>
      <c r="E1839" t="inlineStr">
        <is>
          <t>Return on Assets</t>
        </is>
      </c>
      <c r="F1839" t="n">
        <v>0.037</v>
      </c>
      <c r="G1839" t="inlineStr">
        <is>
          <t>%</t>
        </is>
      </c>
      <c r="H1839" t="n">
        <v>9</v>
      </c>
      <c r="I1839" t="inlineStr">
        <is>
          <t>Tingkat Hasil Aset 3,70% 0,67% -8,47%</t>
        </is>
      </c>
      <c r="J1839" t="inlineStr">
        <is>
          <t>High</t>
        </is>
      </c>
      <c r="M1839" t="inlineStr">
        <is>
          <t>LLM</t>
        </is>
      </c>
      <c r="N1839" t="inlineStr">
        <is>
          <t>2026-04-18</t>
        </is>
      </c>
      <c r="O1839" t="inlineStr">
        <is>
          <t>AI</t>
        </is>
      </c>
    </row>
    <row r="1840">
      <c r="A1840" t="inlineStr">
        <is>
          <t>PT Gozco Plantations Tbk</t>
        </is>
      </c>
      <c r="B1840" t="inlineStr">
        <is>
          <t>GZCO_2022_AR.pdf</t>
        </is>
      </c>
      <c r="C1840" t="n">
        <v>2022</v>
      </c>
      <c r="D1840" t="inlineStr">
        <is>
          <t>Financial</t>
        </is>
      </c>
      <c r="E1840" t="inlineStr">
        <is>
          <t>Gross Margin</t>
        </is>
      </c>
      <c r="F1840" t="n">
        <v>0.2209</v>
      </c>
      <c r="G1840" t="inlineStr">
        <is>
          <t>%</t>
        </is>
      </c>
      <c r="H1840" t="n">
        <v>9</v>
      </c>
      <c r="I1840" t="inlineStr">
        <is>
          <t>Rasio Margin Kotor 22,09% 9,55% -34,12%</t>
        </is>
      </c>
      <c r="J1840" t="inlineStr">
        <is>
          <t>High</t>
        </is>
      </c>
      <c r="M1840" t="inlineStr">
        <is>
          <t>LLM</t>
        </is>
      </c>
      <c r="N1840" t="inlineStr">
        <is>
          <t>2026-04-18</t>
        </is>
      </c>
      <c r="O1840" t="inlineStr">
        <is>
          <t>AI</t>
        </is>
      </c>
    </row>
    <row r="1841">
      <c r="A1841" t="inlineStr">
        <is>
          <t>PT Gozco Plantations Tbk</t>
        </is>
      </c>
      <c r="B1841" t="inlineStr">
        <is>
          <t>GZCO_2022_AR.pdf</t>
        </is>
      </c>
      <c r="C1841" t="n">
        <v>2022</v>
      </c>
      <c r="D1841" t="inlineStr">
        <is>
          <t>Financial</t>
        </is>
      </c>
      <c r="E1841" t="inlineStr">
        <is>
          <t>Net Margin</t>
        </is>
      </c>
      <c r="F1841" t="n">
        <v>0.1363</v>
      </c>
      <c r="G1841" t="inlineStr">
        <is>
          <t>%</t>
        </is>
      </c>
      <c r="H1841" t="n">
        <v>9</v>
      </c>
      <c r="I1841" t="inlineStr">
        <is>
          <t>Rasio Margin Bersih 13,63% 1,92% -44,63%</t>
        </is>
      </c>
      <c r="J1841" t="inlineStr">
        <is>
          <t>High</t>
        </is>
      </c>
      <c r="M1841" t="inlineStr">
        <is>
          <t>LLM</t>
        </is>
      </c>
      <c r="N1841" t="inlineStr">
        <is>
          <t>2026-04-18</t>
        </is>
      </c>
      <c r="O1841" t="inlineStr">
        <is>
          <t>AI</t>
        </is>
      </c>
    </row>
    <row r="1842">
      <c r="A1842" t="inlineStr">
        <is>
          <t>PT Gozco Plantations Tbk</t>
        </is>
      </c>
      <c r="B1842" t="inlineStr">
        <is>
          <t>GZCO_2022_AR.pdf</t>
        </is>
      </c>
      <c r="C1842" t="n">
        <v>2022</v>
      </c>
      <c r="D1842" t="inlineStr">
        <is>
          <t>Asset</t>
        </is>
      </c>
      <c r="E1842" t="inlineStr">
        <is>
          <t>Total Landbank APL</t>
        </is>
      </c>
      <c r="F1842" t="n">
        <v>17188</v>
      </c>
      <c r="G1842" t="inlineStr">
        <is>
          <t>ha</t>
        </is>
      </c>
      <c r="H1842" t="n">
        <v>6</v>
      </c>
      <c r="I1842" t="inlineStr">
        <is>
          <t>Lahan APL 17.188 22.188 22.188</t>
        </is>
      </c>
      <c r="J1842" t="inlineStr">
        <is>
          <t>High</t>
        </is>
      </c>
      <c r="M1842" t="inlineStr">
        <is>
          <t>LLM</t>
        </is>
      </c>
      <c r="N1842" t="inlineStr">
        <is>
          <t>2026-04-18</t>
        </is>
      </c>
      <c r="O1842" t="inlineStr">
        <is>
          <t>AI</t>
        </is>
      </c>
    </row>
    <row r="1843">
      <c r="A1843" t="inlineStr">
        <is>
          <t>PT Gozco Plantations Tbk</t>
        </is>
      </c>
      <c r="B1843" t="inlineStr">
        <is>
          <t>GZCO_2022_AR.pdf</t>
        </is>
      </c>
      <c r="C1843" t="n">
        <v>2022</v>
      </c>
      <c r="D1843" t="inlineStr">
        <is>
          <t>Asset</t>
        </is>
      </c>
      <c r="E1843" t="inlineStr">
        <is>
          <t>Landbank HPK</t>
        </is>
      </c>
      <c r="F1843" t="n">
        <v>1561</v>
      </c>
      <c r="G1843" t="inlineStr">
        <is>
          <t>ha</t>
        </is>
      </c>
      <c r="H1843" t="n">
        <v>6</v>
      </c>
      <c r="I1843" t="inlineStr">
        <is>
          <t>Lahan HPK 1.561 1.561 1.561</t>
        </is>
      </c>
      <c r="J1843" t="inlineStr">
        <is>
          <t>High</t>
        </is>
      </c>
      <c r="M1843" t="inlineStr">
        <is>
          <t>LLM</t>
        </is>
      </c>
      <c r="N1843" t="inlineStr">
        <is>
          <t>2026-04-18</t>
        </is>
      </c>
      <c r="O1843" t="inlineStr">
        <is>
          <t>AI</t>
        </is>
      </c>
    </row>
    <row r="1844">
      <c r="A1844" t="inlineStr">
        <is>
          <t>PT Gozco Plantations Tbk</t>
        </is>
      </c>
      <c r="B1844" t="inlineStr">
        <is>
          <t>GZCO_2022_AR.pdf</t>
        </is>
      </c>
      <c r="C1844" t="n">
        <v>2022</v>
      </c>
      <c r="D1844" t="inlineStr">
        <is>
          <t>Asset</t>
        </is>
      </c>
      <c r="E1844" t="inlineStr">
        <is>
          <t>Total Plantation Area</t>
        </is>
      </c>
      <c r="F1844" t="n">
        <v>18749</v>
      </c>
      <c r="G1844" t="inlineStr">
        <is>
          <t>ha</t>
        </is>
      </c>
      <c r="H1844" t="n">
        <v>6</v>
      </c>
      <c r="I1844" t="inlineStr">
        <is>
          <t>Total Lahan Perkebunan (Ha) 18.749 23.749 23.749</t>
        </is>
      </c>
      <c r="J1844" t="inlineStr">
        <is>
          <t>High</t>
        </is>
      </c>
      <c r="M1844" t="inlineStr">
        <is>
          <t>LLM</t>
        </is>
      </c>
      <c r="N1844" t="inlineStr">
        <is>
          <t>2026-04-18</t>
        </is>
      </c>
      <c r="O1844" t="inlineStr">
        <is>
          <t>AI</t>
        </is>
      </c>
    </row>
    <row r="1845">
      <c r="A1845" t="inlineStr">
        <is>
          <t>PT Gozco Plantations Tbk</t>
        </is>
      </c>
      <c r="B1845" t="inlineStr">
        <is>
          <t>GZCO_2022_AR.pdf</t>
        </is>
      </c>
      <c r="C1845" t="n">
        <v>2022</v>
      </c>
      <c r="D1845" t="inlineStr">
        <is>
          <t>Asset</t>
        </is>
      </c>
      <c r="E1845" t="inlineStr">
        <is>
          <t>Total Planted Area</t>
        </is>
      </c>
      <c r="F1845" t="n">
        <v>12917</v>
      </c>
      <c r="G1845" t="inlineStr">
        <is>
          <t>ha</t>
        </is>
      </c>
      <c r="H1845" t="n">
        <v>6</v>
      </c>
      <c r="I1845" t="inlineStr">
        <is>
          <t>Total Lahan Tertanam 12.917 12.915 12.845</t>
        </is>
      </c>
      <c r="J1845" t="inlineStr">
        <is>
          <t>High</t>
        </is>
      </c>
      <c r="M1845" t="inlineStr">
        <is>
          <t>LLM</t>
        </is>
      </c>
      <c r="N1845" t="inlineStr">
        <is>
          <t>2026-04-18</t>
        </is>
      </c>
      <c r="O1845" t="inlineStr">
        <is>
          <t>AI</t>
        </is>
      </c>
    </row>
    <row r="1846">
      <c r="A1846" t="inlineStr">
        <is>
          <t>PT Gozco Plantations Tbk</t>
        </is>
      </c>
      <c r="B1846" t="inlineStr">
        <is>
          <t>GZCO_2022_AR.pdf</t>
        </is>
      </c>
      <c r="C1846" t="n">
        <v>2022</v>
      </c>
      <c r="D1846" t="inlineStr">
        <is>
          <t>Asset</t>
        </is>
      </c>
      <c r="E1846" t="inlineStr">
        <is>
          <t>Nucleus Planted Area</t>
        </is>
      </c>
      <c r="F1846" t="n">
        <v>12917</v>
      </c>
      <c r="G1846" t="inlineStr">
        <is>
          <t>ha</t>
        </is>
      </c>
      <c r="H1846" t="n">
        <v>6</v>
      </c>
      <c r="I1846" t="inlineStr">
        <is>
          <t>Lahan Inti 12.917 12.915 12.845</t>
        </is>
      </c>
      <c r="J1846" t="inlineStr">
        <is>
          <t>High</t>
        </is>
      </c>
      <c r="M1846" t="inlineStr">
        <is>
          <t>LLM</t>
        </is>
      </c>
      <c r="N1846" t="inlineStr">
        <is>
          <t>2026-04-18</t>
        </is>
      </c>
      <c r="O1846" t="inlineStr">
        <is>
          <t>AI</t>
        </is>
      </c>
    </row>
    <row r="1847">
      <c r="A1847" t="inlineStr">
        <is>
          <t>PT Gozco Plantations Tbk</t>
        </is>
      </c>
      <c r="B1847" t="inlineStr">
        <is>
          <t>GZCO_2022_AR.pdf</t>
        </is>
      </c>
      <c r="C1847" t="n">
        <v>2022</v>
      </c>
      <c r="D1847" t="inlineStr">
        <is>
          <t>Asset</t>
        </is>
      </c>
      <c r="E1847" t="inlineStr">
        <is>
          <t>Mature Area</t>
        </is>
      </c>
      <c r="F1847" t="n">
        <v>12700</v>
      </c>
      <c r="G1847" t="inlineStr">
        <is>
          <t>ha</t>
        </is>
      </c>
      <c r="H1847" t="n">
        <v>6</v>
      </c>
      <c r="I1847" t="inlineStr">
        <is>
          <t>Tanaman Menghasilkan 12.700 12.619 12.540</t>
        </is>
      </c>
      <c r="J1847" t="inlineStr">
        <is>
          <t>High</t>
        </is>
      </c>
      <c r="M1847" t="inlineStr">
        <is>
          <t>LLM</t>
        </is>
      </c>
      <c r="N1847" t="inlineStr">
        <is>
          <t>2026-04-18</t>
        </is>
      </c>
      <c r="O1847" t="inlineStr">
        <is>
          <t>AI</t>
        </is>
      </c>
    </row>
    <row r="1848">
      <c r="A1848" t="inlineStr">
        <is>
          <t>PT Gozco Plantations Tbk</t>
        </is>
      </c>
      <c r="B1848" t="inlineStr">
        <is>
          <t>GZCO_2022_AR.pdf</t>
        </is>
      </c>
      <c r="C1848" t="n">
        <v>2022</v>
      </c>
      <c r="D1848" t="inlineStr">
        <is>
          <t>Asset</t>
        </is>
      </c>
      <c r="E1848" t="inlineStr">
        <is>
          <t>Immature Area</t>
        </is>
      </c>
      <c r="F1848" t="n">
        <v>217</v>
      </c>
      <c r="G1848" t="inlineStr">
        <is>
          <t>ha</t>
        </is>
      </c>
      <c r="H1848" t="n">
        <v>6</v>
      </c>
      <c r="I1848" t="inlineStr">
        <is>
          <t>Tanaman Belum Menghasilkan 217 296 305</t>
        </is>
      </c>
      <c r="J1848" t="inlineStr">
        <is>
          <t>High</t>
        </is>
      </c>
      <c r="M1848" t="inlineStr">
        <is>
          <t>LLM</t>
        </is>
      </c>
      <c r="N1848" t="inlineStr">
        <is>
          <t>2026-04-18</t>
        </is>
      </c>
      <c r="O1848" t="inlineStr">
        <is>
          <t>AI</t>
        </is>
      </c>
    </row>
    <row r="1849">
      <c r="A1849" t="inlineStr">
        <is>
          <t>PT Gozco Plantations Tbk</t>
        </is>
      </c>
      <c r="B1849" t="inlineStr">
        <is>
          <t>GZCO_2022_AR.pdf</t>
        </is>
      </c>
      <c r="C1849" t="n">
        <v>2022</v>
      </c>
      <c r="D1849" t="inlineStr">
        <is>
          <t>Asset</t>
        </is>
      </c>
      <c r="E1849" t="inlineStr">
        <is>
          <t>Average Tree Age</t>
        </is>
      </c>
      <c r="F1849" t="n">
        <v>16.58</v>
      </c>
      <c r="G1849" t="inlineStr">
        <is>
          <t>years</t>
        </is>
      </c>
      <c r="H1849" t="n">
        <v>37</v>
      </c>
      <c r="I1849" t="inlineStr">
        <is>
          <t>Usia rata-rata tanaman per akhir tahun 2022 adalah 16 (enam belas) tahun 7 (tujuh) bulan</t>
        </is>
      </c>
      <c r="J1849" t="inlineStr">
        <is>
          <t>High</t>
        </is>
      </c>
      <c r="M1849" t="inlineStr">
        <is>
          <t>LLM</t>
        </is>
      </c>
      <c r="N1849" t="inlineStr">
        <is>
          <t>2026-04-18</t>
        </is>
      </c>
      <c r="O1849" t="inlineStr">
        <is>
          <t>AI</t>
        </is>
      </c>
    </row>
    <row r="1850">
      <c r="A1850" t="inlineStr">
        <is>
          <t>PT Gozco Plantations Tbk</t>
        </is>
      </c>
      <c r="B1850" t="inlineStr">
        <is>
          <t>GZCO_2022_AR.pdf</t>
        </is>
      </c>
      <c r="C1850" t="n">
        <v>2022</v>
      </c>
      <c r="D1850" t="inlineStr">
        <is>
          <t>Asset</t>
        </is>
      </c>
      <c r="E1850" t="inlineStr">
        <is>
          <t>TM Age 1-9 yr</t>
        </is>
      </c>
      <c r="F1850" t="n">
        <v>2918</v>
      </c>
      <c r="G1850" t="inlineStr">
        <is>
          <t>ha</t>
        </is>
      </c>
      <c r="H1850" t="n">
        <v>37</v>
      </c>
      <c r="I1850" t="inlineStr">
        <is>
          <t>TM 1-9 2.918 3.768 3.689 Mature 1-9</t>
        </is>
      </c>
      <c r="J1850" t="inlineStr">
        <is>
          <t>High</t>
        </is>
      </c>
      <c r="M1850" t="inlineStr">
        <is>
          <t>LLM</t>
        </is>
      </c>
      <c r="N1850" t="inlineStr">
        <is>
          <t>2026-04-18</t>
        </is>
      </c>
      <c r="O1850" t="inlineStr">
        <is>
          <t>AI</t>
        </is>
      </c>
    </row>
    <row r="1851">
      <c r="A1851" t="inlineStr">
        <is>
          <t>PT Gozco Plantations Tbk</t>
        </is>
      </c>
      <c r="B1851" t="inlineStr">
        <is>
          <t>GZCO_2022_AR.pdf</t>
        </is>
      </c>
      <c r="C1851" t="n">
        <v>2022</v>
      </c>
      <c r="D1851" t="inlineStr">
        <is>
          <t>Asset</t>
        </is>
      </c>
      <c r="E1851" t="inlineStr">
        <is>
          <t>TM Age 10+ yr</t>
        </is>
      </c>
      <c r="F1851" t="n">
        <v>9782</v>
      </c>
      <c r="G1851" t="inlineStr">
        <is>
          <t>ha</t>
        </is>
      </c>
      <c r="H1851" t="n">
        <v>37</v>
      </c>
      <c r="I1851" t="inlineStr">
        <is>
          <t>TM 10-21 9.782 8.851 8.851 Mature 10-21</t>
        </is>
      </c>
      <c r="J1851" t="inlineStr">
        <is>
          <t>High</t>
        </is>
      </c>
      <c r="M1851" t="inlineStr">
        <is>
          <t>LLM</t>
        </is>
      </c>
      <c r="N1851" t="inlineStr">
        <is>
          <t>2026-04-18</t>
        </is>
      </c>
      <c r="O1851" t="inlineStr">
        <is>
          <t>AI</t>
        </is>
      </c>
    </row>
    <row r="1852">
      <c r="A1852" t="inlineStr">
        <is>
          <t>PT Gozco Plantations Tbk</t>
        </is>
      </c>
      <c r="B1852" t="inlineStr">
        <is>
          <t>GZCO_2022_AR.pdf</t>
        </is>
      </c>
      <c r="C1852" t="n">
        <v>2022</v>
      </c>
      <c r="D1852" t="inlineStr">
        <is>
          <t>Asset</t>
        </is>
      </c>
      <c r="E1852" t="inlineStr">
        <is>
          <t>Age Profile 1-3 yr</t>
        </is>
      </c>
      <c r="F1852" t="n">
        <v>433</v>
      </c>
      <c r="G1852" t="inlineStr">
        <is>
          <t>ha</t>
        </is>
      </c>
      <c r="H1852" t="n">
        <v>37</v>
      </c>
      <c r="I1852" t="inlineStr">
        <is>
          <t>Matured of 1 to 3 M 1-3 433 3%</t>
        </is>
      </c>
      <c r="J1852" t="inlineStr">
        <is>
          <t>High</t>
        </is>
      </c>
      <c r="M1852" t="inlineStr">
        <is>
          <t>LLM</t>
        </is>
      </c>
      <c r="N1852" t="inlineStr">
        <is>
          <t>2026-04-18</t>
        </is>
      </c>
      <c r="O1852" t="inlineStr">
        <is>
          <t>AI</t>
        </is>
      </c>
    </row>
    <row r="1853">
      <c r="A1853" t="inlineStr">
        <is>
          <t>PT Gozco Plantations Tbk</t>
        </is>
      </c>
      <c r="B1853" t="inlineStr">
        <is>
          <t>GZCO_2022_AR.pdf</t>
        </is>
      </c>
      <c r="C1853" t="n">
        <v>2022</v>
      </c>
      <c r="D1853" t="inlineStr">
        <is>
          <t>Asset</t>
        </is>
      </c>
      <c r="E1853" t="inlineStr">
        <is>
          <t>Age Profile 4-6 yr</t>
        </is>
      </c>
      <c r="F1853" t="n">
        <v>1565</v>
      </c>
      <c r="G1853" t="inlineStr">
        <is>
          <t>ha</t>
        </is>
      </c>
      <c r="H1853" t="n">
        <v>37</v>
      </c>
      <c r="I1853" t="inlineStr">
        <is>
          <t>Matured of 4 to 6 M 4-6 1.565 12%</t>
        </is>
      </c>
      <c r="J1853" t="inlineStr">
        <is>
          <t>High</t>
        </is>
      </c>
      <c r="M1853" t="inlineStr">
        <is>
          <t>LLM</t>
        </is>
      </c>
      <c r="N1853" t="inlineStr">
        <is>
          <t>2026-04-18</t>
        </is>
      </c>
      <c r="O1853" t="inlineStr">
        <is>
          <t>AI</t>
        </is>
      </c>
    </row>
    <row r="1854">
      <c r="A1854" t="inlineStr">
        <is>
          <t>PT Gozco Plantations Tbk</t>
        </is>
      </c>
      <c r="B1854" t="inlineStr">
        <is>
          <t>GZCO_2022_AR.pdf</t>
        </is>
      </c>
      <c r="C1854" t="n">
        <v>2022</v>
      </c>
      <c r="D1854" t="inlineStr">
        <is>
          <t>Asset</t>
        </is>
      </c>
      <c r="E1854" t="inlineStr">
        <is>
          <t>Age Profile 7-9 yr</t>
        </is>
      </c>
      <c r="F1854" t="n">
        <v>920</v>
      </c>
      <c r="G1854" t="inlineStr">
        <is>
          <t>ha</t>
        </is>
      </c>
      <c r="H1854" t="n">
        <v>37</v>
      </c>
      <c r="I1854" t="inlineStr">
        <is>
          <t>Matured of 7 to 9 M 7-9 920 7%</t>
        </is>
      </c>
      <c r="J1854" t="inlineStr">
        <is>
          <t>High</t>
        </is>
      </c>
      <c r="M1854" t="inlineStr">
        <is>
          <t>LLM</t>
        </is>
      </c>
      <c r="N1854" t="inlineStr">
        <is>
          <t>2026-04-18</t>
        </is>
      </c>
      <c r="O1854" t="inlineStr">
        <is>
          <t>AI</t>
        </is>
      </c>
    </row>
    <row r="1855">
      <c r="A1855" t="inlineStr">
        <is>
          <t>PT Gozco Plantations Tbk</t>
        </is>
      </c>
      <c r="B1855" t="inlineStr">
        <is>
          <t>GZCO_2022_AR.pdf</t>
        </is>
      </c>
      <c r="C1855" t="n">
        <v>2022</v>
      </c>
      <c r="D1855" t="inlineStr">
        <is>
          <t>Asset</t>
        </is>
      </c>
      <c r="E1855" t="inlineStr">
        <is>
          <t>Age Profile 10-19 yr</t>
        </is>
      </c>
      <c r="F1855" t="n">
        <v>4317</v>
      </c>
      <c r="G1855" t="inlineStr">
        <is>
          <t>ha</t>
        </is>
      </c>
      <c r="H1855" t="n">
        <v>37</v>
      </c>
      <c r="I1855" t="inlineStr">
        <is>
          <t>Matured of 10 to 19 M 10-19 4.317 33%</t>
        </is>
      </c>
      <c r="J1855" t="inlineStr">
        <is>
          <t>High</t>
        </is>
      </c>
      <c r="M1855" t="inlineStr">
        <is>
          <t>LLM</t>
        </is>
      </c>
      <c r="N1855" t="inlineStr">
        <is>
          <t>2026-04-18</t>
        </is>
      </c>
      <c r="O1855" t="inlineStr">
        <is>
          <t>AI</t>
        </is>
      </c>
    </row>
    <row r="1856">
      <c r="A1856" t="inlineStr">
        <is>
          <t>PT Gozco Plantations Tbk</t>
        </is>
      </c>
      <c r="B1856" t="inlineStr">
        <is>
          <t>GZCO_2022_AR.pdf</t>
        </is>
      </c>
      <c r="C1856" t="n">
        <v>2022</v>
      </c>
      <c r="D1856" t="inlineStr">
        <is>
          <t>Asset</t>
        </is>
      </c>
      <c r="E1856" t="inlineStr">
        <is>
          <t>Age Profile 20-21 yr</t>
        </is>
      </c>
      <c r="F1856" t="n">
        <v>5465</v>
      </c>
      <c r="G1856" t="inlineStr">
        <is>
          <t>ha</t>
        </is>
      </c>
      <c r="H1856" t="n">
        <v>37</v>
      </c>
      <c r="I1856" t="inlineStr">
        <is>
          <t>Matured of 20 to 21 M 20-21 5.465 42%</t>
        </is>
      </c>
      <c r="J1856" t="inlineStr">
        <is>
          <t>High</t>
        </is>
      </c>
      <c r="M1856" t="inlineStr">
        <is>
          <t>LLM</t>
        </is>
      </c>
      <c r="N1856" t="inlineStr">
        <is>
          <t>2026-04-18</t>
        </is>
      </c>
      <c r="O1856" t="inlineStr">
        <is>
          <t>AI</t>
        </is>
      </c>
    </row>
    <row r="1857">
      <c r="A1857" t="inlineStr">
        <is>
          <t>PT Gozco Plantations Tbk</t>
        </is>
      </c>
      <c r="B1857" t="inlineStr">
        <is>
          <t>GZCO_2022_AR.pdf</t>
        </is>
      </c>
      <c r="C1857" t="n">
        <v>2022</v>
      </c>
      <c r="D1857" t="inlineStr">
        <is>
          <t>Asset</t>
        </is>
      </c>
      <c r="E1857" t="inlineStr">
        <is>
          <t>Suryabumi Land (Sumsel)</t>
        </is>
      </c>
      <c r="F1857" t="n">
        <v>8858</v>
      </c>
      <c r="G1857" t="inlineStr">
        <is>
          <t>ha</t>
        </is>
      </c>
      <c r="H1857" t="n">
        <v>36</v>
      </c>
      <c r="I1857" t="inlineStr">
        <is>
          <t>Suryabumi Sumsel 8.858 8.464 394 - 90T/Hour</t>
        </is>
      </c>
      <c r="J1857" t="inlineStr">
        <is>
          <t>High</t>
        </is>
      </c>
      <c r="M1857" t="inlineStr">
        <is>
          <t>LLM</t>
        </is>
      </c>
      <c r="N1857" t="inlineStr">
        <is>
          <t>2026-04-18</t>
        </is>
      </c>
      <c r="O1857" t="inlineStr">
        <is>
          <t>AI</t>
        </is>
      </c>
    </row>
    <row r="1858">
      <c r="A1858" t="inlineStr">
        <is>
          <t>PT Gozco Plantations Tbk</t>
        </is>
      </c>
      <c r="B1858" t="inlineStr">
        <is>
          <t>GZCO_2022_AR.pdf</t>
        </is>
      </c>
      <c r="C1858" t="n">
        <v>2022</v>
      </c>
      <c r="D1858" t="inlineStr">
        <is>
          <t>Asset</t>
        </is>
      </c>
      <c r="E1858" t="inlineStr">
        <is>
          <t>Telaga Sari Land (Kalteng)</t>
        </is>
      </c>
      <c r="F1858" t="n">
        <v>1012</v>
      </c>
      <c r="G1858" t="inlineStr">
        <is>
          <t>ha</t>
        </is>
      </c>
      <c r="H1858" t="n">
        <v>36</v>
      </c>
      <c r="I1858" t="inlineStr">
        <is>
          <t>Telaga Sari Persada Kalteng 1.012 991 21</t>
        </is>
      </c>
      <c r="J1858" t="inlineStr">
        <is>
          <t>High</t>
        </is>
      </c>
      <c r="M1858" t="inlineStr">
        <is>
          <t>LLM</t>
        </is>
      </c>
      <c r="N1858" t="inlineStr">
        <is>
          <t>2026-04-18</t>
        </is>
      </c>
      <c r="O1858" t="inlineStr">
        <is>
          <t>AI</t>
        </is>
      </c>
    </row>
    <row r="1859">
      <c r="A1859" t="inlineStr">
        <is>
          <t>PT Gozco Plantations Tbk</t>
        </is>
      </c>
      <c r="B1859" t="inlineStr">
        <is>
          <t>GZCO_2022_AR.pdf</t>
        </is>
      </c>
      <c r="C1859" t="n">
        <v>2022</v>
      </c>
      <c r="D1859" t="inlineStr">
        <is>
          <t>Asset</t>
        </is>
      </c>
      <c r="E1859" t="inlineStr">
        <is>
          <t>Cahyavidi Land Lost</t>
        </is>
      </c>
      <c r="F1859" t="n">
        <v>5000</v>
      </c>
      <c r="G1859" t="inlineStr">
        <is>
          <t>ha</t>
        </is>
      </c>
      <c r="H1859" t="n">
        <v>36</v>
      </c>
      <c r="I1859" t="inlineStr">
        <is>
          <t>terdapat penurunan sebesar 5 ribu Ha atau turun sekitar 23% karena atas perijinan lokasi milik entitas anak Cahyavidi seluas 5 ribu ha di Kabupaten Muara Enim Sumatera Selatan, sampai dengan akhir tahun 2022 belum ada realisasi pelepasan lahan dan habis masa berlakunya</t>
        </is>
      </c>
      <c r="J1859" t="inlineStr">
        <is>
          <t>High</t>
        </is>
      </c>
      <c r="M1859" t="inlineStr">
        <is>
          <t>LLM</t>
        </is>
      </c>
      <c r="N1859" t="inlineStr">
        <is>
          <t>2026-04-18</t>
        </is>
      </c>
      <c r="O1859" t="inlineStr">
        <is>
          <t>AI</t>
        </is>
      </c>
    </row>
    <row r="1860">
      <c r="A1860" t="inlineStr">
        <is>
          <t>PT Gozco Plantations Tbk</t>
        </is>
      </c>
      <c r="B1860" t="inlineStr">
        <is>
          <t>GZCO_2022_AR.pdf</t>
        </is>
      </c>
      <c r="C1860" t="n">
        <v>2022</v>
      </c>
      <c r="D1860" t="inlineStr">
        <is>
          <t>Asset</t>
        </is>
      </c>
      <c r="E1860" t="inlineStr">
        <is>
          <t>Mill Capacity (PKS SA)</t>
        </is>
      </c>
      <c r="F1860" t="n">
        <v>90</v>
      </c>
      <c r="G1860" t="inlineStr">
        <is>
          <t>T/Hour</t>
        </is>
      </c>
      <c r="H1860" t="n">
        <v>36</v>
      </c>
      <c r="I1860" t="inlineStr">
        <is>
          <t>Jumlah | Total - 17.189 12.917 728 3.544 90T/Hour</t>
        </is>
      </c>
      <c r="J1860" t="inlineStr">
        <is>
          <t>High</t>
        </is>
      </c>
      <c r="M1860" t="inlineStr">
        <is>
          <t>LLM</t>
        </is>
      </c>
      <c r="N1860" t="inlineStr">
        <is>
          <t>2026-04-18</t>
        </is>
      </c>
      <c r="O1860" t="inlineStr">
        <is>
          <t>AI</t>
        </is>
      </c>
    </row>
    <row r="1861">
      <c r="A1861" t="inlineStr">
        <is>
          <t>PT Gozco Plantations Tbk</t>
        </is>
      </c>
      <c r="B1861" t="inlineStr">
        <is>
          <t>GZCO_2022_AR.pdf</t>
        </is>
      </c>
      <c r="C1861" t="n">
        <v>2022</v>
      </c>
      <c r="D1861" t="inlineStr">
        <is>
          <t>Asset</t>
        </is>
      </c>
      <c r="E1861" t="inlineStr">
        <is>
          <t>Mills Count</t>
        </is>
      </c>
      <c r="F1861" t="n">
        <v>1</v>
      </c>
      <c r="G1861" t="inlineStr">
        <is>
          <t>count</t>
        </is>
      </c>
      <c r="H1861" t="n">
        <v>36</v>
      </c>
      <c r="I1861" t="inlineStr">
        <is>
          <t>Single mill PKS SA 90 T/Hour at Suryabumi</t>
        </is>
      </c>
      <c r="J1861" t="inlineStr">
        <is>
          <t>High</t>
        </is>
      </c>
      <c r="M1861" t="inlineStr">
        <is>
          <t>LLM</t>
        </is>
      </c>
      <c r="N1861" t="inlineStr">
        <is>
          <t>2026-04-18</t>
        </is>
      </c>
      <c r="O1861" t="inlineStr">
        <is>
          <t>AI</t>
        </is>
      </c>
    </row>
    <row r="1862">
      <c r="A1862" t="inlineStr">
        <is>
          <t>PT Gozco Plantations Tbk</t>
        </is>
      </c>
      <c r="B1862" t="inlineStr">
        <is>
          <t>GZCO_2022_AR.pdf</t>
        </is>
      </c>
      <c r="C1862" t="n">
        <v>2022</v>
      </c>
      <c r="D1862" t="inlineStr">
        <is>
          <t>Operation</t>
        </is>
      </c>
      <c r="E1862" t="inlineStr">
        <is>
          <t>FFB Harvest (Nucleus after sortation)</t>
        </is>
      </c>
      <c r="F1862" t="n">
        <v>189719</v>
      </c>
      <c r="G1862" t="inlineStr">
        <is>
          <t>t</t>
        </is>
      </c>
      <c r="H1862" t="n">
        <v>6</v>
      </c>
      <c r="I1862" t="inlineStr">
        <is>
          <t>Hasil Panen Kebun Inti (setelah sortasi) 189.719 183.209 143.670</t>
        </is>
      </c>
      <c r="J1862" t="inlineStr">
        <is>
          <t>High</t>
        </is>
      </c>
      <c r="M1862" t="inlineStr">
        <is>
          <t>LLM</t>
        </is>
      </c>
      <c r="N1862" t="inlineStr">
        <is>
          <t>2026-04-18</t>
        </is>
      </c>
      <c r="O1862" t="inlineStr">
        <is>
          <t>AI</t>
        </is>
      </c>
    </row>
    <row r="1863">
      <c r="A1863" t="inlineStr">
        <is>
          <t>PT Gozco Plantations Tbk</t>
        </is>
      </c>
      <c r="B1863" t="inlineStr">
        <is>
          <t>GZCO_2022_AR.pdf</t>
        </is>
      </c>
      <c r="C1863" t="n">
        <v>2022</v>
      </c>
      <c r="D1863" t="inlineStr">
        <is>
          <t>Operation</t>
        </is>
      </c>
      <c r="E1863" t="inlineStr">
        <is>
          <t>FFB Sold</t>
        </is>
      </c>
      <c r="F1863" t="n">
        <v>12941</v>
      </c>
      <c r="G1863" t="inlineStr">
        <is>
          <t>t</t>
        </is>
      </c>
      <c r="H1863" t="n">
        <v>6</v>
      </c>
      <c r="I1863" t="inlineStr">
        <is>
          <t>TBS Dijual 12.941 10.499 17.146 Sold as FFB</t>
        </is>
      </c>
      <c r="J1863" t="inlineStr">
        <is>
          <t>High</t>
        </is>
      </c>
      <c r="M1863" t="inlineStr">
        <is>
          <t>LLM</t>
        </is>
      </c>
      <c r="N1863" t="inlineStr">
        <is>
          <t>2026-04-18</t>
        </is>
      </c>
      <c r="O1863" t="inlineStr">
        <is>
          <t>AI</t>
        </is>
      </c>
    </row>
    <row r="1864">
      <c r="A1864" t="inlineStr">
        <is>
          <t>PT Gozco Plantations Tbk</t>
        </is>
      </c>
      <c r="B1864" t="inlineStr">
        <is>
          <t>GZCO_2022_AR.pdf</t>
        </is>
      </c>
      <c r="C1864" t="n">
        <v>2022</v>
      </c>
      <c r="D1864" t="inlineStr">
        <is>
          <t>Operation</t>
        </is>
      </c>
      <c r="E1864" t="inlineStr">
        <is>
          <t>FFB Internal Processed</t>
        </is>
      </c>
      <c r="F1864" t="n">
        <v>176779</v>
      </c>
      <c r="G1864" t="inlineStr">
        <is>
          <t>t</t>
        </is>
      </c>
      <c r="H1864" t="n">
        <v>6</v>
      </c>
      <c r="I1864" t="inlineStr">
        <is>
          <t>Hasil Kebun Inti Diproses 176.779 172.710 126.523</t>
        </is>
      </c>
      <c r="J1864" t="inlineStr">
        <is>
          <t>High</t>
        </is>
      </c>
      <c r="M1864" t="inlineStr">
        <is>
          <t>LLM</t>
        </is>
      </c>
      <c r="N1864" t="inlineStr">
        <is>
          <t>2026-04-18</t>
        </is>
      </c>
      <c r="O1864" t="inlineStr">
        <is>
          <t>AI</t>
        </is>
      </c>
    </row>
    <row r="1865">
      <c r="A1865" t="inlineStr">
        <is>
          <t>PT Gozco Plantations Tbk</t>
        </is>
      </c>
      <c r="B1865" t="inlineStr">
        <is>
          <t>GZCO_2022_AR.pdf</t>
        </is>
      </c>
      <c r="C1865" t="n">
        <v>2022</v>
      </c>
      <c r="D1865" t="inlineStr">
        <is>
          <t>Operation</t>
        </is>
      </c>
      <c r="E1865" t="inlineStr">
        <is>
          <t>FFB External (3rd Party)</t>
        </is>
      </c>
      <c r="F1865" t="n">
        <v>34068</v>
      </c>
      <c r="G1865" t="inlineStr">
        <is>
          <t>t</t>
        </is>
      </c>
      <c r="H1865" t="n">
        <v>6</v>
      </c>
      <c r="I1865" t="inlineStr">
        <is>
          <t>Dari Kebun luar / Pembelian 34.068 55.741 53.614</t>
        </is>
      </c>
      <c r="J1865" t="inlineStr">
        <is>
          <t>High</t>
        </is>
      </c>
      <c r="M1865" t="inlineStr">
        <is>
          <t>LLM</t>
        </is>
      </c>
      <c r="N1865" t="inlineStr">
        <is>
          <t>2026-04-18</t>
        </is>
      </c>
      <c r="O1865" t="inlineStr">
        <is>
          <t>AI</t>
        </is>
      </c>
    </row>
    <row r="1866">
      <c r="A1866" t="inlineStr">
        <is>
          <t>PT Gozco Plantations Tbk</t>
        </is>
      </c>
      <c r="B1866" t="inlineStr">
        <is>
          <t>GZCO_2022_AR.pdf</t>
        </is>
      </c>
      <c r="C1866" t="n">
        <v>2022</v>
      </c>
      <c r="D1866" t="inlineStr">
        <is>
          <t>Operation</t>
        </is>
      </c>
      <c r="E1866" t="inlineStr">
        <is>
          <t>Total FFB Processed</t>
        </is>
      </c>
      <c r="F1866" t="n">
        <v>210847</v>
      </c>
      <c r="G1866" t="inlineStr">
        <is>
          <t>t</t>
        </is>
      </c>
      <c r="H1866" t="n">
        <v>6</v>
      </c>
      <c r="I1866" t="inlineStr">
        <is>
          <t>Total TBS Tersedia &amp; Diproses 210.847 228.451 180.137</t>
        </is>
      </c>
      <c r="J1866" t="inlineStr">
        <is>
          <t>High</t>
        </is>
      </c>
      <c r="M1866" t="inlineStr">
        <is>
          <t>LLM</t>
        </is>
      </c>
      <c r="N1866" t="inlineStr">
        <is>
          <t>2026-04-18</t>
        </is>
      </c>
      <c r="O1866" t="inlineStr">
        <is>
          <t>AI</t>
        </is>
      </c>
    </row>
    <row r="1867">
      <c r="A1867" t="inlineStr">
        <is>
          <t>PT Gozco Plantations Tbk</t>
        </is>
      </c>
      <c r="B1867" t="inlineStr">
        <is>
          <t>GZCO_2022_AR.pdf</t>
        </is>
      </c>
      <c r="C1867" t="n">
        <v>2022</v>
      </c>
      <c r="D1867" t="inlineStr">
        <is>
          <t>Operation</t>
        </is>
      </c>
      <c r="E1867" t="inlineStr">
        <is>
          <t>FFB Yield (Nucleus)</t>
        </is>
      </c>
      <c r="F1867" t="n">
        <v>14.94</v>
      </c>
      <c r="G1867" t="inlineStr">
        <is>
          <t>t/ha</t>
        </is>
      </c>
      <c r="H1867" t="n">
        <v>6</v>
      </c>
      <c r="I1867" t="inlineStr">
        <is>
          <t>Hasil Panen terhadap Lahan Inti 14,94 14,52 11,46</t>
        </is>
      </c>
      <c r="J1867" t="inlineStr">
        <is>
          <t>High</t>
        </is>
      </c>
      <c r="M1867" t="inlineStr">
        <is>
          <t>LLM</t>
        </is>
      </c>
      <c r="N1867" t="inlineStr">
        <is>
          <t>2026-04-18</t>
        </is>
      </c>
      <c r="O1867" t="inlineStr">
        <is>
          <t>AI</t>
        </is>
      </c>
    </row>
    <row r="1868">
      <c r="A1868" t="inlineStr">
        <is>
          <t>PT Gozco Plantations Tbk</t>
        </is>
      </c>
      <c r="B1868" t="inlineStr">
        <is>
          <t>GZCO_2022_AR.pdf</t>
        </is>
      </c>
      <c r="C1868" t="n">
        <v>2022</v>
      </c>
      <c r="D1868" t="inlineStr">
        <is>
          <t>Operation</t>
        </is>
      </c>
      <c r="E1868" t="inlineStr">
        <is>
          <t>CPO Production</t>
        </is>
      </c>
      <c r="F1868" t="n">
        <v>48841</v>
      </c>
      <c r="G1868" t="inlineStr">
        <is>
          <t>t</t>
        </is>
      </c>
      <c r="H1868" t="n">
        <v>6</v>
      </c>
      <c r="I1868" t="inlineStr">
        <is>
          <t>Minyak Sawit Mentah (CPO) 48.841 50.833 38.889</t>
        </is>
      </c>
      <c r="J1868" t="inlineStr">
        <is>
          <t>High</t>
        </is>
      </c>
      <c r="M1868" t="inlineStr">
        <is>
          <t>LLM</t>
        </is>
      </c>
      <c r="N1868" t="inlineStr">
        <is>
          <t>2026-04-18</t>
        </is>
      </c>
      <c r="O1868" t="inlineStr">
        <is>
          <t>AI</t>
        </is>
      </c>
    </row>
    <row r="1869">
      <c r="A1869" t="inlineStr">
        <is>
          <t>PT Gozco Plantations Tbk</t>
        </is>
      </c>
      <c r="B1869" t="inlineStr">
        <is>
          <t>GZCO_2022_AR.pdf</t>
        </is>
      </c>
      <c r="C1869" t="n">
        <v>2022</v>
      </c>
      <c r="D1869" t="inlineStr">
        <is>
          <t>Operation</t>
        </is>
      </c>
      <c r="E1869" t="inlineStr">
        <is>
          <t>Kernel Production</t>
        </is>
      </c>
      <c r="F1869" t="n">
        <v>9517</v>
      </c>
      <c r="G1869" t="inlineStr">
        <is>
          <t>t</t>
        </is>
      </c>
      <c r="H1869" t="n">
        <v>6</v>
      </c>
      <c r="I1869" t="inlineStr">
        <is>
          <t>Kernel 9.517 10.594 7.895 PK</t>
        </is>
      </c>
      <c r="J1869" t="inlineStr">
        <is>
          <t>High</t>
        </is>
      </c>
      <c r="M1869" t="inlineStr">
        <is>
          <t>LLM</t>
        </is>
      </c>
      <c r="N1869" t="inlineStr">
        <is>
          <t>2026-04-18</t>
        </is>
      </c>
      <c r="O1869" t="inlineStr">
        <is>
          <t>AI</t>
        </is>
      </c>
    </row>
    <row r="1870">
      <c r="A1870" t="inlineStr">
        <is>
          <t>PT Gozco Plantations Tbk</t>
        </is>
      </c>
      <c r="B1870" t="inlineStr">
        <is>
          <t>GZCO_2022_AR.pdf</t>
        </is>
      </c>
      <c r="C1870" t="n">
        <v>2022</v>
      </c>
      <c r="D1870" t="inlineStr">
        <is>
          <t>Operation</t>
        </is>
      </c>
      <c r="E1870" t="inlineStr">
        <is>
          <t>CPO Extraction Rate (OER)</t>
        </is>
      </c>
      <c r="F1870" t="n">
        <v>0.2316</v>
      </c>
      <c r="G1870" t="inlineStr">
        <is>
          <t>%</t>
        </is>
      </c>
      <c r="H1870" t="n">
        <v>6</v>
      </c>
      <c r="I1870" t="inlineStr">
        <is>
          <t>Minyak Sawit Mentah 23,16 22,25 21,59 CPO</t>
        </is>
      </c>
      <c r="J1870" t="inlineStr">
        <is>
          <t>High</t>
        </is>
      </c>
      <c r="M1870" t="inlineStr">
        <is>
          <t>LLM</t>
        </is>
      </c>
      <c r="N1870" t="inlineStr">
        <is>
          <t>2026-04-18</t>
        </is>
      </c>
      <c r="O1870" t="inlineStr">
        <is>
          <t>AI</t>
        </is>
      </c>
    </row>
    <row r="1871">
      <c r="A1871" t="inlineStr">
        <is>
          <t>PT Gozco Plantations Tbk</t>
        </is>
      </c>
      <c r="B1871" t="inlineStr">
        <is>
          <t>GZCO_2022_AR.pdf</t>
        </is>
      </c>
      <c r="C1871" t="n">
        <v>2022</v>
      </c>
      <c r="D1871" t="inlineStr">
        <is>
          <t>Operation</t>
        </is>
      </c>
      <c r="E1871" t="inlineStr">
        <is>
          <t>Kernel Extraction Rate (KER)</t>
        </is>
      </c>
      <c r="F1871" t="n">
        <v>0.0451</v>
      </c>
      <c r="G1871" t="inlineStr">
        <is>
          <t>%</t>
        </is>
      </c>
      <c r="H1871" t="n">
        <v>6</v>
      </c>
      <c r="I1871" t="inlineStr">
        <is>
          <t>Kernel 4,51 4,64 4,38 PK</t>
        </is>
      </c>
      <c r="J1871" t="inlineStr">
        <is>
          <t>High</t>
        </is>
      </c>
      <c r="M1871" t="inlineStr">
        <is>
          <t>LLM</t>
        </is>
      </c>
      <c r="N1871" t="inlineStr">
        <is>
          <t>2026-04-18</t>
        </is>
      </c>
      <c r="O1871" t="inlineStr">
        <is>
          <t>AI</t>
        </is>
      </c>
    </row>
    <row r="1872">
      <c r="A1872" t="inlineStr">
        <is>
          <t>PT Gozco Plantations Tbk</t>
        </is>
      </c>
      <c r="B1872" t="inlineStr">
        <is>
          <t>GZCO_2022_AR.pdf</t>
        </is>
      </c>
      <c r="C1872" t="n">
        <v>2022</v>
      </c>
      <c r="D1872" t="inlineStr">
        <is>
          <t>Operation</t>
        </is>
      </c>
      <c r="E1872" t="inlineStr">
        <is>
          <t>CPO Sales Volume</t>
        </is>
      </c>
      <c r="F1872" t="n">
        <v>38659</v>
      </c>
      <c r="G1872" t="inlineStr">
        <is>
          <t>t</t>
        </is>
      </c>
      <c r="H1872" t="n">
        <v>6</v>
      </c>
      <c r="I1872" t="inlineStr">
        <is>
          <t>Minyak Sawit Mentah 38.659 50.762 38.318 CPO</t>
        </is>
      </c>
      <c r="J1872" t="inlineStr">
        <is>
          <t>High</t>
        </is>
      </c>
      <c r="M1872" t="inlineStr">
        <is>
          <t>LLM</t>
        </is>
      </c>
      <c r="N1872" t="inlineStr">
        <is>
          <t>2026-04-18</t>
        </is>
      </c>
      <c r="O1872" t="inlineStr">
        <is>
          <t>AI</t>
        </is>
      </c>
    </row>
    <row r="1873">
      <c r="A1873" t="inlineStr">
        <is>
          <t>PT Gozco Plantations Tbk</t>
        </is>
      </c>
      <c r="B1873" t="inlineStr">
        <is>
          <t>GZCO_2022_AR.pdf</t>
        </is>
      </c>
      <c r="C1873" t="n">
        <v>2022</v>
      </c>
      <c r="D1873" t="inlineStr">
        <is>
          <t>Operation</t>
        </is>
      </c>
      <c r="E1873" t="inlineStr">
        <is>
          <t>Kernel Sales Volume</t>
        </is>
      </c>
      <c r="F1873" t="n">
        <v>8496</v>
      </c>
      <c r="G1873" t="inlineStr">
        <is>
          <t>t</t>
        </is>
      </c>
      <c r="H1873" t="n">
        <v>6</v>
      </c>
      <c r="I1873" t="inlineStr">
        <is>
          <t>Kernel 8.496 10.541 7.964 PK</t>
        </is>
      </c>
      <c r="J1873" t="inlineStr">
        <is>
          <t>High</t>
        </is>
      </c>
      <c r="M1873" t="inlineStr">
        <is>
          <t>LLM</t>
        </is>
      </c>
      <c r="N1873" t="inlineStr">
        <is>
          <t>2026-04-18</t>
        </is>
      </c>
      <c r="O1873" t="inlineStr">
        <is>
          <t>AI</t>
        </is>
      </c>
    </row>
    <row r="1874">
      <c r="A1874" t="inlineStr">
        <is>
          <t>PT Gozco Plantations Tbk</t>
        </is>
      </c>
      <c r="B1874" t="inlineStr">
        <is>
          <t>GZCO_2022_AR.pdf</t>
        </is>
      </c>
      <c r="C1874" t="n">
        <v>2022</v>
      </c>
      <c r="D1874" t="inlineStr">
        <is>
          <t>Operation</t>
        </is>
      </c>
      <c r="E1874" t="inlineStr">
        <is>
          <t>Avg CPO Selling Price</t>
        </is>
      </c>
      <c r="F1874" t="n">
        <v>11917</v>
      </c>
      <c r="G1874" t="inlineStr">
        <is>
          <t>Rp/kg</t>
        </is>
      </c>
      <c r="H1874" t="n">
        <v>44</v>
      </c>
      <c r="I1874" t="inlineStr">
        <is>
          <t>Minyak Sawit Mentah 11.917 11.902 8.828 CPO</t>
        </is>
      </c>
      <c r="J1874" t="inlineStr">
        <is>
          <t>High</t>
        </is>
      </c>
      <c r="M1874" t="inlineStr">
        <is>
          <t>LLM</t>
        </is>
      </c>
      <c r="N1874" t="inlineStr">
        <is>
          <t>2026-04-18</t>
        </is>
      </c>
      <c r="O1874" t="inlineStr">
        <is>
          <t>AI</t>
        </is>
      </c>
    </row>
    <row r="1875">
      <c r="A1875" t="inlineStr">
        <is>
          <t>PT Gozco Plantations Tbk</t>
        </is>
      </c>
      <c r="B1875" t="inlineStr">
        <is>
          <t>GZCO_2022_AR.pdf</t>
        </is>
      </c>
      <c r="C1875" t="n">
        <v>2022</v>
      </c>
      <c r="D1875" t="inlineStr">
        <is>
          <t>Operation</t>
        </is>
      </c>
      <c r="E1875" t="inlineStr">
        <is>
          <t>Avg Kernel Selling Price</t>
        </is>
      </c>
      <c r="F1875" t="n">
        <v>7567</v>
      </c>
      <c r="G1875" t="inlineStr">
        <is>
          <t>Rp/kg</t>
        </is>
      </c>
      <c r="H1875" t="n">
        <v>44</v>
      </c>
      <c r="I1875" t="inlineStr">
        <is>
          <t>Kernel 7.567 7.474 5.198</t>
        </is>
      </c>
      <c r="J1875" t="inlineStr">
        <is>
          <t>High</t>
        </is>
      </c>
      <c r="M1875" t="inlineStr">
        <is>
          <t>LLM</t>
        </is>
      </c>
      <c r="N1875" t="inlineStr">
        <is>
          <t>2026-04-18</t>
        </is>
      </c>
      <c r="O1875" t="inlineStr">
        <is>
          <t>AI</t>
        </is>
      </c>
    </row>
    <row r="1876">
      <c r="A1876" t="inlineStr">
        <is>
          <t>PT Gozco Plantations Tbk</t>
        </is>
      </c>
      <c r="B1876" t="inlineStr">
        <is>
          <t>GZCO_2022_AR.pdf</t>
        </is>
      </c>
      <c r="C1876" t="n">
        <v>2022</v>
      </c>
      <c r="D1876" t="inlineStr">
        <is>
          <t>Operation</t>
        </is>
      </c>
      <c r="E1876" t="inlineStr">
        <is>
          <t>Avg FFB Selling Price</t>
        </is>
      </c>
      <c r="F1876" t="n">
        <v>2298</v>
      </c>
      <c r="G1876" t="inlineStr">
        <is>
          <t>Rp/kg</t>
        </is>
      </c>
      <c r="H1876" t="n">
        <v>44</v>
      </c>
      <c r="I1876" t="inlineStr">
        <is>
          <t>TBS 2.298 2.299 1.589 FFB</t>
        </is>
      </c>
      <c r="J1876" t="inlineStr">
        <is>
          <t>High</t>
        </is>
      </c>
      <c r="M1876" t="inlineStr">
        <is>
          <t>LLM</t>
        </is>
      </c>
      <c r="N1876" t="inlineStr">
        <is>
          <t>2026-04-18</t>
        </is>
      </c>
      <c r="O1876" t="inlineStr">
        <is>
          <t>AI</t>
        </is>
      </c>
    </row>
    <row r="1877">
      <c r="A1877" t="inlineStr">
        <is>
          <t>PT Gozco Plantations Tbk</t>
        </is>
      </c>
      <c r="B1877" t="inlineStr">
        <is>
          <t>GZCO_2022_AR.pdf</t>
        </is>
      </c>
      <c r="C1877" t="n">
        <v>2022</v>
      </c>
      <c r="D1877" t="inlineStr">
        <is>
          <t>Operation</t>
        </is>
      </c>
      <c r="E1877" t="inlineStr">
        <is>
          <t>Sales Channel</t>
        </is>
      </c>
      <c r="F1877" t="inlineStr">
        <is>
          <t>Domestic (IDR) only</t>
        </is>
      </c>
      <c r="G1877" t="inlineStr">
        <is>
          <t>text</t>
        </is>
      </c>
      <c r="H1877" t="n">
        <v>45</v>
      </c>
      <c r="I1877" t="inlineStr">
        <is>
          <t>Semua penjualan CPO maupun kernel dilakukan dalam satuan rupiah</t>
        </is>
      </c>
      <c r="J1877" t="inlineStr">
        <is>
          <t>High</t>
        </is>
      </c>
      <c r="M1877" t="inlineStr">
        <is>
          <t>LLM</t>
        </is>
      </c>
      <c r="N1877" t="inlineStr">
        <is>
          <t>2026-04-18</t>
        </is>
      </c>
      <c r="O1877" t="inlineStr">
        <is>
          <t>AI</t>
        </is>
      </c>
    </row>
    <row r="1878">
      <c r="A1878" t="inlineStr">
        <is>
          <t>PT Gozco Plantations Tbk</t>
        </is>
      </c>
      <c r="B1878" t="inlineStr">
        <is>
          <t>GZCO_2022_AR.pdf</t>
        </is>
      </c>
      <c r="C1878" t="n">
        <v>2022</v>
      </c>
      <c r="D1878" t="inlineStr">
        <is>
          <t>Other</t>
        </is>
      </c>
      <c r="E1878" t="inlineStr">
        <is>
          <t>President Commissioner</t>
        </is>
      </c>
      <c r="F1878" t="inlineStr">
        <is>
          <t>Tjandra Mindharta Gozali</t>
        </is>
      </c>
      <c r="G1878" t="inlineStr">
        <is>
          <t>text</t>
        </is>
      </c>
      <c r="H1878" t="n">
        <v>22</v>
      </c>
      <c r="I1878" t="inlineStr">
        <is>
          <t>Tjandra Mindharta Gozali President Commissioner</t>
        </is>
      </c>
      <c r="J1878" t="inlineStr">
        <is>
          <t>High</t>
        </is>
      </c>
      <c r="M1878" t="inlineStr">
        <is>
          <t>LLM</t>
        </is>
      </c>
      <c r="N1878" t="inlineStr">
        <is>
          <t>2026-04-18</t>
        </is>
      </c>
      <c r="O1878" t="inlineStr">
        <is>
          <t>AI</t>
        </is>
      </c>
    </row>
    <row r="1879">
      <c r="A1879" t="inlineStr">
        <is>
          <t>PT Gozco Plantations Tbk</t>
        </is>
      </c>
      <c r="B1879" t="inlineStr">
        <is>
          <t>GZCO_2022_AR.pdf</t>
        </is>
      </c>
      <c r="C1879" t="n">
        <v>2022</v>
      </c>
      <c r="D1879" t="inlineStr">
        <is>
          <t>Other</t>
        </is>
      </c>
      <c r="E1879" t="inlineStr">
        <is>
          <t>President Director</t>
        </is>
      </c>
      <c r="F1879" t="inlineStr">
        <is>
          <t>Kreisna Dewantara Gozali</t>
        </is>
      </c>
      <c r="G1879" t="inlineStr">
        <is>
          <t>text</t>
        </is>
      </c>
      <c r="H1879" t="n">
        <v>16</v>
      </c>
      <c r="I1879" t="inlineStr">
        <is>
          <t>Kreisna Dewantara Gozali President Director</t>
        </is>
      </c>
      <c r="J1879" t="inlineStr">
        <is>
          <t>High</t>
        </is>
      </c>
      <c r="M1879" t="inlineStr">
        <is>
          <t>LLM</t>
        </is>
      </c>
      <c r="N1879" t="inlineStr">
        <is>
          <t>2026-04-18</t>
        </is>
      </c>
      <c r="O1879" t="inlineStr">
        <is>
          <t>AI</t>
        </is>
      </c>
    </row>
    <row r="1880">
      <c r="A1880" t="inlineStr">
        <is>
          <t>PT Gozco Plantations Tbk</t>
        </is>
      </c>
      <c r="B1880" t="inlineStr">
        <is>
          <t>GZCO_2023_AR.pdf</t>
        </is>
      </c>
      <c r="C1880" t="n">
        <v>2023</v>
      </c>
      <c r="D1880" t="inlineStr">
        <is>
          <t>Company</t>
        </is>
      </c>
      <c r="E1880" t="inlineStr">
        <is>
          <t>Company Name</t>
        </is>
      </c>
      <c r="F1880" t="inlineStr">
        <is>
          <t>PT Gozco Plantations Tbk</t>
        </is>
      </c>
      <c r="G1880" t="inlineStr">
        <is>
          <t>text</t>
        </is>
      </c>
      <c r="H1880" t="n">
        <v>29</v>
      </c>
      <c r="I1880" t="inlineStr">
        <is>
          <t>PT Gozco Plantations Tbk (dahulu PT Surya Gemilang Sentosa)</t>
        </is>
      </c>
      <c r="J1880" t="inlineStr">
        <is>
          <t>High</t>
        </is>
      </c>
      <c r="M1880" t="inlineStr">
        <is>
          <t>LLM</t>
        </is>
      </c>
      <c r="N1880" t="inlineStr">
        <is>
          <t>2026-04-18</t>
        </is>
      </c>
      <c r="O1880" t="inlineStr">
        <is>
          <t>AI</t>
        </is>
      </c>
    </row>
    <row r="1881">
      <c r="A1881" t="inlineStr">
        <is>
          <t>PT Gozco Plantations Tbk</t>
        </is>
      </c>
      <c r="B1881" t="inlineStr">
        <is>
          <t>GZCO_2023_AR.pdf</t>
        </is>
      </c>
      <c r="C1881" t="n">
        <v>2023</v>
      </c>
      <c r="D1881" t="inlineStr">
        <is>
          <t>Company</t>
        </is>
      </c>
      <c r="E1881" t="inlineStr">
        <is>
          <t>Controlling Shareholder</t>
        </is>
      </c>
      <c r="F1881" t="inlineStr">
        <is>
          <t>PT Golden Zaga Indonesia 28.37%</t>
        </is>
      </c>
      <c r="G1881" t="inlineStr">
        <is>
          <t>%</t>
        </is>
      </c>
      <c r="H1881" t="n">
        <v>10</v>
      </c>
      <c r="I1881" t="inlineStr">
        <is>
          <t>PT. Golden Zaga Indonesia 1.702.000.000 170.200.000.000 28,37%</t>
        </is>
      </c>
      <c r="J1881" t="inlineStr">
        <is>
          <t>High</t>
        </is>
      </c>
      <c r="M1881" t="inlineStr">
        <is>
          <t>LLM</t>
        </is>
      </c>
      <c r="N1881" t="inlineStr">
        <is>
          <t>2026-04-18</t>
        </is>
      </c>
      <c r="O1881" t="inlineStr">
        <is>
          <t>AI</t>
        </is>
      </c>
    </row>
    <row r="1882">
      <c r="A1882" t="inlineStr">
        <is>
          <t>PT Gozco Plantations Tbk</t>
        </is>
      </c>
      <c r="B1882" t="inlineStr">
        <is>
          <t>GZCO_2023_AR.pdf</t>
        </is>
      </c>
      <c r="C1882" t="n">
        <v>2023</v>
      </c>
      <c r="D1882" t="inlineStr">
        <is>
          <t>Company</t>
        </is>
      </c>
      <c r="E1882" t="inlineStr">
        <is>
          <t>Second Shareholder</t>
        </is>
      </c>
      <c r="F1882" t="inlineStr">
        <is>
          <t>Tjandra Mindharta Gozali 26.37%</t>
        </is>
      </c>
      <c r="G1882" t="inlineStr">
        <is>
          <t>%</t>
        </is>
      </c>
      <c r="H1882" t="n">
        <v>10</v>
      </c>
      <c r="I1882" t="inlineStr">
        <is>
          <t>Tjandra Mindharta Gozali 1.581.972.000 158.197.200.000 26,37%</t>
        </is>
      </c>
      <c r="J1882" t="inlineStr">
        <is>
          <t>High</t>
        </is>
      </c>
      <c r="M1882" t="inlineStr">
        <is>
          <t>LLM</t>
        </is>
      </c>
      <c r="N1882" t="inlineStr">
        <is>
          <t>2026-04-18</t>
        </is>
      </c>
      <c r="O1882" t="inlineStr">
        <is>
          <t>AI</t>
        </is>
      </c>
    </row>
    <row r="1883">
      <c r="A1883" t="inlineStr">
        <is>
          <t>PT Gozco Plantations Tbk</t>
        </is>
      </c>
      <c r="B1883" t="inlineStr">
        <is>
          <t>GZCO_2023_AR.pdf</t>
        </is>
      </c>
      <c r="C1883" t="n">
        <v>2023</v>
      </c>
      <c r="D1883" t="inlineStr">
        <is>
          <t>Company</t>
        </is>
      </c>
      <c r="E1883" t="inlineStr">
        <is>
          <t>Public Float</t>
        </is>
      </c>
      <c r="F1883" t="n">
        <v>0.3511</v>
      </c>
      <c r="G1883" t="inlineStr">
        <is>
          <t>%</t>
        </is>
      </c>
      <c r="H1883" t="n">
        <v>10</v>
      </c>
      <c r="I1883" t="inlineStr">
        <is>
          <t>Masyarakat dibawah 5% 2.106.656.500 210.665.650.000 35,11%</t>
        </is>
      </c>
      <c r="J1883" t="inlineStr">
        <is>
          <t>High</t>
        </is>
      </c>
      <c r="M1883" t="inlineStr">
        <is>
          <t>LLM</t>
        </is>
      </c>
      <c r="N1883" t="inlineStr">
        <is>
          <t>2026-04-18</t>
        </is>
      </c>
      <c r="O1883" t="inlineStr">
        <is>
          <t>AI</t>
        </is>
      </c>
    </row>
    <row r="1884">
      <c r="A1884" t="inlineStr">
        <is>
          <t>PT Gozco Plantations Tbk</t>
        </is>
      </c>
      <c r="B1884" t="inlineStr">
        <is>
          <t>GZCO_2023_AR.pdf</t>
        </is>
      </c>
      <c r="C1884" t="n">
        <v>2023</v>
      </c>
      <c r="D1884" t="inlineStr">
        <is>
          <t>Company</t>
        </is>
      </c>
      <c r="E1884" t="inlineStr">
        <is>
          <t>Number of Shareholders</t>
        </is>
      </c>
      <c r="F1884" t="n">
        <v>21335</v>
      </c>
      <c r="G1884" t="inlineStr">
        <is>
          <t>count</t>
        </is>
      </c>
      <c r="H1884" t="n">
        <v>10</v>
      </c>
      <c r="I1884" t="inlineStr">
        <is>
          <t>Pemegang saham Perseroan per akhir tahun 2023 sebanyak 21.335 pemegang saham</t>
        </is>
      </c>
      <c r="J1884" t="inlineStr">
        <is>
          <t>High</t>
        </is>
      </c>
      <c r="M1884" t="inlineStr">
        <is>
          <t>LLM</t>
        </is>
      </c>
      <c r="N1884" t="inlineStr">
        <is>
          <t>2026-04-18</t>
        </is>
      </c>
      <c r="O1884" t="inlineStr">
        <is>
          <t>AI</t>
        </is>
      </c>
    </row>
    <row r="1885">
      <c r="A1885" t="inlineStr">
        <is>
          <t>PT Gozco Plantations Tbk</t>
        </is>
      </c>
      <c r="B1885" t="inlineStr">
        <is>
          <t>GZCO_2023_AR.pdf</t>
        </is>
      </c>
      <c r="C1885" t="n">
        <v>2023</v>
      </c>
      <c r="D1885" t="inlineStr">
        <is>
          <t>Company</t>
        </is>
      </c>
      <c r="E1885" t="inlineStr">
        <is>
          <t>Subsidiaries (operational)</t>
        </is>
      </c>
      <c r="F1885" t="inlineStr">
        <is>
          <t>Suryabumi, Cahya Vidi, Telaga Sari, Pemdas</t>
        </is>
      </c>
      <c r="G1885" t="inlineStr">
        <is>
          <t>text</t>
        </is>
      </c>
      <c r="H1885" t="n">
        <v>31</v>
      </c>
      <c r="I1885" t="inlineStr">
        <is>
          <t>Sampai dengan akhir tahun 2023, Entitas anak Suryabumi, Cahya Vidi, Telaga Sari, dan Pemdas dalam status operasi</t>
        </is>
      </c>
      <c r="J1885" t="inlineStr">
        <is>
          <t>High</t>
        </is>
      </c>
      <c r="M1885" t="inlineStr">
        <is>
          <t>LLM</t>
        </is>
      </c>
      <c r="N1885" t="inlineStr">
        <is>
          <t>2026-04-18</t>
        </is>
      </c>
      <c r="O1885" t="inlineStr">
        <is>
          <t>AI</t>
        </is>
      </c>
    </row>
    <row r="1886">
      <c r="A1886" t="inlineStr">
        <is>
          <t>PT Gozco Plantations Tbk</t>
        </is>
      </c>
      <c r="B1886" t="inlineStr">
        <is>
          <t>GZCO_2023_AR.pdf</t>
        </is>
      </c>
      <c r="C1886" t="n">
        <v>2023</v>
      </c>
      <c r="D1886" t="inlineStr">
        <is>
          <t>Financial</t>
        </is>
      </c>
      <c r="E1886" t="inlineStr">
        <is>
          <t>Revenue (Sales)</t>
        </is>
      </c>
      <c r="F1886" t="n">
        <v>744.3</v>
      </c>
      <c r="G1886" t="inlineStr">
        <is>
          <t>IDR bn</t>
        </is>
      </c>
      <c r="H1886" t="n">
        <v>8</v>
      </c>
      <c r="I1886" t="inlineStr">
        <is>
          <t>Penjualan 744.266 554.721 707.102 Sales (Rp Juta)</t>
        </is>
      </c>
      <c r="J1886" t="inlineStr">
        <is>
          <t>High</t>
        </is>
      </c>
      <c r="M1886" t="inlineStr">
        <is>
          <t>LLM</t>
        </is>
      </c>
      <c r="N1886" t="inlineStr">
        <is>
          <t>2026-04-18</t>
        </is>
      </c>
      <c r="O1886" t="inlineStr">
        <is>
          <t>AI</t>
        </is>
      </c>
    </row>
    <row r="1887">
      <c r="A1887" t="inlineStr">
        <is>
          <t>PT Gozco Plantations Tbk</t>
        </is>
      </c>
      <c r="B1887" t="inlineStr">
        <is>
          <t>GZCO_2023_AR.pdf</t>
        </is>
      </c>
      <c r="C1887" t="n">
        <v>2023</v>
      </c>
      <c r="D1887" t="inlineStr">
        <is>
          <t>Financial</t>
        </is>
      </c>
      <c r="E1887" t="inlineStr">
        <is>
          <t>Revenue from CPO</t>
        </is>
      </c>
      <c r="F1887" t="n">
        <v>659</v>
      </c>
      <c r="G1887" t="inlineStr">
        <is>
          <t>IDR bn</t>
        </is>
      </c>
      <c r="H1887" t="n">
        <v>44</v>
      </c>
      <c r="I1887" t="inlineStr">
        <is>
          <t>Minyak Sawit Mentah 658.953 460.697 604.177 CPO</t>
        </is>
      </c>
      <c r="J1887" t="inlineStr">
        <is>
          <t>High</t>
        </is>
      </c>
      <c r="M1887" t="inlineStr">
        <is>
          <t>LLM</t>
        </is>
      </c>
      <c r="N1887" t="inlineStr">
        <is>
          <t>2026-04-18</t>
        </is>
      </c>
      <c r="O1887" t="inlineStr">
        <is>
          <t>AI</t>
        </is>
      </c>
    </row>
    <row r="1888">
      <c r="A1888" t="inlineStr">
        <is>
          <t>PT Gozco Plantations Tbk</t>
        </is>
      </c>
      <c r="B1888" t="inlineStr">
        <is>
          <t>GZCO_2023_AR.pdf</t>
        </is>
      </c>
      <c r="C1888" t="n">
        <v>2023</v>
      </c>
      <c r="D1888" t="inlineStr">
        <is>
          <t>Financial</t>
        </is>
      </c>
      <c r="E1888" t="inlineStr">
        <is>
          <t>Revenue from Kernel</t>
        </is>
      </c>
      <c r="F1888" t="n">
        <v>62.1</v>
      </c>
      <c r="G1888" t="inlineStr">
        <is>
          <t>IDR bn</t>
        </is>
      </c>
      <c r="H1888" t="n">
        <v>44</v>
      </c>
      <c r="I1888" t="inlineStr">
        <is>
          <t>Kernel 62.107 64.284 78.784 PK</t>
        </is>
      </c>
      <c r="J1888" t="inlineStr">
        <is>
          <t>High</t>
        </is>
      </c>
      <c r="M1888" t="inlineStr">
        <is>
          <t>LLM</t>
        </is>
      </c>
      <c r="N1888" t="inlineStr">
        <is>
          <t>2026-04-18</t>
        </is>
      </c>
      <c r="O1888" t="inlineStr">
        <is>
          <t>AI</t>
        </is>
      </c>
    </row>
    <row r="1889">
      <c r="A1889" t="inlineStr">
        <is>
          <t>PT Gozco Plantations Tbk</t>
        </is>
      </c>
      <c r="B1889" t="inlineStr">
        <is>
          <t>GZCO_2023_AR.pdf</t>
        </is>
      </c>
      <c r="C1889" t="n">
        <v>2023</v>
      </c>
      <c r="D1889" t="inlineStr">
        <is>
          <t>Financial</t>
        </is>
      </c>
      <c r="E1889" t="inlineStr">
        <is>
          <t>Revenue from FFB</t>
        </is>
      </c>
      <c r="F1889" t="n">
        <v>23.2</v>
      </c>
      <c r="G1889" t="inlineStr">
        <is>
          <t>IDR bn</t>
        </is>
      </c>
      <c r="H1889" t="n">
        <v>44</v>
      </c>
      <c r="I1889" t="inlineStr">
        <is>
          <t>TBS 23.206 29.740 24.141 FFB</t>
        </is>
      </c>
      <c r="J1889" t="inlineStr">
        <is>
          <t>High</t>
        </is>
      </c>
      <c r="M1889" t="inlineStr">
        <is>
          <t>LLM</t>
        </is>
      </c>
      <c r="N1889" t="inlineStr">
        <is>
          <t>2026-04-18</t>
        </is>
      </c>
      <c r="O1889" t="inlineStr">
        <is>
          <t>AI</t>
        </is>
      </c>
    </row>
    <row r="1890">
      <c r="A1890" t="inlineStr">
        <is>
          <t>PT Gozco Plantations Tbk</t>
        </is>
      </c>
      <c r="B1890" t="inlineStr">
        <is>
          <t>GZCO_2023_AR.pdf</t>
        </is>
      </c>
      <c r="C1890" t="n">
        <v>2023</v>
      </c>
      <c r="D1890" t="inlineStr">
        <is>
          <t>Financial</t>
        </is>
      </c>
      <c r="E1890" t="inlineStr">
        <is>
          <t>Cost of Goods Sold</t>
        </is>
      </c>
      <c r="F1890" t="n">
        <v>650.7</v>
      </c>
      <c r="G1890" t="inlineStr">
        <is>
          <t>IDR bn</t>
        </is>
      </c>
      <c r="H1890" t="n">
        <v>46</v>
      </c>
      <c r="I1890" t="inlineStr">
        <is>
          <t>Beban Pokok Penjualan 650.681 432.191 (Rp Juta)</t>
        </is>
      </c>
      <c r="J1890" t="inlineStr">
        <is>
          <t>High</t>
        </is>
      </c>
      <c r="M1890" t="inlineStr">
        <is>
          <t>LLM</t>
        </is>
      </c>
      <c r="N1890" t="inlineStr">
        <is>
          <t>2026-04-18</t>
        </is>
      </c>
      <c r="O1890" t="inlineStr">
        <is>
          <t>AI</t>
        </is>
      </c>
    </row>
    <row r="1891">
      <c r="A1891" t="inlineStr">
        <is>
          <t>PT Gozco Plantations Tbk</t>
        </is>
      </c>
      <c r="B1891" t="inlineStr">
        <is>
          <t>GZCO_2023_AR.pdf</t>
        </is>
      </c>
      <c r="C1891" t="n">
        <v>2023</v>
      </c>
      <c r="D1891" t="inlineStr">
        <is>
          <t>Financial</t>
        </is>
      </c>
      <c r="E1891" t="inlineStr">
        <is>
          <t>Gross Profit</t>
        </is>
      </c>
      <c r="F1891" t="n">
        <v>93.59999999999999</v>
      </c>
      <c r="G1891" t="inlineStr">
        <is>
          <t>IDR bn</t>
        </is>
      </c>
      <c r="H1891" t="n">
        <v>8</v>
      </c>
      <c r="I1891" t="inlineStr">
        <is>
          <t>Laba (Rugi) Kotor 93.585 122.530 67.558</t>
        </is>
      </c>
      <c r="J1891" t="inlineStr">
        <is>
          <t>High</t>
        </is>
      </c>
      <c r="M1891" t="inlineStr">
        <is>
          <t>LLM</t>
        </is>
      </c>
      <c r="N1891" t="inlineStr">
        <is>
          <t>2026-04-18</t>
        </is>
      </c>
      <c r="O1891" t="inlineStr">
        <is>
          <t>AI</t>
        </is>
      </c>
    </row>
    <row r="1892">
      <c r="A1892" t="inlineStr">
        <is>
          <t>PT Gozco Plantations Tbk</t>
        </is>
      </c>
      <c r="B1892" t="inlineStr">
        <is>
          <t>GZCO_2023_AR.pdf</t>
        </is>
      </c>
      <c r="C1892" t="n">
        <v>2023</v>
      </c>
      <c r="D1892" t="inlineStr">
        <is>
          <t>Financial</t>
        </is>
      </c>
      <c r="E1892" t="inlineStr">
        <is>
          <t>EBIT</t>
        </is>
      </c>
      <c r="F1892" t="n">
        <v>44.4</v>
      </c>
      <c r="G1892" t="inlineStr">
        <is>
          <t>IDR bn</t>
        </is>
      </c>
      <c r="H1892" t="n">
        <v>8</v>
      </c>
      <c r="I1892" t="inlineStr">
        <is>
          <t>EBIT 44.427 136.889 57.824</t>
        </is>
      </c>
      <c r="J1892" t="inlineStr">
        <is>
          <t>High</t>
        </is>
      </c>
      <c r="M1892" t="inlineStr">
        <is>
          <t>LLM</t>
        </is>
      </c>
      <c r="N1892" t="inlineStr">
        <is>
          <t>2026-04-18</t>
        </is>
      </c>
      <c r="O1892" t="inlineStr">
        <is>
          <t>AI</t>
        </is>
      </c>
    </row>
    <row r="1893">
      <c r="A1893" t="inlineStr">
        <is>
          <t>PT Gozco Plantations Tbk</t>
        </is>
      </c>
      <c r="B1893" t="inlineStr">
        <is>
          <t>GZCO_2023_AR.pdf</t>
        </is>
      </c>
      <c r="C1893" t="n">
        <v>2023</v>
      </c>
      <c r="D1893" t="inlineStr">
        <is>
          <t>Financial</t>
        </is>
      </c>
      <c r="E1893" t="inlineStr">
        <is>
          <t>EBITDA</t>
        </is>
      </c>
      <c r="F1893" t="n">
        <v>169.2</v>
      </c>
      <c r="G1893" t="inlineStr">
        <is>
          <t>IDR bn</t>
        </is>
      </c>
      <c r="H1893" t="n">
        <v>8</v>
      </c>
      <c r="I1893" t="inlineStr">
        <is>
          <t>EBITDA 169.224 305.758 300.976</t>
        </is>
      </c>
      <c r="J1893" t="inlineStr">
        <is>
          <t>High</t>
        </is>
      </c>
      <c r="M1893" t="inlineStr">
        <is>
          <t>LLM</t>
        </is>
      </c>
      <c r="N1893" t="inlineStr">
        <is>
          <t>2026-04-18</t>
        </is>
      </c>
      <c r="O1893" t="inlineStr">
        <is>
          <t>AI</t>
        </is>
      </c>
    </row>
    <row r="1894">
      <c r="A1894" t="inlineStr">
        <is>
          <t>PT Gozco Plantations Tbk</t>
        </is>
      </c>
      <c r="B1894" t="inlineStr">
        <is>
          <t>GZCO_2023_AR.pdf</t>
        </is>
      </c>
      <c r="C1894" t="n">
        <v>2023</v>
      </c>
      <c r="D1894" t="inlineStr">
        <is>
          <t>Financial</t>
        </is>
      </c>
      <c r="E1894" t="inlineStr">
        <is>
          <t>Net Profit</t>
        </is>
      </c>
      <c r="F1894" t="n">
        <v>2.4</v>
      </c>
      <c r="G1894" t="inlineStr">
        <is>
          <t>IDR bn</t>
        </is>
      </c>
      <c r="H1894" t="n">
        <v>8</v>
      </c>
      <c r="I1894" t="inlineStr">
        <is>
          <t>Laba (Rugi) Bersih 2.386 75.818 14.269</t>
        </is>
      </c>
      <c r="J1894" t="inlineStr">
        <is>
          <t>High</t>
        </is>
      </c>
      <c r="M1894" t="inlineStr">
        <is>
          <t>LLM</t>
        </is>
      </c>
      <c r="N1894" t="inlineStr">
        <is>
          <t>2026-04-18</t>
        </is>
      </c>
      <c r="O1894" t="inlineStr">
        <is>
          <t>AI</t>
        </is>
      </c>
    </row>
    <row r="1895">
      <c r="A1895" t="inlineStr">
        <is>
          <t>PT Gozco Plantations Tbk</t>
        </is>
      </c>
      <c r="B1895" t="inlineStr">
        <is>
          <t>GZCO_2023_AR.pdf</t>
        </is>
      </c>
      <c r="C1895" t="n">
        <v>2023</v>
      </c>
      <c r="D1895" t="inlineStr">
        <is>
          <t>Financial</t>
        </is>
      </c>
      <c r="E1895" t="inlineStr">
        <is>
          <t>Profit Attributable to Parent</t>
        </is>
      </c>
      <c r="F1895" t="n">
        <v>2.1</v>
      </c>
      <c r="G1895" t="inlineStr">
        <is>
          <t>IDR bn</t>
        </is>
      </c>
      <c r="H1895" t="n">
        <v>8</v>
      </c>
      <c r="I1895" t="inlineStr">
        <is>
          <t>L(R) Net Distbrib.ke Pengendali 2.141 75.634 13.547</t>
        </is>
      </c>
      <c r="J1895" t="inlineStr">
        <is>
          <t>High</t>
        </is>
      </c>
      <c r="M1895" t="inlineStr">
        <is>
          <t>LLM</t>
        </is>
      </c>
      <c r="N1895" t="inlineStr">
        <is>
          <t>2026-04-18</t>
        </is>
      </c>
      <c r="O1895" t="inlineStr">
        <is>
          <t>AI</t>
        </is>
      </c>
    </row>
    <row r="1896">
      <c r="A1896" t="inlineStr">
        <is>
          <t>PT Gozco Plantations Tbk</t>
        </is>
      </c>
      <c r="B1896" t="inlineStr">
        <is>
          <t>GZCO_2023_AR.pdf</t>
        </is>
      </c>
      <c r="C1896" t="n">
        <v>2023</v>
      </c>
      <c r="D1896" t="inlineStr">
        <is>
          <t>Financial</t>
        </is>
      </c>
      <c r="E1896" t="inlineStr">
        <is>
          <t>Comprehensive Income</t>
        </is>
      </c>
      <c r="F1896" t="n">
        <v>15.7</v>
      </c>
      <c r="G1896" t="inlineStr">
        <is>
          <t>IDR bn</t>
        </is>
      </c>
      <c r="H1896" t="n">
        <v>8</v>
      </c>
      <c r="I1896" t="inlineStr">
        <is>
          <t>Laba (Rugi) - Komprehensif 15.730 76.920 52.794</t>
        </is>
      </c>
      <c r="J1896" t="inlineStr">
        <is>
          <t>High</t>
        </is>
      </c>
      <c r="M1896" t="inlineStr">
        <is>
          <t>LLM</t>
        </is>
      </c>
      <c r="N1896" t="inlineStr">
        <is>
          <t>2026-04-18</t>
        </is>
      </c>
      <c r="O1896" t="inlineStr">
        <is>
          <t>AI</t>
        </is>
      </c>
    </row>
    <row r="1897">
      <c r="A1897" t="inlineStr">
        <is>
          <t>PT Gozco Plantations Tbk</t>
        </is>
      </c>
      <c r="B1897" t="inlineStr">
        <is>
          <t>GZCO_2023_AR.pdf</t>
        </is>
      </c>
      <c r="C1897" t="n">
        <v>2023</v>
      </c>
      <c r="D1897" t="inlineStr">
        <is>
          <t>Financial</t>
        </is>
      </c>
      <c r="E1897" t="inlineStr">
        <is>
          <t>Total Assets</t>
        </is>
      </c>
      <c r="F1897" t="n">
        <v>2118.2</v>
      </c>
      <c r="G1897" t="inlineStr">
        <is>
          <t>IDR bn</t>
        </is>
      </c>
      <c r="H1897" t="n">
        <v>8</v>
      </c>
      <c r="I1897" t="inlineStr">
        <is>
          <t>Total Aset 2.118.200 2.045.406 2.034.452</t>
        </is>
      </c>
      <c r="J1897" t="inlineStr">
        <is>
          <t>High</t>
        </is>
      </c>
      <c r="M1897" t="inlineStr">
        <is>
          <t>LLM</t>
        </is>
      </c>
      <c r="N1897" t="inlineStr">
        <is>
          <t>2026-04-18</t>
        </is>
      </c>
      <c r="O1897" t="inlineStr">
        <is>
          <t>AI</t>
        </is>
      </c>
    </row>
    <row r="1898">
      <c r="A1898" t="inlineStr">
        <is>
          <t>PT Gozco Plantations Tbk</t>
        </is>
      </c>
      <c r="B1898" t="inlineStr">
        <is>
          <t>GZCO_2023_AR.pdf</t>
        </is>
      </c>
      <c r="C1898" t="n">
        <v>2023</v>
      </c>
      <c r="D1898" t="inlineStr">
        <is>
          <t>Financial</t>
        </is>
      </c>
      <c r="E1898" t="inlineStr">
        <is>
          <t>Plantation Assets</t>
        </is>
      </c>
      <c r="F1898" t="n">
        <v>788.4</v>
      </c>
      <c r="G1898" t="inlineStr">
        <is>
          <t>IDR bn</t>
        </is>
      </c>
      <c r="H1898" t="n">
        <v>8</v>
      </c>
      <c r="I1898" t="inlineStr">
        <is>
          <t>Aset Tanaman 788.388 865.202 1.011.029</t>
        </is>
      </c>
      <c r="J1898" t="inlineStr">
        <is>
          <t>High</t>
        </is>
      </c>
      <c r="M1898" t="inlineStr">
        <is>
          <t>LLM</t>
        </is>
      </c>
      <c r="N1898" t="inlineStr">
        <is>
          <t>2026-04-18</t>
        </is>
      </c>
      <c r="O1898" t="inlineStr">
        <is>
          <t>AI</t>
        </is>
      </c>
    </row>
    <row r="1899">
      <c r="A1899" t="inlineStr">
        <is>
          <t>PT Gozco Plantations Tbk</t>
        </is>
      </c>
      <c r="B1899" t="inlineStr">
        <is>
          <t>GZCO_2023_AR.pdf</t>
        </is>
      </c>
      <c r="C1899" t="n">
        <v>2023</v>
      </c>
      <c r="D1899" t="inlineStr">
        <is>
          <t>Financial</t>
        </is>
      </c>
      <c r="E1899" t="inlineStr">
        <is>
          <t>Fixed Assets</t>
        </is>
      </c>
      <c r="F1899" t="n">
        <v>514.6</v>
      </c>
      <c r="G1899" t="inlineStr">
        <is>
          <t>IDR bn</t>
        </is>
      </c>
      <c r="H1899" t="n">
        <v>8</v>
      </c>
      <c r="I1899" t="inlineStr">
        <is>
          <t>Aset Tetap 514.556 494.657 469.818</t>
        </is>
      </c>
      <c r="J1899" t="inlineStr">
        <is>
          <t>High</t>
        </is>
      </c>
      <c r="M1899" t="inlineStr">
        <is>
          <t>LLM</t>
        </is>
      </c>
      <c r="N1899" t="inlineStr">
        <is>
          <t>2026-04-18</t>
        </is>
      </c>
      <c r="O1899" t="inlineStr">
        <is>
          <t>AI</t>
        </is>
      </c>
    </row>
    <row r="1900">
      <c r="A1900" t="inlineStr">
        <is>
          <t>PT Gozco Plantations Tbk</t>
        </is>
      </c>
      <c r="B1900" t="inlineStr">
        <is>
          <t>GZCO_2023_AR.pdf</t>
        </is>
      </c>
      <c r="C1900" t="n">
        <v>2023</v>
      </c>
      <c r="D1900" t="inlineStr">
        <is>
          <t>Financial</t>
        </is>
      </c>
      <c r="E1900" t="inlineStr">
        <is>
          <t>Cash &amp; Cash Equivalents</t>
        </is>
      </c>
      <c r="F1900" t="n">
        <v>355.4</v>
      </c>
      <c r="G1900" t="inlineStr">
        <is>
          <t>IDR bn</t>
        </is>
      </c>
      <c r="H1900" t="n">
        <v>8</v>
      </c>
      <c r="I1900" t="inlineStr">
        <is>
          <t>Kas &amp; Setara Kas 355.355 235.210 240.620</t>
        </is>
      </c>
      <c r="J1900" t="inlineStr">
        <is>
          <t>High</t>
        </is>
      </c>
      <c r="M1900" t="inlineStr">
        <is>
          <t>LLM</t>
        </is>
      </c>
      <c r="N1900" t="inlineStr">
        <is>
          <t>2026-04-18</t>
        </is>
      </c>
      <c r="O1900" t="inlineStr">
        <is>
          <t>AI</t>
        </is>
      </c>
    </row>
    <row r="1901">
      <c r="A1901" t="inlineStr">
        <is>
          <t>PT Gozco Plantations Tbk</t>
        </is>
      </c>
      <c r="B1901" t="inlineStr">
        <is>
          <t>GZCO_2023_AR.pdf</t>
        </is>
      </c>
      <c r="C1901" t="n">
        <v>2023</v>
      </c>
      <c r="D1901" t="inlineStr">
        <is>
          <t>Financial</t>
        </is>
      </c>
      <c r="E1901" t="inlineStr">
        <is>
          <t>Net Working Capital</t>
        </is>
      </c>
      <c r="F1901" t="n">
        <v>227</v>
      </c>
      <c r="G1901" t="inlineStr">
        <is>
          <t>IDR bn</t>
        </is>
      </c>
      <c r="H1901" t="n">
        <v>8</v>
      </c>
      <c r="I1901" t="inlineStr">
        <is>
          <t>Modal Kerja Bersih 226.954 986 (36.947)</t>
        </is>
      </c>
      <c r="J1901" t="inlineStr">
        <is>
          <t>High</t>
        </is>
      </c>
      <c r="M1901" t="inlineStr">
        <is>
          <t>LLM</t>
        </is>
      </c>
      <c r="N1901" t="inlineStr">
        <is>
          <t>2026-04-18</t>
        </is>
      </c>
      <c r="O1901" t="inlineStr">
        <is>
          <t>AI</t>
        </is>
      </c>
    </row>
    <row r="1902">
      <c r="A1902" t="inlineStr">
        <is>
          <t>PT Gozco Plantations Tbk</t>
        </is>
      </c>
      <c r="B1902" t="inlineStr">
        <is>
          <t>GZCO_2023_AR.pdf</t>
        </is>
      </c>
      <c r="C1902" t="n">
        <v>2023</v>
      </c>
      <c r="D1902" t="inlineStr">
        <is>
          <t>Financial</t>
        </is>
      </c>
      <c r="E1902" t="inlineStr">
        <is>
          <t>Current Liabilities</t>
        </is>
      </c>
      <c r="F1902" t="n">
        <v>345.4</v>
      </c>
      <c r="G1902" t="inlineStr">
        <is>
          <t>IDR bn</t>
        </is>
      </c>
      <c r="H1902" t="n">
        <v>8</v>
      </c>
      <c r="I1902" t="inlineStr">
        <is>
          <t>Liabilitas Lancar 345.366 455.883 355.108</t>
        </is>
      </c>
      <c r="J1902" t="inlineStr">
        <is>
          <t>High</t>
        </is>
      </c>
      <c r="M1902" t="inlineStr">
        <is>
          <t>LLM</t>
        </is>
      </c>
      <c r="N1902" t="inlineStr">
        <is>
          <t>2026-04-18</t>
        </is>
      </c>
      <c r="O1902" t="inlineStr">
        <is>
          <t>AI</t>
        </is>
      </c>
    </row>
    <row r="1903">
      <c r="A1903" t="inlineStr">
        <is>
          <t>PT Gozco Plantations Tbk</t>
        </is>
      </c>
      <c r="B1903" t="inlineStr">
        <is>
          <t>GZCO_2023_AR.pdf</t>
        </is>
      </c>
      <c r="C1903" t="n">
        <v>2023</v>
      </c>
      <c r="D1903" t="inlineStr">
        <is>
          <t>Financial</t>
        </is>
      </c>
      <c r="E1903" t="inlineStr">
        <is>
          <t>Interest-Bearing Debt</t>
        </is>
      </c>
      <c r="F1903" t="n">
        <v>466.6</v>
      </c>
      <c r="G1903" t="inlineStr">
        <is>
          <t>IDR bn</t>
        </is>
      </c>
      <c r="H1903" t="n">
        <v>8</v>
      </c>
      <c r="I1903" t="inlineStr">
        <is>
          <t>Liabilitas Berbunga 466.633 356.743 500.835</t>
        </is>
      </c>
      <c r="J1903" t="inlineStr">
        <is>
          <t>High</t>
        </is>
      </c>
      <c r="M1903" t="inlineStr">
        <is>
          <t>LLM</t>
        </is>
      </c>
      <c r="N1903" t="inlineStr">
        <is>
          <t>2026-04-18</t>
        </is>
      </c>
      <c r="O1903" t="inlineStr">
        <is>
          <t>AI</t>
        </is>
      </c>
    </row>
    <row r="1904">
      <c r="A1904" t="inlineStr">
        <is>
          <t>PT Gozco Plantations Tbk</t>
        </is>
      </c>
      <c r="B1904" t="inlineStr">
        <is>
          <t>GZCO_2023_AR.pdf</t>
        </is>
      </c>
      <c r="C1904" t="n">
        <v>2023</v>
      </c>
      <c r="D1904" t="inlineStr">
        <is>
          <t>Financial</t>
        </is>
      </c>
      <c r="E1904" t="inlineStr">
        <is>
          <t>Total Liabilities</t>
        </is>
      </c>
      <c r="F1904" t="n">
        <v>949.9</v>
      </c>
      <c r="G1904" t="inlineStr">
        <is>
          <t>IDR bn</t>
        </is>
      </c>
      <c r="H1904" t="n">
        <v>8</v>
      </c>
      <c r="I1904" t="inlineStr">
        <is>
          <t>Total Liabilitas 949.928 892.864 958.764</t>
        </is>
      </c>
      <c r="J1904" t="inlineStr">
        <is>
          <t>High</t>
        </is>
      </c>
      <c r="M1904" t="inlineStr">
        <is>
          <t>LLM</t>
        </is>
      </c>
      <c r="N1904" t="inlineStr">
        <is>
          <t>2026-04-18</t>
        </is>
      </c>
      <c r="O1904" t="inlineStr">
        <is>
          <t>AI</t>
        </is>
      </c>
    </row>
    <row r="1905">
      <c r="A1905" t="inlineStr">
        <is>
          <t>PT Gozco Plantations Tbk</t>
        </is>
      </c>
      <c r="B1905" t="inlineStr">
        <is>
          <t>GZCO_2023_AR.pdf</t>
        </is>
      </c>
      <c r="C1905" t="n">
        <v>2023</v>
      </c>
      <c r="D1905" t="inlineStr">
        <is>
          <t>Financial</t>
        </is>
      </c>
      <c r="E1905" t="inlineStr">
        <is>
          <t>Total Equity</t>
        </is>
      </c>
      <c r="F1905" t="n">
        <v>1168.3</v>
      </c>
      <c r="G1905" t="inlineStr">
        <is>
          <t>IDR bn</t>
        </is>
      </c>
      <c r="H1905" t="n">
        <v>8</v>
      </c>
      <c r="I1905" t="inlineStr">
        <is>
          <t>Ekuitas 1.168.272 1.152.542 1.075.688</t>
        </is>
      </c>
      <c r="J1905" t="inlineStr">
        <is>
          <t>High</t>
        </is>
      </c>
      <c r="M1905" t="inlineStr">
        <is>
          <t>LLM</t>
        </is>
      </c>
      <c r="N1905" t="inlineStr">
        <is>
          <t>2026-04-18</t>
        </is>
      </c>
      <c r="O1905" t="inlineStr">
        <is>
          <t>AI</t>
        </is>
      </c>
    </row>
    <row r="1906">
      <c r="A1906" t="inlineStr">
        <is>
          <t>PT Gozco Plantations Tbk</t>
        </is>
      </c>
      <c r="B1906" t="inlineStr">
        <is>
          <t>GZCO_2023_AR.pdf</t>
        </is>
      </c>
      <c r="C1906" t="n">
        <v>2023</v>
      </c>
      <c r="D1906" t="inlineStr">
        <is>
          <t>Financial</t>
        </is>
      </c>
      <c r="E1906" t="inlineStr">
        <is>
          <t>Capex</t>
        </is>
      </c>
      <c r="F1906" t="n">
        <v>93.2</v>
      </c>
      <c r="G1906" t="inlineStr">
        <is>
          <t>IDR bn</t>
        </is>
      </c>
      <c r="H1906" t="n">
        <v>8</v>
      </c>
      <c r="I1906" t="inlineStr">
        <is>
          <t>Belanja Modal / Investasi 93.219 31.665 10.668</t>
        </is>
      </c>
      <c r="J1906" t="inlineStr">
        <is>
          <t>High</t>
        </is>
      </c>
      <c r="M1906" t="inlineStr">
        <is>
          <t>LLM</t>
        </is>
      </c>
      <c r="N1906" t="inlineStr">
        <is>
          <t>2026-04-18</t>
        </is>
      </c>
      <c r="O1906" t="inlineStr">
        <is>
          <t>AI</t>
        </is>
      </c>
    </row>
    <row r="1907">
      <c r="A1907" t="inlineStr">
        <is>
          <t>PT Gozco Plantations Tbk</t>
        </is>
      </c>
      <c r="B1907" t="inlineStr">
        <is>
          <t>GZCO_2023_AR.pdf</t>
        </is>
      </c>
      <c r="C1907" t="n">
        <v>2023</v>
      </c>
      <c r="D1907" t="inlineStr">
        <is>
          <t>Financial</t>
        </is>
      </c>
      <c r="E1907" t="inlineStr">
        <is>
          <t>CFO (Operating Cash Flow)</t>
        </is>
      </c>
      <c r="F1907" t="n">
        <v>260.2</v>
      </c>
      <c r="G1907" t="inlineStr">
        <is>
          <t>IDR bn</t>
        </is>
      </c>
      <c r="H1907" t="n">
        <v>51</v>
      </c>
      <c r="I1907" t="inlineStr">
        <is>
          <t>Aktivitas Operasi 260.191 178.681 239.245</t>
        </is>
      </c>
      <c r="J1907" t="inlineStr">
        <is>
          <t>High</t>
        </is>
      </c>
      <c r="M1907" t="inlineStr">
        <is>
          <t>LLM</t>
        </is>
      </c>
      <c r="N1907" t="inlineStr">
        <is>
          <t>2026-04-18</t>
        </is>
      </c>
      <c r="O1907" t="inlineStr">
        <is>
          <t>AI</t>
        </is>
      </c>
    </row>
    <row r="1908">
      <c r="A1908" t="inlineStr">
        <is>
          <t>PT Gozco Plantations Tbk</t>
        </is>
      </c>
      <c r="B1908" t="inlineStr">
        <is>
          <t>GZCO_2023_AR.pdf</t>
        </is>
      </c>
      <c r="C1908" t="n">
        <v>2023</v>
      </c>
      <c r="D1908" t="inlineStr">
        <is>
          <t>Financial</t>
        </is>
      </c>
      <c r="E1908" t="inlineStr">
        <is>
          <t>CFI (Investing Cash Flow)</t>
        </is>
      </c>
      <c r="F1908" t="n">
        <v>-166.2</v>
      </c>
      <c r="G1908" t="inlineStr">
        <is>
          <t>IDR bn</t>
        </is>
      </c>
      <c r="H1908" t="n">
        <v>51</v>
      </c>
      <c r="I1908" t="inlineStr">
        <is>
          <t>Aktivitas Investasi (166.219) 35.670 (125.391)</t>
        </is>
      </c>
      <c r="J1908" t="inlineStr">
        <is>
          <t>High</t>
        </is>
      </c>
      <c r="M1908" t="inlineStr">
        <is>
          <t>LLM</t>
        </is>
      </c>
      <c r="N1908" t="inlineStr">
        <is>
          <t>2026-04-18</t>
        </is>
      </c>
      <c r="O1908" t="inlineStr">
        <is>
          <t>AI</t>
        </is>
      </c>
    </row>
    <row r="1909">
      <c r="A1909" t="inlineStr">
        <is>
          <t>PT Gozco Plantations Tbk</t>
        </is>
      </c>
      <c r="B1909" t="inlineStr">
        <is>
          <t>GZCO_2023_AR.pdf</t>
        </is>
      </c>
      <c r="C1909" t="n">
        <v>2023</v>
      </c>
      <c r="D1909" t="inlineStr">
        <is>
          <t>Financial</t>
        </is>
      </c>
      <c r="E1909" t="inlineStr">
        <is>
          <t>CFF (Financing Cash Flow)</t>
        </is>
      </c>
      <c r="F1909" t="n">
        <v>96.2</v>
      </c>
      <c r="G1909" t="inlineStr">
        <is>
          <t>IDR bn</t>
        </is>
      </c>
      <c r="H1909" t="n">
        <v>51</v>
      </c>
      <c r="I1909" t="inlineStr">
        <is>
          <t>Aktivitas Pendanaan 96.173 (161.761) (148.170)</t>
        </is>
      </c>
      <c r="J1909" t="inlineStr">
        <is>
          <t>High</t>
        </is>
      </c>
      <c r="M1909" t="inlineStr">
        <is>
          <t>LLM</t>
        </is>
      </c>
      <c r="N1909" t="inlineStr">
        <is>
          <t>2026-04-18</t>
        </is>
      </c>
      <c r="O1909" t="inlineStr">
        <is>
          <t>AI</t>
        </is>
      </c>
    </row>
    <row r="1910">
      <c r="A1910" t="inlineStr">
        <is>
          <t>PT Gozco Plantations Tbk</t>
        </is>
      </c>
      <c r="B1910" t="inlineStr">
        <is>
          <t>GZCO_2023_AR.pdf</t>
        </is>
      </c>
      <c r="C1910" t="n">
        <v>2023</v>
      </c>
      <c r="D1910" t="inlineStr">
        <is>
          <t>Financial</t>
        </is>
      </c>
      <c r="E1910" t="inlineStr">
        <is>
          <t>Shares Outstanding</t>
        </is>
      </c>
      <c r="F1910" t="n">
        <v>6000</v>
      </c>
      <c r="G1910" t="inlineStr">
        <is>
          <t>mn</t>
        </is>
      </c>
      <c r="H1910" t="n">
        <v>8</v>
      </c>
      <c r="I1910" t="inlineStr">
        <is>
          <t>Ribu lembar saham-beredar 6.000.000 6.000.000 6.000.000</t>
        </is>
      </c>
      <c r="J1910" t="inlineStr">
        <is>
          <t>High</t>
        </is>
      </c>
      <c r="M1910" t="inlineStr">
        <is>
          <t>LLM</t>
        </is>
      </c>
      <c r="N1910" t="inlineStr">
        <is>
          <t>2026-04-18</t>
        </is>
      </c>
      <c r="O1910" t="inlineStr">
        <is>
          <t>AI</t>
        </is>
      </c>
    </row>
    <row r="1911">
      <c r="A1911" t="inlineStr">
        <is>
          <t>PT Gozco Plantations Tbk</t>
        </is>
      </c>
      <c r="B1911" t="inlineStr">
        <is>
          <t>GZCO_2023_AR.pdf</t>
        </is>
      </c>
      <c r="C1911" t="n">
        <v>2023</v>
      </c>
      <c r="D1911" t="inlineStr">
        <is>
          <t>Financial</t>
        </is>
      </c>
      <c r="E1911" t="inlineStr">
        <is>
          <t>EPS</t>
        </is>
      </c>
      <c r="F1911" t="n">
        <v>0.36</v>
      </c>
      <c r="G1911" t="inlineStr">
        <is>
          <t>Rp/share</t>
        </is>
      </c>
      <c r="H1911" t="n">
        <v>8</v>
      </c>
      <c r="I1911" t="inlineStr">
        <is>
          <t>Laba bersih persaham 0,36 12,61 2,26</t>
        </is>
      </c>
      <c r="J1911" t="inlineStr">
        <is>
          <t>High</t>
        </is>
      </c>
      <c r="M1911" t="inlineStr">
        <is>
          <t>LLM</t>
        </is>
      </c>
      <c r="N1911" t="inlineStr">
        <is>
          <t>2026-04-18</t>
        </is>
      </c>
      <c r="O1911" t="inlineStr">
        <is>
          <t>AI</t>
        </is>
      </c>
    </row>
    <row r="1912">
      <c r="A1912" t="inlineStr">
        <is>
          <t>PT Gozco Plantations Tbk</t>
        </is>
      </c>
      <c r="B1912" t="inlineStr">
        <is>
          <t>GZCO_2023_AR.pdf</t>
        </is>
      </c>
      <c r="C1912" t="n">
        <v>2023</v>
      </c>
      <c r="D1912" t="inlineStr">
        <is>
          <t>Financial</t>
        </is>
      </c>
      <c r="E1912" t="inlineStr">
        <is>
          <t>Closing Price (31 Dec 2023)</t>
        </is>
      </c>
      <c r="F1912" t="n">
        <v>120</v>
      </c>
      <c r="G1912" t="inlineStr">
        <is>
          <t>Rp/share</t>
        </is>
      </c>
      <c r="H1912" t="n">
        <v>11</v>
      </c>
      <c r="I1912" t="inlineStr">
        <is>
          <t>Kurs Akhir 179 73 120 Final Rate</t>
        </is>
      </c>
      <c r="J1912" t="inlineStr">
        <is>
          <t>High</t>
        </is>
      </c>
      <c r="M1912" t="inlineStr">
        <is>
          <t>LLM</t>
        </is>
      </c>
      <c r="N1912" t="inlineStr">
        <is>
          <t>2026-04-18</t>
        </is>
      </c>
      <c r="O1912" t="inlineStr">
        <is>
          <t>AI</t>
        </is>
      </c>
    </row>
    <row r="1913">
      <c r="A1913" t="inlineStr">
        <is>
          <t>PT Gozco Plantations Tbk</t>
        </is>
      </c>
      <c r="B1913" t="inlineStr">
        <is>
          <t>GZCO_2023_AR.pdf</t>
        </is>
      </c>
      <c r="C1913" t="n">
        <v>2023</v>
      </c>
      <c r="D1913" t="inlineStr">
        <is>
          <t>Financial</t>
        </is>
      </c>
      <c r="E1913" t="inlineStr">
        <is>
          <t>Market Cap (31 Dec 2023)</t>
        </is>
      </c>
      <c r="F1913" t="n">
        <v>720</v>
      </c>
      <c r="G1913" t="inlineStr">
        <is>
          <t>IDR bn</t>
        </is>
      </c>
      <c r="H1913" t="n">
        <v>11</v>
      </c>
      <c r="I1913" t="inlineStr">
        <is>
          <t>Oct-Dec Kapitalisasi Pasar Rp Juta 720.000</t>
        </is>
      </c>
      <c r="J1913" t="inlineStr">
        <is>
          <t>High</t>
        </is>
      </c>
      <c r="M1913" t="inlineStr">
        <is>
          <t>LLM</t>
        </is>
      </c>
      <c r="N1913" t="inlineStr">
        <is>
          <t>2026-04-18</t>
        </is>
      </c>
      <c r="O1913" t="inlineStr">
        <is>
          <t>AI</t>
        </is>
      </c>
    </row>
    <row r="1914">
      <c r="A1914" t="inlineStr">
        <is>
          <t>PT Gozco Plantations Tbk</t>
        </is>
      </c>
      <c r="B1914" t="inlineStr">
        <is>
          <t>GZCO_2023_AR.pdf</t>
        </is>
      </c>
      <c r="C1914" t="n">
        <v>2023</v>
      </c>
      <c r="D1914" t="inlineStr">
        <is>
          <t>Financial</t>
        </is>
      </c>
      <c r="E1914" t="inlineStr">
        <is>
          <t>Gearing Ratio</t>
        </is>
      </c>
      <c r="F1914" t="n">
        <v>0.14</v>
      </c>
      <c r="G1914" t="inlineStr">
        <is>
          <t>%</t>
        </is>
      </c>
      <c r="H1914" t="n">
        <v>8</v>
      </c>
      <c r="I1914" t="inlineStr">
        <is>
          <t>Ratio Gearing 14% 13% 31%</t>
        </is>
      </c>
      <c r="J1914" t="inlineStr">
        <is>
          <t>High</t>
        </is>
      </c>
      <c r="M1914" t="inlineStr">
        <is>
          <t>LLM</t>
        </is>
      </c>
      <c r="N1914" t="inlineStr">
        <is>
          <t>2026-04-18</t>
        </is>
      </c>
      <c r="O1914" t="inlineStr">
        <is>
          <t>AI</t>
        </is>
      </c>
    </row>
    <row r="1915">
      <c r="A1915" t="inlineStr">
        <is>
          <t>PT Gozco Plantations Tbk</t>
        </is>
      </c>
      <c r="B1915" t="inlineStr">
        <is>
          <t>GZCO_2023_AR.pdf</t>
        </is>
      </c>
      <c r="C1915" t="n">
        <v>2023</v>
      </c>
      <c r="D1915" t="inlineStr">
        <is>
          <t>Financial</t>
        </is>
      </c>
      <c r="E1915" t="inlineStr">
        <is>
          <t>Debt to Equity</t>
        </is>
      </c>
      <c r="F1915" t="n">
        <v>0.8100000000000001</v>
      </c>
      <c r="G1915" t="inlineStr">
        <is>
          <t>x</t>
        </is>
      </c>
      <c r="H1915" t="n">
        <v>8</v>
      </c>
      <c r="I1915" t="inlineStr">
        <is>
          <t>Liabilitas thd Ekuitas 81% 77% 89%</t>
        </is>
      </c>
      <c r="J1915" t="inlineStr">
        <is>
          <t>High</t>
        </is>
      </c>
      <c r="M1915" t="inlineStr">
        <is>
          <t>LLM</t>
        </is>
      </c>
      <c r="N1915" t="inlineStr">
        <is>
          <t>2026-04-18</t>
        </is>
      </c>
      <c r="O1915" t="inlineStr">
        <is>
          <t>AI</t>
        </is>
      </c>
    </row>
    <row r="1916">
      <c r="A1916" t="inlineStr">
        <is>
          <t>PT Gozco Plantations Tbk</t>
        </is>
      </c>
      <c r="B1916" t="inlineStr">
        <is>
          <t>GZCO_2023_AR.pdf</t>
        </is>
      </c>
      <c r="C1916" t="n">
        <v>2023</v>
      </c>
      <c r="D1916" t="inlineStr">
        <is>
          <t>Financial</t>
        </is>
      </c>
      <c r="E1916" t="inlineStr">
        <is>
          <t>Current Ratio</t>
        </is>
      </c>
      <c r="F1916" t="n">
        <v>1.66</v>
      </c>
      <c r="G1916" t="inlineStr">
        <is>
          <t>x</t>
        </is>
      </c>
      <c r="H1916" t="n">
        <v>8</v>
      </c>
      <c r="I1916" t="inlineStr">
        <is>
          <t>Aset Lancar thd Kewaj.lancar 1,66x 1,00x 0,90x</t>
        </is>
      </c>
      <c r="J1916" t="inlineStr">
        <is>
          <t>High</t>
        </is>
      </c>
      <c r="M1916" t="inlineStr">
        <is>
          <t>LLM</t>
        </is>
      </c>
      <c r="N1916" t="inlineStr">
        <is>
          <t>2026-04-18</t>
        </is>
      </c>
      <c r="O1916" t="inlineStr">
        <is>
          <t>AI</t>
        </is>
      </c>
    </row>
    <row r="1917">
      <c r="A1917" t="inlineStr">
        <is>
          <t>PT Gozco Plantations Tbk</t>
        </is>
      </c>
      <c r="B1917" t="inlineStr">
        <is>
          <t>GZCO_2023_AR.pdf</t>
        </is>
      </c>
      <c r="C1917" t="n">
        <v>2023</v>
      </c>
      <c r="D1917" t="inlineStr">
        <is>
          <t>Financial</t>
        </is>
      </c>
      <c r="E1917" t="inlineStr">
        <is>
          <t>Return on Equity</t>
        </is>
      </c>
      <c r="F1917" t="n">
        <v>0.0018</v>
      </c>
      <c r="G1917" t="inlineStr">
        <is>
          <t>%</t>
        </is>
      </c>
      <c r="H1917" t="n">
        <v>9</v>
      </c>
      <c r="I1917" t="inlineStr">
        <is>
          <t>Tingkat hasil Ekuitas 0,18% 6,56% 1,26%</t>
        </is>
      </c>
      <c r="J1917" t="inlineStr">
        <is>
          <t>High</t>
        </is>
      </c>
      <c r="M1917" t="inlineStr">
        <is>
          <t>LLM</t>
        </is>
      </c>
      <c r="N1917" t="inlineStr">
        <is>
          <t>2026-04-18</t>
        </is>
      </c>
      <c r="O1917" t="inlineStr">
        <is>
          <t>AI</t>
        </is>
      </c>
    </row>
    <row r="1918">
      <c r="A1918" t="inlineStr">
        <is>
          <t>PT Gozco Plantations Tbk</t>
        </is>
      </c>
      <c r="B1918" t="inlineStr">
        <is>
          <t>GZCO_2023_AR.pdf</t>
        </is>
      </c>
      <c r="C1918" t="n">
        <v>2023</v>
      </c>
      <c r="D1918" t="inlineStr">
        <is>
          <t>Financial</t>
        </is>
      </c>
      <c r="E1918" t="inlineStr">
        <is>
          <t>Return on Assets</t>
        </is>
      </c>
      <c r="F1918" t="n">
        <v>0.001</v>
      </c>
      <c r="G1918" t="inlineStr">
        <is>
          <t>%</t>
        </is>
      </c>
      <c r="H1918" t="n">
        <v>9</v>
      </c>
      <c r="I1918" t="inlineStr">
        <is>
          <t>Tingkat Hasil Aset 0,10% 3,70% 0,67%</t>
        </is>
      </c>
      <c r="J1918" t="inlineStr">
        <is>
          <t>High</t>
        </is>
      </c>
      <c r="M1918" t="inlineStr">
        <is>
          <t>LLM</t>
        </is>
      </c>
      <c r="N1918" t="inlineStr">
        <is>
          <t>2026-04-18</t>
        </is>
      </c>
      <c r="O1918" t="inlineStr">
        <is>
          <t>AI</t>
        </is>
      </c>
    </row>
    <row r="1919">
      <c r="A1919" t="inlineStr">
        <is>
          <t>PT Gozco Plantations Tbk</t>
        </is>
      </c>
      <c r="B1919" t="inlineStr">
        <is>
          <t>GZCO_2023_AR.pdf</t>
        </is>
      </c>
      <c r="C1919" t="n">
        <v>2023</v>
      </c>
      <c r="D1919" t="inlineStr">
        <is>
          <t>Financial</t>
        </is>
      </c>
      <c r="E1919" t="inlineStr">
        <is>
          <t>Gross Margin</t>
        </is>
      </c>
      <c r="F1919" t="n">
        <v>0.1257</v>
      </c>
      <c r="G1919" t="inlineStr">
        <is>
          <t>%</t>
        </is>
      </c>
      <c r="H1919" t="n">
        <v>9</v>
      </c>
      <c r="I1919" t="inlineStr">
        <is>
          <t>Rasio Margin Kotor 12,57% 22,09% 9,55%</t>
        </is>
      </c>
      <c r="J1919" t="inlineStr">
        <is>
          <t>High</t>
        </is>
      </c>
      <c r="M1919" t="inlineStr">
        <is>
          <t>LLM</t>
        </is>
      </c>
      <c r="N1919" t="inlineStr">
        <is>
          <t>2026-04-18</t>
        </is>
      </c>
      <c r="O1919" t="inlineStr">
        <is>
          <t>AI</t>
        </is>
      </c>
    </row>
    <row r="1920">
      <c r="A1920" t="inlineStr">
        <is>
          <t>PT Gozco Plantations Tbk</t>
        </is>
      </c>
      <c r="B1920" t="inlineStr">
        <is>
          <t>GZCO_2023_AR.pdf</t>
        </is>
      </c>
      <c r="C1920" t="n">
        <v>2023</v>
      </c>
      <c r="D1920" t="inlineStr">
        <is>
          <t>Financial</t>
        </is>
      </c>
      <c r="E1920" t="inlineStr">
        <is>
          <t>Net Margin</t>
        </is>
      </c>
      <c r="F1920" t="n">
        <v>0.0029</v>
      </c>
      <c r="G1920" t="inlineStr">
        <is>
          <t>%</t>
        </is>
      </c>
      <c r="H1920" t="n">
        <v>9</v>
      </c>
      <c r="I1920" t="inlineStr">
        <is>
          <t>Rasio Margin Bersih 0,29% 13,63% 1,92%</t>
        </is>
      </c>
      <c r="J1920" t="inlineStr">
        <is>
          <t>High</t>
        </is>
      </c>
      <c r="M1920" t="inlineStr">
        <is>
          <t>LLM</t>
        </is>
      </c>
      <c r="N1920" t="inlineStr">
        <is>
          <t>2026-04-18</t>
        </is>
      </c>
      <c r="O1920" t="inlineStr">
        <is>
          <t>AI</t>
        </is>
      </c>
    </row>
    <row r="1921">
      <c r="A1921" t="inlineStr">
        <is>
          <t>PT Gozco Plantations Tbk</t>
        </is>
      </c>
      <c r="B1921" t="inlineStr">
        <is>
          <t>GZCO_2023_AR.pdf</t>
        </is>
      </c>
      <c r="C1921" t="n">
        <v>2023</v>
      </c>
      <c r="D1921" t="inlineStr">
        <is>
          <t>Asset</t>
        </is>
      </c>
      <c r="E1921" t="inlineStr">
        <is>
          <t>Total Landbank APL</t>
        </is>
      </c>
      <c r="F1921" t="n">
        <v>17188</v>
      </c>
      <c r="G1921" t="inlineStr">
        <is>
          <t>ha</t>
        </is>
      </c>
      <c r="H1921" t="n">
        <v>6</v>
      </c>
      <c r="I1921" t="inlineStr">
        <is>
          <t>Lahan APL 17.188 17.188 22.188</t>
        </is>
      </c>
      <c r="J1921" t="inlineStr">
        <is>
          <t>High</t>
        </is>
      </c>
      <c r="M1921" t="inlineStr">
        <is>
          <t>LLM</t>
        </is>
      </c>
      <c r="N1921" t="inlineStr">
        <is>
          <t>2026-04-18</t>
        </is>
      </c>
      <c r="O1921" t="inlineStr">
        <is>
          <t>AI</t>
        </is>
      </c>
    </row>
    <row r="1922">
      <c r="A1922" t="inlineStr">
        <is>
          <t>PT Gozco Plantations Tbk</t>
        </is>
      </c>
      <c r="B1922" t="inlineStr">
        <is>
          <t>GZCO_2023_AR.pdf</t>
        </is>
      </c>
      <c r="C1922" t="n">
        <v>2023</v>
      </c>
      <c r="D1922" t="inlineStr">
        <is>
          <t>Asset</t>
        </is>
      </c>
      <c r="E1922" t="inlineStr">
        <is>
          <t>Landbank HPK</t>
        </is>
      </c>
      <c r="F1922" t="n">
        <v>1561</v>
      </c>
      <c r="G1922" t="inlineStr">
        <is>
          <t>ha</t>
        </is>
      </c>
      <c r="H1922" t="n">
        <v>6</v>
      </c>
      <c r="I1922" t="inlineStr">
        <is>
          <t>Lahan HPK 1.561 1.561 1.561</t>
        </is>
      </c>
      <c r="J1922" t="inlineStr">
        <is>
          <t>High</t>
        </is>
      </c>
      <c r="M1922" t="inlineStr">
        <is>
          <t>LLM</t>
        </is>
      </c>
      <c r="N1922" t="inlineStr">
        <is>
          <t>2026-04-18</t>
        </is>
      </c>
      <c r="O1922" t="inlineStr">
        <is>
          <t>AI</t>
        </is>
      </c>
    </row>
    <row r="1923">
      <c r="A1923" t="inlineStr">
        <is>
          <t>PT Gozco Plantations Tbk</t>
        </is>
      </c>
      <c r="B1923" t="inlineStr">
        <is>
          <t>GZCO_2023_AR.pdf</t>
        </is>
      </c>
      <c r="C1923" t="n">
        <v>2023</v>
      </c>
      <c r="D1923" t="inlineStr">
        <is>
          <t>Asset</t>
        </is>
      </c>
      <c r="E1923" t="inlineStr">
        <is>
          <t>Total Plantation Area</t>
        </is>
      </c>
      <c r="F1923" t="n">
        <v>18749</v>
      </c>
      <c r="G1923" t="inlineStr">
        <is>
          <t>ha</t>
        </is>
      </c>
      <c r="H1923" t="n">
        <v>6</v>
      </c>
      <c r="I1923" t="inlineStr">
        <is>
          <t>Total Lahan Perkebunan (Ha) 18.749 18.749 23.749</t>
        </is>
      </c>
      <c r="J1923" t="inlineStr">
        <is>
          <t>High</t>
        </is>
      </c>
      <c r="M1923" t="inlineStr">
        <is>
          <t>LLM</t>
        </is>
      </c>
      <c r="N1923" t="inlineStr">
        <is>
          <t>2026-04-18</t>
        </is>
      </c>
      <c r="O1923" t="inlineStr">
        <is>
          <t>AI</t>
        </is>
      </c>
    </row>
    <row r="1924">
      <c r="A1924" t="inlineStr">
        <is>
          <t>PT Gozco Plantations Tbk</t>
        </is>
      </c>
      <c r="B1924" t="inlineStr">
        <is>
          <t>GZCO_2023_AR.pdf</t>
        </is>
      </c>
      <c r="C1924" t="n">
        <v>2023</v>
      </c>
      <c r="D1924" t="inlineStr">
        <is>
          <t>Asset</t>
        </is>
      </c>
      <c r="E1924" t="inlineStr">
        <is>
          <t>Total Planted Area</t>
        </is>
      </c>
      <c r="F1924" t="n">
        <v>13114</v>
      </c>
      <c r="G1924" t="inlineStr">
        <is>
          <t>ha</t>
        </is>
      </c>
      <c r="H1924" t="n">
        <v>6</v>
      </c>
      <c r="I1924" t="inlineStr">
        <is>
          <t>Total Lahan Tertanam 13.114 12.917 12.915</t>
        </is>
      </c>
      <c r="J1924" t="inlineStr">
        <is>
          <t>High</t>
        </is>
      </c>
      <c r="M1924" t="inlineStr">
        <is>
          <t>LLM</t>
        </is>
      </c>
      <c r="N1924" t="inlineStr">
        <is>
          <t>2026-04-18</t>
        </is>
      </c>
      <c r="O1924" t="inlineStr">
        <is>
          <t>AI</t>
        </is>
      </c>
    </row>
    <row r="1925">
      <c r="A1925" t="inlineStr">
        <is>
          <t>PT Gozco Plantations Tbk</t>
        </is>
      </c>
      <c r="B1925" t="inlineStr">
        <is>
          <t>GZCO_2023_AR.pdf</t>
        </is>
      </c>
      <c r="C1925" t="n">
        <v>2023</v>
      </c>
      <c r="D1925" t="inlineStr">
        <is>
          <t>Asset</t>
        </is>
      </c>
      <c r="E1925" t="inlineStr">
        <is>
          <t>Nucleus Planted Area</t>
        </is>
      </c>
      <c r="F1925" t="n">
        <v>13114</v>
      </c>
      <c r="G1925" t="inlineStr">
        <is>
          <t>ha</t>
        </is>
      </c>
      <c r="H1925" t="n">
        <v>6</v>
      </c>
      <c r="I1925" t="inlineStr">
        <is>
          <t>Lahan Inti 13.114 12.917 12.915</t>
        </is>
      </c>
      <c r="J1925" t="inlineStr">
        <is>
          <t>High</t>
        </is>
      </c>
      <c r="M1925" t="inlineStr">
        <is>
          <t>LLM</t>
        </is>
      </c>
      <c r="N1925" t="inlineStr">
        <is>
          <t>2026-04-18</t>
        </is>
      </c>
      <c r="O1925" t="inlineStr">
        <is>
          <t>AI</t>
        </is>
      </c>
    </row>
    <row r="1926">
      <c r="A1926" t="inlineStr">
        <is>
          <t>PT Gozco Plantations Tbk</t>
        </is>
      </c>
      <c r="B1926" t="inlineStr">
        <is>
          <t>GZCO_2023_AR.pdf</t>
        </is>
      </c>
      <c r="C1926" t="n">
        <v>2023</v>
      </c>
      <c r="D1926" t="inlineStr">
        <is>
          <t>Asset</t>
        </is>
      </c>
      <c r="E1926" t="inlineStr">
        <is>
          <t>Mature Area</t>
        </is>
      </c>
      <c r="F1926" t="n">
        <v>12452</v>
      </c>
      <c r="G1926" t="inlineStr">
        <is>
          <t>ha</t>
        </is>
      </c>
      <c r="H1926" t="n">
        <v>6</v>
      </c>
      <c r="I1926" t="inlineStr">
        <is>
          <t>Tanaman Menghasilkan 12.452 12.700 12.619 Mature</t>
        </is>
      </c>
      <c r="J1926" t="inlineStr">
        <is>
          <t>High</t>
        </is>
      </c>
      <c r="M1926" t="inlineStr">
        <is>
          <t>LLM</t>
        </is>
      </c>
      <c r="N1926" t="inlineStr">
        <is>
          <t>2026-04-18</t>
        </is>
      </c>
      <c r="O1926" t="inlineStr">
        <is>
          <t>AI</t>
        </is>
      </c>
    </row>
    <row r="1927">
      <c r="A1927" t="inlineStr">
        <is>
          <t>PT Gozco Plantations Tbk</t>
        </is>
      </c>
      <c r="B1927" t="inlineStr">
        <is>
          <t>GZCO_2023_AR.pdf</t>
        </is>
      </c>
      <c r="C1927" t="n">
        <v>2023</v>
      </c>
      <c r="D1927" t="inlineStr">
        <is>
          <t>Asset</t>
        </is>
      </c>
      <c r="E1927" t="inlineStr">
        <is>
          <t>Immature Area</t>
        </is>
      </c>
      <c r="F1927" t="n">
        <v>662</v>
      </c>
      <c r="G1927" t="inlineStr">
        <is>
          <t>ha</t>
        </is>
      </c>
      <c r="H1927" t="n">
        <v>6</v>
      </c>
      <c r="I1927" t="inlineStr">
        <is>
          <t>Tanaman Belum Menghasilkan 662 217 296 Immature</t>
        </is>
      </c>
      <c r="J1927" t="inlineStr">
        <is>
          <t>High</t>
        </is>
      </c>
      <c r="M1927" t="inlineStr">
        <is>
          <t>LLM</t>
        </is>
      </c>
      <c r="N1927" t="inlineStr">
        <is>
          <t>2026-04-18</t>
        </is>
      </c>
      <c r="O1927" t="inlineStr">
        <is>
          <t>AI</t>
        </is>
      </c>
    </row>
    <row r="1928">
      <c r="A1928" t="inlineStr">
        <is>
          <t>PT Gozco Plantations Tbk</t>
        </is>
      </c>
      <c r="B1928" t="inlineStr">
        <is>
          <t>GZCO_2023_AR.pdf</t>
        </is>
      </c>
      <c r="C1928" t="n">
        <v>2023</v>
      </c>
      <c r="D1928" t="inlineStr">
        <is>
          <t>Asset</t>
        </is>
      </c>
      <c r="E1928" t="inlineStr">
        <is>
          <t>Average Tree Age</t>
        </is>
      </c>
      <c r="F1928" t="n">
        <v>17.33</v>
      </c>
      <c r="G1928" t="inlineStr">
        <is>
          <t>years</t>
        </is>
      </c>
      <c r="H1928" t="n">
        <v>37</v>
      </c>
      <c r="I1928" t="inlineStr">
        <is>
          <t>Usia rata-rata tanaman per akhir tahun 2023 adalah 17 (tujuh belas) tahun 4 (empat) bulan</t>
        </is>
      </c>
      <c r="J1928" t="inlineStr">
        <is>
          <t>High</t>
        </is>
      </c>
      <c r="M1928" t="inlineStr">
        <is>
          <t>LLM</t>
        </is>
      </c>
      <c r="N1928" t="inlineStr">
        <is>
          <t>2026-04-18</t>
        </is>
      </c>
      <c r="O1928" t="inlineStr">
        <is>
          <t>AI</t>
        </is>
      </c>
    </row>
    <row r="1929">
      <c r="A1929" t="inlineStr">
        <is>
          <t>PT Gozco Plantations Tbk</t>
        </is>
      </c>
      <c r="B1929" t="inlineStr">
        <is>
          <t>GZCO_2023_AR.pdf</t>
        </is>
      </c>
      <c r="C1929" t="n">
        <v>2023</v>
      </c>
      <c r="D1929" t="inlineStr">
        <is>
          <t>Asset</t>
        </is>
      </c>
      <c r="E1929" t="inlineStr">
        <is>
          <t>Replanting Area 2023</t>
        </is>
      </c>
      <c r="F1929" t="n">
        <v>331</v>
      </c>
      <c r="G1929" t="inlineStr">
        <is>
          <t>ha</t>
        </is>
      </c>
      <c r="H1929" t="n">
        <v>38</v>
      </c>
      <c r="I1929" t="inlineStr">
        <is>
          <t>tambahan tanaman baru seluas 197 ha dan replanting seluas 331 ha (mutasi TM ke TBM)</t>
        </is>
      </c>
      <c r="J1929" t="inlineStr">
        <is>
          <t>High</t>
        </is>
      </c>
      <c r="M1929" t="inlineStr">
        <is>
          <t>LLM</t>
        </is>
      </c>
      <c r="N1929" t="inlineStr">
        <is>
          <t>2026-04-18</t>
        </is>
      </c>
      <c r="O1929" t="inlineStr">
        <is>
          <t>AI</t>
        </is>
      </c>
    </row>
    <row r="1930">
      <c r="A1930" t="inlineStr">
        <is>
          <t>PT Gozco Plantations Tbk</t>
        </is>
      </c>
      <c r="B1930" t="inlineStr">
        <is>
          <t>GZCO_2023_AR.pdf</t>
        </is>
      </c>
      <c r="C1930" t="n">
        <v>2023</v>
      </c>
      <c r="D1930" t="inlineStr">
        <is>
          <t>Asset</t>
        </is>
      </c>
      <c r="E1930" t="inlineStr">
        <is>
          <t>New Plantings 2023</t>
        </is>
      </c>
      <c r="F1930" t="n">
        <v>197</v>
      </c>
      <c r="G1930" t="inlineStr">
        <is>
          <t>ha</t>
        </is>
      </c>
      <c r="H1930" t="n">
        <v>38</v>
      </c>
      <c r="I1930" t="inlineStr">
        <is>
          <t>tambahan tanaman baru seluas 197 ha</t>
        </is>
      </c>
      <c r="J1930" t="inlineStr">
        <is>
          <t>High</t>
        </is>
      </c>
      <c r="M1930" t="inlineStr">
        <is>
          <t>LLM</t>
        </is>
      </c>
      <c r="N1930" t="inlineStr">
        <is>
          <t>2026-04-18</t>
        </is>
      </c>
      <c r="O1930" t="inlineStr">
        <is>
          <t>AI</t>
        </is>
      </c>
    </row>
    <row r="1931">
      <c r="A1931" t="inlineStr">
        <is>
          <t>PT Gozco Plantations Tbk</t>
        </is>
      </c>
      <c r="B1931" t="inlineStr">
        <is>
          <t>GZCO_2023_AR.pdf</t>
        </is>
      </c>
      <c r="C1931" t="n">
        <v>2023</v>
      </c>
      <c r="D1931" t="inlineStr">
        <is>
          <t>Asset</t>
        </is>
      </c>
      <c r="E1931" t="inlineStr">
        <is>
          <t>Mill Capacity (PKS SA)</t>
        </is>
      </c>
      <c r="F1931" t="n">
        <v>90</v>
      </c>
      <c r="G1931" t="inlineStr">
        <is>
          <t>T/Hour</t>
        </is>
      </c>
      <c r="H1931" t="n">
        <v>36</v>
      </c>
      <c r="I1931" t="inlineStr">
        <is>
          <t>Jumlah | Total - 17.189 13.114 728 3.347 90T/Hour</t>
        </is>
      </c>
      <c r="J1931" t="inlineStr">
        <is>
          <t>High</t>
        </is>
      </c>
      <c r="M1931" t="inlineStr">
        <is>
          <t>LLM</t>
        </is>
      </c>
      <c r="N1931" t="inlineStr">
        <is>
          <t>2026-04-18</t>
        </is>
      </c>
      <c r="O1931" t="inlineStr">
        <is>
          <t>AI</t>
        </is>
      </c>
    </row>
    <row r="1932">
      <c r="A1932" t="inlineStr">
        <is>
          <t>PT Gozco Plantations Tbk</t>
        </is>
      </c>
      <c r="B1932" t="inlineStr">
        <is>
          <t>GZCO_2023_AR.pdf</t>
        </is>
      </c>
      <c r="C1932" t="n">
        <v>2023</v>
      </c>
      <c r="D1932" t="inlineStr">
        <is>
          <t>Asset</t>
        </is>
      </c>
      <c r="E1932" t="inlineStr">
        <is>
          <t>Mills Count</t>
        </is>
      </c>
      <c r="F1932" t="n">
        <v>1</v>
      </c>
      <c r="G1932" t="inlineStr">
        <is>
          <t>count</t>
        </is>
      </c>
      <c r="H1932" t="n">
        <v>36</v>
      </c>
      <c r="I1932" t="inlineStr">
        <is>
          <t>Single mill (PKS SA) 90T/Hour at Suryabumi; TSP Kalimantan has no mill</t>
        </is>
      </c>
      <c r="J1932" t="inlineStr">
        <is>
          <t>High</t>
        </is>
      </c>
      <c r="M1932" t="inlineStr">
        <is>
          <t>LLM</t>
        </is>
      </c>
      <c r="N1932" t="inlineStr">
        <is>
          <t>2026-04-18</t>
        </is>
      </c>
      <c r="O1932" t="inlineStr">
        <is>
          <t>AI</t>
        </is>
      </c>
    </row>
    <row r="1933">
      <c r="A1933" t="inlineStr">
        <is>
          <t>PT Gozco Plantations Tbk</t>
        </is>
      </c>
      <c r="B1933" t="inlineStr">
        <is>
          <t>GZCO_2023_AR.pdf</t>
        </is>
      </c>
      <c r="C1933" t="n">
        <v>2023</v>
      </c>
      <c r="D1933" t="inlineStr">
        <is>
          <t>Asset</t>
        </is>
      </c>
      <c r="E1933" t="inlineStr">
        <is>
          <t>Mill Occupancy</t>
        </is>
      </c>
      <c r="F1933" t="n">
        <v>0.6</v>
      </c>
      <c r="G1933" t="inlineStr">
        <is>
          <t>%</t>
        </is>
      </c>
      <c r="H1933" t="n">
        <v>38</v>
      </c>
      <c r="I1933" t="inlineStr">
        <is>
          <t>Dengan kapasitas PKS SA 90T/Hour dan dengan asumsi normal efektifitas 75%, maka tingkat okupansi PKS masih sebesar 60%</t>
        </is>
      </c>
      <c r="J1933" t="inlineStr">
        <is>
          <t>High</t>
        </is>
      </c>
      <c r="M1933" t="inlineStr">
        <is>
          <t>LLM</t>
        </is>
      </c>
      <c r="N1933" t="inlineStr">
        <is>
          <t>2026-04-18</t>
        </is>
      </c>
      <c r="O1933" t="inlineStr">
        <is>
          <t>AI</t>
        </is>
      </c>
    </row>
    <row r="1934">
      <c r="A1934" t="inlineStr">
        <is>
          <t>PT Gozco Plantations Tbk</t>
        </is>
      </c>
      <c r="B1934" t="inlineStr">
        <is>
          <t>GZCO_2023_AR.pdf</t>
        </is>
      </c>
      <c r="C1934" t="n">
        <v>2023</v>
      </c>
      <c r="D1934" t="inlineStr">
        <is>
          <t>Asset</t>
        </is>
      </c>
      <c r="E1934" t="inlineStr">
        <is>
          <t>TM Age 1-9 yr</t>
        </is>
      </c>
      <c r="F1934" t="n">
        <v>2446</v>
      </c>
      <c r="G1934" t="inlineStr">
        <is>
          <t>ha</t>
        </is>
      </c>
      <c r="H1934" t="n">
        <v>37</v>
      </c>
      <c r="I1934" t="inlineStr">
        <is>
          <t>TM 1-9 2.446 2.918 3.768 Mature 1-9</t>
        </is>
      </c>
      <c r="J1934" t="inlineStr">
        <is>
          <t>High</t>
        </is>
      </c>
      <c r="M1934" t="inlineStr">
        <is>
          <t>LLM</t>
        </is>
      </c>
      <c r="N1934" t="inlineStr">
        <is>
          <t>2026-04-18</t>
        </is>
      </c>
      <c r="O1934" t="inlineStr">
        <is>
          <t>AI</t>
        </is>
      </c>
    </row>
    <row r="1935">
      <c r="A1935" t="inlineStr">
        <is>
          <t>PT Gozco Plantations Tbk</t>
        </is>
      </c>
      <c r="B1935" t="inlineStr">
        <is>
          <t>GZCO_2023_AR.pdf</t>
        </is>
      </c>
      <c r="C1935" t="n">
        <v>2023</v>
      </c>
      <c r="D1935" t="inlineStr">
        <is>
          <t>Asset</t>
        </is>
      </c>
      <c r="E1935" t="inlineStr">
        <is>
          <t>TM Age 10+ yr</t>
        </is>
      </c>
      <c r="F1935" t="n">
        <v>10005</v>
      </c>
      <c r="G1935" t="inlineStr">
        <is>
          <t>ha</t>
        </is>
      </c>
      <c r="H1935" t="n">
        <v>37</v>
      </c>
      <c r="I1935" t="inlineStr">
        <is>
          <t>TM 10 dst 10.005 9.782 8.851 Mature 10 etc</t>
        </is>
      </c>
      <c r="J1935" t="inlineStr">
        <is>
          <t>High</t>
        </is>
      </c>
      <c r="M1935" t="inlineStr">
        <is>
          <t>LLM</t>
        </is>
      </c>
      <c r="N1935" t="inlineStr">
        <is>
          <t>2026-04-18</t>
        </is>
      </c>
      <c r="O1935" t="inlineStr">
        <is>
          <t>AI</t>
        </is>
      </c>
    </row>
    <row r="1936">
      <c r="A1936" t="inlineStr">
        <is>
          <t>PT Gozco Plantations Tbk</t>
        </is>
      </c>
      <c r="B1936" t="inlineStr">
        <is>
          <t>GZCO_2023_AR.pdf</t>
        </is>
      </c>
      <c r="C1936" t="n">
        <v>2023</v>
      </c>
      <c r="D1936" t="inlineStr">
        <is>
          <t>Asset</t>
        </is>
      </c>
      <c r="E1936" t="inlineStr">
        <is>
          <t>Suryabumi Land (Sumsel)</t>
        </is>
      </c>
      <c r="F1936" t="n">
        <v>8858</v>
      </c>
      <c r="G1936" t="inlineStr">
        <is>
          <t>ha</t>
        </is>
      </c>
      <c r="H1936" t="n">
        <v>36</v>
      </c>
      <c r="I1936" t="inlineStr">
        <is>
          <t>Suryabumi Sumsel 8.858 8.464 394 - 90T/Hour HGU 18/12/2035</t>
        </is>
      </c>
      <c r="J1936" t="inlineStr">
        <is>
          <t>High</t>
        </is>
      </c>
      <c r="M1936" t="inlineStr">
        <is>
          <t>LLM</t>
        </is>
      </c>
      <c r="N1936" t="inlineStr">
        <is>
          <t>2026-04-18</t>
        </is>
      </c>
      <c r="O1936" t="inlineStr">
        <is>
          <t>AI</t>
        </is>
      </c>
    </row>
    <row r="1937">
      <c r="A1937" t="inlineStr">
        <is>
          <t>PT Gozco Plantations Tbk</t>
        </is>
      </c>
      <c r="B1937" t="inlineStr">
        <is>
          <t>GZCO_2023_AR.pdf</t>
        </is>
      </c>
      <c r="C1937" t="n">
        <v>2023</v>
      </c>
      <c r="D1937" t="inlineStr">
        <is>
          <t>Asset</t>
        </is>
      </c>
      <c r="E1937" t="inlineStr">
        <is>
          <t>Telaga Sari Land (Kalteng)</t>
        </is>
      </c>
      <c r="F1937" t="n">
        <v>1012</v>
      </c>
      <c r="G1937" t="inlineStr">
        <is>
          <t>ha</t>
        </is>
      </c>
      <c r="H1937" t="n">
        <v>36</v>
      </c>
      <c r="I1937" t="inlineStr">
        <is>
          <t>Telaga Sari Persada Kalteng 1.012 991 21 -</t>
        </is>
      </c>
      <c r="J1937" t="inlineStr">
        <is>
          <t>High</t>
        </is>
      </c>
      <c r="M1937" t="inlineStr">
        <is>
          <t>LLM</t>
        </is>
      </c>
      <c r="N1937" t="inlineStr">
        <is>
          <t>2026-04-18</t>
        </is>
      </c>
      <c r="O1937" t="inlineStr">
        <is>
          <t>AI</t>
        </is>
      </c>
    </row>
    <row r="1938">
      <c r="A1938" t="inlineStr">
        <is>
          <t>PT Gozco Plantations Tbk</t>
        </is>
      </c>
      <c r="B1938" t="inlineStr">
        <is>
          <t>GZCO_2023_AR.pdf</t>
        </is>
      </c>
      <c r="C1938" t="n">
        <v>2023</v>
      </c>
      <c r="D1938" t="inlineStr">
        <is>
          <t>Operation</t>
        </is>
      </c>
      <c r="E1938" t="inlineStr">
        <is>
          <t>FFB Harvest (Nucleus after sortation)</t>
        </is>
      </c>
      <c r="F1938" t="n">
        <v>208937</v>
      </c>
      <c r="G1938" t="inlineStr">
        <is>
          <t>t</t>
        </is>
      </c>
      <c r="H1938" t="n">
        <v>6</v>
      </c>
      <c r="I1938" t="inlineStr">
        <is>
          <t>Hasil Panen Kebun Inti (setelah sortasi) 208.937 189.719 183.209</t>
        </is>
      </c>
      <c r="J1938" t="inlineStr">
        <is>
          <t>High</t>
        </is>
      </c>
      <c r="M1938" t="inlineStr">
        <is>
          <t>LLM</t>
        </is>
      </c>
      <c r="N1938" t="inlineStr">
        <is>
          <t>2026-04-18</t>
        </is>
      </c>
      <c r="O1938" t="inlineStr">
        <is>
          <t>AI</t>
        </is>
      </c>
    </row>
    <row r="1939">
      <c r="A1939" t="inlineStr">
        <is>
          <t>PT Gozco Plantations Tbk</t>
        </is>
      </c>
      <c r="B1939" t="inlineStr">
        <is>
          <t>GZCO_2023_AR.pdf</t>
        </is>
      </c>
      <c r="C1939" t="n">
        <v>2023</v>
      </c>
      <c r="D1939" t="inlineStr">
        <is>
          <t>Operation</t>
        </is>
      </c>
      <c r="E1939" t="inlineStr">
        <is>
          <t>FFB Sold &amp; Stock</t>
        </is>
      </c>
      <c r="F1939" t="n">
        <v>10533</v>
      </c>
      <c r="G1939" t="inlineStr">
        <is>
          <t>t</t>
        </is>
      </c>
      <c r="H1939" t="n">
        <v>6</v>
      </c>
      <c r="I1939" t="inlineStr">
        <is>
          <t>TBS Dijual &amp; stock 10.533 12.941 10.499</t>
        </is>
      </c>
      <c r="J1939" t="inlineStr">
        <is>
          <t>High</t>
        </is>
      </c>
      <c r="M1939" t="inlineStr">
        <is>
          <t>LLM</t>
        </is>
      </c>
      <c r="N1939" t="inlineStr">
        <is>
          <t>2026-04-18</t>
        </is>
      </c>
      <c r="O1939" t="inlineStr">
        <is>
          <t>AI</t>
        </is>
      </c>
    </row>
    <row r="1940">
      <c r="A1940" t="inlineStr">
        <is>
          <t>PT Gozco Plantations Tbk</t>
        </is>
      </c>
      <c r="B1940" t="inlineStr">
        <is>
          <t>GZCO_2023_AR.pdf</t>
        </is>
      </c>
      <c r="C1940" t="n">
        <v>2023</v>
      </c>
      <c r="D1940" t="inlineStr">
        <is>
          <t>Operation</t>
        </is>
      </c>
      <c r="E1940" t="inlineStr">
        <is>
          <t>FFB Internal Processed</t>
        </is>
      </c>
      <c r="F1940" t="n">
        <v>198404</v>
      </c>
      <c r="G1940" t="inlineStr">
        <is>
          <t>t</t>
        </is>
      </c>
      <c r="H1940" t="n">
        <v>6</v>
      </c>
      <c r="I1940" t="inlineStr">
        <is>
          <t>Hasil Kebun Inti Diproses 198.404 176.779 172.710</t>
        </is>
      </c>
      <c r="J1940" t="inlineStr">
        <is>
          <t>High</t>
        </is>
      </c>
      <c r="M1940" t="inlineStr">
        <is>
          <t>LLM</t>
        </is>
      </c>
      <c r="N1940" t="inlineStr">
        <is>
          <t>2026-04-18</t>
        </is>
      </c>
      <c r="O1940" t="inlineStr">
        <is>
          <t>AI</t>
        </is>
      </c>
    </row>
    <row r="1941">
      <c r="A1941" t="inlineStr">
        <is>
          <t>PT Gozco Plantations Tbk</t>
        </is>
      </c>
      <c r="B1941" t="inlineStr">
        <is>
          <t>GZCO_2023_AR.pdf</t>
        </is>
      </c>
      <c r="C1941" t="n">
        <v>2023</v>
      </c>
      <c r="D1941" t="inlineStr">
        <is>
          <t>Operation</t>
        </is>
      </c>
      <c r="E1941" t="inlineStr">
        <is>
          <t>FFB External (3rd Party)</t>
        </is>
      </c>
      <c r="F1941" t="n">
        <v>28621</v>
      </c>
      <c r="G1941" t="inlineStr">
        <is>
          <t>t</t>
        </is>
      </c>
      <c r="H1941" t="n">
        <v>6</v>
      </c>
      <c r="I1941" t="inlineStr">
        <is>
          <t>Dari Kebun luar / Pembelian 28.621 34.068 55.741</t>
        </is>
      </c>
      <c r="J1941" t="inlineStr">
        <is>
          <t>High</t>
        </is>
      </c>
      <c r="M1941" t="inlineStr">
        <is>
          <t>LLM</t>
        </is>
      </c>
      <c r="N1941" t="inlineStr">
        <is>
          <t>2026-04-18</t>
        </is>
      </c>
      <c r="O1941" t="inlineStr">
        <is>
          <t>AI</t>
        </is>
      </c>
    </row>
    <row r="1942">
      <c r="A1942" t="inlineStr">
        <is>
          <t>PT Gozco Plantations Tbk</t>
        </is>
      </c>
      <c r="B1942" t="inlineStr">
        <is>
          <t>GZCO_2023_AR.pdf</t>
        </is>
      </c>
      <c r="C1942" t="n">
        <v>2023</v>
      </c>
      <c r="D1942" t="inlineStr">
        <is>
          <t>Operation</t>
        </is>
      </c>
      <c r="E1942" t="inlineStr">
        <is>
          <t>Total FFB Processed</t>
        </is>
      </c>
      <c r="F1942" t="n">
        <v>227025</v>
      </c>
      <c r="G1942" t="inlineStr">
        <is>
          <t>t</t>
        </is>
      </c>
      <c r="H1942" t="n">
        <v>6</v>
      </c>
      <c r="I1942" t="inlineStr">
        <is>
          <t>Total TBS Tersedia &amp; Diproses 227.025 210.847 228.451</t>
        </is>
      </c>
      <c r="J1942" t="inlineStr">
        <is>
          <t>High</t>
        </is>
      </c>
      <c r="M1942" t="inlineStr">
        <is>
          <t>LLM</t>
        </is>
      </c>
      <c r="N1942" t="inlineStr">
        <is>
          <t>2026-04-18</t>
        </is>
      </c>
      <c r="O1942" t="inlineStr">
        <is>
          <t>AI</t>
        </is>
      </c>
    </row>
    <row r="1943">
      <c r="A1943" t="inlineStr">
        <is>
          <t>PT Gozco Plantations Tbk</t>
        </is>
      </c>
      <c r="B1943" t="inlineStr">
        <is>
          <t>GZCO_2023_AR.pdf</t>
        </is>
      </c>
      <c r="C1943" t="n">
        <v>2023</v>
      </c>
      <c r="D1943" t="inlineStr">
        <is>
          <t>Operation</t>
        </is>
      </c>
      <c r="E1943" t="inlineStr">
        <is>
          <t>FFB Yield (Nucleus)</t>
        </is>
      </c>
      <c r="F1943" t="n">
        <v>16.78</v>
      </c>
      <c r="G1943" t="inlineStr">
        <is>
          <t>t/ha</t>
        </is>
      </c>
      <c r="H1943" t="n">
        <v>6</v>
      </c>
      <c r="I1943" t="inlineStr">
        <is>
          <t>Hasil Panen terhadap Lahan Inti 16,78 14,94 14,52</t>
        </is>
      </c>
      <c r="J1943" t="inlineStr">
        <is>
          <t>High</t>
        </is>
      </c>
      <c r="M1943" t="inlineStr">
        <is>
          <t>LLM</t>
        </is>
      </c>
      <c r="N1943" t="inlineStr">
        <is>
          <t>2026-04-18</t>
        </is>
      </c>
      <c r="O1943" t="inlineStr">
        <is>
          <t>AI</t>
        </is>
      </c>
    </row>
    <row r="1944">
      <c r="A1944" t="inlineStr">
        <is>
          <t>PT Gozco Plantations Tbk</t>
        </is>
      </c>
      <c r="B1944" t="inlineStr">
        <is>
          <t>GZCO_2023_AR.pdf</t>
        </is>
      </c>
      <c r="C1944" t="n">
        <v>2023</v>
      </c>
      <c r="D1944" t="inlineStr">
        <is>
          <t>Operation</t>
        </is>
      </c>
      <c r="E1944" t="inlineStr">
        <is>
          <t>CPO Production</t>
        </is>
      </c>
      <c r="F1944" t="n">
        <v>50310</v>
      </c>
      <c r="G1944" t="inlineStr">
        <is>
          <t>t</t>
        </is>
      </c>
      <c r="H1944" t="n">
        <v>6</v>
      </c>
      <c r="I1944" t="inlineStr">
        <is>
          <t>Minyak Sawit Mentah (CPO) 50.310 48.841 50.833</t>
        </is>
      </c>
      <c r="J1944" t="inlineStr">
        <is>
          <t>High</t>
        </is>
      </c>
      <c r="M1944" t="inlineStr">
        <is>
          <t>LLM</t>
        </is>
      </c>
      <c r="N1944" t="inlineStr">
        <is>
          <t>2026-04-18</t>
        </is>
      </c>
      <c r="O1944" t="inlineStr">
        <is>
          <t>AI</t>
        </is>
      </c>
    </row>
    <row r="1945">
      <c r="A1945" t="inlineStr">
        <is>
          <t>PT Gozco Plantations Tbk</t>
        </is>
      </c>
      <c r="B1945" t="inlineStr">
        <is>
          <t>GZCO_2023_AR.pdf</t>
        </is>
      </c>
      <c r="C1945" t="n">
        <v>2023</v>
      </c>
      <c r="D1945" t="inlineStr">
        <is>
          <t>Operation</t>
        </is>
      </c>
      <c r="E1945" t="inlineStr">
        <is>
          <t>Kernel Production</t>
        </is>
      </c>
      <c r="F1945" t="n">
        <v>10532</v>
      </c>
      <c r="G1945" t="inlineStr">
        <is>
          <t>t</t>
        </is>
      </c>
      <c r="H1945" t="n">
        <v>6</v>
      </c>
      <c r="I1945" t="inlineStr">
        <is>
          <t>Kernel 10.532 9.517 10.594 PK</t>
        </is>
      </c>
      <c r="J1945" t="inlineStr">
        <is>
          <t>High</t>
        </is>
      </c>
      <c r="M1945" t="inlineStr">
        <is>
          <t>LLM</t>
        </is>
      </c>
      <c r="N1945" t="inlineStr">
        <is>
          <t>2026-04-18</t>
        </is>
      </c>
      <c r="O1945" t="inlineStr">
        <is>
          <t>AI</t>
        </is>
      </c>
    </row>
    <row r="1946">
      <c r="A1946" t="inlineStr">
        <is>
          <t>PT Gozco Plantations Tbk</t>
        </is>
      </c>
      <c r="B1946" t="inlineStr">
        <is>
          <t>GZCO_2023_AR.pdf</t>
        </is>
      </c>
      <c r="C1946" t="n">
        <v>2023</v>
      </c>
      <c r="D1946" t="inlineStr">
        <is>
          <t>Operation</t>
        </is>
      </c>
      <c r="E1946" t="inlineStr">
        <is>
          <t>CPO Extraction Rate (OER)</t>
        </is>
      </c>
      <c r="F1946" t="n">
        <v>0.2216</v>
      </c>
      <c r="G1946" t="inlineStr">
        <is>
          <t>%</t>
        </is>
      </c>
      <c r="H1946" t="n">
        <v>6</v>
      </c>
      <c r="I1946" t="inlineStr">
        <is>
          <t>Minyak Sawit Mentah 22,16 23,16 22,25 CPO</t>
        </is>
      </c>
      <c r="J1946" t="inlineStr">
        <is>
          <t>High</t>
        </is>
      </c>
      <c r="M1946" t="inlineStr">
        <is>
          <t>LLM</t>
        </is>
      </c>
      <c r="N1946" t="inlineStr">
        <is>
          <t>2026-04-18</t>
        </is>
      </c>
      <c r="O1946" t="inlineStr">
        <is>
          <t>AI</t>
        </is>
      </c>
    </row>
    <row r="1947">
      <c r="A1947" t="inlineStr">
        <is>
          <t>PT Gozco Plantations Tbk</t>
        </is>
      </c>
      <c r="B1947" t="inlineStr">
        <is>
          <t>GZCO_2023_AR.pdf</t>
        </is>
      </c>
      <c r="C1947" t="n">
        <v>2023</v>
      </c>
      <c r="D1947" t="inlineStr">
        <is>
          <t>Operation</t>
        </is>
      </c>
      <c r="E1947" t="inlineStr">
        <is>
          <t>Kernel Extraction Rate (KER)</t>
        </is>
      </c>
      <c r="F1947" t="n">
        <v>0.0464</v>
      </c>
      <c r="G1947" t="inlineStr">
        <is>
          <t>%</t>
        </is>
      </c>
      <c r="H1947" t="n">
        <v>6</v>
      </c>
      <c r="I1947" t="inlineStr">
        <is>
          <t>Kernel 4,64 4,51 4,64 PK</t>
        </is>
      </c>
      <c r="J1947" t="inlineStr">
        <is>
          <t>High</t>
        </is>
      </c>
      <c r="M1947" t="inlineStr">
        <is>
          <t>LLM</t>
        </is>
      </c>
      <c r="N1947" t="inlineStr">
        <is>
          <t>2026-04-18</t>
        </is>
      </c>
      <c r="O1947" t="inlineStr">
        <is>
          <t>AI</t>
        </is>
      </c>
    </row>
    <row r="1948">
      <c r="A1948" t="inlineStr">
        <is>
          <t>PT Gozco Plantations Tbk</t>
        </is>
      </c>
      <c r="B1948" t="inlineStr">
        <is>
          <t>GZCO_2023_AR.pdf</t>
        </is>
      </c>
      <c r="C1948" t="n">
        <v>2023</v>
      </c>
      <c r="D1948" t="inlineStr">
        <is>
          <t>Operation</t>
        </is>
      </c>
      <c r="E1948" t="inlineStr">
        <is>
          <t>CPO Sales Volume</t>
        </is>
      </c>
      <c r="F1948" t="n">
        <v>59395</v>
      </c>
      <c r="G1948" t="inlineStr">
        <is>
          <t>t</t>
        </is>
      </c>
      <c r="H1948" t="n">
        <v>6</v>
      </c>
      <c r="I1948" t="inlineStr">
        <is>
          <t>Minyak Sawit Mentah 59.395 38.659 50.762 CPO</t>
        </is>
      </c>
      <c r="J1948" t="inlineStr">
        <is>
          <t>High</t>
        </is>
      </c>
      <c r="M1948" t="inlineStr">
        <is>
          <t>LLM</t>
        </is>
      </c>
      <c r="N1948" t="inlineStr">
        <is>
          <t>2026-04-18</t>
        </is>
      </c>
      <c r="O1948" t="inlineStr">
        <is>
          <t>AI</t>
        </is>
      </c>
    </row>
    <row r="1949">
      <c r="A1949" t="inlineStr">
        <is>
          <t>PT Gozco Plantations Tbk</t>
        </is>
      </c>
      <c r="B1949" t="inlineStr">
        <is>
          <t>GZCO_2023_AR.pdf</t>
        </is>
      </c>
      <c r="C1949" t="n">
        <v>2023</v>
      </c>
      <c r="D1949" t="inlineStr">
        <is>
          <t>Operation</t>
        </is>
      </c>
      <c r="E1949" t="inlineStr">
        <is>
          <t>Kernel Sales Volume</t>
        </is>
      </c>
      <c r="F1949" t="n">
        <v>11425</v>
      </c>
      <c r="G1949" t="inlineStr">
        <is>
          <t>t</t>
        </is>
      </c>
      <c r="H1949" t="n">
        <v>6</v>
      </c>
      <c r="I1949" t="inlineStr">
        <is>
          <t>Kernel 11.425 8.496 10.541 PK</t>
        </is>
      </c>
      <c r="J1949" t="inlineStr">
        <is>
          <t>High</t>
        </is>
      </c>
      <c r="M1949" t="inlineStr">
        <is>
          <t>LLM</t>
        </is>
      </c>
      <c r="N1949" t="inlineStr">
        <is>
          <t>2026-04-18</t>
        </is>
      </c>
      <c r="O1949" t="inlineStr">
        <is>
          <t>AI</t>
        </is>
      </c>
    </row>
    <row r="1950">
      <c r="A1950" t="inlineStr">
        <is>
          <t>PT Gozco Plantations Tbk</t>
        </is>
      </c>
      <c r="B1950" t="inlineStr">
        <is>
          <t>GZCO_2023_AR.pdf</t>
        </is>
      </c>
      <c r="C1950" t="n">
        <v>2023</v>
      </c>
      <c r="D1950" t="inlineStr">
        <is>
          <t>Operation</t>
        </is>
      </c>
      <c r="E1950" t="inlineStr">
        <is>
          <t>Avg CPO Selling Price</t>
        </is>
      </c>
      <c r="F1950" t="n">
        <v>11094</v>
      </c>
      <c r="G1950" t="inlineStr">
        <is>
          <t>Rp/kg</t>
        </is>
      </c>
      <c r="H1950" t="n">
        <v>44</v>
      </c>
      <c r="I1950" t="inlineStr">
        <is>
          <t>Minyak Sawit Mentah 11.094 11.902 8.828 CPO</t>
        </is>
      </c>
      <c r="J1950" t="inlineStr">
        <is>
          <t>High</t>
        </is>
      </c>
      <c r="M1950" t="inlineStr">
        <is>
          <t>LLM</t>
        </is>
      </c>
      <c r="N1950" t="inlineStr">
        <is>
          <t>2026-04-18</t>
        </is>
      </c>
      <c r="O1950" t="inlineStr">
        <is>
          <t>AI</t>
        </is>
      </c>
    </row>
    <row r="1951">
      <c r="A1951" t="inlineStr">
        <is>
          <t>PT Gozco Plantations Tbk</t>
        </is>
      </c>
      <c r="B1951" t="inlineStr">
        <is>
          <t>GZCO_2023_AR.pdf</t>
        </is>
      </c>
      <c r="C1951" t="n">
        <v>2023</v>
      </c>
      <c r="D1951" t="inlineStr">
        <is>
          <t>Operation</t>
        </is>
      </c>
      <c r="E1951" t="inlineStr">
        <is>
          <t>Avg Kernel Selling Price</t>
        </is>
      </c>
      <c r="F1951" t="n">
        <v>5436</v>
      </c>
      <c r="G1951" t="inlineStr">
        <is>
          <t>Rp/kg</t>
        </is>
      </c>
      <c r="H1951" t="n">
        <v>44</v>
      </c>
      <c r="I1951" t="inlineStr">
        <is>
          <t>Kernel 5.436 7.474 5.198</t>
        </is>
      </c>
      <c r="J1951" t="inlineStr">
        <is>
          <t>High</t>
        </is>
      </c>
      <c r="M1951" t="inlineStr">
        <is>
          <t>LLM</t>
        </is>
      </c>
      <c r="N1951" t="inlineStr">
        <is>
          <t>2026-04-18</t>
        </is>
      </c>
      <c r="O1951" t="inlineStr">
        <is>
          <t>AI</t>
        </is>
      </c>
    </row>
    <row r="1952">
      <c r="A1952" t="inlineStr">
        <is>
          <t>PT Gozco Plantations Tbk</t>
        </is>
      </c>
      <c r="B1952" t="inlineStr">
        <is>
          <t>GZCO_2023_AR.pdf</t>
        </is>
      </c>
      <c r="C1952" t="n">
        <v>2023</v>
      </c>
      <c r="D1952" t="inlineStr">
        <is>
          <t>Operation</t>
        </is>
      </c>
      <c r="E1952" t="inlineStr">
        <is>
          <t>Avg FFB Selling Price</t>
        </is>
      </c>
      <c r="F1952" t="n">
        <v>2317</v>
      </c>
      <c r="G1952" t="inlineStr">
        <is>
          <t>Rp/kg</t>
        </is>
      </c>
      <c r="H1952" t="n">
        <v>44</v>
      </c>
      <c r="I1952" t="inlineStr">
        <is>
          <t>TBS 2.317 2.299 1.589 FFB</t>
        </is>
      </c>
      <c r="J1952" t="inlineStr">
        <is>
          <t>High</t>
        </is>
      </c>
      <c r="M1952" t="inlineStr">
        <is>
          <t>LLM</t>
        </is>
      </c>
      <c r="N1952" t="inlineStr">
        <is>
          <t>2026-04-18</t>
        </is>
      </c>
      <c r="O1952" t="inlineStr">
        <is>
          <t>AI</t>
        </is>
      </c>
    </row>
    <row r="1953">
      <c r="A1953" t="inlineStr">
        <is>
          <t>PT Gozco Plantations Tbk</t>
        </is>
      </c>
      <c r="B1953" t="inlineStr">
        <is>
          <t>GZCO_2023_AR.pdf</t>
        </is>
      </c>
      <c r="C1953" t="n">
        <v>2023</v>
      </c>
      <c r="D1953" t="inlineStr">
        <is>
          <t>Operation</t>
        </is>
      </c>
      <c r="E1953" t="inlineStr">
        <is>
          <t>CPO Sales Value</t>
        </is>
      </c>
      <c r="F1953" t="n">
        <v>659</v>
      </c>
      <c r="G1953" t="inlineStr">
        <is>
          <t>IDR bn</t>
        </is>
      </c>
      <c r="H1953" t="n">
        <v>44</v>
      </c>
      <c r="I1953" t="inlineStr">
        <is>
          <t>Minyak Sawit Mentah 658.953 460.697 604.177 CPO</t>
        </is>
      </c>
      <c r="J1953" t="inlineStr">
        <is>
          <t>High</t>
        </is>
      </c>
      <c r="M1953" t="inlineStr">
        <is>
          <t>LLM</t>
        </is>
      </c>
      <c r="N1953" t="inlineStr">
        <is>
          <t>2026-04-18</t>
        </is>
      </c>
      <c r="O1953" t="inlineStr">
        <is>
          <t>AI</t>
        </is>
      </c>
    </row>
    <row r="1954">
      <c r="A1954" t="inlineStr">
        <is>
          <t>PT Gozco Plantations Tbk</t>
        </is>
      </c>
      <c r="B1954" t="inlineStr">
        <is>
          <t>GZCO_2023_AR.pdf</t>
        </is>
      </c>
      <c r="C1954" t="n">
        <v>2023</v>
      </c>
      <c r="D1954" t="inlineStr">
        <is>
          <t>Operation</t>
        </is>
      </c>
      <c r="E1954" t="inlineStr">
        <is>
          <t>Sales Channel</t>
        </is>
      </c>
      <c r="F1954" t="inlineStr">
        <is>
          <t>Domestic (IDR) only</t>
        </is>
      </c>
      <c r="G1954" t="inlineStr">
        <is>
          <t>text</t>
        </is>
      </c>
      <c r="H1954" t="n">
        <v>45</v>
      </c>
      <c r="I1954" t="inlineStr">
        <is>
          <t>Semua penjualan CPO maupun kernel dilakukan dalam satuan rupiah</t>
        </is>
      </c>
      <c r="J1954" t="inlineStr">
        <is>
          <t>High</t>
        </is>
      </c>
      <c r="M1954" t="inlineStr">
        <is>
          <t>LLM</t>
        </is>
      </c>
      <c r="N1954" t="inlineStr">
        <is>
          <t>2026-04-18</t>
        </is>
      </c>
      <c r="O1954" t="inlineStr">
        <is>
          <t>AI</t>
        </is>
      </c>
    </row>
    <row r="1955">
      <c r="A1955" t="inlineStr">
        <is>
          <t>PT Gozco Plantations Tbk</t>
        </is>
      </c>
      <c r="B1955" t="inlineStr">
        <is>
          <t>GZCO_2023_AR.pdf</t>
        </is>
      </c>
      <c r="C1955" t="n">
        <v>2023</v>
      </c>
      <c r="D1955" t="inlineStr">
        <is>
          <t>Other</t>
        </is>
      </c>
      <c r="E1955" t="inlineStr">
        <is>
          <t>President Commissioner</t>
        </is>
      </c>
      <c r="F1955" t="inlineStr">
        <is>
          <t>Tjandra Mindharta Gozali</t>
        </is>
      </c>
      <c r="G1955" t="inlineStr">
        <is>
          <t>text</t>
        </is>
      </c>
      <c r="H1955" t="n">
        <v>22</v>
      </c>
      <c r="I1955" t="inlineStr">
        <is>
          <t>Tjandra Mindharta Gozali President Commissioner</t>
        </is>
      </c>
      <c r="J1955" t="inlineStr">
        <is>
          <t>High</t>
        </is>
      </c>
      <c r="M1955" t="inlineStr">
        <is>
          <t>LLM</t>
        </is>
      </c>
      <c r="N1955" t="inlineStr">
        <is>
          <t>2026-04-18</t>
        </is>
      </c>
      <c r="O1955" t="inlineStr">
        <is>
          <t>AI</t>
        </is>
      </c>
    </row>
    <row r="1956">
      <c r="A1956" t="inlineStr">
        <is>
          <t>PT Gozco Plantations Tbk</t>
        </is>
      </c>
      <c r="B1956" t="inlineStr">
        <is>
          <t>GZCO_2023_AR.pdf</t>
        </is>
      </c>
      <c r="C1956" t="n">
        <v>2023</v>
      </c>
      <c r="D1956" t="inlineStr">
        <is>
          <t>Other</t>
        </is>
      </c>
      <c r="E1956" t="inlineStr">
        <is>
          <t>President Director</t>
        </is>
      </c>
      <c r="F1956" t="inlineStr">
        <is>
          <t>Kreisna Dewantara Gozali</t>
        </is>
      </c>
      <c r="G1956" t="inlineStr">
        <is>
          <t>text</t>
        </is>
      </c>
      <c r="H1956" t="n">
        <v>16</v>
      </c>
      <c r="I1956" t="inlineStr">
        <is>
          <t>Kreisna Dewantara Gozali President Director</t>
        </is>
      </c>
      <c r="J1956" t="inlineStr">
        <is>
          <t>High</t>
        </is>
      </c>
      <c r="M1956" t="inlineStr">
        <is>
          <t>LLM</t>
        </is>
      </c>
      <c r="N1956" t="inlineStr">
        <is>
          <t>2026-04-18</t>
        </is>
      </c>
      <c r="O1956" t="inlineStr">
        <is>
          <t>AI</t>
        </is>
      </c>
    </row>
    <row r="1957">
      <c r="A1957" t="inlineStr">
        <is>
          <t>PT Gozco Plantations Tbk</t>
        </is>
      </c>
      <c r="B1957" t="inlineStr">
        <is>
          <t>GZCO_2024_AR.pdf</t>
        </is>
      </c>
      <c r="C1957" t="n">
        <v>2024</v>
      </c>
      <c r="D1957" t="inlineStr">
        <is>
          <t>Company</t>
        </is>
      </c>
      <c r="E1957" t="inlineStr">
        <is>
          <t>Company Name</t>
        </is>
      </c>
      <c r="F1957" t="inlineStr">
        <is>
          <t>PT Gozco Plantations Tbk</t>
        </is>
      </c>
      <c r="G1957" t="inlineStr">
        <is>
          <t>text</t>
        </is>
      </c>
      <c r="H1957" t="n">
        <v>29</v>
      </c>
      <c r="I1957" t="inlineStr">
        <is>
          <t>PT Gozco Plantations Tbk (dahulu PT Surya Gemilang Sentosa) didirikan berdasar Akta Notaris Wachid Hasyim, S.H., No. 28, tanggal 10 Agustus 2001</t>
        </is>
      </c>
      <c r="J1957" t="inlineStr">
        <is>
          <t>High</t>
        </is>
      </c>
      <c r="M1957" t="inlineStr">
        <is>
          <t>LLM</t>
        </is>
      </c>
      <c r="N1957" t="inlineStr">
        <is>
          <t>2026-04-18</t>
        </is>
      </c>
      <c r="O1957" t="inlineStr">
        <is>
          <t>AI</t>
        </is>
      </c>
    </row>
    <row r="1958">
      <c r="A1958" t="inlineStr">
        <is>
          <t>PT Gozco Plantations Tbk</t>
        </is>
      </c>
      <c r="B1958" t="inlineStr">
        <is>
          <t>GZCO_2024_AR.pdf</t>
        </is>
      </c>
      <c r="C1958" t="n">
        <v>2024</v>
      </c>
      <c r="D1958" t="inlineStr">
        <is>
          <t>Company</t>
        </is>
      </c>
      <c r="E1958" t="inlineStr">
        <is>
          <t>IPO Date</t>
        </is>
      </c>
      <c r="F1958" t="inlineStr">
        <is>
          <t>15 May 2008</t>
        </is>
      </c>
      <c r="G1958" t="inlineStr">
        <is>
          <t>date</t>
        </is>
      </c>
      <c r="H1958" t="n">
        <v>10</v>
      </c>
      <c r="I1958" t="inlineStr">
        <is>
          <t>Pada tanggal 15 Mei 2008 saham yang dimiliki masyarakat dimaksud telah tercatat di Bursa Efek Indonesia</t>
        </is>
      </c>
      <c r="J1958" t="inlineStr">
        <is>
          <t>High</t>
        </is>
      </c>
      <c r="M1958" t="inlineStr">
        <is>
          <t>LLM</t>
        </is>
      </c>
      <c r="N1958" t="inlineStr">
        <is>
          <t>2026-04-18</t>
        </is>
      </c>
      <c r="O1958" t="inlineStr">
        <is>
          <t>AI</t>
        </is>
      </c>
    </row>
    <row r="1959">
      <c r="A1959" t="inlineStr">
        <is>
          <t>PT Gozco Plantations Tbk</t>
        </is>
      </c>
      <c r="B1959" t="inlineStr">
        <is>
          <t>GZCO_2024_AR.pdf</t>
        </is>
      </c>
      <c r="C1959" t="n">
        <v>2024</v>
      </c>
      <c r="D1959" t="inlineStr">
        <is>
          <t>Company</t>
        </is>
      </c>
      <c r="E1959" t="inlineStr">
        <is>
          <t>Controlling Shareholder</t>
        </is>
      </c>
      <c r="F1959" t="inlineStr">
        <is>
          <t>PT Golden Zaga Indonesia 28.37%</t>
        </is>
      </c>
      <c r="G1959" t="inlineStr">
        <is>
          <t>%</t>
        </is>
      </c>
      <c r="H1959" t="n">
        <v>10</v>
      </c>
      <c r="I1959" t="inlineStr">
        <is>
          <t>PT. Golden Zaga Indonesia 1.702.000.000 170.200.000.000 28,37%</t>
        </is>
      </c>
      <c r="J1959" t="inlineStr">
        <is>
          <t>High</t>
        </is>
      </c>
      <c r="M1959" t="inlineStr">
        <is>
          <t>LLM</t>
        </is>
      </c>
      <c r="N1959" t="inlineStr">
        <is>
          <t>2026-04-18</t>
        </is>
      </c>
      <c r="O1959" t="inlineStr">
        <is>
          <t>AI</t>
        </is>
      </c>
    </row>
    <row r="1960">
      <c r="A1960" t="inlineStr">
        <is>
          <t>PT Gozco Plantations Tbk</t>
        </is>
      </c>
      <c r="B1960" t="inlineStr">
        <is>
          <t>GZCO_2024_AR.pdf</t>
        </is>
      </c>
      <c r="C1960" t="n">
        <v>2024</v>
      </c>
      <c r="D1960" t="inlineStr">
        <is>
          <t>Company</t>
        </is>
      </c>
      <c r="E1960" t="inlineStr">
        <is>
          <t>Second Largest Shareholder</t>
        </is>
      </c>
      <c r="F1960" t="inlineStr">
        <is>
          <t>Tjandra Mindharta Gozali 26.37%</t>
        </is>
      </c>
      <c r="G1960" t="inlineStr">
        <is>
          <t>%</t>
        </is>
      </c>
      <c r="H1960" t="n">
        <v>10</v>
      </c>
      <c r="I1960" t="inlineStr">
        <is>
          <t>Tjandra Mindharta Gozali 1.581.972.000 158.197.200.000 26,37%</t>
        </is>
      </c>
      <c r="J1960" t="inlineStr">
        <is>
          <t>High</t>
        </is>
      </c>
      <c r="M1960" t="inlineStr">
        <is>
          <t>LLM</t>
        </is>
      </c>
      <c r="N1960" t="inlineStr">
        <is>
          <t>2026-04-18</t>
        </is>
      </c>
      <c r="O1960" t="inlineStr">
        <is>
          <t>AI</t>
        </is>
      </c>
    </row>
    <row r="1961">
      <c r="A1961" t="inlineStr">
        <is>
          <t>PT Gozco Plantations Tbk</t>
        </is>
      </c>
      <c r="B1961" t="inlineStr">
        <is>
          <t>GZCO_2024_AR.pdf</t>
        </is>
      </c>
      <c r="C1961" t="n">
        <v>2024</v>
      </c>
      <c r="D1961" t="inlineStr">
        <is>
          <t>Company</t>
        </is>
      </c>
      <c r="E1961" t="inlineStr">
        <is>
          <t>Public Float</t>
        </is>
      </c>
      <c r="F1961" t="n">
        <v>0.3511</v>
      </c>
      <c r="G1961" t="inlineStr">
        <is>
          <t>%</t>
        </is>
      </c>
      <c r="H1961" t="n">
        <v>10</v>
      </c>
      <c r="I1961" t="inlineStr">
        <is>
          <t>Masyarakat dibawah 5% 2.106.656.500 210.665.650.000 35,11%</t>
        </is>
      </c>
      <c r="J1961" t="inlineStr">
        <is>
          <t>High</t>
        </is>
      </c>
      <c r="M1961" t="inlineStr">
        <is>
          <t>LLM</t>
        </is>
      </c>
      <c r="N1961" t="inlineStr">
        <is>
          <t>2026-04-18</t>
        </is>
      </c>
      <c r="O1961" t="inlineStr">
        <is>
          <t>AI</t>
        </is>
      </c>
    </row>
    <row r="1962">
      <c r="A1962" t="inlineStr">
        <is>
          <t>PT Gozco Plantations Tbk</t>
        </is>
      </c>
      <c r="B1962" t="inlineStr">
        <is>
          <t>GZCO_2024_AR.pdf</t>
        </is>
      </c>
      <c r="C1962" t="n">
        <v>2024</v>
      </c>
      <c r="D1962" t="inlineStr">
        <is>
          <t>Company</t>
        </is>
      </c>
      <c r="E1962" t="inlineStr">
        <is>
          <t>Number of Shareholders</t>
        </is>
      </c>
      <c r="F1962" t="n">
        <v>14817</v>
      </c>
      <c r="G1962" t="inlineStr">
        <is>
          <t>count</t>
        </is>
      </c>
      <c r="H1962" t="n">
        <v>10</v>
      </c>
      <c r="I1962" t="inlineStr">
        <is>
          <t>Pemegang saham lokal maupun asing Perseroan per akhir tahun 2024 sebanyak 14.817 pemegang saham</t>
        </is>
      </c>
      <c r="J1962" t="inlineStr">
        <is>
          <t>High</t>
        </is>
      </c>
      <c r="M1962" t="inlineStr">
        <is>
          <t>LLM</t>
        </is>
      </c>
      <c r="N1962" t="inlineStr">
        <is>
          <t>2026-04-18</t>
        </is>
      </c>
      <c r="O1962" t="inlineStr">
        <is>
          <t>AI</t>
        </is>
      </c>
    </row>
    <row r="1963">
      <c r="A1963" t="inlineStr">
        <is>
          <t>PT Gozco Plantations Tbk</t>
        </is>
      </c>
      <c r="B1963" t="inlineStr">
        <is>
          <t>GZCO_2024_AR.pdf</t>
        </is>
      </c>
      <c r="C1963" t="n">
        <v>2024</v>
      </c>
      <c r="D1963" t="inlineStr">
        <is>
          <t>Company</t>
        </is>
      </c>
      <c r="E1963" t="inlineStr">
        <is>
          <t>Subsidiaries (operational)</t>
        </is>
      </c>
      <c r="F1963" t="inlineStr">
        <is>
          <t>Suryabumi, Cahya Vidi, Telaga Sari, SKM, Pemdas</t>
        </is>
      </c>
      <c r="G1963" t="inlineStr">
        <is>
          <t>text</t>
        </is>
      </c>
      <c r="H1963" t="n">
        <v>31</v>
      </c>
      <c r="I1963" t="inlineStr">
        <is>
          <t>Sampai dengan akhir tahun 2024, Entitas anak Suryabumi, Cahya Vidi, Telaga Sari, SKM, dan Pemdas dalam status operasi</t>
        </is>
      </c>
      <c r="J1963" t="inlineStr">
        <is>
          <t>High</t>
        </is>
      </c>
      <c r="M1963" t="inlineStr">
        <is>
          <t>LLM</t>
        </is>
      </c>
      <c r="N1963" t="inlineStr">
        <is>
          <t>2026-04-18</t>
        </is>
      </c>
      <c r="O1963" t="inlineStr">
        <is>
          <t>AI</t>
        </is>
      </c>
    </row>
    <row r="1964">
      <c r="A1964" t="inlineStr">
        <is>
          <t>PT Gozco Plantations Tbk</t>
        </is>
      </c>
      <c r="B1964" t="inlineStr">
        <is>
          <t>GZCO_2024_AR.pdf</t>
        </is>
      </c>
      <c r="C1964" t="n">
        <v>2024</v>
      </c>
      <c r="D1964" t="inlineStr">
        <is>
          <t>Financial</t>
        </is>
      </c>
      <c r="E1964" t="inlineStr">
        <is>
          <t>Revenue (Sales)</t>
        </is>
      </c>
      <c r="F1964" t="n">
        <v>804.6</v>
      </c>
      <c r="G1964" t="inlineStr">
        <is>
          <t>IDR bn</t>
        </is>
      </c>
      <c r="H1964" t="n">
        <v>8</v>
      </c>
      <c r="I1964" t="inlineStr">
        <is>
          <t>Penjualan 804.647 744.266 554.721 Sales (Rp Juta)</t>
        </is>
      </c>
      <c r="J1964" t="inlineStr">
        <is>
          <t>High</t>
        </is>
      </c>
      <c r="M1964" t="inlineStr">
        <is>
          <t>LLM</t>
        </is>
      </c>
      <c r="N1964" t="inlineStr">
        <is>
          <t>2026-04-18</t>
        </is>
      </c>
      <c r="O1964" t="inlineStr">
        <is>
          <t>AI</t>
        </is>
      </c>
    </row>
    <row r="1965">
      <c r="A1965" t="inlineStr">
        <is>
          <t>PT Gozco Plantations Tbk</t>
        </is>
      </c>
      <c r="B1965" t="inlineStr">
        <is>
          <t>GZCO_2024_AR.pdf</t>
        </is>
      </c>
      <c r="C1965" t="n">
        <v>2024</v>
      </c>
      <c r="D1965" t="inlineStr">
        <is>
          <t>Financial</t>
        </is>
      </c>
      <c r="E1965" t="inlineStr">
        <is>
          <t>Revenue from CPO</t>
        </is>
      </c>
      <c r="F1965" t="n">
        <v>585.6</v>
      </c>
      <c r="G1965" t="inlineStr">
        <is>
          <t>IDR bn</t>
        </is>
      </c>
      <c r="H1965" t="n">
        <v>45</v>
      </c>
      <c r="I1965" t="inlineStr">
        <is>
          <t>Minyak Sawit Mentah 585.613 658.953 460.697 CPO</t>
        </is>
      </c>
      <c r="J1965" t="inlineStr">
        <is>
          <t>High</t>
        </is>
      </c>
      <c r="M1965" t="inlineStr">
        <is>
          <t>LLM</t>
        </is>
      </c>
      <c r="N1965" t="inlineStr">
        <is>
          <t>2026-04-18</t>
        </is>
      </c>
      <c r="O1965" t="inlineStr">
        <is>
          <t>AI</t>
        </is>
      </c>
    </row>
    <row r="1966">
      <c r="A1966" t="inlineStr">
        <is>
          <t>PT Gozco Plantations Tbk</t>
        </is>
      </c>
      <c r="B1966" t="inlineStr">
        <is>
          <t>GZCO_2024_AR.pdf</t>
        </is>
      </c>
      <c r="C1966" t="n">
        <v>2024</v>
      </c>
      <c r="D1966" t="inlineStr">
        <is>
          <t>Financial</t>
        </is>
      </c>
      <c r="E1966" t="inlineStr">
        <is>
          <t>Revenue from Kernel</t>
        </is>
      </c>
      <c r="F1966" t="n">
        <v>80.7</v>
      </c>
      <c r="G1966" t="inlineStr">
        <is>
          <t>IDR bn</t>
        </is>
      </c>
      <c r="H1966" t="n">
        <v>45</v>
      </c>
      <c r="I1966" t="inlineStr">
        <is>
          <t>Kernel 80.662 62.107 64.284 PK</t>
        </is>
      </c>
      <c r="J1966" t="inlineStr">
        <is>
          <t>High</t>
        </is>
      </c>
      <c r="M1966" t="inlineStr">
        <is>
          <t>LLM</t>
        </is>
      </c>
      <c r="N1966" t="inlineStr">
        <is>
          <t>2026-04-18</t>
        </is>
      </c>
      <c r="O1966" t="inlineStr">
        <is>
          <t>AI</t>
        </is>
      </c>
    </row>
    <row r="1967">
      <c r="A1967" t="inlineStr">
        <is>
          <t>PT Gozco Plantations Tbk</t>
        </is>
      </c>
      <c r="B1967" t="inlineStr">
        <is>
          <t>GZCO_2024_AR.pdf</t>
        </is>
      </c>
      <c r="C1967" t="n">
        <v>2024</v>
      </c>
      <c r="D1967" t="inlineStr">
        <is>
          <t>Financial</t>
        </is>
      </c>
      <c r="E1967" t="inlineStr">
        <is>
          <t>Revenue from FFB</t>
        </is>
      </c>
      <c r="F1967" t="n">
        <v>138.4</v>
      </c>
      <c r="G1967" t="inlineStr">
        <is>
          <t>IDR bn</t>
        </is>
      </c>
      <c r="H1967" t="n">
        <v>45</v>
      </c>
      <c r="I1967" t="inlineStr">
        <is>
          <t>TBS 138.372 23.206 29.740 FFB</t>
        </is>
      </c>
      <c r="J1967" t="inlineStr">
        <is>
          <t>High</t>
        </is>
      </c>
      <c r="M1967" t="inlineStr">
        <is>
          <t>LLM</t>
        </is>
      </c>
      <c r="N1967" t="inlineStr">
        <is>
          <t>2026-04-18</t>
        </is>
      </c>
      <c r="O1967" t="inlineStr">
        <is>
          <t>AI</t>
        </is>
      </c>
    </row>
    <row r="1968">
      <c r="A1968" t="inlineStr">
        <is>
          <t>PT Gozco Plantations Tbk</t>
        </is>
      </c>
      <c r="B1968" t="inlineStr">
        <is>
          <t>GZCO_2024_AR.pdf</t>
        </is>
      </c>
      <c r="C1968" t="n">
        <v>2024</v>
      </c>
      <c r="D1968" t="inlineStr">
        <is>
          <t>Financial</t>
        </is>
      </c>
      <c r="E1968" t="inlineStr">
        <is>
          <t>Cost of Goods Sold</t>
        </is>
      </c>
      <c r="F1968" t="n">
        <v>641.1</v>
      </c>
      <c r="G1968" t="inlineStr">
        <is>
          <t>IDR bn</t>
        </is>
      </c>
      <c r="H1968" t="n">
        <v>46</v>
      </c>
      <c r="I1968" t="inlineStr">
        <is>
          <t>Beban Pokok Penjualan 641.083 650.681 432.191 Cost of Good Sold</t>
        </is>
      </c>
      <c r="J1968" t="inlineStr">
        <is>
          <t>High</t>
        </is>
      </c>
      <c r="M1968" t="inlineStr">
        <is>
          <t>LLM</t>
        </is>
      </c>
      <c r="N1968" t="inlineStr">
        <is>
          <t>2026-04-18</t>
        </is>
      </c>
      <c r="O1968" t="inlineStr">
        <is>
          <t>AI</t>
        </is>
      </c>
    </row>
    <row r="1969">
      <c r="A1969" t="inlineStr">
        <is>
          <t>PT Gozco Plantations Tbk</t>
        </is>
      </c>
      <c r="B1969" t="inlineStr">
        <is>
          <t>GZCO_2024_AR.pdf</t>
        </is>
      </c>
      <c r="C1969" t="n">
        <v>2024</v>
      </c>
      <c r="D1969" t="inlineStr">
        <is>
          <t>Financial</t>
        </is>
      </c>
      <c r="E1969" t="inlineStr">
        <is>
          <t>Gross Profit</t>
        </is>
      </c>
      <c r="F1969" t="n">
        <v>163.6</v>
      </c>
      <c r="G1969" t="inlineStr">
        <is>
          <t>IDR bn</t>
        </is>
      </c>
      <c r="H1969" t="n">
        <v>8</v>
      </c>
      <c r="I1969" t="inlineStr">
        <is>
          <t>Laba (Rugi) Kotor 163.564 93.585 122.530 Gross Profit (Loss)</t>
        </is>
      </c>
      <c r="J1969" t="inlineStr">
        <is>
          <t>High</t>
        </is>
      </c>
      <c r="M1969" t="inlineStr">
        <is>
          <t>LLM</t>
        </is>
      </c>
      <c r="N1969" t="inlineStr">
        <is>
          <t>2026-04-18</t>
        </is>
      </c>
      <c r="O1969" t="inlineStr">
        <is>
          <t>AI</t>
        </is>
      </c>
    </row>
    <row r="1970">
      <c r="A1970" t="inlineStr">
        <is>
          <t>PT Gozco Plantations Tbk</t>
        </is>
      </c>
      <c r="B1970" t="inlineStr">
        <is>
          <t>GZCO_2024_AR.pdf</t>
        </is>
      </c>
      <c r="C1970" t="n">
        <v>2024</v>
      </c>
      <c r="D1970" t="inlineStr">
        <is>
          <t>Financial</t>
        </is>
      </c>
      <c r="E1970" t="inlineStr">
        <is>
          <t>EBIT (LSBP)</t>
        </is>
      </c>
      <c r="F1970" t="n">
        <v>115.6</v>
      </c>
      <c r="G1970" t="inlineStr">
        <is>
          <t>IDR bn</t>
        </is>
      </c>
      <c r="H1970" t="n">
        <v>8</v>
      </c>
      <c r="I1970" t="inlineStr">
        <is>
          <t>EBIT 115.552 44.427 136.889 EBIT</t>
        </is>
      </c>
      <c r="J1970" t="inlineStr">
        <is>
          <t>High</t>
        </is>
      </c>
      <c r="M1970" t="inlineStr">
        <is>
          <t>LLM</t>
        </is>
      </c>
      <c r="N1970" t="inlineStr">
        <is>
          <t>2026-04-18</t>
        </is>
      </c>
      <c r="O1970" t="inlineStr">
        <is>
          <t>AI</t>
        </is>
      </c>
    </row>
    <row r="1971">
      <c r="A1971" t="inlineStr">
        <is>
          <t>PT Gozco Plantations Tbk</t>
        </is>
      </c>
      <c r="B1971" t="inlineStr">
        <is>
          <t>GZCO_2024_AR.pdf</t>
        </is>
      </c>
      <c r="C1971" t="n">
        <v>2024</v>
      </c>
      <c r="D1971" t="inlineStr">
        <is>
          <t>Financial</t>
        </is>
      </c>
      <c r="E1971" t="inlineStr">
        <is>
          <t>EBITDA</t>
        </is>
      </c>
      <c r="F1971" t="n">
        <v>242.4</v>
      </c>
      <c r="G1971" t="inlineStr">
        <is>
          <t>IDR bn</t>
        </is>
      </c>
      <c r="H1971" t="n">
        <v>8</v>
      </c>
      <c r="I1971" t="inlineStr">
        <is>
          <t>EBITDA 242.418 169.224 305.758 EBITDA</t>
        </is>
      </c>
      <c r="J1971" t="inlineStr">
        <is>
          <t>High</t>
        </is>
      </c>
      <c r="M1971" t="inlineStr">
        <is>
          <t>LLM</t>
        </is>
      </c>
      <c r="N1971" t="inlineStr">
        <is>
          <t>2026-04-18</t>
        </is>
      </c>
      <c r="O1971" t="inlineStr">
        <is>
          <t>AI</t>
        </is>
      </c>
    </row>
    <row r="1972">
      <c r="A1972" t="inlineStr">
        <is>
          <t>PT Gozco Plantations Tbk</t>
        </is>
      </c>
      <c r="B1972" t="inlineStr">
        <is>
          <t>GZCO_2024_AR.pdf</t>
        </is>
      </c>
      <c r="C1972" t="n">
        <v>2024</v>
      </c>
      <c r="D1972" t="inlineStr">
        <is>
          <t>Financial</t>
        </is>
      </c>
      <c r="E1972" t="inlineStr">
        <is>
          <t>Net Profit</t>
        </is>
      </c>
      <c r="F1972" t="n">
        <v>62.4</v>
      </c>
      <c r="G1972" t="inlineStr">
        <is>
          <t>IDR bn</t>
        </is>
      </c>
      <c r="H1972" t="n">
        <v>8</v>
      </c>
      <c r="I1972" t="inlineStr">
        <is>
          <t>Laba (Rugi) Bersih 62.410 2.386 75.818 Net Profit (Loss)</t>
        </is>
      </c>
      <c r="J1972" t="inlineStr">
        <is>
          <t>High</t>
        </is>
      </c>
      <c r="M1972" t="inlineStr">
        <is>
          <t>LLM</t>
        </is>
      </c>
      <c r="N1972" t="inlineStr">
        <is>
          <t>2026-04-18</t>
        </is>
      </c>
      <c r="O1972" t="inlineStr">
        <is>
          <t>AI</t>
        </is>
      </c>
    </row>
    <row r="1973">
      <c r="A1973" t="inlineStr">
        <is>
          <t>PT Gozco Plantations Tbk</t>
        </is>
      </c>
      <c r="B1973" t="inlineStr">
        <is>
          <t>GZCO_2024_AR.pdf</t>
        </is>
      </c>
      <c r="C1973" t="n">
        <v>2024</v>
      </c>
      <c r="D1973" t="inlineStr">
        <is>
          <t>Financial</t>
        </is>
      </c>
      <c r="E1973" t="inlineStr">
        <is>
          <t>Profit Attributable to Parent</t>
        </is>
      </c>
      <c r="F1973" t="n">
        <v>60.5</v>
      </c>
      <c r="G1973" t="inlineStr">
        <is>
          <t>IDR bn</t>
        </is>
      </c>
      <c r="H1973" t="n">
        <v>8</v>
      </c>
      <c r="I1973" t="inlineStr">
        <is>
          <t>L(R) Net Distbrib.ke Pengendali 60.542 2.141 75.634</t>
        </is>
      </c>
      <c r="J1973" t="inlineStr">
        <is>
          <t>High</t>
        </is>
      </c>
      <c r="M1973" t="inlineStr">
        <is>
          <t>LLM</t>
        </is>
      </c>
      <c r="N1973" t="inlineStr">
        <is>
          <t>2026-04-18</t>
        </is>
      </c>
      <c r="O1973" t="inlineStr">
        <is>
          <t>AI</t>
        </is>
      </c>
    </row>
    <row r="1974">
      <c r="A1974" t="inlineStr">
        <is>
          <t>PT Gozco Plantations Tbk</t>
        </is>
      </c>
      <c r="B1974" t="inlineStr">
        <is>
          <t>GZCO_2024_AR.pdf</t>
        </is>
      </c>
      <c r="C1974" t="n">
        <v>2024</v>
      </c>
      <c r="D1974" t="inlineStr">
        <is>
          <t>Financial</t>
        </is>
      </c>
      <c r="E1974" t="inlineStr">
        <is>
          <t>NCI Profit</t>
        </is>
      </c>
      <c r="F1974" t="n">
        <v>1.9</v>
      </c>
      <c r="G1974" t="inlineStr">
        <is>
          <t>IDR bn</t>
        </is>
      </c>
      <c r="H1974" t="n">
        <v>8</v>
      </c>
      <c r="I1974" t="inlineStr">
        <is>
          <t>Distribusi ke non Pengendali. 1.868 245 184</t>
        </is>
      </c>
      <c r="J1974" t="inlineStr">
        <is>
          <t>High</t>
        </is>
      </c>
      <c r="M1974" t="inlineStr">
        <is>
          <t>LLM</t>
        </is>
      </c>
      <c r="N1974" t="inlineStr">
        <is>
          <t>2026-04-18</t>
        </is>
      </c>
      <c r="O1974" t="inlineStr">
        <is>
          <t>AI</t>
        </is>
      </c>
    </row>
    <row r="1975">
      <c r="A1975" t="inlineStr">
        <is>
          <t>PT Gozco Plantations Tbk</t>
        </is>
      </c>
      <c r="B1975" t="inlineStr">
        <is>
          <t>GZCO_2024_AR.pdf</t>
        </is>
      </c>
      <c r="C1975" t="n">
        <v>2024</v>
      </c>
      <c r="D1975" t="inlineStr">
        <is>
          <t>Financial</t>
        </is>
      </c>
      <c r="E1975" t="inlineStr">
        <is>
          <t>Comprehensive Income</t>
        </is>
      </c>
      <c r="F1975" t="n">
        <v>63.4</v>
      </c>
      <c r="G1975" t="inlineStr">
        <is>
          <t>IDR bn</t>
        </is>
      </c>
      <c r="H1975" t="n">
        <v>8</v>
      </c>
      <c r="I1975" t="inlineStr">
        <is>
          <t>Laba (Rugi) - Komprehensif 63.431 15.730 76.920</t>
        </is>
      </c>
      <c r="J1975" t="inlineStr">
        <is>
          <t>High</t>
        </is>
      </c>
      <c r="M1975" t="inlineStr">
        <is>
          <t>LLM</t>
        </is>
      </c>
      <c r="N1975" t="inlineStr">
        <is>
          <t>2026-04-18</t>
        </is>
      </c>
      <c r="O1975" t="inlineStr">
        <is>
          <t>AI</t>
        </is>
      </c>
    </row>
    <row r="1976">
      <c r="A1976" t="inlineStr">
        <is>
          <t>PT Gozco Plantations Tbk</t>
        </is>
      </c>
      <c r="B1976" t="inlineStr">
        <is>
          <t>GZCO_2024_AR.pdf</t>
        </is>
      </c>
      <c r="C1976" t="n">
        <v>2024</v>
      </c>
      <c r="D1976" t="inlineStr">
        <is>
          <t>Financial</t>
        </is>
      </c>
      <c r="E1976" t="inlineStr">
        <is>
          <t>Total Assets</t>
        </is>
      </c>
      <c r="F1976" t="n">
        <v>2321.2</v>
      </c>
      <c r="G1976" t="inlineStr">
        <is>
          <t>IDR bn</t>
        </is>
      </c>
      <c r="H1976" t="n">
        <v>8</v>
      </c>
      <c r="I1976" t="inlineStr">
        <is>
          <t>Total Aset 2.321.244 2.118.200 2.045.406 Total Assets</t>
        </is>
      </c>
      <c r="J1976" t="inlineStr">
        <is>
          <t>High</t>
        </is>
      </c>
      <c r="M1976" t="inlineStr">
        <is>
          <t>LLM</t>
        </is>
      </c>
      <c r="N1976" t="inlineStr">
        <is>
          <t>2026-04-18</t>
        </is>
      </c>
      <c r="O1976" t="inlineStr">
        <is>
          <t>AI</t>
        </is>
      </c>
    </row>
    <row r="1977">
      <c r="A1977" t="inlineStr">
        <is>
          <t>PT Gozco Plantations Tbk</t>
        </is>
      </c>
      <c r="B1977" t="inlineStr">
        <is>
          <t>GZCO_2024_AR.pdf</t>
        </is>
      </c>
      <c r="C1977" t="n">
        <v>2024</v>
      </c>
      <c r="D1977" t="inlineStr">
        <is>
          <t>Financial</t>
        </is>
      </c>
      <c r="E1977" t="inlineStr">
        <is>
          <t>Plantation Assets</t>
        </is>
      </c>
      <c r="F1977" t="n">
        <v>996.8</v>
      </c>
      <c r="G1977" t="inlineStr">
        <is>
          <t>IDR bn</t>
        </is>
      </c>
      <c r="H1977" t="n">
        <v>8</v>
      </c>
      <c r="I1977" t="inlineStr">
        <is>
          <t>Aset Tanaman 996.825 788.388 865.202 Plantation Assets</t>
        </is>
      </c>
      <c r="J1977" t="inlineStr">
        <is>
          <t>High</t>
        </is>
      </c>
      <c r="M1977" t="inlineStr">
        <is>
          <t>LLM</t>
        </is>
      </c>
      <c r="N1977" t="inlineStr">
        <is>
          <t>2026-04-18</t>
        </is>
      </c>
      <c r="O1977" t="inlineStr">
        <is>
          <t>AI</t>
        </is>
      </c>
    </row>
    <row r="1978">
      <c r="A1978" t="inlineStr">
        <is>
          <t>PT Gozco Plantations Tbk</t>
        </is>
      </c>
      <c r="B1978" t="inlineStr">
        <is>
          <t>GZCO_2024_AR.pdf</t>
        </is>
      </c>
      <c r="C1978" t="n">
        <v>2024</v>
      </c>
      <c r="D1978" t="inlineStr">
        <is>
          <t>Financial</t>
        </is>
      </c>
      <c r="E1978" t="inlineStr">
        <is>
          <t>Fixed Assets</t>
        </is>
      </c>
      <c r="F1978" t="n">
        <v>670.8</v>
      </c>
      <c r="G1978" t="inlineStr">
        <is>
          <t>IDR bn</t>
        </is>
      </c>
      <c r="H1978" t="n">
        <v>8</v>
      </c>
      <c r="I1978" t="inlineStr">
        <is>
          <t>Aset Tetap 670.762 514.556 494.657 Fixed Assets</t>
        </is>
      </c>
      <c r="J1978" t="inlineStr">
        <is>
          <t>High</t>
        </is>
      </c>
      <c r="M1978" t="inlineStr">
        <is>
          <t>LLM</t>
        </is>
      </c>
      <c r="N1978" t="inlineStr">
        <is>
          <t>2026-04-18</t>
        </is>
      </c>
      <c r="O1978" t="inlineStr">
        <is>
          <t>AI</t>
        </is>
      </c>
    </row>
    <row r="1979">
      <c r="A1979" t="inlineStr">
        <is>
          <t>PT Gozco Plantations Tbk</t>
        </is>
      </c>
      <c r="B1979" t="inlineStr">
        <is>
          <t>GZCO_2024_AR.pdf</t>
        </is>
      </c>
      <c r="C1979" t="n">
        <v>2024</v>
      </c>
      <c r="D1979" t="inlineStr">
        <is>
          <t>Financial</t>
        </is>
      </c>
      <c r="E1979" t="inlineStr">
        <is>
          <t>Cash &amp; Cash Equivalents</t>
        </is>
      </c>
      <c r="F1979" t="n">
        <v>154.8</v>
      </c>
      <c r="G1979" t="inlineStr">
        <is>
          <t>IDR bn</t>
        </is>
      </c>
      <c r="H1979" t="n">
        <v>8</v>
      </c>
      <c r="I1979" t="inlineStr">
        <is>
          <t>Kas &amp; Setara Kas 154.825 355.355 235.210</t>
        </is>
      </c>
      <c r="J1979" t="inlineStr">
        <is>
          <t>High</t>
        </is>
      </c>
      <c r="M1979" t="inlineStr">
        <is>
          <t>LLM</t>
        </is>
      </c>
      <c r="N1979" t="inlineStr">
        <is>
          <t>2026-04-18</t>
        </is>
      </c>
      <c r="O1979" t="inlineStr">
        <is>
          <t>AI</t>
        </is>
      </c>
    </row>
    <row r="1980">
      <c r="A1980" t="inlineStr">
        <is>
          <t>PT Gozco Plantations Tbk</t>
        </is>
      </c>
      <c r="B1980" t="inlineStr">
        <is>
          <t>GZCO_2024_AR.pdf</t>
        </is>
      </c>
      <c r="C1980" t="n">
        <v>2024</v>
      </c>
      <c r="D1980" t="inlineStr">
        <is>
          <t>Financial</t>
        </is>
      </c>
      <c r="E1980" t="inlineStr">
        <is>
          <t>Net Working Capital</t>
        </is>
      </c>
      <c r="F1980" t="n">
        <v>-224.6</v>
      </c>
      <c r="G1980" t="inlineStr">
        <is>
          <t>IDR bn</t>
        </is>
      </c>
      <c r="H1980" t="n">
        <v>8</v>
      </c>
      <c r="I1980" t="inlineStr">
        <is>
          <t>Modal Kerja Bersih (224.649) 226.954 986</t>
        </is>
      </c>
      <c r="J1980" t="inlineStr">
        <is>
          <t>High</t>
        </is>
      </c>
      <c r="M1980" t="inlineStr">
        <is>
          <t>LLM</t>
        </is>
      </c>
      <c r="N1980" t="inlineStr">
        <is>
          <t>2026-04-18</t>
        </is>
      </c>
      <c r="O1980" t="inlineStr">
        <is>
          <t>AI</t>
        </is>
      </c>
    </row>
    <row r="1981">
      <c r="A1981" t="inlineStr">
        <is>
          <t>PT Gozco Plantations Tbk</t>
        </is>
      </c>
      <c r="B1981" t="inlineStr">
        <is>
          <t>GZCO_2024_AR.pdf</t>
        </is>
      </c>
      <c r="C1981" t="n">
        <v>2024</v>
      </c>
      <c r="D1981" t="inlineStr">
        <is>
          <t>Financial</t>
        </is>
      </c>
      <c r="E1981" t="inlineStr">
        <is>
          <t>Current Liabilities</t>
        </is>
      </c>
      <c r="F1981" t="n">
        <v>510.9</v>
      </c>
      <c r="G1981" t="inlineStr">
        <is>
          <t>IDR bn</t>
        </is>
      </c>
      <c r="H1981" t="n">
        <v>8</v>
      </c>
      <c r="I1981" t="inlineStr">
        <is>
          <t>Liabilitas Lancar 510.870 345.366 455.883</t>
        </is>
      </c>
      <c r="J1981" t="inlineStr">
        <is>
          <t>High</t>
        </is>
      </c>
      <c r="M1981" t="inlineStr">
        <is>
          <t>LLM</t>
        </is>
      </c>
      <c r="N1981" t="inlineStr">
        <is>
          <t>2026-04-18</t>
        </is>
      </c>
      <c r="O1981" t="inlineStr">
        <is>
          <t>AI</t>
        </is>
      </c>
    </row>
    <row r="1982">
      <c r="A1982" t="inlineStr">
        <is>
          <t>PT Gozco Plantations Tbk</t>
        </is>
      </c>
      <c r="B1982" t="inlineStr">
        <is>
          <t>GZCO_2024_AR.pdf</t>
        </is>
      </c>
      <c r="C1982" t="n">
        <v>2024</v>
      </c>
      <c r="D1982" t="inlineStr">
        <is>
          <t>Financial</t>
        </is>
      </c>
      <c r="E1982" t="inlineStr">
        <is>
          <t>Interest-Bearing Debt</t>
        </is>
      </c>
      <c r="F1982" t="n">
        <v>391.7</v>
      </c>
      <c r="G1982" t="inlineStr">
        <is>
          <t>IDR bn</t>
        </is>
      </c>
      <c r="H1982" t="n">
        <v>8</v>
      </c>
      <c r="I1982" t="inlineStr">
        <is>
          <t>Liabilitas Berbunga 391.652 466.633 356.743</t>
        </is>
      </c>
      <c r="J1982" t="inlineStr">
        <is>
          <t>High</t>
        </is>
      </c>
      <c r="M1982" t="inlineStr">
        <is>
          <t>LLM</t>
        </is>
      </c>
      <c r="N1982" t="inlineStr">
        <is>
          <t>2026-04-18</t>
        </is>
      </c>
      <c r="O1982" t="inlineStr">
        <is>
          <t>AI</t>
        </is>
      </c>
    </row>
    <row r="1983">
      <c r="A1983" t="inlineStr">
        <is>
          <t>PT Gozco Plantations Tbk</t>
        </is>
      </c>
      <c r="B1983" t="inlineStr">
        <is>
          <t>GZCO_2024_AR.pdf</t>
        </is>
      </c>
      <c r="C1983" t="n">
        <v>2024</v>
      </c>
      <c r="D1983" t="inlineStr">
        <is>
          <t>Financial</t>
        </is>
      </c>
      <c r="E1983" t="inlineStr">
        <is>
          <t>Total Liabilities</t>
        </is>
      </c>
      <c r="F1983" t="n">
        <v>1089.3</v>
      </c>
      <c r="G1983" t="inlineStr">
        <is>
          <t>IDR bn</t>
        </is>
      </c>
      <c r="H1983" t="n">
        <v>8</v>
      </c>
      <c r="I1983" t="inlineStr">
        <is>
          <t>Total Liabilitas 1.089.263 949.928 892.864</t>
        </is>
      </c>
      <c r="J1983" t="inlineStr">
        <is>
          <t>High</t>
        </is>
      </c>
      <c r="M1983" t="inlineStr">
        <is>
          <t>LLM</t>
        </is>
      </c>
      <c r="N1983" t="inlineStr">
        <is>
          <t>2026-04-18</t>
        </is>
      </c>
      <c r="O1983" t="inlineStr">
        <is>
          <t>AI</t>
        </is>
      </c>
    </row>
    <row r="1984">
      <c r="A1984" t="inlineStr">
        <is>
          <t>PT Gozco Plantations Tbk</t>
        </is>
      </c>
      <c r="B1984" t="inlineStr">
        <is>
          <t>GZCO_2024_AR.pdf</t>
        </is>
      </c>
      <c r="C1984" t="n">
        <v>2024</v>
      </c>
      <c r="D1984" t="inlineStr">
        <is>
          <t>Financial</t>
        </is>
      </c>
      <c r="E1984" t="inlineStr">
        <is>
          <t>Total Equity</t>
        </is>
      </c>
      <c r="F1984" t="n">
        <v>1232</v>
      </c>
      <c r="G1984" t="inlineStr">
        <is>
          <t>IDR bn</t>
        </is>
      </c>
      <c r="H1984" t="n">
        <v>8</v>
      </c>
      <c r="I1984" t="inlineStr">
        <is>
          <t>Ekuitas 1.231.981 1.168.272 1.152.542</t>
        </is>
      </c>
      <c r="J1984" t="inlineStr">
        <is>
          <t>High</t>
        </is>
      </c>
      <c r="M1984" t="inlineStr">
        <is>
          <t>LLM</t>
        </is>
      </c>
      <c r="N1984" t="inlineStr">
        <is>
          <t>2026-04-18</t>
        </is>
      </c>
      <c r="O1984" t="inlineStr">
        <is>
          <t>AI</t>
        </is>
      </c>
    </row>
    <row r="1985">
      <c r="A1985" t="inlineStr">
        <is>
          <t>PT Gozco Plantations Tbk</t>
        </is>
      </c>
      <c r="B1985" t="inlineStr">
        <is>
          <t>GZCO_2024_AR.pdf</t>
        </is>
      </c>
      <c r="C1985" t="n">
        <v>2024</v>
      </c>
      <c r="D1985" t="inlineStr">
        <is>
          <t>Financial</t>
        </is>
      </c>
      <c r="E1985" t="inlineStr">
        <is>
          <t>Capex</t>
        </is>
      </c>
      <c r="F1985" t="n">
        <v>21.9</v>
      </c>
      <c r="G1985" t="inlineStr">
        <is>
          <t>IDR bn</t>
        </is>
      </c>
      <c r="H1985" t="n">
        <v>8</v>
      </c>
      <c r="I1985" t="inlineStr">
        <is>
          <t>Belanja Modal / Investasi 21.888 93.219 31.665</t>
        </is>
      </c>
      <c r="J1985" t="inlineStr">
        <is>
          <t>High</t>
        </is>
      </c>
      <c r="M1985" t="inlineStr">
        <is>
          <t>LLM</t>
        </is>
      </c>
      <c r="N1985" t="inlineStr">
        <is>
          <t>2026-04-18</t>
        </is>
      </c>
      <c r="O1985" t="inlineStr">
        <is>
          <t>AI</t>
        </is>
      </c>
    </row>
    <row r="1986">
      <c r="A1986" t="inlineStr">
        <is>
          <t>PT Gozco Plantations Tbk</t>
        </is>
      </c>
      <c r="B1986" t="inlineStr">
        <is>
          <t>GZCO_2024_AR.pdf</t>
        </is>
      </c>
      <c r="C1986" t="n">
        <v>2024</v>
      </c>
      <c r="D1986" t="inlineStr">
        <is>
          <t>Financial</t>
        </is>
      </c>
      <c r="E1986" t="inlineStr">
        <is>
          <t>CFO (Operating Cash Flow)</t>
        </is>
      </c>
      <c r="F1986" t="n">
        <v>169.6</v>
      </c>
      <c r="G1986" t="inlineStr">
        <is>
          <t>IDR bn</t>
        </is>
      </c>
      <c r="H1986" t="n">
        <v>52</v>
      </c>
      <c r="I1986" t="inlineStr">
        <is>
          <t>Aktivitas Operasi 169.640 260.191 178.681</t>
        </is>
      </c>
      <c r="J1986" t="inlineStr">
        <is>
          <t>High</t>
        </is>
      </c>
      <c r="M1986" t="inlineStr">
        <is>
          <t>LLM</t>
        </is>
      </c>
      <c r="N1986" t="inlineStr">
        <is>
          <t>2026-04-18</t>
        </is>
      </c>
      <c r="O1986" t="inlineStr">
        <is>
          <t>AI</t>
        </is>
      </c>
    </row>
    <row r="1987">
      <c r="A1987" t="inlineStr">
        <is>
          <t>PT Gozco Plantations Tbk</t>
        </is>
      </c>
      <c r="B1987" t="inlineStr">
        <is>
          <t>GZCO_2024_AR.pdf</t>
        </is>
      </c>
      <c r="C1987" t="n">
        <v>2024</v>
      </c>
      <c r="D1987" t="inlineStr">
        <is>
          <t>Financial</t>
        </is>
      </c>
      <c r="E1987" t="inlineStr">
        <is>
          <t>CFI (Investing Cash Flow)</t>
        </is>
      </c>
      <c r="F1987" t="n">
        <v>118.8</v>
      </c>
      <c r="G1987" t="inlineStr">
        <is>
          <t>IDR bn</t>
        </is>
      </c>
      <c r="H1987" t="n">
        <v>52</v>
      </c>
      <c r="I1987" t="inlineStr">
        <is>
          <t>Aktivitas Investasi 118.786 (166.219) 35.670</t>
        </is>
      </c>
      <c r="J1987" t="inlineStr">
        <is>
          <t>High</t>
        </is>
      </c>
      <c r="M1987" t="inlineStr">
        <is>
          <t>LLM</t>
        </is>
      </c>
      <c r="N1987" t="inlineStr">
        <is>
          <t>2026-04-18</t>
        </is>
      </c>
      <c r="O1987" t="inlineStr">
        <is>
          <t>AI</t>
        </is>
      </c>
    </row>
    <row r="1988">
      <c r="A1988" t="inlineStr">
        <is>
          <t>PT Gozco Plantations Tbk</t>
        </is>
      </c>
      <c r="B1988" t="inlineStr">
        <is>
          <t>GZCO_2024_AR.pdf</t>
        </is>
      </c>
      <c r="C1988" t="n">
        <v>2024</v>
      </c>
      <c r="D1988" t="inlineStr">
        <is>
          <t>Financial</t>
        </is>
      </c>
      <c r="E1988" t="inlineStr">
        <is>
          <t>CFF (Financing Cash Flow)</t>
        </is>
      </c>
      <c r="F1988" t="n">
        <v>-489.3</v>
      </c>
      <c r="G1988" t="inlineStr">
        <is>
          <t>IDR bn</t>
        </is>
      </c>
      <c r="H1988" t="n">
        <v>52</v>
      </c>
      <c r="I1988" t="inlineStr">
        <is>
          <t>Aktivitas Pendanaan (489.256) 96.173 (161.761)</t>
        </is>
      </c>
      <c r="J1988" t="inlineStr">
        <is>
          <t>High</t>
        </is>
      </c>
      <c r="M1988" t="inlineStr">
        <is>
          <t>LLM</t>
        </is>
      </c>
      <c r="N1988" t="inlineStr">
        <is>
          <t>2026-04-18</t>
        </is>
      </c>
      <c r="O1988" t="inlineStr">
        <is>
          <t>AI</t>
        </is>
      </c>
    </row>
    <row r="1989">
      <c r="A1989" t="inlineStr">
        <is>
          <t>PT Gozco Plantations Tbk</t>
        </is>
      </c>
      <c r="B1989" t="inlineStr">
        <is>
          <t>GZCO_2024_AR.pdf</t>
        </is>
      </c>
      <c r="C1989" t="n">
        <v>2024</v>
      </c>
      <c r="D1989" t="inlineStr">
        <is>
          <t>Financial</t>
        </is>
      </c>
      <c r="E1989" t="inlineStr">
        <is>
          <t>Shares Outstanding</t>
        </is>
      </c>
      <c r="F1989" t="n">
        <v>6000</v>
      </c>
      <c r="G1989" t="inlineStr">
        <is>
          <t>mn</t>
        </is>
      </c>
      <c r="H1989" t="n">
        <v>8</v>
      </c>
      <c r="I1989" t="inlineStr">
        <is>
          <t>Ribu lembar saham-beredar 6.000.000 6.000.000 6.000.000</t>
        </is>
      </c>
      <c r="J1989" t="inlineStr">
        <is>
          <t>High</t>
        </is>
      </c>
      <c r="M1989" t="inlineStr">
        <is>
          <t>LLM</t>
        </is>
      </c>
      <c r="N1989" t="inlineStr">
        <is>
          <t>2026-04-18</t>
        </is>
      </c>
      <c r="O1989" t="inlineStr">
        <is>
          <t>AI</t>
        </is>
      </c>
    </row>
    <row r="1990">
      <c r="A1990" t="inlineStr">
        <is>
          <t>PT Gozco Plantations Tbk</t>
        </is>
      </c>
      <c r="B1990" t="inlineStr">
        <is>
          <t>GZCO_2024_AR.pdf</t>
        </is>
      </c>
      <c r="C1990" t="n">
        <v>2024</v>
      </c>
      <c r="D1990" t="inlineStr">
        <is>
          <t>Financial</t>
        </is>
      </c>
      <c r="E1990" t="inlineStr">
        <is>
          <t>EPS</t>
        </is>
      </c>
      <c r="F1990" t="n">
        <v>10.09</v>
      </c>
      <c r="G1990" t="inlineStr">
        <is>
          <t>Rp/share</t>
        </is>
      </c>
      <c r="H1990" t="n">
        <v>8</v>
      </c>
      <c r="I1990" t="inlineStr">
        <is>
          <t>Laba bersih persaham 10.09 0,36 12,61</t>
        </is>
      </c>
      <c r="J1990" t="inlineStr">
        <is>
          <t>High</t>
        </is>
      </c>
      <c r="M1990" t="inlineStr">
        <is>
          <t>LLM</t>
        </is>
      </c>
      <c r="N1990" t="inlineStr">
        <is>
          <t>2026-04-18</t>
        </is>
      </c>
      <c r="O1990" t="inlineStr">
        <is>
          <t>AI</t>
        </is>
      </c>
    </row>
    <row r="1991">
      <c r="A1991" t="inlineStr">
        <is>
          <t>PT Gozco Plantations Tbk</t>
        </is>
      </c>
      <c r="B1991" t="inlineStr">
        <is>
          <t>GZCO_2024_AR.pdf</t>
        </is>
      </c>
      <c r="C1991" t="n">
        <v>2024</v>
      </c>
      <c r="D1991" t="inlineStr">
        <is>
          <t>Financial</t>
        </is>
      </c>
      <c r="E1991" t="inlineStr">
        <is>
          <t>Closing Price (31 Dec 2024)</t>
        </is>
      </c>
      <c r="F1991" t="n">
        <v>113</v>
      </c>
      <c r="G1991" t="inlineStr">
        <is>
          <t>Rp/share</t>
        </is>
      </c>
      <c r="H1991" t="n">
        <v>11</v>
      </c>
      <c r="I1991" t="inlineStr">
        <is>
          <t>Okt-Des 4 117 97 113 2.377.709 245.618; Kurs Akhir 139 97 113</t>
        </is>
      </c>
      <c r="J1991" t="inlineStr">
        <is>
          <t>High</t>
        </is>
      </c>
      <c r="M1991" t="inlineStr">
        <is>
          <t>LLM</t>
        </is>
      </c>
      <c r="N1991" t="inlineStr">
        <is>
          <t>2026-04-18</t>
        </is>
      </c>
      <c r="O1991" t="inlineStr">
        <is>
          <t>AI</t>
        </is>
      </c>
    </row>
    <row r="1992">
      <c r="A1992" t="inlineStr">
        <is>
          <t>PT Gozco Plantations Tbk</t>
        </is>
      </c>
      <c r="B1992" t="inlineStr">
        <is>
          <t>GZCO_2024_AR.pdf</t>
        </is>
      </c>
      <c r="C1992" t="n">
        <v>2024</v>
      </c>
      <c r="D1992" t="inlineStr">
        <is>
          <t>Financial</t>
        </is>
      </c>
      <c r="E1992" t="inlineStr">
        <is>
          <t>Market Cap (31 Dec 2024)</t>
        </is>
      </c>
      <c r="F1992" t="n">
        <v>678</v>
      </c>
      <c r="G1992" t="inlineStr">
        <is>
          <t>IDR bn</t>
        </is>
      </c>
      <c r="H1992" t="n">
        <v>11</v>
      </c>
      <c r="I1992" t="inlineStr">
        <is>
          <t>Kapitalisasi Pasar Rp Juta 678.000 (Oct-Dec)</t>
        </is>
      </c>
      <c r="J1992" t="inlineStr">
        <is>
          <t>High</t>
        </is>
      </c>
      <c r="M1992" t="inlineStr">
        <is>
          <t>LLM</t>
        </is>
      </c>
      <c r="N1992" t="inlineStr">
        <is>
          <t>2026-04-18</t>
        </is>
      </c>
      <c r="O1992" t="inlineStr">
        <is>
          <t>AI</t>
        </is>
      </c>
    </row>
    <row r="1993">
      <c r="A1993" t="inlineStr">
        <is>
          <t>PT Gozco Plantations Tbk</t>
        </is>
      </c>
      <c r="B1993" t="inlineStr">
        <is>
          <t>GZCO_2024_AR.pdf</t>
        </is>
      </c>
      <c r="C1993" t="n">
        <v>2024</v>
      </c>
      <c r="D1993" t="inlineStr">
        <is>
          <t>Financial</t>
        </is>
      </c>
      <c r="E1993" t="inlineStr">
        <is>
          <t>Gearing Ratio</t>
        </is>
      </c>
      <c r="F1993" t="n">
        <v>0.22</v>
      </c>
      <c r="G1993" t="inlineStr">
        <is>
          <t>%</t>
        </is>
      </c>
      <c r="H1993" t="n">
        <v>8</v>
      </c>
      <c r="I1993" t="inlineStr">
        <is>
          <t>Ratio Gearing 22% 14% 13%</t>
        </is>
      </c>
      <c r="J1993" t="inlineStr">
        <is>
          <t>High</t>
        </is>
      </c>
      <c r="M1993" t="inlineStr">
        <is>
          <t>LLM</t>
        </is>
      </c>
      <c r="N1993" t="inlineStr">
        <is>
          <t>2026-04-18</t>
        </is>
      </c>
      <c r="O1993" t="inlineStr">
        <is>
          <t>AI</t>
        </is>
      </c>
    </row>
    <row r="1994">
      <c r="A1994" t="inlineStr">
        <is>
          <t>PT Gozco Plantations Tbk</t>
        </is>
      </c>
      <c r="B1994" t="inlineStr">
        <is>
          <t>GZCO_2024_AR.pdf</t>
        </is>
      </c>
      <c r="C1994" t="n">
        <v>2024</v>
      </c>
      <c r="D1994" t="inlineStr">
        <is>
          <t>Financial</t>
        </is>
      </c>
      <c r="E1994" t="inlineStr">
        <is>
          <t>Debt to Equity</t>
        </is>
      </c>
      <c r="F1994" t="n">
        <v>0.88</v>
      </c>
      <c r="G1994" t="inlineStr">
        <is>
          <t>x</t>
        </is>
      </c>
      <c r="H1994" t="n">
        <v>8</v>
      </c>
      <c r="I1994" t="inlineStr">
        <is>
          <t>Liabilitas thd Ekuitas 88% 81% 77%</t>
        </is>
      </c>
      <c r="J1994" t="inlineStr">
        <is>
          <t>High</t>
        </is>
      </c>
      <c r="M1994" t="inlineStr">
        <is>
          <t>LLM</t>
        </is>
      </c>
      <c r="N1994" t="inlineStr">
        <is>
          <t>2026-04-18</t>
        </is>
      </c>
      <c r="O1994" t="inlineStr">
        <is>
          <t>AI</t>
        </is>
      </c>
    </row>
    <row r="1995">
      <c r="A1995" t="inlineStr">
        <is>
          <t>PT Gozco Plantations Tbk</t>
        </is>
      </c>
      <c r="B1995" t="inlineStr">
        <is>
          <t>GZCO_2024_AR.pdf</t>
        </is>
      </c>
      <c r="C1995" t="n">
        <v>2024</v>
      </c>
      <c r="D1995" t="inlineStr">
        <is>
          <t>Financial</t>
        </is>
      </c>
      <c r="E1995" t="inlineStr">
        <is>
          <t>Current Ratio</t>
        </is>
      </c>
      <c r="F1995" t="n">
        <v>0.5600000000000001</v>
      </c>
      <c r="G1995" t="inlineStr">
        <is>
          <t>x</t>
        </is>
      </c>
      <c r="H1995" t="n">
        <v>8</v>
      </c>
      <c r="I1995" t="inlineStr">
        <is>
          <t>Aset Lancar thd Kewaj.lancar 0,56x 1,66x 1,00x</t>
        </is>
      </c>
      <c r="J1995" t="inlineStr">
        <is>
          <t>High</t>
        </is>
      </c>
      <c r="M1995" t="inlineStr">
        <is>
          <t>LLM</t>
        </is>
      </c>
      <c r="N1995" t="inlineStr">
        <is>
          <t>2026-04-18</t>
        </is>
      </c>
      <c r="O1995" t="inlineStr">
        <is>
          <t>AI</t>
        </is>
      </c>
    </row>
    <row r="1996">
      <c r="A1996" t="inlineStr">
        <is>
          <t>PT Gozco Plantations Tbk</t>
        </is>
      </c>
      <c r="B1996" t="inlineStr">
        <is>
          <t>GZCO_2024_AR.pdf</t>
        </is>
      </c>
      <c r="C1996" t="n">
        <v>2024</v>
      </c>
      <c r="D1996" t="inlineStr">
        <is>
          <t>Financial</t>
        </is>
      </c>
      <c r="E1996" t="inlineStr">
        <is>
          <t>Return on Equity</t>
        </is>
      </c>
      <c r="F1996" t="n">
        <v>0.0491</v>
      </c>
      <c r="G1996" t="inlineStr">
        <is>
          <t>%</t>
        </is>
      </c>
      <c r="H1996" t="n">
        <v>9</v>
      </c>
      <c r="I1996" t="inlineStr">
        <is>
          <t>Tingkat hasil Ekuitas 4,91% 0,18% 6,56%</t>
        </is>
      </c>
      <c r="J1996" t="inlineStr">
        <is>
          <t>High</t>
        </is>
      </c>
      <c r="M1996" t="inlineStr">
        <is>
          <t>LLM</t>
        </is>
      </c>
      <c r="N1996" t="inlineStr">
        <is>
          <t>2026-04-18</t>
        </is>
      </c>
      <c r="O1996" t="inlineStr">
        <is>
          <t>AI</t>
        </is>
      </c>
    </row>
    <row r="1997">
      <c r="A1997" t="inlineStr">
        <is>
          <t>PT Gozco Plantations Tbk</t>
        </is>
      </c>
      <c r="B1997" t="inlineStr">
        <is>
          <t>GZCO_2024_AR.pdf</t>
        </is>
      </c>
      <c r="C1997" t="n">
        <v>2024</v>
      </c>
      <c r="D1997" t="inlineStr">
        <is>
          <t>Financial</t>
        </is>
      </c>
      <c r="E1997" t="inlineStr">
        <is>
          <t>Return on Assets</t>
        </is>
      </c>
      <c r="F1997" t="n">
        <v>0.0261</v>
      </c>
      <c r="G1997" t="inlineStr">
        <is>
          <t>%</t>
        </is>
      </c>
      <c r="H1997" t="n">
        <v>9</v>
      </c>
      <c r="I1997" t="inlineStr">
        <is>
          <t>Tingkat Hasil Aset 2,61% 0,10% 3,70%</t>
        </is>
      </c>
      <c r="J1997" t="inlineStr">
        <is>
          <t>High</t>
        </is>
      </c>
      <c r="M1997" t="inlineStr">
        <is>
          <t>LLM</t>
        </is>
      </c>
      <c r="N1997" t="inlineStr">
        <is>
          <t>2026-04-18</t>
        </is>
      </c>
      <c r="O1997" t="inlineStr">
        <is>
          <t>AI</t>
        </is>
      </c>
    </row>
    <row r="1998">
      <c r="A1998" t="inlineStr">
        <is>
          <t>PT Gozco Plantations Tbk</t>
        </is>
      </c>
      <c r="B1998" t="inlineStr">
        <is>
          <t>GZCO_2024_AR.pdf</t>
        </is>
      </c>
      <c r="C1998" t="n">
        <v>2024</v>
      </c>
      <c r="D1998" t="inlineStr">
        <is>
          <t>Financial</t>
        </is>
      </c>
      <c r="E1998" t="inlineStr">
        <is>
          <t>Gross Margin</t>
        </is>
      </c>
      <c r="F1998" t="n">
        <v>0.2033</v>
      </c>
      <c r="G1998" t="inlineStr">
        <is>
          <t>%</t>
        </is>
      </c>
      <c r="H1998" t="n">
        <v>9</v>
      </c>
      <c r="I1998" t="inlineStr">
        <is>
          <t>Rasio Margin Kotor 20,33% 12,57% 22,09%</t>
        </is>
      </c>
      <c r="J1998" t="inlineStr">
        <is>
          <t>High</t>
        </is>
      </c>
      <c r="M1998" t="inlineStr">
        <is>
          <t>LLM</t>
        </is>
      </c>
      <c r="N1998" t="inlineStr">
        <is>
          <t>2026-04-18</t>
        </is>
      </c>
      <c r="O1998" t="inlineStr">
        <is>
          <t>AI</t>
        </is>
      </c>
    </row>
    <row r="1999">
      <c r="A1999" t="inlineStr">
        <is>
          <t>PT Gozco Plantations Tbk</t>
        </is>
      </c>
      <c r="B1999" t="inlineStr">
        <is>
          <t>GZCO_2024_AR.pdf</t>
        </is>
      </c>
      <c r="C1999" t="n">
        <v>2024</v>
      </c>
      <c r="D1999" t="inlineStr">
        <is>
          <t>Financial</t>
        </is>
      </c>
      <c r="E1999" t="inlineStr">
        <is>
          <t>Net Margin</t>
        </is>
      </c>
      <c r="F1999" t="n">
        <v>0.0752</v>
      </c>
      <c r="G1999" t="inlineStr">
        <is>
          <t>%</t>
        </is>
      </c>
      <c r="H1999" t="n">
        <v>9</v>
      </c>
      <c r="I1999" t="inlineStr">
        <is>
          <t>Rasio Margin Bersih 7,52% 0,29% 13,63%</t>
        </is>
      </c>
      <c r="J1999" t="inlineStr">
        <is>
          <t>High</t>
        </is>
      </c>
      <c r="M1999" t="inlineStr">
        <is>
          <t>LLM</t>
        </is>
      </c>
      <c r="N1999" t="inlineStr">
        <is>
          <t>2026-04-18</t>
        </is>
      </c>
      <c r="O1999" t="inlineStr">
        <is>
          <t>AI</t>
        </is>
      </c>
    </row>
    <row r="2000">
      <c r="A2000" t="inlineStr">
        <is>
          <t>PT Gozco Plantations Tbk</t>
        </is>
      </c>
      <c r="B2000" t="inlineStr">
        <is>
          <t>GZCO_2024_AR.pdf</t>
        </is>
      </c>
      <c r="C2000" t="n">
        <v>2024</v>
      </c>
      <c r="D2000" t="inlineStr">
        <is>
          <t>Asset</t>
        </is>
      </c>
      <c r="E2000" t="inlineStr">
        <is>
          <t>Total Landbank APL</t>
        </is>
      </c>
      <c r="F2000" t="n">
        <v>26798</v>
      </c>
      <c r="G2000" t="inlineStr">
        <is>
          <t>ha</t>
        </is>
      </c>
      <c r="H2000" t="n">
        <v>6</v>
      </c>
      <c r="I2000" t="inlineStr">
        <is>
          <t>Lahan APL 26.798 17.188 17.188</t>
        </is>
      </c>
      <c r="J2000" t="inlineStr">
        <is>
          <t>High</t>
        </is>
      </c>
      <c r="M2000" t="inlineStr">
        <is>
          <t>LLM</t>
        </is>
      </c>
      <c r="N2000" t="inlineStr">
        <is>
          <t>2026-04-18</t>
        </is>
      </c>
      <c r="O2000" t="inlineStr">
        <is>
          <t>AI</t>
        </is>
      </c>
    </row>
    <row r="2001">
      <c r="A2001" t="inlineStr">
        <is>
          <t>PT Gozco Plantations Tbk</t>
        </is>
      </c>
      <c r="B2001" t="inlineStr">
        <is>
          <t>GZCO_2024_AR.pdf</t>
        </is>
      </c>
      <c r="C2001" t="n">
        <v>2024</v>
      </c>
      <c r="D2001" t="inlineStr">
        <is>
          <t>Asset</t>
        </is>
      </c>
      <c r="E2001" t="inlineStr">
        <is>
          <t>Landbank HPK</t>
        </is>
      </c>
      <c r="F2001" t="n">
        <v>1561</v>
      </c>
      <c r="G2001" t="inlineStr">
        <is>
          <t>ha</t>
        </is>
      </c>
      <c r="H2001" t="n">
        <v>6</v>
      </c>
      <c r="I2001" t="inlineStr">
        <is>
          <t>Lahan HPK 1.561 1.561 1.561 HPK Area</t>
        </is>
      </c>
      <c r="J2001" t="inlineStr">
        <is>
          <t>High</t>
        </is>
      </c>
      <c r="M2001" t="inlineStr">
        <is>
          <t>LLM</t>
        </is>
      </c>
      <c r="N2001" t="inlineStr">
        <is>
          <t>2026-04-18</t>
        </is>
      </c>
      <c r="O2001" t="inlineStr">
        <is>
          <t>AI</t>
        </is>
      </c>
    </row>
    <row r="2002">
      <c r="A2002" t="inlineStr">
        <is>
          <t>PT Gozco Plantations Tbk</t>
        </is>
      </c>
      <c r="B2002" t="inlineStr">
        <is>
          <t>GZCO_2024_AR.pdf</t>
        </is>
      </c>
      <c r="C2002" t="n">
        <v>2024</v>
      </c>
      <c r="D2002" t="inlineStr">
        <is>
          <t>Asset</t>
        </is>
      </c>
      <c r="E2002" t="inlineStr">
        <is>
          <t>Total Plantation Area</t>
        </is>
      </c>
      <c r="F2002" t="n">
        <v>28359</v>
      </c>
      <c r="G2002" t="inlineStr">
        <is>
          <t>ha</t>
        </is>
      </c>
      <c r="H2002" t="n">
        <v>6</v>
      </c>
      <c r="I2002" t="inlineStr">
        <is>
          <t>Total Lahan Perkebunan (Ha) 28.359 18.749 18.749</t>
        </is>
      </c>
      <c r="J2002" t="inlineStr">
        <is>
          <t>High</t>
        </is>
      </c>
      <c r="M2002" t="inlineStr">
        <is>
          <t>LLM</t>
        </is>
      </c>
      <c r="N2002" t="inlineStr">
        <is>
          <t>2026-04-18</t>
        </is>
      </c>
      <c r="O2002" t="inlineStr">
        <is>
          <t>AI</t>
        </is>
      </c>
    </row>
    <row r="2003">
      <c r="A2003" t="inlineStr">
        <is>
          <t>PT Gozco Plantations Tbk</t>
        </is>
      </c>
      <c r="B2003" t="inlineStr">
        <is>
          <t>GZCO_2024_AR.pdf</t>
        </is>
      </c>
      <c r="C2003" t="n">
        <v>2024</v>
      </c>
      <c r="D2003" t="inlineStr">
        <is>
          <t>Asset</t>
        </is>
      </c>
      <c r="E2003" t="inlineStr">
        <is>
          <t>Total Planted Area</t>
        </is>
      </c>
      <c r="F2003" t="n">
        <v>15596</v>
      </c>
      <c r="G2003" t="inlineStr">
        <is>
          <t>ha</t>
        </is>
      </c>
      <c r="H2003" t="n">
        <v>6</v>
      </c>
      <c r="I2003" t="inlineStr">
        <is>
          <t>Total Lahan Tertanam 15.596 13.114 12.917</t>
        </is>
      </c>
      <c r="J2003" t="inlineStr">
        <is>
          <t>High</t>
        </is>
      </c>
      <c r="M2003" t="inlineStr">
        <is>
          <t>LLM</t>
        </is>
      </c>
      <c r="N2003" t="inlineStr">
        <is>
          <t>2026-04-18</t>
        </is>
      </c>
      <c r="O2003" t="inlineStr">
        <is>
          <t>AI</t>
        </is>
      </c>
    </row>
    <row r="2004">
      <c r="A2004" t="inlineStr">
        <is>
          <t>PT Gozco Plantations Tbk</t>
        </is>
      </c>
      <c r="B2004" t="inlineStr">
        <is>
          <t>GZCO_2024_AR.pdf</t>
        </is>
      </c>
      <c r="C2004" t="n">
        <v>2024</v>
      </c>
      <c r="D2004" t="inlineStr">
        <is>
          <t>Asset</t>
        </is>
      </c>
      <c r="E2004" t="inlineStr">
        <is>
          <t>Nucleus Planted Area</t>
        </is>
      </c>
      <c r="F2004" t="n">
        <v>15200</v>
      </c>
      <c r="G2004" t="inlineStr">
        <is>
          <t>ha</t>
        </is>
      </c>
      <c r="H2004" t="n">
        <v>6</v>
      </c>
      <c r="I2004" t="inlineStr">
        <is>
          <t>Lahan Inti 15.200 13.114 12.917 Nucleus Area</t>
        </is>
      </c>
      <c r="J2004" t="inlineStr">
        <is>
          <t>High</t>
        </is>
      </c>
      <c r="M2004" t="inlineStr">
        <is>
          <t>LLM</t>
        </is>
      </c>
      <c r="N2004" t="inlineStr">
        <is>
          <t>2026-04-18</t>
        </is>
      </c>
      <c r="O2004" t="inlineStr">
        <is>
          <t>AI</t>
        </is>
      </c>
    </row>
    <row r="2005">
      <c r="A2005" t="inlineStr">
        <is>
          <t>PT Gozco Plantations Tbk</t>
        </is>
      </c>
      <c r="B2005" t="inlineStr">
        <is>
          <t>GZCO_2024_AR.pdf</t>
        </is>
      </c>
      <c r="C2005" t="n">
        <v>2024</v>
      </c>
      <c r="D2005" t="inlineStr">
        <is>
          <t>Asset</t>
        </is>
      </c>
      <c r="E2005" t="inlineStr">
        <is>
          <t>Plasma Planted Area</t>
        </is>
      </c>
      <c r="F2005" t="n">
        <v>396</v>
      </c>
      <c r="G2005" t="inlineStr">
        <is>
          <t>ha</t>
        </is>
      </c>
      <c r="H2005" t="n">
        <v>6</v>
      </c>
      <c r="I2005" t="inlineStr">
        <is>
          <t>Lahan Plasma 396 Plasma Area</t>
        </is>
      </c>
      <c r="J2005" t="inlineStr">
        <is>
          <t>High</t>
        </is>
      </c>
      <c r="M2005" t="inlineStr">
        <is>
          <t>LLM</t>
        </is>
      </c>
      <c r="N2005" t="inlineStr">
        <is>
          <t>2026-04-18</t>
        </is>
      </c>
      <c r="O2005" t="inlineStr">
        <is>
          <t>AI</t>
        </is>
      </c>
    </row>
    <row r="2006">
      <c r="A2006" t="inlineStr">
        <is>
          <t>PT Gozco Plantations Tbk</t>
        </is>
      </c>
      <c r="B2006" t="inlineStr">
        <is>
          <t>GZCO_2024_AR.pdf</t>
        </is>
      </c>
      <c r="C2006" t="n">
        <v>2024</v>
      </c>
      <c r="D2006" t="inlineStr">
        <is>
          <t>Asset</t>
        </is>
      </c>
      <c r="E2006" t="inlineStr">
        <is>
          <t>Mature Area (Nucleus)</t>
        </is>
      </c>
      <c r="F2006" t="n">
        <v>13543</v>
      </c>
      <c r="G2006" t="inlineStr">
        <is>
          <t>ha</t>
        </is>
      </c>
      <c r="H2006" t="n">
        <v>6</v>
      </c>
      <c r="I2006" t="inlineStr">
        <is>
          <t>Tanaman Menghasilkan 13.543 12.452 12.700 Mature</t>
        </is>
      </c>
      <c r="J2006" t="inlineStr">
        <is>
          <t>High</t>
        </is>
      </c>
      <c r="M2006" t="inlineStr">
        <is>
          <t>LLM</t>
        </is>
      </c>
      <c r="N2006" t="inlineStr">
        <is>
          <t>2026-04-18</t>
        </is>
      </c>
      <c r="O2006" t="inlineStr">
        <is>
          <t>AI</t>
        </is>
      </c>
    </row>
    <row r="2007">
      <c r="A2007" t="inlineStr">
        <is>
          <t>PT Gozco Plantations Tbk</t>
        </is>
      </c>
      <c r="B2007" t="inlineStr">
        <is>
          <t>GZCO_2024_AR.pdf</t>
        </is>
      </c>
      <c r="C2007" t="n">
        <v>2024</v>
      </c>
      <c r="D2007" t="inlineStr">
        <is>
          <t>Asset</t>
        </is>
      </c>
      <c r="E2007" t="inlineStr">
        <is>
          <t>Immature Area (Nucleus)</t>
        </is>
      </c>
      <c r="F2007" t="n">
        <v>1658</v>
      </c>
      <c r="G2007" t="inlineStr">
        <is>
          <t>ha</t>
        </is>
      </c>
      <c r="H2007" t="n">
        <v>6</v>
      </c>
      <c r="I2007" t="inlineStr">
        <is>
          <t>Tanaman Belum Menghasilkan 1.658 662 217 Immature</t>
        </is>
      </c>
      <c r="J2007" t="inlineStr">
        <is>
          <t>High</t>
        </is>
      </c>
      <c r="M2007" t="inlineStr">
        <is>
          <t>LLM</t>
        </is>
      </c>
      <c r="N2007" t="inlineStr">
        <is>
          <t>2026-04-18</t>
        </is>
      </c>
      <c r="O2007" t="inlineStr">
        <is>
          <t>AI</t>
        </is>
      </c>
    </row>
    <row r="2008">
      <c r="A2008" t="inlineStr">
        <is>
          <t>PT Gozco Plantations Tbk</t>
        </is>
      </c>
      <c r="B2008" t="inlineStr">
        <is>
          <t>GZCO_2024_AR.pdf</t>
        </is>
      </c>
      <c r="C2008" t="n">
        <v>2024</v>
      </c>
      <c r="D2008" t="inlineStr">
        <is>
          <t>Asset</t>
        </is>
      </c>
      <c r="E2008" t="inlineStr">
        <is>
          <t>Mature Area (Plasma)</t>
        </is>
      </c>
      <c r="F2008" t="n">
        <v>396</v>
      </c>
      <c r="G2008" t="inlineStr">
        <is>
          <t>ha</t>
        </is>
      </c>
      <c r="H2008" t="n">
        <v>6</v>
      </c>
      <c r="I2008" t="inlineStr">
        <is>
          <t>Lahan Plasma Tanaman Menghasilkan 396 - -</t>
        </is>
      </c>
      <c r="J2008" t="inlineStr">
        <is>
          <t>High</t>
        </is>
      </c>
      <c r="M2008" t="inlineStr">
        <is>
          <t>LLM</t>
        </is>
      </c>
      <c r="N2008" t="inlineStr">
        <is>
          <t>2026-04-18</t>
        </is>
      </c>
      <c r="O2008" t="inlineStr">
        <is>
          <t>AI</t>
        </is>
      </c>
    </row>
    <row r="2009">
      <c r="A2009" t="inlineStr">
        <is>
          <t>PT Gozco Plantations Tbk</t>
        </is>
      </c>
      <c r="B2009" t="inlineStr">
        <is>
          <t>GZCO_2024_AR.pdf</t>
        </is>
      </c>
      <c r="C2009" t="n">
        <v>2024</v>
      </c>
      <c r="D2009" t="inlineStr">
        <is>
          <t>Asset</t>
        </is>
      </c>
      <c r="E2009" t="inlineStr">
        <is>
          <t>Average Tree Age</t>
        </is>
      </c>
      <c r="F2009" t="n">
        <v>16</v>
      </c>
      <c r="G2009" t="inlineStr">
        <is>
          <t>years</t>
        </is>
      </c>
      <c r="H2009" t="n">
        <v>37</v>
      </c>
      <c r="I2009" t="inlineStr">
        <is>
          <t>Usia rata-rata tanaman per akhir tahun 2024 adalah 16 (enam belas) tahun</t>
        </is>
      </c>
      <c r="J2009" t="inlineStr">
        <is>
          <t>High</t>
        </is>
      </c>
      <c r="M2009" t="inlineStr">
        <is>
          <t>LLM</t>
        </is>
      </c>
      <c r="N2009" t="inlineStr">
        <is>
          <t>2026-04-18</t>
        </is>
      </c>
      <c r="O2009" t="inlineStr">
        <is>
          <t>AI</t>
        </is>
      </c>
    </row>
    <row r="2010">
      <c r="A2010" t="inlineStr">
        <is>
          <t>PT Gozco Plantations Tbk</t>
        </is>
      </c>
      <c r="B2010" t="inlineStr">
        <is>
          <t>GZCO_2024_AR.pdf</t>
        </is>
      </c>
      <c r="C2010" t="n">
        <v>2024</v>
      </c>
      <c r="D2010" t="inlineStr">
        <is>
          <t>Asset</t>
        </is>
      </c>
      <c r="E2010" t="inlineStr">
        <is>
          <t>Replanting Area Cumulative</t>
        </is>
      </c>
      <c r="F2010" t="n">
        <v>1203</v>
      </c>
      <c r="G2010" t="inlineStr">
        <is>
          <t>ha</t>
        </is>
      </c>
      <c r="H2010" t="n">
        <v>37</v>
      </c>
      <c r="I2010" t="inlineStr">
        <is>
          <t>Replanting direalisasi tahun 2024 seluas 895 ha. Ditambah realisasi sampai dengan tahun sebelumnya seluas 308 ha, maka sampai dengan tahun 2024 sudah direalisasi replanting seluas 1.203 ha</t>
        </is>
      </c>
      <c r="J2010" t="inlineStr">
        <is>
          <t>High</t>
        </is>
      </c>
      <c r="M2010" t="inlineStr">
        <is>
          <t>LLM</t>
        </is>
      </c>
      <c r="N2010" t="inlineStr">
        <is>
          <t>2026-04-18</t>
        </is>
      </c>
      <c r="O2010" t="inlineStr">
        <is>
          <t>AI</t>
        </is>
      </c>
    </row>
    <row r="2011">
      <c r="A2011" t="inlineStr">
        <is>
          <t>PT Gozco Plantations Tbk</t>
        </is>
      </c>
      <c r="B2011" t="inlineStr">
        <is>
          <t>GZCO_2024_AR.pdf</t>
        </is>
      </c>
      <c r="C2011" t="n">
        <v>2024</v>
      </c>
      <c r="D2011" t="inlineStr">
        <is>
          <t>Asset</t>
        </is>
      </c>
      <c r="E2011" t="inlineStr">
        <is>
          <t>Mill Capacity (Suryabumi PKS SA)</t>
        </is>
      </c>
      <c r="F2011" t="n">
        <v>90</v>
      </c>
      <c r="G2011" t="inlineStr">
        <is>
          <t>T/Hour</t>
        </is>
      </c>
      <c r="H2011" t="n">
        <v>36</v>
      </c>
      <c r="I2011" t="inlineStr">
        <is>
          <t>Total Inti &amp; Plasma - 26.789 15.596 1.214 9.254 90T/Hour</t>
        </is>
      </c>
      <c r="J2011" t="inlineStr">
        <is>
          <t>High</t>
        </is>
      </c>
      <c r="M2011" t="inlineStr">
        <is>
          <t>LLM</t>
        </is>
      </c>
      <c r="N2011" t="inlineStr">
        <is>
          <t>2026-04-18</t>
        </is>
      </c>
      <c r="O2011" t="inlineStr">
        <is>
          <t>AI</t>
        </is>
      </c>
    </row>
    <row r="2012">
      <c r="A2012" t="inlineStr">
        <is>
          <t>PT Gozco Plantations Tbk</t>
        </is>
      </c>
      <c r="B2012" t="inlineStr">
        <is>
          <t>GZCO_2024_AR.pdf</t>
        </is>
      </c>
      <c r="C2012" t="n">
        <v>2024</v>
      </c>
      <c r="D2012" t="inlineStr">
        <is>
          <t>Asset</t>
        </is>
      </c>
      <c r="E2012" t="inlineStr">
        <is>
          <t>Mills Count</t>
        </is>
      </c>
      <c r="F2012" t="n">
        <v>1</v>
      </c>
      <c r="G2012" t="inlineStr">
        <is>
          <t>count</t>
        </is>
      </c>
      <c r="H2012" t="n">
        <v>36</v>
      </c>
      <c r="I2012" t="inlineStr">
        <is>
          <t>Single PKS at Suryabumi 90T/Hour; Kalimantan estates (TSP, SKM) have no mill, sell FFB</t>
        </is>
      </c>
      <c r="J2012" t="inlineStr">
        <is>
          <t>High</t>
        </is>
      </c>
      <c r="M2012" t="inlineStr">
        <is>
          <t>LLM</t>
        </is>
      </c>
      <c r="N2012" t="inlineStr">
        <is>
          <t>2026-04-18</t>
        </is>
      </c>
      <c r="O2012" t="inlineStr">
        <is>
          <t>AI</t>
        </is>
      </c>
    </row>
    <row r="2013">
      <c r="A2013" t="inlineStr">
        <is>
          <t>PT Gozco Plantations Tbk</t>
        </is>
      </c>
      <c r="B2013" t="inlineStr">
        <is>
          <t>GZCO_2024_AR.pdf</t>
        </is>
      </c>
      <c r="C2013" t="n">
        <v>2024</v>
      </c>
      <c r="D2013" t="inlineStr">
        <is>
          <t>Asset</t>
        </is>
      </c>
      <c r="E2013" t="inlineStr">
        <is>
          <t>Age Profile 1-3 yr</t>
        </is>
      </c>
      <c r="F2013" t="n">
        <v>240</v>
      </c>
      <c r="G2013" t="inlineStr">
        <is>
          <t>ha</t>
        </is>
      </c>
      <c r="H2013" t="n">
        <v>37</v>
      </c>
      <c r="I2013" t="inlineStr">
        <is>
          <t>Matured of 1 to 3 M 1-3 240 1%</t>
        </is>
      </c>
      <c r="J2013" t="inlineStr">
        <is>
          <t>High</t>
        </is>
      </c>
      <c r="M2013" t="inlineStr">
        <is>
          <t>LLM</t>
        </is>
      </c>
      <c r="N2013" t="inlineStr">
        <is>
          <t>2026-04-18</t>
        </is>
      </c>
      <c r="O2013" t="inlineStr">
        <is>
          <t>AI</t>
        </is>
      </c>
    </row>
    <row r="2014">
      <c r="A2014" t="inlineStr">
        <is>
          <t>PT Gozco Plantations Tbk</t>
        </is>
      </c>
      <c r="B2014" t="inlineStr">
        <is>
          <t>GZCO_2024_AR.pdf</t>
        </is>
      </c>
      <c r="C2014" t="n">
        <v>2024</v>
      </c>
      <c r="D2014" t="inlineStr">
        <is>
          <t>Asset</t>
        </is>
      </c>
      <c r="E2014" t="inlineStr">
        <is>
          <t>Age Profile 4-6 yr</t>
        </is>
      </c>
      <c r="F2014" t="n">
        <v>895</v>
      </c>
      <c r="G2014" t="inlineStr">
        <is>
          <t>ha</t>
        </is>
      </c>
      <c r="H2014" t="n">
        <v>37</v>
      </c>
      <c r="I2014" t="inlineStr">
        <is>
          <t>Matured of 4 to 6 M 4-6 895 6%</t>
        </is>
      </c>
      <c r="J2014" t="inlineStr">
        <is>
          <t>High</t>
        </is>
      </c>
      <c r="M2014" t="inlineStr">
        <is>
          <t>LLM</t>
        </is>
      </c>
      <c r="N2014" t="inlineStr">
        <is>
          <t>2026-04-18</t>
        </is>
      </c>
      <c r="O2014" t="inlineStr">
        <is>
          <t>AI</t>
        </is>
      </c>
    </row>
    <row r="2015">
      <c r="A2015" t="inlineStr">
        <is>
          <t>PT Gozco Plantations Tbk</t>
        </is>
      </c>
      <c r="B2015" t="inlineStr">
        <is>
          <t>GZCO_2024_AR.pdf</t>
        </is>
      </c>
      <c r="C2015" t="n">
        <v>2024</v>
      </c>
      <c r="D2015" t="inlineStr">
        <is>
          <t>Asset</t>
        </is>
      </c>
      <c r="E2015" t="inlineStr">
        <is>
          <t>Age Profile 7-9 yr</t>
        </is>
      </c>
      <c r="F2015" t="n">
        <v>3666</v>
      </c>
      <c r="G2015" t="inlineStr">
        <is>
          <t>ha</t>
        </is>
      </c>
      <c r="H2015" t="n">
        <v>37</v>
      </c>
      <c r="I2015" t="inlineStr">
        <is>
          <t>Matured of 7 to 9 M 7-9 3.666 23%</t>
        </is>
      </c>
      <c r="J2015" t="inlineStr">
        <is>
          <t>High</t>
        </is>
      </c>
      <c r="M2015" t="inlineStr">
        <is>
          <t>LLM</t>
        </is>
      </c>
      <c r="N2015" t="inlineStr">
        <is>
          <t>2026-04-18</t>
        </is>
      </c>
      <c r="O2015" t="inlineStr">
        <is>
          <t>AI</t>
        </is>
      </c>
    </row>
    <row r="2016">
      <c r="A2016" t="inlineStr">
        <is>
          <t>PT Gozco Plantations Tbk</t>
        </is>
      </c>
      <c r="B2016" t="inlineStr">
        <is>
          <t>GZCO_2024_AR.pdf</t>
        </is>
      </c>
      <c r="C2016" t="n">
        <v>2024</v>
      </c>
      <c r="D2016" t="inlineStr">
        <is>
          <t>Asset</t>
        </is>
      </c>
      <c r="E2016" t="inlineStr">
        <is>
          <t>Age Profile 10-19 yr</t>
        </is>
      </c>
      <c r="F2016" t="n">
        <v>4342</v>
      </c>
      <c r="G2016" t="inlineStr">
        <is>
          <t>ha</t>
        </is>
      </c>
      <c r="H2016" t="n">
        <v>37</v>
      </c>
      <c r="I2016" t="inlineStr">
        <is>
          <t>Matured of 10 to 19 M 10-19 4.342 28%</t>
        </is>
      </c>
      <c r="J2016" t="inlineStr">
        <is>
          <t>High</t>
        </is>
      </c>
      <c r="M2016" t="inlineStr">
        <is>
          <t>LLM</t>
        </is>
      </c>
      <c r="N2016" t="inlineStr">
        <is>
          <t>2026-04-18</t>
        </is>
      </c>
      <c r="O2016" t="inlineStr">
        <is>
          <t>AI</t>
        </is>
      </c>
    </row>
    <row r="2017">
      <c r="A2017" t="inlineStr">
        <is>
          <t>PT Gozco Plantations Tbk</t>
        </is>
      </c>
      <c r="B2017" t="inlineStr">
        <is>
          <t>GZCO_2024_AR.pdf</t>
        </is>
      </c>
      <c r="C2017" t="n">
        <v>2024</v>
      </c>
      <c r="D2017" t="inlineStr">
        <is>
          <t>Asset</t>
        </is>
      </c>
      <c r="E2017" t="inlineStr">
        <is>
          <t>Age Profile 20+ yr</t>
        </is>
      </c>
      <c r="F2017" t="n">
        <v>4795</v>
      </c>
      <c r="G2017" t="inlineStr">
        <is>
          <t>ha</t>
        </is>
      </c>
      <c r="H2017" t="n">
        <v>37</v>
      </c>
      <c r="I2017" t="inlineStr">
        <is>
          <t>Matured of 20 etc M 20-22 4.795 31%</t>
        </is>
      </c>
      <c r="J2017" t="inlineStr">
        <is>
          <t>High</t>
        </is>
      </c>
      <c r="M2017" t="inlineStr">
        <is>
          <t>LLM</t>
        </is>
      </c>
      <c r="N2017" t="inlineStr">
        <is>
          <t>2026-04-18</t>
        </is>
      </c>
      <c r="O2017" t="inlineStr">
        <is>
          <t>AI</t>
        </is>
      </c>
    </row>
    <row r="2018">
      <c r="A2018" t="inlineStr">
        <is>
          <t>PT Gozco Plantations Tbk</t>
        </is>
      </c>
      <c r="B2018" t="inlineStr">
        <is>
          <t>GZCO_2024_AR.pdf</t>
        </is>
      </c>
      <c r="C2018" t="n">
        <v>2024</v>
      </c>
      <c r="D2018" t="inlineStr">
        <is>
          <t>Asset</t>
        </is>
      </c>
      <c r="E2018" t="inlineStr">
        <is>
          <t>Suryabumi Land (Sumsel)</t>
        </is>
      </c>
      <c r="F2018" t="n">
        <v>8858</v>
      </c>
      <c r="G2018" t="inlineStr">
        <is>
          <t>ha</t>
        </is>
      </c>
      <c r="H2018" t="n">
        <v>36</v>
      </c>
      <c r="I2018" t="inlineStr">
        <is>
          <t>Suryabumi Agrolanggeng Sumsel 8.858 7.716 394</t>
        </is>
      </c>
      <c r="J2018" t="inlineStr">
        <is>
          <t>High</t>
        </is>
      </c>
      <c r="M2018" t="inlineStr">
        <is>
          <t>LLM</t>
        </is>
      </c>
      <c r="N2018" t="inlineStr">
        <is>
          <t>2026-04-18</t>
        </is>
      </c>
      <c r="O2018" t="inlineStr">
        <is>
          <t>AI</t>
        </is>
      </c>
    </row>
    <row r="2019">
      <c r="A2019" t="inlineStr">
        <is>
          <t>PT Gozco Plantations Tbk</t>
        </is>
      </c>
      <c r="B2019" t="inlineStr">
        <is>
          <t>GZCO_2024_AR.pdf</t>
        </is>
      </c>
      <c r="C2019" t="n">
        <v>2024</v>
      </c>
      <c r="D2019" t="inlineStr">
        <is>
          <t>Asset</t>
        </is>
      </c>
      <c r="E2019" t="inlineStr">
        <is>
          <t>Cahyavidi Land (Sumsel)</t>
        </is>
      </c>
      <c r="F2019" t="n">
        <v>1167</v>
      </c>
      <c r="G2019" t="inlineStr">
        <is>
          <t>ha</t>
        </is>
      </c>
      <c r="H2019" t="n">
        <v>36</v>
      </c>
      <c r="I2019" t="inlineStr">
        <is>
          <t>CahyaVidi Cahya Vidi Abadi Sumsel 1.167 985 71 111</t>
        </is>
      </c>
      <c r="J2019" t="inlineStr">
        <is>
          <t>High</t>
        </is>
      </c>
      <c r="M2019" t="inlineStr">
        <is>
          <t>LLM</t>
        </is>
      </c>
      <c r="N2019" t="inlineStr">
        <is>
          <t>2026-04-18</t>
        </is>
      </c>
      <c r="O2019" t="inlineStr">
        <is>
          <t>AI</t>
        </is>
      </c>
    </row>
    <row r="2020">
      <c r="A2020" t="inlineStr">
        <is>
          <t>PT Gozco Plantations Tbk</t>
        </is>
      </c>
      <c r="B2020" t="inlineStr">
        <is>
          <t>GZCO_2024_AR.pdf</t>
        </is>
      </c>
      <c r="C2020" t="n">
        <v>2024</v>
      </c>
      <c r="D2020" t="inlineStr">
        <is>
          <t>Asset</t>
        </is>
      </c>
      <c r="E2020" t="inlineStr">
        <is>
          <t>SKM Land (Kalbar, nucleus+plasma)</t>
        </is>
      </c>
      <c r="F2020" t="n">
        <v>9609</v>
      </c>
      <c r="G2020" t="inlineStr">
        <is>
          <t>ha</t>
        </is>
      </c>
      <c r="H2020" t="n">
        <v>36</v>
      </c>
      <c r="I2020" t="inlineStr">
        <is>
          <t>SKM Sinar Karya Mandiri Kalbar 7.716 nucleus + 1.893 plasma = 9,610 ha; acquired Feb 2024</t>
        </is>
      </c>
      <c r="J2020" t="inlineStr">
        <is>
          <t>High</t>
        </is>
      </c>
      <c r="M2020" t="inlineStr">
        <is>
          <t>LLM</t>
        </is>
      </c>
      <c r="N2020" t="inlineStr">
        <is>
          <t>2026-04-18</t>
        </is>
      </c>
      <c r="O2020" t="inlineStr">
        <is>
          <t>AI</t>
        </is>
      </c>
    </row>
    <row r="2021">
      <c r="A2021" t="inlineStr">
        <is>
          <t>PT Gozco Plantations Tbk</t>
        </is>
      </c>
      <c r="B2021" t="inlineStr">
        <is>
          <t>GZCO_2024_AR.pdf</t>
        </is>
      </c>
      <c r="C2021" t="n">
        <v>2024</v>
      </c>
      <c r="D2021" t="inlineStr">
        <is>
          <t>Operation</t>
        </is>
      </c>
      <c r="E2021" t="inlineStr">
        <is>
          <t>FFB Harvest (Nucleus after sortation)</t>
        </is>
      </c>
      <c r="F2021" t="n">
        <v>225259</v>
      </c>
      <c r="G2021" t="inlineStr">
        <is>
          <t>t</t>
        </is>
      </c>
      <c r="H2021" t="n">
        <v>6</v>
      </c>
      <c r="I2021" t="inlineStr">
        <is>
          <t>Hasil Panen Kebun Inti (setelah sortasi) 225.259 208.937 189.719</t>
        </is>
      </c>
      <c r="J2021" t="inlineStr">
        <is>
          <t>High</t>
        </is>
      </c>
      <c r="M2021" t="inlineStr">
        <is>
          <t>LLM</t>
        </is>
      </c>
      <c r="N2021" t="inlineStr">
        <is>
          <t>2026-04-18</t>
        </is>
      </c>
      <c r="O2021" t="inlineStr">
        <is>
          <t>AI</t>
        </is>
      </c>
    </row>
    <row r="2022">
      <c r="A2022" t="inlineStr">
        <is>
          <t>PT Gozco Plantations Tbk</t>
        </is>
      </c>
      <c r="B2022" t="inlineStr">
        <is>
          <t>GZCO_2024_AR.pdf</t>
        </is>
      </c>
      <c r="C2022" t="n">
        <v>2024</v>
      </c>
      <c r="D2022" t="inlineStr">
        <is>
          <t>Operation</t>
        </is>
      </c>
      <c r="E2022" t="inlineStr">
        <is>
          <t>FFB Sold &amp; Stock</t>
        </is>
      </c>
      <c r="F2022" t="n">
        <v>49783</v>
      </c>
      <c r="G2022" t="inlineStr">
        <is>
          <t>t</t>
        </is>
      </c>
      <c r="H2022" t="n">
        <v>6</v>
      </c>
      <c r="I2022" t="inlineStr">
        <is>
          <t>TBS Dijual &amp; stock 49.783 10.533 12.941</t>
        </is>
      </c>
      <c r="J2022" t="inlineStr">
        <is>
          <t>High</t>
        </is>
      </c>
      <c r="M2022" t="inlineStr">
        <is>
          <t>LLM</t>
        </is>
      </c>
      <c r="N2022" t="inlineStr">
        <is>
          <t>2026-04-18</t>
        </is>
      </c>
      <c r="O2022" t="inlineStr">
        <is>
          <t>AI</t>
        </is>
      </c>
    </row>
    <row r="2023">
      <c r="A2023" t="inlineStr">
        <is>
          <t>PT Gozco Plantations Tbk</t>
        </is>
      </c>
      <c r="B2023" t="inlineStr">
        <is>
          <t>GZCO_2024_AR.pdf</t>
        </is>
      </c>
      <c r="C2023" t="n">
        <v>2024</v>
      </c>
      <c r="D2023" t="inlineStr">
        <is>
          <t>Operation</t>
        </is>
      </c>
      <c r="E2023" t="inlineStr">
        <is>
          <t>FFB Internal Processed (Net)</t>
        </is>
      </c>
      <c r="F2023" t="n">
        <v>175476</v>
      </c>
      <c r="G2023" t="inlineStr">
        <is>
          <t>t</t>
        </is>
      </c>
      <c r="H2023" t="n">
        <v>6</v>
      </c>
      <c r="I2023" t="inlineStr">
        <is>
          <t>Hasil Kebun Inti Diproses 175.476 198.404 176.779</t>
        </is>
      </c>
      <c r="J2023" t="inlineStr">
        <is>
          <t>High</t>
        </is>
      </c>
      <c r="M2023" t="inlineStr">
        <is>
          <t>LLM</t>
        </is>
      </c>
      <c r="N2023" t="inlineStr">
        <is>
          <t>2026-04-18</t>
        </is>
      </c>
      <c r="O2023" t="inlineStr">
        <is>
          <t>AI</t>
        </is>
      </c>
    </row>
    <row r="2024">
      <c r="A2024" t="inlineStr">
        <is>
          <t>PT Gozco Plantations Tbk</t>
        </is>
      </c>
      <c r="B2024" t="inlineStr">
        <is>
          <t>GZCO_2024_AR.pdf</t>
        </is>
      </c>
      <c r="C2024" t="n">
        <v>2024</v>
      </c>
      <c r="D2024" t="inlineStr">
        <is>
          <t>Operation</t>
        </is>
      </c>
      <c r="E2024" t="inlineStr">
        <is>
          <t>FFB External (3rd Party Purchases)</t>
        </is>
      </c>
      <c r="F2024" t="n">
        <v>31296</v>
      </c>
      <c r="G2024" t="inlineStr">
        <is>
          <t>t</t>
        </is>
      </c>
      <c r="H2024" t="n">
        <v>6</v>
      </c>
      <c r="I2024" t="inlineStr">
        <is>
          <t>Dari Kebun luar / Pembelian 31.296 28.621 34.068</t>
        </is>
      </c>
      <c r="J2024" t="inlineStr">
        <is>
          <t>High</t>
        </is>
      </c>
      <c r="M2024" t="inlineStr">
        <is>
          <t>LLM</t>
        </is>
      </c>
      <c r="N2024" t="inlineStr">
        <is>
          <t>2026-04-18</t>
        </is>
      </c>
      <c r="O2024" t="inlineStr">
        <is>
          <t>AI</t>
        </is>
      </c>
    </row>
    <row r="2025">
      <c r="A2025" t="inlineStr">
        <is>
          <t>PT Gozco Plantations Tbk</t>
        </is>
      </c>
      <c r="B2025" t="inlineStr">
        <is>
          <t>GZCO_2024_AR.pdf</t>
        </is>
      </c>
      <c r="C2025" t="n">
        <v>2024</v>
      </c>
      <c r="D2025" t="inlineStr">
        <is>
          <t>Operation</t>
        </is>
      </c>
      <c r="E2025" t="inlineStr">
        <is>
          <t>Total FFB Processed</t>
        </is>
      </c>
      <c r="F2025" t="n">
        <v>206772</v>
      </c>
      <c r="G2025" t="inlineStr">
        <is>
          <t>t</t>
        </is>
      </c>
      <c r="H2025" t="n">
        <v>6</v>
      </c>
      <c r="I2025" t="inlineStr">
        <is>
          <t>Total TBS Tersedia &amp; Diproses 206.772 227.025 210.847</t>
        </is>
      </c>
      <c r="J2025" t="inlineStr">
        <is>
          <t>High</t>
        </is>
      </c>
      <c r="M2025" t="inlineStr">
        <is>
          <t>LLM</t>
        </is>
      </c>
      <c r="N2025" t="inlineStr">
        <is>
          <t>2026-04-18</t>
        </is>
      </c>
      <c r="O2025" t="inlineStr">
        <is>
          <t>AI</t>
        </is>
      </c>
    </row>
    <row r="2026">
      <c r="A2026" t="inlineStr">
        <is>
          <t>PT Gozco Plantations Tbk</t>
        </is>
      </c>
      <c r="B2026" t="inlineStr">
        <is>
          <t>GZCO_2024_AR.pdf</t>
        </is>
      </c>
      <c r="C2026" t="n">
        <v>2024</v>
      </c>
      <c r="D2026" t="inlineStr">
        <is>
          <t>Operation</t>
        </is>
      </c>
      <c r="E2026" t="inlineStr">
        <is>
          <t>FFB Yield (Nucleus)</t>
        </is>
      </c>
      <c r="F2026" t="n">
        <v>16.63</v>
      </c>
      <c r="G2026" t="inlineStr">
        <is>
          <t>t/ha</t>
        </is>
      </c>
      <c r="H2026" t="n">
        <v>6</v>
      </c>
      <c r="I2026" t="inlineStr">
        <is>
          <t>Hasil Panen terhadap Lahan Inti 16,63 16,78 14,94 (Ton/Ha, after sortation)</t>
        </is>
      </c>
      <c r="J2026" t="inlineStr">
        <is>
          <t>High</t>
        </is>
      </c>
      <c r="M2026" t="inlineStr">
        <is>
          <t>LLM</t>
        </is>
      </c>
      <c r="N2026" t="inlineStr">
        <is>
          <t>2026-04-18</t>
        </is>
      </c>
      <c r="O2026" t="inlineStr">
        <is>
          <t>AI</t>
        </is>
      </c>
    </row>
    <row r="2027">
      <c r="A2027" t="inlineStr">
        <is>
          <t>PT Gozco Plantations Tbk</t>
        </is>
      </c>
      <c r="B2027" t="inlineStr">
        <is>
          <t>GZCO_2024_AR.pdf</t>
        </is>
      </c>
      <c r="C2027" t="n">
        <v>2024</v>
      </c>
      <c r="D2027" t="inlineStr">
        <is>
          <t>Operation</t>
        </is>
      </c>
      <c r="E2027" t="inlineStr">
        <is>
          <t>CPO Production</t>
        </is>
      </c>
      <c r="F2027" t="n">
        <v>43934</v>
      </c>
      <c r="G2027" t="inlineStr">
        <is>
          <t>t</t>
        </is>
      </c>
      <c r="H2027" t="n">
        <v>6</v>
      </c>
      <c r="I2027" t="inlineStr">
        <is>
          <t>Minyak Sawit Mentah (CPO) 43.934 50.310 48.841</t>
        </is>
      </c>
      <c r="J2027" t="inlineStr">
        <is>
          <t>High</t>
        </is>
      </c>
      <c r="M2027" t="inlineStr">
        <is>
          <t>LLM</t>
        </is>
      </c>
      <c r="N2027" t="inlineStr">
        <is>
          <t>2026-04-18</t>
        </is>
      </c>
      <c r="O2027" t="inlineStr">
        <is>
          <t>AI</t>
        </is>
      </c>
    </row>
    <row r="2028">
      <c r="A2028" t="inlineStr">
        <is>
          <t>PT Gozco Plantations Tbk</t>
        </is>
      </c>
      <c r="B2028" t="inlineStr">
        <is>
          <t>GZCO_2024_AR.pdf</t>
        </is>
      </c>
      <c r="C2028" t="n">
        <v>2024</v>
      </c>
      <c r="D2028" t="inlineStr">
        <is>
          <t>Operation</t>
        </is>
      </c>
      <c r="E2028" t="inlineStr">
        <is>
          <t>Kernel Production</t>
        </is>
      </c>
      <c r="F2028" t="n">
        <v>9123</v>
      </c>
      <c r="G2028" t="inlineStr">
        <is>
          <t>t</t>
        </is>
      </c>
      <c r="H2028" t="n">
        <v>6</v>
      </c>
      <c r="I2028" t="inlineStr">
        <is>
          <t>Kernel 9.123 10.532 9.517 PK</t>
        </is>
      </c>
      <c r="J2028" t="inlineStr">
        <is>
          <t>High</t>
        </is>
      </c>
      <c r="M2028" t="inlineStr">
        <is>
          <t>LLM</t>
        </is>
      </c>
      <c r="N2028" t="inlineStr">
        <is>
          <t>2026-04-18</t>
        </is>
      </c>
      <c r="O2028" t="inlineStr">
        <is>
          <t>AI</t>
        </is>
      </c>
    </row>
    <row r="2029">
      <c r="A2029" t="inlineStr">
        <is>
          <t>PT Gozco Plantations Tbk</t>
        </is>
      </c>
      <c r="B2029" t="inlineStr">
        <is>
          <t>GZCO_2024_AR.pdf</t>
        </is>
      </c>
      <c r="C2029" t="n">
        <v>2024</v>
      </c>
      <c r="D2029" t="inlineStr">
        <is>
          <t>Operation</t>
        </is>
      </c>
      <c r="E2029" t="inlineStr">
        <is>
          <t>CPO Extraction Rate (OER)</t>
        </is>
      </c>
      <c r="F2029" t="n">
        <v>0.2125</v>
      </c>
      <c r="G2029" t="inlineStr">
        <is>
          <t>%</t>
        </is>
      </c>
      <c r="H2029" t="n">
        <v>6</v>
      </c>
      <c r="I2029" t="inlineStr">
        <is>
          <t>Minyak Sawit Mentah 21,25 22,16 23,16 CPO</t>
        </is>
      </c>
      <c r="J2029" t="inlineStr">
        <is>
          <t>High</t>
        </is>
      </c>
      <c r="M2029" t="inlineStr">
        <is>
          <t>LLM</t>
        </is>
      </c>
      <c r="N2029" t="inlineStr">
        <is>
          <t>2026-04-18</t>
        </is>
      </c>
      <c r="O2029" t="inlineStr">
        <is>
          <t>AI</t>
        </is>
      </c>
    </row>
    <row r="2030">
      <c r="A2030" t="inlineStr">
        <is>
          <t>PT Gozco Plantations Tbk</t>
        </is>
      </c>
      <c r="B2030" t="inlineStr">
        <is>
          <t>GZCO_2024_AR.pdf</t>
        </is>
      </c>
      <c r="C2030" t="n">
        <v>2024</v>
      </c>
      <c r="D2030" t="inlineStr">
        <is>
          <t>Operation</t>
        </is>
      </c>
      <c r="E2030" t="inlineStr">
        <is>
          <t>Kernel Extraction Rate (KER)</t>
        </is>
      </c>
      <c r="F2030" t="n">
        <v>0.0441</v>
      </c>
      <c r="G2030" t="inlineStr">
        <is>
          <t>%</t>
        </is>
      </c>
      <c r="H2030" t="n">
        <v>6</v>
      </c>
      <c r="I2030" t="inlineStr">
        <is>
          <t>Kernel 4,41 4,64 4,51 PK</t>
        </is>
      </c>
      <c r="J2030" t="inlineStr">
        <is>
          <t>High</t>
        </is>
      </c>
      <c r="M2030" t="inlineStr">
        <is>
          <t>LLM</t>
        </is>
      </c>
      <c r="N2030" t="inlineStr">
        <is>
          <t>2026-04-18</t>
        </is>
      </c>
      <c r="O2030" t="inlineStr">
        <is>
          <t>AI</t>
        </is>
      </c>
    </row>
    <row r="2031">
      <c r="A2031" t="inlineStr">
        <is>
          <t>PT Gozco Plantations Tbk</t>
        </is>
      </c>
      <c r="B2031" t="inlineStr">
        <is>
          <t>GZCO_2024_AR.pdf</t>
        </is>
      </c>
      <c r="C2031" t="n">
        <v>2024</v>
      </c>
      <c r="D2031" t="inlineStr">
        <is>
          <t>Operation</t>
        </is>
      </c>
      <c r="E2031" t="inlineStr">
        <is>
          <t>CPO Sales Volume</t>
        </is>
      </c>
      <c r="F2031" t="n">
        <v>44598</v>
      </c>
      <c r="G2031" t="inlineStr">
        <is>
          <t>t</t>
        </is>
      </c>
      <c r="H2031" t="n">
        <v>6</v>
      </c>
      <c r="I2031" t="inlineStr">
        <is>
          <t>Minyak Sawit Mentah 44.598 59.395 38.659 CPO</t>
        </is>
      </c>
      <c r="J2031" t="inlineStr">
        <is>
          <t>High</t>
        </is>
      </c>
      <c r="M2031" t="inlineStr">
        <is>
          <t>LLM</t>
        </is>
      </c>
      <c r="N2031" t="inlineStr">
        <is>
          <t>2026-04-18</t>
        </is>
      </c>
      <c r="O2031" t="inlineStr">
        <is>
          <t>AI</t>
        </is>
      </c>
    </row>
    <row r="2032">
      <c r="A2032" t="inlineStr">
        <is>
          <t>PT Gozco Plantations Tbk</t>
        </is>
      </c>
      <c r="B2032" t="inlineStr">
        <is>
          <t>GZCO_2024_AR.pdf</t>
        </is>
      </c>
      <c r="C2032" t="n">
        <v>2024</v>
      </c>
      <c r="D2032" t="inlineStr">
        <is>
          <t>Operation</t>
        </is>
      </c>
      <c r="E2032" t="inlineStr">
        <is>
          <t>Kernel Sales Volume</t>
        </is>
      </c>
      <c r="F2032" t="n">
        <v>9257</v>
      </c>
      <c r="G2032" t="inlineStr">
        <is>
          <t>t</t>
        </is>
      </c>
      <c r="H2032" t="n">
        <v>6</v>
      </c>
      <c r="I2032" t="inlineStr">
        <is>
          <t>Kernel 9.257 11.425 8.496 PK</t>
        </is>
      </c>
      <c r="J2032" t="inlineStr">
        <is>
          <t>High</t>
        </is>
      </c>
      <c r="M2032" t="inlineStr">
        <is>
          <t>LLM</t>
        </is>
      </c>
      <c r="N2032" t="inlineStr">
        <is>
          <t>2026-04-18</t>
        </is>
      </c>
      <c r="O2032" t="inlineStr">
        <is>
          <t>AI</t>
        </is>
      </c>
    </row>
    <row r="2033">
      <c r="A2033" t="inlineStr">
        <is>
          <t>PT Gozco Plantations Tbk</t>
        </is>
      </c>
      <c r="B2033" t="inlineStr">
        <is>
          <t>GZCO_2024_AR.pdf</t>
        </is>
      </c>
      <c r="C2033" t="n">
        <v>2024</v>
      </c>
      <c r="D2033" t="inlineStr">
        <is>
          <t>Operation</t>
        </is>
      </c>
      <c r="E2033" t="inlineStr">
        <is>
          <t>Avg CPO Selling Price</t>
        </is>
      </c>
      <c r="F2033" t="n">
        <v>13117</v>
      </c>
      <c r="G2033" t="inlineStr">
        <is>
          <t>Rp/kg</t>
        </is>
      </c>
      <c r="H2033" t="n">
        <v>44</v>
      </c>
      <c r="I2033" t="inlineStr">
        <is>
          <t>Minyak Sawit Mentah 13.117 11.094 11.902 CPO (Rp.Jt hrg jual per Kg)</t>
        </is>
      </c>
      <c r="J2033" t="inlineStr">
        <is>
          <t>High</t>
        </is>
      </c>
      <c r="M2033" t="inlineStr">
        <is>
          <t>LLM</t>
        </is>
      </c>
      <c r="N2033" t="inlineStr">
        <is>
          <t>2026-04-18</t>
        </is>
      </c>
      <c r="O2033" t="inlineStr">
        <is>
          <t>AI</t>
        </is>
      </c>
    </row>
    <row r="2034">
      <c r="A2034" t="inlineStr">
        <is>
          <t>PT Gozco Plantations Tbk</t>
        </is>
      </c>
      <c r="B2034" t="inlineStr">
        <is>
          <t>GZCO_2024_AR.pdf</t>
        </is>
      </c>
      <c r="C2034" t="n">
        <v>2024</v>
      </c>
      <c r="D2034" t="inlineStr">
        <is>
          <t>Operation</t>
        </is>
      </c>
      <c r="E2034" t="inlineStr">
        <is>
          <t>Avg Kernel Selling Price</t>
        </is>
      </c>
      <c r="F2034" t="n">
        <v>8713</v>
      </c>
      <c r="G2034" t="inlineStr">
        <is>
          <t>Rp/kg</t>
        </is>
      </c>
      <c r="H2034" t="n">
        <v>44</v>
      </c>
      <c r="I2034" t="inlineStr">
        <is>
          <t>Kernel 8.713 5.436 7.474</t>
        </is>
      </c>
      <c r="J2034" t="inlineStr">
        <is>
          <t>High</t>
        </is>
      </c>
      <c r="M2034" t="inlineStr">
        <is>
          <t>LLM</t>
        </is>
      </c>
      <c r="N2034" t="inlineStr">
        <is>
          <t>2026-04-18</t>
        </is>
      </c>
      <c r="O2034" t="inlineStr">
        <is>
          <t>AI</t>
        </is>
      </c>
    </row>
    <row r="2035">
      <c r="A2035" t="inlineStr">
        <is>
          <t>PT Gozco Plantations Tbk</t>
        </is>
      </c>
      <c r="B2035" t="inlineStr">
        <is>
          <t>GZCO_2024_AR.pdf</t>
        </is>
      </c>
      <c r="C2035" t="n">
        <v>2024</v>
      </c>
      <c r="D2035" t="inlineStr">
        <is>
          <t>Operation</t>
        </is>
      </c>
      <c r="E2035" t="inlineStr">
        <is>
          <t>Avg FFB Selling Price</t>
        </is>
      </c>
      <c r="F2035" t="n">
        <v>2838</v>
      </c>
      <c r="G2035" t="inlineStr">
        <is>
          <t>Rp/kg</t>
        </is>
      </c>
      <c r="H2035" t="n">
        <v>44</v>
      </c>
      <c r="I2035" t="inlineStr">
        <is>
          <t>TBS 2.838 2.316 2.299 FFB</t>
        </is>
      </c>
      <c r="J2035" t="inlineStr">
        <is>
          <t>High</t>
        </is>
      </c>
      <c r="M2035" t="inlineStr">
        <is>
          <t>LLM</t>
        </is>
      </c>
      <c r="N2035" t="inlineStr">
        <is>
          <t>2026-04-18</t>
        </is>
      </c>
      <c r="O2035" t="inlineStr">
        <is>
          <t>AI</t>
        </is>
      </c>
    </row>
    <row r="2036">
      <c r="A2036" t="inlineStr">
        <is>
          <t>PT Gozco Plantations Tbk</t>
        </is>
      </c>
      <c r="B2036" t="inlineStr">
        <is>
          <t>GZCO_2024_AR.pdf</t>
        </is>
      </c>
      <c r="C2036" t="n">
        <v>2024</v>
      </c>
      <c r="D2036" t="inlineStr">
        <is>
          <t>Operation</t>
        </is>
      </c>
      <c r="E2036" t="inlineStr">
        <is>
          <t>CPO Sales Value</t>
        </is>
      </c>
      <c r="F2036" t="n">
        <v>585.6</v>
      </c>
      <c r="G2036" t="inlineStr">
        <is>
          <t>IDR bn</t>
        </is>
      </c>
      <c r="H2036" t="n">
        <v>45</v>
      </c>
      <c r="I2036" t="inlineStr">
        <is>
          <t>Minyak Sawit Mentah 585.613 658.953 460.697 CPO (Rp Juta)</t>
        </is>
      </c>
      <c r="J2036" t="inlineStr">
        <is>
          <t>High</t>
        </is>
      </c>
      <c r="M2036" t="inlineStr">
        <is>
          <t>LLM</t>
        </is>
      </c>
      <c r="N2036" t="inlineStr">
        <is>
          <t>2026-04-18</t>
        </is>
      </c>
      <c r="O2036" t="inlineStr">
        <is>
          <t>AI</t>
        </is>
      </c>
    </row>
    <row r="2037">
      <c r="A2037" t="inlineStr">
        <is>
          <t>PT Gozco Plantations Tbk</t>
        </is>
      </c>
      <c r="B2037" t="inlineStr">
        <is>
          <t>GZCO_2024_AR.pdf</t>
        </is>
      </c>
      <c r="C2037" t="n">
        <v>2024</v>
      </c>
      <c r="D2037" t="inlineStr">
        <is>
          <t>Operation</t>
        </is>
      </c>
      <c r="E2037" t="inlineStr">
        <is>
          <t>Kernel Sales Value</t>
        </is>
      </c>
      <c r="F2037" t="n">
        <v>80.7</v>
      </c>
      <c r="G2037" t="inlineStr">
        <is>
          <t>IDR bn</t>
        </is>
      </c>
      <c r="H2037" t="n">
        <v>45</v>
      </c>
      <c r="I2037" t="inlineStr">
        <is>
          <t>Kernel 80.662 62.107 64.284 PK</t>
        </is>
      </c>
      <c r="J2037" t="inlineStr">
        <is>
          <t>High</t>
        </is>
      </c>
      <c r="M2037" t="inlineStr">
        <is>
          <t>LLM</t>
        </is>
      </c>
      <c r="N2037" t="inlineStr">
        <is>
          <t>2026-04-18</t>
        </is>
      </c>
      <c r="O2037" t="inlineStr">
        <is>
          <t>AI</t>
        </is>
      </c>
    </row>
    <row r="2038">
      <c r="A2038" t="inlineStr">
        <is>
          <t>PT Gozco Plantations Tbk</t>
        </is>
      </c>
      <c r="B2038" t="inlineStr">
        <is>
          <t>GZCO_2024_AR.pdf</t>
        </is>
      </c>
      <c r="C2038" t="n">
        <v>2024</v>
      </c>
      <c r="D2038" t="inlineStr">
        <is>
          <t>Operation</t>
        </is>
      </c>
      <c r="E2038" t="inlineStr">
        <is>
          <t>FFB Sales Value</t>
        </is>
      </c>
      <c r="F2038" t="n">
        <v>138.4</v>
      </c>
      <c r="G2038" t="inlineStr">
        <is>
          <t>IDR bn</t>
        </is>
      </c>
      <c r="H2038" t="n">
        <v>45</v>
      </c>
      <c r="I2038" t="inlineStr">
        <is>
          <t>TBS 138.372 23.206 29.740 FFB</t>
        </is>
      </c>
      <c r="J2038" t="inlineStr">
        <is>
          <t>High</t>
        </is>
      </c>
      <c r="M2038" t="inlineStr">
        <is>
          <t>LLM</t>
        </is>
      </c>
      <c r="N2038" t="inlineStr">
        <is>
          <t>2026-04-18</t>
        </is>
      </c>
      <c r="O2038" t="inlineStr">
        <is>
          <t>AI</t>
        </is>
      </c>
    </row>
    <row r="2039">
      <c r="A2039" t="inlineStr">
        <is>
          <t>PT Gozco Plantations Tbk</t>
        </is>
      </c>
      <c r="B2039" t="inlineStr">
        <is>
          <t>GZCO_2024_AR.pdf</t>
        </is>
      </c>
      <c r="C2039" t="n">
        <v>2024</v>
      </c>
      <c r="D2039" t="inlineStr">
        <is>
          <t>Operation</t>
        </is>
      </c>
      <c r="E2039" t="inlineStr">
        <is>
          <t>Sales Channel</t>
        </is>
      </c>
      <c r="F2039" t="inlineStr">
        <is>
          <t>Domestic (IDR) only</t>
        </is>
      </c>
      <c r="G2039" t="inlineStr">
        <is>
          <t>text</t>
        </is>
      </c>
      <c r="H2039" t="n">
        <v>45</v>
      </c>
      <c r="I2039" t="inlineStr">
        <is>
          <t>Semua penjualan CPO maupun kernel dilakukan dalam satuan rupiah dan berdasar transaksi penyerahan ke Pembeli dari tanki atau gudang Perseroan</t>
        </is>
      </c>
      <c r="J2039" t="inlineStr">
        <is>
          <t>High</t>
        </is>
      </c>
      <c r="M2039" t="inlineStr">
        <is>
          <t>LLM</t>
        </is>
      </c>
      <c r="N2039" t="inlineStr">
        <is>
          <t>2026-04-18</t>
        </is>
      </c>
      <c r="O2039" t="inlineStr">
        <is>
          <t>AI</t>
        </is>
      </c>
    </row>
    <row r="2040">
      <c r="A2040" t="inlineStr">
        <is>
          <t>PT Gozco Plantations Tbk</t>
        </is>
      </c>
      <c r="B2040" t="inlineStr">
        <is>
          <t>GZCO_2024_AR.pdf</t>
        </is>
      </c>
      <c r="C2040" t="n">
        <v>2024</v>
      </c>
      <c r="D2040" t="inlineStr">
        <is>
          <t>ESG</t>
        </is>
      </c>
      <c r="E2040" t="inlineStr">
        <is>
          <t>ISPO Certifications</t>
        </is>
      </c>
      <c r="F2040" t="inlineStr">
        <is>
          <t>Suryabumi (existing), SKM (achieved 2024), CVA (Stage I completed)</t>
        </is>
      </c>
      <c r="G2040" t="inlineStr">
        <is>
          <t>text</t>
        </is>
      </c>
      <c r="H2040" t="n">
        <v>20</v>
      </c>
      <c r="I2040" t="inlineStr">
        <is>
          <t>entitas anak CVA &amp; SKM di tahun 2024 ini telah mengikuti ujian ISPO stage I. Bahkan, untuk SKM sudah melanjutkan ke ujian ISPO stage II dan telah mendapat pengakuan perform standar dengan mendapat sertifikat ISPO</t>
        </is>
      </c>
      <c r="J2040" t="inlineStr">
        <is>
          <t>High</t>
        </is>
      </c>
      <c r="M2040" t="inlineStr">
        <is>
          <t>LLM</t>
        </is>
      </c>
      <c r="N2040" t="inlineStr">
        <is>
          <t>2026-04-18</t>
        </is>
      </c>
      <c r="O2040" t="inlineStr">
        <is>
          <t>AI</t>
        </is>
      </c>
    </row>
    <row r="2041">
      <c r="A2041" t="inlineStr">
        <is>
          <t>PT Gozco Plantations Tbk</t>
        </is>
      </c>
      <c r="B2041" t="inlineStr">
        <is>
          <t>GZCO_2024_AR.pdf</t>
        </is>
      </c>
      <c r="C2041" t="n">
        <v>2024</v>
      </c>
      <c r="D2041" t="inlineStr">
        <is>
          <t>Other</t>
        </is>
      </c>
      <c r="E2041" t="inlineStr">
        <is>
          <t>Auditor</t>
        </is>
      </c>
      <c r="F2041" t="inlineStr">
        <is>
          <t>KAP HLB Hadori Sugiarto Adi &amp; Rekan</t>
        </is>
      </c>
      <c r="G2041" t="inlineStr">
        <is>
          <t>text</t>
        </is>
      </c>
      <c r="H2041" t="n">
        <v>25</v>
      </c>
      <c r="I2041" t="inlineStr">
        <is>
          <t>hasil audit akuntan independen dari KAP HLB Hadori Sugiarto Adi &amp; Rekan atas laporan keuangan PT. Gozco Plantations Tbk. untuk tahun yang berakhir pada 31 Desember 2024 dengan pendapat akuntan wajar tanpa pengecualian</t>
        </is>
      </c>
      <c r="J2041" t="inlineStr">
        <is>
          <t>High</t>
        </is>
      </c>
      <c r="M2041" t="inlineStr">
        <is>
          <t>LLM</t>
        </is>
      </c>
      <c r="N2041" t="inlineStr">
        <is>
          <t>2026-04-18</t>
        </is>
      </c>
      <c r="O2041" t="inlineStr">
        <is>
          <t>AI</t>
        </is>
      </c>
    </row>
    <row r="2042">
      <c r="A2042" t="inlineStr">
        <is>
          <t>PT Gozco Plantations Tbk</t>
        </is>
      </c>
      <c r="B2042" t="inlineStr">
        <is>
          <t>GZCO_2024_AR.pdf</t>
        </is>
      </c>
      <c r="C2042" t="n">
        <v>2024</v>
      </c>
      <c r="D2042" t="inlineStr">
        <is>
          <t>Other</t>
        </is>
      </c>
      <c r="E2042" t="inlineStr">
        <is>
          <t>President Director</t>
        </is>
      </c>
      <c r="F2042" t="inlineStr">
        <is>
          <t>Kreisna Dewantara Gozali</t>
        </is>
      </c>
      <c r="G2042" t="inlineStr">
        <is>
          <t>text</t>
        </is>
      </c>
      <c r="H2042" t="n">
        <v>16</v>
      </c>
      <c r="I2042" t="inlineStr">
        <is>
          <t>Kreisna Dewantara Gozali, Presiden Direktur | President Director</t>
        </is>
      </c>
      <c r="J2042" t="inlineStr">
        <is>
          <t>High</t>
        </is>
      </c>
      <c r="M2042" t="inlineStr">
        <is>
          <t>LLM</t>
        </is>
      </c>
      <c r="N2042" t="inlineStr">
        <is>
          <t>2026-04-18</t>
        </is>
      </c>
      <c r="O2042" t="inlineStr">
        <is>
          <t>AI</t>
        </is>
      </c>
    </row>
    <row r="2043">
      <c r="A2043" t="inlineStr">
        <is>
          <t>PT Gozco Plantations Tbk</t>
        </is>
      </c>
      <c r="B2043" t="inlineStr">
        <is>
          <t>GZCO_2024_AR.pdf</t>
        </is>
      </c>
      <c r="C2043" t="n">
        <v>2024</v>
      </c>
      <c r="D2043" t="inlineStr">
        <is>
          <t>Other</t>
        </is>
      </c>
      <c r="E2043" t="inlineStr">
        <is>
          <t>President Commissioner</t>
        </is>
      </c>
      <c r="F2043" t="inlineStr">
        <is>
          <t>Tjandra Mindharta Gozali</t>
        </is>
      </c>
      <c r="G2043" t="inlineStr">
        <is>
          <t>text</t>
        </is>
      </c>
      <c r="H2043" t="n">
        <v>22</v>
      </c>
      <c r="I2043" t="inlineStr">
        <is>
          <t>Tjandra Mindharta Gozali, Presiden Komisaris | President Commissioner</t>
        </is>
      </c>
      <c r="J2043" t="inlineStr">
        <is>
          <t>High</t>
        </is>
      </c>
      <c r="M2043" t="inlineStr">
        <is>
          <t>LLM</t>
        </is>
      </c>
      <c r="N2043" t="inlineStr">
        <is>
          <t>2026-04-18</t>
        </is>
      </c>
      <c r="O2043" t="inlineStr">
        <is>
          <t>AI</t>
        </is>
      </c>
    </row>
    <row r="2044">
      <c r="A2044" t="inlineStr">
        <is>
          <t>PT Indo Pureco Pratama Tbk</t>
        </is>
      </c>
      <c r="B2044" t="inlineStr">
        <is>
          <t>IPPE_2023_AR.pdf</t>
        </is>
      </c>
      <c r="C2044" t="n">
        <v>2023</v>
      </c>
      <c r="D2044" t="inlineStr">
        <is>
          <t>Company</t>
        </is>
      </c>
      <c r="E2044" t="inlineStr">
        <is>
          <t>Company Name</t>
        </is>
      </c>
      <c r="F2044" t="inlineStr">
        <is>
          <t>PT Indo Pureco Pratama Tbk</t>
        </is>
      </c>
      <c r="G2044" t="inlineStr">
        <is>
          <t>text</t>
        </is>
      </c>
      <c r="H2044" t="n">
        <v>2</v>
      </c>
      <c r="I2044" t="inlineStr">
        <is>
          <t>PT Indo Pureco Pratama Tbk yang menjalankan kegiatan usaha utama dalam industri minyak kelapa dan produk dari kelapa serta perdagangan</t>
        </is>
      </c>
      <c r="J2044" t="inlineStr">
        <is>
          <t>High</t>
        </is>
      </c>
      <c r="M2044" t="inlineStr">
        <is>
          <t>LLM</t>
        </is>
      </c>
      <c r="N2044" t="inlineStr">
        <is>
          <t>2026-04-18</t>
        </is>
      </c>
      <c r="O2044" t="inlineStr">
        <is>
          <t>AI</t>
        </is>
      </c>
    </row>
    <row r="2045">
      <c r="A2045" t="inlineStr">
        <is>
          <t>PT Indo Pureco Pratama Tbk</t>
        </is>
      </c>
      <c r="B2045" t="inlineStr">
        <is>
          <t>IPPE_2023_AR.pdf</t>
        </is>
      </c>
      <c r="C2045" t="n">
        <v>2023</v>
      </c>
      <c r="D2045" t="inlineStr">
        <is>
          <t>Company</t>
        </is>
      </c>
      <c r="E2045" t="inlineStr">
        <is>
          <t>Primary Business</t>
        </is>
      </c>
      <c r="F2045" t="inlineStr">
        <is>
          <t>Coconut oil processing (NOT palm oil)</t>
        </is>
      </c>
      <c r="G2045" t="inlineStr">
        <is>
          <t>text</t>
        </is>
      </c>
      <c r="H2045" t="n">
        <v>2</v>
      </c>
      <c r="I2045" t="inlineStr">
        <is>
          <t>industri minyak kelapa dan produk dari kelapa serta perdagangan / coconut oil and coconut products industry</t>
        </is>
      </c>
      <c r="J2045" t="inlineStr">
        <is>
          <t>High</t>
        </is>
      </c>
      <c r="M2045" t="inlineStr">
        <is>
          <t>LLM</t>
        </is>
      </c>
      <c r="N2045" t="inlineStr">
        <is>
          <t>2026-04-18</t>
        </is>
      </c>
      <c r="O2045" t="inlineStr">
        <is>
          <t>AI</t>
        </is>
      </c>
    </row>
    <row r="2046">
      <c r="A2046" t="inlineStr">
        <is>
          <t>PT Indo Pureco Pratama Tbk</t>
        </is>
      </c>
      <c r="B2046" t="inlineStr">
        <is>
          <t>IPPE_2023_AR.pdf</t>
        </is>
      </c>
      <c r="C2046" t="n">
        <v>2023</v>
      </c>
      <c r="D2046" t="inlineStr">
        <is>
          <t>Company</t>
        </is>
      </c>
      <c r="E2046" t="inlineStr">
        <is>
          <t>Head Office Location</t>
        </is>
      </c>
      <c r="F2046" t="inlineStr">
        <is>
          <t>Subang, West Java</t>
        </is>
      </c>
      <c r="G2046" t="inlineStr">
        <is>
          <t>text</t>
        </is>
      </c>
      <c r="H2046" t="n">
        <v>24</v>
      </c>
      <c r="I2046" t="inlineStr">
        <is>
          <t>Kantor Pusat: Jl. Batununggul 1, Balingbing, Kec. Pagaden Barat, Subang - Jawa Barat 41251</t>
        </is>
      </c>
      <c r="J2046" t="inlineStr">
        <is>
          <t>High</t>
        </is>
      </c>
      <c r="M2046" t="inlineStr">
        <is>
          <t>LLM</t>
        </is>
      </c>
      <c r="N2046" t="inlineStr">
        <is>
          <t>2026-04-18</t>
        </is>
      </c>
      <c r="O2046" t="inlineStr">
        <is>
          <t>AI</t>
        </is>
      </c>
    </row>
    <row r="2047">
      <c r="A2047" t="inlineStr">
        <is>
          <t>PT Indo Pureco Pratama Tbk</t>
        </is>
      </c>
      <c r="B2047" t="inlineStr">
        <is>
          <t>IPPE_2023_AR.pdf</t>
        </is>
      </c>
      <c r="C2047" t="n">
        <v>2023</v>
      </c>
      <c r="D2047" t="inlineStr">
        <is>
          <t>Company</t>
        </is>
      </c>
      <c r="E2047" t="inlineStr">
        <is>
          <t>Factory Location</t>
        </is>
      </c>
      <c r="F2047" t="inlineStr">
        <is>
          <t>Balingbing, Pagaden Barat, Subang, West Java</t>
        </is>
      </c>
      <c r="G2047" t="inlineStr">
        <is>
          <t>text</t>
        </is>
      </c>
      <c r="H2047" t="n">
        <v>112</v>
      </c>
      <c r="I2047" t="inlineStr">
        <is>
          <t>Perusahaan mempunyai pabrik pengolahan daging buah kelapa yang berlokasi di Balingbing, Kecamatan Pagaden Barat, Kabupaten Subang, Jawa Barat</t>
        </is>
      </c>
      <c r="J2047" t="inlineStr">
        <is>
          <t>High</t>
        </is>
      </c>
      <c r="M2047" t="inlineStr">
        <is>
          <t>LLM</t>
        </is>
      </c>
      <c r="N2047" t="inlineStr">
        <is>
          <t>2026-04-18</t>
        </is>
      </c>
      <c r="O2047" t="inlineStr">
        <is>
          <t>AI</t>
        </is>
      </c>
    </row>
    <row r="2048">
      <c r="A2048" t="inlineStr">
        <is>
          <t>PT Indo Pureco Pratama Tbk</t>
        </is>
      </c>
      <c r="B2048" t="inlineStr">
        <is>
          <t>IPPE_2023_AR.pdf</t>
        </is>
      </c>
      <c r="C2048" t="n">
        <v>2023</v>
      </c>
      <c r="D2048" t="inlineStr">
        <is>
          <t>Company</t>
        </is>
      </c>
      <c r="E2048" t="inlineStr">
        <is>
          <t>Date of Establishment</t>
        </is>
      </c>
      <c r="F2048" t="inlineStr">
        <is>
          <t>28 March 2019</t>
        </is>
      </c>
      <c r="G2048" t="inlineStr">
        <is>
          <t>text</t>
        </is>
      </c>
      <c r="H2048" t="n">
        <v>24</v>
      </c>
      <c r="I2048" t="inlineStr">
        <is>
          <t>Tanggal Didirikan: 28 Maret 2019</t>
        </is>
      </c>
      <c r="J2048" t="inlineStr">
        <is>
          <t>High</t>
        </is>
      </c>
      <c r="M2048" t="inlineStr">
        <is>
          <t>LLM</t>
        </is>
      </c>
      <c r="N2048" t="inlineStr">
        <is>
          <t>2026-04-18</t>
        </is>
      </c>
      <c r="O2048" t="inlineStr">
        <is>
          <t>AI</t>
        </is>
      </c>
    </row>
    <row r="2049">
      <c r="A2049" t="inlineStr">
        <is>
          <t>PT Indo Pureco Pratama Tbk</t>
        </is>
      </c>
      <c r="B2049" t="inlineStr">
        <is>
          <t>IPPE_2023_AR.pdf</t>
        </is>
      </c>
      <c r="C2049" t="n">
        <v>2023</v>
      </c>
      <c r="D2049" t="inlineStr">
        <is>
          <t>Company</t>
        </is>
      </c>
      <c r="E2049" t="inlineStr">
        <is>
          <t>Date of IDX Listing</t>
        </is>
      </c>
      <c r="F2049" t="inlineStr">
        <is>
          <t>9 December 2021</t>
        </is>
      </c>
      <c r="G2049" t="inlineStr">
        <is>
          <t>text</t>
        </is>
      </c>
      <c r="H2049" t="n">
        <v>24</v>
      </c>
      <c r="I2049" t="inlineStr">
        <is>
          <t>Tanggal Pencatatan: 9 Desember 2021</t>
        </is>
      </c>
      <c r="J2049" t="inlineStr">
        <is>
          <t>High</t>
        </is>
      </c>
      <c r="M2049" t="inlineStr">
        <is>
          <t>LLM</t>
        </is>
      </c>
      <c r="N2049" t="inlineStr">
        <is>
          <t>2026-04-18</t>
        </is>
      </c>
      <c r="O2049" t="inlineStr">
        <is>
          <t>AI</t>
        </is>
      </c>
    </row>
    <row r="2050">
      <c r="A2050" t="inlineStr">
        <is>
          <t>PT Indo Pureco Pratama Tbk</t>
        </is>
      </c>
      <c r="B2050" t="inlineStr">
        <is>
          <t>IPPE_2023_AR.pdf</t>
        </is>
      </c>
      <c r="C2050" t="n">
        <v>2023</v>
      </c>
      <c r="D2050" t="inlineStr">
        <is>
          <t>Company</t>
        </is>
      </c>
      <c r="E2050" t="inlineStr">
        <is>
          <t>Controlling Group</t>
        </is>
      </c>
      <c r="F2050" t="inlineStr">
        <is>
          <t>PT Lembur Sadaya Investama (ultimate: PT Sapihanean Pangan Lestari)</t>
        </is>
      </c>
      <c r="G2050" t="inlineStr">
        <is>
          <t>text</t>
        </is>
      </c>
      <c r="H2050" t="n">
        <v>113</v>
      </c>
      <c r="I2050" t="inlineStr">
        <is>
          <t>Perusahaan tergabung dalam kelompok usaha PT Lembur Sadaya Investama dan PT Sapihanean Pangan Lestari sebagai pengendali terakhir</t>
        </is>
      </c>
      <c r="J2050" t="inlineStr">
        <is>
          <t>High</t>
        </is>
      </c>
      <c r="M2050" t="inlineStr">
        <is>
          <t>LLM</t>
        </is>
      </c>
      <c r="N2050" t="inlineStr">
        <is>
          <t>2026-04-18</t>
        </is>
      </c>
      <c r="O2050" t="inlineStr">
        <is>
          <t>AI</t>
        </is>
      </c>
    </row>
    <row r="2051">
      <c r="A2051" t="inlineStr">
        <is>
          <t>PT Indo Pureco Pratama Tbk</t>
        </is>
      </c>
      <c r="B2051" t="inlineStr">
        <is>
          <t>IPPE_2023_AR.pdf</t>
        </is>
      </c>
      <c r="C2051" t="n">
        <v>2023</v>
      </c>
      <c r="D2051" t="inlineStr">
        <is>
          <t>Company</t>
        </is>
      </c>
      <c r="E2051" t="inlineStr">
        <is>
          <t>Top Shareholder - PT Lembur Sadaya Investama</t>
        </is>
      </c>
      <c r="F2051" t="n">
        <v>0.3522</v>
      </c>
      <c r="G2051" t="inlineStr">
        <is>
          <t>%</t>
        </is>
      </c>
      <c r="H2051" t="n">
        <v>41</v>
      </c>
      <c r="I2051" t="inlineStr">
        <is>
          <t>PT LEMBUR SADAYA INVESTAMA 1.620.000.000 35,22%</t>
        </is>
      </c>
      <c r="J2051" t="inlineStr">
        <is>
          <t>High</t>
        </is>
      </c>
      <c r="M2051" t="inlineStr">
        <is>
          <t>LLM</t>
        </is>
      </c>
      <c r="N2051" t="inlineStr">
        <is>
          <t>2026-04-18</t>
        </is>
      </c>
      <c r="O2051" t="inlineStr">
        <is>
          <t>AI</t>
        </is>
      </c>
    </row>
    <row r="2052">
      <c r="A2052" t="inlineStr">
        <is>
          <t>PT Indo Pureco Pratama Tbk</t>
        </is>
      </c>
      <c r="B2052" t="inlineStr">
        <is>
          <t>IPPE_2023_AR.pdf</t>
        </is>
      </c>
      <c r="C2052" t="n">
        <v>2023</v>
      </c>
      <c r="D2052" t="inlineStr">
        <is>
          <t>Company</t>
        </is>
      </c>
      <c r="E2052" t="inlineStr">
        <is>
          <t>Shareholder - PT Sumber Sentosa Adikarya</t>
        </is>
      </c>
      <c r="F2052" t="n">
        <v>0.0609</v>
      </c>
      <c r="G2052" t="inlineStr">
        <is>
          <t>%</t>
        </is>
      </c>
      <c r="H2052" t="n">
        <v>41</v>
      </c>
      <c r="I2052" t="inlineStr">
        <is>
          <t>PT SUMBER SENTOSA ADIKARYA 280.000.000 6,09%</t>
        </is>
      </c>
      <c r="J2052" t="inlineStr">
        <is>
          <t>High</t>
        </is>
      </c>
      <c r="M2052" t="inlineStr">
        <is>
          <t>LLM</t>
        </is>
      </c>
      <c r="N2052" t="inlineStr">
        <is>
          <t>2026-04-18</t>
        </is>
      </c>
      <c r="O2052" t="inlineStr">
        <is>
          <t>AI</t>
        </is>
      </c>
    </row>
    <row r="2053">
      <c r="A2053" t="inlineStr">
        <is>
          <t>PT Indo Pureco Pratama Tbk</t>
        </is>
      </c>
      <c r="B2053" t="inlineStr">
        <is>
          <t>IPPE_2023_AR.pdf</t>
        </is>
      </c>
      <c r="C2053" t="n">
        <v>2023</v>
      </c>
      <c r="D2053" t="inlineStr">
        <is>
          <t>Company</t>
        </is>
      </c>
      <c r="E2053" t="inlineStr">
        <is>
          <t>Shareholder - Asep Sulaeman Sabanda (President Commissioner)</t>
        </is>
      </c>
      <c r="F2053" t="n">
        <v>0.0521</v>
      </c>
      <c r="G2053" t="inlineStr">
        <is>
          <t>%</t>
        </is>
      </c>
      <c r="H2053" t="n">
        <v>41</v>
      </c>
      <c r="I2053" t="inlineStr">
        <is>
          <t>Asep Sulaeman Sabanda 239.705.900 5,21%</t>
        </is>
      </c>
      <c r="J2053" t="inlineStr">
        <is>
          <t>High</t>
        </is>
      </c>
      <c r="M2053" t="inlineStr">
        <is>
          <t>LLM</t>
        </is>
      </c>
      <c r="N2053" t="inlineStr">
        <is>
          <t>2026-04-18</t>
        </is>
      </c>
      <c r="O2053" t="inlineStr">
        <is>
          <t>AI</t>
        </is>
      </c>
    </row>
    <row r="2054">
      <c r="A2054" t="inlineStr">
        <is>
          <t>PT Indo Pureco Pratama Tbk</t>
        </is>
      </c>
      <c r="B2054" t="inlineStr">
        <is>
          <t>IPPE_2023_AR.pdf</t>
        </is>
      </c>
      <c r="C2054" t="n">
        <v>2023</v>
      </c>
      <c r="D2054" t="inlineStr">
        <is>
          <t>Company</t>
        </is>
      </c>
      <c r="E2054" t="inlineStr">
        <is>
          <t>Public Float</t>
        </is>
      </c>
      <c r="F2054" t="n">
        <v>0.5348000000000001</v>
      </c>
      <c r="G2054" t="inlineStr">
        <is>
          <t>%</t>
        </is>
      </c>
      <c r="H2054" t="n">
        <v>41</v>
      </c>
      <c r="I2054" t="inlineStr">
        <is>
          <t>Masyarakat 2.460.294.100 53,48%</t>
        </is>
      </c>
      <c r="J2054" t="inlineStr">
        <is>
          <t>High</t>
        </is>
      </c>
      <c r="M2054" t="inlineStr">
        <is>
          <t>LLM</t>
        </is>
      </c>
      <c r="N2054" t="inlineStr">
        <is>
          <t>2026-04-18</t>
        </is>
      </c>
      <c r="O2054" t="inlineStr">
        <is>
          <t>AI</t>
        </is>
      </c>
    </row>
    <row r="2055">
      <c r="A2055" t="inlineStr">
        <is>
          <t>PT Indo Pureco Pratama Tbk</t>
        </is>
      </c>
      <c r="B2055" t="inlineStr">
        <is>
          <t>IPPE_2023_AR.pdf</t>
        </is>
      </c>
      <c r="C2055" t="n">
        <v>2023</v>
      </c>
      <c r="D2055" t="inlineStr">
        <is>
          <t>Company</t>
        </is>
      </c>
      <c r="E2055" t="inlineStr">
        <is>
          <t>Total Shares Issued</t>
        </is>
      </c>
      <c r="F2055" t="n">
        <v>4600000000</v>
      </c>
      <c r="G2055" t="inlineStr">
        <is>
          <t>shares</t>
        </is>
      </c>
      <c r="H2055" t="n">
        <v>41</v>
      </c>
      <c r="I2055" t="inlineStr">
        <is>
          <t>Total Saham / Total Shares 4.600.000.000 100%</t>
        </is>
      </c>
      <c r="J2055" t="inlineStr">
        <is>
          <t>High</t>
        </is>
      </c>
      <c r="M2055" t="inlineStr">
        <is>
          <t>LLM</t>
        </is>
      </c>
      <c r="N2055" t="inlineStr">
        <is>
          <t>2026-04-18</t>
        </is>
      </c>
      <c r="O2055" t="inlineStr">
        <is>
          <t>AI</t>
        </is>
      </c>
    </row>
    <row r="2056">
      <c r="A2056" t="inlineStr">
        <is>
          <t>PT Indo Pureco Pratama Tbk</t>
        </is>
      </c>
      <c r="B2056" t="inlineStr">
        <is>
          <t>IPPE_2023_AR.pdf</t>
        </is>
      </c>
      <c r="C2056" t="n">
        <v>2023</v>
      </c>
      <c r="D2056" t="inlineStr">
        <is>
          <t>Company</t>
        </is>
      </c>
      <c r="E2056" t="inlineStr">
        <is>
          <t>Subsidiary - PT Agrindo Lestari Jaya (ALJ)</t>
        </is>
      </c>
      <c r="F2056" t="inlineStr">
        <is>
          <t>99.999% ownership, Pre-Operating, Trade</t>
        </is>
      </c>
      <c r="G2056" t="inlineStr">
        <is>
          <t>text</t>
        </is>
      </c>
      <c r="H2056" t="n">
        <v>113</v>
      </c>
      <c r="I2056" t="inlineStr">
        <is>
          <t>PT Agrindo Lestari Jaya (ALJ) Perdagangan Subang Pra Operasi 99,999% 99,999% 135.996.343</t>
        </is>
      </c>
      <c r="J2056" t="inlineStr">
        <is>
          <t>High</t>
        </is>
      </c>
      <c r="M2056" t="inlineStr">
        <is>
          <t>LLM</t>
        </is>
      </c>
      <c r="N2056" t="inlineStr">
        <is>
          <t>2026-04-18</t>
        </is>
      </c>
      <c r="O2056" t="inlineStr">
        <is>
          <t>AI</t>
        </is>
      </c>
    </row>
    <row r="2057">
      <c r="A2057" t="inlineStr">
        <is>
          <t>PT Indo Pureco Pratama Tbk</t>
        </is>
      </c>
      <c r="B2057" t="inlineStr">
        <is>
          <t>IPPE_2023_AR.pdf</t>
        </is>
      </c>
      <c r="C2057" t="n">
        <v>2023</v>
      </c>
      <c r="D2057" t="inlineStr">
        <is>
          <t>Company</t>
        </is>
      </c>
      <c r="E2057" t="inlineStr">
        <is>
          <t>ALJ Location Permit</t>
        </is>
      </c>
      <c r="F2057" t="n">
        <v>13587</v>
      </c>
      <c r="G2057" t="inlineStr">
        <is>
          <t>ha</t>
        </is>
      </c>
      <c r="H2057" t="n">
        <v>115</v>
      </c>
      <c r="I2057" t="inlineStr">
        <is>
          <t>ALJ telah memperoleh Izin Lokasi untuk keperluan pembangunan perkebunan tanaman pangan hortikultura, di area seluas 13.587 hektar (ha), terletak di Desa Tumbang Marak, Kec. Katingan Tengah, Kab. Katingan, Prov. Kalimantan Tengah</t>
        </is>
      </c>
      <c r="J2057" t="inlineStr">
        <is>
          <t>High</t>
        </is>
      </c>
      <c r="M2057" t="inlineStr">
        <is>
          <t>LLM</t>
        </is>
      </c>
      <c r="N2057" t="inlineStr">
        <is>
          <t>2026-04-18</t>
        </is>
      </c>
      <c r="O2057" t="inlineStr">
        <is>
          <t>AI</t>
        </is>
      </c>
    </row>
    <row r="2058">
      <c r="A2058" t="inlineStr">
        <is>
          <t>PT Indo Pureco Pratama Tbk</t>
        </is>
      </c>
      <c r="B2058" t="inlineStr">
        <is>
          <t>IPPE_2023_AR.pdf</t>
        </is>
      </c>
      <c r="C2058" t="n">
        <v>2023</v>
      </c>
      <c r="D2058" t="inlineStr">
        <is>
          <t>Company</t>
        </is>
      </c>
      <c r="E2058" t="inlineStr">
        <is>
          <t>Employees (Group)</t>
        </is>
      </c>
      <c r="F2058" t="n">
        <v>35</v>
      </c>
      <c r="G2058" t="inlineStr">
        <is>
          <t>count</t>
        </is>
      </c>
      <c r="H2058" t="n">
        <v>113</v>
      </c>
      <c r="I2058" t="inlineStr">
        <is>
          <t>Jumlah karyawan Perusahaan dan entitas anak (Grup) pada tanggal 31 Desember 2023 dan 2022, masing-masing sebanyak 35 dan 55 orang</t>
        </is>
      </c>
      <c r="J2058" t="inlineStr">
        <is>
          <t>High</t>
        </is>
      </c>
      <c r="M2058" t="inlineStr">
        <is>
          <t>LLM</t>
        </is>
      </c>
      <c r="N2058" t="inlineStr">
        <is>
          <t>2026-04-18</t>
        </is>
      </c>
      <c r="O2058" t="inlineStr">
        <is>
          <t>AI</t>
        </is>
      </c>
    </row>
    <row r="2059">
      <c r="A2059" t="inlineStr">
        <is>
          <t>PT Indo Pureco Pratama Tbk</t>
        </is>
      </c>
      <c r="B2059" t="inlineStr">
        <is>
          <t>IPPE_2023_AR.pdf</t>
        </is>
      </c>
      <c r="C2059" t="n">
        <v>2023</v>
      </c>
      <c r="D2059" t="inlineStr">
        <is>
          <t>Company</t>
        </is>
      </c>
      <c r="E2059" t="inlineStr">
        <is>
          <t>Certifications</t>
        </is>
      </c>
      <c r="F2059" t="inlineStr">
        <is>
          <t>ISO 9001:2015, ISO 22000:2018</t>
        </is>
      </c>
      <c r="G2059" t="inlineStr">
        <is>
          <t>text</t>
        </is>
      </c>
      <c r="H2059" t="n">
        <v>38</v>
      </c>
      <c r="I2059" t="inlineStr">
        <is>
          <t>sertifikasi ISO 9001:2015 sertifikasi ISO 22000:2018 ... Perseroan menerima sertifikasi registrasi dari VRC International</t>
        </is>
      </c>
      <c r="J2059" t="inlineStr">
        <is>
          <t>High</t>
        </is>
      </c>
      <c r="M2059" t="inlineStr">
        <is>
          <t>LLM</t>
        </is>
      </c>
      <c r="N2059" t="inlineStr">
        <is>
          <t>2026-04-18</t>
        </is>
      </c>
      <c r="O2059" t="inlineStr">
        <is>
          <t>AI</t>
        </is>
      </c>
    </row>
    <row r="2060">
      <c r="A2060" t="inlineStr">
        <is>
          <t>PT Indo Pureco Pratama Tbk</t>
        </is>
      </c>
      <c r="B2060" t="inlineStr">
        <is>
          <t>IPPE_2023_AR.pdf</t>
        </is>
      </c>
      <c r="C2060" t="n">
        <v>2023</v>
      </c>
      <c r="D2060" t="inlineStr">
        <is>
          <t>Financial</t>
        </is>
      </c>
      <c r="E2060" t="inlineStr">
        <is>
          <t>Revenue (Sales)</t>
        </is>
      </c>
      <c r="F2060" t="n">
        <v>35.73</v>
      </c>
      <c r="G2060" t="inlineStr">
        <is>
          <t>IDR bn</t>
        </is>
      </c>
      <c r="H2060" t="n">
        <v>7</v>
      </c>
      <c r="I2060" t="inlineStr">
        <is>
          <t>Penjualan 35.730.275 35.020.275 30.017.394 (in thousand Rupiah)</t>
        </is>
      </c>
      <c r="J2060" t="inlineStr">
        <is>
          <t>High</t>
        </is>
      </c>
      <c r="M2060" t="inlineStr">
        <is>
          <t>LLM</t>
        </is>
      </c>
      <c r="N2060" t="inlineStr">
        <is>
          <t>2026-04-18</t>
        </is>
      </c>
      <c r="O2060" t="inlineStr">
        <is>
          <t>AI</t>
        </is>
      </c>
    </row>
    <row r="2061">
      <c r="A2061" t="inlineStr">
        <is>
          <t>PT Indo Pureco Pratama Tbk</t>
        </is>
      </c>
      <c r="B2061" t="inlineStr">
        <is>
          <t>IPPE_2023_AR.pdf</t>
        </is>
      </c>
      <c r="C2061" t="n">
        <v>2023</v>
      </c>
      <c r="D2061" t="inlineStr">
        <is>
          <t>Financial</t>
        </is>
      </c>
      <c r="E2061" t="inlineStr">
        <is>
          <t>Cost of Goods Sold</t>
        </is>
      </c>
      <c r="F2061" t="n">
        <v>24.08</v>
      </c>
      <c r="G2061" t="inlineStr">
        <is>
          <t>IDR bn</t>
        </is>
      </c>
      <c r="H2061" t="n">
        <v>7</v>
      </c>
      <c r="I2061" t="inlineStr">
        <is>
          <t>Beban Pokok Penjualan (24.078.421) (22.777.356) (in thousand Rupiah)</t>
        </is>
      </c>
      <c r="J2061" t="inlineStr">
        <is>
          <t>High</t>
        </is>
      </c>
      <c r="M2061" t="inlineStr">
        <is>
          <t>LLM</t>
        </is>
      </c>
      <c r="N2061" t="inlineStr">
        <is>
          <t>2026-04-18</t>
        </is>
      </c>
      <c r="O2061" t="inlineStr">
        <is>
          <t>AI</t>
        </is>
      </c>
    </row>
    <row r="2062">
      <c r="A2062" t="inlineStr">
        <is>
          <t>PT Indo Pureco Pratama Tbk</t>
        </is>
      </c>
      <c r="B2062" t="inlineStr">
        <is>
          <t>IPPE_2023_AR.pdf</t>
        </is>
      </c>
      <c r="C2062" t="n">
        <v>2023</v>
      </c>
      <c r="D2062" t="inlineStr">
        <is>
          <t>Financial</t>
        </is>
      </c>
      <c r="E2062" t="inlineStr">
        <is>
          <t>Gross Profit</t>
        </is>
      </c>
      <c r="F2062" t="n">
        <v>11.65</v>
      </c>
      <c r="G2062" t="inlineStr">
        <is>
          <t>IDR bn</t>
        </is>
      </c>
      <c r="H2062" t="n">
        <v>7</v>
      </c>
      <c r="I2062" t="inlineStr">
        <is>
          <t>Laba Bruto 11.651.854 12.242.919 7.236.200</t>
        </is>
      </c>
      <c r="J2062" t="inlineStr">
        <is>
          <t>High</t>
        </is>
      </c>
      <c r="M2062" t="inlineStr">
        <is>
          <t>LLM</t>
        </is>
      </c>
      <c r="N2062" t="inlineStr">
        <is>
          <t>2026-04-18</t>
        </is>
      </c>
      <c r="O2062" t="inlineStr">
        <is>
          <t>AI</t>
        </is>
      </c>
    </row>
    <row r="2063">
      <c r="A2063" t="inlineStr">
        <is>
          <t>PT Indo Pureco Pratama Tbk</t>
        </is>
      </c>
      <c r="B2063" t="inlineStr">
        <is>
          <t>IPPE_2023_AR.pdf</t>
        </is>
      </c>
      <c r="C2063" t="n">
        <v>2023</v>
      </c>
      <c r="D2063" t="inlineStr">
        <is>
          <t>Financial</t>
        </is>
      </c>
      <c r="E2063" t="inlineStr">
        <is>
          <t>G&amp;A Expenses</t>
        </is>
      </c>
      <c r="F2063" t="n">
        <v>6.2</v>
      </c>
      <c r="G2063" t="inlineStr">
        <is>
          <t>IDR bn</t>
        </is>
      </c>
      <c r="H2063" t="n">
        <v>108</v>
      </c>
      <c r="I2063" t="inlineStr">
        <is>
          <t>Beban umum dan administrasi 21 (6.204.940) (7.784.760)</t>
        </is>
      </c>
      <c r="J2063" t="inlineStr">
        <is>
          <t>High</t>
        </is>
      </c>
      <c r="M2063" t="inlineStr">
        <is>
          <t>LLM</t>
        </is>
      </c>
      <c r="N2063" t="inlineStr">
        <is>
          <t>2026-04-18</t>
        </is>
      </c>
      <c r="O2063" t="inlineStr">
        <is>
          <t>AI</t>
        </is>
      </c>
    </row>
    <row r="2064">
      <c r="A2064" t="inlineStr">
        <is>
          <t>PT Indo Pureco Pratama Tbk</t>
        </is>
      </c>
      <c r="B2064" t="inlineStr">
        <is>
          <t>IPPE_2023_AR.pdf</t>
        </is>
      </c>
      <c r="C2064" t="n">
        <v>2023</v>
      </c>
      <c r="D2064" t="inlineStr">
        <is>
          <t>Financial</t>
        </is>
      </c>
      <c r="E2064" t="inlineStr">
        <is>
          <t>Operating Profit (EBIT approx)</t>
        </is>
      </c>
      <c r="F2064" t="n">
        <v>5.45</v>
      </c>
      <c r="G2064" t="inlineStr">
        <is>
          <t>IDR bn</t>
        </is>
      </c>
      <c r="H2064" t="n">
        <v>108</v>
      </c>
      <c r="I2064" t="inlineStr">
        <is>
          <t>Calculated: Gross Profit 11.65 - G&amp;A 6.20 = 5.45 bn (no separate other operating items; other income/charges below op line)</t>
        </is>
      </c>
      <c r="J2064" t="inlineStr">
        <is>
          <t>Medium</t>
        </is>
      </c>
      <c r="M2064" t="inlineStr">
        <is>
          <t>LLM</t>
        </is>
      </c>
      <c r="N2064" t="inlineStr">
        <is>
          <t>2026-04-18</t>
        </is>
      </c>
      <c r="O2064" t="inlineStr">
        <is>
          <t>AI</t>
        </is>
      </c>
    </row>
    <row r="2065">
      <c r="A2065" t="inlineStr">
        <is>
          <t>PT Indo Pureco Pratama Tbk</t>
        </is>
      </c>
      <c r="B2065" t="inlineStr">
        <is>
          <t>IPPE_2023_AR.pdf</t>
        </is>
      </c>
      <c r="C2065" t="n">
        <v>2023</v>
      </c>
      <c r="D2065" t="inlineStr">
        <is>
          <t>Financial</t>
        </is>
      </c>
      <c r="E2065" t="inlineStr">
        <is>
          <t>Other Income (Charges) - Net</t>
        </is>
      </c>
      <c r="F2065" t="n">
        <v>-0.4</v>
      </c>
      <c r="G2065" t="inlineStr">
        <is>
          <t>IDR bn</t>
        </is>
      </c>
      <c r="H2065" t="n">
        <v>108</v>
      </c>
      <c r="I2065" t="inlineStr">
        <is>
          <t>Pendapatan (beban) lain-lain - neto 22 (400.589) 78.712</t>
        </is>
      </c>
      <c r="J2065" t="inlineStr">
        <is>
          <t>High</t>
        </is>
      </c>
      <c r="M2065" t="inlineStr">
        <is>
          <t>LLM</t>
        </is>
      </c>
      <c r="N2065" t="inlineStr">
        <is>
          <t>2026-04-18</t>
        </is>
      </c>
      <c r="O2065" t="inlineStr">
        <is>
          <t>AI</t>
        </is>
      </c>
    </row>
    <row r="2066">
      <c r="A2066" t="inlineStr">
        <is>
          <t>PT Indo Pureco Pratama Tbk</t>
        </is>
      </c>
      <c r="B2066" t="inlineStr">
        <is>
          <t>IPPE_2023_AR.pdf</t>
        </is>
      </c>
      <c r="C2066" t="n">
        <v>2023</v>
      </c>
      <c r="D2066" t="inlineStr">
        <is>
          <t>Financial</t>
        </is>
      </c>
      <c r="E2066" t="inlineStr">
        <is>
          <t>Profit Before Tax</t>
        </is>
      </c>
      <c r="F2066" t="n">
        <v>5.05</v>
      </c>
      <c r="G2066" t="inlineStr">
        <is>
          <t>IDR bn</t>
        </is>
      </c>
      <c r="H2066" t="n">
        <v>108</v>
      </c>
      <c r="I2066" t="inlineStr">
        <is>
          <t>LABA SEBELUM BEBAN PAJAK PENGHASILAN 5.046.325 4.536.871</t>
        </is>
      </c>
      <c r="J2066" t="inlineStr">
        <is>
          <t>High</t>
        </is>
      </c>
      <c r="M2066" t="inlineStr">
        <is>
          <t>LLM</t>
        </is>
      </c>
      <c r="N2066" t="inlineStr">
        <is>
          <t>2026-04-18</t>
        </is>
      </c>
      <c r="O2066" t="inlineStr">
        <is>
          <t>AI</t>
        </is>
      </c>
    </row>
    <row r="2067">
      <c r="A2067" t="inlineStr">
        <is>
          <t>PT Indo Pureco Pratama Tbk</t>
        </is>
      </c>
      <c r="B2067" t="inlineStr">
        <is>
          <t>IPPE_2023_AR.pdf</t>
        </is>
      </c>
      <c r="C2067" t="n">
        <v>2023</v>
      </c>
      <c r="D2067" t="inlineStr">
        <is>
          <t>Financial</t>
        </is>
      </c>
      <c r="E2067" t="inlineStr">
        <is>
          <t>Income Tax Expense</t>
        </is>
      </c>
      <c r="F2067" t="n">
        <v>1.18</v>
      </c>
      <c r="G2067" t="inlineStr">
        <is>
          <t>IDR bn</t>
        </is>
      </c>
      <c r="H2067" t="n">
        <v>108</v>
      </c>
      <c r="I2067" t="inlineStr">
        <is>
          <t>Beban pajak penghasilan - neto 10b (1.184.338) (972.252)</t>
        </is>
      </c>
      <c r="J2067" t="inlineStr">
        <is>
          <t>High</t>
        </is>
      </c>
      <c r="M2067" t="inlineStr">
        <is>
          <t>LLM</t>
        </is>
      </c>
      <c r="N2067" t="inlineStr">
        <is>
          <t>2026-04-18</t>
        </is>
      </c>
      <c r="O2067" t="inlineStr">
        <is>
          <t>AI</t>
        </is>
      </c>
    </row>
    <row r="2068">
      <c r="A2068" t="inlineStr">
        <is>
          <t>PT Indo Pureco Pratama Tbk</t>
        </is>
      </c>
      <c r="B2068" t="inlineStr">
        <is>
          <t>IPPE_2023_AR.pdf</t>
        </is>
      </c>
      <c r="C2068" t="n">
        <v>2023</v>
      </c>
      <c r="D2068" t="inlineStr">
        <is>
          <t>Financial</t>
        </is>
      </c>
      <c r="E2068" t="inlineStr">
        <is>
          <t>Net Profit</t>
        </is>
      </c>
      <c r="F2068" t="n">
        <v>3.86</v>
      </c>
      <c r="G2068" t="inlineStr">
        <is>
          <t>IDR bn</t>
        </is>
      </c>
      <c r="H2068" t="n">
        <v>108</v>
      </c>
      <c r="I2068" t="inlineStr">
        <is>
          <t>LABA NETO TAHUN BERJALAN 3.861.987 3.564.619</t>
        </is>
      </c>
      <c r="J2068" t="inlineStr">
        <is>
          <t>High</t>
        </is>
      </c>
      <c r="M2068" t="inlineStr">
        <is>
          <t>LLM</t>
        </is>
      </c>
      <c r="N2068" t="inlineStr">
        <is>
          <t>2026-04-18</t>
        </is>
      </c>
      <c r="O2068" t="inlineStr">
        <is>
          <t>AI</t>
        </is>
      </c>
    </row>
    <row r="2069">
      <c r="A2069" t="inlineStr">
        <is>
          <t>PT Indo Pureco Pratama Tbk</t>
        </is>
      </c>
      <c r="B2069" t="inlineStr">
        <is>
          <t>IPPE_2023_AR.pdf</t>
        </is>
      </c>
      <c r="C2069" t="n">
        <v>2023</v>
      </c>
      <c r="D2069" t="inlineStr">
        <is>
          <t>Financial</t>
        </is>
      </c>
      <c r="E2069" t="inlineStr">
        <is>
          <t>Profit Attributable to Parent</t>
        </is>
      </c>
      <c r="F2069" t="n">
        <v>3.86</v>
      </c>
      <c r="G2069" t="inlineStr">
        <is>
          <t>IDR bn</t>
        </is>
      </c>
      <c r="H2069" t="n">
        <v>109</v>
      </c>
      <c r="I2069" t="inlineStr">
        <is>
          <t>Pemilik Entitas induk 3.861.987 3.564.619</t>
        </is>
      </c>
      <c r="J2069" t="inlineStr">
        <is>
          <t>High</t>
        </is>
      </c>
      <c r="M2069" t="inlineStr">
        <is>
          <t>LLM</t>
        </is>
      </c>
      <c r="N2069" t="inlineStr">
        <is>
          <t>2026-04-18</t>
        </is>
      </c>
      <c r="O2069" t="inlineStr">
        <is>
          <t>AI</t>
        </is>
      </c>
    </row>
    <row r="2070">
      <c r="A2070" t="inlineStr">
        <is>
          <t>PT Indo Pureco Pratama Tbk</t>
        </is>
      </c>
      <c r="B2070" t="inlineStr">
        <is>
          <t>IPPE_2023_AR.pdf</t>
        </is>
      </c>
      <c r="C2070" t="n">
        <v>2023</v>
      </c>
      <c r="D2070" t="inlineStr">
        <is>
          <t>Financial</t>
        </is>
      </c>
      <c r="E2070" t="inlineStr">
        <is>
          <t>Total Assets</t>
        </is>
      </c>
      <c r="F2070" t="n">
        <v>301.27</v>
      </c>
      <c r="G2070" t="inlineStr">
        <is>
          <t>IDR bn</t>
        </is>
      </c>
      <c r="H2070" t="n">
        <v>106</v>
      </c>
      <c r="I2070" t="inlineStr">
        <is>
          <t>TOTAL ASET 301.272.376 290.584.130 (in thousand Rupiah)</t>
        </is>
      </c>
      <c r="J2070" t="inlineStr">
        <is>
          <t>High</t>
        </is>
      </c>
      <c r="M2070" t="inlineStr">
        <is>
          <t>LLM</t>
        </is>
      </c>
      <c r="N2070" t="inlineStr">
        <is>
          <t>2026-04-18</t>
        </is>
      </c>
      <c r="O2070" t="inlineStr">
        <is>
          <t>AI</t>
        </is>
      </c>
    </row>
    <row r="2071">
      <c r="A2071" t="inlineStr">
        <is>
          <t>PT Indo Pureco Pratama Tbk</t>
        </is>
      </c>
      <c r="B2071" t="inlineStr">
        <is>
          <t>IPPE_2023_AR.pdf</t>
        </is>
      </c>
      <c r="C2071" t="n">
        <v>2023</v>
      </c>
      <c r="D2071" t="inlineStr">
        <is>
          <t>Financial</t>
        </is>
      </c>
      <c r="E2071" t="inlineStr">
        <is>
          <t>Current Assets</t>
        </is>
      </c>
      <c r="F2071" t="n">
        <v>99.86</v>
      </c>
      <c r="G2071" t="inlineStr">
        <is>
          <t>IDR bn</t>
        </is>
      </c>
      <c r="H2071" t="n">
        <v>106</v>
      </c>
      <c r="I2071" t="inlineStr">
        <is>
          <t>Total Aset Lancar 99.857.083 104.985.150</t>
        </is>
      </c>
      <c r="J2071" t="inlineStr">
        <is>
          <t>High</t>
        </is>
      </c>
      <c r="M2071" t="inlineStr">
        <is>
          <t>LLM</t>
        </is>
      </c>
      <c r="N2071" t="inlineStr">
        <is>
          <t>2026-04-18</t>
        </is>
      </c>
      <c r="O2071" t="inlineStr">
        <is>
          <t>AI</t>
        </is>
      </c>
    </row>
    <row r="2072">
      <c r="A2072" t="inlineStr">
        <is>
          <t>PT Indo Pureco Pratama Tbk</t>
        </is>
      </c>
      <c r="B2072" t="inlineStr">
        <is>
          <t>IPPE_2023_AR.pdf</t>
        </is>
      </c>
      <c r="C2072" t="n">
        <v>2023</v>
      </c>
      <c r="D2072" t="inlineStr">
        <is>
          <t>Financial</t>
        </is>
      </c>
      <c r="E2072" t="inlineStr">
        <is>
          <t>Non-Current Assets</t>
        </is>
      </c>
      <c r="F2072" t="n">
        <v>201.42</v>
      </c>
      <c r="G2072" t="inlineStr">
        <is>
          <t>IDR bn</t>
        </is>
      </c>
      <c r="H2072" t="n">
        <v>106</v>
      </c>
      <c r="I2072" t="inlineStr">
        <is>
          <t>Total Aset Tidak Lancar 201.415.293 185.598.980</t>
        </is>
      </c>
      <c r="J2072" t="inlineStr">
        <is>
          <t>High</t>
        </is>
      </c>
      <c r="M2072" t="inlineStr">
        <is>
          <t>LLM</t>
        </is>
      </c>
      <c r="N2072" t="inlineStr">
        <is>
          <t>2026-04-18</t>
        </is>
      </c>
      <c r="O2072" t="inlineStr">
        <is>
          <t>AI</t>
        </is>
      </c>
    </row>
    <row r="2073">
      <c r="A2073" t="inlineStr">
        <is>
          <t>PT Indo Pureco Pratama Tbk</t>
        </is>
      </c>
      <c r="B2073" t="inlineStr">
        <is>
          <t>IPPE_2023_AR.pdf</t>
        </is>
      </c>
      <c r="C2073" t="n">
        <v>2023</v>
      </c>
      <c r="D2073" t="inlineStr">
        <is>
          <t>Financial</t>
        </is>
      </c>
      <c r="E2073" t="inlineStr">
        <is>
          <t>Cash and Bank</t>
        </is>
      </c>
      <c r="F2073" t="n">
        <v>1.05</v>
      </c>
      <c r="G2073" t="inlineStr">
        <is>
          <t>IDR bn</t>
        </is>
      </c>
      <c r="H2073" t="n">
        <v>106</v>
      </c>
      <c r="I2073" t="inlineStr">
        <is>
          <t>Kas dan bank 4 1.049.230 3.204.171</t>
        </is>
      </c>
      <c r="J2073" t="inlineStr">
        <is>
          <t>High</t>
        </is>
      </c>
      <c r="M2073" t="inlineStr">
        <is>
          <t>LLM</t>
        </is>
      </c>
      <c r="N2073" t="inlineStr">
        <is>
          <t>2026-04-18</t>
        </is>
      </c>
      <c r="O2073" t="inlineStr">
        <is>
          <t>AI</t>
        </is>
      </c>
    </row>
    <row r="2074">
      <c r="A2074" t="inlineStr">
        <is>
          <t>PT Indo Pureco Pratama Tbk</t>
        </is>
      </c>
      <c r="B2074" t="inlineStr">
        <is>
          <t>IPPE_2023_AR.pdf</t>
        </is>
      </c>
      <c r="C2074" t="n">
        <v>2023</v>
      </c>
      <c r="D2074" t="inlineStr">
        <is>
          <t>Financial</t>
        </is>
      </c>
      <c r="E2074" t="inlineStr">
        <is>
          <t>Trade Receivables (Third Parties)</t>
        </is>
      </c>
      <c r="F2074" t="n">
        <v>4.76</v>
      </c>
      <c r="G2074" t="inlineStr">
        <is>
          <t>IDR bn</t>
        </is>
      </c>
      <c r="H2074" t="n">
        <v>106</v>
      </c>
      <c r="I2074" t="inlineStr">
        <is>
          <t>Piutang usaha dari Pihak ketiga - neto 5 4.758.755 1.541.185</t>
        </is>
      </c>
      <c r="J2074" t="inlineStr">
        <is>
          <t>High</t>
        </is>
      </c>
      <c r="M2074" t="inlineStr">
        <is>
          <t>LLM</t>
        </is>
      </c>
      <c r="N2074" t="inlineStr">
        <is>
          <t>2026-04-18</t>
        </is>
      </c>
      <c r="O2074" t="inlineStr">
        <is>
          <t>AI</t>
        </is>
      </c>
    </row>
    <row r="2075">
      <c r="A2075" t="inlineStr">
        <is>
          <t>PT Indo Pureco Pratama Tbk</t>
        </is>
      </c>
      <c r="B2075" t="inlineStr">
        <is>
          <t>IPPE_2023_AR.pdf</t>
        </is>
      </c>
      <c r="C2075" t="n">
        <v>2023</v>
      </c>
      <c r="D2075" t="inlineStr">
        <is>
          <t>Financial</t>
        </is>
      </c>
      <c r="E2075" t="inlineStr">
        <is>
          <t>Advances</t>
        </is>
      </c>
      <c r="F2075" t="n">
        <v>86.45</v>
      </c>
      <c r="G2075" t="inlineStr">
        <is>
          <t>IDR bn</t>
        </is>
      </c>
      <c r="H2075" t="n">
        <v>106</v>
      </c>
      <c r="I2075" t="inlineStr">
        <is>
          <t>Uang muka 6 86.445.552 97.400.000</t>
        </is>
      </c>
      <c r="J2075" t="inlineStr">
        <is>
          <t>High</t>
        </is>
      </c>
      <c r="M2075" t="inlineStr">
        <is>
          <t>LLM</t>
        </is>
      </c>
      <c r="N2075" t="inlineStr">
        <is>
          <t>2026-04-18</t>
        </is>
      </c>
      <c r="O2075" t="inlineStr">
        <is>
          <t>AI</t>
        </is>
      </c>
    </row>
    <row r="2076">
      <c r="A2076" t="inlineStr">
        <is>
          <t>PT Indo Pureco Pratama Tbk</t>
        </is>
      </c>
      <c r="B2076" t="inlineStr">
        <is>
          <t>IPPE_2023_AR.pdf</t>
        </is>
      </c>
      <c r="C2076" t="n">
        <v>2023</v>
      </c>
      <c r="D2076" t="inlineStr">
        <is>
          <t>Financial</t>
        </is>
      </c>
      <c r="E2076" t="inlineStr">
        <is>
          <t>Inventories</t>
        </is>
      </c>
      <c r="F2076" t="n">
        <v>7.6</v>
      </c>
      <c r="G2076" t="inlineStr">
        <is>
          <t>IDR bn</t>
        </is>
      </c>
      <c r="H2076" t="n">
        <v>106</v>
      </c>
      <c r="I2076" t="inlineStr">
        <is>
          <t>Persediaan 7 7.603.546 2.839.794</t>
        </is>
      </c>
      <c r="J2076" t="inlineStr">
        <is>
          <t>High</t>
        </is>
      </c>
      <c r="M2076" t="inlineStr">
        <is>
          <t>LLM</t>
        </is>
      </c>
      <c r="N2076" t="inlineStr">
        <is>
          <t>2026-04-18</t>
        </is>
      </c>
      <c r="O2076" t="inlineStr">
        <is>
          <t>AI</t>
        </is>
      </c>
    </row>
    <row r="2077">
      <c r="A2077" t="inlineStr">
        <is>
          <t>PT Indo Pureco Pratama Tbk</t>
        </is>
      </c>
      <c r="B2077" t="inlineStr">
        <is>
          <t>IPPE_2023_AR.pdf</t>
        </is>
      </c>
      <c r="C2077" t="n">
        <v>2023</v>
      </c>
      <c r="D2077" t="inlineStr">
        <is>
          <t>Financial</t>
        </is>
      </c>
      <c r="E2077" t="inlineStr">
        <is>
          <t>Property, Plant &amp; Equipment</t>
        </is>
      </c>
      <c r="F2077" t="n">
        <v>201.33</v>
      </c>
      <c r="G2077" t="inlineStr">
        <is>
          <t>IDR bn</t>
        </is>
      </c>
      <c r="H2077" t="n">
        <v>106</v>
      </c>
      <c r="I2077" t="inlineStr">
        <is>
          <t>Aset tetap 8 201.333.848 185.549.109</t>
        </is>
      </c>
      <c r="J2077" t="inlineStr">
        <is>
          <t>High</t>
        </is>
      </c>
      <c r="M2077" t="inlineStr">
        <is>
          <t>LLM</t>
        </is>
      </c>
      <c r="N2077" t="inlineStr">
        <is>
          <t>2026-04-18</t>
        </is>
      </c>
      <c r="O2077" t="inlineStr">
        <is>
          <t>AI</t>
        </is>
      </c>
    </row>
    <row r="2078">
      <c r="A2078" t="inlineStr">
        <is>
          <t>PT Indo Pureco Pratama Tbk</t>
        </is>
      </c>
      <c r="B2078" t="inlineStr">
        <is>
          <t>IPPE_2023_AR.pdf</t>
        </is>
      </c>
      <c r="C2078" t="n">
        <v>2023</v>
      </c>
      <c r="D2078" t="inlineStr">
        <is>
          <t>Financial</t>
        </is>
      </c>
      <c r="E2078" t="inlineStr">
        <is>
          <t>Total Liabilities</t>
        </is>
      </c>
      <c r="F2078" t="n">
        <v>15</v>
      </c>
      <c r="G2078" t="inlineStr">
        <is>
          <t>IDR bn</t>
        </is>
      </c>
      <c r="H2078" t="n">
        <v>106</v>
      </c>
      <c r="I2078" t="inlineStr">
        <is>
          <t>TOTAL LIABILITAS 14.996.191 8.128.023</t>
        </is>
      </c>
      <c r="J2078" t="inlineStr">
        <is>
          <t>High</t>
        </is>
      </c>
      <c r="M2078" t="inlineStr">
        <is>
          <t>LLM</t>
        </is>
      </c>
      <c r="N2078" t="inlineStr">
        <is>
          <t>2026-04-18</t>
        </is>
      </c>
      <c r="O2078" t="inlineStr">
        <is>
          <t>AI</t>
        </is>
      </c>
    </row>
    <row r="2079">
      <c r="A2079" t="inlineStr">
        <is>
          <t>PT Indo Pureco Pratama Tbk</t>
        </is>
      </c>
      <c r="B2079" t="inlineStr">
        <is>
          <t>IPPE_2023_AR.pdf</t>
        </is>
      </c>
      <c r="C2079" t="n">
        <v>2023</v>
      </c>
      <c r="D2079" t="inlineStr">
        <is>
          <t>Financial</t>
        </is>
      </c>
      <c r="E2079" t="inlineStr">
        <is>
          <t>Current Liabilities</t>
        </is>
      </c>
      <c r="F2079" t="n">
        <v>9.119999999999999</v>
      </c>
      <c r="G2079" t="inlineStr">
        <is>
          <t>IDR bn</t>
        </is>
      </c>
      <c r="H2079" t="n">
        <v>106</v>
      </c>
      <c r="I2079" t="inlineStr">
        <is>
          <t>Total Liabilitas Jangka Pendek 9.118.773 7.923.341</t>
        </is>
      </c>
      <c r="J2079" t="inlineStr">
        <is>
          <t>High</t>
        </is>
      </c>
      <c r="M2079" t="inlineStr">
        <is>
          <t>LLM</t>
        </is>
      </c>
      <c r="N2079" t="inlineStr">
        <is>
          <t>2026-04-18</t>
        </is>
      </c>
      <c r="O2079" t="inlineStr">
        <is>
          <t>AI</t>
        </is>
      </c>
    </row>
    <row r="2080">
      <c r="A2080" t="inlineStr">
        <is>
          <t>PT Indo Pureco Pratama Tbk</t>
        </is>
      </c>
      <c r="B2080" t="inlineStr">
        <is>
          <t>IPPE_2023_AR.pdf</t>
        </is>
      </c>
      <c r="C2080" t="n">
        <v>2023</v>
      </c>
      <c r="D2080" t="inlineStr">
        <is>
          <t>Financial</t>
        </is>
      </c>
      <c r="E2080" t="inlineStr">
        <is>
          <t>Non-Current Liabilities</t>
        </is>
      </c>
      <c r="F2080" t="n">
        <v>5.88</v>
      </c>
      <c r="G2080" t="inlineStr">
        <is>
          <t>IDR bn</t>
        </is>
      </c>
      <c r="H2080" t="n">
        <v>106</v>
      </c>
      <c r="I2080" t="inlineStr">
        <is>
          <t>Total Liabilitas Jangka Panjang 5.877.418 204.682</t>
        </is>
      </c>
      <c r="J2080" t="inlineStr">
        <is>
          <t>High</t>
        </is>
      </c>
      <c r="M2080" t="inlineStr">
        <is>
          <t>LLM</t>
        </is>
      </c>
      <c r="N2080" t="inlineStr">
        <is>
          <t>2026-04-18</t>
        </is>
      </c>
      <c r="O2080" t="inlineStr">
        <is>
          <t>AI</t>
        </is>
      </c>
    </row>
    <row r="2081">
      <c r="A2081" t="inlineStr">
        <is>
          <t>PT Indo Pureco Pratama Tbk</t>
        </is>
      </c>
      <c r="B2081" t="inlineStr">
        <is>
          <t>IPPE_2023_AR.pdf</t>
        </is>
      </c>
      <c r="C2081" t="n">
        <v>2023</v>
      </c>
      <c r="D2081" t="inlineStr">
        <is>
          <t>Financial</t>
        </is>
      </c>
      <c r="E2081" t="inlineStr">
        <is>
          <t>Trade Payables (Third Parties)</t>
        </is>
      </c>
      <c r="F2081" t="n">
        <v>0.22</v>
      </c>
      <c r="G2081" t="inlineStr">
        <is>
          <t>IDR bn</t>
        </is>
      </c>
      <c r="H2081" t="n">
        <v>106</v>
      </c>
      <c r="I2081" t="inlineStr">
        <is>
          <t>Utang usaha kepada Pihak ketiga 9 224.070 201.464</t>
        </is>
      </c>
      <c r="J2081" t="inlineStr">
        <is>
          <t>High</t>
        </is>
      </c>
      <c r="M2081" t="inlineStr">
        <is>
          <t>LLM</t>
        </is>
      </c>
      <c r="N2081" t="inlineStr">
        <is>
          <t>2026-04-18</t>
        </is>
      </c>
      <c r="O2081" t="inlineStr">
        <is>
          <t>AI</t>
        </is>
      </c>
    </row>
    <row r="2082">
      <c r="A2082" t="inlineStr">
        <is>
          <t>PT Indo Pureco Pratama Tbk</t>
        </is>
      </c>
      <c r="B2082" t="inlineStr">
        <is>
          <t>IPPE_2023_AR.pdf</t>
        </is>
      </c>
      <c r="C2082" t="n">
        <v>2023</v>
      </c>
      <c r="D2082" t="inlineStr">
        <is>
          <t>Financial</t>
        </is>
      </c>
      <c r="E2082" t="inlineStr">
        <is>
          <t>Tax Payable</t>
        </is>
      </c>
      <c r="F2082" t="n">
        <v>6.86</v>
      </c>
      <c r="G2082" t="inlineStr">
        <is>
          <t>IDR bn</t>
        </is>
      </c>
      <c r="H2082" t="n">
        <v>106</v>
      </c>
      <c r="I2082" t="inlineStr">
        <is>
          <t>Utang pajak 10a 6.857.813 7.721.877</t>
        </is>
      </c>
      <c r="J2082" t="inlineStr">
        <is>
          <t>High</t>
        </is>
      </c>
      <c r="M2082" t="inlineStr">
        <is>
          <t>LLM</t>
        </is>
      </c>
      <c r="N2082" t="inlineStr">
        <is>
          <t>2026-04-18</t>
        </is>
      </c>
      <c r="O2082" t="inlineStr">
        <is>
          <t>AI</t>
        </is>
      </c>
    </row>
    <row r="2083">
      <c r="A2083" t="inlineStr">
        <is>
          <t>PT Indo Pureco Pratama Tbk</t>
        </is>
      </c>
      <c r="B2083" t="inlineStr">
        <is>
          <t>IPPE_2023_AR.pdf</t>
        </is>
      </c>
      <c r="C2083" t="n">
        <v>2023</v>
      </c>
      <c r="D2083" t="inlineStr">
        <is>
          <t>Financial</t>
        </is>
      </c>
      <c r="E2083" t="inlineStr">
        <is>
          <t>Bank Loans (Current)</t>
        </is>
      </c>
      <c r="F2083" t="n">
        <v>1.75</v>
      </c>
      <c r="G2083" t="inlineStr">
        <is>
          <t>IDR bn</t>
        </is>
      </c>
      <c r="H2083" t="n">
        <v>106</v>
      </c>
      <c r="I2083" t="inlineStr">
        <is>
          <t>Utang bank 11 1.750.000 - (current maturities)</t>
        </is>
      </c>
      <c r="J2083" t="inlineStr">
        <is>
          <t>High</t>
        </is>
      </c>
      <c r="M2083" t="inlineStr">
        <is>
          <t>LLM</t>
        </is>
      </c>
      <c r="N2083" t="inlineStr">
        <is>
          <t>2026-04-18</t>
        </is>
      </c>
      <c r="O2083" t="inlineStr">
        <is>
          <t>AI</t>
        </is>
      </c>
    </row>
    <row r="2084">
      <c r="A2084" t="inlineStr">
        <is>
          <t>PT Indo Pureco Pratama Tbk</t>
        </is>
      </c>
      <c r="B2084" t="inlineStr">
        <is>
          <t>IPPE_2023_AR.pdf</t>
        </is>
      </c>
      <c r="C2084" t="n">
        <v>2023</v>
      </c>
      <c r="D2084" t="inlineStr">
        <is>
          <t>Financial</t>
        </is>
      </c>
      <c r="E2084" t="inlineStr">
        <is>
          <t>Bank Loans (Long-term)</t>
        </is>
      </c>
      <c r="F2084" t="n">
        <v>4.81</v>
      </c>
      <c r="G2084" t="inlineStr">
        <is>
          <t>IDR bn</t>
        </is>
      </c>
      <c r="H2084" t="n">
        <v>106</v>
      </c>
      <c r="I2084" t="inlineStr">
        <is>
          <t>Utang bank 4.812.500 - (LT portion)</t>
        </is>
      </c>
      <c r="J2084" t="inlineStr">
        <is>
          <t>High</t>
        </is>
      </c>
      <c r="M2084" t="inlineStr">
        <is>
          <t>LLM</t>
        </is>
      </c>
      <c r="N2084" t="inlineStr">
        <is>
          <t>2026-04-18</t>
        </is>
      </c>
      <c r="O2084" t="inlineStr">
        <is>
          <t>AI</t>
        </is>
      </c>
    </row>
    <row r="2085">
      <c r="A2085" t="inlineStr">
        <is>
          <t>PT Indo Pureco Pratama Tbk</t>
        </is>
      </c>
      <c r="B2085" t="inlineStr">
        <is>
          <t>IPPE_2023_AR.pdf</t>
        </is>
      </c>
      <c r="C2085" t="n">
        <v>2023</v>
      </c>
      <c r="D2085" t="inlineStr">
        <is>
          <t>Financial</t>
        </is>
      </c>
      <c r="E2085" t="inlineStr">
        <is>
          <t>Gross Debt (Total Bank Loans)</t>
        </is>
      </c>
      <c r="F2085" t="n">
        <v>6.56</v>
      </c>
      <c r="G2085" t="inlineStr">
        <is>
          <t>IDR bn</t>
        </is>
      </c>
      <c r="H2085" t="n">
        <v>106</v>
      </c>
      <c r="I2085" t="inlineStr">
        <is>
          <t>Calculated: Current bank loan 1.750 + LT bank loan 4.812.5 = 6.5625 bn</t>
        </is>
      </c>
      <c r="J2085" t="inlineStr">
        <is>
          <t>High</t>
        </is>
      </c>
      <c r="M2085" t="inlineStr">
        <is>
          <t>LLM</t>
        </is>
      </c>
      <c r="N2085" t="inlineStr">
        <is>
          <t>2026-04-18</t>
        </is>
      </c>
      <c r="O2085" t="inlineStr">
        <is>
          <t>AI</t>
        </is>
      </c>
    </row>
    <row r="2086">
      <c r="A2086" t="inlineStr">
        <is>
          <t>PT Indo Pureco Pratama Tbk</t>
        </is>
      </c>
      <c r="B2086" t="inlineStr">
        <is>
          <t>IPPE_2023_AR.pdf</t>
        </is>
      </c>
      <c r="C2086" t="n">
        <v>2023</v>
      </c>
      <c r="D2086" t="inlineStr">
        <is>
          <t>Financial</t>
        </is>
      </c>
      <c r="E2086" t="inlineStr">
        <is>
          <t>Consumer Financing Payables (Current+LT)</t>
        </is>
      </c>
      <c r="F2086" t="n">
        <v>0.98</v>
      </c>
      <c r="G2086" t="inlineStr">
        <is>
          <t>IDR bn</t>
        </is>
      </c>
      <c r="H2086" t="n">
        <v>106</v>
      </c>
      <c r="I2086" t="inlineStr">
        <is>
          <t>Utang pembiayaan konsumen 286.890 current + 693.318 LT = 980.208</t>
        </is>
      </c>
      <c r="J2086" t="inlineStr">
        <is>
          <t>High</t>
        </is>
      </c>
      <c r="M2086" t="inlineStr">
        <is>
          <t>LLM</t>
        </is>
      </c>
      <c r="N2086" t="inlineStr">
        <is>
          <t>2026-04-18</t>
        </is>
      </c>
      <c r="O2086" t="inlineStr">
        <is>
          <t>AI</t>
        </is>
      </c>
    </row>
    <row r="2087">
      <c r="A2087" t="inlineStr">
        <is>
          <t>PT Indo Pureco Pratama Tbk</t>
        </is>
      </c>
      <c r="B2087" t="inlineStr">
        <is>
          <t>IPPE_2023_AR.pdf</t>
        </is>
      </c>
      <c r="C2087" t="n">
        <v>2023</v>
      </c>
      <c r="D2087" t="inlineStr">
        <is>
          <t>Financial</t>
        </is>
      </c>
      <c r="E2087" t="inlineStr">
        <is>
          <t>Post-Employment Benefits Liability</t>
        </is>
      </c>
      <c r="F2087" t="n">
        <v>0.37</v>
      </c>
      <c r="G2087" t="inlineStr">
        <is>
          <t>IDR bn</t>
        </is>
      </c>
      <c r="H2087" t="n">
        <v>106</v>
      </c>
      <c r="I2087" t="inlineStr">
        <is>
          <t>Liabilitas imbalan pascakerja 13 371.600 204.682</t>
        </is>
      </c>
      <c r="J2087" t="inlineStr">
        <is>
          <t>High</t>
        </is>
      </c>
      <c r="M2087" t="inlineStr">
        <is>
          <t>LLM</t>
        </is>
      </c>
      <c r="N2087" t="inlineStr">
        <is>
          <t>2026-04-18</t>
        </is>
      </c>
      <c r="O2087" t="inlineStr">
        <is>
          <t>AI</t>
        </is>
      </c>
    </row>
    <row r="2088">
      <c r="A2088" t="inlineStr">
        <is>
          <t>PT Indo Pureco Pratama Tbk</t>
        </is>
      </c>
      <c r="B2088" t="inlineStr">
        <is>
          <t>IPPE_2023_AR.pdf</t>
        </is>
      </c>
      <c r="C2088" t="n">
        <v>2023</v>
      </c>
      <c r="D2088" t="inlineStr">
        <is>
          <t>Financial</t>
        </is>
      </c>
      <c r="E2088" t="inlineStr">
        <is>
          <t>Total Equity</t>
        </is>
      </c>
      <c r="F2088" t="n">
        <v>286.28</v>
      </c>
      <c r="G2088" t="inlineStr">
        <is>
          <t>IDR bn</t>
        </is>
      </c>
      <c r="H2088" t="n">
        <v>107</v>
      </c>
      <c r="I2088" t="inlineStr">
        <is>
          <t>TOTAL EKUITAS 286.276.184 282.456.106</t>
        </is>
      </c>
      <c r="J2088" t="inlineStr">
        <is>
          <t>High</t>
        </is>
      </c>
      <c r="M2088" t="inlineStr">
        <is>
          <t>LLM</t>
        </is>
      </c>
      <c r="N2088" t="inlineStr">
        <is>
          <t>2026-04-18</t>
        </is>
      </c>
      <c r="O2088" t="inlineStr">
        <is>
          <t>AI</t>
        </is>
      </c>
    </row>
    <row r="2089">
      <c r="A2089" t="inlineStr">
        <is>
          <t>PT Indo Pureco Pratama Tbk</t>
        </is>
      </c>
      <c r="B2089" t="inlineStr">
        <is>
          <t>IPPE_2023_AR.pdf</t>
        </is>
      </c>
      <c r="C2089" t="n">
        <v>2023</v>
      </c>
      <c r="D2089" t="inlineStr">
        <is>
          <t>Financial</t>
        </is>
      </c>
      <c r="E2089" t="inlineStr">
        <is>
          <t>Share Capital (Paid-up)</t>
        </is>
      </c>
      <c r="F2089" t="n">
        <v>230</v>
      </c>
      <c r="G2089" t="inlineStr">
        <is>
          <t>IDR bn</t>
        </is>
      </c>
      <c r="H2089" t="n">
        <v>107</v>
      </c>
      <c r="I2089" t="inlineStr">
        <is>
          <t>Modal ditempatkan dan disetor 4.600.000 saham (shares in thousands) 15 230.000.000 (in thousand Rupiah = 230 bn)</t>
        </is>
      </c>
      <c r="J2089" t="inlineStr">
        <is>
          <t>High</t>
        </is>
      </c>
      <c r="M2089" t="inlineStr">
        <is>
          <t>LLM</t>
        </is>
      </c>
      <c r="N2089" t="inlineStr">
        <is>
          <t>2026-04-18</t>
        </is>
      </c>
      <c r="O2089" t="inlineStr">
        <is>
          <t>AI</t>
        </is>
      </c>
    </row>
    <row r="2090">
      <c r="A2090" t="inlineStr">
        <is>
          <t>PT Indo Pureco Pratama Tbk</t>
        </is>
      </c>
      <c r="B2090" t="inlineStr">
        <is>
          <t>IPPE_2023_AR.pdf</t>
        </is>
      </c>
      <c r="C2090" t="n">
        <v>2023</v>
      </c>
      <c r="D2090" t="inlineStr">
        <is>
          <t>Financial</t>
        </is>
      </c>
      <c r="E2090" t="inlineStr">
        <is>
          <t>Additional Paid-in Capital</t>
        </is>
      </c>
      <c r="F2090" t="n">
        <v>44.52</v>
      </c>
      <c r="G2090" t="inlineStr">
        <is>
          <t>IDR bn</t>
        </is>
      </c>
      <c r="H2090" t="n">
        <v>107</v>
      </c>
      <c r="I2090" t="inlineStr">
        <is>
          <t>Tambahan modal disetor 17 44.520.519 44.520.519</t>
        </is>
      </c>
      <c r="J2090" t="inlineStr">
        <is>
          <t>High</t>
        </is>
      </c>
      <c r="M2090" t="inlineStr">
        <is>
          <t>LLM</t>
        </is>
      </c>
      <c r="N2090" t="inlineStr">
        <is>
          <t>2026-04-18</t>
        </is>
      </c>
      <c r="O2090" t="inlineStr">
        <is>
          <t>AI</t>
        </is>
      </c>
    </row>
    <row r="2091">
      <c r="A2091" t="inlineStr">
        <is>
          <t>PT Indo Pureco Pratama Tbk</t>
        </is>
      </c>
      <c r="B2091" t="inlineStr">
        <is>
          <t>IPPE_2023_AR.pdf</t>
        </is>
      </c>
      <c r="C2091" t="n">
        <v>2023</v>
      </c>
      <c r="D2091" t="inlineStr">
        <is>
          <t>Financial</t>
        </is>
      </c>
      <c r="E2091" t="inlineStr">
        <is>
          <t>Retained Earnings (Unappropriated)</t>
        </is>
      </c>
      <c r="F2091" t="n">
        <v>11.89</v>
      </c>
      <c r="G2091" t="inlineStr">
        <is>
          <t>IDR bn</t>
        </is>
      </c>
      <c r="H2091" t="n">
        <v>107</v>
      </c>
      <c r="I2091" t="inlineStr">
        <is>
          <t>Tidak ditentukan penggunaannya 11.887.759 8.025.772</t>
        </is>
      </c>
      <c r="J2091" t="inlineStr">
        <is>
          <t>High</t>
        </is>
      </c>
      <c r="M2091" t="inlineStr">
        <is>
          <t>LLM</t>
        </is>
      </c>
      <c r="N2091" t="inlineStr">
        <is>
          <t>2026-04-18</t>
        </is>
      </c>
      <c r="O2091" t="inlineStr">
        <is>
          <t>AI</t>
        </is>
      </c>
    </row>
    <row r="2092">
      <c r="A2092" t="inlineStr">
        <is>
          <t>PT Indo Pureco Pratama Tbk</t>
        </is>
      </c>
      <c r="B2092" t="inlineStr">
        <is>
          <t>IPPE_2023_AR.pdf</t>
        </is>
      </c>
      <c r="C2092" t="n">
        <v>2023</v>
      </c>
      <c r="D2092" t="inlineStr">
        <is>
          <t>Financial</t>
        </is>
      </c>
      <c r="E2092" t="inlineStr">
        <is>
          <t>CFO (Cash from Operating Activities)</t>
        </is>
      </c>
      <c r="F2092" t="n">
        <v>-2.15</v>
      </c>
      <c r="G2092" t="inlineStr">
        <is>
          <t>IDR bn</t>
        </is>
      </c>
      <c r="H2092" t="n">
        <v>111</v>
      </c>
      <c r="I2092" t="inlineStr">
        <is>
          <t>Arus Kas Neto Digunakan untuk Aktivitas Operasi (2.150.874) 10.134.121</t>
        </is>
      </c>
      <c r="J2092" t="inlineStr">
        <is>
          <t>High</t>
        </is>
      </c>
      <c r="M2092" t="inlineStr">
        <is>
          <t>LLM</t>
        </is>
      </c>
      <c r="N2092" t="inlineStr">
        <is>
          <t>2026-04-18</t>
        </is>
      </c>
      <c r="O2092" t="inlineStr">
        <is>
          <t>AI</t>
        </is>
      </c>
    </row>
    <row r="2093">
      <c r="A2093" t="inlineStr">
        <is>
          <t>PT Indo Pureco Pratama Tbk</t>
        </is>
      </c>
      <c r="B2093" t="inlineStr">
        <is>
          <t>IPPE_2023_AR.pdf</t>
        </is>
      </c>
      <c r="C2093" t="n">
        <v>2023</v>
      </c>
      <c r="D2093" t="inlineStr">
        <is>
          <t>Financial</t>
        </is>
      </c>
      <c r="E2093" t="inlineStr">
        <is>
          <t>CFI (Cash from Investing Activities)</t>
        </is>
      </c>
      <c r="F2093" t="n">
        <v>-7.55</v>
      </c>
      <c r="G2093" t="inlineStr">
        <is>
          <t>IDR bn</t>
        </is>
      </c>
      <c r="H2093" t="n">
        <v>111</v>
      </c>
      <c r="I2093" t="inlineStr">
        <is>
          <t>Arus Kas Neto Digunakan untuk Aktivitas Investasi (7.546.775) (28.369.674)</t>
        </is>
      </c>
      <c r="J2093" t="inlineStr">
        <is>
          <t>High</t>
        </is>
      </c>
      <c r="M2093" t="inlineStr">
        <is>
          <t>LLM</t>
        </is>
      </c>
      <c r="N2093" t="inlineStr">
        <is>
          <t>2026-04-18</t>
        </is>
      </c>
      <c r="O2093" t="inlineStr">
        <is>
          <t>AI</t>
        </is>
      </c>
    </row>
    <row r="2094">
      <c r="A2094" t="inlineStr">
        <is>
          <t>PT Indo Pureco Pratama Tbk</t>
        </is>
      </c>
      <c r="B2094" t="inlineStr">
        <is>
          <t>IPPE_2023_AR.pdf</t>
        </is>
      </c>
      <c r="C2094" t="n">
        <v>2023</v>
      </c>
      <c r="D2094" t="inlineStr">
        <is>
          <t>Financial</t>
        </is>
      </c>
      <c r="E2094" t="inlineStr">
        <is>
          <t>CFF (Cash from Financing Activities)</t>
        </is>
      </c>
      <c r="F2094" t="n">
        <v>7.54</v>
      </c>
      <c r="G2094" t="inlineStr">
        <is>
          <t>IDR bn</t>
        </is>
      </c>
      <c r="H2094" t="n">
        <v>111</v>
      </c>
      <c r="I2094" t="inlineStr">
        <is>
          <t>Arus Kas Neto Diperoleh dari Aktivitas Pendanaan 7.542.708 -</t>
        </is>
      </c>
      <c r="J2094" t="inlineStr">
        <is>
          <t>High</t>
        </is>
      </c>
      <c r="M2094" t="inlineStr">
        <is>
          <t>LLM</t>
        </is>
      </c>
      <c r="N2094" t="inlineStr">
        <is>
          <t>2026-04-18</t>
        </is>
      </c>
      <c r="O2094" t="inlineStr">
        <is>
          <t>AI</t>
        </is>
      </c>
    </row>
    <row r="2095">
      <c r="A2095" t="inlineStr">
        <is>
          <t>PT Indo Pureco Pratama Tbk</t>
        </is>
      </c>
      <c r="B2095" t="inlineStr">
        <is>
          <t>IPPE_2023_AR.pdf</t>
        </is>
      </c>
      <c r="C2095" t="n">
        <v>2023</v>
      </c>
      <c r="D2095" t="inlineStr">
        <is>
          <t>Financial</t>
        </is>
      </c>
      <c r="E2095" t="inlineStr">
        <is>
          <t>Capex (Additions to Fixed Assets)</t>
        </is>
      </c>
      <c r="F2095" t="n">
        <v>7.55</v>
      </c>
      <c r="G2095" t="inlineStr">
        <is>
          <t>IDR bn</t>
        </is>
      </c>
      <c r="H2095" t="n">
        <v>111</v>
      </c>
      <c r="I2095" t="inlineStr">
        <is>
          <t>Penambahan aset tetap (7.546.775) (8.369.674)</t>
        </is>
      </c>
      <c r="J2095" t="inlineStr">
        <is>
          <t>High</t>
        </is>
      </c>
      <c r="M2095" t="inlineStr">
        <is>
          <t>LLM</t>
        </is>
      </c>
      <c r="N2095" t="inlineStr">
        <is>
          <t>2026-04-18</t>
        </is>
      </c>
      <c r="O2095" t="inlineStr">
        <is>
          <t>AI</t>
        </is>
      </c>
    </row>
    <row r="2096">
      <c r="A2096" t="inlineStr">
        <is>
          <t>PT Indo Pureco Pratama Tbk</t>
        </is>
      </c>
      <c r="B2096" t="inlineStr">
        <is>
          <t>IPPE_2023_AR.pdf</t>
        </is>
      </c>
      <c r="C2096" t="n">
        <v>2023</v>
      </c>
      <c r="D2096" t="inlineStr">
        <is>
          <t>Financial</t>
        </is>
      </c>
      <c r="E2096" t="inlineStr">
        <is>
          <t>New Bank Loan Proceeds</t>
        </is>
      </c>
      <c r="F2096" t="n">
        <v>7</v>
      </c>
      <c r="G2096" t="inlineStr">
        <is>
          <t>IDR bn</t>
        </is>
      </c>
      <c r="H2096" t="n">
        <v>111</v>
      </c>
      <c r="I2096" t="inlineStr">
        <is>
          <t>Penerimaan Pinjaman dari Bank 7.000.000 -</t>
        </is>
      </c>
      <c r="J2096" t="inlineStr">
        <is>
          <t>High</t>
        </is>
      </c>
      <c r="M2096" t="inlineStr">
        <is>
          <t>LLM</t>
        </is>
      </c>
      <c r="N2096" t="inlineStr">
        <is>
          <t>2026-04-18</t>
        </is>
      </c>
      <c r="O2096" t="inlineStr">
        <is>
          <t>AI</t>
        </is>
      </c>
    </row>
    <row r="2097">
      <c r="A2097" t="inlineStr">
        <is>
          <t>PT Indo Pureco Pratama Tbk</t>
        </is>
      </c>
      <c r="B2097" t="inlineStr">
        <is>
          <t>IPPE_2023_AR.pdf</t>
        </is>
      </c>
      <c r="C2097" t="n">
        <v>2023</v>
      </c>
      <c r="D2097" t="inlineStr">
        <is>
          <t>Financial</t>
        </is>
      </c>
      <c r="E2097" t="inlineStr">
        <is>
          <t>Bank Loan Repayments</t>
        </is>
      </c>
      <c r="F2097" t="n">
        <v>0.44</v>
      </c>
      <c r="G2097" t="inlineStr">
        <is>
          <t>IDR bn</t>
        </is>
      </c>
      <c r="H2097" t="n">
        <v>111</v>
      </c>
      <c r="I2097" t="inlineStr">
        <is>
          <t>Pembayaran Pinjaman Bank (437.500) -</t>
        </is>
      </c>
      <c r="J2097" t="inlineStr">
        <is>
          <t>High</t>
        </is>
      </c>
      <c r="M2097" t="inlineStr">
        <is>
          <t>LLM</t>
        </is>
      </c>
      <c r="N2097" t="inlineStr">
        <is>
          <t>2026-04-18</t>
        </is>
      </c>
      <c r="O2097" t="inlineStr">
        <is>
          <t>AI</t>
        </is>
      </c>
    </row>
    <row r="2098">
      <c r="A2098" t="inlineStr">
        <is>
          <t>PT Indo Pureco Pratama Tbk</t>
        </is>
      </c>
      <c r="B2098" t="inlineStr">
        <is>
          <t>IPPE_2023_AR.pdf</t>
        </is>
      </c>
      <c r="C2098" t="n">
        <v>2023</v>
      </c>
      <c r="D2098" t="inlineStr">
        <is>
          <t>Financial</t>
        </is>
      </c>
      <c r="E2098" t="inlineStr">
        <is>
          <t>EPS (Basic)</t>
        </is>
      </c>
      <c r="F2098" t="n">
        <v>0.84</v>
      </c>
      <c r="G2098" t="inlineStr">
        <is>
          <t>Rp/share</t>
        </is>
      </c>
      <c r="H2098" t="n">
        <v>7</v>
      </c>
      <c r="I2098" t="inlineStr">
        <is>
          <t>Laba per Lembar Saham 0.84 0.77 0.74</t>
        </is>
      </c>
      <c r="J2098" t="inlineStr">
        <is>
          <t>High</t>
        </is>
      </c>
      <c r="M2098" t="inlineStr">
        <is>
          <t>LLM</t>
        </is>
      </c>
      <c r="N2098" t="inlineStr">
        <is>
          <t>2026-04-18</t>
        </is>
      </c>
      <c r="O2098" t="inlineStr">
        <is>
          <t>AI</t>
        </is>
      </c>
    </row>
    <row r="2099">
      <c r="A2099" t="inlineStr">
        <is>
          <t>PT Indo Pureco Pratama Tbk</t>
        </is>
      </c>
      <c r="B2099" t="inlineStr">
        <is>
          <t>IPPE_2023_AR.pdf</t>
        </is>
      </c>
      <c r="C2099" t="n">
        <v>2023</v>
      </c>
      <c r="D2099" t="inlineStr">
        <is>
          <t>Financial</t>
        </is>
      </c>
      <c r="E2099" t="inlineStr">
        <is>
          <t>Weighted Avg Shares (mn)</t>
        </is>
      </c>
      <c r="F2099" t="n">
        <v>4600</v>
      </c>
      <c r="G2099" t="inlineStr">
        <is>
          <t>mn</t>
        </is>
      </c>
      <c r="H2099" t="n">
        <v>153</v>
      </c>
      <c r="I2099" t="inlineStr">
        <is>
          <t>Jumlah rata-rata tertimbang saham 4.600.000 4.600.000 (in thousands of shares = 4.6 bn shares)</t>
        </is>
      </c>
      <c r="J2099" t="inlineStr">
        <is>
          <t>High</t>
        </is>
      </c>
      <c r="M2099" t="inlineStr">
        <is>
          <t>LLM</t>
        </is>
      </c>
      <c r="N2099" t="inlineStr">
        <is>
          <t>2026-04-18</t>
        </is>
      </c>
      <c r="O2099" t="inlineStr">
        <is>
          <t>AI</t>
        </is>
      </c>
    </row>
    <row r="2100">
      <c r="A2100" t="inlineStr">
        <is>
          <t>PT Indo Pureco Pratama Tbk</t>
        </is>
      </c>
      <c r="B2100" t="inlineStr">
        <is>
          <t>IPPE_2023_AR.pdf</t>
        </is>
      </c>
      <c r="C2100" t="n">
        <v>2023</v>
      </c>
      <c r="D2100" t="inlineStr">
        <is>
          <t>Financial</t>
        </is>
      </c>
      <c r="E2100" t="inlineStr">
        <is>
          <t>Par Value per Share</t>
        </is>
      </c>
      <c r="F2100" t="n">
        <v>50</v>
      </c>
      <c r="G2100" t="inlineStr">
        <is>
          <t>Rp/share</t>
        </is>
      </c>
      <c r="H2100" t="n">
        <v>107</v>
      </c>
      <c r="I2100" t="inlineStr">
        <is>
          <t>Modal saham - nilai nominal Rp50 (nilai penuh) per saham</t>
        </is>
      </c>
      <c r="J2100" t="inlineStr">
        <is>
          <t>High</t>
        </is>
      </c>
      <c r="M2100" t="inlineStr">
        <is>
          <t>LLM</t>
        </is>
      </c>
      <c r="N2100" t="inlineStr">
        <is>
          <t>2026-04-18</t>
        </is>
      </c>
      <c r="O2100" t="inlineStr">
        <is>
          <t>AI</t>
        </is>
      </c>
    </row>
    <row r="2101">
      <c r="A2101" t="inlineStr">
        <is>
          <t>PT Indo Pureco Pratama Tbk</t>
        </is>
      </c>
      <c r="B2101" t="inlineStr">
        <is>
          <t>IPPE_2023_AR.pdf</t>
        </is>
      </c>
      <c r="C2101" t="n">
        <v>2023</v>
      </c>
      <c r="D2101" t="inlineStr">
        <is>
          <t>Financial</t>
        </is>
      </c>
      <c r="E2101" t="inlineStr">
        <is>
          <t>Authorized Capital</t>
        </is>
      </c>
      <c r="F2101" t="n">
        <v>720</v>
      </c>
      <c r="G2101" t="inlineStr">
        <is>
          <t>IDR bn</t>
        </is>
      </c>
      <c r="H2101" t="n">
        <v>24</v>
      </c>
      <c r="I2101" t="inlineStr">
        <is>
          <t>Modal Dasar: Rp720.000.000.000</t>
        </is>
      </c>
      <c r="J2101" t="inlineStr">
        <is>
          <t>High</t>
        </is>
      </c>
      <c r="M2101" t="inlineStr">
        <is>
          <t>LLM</t>
        </is>
      </c>
      <c r="N2101" t="inlineStr">
        <is>
          <t>2026-04-18</t>
        </is>
      </c>
      <c r="O2101" t="inlineStr">
        <is>
          <t>AI</t>
        </is>
      </c>
    </row>
    <row r="2102">
      <c r="A2102" t="inlineStr">
        <is>
          <t>PT Indo Pureco Pratama Tbk</t>
        </is>
      </c>
      <c r="B2102" t="inlineStr">
        <is>
          <t>IPPE_2023_AR.pdf</t>
        </is>
      </c>
      <c r="C2102" t="n">
        <v>2023</v>
      </c>
      <c r="D2102" t="inlineStr">
        <is>
          <t>Financial</t>
        </is>
      </c>
      <c r="E2102" t="inlineStr">
        <is>
          <t>Closing Stock Price (Dec 2023)</t>
        </is>
      </c>
      <c r="F2102" t="n">
        <v>50</v>
      </c>
      <c r="G2102" t="inlineStr">
        <is>
          <t>Rp/share</t>
        </is>
      </c>
      <c r="H2102" t="n">
        <v>9</v>
      </c>
      <c r="I2102" t="inlineStr">
        <is>
          <t>Triwulan IV 50 50 50 ... Tahun 2023 148 50 50 (Highest Lowest Closing)</t>
        </is>
      </c>
      <c r="J2102" t="inlineStr">
        <is>
          <t>High</t>
        </is>
      </c>
      <c r="M2102" t="inlineStr">
        <is>
          <t>LLM</t>
        </is>
      </c>
      <c r="N2102" t="inlineStr">
        <is>
          <t>2026-04-18</t>
        </is>
      </c>
      <c r="O2102" t="inlineStr">
        <is>
          <t>AI</t>
        </is>
      </c>
    </row>
    <row r="2103">
      <c r="A2103" t="inlineStr">
        <is>
          <t>PT Indo Pureco Pratama Tbk</t>
        </is>
      </c>
      <c r="B2103" t="inlineStr">
        <is>
          <t>IPPE_2023_AR.pdf</t>
        </is>
      </c>
      <c r="C2103" t="n">
        <v>2023</v>
      </c>
      <c r="D2103" t="inlineStr">
        <is>
          <t>Financial</t>
        </is>
      </c>
      <c r="E2103" t="inlineStr">
        <is>
          <t>Highest Stock Price 2023</t>
        </is>
      </c>
      <c r="F2103" t="n">
        <v>148</v>
      </c>
      <c r="G2103" t="inlineStr">
        <is>
          <t>Rp/share</t>
        </is>
      </c>
      <c r="H2103" t="n">
        <v>9</v>
      </c>
      <c r="I2103" t="inlineStr">
        <is>
          <t>Tahun 2023 148 50 50 (Highest Lowest Closing)</t>
        </is>
      </c>
      <c r="J2103" t="inlineStr">
        <is>
          <t>High</t>
        </is>
      </c>
      <c r="M2103" t="inlineStr">
        <is>
          <t>LLM</t>
        </is>
      </c>
      <c r="N2103" t="inlineStr">
        <is>
          <t>2026-04-18</t>
        </is>
      </c>
      <c r="O2103" t="inlineStr">
        <is>
          <t>AI</t>
        </is>
      </c>
    </row>
    <row r="2104">
      <c r="A2104" t="inlineStr">
        <is>
          <t>PT Indo Pureco Pratama Tbk</t>
        </is>
      </c>
      <c r="B2104" t="inlineStr">
        <is>
          <t>IPPE_2023_AR.pdf</t>
        </is>
      </c>
      <c r="C2104" t="n">
        <v>2023</v>
      </c>
      <c r="D2104" t="inlineStr">
        <is>
          <t>Financial</t>
        </is>
      </c>
      <c r="E2104" t="inlineStr">
        <is>
          <t>Dividend Paid 2023</t>
        </is>
      </c>
      <c r="F2104" t="n">
        <v>0</v>
      </c>
      <c r="G2104" t="inlineStr">
        <is>
          <t>Rp/share</t>
        </is>
      </c>
      <c r="H2104" t="n">
        <v>59</v>
      </c>
      <c r="I2104" t="inlineStr">
        <is>
          <t>Pada tahun 2023, Perseroan memutuskan untuk tidak membagikan dividen dikarenakan laba Perseroan digunakan sebagai cadangan dan tambahan modal kerja</t>
        </is>
      </c>
      <c r="J2104" t="inlineStr">
        <is>
          <t>High</t>
        </is>
      </c>
      <c r="M2104" t="inlineStr">
        <is>
          <t>LLM</t>
        </is>
      </c>
      <c r="N2104" t="inlineStr">
        <is>
          <t>2026-04-18</t>
        </is>
      </c>
      <c r="O2104" t="inlineStr">
        <is>
          <t>AI</t>
        </is>
      </c>
    </row>
    <row r="2105">
      <c r="A2105" t="inlineStr">
        <is>
          <t>PT Indo Pureco Pratama Tbk</t>
        </is>
      </c>
      <c r="B2105" t="inlineStr">
        <is>
          <t>IPPE_2023_AR.pdf</t>
        </is>
      </c>
      <c r="C2105" t="n">
        <v>2023</v>
      </c>
      <c r="D2105" t="inlineStr">
        <is>
          <t>Financial</t>
        </is>
      </c>
      <c r="E2105" t="inlineStr">
        <is>
          <t>Current Ratio</t>
        </is>
      </c>
      <c r="F2105" t="n">
        <v>10.95</v>
      </c>
      <c r="G2105" t="inlineStr">
        <is>
          <t>x</t>
        </is>
      </c>
      <c r="H2105" t="n">
        <v>8</v>
      </c>
      <c r="I2105" t="inlineStr">
        <is>
          <t>Rasio Lancar 1095% 1325% 2011.30%</t>
        </is>
      </c>
      <c r="J2105" t="inlineStr">
        <is>
          <t>High</t>
        </is>
      </c>
      <c r="M2105" t="inlineStr">
        <is>
          <t>LLM</t>
        </is>
      </c>
      <c r="N2105" t="inlineStr">
        <is>
          <t>2026-04-18</t>
        </is>
      </c>
      <c r="O2105" t="inlineStr">
        <is>
          <t>AI</t>
        </is>
      </c>
    </row>
    <row r="2106">
      <c r="A2106" t="inlineStr">
        <is>
          <t>PT Indo Pureco Pratama Tbk</t>
        </is>
      </c>
      <c r="B2106" t="inlineStr">
        <is>
          <t>IPPE_2023_AR.pdf</t>
        </is>
      </c>
      <c r="C2106" t="n">
        <v>2023</v>
      </c>
      <c r="D2106" t="inlineStr">
        <is>
          <t>Financial</t>
        </is>
      </c>
      <c r="E2106" t="inlineStr">
        <is>
          <t>Debt to Equity Ratio</t>
        </is>
      </c>
      <c r="F2106" t="n">
        <v>0.05</v>
      </c>
      <c r="G2106" t="inlineStr">
        <is>
          <t>x</t>
        </is>
      </c>
      <c r="H2106" t="n">
        <v>8</v>
      </c>
      <c r="I2106" t="inlineStr">
        <is>
          <t>Rasio Jumlah Liabilitas terhadap Ekuitas 5% 3% 1.93%</t>
        </is>
      </c>
      <c r="J2106" t="inlineStr">
        <is>
          <t>High</t>
        </is>
      </c>
      <c r="M2106" t="inlineStr">
        <is>
          <t>LLM</t>
        </is>
      </c>
      <c r="N2106" t="inlineStr">
        <is>
          <t>2026-04-18</t>
        </is>
      </c>
      <c r="O2106" t="inlineStr">
        <is>
          <t>AI</t>
        </is>
      </c>
    </row>
    <row r="2107">
      <c r="A2107" t="inlineStr">
        <is>
          <t>PT Indo Pureco Pratama Tbk</t>
        </is>
      </c>
      <c r="B2107" t="inlineStr">
        <is>
          <t>IPPE_2023_AR.pdf</t>
        </is>
      </c>
      <c r="C2107" t="n">
        <v>2023</v>
      </c>
      <c r="D2107" t="inlineStr">
        <is>
          <t>Financial</t>
        </is>
      </c>
      <c r="E2107" t="inlineStr">
        <is>
          <t>Net Profit Margin</t>
        </is>
      </c>
      <c r="F2107" t="n">
        <v>0.108</v>
      </c>
      <c r="G2107" t="inlineStr">
        <is>
          <t>%</t>
        </is>
      </c>
      <c r="H2107" t="n">
        <v>8</v>
      </c>
      <c r="I2107" t="inlineStr">
        <is>
          <t>Marjin Laba Bersih 11% 10% 9.71% (2023 precise: 10.8% per chart p.9)</t>
        </is>
      </c>
      <c r="J2107" t="inlineStr">
        <is>
          <t>High</t>
        </is>
      </c>
      <c r="M2107" t="inlineStr">
        <is>
          <t>LLM</t>
        </is>
      </c>
      <c r="N2107" t="inlineStr">
        <is>
          <t>2026-04-18</t>
        </is>
      </c>
      <c r="O2107" t="inlineStr">
        <is>
          <t>AI</t>
        </is>
      </c>
    </row>
    <row r="2108">
      <c r="A2108" t="inlineStr">
        <is>
          <t>PT Indo Pureco Pratama Tbk</t>
        </is>
      </c>
      <c r="B2108" t="inlineStr">
        <is>
          <t>IPPE_2023_AR.pdf</t>
        </is>
      </c>
      <c r="C2108" t="n">
        <v>2023</v>
      </c>
      <c r="D2108" t="inlineStr">
        <is>
          <t>Financial</t>
        </is>
      </c>
      <c r="E2108" t="inlineStr">
        <is>
          <t>ROA</t>
        </is>
      </c>
      <c r="F2108" t="n">
        <v>0.01</v>
      </c>
      <c r="G2108" t="inlineStr">
        <is>
          <t>%</t>
        </is>
      </c>
      <c r="H2108" t="n">
        <v>8</v>
      </c>
      <c r="I2108" t="inlineStr">
        <is>
          <t>ROA 1% 1% 1.03%</t>
        </is>
      </c>
      <c r="J2108" t="inlineStr">
        <is>
          <t>High</t>
        </is>
      </c>
      <c r="M2108" t="inlineStr">
        <is>
          <t>LLM</t>
        </is>
      </c>
      <c r="N2108" t="inlineStr">
        <is>
          <t>2026-04-18</t>
        </is>
      </c>
      <c r="O2108" t="inlineStr">
        <is>
          <t>AI</t>
        </is>
      </c>
    </row>
    <row r="2109">
      <c r="A2109" t="inlineStr">
        <is>
          <t>PT Indo Pureco Pratama Tbk</t>
        </is>
      </c>
      <c r="B2109" t="inlineStr">
        <is>
          <t>IPPE_2023_AR.pdf</t>
        </is>
      </c>
      <c r="C2109" t="n">
        <v>2023</v>
      </c>
      <c r="D2109" t="inlineStr">
        <is>
          <t>Financial</t>
        </is>
      </c>
      <c r="E2109" t="inlineStr">
        <is>
          <t>ROE</t>
        </is>
      </c>
      <c r="F2109" t="n">
        <v>0.01</v>
      </c>
      <c r="G2109" t="inlineStr">
        <is>
          <t>%</t>
        </is>
      </c>
      <c r="H2109" t="n">
        <v>8</v>
      </c>
      <c r="I2109" t="inlineStr">
        <is>
          <t>ROE 1% 1% 1.05%</t>
        </is>
      </c>
      <c r="J2109" t="inlineStr">
        <is>
          <t>High</t>
        </is>
      </c>
      <c r="M2109" t="inlineStr">
        <is>
          <t>LLM</t>
        </is>
      </c>
      <c r="N2109" t="inlineStr">
        <is>
          <t>2026-04-18</t>
        </is>
      </c>
      <c r="O2109" t="inlineStr">
        <is>
          <t>AI</t>
        </is>
      </c>
    </row>
    <row r="2110">
      <c r="A2110" t="inlineStr">
        <is>
          <t>PT Indo Pureco Pratama Tbk</t>
        </is>
      </c>
      <c r="B2110" t="inlineStr">
        <is>
          <t>IPPE_2023_AR.pdf</t>
        </is>
      </c>
      <c r="C2110" t="n">
        <v>2023</v>
      </c>
      <c r="D2110" t="inlineStr">
        <is>
          <t>Financial</t>
        </is>
      </c>
      <c r="E2110" t="inlineStr">
        <is>
          <t>Interest Expense (Bank Loan)</t>
        </is>
      </c>
      <c r="F2110" t="n">
        <v>0.28</v>
      </c>
      <c r="G2110" t="inlineStr">
        <is>
          <t>IDR bn</t>
        </is>
      </c>
      <c r="H2110" t="n">
        <v>152</v>
      </c>
      <c r="I2110" t="inlineStr">
        <is>
          <t>Bunga pinjaman bank (279.463) (218.376)</t>
        </is>
      </c>
      <c r="J2110" t="inlineStr">
        <is>
          <t>High</t>
        </is>
      </c>
      <c r="M2110" t="inlineStr">
        <is>
          <t>LLM</t>
        </is>
      </c>
      <c r="N2110" t="inlineStr">
        <is>
          <t>2026-04-18</t>
        </is>
      </c>
      <c r="O2110" t="inlineStr">
        <is>
          <t>AI</t>
        </is>
      </c>
    </row>
    <row r="2111">
      <c r="A2111" t="inlineStr">
        <is>
          <t>PT Indo Pureco Pratama Tbk</t>
        </is>
      </c>
      <c r="B2111" t="inlineStr">
        <is>
          <t>IPPE_2023_AR.pdf</t>
        </is>
      </c>
      <c r="C2111" t="n">
        <v>2023</v>
      </c>
      <c r="D2111" t="inlineStr">
        <is>
          <t>Financial</t>
        </is>
      </c>
      <c r="E2111" t="inlineStr">
        <is>
          <t>Depreciation (total)</t>
        </is>
      </c>
      <c r="F2111" t="n">
        <v>1.72</v>
      </c>
      <c r="G2111" t="inlineStr">
        <is>
          <t>IDR bn</t>
        </is>
      </c>
      <c r="H2111" t="n">
        <v>151</v>
      </c>
      <c r="I2111" t="inlineStr">
        <is>
          <t>COGS depreciation 1.577.680 + G&amp;A depreciation 138.804 = 1.716.484 thousand = 1.72 bn</t>
        </is>
      </c>
      <c r="J2111" t="inlineStr">
        <is>
          <t>High</t>
        </is>
      </c>
      <c r="M2111" t="inlineStr">
        <is>
          <t>LLM</t>
        </is>
      </c>
      <c r="N2111" t="inlineStr">
        <is>
          <t>2026-04-18</t>
        </is>
      </c>
      <c r="O2111" t="inlineStr">
        <is>
          <t>AI</t>
        </is>
      </c>
    </row>
    <row r="2112">
      <c r="A2112" t="inlineStr">
        <is>
          <t>PT Indo Pureco Pratama Tbk</t>
        </is>
      </c>
      <c r="B2112" t="inlineStr">
        <is>
          <t>IPPE_2023_AR.pdf</t>
        </is>
      </c>
      <c r="C2112" t="n">
        <v>2023</v>
      </c>
      <c r="D2112" t="inlineStr">
        <is>
          <t>Financial</t>
        </is>
      </c>
      <c r="E2112" t="inlineStr">
        <is>
          <t>Raw Material Purchases</t>
        </is>
      </c>
      <c r="F2112" t="n">
        <v>24.87</v>
      </c>
      <c r="G2112" t="inlineStr">
        <is>
          <t>IDR bn</t>
        </is>
      </c>
      <c r="H2112" t="n">
        <v>151</v>
      </c>
      <c r="I2112" t="inlineStr">
        <is>
          <t>Pembelian bahan baku 24.873.413 17.686.014</t>
        </is>
      </c>
      <c r="J2112" t="inlineStr">
        <is>
          <t>High</t>
        </is>
      </c>
      <c r="M2112" t="inlineStr">
        <is>
          <t>LLM</t>
        </is>
      </c>
      <c r="N2112" t="inlineStr">
        <is>
          <t>2026-04-18</t>
        </is>
      </c>
      <c r="O2112" t="inlineStr">
        <is>
          <t>AI</t>
        </is>
      </c>
    </row>
    <row r="2113">
      <c r="A2113" t="inlineStr">
        <is>
          <t>PT Indo Pureco Pratama Tbk</t>
        </is>
      </c>
      <c r="B2113" t="inlineStr">
        <is>
          <t>IPPE_2023_AR.pdf</t>
        </is>
      </c>
      <c r="C2113" t="n">
        <v>2023</v>
      </c>
      <c r="D2113" t="inlineStr">
        <is>
          <t>Financial</t>
        </is>
      </c>
      <c r="E2113" t="inlineStr">
        <is>
          <t>Direct Labour Cost</t>
        </is>
      </c>
      <c r="F2113" t="n">
        <v>1.52</v>
      </c>
      <c r="G2113" t="inlineStr">
        <is>
          <t>IDR bn</t>
        </is>
      </c>
      <c r="H2113" t="n">
        <v>152</v>
      </c>
      <c r="I2113" t="inlineStr">
        <is>
          <t>Biaya tenaga kerja langsung 1.515.207 311.333</t>
        </is>
      </c>
      <c r="J2113" t="inlineStr">
        <is>
          <t>High</t>
        </is>
      </c>
      <c r="M2113" t="inlineStr">
        <is>
          <t>LLM</t>
        </is>
      </c>
      <c r="N2113" t="inlineStr">
        <is>
          <t>2026-04-18</t>
        </is>
      </c>
      <c r="O2113" t="inlineStr">
        <is>
          <t>AI</t>
        </is>
      </c>
    </row>
    <row r="2114">
      <c r="A2114" t="inlineStr">
        <is>
          <t>PT Indo Pureco Pratama Tbk</t>
        </is>
      </c>
      <c r="B2114" t="inlineStr">
        <is>
          <t>IPPE_2023_AR.pdf</t>
        </is>
      </c>
      <c r="C2114" t="n">
        <v>2023</v>
      </c>
      <c r="D2114" t="inlineStr">
        <is>
          <t>Operation</t>
        </is>
      </c>
      <c r="E2114" t="inlineStr">
        <is>
          <t>Factory Count</t>
        </is>
      </c>
      <c r="F2114" t="n">
        <v>1</v>
      </c>
      <c r="G2114" t="inlineStr">
        <is>
          <t>count</t>
        </is>
      </c>
      <c r="H2114" t="n">
        <v>112</v>
      </c>
      <c r="I2114" t="inlineStr">
        <is>
          <t>Perusahaan mempunyai pabrik pengolahan daging buah kelapa yang berlokasi di Balingbing, Subang</t>
        </is>
      </c>
      <c r="J2114" t="inlineStr">
        <is>
          <t>High</t>
        </is>
      </c>
      <c r="M2114" t="inlineStr">
        <is>
          <t>LLM</t>
        </is>
      </c>
      <c r="N2114" t="inlineStr">
        <is>
          <t>2026-04-18</t>
        </is>
      </c>
      <c r="O2114" t="inlineStr">
        <is>
          <t>AI</t>
        </is>
      </c>
    </row>
    <row r="2115">
      <c r="A2115" t="inlineStr">
        <is>
          <t>PT Indo Pureco Pratama Tbk</t>
        </is>
      </c>
      <c r="B2115" t="inlineStr">
        <is>
          <t>IPPE_2023_AR.pdf</t>
        </is>
      </c>
      <c r="C2115" t="n">
        <v>2023</v>
      </c>
      <c r="D2115" t="inlineStr">
        <is>
          <t>Operation</t>
        </is>
      </c>
      <c r="E2115" t="inlineStr">
        <is>
          <t>Business Segment</t>
        </is>
      </c>
      <c r="F2115" t="inlineStr">
        <is>
          <t>Single segment - coconut oil</t>
        </is>
      </c>
      <c r="G2115" t="inlineStr">
        <is>
          <t>text</t>
        </is>
      </c>
      <c r="H2115" t="n">
        <v>154</v>
      </c>
      <c r="I2115" t="inlineStr">
        <is>
          <t>Pada dasarnya Grup bergerak dalam satu segmen operasi yaitu usaha minyak kelapa</t>
        </is>
      </c>
      <c r="J2115" t="inlineStr">
        <is>
          <t>High</t>
        </is>
      </c>
      <c r="M2115" t="inlineStr">
        <is>
          <t>LLM</t>
        </is>
      </c>
      <c r="N2115" t="inlineStr">
        <is>
          <t>2026-04-18</t>
        </is>
      </c>
      <c r="O2115" t="inlineStr">
        <is>
          <t>AI</t>
        </is>
      </c>
    </row>
    <row r="2116">
      <c r="A2116" t="inlineStr">
        <is>
          <t>PT Indo Pureco Pratama Tbk</t>
        </is>
      </c>
      <c r="B2116" t="inlineStr">
        <is>
          <t>IPPE_2023_AR.pdf</t>
        </is>
      </c>
      <c r="C2116" t="n">
        <v>2023</v>
      </c>
      <c r="D2116" t="inlineStr">
        <is>
          <t>Operation</t>
        </is>
      </c>
      <c r="E2116" t="inlineStr">
        <is>
          <t>Revenue - Crude Coconut Oil (CCO)</t>
        </is>
      </c>
      <c r="F2116" t="n">
        <v>30.75</v>
      </c>
      <c r="G2116" t="inlineStr">
        <is>
          <t>IDR bn</t>
        </is>
      </c>
      <c r="H2116" t="n">
        <v>154</v>
      </c>
      <c r="I2116" t="inlineStr">
        <is>
          <t>Minyak kelapa mentah 30.754.871 30.254.871</t>
        </is>
      </c>
      <c r="J2116" t="inlineStr">
        <is>
          <t>High</t>
        </is>
      </c>
      <c r="M2116" t="inlineStr">
        <is>
          <t>LLM</t>
        </is>
      </c>
      <c r="N2116" t="inlineStr">
        <is>
          <t>2026-04-18</t>
        </is>
      </c>
      <c r="O2116" t="inlineStr">
        <is>
          <t>AI</t>
        </is>
      </c>
    </row>
    <row r="2117">
      <c r="A2117" t="inlineStr">
        <is>
          <t>PT Indo Pureco Pratama Tbk</t>
        </is>
      </c>
      <c r="B2117" t="inlineStr">
        <is>
          <t>IPPE_2023_AR.pdf</t>
        </is>
      </c>
      <c r="C2117" t="n">
        <v>2023</v>
      </c>
      <c r="D2117" t="inlineStr">
        <is>
          <t>Operation</t>
        </is>
      </c>
      <c r="E2117" t="inlineStr">
        <is>
          <t>Revenue - Copra Meal (Bungkil Kelapa)</t>
        </is>
      </c>
      <c r="F2117" t="n">
        <v>4.98</v>
      </c>
      <c r="G2117" t="inlineStr">
        <is>
          <t>IDR bn</t>
        </is>
      </c>
      <c r="H2117" t="n">
        <v>154</v>
      </c>
      <c r="I2117" t="inlineStr">
        <is>
          <t>Bungkil kelapa 4.975.404 4.765.404</t>
        </is>
      </c>
      <c r="J2117" t="inlineStr">
        <is>
          <t>High</t>
        </is>
      </c>
      <c r="M2117" t="inlineStr">
        <is>
          <t>LLM</t>
        </is>
      </c>
      <c r="N2117" t="inlineStr">
        <is>
          <t>2026-04-18</t>
        </is>
      </c>
      <c r="O2117" t="inlineStr">
        <is>
          <t>AI</t>
        </is>
      </c>
    </row>
    <row r="2118">
      <c r="A2118" t="inlineStr">
        <is>
          <t>PT Indo Pureco Pratama Tbk</t>
        </is>
      </c>
      <c r="B2118" t="inlineStr">
        <is>
          <t>IPPE_2023_AR.pdf</t>
        </is>
      </c>
      <c r="C2118" t="n">
        <v>2023</v>
      </c>
      <c r="D2118" t="inlineStr">
        <is>
          <t>Operation</t>
        </is>
      </c>
      <c r="E2118" t="inlineStr">
        <is>
          <t>CCO Sales Share</t>
        </is>
      </c>
      <c r="F2118" t="n">
        <v>0.8608</v>
      </c>
      <c r="G2118" t="inlineStr">
        <is>
          <t>%</t>
        </is>
      </c>
      <c r="H2118" t="n">
        <v>53</v>
      </c>
      <c r="I2118" t="inlineStr">
        <is>
          <t>Minyak Kelapa Mentah ... 86,08% dan 86,39% dari penjualan Perseroan di tahun 2023 dan 2022</t>
        </is>
      </c>
      <c r="J2118" t="inlineStr">
        <is>
          <t>High</t>
        </is>
      </c>
      <c r="M2118" t="inlineStr">
        <is>
          <t>LLM</t>
        </is>
      </c>
      <c r="N2118" t="inlineStr">
        <is>
          <t>2026-04-18</t>
        </is>
      </c>
      <c r="O2118" t="inlineStr">
        <is>
          <t>AI</t>
        </is>
      </c>
    </row>
    <row r="2119">
      <c r="A2119" t="inlineStr">
        <is>
          <t>PT Indo Pureco Pratama Tbk</t>
        </is>
      </c>
      <c r="B2119" t="inlineStr">
        <is>
          <t>IPPE_2023_AR.pdf</t>
        </is>
      </c>
      <c r="C2119" t="n">
        <v>2023</v>
      </c>
      <c r="D2119" t="inlineStr">
        <is>
          <t>Operation</t>
        </is>
      </c>
      <c r="E2119" t="inlineStr">
        <is>
          <t>Copra Meal Sales Share</t>
        </is>
      </c>
      <c r="F2119" t="n">
        <v>0.1392</v>
      </c>
      <c r="G2119" t="inlineStr">
        <is>
          <t>%</t>
        </is>
      </c>
      <c r="H2119" t="n">
        <v>53</v>
      </c>
      <c r="I2119" t="inlineStr">
        <is>
          <t>Bungkil Kelapa ... 13,92% dan 13,61% dari penjualan Perseroan</t>
        </is>
      </c>
      <c r="J2119" t="inlineStr">
        <is>
          <t>High</t>
        </is>
      </c>
      <c r="M2119" t="inlineStr">
        <is>
          <t>LLM</t>
        </is>
      </c>
      <c r="N2119" t="inlineStr">
        <is>
          <t>2026-04-18</t>
        </is>
      </c>
      <c r="O2119" t="inlineStr">
        <is>
          <t>AI</t>
        </is>
      </c>
    </row>
    <row r="2120">
      <c r="A2120" t="inlineStr">
        <is>
          <t>PT Indo Pureco Pratama Tbk</t>
        </is>
      </c>
      <c r="B2120" t="inlineStr">
        <is>
          <t>IPPE_2023_AR.pdf</t>
        </is>
      </c>
      <c r="C2120" t="n">
        <v>2023</v>
      </c>
      <c r="D2120" t="inlineStr">
        <is>
          <t>Operation</t>
        </is>
      </c>
      <c r="E2120" t="inlineStr">
        <is>
          <t>Sales by Region - Jakarta</t>
        </is>
      </c>
      <c r="F2120" t="n">
        <v>20.42</v>
      </c>
      <c r="G2120" t="inlineStr">
        <is>
          <t>IDR bn</t>
        </is>
      </c>
      <c r="H2120" t="n">
        <v>154</v>
      </c>
      <c r="I2120" t="inlineStr">
        <is>
          <t>Jakarta 20.418.184 28.246.059</t>
        </is>
      </c>
      <c r="J2120" t="inlineStr">
        <is>
          <t>High</t>
        </is>
      </c>
      <c r="M2120" t="inlineStr">
        <is>
          <t>LLM</t>
        </is>
      </c>
      <c r="N2120" t="inlineStr">
        <is>
          <t>2026-04-18</t>
        </is>
      </c>
      <c r="O2120" t="inlineStr">
        <is>
          <t>AI</t>
        </is>
      </c>
    </row>
    <row r="2121">
      <c r="A2121" t="inlineStr">
        <is>
          <t>PT Indo Pureco Pratama Tbk</t>
        </is>
      </c>
      <c r="B2121" t="inlineStr">
        <is>
          <t>IPPE_2023_AR.pdf</t>
        </is>
      </c>
      <c r="C2121" t="n">
        <v>2023</v>
      </c>
      <c r="D2121" t="inlineStr">
        <is>
          <t>Operation</t>
        </is>
      </c>
      <c r="E2121" t="inlineStr">
        <is>
          <t>Sales by Region - Subang</t>
        </is>
      </c>
      <c r="F2121" t="n">
        <v>2.07</v>
      </c>
      <c r="G2121" t="inlineStr">
        <is>
          <t>IDR bn</t>
        </is>
      </c>
      <c r="H2121" t="n">
        <v>154</v>
      </c>
      <c r="I2121" t="inlineStr">
        <is>
          <t>Subang 2.074.643 2.130.144</t>
        </is>
      </c>
      <c r="J2121" t="inlineStr">
        <is>
          <t>High</t>
        </is>
      </c>
      <c r="M2121" t="inlineStr">
        <is>
          <t>LLM</t>
        </is>
      </c>
      <c r="N2121" t="inlineStr">
        <is>
          <t>2026-04-18</t>
        </is>
      </c>
      <c r="O2121" t="inlineStr">
        <is>
          <t>AI</t>
        </is>
      </c>
    </row>
    <row r="2122">
      <c r="A2122" t="inlineStr">
        <is>
          <t>PT Indo Pureco Pratama Tbk</t>
        </is>
      </c>
      <c r="B2122" t="inlineStr">
        <is>
          <t>IPPE_2023_AR.pdf</t>
        </is>
      </c>
      <c r="C2122" t="n">
        <v>2023</v>
      </c>
      <c r="D2122" t="inlineStr">
        <is>
          <t>Operation</t>
        </is>
      </c>
      <c r="E2122" t="inlineStr">
        <is>
          <t>Sales by Region - Bekasi</t>
        </is>
      </c>
      <c r="F2122" t="n">
        <v>4.41</v>
      </c>
      <c r="G2122" t="inlineStr">
        <is>
          <t>IDR bn</t>
        </is>
      </c>
      <c r="H2122" t="n">
        <v>154</v>
      </c>
      <c r="I2122" t="inlineStr">
        <is>
          <t>Bekasi 4.408.615 2.959.146</t>
        </is>
      </c>
      <c r="J2122" t="inlineStr">
        <is>
          <t>High</t>
        </is>
      </c>
      <c r="M2122" t="inlineStr">
        <is>
          <t>LLM</t>
        </is>
      </c>
      <c r="N2122" t="inlineStr">
        <is>
          <t>2026-04-18</t>
        </is>
      </c>
      <c r="O2122" t="inlineStr">
        <is>
          <t>AI</t>
        </is>
      </c>
    </row>
    <row r="2123">
      <c r="A2123" t="inlineStr">
        <is>
          <t>PT Indo Pureco Pratama Tbk</t>
        </is>
      </c>
      <c r="B2123" t="inlineStr">
        <is>
          <t>IPPE_2023_AR.pdf</t>
        </is>
      </c>
      <c r="C2123" t="n">
        <v>2023</v>
      </c>
      <c r="D2123" t="inlineStr">
        <is>
          <t>Operation</t>
        </is>
      </c>
      <c r="E2123" t="inlineStr">
        <is>
          <t>Sales by Region - Central Java</t>
        </is>
      </c>
      <c r="F2123" t="n">
        <v>6.24</v>
      </c>
      <c r="G2123" t="inlineStr">
        <is>
          <t>IDR bn</t>
        </is>
      </c>
      <c r="H2123" t="n">
        <v>154</v>
      </c>
      <c r="I2123" t="inlineStr">
        <is>
          <t>Jawa Tengah 6.235.530 -</t>
        </is>
      </c>
      <c r="J2123" t="inlineStr">
        <is>
          <t>High</t>
        </is>
      </c>
      <c r="M2123" t="inlineStr">
        <is>
          <t>LLM</t>
        </is>
      </c>
      <c r="N2123" t="inlineStr">
        <is>
          <t>2026-04-18</t>
        </is>
      </c>
      <c r="O2123" t="inlineStr">
        <is>
          <t>AI</t>
        </is>
      </c>
    </row>
    <row r="2124">
      <c r="A2124" t="inlineStr">
        <is>
          <t>PT Indo Pureco Pratama Tbk</t>
        </is>
      </c>
      <c r="B2124" t="inlineStr">
        <is>
          <t>IPPE_2023_AR.pdf</t>
        </is>
      </c>
      <c r="C2124" t="n">
        <v>2023</v>
      </c>
      <c r="D2124" t="inlineStr">
        <is>
          <t>Operation</t>
        </is>
      </c>
      <c r="E2124" t="inlineStr">
        <is>
          <t>Sales by Region - Tangerang</t>
        </is>
      </c>
      <c r="F2124" t="n">
        <v>2.59</v>
      </c>
      <c r="G2124" t="inlineStr">
        <is>
          <t>IDR bn</t>
        </is>
      </c>
      <c r="H2124" t="n">
        <v>154</v>
      </c>
      <c r="I2124" t="inlineStr">
        <is>
          <t>Tangerang 2.593.303 1.684.926</t>
        </is>
      </c>
      <c r="J2124" t="inlineStr">
        <is>
          <t>High</t>
        </is>
      </c>
      <c r="M2124" t="inlineStr">
        <is>
          <t>LLM</t>
        </is>
      </c>
      <c r="N2124" t="inlineStr">
        <is>
          <t>2026-04-18</t>
        </is>
      </c>
      <c r="O2124" t="inlineStr">
        <is>
          <t>AI</t>
        </is>
      </c>
    </row>
    <row r="2125">
      <c r="A2125" t="inlineStr">
        <is>
          <t>PT Indo Pureco Pratama Tbk</t>
        </is>
      </c>
      <c r="B2125" t="inlineStr">
        <is>
          <t>IPPE_2023_AR.pdf</t>
        </is>
      </c>
      <c r="C2125" t="n">
        <v>2023</v>
      </c>
      <c r="D2125" t="inlineStr">
        <is>
          <t>Operation</t>
        </is>
      </c>
      <c r="E2125" t="inlineStr">
        <is>
          <t>Domestic Sales Proportion</t>
        </is>
      </c>
      <c r="F2125" t="n">
        <v>1</v>
      </c>
      <c r="G2125" t="inlineStr">
        <is>
          <t>%</t>
        </is>
      </c>
      <c r="H2125" t="n">
        <v>154</v>
      </c>
      <c r="I2125" t="inlineStr">
        <is>
          <t>All sales regions are domestic (Jakarta, Subang, Bekasi, Jawa Tengah, Tangerang); no export sales disclosed</t>
        </is>
      </c>
      <c r="J2125" t="inlineStr">
        <is>
          <t>Medium</t>
        </is>
      </c>
      <c r="M2125" t="inlineStr">
        <is>
          <t>LLM</t>
        </is>
      </c>
      <c r="N2125" t="inlineStr">
        <is>
          <t>2026-04-18</t>
        </is>
      </c>
      <c r="O2125" t="inlineStr">
        <is>
          <t>AI</t>
        </is>
      </c>
    </row>
    <row r="2126">
      <c r="A2126" t="inlineStr">
        <is>
          <t>PT Indo Pureco Pratama Tbk</t>
        </is>
      </c>
      <c r="B2126" t="inlineStr">
        <is>
          <t>IPPE_2023_AR.pdf</t>
        </is>
      </c>
      <c r="C2126" t="n">
        <v>2023</v>
      </c>
      <c r="D2126" t="inlineStr">
        <is>
          <t>Operation</t>
        </is>
      </c>
      <c r="E2126" t="inlineStr">
        <is>
          <t>Raw Material Sourcing Regions</t>
        </is>
      </c>
      <c r="F2126" t="inlineStr">
        <is>
          <t>Riau, Palembang, Jambi, Tangerang (Banten), Jabodetabek, Subang, Tasikmalaya, Banyumas</t>
        </is>
      </c>
      <c r="G2126" t="inlineStr">
        <is>
          <t>text</t>
        </is>
      </c>
      <c r="H2126" t="n">
        <v>48</v>
      </c>
      <c r="I2126" t="inlineStr">
        <is>
          <t>Wilayah operasional: Pembelian Bahan Baku 1.Riau 2.Palembang 3.Jambi 4.Banten/Tangerang 5.Jabodetabek 6.Subang 7.Tasikmalaya 8.Banyumas</t>
        </is>
      </c>
      <c r="J2126" t="inlineStr">
        <is>
          <t>High</t>
        </is>
      </c>
      <c r="M2126" t="inlineStr">
        <is>
          <t>LLM</t>
        </is>
      </c>
      <c r="N2126" t="inlineStr">
        <is>
          <t>2026-04-18</t>
        </is>
      </c>
      <c r="O2126" t="inlineStr">
        <is>
          <t>AI</t>
        </is>
      </c>
    </row>
    <row r="2127">
      <c r="A2127" t="inlineStr">
        <is>
          <t>PT Indo Pureco Pratama Tbk</t>
        </is>
      </c>
      <c r="B2127" t="inlineStr">
        <is>
          <t>IPPE_2023_AR.pdf</t>
        </is>
      </c>
      <c r="C2127" t="n">
        <v>2023</v>
      </c>
      <c r="D2127" t="inlineStr">
        <is>
          <t>Operation</t>
        </is>
      </c>
      <c r="E2127" t="inlineStr">
        <is>
          <t>Marketing Areas</t>
        </is>
      </c>
      <c r="F2127" t="inlineStr">
        <is>
          <t>Jakarta, Bekasi, Subang, Central Java, Tangerang (all domestic, Java)</t>
        </is>
      </c>
      <c r="G2127" t="inlineStr">
        <is>
          <t>text</t>
        </is>
      </c>
      <c r="H2127" t="n">
        <v>48</v>
      </c>
      <c r="I2127" t="inlineStr">
        <is>
          <t>Jaringan Penjualan: Jakarta, Bekasi, Subang, Sragen, Karanganyar</t>
        </is>
      </c>
      <c r="J2127" t="inlineStr">
        <is>
          <t>High</t>
        </is>
      </c>
      <c r="M2127" t="inlineStr">
        <is>
          <t>LLM</t>
        </is>
      </c>
      <c r="N2127" t="inlineStr">
        <is>
          <t>2026-04-18</t>
        </is>
      </c>
      <c r="O2127" t="inlineStr">
        <is>
          <t>AI</t>
        </is>
      </c>
    </row>
    <row r="2128">
      <c r="A2128" t="inlineStr">
        <is>
          <t>PT Indo Pureco Pratama Tbk</t>
        </is>
      </c>
      <c r="B2128" t="inlineStr">
        <is>
          <t>IPPE_2023_AR.pdf</t>
        </is>
      </c>
      <c r="C2128" t="n">
        <v>2023</v>
      </c>
      <c r="D2128" t="inlineStr">
        <is>
          <t>Operation</t>
        </is>
      </c>
      <c r="E2128" t="inlineStr">
        <is>
          <t>Top Customer - PT Wahana Citra Nabati</t>
        </is>
      </c>
      <c r="F2128" t="n">
        <v>8.800000000000001</v>
      </c>
      <c r="G2128" t="inlineStr">
        <is>
          <t>IDR bn</t>
        </is>
      </c>
      <c r="H2128" t="n">
        <v>151</v>
      </c>
      <c r="I2128" t="inlineStr">
        <is>
          <t>PT Wahana Citra Nabati 8.796.430 -</t>
        </is>
      </c>
      <c r="J2128" t="inlineStr">
        <is>
          <t>High</t>
        </is>
      </c>
      <c r="M2128" t="inlineStr">
        <is>
          <t>LLM</t>
        </is>
      </c>
      <c r="N2128" t="inlineStr">
        <is>
          <t>2026-04-18</t>
        </is>
      </c>
      <c r="O2128" t="inlineStr">
        <is>
          <t>AI</t>
        </is>
      </c>
    </row>
    <row r="2129">
      <c r="A2129" t="inlineStr">
        <is>
          <t>PT Indo Pureco Pratama Tbk</t>
        </is>
      </c>
      <c r="B2129" t="inlineStr">
        <is>
          <t>IPPE_2023_AR.pdf</t>
        </is>
      </c>
      <c r="C2129" t="n">
        <v>2023</v>
      </c>
      <c r="D2129" t="inlineStr">
        <is>
          <t>Operation</t>
        </is>
      </c>
      <c r="E2129" t="inlineStr">
        <is>
          <t>Top Customer - PT Abimanyu Agri Bersama</t>
        </is>
      </c>
      <c r="F2129" t="n">
        <v>6.75</v>
      </c>
      <c r="G2129" t="inlineStr">
        <is>
          <t>IDR bn</t>
        </is>
      </c>
      <c r="H2129" t="n">
        <v>151</v>
      </c>
      <c r="I2129" t="inlineStr">
        <is>
          <t>PT Abimanyu Agri Bersama 6.745.662 1.286.354</t>
        </is>
      </c>
      <c r="J2129" t="inlineStr">
        <is>
          <t>High</t>
        </is>
      </c>
      <c r="M2129" t="inlineStr">
        <is>
          <t>LLM</t>
        </is>
      </c>
      <c r="N2129" t="inlineStr">
        <is>
          <t>2026-04-18</t>
        </is>
      </c>
      <c r="O2129" t="inlineStr">
        <is>
          <t>AI</t>
        </is>
      </c>
    </row>
    <row r="2130">
      <c r="A2130" t="inlineStr">
        <is>
          <t>PT Indo Pureco Pratama Tbk</t>
        </is>
      </c>
      <c r="B2130" t="inlineStr">
        <is>
          <t>IPPE_2023_AR.pdf</t>
        </is>
      </c>
      <c r="C2130" t="n">
        <v>2023</v>
      </c>
      <c r="D2130" t="inlineStr">
        <is>
          <t>Operation</t>
        </is>
      </c>
      <c r="E2130" t="inlineStr">
        <is>
          <t>Top Customer - PT Kusuma Mukti Remaja</t>
        </is>
      </c>
      <c r="F2130" t="n">
        <v>6.24</v>
      </c>
      <c r="G2130" t="inlineStr">
        <is>
          <t>IDR bn</t>
        </is>
      </c>
      <c r="H2130" t="n">
        <v>151</v>
      </c>
      <c r="I2130" t="inlineStr">
        <is>
          <t>PT Kusuma Mukti Remaja 6.235.530 1.672.792</t>
        </is>
      </c>
      <c r="J2130" t="inlineStr">
        <is>
          <t>High</t>
        </is>
      </c>
      <c r="M2130" t="inlineStr">
        <is>
          <t>LLM</t>
        </is>
      </c>
      <c r="N2130" t="inlineStr">
        <is>
          <t>2026-04-18</t>
        </is>
      </c>
      <c r="O2130" t="inlineStr">
        <is>
          <t>AI</t>
        </is>
      </c>
    </row>
    <row r="2131">
      <c r="A2131" t="inlineStr">
        <is>
          <t>PT Indo Pureco Pratama Tbk</t>
        </is>
      </c>
      <c r="B2131" t="inlineStr">
        <is>
          <t>IPPE_2023_AR.pdf</t>
        </is>
      </c>
      <c r="C2131" t="n">
        <v>2023</v>
      </c>
      <c r="D2131" t="inlineStr">
        <is>
          <t>Operation</t>
        </is>
      </c>
      <c r="E2131" t="inlineStr">
        <is>
          <t>Top Customer - PT Asianagro Agung Jaya</t>
        </is>
      </c>
      <c r="F2131" t="n">
        <v>4.96</v>
      </c>
      <c r="G2131" t="inlineStr">
        <is>
          <t>IDR bn</t>
        </is>
      </c>
      <c r="H2131" t="n">
        <v>151</v>
      </c>
      <c r="I2131" t="inlineStr">
        <is>
          <t>PT Asianagro Agung Jaya 4.959.540 22.123.665</t>
        </is>
      </c>
      <c r="J2131" t="inlineStr">
        <is>
          <t>High</t>
        </is>
      </c>
      <c r="M2131" t="inlineStr">
        <is>
          <t>LLM</t>
        </is>
      </c>
      <c r="N2131" t="inlineStr">
        <is>
          <t>2026-04-18</t>
        </is>
      </c>
      <c r="O2131" t="inlineStr">
        <is>
          <t>AI</t>
        </is>
      </c>
    </row>
    <row r="2132">
      <c r="A2132" t="inlineStr">
        <is>
          <t>PT Indo Pureco Pratama Tbk</t>
        </is>
      </c>
      <c r="B2132" t="inlineStr">
        <is>
          <t>IPPE_2023_AR.pdf</t>
        </is>
      </c>
      <c r="C2132" t="n">
        <v>2023</v>
      </c>
      <c r="D2132" t="inlineStr">
        <is>
          <t>Operation</t>
        </is>
      </c>
      <c r="E2132" t="inlineStr">
        <is>
          <t>Top Customer - PT Coco Mulia Mandiri</t>
        </is>
      </c>
      <c r="F2132" t="n">
        <v>4.49</v>
      </c>
      <c r="G2132" t="inlineStr">
        <is>
          <t>IDR bn</t>
        </is>
      </c>
      <c r="H2132" t="n">
        <v>151</v>
      </c>
      <c r="I2132" t="inlineStr">
        <is>
          <t>PT Coco Mulia Mandiri 4.494.372 1.413.711</t>
        </is>
      </c>
      <c r="J2132" t="inlineStr">
        <is>
          <t>High</t>
        </is>
      </c>
      <c r="M2132" t="inlineStr">
        <is>
          <t>LLM</t>
        </is>
      </c>
      <c r="N2132" t="inlineStr">
        <is>
          <t>2026-04-18</t>
        </is>
      </c>
      <c r="O2132" t="inlineStr">
        <is>
          <t>AI</t>
        </is>
      </c>
    </row>
    <row r="2133">
      <c r="A2133" t="inlineStr">
        <is>
          <t>PT Indo Pureco Pratama Tbk</t>
        </is>
      </c>
      <c r="B2133" t="inlineStr">
        <is>
          <t>IPPE_2023_AR.pdf</t>
        </is>
      </c>
      <c r="C2133" t="n">
        <v>2023</v>
      </c>
      <c r="D2133" t="inlineStr">
        <is>
          <t>Operation</t>
        </is>
      </c>
      <c r="E2133" t="inlineStr">
        <is>
          <t>Raw Material</t>
        </is>
      </c>
      <c r="F2133" t="inlineStr">
        <is>
          <t>Copra (dried coconut meat) / fresh coconut flesh</t>
        </is>
      </c>
      <c r="G2133" t="inlineStr">
        <is>
          <t>text</t>
        </is>
      </c>
      <c r="H2133" t="n">
        <v>14</v>
      </c>
      <c r="I2133" t="inlineStr">
        <is>
          <t>Adapun bahan baku tersebut merupakan bahan baku kopra yang diminati untuk memenuhi kebutuhan berbagai industri di Indonesia</t>
        </is>
      </c>
      <c r="J2133" t="inlineStr">
        <is>
          <t>High</t>
        </is>
      </c>
      <c r="M2133" t="inlineStr">
        <is>
          <t>LLM</t>
        </is>
      </c>
      <c r="N2133" t="inlineStr">
        <is>
          <t>2026-04-18</t>
        </is>
      </c>
      <c r="O2133" t="inlineStr">
        <is>
          <t>AI</t>
        </is>
      </c>
    </row>
    <row r="2134">
      <c r="A2134" t="inlineStr">
        <is>
          <t>PT Indo Pureco Pratama Tbk</t>
        </is>
      </c>
      <c r="B2134" t="inlineStr">
        <is>
          <t>IPPE_2023_AR.pdf</t>
        </is>
      </c>
      <c r="C2134" t="n">
        <v>2023</v>
      </c>
      <c r="D2134" t="inlineStr">
        <is>
          <t>Operation</t>
        </is>
      </c>
      <c r="E2134" t="inlineStr">
        <is>
          <t>Products</t>
        </is>
      </c>
      <c r="F2134" t="inlineStr">
        <is>
          <t>CCO (Crude Coconut Oil), PCO (Pure Cooking Oil), VCO (Virgin Coconut Oil), Copra Meal (Bungkil Kelapa)</t>
        </is>
      </c>
      <c r="G2134" t="inlineStr">
        <is>
          <t>text</t>
        </is>
      </c>
      <c r="H2134" t="n">
        <v>29</v>
      </c>
      <c r="I2134" t="inlineStr">
        <is>
          <t>Products and Services: Crude Coconut Oil (CCO), Pure Cooking Oil (PCO), Virgin Coconut Oil (VCO), Copra Meal (CM)</t>
        </is>
      </c>
      <c r="J2134" t="inlineStr">
        <is>
          <t>High</t>
        </is>
      </c>
      <c r="M2134" t="inlineStr">
        <is>
          <t>LLM</t>
        </is>
      </c>
      <c r="N2134" t="inlineStr">
        <is>
          <t>2026-04-18</t>
        </is>
      </c>
      <c r="O2134" t="inlineStr">
        <is>
          <t>AI</t>
        </is>
      </c>
    </row>
    <row r="2135">
      <c r="A2135" t="inlineStr">
        <is>
          <t>PT Indo Pureco Pratama Tbk</t>
        </is>
      </c>
      <c r="B2135" t="inlineStr">
        <is>
          <t>IPPE_2023_AR.pdf</t>
        </is>
      </c>
      <c r="C2135" t="n">
        <v>2023</v>
      </c>
      <c r="D2135" t="inlineStr">
        <is>
          <t>ESG</t>
        </is>
      </c>
      <c r="E2135" t="inlineStr">
        <is>
          <t>Employees - Total</t>
        </is>
      </c>
      <c r="F2135" t="n">
        <v>39</v>
      </c>
      <c r="G2135" t="inlineStr">
        <is>
          <t>count</t>
        </is>
      </c>
      <c r="H2135" t="n">
        <v>42</v>
      </c>
      <c r="I2135" t="inlineStr">
        <is>
          <t>Jumlah / Total 39 57 33 (2023, 2022, 2021 - Employment status)</t>
        </is>
      </c>
      <c r="J2135" t="inlineStr">
        <is>
          <t>High</t>
        </is>
      </c>
      <c r="M2135" t="inlineStr">
        <is>
          <t>LLM</t>
        </is>
      </c>
      <c r="N2135" t="inlineStr">
        <is>
          <t>2026-04-18</t>
        </is>
      </c>
      <c r="O2135" t="inlineStr">
        <is>
          <t>AI</t>
        </is>
      </c>
    </row>
    <row r="2136">
      <c r="A2136" t="inlineStr">
        <is>
          <t>PT Indo Pureco Pratama Tbk</t>
        </is>
      </c>
      <c r="B2136" t="inlineStr">
        <is>
          <t>IPPE_2023_AR.pdf</t>
        </is>
      </c>
      <c r="C2136" t="n">
        <v>2023</v>
      </c>
      <c r="D2136" t="inlineStr">
        <is>
          <t>ESG</t>
        </is>
      </c>
      <c r="E2136" t="inlineStr">
        <is>
          <t>Employees - Permanent</t>
        </is>
      </c>
      <c r="F2136" t="n">
        <v>19</v>
      </c>
      <c r="G2136" t="inlineStr">
        <is>
          <t>count</t>
        </is>
      </c>
      <c r="H2136" t="n">
        <v>42</v>
      </c>
      <c r="I2136" t="inlineStr">
        <is>
          <t>Pegawai Tetap / Permanent Employee 19 19 12</t>
        </is>
      </c>
      <c r="J2136" t="inlineStr">
        <is>
          <t>High</t>
        </is>
      </c>
      <c r="M2136" t="inlineStr">
        <is>
          <t>LLM</t>
        </is>
      </c>
      <c r="N2136" t="inlineStr">
        <is>
          <t>2026-04-18</t>
        </is>
      </c>
      <c r="O2136" t="inlineStr">
        <is>
          <t>AI</t>
        </is>
      </c>
    </row>
    <row r="2137">
      <c r="A2137" t="inlineStr">
        <is>
          <t>PT Indo Pureco Pratama Tbk</t>
        </is>
      </c>
      <c r="B2137" t="inlineStr">
        <is>
          <t>IPPE_2023_AR.pdf</t>
        </is>
      </c>
      <c r="C2137" t="n">
        <v>2023</v>
      </c>
      <c r="D2137" t="inlineStr">
        <is>
          <t>ESG</t>
        </is>
      </c>
      <c r="E2137" t="inlineStr">
        <is>
          <t>Employees - Contract</t>
        </is>
      </c>
      <c r="F2137" t="n">
        <v>20</v>
      </c>
      <c r="G2137" t="inlineStr">
        <is>
          <t>count</t>
        </is>
      </c>
      <c r="H2137" t="n">
        <v>42</v>
      </c>
      <c r="I2137" t="inlineStr">
        <is>
          <t>Kontrak / Contract 20 38 21</t>
        </is>
      </c>
      <c r="J2137" t="inlineStr">
        <is>
          <t>High</t>
        </is>
      </c>
      <c r="M2137" t="inlineStr">
        <is>
          <t>LLM</t>
        </is>
      </c>
      <c r="N2137" t="inlineStr">
        <is>
          <t>2026-04-18</t>
        </is>
      </c>
      <c r="O2137" t="inlineStr">
        <is>
          <t>AI</t>
        </is>
      </c>
    </row>
    <row r="2138">
      <c r="A2138" t="inlineStr">
        <is>
          <t>PT Indo Pureco Pratama Tbk</t>
        </is>
      </c>
      <c r="B2138" t="inlineStr">
        <is>
          <t>IPPE_2023_AR.pdf</t>
        </is>
      </c>
      <c r="C2138" t="n">
        <v>2023</v>
      </c>
      <c r="D2138" t="inlineStr">
        <is>
          <t>ESG</t>
        </is>
      </c>
      <c r="E2138" t="inlineStr">
        <is>
          <t>Employee Gender - Male</t>
        </is>
      </c>
      <c r="F2138" t="n">
        <v>38</v>
      </c>
      <c r="G2138" t="inlineStr">
        <is>
          <t>count</t>
        </is>
      </c>
      <c r="H2138" t="n">
        <v>43</v>
      </c>
      <c r="I2138" t="inlineStr">
        <is>
          <t>Laki-laki / Male 38 54 32</t>
        </is>
      </c>
      <c r="J2138" t="inlineStr">
        <is>
          <t>High</t>
        </is>
      </c>
      <c r="M2138" t="inlineStr">
        <is>
          <t>LLM</t>
        </is>
      </c>
      <c r="N2138" t="inlineStr">
        <is>
          <t>2026-04-18</t>
        </is>
      </c>
      <c r="O2138" t="inlineStr">
        <is>
          <t>AI</t>
        </is>
      </c>
    </row>
    <row r="2139">
      <c r="A2139" t="inlineStr">
        <is>
          <t>PT Indo Pureco Pratama Tbk</t>
        </is>
      </c>
      <c r="B2139" t="inlineStr">
        <is>
          <t>IPPE_2023_AR.pdf</t>
        </is>
      </c>
      <c r="C2139" t="n">
        <v>2023</v>
      </c>
      <c r="D2139" t="inlineStr">
        <is>
          <t>ESG</t>
        </is>
      </c>
      <c r="E2139" t="inlineStr">
        <is>
          <t>Employee Gender - Female</t>
        </is>
      </c>
      <c r="F2139" t="n">
        <v>1</v>
      </c>
      <c r="G2139" t="inlineStr">
        <is>
          <t>count</t>
        </is>
      </c>
      <c r="H2139" t="n">
        <v>43</v>
      </c>
      <c r="I2139" t="inlineStr">
        <is>
          <t>Perempuan / Female 1 3 1</t>
        </is>
      </c>
      <c r="J2139" t="inlineStr">
        <is>
          <t>High</t>
        </is>
      </c>
      <c r="M2139" t="inlineStr">
        <is>
          <t>LLM</t>
        </is>
      </c>
      <c r="N2139" t="inlineStr">
        <is>
          <t>2026-04-18</t>
        </is>
      </c>
      <c r="O2139" t="inlineStr">
        <is>
          <t>AI</t>
        </is>
      </c>
    </row>
    <row r="2140">
      <c r="A2140" t="inlineStr">
        <is>
          <t>PT Indo Pureco Pratama Tbk</t>
        </is>
      </c>
      <c r="B2140" t="inlineStr">
        <is>
          <t>IPPE_2023_AR.pdf</t>
        </is>
      </c>
      <c r="C2140" t="n">
        <v>2023</v>
      </c>
      <c r="D2140" t="inlineStr">
        <is>
          <t>Other</t>
        </is>
      </c>
      <c r="E2140" t="inlineStr">
        <is>
          <t>NOT A PALM OIL COMPANY</t>
        </is>
      </c>
      <c r="F2140" t="inlineStr">
        <is>
          <t>IPPE processes coconut (kelapa), not oil palm (kelapa sawit)</t>
        </is>
      </c>
      <c r="G2140" t="inlineStr">
        <is>
          <t>text</t>
        </is>
      </c>
      <c r="H2140" t="n">
        <v>2</v>
      </c>
      <c r="I2140" t="inlineStr">
        <is>
          <t>PT Indo Pureco Pratama Tbk yang menjalankan kegiatan usaha utama dalam industri minyak kelapa dan produk dari kelapa (coconut oil and coconut products industry)</t>
        </is>
      </c>
      <c r="J2140" t="inlineStr">
        <is>
          <t>High</t>
        </is>
      </c>
      <c r="M2140" t="inlineStr">
        <is>
          <t>LLM</t>
        </is>
      </c>
      <c r="N2140" t="inlineStr">
        <is>
          <t>2026-04-18</t>
        </is>
      </c>
      <c r="O2140" t="inlineStr">
        <is>
          <t>AI</t>
        </is>
      </c>
    </row>
    <row r="2141">
      <c r="A2141" t="inlineStr">
        <is>
          <t>PT Jhonlin Agro Raya Tbk</t>
        </is>
      </c>
      <c r="B2141" t="inlineStr">
        <is>
          <t>JARR_2022_AR.pdf</t>
        </is>
      </c>
      <c r="C2141" t="n">
        <v>2022</v>
      </c>
      <c r="D2141" t="inlineStr">
        <is>
          <t>Company</t>
        </is>
      </c>
      <c r="E2141" t="inlineStr">
        <is>
          <t>Company Name</t>
        </is>
      </c>
      <c r="F2141" t="inlineStr">
        <is>
          <t>PT Jhonlin Agro Raya Tbk</t>
        </is>
      </c>
      <c r="G2141" t="inlineStr">
        <is>
          <t>text</t>
        </is>
      </c>
      <c r="H2141" t="n">
        <v>1</v>
      </c>
      <c r="I2141" t="inlineStr">
        <is>
          <t>PT. Jhonlin Agro Raya Tbk DEFINITELY DEVELOPING / LAPORAN TAHUNAN 2022</t>
        </is>
      </c>
      <c r="J2141" t="inlineStr">
        <is>
          <t>High</t>
        </is>
      </c>
      <c r="M2141" t="inlineStr">
        <is>
          <t>LLM</t>
        </is>
      </c>
      <c r="N2141" t="inlineStr">
        <is>
          <t>2026-04-18</t>
        </is>
      </c>
      <c r="O2141" t="inlineStr">
        <is>
          <t>AI</t>
        </is>
      </c>
    </row>
    <row r="2142">
      <c r="A2142" t="inlineStr">
        <is>
          <t>PT Jhonlin Agro Raya Tbk</t>
        </is>
      </c>
      <c r="B2142" t="inlineStr">
        <is>
          <t>JARR_2022_AR.pdf</t>
        </is>
      </c>
      <c r="C2142" t="n">
        <v>2022</v>
      </c>
      <c r="D2142" t="inlineStr">
        <is>
          <t>Company</t>
        </is>
      </c>
      <c r="E2142" t="inlineStr">
        <is>
          <t>IPO Date</t>
        </is>
      </c>
      <c r="F2142" t="inlineStr">
        <is>
          <t>4 August 2022</t>
        </is>
      </c>
      <c r="G2142" t="inlineStr">
        <is>
          <t>date</t>
        </is>
      </c>
      <c r="H2142" t="n">
        <v>24</v>
      </c>
      <c r="I2142" t="inlineStr">
        <is>
          <t>Perseroan melakukan Penawaran Saham Perdana di Bursa Efek Indonesia pada tanggal 04 Agustus 2022</t>
        </is>
      </c>
      <c r="J2142" t="inlineStr">
        <is>
          <t>High</t>
        </is>
      </c>
      <c r="M2142" t="inlineStr">
        <is>
          <t>LLM</t>
        </is>
      </c>
      <c r="N2142" t="inlineStr">
        <is>
          <t>2026-04-18</t>
        </is>
      </c>
      <c r="O2142" t="inlineStr">
        <is>
          <t>AI</t>
        </is>
      </c>
    </row>
    <row r="2143">
      <c r="A2143" t="inlineStr">
        <is>
          <t>PT Jhonlin Agro Raya Tbk</t>
        </is>
      </c>
      <c r="B2143" t="inlineStr">
        <is>
          <t>JARR_2022_AR.pdf</t>
        </is>
      </c>
      <c r="C2143" t="n">
        <v>2022</v>
      </c>
      <c r="D2143" t="inlineStr">
        <is>
          <t>Company</t>
        </is>
      </c>
      <c r="E2143" t="inlineStr">
        <is>
          <t>Controlling Shareholder</t>
        </is>
      </c>
      <c r="F2143" t="inlineStr">
        <is>
          <t>PT Eshan Agro Sentosa 84.64%</t>
        </is>
      </c>
      <c r="G2143" t="inlineStr">
        <is>
          <t>%</t>
        </is>
      </c>
      <c r="H2143" t="n">
        <v>51</v>
      </c>
      <c r="I2143" t="inlineStr">
        <is>
          <t>PT Eshan Agro Sentosa 6,771,050,000 84,64% Pengendali (Data per 31 Desember 2022)</t>
        </is>
      </c>
      <c r="J2143" t="inlineStr">
        <is>
          <t>High</t>
        </is>
      </c>
      <c r="M2143" t="inlineStr">
        <is>
          <t>LLM</t>
        </is>
      </c>
      <c r="N2143" t="inlineStr">
        <is>
          <t>2026-04-18</t>
        </is>
      </c>
      <c r="O2143" t="inlineStr">
        <is>
          <t>AI</t>
        </is>
      </c>
    </row>
    <row r="2144">
      <c r="A2144" t="inlineStr">
        <is>
          <t>PT Jhonlin Agro Raya Tbk</t>
        </is>
      </c>
      <c r="B2144" t="inlineStr">
        <is>
          <t>JARR_2022_AR.pdf</t>
        </is>
      </c>
      <c r="C2144" t="n">
        <v>2022</v>
      </c>
      <c r="D2144" t="inlineStr">
        <is>
          <t>Company</t>
        </is>
      </c>
      <c r="E2144" t="inlineStr">
        <is>
          <t>Public Float</t>
        </is>
      </c>
      <c r="F2144" t="n">
        <v>0.1528</v>
      </c>
      <c r="G2144" t="inlineStr">
        <is>
          <t>%</t>
        </is>
      </c>
      <c r="H2144" t="n">
        <v>51</v>
      </c>
      <c r="I2144" t="inlineStr">
        <is>
          <t>Masyarakat 1,222,950,000 15,28%</t>
        </is>
      </c>
      <c r="J2144" t="inlineStr">
        <is>
          <t>High</t>
        </is>
      </c>
      <c r="M2144" t="inlineStr">
        <is>
          <t>LLM</t>
        </is>
      </c>
      <c r="N2144" t="inlineStr">
        <is>
          <t>2026-04-18</t>
        </is>
      </c>
      <c r="O2144" t="inlineStr">
        <is>
          <t>AI</t>
        </is>
      </c>
    </row>
    <row r="2145">
      <c r="A2145" t="inlineStr">
        <is>
          <t>PT Jhonlin Agro Raya Tbk</t>
        </is>
      </c>
      <c r="B2145" t="inlineStr">
        <is>
          <t>JARR_2022_AR.pdf</t>
        </is>
      </c>
      <c r="C2145" t="n">
        <v>2022</v>
      </c>
      <c r="D2145" t="inlineStr">
        <is>
          <t>Company</t>
        </is>
      </c>
      <c r="E2145" t="inlineStr">
        <is>
          <t>HQ/Plantation Location</t>
        </is>
      </c>
      <c r="F2145" t="inlineStr">
        <is>
          <t>Jl. Kodeco KM.1, Gunung Antasari, Simpang Empat, Tanah Bumbu, South Kalimantan</t>
        </is>
      </c>
      <c r="G2145" t="inlineStr">
        <is>
          <t>text</t>
        </is>
      </c>
      <c r="H2145" t="n">
        <v>166</v>
      </c>
      <c r="I2145" t="inlineStr">
        <is>
          <t>Perusahaan berdomisili di Jl. Kodeco KM. 1, Desa Gunung Antasari, Kec. Simpang Empat, Kab. Tanah Bumbu, Kalimantan</t>
        </is>
      </c>
      <c r="J2145" t="inlineStr">
        <is>
          <t>High</t>
        </is>
      </c>
      <c r="M2145" t="inlineStr">
        <is>
          <t>LLM</t>
        </is>
      </c>
      <c r="N2145" t="inlineStr">
        <is>
          <t>2026-04-18</t>
        </is>
      </c>
      <c r="O2145" t="inlineStr">
        <is>
          <t>AI</t>
        </is>
      </c>
    </row>
    <row r="2146">
      <c r="A2146" t="inlineStr">
        <is>
          <t>PT Jhonlin Agro Raya Tbk</t>
        </is>
      </c>
      <c r="B2146" t="inlineStr">
        <is>
          <t>JARR_2022_AR.pdf</t>
        </is>
      </c>
      <c r="C2146" t="n">
        <v>2022</v>
      </c>
      <c r="D2146" t="inlineStr">
        <is>
          <t>Company</t>
        </is>
      </c>
      <c r="E2146" t="inlineStr">
        <is>
          <t>HGU Area</t>
        </is>
      </c>
      <c r="F2146" t="n">
        <v>17020</v>
      </c>
      <c r="G2146" t="inlineStr">
        <is>
          <t>ha</t>
        </is>
      </c>
      <c r="H2146" t="n">
        <v>24</v>
      </c>
      <c r="I2146" t="inlineStr">
        <is>
          <t>Perseroan memiliki lahan perkebunan kelapa sawit seluas 17.020,26 hektar</t>
        </is>
      </c>
      <c r="J2146" t="inlineStr">
        <is>
          <t>High</t>
        </is>
      </c>
      <c r="M2146" t="inlineStr">
        <is>
          <t>LLM</t>
        </is>
      </c>
      <c r="N2146" t="inlineStr">
        <is>
          <t>2026-04-18</t>
        </is>
      </c>
      <c r="O2146" t="inlineStr">
        <is>
          <t>AI</t>
        </is>
      </c>
    </row>
    <row r="2147">
      <c r="A2147" t="inlineStr">
        <is>
          <t>PT Jhonlin Agro Raya Tbk</t>
        </is>
      </c>
      <c r="B2147" t="inlineStr">
        <is>
          <t>JARR_2022_AR.pdf</t>
        </is>
      </c>
      <c r="C2147" t="n">
        <v>2022</v>
      </c>
      <c r="D2147" t="inlineStr">
        <is>
          <t>Company</t>
        </is>
      </c>
      <c r="E2147" t="inlineStr">
        <is>
          <t>Auditor</t>
        </is>
      </c>
      <c r="F2147" t="inlineStr">
        <is>
          <t>Kanaka Puradiredja Suhartono</t>
        </is>
      </c>
      <c r="G2147" t="inlineStr">
        <is>
          <t>text</t>
        </is>
      </c>
      <c r="H2147" t="n">
        <v>2</v>
      </c>
      <c r="I2147" t="inlineStr">
        <is>
          <t>diaudit oleh Kantor Akuntan Publik Kanaka Puradiredja Suhartono... dengan pendapat Wajar Tanpa Pengecualian</t>
        </is>
      </c>
      <c r="J2147" t="inlineStr">
        <is>
          <t>High</t>
        </is>
      </c>
      <c r="M2147" t="inlineStr">
        <is>
          <t>LLM</t>
        </is>
      </c>
      <c r="N2147" t="inlineStr">
        <is>
          <t>2026-04-18</t>
        </is>
      </c>
      <c r="O2147" t="inlineStr">
        <is>
          <t>AI</t>
        </is>
      </c>
    </row>
    <row r="2148">
      <c r="A2148" t="inlineStr">
        <is>
          <t>PT Jhonlin Agro Raya Tbk</t>
        </is>
      </c>
      <c r="B2148" t="inlineStr">
        <is>
          <t>JARR_2022_AR.pdf</t>
        </is>
      </c>
      <c r="C2148" t="n">
        <v>2022</v>
      </c>
      <c r="D2148" t="inlineStr">
        <is>
          <t>Financial</t>
        </is>
      </c>
      <c r="E2148" t="inlineStr">
        <is>
          <t>Revenue (Net Sales)</t>
        </is>
      </c>
      <c r="F2148" t="n">
        <v>4708</v>
      </c>
      <c r="G2148" t="inlineStr">
        <is>
          <t>IDR bn</t>
        </is>
      </c>
      <c r="H2148" t="n">
        <v>2</v>
      </c>
      <c r="I2148" t="inlineStr">
        <is>
          <t>Pendapatan Usaha 4.707.542 (jutaan Rp) / PENJUALAN BERSIH 4.707.542.336.960</t>
        </is>
      </c>
      <c r="J2148" t="inlineStr">
        <is>
          <t>High</t>
        </is>
      </c>
      <c r="M2148" t="inlineStr">
        <is>
          <t>LLM</t>
        </is>
      </c>
      <c r="N2148" t="inlineStr">
        <is>
          <t>2026-04-18</t>
        </is>
      </c>
      <c r="O2148" t="inlineStr">
        <is>
          <t>AI</t>
        </is>
      </c>
    </row>
    <row r="2149">
      <c r="A2149" t="inlineStr">
        <is>
          <t>PT Jhonlin Agro Raya Tbk</t>
        </is>
      </c>
      <c r="B2149" t="inlineStr">
        <is>
          <t>JARR_2022_AR.pdf</t>
        </is>
      </c>
      <c r="C2149" t="n">
        <v>2022</v>
      </c>
      <c r="D2149" t="inlineStr">
        <is>
          <t>Financial</t>
        </is>
      </c>
      <c r="E2149" t="inlineStr">
        <is>
          <t>Cost of Goods Sold</t>
        </is>
      </c>
      <c r="F2149" t="n">
        <v>4540</v>
      </c>
      <c r="G2149" t="inlineStr">
        <is>
          <t>IDR bn</t>
        </is>
      </c>
      <c r="H2149" t="n">
        <v>2</v>
      </c>
      <c r="I2149" t="inlineStr">
        <is>
          <t>Beban Pokok Penjualan (4.539.893) (jutaan Rp)</t>
        </is>
      </c>
      <c r="J2149" t="inlineStr">
        <is>
          <t>High</t>
        </is>
      </c>
      <c r="M2149" t="inlineStr">
        <is>
          <t>LLM</t>
        </is>
      </c>
      <c r="N2149" t="inlineStr">
        <is>
          <t>2026-04-18</t>
        </is>
      </c>
      <c r="O2149" t="inlineStr">
        <is>
          <t>AI</t>
        </is>
      </c>
    </row>
    <row r="2150">
      <c r="A2150" t="inlineStr">
        <is>
          <t>PT Jhonlin Agro Raya Tbk</t>
        </is>
      </c>
      <c r="B2150" t="inlineStr">
        <is>
          <t>JARR_2022_AR.pdf</t>
        </is>
      </c>
      <c r="C2150" t="n">
        <v>2022</v>
      </c>
      <c r="D2150" t="inlineStr">
        <is>
          <t>Financial</t>
        </is>
      </c>
      <c r="E2150" t="inlineStr">
        <is>
          <t>Gross Profit</t>
        </is>
      </c>
      <c r="F2150" t="n">
        <v>168</v>
      </c>
      <c r="G2150" t="inlineStr">
        <is>
          <t>IDR bn</t>
        </is>
      </c>
      <c r="H2150" t="n">
        <v>2</v>
      </c>
      <c r="I2150" t="inlineStr">
        <is>
          <t>Laba Bruto 167.649 (jutaan Rp); LABA BRUTO 167.649.212.064</t>
        </is>
      </c>
      <c r="J2150" t="inlineStr">
        <is>
          <t>High</t>
        </is>
      </c>
      <c r="M2150" t="inlineStr">
        <is>
          <t>LLM</t>
        </is>
      </c>
      <c r="N2150" t="inlineStr">
        <is>
          <t>2026-04-18</t>
        </is>
      </c>
      <c r="O2150" t="inlineStr">
        <is>
          <t>AI</t>
        </is>
      </c>
    </row>
    <row r="2151">
      <c r="A2151" t="inlineStr">
        <is>
          <t>PT Jhonlin Agro Raya Tbk</t>
        </is>
      </c>
      <c r="B2151" t="inlineStr">
        <is>
          <t>JARR_2022_AR.pdf</t>
        </is>
      </c>
      <c r="C2151" t="n">
        <v>2022</v>
      </c>
      <c r="D2151" t="inlineStr">
        <is>
          <t>Financial</t>
        </is>
      </c>
      <c r="E2151" t="inlineStr">
        <is>
          <t>Operating Profit (Laba Usaha)</t>
        </is>
      </c>
      <c r="F2151" t="n">
        <v>88</v>
      </c>
      <c r="G2151" t="inlineStr">
        <is>
          <t>IDR bn</t>
        </is>
      </c>
      <c r="H2151" t="n">
        <v>6</v>
      </c>
      <c r="I2151" t="inlineStr">
        <is>
          <t>BUSINESS PROFIT (LOSS) 87.851.131.567 / Laba usaha 87.851.131.567 (Note 39 segment reporting)</t>
        </is>
      </c>
      <c r="J2151" t="inlineStr">
        <is>
          <t>High</t>
        </is>
      </c>
      <c r="M2151" t="inlineStr">
        <is>
          <t>LLM</t>
        </is>
      </c>
      <c r="N2151" t="inlineStr">
        <is>
          <t>2026-04-18</t>
        </is>
      </c>
      <c r="O2151" t="inlineStr">
        <is>
          <t>AI</t>
        </is>
      </c>
    </row>
    <row r="2152">
      <c r="A2152" t="inlineStr">
        <is>
          <t>PT Jhonlin Agro Raya Tbk</t>
        </is>
      </c>
      <c r="B2152" t="inlineStr">
        <is>
          <t>JARR_2022_AR.pdf</t>
        </is>
      </c>
      <c r="C2152" t="n">
        <v>2022</v>
      </c>
      <c r="D2152" t="inlineStr">
        <is>
          <t>Financial</t>
        </is>
      </c>
      <c r="E2152" t="inlineStr">
        <is>
          <t>Finance Cost</t>
        </is>
      </c>
      <c r="F2152" t="n">
        <v>48</v>
      </c>
      <c r="G2152" t="inlineStr">
        <is>
          <t>IDR bn</t>
        </is>
      </c>
      <c r="H2152" t="n">
        <v>219</v>
      </c>
      <c r="I2152" t="inlineStr">
        <is>
          <t>Beban keuangan (48.133.966.571)</t>
        </is>
      </c>
      <c r="J2152" t="inlineStr">
        <is>
          <t>High</t>
        </is>
      </c>
      <c r="M2152" t="inlineStr">
        <is>
          <t>LLM</t>
        </is>
      </c>
      <c r="N2152" t="inlineStr">
        <is>
          <t>2026-04-18</t>
        </is>
      </c>
      <c r="O2152" t="inlineStr">
        <is>
          <t>AI</t>
        </is>
      </c>
    </row>
    <row r="2153">
      <c r="A2153" t="inlineStr">
        <is>
          <t>PT Jhonlin Agro Raya Tbk</t>
        </is>
      </c>
      <c r="B2153" t="inlineStr">
        <is>
          <t>JARR_2022_AR.pdf</t>
        </is>
      </c>
      <c r="C2153" t="n">
        <v>2022</v>
      </c>
      <c r="D2153" t="inlineStr">
        <is>
          <t>Financial</t>
        </is>
      </c>
      <c r="E2153" t="inlineStr">
        <is>
          <t>Profit Before Tax</t>
        </is>
      </c>
      <c r="F2153" t="n">
        <v>48</v>
      </c>
      <c r="G2153" t="inlineStr">
        <is>
          <t>IDR bn</t>
        </is>
      </c>
      <c r="H2153" t="n">
        <v>219</v>
      </c>
      <c r="I2153" t="inlineStr">
        <is>
          <t>Laba sebelum pajak 48.273.695.591</t>
        </is>
      </c>
      <c r="J2153" t="inlineStr">
        <is>
          <t>High</t>
        </is>
      </c>
      <c r="M2153" t="inlineStr">
        <is>
          <t>LLM</t>
        </is>
      </c>
      <c r="N2153" t="inlineStr">
        <is>
          <t>2026-04-18</t>
        </is>
      </c>
      <c r="O2153" t="inlineStr">
        <is>
          <t>AI</t>
        </is>
      </c>
    </row>
    <row r="2154">
      <c r="A2154" t="inlineStr">
        <is>
          <t>PT Jhonlin Agro Raya Tbk</t>
        </is>
      </c>
      <c r="B2154" t="inlineStr">
        <is>
          <t>JARR_2022_AR.pdf</t>
        </is>
      </c>
      <c r="C2154" t="n">
        <v>2022</v>
      </c>
      <c r="D2154" t="inlineStr">
        <is>
          <t>Financial</t>
        </is>
      </c>
      <c r="E2154" t="inlineStr">
        <is>
          <t>Net Profit</t>
        </is>
      </c>
      <c r="F2154" t="n">
        <v>42</v>
      </c>
      <c r="G2154" t="inlineStr">
        <is>
          <t>IDR bn</t>
        </is>
      </c>
      <c r="H2154" t="n">
        <v>2</v>
      </c>
      <c r="I2154" t="inlineStr">
        <is>
          <t>Laba Bersih 41.681 (jutaan Rp); Laba tahun berjalan 41.681.880.210</t>
        </is>
      </c>
      <c r="J2154" t="inlineStr">
        <is>
          <t>High</t>
        </is>
      </c>
      <c r="M2154" t="inlineStr">
        <is>
          <t>LLM</t>
        </is>
      </c>
      <c r="N2154" t="inlineStr">
        <is>
          <t>2026-04-18</t>
        </is>
      </c>
      <c r="O2154" t="inlineStr">
        <is>
          <t>AI</t>
        </is>
      </c>
    </row>
    <row r="2155">
      <c r="A2155" t="inlineStr">
        <is>
          <t>PT Jhonlin Agro Raya Tbk</t>
        </is>
      </c>
      <c r="B2155" t="inlineStr">
        <is>
          <t>JARR_2022_AR.pdf</t>
        </is>
      </c>
      <c r="C2155" t="n">
        <v>2022</v>
      </c>
      <c r="D2155" t="inlineStr">
        <is>
          <t>Financial</t>
        </is>
      </c>
      <c r="E2155" t="inlineStr">
        <is>
          <t>Total Comprehensive Income</t>
        </is>
      </c>
      <c r="F2155" t="n">
        <v>42</v>
      </c>
      <c r="G2155" t="inlineStr">
        <is>
          <t>IDR bn</t>
        </is>
      </c>
      <c r="H2155" t="n">
        <v>6</v>
      </c>
      <c r="I2155" t="inlineStr">
        <is>
          <t>Total laba(Rugi) komprehensif 41.847.418.667</t>
        </is>
      </c>
      <c r="J2155" t="inlineStr">
        <is>
          <t>High</t>
        </is>
      </c>
      <c r="M2155" t="inlineStr">
        <is>
          <t>LLM</t>
        </is>
      </c>
      <c r="N2155" t="inlineStr">
        <is>
          <t>2026-04-18</t>
        </is>
      </c>
      <c r="O2155" t="inlineStr">
        <is>
          <t>AI</t>
        </is>
      </c>
    </row>
    <row r="2156">
      <c r="A2156" t="inlineStr">
        <is>
          <t>PT Jhonlin Agro Raya Tbk</t>
        </is>
      </c>
      <c r="B2156" t="inlineStr">
        <is>
          <t>JARR_2022_AR.pdf</t>
        </is>
      </c>
      <c r="C2156" t="n">
        <v>2022</v>
      </c>
      <c r="D2156" t="inlineStr">
        <is>
          <t>Financial</t>
        </is>
      </c>
      <c r="E2156" t="inlineStr">
        <is>
          <t>Total Assets</t>
        </is>
      </c>
      <c r="F2156" t="n">
        <v>3001</v>
      </c>
      <c r="G2156" t="inlineStr">
        <is>
          <t>IDR bn</t>
        </is>
      </c>
      <c r="H2156" t="n">
        <v>2</v>
      </c>
      <c r="I2156" t="inlineStr">
        <is>
          <t>Jumlah Aset 3.001.138 (jutaan Rp); Total Aset 3.001.138.460.641</t>
        </is>
      </c>
      <c r="J2156" t="inlineStr">
        <is>
          <t>High</t>
        </is>
      </c>
      <c r="M2156" t="inlineStr">
        <is>
          <t>LLM</t>
        </is>
      </c>
      <c r="N2156" t="inlineStr">
        <is>
          <t>2026-04-18</t>
        </is>
      </c>
      <c r="O2156" t="inlineStr">
        <is>
          <t>AI</t>
        </is>
      </c>
    </row>
    <row r="2157">
      <c r="A2157" t="inlineStr">
        <is>
          <t>PT Jhonlin Agro Raya Tbk</t>
        </is>
      </c>
      <c r="B2157" t="inlineStr">
        <is>
          <t>JARR_2022_AR.pdf</t>
        </is>
      </c>
      <c r="C2157" t="n">
        <v>2022</v>
      </c>
      <c r="D2157" t="inlineStr">
        <is>
          <t>Financial</t>
        </is>
      </c>
      <c r="E2157" t="inlineStr">
        <is>
          <t>Current Assets</t>
        </is>
      </c>
      <c r="F2157" t="n">
        <v>1434</v>
      </c>
      <c r="G2157" t="inlineStr">
        <is>
          <t>IDR bn</t>
        </is>
      </c>
      <c r="H2157" t="n">
        <v>70</v>
      </c>
      <c r="I2157" t="inlineStr">
        <is>
          <t>Aset Lancar 1.433.684.734.604</t>
        </is>
      </c>
      <c r="J2157" t="inlineStr">
        <is>
          <t>High</t>
        </is>
      </c>
      <c r="M2157" t="inlineStr">
        <is>
          <t>LLM</t>
        </is>
      </c>
      <c r="N2157" t="inlineStr">
        <is>
          <t>2026-04-18</t>
        </is>
      </c>
      <c r="O2157" t="inlineStr">
        <is>
          <t>AI</t>
        </is>
      </c>
    </row>
    <row r="2158">
      <c r="A2158" t="inlineStr">
        <is>
          <t>PT Jhonlin Agro Raya Tbk</t>
        </is>
      </c>
      <c r="B2158" t="inlineStr">
        <is>
          <t>JARR_2022_AR.pdf</t>
        </is>
      </c>
      <c r="C2158" t="n">
        <v>2022</v>
      </c>
      <c r="D2158" t="inlineStr">
        <is>
          <t>Financial</t>
        </is>
      </c>
      <c r="E2158" t="inlineStr">
        <is>
          <t>Non-Current Assets</t>
        </is>
      </c>
      <c r="F2158" t="n">
        <v>1567</v>
      </c>
      <c r="G2158" t="inlineStr">
        <is>
          <t>IDR bn</t>
        </is>
      </c>
      <c r="H2158" t="n">
        <v>70</v>
      </c>
      <c r="I2158" t="inlineStr">
        <is>
          <t>Non-Current Assets 1.567.453.726.037</t>
        </is>
      </c>
      <c r="J2158" t="inlineStr">
        <is>
          <t>High</t>
        </is>
      </c>
      <c r="M2158" t="inlineStr">
        <is>
          <t>LLM</t>
        </is>
      </c>
      <c r="N2158" t="inlineStr">
        <is>
          <t>2026-04-18</t>
        </is>
      </c>
      <c r="O2158" t="inlineStr">
        <is>
          <t>AI</t>
        </is>
      </c>
    </row>
    <row r="2159">
      <c r="A2159" t="inlineStr">
        <is>
          <t>PT Jhonlin Agro Raya Tbk</t>
        </is>
      </c>
      <c r="B2159" t="inlineStr">
        <is>
          <t>JARR_2022_AR.pdf</t>
        </is>
      </c>
      <c r="C2159" t="n">
        <v>2022</v>
      </c>
      <c r="D2159" t="inlineStr">
        <is>
          <t>Financial</t>
        </is>
      </c>
      <c r="E2159" t="inlineStr">
        <is>
          <t>Total Liabilities</t>
        </is>
      </c>
      <c r="F2159" t="n">
        <v>1847</v>
      </c>
      <c r="G2159" t="inlineStr">
        <is>
          <t>IDR bn</t>
        </is>
      </c>
      <c r="H2159" t="n">
        <v>2</v>
      </c>
      <c r="I2159" t="inlineStr">
        <is>
          <t>Jumlah Liabilitas 1.847.228 (jutaan Rp); 1.847.228.502.604</t>
        </is>
      </c>
      <c r="J2159" t="inlineStr">
        <is>
          <t>High</t>
        </is>
      </c>
      <c r="M2159" t="inlineStr">
        <is>
          <t>LLM</t>
        </is>
      </c>
      <c r="N2159" t="inlineStr">
        <is>
          <t>2026-04-18</t>
        </is>
      </c>
      <c r="O2159" t="inlineStr">
        <is>
          <t>AI</t>
        </is>
      </c>
    </row>
    <row r="2160">
      <c r="A2160" t="inlineStr">
        <is>
          <t>PT Jhonlin Agro Raya Tbk</t>
        </is>
      </c>
      <c r="B2160" t="inlineStr">
        <is>
          <t>JARR_2022_AR.pdf</t>
        </is>
      </c>
      <c r="C2160" t="n">
        <v>2022</v>
      </c>
      <c r="D2160" t="inlineStr">
        <is>
          <t>Financial</t>
        </is>
      </c>
      <c r="E2160" t="inlineStr">
        <is>
          <t>Current Liabilities</t>
        </is>
      </c>
      <c r="F2160" t="n">
        <v>628</v>
      </c>
      <c r="G2160" t="inlineStr">
        <is>
          <t>IDR bn</t>
        </is>
      </c>
      <c r="H2160" t="n">
        <v>70</v>
      </c>
      <c r="I2160" t="inlineStr">
        <is>
          <t>Liabilitas Jangka Pendek 627.643.810.202</t>
        </is>
      </c>
      <c r="J2160" t="inlineStr">
        <is>
          <t>High</t>
        </is>
      </c>
      <c r="M2160" t="inlineStr">
        <is>
          <t>LLM</t>
        </is>
      </c>
      <c r="N2160" t="inlineStr">
        <is>
          <t>2026-04-18</t>
        </is>
      </c>
      <c r="O2160" t="inlineStr">
        <is>
          <t>AI</t>
        </is>
      </c>
    </row>
    <row r="2161">
      <c r="A2161" t="inlineStr">
        <is>
          <t>PT Jhonlin Agro Raya Tbk</t>
        </is>
      </c>
      <c r="B2161" t="inlineStr">
        <is>
          <t>JARR_2022_AR.pdf</t>
        </is>
      </c>
      <c r="C2161" t="n">
        <v>2022</v>
      </c>
      <c r="D2161" t="inlineStr">
        <is>
          <t>Financial</t>
        </is>
      </c>
      <c r="E2161" t="inlineStr">
        <is>
          <t>Long-Term Liabilities</t>
        </is>
      </c>
      <c r="F2161" t="n">
        <v>1220</v>
      </c>
      <c r="G2161" t="inlineStr">
        <is>
          <t>IDR bn</t>
        </is>
      </c>
      <c r="H2161" t="n">
        <v>70</v>
      </c>
      <c r="I2161" t="inlineStr">
        <is>
          <t>Liabilitas Jangka Panjang 1.219.584.692.402</t>
        </is>
      </c>
      <c r="J2161" t="inlineStr">
        <is>
          <t>High</t>
        </is>
      </c>
      <c r="M2161" t="inlineStr">
        <is>
          <t>LLM</t>
        </is>
      </c>
      <c r="N2161" t="inlineStr">
        <is>
          <t>2026-04-18</t>
        </is>
      </c>
      <c r="O2161" t="inlineStr">
        <is>
          <t>AI</t>
        </is>
      </c>
    </row>
    <row r="2162">
      <c r="A2162" t="inlineStr">
        <is>
          <t>PT Jhonlin Agro Raya Tbk</t>
        </is>
      </c>
      <c r="B2162" t="inlineStr">
        <is>
          <t>JARR_2022_AR.pdf</t>
        </is>
      </c>
      <c r="C2162" t="n">
        <v>2022</v>
      </c>
      <c r="D2162" t="inlineStr">
        <is>
          <t>Financial</t>
        </is>
      </c>
      <c r="E2162" t="inlineStr">
        <is>
          <t>Total Equity</t>
        </is>
      </c>
      <c r="F2162" t="n">
        <v>1154</v>
      </c>
      <c r="G2162" t="inlineStr">
        <is>
          <t>IDR bn</t>
        </is>
      </c>
      <c r="H2162" t="n">
        <v>2</v>
      </c>
      <c r="I2162" t="inlineStr">
        <is>
          <t>Jumlah Ekuitas 1.153.909 (jutaan Rp); Total Equity 1.153.909.958.037</t>
        </is>
      </c>
      <c r="J2162" t="inlineStr">
        <is>
          <t>High</t>
        </is>
      </c>
      <c r="M2162" t="inlineStr">
        <is>
          <t>LLM</t>
        </is>
      </c>
      <c r="N2162" t="inlineStr">
        <is>
          <t>2026-04-18</t>
        </is>
      </c>
      <c r="O2162" t="inlineStr">
        <is>
          <t>AI</t>
        </is>
      </c>
    </row>
    <row r="2163">
      <c r="A2163" t="inlineStr">
        <is>
          <t>PT Jhonlin Agro Raya Tbk</t>
        </is>
      </c>
      <c r="B2163" t="inlineStr">
        <is>
          <t>JARR_2022_AR.pdf</t>
        </is>
      </c>
      <c r="C2163" t="n">
        <v>2022</v>
      </c>
      <c r="D2163" t="inlineStr">
        <is>
          <t>Financial</t>
        </is>
      </c>
      <c r="E2163" t="inlineStr">
        <is>
          <t>Paid-in Capital</t>
        </is>
      </c>
      <c r="F2163" t="n">
        <v>800</v>
      </c>
      <c r="G2163" t="inlineStr">
        <is>
          <t>IDR bn</t>
        </is>
      </c>
      <c r="H2163" t="n">
        <v>164</v>
      </c>
      <c r="I2163" t="inlineStr">
        <is>
          <t>Saldo per 31 Desember 2022 800.000.000.000 (Modal Saham)</t>
        </is>
      </c>
      <c r="J2163" t="inlineStr">
        <is>
          <t>High</t>
        </is>
      </c>
      <c r="M2163" t="inlineStr">
        <is>
          <t>LLM</t>
        </is>
      </c>
      <c r="N2163" t="inlineStr">
        <is>
          <t>2026-04-18</t>
        </is>
      </c>
      <c r="O2163" t="inlineStr">
        <is>
          <t>AI</t>
        </is>
      </c>
    </row>
    <row r="2164">
      <c r="A2164" t="inlineStr">
        <is>
          <t>PT Jhonlin Agro Raya Tbk</t>
        </is>
      </c>
      <c r="B2164" t="inlineStr">
        <is>
          <t>JARR_2022_AR.pdf</t>
        </is>
      </c>
      <c r="C2164" t="n">
        <v>2022</v>
      </c>
      <c r="D2164" t="inlineStr">
        <is>
          <t>Financial</t>
        </is>
      </c>
      <c r="E2164" t="inlineStr">
        <is>
          <t>Additional Paid-in Capital</t>
        </is>
      </c>
      <c r="F2164" t="n">
        <v>330</v>
      </c>
      <c r="G2164" t="inlineStr">
        <is>
          <t>IDR bn</t>
        </is>
      </c>
      <c r="H2164" t="n">
        <v>164</v>
      </c>
      <c r="I2164" t="inlineStr">
        <is>
          <t>Saldo per 31 Desember 2022 330.440.553.043 (tambahan modal disetor)</t>
        </is>
      </c>
      <c r="J2164" t="inlineStr">
        <is>
          <t>High</t>
        </is>
      </c>
      <c r="M2164" t="inlineStr">
        <is>
          <t>LLM</t>
        </is>
      </c>
      <c r="N2164" t="inlineStr">
        <is>
          <t>2026-04-18</t>
        </is>
      </c>
      <c r="O2164" t="inlineStr">
        <is>
          <t>AI</t>
        </is>
      </c>
    </row>
    <row r="2165">
      <c r="A2165" t="inlineStr">
        <is>
          <t>PT Jhonlin Agro Raya Tbk</t>
        </is>
      </c>
      <c r="B2165" t="inlineStr">
        <is>
          <t>JARR_2022_AR.pdf</t>
        </is>
      </c>
      <c r="C2165" t="n">
        <v>2022</v>
      </c>
      <c r="D2165" t="inlineStr">
        <is>
          <t>Financial</t>
        </is>
      </c>
      <c r="E2165" t="inlineStr">
        <is>
          <t>Cash &amp; Cash Equivalents</t>
        </is>
      </c>
      <c r="F2165" t="n">
        <v>206</v>
      </c>
      <c r="G2165" t="inlineStr">
        <is>
          <t>IDR bn</t>
        </is>
      </c>
      <c r="H2165" t="n">
        <v>185</v>
      </c>
      <c r="I2165" t="inlineStr">
        <is>
          <t>Jumlah Kas dan Bank 206.005.629.117</t>
        </is>
      </c>
      <c r="J2165" t="inlineStr">
        <is>
          <t>High</t>
        </is>
      </c>
      <c r="M2165" t="inlineStr">
        <is>
          <t>LLM</t>
        </is>
      </c>
      <c r="N2165" t="inlineStr">
        <is>
          <t>2026-04-18</t>
        </is>
      </c>
      <c r="O2165" t="inlineStr">
        <is>
          <t>AI</t>
        </is>
      </c>
    </row>
    <row r="2166">
      <c r="A2166" t="inlineStr">
        <is>
          <t>PT Jhonlin Agro Raya Tbk</t>
        </is>
      </c>
      <c r="B2166" t="inlineStr">
        <is>
          <t>JARR_2022_AR.pdf</t>
        </is>
      </c>
      <c r="C2166" t="n">
        <v>2022</v>
      </c>
      <c r="D2166" t="inlineStr">
        <is>
          <t>Financial</t>
        </is>
      </c>
      <c r="E2166" t="inlineStr">
        <is>
          <t>Trade Receivables</t>
        </is>
      </c>
      <c r="F2166" t="n">
        <v>271</v>
      </c>
      <c r="G2166" t="inlineStr">
        <is>
          <t>IDR bn</t>
        </is>
      </c>
      <c r="H2166" t="n">
        <v>74</v>
      </c>
      <c r="I2166" t="inlineStr">
        <is>
          <t>Nilai piutang usaha Perseroan pada tanggal 31 Desember 2022 sebesar Rp 270.952.414.559</t>
        </is>
      </c>
      <c r="J2166" t="inlineStr">
        <is>
          <t>High</t>
        </is>
      </c>
      <c r="M2166" t="inlineStr">
        <is>
          <t>LLM</t>
        </is>
      </c>
      <c r="N2166" t="inlineStr">
        <is>
          <t>2026-04-18</t>
        </is>
      </c>
      <c r="O2166" t="inlineStr">
        <is>
          <t>AI</t>
        </is>
      </c>
    </row>
    <row r="2167">
      <c r="A2167" t="inlineStr">
        <is>
          <t>PT Jhonlin Agro Raya Tbk</t>
        </is>
      </c>
      <c r="B2167" t="inlineStr">
        <is>
          <t>JARR_2022_AR.pdf</t>
        </is>
      </c>
      <c r="C2167" t="n">
        <v>2022</v>
      </c>
      <c r="D2167" t="inlineStr">
        <is>
          <t>Financial</t>
        </is>
      </c>
      <c r="E2167" t="inlineStr">
        <is>
          <t>Inventories</t>
        </is>
      </c>
      <c r="F2167" t="n">
        <v>629</v>
      </c>
      <c r="G2167" t="inlineStr">
        <is>
          <t>IDR bn</t>
        </is>
      </c>
      <c r="H2167" t="n">
        <v>187</v>
      </c>
      <c r="I2167" t="inlineStr">
        <is>
          <t>Jumlah Persediaan 629.066.498.016</t>
        </is>
      </c>
      <c r="J2167" t="inlineStr">
        <is>
          <t>High</t>
        </is>
      </c>
      <c r="M2167" t="inlineStr">
        <is>
          <t>LLM</t>
        </is>
      </c>
      <c r="N2167" t="inlineStr">
        <is>
          <t>2026-04-18</t>
        </is>
      </c>
      <c r="O2167" t="inlineStr">
        <is>
          <t>AI</t>
        </is>
      </c>
    </row>
    <row r="2168">
      <c r="A2168" t="inlineStr">
        <is>
          <t>PT Jhonlin Agro Raya Tbk</t>
        </is>
      </c>
      <c r="B2168" t="inlineStr">
        <is>
          <t>JARR_2022_AR.pdf</t>
        </is>
      </c>
      <c r="C2168" t="n">
        <v>2022</v>
      </c>
      <c r="D2168" t="inlineStr">
        <is>
          <t>Financial</t>
        </is>
      </c>
      <c r="E2168" t="inlineStr">
        <is>
          <t>Short-term Bank Loans</t>
        </is>
      </c>
      <c r="F2168" t="n">
        <v>215</v>
      </c>
      <c r="G2168" t="inlineStr">
        <is>
          <t>IDR bn</t>
        </is>
      </c>
      <c r="H2168" t="n">
        <v>215</v>
      </c>
      <c r="I2168" t="inlineStr">
        <is>
          <t>Pinjaman bank (jangka pendek) 214.700.000.000</t>
        </is>
      </c>
      <c r="J2168" t="inlineStr">
        <is>
          <t>High</t>
        </is>
      </c>
      <c r="M2168" t="inlineStr">
        <is>
          <t>LLM</t>
        </is>
      </c>
      <c r="N2168" t="inlineStr">
        <is>
          <t>2026-04-18</t>
        </is>
      </c>
      <c r="O2168" t="inlineStr">
        <is>
          <t>AI</t>
        </is>
      </c>
    </row>
    <row r="2169">
      <c r="A2169" t="inlineStr">
        <is>
          <t>PT Jhonlin Agro Raya Tbk</t>
        </is>
      </c>
      <c r="B2169" t="inlineStr">
        <is>
          <t>JARR_2022_AR.pdf</t>
        </is>
      </c>
      <c r="C2169" t="n">
        <v>2022</v>
      </c>
      <c r="D2169" t="inlineStr">
        <is>
          <t>Financial</t>
        </is>
      </c>
      <c r="E2169" t="inlineStr">
        <is>
          <t>Current Portion of LT Bank Loans</t>
        </is>
      </c>
      <c r="F2169" t="n">
        <v>15</v>
      </c>
      <c r="G2169" t="inlineStr">
        <is>
          <t>IDR bn</t>
        </is>
      </c>
      <c r="H2169" t="n">
        <v>215</v>
      </c>
      <c r="I2169" t="inlineStr">
        <is>
          <t>Utang bank (current maturities) 14.759.885.760</t>
        </is>
      </c>
      <c r="J2169" t="inlineStr">
        <is>
          <t>High</t>
        </is>
      </c>
      <c r="M2169" t="inlineStr">
        <is>
          <t>LLM</t>
        </is>
      </c>
      <c r="N2169" t="inlineStr">
        <is>
          <t>2026-04-18</t>
        </is>
      </c>
      <c r="O2169" t="inlineStr">
        <is>
          <t>AI</t>
        </is>
      </c>
    </row>
    <row r="2170">
      <c r="A2170" t="inlineStr">
        <is>
          <t>PT Jhonlin Agro Raya Tbk</t>
        </is>
      </c>
      <c r="B2170" t="inlineStr">
        <is>
          <t>JARR_2022_AR.pdf</t>
        </is>
      </c>
      <c r="C2170" t="n">
        <v>2022</v>
      </c>
      <c r="D2170" t="inlineStr">
        <is>
          <t>Financial</t>
        </is>
      </c>
      <c r="E2170" t="inlineStr">
        <is>
          <t>Long-term Bank Loans</t>
        </is>
      </c>
      <c r="F2170" t="n">
        <v>1216</v>
      </c>
      <c r="G2170" t="inlineStr">
        <is>
          <t>IDR bn</t>
        </is>
      </c>
      <c r="H2170" t="n">
        <v>215</v>
      </c>
      <c r="I2170" t="inlineStr">
        <is>
          <t>Utang bank jangka panjang 1.216.336.010.955</t>
        </is>
      </c>
      <c r="J2170" t="inlineStr">
        <is>
          <t>High</t>
        </is>
      </c>
      <c r="M2170" t="inlineStr">
        <is>
          <t>LLM</t>
        </is>
      </c>
      <c r="N2170" t="inlineStr">
        <is>
          <t>2026-04-18</t>
        </is>
      </c>
      <c r="O2170" t="inlineStr">
        <is>
          <t>AI</t>
        </is>
      </c>
    </row>
    <row r="2171">
      <c r="A2171" t="inlineStr">
        <is>
          <t>PT Jhonlin Agro Raya Tbk</t>
        </is>
      </c>
      <c r="B2171" t="inlineStr">
        <is>
          <t>JARR_2022_AR.pdf</t>
        </is>
      </c>
      <c r="C2171" t="n">
        <v>2022</v>
      </c>
      <c r="D2171" t="inlineStr">
        <is>
          <t>Financial</t>
        </is>
      </c>
      <c r="E2171" t="inlineStr">
        <is>
          <t>Gross Debt (ST+LT bank loans)</t>
        </is>
      </c>
      <c r="F2171" t="n">
        <v>1446</v>
      </c>
      <c r="G2171" t="inlineStr">
        <is>
          <t>IDR bn</t>
        </is>
      </c>
      <c r="H2171" t="n">
        <v>215</v>
      </c>
      <c r="I2171" t="inlineStr">
        <is>
          <t>Calculated: 214.7 + 14.76 + 1,216.34 = 1,445.8 bn</t>
        </is>
      </c>
      <c r="J2171" t="inlineStr">
        <is>
          <t>High</t>
        </is>
      </c>
      <c r="M2171" t="inlineStr">
        <is>
          <t>LLM</t>
        </is>
      </c>
      <c r="N2171" t="inlineStr">
        <is>
          <t>2026-04-18</t>
        </is>
      </c>
      <c r="O2171" t="inlineStr">
        <is>
          <t>AI</t>
        </is>
      </c>
    </row>
    <row r="2172">
      <c r="A2172" t="inlineStr">
        <is>
          <t>PT Jhonlin Agro Raya Tbk</t>
        </is>
      </c>
      <c r="B2172" t="inlineStr">
        <is>
          <t>JARR_2022_AR.pdf</t>
        </is>
      </c>
      <c r="C2172" t="n">
        <v>2022</v>
      </c>
      <c r="D2172" t="inlineStr">
        <is>
          <t>Financial</t>
        </is>
      </c>
      <c r="E2172" t="inlineStr">
        <is>
          <t>CFO (Operating)</t>
        </is>
      </c>
      <c r="F2172" t="n">
        <v>62</v>
      </c>
      <c r="G2172" t="inlineStr">
        <is>
          <t>IDR bn</t>
        </is>
      </c>
      <c r="H2172" t="n">
        <v>164</v>
      </c>
      <c r="I2172" t="inlineStr">
        <is>
          <t>Kas bersih diperoleh dari aktivitas operasi 62.444.656.738</t>
        </is>
      </c>
      <c r="J2172" t="inlineStr">
        <is>
          <t>High</t>
        </is>
      </c>
      <c r="M2172" t="inlineStr">
        <is>
          <t>LLM</t>
        </is>
      </c>
      <c r="N2172" t="inlineStr">
        <is>
          <t>2026-04-18</t>
        </is>
      </c>
      <c r="O2172" t="inlineStr">
        <is>
          <t>AI</t>
        </is>
      </c>
    </row>
    <row r="2173">
      <c r="A2173" t="inlineStr">
        <is>
          <t>PT Jhonlin Agro Raya Tbk</t>
        </is>
      </c>
      <c r="B2173" t="inlineStr">
        <is>
          <t>JARR_2022_AR.pdf</t>
        </is>
      </c>
      <c r="C2173" t="n">
        <v>2022</v>
      </c>
      <c r="D2173" t="inlineStr">
        <is>
          <t>Financial</t>
        </is>
      </c>
      <c r="E2173" t="inlineStr">
        <is>
          <t>CFI (Investing)</t>
        </is>
      </c>
      <c r="F2173" t="n">
        <v>-400</v>
      </c>
      <c r="G2173" t="inlineStr">
        <is>
          <t>IDR bn</t>
        </is>
      </c>
      <c r="H2173" t="n">
        <v>164</v>
      </c>
      <c r="I2173" t="inlineStr">
        <is>
          <t>Kas bersih digunakan untuk aktivitas investasi (399.887.802.373)</t>
        </is>
      </c>
      <c r="J2173" t="inlineStr">
        <is>
          <t>High</t>
        </is>
      </c>
      <c r="M2173" t="inlineStr">
        <is>
          <t>LLM</t>
        </is>
      </c>
      <c r="N2173" t="inlineStr">
        <is>
          <t>2026-04-18</t>
        </is>
      </c>
      <c r="O2173" t="inlineStr">
        <is>
          <t>AI</t>
        </is>
      </c>
    </row>
    <row r="2174">
      <c r="A2174" t="inlineStr">
        <is>
          <t>PT Jhonlin Agro Raya Tbk</t>
        </is>
      </c>
      <c r="B2174" t="inlineStr">
        <is>
          <t>JARR_2022_AR.pdf</t>
        </is>
      </c>
      <c r="C2174" t="n">
        <v>2022</v>
      </c>
      <c r="D2174" t="inlineStr">
        <is>
          <t>Financial</t>
        </is>
      </c>
      <c r="E2174" t="inlineStr">
        <is>
          <t>CFF (Financing)</t>
        </is>
      </c>
      <c r="F2174" t="n">
        <v>533</v>
      </c>
      <c r="G2174" t="inlineStr">
        <is>
          <t>IDR bn</t>
        </is>
      </c>
      <c r="H2174" t="n">
        <v>164</v>
      </c>
      <c r="I2174" t="inlineStr">
        <is>
          <t>Kas bersih diperoleh dari aktivitas pendanaan 533.211.495.122</t>
        </is>
      </c>
      <c r="J2174" t="inlineStr">
        <is>
          <t>High</t>
        </is>
      </c>
      <c r="M2174" t="inlineStr">
        <is>
          <t>LLM</t>
        </is>
      </c>
      <c r="N2174" t="inlineStr">
        <is>
          <t>2026-04-18</t>
        </is>
      </c>
      <c r="O2174" t="inlineStr">
        <is>
          <t>AI</t>
        </is>
      </c>
    </row>
    <row r="2175">
      <c r="A2175" t="inlineStr">
        <is>
          <t>PT Jhonlin Agro Raya Tbk</t>
        </is>
      </c>
      <c r="B2175" t="inlineStr">
        <is>
          <t>JARR_2022_AR.pdf</t>
        </is>
      </c>
      <c r="C2175" t="n">
        <v>2022</v>
      </c>
      <c r="D2175" t="inlineStr">
        <is>
          <t>Financial</t>
        </is>
      </c>
      <c r="E2175" t="inlineStr">
        <is>
          <t>Capex (Fixed Assets Addition)</t>
        </is>
      </c>
      <c r="F2175" t="n">
        <v>275</v>
      </c>
      <c r="G2175" t="inlineStr">
        <is>
          <t>IDR bn</t>
        </is>
      </c>
      <c r="H2175" t="n">
        <v>191</v>
      </c>
      <c r="I2175" t="inlineStr">
        <is>
          <t>Fixed assets additions 2022: Building 252.7 + Heavy equip 19.5 + Vehicles 0.86 + Office equip 2.65 = ~275.7 bn; note 14: 275.659 bn total additions</t>
        </is>
      </c>
      <c r="J2175" t="inlineStr">
        <is>
          <t>High</t>
        </is>
      </c>
      <c r="M2175" t="inlineStr">
        <is>
          <t>LLM</t>
        </is>
      </c>
      <c r="N2175" t="inlineStr">
        <is>
          <t>2026-04-18</t>
        </is>
      </c>
      <c r="O2175" t="inlineStr">
        <is>
          <t>AI</t>
        </is>
      </c>
    </row>
    <row r="2176">
      <c r="A2176" t="inlineStr">
        <is>
          <t>PT Jhonlin Agro Raya Tbk</t>
        </is>
      </c>
      <c r="B2176" t="inlineStr">
        <is>
          <t>JARR_2022_AR.pdf</t>
        </is>
      </c>
      <c r="C2176" t="n">
        <v>2022</v>
      </c>
      <c r="D2176" t="inlineStr">
        <is>
          <t>Financial</t>
        </is>
      </c>
      <c r="E2176" t="inlineStr">
        <is>
          <t>EPS (Basic)</t>
        </is>
      </c>
      <c r="F2176" t="n">
        <v>5.8</v>
      </c>
      <c r="G2176" t="inlineStr">
        <is>
          <t>Rp/share</t>
        </is>
      </c>
      <c r="H2176" t="n">
        <v>2</v>
      </c>
      <c r="I2176" t="inlineStr">
        <is>
          <t>Laba (Rugi) persaham 5,80</t>
        </is>
      </c>
      <c r="J2176" t="inlineStr">
        <is>
          <t>High</t>
        </is>
      </c>
      <c r="M2176" t="inlineStr">
        <is>
          <t>LLM</t>
        </is>
      </c>
      <c r="N2176" t="inlineStr">
        <is>
          <t>2026-04-18</t>
        </is>
      </c>
      <c r="O2176" t="inlineStr">
        <is>
          <t>AI</t>
        </is>
      </c>
    </row>
    <row r="2177">
      <c r="A2177" t="inlineStr">
        <is>
          <t>PT Jhonlin Agro Raya Tbk</t>
        </is>
      </c>
      <c r="B2177" t="inlineStr">
        <is>
          <t>JARR_2022_AR.pdf</t>
        </is>
      </c>
      <c r="C2177" t="n">
        <v>2022</v>
      </c>
      <c r="D2177" t="inlineStr">
        <is>
          <t>Financial</t>
        </is>
      </c>
      <c r="E2177" t="inlineStr">
        <is>
          <t>Shares Outstanding</t>
        </is>
      </c>
      <c r="F2177" t="n">
        <v>8000</v>
      </c>
      <c r="G2177" t="inlineStr">
        <is>
          <t>mn</t>
        </is>
      </c>
      <c r="H2177" t="n">
        <v>51</v>
      </c>
      <c r="I2177" t="inlineStr">
        <is>
          <t>Tpta/Total 8,000,000,000 100% (31 Dec 2022)</t>
        </is>
      </c>
      <c r="J2177" t="inlineStr">
        <is>
          <t>High</t>
        </is>
      </c>
      <c r="M2177" t="inlineStr">
        <is>
          <t>LLM</t>
        </is>
      </c>
      <c r="N2177" t="inlineStr">
        <is>
          <t>2026-04-18</t>
        </is>
      </c>
      <c r="O2177" t="inlineStr">
        <is>
          <t>AI</t>
        </is>
      </c>
    </row>
    <row r="2178">
      <c r="A2178" t="inlineStr">
        <is>
          <t>PT Jhonlin Agro Raya Tbk</t>
        </is>
      </c>
      <c r="B2178" t="inlineStr">
        <is>
          <t>JARR_2022_AR.pdf</t>
        </is>
      </c>
      <c r="C2178" t="n">
        <v>2022</v>
      </c>
      <c r="D2178" t="inlineStr">
        <is>
          <t>Financial</t>
        </is>
      </c>
      <c r="E2178" t="inlineStr">
        <is>
          <t>Closing Price (31 Dec 2022)</t>
        </is>
      </c>
      <c r="F2178" t="n">
        <v>318</v>
      </c>
      <c r="G2178" t="inlineStr">
        <is>
          <t>Rp/share</t>
        </is>
      </c>
      <c r="H2178" t="n">
        <v>5</v>
      </c>
      <c r="I2178" t="inlineStr">
        <is>
          <t>Desember Harga Penutupan 318</t>
        </is>
      </c>
      <c r="J2178" t="inlineStr">
        <is>
          <t>High</t>
        </is>
      </c>
      <c r="M2178" t="inlineStr">
        <is>
          <t>LLM</t>
        </is>
      </c>
      <c r="N2178" t="inlineStr">
        <is>
          <t>2026-04-18</t>
        </is>
      </c>
      <c r="O2178" t="inlineStr">
        <is>
          <t>AI</t>
        </is>
      </c>
    </row>
    <row r="2179">
      <c r="A2179" t="inlineStr">
        <is>
          <t>PT Jhonlin Agro Raya Tbk</t>
        </is>
      </c>
      <c r="B2179" t="inlineStr">
        <is>
          <t>JARR_2022_AR.pdf</t>
        </is>
      </c>
      <c r="C2179" t="n">
        <v>2022</v>
      </c>
      <c r="D2179" t="inlineStr">
        <is>
          <t>Financial</t>
        </is>
      </c>
      <c r="E2179" t="inlineStr">
        <is>
          <t>Market Cap (31 Dec 2022)</t>
        </is>
      </c>
      <c r="F2179" t="n">
        <v>2544</v>
      </c>
      <c r="G2179" t="inlineStr">
        <is>
          <t>IDR bn</t>
        </is>
      </c>
      <c r="H2179" t="n">
        <v>5</v>
      </c>
      <c r="I2179" t="inlineStr">
        <is>
          <t>Desember Kapitalisasi Pasar 2,544,000,000,000</t>
        </is>
      </c>
      <c r="J2179" t="inlineStr">
        <is>
          <t>High</t>
        </is>
      </c>
      <c r="M2179" t="inlineStr">
        <is>
          <t>LLM</t>
        </is>
      </c>
      <c r="N2179" t="inlineStr">
        <is>
          <t>2026-04-18</t>
        </is>
      </c>
      <c r="O2179" t="inlineStr">
        <is>
          <t>AI</t>
        </is>
      </c>
    </row>
    <row r="2180">
      <c r="A2180" t="inlineStr">
        <is>
          <t>PT Jhonlin Agro Raya Tbk</t>
        </is>
      </c>
      <c r="B2180" t="inlineStr">
        <is>
          <t>JARR_2022_AR.pdf</t>
        </is>
      </c>
      <c r="C2180" t="n">
        <v>2022</v>
      </c>
      <c r="D2180" t="inlineStr">
        <is>
          <t>Financial</t>
        </is>
      </c>
      <c r="E2180" t="inlineStr">
        <is>
          <t>Current Ratio</t>
        </is>
      </c>
      <c r="F2180" t="n">
        <v>2.28</v>
      </c>
      <c r="G2180" t="inlineStr">
        <is>
          <t>x</t>
        </is>
      </c>
      <c r="H2180" t="n">
        <v>4</v>
      </c>
      <c r="I2180" t="inlineStr">
        <is>
          <t>Current Ratio 2,28</t>
        </is>
      </c>
      <c r="J2180" t="inlineStr">
        <is>
          <t>High</t>
        </is>
      </c>
      <c r="M2180" t="inlineStr">
        <is>
          <t>LLM</t>
        </is>
      </c>
      <c r="N2180" t="inlineStr">
        <is>
          <t>2026-04-18</t>
        </is>
      </c>
      <c r="O2180" t="inlineStr">
        <is>
          <t>AI</t>
        </is>
      </c>
    </row>
    <row r="2181">
      <c r="A2181" t="inlineStr">
        <is>
          <t>PT Jhonlin Agro Raya Tbk</t>
        </is>
      </c>
      <c r="B2181" t="inlineStr">
        <is>
          <t>JARR_2022_AR.pdf</t>
        </is>
      </c>
      <c r="C2181" t="n">
        <v>2022</v>
      </c>
      <c r="D2181" t="inlineStr">
        <is>
          <t>Financial</t>
        </is>
      </c>
      <c r="E2181" t="inlineStr">
        <is>
          <t>Debt-to-Equity Ratio</t>
        </is>
      </c>
      <c r="F2181" t="n">
        <v>1.6</v>
      </c>
      <c r="G2181" t="inlineStr">
        <is>
          <t>x</t>
        </is>
      </c>
      <c r="H2181" t="n">
        <v>4</v>
      </c>
      <c r="I2181" t="inlineStr">
        <is>
          <t>Liability to equity ratio 1,60</t>
        </is>
      </c>
      <c r="J2181" t="inlineStr">
        <is>
          <t>High</t>
        </is>
      </c>
      <c r="M2181" t="inlineStr">
        <is>
          <t>LLM</t>
        </is>
      </c>
      <c r="N2181" t="inlineStr">
        <is>
          <t>2026-04-18</t>
        </is>
      </c>
      <c r="O2181" t="inlineStr">
        <is>
          <t>AI</t>
        </is>
      </c>
    </row>
    <row r="2182">
      <c r="A2182" t="inlineStr">
        <is>
          <t>PT Jhonlin Agro Raya Tbk</t>
        </is>
      </c>
      <c r="B2182" t="inlineStr">
        <is>
          <t>JARR_2022_AR.pdf</t>
        </is>
      </c>
      <c r="C2182" t="n">
        <v>2022</v>
      </c>
      <c r="D2182" t="inlineStr">
        <is>
          <t>Financial</t>
        </is>
      </c>
      <c r="E2182" t="inlineStr">
        <is>
          <t>Debt-to-Asset Ratio</t>
        </is>
      </c>
      <c r="F2182" t="n">
        <v>0.62</v>
      </c>
      <c r="G2182" t="inlineStr">
        <is>
          <t>x</t>
        </is>
      </c>
      <c r="H2182" t="n">
        <v>4</v>
      </c>
      <c r="I2182" t="inlineStr">
        <is>
          <t>Liability to asset ratio 0,62</t>
        </is>
      </c>
      <c r="J2182" t="inlineStr">
        <is>
          <t>High</t>
        </is>
      </c>
      <c r="M2182" t="inlineStr">
        <is>
          <t>LLM</t>
        </is>
      </c>
      <c r="N2182" t="inlineStr">
        <is>
          <t>2026-04-18</t>
        </is>
      </c>
      <c r="O2182" t="inlineStr">
        <is>
          <t>AI</t>
        </is>
      </c>
    </row>
    <row r="2183">
      <c r="A2183" t="inlineStr">
        <is>
          <t>PT Jhonlin Agro Raya Tbk</t>
        </is>
      </c>
      <c r="B2183" t="inlineStr">
        <is>
          <t>JARR_2022_AR.pdf</t>
        </is>
      </c>
      <c r="C2183" t="n">
        <v>2022</v>
      </c>
      <c r="D2183" t="inlineStr">
        <is>
          <t>Financial</t>
        </is>
      </c>
      <c r="E2183" t="inlineStr">
        <is>
          <t>Dividend</t>
        </is>
      </c>
      <c r="F2183" t="inlineStr">
        <is>
          <t>No dividend 2022</t>
        </is>
      </c>
      <c r="G2183" t="inlineStr">
        <is>
          <t>text</t>
        </is>
      </c>
      <c r="H2183" t="n">
        <v>82</v>
      </c>
      <c r="I2183" t="inlineStr">
        <is>
          <t>Perseroan belum membagikan Deviden di tahun 2022 dikarenakan masih dalam tahap pengembangan usaha</t>
        </is>
      </c>
      <c r="J2183" t="inlineStr">
        <is>
          <t>High</t>
        </is>
      </c>
      <c r="M2183" t="inlineStr">
        <is>
          <t>LLM</t>
        </is>
      </c>
      <c r="N2183" t="inlineStr">
        <is>
          <t>2026-04-18</t>
        </is>
      </c>
      <c r="O2183" t="inlineStr">
        <is>
          <t>AI</t>
        </is>
      </c>
    </row>
    <row r="2184">
      <c r="A2184" t="inlineStr">
        <is>
          <t>PT Jhonlin Agro Raya Tbk</t>
        </is>
      </c>
      <c r="B2184" t="inlineStr">
        <is>
          <t>JARR_2022_AR.pdf</t>
        </is>
      </c>
      <c r="C2184" t="n">
        <v>2022</v>
      </c>
      <c r="D2184" t="inlineStr">
        <is>
          <t>Financial</t>
        </is>
      </c>
      <c r="E2184" t="inlineStr">
        <is>
          <t>IPO Proceeds (Gross)</t>
        </is>
      </c>
      <c r="F2184" t="n">
        <v>366.9</v>
      </c>
      <c r="G2184" t="inlineStr">
        <is>
          <t>IDR bn</t>
        </is>
      </c>
      <c r="H2184" t="n">
        <v>164</v>
      </c>
      <c r="I2184" t="inlineStr">
        <is>
          <t>Penambahan modal melalui Penerbitan Saham 366.885.000.000 (122.295 nominal + 244.590 agio)</t>
        </is>
      </c>
      <c r="J2184" t="inlineStr">
        <is>
          <t>High</t>
        </is>
      </c>
      <c r="M2184" t="inlineStr">
        <is>
          <t>LLM</t>
        </is>
      </c>
      <c r="N2184" t="inlineStr">
        <is>
          <t>2026-04-18</t>
        </is>
      </c>
      <c r="O2184" t="inlineStr">
        <is>
          <t>AI</t>
        </is>
      </c>
    </row>
    <row r="2185">
      <c r="A2185" t="inlineStr">
        <is>
          <t>PT Jhonlin Agro Raya Tbk</t>
        </is>
      </c>
      <c r="B2185" t="inlineStr">
        <is>
          <t>JARR_2022_AR.pdf</t>
        </is>
      </c>
      <c r="C2185" t="n">
        <v>2022</v>
      </c>
      <c r="D2185" t="inlineStr">
        <is>
          <t>Financial</t>
        </is>
      </c>
      <c r="E2185" t="inlineStr">
        <is>
          <t>Trade Payables</t>
        </is>
      </c>
      <c r="F2185" t="n">
        <v>357</v>
      </c>
      <c r="G2185" t="inlineStr">
        <is>
          <t>IDR bn</t>
        </is>
      </c>
      <c r="H2185" t="inlineStr">
        <is>
          <t>balance sheet</t>
        </is>
      </c>
      <c r="I2185" t="inlineStr">
        <is>
          <t>Utang Usaha 356.838.018.427 (from 2023 AR comparative 31 Dec 2022)</t>
        </is>
      </c>
      <c r="J2185" t="inlineStr">
        <is>
          <t>High</t>
        </is>
      </c>
      <c r="M2185" t="inlineStr">
        <is>
          <t>LLM</t>
        </is>
      </c>
      <c r="N2185" t="inlineStr">
        <is>
          <t>2026-04-18</t>
        </is>
      </c>
      <c r="O2185" t="inlineStr">
        <is>
          <t>AI</t>
        </is>
      </c>
    </row>
    <row r="2186">
      <c r="A2186" t="inlineStr">
        <is>
          <t>PT Jhonlin Agro Raya Tbk</t>
        </is>
      </c>
      <c r="B2186" t="inlineStr">
        <is>
          <t>JARR_2022_AR.pdf</t>
        </is>
      </c>
      <c r="C2186" t="n">
        <v>2022</v>
      </c>
      <c r="D2186" t="inlineStr">
        <is>
          <t>Asset</t>
        </is>
      </c>
      <c r="E2186" t="inlineStr">
        <is>
          <t>Planted Area (Total)</t>
        </is>
      </c>
      <c r="F2186" t="n">
        <v>10264.87</v>
      </c>
      <c r="G2186" t="inlineStr">
        <is>
          <t>ha</t>
        </is>
      </c>
      <c r="H2186" t="n">
        <v>190</v>
      </c>
      <c r="I2186" t="inlineStr">
        <is>
          <t>Pada tanggal 31 Desember 2022, lahan yang telah ditanam oleh Perusahaan seluas 10.264,87 hektar</t>
        </is>
      </c>
      <c r="J2186" t="inlineStr">
        <is>
          <t>High</t>
        </is>
      </c>
      <c r="M2186" t="inlineStr">
        <is>
          <t>LLM</t>
        </is>
      </c>
      <c r="N2186" t="inlineStr">
        <is>
          <t>2026-04-18</t>
        </is>
      </c>
      <c r="O2186" t="inlineStr">
        <is>
          <t>AI</t>
        </is>
      </c>
    </row>
    <row r="2187">
      <c r="A2187" t="inlineStr">
        <is>
          <t>PT Jhonlin Agro Raya Tbk</t>
        </is>
      </c>
      <c r="B2187" t="inlineStr">
        <is>
          <t>JARR_2022_AR.pdf</t>
        </is>
      </c>
      <c r="C2187" t="n">
        <v>2022</v>
      </c>
      <c r="D2187" t="inlineStr">
        <is>
          <t>Asset</t>
        </is>
      </c>
      <c r="E2187" t="inlineStr">
        <is>
          <t>Mature Planted Area</t>
        </is>
      </c>
      <c r="F2187" t="n">
        <v>9370.35</v>
      </c>
      <c r="G2187" t="inlineStr">
        <is>
          <t>ha</t>
        </is>
      </c>
      <c r="H2187" t="n">
        <v>190</v>
      </c>
      <c r="I2187" t="inlineStr">
        <is>
          <t>areal yang telah menghasilkan seluas 9.370,35 hektar</t>
        </is>
      </c>
      <c r="J2187" t="inlineStr">
        <is>
          <t>High</t>
        </is>
      </c>
      <c r="M2187" t="inlineStr">
        <is>
          <t>LLM</t>
        </is>
      </c>
      <c r="N2187" t="inlineStr">
        <is>
          <t>2026-04-18</t>
        </is>
      </c>
      <c r="O2187" t="inlineStr">
        <is>
          <t>AI</t>
        </is>
      </c>
    </row>
    <row r="2188">
      <c r="A2188" t="inlineStr">
        <is>
          <t>PT Jhonlin Agro Raya Tbk</t>
        </is>
      </c>
      <c r="B2188" t="inlineStr">
        <is>
          <t>JARR_2022_AR.pdf</t>
        </is>
      </c>
      <c r="C2188" t="n">
        <v>2022</v>
      </c>
      <c r="D2188" t="inlineStr">
        <is>
          <t>Asset</t>
        </is>
      </c>
      <c r="E2188" t="inlineStr">
        <is>
          <t>Immature Planted Area</t>
        </is>
      </c>
      <c r="F2188" t="n">
        <v>894.52</v>
      </c>
      <c r="G2188" t="inlineStr">
        <is>
          <t>ha</t>
        </is>
      </c>
      <c r="H2188" t="n">
        <v>190</v>
      </c>
      <c r="I2188" t="inlineStr">
        <is>
          <t>areal yang belum menghasilkan seluas 894,52 hektar</t>
        </is>
      </c>
      <c r="J2188" t="inlineStr">
        <is>
          <t>High</t>
        </is>
      </c>
      <c r="M2188" t="inlineStr">
        <is>
          <t>LLM</t>
        </is>
      </c>
      <c r="N2188" t="inlineStr">
        <is>
          <t>2026-04-18</t>
        </is>
      </c>
      <c r="O2188" t="inlineStr">
        <is>
          <t>AI</t>
        </is>
      </c>
    </row>
    <row r="2189">
      <c r="A2189" t="inlineStr">
        <is>
          <t>PT Jhonlin Agro Raya Tbk</t>
        </is>
      </c>
      <c r="B2189" t="inlineStr">
        <is>
          <t>JARR_2022_AR.pdf</t>
        </is>
      </c>
      <c r="C2189" t="n">
        <v>2022</v>
      </c>
      <c r="D2189" t="inlineStr">
        <is>
          <t>Asset</t>
        </is>
      </c>
      <c r="E2189" t="inlineStr">
        <is>
          <t>HGU Area (Total)</t>
        </is>
      </c>
      <c r="F2189" t="n">
        <v>17020</v>
      </c>
      <c r="G2189" t="inlineStr">
        <is>
          <t>ha</t>
        </is>
      </c>
      <c r="H2189" t="n">
        <v>192</v>
      </c>
      <c r="I2189" t="inlineStr">
        <is>
          <t>Hak Guna Usaha (HGU) total are 17,020 hectares, for a period of 35 years until 2055</t>
        </is>
      </c>
      <c r="J2189" t="inlineStr">
        <is>
          <t>High</t>
        </is>
      </c>
      <c r="M2189" t="inlineStr">
        <is>
          <t>LLM</t>
        </is>
      </c>
      <c r="N2189" t="inlineStr">
        <is>
          <t>2026-04-18</t>
        </is>
      </c>
      <c r="O2189" t="inlineStr">
        <is>
          <t>AI</t>
        </is>
      </c>
    </row>
    <row r="2190">
      <c r="A2190" t="inlineStr">
        <is>
          <t>PT Jhonlin Agro Raya Tbk</t>
        </is>
      </c>
      <c r="B2190" t="inlineStr">
        <is>
          <t>JARR_2022_AR.pdf</t>
        </is>
      </c>
      <c r="C2190" t="n">
        <v>2022</v>
      </c>
      <c r="D2190" t="inlineStr">
        <is>
          <t>Asset</t>
        </is>
      </c>
      <c r="E2190" t="inlineStr">
        <is>
          <t>Biodiesel Plant Capacity</t>
        </is>
      </c>
      <c r="F2190" t="n">
        <v>1500</v>
      </c>
      <c r="G2190" t="inlineStr">
        <is>
          <t>TPD</t>
        </is>
      </c>
      <c r="H2190" t="n">
        <v>18</v>
      </c>
      <c r="I2190" t="inlineStr">
        <is>
          <t>pabrik Biodiesel dengan kapasitas 1.500 Ton Per Hari... beroperasi sejak September 2021</t>
        </is>
      </c>
      <c r="J2190" t="inlineStr">
        <is>
          <t>High</t>
        </is>
      </c>
      <c r="M2190" t="inlineStr">
        <is>
          <t>LLM</t>
        </is>
      </c>
      <c r="N2190" t="inlineStr">
        <is>
          <t>2026-04-18</t>
        </is>
      </c>
      <c r="O2190" t="inlineStr">
        <is>
          <t>AI</t>
        </is>
      </c>
    </row>
    <row r="2191">
      <c r="A2191" t="inlineStr">
        <is>
          <t>PT Jhonlin Agro Raya Tbk</t>
        </is>
      </c>
      <c r="B2191" t="inlineStr">
        <is>
          <t>JARR_2022_AR.pdf</t>
        </is>
      </c>
      <c r="C2191" t="n">
        <v>2022</v>
      </c>
      <c r="D2191" t="inlineStr">
        <is>
          <t>Asset</t>
        </is>
      </c>
      <c r="E2191" t="inlineStr">
        <is>
          <t>Cooking Oil Plant Capacity</t>
        </is>
      </c>
      <c r="F2191" t="n">
        <v>250</v>
      </c>
      <c r="G2191" t="inlineStr">
        <is>
          <t>TPD</t>
        </is>
      </c>
      <c r="H2191" t="n">
        <v>14</v>
      </c>
      <c r="I2191" t="inlineStr">
        <is>
          <t>Cooking Oil with a capacity of 250 TPD, which will be marketed starting early 2023</t>
        </is>
      </c>
      <c r="J2191" t="inlineStr">
        <is>
          <t>High</t>
        </is>
      </c>
      <c r="M2191" t="inlineStr">
        <is>
          <t>LLM</t>
        </is>
      </c>
      <c r="N2191" t="inlineStr">
        <is>
          <t>2026-04-18</t>
        </is>
      </c>
      <c r="O2191" t="inlineStr">
        <is>
          <t>AI</t>
        </is>
      </c>
    </row>
    <row r="2192">
      <c r="A2192" t="inlineStr">
        <is>
          <t>PT Jhonlin Agro Raya Tbk</t>
        </is>
      </c>
      <c r="B2192" t="inlineStr">
        <is>
          <t>JARR_2022_AR.pdf</t>
        </is>
      </c>
      <c r="C2192" t="n">
        <v>2022</v>
      </c>
      <c r="D2192" t="inlineStr">
        <is>
          <t>Asset</t>
        </is>
      </c>
      <c r="E2192" t="inlineStr">
        <is>
          <t>PKS (Palm Oil Mill) Capacity - Under Construction</t>
        </is>
      </c>
      <c r="F2192" t="n">
        <v>60</v>
      </c>
      <c r="G2192" t="inlineStr">
        <is>
          <t>TPH</t>
        </is>
      </c>
      <c r="H2192" t="n">
        <v>11</v>
      </c>
      <c r="I2192" t="inlineStr">
        <is>
          <t>PKS land with a capacity of 60 TPH has started in January 2022 and is planned to be completed in December 2023</t>
        </is>
      </c>
      <c r="J2192" t="inlineStr">
        <is>
          <t>High</t>
        </is>
      </c>
      <c r="M2192" t="inlineStr">
        <is>
          <t>LLM</t>
        </is>
      </c>
      <c r="N2192" t="inlineStr">
        <is>
          <t>2026-04-18</t>
        </is>
      </c>
      <c r="O2192" t="inlineStr">
        <is>
          <t>AI</t>
        </is>
      </c>
    </row>
    <row r="2193">
      <c r="A2193" t="inlineStr">
        <is>
          <t>PT Jhonlin Agro Raya Tbk</t>
        </is>
      </c>
      <c r="B2193" t="inlineStr">
        <is>
          <t>JARR_2022_AR.pdf</t>
        </is>
      </c>
      <c r="C2193" t="n">
        <v>2022</v>
      </c>
      <c r="D2193" t="inlineStr">
        <is>
          <t>Asset</t>
        </is>
      </c>
      <c r="E2193" t="inlineStr">
        <is>
          <t>PKS (Palm Oil Mill) Count - Operating</t>
        </is>
      </c>
      <c r="F2193" t="n">
        <v>0</v>
      </c>
      <c r="G2193" t="inlineStr">
        <is>
          <t>count</t>
        </is>
      </c>
      <c r="H2193" t="n">
        <v>14</v>
      </c>
      <c r="I2193" t="inlineStr">
        <is>
          <t>Currently, the Company is still taking CPO from third parties because the Company has not been able to process the FFB it has into CPO</t>
        </is>
      </c>
      <c r="J2193" t="inlineStr">
        <is>
          <t>High</t>
        </is>
      </c>
      <c r="M2193" t="inlineStr">
        <is>
          <t>LLM</t>
        </is>
      </c>
      <c r="N2193" t="inlineStr">
        <is>
          <t>2026-04-18</t>
        </is>
      </c>
      <c r="O2193" t="inlineStr">
        <is>
          <t>AI</t>
        </is>
      </c>
    </row>
    <row r="2194">
      <c r="A2194" t="inlineStr">
        <is>
          <t>PT Jhonlin Agro Raya Tbk</t>
        </is>
      </c>
      <c r="B2194" t="inlineStr">
        <is>
          <t>JARR_2022_AR.pdf</t>
        </is>
      </c>
      <c r="C2194" t="n">
        <v>2022</v>
      </c>
      <c r="D2194" t="inlineStr">
        <is>
          <t>Asset</t>
        </is>
      </c>
      <c r="E2194" t="inlineStr">
        <is>
          <t>Fixed Assets Net Book Value</t>
        </is>
      </c>
      <c r="F2194" t="n">
        <v>1237</v>
      </c>
      <c r="G2194" t="inlineStr">
        <is>
          <t>IDR bn</t>
        </is>
      </c>
      <c r="H2194" t="n">
        <v>191</v>
      </c>
      <c r="I2194" t="inlineStr">
        <is>
          <t>Nilai tercatat neto 1.237.306.145.116</t>
        </is>
      </c>
      <c r="J2194" t="inlineStr">
        <is>
          <t>High</t>
        </is>
      </c>
      <c r="M2194" t="inlineStr">
        <is>
          <t>LLM</t>
        </is>
      </c>
      <c r="N2194" t="inlineStr">
        <is>
          <t>2026-04-18</t>
        </is>
      </c>
      <c r="O2194" t="inlineStr">
        <is>
          <t>AI</t>
        </is>
      </c>
    </row>
    <row r="2195">
      <c r="A2195" t="inlineStr">
        <is>
          <t>PT Jhonlin Agro Raya Tbk</t>
        </is>
      </c>
      <c r="B2195" t="inlineStr">
        <is>
          <t>JARR_2022_AR.pdf</t>
        </is>
      </c>
      <c r="C2195" t="n">
        <v>2022</v>
      </c>
      <c r="D2195" t="inlineStr">
        <is>
          <t>Asset</t>
        </is>
      </c>
      <c r="E2195" t="inlineStr">
        <is>
          <t>Bearer Plants - Mature (NBV)</t>
        </is>
      </c>
      <c r="F2195" t="n">
        <v>84.90000000000001</v>
      </c>
      <c r="G2195" t="inlineStr">
        <is>
          <t>IDR bn</t>
        </is>
      </c>
      <c r="H2195" t="n">
        <v>190</v>
      </c>
      <c r="I2195" t="inlineStr">
        <is>
          <t>Tanaman menghasilkan Nilai buku - bersih 84.889.061.286</t>
        </is>
      </c>
      <c r="J2195" t="inlineStr">
        <is>
          <t>High</t>
        </is>
      </c>
      <c r="M2195" t="inlineStr">
        <is>
          <t>LLM</t>
        </is>
      </c>
      <c r="N2195" t="inlineStr">
        <is>
          <t>2026-04-18</t>
        </is>
      </c>
      <c r="O2195" t="inlineStr">
        <is>
          <t>AI</t>
        </is>
      </c>
    </row>
    <row r="2196">
      <c r="A2196" t="inlineStr">
        <is>
          <t>PT Jhonlin Agro Raya Tbk</t>
        </is>
      </c>
      <c r="B2196" t="inlineStr">
        <is>
          <t>JARR_2022_AR.pdf</t>
        </is>
      </c>
      <c r="C2196" t="n">
        <v>2022</v>
      </c>
      <c r="D2196" t="inlineStr">
        <is>
          <t>Asset</t>
        </is>
      </c>
      <c r="E2196" t="inlineStr">
        <is>
          <t>Bearer Plants - Immature (NBV)</t>
        </is>
      </c>
      <c r="F2196" t="n">
        <v>158.8</v>
      </c>
      <c r="G2196" t="inlineStr">
        <is>
          <t>IDR bn</t>
        </is>
      </c>
      <c r="H2196" t="n">
        <v>190</v>
      </c>
      <c r="I2196" t="inlineStr">
        <is>
          <t>Tanaman belum menghasilkan Jumlah 158.844.584.721</t>
        </is>
      </c>
      <c r="J2196" t="inlineStr">
        <is>
          <t>High</t>
        </is>
      </c>
      <c r="M2196" t="inlineStr">
        <is>
          <t>LLM</t>
        </is>
      </c>
      <c r="N2196" t="inlineStr">
        <is>
          <t>2026-04-18</t>
        </is>
      </c>
      <c r="O2196" t="inlineStr">
        <is>
          <t>AI</t>
        </is>
      </c>
    </row>
    <row r="2197">
      <c r="A2197" t="inlineStr">
        <is>
          <t>PT Jhonlin Agro Raya Tbk</t>
        </is>
      </c>
      <c r="B2197" t="inlineStr">
        <is>
          <t>JARR_2022_AR.pdf</t>
        </is>
      </c>
      <c r="C2197" t="n">
        <v>2022</v>
      </c>
      <c r="D2197" t="inlineStr">
        <is>
          <t>Asset</t>
        </is>
      </c>
      <c r="E2197" t="inlineStr">
        <is>
          <t>Nursery (NBV)</t>
        </is>
      </c>
      <c r="F2197" t="n">
        <v>46.1</v>
      </c>
      <c r="G2197" t="inlineStr">
        <is>
          <t>IDR bn</t>
        </is>
      </c>
      <c r="H2197" t="n">
        <v>190</v>
      </c>
      <c r="I2197" t="inlineStr">
        <is>
          <t>Pembibitan Jumlah 46.058.628.220</t>
        </is>
      </c>
      <c r="J2197" t="inlineStr">
        <is>
          <t>High</t>
        </is>
      </c>
      <c r="M2197" t="inlineStr">
        <is>
          <t>LLM</t>
        </is>
      </c>
      <c r="N2197" t="inlineStr">
        <is>
          <t>2026-04-18</t>
        </is>
      </c>
      <c r="O2197" t="inlineStr">
        <is>
          <t>AI</t>
        </is>
      </c>
    </row>
    <row r="2198">
      <c r="A2198" t="inlineStr">
        <is>
          <t>PT Jhonlin Agro Raya Tbk</t>
        </is>
      </c>
      <c r="B2198" t="inlineStr">
        <is>
          <t>JARR_2022_AR.pdf</t>
        </is>
      </c>
      <c r="C2198" t="n">
        <v>2022</v>
      </c>
      <c r="D2198" t="inlineStr">
        <is>
          <t>Asset</t>
        </is>
      </c>
      <c r="E2198" t="inlineStr">
        <is>
          <t>Plasma Plantation Area</t>
        </is>
      </c>
      <c r="F2198" t="n">
        <v>518.12</v>
      </c>
      <c r="G2198" t="inlineStr">
        <is>
          <t>ha</t>
        </is>
      </c>
      <c r="H2198" t="n">
        <v>189</v>
      </c>
      <c r="I2198" t="inlineStr">
        <is>
          <t>plasma plantations located in Kalimantan total area 518.12 hectares (signed Nov 2021 with Koperasi Jasa Maju Mulia Sejahtera for 4,064.3 Ha target)</t>
        </is>
      </c>
      <c r="J2198" t="inlineStr">
        <is>
          <t>High</t>
        </is>
      </c>
      <c r="M2198" t="inlineStr">
        <is>
          <t>LLM</t>
        </is>
      </c>
      <c r="N2198" t="inlineStr">
        <is>
          <t>2026-04-18</t>
        </is>
      </c>
      <c r="O2198" t="inlineStr">
        <is>
          <t>AI</t>
        </is>
      </c>
    </row>
    <row r="2199">
      <c r="A2199" t="inlineStr">
        <is>
          <t>PT Jhonlin Agro Raya Tbk</t>
        </is>
      </c>
      <c r="B2199" t="inlineStr">
        <is>
          <t>JARR_2022_AR.pdf</t>
        </is>
      </c>
      <c r="C2199" t="n">
        <v>2022</v>
      </c>
      <c r="D2199" t="inlineStr">
        <is>
          <t>Operation</t>
        </is>
      </c>
      <c r="E2199" t="inlineStr">
        <is>
          <t>FFB Production</t>
        </is>
      </c>
      <c r="F2199" t="n">
        <v>54299</v>
      </c>
      <c r="G2199" t="inlineStr">
        <is>
          <t>t</t>
        </is>
      </c>
      <c r="H2199" t="n">
        <v>10</v>
      </c>
      <c r="I2199" t="inlineStr">
        <is>
          <t>hasil produksi Tandan Buah Segar (TBS) selama tahun 2022 secara target tercapai sebesar 167% dari yang ditargetkan sebesar 32.576 Ton, hasil yang dicapai sebesar 54.299 Ton</t>
        </is>
      </c>
      <c r="J2199" t="inlineStr">
        <is>
          <t>High</t>
        </is>
      </c>
      <c r="M2199" t="inlineStr">
        <is>
          <t>LLM</t>
        </is>
      </c>
      <c r="N2199" t="inlineStr">
        <is>
          <t>2026-04-18</t>
        </is>
      </c>
      <c r="O2199" t="inlineStr">
        <is>
          <t>AI</t>
        </is>
      </c>
    </row>
    <row r="2200">
      <c r="A2200" t="inlineStr">
        <is>
          <t>PT Jhonlin Agro Raya Tbk</t>
        </is>
      </c>
      <c r="B2200" t="inlineStr">
        <is>
          <t>JARR_2022_AR.pdf</t>
        </is>
      </c>
      <c r="C2200" t="n">
        <v>2022</v>
      </c>
      <c r="D2200" t="inlineStr">
        <is>
          <t>Operation</t>
        </is>
      </c>
      <c r="E2200" t="inlineStr">
        <is>
          <t>FAME (Biodiesel) Production</t>
        </is>
      </c>
      <c r="F2200" t="n">
        <v>308142</v>
      </c>
      <c r="G2200" t="inlineStr">
        <is>
          <t>KL</t>
        </is>
      </c>
      <c r="H2200" t="n">
        <v>10</v>
      </c>
      <c r="I2200" t="inlineStr">
        <is>
          <t>FAME... dari target 300.000 KL, hasil yang dicapai sebesar 308.142 KL</t>
        </is>
      </c>
      <c r="J2200" t="inlineStr">
        <is>
          <t>High</t>
        </is>
      </c>
      <c r="M2200" t="inlineStr">
        <is>
          <t>LLM</t>
        </is>
      </c>
      <c r="N2200" t="inlineStr">
        <is>
          <t>2026-04-18</t>
        </is>
      </c>
      <c r="O2200" t="inlineStr">
        <is>
          <t>AI</t>
        </is>
      </c>
    </row>
    <row r="2201">
      <c r="A2201" t="inlineStr">
        <is>
          <t>PT Jhonlin Agro Raya Tbk</t>
        </is>
      </c>
      <c r="B2201" t="inlineStr">
        <is>
          <t>JARR_2022_AR.pdf</t>
        </is>
      </c>
      <c r="C2201" t="n">
        <v>2022</v>
      </c>
      <c r="D2201" t="inlineStr">
        <is>
          <t>Operation</t>
        </is>
      </c>
      <c r="E2201" t="inlineStr">
        <is>
          <t>FAME Allocation Quota (Pertamina)</t>
        </is>
      </c>
      <c r="F2201" t="n">
        <v>302998</v>
      </c>
      <c r="G2201" t="inlineStr">
        <is>
          <t>KL</t>
        </is>
      </c>
      <c r="H2201" t="n">
        <v>80</v>
      </c>
      <c r="I2201" t="inlineStr">
        <is>
          <t>penetapan alokasi pengadaan Biodiesel/FAME... dalam Perjanjian No.KTR-160/PNE000000/2021-S0 sebesar 302.998 KL dalam jangka waktu pengadaan Januari-Desember 2022</t>
        </is>
      </c>
      <c r="J2201" t="inlineStr">
        <is>
          <t>High</t>
        </is>
      </c>
      <c r="M2201" t="inlineStr">
        <is>
          <t>LLM</t>
        </is>
      </c>
      <c r="N2201" t="inlineStr">
        <is>
          <t>2026-04-18</t>
        </is>
      </c>
      <c r="O2201" t="inlineStr">
        <is>
          <t>AI</t>
        </is>
      </c>
    </row>
    <row r="2202">
      <c r="A2202" t="inlineStr">
        <is>
          <t>PT Jhonlin Agro Raya Tbk</t>
        </is>
      </c>
      <c r="B2202" t="inlineStr">
        <is>
          <t>JARR_2022_AR.pdf</t>
        </is>
      </c>
      <c r="C2202" t="n">
        <v>2022</v>
      </c>
      <c r="D2202" t="inlineStr">
        <is>
          <t>Operation</t>
        </is>
      </c>
      <c r="E2202" t="inlineStr">
        <is>
          <t>Biodiesel Segment Revenue</t>
        </is>
      </c>
      <c r="F2202" t="n">
        <v>4580</v>
      </c>
      <c r="G2202" t="inlineStr">
        <is>
          <t>IDR bn</t>
        </is>
      </c>
      <c r="H2202" t="n">
        <v>219</v>
      </c>
      <c r="I2202" t="inlineStr">
        <is>
          <t>Biodiesel Penjualan bersih 4.580.499.450.860</t>
        </is>
      </c>
      <c r="J2202" t="inlineStr">
        <is>
          <t>High</t>
        </is>
      </c>
      <c r="M2202" t="inlineStr">
        <is>
          <t>LLM</t>
        </is>
      </c>
      <c r="N2202" t="inlineStr">
        <is>
          <t>2026-04-18</t>
        </is>
      </c>
      <c r="O2202" t="inlineStr">
        <is>
          <t>AI</t>
        </is>
      </c>
    </row>
    <row r="2203">
      <c r="A2203" t="inlineStr">
        <is>
          <t>PT Jhonlin Agro Raya Tbk</t>
        </is>
      </c>
      <c r="B2203" t="inlineStr">
        <is>
          <t>JARR_2022_AR.pdf</t>
        </is>
      </c>
      <c r="C2203" t="n">
        <v>2022</v>
      </c>
      <c r="D2203" t="inlineStr">
        <is>
          <t>Operation</t>
        </is>
      </c>
      <c r="E2203" t="inlineStr">
        <is>
          <t>FFB Segment Revenue</t>
        </is>
      </c>
      <c r="F2203" t="n">
        <v>127</v>
      </c>
      <c r="G2203" t="inlineStr">
        <is>
          <t>IDR bn</t>
        </is>
      </c>
      <c r="H2203" t="n">
        <v>219</v>
      </c>
      <c r="I2203" t="inlineStr">
        <is>
          <t>Tandan buah segar Penjualan bersih 127.042.886.100</t>
        </is>
      </c>
      <c r="J2203" t="inlineStr">
        <is>
          <t>High</t>
        </is>
      </c>
      <c r="M2203" t="inlineStr">
        <is>
          <t>LLM</t>
        </is>
      </c>
      <c r="N2203" t="inlineStr">
        <is>
          <t>2026-04-18</t>
        </is>
      </c>
      <c r="O2203" t="inlineStr">
        <is>
          <t>AI</t>
        </is>
      </c>
    </row>
    <row r="2204">
      <c r="A2204" t="inlineStr">
        <is>
          <t>PT Jhonlin Agro Raya Tbk</t>
        </is>
      </c>
      <c r="B2204" t="inlineStr">
        <is>
          <t>JARR_2022_AR.pdf</t>
        </is>
      </c>
      <c r="C2204" t="n">
        <v>2022</v>
      </c>
      <c r="D2204" t="inlineStr">
        <is>
          <t>Operation</t>
        </is>
      </c>
      <c r="E2204" t="inlineStr">
        <is>
          <t>FAME Revenue Target 2023</t>
        </is>
      </c>
      <c r="F2204" t="n">
        <v>5171</v>
      </c>
      <c r="G2204" t="inlineStr">
        <is>
          <t>IDR bn</t>
        </is>
      </c>
      <c r="H2204" t="n">
        <v>82</v>
      </c>
      <c r="I2204" t="inlineStr">
        <is>
          <t>1 Pendapatan/Penjualan Biodiesel Rp5.171.067.277.207,-</t>
        </is>
      </c>
      <c r="J2204" t="inlineStr">
        <is>
          <t>High</t>
        </is>
      </c>
      <c r="M2204" t="inlineStr">
        <is>
          <t>LLM</t>
        </is>
      </c>
      <c r="N2204" t="inlineStr">
        <is>
          <t>2026-04-18</t>
        </is>
      </c>
      <c r="O2204" t="inlineStr">
        <is>
          <t>AI</t>
        </is>
      </c>
    </row>
    <row r="2205">
      <c r="A2205" t="inlineStr">
        <is>
          <t>PT Jhonlin Agro Raya Tbk</t>
        </is>
      </c>
      <c r="B2205" t="inlineStr">
        <is>
          <t>JARR_2022_AR.pdf</t>
        </is>
      </c>
      <c r="C2205" t="n">
        <v>2022</v>
      </c>
      <c r="D2205" t="inlineStr">
        <is>
          <t>Operation</t>
        </is>
      </c>
      <c r="E2205" t="inlineStr">
        <is>
          <t>Planned FAME Allocation 2023</t>
        </is>
      </c>
      <c r="F2205" t="n">
        <v>250206</v>
      </c>
      <c r="G2205" t="inlineStr">
        <is>
          <t>KL</t>
        </is>
      </c>
      <c r="H2205" t="n">
        <v>220</v>
      </c>
      <c r="I2205" t="inlineStr">
        <is>
          <t>kontrak pengadaan Fatty Acid Methyl Ester (FAME) periode Januari - Desember 2023 sebanyak 250.206 KL dengan PT Pertamina Patra Niaga</t>
        </is>
      </c>
      <c r="J2205" t="inlineStr">
        <is>
          <t>High</t>
        </is>
      </c>
      <c r="M2205" t="inlineStr">
        <is>
          <t>LLM</t>
        </is>
      </c>
      <c r="N2205" t="inlineStr">
        <is>
          <t>2026-04-18</t>
        </is>
      </c>
      <c r="O2205" t="inlineStr">
        <is>
          <t>AI</t>
        </is>
      </c>
    </row>
    <row r="2206">
      <c r="A2206" t="inlineStr">
        <is>
          <t>PT Jhonlin Agro Raya Tbk</t>
        </is>
      </c>
      <c r="B2206" t="inlineStr">
        <is>
          <t>JARR_2022_AR.pdf</t>
        </is>
      </c>
      <c r="C2206" t="n">
        <v>2022</v>
      </c>
      <c r="D2206" t="inlineStr">
        <is>
          <t>Operation</t>
        </is>
      </c>
      <c r="E2206" t="inlineStr">
        <is>
          <t>Inventory - FAME (Finished)</t>
        </is>
      </c>
      <c r="F2206" t="n">
        <v>290.6</v>
      </c>
      <c r="G2206" t="inlineStr">
        <is>
          <t>IDR bn</t>
        </is>
      </c>
      <c r="H2206" t="n">
        <v>187</v>
      </c>
      <c r="I2206" t="inlineStr">
        <is>
          <t>Fatty acid methyl ester (FAME) 290.628.161.871</t>
        </is>
      </c>
      <c r="J2206" t="inlineStr">
        <is>
          <t>High</t>
        </is>
      </c>
      <c r="M2206" t="inlineStr">
        <is>
          <t>LLM</t>
        </is>
      </c>
      <c r="N2206" t="inlineStr">
        <is>
          <t>2026-04-18</t>
        </is>
      </c>
      <c r="O2206" t="inlineStr">
        <is>
          <t>AI</t>
        </is>
      </c>
    </row>
    <row r="2207">
      <c r="A2207" t="inlineStr">
        <is>
          <t>PT Jhonlin Agro Raya Tbk</t>
        </is>
      </c>
      <c r="B2207" t="inlineStr">
        <is>
          <t>JARR_2022_AR.pdf</t>
        </is>
      </c>
      <c r="C2207" t="n">
        <v>2022</v>
      </c>
      <c r="D2207" t="inlineStr">
        <is>
          <t>Operation</t>
        </is>
      </c>
      <c r="E2207" t="inlineStr">
        <is>
          <t>Inventory - PFAD</t>
        </is>
      </c>
      <c r="F2207" t="n">
        <v>49.6</v>
      </c>
      <c r="G2207" t="inlineStr">
        <is>
          <t>IDR bn</t>
        </is>
      </c>
      <c r="H2207" t="n">
        <v>187</v>
      </c>
      <c r="I2207" t="inlineStr">
        <is>
          <t>Palm fatty acid distillate (PFAD) 49.594.612.588</t>
        </is>
      </c>
      <c r="J2207" t="inlineStr">
        <is>
          <t>High</t>
        </is>
      </c>
      <c r="M2207" t="inlineStr">
        <is>
          <t>LLM</t>
        </is>
      </c>
      <c r="N2207" t="inlineStr">
        <is>
          <t>2026-04-18</t>
        </is>
      </c>
      <c r="O2207" t="inlineStr">
        <is>
          <t>AI</t>
        </is>
      </c>
    </row>
    <row r="2208">
      <c r="A2208" t="inlineStr">
        <is>
          <t>PT Jhonlin Agro Raya Tbk</t>
        </is>
      </c>
      <c r="B2208" t="inlineStr">
        <is>
          <t>JARR_2022_AR.pdf</t>
        </is>
      </c>
      <c r="C2208" t="n">
        <v>2022</v>
      </c>
      <c r="D2208" t="inlineStr">
        <is>
          <t>Operation</t>
        </is>
      </c>
      <c r="E2208" t="inlineStr">
        <is>
          <t>Inventory - Crude Glycerin</t>
        </is>
      </c>
      <c r="F2208" t="n">
        <v>39.2</v>
      </c>
      <c r="G2208" t="inlineStr">
        <is>
          <t>IDR bn</t>
        </is>
      </c>
      <c r="H2208" t="n">
        <v>187</v>
      </c>
      <c r="I2208" t="inlineStr">
        <is>
          <t>Crude glycerine (CG) 39.179.235.609</t>
        </is>
      </c>
      <c r="J2208" t="inlineStr">
        <is>
          <t>High</t>
        </is>
      </c>
      <c r="M2208" t="inlineStr">
        <is>
          <t>LLM</t>
        </is>
      </c>
      <c r="N2208" t="inlineStr">
        <is>
          <t>2026-04-18</t>
        </is>
      </c>
      <c r="O2208" t="inlineStr">
        <is>
          <t>AI</t>
        </is>
      </c>
    </row>
    <row r="2209">
      <c r="A2209" t="inlineStr">
        <is>
          <t>PT Jhonlin Agro Raya Tbk</t>
        </is>
      </c>
      <c r="B2209" t="inlineStr">
        <is>
          <t>JARR_2022_AR.pdf</t>
        </is>
      </c>
      <c r="C2209" t="n">
        <v>2022</v>
      </c>
      <c r="D2209" t="inlineStr">
        <is>
          <t>Operation</t>
        </is>
      </c>
      <c r="E2209" t="inlineStr">
        <is>
          <t>Inventory - RBDPO (WIP)</t>
        </is>
      </c>
      <c r="F2209" t="n">
        <v>80.2</v>
      </c>
      <c r="G2209" t="inlineStr">
        <is>
          <t>IDR bn</t>
        </is>
      </c>
      <c r="H2209" t="n">
        <v>187</v>
      </c>
      <c r="I2209" t="inlineStr">
        <is>
          <t>Refined, bleached deodorized Palm oil (RBDPO) 80.163.709.371</t>
        </is>
      </c>
      <c r="J2209" t="inlineStr">
        <is>
          <t>High</t>
        </is>
      </c>
      <c r="M2209" t="inlineStr">
        <is>
          <t>LLM</t>
        </is>
      </c>
      <c r="N2209" t="inlineStr">
        <is>
          <t>2026-04-18</t>
        </is>
      </c>
      <c r="O2209" t="inlineStr">
        <is>
          <t>AI</t>
        </is>
      </c>
    </row>
    <row r="2210">
      <c r="A2210" t="inlineStr">
        <is>
          <t>PT Jhonlin Agro Raya Tbk</t>
        </is>
      </c>
      <c r="B2210" t="inlineStr">
        <is>
          <t>JARR_2022_AR.pdf</t>
        </is>
      </c>
      <c r="C2210" t="n">
        <v>2022</v>
      </c>
      <c r="D2210" t="inlineStr">
        <is>
          <t>Operation</t>
        </is>
      </c>
      <c r="E2210" t="inlineStr">
        <is>
          <t>Inventory - Olein</t>
        </is>
      </c>
      <c r="F2210" t="n">
        <v>18</v>
      </c>
      <c r="G2210" t="inlineStr">
        <is>
          <t>IDR bn</t>
        </is>
      </c>
      <c r="H2210" t="n">
        <v>187</v>
      </c>
      <c r="I2210" t="inlineStr">
        <is>
          <t>Olein 17.977.257.690</t>
        </is>
      </c>
      <c r="J2210" t="inlineStr">
        <is>
          <t>High</t>
        </is>
      </c>
      <c r="M2210" t="inlineStr">
        <is>
          <t>LLM</t>
        </is>
      </c>
      <c r="N2210" t="inlineStr">
        <is>
          <t>2026-04-18</t>
        </is>
      </c>
      <c r="O2210" t="inlineStr">
        <is>
          <t>AI</t>
        </is>
      </c>
    </row>
    <row r="2211">
      <c r="A2211" t="inlineStr">
        <is>
          <t>PT Jhonlin Agro Raya Tbk</t>
        </is>
      </c>
      <c r="B2211" t="inlineStr">
        <is>
          <t>JARR_2022_AR.pdf</t>
        </is>
      </c>
      <c r="C2211" t="n">
        <v>2022</v>
      </c>
      <c r="D2211" t="inlineStr">
        <is>
          <t>Operation</t>
        </is>
      </c>
      <c r="E2211" t="inlineStr">
        <is>
          <t>Main Customer</t>
        </is>
      </c>
      <c r="F2211" t="inlineStr">
        <is>
          <t>PT Pertamina Patra Niaga</t>
        </is>
      </c>
      <c r="G2211" t="inlineStr">
        <is>
          <t>text</t>
        </is>
      </c>
      <c r="H2211" t="n">
        <v>80</v>
      </c>
      <c r="I2211" t="inlineStr">
        <is>
          <t>sebagian besar pendapatan berasal dari PT Pertamina (Persero)... Perseroan memperoleh penetapan alokasi pengadaan Biodiesel/FAME ke PT Pertamina Patra Niaga</t>
        </is>
      </c>
      <c r="J2211" t="inlineStr">
        <is>
          <t>High</t>
        </is>
      </c>
      <c r="M2211" t="inlineStr">
        <is>
          <t>LLM</t>
        </is>
      </c>
      <c r="N2211" t="inlineStr">
        <is>
          <t>2026-04-18</t>
        </is>
      </c>
      <c r="O2211" t="inlineStr">
        <is>
          <t>AI</t>
        </is>
      </c>
    </row>
    <row r="2212">
      <c r="A2212" t="inlineStr">
        <is>
          <t>PT Jhonlin Agro Raya Tbk</t>
        </is>
      </c>
      <c r="B2212" t="inlineStr">
        <is>
          <t>JARR_2022_AR.pdf</t>
        </is>
      </c>
      <c r="C2212" t="n">
        <v>2022</v>
      </c>
      <c r="D2212" t="inlineStr">
        <is>
          <t>Operation</t>
        </is>
      </c>
      <c r="E2212" t="inlineStr">
        <is>
          <t>FAME Avg Selling Price (2022 weighted)</t>
        </is>
      </c>
      <c r="F2212" t="n">
        <v>12377</v>
      </c>
      <c r="G2212" t="inlineStr">
        <is>
          <t>Rp/L</t>
        </is>
      </c>
      <c r="H2212" t="n">
        <v>75</v>
      </c>
      <c r="I2212" t="inlineStr">
        <is>
          <t>harga rata-rata 2022 (Rp12.377/Lt) (as stated in 2023 AR comparative)</t>
        </is>
      </c>
      <c r="J2212" t="inlineStr">
        <is>
          <t>High</t>
        </is>
      </c>
      <c r="M2212" t="inlineStr">
        <is>
          <t>LLM</t>
        </is>
      </c>
      <c r="N2212" t="inlineStr">
        <is>
          <t>2026-04-18</t>
        </is>
      </c>
      <c r="O2212" t="inlineStr">
        <is>
          <t>AI</t>
        </is>
      </c>
    </row>
    <row r="2213">
      <c r="A2213" t="inlineStr">
        <is>
          <t>PT Jhonlin Agro Raya Tbk</t>
        </is>
      </c>
      <c r="B2213" t="inlineStr">
        <is>
          <t>JARR_2022_AR.pdf</t>
        </is>
      </c>
      <c r="C2213" t="n">
        <v>2022</v>
      </c>
      <c r="D2213" t="inlineStr">
        <is>
          <t>Other</t>
        </is>
      </c>
      <c r="E2213" t="inlineStr">
        <is>
          <t>Receivables Collection Ratio</t>
        </is>
      </c>
      <c r="F2213" t="n">
        <v>17.37</v>
      </c>
      <c r="G2213" t="inlineStr">
        <is>
          <t>x</t>
        </is>
      </c>
      <c r="H2213" t="n">
        <v>75</v>
      </c>
      <c r="I2213" t="inlineStr">
        <is>
          <t>Tingkat Kolekbilitas Piutang 17,37</t>
        </is>
      </c>
      <c r="J2213" t="inlineStr">
        <is>
          <t>High</t>
        </is>
      </c>
      <c r="M2213" t="inlineStr">
        <is>
          <t>LLM</t>
        </is>
      </c>
      <c r="N2213" t="inlineStr">
        <is>
          <t>2026-04-18</t>
        </is>
      </c>
      <c r="O2213" t="inlineStr">
        <is>
          <t>AI</t>
        </is>
      </c>
    </row>
    <row r="2214">
      <c r="A2214" t="inlineStr">
        <is>
          <t>PT Jhonlin Agro Raya Tbk</t>
        </is>
      </c>
      <c r="B2214" t="inlineStr">
        <is>
          <t>JARR_2022_AR.pdf</t>
        </is>
      </c>
      <c r="C2214" t="n">
        <v>2022</v>
      </c>
      <c r="D2214" t="inlineStr">
        <is>
          <t>Other</t>
        </is>
      </c>
      <c r="E2214" t="inlineStr">
        <is>
          <t>IPO Fund Use - PKS Construction</t>
        </is>
      </c>
      <c r="F2214" t="n">
        <v>18.4</v>
      </c>
      <c r="G2214" t="inlineStr">
        <is>
          <t>IDR bn</t>
        </is>
      </c>
      <c r="H2214" t="n">
        <v>12</v>
      </c>
      <c r="I2214" t="inlineStr">
        <is>
          <t>Rp18,397,264,000 has been used for the construction of the Palm Oil Mill</t>
        </is>
      </c>
      <c r="J2214" t="inlineStr">
        <is>
          <t>High</t>
        </is>
      </c>
      <c r="M2214" t="inlineStr">
        <is>
          <t>LLM</t>
        </is>
      </c>
      <c r="N2214" t="inlineStr">
        <is>
          <t>2026-04-18</t>
        </is>
      </c>
      <c r="O2214" t="inlineStr">
        <is>
          <t>AI</t>
        </is>
      </c>
    </row>
    <row r="2215">
      <c r="A2215" t="inlineStr">
        <is>
          <t>PT Jhonlin Agro Raya Tbk</t>
        </is>
      </c>
      <c r="B2215" t="inlineStr">
        <is>
          <t>JARR_2022_AR.pdf</t>
        </is>
      </c>
      <c r="C2215" t="n">
        <v>2022</v>
      </c>
      <c r="D2215" t="inlineStr">
        <is>
          <t>Other</t>
        </is>
      </c>
      <c r="E2215" t="inlineStr">
        <is>
          <t>IPO Fund Use - Working Capital</t>
        </is>
      </c>
      <c r="F2215" t="n">
        <v>285.8</v>
      </c>
      <c r="G2215" t="inlineStr">
        <is>
          <t>IDR bn</t>
        </is>
      </c>
      <c r="H2215" t="n">
        <v>12</v>
      </c>
      <c r="I2215" t="inlineStr">
        <is>
          <t>IDR 285,825,596,904 for the Company's working capital needs</t>
        </is>
      </c>
      <c r="J2215" t="inlineStr">
        <is>
          <t>High</t>
        </is>
      </c>
      <c r="M2215" t="inlineStr">
        <is>
          <t>LLM</t>
        </is>
      </c>
      <c r="N2215" t="inlineStr">
        <is>
          <t>2026-04-18</t>
        </is>
      </c>
      <c r="O2215" t="inlineStr">
        <is>
          <t>AI</t>
        </is>
      </c>
    </row>
    <row r="2216">
      <c r="A2216" t="inlineStr">
        <is>
          <t>PT Jhonlin Agro Raya Tbk</t>
        </is>
      </c>
      <c r="B2216" t="inlineStr">
        <is>
          <t>JARR_2022_AR.pdf</t>
        </is>
      </c>
      <c r="C2216" t="n">
        <v>2022</v>
      </c>
      <c r="D2216" t="inlineStr">
        <is>
          <t>Other</t>
        </is>
      </c>
      <c r="E2216" t="inlineStr">
        <is>
          <t>IPO Fund Unused</t>
        </is>
      </c>
      <c r="F2216" t="n">
        <v>57.6</v>
      </c>
      <c r="G2216" t="inlineStr">
        <is>
          <t>IDR bn</t>
        </is>
      </c>
      <c r="H2216" t="n">
        <v>12</v>
      </c>
      <c r="I2216" t="inlineStr">
        <is>
          <t>remaining IDR 57,581,692,139 has not yet been used because the Palm Oil Mill (PKS) is still under construction</t>
        </is>
      </c>
      <c r="J2216" t="inlineStr">
        <is>
          <t>High</t>
        </is>
      </c>
      <c r="M2216" t="inlineStr">
        <is>
          <t>LLM</t>
        </is>
      </c>
      <c r="N2216" t="inlineStr">
        <is>
          <t>2026-04-18</t>
        </is>
      </c>
      <c r="O2216" t="inlineStr">
        <is>
          <t>AI</t>
        </is>
      </c>
    </row>
    <row r="2217">
      <c r="A2217" t="inlineStr">
        <is>
          <t>PT Jhonlin Agro Raya Tbk</t>
        </is>
      </c>
      <c r="B2217" t="inlineStr">
        <is>
          <t>JARR_2022_AR.pdf</t>
        </is>
      </c>
      <c r="C2217" t="n">
        <v>2022</v>
      </c>
      <c r="D2217" t="inlineStr">
        <is>
          <t>Other</t>
        </is>
      </c>
      <c r="E2217" t="inlineStr">
        <is>
          <t>Employees - Full-time</t>
        </is>
      </c>
      <c r="G2217" t="inlineStr">
        <is>
          <t>count</t>
        </is>
      </c>
      <c r="I2217" t="inlineStr">
        <is>
          <t>Not clearly stated in 2022 AR extracted</t>
        </is>
      </c>
      <c r="J2217" t="inlineStr">
        <is>
          <t>Low</t>
        </is>
      </c>
      <c r="M2217" t="inlineStr">
        <is>
          <t>LLM</t>
        </is>
      </c>
      <c r="N2217" t="inlineStr">
        <is>
          <t>2026-04-18</t>
        </is>
      </c>
      <c r="O2217" t="inlineStr">
        <is>
          <t>AI</t>
        </is>
      </c>
    </row>
    <row r="2218">
      <c r="A2218" t="inlineStr">
        <is>
          <t>PT Jhonlin Agro Raya Tbk</t>
        </is>
      </c>
      <c r="B2218" t="inlineStr">
        <is>
          <t>JARR_2023_AR.pdf</t>
        </is>
      </c>
      <c r="C2218" t="n">
        <v>2023</v>
      </c>
      <c r="D2218" t="inlineStr">
        <is>
          <t>Company</t>
        </is>
      </c>
      <c r="E2218" t="inlineStr">
        <is>
          <t>Company Name</t>
        </is>
      </c>
      <c r="F2218" t="inlineStr">
        <is>
          <t>PT Jhonlin Agro Raya Tbk</t>
        </is>
      </c>
      <c r="G2218" t="inlineStr">
        <is>
          <t>text</t>
        </is>
      </c>
      <c r="H2218" t="n">
        <v>1</v>
      </c>
      <c r="I2218" t="inlineStr">
        <is>
          <t>PT Jhonlin Agro Raya Tbk Annual Report 2023</t>
        </is>
      </c>
      <c r="J2218" t="inlineStr">
        <is>
          <t>High</t>
        </is>
      </c>
      <c r="M2218" t="inlineStr">
        <is>
          <t>LLM</t>
        </is>
      </c>
      <c r="N2218" t="inlineStr">
        <is>
          <t>2026-04-18</t>
        </is>
      </c>
      <c r="O2218" t="inlineStr">
        <is>
          <t>AI</t>
        </is>
      </c>
    </row>
    <row r="2219">
      <c r="A2219" t="inlineStr">
        <is>
          <t>PT Jhonlin Agro Raya Tbk</t>
        </is>
      </c>
      <c r="B2219" t="inlineStr">
        <is>
          <t>JARR_2023_AR.pdf</t>
        </is>
      </c>
      <c r="C2219" t="n">
        <v>2023</v>
      </c>
      <c r="D2219" t="inlineStr">
        <is>
          <t>Company</t>
        </is>
      </c>
      <c r="E2219" t="inlineStr">
        <is>
          <t>Controlling Shareholder</t>
        </is>
      </c>
      <c r="F2219" t="inlineStr">
        <is>
          <t>PT Eshan Agro Sentosa 84.64%</t>
        </is>
      </c>
      <c r="G2219" t="inlineStr">
        <is>
          <t>%</t>
        </is>
      </c>
      <c r="H2219" t="n">
        <v>53</v>
      </c>
      <c r="I2219" t="inlineStr">
        <is>
          <t>PT Eshan Agro Sentosa 7.997.556.204 84,64% Controller (Data per 31 Desember 2023)</t>
        </is>
      </c>
      <c r="J2219" t="inlineStr">
        <is>
          <t>High</t>
        </is>
      </c>
      <c r="M2219" t="inlineStr">
        <is>
          <t>LLM</t>
        </is>
      </c>
      <c r="N2219" t="inlineStr">
        <is>
          <t>2026-04-18</t>
        </is>
      </c>
      <c r="O2219" t="inlineStr">
        <is>
          <t>AI</t>
        </is>
      </c>
    </row>
    <row r="2220">
      <c r="A2220" t="inlineStr">
        <is>
          <t>PT Jhonlin Agro Raya Tbk</t>
        </is>
      </c>
      <c r="B2220" t="inlineStr">
        <is>
          <t>JARR_2023_AR.pdf</t>
        </is>
      </c>
      <c r="C2220" t="n">
        <v>2023</v>
      </c>
      <c r="D2220" t="inlineStr">
        <is>
          <t>Company</t>
        </is>
      </c>
      <c r="E2220" t="inlineStr">
        <is>
          <t>Shares Outstanding Dec 2023</t>
        </is>
      </c>
      <c r="F2220" t="n">
        <v>9230665050</v>
      </c>
      <c r="G2220" t="inlineStr">
        <is>
          <t>shares</t>
        </is>
      </c>
      <c r="H2220" t="n">
        <v>53</v>
      </c>
      <c r="I2220" t="inlineStr">
        <is>
          <t>Total 9.230.665.050 100%</t>
        </is>
      </c>
      <c r="J2220" t="inlineStr">
        <is>
          <t>High</t>
        </is>
      </c>
      <c r="M2220" t="inlineStr">
        <is>
          <t>LLM</t>
        </is>
      </c>
      <c r="N2220" t="inlineStr">
        <is>
          <t>2026-04-18</t>
        </is>
      </c>
      <c r="O2220" t="inlineStr">
        <is>
          <t>AI</t>
        </is>
      </c>
    </row>
    <row r="2221">
      <c r="A2221" t="inlineStr">
        <is>
          <t>PT Jhonlin Agro Raya Tbk</t>
        </is>
      </c>
      <c r="B2221" t="inlineStr">
        <is>
          <t>JARR_2023_AR.pdf</t>
        </is>
      </c>
      <c r="C2221" t="n">
        <v>2023</v>
      </c>
      <c r="D2221" t="inlineStr">
        <is>
          <t>Company</t>
        </is>
      </c>
      <c r="E2221" t="inlineStr">
        <is>
          <t>Public Float</t>
        </is>
      </c>
      <c r="F2221" t="n">
        <v>0.1325</v>
      </c>
      <c r="G2221" t="inlineStr">
        <is>
          <t>%</t>
        </is>
      </c>
      <c r="H2221" t="n">
        <v>53</v>
      </c>
      <c r="I2221" t="inlineStr">
        <is>
          <t>Public 1.222.950.000 13,25%</t>
        </is>
      </c>
      <c r="J2221" t="inlineStr">
        <is>
          <t>High</t>
        </is>
      </c>
      <c r="M2221" t="inlineStr">
        <is>
          <t>LLM</t>
        </is>
      </c>
      <c r="N2221" t="inlineStr">
        <is>
          <t>2026-04-18</t>
        </is>
      </c>
      <c r="O2221" t="inlineStr">
        <is>
          <t>AI</t>
        </is>
      </c>
    </row>
    <row r="2222">
      <c r="A2222" t="inlineStr">
        <is>
          <t>PT Jhonlin Agro Raya Tbk</t>
        </is>
      </c>
      <c r="B2222" t="inlineStr">
        <is>
          <t>JARR_2023_AR.pdf</t>
        </is>
      </c>
      <c r="C2222" t="n">
        <v>2023</v>
      </c>
      <c r="D2222" t="inlineStr">
        <is>
          <t>Company</t>
        </is>
      </c>
      <c r="E2222" t="inlineStr">
        <is>
          <t>Ultimate Owners</t>
        </is>
      </c>
      <c r="F2222" t="inlineStr">
        <is>
          <t>H. SAMSUDIN ANDI ARSYAD / H. SUDIRMAN ANDI ARSYAD / JHONY SAPUTRA via PT Jhonlin Group</t>
        </is>
      </c>
      <c r="G2222" t="inlineStr">
        <is>
          <t>text</t>
        </is>
      </c>
      <c r="H2222" t="n">
        <v>56</v>
      </c>
      <c r="I2222" t="inlineStr">
        <is>
          <t>BAGAN UBO PT JHONLIN AGRO RAYA Tbk PER 31 DESEMBER 2023: H. SAMSUDIN ANDI ARSYAD 99,6% PT ESHAN RIMBA AGRO 7,42%... PT JHONLIN GROUP 92,51%... PT ESHAN AGRO RAYA 84,64%</t>
        </is>
      </c>
      <c r="J2222" t="inlineStr">
        <is>
          <t>High</t>
        </is>
      </c>
      <c r="M2222" t="inlineStr">
        <is>
          <t>LLM</t>
        </is>
      </c>
      <c r="N2222" t="inlineStr">
        <is>
          <t>2026-04-18</t>
        </is>
      </c>
      <c r="O2222" t="inlineStr">
        <is>
          <t>AI</t>
        </is>
      </c>
    </row>
    <row r="2223">
      <c r="A2223" t="inlineStr">
        <is>
          <t>PT Jhonlin Agro Raya Tbk</t>
        </is>
      </c>
      <c r="B2223" t="inlineStr">
        <is>
          <t>JARR_2023_AR.pdf</t>
        </is>
      </c>
      <c r="C2223" t="n">
        <v>2023</v>
      </c>
      <c r="D2223" t="inlineStr">
        <is>
          <t>Company</t>
        </is>
      </c>
      <c r="E2223" t="inlineStr">
        <is>
          <t>Business Merger</t>
        </is>
      </c>
      <c r="F2223" t="inlineStr">
        <is>
          <t>Merger with PT Jhonlin Agro Lestari (JAL) 24 Nov 2023</t>
        </is>
      </c>
      <c r="G2223" t="inlineStr">
        <is>
          <t>text</t>
        </is>
      </c>
      <c r="H2223" t="n">
        <v>8</v>
      </c>
      <c r="I2223" t="inlineStr">
        <is>
          <t>Deed of Merger No. 29 dated November 24, 2023... JAL's status is terminated by operation of law</t>
        </is>
      </c>
      <c r="J2223" t="inlineStr">
        <is>
          <t>High</t>
        </is>
      </c>
      <c r="M2223" t="inlineStr">
        <is>
          <t>LLM</t>
        </is>
      </c>
      <c r="N2223" t="inlineStr">
        <is>
          <t>2026-04-18</t>
        </is>
      </c>
      <c r="O2223" t="inlineStr">
        <is>
          <t>AI</t>
        </is>
      </c>
    </row>
    <row r="2224">
      <c r="A2224" t="inlineStr">
        <is>
          <t>PT Jhonlin Agro Raya Tbk</t>
        </is>
      </c>
      <c r="B2224" t="inlineStr">
        <is>
          <t>JARR_2023_AR.pdf</t>
        </is>
      </c>
      <c r="C2224" t="n">
        <v>2023</v>
      </c>
      <c r="D2224" t="inlineStr">
        <is>
          <t>Company</t>
        </is>
      </c>
      <c r="E2224" t="inlineStr">
        <is>
          <t>HGU Area (After Merger)</t>
        </is>
      </c>
      <c r="F2224" t="n">
        <v>27936.72</v>
      </c>
      <c r="G2224" t="inlineStr">
        <is>
          <t>ha</t>
        </is>
      </c>
      <c r="H2224" t="n">
        <v>28</v>
      </c>
      <c r="I2224" t="inlineStr">
        <is>
          <t>perseroan memiliki lahan perkebunan kelapa sawit seluas 27.936,72 hektar</t>
        </is>
      </c>
      <c r="J2224" t="inlineStr">
        <is>
          <t>High</t>
        </is>
      </c>
      <c r="M2224" t="inlineStr">
        <is>
          <t>LLM</t>
        </is>
      </c>
      <c r="N2224" t="inlineStr">
        <is>
          <t>2026-04-18</t>
        </is>
      </c>
      <c r="O2224" t="inlineStr">
        <is>
          <t>AI</t>
        </is>
      </c>
    </row>
    <row r="2225">
      <c r="A2225" t="inlineStr">
        <is>
          <t>PT Jhonlin Agro Raya Tbk</t>
        </is>
      </c>
      <c r="B2225" t="inlineStr">
        <is>
          <t>JARR_2023_AR.pdf</t>
        </is>
      </c>
      <c r="C2225" t="n">
        <v>2023</v>
      </c>
      <c r="D2225" t="inlineStr">
        <is>
          <t>Company</t>
        </is>
      </c>
      <c r="E2225" t="inlineStr">
        <is>
          <t>Listing Board Move</t>
        </is>
      </c>
      <c r="F2225" t="inlineStr">
        <is>
          <t>Moved from Development Board to Main Board 2023</t>
        </is>
      </c>
      <c r="G2225" t="inlineStr">
        <is>
          <t>text</t>
        </is>
      </c>
      <c r="H2225" t="n">
        <v>26</v>
      </c>
      <c r="I2225" t="inlineStr">
        <is>
          <t>The Company moved from the listing board on the Indonesia Stock Exchange from the development board to the main board</t>
        </is>
      </c>
      <c r="J2225" t="inlineStr">
        <is>
          <t>High</t>
        </is>
      </c>
      <c r="M2225" t="inlineStr">
        <is>
          <t>LLM</t>
        </is>
      </c>
      <c r="N2225" t="inlineStr">
        <is>
          <t>2026-04-18</t>
        </is>
      </c>
      <c r="O2225" t="inlineStr">
        <is>
          <t>AI</t>
        </is>
      </c>
    </row>
    <row r="2226">
      <c r="A2226" t="inlineStr">
        <is>
          <t>PT Jhonlin Agro Raya Tbk</t>
        </is>
      </c>
      <c r="B2226" t="inlineStr">
        <is>
          <t>JARR_2023_AR.pdf</t>
        </is>
      </c>
      <c r="C2226" t="n">
        <v>2023</v>
      </c>
      <c r="D2226" t="inlineStr">
        <is>
          <t>Financial</t>
        </is>
      </c>
      <c r="E2226" t="inlineStr">
        <is>
          <t>Revenue (Net Sales)</t>
        </is>
      </c>
      <c r="F2226" t="n">
        <v>4442</v>
      </c>
      <c r="G2226" t="inlineStr">
        <is>
          <t>IDR bn</t>
        </is>
      </c>
      <c r="H2226" t="n">
        <v>4</v>
      </c>
      <c r="I2226" t="inlineStr">
        <is>
          <t>SALES Penjualan 4.442.279.649.263</t>
        </is>
      </c>
      <c r="J2226" t="inlineStr">
        <is>
          <t>High</t>
        </is>
      </c>
      <c r="M2226" t="inlineStr">
        <is>
          <t>LLM</t>
        </is>
      </c>
      <c r="N2226" t="inlineStr">
        <is>
          <t>2026-04-18</t>
        </is>
      </c>
      <c r="O2226" t="inlineStr">
        <is>
          <t>AI</t>
        </is>
      </c>
    </row>
    <row r="2227">
      <c r="A2227" t="inlineStr">
        <is>
          <t>PT Jhonlin Agro Raya Tbk</t>
        </is>
      </c>
      <c r="B2227" t="inlineStr">
        <is>
          <t>JARR_2023_AR.pdf</t>
        </is>
      </c>
      <c r="C2227" t="n">
        <v>2023</v>
      </c>
      <c r="D2227" t="inlineStr">
        <is>
          <t>Financial</t>
        </is>
      </c>
      <c r="E2227" t="inlineStr">
        <is>
          <t>Cost of Sales</t>
        </is>
      </c>
      <c r="F2227" t="n">
        <v>4057</v>
      </c>
      <c r="G2227" t="inlineStr">
        <is>
          <t>IDR bn</t>
        </is>
      </c>
      <c r="H2227" t="n">
        <v>4</v>
      </c>
      <c r="I2227" t="inlineStr">
        <is>
          <t>COST OF SALES Beban Pokok Penjualan (4.057.025.528.704)</t>
        </is>
      </c>
      <c r="J2227" t="inlineStr">
        <is>
          <t>High</t>
        </is>
      </c>
      <c r="M2227" t="inlineStr">
        <is>
          <t>LLM</t>
        </is>
      </c>
      <c r="N2227" t="inlineStr">
        <is>
          <t>2026-04-18</t>
        </is>
      </c>
      <c r="O2227" t="inlineStr">
        <is>
          <t>AI</t>
        </is>
      </c>
    </row>
    <row r="2228">
      <c r="A2228" t="inlineStr">
        <is>
          <t>PT Jhonlin Agro Raya Tbk</t>
        </is>
      </c>
      <c r="B2228" t="inlineStr">
        <is>
          <t>JARR_2023_AR.pdf</t>
        </is>
      </c>
      <c r="C2228" t="n">
        <v>2023</v>
      </c>
      <c r="D2228" t="inlineStr">
        <is>
          <t>Financial</t>
        </is>
      </c>
      <c r="E2228" t="inlineStr">
        <is>
          <t>Gross Profit</t>
        </is>
      </c>
      <c r="F2228" t="n">
        <v>385</v>
      </c>
      <c r="G2228" t="inlineStr">
        <is>
          <t>IDR bn</t>
        </is>
      </c>
      <c r="H2228" t="n">
        <v>4</v>
      </c>
      <c r="I2228" t="inlineStr">
        <is>
          <t>GROSS PROFIT Laba Bruto 385.254.120.559</t>
        </is>
      </c>
      <c r="J2228" t="inlineStr">
        <is>
          <t>High</t>
        </is>
      </c>
      <c r="M2228" t="inlineStr">
        <is>
          <t>LLM</t>
        </is>
      </c>
      <c r="N2228" t="inlineStr">
        <is>
          <t>2026-04-18</t>
        </is>
      </c>
      <c r="O2228" t="inlineStr">
        <is>
          <t>AI</t>
        </is>
      </c>
    </row>
    <row r="2229">
      <c r="A2229" t="inlineStr">
        <is>
          <t>PT Jhonlin Agro Raya Tbk</t>
        </is>
      </c>
      <c r="B2229" t="inlineStr">
        <is>
          <t>JARR_2023_AR.pdf</t>
        </is>
      </c>
      <c r="C2229" t="n">
        <v>2023</v>
      </c>
      <c r="D2229" t="inlineStr">
        <is>
          <t>Financial</t>
        </is>
      </c>
      <c r="E2229" t="inlineStr">
        <is>
          <t>Operating Income (Laba Usaha)</t>
        </is>
      </c>
      <c r="F2229" t="n">
        <v>253</v>
      </c>
      <c r="G2229" t="inlineStr">
        <is>
          <t>IDR bn</t>
        </is>
      </c>
      <c r="H2229" t="n">
        <v>4</v>
      </c>
      <c r="I2229" t="inlineStr">
        <is>
          <t>OPERATING INCOME Laba Usaha 252.824.251.187</t>
        </is>
      </c>
      <c r="J2229" t="inlineStr">
        <is>
          <t>High</t>
        </is>
      </c>
      <c r="M2229" t="inlineStr">
        <is>
          <t>LLM</t>
        </is>
      </c>
      <c r="N2229" t="inlineStr">
        <is>
          <t>2026-04-18</t>
        </is>
      </c>
      <c r="O2229" t="inlineStr">
        <is>
          <t>AI</t>
        </is>
      </c>
    </row>
    <row r="2230">
      <c r="A2230" t="inlineStr">
        <is>
          <t>PT Jhonlin Agro Raya Tbk</t>
        </is>
      </c>
      <c r="B2230" t="inlineStr">
        <is>
          <t>JARR_2023_AR.pdf</t>
        </is>
      </c>
      <c r="C2230" t="n">
        <v>2023</v>
      </c>
      <c r="D2230" t="inlineStr">
        <is>
          <t>Financial</t>
        </is>
      </c>
      <c r="E2230" t="inlineStr">
        <is>
          <t>Finance Expenses</t>
        </is>
      </c>
      <c r="F2230" t="n">
        <v>48</v>
      </c>
      <c r="G2230" t="inlineStr">
        <is>
          <t>IDR bn</t>
        </is>
      </c>
      <c r="H2230" t="n">
        <v>4</v>
      </c>
      <c r="I2230" t="inlineStr">
        <is>
          <t>Financial expenses (48.111.414.101)</t>
        </is>
      </c>
      <c r="J2230" t="inlineStr">
        <is>
          <t>High</t>
        </is>
      </c>
      <c r="M2230" t="inlineStr">
        <is>
          <t>LLM</t>
        </is>
      </c>
      <c r="N2230" t="inlineStr">
        <is>
          <t>2026-04-18</t>
        </is>
      </c>
      <c r="O2230" t="inlineStr">
        <is>
          <t>AI</t>
        </is>
      </c>
    </row>
    <row r="2231">
      <c r="A2231" t="inlineStr">
        <is>
          <t>PT Jhonlin Agro Raya Tbk</t>
        </is>
      </c>
      <c r="B2231" t="inlineStr">
        <is>
          <t>JARR_2023_AR.pdf</t>
        </is>
      </c>
      <c r="C2231" t="n">
        <v>2023</v>
      </c>
      <c r="D2231" t="inlineStr">
        <is>
          <t>Financial</t>
        </is>
      </c>
      <c r="E2231" t="inlineStr">
        <is>
          <t>Profit Before Tax</t>
        </is>
      </c>
      <c r="F2231" t="n">
        <v>217</v>
      </c>
      <c r="G2231" t="inlineStr">
        <is>
          <t>IDR bn</t>
        </is>
      </c>
      <c r="H2231" t="n">
        <v>4</v>
      </c>
      <c r="I2231" t="inlineStr">
        <is>
          <t>PROFIT BEFORE INCOME TAX 217.199.008.780</t>
        </is>
      </c>
      <c r="J2231" t="inlineStr">
        <is>
          <t>High</t>
        </is>
      </c>
      <c r="M2231" t="inlineStr">
        <is>
          <t>LLM</t>
        </is>
      </c>
      <c r="N2231" t="inlineStr">
        <is>
          <t>2026-04-18</t>
        </is>
      </c>
      <c r="O2231" t="inlineStr">
        <is>
          <t>AI</t>
        </is>
      </c>
    </row>
    <row r="2232">
      <c r="A2232" t="inlineStr">
        <is>
          <t>PT Jhonlin Agro Raya Tbk</t>
        </is>
      </c>
      <c r="B2232" t="inlineStr">
        <is>
          <t>JARR_2023_AR.pdf</t>
        </is>
      </c>
      <c r="C2232" t="n">
        <v>2023</v>
      </c>
      <c r="D2232" t="inlineStr">
        <is>
          <t>Financial</t>
        </is>
      </c>
      <c r="E2232" t="inlineStr">
        <is>
          <t>Net Income for the Year</t>
        </is>
      </c>
      <c r="F2232" t="n">
        <v>77</v>
      </c>
      <c r="G2232" t="inlineStr">
        <is>
          <t>IDR bn</t>
        </is>
      </c>
      <c r="H2232" t="n">
        <v>4</v>
      </c>
      <c r="I2232" t="inlineStr">
        <is>
          <t>NET INCOME FOR THE YEAR Laba Bersih Tahun Berjalan 77.266.308.096 (after pro-forma adjustment of -90.97 bn from business combination under common control)</t>
        </is>
      </c>
      <c r="J2232" t="inlineStr">
        <is>
          <t>High</t>
        </is>
      </c>
      <c r="M2232" t="inlineStr">
        <is>
          <t>LLM</t>
        </is>
      </c>
      <c r="N2232" t="inlineStr">
        <is>
          <t>2026-04-18</t>
        </is>
      </c>
      <c r="O2232" t="inlineStr">
        <is>
          <t>AI</t>
        </is>
      </c>
    </row>
    <row r="2233">
      <c r="A2233" t="inlineStr">
        <is>
          <t>PT Jhonlin Agro Raya Tbk</t>
        </is>
      </c>
      <c r="B2233" t="inlineStr">
        <is>
          <t>JARR_2023_AR.pdf</t>
        </is>
      </c>
      <c r="C2233" t="n">
        <v>2023</v>
      </c>
      <c r="D2233" t="inlineStr">
        <is>
          <t>Financial</t>
        </is>
      </c>
      <c r="E2233" t="inlineStr">
        <is>
          <t>Profit Before Pro-Forma Adjustment</t>
        </is>
      </c>
      <c r="F2233" t="n">
        <v>168</v>
      </c>
      <c r="G2233" t="inlineStr">
        <is>
          <t>IDR bn</t>
        </is>
      </c>
      <c r="H2233" t="n">
        <v>4</v>
      </c>
      <c r="I2233" t="inlineStr">
        <is>
          <t>PROFIT BEFORE PRO FORMA ADJUSTMENT 168.238.197.739</t>
        </is>
      </c>
      <c r="J2233" t="inlineStr">
        <is>
          <t>High</t>
        </is>
      </c>
      <c r="M2233" t="inlineStr">
        <is>
          <t>LLM</t>
        </is>
      </c>
      <c r="N2233" t="inlineStr">
        <is>
          <t>2026-04-18</t>
        </is>
      </c>
      <c r="O2233" t="inlineStr">
        <is>
          <t>AI</t>
        </is>
      </c>
    </row>
    <row r="2234">
      <c r="A2234" t="inlineStr">
        <is>
          <t>PT Jhonlin Agro Raya Tbk</t>
        </is>
      </c>
      <c r="B2234" t="inlineStr">
        <is>
          <t>JARR_2023_AR.pdf</t>
        </is>
      </c>
      <c r="C2234" t="n">
        <v>2023</v>
      </c>
      <c r="D2234" t="inlineStr">
        <is>
          <t>Financial</t>
        </is>
      </c>
      <c r="E2234" t="inlineStr">
        <is>
          <t>Total Assets</t>
        </is>
      </c>
      <c r="F2234" t="n">
        <v>3653</v>
      </c>
      <c r="G2234" t="inlineStr">
        <is>
          <t>IDR bn</t>
        </is>
      </c>
      <c r="H2234" t="n">
        <v>2</v>
      </c>
      <c r="I2234" t="inlineStr">
        <is>
          <t>TOTAL ASSETS Jumlah Aset 3.652.686.220.005</t>
        </is>
      </c>
      <c r="J2234" t="inlineStr">
        <is>
          <t>High</t>
        </is>
      </c>
      <c r="M2234" t="inlineStr">
        <is>
          <t>LLM</t>
        </is>
      </c>
      <c r="N2234" t="inlineStr">
        <is>
          <t>2026-04-18</t>
        </is>
      </c>
      <c r="O2234" t="inlineStr">
        <is>
          <t>AI</t>
        </is>
      </c>
    </row>
    <row r="2235">
      <c r="A2235" t="inlineStr">
        <is>
          <t>PT Jhonlin Agro Raya Tbk</t>
        </is>
      </c>
      <c r="B2235" t="inlineStr">
        <is>
          <t>JARR_2023_AR.pdf</t>
        </is>
      </c>
      <c r="C2235" t="n">
        <v>2023</v>
      </c>
      <c r="D2235" t="inlineStr">
        <is>
          <t>Financial</t>
        </is>
      </c>
      <c r="E2235" t="inlineStr">
        <is>
          <t>Current Assets</t>
        </is>
      </c>
      <c r="F2235" t="n">
        <v>1352</v>
      </c>
      <c r="G2235" t="inlineStr">
        <is>
          <t>IDR bn</t>
        </is>
      </c>
      <c r="H2235" t="n">
        <v>73</v>
      </c>
      <c r="I2235" t="inlineStr">
        <is>
          <t>Aset lancar 1.352.081.262.260</t>
        </is>
      </c>
      <c r="J2235" t="inlineStr">
        <is>
          <t>High</t>
        </is>
      </c>
      <c r="M2235" t="inlineStr">
        <is>
          <t>LLM</t>
        </is>
      </c>
      <c r="N2235" t="inlineStr">
        <is>
          <t>2026-04-18</t>
        </is>
      </c>
      <c r="O2235" t="inlineStr">
        <is>
          <t>AI</t>
        </is>
      </c>
    </row>
    <row r="2236">
      <c r="A2236" t="inlineStr">
        <is>
          <t>PT Jhonlin Agro Raya Tbk</t>
        </is>
      </c>
      <c r="B2236" t="inlineStr">
        <is>
          <t>JARR_2023_AR.pdf</t>
        </is>
      </c>
      <c r="C2236" t="n">
        <v>2023</v>
      </c>
      <c r="D2236" t="inlineStr">
        <is>
          <t>Financial</t>
        </is>
      </c>
      <c r="E2236" t="inlineStr">
        <is>
          <t>Non-Current Assets</t>
        </is>
      </c>
      <c r="F2236" t="n">
        <v>2301</v>
      </c>
      <c r="G2236" t="inlineStr">
        <is>
          <t>IDR bn</t>
        </is>
      </c>
      <c r="H2236" t="n">
        <v>73</v>
      </c>
      <c r="I2236" t="inlineStr">
        <is>
          <t>Aset Tidak Lancar 2.300.604.957.745</t>
        </is>
      </c>
      <c r="J2236" t="inlineStr">
        <is>
          <t>High</t>
        </is>
      </c>
      <c r="M2236" t="inlineStr">
        <is>
          <t>LLM</t>
        </is>
      </c>
      <c r="N2236" t="inlineStr">
        <is>
          <t>2026-04-18</t>
        </is>
      </c>
      <c r="O2236" t="inlineStr">
        <is>
          <t>AI</t>
        </is>
      </c>
    </row>
    <row r="2237">
      <c r="A2237" t="inlineStr">
        <is>
          <t>PT Jhonlin Agro Raya Tbk</t>
        </is>
      </c>
      <c r="B2237" t="inlineStr">
        <is>
          <t>JARR_2023_AR.pdf</t>
        </is>
      </c>
      <c r="C2237" t="n">
        <v>2023</v>
      </c>
      <c r="D2237" t="inlineStr">
        <is>
          <t>Financial</t>
        </is>
      </c>
      <c r="E2237" t="inlineStr">
        <is>
          <t>Total Liabilities</t>
        </is>
      </c>
      <c r="F2237" t="n">
        <v>2211</v>
      </c>
      <c r="G2237" t="inlineStr">
        <is>
          <t>IDR bn</t>
        </is>
      </c>
      <c r="H2237" t="n">
        <v>3</v>
      </c>
      <c r="I2237" t="inlineStr">
        <is>
          <t>TOTAL LIABILITIES Jumlah Liabilitas 2.211.114.704.243</t>
        </is>
      </c>
      <c r="J2237" t="inlineStr">
        <is>
          <t>High</t>
        </is>
      </c>
      <c r="M2237" t="inlineStr">
        <is>
          <t>LLM</t>
        </is>
      </c>
      <c r="N2237" t="inlineStr">
        <is>
          <t>2026-04-18</t>
        </is>
      </c>
      <c r="O2237" t="inlineStr">
        <is>
          <t>AI</t>
        </is>
      </c>
    </row>
    <row r="2238">
      <c r="A2238" t="inlineStr">
        <is>
          <t>PT Jhonlin Agro Raya Tbk</t>
        </is>
      </c>
      <c r="B2238" t="inlineStr">
        <is>
          <t>JARR_2023_AR.pdf</t>
        </is>
      </c>
      <c r="C2238" t="n">
        <v>2023</v>
      </c>
      <c r="D2238" t="inlineStr">
        <is>
          <t>Financial</t>
        </is>
      </c>
      <c r="E2238" t="inlineStr">
        <is>
          <t>Current Liabilities</t>
        </is>
      </c>
      <c r="F2238" t="n">
        <v>366</v>
      </c>
      <c r="G2238" t="inlineStr">
        <is>
          <t>IDR bn</t>
        </is>
      </c>
      <c r="H2238" t="n">
        <v>73</v>
      </c>
      <c r="I2238" t="inlineStr">
        <is>
          <t>Liabilitas Jangka Pendek 365.656.547.353</t>
        </is>
      </c>
      <c r="J2238" t="inlineStr">
        <is>
          <t>High</t>
        </is>
      </c>
      <c r="M2238" t="inlineStr">
        <is>
          <t>LLM</t>
        </is>
      </c>
      <c r="N2238" t="inlineStr">
        <is>
          <t>2026-04-18</t>
        </is>
      </c>
      <c r="O2238" t="inlineStr">
        <is>
          <t>AI</t>
        </is>
      </c>
    </row>
    <row r="2239">
      <c r="A2239" t="inlineStr">
        <is>
          <t>PT Jhonlin Agro Raya Tbk</t>
        </is>
      </c>
      <c r="B2239" t="inlineStr">
        <is>
          <t>JARR_2023_AR.pdf</t>
        </is>
      </c>
      <c r="C2239" t="n">
        <v>2023</v>
      </c>
      <c r="D2239" t="inlineStr">
        <is>
          <t>Financial</t>
        </is>
      </c>
      <c r="E2239" t="inlineStr">
        <is>
          <t>Long-Term Liabilities</t>
        </is>
      </c>
      <c r="F2239" t="n">
        <v>1845</v>
      </c>
      <c r="G2239" t="inlineStr">
        <is>
          <t>IDR bn</t>
        </is>
      </c>
      <c r="H2239" t="n">
        <v>73</v>
      </c>
      <c r="I2239" t="inlineStr">
        <is>
          <t>Liabilitas Jangka Panjang 1.845.458.156.890</t>
        </is>
      </c>
      <c r="J2239" t="inlineStr">
        <is>
          <t>High</t>
        </is>
      </c>
      <c r="M2239" t="inlineStr">
        <is>
          <t>LLM</t>
        </is>
      </c>
      <c r="N2239" t="inlineStr">
        <is>
          <t>2026-04-18</t>
        </is>
      </c>
      <c r="O2239" t="inlineStr">
        <is>
          <t>AI</t>
        </is>
      </c>
    </row>
    <row r="2240">
      <c r="A2240" t="inlineStr">
        <is>
          <t>PT Jhonlin Agro Raya Tbk</t>
        </is>
      </c>
      <c r="B2240" t="inlineStr">
        <is>
          <t>JARR_2023_AR.pdf</t>
        </is>
      </c>
      <c r="C2240" t="n">
        <v>2023</v>
      </c>
      <c r="D2240" t="inlineStr">
        <is>
          <t>Financial</t>
        </is>
      </c>
      <c r="E2240" t="inlineStr">
        <is>
          <t>Total Equity</t>
        </is>
      </c>
      <c r="F2240" t="n">
        <v>1442</v>
      </c>
      <c r="G2240" t="inlineStr">
        <is>
          <t>IDR bn</t>
        </is>
      </c>
      <c r="H2240" t="n">
        <v>3</v>
      </c>
      <c r="I2240" t="inlineStr">
        <is>
          <t>Total equity Jumlah Ekuitas 1.441.571.515.762</t>
        </is>
      </c>
      <c r="J2240" t="inlineStr">
        <is>
          <t>High</t>
        </is>
      </c>
      <c r="M2240" t="inlineStr">
        <is>
          <t>LLM</t>
        </is>
      </c>
      <c r="N2240" t="inlineStr">
        <is>
          <t>2026-04-18</t>
        </is>
      </c>
      <c r="O2240" t="inlineStr">
        <is>
          <t>AI</t>
        </is>
      </c>
    </row>
    <row r="2241">
      <c r="A2241" t="inlineStr">
        <is>
          <t>PT Jhonlin Agro Raya Tbk</t>
        </is>
      </c>
      <c r="B2241" t="inlineStr">
        <is>
          <t>JARR_2023_AR.pdf</t>
        </is>
      </c>
      <c r="C2241" t="n">
        <v>2023</v>
      </c>
      <c r="D2241" t="inlineStr">
        <is>
          <t>Financial</t>
        </is>
      </c>
      <c r="E2241" t="inlineStr">
        <is>
          <t>Paid-in Capital</t>
        </is>
      </c>
      <c r="F2241" t="n">
        <v>923</v>
      </c>
      <c r="G2241" t="inlineStr">
        <is>
          <t>IDR bn</t>
        </is>
      </c>
      <c r="H2241" t="n">
        <v>3</v>
      </c>
      <c r="I2241" t="inlineStr">
        <is>
          <t>Paid-in capital Modal Disetor 923.066.505.000</t>
        </is>
      </c>
      <c r="J2241" t="inlineStr">
        <is>
          <t>High</t>
        </is>
      </c>
      <c r="M2241" t="inlineStr">
        <is>
          <t>LLM</t>
        </is>
      </c>
      <c r="N2241" t="inlineStr">
        <is>
          <t>2026-04-18</t>
        </is>
      </c>
      <c r="O2241" t="inlineStr">
        <is>
          <t>AI</t>
        </is>
      </c>
    </row>
    <row r="2242">
      <c r="A2242" t="inlineStr">
        <is>
          <t>PT Jhonlin Agro Raya Tbk</t>
        </is>
      </c>
      <c r="B2242" t="inlineStr">
        <is>
          <t>JARR_2023_AR.pdf</t>
        </is>
      </c>
      <c r="C2242" t="n">
        <v>2023</v>
      </c>
      <c r="D2242" t="inlineStr">
        <is>
          <t>Financial</t>
        </is>
      </c>
      <c r="E2242" t="inlineStr">
        <is>
          <t>Additional Paid-in Capital</t>
        </is>
      </c>
      <c r="F2242" t="n">
        <v>418</v>
      </c>
      <c r="G2242" t="inlineStr">
        <is>
          <t>IDR bn</t>
        </is>
      </c>
      <c r="H2242" t="n">
        <v>3</v>
      </c>
      <c r="I2242" t="inlineStr">
        <is>
          <t>Additional paid-in capital 417.865.230.717</t>
        </is>
      </c>
      <c r="J2242" t="inlineStr">
        <is>
          <t>High</t>
        </is>
      </c>
      <c r="M2242" t="inlineStr">
        <is>
          <t>LLM</t>
        </is>
      </c>
      <c r="N2242" t="inlineStr">
        <is>
          <t>2026-04-18</t>
        </is>
      </c>
      <c r="O2242" t="inlineStr">
        <is>
          <t>AI</t>
        </is>
      </c>
    </row>
    <row r="2243">
      <c r="A2243" t="inlineStr">
        <is>
          <t>PT Jhonlin Agro Raya Tbk</t>
        </is>
      </c>
      <c r="B2243" t="inlineStr">
        <is>
          <t>JARR_2023_AR.pdf</t>
        </is>
      </c>
      <c r="C2243" t="n">
        <v>2023</v>
      </c>
      <c r="D2243" t="inlineStr">
        <is>
          <t>Financial</t>
        </is>
      </c>
      <c r="E2243" t="inlineStr">
        <is>
          <t>Retained Earnings</t>
        </is>
      </c>
      <c r="F2243" t="n">
        <v>101</v>
      </c>
      <c r="G2243" t="inlineStr">
        <is>
          <t>IDR bn</t>
        </is>
      </c>
      <c r="H2243" t="n">
        <v>3</v>
      </c>
      <c r="I2243" t="inlineStr">
        <is>
          <t>Retained earnings (loss) Saldo laba 100.847.407.567</t>
        </is>
      </c>
      <c r="J2243" t="inlineStr">
        <is>
          <t>High</t>
        </is>
      </c>
      <c r="M2243" t="inlineStr">
        <is>
          <t>LLM</t>
        </is>
      </c>
      <c r="N2243" t="inlineStr">
        <is>
          <t>2026-04-18</t>
        </is>
      </c>
      <c r="O2243" t="inlineStr">
        <is>
          <t>AI</t>
        </is>
      </c>
    </row>
    <row r="2244">
      <c r="A2244" t="inlineStr">
        <is>
          <t>PT Jhonlin Agro Raya Tbk</t>
        </is>
      </c>
      <c r="B2244" t="inlineStr">
        <is>
          <t>JARR_2023_AR.pdf</t>
        </is>
      </c>
      <c r="C2244" t="n">
        <v>2023</v>
      </c>
      <c r="D2244" t="inlineStr">
        <is>
          <t>Financial</t>
        </is>
      </c>
      <c r="E2244" t="inlineStr">
        <is>
          <t>Cash &amp; Cash Equivalents</t>
        </is>
      </c>
      <c r="F2244" t="n">
        <v>160</v>
      </c>
      <c r="G2244" t="inlineStr">
        <is>
          <t>IDR bn</t>
        </is>
      </c>
      <c r="H2244" t="n">
        <v>2</v>
      </c>
      <c r="I2244" t="inlineStr">
        <is>
          <t>Cash and bank Kas dan Bank 160.217.607.985</t>
        </is>
      </c>
      <c r="J2244" t="inlineStr">
        <is>
          <t>High</t>
        </is>
      </c>
      <c r="M2244" t="inlineStr">
        <is>
          <t>LLM</t>
        </is>
      </c>
      <c r="N2244" t="inlineStr">
        <is>
          <t>2026-04-18</t>
        </is>
      </c>
      <c r="O2244" t="inlineStr">
        <is>
          <t>AI</t>
        </is>
      </c>
    </row>
    <row r="2245">
      <c r="A2245" t="inlineStr">
        <is>
          <t>PT Jhonlin Agro Raya Tbk</t>
        </is>
      </c>
      <c r="B2245" t="inlineStr">
        <is>
          <t>JARR_2023_AR.pdf</t>
        </is>
      </c>
      <c r="C2245" t="n">
        <v>2023</v>
      </c>
      <c r="D2245" t="inlineStr">
        <is>
          <t>Financial</t>
        </is>
      </c>
      <c r="E2245" t="inlineStr">
        <is>
          <t>Trade Receivables</t>
        </is>
      </c>
      <c r="F2245" t="n">
        <v>374</v>
      </c>
      <c r="G2245" t="inlineStr">
        <is>
          <t>IDR bn</t>
        </is>
      </c>
      <c r="H2245" t="n">
        <v>2</v>
      </c>
      <c r="I2245" t="inlineStr">
        <is>
          <t>Accounts receivable 373.771.150.742</t>
        </is>
      </c>
      <c r="J2245" t="inlineStr">
        <is>
          <t>High</t>
        </is>
      </c>
      <c r="M2245" t="inlineStr">
        <is>
          <t>LLM</t>
        </is>
      </c>
      <c r="N2245" t="inlineStr">
        <is>
          <t>2026-04-18</t>
        </is>
      </c>
      <c r="O2245" t="inlineStr">
        <is>
          <t>AI</t>
        </is>
      </c>
    </row>
    <row r="2246">
      <c r="A2246" t="inlineStr">
        <is>
          <t>PT Jhonlin Agro Raya Tbk</t>
        </is>
      </c>
      <c r="B2246" t="inlineStr">
        <is>
          <t>JARR_2023_AR.pdf</t>
        </is>
      </c>
      <c r="C2246" t="n">
        <v>2023</v>
      </c>
      <c r="D2246" t="inlineStr">
        <is>
          <t>Financial</t>
        </is>
      </c>
      <c r="E2246" t="inlineStr">
        <is>
          <t>Inventories</t>
        </is>
      </c>
      <c r="F2246" t="n">
        <v>389</v>
      </c>
      <c r="G2246" t="inlineStr">
        <is>
          <t>IDR bn</t>
        </is>
      </c>
      <c r="H2246" t="n">
        <v>2</v>
      </c>
      <c r="I2246" t="inlineStr">
        <is>
          <t>Inventory Persediaan 388.631 (from 2024 comparative: 388.631)</t>
        </is>
      </c>
      <c r="J2246" t="inlineStr">
        <is>
          <t>High</t>
        </is>
      </c>
      <c r="M2246" t="inlineStr">
        <is>
          <t>LLM</t>
        </is>
      </c>
      <c r="N2246" t="inlineStr">
        <is>
          <t>2026-04-18</t>
        </is>
      </c>
      <c r="O2246" t="inlineStr">
        <is>
          <t>AI</t>
        </is>
      </c>
    </row>
    <row r="2247">
      <c r="A2247" t="inlineStr">
        <is>
          <t>PT Jhonlin Agro Raya Tbk</t>
        </is>
      </c>
      <c r="B2247" t="inlineStr">
        <is>
          <t>JARR_2023_AR.pdf</t>
        </is>
      </c>
      <c r="C2247" t="n">
        <v>2023</v>
      </c>
      <c r="D2247" t="inlineStr">
        <is>
          <t>Financial</t>
        </is>
      </c>
      <c r="E2247" t="inlineStr">
        <is>
          <t>Short-term Bank Loan (Pinjaman Bank)</t>
        </is>
      </c>
      <c r="F2247" t="n">
        <v>0</v>
      </c>
      <c r="G2247" t="inlineStr">
        <is>
          <t>IDR bn</t>
        </is>
      </c>
      <c r="H2247" t="n">
        <v>3</v>
      </c>
      <c r="I2247" t="inlineStr">
        <is>
          <t>Bank loans Pinjaman Bank - (nil in 2023)</t>
        </is>
      </c>
      <c r="J2247" t="inlineStr">
        <is>
          <t>High</t>
        </is>
      </c>
      <c r="M2247" t="inlineStr">
        <is>
          <t>LLM</t>
        </is>
      </c>
      <c r="N2247" t="inlineStr">
        <is>
          <t>2026-04-18</t>
        </is>
      </c>
      <c r="O2247" t="inlineStr">
        <is>
          <t>AI</t>
        </is>
      </c>
    </row>
    <row r="2248">
      <c r="A2248" t="inlineStr">
        <is>
          <t>PT Jhonlin Agro Raya Tbk</t>
        </is>
      </c>
      <c r="B2248" t="inlineStr">
        <is>
          <t>JARR_2023_AR.pdf</t>
        </is>
      </c>
      <c r="C2248" t="n">
        <v>2023</v>
      </c>
      <c r="D2248" t="inlineStr">
        <is>
          <t>Financial</t>
        </is>
      </c>
      <c r="E2248" t="inlineStr">
        <is>
          <t>Current Portion of LT Bank Loans</t>
        </is>
      </c>
      <c r="F2248" t="n">
        <v>88</v>
      </c>
      <c r="G2248" t="inlineStr">
        <is>
          <t>IDR bn</t>
        </is>
      </c>
      <c r="H2248" t="n">
        <v>3</v>
      </c>
      <c r="I2248" t="inlineStr">
        <is>
          <t>Bank loans Utang Bank (current) 88.105.000.000</t>
        </is>
      </c>
      <c r="J2248" t="inlineStr">
        <is>
          <t>High</t>
        </is>
      </c>
      <c r="M2248" t="inlineStr">
        <is>
          <t>LLM</t>
        </is>
      </c>
      <c r="N2248" t="inlineStr">
        <is>
          <t>2026-04-18</t>
        </is>
      </c>
      <c r="O2248" t="inlineStr">
        <is>
          <t>AI</t>
        </is>
      </c>
    </row>
    <row r="2249">
      <c r="A2249" t="inlineStr">
        <is>
          <t>PT Jhonlin Agro Raya Tbk</t>
        </is>
      </c>
      <c r="B2249" t="inlineStr">
        <is>
          <t>JARR_2023_AR.pdf</t>
        </is>
      </c>
      <c r="C2249" t="n">
        <v>2023</v>
      </c>
      <c r="D2249" t="inlineStr">
        <is>
          <t>Financial</t>
        </is>
      </c>
      <c r="E2249" t="inlineStr">
        <is>
          <t>Long-term Bank Loans</t>
        </is>
      </c>
      <c r="F2249" t="n">
        <v>1836</v>
      </c>
      <c r="G2249" t="inlineStr">
        <is>
          <t>IDR bn</t>
        </is>
      </c>
      <c r="H2249" t="n">
        <v>3</v>
      </c>
      <c r="I2249" t="inlineStr">
        <is>
          <t>Bank debt Utang Bank 1.835.853.697.143</t>
        </is>
      </c>
      <c r="J2249" t="inlineStr">
        <is>
          <t>High</t>
        </is>
      </c>
      <c r="M2249" t="inlineStr">
        <is>
          <t>LLM</t>
        </is>
      </c>
      <c r="N2249" t="inlineStr">
        <is>
          <t>2026-04-18</t>
        </is>
      </c>
      <c r="O2249" t="inlineStr">
        <is>
          <t>AI</t>
        </is>
      </c>
    </row>
    <row r="2250">
      <c r="A2250" t="inlineStr">
        <is>
          <t>PT Jhonlin Agro Raya Tbk</t>
        </is>
      </c>
      <c r="B2250" t="inlineStr">
        <is>
          <t>JARR_2023_AR.pdf</t>
        </is>
      </c>
      <c r="C2250" t="n">
        <v>2023</v>
      </c>
      <c r="D2250" t="inlineStr">
        <is>
          <t>Financial</t>
        </is>
      </c>
      <c r="E2250" t="inlineStr">
        <is>
          <t>Gross Debt (ST+LT bank loans)</t>
        </is>
      </c>
      <c r="F2250" t="n">
        <v>1924</v>
      </c>
      <c r="G2250" t="inlineStr">
        <is>
          <t>IDR bn</t>
        </is>
      </c>
      <c r="H2250" t="n">
        <v>210</v>
      </c>
      <c r="I2250" t="inlineStr">
        <is>
          <t>Jumlah 1.928.200.000.000 less unamortized arrangement cost 4.241.302.857 = 1.923.958.697.143 (PT Bank Mandiri 1,721.5 bn + BPD Kalsel 206.7 bn)</t>
        </is>
      </c>
      <c r="J2250" t="inlineStr">
        <is>
          <t>High</t>
        </is>
      </c>
      <c r="M2250" t="inlineStr">
        <is>
          <t>LLM</t>
        </is>
      </c>
      <c r="N2250" t="inlineStr">
        <is>
          <t>2026-04-18</t>
        </is>
      </c>
      <c r="O2250" t="inlineStr">
        <is>
          <t>AI</t>
        </is>
      </c>
    </row>
    <row r="2251">
      <c r="A2251" t="inlineStr">
        <is>
          <t>PT Jhonlin Agro Raya Tbk</t>
        </is>
      </c>
      <c r="B2251" t="inlineStr">
        <is>
          <t>JARR_2023_AR.pdf</t>
        </is>
      </c>
      <c r="C2251" t="n">
        <v>2023</v>
      </c>
      <c r="D2251" t="inlineStr">
        <is>
          <t>Financial</t>
        </is>
      </c>
      <c r="E2251" t="inlineStr">
        <is>
          <t>Long-term Bank Loan - Bank Mandiri</t>
        </is>
      </c>
      <c r="F2251" t="n">
        <v>1722</v>
      </c>
      <c r="G2251" t="inlineStr">
        <is>
          <t>IDR bn</t>
        </is>
      </c>
      <c r="H2251" t="n">
        <v>210</v>
      </c>
      <c r="I2251" t="inlineStr">
        <is>
          <t>PT Bank Mandiri (Persero), Tbk 1.721.500.000.000</t>
        </is>
      </c>
      <c r="J2251" t="inlineStr">
        <is>
          <t>High</t>
        </is>
      </c>
      <c r="M2251" t="inlineStr">
        <is>
          <t>LLM</t>
        </is>
      </c>
      <c r="N2251" t="inlineStr">
        <is>
          <t>2026-04-18</t>
        </is>
      </c>
      <c r="O2251" t="inlineStr">
        <is>
          <t>AI</t>
        </is>
      </c>
    </row>
    <row r="2252">
      <c r="A2252" t="inlineStr">
        <is>
          <t>PT Jhonlin Agro Raya Tbk</t>
        </is>
      </c>
      <c r="B2252" t="inlineStr">
        <is>
          <t>JARR_2023_AR.pdf</t>
        </is>
      </c>
      <c r="C2252" t="n">
        <v>2023</v>
      </c>
      <c r="D2252" t="inlineStr">
        <is>
          <t>Financial</t>
        </is>
      </c>
      <c r="E2252" t="inlineStr">
        <is>
          <t>Long-term Bank Loan - BPD Kalsel</t>
        </is>
      </c>
      <c r="F2252" t="n">
        <v>207</v>
      </c>
      <c r="G2252" t="inlineStr">
        <is>
          <t>IDR bn</t>
        </is>
      </c>
      <c r="H2252" t="n">
        <v>210</v>
      </c>
      <c r="I2252" t="inlineStr">
        <is>
          <t>PT Bank Pembangunan Daerah Kalimantan Selatan 206.700.000.000</t>
        </is>
      </c>
      <c r="J2252" t="inlineStr">
        <is>
          <t>High</t>
        </is>
      </c>
      <c r="M2252" t="inlineStr">
        <is>
          <t>LLM</t>
        </is>
      </c>
      <c r="N2252" t="inlineStr">
        <is>
          <t>2026-04-18</t>
        </is>
      </c>
      <c r="O2252" t="inlineStr">
        <is>
          <t>AI</t>
        </is>
      </c>
    </row>
    <row r="2253">
      <c r="A2253" t="inlineStr">
        <is>
          <t>PT Jhonlin Agro Raya Tbk</t>
        </is>
      </c>
      <c r="B2253" t="inlineStr">
        <is>
          <t>JARR_2023_AR.pdf</t>
        </is>
      </c>
      <c r="C2253" t="n">
        <v>2023</v>
      </c>
      <c r="D2253" t="inlineStr">
        <is>
          <t>Financial</t>
        </is>
      </c>
      <c r="E2253" t="inlineStr">
        <is>
          <t>CFO (Operating)</t>
        </is>
      </c>
      <c r="F2253" t="n">
        <v>230</v>
      </c>
      <c r="G2253" t="inlineStr">
        <is>
          <t>IDR bn</t>
        </is>
      </c>
      <c r="H2253" t="n">
        <v>4</v>
      </c>
      <c r="I2253" t="inlineStr">
        <is>
          <t>CASH FLOWS FROM OPERATING ACTIVITIES 230.131.658.025</t>
        </is>
      </c>
      <c r="J2253" t="inlineStr">
        <is>
          <t>High</t>
        </is>
      </c>
      <c r="M2253" t="inlineStr">
        <is>
          <t>LLM</t>
        </is>
      </c>
      <c r="N2253" t="inlineStr">
        <is>
          <t>2026-04-18</t>
        </is>
      </c>
      <c r="O2253" t="inlineStr">
        <is>
          <t>AI</t>
        </is>
      </c>
    </row>
    <row r="2254">
      <c r="A2254" t="inlineStr">
        <is>
          <t>PT Jhonlin Agro Raya Tbk</t>
        </is>
      </c>
      <c r="B2254" t="inlineStr">
        <is>
          <t>JARR_2023_AR.pdf</t>
        </is>
      </c>
      <c r="C2254" t="n">
        <v>2023</v>
      </c>
      <c r="D2254" t="inlineStr">
        <is>
          <t>Financial</t>
        </is>
      </c>
      <c r="E2254" t="inlineStr">
        <is>
          <t>CFI (Investing)</t>
        </is>
      </c>
      <c r="F2254" t="n">
        <v>-397</v>
      </c>
      <c r="G2254" t="inlineStr">
        <is>
          <t>IDR bn</t>
        </is>
      </c>
      <c r="H2254" t="n">
        <v>4</v>
      </c>
      <c r="I2254" t="inlineStr">
        <is>
          <t>CASH FLOWS FROM INVESTING ACTIVITIES (396.754.853.667)</t>
        </is>
      </c>
      <c r="J2254" t="inlineStr">
        <is>
          <t>High</t>
        </is>
      </c>
      <c r="M2254" t="inlineStr">
        <is>
          <t>LLM</t>
        </is>
      </c>
      <c r="N2254" t="inlineStr">
        <is>
          <t>2026-04-18</t>
        </is>
      </c>
      <c r="O2254" t="inlineStr">
        <is>
          <t>AI</t>
        </is>
      </c>
    </row>
    <row r="2255">
      <c r="A2255" t="inlineStr">
        <is>
          <t>PT Jhonlin Agro Raya Tbk</t>
        </is>
      </c>
      <c r="B2255" t="inlineStr">
        <is>
          <t>JARR_2023_AR.pdf</t>
        </is>
      </c>
      <c r="C2255" t="n">
        <v>2023</v>
      </c>
      <c r="D2255" t="inlineStr">
        <is>
          <t>Financial</t>
        </is>
      </c>
      <c r="E2255" t="inlineStr">
        <is>
          <t>CFF (Financing)</t>
        </is>
      </c>
      <c r="F2255" t="n">
        <v>116</v>
      </c>
      <c r="G2255" t="inlineStr">
        <is>
          <t>IDR bn</t>
        </is>
      </c>
      <c r="H2255" t="n">
        <v>4</v>
      </c>
      <c r="I2255" t="inlineStr">
        <is>
          <t>CASH FLOWS FROM FINANCING ACTIVITIES 115.681.892.200</t>
        </is>
      </c>
      <c r="J2255" t="inlineStr">
        <is>
          <t>High</t>
        </is>
      </c>
      <c r="M2255" t="inlineStr">
        <is>
          <t>LLM</t>
        </is>
      </c>
      <c r="N2255" t="inlineStr">
        <is>
          <t>2026-04-18</t>
        </is>
      </c>
      <c r="O2255" t="inlineStr">
        <is>
          <t>AI</t>
        </is>
      </c>
    </row>
    <row r="2256">
      <c r="A2256" t="inlineStr">
        <is>
          <t>PT Jhonlin Agro Raya Tbk</t>
        </is>
      </c>
      <c r="B2256" t="inlineStr">
        <is>
          <t>JARR_2023_AR.pdf</t>
        </is>
      </c>
      <c r="C2256" t="n">
        <v>2023</v>
      </c>
      <c r="D2256" t="inlineStr">
        <is>
          <t>Financial</t>
        </is>
      </c>
      <c r="E2256" t="inlineStr">
        <is>
          <t>Capex (Fixed Assets Additions)</t>
        </is>
      </c>
      <c r="F2256" t="n">
        <v>440</v>
      </c>
      <c r="G2256" t="inlineStr">
        <is>
          <t>IDR bn</t>
        </is>
      </c>
      <c r="H2256" t="n">
        <v>75</v>
      </c>
      <c r="I2256" t="inlineStr">
        <is>
          <t>Sum of 2023 investments: Tanah 9.77 + Mesin/Peralatan 144.78 + Bangunan 253.91 + Alat berat 24.79 + Kendaraan 5.40 + Peralatan kantor 1.97 + AUC 40.29 = ~481 bn (Note 15 additions 284.47 excluding construction; Note 15 total 1,549.5 → 1,833.97 = 284.47 bn gross asset additions)</t>
        </is>
      </c>
      <c r="J2256" t="inlineStr">
        <is>
          <t>Medium</t>
        </is>
      </c>
      <c r="M2256" t="inlineStr">
        <is>
          <t>LLM</t>
        </is>
      </c>
      <c r="N2256" t="inlineStr">
        <is>
          <t>2026-04-18</t>
        </is>
      </c>
      <c r="O2256" t="inlineStr">
        <is>
          <t>AI</t>
        </is>
      </c>
    </row>
    <row r="2257">
      <c r="A2257" t="inlineStr">
        <is>
          <t>PT Jhonlin Agro Raya Tbk</t>
        </is>
      </c>
      <c r="B2257" t="inlineStr">
        <is>
          <t>JARR_2023_AR.pdf</t>
        </is>
      </c>
      <c r="C2257" t="n">
        <v>2023</v>
      </c>
      <c r="D2257" t="inlineStr">
        <is>
          <t>Financial</t>
        </is>
      </c>
      <c r="E2257" t="inlineStr">
        <is>
          <t>EPS (Basic)</t>
        </is>
      </c>
      <c r="F2257" t="n">
        <v>8.369999999999999</v>
      </c>
      <c r="G2257" t="inlineStr">
        <is>
          <t>Rp/share</t>
        </is>
      </c>
      <c r="H2257" t="n">
        <v>4</v>
      </c>
      <c r="I2257" t="inlineStr">
        <is>
          <t>BASIC EARNINGS PER SHARE 8,37</t>
        </is>
      </c>
      <c r="J2257" t="inlineStr">
        <is>
          <t>High</t>
        </is>
      </c>
      <c r="M2257" t="inlineStr">
        <is>
          <t>LLM</t>
        </is>
      </c>
      <c r="N2257" t="inlineStr">
        <is>
          <t>2026-04-18</t>
        </is>
      </c>
      <c r="O2257" t="inlineStr">
        <is>
          <t>AI</t>
        </is>
      </c>
    </row>
    <row r="2258">
      <c r="A2258" t="inlineStr">
        <is>
          <t>PT Jhonlin Agro Raya Tbk</t>
        </is>
      </c>
      <c r="B2258" t="inlineStr">
        <is>
          <t>JARR_2023_AR.pdf</t>
        </is>
      </c>
      <c r="C2258" t="n">
        <v>2023</v>
      </c>
      <c r="D2258" t="inlineStr">
        <is>
          <t>Financial</t>
        </is>
      </c>
      <c r="E2258" t="inlineStr">
        <is>
          <t>Closing Price (31 Dec 2023)</t>
        </is>
      </c>
      <c r="F2258" t="n">
        <v>248</v>
      </c>
      <c r="G2258" t="inlineStr">
        <is>
          <t>Rp/share</t>
        </is>
      </c>
      <c r="H2258" t="n">
        <v>7</v>
      </c>
      <c r="I2258" t="inlineStr">
        <is>
          <t>December Closing Price 248</t>
        </is>
      </c>
      <c r="J2258" t="inlineStr">
        <is>
          <t>High</t>
        </is>
      </c>
      <c r="M2258" t="inlineStr">
        <is>
          <t>LLM</t>
        </is>
      </c>
      <c r="N2258" t="inlineStr">
        <is>
          <t>2026-04-18</t>
        </is>
      </c>
      <c r="O2258" t="inlineStr">
        <is>
          <t>AI</t>
        </is>
      </c>
    </row>
    <row r="2259">
      <c r="A2259" t="inlineStr">
        <is>
          <t>PT Jhonlin Agro Raya Tbk</t>
        </is>
      </c>
      <c r="B2259" t="inlineStr">
        <is>
          <t>JARR_2023_AR.pdf</t>
        </is>
      </c>
      <c r="C2259" t="n">
        <v>2023</v>
      </c>
      <c r="D2259" t="inlineStr">
        <is>
          <t>Financial</t>
        </is>
      </c>
      <c r="E2259" t="inlineStr">
        <is>
          <t>Market Cap (31 Dec 2023)</t>
        </is>
      </c>
      <c r="F2259" t="n">
        <v>2289</v>
      </c>
      <c r="G2259" t="inlineStr">
        <is>
          <t>IDR bn</t>
        </is>
      </c>
      <c r="H2259" t="n">
        <v>6</v>
      </c>
      <c r="I2259" t="inlineStr">
        <is>
          <t>12 December 2,289,204,932,400</t>
        </is>
      </c>
      <c r="J2259" t="inlineStr">
        <is>
          <t>High</t>
        </is>
      </c>
      <c r="M2259" t="inlineStr">
        <is>
          <t>LLM</t>
        </is>
      </c>
      <c r="N2259" t="inlineStr">
        <is>
          <t>2026-04-18</t>
        </is>
      </c>
      <c r="O2259" t="inlineStr">
        <is>
          <t>AI</t>
        </is>
      </c>
    </row>
    <row r="2260">
      <c r="A2260" t="inlineStr">
        <is>
          <t>PT Jhonlin Agro Raya Tbk</t>
        </is>
      </c>
      <c r="B2260" t="inlineStr">
        <is>
          <t>JARR_2023_AR.pdf</t>
        </is>
      </c>
      <c r="C2260" t="n">
        <v>2023</v>
      </c>
      <c r="D2260" t="inlineStr">
        <is>
          <t>Financial</t>
        </is>
      </c>
      <c r="E2260" t="inlineStr">
        <is>
          <t>Current Ratio</t>
        </is>
      </c>
      <c r="F2260" t="n">
        <v>3.7</v>
      </c>
      <c r="G2260" t="inlineStr">
        <is>
          <t>x</t>
        </is>
      </c>
      <c r="H2260" t="n">
        <v>73</v>
      </c>
      <c r="I2260" t="inlineStr">
        <is>
          <t>Rasio tingkat likuiditas Perseroan pada tanggal 31 Desember 2023 sebesar 3,70 (also Current Ratio 370%)</t>
        </is>
      </c>
      <c r="J2260" t="inlineStr">
        <is>
          <t>High</t>
        </is>
      </c>
      <c r="M2260" t="inlineStr">
        <is>
          <t>LLM</t>
        </is>
      </c>
      <c r="N2260" t="inlineStr">
        <is>
          <t>2026-04-18</t>
        </is>
      </c>
      <c r="O2260" t="inlineStr">
        <is>
          <t>AI</t>
        </is>
      </c>
    </row>
    <row r="2261">
      <c r="A2261" t="inlineStr">
        <is>
          <t>PT Jhonlin Agro Raya Tbk</t>
        </is>
      </c>
      <c r="B2261" t="inlineStr">
        <is>
          <t>JARR_2023_AR.pdf</t>
        </is>
      </c>
      <c r="C2261" t="n">
        <v>2023</v>
      </c>
      <c r="D2261" t="inlineStr">
        <is>
          <t>Financial</t>
        </is>
      </c>
      <c r="E2261" t="inlineStr">
        <is>
          <t>Debt-to-Equity Ratio</t>
        </is>
      </c>
      <c r="F2261" t="n">
        <v>1.53</v>
      </c>
      <c r="G2261" t="inlineStr">
        <is>
          <t>x</t>
        </is>
      </c>
      <c r="H2261" t="n">
        <v>73</v>
      </c>
      <c r="I2261" t="inlineStr">
        <is>
          <t>Debt to equity ratio 153%</t>
        </is>
      </c>
      <c r="J2261" t="inlineStr">
        <is>
          <t>High</t>
        </is>
      </c>
      <c r="M2261" t="inlineStr">
        <is>
          <t>LLM</t>
        </is>
      </c>
      <c r="N2261" t="inlineStr">
        <is>
          <t>2026-04-18</t>
        </is>
      </c>
      <c r="O2261" t="inlineStr">
        <is>
          <t>AI</t>
        </is>
      </c>
    </row>
    <row r="2262">
      <c r="A2262" t="inlineStr">
        <is>
          <t>PT Jhonlin Agro Raya Tbk</t>
        </is>
      </c>
      <c r="B2262" t="inlineStr">
        <is>
          <t>JARR_2023_AR.pdf</t>
        </is>
      </c>
      <c r="C2262" t="n">
        <v>2023</v>
      </c>
      <c r="D2262" t="inlineStr">
        <is>
          <t>Financial</t>
        </is>
      </c>
      <c r="E2262" t="inlineStr">
        <is>
          <t>Debt-to-Asset Ratio</t>
        </is>
      </c>
      <c r="F2262" t="n">
        <v>0.61</v>
      </c>
      <c r="G2262" t="inlineStr">
        <is>
          <t>x</t>
        </is>
      </c>
      <c r="H2262" t="n">
        <v>5</v>
      </c>
      <c r="I2262" t="inlineStr">
        <is>
          <t>Liability to asset ratio 0,61</t>
        </is>
      </c>
      <c r="J2262" t="inlineStr">
        <is>
          <t>High</t>
        </is>
      </c>
      <c r="M2262" t="inlineStr">
        <is>
          <t>LLM</t>
        </is>
      </c>
      <c r="N2262" t="inlineStr">
        <is>
          <t>2026-04-18</t>
        </is>
      </c>
      <c r="O2262" t="inlineStr">
        <is>
          <t>AI</t>
        </is>
      </c>
    </row>
    <row r="2263">
      <c r="A2263" t="inlineStr">
        <is>
          <t>PT Jhonlin Agro Raya Tbk</t>
        </is>
      </c>
      <c r="B2263" t="inlineStr">
        <is>
          <t>JARR_2023_AR.pdf</t>
        </is>
      </c>
      <c r="C2263" t="n">
        <v>2023</v>
      </c>
      <c r="D2263" t="inlineStr">
        <is>
          <t>Financial</t>
        </is>
      </c>
      <c r="E2263" t="inlineStr">
        <is>
          <t>New Investment Credit (Bank Mandiri)</t>
        </is>
      </c>
      <c r="F2263" t="n">
        <v>500</v>
      </c>
      <c r="G2263" t="inlineStr">
        <is>
          <t>IDR bn</t>
        </is>
      </c>
      <c r="H2263" t="n">
        <v>211</v>
      </c>
      <c r="I2263" t="inlineStr">
        <is>
          <t>Pada tanggal 6 November 2023, Perusahaan menandatangani perjanjian pinjaman fasilitas Kredit Investasi senilai Rp.500.000.000.000. Jangka waktu pinjaman 86 bulan... Suku bunga adalah 7,50% per tahun</t>
        </is>
      </c>
      <c r="J2263" t="inlineStr">
        <is>
          <t>High</t>
        </is>
      </c>
      <c r="M2263" t="inlineStr">
        <is>
          <t>LLM</t>
        </is>
      </c>
      <c r="N2263" t="inlineStr">
        <is>
          <t>2026-04-18</t>
        </is>
      </c>
      <c r="O2263" t="inlineStr">
        <is>
          <t>AI</t>
        </is>
      </c>
    </row>
    <row r="2264">
      <c r="A2264" t="inlineStr">
        <is>
          <t>PT Jhonlin Agro Raya Tbk</t>
        </is>
      </c>
      <c r="B2264" t="inlineStr">
        <is>
          <t>JARR_2023_AR.pdf</t>
        </is>
      </c>
      <c r="C2264" t="n">
        <v>2023</v>
      </c>
      <c r="D2264" t="inlineStr">
        <is>
          <t>Asset</t>
        </is>
      </c>
      <c r="E2264" t="inlineStr">
        <is>
          <t>Planted Area (Total, After Merger)</t>
        </is>
      </c>
      <c r="F2264" t="n">
        <v>17964.7</v>
      </c>
      <c r="G2264" t="inlineStr">
        <is>
          <t>ha</t>
        </is>
      </c>
      <c r="H2264" t="n">
        <v>200</v>
      </c>
      <c r="I2264" t="inlineStr">
        <is>
          <t>Pada tanggal 31 Desember 2023, lahan yang telah ditanam oleh Perusahaan seluas 17.964,70 hektar</t>
        </is>
      </c>
      <c r="J2264" t="inlineStr">
        <is>
          <t>High</t>
        </is>
      </c>
      <c r="M2264" t="inlineStr">
        <is>
          <t>LLM</t>
        </is>
      </c>
      <c r="N2264" t="inlineStr">
        <is>
          <t>2026-04-18</t>
        </is>
      </c>
      <c r="O2264" t="inlineStr">
        <is>
          <t>AI</t>
        </is>
      </c>
    </row>
    <row r="2265">
      <c r="A2265" t="inlineStr">
        <is>
          <t>PT Jhonlin Agro Raya Tbk</t>
        </is>
      </c>
      <c r="B2265" t="inlineStr">
        <is>
          <t>JARR_2023_AR.pdf</t>
        </is>
      </c>
      <c r="C2265" t="n">
        <v>2023</v>
      </c>
      <c r="D2265" t="inlineStr">
        <is>
          <t>Asset</t>
        </is>
      </c>
      <c r="E2265" t="inlineStr">
        <is>
          <t>Mature Planted Area</t>
        </is>
      </c>
      <c r="F2265" t="n">
        <v>14961.46</v>
      </c>
      <c r="G2265" t="inlineStr">
        <is>
          <t>ha</t>
        </is>
      </c>
      <c r="H2265" t="n">
        <v>200</v>
      </c>
      <c r="I2265" t="inlineStr">
        <is>
          <t>areal yang telah menghasilkan seluas 14.961,46 hektar</t>
        </is>
      </c>
      <c r="J2265" t="inlineStr">
        <is>
          <t>High</t>
        </is>
      </c>
      <c r="M2265" t="inlineStr">
        <is>
          <t>LLM</t>
        </is>
      </c>
      <c r="N2265" t="inlineStr">
        <is>
          <t>2026-04-18</t>
        </is>
      </c>
      <c r="O2265" t="inlineStr">
        <is>
          <t>AI</t>
        </is>
      </c>
    </row>
    <row r="2266">
      <c r="A2266" t="inlineStr">
        <is>
          <t>PT Jhonlin Agro Raya Tbk</t>
        </is>
      </c>
      <c r="B2266" t="inlineStr">
        <is>
          <t>JARR_2023_AR.pdf</t>
        </is>
      </c>
      <c r="C2266" t="n">
        <v>2023</v>
      </c>
      <c r="D2266" t="inlineStr">
        <is>
          <t>Asset</t>
        </is>
      </c>
      <c r="E2266" t="inlineStr">
        <is>
          <t>Immature Planted Area</t>
        </is>
      </c>
      <c r="F2266" t="n">
        <v>3003.24</v>
      </c>
      <c r="G2266" t="inlineStr">
        <is>
          <t>ha</t>
        </is>
      </c>
      <c r="H2266" t="n">
        <v>200</v>
      </c>
      <c r="I2266" t="inlineStr">
        <is>
          <t>areal yang belum menghasilkan seluas 3.003,24 hektar</t>
        </is>
      </c>
      <c r="J2266" t="inlineStr">
        <is>
          <t>High</t>
        </is>
      </c>
      <c r="M2266" t="inlineStr">
        <is>
          <t>LLM</t>
        </is>
      </c>
      <c r="N2266" t="inlineStr">
        <is>
          <t>2026-04-18</t>
        </is>
      </c>
      <c r="O2266" t="inlineStr">
        <is>
          <t>AI</t>
        </is>
      </c>
    </row>
    <row r="2267">
      <c r="A2267" t="inlineStr">
        <is>
          <t>PT Jhonlin Agro Raya Tbk</t>
        </is>
      </c>
      <c r="B2267" t="inlineStr">
        <is>
          <t>JARR_2023_AR.pdf</t>
        </is>
      </c>
      <c r="C2267" t="n">
        <v>2023</v>
      </c>
      <c r="D2267" t="inlineStr">
        <is>
          <t>Asset</t>
        </is>
      </c>
      <c r="E2267" t="inlineStr">
        <is>
          <t>HGU Area (Total)</t>
        </is>
      </c>
      <c r="F2267" t="n">
        <v>27936.72</v>
      </c>
      <c r="G2267" t="inlineStr">
        <is>
          <t>ha</t>
        </is>
      </c>
      <c r="H2267" t="n">
        <v>202</v>
      </c>
      <c r="I2267" t="inlineStr">
        <is>
          <t>Hak Guna Usaha (HGU) total are 27,936.72 hectares, for a period of 35 years until 2055</t>
        </is>
      </c>
      <c r="J2267" t="inlineStr">
        <is>
          <t>High</t>
        </is>
      </c>
      <c r="M2267" t="inlineStr">
        <is>
          <t>LLM</t>
        </is>
      </c>
      <c r="N2267" t="inlineStr">
        <is>
          <t>2026-04-18</t>
        </is>
      </c>
      <c r="O2267" t="inlineStr">
        <is>
          <t>AI</t>
        </is>
      </c>
    </row>
    <row r="2268">
      <c r="A2268" t="inlineStr">
        <is>
          <t>PT Jhonlin Agro Raya Tbk</t>
        </is>
      </c>
      <c r="B2268" t="inlineStr">
        <is>
          <t>JARR_2023_AR.pdf</t>
        </is>
      </c>
      <c r="C2268" t="n">
        <v>2023</v>
      </c>
      <c r="D2268" t="inlineStr">
        <is>
          <t>Asset</t>
        </is>
      </c>
      <c r="E2268" t="inlineStr">
        <is>
          <t>Plasma Area</t>
        </is>
      </c>
      <c r="F2268" t="n">
        <v>518.12</v>
      </c>
      <c r="G2268" t="inlineStr">
        <is>
          <t>ha</t>
        </is>
      </c>
      <c r="H2268" t="n">
        <v>200</v>
      </c>
      <c r="I2268" t="inlineStr">
        <is>
          <t>plasma plantations which located in Kalimantan total area 518.12 hectares (Koperasi Jasa Maju Mulia Sejahtera)</t>
        </is>
      </c>
      <c r="J2268" t="inlineStr">
        <is>
          <t>High</t>
        </is>
      </c>
      <c r="M2268" t="inlineStr">
        <is>
          <t>LLM</t>
        </is>
      </c>
      <c r="N2268" t="inlineStr">
        <is>
          <t>2026-04-18</t>
        </is>
      </c>
      <c r="O2268" t="inlineStr">
        <is>
          <t>AI</t>
        </is>
      </c>
    </row>
    <row r="2269">
      <c r="A2269" t="inlineStr">
        <is>
          <t>PT Jhonlin Agro Raya Tbk</t>
        </is>
      </c>
      <c r="B2269" t="inlineStr">
        <is>
          <t>JARR_2023_AR.pdf</t>
        </is>
      </c>
      <c r="C2269" t="n">
        <v>2023</v>
      </c>
      <c r="D2269" t="inlineStr">
        <is>
          <t>Asset</t>
        </is>
      </c>
      <c r="E2269" t="inlineStr">
        <is>
          <t>Bearer Plants Fair Value</t>
        </is>
      </c>
      <c r="F2269" t="n">
        <v>1670</v>
      </c>
      <c r="G2269" t="inlineStr">
        <is>
          <t>IDR bn</t>
        </is>
      </c>
      <c r="H2269" t="n">
        <v>200</v>
      </c>
      <c r="I2269" t="inlineStr">
        <is>
          <t>Perusahaan mengestimasi nilai wajar untuk tanaman produktif milik Perusahaan sebesar Rp1.669.557.050.000 (independent appraiser Ruky, Safrudin &amp; Rekan)</t>
        </is>
      </c>
      <c r="J2269" t="inlineStr">
        <is>
          <t>High</t>
        </is>
      </c>
      <c r="M2269" t="inlineStr">
        <is>
          <t>LLM</t>
        </is>
      </c>
      <c r="N2269" t="inlineStr">
        <is>
          <t>2026-04-18</t>
        </is>
      </c>
      <c r="O2269" t="inlineStr">
        <is>
          <t>AI</t>
        </is>
      </c>
    </row>
    <row r="2270">
      <c r="A2270" t="inlineStr">
        <is>
          <t>PT Jhonlin Agro Raya Tbk</t>
        </is>
      </c>
      <c r="B2270" t="inlineStr">
        <is>
          <t>JARR_2023_AR.pdf</t>
        </is>
      </c>
      <c r="C2270" t="n">
        <v>2023</v>
      </c>
      <c r="D2270" t="inlineStr">
        <is>
          <t>Asset</t>
        </is>
      </c>
      <c r="E2270" t="inlineStr">
        <is>
          <t>Fixed Assets Net Book Value</t>
        </is>
      </c>
      <c r="F2270" t="n">
        <v>1535</v>
      </c>
      <c r="G2270" t="inlineStr">
        <is>
          <t>IDR bn</t>
        </is>
      </c>
      <c r="H2270" t="n">
        <v>201</v>
      </c>
      <c r="I2270" t="inlineStr">
        <is>
          <t>Nilai tercatat neto 1.535.317.762.580</t>
        </is>
      </c>
      <c r="J2270" t="inlineStr">
        <is>
          <t>High</t>
        </is>
      </c>
      <c r="M2270" t="inlineStr">
        <is>
          <t>LLM</t>
        </is>
      </c>
      <c r="N2270" t="inlineStr">
        <is>
          <t>2026-04-18</t>
        </is>
      </c>
      <c r="O2270" t="inlineStr">
        <is>
          <t>AI</t>
        </is>
      </c>
    </row>
    <row r="2271">
      <c r="A2271" t="inlineStr">
        <is>
          <t>PT Jhonlin Agro Raya Tbk</t>
        </is>
      </c>
      <c r="B2271" t="inlineStr">
        <is>
          <t>JARR_2023_AR.pdf</t>
        </is>
      </c>
      <c r="C2271" t="n">
        <v>2023</v>
      </c>
      <c r="D2271" t="inlineStr">
        <is>
          <t>Asset</t>
        </is>
      </c>
      <c r="E2271" t="inlineStr">
        <is>
          <t>Bearer Plants - Mature (NBV)</t>
        </is>
      </c>
      <c r="F2271" t="n">
        <v>349</v>
      </c>
      <c r="G2271" t="inlineStr">
        <is>
          <t>IDR bn</t>
        </is>
      </c>
      <c r="H2271" t="n">
        <v>2</v>
      </c>
      <c r="I2271" t="inlineStr">
        <is>
          <t>Producing plants 348.760.715.276</t>
        </is>
      </c>
      <c r="J2271" t="inlineStr">
        <is>
          <t>High</t>
        </is>
      </c>
      <c r="M2271" t="inlineStr">
        <is>
          <t>LLM</t>
        </is>
      </c>
      <c r="N2271" t="inlineStr">
        <is>
          <t>2026-04-18</t>
        </is>
      </c>
      <c r="O2271" t="inlineStr">
        <is>
          <t>AI</t>
        </is>
      </c>
    </row>
    <row r="2272">
      <c r="A2272" t="inlineStr">
        <is>
          <t>PT Jhonlin Agro Raya Tbk</t>
        </is>
      </c>
      <c r="B2272" t="inlineStr">
        <is>
          <t>JARR_2023_AR.pdf</t>
        </is>
      </c>
      <c r="C2272" t="n">
        <v>2023</v>
      </c>
      <c r="D2272" t="inlineStr">
        <is>
          <t>Asset</t>
        </is>
      </c>
      <c r="E2272" t="inlineStr">
        <is>
          <t>Bearer Plants - Immature (NBV)</t>
        </is>
      </c>
      <c r="F2272" t="n">
        <v>366</v>
      </c>
      <c r="G2272" t="inlineStr">
        <is>
          <t>IDR bn</t>
        </is>
      </c>
      <c r="H2272" t="n">
        <v>2</v>
      </c>
      <c r="I2272" t="inlineStr">
        <is>
          <t>Non-yielding crops 365.940.634.821</t>
        </is>
      </c>
      <c r="J2272" t="inlineStr">
        <is>
          <t>High</t>
        </is>
      </c>
      <c r="M2272" t="inlineStr">
        <is>
          <t>LLM</t>
        </is>
      </c>
      <c r="N2272" t="inlineStr">
        <is>
          <t>2026-04-18</t>
        </is>
      </c>
      <c r="O2272" t="inlineStr">
        <is>
          <t>AI</t>
        </is>
      </c>
    </row>
    <row r="2273">
      <c r="A2273" t="inlineStr">
        <is>
          <t>PT Jhonlin Agro Raya Tbk</t>
        </is>
      </c>
      <c r="B2273" t="inlineStr">
        <is>
          <t>JARR_2023_AR.pdf</t>
        </is>
      </c>
      <c r="C2273" t="n">
        <v>2023</v>
      </c>
      <c r="D2273" t="inlineStr">
        <is>
          <t>Asset</t>
        </is>
      </c>
      <c r="E2273" t="inlineStr">
        <is>
          <t>Nursery (NBV)</t>
        </is>
      </c>
      <c r="F2273" t="n">
        <v>23</v>
      </c>
      <c r="G2273" t="inlineStr">
        <is>
          <t>IDR bn</t>
        </is>
      </c>
      <c r="H2273" t="n">
        <v>2</v>
      </c>
      <c r="I2273" t="inlineStr">
        <is>
          <t>Nursery 23.126.772.016</t>
        </is>
      </c>
      <c r="J2273" t="inlineStr">
        <is>
          <t>High</t>
        </is>
      </c>
      <c r="M2273" t="inlineStr">
        <is>
          <t>LLM</t>
        </is>
      </c>
      <c r="N2273" t="inlineStr">
        <is>
          <t>2026-04-18</t>
        </is>
      </c>
      <c r="O2273" t="inlineStr">
        <is>
          <t>AI</t>
        </is>
      </c>
    </row>
    <row r="2274">
      <c r="A2274" t="inlineStr">
        <is>
          <t>PT Jhonlin Agro Raya Tbk</t>
        </is>
      </c>
      <c r="B2274" t="inlineStr">
        <is>
          <t>JARR_2023_AR.pdf</t>
        </is>
      </c>
      <c r="C2274" t="n">
        <v>2023</v>
      </c>
      <c r="D2274" t="inlineStr">
        <is>
          <t>Asset</t>
        </is>
      </c>
      <c r="E2274" t="inlineStr">
        <is>
          <t>Biodiesel Plant Capacity</t>
        </is>
      </c>
      <c r="F2274" t="n">
        <v>1500</v>
      </c>
      <c r="G2274" t="inlineStr">
        <is>
          <t>TPD</t>
        </is>
      </c>
      <c r="H2274" t="n">
        <v>21</v>
      </c>
      <c r="I2274" t="inlineStr">
        <is>
          <t>Perseroan memiliki pabrik Biodiesel dengan kapasitas 1.500 Ton Per Hari</t>
        </is>
      </c>
      <c r="J2274" t="inlineStr">
        <is>
          <t>High</t>
        </is>
      </c>
      <c r="M2274" t="inlineStr">
        <is>
          <t>LLM</t>
        </is>
      </c>
      <c r="N2274" t="inlineStr">
        <is>
          <t>2026-04-18</t>
        </is>
      </c>
      <c r="O2274" t="inlineStr">
        <is>
          <t>AI</t>
        </is>
      </c>
    </row>
    <row r="2275">
      <c r="A2275" t="inlineStr">
        <is>
          <t>PT Jhonlin Agro Raya Tbk</t>
        </is>
      </c>
      <c r="B2275" t="inlineStr">
        <is>
          <t>JARR_2023_AR.pdf</t>
        </is>
      </c>
      <c r="C2275" t="n">
        <v>2023</v>
      </c>
      <c r="D2275" t="inlineStr">
        <is>
          <t>Asset</t>
        </is>
      </c>
      <c r="E2275" t="inlineStr">
        <is>
          <t>Cooking Oil Plant Capacity</t>
        </is>
      </c>
      <c r="F2275" t="n">
        <v>250</v>
      </c>
      <c r="G2275" t="inlineStr">
        <is>
          <t>TPD</t>
        </is>
      </c>
      <c r="H2275" t="n">
        <v>21</v>
      </c>
      <c r="I2275" t="inlineStr">
        <is>
          <t>Pabrik Minyak Goreng dengan kapasitas 250 TPD yang telah dipasarkan mulai awal tahun 2023</t>
        </is>
      </c>
      <c r="J2275" t="inlineStr">
        <is>
          <t>High</t>
        </is>
      </c>
      <c r="M2275" t="inlineStr">
        <is>
          <t>LLM</t>
        </is>
      </c>
      <c r="N2275" t="inlineStr">
        <is>
          <t>2026-04-18</t>
        </is>
      </c>
      <c r="O2275" t="inlineStr">
        <is>
          <t>AI</t>
        </is>
      </c>
    </row>
    <row r="2276">
      <c r="A2276" t="inlineStr">
        <is>
          <t>PT Jhonlin Agro Raya Tbk</t>
        </is>
      </c>
      <c r="B2276" t="inlineStr">
        <is>
          <t>JARR_2023_AR.pdf</t>
        </is>
      </c>
      <c r="C2276" t="n">
        <v>2023</v>
      </c>
      <c r="D2276" t="inlineStr">
        <is>
          <t>Asset</t>
        </is>
      </c>
      <c r="E2276" t="inlineStr">
        <is>
          <t>PKS (Palm Oil Mill) Capacity</t>
        </is>
      </c>
      <c r="F2276" t="n">
        <v>60</v>
      </c>
      <c r="G2276" t="inlineStr">
        <is>
          <t>TPH</t>
        </is>
      </c>
      <c r="H2276" t="n">
        <v>21</v>
      </c>
      <c r="I2276" t="inlineStr">
        <is>
          <t>Perseroan sedang membangun Pabrik Kelapa Sawit dengan kapasitas 60 Ton per jam (completing 2023)</t>
        </is>
      </c>
      <c r="J2276" t="inlineStr">
        <is>
          <t>High</t>
        </is>
      </c>
      <c r="M2276" t="inlineStr">
        <is>
          <t>LLM</t>
        </is>
      </c>
      <c r="N2276" t="inlineStr">
        <is>
          <t>2026-04-18</t>
        </is>
      </c>
      <c r="O2276" t="inlineStr">
        <is>
          <t>AI</t>
        </is>
      </c>
    </row>
    <row r="2277">
      <c r="A2277" t="inlineStr">
        <is>
          <t>PT Jhonlin Agro Raya Tbk</t>
        </is>
      </c>
      <c r="B2277" t="inlineStr">
        <is>
          <t>JARR_2023_AR.pdf</t>
        </is>
      </c>
      <c r="C2277" t="n">
        <v>2023</v>
      </c>
      <c r="D2277" t="inlineStr">
        <is>
          <t>Operation</t>
        </is>
      </c>
      <c r="E2277" t="inlineStr">
        <is>
          <t>FFB Production</t>
        </is>
      </c>
      <c r="F2277" t="n">
        <v>208107</v>
      </c>
      <c r="G2277" t="inlineStr">
        <is>
          <t>t</t>
        </is>
      </c>
      <c r="H2277" t="n">
        <v>16</v>
      </c>
      <c r="I2277" t="inlineStr">
        <is>
          <t>produksi Tandan Buah Segar (TBS) selama tahun 2023... dari yang ditargetkan sebesar 154.314,15 Ton, hasil yang dicapai sebesar 208.106,98 Ton (135% of target)</t>
        </is>
      </c>
      <c r="J2277" t="inlineStr">
        <is>
          <t>High</t>
        </is>
      </c>
      <c r="M2277" t="inlineStr">
        <is>
          <t>LLM</t>
        </is>
      </c>
      <c r="N2277" t="inlineStr">
        <is>
          <t>2026-04-18</t>
        </is>
      </c>
      <c r="O2277" t="inlineStr">
        <is>
          <t>AI</t>
        </is>
      </c>
    </row>
    <row r="2278">
      <c r="A2278" t="inlineStr">
        <is>
          <t>PT Jhonlin Agro Raya Tbk</t>
        </is>
      </c>
      <c r="B2278" t="inlineStr">
        <is>
          <t>JARR_2023_AR.pdf</t>
        </is>
      </c>
      <c r="C2278" t="n">
        <v>2023</v>
      </c>
      <c r="D2278" t="inlineStr">
        <is>
          <t>Operation</t>
        </is>
      </c>
      <c r="E2278" t="inlineStr">
        <is>
          <t>FAME (Biodiesel) Production</t>
        </is>
      </c>
      <c r="F2278" t="n">
        <v>310678</v>
      </c>
      <c r="G2278" t="inlineStr">
        <is>
          <t>KL</t>
        </is>
      </c>
      <c r="H2278" t="n">
        <v>16</v>
      </c>
      <c r="I2278" t="inlineStr">
        <is>
          <t>penjualan FAME selama tahun 2023 secara target tercapai sebesar 93% dari yang ditargetkan sebesar 333.562 KL, hasil yang dicapai sebesar 310.678 KL</t>
        </is>
      </c>
      <c r="J2278" t="inlineStr">
        <is>
          <t>High</t>
        </is>
      </c>
      <c r="M2278" t="inlineStr">
        <is>
          <t>LLM</t>
        </is>
      </c>
      <c r="N2278" t="inlineStr">
        <is>
          <t>2026-04-18</t>
        </is>
      </c>
      <c r="O2278" t="inlineStr">
        <is>
          <t>AI</t>
        </is>
      </c>
    </row>
    <row r="2279">
      <c r="A2279" t="inlineStr">
        <is>
          <t>PT Jhonlin Agro Raya Tbk</t>
        </is>
      </c>
      <c r="B2279" t="inlineStr">
        <is>
          <t>JARR_2023_AR.pdf</t>
        </is>
      </c>
      <c r="C2279" t="n">
        <v>2023</v>
      </c>
      <c r="D2279" t="inlineStr">
        <is>
          <t>Operation</t>
        </is>
      </c>
      <c r="E2279" t="inlineStr">
        <is>
          <t>FAME Avg Selling Price</t>
        </is>
      </c>
      <c r="F2279" t="n">
        <v>10985</v>
      </c>
      <c r="G2279" t="inlineStr">
        <is>
          <t>Rp/L</t>
        </is>
      </c>
      <c r="H2279" t="n">
        <v>74</v>
      </c>
      <c r="I2279" t="inlineStr">
        <is>
          <t>harga rata-rata 2023 (Rp10.985/Lt) lebih rendah dari tahun 2022 (Rp12.377/Lt)</t>
        </is>
      </c>
      <c r="J2279" t="inlineStr">
        <is>
          <t>High</t>
        </is>
      </c>
      <c r="M2279" t="inlineStr">
        <is>
          <t>LLM</t>
        </is>
      </c>
      <c r="N2279" t="inlineStr">
        <is>
          <t>2026-04-18</t>
        </is>
      </c>
      <c r="O2279" t="inlineStr">
        <is>
          <t>AI</t>
        </is>
      </c>
    </row>
    <row r="2280">
      <c r="A2280" t="inlineStr">
        <is>
          <t>PT Jhonlin Agro Raya Tbk</t>
        </is>
      </c>
      <c r="B2280" t="inlineStr">
        <is>
          <t>JARR_2023_AR.pdf</t>
        </is>
      </c>
      <c r="C2280" t="n">
        <v>2023</v>
      </c>
      <c r="D2280" t="inlineStr">
        <is>
          <t>Operation</t>
        </is>
      </c>
      <c r="E2280" t="inlineStr">
        <is>
          <t>Biodiesel Segment Revenue</t>
        </is>
      </c>
      <c r="F2280" t="n">
        <v>4044</v>
      </c>
      <c r="G2280" t="inlineStr">
        <is>
          <t>IDR bn</t>
        </is>
      </c>
      <c r="H2280" t="inlineStr">
        <is>
          <t>segment</t>
        </is>
      </c>
      <c r="I2280" t="inlineStr">
        <is>
          <t>Penjualan bersih 4.043.774.963.948 (Biodiesel segment)</t>
        </is>
      </c>
      <c r="J2280" t="inlineStr">
        <is>
          <t>High</t>
        </is>
      </c>
      <c r="M2280" t="inlineStr">
        <is>
          <t>LLM</t>
        </is>
      </c>
      <c r="N2280" t="inlineStr">
        <is>
          <t>2026-04-18</t>
        </is>
      </c>
      <c r="O2280" t="inlineStr">
        <is>
          <t>AI</t>
        </is>
      </c>
    </row>
    <row r="2281">
      <c r="A2281" t="inlineStr">
        <is>
          <t>PT Jhonlin Agro Raya Tbk</t>
        </is>
      </c>
      <c r="B2281" t="inlineStr">
        <is>
          <t>JARR_2023_AR.pdf</t>
        </is>
      </c>
      <c r="C2281" t="n">
        <v>2023</v>
      </c>
      <c r="D2281" t="inlineStr">
        <is>
          <t>Operation</t>
        </is>
      </c>
      <c r="E2281" t="inlineStr">
        <is>
          <t>FFB Segment Revenue</t>
        </is>
      </c>
      <c r="F2281" t="n">
        <v>399</v>
      </c>
      <c r="G2281" t="inlineStr">
        <is>
          <t>IDR bn</t>
        </is>
      </c>
      <c r="H2281" t="inlineStr">
        <is>
          <t>segment</t>
        </is>
      </c>
      <c r="I2281" t="inlineStr">
        <is>
          <t>Penjualan bersih 398.504.685.315 (FFB segment 2023)</t>
        </is>
      </c>
      <c r="J2281" t="inlineStr">
        <is>
          <t>High</t>
        </is>
      </c>
      <c r="M2281" t="inlineStr">
        <is>
          <t>LLM</t>
        </is>
      </c>
      <c r="N2281" t="inlineStr">
        <is>
          <t>2026-04-18</t>
        </is>
      </c>
      <c r="O2281" t="inlineStr">
        <is>
          <t>AI</t>
        </is>
      </c>
    </row>
    <row r="2282">
      <c r="A2282" t="inlineStr">
        <is>
          <t>PT Jhonlin Agro Raya Tbk</t>
        </is>
      </c>
      <c r="B2282" t="inlineStr">
        <is>
          <t>JARR_2023_AR.pdf</t>
        </is>
      </c>
      <c r="C2282" t="n">
        <v>2023</v>
      </c>
      <c r="D2282" t="inlineStr">
        <is>
          <t>Operation</t>
        </is>
      </c>
      <c r="E2282" t="inlineStr">
        <is>
          <t>Biological Assets (Growing FFB, Fair Value)</t>
        </is>
      </c>
      <c r="F2282" t="n">
        <v>23</v>
      </c>
      <c r="G2282" t="inlineStr">
        <is>
          <t>IDR bn</t>
        </is>
      </c>
      <c r="H2282" t="n">
        <v>199</v>
      </c>
      <c r="I2282" t="inlineStr">
        <is>
          <t>Aset biologis Jumlah 23.358.068.000; Estimated FFB 1 month future: 14,732 ton (31 Dec 2023)</t>
        </is>
      </c>
      <c r="J2282" t="inlineStr">
        <is>
          <t>High</t>
        </is>
      </c>
      <c r="M2282" t="inlineStr">
        <is>
          <t>LLM</t>
        </is>
      </c>
      <c r="N2282" t="inlineStr">
        <is>
          <t>2026-04-18</t>
        </is>
      </c>
      <c r="O2282" t="inlineStr">
        <is>
          <t>AI</t>
        </is>
      </c>
    </row>
    <row r="2283">
      <c r="A2283" t="inlineStr">
        <is>
          <t>PT Jhonlin Agro Raya Tbk</t>
        </is>
      </c>
      <c r="B2283" t="inlineStr">
        <is>
          <t>JARR_2023_AR.pdf</t>
        </is>
      </c>
      <c r="C2283" t="n">
        <v>2023</v>
      </c>
      <c r="D2283" t="inlineStr">
        <is>
          <t>Operation</t>
        </is>
      </c>
      <c r="E2283" t="inlineStr">
        <is>
          <t>Main Customer</t>
        </is>
      </c>
      <c r="F2283" t="inlineStr">
        <is>
          <t>PT Pertamina Patra Niaga</t>
        </is>
      </c>
      <c r="G2283" t="inlineStr">
        <is>
          <t>text</t>
        </is>
      </c>
      <c r="H2283" t="n">
        <v>14</v>
      </c>
      <c r="I2283" t="inlineStr">
        <is>
          <t>Pendapatan Perseroan sebagian besar diperoleh dari hasil penjualan produk FAME kepada PT Pertamina Patra Niaga (Persero)</t>
        </is>
      </c>
      <c r="J2283" t="inlineStr">
        <is>
          <t>High</t>
        </is>
      </c>
      <c r="M2283" t="inlineStr">
        <is>
          <t>LLM</t>
        </is>
      </c>
      <c r="N2283" t="inlineStr">
        <is>
          <t>2026-04-18</t>
        </is>
      </c>
      <c r="O2283" t="inlineStr">
        <is>
          <t>AI</t>
        </is>
      </c>
    </row>
    <row r="2284">
      <c r="A2284" t="inlineStr">
        <is>
          <t>PT Jhonlin Agro Raya Tbk</t>
        </is>
      </c>
      <c r="B2284" t="inlineStr">
        <is>
          <t>JARR_2023_AR.pdf</t>
        </is>
      </c>
      <c r="C2284" t="n">
        <v>2023</v>
      </c>
      <c r="D2284" t="inlineStr">
        <is>
          <t>Other</t>
        </is>
      </c>
      <c r="E2284" t="inlineStr">
        <is>
          <t>Receivables Collection Ratio</t>
        </is>
      </c>
      <c r="F2284" t="n">
        <v>12</v>
      </c>
      <c r="G2284" t="inlineStr">
        <is>
          <t>x</t>
        </is>
      </c>
      <c r="H2284" t="n">
        <v>72</v>
      </c>
      <c r="I2284" t="inlineStr">
        <is>
          <t>Tingkat Kolekbilitas Piutang Perseroan 12 kali</t>
        </is>
      </c>
      <c r="J2284" t="inlineStr">
        <is>
          <t>High</t>
        </is>
      </c>
      <c r="M2284" t="inlineStr">
        <is>
          <t>LLM</t>
        </is>
      </c>
      <c r="N2284" t="inlineStr">
        <is>
          <t>2026-04-18</t>
        </is>
      </c>
      <c r="O2284" t="inlineStr">
        <is>
          <t>AI</t>
        </is>
      </c>
    </row>
    <row r="2285">
      <c r="A2285" t="inlineStr">
        <is>
          <t>PT Jhonlin Agro Raya Tbk</t>
        </is>
      </c>
      <c r="B2285" t="inlineStr">
        <is>
          <t>JARR_2023_AR.pdf</t>
        </is>
      </c>
      <c r="C2285" t="n">
        <v>2023</v>
      </c>
      <c r="D2285" t="inlineStr">
        <is>
          <t>Other</t>
        </is>
      </c>
      <c r="E2285" t="inlineStr">
        <is>
          <t>CPO Internal Production Target 2024</t>
        </is>
      </c>
      <c r="F2285" t="inlineStr">
        <is>
          <t>20%</t>
        </is>
      </c>
      <c r="G2285" t="inlineStr">
        <is>
          <t>%</t>
        </is>
      </c>
      <c r="H2285" t="n">
        <v>14</v>
      </c>
      <c r="I2285" t="inlineStr">
        <is>
          <t>Increase internal CPO production by 20% of total CPO purchases in 2024, in line with the completion of Palm Oil Mill Construction at the end of 2023</t>
        </is>
      </c>
      <c r="J2285" t="inlineStr">
        <is>
          <t>High</t>
        </is>
      </c>
      <c r="M2285" t="inlineStr">
        <is>
          <t>LLM</t>
        </is>
      </c>
      <c r="N2285" t="inlineStr">
        <is>
          <t>2026-04-18</t>
        </is>
      </c>
      <c r="O2285" t="inlineStr">
        <is>
          <t>AI</t>
        </is>
      </c>
    </row>
    <row r="2286">
      <c r="A2286" t="inlineStr">
        <is>
          <t>PT Jhonlin Agro Raya Tbk</t>
        </is>
      </c>
      <c r="B2286" t="inlineStr">
        <is>
          <t>JARR_2023_AR.pdf</t>
        </is>
      </c>
      <c r="C2286" t="n">
        <v>2023</v>
      </c>
      <c r="D2286" t="inlineStr">
        <is>
          <t>Other</t>
        </is>
      </c>
      <c r="E2286" t="inlineStr">
        <is>
          <t>IPO Fund Use Complete</t>
        </is>
      </c>
      <c r="F2286" t="inlineStr">
        <is>
          <t>361.8 bn fully used by 2023</t>
        </is>
      </c>
      <c r="G2286" t="inlineStr">
        <is>
          <t>IDR bn</t>
        </is>
      </c>
      <c r="H2286" t="n">
        <v>18</v>
      </c>
      <c r="I2286" t="inlineStr">
        <is>
          <t>Perseroan telah... seluruhnya oleh Perseroan untuk modal usaha dan operasional di tahun 2022 dan 2023</t>
        </is>
      </c>
      <c r="J2286" t="inlineStr">
        <is>
          <t>High</t>
        </is>
      </c>
      <c r="M2286" t="inlineStr">
        <is>
          <t>LLM</t>
        </is>
      </c>
      <c r="N2286" t="inlineStr">
        <is>
          <t>2026-04-18</t>
        </is>
      </c>
      <c r="O2286" t="inlineStr">
        <is>
          <t>AI</t>
        </is>
      </c>
    </row>
    <row r="2287">
      <c r="A2287" t="inlineStr">
        <is>
          <t>PT Jhonlin Agro Raya Tbk</t>
        </is>
      </c>
      <c r="B2287" t="inlineStr">
        <is>
          <t>JARR_2024_AR.pdf</t>
        </is>
      </c>
      <c r="C2287" t="n">
        <v>2024</v>
      </c>
      <c r="D2287" t="inlineStr">
        <is>
          <t>Company</t>
        </is>
      </c>
      <c r="E2287" t="inlineStr">
        <is>
          <t>Company Name</t>
        </is>
      </c>
      <c r="F2287" t="inlineStr">
        <is>
          <t>PT Jhonlin Agro Raya Tbk</t>
        </is>
      </c>
      <c r="G2287" t="inlineStr">
        <is>
          <t>text</t>
        </is>
      </c>
      <c r="H2287" t="n">
        <v>1</v>
      </c>
      <c r="I2287" t="inlineStr">
        <is>
          <t>PT Jhonlin Agro Raya Tbk Annual Report 2024 - Bersinergi untuk Alam, Tumbuh Berkelanjutan</t>
        </is>
      </c>
      <c r="J2287" t="inlineStr">
        <is>
          <t>High</t>
        </is>
      </c>
      <c r="M2287" t="inlineStr">
        <is>
          <t>LLM</t>
        </is>
      </c>
      <c r="N2287" t="inlineStr">
        <is>
          <t>2026-04-18</t>
        </is>
      </c>
      <c r="O2287" t="inlineStr">
        <is>
          <t>AI</t>
        </is>
      </c>
    </row>
    <row r="2288">
      <c r="A2288" t="inlineStr">
        <is>
          <t>PT Jhonlin Agro Raya Tbk</t>
        </is>
      </c>
      <c r="B2288" t="inlineStr">
        <is>
          <t>JARR_2024_AR.pdf</t>
        </is>
      </c>
      <c r="C2288" t="n">
        <v>2024</v>
      </c>
      <c r="D2288" t="inlineStr">
        <is>
          <t>Company</t>
        </is>
      </c>
      <c r="E2288" t="inlineStr">
        <is>
          <t>Controlling Shareholder</t>
        </is>
      </c>
      <c r="F2288" t="inlineStr">
        <is>
          <t>PT Eshan Agro Sentosa 86.64%</t>
        </is>
      </c>
      <c r="G2288" t="inlineStr">
        <is>
          <t>%</t>
        </is>
      </c>
      <c r="H2288" t="n">
        <v>65</v>
      </c>
      <c r="I2288" t="inlineStr">
        <is>
          <t>PT Eshan Agro Sentosa 7.997.556.204 86,64% Pengendali (Data per 31 Desember 2024)</t>
        </is>
      </c>
      <c r="J2288" t="inlineStr">
        <is>
          <t>High</t>
        </is>
      </c>
      <c r="M2288" t="inlineStr">
        <is>
          <t>LLM</t>
        </is>
      </c>
      <c r="N2288" t="inlineStr">
        <is>
          <t>2026-04-18</t>
        </is>
      </c>
      <c r="O2288" t="inlineStr">
        <is>
          <t>AI</t>
        </is>
      </c>
    </row>
    <row r="2289">
      <c r="A2289" t="inlineStr">
        <is>
          <t>PT Jhonlin Agro Raya Tbk</t>
        </is>
      </c>
      <c r="B2289" t="inlineStr">
        <is>
          <t>JARR_2024_AR.pdf</t>
        </is>
      </c>
      <c r="C2289" t="n">
        <v>2024</v>
      </c>
      <c r="D2289" t="inlineStr">
        <is>
          <t>Company</t>
        </is>
      </c>
      <c r="E2289" t="inlineStr">
        <is>
          <t>Public Float</t>
        </is>
      </c>
      <c r="F2289" t="n">
        <v>0.1325</v>
      </c>
      <c r="G2289" t="inlineStr">
        <is>
          <t>%</t>
        </is>
      </c>
      <c r="H2289" t="n">
        <v>69</v>
      </c>
      <c r="I2289" t="inlineStr">
        <is>
          <t>Public 1.222.950.000 13,25%</t>
        </is>
      </c>
      <c r="J2289" t="inlineStr">
        <is>
          <t>High</t>
        </is>
      </c>
      <c r="M2289" t="inlineStr">
        <is>
          <t>LLM</t>
        </is>
      </c>
      <c r="N2289" t="inlineStr">
        <is>
          <t>2026-04-18</t>
        </is>
      </c>
      <c r="O2289" t="inlineStr">
        <is>
          <t>AI</t>
        </is>
      </c>
    </row>
    <row r="2290">
      <c r="A2290" t="inlineStr">
        <is>
          <t>PT Jhonlin Agro Raya Tbk</t>
        </is>
      </c>
      <c r="B2290" t="inlineStr">
        <is>
          <t>JARR_2024_AR.pdf</t>
        </is>
      </c>
      <c r="C2290" t="n">
        <v>2024</v>
      </c>
      <c r="D2290" t="inlineStr">
        <is>
          <t>Company</t>
        </is>
      </c>
      <c r="E2290" t="inlineStr">
        <is>
          <t>Shares Outstanding</t>
        </is>
      </c>
      <c r="F2290" t="n">
        <v>9230665050</v>
      </c>
      <c r="G2290" t="inlineStr">
        <is>
          <t>shares</t>
        </is>
      </c>
      <c r="H2290" t="n">
        <v>69</v>
      </c>
      <c r="I2290" t="inlineStr">
        <is>
          <t>Total 9.230.665.050 100% (31 Dec 2024)</t>
        </is>
      </c>
      <c r="J2290" t="inlineStr">
        <is>
          <t>High</t>
        </is>
      </c>
      <c r="M2290" t="inlineStr">
        <is>
          <t>LLM</t>
        </is>
      </c>
      <c r="N2290" t="inlineStr">
        <is>
          <t>2026-04-18</t>
        </is>
      </c>
      <c r="O2290" t="inlineStr">
        <is>
          <t>AI</t>
        </is>
      </c>
    </row>
    <row r="2291">
      <c r="A2291" t="inlineStr">
        <is>
          <t>PT Jhonlin Agro Raya Tbk</t>
        </is>
      </c>
      <c r="B2291" t="inlineStr">
        <is>
          <t>JARR_2024_AR.pdf</t>
        </is>
      </c>
      <c r="C2291" t="n">
        <v>2024</v>
      </c>
      <c r="D2291" t="inlineStr">
        <is>
          <t>Company</t>
        </is>
      </c>
      <c r="E2291" t="inlineStr">
        <is>
          <t>Auditor</t>
        </is>
      </c>
      <c r="F2291" t="inlineStr">
        <is>
          <t>Heliantono &amp; Rekan</t>
        </is>
      </c>
      <c r="G2291" t="inlineStr">
        <is>
          <t>text</t>
        </is>
      </c>
      <c r="H2291" t="n">
        <v>9</v>
      </c>
      <c r="I2291" t="inlineStr">
        <is>
          <t>Untuk tahun 2024 diaudit oleh Kantor Akuntan Publik Heliantono &amp; Rekan</t>
        </is>
      </c>
      <c r="J2291" t="inlineStr">
        <is>
          <t>High</t>
        </is>
      </c>
      <c r="M2291" t="inlineStr">
        <is>
          <t>LLM</t>
        </is>
      </c>
      <c r="N2291" t="inlineStr">
        <is>
          <t>2026-04-18</t>
        </is>
      </c>
      <c r="O2291" t="inlineStr">
        <is>
          <t>AI</t>
        </is>
      </c>
    </row>
    <row r="2292">
      <c r="A2292" t="inlineStr">
        <is>
          <t>PT Jhonlin Agro Raya Tbk</t>
        </is>
      </c>
      <c r="B2292" t="inlineStr">
        <is>
          <t>JARR_2024_AR.pdf</t>
        </is>
      </c>
      <c r="C2292" t="n">
        <v>2024</v>
      </c>
      <c r="D2292" t="inlineStr">
        <is>
          <t>Company</t>
        </is>
      </c>
      <c r="E2292" t="inlineStr">
        <is>
          <t>HGU Area</t>
        </is>
      </c>
      <c r="F2292" t="n">
        <v>27936.72</v>
      </c>
      <c r="G2292" t="inlineStr">
        <is>
          <t>ha</t>
        </is>
      </c>
      <c r="I2292" t="inlineStr">
        <is>
          <t>perkebunan kelapa sawit seluas 27.936,72 hektar</t>
        </is>
      </c>
      <c r="J2292" t="inlineStr">
        <is>
          <t>High</t>
        </is>
      </c>
      <c r="M2292" t="inlineStr">
        <is>
          <t>LLM</t>
        </is>
      </c>
      <c r="N2292" t="inlineStr">
        <is>
          <t>2026-04-18</t>
        </is>
      </c>
      <c r="O2292" t="inlineStr">
        <is>
          <t>AI</t>
        </is>
      </c>
    </row>
    <row r="2293">
      <c r="A2293" t="inlineStr">
        <is>
          <t>PT Jhonlin Agro Raya Tbk</t>
        </is>
      </c>
      <c r="B2293" t="inlineStr">
        <is>
          <t>JARR_2024_AR.pdf</t>
        </is>
      </c>
      <c r="C2293" t="n">
        <v>2024</v>
      </c>
      <c r="D2293" t="inlineStr">
        <is>
          <t>Financial</t>
        </is>
      </c>
      <c r="E2293" t="inlineStr">
        <is>
          <t>Revenue (Net Sales)</t>
        </is>
      </c>
      <c r="F2293" t="n">
        <v>3865</v>
      </c>
      <c r="G2293" t="inlineStr">
        <is>
          <t>IDR bn</t>
        </is>
      </c>
      <c r="H2293" t="n">
        <v>12</v>
      </c>
      <c r="I2293" t="inlineStr">
        <is>
          <t>PENJUALAN SALES 3.864.889 (in million Rupiah)</t>
        </is>
      </c>
      <c r="J2293" t="inlineStr">
        <is>
          <t>High</t>
        </is>
      </c>
      <c r="M2293" t="inlineStr">
        <is>
          <t>LLM</t>
        </is>
      </c>
      <c r="N2293" t="inlineStr">
        <is>
          <t>2026-04-18</t>
        </is>
      </c>
      <c r="O2293" t="inlineStr">
        <is>
          <t>AI</t>
        </is>
      </c>
    </row>
    <row r="2294">
      <c r="A2294" t="inlineStr">
        <is>
          <t>PT Jhonlin Agro Raya Tbk</t>
        </is>
      </c>
      <c r="B2294" t="inlineStr">
        <is>
          <t>JARR_2024_AR.pdf</t>
        </is>
      </c>
      <c r="C2294" t="n">
        <v>2024</v>
      </c>
      <c r="D2294" t="inlineStr">
        <is>
          <t>Financial</t>
        </is>
      </c>
      <c r="E2294" t="inlineStr">
        <is>
          <t>Cost of Sales</t>
        </is>
      </c>
      <c r="F2294" t="n">
        <v>3384</v>
      </c>
      <c r="G2294" t="inlineStr">
        <is>
          <t>IDR bn</t>
        </is>
      </c>
      <c r="H2294" t="n">
        <v>12</v>
      </c>
      <c r="I2294" t="inlineStr">
        <is>
          <t>BEBAN POKOK PENJUALAN (3.383.604)</t>
        </is>
      </c>
      <c r="J2294" t="inlineStr">
        <is>
          <t>High</t>
        </is>
      </c>
      <c r="M2294" t="inlineStr">
        <is>
          <t>LLM</t>
        </is>
      </c>
      <c r="N2294" t="inlineStr">
        <is>
          <t>2026-04-18</t>
        </is>
      </c>
      <c r="O2294" t="inlineStr">
        <is>
          <t>AI</t>
        </is>
      </c>
    </row>
    <row r="2295">
      <c r="A2295" t="inlineStr">
        <is>
          <t>PT Jhonlin Agro Raya Tbk</t>
        </is>
      </c>
      <c r="B2295" t="inlineStr">
        <is>
          <t>JARR_2024_AR.pdf</t>
        </is>
      </c>
      <c r="C2295" t="n">
        <v>2024</v>
      </c>
      <c r="D2295" t="inlineStr">
        <is>
          <t>Financial</t>
        </is>
      </c>
      <c r="E2295" t="inlineStr">
        <is>
          <t>Gross Profit</t>
        </is>
      </c>
      <c r="F2295" t="n">
        <v>481</v>
      </c>
      <c r="G2295" t="inlineStr">
        <is>
          <t>IDR bn</t>
        </is>
      </c>
      <c r="H2295" t="n">
        <v>12</v>
      </c>
      <c r="I2295" t="inlineStr">
        <is>
          <t>LABA BRUTO GROSS PROFIT 481.285</t>
        </is>
      </c>
      <c r="J2295" t="inlineStr">
        <is>
          <t>High</t>
        </is>
      </c>
      <c r="M2295" t="inlineStr">
        <is>
          <t>LLM</t>
        </is>
      </c>
      <c r="N2295" t="inlineStr">
        <is>
          <t>2026-04-18</t>
        </is>
      </c>
      <c r="O2295" t="inlineStr">
        <is>
          <t>AI</t>
        </is>
      </c>
    </row>
    <row r="2296">
      <c r="A2296" t="inlineStr">
        <is>
          <t>PT Jhonlin Agro Raya Tbk</t>
        </is>
      </c>
      <c r="B2296" t="inlineStr">
        <is>
          <t>JARR_2024_AR.pdf</t>
        </is>
      </c>
      <c r="C2296" t="n">
        <v>2024</v>
      </c>
      <c r="D2296" t="inlineStr">
        <is>
          <t>Financial</t>
        </is>
      </c>
      <c r="E2296" t="inlineStr">
        <is>
          <t>General &amp; Administrative Expenses</t>
        </is>
      </c>
      <c r="F2296" t="n">
        <v>72</v>
      </c>
      <c r="G2296" t="inlineStr">
        <is>
          <t>IDR bn</t>
        </is>
      </c>
      <c r="H2296" t="n">
        <v>12</v>
      </c>
      <c r="I2296" t="inlineStr">
        <is>
          <t>Beban umum dan administrasi (71.774)</t>
        </is>
      </c>
      <c r="J2296" t="inlineStr">
        <is>
          <t>High</t>
        </is>
      </c>
      <c r="M2296" t="inlineStr">
        <is>
          <t>LLM</t>
        </is>
      </c>
      <c r="N2296" t="inlineStr">
        <is>
          <t>2026-04-18</t>
        </is>
      </c>
      <c r="O2296" t="inlineStr">
        <is>
          <t>AI</t>
        </is>
      </c>
    </row>
    <row r="2297">
      <c r="A2297" t="inlineStr">
        <is>
          <t>PT Jhonlin Agro Raya Tbk</t>
        </is>
      </c>
      <c r="B2297" t="inlineStr">
        <is>
          <t>JARR_2024_AR.pdf</t>
        </is>
      </c>
      <c r="C2297" t="n">
        <v>2024</v>
      </c>
      <c r="D2297" t="inlineStr">
        <is>
          <t>Financial</t>
        </is>
      </c>
      <c r="E2297" t="inlineStr">
        <is>
          <t>Operating Income (Laba Usaha)</t>
        </is>
      </c>
      <c r="F2297" t="n">
        <v>416</v>
      </c>
      <c r="G2297" t="inlineStr">
        <is>
          <t>IDR bn</t>
        </is>
      </c>
      <c r="H2297" t="n">
        <v>12</v>
      </c>
      <c r="I2297" t="inlineStr">
        <is>
          <t>LABA USAHA OPERATING INCOME 416.186</t>
        </is>
      </c>
      <c r="J2297" t="inlineStr">
        <is>
          <t>High</t>
        </is>
      </c>
      <c r="M2297" t="inlineStr">
        <is>
          <t>LLM</t>
        </is>
      </c>
      <c r="N2297" t="inlineStr">
        <is>
          <t>2026-04-18</t>
        </is>
      </c>
      <c r="O2297" t="inlineStr">
        <is>
          <t>AI</t>
        </is>
      </c>
    </row>
    <row r="2298">
      <c r="A2298" t="inlineStr">
        <is>
          <t>PT Jhonlin Agro Raya Tbk</t>
        </is>
      </c>
      <c r="B2298" t="inlineStr">
        <is>
          <t>JARR_2024_AR.pdf</t>
        </is>
      </c>
      <c r="C2298" t="n">
        <v>2024</v>
      </c>
      <c r="D2298" t="inlineStr">
        <is>
          <t>Financial</t>
        </is>
      </c>
      <c r="E2298" t="inlineStr">
        <is>
          <t>Finance Expenses</t>
        </is>
      </c>
      <c r="F2298" t="n">
        <v>90</v>
      </c>
      <c r="G2298" t="inlineStr">
        <is>
          <t>IDR bn</t>
        </is>
      </c>
      <c r="H2298" t="n">
        <v>12</v>
      </c>
      <c r="I2298" t="inlineStr">
        <is>
          <t>Bebas Keuangan Financial expenses (90.145)</t>
        </is>
      </c>
      <c r="J2298" t="inlineStr">
        <is>
          <t>High</t>
        </is>
      </c>
      <c r="M2298" t="inlineStr">
        <is>
          <t>LLM</t>
        </is>
      </c>
      <c r="N2298" t="inlineStr">
        <is>
          <t>2026-04-18</t>
        </is>
      </c>
      <c r="O2298" t="inlineStr">
        <is>
          <t>AI</t>
        </is>
      </c>
    </row>
    <row r="2299">
      <c r="A2299" t="inlineStr">
        <is>
          <t>PT Jhonlin Agro Raya Tbk</t>
        </is>
      </c>
      <c r="B2299" t="inlineStr">
        <is>
          <t>JARR_2024_AR.pdf</t>
        </is>
      </c>
      <c r="C2299" t="n">
        <v>2024</v>
      </c>
      <c r="D2299" t="inlineStr">
        <is>
          <t>Financial</t>
        </is>
      </c>
      <c r="E2299" t="inlineStr">
        <is>
          <t>Profit Before Tax</t>
        </is>
      </c>
      <c r="F2299" t="n">
        <v>335</v>
      </c>
      <c r="G2299" t="inlineStr">
        <is>
          <t>IDR bn</t>
        </is>
      </c>
      <c r="H2299" t="n">
        <v>12</v>
      </c>
      <c r="I2299" t="inlineStr">
        <is>
          <t>LABA SEBELUM PAJAK PENGHASILAN PROFIT BEFORE INCOME TAX 334.602</t>
        </is>
      </c>
      <c r="J2299" t="inlineStr">
        <is>
          <t>High</t>
        </is>
      </c>
      <c r="M2299" t="inlineStr">
        <is>
          <t>LLM</t>
        </is>
      </c>
      <c r="N2299" t="inlineStr">
        <is>
          <t>2026-04-18</t>
        </is>
      </c>
      <c r="O2299" t="inlineStr">
        <is>
          <t>AI</t>
        </is>
      </c>
    </row>
    <row r="2300">
      <c r="A2300" t="inlineStr">
        <is>
          <t>PT Jhonlin Agro Raya Tbk</t>
        </is>
      </c>
      <c r="B2300" t="inlineStr">
        <is>
          <t>JARR_2024_AR.pdf</t>
        </is>
      </c>
      <c r="C2300" t="n">
        <v>2024</v>
      </c>
      <c r="D2300" t="inlineStr">
        <is>
          <t>Financial</t>
        </is>
      </c>
      <c r="E2300" t="inlineStr">
        <is>
          <t>Income Tax Expense</t>
        </is>
      </c>
      <c r="F2300" t="n">
        <v>74</v>
      </c>
      <c r="G2300" t="inlineStr">
        <is>
          <t>IDR bn</t>
        </is>
      </c>
      <c r="H2300" t="n">
        <v>12</v>
      </c>
      <c r="I2300" t="inlineStr">
        <is>
          <t>Manfaat (beban) pajak penghasilan (73.876)</t>
        </is>
      </c>
      <c r="J2300" t="inlineStr">
        <is>
          <t>High</t>
        </is>
      </c>
      <c r="M2300" t="inlineStr">
        <is>
          <t>LLM</t>
        </is>
      </c>
      <c r="N2300" t="inlineStr">
        <is>
          <t>2026-04-18</t>
        </is>
      </c>
      <c r="O2300" t="inlineStr">
        <is>
          <t>AI</t>
        </is>
      </c>
    </row>
    <row r="2301">
      <c r="A2301" t="inlineStr">
        <is>
          <t>PT Jhonlin Agro Raya Tbk</t>
        </is>
      </c>
      <c r="B2301" t="inlineStr">
        <is>
          <t>JARR_2024_AR.pdf</t>
        </is>
      </c>
      <c r="C2301" t="n">
        <v>2024</v>
      </c>
      <c r="D2301" t="inlineStr">
        <is>
          <t>Financial</t>
        </is>
      </c>
      <c r="E2301" t="inlineStr">
        <is>
          <t>Net Income for the Year</t>
        </is>
      </c>
      <c r="F2301" t="n">
        <v>261</v>
      </c>
      <c r="G2301" t="inlineStr">
        <is>
          <t>IDR bn</t>
        </is>
      </c>
      <c r="H2301" t="n">
        <v>12</v>
      </c>
      <c r="I2301" t="inlineStr">
        <is>
          <t>LABA BERSIH TAHUN BERJALAN NET INCOME FOR THE YEAR 260.726</t>
        </is>
      </c>
      <c r="J2301" t="inlineStr">
        <is>
          <t>High</t>
        </is>
      </c>
      <c r="M2301" t="inlineStr">
        <is>
          <t>LLM</t>
        </is>
      </c>
      <c r="N2301" t="inlineStr">
        <is>
          <t>2026-04-18</t>
        </is>
      </c>
      <c r="O2301" t="inlineStr">
        <is>
          <t>AI</t>
        </is>
      </c>
    </row>
    <row r="2302">
      <c r="A2302" t="inlineStr">
        <is>
          <t>PT Jhonlin Agro Raya Tbk</t>
        </is>
      </c>
      <c r="B2302" t="inlineStr">
        <is>
          <t>JARR_2024_AR.pdf</t>
        </is>
      </c>
      <c r="C2302" t="n">
        <v>2024</v>
      </c>
      <c r="D2302" t="inlineStr">
        <is>
          <t>Financial</t>
        </is>
      </c>
      <c r="E2302" t="inlineStr">
        <is>
          <t>Total Comprehensive Income</t>
        </is>
      </c>
      <c r="F2302" t="n">
        <v>260</v>
      </c>
      <c r="G2302" t="inlineStr">
        <is>
          <t>IDR bn</t>
        </is>
      </c>
      <c r="H2302" t="n">
        <v>12</v>
      </c>
      <c r="I2302" t="inlineStr">
        <is>
          <t>JUMLAH PENGHASILAN KOMPREHENSIF TAHUN BERJALAN 259.791</t>
        </is>
      </c>
      <c r="J2302" t="inlineStr">
        <is>
          <t>High</t>
        </is>
      </c>
      <c r="M2302" t="inlineStr">
        <is>
          <t>LLM</t>
        </is>
      </c>
      <c r="N2302" t="inlineStr">
        <is>
          <t>2026-04-18</t>
        </is>
      </c>
      <c r="O2302" t="inlineStr">
        <is>
          <t>AI</t>
        </is>
      </c>
    </row>
    <row r="2303">
      <c r="A2303" t="inlineStr">
        <is>
          <t>PT Jhonlin Agro Raya Tbk</t>
        </is>
      </c>
      <c r="B2303" t="inlineStr">
        <is>
          <t>JARR_2024_AR.pdf</t>
        </is>
      </c>
      <c r="C2303" t="n">
        <v>2024</v>
      </c>
      <c r="D2303" t="inlineStr">
        <is>
          <t>Financial</t>
        </is>
      </c>
      <c r="E2303" t="inlineStr">
        <is>
          <t>Total Assets</t>
        </is>
      </c>
      <c r="F2303" t="n">
        <v>4105</v>
      </c>
      <c r="G2303" t="inlineStr">
        <is>
          <t>IDR bn</t>
        </is>
      </c>
      <c r="H2303" t="n">
        <v>10</v>
      </c>
      <c r="I2303" t="inlineStr">
        <is>
          <t>Jumlah Aset Total Asset 4.105.433</t>
        </is>
      </c>
      <c r="J2303" t="inlineStr">
        <is>
          <t>High</t>
        </is>
      </c>
      <c r="M2303" t="inlineStr">
        <is>
          <t>LLM</t>
        </is>
      </c>
      <c r="N2303" t="inlineStr">
        <is>
          <t>2026-04-18</t>
        </is>
      </c>
      <c r="O2303" t="inlineStr">
        <is>
          <t>AI</t>
        </is>
      </c>
    </row>
    <row r="2304">
      <c r="A2304" t="inlineStr">
        <is>
          <t>PT Jhonlin Agro Raya Tbk</t>
        </is>
      </c>
      <c r="B2304" t="inlineStr">
        <is>
          <t>JARR_2024_AR.pdf</t>
        </is>
      </c>
      <c r="C2304" t="n">
        <v>2024</v>
      </c>
      <c r="D2304" t="inlineStr">
        <is>
          <t>Financial</t>
        </is>
      </c>
      <c r="E2304" t="inlineStr">
        <is>
          <t>Current Assets</t>
        </is>
      </c>
      <c r="F2304" t="n">
        <v>1922</v>
      </c>
      <c r="G2304" t="inlineStr">
        <is>
          <t>IDR bn</t>
        </is>
      </c>
      <c r="H2304" t="n">
        <v>85</v>
      </c>
      <c r="I2304" t="inlineStr">
        <is>
          <t>Aset Lancar Current assets 1.922.274; Jumlah Aset Lancar 1.922.274.094.835</t>
        </is>
      </c>
      <c r="J2304" t="inlineStr">
        <is>
          <t>High</t>
        </is>
      </c>
      <c r="M2304" t="inlineStr">
        <is>
          <t>LLM</t>
        </is>
      </c>
      <c r="N2304" t="inlineStr">
        <is>
          <t>2026-04-18</t>
        </is>
      </c>
      <c r="O2304" t="inlineStr">
        <is>
          <t>AI</t>
        </is>
      </c>
    </row>
    <row r="2305">
      <c r="A2305" t="inlineStr">
        <is>
          <t>PT Jhonlin Agro Raya Tbk</t>
        </is>
      </c>
      <c r="B2305" t="inlineStr">
        <is>
          <t>JARR_2024_AR.pdf</t>
        </is>
      </c>
      <c r="C2305" t="n">
        <v>2024</v>
      </c>
      <c r="D2305" t="inlineStr">
        <is>
          <t>Financial</t>
        </is>
      </c>
      <c r="E2305" t="inlineStr">
        <is>
          <t>Non-Current Assets</t>
        </is>
      </c>
      <c r="F2305" t="n">
        <v>2183</v>
      </c>
      <c r="G2305" t="inlineStr">
        <is>
          <t>IDR bn</t>
        </is>
      </c>
      <c r="H2305" t="n">
        <v>85</v>
      </c>
      <c r="I2305" t="inlineStr">
        <is>
          <t>Aset Tidak Lancar Non-Current Assets 2.183.159; 2.183.158.956.225</t>
        </is>
      </c>
      <c r="J2305" t="inlineStr">
        <is>
          <t>High</t>
        </is>
      </c>
      <c r="M2305" t="inlineStr">
        <is>
          <t>LLM</t>
        </is>
      </c>
      <c r="N2305" t="inlineStr">
        <is>
          <t>2026-04-18</t>
        </is>
      </c>
      <c r="O2305" t="inlineStr">
        <is>
          <t>AI</t>
        </is>
      </c>
    </row>
    <row r="2306">
      <c r="A2306" t="inlineStr">
        <is>
          <t>PT Jhonlin Agro Raya Tbk</t>
        </is>
      </c>
      <c r="B2306" t="inlineStr">
        <is>
          <t>JARR_2024_AR.pdf</t>
        </is>
      </c>
      <c r="C2306" t="n">
        <v>2024</v>
      </c>
      <c r="D2306" t="inlineStr">
        <is>
          <t>Financial</t>
        </is>
      </c>
      <c r="E2306" t="inlineStr">
        <is>
          <t>Total Liabilities</t>
        </is>
      </c>
      <c r="F2306" t="n">
        <v>2404</v>
      </c>
      <c r="G2306" t="inlineStr">
        <is>
          <t>IDR bn</t>
        </is>
      </c>
      <c r="H2306" t="n">
        <v>11</v>
      </c>
      <c r="I2306" t="inlineStr">
        <is>
          <t>JUMLAH LIABILITAS TOTAL LIABILITIES 2.404.070</t>
        </is>
      </c>
      <c r="J2306" t="inlineStr">
        <is>
          <t>High</t>
        </is>
      </c>
      <c r="M2306" t="inlineStr">
        <is>
          <t>LLM</t>
        </is>
      </c>
      <c r="N2306" t="inlineStr">
        <is>
          <t>2026-04-18</t>
        </is>
      </c>
      <c r="O2306" t="inlineStr">
        <is>
          <t>AI</t>
        </is>
      </c>
    </row>
    <row r="2307">
      <c r="A2307" t="inlineStr">
        <is>
          <t>PT Jhonlin Agro Raya Tbk</t>
        </is>
      </c>
      <c r="B2307" t="inlineStr">
        <is>
          <t>JARR_2024_AR.pdf</t>
        </is>
      </c>
      <c r="C2307" t="n">
        <v>2024</v>
      </c>
      <c r="D2307" t="inlineStr">
        <is>
          <t>Financial</t>
        </is>
      </c>
      <c r="E2307" t="inlineStr">
        <is>
          <t>Current Liabilities</t>
        </is>
      </c>
      <c r="F2307" t="n">
        <v>602</v>
      </c>
      <c r="G2307" t="inlineStr">
        <is>
          <t>IDR bn</t>
        </is>
      </c>
      <c r="H2307" t="n">
        <v>85</v>
      </c>
      <c r="I2307" t="inlineStr">
        <is>
          <t>Liabilitas Jangka Pendek 601.867</t>
        </is>
      </c>
      <c r="J2307" t="inlineStr">
        <is>
          <t>High</t>
        </is>
      </c>
      <c r="M2307" t="inlineStr">
        <is>
          <t>LLM</t>
        </is>
      </c>
      <c r="N2307" t="inlineStr">
        <is>
          <t>2026-04-18</t>
        </is>
      </c>
      <c r="O2307" t="inlineStr">
        <is>
          <t>AI</t>
        </is>
      </c>
    </row>
    <row r="2308">
      <c r="A2308" t="inlineStr">
        <is>
          <t>PT Jhonlin Agro Raya Tbk</t>
        </is>
      </c>
      <c r="B2308" t="inlineStr">
        <is>
          <t>JARR_2024_AR.pdf</t>
        </is>
      </c>
      <c r="C2308" t="n">
        <v>2024</v>
      </c>
      <c r="D2308" t="inlineStr">
        <is>
          <t>Financial</t>
        </is>
      </c>
      <c r="E2308" t="inlineStr">
        <is>
          <t>Long-Term Liabilities</t>
        </is>
      </c>
      <c r="F2308" t="n">
        <v>1802</v>
      </c>
      <c r="G2308" t="inlineStr">
        <is>
          <t>IDR bn</t>
        </is>
      </c>
      <c r="H2308" t="n">
        <v>85</v>
      </c>
      <c r="I2308" t="inlineStr">
        <is>
          <t>Liabilitas Jangka Panjang 1.802.203</t>
        </is>
      </c>
      <c r="J2308" t="inlineStr">
        <is>
          <t>High</t>
        </is>
      </c>
      <c r="M2308" t="inlineStr">
        <is>
          <t>LLM</t>
        </is>
      </c>
      <c r="N2308" t="inlineStr">
        <is>
          <t>2026-04-18</t>
        </is>
      </c>
      <c r="O2308" t="inlineStr">
        <is>
          <t>AI</t>
        </is>
      </c>
    </row>
    <row r="2309">
      <c r="A2309" t="inlineStr">
        <is>
          <t>PT Jhonlin Agro Raya Tbk</t>
        </is>
      </c>
      <c r="B2309" t="inlineStr">
        <is>
          <t>JARR_2024_AR.pdf</t>
        </is>
      </c>
      <c r="C2309" t="n">
        <v>2024</v>
      </c>
      <c r="D2309" t="inlineStr">
        <is>
          <t>Financial</t>
        </is>
      </c>
      <c r="E2309" t="inlineStr">
        <is>
          <t>Total Equity</t>
        </is>
      </c>
      <c r="F2309" t="n">
        <v>1701</v>
      </c>
      <c r="G2309" t="inlineStr">
        <is>
          <t>IDR bn</t>
        </is>
      </c>
      <c r="H2309" t="n">
        <v>11</v>
      </c>
      <c r="I2309" t="inlineStr">
        <is>
          <t>Jumlah Ekuitas Total equity 1.701.363; Saldo 31 Desember 2024 1.701.362.861.803</t>
        </is>
      </c>
      <c r="J2309" t="inlineStr">
        <is>
          <t>High</t>
        </is>
      </c>
      <c r="M2309" t="inlineStr">
        <is>
          <t>LLM</t>
        </is>
      </c>
      <c r="N2309" t="inlineStr">
        <is>
          <t>2026-04-18</t>
        </is>
      </c>
      <c r="O2309" t="inlineStr">
        <is>
          <t>AI</t>
        </is>
      </c>
    </row>
    <row r="2310">
      <c r="A2310" t="inlineStr">
        <is>
          <t>PT Jhonlin Agro Raya Tbk</t>
        </is>
      </c>
      <c r="B2310" t="inlineStr">
        <is>
          <t>JARR_2024_AR.pdf</t>
        </is>
      </c>
      <c r="C2310" t="n">
        <v>2024</v>
      </c>
      <c r="D2310" t="inlineStr">
        <is>
          <t>Financial</t>
        </is>
      </c>
      <c r="E2310" t="inlineStr">
        <is>
          <t>Paid-in Capital</t>
        </is>
      </c>
      <c r="F2310" t="n">
        <v>923</v>
      </c>
      <c r="G2310" t="inlineStr">
        <is>
          <t>IDR bn</t>
        </is>
      </c>
      <c r="H2310" t="n">
        <v>11</v>
      </c>
      <c r="I2310" t="inlineStr">
        <is>
          <t>Modal Disetor Paid-in capital 923.067</t>
        </is>
      </c>
      <c r="J2310" t="inlineStr">
        <is>
          <t>High</t>
        </is>
      </c>
      <c r="M2310" t="inlineStr">
        <is>
          <t>LLM</t>
        </is>
      </c>
      <c r="N2310" t="inlineStr">
        <is>
          <t>2026-04-18</t>
        </is>
      </c>
      <c r="O2310" t="inlineStr">
        <is>
          <t>AI</t>
        </is>
      </c>
    </row>
    <row r="2311">
      <c r="A2311" t="inlineStr">
        <is>
          <t>PT Jhonlin Agro Raya Tbk</t>
        </is>
      </c>
      <c r="B2311" t="inlineStr">
        <is>
          <t>JARR_2024_AR.pdf</t>
        </is>
      </c>
      <c r="C2311" t="n">
        <v>2024</v>
      </c>
      <c r="D2311" t="inlineStr">
        <is>
          <t>Financial</t>
        </is>
      </c>
      <c r="E2311" t="inlineStr">
        <is>
          <t>Additional Paid-in Capital</t>
        </is>
      </c>
      <c r="F2311" t="n">
        <v>418</v>
      </c>
      <c r="G2311" t="inlineStr">
        <is>
          <t>IDR bn</t>
        </is>
      </c>
      <c r="H2311" t="n">
        <v>11</v>
      </c>
      <c r="I2311" t="inlineStr">
        <is>
          <t>Tambahan modal disetor 417.865</t>
        </is>
      </c>
      <c r="J2311" t="inlineStr">
        <is>
          <t>High</t>
        </is>
      </c>
      <c r="M2311" t="inlineStr">
        <is>
          <t>LLM</t>
        </is>
      </c>
      <c r="N2311" t="inlineStr">
        <is>
          <t>2026-04-18</t>
        </is>
      </c>
      <c r="O2311" t="inlineStr">
        <is>
          <t>AI</t>
        </is>
      </c>
    </row>
    <row r="2312">
      <c r="A2312" t="inlineStr">
        <is>
          <t>PT Jhonlin Agro Raya Tbk</t>
        </is>
      </c>
      <c r="B2312" t="inlineStr">
        <is>
          <t>JARR_2024_AR.pdf</t>
        </is>
      </c>
      <c r="C2312" t="n">
        <v>2024</v>
      </c>
      <c r="D2312" t="inlineStr">
        <is>
          <t>Financial</t>
        </is>
      </c>
      <c r="E2312" t="inlineStr">
        <is>
          <t>Retained Earnings</t>
        </is>
      </c>
      <c r="F2312" t="n">
        <v>362</v>
      </c>
      <c r="G2312" t="inlineStr">
        <is>
          <t>IDR bn</t>
        </is>
      </c>
      <c r="H2312" t="n">
        <v>11</v>
      </c>
      <c r="I2312" t="inlineStr">
        <is>
          <t>Saldo laba (rugi) Retained earnings 361.573; 361.572.939.024</t>
        </is>
      </c>
      <c r="J2312" t="inlineStr">
        <is>
          <t>High</t>
        </is>
      </c>
      <c r="M2312" t="inlineStr">
        <is>
          <t>LLM</t>
        </is>
      </c>
      <c r="N2312" t="inlineStr">
        <is>
          <t>2026-04-18</t>
        </is>
      </c>
      <c r="O2312" t="inlineStr">
        <is>
          <t>AI</t>
        </is>
      </c>
    </row>
    <row r="2313">
      <c r="A2313" t="inlineStr">
        <is>
          <t>PT Jhonlin Agro Raya Tbk</t>
        </is>
      </c>
      <c r="B2313" t="inlineStr">
        <is>
          <t>JARR_2024_AR.pdf</t>
        </is>
      </c>
      <c r="C2313" t="n">
        <v>2024</v>
      </c>
      <c r="D2313" t="inlineStr">
        <is>
          <t>Financial</t>
        </is>
      </c>
      <c r="E2313" t="inlineStr">
        <is>
          <t>Cash &amp; Cash Equivalents</t>
        </is>
      </c>
      <c r="F2313" t="n">
        <v>252</v>
      </c>
      <c r="G2313" t="inlineStr">
        <is>
          <t>IDR bn</t>
        </is>
      </c>
      <c r="H2313" t="n">
        <v>10</v>
      </c>
      <c r="I2313" t="inlineStr">
        <is>
          <t>Kas dan bank Cash and bank 252.160; 252.160.434.253</t>
        </is>
      </c>
      <c r="J2313" t="inlineStr">
        <is>
          <t>High</t>
        </is>
      </c>
      <c r="M2313" t="inlineStr">
        <is>
          <t>LLM</t>
        </is>
      </c>
      <c r="N2313" t="inlineStr">
        <is>
          <t>2026-04-18</t>
        </is>
      </c>
      <c r="O2313" t="inlineStr">
        <is>
          <t>AI</t>
        </is>
      </c>
    </row>
    <row r="2314">
      <c r="A2314" t="inlineStr">
        <is>
          <t>PT Jhonlin Agro Raya Tbk</t>
        </is>
      </c>
      <c r="B2314" t="inlineStr">
        <is>
          <t>JARR_2024_AR.pdf</t>
        </is>
      </c>
      <c r="C2314" t="n">
        <v>2024</v>
      </c>
      <c r="D2314" t="inlineStr">
        <is>
          <t>Financial</t>
        </is>
      </c>
      <c r="E2314" t="inlineStr">
        <is>
          <t>Trade Receivables</t>
        </is>
      </c>
      <c r="F2314" t="n">
        <v>670</v>
      </c>
      <c r="G2314" t="inlineStr">
        <is>
          <t>IDR bn</t>
        </is>
      </c>
      <c r="H2314" t="n">
        <v>10</v>
      </c>
      <c r="I2314" t="inlineStr">
        <is>
          <t>Piutang Usaha Accounts receivable 669.992; Nilai piutang usaha Perseroan pada tanggal 31 Desember 2024 sebesar Rp 669.991.595.699</t>
        </is>
      </c>
      <c r="J2314" t="inlineStr">
        <is>
          <t>High</t>
        </is>
      </c>
      <c r="M2314" t="inlineStr">
        <is>
          <t>LLM</t>
        </is>
      </c>
      <c r="N2314" t="inlineStr">
        <is>
          <t>2026-04-18</t>
        </is>
      </c>
      <c r="O2314" t="inlineStr">
        <is>
          <t>AI</t>
        </is>
      </c>
    </row>
    <row r="2315">
      <c r="A2315" t="inlineStr">
        <is>
          <t>PT Jhonlin Agro Raya Tbk</t>
        </is>
      </c>
      <c r="B2315" t="inlineStr">
        <is>
          <t>JARR_2024_AR.pdf</t>
        </is>
      </c>
      <c r="C2315" t="n">
        <v>2024</v>
      </c>
      <c r="D2315" t="inlineStr">
        <is>
          <t>Financial</t>
        </is>
      </c>
      <c r="E2315" t="inlineStr">
        <is>
          <t>Inventories</t>
        </is>
      </c>
      <c r="F2315" t="n">
        <v>427</v>
      </c>
      <c r="G2315" t="inlineStr">
        <is>
          <t>IDR bn</t>
        </is>
      </c>
      <c r="H2315" t="n">
        <v>10</v>
      </c>
      <c r="I2315" t="inlineStr">
        <is>
          <t>Persediaan Inventory 427.178; 427.178.162.444</t>
        </is>
      </c>
      <c r="J2315" t="inlineStr">
        <is>
          <t>High</t>
        </is>
      </c>
      <c r="M2315" t="inlineStr">
        <is>
          <t>LLM</t>
        </is>
      </c>
      <c r="N2315" t="inlineStr">
        <is>
          <t>2026-04-18</t>
        </is>
      </c>
      <c r="O2315" t="inlineStr">
        <is>
          <t>AI</t>
        </is>
      </c>
    </row>
    <row r="2316">
      <c r="A2316" t="inlineStr">
        <is>
          <t>PT Jhonlin Agro Raya Tbk</t>
        </is>
      </c>
      <c r="B2316" t="inlineStr">
        <is>
          <t>JARR_2024_AR.pdf</t>
        </is>
      </c>
      <c r="C2316" t="n">
        <v>2024</v>
      </c>
      <c r="D2316" t="inlineStr">
        <is>
          <t>Financial</t>
        </is>
      </c>
      <c r="E2316" t="inlineStr">
        <is>
          <t>Current Portion of LT Bank Loans</t>
        </is>
      </c>
      <c r="F2316" t="n">
        <v>65</v>
      </c>
      <c r="G2316" t="inlineStr">
        <is>
          <t>IDR bn</t>
        </is>
      </c>
      <c r="H2316" t="n">
        <v>11</v>
      </c>
      <c r="I2316" t="inlineStr">
        <is>
          <t>Utang Bank Bank loans 64.500</t>
        </is>
      </c>
      <c r="J2316" t="inlineStr">
        <is>
          <t>High</t>
        </is>
      </c>
      <c r="M2316" t="inlineStr">
        <is>
          <t>LLM</t>
        </is>
      </c>
      <c r="N2316" t="inlineStr">
        <is>
          <t>2026-04-18</t>
        </is>
      </c>
      <c r="O2316" t="inlineStr">
        <is>
          <t>AI</t>
        </is>
      </c>
    </row>
    <row r="2317">
      <c r="A2317" t="inlineStr">
        <is>
          <t>PT Jhonlin Agro Raya Tbk</t>
        </is>
      </c>
      <c r="B2317" t="inlineStr">
        <is>
          <t>JARR_2024_AR.pdf</t>
        </is>
      </c>
      <c r="C2317" t="n">
        <v>2024</v>
      </c>
      <c r="D2317" t="inlineStr">
        <is>
          <t>Financial</t>
        </is>
      </c>
      <c r="E2317" t="inlineStr">
        <is>
          <t>Long-term Bank Loans</t>
        </is>
      </c>
      <c r="F2317" t="n">
        <v>1790</v>
      </c>
      <c r="G2317" t="inlineStr">
        <is>
          <t>IDR bn</t>
        </is>
      </c>
      <c r="H2317" t="n">
        <v>11</v>
      </c>
      <c r="I2317" t="inlineStr">
        <is>
          <t>Utang Bank Bank debt 1.790.073</t>
        </is>
      </c>
      <c r="J2317" t="inlineStr">
        <is>
          <t>High</t>
        </is>
      </c>
      <c r="M2317" t="inlineStr">
        <is>
          <t>LLM</t>
        </is>
      </c>
      <c r="N2317" t="inlineStr">
        <is>
          <t>2026-04-18</t>
        </is>
      </c>
      <c r="O2317" t="inlineStr">
        <is>
          <t>AI</t>
        </is>
      </c>
    </row>
    <row r="2318">
      <c r="A2318" t="inlineStr">
        <is>
          <t>PT Jhonlin Agro Raya Tbk</t>
        </is>
      </c>
      <c r="B2318" t="inlineStr">
        <is>
          <t>JARR_2024_AR.pdf</t>
        </is>
      </c>
      <c r="C2318" t="n">
        <v>2024</v>
      </c>
      <c r="D2318" t="inlineStr">
        <is>
          <t>Financial</t>
        </is>
      </c>
      <c r="E2318" t="inlineStr">
        <is>
          <t>Gross Debt (ST+LT bank loans)</t>
        </is>
      </c>
      <c r="F2318" t="n">
        <v>1855</v>
      </c>
      <c r="G2318" t="inlineStr">
        <is>
          <t>IDR bn</t>
        </is>
      </c>
      <c r="H2318" t="n">
        <v>11</v>
      </c>
      <c r="I2318" t="inlineStr">
        <is>
          <t>Calculated: 64.5 + 1,790.1 = 1,854.6 bn</t>
        </is>
      </c>
      <c r="J2318" t="inlineStr">
        <is>
          <t>High</t>
        </is>
      </c>
      <c r="M2318" t="inlineStr">
        <is>
          <t>LLM</t>
        </is>
      </c>
      <c r="N2318" t="inlineStr">
        <is>
          <t>2026-04-18</t>
        </is>
      </c>
      <c r="O2318" t="inlineStr">
        <is>
          <t>AI</t>
        </is>
      </c>
    </row>
    <row r="2319">
      <c r="A2319" t="inlineStr">
        <is>
          <t>PT Jhonlin Agro Raya Tbk</t>
        </is>
      </c>
      <c r="B2319" t="inlineStr">
        <is>
          <t>JARR_2024_AR.pdf</t>
        </is>
      </c>
      <c r="C2319" t="n">
        <v>2024</v>
      </c>
      <c r="D2319" t="inlineStr">
        <is>
          <t>Financial</t>
        </is>
      </c>
      <c r="E2319" t="inlineStr">
        <is>
          <t>Trade Payables</t>
        </is>
      </c>
      <c r="F2319" t="n">
        <v>467</v>
      </c>
      <c r="G2319" t="inlineStr">
        <is>
          <t>IDR bn</t>
        </is>
      </c>
      <c r="H2319" t="n">
        <v>11</v>
      </c>
      <c r="I2319" t="inlineStr">
        <is>
          <t>Utang Usaha Trade payables 467.223</t>
        </is>
      </c>
      <c r="J2319" t="inlineStr">
        <is>
          <t>High</t>
        </is>
      </c>
      <c r="M2319" t="inlineStr">
        <is>
          <t>LLM</t>
        </is>
      </c>
      <c r="N2319" t="inlineStr">
        <is>
          <t>2026-04-18</t>
        </is>
      </c>
      <c r="O2319" t="inlineStr">
        <is>
          <t>AI</t>
        </is>
      </c>
    </row>
    <row r="2320">
      <c r="A2320" t="inlineStr">
        <is>
          <t>PT Jhonlin Agro Raya Tbk</t>
        </is>
      </c>
      <c r="B2320" t="inlineStr">
        <is>
          <t>JARR_2024_AR.pdf</t>
        </is>
      </c>
      <c r="C2320" t="n">
        <v>2024</v>
      </c>
      <c r="D2320" t="inlineStr">
        <is>
          <t>Financial</t>
        </is>
      </c>
      <c r="E2320" t="inlineStr">
        <is>
          <t>Tax Payable</t>
        </is>
      </c>
      <c r="F2320" t="n">
        <v>53</v>
      </c>
      <c r="G2320" t="inlineStr">
        <is>
          <t>IDR bn</t>
        </is>
      </c>
      <c r="H2320" t="n">
        <v>11</v>
      </c>
      <c r="I2320" t="inlineStr">
        <is>
          <t>Utang Pajak Tax payable 52.566</t>
        </is>
      </c>
      <c r="J2320" t="inlineStr">
        <is>
          <t>High</t>
        </is>
      </c>
      <c r="M2320" t="inlineStr">
        <is>
          <t>LLM</t>
        </is>
      </c>
      <c r="N2320" t="inlineStr">
        <is>
          <t>2026-04-18</t>
        </is>
      </c>
      <c r="O2320" t="inlineStr">
        <is>
          <t>AI</t>
        </is>
      </c>
    </row>
    <row r="2321">
      <c r="A2321" t="inlineStr">
        <is>
          <t>PT Jhonlin Agro Raya Tbk</t>
        </is>
      </c>
      <c r="B2321" t="inlineStr">
        <is>
          <t>JARR_2024_AR.pdf</t>
        </is>
      </c>
      <c r="C2321" t="n">
        <v>2024</v>
      </c>
      <c r="D2321" t="inlineStr">
        <is>
          <t>Financial</t>
        </is>
      </c>
      <c r="E2321" t="inlineStr">
        <is>
          <t>CFO (Operating)</t>
        </is>
      </c>
      <c r="F2321" t="n">
        <v>253</v>
      </c>
      <c r="G2321" t="inlineStr">
        <is>
          <t>IDR bn</t>
        </is>
      </c>
      <c r="H2321" t="n">
        <v>13</v>
      </c>
      <c r="I2321" t="inlineStr">
        <is>
          <t>ARUS KAS DARI AKTIVITAS OPERASI 252.587</t>
        </is>
      </c>
      <c r="J2321" t="inlineStr">
        <is>
          <t>High</t>
        </is>
      </c>
      <c r="M2321" t="inlineStr">
        <is>
          <t>LLM</t>
        </is>
      </c>
      <c r="N2321" t="inlineStr">
        <is>
          <t>2026-04-18</t>
        </is>
      </c>
      <c r="O2321" t="inlineStr">
        <is>
          <t>AI</t>
        </is>
      </c>
    </row>
    <row r="2322">
      <c r="A2322" t="inlineStr">
        <is>
          <t>PT Jhonlin Agro Raya Tbk</t>
        </is>
      </c>
      <c r="B2322" t="inlineStr">
        <is>
          <t>JARR_2024_AR.pdf</t>
        </is>
      </c>
      <c r="C2322" t="n">
        <v>2024</v>
      </c>
      <c r="D2322" t="inlineStr">
        <is>
          <t>Financial</t>
        </is>
      </c>
      <c r="E2322" t="inlineStr">
        <is>
          <t>CFI (Investing)</t>
        </is>
      </c>
      <c r="F2322" t="n">
        <v>-75</v>
      </c>
      <c r="G2322" t="inlineStr">
        <is>
          <t>IDR bn</t>
        </is>
      </c>
      <c r="H2322" t="n">
        <v>13</v>
      </c>
      <c r="I2322" t="inlineStr">
        <is>
          <t>ARUS KAS DARI AKTIVITAS INVENTARIS (74.619)</t>
        </is>
      </c>
      <c r="J2322" t="inlineStr">
        <is>
          <t>High</t>
        </is>
      </c>
      <c r="M2322" t="inlineStr">
        <is>
          <t>LLM</t>
        </is>
      </c>
      <c r="N2322" t="inlineStr">
        <is>
          <t>2026-04-18</t>
        </is>
      </c>
      <c r="O2322" t="inlineStr">
        <is>
          <t>AI</t>
        </is>
      </c>
    </row>
    <row r="2323">
      <c r="A2323" t="inlineStr">
        <is>
          <t>PT Jhonlin Agro Raya Tbk</t>
        </is>
      </c>
      <c r="B2323" t="inlineStr">
        <is>
          <t>JARR_2024_AR.pdf</t>
        </is>
      </c>
      <c r="C2323" t="n">
        <v>2024</v>
      </c>
      <c r="D2323" t="inlineStr">
        <is>
          <t>Financial</t>
        </is>
      </c>
      <c r="E2323" t="inlineStr">
        <is>
          <t>CFF (Financing)</t>
        </is>
      </c>
      <c r="F2323" t="n">
        <v>-86</v>
      </c>
      <c r="G2323" t="inlineStr">
        <is>
          <t>IDR bn</t>
        </is>
      </c>
      <c r="H2323" t="n">
        <v>13</v>
      </c>
      <c r="I2323" t="inlineStr">
        <is>
          <t>ARUS KAS DARI AKTIVITAS PENDANAAN (86.025)</t>
        </is>
      </c>
      <c r="J2323" t="inlineStr">
        <is>
          <t>High</t>
        </is>
      </c>
      <c r="M2323" t="inlineStr">
        <is>
          <t>LLM</t>
        </is>
      </c>
      <c r="N2323" t="inlineStr">
        <is>
          <t>2026-04-18</t>
        </is>
      </c>
      <c r="O2323" t="inlineStr">
        <is>
          <t>AI</t>
        </is>
      </c>
    </row>
    <row r="2324">
      <c r="A2324" t="inlineStr">
        <is>
          <t>PT Jhonlin Agro Raya Tbk</t>
        </is>
      </c>
      <c r="B2324" t="inlineStr">
        <is>
          <t>JARR_2024_AR.pdf</t>
        </is>
      </c>
      <c r="C2324" t="n">
        <v>2024</v>
      </c>
      <c r="D2324" t="inlineStr">
        <is>
          <t>Financial</t>
        </is>
      </c>
      <c r="E2324" t="inlineStr">
        <is>
          <t>Capex (Fixed Assets Additions)</t>
        </is>
      </c>
      <c r="F2324" t="n">
        <v>15</v>
      </c>
      <c r="G2324" t="inlineStr">
        <is>
          <t>IDR bn</t>
        </is>
      </c>
      <c r="H2324" t="n">
        <v>91</v>
      </c>
      <c r="I2324" t="inlineStr">
        <is>
          <t>Sum of 2024 investments: Mesin &amp; peralatan 3.11 + Bangunan 0.88 + Alat berat 6.13 + Peralatan kantor 1.35 + AUC 3.56 = Rp15.03 bn; Note 15: Total acquisition additions 15.027.620.375</t>
        </is>
      </c>
      <c r="J2324" t="inlineStr">
        <is>
          <t>High</t>
        </is>
      </c>
      <c r="M2324" t="inlineStr">
        <is>
          <t>LLM</t>
        </is>
      </c>
      <c r="N2324" t="inlineStr">
        <is>
          <t>2026-04-18</t>
        </is>
      </c>
      <c r="O2324" t="inlineStr">
        <is>
          <t>AI</t>
        </is>
      </c>
    </row>
    <row r="2325">
      <c r="A2325" t="inlineStr">
        <is>
          <t>PT Jhonlin Agro Raya Tbk</t>
        </is>
      </c>
      <c r="B2325" t="inlineStr">
        <is>
          <t>JARR_2024_AR.pdf</t>
        </is>
      </c>
      <c r="C2325" t="n">
        <v>2024</v>
      </c>
      <c r="D2325" t="inlineStr">
        <is>
          <t>Financial</t>
        </is>
      </c>
      <c r="E2325" t="inlineStr">
        <is>
          <t>Depreciation (Fixed Assets)</t>
        </is>
      </c>
      <c r="F2325" t="n">
        <v>134</v>
      </c>
      <c r="G2325" t="inlineStr">
        <is>
          <t>IDR bn</t>
        </is>
      </c>
      <c r="I2325" t="inlineStr">
        <is>
          <t>Jumlah 133.534.749.177 (depreciation expense 2024)</t>
        </is>
      </c>
      <c r="J2325" t="inlineStr">
        <is>
          <t>High</t>
        </is>
      </c>
      <c r="M2325" t="inlineStr">
        <is>
          <t>LLM</t>
        </is>
      </c>
      <c r="N2325" t="inlineStr">
        <is>
          <t>2026-04-18</t>
        </is>
      </c>
      <c r="O2325" t="inlineStr">
        <is>
          <t>AI</t>
        </is>
      </c>
    </row>
    <row r="2326">
      <c r="A2326" t="inlineStr">
        <is>
          <t>PT Jhonlin Agro Raya Tbk</t>
        </is>
      </c>
      <c r="B2326" t="inlineStr">
        <is>
          <t>JARR_2024_AR.pdf</t>
        </is>
      </c>
      <c r="C2326" t="n">
        <v>2024</v>
      </c>
      <c r="D2326" t="inlineStr">
        <is>
          <t>Financial</t>
        </is>
      </c>
      <c r="E2326" t="inlineStr">
        <is>
          <t>EPS (Basic)</t>
        </is>
      </c>
      <c r="F2326" t="n">
        <v>28.25</v>
      </c>
      <c r="G2326" t="inlineStr">
        <is>
          <t>Rp/share</t>
        </is>
      </c>
      <c r="H2326" t="n">
        <v>12</v>
      </c>
      <c r="I2326" t="inlineStr">
        <is>
          <t>LABA PER SAHAM DASAR BASIC EARNINGS PER SHARE 28,25</t>
        </is>
      </c>
      <c r="J2326" t="inlineStr">
        <is>
          <t>High</t>
        </is>
      </c>
      <c r="M2326" t="inlineStr">
        <is>
          <t>LLM</t>
        </is>
      </c>
      <c r="N2326" t="inlineStr">
        <is>
          <t>2026-04-18</t>
        </is>
      </c>
      <c r="O2326" t="inlineStr">
        <is>
          <t>AI</t>
        </is>
      </c>
    </row>
    <row r="2327">
      <c r="A2327" t="inlineStr">
        <is>
          <t>PT Jhonlin Agro Raya Tbk</t>
        </is>
      </c>
      <c r="B2327" t="inlineStr">
        <is>
          <t>JARR_2024_AR.pdf</t>
        </is>
      </c>
      <c r="C2327" t="n">
        <v>2024</v>
      </c>
      <c r="D2327" t="inlineStr">
        <is>
          <t>Financial</t>
        </is>
      </c>
      <c r="E2327" t="inlineStr">
        <is>
          <t>Closing Price (31 Dec 2024)</t>
        </is>
      </c>
      <c r="F2327" t="n">
        <v>310</v>
      </c>
      <c r="G2327" t="inlineStr">
        <is>
          <t>Rp/share</t>
        </is>
      </c>
      <c r="H2327" t="n">
        <v>15</v>
      </c>
      <c r="I2327" t="inlineStr">
        <is>
          <t>Desember Harga Penutupan 310; Kurs Akhir 310</t>
        </is>
      </c>
      <c r="J2327" t="inlineStr">
        <is>
          <t>High</t>
        </is>
      </c>
      <c r="M2327" t="inlineStr">
        <is>
          <t>LLM</t>
        </is>
      </c>
      <c r="N2327" t="inlineStr">
        <is>
          <t>2026-04-18</t>
        </is>
      </c>
      <c r="O2327" t="inlineStr">
        <is>
          <t>AI</t>
        </is>
      </c>
    </row>
    <row r="2328">
      <c r="A2328" t="inlineStr">
        <is>
          <t>PT Jhonlin Agro Raya Tbk</t>
        </is>
      </c>
      <c r="B2328" t="inlineStr">
        <is>
          <t>JARR_2024_AR.pdf</t>
        </is>
      </c>
      <c r="C2328" t="n">
        <v>2024</v>
      </c>
      <c r="D2328" t="inlineStr">
        <is>
          <t>Financial</t>
        </is>
      </c>
      <c r="E2328" t="inlineStr">
        <is>
          <t>Market Cap (31 Dec 2024)</t>
        </is>
      </c>
      <c r="F2328" t="n">
        <v>2862</v>
      </c>
      <c r="G2328" t="inlineStr">
        <is>
          <t>IDR bn</t>
        </is>
      </c>
      <c r="H2328" t="n">
        <v>14</v>
      </c>
      <c r="I2328" t="inlineStr">
        <is>
          <t>12 Desember Kapitalisasi Pasar 2,861,506,165,500</t>
        </is>
      </c>
      <c r="J2328" t="inlineStr">
        <is>
          <t>High</t>
        </is>
      </c>
      <c r="M2328" t="inlineStr">
        <is>
          <t>LLM</t>
        </is>
      </c>
      <c r="N2328" t="inlineStr">
        <is>
          <t>2026-04-18</t>
        </is>
      </c>
      <c r="O2328" t="inlineStr">
        <is>
          <t>AI</t>
        </is>
      </c>
    </row>
    <row r="2329">
      <c r="A2329" t="inlineStr">
        <is>
          <t>PT Jhonlin Agro Raya Tbk</t>
        </is>
      </c>
      <c r="B2329" t="inlineStr">
        <is>
          <t>JARR_2024_AR.pdf</t>
        </is>
      </c>
      <c r="C2329" t="n">
        <v>2024</v>
      </c>
      <c r="D2329" t="inlineStr">
        <is>
          <t>Financial</t>
        </is>
      </c>
      <c r="E2329" t="inlineStr">
        <is>
          <t>Current Ratio</t>
        </is>
      </c>
      <c r="F2329" t="n">
        <v>3.19</v>
      </c>
      <c r="G2329" t="inlineStr">
        <is>
          <t>x</t>
        </is>
      </c>
      <c r="H2329" t="n">
        <v>13</v>
      </c>
      <c r="I2329" t="inlineStr">
        <is>
          <t>Rasio Lancar Current Ratio 3,19</t>
        </is>
      </c>
      <c r="J2329" t="inlineStr">
        <is>
          <t>High</t>
        </is>
      </c>
      <c r="M2329" t="inlineStr">
        <is>
          <t>LLM</t>
        </is>
      </c>
      <c r="N2329" t="inlineStr">
        <is>
          <t>2026-04-18</t>
        </is>
      </c>
      <c r="O2329" t="inlineStr">
        <is>
          <t>AI</t>
        </is>
      </c>
    </row>
    <row r="2330">
      <c r="A2330" t="inlineStr">
        <is>
          <t>PT Jhonlin Agro Raya Tbk</t>
        </is>
      </c>
      <c r="B2330" t="inlineStr">
        <is>
          <t>JARR_2024_AR.pdf</t>
        </is>
      </c>
      <c r="C2330" t="n">
        <v>2024</v>
      </c>
      <c r="D2330" t="inlineStr">
        <is>
          <t>Financial</t>
        </is>
      </c>
      <c r="E2330" t="inlineStr">
        <is>
          <t>Debt-to-Equity Ratio</t>
        </is>
      </c>
      <c r="F2330" t="n">
        <v>1.41</v>
      </c>
      <c r="G2330" t="inlineStr">
        <is>
          <t>x</t>
        </is>
      </c>
      <c r="H2330" t="n">
        <v>13</v>
      </c>
      <c r="I2330" t="inlineStr">
        <is>
          <t>Rasio Liabilitas Terhadap Ekuitas Liability to equity ratio 1,41</t>
        </is>
      </c>
      <c r="J2330" t="inlineStr">
        <is>
          <t>High</t>
        </is>
      </c>
      <c r="M2330" t="inlineStr">
        <is>
          <t>LLM</t>
        </is>
      </c>
      <c r="N2330" t="inlineStr">
        <is>
          <t>2026-04-18</t>
        </is>
      </c>
      <c r="O2330" t="inlineStr">
        <is>
          <t>AI</t>
        </is>
      </c>
    </row>
    <row r="2331">
      <c r="A2331" t="inlineStr">
        <is>
          <t>PT Jhonlin Agro Raya Tbk</t>
        </is>
      </c>
      <c r="B2331" t="inlineStr">
        <is>
          <t>JARR_2024_AR.pdf</t>
        </is>
      </c>
      <c r="C2331" t="n">
        <v>2024</v>
      </c>
      <c r="D2331" t="inlineStr">
        <is>
          <t>Financial</t>
        </is>
      </c>
      <c r="E2331" t="inlineStr">
        <is>
          <t>Debt-to-Asset Ratio</t>
        </is>
      </c>
      <c r="F2331" t="n">
        <v>0.59</v>
      </c>
      <c r="G2331" t="inlineStr">
        <is>
          <t>x</t>
        </is>
      </c>
      <c r="H2331" t="n">
        <v>13</v>
      </c>
      <c r="I2331" t="inlineStr">
        <is>
          <t>Rasio Liabilitas Terhadap Aset Liability to asset ratio 0,59</t>
        </is>
      </c>
      <c r="J2331" t="inlineStr">
        <is>
          <t>High</t>
        </is>
      </c>
      <c r="M2331" t="inlineStr">
        <is>
          <t>LLM</t>
        </is>
      </c>
      <c r="N2331" t="inlineStr">
        <is>
          <t>2026-04-18</t>
        </is>
      </c>
      <c r="O2331" t="inlineStr">
        <is>
          <t>AI</t>
        </is>
      </c>
    </row>
    <row r="2332">
      <c r="A2332" t="inlineStr">
        <is>
          <t>PT Jhonlin Agro Raya Tbk</t>
        </is>
      </c>
      <c r="B2332" t="inlineStr">
        <is>
          <t>JARR_2024_AR.pdf</t>
        </is>
      </c>
      <c r="C2332" t="n">
        <v>2024</v>
      </c>
      <c r="D2332" t="inlineStr">
        <is>
          <t>Financial</t>
        </is>
      </c>
      <c r="E2332" t="inlineStr">
        <is>
          <t>ROA</t>
        </is>
      </c>
      <c r="F2332" t="n">
        <v>0.06</v>
      </c>
      <c r="G2332" t="inlineStr">
        <is>
          <t>x</t>
        </is>
      </c>
      <c r="H2332" t="n">
        <v>13</v>
      </c>
      <c r="I2332" t="inlineStr">
        <is>
          <t>Rasio Laba (Rugi) Terhadap Jumlah Aset 0,06</t>
        </is>
      </c>
      <c r="J2332" t="inlineStr">
        <is>
          <t>High</t>
        </is>
      </c>
      <c r="M2332" t="inlineStr">
        <is>
          <t>LLM</t>
        </is>
      </c>
      <c r="N2332" t="inlineStr">
        <is>
          <t>2026-04-18</t>
        </is>
      </c>
      <c r="O2332" t="inlineStr">
        <is>
          <t>AI</t>
        </is>
      </c>
    </row>
    <row r="2333">
      <c r="A2333" t="inlineStr">
        <is>
          <t>PT Jhonlin Agro Raya Tbk</t>
        </is>
      </c>
      <c r="B2333" t="inlineStr">
        <is>
          <t>JARR_2024_AR.pdf</t>
        </is>
      </c>
      <c r="C2333" t="n">
        <v>2024</v>
      </c>
      <c r="D2333" t="inlineStr">
        <is>
          <t>Financial</t>
        </is>
      </c>
      <c r="E2333" t="inlineStr">
        <is>
          <t>ROE</t>
        </is>
      </c>
      <c r="F2333" t="n">
        <v>0.15</v>
      </c>
      <c r="G2333" t="inlineStr">
        <is>
          <t>x</t>
        </is>
      </c>
      <c r="H2333" t="n">
        <v>13</v>
      </c>
      <c r="I2333" t="inlineStr">
        <is>
          <t>Profit (Loss) to equity ratio 0,15</t>
        </is>
      </c>
      <c r="J2333" t="inlineStr">
        <is>
          <t>High</t>
        </is>
      </c>
      <c r="M2333" t="inlineStr">
        <is>
          <t>LLM</t>
        </is>
      </c>
      <c r="N2333" t="inlineStr">
        <is>
          <t>2026-04-18</t>
        </is>
      </c>
      <c r="O2333" t="inlineStr">
        <is>
          <t>AI</t>
        </is>
      </c>
    </row>
    <row r="2334">
      <c r="A2334" t="inlineStr">
        <is>
          <t>PT Jhonlin Agro Raya Tbk</t>
        </is>
      </c>
      <c r="B2334" t="inlineStr">
        <is>
          <t>JARR_2024_AR.pdf</t>
        </is>
      </c>
      <c r="C2334" t="n">
        <v>2024</v>
      </c>
      <c r="D2334" t="inlineStr">
        <is>
          <t>Financial</t>
        </is>
      </c>
      <c r="E2334" t="inlineStr">
        <is>
          <t>Net Profit Margin</t>
        </is>
      </c>
      <c r="F2334" t="n">
        <v>0.07000000000000001</v>
      </c>
      <c r="G2334" t="inlineStr">
        <is>
          <t>x</t>
        </is>
      </c>
      <c r="H2334" t="n">
        <v>13</v>
      </c>
      <c r="I2334" t="inlineStr">
        <is>
          <t>Rasio Laba (Rugi) Terhadap Pendapatan/Penjualan 0,07</t>
        </is>
      </c>
      <c r="J2334" t="inlineStr">
        <is>
          <t>High</t>
        </is>
      </c>
      <c r="M2334" t="inlineStr">
        <is>
          <t>LLM</t>
        </is>
      </c>
      <c r="N2334" t="inlineStr">
        <is>
          <t>2026-04-18</t>
        </is>
      </c>
      <c r="O2334" t="inlineStr">
        <is>
          <t>AI</t>
        </is>
      </c>
    </row>
    <row r="2335">
      <c r="A2335" t="inlineStr">
        <is>
          <t>PT Jhonlin Agro Raya Tbk</t>
        </is>
      </c>
      <c r="B2335" t="inlineStr">
        <is>
          <t>JARR_2024_AR.pdf</t>
        </is>
      </c>
      <c r="C2335" t="n">
        <v>2024</v>
      </c>
      <c r="D2335" t="inlineStr">
        <is>
          <t>Financial</t>
        </is>
      </c>
      <c r="E2335" t="inlineStr">
        <is>
          <t>Total Asset Turnover</t>
        </is>
      </c>
      <c r="F2335" t="n">
        <v>0.9399999999999999</v>
      </c>
      <c r="G2335" t="inlineStr">
        <is>
          <t>x</t>
        </is>
      </c>
      <c r="H2335" t="n">
        <v>13</v>
      </c>
      <c r="I2335" t="inlineStr">
        <is>
          <t>Rasio Total Asset Turnover 0,94</t>
        </is>
      </c>
      <c r="J2335" t="inlineStr">
        <is>
          <t>High</t>
        </is>
      </c>
      <c r="M2335" t="inlineStr">
        <is>
          <t>LLM</t>
        </is>
      </c>
      <c r="N2335" t="inlineStr">
        <is>
          <t>2026-04-18</t>
        </is>
      </c>
      <c r="O2335" t="inlineStr">
        <is>
          <t>AI</t>
        </is>
      </c>
    </row>
    <row r="2336">
      <c r="A2336" t="inlineStr">
        <is>
          <t>PT Jhonlin Agro Raya Tbk</t>
        </is>
      </c>
      <c r="B2336" t="inlineStr">
        <is>
          <t>JARR_2024_AR.pdf</t>
        </is>
      </c>
      <c r="C2336" t="n">
        <v>2024</v>
      </c>
      <c r="D2336" t="inlineStr">
        <is>
          <t>Asset</t>
        </is>
      </c>
      <c r="E2336" t="inlineStr">
        <is>
          <t>Planted Area (Total)</t>
        </is>
      </c>
      <c r="F2336" t="n">
        <v>18226.09</v>
      </c>
      <c r="G2336" t="inlineStr">
        <is>
          <t>ha</t>
        </is>
      </c>
      <c r="H2336" t="n">
        <v>231</v>
      </c>
      <c r="I2336" t="inlineStr">
        <is>
          <t>Pada tanggal 31 Desember 2024, lahan yang telah ditanam oleh Perusahaan seluas 18.226,09 hektar</t>
        </is>
      </c>
      <c r="J2336" t="inlineStr">
        <is>
          <t>High</t>
        </is>
      </c>
      <c r="M2336" t="inlineStr">
        <is>
          <t>LLM</t>
        </is>
      </c>
      <c r="N2336" t="inlineStr">
        <is>
          <t>2026-04-18</t>
        </is>
      </c>
      <c r="O2336" t="inlineStr">
        <is>
          <t>AI</t>
        </is>
      </c>
    </row>
    <row r="2337">
      <c r="A2337" t="inlineStr">
        <is>
          <t>PT Jhonlin Agro Raya Tbk</t>
        </is>
      </c>
      <c r="B2337" t="inlineStr">
        <is>
          <t>JARR_2024_AR.pdf</t>
        </is>
      </c>
      <c r="C2337" t="n">
        <v>2024</v>
      </c>
      <c r="D2337" t="inlineStr">
        <is>
          <t>Asset</t>
        </is>
      </c>
      <c r="E2337" t="inlineStr">
        <is>
          <t>Mature Planted Area</t>
        </is>
      </c>
      <c r="F2337" t="n">
        <v>10667.64</v>
      </c>
      <c r="G2337" t="inlineStr">
        <is>
          <t>ha</t>
        </is>
      </c>
      <c r="H2337" t="n">
        <v>231</v>
      </c>
      <c r="I2337" t="inlineStr">
        <is>
          <t>areal yang telah menghasilkan seluas 10.667,64 hektar</t>
        </is>
      </c>
      <c r="J2337" t="inlineStr">
        <is>
          <t>High</t>
        </is>
      </c>
      <c r="M2337" t="inlineStr">
        <is>
          <t>LLM</t>
        </is>
      </c>
      <c r="N2337" t="inlineStr">
        <is>
          <t>2026-04-18</t>
        </is>
      </c>
      <c r="O2337" t="inlineStr">
        <is>
          <t>AI</t>
        </is>
      </c>
    </row>
    <row r="2338">
      <c r="A2338" t="inlineStr">
        <is>
          <t>PT Jhonlin Agro Raya Tbk</t>
        </is>
      </c>
      <c r="B2338" t="inlineStr">
        <is>
          <t>JARR_2024_AR.pdf</t>
        </is>
      </c>
      <c r="C2338" t="n">
        <v>2024</v>
      </c>
      <c r="D2338" t="inlineStr">
        <is>
          <t>Asset</t>
        </is>
      </c>
      <c r="E2338" t="inlineStr">
        <is>
          <t>Immature Planted Area</t>
        </is>
      </c>
      <c r="F2338" t="n">
        <v>7558.45</v>
      </c>
      <c r="G2338" t="inlineStr">
        <is>
          <t>ha</t>
        </is>
      </c>
      <c r="H2338" t="n">
        <v>231</v>
      </c>
      <c r="I2338" t="inlineStr">
        <is>
          <t>areal yang belum menghasilkan seluas 7.558,45 hektar</t>
        </is>
      </c>
      <c r="J2338" t="inlineStr">
        <is>
          <t>High</t>
        </is>
      </c>
      <c r="M2338" t="inlineStr">
        <is>
          <t>LLM</t>
        </is>
      </c>
      <c r="N2338" t="inlineStr">
        <is>
          <t>2026-04-18</t>
        </is>
      </c>
      <c r="O2338" t="inlineStr">
        <is>
          <t>AI</t>
        </is>
      </c>
    </row>
    <row r="2339">
      <c r="A2339" t="inlineStr">
        <is>
          <t>PT Jhonlin Agro Raya Tbk</t>
        </is>
      </c>
      <c r="B2339" t="inlineStr">
        <is>
          <t>JARR_2024_AR.pdf</t>
        </is>
      </c>
      <c r="C2339" t="n">
        <v>2024</v>
      </c>
      <c r="D2339" t="inlineStr">
        <is>
          <t>Asset</t>
        </is>
      </c>
      <c r="E2339" t="inlineStr">
        <is>
          <t>HGU Area (Total)</t>
        </is>
      </c>
      <c r="F2339" t="n">
        <v>27936.72</v>
      </c>
      <c r="G2339" t="inlineStr">
        <is>
          <t>ha</t>
        </is>
      </c>
      <c r="I2339" t="inlineStr">
        <is>
          <t>27.936,72 hektar, dengan jangka waktu 35 tahun</t>
        </is>
      </c>
      <c r="J2339" t="inlineStr">
        <is>
          <t>High</t>
        </is>
      </c>
      <c r="M2339" t="inlineStr">
        <is>
          <t>LLM</t>
        </is>
      </c>
      <c r="N2339" t="inlineStr">
        <is>
          <t>2026-04-18</t>
        </is>
      </c>
      <c r="O2339" t="inlineStr">
        <is>
          <t>AI</t>
        </is>
      </c>
    </row>
    <row r="2340">
      <c r="A2340" t="inlineStr">
        <is>
          <t>PT Jhonlin Agro Raya Tbk</t>
        </is>
      </c>
      <c r="B2340" t="inlineStr">
        <is>
          <t>JARR_2024_AR.pdf</t>
        </is>
      </c>
      <c r="C2340" t="n">
        <v>2024</v>
      </c>
      <c r="D2340" t="inlineStr">
        <is>
          <t>Asset</t>
        </is>
      </c>
      <c r="E2340" t="inlineStr">
        <is>
          <t>Plasma Area</t>
        </is>
      </c>
      <c r="F2340" t="n">
        <v>518.12</v>
      </c>
      <c r="G2340" t="inlineStr">
        <is>
          <t>ha</t>
        </is>
      </c>
      <c r="I2340" t="inlineStr">
        <is>
          <t>plantation located in Kalimantan seluas 518,12 hektar</t>
        </is>
      </c>
      <c r="J2340" t="inlineStr">
        <is>
          <t>High</t>
        </is>
      </c>
      <c r="M2340" t="inlineStr">
        <is>
          <t>LLM</t>
        </is>
      </c>
      <c r="N2340" t="inlineStr">
        <is>
          <t>2026-04-18</t>
        </is>
      </c>
      <c r="O2340" t="inlineStr">
        <is>
          <t>AI</t>
        </is>
      </c>
    </row>
    <row r="2341">
      <c r="A2341" t="inlineStr">
        <is>
          <t>PT Jhonlin Agro Raya Tbk</t>
        </is>
      </c>
      <c r="B2341" t="inlineStr">
        <is>
          <t>JARR_2024_AR.pdf</t>
        </is>
      </c>
      <c r="C2341" t="n">
        <v>2024</v>
      </c>
      <c r="D2341" t="inlineStr">
        <is>
          <t>Asset</t>
        </is>
      </c>
      <c r="E2341" t="inlineStr">
        <is>
          <t>Bearer Plants Fair Value</t>
        </is>
      </c>
      <c r="F2341" t="n">
        <v>1912</v>
      </c>
      <c r="G2341" t="inlineStr">
        <is>
          <t>IDR bn</t>
        </is>
      </c>
      <c r="H2341" t="n">
        <v>231</v>
      </c>
      <c r="I2341" t="inlineStr">
        <is>
          <t>Rp1.911.669.884.000 (fair value per Ruky, Safrudin &amp; Rekan appraisal March 2025)</t>
        </is>
      </c>
      <c r="J2341" t="inlineStr">
        <is>
          <t>High</t>
        </is>
      </c>
      <c r="M2341" t="inlineStr">
        <is>
          <t>LLM</t>
        </is>
      </c>
      <c r="N2341" t="inlineStr">
        <is>
          <t>2026-04-18</t>
        </is>
      </c>
      <c r="O2341" t="inlineStr">
        <is>
          <t>AI</t>
        </is>
      </c>
    </row>
    <row r="2342">
      <c r="A2342" t="inlineStr">
        <is>
          <t>PT Jhonlin Agro Raya Tbk</t>
        </is>
      </c>
      <c r="B2342" t="inlineStr">
        <is>
          <t>JARR_2024_AR.pdf</t>
        </is>
      </c>
      <c r="C2342" t="n">
        <v>2024</v>
      </c>
      <c r="D2342" t="inlineStr">
        <is>
          <t>Asset</t>
        </is>
      </c>
      <c r="E2342" t="inlineStr">
        <is>
          <t>Bearer Plants - Mature (NBV)</t>
        </is>
      </c>
      <c r="F2342" t="n">
        <v>391</v>
      </c>
      <c r="G2342" t="inlineStr">
        <is>
          <t>IDR bn</t>
        </is>
      </c>
      <c r="H2342" t="n">
        <v>10</v>
      </c>
      <c r="I2342" t="inlineStr">
        <is>
          <t>Tanaman menghasilkan 390.525 (bersih setelah penyusutan)</t>
        </is>
      </c>
      <c r="J2342" t="inlineStr">
        <is>
          <t>High</t>
        </is>
      </c>
      <c r="M2342" t="inlineStr">
        <is>
          <t>LLM</t>
        </is>
      </c>
      <c r="N2342" t="inlineStr">
        <is>
          <t>2026-04-18</t>
        </is>
      </c>
      <c r="O2342" t="inlineStr">
        <is>
          <t>AI</t>
        </is>
      </c>
    </row>
    <row r="2343">
      <c r="A2343" t="inlineStr">
        <is>
          <t>PT Jhonlin Agro Raya Tbk</t>
        </is>
      </c>
      <c r="B2343" t="inlineStr">
        <is>
          <t>JARR_2024_AR.pdf</t>
        </is>
      </c>
      <c r="C2343" t="n">
        <v>2024</v>
      </c>
      <c r="D2343" t="inlineStr">
        <is>
          <t>Asset</t>
        </is>
      </c>
      <c r="E2343" t="inlineStr">
        <is>
          <t>Bearer Plants - Immature (NBV)</t>
        </is>
      </c>
      <c r="F2343" t="n">
        <v>374</v>
      </c>
      <c r="G2343" t="inlineStr">
        <is>
          <t>IDR bn</t>
        </is>
      </c>
      <c r="H2343" t="n">
        <v>10</v>
      </c>
      <c r="I2343" t="inlineStr">
        <is>
          <t>Tanaman belum menghasilkan 373.841</t>
        </is>
      </c>
      <c r="J2343" t="inlineStr">
        <is>
          <t>High</t>
        </is>
      </c>
      <c r="M2343" t="inlineStr">
        <is>
          <t>LLM</t>
        </is>
      </c>
      <c r="N2343" t="inlineStr">
        <is>
          <t>2026-04-18</t>
        </is>
      </c>
      <c r="O2343" t="inlineStr">
        <is>
          <t>AI</t>
        </is>
      </c>
    </row>
    <row r="2344">
      <c r="A2344" t="inlineStr">
        <is>
          <t>PT Jhonlin Agro Raya Tbk</t>
        </is>
      </c>
      <c r="B2344" t="inlineStr">
        <is>
          <t>JARR_2024_AR.pdf</t>
        </is>
      </c>
      <c r="C2344" t="n">
        <v>2024</v>
      </c>
      <c r="D2344" t="inlineStr">
        <is>
          <t>Asset</t>
        </is>
      </c>
      <c r="E2344" t="inlineStr">
        <is>
          <t>Nursery (NBV)</t>
        </is>
      </c>
      <c r="F2344" t="n">
        <v>17</v>
      </c>
      <c r="G2344" t="inlineStr">
        <is>
          <t>IDR bn</t>
        </is>
      </c>
      <c r="H2344" t="n">
        <v>10</v>
      </c>
      <c r="I2344" t="inlineStr">
        <is>
          <t>Pembibitan Nursery 16.704</t>
        </is>
      </c>
      <c r="J2344" t="inlineStr">
        <is>
          <t>High</t>
        </is>
      </c>
      <c r="M2344" t="inlineStr">
        <is>
          <t>LLM</t>
        </is>
      </c>
      <c r="N2344" t="inlineStr">
        <is>
          <t>2026-04-18</t>
        </is>
      </c>
      <c r="O2344" t="inlineStr">
        <is>
          <t>AI</t>
        </is>
      </c>
    </row>
    <row r="2345">
      <c r="A2345" t="inlineStr">
        <is>
          <t>PT Jhonlin Agro Raya Tbk</t>
        </is>
      </c>
      <c r="B2345" t="inlineStr">
        <is>
          <t>JARR_2024_AR.pdf</t>
        </is>
      </c>
      <c r="C2345" t="n">
        <v>2024</v>
      </c>
      <c r="D2345" t="inlineStr">
        <is>
          <t>Asset</t>
        </is>
      </c>
      <c r="E2345" t="inlineStr">
        <is>
          <t>Fixed Assets Net Book Value</t>
        </is>
      </c>
      <c r="F2345" t="n">
        <v>1376</v>
      </c>
      <c r="G2345" t="inlineStr">
        <is>
          <t>IDR bn</t>
        </is>
      </c>
      <c r="H2345" t="n">
        <v>234</v>
      </c>
      <c r="I2345" t="inlineStr">
        <is>
          <t>Nilai tercatat neto 1.376.288.785.447</t>
        </is>
      </c>
      <c r="J2345" t="inlineStr">
        <is>
          <t>High</t>
        </is>
      </c>
      <c r="M2345" t="inlineStr">
        <is>
          <t>LLM</t>
        </is>
      </c>
      <c r="N2345" t="inlineStr">
        <is>
          <t>2026-04-18</t>
        </is>
      </c>
      <c r="O2345" t="inlineStr">
        <is>
          <t>AI</t>
        </is>
      </c>
    </row>
    <row r="2346">
      <c r="A2346" t="inlineStr">
        <is>
          <t>PT Jhonlin Agro Raya Tbk</t>
        </is>
      </c>
      <c r="B2346" t="inlineStr">
        <is>
          <t>JARR_2024_AR.pdf</t>
        </is>
      </c>
      <c r="C2346" t="n">
        <v>2024</v>
      </c>
      <c r="D2346" t="inlineStr">
        <is>
          <t>Asset</t>
        </is>
      </c>
      <c r="E2346" t="inlineStr">
        <is>
          <t>Biological Assets (Growing FFB)</t>
        </is>
      </c>
      <c r="F2346" t="n">
        <v>30</v>
      </c>
      <c r="G2346" t="inlineStr">
        <is>
          <t>IDR bn</t>
        </is>
      </c>
      <c r="H2346" t="n">
        <v>10</v>
      </c>
      <c r="I2346" t="inlineStr">
        <is>
          <t>Aset Biologis Biological assets 30.032; 30.032.456.000</t>
        </is>
      </c>
      <c r="J2346" t="inlineStr">
        <is>
          <t>High</t>
        </is>
      </c>
      <c r="M2346" t="inlineStr">
        <is>
          <t>LLM</t>
        </is>
      </c>
      <c r="N2346" t="inlineStr">
        <is>
          <t>2026-04-18</t>
        </is>
      </c>
      <c r="O2346" t="inlineStr">
        <is>
          <t>AI</t>
        </is>
      </c>
    </row>
    <row r="2347">
      <c r="A2347" t="inlineStr">
        <is>
          <t>PT Jhonlin Agro Raya Tbk</t>
        </is>
      </c>
      <c r="B2347" t="inlineStr">
        <is>
          <t>JARR_2024_AR.pdf</t>
        </is>
      </c>
      <c r="C2347" t="n">
        <v>2024</v>
      </c>
      <c r="D2347" t="inlineStr">
        <is>
          <t>Asset</t>
        </is>
      </c>
      <c r="E2347" t="inlineStr">
        <is>
          <t>Biodiesel Plant Capacity</t>
        </is>
      </c>
      <c r="F2347" t="n">
        <v>1500</v>
      </c>
      <c r="G2347" t="inlineStr">
        <is>
          <t>TPD</t>
        </is>
      </c>
      <c r="I2347" t="inlineStr">
        <is>
          <t>Perseroan memiliki Pabrik Biodiesel 1500 TPD berlokasi di Batulicin</t>
        </is>
      </c>
      <c r="J2347" t="inlineStr">
        <is>
          <t>High</t>
        </is>
      </c>
      <c r="M2347" t="inlineStr">
        <is>
          <t>LLM</t>
        </is>
      </c>
      <c r="N2347" t="inlineStr">
        <is>
          <t>2026-04-18</t>
        </is>
      </c>
      <c r="O2347" t="inlineStr">
        <is>
          <t>AI</t>
        </is>
      </c>
    </row>
    <row r="2348">
      <c r="A2348" t="inlineStr">
        <is>
          <t>PT Jhonlin Agro Raya Tbk</t>
        </is>
      </c>
      <c r="B2348" t="inlineStr">
        <is>
          <t>JARR_2024_AR.pdf</t>
        </is>
      </c>
      <c r="C2348" t="n">
        <v>2024</v>
      </c>
      <c r="D2348" t="inlineStr">
        <is>
          <t>Asset</t>
        </is>
      </c>
      <c r="E2348" t="inlineStr">
        <is>
          <t>PKS (Palm Oil Mill) Capacity</t>
        </is>
      </c>
      <c r="F2348" t="n">
        <v>60</v>
      </c>
      <c r="G2348" t="inlineStr">
        <is>
          <t>TPH</t>
        </is>
      </c>
      <c r="I2348" t="inlineStr">
        <is>
          <t>membangun Pabrik Kelapa Sawit dengan kapasitas 60 Ton per jam... completed late 2023; ~15% of CPO processed internally in 2024</t>
        </is>
      </c>
      <c r="J2348" t="inlineStr">
        <is>
          <t>High</t>
        </is>
      </c>
      <c r="M2348" t="inlineStr">
        <is>
          <t>LLM</t>
        </is>
      </c>
      <c r="N2348" t="inlineStr">
        <is>
          <t>2026-04-18</t>
        </is>
      </c>
      <c r="O2348" t="inlineStr">
        <is>
          <t>AI</t>
        </is>
      </c>
    </row>
    <row r="2349">
      <c r="A2349" t="inlineStr">
        <is>
          <t>PT Jhonlin Agro Raya Tbk</t>
        </is>
      </c>
      <c r="B2349" t="inlineStr">
        <is>
          <t>JARR_2024_AR.pdf</t>
        </is>
      </c>
      <c r="C2349" t="n">
        <v>2024</v>
      </c>
      <c r="D2349" t="inlineStr">
        <is>
          <t>Asset</t>
        </is>
      </c>
      <c r="E2349" t="inlineStr">
        <is>
          <t>Cooking Oil Plant Capacity</t>
        </is>
      </c>
      <c r="F2349" t="n">
        <v>250</v>
      </c>
      <c r="G2349" t="inlineStr">
        <is>
          <t>TPD</t>
        </is>
      </c>
      <c r="I2349" t="inlineStr">
        <is>
          <t>Minyak Goreng dengan kapasita 250 TPD</t>
        </is>
      </c>
      <c r="J2349" t="inlineStr">
        <is>
          <t>High</t>
        </is>
      </c>
      <c r="M2349" t="inlineStr">
        <is>
          <t>LLM</t>
        </is>
      </c>
      <c r="N2349" t="inlineStr">
        <is>
          <t>2026-04-18</t>
        </is>
      </c>
      <c r="O2349" t="inlineStr">
        <is>
          <t>AI</t>
        </is>
      </c>
    </row>
    <row r="2350">
      <c r="A2350" t="inlineStr">
        <is>
          <t>PT Jhonlin Agro Raya Tbk</t>
        </is>
      </c>
      <c r="B2350" t="inlineStr">
        <is>
          <t>JARR_2024_AR.pdf</t>
        </is>
      </c>
      <c r="C2350" t="n">
        <v>2024</v>
      </c>
      <c r="D2350" t="inlineStr">
        <is>
          <t>Operation</t>
        </is>
      </c>
      <c r="E2350" t="inlineStr">
        <is>
          <t>FFB Production</t>
        </is>
      </c>
      <c r="F2350" t="n">
        <v>159688</v>
      </c>
      <c r="G2350" t="inlineStr">
        <is>
          <t>t</t>
        </is>
      </c>
      <c r="H2350" t="n">
        <v>29</v>
      </c>
      <c r="I2350" t="inlineStr">
        <is>
          <t>produksi Tanam Buah Segar (TBS) selama tahun 2024 secara target tercapai sebesar 65% dari ditargetkan sebesar 244.080 Ton, hasil yang dicapai sebesar 159.688 Ton</t>
        </is>
      </c>
      <c r="J2350" t="inlineStr">
        <is>
          <t>High</t>
        </is>
      </c>
      <c r="M2350" t="inlineStr">
        <is>
          <t>LLM</t>
        </is>
      </c>
      <c r="N2350" t="inlineStr">
        <is>
          <t>2026-04-18</t>
        </is>
      </c>
      <c r="O2350" t="inlineStr">
        <is>
          <t>AI</t>
        </is>
      </c>
    </row>
    <row r="2351">
      <c r="A2351" t="inlineStr">
        <is>
          <t>PT Jhonlin Agro Raya Tbk</t>
        </is>
      </c>
      <c r="B2351" t="inlineStr">
        <is>
          <t>JARR_2024_AR.pdf</t>
        </is>
      </c>
      <c r="C2351" t="n">
        <v>2024</v>
      </c>
      <c r="D2351" t="inlineStr">
        <is>
          <t>Operation</t>
        </is>
      </c>
      <c r="E2351" t="inlineStr">
        <is>
          <t>FAME Production/Sales</t>
        </is>
      </c>
      <c r="F2351" t="n">
        <v>272596</v>
      </c>
      <c r="G2351" t="inlineStr">
        <is>
          <t>KL</t>
        </is>
      </c>
      <c r="H2351" t="n">
        <v>29</v>
      </c>
      <c r="I2351" t="inlineStr">
        <is>
          <t>penjualan FAME selama tahun 2024 sebesar 272.596 KL sedangkan pada tahun 2023 sebesar 310.678 KL</t>
        </is>
      </c>
      <c r="J2351" t="inlineStr">
        <is>
          <t>High</t>
        </is>
      </c>
      <c r="M2351" t="inlineStr">
        <is>
          <t>LLM</t>
        </is>
      </c>
      <c r="N2351" t="inlineStr">
        <is>
          <t>2026-04-18</t>
        </is>
      </c>
      <c r="O2351" t="inlineStr">
        <is>
          <t>AI</t>
        </is>
      </c>
    </row>
    <row r="2352">
      <c r="A2352" t="inlineStr">
        <is>
          <t>PT Jhonlin Agro Raya Tbk</t>
        </is>
      </c>
      <c r="B2352" t="inlineStr">
        <is>
          <t>JARR_2024_AR.pdf</t>
        </is>
      </c>
      <c r="C2352" t="n">
        <v>2024</v>
      </c>
      <c r="D2352" t="inlineStr">
        <is>
          <t>Operation</t>
        </is>
      </c>
      <c r="E2352" t="inlineStr">
        <is>
          <t>Internal CPO Share</t>
        </is>
      </c>
      <c r="F2352" t="inlineStr">
        <is>
          <t>15%</t>
        </is>
      </c>
      <c r="G2352" t="inlineStr">
        <is>
          <t>%</t>
        </is>
      </c>
      <c r="H2352" t="n">
        <v>86</v>
      </c>
      <c r="I2352" t="inlineStr">
        <is>
          <t>15% dari total CPO produksi/olah merupakan CPO Internal</t>
        </is>
      </c>
      <c r="J2352" t="inlineStr">
        <is>
          <t>High</t>
        </is>
      </c>
      <c r="M2352" t="inlineStr">
        <is>
          <t>LLM</t>
        </is>
      </c>
      <c r="N2352" t="inlineStr">
        <is>
          <t>2026-04-18</t>
        </is>
      </c>
      <c r="O2352" t="inlineStr">
        <is>
          <t>AI</t>
        </is>
      </c>
    </row>
    <row r="2353">
      <c r="A2353" t="inlineStr">
        <is>
          <t>PT Jhonlin Agro Raya Tbk</t>
        </is>
      </c>
      <c r="B2353" t="inlineStr">
        <is>
          <t>JARR_2024_AR.pdf</t>
        </is>
      </c>
      <c r="C2353" t="n">
        <v>2024</v>
      </c>
      <c r="D2353" t="inlineStr">
        <is>
          <t>Operation</t>
        </is>
      </c>
      <c r="E2353" t="inlineStr">
        <is>
          <t>Internal CPO Target 2025</t>
        </is>
      </c>
      <c r="F2353" t="inlineStr">
        <is>
          <t>20-25%</t>
        </is>
      </c>
      <c r="G2353" t="inlineStr">
        <is>
          <t>%</t>
        </is>
      </c>
      <c r="I2353" t="inlineStr">
        <is>
          <t>Meningkatkan produksi CPO dari internal sebesar 15% dari total pembelian CPO ditahun 2024 menjadi 20-25% di 2025</t>
        </is>
      </c>
      <c r="J2353" t="inlineStr">
        <is>
          <t>High</t>
        </is>
      </c>
      <c r="M2353" t="inlineStr">
        <is>
          <t>LLM</t>
        </is>
      </c>
      <c r="N2353" t="inlineStr">
        <is>
          <t>2026-04-18</t>
        </is>
      </c>
      <c r="O2353" t="inlineStr">
        <is>
          <t>AI</t>
        </is>
      </c>
    </row>
    <row r="2354">
      <c r="A2354" t="inlineStr">
        <is>
          <t>PT Jhonlin Agro Raya Tbk</t>
        </is>
      </c>
      <c r="B2354" t="inlineStr">
        <is>
          <t>JARR_2024_AR.pdf</t>
        </is>
      </c>
      <c r="C2354" t="n">
        <v>2024</v>
      </c>
      <c r="D2354" t="inlineStr">
        <is>
          <t>Operation</t>
        </is>
      </c>
      <c r="E2354" t="inlineStr">
        <is>
          <t>FAME Contract - PT AKR Corporindo</t>
        </is>
      </c>
      <c r="F2354" t="n">
        <v>119758</v>
      </c>
      <c r="G2354" t="inlineStr">
        <is>
          <t>KL</t>
        </is>
      </c>
      <c r="I2354" t="inlineStr">
        <is>
          <t>Fatty Acid Methyl Ester (FAME) periode Januari - Desember 2024 totaling 119,758 KL with PT AKR</t>
        </is>
      </c>
      <c r="J2354" t="inlineStr">
        <is>
          <t>High</t>
        </is>
      </c>
      <c r="M2354" t="inlineStr">
        <is>
          <t>LLM</t>
        </is>
      </c>
      <c r="N2354" t="inlineStr">
        <is>
          <t>2026-04-18</t>
        </is>
      </c>
      <c r="O2354" t="inlineStr">
        <is>
          <t>AI</t>
        </is>
      </c>
    </row>
    <row r="2355">
      <c r="A2355" t="inlineStr">
        <is>
          <t>PT Jhonlin Agro Raya Tbk</t>
        </is>
      </c>
      <c r="B2355" t="inlineStr">
        <is>
          <t>JARR_2024_AR.pdf</t>
        </is>
      </c>
      <c r="C2355" t="n">
        <v>2024</v>
      </c>
      <c r="D2355" t="inlineStr">
        <is>
          <t>Operation</t>
        </is>
      </c>
      <c r="E2355" t="inlineStr">
        <is>
          <t>FAME Contract - PT Andifa Perkasa Energi</t>
        </is>
      </c>
      <c r="F2355" t="n">
        <v>43077</v>
      </c>
      <c r="G2355" t="inlineStr">
        <is>
          <t>KL</t>
        </is>
      </c>
      <c r="I2355" t="inlineStr">
        <is>
          <t>Fatty Acid Methyl Ester (FAME) December 2024 totaling 43,077 KL with PT Andifa</t>
        </is>
      </c>
      <c r="J2355" t="inlineStr">
        <is>
          <t>High</t>
        </is>
      </c>
      <c r="M2355" t="inlineStr">
        <is>
          <t>LLM</t>
        </is>
      </c>
      <c r="N2355" t="inlineStr">
        <is>
          <t>2026-04-18</t>
        </is>
      </c>
      <c r="O2355" t="inlineStr">
        <is>
          <t>AI</t>
        </is>
      </c>
    </row>
    <row r="2356">
      <c r="A2356" t="inlineStr">
        <is>
          <t>PT Jhonlin Agro Raya Tbk</t>
        </is>
      </c>
      <c r="B2356" t="inlineStr">
        <is>
          <t>JARR_2024_AR.pdf</t>
        </is>
      </c>
      <c r="C2356" t="n">
        <v>2024</v>
      </c>
      <c r="D2356" t="inlineStr">
        <is>
          <t>Operation</t>
        </is>
      </c>
      <c r="E2356" t="inlineStr">
        <is>
          <t>FAME Contract - PT Pertamina Patra Niaga</t>
        </is>
      </c>
      <c r="F2356" t="n">
        <v>155919</v>
      </c>
      <c r="G2356" t="inlineStr">
        <is>
          <t>KL</t>
        </is>
      </c>
      <c r="I2356" t="inlineStr">
        <is>
          <t>Biodiesel atau Fatty Acid Methyl Ester (FAME) December 2024 totaling 155,919 KL with PT Pertamina Patra Niaga</t>
        </is>
      </c>
      <c r="J2356" t="inlineStr">
        <is>
          <t>High</t>
        </is>
      </c>
      <c r="M2356" t="inlineStr">
        <is>
          <t>LLM</t>
        </is>
      </c>
      <c r="N2356" t="inlineStr">
        <is>
          <t>2026-04-18</t>
        </is>
      </c>
      <c r="O2356" t="inlineStr">
        <is>
          <t>AI</t>
        </is>
      </c>
    </row>
    <row r="2357">
      <c r="A2357" t="inlineStr">
        <is>
          <t>PT Jhonlin Agro Raya Tbk</t>
        </is>
      </c>
      <c r="B2357" t="inlineStr">
        <is>
          <t>JARR_2024_AR.pdf</t>
        </is>
      </c>
      <c r="C2357" t="n">
        <v>2024</v>
      </c>
      <c r="D2357" t="inlineStr">
        <is>
          <t>Operation</t>
        </is>
      </c>
      <c r="E2357" t="inlineStr">
        <is>
          <t>EBITDA/Revenue Ratio</t>
        </is>
      </c>
      <c r="F2357" t="n">
        <v>0.0615</v>
      </c>
      <c r="G2357" t="inlineStr">
        <is>
          <t>x</t>
        </is>
      </c>
      <c r="H2357" t="n">
        <v>13</v>
      </c>
      <c r="I2357" t="inlineStr">
        <is>
          <t>Rasio EBITDA Terhadap Pendapatan/Penjualan 6,15 (reported as 6.15%)</t>
        </is>
      </c>
      <c r="J2357" t="inlineStr">
        <is>
          <t>Medium</t>
        </is>
      </c>
      <c r="M2357" t="inlineStr">
        <is>
          <t>LLM</t>
        </is>
      </c>
      <c r="N2357" t="inlineStr">
        <is>
          <t>2026-04-18</t>
        </is>
      </c>
      <c r="O2357" t="inlineStr">
        <is>
          <t>AI</t>
        </is>
      </c>
    </row>
    <row r="2358">
      <c r="A2358" t="inlineStr">
        <is>
          <t>PT Jhonlin Agro Raya Tbk</t>
        </is>
      </c>
      <c r="B2358" t="inlineStr">
        <is>
          <t>JARR_2024_AR.pdf</t>
        </is>
      </c>
      <c r="C2358" t="n">
        <v>2024</v>
      </c>
      <c r="D2358" t="inlineStr">
        <is>
          <t>Operation</t>
        </is>
      </c>
      <c r="E2358" t="inlineStr">
        <is>
          <t>Receivables Collection Ratio</t>
        </is>
      </c>
      <c r="F2358" t="n">
        <v>7</v>
      </c>
      <c r="G2358" t="inlineStr">
        <is>
          <t>x</t>
        </is>
      </c>
      <c r="H2358" t="n">
        <v>88</v>
      </c>
      <c r="I2358" t="inlineStr">
        <is>
          <t>tingkat kolektabilitas piutang Perseroan sebesar 7 kali</t>
        </is>
      </c>
      <c r="J2358" t="inlineStr">
        <is>
          <t>High</t>
        </is>
      </c>
      <c r="M2358" t="inlineStr">
        <is>
          <t>LLM</t>
        </is>
      </c>
      <c r="N2358" t="inlineStr">
        <is>
          <t>2026-04-18</t>
        </is>
      </c>
      <c r="O2358" t="inlineStr">
        <is>
          <t>AI</t>
        </is>
      </c>
    </row>
    <row r="2359">
      <c r="A2359" t="inlineStr">
        <is>
          <t>PT Jhonlin Agro Raya Tbk</t>
        </is>
      </c>
      <c r="B2359" t="inlineStr">
        <is>
          <t>JARR_2024_AR.pdf</t>
        </is>
      </c>
      <c r="C2359" t="n">
        <v>2024</v>
      </c>
      <c r="D2359" t="inlineStr">
        <is>
          <t>Other</t>
        </is>
      </c>
      <c r="E2359" t="inlineStr">
        <is>
          <t>Indonesia Biodiesel Allocation 2024</t>
        </is>
      </c>
      <c r="F2359" t="n">
        <v>13410000</v>
      </c>
      <c r="G2359" t="inlineStr">
        <is>
          <t>KL</t>
        </is>
      </c>
      <c r="H2359" t="n">
        <v>92</v>
      </c>
      <c r="I2359" t="inlineStr">
        <is>
          <t>pemerintah menetapkan alokasi distribusi biodiesel sebesar 13,41 juta kiloliter (kL) pada tahun 2024</t>
        </is>
      </c>
      <c r="J2359" t="inlineStr">
        <is>
          <t>High</t>
        </is>
      </c>
      <c r="M2359" t="inlineStr">
        <is>
          <t>LLM</t>
        </is>
      </c>
      <c r="N2359" t="inlineStr">
        <is>
          <t>2026-04-18</t>
        </is>
      </c>
      <c r="O2359" t="inlineStr">
        <is>
          <t>AI</t>
        </is>
      </c>
    </row>
    <row r="2360">
      <c r="A2360" t="inlineStr">
        <is>
          <t>PT Jhonlin Agro Raya Tbk</t>
        </is>
      </c>
      <c r="B2360" t="inlineStr">
        <is>
          <t>JARR_2024_AR.pdf</t>
        </is>
      </c>
      <c r="C2360" t="n">
        <v>2024</v>
      </c>
      <c r="D2360" t="inlineStr">
        <is>
          <t>Other</t>
        </is>
      </c>
      <c r="E2360" t="inlineStr">
        <is>
          <t>Indonesia Biodiesel Production 2024</t>
        </is>
      </c>
      <c r="F2360" t="n">
        <v>13150000</v>
      </c>
      <c r="G2360" t="inlineStr">
        <is>
          <t>KL</t>
        </is>
      </c>
      <c r="H2360" t="n">
        <v>92</v>
      </c>
      <c r="I2360" t="inlineStr">
        <is>
          <t>Selama tahun 2024, produksi biodiesel Indonesia tercatat mencapai 13,15 juta kL</t>
        </is>
      </c>
      <c r="J2360" t="inlineStr">
        <is>
          <t>High</t>
        </is>
      </c>
      <c r="M2360" t="inlineStr">
        <is>
          <t>LLM</t>
        </is>
      </c>
      <c r="N2360" t="inlineStr">
        <is>
          <t>2026-04-18</t>
        </is>
      </c>
      <c r="O2360" t="inlineStr">
        <is>
          <t>AI</t>
        </is>
      </c>
    </row>
    <row r="2361">
      <c r="A2361" t="inlineStr">
        <is>
          <t>PT Jhonlin Agro Raya Tbk</t>
        </is>
      </c>
      <c r="B2361" t="inlineStr">
        <is>
          <t>JARR_2024_AR.pdf</t>
        </is>
      </c>
      <c r="C2361" t="n">
        <v>2024</v>
      </c>
      <c r="D2361" t="inlineStr">
        <is>
          <t>Other</t>
        </is>
      </c>
      <c r="E2361" t="inlineStr">
        <is>
          <t>B35 Program</t>
        </is>
      </c>
      <c r="F2361" t="inlineStr">
        <is>
          <t>Active throughout 2024; transition to B40 planned</t>
        </is>
      </c>
      <c r="G2361" t="inlineStr">
        <is>
          <t>text</t>
        </is>
      </c>
      <c r="H2361" t="n">
        <v>92</v>
      </c>
      <c r="I2361" t="inlineStr">
        <is>
          <t>pemerintah meningkatkan kadar pencampuran biodiesel menjadi 35% (B35) sejak Februari 2023 dan mempertahankan nya sepanjang tahun 2024</t>
        </is>
      </c>
      <c r="J2361" t="inlineStr">
        <is>
          <t>High</t>
        </is>
      </c>
      <c r="M2361" t="inlineStr">
        <is>
          <t>LLM</t>
        </is>
      </c>
      <c r="N2361" t="inlineStr">
        <is>
          <t>2026-04-18</t>
        </is>
      </c>
      <c r="O2361" t="inlineStr">
        <is>
          <t>AI</t>
        </is>
      </c>
    </row>
    <row r="2362">
      <c r="A2362" t="inlineStr">
        <is>
          <t>PT Jaya Agra Wattie Tbk</t>
        </is>
      </c>
      <c r="B2362" t="inlineStr">
        <is>
          <t>JAWA_2022_AR.pdf</t>
        </is>
      </c>
      <c r="C2362" t="n">
        <v>2022</v>
      </c>
      <c r="D2362" t="inlineStr">
        <is>
          <t>Company</t>
        </is>
      </c>
      <c r="E2362" t="inlineStr">
        <is>
          <t>Company Name</t>
        </is>
      </c>
      <c r="F2362" t="inlineStr">
        <is>
          <t>PT Jaya Agra Wattie Tbk</t>
        </is>
      </c>
      <c r="G2362" t="inlineStr">
        <is>
          <t>text</t>
        </is>
      </c>
      <c r="H2362" t="n">
        <v>3</v>
      </c>
      <c r="I2362" t="inlineStr">
        <is>
          <t>PT Jaya Agra Wattie, Tbk</t>
        </is>
      </c>
      <c r="J2362" t="inlineStr">
        <is>
          <t>High</t>
        </is>
      </c>
      <c r="M2362" t="inlineStr">
        <is>
          <t>LLM</t>
        </is>
      </c>
      <c r="N2362" t="inlineStr">
        <is>
          <t>2026-04-18</t>
        </is>
      </c>
      <c r="O2362" t="inlineStr">
        <is>
          <t>AI</t>
        </is>
      </c>
    </row>
    <row r="2363">
      <c r="A2363" t="inlineStr">
        <is>
          <t>PT Jaya Agra Wattie Tbk</t>
        </is>
      </c>
      <c r="B2363" t="inlineStr">
        <is>
          <t>JAWA_2022_AR.pdf</t>
        </is>
      </c>
      <c r="C2363" t="n">
        <v>2022</v>
      </c>
      <c r="D2363" t="inlineStr">
        <is>
          <t>Company</t>
        </is>
      </c>
      <c r="E2363" t="inlineStr">
        <is>
          <t>Ticker</t>
        </is>
      </c>
      <c r="F2363" t="inlineStr">
        <is>
          <t>JAWA</t>
        </is>
      </c>
      <c r="G2363" t="inlineStr">
        <is>
          <t>text</t>
        </is>
      </c>
      <c r="H2363" t="n">
        <v>9</v>
      </c>
      <c r="I2363" t="inlineStr">
        <is>
          <t>kode saham JAWA</t>
        </is>
      </c>
      <c r="J2363" t="inlineStr">
        <is>
          <t>High</t>
        </is>
      </c>
      <c r="M2363" t="inlineStr">
        <is>
          <t>LLM</t>
        </is>
      </c>
      <c r="N2363" t="inlineStr">
        <is>
          <t>2026-04-18</t>
        </is>
      </c>
      <c r="O2363" t="inlineStr">
        <is>
          <t>AI</t>
        </is>
      </c>
    </row>
    <row r="2364">
      <c r="A2364" t="inlineStr">
        <is>
          <t>PT Jaya Agra Wattie Tbk</t>
        </is>
      </c>
      <c r="B2364" t="inlineStr">
        <is>
          <t>JAWA_2022_AR.pdf</t>
        </is>
      </c>
      <c r="C2364" t="n">
        <v>2022</v>
      </c>
      <c r="D2364" t="inlineStr">
        <is>
          <t>Company</t>
        </is>
      </c>
      <c r="E2364" t="inlineStr">
        <is>
          <t>Controlling Shareholder</t>
        </is>
      </c>
      <c r="F2364" t="inlineStr">
        <is>
          <t>PT Sarana Agro Investama 80.00%</t>
        </is>
      </c>
      <c r="G2364" t="inlineStr">
        <is>
          <t>%</t>
        </is>
      </c>
      <c r="H2364" t="n">
        <v>66</v>
      </c>
      <c r="I2364" t="inlineStr">
        <is>
          <t>PT Sarana Agro Investama 3,019,748,385 80.00%</t>
        </is>
      </c>
      <c r="J2364" t="inlineStr">
        <is>
          <t>High</t>
        </is>
      </c>
      <c r="M2364" t="inlineStr">
        <is>
          <t>LLM</t>
        </is>
      </c>
      <c r="N2364" t="inlineStr">
        <is>
          <t>2026-04-18</t>
        </is>
      </c>
      <c r="O2364" t="inlineStr">
        <is>
          <t>AI</t>
        </is>
      </c>
    </row>
    <row r="2365">
      <c r="A2365" t="inlineStr">
        <is>
          <t>PT Jaya Agra Wattie Tbk</t>
        </is>
      </c>
      <c r="B2365" t="inlineStr">
        <is>
          <t>JAWA_2022_AR.pdf</t>
        </is>
      </c>
      <c r="C2365" t="n">
        <v>2022</v>
      </c>
      <c r="D2365" t="inlineStr">
        <is>
          <t>Company</t>
        </is>
      </c>
      <c r="E2365" t="inlineStr">
        <is>
          <t>Public Float</t>
        </is>
      </c>
      <c r="F2365" t="n">
        <v>0.19996</v>
      </c>
      <c r="G2365" t="inlineStr">
        <is>
          <t>%</t>
        </is>
      </c>
      <c r="H2365" t="n">
        <v>66</v>
      </c>
      <c r="I2365" t="inlineStr">
        <is>
          <t>Masyarakat 754,804,615 19.996%</t>
        </is>
      </c>
      <c r="J2365" t="inlineStr">
        <is>
          <t>High</t>
        </is>
      </c>
      <c r="M2365" t="inlineStr">
        <is>
          <t>LLM</t>
        </is>
      </c>
      <c r="N2365" t="inlineStr">
        <is>
          <t>2026-04-18</t>
        </is>
      </c>
      <c r="O2365" t="inlineStr">
        <is>
          <t>AI</t>
        </is>
      </c>
    </row>
    <row r="2366">
      <c r="A2366" t="inlineStr">
        <is>
          <t>PT Jaya Agra Wattie Tbk</t>
        </is>
      </c>
      <c r="B2366" t="inlineStr">
        <is>
          <t>JAWA_2022_AR.pdf</t>
        </is>
      </c>
      <c r="C2366" t="n">
        <v>2022</v>
      </c>
      <c r="D2366" t="inlineStr">
        <is>
          <t>Company</t>
        </is>
      </c>
      <c r="E2366" t="inlineStr">
        <is>
          <t>Rohadi Shares</t>
        </is>
      </c>
      <c r="F2366" t="n">
        <v>132500</v>
      </c>
      <c r="G2366" t="inlineStr">
        <is>
          <t>shares</t>
        </is>
      </c>
      <c r="H2366" t="n">
        <v>66</v>
      </c>
      <c r="I2366" t="inlineStr">
        <is>
          <t>Rohadi 132,500 0.004%</t>
        </is>
      </c>
      <c r="J2366" t="inlineStr">
        <is>
          <t>High</t>
        </is>
      </c>
      <c r="M2366" t="inlineStr">
        <is>
          <t>LLM</t>
        </is>
      </c>
      <c r="N2366" t="inlineStr">
        <is>
          <t>2026-04-18</t>
        </is>
      </c>
      <c r="O2366" t="inlineStr">
        <is>
          <t>AI</t>
        </is>
      </c>
    </row>
    <row r="2367">
      <c r="A2367" t="inlineStr">
        <is>
          <t>PT Jaya Agra Wattie Tbk</t>
        </is>
      </c>
      <c r="B2367" t="inlineStr">
        <is>
          <t>JAWA_2022_AR.pdf</t>
        </is>
      </c>
      <c r="C2367" t="n">
        <v>2022</v>
      </c>
      <c r="D2367" t="inlineStr">
        <is>
          <t>Company</t>
        </is>
      </c>
      <c r="E2367" t="inlineStr">
        <is>
          <t>Total Shares</t>
        </is>
      </c>
      <c r="F2367" t="n">
        <v>3774685500</v>
      </c>
      <c r="G2367" t="inlineStr">
        <is>
          <t>shares</t>
        </is>
      </c>
      <c r="H2367" t="n">
        <v>10</v>
      </c>
      <c r="I2367" t="inlineStr">
        <is>
          <t>3,774,685,500 shares total outstanding</t>
        </is>
      </c>
      <c r="J2367" t="inlineStr">
        <is>
          <t>High</t>
        </is>
      </c>
      <c r="M2367" t="inlineStr">
        <is>
          <t>LLM</t>
        </is>
      </c>
      <c r="N2367" t="inlineStr">
        <is>
          <t>2026-04-18</t>
        </is>
      </c>
      <c r="O2367" t="inlineStr">
        <is>
          <t>AI</t>
        </is>
      </c>
    </row>
    <row r="2368">
      <c r="A2368" t="inlineStr">
        <is>
          <t>PT Jaya Agra Wattie Tbk</t>
        </is>
      </c>
      <c r="B2368" t="inlineStr">
        <is>
          <t>JAWA_2022_AR.pdf</t>
        </is>
      </c>
      <c r="C2368" t="n">
        <v>2022</v>
      </c>
      <c r="D2368" t="inlineStr">
        <is>
          <t>Company</t>
        </is>
      </c>
      <c r="E2368" t="inlineStr">
        <is>
          <t>EGMS 19 Dec 2022 - SAI Loan</t>
        </is>
      </c>
      <c r="F2368" t="n">
        <v>1000</v>
      </c>
      <c r="G2368" t="inlineStr">
        <is>
          <t>IDR bn</t>
        </is>
      </c>
      <c r="H2368" t="n">
        <v>12</v>
      </c>
      <c r="I2368" t="inlineStr">
        <is>
          <t>EGMS approved Rp1 trillion zero-interest loan from PT Sarana Agro Investama</t>
        </is>
      </c>
      <c r="J2368" t="inlineStr">
        <is>
          <t>High</t>
        </is>
      </c>
      <c r="M2368" t="inlineStr">
        <is>
          <t>LLM</t>
        </is>
      </c>
      <c r="N2368" t="inlineStr">
        <is>
          <t>2026-04-18</t>
        </is>
      </c>
      <c r="O2368" t="inlineStr">
        <is>
          <t>AI</t>
        </is>
      </c>
    </row>
    <row r="2369">
      <c r="A2369" t="inlineStr">
        <is>
          <t>PT Jaya Agra Wattie Tbk</t>
        </is>
      </c>
      <c r="B2369" t="inlineStr">
        <is>
          <t>JAWA_2022_AR.pdf</t>
        </is>
      </c>
      <c r="C2369" t="n">
        <v>2022</v>
      </c>
      <c r="D2369" t="inlineStr">
        <is>
          <t>Company</t>
        </is>
      </c>
      <c r="E2369" t="inlineStr">
        <is>
          <t>Suspensions</t>
        </is>
      </c>
      <c r="F2369" t="inlineStr">
        <is>
          <t>None in 2022</t>
        </is>
      </c>
      <c r="G2369" t="inlineStr">
        <is>
          <t>text</t>
        </is>
      </c>
      <c r="H2369" t="n">
        <v>11</v>
      </c>
      <c r="I2369" t="inlineStr">
        <is>
          <t>Tidak ada suspensi terhadap saham Perseroan selama tahun 2022</t>
        </is>
      </c>
      <c r="J2369" t="inlineStr">
        <is>
          <t>High</t>
        </is>
      </c>
      <c r="M2369" t="inlineStr">
        <is>
          <t>LLM</t>
        </is>
      </c>
      <c r="N2369" t="inlineStr">
        <is>
          <t>2026-04-18</t>
        </is>
      </c>
      <c r="O2369" t="inlineStr">
        <is>
          <t>AI</t>
        </is>
      </c>
    </row>
    <row r="2370">
      <c r="A2370" t="inlineStr">
        <is>
          <t>PT Jaya Agra Wattie Tbk</t>
        </is>
      </c>
      <c r="B2370" t="inlineStr">
        <is>
          <t>JAWA_2022_AR.pdf</t>
        </is>
      </c>
      <c r="C2370" t="n">
        <v>2022</v>
      </c>
      <c r="D2370" t="inlineStr">
        <is>
          <t>Financial</t>
        </is>
      </c>
      <c r="E2370" t="inlineStr">
        <is>
          <t>Net Sales</t>
        </is>
      </c>
      <c r="F2370" t="n">
        <v>972</v>
      </c>
      <c r="G2370" t="inlineStr">
        <is>
          <t>IDR bn</t>
        </is>
      </c>
      <c r="H2370" t="n">
        <v>9</v>
      </c>
      <c r="I2370" t="inlineStr">
        <is>
          <t>Penjualan Bersih 971,542 (Rp juta)</t>
        </is>
      </c>
      <c r="J2370" t="inlineStr">
        <is>
          <t>High</t>
        </is>
      </c>
      <c r="M2370" t="inlineStr">
        <is>
          <t>LLM</t>
        </is>
      </c>
      <c r="N2370" t="inlineStr">
        <is>
          <t>2026-04-18</t>
        </is>
      </c>
      <c r="O2370" t="inlineStr">
        <is>
          <t>AI</t>
        </is>
      </c>
    </row>
    <row r="2371">
      <c r="A2371" t="inlineStr">
        <is>
          <t>PT Jaya Agra Wattie Tbk</t>
        </is>
      </c>
      <c r="B2371" t="inlineStr">
        <is>
          <t>JAWA_2022_AR.pdf</t>
        </is>
      </c>
      <c r="C2371" t="n">
        <v>2022</v>
      </c>
      <c r="D2371" t="inlineStr">
        <is>
          <t>Financial</t>
        </is>
      </c>
      <c r="E2371" t="inlineStr">
        <is>
          <t>Gross Profit</t>
        </is>
      </c>
      <c r="F2371" t="n">
        <v>27</v>
      </c>
      <c r="G2371" t="inlineStr">
        <is>
          <t>IDR bn</t>
        </is>
      </c>
      <c r="H2371" t="n">
        <v>9</v>
      </c>
      <c r="I2371" t="inlineStr">
        <is>
          <t>Laba Kotor 27,297</t>
        </is>
      </c>
      <c r="J2371" t="inlineStr">
        <is>
          <t>High</t>
        </is>
      </c>
      <c r="M2371" t="inlineStr">
        <is>
          <t>LLM</t>
        </is>
      </c>
      <c r="N2371" t="inlineStr">
        <is>
          <t>2026-04-18</t>
        </is>
      </c>
      <c r="O2371" t="inlineStr">
        <is>
          <t>AI</t>
        </is>
      </c>
    </row>
    <row r="2372">
      <c r="A2372" t="inlineStr">
        <is>
          <t>PT Jaya Agra Wattie Tbk</t>
        </is>
      </c>
      <c r="B2372" t="inlineStr">
        <is>
          <t>JAWA_2022_AR.pdf</t>
        </is>
      </c>
      <c r="C2372" t="n">
        <v>2022</v>
      </c>
      <c r="D2372" t="inlineStr">
        <is>
          <t>Financial</t>
        </is>
      </c>
      <c r="E2372" t="inlineStr">
        <is>
          <t>COGS</t>
        </is>
      </c>
      <c r="F2372" t="n">
        <v>944</v>
      </c>
      <c r="G2372" t="inlineStr">
        <is>
          <t>IDR bn</t>
        </is>
      </c>
      <c r="H2372" t="n">
        <v>90</v>
      </c>
      <c r="I2372" t="inlineStr">
        <is>
          <t>Beban Pokok Penjualan (944,245)</t>
        </is>
      </c>
      <c r="J2372" t="inlineStr">
        <is>
          <t>High</t>
        </is>
      </c>
      <c r="M2372" t="inlineStr">
        <is>
          <t>LLM</t>
        </is>
      </c>
      <c r="N2372" t="inlineStr">
        <is>
          <t>2026-04-18</t>
        </is>
      </c>
      <c r="O2372" t="inlineStr">
        <is>
          <t>AI</t>
        </is>
      </c>
    </row>
    <row r="2373">
      <c r="A2373" t="inlineStr">
        <is>
          <t>PT Jaya Agra Wattie Tbk</t>
        </is>
      </c>
      <c r="B2373" t="inlineStr">
        <is>
          <t>JAWA_2022_AR.pdf</t>
        </is>
      </c>
      <c r="C2373" t="n">
        <v>2022</v>
      </c>
      <c r="D2373" t="inlineStr">
        <is>
          <t>Financial</t>
        </is>
      </c>
      <c r="E2373" t="inlineStr">
        <is>
          <t>Operating Expense</t>
        </is>
      </c>
      <c r="F2373" t="n">
        <v>57</v>
      </c>
      <c r="G2373" t="inlineStr">
        <is>
          <t>IDR bn</t>
        </is>
      </c>
      <c r="H2373" t="n">
        <v>90</v>
      </c>
      <c r="I2373" t="inlineStr">
        <is>
          <t>Beban Usaha (57,335)</t>
        </is>
      </c>
      <c r="J2373" t="inlineStr">
        <is>
          <t>High</t>
        </is>
      </c>
      <c r="M2373" t="inlineStr">
        <is>
          <t>LLM</t>
        </is>
      </c>
      <c r="N2373" t="inlineStr">
        <is>
          <t>2026-04-18</t>
        </is>
      </c>
      <c r="O2373" t="inlineStr">
        <is>
          <t>AI</t>
        </is>
      </c>
    </row>
    <row r="2374">
      <c r="A2374" t="inlineStr">
        <is>
          <t>PT Jaya Agra Wattie Tbk</t>
        </is>
      </c>
      <c r="B2374" t="inlineStr">
        <is>
          <t>JAWA_2022_AR.pdf</t>
        </is>
      </c>
      <c r="C2374" t="n">
        <v>2022</v>
      </c>
      <c r="D2374" t="inlineStr">
        <is>
          <t>Financial</t>
        </is>
      </c>
      <c r="E2374" t="inlineStr">
        <is>
          <t>EBIT (Operating Loss)</t>
        </is>
      </c>
      <c r="F2374" t="n">
        <v>-30</v>
      </c>
      <c r="G2374" t="inlineStr">
        <is>
          <t>IDR bn</t>
        </is>
      </c>
      <c r="H2374" t="n">
        <v>90</v>
      </c>
      <c r="I2374" t="inlineStr">
        <is>
          <t>Calculated: GP 27,297 - OpEx 57,335 = -30,038 (operating loss)</t>
        </is>
      </c>
      <c r="J2374" t="inlineStr">
        <is>
          <t>High</t>
        </is>
      </c>
      <c r="M2374" t="inlineStr">
        <is>
          <t>LLM</t>
        </is>
      </c>
      <c r="N2374" t="inlineStr">
        <is>
          <t>2026-04-18</t>
        </is>
      </c>
      <c r="O2374" t="inlineStr">
        <is>
          <t>AI</t>
        </is>
      </c>
    </row>
    <row r="2375">
      <c r="A2375" t="inlineStr">
        <is>
          <t>PT Jaya Agra Wattie Tbk</t>
        </is>
      </c>
      <c r="B2375" t="inlineStr">
        <is>
          <t>JAWA_2022_AR.pdf</t>
        </is>
      </c>
      <c r="C2375" t="n">
        <v>2022</v>
      </c>
      <c r="D2375" t="inlineStr">
        <is>
          <t>Financial</t>
        </is>
      </c>
      <c r="E2375" t="inlineStr">
        <is>
          <t>Net Loss for Year</t>
        </is>
      </c>
      <c r="F2375" t="n">
        <v>-302</v>
      </c>
      <c r="G2375" t="inlineStr">
        <is>
          <t>IDR bn</t>
        </is>
      </c>
      <c r="H2375" t="n">
        <v>9</v>
      </c>
      <c r="I2375" t="inlineStr">
        <is>
          <t>Laba (Rugi) Tahun Berjalan (301,813)</t>
        </is>
      </c>
      <c r="J2375" t="inlineStr">
        <is>
          <t>High</t>
        </is>
      </c>
      <c r="M2375" t="inlineStr">
        <is>
          <t>LLM</t>
        </is>
      </c>
      <c r="N2375" t="inlineStr">
        <is>
          <t>2026-04-18</t>
        </is>
      </c>
      <c r="O2375" t="inlineStr">
        <is>
          <t>AI</t>
        </is>
      </c>
    </row>
    <row r="2376">
      <c r="A2376" t="inlineStr">
        <is>
          <t>PT Jaya Agra Wattie Tbk</t>
        </is>
      </c>
      <c r="B2376" t="inlineStr">
        <is>
          <t>JAWA_2022_AR.pdf</t>
        </is>
      </c>
      <c r="C2376" t="n">
        <v>2022</v>
      </c>
      <c r="D2376" t="inlineStr">
        <is>
          <t>Financial</t>
        </is>
      </c>
      <c r="E2376" t="inlineStr">
        <is>
          <t>Loss to Parent</t>
        </is>
      </c>
      <c r="F2376" t="n">
        <v>-300</v>
      </c>
      <c r="G2376" t="inlineStr">
        <is>
          <t>IDR bn</t>
        </is>
      </c>
      <c r="H2376" t="n">
        <v>9</v>
      </c>
      <c r="I2376" t="inlineStr">
        <is>
          <t>Pemilik Entitas Induk (300,206)</t>
        </is>
      </c>
      <c r="J2376" t="inlineStr">
        <is>
          <t>High</t>
        </is>
      </c>
      <c r="M2376" t="inlineStr">
        <is>
          <t>LLM</t>
        </is>
      </c>
      <c r="N2376" t="inlineStr">
        <is>
          <t>2026-04-18</t>
        </is>
      </c>
      <c r="O2376" t="inlineStr">
        <is>
          <t>AI</t>
        </is>
      </c>
    </row>
    <row r="2377">
      <c r="A2377" t="inlineStr">
        <is>
          <t>PT Jaya Agra Wattie Tbk</t>
        </is>
      </c>
      <c r="B2377" t="inlineStr">
        <is>
          <t>JAWA_2022_AR.pdf</t>
        </is>
      </c>
      <c r="C2377" t="n">
        <v>2022</v>
      </c>
      <c r="D2377" t="inlineStr">
        <is>
          <t>Financial</t>
        </is>
      </c>
      <c r="E2377" t="inlineStr">
        <is>
          <t>EPS</t>
        </is>
      </c>
      <c r="F2377" t="n">
        <v>-80</v>
      </c>
      <c r="G2377" t="inlineStr">
        <is>
          <t>Rp/share</t>
        </is>
      </c>
      <c r="H2377" t="n">
        <v>9</v>
      </c>
      <c r="I2377" t="inlineStr">
        <is>
          <t>Laba (Rugi) per Saham (80)</t>
        </is>
      </c>
      <c r="J2377" t="inlineStr">
        <is>
          <t>High</t>
        </is>
      </c>
      <c r="M2377" t="inlineStr">
        <is>
          <t>LLM</t>
        </is>
      </c>
      <c r="N2377" t="inlineStr">
        <is>
          <t>2026-04-18</t>
        </is>
      </c>
      <c r="O2377" t="inlineStr">
        <is>
          <t>AI</t>
        </is>
      </c>
    </row>
    <row r="2378">
      <c r="A2378" t="inlineStr">
        <is>
          <t>PT Jaya Agra Wattie Tbk</t>
        </is>
      </c>
      <c r="B2378" t="inlineStr">
        <is>
          <t>JAWA_2022_AR.pdf</t>
        </is>
      </c>
      <c r="C2378" t="n">
        <v>2022</v>
      </c>
      <c r="D2378" t="inlineStr">
        <is>
          <t>Financial</t>
        </is>
      </c>
      <c r="E2378" t="inlineStr">
        <is>
          <t>Total Assets</t>
        </is>
      </c>
      <c r="F2378" t="n">
        <v>3590</v>
      </c>
      <c r="G2378" t="inlineStr">
        <is>
          <t>IDR bn</t>
        </is>
      </c>
      <c r="H2378" t="n">
        <v>9</v>
      </c>
      <c r="I2378" t="inlineStr">
        <is>
          <t>Total Aset 3,589,642</t>
        </is>
      </c>
      <c r="J2378" t="inlineStr">
        <is>
          <t>High</t>
        </is>
      </c>
      <c r="M2378" t="inlineStr">
        <is>
          <t>LLM</t>
        </is>
      </c>
      <c r="N2378" t="inlineStr">
        <is>
          <t>2026-04-18</t>
        </is>
      </c>
      <c r="O2378" t="inlineStr">
        <is>
          <t>AI</t>
        </is>
      </c>
    </row>
    <row r="2379">
      <c r="A2379" t="inlineStr">
        <is>
          <t>PT Jaya Agra Wattie Tbk</t>
        </is>
      </c>
      <c r="B2379" t="inlineStr">
        <is>
          <t>JAWA_2022_AR.pdf</t>
        </is>
      </c>
      <c r="C2379" t="n">
        <v>2022</v>
      </c>
      <c r="D2379" t="inlineStr">
        <is>
          <t>Financial</t>
        </is>
      </c>
      <c r="E2379" t="inlineStr">
        <is>
          <t>Current Assets</t>
        </is>
      </c>
      <c r="F2379" t="n">
        <v>262</v>
      </c>
      <c r="G2379" t="inlineStr">
        <is>
          <t>IDR bn</t>
        </is>
      </c>
      <c r="H2379" t="n">
        <v>89</v>
      </c>
      <c r="I2379" t="inlineStr">
        <is>
          <t>Total Aset Lancar 262,493</t>
        </is>
      </c>
      <c r="J2379" t="inlineStr">
        <is>
          <t>High</t>
        </is>
      </c>
      <c r="M2379" t="inlineStr">
        <is>
          <t>LLM</t>
        </is>
      </c>
      <c r="N2379" t="inlineStr">
        <is>
          <t>2026-04-18</t>
        </is>
      </c>
      <c r="O2379" t="inlineStr">
        <is>
          <t>AI</t>
        </is>
      </c>
    </row>
    <row r="2380">
      <c r="A2380" t="inlineStr">
        <is>
          <t>PT Jaya Agra Wattie Tbk</t>
        </is>
      </c>
      <c r="B2380" t="inlineStr">
        <is>
          <t>JAWA_2022_AR.pdf</t>
        </is>
      </c>
      <c r="C2380" t="n">
        <v>2022</v>
      </c>
      <c r="D2380" t="inlineStr">
        <is>
          <t>Financial</t>
        </is>
      </c>
      <c r="E2380" t="inlineStr">
        <is>
          <t>Non-Current Assets</t>
        </is>
      </c>
      <c r="F2380" t="n">
        <v>3327</v>
      </c>
      <c r="G2380" t="inlineStr">
        <is>
          <t>IDR bn</t>
        </is>
      </c>
      <c r="H2380" t="n">
        <v>89</v>
      </c>
      <c r="I2380" t="inlineStr">
        <is>
          <t>Total Aset Tidak Lancar 3,327,149</t>
        </is>
      </c>
      <c r="J2380" t="inlineStr">
        <is>
          <t>High</t>
        </is>
      </c>
      <c r="M2380" t="inlineStr">
        <is>
          <t>LLM</t>
        </is>
      </c>
      <c r="N2380" t="inlineStr">
        <is>
          <t>2026-04-18</t>
        </is>
      </c>
      <c r="O2380" t="inlineStr">
        <is>
          <t>AI</t>
        </is>
      </c>
    </row>
    <row r="2381">
      <c r="A2381" t="inlineStr">
        <is>
          <t>PT Jaya Agra Wattie Tbk</t>
        </is>
      </c>
      <c r="B2381" t="inlineStr">
        <is>
          <t>JAWA_2022_AR.pdf</t>
        </is>
      </c>
      <c r="C2381" t="n">
        <v>2022</v>
      </c>
      <c r="D2381" t="inlineStr">
        <is>
          <t>Financial</t>
        </is>
      </c>
      <c r="E2381" t="inlineStr">
        <is>
          <t>Total Liabilities</t>
        </is>
      </c>
      <c r="F2381" t="n">
        <v>3471</v>
      </c>
      <c r="G2381" t="inlineStr">
        <is>
          <t>IDR bn</t>
        </is>
      </c>
      <c r="H2381" t="n">
        <v>9</v>
      </c>
      <c r="I2381" t="inlineStr">
        <is>
          <t>Total Liabilitas 3,471,237</t>
        </is>
      </c>
      <c r="J2381" t="inlineStr">
        <is>
          <t>High</t>
        </is>
      </c>
      <c r="M2381" t="inlineStr">
        <is>
          <t>LLM</t>
        </is>
      </c>
      <c r="N2381" t="inlineStr">
        <is>
          <t>2026-04-18</t>
        </is>
      </c>
      <c r="O2381" t="inlineStr">
        <is>
          <t>AI</t>
        </is>
      </c>
    </row>
    <row r="2382">
      <c r="A2382" t="inlineStr">
        <is>
          <t>PT Jaya Agra Wattie Tbk</t>
        </is>
      </c>
      <c r="B2382" t="inlineStr">
        <is>
          <t>JAWA_2022_AR.pdf</t>
        </is>
      </c>
      <c r="C2382" t="n">
        <v>2022</v>
      </c>
      <c r="D2382" t="inlineStr">
        <is>
          <t>Financial</t>
        </is>
      </c>
      <c r="E2382" t="inlineStr">
        <is>
          <t>Current Liabilities</t>
        </is>
      </c>
      <c r="F2382" t="n">
        <v>656</v>
      </c>
      <c r="G2382" t="inlineStr">
        <is>
          <t>IDR bn</t>
        </is>
      </c>
      <c r="H2382" t="n">
        <v>89</v>
      </c>
      <c r="I2382" t="inlineStr">
        <is>
          <t>Total Liabilitas Jangka Pendek 655,779</t>
        </is>
      </c>
      <c r="J2382" t="inlineStr">
        <is>
          <t>High</t>
        </is>
      </c>
      <c r="M2382" t="inlineStr">
        <is>
          <t>LLM</t>
        </is>
      </c>
      <c r="N2382" t="inlineStr">
        <is>
          <t>2026-04-18</t>
        </is>
      </c>
      <c r="O2382" t="inlineStr">
        <is>
          <t>AI</t>
        </is>
      </c>
    </row>
    <row r="2383">
      <c r="A2383" t="inlineStr">
        <is>
          <t>PT Jaya Agra Wattie Tbk</t>
        </is>
      </c>
      <c r="B2383" t="inlineStr">
        <is>
          <t>JAWA_2022_AR.pdf</t>
        </is>
      </c>
      <c r="C2383" t="n">
        <v>2022</v>
      </c>
      <c r="D2383" t="inlineStr">
        <is>
          <t>Financial</t>
        </is>
      </c>
      <c r="E2383" t="inlineStr">
        <is>
          <t>Long-term Liabilities</t>
        </is>
      </c>
      <c r="F2383" t="n">
        <v>2815</v>
      </c>
      <c r="G2383" t="inlineStr">
        <is>
          <t>IDR bn</t>
        </is>
      </c>
      <c r="H2383" t="n">
        <v>89</v>
      </c>
      <c r="I2383" t="inlineStr">
        <is>
          <t>Total Liabilitas Jangka Panjang 2,815,458</t>
        </is>
      </c>
      <c r="J2383" t="inlineStr">
        <is>
          <t>High</t>
        </is>
      </c>
      <c r="M2383" t="inlineStr">
        <is>
          <t>LLM</t>
        </is>
      </c>
      <c r="N2383" t="inlineStr">
        <is>
          <t>2026-04-18</t>
        </is>
      </c>
      <c r="O2383" t="inlineStr">
        <is>
          <t>AI</t>
        </is>
      </c>
    </row>
    <row r="2384">
      <c r="A2384" t="inlineStr">
        <is>
          <t>PT Jaya Agra Wattie Tbk</t>
        </is>
      </c>
      <c r="B2384" t="inlineStr">
        <is>
          <t>JAWA_2022_AR.pdf</t>
        </is>
      </c>
      <c r="C2384" t="n">
        <v>2022</v>
      </c>
      <c r="D2384" t="inlineStr">
        <is>
          <t>Financial</t>
        </is>
      </c>
      <c r="E2384" t="inlineStr">
        <is>
          <t>Total Equity</t>
        </is>
      </c>
      <c r="F2384" t="n">
        <v>118</v>
      </c>
      <c r="G2384" t="inlineStr">
        <is>
          <t>IDR bn</t>
        </is>
      </c>
      <c r="H2384" t="n">
        <v>9</v>
      </c>
      <c r="I2384" t="inlineStr">
        <is>
          <t>Total Ekuitas 118,405</t>
        </is>
      </c>
      <c r="J2384" t="inlineStr">
        <is>
          <t>High</t>
        </is>
      </c>
      <c r="M2384" t="inlineStr">
        <is>
          <t>LLM</t>
        </is>
      </c>
      <c r="N2384" t="inlineStr">
        <is>
          <t>2026-04-18</t>
        </is>
      </c>
      <c r="O2384" t="inlineStr">
        <is>
          <t>AI</t>
        </is>
      </c>
    </row>
    <row r="2385">
      <c r="A2385" t="inlineStr">
        <is>
          <t>PT Jaya Agra Wattie Tbk</t>
        </is>
      </c>
      <c r="B2385" t="inlineStr">
        <is>
          <t>JAWA_2022_AR.pdf</t>
        </is>
      </c>
      <c r="C2385" t="n">
        <v>2022</v>
      </c>
      <c r="D2385" t="inlineStr">
        <is>
          <t>Financial</t>
        </is>
      </c>
      <c r="E2385" t="inlineStr">
        <is>
          <t>Cash &amp; Bank</t>
        </is>
      </c>
      <c r="F2385" t="n">
        <v>1.98</v>
      </c>
      <c r="G2385" t="inlineStr">
        <is>
          <t>IDR bn</t>
        </is>
      </c>
      <c r="H2385" t="n">
        <v>207</v>
      </c>
      <c r="I2385" t="inlineStr">
        <is>
          <t>Kas dan bank 1,982,725,868 (vs 12,756,061,463 in 2021)</t>
        </is>
      </c>
      <c r="J2385" t="inlineStr">
        <is>
          <t>High</t>
        </is>
      </c>
      <c r="M2385" t="inlineStr">
        <is>
          <t>LLM</t>
        </is>
      </c>
      <c r="N2385" t="inlineStr">
        <is>
          <t>2026-04-18</t>
        </is>
      </c>
      <c r="O2385" t="inlineStr">
        <is>
          <t>AI</t>
        </is>
      </c>
    </row>
    <row r="2386">
      <c r="A2386" t="inlineStr">
        <is>
          <t>PT Jaya Agra Wattie Tbk</t>
        </is>
      </c>
      <c r="B2386" t="inlineStr">
        <is>
          <t>JAWA_2022_AR.pdf</t>
        </is>
      </c>
      <c r="C2386" t="n">
        <v>2022</v>
      </c>
      <c r="D2386" t="inlineStr">
        <is>
          <t>Financial</t>
        </is>
      </c>
      <c r="E2386" t="inlineStr">
        <is>
          <t>Short-term Bank Loan</t>
        </is>
      </c>
      <c r="F2386" t="n">
        <v>125</v>
      </c>
      <c r="G2386" t="inlineStr">
        <is>
          <t>IDR bn</t>
        </is>
      </c>
      <c r="H2386" t="n">
        <v>208</v>
      </c>
      <c r="I2386" t="inlineStr">
        <is>
          <t>Utang bank jangka pendek 125,000,000,000</t>
        </is>
      </c>
      <c r="J2386" t="inlineStr">
        <is>
          <t>High</t>
        </is>
      </c>
      <c r="M2386" t="inlineStr">
        <is>
          <t>LLM</t>
        </is>
      </c>
      <c r="N2386" t="inlineStr">
        <is>
          <t>2026-04-18</t>
        </is>
      </c>
      <c r="O2386" t="inlineStr">
        <is>
          <t>AI</t>
        </is>
      </c>
    </row>
    <row r="2387">
      <c r="A2387" t="inlineStr">
        <is>
          <t>PT Jaya Agra Wattie Tbk</t>
        </is>
      </c>
      <c r="B2387" t="inlineStr">
        <is>
          <t>JAWA_2022_AR.pdf</t>
        </is>
      </c>
      <c r="C2387" t="n">
        <v>2022</v>
      </c>
      <c r="D2387" t="inlineStr">
        <is>
          <t>Financial</t>
        </is>
      </c>
      <c r="E2387" t="inlineStr">
        <is>
          <t>Current Portion LT Bank Loan</t>
        </is>
      </c>
      <c r="F2387" t="n">
        <v>279</v>
      </c>
      <c r="G2387" t="inlineStr">
        <is>
          <t>IDR bn</t>
        </is>
      </c>
      <c r="H2387" t="n">
        <v>208</v>
      </c>
      <c r="I2387" t="inlineStr">
        <is>
          <t>Bank loan current maturity 279,309,068,594</t>
        </is>
      </c>
      <c r="J2387" t="inlineStr">
        <is>
          <t>High</t>
        </is>
      </c>
      <c r="M2387" t="inlineStr">
        <is>
          <t>LLM</t>
        </is>
      </c>
      <c r="N2387" t="inlineStr">
        <is>
          <t>2026-04-18</t>
        </is>
      </c>
      <c r="O2387" t="inlineStr">
        <is>
          <t>AI</t>
        </is>
      </c>
    </row>
    <row r="2388">
      <c r="A2388" t="inlineStr">
        <is>
          <t>PT Jaya Agra Wattie Tbk</t>
        </is>
      </c>
      <c r="B2388" t="inlineStr">
        <is>
          <t>JAWA_2022_AR.pdf</t>
        </is>
      </c>
      <c r="C2388" t="n">
        <v>2022</v>
      </c>
      <c r="D2388" t="inlineStr">
        <is>
          <t>Financial</t>
        </is>
      </c>
      <c r="E2388" t="inlineStr">
        <is>
          <t>LT Bank Loan (non-current)</t>
        </is>
      </c>
      <c r="F2388" t="n">
        <v>1831</v>
      </c>
      <c r="G2388" t="inlineStr">
        <is>
          <t>IDR bn</t>
        </is>
      </c>
      <c r="H2388" t="n">
        <v>208</v>
      </c>
      <c r="I2388" t="inlineStr">
        <is>
          <t>Utang bank jangka panjang 1,830,681,955,506</t>
        </is>
      </c>
      <c r="J2388" t="inlineStr">
        <is>
          <t>High</t>
        </is>
      </c>
      <c r="M2388" t="inlineStr">
        <is>
          <t>LLM</t>
        </is>
      </c>
      <c r="N2388" t="inlineStr">
        <is>
          <t>2026-04-18</t>
        </is>
      </c>
      <c r="O2388" t="inlineStr">
        <is>
          <t>AI</t>
        </is>
      </c>
    </row>
    <row r="2389">
      <c r="A2389" t="inlineStr">
        <is>
          <t>PT Jaya Agra Wattie Tbk</t>
        </is>
      </c>
      <c r="B2389" t="inlineStr">
        <is>
          <t>JAWA_2022_AR.pdf</t>
        </is>
      </c>
      <c r="C2389" t="n">
        <v>2022</v>
      </c>
      <c r="D2389" t="inlineStr">
        <is>
          <t>Financial</t>
        </is>
      </c>
      <c r="E2389" t="inlineStr">
        <is>
          <t>Gross Bank Debt (ST+LT)</t>
        </is>
      </c>
      <c r="F2389" t="n">
        <v>2235</v>
      </c>
      <c r="G2389" t="inlineStr">
        <is>
          <t>IDR bn</t>
        </is>
      </c>
      <c r="H2389" t="n">
        <v>280</v>
      </c>
      <c r="I2389" t="inlineStr">
        <is>
          <t>ST 125,000,000,000 + LT 2,109,991,024,100 = Rp2,234.99 bn</t>
        </is>
      </c>
      <c r="J2389" t="inlineStr">
        <is>
          <t>High</t>
        </is>
      </c>
      <c r="M2389" t="inlineStr">
        <is>
          <t>LLM</t>
        </is>
      </c>
      <c r="N2389" t="inlineStr">
        <is>
          <t>2026-04-18</t>
        </is>
      </c>
      <c r="O2389" t="inlineStr">
        <is>
          <t>AI</t>
        </is>
      </c>
    </row>
    <row r="2390">
      <c r="A2390" t="inlineStr">
        <is>
          <t>PT Jaya Agra Wattie Tbk</t>
        </is>
      </c>
      <c r="B2390" t="inlineStr">
        <is>
          <t>JAWA_2022_AR.pdf</t>
        </is>
      </c>
      <c r="C2390" t="n">
        <v>2022</v>
      </c>
      <c r="D2390" t="inlineStr">
        <is>
          <t>Financial</t>
        </is>
      </c>
      <c r="E2390" t="inlineStr">
        <is>
          <t>LT Related Party Loan (SAI)</t>
        </is>
      </c>
      <c r="F2390" t="n">
        <v>950</v>
      </c>
      <c r="G2390" t="inlineStr">
        <is>
          <t>IDR bn</t>
        </is>
      </c>
      <c r="H2390" t="n">
        <v>208</v>
      </c>
      <c r="I2390" t="inlineStr">
        <is>
          <t>Utang lain-lain jangka panjang pihak berelasi 949,858,519,266</t>
        </is>
      </c>
      <c r="J2390" t="inlineStr">
        <is>
          <t>High</t>
        </is>
      </c>
      <c r="M2390" t="inlineStr">
        <is>
          <t>LLM</t>
        </is>
      </c>
      <c r="N2390" t="inlineStr">
        <is>
          <t>2026-04-18</t>
        </is>
      </c>
      <c r="O2390" t="inlineStr">
        <is>
          <t>AI</t>
        </is>
      </c>
    </row>
    <row r="2391">
      <c r="A2391" t="inlineStr">
        <is>
          <t>PT Jaya Agra Wattie Tbk</t>
        </is>
      </c>
      <c r="B2391" t="inlineStr">
        <is>
          <t>JAWA_2022_AR.pdf</t>
        </is>
      </c>
      <c r="C2391" t="n">
        <v>2022</v>
      </c>
      <c r="D2391" t="inlineStr">
        <is>
          <t>Financial</t>
        </is>
      </c>
      <c r="E2391" t="inlineStr">
        <is>
          <t>Inventory</t>
        </is>
      </c>
      <c r="F2391" t="n">
        <v>161</v>
      </c>
      <c r="G2391" t="inlineStr">
        <is>
          <t>IDR bn</t>
        </is>
      </c>
      <c r="H2391" t="n">
        <v>89</v>
      </c>
      <c r="I2391" t="inlineStr">
        <is>
          <t>Persediaan Rp160 miliar</t>
        </is>
      </c>
      <c r="J2391" t="inlineStr">
        <is>
          <t>High</t>
        </is>
      </c>
      <c r="M2391" t="inlineStr">
        <is>
          <t>LLM</t>
        </is>
      </c>
      <c r="N2391" t="inlineStr">
        <is>
          <t>2026-04-18</t>
        </is>
      </c>
      <c r="O2391" t="inlineStr">
        <is>
          <t>AI</t>
        </is>
      </c>
    </row>
    <row r="2392">
      <c r="A2392" t="inlineStr">
        <is>
          <t>PT Jaya Agra Wattie Tbk</t>
        </is>
      </c>
      <c r="B2392" t="inlineStr">
        <is>
          <t>JAWA_2022_AR.pdf</t>
        </is>
      </c>
      <c r="C2392" t="n">
        <v>2022</v>
      </c>
      <c r="D2392" t="inlineStr">
        <is>
          <t>Financial</t>
        </is>
      </c>
      <c r="E2392" t="inlineStr">
        <is>
          <t>Fixed Assets (net)</t>
        </is>
      </c>
      <c r="F2392" t="n">
        <v>793</v>
      </c>
      <c r="G2392" t="inlineStr">
        <is>
          <t>IDR bn</t>
        </is>
      </c>
      <c r="H2392" t="n">
        <v>89</v>
      </c>
      <c r="I2392" t="inlineStr">
        <is>
          <t>Aset Tetap Rp793 miliar</t>
        </is>
      </c>
      <c r="J2392" t="inlineStr">
        <is>
          <t>High</t>
        </is>
      </c>
      <c r="M2392" t="inlineStr">
        <is>
          <t>LLM</t>
        </is>
      </c>
      <c r="N2392" t="inlineStr">
        <is>
          <t>2026-04-18</t>
        </is>
      </c>
      <c r="O2392" t="inlineStr">
        <is>
          <t>AI</t>
        </is>
      </c>
    </row>
    <row r="2393">
      <c r="A2393" t="inlineStr">
        <is>
          <t>PT Jaya Agra Wattie Tbk</t>
        </is>
      </c>
      <c r="B2393" t="inlineStr">
        <is>
          <t>JAWA_2022_AR.pdf</t>
        </is>
      </c>
      <c r="C2393" t="n">
        <v>2022</v>
      </c>
      <c r="D2393" t="inlineStr">
        <is>
          <t>Financial</t>
        </is>
      </c>
      <c r="E2393" t="inlineStr">
        <is>
          <t>Mature Plantations (net)</t>
        </is>
      </c>
      <c r="F2393" t="n">
        <v>1059</v>
      </c>
      <c r="G2393" t="inlineStr">
        <is>
          <t>IDR bn</t>
        </is>
      </c>
      <c r="H2393" t="n">
        <v>207</v>
      </c>
      <c r="I2393" t="inlineStr">
        <is>
          <t>Tanaman menghasilkan - neto 1,059,237,969,295</t>
        </is>
      </c>
      <c r="J2393" t="inlineStr">
        <is>
          <t>High</t>
        </is>
      </c>
      <c r="M2393" t="inlineStr">
        <is>
          <t>LLM</t>
        </is>
      </c>
      <c r="N2393" t="inlineStr">
        <is>
          <t>2026-04-18</t>
        </is>
      </c>
      <c r="O2393" t="inlineStr">
        <is>
          <t>AI</t>
        </is>
      </c>
    </row>
    <row r="2394">
      <c r="A2394" t="inlineStr">
        <is>
          <t>PT Jaya Agra Wattie Tbk</t>
        </is>
      </c>
      <c r="B2394" t="inlineStr">
        <is>
          <t>JAWA_2022_AR.pdf</t>
        </is>
      </c>
      <c r="C2394" t="n">
        <v>2022</v>
      </c>
      <c r="D2394" t="inlineStr">
        <is>
          <t>Financial</t>
        </is>
      </c>
      <c r="E2394" t="inlineStr">
        <is>
          <t>Immature Plantations</t>
        </is>
      </c>
      <c r="F2394" t="n">
        <v>1031</v>
      </c>
      <c r="G2394" t="inlineStr">
        <is>
          <t>IDR bn</t>
        </is>
      </c>
      <c r="H2394" t="n">
        <v>207</v>
      </c>
      <c r="I2394" t="inlineStr">
        <is>
          <t>Tanaman belum menghasilkan 1,030,619,311,476</t>
        </is>
      </c>
      <c r="J2394" t="inlineStr">
        <is>
          <t>High</t>
        </is>
      </c>
      <c r="M2394" t="inlineStr">
        <is>
          <t>LLM</t>
        </is>
      </c>
      <c r="N2394" t="inlineStr">
        <is>
          <t>2026-04-18</t>
        </is>
      </c>
      <c r="O2394" t="inlineStr">
        <is>
          <t>AI</t>
        </is>
      </c>
    </row>
    <row r="2395">
      <c r="A2395" t="inlineStr">
        <is>
          <t>PT Jaya Agra Wattie Tbk</t>
        </is>
      </c>
      <c r="B2395" t="inlineStr">
        <is>
          <t>JAWA_2022_AR.pdf</t>
        </is>
      </c>
      <c r="C2395" t="n">
        <v>2022</v>
      </c>
      <c r="D2395" t="inlineStr">
        <is>
          <t>Financial</t>
        </is>
      </c>
      <c r="E2395" t="inlineStr">
        <is>
          <t>Plasma Receivables</t>
        </is>
      </c>
      <c r="F2395" t="n">
        <v>345</v>
      </c>
      <c r="G2395" t="inlineStr">
        <is>
          <t>IDR bn</t>
        </is>
      </c>
      <c r="H2395" t="n">
        <v>207</v>
      </c>
      <c r="I2395" t="inlineStr">
        <is>
          <t>Piutang plasma 345,420,951,489</t>
        </is>
      </c>
      <c r="J2395" t="inlineStr">
        <is>
          <t>High</t>
        </is>
      </c>
      <c r="M2395" t="inlineStr">
        <is>
          <t>LLM</t>
        </is>
      </c>
      <c r="N2395" t="inlineStr">
        <is>
          <t>2026-04-18</t>
        </is>
      </c>
      <c r="O2395" t="inlineStr">
        <is>
          <t>AI</t>
        </is>
      </c>
    </row>
    <row r="2396">
      <c r="A2396" t="inlineStr">
        <is>
          <t>PT Jaya Agra Wattie Tbk</t>
        </is>
      </c>
      <c r="B2396" t="inlineStr">
        <is>
          <t>JAWA_2022_AR.pdf</t>
        </is>
      </c>
      <c r="C2396" t="n">
        <v>2022</v>
      </c>
      <c r="D2396" t="inlineStr">
        <is>
          <t>Financial</t>
        </is>
      </c>
      <c r="E2396" t="inlineStr">
        <is>
          <t>Accumulated Deficit</t>
        </is>
      </c>
      <c r="F2396" t="n">
        <v>-1342</v>
      </c>
      <c r="G2396" t="inlineStr">
        <is>
          <t>IDR bn</t>
        </is>
      </c>
      <c r="H2396" t="n">
        <v>208</v>
      </c>
      <c r="I2396" t="inlineStr">
        <is>
          <t>Belum dicadangkan (1,341,979,294,646)</t>
        </is>
      </c>
      <c r="J2396" t="inlineStr">
        <is>
          <t>High</t>
        </is>
      </c>
      <c r="M2396" t="inlineStr">
        <is>
          <t>LLM</t>
        </is>
      </c>
      <c r="N2396" t="inlineStr">
        <is>
          <t>2026-04-18</t>
        </is>
      </c>
      <c r="O2396" t="inlineStr">
        <is>
          <t>AI</t>
        </is>
      </c>
    </row>
    <row r="2397">
      <c r="A2397" t="inlineStr">
        <is>
          <t>PT Jaya Agra Wattie Tbk</t>
        </is>
      </c>
      <c r="B2397" t="inlineStr">
        <is>
          <t>JAWA_2022_AR.pdf</t>
        </is>
      </c>
      <c r="C2397" t="n">
        <v>2022</v>
      </c>
      <c r="D2397" t="inlineStr">
        <is>
          <t>Financial</t>
        </is>
      </c>
      <c r="E2397" t="inlineStr">
        <is>
          <t>CFO</t>
        </is>
      </c>
      <c r="F2397" t="n">
        <v>-138</v>
      </c>
      <c r="G2397" t="inlineStr">
        <is>
          <t>IDR bn</t>
        </is>
      </c>
      <c r="H2397" t="n">
        <v>92</v>
      </c>
      <c r="I2397" t="inlineStr">
        <is>
          <t>Arus Kas dari Aktivitas Operasi (138,046)</t>
        </is>
      </c>
      <c r="J2397" t="inlineStr">
        <is>
          <t>High</t>
        </is>
      </c>
      <c r="M2397" t="inlineStr">
        <is>
          <t>LLM</t>
        </is>
      </c>
      <c r="N2397" t="inlineStr">
        <is>
          <t>2026-04-18</t>
        </is>
      </c>
      <c r="O2397" t="inlineStr">
        <is>
          <t>AI</t>
        </is>
      </c>
    </row>
    <row r="2398">
      <c r="A2398" t="inlineStr">
        <is>
          <t>PT Jaya Agra Wattie Tbk</t>
        </is>
      </c>
      <c r="B2398" t="inlineStr">
        <is>
          <t>JAWA_2022_AR.pdf</t>
        </is>
      </c>
      <c r="C2398" t="n">
        <v>2022</v>
      </c>
      <c r="D2398" t="inlineStr">
        <is>
          <t>Financial</t>
        </is>
      </c>
      <c r="E2398" t="inlineStr">
        <is>
          <t>CFI</t>
        </is>
      </c>
      <c r="F2398" t="n">
        <v>-105</v>
      </c>
      <c r="G2398" t="inlineStr">
        <is>
          <t>IDR bn</t>
        </is>
      </c>
      <c r="H2398" t="n">
        <v>92</v>
      </c>
      <c r="I2398" t="inlineStr">
        <is>
          <t>Arus Kas dari Aktivitas Investasi (104,537)</t>
        </is>
      </c>
      <c r="J2398" t="inlineStr">
        <is>
          <t>High</t>
        </is>
      </c>
      <c r="M2398" t="inlineStr">
        <is>
          <t>LLM</t>
        </is>
      </c>
      <c r="N2398" t="inlineStr">
        <is>
          <t>2026-04-18</t>
        </is>
      </c>
      <c r="O2398" t="inlineStr">
        <is>
          <t>AI</t>
        </is>
      </c>
    </row>
    <row r="2399">
      <c r="A2399" t="inlineStr">
        <is>
          <t>PT Jaya Agra Wattie Tbk</t>
        </is>
      </c>
      <c r="B2399" t="inlineStr">
        <is>
          <t>JAWA_2022_AR.pdf</t>
        </is>
      </c>
      <c r="C2399" t="n">
        <v>2022</v>
      </c>
      <c r="D2399" t="inlineStr">
        <is>
          <t>Financial</t>
        </is>
      </c>
      <c r="E2399" t="inlineStr">
        <is>
          <t>CFF</t>
        </is>
      </c>
      <c r="F2399" t="n">
        <v>232</v>
      </c>
      <c r="G2399" t="inlineStr">
        <is>
          <t>IDR bn</t>
        </is>
      </c>
      <c r="H2399" t="n">
        <v>92</v>
      </c>
      <c r="I2399" t="inlineStr">
        <is>
          <t>Arus Kas dari Aktivitas Pendanaan 231,810</t>
        </is>
      </c>
      <c r="J2399" t="inlineStr">
        <is>
          <t>High</t>
        </is>
      </c>
      <c r="M2399" t="inlineStr">
        <is>
          <t>LLM</t>
        </is>
      </c>
      <c r="N2399" t="inlineStr">
        <is>
          <t>2026-04-18</t>
        </is>
      </c>
      <c r="O2399" t="inlineStr">
        <is>
          <t>AI</t>
        </is>
      </c>
    </row>
    <row r="2400">
      <c r="A2400" t="inlineStr">
        <is>
          <t>PT Jaya Agra Wattie Tbk</t>
        </is>
      </c>
      <c r="B2400" t="inlineStr">
        <is>
          <t>JAWA_2022_AR.pdf</t>
        </is>
      </c>
      <c r="C2400" t="n">
        <v>2022</v>
      </c>
      <c r="D2400" t="inlineStr">
        <is>
          <t>Financial</t>
        </is>
      </c>
      <c r="E2400" t="inlineStr">
        <is>
          <t>Related Party Loan Received 2022</t>
        </is>
      </c>
      <c r="F2400" t="n">
        <v>461</v>
      </c>
      <c r="G2400" t="inlineStr">
        <is>
          <t>IDR bn</t>
        </is>
      </c>
      <c r="H2400" t="n">
        <v>92</v>
      </c>
      <c r="I2400" t="inlineStr">
        <is>
          <t>menerima pinjaman dari pihak berelasi sebesar Rp461.30 miliar</t>
        </is>
      </c>
      <c r="J2400" t="inlineStr">
        <is>
          <t>High</t>
        </is>
      </c>
      <c r="M2400" t="inlineStr">
        <is>
          <t>LLM</t>
        </is>
      </c>
      <c r="N2400" t="inlineStr">
        <is>
          <t>2026-04-18</t>
        </is>
      </c>
      <c r="O2400" t="inlineStr">
        <is>
          <t>AI</t>
        </is>
      </c>
    </row>
    <row r="2401">
      <c r="A2401" t="inlineStr">
        <is>
          <t>PT Jaya Agra Wattie Tbk</t>
        </is>
      </c>
      <c r="B2401" t="inlineStr">
        <is>
          <t>JAWA_2022_AR.pdf</t>
        </is>
      </c>
      <c r="C2401" t="n">
        <v>2022</v>
      </c>
      <c r="D2401" t="inlineStr">
        <is>
          <t>Financial</t>
        </is>
      </c>
      <c r="E2401" t="inlineStr">
        <is>
          <t>LT Bank Loan Paid 2022</t>
        </is>
      </c>
      <c r="F2401" t="n">
        <v>228</v>
      </c>
      <c r="G2401" t="inlineStr">
        <is>
          <t>IDR bn</t>
        </is>
      </c>
      <c r="H2401" t="n">
        <v>92</v>
      </c>
      <c r="I2401" t="inlineStr">
        <is>
          <t>membayar utang bank jangka panjang sebesar Rp228 miliar</t>
        </is>
      </c>
      <c r="J2401" t="inlineStr">
        <is>
          <t>High</t>
        </is>
      </c>
      <c r="M2401" t="inlineStr">
        <is>
          <t>LLM</t>
        </is>
      </c>
      <c r="N2401" t="inlineStr">
        <is>
          <t>2026-04-18</t>
        </is>
      </c>
      <c r="O2401" t="inlineStr">
        <is>
          <t>AI</t>
        </is>
      </c>
    </row>
    <row r="2402">
      <c r="A2402" t="inlineStr">
        <is>
          <t>PT Jaya Agra Wattie Tbk</t>
        </is>
      </c>
      <c r="B2402" t="inlineStr">
        <is>
          <t>JAWA_2022_AR.pdf</t>
        </is>
      </c>
      <c r="C2402" t="n">
        <v>2022</v>
      </c>
      <c r="D2402" t="inlineStr">
        <is>
          <t>Financial</t>
        </is>
      </c>
      <c r="E2402" t="inlineStr">
        <is>
          <t>Capex</t>
        </is>
      </c>
      <c r="F2402" t="n">
        <v>54</v>
      </c>
      <c r="G2402" t="inlineStr">
        <is>
          <t>IDR bn</t>
        </is>
      </c>
      <c r="H2402" t="inlineStr">
        <is>
          <t>segment</t>
        </is>
      </c>
      <c r="I2402" t="inlineStr">
        <is>
          <t>Pengeluaran modal 53,573,041,688 (segment total 2022 per FY2023 comparative)</t>
        </is>
      </c>
      <c r="J2402" t="inlineStr">
        <is>
          <t>High</t>
        </is>
      </c>
      <c r="M2402" t="inlineStr">
        <is>
          <t>LLM</t>
        </is>
      </c>
      <c r="N2402" t="inlineStr">
        <is>
          <t>2026-04-18</t>
        </is>
      </c>
      <c r="O2402" t="inlineStr">
        <is>
          <t>AI</t>
        </is>
      </c>
    </row>
    <row r="2403">
      <c r="A2403" t="inlineStr">
        <is>
          <t>PT Jaya Agra Wattie Tbk</t>
        </is>
      </c>
      <c r="B2403" t="inlineStr">
        <is>
          <t>JAWA_2022_AR.pdf</t>
        </is>
      </c>
      <c r="C2403" t="n">
        <v>2022</v>
      </c>
      <c r="D2403" t="inlineStr">
        <is>
          <t>Financial</t>
        </is>
      </c>
      <c r="E2403" t="inlineStr">
        <is>
          <t>Depreciation &amp; Amortization</t>
        </is>
      </c>
      <c r="F2403" t="n">
        <v>113</v>
      </c>
      <c r="G2403" t="inlineStr">
        <is>
          <t>IDR bn</t>
        </is>
      </c>
      <c r="H2403" t="inlineStr">
        <is>
          <t>segment</t>
        </is>
      </c>
      <c r="I2403" t="inlineStr">
        <is>
          <t>Penyusutan dan amortisasi 113,087,006,385 (segment total 2022)</t>
        </is>
      </c>
      <c r="J2403" t="inlineStr">
        <is>
          <t>High</t>
        </is>
      </c>
      <c r="M2403" t="inlineStr">
        <is>
          <t>LLM</t>
        </is>
      </c>
      <c r="N2403" t="inlineStr">
        <is>
          <t>2026-04-18</t>
        </is>
      </c>
      <c r="O2403" t="inlineStr">
        <is>
          <t>AI</t>
        </is>
      </c>
    </row>
    <row r="2404">
      <c r="A2404" t="inlineStr">
        <is>
          <t>PT Jaya Agra Wattie Tbk</t>
        </is>
      </c>
      <c r="B2404" t="inlineStr">
        <is>
          <t>JAWA_2022_AR.pdf</t>
        </is>
      </c>
      <c r="C2404" t="n">
        <v>2022</v>
      </c>
      <c r="D2404" t="inlineStr">
        <is>
          <t>Financial</t>
        </is>
      </c>
      <c r="E2404" t="inlineStr">
        <is>
          <t>Shares Outstanding</t>
        </is>
      </c>
      <c r="F2404" t="n">
        <v>3775</v>
      </c>
      <c r="G2404" t="inlineStr">
        <is>
          <t>mn</t>
        </is>
      </c>
      <c r="H2404" t="n">
        <v>66</v>
      </c>
      <c r="I2404" t="inlineStr">
        <is>
          <t>Total 3,774,685,500 shares</t>
        </is>
      </c>
      <c r="J2404" t="inlineStr">
        <is>
          <t>High</t>
        </is>
      </c>
      <c r="M2404" t="inlineStr">
        <is>
          <t>LLM</t>
        </is>
      </c>
      <c r="N2404" t="inlineStr">
        <is>
          <t>2026-04-18</t>
        </is>
      </c>
      <c r="O2404" t="inlineStr">
        <is>
          <t>AI</t>
        </is>
      </c>
    </row>
    <row r="2405">
      <c r="A2405" t="inlineStr">
        <is>
          <t>PT Jaya Agra Wattie Tbk</t>
        </is>
      </c>
      <c r="B2405" t="inlineStr">
        <is>
          <t>JAWA_2022_AR.pdf</t>
        </is>
      </c>
      <c r="C2405" t="n">
        <v>2022</v>
      </c>
      <c r="D2405" t="inlineStr">
        <is>
          <t>Financial</t>
        </is>
      </c>
      <c r="E2405" t="inlineStr">
        <is>
          <t>Closing Price Q4 2022</t>
        </is>
      </c>
      <c r="F2405" t="n">
        <v>105</v>
      </c>
      <c r="G2405" t="inlineStr">
        <is>
          <t>Rp/share</t>
        </is>
      </c>
      <c r="H2405" t="n">
        <v>10</v>
      </c>
      <c r="I2405" t="inlineStr">
        <is>
          <t>Q4 2022 Triwulan IV 146 105 105</t>
        </is>
      </c>
      <c r="J2405" t="inlineStr">
        <is>
          <t>High</t>
        </is>
      </c>
      <c r="M2405" t="inlineStr">
        <is>
          <t>LLM</t>
        </is>
      </c>
      <c r="N2405" t="inlineStr">
        <is>
          <t>2026-04-18</t>
        </is>
      </c>
      <c r="O2405" t="inlineStr">
        <is>
          <t>AI</t>
        </is>
      </c>
    </row>
    <row r="2406">
      <c r="A2406" t="inlineStr">
        <is>
          <t>PT Jaya Agra Wattie Tbk</t>
        </is>
      </c>
      <c r="B2406" t="inlineStr">
        <is>
          <t>JAWA_2022_AR.pdf</t>
        </is>
      </c>
      <c r="C2406" t="n">
        <v>2022</v>
      </c>
      <c r="D2406" t="inlineStr">
        <is>
          <t>Financial</t>
        </is>
      </c>
      <c r="E2406" t="inlineStr">
        <is>
          <t>Market Cap Dec 2022</t>
        </is>
      </c>
      <c r="F2406" t="n">
        <v>396</v>
      </c>
      <c r="G2406" t="inlineStr">
        <is>
          <t>IDR bn</t>
        </is>
      </c>
      <c r="H2406" t="n">
        <v>10</v>
      </c>
      <c r="I2406" t="inlineStr">
        <is>
          <t>Desember 2022 Rp396,341,977,500</t>
        </is>
      </c>
      <c r="J2406" t="inlineStr">
        <is>
          <t>High</t>
        </is>
      </c>
      <c r="M2406" t="inlineStr">
        <is>
          <t>LLM</t>
        </is>
      </c>
      <c r="N2406" t="inlineStr">
        <is>
          <t>2026-04-18</t>
        </is>
      </c>
      <c r="O2406" t="inlineStr">
        <is>
          <t>AI</t>
        </is>
      </c>
    </row>
    <row r="2407">
      <c r="A2407" t="inlineStr">
        <is>
          <t>PT Jaya Agra Wattie Tbk</t>
        </is>
      </c>
      <c r="B2407" t="inlineStr">
        <is>
          <t>JAWA_2022_AR.pdf</t>
        </is>
      </c>
      <c r="C2407" t="n">
        <v>2022</v>
      </c>
      <c r="D2407" t="inlineStr">
        <is>
          <t>Financial</t>
        </is>
      </c>
      <c r="E2407" t="inlineStr">
        <is>
          <t>Current Ratio</t>
        </is>
      </c>
      <c r="F2407" t="n">
        <v>0.4003</v>
      </c>
      <c r="G2407" t="inlineStr">
        <is>
          <t>x</t>
        </is>
      </c>
      <c r="H2407" t="n">
        <v>9</v>
      </c>
      <c r="I2407" t="inlineStr">
        <is>
          <t>Rasio Lancar 40.03%</t>
        </is>
      </c>
      <c r="J2407" t="inlineStr">
        <is>
          <t>High</t>
        </is>
      </c>
      <c r="M2407" t="inlineStr">
        <is>
          <t>LLM</t>
        </is>
      </c>
      <c r="N2407" t="inlineStr">
        <is>
          <t>2026-04-18</t>
        </is>
      </c>
      <c r="O2407" t="inlineStr">
        <is>
          <t>AI</t>
        </is>
      </c>
    </row>
    <row r="2408">
      <c r="A2408" t="inlineStr">
        <is>
          <t>PT Jaya Agra Wattie Tbk</t>
        </is>
      </c>
      <c r="B2408" t="inlineStr">
        <is>
          <t>JAWA_2022_AR.pdf</t>
        </is>
      </c>
      <c r="C2408" t="n">
        <v>2022</v>
      </c>
      <c r="D2408" t="inlineStr">
        <is>
          <t>Financial</t>
        </is>
      </c>
      <c r="E2408" t="inlineStr">
        <is>
          <t>DER (Liab/Equity)</t>
        </is>
      </c>
      <c r="F2408" t="n">
        <v>29.32</v>
      </c>
      <c r="G2408" t="inlineStr">
        <is>
          <t>x</t>
        </is>
      </c>
      <c r="H2408" t="n">
        <v>9</v>
      </c>
      <c r="I2408" t="inlineStr">
        <is>
          <t>Rasio Liabilitas Terhadap Ekuitas 2,931.67%</t>
        </is>
      </c>
      <c r="J2408" t="inlineStr">
        <is>
          <t>High</t>
        </is>
      </c>
      <c r="M2408" t="inlineStr">
        <is>
          <t>LLM</t>
        </is>
      </c>
      <c r="N2408" t="inlineStr">
        <is>
          <t>2026-04-18</t>
        </is>
      </c>
      <c r="O2408" t="inlineStr">
        <is>
          <t>AI</t>
        </is>
      </c>
    </row>
    <row r="2409">
      <c r="A2409" t="inlineStr">
        <is>
          <t>PT Jaya Agra Wattie Tbk</t>
        </is>
      </c>
      <c r="B2409" t="inlineStr">
        <is>
          <t>JAWA_2022_AR.pdf</t>
        </is>
      </c>
      <c r="C2409" t="n">
        <v>2022</v>
      </c>
      <c r="D2409" t="inlineStr">
        <is>
          <t>Financial</t>
        </is>
      </c>
      <c r="E2409" t="inlineStr">
        <is>
          <t>ROA</t>
        </is>
      </c>
      <c r="F2409" t="n">
        <v>-0.08409999999999999</v>
      </c>
      <c r="G2409" t="inlineStr">
        <is>
          <t>%</t>
        </is>
      </c>
      <c r="H2409" t="n">
        <v>9</v>
      </c>
      <c r="I2409" t="inlineStr">
        <is>
          <t>Return on Assets -8.41%</t>
        </is>
      </c>
      <c r="J2409" t="inlineStr">
        <is>
          <t>High</t>
        </is>
      </c>
      <c r="M2409" t="inlineStr">
        <is>
          <t>LLM</t>
        </is>
      </c>
      <c r="N2409" t="inlineStr">
        <is>
          <t>2026-04-18</t>
        </is>
      </c>
      <c r="O2409" t="inlineStr">
        <is>
          <t>AI</t>
        </is>
      </c>
    </row>
    <row r="2410">
      <c r="A2410" t="inlineStr">
        <is>
          <t>PT Jaya Agra Wattie Tbk</t>
        </is>
      </c>
      <c r="B2410" t="inlineStr">
        <is>
          <t>JAWA_2022_AR.pdf</t>
        </is>
      </c>
      <c r="C2410" t="n">
        <v>2022</v>
      </c>
      <c r="D2410" t="inlineStr">
        <is>
          <t>Financial</t>
        </is>
      </c>
      <c r="E2410" t="inlineStr">
        <is>
          <t>ROE</t>
        </is>
      </c>
      <c r="F2410" t="n">
        <v>-2.549</v>
      </c>
      <c r="G2410" t="inlineStr">
        <is>
          <t>%</t>
        </is>
      </c>
      <c r="H2410" t="n">
        <v>9</v>
      </c>
      <c r="I2410" t="inlineStr">
        <is>
          <t>Return on Equity -254.90%</t>
        </is>
      </c>
      <c r="J2410" t="inlineStr">
        <is>
          <t>High</t>
        </is>
      </c>
      <c r="M2410" t="inlineStr">
        <is>
          <t>LLM</t>
        </is>
      </c>
      <c r="N2410" t="inlineStr">
        <is>
          <t>2026-04-18</t>
        </is>
      </c>
      <c r="O2410" t="inlineStr">
        <is>
          <t>AI</t>
        </is>
      </c>
    </row>
    <row r="2411">
      <c r="A2411" t="inlineStr">
        <is>
          <t>PT Jaya Agra Wattie Tbk</t>
        </is>
      </c>
      <c r="B2411" t="inlineStr">
        <is>
          <t>JAWA_2022_AR.pdf</t>
        </is>
      </c>
      <c r="C2411" t="n">
        <v>2022</v>
      </c>
      <c r="D2411" t="inlineStr">
        <is>
          <t>Financial</t>
        </is>
      </c>
      <c r="E2411" t="inlineStr">
        <is>
          <t>Gross Margin</t>
        </is>
      </c>
      <c r="F2411" t="n">
        <v>0.0281</v>
      </c>
      <c r="G2411" t="inlineStr">
        <is>
          <t>%</t>
        </is>
      </c>
      <c r="H2411" t="n">
        <v>9</v>
      </c>
      <c r="I2411" t="inlineStr">
        <is>
          <t>Gross Profit Margin 2.81%</t>
        </is>
      </c>
      <c r="J2411" t="inlineStr">
        <is>
          <t>High</t>
        </is>
      </c>
      <c r="M2411" t="inlineStr">
        <is>
          <t>LLM</t>
        </is>
      </c>
      <c r="N2411" t="inlineStr">
        <is>
          <t>2026-04-18</t>
        </is>
      </c>
      <c r="O2411" t="inlineStr">
        <is>
          <t>AI</t>
        </is>
      </c>
    </row>
    <row r="2412">
      <c r="A2412" t="inlineStr">
        <is>
          <t>PT Jaya Agra Wattie Tbk</t>
        </is>
      </c>
      <c r="B2412" t="inlineStr">
        <is>
          <t>JAWA_2022_AR.pdf</t>
        </is>
      </c>
      <c r="C2412" t="n">
        <v>2022</v>
      </c>
      <c r="D2412" t="inlineStr">
        <is>
          <t>Asset</t>
        </is>
      </c>
      <c r="E2412" t="inlineStr">
        <is>
          <t>Total Planted Area</t>
        </is>
      </c>
      <c r="F2412" t="n">
        <v>44027</v>
      </c>
      <c r="G2412" t="inlineStr">
        <is>
          <t>ha</t>
        </is>
      </c>
      <c r="H2412" t="n">
        <v>8</v>
      </c>
      <c r="I2412" t="inlineStr">
        <is>
          <t>Jumlah Tertanam 44,027</t>
        </is>
      </c>
      <c r="J2412" t="inlineStr">
        <is>
          <t>High</t>
        </is>
      </c>
      <c r="M2412" t="inlineStr">
        <is>
          <t>LLM</t>
        </is>
      </c>
      <c r="N2412" t="inlineStr">
        <is>
          <t>2026-04-18</t>
        </is>
      </c>
      <c r="O2412" t="inlineStr">
        <is>
          <t>AI</t>
        </is>
      </c>
    </row>
    <row r="2413">
      <c r="A2413" t="inlineStr">
        <is>
          <t>PT Jaya Agra Wattie Tbk</t>
        </is>
      </c>
      <c r="B2413" t="inlineStr">
        <is>
          <t>JAWA_2022_AR.pdf</t>
        </is>
      </c>
      <c r="C2413" t="n">
        <v>2022</v>
      </c>
      <c r="D2413" t="inlineStr">
        <is>
          <t>Asset</t>
        </is>
      </c>
      <c r="E2413" t="inlineStr">
        <is>
          <t>Nucleus Planted Area</t>
        </is>
      </c>
      <c r="F2413" t="n">
        <v>37515</v>
      </c>
      <c r="G2413" t="inlineStr">
        <is>
          <t>ha</t>
        </is>
      </c>
      <c r="H2413" t="n">
        <v>8</v>
      </c>
      <c r="I2413" t="inlineStr">
        <is>
          <t>Inti Tertanam Sub Jumlah 37,515</t>
        </is>
      </c>
      <c r="J2413" t="inlineStr">
        <is>
          <t>High</t>
        </is>
      </c>
      <c r="M2413" t="inlineStr">
        <is>
          <t>LLM</t>
        </is>
      </c>
      <c r="N2413" t="inlineStr">
        <is>
          <t>2026-04-18</t>
        </is>
      </c>
      <c r="O2413" t="inlineStr">
        <is>
          <t>AI</t>
        </is>
      </c>
    </row>
    <row r="2414">
      <c r="A2414" t="inlineStr">
        <is>
          <t>PT Jaya Agra Wattie Tbk</t>
        </is>
      </c>
      <c r="B2414" t="inlineStr">
        <is>
          <t>JAWA_2022_AR.pdf</t>
        </is>
      </c>
      <c r="C2414" t="n">
        <v>2022</v>
      </c>
      <c r="D2414" t="inlineStr">
        <is>
          <t>Asset</t>
        </is>
      </c>
      <c r="E2414" t="inlineStr">
        <is>
          <t>Plasma Area</t>
        </is>
      </c>
      <c r="F2414" t="n">
        <v>6512</v>
      </c>
      <c r="G2414" t="inlineStr">
        <is>
          <t>ha</t>
        </is>
      </c>
      <c r="H2414" t="n">
        <v>8</v>
      </c>
      <c r="I2414" t="inlineStr">
        <is>
          <t>Plasma Tertanam 6,512</t>
        </is>
      </c>
      <c r="J2414" t="inlineStr">
        <is>
          <t>High</t>
        </is>
      </c>
      <c r="M2414" t="inlineStr">
        <is>
          <t>LLM</t>
        </is>
      </c>
      <c r="N2414" t="inlineStr">
        <is>
          <t>2026-04-18</t>
        </is>
      </c>
      <c r="O2414" t="inlineStr">
        <is>
          <t>AI</t>
        </is>
      </c>
    </row>
    <row r="2415">
      <c r="A2415" t="inlineStr">
        <is>
          <t>PT Jaya Agra Wattie Tbk</t>
        </is>
      </c>
      <c r="B2415" t="inlineStr">
        <is>
          <t>JAWA_2022_AR.pdf</t>
        </is>
      </c>
      <c r="C2415" t="n">
        <v>2022</v>
      </c>
      <c r="D2415" t="inlineStr">
        <is>
          <t>Asset</t>
        </is>
      </c>
      <c r="E2415" t="inlineStr">
        <is>
          <t>Mature Plants Total</t>
        </is>
      </c>
      <c r="F2415" t="n">
        <v>31524</v>
      </c>
      <c r="G2415" t="inlineStr">
        <is>
          <t>ha</t>
        </is>
      </c>
      <c r="H2415" t="n">
        <v>8</v>
      </c>
      <c r="I2415" t="inlineStr">
        <is>
          <t>Total TM 31,524</t>
        </is>
      </c>
      <c r="J2415" t="inlineStr">
        <is>
          <t>High</t>
        </is>
      </c>
      <c r="M2415" t="inlineStr">
        <is>
          <t>LLM</t>
        </is>
      </c>
      <c r="N2415" t="inlineStr">
        <is>
          <t>2026-04-18</t>
        </is>
      </c>
      <c r="O2415" t="inlineStr">
        <is>
          <t>AI</t>
        </is>
      </c>
    </row>
    <row r="2416">
      <c r="A2416" t="inlineStr">
        <is>
          <t>PT Jaya Agra Wattie Tbk</t>
        </is>
      </c>
      <c r="B2416" t="inlineStr">
        <is>
          <t>JAWA_2022_AR.pdf</t>
        </is>
      </c>
      <c r="C2416" t="n">
        <v>2022</v>
      </c>
      <c r="D2416" t="inlineStr">
        <is>
          <t>Asset</t>
        </is>
      </c>
      <c r="E2416" t="inlineStr">
        <is>
          <t>Immature Plants Total</t>
        </is>
      </c>
      <c r="F2416" t="n">
        <v>12503</v>
      </c>
      <c r="G2416" t="inlineStr">
        <is>
          <t>ha</t>
        </is>
      </c>
      <c r="H2416" t="n">
        <v>8</v>
      </c>
      <c r="I2416" t="inlineStr">
        <is>
          <t>Total TBM 12,503</t>
        </is>
      </c>
      <c r="J2416" t="inlineStr">
        <is>
          <t>High</t>
        </is>
      </c>
      <c r="M2416" t="inlineStr">
        <is>
          <t>LLM</t>
        </is>
      </c>
      <c r="N2416" t="inlineStr">
        <is>
          <t>2026-04-18</t>
        </is>
      </c>
      <c r="O2416" t="inlineStr">
        <is>
          <t>AI</t>
        </is>
      </c>
    </row>
    <row r="2417">
      <c r="A2417" t="inlineStr">
        <is>
          <t>PT Jaya Agra Wattie Tbk</t>
        </is>
      </c>
      <c r="B2417" t="inlineStr">
        <is>
          <t>JAWA_2022_AR.pdf</t>
        </is>
      </c>
      <c r="C2417" t="n">
        <v>2022</v>
      </c>
      <c r="D2417" t="inlineStr">
        <is>
          <t>Asset</t>
        </is>
      </c>
      <c r="E2417" t="inlineStr">
        <is>
          <t>Palm HGU Area</t>
        </is>
      </c>
      <c r="F2417" t="n">
        <v>29723</v>
      </c>
      <c r="G2417" t="inlineStr">
        <is>
          <t>ha</t>
        </is>
      </c>
      <c r="H2417" t="inlineStr">
        <is>
          <t>business</t>
        </is>
      </c>
      <c r="I2417" t="inlineStr">
        <is>
          <t>perkebunan kelapa sawit ... 29,723 Ha di Kalimantan Selatan</t>
        </is>
      </c>
      <c r="J2417" t="inlineStr">
        <is>
          <t>High</t>
        </is>
      </c>
      <c r="M2417" t="inlineStr">
        <is>
          <t>LLM</t>
        </is>
      </c>
      <c r="N2417" t="inlineStr">
        <is>
          <t>2026-04-18</t>
        </is>
      </c>
      <c r="O2417" t="inlineStr">
        <is>
          <t>AI</t>
        </is>
      </c>
    </row>
    <row r="2418">
      <c r="A2418" t="inlineStr">
        <is>
          <t>PT Jaya Agra Wattie Tbk</t>
        </is>
      </c>
      <c r="B2418" t="inlineStr">
        <is>
          <t>JAWA_2022_AR.pdf</t>
        </is>
      </c>
      <c r="C2418" t="n">
        <v>2022</v>
      </c>
      <c r="D2418" t="inlineStr">
        <is>
          <t>Asset</t>
        </is>
      </c>
      <c r="E2418" t="inlineStr">
        <is>
          <t>Palm Nucleus Planted</t>
        </is>
      </c>
      <c r="F2418" t="n">
        <v>21407</v>
      </c>
      <c r="G2418" t="inlineStr">
        <is>
          <t>ha</t>
        </is>
      </c>
      <c r="H2418" t="inlineStr">
        <is>
          <t>business</t>
        </is>
      </c>
      <c r="I2418" t="inlineStr">
        <is>
          <t>kebun inti seluas 21,407 Ha</t>
        </is>
      </c>
      <c r="J2418" t="inlineStr">
        <is>
          <t>High</t>
        </is>
      </c>
      <c r="M2418" t="inlineStr">
        <is>
          <t>LLM</t>
        </is>
      </c>
      <c r="N2418" t="inlineStr">
        <is>
          <t>2026-04-18</t>
        </is>
      </c>
      <c r="O2418" t="inlineStr">
        <is>
          <t>AI</t>
        </is>
      </c>
    </row>
    <row r="2419">
      <c r="A2419" t="inlineStr">
        <is>
          <t>PT Jaya Agra Wattie Tbk</t>
        </is>
      </c>
      <c r="B2419" t="inlineStr">
        <is>
          <t>JAWA_2022_AR.pdf</t>
        </is>
      </c>
      <c r="C2419" t="n">
        <v>2022</v>
      </c>
      <c r="D2419" t="inlineStr">
        <is>
          <t>Asset</t>
        </is>
      </c>
      <c r="E2419" t="inlineStr">
        <is>
          <t>Rubber HGU Area</t>
        </is>
      </c>
      <c r="F2419" t="n">
        <v>39334</v>
      </c>
      <c r="G2419" t="inlineStr">
        <is>
          <t>ha</t>
        </is>
      </c>
      <c r="H2419" t="inlineStr">
        <is>
          <t>business</t>
        </is>
      </c>
      <c r="I2419" t="inlineStr">
        <is>
          <t>perkebunan karet ... 39,334 Ha</t>
        </is>
      </c>
      <c r="J2419" t="inlineStr">
        <is>
          <t>High</t>
        </is>
      </c>
      <c r="M2419" t="inlineStr">
        <is>
          <t>LLM</t>
        </is>
      </c>
      <c r="N2419" t="inlineStr">
        <is>
          <t>2026-04-18</t>
        </is>
      </c>
      <c r="O2419" t="inlineStr">
        <is>
          <t>AI</t>
        </is>
      </c>
    </row>
    <row r="2420">
      <c r="A2420" t="inlineStr">
        <is>
          <t>PT Jaya Agra Wattie Tbk</t>
        </is>
      </c>
      <c r="B2420" t="inlineStr">
        <is>
          <t>JAWA_2022_AR.pdf</t>
        </is>
      </c>
      <c r="C2420" t="n">
        <v>2022</v>
      </c>
      <c r="D2420" t="inlineStr">
        <is>
          <t>Asset</t>
        </is>
      </c>
      <c r="E2420" t="inlineStr">
        <is>
          <t>Palm Oil Mill Count</t>
        </is>
      </c>
      <c r="F2420" t="n">
        <v>2</v>
      </c>
      <c r="G2420" t="inlineStr">
        <is>
          <t>count</t>
        </is>
      </c>
      <c r="H2420" t="inlineStr">
        <is>
          <t>ops</t>
        </is>
      </c>
      <c r="I2420" t="inlineStr">
        <is>
          <t>2 POM Kintap + Marabahan</t>
        </is>
      </c>
      <c r="J2420" t="inlineStr">
        <is>
          <t>High</t>
        </is>
      </c>
      <c r="M2420" t="inlineStr">
        <is>
          <t>LLM</t>
        </is>
      </c>
      <c r="N2420" t="inlineStr">
        <is>
          <t>2026-04-18</t>
        </is>
      </c>
      <c r="O2420" t="inlineStr">
        <is>
          <t>AI</t>
        </is>
      </c>
    </row>
    <row r="2421">
      <c r="A2421" t="inlineStr">
        <is>
          <t>PT Jaya Agra Wattie Tbk</t>
        </is>
      </c>
      <c r="B2421" t="inlineStr">
        <is>
          <t>JAWA_2022_AR.pdf</t>
        </is>
      </c>
      <c r="C2421" t="n">
        <v>2022</v>
      </c>
      <c r="D2421" t="inlineStr">
        <is>
          <t>Asset</t>
        </is>
      </c>
      <c r="E2421" t="inlineStr">
        <is>
          <t>POM Total Capacity</t>
        </is>
      </c>
      <c r="F2421" t="n">
        <v>90</v>
      </c>
      <c r="G2421" t="inlineStr">
        <is>
          <t>t/hr</t>
        </is>
      </c>
      <c r="H2421" t="inlineStr">
        <is>
          <t>ops</t>
        </is>
      </c>
      <c r="I2421" t="inlineStr">
        <is>
          <t>total 90 ton/jam (total palm mill capacity)</t>
        </is>
      </c>
      <c r="J2421" t="inlineStr">
        <is>
          <t>High</t>
        </is>
      </c>
      <c r="M2421" t="inlineStr">
        <is>
          <t>LLM</t>
        </is>
      </c>
      <c r="N2421" t="inlineStr">
        <is>
          <t>2026-04-18</t>
        </is>
      </c>
      <c r="O2421" t="inlineStr">
        <is>
          <t>AI</t>
        </is>
      </c>
    </row>
    <row r="2422">
      <c r="A2422" t="inlineStr">
        <is>
          <t>PT Jaya Agra Wattie Tbk</t>
        </is>
      </c>
      <c r="B2422" t="inlineStr">
        <is>
          <t>JAWA_2022_AR.pdf</t>
        </is>
      </c>
      <c r="C2422" t="n">
        <v>2022</v>
      </c>
      <c r="D2422" t="inlineStr">
        <is>
          <t>Asset</t>
        </is>
      </c>
      <c r="E2422" t="inlineStr">
        <is>
          <t>POM Design Capacity</t>
        </is>
      </c>
      <c r="F2422" t="n">
        <v>513000</v>
      </c>
      <c r="G2422" t="inlineStr">
        <is>
          <t>t/y</t>
        </is>
      </c>
      <c r="H2422" t="inlineStr">
        <is>
          <t>ops</t>
        </is>
      </c>
      <c r="I2422" t="inlineStr">
        <is>
          <t>Total Kapasitas Terpasang 513,000 ton</t>
        </is>
      </c>
      <c r="J2422" t="inlineStr">
        <is>
          <t>High</t>
        </is>
      </c>
      <c r="M2422" t="inlineStr">
        <is>
          <t>LLM</t>
        </is>
      </c>
      <c r="N2422" t="inlineStr">
        <is>
          <t>2026-04-18</t>
        </is>
      </c>
      <c r="O2422" t="inlineStr">
        <is>
          <t>AI</t>
        </is>
      </c>
    </row>
    <row r="2423">
      <c r="A2423" t="inlineStr">
        <is>
          <t>PT Jaya Agra Wattie Tbk</t>
        </is>
      </c>
      <c r="B2423" t="inlineStr">
        <is>
          <t>JAWA_2022_AR.pdf</t>
        </is>
      </c>
      <c r="C2423" t="n">
        <v>2022</v>
      </c>
      <c r="D2423" t="inlineStr">
        <is>
          <t>Asset</t>
        </is>
      </c>
      <c r="E2423" t="inlineStr">
        <is>
          <t>POM Used Capacity</t>
        </is>
      </c>
      <c r="F2423" t="n">
        <v>234924</v>
      </c>
      <c r="G2423" t="inlineStr">
        <is>
          <t>t</t>
        </is>
      </c>
      <c r="H2423" t="inlineStr">
        <is>
          <t>ops</t>
        </is>
      </c>
      <c r="I2423" t="inlineStr">
        <is>
          <t>Total Kapasitas Terpakai 234,924 (45.79%)</t>
        </is>
      </c>
      <c r="J2423" t="inlineStr">
        <is>
          <t>High</t>
        </is>
      </c>
      <c r="M2423" t="inlineStr">
        <is>
          <t>LLM</t>
        </is>
      </c>
      <c r="N2423" t="inlineStr">
        <is>
          <t>2026-04-18</t>
        </is>
      </c>
      <c r="O2423" t="inlineStr">
        <is>
          <t>AI</t>
        </is>
      </c>
    </row>
    <row r="2424">
      <c r="A2424" t="inlineStr">
        <is>
          <t>PT Jaya Agra Wattie Tbk</t>
        </is>
      </c>
      <c r="B2424" t="inlineStr">
        <is>
          <t>JAWA_2022_AR.pdf</t>
        </is>
      </c>
      <c r="C2424" t="n">
        <v>2022</v>
      </c>
      <c r="D2424" t="inlineStr">
        <is>
          <t>Asset</t>
        </is>
      </c>
      <c r="E2424" t="inlineStr">
        <is>
          <t>Rubber Sheet Capacity</t>
        </is>
      </c>
      <c r="F2424" t="n">
        <v>6386</v>
      </c>
      <c r="G2424" t="inlineStr">
        <is>
          <t>t/y</t>
        </is>
      </c>
      <c r="H2424" t="inlineStr">
        <is>
          <t>ops</t>
        </is>
      </c>
      <c r="I2424" t="inlineStr">
        <is>
          <t>Total Kapasitas Terpasang 6,386 (rubber sheet)</t>
        </is>
      </c>
      <c r="J2424" t="inlineStr">
        <is>
          <t>High</t>
        </is>
      </c>
      <c r="M2424" t="inlineStr">
        <is>
          <t>LLM</t>
        </is>
      </c>
      <c r="N2424" t="inlineStr">
        <is>
          <t>2026-04-18</t>
        </is>
      </c>
      <c r="O2424" t="inlineStr">
        <is>
          <t>AI</t>
        </is>
      </c>
    </row>
    <row r="2425">
      <c r="A2425" t="inlineStr">
        <is>
          <t>PT Jaya Agra Wattie Tbk</t>
        </is>
      </c>
      <c r="B2425" t="inlineStr">
        <is>
          <t>JAWA_2022_AR.pdf</t>
        </is>
      </c>
      <c r="C2425" t="n">
        <v>2022</v>
      </c>
      <c r="D2425" t="inlineStr">
        <is>
          <t>Asset</t>
        </is>
      </c>
      <c r="E2425" t="inlineStr">
        <is>
          <t>Rubber Crumb Capacity</t>
        </is>
      </c>
      <c r="F2425" t="n">
        <v>26040</v>
      </c>
      <c r="G2425" t="inlineStr">
        <is>
          <t>t/y</t>
        </is>
      </c>
      <c r="H2425" t="inlineStr">
        <is>
          <t>ops</t>
        </is>
      </c>
      <c r="I2425" t="inlineStr">
        <is>
          <t>Total Kapasitas Terpasang 26,040 (rubber crumb)</t>
        </is>
      </c>
      <c r="J2425" t="inlineStr">
        <is>
          <t>High</t>
        </is>
      </c>
      <c r="M2425" t="inlineStr">
        <is>
          <t>LLM</t>
        </is>
      </c>
      <c r="N2425" t="inlineStr">
        <is>
          <t>2026-04-18</t>
        </is>
      </c>
      <c r="O2425" t="inlineStr">
        <is>
          <t>AI</t>
        </is>
      </c>
    </row>
    <row r="2426">
      <c r="A2426" t="inlineStr">
        <is>
          <t>PT Jaya Agra Wattie Tbk</t>
        </is>
      </c>
      <c r="B2426" t="inlineStr">
        <is>
          <t>JAWA_2022_AR.pdf</t>
        </is>
      </c>
      <c r="C2426" t="n">
        <v>2022</v>
      </c>
      <c r="D2426" t="inlineStr">
        <is>
          <t>Operation</t>
        </is>
      </c>
      <c r="E2426" t="inlineStr">
        <is>
          <t>FFB Production (Nucleus)</t>
        </is>
      </c>
      <c r="F2426" t="n">
        <v>81206</v>
      </c>
      <c r="G2426" t="inlineStr">
        <is>
          <t>t</t>
        </is>
      </c>
      <c r="H2426" t="n">
        <v>5</v>
      </c>
      <c r="I2426" t="inlineStr">
        <is>
          <t>TBS Inti 81,206 (-10%)</t>
        </is>
      </c>
      <c r="J2426" t="inlineStr">
        <is>
          <t>High</t>
        </is>
      </c>
      <c r="M2426" t="inlineStr">
        <is>
          <t>LLM</t>
        </is>
      </c>
      <c r="N2426" t="inlineStr">
        <is>
          <t>2026-04-18</t>
        </is>
      </c>
      <c r="O2426" t="inlineStr">
        <is>
          <t>AI</t>
        </is>
      </c>
    </row>
    <row r="2427">
      <c r="A2427" t="inlineStr">
        <is>
          <t>PT Jaya Agra Wattie Tbk</t>
        </is>
      </c>
      <c r="B2427" t="inlineStr">
        <is>
          <t>JAWA_2022_AR.pdf</t>
        </is>
      </c>
      <c r="C2427" t="n">
        <v>2022</v>
      </c>
      <c r="D2427" t="inlineStr">
        <is>
          <t>Operation</t>
        </is>
      </c>
      <c r="E2427" t="inlineStr">
        <is>
          <t>CPO Production</t>
        </is>
      </c>
      <c r="F2427" t="n">
        <v>47983</v>
      </c>
      <c r="G2427" t="inlineStr">
        <is>
          <t>t</t>
        </is>
      </c>
      <c r="H2427" t="n">
        <v>5</v>
      </c>
      <c r="I2427" t="inlineStr">
        <is>
          <t>CPO 47,983 (+23%)</t>
        </is>
      </c>
      <c r="J2427" t="inlineStr">
        <is>
          <t>High</t>
        </is>
      </c>
      <c r="M2427" t="inlineStr">
        <is>
          <t>LLM</t>
        </is>
      </c>
      <c r="N2427" t="inlineStr">
        <is>
          <t>2026-04-18</t>
        </is>
      </c>
      <c r="O2427" t="inlineStr">
        <is>
          <t>AI</t>
        </is>
      </c>
    </row>
    <row r="2428">
      <c r="A2428" t="inlineStr">
        <is>
          <t>PT Jaya Agra Wattie Tbk</t>
        </is>
      </c>
      <c r="B2428" t="inlineStr">
        <is>
          <t>JAWA_2022_AR.pdf</t>
        </is>
      </c>
      <c r="C2428" t="n">
        <v>2022</v>
      </c>
      <c r="D2428" t="inlineStr">
        <is>
          <t>Operation</t>
        </is>
      </c>
      <c r="E2428" t="inlineStr">
        <is>
          <t>Kernel Production</t>
        </is>
      </c>
      <c r="F2428" t="n">
        <v>8573</v>
      </c>
      <c r="G2428" t="inlineStr">
        <is>
          <t>t</t>
        </is>
      </c>
      <c r="H2428" t="n">
        <v>5</v>
      </c>
      <c r="I2428" t="inlineStr">
        <is>
          <t>Kernel 8,573 (+25%)</t>
        </is>
      </c>
      <c r="J2428" t="inlineStr">
        <is>
          <t>High</t>
        </is>
      </c>
      <c r="M2428" t="inlineStr">
        <is>
          <t>LLM</t>
        </is>
      </c>
      <c r="N2428" t="inlineStr">
        <is>
          <t>2026-04-18</t>
        </is>
      </c>
      <c r="O2428" t="inlineStr">
        <is>
          <t>AI</t>
        </is>
      </c>
    </row>
    <row r="2429">
      <c r="A2429" t="inlineStr">
        <is>
          <t>PT Jaya Agra Wattie Tbk</t>
        </is>
      </c>
      <c r="B2429" t="inlineStr">
        <is>
          <t>JAWA_2022_AR.pdf</t>
        </is>
      </c>
      <c r="C2429" t="n">
        <v>2022</v>
      </c>
      <c r="D2429" t="inlineStr">
        <is>
          <t>Operation</t>
        </is>
      </c>
      <c r="E2429" t="inlineStr">
        <is>
          <t>Rubber Nucleus Production</t>
        </is>
      </c>
      <c r="F2429" t="n">
        <v>6280</v>
      </c>
      <c r="G2429" t="inlineStr">
        <is>
          <t>t</t>
        </is>
      </c>
      <c r="H2429" t="n">
        <v>5</v>
      </c>
      <c r="I2429" t="inlineStr">
        <is>
          <t>Karet - Inti 6,280 (-6%)</t>
        </is>
      </c>
      <c r="J2429" t="inlineStr">
        <is>
          <t>High</t>
        </is>
      </c>
      <c r="M2429" t="inlineStr">
        <is>
          <t>LLM</t>
        </is>
      </c>
      <c r="N2429" t="inlineStr">
        <is>
          <t>2026-04-18</t>
        </is>
      </c>
      <c r="O2429" t="inlineStr">
        <is>
          <t>AI</t>
        </is>
      </c>
    </row>
    <row r="2430">
      <c r="A2430" t="inlineStr">
        <is>
          <t>PT Jaya Agra Wattie Tbk</t>
        </is>
      </c>
      <c r="B2430" t="inlineStr">
        <is>
          <t>JAWA_2022_AR.pdf</t>
        </is>
      </c>
      <c r="C2430" t="n">
        <v>2022</v>
      </c>
      <c r="D2430" t="inlineStr">
        <is>
          <t>Operation</t>
        </is>
      </c>
      <c r="E2430" t="inlineStr">
        <is>
          <t>Rubber SH Production</t>
        </is>
      </c>
      <c r="F2430" t="n">
        <v>8655</v>
      </c>
      <c r="G2430" t="inlineStr">
        <is>
          <t>t</t>
        </is>
      </c>
      <c r="H2430" t="n">
        <v>5</v>
      </c>
      <c r="I2430" t="inlineStr">
        <is>
          <t>Karet - SH 8,655 (-7%)</t>
        </is>
      </c>
      <c r="J2430" t="inlineStr">
        <is>
          <t>High</t>
        </is>
      </c>
      <c r="M2430" t="inlineStr">
        <is>
          <t>LLM</t>
        </is>
      </c>
      <c r="N2430" t="inlineStr">
        <is>
          <t>2026-04-18</t>
        </is>
      </c>
      <c r="O2430" t="inlineStr">
        <is>
          <t>AI</t>
        </is>
      </c>
    </row>
    <row r="2431">
      <c r="A2431" t="inlineStr">
        <is>
          <t>PT Jaya Agra Wattie Tbk</t>
        </is>
      </c>
      <c r="B2431" t="inlineStr">
        <is>
          <t>JAWA_2022_AR.pdf</t>
        </is>
      </c>
      <c r="C2431" t="n">
        <v>2022</v>
      </c>
      <c r="D2431" t="inlineStr">
        <is>
          <t>Operation</t>
        </is>
      </c>
      <c r="E2431" t="inlineStr">
        <is>
          <t>Coffee Production</t>
        </is>
      </c>
      <c r="F2431" t="n">
        <v>23</v>
      </c>
      <c r="G2431" t="inlineStr">
        <is>
          <t>t</t>
        </is>
      </c>
      <c r="H2431" t="n">
        <v>5</v>
      </c>
      <c r="I2431" t="inlineStr">
        <is>
          <t>Kopi 23 ton</t>
        </is>
      </c>
      <c r="J2431" t="inlineStr">
        <is>
          <t>High</t>
        </is>
      </c>
      <c r="M2431" t="inlineStr">
        <is>
          <t>LLM</t>
        </is>
      </c>
      <c r="N2431" t="inlineStr">
        <is>
          <t>2026-04-18</t>
        </is>
      </c>
      <c r="O2431" t="inlineStr">
        <is>
          <t>AI</t>
        </is>
      </c>
    </row>
    <row r="2432">
      <c r="A2432" t="inlineStr">
        <is>
          <t>PT Jaya Agra Wattie Tbk</t>
        </is>
      </c>
      <c r="B2432" t="inlineStr">
        <is>
          <t>JAWA_2022_AR.pdf</t>
        </is>
      </c>
      <c r="C2432" t="n">
        <v>2022</v>
      </c>
      <c r="D2432" t="inlineStr">
        <is>
          <t>Operation</t>
        </is>
      </c>
      <c r="E2432" t="inlineStr">
        <is>
          <t>Tea Production</t>
        </is>
      </c>
      <c r="F2432" t="n">
        <v>1676</v>
      </c>
      <c r="G2432" t="inlineStr">
        <is>
          <t>t</t>
        </is>
      </c>
      <c r="H2432" t="n">
        <v>5</v>
      </c>
      <c r="I2432" t="inlineStr">
        <is>
          <t>Teh - Pucuk 1,676 (+31%)</t>
        </is>
      </c>
      <c r="J2432" t="inlineStr">
        <is>
          <t>High</t>
        </is>
      </c>
      <c r="M2432" t="inlineStr">
        <is>
          <t>LLM</t>
        </is>
      </c>
      <c r="N2432" t="inlineStr">
        <is>
          <t>2026-04-18</t>
        </is>
      </c>
      <c r="O2432" t="inlineStr">
        <is>
          <t>AI</t>
        </is>
      </c>
    </row>
    <row r="2433">
      <c r="A2433" t="inlineStr">
        <is>
          <t>PT Jaya Agra Wattie Tbk</t>
        </is>
      </c>
      <c r="B2433" t="inlineStr">
        <is>
          <t>JAWA_2022_AR.pdf</t>
        </is>
      </c>
      <c r="C2433" t="n">
        <v>2022</v>
      </c>
      <c r="D2433" t="inlineStr">
        <is>
          <t>Operation</t>
        </is>
      </c>
      <c r="E2433" t="inlineStr">
        <is>
          <t>FFB Yield</t>
        </is>
      </c>
      <c r="F2433" t="n">
        <v>4.94</v>
      </c>
      <c r="G2433" t="inlineStr">
        <is>
          <t>t/ha</t>
        </is>
      </c>
      <c r="H2433" t="n">
        <v>5</v>
      </c>
      <c r="I2433" t="inlineStr">
        <is>
          <t>Hasil TBS 4.94 Ton/Ha (-10%)</t>
        </is>
      </c>
      <c r="J2433" t="inlineStr">
        <is>
          <t>High</t>
        </is>
      </c>
      <c r="M2433" t="inlineStr">
        <is>
          <t>LLM</t>
        </is>
      </c>
      <c r="N2433" t="inlineStr">
        <is>
          <t>2026-04-18</t>
        </is>
      </c>
      <c r="O2433" t="inlineStr">
        <is>
          <t>AI</t>
        </is>
      </c>
    </row>
    <row r="2434">
      <c r="A2434" t="inlineStr">
        <is>
          <t>PT Jaya Agra Wattie Tbk</t>
        </is>
      </c>
      <c r="B2434" t="inlineStr">
        <is>
          <t>JAWA_2022_AR.pdf</t>
        </is>
      </c>
      <c r="C2434" t="n">
        <v>2022</v>
      </c>
      <c r="D2434" t="inlineStr">
        <is>
          <t>Operation</t>
        </is>
      </c>
      <c r="E2434" t="inlineStr">
        <is>
          <t>CPO Extraction Rate (OER)</t>
        </is>
      </c>
      <c r="F2434" t="n">
        <v>0.2042</v>
      </c>
      <c r="G2434" t="inlineStr">
        <is>
          <t>%</t>
        </is>
      </c>
      <c r="H2434" t="n">
        <v>5</v>
      </c>
      <c r="I2434" t="inlineStr">
        <is>
          <t>Tingkat Ekstraksi CPO 20.42%</t>
        </is>
      </c>
      <c r="J2434" t="inlineStr">
        <is>
          <t>High</t>
        </is>
      </c>
      <c r="M2434" t="inlineStr">
        <is>
          <t>LLM</t>
        </is>
      </c>
      <c r="N2434" t="inlineStr">
        <is>
          <t>2026-04-18</t>
        </is>
      </c>
      <c r="O2434" t="inlineStr">
        <is>
          <t>AI</t>
        </is>
      </c>
    </row>
    <row r="2435">
      <c r="A2435" t="inlineStr">
        <is>
          <t>PT Jaya Agra Wattie Tbk</t>
        </is>
      </c>
      <c r="B2435" t="inlineStr">
        <is>
          <t>JAWA_2022_AR.pdf</t>
        </is>
      </c>
      <c r="C2435" t="n">
        <v>2022</v>
      </c>
      <c r="D2435" t="inlineStr">
        <is>
          <t>Operation</t>
        </is>
      </c>
      <c r="E2435" t="inlineStr">
        <is>
          <t>Kernel Extraction Rate (KER)</t>
        </is>
      </c>
      <c r="F2435" t="n">
        <v>0.0365</v>
      </c>
      <c r="G2435" t="inlineStr">
        <is>
          <t>%</t>
        </is>
      </c>
      <c r="H2435" t="n">
        <v>5</v>
      </c>
      <c r="I2435" t="inlineStr">
        <is>
          <t>Tingkat Ekstraksi Kernel 3.65%</t>
        </is>
      </c>
      <c r="J2435" t="inlineStr">
        <is>
          <t>High</t>
        </is>
      </c>
      <c r="M2435" t="inlineStr">
        <is>
          <t>LLM</t>
        </is>
      </c>
      <c r="N2435" t="inlineStr">
        <is>
          <t>2026-04-18</t>
        </is>
      </c>
      <c r="O2435" t="inlineStr">
        <is>
          <t>AI</t>
        </is>
      </c>
    </row>
    <row r="2436">
      <c r="A2436" t="inlineStr">
        <is>
          <t>PT Jaya Agra Wattie Tbk</t>
        </is>
      </c>
      <c r="B2436" t="inlineStr">
        <is>
          <t>JAWA_2022_AR.pdf</t>
        </is>
      </c>
      <c r="C2436" t="n">
        <v>2022</v>
      </c>
      <c r="D2436" t="inlineStr">
        <is>
          <t>Operation</t>
        </is>
      </c>
      <c r="E2436" t="inlineStr">
        <is>
          <t>CPO Yield</t>
        </is>
      </c>
      <c r="F2436" t="n">
        <v>1.01</v>
      </c>
      <c r="G2436" t="inlineStr">
        <is>
          <t>t/ha</t>
        </is>
      </c>
      <c r="H2436" t="n">
        <v>5</v>
      </c>
      <c r="I2436" t="inlineStr">
        <is>
          <t>Hasil CPO 1.01</t>
        </is>
      </c>
      <c r="J2436" t="inlineStr">
        <is>
          <t>High</t>
        </is>
      </c>
      <c r="M2436" t="inlineStr">
        <is>
          <t>LLM</t>
        </is>
      </c>
      <c r="N2436" t="inlineStr">
        <is>
          <t>2026-04-18</t>
        </is>
      </c>
      <c r="O2436" t="inlineStr">
        <is>
          <t>AI</t>
        </is>
      </c>
    </row>
    <row r="2437">
      <c r="A2437" t="inlineStr">
        <is>
          <t>PT Jaya Agra Wattie Tbk</t>
        </is>
      </c>
      <c r="B2437" t="inlineStr">
        <is>
          <t>JAWA_2022_AR.pdf</t>
        </is>
      </c>
      <c r="C2437" t="n">
        <v>2022</v>
      </c>
      <c r="D2437" t="inlineStr">
        <is>
          <t>Operation</t>
        </is>
      </c>
      <c r="E2437" t="inlineStr">
        <is>
          <t>FFB Utilization</t>
        </is>
      </c>
      <c r="F2437" t="n">
        <v>0.4579</v>
      </c>
      <c r="G2437" t="inlineStr">
        <is>
          <t>%</t>
        </is>
      </c>
      <c r="H2437" t="n">
        <v>5</v>
      </c>
      <c r="I2437" t="inlineStr">
        <is>
          <t>TBS 45.79%</t>
        </is>
      </c>
      <c r="J2437" t="inlineStr">
        <is>
          <t>High</t>
        </is>
      </c>
      <c r="M2437" t="inlineStr">
        <is>
          <t>LLM</t>
        </is>
      </c>
      <c r="N2437" t="inlineStr">
        <is>
          <t>2026-04-18</t>
        </is>
      </c>
      <c r="O2437" t="inlineStr">
        <is>
          <t>AI</t>
        </is>
      </c>
    </row>
    <row r="2438">
      <c r="A2438" t="inlineStr">
        <is>
          <t>PT Jaya Agra Wattie Tbk</t>
        </is>
      </c>
      <c r="B2438" t="inlineStr">
        <is>
          <t>JAWA_2022_AR.pdf</t>
        </is>
      </c>
      <c r="C2438" t="n">
        <v>2022</v>
      </c>
      <c r="D2438" t="inlineStr">
        <is>
          <t>Operation</t>
        </is>
      </c>
      <c r="E2438" t="inlineStr">
        <is>
          <t>SIR Utilization</t>
        </is>
      </c>
      <c r="F2438" t="n">
        <v>0.48</v>
      </c>
      <c r="G2438" t="inlineStr">
        <is>
          <t>%</t>
        </is>
      </c>
      <c r="H2438" t="n">
        <v>5</v>
      </c>
      <c r="I2438" t="inlineStr">
        <is>
          <t>SIR 48.00%</t>
        </is>
      </c>
      <c r="J2438" t="inlineStr">
        <is>
          <t>High</t>
        </is>
      </c>
      <c r="M2438" t="inlineStr">
        <is>
          <t>LLM</t>
        </is>
      </c>
      <c r="N2438" t="inlineStr">
        <is>
          <t>2026-04-18</t>
        </is>
      </c>
      <c r="O2438" t="inlineStr">
        <is>
          <t>AI</t>
        </is>
      </c>
    </row>
    <row r="2439">
      <c r="A2439" t="inlineStr">
        <is>
          <t>PT Jaya Agra Wattie Tbk</t>
        </is>
      </c>
      <c r="B2439" t="inlineStr">
        <is>
          <t>JAWA_2022_AR.pdf</t>
        </is>
      </c>
      <c r="C2439" t="n">
        <v>2022</v>
      </c>
      <c r="D2439" t="inlineStr">
        <is>
          <t>Operation</t>
        </is>
      </c>
      <c r="E2439" t="inlineStr">
        <is>
          <t>RSS Utilization</t>
        </is>
      </c>
      <c r="F2439" t="n">
        <v>0.3815</v>
      </c>
      <c r="G2439" t="inlineStr">
        <is>
          <t>%</t>
        </is>
      </c>
      <c r="H2439" t="n">
        <v>5</v>
      </c>
      <c r="I2439" t="inlineStr">
        <is>
          <t>RSS 38.15%</t>
        </is>
      </c>
      <c r="J2439" t="inlineStr">
        <is>
          <t>High</t>
        </is>
      </c>
      <c r="M2439" t="inlineStr">
        <is>
          <t>LLM</t>
        </is>
      </c>
      <c r="N2439" t="inlineStr">
        <is>
          <t>2026-04-18</t>
        </is>
      </c>
      <c r="O2439" t="inlineStr">
        <is>
          <t>AI</t>
        </is>
      </c>
    </row>
    <row r="2440">
      <c r="A2440" t="inlineStr">
        <is>
          <t>PT Jaya Agra Wattie Tbk</t>
        </is>
      </c>
      <c r="B2440" t="inlineStr">
        <is>
          <t>JAWA_2022_AR.pdf</t>
        </is>
      </c>
      <c r="C2440" t="n">
        <v>2022</v>
      </c>
      <c r="D2440" t="inlineStr">
        <is>
          <t>Operation</t>
        </is>
      </c>
      <c r="E2440" t="inlineStr">
        <is>
          <t>CPO Sales Volume</t>
        </is>
      </c>
      <c r="F2440" t="n">
        <v>45918</v>
      </c>
      <c r="G2440" t="inlineStr">
        <is>
          <t>t</t>
        </is>
      </c>
      <c r="H2440" t="n">
        <v>5</v>
      </c>
      <c r="I2440" t="inlineStr">
        <is>
          <t>CPO 45,918 (+17%)</t>
        </is>
      </c>
      <c r="J2440" t="inlineStr">
        <is>
          <t>High</t>
        </is>
      </c>
      <c r="M2440" t="inlineStr">
        <is>
          <t>LLM</t>
        </is>
      </c>
      <c r="N2440" t="inlineStr">
        <is>
          <t>2026-04-18</t>
        </is>
      </c>
      <c r="O2440" t="inlineStr">
        <is>
          <t>AI</t>
        </is>
      </c>
    </row>
    <row r="2441">
      <c r="A2441" t="inlineStr">
        <is>
          <t>PT Jaya Agra Wattie Tbk</t>
        </is>
      </c>
      <c r="B2441" t="inlineStr">
        <is>
          <t>JAWA_2022_AR.pdf</t>
        </is>
      </c>
      <c r="C2441" t="n">
        <v>2022</v>
      </c>
      <c r="D2441" t="inlineStr">
        <is>
          <t>Operation</t>
        </is>
      </c>
      <c r="E2441" t="inlineStr">
        <is>
          <t>Kernel Sales Volume</t>
        </is>
      </c>
      <c r="F2441" t="n">
        <v>6941</v>
      </c>
      <c r="G2441" t="inlineStr">
        <is>
          <t>t</t>
        </is>
      </c>
      <c r="H2441" t="n">
        <v>5</v>
      </c>
      <c r="I2441" t="inlineStr">
        <is>
          <t>Kernel 6,941</t>
        </is>
      </c>
      <c r="J2441" t="inlineStr">
        <is>
          <t>High</t>
        </is>
      </c>
      <c r="M2441" t="inlineStr">
        <is>
          <t>LLM</t>
        </is>
      </c>
      <c r="N2441" t="inlineStr">
        <is>
          <t>2026-04-18</t>
        </is>
      </c>
      <c r="O2441" t="inlineStr">
        <is>
          <t>AI</t>
        </is>
      </c>
    </row>
    <row r="2442">
      <c r="A2442" t="inlineStr">
        <is>
          <t>PT Jaya Agra Wattie Tbk</t>
        </is>
      </c>
      <c r="B2442" t="inlineStr">
        <is>
          <t>JAWA_2022_AR.pdf</t>
        </is>
      </c>
      <c r="C2442" t="n">
        <v>2022</v>
      </c>
      <c r="D2442" t="inlineStr">
        <is>
          <t>Operation</t>
        </is>
      </c>
      <c r="E2442" t="inlineStr">
        <is>
          <t>SIR Sales Volume</t>
        </is>
      </c>
      <c r="F2442" t="n">
        <v>11415</v>
      </c>
      <c r="G2442" t="inlineStr">
        <is>
          <t>t</t>
        </is>
      </c>
      <c r="H2442" t="n">
        <v>5</v>
      </c>
      <c r="I2442" t="inlineStr">
        <is>
          <t>SIR 11,415</t>
        </is>
      </c>
      <c r="J2442" t="inlineStr">
        <is>
          <t>High</t>
        </is>
      </c>
      <c r="M2442" t="inlineStr">
        <is>
          <t>LLM</t>
        </is>
      </c>
      <c r="N2442" t="inlineStr">
        <is>
          <t>2026-04-18</t>
        </is>
      </c>
      <c r="O2442" t="inlineStr">
        <is>
          <t>AI</t>
        </is>
      </c>
    </row>
    <row r="2443">
      <c r="A2443" t="inlineStr">
        <is>
          <t>PT Jaya Agra Wattie Tbk</t>
        </is>
      </c>
      <c r="B2443" t="inlineStr">
        <is>
          <t>JAWA_2022_AR.pdf</t>
        </is>
      </c>
      <c r="C2443" t="n">
        <v>2022</v>
      </c>
      <c r="D2443" t="inlineStr">
        <is>
          <t>Operation</t>
        </is>
      </c>
      <c r="E2443" t="inlineStr">
        <is>
          <t>RSS Sales Volume</t>
        </is>
      </c>
      <c r="F2443" t="n">
        <v>2188</v>
      </c>
      <c r="G2443" t="inlineStr">
        <is>
          <t>t</t>
        </is>
      </c>
      <c r="H2443" t="n">
        <v>5</v>
      </c>
      <c r="I2443" t="inlineStr">
        <is>
          <t>RSS 2,188</t>
        </is>
      </c>
      <c r="J2443" t="inlineStr">
        <is>
          <t>High</t>
        </is>
      </c>
      <c r="M2443" t="inlineStr">
        <is>
          <t>LLM</t>
        </is>
      </c>
      <c r="N2443" t="inlineStr">
        <is>
          <t>2026-04-18</t>
        </is>
      </c>
      <c r="O2443" t="inlineStr">
        <is>
          <t>AI</t>
        </is>
      </c>
    </row>
    <row r="2444">
      <c r="A2444" t="inlineStr">
        <is>
          <t>PT Jaya Agra Wattie Tbk</t>
        </is>
      </c>
      <c r="B2444" t="inlineStr">
        <is>
          <t>JAWA_2022_AR.pdf</t>
        </is>
      </c>
      <c r="C2444" t="n">
        <v>2022</v>
      </c>
      <c r="D2444" t="inlineStr">
        <is>
          <t>Operation</t>
        </is>
      </c>
      <c r="E2444" t="inlineStr">
        <is>
          <t>Avg CPO Price</t>
        </is>
      </c>
      <c r="F2444" t="n">
        <v>12337</v>
      </c>
      <c r="G2444" t="inlineStr">
        <is>
          <t>Rp/kg</t>
        </is>
      </c>
      <c r="H2444" t="n">
        <v>5</v>
      </c>
      <c r="I2444" t="inlineStr">
        <is>
          <t>CPO Rp'000/ton 12,337 (+12%)</t>
        </is>
      </c>
      <c r="J2444" t="inlineStr">
        <is>
          <t>High</t>
        </is>
      </c>
      <c r="M2444" t="inlineStr">
        <is>
          <t>LLM</t>
        </is>
      </c>
      <c r="N2444" t="inlineStr">
        <is>
          <t>2026-04-18</t>
        </is>
      </c>
      <c r="O2444" t="inlineStr">
        <is>
          <t>AI</t>
        </is>
      </c>
    </row>
    <row r="2445">
      <c r="A2445" t="inlineStr">
        <is>
          <t>PT Jaya Agra Wattie Tbk</t>
        </is>
      </c>
      <c r="B2445" t="inlineStr">
        <is>
          <t>JAWA_2022_AR.pdf</t>
        </is>
      </c>
      <c r="C2445" t="n">
        <v>2022</v>
      </c>
      <c r="D2445" t="inlineStr">
        <is>
          <t>Operation</t>
        </is>
      </c>
      <c r="E2445" t="inlineStr">
        <is>
          <t>Avg Kernel Price</t>
        </is>
      </c>
      <c r="F2445" t="n">
        <v>8175</v>
      </c>
      <c r="G2445" t="inlineStr">
        <is>
          <t>Rp/kg</t>
        </is>
      </c>
      <c r="H2445" t="n">
        <v>5</v>
      </c>
      <c r="I2445" t="inlineStr">
        <is>
          <t>Kernel 8,175 (+20%)</t>
        </is>
      </c>
      <c r="J2445" t="inlineStr">
        <is>
          <t>High</t>
        </is>
      </c>
      <c r="M2445" t="inlineStr">
        <is>
          <t>LLM</t>
        </is>
      </c>
      <c r="N2445" t="inlineStr">
        <is>
          <t>2026-04-18</t>
        </is>
      </c>
      <c r="O2445" t="inlineStr">
        <is>
          <t>AI</t>
        </is>
      </c>
    </row>
    <row r="2446">
      <c r="A2446" t="inlineStr">
        <is>
          <t>PT Jaya Agra Wattie Tbk</t>
        </is>
      </c>
      <c r="B2446" t="inlineStr">
        <is>
          <t>JAWA_2022_AR.pdf</t>
        </is>
      </c>
      <c r="C2446" t="n">
        <v>2022</v>
      </c>
      <c r="D2446" t="inlineStr">
        <is>
          <t>Operation</t>
        </is>
      </c>
      <c r="E2446" t="inlineStr">
        <is>
          <t>Avg SIR Price</t>
        </is>
      </c>
      <c r="F2446" t="n">
        <v>24526</v>
      </c>
      <c r="G2446" t="inlineStr">
        <is>
          <t>Rp/kg</t>
        </is>
      </c>
      <c r="H2446" t="n">
        <v>5</v>
      </c>
      <c r="I2446" t="inlineStr">
        <is>
          <t>SIR 24,526 (-2%)</t>
        </is>
      </c>
      <c r="J2446" t="inlineStr">
        <is>
          <t>High</t>
        </is>
      </c>
      <c r="M2446" t="inlineStr">
        <is>
          <t>LLM</t>
        </is>
      </c>
      <c r="N2446" t="inlineStr">
        <is>
          <t>2026-04-18</t>
        </is>
      </c>
      <c r="O2446" t="inlineStr">
        <is>
          <t>AI</t>
        </is>
      </c>
    </row>
    <row r="2447">
      <c r="A2447" t="inlineStr">
        <is>
          <t>PT Jaya Agra Wattie Tbk</t>
        </is>
      </c>
      <c r="B2447" t="inlineStr">
        <is>
          <t>JAWA_2022_AR.pdf</t>
        </is>
      </c>
      <c r="C2447" t="n">
        <v>2022</v>
      </c>
      <c r="D2447" t="inlineStr">
        <is>
          <t>Operation</t>
        </is>
      </c>
      <c r="E2447" t="inlineStr">
        <is>
          <t>Avg RSS Price</t>
        </is>
      </c>
      <c r="F2447" t="n">
        <v>27346</v>
      </c>
      <c r="G2447" t="inlineStr">
        <is>
          <t>Rp/kg</t>
        </is>
      </c>
      <c r="H2447" t="n">
        <v>5</v>
      </c>
      <c r="I2447" t="inlineStr">
        <is>
          <t>RSS 27,346</t>
        </is>
      </c>
      <c r="J2447" t="inlineStr">
        <is>
          <t>High</t>
        </is>
      </c>
      <c r="M2447" t="inlineStr">
        <is>
          <t>LLM</t>
        </is>
      </c>
      <c r="N2447" t="inlineStr">
        <is>
          <t>2026-04-18</t>
        </is>
      </c>
      <c r="O2447" t="inlineStr">
        <is>
          <t>AI</t>
        </is>
      </c>
    </row>
    <row r="2448">
      <c r="A2448" t="inlineStr">
        <is>
          <t>PT Jaya Agra Wattie Tbk</t>
        </is>
      </c>
      <c r="B2448" t="inlineStr">
        <is>
          <t>JAWA_2023_AR.pdf</t>
        </is>
      </c>
      <c r="C2448" t="n">
        <v>2023</v>
      </c>
      <c r="D2448" t="inlineStr">
        <is>
          <t>Company</t>
        </is>
      </c>
      <c r="E2448" t="inlineStr">
        <is>
          <t>Company Name</t>
        </is>
      </c>
      <c r="F2448" t="inlineStr">
        <is>
          <t>PT Jaya Agra Wattie Tbk</t>
        </is>
      </c>
      <c r="G2448" t="inlineStr">
        <is>
          <t>text</t>
        </is>
      </c>
      <c r="H2448" t="n">
        <v>9</v>
      </c>
      <c r="I2448" t="inlineStr">
        <is>
          <t>PT Jaya Agra Wattie Tbk</t>
        </is>
      </c>
      <c r="J2448" t="inlineStr">
        <is>
          <t>High</t>
        </is>
      </c>
      <c r="M2448" t="inlineStr">
        <is>
          <t>LLM</t>
        </is>
      </c>
      <c r="N2448" t="inlineStr">
        <is>
          <t>2026-04-18</t>
        </is>
      </c>
      <c r="O2448" t="inlineStr">
        <is>
          <t>AI</t>
        </is>
      </c>
    </row>
    <row r="2449">
      <c r="A2449" t="inlineStr">
        <is>
          <t>PT Jaya Agra Wattie Tbk</t>
        </is>
      </c>
      <c r="B2449" t="inlineStr">
        <is>
          <t>JAWA_2023_AR.pdf</t>
        </is>
      </c>
      <c r="C2449" t="n">
        <v>2023</v>
      </c>
      <c r="D2449" t="inlineStr">
        <is>
          <t>Company</t>
        </is>
      </c>
      <c r="E2449" t="inlineStr">
        <is>
          <t>Ticker</t>
        </is>
      </c>
      <c r="F2449" t="inlineStr">
        <is>
          <t>JAWA</t>
        </is>
      </c>
      <c r="G2449" t="inlineStr">
        <is>
          <t>text</t>
        </is>
      </c>
      <c r="H2449" t="n">
        <v>17</v>
      </c>
      <c r="I2449" t="inlineStr">
        <is>
          <t>kode saham JAWA</t>
        </is>
      </c>
      <c r="J2449" t="inlineStr">
        <is>
          <t>High</t>
        </is>
      </c>
      <c r="M2449" t="inlineStr">
        <is>
          <t>LLM</t>
        </is>
      </c>
      <c r="N2449" t="inlineStr">
        <is>
          <t>2026-04-18</t>
        </is>
      </c>
      <c r="O2449" t="inlineStr">
        <is>
          <t>AI</t>
        </is>
      </c>
    </row>
    <row r="2450">
      <c r="A2450" t="inlineStr">
        <is>
          <t>PT Jaya Agra Wattie Tbk</t>
        </is>
      </c>
      <c r="B2450" t="inlineStr">
        <is>
          <t>JAWA_2023_AR.pdf</t>
        </is>
      </c>
      <c r="C2450" t="n">
        <v>2023</v>
      </c>
      <c r="D2450" t="inlineStr">
        <is>
          <t>Company</t>
        </is>
      </c>
      <c r="E2450" t="inlineStr">
        <is>
          <t>Controlling Shareholder Post-PMTHMETD</t>
        </is>
      </c>
      <c r="F2450" t="inlineStr">
        <is>
          <t>PT Sarana Agro Investama 95.35%</t>
        </is>
      </c>
      <c r="G2450" t="inlineStr">
        <is>
          <t>%</t>
        </is>
      </c>
      <c r="H2450" t="n">
        <v>61</v>
      </c>
      <c r="I2450" t="inlineStr">
        <is>
          <t>PT Sarana Agro Investama 15,478,014,727 95.35%</t>
        </is>
      </c>
      <c r="J2450" t="inlineStr">
        <is>
          <t>High</t>
        </is>
      </c>
      <c r="M2450" t="inlineStr">
        <is>
          <t>LLM</t>
        </is>
      </c>
      <c r="N2450" t="inlineStr">
        <is>
          <t>2026-04-18</t>
        </is>
      </c>
      <c r="O2450" t="inlineStr">
        <is>
          <t>AI</t>
        </is>
      </c>
    </row>
    <row r="2451">
      <c r="A2451" t="inlineStr">
        <is>
          <t>PT Jaya Agra Wattie Tbk</t>
        </is>
      </c>
      <c r="B2451" t="inlineStr">
        <is>
          <t>JAWA_2023_AR.pdf</t>
        </is>
      </c>
      <c r="C2451" t="n">
        <v>2023</v>
      </c>
      <c r="D2451" t="inlineStr">
        <is>
          <t>Company</t>
        </is>
      </c>
      <c r="E2451" t="inlineStr">
        <is>
          <t>PMTHMETD 2023 - Shares Issued</t>
        </is>
      </c>
      <c r="F2451" t="n">
        <v>12458266342</v>
      </c>
      <c r="G2451" t="inlineStr">
        <is>
          <t>shares</t>
        </is>
      </c>
      <c r="H2451" t="n">
        <v>21</v>
      </c>
      <c r="I2451" t="inlineStr">
        <is>
          <t>Jumlah Saham Tambahan Hasil Pelaksanaan PMTHMETD 12,458,266,342</t>
        </is>
      </c>
      <c r="J2451" t="inlineStr">
        <is>
          <t>High</t>
        </is>
      </c>
      <c r="M2451" t="inlineStr">
        <is>
          <t>LLM</t>
        </is>
      </c>
      <c r="N2451" t="inlineStr">
        <is>
          <t>2026-04-18</t>
        </is>
      </c>
      <c r="O2451" t="inlineStr">
        <is>
          <t>AI</t>
        </is>
      </c>
    </row>
    <row r="2452">
      <c r="A2452" t="inlineStr">
        <is>
          <t>PT Jaya Agra Wattie Tbk</t>
        </is>
      </c>
      <c r="B2452" t="inlineStr">
        <is>
          <t>JAWA_2023_AR.pdf</t>
        </is>
      </c>
      <c r="C2452" t="n">
        <v>2023</v>
      </c>
      <c r="D2452" t="inlineStr">
        <is>
          <t>Company</t>
        </is>
      </c>
      <c r="E2452" t="inlineStr">
        <is>
          <t>PMTHMETD Exercise Date</t>
        </is>
      </c>
      <c r="F2452" t="inlineStr">
        <is>
          <t>22 November 2023</t>
        </is>
      </c>
      <c r="G2452" t="inlineStr">
        <is>
          <t>date</t>
        </is>
      </c>
      <c r="H2452" t="n">
        <v>21</v>
      </c>
      <c r="I2452" t="inlineStr">
        <is>
          <t>Tanggal Pelaksanaan 22 November 2023</t>
        </is>
      </c>
      <c r="J2452" t="inlineStr">
        <is>
          <t>High</t>
        </is>
      </c>
      <c r="M2452" t="inlineStr">
        <is>
          <t>LLM</t>
        </is>
      </c>
      <c r="N2452" t="inlineStr">
        <is>
          <t>2026-04-18</t>
        </is>
      </c>
      <c r="O2452" t="inlineStr">
        <is>
          <t>AI</t>
        </is>
      </c>
    </row>
    <row r="2453">
      <c r="A2453" t="inlineStr">
        <is>
          <t>PT Jaya Agra Wattie Tbk</t>
        </is>
      </c>
      <c r="B2453" t="inlineStr">
        <is>
          <t>JAWA_2023_AR.pdf</t>
        </is>
      </c>
      <c r="C2453" t="n">
        <v>2023</v>
      </c>
      <c r="D2453" t="inlineStr">
        <is>
          <t>Company</t>
        </is>
      </c>
      <c r="E2453" t="inlineStr">
        <is>
          <t>Dilution Impact</t>
        </is>
      </c>
      <c r="F2453" t="n">
        <v>0.767427</v>
      </c>
      <c r="G2453" t="inlineStr">
        <is>
          <t>%</t>
        </is>
      </c>
      <c r="H2453" t="n">
        <v>21</v>
      </c>
      <c r="I2453" t="inlineStr">
        <is>
          <t>Dampak Dilusi 76.7427%</t>
        </is>
      </c>
      <c r="J2453" t="inlineStr">
        <is>
          <t>High</t>
        </is>
      </c>
      <c r="M2453" t="inlineStr">
        <is>
          <t>LLM</t>
        </is>
      </c>
      <c r="N2453" t="inlineStr">
        <is>
          <t>2026-04-18</t>
        </is>
      </c>
      <c r="O2453" t="inlineStr">
        <is>
          <t>AI</t>
        </is>
      </c>
    </row>
    <row r="2454">
      <c r="A2454" t="inlineStr">
        <is>
          <t>PT Jaya Agra Wattie Tbk</t>
        </is>
      </c>
      <c r="B2454" t="inlineStr">
        <is>
          <t>JAWA_2023_AR.pdf</t>
        </is>
      </c>
      <c r="C2454" t="n">
        <v>2023</v>
      </c>
      <c r="D2454" t="inlineStr">
        <is>
          <t>Company</t>
        </is>
      </c>
      <c r="E2454" t="inlineStr">
        <is>
          <t>Special Monitoring Listing</t>
        </is>
      </c>
      <c r="F2454" t="inlineStr">
        <is>
          <t>Criteria 10, 1-30 Nov 2023</t>
        </is>
      </c>
      <c r="G2454" t="inlineStr">
        <is>
          <t>text</t>
        </is>
      </c>
      <c r="H2454" t="n">
        <v>19</v>
      </c>
      <c r="I2454" t="inlineStr">
        <is>
          <t>Efek bersifat Ekuitas dalam Pemantauan Khusus dengan Kriteria 10</t>
        </is>
      </c>
      <c r="J2454" t="inlineStr">
        <is>
          <t>High</t>
        </is>
      </c>
      <c r="M2454" t="inlineStr">
        <is>
          <t>LLM</t>
        </is>
      </c>
      <c r="N2454" t="inlineStr">
        <is>
          <t>2026-04-18</t>
        </is>
      </c>
      <c r="O2454" t="inlineStr">
        <is>
          <t>AI</t>
        </is>
      </c>
    </row>
    <row r="2455">
      <c r="A2455" t="inlineStr">
        <is>
          <t>PT Jaya Agra Wattie Tbk</t>
        </is>
      </c>
      <c r="B2455" t="inlineStr">
        <is>
          <t>JAWA_2023_AR.pdf</t>
        </is>
      </c>
      <c r="C2455" t="n">
        <v>2023</v>
      </c>
      <c r="D2455" t="inlineStr">
        <is>
          <t>Company</t>
        </is>
      </c>
      <c r="E2455" t="inlineStr">
        <is>
          <t>Trading Suspensions 2023</t>
        </is>
      </c>
      <c r="F2455" t="inlineStr">
        <is>
          <t>10-11 Oct 2023 and 17-31 Oct 2023</t>
        </is>
      </c>
      <c r="G2455" t="inlineStr">
        <is>
          <t>text</t>
        </is>
      </c>
      <c r="H2455" t="n">
        <v>19</v>
      </c>
      <c r="I2455" t="inlineStr">
        <is>
          <t>Perseroan mengalami penghentian sementara oleh BEI</t>
        </is>
      </c>
      <c r="J2455" t="inlineStr">
        <is>
          <t>High</t>
        </is>
      </c>
      <c r="M2455" t="inlineStr">
        <is>
          <t>LLM</t>
        </is>
      </c>
      <c r="N2455" t="inlineStr">
        <is>
          <t>2026-04-18</t>
        </is>
      </c>
      <c r="O2455" t="inlineStr">
        <is>
          <t>AI</t>
        </is>
      </c>
    </row>
    <row r="2456">
      <c r="A2456" t="inlineStr">
        <is>
          <t>PT Jaya Agra Wattie Tbk</t>
        </is>
      </c>
      <c r="B2456" t="inlineStr">
        <is>
          <t>JAWA_2023_AR.pdf</t>
        </is>
      </c>
      <c r="C2456" t="n">
        <v>2023</v>
      </c>
      <c r="D2456" t="inlineStr">
        <is>
          <t>Company</t>
        </is>
      </c>
      <c r="E2456" t="inlineStr">
        <is>
          <t>Employee Count</t>
        </is>
      </c>
      <c r="F2456" t="n">
        <v>7148</v>
      </c>
      <c r="G2456" t="inlineStr">
        <is>
          <t>persons</t>
        </is>
      </c>
      <c r="H2456" t="n">
        <v>68</v>
      </c>
      <c r="I2456" t="inlineStr">
        <is>
          <t>7,148 orang pada 2023</t>
        </is>
      </c>
      <c r="J2456" t="inlineStr">
        <is>
          <t>High</t>
        </is>
      </c>
      <c r="M2456" t="inlineStr">
        <is>
          <t>LLM</t>
        </is>
      </c>
      <c r="N2456" t="inlineStr">
        <is>
          <t>2026-04-18</t>
        </is>
      </c>
      <c r="O2456" t="inlineStr">
        <is>
          <t>AI</t>
        </is>
      </c>
    </row>
    <row r="2457">
      <c r="A2457" t="inlineStr">
        <is>
          <t>PT Jaya Agra Wattie Tbk</t>
        </is>
      </c>
      <c r="B2457" t="inlineStr">
        <is>
          <t>JAWA_2023_AR.pdf</t>
        </is>
      </c>
      <c r="C2457" t="n">
        <v>2023</v>
      </c>
      <c r="D2457" t="inlineStr">
        <is>
          <t>Financial</t>
        </is>
      </c>
      <c r="E2457" t="inlineStr">
        <is>
          <t>Net Sales</t>
        </is>
      </c>
      <c r="F2457" t="n">
        <v>896</v>
      </c>
      <c r="G2457" t="inlineStr">
        <is>
          <t>IDR bn</t>
        </is>
      </c>
      <c r="H2457" t="n">
        <v>9</v>
      </c>
      <c r="I2457" t="inlineStr">
        <is>
          <t>Penjualan Bersih 896,152 (Rp juta)</t>
        </is>
      </c>
      <c r="J2457" t="inlineStr">
        <is>
          <t>High</t>
        </is>
      </c>
      <c r="M2457" t="inlineStr">
        <is>
          <t>LLM</t>
        </is>
      </c>
      <c r="N2457" t="inlineStr">
        <is>
          <t>2026-04-18</t>
        </is>
      </c>
      <c r="O2457" t="inlineStr">
        <is>
          <t>AI</t>
        </is>
      </c>
    </row>
    <row r="2458">
      <c r="A2458" t="inlineStr">
        <is>
          <t>PT Jaya Agra Wattie Tbk</t>
        </is>
      </c>
      <c r="B2458" t="inlineStr">
        <is>
          <t>JAWA_2023_AR.pdf</t>
        </is>
      </c>
      <c r="C2458" t="n">
        <v>2023</v>
      </c>
      <c r="D2458" t="inlineStr">
        <is>
          <t>Financial</t>
        </is>
      </c>
      <c r="E2458" t="inlineStr">
        <is>
          <t>Gross Profit (Loss)</t>
        </is>
      </c>
      <c r="F2458" t="n">
        <v>-16</v>
      </c>
      <c r="G2458" t="inlineStr">
        <is>
          <t>IDR bn</t>
        </is>
      </c>
      <c r="H2458" t="n">
        <v>9</v>
      </c>
      <c r="I2458" t="inlineStr">
        <is>
          <t>Laba Kotor (15,961) - negative</t>
        </is>
      </c>
      <c r="J2458" t="inlineStr">
        <is>
          <t>High</t>
        </is>
      </c>
      <c r="M2458" t="inlineStr">
        <is>
          <t>LLM</t>
        </is>
      </c>
      <c r="N2458" t="inlineStr">
        <is>
          <t>2026-04-18</t>
        </is>
      </c>
      <c r="O2458" t="inlineStr">
        <is>
          <t>AI</t>
        </is>
      </c>
    </row>
    <row r="2459">
      <c r="A2459" t="inlineStr">
        <is>
          <t>PT Jaya Agra Wattie Tbk</t>
        </is>
      </c>
      <c r="B2459" t="inlineStr">
        <is>
          <t>JAWA_2023_AR.pdf</t>
        </is>
      </c>
      <c r="C2459" t="n">
        <v>2023</v>
      </c>
      <c r="D2459" t="inlineStr">
        <is>
          <t>Financial</t>
        </is>
      </c>
      <c r="E2459" t="inlineStr">
        <is>
          <t>COGS</t>
        </is>
      </c>
      <c r="F2459" t="n">
        <v>912</v>
      </c>
      <c r="G2459" t="inlineStr">
        <is>
          <t>IDR bn</t>
        </is>
      </c>
      <c r="H2459" t="n">
        <v>9</v>
      </c>
      <c r="I2459" t="inlineStr">
        <is>
          <t>Beban Pokok Penjualan 912,113</t>
        </is>
      </c>
      <c r="J2459" t="inlineStr">
        <is>
          <t>High</t>
        </is>
      </c>
      <c r="M2459" t="inlineStr">
        <is>
          <t>LLM</t>
        </is>
      </c>
      <c r="N2459" t="inlineStr">
        <is>
          <t>2026-04-18</t>
        </is>
      </c>
      <c r="O2459" t="inlineStr">
        <is>
          <t>AI</t>
        </is>
      </c>
    </row>
    <row r="2460">
      <c r="A2460" t="inlineStr">
        <is>
          <t>PT Jaya Agra Wattie Tbk</t>
        </is>
      </c>
      <c r="B2460" t="inlineStr">
        <is>
          <t>JAWA_2023_AR.pdf</t>
        </is>
      </c>
      <c r="C2460" t="n">
        <v>2023</v>
      </c>
      <c r="D2460" t="inlineStr">
        <is>
          <t>Financial</t>
        </is>
      </c>
      <c r="E2460" t="inlineStr">
        <is>
          <t>Operating Expense</t>
        </is>
      </c>
      <c r="F2460" t="n">
        <v>57</v>
      </c>
      <c r="G2460" t="inlineStr">
        <is>
          <t>IDR bn</t>
        </is>
      </c>
      <c r="H2460" t="n">
        <v>93</v>
      </c>
      <c r="I2460" t="inlineStr">
        <is>
          <t>Beban Usaha (57,298)</t>
        </is>
      </c>
      <c r="J2460" t="inlineStr">
        <is>
          <t>High</t>
        </is>
      </c>
      <c r="M2460" t="inlineStr">
        <is>
          <t>LLM</t>
        </is>
      </c>
      <c r="N2460" t="inlineStr">
        <is>
          <t>2026-04-18</t>
        </is>
      </c>
      <c r="O2460" t="inlineStr">
        <is>
          <t>AI</t>
        </is>
      </c>
    </row>
    <row r="2461">
      <c r="A2461" t="inlineStr">
        <is>
          <t>PT Jaya Agra Wattie Tbk</t>
        </is>
      </c>
      <c r="B2461" t="inlineStr">
        <is>
          <t>JAWA_2023_AR.pdf</t>
        </is>
      </c>
      <c r="C2461" t="n">
        <v>2023</v>
      </c>
      <c r="D2461" t="inlineStr">
        <is>
          <t>Financial</t>
        </is>
      </c>
      <c r="E2461" t="inlineStr">
        <is>
          <t>EBIT (Operating Loss)</t>
        </is>
      </c>
      <c r="F2461" t="n">
        <v>-73</v>
      </c>
      <c r="G2461" t="inlineStr">
        <is>
          <t>IDR bn</t>
        </is>
      </c>
      <c r="H2461" t="n">
        <v>272</v>
      </c>
      <c r="I2461" t="inlineStr">
        <is>
          <t>Laba (rugi) usaha segmen (73,259,743,565) consolidated</t>
        </is>
      </c>
      <c r="J2461" t="inlineStr">
        <is>
          <t>High</t>
        </is>
      </c>
      <c r="M2461" t="inlineStr">
        <is>
          <t>LLM</t>
        </is>
      </c>
      <c r="N2461" t="inlineStr">
        <is>
          <t>2026-04-18</t>
        </is>
      </c>
      <c r="O2461" t="inlineStr">
        <is>
          <t>AI</t>
        </is>
      </c>
    </row>
    <row r="2462">
      <c r="A2462" t="inlineStr">
        <is>
          <t>PT Jaya Agra Wattie Tbk</t>
        </is>
      </c>
      <c r="B2462" t="inlineStr">
        <is>
          <t>JAWA_2023_AR.pdf</t>
        </is>
      </c>
      <c r="C2462" t="n">
        <v>2023</v>
      </c>
      <c r="D2462" t="inlineStr">
        <is>
          <t>Financial</t>
        </is>
      </c>
      <c r="E2462" t="inlineStr">
        <is>
          <t>Net Loss for Year</t>
        </is>
      </c>
      <c r="F2462" t="n">
        <v>-304</v>
      </c>
      <c r="G2462" t="inlineStr">
        <is>
          <t>IDR bn</t>
        </is>
      </c>
      <c r="H2462" t="n">
        <v>9</v>
      </c>
      <c r="I2462" t="inlineStr">
        <is>
          <t>Laba (Rugi) Tahun Berjalan (303,853)</t>
        </is>
      </c>
      <c r="J2462" t="inlineStr">
        <is>
          <t>High</t>
        </is>
      </c>
      <c r="M2462" t="inlineStr">
        <is>
          <t>LLM</t>
        </is>
      </c>
      <c r="N2462" t="inlineStr">
        <is>
          <t>2026-04-18</t>
        </is>
      </c>
      <c r="O2462" t="inlineStr">
        <is>
          <t>AI</t>
        </is>
      </c>
    </row>
    <row r="2463">
      <c r="A2463" t="inlineStr">
        <is>
          <t>PT Jaya Agra Wattie Tbk</t>
        </is>
      </c>
      <c r="B2463" t="inlineStr">
        <is>
          <t>JAWA_2023_AR.pdf</t>
        </is>
      </c>
      <c r="C2463" t="n">
        <v>2023</v>
      </c>
      <c r="D2463" t="inlineStr">
        <is>
          <t>Financial</t>
        </is>
      </c>
      <c r="E2463" t="inlineStr">
        <is>
          <t>Loss to Parent</t>
        </is>
      </c>
      <c r="F2463" t="n">
        <v>-302</v>
      </c>
      <c r="G2463" t="inlineStr">
        <is>
          <t>IDR bn</t>
        </is>
      </c>
      <c r="H2463" t="n">
        <v>9</v>
      </c>
      <c r="I2463" t="inlineStr">
        <is>
          <t>Pemilik Entitas Induk (302,478)</t>
        </is>
      </c>
      <c r="J2463" t="inlineStr">
        <is>
          <t>High</t>
        </is>
      </c>
      <c r="M2463" t="inlineStr">
        <is>
          <t>LLM</t>
        </is>
      </c>
      <c r="N2463" t="inlineStr">
        <is>
          <t>2026-04-18</t>
        </is>
      </c>
      <c r="O2463" t="inlineStr">
        <is>
          <t>AI</t>
        </is>
      </c>
    </row>
    <row r="2464">
      <c r="A2464" t="inlineStr">
        <is>
          <t>PT Jaya Agra Wattie Tbk</t>
        </is>
      </c>
      <c r="B2464" t="inlineStr">
        <is>
          <t>JAWA_2023_AR.pdf</t>
        </is>
      </c>
      <c r="C2464" t="n">
        <v>2023</v>
      </c>
      <c r="D2464" t="inlineStr">
        <is>
          <t>Financial</t>
        </is>
      </c>
      <c r="E2464" t="inlineStr">
        <is>
          <t>EPS</t>
        </is>
      </c>
      <c r="F2464" t="n">
        <v>-59</v>
      </c>
      <c r="G2464" t="inlineStr">
        <is>
          <t>Rp/share</t>
        </is>
      </c>
      <c r="H2464" t="n">
        <v>9</v>
      </c>
      <c r="I2464" t="inlineStr">
        <is>
          <t>Laba/(Rugi) per Saham Dasar (59)</t>
        </is>
      </c>
      <c r="J2464" t="inlineStr">
        <is>
          <t>High</t>
        </is>
      </c>
      <c r="M2464" t="inlineStr">
        <is>
          <t>LLM</t>
        </is>
      </c>
      <c r="N2464" t="inlineStr">
        <is>
          <t>2026-04-18</t>
        </is>
      </c>
      <c r="O2464" t="inlineStr">
        <is>
          <t>AI</t>
        </is>
      </c>
    </row>
    <row r="2465">
      <c r="A2465" t="inlineStr">
        <is>
          <t>PT Jaya Agra Wattie Tbk</t>
        </is>
      </c>
      <c r="B2465" t="inlineStr">
        <is>
          <t>JAWA_2023_AR.pdf</t>
        </is>
      </c>
      <c r="C2465" t="n">
        <v>2023</v>
      </c>
      <c r="D2465" t="inlineStr">
        <is>
          <t>Financial</t>
        </is>
      </c>
      <c r="E2465" t="inlineStr">
        <is>
          <t>Total Assets</t>
        </is>
      </c>
      <c r="F2465" t="n">
        <v>3656</v>
      </c>
      <c r="G2465" t="inlineStr">
        <is>
          <t>IDR bn</t>
        </is>
      </c>
      <c r="H2465" t="n">
        <v>9</v>
      </c>
      <c r="I2465" t="inlineStr">
        <is>
          <t>Total Aset 3,656,227</t>
        </is>
      </c>
      <c r="J2465" t="inlineStr">
        <is>
          <t>High</t>
        </is>
      </c>
      <c r="M2465" t="inlineStr">
        <is>
          <t>LLM</t>
        </is>
      </c>
      <c r="N2465" t="inlineStr">
        <is>
          <t>2026-04-18</t>
        </is>
      </c>
      <c r="O2465" t="inlineStr">
        <is>
          <t>AI</t>
        </is>
      </c>
    </row>
    <row r="2466">
      <c r="A2466" t="inlineStr">
        <is>
          <t>PT Jaya Agra Wattie Tbk</t>
        </is>
      </c>
      <c r="B2466" t="inlineStr">
        <is>
          <t>JAWA_2023_AR.pdf</t>
        </is>
      </c>
      <c r="C2466" t="n">
        <v>2023</v>
      </c>
      <c r="D2466" t="inlineStr">
        <is>
          <t>Financial</t>
        </is>
      </c>
      <c r="E2466" t="inlineStr">
        <is>
          <t>Current Assets</t>
        </is>
      </c>
      <c r="F2466" t="n">
        <v>272</v>
      </c>
      <c r="G2466" t="inlineStr">
        <is>
          <t>IDR bn</t>
        </is>
      </c>
      <c r="H2466" t="n">
        <v>92</v>
      </c>
      <c r="I2466" t="inlineStr">
        <is>
          <t>Aset Lancar 271,713</t>
        </is>
      </c>
      <c r="J2466" t="inlineStr">
        <is>
          <t>High</t>
        </is>
      </c>
      <c r="M2466" t="inlineStr">
        <is>
          <t>LLM</t>
        </is>
      </c>
      <c r="N2466" t="inlineStr">
        <is>
          <t>2026-04-18</t>
        </is>
      </c>
      <c r="O2466" t="inlineStr">
        <is>
          <t>AI</t>
        </is>
      </c>
    </row>
    <row r="2467">
      <c r="A2467" t="inlineStr">
        <is>
          <t>PT Jaya Agra Wattie Tbk</t>
        </is>
      </c>
      <c r="B2467" t="inlineStr">
        <is>
          <t>JAWA_2023_AR.pdf</t>
        </is>
      </c>
      <c r="C2467" t="n">
        <v>2023</v>
      </c>
      <c r="D2467" t="inlineStr">
        <is>
          <t>Financial</t>
        </is>
      </c>
      <c r="E2467" t="inlineStr">
        <is>
          <t>Non-Current Assets</t>
        </is>
      </c>
      <c r="F2467" t="n">
        <v>3385</v>
      </c>
      <c r="G2467" t="inlineStr">
        <is>
          <t>IDR bn</t>
        </is>
      </c>
      <c r="H2467" t="n">
        <v>92</v>
      </c>
      <c r="I2467" t="inlineStr">
        <is>
          <t>Aset Tidak Lancar 3,384,514</t>
        </is>
      </c>
      <c r="J2467" t="inlineStr">
        <is>
          <t>High</t>
        </is>
      </c>
      <c r="M2467" t="inlineStr">
        <is>
          <t>LLM</t>
        </is>
      </c>
      <c r="N2467" t="inlineStr">
        <is>
          <t>2026-04-18</t>
        </is>
      </c>
      <c r="O2467" t="inlineStr">
        <is>
          <t>AI</t>
        </is>
      </c>
    </row>
    <row r="2468">
      <c r="A2468" t="inlineStr">
        <is>
          <t>PT Jaya Agra Wattie Tbk</t>
        </is>
      </c>
      <c r="B2468" t="inlineStr">
        <is>
          <t>JAWA_2023_AR.pdf</t>
        </is>
      </c>
      <c r="C2468" t="n">
        <v>2023</v>
      </c>
      <c r="D2468" t="inlineStr">
        <is>
          <t>Financial</t>
        </is>
      </c>
      <c r="E2468" t="inlineStr">
        <is>
          <t>Total Liabilities</t>
        </is>
      </c>
      <c r="F2468" t="n">
        <v>2675</v>
      </c>
      <c r="G2468" t="inlineStr">
        <is>
          <t>IDR bn</t>
        </is>
      </c>
      <c r="H2468" t="n">
        <v>9</v>
      </c>
      <c r="I2468" t="inlineStr">
        <is>
          <t>Total Liabilitas 2,674,645</t>
        </is>
      </c>
      <c r="J2468" t="inlineStr">
        <is>
          <t>High</t>
        </is>
      </c>
      <c r="M2468" t="inlineStr">
        <is>
          <t>LLM</t>
        </is>
      </c>
      <c r="N2468" t="inlineStr">
        <is>
          <t>2026-04-18</t>
        </is>
      </c>
      <c r="O2468" t="inlineStr">
        <is>
          <t>AI</t>
        </is>
      </c>
    </row>
    <row r="2469">
      <c r="A2469" t="inlineStr">
        <is>
          <t>PT Jaya Agra Wattie Tbk</t>
        </is>
      </c>
      <c r="B2469" t="inlineStr">
        <is>
          <t>JAWA_2023_AR.pdf</t>
        </is>
      </c>
      <c r="C2469" t="n">
        <v>2023</v>
      </c>
      <c r="D2469" t="inlineStr">
        <is>
          <t>Financial</t>
        </is>
      </c>
      <c r="E2469" t="inlineStr">
        <is>
          <t>Current Liabilities</t>
        </is>
      </c>
      <c r="F2469" t="n">
        <v>602</v>
      </c>
      <c r="G2469" t="inlineStr">
        <is>
          <t>IDR bn</t>
        </is>
      </c>
      <c r="H2469" t="n">
        <v>208</v>
      </c>
      <c r="I2469" t="inlineStr">
        <is>
          <t>Total Liabilitas Jangka Pendek 601,804,243,185</t>
        </is>
      </c>
      <c r="J2469" t="inlineStr">
        <is>
          <t>High</t>
        </is>
      </c>
      <c r="M2469" t="inlineStr">
        <is>
          <t>LLM</t>
        </is>
      </c>
      <c r="N2469" t="inlineStr">
        <is>
          <t>2026-04-18</t>
        </is>
      </c>
      <c r="O2469" t="inlineStr">
        <is>
          <t>AI</t>
        </is>
      </c>
    </row>
    <row r="2470">
      <c r="A2470" t="inlineStr">
        <is>
          <t>PT Jaya Agra Wattie Tbk</t>
        </is>
      </c>
      <c r="B2470" t="inlineStr">
        <is>
          <t>JAWA_2023_AR.pdf</t>
        </is>
      </c>
      <c r="C2470" t="n">
        <v>2023</v>
      </c>
      <c r="D2470" t="inlineStr">
        <is>
          <t>Financial</t>
        </is>
      </c>
      <c r="E2470" t="inlineStr">
        <is>
          <t>Long-term Liabilities</t>
        </is>
      </c>
      <c r="F2470" t="n">
        <v>2073</v>
      </c>
      <c r="G2470" t="inlineStr">
        <is>
          <t>IDR bn</t>
        </is>
      </c>
      <c r="H2470" t="n">
        <v>208</v>
      </c>
      <c r="I2470" t="inlineStr">
        <is>
          <t>Total Liabilitas Jangka Panjang 2,072,840,543,159</t>
        </is>
      </c>
      <c r="J2470" t="inlineStr">
        <is>
          <t>High</t>
        </is>
      </c>
      <c r="M2470" t="inlineStr">
        <is>
          <t>LLM</t>
        </is>
      </c>
      <c r="N2470" t="inlineStr">
        <is>
          <t>2026-04-18</t>
        </is>
      </c>
      <c r="O2470" t="inlineStr">
        <is>
          <t>AI</t>
        </is>
      </c>
    </row>
    <row r="2471">
      <c r="A2471" t="inlineStr">
        <is>
          <t>PT Jaya Agra Wattie Tbk</t>
        </is>
      </c>
      <c r="B2471" t="inlineStr">
        <is>
          <t>JAWA_2023_AR.pdf</t>
        </is>
      </c>
      <c r="C2471" t="n">
        <v>2023</v>
      </c>
      <c r="D2471" t="inlineStr">
        <is>
          <t>Financial</t>
        </is>
      </c>
      <c r="E2471" t="inlineStr">
        <is>
          <t>Total Equity</t>
        </is>
      </c>
      <c r="F2471" t="n">
        <v>982</v>
      </c>
      <c r="G2471" t="inlineStr">
        <is>
          <t>IDR bn</t>
        </is>
      </c>
      <c r="H2471" t="n">
        <v>9</v>
      </c>
      <c r="I2471" t="inlineStr">
        <is>
          <t>Total Ekuitas 981,582</t>
        </is>
      </c>
      <c r="J2471" t="inlineStr">
        <is>
          <t>High</t>
        </is>
      </c>
      <c r="M2471" t="inlineStr">
        <is>
          <t>LLM</t>
        </is>
      </c>
      <c r="N2471" t="inlineStr">
        <is>
          <t>2026-04-18</t>
        </is>
      </c>
      <c r="O2471" t="inlineStr">
        <is>
          <t>AI</t>
        </is>
      </c>
    </row>
    <row r="2472">
      <c r="A2472" t="inlineStr">
        <is>
          <t>PT Jaya Agra Wattie Tbk</t>
        </is>
      </c>
      <c r="B2472" t="inlineStr">
        <is>
          <t>JAWA_2023_AR.pdf</t>
        </is>
      </c>
      <c r="C2472" t="n">
        <v>2023</v>
      </c>
      <c r="D2472" t="inlineStr">
        <is>
          <t>Financial</t>
        </is>
      </c>
      <c r="E2472" t="inlineStr">
        <is>
          <t>Cash &amp; Bank</t>
        </is>
      </c>
      <c r="F2472" t="n">
        <v>7.03</v>
      </c>
      <c r="G2472" t="inlineStr">
        <is>
          <t>IDR bn</t>
        </is>
      </c>
      <c r="H2472" t="n">
        <v>207</v>
      </c>
      <c r="I2472" t="inlineStr">
        <is>
          <t>Kas dan bank 7,031,222,760</t>
        </is>
      </c>
      <c r="J2472" t="inlineStr">
        <is>
          <t>High</t>
        </is>
      </c>
      <c r="M2472" t="inlineStr">
        <is>
          <t>LLM</t>
        </is>
      </c>
      <c r="N2472" t="inlineStr">
        <is>
          <t>2026-04-18</t>
        </is>
      </c>
      <c r="O2472" t="inlineStr">
        <is>
          <t>AI</t>
        </is>
      </c>
    </row>
    <row r="2473">
      <c r="A2473" t="inlineStr">
        <is>
          <t>PT Jaya Agra Wattie Tbk</t>
        </is>
      </c>
      <c r="B2473" t="inlineStr">
        <is>
          <t>JAWA_2023_AR.pdf</t>
        </is>
      </c>
      <c r="C2473" t="n">
        <v>2023</v>
      </c>
      <c r="D2473" t="inlineStr">
        <is>
          <t>Financial</t>
        </is>
      </c>
      <c r="E2473" t="inlineStr">
        <is>
          <t>Short-term Bank Loan</t>
        </is>
      </c>
      <c r="F2473" t="n">
        <v>125</v>
      </c>
      <c r="G2473" t="inlineStr">
        <is>
          <t>IDR bn</t>
        </is>
      </c>
      <c r="H2473" t="n">
        <v>208</v>
      </c>
      <c r="I2473" t="inlineStr">
        <is>
          <t>Utang bank jangka pendek 125,000,000,000</t>
        </is>
      </c>
      <c r="J2473" t="inlineStr">
        <is>
          <t>High</t>
        </is>
      </c>
      <c r="M2473" t="inlineStr">
        <is>
          <t>LLM</t>
        </is>
      </c>
      <c r="N2473" t="inlineStr">
        <is>
          <t>2026-04-18</t>
        </is>
      </c>
      <c r="O2473" t="inlineStr">
        <is>
          <t>AI</t>
        </is>
      </c>
    </row>
    <row r="2474">
      <c r="A2474" t="inlineStr">
        <is>
          <t>PT Jaya Agra Wattie Tbk</t>
        </is>
      </c>
      <c r="B2474" t="inlineStr">
        <is>
          <t>JAWA_2023_AR.pdf</t>
        </is>
      </c>
      <c r="C2474" t="n">
        <v>2023</v>
      </c>
      <c r="D2474" t="inlineStr">
        <is>
          <t>Financial</t>
        </is>
      </c>
      <c r="E2474" t="inlineStr">
        <is>
          <t>Current Portion LT Bank Loan</t>
        </is>
      </c>
      <c r="F2474" t="n">
        <v>229</v>
      </c>
      <c r="G2474" t="inlineStr">
        <is>
          <t>IDR bn</t>
        </is>
      </c>
      <c r="H2474" t="n">
        <v>208</v>
      </c>
      <c r="I2474" t="inlineStr">
        <is>
          <t>Bank loan (current maturity) 228,525,601,569</t>
        </is>
      </c>
      <c r="J2474" t="inlineStr">
        <is>
          <t>High</t>
        </is>
      </c>
      <c r="M2474" t="inlineStr">
        <is>
          <t>LLM</t>
        </is>
      </c>
      <c r="N2474" t="inlineStr">
        <is>
          <t>2026-04-18</t>
        </is>
      </c>
      <c r="O2474" t="inlineStr">
        <is>
          <t>AI</t>
        </is>
      </c>
    </row>
    <row r="2475">
      <c r="A2475" t="inlineStr">
        <is>
          <t>PT Jaya Agra Wattie Tbk</t>
        </is>
      </c>
      <c r="B2475" t="inlineStr">
        <is>
          <t>JAWA_2023_AR.pdf</t>
        </is>
      </c>
      <c r="C2475" t="n">
        <v>2023</v>
      </c>
      <c r="D2475" t="inlineStr">
        <is>
          <t>Financial</t>
        </is>
      </c>
      <c r="E2475" t="inlineStr">
        <is>
          <t>LT Bank Loan (non-current)</t>
        </is>
      </c>
      <c r="F2475" t="n">
        <v>1610</v>
      </c>
      <c r="G2475" t="inlineStr">
        <is>
          <t>IDR bn</t>
        </is>
      </c>
      <c r="H2475" t="n">
        <v>208</v>
      </c>
      <c r="I2475" t="inlineStr">
        <is>
          <t>Utang bank jangka panjang 1,610,232,549,323</t>
        </is>
      </c>
      <c r="J2475" t="inlineStr">
        <is>
          <t>High</t>
        </is>
      </c>
      <c r="M2475" t="inlineStr">
        <is>
          <t>LLM</t>
        </is>
      </c>
      <c r="N2475" t="inlineStr">
        <is>
          <t>2026-04-18</t>
        </is>
      </c>
      <c r="O2475" t="inlineStr">
        <is>
          <t>AI</t>
        </is>
      </c>
    </row>
    <row r="2476">
      <c r="A2476" t="inlineStr">
        <is>
          <t>PT Jaya Agra Wattie Tbk</t>
        </is>
      </c>
      <c r="B2476" t="inlineStr">
        <is>
          <t>JAWA_2023_AR.pdf</t>
        </is>
      </c>
      <c r="C2476" t="n">
        <v>2023</v>
      </c>
      <c r="D2476" t="inlineStr">
        <is>
          <t>Financial</t>
        </is>
      </c>
      <c r="E2476" t="inlineStr">
        <is>
          <t>Gross Bank Debt (ST+LT)</t>
        </is>
      </c>
      <c r="F2476" t="n">
        <v>1964</v>
      </c>
      <c r="G2476" t="inlineStr">
        <is>
          <t>IDR bn</t>
        </is>
      </c>
      <c r="H2476" t="n">
        <v>291</v>
      </c>
      <c r="I2476" t="inlineStr">
        <is>
          <t>ST 125,000,000,000 + LT 1,838,758,150,892 = Rp1,963.76 bn</t>
        </is>
      </c>
      <c r="J2476" t="inlineStr">
        <is>
          <t>High</t>
        </is>
      </c>
      <c r="M2476" t="inlineStr">
        <is>
          <t>LLM</t>
        </is>
      </c>
      <c r="N2476" t="inlineStr">
        <is>
          <t>2026-04-18</t>
        </is>
      </c>
      <c r="O2476" t="inlineStr">
        <is>
          <t>AI</t>
        </is>
      </c>
    </row>
    <row r="2477">
      <c r="A2477" t="inlineStr">
        <is>
          <t>PT Jaya Agra Wattie Tbk</t>
        </is>
      </c>
      <c r="B2477" t="inlineStr">
        <is>
          <t>JAWA_2023_AR.pdf</t>
        </is>
      </c>
      <c r="C2477" t="n">
        <v>2023</v>
      </c>
      <c r="D2477" t="inlineStr">
        <is>
          <t>Financial</t>
        </is>
      </c>
      <c r="E2477" t="inlineStr">
        <is>
          <t>LT Related Party Loan (SAI, post-conversion)</t>
        </is>
      </c>
      <c r="F2477" t="n">
        <v>417</v>
      </c>
      <c r="G2477" t="inlineStr">
        <is>
          <t>IDR bn</t>
        </is>
      </c>
      <c r="H2477" t="n">
        <v>208</v>
      </c>
      <c r="I2477" t="inlineStr">
        <is>
          <t>Utang lain-lain jangka panjang pihak berelasi 417,056,464,707 (down from 949.9 bn in 2022 after debt-to-equity conversion)</t>
        </is>
      </c>
      <c r="J2477" t="inlineStr">
        <is>
          <t>High</t>
        </is>
      </c>
      <c r="M2477" t="inlineStr">
        <is>
          <t>LLM</t>
        </is>
      </c>
      <c r="N2477" t="inlineStr">
        <is>
          <t>2026-04-18</t>
        </is>
      </c>
      <c r="O2477" t="inlineStr">
        <is>
          <t>AI</t>
        </is>
      </c>
    </row>
    <row r="2478">
      <c r="A2478" t="inlineStr">
        <is>
          <t>PT Jaya Agra Wattie Tbk</t>
        </is>
      </c>
      <c r="B2478" t="inlineStr">
        <is>
          <t>JAWA_2023_AR.pdf</t>
        </is>
      </c>
      <c r="C2478" t="n">
        <v>2023</v>
      </c>
      <c r="D2478" t="inlineStr">
        <is>
          <t>Financial</t>
        </is>
      </c>
      <c r="E2478" t="inlineStr">
        <is>
          <t>Trade Receivables</t>
        </is>
      </c>
      <c r="F2478" t="n">
        <v>27</v>
      </c>
      <c r="G2478" t="inlineStr">
        <is>
          <t>IDR bn</t>
        </is>
      </c>
      <c r="H2478" t="n">
        <v>207</v>
      </c>
      <c r="I2478" t="inlineStr">
        <is>
          <t>Piutang usaha 26,591,795,300</t>
        </is>
      </c>
      <c r="J2478" t="inlineStr">
        <is>
          <t>High</t>
        </is>
      </c>
      <c r="M2478" t="inlineStr">
        <is>
          <t>LLM</t>
        </is>
      </c>
      <c r="N2478" t="inlineStr">
        <is>
          <t>2026-04-18</t>
        </is>
      </c>
      <c r="O2478" t="inlineStr">
        <is>
          <t>AI</t>
        </is>
      </c>
    </row>
    <row r="2479">
      <c r="A2479" t="inlineStr">
        <is>
          <t>PT Jaya Agra Wattie Tbk</t>
        </is>
      </c>
      <c r="B2479" t="inlineStr">
        <is>
          <t>JAWA_2023_AR.pdf</t>
        </is>
      </c>
      <c r="C2479" t="n">
        <v>2023</v>
      </c>
      <c r="D2479" t="inlineStr">
        <is>
          <t>Financial</t>
        </is>
      </c>
      <c r="E2479" t="inlineStr">
        <is>
          <t>Inventory</t>
        </is>
      </c>
      <c r="F2479" t="n">
        <v>129</v>
      </c>
      <c r="G2479" t="inlineStr">
        <is>
          <t>IDR bn</t>
        </is>
      </c>
      <c r="H2479" t="n">
        <v>207</v>
      </c>
      <c r="I2479" t="inlineStr">
        <is>
          <t>Persediaan 129,099,367,556</t>
        </is>
      </c>
      <c r="J2479" t="inlineStr">
        <is>
          <t>High</t>
        </is>
      </c>
      <c r="M2479" t="inlineStr">
        <is>
          <t>LLM</t>
        </is>
      </c>
      <c r="N2479" t="inlineStr">
        <is>
          <t>2026-04-18</t>
        </is>
      </c>
      <c r="O2479" t="inlineStr">
        <is>
          <t>AI</t>
        </is>
      </c>
    </row>
    <row r="2480">
      <c r="A2480" t="inlineStr">
        <is>
          <t>PT Jaya Agra Wattie Tbk</t>
        </is>
      </c>
      <c r="B2480" t="inlineStr">
        <is>
          <t>JAWA_2023_AR.pdf</t>
        </is>
      </c>
      <c r="C2480" t="n">
        <v>2023</v>
      </c>
      <c r="D2480" t="inlineStr">
        <is>
          <t>Financial</t>
        </is>
      </c>
      <c r="E2480" t="inlineStr">
        <is>
          <t>Biological Assets</t>
        </is>
      </c>
      <c r="F2480" t="n">
        <v>54</v>
      </c>
      <c r="G2480" t="inlineStr">
        <is>
          <t>IDR bn</t>
        </is>
      </c>
      <c r="H2480" t="n">
        <v>207</v>
      </c>
      <c r="I2480" t="inlineStr">
        <is>
          <t>Aset biologis 53,567,323,939</t>
        </is>
      </c>
      <c r="J2480" t="inlineStr">
        <is>
          <t>High</t>
        </is>
      </c>
      <c r="M2480" t="inlineStr">
        <is>
          <t>LLM</t>
        </is>
      </c>
      <c r="N2480" t="inlineStr">
        <is>
          <t>2026-04-18</t>
        </is>
      </c>
      <c r="O2480" t="inlineStr">
        <is>
          <t>AI</t>
        </is>
      </c>
    </row>
    <row r="2481">
      <c r="A2481" t="inlineStr">
        <is>
          <t>PT Jaya Agra Wattie Tbk</t>
        </is>
      </c>
      <c r="B2481" t="inlineStr">
        <is>
          <t>JAWA_2023_AR.pdf</t>
        </is>
      </c>
      <c r="C2481" t="n">
        <v>2023</v>
      </c>
      <c r="D2481" t="inlineStr">
        <is>
          <t>Financial</t>
        </is>
      </c>
      <c r="E2481" t="inlineStr">
        <is>
          <t>Plasma Receivables</t>
        </is>
      </c>
      <c r="F2481" t="n">
        <v>403</v>
      </c>
      <c r="G2481" t="inlineStr">
        <is>
          <t>IDR bn</t>
        </is>
      </c>
      <c r="H2481" t="n">
        <v>207</v>
      </c>
      <c r="I2481" t="inlineStr">
        <is>
          <t>Piutang plasma 402,917,530,491</t>
        </is>
      </c>
      <c r="J2481" t="inlineStr">
        <is>
          <t>High</t>
        </is>
      </c>
      <c r="M2481" t="inlineStr">
        <is>
          <t>LLM</t>
        </is>
      </c>
      <c r="N2481" t="inlineStr">
        <is>
          <t>2026-04-18</t>
        </is>
      </c>
      <c r="O2481" t="inlineStr">
        <is>
          <t>AI</t>
        </is>
      </c>
    </row>
    <row r="2482">
      <c r="A2482" t="inlineStr">
        <is>
          <t>PT Jaya Agra Wattie Tbk</t>
        </is>
      </c>
      <c r="B2482" t="inlineStr">
        <is>
          <t>JAWA_2023_AR.pdf</t>
        </is>
      </c>
      <c r="C2482" t="n">
        <v>2023</v>
      </c>
      <c r="D2482" t="inlineStr">
        <is>
          <t>Financial</t>
        </is>
      </c>
      <c r="E2482" t="inlineStr">
        <is>
          <t>Mature Plantations (net)</t>
        </is>
      </c>
      <c r="F2482" t="n">
        <v>1007</v>
      </c>
      <c r="G2482" t="inlineStr">
        <is>
          <t>IDR bn</t>
        </is>
      </c>
      <c r="H2482" t="n">
        <v>207</v>
      </c>
      <c r="I2482" t="inlineStr">
        <is>
          <t>Tanaman menghasilkan - neto 1,007,359,339,490</t>
        </is>
      </c>
      <c r="J2482" t="inlineStr">
        <is>
          <t>High</t>
        </is>
      </c>
      <c r="M2482" t="inlineStr">
        <is>
          <t>LLM</t>
        </is>
      </c>
      <c r="N2482" t="inlineStr">
        <is>
          <t>2026-04-18</t>
        </is>
      </c>
      <c r="O2482" t="inlineStr">
        <is>
          <t>AI</t>
        </is>
      </c>
    </row>
    <row r="2483">
      <c r="A2483" t="inlineStr">
        <is>
          <t>PT Jaya Agra Wattie Tbk</t>
        </is>
      </c>
      <c r="B2483" t="inlineStr">
        <is>
          <t>JAWA_2023_AR.pdf</t>
        </is>
      </c>
      <c r="C2483" t="n">
        <v>2023</v>
      </c>
      <c r="D2483" t="inlineStr">
        <is>
          <t>Financial</t>
        </is>
      </c>
      <c r="E2483" t="inlineStr">
        <is>
          <t>Immature Plantations</t>
        </is>
      </c>
      <c r="F2483" t="n">
        <v>1081</v>
      </c>
      <c r="G2483" t="inlineStr">
        <is>
          <t>IDR bn</t>
        </is>
      </c>
      <c r="H2483" t="n">
        <v>207</v>
      </c>
      <c r="I2483" t="inlineStr">
        <is>
          <t>Tanaman belum menghasilkan 1,081,247,375,857</t>
        </is>
      </c>
      <c r="J2483" t="inlineStr">
        <is>
          <t>High</t>
        </is>
      </c>
      <c r="M2483" t="inlineStr">
        <is>
          <t>LLM</t>
        </is>
      </c>
      <c r="N2483" t="inlineStr">
        <is>
          <t>2026-04-18</t>
        </is>
      </c>
      <c r="O2483" t="inlineStr">
        <is>
          <t>AI</t>
        </is>
      </c>
    </row>
    <row r="2484">
      <c r="A2484" t="inlineStr">
        <is>
          <t>PT Jaya Agra Wattie Tbk</t>
        </is>
      </c>
      <c r="B2484" t="inlineStr">
        <is>
          <t>JAWA_2023_AR.pdf</t>
        </is>
      </c>
      <c r="C2484" t="n">
        <v>2023</v>
      </c>
      <c r="D2484" t="inlineStr">
        <is>
          <t>Financial</t>
        </is>
      </c>
      <c r="E2484" t="inlineStr">
        <is>
          <t>Fixed Assets (net)</t>
        </is>
      </c>
      <c r="F2484" t="n">
        <v>746</v>
      </c>
      <c r="G2484" t="inlineStr">
        <is>
          <t>IDR bn</t>
        </is>
      </c>
      <c r="H2484" t="n">
        <v>207</v>
      </c>
      <c r="I2484" t="inlineStr">
        <is>
          <t>Aset tetap - neto 745,747,953,016</t>
        </is>
      </c>
      <c r="J2484" t="inlineStr">
        <is>
          <t>High</t>
        </is>
      </c>
      <c r="M2484" t="inlineStr">
        <is>
          <t>LLM</t>
        </is>
      </c>
      <c r="N2484" t="inlineStr">
        <is>
          <t>2026-04-18</t>
        </is>
      </c>
      <c r="O2484" t="inlineStr">
        <is>
          <t>AI</t>
        </is>
      </c>
    </row>
    <row r="2485">
      <c r="A2485" t="inlineStr">
        <is>
          <t>PT Jaya Agra Wattie Tbk</t>
        </is>
      </c>
      <c r="B2485" t="inlineStr">
        <is>
          <t>JAWA_2023_AR.pdf</t>
        </is>
      </c>
      <c r="C2485" t="n">
        <v>2023</v>
      </c>
      <c r="D2485" t="inlineStr">
        <is>
          <t>Financial</t>
        </is>
      </c>
      <c r="E2485" t="inlineStr">
        <is>
          <t>Goodwill</t>
        </is>
      </c>
      <c r="F2485" t="n">
        <v>18</v>
      </c>
      <c r="G2485" t="inlineStr">
        <is>
          <t>IDR bn</t>
        </is>
      </c>
      <c r="H2485" t="n">
        <v>207</v>
      </c>
      <c r="I2485" t="inlineStr">
        <is>
          <t>Goodwill 17,979,322,415</t>
        </is>
      </c>
      <c r="J2485" t="inlineStr">
        <is>
          <t>High</t>
        </is>
      </c>
      <c r="M2485" t="inlineStr">
        <is>
          <t>LLM</t>
        </is>
      </c>
      <c r="N2485" t="inlineStr">
        <is>
          <t>2026-04-18</t>
        </is>
      </c>
      <c r="O2485" t="inlineStr">
        <is>
          <t>AI</t>
        </is>
      </c>
    </row>
    <row r="2486">
      <c r="A2486" t="inlineStr">
        <is>
          <t>PT Jaya Agra Wattie Tbk</t>
        </is>
      </c>
      <c r="B2486" t="inlineStr">
        <is>
          <t>JAWA_2023_AR.pdf</t>
        </is>
      </c>
      <c r="C2486" t="n">
        <v>2023</v>
      </c>
      <c r="D2486" t="inlineStr">
        <is>
          <t>Financial</t>
        </is>
      </c>
      <c r="E2486" t="inlineStr">
        <is>
          <t>Issued &amp; Paid Capital</t>
        </is>
      </c>
      <c r="F2486" t="n">
        <v>1623</v>
      </c>
      <c r="G2486" t="inlineStr">
        <is>
          <t>IDR bn</t>
        </is>
      </c>
      <c r="H2486" t="n">
        <v>208</v>
      </c>
      <c r="I2486" t="inlineStr">
        <is>
          <t>Modal ditempatkan dan disetor 1,623,295,184,200 (vs 377 bn in 2022)</t>
        </is>
      </c>
      <c r="J2486" t="inlineStr">
        <is>
          <t>High</t>
        </is>
      </c>
      <c r="M2486" t="inlineStr">
        <is>
          <t>LLM</t>
        </is>
      </c>
      <c r="N2486" t="inlineStr">
        <is>
          <t>2026-04-18</t>
        </is>
      </c>
      <c r="O2486" t="inlineStr">
        <is>
          <t>AI</t>
        </is>
      </c>
    </row>
    <row r="2487">
      <c r="A2487" t="inlineStr">
        <is>
          <t>PT Jaya Agra Wattie Tbk</t>
        </is>
      </c>
      <c r="B2487" t="inlineStr">
        <is>
          <t>JAWA_2023_AR.pdf</t>
        </is>
      </c>
      <c r="C2487" t="n">
        <v>2023</v>
      </c>
      <c r="D2487" t="inlineStr">
        <is>
          <t>Financial</t>
        </is>
      </c>
      <c r="E2487" t="inlineStr">
        <is>
          <t>Additional Paid-in Capital</t>
        </is>
      </c>
      <c r="F2487" t="n">
        <v>434</v>
      </c>
      <c r="G2487" t="inlineStr">
        <is>
          <t>IDR bn</t>
        </is>
      </c>
      <c r="H2487" t="n">
        <v>208</v>
      </c>
      <c r="I2487" t="inlineStr">
        <is>
          <t>Tambahan modal disetor 434,217,673,015</t>
        </is>
      </c>
      <c r="J2487" t="inlineStr">
        <is>
          <t>High</t>
        </is>
      </c>
      <c r="M2487" t="inlineStr">
        <is>
          <t>LLM</t>
        </is>
      </c>
      <c r="N2487" t="inlineStr">
        <is>
          <t>2026-04-18</t>
        </is>
      </c>
      <c r="O2487" t="inlineStr">
        <is>
          <t>AI</t>
        </is>
      </c>
    </row>
    <row r="2488">
      <c r="A2488" t="inlineStr">
        <is>
          <t>PT Jaya Agra Wattie Tbk</t>
        </is>
      </c>
      <c r="B2488" t="inlineStr">
        <is>
          <t>JAWA_2023_AR.pdf</t>
        </is>
      </c>
      <c r="C2488" t="n">
        <v>2023</v>
      </c>
      <c r="D2488" t="inlineStr">
        <is>
          <t>Financial</t>
        </is>
      </c>
      <c r="E2488" t="inlineStr">
        <is>
          <t>Accumulated Deficit</t>
        </is>
      </c>
      <c r="F2488" t="n">
        <v>-1644</v>
      </c>
      <c r="G2488" t="inlineStr">
        <is>
          <t>IDR bn</t>
        </is>
      </c>
      <c r="H2488" t="n">
        <v>208</v>
      </c>
      <c r="I2488" t="inlineStr">
        <is>
          <t>Belum dicadangkan (1,644,457,745,904)</t>
        </is>
      </c>
      <c r="J2488" t="inlineStr">
        <is>
          <t>High</t>
        </is>
      </c>
      <c r="M2488" t="inlineStr">
        <is>
          <t>LLM</t>
        </is>
      </c>
      <c r="N2488" t="inlineStr">
        <is>
          <t>2026-04-18</t>
        </is>
      </c>
      <c r="O2488" t="inlineStr">
        <is>
          <t>AI</t>
        </is>
      </c>
    </row>
    <row r="2489">
      <c r="A2489" t="inlineStr">
        <is>
          <t>PT Jaya Agra Wattie Tbk</t>
        </is>
      </c>
      <c r="B2489" t="inlineStr">
        <is>
          <t>JAWA_2023_AR.pdf</t>
        </is>
      </c>
      <c r="C2489" t="n">
        <v>2023</v>
      </c>
      <c r="D2489" t="inlineStr">
        <is>
          <t>Financial</t>
        </is>
      </c>
      <c r="E2489" t="inlineStr">
        <is>
          <t>CFO</t>
        </is>
      </c>
      <c r="F2489" t="n">
        <v>-121</v>
      </c>
      <c r="G2489" t="inlineStr">
        <is>
          <t>IDR bn</t>
        </is>
      </c>
      <c r="H2489" t="n">
        <v>95</v>
      </c>
      <c r="I2489" t="inlineStr">
        <is>
          <t>Arus Kas dari Aktivitas Operasi (120,702)</t>
        </is>
      </c>
      <c r="J2489" t="inlineStr">
        <is>
          <t>High</t>
        </is>
      </c>
      <c r="M2489" t="inlineStr">
        <is>
          <t>LLM</t>
        </is>
      </c>
      <c r="N2489" t="inlineStr">
        <is>
          <t>2026-04-18</t>
        </is>
      </c>
      <c r="O2489" t="inlineStr">
        <is>
          <t>AI</t>
        </is>
      </c>
    </row>
    <row r="2490">
      <c r="A2490" t="inlineStr">
        <is>
          <t>PT Jaya Agra Wattie Tbk</t>
        </is>
      </c>
      <c r="B2490" t="inlineStr">
        <is>
          <t>JAWA_2023_AR.pdf</t>
        </is>
      </c>
      <c r="C2490" t="n">
        <v>2023</v>
      </c>
      <c r="D2490" t="inlineStr">
        <is>
          <t>Financial</t>
        </is>
      </c>
      <c r="E2490" t="inlineStr">
        <is>
          <t>CFI</t>
        </is>
      </c>
      <c r="F2490" t="n">
        <v>-146</v>
      </c>
      <c r="G2490" t="inlineStr">
        <is>
          <t>IDR bn</t>
        </is>
      </c>
      <c r="H2490" t="n">
        <v>95</v>
      </c>
      <c r="I2490" t="inlineStr">
        <is>
          <t>Arus Kas dari Aktivitas Investasi (145,665)</t>
        </is>
      </c>
      <c r="J2490" t="inlineStr">
        <is>
          <t>High</t>
        </is>
      </c>
      <c r="M2490" t="inlineStr">
        <is>
          <t>LLM</t>
        </is>
      </c>
      <c r="N2490" t="inlineStr">
        <is>
          <t>2026-04-18</t>
        </is>
      </c>
      <c r="O2490" t="inlineStr">
        <is>
          <t>AI</t>
        </is>
      </c>
    </row>
    <row r="2491">
      <c r="A2491" t="inlineStr">
        <is>
          <t>PT Jaya Agra Wattie Tbk</t>
        </is>
      </c>
      <c r="B2491" t="inlineStr">
        <is>
          <t>JAWA_2023_AR.pdf</t>
        </is>
      </c>
      <c r="C2491" t="n">
        <v>2023</v>
      </c>
      <c r="D2491" t="inlineStr">
        <is>
          <t>Financial</t>
        </is>
      </c>
      <c r="E2491" t="inlineStr">
        <is>
          <t>CFF</t>
        </is>
      </c>
      <c r="F2491" t="n">
        <v>271</v>
      </c>
      <c r="G2491" t="inlineStr">
        <is>
          <t>IDR bn</t>
        </is>
      </c>
      <c r="H2491" t="n">
        <v>95</v>
      </c>
      <c r="I2491" t="inlineStr">
        <is>
          <t>Arus Kas dari Aktivitas Pendanaan 271,415</t>
        </is>
      </c>
      <c r="J2491" t="inlineStr">
        <is>
          <t>High</t>
        </is>
      </c>
      <c r="M2491" t="inlineStr">
        <is>
          <t>LLM</t>
        </is>
      </c>
      <c r="N2491" t="inlineStr">
        <is>
          <t>2026-04-18</t>
        </is>
      </c>
      <c r="O2491" t="inlineStr">
        <is>
          <t>AI</t>
        </is>
      </c>
    </row>
    <row r="2492">
      <c r="A2492" t="inlineStr">
        <is>
          <t>PT Jaya Agra Wattie Tbk</t>
        </is>
      </c>
      <c r="B2492" t="inlineStr">
        <is>
          <t>JAWA_2023_AR.pdf</t>
        </is>
      </c>
      <c r="C2492" t="n">
        <v>2023</v>
      </c>
      <c r="D2492" t="inlineStr">
        <is>
          <t>Financial</t>
        </is>
      </c>
      <c r="E2492" t="inlineStr">
        <is>
          <t>Capex</t>
        </is>
      </c>
      <c r="F2492" t="n">
        <v>81</v>
      </c>
      <c r="G2492" t="inlineStr">
        <is>
          <t>IDR bn</t>
        </is>
      </c>
      <c r="H2492" t="n">
        <v>272</v>
      </c>
      <c r="I2492" t="inlineStr">
        <is>
          <t>Pengeluaran modal 81,415,305,271</t>
        </is>
      </c>
      <c r="J2492" t="inlineStr">
        <is>
          <t>High</t>
        </is>
      </c>
      <c r="M2492" t="inlineStr">
        <is>
          <t>LLM</t>
        </is>
      </c>
      <c r="N2492" t="inlineStr">
        <is>
          <t>2026-04-18</t>
        </is>
      </c>
      <c r="O2492" t="inlineStr">
        <is>
          <t>AI</t>
        </is>
      </c>
    </row>
    <row r="2493">
      <c r="A2493" t="inlineStr">
        <is>
          <t>PT Jaya Agra Wattie Tbk</t>
        </is>
      </c>
      <c r="B2493" t="inlineStr">
        <is>
          <t>JAWA_2023_AR.pdf</t>
        </is>
      </c>
      <c r="C2493" t="n">
        <v>2023</v>
      </c>
      <c r="D2493" t="inlineStr">
        <is>
          <t>Financial</t>
        </is>
      </c>
      <c r="E2493" t="inlineStr">
        <is>
          <t>Depreciation &amp; Amortization</t>
        </is>
      </c>
      <c r="F2493" t="n">
        <v>117</v>
      </c>
      <c r="G2493" t="inlineStr">
        <is>
          <t>IDR bn</t>
        </is>
      </c>
      <c r="H2493" t="n">
        <v>272</v>
      </c>
      <c r="I2493" t="inlineStr">
        <is>
          <t>Penyusutan dan amortisasi 116,585,062,186</t>
        </is>
      </c>
      <c r="J2493" t="inlineStr">
        <is>
          <t>High</t>
        </is>
      </c>
      <c r="M2493" t="inlineStr">
        <is>
          <t>LLM</t>
        </is>
      </c>
      <c r="N2493" t="inlineStr">
        <is>
          <t>2026-04-18</t>
        </is>
      </c>
      <c r="O2493" t="inlineStr">
        <is>
          <t>AI</t>
        </is>
      </c>
    </row>
    <row r="2494">
      <c r="A2494" t="inlineStr">
        <is>
          <t>PT Jaya Agra Wattie Tbk</t>
        </is>
      </c>
      <c r="B2494" t="inlineStr">
        <is>
          <t>JAWA_2023_AR.pdf</t>
        </is>
      </c>
      <c r="C2494" t="n">
        <v>2023</v>
      </c>
      <c r="D2494" t="inlineStr">
        <is>
          <t>Financial</t>
        </is>
      </c>
      <c r="E2494" t="inlineStr">
        <is>
          <t>Shares Outstanding Post-PMTHMETD</t>
        </is>
      </c>
      <c r="F2494" t="n">
        <v>16233</v>
      </c>
      <c r="G2494" t="inlineStr">
        <is>
          <t>mn</t>
        </is>
      </c>
      <c r="H2494" t="n">
        <v>21</v>
      </c>
      <c r="I2494" t="inlineStr">
        <is>
          <t>Jumlah Saham Setelah PMTHMETD 16,232,951,842</t>
        </is>
      </c>
      <c r="J2494" t="inlineStr">
        <is>
          <t>High</t>
        </is>
      </c>
      <c r="M2494" t="inlineStr">
        <is>
          <t>LLM</t>
        </is>
      </c>
      <c r="N2494" t="inlineStr">
        <is>
          <t>2026-04-18</t>
        </is>
      </c>
      <c r="O2494" t="inlineStr">
        <is>
          <t>AI</t>
        </is>
      </c>
    </row>
    <row r="2495">
      <c r="A2495" t="inlineStr">
        <is>
          <t>PT Jaya Agra Wattie Tbk</t>
        </is>
      </c>
      <c r="B2495" t="inlineStr">
        <is>
          <t>JAWA_2023_AR.pdf</t>
        </is>
      </c>
      <c r="C2495" t="n">
        <v>2023</v>
      </c>
      <c r="D2495" t="inlineStr">
        <is>
          <t>Financial</t>
        </is>
      </c>
      <c r="E2495" t="inlineStr">
        <is>
          <t>Closing Price Q4 2023</t>
        </is>
      </c>
      <c r="F2495" t="n">
        <v>180</v>
      </c>
      <c r="G2495" t="inlineStr">
        <is>
          <t>Rp/share</t>
        </is>
      </c>
      <c r="H2495" t="n">
        <v>17</v>
      </c>
      <c r="I2495" t="inlineStr">
        <is>
          <t>IV 228 64 180 (Q4 close)</t>
        </is>
      </c>
      <c r="J2495" t="inlineStr">
        <is>
          <t>High</t>
        </is>
      </c>
      <c r="M2495" t="inlineStr">
        <is>
          <t>LLM</t>
        </is>
      </c>
      <c r="N2495" t="inlineStr">
        <is>
          <t>2026-04-18</t>
        </is>
      </c>
      <c r="O2495" t="inlineStr">
        <is>
          <t>AI</t>
        </is>
      </c>
    </row>
    <row r="2496">
      <c r="A2496" t="inlineStr">
        <is>
          <t>PT Jaya Agra Wattie Tbk</t>
        </is>
      </c>
      <c r="B2496" t="inlineStr">
        <is>
          <t>JAWA_2023_AR.pdf</t>
        </is>
      </c>
      <c r="C2496" t="n">
        <v>2023</v>
      </c>
      <c r="D2496" t="inlineStr">
        <is>
          <t>Financial</t>
        </is>
      </c>
      <c r="E2496" t="inlineStr">
        <is>
          <t>Market Cap Q4 2023</t>
        </is>
      </c>
      <c r="F2496" t="n">
        <v>2922</v>
      </c>
      <c r="G2496" t="inlineStr">
        <is>
          <t>IDR bn</t>
        </is>
      </c>
      <c r="H2496" t="n">
        <v>17</v>
      </c>
      <c r="I2496" t="inlineStr">
        <is>
          <t>Kapitalisasi Pasar IV 2,921,931,331,560</t>
        </is>
      </c>
      <c r="J2496" t="inlineStr">
        <is>
          <t>High</t>
        </is>
      </c>
      <c r="M2496" t="inlineStr">
        <is>
          <t>LLM</t>
        </is>
      </c>
      <c r="N2496" t="inlineStr">
        <is>
          <t>2026-04-18</t>
        </is>
      </c>
      <c r="O2496" t="inlineStr">
        <is>
          <t>AI</t>
        </is>
      </c>
    </row>
    <row r="2497">
      <c r="A2497" t="inlineStr">
        <is>
          <t>PT Jaya Agra Wattie Tbk</t>
        </is>
      </c>
      <c r="B2497" t="inlineStr">
        <is>
          <t>JAWA_2023_AR.pdf</t>
        </is>
      </c>
      <c r="C2497" t="n">
        <v>2023</v>
      </c>
      <c r="D2497" t="inlineStr">
        <is>
          <t>Financial</t>
        </is>
      </c>
      <c r="E2497" t="inlineStr">
        <is>
          <t>Current Ratio</t>
        </is>
      </c>
      <c r="F2497" t="n">
        <v>0.4515</v>
      </c>
      <c r="G2497" t="inlineStr">
        <is>
          <t>x</t>
        </is>
      </c>
      <c r="H2497" t="n">
        <v>9</v>
      </c>
      <c r="I2497" t="inlineStr">
        <is>
          <t>Rasio Lancar 45.15%</t>
        </is>
      </c>
      <c r="J2497" t="inlineStr">
        <is>
          <t>High</t>
        </is>
      </c>
      <c r="M2497" t="inlineStr">
        <is>
          <t>LLM</t>
        </is>
      </c>
      <c r="N2497" t="inlineStr">
        <is>
          <t>2026-04-18</t>
        </is>
      </c>
      <c r="O2497" t="inlineStr">
        <is>
          <t>AI</t>
        </is>
      </c>
    </row>
    <row r="2498">
      <c r="A2498" t="inlineStr">
        <is>
          <t>PT Jaya Agra Wattie Tbk</t>
        </is>
      </c>
      <c r="B2498" t="inlineStr">
        <is>
          <t>JAWA_2023_AR.pdf</t>
        </is>
      </c>
      <c r="C2498" t="n">
        <v>2023</v>
      </c>
      <c r="D2498" t="inlineStr">
        <is>
          <t>Financial</t>
        </is>
      </c>
      <c r="E2498" t="inlineStr">
        <is>
          <t>DER (Liab/Equity)</t>
        </is>
      </c>
      <c r="F2498" t="n">
        <v>2.7248</v>
      </c>
      <c r="G2498" t="inlineStr">
        <is>
          <t>x</t>
        </is>
      </c>
      <c r="H2498" t="n">
        <v>9</v>
      </c>
      <c r="I2498" t="inlineStr">
        <is>
          <t>Rasio Liabilitas Terhadap Ekuitas 272.48%</t>
        </is>
      </c>
      <c r="J2498" t="inlineStr">
        <is>
          <t>High</t>
        </is>
      </c>
      <c r="M2498" t="inlineStr">
        <is>
          <t>LLM</t>
        </is>
      </c>
      <c r="N2498" t="inlineStr">
        <is>
          <t>2026-04-18</t>
        </is>
      </c>
      <c r="O2498" t="inlineStr">
        <is>
          <t>AI</t>
        </is>
      </c>
    </row>
    <row r="2499">
      <c r="A2499" t="inlineStr">
        <is>
          <t>PT Jaya Agra Wattie Tbk</t>
        </is>
      </c>
      <c r="B2499" t="inlineStr">
        <is>
          <t>JAWA_2023_AR.pdf</t>
        </is>
      </c>
      <c r="C2499" t="n">
        <v>2023</v>
      </c>
      <c r="D2499" t="inlineStr">
        <is>
          <t>Financial</t>
        </is>
      </c>
      <c r="E2499" t="inlineStr">
        <is>
          <t>ROA</t>
        </is>
      </c>
      <c r="F2499" t="n">
        <v>-0.08309999999999999</v>
      </c>
      <c r="G2499" t="inlineStr">
        <is>
          <t>%</t>
        </is>
      </c>
      <c r="H2499" t="n">
        <v>9</v>
      </c>
      <c r="I2499" t="inlineStr">
        <is>
          <t>Return on Assets (8.31%)</t>
        </is>
      </c>
      <c r="J2499" t="inlineStr">
        <is>
          <t>High</t>
        </is>
      </c>
      <c r="M2499" t="inlineStr">
        <is>
          <t>LLM</t>
        </is>
      </c>
      <c r="N2499" t="inlineStr">
        <is>
          <t>2026-04-18</t>
        </is>
      </c>
      <c r="O2499" t="inlineStr">
        <is>
          <t>AI</t>
        </is>
      </c>
    </row>
    <row r="2500">
      <c r="A2500" t="inlineStr">
        <is>
          <t>PT Jaya Agra Wattie Tbk</t>
        </is>
      </c>
      <c r="B2500" t="inlineStr">
        <is>
          <t>JAWA_2023_AR.pdf</t>
        </is>
      </c>
      <c r="C2500" t="n">
        <v>2023</v>
      </c>
      <c r="D2500" t="inlineStr">
        <is>
          <t>Financial</t>
        </is>
      </c>
      <c r="E2500" t="inlineStr">
        <is>
          <t>ROE</t>
        </is>
      </c>
      <c r="F2500" t="n">
        <v>-0.3096</v>
      </c>
      <c r="G2500" t="inlineStr">
        <is>
          <t>%</t>
        </is>
      </c>
      <c r="H2500" t="n">
        <v>9</v>
      </c>
      <c r="I2500" t="inlineStr">
        <is>
          <t>Return on Equity (30.96%)</t>
        </is>
      </c>
      <c r="J2500" t="inlineStr">
        <is>
          <t>High</t>
        </is>
      </c>
      <c r="M2500" t="inlineStr">
        <is>
          <t>LLM</t>
        </is>
      </c>
      <c r="N2500" t="inlineStr">
        <is>
          <t>2026-04-18</t>
        </is>
      </c>
      <c r="O2500" t="inlineStr">
        <is>
          <t>AI</t>
        </is>
      </c>
    </row>
    <row r="2501">
      <c r="A2501" t="inlineStr">
        <is>
          <t>PT Jaya Agra Wattie Tbk</t>
        </is>
      </c>
      <c r="B2501" t="inlineStr">
        <is>
          <t>JAWA_2023_AR.pdf</t>
        </is>
      </c>
      <c r="C2501" t="n">
        <v>2023</v>
      </c>
      <c r="D2501" t="inlineStr">
        <is>
          <t>Financial</t>
        </is>
      </c>
      <c r="E2501" t="inlineStr">
        <is>
          <t>Gross Margin</t>
        </is>
      </c>
      <c r="F2501" t="n">
        <v>-0.0178</v>
      </c>
      <c r="G2501" t="inlineStr">
        <is>
          <t>%</t>
        </is>
      </c>
      <c r="H2501" t="n">
        <v>9</v>
      </c>
      <c r="I2501" t="inlineStr">
        <is>
          <t>Gross Profit Margin (1.78%)</t>
        </is>
      </c>
      <c r="J2501" t="inlineStr">
        <is>
          <t>High</t>
        </is>
      </c>
      <c r="M2501" t="inlineStr">
        <is>
          <t>LLM</t>
        </is>
      </c>
      <c r="N2501" t="inlineStr">
        <is>
          <t>2026-04-18</t>
        </is>
      </c>
      <c r="O2501" t="inlineStr">
        <is>
          <t>AI</t>
        </is>
      </c>
    </row>
    <row r="2502">
      <c r="A2502" t="inlineStr">
        <is>
          <t>PT Jaya Agra Wattie Tbk</t>
        </is>
      </c>
      <c r="B2502" t="inlineStr">
        <is>
          <t>JAWA_2023_AR.pdf</t>
        </is>
      </c>
      <c r="C2502" t="n">
        <v>2023</v>
      </c>
      <c r="D2502" t="inlineStr">
        <is>
          <t>Asset</t>
        </is>
      </c>
      <c r="E2502" t="inlineStr">
        <is>
          <t>Total Planted Area</t>
        </is>
      </c>
      <c r="F2502" t="n">
        <v>44027</v>
      </c>
      <c r="G2502" t="inlineStr">
        <is>
          <t>ha</t>
        </is>
      </c>
      <c r="H2502" t="n">
        <v>16</v>
      </c>
      <c r="I2502" t="inlineStr">
        <is>
          <t>Jumlah Tertanam 44,027</t>
        </is>
      </c>
      <c r="J2502" t="inlineStr">
        <is>
          <t>High</t>
        </is>
      </c>
      <c r="M2502" t="inlineStr">
        <is>
          <t>LLM</t>
        </is>
      </c>
      <c r="N2502" t="inlineStr">
        <is>
          <t>2026-04-18</t>
        </is>
      </c>
      <c r="O2502" t="inlineStr">
        <is>
          <t>AI</t>
        </is>
      </c>
    </row>
    <row r="2503">
      <c r="A2503" t="inlineStr">
        <is>
          <t>PT Jaya Agra Wattie Tbk</t>
        </is>
      </c>
      <c r="B2503" t="inlineStr">
        <is>
          <t>JAWA_2023_AR.pdf</t>
        </is>
      </c>
      <c r="C2503" t="n">
        <v>2023</v>
      </c>
      <c r="D2503" t="inlineStr">
        <is>
          <t>Asset</t>
        </is>
      </c>
      <c r="E2503" t="inlineStr">
        <is>
          <t>Nucleus Planted Area</t>
        </is>
      </c>
      <c r="F2503" t="n">
        <v>37515</v>
      </c>
      <c r="G2503" t="inlineStr">
        <is>
          <t>ha</t>
        </is>
      </c>
      <c r="H2503" t="n">
        <v>16</v>
      </c>
      <c r="I2503" t="inlineStr">
        <is>
          <t>Inti Tertanam Sub Jumlah 37,515</t>
        </is>
      </c>
      <c r="J2503" t="inlineStr">
        <is>
          <t>High</t>
        </is>
      </c>
      <c r="M2503" t="inlineStr">
        <is>
          <t>LLM</t>
        </is>
      </c>
      <c r="N2503" t="inlineStr">
        <is>
          <t>2026-04-18</t>
        </is>
      </c>
      <c r="O2503" t="inlineStr">
        <is>
          <t>AI</t>
        </is>
      </c>
    </row>
    <row r="2504">
      <c r="A2504" t="inlineStr">
        <is>
          <t>PT Jaya Agra Wattie Tbk</t>
        </is>
      </c>
      <c r="B2504" t="inlineStr">
        <is>
          <t>JAWA_2023_AR.pdf</t>
        </is>
      </c>
      <c r="C2504" t="n">
        <v>2023</v>
      </c>
      <c r="D2504" t="inlineStr">
        <is>
          <t>Asset</t>
        </is>
      </c>
      <c r="E2504" t="inlineStr">
        <is>
          <t>Plasma Area</t>
        </is>
      </c>
      <c r="F2504" t="n">
        <v>6512</v>
      </c>
      <c r="G2504" t="inlineStr">
        <is>
          <t>ha</t>
        </is>
      </c>
      <c r="H2504" t="n">
        <v>16</v>
      </c>
      <c r="I2504" t="inlineStr">
        <is>
          <t>Plasma Tertanam Sub Jumlah 6,512</t>
        </is>
      </c>
      <c r="J2504" t="inlineStr">
        <is>
          <t>High</t>
        </is>
      </c>
      <c r="M2504" t="inlineStr">
        <is>
          <t>LLM</t>
        </is>
      </c>
      <c r="N2504" t="inlineStr">
        <is>
          <t>2026-04-18</t>
        </is>
      </c>
      <c r="O2504" t="inlineStr">
        <is>
          <t>AI</t>
        </is>
      </c>
    </row>
    <row r="2505">
      <c r="A2505" t="inlineStr">
        <is>
          <t>PT Jaya Agra Wattie Tbk</t>
        </is>
      </c>
      <c r="B2505" t="inlineStr">
        <is>
          <t>JAWA_2023_AR.pdf</t>
        </is>
      </c>
      <c r="C2505" t="n">
        <v>2023</v>
      </c>
      <c r="D2505" t="inlineStr">
        <is>
          <t>Asset</t>
        </is>
      </c>
      <c r="E2505" t="inlineStr">
        <is>
          <t>Mature Plants Total</t>
        </is>
      </c>
      <c r="F2505" t="n">
        <v>31673</v>
      </c>
      <c r="G2505" t="inlineStr">
        <is>
          <t>ha</t>
        </is>
      </c>
      <c r="H2505" t="n">
        <v>16</v>
      </c>
      <c r="I2505" t="inlineStr">
        <is>
          <t>Tanaman Menghasilkan 31,673</t>
        </is>
      </c>
      <c r="J2505" t="inlineStr">
        <is>
          <t>High</t>
        </is>
      </c>
      <c r="M2505" t="inlineStr">
        <is>
          <t>LLM</t>
        </is>
      </c>
      <c r="N2505" t="inlineStr">
        <is>
          <t>2026-04-18</t>
        </is>
      </c>
      <c r="O2505" t="inlineStr">
        <is>
          <t>AI</t>
        </is>
      </c>
    </row>
    <row r="2506">
      <c r="A2506" t="inlineStr">
        <is>
          <t>PT Jaya Agra Wattie Tbk</t>
        </is>
      </c>
      <c r="B2506" t="inlineStr">
        <is>
          <t>JAWA_2023_AR.pdf</t>
        </is>
      </c>
      <c r="C2506" t="n">
        <v>2023</v>
      </c>
      <c r="D2506" t="inlineStr">
        <is>
          <t>Asset</t>
        </is>
      </c>
      <c r="E2506" t="inlineStr">
        <is>
          <t>Immature Plants Total</t>
        </is>
      </c>
      <c r="F2506" t="n">
        <v>12354</v>
      </c>
      <c r="G2506" t="inlineStr">
        <is>
          <t>ha</t>
        </is>
      </c>
      <c r="H2506" t="n">
        <v>16</v>
      </c>
      <c r="I2506" t="inlineStr">
        <is>
          <t>Tanaman Belum Menghasilkan 12,354</t>
        </is>
      </c>
      <c r="J2506" t="inlineStr">
        <is>
          <t>High</t>
        </is>
      </c>
      <c r="M2506" t="inlineStr">
        <is>
          <t>LLM</t>
        </is>
      </c>
      <c r="N2506" t="inlineStr">
        <is>
          <t>2026-04-18</t>
        </is>
      </c>
      <c r="O2506" t="inlineStr">
        <is>
          <t>AI</t>
        </is>
      </c>
    </row>
    <row r="2507">
      <c r="A2507" t="inlineStr">
        <is>
          <t>PT Jaya Agra Wattie Tbk</t>
        </is>
      </c>
      <c r="B2507" t="inlineStr">
        <is>
          <t>JAWA_2023_AR.pdf</t>
        </is>
      </c>
      <c r="C2507" t="n">
        <v>2023</v>
      </c>
      <c r="D2507" t="inlineStr">
        <is>
          <t>Asset</t>
        </is>
      </c>
      <c r="E2507" t="inlineStr">
        <is>
          <t>Mature Nucleus</t>
        </is>
      </c>
      <c r="F2507" t="n">
        <v>27621</v>
      </c>
      <c r="G2507" t="inlineStr">
        <is>
          <t>ha</t>
        </is>
      </c>
      <c r="H2507" t="n">
        <v>16</v>
      </c>
      <c r="I2507" t="inlineStr">
        <is>
          <t>Inti TM 27,621</t>
        </is>
      </c>
      <c r="J2507" t="inlineStr">
        <is>
          <t>High</t>
        </is>
      </c>
      <c r="M2507" t="inlineStr">
        <is>
          <t>LLM</t>
        </is>
      </c>
      <c r="N2507" t="inlineStr">
        <is>
          <t>2026-04-18</t>
        </is>
      </c>
      <c r="O2507" t="inlineStr">
        <is>
          <t>AI</t>
        </is>
      </c>
    </row>
    <row r="2508">
      <c r="A2508" t="inlineStr">
        <is>
          <t>PT Jaya Agra Wattie Tbk</t>
        </is>
      </c>
      <c r="B2508" t="inlineStr">
        <is>
          <t>JAWA_2023_AR.pdf</t>
        </is>
      </c>
      <c r="C2508" t="n">
        <v>2023</v>
      </c>
      <c r="D2508" t="inlineStr">
        <is>
          <t>Asset</t>
        </is>
      </c>
      <c r="E2508" t="inlineStr">
        <is>
          <t>Palm Oil Mill Count</t>
        </is>
      </c>
      <c r="F2508" t="n">
        <v>2</v>
      </c>
      <c r="G2508" t="inlineStr">
        <is>
          <t>count</t>
        </is>
      </c>
      <c r="H2508" t="n">
        <v>81</v>
      </c>
      <c r="I2508" t="inlineStr">
        <is>
          <t>2 Palm oil mills in Kintap + Marabahan</t>
        </is>
      </c>
      <c r="J2508" t="inlineStr">
        <is>
          <t>High</t>
        </is>
      </c>
      <c r="M2508" t="inlineStr">
        <is>
          <t>LLM</t>
        </is>
      </c>
      <c r="N2508" t="inlineStr">
        <is>
          <t>2026-04-18</t>
        </is>
      </c>
      <c r="O2508" t="inlineStr">
        <is>
          <t>AI</t>
        </is>
      </c>
    </row>
    <row r="2509">
      <c r="A2509" t="inlineStr">
        <is>
          <t>PT Jaya Agra Wattie Tbk</t>
        </is>
      </c>
      <c r="B2509" t="inlineStr">
        <is>
          <t>JAWA_2023_AR.pdf</t>
        </is>
      </c>
      <c r="C2509" t="n">
        <v>2023</v>
      </c>
      <c r="D2509" t="inlineStr">
        <is>
          <t>Asset</t>
        </is>
      </c>
      <c r="E2509" t="inlineStr">
        <is>
          <t>POM Design Capacity</t>
        </is>
      </c>
      <c r="F2509" t="n">
        <v>513000</v>
      </c>
      <c r="G2509" t="inlineStr">
        <is>
          <t>t/y</t>
        </is>
      </c>
      <c r="H2509" t="n">
        <v>81</v>
      </c>
      <c r="I2509" t="inlineStr">
        <is>
          <t>Kapasitas Terpasang 513,000</t>
        </is>
      </c>
      <c r="J2509" t="inlineStr">
        <is>
          <t>High</t>
        </is>
      </c>
      <c r="M2509" t="inlineStr">
        <is>
          <t>LLM</t>
        </is>
      </c>
      <c r="N2509" t="inlineStr">
        <is>
          <t>2026-04-18</t>
        </is>
      </c>
      <c r="O2509" t="inlineStr">
        <is>
          <t>AI</t>
        </is>
      </c>
    </row>
    <row r="2510">
      <c r="A2510" t="inlineStr">
        <is>
          <t>PT Jaya Agra Wattie Tbk</t>
        </is>
      </c>
      <c r="B2510" t="inlineStr">
        <is>
          <t>JAWA_2023_AR.pdf</t>
        </is>
      </c>
      <c r="C2510" t="n">
        <v>2023</v>
      </c>
      <c r="D2510" t="inlineStr">
        <is>
          <t>Asset</t>
        </is>
      </c>
      <c r="E2510" t="inlineStr">
        <is>
          <t>POM Used Capacity</t>
        </is>
      </c>
      <c r="F2510" t="n">
        <v>258416</v>
      </c>
      <c r="G2510" t="inlineStr">
        <is>
          <t>t</t>
        </is>
      </c>
      <c r="H2510" t="n">
        <v>81</v>
      </c>
      <c r="I2510" t="inlineStr">
        <is>
          <t>Kapasitas Terpakai 258,416 (50.40%)</t>
        </is>
      </c>
      <c r="J2510" t="inlineStr">
        <is>
          <t>High</t>
        </is>
      </c>
      <c r="M2510" t="inlineStr">
        <is>
          <t>LLM</t>
        </is>
      </c>
      <c r="N2510" t="inlineStr">
        <is>
          <t>2026-04-18</t>
        </is>
      </c>
      <c r="O2510" t="inlineStr">
        <is>
          <t>AI</t>
        </is>
      </c>
    </row>
    <row r="2511">
      <c r="A2511" t="inlineStr">
        <is>
          <t>PT Jaya Agra Wattie Tbk</t>
        </is>
      </c>
      <c r="B2511" t="inlineStr">
        <is>
          <t>JAWA_2023_AR.pdf</t>
        </is>
      </c>
      <c r="C2511" t="n">
        <v>2023</v>
      </c>
      <c r="D2511" t="inlineStr">
        <is>
          <t>Asset</t>
        </is>
      </c>
      <c r="E2511" t="inlineStr">
        <is>
          <t>Rubber Sheet Plants Capacity</t>
        </is>
      </c>
      <c r="F2511" t="n">
        <v>6386</v>
      </c>
      <c r="G2511" t="inlineStr">
        <is>
          <t>t/y</t>
        </is>
      </c>
      <c r="H2511" t="n">
        <v>83</v>
      </c>
      <c r="I2511" t="inlineStr">
        <is>
          <t>Kapasitas Terpasang 6,386 (rubber sheet)</t>
        </is>
      </c>
      <c r="J2511" t="inlineStr">
        <is>
          <t>High</t>
        </is>
      </c>
      <c r="M2511" t="inlineStr">
        <is>
          <t>LLM</t>
        </is>
      </c>
      <c r="N2511" t="inlineStr">
        <is>
          <t>2026-04-18</t>
        </is>
      </c>
      <c r="O2511" t="inlineStr">
        <is>
          <t>AI</t>
        </is>
      </c>
    </row>
    <row r="2512">
      <c r="A2512" t="inlineStr">
        <is>
          <t>PT Jaya Agra Wattie Tbk</t>
        </is>
      </c>
      <c r="B2512" t="inlineStr">
        <is>
          <t>JAWA_2023_AR.pdf</t>
        </is>
      </c>
      <c r="C2512" t="n">
        <v>2023</v>
      </c>
      <c r="D2512" t="inlineStr">
        <is>
          <t>Asset</t>
        </is>
      </c>
      <c r="E2512" t="inlineStr">
        <is>
          <t>Rubber Crumb Capacity</t>
        </is>
      </c>
      <c r="F2512" t="n">
        <v>26040</v>
      </c>
      <c r="G2512" t="inlineStr">
        <is>
          <t>t/y</t>
        </is>
      </c>
      <c r="H2512" t="n">
        <v>84</v>
      </c>
      <c r="I2512" t="inlineStr">
        <is>
          <t>Kapasitas Terpasang 26,040 (rubber crumb)</t>
        </is>
      </c>
      <c r="J2512" t="inlineStr">
        <is>
          <t>High</t>
        </is>
      </c>
      <c r="M2512" t="inlineStr">
        <is>
          <t>LLM</t>
        </is>
      </c>
      <c r="N2512" t="inlineStr">
        <is>
          <t>2026-04-18</t>
        </is>
      </c>
      <c r="O2512" t="inlineStr">
        <is>
          <t>AI</t>
        </is>
      </c>
    </row>
    <row r="2513">
      <c r="A2513" t="inlineStr">
        <is>
          <t>PT Jaya Agra Wattie Tbk</t>
        </is>
      </c>
      <c r="B2513" t="inlineStr">
        <is>
          <t>JAWA_2023_AR.pdf</t>
        </is>
      </c>
      <c r="C2513" t="n">
        <v>2023</v>
      </c>
      <c r="D2513" t="inlineStr">
        <is>
          <t>Operation</t>
        </is>
      </c>
      <c r="E2513" t="inlineStr">
        <is>
          <t>FFB Production (Nucleus)</t>
        </is>
      </c>
      <c r="F2513" t="n">
        <v>98357</v>
      </c>
      <c r="G2513" t="inlineStr">
        <is>
          <t>t</t>
        </is>
      </c>
      <c r="H2513" t="n">
        <v>11</v>
      </c>
      <c r="I2513" t="inlineStr">
        <is>
          <t>TBS - Inti 98,357 (+21%)</t>
        </is>
      </c>
      <c r="J2513" t="inlineStr">
        <is>
          <t>High</t>
        </is>
      </c>
      <c r="M2513" t="inlineStr">
        <is>
          <t>LLM</t>
        </is>
      </c>
      <c r="N2513" t="inlineStr">
        <is>
          <t>2026-04-18</t>
        </is>
      </c>
      <c r="O2513" t="inlineStr">
        <is>
          <t>AI</t>
        </is>
      </c>
    </row>
    <row r="2514">
      <c r="A2514" t="inlineStr">
        <is>
          <t>PT Jaya Agra Wattie Tbk</t>
        </is>
      </c>
      <c r="B2514" t="inlineStr">
        <is>
          <t>JAWA_2023_AR.pdf</t>
        </is>
      </c>
      <c r="C2514" t="n">
        <v>2023</v>
      </c>
      <c r="D2514" t="inlineStr">
        <is>
          <t>Operation</t>
        </is>
      </c>
      <c r="E2514" t="inlineStr">
        <is>
          <t>CPO Production</t>
        </is>
      </c>
      <c r="F2514" t="n">
        <v>53447</v>
      </c>
      <c r="G2514" t="inlineStr">
        <is>
          <t>t</t>
        </is>
      </c>
      <c r="H2514" t="n">
        <v>11</v>
      </c>
      <c r="I2514" t="inlineStr">
        <is>
          <t>CPO 53,447 (+11%)</t>
        </is>
      </c>
      <c r="J2514" t="inlineStr">
        <is>
          <t>High</t>
        </is>
      </c>
      <c r="M2514" t="inlineStr">
        <is>
          <t>LLM</t>
        </is>
      </c>
      <c r="N2514" t="inlineStr">
        <is>
          <t>2026-04-18</t>
        </is>
      </c>
      <c r="O2514" t="inlineStr">
        <is>
          <t>AI</t>
        </is>
      </c>
    </row>
    <row r="2515">
      <c r="A2515" t="inlineStr">
        <is>
          <t>PT Jaya Agra Wattie Tbk</t>
        </is>
      </c>
      <c r="B2515" t="inlineStr">
        <is>
          <t>JAWA_2023_AR.pdf</t>
        </is>
      </c>
      <c r="C2515" t="n">
        <v>2023</v>
      </c>
      <c r="D2515" t="inlineStr">
        <is>
          <t>Operation</t>
        </is>
      </c>
      <c r="E2515" t="inlineStr">
        <is>
          <t>Kernel Production</t>
        </is>
      </c>
      <c r="F2515" t="n">
        <v>9534</v>
      </c>
      <c r="G2515" t="inlineStr">
        <is>
          <t>t</t>
        </is>
      </c>
      <c r="H2515" t="n">
        <v>11</v>
      </c>
      <c r="I2515" t="inlineStr">
        <is>
          <t>Kernel 9,534 (+11%)</t>
        </is>
      </c>
      <c r="J2515" t="inlineStr">
        <is>
          <t>High</t>
        </is>
      </c>
      <c r="M2515" t="inlineStr">
        <is>
          <t>LLM</t>
        </is>
      </c>
      <c r="N2515" t="inlineStr">
        <is>
          <t>2026-04-18</t>
        </is>
      </c>
      <c r="O2515" t="inlineStr">
        <is>
          <t>AI</t>
        </is>
      </c>
    </row>
    <row r="2516">
      <c r="A2516" t="inlineStr">
        <is>
          <t>PT Jaya Agra Wattie Tbk</t>
        </is>
      </c>
      <c r="B2516" t="inlineStr">
        <is>
          <t>JAWA_2023_AR.pdf</t>
        </is>
      </c>
      <c r="C2516" t="n">
        <v>2023</v>
      </c>
      <c r="D2516" t="inlineStr">
        <is>
          <t>Operation</t>
        </is>
      </c>
      <c r="E2516" t="inlineStr">
        <is>
          <t>Rubber Nucleus Production</t>
        </is>
      </c>
      <c r="F2516" t="n">
        <v>5623</v>
      </c>
      <c r="G2516" t="inlineStr">
        <is>
          <t>t</t>
        </is>
      </c>
      <c r="H2516" t="n">
        <v>11</v>
      </c>
      <c r="I2516" t="inlineStr">
        <is>
          <t>Karet Inti 5,623 (-10%)</t>
        </is>
      </c>
      <c r="J2516" t="inlineStr">
        <is>
          <t>High</t>
        </is>
      </c>
      <c r="M2516" t="inlineStr">
        <is>
          <t>LLM</t>
        </is>
      </c>
      <c r="N2516" t="inlineStr">
        <is>
          <t>2026-04-18</t>
        </is>
      </c>
      <c r="O2516" t="inlineStr">
        <is>
          <t>AI</t>
        </is>
      </c>
    </row>
    <row r="2517">
      <c r="A2517" t="inlineStr">
        <is>
          <t>PT Jaya Agra Wattie Tbk</t>
        </is>
      </c>
      <c r="B2517" t="inlineStr">
        <is>
          <t>JAWA_2023_AR.pdf</t>
        </is>
      </c>
      <c r="C2517" t="n">
        <v>2023</v>
      </c>
      <c r="D2517" t="inlineStr">
        <is>
          <t>Operation</t>
        </is>
      </c>
      <c r="E2517" t="inlineStr">
        <is>
          <t>Rubber SH Production</t>
        </is>
      </c>
      <c r="F2517" t="n">
        <v>3920</v>
      </c>
      <c r="G2517" t="inlineStr">
        <is>
          <t>t</t>
        </is>
      </c>
      <c r="H2517" t="n">
        <v>11</v>
      </c>
      <c r="I2517" t="inlineStr">
        <is>
          <t>Karet SH 3,920 (-55%)</t>
        </is>
      </c>
      <c r="J2517" t="inlineStr">
        <is>
          <t>High</t>
        </is>
      </c>
      <c r="M2517" t="inlineStr">
        <is>
          <t>LLM</t>
        </is>
      </c>
      <c r="N2517" t="inlineStr">
        <is>
          <t>2026-04-18</t>
        </is>
      </c>
      <c r="O2517" t="inlineStr">
        <is>
          <t>AI</t>
        </is>
      </c>
    </row>
    <row r="2518">
      <c r="A2518" t="inlineStr">
        <is>
          <t>PT Jaya Agra Wattie Tbk</t>
        </is>
      </c>
      <c r="B2518" t="inlineStr">
        <is>
          <t>JAWA_2023_AR.pdf</t>
        </is>
      </c>
      <c r="C2518" t="n">
        <v>2023</v>
      </c>
      <c r="D2518" t="inlineStr">
        <is>
          <t>Operation</t>
        </is>
      </c>
      <c r="E2518" t="inlineStr">
        <is>
          <t>Coffee Production</t>
        </is>
      </c>
      <c r="F2518" t="n">
        <v>22</v>
      </c>
      <c r="G2518" t="inlineStr">
        <is>
          <t>t</t>
        </is>
      </c>
      <c r="H2518" t="n">
        <v>11</v>
      </c>
      <c r="I2518" t="inlineStr">
        <is>
          <t>Kopi 22</t>
        </is>
      </c>
      <c r="J2518" t="inlineStr">
        <is>
          <t>High</t>
        </is>
      </c>
      <c r="M2518" t="inlineStr">
        <is>
          <t>LLM</t>
        </is>
      </c>
      <c r="N2518" t="inlineStr">
        <is>
          <t>2026-04-18</t>
        </is>
      </c>
      <c r="O2518" t="inlineStr">
        <is>
          <t>AI</t>
        </is>
      </c>
    </row>
    <row r="2519">
      <c r="A2519" t="inlineStr">
        <is>
          <t>PT Jaya Agra Wattie Tbk</t>
        </is>
      </c>
      <c r="B2519" t="inlineStr">
        <is>
          <t>JAWA_2023_AR.pdf</t>
        </is>
      </c>
      <c r="C2519" t="n">
        <v>2023</v>
      </c>
      <c r="D2519" t="inlineStr">
        <is>
          <t>Operation</t>
        </is>
      </c>
      <c r="E2519" t="inlineStr">
        <is>
          <t>Tea Production</t>
        </is>
      </c>
      <c r="F2519" t="n">
        <v>998</v>
      </c>
      <c r="G2519" t="inlineStr">
        <is>
          <t>t</t>
        </is>
      </c>
      <c r="H2519" t="n">
        <v>11</v>
      </c>
      <c r="I2519" t="inlineStr">
        <is>
          <t>Teh 998 (-40%)</t>
        </is>
      </c>
      <c r="J2519" t="inlineStr">
        <is>
          <t>High</t>
        </is>
      </c>
      <c r="M2519" t="inlineStr">
        <is>
          <t>LLM</t>
        </is>
      </c>
      <c r="N2519" t="inlineStr">
        <is>
          <t>2026-04-18</t>
        </is>
      </c>
      <c r="O2519" t="inlineStr">
        <is>
          <t>AI</t>
        </is>
      </c>
    </row>
    <row r="2520">
      <c r="A2520" t="inlineStr">
        <is>
          <t>PT Jaya Agra Wattie Tbk</t>
        </is>
      </c>
      <c r="B2520" t="inlineStr">
        <is>
          <t>JAWA_2023_AR.pdf</t>
        </is>
      </c>
      <c r="C2520" t="n">
        <v>2023</v>
      </c>
      <c r="D2520" t="inlineStr">
        <is>
          <t>Operation</t>
        </is>
      </c>
      <c r="E2520" t="inlineStr">
        <is>
          <t>FFB Yield</t>
        </is>
      </c>
      <c r="F2520" t="n">
        <v>5.99</v>
      </c>
      <c r="G2520" t="inlineStr">
        <is>
          <t>t/ha</t>
        </is>
      </c>
      <c r="H2520" t="n">
        <v>11</v>
      </c>
      <c r="I2520" t="inlineStr">
        <is>
          <t>Hasil TBS 5.99 (+21%)</t>
        </is>
      </c>
      <c r="J2520" t="inlineStr">
        <is>
          <t>High</t>
        </is>
      </c>
      <c r="M2520" t="inlineStr">
        <is>
          <t>LLM</t>
        </is>
      </c>
      <c r="N2520" t="inlineStr">
        <is>
          <t>2026-04-18</t>
        </is>
      </c>
      <c r="O2520" t="inlineStr">
        <is>
          <t>AI</t>
        </is>
      </c>
    </row>
    <row r="2521">
      <c r="A2521" t="inlineStr">
        <is>
          <t>PT Jaya Agra Wattie Tbk</t>
        </is>
      </c>
      <c r="B2521" t="inlineStr">
        <is>
          <t>JAWA_2023_AR.pdf</t>
        </is>
      </c>
      <c r="C2521" t="n">
        <v>2023</v>
      </c>
      <c r="D2521" t="inlineStr">
        <is>
          <t>Operation</t>
        </is>
      </c>
      <c r="E2521" t="inlineStr">
        <is>
          <t>CPO Extraction Rate (OER)</t>
        </is>
      </c>
      <c r="F2521" t="n">
        <v>0.2068</v>
      </c>
      <c r="G2521" t="inlineStr">
        <is>
          <t>%</t>
        </is>
      </c>
      <c r="H2521" t="n">
        <v>11</v>
      </c>
      <c r="I2521" t="inlineStr">
        <is>
          <t>Tingkat Ekstraksi CPO 20.68%</t>
        </is>
      </c>
      <c r="J2521" t="inlineStr">
        <is>
          <t>High</t>
        </is>
      </c>
      <c r="M2521" t="inlineStr">
        <is>
          <t>LLM</t>
        </is>
      </c>
      <c r="N2521" t="inlineStr">
        <is>
          <t>2026-04-18</t>
        </is>
      </c>
      <c r="O2521" t="inlineStr">
        <is>
          <t>AI</t>
        </is>
      </c>
    </row>
    <row r="2522">
      <c r="A2522" t="inlineStr">
        <is>
          <t>PT Jaya Agra Wattie Tbk</t>
        </is>
      </c>
      <c r="B2522" t="inlineStr">
        <is>
          <t>JAWA_2023_AR.pdf</t>
        </is>
      </c>
      <c r="C2522" t="n">
        <v>2023</v>
      </c>
      <c r="D2522" t="inlineStr">
        <is>
          <t>Operation</t>
        </is>
      </c>
      <c r="E2522" t="inlineStr">
        <is>
          <t>Kernel Extraction Rate (KER)</t>
        </is>
      </c>
      <c r="F2522" t="n">
        <v>0.0369</v>
      </c>
      <c r="G2522" t="inlineStr">
        <is>
          <t>%</t>
        </is>
      </c>
      <c r="H2522" t="n">
        <v>11</v>
      </c>
      <c r="I2522" t="inlineStr">
        <is>
          <t>Tingkat Ekstraksi Kernel 3.69%</t>
        </is>
      </c>
      <c r="J2522" t="inlineStr">
        <is>
          <t>High</t>
        </is>
      </c>
      <c r="M2522" t="inlineStr">
        <is>
          <t>LLM</t>
        </is>
      </c>
      <c r="N2522" t="inlineStr">
        <is>
          <t>2026-04-18</t>
        </is>
      </c>
      <c r="O2522" t="inlineStr">
        <is>
          <t>AI</t>
        </is>
      </c>
    </row>
    <row r="2523">
      <c r="A2523" t="inlineStr">
        <is>
          <t>PT Jaya Agra Wattie Tbk</t>
        </is>
      </c>
      <c r="B2523" t="inlineStr">
        <is>
          <t>JAWA_2023_AR.pdf</t>
        </is>
      </c>
      <c r="C2523" t="n">
        <v>2023</v>
      </c>
      <c r="D2523" t="inlineStr">
        <is>
          <t>Operation</t>
        </is>
      </c>
      <c r="E2523" t="inlineStr">
        <is>
          <t>CPO Yield</t>
        </is>
      </c>
      <c r="F2523" t="n">
        <v>1.24</v>
      </c>
      <c r="G2523" t="inlineStr">
        <is>
          <t>t/ha</t>
        </is>
      </c>
      <c r="H2523" t="n">
        <v>11</v>
      </c>
      <c r="I2523" t="inlineStr">
        <is>
          <t>Hasil CPO 1.24</t>
        </is>
      </c>
      <c r="J2523" t="inlineStr">
        <is>
          <t>High</t>
        </is>
      </c>
      <c r="M2523" t="inlineStr">
        <is>
          <t>LLM</t>
        </is>
      </c>
      <c r="N2523" t="inlineStr">
        <is>
          <t>2026-04-18</t>
        </is>
      </c>
      <c r="O2523" t="inlineStr">
        <is>
          <t>AI</t>
        </is>
      </c>
    </row>
    <row r="2524">
      <c r="A2524" t="inlineStr">
        <is>
          <t>PT Jaya Agra Wattie Tbk</t>
        </is>
      </c>
      <c r="B2524" t="inlineStr">
        <is>
          <t>JAWA_2023_AR.pdf</t>
        </is>
      </c>
      <c r="C2524" t="n">
        <v>2023</v>
      </c>
      <c r="D2524" t="inlineStr">
        <is>
          <t>Operation</t>
        </is>
      </c>
      <c r="E2524" t="inlineStr">
        <is>
          <t>FFB Utilization</t>
        </is>
      </c>
      <c r="F2524" t="n">
        <v>0.5037</v>
      </c>
      <c r="G2524" t="inlineStr">
        <is>
          <t>%</t>
        </is>
      </c>
      <c r="H2524" t="n">
        <v>11</v>
      </c>
      <c r="I2524" t="inlineStr">
        <is>
          <t>TBS | FFB 50.37%</t>
        </is>
      </c>
      <c r="J2524" t="inlineStr">
        <is>
          <t>High</t>
        </is>
      </c>
      <c r="M2524" t="inlineStr">
        <is>
          <t>LLM</t>
        </is>
      </c>
      <c r="N2524" t="inlineStr">
        <is>
          <t>2026-04-18</t>
        </is>
      </c>
      <c r="O2524" t="inlineStr">
        <is>
          <t>AI</t>
        </is>
      </c>
    </row>
    <row r="2525">
      <c r="A2525" t="inlineStr">
        <is>
          <t>PT Jaya Agra Wattie Tbk</t>
        </is>
      </c>
      <c r="B2525" t="inlineStr">
        <is>
          <t>JAWA_2023_AR.pdf</t>
        </is>
      </c>
      <c r="C2525" t="n">
        <v>2023</v>
      </c>
      <c r="D2525" t="inlineStr">
        <is>
          <t>Operation</t>
        </is>
      </c>
      <c r="E2525" t="inlineStr">
        <is>
          <t>Rubber SIR Utilization</t>
        </is>
      </c>
      <c r="F2525" t="n">
        <v>0.307</v>
      </c>
      <c r="G2525" t="inlineStr">
        <is>
          <t>%</t>
        </is>
      </c>
      <c r="H2525" t="n">
        <v>11</v>
      </c>
      <c r="I2525" t="inlineStr">
        <is>
          <t>SIR 30.70%</t>
        </is>
      </c>
      <c r="J2525" t="inlineStr">
        <is>
          <t>High</t>
        </is>
      </c>
      <c r="M2525" t="inlineStr">
        <is>
          <t>LLM</t>
        </is>
      </c>
      <c r="N2525" t="inlineStr">
        <is>
          <t>2026-04-18</t>
        </is>
      </c>
      <c r="O2525" t="inlineStr">
        <is>
          <t>AI</t>
        </is>
      </c>
    </row>
    <row r="2526">
      <c r="A2526" t="inlineStr">
        <is>
          <t>PT Jaya Agra Wattie Tbk</t>
        </is>
      </c>
      <c r="B2526" t="inlineStr">
        <is>
          <t>JAWA_2023_AR.pdf</t>
        </is>
      </c>
      <c r="C2526" t="n">
        <v>2023</v>
      </c>
      <c r="D2526" t="inlineStr">
        <is>
          <t>Operation</t>
        </is>
      </c>
      <c r="E2526" t="inlineStr">
        <is>
          <t>CPO Sales Volume</t>
        </is>
      </c>
      <c r="F2526" t="n">
        <v>54767</v>
      </c>
      <c r="G2526" t="inlineStr">
        <is>
          <t>t</t>
        </is>
      </c>
      <c r="H2526" t="n">
        <v>11</v>
      </c>
      <c r="I2526" t="inlineStr">
        <is>
          <t>CPO 54,767 (+19%)</t>
        </is>
      </c>
      <c r="J2526" t="inlineStr">
        <is>
          <t>High</t>
        </is>
      </c>
      <c r="M2526" t="inlineStr">
        <is>
          <t>LLM</t>
        </is>
      </c>
      <c r="N2526" t="inlineStr">
        <is>
          <t>2026-04-18</t>
        </is>
      </c>
      <c r="O2526" t="inlineStr">
        <is>
          <t>AI</t>
        </is>
      </c>
    </row>
    <row r="2527">
      <c r="A2527" t="inlineStr">
        <is>
          <t>PT Jaya Agra Wattie Tbk</t>
        </is>
      </c>
      <c r="B2527" t="inlineStr">
        <is>
          <t>JAWA_2023_AR.pdf</t>
        </is>
      </c>
      <c r="C2527" t="n">
        <v>2023</v>
      </c>
      <c r="D2527" t="inlineStr">
        <is>
          <t>Operation</t>
        </is>
      </c>
      <c r="E2527" t="inlineStr">
        <is>
          <t>Kernel Sales Volume</t>
        </is>
      </c>
      <c r="F2527" t="n">
        <v>11000</v>
      </c>
      <c r="G2527" t="inlineStr">
        <is>
          <t>t</t>
        </is>
      </c>
      <c r="H2527" t="n">
        <v>11</v>
      </c>
      <c r="I2527" t="inlineStr">
        <is>
          <t>Kernel 11,000 (+58%)</t>
        </is>
      </c>
      <c r="J2527" t="inlineStr">
        <is>
          <t>High</t>
        </is>
      </c>
      <c r="M2527" t="inlineStr">
        <is>
          <t>LLM</t>
        </is>
      </c>
      <c r="N2527" t="inlineStr">
        <is>
          <t>2026-04-18</t>
        </is>
      </c>
      <c r="O2527" t="inlineStr">
        <is>
          <t>AI</t>
        </is>
      </c>
    </row>
    <row r="2528">
      <c r="A2528" t="inlineStr">
        <is>
          <t>PT Jaya Agra Wattie Tbk</t>
        </is>
      </c>
      <c r="B2528" t="inlineStr">
        <is>
          <t>JAWA_2023_AR.pdf</t>
        </is>
      </c>
      <c r="C2528" t="n">
        <v>2023</v>
      </c>
      <c r="D2528" t="inlineStr">
        <is>
          <t>Operation</t>
        </is>
      </c>
      <c r="E2528" t="inlineStr">
        <is>
          <t>SIR Sales Volume</t>
        </is>
      </c>
      <c r="F2528" t="n">
        <v>8426</v>
      </c>
      <c r="G2528" t="inlineStr">
        <is>
          <t>t</t>
        </is>
      </c>
      <c r="H2528" t="n">
        <v>11</v>
      </c>
      <c r="I2528" t="inlineStr">
        <is>
          <t>SIR 8,426 (-26%)</t>
        </is>
      </c>
      <c r="J2528" t="inlineStr">
        <is>
          <t>High</t>
        </is>
      </c>
      <c r="M2528" t="inlineStr">
        <is>
          <t>LLM</t>
        </is>
      </c>
      <c r="N2528" t="inlineStr">
        <is>
          <t>2026-04-18</t>
        </is>
      </c>
      <c r="O2528" t="inlineStr">
        <is>
          <t>AI</t>
        </is>
      </c>
    </row>
    <row r="2529">
      <c r="A2529" t="inlineStr">
        <is>
          <t>PT Jaya Agra Wattie Tbk</t>
        </is>
      </c>
      <c r="B2529" t="inlineStr">
        <is>
          <t>JAWA_2023_AR.pdf</t>
        </is>
      </c>
      <c r="C2529" t="n">
        <v>2023</v>
      </c>
      <c r="D2529" t="inlineStr">
        <is>
          <t>Operation</t>
        </is>
      </c>
      <c r="E2529" t="inlineStr">
        <is>
          <t>RSS Sales Volume</t>
        </is>
      </c>
      <c r="F2529" t="n">
        <v>2129</v>
      </c>
      <c r="G2529" t="inlineStr">
        <is>
          <t>t</t>
        </is>
      </c>
      <c r="H2529" t="n">
        <v>11</v>
      </c>
      <c r="I2529" t="inlineStr">
        <is>
          <t>RSS 2,129</t>
        </is>
      </c>
      <c r="J2529" t="inlineStr">
        <is>
          <t>High</t>
        </is>
      </c>
      <c r="M2529" t="inlineStr">
        <is>
          <t>LLM</t>
        </is>
      </c>
      <c r="N2529" t="inlineStr">
        <is>
          <t>2026-04-18</t>
        </is>
      </c>
      <c r="O2529" t="inlineStr">
        <is>
          <t>AI</t>
        </is>
      </c>
    </row>
    <row r="2530">
      <c r="A2530" t="inlineStr">
        <is>
          <t>PT Jaya Agra Wattie Tbk</t>
        </is>
      </c>
      <c r="B2530" t="inlineStr">
        <is>
          <t>JAWA_2023_AR.pdf</t>
        </is>
      </c>
      <c r="C2530" t="n">
        <v>2023</v>
      </c>
      <c r="D2530" t="inlineStr">
        <is>
          <t>Operation</t>
        </is>
      </c>
      <c r="E2530" t="inlineStr">
        <is>
          <t>Avg CPO Price</t>
        </is>
      </c>
      <c r="F2530" t="n">
        <v>11039</v>
      </c>
      <c r="G2530" t="inlineStr">
        <is>
          <t>Rp/kg</t>
        </is>
      </c>
      <c r="H2530" t="n">
        <v>12</v>
      </c>
      <c r="I2530" t="inlineStr">
        <is>
          <t>CPO 11,039 Rp/ton (-11%)</t>
        </is>
      </c>
      <c r="J2530" t="inlineStr">
        <is>
          <t>High</t>
        </is>
      </c>
      <c r="M2530" t="inlineStr">
        <is>
          <t>LLM</t>
        </is>
      </c>
      <c r="N2530" t="inlineStr">
        <is>
          <t>2026-04-18</t>
        </is>
      </c>
      <c r="O2530" t="inlineStr">
        <is>
          <t>AI</t>
        </is>
      </c>
    </row>
    <row r="2531">
      <c r="A2531" t="inlineStr">
        <is>
          <t>PT Jaya Agra Wattie Tbk</t>
        </is>
      </c>
      <c r="B2531" t="inlineStr">
        <is>
          <t>JAWA_2023_AR.pdf</t>
        </is>
      </c>
      <c r="C2531" t="n">
        <v>2023</v>
      </c>
      <c r="D2531" t="inlineStr">
        <is>
          <t>Operation</t>
        </is>
      </c>
      <c r="E2531" t="inlineStr">
        <is>
          <t>Avg Kernel Price</t>
        </is>
      </c>
      <c r="F2531" t="n">
        <v>4667</v>
      </c>
      <c r="G2531" t="inlineStr">
        <is>
          <t>Rp/kg</t>
        </is>
      </c>
      <c r="H2531" t="n">
        <v>12</v>
      </c>
      <c r="I2531" t="inlineStr">
        <is>
          <t>Kernel 4,667 (-43%)</t>
        </is>
      </c>
      <c r="J2531" t="inlineStr">
        <is>
          <t>High</t>
        </is>
      </c>
      <c r="M2531" t="inlineStr">
        <is>
          <t>LLM</t>
        </is>
      </c>
      <c r="N2531" t="inlineStr">
        <is>
          <t>2026-04-18</t>
        </is>
      </c>
      <c r="O2531" t="inlineStr">
        <is>
          <t>AI</t>
        </is>
      </c>
    </row>
    <row r="2532">
      <c r="A2532" t="inlineStr">
        <is>
          <t>PT Jaya Agra Wattie Tbk</t>
        </is>
      </c>
      <c r="B2532" t="inlineStr">
        <is>
          <t>JAWA_2023_AR.pdf</t>
        </is>
      </c>
      <c r="C2532" t="n">
        <v>2023</v>
      </c>
      <c r="D2532" t="inlineStr">
        <is>
          <t>Operation</t>
        </is>
      </c>
      <c r="E2532" t="inlineStr">
        <is>
          <t>Avg SIR Price</t>
        </is>
      </c>
      <c r="F2532" t="n">
        <v>22055</v>
      </c>
      <c r="G2532" t="inlineStr">
        <is>
          <t>Rp/kg</t>
        </is>
      </c>
      <c r="H2532" t="n">
        <v>12</v>
      </c>
      <c r="I2532" t="inlineStr">
        <is>
          <t>SIR 22,055 (-10%)</t>
        </is>
      </c>
      <c r="J2532" t="inlineStr">
        <is>
          <t>High</t>
        </is>
      </c>
      <c r="M2532" t="inlineStr">
        <is>
          <t>LLM</t>
        </is>
      </c>
      <c r="N2532" t="inlineStr">
        <is>
          <t>2026-04-18</t>
        </is>
      </c>
      <c r="O2532" t="inlineStr">
        <is>
          <t>AI</t>
        </is>
      </c>
    </row>
    <row r="2533">
      <c r="A2533" t="inlineStr">
        <is>
          <t>PT Jaya Agra Wattie Tbk</t>
        </is>
      </c>
      <c r="B2533" t="inlineStr">
        <is>
          <t>JAWA_2023_AR.pdf</t>
        </is>
      </c>
      <c r="C2533" t="n">
        <v>2023</v>
      </c>
      <c r="D2533" t="inlineStr">
        <is>
          <t>Operation</t>
        </is>
      </c>
      <c r="E2533" t="inlineStr">
        <is>
          <t>Avg RSS Price</t>
        </is>
      </c>
      <c r="F2533" t="n">
        <v>22686</v>
      </c>
      <c r="G2533" t="inlineStr">
        <is>
          <t>Rp/kg</t>
        </is>
      </c>
      <c r="H2533" t="n">
        <v>12</v>
      </c>
      <c r="I2533" t="inlineStr">
        <is>
          <t>RSS 22,686 (-17%)</t>
        </is>
      </c>
      <c r="J2533" t="inlineStr">
        <is>
          <t>High</t>
        </is>
      </c>
      <c r="M2533" t="inlineStr">
        <is>
          <t>LLM</t>
        </is>
      </c>
      <c r="N2533" t="inlineStr">
        <is>
          <t>2026-04-18</t>
        </is>
      </c>
      <c r="O2533" t="inlineStr">
        <is>
          <t>AI</t>
        </is>
      </c>
    </row>
    <row r="2534">
      <c r="A2534" t="inlineStr">
        <is>
          <t>PT Jaya Agra Wattie Tbk</t>
        </is>
      </c>
      <c r="B2534" t="inlineStr">
        <is>
          <t>JAWA_2023_AR.pdf</t>
        </is>
      </c>
      <c r="C2534" t="n">
        <v>2023</v>
      </c>
      <c r="D2534" t="inlineStr">
        <is>
          <t>Operation</t>
        </is>
      </c>
      <c r="E2534" t="inlineStr">
        <is>
          <t>Avg Coffee Price</t>
        </is>
      </c>
      <c r="F2534" t="n">
        <v>38739</v>
      </c>
      <c r="G2534" t="inlineStr">
        <is>
          <t>Rp/kg</t>
        </is>
      </c>
      <c r="H2534" t="n">
        <v>12</v>
      </c>
      <c r="I2534" t="inlineStr">
        <is>
          <t>Kopi 38,739 (+72%)</t>
        </is>
      </c>
      <c r="J2534" t="inlineStr">
        <is>
          <t>High</t>
        </is>
      </c>
      <c r="M2534" t="inlineStr">
        <is>
          <t>LLM</t>
        </is>
      </c>
      <c r="N2534" t="inlineStr">
        <is>
          <t>2026-04-18</t>
        </is>
      </c>
      <c r="O2534" t="inlineStr">
        <is>
          <t>AI</t>
        </is>
      </c>
    </row>
    <row r="2535">
      <c r="A2535" t="inlineStr">
        <is>
          <t>PT Jaya Agra Wattie Tbk</t>
        </is>
      </c>
      <c r="B2535" t="inlineStr">
        <is>
          <t>JAWA_2023_AR.pdf</t>
        </is>
      </c>
      <c r="C2535" t="n">
        <v>2023</v>
      </c>
      <c r="D2535" t="inlineStr">
        <is>
          <t>Operation</t>
        </is>
      </c>
      <c r="E2535" t="inlineStr">
        <is>
          <t>Avg Tea Price</t>
        </is>
      </c>
      <c r="F2535" t="n">
        <v>16446</v>
      </c>
      <c r="G2535" t="inlineStr">
        <is>
          <t>Rp/kg</t>
        </is>
      </c>
      <c r="H2535" t="n">
        <v>12</v>
      </c>
      <c r="I2535" t="inlineStr">
        <is>
          <t>Teh 16,446 (-9%)</t>
        </is>
      </c>
      <c r="J2535" t="inlineStr">
        <is>
          <t>High</t>
        </is>
      </c>
      <c r="M2535" t="inlineStr">
        <is>
          <t>LLM</t>
        </is>
      </c>
      <c r="N2535" t="inlineStr">
        <is>
          <t>2026-04-18</t>
        </is>
      </c>
      <c r="O2535" t="inlineStr">
        <is>
          <t>AI</t>
        </is>
      </c>
    </row>
    <row r="2536">
      <c r="A2536" t="inlineStr">
        <is>
          <t>PT Jaya Agra Wattie Tbk</t>
        </is>
      </c>
      <c r="B2536" t="inlineStr">
        <is>
          <t>JAWA_2023_AR.pdf</t>
        </is>
      </c>
      <c r="C2536" t="n">
        <v>2023</v>
      </c>
      <c r="D2536" t="inlineStr">
        <is>
          <t>ESG</t>
        </is>
      </c>
      <c r="E2536" t="inlineStr">
        <is>
          <t>SNI ISO 9001:2015 Certifications</t>
        </is>
      </c>
      <c r="F2536" t="inlineStr">
        <is>
          <t>Multiple subsidiary certs incl KE, IJR, KJW, PK</t>
        </is>
      </c>
      <c r="G2536" t="inlineStr">
        <is>
          <t>text</t>
        </is>
      </c>
      <c r="H2536" t="n">
        <v>23</v>
      </c>
      <c r="I2536" t="inlineStr">
        <is>
          <t>SNI ISO 9001:2015 across PT Kaliduren Estates, PT Kintap Jaya Wattindo, PT Perkebunan Kroewoek, PT Indo Java Rubber</t>
        </is>
      </c>
      <c r="J2536" t="inlineStr">
        <is>
          <t>High</t>
        </is>
      </c>
      <c r="M2536" t="inlineStr">
        <is>
          <t>LLM</t>
        </is>
      </c>
      <c r="N2536" t="inlineStr">
        <is>
          <t>2026-04-18</t>
        </is>
      </c>
      <c r="O2536" t="inlineStr">
        <is>
          <t>AI</t>
        </is>
      </c>
    </row>
    <row r="2537">
      <c r="A2537" t="inlineStr">
        <is>
          <t>PT Jaya Agra Wattie Tbk</t>
        </is>
      </c>
      <c r="B2537" t="inlineStr">
        <is>
          <t>JAWA_2024_AR.pdf</t>
        </is>
      </c>
      <c r="C2537" t="n">
        <v>2024</v>
      </c>
      <c r="D2537" t="inlineStr">
        <is>
          <t>Company</t>
        </is>
      </c>
      <c r="E2537" t="inlineStr">
        <is>
          <t>Company Name</t>
        </is>
      </c>
      <c r="F2537" t="inlineStr">
        <is>
          <t>PT Jaya Agra Wattie Tbk</t>
        </is>
      </c>
      <c r="G2537" t="inlineStr">
        <is>
          <t>text</t>
        </is>
      </c>
      <c r="H2537" t="n">
        <v>9</v>
      </c>
      <c r="I2537" t="inlineStr">
        <is>
          <t>PT Jaya Agra Wattie Tbk</t>
        </is>
      </c>
      <c r="J2537" t="inlineStr">
        <is>
          <t>High</t>
        </is>
      </c>
      <c r="M2537" t="inlineStr">
        <is>
          <t>LLM</t>
        </is>
      </c>
      <c r="N2537" t="inlineStr">
        <is>
          <t>2026-04-18</t>
        </is>
      </c>
      <c r="O2537" t="inlineStr">
        <is>
          <t>AI</t>
        </is>
      </c>
    </row>
    <row r="2538">
      <c r="A2538" t="inlineStr">
        <is>
          <t>PT Jaya Agra Wattie Tbk</t>
        </is>
      </c>
      <c r="B2538" t="inlineStr">
        <is>
          <t>JAWA_2024_AR.pdf</t>
        </is>
      </c>
      <c r="C2538" t="n">
        <v>2024</v>
      </c>
      <c r="D2538" t="inlineStr">
        <is>
          <t>Company</t>
        </is>
      </c>
      <c r="E2538" t="inlineStr">
        <is>
          <t>Ticker</t>
        </is>
      </c>
      <c r="F2538" t="inlineStr">
        <is>
          <t>JAWA</t>
        </is>
      </c>
      <c r="G2538" t="inlineStr">
        <is>
          <t>text</t>
        </is>
      </c>
      <c r="H2538" t="n">
        <v>17</v>
      </c>
      <c r="I2538" t="inlineStr">
        <is>
          <t>dicatatkan di Bursa Efek Indonesia (BEI) dengan kode saham JAWA</t>
        </is>
      </c>
      <c r="J2538" t="inlineStr">
        <is>
          <t>High</t>
        </is>
      </c>
      <c r="M2538" t="inlineStr">
        <is>
          <t>LLM</t>
        </is>
      </c>
      <c r="N2538" t="inlineStr">
        <is>
          <t>2026-04-18</t>
        </is>
      </c>
      <c r="O2538" t="inlineStr">
        <is>
          <t>AI</t>
        </is>
      </c>
    </row>
    <row r="2539">
      <c r="A2539" t="inlineStr">
        <is>
          <t>PT Jaya Agra Wattie Tbk</t>
        </is>
      </c>
      <c r="B2539" t="inlineStr">
        <is>
          <t>JAWA_2024_AR.pdf</t>
        </is>
      </c>
      <c r="C2539" t="n">
        <v>2024</v>
      </c>
      <c r="D2539" t="inlineStr">
        <is>
          <t>Company</t>
        </is>
      </c>
      <c r="E2539" t="inlineStr">
        <is>
          <t>Controlling Shareholder</t>
        </is>
      </c>
      <c r="F2539" t="inlineStr">
        <is>
          <t>PT Sarana Agro Investama 92.50%</t>
        </is>
      </c>
      <c r="G2539" t="inlineStr">
        <is>
          <t>%</t>
        </is>
      </c>
      <c r="H2539" t="n">
        <v>61</v>
      </c>
      <c r="I2539" t="inlineStr">
        <is>
          <t>PT Sarana Agro Investama 15,015,345,027 92.50</t>
        </is>
      </c>
      <c r="J2539" t="inlineStr">
        <is>
          <t>High</t>
        </is>
      </c>
      <c r="M2539" t="inlineStr">
        <is>
          <t>LLM</t>
        </is>
      </c>
      <c r="N2539" t="inlineStr">
        <is>
          <t>2026-04-18</t>
        </is>
      </c>
      <c r="O2539" t="inlineStr">
        <is>
          <t>AI</t>
        </is>
      </c>
    </row>
    <row r="2540">
      <c r="A2540" t="inlineStr">
        <is>
          <t>PT Jaya Agra Wattie Tbk</t>
        </is>
      </c>
      <c r="B2540" t="inlineStr">
        <is>
          <t>JAWA_2024_AR.pdf</t>
        </is>
      </c>
      <c r="C2540" t="n">
        <v>2024</v>
      </c>
      <c r="D2540" t="inlineStr">
        <is>
          <t>Company</t>
        </is>
      </c>
      <c r="E2540" t="inlineStr">
        <is>
          <t>Public Float</t>
        </is>
      </c>
      <c r="F2540" t="n">
        <v>0.07499</v>
      </c>
      <c r="G2540" t="inlineStr">
        <is>
          <t>%</t>
        </is>
      </c>
      <c r="H2540" t="n">
        <v>61</v>
      </c>
      <c r="I2540" t="inlineStr">
        <is>
          <t>Masyarakat 1,217,474,315 7.499</t>
        </is>
      </c>
      <c r="J2540" t="inlineStr">
        <is>
          <t>High</t>
        </is>
      </c>
      <c r="M2540" t="inlineStr">
        <is>
          <t>LLM</t>
        </is>
      </c>
      <c r="N2540" t="inlineStr">
        <is>
          <t>2026-04-18</t>
        </is>
      </c>
      <c r="O2540" t="inlineStr">
        <is>
          <t>AI</t>
        </is>
      </c>
    </row>
    <row r="2541">
      <c r="A2541" t="inlineStr">
        <is>
          <t>PT Jaya Agra Wattie Tbk</t>
        </is>
      </c>
      <c r="B2541" t="inlineStr">
        <is>
          <t>JAWA_2024_AR.pdf</t>
        </is>
      </c>
      <c r="C2541" t="n">
        <v>2024</v>
      </c>
      <c r="D2541" t="inlineStr">
        <is>
          <t>Company</t>
        </is>
      </c>
      <c r="E2541" t="inlineStr">
        <is>
          <t>Rohadi Shares</t>
        </is>
      </c>
      <c r="F2541" t="n">
        <v>132500</v>
      </c>
      <c r="G2541" t="inlineStr">
        <is>
          <t>shares</t>
        </is>
      </c>
      <c r="H2541" t="n">
        <v>61</v>
      </c>
      <c r="I2541" t="inlineStr">
        <is>
          <t>Rohadi 132,500 0.001</t>
        </is>
      </c>
      <c r="J2541" t="inlineStr">
        <is>
          <t>High</t>
        </is>
      </c>
      <c r="M2541" t="inlineStr">
        <is>
          <t>LLM</t>
        </is>
      </c>
      <c r="N2541" t="inlineStr">
        <is>
          <t>2026-04-18</t>
        </is>
      </c>
      <c r="O2541" t="inlineStr">
        <is>
          <t>AI</t>
        </is>
      </c>
    </row>
    <row r="2542">
      <c r="A2542" t="inlineStr">
        <is>
          <t>PT Jaya Agra Wattie Tbk</t>
        </is>
      </c>
      <c r="B2542" t="inlineStr">
        <is>
          <t>JAWA_2024_AR.pdf</t>
        </is>
      </c>
      <c r="C2542" t="n">
        <v>2024</v>
      </c>
      <c r="D2542" t="inlineStr">
        <is>
          <t>Company</t>
        </is>
      </c>
      <c r="E2542" t="inlineStr">
        <is>
          <t>IPO Year</t>
        </is>
      </c>
      <c r="F2542" t="n">
        <v>2011</v>
      </c>
      <c r="G2542" t="inlineStr">
        <is>
          <t>year</t>
        </is>
      </c>
      <c r="H2542" t="n">
        <v>64</v>
      </c>
      <c r="I2542" t="inlineStr">
        <is>
          <t>20 Mei 2011 Penawaran Umum Perdana</t>
        </is>
      </c>
      <c r="J2542" t="inlineStr">
        <is>
          <t>High</t>
        </is>
      </c>
      <c r="M2542" t="inlineStr">
        <is>
          <t>LLM</t>
        </is>
      </c>
      <c r="N2542" t="inlineStr">
        <is>
          <t>2026-04-18</t>
        </is>
      </c>
      <c r="O2542" t="inlineStr">
        <is>
          <t>AI</t>
        </is>
      </c>
    </row>
    <row r="2543">
      <c r="A2543" t="inlineStr">
        <is>
          <t>PT Jaya Agra Wattie Tbk</t>
        </is>
      </c>
      <c r="B2543" t="inlineStr">
        <is>
          <t>JAWA_2024_AR.pdf</t>
        </is>
      </c>
      <c r="C2543" t="n">
        <v>2024</v>
      </c>
      <c r="D2543" t="inlineStr">
        <is>
          <t>Company</t>
        </is>
      </c>
      <c r="E2543" t="inlineStr">
        <is>
          <t>Private Placement 2023</t>
        </is>
      </c>
      <c r="F2543" t="n">
        <v>12458266342</v>
      </c>
      <c r="G2543" t="inlineStr">
        <is>
          <t>shares</t>
        </is>
      </c>
      <c r="H2543" t="n">
        <v>64</v>
      </c>
      <c r="I2543" t="inlineStr">
        <is>
          <t>21 November 2023 PMTHMETD 12,458,266,342</t>
        </is>
      </c>
      <c r="J2543" t="inlineStr">
        <is>
          <t>High</t>
        </is>
      </c>
      <c r="M2543" t="inlineStr">
        <is>
          <t>LLM</t>
        </is>
      </c>
      <c r="N2543" t="inlineStr">
        <is>
          <t>2026-04-18</t>
        </is>
      </c>
      <c r="O2543" t="inlineStr">
        <is>
          <t>AI</t>
        </is>
      </c>
    </row>
    <row r="2544">
      <c r="A2544" t="inlineStr">
        <is>
          <t>PT Jaya Agra Wattie Tbk</t>
        </is>
      </c>
      <c r="B2544" t="inlineStr">
        <is>
          <t>JAWA_2024_AR.pdf</t>
        </is>
      </c>
      <c r="C2544" t="n">
        <v>2024</v>
      </c>
      <c r="D2544" t="inlineStr">
        <is>
          <t>Company</t>
        </is>
      </c>
      <c r="E2544" t="inlineStr">
        <is>
          <t>Subsidiaries Count</t>
        </is>
      </c>
      <c r="F2544" t="n">
        <v>12</v>
      </c>
      <c r="G2544" t="inlineStr">
        <is>
          <t>count</t>
        </is>
      </c>
      <c r="H2544" t="n">
        <v>65</v>
      </c>
      <c r="I2544" t="inlineStr">
        <is>
          <t>12 listed plantation subsidiaries</t>
        </is>
      </c>
      <c r="J2544" t="inlineStr">
        <is>
          <t>High</t>
        </is>
      </c>
      <c r="M2544" t="inlineStr">
        <is>
          <t>LLM</t>
        </is>
      </c>
      <c r="N2544" t="inlineStr">
        <is>
          <t>2026-04-18</t>
        </is>
      </c>
      <c r="O2544" t="inlineStr">
        <is>
          <t>AI</t>
        </is>
      </c>
    </row>
    <row r="2545">
      <c r="A2545" t="inlineStr">
        <is>
          <t>PT Jaya Agra Wattie Tbk</t>
        </is>
      </c>
      <c r="B2545" t="inlineStr">
        <is>
          <t>JAWA_2024_AR.pdf</t>
        </is>
      </c>
      <c r="C2545" t="n">
        <v>2024</v>
      </c>
      <c r="D2545" t="inlineStr">
        <is>
          <t>Company</t>
        </is>
      </c>
      <c r="E2545" t="inlineStr">
        <is>
          <t>Trading Suspension Event</t>
        </is>
      </c>
      <c r="F2545" t="inlineStr">
        <is>
          <t>Suspended 31 Jul - 6 Aug 2024</t>
        </is>
      </c>
      <c r="G2545" t="inlineStr">
        <is>
          <t>text</t>
        </is>
      </c>
      <c r="H2545" t="n">
        <v>18</v>
      </c>
      <c r="I2545" t="inlineStr">
        <is>
          <t>Pada tanggal 31 Juli 2024, Perseroan mengalami suspensi ... Pada tanggal 6 Agustus 2024, saham Perseroan telah dapat diperdagangkan kembali</t>
        </is>
      </c>
      <c r="J2545" t="inlineStr">
        <is>
          <t>High</t>
        </is>
      </c>
      <c r="M2545" t="inlineStr">
        <is>
          <t>LLM</t>
        </is>
      </c>
      <c r="N2545" t="inlineStr">
        <is>
          <t>2026-04-18</t>
        </is>
      </c>
      <c r="O2545" t="inlineStr">
        <is>
          <t>AI</t>
        </is>
      </c>
    </row>
    <row r="2546">
      <c r="A2546" t="inlineStr">
        <is>
          <t>PT Jaya Agra Wattie Tbk</t>
        </is>
      </c>
      <c r="B2546" t="inlineStr">
        <is>
          <t>JAWA_2024_AR.pdf</t>
        </is>
      </c>
      <c r="C2546" t="n">
        <v>2024</v>
      </c>
      <c r="D2546" t="inlineStr">
        <is>
          <t>Company</t>
        </is>
      </c>
      <c r="E2546" t="inlineStr">
        <is>
          <t>Board Transition</t>
        </is>
      </c>
      <c r="F2546" t="inlineStr">
        <is>
          <t>Main -&gt; Development Board 24 May 2024</t>
        </is>
      </c>
      <c r="G2546" t="inlineStr">
        <is>
          <t>text</t>
        </is>
      </c>
      <c r="H2546" t="n">
        <v>19</v>
      </c>
      <c r="I2546" t="inlineStr">
        <is>
          <t>Perpindahan Papan Pencatatan di BEI dari Papan Utama ke Papan Pengembangan</t>
        </is>
      </c>
      <c r="J2546" t="inlineStr">
        <is>
          <t>High</t>
        </is>
      </c>
      <c r="M2546" t="inlineStr">
        <is>
          <t>LLM</t>
        </is>
      </c>
      <c r="N2546" t="inlineStr">
        <is>
          <t>2026-04-18</t>
        </is>
      </c>
      <c r="O2546" t="inlineStr">
        <is>
          <t>AI</t>
        </is>
      </c>
    </row>
    <row r="2547">
      <c r="A2547" t="inlineStr">
        <is>
          <t>PT Jaya Agra Wattie Tbk</t>
        </is>
      </c>
      <c r="B2547" t="inlineStr">
        <is>
          <t>JAWA_2024_AR.pdf</t>
        </is>
      </c>
      <c r="C2547" t="n">
        <v>2024</v>
      </c>
      <c r="D2547" t="inlineStr">
        <is>
          <t>Company</t>
        </is>
      </c>
      <c r="E2547" t="inlineStr">
        <is>
          <t>Employee Count</t>
        </is>
      </c>
      <c r="F2547" t="n">
        <v>7421</v>
      </c>
      <c r="G2547" t="inlineStr">
        <is>
          <t>persons</t>
        </is>
      </c>
      <c r="H2547" t="n">
        <v>68</v>
      </c>
      <c r="I2547" t="inlineStr">
        <is>
          <t>Jumlah karyawan Perseroan selama tahun 2024 adalah 7,421 orang</t>
        </is>
      </c>
      <c r="J2547" t="inlineStr">
        <is>
          <t>High</t>
        </is>
      </c>
      <c r="M2547" t="inlineStr">
        <is>
          <t>LLM</t>
        </is>
      </c>
      <c r="N2547" t="inlineStr">
        <is>
          <t>2026-04-18</t>
        </is>
      </c>
      <c r="O2547" t="inlineStr">
        <is>
          <t>AI</t>
        </is>
      </c>
    </row>
    <row r="2548">
      <c r="A2548" t="inlineStr">
        <is>
          <t>PT Jaya Agra Wattie Tbk</t>
        </is>
      </c>
      <c r="B2548" t="inlineStr">
        <is>
          <t>JAWA_2024_AR.pdf</t>
        </is>
      </c>
      <c r="C2548" t="n">
        <v>2024</v>
      </c>
      <c r="D2548" t="inlineStr">
        <is>
          <t>Company</t>
        </is>
      </c>
      <c r="E2548" t="inlineStr">
        <is>
          <t>Authorized Capital</t>
        </is>
      </c>
      <c r="F2548" t="n">
        <v>6400</v>
      </c>
      <c r="G2548" t="inlineStr">
        <is>
          <t>IDR bn</t>
        </is>
      </c>
      <c r="H2548" t="n">
        <v>41</v>
      </c>
      <c r="I2548" t="inlineStr">
        <is>
          <t>Modal Dasar Perseroan menjadi Rp6.4 triliun</t>
        </is>
      </c>
      <c r="J2548" t="inlineStr">
        <is>
          <t>High</t>
        </is>
      </c>
      <c r="M2548" t="inlineStr">
        <is>
          <t>LLM</t>
        </is>
      </c>
      <c r="N2548" t="inlineStr">
        <is>
          <t>2026-04-18</t>
        </is>
      </c>
      <c r="O2548" t="inlineStr">
        <is>
          <t>AI</t>
        </is>
      </c>
    </row>
    <row r="2549">
      <c r="A2549" t="inlineStr">
        <is>
          <t>PT Jaya Agra Wattie Tbk</t>
        </is>
      </c>
      <c r="B2549" t="inlineStr">
        <is>
          <t>JAWA_2024_AR.pdf</t>
        </is>
      </c>
      <c r="C2549" t="n">
        <v>2024</v>
      </c>
      <c r="D2549" t="inlineStr">
        <is>
          <t>Financial</t>
        </is>
      </c>
      <c r="E2549" t="inlineStr">
        <is>
          <t>Net Sales</t>
        </is>
      </c>
      <c r="F2549" t="n">
        <v>1071</v>
      </c>
      <c r="G2549" t="inlineStr">
        <is>
          <t>IDR bn</t>
        </is>
      </c>
      <c r="H2549" t="n">
        <v>9</v>
      </c>
      <c r="I2549" t="inlineStr">
        <is>
          <t>Penjualan Bersih 1,070,773 (Rp juta)</t>
        </is>
      </c>
      <c r="J2549" t="inlineStr">
        <is>
          <t>High</t>
        </is>
      </c>
      <c r="M2549" t="inlineStr">
        <is>
          <t>LLM</t>
        </is>
      </c>
      <c r="N2549" t="inlineStr">
        <is>
          <t>2026-04-18</t>
        </is>
      </c>
      <c r="O2549" t="inlineStr">
        <is>
          <t>AI</t>
        </is>
      </c>
    </row>
    <row r="2550">
      <c r="A2550" t="inlineStr">
        <is>
          <t>PT Jaya Agra Wattie Tbk</t>
        </is>
      </c>
      <c r="B2550" t="inlineStr">
        <is>
          <t>JAWA_2024_AR.pdf</t>
        </is>
      </c>
      <c r="C2550" t="n">
        <v>2024</v>
      </c>
      <c r="D2550" t="inlineStr">
        <is>
          <t>Financial</t>
        </is>
      </c>
      <c r="E2550" t="inlineStr">
        <is>
          <t>Gross Profit</t>
        </is>
      </c>
      <c r="F2550" t="n">
        <v>110</v>
      </c>
      <c r="G2550" t="inlineStr">
        <is>
          <t>IDR bn</t>
        </is>
      </c>
      <c r="H2550" t="n">
        <v>9</v>
      </c>
      <c r="I2550" t="inlineStr">
        <is>
          <t>Laba Kotor 110,336</t>
        </is>
      </c>
      <c r="J2550" t="inlineStr">
        <is>
          <t>High</t>
        </is>
      </c>
      <c r="M2550" t="inlineStr">
        <is>
          <t>LLM</t>
        </is>
      </c>
      <c r="N2550" t="inlineStr">
        <is>
          <t>2026-04-18</t>
        </is>
      </c>
      <c r="O2550" t="inlineStr">
        <is>
          <t>AI</t>
        </is>
      </c>
    </row>
    <row r="2551">
      <c r="A2551" t="inlineStr">
        <is>
          <t>PT Jaya Agra Wattie Tbk</t>
        </is>
      </c>
      <c r="B2551" t="inlineStr">
        <is>
          <t>JAWA_2024_AR.pdf</t>
        </is>
      </c>
      <c r="C2551" t="n">
        <v>2024</v>
      </c>
      <c r="D2551" t="inlineStr">
        <is>
          <t>Financial</t>
        </is>
      </c>
      <c r="E2551" t="inlineStr">
        <is>
          <t>COGS</t>
        </is>
      </c>
      <c r="F2551" t="n">
        <v>960</v>
      </c>
      <c r="G2551" t="inlineStr">
        <is>
          <t>IDR bn</t>
        </is>
      </c>
      <c r="H2551" t="n">
        <v>9</v>
      </c>
      <c r="I2551" t="inlineStr">
        <is>
          <t>Beban Pokok Penjualan 960,438</t>
        </is>
      </c>
      <c r="J2551" t="inlineStr">
        <is>
          <t>High</t>
        </is>
      </c>
      <c r="M2551" t="inlineStr">
        <is>
          <t>LLM</t>
        </is>
      </c>
      <c r="N2551" t="inlineStr">
        <is>
          <t>2026-04-18</t>
        </is>
      </c>
      <c r="O2551" t="inlineStr">
        <is>
          <t>AI</t>
        </is>
      </c>
    </row>
    <row r="2552">
      <c r="A2552" t="inlineStr">
        <is>
          <t>PT Jaya Agra Wattie Tbk</t>
        </is>
      </c>
      <c r="B2552" t="inlineStr">
        <is>
          <t>JAWA_2024_AR.pdf</t>
        </is>
      </c>
      <c r="C2552" t="n">
        <v>2024</v>
      </c>
      <c r="D2552" t="inlineStr">
        <is>
          <t>Financial</t>
        </is>
      </c>
      <c r="E2552" t="inlineStr">
        <is>
          <t>Operating Expense</t>
        </is>
      </c>
      <c r="F2552" t="n">
        <v>59</v>
      </c>
      <c r="G2552" t="inlineStr">
        <is>
          <t>IDR bn</t>
        </is>
      </c>
      <c r="H2552" t="n">
        <v>89</v>
      </c>
      <c r="I2552" t="inlineStr">
        <is>
          <t>Beban Usaha (59,391)</t>
        </is>
      </c>
      <c r="J2552" t="inlineStr">
        <is>
          <t>High</t>
        </is>
      </c>
      <c r="M2552" t="inlineStr">
        <is>
          <t>LLM</t>
        </is>
      </c>
      <c r="N2552" t="inlineStr">
        <is>
          <t>2026-04-18</t>
        </is>
      </c>
      <c r="O2552" t="inlineStr">
        <is>
          <t>AI</t>
        </is>
      </c>
    </row>
    <row r="2553">
      <c r="A2553" t="inlineStr">
        <is>
          <t>PT Jaya Agra Wattie Tbk</t>
        </is>
      </c>
      <c r="B2553" t="inlineStr">
        <is>
          <t>JAWA_2024_AR.pdf</t>
        </is>
      </c>
      <c r="C2553" t="n">
        <v>2024</v>
      </c>
      <c r="D2553" t="inlineStr">
        <is>
          <t>Financial</t>
        </is>
      </c>
      <c r="E2553" t="inlineStr">
        <is>
          <t>EBIT (Operating Profit)</t>
        </is>
      </c>
      <c r="F2553" t="n">
        <v>51</v>
      </c>
      <c r="G2553" t="inlineStr">
        <is>
          <t>IDR bn</t>
        </is>
      </c>
      <c r="H2553" t="n">
        <v>279</v>
      </c>
      <c r="I2553" t="inlineStr">
        <is>
          <t>Laba usaha segmen 50,944,949,549 (consolidated)</t>
        </is>
      </c>
      <c r="J2553" t="inlineStr">
        <is>
          <t>High</t>
        </is>
      </c>
      <c r="M2553" t="inlineStr">
        <is>
          <t>LLM</t>
        </is>
      </c>
      <c r="N2553" t="inlineStr">
        <is>
          <t>2026-04-18</t>
        </is>
      </c>
      <c r="O2553" t="inlineStr">
        <is>
          <t>AI</t>
        </is>
      </c>
    </row>
    <row r="2554">
      <c r="A2554" t="inlineStr">
        <is>
          <t>PT Jaya Agra Wattie Tbk</t>
        </is>
      </c>
      <c r="B2554" t="inlineStr">
        <is>
          <t>JAWA_2024_AR.pdf</t>
        </is>
      </c>
      <c r="C2554" t="n">
        <v>2024</v>
      </c>
      <c r="D2554" t="inlineStr">
        <is>
          <t>Financial</t>
        </is>
      </c>
      <c r="E2554" t="inlineStr">
        <is>
          <t>Net Loss for Year</t>
        </is>
      </c>
      <c r="F2554" t="n">
        <v>-194</v>
      </c>
      <c r="G2554" t="inlineStr">
        <is>
          <t>IDR bn</t>
        </is>
      </c>
      <c r="H2554" t="n">
        <v>9</v>
      </c>
      <c r="I2554" t="inlineStr">
        <is>
          <t>Laba (Rugi) Tahun Berjalan (193,730)</t>
        </is>
      </c>
      <c r="J2554" t="inlineStr">
        <is>
          <t>High</t>
        </is>
      </c>
      <c r="M2554" t="inlineStr">
        <is>
          <t>LLM</t>
        </is>
      </c>
      <c r="N2554" t="inlineStr">
        <is>
          <t>2026-04-18</t>
        </is>
      </c>
      <c r="O2554" t="inlineStr">
        <is>
          <t>AI</t>
        </is>
      </c>
    </row>
    <row r="2555">
      <c r="A2555" t="inlineStr">
        <is>
          <t>PT Jaya Agra Wattie Tbk</t>
        </is>
      </c>
      <c r="B2555" t="inlineStr">
        <is>
          <t>JAWA_2024_AR.pdf</t>
        </is>
      </c>
      <c r="C2555" t="n">
        <v>2024</v>
      </c>
      <c r="D2555" t="inlineStr">
        <is>
          <t>Financial</t>
        </is>
      </c>
      <c r="E2555" t="inlineStr">
        <is>
          <t>Loss to Parent</t>
        </is>
      </c>
      <c r="F2555" t="n">
        <v>-193</v>
      </c>
      <c r="G2555" t="inlineStr">
        <is>
          <t>IDR bn</t>
        </is>
      </c>
      <c r="H2555" t="n">
        <v>9</v>
      </c>
      <c r="I2555" t="inlineStr">
        <is>
          <t>Pemilik Entitas Induk (193,043)</t>
        </is>
      </c>
      <c r="J2555" t="inlineStr">
        <is>
          <t>High</t>
        </is>
      </c>
      <c r="M2555" t="inlineStr">
        <is>
          <t>LLM</t>
        </is>
      </c>
      <c r="N2555" t="inlineStr">
        <is>
          <t>2026-04-18</t>
        </is>
      </c>
      <c r="O2555" t="inlineStr">
        <is>
          <t>AI</t>
        </is>
      </c>
    </row>
    <row r="2556">
      <c r="A2556" t="inlineStr">
        <is>
          <t>PT Jaya Agra Wattie Tbk</t>
        </is>
      </c>
      <c r="B2556" t="inlineStr">
        <is>
          <t>JAWA_2024_AR.pdf</t>
        </is>
      </c>
      <c r="C2556" t="n">
        <v>2024</v>
      </c>
      <c r="D2556" t="inlineStr">
        <is>
          <t>Financial</t>
        </is>
      </c>
      <c r="E2556" t="inlineStr">
        <is>
          <t>Comprehensive Loss</t>
        </is>
      </c>
      <c r="F2556" t="n">
        <v>-190</v>
      </c>
      <c r="G2556" t="inlineStr">
        <is>
          <t>IDR bn</t>
        </is>
      </c>
      <c r="H2556" t="n">
        <v>9</v>
      </c>
      <c r="I2556" t="inlineStr">
        <is>
          <t>Total Laba/(Rugi) Komprehensif (190,229)</t>
        </is>
      </c>
      <c r="J2556" t="inlineStr">
        <is>
          <t>High</t>
        </is>
      </c>
      <c r="M2556" t="inlineStr">
        <is>
          <t>LLM</t>
        </is>
      </c>
      <c r="N2556" t="inlineStr">
        <is>
          <t>2026-04-18</t>
        </is>
      </c>
      <c r="O2556" t="inlineStr">
        <is>
          <t>AI</t>
        </is>
      </c>
    </row>
    <row r="2557">
      <c r="A2557" t="inlineStr">
        <is>
          <t>PT Jaya Agra Wattie Tbk</t>
        </is>
      </c>
      <c r="B2557" t="inlineStr">
        <is>
          <t>JAWA_2024_AR.pdf</t>
        </is>
      </c>
      <c r="C2557" t="n">
        <v>2024</v>
      </c>
      <c r="D2557" t="inlineStr">
        <is>
          <t>Financial</t>
        </is>
      </c>
      <c r="E2557" t="inlineStr">
        <is>
          <t>EPS</t>
        </is>
      </c>
      <c r="F2557" t="n">
        <v>-12</v>
      </c>
      <c r="G2557" t="inlineStr">
        <is>
          <t>Rp/share</t>
        </is>
      </c>
      <c r="H2557" t="n">
        <v>9</v>
      </c>
      <c r="I2557" t="inlineStr">
        <is>
          <t>Laba/(Rugi) per Saham Dasar (12)</t>
        </is>
      </c>
      <c r="J2557" t="inlineStr">
        <is>
          <t>High</t>
        </is>
      </c>
      <c r="M2557" t="inlineStr">
        <is>
          <t>LLM</t>
        </is>
      </c>
      <c r="N2557" t="inlineStr">
        <is>
          <t>2026-04-18</t>
        </is>
      </c>
      <c r="O2557" t="inlineStr">
        <is>
          <t>AI</t>
        </is>
      </c>
    </row>
    <row r="2558">
      <c r="A2558" t="inlineStr">
        <is>
          <t>PT Jaya Agra Wattie Tbk</t>
        </is>
      </c>
      <c r="B2558" t="inlineStr">
        <is>
          <t>JAWA_2024_AR.pdf</t>
        </is>
      </c>
      <c r="C2558" t="n">
        <v>2024</v>
      </c>
      <c r="D2558" t="inlineStr">
        <is>
          <t>Financial</t>
        </is>
      </c>
      <c r="E2558" t="inlineStr">
        <is>
          <t>Total Assets</t>
        </is>
      </c>
      <c r="F2558" t="n">
        <v>3868</v>
      </c>
      <c r="G2558" t="inlineStr">
        <is>
          <t>IDR bn</t>
        </is>
      </c>
      <c r="H2558" t="n">
        <v>9</v>
      </c>
      <c r="I2558" t="inlineStr">
        <is>
          <t>Total Aset 3,867,577</t>
        </is>
      </c>
      <c r="J2558" t="inlineStr">
        <is>
          <t>High</t>
        </is>
      </c>
      <c r="M2558" t="inlineStr">
        <is>
          <t>LLM</t>
        </is>
      </c>
      <c r="N2558" t="inlineStr">
        <is>
          <t>2026-04-18</t>
        </is>
      </c>
      <c r="O2558" t="inlineStr">
        <is>
          <t>AI</t>
        </is>
      </c>
    </row>
    <row r="2559">
      <c r="A2559" t="inlineStr">
        <is>
          <t>PT Jaya Agra Wattie Tbk</t>
        </is>
      </c>
      <c r="B2559" t="inlineStr">
        <is>
          <t>JAWA_2024_AR.pdf</t>
        </is>
      </c>
      <c r="C2559" t="n">
        <v>2024</v>
      </c>
      <c r="D2559" t="inlineStr">
        <is>
          <t>Financial</t>
        </is>
      </c>
      <c r="E2559" t="inlineStr">
        <is>
          <t>Current Assets</t>
        </is>
      </c>
      <c r="F2559" t="n">
        <v>532</v>
      </c>
      <c r="G2559" t="inlineStr">
        <is>
          <t>IDR bn</t>
        </is>
      </c>
      <c r="H2559" t="n">
        <v>87</v>
      </c>
      <c r="I2559" t="inlineStr">
        <is>
          <t>Aset Lancar 531,763</t>
        </is>
      </c>
      <c r="J2559" t="inlineStr">
        <is>
          <t>High</t>
        </is>
      </c>
      <c r="M2559" t="inlineStr">
        <is>
          <t>LLM</t>
        </is>
      </c>
      <c r="N2559" t="inlineStr">
        <is>
          <t>2026-04-18</t>
        </is>
      </c>
      <c r="O2559" t="inlineStr">
        <is>
          <t>AI</t>
        </is>
      </c>
    </row>
    <row r="2560">
      <c r="A2560" t="inlineStr">
        <is>
          <t>PT Jaya Agra Wattie Tbk</t>
        </is>
      </c>
      <c r="B2560" t="inlineStr">
        <is>
          <t>JAWA_2024_AR.pdf</t>
        </is>
      </c>
      <c r="C2560" t="n">
        <v>2024</v>
      </c>
      <c r="D2560" t="inlineStr">
        <is>
          <t>Financial</t>
        </is>
      </c>
      <c r="E2560" t="inlineStr">
        <is>
          <t>Non-Current Assets</t>
        </is>
      </c>
      <c r="F2560" t="n">
        <v>3336</v>
      </c>
      <c r="G2560" t="inlineStr">
        <is>
          <t>IDR bn</t>
        </is>
      </c>
      <c r="H2560" t="n">
        <v>87</v>
      </c>
      <c r="I2560" t="inlineStr">
        <is>
          <t>Aset Tidak Lancar 3,335,814</t>
        </is>
      </c>
      <c r="J2560" t="inlineStr">
        <is>
          <t>High</t>
        </is>
      </c>
      <c r="M2560" t="inlineStr">
        <is>
          <t>LLM</t>
        </is>
      </c>
      <c r="N2560" t="inlineStr">
        <is>
          <t>2026-04-18</t>
        </is>
      </c>
      <c r="O2560" t="inlineStr">
        <is>
          <t>AI</t>
        </is>
      </c>
    </row>
    <row r="2561">
      <c r="A2561" t="inlineStr">
        <is>
          <t>PT Jaya Agra Wattie Tbk</t>
        </is>
      </c>
      <c r="B2561" t="inlineStr">
        <is>
          <t>JAWA_2024_AR.pdf</t>
        </is>
      </c>
      <c r="C2561" t="n">
        <v>2024</v>
      </c>
      <c r="D2561" t="inlineStr">
        <is>
          <t>Financial</t>
        </is>
      </c>
      <c r="E2561" t="inlineStr">
        <is>
          <t>Total Liabilities</t>
        </is>
      </c>
      <c r="F2561" t="n">
        <v>2502</v>
      </c>
      <c r="G2561" t="inlineStr">
        <is>
          <t>IDR bn</t>
        </is>
      </c>
      <c r="H2561" t="n">
        <v>9</v>
      </c>
      <c r="I2561" t="inlineStr">
        <is>
          <t>Total Liabilitas 2,501,594</t>
        </is>
      </c>
      <c r="J2561" t="inlineStr">
        <is>
          <t>High</t>
        </is>
      </c>
      <c r="M2561" t="inlineStr">
        <is>
          <t>LLM</t>
        </is>
      </c>
      <c r="N2561" t="inlineStr">
        <is>
          <t>2026-04-18</t>
        </is>
      </c>
      <c r="O2561" t="inlineStr">
        <is>
          <t>AI</t>
        </is>
      </c>
    </row>
    <row r="2562">
      <c r="A2562" t="inlineStr">
        <is>
          <t>PT Jaya Agra Wattie Tbk</t>
        </is>
      </c>
      <c r="B2562" t="inlineStr">
        <is>
          <t>JAWA_2024_AR.pdf</t>
        </is>
      </c>
      <c r="C2562" t="n">
        <v>2024</v>
      </c>
      <c r="D2562" t="inlineStr">
        <is>
          <t>Financial</t>
        </is>
      </c>
      <c r="E2562" t="inlineStr">
        <is>
          <t>Current Liabilities</t>
        </is>
      </c>
      <c r="F2562" t="n">
        <v>533</v>
      </c>
      <c r="G2562" t="inlineStr">
        <is>
          <t>IDR bn</t>
        </is>
      </c>
      <c r="H2562" t="n">
        <v>87</v>
      </c>
      <c r="I2562" t="inlineStr">
        <is>
          <t>Liabilitas Jangka Pendek 533,367</t>
        </is>
      </c>
      <c r="J2562" t="inlineStr">
        <is>
          <t>High</t>
        </is>
      </c>
      <c r="M2562" t="inlineStr">
        <is>
          <t>LLM</t>
        </is>
      </c>
      <c r="N2562" t="inlineStr">
        <is>
          <t>2026-04-18</t>
        </is>
      </c>
      <c r="O2562" t="inlineStr">
        <is>
          <t>AI</t>
        </is>
      </c>
    </row>
    <row r="2563">
      <c r="A2563" t="inlineStr">
        <is>
          <t>PT Jaya Agra Wattie Tbk</t>
        </is>
      </c>
      <c r="B2563" t="inlineStr">
        <is>
          <t>JAWA_2024_AR.pdf</t>
        </is>
      </c>
      <c r="C2563" t="n">
        <v>2024</v>
      </c>
      <c r="D2563" t="inlineStr">
        <is>
          <t>Financial</t>
        </is>
      </c>
      <c r="E2563" t="inlineStr">
        <is>
          <t>Long-term Liabilities</t>
        </is>
      </c>
      <c r="F2563" t="n">
        <v>1968</v>
      </c>
      <c r="G2563" t="inlineStr">
        <is>
          <t>IDR bn</t>
        </is>
      </c>
      <c r="H2563" t="n">
        <v>87</v>
      </c>
      <c r="I2563" t="inlineStr">
        <is>
          <t>Liabilitas Jangka Panjang 1,968,226</t>
        </is>
      </c>
      <c r="J2563" t="inlineStr">
        <is>
          <t>High</t>
        </is>
      </c>
      <c r="M2563" t="inlineStr">
        <is>
          <t>LLM</t>
        </is>
      </c>
      <c r="N2563" t="inlineStr">
        <is>
          <t>2026-04-18</t>
        </is>
      </c>
      <c r="O2563" t="inlineStr">
        <is>
          <t>AI</t>
        </is>
      </c>
    </row>
    <row r="2564">
      <c r="A2564" t="inlineStr">
        <is>
          <t>PT Jaya Agra Wattie Tbk</t>
        </is>
      </c>
      <c r="B2564" t="inlineStr">
        <is>
          <t>JAWA_2024_AR.pdf</t>
        </is>
      </c>
      <c r="C2564" t="n">
        <v>2024</v>
      </c>
      <c r="D2564" t="inlineStr">
        <is>
          <t>Financial</t>
        </is>
      </c>
      <c r="E2564" t="inlineStr">
        <is>
          <t>Total Equity</t>
        </is>
      </c>
      <c r="F2564" t="n">
        <v>1366</v>
      </c>
      <c r="G2564" t="inlineStr">
        <is>
          <t>IDR bn</t>
        </is>
      </c>
      <c r="H2564" t="n">
        <v>9</v>
      </c>
      <c r="I2564" t="inlineStr">
        <is>
          <t>Total Ekuitas 1,365,983</t>
        </is>
      </c>
      <c r="J2564" t="inlineStr">
        <is>
          <t>High</t>
        </is>
      </c>
      <c r="M2564" t="inlineStr">
        <is>
          <t>LLM</t>
        </is>
      </c>
      <c r="N2564" t="inlineStr">
        <is>
          <t>2026-04-18</t>
        </is>
      </c>
      <c r="O2564" t="inlineStr">
        <is>
          <t>AI</t>
        </is>
      </c>
    </row>
    <row r="2565">
      <c r="A2565" t="inlineStr">
        <is>
          <t>PT Jaya Agra Wattie Tbk</t>
        </is>
      </c>
      <c r="B2565" t="inlineStr">
        <is>
          <t>JAWA_2024_AR.pdf</t>
        </is>
      </c>
      <c r="C2565" t="n">
        <v>2024</v>
      </c>
      <c r="D2565" t="inlineStr">
        <is>
          <t>Financial</t>
        </is>
      </c>
      <c r="E2565" t="inlineStr">
        <is>
          <t>Cash &amp; Bank</t>
        </is>
      </c>
      <c r="F2565" t="n">
        <v>5.85</v>
      </c>
      <c r="G2565" t="inlineStr">
        <is>
          <t>IDR bn</t>
        </is>
      </c>
      <c r="H2565" t="n">
        <v>196</v>
      </c>
      <c r="I2565" t="inlineStr">
        <is>
          <t>Kas dan bank 5,849,804,840</t>
        </is>
      </c>
      <c r="J2565" t="inlineStr">
        <is>
          <t>High</t>
        </is>
      </c>
      <c r="M2565" t="inlineStr">
        <is>
          <t>LLM</t>
        </is>
      </c>
      <c r="N2565" t="inlineStr">
        <is>
          <t>2026-04-18</t>
        </is>
      </c>
      <c r="O2565" t="inlineStr">
        <is>
          <t>AI</t>
        </is>
      </c>
    </row>
    <row r="2566">
      <c r="A2566" t="inlineStr">
        <is>
          <t>PT Jaya Agra Wattie Tbk</t>
        </is>
      </c>
      <c r="B2566" t="inlineStr">
        <is>
          <t>JAWA_2024_AR.pdf</t>
        </is>
      </c>
      <c r="C2566" t="n">
        <v>2024</v>
      </c>
      <c r="D2566" t="inlineStr">
        <is>
          <t>Financial</t>
        </is>
      </c>
      <c r="E2566" t="inlineStr">
        <is>
          <t>Short-term Bank Loan</t>
        </is>
      </c>
      <c r="F2566" t="n">
        <v>85</v>
      </c>
      <c r="G2566" t="inlineStr">
        <is>
          <t>IDR bn</t>
        </is>
      </c>
      <c r="H2566" t="n">
        <v>197</v>
      </c>
      <c r="I2566" t="inlineStr">
        <is>
          <t>Utang bank jangka pendek 85,000,000,000</t>
        </is>
      </c>
      <c r="J2566" t="inlineStr">
        <is>
          <t>High</t>
        </is>
      </c>
      <c r="M2566" t="inlineStr">
        <is>
          <t>LLM</t>
        </is>
      </c>
      <c r="N2566" t="inlineStr">
        <is>
          <t>2026-04-18</t>
        </is>
      </c>
      <c r="O2566" t="inlineStr">
        <is>
          <t>AI</t>
        </is>
      </c>
    </row>
    <row r="2567">
      <c r="A2567" t="inlineStr">
        <is>
          <t>PT Jaya Agra Wattie Tbk</t>
        </is>
      </c>
      <c r="B2567" t="inlineStr">
        <is>
          <t>JAWA_2024_AR.pdf</t>
        </is>
      </c>
      <c r="C2567" t="n">
        <v>2024</v>
      </c>
      <c r="D2567" t="inlineStr">
        <is>
          <t>Financial</t>
        </is>
      </c>
      <c r="E2567" t="inlineStr">
        <is>
          <t>Current Portion LT Bank Loan</t>
        </is>
      </c>
      <c r="F2567" t="n">
        <v>145</v>
      </c>
      <c r="G2567" t="inlineStr">
        <is>
          <t>IDR bn</t>
        </is>
      </c>
      <c r="H2567" t="n">
        <v>197</v>
      </c>
      <c r="I2567" t="inlineStr">
        <is>
          <t>Bagian lancar Utang bank 145,102,795,223</t>
        </is>
      </c>
      <c r="J2567" t="inlineStr">
        <is>
          <t>High</t>
        </is>
      </c>
      <c r="M2567" t="inlineStr">
        <is>
          <t>LLM</t>
        </is>
      </c>
      <c r="N2567" t="inlineStr">
        <is>
          <t>2026-04-18</t>
        </is>
      </c>
      <c r="O2567" t="inlineStr">
        <is>
          <t>AI</t>
        </is>
      </c>
    </row>
    <row r="2568">
      <c r="A2568" t="inlineStr">
        <is>
          <t>PT Jaya Agra Wattie Tbk</t>
        </is>
      </c>
      <c r="B2568" t="inlineStr">
        <is>
          <t>JAWA_2024_AR.pdf</t>
        </is>
      </c>
      <c r="C2568" t="n">
        <v>2024</v>
      </c>
      <c r="D2568" t="inlineStr">
        <is>
          <t>Financial</t>
        </is>
      </c>
      <c r="E2568" t="inlineStr">
        <is>
          <t>LT Bank Loan (non-current)</t>
        </is>
      </c>
      <c r="F2568" t="n">
        <v>765</v>
      </c>
      <c r="G2568" t="inlineStr">
        <is>
          <t>IDR bn</t>
        </is>
      </c>
      <c r="H2568" t="n">
        <v>197</v>
      </c>
      <c r="I2568" t="inlineStr">
        <is>
          <t>Utang bank 765,226,191,865 (LT net)</t>
        </is>
      </c>
      <c r="J2568" t="inlineStr">
        <is>
          <t>High</t>
        </is>
      </c>
      <c r="M2568" t="inlineStr">
        <is>
          <t>LLM</t>
        </is>
      </c>
      <c r="N2568" t="inlineStr">
        <is>
          <t>2026-04-18</t>
        </is>
      </c>
      <c r="O2568" t="inlineStr">
        <is>
          <t>AI</t>
        </is>
      </c>
    </row>
    <row r="2569">
      <c r="A2569" t="inlineStr">
        <is>
          <t>PT Jaya Agra Wattie Tbk</t>
        </is>
      </c>
      <c r="B2569" t="inlineStr">
        <is>
          <t>JAWA_2024_AR.pdf</t>
        </is>
      </c>
      <c r="C2569" t="n">
        <v>2024</v>
      </c>
      <c r="D2569" t="inlineStr">
        <is>
          <t>Financial</t>
        </is>
      </c>
      <c r="E2569" t="inlineStr">
        <is>
          <t>Gross Bank Debt</t>
        </is>
      </c>
      <c r="F2569" t="n">
        <v>995</v>
      </c>
      <c r="G2569" t="inlineStr">
        <is>
          <t>IDR bn</t>
        </is>
      </c>
      <c r="H2569" t="n">
        <v>284</v>
      </c>
      <c r="I2569" t="inlineStr">
        <is>
          <t>Utang bank jangka pendek 85,000,000,000 + Utang bank jangka panjang 910,328,987,088 = Rp995 bn</t>
        </is>
      </c>
      <c r="J2569" t="inlineStr">
        <is>
          <t>High</t>
        </is>
      </c>
      <c r="M2569" t="inlineStr">
        <is>
          <t>LLM</t>
        </is>
      </c>
      <c r="N2569" t="inlineStr">
        <is>
          <t>2026-04-18</t>
        </is>
      </c>
      <c r="O2569" t="inlineStr">
        <is>
          <t>AI</t>
        </is>
      </c>
    </row>
    <row r="2570">
      <c r="A2570" t="inlineStr">
        <is>
          <t>PT Jaya Agra Wattie Tbk</t>
        </is>
      </c>
      <c r="B2570" t="inlineStr">
        <is>
          <t>JAWA_2024_AR.pdf</t>
        </is>
      </c>
      <c r="C2570" t="n">
        <v>2024</v>
      </c>
      <c r="D2570" t="inlineStr">
        <is>
          <t>Financial</t>
        </is>
      </c>
      <c r="E2570" t="inlineStr">
        <is>
          <t>LT Related Party Loan (SAI)</t>
        </is>
      </c>
      <c r="F2570" t="n">
        <v>1158</v>
      </c>
      <c r="G2570" t="inlineStr">
        <is>
          <t>IDR bn</t>
        </is>
      </c>
      <c r="H2570" t="n">
        <v>197</v>
      </c>
      <c r="I2570" t="inlineStr">
        <is>
          <t>Utang lain-lain jangka panjang - pihak berelasi 1,158,062,785,135</t>
        </is>
      </c>
      <c r="J2570" t="inlineStr">
        <is>
          <t>High</t>
        </is>
      </c>
      <c r="M2570" t="inlineStr">
        <is>
          <t>LLM</t>
        </is>
      </c>
      <c r="N2570" t="inlineStr">
        <is>
          <t>2026-04-18</t>
        </is>
      </c>
      <c r="O2570" t="inlineStr">
        <is>
          <t>AI</t>
        </is>
      </c>
    </row>
    <row r="2571">
      <c r="A2571" t="inlineStr">
        <is>
          <t>PT Jaya Agra Wattie Tbk</t>
        </is>
      </c>
      <c r="B2571" t="inlineStr">
        <is>
          <t>JAWA_2024_AR.pdf</t>
        </is>
      </c>
      <c r="C2571" t="n">
        <v>2024</v>
      </c>
      <c r="D2571" t="inlineStr">
        <is>
          <t>Financial</t>
        </is>
      </c>
      <c r="E2571" t="inlineStr">
        <is>
          <t>Trade Receivables (third party)</t>
        </is>
      </c>
      <c r="F2571" t="n">
        <v>137</v>
      </c>
      <c r="G2571" t="inlineStr">
        <is>
          <t>IDR bn</t>
        </is>
      </c>
      <c r="H2571" t="n">
        <v>196</v>
      </c>
      <c r="I2571" t="inlineStr">
        <is>
          <t>Piutang usaha - pihak ketiga - neto 136,809,302,371</t>
        </is>
      </c>
      <c r="J2571" t="inlineStr">
        <is>
          <t>High</t>
        </is>
      </c>
      <c r="M2571" t="inlineStr">
        <is>
          <t>LLM</t>
        </is>
      </c>
      <c r="N2571" t="inlineStr">
        <is>
          <t>2026-04-18</t>
        </is>
      </c>
      <c r="O2571" t="inlineStr">
        <is>
          <t>AI</t>
        </is>
      </c>
    </row>
    <row r="2572">
      <c r="A2572" t="inlineStr">
        <is>
          <t>PT Jaya Agra Wattie Tbk</t>
        </is>
      </c>
      <c r="B2572" t="inlineStr">
        <is>
          <t>JAWA_2024_AR.pdf</t>
        </is>
      </c>
      <c r="C2572" t="n">
        <v>2024</v>
      </c>
      <c r="D2572" t="inlineStr">
        <is>
          <t>Financial</t>
        </is>
      </c>
      <c r="E2572" t="inlineStr">
        <is>
          <t>Inventory</t>
        </is>
      </c>
      <c r="F2572" t="n">
        <v>214</v>
      </c>
      <c r="G2572" t="inlineStr">
        <is>
          <t>IDR bn</t>
        </is>
      </c>
      <c r="H2572" t="n">
        <v>196</v>
      </c>
      <c r="I2572" t="inlineStr">
        <is>
          <t>Persediaan 214,489,276,526</t>
        </is>
      </c>
      <c r="J2572" t="inlineStr">
        <is>
          <t>High</t>
        </is>
      </c>
      <c r="M2572" t="inlineStr">
        <is>
          <t>LLM</t>
        </is>
      </c>
      <c r="N2572" t="inlineStr">
        <is>
          <t>2026-04-18</t>
        </is>
      </c>
      <c r="O2572" t="inlineStr">
        <is>
          <t>AI</t>
        </is>
      </c>
    </row>
    <row r="2573">
      <c r="A2573" t="inlineStr">
        <is>
          <t>PT Jaya Agra Wattie Tbk</t>
        </is>
      </c>
      <c r="B2573" t="inlineStr">
        <is>
          <t>JAWA_2024_AR.pdf</t>
        </is>
      </c>
      <c r="C2573" t="n">
        <v>2024</v>
      </c>
      <c r="D2573" t="inlineStr">
        <is>
          <t>Financial</t>
        </is>
      </c>
      <c r="E2573" t="inlineStr">
        <is>
          <t>Biological Assets</t>
        </is>
      </c>
      <c r="F2573" t="n">
        <v>80</v>
      </c>
      <c r="G2573" t="inlineStr">
        <is>
          <t>IDR bn</t>
        </is>
      </c>
      <c r="H2573" t="n">
        <v>196</v>
      </c>
      <c r="I2573" t="inlineStr">
        <is>
          <t>Aset biologis 80,089,509,710</t>
        </is>
      </c>
      <c r="J2573" t="inlineStr">
        <is>
          <t>High</t>
        </is>
      </c>
      <c r="M2573" t="inlineStr">
        <is>
          <t>LLM</t>
        </is>
      </c>
      <c r="N2573" t="inlineStr">
        <is>
          <t>2026-04-18</t>
        </is>
      </c>
      <c r="O2573" t="inlineStr">
        <is>
          <t>AI</t>
        </is>
      </c>
    </row>
    <row r="2574">
      <c r="A2574" t="inlineStr">
        <is>
          <t>PT Jaya Agra Wattie Tbk</t>
        </is>
      </c>
      <c r="B2574" t="inlineStr">
        <is>
          <t>JAWA_2024_AR.pdf</t>
        </is>
      </c>
      <c r="C2574" t="n">
        <v>2024</v>
      </c>
      <c r="D2574" t="inlineStr">
        <is>
          <t>Financial</t>
        </is>
      </c>
      <c r="E2574" t="inlineStr">
        <is>
          <t>Plasma Receivables</t>
        </is>
      </c>
      <c r="F2574" t="n">
        <v>425</v>
      </c>
      <c r="G2574" t="inlineStr">
        <is>
          <t>IDR bn</t>
        </is>
      </c>
      <c r="H2574" t="n">
        <v>196</v>
      </c>
      <c r="I2574" t="inlineStr">
        <is>
          <t>Piutang plasma 424,741,249,044</t>
        </is>
      </c>
      <c r="J2574" t="inlineStr">
        <is>
          <t>High</t>
        </is>
      </c>
      <c r="M2574" t="inlineStr">
        <is>
          <t>LLM</t>
        </is>
      </c>
      <c r="N2574" t="inlineStr">
        <is>
          <t>2026-04-18</t>
        </is>
      </c>
      <c r="O2574" t="inlineStr">
        <is>
          <t>AI</t>
        </is>
      </c>
    </row>
    <row r="2575">
      <c r="A2575" t="inlineStr">
        <is>
          <t>PT Jaya Agra Wattie Tbk</t>
        </is>
      </c>
      <c r="B2575" t="inlineStr">
        <is>
          <t>JAWA_2024_AR.pdf</t>
        </is>
      </c>
      <c r="C2575" t="n">
        <v>2024</v>
      </c>
      <c r="D2575" t="inlineStr">
        <is>
          <t>Financial</t>
        </is>
      </c>
      <c r="E2575" t="inlineStr">
        <is>
          <t>Mature Plantations (net)</t>
        </is>
      </c>
      <c r="F2575" t="n">
        <v>951</v>
      </c>
      <c r="G2575" t="inlineStr">
        <is>
          <t>IDR bn</t>
        </is>
      </c>
      <c r="H2575" t="n">
        <v>196</v>
      </c>
      <c r="I2575" t="inlineStr">
        <is>
          <t>Tanaman menghasilkan - neto 951,323,192,651</t>
        </is>
      </c>
      <c r="J2575" t="inlineStr">
        <is>
          <t>High</t>
        </is>
      </c>
      <c r="M2575" t="inlineStr">
        <is>
          <t>LLM</t>
        </is>
      </c>
      <c r="N2575" t="inlineStr">
        <is>
          <t>2026-04-18</t>
        </is>
      </c>
      <c r="O2575" t="inlineStr">
        <is>
          <t>AI</t>
        </is>
      </c>
    </row>
    <row r="2576">
      <c r="A2576" t="inlineStr">
        <is>
          <t>PT Jaya Agra Wattie Tbk</t>
        </is>
      </c>
      <c r="B2576" t="inlineStr">
        <is>
          <t>JAWA_2024_AR.pdf</t>
        </is>
      </c>
      <c r="C2576" t="n">
        <v>2024</v>
      </c>
      <c r="D2576" t="inlineStr">
        <is>
          <t>Financial</t>
        </is>
      </c>
      <c r="E2576" t="inlineStr">
        <is>
          <t>Immature Plantations</t>
        </is>
      </c>
      <c r="F2576" t="n">
        <v>1091</v>
      </c>
      <c r="G2576" t="inlineStr">
        <is>
          <t>IDR bn</t>
        </is>
      </c>
      <c r="H2576" t="n">
        <v>196</v>
      </c>
      <c r="I2576" t="inlineStr">
        <is>
          <t>Tanaman belum menghasilkan 1,091,198,212,841</t>
        </is>
      </c>
      <c r="J2576" t="inlineStr">
        <is>
          <t>High</t>
        </is>
      </c>
      <c r="M2576" t="inlineStr">
        <is>
          <t>LLM</t>
        </is>
      </c>
      <c r="N2576" t="inlineStr">
        <is>
          <t>2026-04-18</t>
        </is>
      </c>
      <c r="O2576" t="inlineStr">
        <is>
          <t>AI</t>
        </is>
      </c>
    </row>
    <row r="2577">
      <c r="A2577" t="inlineStr">
        <is>
          <t>PT Jaya Agra Wattie Tbk</t>
        </is>
      </c>
      <c r="B2577" t="inlineStr">
        <is>
          <t>JAWA_2024_AR.pdf</t>
        </is>
      </c>
      <c r="C2577" t="n">
        <v>2024</v>
      </c>
      <c r="D2577" t="inlineStr">
        <is>
          <t>Financial</t>
        </is>
      </c>
      <c r="E2577" t="inlineStr">
        <is>
          <t>Fixed Assets (net)</t>
        </is>
      </c>
      <c r="F2577" t="n">
        <v>723</v>
      </c>
      <c r="G2577" t="inlineStr">
        <is>
          <t>IDR bn</t>
        </is>
      </c>
      <c r="H2577" t="n">
        <v>196</v>
      </c>
      <c r="I2577" t="inlineStr">
        <is>
          <t>Aset tetap - neto 722,999,562,068</t>
        </is>
      </c>
      <c r="J2577" t="inlineStr">
        <is>
          <t>High</t>
        </is>
      </c>
      <c r="M2577" t="inlineStr">
        <is>
          <t>LLM</t>
        </is>
      </c>
      <c r="N2577" t="inlineStr">
        <is>
          <t>2026-04-18</t>
        </is>
      </c>
      <c r="O2577" t="inlineStr">
        <is>
          <t>AI</t>
        </is>
      </c>
    </row>
    <row r="2578">
      <c r="A2578" t="inlineStr">
        <is>
          <t>PT Jaya Agra Wattie Tbk</t>
        </is>
      </c>
      <c r="B2578" t="inlineStr">
        <is>
          <t>JAWA_2024_AR.pdf</t>
        </is>
      </c>
      <c r="C2578" t="n">
        <v>2024</v>
      </c>
      <c r="D2578" t="inlineStr">
        <is>
          <t>Financial</t>
        </is>
      </c>
      <c r="E2578" t="inlineStr">
        <is>
          <t>Goodwill</t>
        </is>
      </c>
      <c r="F2578" t="n">
        <v>0</v>
      </c>
      <c r="G2578" t="inlineStr">
        <is>
          <t>IDR bn</t>
        </is>
      </c>
      <c r="H2578" t="n">
        <v>196</v>
      </c>
      <c r="I2578" t="inlineStr">
        <is>
          <t>Goodwill - (nil in 2024; 17.98 bn in 2023)</t>
        </is>
      </c>
      <c r="J2578" t="inlineStr">
        <is>
          <t>High</t>
        </is>
      </c>
      <c r="M2578" t="inlineStr">
        <is>
          <t>LLM</t>
        </is>
      </c>
      <c r="N2578" t="inlineStr">
        <is>
          <t>2026-04-18</t>
        </is>
      </c>
      <c r="O2578" t="inlineStr">
        <is>
          <t>AI</t>
        </is>
      </c>
    </row>
    <row r="2579">
      <c r="A2579" t="inlineStr">
        <is>
          <t>PT Jaya Agra Wattie Tbk</t>
        </is>
      </c>
      <c r="B2579" t="inlineStr">
        <is>
          <t>JAWA_2024_AR.pdf</t>
        </is>
      </c>
      <c r="C2579" t="n">
        <v>2024</v>
      </c>
      <c r="D2579" t="inlineStr">
        <is>
          <t>Financial</t>
        </is>
      </c>
      <c r="E2579" t="inlineStr">
        <is>
          <t>CFO</t>
        </is>
      </c>
      <c r="F2579" t="n">
        <v>-179</v>
      </c>
      <c r="G2579" t="inlineStr">
        <is>
          <t>IDR bn</t>
        </is>
      </c>
      <c r="H2579" t="n">
        <v>91</v>
      </c>
      <c r="I2579" t="inlineStr">
        <is>
          <t>Arus Kas dari Aktivitas Operasi (179,071)</t>
        </is>
      </c>
      <c r="J2579" t="inlineStr">
        <is>
          <t>High</t>
        </is>
      </c>
      <c r="M2579" t="inlineStr">
        <is>
          <t>LLM</t>
        </is>
      </c>
      <c r="N2579" t="inlineStr">
        <is>
          <t>2026-04-18</t>
        </is>
      </c>
      <c r="O2579" t="inlineStr">
        <is>
          <t>AI</t>
        </is>
      </c>
    </row>
    <row r="2580">
      <c r="A2580" t="inlineStr">
        <is>
          <t>PT Jaya Agra Wattie Tbk</t>
        </is>
      </c>
      <c r="B2580" t="inlineStr">
        <is>
          <t>JAWA_2024_AR.pdf</t>
        </is>
      </c>
      <c r="C2580" t="n">
        <v>2024</v>
      </c>
      <c r="D2580" t="inlineStr">
        <is>
          <t>Financial</t>
        </is>
      </c>
      <c r="E2580" t="inlineStr">
        <is>
          <t>CFI</t>
        </is>
      </c>
      <c r="F2580" t="n">
        <v>-119</v>
      </c>
      <c r="G2580" t="inlineStr">
        <is>
          <t>IDR bn</t>
        </is>
      </c>
      <c r="H2580" t="n">
        <v>91</v>
      </c>
      <c r="I2580" t="inlineStr">
        <is>
          <t>Arus Kas dari Aktivitas Investasi (119,244)</t>
        </is>
      </c>
      <c r="J2580" t="inlineStr">
        <is>
          <t>High</t>
        </is>
      </c>
      <c r="M2580" t="inlineStr">
        <is>
          <t>LLM</t>
        </is>
      </c>
      <c r="N2580" t="inlineStr">
        <is>
          <t>2026-04-18</t>
        </is>
      </c>
      <c r="O2580" t="inlineStr">
        <is>
          <t>AI</t>
        </is>
      </c>
    </row>
    <row r="2581">
      <c r="A2581" t="inlineStr">
        <is>
          <t>PT Jaya Agra Wattie Tbk</t>
        </is>
      </c>
      <c r="B2581" t="inlineStr">
        <is>
          <t>JAWA_2024_AR.pdf</t>
        </is>
      </c>
      <c r="C2581" t="n">
        <v>2024</v>
      </c>
      <c r="D2581" t="inlineStr">
        <is>
          <t>Financial</t>
        </is>
      </c>
      <c r="E2581" t="inlineStr">
        <is>
          <t>CFF</t>
        </is>
      </c>
      <c r="F2581" t="n">
        <v>297</v>
      </c>
      <c r="G2581" t="inlineStr">
        <is>
          <t>IDR bn</t>
        </is>
      </c>
      <c r="H2581" t="n">
        <v>91</v>
      </c>
      <c r="I2581" t="inlineStr">
        <is>
          <t>Arus Kas dari Aktivitas Pendanaan 297,134</t>
        </is>
      </c>
      <c r="J2581" t="inlineStr">
        <is>
          <t>High</t>
        </is>
      </c>
      <c r="M2581" t="inlineStr">
        <is>
          <t>LLM</t>
        </is>
      </c>
      <c r="N2581" t="inlineStr">
        <is>
          <t>2026-04-18</t>
        </is>
      </c>
      <c r="O2581" t="inlineStr">
        <is>
          <t>AI</t>
        </is>
      </c>
    </row>
    <row r="2582">
      <c r="A2582" t="inlineStr">
        <is>
          <t>PT Jaya Agra Wattie Tbk</t>
        </is>
      </c>
      <c r="B2582" t="inlineStr">
        <is>
          <t>JAWA_2024_AR.pdf</t>
        </is>
      </c>
      <c r="C2582" t="n">
        <v>2024</v>
      </c>
      <c r="D2582" t="inlineStr">
        <is>
          <t>Financial</t>
        </is>
      </c>
      <c r="E2582" t="inlineStr">
        <is>
          <t>Capex</t>
        </is>
      </c>
      <c r="F2582" t="n">
        <v>87</v>
      </c>
      <c r="G2582" t="inlineStr">
        <is>
          <t>IDR bn</t>
        </is>
      </c>
      <c r="H2582" t="n">
        <v>279</v>
      </c>
      <c r="I2582" t="inlineStr">
        <is>
          <t>Pengeluaran modal 86,705,221,065 (Rubber+Palm+Other segments)</t>
        </is>
      </c>
      <c r="J2582" t="inlineStr">
        <is>
          <t>High</t>
        </is>
      </c>
      <c r="M2582" t="inlineStr">
        <is>
          <t>LLM</t>
        </is>
      </c>
      <c r="N2582" t="inlineStr">
        <is>
          <t>2026-04-18</t>
        </is>
      </c>
      <c r="O2582" t="inlineStr">
        <is>
          <t>AI</t>
        </is>
      </c>
    </row>
    <row r="2583">
      <c r="A2583" t="inlineStr">
        <is>
          <t>PT Jaya Agra Wattie Tbk</t>
        </is>
      </c>
      <c r="B2583" t="inlineStr">
        <is>
          <t>JAWA_2024_AR.pdf</t>
        </is>
      </c>
      <c r="C2583" t="n">
        <v>2024</v>
      </c>
      <c r="D2583" t="inlineStr">
        <is>
          <t>Financial</t>
        </is>
      </c>
      <c r="E2583" t="inlineStr">
        <is>
          <t>Depreciation &amp; Amortization</t>
        </is>
      </c>
      <c r="F2583" t="n">
        <v>108</v>
      </c>
      <c r="G2583" t="inlineStr">
        <is>
          <t>IDR bn</t>
        </is>
      </c>
      <c r="H2583" t="n">
        <v>279</v>
      </c>
      <c r="I2583" t="inlineStr">
        <is>
          <t>Penyusutan dan amortisasi 108,468,520,090</t>
        </is>
      </c>
      <c r="J2583" t="inlineStr">
        <is>
          <t>High</t>
        </is>
      </c>
      <c r="M2583" t="inlineStr">
        <is>
          <t>LLM</t>
        </is>
      </c>
      <c r="N2583" t="inlineStr">
        <is>
          <t>2026-04-18</t>
        </is>
      </c>
      <c r="O2583" t="inlineStr">
        <is>
          <t>AI</t>
        </is>
      </c>
    </row>
    <row r="2584">
      <c r="A2584" t="inlineStr">
        <is>
          <t>PT Jaya Agra Wattie Tbk</t>
        </is>
      </c>
      <c r="B2584" t="inlineStr">
        <is>
          <t>JAWA_2024_AR.pdf</t>
        </is>
      </c>
      <c r="C2584" t="n">
        <v>2024</v>
      </c>
      <c r="D2584" t="inlineStr">
        <is>
          <t>Financial</t>
        </is>
      </c>
      <c r="E2584" t="inlineStr">
        <is>
          <t>Shares Outstanding</t>
        </is>
      </c>
      <c r="F2584" t="n">
        <v>16233</v>
      </c>
      <c r="G2584" t="inlineStr">
        <is>
          <t>mn</t>
        </is>
      </c>
      <c r="H2584" t="n">
        <v>61</v>
      </c>
      <c r="I2584" t="inlineStr">
        <is>
          <t>Total 16,232,951,842 shares</t>
        </is>
      </c>
      <c r="J2584" t="inlineStr">
        <is>
          <t>High</t>
        </is>
      </c>
      <c r="M2584" t="inlineStr">
        <is>
          <t>LLM</t>
        </is>
      </c>
      <c r="N2584" t="inlineStr">
        <is>
          <t>2026-04-18</t>
        </is>
      </c>
      <c r="O2584" t="inlineStr">
        <is>
          <t>AI</t>
        </is>
      </c>
    </row>
    <row r="2585">
      <c r="A2585" t="inlineStr">
        <is>
          <t>PT Jaya Agra Wattie Tbk</t>
        </is>
      </c>
      <c r="B2585" t="inlineStr">
        <is>
          <t>JAWA_2024_AR.pdf</t>
        </is>
      </c>
      <c r="C2585" t="n">
        <v>2024</v>
      </c>
      <c r="D2585" t="inlineStr">
        <is>
          <t>Financial</t>
        </is>
      </c>
      <c r="E2585" t="inlineStr">
        <is>
          <t>Closing Price Q4 2024</t>
        </is>
      </c>
      <c r="F2585" t="n">
        <v>110</v>
      </c>
      <c r="G2585" t="inlineStr">
        <is>
          <t>Rp/share</t>
        </is>
      </c>
      <c r="H2585" t="n">
        <v>17</v>
      </c>
      <c r="I2585" t="inlineStr">
        <is>
          <t>IV 143 92 110 (Q4 closing)</t>
        </is>
      </c>
      <c r="J2585" t="inlineStr">
        <is>
          <t>High</t>
        </is>
      </c>
      <c r="M2585" t="inlineStr">
        <is>
          <t>LLM</t>
        </is>
      </c>
      <c r="N2585" t="inlineStr">
        <is>
          <t>2026-04-18</t>
        </is>
      </c>
      <c r="O2585" t="inlineStr">
        <is>
          <t>AI</t>
        </is>
      </c>
    </row>
    <row r="2586">
      <c r="A2586" t="inlineStr">
        <is>
          <t>PT Jaya Agra Wattie Tbk</t>
        </is>
      </c>
      <c r="B2586" t="inlineStr">
        <is>
          <t>JAWA_2024_AR.pdf</t>
        </is>
      </c>
      <c r="C2586" t="n">
        <v>2024</v>
      </c>
      <c r="D2586" t="inlineStr">
        <is>
          <t>Financial</t>
        </is>
      </c>
      <c r="E2586" t="inlineStr">
        <is>
          <t>Market Cap Q4 2024</t>
        </is>
      </c>
      <c r="F2586" t="n">
        <v>1786</v>
      </c>
      <c r="G2586" t="inlineStr">
        <is>
          <t>IDR bn</t>
        </is>
      </c>
      <c r="H2586" t="n">
        <v>17</v>
      </c>
      <c r="I2586" t="inlineStr">
        <is>
          <t>Kapitalisasi Pasar IV 1,785,624,702,620</t>
        </is>
      </c>
      <c r="J2586" t="inlineStr">
        <is>
          <t>High</t>
        </is>
      </c>
      <c r="M2586" t="inlineStr">
        <is>
          <t>LLM</t>
        </is>
      </c>
      <c r="N2586" t="inlineStr">
        <is>
          <t>2026-04-18</t>
        </is>
      </c>
      <c r="O2586" t="inlineStr">
        <is>
          <t>AI</t>
        </is>
      </c>
    </row>
    <row r="2587">
      <c r="A2587" t="inlineStr">
        <is>
          <t>PT Jaya Agra Wattie Tbk</t>
        </is>
      </c>
      <c r="B2587" t="inlineStr">
        <is>
          <t>JAWA_2024_AR.pdf</t>
        </is>
      </c>
      <c r="C2587" t="n">
        <v>2024</v>
      </c>
      <c r="D2587" t="inlineStr">
        <is>
          <t>Financial</t>
        </is>
      </c>
      <c r="E2587" t="inlineStr">
        <is>
          <t>Current Ratio</t>
        </is>
      </c>
      <c r="F2587" t="n">
        <v>1</v>
      </c>
      <c r="G2587" t="inlineStr">
        <is>
          <t>x</t>
        </is>
      </c>
      <c r="H2587" t="n">
        <v>92</v>
      </c>
      <c r="I2587" t="inlineStr">
        <is>
          <t>Aset Lancar terhadap Liabilitas Jangka Pendek (x) 1.00</t>
        </is>
      </c>
      <c r="J2587" t="inlineStr">
        <is>
          <t>High</t>
        </is>
      </c>
      <c r="M2587" t="inlineStr">
        <is>
          <t>LLM</t>
        </is>
      </c>
      <c r="N2587" t="inlineStr">
        <is>
          <t>2026-04-18</t>
        </is>
      </c>
      <c r="O2587" t="inlineStr">
        <is>
          <t>AI</t>
        </is>
      </c>
    </row>
    <row r="2588">
      <c r="A2588" t="inlineStr">
        <is>
          <t>PT Jaya Agra Wattie Tbk</t>
        </is>
      </c>
      <c r="B2588" t="inlineStr">
        <is>
          <t>JAWA_2024_AR.pdf</t>
        </is>
      </c>
      <c r="C2588" t="n">
        <v>2024</v>
      </c>
      <c r="D2588" t="inlineStr">
        <is>
          <t>Financial</t>
        </is>
      </c>
      <c r="E2588" t="inlineStr">
        <is>
          <t>DER (Liab/Equity)</t>
        </is>
      </c>
      <c r="F2588" t="n">
        <v>1.83</v>
      </c>
      <c r="G2588" t="inlineStr">
        <is>
          <t>x</t>
        </is>
      </c>
      <c r="H2588" t="n">
        <v>92</v>
      </c>
      <c r="I2588" t="inlineStr">
        <is>
          <t>Jumlah Liabilitas Terhadap Jumlah Ekuitas 1.83</t>
        </is>
      </c>
      <c r="J2588" t="inlineStr">
        <is>
          <t>High</t>
        </is>
      </c>
      <c r="M2588" t="inlineStr">
        <is>
          <t>LLM</t>
        </is>
      </c>
      <c r="N2588" t="inlineStr">
        <is>
          <t>2026-04-18</t>
        </is>
      </c>
      <c r="O2588" t="inlineStr">
        <is>
          <t>AI</t>
        </is>
      </c>
    </row>
    <row r="2589">
      <c r="A2589" t="inlineStr">
        <is>
          <t>PT Jaya Agra Wattie Tbk</t>
        </is>
      </c>
      <c r="B2589" t="inlineStr">
        <is>
          <t>JAWA_2024_AR.pdf</t>
        </is>
      </c>
      <c r="C2589" t="n">
        <v>2024</v>
      </c>
      <c r="D2589" t="inlineStr">
        <is>
          <t>Financial</t>
        </is>
      </c>
      <c r="E2589" t="inlineStr">
        <is>
          <t>ROA</t>
        </is>
      </c>
      <c r="F2589" t="n">
        <v>-0.0501</v>
      </c>
      <c r="G2589" t="inlineStr">
        <is>
          <t>%</t>
        </is>
      </c>
      <c r="H2589" t="n">
        <v>9</v>
      </c>
      <c r="I2589" t="inlineStr">
        <is>
          <t>Laba Terhadap Total Aset (5.01%)</t>
        </is>
      </c>
      <c r="J2589" t="inlineStr">
        <is>
          <t>High</t>
        </is>
      </c>
      <c r="M2589" t="inlineStr">
        <is>
          <t>LLM</t>
        </is>
      </c>
      <c r="N2589" t="inlineStr">
        <is>
          <t>2026-04-18</t>
        </is>
      </c>
      <c r="O2589" t="inlineStr">
        <is>
          <t>AI</t>
        </is>
      </c>
    </row>
    <row r="2590">
      <c r="A2590" t="inlineStr">
        <is>
          <t>PT Jaya Agra Wattie Tbk</t>
        </is>
      </c>
      <c r="B2590" t="inlineStr">
        <is>
          <t>JAWA_2024_AR.pdf</t>
        </is>
      </c>
      <c r="C2590" t="n">
        <v>2024</v>
      </c>
      <c r="D2590" t="inlineStr">
        <is>
          <t>Financial</t>
        </is>
      </c>
      <c r="E2590" t="inlineStr">
        <is>
          <t>ROE</t>
        </is>
      </c>
      <c r="F2590" t="n">
        <v>-0.1418</v>
      </c>
      <c r="G2590" t="inlineStr">
        <is>
          <t>%</t>
        </is>
      </c>
      <c r="H2590" t="n">
        <v>9</v>
      </c>
      <c r="I2590" t="inlineStr">
        <is>
          <t>Laba Terhadap Total Ekuitas (14.18%)</t>
        </is>
      </c>
      <c r="J2590" t="inlineStr">
        <is>
          <t>High</t>
        </is>
      </c>
      <c r="M2590" t="inlineStr">
        <is>
          <t>LLM</t>
        </is>
      </c>
      <c r="N2590" t="inlineStr">
        <is>
          <t>2026-04-18</t>
        </is>
      </c>
      <c r="O2590" t="inlineStr">
        <is>
          <t>AI</t>
        </is>
      </c>
    </row>
    <row r="2591">
      <c r="A2591" t="inlineStr">
        <is>
          <t>PT Jaya Agra Wattie Tbk</t>
        </is>
      </c>
      <c r="B2591" t="inlineStr">
        <is>
          <t>JAWA_2024_AR.pdf</t>
        </is>
      </c>
      <c r="C2591" t="n">
        <v>2024</v>
      </c>
      <c r="D2591" t="inlineStr">
        <is>
          <t>Financial</t>
        </is>
      </c>
      <c r="E2591" t="inlineStr">
        <is>
          <t>Gross Margin</t>
        </is>
      </c>
      <c r="F2591" t="n">
        <v>0.103</v>
      </c>
      <c r="G2591" t="inlineStr">
        <is>
          <t>%</t>
        </is>
      </c>
      <c r="H2591" t="n">
        <v>9</v>
      </c>
      <c r="I2591" t="inlineStr">
        <is>
          <t>Laba Bruto Terhadap Penjualan 10.30%</t>
        </is>
      </c>
      <c r="J2591" t="inlineStr">
        <is>
          <t>High</t>
        </is>
      </c>
      <c r="M2591" t="inlineStr">
        <is>
          <t>LLM</t>
        </is>
      </c>
      <c r="N2591" t="inlineStr">
        <is>
          <t>2026-04-18</t>
        </is>
      </c>
      <c r="O2591" t="inlineStr">
        <is>
          <t>AI</t>
        </is>
      </c>
    </row>
    <row r="2592">
      <c r="A2592" t="inlineStr">
        <is>
          <t>PT Jaya Agra Wattie Tbk</t>
        </is>
      </c>
      <c r="B2592" t="inlineStr">
        <is>
          <t>JAWA_2024_AR.pdf</t>
        </is>
      </c>
      <c r="C2592" t="n">
        <v>2024</v>
      </c>
      <c r="D2592" t="inlineStr">
        <is>
          <t>Asset</t>
        </is>
      </c>
      <c r="E2592" t="inlineStr">
        <is>
          <t>Total Planted Area</t>
        </is>
      </c>
      <c r="F2592" t="n">
        <v>43987</v>
      </c>
      <c r="G2592" t="inlineStr">
        <is>
          <t>ha</t>
        </is>
      </c>
      <c r="H2592" t="n">
        <v>16</v>
      </c>
      <c r="I2592" t="inlineStr">
        <is>
          <t>Jumlah Tertanam 43,987 ha</t>
        </is>
      </c>
      <c r="J2592" t="inlineStr">
        <is>
          <t>High</t>
        </is>
      </c>
      <c r="M2592" t="inlineStr">
        <is>
          <t>LLM</t>
        </is>
      </c>
      <c r="N2592" t="inlineStr">
        <is>
          <t>2026-04-18</t>
        </is>
      </c>
      <c r="O2592" t="inlineStr">
        <is>
          <t>AI</t>
        </is>
      </c>
    </row>
    <row r="2593">
      <c r="A2593" t="inlineStr">
        <is>
          <t>PT Jaya Agra Wattie Tbk</t>
        </is>
      </c>
      <c r="B2593" t="inlineStr">
        <is>
          <t>JAWA_2024_AR.pdf</t>
        </is>
      </c>
      <c r="C2593" t="n">
        <v>2024</v>
      </c>
      <c r="D2593" t="inlineStr">
        <is>
          <t>Asset</t>
        </is>
      </c>
      <c r="E2593" t="inlineStr">
        <is>
          <t>Nucleus Planted Area</t>
        </is>
      </c>
      <c r="F2593" t="n">
        <v>37475</v>
      </c>
      <c r="G2593" t="inlineStr">
        <is>
          <t>ha</t>
        </is>
      </c>
      <c r="H2593" t="n">
        <v>16</v>
      </c>
      <c r="I2593" t="inlineStr">
        <is>
          <t>Inti Tertanam Sub Jumlah 37,475</t>
        </is>
      </c>
      <c r="J2593" t="inlineStr">
        <is>
          <t>High</t>
        </is>
      </c>
      <c r="M2593" t="inlineStr">
        <is>
          <t>LLM</t>
        </is>
      </c>
      <c r="N2593" t="inlineStr">
        <is>
          <t>2026-04-18</t>
        </is>
      </c>
      <c r="O2593" t="inlineStr">
        <is>
          <t>AI</t>
        </is>
      </c>
    </row>
    <row r="2594">
      <c r="A2594" t="inlineStr">
        <is>
          <t>PT Jaya Agra Wattie Tbk</t>
        </is>
      </c>
      <c r="B2594" t="inlineStr">
        <is>
          <t>JAWA_2024_AR.pdf</t>
        </is>
      </c>
      <c r="C2594" t="n">
        <v>2024</v>
      </c>
      <c r="D2594" t="inlineStr">
        <is>
          <t>Asset</t>
        </is>
      </c>
      <c r="E2594" t="inlineStr">
        <is>
          <t>Plasma Area</t>
        </is>
      </c>
      <c r="F2594" t="n">
        <v>6512</v>
      </c>
      <c r="G2594" t="inlineStr">
        <is>
          <t>ha</t>
        </is>
      </c>
      <c r="H2594" t="n">
        <v>16</v>
      </c>
      <c r="I2594" t="inlineStr">
        <is>
          <t>Plasma Tertanam Sub Jumlah 6,512</t>
        </is>
      </c>
      <c r="J2594" t="inlineStr">
        <is>
          <t>High</t>
        </is>
      </c>
      <c r="M2594" t="inlineStr">
        <is>
          <t>LLM</t>
        </is>
      </c>
      <c r="N2594" t="inlineStr">
        <is>
          <t>2026-04-18</t>
        </is>
      </c>
      <c r="O2594" t="inlineStr">
        <is>
          <t>AI</t>
        </is>
      </c>
    </row>
    <row r="2595">
      <c r="A2595" t="inlineStr">
        <is>
          <t>PT Jaya Agra Wattie Tbk</t>
        </is>
      </c>
      <c r="B2595" t="inlineStr">
        <is>
          <t>JAWA_2024_AR.pdf</t>
        </is>
      </c>
      <c r="C2595" t="n">
        <v>2024</v>
      </c>
      <c r="D2595" t="inlineStr">
        <is>
          <t>Asset</t>
        </is>
      </c>
      <c r="E2595" t="inlineStr">
        <is>
          <t>Mature Plants Total</t>
        </is>
      </c>
      <c r="F2595" t="n">
        <v>31699</v>
      </c>
      <c r="G2595" t="inlineStr">
        <is>
          <t>ha</t>
        </is>
      </c>
      <c r="H2595" t="n">
        <v>16</v>
      </c>
      <c r="I2595" t="inlineStr">
        <is>
          <t>Tanaman Menghasilkan (TM) 31,699</t>
        </is>
      </c>
      <c r="J2595" t="inlineStr">
        <is>
          <t>High</t>
        </is>
      </c>
      <c r="M2595" t="inlineStr">
        <is>
          <t>LLM</t>
        </is>
      </c>
      <c r="N2595" t="inlineStr">
        <is>
          <t>2026-04-18</t>
        </is>
      </c>
      <c r="O2595" t="inlineStr">
        <is>
          <t>AI</t>
        </is>
      </c>
    </row>
    <row r="2596">
      <c r="A2596" t="inlineStr">
        <is>
          <t>PT Jaya Agra Wattie Tbk</t>
        </is>
      </c>
      <c r="B2596" t="inlineStr">
        <is>
          <t>JAWA_2024_AR.pdf</t>
        </is>
      </c>
      <c r="C2596" t="n">
        <v>2024</v>
      </c>
      <c r="D2596" t="inlineStr">
        <is>
          <t>Asset</t>
        </is>
      </c>
      <c r="E2596" t="inlineStr">
        <is>
          <t>Immature Plants Total</t>
        </is>
      </c>
      <c r="F2596" t="n">
        <v>12288</v>
      </c>
      <c r="G2596" t="inlineStr">
        <is>
          <t>ha</t>
        </is>
      </c>
      <c r="H2596" t="n">
        <v>16</v>
      </c>
      <c r="I2596" t="inlineStr">
        <is>
          <t>Tanaman Belum Menghasilkan 12,288</t>
        </is>
      </c>
      <c r="J2596" t="inlineStr">
        <is>
          <t>High</t>
        </is>
      </c>
      <c r="M2596" t="inlineStr">
        <is>
          <t>LLM</t>
        </is>
      </c>
      <c r="N2596" t="inlineStr">
        <is>
          <t>2026-04-18</t>
        </is>
      </c>
      <c r="O2596" t="inlineStr">
        <is>
          <t>AI</t>
        </is>
      </c>
    </row>
    <row r="2597">
      <c r="A2597" t="inlineStr">
        <is>
          <t>PT Jaya Agra Wattie Tbk</t>
        </is>
      </c>
      <c r="B2597" t="inlineStr">
        <is>
          <t>JAWA_2024_AR.pdf</t>
        </is>
      </c>
      <c r="C2597" t="n">
        <v>2024</v>
      </c>
      <c r="D2597" t="inlineStr">
        <is>
          <t>Asset</t>
        </is>
      </c>
      <c r="E2597" t="inlineStr">
        <is>
          <t>Mature Nucleus</t>
        </is>
      </c>
      <c r="F2597" t="n">
        <v>27647</v>
      </c>
      <c r="G2597" t="inlineStr">
        <is>
          <t>ha</t>
        </is>
      </c>
      <c r="H2597" t="n">
        <v>16</v>
      </c>
      <c r="I2597" t="inlineStr">
        <is>
          <t>Inti TM 27,647</t>
        </is>
      </c>
      <c r="J2597" t="inlineStr">
        <is>
          <t>High</t>
        </is>
      </c>
      <c r="M2597" t="inlineStr">
        <is>
          <t>LLM</t>
        </is>
      </c>
      <c r="N2597" t="inlineStr">
        <is>
          <t>2026-04-18</t>
        </is>
      </c>
      <c r="O2597" t="inlineStr">
        <is>
          <t>AI</t>
        </is>
      </c>
    </row>
    <row r="2598">
      <c r="A2598" t="inlineStr">
        <is>
          <t>PT Jaya Agra Wattie Tbk</t>
        </is>
      </c>
      <c r="B2598" t="inlineStr">
        <is>
          <t>JAWA_2024_AR.pdf</t>
        </is>
      </c>
      <c r="C2598" t="n">
        <v>2024</v>
      </c>
      <c r="D2598" t="inlineStr">
        <is>
          <t>Asset</t>
        </is>
      </c>
      <c r="E2598" t="inlineStr">
        <is>
          <t>Mature Plasma</t>
        </is>
      </c>
      <c r="F2598" t="n">
        <v>4052</v>
      </c>
      <c r="G2598" t="inlineStr">
        <is>
          <t>ha</t>
        </is>
      </c>
      <c r="H2598" t="n">
        <v>16</v>
      </c>
      <c r="I2598" t="inlineStr">
        <is>
          <t>Plasma TM 4,052</t>
        </is>
      </c>
      <c r="J2598" t="inlineStr">
        <is>
          <t>High</t>
        </is>
      </c>
      <c r="M2598" t="inlineStr">
        <is>
          <t>LLM</t>
        </is>
      </c>
      <c r="N2598" t="inlineStr">
        <is>
          <t>2026-04-18</t>
        </is>
      </c>
      <c r="O2598" t="inlineStr">
        <is>
          <t>AI</t>
        </is>
      </c>
    </row>
    <row r="2599">
      <c r="A2599" t="inlineStr">
        <is>
          <t>PT Jaya Agra Wattie Tbk</t>
        </is>
      </c>
      <c r="B2599" t="inlineStr">
        <is>
          <t>JAWA_2024_AR.pdf</t>
        </is>
      </c>
      <c r="C2599" t="n">
        <v>2024</v>
      </c>
      <c r="D2599" t="inlineStr">
        <is>
          <t>Asset</t>
        </is>
      </c>
      <c r="E2599" t="inlineStr">
        <is>
          <t>Palm Oil Concession (HGU)</t>
        </is>
      </c>
      <c r="F2599" t="n">
        <v>29723</v>
      </c>
      <c r="G2599" t="inlineStr">
        <is>
          <t>ha</t>
        </is>
      </c>
      <c r="H2599" t="n">
        <v>50</v>
      </c>
      <c r="I2599" t="inlineStr">
        <is>
          <t>perkebunan kelapa sawit ... Kalimantan Selatan dengan luas kebun 29,723 ha</t>
        </is>
      </c>
      <c r="J2599" t="inlineStr">
        <is>
          <t>High</t>
        </is>
      </c>
      <c r="M2599" t="inlineStr">
        <is>
          <t>LLM</t>
        </is>
      </c>
      <c r="N2599" t="inlineStr">
        <is>
          <t>2026-04-18</t>
        </is>
      </c>
      <c r="O2599" t="inlineStr">
        <is>
          <t>AI</t>
        </is>
      </c>
    </row>
    <row r="2600">
      <c r="A2600" t="inlineStr">
        <is>
          <t>PT Jaya Agra Wattie Tbk</t>
        </is>
      </c>
      <c r="B2600" t="inlineStr">
        <is>
          <t>JAWA_2024_AR.pdf</t>
        </is>
      </c>
      <c r="C2600" t="n">
        <v>2024</v>
      </c>
      <c r="D2600" t="inlineStr">
        <is>
          <t>Asset</t>
        </is>
      </c>
      <c r="E2600" t="inlineStr">
        <is>
          <t>Palm Oil Planted (incl plasma)</t>
        </is>
      </c>
      <c r="F2600" t="n">
        <v>27918</v>
      </c>
      <c r="G2600" t="inlineStr">
        <is>
          <t>ha</t>
        </is>
      </c>
      <c r="H2600" t="n">
        <v>50</v>
      </c>
      <c r="I2600" t="inlineStr">
        <is>
          <t>lahan Perseroan (termasuk plasma) seluas 27,918 ha telah ditanami kelapa sawit</t>
        </is>
      </c>
      <c r="J2600" t="inlineStr">
        <is>
          <t>High</t>
        </is>
      </c>
      <c r="M2600" t="inlineStr">
        <is>
          <t>LLM</t>
        </is>
      </c>
      <c r="N2600" t="inlineStr">
        <is>
          <t>2026-04-18</t>
        </is>
      </c>
      <c r="O2600" t="inlineStr">
        <is>
          <t>AI</t>
        </is>
      </c>
    </row>
    <row r="2601">
      <c r="A2601" t="inlineStr">
        <is>
          <t>PT Jaya Agra Wattie Tbk</t>
        </is>
      </c>
      <c r="B2601" t="inlineStr">
        <is>
          <t>JAWA_2024_AR.pdf</t>
        </is>
      </c>
      <c r="C2601" t="n">
        <v>2024</v>
      </c>
      <c r="D2601" t="inlineStr">
        <is>
          <t>Asset</t>
        </is>
      </c>
      <c r="E2601" t="inlineStr">
        <is>
          <t>Palm Nucleus Planted</t>
        </is>
      </c>
      <c r="F2601" t="n">
        <v>21407</v>
      </c>
      <c r="G2601" t="inlineStr">
        <is>
          <t>ha</t>
        </is>
      </c>
      <c r="H2601" t="n">
        <v>50</v>
      </c>
      <c r="I2601" t="inlineStr">
        <is>
          <t>kebun inti seluas 21,407 ha</t>
        </is>
      </c>
      <c r="J2601" t="inlineStr">
        <is>
          <t>High</t>
        </is>
      </c>
      <c r="M2601" t="inlineStr">
        <is>
          <t>LLM</t>
        </is>
      </c>
      <c r="N2601" t="inlineStr">
        <is>
          <t>2026-04-18</t>
        </is>
      </c>
      <c r="O2601" t="inlineStr">
        <is>
          <t>AI</t>
        </is>
      </c>
    </row>
    <row r="2602">
      <c r="A2602" t="inlineStr">
        <is>
          <t>PT Jaya Agra Wattie Tbk</t>
        </is>
      </c>
      <c r="B2602" t="inlineStr">
        <is>
          <t>JAWA_2024_AR.pdf</t>
        </is>
      </c>
      <c r="C2602" t="n">
        <v>2024</v>
      </c>
      <c r="D2602" t="inlineStr">
        <is>
          <t>Asset</t>
        </is>
      </c>
      <c r="E2602" t="inlineStr">
        <is>
          <t>Rubber HGU Area</t>
        </is>
      </c>
      <c r="F2602" t="n">
        <v>39334</v>
      </c>
      <c r="G2602" t="inlineStr">
        <is>
          <t>ha</t>
        </is>
      </c>
      <c r="H2602" t="n">
        <v>50</v>
      </c>
      <c r="I2602" t="inlineStr">
        <is>
          <t>perkebunan karet ... dengan luas total 39,334 ha</t>
        </is>
      </c>
      <c r="J2602" t="inlineStr">
        <is>
          <t>High</t>
        </is>
      </c>
      <c r="M2602" t="inlineStr">
        <is>
          <t>LLM</t>
        </is>
      </c>
      <c r="N2602" t="inlineStr">
        <is>
          <t>2026-04-18</t>
        </is>
      </c>
      <c r="O2602" t="inlineStr">
        <is>
          <t>AI</t>
        </is>
      </c>
    </row>
    <row r="2603">
      <c r="A2603" t="inlineStr">
        <is>
          <t>PT Jaya Agra Wattie Tbk</t>
        </is>
      </c>
      <c r="B2603" t="inlineStr">
        <is>
          <t>JAWA_2024_AR.pdf</t>
        </is>
      </c>
      <c r="C2603" t="n">
        <v>2024</v>
      </c>
      <c r="D2603" t="inlineStr">
        <is>
          <t>Asset</t>
        </is>
      </c>
      <c r="E2603" t="inlineStr">
        <is>
          <t>Rubber Planted Area</t>
        </is>
      </c>
      <c r="F2603" t="n">
        <v>15130</v>
      </c>
      <c r="G2603" t="inlineStr">
        <is>
          <t>ha</t>
        </is>
      </c>
      <c r="H2603" t="n">
        <v>50</v>
      </c>
      <c r="I2603" t="inlineStr">
        <is>
          <t>total luas perkebunan yang ditanami sebesar 15,130 ha</t>
        </is>
      </c>
      <c r="J2603" t="inlineStr">
        <is>
          <t>High</t>
        </is>
      </c>
      <c r="M2603" t="inlineStr">
        <is>
          <t>LLM</t>
        </is>
      </c>
      <c r="N2603" t="inlineStr">
        <is>
          <t>2026-04-18</t>
        </is>
      </c>
      <c r="O2603" t="inlineStr">
        <is>
          <t>AI</t>
        </is>
      </c>
    </row>
    <row r="2604">
      <c r="A2604" t="inlineStr">
        <is>
          <t>PT Jaya Agra Wattie Tbk</t>
        </is>
      </c>
      <c r="B2604" t="inlineStr">
        <is>
          <t>JAWA_2024_AR.pdf</t>
        </is>
      </c>
      <c r="C2604" t="n">
        <v>2024</v>
      </c>
      <c r="D2604" t="inlineStr">
        <is>
          <t>Asset</t>
        </is>
      </c>
      <c r="E2604" t="inlineStr">
        <is>
          <t>Rubber Mature</t>
        </is>
      </c>
      <c r="F2604" t="n">
        <v>10276</v>
      </c>
      <c r="G2604" t="inlineStr">
        <is>
          <t>ha</t>
        </is>
      </c>
      <c r="H2604" t="n">
        <v>50</v>
      </c>
      <c r="I2604" t="inlineStr">
        <is>
          <t>10,276 ha kebun karet milik Perseroan berisi tanaman menghasilkan</t>
        </is>
      </c>
      <c r="J2604" t="inlineStr">
        <is>
          <t>High</t>
        </is>
      </c>
      <c r="M2604" t="inlineStr">
        <is>
          <t>LLM</t>
        </is>
      </c>
      <c r="N2604" t="inlineStr">
        <is>
          <t>2026-04-18</t>
        </is>
      </c>
      <c r="O2604" t="inlineStr">
        <is>
          <t>AI</t>
        </is>
      </c>
    </row>
    <row r="2605">
      <c r="A2605" t="inlineStr">
        <is>
          <t>PT Jaya Agra Wattie Tbk</t>
        </is>
      </c>
      <c r="B2605" t="inlineStr">
        <is>
          <t>JAWA_2024_AR.pdf</t>
        </is>
      </c>
      <c r="C2605" t="n">
        <v>2024</v>
      </c>
      <c r="D2605" t="inlineStr">
        <is>
          <t>Asset</t>
        </is>
      </c>
      <c r="E2605" t="inlineStr">
        <is>
          <t>Rubber Immature</t>
        </is>
      </c>
      <c r="F2605" t="n">
        <v>4854</v>
      </c>
      <c r="G2605" t="inlineStr">
        <is>
          <t>ha</t>
        </is>
      </c>
      <c r="H2605" t="n">
        <v>50</v>
      </c>
      <c r="I2605" t="inlineStr">
        <is>
          <t>4,854 ha berisi tanaman belum menghasilkan</t>
        </is>
      </c>
      <c r="J2605" t="inlineStr">
        <is>
          <t>High</t>
        </is>
      </c>
      <c r="M2605" t="inlineStr">
        <is>
          <t>LLM</t>
        </is>
      </c>
      <c r="N2605" t="inlineStr">
        <is>
          <t>2026-04-18</t>
        </is>
      </c>
      <c r="O2605" t="inlineStr">
        <is>
          <t>AI</t>
        </is>
      </c>
    </row>
    <row r="2606">
      <c r="A2606" t="inlineStr">
        <is>
          <t>PT Jaya Agra Wattie Tbk</t>
        </is>
      </c>
      <c r="B2606" t="inlineStr">
        <is>
          <t>JAWA_2024_AR.pdf</t>
        </is>
      </c>
      <c r="C2606" t="n">
        <v>2024</v>
      </c>
      <c r="D2606" t="inlineStr">
        <is>
          <t>Asset</t>
        </is>
      </c>
      <c r="E2606" t="inlineStr">
        <is>
          <t>Coffee Plantation</t>
        </is>
      </c>
      <c r="F2606" t="n">
        <v>535</v>
      </c>
      <c r="G2606" t="inlineStr">
        <is>
          <t>ha</t>
        </is>
      </c>
      <c r="H2606" t="n">
        <v>50</v>
      </c>
      <c r="I2606" t="inlineStr">
        <is>
          <t>perkebunan kopi ... luas total kebun 535 ha</t>
        </is>
      </c>
      <c r="J2606" t="inlineStr">
        <is>
          <t>High</t>
        </is>
      </c>
      <c r="M2606" t="inlineStr">
        <is>
          <t>LLM</t>
        </is>
      </c>
      <c r="N2606" t="inlineStr">
        <is>
          <t>2026-04-18</t>
        </is>
      </c>
      <c r="O2606" t="inlineStr">
        <is>
          <t>AI</t>
        </is>
      </c>
    </row>
    <row r="2607">
      <c r="A2607" t="inlineStr">
        <is>
          <t>PT Jaya Agra Wattie Tbk</t>
        </is>
      </c>
      <c r="B2607" t="inlineStr">
        <is>
          <t>JAWA_2024_AR.pdf</t>
        </is>
      </c>
      <c r="C2607" t="n">
        <v>2024</v>
      </c>
      <c r="D2607" t="inlineStr">
        <is>
          <t>Asset</t>
        </is>
      </c>
      <c r="E2607" t="inlineStr">
        <is>
          <t>Tea Plantation</t>
        </is>
      </c>
      <c r="F2607" t="n">
        <v>504</v>
      </c>
      <c r="G2607" t="inlineStr">
        <is>
          <t>ha</t>
        </is>
      </c>
      <c r="H2607" t="n">
        <v>50</v>
      </c>
      <c r="I2607" t="inlineStr">
        <is>
          <t>perkebunan teh ... 504 ha</t>
        </is>
      </c>
      <c r="J2607" t="inlineStr">
        <is>
          <t>High</t>
        </is>
      </c>
      <c r="M2607" t="inlineStr">
        <is>
          <t>LLM</t>
        </is>
      </c>
      <c r="N2607" t="inlineStr">
        <is>
          <t>2026-04-18</t>
        </is>
      </c>
      <c r="O2607" t="inlineStr">
        <is>
          <t>AI</t>
        </is>
      </c>
    </row>
    <row r="2608">
      <c r="A2608" t="inlineStr">
        <is>
          <t>PT Jaya Agra Wattie Tbk</t>
        </is>
      </c>
      <c r="B2608" t="inlineStr">
        <is>
          <t>JAWA_2024_AR.pdf</t>
        </is>
      </c>
      <c r="C2608" t="n">
        <v>2024</v>
      </c>
      <c r="D2608" t="inlineStr">
        <is>
          <t>Asset</t>
        </is>
      </c>
      <c r="E2608" t="inlineStr">
        <is>
          <t>Palm Oil Mill Count</t>
        </is>
      </c>
      <c r="F2608" t="n">
        <v>2</v>
      </c>
      <c r="G2608" t="inlineStr">
        <is>
          <t>count</t>
        </is>
      </c>
      <c r="H2608" t="n">
        <v>81</v>
      </c>
      <c r="I2608" t="inlineStr">
        <is>
          <t>2 (dua) pabrik pengelolaan minyak sawit yang terletak di Kintap</t>
        </is>
      </c>
      <c r="J2608" t="inlineStr">
        <is>
          <t>High</t>
        </is>
      </c>
      <c r="M2608" t="inlineStr">
        <is>
          <t>LLM</t>
        </is>
      </c>
      <c r="N2608" t="inlineStr">
        <is>
          <t>2026-04-18</t>
        </is>
      </c>
      <c r="O2608" t="inlineStr">
        <is>
          <t>AI</t>
        </is>
      </c>
    </row>
    <row r="2609">
      <c r="A2609" t="inlineStr">
        <is>
          <t>PT Jaya Agra Wattie Tbk</t>
        </is>
      </c>
      <c r="B2609" t="inlineStr">
        <is>
          <t>JAWA_2024_AR.pdf</t>
        </is>
      </c>
      <c r="C2609" t="n">
        <v>2024</v>
      </c>
      <c r="D2609" t="inlineStr">
        <is>
          <t>Asset</t>
        </is>
      </c>
      <c r="E2609" t="inlineStr">
        <is>
          <t>POM Design Capacity</t>
        </is>
      </c>
      <c r="F2609" t="n">
        <v>513000</v>
      </c>
      <c r="G2609" t="inlineStr">
        <is>
          <t>t/y</t>
        </is>
      </c>
      <c r="H2609" t="n">
        <v>81</v>
      </c>
      <c r="I2609" t="inlineStr">
        <is>
          <t>Kapasitas Terpasang (ton) 513,000</t>
        </is>
      </c>
      <c r="J2609" t="inlineStr">
        <is>
          <t>High</t>
        </is>
      </c>
      <c r="M2609" t="inlineStr">
        <is>
          <t>LLM</t>
        </is>
      </c>
      <c r="N2609" t="inlineStr">
        <is>
          <t>2026-04-18</t>
        </is>
      </c>
      <c r="O2609" t="inlineStr">
        <is>
          <t>AI</t>
        </is>
      </c>
    </row>
    <row r="2610">
      <c r="A2610" t="inlineStr">
        <is>
          <t>PT Jaya Agra Wattie Tbk</t>
        </is>
      </c>
      <c r="B2610" t="inlineStr">
        <is>
          <t>JAWA_2024_AR.pdf</t>
        </is>
      </c>
      <c r="C2610" t="n">
        <v>2024</v>
      </c>
      <c r="D2610" t="inlineStr">
        <is>
          <t>Asset</t>
        </is>
      </c>
      <c r="E2610" t="inlineStr">
        <is>
          <t>POM Used Capacity</t>
        </is>
      </c>
      <c r="F2610" t="n">
        <v>226797</v>
      </c>
      <c r="G2610" t="inlineStr">
        <is>
          <t>t</t>
        </is>
      </c>
      <c r="H2610" t="n">
        <v>81</v>
      </c>
      <c r="I2610" t="inlineStr">
        <is>
          <t>Kapasitas Terpakai (ton) 226,797 (44.2% utilization)</t>
        </is>
      </c>
      <c r="J2610" t="inlineStr">
        <is>
          <t>High</t>
        </is>
      </c>
      <c r="M2610" t="inlineStr">
        <is>
          <t>LLM</t>
        </is>
      </c>
      <c r="N2610" t="inlineStr">
        <is>
          <t>2026-04-18</t>
        </is>
      </c>
      <c r="O2610" t="inlineStr">
        <is>
          <t>AI</t>
        </is>
      </c>
    </row>
    <row r="2611">
      <c r="A2611" t="inlineStr">
        <is>
          <t>PT Jaya Agra Wattie Tbk</t>
        </is>
      </c>
      <c r="B2611" t="inlineStr">
        <is>
          <t>JAWA_2024_AR.pdf</t>
        </is>
      </c>
      <c r="C2611" t="n">
        <v>2024</v>
      </c>
      <c r="D2611" t="inlineStr">
        <is>
          <t>Asset</t>
        </is>
      </c>
      <c r="E2611" t="inlineStr">
        <is>
          <t>Rubber Sheet Plants</t>
        </is>
      </c>
      <c r="F2611" t="n">
        <v>9</v>
      </c>
      <c r="G2611" t="inlineStr">
        <is>
          <t>count</t>
        </is>
      </c>
      <c r="H2611" t="n">
        <v>83</v>
      </c>
      <c r="I2611" t="inlineStr">
        <is>
          <t>9 (sembilan) pabrik pengolahan karet lembaran</t>
        </is>
      </c>
      <c r="J2611" t="inlineStr">
        <is>
          <t>High</t>
        </is>
      </c>
      <c r="M2611" t="inlineStr">
        <is>
          <t>LLM</t>
        </is>
      </c>
      <c r="N2611" t="inlineStr">
        <is>
          <t>2026-04-18</t>
        </is>
      </c>
      <c r="O2611" t="inlineStr">
        <is>
          <t>AI</t>
        </is>
      </c>
    </row>
    <row r="2612">
      <c r="A2612" t="inlineStr">
        <is>
          <t>PT Jaya Agra Wattie Tbk</t>
        </is>
      </c>
      <c r="B2612" t="inlineStr">
        <is>
          <t>JAWA_2024_AR.pdf</t>
        </is>
      </c>
      <c r="C2612" t="n">
        <v>2024</v>
      </c>
      <c r="D2612" t="inlineStr">
        <is>
          <t>Asset</t>
        </is>
      </c>
      <c r="E2612" t="inlineStr">
        <is>
          <t>Rubber Sheet Capacity</t>
        </is>
      </c>
      <c r="F2612" t="n">
        <v>5487</v>
      </c>
      <c r="G2612" t="inlineStr">
        <is>
          <t>t/y</t>
        </is>
      </c>
      <c r="H2612" t="n">
        <v>83</v>
      </c>
      <c r="I2612" t="inlineStr">
        <is>
          <t>Kapasitas Terpasang (ton) 5,487</t>
        </is>
      </c>
      <c r="J2612" t="inlineStr">
        <is>
          <t>High</t>
        </is>
      </c>
      <c r="M2612" t="inlineStr">
        <is>
          <t>LLM</t>
        </is>
      </c>
      <c r="N2612" t="inlineStr">
        <is>
          <t>2026-04-18</t>
        </is>
      </c>
      <c r="O2612" t="inlineStr">
        <is>
          <t>AI</t>
        </is>
      </c>
    </row>
    <row r="2613">
      <c r="A2613" t="inlineStr">
        <is>
          <t>PT Jaya Agra Wattie Tbk</t>
        </is>
      </c>
      <c r="B2613" t="inlineStr">
        <is>
          <t>JAWA_2024_AR.pdf</t>
        </is>
      </c>
      <c r="C2613" t="n">
        <v>2024</v>
      </c>
      <c r="D2613" t="inlineStr">
        <is>
          <t>Asset</t>
        </is>
      </c>
      <c r="E2613" t="inlineStr">
        <is>
          <t>Rubber Crumb Plants</t>
        </is>
      </c>
      <c r="F2613" t="n">
        <v>3</v>
      </c>
      <c r="G2613" t="inlineStr">
        <is>
          <t>count</t>
        </is>
      </c>
      <c r="H2613" t="n">
        <v>84</v>
      </c>
      <c r="I2613" t="inlineStr">
        <is>
          <t>3 (tiga) unit pabrik pengolahan karet remah</t>
        </is>
      </c>
      <c r="J2613" t="inlineStr">
        <is>
          <t>High</t>
        </is>
      </c>
      <c r="M2613" t="inlineStr">
        <is>
          <t>LLM</t>
        </is>
      </c>
      <c r="N2613" t="inlineStr">
        <is>
          <t>2026-04-18</t>
        </is>
      </c>
      <c r="O2613" t="inlineStr">
        <is>
          <t>AI</t>
        </is>
      </c>
    </row>
    <row r="2614">
      <c r="A2614" t="inlineStr">
        <is>
          <t>PT Jaya Agra Wattie Tbk</t>
        </is>
      </c>
      <c r="B2614" t="inlineStr">
        <is>
          <t>JAWA_2024_AR.pdf</t>
        </is>
      </c>
      <c r="C2614" t="n">
        <v>2024</v>
      </c>
      <c r="D2614" t="inlineStr">
        <is>
          <t>Asset</t>
        </is>
      </c>
      <c r="E2614" t="inlineStr">
        <is>
          <t>Rubber Crumb Capacity</t>
        </is>
      </c>
      <c r="F2614" t="n">
        <v>26040</v>
      </c>
      <c r="G2614" t="inlineStr">
        <is>
          <t>t/y</t>
        </is>
      </c>
      <c r="H2614" t="n">
        <v>84</v>
      </c>
      <c r="I2614" t="inlineStr">
        <is>
          <t>Kapasitas Terpasang (ton) 26,040</t>
        </is>
      </c>
      <c r="J2614" t="inlineStr">
        <is>
          <t>High</t>
        </is>
      </c>
      <c r="M2614" t="inlineStr">
        <is>
          <t>LLM</t>
        </is>
      </c>
      <c r="N2614" t="inlineStr">
        <is>
          <t>2026-04-18</t>
        </is>
      </c>
      <c r="O2614" t="inlineStr">
        <is>
          <t>AI</t>
        </is>
      </c>
    </row>
    <row r="2615">
      <c r="A2615" t="inlineStr">
        <is>
          <t>PT Jaya Agra Wattie Tbk</t>
        </is>
      </c>
      <c r="B2615" t="inlineStr">
        <is>
          <t>JAWA_2024_AR.pdf</t>
        </is>
      </c>
      <c r="C2615" t="n">
        <v>2024</v>
      </c>
      <c r="D2615" t="inlineStr">
        <is>
          <t>Asset</t>
        </is>
      </c>
      <c r="E2615" t="inlineStr">
        <is>
          <t>Coffee Processing Plant</t>
        </is>
      </c>
      <c r="F2615" t="n">
        <v>1</v>
      </c>
      <c r="G2615" t="inlineStr">
        <is>
          <t>count</t>
        </is>
      </c>
      <c r="H2615" t="n">
        <v>85</v>
      </c>
      <c r="I2615" t="inlineStr">
        <is>
          <t>1 (satu) unit pabrik pengolahan kopi</t>
        </is>
      </c>
      <c r="J2615" t="inlineStr">
        <is>
          <t>High</t>
        </is>
      </c>
      <c r="M2615" t="inlineStr">
        <is>
          <t>LLM</t>
        </is>
      </c>
      <c r="N2615" t="inlineStr">
        <is>
          <t>2026-04-18</t>
        </is>
      </c>
      <c r="O2615" t="inlineStr">
        <is>
          <t>AI</t>
        </is>
      </c>
    </row>
    <row r="2616">
      <c r="A2616" t="inlineStr">
        <is>
          <t>PT Jaya Agra Wattie Tbk</t>
        </is>
      </c>
      <c r="B2616" t="inlineStr">
        <is>
          <t>JAWA_2024_AR.pdf</t>
        </is>
      </c>
      <c r="C2616" t="n">
        <v>2024</v>
      </c>
      <c r="D2616" t="inlineStr">
        <is>
          <t>Asset</t>
        </is>
      </c>
      <c r="E2616" t="inlineStr">
        <is>
          <t>Coffee Plant Capacity</t>
        </is>
      </c>
      <c r="F2616" t="n">
        <v>400</v>
      </c>
      <c r="G2616" t="inlineStr">
        <is>
          <t>t/y</t>
        </is>
      </c>
      <c r="H2616" t="n">
        <v>47</v>
      </c>
      <c r="I2616" t="inlineStr">
        <is>
          <t>pabrik pengolahan kopi dengan total kapasitas 400 ton/tahun</t>
        </is>
      </c>
      <c r="J2616" t="inlineStr">
        <is>
          <t>High</t>
        </is>
      </c>
      <c r="M2616" t="inlineStr">
        <is>
          <t>LLM</t>
        </is>
      </c>
      <c r="N2616" t="inlineStr">
        <is>
          <t>2026-04-18</t>
        </is>
      </c>
      <c r="O2616" t="inlineStr">
        <is>
          <t>AI</t>
        </is>
      </c>
    </row>
    <row r="2617">
      <c r="A2617" t="inlineStr">
        <is>
          <t>PT Jaya Agra Wattie Tbk</t>
        </is>
      </c>
      <c r="B2617" t="inlineStr">
        <is>
          <t>JAWA_2024_AR.pdf</t>
        </is>
      </c>
      <c r="C2617" t="n">
        <v>2024</v>
      </c>
      <c r="D2617" t="inlineStr">
        <is>
          <t>Operation</t>
        </is>
      </c>
      <c r="E2617" t="inlineStr">
        <is>
          <t>FFB Production (Nucleus)</t>
        </is>
      </c>
      <c r="F2617" t="n">
        <v>105499</v>
      </c>
      <c r="G2617" t="inlineStr">
        <is>
          <t>t</t>
        </is>
      </c>
      <c r="H2617" t="n">
        <v>11</v>
      </c>
      <c r="I2617" t="inlineStr">
        <is>
          <t>Tandan Buah Segar (TBS) - Inti 105,499 (+7% YoY)</t>
        </is>
      </c>
      <c r="J2617" t="inlineStr">
        <is>
          <t>High</t>
        </is>
      </c>
      <c r="M2617" t="inlineStr">
        <is>
          <t>LLM</t>
        </is>
      </c>
      <c r="N2617" t="inlineStr">
        <is>
          <t>2026-04-18</t>
        </is>
      </c>
      <c r="O2617" t="inlineStr">
        <is>
          <t>AI</t>
        </is>
      </c>
    </row>
    <row r="2618">
      <c r="A2618" t="inlineStr">
        <is>
          <t>PT Jaya Agra Wattie Tbk</t>
        </is>
      </c>
      <c r="B2618" t="inlineStr">
        <is>
          <t>JAWA_2024_AR.pdf</t>
        </is>
      </c>
      <c r="C2618" t="n">
        <v>2024</v>
      </c>
      <c r="D2618" t="inlineStr">
        <is>
          <t>Operation</t>
        </is>
      </c>
      <c r="E2618" t="inlineStr">
        <is>
          <t>CPO Production</t>
        </is>
      </c>
      <c r="F2618" t="n">
        <v>44955</v>
      </c>
      <c r="G2618" t="inlineStr">
        <is>
          <t>t</t>
        </is>
      </c>
      <c r="H2618" t="n">
        <v>11</v>
      </c>
      <c r="I2618" t="inlineStr">
        <is>
          <t>Minyak Kelapa Sawit (CPO) 44,955 (-16% YoY)</t>
        </is>
      </c>
      <c r="J2618" t="inlineStr">
        <is>
          <t>High</t>
        </is>
      </c>
      <c r="M2618" t="inlineStr">
        <is>
          <t>LLM</t>
        </is>
      </c>
      <c r="N2618" t="inlineStr">
        <is>
          <t>2026-04-18</t>
        </is>
      </c>
      <c r="O2618" t="inlineStr">
        <is>
          <t>AI</t>
        </is>
      </c>
    </row>
    <row r="2619">
      <c r="A2619" t="inlineStr">
        <is>
          <t>PT Jaya Agra Wattie Tbk</t>
        </is>
      </c>
      <c r="B2619" t="inlineStr">
        <is>
          <t>JAWA_2024_AR.pdf</t>
        </is>
      </c>
      <c r="C2619" t="n">
        <v>2024</v>
      </c>
      <c r="D2619" t="inlineStr">
        <is>
          <t>Operation</t>
        </is>
      </c>
      <c r="E2619" t="inlineStr">
        <is>
          <t>Kernel Production</t>
        </is>
      </c>
      <c r="F2619" t="n">
        <v>7888</v>
      </c>
      <c r="G2619" t="inlineStr">
        <is>
          <t>t</t>
        </is>
      </c>
      <c r="H2619" t="n">
        <v>11</v>
      </c>
      <c r="I2619" t="inlineStr">
        <is>
          <t>Inti Kelapa Sawit (Kernel) 7,888 (-17% YoY)</t>
        </is>
      </c>
      <c r="J2619" t="inlineStr">
        <is>
          <t>High</t>
        </is>
      </c>
      <c r="M2619" t="inlineStr">
        <is>
          <t>LLM</t>
        </is>
      </c>
      <c r="N2619" t="inlineStr">
        <is>
          <t>2026-04-18</t>
        </is>
      </c>
      <c r="O2619" t="inlineStr">
        <is>
          <t>AI</t>
        </is>
      </c>
    </row>
    <row r="2620">
      <c r="A2620" t="inlineStr">
        <is>
          <t>PT Jaya Agra Wattie Tbk</t>
        </is>
      </c>
      <c r="B2620" t="inlineStr">
        <is>
          <t>JAWA_2024_AR.pdf</t>
        </is>
      </c>
      <c r="C2620" t="n">
        <v>2024</v>
      </c>
      <c r="D2620" t="inlineStr">
        <is>
          <t>Operation</t>
        </is>
      </c>
      <c r="E2620" t="inlineStr">
        <is>
          <t>Rubber Nucleus Production</t>
        </is>
      </c>
      <c r="F2620" t="n">
        <v>5931</v>
      </c>
      <c r="G2620" t="inlineStr">
        <is>
          <t>t</t>
        </is>
      </c>
      <c r="H2620" t="n">
        <v>11</v>
      </c>
      <c r="I2620" t="inlineStr">
        <is>
          <t>Karet – Inti 5,931 (+5%)</t>
        </is>
      </c>
      <c r="J2620" t="inlineStr">
        <is>
          <t>High</t>
        </is>
      </c>
      <c r="M2620" t="inlineStr">
        <is>
          <t>LLM</t>
        </is>
      </c>
      <c r="N2620" t="inlineStr">
        <is>
          <t>2026-04-18</t>
        </is>
      </c>
      <c r="O2620" t="inlineStr">
        <is>
          <t>AI</t>
        </is>
      </c>
    </row>
    <row r="2621">
      <c r="A2621" t="inlineStr">
        <is>
          <t>PT Jaya Agra Wattie Tbk</t>
        </is>
      </c>
      <c r="B2621" t="inlineStr">
        <is>
          <t>JAWA_2024_AR.pdf</t>
        </is>
      </c>
      <c r="C2621" t="n">
        <v>2024</v>
      </c>
      <c r="D2621" t="inlineStr">
        <is>
          <t>Operation</t>
        </is>
      </c>
      <c r="E2621" t="inlineStr">
        <is>
          <t>Rubber SH Production</t>
        </is>
      </c>
      <c r="F2621" t="n">
        <v>10071</v>
      </c>
      <c r="G2621" t="inlineStr">
        <is>
          <t>t</t>
        </is>
      </c>
      <c r="H2621" t="n">
        <v>11</v>
      </c>
      <c r="I2621" t="inlineStr">
        <is>
          <t>Karet – SH 10,071 (+157%)</t>
        </is>
      </c>
      <c r="J2621" t="inlineStr">
        <is>
          <t>High</t>
        </is>
      </c>
      <c r="M2621" t="inlineStr">
        <is>
          <t>LLM</t>
        </is>
      </c>
      <c r="N2621" t="inlineStr">
        <is>
          <t>2026-04-18</t>
        </is>
      </c>
      <c r="O2621" t="inlineStr">
        <is>
          <t>AI</t>
        </is>
      </c>
    </row>
    <row r="2622">
      <c r="A2622" t="inlineStr">
        <is>
          <t>PT Jaya Agra Wattie Tbk</t>
        </is>
      </c>
      <c r="B2622" t="inlineStr">
        <is>
          <t>JAWA_2024_AR.pdf</t>
        </is>
      </c>
      <c r="C2622" t="n">
        <v>2024</v>
      </c>
      <c r="D2622" t="inlineStr">
        <is>
          <t>Operation</t>
        </is>
      </c>
      <c r="E2622" t="inlineStr">
        <is>
          <t>Coffee Production</t>
        </is>
      </c>
      <c r="F2622" t="n">
        <v>26</v>
      </c>
      <c r="G2622" t="inlineStr">
        <is>
          <t>t</t>
        </is>
      </c>
      <c r="H2622" t="n">
        <v>11</v>
      </c>
      <c r="I2622" t="inlineStr">
        <is>
          <t>Kopi 26 ton (+19%)</t>
        </is>
      </c>
      <c r="J2622" t="inlineStr">
        <is>
          <t>High</t>
        </is>
      </c>
      <c r="M2622" t="inlineStr">
        <is>
          <t>LLM</t>
        </is>
      </c>
      <c r="N2622" t="inlineStr">
        <is>
          <t>2026-04-18</t>
        </is>
      </c>
      <c r="O2622" t="inlineStr">
        <is>
          <t>AI</t>
        </is>
      </c>
    </row>
    <row r="2623">
      <c r="A2623" t="inlineStr">
        <is>
          <t>PT Jaya Agra Wattie Tbk</t>
        </is>
      </c>
      <c r="B2623" t="inlineStr">
        <is>
          <t>JAWA_2024_AR.pdf</t>
        </is>
      </c>
      <c r="C2623" t="n">
        <v>2024</v>
      </c>
      <c r="D2623" t="inlineStr">
        <is>
          <t>Operation</t>
        </is>
      </c>
      <c r="E2623" t="inlineStr">
        <is>
          <t>Tea Production</t>
        </is>
      </c>
      <c r="F2623" t="n">
        <v>2412</v>
      </c>
      <c r="G2623" t="inlineStr">
        <is>
          <t>t</t>
        </is>
      </c>
      <c r="H2623" t="n">
        <v>11</v>
      </c>
      <c r="I2623" t="inlineStr">
        <is>
          <t>Teh - Pucuk 2,412 (+142%)</t>
        </is>
      </c>
      <c r="J2623" t="inlineStr">
        <is>
          <t>High</t>
        </is>
      </c>
      <c r="M2623" t="inlineStr">
        <is>
          <t>LLM</t>
        </is>
      </c>
      <c r="N2623" t="inlineStr">
        <is>
          <t>2026-04-18</t>
        </is>
      </c>
      <c r="O2623" t="inlineStr">
        <is>
          <t>AI</t>
        </is>
      </c>
    </row>
    <row r="2624">
      <c r="A2624" t="inlineStr">
        <is>
          <t>PT Jaya Agra Wattie Tbk</t>
        </is>
      </c>
      <c r="B2624" t="inlineStr">
        <is>
          <t>JAWA_2024_AR.pdf</t>
        </is>
      </c>
      <c r="C2624" t="n">
        <v>2024</v>
      </c>
      <c r="D2624" t="inlineStr">
        <is>
          <t>Operation</t>
        </is>
      </c>
      <c r="E2624" t="inlineStr">
        <is>
          <t>FFB Yield</t>
        </is>
      </c>
      <c r="F2624" t="n">
        <v>6.62</v>
      </c>
      <c r="G2624" t="inlineStr">
        <is>
          <t>t/ha</t>
        </is>
      </c>
      <c r="H2624" t="n">
        <v>11</v>
      </c>
      <c r="I2624" t="inlineStr">
        <is>
          <t>Hasil TBS 6.62 Ton/Ha (+11%)</t>
        </is>
      </c>
      <c r="J2624" t="inlineStr">
        <is>
          <t>High</t>
        </is>
      </c>
      <c r="M2624" t="inlineStr">
        <is>
          <t>LLM</t>
        </is>
      </c>
      <c r="N2624" t="inlineStr">
        <is>
          <t>2026-04-18</t>
        </is>
      </c>
      <c r="O2624" t="inlineStr">
        <is>
          <t>AI</t>
        </is>
      </c>
    </row>
    <row r="2625">
      <c r="A2625" t="inlineStr">
        <is>
          <t>PT Jaya Agra Wattie Tbk</t>
        </is>
      </c>
      <c r="B2625" t="inlineStr">
        <is>
          <t>JAWA_2024_AR.pdf</t>
        </is>
      </c>
      <c r="C2625" t="n">
        <v>2024</v>
      </c>
      <c r="D2625" t="inlineStr">
        <is>
          <t>Operation</t>
        </is>
      </c>
      <c r="E2625" t="inlineStr">
        <is>
          <t>CPO Extraction Rate (OER)</t>
        </is>
      </c>
      <c r="F2625" t="n">
        <v>0.1982</v>
      </c>
      <c r="G2625" t="inlineStr">
        <is>
          <t>%</t>
        </is>
      </c>
      <c r="H2625" t="n">
        <v>11</v>
      </c>
      <c r="I2625" t="inlineStr">
        <is>
          <t>Tingkat Ekstraksi CPO 19.82%</t>
        </is>
      </c>
      <c r="J2625" t="inlineStr">
        <is>
          <t>High</t>
        </is>
      </c>
      <c r="M2625" t="inlineStr">
        <is>
          <t>LLM</t>
        </is>
      </c>
      <c r="N2625" t="inlineStr">
        <is>
          <t>2026-04-18</t>
        </is>
      </c>
      <c r="O2625" t="inlineStr">
        <is>
          <t>AI</t>
        </is>
      </c>
    </row>
    <row r="2626">
      <c r="A2626" t="inlineStr">
        <is>
          <t>PT Jaya Agra Wattie Tbk</t>
        </is>
      </c>
      <c r="B2626" t="inlineStr">
        <is>
          <t>JAWA_2024_AR.pdf</t>
        </is>
      </c>
      <c r="C2626" t="n">
        <v>2024</v>
      </c>
      <c r="D2626" t="inlineStr">
        <is>
          <t>Operation</t>
        </is>
      </c>
      <c r="E2626" t="inlineStr">
        <is>
          <t>Kernel Extraction Rate (KER)</t>
        </is>
      </c>
      <c r="F2626" t="n">
        <v>0.0348</v>
      </c>
      <c r="G2626" t="inlineStr">
        <is>
          <t>%</t>
        </is>
      </c>
      <c r="H2626" t="n">
        <v>11</v>
      </c>
      <c r="I2626" t="inlineStr">
        <is>
          <t>Tingkat Ekstraksi Kernel 3.48%</t>
        </is>
      </c>
      <c r="J2626" t="inlineStr">
        <is>
          <t>High</t>
        </is>
      </c>
      <c r="M2626" t="inlineStr">
        <is>
          <t>LLM</t>
        </is>
      </c>
      <c r="N2626" t="inlineStr">
        <is>
          <t>2026-04-18</t>
        </is>
      </c>
      <c r="O2626" t="inlineStr">
        <is>
          <t>AI</t>
        </is>
      </c>
    </row>
    <row r="2627">
      <c r="A2627" t="inlineStr">
        <is>
          <t>PT Jaya Agra Wattie Tbk</t>
        </is>
      </c>
      <c r="B2627" t="inlineStr">
        <is>
          <t>JAWA_2024_AR.pdf</t>
        </is>
      </c>
      <c r="C2627" t="n">
        <v>2024</v>
      </c>
      <c r="D2627" t="inlineStr">
        <is>
          <t>Operation</t>
        </is>
      </c>
      <c r="E2627" t="inlineStr">
        <is>
          <t>CPO Yield</t>
        </is>
      </c>
      <c r="F2627" t="n">
        <v>1.31</v>
      </c>
      <c r="G2627" t="inlineStr">
        <is>
          <t>t/ha</t>
        </is>
      </c>
      <c r="H2627" t="n">
        <v>11</v>
      </c>
      <c r="I2627" t="inlineStr">
        <is>
          <t>Hasil CPO 1.31 Ton/Ha</t>
        </is>
      </c>
      <c r="J2627" t="inlineStr">
        <is>
          <t>High</t>
        </is>
      </c>
      <c r="M2627" t="inlineStr">
        <is>
          <t>LLM</t>
        </is>
      </c>
      <c r="N2627" t="inlineStr">
        <is>
          <t>2026-04-18</t>
        </is>
      </c>
      <c r="O2627" t="inlineStr">
        <is>
          <t>AI</t>
        </is>
      </c>
    </row>
    <row r="2628">
      <c r="A2628" t="inlineStr">
        <is>
          <t>PT Jaya Agra Wattie Tbk</t>
        </is>
      </c>
      <c r="B2628" t="inlineStr">
        <is>
          <t>JAWA_2024_AR.pdf</t>
        </is>
      </c>
      <c r="C2628" t="n">
        <v>2024</v>
      </c>
      <c r="D2628" t="inlineStr">
        <is>
          <t>Operation</t>
        </is>
      </c>
      <c r="E2628" t="inlineStr">
        <is>
          <t>Rubber SIR Utilization</t>
        </is>
      </c>
      <c r="F2628" t="n">
        <v>0.5472</v>
      </c>
      <c r="G2628" t="inlineStr">
        <is>
          <t>%</t>
        </is>
      </c>
      <c r="H2628" t="n">
        <v>11</v>
      </c>
      <c r="I2628" t="inlineStr">
        <is>
          <t>SIR 54.72% (2024, up from 30.70%)</t>
        </is>
      </c>
      <c r="J2628" t="inlineStr">
        <is>
          <t>High</t>
        </is>
      </c>
      <c r="M2628" t="inlineStr">
        <is>
          <t>LLM</t>
        </is>
      </c>
      <c r="N2628" t="inlineStr">
        <is>
          <t>2026-04-18</t>
        </is>
      </c>
      <c r="O2628" t="inlineStr">
        <is>
          <t>AI</t>
        </is>
      </c>
    </row>
    <row r="2629">
      <c r="A2629" t="inlineStr">
        <is>
          <t>PT Jaya Agra Wattie Tbk</t>
        </is>
      </c>
      <c r="B2629" t="inlineStr">
        <is>
          <t>JAWA_2024_AR.pdf</t>
        </is>
      </c>
      <c r="C2629" t="n">
        <v>2024</v>
      </c>
      <c r="D2629" t="inlineStr">
        <is>
          <t>Operation</t>
        </is>
      </c>
      <c r="E2629" t="inlineStr">
        <is>
          <t>FFB Utilization</t>
        </is>
      </c>
      <c r="F2629" t="n">
        <v>0.4421</v>
      </c>
      <c r="G2629" t="inlineStr">
        <is>
          <t>%</t>
        </is>
      </c>
      <c r="H2629" t="n">
        <v>11</v>
      </c>
      <c r="I2629" t="inlineStr">
        <is>
          <t>TBS | FFB 44.21%</t>
        </is>
      </c>
      <c r="J2629" t="inlineStr">
        <is>
          <t>High</t>
        </is>
      </c>
      <c r="M2629" t="inlineStr">
        <is>
          <t>LLM</t>
        </is>
      </c>
      <c r="N2629" t="inlineStr">
        <is>
          <t>2026-04-18</t>
        </is>
      </c>
      <c r="O2629" t="inlineStr">
        <is>
          <t>AI</t>
        </is>
      </c>
    </row>
    <row r="2630">
      <c r="A2630" t="inlineStr">
        <is>
          <t>PT Jaya Agra Wattie Tbk</t>
        </is>
      </c>
      <c r="B2630" t="inlineStr">
        <is>
          <t>JAWA_2024_AR.pdf</t>
        </is>
      </c>
      <c r="C2630" t="n">
        <v>2024</v>
      </c>
      <c r="D2630" t="inlineStr">
        <is>
          <t>Operation</t>
        </is>
      </c>
      <c r="E2630" t="inlineStr">
        <is>
          <t>CPO Sales Volume</t>
        </is>
      </c>
      <c r="F2630" t="n">
        <v>43051</v>
      </c>
      <c r="G2630" t="inlineStr">
        <is>
          <t>t</t>
        </is>
      </c>
      <c r="H2630" t="n">
        <v>11</v>
      </c>
      <c r="I2630" t="inlineStr">
        <is>
          <t>CPO 43,051 ton (-21% YoY)</t>
        </is>
      </c>
      <c r="J2630" t="inlineStr">
        <is>
          <t>High</t>
        </is>
      </c>
      <c r="M2630" t="inlineStr">
        <is>
          <t>LLM</t>
        </is>
      </c>
      <c r="N2630" t="inlineStr">
        <is>
          <t>2026-04-18</t>
        </is>
      </c>
      <c r="O2630" t="inlineStr">
        <is>
          <t>AI</t>
        </is>
      </c>
    </row>
    <row r="2631">
      <c r="A2631" t="inlineStr">
        <is>
          <t>PT Jaya Agra Wattie Tbk</t>
        </is>
      </c>
      <c r="B2631" t="inlineStr">
        <is>
          <t>JAWA_2024_AR.pdf</t>
        </is>
      </c>
      <c r="C2631" t="n">
        <v>2024</v>
      </c>
      <c r="D2631" t="inlineStr">
        <is>
          <t>Operation</t>
        </is>
      </c>
      <c r="E2631" t="inlineStr">
        <is>
          <t>Kernel Sales Volume</t>
        </is>
      </c>
      <c r="F2631" t="n">
        <v>7710</v>
      </c>
      <c r="G2631" t="inlineStr">
        <is>
          <t>t</t>
        </is>
      </c>
      <c r="H2631" t="n">
        <v>11</v>
      </c>
      <c r="I2631" t="inlineStr">
        <is>
          <t>Kernel 7,710 ton</t>
        </is>
      </c>
      <c r="J2631" t="inlineStr">
        <is>
          <t>High</t>
        </is>
      </c>
      <c r="M2631" t="inlineStr">
        <is>
          <t>LLM</t>
        </is>
      </c>
      <c r="N2631" t="inlineStr">
        <is>
          <t>2026-04-18</t>
        </is>
      </c>
      <c r="O2631" t="inlineStr">
        <is>
          <t>AI</t>
        </is>
      </c>
    </row>
    <row r="2632">
      <c r="A2632" t="inlineStr">
        <is>
          <t>PT Jaya Agra Wattie Tbk</t>
        </is>
      </c>
      <c r="B2632" t="inlineStr">
        <is>
          <t>JAWA_2024_AR.pdf</t>
        </is>
      </c>
      <c r="C2632" t="n">
        <v>2024</v>
      </c>
      <c r="D2632" t="inlineStr">
        <is>
          <t>Operation</t>
        </is>
      </c>
      <c r="E2632" t="inlineStr">
        <is>
          <t>SIR Sales Volume</t>
        </is>
      </c>
      <c r="F2632" t="n">
        <v>11614</v>
      </c>
      <c r="G2632" t="inlineStr">
        <is>
          <t>t</t>
        </is>
      </c>
      <c r="H2632" t="n">
        <v>11</v>
      </c>
      <c r="I2632" t="inlineStr">
        <is>
          <t>SIR 11,614 ton (+38%)</t>
        </is>
      </c>
      <c r="J2632" t="inlineStr">
        <is>
          <t>High</t>
        </is>
      </c>
      <c r="M2632" t="inlineStr">
        <is>
          <t>LLM</t>
        </is>
      </c>
      <c r="N2632" t="inlineStr">
        <is>
          <t>2026-04-18</t>
        </is>
      </c>
      <c r="O2632" t="inlineStr">
        <is>
          <t>AI</t>
        </is>
      </c>
    </row>
    <row r="2633">
      <c r="A2633" t="inlineStr">
        <is>
          <t>PT Jaya Agra Wattie Tbk</t>
        </is>
      </c>
      <c r="B2633" t="inlineStr">
        <is>
          <t>JAWA_2024_AR.pdf</t>
        </is>
      </c>
      <c r="C2633" t="n">
        <v>2024</v>
      </c>
      <c r="D2633" t="inlineStr">
        <is>
          <t>Operation</t>
        </is>
      </c>
      <c r="E2633" t="inlineStr">
        <is>
          <t>RSS Sales Volume</t>
        </is>
      </c>
      <c r="F2633" t="n">
        <v>1958</v>
      </c>
      <c r="G2633" t="inlineStr">
        <is>
          <t>t</t>
        </is>
      </c>
      <c r="H2633" t="n">
        <v>11</v>
      </c>
      <c r="I2633" t="inlineStr">
        <is>
          <t>RSS 1,958 ton</t>
        </is>
      </c>
      <c r="J2633" t="inlineStr">
        <is>
          <t>High</t>
        </is>
      </c>
      <c r="M2633" t="inlineStr">
        <is>
          <t>LLM</t>
        </is>
      </c>
      <c r="N2633" t="inlineStr">
        <is>
          <t>2026-04-18</t>
        </is>
      </c>
      <c r="O2633" t="inlineStr">
        <is>
          <t>AI</t>
        </is>
      </c>
    </row>
    <row r="2634">
      <c r="A2634" t="inlineStr">
        <is>
          <t>PT Jaya Agra Wattie Tbk</t>
        </is>
      </c>
      <c r="B2634" t="inlineStr">
        <is>
          <t>JAWA_2024_AR.pdf</t>
        </is>
      </c>
      <c r="C2634" t="n">
        <v>2024</v>
      </c>
      <c r="D2634" t="inlineStr">
        <is>
          <t>Operation</t>
        </is>
      </c>
      <c r="E2634" t="inlineStr">
        <is>
          <t>Tea Sales Volume</t>
        </is>
      </c>
      <c r="F2634" t="n">
        <v>469</v>
      </c>
      <c r="G2634" t="inlineStr">
        <is>
          <t>t</t>
        </is>
      </c>
      <c r="H2634" t="n">
        <v>12</v>
      </c>
      <c r="I2634" t="inlineStr">
        <is>
          <t>Teh 469 ton</t>
        </is>
      </c>
      <c r="J2634" t="inlineStr">
        <is>
          <t>High</t>
        </is>
      </c>
      <c r="M2634" t="inlineStr">
        <is>
          <t>LLM</t>
        </is>
      </c>
      <c r="N2634" t="inlineStr">
        <is>
          <t>2026-04-18</t>
        </is>
      </c>
      <c r="O2634" t="inlineStr">
        <is>
          <t>AI</t>
        </is>
      </c>
    </row>
    <row r="2635">
      <c r="A2635" t="inlineStr">
        <is>
          <t>PT Jaya Agra Wattie Tbk</t>
        </is>
      </c>
      <c r="B2635" t="inlineStr">
        <is>
          <t>JAWA_2024_AR.pdf</t>
        </is>
      </c>
      <c r="C2635" t="n">
        <v>2024</v>
      </c>
      <c r="D2635" t="inlineStr">
        <is>
          <t>Operation</t>
        </is>
      </c>
      <c r="E2635" t="inlineStr">
        <is>
          <t>Avg CPO Price</t>
        </is>
      </c>
      <c r="F2635" t="n">
        <v>13169</v>
      </c>
      <c r="G2635" t="inlineStr">
        <is>
          <t>Rp/kg</t>
        </is>
      </c>
      <c r="H2635" t="n">
        <v>12</v>
      </c>
      <c r="I2635" t="inlineStr">
        <is>
          <t>CPO Rp/kg 13,169</t>
        </is>
      </c>
      <c r="J2635" t="inlineStr">
        <is>
          <t>High</t>
        </is>
      </c>
      <c r="M2635" t="inlineStr">
        <is>
          <t>LLM</t>
        </is>
      </c>
      <c r="N2635" t="inlineStr">
        <is>
          <t>2026-04-18</t>
        </is>
      </c>
      <c r="O2635" t="inlineStr">
        <is>
          <t>AI</t>
        </is>
      </c>
    </row>
    <row r="2636">
      <c r="A2636" t="inlineStr">
        <is>
          <t>PT Jaya Agra Wattie Tbk</t>
        </is>
      </c>
      <c r="B2636" t="inlineStr">
        <is>
          <t>JAWA_2024_AR.pdf</t>
        </is>
      </c>
      <c r="C2636" t="n">
        <v>2024</v>
      </c>
      <c r="D2636" t="inlineStr">
        <is>
          <t>Operation</t>
        </is>
      </c>
      <c r="E2636" t="inlineStr">
        <is>
          <t>Avg Kernel Price</t>
        </is>
      </c>
      <c r="F2636" t="n">
        <v>7687</v>
      </c>
      <c r="G2636" t="inlineStr">
        <is>
          <t>Rp/kg</t>
        </is>
      </c>
      <c r="H2636" t="n">
        <v>12</v>
      </c>
      <c r="I2636" t="inlineStr">
        <is>
          <t>Kernel 7,687 Rp/kg</t>
        </is>
      </c>
      <c r="J2636" t="inlineStr">
        <is>
          <t>High</t>
        </is>
      </c>
      <c r="M2636" t="inlineStr">
        <is>
          <t>LLM</t>
        </is>
      </c>
      <c r="N2636" t="inlineStr">
        <is>
          <t>2026-04-18</t>
        </is>
      </c>
      <c r="O2636" t="inlineStr">
        <is>
          <t>AI</t>
        </is>
      </c>
    </row>
    <row r="2637">
      <c r="A2637" t="inlineStr">
        <is>
          <t>PT Jaya Agra Wattie Tbk</t>
        </is>
      </c>
      <c r="B2637" t="inlineStr">
        <is>
          <t>JAWA_2024_AR.pdf</t>
        </is>
      </c>
      <c r="C2637" t="n">
        <v>2024</v>
      </c>
      <c r="D2637" t="inlineStr">
        <is>
          <t>Operation</t>
        </is>
      </c>
      <c r="E2637" t="inlineStr">
        <is>
          <t>Avg SIR Price</t>
        </is>
      </c>
      <c r="F2637" t="n">
        <v>28950</v>
      </c>
      <c r="G2637" t="inlineStr">
        <is>
          <t>Rp/kg</t>
        </is>
      </c>
      <c r="H2637" t="n">
        <v>12</v>
      </c>
      <c r="I2637" t="inlineStr">
        <is>
          <t>SIR 28,950 Rp/kg</t>
        </is>
      </c>
      <c r="J2637" t="inlineStr">
        <is>
          <t>High</t>
        </is>
      </c>
      <c r="M2637" t="inlineStr">
        <is>
          <t>LLM</t>
        </is>
      </c>
      <c r="N2637" t="inlineStr">
        <is>
          <t>2026-04-18</t>
        </is>
      </c>
      <c r="O2637" t="inlineStr">
        <is>
          <t>AI</t>
        </is>
      </c>
    </row>
    <row r="2638">
      <c r="A2638" t="inlineStr">
        <is>
          <t>PT Jaya Agra Wattie Tbk</t>
        </is>
      </c>
      <c r="B2638" t="inlineStr">
        <is>
          <t>JAWA_2024_AR.pdf</t>
        </is>
      </c>
      <c r="C2638" t="n">
        <v>2024</v>
      </c>
      <c r="D2638" t="inlineStr">
        <is>
          <t>Operation</t>
        </is>
      </c>
      <c r="E2638" t="inlineStr">
        <is>
          <t>Avg RSS Price</t>
        </is>
      </c>
      <c r="F2638" t="n">
        <v>34153</v>
      </c>
      <c r="G2638" t="inlineStr">
        <is>
          <t>Rp/kg</t>
        </is>
      </c>
      <c r="H2638" t="n">
        <v>12</v>
      </c>
      <c r="I2638" t="inlineStr">
        <is>
          <t>RSS 34,153 Rp/kg</t>
        </is>
      </c>
      <c r="J2638" t="inlineStr">
        <is>
          <t>High</t>
        </is>
      </c>
      <c r="M2638" t="inlineStr">
        <is>
          <t>LLM</t>
        </is>
      </c>
      <c r="N2638" t="inlineStr">
        <is>
          <t>2026-04-18</t>
        </is>
      </c>
      <c r="O2638" t="inlineStr">
        <is>
          <t>AI</t>
        </is>
      </c>
    </row>
    <row r="2639">
      <c r="A2639" t="inlineStr">
        <is>
          <t>PT Jaya Agra Wattie Tbk</t>
        </is>
      </c>
      <c r="B2639" t="inlineStr">
        <is>
          <t>JAWA_2024_AR.pdf</t>
        </is>
      </c>
      <c r="C2639" t="n">
        <v>2024</v>
      </c>
      <c r="D2639" t="inlineStr">
        <is>
          <t>Operation</t>
        </is>
      </c>
      <c r="E2639" t="inlineStr">
        <is>
          <t>Avg Coffee Price</t>
        </is>
      </c>
      <c r="F2639" t="n">
        <v>49224</v>
      </c>
      <c r="G2639" t="inlineStr">
        <is>
          <t>Rp/kg</t>
        </is>
      </c>
      <c r="H2639" t="n">
        <v>12</v>
      </c>
      <c r="I2639" t="inlineStr">
        <is>
          <t>Kopi 49,224 Rp/kg (+27%)</t>
        </is>
      </c>
      <c r="J2639" t="inlineStr">
        <is>
          <t>High</t>
        </is>
      </c>
      <c r="M2639" t="inlineStr">
        <is>
          <t>LLM</t>
        </is>
      </c>
      <c r="N2639" t="inlineStr">
        <is>
          <t>2026-04-18</t>
        </is>
      </c>
      <c r="O2639" t="inlineStr">
        <is>
          <t>AI</t>
        </is>
      </c>
    </row>
    <row r="2640">
      <c r="A2640" t="inlineStr">
        <is>
          <t>PT Jaya Agra Wattie Tbk</t>
        </is>
      </c>
      <c r="B2640" t="inlineStr">
        <is>
          <t>JAWA_2024_AR.pdf</t>
        </is>
      </c>
      <c r="C2640" t="n">
        <v>2024</v>
      </c>
      <c r="D2640" t="inlineStr">
        <is>
          <t>Operation</t>
        </is>
      </c>
      <c r="E2640" t="inlineStr">
        <is>
          <t>Avg Tea Price</t>
        </is>
      </c>
      <c r="F2640" t="n">
        <v>17423</v>
      </c>
      <c r="G2640" t="inlineStr">
        <is>
          <t>Rp/kg</t>
        </is>
      </c>
      <c r="H2640" t="n">
        <v>12</v>
      </c>
      <c r="I2640" t="inlineStr">
        <is>
          <t>Teh 17,423 Rp/kg</t>
        </is>
      </c>
      <c r="J2640" t="inlineStr">
        <is>
          <t>High</t>
        </is>
      </c>
      <c r="M2640" t="inlineStr">
        <is>
          <t>LLM</t>
        </is>
      </c>
      <c r="N2640" t="inlineStr">
        <is>
          <t>2026-04-18</t>
        </is>
      </c>
      <c r="O2640" t="inlineStr">
        <is>
          <t>AI</t>
        </is>
      </c>
    </row>
    <row r="2641">
      <c r="A2641" t="inlineStr">
        <is>
          <t>PT Jaya Agra Wattie Tbk</t>
        </is>
      </c>
      <c r="B2641" t="inlineStr">
        <is>
          <t>JAWA_2024_AR.pdf</t>
        </is>
      </c>
      <c r="C2641" t="n">
        <v>2024</v>
      </c>
      <c r="D2641" t="inlineStr">
        <is>
          <t>Operation</t>
        </is>
      </c>
      <c r="E2641" t="inlineStr">
        <is>
          <t>Palm Segment Revenue</t>
        </is>
      </c>
      <c r="F2641" t="n">
        <v>628</v>
      </c>
      <c r="G2641" t="inlineStr">
        <is>
          <t>IDR bn</t>
        </is>
      </c>
      <c r="H2641" t="n">
        <v>279</v>
      </c>
      <c r="I2641" t="inlineStr">
        <is>
          <t>Segment palm oil external sales 628,218,696,183</t>
        </is>
      </c>
      <c r="J2641" t="inlineStr">
        <is>
          <t>High</t>
        </is>
      </c>
      <c r="M2641" t="inlineStr">
        <is>
          <t>LLM</t>
        </is>
      </c>
      <c r="N2641" t="inlineStr">
        <is>
          <t>2026-04-18</t>
        </is>
      </c>
      <c r="O2641" t="inlineStr">
        <is>
          <t>AI</t>
        </is>
      </c>
    </row>
    <row r="2642">
      <c r="A2642" t="inlineStr">
        <is>
          <t>PT Jaya Agra Wattie Tbk</t>
        </is>
      </c>
      <c r="B2642" t="inlineStr">
        <is>
          <t>JAWA_2024_AR.pdf</t>
        </is>
      </c>
      <c r="C2642" t="n">
        <v>2024</v>
      </c>
      <c r="D2642" t="inlineStr">
        <is>
          <t>Operation</t>
        </is>
      </c>
      <c r="E2642" t="inlineStr">
        <is>
          <t>Rubber Segment Revenue</t>
        </is>
      </c>
      <c r="F2642" t="n">
        <v>433</v>
      </c>
      <c r="G2642" t="inlineStr">
        <is>
          <t>IDR bn</t>
        </is>
      </c>
      <c r="H2642" t="n">
        <v>279</v>
      </c>
      <c r="I2642" t="inlineStr">
        <is>
          <t>Segment rubber external sales 433,341,421,216</t>
        </is>
      </c>
      <c r="J2642" t="inlineStr">
        <is>
          <t>High</t>
        </is>
      </c>
      <c r="M2642" t="inlineStr">
        <is>
          <t>LLM</t>
        </is>
      </c>
      <c r="N2642" t="inlineStr">
        <is>
          <t>2026-04-18</t>
        </is>
      </c>
      <c r="O2642" t="inlineStr">
        <is>
          <t>AI</t>
        </is>
      </c>
    </row>
    <row r="2643">
      <c r="A2643" t="inlineStr">
        <is>
          <t>PT Jaya Agra Wattie Tbk</t>
        </is>
      </c>
      <c r="B2643" t="inlineStr">
        <is>
          <t>JAWA_2024_AR.pdf</t>
        </is>
      </c>
      <c r="C2643" t="n">
        <v>2024</v>
      </c>
      <c r="D2643" t="inlineStr">
        <is>
          <t>Operation</t>
        </is>
      </c>
      <c r="E2643" t="inlineStr">
        <is>
          <t>Kalsel Geographic Revenue</t>
        </is>
      </c>
      <c r="F2643" t="n">
        <v>785</v>
      </c>
      <c r="G2643" t="inlineStr">
        <is>
          <t>IDR bn</t>
        </is>
      </c>
      <c r="H2643" t="n">
        <v>281</v>
      </c>
      <c r="I2643" t="inlineStr">
        <is>
          <t>Kalimantan Selatan 785,275,829,523</t>
        </is>
      </c>
      <c r="J2643" t="inlineStr">
        <is>
          <t>High</t>
        </is>
      </c>
      <c r="M2643" t="inlineStr">
        <is>
          <t>LLM</t>
        </is>
      </c>
      <c r="N2643" t="inlineStr">
        <is>
          <t>2026-04-18</t>
        </is>
      </c>
      <c r="O2643" t="inlineStr">
        <is>
          <t>AI</t>
        </is>
      </c>
    </row>
    <row r="2644">
      <c r="A2644" t="inlineStr">
        <is>
          <t>PT Jaya Agra Wattie Tbk</t>
        </is>
      </c>
      <c r="B2644" t="inlineStr">
        <is>
          <t>JAWA_2024_AR.pdf</t>
        </is>
      </c>
      <c r="C2644" t="n">
        <v>2024</v>
      </c>
      <c r="D2644" t="inlineStr">
        <is>
          <t>Operation</t>
        </is>
      </c>
      <c r="E2644" t="inlineStr">
        <is>
          <t>Jateng Geographic Revenue</t>
        </is>
      </c>
      <c r="F2644" t="n">
        <v>213</v>
      </c>
      <c r="G2644" t="inlineStr">
        <is>
          <t>IDR bn</t>
        </is>
      </c>
      <c r="H2644" t="n">
        <v>281</v>
      </c>
      <c r="I2644" t="inlineStr">
        <is>
          <t>Jawa Tengah 213,105,762,860</t>
        </is>
      </c>
      <c r="J2644" t="inlineStr">
        <is>
          <t>High</t>
        </is>
      </c>
      <c r="M2644" t="inlineStr">
        <is>
          <t>LLM</t>
        </is>
      </c>
      <c r="N2644" t="inlineStr">
        <is>
          <t>2026-04-18</t>
        </is>
      </c>
      <c r="O2644" t="inlineStr">
        <is>
          <t>AI</t>
        </is>
      </c>
    </row>
    <row r="2645">
      <c r="A2645" t="inlineStr">
        <is>
          <t>PT Jaya Agra Wattie Tbk</t>
        </is>
      </c>
      <c r="B2645" t="inlineStr">
        <is>
          <t>JAWA_2024_AR.pdf</t>
        </is>
      </c>
      <c r="C2645" t="n">
        <v>2024</v>
      </c>
      <c r="D2645" t="inlineStr">
        <is>
          <t>ESG</t>
        </is>
      </c>
      <c r="E2645" t="inlineStr">
        <is>
          <t>ISPO/SNI Certifications</t>
        </is>
      </c>
      <c r="F2645" t="inlineStr">
        <is>
          <t>6+ SNI ISO 9001:2015 entities</t>
        </is>
      </c>
      <c r="G2645" t="inlineStr">
        <is>
          <t>text</t>
        </is>
      </c>
      <c r="H2645" t="n">
        <v>20</v>
      </c>
      <c r="I2645" t="inlineStr">
        <is>
          <t>SNI ISO 9001:2015 for IJR, PK, Kaliduren Estates, KJW, Biting</t>
        </is>
      </c>
      <c r="J2645" t="inlineStr">
        <is>
          <t>High</t>
        </is>
      </c>
      <c r="M2645" t="inlineStr">
        <is>
          <t>LLM</t>
        </is>
      </c>
      <c r="N2645" t="inlineStr">
        <is>
          <t>2026-04-18</t>
        </is>
      </c>
      <c r="O2645" t="inlineStr">
        <is>
          <t>AI</t>
        </is>
      </c>
    </row>
    <row r="2646">
      <c r="A2646" t="inlineStr">
        <is>
          <t>PT Jaya Agra Wattie Tbk</t>
        </is>
      </c>
      <c r="B2646" t="inlineStr">
        <is>
          <t>JAWA_2024_AR.pdf</t>
        </is>
      </c>
      <c r="C2646" t="n">
        <v>2024</v>
      </c>
      <c r="D2646" t="inlineStr">
        <is>
          <t>ESG</t>
        </is>
      </c>
      <c r="E2646" t="inlineStr">
        <is>
          <t>PROPER Blue Award (IJR)</t>
        </is>
      </c>
      <c r="F2646" t="n">
        <v>1</v>
      </c>
      <c r="G2646" t="inlineStr">
        <is>
          <t>count</t>
        </is>
      </c>
      <c r="H2646" t="n">
        <v>43</v>
      </c>
      <c r="I2646" t="inlineStr">
        <is>
          <t>PT Indo Java Rubber Planting Company ... peringkat biru ... SK.1307/MENLHK/SETJEN/KUM.1/12/2021</t>
        </is>
      </c>
      <c r="J2646" t="inlineStr">
        <is>
          <t>High</t>
        </is>
      </c>
      <c r="M2646" t="inlineStr">
        <is>
          <t>LLM</t>
        </is>
      </c>
      <c r="N2646" t="inlineStr">
        <is>
          <t>2026-04-18</t>
        </is>
      </c>
      <c r="O2646" t="inlineStr">
        <is>
          <t>AI</t>
        </is>
      </c>
    </row>
    <row r="2647">
      <c r="A2647" t="inlineStr">
        <is>
          <t>PT Perusahaan Perkebunan London Sumatra Indonesia Tbk</t>
        </is>
      </c>
      <c r="B2647" t="inlineStr">
        <is>
          <t>LSIP_2022_AR.pdf</t>
        </is>
      </c>
      <c r="C2647" t="n">
        <v>2022</v>
      </c>
      <c r="D2647" t="inlineStr">
        <is>
          <t>Company</t>
        </is>
      </c>
      <c r="E2647" t="inlineStr">
        <is>
          <t>Company Name</t>
        </is>
      </c>
      <c r="F2647" t="inlineStr">
        <is>
          <t>PT Perusahaan Perkebunan London Sumatra Indonesia Tbk</t>
        </is>
      </c>
      <c r="G2647" t="inlineStr">
        <is>
          <t>text</t>
        </is>
      </c>
      <c r="H2647" t="n">
        <v>8</v>
      </c>
      <c r="I2647" t="inlineStr">
        <is>
          <t>PT PP London Sumatra Indonesia Tbk, also known as Lonsum</t>
        </is>
      </c>
      <c r="J2647" t="inlineStr">
        <is>
          <t>High</t>
        </is>
      </c>
      <c r="M2647" t="inlineStr">
        <is>
          <t>LLM</t>
        </is>
      </c>
      <c r="N2647" t="inlineStr">
        <is>
          <t>2026-04-18</t>
        </is>
      </c>
      <c r="O2647" t="inlineStr">
        <is>
          <t>AI</t>
        </is>
      </c>
    </row>
    <row r="2648">
      <c r="A2648" t="inlineStr">
        <is>
          <t>PT Perusahaan Perkebunan London Sumatra Indonesia Tbk</t>
        </is>
      </c>
      <c r="B2648" t="inlineStr">
        <is>
          <t>LSIP_2022_AR.pdf</t>
        </is>
      </c>
      <c r="C2648" t="n">
        <v>2022</v>
      </c>
      <c r="D2648" t="inlineStr">
        <is>
          <t>Company</t>
        </is>
      </c>
      <c r="E2648" t="inlineStr">
        <is>
          <t>Year Founded</t>
        </is>
      </c>
      <c r="F2648" t="n">
        <v>1906</v>
      </c>
      <c r="G2648" t="inlineStr">
        <is>
          <t>year</t>
        </is>
      </c>
      <c r="H2648" t="n">
        <v>8</v>
      </c>
      <c r="I2648" t="inlineStr">
        <is>
          <t>founded in 1906 when Harrisons &amp; Crosfield Plc</t>
        </is>
      </c>
      <c r="J2648" t="inlineStr">
        <is>
          <t>High</t>
        </is>
      </c>
      <c r="M2648" t="inlineStr">
        <is>
          <t>LLM</t>
        </is>
      </c>
      <c r="N2648" t="inlineStr">
        <is>
          <t>2026-04-18</t>
        </is>
      </c>
      <c r="O2648" t="inlineStr">
        <is>
          <t>AI</t>
        </is>
      </c>
    </row>
    <row r="2649">
      <c r="A2649" t="inlineStr">
        <is>
          <t>PT Perusahaan Perkebunan London Sumatra Indonesia Tbk</t>
        </is>
      </c>
      <c r="B2649" t="inlineStr">
        <is>
          <t>LSIP_2022_AR.pdf</t>
        </is>
      </c>
      <c r="C2649" t="n">
        <v>2022</v>
      </c>
      <c r="D2649" t="inlineStr">
        <is>
          <t>Company</t>
        </is>
      </c>
      <c r="E2649" t="inlineStr">
        <is>
          <t>Parent (Direct)</t>
        </is>
      </c>
      <c r="F2649" t="inlineStr">
        <is>
          <t>PT Salim Ivomas Pratama Tbk 59.51%</t>
        </is>
      </c>
      <c r="G2649" t="inlineStr">
        <is>
          <t>%</t>
        </is>
      </c>
      <c r="H2649" t="n">
        <v>10</v>
      </c>
      <c r="I2649" t="inlineStr">
        <is>
          <t>PT Salim Ivomas Pratama Tbk ... 59,51%</t>
        </is>
      </c>
      <c r="J2649" t="inlineStr">
        <is>
          <t>High</t>
        </is>
      </c>
      <c r="M2649" t="inlineStr">
        <is>
          <t>LLM</t>
        </is>
      </c>
      <c r="N2649" t="inlineStr">
        <is>
          <t>2026-04-18</t>
        </is>
      </c>
      <c r="O2649" t="inlineStr">
        <is>
          <t>AI</t>
        </is>
      </c>
    </row>
    <row r="2650">
      <c r="A2650" t="inlineStr">
        <is>
          <t>PT Perusahaan Perkebunan London Sumatra Indonesia Tbk</t>
        </is>
      </c>
      <c r="B2650" t="inlineStr">
        <is>
          <t>LSIP_2022_AR.pdf</t>
        </is>
      </c>
      <c r="C2650" t="n">
        <v>2022</v>
      </c>
      <c r="D2650" t="inlineStr">
        <is>
          <t>Company</t>
        </is>
      </c>
      <c r="E2650" t="inlineStr">
        <is>
          <t>Ultimate Parent</t>
        </is>
      </c>
      <c r="F2650" t="inlineStr">
        <is>
          <t>First Pacific Company Limited (HK); Anthoni Salim</t>
        </is>
      </c>
      <c r="G2650" t="inlineStr">
        <is>
          <t>text</t>
        </is>
      </c>
      <c r="H2650" t="n">
        <v>10</v>
      </c>
      <c r="I2650" t="inlineStr">
        <is>
          <t>First Pacific Company Limited is a public listed company on the Hong Kong Stock Exchange. Mr. Anthoni Salim</t>
        </is>
      </c>
      <c r="J2650" t="inlineStr">
        <is>
          <t>High</t>
        </is>
      </c>
      <c r="M2650" t="inlineStr">
        <is>
          <t>LLM</t>
        </is>
      </c>
      <c r="N2650" t="inlineStr">
        <is>
          <t>2026-04-18</t>
        </is>
      </c>
      <c r="O2650" t="inlineStr">
        <is>
          <t>AI</t>
        </is>
      </c>
    </row>
    <row r="2651">
      <c r="A2651" t="inlineStr">
        <is>
          <t>PT Perusahaan Perkebunan London Sumatra Indonesia Tbk</t>
        </is>
      </c>
      <c r="B2651" t="inlineStr">
        <is>
          <t>LSIP_2022_AR.pdf</t>
        </is>
      </c>
      <c r="C2651" t="n">
        <v>2022</v>
      </c>
      <c r="D2651" t="inlineStr">
        <is>
          <t>Company</t>
        </is>
      </c>
      <c r="E2651" t="inlineStr">
        <is>
          <t>Public Float</t>
        </is>
      </c>
      <c r="F2651" t="n">
        <v>0.4038</v>
      </c>
      <c r="G2651" t="inlineStr">
        <is>
          <t>%</t>
        </is>
      </c>
      <c r="H2651" t="n">
        <v>10</v>
      </c>
      <c r="I2651" t="inlineStr">
        <is>
          <t>Public (each less than 5%) 40,38%</t>
        </is>
      </c>
      <c r="J2651" t="inlineStr">
        <is>
          <t>High</t>
        </is>
      </c>
      <c r="M2651" t="inlineStr">
        <is>
          <t>LLM</t>
        </is>
      </c>
      <c r="N2651" t="inlineStr">
        <is>
          <t>2026-04-18</t>
        </is>
      </c>
      <c r="O2651" t="inlineStr">
        <is>
          <t>AI</t>
        </is>
      </c>
    </row>
    <row r="2652">
      <c r="A2652" t="inlineStr">
        <is>
          <t>PT Perusahaan Perkebunan London Sumatra Indonesia Tbk</t>
        </is>
      </c>
      <c r="B2652" t="inlineStr">
        <is>
          <t>LSIP_2022_AR.pdf</t>
        </is>
      </c>
      <c r="C2652" t="n">
        <v>2022</v>
      </c>
      <c r="D2652" t="inlineStr">
        <is>
          <t>Company</t>
        </is>
      </c>
      <c r="E2652" t="inlineStr">
        <is>
          <t>Total Shares Outstanding</t>
        </is>
      </c>
      <c r="F2652" t="n">
        <v>6819963965</v>
      </c>
      <c r="G2652" t="inlineStr">
        <is>
          <t>shares</t>
        </is>
      </c>
      <c r="H2652" t="n">
        <v>10</v>
      </c>
      <c r="I2652" t="inlineStr">
        <is>
          <t>Sub Total 6.819.963.965 100,00%</t>
        </is>
      </c>
      <c r="J2652" t="inlineStr">
        <is>
          <t>High</t>
        </is>
      </c>
      <c r="M2652" t="inlineStr">
        <is>
          <t>LLM</t>
        </is>
      </c>
      <c r="N2652" t="inlineStr">
        <is>
          <t>2026-04-18</t>
        </is>
      </c>
      <c r="O2652" t="inlineStr">
        <is>
          <t>AI</t>
        </is>
      </c>
    </row>
    <row r="2653">
      <c r="A2653" t="inlineStr">
        <is>
          <t>PT Perusahaan Perkebunan London Sumatra Indonesia Tbk</t>
        </is>
      </c>
      <c r="B2653" t="inlineStr">
        <is>
          <t>LSIP_2022_AR.pdf</t>
        </is>
      </c>
      <c r="C2653" t="n">
        <v>2022</v>
      </c>
      <c r="D2653" t="inlineStr">
        <is>
          <t>Company</t>
        </is>
      </c>
      <c r="E2653" t="inlineStr">
        <is>
          <t>Treasury Shares</t>
        </is>
      </c>
      <c r="F2653" t="n">
        <v>2900000</v>
      </c>
      <c r="G2653" t="inlineStr">
        <is>
          <t>shares</t>
        </is>
      </c>
      <c r="H2653" t="n">
        <v>10</v>
      </c>
      <c r="I2653" t="inlineStr">
        <is>
          <t>Treasury Shares 2.900.000</t>
        </is>
      </c>
      <c r="J2653" t="inlineStr">
        <is>
          <t>High</t>
        </is>
      </c>
      <c r="M2653" t="inlineStr">
        <is>
          <t>LLM</t>
        </is>
      </c>
      <c r="N2653" t="inlineStr">
        <is>
          <t>2026-04-18</t>
        </is>
      </c>
      <c r="O2653" t="inlineStr">
        <is>
          <t>AI</t>
        </is>
      </c>
    </row>
    <row r="2654">
      <c r="A2654" t="inlineStr">
        <is>
          <t>PT Perusahaan Perkebunan London Sumatra Indonesia Tbk</t>
        </is>
      </c>
      <c r="B2654" t="inlineStr">
        <is>
          <t>LSIP_2022_AR.pdf</t>
        </is>
      </c>
      <c r="C2654" t="n">
        <v>2022</v>
      </c>
      <c r="D2654" t="inlineStr">
        <is>
          <t>Financial</t>
        </is>
      </c>
      <c r="E2654" t="inlineStr">
        <is>
          <t>Revenue (Sales)</t>
        </is>
      </c>
      <c r="F2654" t="n">
        <v>4585</v>
      </c>
      <c r="G2654" t="inlineStr">
        <is>
          <t>IDR bn</t>
        </is>
      </c>
      <c r="H2654" t="n">
        <v>4</v>
      </c>
      <c r="I2654" t="inlineStr">
        <is>
          <t>Sales 4.585.348 4.525.473 3.536.721</t>
        </is>
      </c>
      <c r="J2654" t="inlineStr">
        <is>
          <t>High</t>
        </is>
      </c>
      <c r="M2654" t="inlineStr">
        <is>
          <t>LLM</t>
        </is>
      </c>
      <c r="N2654" t="inlineStr">
        <is>
          <t>2026-04-18</t>
        </is>
      </c>
      <c r="O2654" t="inlineStr">
        <is>
          <t>AI</t>
        </is>
      </c>
    </row>
    <row r="2655">
      <c r="A2655" t="inlineStr">
        <is>
          <t>PT Perusahaan Perkebunan London Sumatra Indonesia Tbk</t>
        </is>
      </c>
      <c r="B2655" t="inlineStr">
        <is>
          <t>LSIP_2022_AR.pdf</t>
        </is>
      </c>
      <c r="C2655" t="n">
        <v>2022</v>
      </c>
      <c r="D2655" t="inlineStr">
        <is>
          <t>Financial</t>
        </is>
      </c>
      <c r="E2655" t="inlineStr">
        <is>
          <t>Revenue YoY</t>
        </is>
      </c>
      <c r="F2655" t="n">
        <v>0.01</v>
      </c>
      <c r="G2655" t="inlineStr">
        <is>
          <t>%</t>
        </is>
      </c>
      <c r="H2655" t="n">
        <v>27</v>
      </c>
      <c r="I2655" t="inlineStr">
        <is>
          <t>total consolidated sales of Rp4.59 trillion in 2022, 1% higher than the previous year's figures of Rp4.53 trillion</t>
        </is>
      </c>
      <c r="J2655" t="inlineStr">
        <is>
          <t>High</t>
        </is>
      </c>
      <c r="M2655" t="inlineStr">
        <is>
          <t>LLM</t>
        </is>
      </c>
      <c r="N2655" t="inlineStr">
        <is>
          <t>2026-04-18</t>
        </is>
      </c>
      <c r="O2655" t="inlineStr">
        <is>
          <t>AI</t>
        </is>
      </c>
    </row>
    <row r="2656">
      <c r="A2656" t="inlineStr">
        <is>
          <t>PT Perusahaan Perkebunan London Sumatra Indonesia Tbk</t>
        </is>
      </c>
      <c r="B2656" t="inlineStr">
        <is>
          <t>LSIP_2022_AR.pdf</t>
        </is>
      </c>
      <c r="C2656" t="n">
        <v>2022</v>
      </c>
      <c r="D2656" t="inlineStr">
        <is>
          <t>Financial</t>
        </is>
      </c>
      <c r="E2656" t="inlineStr">
        <is>
          <t>Oil Palm Product Sales</t>
        </is>
      </c>
      <c r="F2656" t="n">
        <v>4350</v>
      </c>
      <c r="G2656" t="inlineStr">
        <is>
          <t>IDR bn</t>
        </is>
      </c>
      <c r="H2656" t="n">
        <v>27</v>
      </c>
      <c r="I2656" t="inlineStr">
        <is>
          <t>Oil palm products sales increased 2% to Rp4.35 trillion in 2022 compared to Rp4.29 trillion in 2021</t>
        </is>
      </c>
      <c r="J2656" t="inlineStr">
        <is>
          <t>High</t>
        </is>
      </c>
      <c r="M2656" t="inlineStr">
        <is>
          <t>LLM</t>
        </is>
      </c>
      <c r="N2656" t="inlineStr">
        <is>
          <t>2026-04-18</t>
        </is>
      </c>
      <c r="O2656" t="inlineStr">
        <is>
          <t>AI</t>
        </is>
      </c>
    </row>
    <row r="2657">
      <c r="A2657" t="inlineStr">
        <is>
          <t>PT Perusahaan Perkebunan London Sumatra Indonesia Tbk</t>
        </is>
      </c>
      <c r="B2657" t="inlineStr">
        <is>
          <t>LSIP_2022_AR.pdf</t>
        </is>
      </c>
      <c r="C2657" t="n">
        <v>2022</v>
      </c>
      <c r="D2657" t="inlineStr">
        <is>
          <t>Financial</t>
        </is>
      </c>
      <c r="E2657" t="inlineStr">
        <is>
          <t>Oil Palm Product Sales Share</t>
        </is>
      </c>
      <c r="F2657" t="n">
        <v>0.95</v>
      </c>
      <c r="G2657" t="inlineStr">
        <is>
          <t>%</t>
        </is>
      </c>
      <c r="H2657" t="n">
        <v>27</v>
      </c>
      <c r="I2657" t="inlineStr">
        <is>
          <t>Oil palm products contributed 95% of the Company's total consolidated sales</t>
        </is>
      </c>
      <c r="J2657" t="inlineStr">
        <is>
          <t>High</t>
        </is>
      </c>
      <c r="M2657" t="inlineStr">
        <is>
          <t>LLM</t>
        </is>
      </c>
      <c r="N2657" t="inlineStr">
        <is>
          <t>2026-04-18</t>
        </is>
      </c>
      <c r="O2657" t="inlineStr">
        <is>
          <t>AI</t>
        </is>
      </c>
    </row>
    <row r="2658">
      <c r="A2658" t="inlineStr">
        <is>
          <t>PT Perusahaan Perkebunan London Sumatra Indonesia Tbk</t>
        </is>
      </c>
      <c r="B2658" t="inlineStr">
        <is>
          <t>LSIP_2022_AR.pdf</t>
        </is>
      </c>
      <c r="C2658" t="n">
        <v>2022</v>
      </c>
      <c r="D2658" t="inlineStr">
        <is>
          <t>Financial</t>
        </is>
      </c>
      <c r="E2658" t="inlineStr">
        <is>
          <t>Related-Party Sales Share (to SIMP)</t>
        </is>
      </c>
      <c r="F2658" t="n">
        <v>0.61</v>
      </c>
      <c r="G2658" t="inlineStr">
        <is>
          <t>%</t>
        </is>
      </c>
      <c r="H2658" t="n">
        <v>27</v>
      </c>
      <c r="I2658" t="inlineStr">
        <is>
          <t>Sales to PT Salim Ivomas Pratama Tbk (SIMP), Lonsum's parent company, accounted around 61% of total Lonsum's sales</t>
        </is>
      </c>
      <c r="J2658" t="inlineStr">
        <is>
          <t>High</t>
        </is>
      </c>
      <c r="M2658" t="inlineStr">
        <is>
          <t>LLM</t>
        </is>
      </c>
      <c r="N2658" t="inlineStr">
        <is>
          <t>2026-04-18</t>
        </is>
      </c>
      <c r="O2658" t="inlineStr">
        <is>
          <t>AI</t>
        </is>
      </c>
    </row>
    <row r="2659">
      <c r="A2659" t="inlineStr">
        <is>
          <t>PT Perusahaan Perkebunan London Sumatra Indonesia Tbk</t>
        </is>
      </c>
      <c r="B2659" t="inlineStr">
        <is>
          <t>LSIP_2022_AR.pdf</t>
        </is>
      </c>
      <c r="C2659" t="n">
        <v>2022</v>
      </c>
      <c r="D2659" t="inlineStr">
        <is>
          <t>Financial</t>
        </is>
      </c>
      <c r="E2659" t="inlineStr">
        <is>
          <t>Cost of Goods Sold</t>
        </is>
      </c>
      <c r="F2659" t="n">
        <v>3094</v>
      </c>
      <c r="G2659" t="inlineStr">
        <is>
          <t>IDR bn</t>
        </is>
      </c>
      <c r="H2659" t="n">
        <v>119</v>
      </c>
      <c r="I2659" t="inlineStr">
        <is>
          <t>Beban pokok penjualan (3.093.904) 24,29 (2.716.108)</t>
        </is>
      </c>
      <c r="J2659" t="inlineStr">
        <is>
          <t>High</t>
        </is>
      </c>
      <c r="M2659" t="inlineStr">
        <is>
          <t>LLM</t>
        </is>
      </c>
      <c r="N2659" t="inlineStr">
        <is>
          <t>2026-04-18</t>
        </is>
      </c>
      <c r="O2659" t="inlineStr">
        <is>
          <t>AI</t>
        </is>
      </c>
    </row>
    <row r="2660">
      <c r="A2660" t="inlineStr">
        <is>
          <t>PT Perusahaan Perkebunan London Sumatra Indonesia Tbk</t>
        </is>
      </c>
      <c r="B2660" t="inlineStr">
        <is>
          <t>LSIP_2022_AR.pdf</t>
        </is>
      </c>
      <c r="C2660" t="n">
        <v>2022</v>
      </c>
      <c r="D2660" t="inlineStr">
        <is>
          <t>Financial</t>
        </is>
      </c>
      <c r="E2660" t="inlineStr">
        <is>
          <t>Gross Profit</t>
        </is>
      </c>
      <c r="F2660" t="n">
        <v>1491</v>
      </c>
      <c r="G2660" t="inlineStr">
        <is>
          <t>IDR bn</t>
        </is>
      </c>
      <c r="H2660" t="n">
        <v>4</v>
      </c>
      <c r="I2660" t="inlineStr">
        <is>
          <t>Gross Profit 1.491.444 1.809.365 1.097.733</t>
        </is>
      </c>
      <c r="J2660" t="inlineStr">
        <is>
          <t>High</t>
        </is>
      </c>
      <c r="M2660" t="inlineStr">
        <is>
          <t>LLM</t>
        </is>
      </c>
      <c r="N2660" t="inlineStr">
        <is>
          <t>2026-04-18</t>
        </is>
      </c>
      <c r="O2660" t="inlineStr">
        <is>
          <t>AI</t>
        </is>
      </c>
    </row>
    <row r="2661">
      <c r="A2661" t="inlineStr">
        <is>
          <t>PT Perusahaan Perkebunan London Sumatra Indonesia Tbk</t>
        </is>
      </c>
      <c r="B2661" t="inlineStr">
        <is>
          <t>LSIP_2022_AR.pdf</t>
        </is>
      </c>
      <c r="C2661" t="n">
        <v>2022</v>
      </c>
      <c r="D2661" t="inlineStr">
        <is>
          <t>Financial</t>
        </is>
      </c>
      <c r="E2661" t="inlineStr">
        <is>
          <t>Gross Profit Margin</t>
        </is>
      </c>
      <c r="F2661" t="n">
        <v>0.325</v>
      </c>
      <c r="G2661" t="inlineStr">
        <is>
          <t>%</t>
        </is>
      </c>
      <c r="H2661" t="n">
        <v>4</v>
      </c>
      <c r="I2661" t="inlineStr">
        <is>
          <t>Gross Profit Margin (%) 32,5 40,0 31,0</t>
        </is>
      </c>
      <c r="J2661" t="inlineStr">
        <is>
          <t>High</t>
        </is>
      </c>
      <c r="M2661" t="inlineStr">
        <is>
          <t>LLM</t>
        </is>
      </c>
      <c r="N2661" t="inlineStr">
        <is>
          <t>2026-04-18</t>
        </is>
      </c>
      <c r="O2661" t="inlineStr">
        <is>
          <t>AI</t>
        </is>
      </c>
    </row>
    <row r="2662">
      <c r="A2662" t="inlineStr">
        <is>
          <t>PT Perusahaan Perkebunan London Sumatra Indonesia Tbk</t>
        </is>
      </c>
      <c r="B2662" t="inlineStr">
        <is>
          <t>LSIP_2022_AR.pdf</t>
        </is>
      </c>
      <c r="C2662" t="n">
        <v>2022</v>
      </c>
      <c r="D2662" t="inlineStr">
        <is>
          <t>Financial</t>
        </is>
      </c>
      <c r="E2662" t="inlineStr">
        <is>
          <t>Operating Profit</t>
        </is>
      </c>
      <c r="F2662" t="n">
        <v>1206</v>
      </c>
      <c r="G2662" t="inlineStr">
        <is>
          <t>IDR bn</t>
        </is>
      </c>
      <c r="H2662" t="n">
        <v>4</v>
      </c>
      <c r="I2662" t="inlineStr">
        <is>
          <t>Operating Profit 1.205.856 1.192.706 842.609</t>
        </is>
      </c>
      <c r="J2662" t="inlineStr">
        <is>
          <t>High</t>
        </is>
      </c>
      <c r="M2662" t="inlineStr">
        <is>
          <t>LLM</t>
        </is>
      </c>
      <c r="N2662" t="inlineStr">
        <is>
          <t>2026-04-18</t>
        </is>
      </c>
      <c r="O2662" t="inlineStr">
        <is>
          <t>AI</t>
        </is>
      </c>
    </row>
    <row r="2663">
      <c r="A2663" t="inlineStr">
        <is>
          <t>PT Perusahaan Perkebunan London Sumatra Indonesia Tbk</t>
        </is>
      </c>
      <c r="B2663" t="inlineStr">
        <is>
          <t>LSIP_2022_AR.pdf</t>
        </is>
      </c>
      <c r="C2663" t="n">
        <v>2022</v>
      </c>
      <c r="D2663" t="inlineStr">
        <is>
          <t>Financial</t>
        </is>
      </c>
      <c r="E2663" t="inlineStr">
        <is>
          <t>Operating Profit Margin</t>
        </is>
      </c>
      <c r="F2663" t="n">
        <v>0.263</v>
      </c>
      <c r="G2663" t="inlineStr">
        <is>
          <t>%</t>
        </is>
      </c>
      <c r="H2663" t="n">
        <v>4</v>
      </c>
      <c r="I2663" t="inlineStr">
        <is>
          <t>Operating Profit Margin (%) 26,3 26,4 23,8</t>
        </is>
      </c>
      <c r="J2663" t="inlineStr">
        <is>
          <t>High</t>
        </is>
      </c>
      <c r="M2663" t="inlineStr">
        <is>
          <t>LLM</t>
        </is>
      </c>
      <c r="N2663" t="inlineStr">
        <is>
          <t>2026-04-18</t>
        </is>
      </c>
      <c r="O2663" t="inlineStr">
        <is>
          <t>AI</t>
        </is>
      </c>
    </row>
    <row r="2664">
      <c r="A2664" t="inlineStr">
        <is>
          <t>PT Perusahaan Perkebunan London Sumatra Indonesia Tbk</t>
        </is>
      </c>
      <c r="B2664" t="inlineStr">
        <is>
          <t>LSIP_2022_AR.pdf</t>
        </is>
      </c>
      <c r="C2664" t="n">
        <v>2022</v>
      </c>
      <c r="D2664" t="inlineStr">
        <is>
          <t>Financial</t>
        </is>
      </c>
      <c r="E2664" t="inlineStr">
        <is>
          <t>EBITDA</t>
        </is>
      </c>
      <c r="F2664" t="n">
        <v>1747</v>
      </c>
      <c r="G2664" t="inlineStr">
        <is>
          <t>IDR bn</t>
        </is>
      </c>
      <c r="H2664" t="n">
        <v>4</v>
      </c>
      <c r="I2664" t="inlineStr">
        <is>
          <t>EBITDA1 1.747.298 1.949.617 1.254.681</t>
        </is>
      </c>
      <c r="J2664" t="inlineStr">
        <is>
          <t>High</t>
        </is>
      </c>
      <c r="M2664" t="inlineStr">
        <is>
          <t>LLM</t>
        </is>
      </c>
      <c r="N2664" t="inlineStr">
        <is>
          <t>2026-04-18</t>
        </is>
      </c>
      <c r="O2664" t="inlineStr">
        <is>
          <t>AI</t>
        </is>
      </c>
    </row>
    <row r="2665">
      <c r="A2665" t="inlineStr">
        <is>
          <t>PT Perusahaan Perkebunan London Sumatra Indonesia Tbk</t>
        </is>
      </c>
      <c r="B2665" t="inlineStr">
        <is>
          <t>LSIP_2022_AR.pdf</t>
        </is>
      </c>
      <c r="C2665" t="n">
        <v>2022</v>
      </c>
      <c r="D2665" t="inlineStr">
        <is>
          <t>Financial</t>
        </is>
      </c>
      <c r="E2665" t="inlineStr">
        <is>
          <t>EBITDA Margin</t>
        </is>
      </c>
      <c r="F2665" t="n">
        <v>0.381</v>
      </c>
      <c r="G2665" t="inlineStr">
        <is>
          <t>%</t>
        </is>
      </c>
      <c r="H2665" t="n">
        <v>4</v>
      </c>
      <c r="I2665" t="inlineStr">
        <is>
          <t>EBITDA Margin (%) 38,1 43,1 35,5</t>
        </is>
      </c>
      <c r="J2665" t="inlineStr">
        <is>
          <t>High</t>
        </is>
      </c>
      <c r="M2665" t="inlineStr">
        <is>
          <t>LLM</t>
        </is>
      </c>
      <c r="N2665" t="inlineStr">
        <is>
          <t>2026-04-18</t>
        </is>
      </c>
      <c r="O2665" t="inlineStr">
        <is>
          <t>AI</t>
        </is>
      </c>
    </row>
    <row r="2666">
      <c r="A2666" t="inlineStr">
        <is>
          <t>PT Perusahaan Perkebunan London Sumatra Indonesia Tbk</t>
        </is>
      </c>
      <c r="B2666" t="inlineStr">
        <is>
          <t>LSIP_2022_AR.pdf</t>
        </is>
      </c>
      <c r="C2666" t="n">
        <v>2022</v>
      </c>
      <c r="D2666" t="inlineStr">
        <is>
          <t>Financial</t>
        </is>
      </c>
      <c r="E2666" t="inlineStr">
        <is>
          <t>Loss from FV Changes Biological Assets</t>
        </is>
      </c>
      <c r="F2666" t="n">
        <v>-51</v>
      </c>
      <c r="G2666" t="inlineStr">
        <is>
          <t>IDR bn</t>
        </is>
      </c>
      <c r="H2666" t="n">
        <v>119</v>
      </c>
      <c r="I2666" t="inlineStr">
        <is>
          <t>(Rugi)/laba atas perubahan nilai wajar aset biologis (50.585) 8 49.576</t>
        </is>
      </c>
      <c r="J2666" t="inlineStr">
        <is>
          <t>High</t>
        </is>
      </c>
      <c r="M2666" t="inlineStr">
        <is>
          <t>LLM</t>
        </is>
      </c>
      <c r="N2666" t="inlineStr">
        <is>
          <t>2026-04-18</t>
        </is>
      </c>
      <c r="O2666" t="inlineStr">
        <is>
          <t>AI</t>
        </is>
      </c>
    </row>
    <row r="2667">
      <c r="A2667" t="inlineStr">
        <is>
          <t>PT Perusahaan Perkebunan London Sumatra Indonesia Tbk</t>
        </is>
      </c>
      <c r="B2667" t="inlineStr">
        <is>
          <t>LSIP_2022_AR.pdf</t>
        </is>
      </c>
      <c r="C2667" t="n">
        <v>2022</v>
      </c>
      <c r="D2667" t="inlineStr">
        <is>
          <t>Financial</t>
        </is>
      </c>
      <c r="E2667" t="inlineStr">
        <is>
          <t>Finance Income</t>
        </is>
      </c>
      <c r="F2667" t="n">
        <v>80</v>
      </c>
      <c r="G2667" t="inlineStr">
        <is>
          <t>IDR bn</t>
        </is>
      </c>
      <c r="H2667" t="n">
        <v>119</v>
      </c>
      <c r="I2667" t="inlineStr">
        <is>
          <t>Penghasilan keuangan 80.350 26,29 59.234</t>
        </is>
      </c>
      <c r="J2667" t="inlineStr">
        <is>
          <t>High</t>
        </is>
      </c>
      <c r="M2667" t="inlineStr">
        <is>
          <t>LLM</t>
        </is>
      </c>
      <c r="N2667" t="inlineStr">
        <is>
          <t>2026-04-18</t>
        </is>
      </c>
      <c r="O2667" t="inlineStr">
        <is>
          <t>AI</t>
        </is>
      </c>
    </row>
    <row r="2668">
      <c r="A2668" t="inlineStr">
        <is>
          <t>PT Perusahaan Perkebunan London Sumatra Indonesia Tbk</t>
        </is>
      </c>
      <c r="B2668" t="inlineStr">
        <is>
          <t>LSIP_2022_AR.pdf</t>
        </is>
      </c>
      <c r="C2668" t="n">
        <v>2022</v>
      </c>
      <c r="D2668" t="inlineStr">
        <is>
          <t>Financial</t>
        </is>
      </c>
      <c r="E2668" t="inlineStr">
        <is>
          <t>Finance Cost</t>
        </is>
      </c>
      <c r="F2668" t="n">
        <v>1</v>
      </c>
      <c r="G2668" t="inlineStr">
        <is>
          <t>IDR bn</t>
        </is>
      </c>
      <c r="H2668" t="n">
        <v>119</v>
      </c>
      <c r="I2668" t="inlineStr">
        <is>
          <t>Beban keuangan (676) 26 (441)</t>
        </is>
      </c>
      <c r="J2668" t="inlineStr">
        <is>
          <t>High</t>
        </is>
      </c>
      <c r="M2668" t="inlineStr">
        <is>
          <t>LLM</t>
        </is>
      </c>
      <c r="N2668" t="inlineStr">
        <is>
          <t>2026-04-18</t>
        </is>
      </c>
      <c r="O2668" t="inlineStr">
        <is>
          <t>AI</t>
        </is>
      </c>
    </row>
    <row r="2669">
      <c r="A2669" t="inlineStr">
        <is>
          <t>PT Perusahaan Perkebunan London Sumatra Indonesia Tbk</t>
        </is>
      </c>
      <c r="B2669" t="inlineStr">
        <is>
          <t>LSIP_2022_AR.pdf</t>
        </is>
      </c>
      <c r="C2669" t="n">
        <v>2022</v>
      </c>
      <c r="D2669" t="inlineStr">
        <is>
          <t>Financial</t>
        </is>
      </c>
      <c r="E2669" t="inlineStr">
        <is>
          <t>Profit Before Income Tax</t>
        </is>
      </c>
      <c r="F2669" t="n">
        <v>1284</v>
      </c>
      <c r="G2669" t="inlineStr">
        <is>
          <t>IDR bn</t>
        </is>
      </c>
      <c r="H2669" t="n">
        <v>119</v>
      </c>
      <c r="I2669" t="inlineStr">
        <is>
          <t>Laba sebelum pajak penghasilan 1.283.525 1.248.382</t>
        </is>
      </c>
      <c r="J2669" t="inlineStr">
        <is>
          <t>High</t>
        </is>
      </c>
      <c r="M2669" t="inlineStr">
        <is>
          <t>LLM</t>
        </is>
      </c>
      <c r="N2669" t="inlineStr">
        <is>
          <t>2026-04-18</t>
        </is>
      </c>
      <c r="O2669" t="inlineStr">
        <is>
          <t>AI</t>
        </is>
      </c>
    </row>
    <row r="2670">
      <c r="A2670" t="inlineStr">
        <is>
          <t>PT Perusahaan Perkebunan London Sumatra Indonesia Tbk</t>
        </is>
      </c>
      <c r="B2670" t="inlineStr">
        <is>
          <t>LSIP_2022_AR.pdf</t>
        </is>
      </c>
      <c r="C2670" t="n">
        <v>2022</v>
      </c>
      <c r="D2670" t="inlineStr">
        <is>
          <t>Financial</t>
        </is>
      </c>
      <c r="E2670" t="inlineStr">
        <is>
          <t>Income Tax Expense</t>
        </is>
      </c>
      <c r="F2670" t="n">
        <v>248</v>
      </c>
      <c r="G2670" t="inlineStr">
        <is>
          <t>IDR bn</t>
        </is>
      </c>
      <c r="H2670" t="n">
        <v>119</v>
      </c>
      <c r="I2670" t="inlineStr">
        <is>
          <t>Beban pajak penghasilan (248.240) 20 (256.752)</t>
        </is>
      </c>
      <c r="J2670" t="inlineStr">
        <is>
          <t>High</t>
        </is>
      </c>
      <c r="M2670" t="inlineStr">
        <is>
          <t>LLM</t>
        </is>
      </c>
      <c r="N2670" t="inlineStr">
        <is>
          <t>2026-04-18</t>
        </is>
      </c>
      <c r="O2670" t="inlineStr">
        <is>
          <t>AI</t>
        </is>
      </c>
    </row>
    <row r="2671">
      <c r="A2671" t="inlineStr">
        <is>
          <t>PT Perusahaan Perkebunan London Sumatra Indonesia Tbk</t>
        </is>
      </c>
      <c r="B2671" t="inlineStr">
        <is>
          <t>LSIP_2022_AR.pdf</t>
        </is>
      </c>
      <c r="C2671" t="n">
        <v>2022</v>
      </c>
      <c r="D2671" t="inlineStr">
        <is>
          <t>Financial</t>
        </is>
      </c>
      <c r="E2671" t="inlineStr">
        <is>
          <t>Net Profit</t>
        </is>
      </c>
      <c r="F2671" t="n">
        <v>1035</v>
      </c>
      <c r="G2671" t="inlineStr">
        <is>
          <t>IDR bn</t>
        </is>
      </c>
      <c r="H2671" t="n">
        <v>4</v>
      </c>
      <c r="I2671" t="inlineStr">
        <is>
          <t>Profit for the Year 1.035.285 991.630 716.152</t>
        </is>
      </c>
      <c r="J2671" t="inlineStr">
        <is>
          <t>High</t>
        </is>
      </c>
      <c r="M2671" t="inlineStr">
        <is>
          <t>LLM</t>
        </is>
      </c>
      <c r="N2671" t="inlineStr">
        <is>
          <t>2026-04-18</t>
        </is>
      </c>
      <c r="O2671" t="inlineStr">
        <is>
          <t>AI</t>
        </is>
      </c>
    </row>
    <row r="2672">
      <c r="A2672" t="inlineStr">
        <is>
          <t>PT Perusahaan Perkebunan London Sumatra Indonesia Tbk</t>
        </is>
      </c>
      <c r="B2672" t="inlineStr">
        <is>
          <t>LSIP_2022_AR.pdf</t>
        </is>
      </c>
      <c r="C2672" t="n">
        <v>2022</v>
      </c>
      <c r="D2672" t="inlineStr">
        <is>
          <t>Financial</t>
        </is>
      </c>
      <c r="E2672" t="inlineStr">
        <is>
          <t>Profit Attributable to Parent</t>
        </is>
      </c>
      <c r="F2672" t="n">
        <v>1036</v>
      </c>
      <c r="G2672" t="inlineStr">
        <is>
          <t>IDR bn</t>
        </is>
      </c>
      <c r="H2672" t="n">
        <v>4</v>
      </c>
      <c r="I2672" t="inlineStr">
        <is>
          <t>Profit for the Year Attributable to Owners 1.036.448 992.423 716.672</t>
        </is>
      </c>
      <c r="J2672" t="inlineStr">
        <is>
          <t>High</t>
        </is>
      </c>
      <c r="M2672" t="inlineStr">
        <is>
          <t>LLM</t>
        </is>
      </c>
      <c r="N2672" t="inlineStr">
        <is>
          <t>2026-04-18</t>
        </is>
      </c>
      <c r="O2672" t="inlineStr">
        <is>
          <t>AI</t>
        </is>
      </c>
    </row>
    <row r="2673">
      <c r="A2673" t="inlineStr">
        <is>
          <t>PT Perusahaan Perkebunan London Sumatra Indonesia Tbk</t>
        </is>
      </c>
      <c r="B2673" t="inlineStr">
        <is>
          <t>LSIP_2022_AR.pdf</t>
        </is>
      </c>
      <c r="C2673" t="n">
        <v>2022</v>
      </c>
      <c r="D2673" t="inlineStr">
        <is>
          <t>Financial</t>
        </is>
      </c>
      <c r="E2673" t="inlineStr">
        <is>
          <t>Total Assets</t>
        </is>
      </c>
      <c r="F2673" t="n">
        <v>12417</v>
      </c>
      <c r="G2673" t="inlineStr">
        <is>
          <t>IDR bn</t>
        </is>
      </c>
      <c r="H2673" t="n">
        <v>4</v>
      </c>
      <c r="I2673" t="inlineStr">
        <is>
          <t>Total Assets 12.417.013 11.851.269 10.922.788</t>
        </is>
      </c>
      <c r="J2673" t="inlineStr">
        <is>
          <t>High</t>
        </is>
      </c>
      <c r="M2673" t="inlineStr">
        <is>
          <t>LLM</t>
        </is>
      </c>
      <c r="N2673" t="inlineStr">
        <is>
          <t>2026-04-18</t>
        </is>
      </c>
      <c r="O2673" t="inlineStr">
        <is>
          <t>AI</t>
        </is>
      </c>
    </row>
    <row r="2674">
      <c r="A2674" t="inlineStr">
        <is>
          <t>PT Perusahaan Perkebunan London Sumatra Indonesia Tbk</t>
        </is>
      </c>
      <c r="B2674" t="inlineStr">
        <is>
          <t>LSIP_2022_AR.pdf</t>
        </is>
      </c>
      <c r="C2674" t="n">
        <v>2022</v>
      </c>
      <c r="D2674" t="inlineStr">
        <is>
          <t>Financial</t>
        </is>
      </c>
      <c r="E2674" t="inlineStr">
        <is>
          <t>Current Assets</t>
        </is>
      </c>
      <c r="F2674" t="n">
        <v>5107</v>
      </c>
      <c r="G2674" t="inlineStr">
        <is>
          <t>IDR bn</t>
        </is>
      </c>
      <c r="H2674" t="n">
        <v>4</v>
      </c>
      <c r="I2674" t="inlineStr">
        <is>
          <t>Current Assets 5.107.489 4.307.772 2.920.275</t>
        </is>
      </c>
      <c r="J2674" t="inlineStr">
        <is>
          <t>High</t>
        </is>
      </c>
      <c r="M2674" t="inlineStr">
        <is>
          <t>LLM</t>
        </is>
      </c>
      <c r="N2674" t="inlineStr">
        <is>
          <t>2026-04-18</t>
        </is>
      </c>
      <c r="O2674" t="inlineStr">
        <is>
          <t>AI</t>
        </is>
      </c>
    </row>
    <row r="2675">
      <c r="A2675" t="inlineStr">
        <is>
          <t>PT Perusahaan Perkebunan London Sumatra Indonesia Tbk</t>
        </is>
      </c>
      <c r="B2675" t="inlineStr">
        <is>
          <t>LSIP_2022_AR.pdf</t>
        </is>
      </c>
      <c r="C2675" t="n">
        <v>2022</v>
      </c>
      <c r="D2675" t="inlineStr">
        <is>
          <t>Financial</t>
        </is>
      </c>
      <c r="E2675" t="inlineStr">
        <is>
          <t>Non-Current Assets</t>
        </is>
      </c>
      <c r="F2675" t="n">
        <v>7310</v>
      </c>
      <c r="G2675" t="inlineStr">
        <is>
          <t>IDR bn</t>
        </is>
      </c>
      <c r="H2675" t="n">
        <v>117</v>
      </c>
      <c r="I2675" t="inlineStr">
        <is>
          <t>Total Aset Tidak Lancar 7.309.524 7.543.497 8.002.513</t>
        </is>
      </c>
      <c r="J2675" t="inlineStr">
        <is>
          <t>High</t>
        </is>
      </c>
      <c r="M2675" t="inlineStr">
        <is>
          <t>LLM</t>
        </is>
      </c>
      <c r="N2675" t="inlineStr">
        <is>
          <t>2026-04-18</t>
        </is>
      </c>
      <c r="O2675" t="inlineStr">
        <is>
          <t>AI</t>
        </is>
      </c>
    </row>
    <row r="2676">
      <c r="A2676" t="inlineStr">
        <is>
          <t>PT Perusahaan Perkebunan London Sumatra Indonesia Tbk</t>
        </is>
      </c>
      <c r="B2676" t="inlineStr">
        <is>
          <t>LSIP_2022_AR.pdf</t>
        </is>
      </c>
      <c r="C2676" t="n">
        <v>2022</v>
      </c>
      <c r="D2676" t="inlineStr">
        <is>
          <t>Financial</t>
        </is>
      </c>
      <c r="E2676" t="inlineStr">
        <is>
          <t>Cash and Cash Equivalents</t>
        </is>
      </c>
      <c r="F2676" t="n">
        <v>3847</v>
      </c>
      <c r="G2676" t="inlineStr">
        <is>
          <t>IDR bn</t>
        </is>
      </c>
      <c r="H2676" t="n">
        <v>122</v>
      </c>
      <c r="I2676" t="inlineStr">
        <is>
          <t>Kas dan Setara Kas Akhir Tahun 3.847.390 3.367.867</t>
        </is>
      </c>
      <c r="J2676" t="inlineStr">
        <is>
          <t>High</t>
        </is>
      </c>
      <c r="M2676" t="inlineStr">
        <is>
          <t>LLM</t>
        </is>
      </c>
      <c r="N2676" t="inlineStr">
        <is>
          <t>2026-04-18</t>
        </is>
      </c>
      <c r="O2676" t="inlineStr">
        <is>
          <t>AI</t>
        </is>
      </c>
    </row>
    <row r="2677">
      <c r="A2677" t="inlineStr">
        <is>
          <t>PT Perusahaan Perkebunan London Sumatra Indonesia Tbk</t>
        </is>
      </c>
      <c r="B2677" t="inlineStr">
        <is>
          <t>LSIP_2022_AR.pdf</t>
        </is>
      </c>
      <c r="C2677" t="n">
        <v>2022</v>
      </c>
      <c r="D2677" t="inlineStr">
        <is>
          <t>Financial</t>
        </is>
      </c>
      <c r="E2677" t="inlineStr">
        <is>
          <t>Inventories</t>
        </is>
      </c>
      <c r="F2677" t="n">
        <v>653</v>
      </c>
      <c r="G2677" t="inlineStr">
        <is>
          <t>IDR bn</t>
        </is>
      </c>
      <c r="H2677" t="n">
        <v>117</v>
      </c>
      <c r="I2677" t="inlineStr">
        <is>
          <t>Persediaan 3,7 652.810 367.649 364.228</t>
        </is>
      </c>
      <c r="J2677" t="inlineStr">
        <is>
          <t>High</t>
        </is>
      </c>
      <c r="M2677" t="inlineStr">
        <is>
          <t>LLM</t>
        </is>
      </c>
      <c r="N2677" t="inlineStr">
        <is>
          <t>2026-04-18</t>
        </is>
      </c>
      <c r="O2677" t="inlineStr">
        <is>
          <t>AI</t>
        </is>
      </c>
    </row>
    <row r="2678">
      <c r="A2678" t="inlineStr">
        <is>
          <t>PT Perusahaan Perkebunan London Sumatra Indonesia Tbk</t>
        </is>
      </c>
      <c r="B2678" t="inlineStr">
        <is>
          <t>LSIP_2022_AR.pdf</t>
        </is>
      </c>
      <c r="C2678" t="n">
        <v>2022</v>
      </c>
      <c r="D2678" t="inlineStr">
        <is>
          <t>Financial</t>
        </is>
      </c>
      <c r="E2678" t="inlineStr">
        <is>
          <t>Biological Assets (Current)</t>
        </is>
      </c>
      <c r="F2678" t="n">
        <v>162</v>
      </c>
      <c r="G2678" t="inlineStr">
        <is>
          <t>IDR bn</t>
        </is>
      </c>
      <c r="H2678" t="n">
        <v>117</v>
      </c>
      <c r="I2678" t="inlineStr">
        <is>
          <t>Aset biologis 8 161.766 212.351 162.775</t>
        </is>
      </c>
      <c r="J2678" t="inlineStr">
        <is>
          <t>High</t>
        </is>
      </c>
      <c r="M2678" t="inlineStr">
        <is>
          <t>LLM</t>
        </is>
      </c>
      <c r="N2678" t="inlineStr">
        <is>
          <t>2026-04-18</t>
        </is>
      </c>
      <c r="O2678" t="inlineStr">
        <is>
          <t>AI</t>
        </is>
      </c>
    </row>
    <row r="2679">
      <c r="A2679" t="inlineStr">
        <is>
          <t>PT Perusahaan Perkebunan London Sumatra Indonesia Tbk</t>
        </is>
      </c>
      <c r="B2679" t="inlineStr">
        <is>
          <t>LSIP_2022_AR.pdf</t>
        </is>
      </c>
      <c r="C2679" t="n">
        <v>2022</v>
      </c>
      <c r="D2679" t="inlineStr">
        <is>
          <t>Financial</t>
        </is>
      </c>
      <c r="E2679" t="inlineStr">
        <is>
          <t>Investment in Associates</t>
        </is>
      </c>
      <c r="F2679" t="n">
        <v>1262</v>
      </c>
      <c r="G2679" t="inlineStr">
        <is>
          <t>IDR bn</t>
        </is>
      </c>
      <c r="H2679" t="n">
        <v>117</v>
      </c>
      <c r="I2679" t="inlineStr">
        <is>
          <t>Investasi pada entitas asosiasi 12 1.262.334 1.264.339</t>
        </is>
      </c>
      <c r="J2679" t="inlineStr">
        <is>
          <t>High</t>
        </is>
      </c>
      <c r="M2679" t="inlineStr">
        <is>
          <t>LLM</t>
        </is>
      </c>
      <c r="N2679" t="inlineStr">
        <is>
          <t>2026-04-18</t>
        </is>
      </c>
      <c r="O2679" t="inlineStr">
        <is>
          <t>AI</t>
        </is>
      </c>
    </row>
    <row r="2680">
      <c r="A2680" t="inlineStr">
        <is>
          <t>PT Perusahaan Perkebunan London Sumatra Indonesia Tbk</t>
        </is>
      </c>
      <c r="B2680" t="inlineStr">
        <is>
          <t>LSIP_2022_AR.pdf</t>
        </is>
      </c>
      <c r="C2680" t="n">
        <v>2022</v>
      </c>
      <c r="D2680" t="inlineStr">
        <is>
          <t>Financial</t>
        </is>
      </c>
      <c r="E2680" t="inlineStr">
        <is>
          <t>Fixed Assets</t>
        </is>
      </c>
      <c r="F2680" t="n">
        <v>5666</v>
      </c>
      <c r="G2680" t="inlineStr">
        <is>
          <t>IDR bn</t>
        </is>
      </c>
      <c r="H2680" t="n">
        <v>117</v>
      </c>
      <c r="I2680" t="inlineStr">
        <is>
          <t>Aset tetap 3,15 5.665.815 5.826.682 6.313.300</t>
        </is>
      </c>
      <c r="J2680" t="inlineStr">
        <is>
          <t>High</t>
        </is>
      </c>
      <c r="M2680" t="inlineStr">
        <is>
          <t>LLM</t>
        </is>
      </c>
      <c r="N2680" t="inlineStr">
        <is>
          <t>2026-04-18</t>
        </is>
      </c>
      <c r="O2680" t="inlineStr">
        <is>
          <t>AI</t>
        </is>
      </c>
    </row>
    <row r="2681">
      <c r="A2681" t="inlineStr">
        <is>
          <t>PT Perusahaan Perkebunan London Sumatra Indonesia Tbk</t>
        </is>
      </c>
      <c r="B2681" t="inlineStr">
        <is>
          <t>LSIP_2022_AR.pdf</t>
        </is>
      </c>
      <c r="C2681" t="n">
        <v>2022</v>
      </c>
      <c r="D2681" t="inlineStr">
        <is>
          <t>Financial</t>
        </is>
      </c>
      <c r="E2681" t="inlineStr">
        <is>
          <t>Total Liabilities</t>
        </is>
      </c>
      <c r="F2681" t="n">
        <v>1481</v>
      </c>
      <c r="G2681" t="inlineStr">
        <is>
          <t>IDR bn</t>
        </is>
      </c>
      <c r="H2681" t="n">
        <v>4</v>
      </c>
      <c r="I2681" t="inlineStr">
        <is>
          <t>Total Liabilities 1.481.306 1.659.873 1.615.795</t>
        </is>
      </c>
      <c r="J2681" t="inlineStr">
        <is>
          <t>High</t>
        </is>
      </c>
      <c r="M2681" t="inlineStr">
        <is>
          <t>LLM</t>
        </is>
      </c>
      <c r="N2681" t="inlineStr">
        <is>
          <t>2026-04-18</t>
        </is>
      </c>
      <c r="O2681" t="inlineStr">
        <is>
          <t>AI</t>
        </is>
      </c>
    </row>
    <row r="2682">
      <c r="A2682" t="inlineStr">
        <is>
          <t>PT Perusahaan Perkebunan London Sumatra Indonesia Tbk</t>
        </is>
      </c>
      <c r="B2682" t="inlineStr">
        <is>
          <t>LSIP_2022_AR.pdf</t>
        </is>
      </c>
      <c r="C2682" t="n">
        <v>2022</v>
      </c>
      <c r="D2682" t="inlineStr">
        <is>
          <t>Financial</t>
        </is>
      </c>
      <c r="E2682" t="inlineStr">
        <is>
          <t>Current Liabilities</t>
        </is>
      </c>
      <c r="F2682" t="n">
        <v>710</v>
      </c>
      <c r="G2682" t="inlineStr">
        <is>
          <t>IDR bn</t>
        </is>
      </c>
      <c r="H2682" t="n">
        <v>4</v>
      </c>
      <c r="I2682" t="inlineStr">
        <is>
          <t>Current Liabilities 709.627 696.556 597.005</t>
        </is>
      </c>
      <c r="J2682" t="inlineStr">
        <is>
          <t>High</t>
        </is>
      </c>
      <c r="M2682" t="inlineStr">
        <is>
          <t>LLM</t>
        </is>
      </c>
      <c r="N2682" t="inlineStr">
        <is>
          <t>2026-04-18</t>
        </is>
      </c>
      <c r="O2682" t="inlineStr">
        <is>
          <t>AI</t>
        </is>
      </c>
    </row>
    <row r="2683">
      <c r="A2683" t="inlineStr">
        <is>
          <t>PT Perusahaan Perkebunan London Sumatra Indonesia Tbk</t>
        </is>
      </c>
      <c r="B2683" t="inlineStr">
        <is>
          <t>LSIP_2022_AR.pdf</t>
        </is>
      </c>
      <c r="C2683" t="n">
        <v>2022</v>
      </c>
      <c r="D2683" t="inlineStr">
        <is>
          <t>Financial</t>
        </is>
      </c>
      <c r="E2683" t="inlineStr">
        <is>
          <t>Non-Current Liabilities</t>
        </is>
      </c>
      <c r="F2683" t="n">
        <v>772</v>
      </c>
      <c r="G2683" t="inlineStr">
        <is>
          <t>IDR bn</t>
        </is>
      </c>
      <c r="H2683" t="n">
        <v>118</v>
      </c>
      <c r="I2683" t="inlineStr">
        <is>
          <t>Total Liabilitas Jangka Panjang 771.679 963.317 1.018.790</t>
        </is>
      </c>
      <c r="J2683" t="inlineStr">
        <is>
          <t>High</t>
        </is>
      </c>
      <c r="M2683" t="inlineStr">
        <is>
          <t>LLM</t>
        </is>
      </c>
      <c r="N2683" t="inlineStr">
        <is>
          <t>2026-04-18</t>
        </is>
      </c>
      <c r="O2683" t="inlineStr">
        <is>
          <t>AI</t>
        </is>
      </c>
    </row>
    <row r="2684">
      <c r="A2684" t="inlineStr">
        <is>
          <t>PT Perusahaan Perkebunan London Sumatra Indonesia Tbk</t>
        </is>
      </c>
      <c r="B2684" t="inlineStr">
        <is>
          <t>LSIP_2022_AR.pdf</t>
        </is>
      </c>
      <c r="C2684" t="n">
        <v>2022</v>
      </c>
      <c r="D2684" t="inlineStr">
        <is>
          <t>Financial</t>
        </is>
      </c>
      <c r="E2684" t="inlineStr">
        <is>
          <t>Funded Debt</t>
        </is>
      </c>
      <c r="F2684" t="n">
        <v>0</v>
      </c>
      <c r="G2684" t="inlineStr">
        <is>
          <t>IDR bn</t>
        </is>
      </c>
      <c r="H2684" t="n">
        <v>4</v>
      </c>
      <c r="I2684" t="inlineStr">
        <is>
          <t>Funded Debt - - - - -</t>
        </is>
      </c>
      <c r="J2684" t="inlineStr">
        <is>
          <t>High</t>
        </is>
      </c>
      <c r="M2684" t="inlineStr">
        <is>
          <t>LLM</t>
        </is>
      </c>
      <c r="N2684" t="inlineStr">
        <is>
          <t>2026-04-18</t>
        </is>
      </c>
      <c r="O2684" t="inlineStr">
        <is>
          <t>AI</t>
        </is>
      </c>
    </row>
    <row r="2685">
      <c r="A2685" t="inlineStr">
        <is>
          <t>PT Perusahaan Perkebunan London Sumatra Indonesia Tbk</t>
        </is>
      </c>
      <c r="B2685" t="inlineStr">
        <is>
          <t>LSIP_2022_AR.pdf</t>
        </is>
      </c>
      <c r="C2685" t="n">
        <v>2022</v>
      </c>
      <c r="D2685" t="inlineStr">
        <is>
          <t>Financial</t>
        </is>
      </c>
      <c r="E2685" t="inlineStr">
        <is>
          <t>Employee Benefits Liability LT</t>
        </is>
      </c>
      <c r="F2685" t="n">
        <v>655</v>
      </c>
      <c r="G2685" t="inlineStr">
        <is>
          <t>IDR bn</t>
        </is>
      </c>
      <c r="H2685" t="n">
        <v>118</v>
      </c>
      <c r="I2685" t="inlineStr">
        <is>
          <t>Liabilitas imbalan kerja 3,21 654.770 876.901 898.951</t>
        </is>
      </c>
      <c r="J2685" t="inlineStr">
        <is>
          <t>High</t>
        </is>
      </c>
      <c r="M2685" t="inlineStr">
        <is>
          <t>LLM</t>
        </is>
      </c>
      <c r="N2685" t="inlineStr">
        <is>
          <t>2026-04-18</t>
        </is>
      </c>
      <c r="O2685" t="inlineStr">
        <is>
          <t>AI</t>
        </is>
      </c>
    </row>
    <row r="2686">
      <c r="A2686" t="inlineStr">
        <is>
          <t>PT Perusahaan Perkebunan London Sumatra Indonesia Tbk</t>
        </is>
      </c>
      <c r="B2686" t="inlineStr">
        <is>
          <t>LSIP_2022_AR.pdf</t>
        </is>
      </c>
      <c r="C2686" t="n">
        <v>2022</v>
      </c>
      <c r="D2686" t="inlineStr">
        <is>
          <t>Financial</t>
        </is>
      </c>
      <c r="E2686" t="inlineStr">
        <is>
          <t>Total Equity</t>
        </is>
      </c>
      <c r="F2686" t="n">
        <v>10936</v>
      </c>
      <c r="G2686" t="inlineStr">
        <is>
          <t>IDR bn</t>
        </is>
      </c>
      <c r="H2686" t="n">
        <v>4</v>
      </c>
      <c r="I2686" t="inlineStr">
        <is>
          <t>Total Equity3 10.935.707 10.191.396 9.306.993</t>
        </is>
      </c>
      <c r="J2686" t="inlineStr">
        <is>
          <t>High</t>
        </is>
      </c>
      <c r="M2686" t="inlineStr">
        <is>
          <t>LLM</t>
        </is>
      </c>
      <c r="N2686" t="inlineStr">
        <is>
          <t>2026-04-18</t>
        </is>
      </c>
      <c r="O2686" t="inlineStr">
        <is>
          <t>AI</t>
        </is>
      </c>
    </row>
    <row r="2687">
      <c r="A2687" t="inlineStr">
        <is>
          <t>PT Perusahaan Perkebunan London Sumatra Indonesia Tbk</t>
        </is>
      </c>
      <c r="B2687" t="inlineStr">
        <is>
          <t>LSIP_2022_AR.pdf</t>
        </is>
      </c>
      <c r="C2687" t="n">
        <v>2022</v>
      </c>
      <c r="D2687" t="inlineStr">
        <is>
          <t>Financial</t>
        </is>
      </c>
      <c r="E2687" t="inlineStr">
        <is>
          <t>CFO</t>
        </is>
      </c>
      <c r="F2687" t="n">
        <v>1087</v>
      </c>
      <c r="G2687" t="inlineStr">
        <is>
          <t>IDR bn</t>
        </is>
      </c>
      <c r="H2687" t="n">
        <v>122</v>
      </c>
      <c r="I2687" t="inlineStr">
        <is>
          <t>Kas Neto yang Diperoleh dari Aktivitas Operasi 1.087.265 1.878.851</t>
        </is>
      </c>
      <c r="J2687" t="inlineStr">
        <is>
          <t>High</t>
        </is>
      </c>
      <c r="M2687" t="inlineStr">
        <is>
          <t>LLM</t>
        </is>
      </c>
      <c r="N2687" t="inlineStr">
        <is>
          <t>2026-04-18</t>
        </is>
      </c>
      <c r="O2687" t="inlineStr">
        <is>
          <t>AI</t>
        </is>
      </c>
    </row>
    <row r="2688">
      <c r="A2688" t="inlineStr">
        <is>
          <t>PT Perusahaan Perkebunan London Sumatra Indonesia Tbk</t>
        </is>
      </c>
      <c r="B2688" t="inlineStr">
        <is>
          <t>LSIP_2022_AR.pdf</t>
        </is>
      </c>
      <c r="C2688" t="n">
        <v>2022</v>
      </c>
      <c r="D2688" t="inlineStr">
        <is>
          <t>Financial</t>
        </is>
      </c>
      <c r="E2688" t="inlineStr">
        <is>
          <t>CFI</t>
        </is>
      </c>
      <c r="F2688" t="n">
        <v>-334</v>
      </c>
      <c r="G2688" t="inlineStr">
        <is>
          <t>IDR bn</t>
        </is>
      </c>
      <c r="H2688" t="n">
        <v>122</v>
      </c>
      <c r="I2688" t="inlineStr">
        <is>
          <t>Kas Neto yang Digunakan untuk Aktivitas Investasi (333.858) (334.804)</t>
        </is>
      </c>
      <c r="J2688" t="inlineStr">
        <is>
          <t>High</t>
        </is>
      </c>
      <c r="M2688" t="inlineStr">
        <is>
          <t>LLM</t>
        </is>
      </c>
      <c r="N2688" t="inlineStr">
        <is>
          <t>2026-04-18</t>
        </is>
      </c>
      <c r="O2688" t="inlineStr">
        <is>
          <t>AI</t>
        </is>
      </c>
    </row>
    <row r="2689">
      <c r="A2689" t="inlineStr">
        <is>
          <t>PT Perusahaan Perkebunan London Sumatra Indonesia Tbk</t>
        </is>
      </c>
      <c r="B2689" t="inlineStr">
        <is>
          <t>LSIP_2022_AR.pdf</t>
        </is>
      </c>
      <c r="C2689" t="n">
        <v>2022</v>
      </c>
      <c r="D2689" t="inlineStr">
        <is>
          <t>Financial</t>
        </is>
      </c>
      <c r="E2689" t="inlineStr">
        <is>
          <t>CFF</t>
        </is>
      </c>
      <c r="F2689" t="n">
        <v>-352</v>
      </c>
      <c r="G2689" t="inlineStr">
        <is>
          <t>IDR bn</t>
        </is>
      </c>
      <c r="H2689" t="n">
        <v>122</v>
      </c>
      <c r="I2689" t="inlineStr">
        <is>
          <t>Kas Neto yang Digunakan untuk Aktivitas Pendanaan (352.438) (140.848)</t>
        </is>
      </c>
      <c r="J2689" t="inlineStr">
        <is>
          <t>High</t>
        </is>
      </c>
      <c r="M2689" t="inlineStr">
        <is>
          <t>LLM</t>
        </is>
      </c>
      <c r="N2689" t="inlineStr">
        <is>
          <t>2026-04-18</t>
        </is>
      </c>
      <c r="O2689" t="inlineStr">
        <is>
          <t>AI</t>
        </is>
      </c>
    </row>
    <row r="2690">
      <c r="A2690" t="inlineStr">
        <is>
          <t>PT Perusahaan Perkebunan London Sumatra Indonesia Tbk</t>
        </is>
      </c>
      <c r="B2690" t="inlineStr">
        <is>
          <t>LSIP_2022_AR.pdf</t>
        </is>
      </c>
      <c r="C2690" t="n">
        <v>2022</v>
      </c>
      <c r="D2690" t="inlineStr">
        <is>
          <t>Financial</t>
        </is>
      </c>
      <c r="E2690" t="inlineStr">
        <is>
          <t>Capital Expenditures</t>
        </is>
      </c>
      <c r="F2690" t="n">
        <v>321</v>
      </c>
      <c r="G2690" t="inlineStr">
        <is>
          <t>IDR bn</t>
        </is>
      </c>
      <c r="H2690" t="n">
        <v>4</v>
      </c>
      <c r="I2690" t="inlineStr">
        <is>
          <t>Capital Expenditures 320.748 308.377 378.247</t>
        </is>
      </c>
      <c r="J2690" t="inlineStr">
        <is>
          <t>High</t>
        </is>
      </c>
      <c r="M2690" t="inlineStr">
        <is>
          <t>LLM</t>
        </is>
      </c>
      <c r="N2690" t="inlineStr">
        <is>
          <t>2026-04-18</t>
        </is>
      </c>
      <c r="O2690" t="inlineStr">
        <is>
          <t>AI</t>
        </is>
      </c>
    </row>
    <row r="2691">
      <c r="A2691" t="inlineStr">
        <is>
          <t>PT Perusahaan Perkebunan London Sumatra Indonesia Tbk</t>
        </is>
      </c>
      <c r="B2691" t="inlineStr">
        <is>
          <t>LSIP_2022_AR.pdf</t>
        </is>
      </c>
      <c r="C2691" t="n">
        <v>2022</v>
      </c>
      <c r="D2691" t="inlineStr">
        <is>
          <t>Financial</t>
        </is>
      </c>
      <c r="E2691" t="inlineStr">
        <is>
          <t>Dividend Paid (Cash)</t>
        </is>
      </c>
      <c r="F2691" t="n">
        <v>348</v>
      </c>
      <c r="G2691" t="inlineStr">
        <is>
          <t>IDR bn</t>
        </is>
      </c>
      <c r="H2691" t="n">
        <v>34</v>
      </c>
      <c r="I2691" t="inlineStr">
        <is>
          <t>total dividend payment of Rp347.7 billion, or Rp51 per share</t>
        </is>
      </c>
      <c r="J2691" t="inlineStr">
        <is>
          <t>High</t>
        </is>
      </c>
      <c r="M2691" t="inlineStr">
        <is>
          <t>LLM</t>
        </is>
      </c>
      <c r="N2691" t="inlineStr">
        <is>
          <t>2026-04-18</t>
        </is>
      </c>
      <c r="O2691" t="inlineStr">
        <is>
          <t>AI</t>
        </is>
      </c>
    </row>
    <row r="2692">
      <c r="A2692" t="inlineStr">
        <is>
          <t>PT Perusahaan Perkebunan London Sumatra Indonesia Tbk</t>
        </is>
      </c>
      <c r="B2692" t="inlineStr">
        <is>
          <t>LSIP_2022_AR.pdf</t>
        </is>
      </c>
      <c r="C2692" t="n">
        <v>2022</v>
      </c>
      <c r="D2692" t="inlineStr">
        <is>
          <t>Financial</t>
        </is>
      </c>
      <c r="E2692" t="inlineStr">
        <is>
          <t>Dividend per Share (2021 final paid in 2022)</t>
        </is>
      </c>
      <c r="F2692" t="n">
        <v>51</v>
      </c>
      <c r="G2692" t="inlineStr">
        <is>
          <t>Rp/share</t>
        </is>
      </c>
      <c r="H2692" t="n">
        <v>34</v>
      </c>
      <c r="I2692" t="inlineStr">
        <is>
          <t>Rp347.7 billion, or Rp51 per share, represent around 35% dividend payout</t>
        </is>
      </c>
      <c r="J2692" t="inlineStr">
        <is>
          <t>High</t>
        </is>
      </c>
      <c r="M2692" t="inlineStr">
        <is>
          <t>LLM</t>
        </is>
      </c>
      <c r="N2692" t="inlineStr">
        <is>
          <t>2026-04-18</t>
        </is>
      </c>
      <c r="O2692" t="inlineStr">
        <is>
          <t>AI</t>
        </is>
      </c>
    </row>
    <row r="2693">
      <c r="A2693" t="inlineStr">
        <is>
          <t>PT Perusahaan Perkebunan London Sumatra Indonesia Tbk</t>
        </is>
      </c>
      <c r="B2693" t="inlineStr">
        <is>
          <t>LSIP_2022_AR.pdf</t>
        </is>
      </c>
      <c r="C2693" t="n">
        <v>2022</v>
      </c>
      <c r="D2693" t="inlineStr">
        <is>
          <t>Financial</t>
        </is>
      </c>
      <c r="E2693" t="inlineStr">
        <is>
          <t>Dividend Payout Ratio</t>
        </is>
      </c>
      <c r="F2693" t="n">
        <v>0.35</v>
      </c>
      <c r="G2693" t="inlineStr">
        <is>
          <t>%</t>
        </is>
      </c>
      <c r="H2693" t="n">
        <v>34</v>
      </c>
      <c r="I2693" t="inlineStr">
        <is>
          <t>represent around 35% dividend payout</t>
        </is>
      </c>
      <c r="J2693" t="inlineStr">
        <is>
          <t>High</t>
        </is>
      </c>
      <c r="M2693" t="inlineStr">
        <is>
          <t>LLM</t>
        </is>
      </c>
      <c r="N2693" t="inlineStr">
        <is>
          <t>2026-04-18</t>
        </is>
      </c>
      <c r="O2693" t="inlineStr">
        <is>
          <t>AI</t>
        </is>
      </c>
    </row>
    <row r="2694">
      <c r="A2694" t="inlineStr">
        <is>
          <t>PT Perusahaan Perkebunan London Sumatra Indonesia Tbk</t>
        </is>
      </c>
      <c r="B2694" t="inlineStr">
        <is>
          <t>LSIP_2022_AR.pdf</t>
        </is>
      </c>
      <c r="C2694" t="n">
        <v>2022</v>
      </c>
      <c r="D2694" t="inlineStr">
        <is>
          <t>Financial</t>
        </is>
      </c>
      <c r="E2694" t="inlineStr">
        <is>
          <t>EPS (Basic)</t>
        </is>
      </c>
      <c r="F2694" t="n">
        <v>152</v>
      </c>
      <c r="G2694" t="inlineStr">
        <is>
          <t>Rp/share</t>
        </is>
      </c>
      <c r="H2694" t="n">
        <v>4</v>
      </c>
      <c r="I2694" t="inlineStr">
        <is>
          <t>Basic Profit per Share ... 152 146 105</t>
        </is>
      </c>
      <c r="J2694" t="inlineStr">
        <is>
          <t>High</t>
        </is>
      </c>
      <c r="M2694" t="inlineStr">
        <is>
          <t>LLM</t>
        </is>
      </c>
      <c r="N2694" t="inlineStr">
        <is>
          <t>2026-04-18</t>
        </is>
      </c>
      <c r="O2694" t="inlineStr">
        <is>
          <t>AI</t>
        </is>
      </c>
    </row>
    <row r="2695">
      <c r="A2695" t="inlineStr">
        <is>
          <t>PT Perusahaan Perkebunan London Sumatra Indonesia Tbk</t>
        </is>
      </c>
      <c r="B2695" t="inlineStr">
        <is>
          <t>LSIP_2022_AR.pdf</t>
        </is>
      </c>
      <c r="C2695" t="n">
        <v>2022</v>
      </c>
      <c r="D2695" t="inlineStr">
        <is>
          <t>Financial</t>
        </is>
      </c>
      <c r="E2695" t="inlineStr">
        <is>
          <t>Closing Share Price (30 Dec 2022)</t>
        </is>
      </c>
      <c r="F2695" t="n">
        <v>1015</v>
      </c>
      <c r="G2695" t="inlineStr">
        <is>
          <t>Rp/share</t>
        </is>
      </c>
      <c r="H2695" t="n">
        <v>15</v>
      </c>
      <c r="I2695" t="inlineStr">
        <is>
          <t>Rp1,570 per share and closing at Rp1,015</t>
        </is>
      </c>
      <c r="J2695" t="inlineStr">
        <is>
          <t>High</t>
        </is>
      </c>
      <c r="M2695" t="inlineStr">
        <is>
          <t>LLM</t>
        </is>
      </c>
      <c r="N2695" t="inlineStr">
        <is>
          <t>2026-04-18</t>
        </is>
      </c>
      <c r="O2695" t="inlineStr">
        <is>
          <t>AI</t>
        </is>
      </c>
    </row>
    <row r="2696">
      <c r="A2696" t="inlineStr">
        <is>
          <t>PT Perusahaan Perkebunan London Sumatra Indonesia Tbk</t>
        </is>
      </c>
      <c r="B2696" t="inlineStr">
        <is>
          <t>LSIP_2022_AR.pdf</t>
        </is>
      </c>
      <c r="C2696" t="n">
        <v>2022</v>
      </c>
      <c r="D2696" t="inlineStr">
        <is>
          <t>Financial</t>
        </is>
      </c>
      <c r="E2696" t="inlineStr">
        <is>
          <t>52-Week High (2022)</t>
        </is>
      </c>
      <c r="F2696" t="n">
        <v>1570</v>
      </c>
      <c r="G2696" t="inlineStr">
        <is>
          <t>Rp/share</t>
        </is>
      </c>
      <c r="H2696" t="n">
        <v>15</v>
      </c>
      <c r="I2696" t="inlineStr">
        <is>
          <t>During the Year 6.819.964 6.922.263 1.570 1.005 1.015</t>
        </is>
      </c>
      <c r="J2696" t="inlineStr">
        <is>
          <t>High</t>
        </is>
      </c>
      <c r="M2696" t="inlineStr">
        <is>
          <t>LLM</t>
        </is>
      </c>
      <c r="N2696" t="inlineStr">
        <is>
          <t>2026-04-18</t>
        </is>
      </c>
      <c r="O2696" t="inlineStr">
        <is>
          <t>AI</t>
        </is>
      </c>
    </row>
    <row r="2697">
      <c r="A2697" t="inlineStr">
        <is>
          <t>PT Perusahaan Perkebunan London Sumatra Indonesia Tbk</t>
        </is>
      </c>
      <c r="B2697" t="inlineStr">
        <is>
          <t>LSIP_2022_AR.pdf</t>
        </is>
      </c>
      <c r="C2697" t="n">
        <v>2022</v>
      </c>
      <c r="D2697" t="inlineStr">
        <is>
          <t>Financial</t>
        </is>
      </c>
      <c r="E2697" t="inlineStr">
        <is>
          <t>52-Week Low (2022)</t>
        </is>
      </c>
      <c r="F2697" t="n">
        <v>1005</v>
      </c>
      <c r="G2697" t="inlineStr">
        <is>
          <t>Rp/share</t>
        </is>
      </c>
      <c r="H2697" t="n">
        <v>15</v>
      </c>
      <c r="I2697" t="inlineStr">
        <is>
          <t>During the Year 6.819.964 6.922.263 1.570 1.005 1.015</t>
        </is>
      </c>
      <c r="J2697" t="inlineStr">
        <is>
          <t>High</t>
        </is>
      </c>
      <c r="M2697" t="inlineStr">
        <is>
          <t>LLM</t>
        </is>
      </c>
      <c r="N2697" t="inlineStr">
        <is>
          <t>2026-04-18</t>
        </is>
      </c>
      <c r="O2697" t="inlineStr">
        <is>
          <t>AI</t>
        </is>
      </c>
    </row>
    <row r="2698">
      <c r="A2698" t="inlineStr">
        <is>
          <t>PT Perusahaan Perkebunan London Sumatra Indonesia Tbk</t>
        </is>
      </c>
      <c r="B2698" t="inlineStr">
        <is>
          <t>LSIP_2022_AR.pdf</t>
        </is>
      </c>
      <c r="C2698" t="n">
        <v>2022</v>
      </c>
      <c r="D2698" t="inlineStr">
        <is>
          <t>Financial</t>
        </is>
      </c>
      <c r="E2698" t="inlineStr">
        <is>
          <t>Market Capitalisation</t>
        </is>
      </c>
      <c r="F2698" t="n">
        <v>6922</v>
      </c>
      <c r="G2698" t="inlineStr">
        <is>
          <t>IDR bn</t>
        </is>
      </c>
      <c r="H2698" t="n">
        <v>34</v>
      </c>
      <c r="I2698" t="inlineStr">
        <is>
          <t>kapitalisasi pasar Lonsum mencapai Rp6,92 triliun</t>
        </is>
      </c>
      <c r="J2698" t="inlineStr">
        <is>
          <t>High</t>
        </is>
      </c>
      <c r="M2698" t="inlineStr">
        <is>
          <t>LLM</t>
        </is>
      </c>
      <c r="N2698" t="inlineStr">
        <is>
          <t>2026-04-18</t>
        </is>
      </c>
      <c r="O2698" t="inlineStr">
        <is>
          <t>AI</t>
        </is>
      </c>
    </row>
    <row r="2699">
      <c r="A2699" t="inlineStr">
        <is>
          <t>PT Perusahaan Perkebunan London Sumatra Indonesia Tbk</t>
        </is>
      </c>
      <c r="B2699" t="inlineStr">
        <is>
          <t>LSIP_2022_AR.pdf</t>
        </is>
      </c>
      <c r="C2699" t="n">
        <v>2022</v>
      </c>
      <c r="D2699" t="inlineStr">
        <is>
          <t>Financial</t>
        </is>
      </c>
      <c r="E2699" t="inlineStr">
        <is>
          <t>Current Ratio</t>
        </is>
      </c>
      <c r="F2699" t="n">
        <v>7.2</v>
      </c>
      <c r="G2699" t="inlineStr">
        <is>
          <t>x</t>
        </is>
      </c>
      <c r="H2699" t="n">
        <v>4</v>
      </c>
      <c r="I2699" t="inlineStr">
        <is>
          <t>Current Ratio (x) 7,20 6,18 4,89</t>
        </is>
      </c>
      <c r="J2699" t="inlineStr">
        <is>
          <t>High</t>
        </is>
      </c>
      <c r="M2699" t="inlineStr">
        <is>
          <t>LLM</t>
        </is>
      </c>
      <c r="N2699" t="inlineStr">
        <is>
          <t>2026-04-18</t>
        </is>
      </c>
      <c r="O2699" t="inlineStr">
        <is>
          <t>AI</t>
        </is>
      </c>
    </row>
    <row r="2700">
      <c r="A2700" t="inlineStr">
        <is>
          <t>PT Perusahaan Perkebunan London Sumatra Indonesia Tbk</t>
        </is>
      </c>
      <c r="B2700" t="inlineStr">
        <is>
          <t>LSIP_2022_AR.pdf</t>
        </is>
      </c>
      <c r="C2700" t="n">
        <v>2022</v>
      </c>
      <c r="D2700" t="inlineStr">
        <is>
          <t>Financial</t>
        </is>
      </c>
      <c r="E2700" t="inlineStr">
        <is>
          <t>Liabilities to Equity Ratio</t>
        </is>
      </c>
      <c r="F2700" t="n">
        <v>0.14</v>
      </c>
      <c r="G2700" t="inlineStr">
        <is>
          <t>x</t>
        </is>
      </c>
      <c r="H2700" t="n">
        <v>4</v>
      </c>
      <c r="I2700" t="inlineStr">
        <is>
          <t>Liabilities to Equity Ratio (x)3 0,14 0,16 0,17</t>
        </is>
      </c>
      <c r="J2700" t="inlineStr">
        <is>
          <t>High</t>
        </is>
      </c>
      <c r="M2700" t="inlineStr">
        <is>
          <t>LLM</t>
        </is>
      </c>
      <c r="N2700" t="inlineStr">
        <is>
          <t>2026-04-18</t>
        </is>
      </c>
      <c r="O2700" t="inlineStr">
        <is>
          <t>AI</t>
        </is>
      </c>
    </row>
    <row r="2701">
      <c r="A2701" t="inlineStr">
        <is>
          <t>PT Perusahaan Perkebunan London Sumatra Indonesia Tbk</t>
        </is>
      </c>
      <c r="B2701" t="inlineStr">
        <is>
          <t>LSIP_2022_AR.pdf</t>
        </is>
      </c>
      <c r="C2701" t="n">
        <v>2022</v>
      </c>
      <c r="D2701" t="inlineStr">
        <is>
          <t>Financial</t>
        </is>
      </c>
      <c r="E2701" t="inlineStr">
        <is>
          <t>Net Gearing Ratio</t>
        </is>
      </c>
      <c r="F2701" t="n">
        <v>-0.35</v>
      </c>
      <c r="G2701" t="inlineStr">
        <is>
          <t>x</t>
        </is>
      </c>
      <c r="H2701" t="n">
        <v>4</v>
      </c>
      <c r="I2701" t="inlineStr">
        <is>
          <t>Gearing Ratio - Net (x)3 (0,35) (0,33) (0,21)</t>
        </is>
      </c>
      <c r="J2701" t="inlineStr">
        <is>
          <t>High</t>
        </is>
      </c>
      <c r="M2701" t="inlineStr">
        <is>
          <t>LLM</t>
        </is>
      </c>
      <c r="N2701" t="inlineStr">
        <is>
          <t>2026-04-18</t>
        </is>
      </c>
      <c r="O2701" t="inlineStr">
        <is>
          <t>AI</t>
        </is>
      </c>
    </row>
    <row r="2702">
      <c r="A2702" t="inlineStr">
        <is>
          <t>PT Perusahaan Perkebunan London Sumatra Indonesia Tbk</t>
        </is>
      </c>
      <c r="B2702" t="inlineStr">
        <is>
          <t>LSIP_2022_AR.pdf</t>
        </is>
      </c>
      <c r="C2702" t="n">
        <v>2022</v>
      </c>
      <c r="D2702" t="inlineStr">
        <is>
          <t>Financial</t>
        </is>
      </c>
      <c r="E2702" t="inlineStr">
        <is>
          <t>Return on Assets</t>
        </is>
      </c>
      <c r="F2702" t="n">
        <v>0.08500000000000001</v>
      </c>
      <c r="G2702" t="inlineStr">
        <is>
          <t>%</t>
        </is>
      </c>
      <c r="H2702" t="n">
        <v>4</v>
      </c>
      <c r="I2702" t="inlineStr">
        <is>
          <t>Return on Assets (%) - Profit for the Year4 8,5 8,7 6,8</t>
        </is>
      </c>
      <c r="J2702" t="inlineStr">
        <is>
          <t>High</t>
        </is>
      </c>
      <c r="M2702" t="inlineStr">
        <is>
          <t>LLM</t>
        </is>
      </c>
      <c r="N2702" t="inlineStr">
        <is>
          <t>2026-04-18</t>
        </is>
      </c>
      <c r="O2702" t="inlineStr">
        <is>
          <t>AI</t>
        </is>
      </c>
    </row>
    <row r="2703">
      <c r="A2703" t="inlineStr">
        <is>
          <t>PT Perusahaan Perkebunan London Sumatra Indonesia Tbk</t>
        </is>
      </c>
      <c r="B2703" t="inlineStr">
        <is>
          <t>LSIP_2022_AR.pdf</t>
        </is>
      </c>
      <c r="C2703" t="n">
        <v>2022</v>
      </c>
      <c r="D2703" t="inlineStr">
        <is>
          <t>Financial</t>
        </is>
      </c>
      <c r="E2703" t="inlineStr">
        <is>
          <t>Return on Equity</t>
        </is>
      </c>
      <c r="F2703" t="n">
        <v>0.098</v>
      </c>
      <c r="G2703" t="inlineStr">
        <is>
          <t>%</t>
        </is>
      </c>
      <c r="H2703" t="n">
        <v>4</v>
      </c>
      <c r="I2703" t="inlineStr">
        <is>
          <t>Return on Equity (%)4 9,8 10,2 8,0</t>
        </is>
      </c>
      <c r="J2703" t="inlineStr">
        <is>
          <t>High</t>
        </is>
      </c>
      <c r="M2703" t="inlineStr">
        <is>
          <t>LLM</t>
        </is>
      </c>
      <c r="N2703" t="inlineStr">
        <is>
          <t>2026-04-18</t>
        </is>
      </c>
      <c r="O2703" t="inlineStr">
        <is>
          <t>AI</t>
        </is>
      </c>
    </row>
    <row r="2704">
      <c r="A2704" t="inlineStr">
        <is>
          <t>PT Perusahaan Perkebunan London Sumatra Indonesia Tbk</t>
        </is>
      </c>
      <c r="B2704" t="inlineStr">
        <is>
          <t>LSIP_2022_AR.pdf</t>
        </is>
      </c>
      <c r="C2704" t="n">
        <v>2022</v>
      </c>
      <c r="D2704" t="inlineStr">
        <is>
          <t>Asset</t>
        </is>
      </c>
      <c r="E2704" t="inlineStr">
        <is>
          <t>Total Nucleus Planted Area</t>
        </is>
      </c>
      <c r="F2704" t="n">
        <v>111240</v>
      </c>
      <c r="G2704" t="inlineStr">
        <is>
          <t>ha</t>
        </is>
      </c>
      <c r="H2704" t="n">
        <v>5</v>
      </c>
      <c r="I2704" t="inlineStr">
        <is>
          <t>PLANTED AREA - NUCLEUS 111.240 114.111 116.053</t>
        </is>
      </c>
      <c r="J2704" t="inlineStr">
        <is>
          <t>High</t>
        </is>
      </c>
      <c r="M2704" t="inlineStr">
        <is>
          <t>LLM</t>
        </is>
      </c>
      <c r="N2704" t="inlineStr">
        <is>
          <t>2026-04-18</t>
        </is>
      </c>
      <c r="O2704" t="inlineStr">
        <is>
          <t>AI</t>
        </is>
      </c>
    </row>
    <row r="2705">
      <c r="A2705" t="inlineStr">
        <is>
          <t>PT Perusahaan Perkebunan London Sumatra Indonesia Tbk</t>
        </is>
      </c>
      <c r="B2705" t="inlineStr">
        <is>
          <t>LSIP_2022_AR.pdf</t>
        </is>
      </c>
      <c r="C2705" t="n">
        <v>2022</v>
      </c>
      <c r="D2705" t="inlineStr">
        <is>
          <t>Asset</t>
        </is>
      </c>
      <c r="E2705" t="inlineStr">
        <is>
          <t>Oil Palm Nucleus Area</t>
        </is>
      </c>
      <c r="F2705" t="n">
        <v>91151</v>
      </c>
      <c r="G2705" t="inlineStr">
        <is>
          <t>ha</t>
        </is>
      </c>
      <c r="H2705" t="n">
        <v>5</v>
      </c>
      <c r="I2705" t="inlineStr">
        <is>
          <t>OIL PALM 91.151 93.853 96.074</t>
        </is>
      </c>
      <c r="J2705" t="inlineStr">
        <is>
          <t>High</t>
        </is>
      </c>
      <c r="M2705" t="inlineStr">
        <is>
          <t>LLM</t>
        </is>
      </c>
      <c r="N2705" t="inlineStr">
        <is>
          <t>2026-04-18</t>
        </is>
      </c>
      <c r="O2705" t="inlineStr">
        <is>
          <t>AI</t>
        </is>
      </c>
    </row>
    <row r="2706">
      <c r="A2706" t="inlineStr">
        <is>
          <t>PT Perusahaan Perkebunan London Sumatra Indonesia Tbk</t>
        </is>
      </c>
      <c r="B2706" t="inlineStr">
        <is>
          <t>LSIP_2022_AR.pdf</t>
        </is>
      </c>
      <c r="C2706" t="n">
        <v>2022</v>
      </c>
      <c r="D2706" t="inlineStr">
        <is>
          <t>Asset</t>
        </is>
      </c>
      <c r="E2706" t="inlineStr">
        <is>
          <t>Oil Palm Mature Area</t>
        </is>
      </c>
      <c r="F2706" t="n">
        <v>83742</v>
      </c>
      <c r="G2706" t="inlineStr">
        <is>
          <t>ha</t>
        </is>
      </c>
      <c r="H2706" t="n">
        <v>5</v>
      </c>
      <c r="I2706" t="inlineStr">
        <is>
          <t>Mature 83.742 85.630 85.623</t>
        </is>
      </c>
      <c r="J2706" t="inlineStr">
        <is>
          <t>High</t>
        </is>
      </c>
      <c r="M2706" t="inlineStr">
        <is>
          <t>LLM</t>
        </is>
      </c>
      <c r="N2706" t="inlineStr">
        <is>
          <t>2026-04-18</t>
        </is>
      </c>
      <c r="O2706" t="inlineStr">
        <is>
          <t>AI</t>
        </is>
      </c>
    </row>
    <row r="2707">
      <c r="A2707" t="inlineStr">
        <is>
          <t>PT Perusahaan Perkebunan London Sumatra Indonesia Tbk</t>
        </is>
      </c>
      <c r="B2707" t="inlineStr">
        <is>
          <t>LSIP_2022_AR.pdf</t>
        </is>
      </c>
      <c r="C2707" t="n">
        <v>2022</v>
      </c>
      <c r="D2707" t="inlineStr">
        <is>
          <t>Asset</t>
        </is>
      </c>
      <c r="E2707" t="inlineStr">
        <is>
          <t>Oil Palm Immature Area</t>
        </is>
      </c>
      <c r="F2707" t="n">
        <v>7409</v>
      </c>
      <c r="G2707" t="inlineStr">
        <is>
          <t>ha</t>
        </is>
      </c>
      <c r="H2707" t="n">
        <v>5</v>
      </c>
      <c r="I2707" t="inlineStr">
        <is>
          <t>Immature 7.409 8.223 10.451</t>
        </is>
      </c>
      <c r="J2707" t="inlineStr">
        <is>
          <t>High</t>
        </is>
      </c>
      <c r="M2707" t="inlineStr">
        <is>
          <t>LLM</t>
        </is>
      </c>
      <c r="N2707" t="inlineStr">
        <is>
          <t>2026-04-18</t>
        </is>
      </c>
      <c r="O2707" t="inlineStr">
        <is>
          <t>AI</t>
        </is>
      </c>
    </row>
    <row r="2708">
      <c r="A2708" t="inlineStr">
        <is>
          <t>PT Perusahaan Perkebunan London Sumatra Indonesia Tbk</t>
        </is>
      </c>
      <c r="B2708" t="inlineStr">
        <is>
          <t>LSIP_2022_AR.pdf</t>
        </is>
      </c>
      <c r="C2708" t="n">
        <v>2022</v>
      </c>
      <c r="D2708" t="inlineStr">
        <is>
          <t>Asset</t>
        </is>
      </c>
      <c r="E2708" t="inlineStr">
        <is>
          <t>Oil Palm Age 4-6 yrs</t>
        </is>
      </c>
      <c r="F2708" t="n">
        <v>2710</v>
      </c>
      <c r="G2708" t="inlineStr">
        <is>
          <t>ha</t>
        </is>
      </c>
      <c r="H2708" t="n">
        <v>5</v>
      </c>
      <c r="I2708" t="inlineStr">
        <is>
          <t>4-6 years 2.710 2.161 2.252</t>
        </is>
      </c>
      <c r="J2708" t="inlineStr">
        <is>
          <t>High</t>
        </is>
      </c>
      <c r="M2708" t="inlineStr">
        <is>
          <t>LLM</t>
        </is>
      </c>
      <c r="N2708" t="inlineStr">
        <is>
          <t>2026-04-18</t>
        </is>
      </c>
      <c r="O2708" t="inlineStr">
        <is>
          <t>AI</t>
        </is>
      </c>
    </row>
    <row r="2709">
      <c r="A2709" t="inlineStr">
        <is>
          <t>PT Perusahaan Perkebunan London Sumatra Indonesia Tbk</t>
        </is>
      </c>
      <c r="B2709" t="inlineStr">
        <is>
          <t>LSIP_2022_AR.pdf</t>
        </is>
      </c>
      <c r="C2709" t="n">
        <v>2022</v>
      </c>
      <c r="D2709" t="inlineStr">
        <is>
          <t>Asset</t>
        </is>
      </c>
      <c r="E2709" t="inlineStr">
        <is>
          <t>Oil Palm Age 7-20 yrs</t>
        </is>
      </c>
      <c r="F2709" t="n">
        <v>44377</v>
      </c>
      <c r="G2709" t="inlineStr">
        <is>
          <t>ha</t>
        </is>
      </c>
      <c r="H2709" t="n">
        <v>5</v>
      </c>
      <c r="I2709" t="inlineStr">
        <is>
          <t>7-20 years 44.377 45.590 45.564</t>
        </is>
      </c>
      <c r="J2709" t="inlineStr">
        <is>
          <t>High</t>
        </is>
      </c>
      <c r="M2709" t="inlineStr">
        <is>
          <t>LLM</t>
        </is>
      </c>
      <c r="N2709" t="inlineStr">
        <is>
          <t>2026-04-18</t>
        </is>
      </c>
      <c r="O2709" t="inlineStr">
        <is>
          <t>AI</t>
        </is>
      </c>
    </row>
    <row r="2710">
      <c r="A2710" t="inlineStr">
        <is>
          <t>PT Perusahaan Perkebunan London Sumatra Indonesia Tbk</t>
        </is>
      </c>
      <c r="B2710" t="inlineStr">
        <is>
          <t>LSIP_2022_AR.pdf</t>
        </is>
      </c>
      <c r="C2710" t="n">
        <v>2022</v>
      </c>
      <c r="D2710" t="inlineStr">
        <is>
          <t>Asset</t>
        </is>
      </c>
      <c r="E2710" t="inlineStr">
        <is>
          <t>Oil Palm Age &gt;20 yrs</t>
        </is>
      </c>
      <c r="F2710" t="n">
        <v>36656</v>
      </c>
      <c r="G2710" t="inlineStr">
        <is>
          <t>ha</t>
        </is>
      </c>
      <c r="H2710" t="n">
        <v>5</v>
      </c>
      <c r="I2710" t="inlineStr">
        <is>
          <t>&gt;20 years 36.656 37.878 37.807</t>
        </is>
      </c>
      <c r="J2710" t="inlineStr">
        <is>
          <t>High</t>
        </is>
      </c>
      <c r="M2710" t="inlineStr">
        <is>
          <t>LLM</t>
        </is>
      </c>
      <c r="N2710" t="inlineStr">
        <is>
          <t>2026-04-18</t>
        </is>
      </c>
      <c r="O2710" t="inlineStr">
        <is>
          <t>AI</t>
        </is>
      </c>
    </row>
    <row r="2711">
      <c r="A2711" t="inlineStr">
        <is>
          <t>PT Perusahaan Perkebunan London Sumatra Indonesia Tbk</t>
        </is>
      </c>
      <c r="B2711" t="inlineStr">
        <is>
          <t>LSIP_2022_AR.pdf</t>
        </is>
      </c>
      <c r="C2711" t="n">
        <v>2022</v>
      </c>
      <c r="D2711" t="inlineStr">
        <is>
          <t>Asset</t>
        </is>
      </c>
      <c r="E2711" t="inlineStr">
        <is>
          <t>Rubber Nucleus Area</t>
        </is>
      </c>
      <c r="F2711" t="n">
        <v>16074</v>
      </c>
      <c r="G2711" t="inlineStr">
        <is>
          <t>ha</t>
        </is>
      </c>
      <c r="H2711" t="n">
        <v>5</v>
      </c>
      <c r="I2711" t="inlineStr">
        <is>
          <t>RUBBER 16.074 16.228 15.976</t>
        </is>
      </c>
      <c r="J2711" t="inlineStr">
        <is>
          <t>High</t>
        </is>
      </c>
      <c r="M2711" t="inlineStr">
        <is>
          <t>LLM</t>
        </is>
      </c>
      <c r="N2711" t="inlineStr">
        <is>
          <t>2026-04-18</t>
        </is>
      </c>
      <c r="O2711" t="inlineStr">
        <is>
          <t>AI</t>
        </is>
      </c>
    </row>
    <row r="2712">
      <c r="A2712" t="inlineStr">
        <is>
          <t>PT Perusahaan Perkebunan London Sumatra Indonesia Tbk</t>
        </is>
      </c>
      <c r="B2712" t="inlineStr">
        <is>
          <t>LSIP_2022_AR.pdf</t>
        </is>
      </c>
      <c r="C2712" t="n">
        <v>2022</v>
      </c>
      <c r="D2712" t="inlineStr">
        <is>
          <t>Asset</t>
        </is>
      </c>
      <c r="E2712" t="inlineStr">
        <is>
          <t>Other Crops Area</t>
        </is>
      </c>
      <c r="F2712" t="n">
        <v>4015</v>
      </c>
      <c r="G2712" t="inlineStr">
        <is>
          <t>ha</t>
        </is>
      </c>
      <c r="H2712" t="n">
        <v>5</v>
      </c>
      <c r="I2712" t="inlineStr">
        <is>
          <t>OTHERS 4.015 4.030 4.003</t>
        </is>
      </c>
      <c r="J2712" t="inlineStr">
        <is>
          <t>High</t>
        </is>
      </c>
      <c r="M2712" t="inlineStr">
        <is>
          <t>LLM</t>
        </is>
      </c>
      <c r="N2712" t="inlineStr">
        <is>
          <t>2026-04-18</t>
        </is>
      </c>
      <c r="O2712" t="inlineStr">
        <is>
          <t>AI</t>
        </is>
      </c>
    </row>
    <row r="2713">
      <c r="A2713" t="inlineStr">
        <is>
          <t>PT Perusahaan Perkebunan London Sumatra Indonesia Tbk</t>
        </is>
      </c>
      <c r="B2713" t="inlineStr">
        <is>
          <t>LSIP_2022_AR.pdf</t>
        </is>
      </c>
      <c r="C2713" t="n">
        <v>2022</v>
      </c>
      <c r="D2713" t="inlineStr">
        <is>
          <t>Asset</t>
        </is>
      </c>
      <c r="E2713" t="inlineStr">
        <is>
          <t>Plasma Partnership Area</t>
        </is>
      </c>
      <c r="F2713" t="n">
        <v>35064</v>
      </c>
      <c r="G2713" t="inlineStr">
        <is>
          <t>ha</t>
        </is>
      </c>
      <c r="H2713" t="n">
        <v>5</v>
      </c>
      <c r="I2713" t="inlineStr">
        <is>
          <t>PLASMA PARTNERSHIP 35.064 34.879 34.879</t>
        </is>
      </c>
      <c r="J2713" t="inlineStr">
        <is>
          <t>High</t>
        </is>
      </c>
      <c r="M2713" t="inlineStr">
        <is>
          <t>LLM</t>
        </is>
      </c>
      <c r="N2713" t="inlineStr">
        <is>
          <t>2026-04-18</t>
        </is>
      </c>
      <c r="O2713" t="inlineStr">
        <is>
          <t>AI</t>
        </is>
      </c>
    </row>
    <row r="2714">
      <c r="A2714" t="inlineStr">
        <is>
          <t>PT Perusahaan Perkebunan London Sumatra Indonesia Tbk</t>
        </is>
      </c>
      <c r="B2714" t="inlineStr">
        <is>
          <t>LSIP_2022_AR.pdf</t>
        </is>
      </c>
      <c r="C2714" t="n">
        <v>2022</v>
      </c>
      <c r="D2714" t="inlineStr">
        <is>
          <t>Asset</t>
        </is>
      </c>
      <c r="E2714" t="inlineStr">
        <is>
          <t>North Sumatra Area</t>
        </is>
      </c>
      <c r="F2714" t="n">
        <v>36473</v>
      </c>
      <c r="G2714" t="inlineStr">
        <is>
          <t>ha</t>
        </is>
      </c>
      <c r="H2714" t="n">
        <v>5</v>
      </c>
      <c r="I2714" t="inlineStr">
        <is>
          <t>North Sumatra 36.473 38.236 37.990</t>
        </is>
      </c>
      <c r="J2714" t="inlineStr">
        <is>
          <t>High</t>
        </is>
      </c>
      <c r="M2714" t="inlineStr">
        <is>
          <t>LLM</t>
        </is>
      </c>
      <c r="N2714" t="inlineStr">
        <is>
          <t>2026-04-18</t>
        </is>
      </c>
      <c r="O2714" t="inlineStr">
        <is>
          <t>AI</t>
        </is>
      </c>
    </row>
    <row r="2715">
      <c r="A2715" t="inlineStr">
        <is>
          <t>PT Perusahaan Perkebunan London Sumatra Indonesia Tbk</t>
        </is>
      </c>
      <c r="B2715" t="inlineStr">
        <is>
          <t>LSIP_2022_AR.pdf</t>
        </is>
      </c>
      <c r="C2715" t="n">
        <v>2022</v>
      </c>
      <c r="D2715" t="inlineStr">
        <is>
          <t>Asset</t>
        </is>
      </c>
      <c r="E2715" t="inlineStr">
        <is>
          <t>South Sumatra Area</t>
        </is>
      </c>
      <c r="F2715" t="n">
        <v>48900</v>
      </c>
      <c r="G2715" t="inlineStr">
        <is>
          <t>ha</t>
        </is>
      </c>
      <c r="H2715" t="n">
        <v>5</v>
      </c>
      <c r="I2715" t="inlineStr">
        <is>
          <t>South Sumatra 48.900 49.891 49.974</t>
        </is>
      </c>
      <c r="J2715" t="inlineStr">
        <is>
          <t>High</t>
        </is>
      </c>
      <c r="M2715" t="inlineStr">
        <is>
          <t>LLM</t>
        </is>
      </c>
      <c r="N2715" t="inlineStr">
        <is>
          <t>2026-04-18</t>
        </is>
      </c>
      <c r="O2715" t="inlineStr">
        <is>
          <t>AI</t>
        </is>
      </c>
    </row>
    <row r="2716">
      <c r="A2716" t="inlineStr">
        <is>
          <t>PT Perusahaan Perkebunan London Sumatra Indonesia Tbk</t>
        </is>
      </c>
      <c r="B2716" t="inlineStr">
        <is>
          <t>LSIP_2022_AR.pdf</t>
        </is>
      </c>
      <c r="C2716" t="n">
        <v>2022</v>
      </c>
      <c r="D2716" t="inlineStr">
        <is>
          <t>Asset</t>
        </is>
      </c>
      <c r="E2716" t="inlineStr">
        <is>
          <t>East Kalimantan Area</t>
        </is>
      </c>
      <c r="F2716" t="n">
        <v>17152</v>
      </c>
      <c r="G2716" t="inlineStr">
        <is>
          <t>ha</t>
        </is>
      </c>
      <c r="H2716" t="n">
        <v>5</v>
      </c>
      <c r="I2716" t="inlineStr">
        <is>
          <t>East Kalimantan 17.152 17.150 19.472</t>
        </is>
      </c>
      <c r="J2716" t="inlineStr">
        <is>
          <t>High</t>
        </is>
      </c>
      <c r="M2716" t="inlineStr">
        <is>
          <t>LLM</t>
        </is>
      </c>
      <c r="N2716" t="inlineStr">
        <is>
          <t>2026-04-18</t>
        </is>
      </c>
      <c r="O2716" t="inlineStr">
        <is>
          <t>AI</t>
        </is>
      </c>
    </row>
    <row r="2717">
      <c r="A2717" t="inlineStr">
        <is>
          <t>PT Perusahaan Perkebunan London Sumatra Indonesia Tbk</t>
        </is>
      </c>
      <c r="B2717" t="inlineStr">
        <is>
          <t>LSIP_2022_AR.pdf</t>
        </is>
      </c>
      <c r="C2717" t="n">
        <v>2022</v>
      </c>
      <c r="D2717" t="inlineStr">
        <is>
          <t>Asset</t>
        </is>
      </c>
      <c r="E2717" t="inlineStr">
        <is>
          <t>Java Area</t>
        </is>
      </c>
      <c r="F2717" t="n">
        <v>3249</v>
      </c>
      <c r="G2717" t="inlineStr">
        <is>
          <t>ha</t>
        </is>
      </c>
      <c r="H2717" t="n">
        <v>5</v>
      </c>
      <c r="I2717" t="inlineStr">
        <is>
          <t>Java 3.249 3.263 3.229</t>
        </is>
      </c>
      <c r="J2717" t="inlineStr">
        <is>
          <t>High</t>
        </is>
      </c>
      <c r="M2717" t="inlineStr">
        <is>
          <t>LLM</t>
        </is>
      </c>
      <c r="N2717" t="inlineStr">
        <is>
          <t>2026-04-18</t>
        </is>
      </c>
      <c r="O2717" t="inlineStr">
        <is>
          <t>AI</t>
        </is>
      </c>
    </row>
    <row r="2718">
      <c r="A2718" t="inlineStr">
        <is>
          <t>PT Perusahaan Perkebunan London Sumatra Indonesia Tbk</t>
        </is>
      </c>
      <c r="B2718" t="inlineStr">
        <is>
          <t>LSIP_2022_AR.pdf</t>
        </is>
      </c>
      <c r="C2718" t="n">
        <v>2022</v>
      </c>
      <c r="D2718" t="inlineStr">
        <is>
          <t>Asset</t>
        </is>
      </c>
      <c r="E2718" t="inlineStr">
        <is>
          <t>Sulawesi Area (N+S)</t>
        </is>
      </c>
      <c r="F2718" t="n">
        <v>5466</v>
      </c>
      <c r="G2718" t="inlineStr">
        <is>
          <t>ha</t>
        </is>
      </c>
      <c r="H2718" t="n">
        <v>5</v>
      </c>
      <c r="I2718" t="inlineStr">
        <is>
          <t>North Sulawesi 766 + South Sulawesi 4.700</t>
        </is>
      </c>
      <c r="J2718" t="inlineStr">
        <is>
          <t>High</t>
        </is>
      </c>
      <c r="M2718" t="inlineStr">
        <is>
          <t>LLM</t>
        </is>
      </c>
      <c r="N2718" t="inlineStr">
        <is>
          <t>2026-04-18</t>
        </is>
      </c>
      <c r="O2718" t="inlineStr">
        <is>
          <t>AI</t>
        </is>
      </c>
    </row>
    <row r="2719">
      <c r="A2719" t="inlineStr">
        <is>
          <t>PT Perusahaan Perkebunan London Sumatra Indonesia Tbk</t>
        </is>
      </c>
      <c r="B2719" t="inlineStr">
        <is>
          <t>LSIP_2022_AR.pdf</t>
        </is>
      </c>
      <c r="C2719" t="n">
        <v>2022</v>
      </c>
      <c r="D2719" t="inlineStr">
        <is>
          <t>Asset</t>
        </is>
      </c>
      <c r="E2719" t="inlineStr">
        <is>
          <t>Palm Oil Mills Count</t>
        </is>
      </c>
      <c r="F2719" t="n">
        <v>12</v>
      </c>
      <c r="G2719" t="inlineStr">
        <is>
          <t>count</t>
        </is>
      </c>
      <c r="H2719" t="n">
        <v>9</v>
      </c>
      <c r="I2719" t="inlineStr">
        <is>
          <t>Lonsum operates 12 palm oil mills in Sumatra and Kalimantan, with a total combined annual Fresh Fruit Bunch (FFB) processing capacity of 2.7 million tonnes</t>
        </is>
      </c>
      <c r="J2719" t="inlineStr">
        <is>
          <t>High</t>
        </is>
      </c>
      <c r="M2719" t="inlineStr">
        <is>
          <t>LLM</t>
        </is>
      </c>
      <c r="N2719" t="inlineStr">
        <is>
          <t>2026-04-18</t>
        </is>
      </c>
      <c r="O2719" t="inlineStr">
        <is>
          <t>AI</t>
        </is>
      </c>
    </row>
    <row r="2720">
      <c r="A2720" t="inlineStr">
        <is>
          <t>PT Perusahaan Perkebunan London Sumatra Indonesia Tbk</t>
        </is>
      </c>
      <c r="B2720" t="inlineStr">
        <is>
          <t>LSIP_2022_AR.pdf</t>
        </is>
      </c>
      <c r="C2720" t="n">
        <v>2022</v>
      </c>
      <c r="D2720" t="inlineStr">
        <is>
          <t>Asset</t>
        </is>
      </c>
      <c r="E2720" t="inlineStr">
        <is>
          <t>Mill FFB Processing Capacity</t>
        </is>
      </c>
      <c r="F2720" t="n">
        <v>2700000</v>
      </c>
      <c r="G2720" t="inlineStr">
        <is>
          <t>tpa</t>
        </is>
      </c>
      <c r="H2720" t="n">
        <v>9</v>
      </c>
      <c r="I2720" t="inlineStr">
        <is>
          <t>FFB processing capacity of 2.7 million tonnes</t>
        </is>
      </c>
      <c r="J2720" t="inlineStr">
        <is>
          <t>High</t>
        </is>
      </c>
      <c r="M2720" t="inlineStr">
        <is>
          <t>LLM</t>
        </is>
      </c>
      <c r="N2720" t="inlineStr">
        <is>
          <t>2026-04-18</t>
        </is>
      </c>
      <c r="O2720" t="inlineStr">
        <is>
          <t>AI</t>
        </is>
      </c>
    </row>
    <row r="2721">
      <c r="A2721" t="inlineStr">
        <is>
          <t>PT Perusahaan Perkebunan London Sumatra Indonesia Tbk</t>
        </is>
      </c>
      <c r="B2721" t="inlineStr">
        <is>
          <t>LSIP_2022_AR.pdf</t>
        </is>
      </c>
      <c r="C2721" t="n">
        <v>2022</v>
      </c>
      <c r="D2721" t="inlineStr">
        <is>
          <t>Asset</t>
        </is>
      </c>
      <c r="E2721" t="inlineStr">
        <is>
          <t>Crumb Rubber Facilities</t>
        </is>
      </c>
      <c r="F2721" t="n">
        <v>3</v>
      </c>
      <c r="G2721" t="inlineStr">
        <is>
          <t>count</t>
        </is>
      </c>
      <c r="H2721" t="n">
        <v>9</v>
      </c>
      <c r="I2721" t="inlineStr">
        <is>
          <t>3 crumb rubber processing facilities</t>
        </is>
      </c>
      <c r="J2721" t="inlineStr">
        <is>
          <t>High</t>
        </is>
      </c>
      <c r="M2721" t="inlineStr">
        <is>
          <t>LLM</t>
        </is>
      </c>
      <c r="N2721" t="inlineStr">
        <is>
          <t>2026-04-18</t>
        </is>
      </c>
      <c r="O2721" t="inlineStr">
        <is>
          <t>AI</t>
        </is>
      </c>
    </row>
    <row r="2722">
      <c r="A2722" t="inlineStr">
        <is>
          <t>PT Perusahaan Perkebunan London Sumatra Indonesia Tbk</t>
        </is>
      </c>
      <c r="B2722" t="inlineStr">
        <is>
          <t>LSIP_2022_AR.pdf</t>
        </is>
      </c>
      <c r="C2722" t="n">
        <v>2022</v>
      </c>
      <c r="D2722" t="inlineStr">
        <is>
          <t>Asset</t>
        </is>
      </c>
      <c r="E2722" t="inlineStr">
        <is>
          <t>Sheet Rubber Facilities</t>
        </is>
      </c>
      <c r="F2722" t="n">
        <v>2</v>
      </c>
      <c r="G2722" t="inlineStr">
        <is>
          <t>count</t>
        </is>
      </c>
      <c r="H2722" t="n">
        <v>9</v>
      </c>
      <c r="I2722" t="inlineStr">
        <is>
          <t>2 sheet rubber processing facilities</t>
        </is>
      </c>
      <c r="J2722" t="inlineStr">
        <is>
          <t>High</t>
        </is>
      </c>
      <c r="M2722" t="inlineStr">
        <is>
          <t>LLM</t>
        </is>
      </c>
      <c r="N2722" t="inlineStr">
        <is>
          <t>2026-04-18</t>
        </is>
      </c>
      <c r="O2722" t="inlineStr">
        <is>
          <t>AI</t>
        </is>
      </c>
    </row>
    <row r="2723">
      <c r="A2723" t="inlineStr">
        <is>
          <t>PT Perusahaan Perkebunan London Sumatra Indonesia Tbk</t>
        </is>
      </c>
      <c r="B2723" t="inlineStr">
        <is>
          <t>LSIP_2022_AR.pdf</t>
        </is>
      </c>
      <c r="C2723" t="n">
        <v>2022</v>
      </c>
      <c r="D2723" t="inlineStr">
        <is>
          <t>Asset</t>
        </is>
      </c>
      <c r="E2723" t="inlineStr">
        <is>
          <t>Cocoa Factory</t>
        </is>
      </c>
      <c r="F2723" t="n">
        <v>1</v>
      </c>
      <c r="G2723" t="inlineStr">
        <is>
          <t>count</t>
        </is>
      </c>
      <c r="H2723" t="n">
        <v>9</v>
      </c>
      <c r="I2723" t="inlineStr">
        <is>
          <t>a cocoa factory and a tea factory</t>
        </is>
      </c>
      <c r="J2723" t="inlineStr">
        <is>
          <t>High</t>
        </is>
      </c>
      <c r="M2723" t="inlineStr">
        <is>
          <t>LLM</t>
        </is>
      </c>
      <c r="N2723" t="inlineStr">
        <is>
          <t>2026-04-18</t>
        </is>
      </c>
      <c r="O2723" t="inlineStr">
        <is>
          <t>AI</t>
        </is>
      </c>
    </row>
    <row r="2724">
      <c r="A2724" t="inlineStr">
        <is>
          <t>PT Perusahaan Perkebunan London Sumatra Indonesia Tbk</t>
        </is>
      </c>
      <c r="B2724" t="inlineStr">
        <is>
          <t>LSIP_2022_AR.pdf</t>
        </is>
      </c>
      <c r="C2724" t="n">
        <v>2022</v>
      </c>
      <c r="D2724" t="inlineStr">
        <is>
          <t>Asset</t>
        </is>
      </c>
      <c r="E2724" t="inlineStr">
        <is>
          <t>Tea Factory</t>
        </is>
      </c>
      <c r="F2724" t="n">
        <v>1</v>
      </c>
      <c r="G2724" t="inlineStr">
        <is>
          <t>count</t>
        </is>
      </c>
      <c r="H2724" t="n">
        <v>9</v>
      </c>
      <c r="I2724" t="inlineStr">
        <is>
          <t>a cocoa factory and a tea factory</t>
        </is>
      </c>
      <c r="J2724" t="inlineStr">
        <is>
          <t>High</t>
        </is>
      </c>
      <c r="M2724" t="inlineStr">
        <is>
          <t>LLM</t>
        </is>
      </c>
      <c r="N2724" t="inlineStr">
        <is>
          <t>2026-04-18</t>
        </is>
      </c>
      <c r="O2724" t="inlineStr">
        <is>
          <t>AI</t>
        </is>
      </c>
    </row>
    <row r="2725">
      <c r="A2725" t="inlineStr">
        <is>
          <t>PT Perusahaan Perkebunan London Sumatra Indonesia Tbk</t>
        </is>
      </c>
      <c r="B2725" t="inlineStr">
        <is>
          <t>LSIP_2022_AR.pdf</t>
        </is>
      </c>
      <c r="C2725" t="n">
        <v>2022</v>
      </c>
      <c r="D2725" t="inlineStr">
        <is>
          <t>Operation</t>
        </is>
      </c>
      <c r="E2725" t="inlineStr">
        <is>
          <t>Total FFB Production</t>
        </is>
      </c>
      <c r="F2725" t="n">
        <v>1417000</v>
      </c>
      <c r="G2725" t="inlineStr">
        <is>
          <t>t</t>
        </is>
      </c>
      <c r="H2725" t="n">
        <v>5</v>
      </c>
      <c r="I2725" t="inlineStr">
        <is>
          <t>Total Fresh Fruit Bunches (FFB) 1.417 1.384 1.481</t>
        </is>
      </c>
      <c r="J2725" t="inlineStr">
        <is>
          <t>High</t>
        </is>
      </c>
      <c r="M2725" t="inlineStr">
        <is>
          <t>LLM</t>
        </is>
      </c>
      <c r="N2725" t="inlineStr">
        <is>
          <t>2026-04-18</t>
        </is>
      </c>
      <c r="O2725" t="inlineStr">
        <is>
          <t>AI</t>
        </is>
      </c>
    </row>
    <row r="2726">
      <c r="A2726" t="inlineStr">
        <is>
          <t>PT Perusahaan Perkebunan London Sumatra Indonesia Tbk</t>
        </is>
      </c>
      <c r="B2726" t="inlineStr">
        <is>
          <t>LSIP_2022_AR.pdf</t>
        </is>
      </c>
      <c r="C2726" t="n">
        <v>2022</v>
      </c>
      <c r="D2726" t="inlineStr">
        <is>
          <t>Operation</t>
        </is>
      </c>
      <c r="E2726" t="inlineStr">
        <is>
          <t>FFB Nucleus Production</t>
        </is>
      </c>
      <c r="F2726" t="n">
        <v>1174000</v>
      </c>
      <c r="G2726" t="inlineStr">
        <is>
          <t>t</t>
        </is>
      </c>
      <c r="H2726" t="n">
        <v>5</v>
      </c>
      <c r="I2726" t="inlineStr">
        <is>
          <t>FFB - Nucleus 1.174 1.204 1.295</t>
        </is>
      </c>
      <c r="J2726" t="inlineStr">
        <is>
          <t>High</t>
        </is>
      </c>
      <c r="M2726" t="inlineStr">
        <is>
          <t>LLM</t>
        </is>
      </c>
      <c r="N2726" t="inlineStr">
        <is>
          <t>2026-04-18</t>
        </is>
      </c>
      <c r="O2726" t="inlineStr">
        <is>
          <t>AI</t>
        </is>
      </c>
    </row>
    <row r="2727">
      <c r="A2727" t="inlineStr">
        <is>
          <t>PT Perusahaan Perkebunan London Sumatra Indonesia Tbk</t>
        </is>
      </c>
      <c r="B2727" t="inlineStr">
        <is>
          <t>LSIP_2022_AR.pdf</t>
        </is>
      </c>
      <c r="C2727" t="n">
        <v>2022</v>
      </c>
      <c r="D2727" t="inlineStr">
        <is>
          <t>Operation</t>
        </is>
      </c>
      <c r="E2727" t="inlineStr">
        <is>
          <t>FFB from External</t>
        </is>
      </c>
      <c r="F2727" t="n">
        <v>243000</v>
      </c>
      <c r="G2727" t="inlineStr">
        <is>
          <t>t</t>
        </is>
      </c>
      <c r="H2727" t="n">
        <v>40</v>
      </c>
      <c r="I2727" t="inlineStr">
        <is>
          <t>FFB from external reached 243,000 tonnes in 2022, up 35% compared to 180,000 tonnes in 2021</t>
        </is>
      </c>
      <c r="J2727" t="inlineStr">
        <is>
          <t>High</t>
        </is>
      </c>
      <c r="M2727" t="inlineStr">
        <is>
          <t>LLM</t>
        </is>
      </c>
      <c r="N2727" t="inlineStr">
        <is>
          <t>2026-04-18</t>
        </is>
      </c>
      <c r="O2727" t="inlineStr">
        <is>
          <t>AI</t>
        </is>
      </c>
    </row>
    <row r="2728">
      <c r="A2728" t="inlineStr">
        <is>
          <t>PT Perusahaan Perkebunan London Sumatra Indonesia Tbk</t>
        </is>
      </c>
      <c r="B2728" t="inlineStr">
        <is>
          <t>LSIP_2022_AR.pdf</t>
        </is>
      </c>
      <c r="C2728" t="n">
        <v>2022</v>
      </c>
      <c r="D2728" t="inlineStr">
        <is>
          <t>Operation</t>
        </is>
      </c>
      <c r="E2728" t="inlineStr">
        <is>
          <t>CPO Production</t>
        </is>
      </c>
      <c r="F2728" t="n">
        <v>306000</v>
      </c>
      <c r="G2728" t="inlineStr">
        <is>
          <t>t</t>
        </is>
      </c>
      <c r="H2728" t="n">
        <v>5</v>
      </c>
      <c r="I2728" t="inlineStr">
        <is>
          <t>Crude Palm Oil (CPO) 306 306 331</t>
        </is>
      </c>
      <c r="J2728" t="inlineStr">
        <is>
          <t>High</t>
        </is>
      </c>
      <c r="M2728" t="inlineStr">
        <is>
          <t>LLM</t>
        </is>
      </c>
      <c r="N2728" t="inlineStr">
        <is>
          <t>2026-04-18</t>
        </is>
      </c>
      <c r="O2728" t="inlineStr">
        <is>
          <t>AI</t>
        </is>
      </c>
    </row>
    <row r="2729">
      <c r="A2729" t="inlineStr">
        <is>
          <t>PT Perusahaan Perkebunan London Sumatra Indonesia Tbk</t>
        </is>
      </c>
      <c r="B2729" t="inlineStr">
        <is>
          <t>LSIP_2022_AR.pdf</t>
        </is>
      </c>
      <c r="C2729" t="n">
        <v>2022</v>
      </c>
      <c r="D2729" t="inlineStr">
        <is>
          <t>Operation</t>
        </is>
      </c>
      <c r="E2729" t="inlineStr">
        <is>
          <t>Palm Kernel Production</t>
        </is>
      </c>
      <c r="F2729" t="n">
        <v>88000</v>
      </c>
      <c r="G2729" t="inlineStr">
        <is>
          <t>t</t>
        </is>
      </c>
      <c r="H2729" t="n">
        <v>5</v>
      </c>
      <c r="I2729" t="inlineStr">
        <is>
          <t>Palm Kernel (PK) 88 86 92</t>
        </is>
      </c>
      <c r="J2729" t="inlineStr">
        <is>
          <t>High</t>
        </is>
      </c>
      <c r="M2729" t="inlineStr">
        <is>
          <t>LLM</t>
        </is>
      </c>
      <c r="N2729" t="inlineStr">
        <is>
          <t>2026-04-18</t>
        </is>
      </c>
      <c r="O2729" t="inlineStr">
        <is>
          <t>AI</t>
        </is>
      </c>
    </row>
    <row r="2730">
      <c r="A2730" t="inlineStr">
        <is>
          <t>PT Perusahaan Perkebunan London Sumatra Indonesia Tbk</t>
        </is>
      </c>
      <c r="B2730" t="inlineStr">
        <is>
          <t>LSIP_2022_AR.pdf</t>
        </is>
      </c>
      <c r="C2730" t="n">
        <v>2022</v>
      </c>
      <c r="D2730" t="inlineStr">
        <is>
          <t>Operation</t>
        </is>
      </c>
      <c r="E2730" t="inlineStr">
        <is>
          <t>Oil Palm Seeds Production</t>
        </is>
      </c>
      <c r="F2730" t="n">
        <v>7100000</v>
      </c>
      <c r="G2730" t="inlineStr">
        <is>
          <t>units</t>
        </is>
      </c>
      <c r="H2730" t="n">
        <v>5</v>
      </c>
      <c r="I2730" t="inlineStr">
        <is>
          <t>Oil Palm Seeds (mn) 7,1 5,5 5,5</t>
        </is>
      </c>
      <c r="J2730" t="inlineStr">
        <is>
          <t>High</t>
        </is>
      </c>
      <c r="M2730" t="inlineStr">
        <is>
          <t>LLM</t>
        </is>
      </c>
      <c r="N2730" t="inlineStr">
        <is>
          <t>2026-04-18</t>
        </is>
      </c>
      <c r="O2730" t="inlineStr">
        <is>
          <t>AI</t>
        </is>
      </c>
    </row>
    <row r="2731">
      <c r="A2731" t="inlineStr">
        <is>
          <t>PT Perusahaan Perkebunan London Sumatra Indonesia Tbk</t>
        </is>
      </c>
      <c r="B2731" t="inlineStr">
        <is>
          <t>LSIP_2022_AR.pdf</t>
        </is>
      </c>
      <c r="C2731" t="n">
        <v>2022</v>
      </c>
      <c r="D2731" t="inlineStr">
        <is>
          <t>Operation</t>
        </is>
      </c>
      <c r="E2731" t="inlineStr">
        <is>
          <t>Rubber Production</t>
        </is>
      </c>
      <c r="F2731" t="n">
        <v>5200</v>
      </c>
      <c r="G2731" t="inlineStr">
        <is>
          <t>t</t>
        </is>
      </c>
      <c r="H2731" t="n">
        <v>5</v>
      </c>
      <c r="I2731" t="inlineStr">
        <is>
          <t>Rubber 5,2 6,2 7,8</t>
        </is>
      </c>
      <c r="J2731" t="inlineStr">
        <is>
          <t>High</t>
        </is>
      </c>
      <c r="M2731" t="inlineStr">
        <is>
          <t>LLM</t>
        </is>
      </c>
      <c r="N2731" t="inlineStr">
        <is>
          <t>2026-04-18</t>
        </is>
      </c>
      <c r="O2731" t="inlineStr">
        <is>
          <t>AI</t>
        </is>
      </c>
    </row>
    <row r="2732">
      <c r="A2732" t="inlineStr">
        <is>
          <t>PT Perusahaan Perkebunan London Sumatra Indonesia Tbk</t>
        </is>
      </c>
      <c r="B2732" t="inlineStr">
        <is>
          <t>LSIP_2022_AR.pdf</t>
        </is>
      </c>
      <c r="C2732" t="n">
        <v>2022</v>
      </c>
      <c r="D2732" t="inlineStr">
        <is>
          <t>Operation</t>
        </is>
      </c>
      <c r="E2732" t="inlineStr">
        <is>
          <t>Cocoa Production</t>
        </is>
      </c>
      <c r="F2732" t="n">
        <v>487</v>
      </c>
      <c r="G2732" t="inlineStr">
        <is>
          <t>t</t>
        </is>
      </c>
      <c r="H2732" t="n">
        <v>5</v>
      </c>
      <c r="I2732" t="inlineStr">
        <is>
          <t>Cocoa (tonnes) 487 672 762</t>
        </is>
      </c>
      <c r="J2732" t="inlineStr">
        <is>
          <t>High</t>
        </is>
      </c>
      <c r="M2732" t="inlineStr">
        <is>
          <t>LLM</t>
        </is>
      </c>
      <c r="N2732" t="inlineStr">
        <is>
          <t>2026-04-18</t>
        </is>
      </c>
      <c r="O2732" t="inlineStr">
        <is>
          <t>AI</t>
        </is>
      </c>
    </row>
    <row r="2733">
      <c r="A2733" t="inlineStr">
        <is>
          <t>PT Perusahaan Perkebunan London Sumatra Indonesia Tbk</t>
        </is>
      </c>
      <c r="B2733" t="inlineStr">
        <is>
          <t>LSIP_2022_AR.pdf</t>
        </is>
      </c>
      <c r="C2733" t="n">
        <v>2022</v>
      </c>
      <c r="D2733" t="inlineStr">
        <is>
          <t>Operation</t>
        </is>
      </c>
      <c r="E2733" t="inlineStr">
        <is>
          <t>Tea Production</t>
        </is>
      </c>
      <c r="F2733" t="n">
        <v>972</v>
      </c>
      <c r="G2733" t="inlineStr">
        <is>
          <t>t</t>
        </is>
      </c>
      <c r="H2733" t="n">
        <v>5</v>
      </c>
      <c r="I2733" t="inlineStr">
        <is>
          <t>Tea (tonnes) 972 922 871</t>
        </is>
      </c>
      <c r="J2733" t="inlineStr">
        <is>
          <t>High</t>
        </is>
      </c>
      <c r="M2733" t="inlineStr">
        <is>
          <t>LLM</t>
        </is>
      </c>
      <c r="N2733" t="inlineStr">
        <is>
          <t>2026-04-18</t>
        </is>
      </c>
      <c r="O2733" t="inlineStr">
        <is>
          <t>AI</t>
        </is>
      </c>
    </row>
    <row r="2734">
      <c r="A2734" t="inlineStr">
        <is>
          <t>PT Perusahaan Perkebunan London Sumatra Indonesia Tbk</t>
        </is>
      </c>
      <c r="B2734" t="inlineStr">
        <is>
          <t>LSIP_2022_AR.pdf</t>
        </is>
      </c>
      <c r="C2734" t="n">
        <v>2022</v>
      </c>
      <c r="D2734" t="inlineStr">
        <is>
          <t>Operation</t>
        </is>
      </c>
      <c r="E2734" t="inlineStr">
        <is>
          <t>CPO Sales Volume</t>
        </is>
      </c>
      <c r="F2734" t="n">
        <v>286000</v>
      </c>
      <c r="G2734" t="inlineStr">
        <is>
          <t>t</t>
        </is>
      </c>
      <c r="H2734" t="n">
        <v>5</v>
      </c>
      <c r="I2734" t="inlineStr">
        <is>
          <t>CPO 286 318 325</t>
        </is>
      </c>
      <c r="J2734" t="inlineStr">
        <is>
          <t>High</t>
        </is>
      </c>
      <c r="M2734" t="inlineStr">
        <is>
          <t>LLM</t>
        </is>
      </c>
      <c r="N2734" t="inlineStr">
        <is>
          <t>2026-04-18</t>
        </is>
      </c>
      <c r="O2734" t="inlineStr">
        <is>
          <t>AI</t>
        </is>
      </c>
    </row>
    <row r="2735">
      <c r="A2735" t="inlineStr">
        <is>
          <t>PT Perusahaan Perkebunan London Sumatra Indonesia Tbk</t>
        </is>
      </c>
      <c r="B2735" t="inlineStr">
        <is>
          <t>LSIP_2022_AR.pdf</t>
        </is>
      </c>
      <c r="C2735" t="n">
        <v>2022</v>
      </c>
      <c r="D2735" t="inlineStr">
        <is>
          <t>Operation</t>
        </is>
      </c>
      <c r="E2735" t="inlineStr">
        <is>
          <t>PK Products Sales Volume</t>
        </is>
      </c>
      <c r="F2735" t="n">
        <v>100000</v>
      </c>
      <c r="G2735" t="inlineStr">
        <is>
          <t>t</t>
        </is>
      </c>
      <c r="H2735" t="n">
        <v>5</v>
      </c>
      <c r="I2735" t="inlineStr">
        <is>
          <t>PK and PK Related Products 100 92 98</t>
        </is>
      </c>
      <c r="J2735" t="inlineStr">
        <is>
          <t>High</t>
        </is>
      </c>
      <c r="M2735" t="inlineStr">
        <is>
          <t>LLM</t>
        </is>
      </c>
      <c r="N2735" t="inlineStr">
        <is>
          <t>2026-04-18</t>
        </is>
      </c>
      <c r="O2735" t="inlineStr">
        <is>
          <t>AI</t>
        </is>
      </c>
    </row>
    <row r="2736">
      <c r="A2736" t="inlineStr">
        <is>
          <t>PT Perusahaan Perkebunan London Sumatra Indonesia Tbk</t>
        </is>
      </c>
      <c r="B2736" t="inlineStr">
        <is>
          <t>LSIP_2022_AR.pdf</t>
        </is>
      </c>
      <c r="C2736" t="n">
        <v>2022</v>
      </c>
      <c r="D2736" t="inlineStr">
        <is>
          <t>Operation</t>
        </is>
      </c>
      <c r="E2736" t="inlineStr">
        <is>
          <t>Oil Palm Seeds Sales</t>
        </is>
      </c>
      <c r="F2736" t="n">
        <v>6400000</v>
      </c>
      <c r="G2736" t="inlineStr">
        <is>
          <t>units</t>
        </is>
      </c>
      <c r="H2736" t="n">
        <v>5</v>
      </c>
      <c r="I2736" t="inlineStr">
        <is>
          <t>Oil Palm Seeds (mn) 6,4 4,9 4,9</t>
        </is>
      </c>
      <c r="J2736" t="inlineStr">
        <is>
          <t>High</t>
        </is>
      </c>
      <c r="M2736" t="inlineStr">
        <is>
          <t>LLM</t>
        </is>
      </c>
      <c r="N2736" t="inlineStr">
        <is>
          <t>2026-04-18</t>
        </is>
      </c>
      <c r="O2736" t="inlineStr">
        <is>
          <t>AI</t>
        </is>
      </c>
    </row>
    <row r="2737">
      <c r="A2737" t="inlineStr">
        <is>
          <t>PT Perusahaan Perkebunan London Sumatra Indonesia Tbk</t>
        </is>
      </c>
      <c r="B2737" t="inlineStr">
        <is>
          <t>LSIP_2022_AR.pdf</t>
        </is>
      </c>
      <c r="C2737" t="n">
        <v>2022</v>
      </c>
      <c r="D2737" t="inlineStr">
        <is>
          <t>Operation</t>
        </is>
      </c>
      <c r="E2737" t="inlineStr">
        <is>
          <t>Rubber Sales Volume</t>
        </is>
      </c>
      <c r="F2737" t="n">
        <v>5800</v>
      </c>
      <c r="G2737" t="inlineStr">
        <is>
          <t>t</t>
        </is>
      </c>
      <c r="H2737" t="n">
        <v>5</v>
      </c>
      <c r="I2737" t="inlineStr">
        <is>
          <t>Rubber 5,8 5,6 7,8</t>
        </is>
      </c>
      <c r="J2737" t="inlineStr">
        <is>
          <t>High</t>
        </is>
      </c>
      <c r="M2737" t="inlineStr">
        <is>
          <t>LLM</t>
        </is>
      </c>
      <c r="N2737" t="inlineStr">
        <is>
          <t>2026-04-18</t>
        </is>
      </c>
      <c r="O2737" t="inlineStr">
        <is>
          <t>AI</t>
        </is>
      </c>
    </row>
    <row r="2738">
      <c r="A2738" t="inlineStr">
        <is>
          <t>PT Perusahaan Perkebunan London Sumatra Indonesia Tbk</t>
        </is>
      </c>
      <c r="B2738" t="inlineStr">
        <is>
          <t>LSIP_2022_AR.pdf</t>
        </is>
      </c>
      <c r="C2738" t="n">
        <v>2022</v>
      </c>
      <c r="D2738" t="inlineStr">
        <is>
          <t>Operation</t>
        </is>
      </c>
      <c r="E2738" t="inlineStr">
        <is>
          <t>Rubber Export Share</t>
        </is>
      </c>
      <c r="F2738" t="n">
        <v>0.48</v>
      </c>
      <c r="G2738" t="inlineStr">
        <is>
          <t>%</t>
        </is>
      </c>
      <c r="H2738" t="n">
        <v>27</v>
      </c>
      <c r="I2738" t="inlineStr">
        <is>
          <t>Around 48% of total rubber sales volume went to the export market</t>
        </is>
      </c>
      <c r="J2738" t="inlineStr">
        <is>
          <t>High</t>
        </is>
      </c>
      <c r="M2738" t="inlineStr">
        <is>
          <t>LLM</t>
        </is>
      </c>
      <c r="N2738" t="inlineStr">
        <is>
          <t>2026-04-18</t>
        </is>
      </c>
      <c r="O2738" t="inlineStr">
        <is>
          <t>AI</t>
        </is>
      </c>
    </row>
    <row r="2739">
      <c r="A2739" t="inlineStr">
        <is>
          <t>PT Perusahaan Perkebunan London Sumatra Indonesia Tbk</t>
        </is>
      </c>
      <c r="B2739" t="inlineStr">
        <is>
          <t>LSIP_2022_AR.pdf</t>
        </is>
      </c>
      <c r="C2739" t="n">
        <v>2022</v>
      </c>
      <c r="D2739" t="inlineStr">
        <is>
          <t>Operation</t>
        </is>
      </c>
      <c r="E2739" t="inlineStr">
        <is>
          <t>CPO Price (CIF Rotterdam avg 2022)</t>
        </is>
      </c>
      <c r="F2739" t="n">
        <v>1370</v>
      </c>
      <c r="G2739" t="inlineStr">
        <is>
          <t>USD/t</t>
        </is>
      </c>
      <c r="H2739" t="n">
        <v>26</v>
      </c>
      <c r="I2739" t="inlineStr">
        <is>
          <t>USD1,370 per tonne in 2022 compared to USD1,210 per tonne in 2021</t>
        </is>
      </c>
      <c r="J2739" t="inlineStr">
        <is>
          <t>High</t>
        </is>
      </c>
      <c r="M2739" t="inlineStr">
        <is>
          <t>LLM</t>
        </is>
      </c>
      <c r="N2739" t="inlineStr">
        <is>
          <t>2026-04-18</t>
        </is>
      </c>
      <c r="O2739" t="inlineStr">
        <is>
          <t>AI</t>
        </is>
      </c>
    </row>
    <row r="2740">
      <c r="A2740" t="inlineStr">
        <is>
          <t>PT Perusahaan Perkebunan London Sumatra Indonesia Tbk</t>
        </is>
      </c>
      <c r="B2740" t="inlineStr">
        <is>
          <t>LSIP_2022_AR.pdf</t>
        </is>
      </c>
      <c r="C2740" t="n">
        <v>2022</v>
      </c>
      <c r="D2740" t="inlineStr">
        <is>
          <t>Operation</t>
        </is>
      </c>
      <c r="E2740" t="inlineStr">
        <is>
          <t>CPO Price Peak (Mar 2022)</t>
        </is>
      </c>
      <c r="F2740" t="n">
        <v>1868</v>
      </c>
      <c r="G2740" t="inlineStr">
        <is>
          <t>USD/t</t>
        </is>
      </c>
      <c r="H2740" t="n">
        <v>19</v>
      </c>
      <c r="I2740" t="inlineStr">
        <is>
          <t>CPO prices reached an average of USD1,868 per tonne in March 2022</t>
        </is>
      </c>
      <c r="J2740" t="inlineStr">
        <is>
          <t>High</t>
        </is>
      </c>
      <c r="M2740" t="inlineStr">
        <is>
          <t>LLM</t>
        </is>
      </c>
      <c r="N2740" t="inlineStr">
        <is>
          <t>2026-04-18</t>
        </is>
      </c>
      <c r="O2740" t="inlineStr">
        <is>
          <t>AI</t>
        </is>
      </c>
    </row>
    <row r="2741">
      <c r="A2741" t="inlineStr">
        <is>
          <t>PT Perusahaan Perkebunan London Sumatra Indonesia Tbk</t>
        </is>
      </c>
      <c r="B2741" t="inlineStr">
        <is>
          <t>LSIP_2022_AR.pdf</t>
        </is>
      </c>
      <c r="C2741" t="n">
        <v>2022</v>
      </c>
      <c r="D2741" t="inlineStr">
        <is>
          <t>Operation</t>
        </is>
      </c>
      <c r="E2741" t="inlineStr">
        <is>
          <t>Rubber Price (RSS3 SICOM avg)</t>
        </is>
      </c>
      <c r="F2741" t="n">
        <v>1836</v>
      </c>
      <c r="G2741" t="inlineStr">
        <is>
          <t>USD/t</t>
        </is>
      </c>
      <c r="H2741" t="n">
        <v>39</v>
      </c>
      <c r="I2741" t="inlineStr">
        <is>
          <t>Rubber prices (RSS3 SICOM) fell from an average of USD2,082 per tonne in 2021 to USD1,836 per tonne in 2022</t>
        </is>
      </c>
      <c r="J2741" t="inlineStr">
        <is>
          <t>High</t>
        </is>
      </c>
      <c r="M2741" t="inlineStr">
        <is>
          <t>LLM</t>
        </is>
      </c>
      <c r="N2741" t="inlineStr">
        <is>
          <t>2026-04-18</t>
        </is>
      </c>
      <c r="O2741" t="inlineStr">
        <is>
          <t>AI</t>
        </is>
      </c>
    </row>
    <row r="2742">
      <c r="A2742" t="inlineStr">
        <is>
          <t>PT Perusahaan Perkebunan London Sumatra Indonesia Tbk</t>
        </is>
      </c>
      <c r="B2742" t="inlineStr">
        <is>
          <t>LSIP_2022_AR.pdf</t>
        </is>
      </c>
      <c r="C2742" t="n">
        <v>2022</v>
      </c>
      <c r="D2742" t="inlineStr">
        <is>
          <t>ESG</t>
        </is>
      </c>
      <c r="E2742" t="inlineStr">
        <is>
          <t>ISPO-Certified CPO Production</t>
        </is>
      </c>
      <c r="F2742" t="n">
        <v>254000</v>
      </c>
      <c r="G2742" t="inlineStr">
        <is>
          <t>t</t>
        </is>
      </c>
      <c r="H2742" t="n">
        <v>9</v>
      </c>
      <c r="I2742" t="inlineStr">
        <is>
          <t>Lonsum has achieved 254,000 tonnes of ISPO-certified CPO</t>
        </is>
      </c>
      <c r="J2742" t="inlineStr">
        <is>
          <t>High</t>
        </is>
      </c>
      <c r="M2742" t="inlineStr">
        <is>
          <t>LLM</t>
        </is>
      </c>
      <c r="N2742" t="inlineStr">
        <is>
          <t>2026-04-18</t>
        </is>
      </c>
      <c r="O2742" t="inlineStr">
        <is>
          <t>AI</t>
        </is>
      </c>
    </row>
    <row r="2743">
      <c r="A2743" t="inlineStr">
        <is>
          <t>PT Perusahaan Perkebunan London Sumatra Indonesia Tbk</t>
        </is>
      </c>
      <c r="B2743" t="inlineStr">
        <is>
          <t>LSIP_2022_AR.pdf</t>
        </is>
      </c>
      <c r="C2743" t="n">
        <v>2022</v>
      </c>
      <c r="D2743" t="inlineStr">
        <is>
          <t>Financial</t>
        </is>
      </c>
      <c r="E2743" t="inlineStr">
        <is>
          <t>Dividend (prior year 2020 paid in 2021)</t>
        </is>
      </c>
      <c r="F2743" t="n">
        <v>136</v>
      </c>
      <c r="G2743" t="inlineStr">
        <is>
          <t>IDR bn</t>
        </is>
      </c>
      <c r="H2743" t="n">
        <v>34</v>
      </c>
      <c r="I2743" t="inlineStr">
        <is>
          <t>AGM held on August 26, 2021 approved the total dividend payment of Rp136.4 billion, or Rp20 per share, represent around 20% dividend payout</t>
        </is>
      </c>
      <c r="J2743" t="inlineStr">
        <is>
          <t>High</t>
        </is>
      </c>
      <c r="M2743" t="inlineStr">
        <is>
          <t>LLM</t>
        </is>
      </c>
      <c r="N2743" t="inlineStr">
        <is>
          <t>2026-04-18</t>
        </is>
      </c>
      <c r="O2743" t="inlineStr">
        <is>
          <t>AI</t>
        </is>
      </c>
    </row>
    <row r="2744">
      <c r="A2744" t="inlineStr">
        <is>
          <t>PT Perusahaan Perkebunan London Sumatra Indonesia Tbk</t>
        </is>
      </c>
      <c r="B2744" t="inlineStr">
        <is>
          <t>LSIP_2023_AR.pdf</t>
        </is>
      </c>
      <c r="C2744" t="n">
        <v>2023</v>
      </c>
      <c r="D2744" t="inlineStr">
        <is>
          <t>Company</t>
        </is>
      </c>
      <c r="E2744" t="inlineStr">
        <is>
          <t>Company Name</t>
        </is>
      </c>
      <c r="F2744" t="inlineStr">
        <is>
          <t>PT Perusahaan Perkebunan London Sumatra Indonesia Tbk</t>
        </is>
      </c>
      <c r="G2744" t="inlineStr">
        <is>
          <t>text</t>
        </is>
      </c>
      <c r="H2744" t="n">
        <v>9</v>
      </c>
      <c r="I2744" t="inlineStr">
        <is>
          <t>PT PP London Sumatra Indonesia Tbk, also known as Lonsum, is a plantation company in Indonesia</t>
        </is>
      </c>
      <c r="J2744" t="inlineStr">
        <is>
          <t>High</t>
        </is>
      </c>
      <c r="M2744" t="inlineStr">
        <is>
          <t>LLM</t>
        </is>
      </c>
      <c r="N2744" t="inlineStr">
        <is>
          <t>2026-04-18</t>
        </is>
      </c>
      <c r="O2744" t="inlineStr">
        <is>
          <t>AI</t>
        </is>
      </c>
    </row>
    <row r="2745">
      <c r="A2745" t="inlineStr">
        <is>
          <t>PT Perusahaan Perkebunan London Sumatra Indonesia Tbk</t>
        </is>
      </c>
      <c r="B2745" t="inlineStr">
        <is>
          <t>LSIP_2023_AR.pdf</t>
        </is>
      </c>
      <c r="C2745" t="n">
        <v>2023</v>
      </c>
      <c r="D2745" t="inlineStr">
        <is>
          <t>Company</t>
        </is>
      </c>
      <c r="E2745" t="inlineStr">
        <is>
          <t>Year Founded</t>
        </is>
      </c>
      <c r="F2745" t="n">
        <v>1906</v>
      </c>
      <c r="G2745" t="inlineStr">
        <is>
          <t>year</t>
        </is>
      </c>
      <c r="H2745" t="n">
        <v>9</v>
      </c>
      <c r="I2745" t="inlineStr">
        <is>
          <t>founded in 1906 when Harrisons &amp; Crosfield Plc</t>
        </is>
      </c>
      <c r="J2745" t="inlineStr">
        <is>
          <t>High</t>
        </is>
      </c>
      <c r="M2745" t="inlineStr">
        <is>
          <t>LLM</t>
        </is>
      </c>
      <c r="N2745" t="inlineStr">
        <is>
          <t>2026-04-18</t>
        </is>
      </c>
      <c r="O2745" t="inlineStr">
        <is>
          <t>AI</t>
        </is>
      </c>
    </row>
    <row r="2746">
      <c r="A2746" t="inlineStr">
        <is>
          <t>PT Perusahaan Perkebunan London Sumatra Indonesia Tbk</t>
        </is>
      </c>
      <c r="B2746" t="inlineStr">
        <is>
          <t>LSIP_2023_AR.pdf</t>
        </is>
      </c>
      <c r="C2746" t="n">
        <v>2023</v>
      </c>
      <c r="D2746" t="inlineStr">
        <is>
          <t>Company</t>
        </is>
      </c>
      <c r="E2746" t="inlineStr">
        <is>
          <t>Parent (Direct)</t>
        </is>
      </c>
      <c r="F2746" t="inlineStr">
        <is>
          <t>PT Salim Ivomas Pratama Tbk 59.51%</t>
        </is>
      </c>
      <c r="G2746" t="inlineStr">
        <is>
          <t>%</t>
        </is>
      </c>
      <c r="H2746" t="n">
        <v>10</v>
      </c>
      <c r="I2746" t="inlineStr">
        <is>
          <t>PT Salim Ivomas Pratama Tbk 4.058.425.010 59,51%</t>
        </is>
      </c>
      <c r="J2746" t="inlineStr">
        <is>
          <t>High</t>
        </is>
      </c>
      <c r="M2746" t="inlineStr">
        <is>
          <t>LLM</t>
        </is>
      </c>
      <c r="N2746" t="inlineStr">
        <is>
          <t>2026-04-18</t>
        </is>
      </c>
      <c r="O2746" t="inlineStr">
        <is>
          <t>AI</t>
        </is>
      </c>
    </row>
    <row r="2747">
      <c r="A2747" t="inlineStr">
        <is>
          <t>PT Perusahaan Perkebunan London Sumatra Indonesia Tbk</t>
        </is>
      </c>
      <c r="B2747" t="inlineStr">
        <is>
          <t>LSIP_2023_AR.pdf</t>
        </is>
      </c>
      <c r="C2747" t="n">
        <v>2023</v>
      </c>
      <c r="D2747" t="inlineStr">
        <is>
          <t>Company</t>
        </is>
      </c>
      <c r="E2747" t="inlineStr">
        <is>
          <t>Ultimate Parent</t>
        </is>
      </c>
      <c r="F2747" t="inlineStr">
        <is>
          <t>First Pacific Company Limited (HK); Anthoni Salim ultimate controller</t>
        </is>
      </c>
      <c r="G2747" t="inlineStr">
        <is>
          <t>text</t>
        </is>
      </c>
      <c r="H2747" t="n">
        <v>10</v>
      </c>
      <c r="I2747" t="inlineStr">
        <is>
          <t>First Pacific Company Limited is a public listed company on the Hong Kong Stock Exchange. Mr. Anthoni Salim holds interests</t>
        </is>
      </c>
      <c r="J2747" t="inlineStr">
        <is>
          <t>High</t>
        </is>
      </c>
      <c r="M2747" t="inlineStr">
        <is>
          <t>LLM</t>
        </is>
      </c>
      <c r="N2747" t="inlineStr">
        <is>
          <t>2026-04-18</t>
        </is>
      </c>
      <c r="O2747" t="inlineStr">
        <is>
          <t>AI</t>
        </is>
      </c>
    </row>
    <row r="2748">
      <c r="A2748" t="inlineStr">
        <is>
          <t>PT Perusahaan Perkebunan London Sumatra Indonesia Tbk</t>
        </is>
      </c>
      <c r="B2748" t="inlineStr">
        <is>
          <t>LSIP_2023_AR.pdf</t>
        </is>
      </c>
      <c r="C2748" t="n">
        <v>2023</v>
      </c>
      <c r="D2748" t="inlineStr">
        <is>
          <t>Company</t>
        </is>
      </c>
      <c r="E2748" t="inlineStr">
        <is>
          <t>Public Float</t>
        </is>
      </c>
      <c r="F2748" t="n">
        <v>0.4038</v>
      </c>
      <c r="G2748" t="inlineStr">
        <is>
          <t>%</t>
        </is>
      </c>
      <c r="H2748" t="n">
        <v>10</v>
      </c>
      <c r="I2748" t="inlineStr">
        <is>
          <t>Public (each less than 5% ownership interest) 2.753.756.655 40,38%</t>
        </is>
      </c>
      <c r="J2748" t="inlineStr">
        <is>
          <t>High</t>
        </is>
      </c>
      <c r="M2748" t="inlineStr">
        <is>
          <t>LLM</t>
        </is>
      </c>
      <c r="N2748" t="inlineStr">
        <is>
          <t>2026-04-18</t>
        </is>
      </c>
      <c r="O2748" t="inlineStr">
        <is>
          <t>AI</t>
        </is>
      </c>
    </row>
    <row r="2749">
      <c r="A2749" t="inlineStr">
        <is>
          <t>PT Perusahaan Perkebunan London Sumatra Indonesia Tbk</t>
        </is>
      </c>
      <c r="B2749" t="inlineStr">
        <is>
          <t>LSIP_2023_AR.pdf</t>
        </is>
      </c>
      <c r="C2749" t="n">
        <v>2023</v>
      </c>
      <c r="D2749" t="inlineStr">
        <is>
          <t>Company</t>
        </is>
      </c>
      <c r="E2749" t="inlineStr">
        <is>
          <t>Total Shares Outstanding</t>
        </is>
      </c>
      <c r="F2749" t="n">
        <v>6819963965</v>
      </c>
      <c r="G2749" t="inlineStr">
        <is>
          <t>shares</t>
        </is>
      </c>
      <c r="H2749" t="n">
        <v>10</v>
      </c>
      <c r="I2749" t="inlineStr">
        <is>
          <t>Sub Total 6.819.963.965 100,00%</t>
        </is>
      </c>
      <c r="J2749" t="inlineStr">
        <is>
          <t>High</t>
        </is>
      </c>
      <c r="M2749" t="inlineStr">
        <is>
          <t>LLM</t>
        </is>
      </c>
      <c r="N2749" t="inlineStr">
        <is>
          <t>2026-04-18</t>
        </is>
      </c>
      <c r="O2749" t="inlineStr">
        <is>
          <t>AI</t>
        </is>
      </c>
    </row>
    <row r="2750">
      <c r="A2750" t="inlineStr">
        <is>
          <t>PT Perusahaan Perkebunan London Sumatra Indonesia Tbk</t>
        </is>
      </c>
      <c r="B2750" t="inlineStr">
        <is>
          <t>LSIP_2023_AR.pdf</t>
        </is>
      </c>
      <c r="C2750" t="n">
        <v>2023</v>
      </c>
      <c r="D2750" t="inlineStr">
        <is>
          <t>Company</t>
        </is>
      </c>
      <c r="E2750" t="inlineStr">
        <is>
          <t>Treasury Shares</t>
        </is>
      </c>
      <c r="F2750" t="n">
        <v>2900000</v>
      </c>
      <c r="G2750" t="inlineStr">
        <is>
          <t>shares</t>
        </is>
      </c>
      <c r="H2750" t="n">
        <v>10</v>
      </c>
      <c r="I2750" t="inlineStr">
        <is>
          <t>Treasury Shares 2.900.000 2.900.000</t>
        </is>
      </c>
      <c r="J2750" t="inlineStr">
        <is>
          <t>High</t>
        </is>
      </c>
      <c r="M2750" t="inlineStr">
        <is>
          <t>LLM</t>
        </is>
      </c>
      <c r="N2750" t="inlineStr">
        <is>
          <t>2026-04-18</t>
        </is>
      </c>
      <c r="O2750" t="inlineStr">
        <is>
          <t>AI</t>
        </is>
      </c>
    </row>
    <row r="2751">
      <c r="A2751" t="inlineStr">
        <is>
          <t>PT Perusahaan Perkebunan London Sumatra Indonesia Tbk</t>
        </is>
      </c>
      <c r="B2751" t="inlineStr">
        <is>
          <t>LSIP_2023_AR.pdf</t>
        </is>
      </c>
      <c r="C2751" t="n">
        <v>2023</v>
      </c>
      <c r="D2751" t="inlineStr">
        <is>
          <t>Company</t>
        </is>
      </c>
      <c r="E2751" t="inlineStr">
        <is>
          <t>Number of Shareholders</t>
        </is>
      </c>
      <c r="F2751" t="n">
        <v>23698</v>
      </c>
      <c r="G2751" t="inlineStr">
        <is>
          <t>count</t>
        </is>
      </c>
      <c r="H2751" t="n">
        <v>10</v>
      </c>
      <c r="I2751" t="inlineStr">
        <is>
          <t>Total 23.698 100,00%</t>
        </is>
      </c>
      <c r="J2751" t="inlineStr">
        <is>
          <t>High</t>
        </is>
      </c>
      <c r="M2751" t="inlineStr">
        <is>
          <t>LLM</t>
        </is>
      </c>
      <c r="N2751" t="inlineStr">
        <is>
          <t>2026-04-18</t>
        </is>
      </c>
      <c r="O2751" t="inlineStr">
        <is>
          <t>AI</t>
        </is>
      </c>
    </row>
    <row r="2752">
      <c r="A2752" t="inlineStr">
        <is>
          <t>PT Perusahaan Perkebunan London Sumatra Indonesia Tbk</t>
        </is>
      </c>
      <c r="B2752" t="inlineStr">
        <is>
          <t>LSIP_2023_AR.pdf</t>
        </is>
      </c>
      <c r="C2752" t="n">
        <v>2023</v>
      </c>
      <c r="D2752" t="inlineStr">
        <is>
          <t>Financial</t>
        </is>
      </c>
      <c r="E2752" t="inlineStr">
        <is>
          <t>Revenue (Sales)</t>
        </is>
      </c>
      <c r="F2752" t="n">
        <v>4190</v>
      </c>
      <c r="G2752" t="inlineStr">
        <is>
          <t>IDR bn</t>
        </is>
      </c>
      <c r="H2752" t="n">
        <v>4</v>
      </c>
      <c r="I2752" t="inlineStr">
        <is>
          <t>Sales 4.189.896 4.585.348 4.525.473 (million Rupiah)</t>
        </is>
      </c>
      <c r="J2752" t="inlineStr">
        <is>
          <t>High</t>
        </is>
      </c>
      <c r="M2752" t="inlineStr">
        <is>
          <t>LLM</t>
        </is>
      </c>
      <c r="N2752" t="inlineStr">
        <is>
          <t>2026-04-18</t>
        </is>
      </c>
      <c r="O2752" t="inlineStr">
        <is>
          <t>AI</t>
        </is>
      </c>
    </row>
    <row r="2753">
      <c r="A2753" t="inlineStr">
        <is>
          <t>PT Perusahaan Perkebunan London Sumatra Indonesia Tbk</t>
        </is>
      </c>
      <c r="B2753" t="inlineStr">
        <is>
          <t>LSIP_2023_AR.pdf</t>
        </is>
      </c>
      <c r="C2753" t="n">
        <v>2023</v>
      </c>
      <c r="D2753" t="inlineStr">
        <is>
          <t>Financial</t>
        </is>
      </c>
      <c r="E2753" t="inlineStr">
        <is>
          <t>Revenue YoY</t>
        </is>
      </c>
      <c r="F2753" t="n">
        <v>-0.09</v>
      </c>
      <c r="G2753" t="inlineStr">
        <is>
          <t>%</t>
        </is>
      </c>
      <c r="H2753" t="n">
        <v>27</v>
      </c>
      <c r="I2753" t="inlineStr">
        <is>
          <t>total consolidated sales of Rp4.19 trillion in 2023, 9% lower than the previous year's figures of Rp4.59 trillion</t>
        </is>
      </c>
      <c r="J2753" t="inlineStr">
        <is>
          <t>High</t>
        </is>
      </c>
      <c r="M2753" t="inlineStr">
        <is>
          <t>LLM</t>
        </is>
      </c>
      <c r="N2753" t="inlineStr">
        <is>
          <t>2026-04-18</t>
        </is>
      </c>
      <c r="O2753" t="inlineStr">
        <is>
          <t>AI</t>
        </is>
      </c>
    </row>
    <row r="2754">
      <c r="A2754" t="inlineStr">
        <is>
          <t>PT Perusahaan Perkebunan London Sumatra Indonesia Tbk</t>
        </is>
      </c>
      <c r="B2754" t="inlineStr">
        <is>
          <t>LSIP_2023_AR.pdf</t>
        </is>
      </c>
      <c r="C2754" t="n">
        <v>2023</v>
      </c>
      <c r="D2754" t="inlineStr">
        <is>
          <t>Financial</t>
        </is>
      </c>
      <c r="E2754" t="inlineStr">
        <is>
          <t>Oil Palm Product Sales</t>
        </is>
      </c>
      <c r="F2754" t="n">
        <v>3980</v>
      </c>
      <c r="G2754" t="inlineStr">
        <is>
          <t>IDR bn</t>
        </is>
      </c>
      <c r="H2754" t="n">
        <v>27</v>
      </c>
      <c r="I2754" t="inlineStr">
        <is>
          <t>Oil palm products sales decreased 9% to Rp3.98 trillion in 2023 compared to Rp4.35 trillion in 2022</t>
        </is>
      </c>
      <c r="J2754" t="inlineStr">
        <is>
          <t>High</t>
        </is>
      </c>
      <c r="M2754" t="inlineStr">
        <is>
          <t>LLM</t>
        </is>
      </c>
      <c r="N2754" t="inlineStr">
        <is>
          <t>2026-04-18</t>
        </is>
      </c>
      <c r="O2754" t="inlineStr">
        <is>
          <t>AI</t>
        </is>
      </c>
    </row>
    <row r="2755">
      <c r="A2755" t="inlineStr">
        <is>
          <t>PT Perusahaan Perkebunan London Sumatra Indonesia Tbk</t>
        </is>
      </c>
      <c r="B2755" t="inlineStr">
        <is>
          <t>LSIP_2023_AR.pdf</t>
        </is>
      </c>
      <c r="C2755" t="n">
        <v>2023</v>
      </c>
      <c r="D2755" t="inlineStr">
        <is>
          <t>Financial</t>
        </is>
      </c>
      <c r="E2755" t="inlineStr">
        <is>
          <t>Oil Palm Product Sales Share</t>
        </is>
      </c>
      <c r="F2755" t="n">
        <v>0.95</v>
      </c>
      <c r="G2755" t="inlineStr">
        <is>
          <t>%</t>
        </is>
      </c>
      <c r="H2755" t="n">
        <v>27</v>
      </c>
      <c r="I2755" t="inlineStr">
        <is>
          <t>Oil palm products contributed 95% of the Company's total consolidated sales</t>
        </is>
      </c>
      <c r="J2755" t="inlineStr">
        <is>
          <t>High</t>
        </is>
      </c>
      <c r="M2755" t="inlineStr">
        <is>
          <t>LLM</t>
        </is>
      </c>
      <c r="N2755" t="inlineStr">
        <is>
          <t>2026-04-18</t>
        </is>
      </c>
      <c r="O2755" t="inlineStr">
        <is>
          <t>AI</t>
        </is>
      </c>
    </row>
    <row r="2756">
      <c r="A2756" t="inlineStr">
        <is>
          <t>PT Perusahaan Perkebunan London Sumatra Indonesia Tbk</t>
        </is>
      </c>
      <c r="B2756" t="inlineStr">
        <is>
          <t>LSIP_2023_AR.pdf</t>
        </is>
      </c>
      <c r="C2756" t="n">
        <v>2023</v>
      </c>
      <c r="D2756" t="inlineStr">
        <is>
          <t>Financial</t>
        </is>
      </c>
      <c r="E2756" t="inlineStr">
        <is>
          <t>Related-Party Sales Share (to SIMP)</t>
        </is>
      </c>
      <c r="F2756" t="n">
        <v>0.53</v>
      </c>
      <c r="G2756" t="inlineStr">
        <is>
          <t>%</t>
        </is>
      </c>
      <c r="H2756" t="n">
        <v>27</v>
      </c>
      <c r="I2756" t="inlineStr">
        <is>
          <t>Sales to PT Salim Ivomas Pratama Tbk (SIMP), Lonsum's parent company, accounted around 53% of total Lonsum's sales</t>
        </is>
      </c>
      <c r="J2756" t="inlineStr">
        <is>
          <t>High</t>
        </is>
      </c>
      <c r="M2756" t="inlineStr">
        <is>
          <t>LLM</t>
        </is>
      </c>
      <c r="N2756" t="inlineStr">
        <is>
          <t>2026-04-18</t>
        </is>
      </c>
      <c r="O2756" t="inlineStr">
        <is>
          <t>AI</t>
        </is>
      </c>
    </row>
    <row r="2757">
      <c r="A2757" t="inlineStr">
        <is>
          <t>PT Perusahaan Perkebunan London Sumatra Indonesia Tbk</t>
        </is>
      </c>
      <c r="B2757" t="inlineStr">
        <is>
          <t>LSIP_2023_AR.pdf</t>
        </is>
      </c>
      <c r="C2757" t="n">
        <v>2023</v>
      </c>
      <c r="D2757" t="inlineStr">
        <is>
          <t>Financial</t>
        </is>
      </c>
      <c r="E2757" t="inlineStr">
        <is>
          <t>Oil Palm Segment Result</t>
        </is>
      </c>
      <c r="F2757" t="n">
        <v>918</v>
      </c>
      <c r="G2757" t="inlineStr">
        <is>
          <t>IDR bn</t>
        </is>
      </c>
      <c r="H2757" t="n">
        <v>36</v>
      </c>
      <c r="I2757" t="inlineStr">
        <is>
          <t>segment results down 26% to Rp918.1 billion</t>
        </is>
      </c>
      <c r="J2757" t="inlineStr">
        <is>
          <t>High</t>
        </is>
      </c>
      <c r="M2757" t="inlineStr">
        <is>
          <t>LLM</t>
        </is>
      </c>
      <c r="N2757" t="inlineStr">
        <is>
          <t>2026-04-18</t>
        </is>
      </c>
      <c r="O2757" t="inlineStr">
        <is>
          <t>AI</t>
        </is>
      </c>
    </row>
    <row r="2758">
      <c r="A2758" t="inlineStr">
        <is>
          <t>PT Perusahaan Perkebunan London Sumatra Indonesia Tbk</t>
        </is>
      </c>
      <c r="B2758" t="inlineStr">
        <is>
          <t>LSIP_2023_AR.pdf</t>
        </is>
      </c>
      <c r="C2758" t="n">
        <v>2023</v>
      </c>
      <c r="D2758" t="inlineStr">
        <is>
          <t>Financial</t>
        </is>
      </c>
      <c r="E2758" t="inlineStr">
        <is>
          <t>Cost of Goods Sold</t>
        </is>
      </c>
      <c r="F2758" t="n">
        <v>3039</v>
      </c>
      <c r="G2758" t="inlineStr">
        <is>
          <t>IDR bn</t>
        </is>
      </c>
      <c r="H2758" t="n">
        <v>117</v>
      </c>
      <c r="I2758" t="inlineStr">
        <is>
          <t>Beban pokok penjualan (3.039.028) 23,28 (3.093.904)</t>
        </is>
      </c>
      <c r="J2758" t="inlineStr">
        <is>
          <t>High</t>
        </is>
      </c>
      <c r="M2758" t="inlineStr">
        <is>
          <t>LLM</t>
        </is>
      </c>
      <c r="N2758" t="inlineStr">
        <is>
          <t>2026-04-18</t>
        </is>
      </c>
      <c r="O2758" t="inlineStr">
        <is>
          <t>AI</t>
        </is>
      </c>
    </row>
    <row r="2759">
      <c r="A2759" t="inlineStr">
        <is>
          <t>PT Perusahaan Perkebunan London Sumatra Indonesia Tbk</t>
        </is>
      </c>
      <c r="B2759" t="inlineStr">
        <is>
          <t>LSIP_2023_AR.pdf</t>
        </is>
      </c>
      <c r="C2759" t="n">
        <v>2023</v>
      </c>
      <c r="D2759" t="inlineStr">
        <is>
          <t>Financial</t>
        </is>
      </c>
      <c r="E2759" t="inlineStr">
        <is>
          <t>Gross Profit</t>
        </is>
      </c>
      <c r="F2759" t="n">
        <v>1151</v>
      </c>
      <c r="G2759" t="inlineStr">
        <is>
          <t>IDR bn</t>
        </is>
      </c>
      <c r="H2759" t="n">
        <v>4</v>
      </c>
      <c r="I2759" t="inlineStr">
        <is>
          <t>Gross Profit 1.150.868 1.491.444 1.809.365</t>
        </is>
      </c>
      <c r="J2759" t="inlineStr">
        <is>
          <t>High</t>
        </is>
      </c>
      <c r="M2759" t="inlineStr">
        <is>
          <t>LLM</t>
        </is>
      </c>
      <c r="N2759" t="inlineStr">
        <is>
          <t>2026-04-18</t>
        </is>
      </c>
      <c r="O2759" t="inlineStr">
        <is>
          <t>AI</t>
        </is>
      </c>
    </row>
    <row r="2760">
      <c r="A2760" t="inlineStr">
        <is>
          <t>PT Perusahaan Perkebunan London Sumatra Indonesia Tbk</t>
        </is>
      </c>
      <c r="B2760" t="inlineStr">
        <is>
          <t>LSIP_2023_AR.pdf</t>
        </is>
      </c>
      <c r="C2760" t="n">
        <v>2023</v>
      </c>
      <c r="D2760" t="inlineStr">
        <is>
          <t>Financial</t>
        </is>
      </c>
      <c r="E2760" t="inlineStr">
        <is>
          <t>Gross Profit Margin</t>
        </is>
      </c>
      <c r="F2760" t="n">
        <v>0.275</v>
      </c>
      <c r="G2760" t="inlineStr">
        <is>
          <t>%</t>
        </is>
      </c>
      <c r="H2760" t="n">
        <v>4</v>
      </c>
      <c r="I2760" t="inlineStr">
        <is>
          <t>Gross Profit Margin (%) 27,5 32,5 40,0</t>
        </is>
      </c>
      <c r="J2760" t="inlineStr">
        <is>
          <t>High</t>
        </is>
      </c>
      <c r="M2760" t="inlineStr">
        <is>
          <t>LLM</t>
        </is>
      </c>
      <c r="N2760" t="inlineStr">
        <is>
          <t>2026-04-18</t>
        </is>
      </c>
      <c r="O2760" t="inlineStr">
        <is>
          <t>AI</t>
        </is>
      </c>
    </row>
    <row r="2761">
      <c r="A2761" t="inlineStr">
        <is>
          <t>PT Perusahaan Perkebunan London Sumatra Indonesia Tbk</t>
        </is>
      </c>
      <c r="B2761" t="inlineStr">
        <is>
          <t>LSIP_2023_AR.pdf</t>
        </is>
      </c>
      <c r="C2761" t="n">
        <v>2023</v>
      </c>
      <c r="D2761" t="inlineStr">
        <is>
          <t>Financial</t>
        </is>
      </c>
      <c r="E2761" t="inlineStr">
        <is>
          <t>Operating Profit</t>
        </is>
      </c>
      <c r="F2761" t="n">
        <v>759</v>
      </c>
      <c r="G2761" t="inlineStr">
        <is>
          <t>IDR bn</t>
        </is>
      </c>
      <c r="H2761" t="n">
        <v>4</v>
      </c>
      <c r="I2761" t="inlineStr">
        <is>
          <t>Operating Profit 759.425 1.205.856 1.192.706</t>
        </is>
      </c>
      <c r="J2761" t="inlineStr">
        <is>
          <t>High</t>
        </is>
      </c>
      <c r="M2761" t="inlineStr">
        <is>
          <t>LLM</t>
        </is>
      </c>
      <c r="N2761" t="inlineStr">
        <is>
          <t>2026-04-18</t>
        </is>
      </c>
      <c r="O2761" t="inlineStr">
        <is>
          <t>AI</t>
        </is>
      </c>
    </row>
    <row r="2762">
      <c r="A2762" t="inlineStr">
        <is>
          <t>PT Perusahaan Perkebunan London Sumatra Indonesia Tbk</t>
        </is>
      </c>
      <c r="B2762" t="inlineStr">
        <is>
          <t>LSIP_2023_AR.pdf</t>
        </is>
      </c>
      <c r="C2762" t="n">
        <v>2023</v>
      </c>
      <c r="D2762" t="inlineStr">
        <is>
          <t>Financial</t>
        </is>
      </c>
      <c r="E2762" t="inlineStr">
        <is>
          <t>Operating Profit Margin</t>
        </is>
      </c>
      <c r="F2762" t="n">
        <v>0.181</v>
      </c>
      <c r="G2762" t="inlineStr">
        <is>
          <t>%</t>
        </is>
      </c>
      <c r="H2762" t="n">
        <v>4</v>
      </c>
      <c r="I2762" t="inlineStr">
        <is>
          <t>Operating Profit Margin (%) 18,1 26,3 26,4</t>
        </is>
      </c>
      <c r="J2762" t="inlineStr">
        <is>
          <t>High</t>
        </is>
      </c>
      <c r="M2762" t="inlineStr">
        <is>
          <t>LLM</t>
        </is>
      </c>
      <c r="N2762" t="inlineStr">
        <is>
          <t>2026-04-18</t>
        </is>
      </c>
      <c r="O2762" t="inlineStr">
        <is>
          <t>AI</t>
        </is>
      </c>
    </row>
    <row r="2763">
      <c r="A2763" t="inlineStr">
        <is>
          <t>PT Perusahaan Perkebunan London Sumatra Indonesia Tbk</t>
        </is>
      </c>
      <c r="B2763" t="inlineStr">
        <is>
          <t>LSIP_2023_AR.pdf</t>
        </is>
      </c>
      <c r="C2763" t="n">
        <v>2023</v>
      </c>
      <c r="D2763" t="inlineStr">
        <is>
          <t>Financial</t>
        </is>
      </c>
      <c r="E2763" t="inlineStr">
        <is>
          <t>EBITDA</t>
        </is>
      </c>
      <c r="F2763" t="n">
        <v>1301</v>
      </c>
      <c r="G2763" t="inlineStr">
        <is>
          <t>IDR bn</t>
        </is>
      </c>
      <c r="H2763" t="n">
        <v>4</v>
      </c>
      <c r="I2763" t="inlineStr">
        <is>
          <t>EBITDA1 1.300.543 1.747.298 1.949.617</t>
        </is>
      </c>
      <c r="J2763" t="inlineStr">
        <is>
          <t>High</t>
        </is>
      </c>
      <c r="M2763" t="inlineStr">
        <is>
          <t>LLM</t>
        </is>
      </c>
      <c r="N2763" t="inlineStr">
        <is>
          <t>2026-04-18</t>
        </is>
      </c>
      <c r="O2763" t="inlineStr">
        <is>
          <t>AI</t>
        </is>
      </c>
    </row>
    <row r="2764">
      <c r="A2764" t="inlineStr">
        <is>
          <t>PT Perusahaan Perkebunan London Sumatra Indonesia Tbk</t>
        </is>
      </c>
      <c r="B2764" t="inlineStr">
        <is>
          <t>LSIP_2023_AR.pdf</t>
        </is>
      </c>
      <c r="C2764" t="n">
        <v>2023</v>
      </c>
      <c r="D2764" t="inlineStr">
        <is>
          <t>Financial</t>
        </is>
      </c>
      <c r="E2764" t="inlineStr">
        <is>
          <t>EBITDA Margin</t>
        </is>
      </c>
      <c r="F2764" t="n">
        <v>0.31</v>
      </c>
      <c r="G2764" t="inlineStr">
        <is>
          <t>%</t>
        </is>
      </c>
      <c r="H2764" t="n">
        <v>4</v>
      </c>
      <c r="I2764" t="inlineStr">
        <is>
          <t>EBITDA Margin (%) 31,0 38,1 43,1</t>
        </is>
      </c>
      <c r="J2764" t="inlineStr">
        <is>
          <t>High</t>
        </is>
      </c>
      <c r="M2764" t="inlineStr">
        <is>
          <t>LLM</t>
        </is>
      </c>
      <c r="N2764" t="inlineStr">
        <is>
          <t>2026-04-18</t>
        </is>
      </c>
      <c r="O2764" t="inlineStr">
        <is>
          <t>AI</t>
        </is>
      </c>
    </row>
    <row r="2765">
      <c r="A2765" t="inlineStr">
        <is>
          <t>PT Perusahaan Perkebunan London Sumatra Indonesia Tbk</t>
        </is>
      </c>
      <c r="B2765" t="inlineStr">
        <is>
          <t>LSIP_2023_AR.pdf</t>
        </is>
      </c>
      <c r="C2765" t="n">
        <v>2023</v>
      </c>
      <c r="D2765" t="inlineStr">
        <is>
          <t>Financial</t>
        </is>
      </c>
      <c r="E2765" t="inlineStr">
        <is>
          <t>Finance Income</t>
        </is>
      </c>
      <c r="F2765" t="n">
        <v>156</v>
      </c>
      <c r="G2765" t="inlineStr">
        <is>
          <t>IDR bn</t>
        </is>
      </c>
      <c r="H2765" t="n">
        <v>117</v>
      </c>
      <c r="I2765" t="inlineStr">
        <is>
          <t>Penghasilan keuangan 155.566 25,28 80.350</t>
        </is>
      </c>
      <c r="J2765" t="inlineStr">
        <is>
          <t>High</t>
        </is>
      </c>
      <c r="M2765" t="inlineStr">
        <is>
          <t>LLM</t>
        </is>
      </c>
      <c r="N2765" t="inlineStr">
        <is>
          <t>2026-04-18</t>
        </is>
      </c>
      <c r="O2765" t="inlineStr">
        <is>
          <t>AI</t>
        </is>
      </c>
    </row>
    <row r="2766">
      <c r="A2766" t="inlineStr">
        <is>
          <t>PT Perusahaan Perkebunan London Sumatra Indonesia Tbk</t>
        </is>
      </c>
      <c r="B2766" t="inlineStr">
        <is>
          <t>LSIP_2023_AR.pdf</t>
        </is>
      </c>
      <c r="C2766" t="n">
        <v>2023</v>
      </c>
      <c r="D2766" t="inlineStr">
        <is>
          <t>Financial</t>
        </is>
      </c>
      <c r="E2766" t="inlineStr">
        <is>
          <t>Finance Cost</t>
        </is>
      </c>
      <c r="F2766" t="n">
        <v>1</v>
      </c>
      <c r="G2766" t="inlineStr">
        <is>
          <t>IDR bn</t>
        </is>
      </c>
      <c r="H2766" t="n">
        <v>117</v>
      </c>
      <c r="I2766" t="inlineStr">
        <is>
          <t>Beban keuangan (566) 25 (676)</t>
        </is>
      </c>
      <c r="J2766" t="inlineStr">
        <is>
          <t>High</t>
        </is>
      </c>
      <c r="M2766" t="inlineStr">
        <is>
          <t>LLM</t>
        </is>
      </c>
      <c r="N2766" t="inlineStr">
        <is>
          <t>2026-04-18</t>
        </is>
      </c>
      <c r="O2766" t="inlineStr">
        <is>
          <t>AI</t>
        </is>
      </c>
    </row>
    <row r="2767">
      <c r="A2767" t="inlineStr">
        <is>
          <t>PT Perusahaan Perkebunan London Sumatra Indonesia Tbk</t>
        </is>
      </c>
      <c r="B2767" t="inlineStr">
        <is>
          <t>LSIP_2023_AR.pdf</t>
        </is>
      </c>
      <c r="C2767" t="n">
        <v>2023</v>
      </c>
      <c r="D2767" t="inlineStr">
        <is>
          <t>Financial</t>
        </is>
      </c>
      <c r="E2767" t="inlineStr">
        <is>
          <t>Gain from FV Changes Biological Assets</t>
        </is>
      </c>
      <c r="F2767" t="n">
        <v>1</v>
      </c>
      <c r="G2767" t="inlineStr">
        <is>
          <t>IDR bn</t>
        </is>
      </c>
      <c r="H2767" t="n">
        <v>117</v>
      </c>
      <c r="I2767" t="inlineStr">
        <is>
          <t>Laba/(rugi) atas perubahan nilai wajar aset biologis 1.101 8 (50.585)</t>
        </is>
      </c>
      <c r="J2767" t="inlineStr">
        <is>
          <t>High</t>
        </is>
      </c>
      <c r="M2767" t="inlineStr">
        <is>
          <t>LLM</t>
        </is>
      </c>
      <c r="N2767" t="inlineStr">
        <is>
          <t>2026-04-18</t>
        </is>
      </c>
      <c r="O2767" t="inlineStr">
        <is>
          <t>AI</t>
        </is>
      </c>
    </row>
    <row r="2768">
      <c r="A2768" t="inlineStr">
        <is>
          <t>PT Perusahaan Perkebunan London Sumatra Indonesia Tbk</t>
        </is>
      </c>
      <c r="B2768" t="inlineStr">
        <is>
          <t>LSIP_2023_AR.pdf</t>
        </is>
      </c>
      <c r="C2768" t="n">
        <v>2023</v>
      </c>
      <c r="D2768" t="inlineStr">
        <is>
          <t>Financial</t>
        </is>
      </c>
      <c r="E2768" t="inlineStr">
        <is>
          <t>Profit Before Income Tax</t>
        </is>
      </c>
      <c r="F2768" t="n">
        <v>911</v>
      </c>
      <c r="G2768" t="inlineStr">
        <is>
          <t>IDR bn</t>
        </is>
      </c>
      <c r="H2768" t="n">
        <v>117</v>
      </c>
      <c r="I2768" t="inlineStr">
        <is>
          <t>Laba sebelum pajak penghasilan 911.426 1.283.525</t>
        </is>
      </c>
      <c r="J2768" t="inlineStr">
        <is>
          <t>High</t>
        </is>
      </c>
      <c r="M2768" t="inlineStr">
        <is>
          <t>LLM</t>
        </is>
      </c>
      <c r="N2768" t="inlineStr">
        <is>
          <t>2026-04-18</t>
        </is>
      </c>
      <c r="O2768" t="inlineStr">
        <is>
          <t>AI</t>
        </is>
      </c>
    </row>
    <row r="2769">
      <c r="A2769" t="inlineStr">
        <is>
          <t>PT Perusahaan Perkebunan London Sumatra Indonesia Tbk</t>
        </is>
      </c>
      <c r="B2769" t="inlineStr">
        <is>
          <t>LSIP_2023_AR.pdf</t>
        </is>
      </c>
      <c r="C2769" t="n">
        <v>2023</v>
      </c>
      <c r="D2769" t="inlineStr">
        <is>
          <t>Financial</t>
        </is>
      </c>
      <c r="E2769" t="inlineStr">
        <is>
          <t>Income Tax Expense</t>
        </is>
      </c>
      <c r="F2769" t="n">
        <v>151</v>
      </c>
      <c r="G2769" t="inlineStr">
        <is>
          <t>IDR bn</t>
        </is>
      </c>
      <c r="H2769" t="n">
        <v>117</v>
      </c>
      <c r="I2769" t="inlineStr">
        <is>
          <t>Beban pajak penghasilan (150.753) 19 (248.240)</t>
        </is>
      </c>
      <c r="J2769" t="inlineStr">
        <is>
          <t>High</t>
        </is>
      </c>
      <c r="M2769" t="inlineStr">
        <is>
          <t>LLM</t>
        </is>
      </c>
      <c r="N2769" t="inlineStr">
        <is>
          <t>2026-04-18</t>
        </is>
      </c>
      <c r="O2769" t="inlineStr">
        <is>
          <t>AI</t>
        </is>
      </c>
    </row>
    <row r="2770">
      <c r="A2770" t="inlineStr">
        <is>
          <t>PT Perusahaan Perkebunan London Sumatra Indonesia Tbk</t>
        </is>
      </c>
      <c r="B2770" t="inlineStr">
        <is>
          <t>LSIP_2023_AR.pdf</t>
        </is>
      </c>
      <c r="C2770" t="n">
        <v>2023</v>
      </c>
      <c r="D2770" t="inlineStr">
        <is>
          <t>Financial</t>
        </is>
      </c>
      <c r="E2770" t="inlineStr">
        <is>
          <t>Net Profit</t>
        </is>
      </c>
      <c r="F2770" t="n">
        <v>761</v>
      </c>
      <c r="G2770" t="inlineStr">
        <is>
          <t>IDR bn</t>
        </is>
      </c>
      <c r="H2770" t="n">
        <v>4</v>
      </c>
      <c r="I2770" t="inlineStr">
        <is>
          <t>Profit for the Year 760.673 1.035.285 991.630</t>
        </is>
      </c>
      <c r="J2770" t="inlineStr">
        <is>
          <t>High</t>
        </is>
      </c>
      <c r="M2770" t="inlineStr">
        <is>
          <t>LLM</t>
        </is>
      </c>
      <c r="N2770" t="inlineStr">
        <is>
          <t>2026-04-18</t>
        </is>
      </c>
      <c r="O2770" t="inlineStr">
        <is>
          <t>AI</t>
        </is>
      </c>
    </row>
    <row r="2771">
      <c r="A2771" t="inlineStr">
        <is>
          <t>PT Perusahaan Perkebunan London Sumatra Indonesia Tbk</t>
        </is>
      </c>
      <c r="B2771" t="inlineStr">
        <is>
          <t>LSIP_2023_AR.pdf</t>
        </is>
      </c>
      <c r="C2771" t="n">
        <v>2023</v>
      </c>
      <c r="D2771" t="inlineStr">
        <is>
          <t>Financial</t>
        </is>
      </c>
      <c r="E2771" t="inlineStr">
        <is>
          <t>Profit Attributable to Parent</t>
        </is>
      </c>
      <c r="F2771" t="n">
        <v>762</v>
      </c>
      <c r="G2771" t="inlineStr">
        <is>
          <t>IDR bn</t>
        </is>
      </c>
      <c r="H2771" t="n">
        <v>4</v>
      </c>
      <c r="I2771" t="inlineStr">
        <is>
          <t>Profit for the Year Attributable to Owners of the Parent 761.995 1.036.448</t>
        </is>
      </c>
      <c r="J2771" t="inlineStr">
        <is>
          <t>High</t>
        </is>
      </c>
      <c r="M2771" t="inlineStr">
        <is>
          <t>LLM</t>
        </is>
      </c>
      <c r="N2771" t="inlineStr">
        <is>
          <t>2026-04-18</t>
        </is>
      </c>
      <c r="O2771" t="inlineStr">
        <is>
          <t>AI</t>
        </is>
      </c>
    </row>
    <row r="2772">
      <c r="A2772" t="inlineStr">
        <is>
          <t>PT Perusahaan Perkebunan London Sumatra Indonesia Tbk</t>
        </is>
      </c>
      <c r="B2772" t="inlineStr">
        <is>
          <t>LSIP_2023_AR.pdf</t>
        </is>
      </c>
      <c r="C2772" t="n">
        <v>2023</v>
      </c>
      <c r="D2772" t="inlineStr">
        <is>
          <t>Financial</t>
        </is>
      </c>
      <c r="E2772" t="inlineStr">
        <is>
          <t>Core Profit</t>
        </is>
      </c>
      <c r="F2772" t="n">
        <v>927</v>
      </c>
      <c r="G2772" t="inlineStr">
        <is>
          <t>IDR bn</t>
        </is>
      </c>
      <c r="H2772" t="n">
        <v>28</v>
      </c>
      <c r="I2772" t="inlineStr">
        <is>
          <t>core profit decreased 17% to Rp927.4 billion in 2023</t>
        </is>
      </c>
      <c r="J2772" t="inlineStr">
        <is>
          <t>High</t>
        </is>
      </c>
      <c r="M2772" t="inlineStr">
        <is>
          <t>LLM</t>
        </is>
      </c>
      <c r="N2772" t="inlineStr">
        <is>
          <t>2026-04-18</t>
        </is>
      </c>
      <c r="O2772" t="inlineStr">
        <is>
          <t>AI</t>
        </is>
      </c>
    </row>
    <row r="2773">
      <c r="A2773" t="inlineStr">
        <is>
          <t>PT Perusahaan Perkebunan London Sumatra Indonesia Tbk</t>
        </is>
      </c>
      <c r="B2773" t="inlineStr">
        <is>
          <t>LSIP_2023_AR.pdf</t>
        </is>
      </c>
      <c r="C2773" t="n">
        <v>2023</v>
      </c>
      <c r="D2773" t="inlineStr">
        <is>
          <t>Financial</t>
        </is>
      </c>
      <c r="E2773" t="inlineStr">
        <is>
          <t>Total Assets</t>
        </is>
      </c>
      <c r="F2773" t="n">
        <v>12514</v>
      </c>
      <c r="G2773" t="inlineStr">
        <is>
          <t>IDR bn</t>
        </is>
      </c>
      <c r="H2773" t="n">
        <v>4</v>
      </c>
      <c r="I2773" t="inlineStr">
        <is>
          <t>Total Assets 12.514.203 12.417.013 11.851.269</t>
        </is>
      </c>
      <c r="J2773" t="inlineStr">
        <is>
          <t>High</t>
        </is>
      </c>
      <c r="M2773" t="inlineStr">
        <is>
          <t>LLM</t>
        </is>
      </c>
      <c r="N2773" t="inlineStr">
        <is>
          <t>2026-04-18</t>
        </is>
      </c>
      <c r="O2773" t="inlineStr">
        <is>
          <t>AI</t>
        </is>
      </c>
    </row>
    <row r="2774">
      <c r="A2774" t="inlineStr">
        <is>
          <t>PT Perusahaan Perkebunan London Sumatra Indonesia Tbk</t>
        </is>
      </c>
      <c r="B2774" t="inlineStr">
        <is>
          <t>LSIP_2023_AR.pdf</t>
        </is>
      </c>
      <c r="C2774" t="n">
        <v>2023</v>
      </c>
      <c r="D2774" t="inlineStr">
        <is>
          <t>Financial</t>
        </is>
      </c>
      <c r="E2774" t="inlineStr">
        <is>
          <t>Current Assets</t>
        </is>
      </c>
      <c r="F2774" t="n">
        <v>5377</v>
      </c>
      <c r="G2774" t="inlineStr">
        <is>
          <t>IDR bn</t>
        </is>
      </c>
      <c r="H2774" t="n">
        <v>4</v>
      </c>
      <c r="I2774" t="inlineStr">
        <is>
          <t>Current Assets 5.376.837 5.107.489 4.307.772</t>
        </is>
      </c>
      <c r="J2774" t="inlineStr">
        <is>
          <t>High</t>
        </is>
      </c>
      <c r="M2774" t="inlineStr">
        <is>
          <t>LLM</t>
        </is>
      </c>
      <c r="N2774" t="inlineStr">
        <is>
          <t>2026-04-18</t>
        </is>
      </c>
      <c r="O2774" t="inlineStr">
        <is>
          <t>AI</t>
        </is>
      </c>
    </row>
    <row r="2775">
      <c r="A2775" t="inlineStr">
        <is>
          <t>PT Perusahaan Perkebunan London Sumatra Indonesia Tbk</t>
        </is>
      </c>
      <c r="B2775" t="inlineStr">
        <is>
          <t>LSIP_2023_AR.pdf</t>
        </is>
      </c>
      <c r="C2775" t="n">
        <v>2023</v>
      </c>
      <c r="D2775" t="inlineStr">
        <is>
          <t>Financial</t>
        </is>
      </c>
      <c r="E2775" t="inlineStr">
        <is>
          <t>Non-Current Assets</t>
        </is>
      </c>
      <c r="F2775" t="n">
        <v>7137</v>
      </c>
      <c r="G2775" t="inlineStr">
        <is>
          <t>IDR bn</t>
        </is>
      </c>
      <c r="H2775" t="n">
        <v>115</v>
      </c>
      <c r="I2775" t="inlineStr">
        <is>
          <t>Total Aset Tidak Lancar 7.137.366 7.309.524</t>
        </is>
      </c>
      <c r="J2775" t="inlineStr">
        <is>
          <t>High</t>
        </is>
      </c>
      <c r="M2775" t="inlineStr">
        <is>
          <t>LLM</t>
        </is>
      </c>
      <c r="N2775" t="inlineStr">
        <is>
          <t>2026-04-18</t>
        </is>
      </c>
      <c r="O2775" t="inlineStr">
        <is>
          <t>AI</t>
        </is>
      </c>
    </row>
    <row r="2776">
      <c r="A2776" t="inlineStr">
        <is>
          <t>PT Perusahaan Perkebunan London Sumatra Indonesia Tbk</t>
        </is>
      </c>
      <c r="B2776" t="inlineStr">
        <is>
          <t>LSIP_2023_AR.pdf</t>
        </is>
      </c>
      <c r="C2776" t="n">
        <v>2023</v>
      </c>
      <c r="D2776" t="inlineStr">
        <is>
          <t>Financial</t>
        </is>
      </c>
      <c r="E2776" t="inlineStr">
        <is>
          <t>Cash and Cash Equivalents</t>
        </is>
      </c>
      <c r="F2776" t="n">
        <v>4511</v>
      </c>
      <c r="G2776" t="inlineStr">
        <is>
          <t>IDR bn</t>
        </is>
      </c>
      <c r="H2776" t="n">
        <v>120</v>
      </c>
      <c r="I2776" t="inlineStr">
        <is>
          <t>Kas dan Setara Kas Akhir Tahun 4.511.450 3.847.390</t>
        </is>
      </c>
      <c r="J2776" t="inlineStr">
        <is>
          <t>High</t>
        </is>
      </c>
      <c r="M2776" t="inlineStr">
        <is>
          <t>LLM</t>
        </is>
      </c>
      <c r="N2776" t="inlineStr">
        <is>
          <t>2026-04-18</t>
        </is>
      </c>
      <c r="O2776" t="inlineStr">
        <is>
          <t>AI</t>
        </is>
      </c>
    </row>
    <row r="2777">
      <c r="A2777" t="inlineStr">
        <is>
          <t>PT Perusahaan Perkebunan London Sumatra Indonesia Tbk</t>
        </is>
      </c>
      <c r="B2777" t="inlineStr">
        <is>
          <t>LSIP_2023_AR.pdf</t>
        </is>
      </c>
      <c r="C2777" t="n">
        <v>2023</v>
      </c>
      <c r="D2777" t="inlineStr">
        <is>
          <t>Financial</t>
        </is>
      </c>
      <c r="E2777" t="inlineStr">
        <is>
          <t>Inventories</t>
        </is>
      </c>
      <c r="F2777" t="n">
        <v>431</v>
      </c>
      <c r="G2777" t="inlineStr">
        <is>
          <t>IDR bn</t>
        </is>
      </c>
      <c r="H2777" t="n">
        <v>115</v>
      </c>
      <c r="I2777" t="inlineStr">
        <is>
          <t>Persediaan 431.429 7 652.810 Inventories</t>
        </is>
      </c>
      <c r="J2777" t="inlineStr">
        <is>
          <t>High</t>
        </is>
      </c>
      <c r="M2777" t="inlineStr">
        <is>
          <t>LLM</t>
        </is>
      </c>
      <c r="N2777" t="inlineStr">
        <is>
          <t>2026-04-18</t>
        </is>
      </c>
      <c r="O2777" t="inlineStr">
        <is>
          <t>AI</t>
        </is>
      </c>
    </row>
    <row r="2778">
      <c r="A2778" t="inlineStr">
        <is>
          <t>PT Perusahaan Perkebunan London Sumatra Indonesia Tbk</t>
        </is>
      </c>
      <c r="B2778" t="inlineStr">
        <is>
          <t>LSIP_2023_AR.pdf</t>
        </is>
      </c>
      <c r="C2778" t="n">
        <v>2023</v>
      </c>
      <c r="D2778" t="inlineStr">
        <is>
          <t>Financial</t>
        </is>
      </c>
      <c r="E2778" t="inlineStr">
        <is>
          <t>Biological Assets (Current)</t>
        </is>
      </c>
      <c r="F2778" t="n">
        <v>163</v>
      </c>
      <c r="G2778" t="inlineStr">
        <is>
          <t>IDR bn</t>
        </is>
      </c>
      <c r="H2778" t="n">
        <v>115</v>
      </c>
      <c r="I2778" t="inlineStr">
        <is>
          <t>Aset biologis 162.867 8 161.766</t>
        </is>
      </c>
      <c r="J2778" t="inlineStr">
        <is>
          <t>High</t>
        </is>
      </c>
      <c r="M2778" t="inlineStr">
        <is>
          <t>LLM</t>
        </is>
      </c>
      <c r="N2778" t="inlineStr">
        <is>
          <t>2026-04-18</t>
        </is>
      </c>
      <c r="O2778" t="inlineStr">
        <is>
          <t>AI</t>
        </is>
      </c>
    </row>
    <row r="2779">
      <c r="A2779" t="inlineStr">
        <is>
          <t>PT Perusahaan Perkebunan London Sumatra Indonesia Tbk</t>
        </is>
      </c>
      <c r="B2779" t="inlineStr">
        <is>
          <t>LSIP_2023_AR.pdf</t>
        </is>
      </c>
      <c r="C2779" t="n">
        <v>2023</v>
      </c>
      <c r="D2779" t="inlineStr">
        <is>
          <t>Financial</t>
        </is>
      </c>
      <c r="E2779" t="inlineStr">
        <is>
          <t>Investment in Associates</t>
        </is>
      </c>
      <c r="F2779" t="n">
        <v>1259</v>
      </c>
      <c r="G2779" t="inlineStr">
        <is>
          <t>IDR bn</t>
        </is>
      </c>
      <c r="H2779" t="n">
        <v>115</v>
      </c>
      <c r="I2779" t="inlineStr">
        <is>
          <t>Investasi pada entitas asosiasi 1.259.335 11 1.262.334</t>
        </is>
      </c>
      <c r="J2779" t="inlineStr">
        <is>
          <t>High</t>
        </is>
      </c>
      <c r="M2779" t="inlineStr">
        <is>
          <t>LLM</t>
        </is>
      </c>
      <c r="N2779" t="inlineStr">
        <is>
          <t>2026-04-18</t>
        </is>
      </c>
      <c r="O2779" t="inlineStr">
        <is>
          <t>AI</t>
        </is>
      </c>
    </row>
    <row r="2780">
      <c r="A2780" t="inlineStr">
        <is>
          <t>PT Perusahaan Perkebunan London Sumatra Indonesia Tbk</t>
        </is>
      </c>
      <c r="B2780" t="inlineStr">
        <is>
          <t>LSIP_2023_AR.pdf</t>
        </is>
      </c>
      <c r="C2780" t="n">
        <v>2023</v>
      </c>
      <c r="D2780" t="inlineStr">
        <is>
          <t>Financial</t>
        </is>
      </c>
      <c r="E2780" t="inlineStr">
        <is>
          <t>Fixed Assets</t>
        </is>
      </c>
      <c r="F2780" t="n">
        <v>5493</v>
      </c>
      <c r="G2780" t="inlineStr">
        <is>
          <t>IDR bn</t>
        </is>
      </c>
      <c r="H2780" t="n">
        <v>115</v>
      </c>
      <c r="I2780" t="inlineStr">
        <is>
          <t>Aset tetap 5.493.363 3,14 5.665.815</t>
        </is>
      </c>
      <c r="J2780" t="inlineStr">
        <is>
          <t>High</t>
        </is>
      </c>
      <c r="M2780" t="inlineStr">
        <is>
          <t>LLM</t>
        </is>
      </c>
      <c r="N2780" t="inlineStr">
        <is>
          <t>2026-04-18</t>
        </is>
      </c>
      <c r="O2780" t="inlineStr">
        <is>
          <t>AI</t>
        </is>
      </c>
    </row>
    <row r="2781">
      <c r="A2781" t="inlineStr">
        <is>
          <t>PT Perusahaan Perkebunan London Sumatra Indonesia Tbk</t>
        </is>
      </c>
      <c r="B2781" t="inlineStr">
        <is>
          <t>LSIP_2023_AR.pdf</t>
        </is>
      </c>
      <c r="C2781" t="n">
        <v>2023</v>
      </c>
      <c r="D2781" t="inlineStr">
        <is>
          <t>Financial</t>
        </is>
      </c>
      <c r="E2781" t="inlineStr">
        <is>
          <t>Total Liabilities</t>
        </is>
      </c>
      <c r="F2781" t="n">
        <v>1167</v>
      </c>
      <c r="G2781" t="inlineStr">
        <is>
          <t>IDR bn</t>
        </is>
      </c>
      <c r="H2781" t="n">
        <v>4</v>
      </c>
      <c r="I2781" t="inlineStr">
        <is>
          <t>Total Liabilities 1.166.762 1.481.306 1.659.873</t>
        </is>
      </c>
      <c r="J2781" t="inlineStr">
        <is>
          <t>High</t>
        </is>
      </c>
      <c r="M2781" t="inlineStr">
        <is>
          <t>LLM</t>
        </is>
      </c>
      <c r="N2781" t="inlineStr">
        <is>
          <t>2026-04-18</t>
        </is>
      </c>
      <c r="O2781" t="inlineStr">
        <is>
          <t>AI</t>
        </is>
      </c>
    </row>
    <row r="2782">
      <c r="A2782" t="inlineStr">
        <is>
          <t>PT Perusahaan Perkebunan London Sumatra Indonesia Tbk</t>
        </is>
      </c>
      <c r="B2782" t="inlineStr">
        <is>
          <t>LSIP_2023_AR.pdf</t>
        </is>
      </c>
      <c r="C2782" t="n">
        <v>2023</v>
      </c>
      <c r="D2782" t="inlineStr">
        <is>
          <t>Financial</t>
        </is>
      </c>
      <c r="E2782" t="inlineStr">
        <is>
          <t>Current Liabilities</t>
        </is>
      </c>
      <c r="F2782" t="n">
        <v>564</v>
      </c>
      <c r="G2782" t="inlineStr">
        <is>
          <t>IDR bn</t>
        </is>
      </c>
      <c r="H2782" t="n">
        <v>4</v>
      </c>
      <c r="I2782" t="inlineStr">
        <is>
          <t>Current Liabilities 564.496 709.627 696.556</t>
        </is>
      </c>
      <c r="J2782" t="inlineStr">
        <is>
          <t>High</t>
        </is>
      </c>
      <c r="M2782" t="inlineStr">
        <is>
          <t>LLM</t>
        </is>
      </c>
      <c r="N2782" t="inlineStr">
        <is>
          <t>2026-04-18</t>
        </is>
      </c>
      <c r="O2782" t="inlineStr">
        <is>
          <t>AI</t>
        </is>
      </c>
    </row>
    <row r="2783">
      <c r="A2783" t="inlineStr">
        <is>
          <t>PT Perusahaan Perkebunan London Sumatra Indonesia Tbk</t>
        </is>
      </c>
      <c r="B2783" t="inlineStr">
        <is>
          <t>LSIP_2023_AR.pdf</t>
        </is>
      </c>
      <c r="C2783" t="n">
        <v>2023</v>
      </c>
      <c r="D2783" t="inlineStr">
        <is>
          <t>Financial</t>
        </is>
      </c>
      <c r="E2783" t="inlineStr">
        <is>
          <t>Non-Current Liabilities</t>
        </is>
      </c>
      <c r="F2783" t="n">
        <v>602</v>
      </c>
      <c r="G2783" t="inlineStr">
        <is>
          <t>IDR bn</t>
        </is>
      </c>
      <c r="H2783" t="n">
        <v>116</v>
      </c>
      <c r="I2783" t="inlineStr">
        <is>
          <t>Total Liabilitas Jangka Panjang 602.266 771.679</t>
        </is>
      </c>
      <c r="J2783" t="inlineStr">
        <is>
          <t>High</t>
        </is>
      </c>
      <c r="M2783" t="inlineStr">
        <is>
          <t>LLM</t>
        </is>
      </c>
      <c r="N2783" t="inlineStr">
        <is>
          <t>2026-04-18</t>
        </is>
      </c>
      <c r="O2783" t="inlineStr">
        <is>
          <t>AI</t>
        </is>
      </c>
    </row>
    <row r="2784">
      <c r="A2784" t="inlineStr">
        <is>
          <t>PT Perusahaan Perkebunan London Sumatra Indonesia Tbk</t>
        </is>
      </c>
      <c r="B2784" t="inlineStr">
        <is>
          <t>LSIP_2023_AR.pdf</t>
        </is>
      </c>
      <c r="C2784" t="n">
        <v>2023</v>
      </c>
      <c r="D2784" t="inlineStr">
        <is>
          <t>Financial</t>
        </is>
      </c>
      <c r="E2784" t="inlineStr">
        <is>
          <t>Funded Debt</t>
        </is>
      </c>
      <c r="F2784" t="n">
        <v>0</v>
      </c>
      <c r="G2784" t="inlineStr">
        <is>
          <t>IDR bn</t>
        </is>
      </c>
      <c r="H2784" t="n">
        <v>4</v>
      </c>
      <c r="I2784" t="inlineStr">
        <is>
          <t>Funded Debt - - - - -</t>
        </is>
      </c>
      <c r="J2784" t="inlineStr">
        <is>
          <t>High</t>
        </is>
      </c>
      <c r="M2784" t="inlineStr">
        <is>
          <t>LLM</t>
        </is>
      </c>
      <c r="N2784" t="inlineStr">
        <is>
          <t>2026-04-18</t>
        </is>
      </c>
      <c r="O2784" t="inlineStr">
        <is>
          <t>AI</t>
        </is>
      </c>
    </row>
    <row r="2785">
      <c r="A2785" t="inlineStr">
        <is>
          <t>PT Perusahaan Perkebunan London Sumatra Indonesia Tbk</t>
        </is>
      </c>
      <c r="B2785" t="inlineStr">
        <is>
          <t>LSIP_2023_AR.pdf</t>
        </is>
      </c>
      <c r="C2785" t="n">
        <v>2023</v>
      </c>
      <c r="D2785" t="inlineStr">
        <is>
          <t>Financial</t>
        </is>
      </c>
      <c r="E2785" t="inlineStr">
        <is>
          <t>Employee Benefits Liability LT</t>
        </is>
      </c>
      <c r="F2785" t="n">
        <v>457</v>
      </c>
      <c r="G2785" t="inlineStr">
        <is>
          <t>IDR bn</t>
        </is>
      </c>
      <c r="H2785" t="n">
        <v>116</v>
      </c>
      <c r="I2785" t="inlineStr">
        <is>
          <t>Liabilitas imbalan kerja 457.342 20 654.770 Employee benefits liability</t>
        </is>
      </c>
      <c r="J2785" t="inlineStr">
        <is>
          <t>High</t>
        </is>
      </c>
      <c r="M2785" t="inlineStr">
        <is>
          <t>LLM</t>
        </is>
      </c>
      <c r="N2785" t="inlineStr">
        <is>
          <t>2026-04-18</t>
        </is>
      </c>
      <c r="O2785" t="inlineStr">
        <is>
          <t>AI</t>
        </is>
      </c>
    </row>
    <row r="2786">
      <c r="A2786" t="inlineStr">
        <is>
          <t>PT Perusahaan Perkebunan London Sumatra Indonesia Tbk</t>
        </is>
      </c>
      <c r="B2786" t="inlineStr">
        <is>
          <t>LSIP_2023_AR.pdf</t>
        </is>
      </c>
      <c r="C2786" t="n">
        <v>2023</v>
      </c>
      <c r="D2786" t="inlineStr">
        <is>
          <t>Financial</t>
        </is>
      </c>
      <c r="E2786" t="inlineStr">
        <is>
          <t>Total Equity</t>
        </is>
      </c>
      <c r="F2786" t="n">
        <v>11347</v>
      </c>
      <c r="G2786" t="inlineStr">
        <is>
          <t>IDR bn</t>
        </is>
      </c>
      <c r="H2786" t="n">
        <v>4</v>
      </c>
      <c r="I2786" t="inlineStr">
        <is>
          <t>Total Equity3 11.347.441 10.935.707</t>
        </is>
      </c>
      <c r="J2786" t="inlineStr">
        <is>
          <t>High</t>
        </is>
      </c>
      <c r="M2786" t="inlineStr">
        <is>
          <t>LLM</t>
        </is>
      </c>
      <c r="N2786" t="inlineStr">
        <is>
          <t>2026-04-18</t>
        </is>
      </c>
      <c r="O2786" t="inlineStr">
        <is>
          <t>AI</t>
        </is>
      </c>
    </row>
    <row r="2787">
      <c r="A2787" t="inlineStr">
        <is>
          <t>PT Perusahaan Perkebunan London Sumatra Indonesia Tbk</t>
        </is>
      </c>
      <c r="B2787" t="inlineStr">
        <is>
          <t>LSIP_2023_AR.pdf</t>
        </is>
      </c>
      <c r="C2787" t="n">
        <v>2023</v>
      </c>
      <c r="D2787" t="inlineStr">
        <is>
          <t>Financial</t>
        </is>
      </c>
      <c r="E2787" t="inlineStr">
        <is>
          <t>CFO</t>
        </is>
      </c>
      <c r="F2787" t="n">
        <v>1411</v>
      </c>
      <c r="G2787" t="inlineStr">
        <is>
          <t>IDR bn</t>
        </is>
      </c>
      <c r="H2787" t="n">
        <v>120</v>
      </c>
      <c r="I2787" t="inlineStr">
        <is>
          <t>Kas Neto yang Diperoleh dari Aktivitas Operasi 1.411.390 1.104.231</t>
        </is>
      </c>
      <c r="J2787" t="inlineStr">
        <is>
          <t>High</t>
        </is>
      </c>
      <c r="M2787" t="inlineStr">
        <is>
          <t>LLM</t>
        </is>
      </c>
      <c r="N2787" t="inlineStr">
        <is>
          <t>2026-04-18</t>
        </is>
      </c>
      <c r="O2787" t="inlineStr">
        <is>
          <t>AI</t>
        </is>
      </c>
    </row>
    <row r="2788">
      <c r="A2788" t="inlineStr">
        <is>
          <t>PT Perusahaan Perkebunan London Sumatra Indonesia Tbk</t>
        </is>
      </c>
      <c r="B2788" t="inlineStr">
        <is>
          <t>LSIP_2023_AR.pdf</t>
        </is>
      </c>
      <c r="C2788" t="n">
        <v>2023</v>
      </c>
      <c r="D2788" t="inlineStr">
        <is>
          <t>Financial</t>
        </is>
      </c>
      <c r="E2788" t="inlineStr">
        <is>
          <t>CFI</t>
        </is>
      </c>
      <c r="F2788" t="n">
        <v>-364</v>
      </c>
      <c r="G2788" t="inlineStr">
        <is>
          <t>IDR bn</t>
        </is>
      </c>
      <c r="H2788" t="n">
        <v>120</v>
      </c>
      <c r="I2788" t="inlineStr">
        <is>
          <t>Kas Neto yang Digunakan untuk Aktivitas Investasi (364.167) (350.824)</t>
        </is>
      </c>
      <c r="J2788" t="inlineStr">
        <is>
          <t>High</t>
        </is>
      </c>
      <c r="M2788" t="inlineStr">
        <is>
          <t>LLM</t>
        </is>
      </c>
      <c r="N2788" t="inlineStr">
        <is>
          <t>2026-04-18</t>
        </is>
      </c>
      <c r="O2788" t="inlineStr">
        <is>
          <t>AI</t>
        </is>
      </c>
    </row>
    <row r="2789">
      <c r="A2789" t="inlineStr">
        <is>
          <t>PT Perusahaan Perkebunan London Sumatra Indonesia Tbk</t>
        </is>
      </c>
      <c r="B2789" t="inlineStr">
        <is>
          <t>LSIP_2023_AR.pdf</t>
        </is>
      </c>
      <c r="C2789" t="n">
        <v>2023</v>
      </c>
      <c r="D2789" t="inlineStr">
        <is>
          <t>Financial</t>
        </is>
      </c>
      <c r="E2789" t="inlineStr">
        <is>
          <t>CFF</t>
        </is>
      </c>
      <c r="F2789" t="n">
        <v>-367</v>
      </c>
      <c r="G2789" t="inlineStr">
        <is>
          <t>IDR bn</t>
        </is>
      </c>
      <c r="H2789" t="n">
        <v>120</v>
      </c>
      <c r="I2789" t="inlineStr">
        <is>
          <t>Kas Neto yang Digunakan untuk Aktivitas Pendanaan (366.654) (352.438)</t>
        </is>
      </c>
      <c r="J2789" t="inlineStr">
        <is>
          <t>High</t>
        </is>
      </c>
      <c r="M2789" t="inlineStr">
        <is>
          <t>LLM</t>
        </is>
      </c>
      <c r="N2789" t="inlineStr">
        <is>
          <t>2026-04-18</t>
        </is>
      </c>
      <c r="O2789" t="inlineStr">
        <is>
          <t>AI</t>
        </is>
      </c>
    </row>
    <row r="2790">
      <c r="A2790" t="inlineStr">
        <is>
          <t>PT Perusahaan Perkebunan London Sumatra Indonesia Tbk</t>
        </is>
      </c>
      <c r="B2790" t="inlineStr">
        <is>
          <t>LSIP_2023_AR.pdf</t>
        </is>
      </c>
      <c r="C2790" t="n">
        <v>2023</v>
      </c>
      <c r="D2790" t="inlineStr">
        <is>
          <t>Financial</t>
        </is>
      </c>
      <c r="E2790" t="inlineStr">
        <is>
          <t>Capital Expenditures</t>
        </is>
      </c>
      <c r="F2790" t="n">
        <v>369</v>
      </c>
      <c r="G2790" t="inlineStr">
        <is>
          <t>IDR bn</t>
        </is>
      </c>
      <c r="H2790" t="n">
        <v>4</v>
      </c>
      <c r="I2790" t="inlineStr">
        <is>
          <t>Capital Expenditures 368.845 320.748 308.377</t>
        </is>
      </c>
      <c r="J2790" t="inlineStr">
        <is>
          <t>High</t>
        </is>
      </c>
      <c r="M2790" t="inlineStr">
        <is>
          <t>LLM</t>
        </is>
      </c>
      <c r="N2790" t="inlineStr">
        <is>
          <t>2026-04-18</t>
        </is>
      </c>
      <c r="O2790" t="inlineStr">
        <is>
          <t>AI</t>
        </is>
      </c>
    </row>
    <row r="2791">
      <c r="A2791" t="inlineStr">
        <is>
          <t>PT Perusahaan Perkebunan London Sumatra Indonesia Tbk</t>
        </is>
      </c>
      <c r="B2791" t="inlineStr">
        <is>
          <t>LSIP_2023_AR.pdf</t>
        </is>
      </c>
      <c r="C2791" t="n">
        <v>2023</v>
      </c>
      <c r="D2791" t="inlineStr">
        <is>
          <t>Financial</t>
        </is>
      </c>
      <c r="E2791" t="inlineStr">
        <is>
          <t>Dividend Paid (Cash)</t>
        </is>
      </c>
      <c r="F2791" t="n">
        <v>361</v>
      </c>
      <c r="G2791" t="inlineStr">
        <is>
          <t>IDR bn</t>
        </is>
      </c>
      <c r="H2791" t="n">
        <v>32</v>
      </c>
      <c r="I2791" t="inlineStr">
        <is>
          <t>total dividend of Rp361.5 billion or Rp53 per share</t>
        </is>
      </c>
      <c r="J2791" t="inlineStr">
        <is>
          <t>High</t>
        </is>
      </c>
      <c r="M2791" t="inlineStr">
        <is>
          <t>LLM</t>
        </is>
      </c>
      <c r="N2791" t="inlineStr">
        <is>
          <t>2026-04-18</t>
        </is>
      </c>
      <c r="O2791" t="inlineStr">
        <is>
          <t>AI</t>
        </is>
      </c>
    </row>
    <row r="2792">
      <c r="A2792" t="inlineStr">
        <is>
          <t>PT Perusahaan Perkebunan London Sumatra Indonesia Tbk</t>
        </is>
      </c>
      <c r="B2792" t="inlineStr">
        <is>
          <t>LSIP_2023_AR.pdf</t>
        </is>
      </c>
      <c r="C2792" t="n">
        <v>2023</v>
      </c>
      <c r="D2792" t="inlineStr">
        <is>
          <t>Financial</t>
        </is>
      </c>
      <c r="E2792" t="inlineStr">
        <is>
          <t>Dividend per Share (2022 final paid in 2023)</t>
        </is>
      </c>
      <c r="F2792" t="n">
        <v>53</v>
      </c>
      <c r="G2792" t="inlineStr">
        <is>
          <t>Rp/share</t>
        </is>
      </c>
      <c r="H2792" t="n">
        <v>32</v>
      </c>
      <c r="I2792" t="inlineStr">
        <is>
          <t>total dividend of Rp361.5 billion or Rp53 per share, represent around 35% dividend payout</t>
        </is>
      </c>
      <c r="J2792" t="inlineStr">
        <is>
          <t>High</t>
        </is>
      </c>
      <c r="M2792" t="inlineStr">
        <is>
          <t>LLM</t>
        </is>
      </c>
      <c r="N2792" t="inlineStr">
        <is>
          <t>2026-04-18</t>
        </is>
      </c>
      <c r="O2792" t="inlineStr">
        <is>
          <t>AI</t>
        </is>
      </c>
    </row>
    <row r="2793">
      <c r="A2793" t="inlineStr">
        <is>
          <t>PT Perusahaan Perkebunan London Sumatra Indonesia Tbk</t>
        </is>
      </c>
      <c r="B2793" t="inlineStr">
        <is>
          <t>LSIP_2023_AR.pdf</t>
        </is>
      </c>
      <c r="C2793" t="n">
        <v>2023</v>
      </c>
      <c r="D2793" t="inlineStr">
        <is>
          <t>Financial</t>
        </is>
      </c>
      <c r="E2793" t="inlineStr">
        <is>
          <t>Dividend Payout Ratio</t>
        </is>
      </c>
      <c r="F2793" t="n">
        <v>0.35</v>
      </c>
      <c r="G2793" t="inlineStr">
        <is>
          <t>%</t>
        </is>
      </c>
      <c r="H2793" t="n">
        <v>32</v>
      </c>
      <c r="I2793" t="inlineStr">
        <is>
          <t>represent around 35% dividend payout</t>
        </is>
      </c>
      <c r="J2793" t="inlineStr">
        <is>
          <t>High</t>
        </is>
      </c>
      <c r="M2793" t="inlineStr">
        <is>
          <t>LLM</t>
        </is>
      </c>
      <c r="N2793" t="inlineStr">
        <is>
          <t>2026-04-18</t>
        </is>
      </c>
      <c r="O2793" t="inlineStr">
        <is>
          <t>AI</t>
        </is>
      </c>
    </row>
    <row r="2794">
      <c r="A2794" t="inlineStr">
        <is>
          <t>PT Perusahaan Perkebunan London Sumatra Indonesia Tbk</t>
        </is>
      </c>
      <c r="B2794" t="inlineStr">
        <is>
          <t>LSIP_2023_AR.pdf</t>
        </is>
      </c>
      <c r="C2794" t="n">
        <v>2023</v>
      </c>
      <c r="D2794" t="inlineStr">
        <is>
          <t>Financial</t>
        </is>
      </c>
      <c r="E2794" t="inlineStr">
        <is>
          <t>EPS (Basic)</t>
        </is>
      </c>
      <c r="F2794" t="n">
        <v>112</v>
      </c>
      <c r="G2794" t="inlineStr">
        <is>
          <t>Rp/share</t>
        </is>
      </c>
      <c r="H2794" t="n">
        <v>4</v>
      </c>
      <c r="I2794" t="inlineStr">
        <is>
          <t>Basic Profit per Share Attributable to the Owners of the Parent (Rp) 112 152 146</t>
        </is>
      </c>
      <c r="J2794" t="inlineStr">
        <is>
          <t>High</t>
        </is>
      </c>
      <c r="M2794" t="inlineStr">
        <is>
          <t>LLM</t>
        </is>
      </c>
      <c r="N2794" t="inlineStr">
        <is>
          <t>2026-04-18</t>
        </is>
      </c>
      <c r="O2794" t="inlineStr">
        <is>
          <t>AI</t>
        </is>
      </c>
    </row>
    <row r="2795">
      <c r="A2795" t="inlineStr">
        <is>
          <t>PT Perusahaan Perkebunan London Sumatra Indonesia Tbk</t>
        </is>
      </c>
      <c r="B2795" t="inlineStr">
        <is>
          <t>LSIP_2023_AR.pdf</t>
        </is>
      </c>
      <c r="C2795" t="n">
        <v>2023</v>
      </c>
      <c r="D2795" t="inlineStr">
        <is>
          <t>Financial</t>
        </is>
      </c>
      <c r="E2795" t="inlineStr">
        <is>
          <t>Closing Share Price (31 Dec 2023)</t>
        </is>
      </c>
      <c r="F2795" t="n">
        <v>890</v>
      </c>
      <c r="G2795" t="inlineStr">
        <is>
          <t>Rp/share</t>
        </is>
      </c>
      <c r="H2795" t="n">
        <v>15</v>
      </c>
      <c r="I2795" t="inlineStr">
        <is>
          <t>Rp1,135 per share and closing at Rp890</t>
        </is>
      </c>
      <c r="J2795" t="inlineStr">
        <is>
          <t>High</t>
        </is>
      </c>
      <c r="M2795" t="inlineStr">
        <is>
          <t>LLM</t>
        </is>
      </c>
      <c r="N2795" t="inlineStr">
        <is>
          <t>2026-04-18</t>
        </is>
      </c>
      <c r="O2795" t="inlineStr">
        <is>
          <t>AI</t>
        </is>
      </c>
    </row>
    <row r="2796">
      <c r="A2796" t="inlineStr">
        <is>
          <t>PT Perusahaan Perkebunan London Sumatra Indonesia Tbk</t>
        </is>
      </c>
      <c r="B2796" t="inlineStr">
        <is>
          <t>LSIP_2023_AR.pdf</t>
        </is>
      </c>
      <c r="C2796" t="n">
        <v>2023</v>
      </c>
      <c r="D2796" t="inlineStr">
        <is>
          <t>Financial</t>
        </is>
      </c>
      <c r="E2796" t="inlineStr">
        <is>
          <t>Market Capitalisation</t>
        </is>
      </c>
      <c r="F2796" t="n">
        <v>6070</v>
      </c>
      <c r="G2796" t="inlineStr">
        <is>
          <t>IDR bn</t>
        </is>
      </c>
      <c r="H2796" t="n">
        <v>32</v>
      </c>
      <c r="I2796" t="inlineStr">
        <is>
          <t>kapitalisasi pasar Lonsum mencapai Rp6,07 triliun</t>
        </is>
      </c>
      <c r="J2796" t="inlineStr">
        <is>
          <t>High</t>
        </is>
      </c>
      <c r="M2796" t="inlineStr">
        <is>
          <t>LLM</t>
        </is>
      </c>
      <c r="N2796" t="inlineStr">
        <is>
          <t>2026-04-18</t>
        </is>
      </c>
      <c r="O2796" t="inlineStr">
        <is>
          <t>AI</t>
        </is>
      </c>
    </row>
    <row r="2797">
      <c r="A2797" t="inlineStr">
        <is>
          <t>PT Perusahaan Perkebunan London Sumatra Indonesia Tbk</t>
        </is>
      </c>
      <c r="B2797" t="inlineStr">
        <is>
          <t>LSIP_2023_AR.pdf</t>
        </is>
      </c>
      <c r="C2797" t="n">
        <v>2023</v>
      </c>
      <c r="D2797" t="inlineStr">
        <is>
          <t>Financial</t>
        </is>
      </c>
      <c r="E2797" t="inlineStr">
        <is>
          <t>Current Ratio</t>
        </is>
      </c>
      <c r="F2797" t="n">
        <v>9.529999999999999</v>
      </c>
      <c r="G2797" t="inlineStr">
        <is>
          <t>x</t>
        </is>
      </c>
      <c r="H2797" t="n">
        <v>4</v>
      </c>
      <c r="I2797" t="inlineStr">
        <is>
          <t>Current Ratio (x) 9,53 7,20 6,18</t>
        </is>
      </c>
      <c r="J2797" t="inlineStr">
        <is>
          <t>High</t>
        </is>
      </c>
      <c r="M2797" t="inlineStr">
        <is>
          <t>LLM</t>
        </is>
      </c>
      <c r="N2797" t="inlineStr">
        <is>
          <t>2026-04-18</t>
        </is>
      </c>
      <c r="O2797" t="inlineStr">
        <is>
          <t>AI</t>
        </is>
      </c>
    </row>
    <row r="2798">
      <c r="A2798" t="inlineStr">
        <is>
          <t>PT Perusahaan Perkebunan London Sumatra Indonesia Tbk</t>
        </is>
      </c>
      <c r="B2798" t="inlineStr">
        <is>
          <t>LSIP_2023_AR.pdf</t>
        </is>
      </c>
      <c r="C2798" t="n">
        <v>2023</v>
      </c>
      <c r="D2798" t="inlineStr">
        <is>
          <t>Financial</t>
        </is>
      </c>
      <c r="E2798" t="inlineStr">
        <is>
          <t>Liabilities to Equity Ratio</t>
        </is>
      </c>
      <c r="F2798" t="n">
        <v>0.1</v>
      </c>
      <c r="G2798" t="inlineStr">
        <is>
          <t>x</t>
        </is>
      </c>
      <c r="H2798" t="n">
        <v>4</v>
      </c>
      <c r="I2798" t="inlineStr">
        <is>
          <t>Liabilities to Equity Ratio (x)3 0,10 0,14 0,16</t>
        </is>
      </c>
      <c r="J2798" t="inlineStr">
        <is>
          <t>High</t>
        </is>
      </c>
      <c r="M2798" t="inlineStr">
        <is>
          <t>LLM</t>
        </is>
      </c>
      <c r="N2798" t="inlineStr">
        <is>
          <t>2026-04-18</t>
        </is>
      </c>
      <c r="O2798" t="inlineStr">
        <is>
          <t>AI</t>
        </is>
      </c>
    </row>
    <row r="2799">
      <c r="A2799" t="inlineStr">
        <is>
          <t>PT Perusahaan Perkebunan London Sumatra Indonesia Tbk</t>
        </is>
      </c>
      <c r="B2799" t="inlineStr">
        <is>
          <t>LSIP_2023_AR.pdf</t>
        </is>
      </c>
      <c r="C2799" t="n">
        <v>2023</v>
      </c>
      <c r="D2799" t="inlineStr">
        <is>
          <t>Financial</t>
        </is>
      </c>
      <c r="E2799" t="inlineStr">
        <is>
          <t>Net Gearing Ratio</t>
        </is>
      </c>
      <c r="F2799" t="n">
        <v>-0.4</v>
      </c>
      <c r="G2799" t="inlineStr">
        <is>
          <t>x</t>
        </is>
      </c>
      <c r="H2799" t="n">
        <v>4</v>
      </c>
      <c r="I2799" t="inlineStr">
        <is>
          <t>Gearing Ratio - Net (x)3 (0,40) (0,35) (0,33)</t>
        </is>
      </c>
      <c r="J2799" t="inlineStr">
        <is>
          <t>High</t>
        </is>
      </c>
      <c r="M2799" t="inlineStr">
        <is>
          <t>LLM</t>
        </is>
      </c>
      <c r="N2799" t="inlineStr">
        <is>
          <t>2026-04-18</t>
        </is>
      </c>
      <c r="O2799" t="inlineStr">
        <is>
          <t>AI</t>
        </is>
      </c>
    </row>
    <row r="2800">
      <c r="A2800" t="inlineStr">
        <is>
          <t>PT Perusahaan Perkebunan London Sumatra Indonesia Tbk</t>
        </is>
      </c>
      <c r="B2800" t="inlineStr">
        <is>
          <t>LSIP_2023_AR.pdf</t>
        </is>
      </c>
      <c r="C2800" t="n">
        <v>2023</v>
      </c>
      <c r="D2800" t="inlineStr">
        <is>
          <t>Financial</t>
        </is>
      </c>
      <c r="E2800" t="inlineStr">
        <is>
          <t>Return on Assets (Net Profit)</t>
        </is>
      </c>
      <c r="F2800" t="n">
        <v>0.061</v>
      </c>
      <c r="G2800" t="inlineStr">
        <is>
          <t>%</t>
        </is>
      </c>
      <c r="H2800" t="n">
        <v>4</v>
      </c>
      <c r="I2800" t="inlineStr">
        <is>
          <t>Return on Assets (%) - Profit for the Year4 6,1 8,5 8,7</t>
        </is>
      </c>
      <c r="J2800" t="inlineStr">
        <is>
          <t>High</t>
        </is>
      </c>
      <c r="M2800" t="inlineStr">
        <is>
          <t>LLM</t>
        </is>
      </c>
      <c r="N2800" t="inlineStr">
        <is>
          <t>2026-04-18</t>
        </is>
      </c>
      <c r="O2800" t="inlineStr">
        <is>
          <t>AI</t>
        </is>
      </c>
    </row>
    <row r="2801">
      <c r="A2801" t="inlineStr">
        <is>
          <t>PT Perusahaan Perkebunan London Sumatra Indonesia Tbk</t>
        </is>
      </c>
      <c r="B2801" t="inlineStr">
        <is>
          <t>LSIP_2023_AR.pdf</t>
        </is>
      </c>
      <c r="C2801" t="n">
        <v>2023</v>
      </c>
      <c r="D2801" t="inlineStr">
        <is>
          <t>Financial</t>
        </is>
      </c>
      <c r="E2801" t="inlineStr">
        <is>
          <t>Return on Equity</t>
        </is>
      </c>
      <c r="F2801" t="n">
        <v>0.068</v>
      </c>
      <c r="G2801" t="inlineStr">
        <is>
          <t>%</t>
        </is>
      </c>
      <c r="H2801" t="n">
        <v>4</v>
      </c>
      <c r="I2801" t="inlineStr">
        <is>
          <t>Return on Equity (%)4 6,8 9,8 10,2</t>
        </is>
      </c>
      <c r="J2801" t="inlineStr">
        <is>
          <t>High</t>
        </is>
      </c>
      <c r="M2801" t="inlineStr">
        <is>
          <t>LLM</t>
        </is>
      </c>
      <c r="N2801" t="inlineStr">
        <is>
          <t>2026-04-18</t>
        </is>
      </c>
      <c r="O2801" t="inlineStr">
        <is>
          <t>AI</t>
        </is>
      </c>
    </row>
    <row r="2802">
      <c r="A2802" t="inlineStr">
        <is>
          <t>PT Perusahaan Perkebunan London Sumatra Indonesia Tbk</t>
        </is>
      </c>
      <c r="B2802" t="inlineStr">
        <is>
          <t>LSIP_2023_AR.pdf</t>
        </is>
      </c>
      <c r="C2802" t="n">
        <v>2023</v>
      </c>
      <c r="D2802" t="inlineStr">
        <is>
          <t>Asset</t>
        </is>
      </c>
      <c r="E2802" t="inlineStr">
        <is>
          <t>Total Nucleus Planted Area</t>
        </is>
      </c>
      <c r="F2802" t="n">
        <v>111940</v>
      </c>
      <c r="G2802" t="inlineStr">
        <is>
          <t>ha</t>
        </is>
      </c>
      <c r="H2802" t="n">
        <v>5</v>
      </c>
      <c r="I2802" t="inlineStr">
        <is>
          <t>PLANTED AREA - NUCLEUS 111.940 111.240 114.111</t>
        </is>
      </c>
      <c r="J2802" t="inlineStr">
        <is>
          <t>High</t>
        </is>
      </c>
      <c r="M2802" t="inlineStr">
        <is>
          <t>LLM</t>
        </is>
      </c>
      <c r="N2802" t="inlineStr">
        <is>
          <t>2026-04-18</t>
        </is>
      </c>
      <c r="O2802" t="inlineStr">
        <is>
          <t>AI</t>
        </is>
      </c>
    </row>
    <row r="2803">
      <c r="A2803" t="inlineStr">
        <is>
          <t>PT Perusahaan Perkebunan London Sumatra Indonesia Tbk</t>
        </is>
      </c>
      <c r="B2803" t="inlineStr">
        <is>
          <t>LSIP_2023_AR.pdf</t>
        </is>
      </c>
      <c r="C2803" t="n">
        <v>2023</v>
      </c>
      <c r="D2803" t="inlineStr">
        <is>
          <t>Asset</t>
        </is>
      </c>
      <c r="E2803" t="inlineStr">
        <is>
          <t>Oil Palm Nucleus Area</t>
        </is>
      </c>
      <c r="F2803" t="n">
        <v>91759</v>
      </c>
      <c r="G2803" t="inlineStr">
        <is>
          <t>ha</t>
        </is>
      </c>
      <c r="H2803" t="n">
        <v>5</v>
      </c>
      <c r="I2803" t="inlineStr">
        <is>
          <t>OIL PALM 91.759 91.151 93.853</t>
        </is>
      </c>
      <c r="J2803" t="inlineStr">
        <is>
          <t>High</t>
        </is>
      </c>
      <c r="M2803" t="inlineStr">
        <is>
          <t>LLM</t>
        </is>
      </c>
      <c r="N2803" t="inlineStr">
        <is>
          <t>2026-04-18</t>
        </is>
      </c>
      <c r="O2803" t="inlineStr">
        <is>
          <t>AI</t>
        </is>
      </c>
    </row>
    <row r="2804">
      <c r="A2804" t="inlineStr">
        <is>
          <t>PT Perusahaan Perkebunan London Sumatra Indonesia Tbk</t>
        </is>
      </c>
      <c r="B2804" t="inlineStr">
        <is>
          <t>LSIP_2023_AR.pdf</t>
        </is>
      </c>
      <c r="C2804" t="n">
        <v>2023</v>
      </c>
      <c r="D2804" t="inlineStr">
        <is>
          <t>Asset</t>
        </is>
      </c>
      <c r="E2804" t="inlineStr">
        <is>
          <t>Oil Palm Mature Area</t>
        </is>
      </c>
      <c r="F2804" t="n">
        <v>85198</v>
      </c>
      <c r="G2804" t="inlineStr">
        <is>
          <t>ha</t>
        </is>
      </c>
      <c r="H2804" t="n">
        <v>5</v>
      </c>
      <c r="I2804" t="inlineStr">
        <is>
          <t>Mature 85.198 83.742 85.630</t>
        </is>
      </c>
      <c r="J2804" t="inlineStr">
        <is>
          <t>High</t>
        </is>
      </c>
      <c r="M2804" t="inlineStr">
        <is>
          <t>LLM</t>
        </is>
      </c>
      <c r="N2804" t="inlineStr">
        <is>
          <t>2026-04-18</t>
        </is>
      </c>
      <c r="O2804" t="inlineStr">
        <is>
          <t>AI</t>
        </is>
      </c>
    </row>
    <row r="2805">
      <c r="A2805" t="inlineStr">
        <is>
          <t>PT Perusahaan Perkebunan London Sumatra Indonesia Tbk</t>
        </is>
      </c>
      <c r="B2805" t="inlineStr">
        <is>
          <t>LSIP_2023_AR.pdf</t>
        </is>
      </c>
      <c r="C2805" t="n">
        <v>2023</v>
      </c>
      <c r="D2805" t="inlineStr">
        <is>
          <t>Asset</t>
        </is>
      </c>
      <c r="E2805" t="inlineStr">
        <is>
          <t>Oil Palm Immature Area</t>
        </is>
      </c>
      <c r="F2805" t="n">
        <v>6561</v>
      </c>
      <c r="G2805" t="inlineStr">
        <is>
          <t>ha</t>
        </is>
      </c>
      <c r="H2805" t="n">
        <v>5</v>
      </c>
      <c r="I2805" t="inlineStr">
        <is>
          <t>Immature 6.561 7.409 8.223</t>
        </is>
      </c>
      <c r="J2805" t="inlineStr">
        <is>
          <t>High</t>
        </is>
      </c>
      <c r="M2805" t="inlineStr">
        <is>
          <t>LLM</t>
        </is>
      </c>
      <c r="N2805" t="inlineStr">
        <is>
          <t>2026-04-18</t>
        </is>
      </c>
      <c r="O2805" t="inlineStr">
        <is>
          <t>AI</t>
        </is>
      </c>
    </row>
    <row r="2806">
      <c r="A2806" t="inlineStr">
        <is>
          <t>PT Perusahaan Perkebunan London Sumatra Indonesia Tbk</t>
        </is>
      </c>
      <c r="B2806" t="inlineStr">
        <is>
          <t>LSIP_2023_AR.pdf</t>
        </is>
      </c>
      <c r="C2806" t="n">
        <v>2023</v>
      </c>
      <c r="D2806" t="inlineStr">
        <is>
          <t>Asset</t>
        </is>
      </c>
      <c r="E2806" t="inlineStr">
        <is>
          <t>Oil Palm Age 4-6 yrs</t>
        </is>
      </c>
      <c r="F2806" t="n">
        <v>3229</v>
      </c>
      <c r="G2806" t="inlineStr">
        <is>
          <t>ha</t>
        </is>
      </c>
      <c r="H2806" t="n">
        <v>5</v>
      </c>
      <c r="I2806" t="inlineStr">
        <is>
          <t>4 - 6 years 3.229 2.710 2.161</t>
        </is>
      </c>
      <c r="J2806" t="inlineStr">
        <is>
          <t>High</t>
        </is>
      </c>
      <c r="M2806" t="inlineStr">
        <is>
          <t>LLM</t>
        </is>
      </c>
      <c r="N2806" t="inlineStr">
        <is>
          <t>2026-04-18</t>
        </is>
      </c>
      <c r="O2806" t="inlineStr">
        <is>
          <t>AI</t>
        </is>
      </c>
    </row>
    <row r="2807">
      <c r="A2807" t="inlineStr">
        <is>
          <t>PT Perusahaan Perkebunan London Sumatra Indonesia Tbk</t>
        </is>
      </c>
      <c r="B2807" t="inlineStr">
        <is>
          <t>LSIP_2023_AR.pdf</t>
        </is>
      </c>
      <c r="C2807" t="n">
        <v>2023</v>
      </c>
      <c r="D2807" t="inlineStr">
        <is>
          <t>Asset</t>
        </is>
      </c>
      <c r="E2807" t="inlineStr">
        <is>
          <t>Oil Palm Age 7-20 yrs</t>
        </is>
      </c>
      <c r="F2807" t="n">
        <v>44302</v>
      </c>
      <c r="G2807" t="inlineStr">
        <is>
          <t>ha</t>
        </is>
      </c>
      <c r="H2807" t="n">
        <v>5</v>
      </c>
      <c r="I2807" t="inlineStr">
        <is>
          <t>7 - 20 years 44.302 44.377 45.590</t>
        </is>
      </c>
      <c r="J2807" t="inlineStr">
        <is>
          <t>High</t>
        </is>
      </c>
      <c r="M2807" t="inlineStr">
        <is>
          <t>LLM</t>
        </is>
      </c>
      <c r="N2807" t="inlineStr">
        <is>
          <t>2026-04-18</t>
        </is>
      </c>
      <c r="O2807" t="inlineStr">
        <is>
          <t>AI</t>
        </is>
      </c>
    </row>
    <row r="2808">
      <c r="A2808" t="inlineStr">
        <is>
          <t>PT Perusahaan Perkebunan London Sumatra Indonesia Tbk</t>
        </is>
      </c>
      <c r="B2808" t="inlineStr">
        <is>
          <t>LSIP_2023_AR.pdf</t>
        </is>
      </c>
      <c r="C2808" t="n">
        <v>2023</v>
      </c>
      <c r="D2808" t="inlineStr">
        <is>
          <t>Asset</t>
        </is>
      </c>
      <c r="E2808" t="inlineStr">
        <is>
          <t>Oil Palm Age &gt;20 yrs</t>
        </is>
      </c>
      <c r="F2808" t="n">
        <v>37667</v>
      </c>
      <c r="G2808" t="inlineStr">
        <is>
          <t>ha</t>
        </is>
      </c>
      <c r="H2808" t="n">
        <v>5</v>
      </c>
      <c r="I2808" t="inlineStr">
        <is>
          <t>&gt;20 years 37.667 36.656 37.878</t>
        </is>
      </c>
      <c r="J2808" t="inlineStr">
        <is>
          <t>High</t>
        </is>
      </c>
      <c r="M2808" t="inlineStr">
        <is>
          <t>LLM</t>
        </is>
      </c>
      <c r="N2808" t="inlineStr">
        <is>
          <t>2026-04-18</t>
        </is>
      </c>
      <c r="O2808" t="inlineStr">
        <is>
          <t>AI</t>
        </is>
      </c>
    </row>
    <row r="2809">
      <c r="A2809" t="inlineStr">
        <is>
          <t>PT Perusahaan Perkebunan London Sumatra Indonesia Tbk</t>
        </is>
      </c>
      <c r="B2809" t="inlineStr">
        <is>
          <t>LSIP_2023_AR.pdf</t>
        </is>
      </c>
      <c r="C2809" t="n">
        <v>2023</v>
      </c>
      <c r="D2809" t="inlineStr">
        <is>
          <t>Asset</t>
        </is>
      </c>
      <c r="E2809" t="inlineStr">
        <is>
          <t>Rubber Nucleus Area</t>
        </is>
      </c>
      <c r="F2809" t="n">
        <v>16238</v>
      </c>
      <c r="G2809" t="inlineStr">
        <is>
          <t>ha</t>
        </is>
      </c>
      <c r="H2809" t="n">
        <v>5</v>
      </c>
      <c r="I2809" t="inlineStr">
        <is>
          <t>RUBBER 16.238 16.074 16.228</t>
        </is>
      </c>
      <c r="J2809" t="inlineStr">
        <is>
          <t>High</t>
        </is>
      </c>
      <c r="M2809" t="inlineStr">
        <is>
          <t>LLM</t>
        </is>
      </c>
      <c r="N2809" t="inlineStr">
        <is>
          <t>2026-04-18</t>
        </is>
      </c>
      <c r="O2809" t="inlineStr">
        <is>
          <t>AI</t>
        </is>
      </c>
    </row>
    <row r="2810">
      <c r="A2810" t="inlineStr">
        <is>
          <t>PT Perusahaan Perkebunan London Sumatra Indonesia Tbk</t>
        </is>
      </c>
      <c r="B2810" t="inlineStr">
        <is>
          <t>LSIP_2023_AR.pdf</t>
        </is>
      </c>
      <c r="C2810" t="n">
        <v>2023</v>
      </c>
      <c r="D2810" t="inlineStr">
        <is>
          <t>Asset</t>
        </is>
      </c>
      <c r="E2810" t="inlineStr">
        <is>
          <t>Other Crops Area</t>
        </is>
      </c>
      <c r="F2810" t="n">
        <v>3943</v>
      </c>
      <c r="G2810" t="inlineStr">
        <is>
          <t>ha</t>
        </is>
      </c>
      <c r="H2810" t="n">
        <v>5</v>
      </c>
      <c r="I2810" t="inlineStr">
        <is>
          <t>OTHERS 3.943 4.015 4.030</t>
        </is>
      </c>
      <c r="J2810" t="inlineStr">
        <is>
          <t>High</t>
        </is>
      </c>
      <c r="M2810" t="inlineStr">
        <is>
          <t>LLM</t>
        </is>
      </c>
      <c r="N2810" t="inlineStr">
        <is>
          <t>2026-04-18</t>
        </is>
      </c>
      <c r="O2810" t="inlineStr">
        <is>
          <t>AI</t>
        </is>
      </c>
    </row>
    <row r="2811">
      <c r="A2811" t="inlineStr">
        <is>
          <t>PT Perusahaan Perkebunan London Sumatra Indonesia Tbk</t>
        </is>
      </c>
      <c r="B2811" t="inlineStr">
        <is>
          <t>LSIP_2023_AR.pdf</t>
        </is>
      </c>
      <c r="C2811" t="n">
        <v>2023</v>
      </c>
      <c r="D2811" t="inlineStr">
        <is>
          <t>Asset</t>
        </is>
      </c>
      <c r="E2811" t="inlineStr">
        <is>
          <t>Plasma Partnership Area</t>
        </is>
      </c>
      <c r="F2811" t="n">
        <v>35417</v>
      </c>
      <c r="G2811" t="inlineStr">
        <is>
          <t>ha</t>
        </is>
      </c>
      <c r="H2811" t="n">
        <v>5</v>
      </c>
      <c r="I2811" t="inlineStr">
        <is>
          <t>PLASMA PARTNERSHIP 35.417 35.064 34.879</t>
        </is>
      </c>
      <c r="J2811" t="inlineStr">
        <is>
          <t>High</t>
        </is>
      </c>
      <c r="M2811" t="inlineStr">
        <is>
          <t>LLM</t>
        </is>
      </c>
      <c r="N2811" t="inlineStr">
        <is>
          <t>2026-04-18</t>
        </is>
      </c>
      <c r="O2811" t="inlineStr">
        <is>
          <t>AI</t>
        </is>
      </c>
    </row>
    <row r="2812">
      <c r="A2812" t="inlineStr">
        <is>
          <t>PT Perusahaan Perkebunan London Sumatra Indonesia Tbk</t>
        </is>
      </c>
      <c r="B2812" t="inlineStr">
        <is>
          <t>LSIP_2023_AR.pdf</t>
        </is>
      </c>
      <c r="C2812" t="n">
        <v>2023</v>
      </c>
      <c r="D2812" t="inlineStr">
        <is>
          <t>Asset</t>
        </is>
      </c>
      <c r="E2812" t="inlineStr">
        <is>
          <t>North Sumatra Area</t>
        </is>
      </c>
      <c r="F2812" t="n">
        <v>36903</v>
      </c>
      <c r="G2812" t="inlineStr">
        <is>
          <t>ha</t>
        </is>
      </c>
      <c r="H2812" t="n">
        <v>5</v>
      </c>
      <c r="I2812" t="inlineStr">
        <is>
          <t>North Sumatra 36.903 36.473 38.236</t>
        </is>
      </c>
      <c r="J2812" t="inlineStr">
        <is>
          <t>High</t>
        </is>
      </c>
      <c r="M2812" t="inlineStr">
        <is>
          <t>LLM</t>
        </is>
      </c>
      <c r="N2812" t="inlineStr">
        <is>
          <t>2026-04-18</t>
        </is>
      </c>
      <c r="O2812" t="inlineStr">
        <is>
          <t>AI</t>
        </is>
      </c>
    </row>
    <row r="2813">
      <c r="A2813" t="inlineStr">
        <is>
          <t>PT Perusahaan Perkebunan London Sumatra Indonesia Tbk</t>
        </is>
      </c>
      <c r="B2813" t="inlineStr">
        <is>
          <t>LSIP_2023_AR.pdf</t>
        </is>
      </c>
      <c r="C2813" t="n">
        <v>2023</v>
      </c>
      <c r="D2813" t="inlineStr">
        <is>
          <t>Asset</t>
        </is>
      </c>
      <c r="E2813" t="inlineStr">
        <is>
          <t>South Sumatra Area</t>
        </is>
      </c>
      <c r="F2813" t="n">
        <v>49222</v>
      </c>
      <c r="G2813" t="inlineStr">
        <is>
          <t>ha</t>
        </is>
      </c>
      <c r="H2813" t="n">
        <v>5</v>
      </c>
      <c r="I2813" t="inlineStr">
        <is>
          <t>South Sumatra 49.222 48.900 49.891</t>
        </is>
      </c>
      <c r="J2813" t="inlineStr">
        <is>
          <t>High</t>
        </is>
      </c>
      <c r="M2813" t="inlineStr">
        <is>
          <t>LLM</t>
        </is>
      </c>
      <c r="N2813" t="inlineStr">
        <is>
          <t>2026-04-18</t>
        </is>
      </c>
      <c r="O2813" t="inlineStr">
        <is>
          <t>AI</t>
        </is>
      </c>
    </row>
    <row r="2814">
      <c r="A2814" t="inlineStr">
        <is>
          <t>PT Perusahaan Perkebunan London Sumatra Indonesia Tbk</t>
        </is>
      </c>
      <c r="B2814" t="inlineStr">
        <is>
          <t>LSIP_2023_AR.pdf</t>
        </is>
      </c>
      <c r="C2814" t="n">
        <v>2023</v>
      </c>
      <c r="D2814" t="inlineStr">
        <is>
          <t>Asset</t>
        </is>
      </c>
      <c r="E2814" t="inlineStr">
        <is>
          <t>East Kalimantan Area</t>
        </is>
      </c>
      <c r="F2814" t="n">
        <v>17152</v>
      </c>
      <c r="G2814" t="inlineStr">
        <is>
          <t>ha</t>
        </is>
      </c>
      <c r="H2814" t="n">
        <v>5</v>
      </c>
      <c r="I2814" t="inlineStr">
        <is>
          <t>East Kalimantan 17.152 17.152 17.150</t>
        </is>
      </c>
      <c r="J2814" t="inlineStr">
        <is>
          <t>High</t>
        </is>
      </c>
      <c r="M2814" t="inlineStr">
        <is>
          <t>LLM</t>
        </is>
      </c>
      <c r="N2814" t="inlineStr">
        <is>
          <t>2026-04-18</t>
        </is>
      </c>
      <c r="O2814" t="inlineStr">
        <is>
          <t>AI</t>
        </is>
      </c>
    </row>
    <row r="2815">
      <c r="A2815" t="inlineStr">
        <is>
          <t>PT Perusahaan Perkebunan London Sumatra Indonesia Tbk</t>
        </is>
      </c>
      <c r="B2815" t="inlineStr">
        <is>
          <t>LSIP_2023_AR.pdf</t>
        </is>
      </c>
      <c r="C2815" t="n">
        <v>2023</v>
      </c>
      <c r="D2815" t="inlineStr">
        <is>
          <t>Asset</t>
        </is>
      </c>
      <c r="E2815" t="inlineStr">
        <is>
          <t>Java Area</t>
        </is>
      </c>
      <c r="F2815" t="n">
        <v>3177</v>
      </c>
      <c r="G2815" t="inlineStr">
        <is>
          <t>ha</t>
        </is>
      </c>
      <c r="H2815" t="n">
        <v>5</v>
      </c>
      <c r="I2815" t="inlineStr">
        <is>
          <t>Java 3.177 3.249 3.263</t>
        </is>
      </c>
      <c r="J2815" t="inlineStr">
        <is>
          <t>High</t>
        </is>
      </c>
      <c r="M2815" t="inlineStr">
        <is>
          <t>LLM</t>
        </is>
      </c>
      <c r="N2815" t="inlineStr">
        <is>
          <t>2026-04-18</t>
        </is>
      </c>
      <c r="O2815" t="inlineStr">
        <is>
          <t>AI</t>
        </is>
      </c>
    </row>
    <row r="2816">
      <c r="A2816" t="inlineStr">
        <is>
          <t>PT Perusahaan Perkebunan London Sumatra Indonesia Tbk</t>
        </is>
      </c>
      <c r="B2816" t="inlineStr">
        <is>
          <t>LSIP_2023_AR.pdf</t>
        </is>
      </c>
      <c r="C2816" t="n">
        <v>2023</v>
      </c>
      <c r="D2816" t="inlineStr">
        <is>
          <t>Asset</t>
        </is>
      </c>
      <c r="E2816" t="inlineStr">
        <is>
          <t>Sulawesi Area (N+S)</t>
        </is>
      </c>
      <c r="F2816" t="n">
        <v>5486</v>
      </c>
      <c r="G2816" t="inlineStr">
        <is>
          <t>ha</t>
        </is>
      </c>
      <c r="H2816" t="n">
        <v>5</v>
      </c>
      <c r="I2816" t="inlineStr">
        <is>
          <t>North Sulawesi 766 + South Sulawesi 4.720</t>
        </is>
      </c>
      <c r="J2816" t="inlineStr">
        <is>
          <t>High</t>
        </is>
      </c>
      <c r="M2816" t="inlineStr">
        <is>
          <t>LLM</t>
        </is>
      </c>
      <c r="N2816" t="inlineStr">
        <is>
          <t>2026-04-18</t>
        </is>
      </c>
      <c r="O2816" t="inlineStr">
        <is>
          <t>AI</t>
        </is>
      </c>
    </row>
    <row r="2817">
      <c r="A2817" t="inlineStr">
        <is>
          <t>PT Perusahaan Perkebunan London Sumatra Indonesia Tbk</t>
        </is>
      </c>
      <c r="B2817" t="inlineStr">
        <is>
          <t>LSIP_2023_AR.pdf</t>
        </is>
      </c>
      <c r="C2817" t="n">
        <v>2023</v>
      </c>
      <c r="D2817" t="inlineStr">
        <is>
          <t>Asset</t>
        </is>
      </c>
      <c r="E2817" t="inlineStr">
        <is>
          <t>Cocoa Planted Area</t>
        </is>
      </c>
      <c r="F2817" t="n">
        <v>2782</v>
      </c>
      <c r="G2817" t="inlineStr">
        <is>
          <t>ha</t>
        </is>
      </c>
      <c r="H2817" t="n">
        <v>36</v>
      </c>
      <c r="I2817" t="inlineStr">
        <is>
          <t>Cocoa plantations around 2,782 hectares are located in North Sulawesi and East Java</t>
        </is>
      </c>
      <c r="J2817" t="inlineStr">
        <is>
          <t>High</t>
        </is>
      </c>
      <c r="M2817" t="inlineStr">
        <is>
          <t>LLM</t>
        </is>
      </c>
      <c r="N2817" t="inlineStr">
        <is>
          <t>2026-04-18</t>
        </is>
      </c>
      <c r="O2817" t="inlineStr">
        <is>
          <t>AI</t>
        </is>
      </c>
    </row>
    <row r="2818">
      <c r="A2818" t="inlineStr">
        <is>
          <t>PT Perusahaan Perkebunan London Sumatra Indonesia Tbk</t>
        </is>
      </c>
      <c r="B2818" t="inlineStr">
        <is>
          <t>LSIP_2023_AR.pdf</t>
        </is>
      </c>
      <c r="C2818" t="n">
        <v>2023</v>
      </c>
      <c r="D2818" t="inlineStr">
        <is>
          <t>Asset</t>
        </is>
      </c>
      <c r="E2818" t="inlineStr">
        <is>
          <t>Tea Planted Area</t>
        </is>
      </c>
      <c r="F2818" t="n">
        <v>866</v>
      </c>
      <c r="G2818" t="inlineStr">
        <is>
          <t>ha</t>
        </is>
      </c>
      <c r="H2818" t="n">
        <v>36</v>
      </c>
      <c r="I2818" t="inlineStr">
        <is>
          <t>tea plantation around 866 hectares is in West Java</t>
        </is>
      </c>
      <c r="J2818" t="inlineStr">
        <is>
          <t>High</t>
        </is>
      </c>
      <c r="M2818" t="inlineStr">
        <is>
          <t>LLM</t>
        </is>
      </c>
      <c r="N2818" t="inlineStr">
        <is>
          <t>2026-04-18</t>
        </is>
      </c>
      <c r="O2818" t="inlineStr">
        <is>
          <t>AI</t>
        </is>
      </c>
    </row>
    <row r="2819">
      <c r="A2819" t="inlineStr">
        <is>
          <t>PT Perusahaan Perkebunan London Sumatra Indonesia Tbk</t>
        </is>
      </c>
      <c r="B2819" t="inlineStr">
        <is>
          <t>LSIP_2023_AR.pdf</t>
        </is>
      </c>
      <c r="C2819" t="n">
        <v>2023</v>
      </c>
      <c r="D2819" t="inlineStr">
        <is>
          <t>Asset</t>
        </is>
      </c>
      <c r="E2819" t="inlineStr">
        <is>
          <t>Palm Oil Mills Count</t>
        </is>
      </c>
      <c r="F2819" t="n">
        <v>12</v>
      </c>
      <c r="G2819" t="inlineStr">
        <is>
          <t>count</t>
        </is>
      </c>
      <c r="H2819" t="n">
        <v>37</v>
      </c>
      <c r="I2819" t="inlineStr">
        <is>
          <t>Lonsum operated 12 palm oil mills with a total annual Fresh Fruit Bunches (FFB) processing capacity of 2.7 million tonnes</t>
        </is>
      </c>
      <c r="J2819" t="inlineStr">
        <is>
          <t>High</t>
        </is>
      </c>
      <c r="M2819" t="inlineStr">
        <is>
          <t>LLM</t>
        </is>
      </c>
      <c r="N2819" t="inlineStr">
        <is>
          <t>2026-04-18</t>
        </is>
      </c>
      <c r="O2819" t="inlineStr">
        <is>
          <t>AI</t>
        </is>
      </c>
    </row>
    <row r="2820">
      <c r="A2820" t="inlineStr">
        <is>
          <t>PT Perusahaan Perkebunan London Sumatra Indonesia Tbk</t>
        </is>
      </c>
      <c r="B2820" t="inlineStr">
        <is>
          <t>LSIP_2023_AR.pdf</t>
        </is>
      </c>
      <c r="C2820" t="n">
        <v>2023</v>
      </c>
      <c r="D2820" t="inlineStr">
        <is>
          <t>Asset</t>
        </is>
      </c>
      <c r="E2820" t="inlineStr">
        <is>
          <t>Mill FFB Processing Capacity</t>
        </is>
      </c>
      <c r="F2820" t="n">
        <v>2700000</v>
      </c>
      <c r="G2820" t="inlineStr">
        <is>
          <t>tpa</t>
        </is>
      </c>
      <c r="H2820" t="n">
        <v>37</v>
      </c>
      <c r="I2820" t="inlineStr">
        <is>
          <t>total annual Fresh Fruit Bunches (FFB) processing capacity of 2.7 million tonnes</t>
        </is>
      </c>
      <c r="J2820" t="inlineStr">
        <is>
          <t>High</t>
        </is>
      </c>
      <c r="M2820" t="inlineStr">
        <is>
          <t>LLM</t>
        </is>
      </c>
      <c r="N2820" t="inlineStr">
        <is>
          <t>2026-04-18</t>
        </is>
      </c>
      <c r="O2820" t="inlineStr">
        <is>
          <t>AI</t>
        </is>
      </c>
    </row>
    <row r="2821">
      <c r="A2821" t="inlineStr">
        <is>
          <t>PT Perusahaan Perkebunan London Sumatra Indonesia Tbk</t>
        </is>
      </c>
      <c r="B2821" t="inlineStr">
        <is>
          <t>LSIP_2023_AR.pdf</t>
        </is>
      </c>
      <c r="C2821" t="n">
        <v>2023</v>
      </c>
      <c r="D2821" t="inlineStr">
        <is>
          <t>Asset</t>
        </is>
      </c>
      <c r="E2821" t="inlineStr">
        <is>
          <t>Crumb Rubber Lines</t>
        </is>
      </c>
      <c r="F2821" t="n">
        <v>3</v>
      </c>
      <c r="G2821" t="inlineStr">
        <is>
          <t>count</t>
        </is>
      </c>
      <c r="H2821" t="n">
        <v>37</v>
      </c>
      <c r="I2821" t="inlineStr">
        <is>
          <t>3 crumb rubber production lines with annual processing capacity of around 26,000 tonnes</t>
        </is>
      </c>
      <c r="J2821" t="inlineStr">
        <is>
          <t>High</t>
        </is>
      </c>
      <c r="M2821" t="inlineStr">
        <is>
          <t>LLM</t>
        </is>
      </c>
      <c r="N2821" t="inlineStr">
        <is>
          <t>2026-04-18</t>
        </is>
      </c>
      <c r="O2821" t="inlineStr">
        <is>
          <t>AI</t>
        </is>
      </c>
    </row>
    <row r="2822">
      <c r="A2822" t="inlineStr">
        <is>
          <t>PT Perusahaan Perkebunan London Sumatra Indonesia Tbk</t>
        </is>
      </c>
      <c r="B2822" t="inlineStr">
        <is>
          <t>LSIP_2023_AR.pdf</t>
        </is>
      </c>
      <c r="C2822" t="n">
        <v>2023</v>
      </c>
      <c r="D2822" t="inlineStr">
        <is>
          <t>Asset</t>
        </is>
      </c>
      <c r="E2822" t="inlineStr">
        <is>
          <t>Sheet Rubber Lines</t>
        </is>
      </c>
      <c r="F2822" t="n">
        <v>2</v>
      </c>
      <c r="G2822" t="inlineStr">
        <is>
          <t>count</t>
        </is>
      </c>
      <c r="H2822" t="n">
        <v>37</v>
      </c>
      <c r="I2822" t="inlineStr">
        <is>
          <t>2 sheet rubber production lines with annual processing capacity of around 7,000 tonnes</t>
        </is>
      </c>
      <c r="J2822" t="inlineStr">
        <is>
          <t>High</t>
        </is>
      </c>
      <c r="M2822" t="inlineStr">
        <is>
          <t>LLM</t>
        </is>
      </c>
      <c r="N2822" t="inlineStr">
        <is>
          <t>2026-04-18</t>
        </is>
      </c>
      <c r="O2822" t="inlineStr">
        <is>
          <t>AI</t>
        </is>
      </c>
    </row>
    <row r="2823">
      <c r="A2823" t="inlineStr">
        <is>
          <t>PT Perusahaan Perkebunan London Sumatra Indonesia Tbk</t>
        </is>
      </c>
      <c r="B2823" t="inlineStr">
        <is>
          <t>LSIP_2023_AR.pdf</t>
        </is>
      </c>
      <c r="C2823" t="n">
        <v>2023</v>
      </c>
      <c r="D2823" t="inlineStr">
        <is>
          <t>Asset</t>
        </is>
      </c>
      <c r="E2823" t="inlineStr">
        <is>
          <t>Cocoa Factory</t>
        </is>
      </c>
      <c r="F2823" t="n">
        <v>1</v>
      </c>
      <c r="G2823" t="inlineStr">
        <is>
          <t>count</t>
        </is>
      </c>
      <c r="H2823" t="n">
        <v>37</v>
      </c>
      <c r="I2823" t="inlineStr">
        <is>
          <t>Lonsum operated 1 cocoa factory and 1 tea factory</t>
        </is>
      </c>
      <c r="J2823" t="inlineStr">
        <is>
          <t>High</t>
        </is>
      </c>
      <c r="M2823" t="inlineStr">
        <is>
          <t>LLM</t>
        </is>
      </c>
      <c r="N2823" t="inlineStr">
        <is>
          <t>2026-04-18</t>
        </is>
      </c>
      <c r="O2823" t="inlineStr">
        <is>
          <t>AI</t>
        </is>
      </c>
    </row>
    <row r="2824">
      <c r="A2824" t="inlineStr">
        <is>
          <t>PT Perusahaan Perkebunan London Sumatra Indonesia Tbk</t>
        </is>
      </c>
      <c r="B2824" t="inlineStr">
        <is>
          <t>LSIP_2023_AR.pdf</t>
        </is>
      </c>
      <c r="C2824" t="n">
        <v>2023</v>
      </c>
      <c r="D2824" t="inlineStr">
        <is>
          <t>Asset</t>
        </is>
      </c>
      <c r="E2824" t="inlineStr">
        <is>
          <t>Tea Factory</t>
        </is>
      </c>
      <c r="F2824" t="n">
        <v>1</v>
      </c>
      <c r="G2824" t="inlineStr">
        <is>
          <t>count</t>
        </is>
      </c>
      <c r="H2824" t="n">
        <v>37</v>
      </c>
      <c r="I2824" t="inlineStr">
        <is>
          <t>1 cocoa factory and 1 tea factory</t>
        </is>
      </c>
      <c r="J2824" t="inlineStr">
        <is>
          <t>High</t>
        </is>
      </c>
      <c r="M2824" t="inlineStr">
        <is>
          <t>LLM</t>
        </is>
      </c>
      <c r="N2824" t="inlineStr">
        <is>
          <t>2026-04-18</t>
        </is>
      </c>
      <c r="O2824" t="inlineStr">
        <is>
          <t>AI</t>
        </is>
      </c>
    </row>
    <row r="2825">
      <c r="A2825" t="inlineStr">
        <is>
          <t>PT Perusahaan Perkebunan London Sumatra Indonesia Tbk</t>
        </is>
      </c>
      <c r="B2825" t="inlineStr">
        <is>
          <t>LSIP_2023_AR.pdf</t>
        </is>
      </c>
      <c r="C2825" t="n">
        <v>2023</v>
      </c>
      <c r="D2825" t="inlineStr">
        <is>
          <t>Asset</t>
        </is>
      </c>
      <c r="E2825" t="inlineStr">
        <is>
          <t>Average Oil Palm Tree Age</t>
        </is>
      </c>
      <c r="F2825" t="n">
        <v>19</v>
      </c>
      <c r="G2825" t="inlineStr">
        <is>
          <t>years</t>
        </is>
      </c>
      <c r="H2825" t="n">
        <v>36</v>
      </c>
      <c r="I2825" t="inlineStr">
        <is>
          <t>The average age of oil palm was approximately 19 years</t>
        </is>
      </c>
      <c r="J2825" t="inlineStr">
        <is>
          <t>High</t>
        </is>
      </c>
      <c r="M2825" t="inlineStr">
        <is>
          <t>LLM</t>
        </is>
      </c>
      <c r="N2825" t="inlineStr">
        <is>
          <t>2026-04-18</t>
        </is>
      </c>
      <c r="O2825" t="inlineStr">
        <is>
          <t>AI</t>
        </is>
      </c>
    </row>
    <row r="2826">
      <c r="A2826" t="inlineStr">
        <is>
          <t>PT Perusahaan Perkebunan London Sumatra Indonesia Tbk</t>
        </is>
      </c>
      <c r="B2826" t="inlineStr">
        <is>
          <t>LSIP_2023_AR.pdf</t>
        </is>
      </c>
      <c r="C2826" t="n">
        <v>2023</v>
      </c>
      <c r="D2826" t="inlineStr">
        <is>
          <t>Asset</t>
        </is>
      </c>
      <c r="E2826" t="inlineStr">
        <is>
          <t>Average Rubber Tree Age</t>
        </is>
      </c>
      <c r="F2826" t="n">
        <v>18</v>
      </c>
      <c r="G2826" t="inlineStr">
        <is>
          <t>years</t>
        </is>
      </c>
      <c r="H2826" t="n">
        <v>36</v>
      </c>
      <c r="I2826" t="inlineStr">
        <is>
          <t>The average age of rubber was approximately 18 years</t>
        </is>
      </c>
      <c r="J2826" t="inlineStr">
        <is>
          <t>High</t>
        </is>
      </c>
      <c r="M2826" t="inlineStr">
        <is>
          <t>LLM</t>
        </is>
      </c>
      <c r="N2826" t="inlineStr">
        <is>
          <t>2026-04-18</t>
        </is>
      </c>
      <c r="O2826" t="inlineStr">
        <is>
          <t>AI</t>
        </is>
      </c>
    </row>
    <row r="2827">
      <c r="A2827" t="inlineStr">
        <is>
          <t>PT Perusahaan Perkebunan London Sumatra Indonesia Tbk</t>
        </is>
      </c>
      <c r="B2827" t="inlineStr">
        <is>
          <t>LSIP_2023_AR.pdf</t>
        </is>
      </c>
      <c r="C2827" t="n">
        <v>2023</v>
      </c>
      <c r="D2827" t="inlineStr">
        <is>
          <t>Operation</t>
        </is>
      </c>
      <c r="E2827" t="inlineStr">
        <is>
          <t>Total FFB Production</t>
        </is>
      </c>
      <c r="F2827" t="n">
        <v>1377000</v>
      </c>
      <c r="G2827" t="inlineStr">
        <is>
          <t>t</t>
        </is>
      </c>
      <c r="H2827" t="n">
        <v>5</v>
      </c>
      <c r="I2827" t="inlineStr">
        <is>
          <t>Total Fresh Fruit Bunches (FFB) 1.377 1.417 1.384 (thousand tonnes)</t>
        </is>
      </c>
      <c r="J2827" t="inlineStr">
        <is>
          <t>High</t>
        </is>
      </c>
      <c r="M2827" t="inlineStr">
        <is>
          <t>LLM</t>
        </is>
      </c>
      <c r="N2827" t="inlineStr">
        <is>
          <t>2026-04-18</t>
        </is>
      </c>
      <c r="O2827" t="inlineStr">
        <is>
          <t>AI</t>
        </is>
      </c>
    </row>
    <row r="2828">
      <c r="A2828" t="inlineStr">
        <is>
          <t>PT Perusahaan Perkebunan London Sumatra Indonesia Tbk</t>
        </is>
      </c>
      <c r="B2828" t="inlineStr">
        <is>
          <t>LSIP_2023_AR.pdf</t>
        </is>
      </c>
      <c r="C2828" t="n">
        <v>2023</v>
      </c>
      <c r="D2828" t="inlineStr">
        <is>
          <t>Operation</t>
        </is>
      </c>
      <c r="E2828" t="inlineStr">
        <is>
          <t>FFB Nucleus Production</t>
        </is>
      </c>
      <c r="F2828" t="n">
        <v>1177000</v>
      </c>
      <c r="G2828" t="inlineStr">
        <is>
          <t>t</t>
        </is>
      </c>
      <c r="H2828" t="n">
        <v>5</v>
      </c>
      <c r="I2828" t="inlineStr">
        <is>
          <t>FFB - Nucleus 1.177 1.174 1.204</t>
        </is>
      </c>
      <c r="J2828" t="inlineStr">
        <is>
          <t>High</t>
        </is>
      </c>
      <c r="M2828" t="inlineStr">
        <is>
          <t>LLM</t>
        </is>
      </c>
      <c r="N2828" t="inlineStr">
        <is>
          <t>2026-04-18</t>
        </is>
      </c>
      <c r="O2828" t="inlineStr">
        <is>
          <t>AI</t>
        </is>
      </c>
    </row>
    <row r="2829">
      <c r="A2829" t="inlineStr">
        <is>
          <t>PT Perusahaan Perkebunan London Sumatra Indonesia Tbk</t>
        </is>
      </c>
      <c r="B2829" t="inlineStr">
        <is>
          <t>LSIP_2023_AR.pdf</t>
        </is>
      </c>
      <c r="C2829" t="n">
        <v>2023</v>
      </c>
      <c r="D2829" t="inlineStr">
        <is>
          <t>Operation</t>
        </is>
      </c>
      <c r="E2829" t="inlineStr">
        <is>
          <t>FFB from External</t>
        </is>
      </c>
      <c r="F2829" t="n">
        <v>201000</v>
      </c>
      <c r="G2829" t="inlineStr">
        <is>
          <t>t</t>
        </is>
      </c>
      <c r="H2829" t="n">
        <v>38</v>
      </c>
      <c r="I2829" t="inlineStr">
        <is>
          <t>FFB from external reached 201,000 tonnes in 2023</t>
        </is>
      </c>
      <c r="J2829" t="inlineStr">
        <is>
          <t>High</t>
        </is>
      </c>
      <c r="M2829" t="inlineStr">
        <is>
          <t>LLM</t>
        </is>
      </c>
      <c r="N2829" t="inlineStr">
        <is>
          <t>2026-04-18</t>
        </is>
      </c>
      <c r="O2829" t="inlineStr">
        <is>
          <t>AI</t>
        </is>
      </c>
    </row>
    <row r="2830">
      <c r="A2830" t="inlineStr">
        <is>
          <t>PT Perusahaan Perkebunan London Sumatra Indonesia Tbk</t>
        </is>
      </c>
      <c r="B2830" t="inlineStr">
        <is>
          <t>LSIP_2023_AR.pdf</t>
        </is>
      </c>
      <c r="C2830" t="n">
        <v>2023</v>
      </c>
      <c r="D2830" t="inlineStr">
        <is>
          <t>Operation</t>
        </is>
      </c>
      <c r="E2830" t="inlineStr">
        <is>
          <t>CPO Production</t>
        </is>
      </c>
      <c r="F2830" t="n">
        <v>294000</v>
      </c>
      <c r="G2830" t="inlineStr">
        <is>
          <t>t</t>
        </is>
      </c>
      <c r="H2830" t="n">
        <v>5</v>
      </c>
      <c r="I2830" t="inlineStr">
        <is>
          <t>Crude Palm Oil (CPO) 294 306 306</t>
        </is>
      </c>
      <c r="J2830" t="inlineStr">
        <is>
          <t>High</t>
        </is>
      </c>
      <c r="M2830" t="inlineStr">
        <is>
          <t>LLM</t>
        </is>
      </c>
      <c r="N2830" t="inlineStr">
        <is>
          <t>2026-04-18</t>
        </is>
      </c>
      <c r="O2830" t="inlineStr">
        <is>
          <t>AI</t>
        </is>
      </c>
    </row>
    <row r="2831">
      <c r="A2831" t="inlineStr">
        <is>
          <t>PT Perusahaan Perkebunan London Sumatra Indonesia Tbk</t>
        </is>
      </c>
      <c r="B2831" t="inlineStr">
        <is>
          <t>LSIP_2023_AR.pdf</t>
        </is>
      </c>
      <c r="C2831" t="n">
        <v>2023</v>
      </c>
      <c r="D2831" t="inlineStr">
        <is>
          <t>Operation</t>
        </is>
      </c>
      <c r="E2831" t="inlineStr">
        <is>
          <t>Palm Kernel Production</t>
        </is>
      </c>
      <c r="F2831" t="n">
        <v>87000</v>
      </c>
      <c r="G2831" t="inlineStr">
        <is>
          <t>t</t>
        </is>
      </c>
      <c r="H2831" t="n">
        <v>5</v>
      </c>
      <c r="I2831" t="inlineStr">
        <is>
          <t>Palm Kernel (PK) 87 88 86</t>
        </is>
      </c>
      <c r="J2831" t="inlineStr">
        <is>
          <t>High</t>
        </is>
      </c>
      <c r="M2831" t="inlineStr">
        <is>
          <t>LLM</t>
        </is>
      </c>
      <c r="N2831" t="inlineStr">
        <is>
          <t>2026-04-18</t>
        </is>
      </c>
      <c r="O2831" t="inlineStr">
        <is>
          <t>AI</t>
        </is>
      </c>
    </row>
    <row r="2832">
      <c r="A2832" t="inlineStr">
        <is>
          <t>PT Perusahaan Perkebunan London Sumatra Indonesia Tbk</t>
        </is>
      </c>
      <c r="B2832" t="inlineStr">
        <is>
          <t>LSIP_2023_AR.pdf</t>
        </is>
      </c>
      <c r="C2832" t="n">
        <v>2023</v>
      </c>
      <c r="D2832" t="inlineStr">
        <is>
          <t>Operation</t>
        </is>
      </c>
      <c r="E2832" t="inlineStr">
        <is>
          <t>Oil Palm Seeds Production</t>
        </is>
      </c>
      <c r="F2832" t="n">
        <v>7900000</v>
      </c>
      <c r="G2832" t="inlineStr">
        <is>
          <t>units</t>
        </is>
      </c>
      <c r="H2832" t="n">
        <v>5</v>
      </c>
      <c r="I2832" t="inlineStr">
        <is>
          <t>Oil Palm Seeds (million units) 7,9 7,1 5,5</t>
        </is>
      </c>
      <c r="J2832" t="inlineStr">
        <is>
          <t>High</t>
        </is>
      </c>
      <c r="M2832" t="inlineStr">
        <is>
          <t>LLM</t>
        </is>
      </c>
      <c r="N2832" t="inlineStr">
        <is>
          <t>2026-04-18</t>
        </is>
      </c>
      <c r="O2832" t="inlineStr">
        <is>
          <t>AI</t>
        </is>
      </c>
    </row>
    <row r="2833">
      <c r="A2833" t="inlineStr">
        <is>
          <t>PT Perusahaan Perkebunan London Sumatra Indonesia Tbk</t>
        </is>
      </c>
      <c r="B2833" t="inlineStr">
        <is>
          <t>LSIP_2023_AR.pdf</t>
        </is>
      </c>
      <c r="C2833" t="n">
        <v>2023</v>
      </c>
      <c r="D2833" t="inlineStr">
        <is>
          <t>Operation</t>
        </is>
      </c>
      <c r="E2833" t="inlineStr">
        <is>
          <t>Rubber Production</t>
        </is>
      </c>
      <c r="F2833" t="n">
        <v>4700</v>
      </c>
      <c r="G2833" t="inlineStr">
        <is>
          <t>t</t>
        </is>
      </c>
      <c r="H2833" t="n">
        <v>5</v>
      </c>
      <c r="I2833" t="inlineStr">
        <is>
          <t>Rubber 4,7 5,2 6,2</t>
        </is>
      </c>
      <c r="J2833" t="inlineStr">
        <is>
          <t>High</t>
        </is>
      </c>
      <c r="M2833" t="inlineStr">
        <is>
          <t>LLM</t>
        </is>
      </c>
      <c r="N2833" t="inlineStr">
        <is>
          <t>2026-04-18</t>
        </is>
      </c>
      <c r="O2833" t="inlineStr">
        <is>
          <t>AI</t>
        </is>
      </c>
    </row>
    <row r="2834">
      <c r="A2834" t="inlineStr">
        <is>
          <t>PT Perusahaan Perkebunan London Sumatra Indonesia Tbk</t>
        </is>
      </c>
      <c r="B2834" t="inlineStr">
        <is>
          <t>LSIP_2023_AR.pdf</t>
        </is>
      </c>
      <c r="C2834" t="n">
        <v>2023</v>
      </c>
      <c r="D2834" t="inlineStr">
        <is>
          <t>Operation</t>
        </is>
      </c>
      <c r="E2834" t="inlineStr">
        <is>
          <t>Cocoa Production</t>
        </is>
      </c>
      <c r="F2834" t="n">
        <v>416</v>
      </c>
      <c r="G2834" t="inlineStr">
        <is>
          <t>t</t>
        </is>
      </c>
      <c r="H2834" t="n">
        <v>5</v>
      </c>
      <c r="I2834" t="inlineStr">
        <is>
          <t>Cocoa (tonnes) 416 487 672</t>
        </is>
      </c>
      <c r="J2834" t="inlineStr">
        <is>
          <t>High</t>
        </is>
      </c>
      <c r="M2834" t="inlineStr">
        <is>
          <t>LLM</t>
        </is>
      </c>
      <c r="N2834" t="inlineStr">
        <is>
          <t>2026-04-18</t>
        </is>
      </c>
      <c r="O2834" t="inlineStr">
        <is>
          <t>AI</t>
        </is>
      </c>
    </row>
    <row r="2835">
      <c r="A2835" t="inlineStr">
        <is>
          <t>PT Perusahaan Perkebunan London Sumatra Indonesia Tbk</t>
        </is>
      </c>
      <c r="B2835" t="inlineStr">
        <is>
          <t>LSIP_2023_AR.pdf</t>
        </is>
      </c>
      <c r="C2835" t="n">
        <v>2023</v>
      </c>
      <c r="D2835" t="inlineStr">
        <is>
          <t>Operation</t>
        </is>
      </c>
      <c r="E2835" t="inlineStr">
        <is>
          <t>Tea Production</t>
        </is>
      </c>
      <c r="F2835" t="n">
        <v>754</v>
      </c>
      <c r="G2835" t="inlineStr">
        <is>
          <t>t</t>
        </is>
      </c>
      <c r="H2835" t="n">
        <v>5</v>
      </c>
      <c r="I2835" t="inlineStr">
        <is>
          <t>Tea (tonnes) 754 972 922</t>
        </is>
      </c>
      <c r="J2835" t="inlineStr">
        <is>
          <t>High</t>
        </is>
      </c>
      <c r="M2835" t="inlineStr">
        <is>
          <t>LLM</t>
        </is>
      </c>
      <c r="N2835" t="inlineStr">
        <is>
          <t>2026-04-18</t>
        </is>
      </c>
      <c r="O2835" t="inlineStr">
        <is>
          <t>AI</t>
        </is>
      </c>
    </row>
    <row r="2836">
      <c r="A2836" t="inlineStr">
        <is>
          <t>PT Perusahaan Perkebunan London Sumatra Indonesia Tbk</t>
        </is>
      </c>
      <c r="B2836" t="inlineStr">
        <is>
          <t>LSIP_2023_AR.pdf</t>
        </is>
      </c>
      <c r="C2836" t="n">
        <v>2023</v>
      </c>
      <c r="D2836" t="inlineStr">
        <is>
          <t>Operation</t>
        </is>
      </c>
      <c r="E2836" t="inlineStr">
        <is>
          <t>CPO Sales Volume</t>
        </is>
      </c>
      <c r="F2836" t="n">
        <v>303000</v>
      </c>
      <c r="G2836" t="inlineStr">
        <is>
          <t>t</t>
        </is>
      </c>
      <c r="H2836" t="n">
        <v>5</v>
      </c>
      <c r="I2836" t="inlineStr">
        <is>
          <t>CPO 303 286 318 (sales volume)</t>
        </is>
      </c>
      <c r="J2836" t="inlineStr">
        <is>
          <t>High</t>
        </is>
      </c>
      <c r="M2836" t="inlineStr">
        <is>
          <t>LLM</t>
        </is>
      </c>
      <c r="N2836" t="inlineStr">
        <is>
          <t>2026-04-18</t>
        </is>
      </c>
      <c r="O2836" t="inlineStr">
        <is>
          <t>AI</t>
        </is>
      </c>
    </row>
    <row r="2837">
      <c r="A2837" t="inlineStr">
        <is>
          <t>PT Perusahaan Perkebunan London Sumatra Indonesia Tbk</t>
        </is>
      </c>
      <c r="B2837" t="inlineStr">
        <is>
          <t>LSIP_2023_AR.pdf</t>
        </is>
      </c>
      <c r="C2837" t="n">
        <v>2023</v>
      </c>
      <c r="D2837" t="inlineStr">
        <is>
          <t>Operation</t>
        </is>
      </c>
      <c r="E2837" t="inlineStr">
        <is>
          <t>PK Products Sales Volume</t>
        </is>
      </c>
      <c r="F2837" t="n">
        <v>105000</v>
      </c>
      <c r="G2837" t="inlineStr">
        <is>
          <t>t</t>
        </is>
      </c>
      <c r="H2837" t="n">
        <v>5</v>
      </c>
      <c r="I2837" t="inlineStr">
        <is>
          <t>PK and PK Related Products 105 100 92</t>
        </is>
      </c>
      <c r="J2837" t="inlineStr">
        <is>
          <t>High</t>
        </is>
      </c>
      <c r="M2837" t="inlineStr">
        <is>
          <t>LLM</t>
        </is>
      </c>
      <c r="N2837" t="inlineStr">
        <is>
          <t>2026-04-18</t>
        </is>
      </c>
      <c r="O2837" t="inlineStr">
        <is>
          <t>AI</t>
        </is>
      </c>
    </row>
    <row r="2838">
      <c r="A2838" t="inlineStr">
        <is>
          <t>PT Perusahaan Perkebunan London Sumatra Indonesia Tbk</t>
        </is>
      </c>
      <c r="B2838" t="inlineStr">
        <is>
          <t>LSIP_2023_AR.pdf</t>
        </is>
      </c>
      <c r="C2838" t="n">
        <v>2023</v>
      </c>
      <c r="D2838" t="inlineStr">
        <is>
          <t>Operation</t>
        </is>
      </c>
      <c r="E2838" t="inlineStr">
        <is>
          <t>Oil Palm Seeds Sales</t>
        </is>
      </c>
      <c r="F2838" t="n">
        <v>7700000</v>
      </c>
      <c r="G2838" t="inlineStr">
        <is>
          <t>units</t>
        </is>
      </c>
      <c r="H2838" t="n">
        <v>5</v>
      </c>
      <c r="I2838" t="inlineStr">
        <is>
          <t>Oil Palm Seeds (million units) 7,7 6,4 4,9</t>
        </is>
      </c>
      <c r="J2838" t="inlineStr">
        <is>
          <t>High</t>
        </is>
      </c>
      <c r="M2838" t="inlineStr">
        <is>
          <t>LLM</t>
        </is>
      </c>
      <c r="N2838" t="inlineStr">
        <is>
          <t>2026-04-18</t>
        </is>
      </c>
      <c r="O2838" t="inlineStr">
        <is>
          <t>AI</t>
        </is>
      </c>
    </row>
    <row r="2839">
      <c r="A2839" t="inlineStr">
        <is>
          <t>PT Perusahaan Perkebunan London Sumatra Indonesia Tbk</t>
        </is>
      </c>
      <c r="B2839" t="inlineStr">
        <is>
          <t>LSIP_2023_AR.pdf</t>
        </is>
      </c>
      <c r="C2839" t="n">
        <v>2023</v>
      </c>
      <c r="D2839" t="inlineStr">
        <is>
          <t>Operation</t>
        </is>
      </c>
      <c r="E2839" t="inlineStr">
        <is>
          <t>Rubber Sales Volume</t>
        </is>
      </c>
      <c r="F2839" t="n">
        <v>5100</v>
      </c>
      <c r="G2839" t="inlineStr">
        <is>
          <t>t</t>
        </is>
      </c>
      <c r="H2839" t="n">
        <v>5</v>
      </c>
      <c r="I2839" t="inlineStr">
        <is>
          <t>Rubber 5,1 5,8 5,6</t>
        </is>
      </c>
      <c r="J2839" t="inlineStr">
        <is>
          <t>High</t>
        </is>
      </c>
      <c r="M2839" t="inlineStr">
        <is>
          <t>LLM</t>
        </is>
      </c>
      <c r="N2839" t="inlineStr">
        <is>
          <t>2026-04-18</t>
        </is>
      </c>
      <c r="O2839" t="inlineStr">
        <is>
          <t>AI</t>
        </is>
      </c>
    </row>
    <row r="2840">
      <c r="A2840" t="inlineStr">
        <is>
          <t>PT Perusahaan Perkebunan London Sumatra Indonesia Tbk</t>
        </is>
      </c>
      <c r="B2840" t="inlineStr">
        <is>
          <t>LSIP_2023_AR.pdf</t>
        </is>
      </c>
      <c r="C2840" t="n">
        <v>2023</v>
      </c>
      <c r="D2840" t="inlineStr">
        <is>
          <t>Operation</t>
        </is>
      </c>
      <c r="E2840" t="inlineStr">
        <is>
          <t>Rubber Export Share</t>
        </is>
      </c>
      <c r="F2840" t="n">
        <v>0.53</v>
      </c>
      <c r="G2840" t="inlineStr">
        <is>
          <t>%</t>
        </is>
      </c>
      <c r="H2840" t="n">
        <v>27</v>
      </c>
      <c r="I2840" t="inlineStr">
        <is>
          <t>Around 53% of total rubber sales volume went to the export market</t>
        </is>
      </c>
      <c r="J2840" t="inlineStr">
        <is>
          <t>High</t>
        </is>
      </c>
      <c r="M2840" t="inlineStr">
        <is>
          <t>LLM</t>
        </is>
      </c>
      <c r="N2840" t="inlineStr">
        <is>
          <t>2026-04-18</t>
        </is>
      </c>
      <c r="O2840" t="inlineStr">
        <is>
          <t>AI</t>
        </is>
      </c>
    </row>
    <row r="2841">
      <c r="A2841" t="inlineStr">
        <is>
          <t>PT Perusahaan Perkebunan London Sumatra Indonesia Tbk</t>
        </is>
      </c>
      <c r="B2841" t="inlineStr">
        <is>
          <t>LSIP_2023_AR.pdf</t>
        </is>
      </c>
      <c r="C2841" t="n">
        <v>2023</v>
      </c>
      <c r="D2841" t="inlineStr">
        <is>
          <t>Operation</t>
        </is>
      </c>
      <c r="E2841" t="inlineStr">
        <is>
          <t>CPO Price (CIF Rotterdam avg)</t>
        </is>
      </c>
      <c r="F2841" t="n">
        <v>972</v>
      </c>
      <c r="G2841" t="inlineStr">
        <is>
          <t>USD/t</t>
        </is>
      </c>
      <c r="H2841" t="n">
        <v>26</v>
      </c>
      <c r="I2841" t="inlineStr">
        <is>
          <t>CPO prices (CIF Rotterdam) declined by 29% to an average of USD972 per tonne in 2023 from USD1,370 per tonne in 2022</t>
        </is>
      </c>
      <c r="J2841" t="inlineStr">
        <is>
          <t>High</t>
        </is>
      </c>
      <c r="M2841" t="inlineStr">
        <is>
          <t>LLM</t>
        </is>
      </c>
      <c r="N2841" t="inlineStr">
        <is>
          <t>2026-04-18</t>
        </is>
      </c>
      <c r="O2841" t="inlineStr">
        <is>
          <t>AI</t>
        </is>
      </c>
    </row>
    <row r="2842">
      <c r="A2842" t="inlineStr">
        <is>
          <t>PT Perusahaan Perkebunan London Sumatra Indonesia Tbk</t>
        </is>
      </c>
      <c r="B2842" t="inlineStr">
        <is>
          <t>LSIP_2023_AR.pdf</t>
        </is>
      </c>
      <c r="C2842" t="n">
        <v>2023</v>
      </c>
      <c r="D2842" t="inlineStr">
        <is>
          <t>ESG</t>
        </is>
      </c>
      <c r="E2842" t="inlineStr">
        <is>
          <t>ISPO-Certified CPO Production</t>
        </is>
      </c>
      <c r="F2842" t="n">
        <v>258000</v>
      </c>
      <c r="G2842" t="inlineStr">
        <is>
          <t>t</t>
        </is>
      </c>
      <c r="H2842" t="n">
        <v>9</v>
      </c>
      <c r="I2842" t="inlineStr">
        <is>
          <t>Lonsum has achieved 258,000 tonnes of ISPO-certified CPO or 100% of total nucleus CPO production</t>
        </is>
      </c>
      <c r="J2842" t="inlineStr">
        <is>
          <t>High</t>
        </is>
      </c>
      <c r="M2842" t="inlineStr">
        <is>
          <t>LLM</t>
        </is>
      </c>
      <c r="N2842" t="inlineStr">
        <is>
          <t>2026-04-18</t>
        </is>
      </c>
      <c r="O2842" t="inlineStr">
        <is>
          <t>AI</t>
        </is>
      </c>
    </row>
    <row r="2843">
      <c r="A2843" t="inlineStr">
        <is>
          <t>PT Perusahaan Perkebunan London Sumatra Indonesia Tbk</t>
        </is>
      </c>
      <c r="B2843" t="inlineStr">
        <is>
          <t>LSIP_2023_AR.pdf</t>
        </is>
      </c>
      <c r="C2843" t="n">
        <v>2023</v>
      </c>
      <c r="D2843" t="inlineStr">
        <is>
          <t>ESG</t>
        </is>
      </c>
      <c r="E2843" t="inlineStr">
        <is>
          <t>ISPO Certification Share of Nucleus CPO</t>
        </is>
      </c>
      <c r="F2843" t="n">
        <v>1</v>
      </c>
      <c r="G2843" t="inlineStr">
        <is>
          <t>%</t>
        </is>
      </c>
      <c r="H2843" t="n">
        <v>9</v>
      </c>
      <c r="I2843" t="inlineStr">
        <is>
          <t>258,000 tonnes of ISPO-certified CPO or 100% of total nucleus CPO production</t>
        </is>
      </c>
      <c r="J2843" t="inlineStr">
        <is>
          <t>High</t>
        </is>
      </c>
      <c r="M2843" t="inlineStr">
        <is>
          <t>LLM</t>
        </is>
      </c>
      <c r="N2843" t="inlineStr">
        <is>
          <t>2026-04-18</t>
        </is>
      </c>
      <c r="O2843" t="inlineStr">
        <is>
          <t>AI</t>
        </is>
      </c>
    </row>
    <row r="2844">
      <c r="A2844" t="inlineStr">
        <is>
          <t>PT Perusahaan Perkebunan London Sumatra Indonesia Tbk</t>
        </is>
      </c>
      <c r="B2844" t="inlineStr">
        <is>
          <t>LSIP_2023_AR.pdf</t>
        </is>
      </c>
      <c r="C2844" t="n">
        <v>2023</v>
      </c>
      <c r="D2844" t="inlineStr">
        <is>
          <t>Financial</t>
        </is>
      </c>
      <c r="E2844" t="inlineStr">
        <is>
          <t>Capex Commitment</t>
        </is>
      </c>
      <c r="F2844" t="n">
        <v>54</v>
      </c>
      <c r="G2844" t="inlineStr">
        <is>
          <t>IDR bn</t>
        </is>
      </c>
      <c r="H2844" t="n">
        <v>33</v>
      </c>
      <c r="I2844" t="inlineStr">
        <is>
          <t>commitments to acquire fixed assets with total contract value of Rp53.6 billion, USD228,000 and JPY17,820,000</t>
        </is>
      </c>
      <c r="J2844" t="inlineStr">
        <is>
          <t>High</t>
        </is>
      </c>
      <c r="M2844" t="inlineStr">
        <is>
          <t>LLM</t>
        </is>
      </c>
      <c r="N2844" t="inlineStr">
        <is>
          <t>2026-04-18</t>
        </is>
      </c>
      <c r="O2844" t="inlineStr">
        <is>
          <t>AI</t>
        </is>
      </c>
    </row>
    <row r="2845">
      <c r="A2845" t="inlineStr">
        <is>
          <t>PT Perusahaan Perkebunan London Sumatra Indonesia Tbk</t>
        </is>
      </c>
      <c r="B2845" t="inlineStr">
        <is>
          <t>LSIP_2024_AR.pdf</t>
        </is>
      </c>
      <c r="C2845" t="n">
        <v>2024</v>
      </c>
      <c r="D2845" t="inlineStr">
        <is>
          <t>Company</t>
        </is>
      </c>
      <c r="E2845" t="inlineStr">
        <is>
          <t>Company Name</t>
        </is>
      </c>
      <c r="F2845" t="inlineStr">
        <is>
          <t>PT Perusahaan Perkebunan London Sumatra Indonesia Tbk</t>
        </is>
      </c>
      <c r="G2845" t="inlineStr">
        <is>
          <t>text</t>
        </is>
      </c>
      <c r="H2845" t="n">
        <v>8</v>
      </c>
      <c r="I2845" t="inlineStr">
        <is>
          <t>PT PP London Sumatra Indonesia Tbk, also known as Lonsum, is a plantation company in Indonesia founded in 1906</t>
        </is>
      </c>
      <c r="J2845" t="inlineStr">
        <is>
          <t>High</t>
        </is>
      </c>
      <c r="M2845" t="inlineStr">
        <is>
          <t>LLM</t>
        </is>
      </c>
      <c r="N2845" t="inlineStr">
        <is>
          <t>2026-04-18</t>
        </is>
      </c>
      <c r="O2845" t="inlineStr">
        <is>
          <t>AI</t>
        </is>
      </c>
    </row>
    <row r="2846">
      <c r="A2846" t="inlineStr">
        <is>
          <t>PT Perusahaan Perkebunan London Sumatra Indonesia Tbk</t>
        </is>
      </c>
      <c r="B2846" t="inlineStr">
        <is>
          <t>LSIP_2024_AR.pdf</t>
        </is>
      </c>
      <c r="C2846" t="n">
        <v>2024</v>
      </c>
      <c r="D2846" t="inlineStr">
        <is>
          <t>Company</t>
        </is>
      </c>
      <c r="E2846" t="inlineStr">
        <is>
          <t>Year of Establishment</t>
        </is>
      </c>
      <c r="F2846" t="n">
        <v>1906</v>
      </c>
      <c r="G2846" t="inlineStr">
        <is>
          <t>year</t>
        </is>
      </c>
      <c r="H2846" t="n">
        <v>8</v>
      </c>
      <c r="I2846" t="inlineStr">
        <is>
          <t>founded in 1906 when Harrisons &amp; Crosfield Plc ... started its first plantation in Indonesia near the city of Medan, North Sumatra</t>
        </is>
      </c>
      <c r="J2846" t="inlineStr">
        <is>
          <t>High</t>
        </is>
      </c>
      <c r="M2846" t="inlineStr">
        <is>
          <t>LLM</t>
        </is>
      </c>
      <c r="N2846" t="inlineStr">
        <is>
          <t>2026-04-18</t>
        </is>
      </c>
      <c r="O2846" t="inlineStr">
        <is>
          <t>AI</t>
        </is>
      </c>
    </row>
    <row r="2847">
      <c r="A2847" t="inlineStr">
        <is>
          <t>PT Perusahaan Perkebunan London Sumatra Indonesia Tbk</t>
        </is>
      </c>
      <c r="B2847" t="inlineStr">
        <is>
          <t>LSIP_2024_AR.pdf</t>
        </is>
      </c>
      <c r="C2847" t="n">
        <v>2024</v>
      </c>
      <c r="D2847" t="inlineStr">
        <is>
          <t>Company</t>
        </is>
      </c>
      <c r="E2847" t="inlineStr">
        <is>
          <t>IPO Date</t>
        </is>
      </c>
      <c r="F2847" t="inlineStr">
        <is>
          <t>1996-06-07</t>
        </is>
      </c>
      <c r="G2847" t="inlineStr">
        <is>
          <t>date</t>
        </is>
      </c>
      <c r="H2847" t="n">
        <v>13</v>
      </c>
      <c r="I2847" t="inlineStr">
        <is>
          <t>Listed on the Indonesia Stock Exchange 1996; IPO 7 Juni 1996 38,800,000 saham Rp4,650</t>
        </is>
      </c>
      <c r="J2847" t="inlineStr">
        <is>
          <t>High</t>
        </is>
      </c>
      <c r="M2847" t="inlineStr">
        <is>
          <t>LLM</t>
        </is>
      </c>
      <c r="N2847" t="inlineStr">
        <is>
          <t>2026-04-18</t>
        </is>
      </c>
      <c r="O2847" t="inlineStr">
        <is>
          <t>AI</t>
        </is>
      </c>
    </row>
    <row r="2848">
      <c r="A2848" t="inlineStr">
        <is>
          <t>PT Perusahaan Perkebunan London Sumatra Indonesia Tbk</t>
        </is>
      </c>
      <c r="B2848" t="inlineStr">
        <is>
          <t>LSIP_2024_AR.pdf</t>
        </is>
      </c>
      <c r="C2848" t="n">
        <v>2024</v>
      </c>
      <c r="D2848" t="inlineStr">
        <is>
          <t>Company</t>
        </is>
      </c>
      <c r="E2848" t="inlineStr">
        <is>
          <t>Parent (Direct)</t>
        </is>
      </c>
      <c r="F2848" t="inlineStr">
        <is>
          <t>PT Salim Ivomas Pratama Tbk 59.51%</t>
        </is>
      </c>
      <c r="G2848" t="inlineStr">
        <is>
          <t>%</t>
        </is>
      </c>
      <c r="H2848" t="n">
        <v>10</v>
      </c>
      <c r="I2848" t="inlineStr">
        <is>
          <t>PT Salim Ivomas Pratama Tbk 4.058.425.010 59,51%</t>
        </is>
      </c>
      <c r="J2848" t="inlineStr">
        <is>
          <t>High</t>
        </is>
      </c>
      <c r="M2848" t="inlineStr">
        <is>
          <t>LLM</t>
        </is>
      </c>
      <c r="N2848" t="inlineStr">
        <is>
          <t>2026-04-18</t>
        </is>
      </c>
      <c r="O2848" t="inlineStr">
        <is>
          <t>AI</t>
        </is>
      </c>
    </row>
    <row r="2849">
      <c r="A2849" t="inlineStr">
        <is>
          <t>PT Perusahaan Perkebunan London Sumatra Indonesia Tbk</t>
        </is>
      </c>
      <c r="B2849" t="inlineStr">
        <is>
          <t>LSIP_2024_AR.pdf</t>
        </is>
      </c>
      <c r="C2849" t="n">
        <v>2024</v>
      </c>
      <c r="D2849" t="inlineStr">
        <is>
          <t>Company</t>
        </is>
      </c>
      <c r="E2849" t="inlineStr">
        <is>
          <t>Ultimate Parent</t>
        </is>
      </c>
      <c r="F2849" t="inlineStr">
        <is>
          <t>First Pacific Company Limited (HK); controlled by Anthoni Salim</t>
        </is>
      </c>
      <c r="G2849" t="inlineStr">
        <is>
          <t>text</t>
        </is>
      </c>
      <c r="H2849" t="n">
        <v>10</v>
      </c>
      <c r="I2849" t="inlineStr">
        <is>
          <t>First Pacific Company Limited is a public listed company on the Hong Kong Stock Exchange. Mr. Anthoni Salim holds interests in and controls indirectly First Pacific Company Limited</t>
        </is>
      </c>
      <c r="J2849" t="inlineStr">
        <is>
          <t>High</t>
        </is>
      </c>
      <c r="M2849" t="inlineStr">
        <is>
          <t>LLM</t>
        </is>
      </c>
      <c r="N2849" t="inlineStr">
        <is>
          <t>2026-04-18</t>
        </is>
      </c>
      <c r="O2849" t="inlineStr">
        <is>
          <t>AI</t>
        </is>
      </c>
    </row>
    <row r="2850">
      <c r="A2850" t="inlineStr">
        <is>
          <t>PT Perusahaan Perkebunan London Sumatra Indonesia Tbk</t>
        </is>
      </c>
      <c r="B2850" t="inlineStr">
        <is>
          <t>LSIP_2024_AR.pdf</t>
        </is>
      </c>
      <c r="C2850" t="n">
        <v>2024</v>
      </c>
      <c r="D2850" t="inlineStr">
        <is>
          <t>Company</t>
        </is>
      </c>
      <c r="E2850" t="inlineStr">
        <is>
          <t>Public Float</t>
        </is>
      </c>
      <c r="F2850" t="n">
        <v>0.4038</v>
      </c>
      <c r="G2850" t="inlineStr">
        <is>
          <t>%</t>
        </is>
      </c>
      <c r="H2850" t="n">
        <v>10</v>
      </c>
      <c r="I2850" t="inlineStr">
        <is>
          <t>Public (each less than 5% ownership interest) 2.753.756.655 40,38%</t>
        </is>
      </c>
      <c r="J2850" t="inlineStr">
        <is>
          <t>High</t>
        </is>
      </c>
      <c r="M2850" t="inlineStr">
        <is>
          <t>LLM</t>
        </is>
      </c>
      <c r="N2850" t="inlineStr">
        <is>
          <t>2026-04-18</t>
        </is>
      </c>
      <c r="O2850" t="inlineStr">
        <is>
          <t>AI</t>
        </is>
      </c>
    </row>
    <row r="2851">
      <c r="A2851" t="inlineStr">
        <is>
          <t>PT Perusahaan Perkebunan London Sumatra Indonesia Tbk</t>
        </is>
      </c>
      <c r="B2851" t="inlineStr">
        <is>
          <t>LSIP_2024_AR.pdf</t>
        </is>
      </c>
      <c r="C2851" t="n">
        <v>2024</v>
      </c>
      <c r="D2851" t="inlineStr">
        <is>
          <t>Company</t>
        </is>
      </c>
      <c r="E2851" t="inlineStr">
        <is>
          <t>Total Shares Outstanding</t>
        </is>
      </c>
      <c r="F2851" t="n">
        <v>6819963965</v>
      </c>
      <c r="G2851" t="inlineStr">
        <is>
          <t>shares</t>
        </is>
      </c>
      <c r="H2851" t="n">
        <v>10</v>
      </c>
      <c r="I2851" t="inlineStr">
        <is>
          <t>Sub Total 6.819.963.965 100,00%</t>
        </is>
      </c>
      <c r="J2851" t="inlineStr">
        <is>
          <t>High</t>
        </is>
      </c>
      <c r="M2851" t="inlineStr">
        <is>
          <t>LLM</t>
        </is>
      </c>
      <c r="N2851" t="inlineStr">
        <is>
          <t>2026-04-18</t>
        </is>
      </c>
      <c r="O2851" t="inlineStr">
        <is>
          <t>AI</t>
        </is>
      </c>
    </row>
    <row r="2852">
      <c r="A2852" t="inlineStr">
        <is>
          <t>PT Perusahaan Perkebunan London Sumatra Indonesia Tbk</t>
        </is>
      </c>
      <c r="B2852" t="inlineStr">
        <is>
          <t>LSIP_2024_AR.pdf</t>
        </is>
      </c>
      <c r="C2852" t="n">
        <v>2024</v>
      </c>
      <c r="D2852" t="inlineStr">
        <is>
          <t>Company</t>
        </is>
      </c>
      <c r="E2852" t="inlineStr">
        <is>
          <t>Number of Shareholders</t>
        </is>
      </c>
      <c r="F2852" t="n">
        <v>19312</v>
      </c>
      <c r="G2852" t="inlineStr">
        <is>
          <t>count</t>
        </is>
      </c>
      <c r="H2852" t="n">
        <v>10</v>
      </c>
      <c r="I2852" t="inlineStr">
        <is>
          <t>Total 19.312 100,00%</t>
        </is>
      </c>
      <c r="J2852" t="inlineStr">
        <is>
          <t>High</t>
        </is>
      </c>
      <c r="M2852" t="inlineStr">
        <is>
          <t>LLM</t>
        </is>
      </c>
      <c r="N2852" t="inlineStr">
        <is>
          <t>2026-04-18</t>
        </is>
      </c>
      <c r="O2852" t="inlineStr">
        <is>
          <t>AI</t>
        </is>
      </c>
    </row>
    <row r="2853">
      <c r="A2853" t="inlineStr">
        <is>
          <t>PT Perusahaan Perkebunan London Sumatra Indonesia Tbk</t>
        </is>
      </c>
      <c r="B2853" t="inlineStr">
        <is>
          <t>LSIP_2024_AR.pdf</t>
        </is>
      </c>
      <c r="C2853" t="n">
        <v>2024</v>
      </c>
      <c r="D2853" t="inlineStr">
        <is>
          <t>Financial</t>
        </is>
      </c>
      <c r="E2853" t="inlineStr">
        <is>
          <t>Revenue (Sales)</t>
        </is>
      </c>
      <c r="F2853" t="n">
        <v>4563</v>
      </c>
      <c r="G2853" t="inlineStr">
        <is>
          <t>IDR bn</t>
        </is>
      </c>
      <c r="H2853" t="n">
        <v>4</v>
      </c>
      <c r="I2853" t="inlineStr">
        <is>
          <t>Sales 4.562.503 4.189.896 4.585.348 (in million Rupiah)</t>
        </is>
      </c>
      <c r="J2853" t="inlineStr">
        <is>
          <t>High</t>
        </is>
      </c>
      <c r="M2853" t="inlineStr">
        <is>
          <t>LLM</t>
        </is>
      </c>
      <c r="N2853" t="inlineStr">
        <is>
          <t>2026-04-18</t>
        </is>
      </c>
      <c r="O2853" t="inlineStr">
        <is>
          <t>AI</t>
        </is>
      </c>
    </row>
    <row r="2854">
      <c r="A2854" t="inlineStr">
        <is>
          <t>PT Perusahaan Perkebunan London Sumatra Indonesia Tbk</t>
        </is>
      </c>
      <c r="B2854" t="inlineStr">
        <is>
          <t>LSIP_2024_AR.pdf</t>
        </is>
      </c>
      <c r="C2854" t="n">
        <v>2024</v>
      </c>
      <c r="D2854" t="inlineStr">
        <is>
          <t>Financial</t>
        </is>
      </c>
      <c r="E2854" t="inlineStr">
        <is>
          <t>Revenue YoY Change</t>
        </is>
      </c>
      <c r="F2854" t="n">
        <v>0.09</v>
      </c>
      <c r="G2854" t="inlineStr">
        <is>
          <t>%</t>
        </is>
      </c>
      <c r="H2854" t="n">
        <v>25</v>
      </c>
      <c r="I2854" t="inlineStr">
        <is>
          <t>Lonsum booked total consolidated sales of Rp4.56 trillion in 2024, 9% higher than the previous year's figures of Rp4.19 trillion</t>
        </is>
      </c>
      <c r="J2854" t="inlineStr">
        <is>
          <t>High</t>
        </is>
      </c>
      <c r="M2854" t="inlineStr">
        <is>
          <t>LLM</t>
        </is>
      </c>
      <c r="N2854" t="inlineStr">
        <is>
          <t>2026-04-18</t>
        </is>
      </c>
      <c r="O2854" t="inlineStr">
        <is>
          <t>AI</t>
        </is>
      </c>
    </row>
    <row r="2855">
      <c r="A2855" t="inlineStr">
        <is>
          <t>PT Perusahaan Perkebunan London Sumatra Indonesia Tbk</t>
        </is>
      </c>
      <c r="B2855" t="inlineStr">
        <is>
          <t>LSIP_2024_AR.pdf</t>
        </is>
      </c>
      <c r="C2855" t="n">
        <v>2024</v>
      </c>
      <c r="D2855" t="inlineStr">
        <is>
          <t>Financial</t>
        </is>
      </c>
      <c r="E2855" t="inlineStr">
        <is>
          <t>Oil Palm Product Sales</t>
        </is>
      </c>
      <c r="F2855" t="n">
        <v>4290</v>
      </c>
      <c r="G2855" t="inlineStr">
        <is>
          <t>IDR bn</t>
        </is>
      </c>
      <c r="H2855" t="n">
        <v>25</v>
      </c>
      <c r="I2855" t="inlineStr">
        <is>
          <t>Oil palm products sales increased 8% to Rp4.29 trillion in 2024 compared to Rp3.98 trillion in 2023</t>
        </is>
      </c>
      <c r="J2855" t="inlineStr">
        <is>
          <t>High</t>
        </is>
      </c>
      <c r="M2855" t="inlineStr">
        <is>
          <t>LLM</t>
        </is>
      </c>
      <c r="N2855" t="inlineStr">
        <is>
          <t>2026-04-18</t>
        </is>
      </c>
      <c r="O2855" t="inlineStr">
        <is>
          <t>AI</t>
        </is>
      </c>
    </row>
    <row r="2856">
      <c r="A2856" t="inlineStr">
        <is>
          <t>PT Perusahaan Perkebunan London Sumatra Indonesia Tbk</t>
        </is>
      </c>
      <c r="B2856" t="inlineStr">
        <is>
          <t>LSIP_2024_AR.pdf</t>
        </is>
      </c>
      <c r="C2856" t="n">
        <v>2024</v>
      </c>
      <c r="D2856" t="inlineStr">
        <is>
          <t>Financial</t>
        </is>
      </c>
      <c r="E2856" t="inlineStr">
        <is>
          <t>Oil Palm Product Sales Share</t>
        </is>
      </c>
      <c r="F2856" t="n">
        <v>0.9399999999999999</v>
      </c>
      <c r="G2856" t="inlineStr">
        <is>
          <t>%</t>
        </is>
      </c>
      <c r="H2856" t="n">
        <v>25</v>
      </c>
      <c r="I2856" t="inlineStr">
        <is>
          <t>Oil palm products contributed 94% of the Company's total consolidated sales</t>
        </is>
      </c>
      <c r="J2856" t="inlineStr">
        <is>
          <t>High</t>
        </is>
      </c>
      <c r="M2856" t="inlineStr">
        <is>
          <t>LLM</t>
        </is>
      </c>
      <c r="N2856" t="inlineStr">
        <is>
          <t>2026-04-18</t>
        </is>
      </c>
      <c r="O2856" t="inlineStr">
        <is>
          <t>AI</t>
        </is>
      </c>
    </row>
    <row r="2857">
      <c r="A2857" t="inlineStr">
        <is>
          <t>PT Perusahaan Perkebunan London Sumatra Indonesia Tbk</t>
        </is>
      </c>
      <c r="B2857" t="inlineStr">
        <is>
          <t>LSIP_2024_AR.pdf</t>
        </is>
      </c>
      <c r="C2857" t="n">
        <v>2024</v>
      </c>
      <c r="D2857" t="inlineStr">
        <is>
          <t>Financial</t>
        </is>
      </c>
      <c r="E2857" t="inlineStr">
        <is>
          <t>Related-Party Sales Share (to SIMP)</t>
        </is>
      </c>
      <c r="F2857" t="n">
        <v>0.8</v>
      </c>
      <c r="G2857" t="inlineStr">
        <is>
          <t>%</t>
        </is>
      </c>
      <c r="H2857" t="n">
        <v>25</v>
      </c>
      <c r="I2857" t="inlineStr">
        <is>
          <t>Sales to PT Salim Ivomas Pratama Tbk (SIMP), Lonsum's parent company, accounted around 80% of total Lonsum's sales</t>
        </is>
      </c>
      <c r="J2857" t="inlineStr">
        <is>
          <t>High</t>
        </is>
      </c>
      <c r="M2857" t="inlineStr">
        <is>
          <t>LLM</t>
        </is>
      </c>
      <c r="N2857" t="inlineStr">
        <is>
          <t>2026-04-18</t>
        </is>
      </c>
      <c r="O2857" t="inlineStr">
        <is>
          <t>AI</t>
        </is>
      </c>
    </row>
    <row r="2858">
      <c r="A2858" t="inlineStr">
        <is>
          <t>PT Perusahaan Perkebunan London Sumatra Indonesia Tbk</t>
        </is>
      </c>
      <c r="B2858" t="inlineStr">
        <is>
          <t>LSIP_2024_AR.pdf</t>
        </is>
      </c>
      <c r="C2858" t="n">
        <v>2024</v>
      </c>
      <c r="D2858" t="inlineStr">
        <is>
          <t>Financial</t>
        </is>
      </c>
      <c r="E2858" t="inlineStr">
        <is>
          <t>Cost of Goods Sold</t>
        </is>
      </c>
      <c r="F2858" t="n">
        <v>2571</v>
      </c>
      <c r="G2858" t="inlineStr">
        <is>
          <t>IDR bn</t>
        </is>
      </c>
      <c r="H2858" t="n">
        <v>122</v>
      </c>
      <c r="I2858" t="inlineStr">
        <is>
          <t>Beban pokok penjualan (2.570.542) 22,27 (3.039.028)</t>
        </is>
      </c>
      <c r="J2858" t="inlineStr">
        <is>
          <t>High</t>
        </is>
      </c>
      <c r="M2858" t="inlineStr">
        <is>
          <t>LLM</t>
        </is>
      </c>
      <c r="N2858" t="inlineStr">
        <is>
          <t>2026-04-18</t>
        </is>
      </c>
      <c r="O2858" t="inlineStr">
        <is>
          <t>AI</t>
        </is>
      </c>
    </row>
    <row r="2859">
      <c r="A2859" t="inlineStr">
        <is>
          <t>PT Perusahaan Perkebunan London Sumatra Indonesia Tbk</t>
        </is>
      </c>
      <c r="B2859" t="inlineStr">
        <is>
          <t>LSIP_2024_AR.pdf</t>
        </is>
      </c>
      <c r="C2859" t="n">
        <v>2024</v>
      </c>
      <c r="D2859" t="inlineStr">
        <is>
          <t>Financial</t>
        </is>
      </c>
      <c r="E2859" t="inlineStr">
        <is>
          <t>Gross Profit</t>
        </is>
      </c>
      <c r="F2859" t="n">
        <v>1992</v>
      </c>
      <c r="G2859" t="inlineStr">
        <is>
          <t>IDR bn</t>
        </is>
      </c>
      <c r="H2859" t="n">
        <v>4</v>
      </c>
      <c r="I2859" t="inlineStr">
        <is>
          <t>Gross Profit 1.991.961 1.150.868 1.491.444</t>
        </is>
      </c>
      <c r="J2859" t="inlineStr">
        <is>
          <t>High</t>
        </is>
      </c>
      <c r="M2859" t="inlineStr">
        <is>
          <t>LLM</t>
        </is>
      </c>
      <c r="N2859" t="inlineStr">
        <is>
          <t>2026-04-18</t>
        </is>
      </c>
      <c r="O2859" t="inlineStr">
        <is>
          <t>AI</t>
        </is>
      </c>
    </row>
    <row r="2860">
      <c r="A2860" t="inlineStr">
        <is>
          <t>PT Perusahaan Perkebunan London Sumatra Indonesia Tbk</t>
        </is>
      </c>
      <c r="B2860" t="inlineStr">
        <is>
          <t>LSIP_2024_AR.pdf</t>
        </is>
      </c>
      <c r="C2860" t="n">
        <v>2024</v>
      </c>
      <c r="D2860" t="inlineStr">
        <is>
          <t>Financial</t>
        </is>
      </c>
      <c r="E2860" t="inlineStr">
        <is>
          <t>Gross Profit Margin</t>
        </is>
      </c>
      <c r="F2860" t="n">
        <v>0.437</v>
      </c>
      <c r="G2860" t="inlineStr">
        <is>
          <t>%</t>
        </is>
      </c>
      <c r="H2860" t="n">
        <v>4</v>
      </c>
      <c r="I2860" t="inlineStr">
        <is>
          <t>Gross Profit Margin (%) 43,7 27,5 32,5</t>
        </is>
      </c>
      <c r="J2860" t="inlineStr">
        <is>
          <t>High</t>
        </is>
      </c>
      <c r="M2860" t="inlineStr">
        <is>
          <t>LLM</t>
        </is>
      </c>
      <c r="N2860" t="inlineStr">
        <is>
          <t>2026-04-18</t>
        </is>
      </c>
      <c r="O2860" t="inlineStr">
        <is>
          <t>AI</t>
        </is>
      </c>
    </row>
    <row r="2861">
      <c r="A2861" t="inlineStr">
        <is>
          <t>PT Perusahaan Perkebunan London Sumatra Indonesia Tbk</t>
        </is>
      </c>
      <c r="B2861" t="inlineStr">
        <is>
          <t>LSIP_2024_AR.pdf</t>
        </is>
      </c>
      <c r="C2861" t="n">
        <v>2024</v>
      </c>
      <c r="D2861" t="inlineStr">
        <is>
          <t>Financial</t>
        </is>
      </c>
      <c r="E2861" t="inlineStr">
        <is>
          <t>Operating Profit</t>
        </is>
      </c>
      <c r="F2861" t="n">
        <v>1551</v>
      </c>
      <c r="G2861" t="inlineStr">
        <is>
          <t>IDR bn</t>
        </is>
      </c>
      <c r="H2861" t="n">
        <v>4</v>
      </c>
      <c r="I2861" t="inlineStr">
        <is>
          <t>Operating Profit 1.550.851 759.425</t>
        </is>
      </c>
      <c r="J2861" t="inlineStr">
        <is>
          <t>High</t>
        </is>
      </c>
      <c r="M2861" t="inlineStr">
        <is>
          <t>LLM</t>
        </is>
      </c>
      <c r="N2861" t="inlineStr">
        <is>
          <t>2026-04-18</t>
        </is>
      </c>
      <c r="O2861" t="inlineStr">
        <is>
          <t>AI</t>
        </is>
      </c>
    </row>
    <row r="2862">
      <c r="A2862" t="inlineStr">
        <is>
          <t>PT Perusahaan Perkebunan London Sumatra Indonesia Tbk</t>
        </is>
      </c>
      <c r="B2862" t="inlineStr">
        <is>
          <t>LSIP_2024_AR.pdf</t>
        </is>
      </c>
      <c r="C2862" t="n">
        <v>2024</v>
      </c>
      <c r="D2862" t="inlineStr">
        <is>
          <t>Financial</t>
        </is>
      </c>
      <c r="E2862" t="inlineStr">
        <is>
          <t>Operating Profit Margin</t>
        </is>
      </c>
      <c r="F2862" t="n">
        <v>0.34</v>
      </c>
      <c r="G2862" t="inlineStr">
        <is>
          <t>%</t>
        </is>
      </c>
      <c r="H2862" t="n">
        <v>4</v>
      </c>
      <c r="I2862" t="inlineStr">
        <is>
          <t>Operating Profit Margin (%) 34,0 18,1 26,3</t>
        </is>
      </c>
      <c r="J2862" t="inlineStr">
        <is>
          <t>High</t>
        </is>
      </c>
      <c r="M2862" t="inlineStr">
        <is>
          <t>LLM</t>
        </is>
      </c>
      <c r="N2862" t="inlineStr">
        <is>
          <t>2026-04-18</t>
        </is>
      </c>
      <c r="O2862" t="inlineStr">
        <is>
          <t>AI</t>
        </is>
      </c>
    </row>
    <row r="2863">
      <c r="A2863" t="inlineStr">
        <is>
          <t>PT Perusahaan Perkebunan London Sumatra Indonesia Tbk</t>
        </is>
      </c>
      <c r="B2863" t="inlineStr">
        <is>
          <t>LSIP_2024_AR.pdf</t>
        </is>
      </c>
      <c r="C2863" t="n">
        <v>2024</v>
      </c>
      <c r="D2863" t="inlineStr">
        <is>
          <t>Financial</t>
        </is>
      </c>
      <c r="E2863" t="inlineStr">
        <is>
          <t>EBITDA</t>
        </is>
      </c>
      <c r="F2863" t="n">
        <v>2099</v>
      </c>
      <c r="G2863" t="inlineStr">
        <is>
          <t>IDR bn</t>
        </is>
      </c>
      <c r="H2863" t="n">
        <v>4</v>
      </c>
      <c r="I2863" t="inlineStr">
        <is>
          <t>EBITDA1 2.098.805 1.300.543 1.747.298</t>
        </is>
      </c>
      <c r="J2863" t="inlineStr">
        <is>
          <t>High</t>
        </is>
      </c>
      <c r="M2863" t="inlineStr">
        <is>
          <t>LLM</t>
        </is>
      </c>
      <c r="N2863" t="inlineStr">
        <is>
          <t>2026-04-18</t>
        </is>
      </c>
      <c r="O2863" t="inlineStr">
        <is>
          <t>AI</t>
        </is>
      </c>
    </row>
    <row r="2864">
      <c r="A2864" t="inlineStr">
        <is>
          <t>PT Perusahaan Perkebunan London Sumatra Indonesia Tbk</t>
        </is>
      </c>
      <c r="B2864" t="inlineStr">
        <is>
          <t>LSIP_2024_AR.pdf</t>
        </is>
      </c>
      <c r="C2864" t="n">
        <v>2024</v>
      </c>
      <c r="D2864" t="inlineStr">
        <is>
          <t>Financial</t>
        </is>
      </c>
      <c r="E2864" t="inlineStr">
        <is>
          <t>EBITDA Margin</t>
        </is>
      </c>
      <c r="F2864" t="n">
        <v>0.46</v>
      </c>
      <c r="G2864" t="inlineStr">
        <is>
          <t>%</t>
        </is>
      </c>
      <c r="H2864" t="n">
        <v>4</v>
      </c>
      <c r="I2864" t="inlineStr">
        <is>
          <t>EBITDA Margin (%) 46,0 31,0 38,1</t>
        </is>
      </c>
      <c r="J2864" t="inlineStr">
        <is>
          <t>High</t>
        </is>
      </c>
      <c r="M2864" t="inlineStr">
        <is>
          <t>LLM</t>
        </is>
      </c>
      <c r="N2864" t="inlineStr">
        <is>
          <t>2026-04-18</t>
        </is>
      </c>
      <c r="O2864" t="inlineStr">
        <is>
          <t>AI</t>
        </is>
      </c>
    </row>
    <row r="2865">
      <c r="A2865" t="inlineStr">
        <is>
          <t>PT Perusahaan Perkebunan London Sumatra Indonesia Tbk</t>
        </is>
      </c>
      <c r="B2865" t="inlineStr">
        <is>
          <t>LSIP_2024_AR.pdf</t>
        </is>
      </c>
      <c r="C2865" t="n">
        <v>2024</v>
      </c>
      <c r="D2865" t="inlineStr">
        <is>
          <t>Financial</t>
        </is>
      </c>
      <c r="E2865" t="inlineStr">
        <is>
          <t>Finance Income</t>
        </is>
      </c>
      <c r="F2865" t="n">
        <v>217</v>
      </c>
      <c r="G2865" t="inlineStr">
        <is>
          <t>IDR bn</t>
        </is>
      </c>
      <c r="H2865" t="n">
        <v>122</v>
      </c>
      <c r="I2865" t="inlineStr">
        <is>
          <t>Penghasilan keuangan 216.888 24,27 155.566</t>
        </is>
      </c>
      <c r="J2865" t="inlineStr">
        <is>
          <t>High</t>
        </is>
      </c>
      <c r="M2865" t="inlineStr">
        <is>
          <t>LLM</t>
        </is>
      </c>
      <c r="N2865" t="inlineStr">
        <is>
          <t>2026-04-18</t>
        </is>
      </c>
      <c r="O2865" t="inlineStr">
        <is>
          <t>AI</t>
        </is>
      </c>
    </row>
    <row r="2866">
      <c r="A2866" t="inlineStr">
        <is>
          <t>PT Perusahaan Perkebunan London Sumatra Indonesia Tbk</t>
        </is>
      </c>
      <c r="B2866" t="inlineStr">
        <is>
          <t>LSIP_2024_AR.pdf</t>
        </is>
      </c>
      <c r="C2866" t="n">
        <v>2024</v>
      </c>
      <c r="D2866" t="inlineStr">
        <is>
          <t>Financial</t>
        </is>
      </c>
      <c r="E2866" t="inlineStr">
        <is>
          <t>Finance Cost</t>
        </is>
      </c>
      <c r="F2866" t="n">
        <v>1</v>
      </c>
      <c r="G2866" t="inlineStr">
        <is>
          <t>IDR bn</t>
        </is>
      </c>
      <c r="H2866" t="n">
        <v>122</v>
      </c>
      <c r="I2866" t="inlineStr">
        <is>
          <t>Beban keuangan (653) 24 (566)</t>
        </is>
      </c>
      <c r="J2866" t="inlineStr">
        <is>
          <t>High</t>
        </is>
      </c>
      <c r="M2866" t="inlineStr">
        <is>
          <t>LLM</t>
        </is>
      </c>
      <c r="N2866" t="inlineStr">
        <is>
          <t>2026-04-18</t>
        </is>
      </c>
      <c r="O2866" t="inlineStr">
        <is>
          <t>AI</t>
        </is>
      </c>
    </row>
    <row r="2867">
      <c r="A2867" t="inlineStr">
        <is>
          <t>PT Perusahaan Perkebunan London Sumatra Indonesia Tbk</t>
        </is>
      </c>
      <c r="B2867" t="inlineStr">
        <is>
          <t>LSIP_2024_AR.pdf</t>
        </is>
      </c>
      <c r="C2867" t="n">
        <v>2024</v>
      </c>
      <c r="D2867" t="inlineStr">
        <is>
          <t>Financial</t>
        </is>
      </c>
      <c r="E2867" t="inlineStr">
        <is>
          <t>Gain from FV Changes Biological Assets</t>
        </is>
      </c>
      <c r="F2867" t="n">
        <v>142</v>
      </c>
      <c r="G2867" t="inlineStr">
        <is>
          <t>IDR bn</t>
        </is>
      </c>
      <c r="H2867" t="n">
        <v>122</v>
      </c>
      <c r="I2867" t="inlineStr">
        <is>
          <t>Laba atas perubahan nilai wajar aset biologis 142.439</t>
        </is>
      </c>
      <c r="J2867" t="inlineStr">
        <is>
          <t>High</t>
        </is>
      </c>
      <c r="M2867" t="inlineStr">
        <is>
          <t>LLM</t>
        </is>
      </c>
      <c r="N2867" t="inlineStr">
        <is>
          <t>2026-04-18</t>
        </is>
      </c>
      <c r="O2867" t="inlineStr">
        <is>
          <t>AI</t>
        </is>
      </c>
    </row>
    <row r="2868">
      <c r="A2868" t="inlineStr">
        <is>
          <t>PT Perusahaan Perkebunan London Sumatra Indonesia Tbk</t>
        </is>
      </c>
      <c r="B2868" t="inlineStr">
        <is>
          <t>LSIP_2024_AR.pdf</t>
        </is>
      </c>
      <c r="C2868" t="n">
        <v>2024</v>
      </c>
      <c r="D2868" t="inlineStr">
        <is>
          <t>Financial</t>
        </is>
      </c>
      <c r="E2868" t="inlineStr">
        <is>
          <t>Profit Before Income Tax</t>
        </is>
      </c>
      <c r="F2868" t="n">
        <v>1773</v>
      </c>
      <c r="G2868" t="inlineStr">
        <is>
          <t>IDR bn</t>
        </is>
      </c>
      <c r="H2868" t="n">
        <v>122</v>
      </c>
      <c r="I2868" t="inlineStr">
        <is>
          <t>Laba sebelum pajak penghasilan 1.773.053 911.426</t>
        </is>
      </c>
      <c r="J2868" t="inlineStr">
        <is>
          <t>High</t>
        </is>
      </c>
      <c r="M2868" t="inlineStr">
        <is>
          <t>LLM</t>
        </is>
      </c>
      <c r="N2868" t="inlineStr">
        <is>
          <t>2026-04-18</t>
        </is>
      </c>
      <c r="O2868" t="inlineStr">
        <is>
          <t>AI</t>
        </is>
      </c>
    </row>
    <row r="2869">
      <c r="A2869" t="inlineStr">
        <is>
          <t>PT Perusahaan Perkebunan London Sumatra Indonesia Tbk</t>
        </is>
      </c>
      <c r="B2869" t="inlineStr">
        <is>
          <t>LSIP_2024_AR.pdf</t>
        </is>
      </c>
      <c r="C2869" t="n">
        <v>2024</v>
      </c>
      <c r="D2869" t="inlineStr">
        <is>
          <t>Financial</t>
        </is>
      </c>
      <c r="E2869" t="inlineStr">
        <is>
          <t>Income Tax Expense</t>
        </is>
      </c>
      <c r="F2869" t="n">
        <v>297</v>
      </c>
      <c r="G2869" t="inlineStr">
        <is>
          <t>IDR bn</t>
        </is>
      </c>
      <c r="H2869" t="n">
        <v>122</v>
      </c>
      <c r="I2869" t="inlineStr">
        <is>
          <t>Beban pajak penghasilan (297.399) 18 (150.753)</t>
        </is>
      </c>
      <c r="J2869" t="inlineStr">
        <is>
          <t>High</t>
        </is>
      </c>
      <c r="M2869" t="inlineStr">
        <is>
          <t>LLM</t>
        </is>
      </c>
      <c r="N2869" t="inlineStr">
        <is>
          <t>2026-04-18</t>
        </is>
      </c>
      <c r="O2869" t="inlineStr">
        <is>
          <t>AI</t>
        </is>
      </c>
    </row>
    <row r="2870">
      <c r="A2870" t="inlineStr">
        <is>
          <t>PT Perusahaan Perkebunan London Sumatra Indonesia Tbk</t>
        </is>
      </c>
      <c r="B2870" t="inlineStr">
        <is>
          <t>LSIP_2024_AR.pdf</t>
        </is>
      </c>
      <c r="C2870" t="n">
        <v>2024</v>
      </c>
      <c r="D2870" t="inlineStr">
        <is>
          <t>Financial</t>
        </is>
      </c>
      <c r="E2870" t="inlineStr">
        <is>
          <t>Net Profit</t>
        </is>
      </c>
      <c r="F2870" t="n">
        <v>1476</v>
      </c>
      <c r="G2870" t="inlineStr">
        <is>
          <t>IDR bn</t>
        </is>
      </c>
      <c r="H2870" t="n">
        <v>4</v>
      </c>
      <c r="I2870" t="inlineStr">
        <is>
          <t>Profit for the Year 1.475.654 760.673 1.035.285</t>
        </is>
      </c>
      <c r="J2870" t="inlineStr">
        <is>
          <t>High</t>
        </is>
      </c>
      <c r="M2870" t="inlineStr">
        <is>
          <t>LLM</t>
        </is>
      </c>
      <c r="N2870" t="inlineStr">
        <is>
          <t>2026-04-18</t>
        </is>
      </c>
      <c r="O2870" t="inlineStr">
        <is>
          <t>AI</t>
        </is>
      </c>
    </row>
    <row r="2871">
      <c r="A2871" t="inlineStr">
        <is>
          <t>PT Perusahaan Perkebunan London Sumatra Indonesia Tbk</t>
        </is>
      </c>
      <c r="B2871" t="inlineStr">
        <is>
          <t>LSIP_2024_AR.pdf</t>
        </is>
      </c>
      <c r="C2871" t="n">
        <v>2024</v>
      </c>
      <c r="D2871" t="inlineStr">
        <is>
          <t>Financial</t>
        </is>
      </c>
      <c r="E2871" t="inlineStr">
        <is>
          <t>Profit Attributable to Parent</t>
        </is>
      </c>
      <c r="F2871" t="n">
        <v>1477</v>
      </c>
      <c r="G2871" t="inlineStr">
        <is>
          <t>IDR bn</t>
        </is>
      </c>
      <c r="H2871" t="n">
        <v>4</v>
      </c>
      <c r="I2871" t="inlineStr">
        <is>
          <t>Profit for the Year Attributable to Owners of the Parent 1.476.909 761.995 1.036.448</t>
        </is>
      </c>
      <c r="J2871" t="inlineStr">
        <is>
          <t>High</t>
        </is>
      </c>
      <c r="M2871" t="inlineStr">
        <is>
          <t>LLM</t>
        </is>
      </c>
      <c r="N2871" t="inlineStr">
        <is>
          <t>2026-04-18</t>
        </is>
      </c>
      <c r="O2871" t="inlineStr">
        <is>
          <t>AI</t>
        </is>
      </c>
    </row>
    <row r="2872">
      <c r="A2872" t="inlineStr">
        <is>
          <t>PT Perusahaan Perkebunan London Sumatra Indonesia Tbk</t>
        </is>
      </c>
      <c r="B2872" t="inlineStr">
        <is>
          <t>LSIP_2024_AR.pdf</t>
        </is>
      </c>
      <c r="C2872" t="n">
        <v>2024</v>
      </c>
      <c r="D2872" t="inlineStr">
        <is>
          <t>Financial</t>
        </is>
      </c>
      <c r="E2872" t="inlineStr">
        <is>
          <t>Core Profit (ex FX/FV/plasma/non-recurring)</t>
        </is>
      </c>
      <c r="F2872" t="n">
        <v>1670</v>
      </c>
      <c r="G2872" t="inlineStr">
        <is>
          <t>IDR bn</t>
        </is>
      </c>
      <c r="H2872" t="n">
        <v>26</v>
      </c>
      <c r="I2872" t="inlineStr">
        <is>
          <t>core profit increased 80% to Rp1.67 trillion in 2024</t>
        </is>
      </c>
      <c r="J2872" t="inlineStr">
        <is>
          <t>High</t>
        </is>
      </c>
      <c r="M2872" t="inlineStr">
        <is>
          <t>LLM</t>
        </is>
      </c>
      <c r="N2872" t="inlineStr">
        <is>
          <t>2026-04-18</t>
        </is>
      </c>
      <c r="O2872" t="inlineStr">
        <is>
          <t>AI</t>
        </is>
      </c>
    </row>
    <row r="2873">
      <c r="A2873" t="inlineStr">
        <is>
          <t>PT Perusahaan Perkebunan London Sumatra Indonesia Tbk</t>
        </is>
      </c>
      <c r="B2873" t="inlineStr">
        <is>
          <t>LSIP_2024_AR.pdf</t>
        </is>
      </c>
      <c r="C2873" t="n">
        <v>2024</v>
      </c>
      <c r="D2873" t="inlineStr">
        <is>
          <t>Financial</t>
        </is>
      </c>
      <c r="E2873" t="inlineStr">
        <is>
          <t>Total Assets</t>
        </is>
      </c>
      <c r="F2873" t="n">
        <v>13842</v>
      </c>
      <c r="G2873" t="inlineStr">
        <is>
          <t>IDR bn</t>
        </is>
      </c>
      <c r="H2873" t="n">
        <v>4</v>
      </c>
      <c r="I2873" t="inlineStr">
        <is>
          <t>Total Assets 13.841.956 12.514.203 12.417.013</t>
        </is>
      </c>
      <c r="J2873" t="inlineStr">
        <is>
          <t>High</t>
        </is>
      </c>
      <c r="M2873" t="inlineStr">
        <is>
          <t>LLM</t>
        </is>
      </c>
      <c r="N2873" t="inlineStr">
        <is>
          <t>2026-04-18</t>
        </is>
      </c>
      <c r="O2873" t="inlineStr">
        <is>
          <t>AI</t>
        </is>
      </c>
    </row>
    <row r="2874">
      <c r="A2874" t="inlineStr">
        <is>
          <t>PT Perusahaan Perkebunan London Sumatra Indonesia Tbk</t>
        </is>
      </c>
      <c r="B2874" t="inlineStr">
        <is>
          <t>LSIP_2024_AR.pdf</t>
        </is>
      </c>
      <c r="C2874" t="n">
        <v>2024</v>
      </c>
      <c r="D2874" t="inlineStr">
        <is>
          <t>Financial</t>
        </is>
      </c>
      <c r="E2874" t="inlineStr">
        <is>
          <t>Current Assets</t>
        </is>
      </c>
      <c r="F2874" t="n">
        <v>7117</v>
      </c>
      <c r="G2874" t="inlineStr">
        <is>
          <t>IDR bn</t>
        </is>
      </c>
      <c r="H2874" t="n">
        <v>4</v>
      </c>
      <c r="I2874" t="inlineStr">
        <is>
          <t>Current Assets 7.117.283 5.376.837 5.107.489</t>
        </is>
      </c>
      <c r="J2874" t="inlineStr">
        <is>
          <t>High</t>
        </is>
      </c>
      <c r="M2874" t="inlineStr">
        <is>
          <t>LLM</t>
        </is>
      </c>
      <c r="N2874" t="inlineStr">
        <is>
          <t>2026-04-18</t>
        </is>
      </c>
      <c r="O2874" t="inlineStr">
        <is>
          <t>AI</t>
        </is>
      </c>
    </row>
    <row r="2875">
      <c r="A2875" t="inlineStr">
        <is>
          <t>PT Perusahaan Perkebunan London Sumatra Indonesia Tbk</t>
        </is>
      </c>
      <c r="B2875" t="inlineStr">
        <is>
          <t>LSIP_2024_AR.pdf</t>
        </is>
      </c>
      <c r="C2875" t="n">
        <v>2024</v>
      </c>
      <c r="D2875" t="inlineStr">
        <is>
          <t>Financial</t>
        </is>
      </c>
      <c r="E2875" t="inlineStr">
        <is>
          <t>Non-Current Assets</t>
        </is>
      </c>
      <c r="F2875" t="n">
        <v>6725</v>
      </c>
      <c r="G2875" t="inlineStr">
        <is>
          <t>IDR bn</t>
        </is>
      </c>
      <c r="H2875" t="n">
        <v>120</v>
      </c>
      <c r="I2875" t="inlineStr">
        <is>
          <t>Total Aset Tidak Lancar 6.724.673 7.137.366</t>
        </is>
      </c>
      <c r="J2875" t="inlineStr">
        <is>
          <t>High</t>
        </is>
      </c>
      <c r="M2875" t="inlineStr">
        <is>
          <t>LLM</t>
        </is>
      </c>
      <c r="N2875" t="inlineStr">
        <is>
          <t>2026-04-18</t>
        </is>
      </c>
      <c r="O2875" t="inlineStr">
        <is>
          <t>AI</t>
        </is>
      </c>
    </row>
    <row r="2876">
      <c r="A2876" t="inlineStr">
        <is>
          <t>PT Perusahaan Perkebunan London Sumatra Indonesia Tbk</t>
        </is>
      </c>
      <c r="B2876" t="inlineStr">
        <is>
          <t>LSIP_2024_AR.pdf</t>
        </is>
      </c>
      <c r="C2876" t="n">
        <v>2024</v>
      </c>
      <c r="D2876" t="inlineStr">
        <is>
          <t>Financial</t>
        </is>
      </c>
      <c r="E2876" t="inlineStr">
        <is>
          <t>Cash and Cash Equivalents</t>
        </is>
      </c>
      <c r="F2876" t="n">
        <v>5454</v>
      </c>
      <c r="G2876" t="inlineStr">
        <is>
          <t>IDR bn</t>
        </is>
      </c>
      <c r="H2876" t="n">
        <v>125</v>
      </c>
      <c r="I2876" t="inlineStr">
        <is>
          <t>Kas dan Setara Kas Akhir Tahun 5.453.691 5 4.511.450 at End of Year</t>
        </is>
      </c>
      <c r="J2876" t="inlineStr">
        <is>
          <t>High</t>
        </is>
      </c>
      <c r="M2876" t="inlineStr">
        <is>
          <t>LLM</t>
        </is>
      </c>
      <c r="N2876" t="inlineStr">
        <is>
          <t>2026-04-18</t>
        </is>
      </c>
      <c r="O2876" t="inlineStr">
        <is>
          <t>AI</t>
        </is>
      </c>
    </row>
    <row r="2877">
      <c r="A2877" t="inlineStr">
        <is>
          <t>PT Perusahaan Perkebunan London Sumatra Indonesia Tbk</t>
        </is>
      </c>
      <c r="B2877" t="inlineStr">
        <is>
          <t>LSIP_2024_AR.pdf</t>
        </is>
      </c>
      <c r="C2877" t="n">
        <v>2024</v>
      </c>
      <c r="D2877" t="inlineStr">
        <is>
          <t>Financial</t>
        </is>
      </c>
      <c r="E2877" t="inlineStr">
        <is>
          <t>Trade Receivables</t>
        </is>
      </c>
      <c r="F2877" t="n">
        <v>511</v>
      </c>
      <c r="G2877" t="inlineStr">
        <is>
          <t>IDR bn</t>
        </is>
      </c>
      <c r="H2877" t="n">
        <v>30</v>
      </c>
      <c r="I2877" t="inlineStr">
        <is>
          <t>Total trade receivables as of December 31, 2024 was Rp511.4 billion</t>
        </is>
      </c>
      <c r="J2877" t="inlineStr">
        <is>
          <t>High</t>
        </is>
      </c>
      <c r="M2877" t="inlineStr">
        <is>
          <t>LLM</t>
        </is>
      </c>
      <c r="N2877" t="inlineStr">
        <is>
          <t>2026-04-18</t>
        </is>
      </c>
      <c r="O2877" t="inlineStr">
        <is>
          <t>AI</t>
        </is>
      </c>
    </row>
    <row r="2878">
      <c r="A2878" t="inlineStr">
        <is>
          <t>PT Perusahaan Perkebunan London Sumatra Indonesia Tbk</t>
        </is>
      </c>
      <c r="B2878" t="inlineStr">
        <is>
          <t>LSIP_2024_AR.pdf</t>
        </is>
      </c>
      <c r="C2878" t="n">
        <v>2024</v>
      </c>
      <c r="D2878" t="inlineStr">
        <is>
          <t>Financial</t>
        </is>
      </c>
      <c r="E2878" t="inlineStr">
        <is>
          <t>Inventories</t>
        </is>
      </c>
      <c r="F2878" t="n">
        <v>620</v>
      </c>
      <c r="G2878" t="inlineStr">
        <is>
          <t>IDR bn</t>
        </is>
      </c>
      <c r="H2878" t="n">
        <v>120</v>
      </c>
      <c r="I2878" t="inlineStr">
        <is>
          <t>Persediaan 619.768 7 431.429 Inventories</t>
        </is>
      </c>
      <c r="J2878" t="inlineStr">
        <is>
          <t>High</t>
        </is>
      </c>
      <c r="M2878" t="inlineStr">
        <is>
          <t>LLM</t>
        </is>
      </c>
      <c r="N2878" t="inlineStr">
        <is>
          <t>2026-04-18</t>
        </is>
      </c>
      <c r="O2878" t="inlineStr">
        <is>
          <t>AI</t>
        </is>
      </c>
    </row>
    <row r="2879">
      <c r="A2879" t="inlineStr">
        <is>
          <t>PT Perusahaan Perkebunan London Sumatra Indonesia Tbk</t>
        </is>
      </c>
      <c r="B2879" t="inlineStr">
        <is>
          <t>LSIP_2024_AR.pdf</t>
        </is>
      </c>
      <c r="C2879" t="n">
        <v>2024</v>
      </c>
      <c r="D2879" t="inlineStr">
        <is>
          <t>Financial</t>
        </is>
      </c>
      <c r="E2879" t="inlineStr">
        <is>
          <t>Biological Assets (Current)</t>
        </is>
      </c>
      <c r="F2879" t="n">
        <v>305</v>
      </c>
      <c r="G2879" t="inlineStr">
        <is>
          <t>IDR bn</t>
        </is>
      </c>
      <c r="H2879" t="n">
        <v>120</v>
      </c>
      <c r="I2879" t="inlineStr">
        <is>
          <t>Aset biologis 305.306 8 162.867 Biological assets</t>
        </is>
      </c>
      <c r="J2879" t="inlineStr">
        <is>
          <t>High</t>
        </is>
      </c>
      <c r="M2879" t="inlineStr">
        <is>
          <t>LLM</t>
        </is>
      </c>
      <c r="N2879" t="inlineStr">
        <is>
          <t>2026-04-18</t>
        </is>
      </c>
      <c r="O2879" t="inlineStr">
        <is>
          <t>AI</t>
        </is>
      </c>
    </row>
    <row r="2880">
      <c r="A2880" t="inlineStr">
        <is>
          <t>PT Perusahaan Perkebunan London Sumatra Indonesia Tbk</t>
        </is>
      </c>
      <c r="B2880" t="inlineStr">
        <is>
          <t>LSIP_2024_AR.pdf</t>
        </is>
      </c>
      <c r="C2880" t="n">
        <v>2024</v>
      </c>
      <c r="D2880" t="inlineStr">
        <is>
          <t>Financial</t>
        </is>
      </c>
      <c r="E2880" t="inlineStr">
        <is>
          <t>Investment in Associates</t>
        </is>
      </c>
      <c r="F2880" t="n">
        <v>1265</v>
      </c>
      <c r="G2880" t="inlineStr">
        <is>
          <t>IDR bn</t>
        </is>
      </c>
      <c r="H2880" t="n">
        <v>120</v>
      </c>
      <c r="I2880" t="inlineStr">
        <is>
          <t>Investasi pada entitas asosiasi 1.265.302 10 1.259.335</t>
        </is>
      </c>
      <c r="J2880" t="inlineStr">
        <is>
          <t>High</t>
        </is>
      </c>
      <c r="M2880" t="inlineStr">
        <is>
          <t>LLM</t>
        </is>
      </c>
      <c r="N2880" t="inlineStr">
        <is>
          <t>2026-04-18</t>
        </is>
      </c>
      <c r="O2880" t="inlineStr">
        <is>
          <t>AI</t>
        </is>
      </c>
    </row>
    <row r="2881">
      <c r="A2881" t="inlineStr">
        <is>
          <t>PT Perusahaan Perkebunan London Sumatra Indonesia Tbk</t>
        </is>
      </c>
      <c r="B2881" t="inlineStr">
        <is>
          <t>LSIP_2024_AR.pdf</t>
        </is>
      </c>
      <c r="C2881" t="n">
        <v>2024</v>
      </c>
      <c r="D2881" t="inlineStr">
        <is>
          <t>Financial</t>
        </is>
      </c>
      <c r="E2881" t="inlineStr">
        <is>
          <t>Fixed Assets</t>
        </is>
      </c>
      <c r="F2881" t="n">
        <v>5050</v>
      </c>
      <c r="G2881" t="inlineStr">
        <is>
          <t>IDR bn</t>
        </is>
      </c>
      <c r="H2881" t="n">
        <v>120</v>
      </c>
      <c r="I2881" t="inlineStr">
        <is>
          <t>Aset tetap 5.049.883 3,13 5.493.363 Fixed assets</t>
        </is>
      </c>
      <c r="J2881" t="inlineStr">
        <is>
          <t>High</t>
        </is>
      </c>
      <c r="M2881" t="inlineStr">
        <is>
          <t>LLM</t>
        </is>
      </c>
      <c r="N2881" t="inlineStr">
        <is>
          <t>2026-04-18</t>
        </is>
      </c>
      <c r="O2881" t="inlineStr">
        <is>
          <t>AI</t>
        </is>
      </c>
    </row>
    <row r="2882">
      <c r="A2882" t="inlineStr">
        <is>
          <t>PT Perusahaan Perkebunan London Sumatra Indonesia Tbk</t>
        </is>
      </c>
      <c r="B2882" t="inlineStr">
        <is>
          <t>LSIP_2024_AR.pdf</t>
        </is>
      </c>
      <c r="C2882" t="n">
        <v>2024</v>
      </c>
      <c r="D2882" t="inlineStr">
        <is>
          <t>Financial</t>
        </is>
      </c>
      <c r="E2882" t="inlineStr">
        <is>
          <t>Total Liabilities</t>
        </is>
      </c>
      <c r="F2882" t="n">
        <v>1285</v>
      </c>
      <c r="G2882" t="inlineStr">
        <is>
          <t>IDR bn</t>
        </is>
      </c>
      <c r="H2882" t="n">
        <v>4</v>
      </c>
      <c r="I2882" t="inlineStr">
        <is>
          <t>Total Liabilities 1.285.202 1.166.762 1.481.306</t>
        </is>
      </c>
      <c r="J2882" t="inlineStr">
        <is>
          <t>High</t>
        </is>
      </c>
      <c r="M2882" t="inlineStr">
        <is>
          <t>LLM</t>
        </is>
      </c>
      <c r="N2882" t="inlineStr">
        <is>
          <t>2026-04-18</t>
        </is>
      </c>
      <c r="O2882" t="inlineStr">
        <is>
          <t>AI</t>
        </is>
      </c>
    </row>
    <row r="2883">
      <c r="A2883" t="inlineStr">
        <is>
          <t>PT Perusahaan Perkebunan London Sumatra Indonesia Tbk</t>
        </is>
      </c>
      <c r="B2883" t="inlineStr">
        <is>
          <t>LSIP_2024_AR.pdf</t>
        </is>
      </c>
      <c r="C2883" t="n">
        <v>2024</v>
      </c>
      <c r="D2883" t="inlineStr">
        <is>
          <t>Financial</t>
        </is>
      </c>
      <c r="E2883" t="inlineStr">
        <is>
          <t>Current Liabilities</t>
        </is>
      </c>
      <c r="F2883" t="n">
        <v>678</v>
      </c>
      <c r="G2883" t="inlineStr">
        <is>
          <t>IDR bn</t>
        </is>
      </c>
      <c r="H2883" t="n">
        <v>4</v>
      </c>
      <c r="I2883" t="inlineStr">
        <is>
          <t>Current Liabilities 677.973 564.496 709.627</t>
        </is>
      </c>
      <c r="J2883" t="inlineStr">
        <is>
          <t>High</t>
        </is>
      </c>
      <c r="M2883" t="inlineStr">
        <is>
          <t>LLM</t>
        </is>
      </c>
      <c r="N2883" t="inlineStr">
        <is>
          <t>2026-04-18</t>
        </is>
      </c>
      <c r="O2883" t="inlineStr">
        <is>
          <t>AI</t>
        </is>
      </c>
    </row>
    <row r="2884">
      <c r="A2884" t="inlineStr">
        <is>
          <t>PT Perusahaan Perkebunan London Sumatra Indonesia Tbk</t>
        </is>
      </c>
      <c r="B2884" t="inlineStr">
        <is>
          <t>LSIP_2024_AR.pdf</t>
        </is>
      </c>
      <c r="C2884" t="n">
        <v>2024</v>
      </c>
      <c r="D2884" t="inlineStr">
        <is>
          <t>Financial</t>
        </is>
      </c>
      <c r="E2884" t="inlineStr">
        <is>
          <t>Non-Current Liabilities</t>
        </is>
      </c>
      <c r="F2884" t="n">
        <v>607</v>
      </c>
      <c r="G2884" t="inlineStr">
        <is>
          <t>IDR bn</t>
        </is>
      </c>
      <c r="H2884" t="n">
        <v>121</v>
      </c>
      <c r="I2884" t="inlineStr">
        <is>
          <t>Total Liabilitas Jangka Panjang 607.229 602.266</t>
        </is>
      </c>
      <c r="J2884" t="inlineStr">
        <is>
          <t>High</t>
        </is>
      </c>
      <c r="M2884" t="inlineStr">
        <is>
          <t>LLM</t>
        </is>
      </c>
      <c r="N2884" t="inlineStr">
        <is>
          <t>2026-04-18</t>
        </is>
      </c>
      <c r="O2884" t="inlineStr">
        <is>
          <t>AI</t>
        </is>
      </c>
    </row>
    <row r="2885">
      <c r="A2885" t="inlineStr">
        <is>
          <t>PT Perusahaan Perkebunan London Sumatra Indonesia Tbk</t>
        </is>
      </c>
      <c r="B2885" t="inlineStr">
        <is>
          <t>LSIP_2024_AR.pdf</t>
        </is>
      </c>
      <c r="C2885" t="n">
        <v>2024</v>
      </c>
      <c r="D2885" t="inlineStr">
        <is>
          <t>Financial</t>
        </is>
      </c>
      <c r="E2885" t="inlineStr">
        <is>
          <t>Funded Debt (Interest-Bearing Debt)</t>
        </is>
      </c>
      <c r="F2885" t="n">
        <v>0</v>
      </c>
      <c r="G2885" t="inlineStr">
        <is>
          <t>IDR bn</t>
        </is>
      </c>
      <c r="H2885" t="n">
        <v>4</v>
      </c>
      <c r="I2885" t="inlineStr">
        <is>
          <t>Funded Debt - - - - -</t>
        </is>
      </c>
      <c r="J2885" t="inlineStr">
        <is>
          <t>High</t>
        </is>
      </c>
      <c r="M2885" t="inlineStr">
        <is>
          <t>LLM</t>
        </is>
      </c>
      <c r="N2885" t="inlineStr">
        <is>
          <t>2026-04-18</t>
        </is>
      </c>
      <c r="O2885" t="inlineStr">
        <is>
          <t>AI</t>
        </is>
      </c>
    </row>
    <row r="2886">
      <c r="A2886" t="inlineStr">
        <is>
          <t>PT Perusahaan Perkebunan London Sumatra Indonesia Tbk</t>
        </is>
      </c>
      <c r="B2886" t="inlineStr">
        <is>
          <t>LSIP_2024_AR.pdf</t>
        </is>
      </c>
      <c r="C2886" t="n">
        <v>2024</v>
      </c>
      <c r="D2886" t="inlineStr">
        <is>
          <t>Financial</t>
        </is>
      </c>
      <c r="E2886" t="inlineStr">
        <is>
          <t>Employee Benefits Liability (LT)</t>
        </is>
      </c>
      <c r="F2886" t="n">
        <v>487</v>
      </c>
      <c r="G2886" t="inlineStr">
        <is>
          <t>IDR bn</t>
        </is>
      </c>
      <c r="H2886" t="n">
        <v>121</v>
      </c>
      <c r="I2886" t="inlineStr">
        <is>
          <t>Liabilitas imbalan kerja 486.958 19 457.342 Employee benefits liability</t>
        </is>
      </c>
      <c r="J2886" t="inlineStr">
        <is>
          <t>High</t>
        </is>
      </c>
      <c r="M2886" t="inlineStr">
        <is>
          <t>LLM</t>
        </is>
      </c>
      <c r="N2886" t="inlineStr">
        <is>
          <t>2026-04-18</t>
        </is>
      </c>
      <c r="O2886" t="inlineStr">
        <is>
          <t>AI</t>
        </is>
      </c>
    </row>
    <row r="2887">
      <c r="A2887" t="inlineStr">
        <is>
          <t>PT Perusahaan Perkebunan London Sumatra Indonesia Tbk</t>
        </is>
      </c>
      <c r="B2887" t="inlineStr">
        <is>
          <t>LSIP_2024_AR.pdf</t>
        </is>
      </c>
      <c r="C2887" t="n">
        <v>2024</v>
      </c>
      <c r="D2887" t="inlineStr">
        <is>
          <t>Financial</t>
        </is>
      </c>
      <c r="E2887" t="inlineStr">
        <is>
          <t>Total Equity (incl NCI)</t>
        </is>
      </c>
      <c r="F2887" t="n">
        <v>12557</v>
      </c>
      <c r="G2887" t="inlineStr">
        <is>
          <t>IDR bn</t>
        </is>
      </c>
      <c r="H2887" t="n">
        <v>4</v>
      </c>
      <c r="I2887" t="inlineStr">
        <is>
          <t>Total Equity3 12.556.754 11.347.441</t>
        </is>
      </c>
      <c r="J2887" t="inlineStr">
        <is>
          <t>High</t>
        </is>
      </c>
      <c r="M2887" t="inlineStr">
        <is>
          <t>LLM</t>
        </is>
      </c>
      <c r="N2887" t="inlineStr">
        <is>
          <t>2026-04-18</t>
        </is>
      </c>
      <c r="O2887" t="inlineStr">
        <is>
          <t>AI</t>
        </is>
      </c>
    </row>
    <row r="2888">
      <c r="A2888" t="inlineStr">
        <is>
          <t>PT Perusahaan Perkebunan London Sumatra Indonesia Tbk</t>
        </is>
      </c>
      <c r="B2888" t="inlineStr">
        <is>
          <t>LSIP_2024_AR.pdf</t>
        </is>
      </c>
      <c r="C2888" t="n">
        <v>2024</v>
      </c>
      <c r="D2888" t="inlineStr">
        <is>
          <t>Financial</t>
        </is>
      </c>
      <c r="E2888" t="inlineStr">
        <is>
          <t>CFO (Net Cash from Operating)</t>
        </is>
      </c>
      <c r="F2888" t="n">
        <v>1565</v>
      </c>
      <c r="G2888" t="inlineStr">
        <is>
          <t>IDR bn</t>
        </is>
      </c>
      <c r="H2888" t="n">
        <v>125</v>
      </c>
      <c r="I2888" t="inlineStr">
        <is>
          <t>Kas Neto yang Diperoleh dari Aktivitas Operasi 1.565.333 1.411.390</t>
        </is>
      </c>
      <c r="J2888" t="inlineStr">
        <is>
          <t>High</t>
        </is>
      </c>
      <c r="M2888" t="inlineStr">
        <is>
          <t>LLM</t>
        </is>
      </c>
      <c r="N2888" t="inlineStr">
        <is>
          <t>2026-04-18</t>
        </is>
      </c>
      <c r="O2888" t="inlineStr">
        <is>
          <t>AI</t>
        </is>
      </c>
    </row>
    <row r="2889">
      <c r="A2889" t="inlineStr">
        <is>
          <t>PT Perusahaan Perkebunan London Sumatra Indonesia Tbk</t>
        </is>
      </c>
      <c r="B2889" t="inlineStr">
        <is>
          <t>LSIP_2024_AR.pdf</t>
        </is>
      </c>
      <c r="C2889" t="n">
        <v>2024</v>
      </c>
      <c r="D2889" t="inlineStr">
        <is>
          <t>Financial</t>
        </is>
      </c>
      <c r="E2889" t="inlineStr">
        <is>
          <t>CFI (Net Cash for Investing)</t>
        </is>
      </c>
      <c r="F2889" t="n">
        <v>-420</v>
      </c>
      <c r="G2889" t="inlineStr">
        <is>
          <t>IDR bn</t>
        </is>
      </c>
      <c r="H2889" t="n">
        <v>125</v>
      </c>
      <c r="I2889" t="inlineStr">
        <is>
          <t>Kas Neto yang Digunakan untuk Aktivitas Investasi (419.795) (364.167)</t>
        </is>
      </c>
      <c r="J2889" t="inlineStr">
        <is>
          <t>High</t>
        </is>
      </c>
      <c r="M2889" t="inlineStr">
        <is>
          <t>LLM</t>
        </is>
      </c>
      <c r="N2889" t="inlineStr">
        <is>
          <t>2026-04-18</t>
        </is>
      </c>
      <c r="O2889" t="inlineStr">
        <is>
          <t>AI</t>
        </is>
      </c>
    </row>
    <row r="2890">
      <c r="A2890" t="inlineStr">
        <is>
          <t>PT Perusahaan Perkebunan London Sumatra Indonesia Tbk</t>
        </is>
      </c>
      <c r="B2890" t="inlineStr">
        <is>
          <t>LSIP_2024_AR.pdf</t>
        </is>
      </c>
      <c r="C2890" t="n">
        <v>2024</v>
      </c>
      <c r="D2890" t="inlineStr">
        <is>
          <t>Financial</t>
        </is>
      </c>
      <c r="E2890" t="inlineStr">
        <is>
          <t>CFF (Net Cash for Financing)</t>
        </is>
      </c>
      <c r="F2890" t="n">
        <v>-270</v>
      </c>
      <c r="G2890" t="inlineStr">
        <is>
          <t>IDR bn</t>
        </is>
      </c>
      <c r="H2890" t="n">
        <v>125</v>
      </c>
      <c r="I2890" t="inlineStr">
        <is>
          <t>Kas Neto yang Digunakan untuk Aktivitas Pendanaan (270.103) (366.654)</t>
        </is>
      </c>
      <c r="J2890" t="inlineStr">
        <is>
          <t>High</t>
        </is>
      </c>
      <c r="M2890" t="inlineStr">
        <is>
          <t>LLM</t>
        </is>
      </c>
      <c r="N2890" t="inlineStr">
        <is>
          <t>2026-04-18</t>
        </is>
      </c>
      <c r="O2890" t="inlineStr">
        <is>
          <t>AI</t>
        </is>
      </c>
    </row>
    <row r="2891">
      <c r="A2891" t="inlineStr">
        <is>
          <t>PT Perusahaan Perkebunan London Sumatra Indonesia Tbk</t>
        </is>
      </c>
      <c r="B2891" t="inlineStr">
        <is>
          <t>LSIP_2024_AR.pdf</t>
        </is>
      </c>
      <c r="C2891" t="n">
        <v>2024</v>
      </c>
      <c r="D2891" t="inlineStr">
        <is>
          <t>Financial</t>
        </is>
      </c>
      <c r="E2891" t="inlineStr">
        <is>
          <t>Capital Expenditures</t>
        </is>
      </c>
      <c r="F2891" t="n">
        <v>376</v>
      </c>
      <c r="G2891" t="inlineStr">
        <is>
          <t>IDR bn</t>
        </is>
      </c>
      <c r="H2891" t="n">
        <v>4</v>
      </c>
      <c r="I2891" t="inlineStr">
        <is>
          <t>Capital Expenditures 376.249 368.845 320.748</t>
        </is>
      </c>
      <c r="J2891" t="inlineStr">
        <is>
          <t>High</t>
        </is>
      </c>
      <c r="M2891" t="inlineStr">
        <is>
          <t>LLM</t>
        </is>
      </c>
      <c r="N2891" t="inlineStr">
        <is>
          <t>2026-04-18</t>
        </is>
      </c>
      <c r="O2891" t="inlineStr">
        <is>
          <t>AI</t>
        </is>
      </c>
    </row>
    <row r="2892">
      <c r="A2892" t="inlineStr">
        <is>
          <t>PT Perusahaan Perkebunan London Sumatra Indonesia Tbk</t>
        </is>
      </c>
      <c r="B2892" t="inlineStr">
        <is>
          <t>LSIP_2024_AR.pdf</t>
        </is>
      </c>
      <c r="C2892" t="n">
        <v>2024</v>
      </c>
      <c r="D2892" t="inlineStr">
        <is>
          <t>Financial</t>
        </is>
      </c>
      <c r="E2892" t="inlineStr">
        <is>
          <t>Capex Commitment (IDR portion)</t>
        </is>
      </c>
      <c r="F2892" t="n">
        <v>73</v>
      </c>
      <c r="G2892" t="inlineStr">
        <is>
          <t>IDR bn</t>
        </is>
      </c>
      <c r="H2892" t="n">
        <v>28</v>
      </c>
      <c r="I2892" t="inlineStr">
        <is>
          <t>Lonsum has commitments to acquire fixed assets with total contract value of Rp72.5 billion and USD560,724</t>
        </is>
      </c>
      <c r="J2892" t="inlineStr">
        <is>
          <t>High</t>
        </is>
      </c>
      <c r="M2892" t="inlineStr">
        <is>
          <t>LLM</t>
        </is>
      </c>
      <c r="N2892" t="inlineStr">
        <is>
          <t>2026-04-18</t>
        </is>
      </c>
      <c r="O2892" t="inlineStr">
        <is>
          <t>AI</t>
        </is>
      </c>
    </row>
    <row r="2893">
      <c r="A2893" t="inlineStr">
        <is>
          <t>PT Perusahaan Perkebunan London Sumatra Indonesia Tbk</t>
        </is>
      </c>
      <c r="B2893" t="inlineStr">
        <is>
          <t>LSIP_2024_AR.pdf</t>
        </is>
      </c>
      <c r="C2893" t="n">
        <v>2024</v>
      </c>
      <c r="D2893" t="inlineStr">
        <is>
          <t>Financial</t>
        </is>
      </c>
      <c r="E2893" t="inlineStr">
        <is>
          <t>Dividend Paid (Cash)</t>
        </is>
      </c>
      <c r="F2893" t="n">
        <v>266</v>
      </c>
      <c r="G2893" t="inlineStr">
        <is>
          <t>IDR bn</t>
        </is>
      </c>
      <c r="H2893" t="n">
        <v>30</v>
      </c>
      <c r="I2893" t="inlineStr">
        <is>
          <t>total dividen sebesar Rp266,0 miliar atau Rp39 per lembar saham</t>
        </is>
      </c>
      <c r="J2893" t="inlineStr">
        <is>
          <t>High</t>
        </is>
      </c>
      <c r="M2893" t="inlineStr">
        <is>
          <t>LLM</t>
        </is>
      </c>
      <c r="N2893" t="inlineStr">
        <is>
          <t>2026-04-18</t>
        </is>
      </c>
      <c r="O2893" t="inlineStr">
        <is>
          <t>AI</t>
        </is>
      </c>
    </row>
    <row r="2894">
      <c r="A2894" t="inlineStr">
        <is>
          <t>PT Perusahaan Perkebunan London Sumatra Indonesia Tbk</t>
        </is>
      </c>
      <c r="B2894" t="inlineStr">
        <is>
          <t>LSIP_2024_AR.pdf</t>
        </is>
      </c>
      <c r="C2894" t="n">
        <v>2024</v>
      </c>
      <c r="D2894" t="inlineStr">
        <is>
          <t>Financial</t>
        </is>
      </c>
      <c r="E2894" t="inlineStr">
        <is>
          <t>Dividend per Share (Final 2023 paid in 2024)</t>
        </is>
      </c>
      <c r="F2894" t="n">
        <v>39</v>
      </c>
      <c r="G2894" t="inlineStr">
        <is>
          <t>Rp/share</t>
        </is>
      </c>
      <c r="H2894" t="n">
        <v>30</v>
      </c>
      <c r="I2894" t="inlineStr">
        <is>
          <t>Rp266.0 billion or Rp39 per share, represent around 35% dividend payout</t>
        </is>
      </c>
      <c r="J2894" t="inlineStr">
        <is>
          <t>High</t>
        </is>
      </c>
      <c r="M2894" t="inlineStr">
        <is>
          <t>LLM</t>
        </is>
      </c>
      <c r="N2894" t="inlineStr">
        <is>
          <t>2026-04-18</t>
        </is>
      </c>
      <c r="O2894" t="inlineStr">
        <is>
          <t>AI</t>
        </is>
      </c>
    </row>
    <row r="2895">
      <c r="A2895" t="inlineStr">
        <is>
          <t>PT Perusahaan Perkebunan London Sumatra Indonesia Tbk</t>
        </is>
      </c>
      <c r="B2895" t="inlineStr">
        <is>
          <t>LSIP_2024_AR.pdf</t>
        </is>
      </c>
      <c r="C2895" t="n">
        <v>2024</v>
      </c>
      <c r="D2895" t="inlineStr">
        <is>
          <t>Financial</t>
        </is>
      </c>
      <c r="E2895" t="inlineStr">
        <is>
          <t>Dividend Payout Ratio</t>
        </is>
      </c>
      <c r="F2895" t="n">
        <v>0.35</v>
      </c>
      <c r="G2895" t="inlineStr">
        <is>
          <t>%</t>
        </is>
      </c>
      <c r="H2895" t="n">
        <v>30</v>
      </c>
      <c r="I2895" t="inlineStr">
        <is>
          <t>represent around 35% dividend payout</t>
        </is>
      </c>
      <c r="J2895" t="inlineStr">
        <is>
          <t>High</t>
        </is>
      </c>
      <c r="M2895" t="inlineStr">
        <is>
          <t>LLM</t>
        </is>
      </c>
      <c r="N2895" t="inlineStr">
        <is>
          <t>2026-04-18</t>
        </is>
      </c>
      <c r="O2895" t="inlineStr">
        <is>
          <t>AI</t>
        </is>
      </c>
    </row>
    <row r="2896">
      <c r="A2896" t="inlineStr">
        <is>
          <t>PT Perusahaan Perkebunan London Sumatra Indonesia Tbk</t>
        </is>
      </c>
      <c r="B2896" t="inlineStr">
        <is>
          <t>LSIP_2024_AR.pdf</t>
        </is>
      </c>
      <c r="C2896" t="n">
        <v>2024</v>
      </c>
      <c r="D2896" t="inlineStr">
        <is>
          <t>Financial</t>
        </is>
      </c>
      <c r="E2896" t="inlineStr">
        <is>
          <t>EPS (Basic)</t>
        </is>
      </c>
      <c r="F2896" t="n">
        <v>217</v>
      </c>
      <c r="G2896" t="inlineStr">
        <is>
          <t>Rp/share</t>
        </is>
      </c>
      <c r="H2896" t="n">
        <v>4</v>
      </c>
      <c r="I2896" t="inlineStr">
        <is>
          <t>Basic Profit per Share Attributable to the Owners of the Parent (Rp) 217 112 152</t>
        </is>
      </c>
      <c r="J2896" t="inlineStr">
        <is>
          <t>High</t>
        </is>
      </c>
      <c r="M2896" t="inlineStr">
        <is>
          <t>LLM</t>
        </is>
      </c>
      <c r="N2896" t="inlineStr">
        <is>
          <t>2026-04-18</t>
        </is>
      </c>
      <c r="O2896" t="inlineStr">
        <is>
          <t>AI</t>
        </is>
      </c>
    </row>
    <row r="2897">
      <c r="A2897" t="inlineStr">
        <is>
          <t>PT Perusahaan Perkebunan London Sumatra Indonesia Tbk</t>
        </is>
      </c>
      <c r="B2897" t="inlineStr">
        <is>
          <t>LSIP_2024_AR.pdf</t>
        </is>
      </c>
      <c r="C2897" t="n">
        <v>2024</v>
      </c>
      <c r="D2897" t="inlineStr">
        <is>
          <t>Financial</t>
        </is>
      </c>
      <c r="E2897" t="inlineStr">
        <is>
          <t>Closing Share Price (30 Dec 2024)</t>
        </is>
      </c>
      <c r="F2897" t="n">
        <v>975</v>
      </c>
      <c r="G2897" t="inlineStr">
        <is>
          <t>Rp/share</t>
        </is>
      </c>
      <c r="H2897" t="n">
        <v>15</v>
      </c>
      <c r="I2897" t="inlineStr">
        <is>
          <t>During the Year 6.819.964 6.649.465 1.305 750 975 3.363.283.200 ... closing at Rp975</t>
        </is>
      </c>
      <c r="J2897" t="inlineStr">
        <is>
          <t>High</t>
        </is>
      </c>
      <c r="M2897" t="inlineStr">
        <is>
          <t>LLM</t>
        </is>
      </c>
      <c r="N2897" t="inlineStr">
        <is>
          <t>2026-04-18</t>
        </is>
      </c>
      <c r="O2897" t="inlineStr">
        <is>
          <t>AI</t>
        </is>
      </c>
    </row>
    <row r="2898">
      <c r="A2898" t="inlineStr">
        <is>
          <t>PT Perusahaan Perkebunan London Sumatra Indonesia Tbk</t>
        </is>
      </c>
      <c r="B2898" t="inlineStr">
        <is>
          <t>LSIP_2024_AR.pdf</t>
        </is>
      </c>
      <c r="C2898" t="n">
        <v>2024</v>
      </c>
      <c r="D2898" t="inlineStr">
        <is>
          <t>Financial</t>
        </is>
      </c>
      <c r="E2898" t="inlineStr">
        <is>
          <t>52-Week High</t>
        </is>
      </c>
      <c r="F2898" t="n">
        <v>1305</v>
      </c>
      <c r="G2898" t="inlineStr">
        <is>
          <t>Rp/share</t>
        </is>
      </c>
      <c r="H2898" t="n">
        <v>15</v>
      </c>
      <c r="I2898" t="inlineStr">
        <is>
          <t>During the Year ... 1.305 750 975</t>
        </is>
      </c>
      <c r="J2898" t="inlineStr">
        <is>
          <t>High</t>
        </is>
      </c>
      <c r="M2898" t="inlineStr">
        <is>
          <t>LLM</t>
        </is>
      </c>
      <c r="N2898" t="inlineStr">
        <is>
          <t>2026-04-18</t>
        </is>
      </c>
      <c r="O2898" t="inlineStr">
        <is>
          <t>AI</t>
        </is>
      </c>
    </row>
    <row r="2899">
      <c r="A2899" t="inlineStr">
        <is>
          <t>PT Perusahaan Perkebunan London Sumatra Indonesia Tbk</t>
        </is>
      </c>
      <c r="B2899" t="inlineStr">
        <is>
          <t>LSIP_2024_AR.pdf</t>
        </is>
      </c>
      <c r="C2899" t="n">
        <v>2024</v>
      </c>
      <c r="D2899" t="inlineStr">
        <is>
          <t>Financial</t>
        </is>
      </c>
      <c r="E2899" t="inlineStr">
        <is>
          <t>52-Week Low</t>
        </is>
      </c>
      <c r="F2899" t="n">
        <v>750</v>
      </c>
      <c r="G2899" t="inlineStr">
        <is>
          <t>Rp/share</t>
        </is>
      </c>
      <c r="H2899" t="n">
        <v>15</v>
      </c>
      <c r="I2899" t="inlineStr">
        <is>
          <t>During the Year ... 1.305 750 975</t>
        </is>
      </c>
      <c r="J2899" t="inlineStr">
        <is>
          <t>High</t>
        </is>
      </c>
      <c r="M2899" t="inlineStr">
        <is>
          <t>LLM</t>
        </is>
      </c>
      <c r="N2899" t="inlineStr">
        <is>
          <t>2026-04-18</t>
        </is>
      </c>
      <c r="O2899" t="inlineStr">
        <is>
          <t>AI</t>
        </is>
      </c>
    </row>
    <row r="2900">
      <c r="A2900" t="inlineStr">
        <is>
          <t>PT Perusahaan Perkebunan London Sumatra Indonesia Tbk</t>
        </is>
      </c>
      <c r="B2900" t="inlineStr">
        <is>
          <t>LSIP_2024_AR.pdf</t>
        </is>
      </c>
      <c r="C2900" t="n">
        <v>2024</v>
      </c>
      <c r="D2900" t="inlineStr">
        <is>
          <t>Financial</t>
        </is>
      </c>
      <c r="E2900" t="inlineStr">
        <is>
          <t>Market Capitalisation</t>
        </is>
      </c>
      <c r="F2900" t="n">
        <v>6650</v>
      </c>
      <c r="G2900" t="inlineStr">
        <is>
          <t>IDR bn</t>
        </is>
      </c>
      <c r="H2900" t="n">
        <v>30</v>
      </c>
      <c r="I2900" t="inlineStr">
        <is>
          <t>As of December 31, 2024, Lonsum's market capitalisation was valued at Rp6.65 trillion</t>
        </is>
      </c>
      <c r="J2900" t="inlineStr">
        <is>
          <t>High</t>
        </is>
      </c>
      <c r="M2900" t="inlineStr">
        <is>
          <t>LLM</t>
        </is>
      </c>
      <c r="N2900" t="inlineStr">
        <is>
          <t>2026-04-18</t>
        </is>
      </c>
      <c r="O2900" t="inlineStr">
        <is>
          <t>AI</t>
        </is>
      </c>
    </row>
    <row r="2901">
      <c r="A2901" t="inlineStr">
        <is>
          <t>PT Perusahaan Perkebunan London Sumatra Indonesia Tbk</t>
        </is>
      </c>
      <c r="B2901" t="inlineStr">
        <is>
          <t>LSIP_2024_AR.pdf</t>
        </is>
      </c>
      <c r="C2901" t="n">
        <v>2024</v>
      </c>
      <c r="D2901" t="inlineStr">
        <is>
          <t>Financial</t>
        </is>
      </c>
      <c r="E2901" t="inlineStr">
        <is>
          <t>Current Ratio</t>
        </is>
      </c>
      <c r="F2901" t="n">
        <v>10.5</v>
      </c>
      <c r="G2901" t="inlineStr">
        <is>
          <t>x</t>
        </is>
      </c>
      <c r="H2901" t="n">
        <v>4</v>
      </c>
      <c r="I2901" t="inlineStr">
        <is>
          <t>Current Ratio (x) 10,50 9,53 7,20</t>
        </is>
      </c>
      <c r="J2901" t="inlineStr">
        <is>
          <t>High</t>
        </is>
      </c>
      <c r="M2901" t="inlineStr">
        <is>
          <t>LLM</t>
        </is>
      </c>
      <c r="N2901" t="inlineStr">
        <is>
          <t>2026-04-18</t>
        </is>
      </c>
      <c r="O2901" t="inlineStr">
        <is>
          <t>AI</t>
        </is>
      </c>
    </row>
    <row r="2902">
      <c r="A2902" t="inlineStr">
        <is>
          <t>PT Perusahaan Perkebunan London Sumatra Indonesia Tbk</t>
        </is>
      </c>
      <c r="B2902" t="inlineStr">
        <is>
          <t>LSIP_2024_AR.pdf</t>
        </is>
      </c>
      <c r="C2902" t="n">
        <v>2024</v>
      </c>
      <c r="D2902" t="inlineStr">
        <is>
          <t>Financial</t>
        </is>
      </c>
      <c r="E2902" t="inlineStr">
        <is>
          <t>Liabilities to Equity Ratio</t>
        </is>
      </c>
      <c r="F2902" t="n">
        <v>0.1</v>
      </c>
      <c r="G2902" t="inlineStr">
        <is>
          <t>x</t>
        </is>
      </c>
      <c r="H2902" t="n">
        <v>4</v>
      </c>
      <c r="I2902" t="inlineStr">
        <is>
          <t>Liabilities to Equity Ratio (x)3 0,10 0,10 0,14</t>
        </is>
      </c>
      <c r="J2902" t="inlineStr">
        <is>
          <t>High</t>
        </is>
      </c>
      <c r="M2902" t="inlineStr">
        <is>
          <t>LLM</t>
        </is>
      </c>
      <c r="N2902" t="inlineStr">
        <is>
          <t>2026-04-18</t>
        </is>
      </c>
      <c r="O2902" t="inlineStr">
        <is>
          <t>AI</t>
        </is>
      </c>
    </row>
    <row r="2903">
      <c r="A2903" t="inlineStr">
        <is>
          <t>PT Perusahaan Perkebunan London Sumatra Indonesia Tbk</t>
        </is>
      </c>
      <c r="B2903" t="inlineStr">
        <is>
          <t>LSIP_2024_AR.pdf</t>
        </is>
      </c>
      <c r="C2903" t="n">
        <v>2024</v>
      </c>
      <c r="D2903" t="inlineStr">
        <is>
          <t>Financial</t>
        </is>
      </c>
      <c r="E2903" t="inlineStr">
        <is>
          <t>Net Gearing Ratio</t>
        </is>
      </c>
      <c r="F2903" t="n">
        <v>-0.43</v>
      </c>
      <c r="G2903" t="inlineStr">
        <is>
          <t>x</t>
        </is>
      </c>
      <c r="H2903" t="n">
        <v>4</v>
      </c>
      <c r="I2903" t="inlineStr">
        <is>
          <t>Gearing Ratio - Net (x)3 (0,43) (0,40) (0,35)</t>
        </is>
      </c>
      <c r="J2903" t="inlineStr">
        <is>
          <t>High</t>
        </is>
      </c>
      <c r="M2903" t="inlineStr">
        <is>
          <t>LLM</t>
        </is>
      </c>
      <c r="N2903" t="inlineStr">
        <is>
          <t>2026-04-18</t>
        </is>
      </c>
      <c r="O2903" t="inlineStr">
        <is>
          <t>AI</t>
        </is>
      </c>
    </row>
    <row r="2904">
      <c r="A2904" t="inlineStr">
        <is>
          <t>PT Perusahaan Perkebunan London Sumatra Indonesia Tbk</t>
        </is>
      </c>
      <c r="B2904" t="inlineStr">
        <is>
          <t>LSIP_2024_AR.pdf</t>
        </is>
      </c>
      <c r="C2904" t="n">
        <v>2024</v>
      </c>
      <c r="D2904" t="inlineStr">
        <is>
          <t>Financial</t>
        </is>
      </c>
      <c r="E2904" t="inlineStr">
        <is>
          <t>Return on Assets (Net Profit)</t>
        </is>
      </c>
      <c r="F2904" t="n">
        <v>0.112</v>
      </c>
      <c r="G2904" t="inlineStr">
        <is>
          <t>%</t>
        </is>
      </c>
      <c r="H2904" t="n">
        <v>4</v>
      </c>
      <c r="I2904" t="inlineStr">
        <is>
          <t>Return on Assets (%) - Profit for the Year4 11,2 6,1 8,5</t>
        </is>
      </c>
      <c r="J2904" t="inlineStr">
        <is>
          <t>High</t>
        </is>
      </c>
      <c r="M2904" t="inlineStr">
        <is>
          <t>LLM</t>
        </is>
      </c>
      <c r="N2904" t="inlineStr">
        <is>
          <t>2026-04-18</t>
        </is>
      </c>
      <c r="O2904" t="inlineStr">
        <is>
          <t>AI</t>
        </is>
      </c>
    </row>
    <row r="2905">
      <c r="A2905" t="inlineStr">
        <is>
          <t>PT Perusahaan Perkebunan London Sumatra Indonesia Tbk</t>
        </is>
      </c>
      <c r="B2905" t="inlineStr">
        <is>
          <t>LSIP_2024_AR.pdf</t>
        </is>
      </c>
      <c r="C2905" t="n">
        <v>2024</v>
      </c>
      <c r="D2905" t="inlineStr">
        <is>
          <t>Financial</t>
        </is>
      </c>
      <c r="E2905" t="inlineStr">
        <is>
          <t>Return on Equity</t>
        </is>
      </c>
      <c r="F2905" t="n">
        <v>0.123</v>
      </c>
      <c r="G2905" t="inlineStr">
        <is>
          <t>%</t>
        </is>
      </c>
      <c r="H2905" t="n">
        <v>4</v>
      </c>
      <c r="I2905" t="inlineStr">
        <is>
          <t>Return on Equity (%)4 12,3 6,8 9,8</t>
        </is>
      </c>
      <c r="J2905" t="inlineStr">
        <is>
          <t>High</t>
        </is>
      </c>
      <c r="M2905" t="inlineStr">
        <is>
          <t>LLM</t>
        </is>
      </c>
      <c r="N2905" t="inlineStr">
        <is>
          <t>2026-04-18</t>
        </is>
      </c>
      <c r="O2905" t="inlineStr">
        <is>
          <t>AI</t>
        </is>
      </c>
    </row>
    <row r="2906">
      <c r="A2906" t="inlineStr">
        <is>
          <t>PT Perusahaan Perkebunan London Sumatra Indonesia Tbk</t>
        </is>
      </c>
      <c r="B2906" t="inlineStr">
        <is>
          <t>LSIP_2024_AR.pdf</t>
        </is>
      </c>
      <c r="C2906" t="n">
        <v>2024</v>
      </c>
      <c r="D2906" t="inlineStr">
        <is>
          <t>Asset</t>
        </is>
      </c>
      <c r="E2906" t="inlineStr">
        <is>
          <t>Total Nucleus Planted Area</t>
        </is>
      </c>
      <c r="F2906" t="n">
        <v>111367</v>
      </c>
      <c r="G2906" t="inlineStr">
        <is>
          <t>ha</t>
        </is>
      </c>
      <c r="H2906" t="n">
        <v>5</v>
      </c>
      <c r="I2906" t="inlineStr">
        <is>
          <t>PLANTED AREA - NUCLEUS 111.367 111.940 111.240</t>
        </is>
      </c>
      <c r="J2906" t="inlineStr">
        <is>
          <t>High</t>
        </is>
      </c>
      <c r="M2906" t="inlineStr">
        <is>
          <t>LLM</t>
        </is>
      </c>
      <c r="N2906" t="inlineStr">
        <is>
          <t>2026-04-18</t>
        </is>
      </c>
      <c r="O2906" t="inlineStr">
        <is>
          <t>AI</t>
        </is>
      </c>
    </row>
    <row r="2907">
      <c r="A2907" t="inlineStr">
        <is>
          <t>PT Perusahaan Perkebunan London Sumatra Indonesia Tbk</t>
        </is>
      </c>
      <c r="B2907" t="inlineStr">
        <is>
          <t>LSIP_2024_AR.pdf</t>
        </is>
      </c>
      <c r="C2907" t="n">
        <v>2024</v>
      </c>
      <c r="D2907" t="inlineStr">
        <is>
          <t>Asset</t>
        </is>
      </c>
      <c r="E2907" t="inlineStr">
        <is>
          <t>Oil Palm Nucleus Area</t>
        </is>
      </c>
      <c r="F2907" t="n">
        <v>91152</v>
      </c>
      <c r="G2907" t="inlineStr">
        <is>
          <t>ha</t>
        </is>
      </c>
      <c r="H2907" t="n">
        <v>5</v>
      </c>
      <c r="I2907" t="inlineStr">
        <is>
          <t>OIL PALM 91.152 91.759 91.151</t>
        </is>
      </c>
      <c r="J2907" t="inlineStr">
        <is>
          <t>High</t>
        </is>
      </c>
      <c r="M2907" t="inlineStr">
        <is>
          <t>LLM</t>
        </is>
      </c>
      <c r="N2907" t="inlineStr">
        <is>
          <t>2026-04-18</t>
        </is>
      </c>
      <c r="O2907" t="inlineStr">
        <is>
          <t>AI</t>
        </is>
      </c>
    </row>
    <row r="2908">
      <c r="A2908" t="inlineStr">
        <is>
          <t>PT Perusahaan Perkebunan London Sumatra Indonesia Tbk</t>
        </is>
      </c>
      <c r="B2908" t="inlineStr">
        <is>
          <t>LSIP_2024_AR.pdf</t>
        </is>
      </c>
      <c r="C2908" t="n">
        <v>2024</v>
      </c>
      <c r="D2908" t="inlineStr">
        <is>
          <t>Asset</t>
        </is>
      </c>
      <c r="E2908" t="inlineStr">
        <is>
          <t>Oil Palm Mature Area</t>
        </is>
      </c>
      <c r="F2908" t="n">
        <v>84941</v>
      </c>
      <c r="G2908" t="inlineStr">
        <is>
          <t>ha</t>
        </is>
      </c>
      <c r="H2908" t="n">
        <v>5</v>
      </c>
      <c r="I2908" t="inlineStr">
        <is>
          <t>Mature 84.941 85.198 83.742</t>
        </is>
      </c>
      <c r="J2908" t="inlineStr">
        <is>
          <t>High</t>
        </is>
      </c>
      <c r="M2908" t="inlineStr">
        <is>
          <t>LLM</t>
        </is>
      </c>
      <c r="N2908" t="inlineStr">
        <is>
          <t>2026-04-18</t>
        </is>
      </c>
      <c r="O2908" t="inlineStr">
        <is>
          <t>AI</t>
        </is>
      </c>
    </row>
    <row r="2909">
      <c r="A2909" t="inlineStr">
        <is>
          <t>PT Perusahaan Perkebunan London Sumatra Indonesia Tbk</t>
        </is>
      </c>
      <c r="B2909" t="inlineStr">
        <is>
          <t>LSIP_2024_AR.pdf</t>
        </is>
      </c>
      <c r="C2909" t="n">
        <v>2024</v>
      </c>
      <c r="D2909" t="inlineStr">
        <is>
          <t>Asset</t>
        </is>
      </c>
      <c r="E2909" t="inlineStr">
        <is>
          <t>Oil Palm Immature Area</t>
        </is>
      </c>
      <c r="F2909" t="n">
        <v>6211</v>
      </c>
      <c r="G2909" t="inlineStr">
        <is>
          <t>ha</t>
        </is>
      </c>
      <c r="H2909" t="n">
        <v>5</v>
      </c>
      <c r="I2909" t="inlineStr">
        <is>
          <t>Immature 6.211 6.561 7.409</t>
        </is>
      </c>
      <c r="J2909" t="inlineStr">
        <is>
          <t>High</t>
        </is>
      </c>
      <c r="M2909" t="inlineStr">
        <is>
          <t>LLM</t>
        </is>
      </c>
      <c r="N2909" t="inlineStr">
        <is>
          <t>2026-04-18</t>
        </is>
      </c>
      <c r="O2909" t="inlineStr">
        <is>
          <t>AI</t>
        </is>
      </c>
    </row>
    <row r="2910">
      <c r="A2910" t="inlineStr">
        <is>
          <t>PT Perusahaan Perkebunan London Sumatra Indonesia Tbk</t>
        </is>
      </c>
      <c r="B2910" t="inlineStr">
        <is>
          <t>LSIP_2024_AR.pdf</t>
        </is>
      </c>
      <c r="C2910" t="n">
        <v>2024</v>
      </c>
      <c r="D2910" t="inlineStr">
        <is>
          <t>Asset</t>
        </is>
      </c>
      <c r="E2910" t="inlineStr">
        <is>
          <t>Rubber Nucleus Area</t>
        </is>
      </c>
      <c r="F2910" t="n">
        <v>16231</v>
      </c>
      <c r="G2910" t="inlineStr">
        <is>
          <t>ha</t>
        </is>
      </c>
      <c r="H2910" t="n">
        <v>5</v>
      </c>
      <c r="I2910" t="inlineStr">
        <is>
          <t>RUBBER 16.231 16.238 16.074</t>
        </is>
      </c>
      <c r="J2910" t="inlineStr">
        <is>
          <t>High</t>
        </is>
      </c>
      <c r="M2910" t="inlineStr">
        <is>
          <t>LLM</t>
        </is>
      </c>
      <c r="N2910" t="inlineStr">
        <is>
          <t>2026-04-18</t>
        </is>
      </c>
      <c r="O2910" t="inlineStr">
        <is>
          <t>AI</t>
        </is>
      </c>
    </row>
    <row r="2911">
      <c r="A2911" t="inlineStr">
        <is>
          <t>PT Perusahaan Perkebunan London Sumatra Indonesia Tbk</t>
        </is>
      </c>
      <c r="B2911" t="inlineStr">
        <is>
          <t>LSIP_2024_AR.pdf</t>
        </is>
      </c>
      <c r="C2911" t="n">
        <v>2024</v>
      </c>
      <c r="D2911" t="inlineStr">
        <is>
          <t>Asset</t>
        </is>
      </c>
      <c r="E2911" t="inlineStr">
        <is>
          <t>Other Crops Area</t>
        </is>
      </c>
      <c r="F2911" t="n">
        <v>3984</v>
      </c>
      <c r="G2911" t="inlineStr">
        <is>
          <t>ha</t>
        </is>
      </c>
      <c r="H2911" t="n">
        <v>5</v>
      </c>
      <c r="I2911" t="inlineStr">
        <is>
          <t>OTHERS 3.984 3.943 4.015</t>
        </is>
      </c>
      <c r="J2911" t="inlineStr">
        <is>
          <t>High</t>
        </is>
      </c>
      <c r="M2911" t="inlineStr">
        <is>
          <t>LLM</t>
        </is>
      </c>
      <c r="N2911" t="inlineStr">
        <is>
          <t>2026-04-18</t>
        </is>
      </c>
      <c r="O2911" t="inlineStr">
        <is>
          <t>AI</t>
        </is>
      </c>
    </row>
    <row r="2912">
      <c r="A2912" t="inlineStr">
        <is>
          <t>PT Perusahaan Perkebunan London Sumatra Indonesia Tbk</t>
        </is>
      </c>
      <c r="B2912" t="inlineStr">
        <is>
          <t>LSIP_2024_AR.pdf</t>
        </is>
      </c>
      <c r="C2912" t="n">
        <v>2024</v>
      </c>
      <c r="D2912" t="inlineStr">
        <is>
          <t>Asset</t>
        </is>
      </c>
      <c r="E2912" t="inlineStr">
        <is>
          <t>Plasma Partnership Area</t>
        </is>
      </c>
      <c r="F2912" t="n">
        <v>35779</v>
      </c>
      <c r="G2912" t="inlineStr">
        <is>
          <t>ha</t>
        </is>
      </c>
      <c r="H2912" t="n">
        <v>5</v>
      </c>
      <c r="I2912" t="inlineStr">
        <is>
          <t>PLASMA PARTNERSHIP 35.779 35.417 35.064</t>
        </is>
      </c>
      <c r="J2912" t="inlineStr">
        <is>
          <t>High</t>
        </is>
      </c>
      <c r="M2912" t="inlineStr">
        <is>
          <t>LLM</t>
        </is>
      </c>
      <c r="N2912" t="inlineStr">
        <is>
          <t>2026-04-18</t>
        </is>
      </c>
      <c r="O2912" t="inlineStr">
        <is>
          <t>AI</t>
        </is>
      </c>
    </row>
    <row r="2913">
      <c r="A2913" t="inlineStr">
        <is>
          <t>PT Perusahaan Perkebunan London Sumatra Indonesia Tbk</t>
        </is>
      </c>
      <c r="B2913" t="inlineStr">
        <is>
          <t>LSIP_2024_AR.pdf</t>
        </is>
      </c>
      <c r="C2913" t="n">
        <v>2024</v>
      </c>
      <c r="D2913" t="inlineStr">
        <is>
          <t>Asset</t>
        </is>
      </c>
      <c r="E2913" t="inlineStr">
        <is>
          <t>North Sumatra Area</t>
        </is>
      </c>
      <c r="F2913" t="n">
        <v>37228</v>
      </c>
      <c r="G2913" t="inlineStr">
        <is>
          <t>ha</t>
        </is>
      </c>
      <c r="H2913" t="n">
        <v>5</v>
      </c>
      <c r="I2913" t="inlineStr">
        <is>
          <t>North Sumatra 37.228 36.903 36.473</t>
        </is>
      </c>
      <c r="J2913" t="inlineStr">
        <is>
          <t>High</t>
        </is>
      </c>
      <c r="M2913" t="inlineStr">
        <is>
          <t>LLM</t>
        </is>
      </c>
      <c r="N2913" t="inlineStr">
        <is>
          <t>2026-04-18</t>
        </is>
      </c>
      <c r="O2913" t="inlineStr">
        <is>
          <t>AI</t>
        </is>
      </c>
    </row>
    <row r="2914">
      <c r="A2914" t="inlineStr">
        <is>
          <t>PT Perusahaan Perkebunan London Sumatra Indonesia Tbk</t>
        </is>
      </c>
      <c r="B2914" t="inlineStr">
        <is>
          <t>LSIP_2024_AR.pdf</t>
        </is>
      </c>
      <c r="C2914" t="n">
        <v>2024</v>
      </c>
      <c r="D2914" t="inlineStr">
        <is>
          <t>Asset</t>
        </is>
      </c>
      <c r="E2914" t="inlineStr">
        <is>
          <t>South Sumatra Area</t>
        </is>
      </c>
      <c r="F2914" t="n">
        <v>49518</v>
      </c>
      <c r="G2914" t="inlineStr">
        <is>
          <t>ha</t>
        </is>
      </c>
      <c r="H2914" t="n">
        <v>5</v>
      </c>
      <c r="I2914" t="inlineStr">
        <is>
          <t>South Sumatra 49.518 49.222 48.900</t>
        </is>
      </c>
      <c r="J2914" t="inlineStr">
        <is>
          <t>High</t>
        </is>
      </c>
      <c r="M2914" t="inlineStr">
        <is>
          <t>LLM</t>
        </is>
      </c>
      <c r="N2914" t="inlineStr">
        <is>
          <t>2026-04-18</t>
        </is>
      </c>
      <c r="O2914" t="inlineStr">
        <is>
          <t>AI</t>
        </is>
      </c>
    </row>
    <row r="2915">
      <c r="A2915" t="inlineStr">
        <is>
          <t>PT Perusahaan Perkebunan London Sumatra Indonesia Tbk</t>
        </is>
      </c>
      <c r="B2915" t="inlineStr">
        <is>
          <t>LSIP_2024_AR.pdf</t>
        </is>
      </c>
      <c r="C2915" t="n">
        <v>2024</v>
      </c>
      <c r="D2915" t="inlineStr">
        <is>
          <t>Asset</t>
        </is>
      </c>
      <c r="E2915" t="inlineStr">
        <is>
          <t>East Kalimantan Area</t>
        </is>
      </c>
      <c r="F2915" t="n">
        <v>15924</v>
      </c>
      <c r="G2915" t="inlineStr">
        <is>
          <t>ha</t>
        </is>
      </c>
      <c r="H2915" t="n">
        <v>5</v>
      </c>
      <c r="I2915" t="inlineStr">
        <is>
          <t>East Kalimantan 15.924 17.152 17.152</t>
        </is>
      </c>
      <c r="J2915" t="inlineStr">
        <is>
          <t>High</t>
        </is>
      </c>
      <c r="M2915" t="inlineStr">
        <is>
          <t>LLM</t>
        </is>
      </c>
      <c r="N2915" t="inlineStr">
        <is>
          <t>2026-04-18</t>
        </is>
      </c>
      <c r="O2915" t="inlineStr">
        <is>
          <t>AI</t>
        </is>
      </c>
    </row>
    <row r="2916">
      <c r="A2916" t="inlineStr">
        <is>
          <t>PT Perusahaan Perkebunan London Sumatra Indonesia Tbk</t>
        </is>
      </c>
      <c r="B2916" t="inlineStr">
        <is>
          <t>LSIP_2024_AR.pdf</t>
        </is>
      </c>
      <c r="C2916" t="n">
        <v>2024</v>
      </c>
      <c r="D2916" t="inlineStr">
        <is>
          <t>Asset</t>
        </is>
      </c>
      <c r="E2916" t="inlineStr">
        <is>
          <t>Java Area</t>
        </is>
      </c>
      <c r="F2916" t="n">
        <v>3217</v>
      </c>
      <c r="G2916" t="inlineStr">
        <is>
          <t>ha</t>
        </is>
      </c>
      <c r="H2916" t="n">
        <v>5</v>
      </c>
      <c r="I2916" t="inlineStr">
        <is>
          <t>Java 3.217 3.177 3.249</t>
        </is>
      </c>
      <c r="J2916" t="inlineStr">
        <is>
          <t>High</t>
        </is>
      </c>
      <c r="M2916" t="inlineStr">
        <is>
          <t>LLM</t>
        </is>
      </c>
      <c r="N2916" t="inlineStr">
        <is>
          <t>2026-04-18</t>
        </is>
      </c>
      <c r="O2916" t="inlineStr">
        <is>
          <t>AI</t>
        </is>
      </c>
    </row>
    <row r="2917">
      <c r="A2917" t="inlineStr">
        <is>
          <t>PT Perusahaan Perkebunan London Sumatra Indonesia Tbk</t>
        </is>
      </c>
      <c r="B2917" t="inlineStr">
        <is>
          <t>LSIP_2024_AR.pdf</t>
        </is>
      </c>
      <c r="C2917" t="n">
        <v>2024</v>
      </c>
      <c r="D2917" t="inlineStr">
        <is>
          <t>Asset</t>
        </is>
      </c>
      <c r="E2917" t="inlineStr">
        <is>
          <t>North Sulawesi Area</t>
        </is>
      </c>
      <c r="F2917" t="n">
        <v>766</v>
      </c>
      <c r="G2917" t="inlineStr">
        <is>
          <t>ha</t>
        </is>
      </c>
      <c r="H2917" t="n">
        <v>5</v>
      </c>
      <c r="I2917" t="inlineStr">
        <is>
          <t>North Sulawesi 766 766 766</t>
        </is>
      </c>
      <c r="J2917" t="inlineStr">
        <is>
          <t>High</t>
        </is>
      </c>
      <c r="M2917" t="inlineStr">
        <is>
          <t>LLM</t>
        </is>
      </c>
      <c r="N2917" t="inlineStr">
        <is>
          <t>2026-04-18</t>
        </is>
      </c>
      <c r="O2917" t="inlineStr">
        <is>
          <t>AI</t>
        </is>
      </c>
    </row>
    <row r="2918">
      <c r="A2918" t="inlineStr">
        <is>
          <t>PT Perusahaan Perkebunan London Sumatra Indonesia Tbk</t>
        </is>
      </c>
      <c r="B2918" t="inlineStr">
        <is>
          <t>LSIP_2024_AR.pdf</t>
        </is>
      </c>
      <c r="C2918" t="n">
        <v>2024</v>
      </c>
      <c r="D2918" t="inlineStr">
        <is>
          <t>Asset</t>
        </is>
      </c>
      <c r="E2918" t="inlineStr">
        <is>
          <t>South Sulawesi Area</t>
        </is>
      </c>
      <c r="F2918" t="n">
        <v>4714</v>
      </c>
      <c r="G2918" t="inlineStr">
        <is>
          <t>ha</t>
        </is>
      </c>
      <c r="H2918" t="n">
        <v>5</v>
      </c>
      <c r="I2918" t="inlineStr">
        <is>
          <t>South Sulawesi 4.714 4.720 4.700</t>
        </is>
      </c>
      <c r="J2918" t="inlineStr">
        <is>
          <t>High</t>
        </is>
      </c>
      <c r="M2918" t="inlineStr">
        <is>
          <t>LLM</t>
        </is>
      </c>
      <c r="N2918" t="inlineStr">
        <is>
          <t>2026-04-18</t>
        </is>
      </c>
      <c r="O2918" t="inlineStr">
        <is>
          <t>AI</t>
        </is>
      </c>
    </row>
    <row r="2919">
      <c r="A2919" t="inlineStr">
        <is>
          <t>PT Perusahaan Perkebunan London Sumatra Indonesia Tbk</t>
        </is>
      </c>
      <c r="B2919" t="inlineStr">
        <is>
          <t>LSIP_2024_AR.pdf</t>
        </is>
      </c>
      <c r="C2919" t="n">
        <v>2024</v>
      </c>
      <c r="D2919" t="inlineStr">
        <is>
          <t>Asset</t>
        </is>
      </c>
      <c r="E2919" t="inlineStr">
        <is>
          <t>Cocoa Planted Area</t>
        </is>
      </c>
      <c r="F2919" t="n">
        <v>2822</v>
      </c>
      <c r="G2919" t="inlineStr">
        <is>
          <t>ha</t>
        </is>
      </c>
      <c r="H2919" t="n">
        <v>34</v>
      </c>
      <c r="I2919" t="inlineStr">
        <is>
          <t>Cocoa plantations around 2,822 hectares are located in North Sulawesi and East Java</t>
        </is>
      </c>
      <c r="J2919" t="inlineStr">
        <is>
          <t>High</t>
        </is>
      </c>
      <c r="M2919" t="inlineStr">
        <is>
          <t>LLM</t>
        </is>
      </c>
      <c r="N2919" t="inlineStr">
        <is>
          <t>2026-04-18</t>
        </is>
      </c>
      <c r="O2919" t="inlineStr">
        <is>
          <t>AI</t>
        </is>
      </c>
    </row>
    <row r="2920">
      <c r="A2920" t="inlineStr">
        <is>
          <t>PT Perusahaan Perkebunan London Sumatra Indonesia Tbk</t>
        </is>
      </c>
      <c r="B2920" t="inlineStr">
        <is>
          <t>LSIP_2024_AR.pdf</t>
        </is>
      </c>
      <c r="C2920" t="n">
        <v>2024</v>
      </c>
      <c r="D2920" t="inlineStr">
        <is>
          <t>Asset</t>
        </is>
      </c>
      <c r="E2920" t="inlineStr">
        <is>
          <t>Tea Planted Area</t>
        </is>
      </c>
      <c r="F2920" t="n">
        <v>866</v>
      </c>
      <c r="G2920" t="inlineStr">
        <is>
          <t>ha</t>
        </is>
      </c>
      <c r="H2920" t="n">
        <v>34</v>
      </c>
      <c r="I2920" t="inlineStr">
        <is>
          <t>tea plantation around 866 hectares is in West Java</t>
        </is>
      </c>
      <c r="J2920" t="inlineStr">
        <is>
          <t>High</t>
        </is>
      </c>
      <c r="M2920" t="inlineStr">
        <is>
          <t>LLM</t>
        </is>
      </c>
      <c r="N2920" t="inlineStr">
        <is>
          <t>2026-04-18</t>
        </is>
      </c>
      <c r="O2920" t="inlineStr">
        <is>
          <t>AI</t>
        </is>
      </c>
    </row>
    <row r="2921">
      <c r="A2921" t="inlineStr">
        <is>
          <t>PT Perusahaan Perkebunan London Sumatra Indonesia Tbk</t>
        </is>
      </c>
      <c r="B2921" t="inlineStr">
        <is>
          <t>LSIP_2024_AR.pdf</t>
        </is>
      </c>
      <c r="C2921" t="n">
        <v>2024</v>
      </c>
      <c r="D2921" t="inlineStr">
        <is>
          <t>Asset</t>
        </is>
      </c>
      <c r="E2921" t="inlineStr">
        <is>
          <t>Palm Oil Mills Count</t>
        </is>
      </c>
      <c r="F2921" t="n">
        <v>12</v>
      </c>
      <c r="G2921" t="inlineStr">
        <is>
          <t>count</t>
        </is>
      </c>
      <c r="H2921" t="n">
        <v>9</v>
      </c>
      <c r="I2921" t="inlineStr">
        <is>
          <t>Lonsum operates 12 palm oil mills in Sumatra and Kalimantan</t>
        </is>
      </c>
      <c r="J2921" t="inlineStr">
        <is>
          <t>High</t>
        </is>
      </c>
      <c r="M2921" t="inlineStr">
        <is>
          <t>LLM</t>
        </is>
      </c>
      <c r="N2921" t="inlineStr">
        <is>
          <t>2026-04-18</t>
        </is>
      </c>
      <c r="O2921" t="inlineStr">
        <is>
          <t>AI</t>
        </is>
      </c>
    </row>
    <row r="2922">
      <c r="A2922" t="inlineStr">
        <is>
          <t>PT Perusahaan Perkebunan London Sumatra Indonesia Tbk</t>
        </is>
      </c>
      <c r="B2922" t="inlineStr">
        <is>
          <t>LSIP_2024_AR.pdf</t>
        </is>
      </c>
      <c r="C2922" t="n">
        <v>2024</v>
      </c>
      <c r="D2922" t="inlineStr">
        <is>
          <t>Asset</t>
        </is>
      </c>
      <c r="E2922" t="inlineStr">
        <is>
          <t>Total FFB Mill Capacity</t>
        </is>
      </c>
      <c r="F2922" t="n">
        <v>2700000</v>
      </c>
      <c r="G2922" t="inlineStr">
        <is>
          <t>tpa</t>
        </is>
      </c>
      <c r="H2922" t="n">
        <v>9</v>
      </c>
      <c r="I2922" t="inlineStr">
        <is>
          <t>total annual Fresh Fruit Bunch (FFB) processing capacity of 2.7 million tonnes</t>
        </is>
      </c>
      <c r="J2922" t="inlineStr">
        <is>
          <t>High</t>
        </is>
      </c>
      <c r="M2922" t="inlineStr">
        <is>
          <t>LLM</t>
        </is>
      </c>
      <c r="N2922" t="inlineStr">
        <is>
          <t>2026-04-18</t>
        </is>
      </c>
      <c r="O2922" t="inlineStr">
        <is>
          <t>AI</t>
        </is>
      </c>
    </row>
    <row r="2923">
      <c r="A2923" t="inlineStr">
        <is>
          <t>PT Perusahaan Perkebunan London Sumatra Indonesia Tbk</t>
        </is>
      </c>
      <c r="B2923" t="inlineStr">
        <is>
          <t>LSIP_2024_AR.pdf</t>
        </is>
      </c>
      <c r="C2923" t="n">
        <v>2024</v>
      </c>
      <c r="D2923" t="inlineStr">
        <is>
          <t>Asset</t>
        </is>
      </c>
      <c r="E2923" t="inlineStr">
        <is>
          <t>Crumb Rubber Production Lines</t>
        </is>
      </c>
      <c r="F2923" t="n">
        <v>3</v>
      </c>
      <c r="G2923" t="inlineStr">
        <is>
          <t>count</t>
        </is>
      </c>
      <c r="H2923" t="n">
        <v>34</v>
      </c>
      <c r="I2923" t="inlineStr">
        <is>
          <t>In 2024, Lonsum operated 3 crumb rubber production lines with annual processing capacity of around 26,000 tonnes</t>
        </is>
      </c>
      <c r="J2923" t="inlineStr">
        <is>
          <t>High</t>
        </is>
      </c>
      <c r="M2923" t="inlineStr">
        <is>
          <t>LLM</t>
        </is>
      </c>
      <c r="N2923" t="inlineStr">
        <is>
          <t>2026-04-18</t>
        </is>
      </c>
      <c r="O2923" t="inlineStr">
        <is>
          <t>AI</t>
        </is>
      </c>
    </row>
    <row r="2924">
      <c r="A2924" t="inlineStr">
        <is>
          <t>PT Perusahaan Perkebunan London Sumatra Indonesia Tbk</t>
        </is>
      </c>
      <c r="B2924" t="inlineStr">
        <is>
          <t>LSIP_2024_AR.pdf</t>
        </is>
      </c>
      <c r="C2924" t="n">
        <v>2024</v>
      </c>
      <c r="D2924" t="inlineStr">
        <is>
          <t>Asset</t>
        </is>
      </c>
      <c r="E2924" t="inlineStr">
        <is>
          <t>Crumb Rubber Capacity</t>
        </is>
      </c>
      <c r="F2924" t="n">
        <v>26000</v>
      </c>
      <c r="G2924" t="inlineStr">
        <is>
          <t>tpa</t>
        </is>
      </c>
      <c r="H2924" t="n">
        <v>34</v>
      </c>
      <c r="I2924" t="inlineStr">
        <is>
          <t>annual processing capacity of around 26,000 tonnes</t>
        </is>
      </c>
      <c r="J2924" t="inlineStr">
        <is>
          <t>High</t>
        </is>
      </c>
      <c r="M2924" t="inlineStr">
        <is>
          <t>LLM</t>
        </is>
      </c>
      <c r="N2924" t="inlineStr">
        <is>
          <t>2026-04-18</t>
        </is>
      </c>
      <c r="O2924" t="inlineStr">
        <is>
          <t>AI</t>
        </is>
      </c>
    </row>
    <row r="2925">
      <c r="A2925" t="inlineStr">
        <is>
          <t>PT Perusahaan Perkebunan London Sumatra Indonesia Tbk</t>
        </is>
      </c>
      <c r="B2925" t="inlineStr">
        <is>
          <t>LSIP_2024_AR.pdf</t>
        </is>
      </c>
      <c r="C2925" t="n">
        <v>2024</v>
      </c>
      <c r="D2925" t="inlineStr">
        <is>
          <t>Asset</t>
        </is>
      </c>
      <c r="E2925" t="inlineStr">
        <is>
          <t>Sheet Rubber Production Lines</t>
        </is>
      </c>
      <c r="F2925" t="n">
        <v>2</v>
      </c>
      <c r="G2925" t="inlineStr">
        <is>
          <t>count</t>
        </is>
      </c>
      <c r="H2925" t="n">
        <v>34</v>
      </c>
      <c r="I2925" t="inlineStr">
        <is>
          <t>2 sheet rubber production lines with annual processing capacity of around 7,000 tonnes</t>
        </is>
      </c>
      <c r="J2925" t="inlineStr">
        <is>
          <t>High</t>
        </is>
      </c>
      <c r="M2925" t="inlineStr">
        <is>
          <t>LLM</t>
        </is>
      </c>
      <c r="N2925" t="inlineStr">
        <is>
          <t>2026-04-18</t>
        </is>
      </c>
      <c r="O2925" t="inlineStr">
        <is>
          <t>AI</t>
        </is>
      </c>
    </row>
    <row r="2926">
      <c r="A2926" t="inlineStr">
        <is>
          <t>PT Perusahaan Perkebunan London Sumatra Indonesia Tbk</t>
        </is>
      </c>
      <c r="B2926" t="inlineStr">
        <is>
          <t>LSIP_2024_AR.pdf</t>
        </is>
      </c>
      <c r="C2926" t="n">
        <v>2024</v>
      </c>
      <c r="D2926" t="inlineStr">
        <is>
          <t>Asset</t>
        </is>
      </c>
      <c r="E2926" t="inlineStr">
        <is>
          <t>Sheet Rubber Capacity</t>
        </is>
      </c>
      <c r="F2926" t="n">
        <v>7000</v>
      </c>
      <c r="G2926" t="inlineStr">
        <is>
          <t>tpa</t>
        </is>
      </c>
      <c r="H2926" t="n">
        <v>34</v>
      </c>
      <c r="I2926" t="inlineStr">
        <is>
          <t>annual processing capacity of around 7,000 tonnes</t>
        </is>
      </c>
      <c r="J2926" t="inlineStr">
        <is>
          <t>High</t>
        </is>
      </c>
      <c r="M2926" t="inlineStr">
        <is>
          <t>LLM</t>
        </is>
      </c>
      <c r="N2926" t="inlineStr">
        <is>
          <t>2026-04-18</t>
        </is>
      </c>
      <c r="O2926" t="inlineStr">
        <is>
          <t>AI</t>
        </is>
      </c>
    </row>
    <row r="2927">
      <c r="A2927" t="inlineStr">
        <is>
          <t>PT Perusahaan Perkebunan London Sumatra Indonesia Tbk</t>
        </is>
      </c>
      <c r="B2927" t="inlineStr">
        <is>
          <t>LSIP_2024_AR.pdf</t>
        </is>
      </c>
      <c r="C2927" t="n">
        <v>2024</v>
      </c>
      <c r="D2927" t="inlineStr">
        <is>
          <t>Asset</t>
        </is>
      </c>
      <c r="E2927" t="inlineStr">
        <is>
          <t>Cocoa Factory Count</t>
        </is>
      </c>
      <c r="F2927" t="n">
        <v>1</v>
      </c>
      <c r="G2927" t="inlineStr">
        <is>
          <t>count</t>
        </is>
      </c>
      <c r="H2927" t="n">
        <v>34</v>
      </c>
      <c r="I2927" t="inlineStr">
        <is>
          <t>Lonsum operated 1 cocoa factory and 1 tea factory</t>
        </is>
      </c>
      <c r="J2927" t="inlineStr">
        <is>
          <t>High</t>
        </is>
      </c>
      <c r="M2927" t="inlineStr">
        <is>
          <t>LLM</t>
        </is>
      </c>
      <c r="N2927" t="inlineStr">
        <is>
          <t>2026-04-18</t>
        </is>
      </c>
      <c r="O2927" t="inlineStr">
        <is>
          <t>AI</t>
        </is>
      </c>
    </row>
    <row r="2928">
      <c r="A2928" t="inlineStr">
        <is>
          <t>PT Perusahaan Perkebunan London Sumatra Indonesia Tbk</t>
        </is>
      </c>
      <c r="B2928" t="inlineStr">
        <is>
          <t>LSIP_2024_AR.pdf</t>
        </is>
      </c>
      <c r="C2928" t="n">
        <v>2024</v>
      </c>
      <c r="D2928" t="inlineStr">
        <is>
          <t>Asset</t>
        </is>
      </c>
      <c r="E2928" t="inlineStr">
        <is>
          <t>Tea Factory Count</t>
        </is>
      </c>
      <c r="F2928" t="n">
        <v>1</v>
      </c>
      <c r="G2928" t="inlineStr">
        <is>
          <t>count</t>
        </is>
      </c>
      <c r="H2928" t="n">
        <v>34</v>
      </c>
      <c r="I2928" t="inlineStr">
        <is>
          <t>1 cocoa factory and 1 tea factory</t>
        </is>
      </c>
      <c r="J2928" t="inlineStr">
        <is>
          <t>High</t>
        </is>
      </c>
      <c r="M2928" t="inlineStr">
        <is>
          <t>LLM</t>
        </is>
      </c>
      <c r="N2928" t="inlineStr">
        <is>
          <t>2026-04-18</t>
        </is>
      </c>
      <c r="O2928" t="inlineStr">
        <is>
          <t>AI</t>
        </is>
      </c>
    </row>
    <row r="2929">
      <c r="A2929" t="inlineStr">
        <is>
          <t>PT Perusahaan Perkebunan London Sumatra Indonesia Tbk</t>
        </is>
      </c>
      <c r="B2929" t="inlineStr">
        <is>
          <t>LSIP_2024_AR.pdf</t>
        </is>
      </c>
      <c r="C2929" t="n">
        <v>2024</v>
      </c>
      <c r="D2929" t="inlineStr">
        <is>
          <t>Operation</t>
        </is>
      </c>
      <c r="E2929" t="inlineStr">
        <is>
          <t>Total FFB Production</t>
        </is>
      </c>
      <c r="F2929" t="n">
        <v>1345000</v>
      </c>
      <c r="G2929" t="inlineStr">
        <is>
          <t>t</t>
        </is>
      </c>
      <c r="H2929" t="n">
        <v>5</v>
      </c>
      <c r="I2929" t="inlineStr">
        <is>
          <t>Total Fresh Fruit Bunches (FFB) 1.345 1.377 1.417 (thousand tonnes)</t>
        </is>
      </c>
      <c r="J2929" t="inlineStr">
        <is>
          <t>High</t>
        </is>
      </c>
      <c r="M2929" t="inlineStr">
        <is>
          <t>LLM</t>
        </is>
      </c>
      <c r="N2929" t="inlineStr">
        <is>
          <t>2026-04-18</t>
        </is>
      </c>
      <c r="O2929" t="inlineStr">
        <is>
          <t>AI</t>
        </is>
      </c>
    </row>
    <row r="2930">
      <c r="A2930" t="inlineStr">
        <is>
          <t>PT Perusahaan Perkebunan London Sumatra Indonesia Tbk</t>
        </is>
      </c>
      <c r="B2930" t="inlineStr">
        <is>
          <t>LSIP_2024_AR.pdf</t>
        </is>
      </c>
      <c r="C2930" t="n">
        <v>2024</v>
      </c>
      <c r="D2930" t="inlineStr">
        <is>
          <t>Operation</t>
        </is>
      </c>
      <c r="E2930" t="inlineStr">
        <is>
          <t>FFB Nucleus Production</t>
        </is>
      </c>
      <c r="F2930" t="n">
        <v>1173000</v>
      </c>
      <c r="G2930" t="inlineStr">
        <is>
          <t>t</t>
        </is>
      </c>
      <c r="H2930" t="n">
        <v>5</v>
      </c>
      <c r="I2930" t="inlineStr">
        <is>
          <t>FFB - Nucleus 1.173 1.177 1.174</t>
        </is>
      </c>
      <c r="J2930" t="inlineStr">
        <is>
          <t>High</t>
        </is>
      </c>
      <c r="M2930" t="inlineStr">
        <is>
          <t>LLM</t>
        </is>
      </c>
      <c r="N2930" t="inlineStr">
        <is>
          <t>2026-04-18</t>
        </is>
      </c>
      <c r="O2930" t="inlineStr">
        <is>
          <t>AI</t>
        </is>
      </c>
    </row>
    <row r="2931">
      <c r="A2931" t="inlineStr">
        <is>
          <t>PT Perusahaan Perkebunan London Sumatra Indonesia Tbk</t>
        </is>
      </c>
      <c r="B2931" t="inlineStr">
        <is>
          <t>LSIP_2024_AR.pdf</t>
        </is>
      </c>
      <c r="C2931" t="n">
        <v>2024</v>
      </c>
      <c r="D2931" t="inlineStr">
        <is>
          <t>Operation</t>
        </is>
      </c>
      <c r="E2931" t="inlineStr">
        <is>
          <t>FFB from External (Third-Party)</t>
        </is>
      </c>
      <c r="F2931" t="n">
        <v>172000</v>
      </c>
      <c r="G2931" t="inlineStr">
        <is>
          <t>t</t>
        </is>
      </c>
      <c r="H2931" t="n">
        <v>35</v>
      </c>
      <c r="I2931" t="inlineStr">
        <is>
          <t>FFB from external reached 172,000 tonnes in 2024, down 14% compared to 201,000 tonnes in 2023</t>
        </is>
      </c>
      <c r="J2931" t="inlineStr">
        <is>
          <t>High</t>
        </is>
      </c>
      <c r="M2931" t="inlineStr">
        <is>
          <t>LLM</t>
        </is>
      </c>
      <c r="N2931" t="inlineStr">
        <is>
          <t>2026-04-18</t>
        </is>
      </c>
      <c r="O2931" t="inlineStr">
        <is>
          <t>AI</t>
        </is>
      </c>
    </row>
    <row r="2932">
      <c r="A2932" t="inlineStr">
        <is>
          <t>PT Perusahaan Perkebunan London Sumatra Indonesia Tbk</t>
        </is>
      </c>
      <c r="B2932" t="inlineStr">
        <is>
          <t>LSIP_2024_AR.pdf</t>
        </is>
      </c>
      <c r="C2932" t="n">
        <v>2024</v>
      </c>
      <c r="D2932" t="inlineStr">
        <is>
          <t>Operation</t>
        </is>
      </c>
      <c r="E2932" t="inlineStr">
        <is>
          <t>CPO Production</t>
        </is>
      </c>
      <c r="F2932" t="n">
        <v>287000</v>
      </c>
      <c r="G2932" t="inlineStr">
        <is>
          <t>t</t>
        </is>
      </c>
      <c r="H2932" t="n">
        <v>5</v>
      </c>
      <c r="I2932" t="inlineStr">
        <is>
          <t>Crude Palm Oil (CPO) 287 294 306</t>
        </is>
      </c>
      <c r="J2932" t="inlineStr">
        <is>
          <t>High</t>
        </is>
      </c>
      <c r="M2932" t="inlineStr">
        <is>
          <t>LLM</t>
        </is>
      </c>
      <c r="N2932" t="inlineStr">
        <is>
          <t>2026-04-18</t>
        </is>
      </c>
      <c r="O2932" t="inlineStr">
        <is>
          <t>AI</t>
        </is>
      </c>
    </row>
    <row r="2933">
      <c r="A2933" t="inlineStr">
        <is>
          <t>PT Perusahaan Perkebunan London Sumatra Indonesia Tbk</t>
        </is>
      </c>
      <c r="B2933" t="inlineStr">
        <is>
          <t>LSIP_2024_AR.pdf</t>
        </is>
      </c>
      <c r="C2933" t="n">
        <v>2024</v>
      </c>
      <c r="D2933" t="inlineStr">
        <is>
          <t>Operation</t>
        </is>
      </c>
      <c r="E2933" t="inlineStr">
        <is>
          <t>Palm Kernel Production</t>
        </is>
      </c>
      <c r="F2933" t="n">
        <v>82000</v>
      </c>
      <c r="G2933" t="inlineStr">
        <is>
          <t>t</t>
        </is>
      </c>
      <c r="H2933" t="n">
        <v>5</v>
      </c>
      <c r="I2933" t="inlineStr">
        <is>
          <t>Palm Kernel (PK) 82 87 88</t>
        </is>
      </c>
      <c r="J2933" t="inlineStr">
        <is>
          <t>High</t>
        </is>
      </c>
      <c r="M2933" t="inlineStr">
        <is>
          <t>LLM</t>
        </is>
      </c>
      <c r="N2933" t="inlineStr">
        <is>
          <t>2026-04-18</t>
        </is>
      </c>
      <c r="O2933" t="inlineStr">
        <is>
          <t>AI</t>
        </is>
      </c>
    </row>
    <row r="2934">
      <c r="A2934" t="inlineStr">
        <is>
          <t>PT Perusahaan Perkebunan London Sumatra Indonesia Tbk</t>
        </is>
      </c>
      <c r="B2934" t="inlineStr">
        <is>
          <t>LSIP_2024_AR.pdf</t>
        </is>
      </c>
      <c r="C2934" t="n">
        <v>2024</v>
      </c>
      <c r="D2934" t="inlineStr">
        <is>
          <t>Operation</t>
        </is>
      </c>
      <c r="E2934" t="inlineStr">
        <is>
          <t>Oil Palm Seeds Production</t>
        </is>
      </c>
      <c r="F2934" t="n">
        <v>8100000</v>
      </c>
      <c r="G2934" t="inlineStr">
        <is>
          <t>units</t>
        </is>
      </c>
      <c r="H2934" t="n">
        <v>5</v>
      </c>
      <c r="I2934" t="inlineStr">
        <is>
          <t>Oil Palm Seeds (million units) 8,1 7,9 7,1</t>
        </is>
      </c>
      <c r="J2934" t="inlineStr">
        <is>
          <t>High</t>
        </is>
      </c>
      <c r="M2934" t="inlineStr">
        <is>
          <t>LLM</t>
        </is>
      </c>
      <c r="N2934" t="inlineStr">
        <is>
          <t>2026-04-18</t>
        </is>
      </c>
      <c r="O2934" t="inlineStr">
        <is>
          <t>AI</t>
        </is>
      </c>
    </row>
    <row r="2935">
      <c r="A2935" t="inlineStr">
        <is>
          <t>PT Perusahaan Perkebunan London Sumatra Indonesia Tbk</t>
        </is>
      </c>
      <c r="B2935" t="inlineStr">
        <is>
          <t>LSIP_2024_AR.pdf</t>
        </is>
      </c>
      <c r="C2935" t="n">
        <v>2024</v>
      </c>
      <c r="D2935" t="inlineStr">
        <is>
          <t>Operation</t>
        </is>
      </c>
      <c r="E2935" t="inlineStr">
        <is>
          <t>Rubber Production</t>
        </is>
      </c>
      <c r="F2935" t="n">
        <v>4800</v>
      </c>
      <c r="G2935" t="inlineStr">
        <is>
          <t>t</t>
        </is>
      </c>
      <c r="H2935" t="n">
        <v>5</v>
      </c>
      <c r="I2935" t="inlineStr">
        <is>
          <t>Rubber 4,8 4,7 5,2 (thousand tonnes)</t>
        </is>
      </c>
      <c r="J2935" t="inlineStr">
        <is>
          <t>High</t>
        </is>
      </c>
      <c r="M2935" t="inlineStr">
        <is>
          <t>LLM</t>
        </is>
      </c>
      <c r="N2935" t="inlineStr">
        <is>
          <t>2026-04-18</t>
        </is>
      </c>
      <c r="O2935" t="inlineStr">
        <is>
          <t>AI</t>
        </is>
      </c>
    </row>
    <row r="2936">
      <c r="A2936" t="inlineStr">
        <is>
          <t>PT Perusahaan Perkebunan London Sumatra Indonesia Tbk</t>
        </is>
      </c>
      <c r="B2936" t="inlineStr">
        <is>
          <t>LSIP_2024_AR.pdf</t>
        </is>
      </c>
      <c r="C2936" t="n">
        <v>2024</v>
      </c>
      <c r="D2936" t="inlineStr">
        <is>
          <t>Operation</t>
        </is>
      </c>
      <c r="E2936" t="inlineStr">
        <is>
          <t>Cocoa Production</t>
        </is>
      </c>
      <c r="F2936" t="n">
        <v>753</v>
      </c>
      <c r="G2936" t="inlineStr">
        <is>
          <t>t</t>
        </is>
      </c>
      <c r="H2936" t="n">
        <v>5</v>
      </c>
      <c r="I2936" t="inlineStr">
        <is>
          <t>Cocoa (tonnes) 753 416 487</t>
        </is>
      </c>
      <c r="J2936" t="inlineStr">
        <is>
          <t>High</t>
        </is>
      </c>
      <c r="M2936" t="inlineStr">
        <is>
          <t>LLM</t>
        </is>
      </c>
      <c r="N2936" t="inlineStr">
        <is>
          <t>2026-04-18</t>
        </is>
      </c>
      <c r="O2936" t="inlineStr">
        <is>
          <t>AI</t>
        </is>
      </c>
    </row>
    <row r="2937">
      <c r="A2937" t="inlineStr">
        <is>
          <t>PT Perusahaan Perkebunan London Sumatra Indonesia Tbk</t>
        </is>
      </c>
      <c r="B2937" t="inlineStr">
        <is>
          <t>LSIP_2024_AR.pdf</t>
        </is>
      </c>
      <c r="C2937" t="n">
        <v>2024</v>
      </c>
      <c r="D2937" t="inlineStr">
        <is>
          <t>Operation</t>
        </is>
      </c>
      <c r="E2937" t="inlineStr">
        <is>
          <t>Tea Production</t>
        </is>
      </c>
      <c r="F2937" t="n">
        <v>812</v>
      </c>
      <c r="G2937" t="inlineStr">
        <is>
          <t>t</t>
        </is>
      </c>
      <c r="H2937" t="n">
        <v>5</v>
      </c>
      <c r="I2937" t="inlineStr">
        <is>
          <t>Tea (tonnes) 812 754 972</t>
        </is>
      </c>
      <c r="J2937" t="inlineStr">
        <is>
          <t>High</t>
        </is>
      </c>
      <c r="M2937" t="inlineStr">
        <is>
          <t>LLM</t>
        </is>
      </c>
      <c r="N2937" t="inlineStr">
        <is>
          <t>2026-04-18</t>
        </is>
      </c>
      <c r="O2937" t="inlineStr">
        <is>
          <t>AI</t>
        </is>
      </c>
    </row>
    <row r="2938">
      <c r="A2938" t="inlineStr">
        <is>
          <t>PT Perusahaan Perkebunan London Sumatra Indonesia Tbk</t>
        </is>
      </c>
      <c r="B2938" t="inlineStr">
        <is>
          <t>LSIP_2024_AR.pdf</t>
        </is>
      </c>
      <c r="C2938" t="n">
        <v>2024</v>
      </c>
      <c r="D2938" t="inlineStr">
        <is>
          <t>Operation</t>
        </is>
      </c>
      <c r="E2938" t="inlineStr">
        <is>
          <t>CPO Sales Volume</t>
        </is>
      </c>
      <c r="F2938" t="n">
        <v>280000</v>
      </c>
      <c r="G2938" t="inlineStr">
        <is>
          <t>t</t>
        </is>
      </c>
      <c r="H2938" t="n">
        <v>5</v>
      </c>
      <c r="I2938" t="inlineStr">
        <is>
          <t>CPO 280 303 286 (sales volume thousand tonnes)</t>
        </is>
      </c>
      <c r="J2938" t="inlineStr">
        <is>
          <t>High</t>
        </is>
      </c>
      <c r="M2938" t="inlineStr">
        <is>
          <t>LLM</t>
        </is>
      </c>
      <c r="N2938" t="inlineStr">
        <is>
          <t>2026-04-18</t>
        </is>
      </c>
      <c r="O2938" t="inlineStr">
        <is>
          <t>AI</t>
        </is>
      </c>
    </row>
    <row r="2939">
      <c r="A2939" t="inlineStr">
        <is>
          <t>PT Perusahaan Perkebunan London Sumatra Indonesia Tbk</t>
        </is>
      </c>
      <c r="B2939" t="inlineStr">
        <is>
          <t>LSIP_2024_AR.pdf</t>
        </is>
      </c>
      <c r="C2939" t="n">
        <v>2024</v>
      </c>
      <c r="D2939" t="inlineStr">
        <is>
          <t>Operation</t>
        </is>
      </c>
      <c r="E2939" t="inlineStr">
        <is>
          <t>PK Products Sales Volume</t>
        </is>
      </c>
      <c r="F2939" t="n">
        <v>77000</v>
      </c>
      <c r="G2939" t="inlineStr">
        <is>
          <t>t</t>
        </is>
      </c>
      <c r="H2939" t="n">
        <v>5</v>
      </c>
      <c r="I2939" t="inlineStr">
        <is>
          <t>PK and PK Related Products 77 105 100</t>
        </is>
      </c>
      <c r="J2939" t="inlineStr">
        <is>
          <t>High</t>
        </is>
      </c>
      <c r="M2939" t="inlineStr">
        <is>
          <t>LLM</t>
        </is>
      </c>
      <c r="N2939" t="inlineStr">
        <is>
          <t>2026-04-18</t>
        </is>
      </c>
      <c r="O2939" t="inlineStr">
        <is>
          <t>AI</t>
        </is>
      </c>
    </row>
    <row r="2940">
      <c r="A2940" t="inlineStr">
        <is>
          <t>PT Perusahaan Perkebunan London Sumatra Indonesia Tbk</t>
        </is>
      </c>
      <c r="B2940" t="inlineStr">
        <is>
          <t>LSIP_2024_AR.pdf</t>
        </is>
      </c>
      <c r="C2940" t="n">
        <v>2024</v>
      </c>
      <c r="D2940" t="inlineStr">
        <is>
          <t>Operation</t>
        </is>
      </c>
      <c r="E2940" t="inlineStr">
        <is>
          <t>Oil Palm Seeds Sales</t>
        </is>
      </c>
      <c r="F2940" t="n">
        <v>7500000</v>
      </c>
      <c r="G2940" t="inlineStr">
        <is>
          <t>units</t>
        </is>
      </c>
      <c r="H2940" t="n">
        <v>5</v>
      </c>
      <c r="I2940" t="inlineStr">
        <is>
          <t>Oil Palm Seeds (million units) 7,5 7,7 6,4</t>
        </is>
      </c>
      <c r="J2940" t="inlineStr">
        <is>
          <t>High</t>
        </is>
      </c>
      <c r="M2940" t="inlineStr">
        <is>
          <t>LLM</t>
        </is>
      </c>
      <c r="N2940" t="inlineStr">
        <is>
          <t>2026-04-18</t>
        </is>
      </c>
      <c r="O2940" t="inlineStr">
        <is>
          <t>AI</t>
        </is>
      </c>
    </row>
    <row r="2941">
      <c r="A2941" t="inlineStr">
        <is>
          <t>PT Perusahaan Perkebunan London Sumatra Indonesia Tbk</t>
        </is>
      </c>
      <c r="B2941" t="inlineStr">
        <is>
          <t>LSIP_2024_AR.pdf</t>
        </is>
      </c>
      <c r="C2941" t="n">
        <v>2024</v>
      </c>
      <c r="D2941" t="inlineStr">
        <is>
          <t>Operation</t>
        </is>
      </c>
      <c r="E2941" t="inlineStr">
        <is>
          <t>Rubber Sales Volume</t>
        </is>
      </c>
      <c r="F2941" t="n">
        <v>4600</v>
      </c>
      <c r="G2941" t="inlineStr">
        <is>
          <t>t</t>
        </is>
      </c>
      <c r="H2941" t="n">
        <v>5</v>
      </c>
      <c r="I2941" t="inlineStr">
        <is>
          <t>Rubber 4,6 5,1 5,8</t>
        </is>
      </c>
      <c r="J2941" t="inlineStr">
        <is>
          <t>High</t>
        </is>
      </c>
      <c r="M2941" t="inlineStr">
        <is>
          <t>LLM</t>
        </is>
      </c>
      <c r="N2941" t="inlineStr">
        <is>
          <t>2026-04-18</t>
        </is>
      </c>
      <c r="O2941" t="inlineStr">
        <is>
          <t>AI</t>
        </is>
      </c>
    </row>
    <row r="2942">
      <c r="A2942" t="inlineStr">
        <is>
          <t>PT Perusahaan Perkebunan London Sumatra Indonesia Tbk</t>
        </is>
      </c>
      <c r="B2942" t="inlineStr">
        <is>
          <t>LSIP_2024_AR.pdf</t>
        </is>
      </c>
      <c r="C2942" t="n">
        <v>2024</v>
      </c>
      <c r="D2942" t="inlineStr">
        <is>
          <t>Operation</t>
        </is>
      </c>
      <c r="E2942" t="inlineStr">
        <is>
          <t>CPO Price (KPB Domestic avg)</t>
        </is>
      </c>
      <c r="F2942" t="n">
        <v>13190</v>
      </c>
      <c r="G2942" t="inlineStr">
        <is>
          <t>Rp/kg</t>
        </is>
      </c>
      <c r="H2942" t="n">
        <v>16</v>
      </c>
      <c r="I2942" t="inlineStr">
        <is>
          <t>domestic CPO prices (KPB) rose 17% to an average of Rp13,190 per kg</t>
        </is>
      </c>
      <c r="J2942" t="inlineStr">
        <is>
          <t>High</t>
        </is>
      </c>
      <c r="M2942" t="inlineStr">
        <is>
          <t>LLM</t>
        </is>
      </c>
      <c r="N2942" t="inlineStr">
        <is>
          <t>2026-04-18</t>
        </is>
      </c>
      <c r="O2942" t="inlineStr">
        <is>
          <t>AI</t>
        </is>
      </c>
    </row>
    <row r="2943">
      <c r="A2943" t="inlineStr">
        <is>
          <t>PT Perusahaan Perkebunan London Sumatra Indonesia Tbk</t>
        </is>
      </c>
      <c r="B2943" t="inlineStr">
        <is>
          <t>LSIP_2024_AR.pdf</t>
        </is>
      </c>
      <c r="C2943" t="n">
        <v>2024</v>
      </c>
      <c r="D2943" t="inlineStr">
        <is>
          <t>Operation</t>
        </is>
      </c>
      <c r="E2943" t="inlineStr">
        <is>
          <t>CPO Price (CIF Rotterdam avg)</t>
        </is>
      </c>
      <c r="F2943" t="n">
        <v>1113</v>
      </c>
      <c r="G2943" t="inlineStr">
        <is>
          <t>USD/t</t>
        </is>
      </c>
      <c r="H2943" t="n">
        <v>16</v>
      </c>
      <c r="I2943" t="inlineStr">
        <is>
          <t>international CPO prices (CIF Rotterdam) surged by 15% to an average of USD 1,113 per tonne</t>
        </is>
      </c>
      <c r="J2943" t="inlineStr">
        <is>
          <t>High</t>
        </is>
      </c>
      <c r="M2943" t="inlineStr">
        <is>
          <t>LLM</t>
        </is>
      </c>
      <c r="N2943" t="inlineStr">
        <is>
          <t>2026-04-18</t>
        </is>
      </c>
      <c r="O2943" t="inlineStr">
        <is>
          <t>AI</t>
        </is>
      </c>
    </row>
    <row r="2944">
      <c r="A2944" t="inlineStr">
        <is>
          <t>PT Perusahaan Perkebunan London Sumatra Indonesia Tbk</t>
        </is>
      </c>
      <c r="B2944" t="inlineStr">
        <is>
          <t>LSIP_2024_AR.pdf</t>
        </is>
      </c>
      <c r="C2944" t="n">
        <v>2024</v>
      </c>
      <c r="D2944" t="inlineStr">
        <is>
          <t>ESG</t>
        </is>
      </c>
      <c r="E2944" t="inlineStr">
        <is>
          <t>ISPO-Certified CPO Production</t>
        </is>
      </c>
      <c r="F2944" t="n">
        <v>247000</v>
      </c>
      <c r="G2944" t="inlineStr">
        <is>
          <t>t</t>
        </is>
      </c>
      <c r="H2944" t="n">
        <v>17</v>
      </c>
      <c r="I2944" t="inlineStr">
        <is>
          <t>Lonsum's ISPO-certified CPO production reached 247,000 tonnes or 97% of total nucleus CPO production</t>
        </is>
      </c>
      <c r="J2944" t="inlineStr">
        <is>
          <t>High</t>
        </is>
      </c>
      <c r="M2944" t="inlineStr">
        <is>
          <t>LLM</t>
        </is>
      </c>
      <c r="N2944" t="inlineStr">
        <is>
          <t>2026-04-18</t>
        </is>
      </c>
      <c r="O2944" t="inlineStr">
        <is>
          <t>AI</t>
        </is>
      </c>
    </row>
    <row r="2945">
      <c r="A2945" t="inlineStr">
        <is>
          <t>PT Perusahaan Perkebunan London Sumatra Indonesia Tbk</t>
        </is>
      </c>
      <c r="B2945" t="inlineStr">
        <is>
          <t>LSIP_2024_AR.pdf</t>
        </is>
      </c>
      <c r="C2945" t="n">
        <v>2024</v>
      </c>
      <c r="D2945" t="inlineStr">
        <is>
          <t>ESG</t>
        </is>
      </c>
      <c r="E2945" t="inlineStr">
        <is>
          <t>ISPO Certification Share of Nucleus CPO</t>
        </is>
      </c>
      <c r="F2945" t="n">
        <v>0.97</v>
      </c>
      <c r="G2945" t="inlineStr">
        <is>
          <t>%</t>
        </is>
      </c>
      <c r="H2945" t="n">
        <v>17</v>
      </c>
      <c r="I2945" t="inlineStr">
        <is>
          <t>247,000 tonnes or 97% of total nucleus CPO production</t>
        </is>
      </c>
      <c r="J2945" t="inlineStr">
        <is>
          <t>High</t>
        </is>
      </c>
      <c r="M2945" t="inlineStr">
        <is>
          <t>LLM</t>
        </is>
      </c>
      <c r="N2945" t="inlineStr">
        <is>
          <t>2026-04-18</t>
        </is>
      </c>
      <c r="O2945" t="inlineStr">
        <is>
          <t>AI</t>
        </is>
      </c>
    </row>
    <row r="2946">
      <c r="A2946" t="inlineStr">
        <is>
          <t>PT Perusahaan Perkebunan London Sumatra Indonesia Tbk</t>
        </is>
      </c>
      <c r="B2946" t="inlineStr">
        <is>
          <t>LSIP_2024_AR.pdf</t>
        </is>
      </c>
      <c r="C2946" t="n">
        <v>2024</v>
      </c>
      <c r="D2946" t="inlineStr">
        <is>
          <t>Operation</t>
        </is>
      </c>
      <c r="E2946" t="inlineStr">
        <is>
          <t>Avg Collection Period</t>
        </is>
      </c>
      <c r="F2946" t="n">
        <v>22</v>
      </c>
      <c r="G2946" t="inlineStr">
        <is>
          <t>days</t>
        </is>
      </c>
      <c r="H2946" t="n">
        <v>30</v>
      </c>
      <c r="I2946" t="inlineStr">
        <is>
          <t>Average collection period ratio was 22 days in 2024, compared to 11 days in 2023</t>
        </is>
      </c>
      <c r="J2946" t="inlineStr">
        <is>
          <t>High</t>
        </is>
      </c>
      <c r="M2946" t="inlineStr">
        <is>
          <t>LLM</t>
        </is>
      </c>
      <c r="N2946" t="inlineStr">
        <is>
          <t>2026-04-18</t>
        </is>
      </c>
      <c r="O2946" t="inlineStr">
        <is>
          <t>AI</t>
        </is>
      </c>
    </row>
    <row r="2947">
      <c r="A2947" t="inlineStr">
        <is>
          <t>PT Multi Agro Gemilang Plantation Tbk</t>
        </is>
      </c>
      <c r="B2947" t="inlineStr">
        <is>
          <t>MAGP_2022_AR.pdf</t>
        </is>
      </c>
      <c r="C2947" t="n">
        <v>2022</v>
      </c>
      <c r="D2947" t="inlineStr">
        <is>
          <t>Company</t>
        </is>
      </c>
      <c r="E2947" t="inlineStr">
        <is>
          <t>Company Name</t>
        </is>
      </c>
      <c r="F2947" t="inlineStr">
        <is>
          <t>PT Multi Agro Gemilang Plantation Tbk</t>
        </is>
      </c>
      <c r="G2947" t="inlineStr">
        <is>
          <t>text</t>
        </is>
      </c>
      <c r="H2947" t="n">
        <v>1</v>
      </c>
      <c r="I2947" t="inlineStr">
        <is>
          <t>PT MULTI AGRO GEMILANG PLANTATION Tbk DAN ENTITAS ANAK</t>
        </is>
      </c>
      <c r="J2947" t="inlineStr">
        <is>
          <t>High</t>
        </is>
      </c>
      <c r="M2947" t="inlineStr">
        <is>
          <t>LLM</t>
        </is>
      </c>
      <c r="N2947" t="inlineStr">
        <is>
          <t>2026-04-18</t>
        </is>
      </c>
      <c r="O2947" t="inlineStr">
        <is>
          <t>AI</t>
        </is>
      </c>
    </row>
    <row r="2948">
      <c r="A2948" t="inlineStr">
        <is>
          <t>PT Multi Agro Gemilang Plantation Tbk</t>
        </is>
      </c>
      <c r="B2948" t="inlineStr">
        <is>
          <t>MAGP_2022_AR.pdf</t>
        </is>
      </c>
      <c r="C2948" t="n">
        <v>2022</v>
      </c>
      <c r="D2948" t="inlineStr">
        <is>
          <t>Company</t>
        </is>
      </c>
      <c r="E2948" t="inlineStr">
        <is>
          <t>Period Type</t>
        </is>
      </c>
      <c r="F2948" t="inlineStr">
        <is>
          <t>Q1 2022 Interim (3 months to March 31, 2022)</t>
        </is>
      </c>
      <c r="G2948" t="inlineStr">
        <is>
          <t>text</t>
        </is>
      </c>
      <c r="H2948" t="n">
        <v>1</v>
      </c>
      <c r="I2948" t="inlineStr">
        <is>
          <t>LAPORAN KEUANGAN KONSOLIDASIAN UNTUK PERIODE YANG BERAKHIR PADA TANGGAL 31 MARET 2022</t>
        </is>
      </c>
      <c r="J2948" t="inlineStr">
        <is>
          <t>High</t>
        </is>
      </c>
      <c r="M2948" t="inlineStr">
        <is>
          <t>LLM</t>
        </is>
      </c>
      <c r="N2948" t="inlineStr">
        <is>
          <t>2026-04-18</t>
        </is>
      </c>
      <c r="O2948" t="inlineStr">
        <is>
          <t>AI</t>
        </is>
      </c>
    </row>
    <row r="2949">
      <c r="A2949" t="inlineStr">
        <is>
          <t>PT Multi Agro Gemilang Plantation Tbk</t>
        </is>
      </c>
      <c r="B2949" t="inlineStr">
        <is>
          <t>MAGP_2022_AR.pdf</t>
        </is>
      </c>
      <c r="C2949" t="n">
        <v>2022</v>
      </c>
      <c r="D2949" t="inlineStr">
        <is>
          <t>Company</t>
        </is>
      </c>
      <c r="E2949" t="inlineStr">
        <is>
          <t>Head Office</t>
        </is>
      </c>
      <c r="F2949" t="inlineStr">
        <is>
          <t>Gedung Bank Panin Pusat Lantai 2, Jalan Jenderal Sudirman Kav 1, Jakarta Pusat</t>
        </is>
      </c>
      <c r="G2949" t="inlineStr">
        <is>
          <t>text</t>
        </is>
      </c>
      <c r="H2949" t="n">
        <v>9</v>
      </c>
      <c r="I2949" t="inlineStr">
        <is>
          <t>Kantor pusat Perusahaan berlokasi di Gedung Bank Panin Pusat Lantai 2</t>
        </is>
      </c>
      <c r="J2949" t="inlineStr">
        <is>
          <t>High</t>
        </is>
      </c>
      <c r="M2949" t="inlineStr">
        <is>
          <t>LLM</t>
        </is>
      </c>
      <c r="N2949" t="inlineStr">
        <is>
          <t>2026-04-18</t>
        </is>
      </c>
      <c r="O2949" t="inlineStr">
        <is>
          <t>AI</t>
        </is>
      </c>
    </row>
    <row r="2950">
      <c r="A2950" t="inlineStr">
        <is>
          <t>PT Multi Agro Gemilang Plantation Tbk</t>
        </is>
      </c>
      <c r="B2950" t="inlineStr">
        <is>
          <t>MAGP_2022_AR.pdf</t>
        </is>
      </c>
      <c r="C2950" t="n">
        <v>2022</v>
      </c>
      <c r="D2950" t="inlineStr">
        <is>
          <t>Company</t>
        </is>
      </c>
      <c r="E2950" t="inlineStr">
        <is>
          <t>Commercial Operations Started</t>
        </is>
      </c>
      <c r="F2950" t="n">
        <v>2005</v>
      </c>
      <c r="G2950" t="inlineStr">
        <is>
          <t>year</t>
        </is>
      </c>
      <c r="H2950" t="n">
        <v>9</v>
      </c>
      <c r="I2950" t="inlineStr">
        <is>
          <t>Perusahaan mulai beroperasi komersial pada tahun 2005</t>
        </is>
      </c>
      <c r="J2950" t="inlineStr">
        <is>
          <t>High</t>
        </is>
      </c>
      <c r="M2950" t="inlineStr">
        <is>
          <t>LLM</t>
        </is>
      </c>
      <c r="N2950" t="inlineStr">
        <is>
          <t>2026-04-18</t>
        </is>
      </c>
      <c r="O2950" t="inlineStr">
        <is>
          <t>AI</t>
        </is>
      </c>
    </row>
    <row r="2951">
      <c r="A2951" t="inlineStr">
        <is>
          <t>PT Multi Agro Gemilang Plantation Tbk</t>
        </is>
      </c>
      <c r="B2951" t="inlineStr">
        <is>
          <t>MAGP_2022_AR.pdf</t>
        </is>
      </c>
      <c r="C2951" t="n">
        <v>2022</v>
      </c>
      <c r="D2951" t="inlineStr">
        <is>
          <t>Company</t>
        </is>
      </c>
      <c r="E2951" t="inlineStr">
        <is>
          <t>Parent Entity</t>
        </is>
      </c>
      <c r="F2951" t="inlineStr">
        <is>
          <t>PT Santika Griya Persada</t>
        </is>
      </c>
      <c r="G2951" t="inlineStr">
        <is>
          <t>text</t>
        </is>
      </c>
      <c r="H2951" t="n">
        <v>9</v>
      </c>
      <c r="I2951" t="inlineStr">
        <is>
          <t>PT Santika Griya Persada merupakan entitas induk Perusahaan</t>
        </is>
      </c>
      <c r="J2951" t="inlineStr">
        <is>
          <t>High</t>
        </is>
      </c>
      <c r="M2951" t="inlineStr">
        <is>
          <t>LLM</t>
        </is>
      </c>
      <c r="N2951" t="inlineStr">
        <is>
          <t>2026-04-18</t>
        </is>
      </c>
      <c r="O2951" t="inlineStr">
        <is>
          <t>AI</t>
        </is>
      </c>
    </row>
    <row r="2952">
      <c r="A2952" t="inlineStr">
        <is>
          <t>PT Multi Agro Gemilang Plantation Tbk</t>
        </is>
      </c>
      <c r="B2952" t="inlineStr">
        <is>
          <t>MAGP_2022_AR.pdf</t>
        </is>
      </c>
      <c r="C2952" t="n">
        <v>2022</v>
      </c>
      <c r="D2952" t="inlineStr">
        <is>
          <t>Company</t>
        </is>
      </c>
      <c r="E2952" t="inlineStr">
        <is>
          <t>Ultimate Shareholder</t>
        </is>
      </c>
      <c r="F2952" t="inlineStr">
        <is>
          <t>Bobby Alianto</t>
        </is>
      </c>
      <c r="G2952" t="inlineStr">
        <is>
          <t>text</t>
        </is>
      </c>
      <c r="H2952" t="n">
        <v>9</v>
      </c>
      <c r="I2952" t="inlineStr">
        <is>
          <t>Bobby Alianto merupakan pemegang saham akhir Perusahaan</t>
        </is>
      </c>
      <c r="J2952" t="inlineStr">
        <is>
          <t>High</t>
        </is>
      </c>
      <c r="M2952" t="inlineStr">
        <is>
          <t>LLM</t>
        </is>
      </c>
      <c r="N2952" t="inlineStr">
        <is>
          <t>2026-04-18</t>
        </is>
      </c>
      <c r="O2952" t="inlineStr">
        <is>
          <t>AI</t>
        </is>
      </c>
    </row>
    <row r="2953">
      <c r="A2953" t="inlineStr">
        <is>
          <t>PT Multi Agro Gemilang Plantation Tbk</t>
        </is>
      </c>
      <c r="B2953" t="inlineStr">
        <is>
          <t>MAGP_2022_AR.pdf</t>
        </is>
      </c>
      <c r="C2953" t="n">
        <v>2022</v>
      </c>
      <c r="D2953" t="inlineStr">
        <is>
          <t>Company</t>
        </is>
      </c>
      <c r="E2953" t="inlineStr">
        <is>
          <t>IPO Date</t>
        </is>
      </c>
      <c r="F2953" t="inlineStr">
        <is>
          <t>16-Jan-2013</t>
        </is>
      </c>
      <c r="G2953" t="inlineStr">
        <is>
          <t>date</t>
        </is>
      </c>
      <c r="H2953" t="n">
        <v>10</v>
      </c>
      <c r="I2953" t="inlineStr">
        <is>
          <t>Pada tanggal 16 Januari 2013, seluruh saham tersebut telah dicatat di Bursa Efek Indonesia</t>
        </is>
      </c>
      <c r="J2953" t="inlineStr">
        <is>
          <t>High</t>
        </is>
      </c>
      <c r="M2953" t="inlineStr">
        <is>
          <t>LLM</t>
        </is>
      </c>
      <c r="N2953" t="inlineStr">
        <is>
          <t>2026-04-18</t>
        </is>
      </c>
      <c r="O2953" t="inlineStr">
        <is>
          <t>AI</t>
        </is>
      </c>
    </row>
    <row r="2954">
      <c r="A2954" t="inlineStr">
        <is>
          <t>PT Multi Agro Gemilang Plantation Tbk</t>
        </is>
      </c>
      <c r="B2954" t="inlineStr">
        <is>
          <t>MAGP_2022_AR.pdf</t>
        </is>
      </c>
      <c r="C2954" t="n">
        <v>2022</v>
      </c>
      <c r="D2954" t="inlineStr">
        <is>
          <t>Company</t>
        </is>
      </c>
      <c r="E2954" t="inlineStr">
        <is>
          <t>IPO Shares</t>
        </is>
      </c>
      <c r="F2954" t="n">
        <v>4000000000</v>
      </c>
      <c r="G2954" t="inlineStr">
        <is>
          <t>shares</t>
        </is>
      </c>
      <c r="H2954" t="n">
        <v>10</v>
      </c>
      <c r="I2954" t="inlineStr">
        <is>
          <t>Penawaran Umum Saham Perdana (IPO) sejumlah 4,000,000,000 saham</t>
        </is>
      </c>
      <c r="J2954" t="inlineStr">
        <is>
          <t>High</t>
        </is>
      </c>
      <c r="M2954" t="inlineStr">
        <is>
          <t>LLM</t>
        </is>
      </c>
      <c r="N2954" t="inlineStr">
        <is>
          <t>2026-04-18</t>
        </is>
      </c>
      <c r="O2954" t="inlineStr">
        <is>
          <t>AI</t>
        </is>
      </c>
    </row>
    <row r="2955">
      <c r="A2955" t="inlineStr">
        <is>
          <t>PT Multi Agro Gemilang Plantation Tbk</t>
        </is>
      </c>
      <c r="B2955" t="inlineStr">
        <is>
          <t>MAGP_2022_AR.pdf</t>
        </is>
      </c>
      <c r="C2955" t="n">
        <v>2022</v>
      </c>
      <c r="D2955" t="inlineStr">
        <is>
          <t>Company</t>
        </is>
      </c>
      <c r="E2955" t="inlineStr">
        <is>
          <t>IPO Price</t>
        </is>
      </c>
      <c r="F2955" t="n">
        <v>110</v>
      </c>
      <c r="G2955" t="inlineStr">
        <is>
          <t>IDR/share</t>
        </is>
      </c>
      <c r="H2955" t="n">
        <v>10</v>
      </c>
      <c r="I2955" t="inlineStr">
        <is>
          <t>harga penawaran Rp 110 (nilai penuh) persaham</t>
        </is>
      </c>
      <c r="J2955" t="inlineStr">
        <is>
          <t>High</t>
        </is>
      </c>
      <c r="M2955" t="inlineStr">
        <is>
          <t>LLM</t>
        </is>
      </c>
      <c r="N2955" t="inlineStr">
        <is>
          <t>2026-04-18</t>
        </is>
      </c>
      <c r="O2955" t="inlineStr">
        <is>
          <t>AI</t>
        </is>
      </c>
    </row>
    <row r="2956">
      <c r="A2956" t="inlineStr">
        <is>
          <t>PT Multi Agro Gemilang Plantation Tbk</t>
        </is>
      </c>
      <c r="B2956" t="inlineStr">
        <is>
          <t>MAGP_2022_AR.pdf</t>
        </is>
      </c>
      <c r="C2956" t="n">
        <v>2022</v>
      </c>
      <c r="D2956" t="inlineStr">
        <is>
          <t>Company</t>
        </is>
      </c>
      <c r="E2956" t="inlineStr">
        <is>
          <t>Total Listed Shares</t>
        </is>
      </c>
      <c r="F2956" t="n">
        <v>9000000004</v>
      </c>
      <c r="G2956" t="inlineStr">
        <is>
          <t>shares</t>
        </is>
      </c>
      <c r="H2956" t="n">
        <v>10</v>
      </c>
      <c r="I2956" t="inlineStr">
        <is>
          <t>jumlah saham perusahaan yang dicatatkan di Bursa Efek Indonesia menjadi sebanyak 9,000,000,004 saham</t>
        </is>
      </c>
      <c r="J2956" t="inlineStr">
        <is>
          <t>High</t>
        </is>
      </c>
      <c r="M2956" t="inlineStr">
        <is>
          <t>LLM</t>
        </is>
      </c>
      <c r="N2956" t="inlineStr">
        <is>
          <t>2026-04-18</t>
        </is>
      </c>
      <c r="O2956" t="inlineStr">
        <is>
          <t>AI</t>
        </is>
      </c>
    </row>
    <row r="2957">
      <c r="A2957" t="inlineStr">
        <is>
          <t>PT Multi Agro Gemilang Plantation Tbk</t>
        </is>
      </c>
      <c r="B2957" t="inlineStr">
        <is>
          <t>MAGP_2022_AR.pdf</t>
        </is>
      </c>
      <c r="C2957" t="n">
        <v>2022</v>
      </c>
      <c r="D2957" t="inlineStr">
        <is>
          <t>Company</t>
        </is>
      </c>
      <c r="E2957" t="inlineStr">
        <is>
          <t>Employees</t>
        </is>
      </c>
      <c r="F2957" t="n">
        <v>220</v>
      </c>
      <c r="G2957" t="inlineStr">
        <is>
          <t>count</t>
        </is>
      </c>
      <c r="H2957" t="n">
        <v>10</v>
      </c>
      <c r="I2957" t="inlineStr">
        <is>
          <t>Perusahaan dan entitas anak mempunyai 220 karyawan tetap per 31 Maret 2022</t>
        </is>
      </c>
      <c r="J2957" t="inlineStr">
        <is>
          <t>High</t>
        </is>
      </c>
      <c r="M2957" t="inlineStr">
        <is>
          <t>LLM</t>
        </is>
      </c>
      <c r="N2957" t="inlineStr">
        <is>
          <t>2026-04-18</t>
        </is>
      </c>
      <c r="O2957" t="inlineStr">
        <is>
          <t>AI</t>
        </is>
      </c>
    </row>
    <row r="2958">
      <c r="A2958" t="inlineStr">
        <is>
          <t>PT Multi Agro Gemilang Plantation Tbk</t>
        </is>
      </c>
      <c r="B2958" t="inlineStr">
        <is>
          <t>MAGP_2022_AR.pdf</t>
        </is>
      </c>
      <c r="C2958" t="n">
        <v>2022</v>
      </c>
      <c r="D2958" t="inlineStr">
        <is>
          <t>Company</t>
        </is>
      </c>
      <c r="E2958" t="inlineStr">
        <is>
          <t>Subsidiary - PT Boswa Megalopolis</t>
        </is>
      </c>
      <c r="F2958" t="inlineStr">
        <is>
          <t>Aceh, 93.58%, est. 1982</t>
        </is>
      </c>
      <c r="G2958" t="inlineStr">
        <is>
          <t>text</t>
        </is>
      </c>
      <c r="H2958" t="n">
        <v>11</v>
      </c>
      <c r="I2958" t="inlineStr">
        <is>
          <t>PT Boswa Megalopolis Aceh Perkebunan 93.58% 1982 187,059,144,317</t>
        </is>
      </c>
      <c r="J2958" t="inlineStr">
        <is>
          <t>High</t>
        </is>
      </c>
      <c r="M2958" t="inlineStr">
        <is>
          <t>LLM</t>
        </is>
      </c>
      <c r="N2958" t="inlineStr">
        <is>
          <t>2026-04-18</t>
        </is>
      </c>
      <c r="O2958" t="inlineStr">
        <is>
          <t>AI</t>
        </is>
      </c>
    </row>
    <row r="2959">
      <c r="A2959" t="inlineStr">
        <is>
          <t>PT Multi Agro Gemilang Plantation Tbk</t>
        </is>
      </c>
      <c r="B2959" t="inlineStr">
        <is>
          <t>MAGP_2022_AR.pdf</t>
        </is>
      </c>
      <c r="C2959" t="n">
        <v>2022</v>
      </c>
      <c r="D2959" t="inlineStr">
        <is>
          <t>Company</t>
        </is>
      </c>
      <c r="E2959" t="inlineStr">
        <is>
          <t>Subsidiary - PT Bumi Orion Sawit Subur</t>
        </is>
      </c>
      <c r="F2959" t="inlineStr">
        <is>
          <t>Riau, 99.99%, est. 2008</t>
        </is>
      </c>
      <c r="G2959" t="inlineStr">
        <is>
          <t>text</t>
        </is>
      </c>
      <c r="H2959" t="n">
        <v>11</v>
      </c>
      <c r="I2959" t="inlineStr">
        <is>
          <t>PT Bumi Orion Sawit Subur Riau Perkebunan 99.99% 2008 469,196,038</t>
        </is>
      </c>
      <c r="J2959" t="inlineStr">
        <is>
          <t>High</t>
        </is>
      </c>
      <c r="M2959" t="inlineStr">
        <is>
          <t>LLM</t>
        </is>
      </c>
      <c r="N2959" t="inlineStr">
        <is>
          <t>2026-04-18</t>
        </is>
      </c>
      <c r="O2959" t="inlineStr">
        <is>
          <t>AI</t>
        </is>
      </c>
    </row>
    <row r="2960">
      <c r="A2960" t="inlineStr">
        <is>
          <t>PT Multi Agro Gemilang Plantation Tbk</t>
        </is>
      </c>
      <c r="B2960" t="inlineStr">
        <is>
          <t>MAGP_2022_AR.pdf</t>
        </is>
      </c>
      <c r="C2960" t="n">
        <v>2022</v>
      </c>
      <c r="D2960" t="inlineStr">
        <is>
          <t>Company</t>
        </is>
      </c>
      <c r="E2960" t="inlineStr">
        <is>
          <t>Subsidiary - PT Brent Multidaya</t>
        </is>
      </c>
      <c r="F2960" t="inlineStr">
        <is>
          <t>Kalimantan Barat, 99.99%, est. 2007</t>
        </is>
      </c>
      <c r="G2960" t="inlineStr">
        <is>
          <t>text</t>
        </is>
      </c>
      <c r="H2960" t="n">
        <v>11</v>
      </c>
      <c r="I2960" t="inlineStr">
        <is>
          <t>PT Brent Multidaya Kalimantan Barat Perkebunan 99.99% 2007 823,010,881</t>
        </is>
      </c>
      <c r="J2960" t="inlineStr">
        <is>
          <t>High</t>
        </is>
      </c>
      <c r="M2960" t="inlineStr">
        <is>
          <t>LLM</t>
        </is>
      </c>
      <c r="N2960" t="inlineStr">
        <is>
          <t>2026-04-18</t>
        </is>
      </c>
      <c r="O2960" t="inlineStr">
        <is>
          <t>AI</t>
        </is>
      </c>
    </row>
    <row r="2961">
      <c r="A2961" t="inlineStr">
        <is>
          <t>PT Multi Agro Gemilang Plantation Tbk</t>
        </is>
      </c>
      <c r="B2961" t="inlineStr">
        <is>
          <t>MAGP_2022_AR.pdf</t>
        </is>
      </c>
      <c r="C2961" t="n">
        <v>2022</v>
      </c>
      <c r="D2961" t="inlineStr">
        <is>
          <t>Company</t>
        </is>
      </c>
      <c r="E2961" t="inlineStr">
        <is>
          <t>Subsidiary - PT Meta Epsi Agro</t>
        </is>
      </c>
      <c r="F2961" t="inlineStr">
        <is>
          <t>Kalteng/Riau, 99.99%, est. 2007</t>
        </is>
      </c>
      <c r="G2961" t="inlineStr">
        <is>
          <t>text</t>
        </is>
      </c>
      <c r="H2961" t="n">
        <v>11</v>
      </c>
      <c r="I2961" t="inlineStr">
        <is>
          <t>PT Meta Epsi Agro Kalimantan Tengah/Riau Perkebunan 99.99% 2007 352,339,738,589</t>
        </is>
      </c>
      <c r="J2961" t="inlineStr">
        <is>
          <t>High</t>
        </is>
      </c>
      <c r="M2961" t="inlineStr">
        <is>
          <t>LLM</t>
        </is>
      </c>
      <c r="N2961" t="inlineStr">
        <is>
          <t>2026-04-18</t>
        </is>
      </c>
      <c r="O2961" t="inlineStr">
        <is>
          <t>AI</t>
        </is>
      </c>
    </row>
    <row r="2962">
      <c r="A2962" t="inlineStr">
        <is>
          <t>PT Multi Agro Gemilang Plantation Tbk</t>
        </is>
      </c>
      <c r="B2962" t="inlineStr">
        <is>
          <t>MAGP_2022_AR.pdf</t>
        </is>
      </c>
      <c r="C2962" t="n">
        <v>2022</v>
      </c>
      <c r="D2962" t="inlineStr">
        <is>
          <t>Company</t>
        </is>
      </c>
      <c r="E2962" t="inlineStr">
        <is>
          <t>Subsidiary - PT Sabut Mas Abadi</t>
        </is>
      </c>
      <c r="F2962" t="inlineStr">
        <is>
          <t>Kalteng, 99.99% via MEA, est. 2002</t>
        </is>
      </c>
      <c r="G2962" t="inlineStr">
        <is>
          <t>text</t>
        </is>
      </c>
      <c r="H2962" t="n">
        <v>11</v>
      </c>
      <c r="I2962" t="inlineStr">
        <is>
          <t>PT Sabut Mas Abadi Kalimantan Tengah Perkebunan, Pengolahan tandan buah segar 99.99% 2002 63,643,849,526</t>
        </is>
      </c>
      <c r="J2962" t="inlineStr">
        <is>
          <t>High</t>
        </is>
      </c>
      <c r="M2962" t="inlineStr">
        <is>
          <t>LLM</t>
        </is>
      </c>
      <c r="N2962" t="inlineStr">
        <is>
          <t>2026-04-18</t>
        </is>
      </c>
      <c r="O2962" t="inlineStr">
        <is>
          <t>AI</t>
        </is>
      </c>
    </row>
    <row r="2963">
      <c r="A2963" t="inlineStr">
        <is>
          <t>PT Multi Agro Gemilang Plantation Tbk</t>
        </is>
      </c>
      <c r="B2963" t="inlineStr">
        <is>
          <t>MAGP_2022_AR.pdf</t>
        </is>
      </c>
      <c r="C2963" t="n">
        <v>2022</v>
      </c>
      <c r="D2963" t="inlineStr">
        <is>
          <t>Financial</t>
        </is>
      </c>
      <c r="E2963" t="inlineStr">
        <is>
          <t>Revenue (Q1 2022)</t>
        </is>
      </c>
      <c r="F2963" t="n">
        <v>32.27</v>
      </c>
      <c r="G2963" t="inlineStr">
        <is>
          <t>IDR bn</t>
        </is>
      </c>
      <c r="H2963" t="n">
        <v>6</v>
      </c>
      <c r="I2963" t="inlineStr">
        <is>
          <t>PENJUALAN 32,269,704,270</t>
        </is>
      </c>
      <c r="J2963" t="inlineStr">
        <is>
          <t>High</t>
        </is>
      </c>
      <c r="M2963" t="inlineStr">
        <is>
          <t>LLM</t>
        </is>
      </c>
      <c r="N2963" t="inlineStr">
        <is>
          <t>2026-04-18</t>
        </is>
      </c>
      <c r="O2963" t="inlineStr">
        <is>
          <t>AI</t>
        </is>
      </c>
    </row>
    <row r="2964">
      <c r="A2964" t="inlineStr">
        <is>
          <t>PT Multi Agro Gemilang Plantation Tbk</t>
        </is>
      </c>
      <c r="B2964" t="inlineStr">
        <is>
          <t>MAGP_2022_AR.pdf</t>
        </is>
      </c>
      <c r="C2964" t="n">
        <v>2022</v>
      </c>
      <c r="D2964" t="inlineStr">
        <is>
          <t>Financial</t>
        </is>
      </c>
      <c r="E2964" t="inlineStr">
        <is>
          <t>Cost of Sales (Q1 2022)</t>
        </is>
      </c>
      <c r="F2964" t="n">
        <v>-35.7</v>
      </c>
      <c r="G2964" t="inlineStr">
        <is>
          <t>IDR bn</t>
        </is>
      </c>
      <c r="H2964" t="n">
        <v>6</v>
      </c>
      <c r="I2964" t="inlineStr">
        <is>
          <t>BEBAN POKOK PENJUALAN (35,701,382,161)</t>
        </is>
      </c>
      <c r="J2964" t="inlineStr">
        <is>
          <t>High</t>
        </is>
      </c>
      <c r="M2964" t="inlineStr">
        <is>
          <t>LLM</t>
        </is>
      </c>
      <c r="N2964" t="inlineStr">
        <is>
          <t>2026-04-18</t>
        </is>
      </c>
      <c r="O2964" t="inlineStr">
        <is>
          <t>AI</t>
        </is>
      </c>
    </row>
    <row r="2965">
      <c r="A2965" t="inlineStr">
        <is>
          <t>PT Multi Agro Gemilang Plantation Tbk</t>
        </is>
      </c>
      <c r="B2965" t="inlineStr">
        <is>
          <t>MAGP_2022_AR.pdf</t>
        </is>
      </c>
      <c r="C2965" t="n">
        <v>2022</v>
      </c>
      <c r="D2965" t="inlineStr">
        <is>
          <t>Financial</t>
        </is>
      </c>
      <c r="E2965" t="inlineStr">
        <is>
          <t>Gross Loss (Q1 2022)</t>
        </is>
      </c>
      <c r="F2965" t="n">
        <v>-3.43</v>
      </c>
      <c r="G2965" t="inlineStr">
        <is>
          <t>IDR bn</t>
        </is>
      </c>
      <c r="H2965" t="n">
        <v>6</v>
      </c>
      <c r="I2965" t="inlineStr">
        <is>
          <t>RUGI BRUTO (3,431,677,891)</t>
        </is>
      </c>
      <c r="J2965" t="inlineStr">
        <is>
          <t>High</t>
        </is>
      </c>
      <c r="M2965" t="inlineStr">
        <is>
          <t>LLM</t>
        </is>
      </c>
      <c r="N2965" t="inlineStr">
        <is>
          <t>2026-04-18</t>
        </is>
      </c>
      <c r="O2965" t="inlineStr">
        <is>
          <t>AI</t>
        </is>
      </c>
    </row>
    <row r="2966">
      <c r="A2966" t="inlineStr">
        <is>
          <t>PT Multi Agro Gemilang Plantation Tbk</t>
        </is>
      </c>
      <c r="B2966" t="inlineStr">
        <is>
          <t>MAGP_2022_AR.pdf</t>
        </is>
      </c>
      <c r="C2966" t="n">
        <v>2022</v>
      </c>
      <c r="D2966" t="inlineStr">
        <is>
          <t>Financial</t>
        </is>
      </c>
      <c r="E2966" t="inlineStr">
        <is>
          <t>G&amp;A Expenses (Q1 2022)</t>
        </is>
      </c>
      <c r="F2966" t="n">
        <v>-1.92</v>
      </c>
      <c r="G2966" t="inlineStr">
        <is>
          <t>IDR bn</t>
        </is>
      </c>
      <c r="H2966" t="n">
        <v>6</v>
      </c>
      <c r="I2966" t="inlineStr">
        <is>
          <t>Beban umum dan adminstrasi (1,917,947,031)</t>
        </is>
      </c>
      <c r="J2966" t="inlineStr">
        <is>
          <t>High</t>
        </is>
      </c>
      <c r="M2966" t="inlineStr">
        <is>
          <t>LLM</t>
        </is>
      </c>
      <c r="N2966" t="inlineStr">
        <is>
          <t>2026-04-18</t>
        </is>
      </c>
      <c r="O2966" t="inlineStr">
        <is>
          <t>AI</t>
        </is>
      </c>
    </row>
    <row r="2967">
      <c r="A2967" t="inlineStr">
        <is>
          <t>PT Multi Agro Gemilang Plantation Tbk</t>
        </is>
      </c>
      <c r="B2967" t="inlineStr">
        <is>
          <t>MAGP_2022_AR.pdf</t>
        </is>
      </c>
      <c r="C2967" t="n">
        <v>2022</v>
      </c>
      <c r="D2967" t="inlineStr">
        <is>
          <t>Financial</t>
        </is>
      </c>
      <c r="E2967" t="inlineStr">
        <is>
          <t>Financial Expense (Q1 2022)</t>
        </is>
      </c>
      <c r="F2967" t="n">
        <v>-6.37</v>
      </c>
      <c r="G2967" t="inlineStr">
        <is>
          <t>IDR bn</t>
        </is>
      </c>
      <c r="H2967" t="n">
        <v>6</v>
      </c>
      <c r="I2967" t="inlineStr">
        <is>
          <t>Beban keuangan (6,373,047,000)</t>
        </is>
      </c>
      <c r="J2967" t="inlineStr">
        <is>
          <t>High</t>
        </is>
      </c>
      <c r="M2967" t="inlineStr">
        <is>
          <t>LLM</t>
        </is>
      </c>
      <c r="N2967" t="inlineStr">
        <is>
          <t>2026-04-18</t>
        </is>
      </c>
      <c r="O2967" t="inlineStr">
        <is>
          <t>AI</t>
        </is>
      </c>
    </row>
    <row r="2968">
      <c r="A2968" t="inlineStr">
        <is>
          <t>PT Multi Agro Gemilang Plantation Tbk</t>
        </is>
      </c>
      <c r="B2968" t="inlineStr">
        <is>
          <t>MAGP_2022_AR.pdf</t>
        </is>
      </c>
      <c r="C2968" t="n">
        <v>2022</v>
      </c>
      <c r="D2968" t="inlineStr">
        <is>
          <t>Financial</t>
        </is>
      </c>
      <c r="E2968" t="inlineStr">
        <is>
          <t>Loss Before Tax (Q1 2022)</t>
        </is>
      </c>
      <c r="F2968" t="n">
        <v>-10.68</v>
      </c>
      <c r="G2968" t="inlineStr">
        <is>
          <t>IDR bn</t>
        </is>
      </c>
      <c r="H2968" t="n">
        <v>6</v>
      </c>
      <c r="I2968" t="inlineStr">
        <is>
          <t>RUGI SEBELUM PAJAK PENGHASILAN (10,679,698,885)</t>
        </is>
      </c>
      <c r="J2968" t="inlineStr">
        <is>
          <t>High</t>
        </is>
      </c>
      <c r="M2968" t="inlineStr">
        <is>
          <t>LLM</t>
        </is>
      </c>
      <c r="N2968" t="inlineStr">
        <is>
          <t>2026-04-18</t>
        </is>
      </c>
      <c r="O2968" t="inlineStr">
        <is>
          <t>AI</t>
        </is>
      </c>
    </row>
    <row r="2969">
      <c r="A2969" t="inlineStr">
        <is>
          <t>PT Multi Agro Gemilang Plantation Tbk</t>
        </is>
      </c>
      <c r="B2969" t="inlineStr">
        <is>
          <t>MAGP_2022_AR.pdf</t>
        </is>
      </c>
      <c r="C2969" t="n">
        <v>2022</v>
      </c>
      <c r="D2969" t="inlineStr">
        <is>
          <t>Financial</t>
        </is>
      </c>
      <c r="E2969" t="inlineStr">
        <is>
          <t>Net Loss for Period (Q1 2022)</t>
        </is>
      </c>
      <c r="F2969" t="n">
        <v>-10.68</v>
      </c>
      <c r="G2969" t="inlineStr">
        <is>
          <t>IDR bn</t>
        </is>
      </c>
      <c r="H2969" t="n">
        <v>6</v>
      </c>
      <c r="I2969" t="inlineStr">
        <is>
          <t>RUGI BERSIH TAHUN BERJALAN (10,679,698,885)</t>
        </is>
      </c>
      <c r="J2969" t="inlineStr">
        <is>
          <t>High</t>
        </is>
      </c>
      <c r="M2969" t="inlineStr">
        <is>
          <t>LLM</t>
        </is>
      </c>
      <c r="N2969" t="inlineStr">
        <is>
          <t>2026-04-18</t>
        </is>
      </c>
      <c r="O2969" t="inlineStr">
        <is>
          <t>AI</t>
        </is>
      </c>
    </row>
    <row r="2970">
      <c r="A2970" t="inlineStr">
        <is>
          <t>PT Multi Agro Gemilang Plantation Tbk</t>
        </is>
      </c>
      <c r="B2970" t="inlineStr">
        <is>
          <t>MAGP_2022_AR.pdf</t>
        </is>
      </c>
      <c r="C2970" t="n">
        <v>2022</v>
      </c>
      <c r="D2970" t="inlineStr">
        <is>
          <t>Financial</t>
        </is>
      </c>
      <c r="E2970" t="inlineStr">
        <is>
          <t>Loss attributable to parent</t>
        </is>
      </c>
      <c r="F2970" t="n">
        <v>-10.57</v>
      </c>
      <c r="G2970" t="inlineStr">
        <is>
          <t>IDR bn</t>
        </is>
      </c>
      <c r="H2970" t="n">
        <v>6</v>
      </c>
      <c r="I2970" t="inlineStr">
        <is>
          <t>Pemilik entitas induk (10,573,329,084)</t>
        </is>
      </c>
      <c r="J2970" t="inlineStr">
        <is>
          <t>High</t>
        </is>
      </c>
      <c r="M2970" t="inlineStr">
        <is>
          <t>LLM</t>
        </is>
      </c>
      <c r="N2970" t="inlineStr">
        <is>
          <t>2026-04-18</t>
        </is>
      </c>
      <c r="O2970" t="inlineStr">
        <is>
          <t>AI</t>
        </is>
      </c>
    </row>
    <row r="2971">
      <c r="A2971" t="inlineStr">
        <is>
          <t>PT Multi Agro Gemilang Plantation Tbk</t>
        </is>
      </c>
      <c r="B2971" t="inlineStr">
        <is>
          <t>MAGP_2022_AR.pdf</t>
        </is>
      </c>
      <c r="C2971" t="n">
        <v>2022</v>
      </c>
      <c r="D2971" t="inlineStr">
        <is>
          <t>Financial</t>
        </is>
      </c>
      <c r="E2971" t="inlineStr">
        <is>
          <t>Loss attributable to NCI</t>
        </is>
      </c>
      <c r="F2971" t="n">
        <v>-0.11</v>
      </c>
      <c r="G2971" t="inlineStr">
        <is>
          <t>IDR bn</t>
        </is>
      </c>
      <c r="H2971" t="n">
        <v>6</v>
      </c>
      <c r="I2971" t="inlineStr">
        <is>
          <t>Kepentingan non-pengendali (106,369,801)</t>
        </is>
      </c>
      <c r="J2971" t="inlineStr">
        <is>
          <t>High</t>
        </is>
      </c>
      <c r="M2971" t="inlineStr">
        <is>
          <t>LLM</t>
        </is>
      </c>
      <c r="N2971" t="inlineStr">
        <is>
          <t>2026-04-18</t>
        </is>
      </c>
      <c r="O2971" t="inlineStr">
        <is>
          <t>AI</t>
        </is>
      </c>
    </row>
    <row r="2972">
      <c r="A2972" t="inlineStr">
        <is>
          <t>PT Multi Agro Gemilang Plantation Tbk</t>
        </is>
      </c>
      <c r="B2972" t="inlineStr">
        <is>
          <t>MAGP_2022_AR.pdf</t>
        </is>
      </c>
      <c r="C2972" t="n">
        <v>2022</v>
      </c>
      <c r="D2972" t="inlineStr">
        <is>
          <t>Financial</t>
        </is>
      </c>
      <c r="E2972" t="inlineStr">
        <is>
          <t>EPS (Q1 2022)</t>
        </is>
      </c>
      <c r="F2972" t="n">
        <v>-1.17</v>
      </c>
      <c r="G2972" t="inlineStr">
        <is>
          <t>IDR/share</t>
        </is>
      </c>
      <c r="H2972" t="n">
        <v>6</v>
      </c>
      <c r="I2972" t="inlineStr">
        <is>
          <t>Rugi bersih per saham dasar (1.17)</t>
        </is>
      </c>
      <c r="J2972" t="inlineStr">
        <is>
          <t>High</t>
        </is>
      </c>
      <c r="M2972" t="inlineStr">
        <is>
          <t>LLM</t>
        </is>
      </c>
      <c r="N2972" t="inlineStr">
        <is>
          <t>2026-04-18</t>
        </is>
      </c>
      <c r="O2972" t="inlineStr">
        <is>
          <t>AI</t>
        </is>
      </c>
    </row>
    <row r="2973">
      <c r="A2973" t="inlineStr">
        <is>
          <t>PT Multi Agro Gemilang Plantation Tbk</t>
        </is>
      </c>
      <c r="B2973" t="inlineStr">
        <is>
          <t>MAGP_2022_AR.pdf</t>
        </is>
      </c>
      <c r="C2973" t="n">
        <v>2022</v>
      </c>
      <c r="D2973" t="inlineStr">
        <is>
          <t>Financial</t>
        </is>
      </c>
      <c r="E2973" t="inlineStr">
        <is>
          <t>Cash and Bank</t>
        </is>
      </c>
      <c r="F2973" t="n">
        <v>2.38</v>
      </c>
      <c r="G2973" t="inlineStr">
        <is>
          <t>IDR bn</t>
        </is>
      </c>
      <c r="H2973" t="n">
        <v>3</v>
      </c>
      <c r="I2973" t="inlineStr">
        <is>
          <t>Kas dan bank 2,382,603,315</t>
        </is>
      </c>
      <c r="J2973" t="inlineStr">
        <is>
          <t>High</t>
        </is>
      </c>
      <c r="M2973" t="inlineStr">
        <is>
          <t>LLM</t>
        </is>
      </c>
      <c r="N2973" t="inlineStr">
        <is>
          <t>2026-04-18</t>
        </is>
      </c>
      <c r="O2973" t="inlineStr">
        <is>
          <t>AI</t>
        </is>
      </c>
    </row>
    <row r="2974">
      <c r="A2974" t="inlineStr">
        <is>
          <t>PT Multi Agro Gemilang Plantation Tbk</t>
        </is>
      </c>
      <c r="B2974" t="inlineStr">
        <is>
          <t>MAGP_2022_AR.pdf</t>
        </is>
      </c>
      <c r="C2974" t="n">
        <v>2022</v>
      </c>
      <c r="D2974" t="inlineStr">
        <is>
          <t>Financial</t>
        </is>
      </c>
      <c r="E2974" t="inlineStr">
        <is>
          <t>Trade Receivables</t>
        </is>
      </c>
      <c r="F2974" t="n">
        <v>3.5</v>
      </c>
      <c r="G2974" t="inlineStr">
        <is>
          <t>IDR bn</t>
        </is>
      </c>
      <c r="H2974" t="n">
        <v>3</v>
      </c>
      <c r="I2974" t="inlineStr">
        <is>
          <t>Piutang usaha 3,500,778,636</t>
        </is>
      </c>
      <c r="J2974" t="inlineStr">
        <is>
          <t>High</t>
        </is>
      </c>
      <c r="M2974" t="inlineStr">
        <is>
          <t>LLM</t>
        </is>
      </c>
      <c r="N2974" t="inlineStr">
        <is>
          <t>2026-04-18</t>
        </is>
      </c>
      <c r="O2974" t="inlineStr">
        <is>
          <t>AI</t>
        </is>
      </c>
    </row>
    <row r="2975">
      <c r="A2975" t="inlineStr">
        <is>
          <t>PT Multi Agro Gemilang Plantation Tbk</t>
        </is>
      </c>
      <c r="B2975" t="inlineStr">
        <is>
          <t>MAGP_2022_AR.pdf</t>
        </is>
      </c>
      <c r="C2975" t="n">
        <v>2022</v>
      </c>
      <c r="D2975" t="inlineStr">
        <is>
          <t>Financial</t>
        </is>
      </c>
      <c r="E2975" t="inlineStr">
        <is>
          <t>Inventories</t>
        </is>
      </c>
      <c r="F2975" t="n">
        <v>11.58</v>
      </c>
      <c r="G2975" t="inlineStr">
        <is>
          <t>IDR bn</t>
        </is>
      </c>
      <c r="H2975" t="n">
        <v>3</v>
      </c>
      <c r="I2975" t="inlineStr">
        <is>
          <t>Persediaan 11,583,136,263</t>
        </is>
      </c>
      <c r="J2975" t="inlineStr">
        <is>
          <t>High</t>
        </is>
      </c>
      <c r="M2975" t="inlineStr">
        <is>
          <t>LLM</t>
        </is>
      </c>
      <c r="N2975" t="inlineStr">
        <is>
          <t>2026-04-18</t>
        </is>
      </c>
      <c r="O2975" t="inlineStr">
        <is>
          <t>AI</t>
        </is>
      </c>
    </row>
    <row r="2976">
      <c r="A2976" t="inlineStr">
        <is>
          <t>PT Multi Agro Gemilang Plantation Tbk</t>
        </is>
      </c>
      <c r="B2976" t="inlineStr">
        <is>
          <t>MAGP_2022_AR.pdf</t>
        </is>
      </c>
      <c r="C2976" t="n">
        <v>2022</v>
      </c>
      <c r="D2976" t="inlineStr">
        <is>
          <t>Financial</t>
        </is>
      </c>
      <c r="E2976" t="inlineStr">
        <is>
          <t>Prepaid/Advances</t>
        </is>
      </c>
      <c r="F2976" t="n">
        <v>171.38</v>
      </c>
      <c r="G2976" t="inlineStr">
        <is>
          <t>IDR bn</t>
        </is>
      </c>
      <c r="H2976" t="n">
        <v>3</v>
      </c>
      <c r="I2976" t="inlineStr">
        <is>
          <t>Biaya dibayar di muka dan uang muka 171,380,309,146</t>
        </is>
      </c>
      <c r="J2976" t="inlineStr">
        <is>
          <t>High</t>
        </is>
      </c>
      <c r="M2976" t="inlineStr">
        <is>
          <t>LLM</t>
        </is>
      </c>
      <c r="N2976" t="inlineStr">
        <is>
          <t>2026-04-18</t>
        </is>
      </c>
      <c r="O2976" t="inlineStr">
        <is>
          <t>AI</t>
        </is>
      </c>
    </row>
    <row r="2977">
      <c r="A2977" t="inlineStr">
        <is>
          <t>PT Multi Agro Gemilang Plantation Tbk</t>
        </is>
      </c>
      <c r="B2977" t="inlineStr">
        <is>
          <t>MAGP_2022_AR.pdf</t>
        </is>
      </c>
      <c r="C2977" t="n">
        <v>2022</v>
      </c>
      <c r="D2977" t="inlineStr">
        <is>
          <t>Financial</t>
        </is>
      </c>
      <c r="E2977" t="inlineStr">
        <is>
          <t>Biological Assets</t>
        </is>
      </c>
      <c r="F2977" t="n">
        <v>9.449999999999999</v>
      </c>
      <c r="G2977" t="inlineStr">
        <is>
          <t>IDR bn</t>
        </is>
      </c>
      <c r="H2977" t="n">
        <v>3</v>
      </c>
      <c r="I2977" t="inlineStr">
        <is>
          <t>Aset biologis 9,452,643,150</t>
        </is>
      </c>
      <c r="J2977" t="inlineStr">
        <is>
          <t>High</t>
        </is>
      </c>
      <c r="M2977" t="inlineStr">
        <is>
          <t>LLM</t>
        </is>
      </c>
      <c r="N2977" t="inlineStr">
        <is>
          <t>2026-04-18</t>
        </is>
      </c>
      <c r="O2977" t="inlineStr">
        <is>
          <t>AI</t>
        </is>
      </c>
    </row>
    <row r="2978">
      <c r="A2978" t="inlineStr">
        <is>
          <t>PT Multi Agro Gemilang Plantation Tbk</t>
        </is>
      </c>
      <c r="B2978" t="inlineStr">
        <is>
          <t>MAGP_2022_AR.pdf</t>
        </is>
      </c>
      <c r="C2978" t="n">
        <v>2022</v>
      </c>
      <c r="D2978" t="inlineStr">
        <is>
          <t>Financial</t>
        </is>
      </c>
      <c r="E2978" t="inlineStr">
        <is>
          <t>Current Assets</t>
        </is>
      </c>
      <c r="F2978" t="n">
        <v>205.92</v>
      </c>
      <c r="G2978" t="inlineStr">
        <is>
          <t>IDR bn</t>
        </is>
      </c>
      <c r="H2978" t="n">
        <v>3</v>
      </c>
      <c r="I2978" t="inlineStr">
        <is>
          <t>Jumlah Aset Lancar 205,920,389,301</t>
        </is>
      </c>
      <c r="J2978" t="inlineStr">
        <is>
          <t>High</t>
        </is>
      </c>
      <c r="M2978" t="inlineStr">
        <is>
          <t>LLM</t>
        </is>
      </c>
      <c r="N2978" t="inlineStr">
        <is>
          <t>2026-04-18</t>
        </is>
      </c>
      <c r="O2978" t="inlineStr">
        <is>
          <t>AI</t>
        </is>
      </c>
    </row>
    <row r="2979">
      <c r="A2979" t="inlineStr">
        <is>
          <t>PT Multi Agro Gemilang Plantation Tbk</t>
        </is>
      </c>
      <c r="B2979" t="inlineStr">
        <is>
          <t>MAGP_2022_AR.pdf</t>
        </is>
      </c>
      <c r="C2979" t="n">
        <v>2022</v>
      </c>
      <c r="D2979" t="inlineStr">
        <is>
          <t>Financial</t>
        </is>
      </c>
      <c r="E2979" t="inlineStr">
        <is>
          <t>Bearer Plantations - Net</t>
        </is>
      </c>
      <c r="F2979" t="n">
        <v>286.38</v>
      </c>
      <c r="G2979" t="inlineStr">
        <is>
          <t>IDR bn</t>
        </is>
      </c>
      <c r="H2979" t="n">
        <v>3</v>
      </c>
      <c r="I2979" t="inlineStr">
        <is>
          <t>Tanaman produktif -bersih 286,383,732,092</t>
        </is>
      </c>
      <c r="J2979" t="inlineStr">
        <is>
          <t>High</t>
        </is>
      </c>
      <c r="M2979" t="inlineStr">
        <is>
          <t>LLM</t>
        </is>
      </c>
      <c r="N2979" t="inlineStr">
        <is>
          <t>2026-04-18</t>
        </is>
      </c>
      <c r="O2979" t="inlineStr">
        <is>
          <t>AI</t>
        </is>
      </c>
    </row>
    <row r="2980">
      <c r="A2980" t="inlineStr">
        <is>
          <t>PT Multi Agro Gemilang Plantation Tbk</t>
        </is>
      </c>
      <c r="B2980" t="inlineStr">
        <is>
          <t>MAGP_2022_AR.pdf</t>
        </is>
      </c>
      <c r="C2980" t="n">
        <v>2022</v>
      </c>
      <c r="D2980" t="inlineStr">
        <is>
          <t>Financial</t>
        </is>
      </c>
      <c r="E2980" t="inlineStr">
        <is>
          <t>Fixed Assets - Net</t>
        </is>
      </c>
      <c r="F2980" t="n">
        <v>280.58</v>
      </c>
      <c r="G2980" t="inlineStr">
        <is>
          <t>IDR bn</t>
        </is>
      </c>
      <c r="H2980" t="n">
        <v>3</v>
      </c>
      <c r="I2980" t="inlineStr">
        <is>
          <t>Aset tetap - bersih 280,578,263,510</t>
        </is>
      </c>
      <c r="J2980" t="inlineStr">
        <is>
          <t>High</t>
        </is>
      </c>
      <c r="M2980" t="inlineStr">
        <is>
          <t>LLM</t>
        </is>
      </c>
      <c r="N2980" t="inlineStr">
        <is>
          <t>2026-04-18</t>
        </is>
      </c>
      <c r="O2980" t="inlineStr">
        <is>
          <t>AI</t>
        </is>
      </c>
    </row>
    <row r="2981">
      <c r="A2981" t="inlineStr">
        <is>
          <t>PT Multi Agro Gemilang Plantation Tbk</t>
        </is>
      </c>
      <c r="B2981" t="inlineStr">
        <is>
          <t>MAGP_2022_AR.pdf</t>
        </is>
      </c>
      <c r="C2981" t="n">
        <v>2022</v>
      </c>
      <c r="D2981" t="inlineStr">
        <is>
          <t>Financial</t>
        </is>
      </c>
      <c r="E2981" t="inlineStr">
        <is>
          <t>Deferred Tax Assets</t>
        </is>
      </c>
      <c r="F2981" t="n">
        <v>62.62</v>
      </c>
      <c r="G2981" t="inlineStr">
        <is>
          <t>IDR bn</t>
        </is>
      </c>
      <c r="H2981" t="n">
        <v>3</v>
      </c>
      <c r="I2981" t="inlineStr">
        <is>
          <t>Aset pajak tangguhan - bersih 62,620,633,673</t>
        </is>
      </c>
      <c r="J2981" t="inlineStr">
        <is>
          <t>High</t>
        </is>
      </c>
      <c r="M2981" t="inlineStr">
        <is>
          <t>LLM</t>
        </is>
      </c>
      <c r="N2981" t="inlineStr">
        <is>
          <t>2026-04-18</t>
        </is>
      </c>
      <c r="O2981" t="inlineStr">
        <is>
          <t>AI</t>
        </is>
      </c>
    </row>
    <row r="2982">
      <c r="A2982" t="inlineStr">
        <is>
          <t>PT Multi Agro Gemilang Plantation Tbk</t>
        </is>
      </c>
      <c r="B2982" t="inlineStr">
        <is>
          <t>MAGP_2022_AR.pdf</t>
        </is>
      </c>
      <c r="C2982" t="n">
        <v>2022</v>
      </c>
      <c r="D2982" t="inlineStr">
        <is>
          <t>Financial</t>
        </is>
      </c>
      <c r="E2982" t="inlineStr">
        <is>
          <t>Non-Current Assets</t>
        </is>
      </c>
      <c r="F2982" t="n">
        <v>634.27</v>
      </c>
      <c r="G2982" t="inlineStr">
        <is>
          <t>IDR bn</t>
        </is>
      </c>
      <c r="H2982" t="n">
        <v>3</v>
      </c>
      <c r="I2982" t="inlineStr">
        <is>
          <t>Jumlah Aset Tidak Lancar 634,271,481,298</t>
        </is>
      </c>
      <c r="J2982" t="inlineStr">
        <is>
          <t>High</t>
        </is>
      </c>
      <c r="M2982" t="inlineStr">
        <is>
          <t>LLM</t>
        </is>
      </c>
      <c r="N2982" t="inlineStr">
        <is>
          <t>2026-04-18</t>
        </is>
      </c>
      <c r="O2982" t="inlineStr">
        <is>
          <t>AI</t>
        </is>
      </c>
    </row>
    <row r="2983">
      <c r="A2983" t="inlineStr">
        <is>
          <t>PT Multi Agro Gemilang Plantation Tbk</t>
        </is>
      </c>
      <c r="B2983" t="inlineStr">
        <is>
          <t>MAGP_2022_AR.pdf</t>
        </is>
      </c>
      <c r="C2983" t="n">
        <v>2022</v>
      </c>
      <c r="D2983" t="inlineStr">
        <is>
          <t>Financial</t>
        </is>
      </c>
      <c r="E2983" t="inlineStr">
        <is>
          <t>Total Assets</t>
        </is>
      </c>
      <c r="F2983" t="n">
        <v>840.1900000000001</v>
      </c>
      <c r="G2983" t="inlineStr">
        <is>
          <t>IDR bn</t>
        </is>
      </c>
      <c r="H2983" t="n">
        <v>3</v>
      </c>
      <c r="I2983" t="inlineStr">
        <is>
          <t>JUMLAH ASET 840,191,870,599</t>
        </is>
      </c>
      <c r="J2983" t="inlineStr">
        <is>
          <t>High</t>
        </is>
      </c>
      <c r="M2983" t="inlineStr">
        <is>
          <t>LLM</t>
        </is>
      </c>
      <c r="N2983" t="inlineStr">
        <is>
          <t>2026-04-18</t>
        </is>
      </c>
      <c r="O2983" t="inlineStr">
        <is>
          <t>AI</t>
        </is>
      </c>
    </row>
    <row r="2984">
      <c r="A2984" t="inlineStr">
        <is>
          <t>PT Multi Agro Gemilang Plantation Tbk</t>
        </is>
      </c>
      <c r="B2984" t="inlineStr">
        <is>
          <t>MAGP_2022_AR.pdf</t>
        </is>
      </c>
      <c r="C2984" t="n">
        <v>2022</v>
      </c>
      <c r="D2984" t="inlineStr">
        <is>
          <t>Financial</t>
        </is>
      </c>
      <c r="E2984" t="inlineStr">
        <is>
          <t>Short-term Bank Loan</t>
        </is>
      </c>
      <c r="F2984" t="n">
        <v>240.91</v>
      </c>
      <c r="G2984" t="inlineStr">
        <is>
          <t>IDR bn</t>
        </is>
      </c>
      <c r="H2984" t="n">
        <v>4</v>
      </c>
      <c r="I2984" t="inlineStr">
        <is>
          <t>Utang bank jangka pendek 240,911,388,890</t>
        </is>
      </c>
      <c r="J2984" t="inlineStr">
        <is>
          <t>High</t>
        </is>
      </c>
      <c r="M2984" t="inlineStr">
        <is>
          <t>LLM</t>
        </is>
      </c>
      <c r="N2984" t="inlineStr">
        <is>
          <t>2026-04-18</t>
        </is>
      </c>
      <c r="O2984" t="inlineStr">
        <is>
          <t>AI</t>
        </is>
      </c>
    </row>
    <row r="2985">
      <c r="A2985" t="inlineStr">
        <is>
          <t>PT Multi Agro Gemilang Plantation Tbk</t>
        </is>
      </c>
      <c r="B2985" t="inlineStr">
        <is>
          <t>MAGP_2022_AR.pdf</t>
        </is>
      </c>
      <c r="C2985" t="n">
        <v>2022</v>
      </c>
      <c r="D2985" t="inlineStr">
        <is>
          <t>Financial</t>
        </is>
      </c>
      <c r="E2985" t="inlineStr">
        <is>
          <t>Trade Payables</t>
        </is>
      </c>
      <c r="F2985" t="n">
        <v>15.15</v>
      </c>
      <c r="G2985" t="inlineStr">
        <is>
          <t>IDR bn</t>
        </is>
      </c>
      <c r="H2985" t="n">
        <v>4</v>
      </c>
      <c r="I2985" t="inlineStr">
        <is>
          <t>Utang usaha 15,147,840,266</t>
        </is>
      </c>
      <c r="J2985" t="inlineStr">
        <is>
          <t>High</t>
        </is>
      </c>
      <c r="M2985" t="inlineStr">
        <is>
          <t>LLM</t>
        </is>
      </c>
      <c r="N2985" t="inlineStr">
        <is>
          <t>2026-04-18</t>
        </is>
      </c>
      <c r="O2985" t="inlineStr">
        <is>
          <t>AI</t>
        </is>
      </c>
    </row>
    <row r="2986">
      <c r="A2986" t="inlineStr">
        <is>
          <t>PT Multi Agro Gemilang Plantation Tbk</t>
        </is>
      </c>
      <c r="B2986" t="inlineStr">
        <is>
          <t>MAGP_2022_AR.pdf</t>
        </is>
      </c>
      <c r="C2986" t="n">
        <v>2022</v>
      </c>
      <c r="D2986" t="inlineStr">
        <is>
          <t>Financial</t>
        </is>
      </c>
      <c r="E2986" t="inlineStr">
        <is>
          <t>Other Payables</t>
        </is>
      </c>
      <c r="F2986" t="n">
        <v>308.57</v>
      </c>
      <c r="G2986" t="inlineStr">
        <is>
          <t>IDR bn</t>
        </is>
      </c>
      <c r="H2986" t="n">
        <v>4</v>
      </c>
      <c r="I2986" t="inlineStr">
        <is>
          <t>Utang lain-lain 308,571,974,245</t>
        </is>
      </c>
      <c r="J2986" t="inlineStr">
        <is>
          <t>High</t>
        </is>
      </c>
      <c r="M2986" t="inlineStr">
        <is>
          <t>LLM</t>
        </is>
      </c>
      <c r="N2986" t="inlineStr">
        <is>
          <t>2026-04-18</t>
        </is>
      </c>
      <c r="O2986" t="inlineStr">
        <is>
          <t>AI</t>
        </is>
      </c>
    </row>
    <row r="2987">
      <c r="A2987" t="inlineStr">
        <is>
          <t>PT Multi Agro Gemilang Plantation Tbk</t>
        </is>
      </c>
      <c r="B2987" t="inlineStr">
        <is>
          <t>MAGP_2022_AR.pdf</t>
        </is>
      </c>
      <c r="C2987" t="n">
        <v>2022</v>
      </c>
      <c r="D2987" t="inlineStr">
        <is>
          <t>Financial</t>
        </is>
      </c>
      <c r="E2987" t="inlineStr">
        <is>
          <t>Accrued Expenses</t>
        </is>
      </c>
      <c r="F2987" t="n">
        <v>59.1</v>
      </c>
      <c r="G2987" t="inlineStr">
        <is>
          <t>IDR bn</t>
        </is>
      </c>
      <c r="H2987" t="n">
        <v>4</v>
      </c>
      <c r="I2987" t="inlineStr">
        <is>
          <t>Beban masih harus dibayar 59,103,447,784</t>
        </is>
      </c>
      <c r="J2987" t="inlineStr">
        <is>
          <t>High</t>
        </is>
      </c>
      <c r="M2987" t="inlineStr">
        <is>
          <t>LLM</t>
        </is>
      </c>
      <c r="N2987" t="inlineStr">
        <is>
          <t>2026-04-18</t>
        </is>
      </c>
      <c r="O2987" t="inlineStr">
        <is>
          <t>AI</t>
        </is>
      </c>
    </row>
    <row r="2988">
      <c r="A2988" t="inlineStr">
        <is>
          <t>PT Multi Agro Gemilang Plantation Tbk</t>
        </is>
      </c>
      <c r="B2988" t="inlineStr">
        <is>
          <t>MAGP_2022_AR.pdf</t>
        </is>
      </c>
      <c r="C2988" t="n">
        <v>2022</v>
      </c>
      <c r="D2988" t="inlineStr">
        <is>
          <t>Financial</t>
        </is>
      </c>
      <c r="E2988" t="inlineStr">
        <is>
          <t>Finance Lease - Current</t>
        </is>
      </c>
      <c r="F2988" t="n">
        <v>9.9</v>
      </c>
      <c r="G2988" t="inlineStr">
        <is>
          <t>IDR bn</t>
        </is>
      </c>
      <c r="H2988" t="n">
        <v>4</v>
      </c>
      <c r="I2988" t="inlineStr">
        <is>
          <t>Utang sewa pembiayaan 9,900,568,803 (current maturities)</t>
        </is>
      </c>
      <c r="J2988" t="inlineStr">
        <is>
          <t>High</t>
        </is>
      </c>
      <c r="M2988" t="inlineStr">
        <is>
          <t>LLM</t>
        </is>
      </c>
      <c r="N2988" t="inlineStr">
        <is>
          <t>2026-04-18</t>
        </is>
      </c>
      <c r="O2988" t="inlineStr">
        <is>
          <t>AI</t>
        </is>
      </c>
    </row>
    <row r="2989">
      <c r="A2989" t="inlineStr">
        <is>
          <t>PT Multi Agro Gemilang Plantation Tbk</t>
        </is>
      </c>
      <c r="B2989" t="inlineStr">
        <is>
          <t>MAGP_2022_AR.pdf</t>
        </is>
      </c>
      <c r="C2989" t="n">
        <v>2022</v>
      </c>
      <c r="D2989" t="inlineStr">
        <is>
          <t>Financial</t>
        </is>
      </c>
      <c r="E2989" t="inlineStr">
        <is>
          <t>Current Liabilities</t>
        </is>
      </c>
      <c r="F2989" t="n">
        <v>645.96</v>
      </c>
      <c r="G2989" t="inlineStr">
        <is>
          <t>IDR bn</t>
        </is>
      </c>
      <c r="H2989" t="n">
        <v>4</v>
      </c>
      <c r="I2989" t="inlineStr">
        <is>
          <t>Jumlah Liabilitas Jangka Pendek 645,964,875,488</t>
        </is>
      </c>
      <c r="J2989" t="inlineStr">
        <is>
          <t>High</t>
        </is>
      </c>
      <c r="M2989" t="inlineStr">
        <is>
          <t>LLM</t>
        </is>
      </c>
      <c r="N2989" t="inlineStr">
        <is>
          <t>2026-04-18</t>
        </is>
      </c>
      <c r="O2989" t="inlineStr">
        <is>
          <t>AI</t>
        </is>
      </c>
    </row>
    <row r="2990">
      <c r="A2990" t="inlineStr">
        <is>
          <t>PT Multi Agro Gemilang Plantation Tbk</t>
        </is>
      </c>
      <c r="B2990" t="inlineStr">
        <is>
          <t>MAGP_2022_AR.pdf</t>
        </is>
      </c>
      <c r="C2990" t="n">
        <v>2022</v>
      </c>
      <c r="D2990" t="inlineStr">
        <is>
          <t>Financial</t>
        </is>
      </c>
      <c r="E2990" t="inlineStr">
        <is>
          <t>Finance Lease - Long-term</t>
        </is>
      </c>
      <c r="F2990" t="n">
        <v>107.89</v>
      </c>
      <c r="G2990" t="inlineStr">
        <is>
          <t>IDR bn</t>
        </is>
      </c>
      <c r="H2990" t="n">
        <v>4</v>
      </c>
      <c r="I2990" t="inlineStr">
        <is>
          <t>Utang sewa pembiayaan 107,893,709,428 (LT net of current)</t>
        </is>
      </c>
      <c r="J2990" t="inlineStr">
        <is>
          <t>High</t>
        </is>
      </c>
      <c r="M2990" t="inlineStr">
        <is>
          <t>LLM</t>
        </is>
      </c>
      <c r="N2990" t="inlineStr">
        <is>
          <t>2026-04-18</t>
        </is>
      </c>
      <c r="O2990" t="inlineStr">
        <is>
          <t>AI</t>
        </is>
      </c>
    </row>
    <row r="2991">
      <c r="A2991" t="inlineStr">
        <is>
          <t>PT Multi Agro Gemilang Plantation Tbk</t>
        </is>
      </c>
      <c r="B2991" t="inlineStr">
        <is>
          <t>MAGP_2022_AR.pdf</t>
        </is>
      </c>
      <c r="C2991" t="n">
        <v>2022</v>
      </c>
      <c r="D2991" t="inlineStr">
        <is>
          <t>Financial</t>
        </is>
      </c>
      <c r="E2991" t="inlineStr">
        <is>
          <t>Post-employment Benefits</t>
        </is>
      </c>
      <c r="F2991" t="n">
        <v>10.41</v>
      </c>
      <c r="G2991" t="inlineStr">
        <is>
          <t>IDR bn</t>
        </is>
      </c>
      <c r="H2991" t="n">
        <v>4</v>
      </c>
      <c r="I2991" t="inlineStr">
        <is>
          <t>Cadangan imbalan pasca kerja Karyawan 10,409,375,326</t>
        </is>
      </c>
      <c r="J2991" t="inlineStr">
        <is>
          <t>High</t>
        </is>
      </c>
      <c r="M2991" t="inlineStr">
        <is>
          <t>LLM</t>
        </is>
      </c>
      <c r="N2991" t="inlineStr">
        <is>
          <t>2026-04-18</t>
        </is>
      </c>
      <c r="O2991" t="inlineStr">
        <is>
          <t>AI</t>
        </is>
      </c>
    </row>
    <row r="2992">
      <c r="A2992" t="inlineStr">
        <is>
          <t>PT Multi Agro Gemilang Plantation Tbk</t>
        </is>
      </c>
      <c r="B2992" t="inlineStr">
        <is>
          <t>MAGP_2022_AR.pdf</t>
        </is>
      </c>
      <c r="C2992" t="n">
        <v>2022</v>
      </c>
      <c r="D2992" t="inlineStr">
        <is>
          <t>Financial</t>
        </is>
      </c>
      <c r="E2992" t="inlineStr">
        <is>
          <t>Non-Current Liabilities</t>
        </is>
      </c>
      <c r="F2992" t="n">
        <v>118.3</v>
      </c>
      <c r="G2992" t="inlineStr">
        <is>
          <t>IDR bn</t>
        </is>
      </c>
      <c r="H2992" t="n">
        <v>4</v>
      </c>
      <c r="I2992" t="inlineStr">
        <is>
          <t>Jumlah Liabilitas Jangka Panjang 118,303,084,754</t>
        </is>
      </c>
      <c r="J2992" t="inlineStr">
        <is>
          <t>High</t>
        </is>
      </c>
      <c r="M2992" t="inlineStr">
        <is>
          <t>LLM</t>
        </is>
      </c>
      <c r="N2992" t="inlineStr">
        <is>
          <t>2026-04-18</t>
        </is>
      </c>
      <c r="O2992" t="inlineStr">
        <is>
          <t>AI</t>
        </is>
      </c>
    </row>
    <row r="2993">
      <c r="A2993" t="inlineStr">
        <is>
          <t>PT Multi Agro Gemilang Plantation Tbk</t>
        </is>
      </c>
      <c r="B2993" t="inlineStr">
        <is>
          <t>MAGP_2022_AR.pdf</t>
        </is>
      </c>
      <c r="C2993" t="n">
        <v>2022</v>
      </c>
      <c r="D2993" t="inlineStr">
        <is>
          <t>Financial</t>
        </is>
      </c>
      <c r="E2993" t="inlineStr">
        <is>
          <t>Total Liabilities</t>
        </is>
      </c>
      <c r="F2993" t="n">
        <v>764.27</v>
      </c>
      <c r="G2993" t="inlineStr">
        <is>
          <t>IDR bn</t>
        </is>
      </c>
      <c r="H2993" t="n">
        <v>4</v>
      </c>
      <c r="I2993" t="inlineStr">
        <is>
          <t>JUMLAH LIABILITAS 764,267,960,242</t>
        </is>
      </c>
      <c r="J2993" t="inlineStr">
        <is>
          <t>High</t>
        </is>
      </c>
      <c r="M2993" t="inlineStr">
        <is>
          <t>LLM</t>
        </is>
      </c>
      <c r="N2993" t="inlineStr">
        <is>
          <t>2026-04-18</t>
        </is>
      </c>
      <c r="O2993" t="inlineStr">
        <is>
          <t>AI</t>
        </is>
      </c>
    </row>
    <row r="2994">
      <c r="A2994" t="inlineStr">
        <is>
          <t>PT Multi Agro Gemilang Plantation Tbk</t>
        </is>
      </c>
      <c r="B2994" t="inlineStr">
        <is>
          <t>MAGP_2022_AR.pdf</t>
        </is>
      </c>
      <c r="C2994" t="n">
        <v>2022</v>
      </c>
      <c r="D2994" t="inlineStr">
        <is>
          <t>Financial</t>
        </is>
      </c>
      <c r="E2994" t="inlineStr">
        <is>
          <t>Issued and Paid-up Capital</t>
        </is>
      </c>
      <c r="F2994" t="n">
        <v>900</v>
      </c>
      <c r="G2994" t="inlineStr">
        <is>
          <t>IDR bn</t>
        </is>
      </c>
      <c r="H2994" t="n">
        <v>5</v>
      </c>
      <c r="I2994" t="inlineStr">
        <is>
          <t>Modal ditempatkan dan dan disetor 900,000,000,400 - 9,000,000,004 shares</t>
        </is>
      </c>
      <c r="J2994" t="inlineStr">
        <is>
          <t>High</t>
        </is>
      </c>
      <c r="M2994" t="inlineStr">
        <is>
          <t>LLM</t>
        </is>
      </c>
      <c r="N2994" t="inlineStr">
        <is>
          <t>2026-04-18</t>
        </is>
      </c>
      <c r="O2994" t="inlineStr">
        <is>
          <t>AI</t>
        </is>
      </c>
    </row>
    <row r="2995">
      <c r="A2995" t="inlineStr">
        <is>
          <t>PT Multi Agro Gemilang Plantation Tbk</t>
        </is>
      </c>
      <c r="B2995" t="inlineStr">
        <is>
          <t>MAGP_2022_AR.pdf</t>
        </is>
      </c>
      <c r="C2995" t="n">
        <v>2022</v>
      </c>
      <c r="D2995" t="inlineStr">
        <is>
          <t>Financial</t>
        </is>
      </c>
      <c r="E2995" t="inlineStr">
        <is>
          <t>Additional Paid-in Capital</t>
        </is>
      </c>
      <c r="F2995" t="n">
        <v>-14.39</v>
      </c>
      <c r="G2995" t="inlineStr">
        <is>
          <t>IDR bn</t>
        </is>
      </c>
      <c r="H2995" t="n">
        <v>5</v>
      </c>
      <c r="I2995" t="inlineStr">
        <is>
          <t>Tambahan modal disetor (14,391,716,260)</t>
        </is>
      </c>
      <c r="J2995" t="inlineStr">
        <is>
          <t>High</t>
        </is>
      </c>
      <c r="M2995" t="inlineStr">
        <is>
          <t>LLM</t>
        </is>
      </c>
      <c r="N2995" t="inlineStr">
        <is>
          <t>2026-04-18</t>
        </is>
      </c>
      <c r="O2995" t="inlineStr">
        <is>
          <t>AI</t>
        </is>
      </c>
    </row>
    <row r="2996">
      <c r="A2996" t="inlineStr">
        <is>
          <t>PT Multi Agro Gemilang Plantation Tbk</t>
        </is>
      </c>
      <c r="B2996" t="inlineStr">
        <is>
          <t>MAGP_2022_AR.pdf</t>
        </is>
      </c>
      <c r="C2996" t="n">
        <v>2022</v>
      </c>
      <c r="D2996" t="inlineStr">
        <is>
          <t>Financial</t>
        </is>
      </c>
      <c r="E2996" t="inlineStr">
        <is>
          <t>Accumulated Deficit</t>
        </is>
      </c>
      <c r="F2996" t="n">
        <v>-812.01</v>
      </c>
      <c r="G2996" t="inlineStr">
        <is>
          <t>IDR bn</t>
        </is>
      </c>
      <c r="H2996" t="n">
        <v>5</v>
      </c>
      <c r="I2996" t="inlineStr">
        <is>
          <t>Defisit (812,005,700,094)</t>
        </is>
      </c>
      <c r="J2996" t="inlineStr">
        <is>
          <t>High</t>
        </is>
      </c>
      <c r="M2996" t="inlineStr">
        <is>
          <t>LLM</t>
        </is>
      </c>
      <c r="N2996" t="inlineStr">
        <is>
          <t>2026-04-18</t>
        </is>
      </c>
      <c r="O2996" t="inlineStr">
        <is>
          <t>AI</t>
        </is>
      </c>
    </row>
    <row r="2997">
      <c r="A2997" t="inlineStr">
        <is>
          <t>PT Multi Agro Gemilang Plantation Tbk</t>
        </is>
      </c>
      <c r="B2997" t="inlineStr">
        <is>
          <t>MAGP_2022_AR.pdf</t>
        </is>
      </c>
      <c r="C2997" t="n">
        <v>2022</v>
      </c>
      <c r="D2997" t="inlineStr">
        <is>
          <t>Financial</t>
        </is>
      </c>
      <c r="E2997" t="inlineStr">
        <is>
          <t>Equity attributable to parent</t>
        </is>
      </c>
      <c r="F2997" t="n">
        <v>73.59999999999999</v>
      </c>
      <c r="G2997" t="inlineStr">
        <is>
          <t>IDR bn</t>
        </is>
      </c>
      <c r="H2997" t="n">
        <v>5</v>
      </c>
      <c r="I2997" t="inlineStr">
        <is>
          <t>Jumlah Ekuitas yang Dapat Didistribusikan kepada Pemilik Entitas Induk 73,602,584,046</t>
        </is>
      </c>
      <c r="J2997" t="inlineStr">
        <is>
          <t>High</t>
        </is>
      </c>
      <c r="M2997" t="inlineStr">
        <is>
          <t>LLM</t>
        </is>
      </c>
      <c r="N2997" t="inlineStr">
        <is>
          <t>2026-04-18</t>
        </is>
      </c>
      <c r="O2997" t="inlineStr">
        <is>
          <t>AI</t>
        </is>
      </c>
    </row>
    <row r="2998">
      <c r="A2998" t="inlineStr">
        <is>
          <t>PT Multi Agro Gemilang Plantation Tbk</t>
        </is>
      </c>
      <c r="B2998" t="inlineStr">
        <is>
          <t>MAGP_2022_AR.pdf</t>
        </is>
      </c>
      <c r="C2998" t="n">
        <v>2022</v>
      </c>
      <c r="D2998" t="inlineStr">
        <is>
          <t>Financial</t>
        </is>
      </c>
      <c r="E2998" t="inlineStr">
        <is>
          <t>Non-controlling Interest</t>
        </is>
      </c>
      <c r="F2998" t="n">
        <v>2.32</v>
      </c>
      <c r="G2998" t="inlineStr">
        <is>
          <t>IDR bn</t>
        </is>
      </c>
      <c r="H2998" t="n">
        <v>5</v>
      </c>
      <c r="I2998" t="inlineStr">
        <is>
          <t>Kepentingan non-pengendali 2,321,326,311</t>
        </is>
      </c>
      <c r="J2998" t="inlineStr">
        <is>
          <t>High</t>
        </is>
      </c>
      <c r="M2998" t="inlineStr">
        <is>
          <t>LLM</t>
        </is>
      </c>
      <c r="N2998" t="inlineStr">
        <is>
          <t>2026-04-18</t>
        </is>
      </c>
      <c r="O2998" t="inlineStr">
        <is>
          <t>AI</t>
        </is>
      </c>
    </row>
    <row r="2999">
      <c r="A2999" t="inlineStr">
        <is>
          <t>PT Multi Agro Gemilang Plantation Tbk</t>
        </is>
      </c>
      <c r="B2999" t="inlineStr">
        <is>
          <t>MAGP_2022_AR.pdf</t>
        </is>
      </c>
      <c r="C2999" t="n">
        <v>2022</v>
      </c>
      <c r="D2999" t="inlineStr">
        <is>
          <t>Financial</t>
        </is>
      </c>
      <c r="E2999" t="inlineStr">
        <is>
          <t>Total Equity</t>
        </is>
      </c>
      <c r="F2999" t="n">
        <v>75.92</v>
      </c>
      <c r="G2999" t="inlineStr">
        <is>
          <t>IDR bn</t>
        </is>
      </c>
      <c r="H2999" t="n">
        <v>5</v>
      </c>
      <c r="I2999" t="inlineStr">
        <is>
          <t>JUMLAH EKUITAS 75,923,910,357</t>
        </is>
      </c>
      <c r="J2999" t="inlineStr">
        <is>
          <t>High</t>
        </is>
      </c>
      <c r="M2999" t="inlineStr">
        <is>
          <t>LLM</t>
        </is>
      </c>
      <c r="N2999" t="inlineStr">
        <is>
          <t>2026-04-18</t>
        </is>
      </c>
      <c r="O2999" t="inlineStr">
        <is>
          <t>AI</t>
        </is>
      </c>
    </row>
    <row r="3000">
      <c r="A3000" t="inlineStr">
        <is>
          <t>PT Multi Agro Gemilang Plantation Tbk</t>
        </is>
      </c>
      <c r="B3000" t="inlineStr">
        <is>
          <t>MAGP_2022_AR.pdf</t>
        </is>
      </c>
      <c r="C3000" t="n">
        <v>2022</v>
      </c>
      <c r="D3000" t="inlineStr">
        <is>
          <t>Financial</t>
        </is>
      </c>
      <c r="E3000" t="inlineStr">
        <is>
          <t>Cash from Operations (Q1)</t>
        </is>
      </c>
      <c r="F3000" t="n">
        <v>1.62</v>
      </c>
      <c r="G3000" t="inlineStr">
        <is>
          <t>IDR bn</t>
        </is>
      </c>
      <c r="H3000" t="n">
        <v>8</v>
      </c>
      <c r="I3000" t="inlineStr">
        <is>
          <t>Kas Bersih Diperoleh dari Aktivitas Operasi 1,616,962,985</t>
        </is>
      </c>
      <c r="J3000" t="inlineStr">
        <is>
          <t>High</t>
        </is>
      </c>
      <c r="M3000" t="inlineStr">
        <is>
          <t>LLM</t>
        </is>
      </c>
      <c r="N3000" t="inlineStr">
        <is>
          <t>2026-04-18</t>
        </is>
      </c>
      <c r="O3000" t="inlineStr">
        <is>
          <t>AI</t>
        </is>
      </c>
    </row>
    <row r="3001">
      <c r="A3001" t="inlineStr">
        <is>
          <t>PT Multi Agro Gemilang Plantation Tbk</t>
        </is>
      </c>
      <c r="B3001" t="inlineStr">
        <is>
          <t>MAGP_2022_AR.pdf</t>
        </is>
      </c>
      <c r="C3001" t="n">
        <v>2022</v>
      </c>
      <c r="D3001" t="inlineStr">
        <is>
          <t>Financial</t>
        </is>
      </c>
      <c r="E3001" t="inlineStr">
        <is>
          <t>Cash used in Investing (Q1)</t>
        </is>
      </c>
      <c r="F3001" t="n">
        <v>0</v>
      </c>
      <c r="G3001" t="inlineStr">
        <is>
          <t>IDR bn</t>
        </is>
      </c>
      <c r="H3001" t="n">
        <v>8</v>
      </c>
      <c r="I3001" t="inlineStr">
        <is>
          <t>Kas Bersih Digunakan untuk Aktivitas Investasi -</t>
        </is>
      </c>
      <c r="J3001" t="inlineStr">
        <is>
          <t>High</t>
        </is>
      </c>
      <c r="M3001" t="inlineStr">
        <is>
          <t>LLM</t>
        </is>
      </c>
      <c r="N3001" t="inlineStr">
        <is>
          <t>2026-04-18</t>
        </is>
      </c>
      <c r="O3001" t="inlineStr">
        <is>
          <t>AI</t>
        </is>
      </c>
    </row>
    <row r="3002">
      <c r="A3002" t="inlineStr">
        <is>
          <t>PT Multi Agro Gemilang Plantation Tbk</t>
        </is>
      </c>
      <c r="B3002" t="inlineStr">
        <is>
          <t>MAGP_2022_AR.pdf</t>
        </is>
      </c>
      <c r="C3002" t="n">
        <v>2022</v>
      </c>
      <c r="D3002" t="inlineStr">
        <is>
          <t>Financial</t>
        </is>
      </c>
      <c r="E3002" t="inlineStr">
        <is>
          <t>Cash from Financing (Q1)</t>
        </is>
      </c>
      <c r="F3002" t="n">
        <v>-2.2</v>
      </c>
      <c r="G3002" t="inlineStr">
        <is>
          <t>IDR bn</t>
        </is>
      </c>
      <c r="H3002" t="n">
        <v>8</v>
      </c>
      <c r="I3002" t="inlineStr">
        <is>
          <t>Kas Bersih Diperoleh dari Aktivitas Pendanaan (2,204,537,913)</t>
        </is>
      </c>
      <c r="J3002" t="inlineStr">
        <is>
          <t>High</t>
        </is>
      </c>
      <c r="M3002" t="inlineStr">
        <is>
          <t>LLM</t>
        </is>
      </c>
      <c r="N3002" t="inlineStr">
        <is>
          <t>2026-04-18</t>
        </is>
      </c>
      <c r="O3002" t="inlineStr">
        <is>
          <t>AI</t>
        </is>
      </c>
    </row>
    <row r="3003">
      <c r="A3003" t="inlineStr">
        <is>
          <t>PT Multi Agro Gemilang Plantation Tbk</t>
        </is>
      </c>
      <c r="B3003" t="inlineStr">
        <is>
          <t>MAGP_2022_AR.pdf</t>
        </is>
      </c>
      <c r="C3003" t="n">
        <v>2022</v>
      </c>
      <c r="D3003" t="inlineStr">
        <is>
          <t>Financial</t>
        </is>
      </c>
      <c r="E3003" t="inlineStr">
        <is>
          <t>Depreciation of Bearer Plants (Q1)</t>
        </is>
      </c>
      <c r="F3003" t="n">
        <v>1.35</v>
      </c>
      <c r="G3003" t="inlineStr">
        <is>
          <t>IDR bn</t>
        </is>
      </c>
      <c r="H3003" t="n">
        <v>43</v>
      </c>
      <c r="I3003" t="inlineStr">
        <is>
          <t>Akumulasi penyusutan mature plantations 1,352,390,905</t>
        </is>
      </c>
      <c r="J3003" t="inlineStr">
        <is>
          <t>High</t>
        </is>
      </c>
      <c r="M3003" t="inlineStr">
        <is>
          <t>LLM</t>
        </is>
      </c>
      <c r="N3003" t="inlineStr">
        <is>
          <t>2026-04-18</t>
        </is>
      </c>
      <c r="O3003" t="inlineStr">
        <is>
          <t>AI</t>
        </is>
      </c>
    </row>
    <row r="3004">
      <c r="A3004" t="inlineStr">
        <is>
          <t>PT Multi Agro Gemilang Plantation Tbk</t>
        </is>
      </c>
      <c r="B3004" t="inlineStr">
        <is>
          <t>MAGP_2022_AR.pdf</t>
        </is>
      </c>
      <c r="C3004" t="n">
        <v>2022</v>
      </c>
      <c r="D3004" t="inlineStr">
        <is>
          <t>Asset</t>
        </is>
      </c>
      <c r="E3004" t="inlineStr">
        <is>
          <t>Bearer Plants - Mature Cost</t>
        </is>
      </c>
      <c r="F3004" t="n">
        <v>108.19</v>
      </c>
      <c r="G3004" t="inlineStr">
        <is>
          <t>IDR bn</t>
        </is>
      </c>
      <c r="H3004" t="n">
        <v>43</v>
      </c>
      <c r="I3004" t="inlineStr">
        <is>
          <t>Tanaman menghasilkan Biaya perolehan 108,191,272,377</t>
        </is>
      </c>
      <c r="J3004" t="inlineStr">
        <is>
          <t>High</t>
        </is>
      </c>
      <c r="M3004" t="inlineStr">
        <is>
          <t>LLM</t>
        </is>
      </c>
      <c r="N3004" t="inlineStr">
        <is>
          <t>2026-04-18</t>
        </is>
      </c>
      <c r="O3004" t="inlineStr">
        <is>
          <t>AI</t>
        </is>
      </c>
    </row>
    <row r="3005">
      <c r="A3005" t="inlineStr">
        <is>
          <t>PT Multi Agro Gemilang Plantation Tbk</t>
        </is>
      </c>
      <c r="B3005" t="inlineStr">
        <is>
          <t>MAGP_2022_AR.pdf</t>
        </is>
      </c>
      <c r="C3005" t="n">
        <v>2022</v>
      </c>
      <c r="D3005" t="inlineStr">
        <is>
          <t>Asset</t>
        </is>
      </c>
      <c r="E3005" t="inlineStr">
        <is>
          <t>Bearer Plants - Immature Cost</t>
        </is>
      </c>
      <c r="F3005" t="n">
        <v>197.89</v>
      </c>
      <c r="G3005" t="inlineStr">
        <is>
          <t>IDR bn</t>
        </is>
      </c>
      <c r="H3005" t="n">
        <v>43</v>
      </c>
      <c r="I3005" t="inlineStr">
        <is>
          <t>Immature plantations Harga perolehan 197,894,480,603</t>
        </is>
      </c>
      <c r="J3005" t="inlineStr">
        <is>
          <t>High</t>
        </is>
      </c>
      <c r="M3005" t="inlineStr">
        <is>
          <t>LLM</t>
        </is>
      </c>
      <c r="N3005" t="inlineStr">
        <is>
          <t>2026-04-18</t>
        </is>
      </c>
      <c r="O3005" t="inlineStr">
        <is>
          <t>AI</t>
        </is>
      </c>
    </row>
    <row r="3006">
      <c r="A3006" t="inlineStr">
        <is>
          <t>PT Multi Agro Gemilang Plantation Tbk</t>
        </is>
      </c>
      <c r="B3006" t="inlineStr">
        <is>
          <t>MAGP_2022_AR.pdf</t>
        </is>
      </c>
      <c r="C3006" t="n">
        <v>2022</v>
      </c>
      <c r="D3006" t="inlineStr">
        <is>
          <t>Asset</t>
        </is>
      </c>
      <c r="E3006" t="inlineStr">
        <is>
          <t>Nurseries Cost</t>
        </is>
      </c>
      <c r="F3006" t="n">
        <v>42.52</v>
      </c>
      <c r="G3006" t="inlineStr">
        <is>
          <t>IDR bn</t>
        </is>
      </c>
      <c r="H3006" t="n">
        <v>43</v>
      </c>
      <c r="I3006" t="inlineStr">
        <is>
          <t>Pembibitan Harga perolehan 42,517,030,854</t>
        </is>
      </c>
      <c r="J3006" t="inlineStr">
        <is>
          <t>High</t>
        </is>
      </c>
      <c r="M3006" t="inlineStr">
        <is>
          <t>LLM</t>
        </is>
      </c>
      <c r="N3006" t="inlineStr">
        <is>
          <t>2026-04-18</t>
        </is>
      </c>
      <c r="O3006" t="inlineStr">
        <is>
          <t>AI</t>
        </is>
      </c>
    </row>
    <row r="3007">
      <c r="A3007" t="inlineStr">
        <is>
          <t>PT Multi Agro Gemilang Plantation Tbk</t>
        </is>
      </c>
      <c r="B3007" t="inlineStr">
        <is>
          <t>MAGP_2022_AR.pdf</t>
        </is>
      </c>
      <c r="C3007" t="n">
        <v>2022</v>
      </c>
      <c r="D3007" t="inlineStr">
        <is>
          <t>Asset</t>
        </is>
      </c>
      <c r="E3007" t="inlineStr">
        <is>
          <t>Land</t>
        </is>
      </c>
      <c r="F3007" t="n">
        <v>133.75</v>
      </c>
      <c r="G3007" t="inlineStr">
        <is>
          <t>IDR bn</t>
        </is>
      </c>
      <c r="H3007" t="n">
        <v>45</v>
      </c>
      <c r="I3007" t="inlineStr">
        <is>
          <t>Tanah 133,753,072,108 (Acquisition Cost)</t>
        </is>
      </c>
      <c r="J3007" t="inlineStr">
        <is>
          <t>High</t>
        </is>
      </c>
      <c r="M3007" t="inlineStr">
        <is>
          <t>LLM</t>
        </is>
      </c>
      <c r="N3007" t="inlineStr">
        <is>
          <t>2026-04-18</t>
        </is>
      </c>
      <c r="O3007" t="inlineStr">
        <is>
          <t>AI</t>
        </is>
      </c>
    </row>
    <row r="3008">
      <c r="A3008" t="inlineStr">
        <is>
          <t>PT Multi Agro Gemilang Plantation Tbk</t>
        </is>
      </c>
      <c r="B3008" t="inlineStr">
        <is>
          <t>MAGP_2022_AR.pdf</t>
        </is>
      </c>
      <c r="C3008" t="n">
        <v>2022</v>
      </c>
      <c r="D3008" t="inlineStr">
        <is>
          <t>Asset</t>
        </is>
      </c>
      <c r="E3008" t="inlineStr">
        <is>
          <t>FFB Harvest 2020 (historical ref)</t>
        </is>
      </c>
      <c r="F3008" t="n">
        <v>2951</v>
      </c>
      <c r="G3008" t="inlineStr">
        <is>
          <t>tonnes</t>
        </is>
      </c>
      <c r="H3008" t="n">
        <v>42</v>
      </c>
      <c r="I3008" t="inlineStr">
        <is>
          <t>Pada tahun 2020 hasil panen TBS adalah sejumlah 2,951 ton</t>
        </is>
      </c>
      <c r="J3008" t="inlineStr">
        <is>
          <t>Medium</t>
        </is>
      </c>
      <c r="M3008" t="inlineStr">
        <is>
          <t>LLM</t>
        </is>
      </c>
      <c r="N3008" t="inlineStr">
        <is>
          <t>2026-04-18</t>
        </is>
      </c>
      <c r="O3008" t="inlineStr">
        <is>
          <t>AI</t>
        </is>
      </c>
    </row>
    <row r="3009">
      <c r="A3009" t="inlineStr">
        <is>
          <t>PT Multi Agro Gemilang Plantation Tbk</t>
        </is>
      </c>
      <c r="B3009" t="inlineStr">
        <is>
          <t>MAGP_2022_AR.pdf</t>
        </is>
      </c>
      <c r="C3009" t="n">
        <v>2022</v>
      </c>
      <c r="D3009" t="inlineStr">
        <is>
          <t>Asset</t>
        </is>
      </c>
      <c r="E3009" t="inlineStr">
        <is>
          <t>Advance for Plantation Land Purchase</t>
        </is>
      </c>
      <c r="F3009" t="n">
        <v>170.87</v>
      </c>
      <c r="G3009" t="inlineStr">
        <is>
          <t>IDR bn</t>
        </is>
      </c>
      <c r="H3009" t="n">
        <v>43</v>
      </c>
      <c r="I3009" t="inlineStr">
        <is>
          <t>Uang muka pembelian aset 170,874,819,539 - lahan perkebunan tanaman kelapa sawit yang masih dalam negosiasi proses legalisasi</t>
        </is>
      </c>
      <c r="J3009" t="inlineStr">
        <is>
          <t>High</t>
        </is>
      </c>
      <c r="M3009" t="inlineStr">
        <is>
          <t>LLM</t>
        </is>
      </c>
      <c r="N3009" t="inlineStr">
        <is>
          <t>2026-04-18</t>
        </is>
      </c>
      <c r="O3009" t="inlineStr">
        <is>
          <t>AI</t>
        </is>
      </c>
    </row>
    <row r="3010">
      <c r="A3010" t="inlineStr">
        <is>
          <t>PT Multi Agro Gemilang Plantation Tbk</t>
        </is>
      </c>
      <c r="B3010" t="inlineStr">
        <is>
          <t>MAGP_2022_AR.pdf</t>
        </is>
      </c>
      <c r="C3010" t="n">
        <v>2022</v>
      </c>
      <c r="D3010" t="inlineStr">
        <is>
          <t>ESG</t>
        </is>
      </c>
      <c r="E3010" t="inlineStr">
        <is>
          <t>Plantation Insurance</t>
        </is>
      </c>
      <c r="F3010" t="inlineStr">
        <is>
          <t>None - bearer plantations not insured</t>
        </is>
      </c>
      <c r="G3010" t="inlineStr">
        <is>
          <t>text</t>
        </is>
      </c>
      <c r="H3010" t="n">
        <v>44</v>
      </c>
      <c r="I3010" t="inlineStr">
        <is>
          <t>seluruh tanaman produktif Grup tidak diasuransikan</t>
        </is>
      </c>
      <c r="J3010" t="inlineStr">
        <is>
          <t>High</t>
        </is>
      </c>
      <c r="M3010" t="inlineStr">
        <is>
          <t>LLM</t>
        </is>
      </c>
      <c r="N3010" t="inlineStr">
        <is>
          <t>2026-04-18</t>
        </is>
      </c>
      <c r="O3010" t="inlineStr">
        <is>
          <t>AI</t>
        </is>
      </c>
    </row>
    <row r="3011">
      <c r="A3011" t="inlineStr">
        <is>
          <t>PT Multi Agro Gemilang Plantation Tbk</t>
        </is>
      </c>
      <c r="B3011" t="inlineStr">
        <is>
          <t>MAGP_2022_AR.pdf</t>
        </is>
      </c>
      <c r="C3011" t="n">
        <v>2022</v>
      </c>
      <c r="D3011" t="inlineStr">
        <is>
          <t>Other</t>
        </is>
      </c>
      <c r="E3011" t="inlineStr">
        <is>
          <t>Data Source Limitation</t>
        </is>
      </c>
      <c r="F3011" t="inlineStr">
        <is>
          <t>Q1 2022 interim only</t>
        </is>
      </c>
      <c r="G3011" t="inlineStr">
        <is>
          <t>text</t>
        </is>
      </c>
      <c r="H3011" t="n">
        <v>1</v>
      </c>
      <c r="I3011" t="inlineStr">
        <is>
          <t>MAGP 2022 cached file is Q1 interim financials; full-year 2022 AR not available in cache</t>
        </is>
      </c>
      <c r="J3011" t="inlineStr">
        <is>
          <t>High</t>
        </is>
      </c>
      <c r="M3011" t="inlineStr">
        <is>
          <t>LLM</t>
        </is>
      </c>
      <c r="N3011" t="inlineStr">
        <is>
          <t>2026-04-18</t>
        </is>
      </c>
      <c r="O3011" t="inlineStr">
        <is>
          <t>AI</t>
        </is>
      </c>
    </row>
    <row r="3012">
      <c r="A3012" t="inlineStr">
        <is>
          <t>PT Mahkota Group Tbk</t>
        </is>
      </c>
      <c r="B3012" t="inlineStr">
        <is>
          <t>MGRO_2022_AR.pdf</t>
        </is>
      </c>
      <c r="C3012" t="n">
        <v>2022</v>
      </c>
      <c r="D3012" t="inlineStr">
        <is>
          <t>Company</t>
        </is>
      </c>
      <c r="E3012" t="inlineStr">
        <is>
          <t>Company Name</t>
        </is>
      </c>
      <c r="F3012" t="inlineStr">
        <is>
          <t>PT Mahkota Group Tbk</t>
        </is>
      </c>
      <c r="G3012" t="inlineStr">
        <is>
          <t>text</t>
        </is>
      </c>
      <c r="H3012" t="n">
        <v>1</v>
      </c>
      <c r="I3012" t="inlineStr">
        <is>
          <t>PT Mahkota Group Tbk 2022 Annual Report</t>
        </is>
      </c>
      <c r="J3012" t="inlineStr">
        <is>
          <t>High</t>
        </is>
      </c>
      <c r="M3012" t="inlineStr">
        <is>
          <t>LLM</t>
        </is>
      </c>
      <c r="N3012" t="inlineStr">
        <is>
          <t>2026-04-18</t>
        </is>
      </c>
      <c r="O3012" t="inlineStr">
        <is>
          <t>AI</t>
        </is>
      </c>
    </row>
    <row r="3013">
      <c r="A3013" t="inlineStr">
        <is>
          <t>PT Mahkota Group Tbk</t>
        </is>
      </c>
      <c r="B3013" t="inlineStr">
        <is>
          <t>MGRO_2022_AR.pdf</t>
        </is>
      </c>
      <c r="C3013" t="n">
        <v>2022</v>
      </c>
      <c r="D3013" t="inlineStr">
        <is>
          <t>Company</t>
        </is>
      </c>
      <c r="E3013" t="inlineStr">
        <is>
          <t>Ticker</t>
        </is>
      </c>
      <c r="F3013" t="inlineStr">
        <is>
          <t>MGRO</t>
        </is>
      </c>
      <c r="G3013" t="inlineStr">
        <is>
          <t>text</t>
        </is>
      </c>
      <c r="H3013" t="n">
        <v>1</v>
      </c>
      <c r="I3013" t="inlineStr">
        <is>
          <t>Kode Saham MGRO</t>
        </is>
      </c>
      <c r="J3013" t="inlineStr">
        <is>
          <t>High</t>
        </is>
      </c>
      <c r="M3013" t="inlineStr">
        <is>
          <t>LLM</t>
        </is>
      </c>
      <c r="N3013" t="inlineStr">
        <is>
          <t>2026-04-18</t>
        </is>
      </c>
      <c r="O3013" t="inlineStr">
        <is>
          <t>AI</t>
        </is>
      </c>
    </row>
    <row r="3014">
      <c r="A3014" t="inlineStr">
        <is>
          <t>PT Mahkota Group Tbk</t>
        </is>
      </c>
      <c r="B3014" t="inlineStr">
        <is>
          <t>MGRO_2022_AR.pdf</t>
        </is>
      </c>
      <c r="C3014" t="n">
        <v>2022</v>
      </c>
      <c r="D3014" t="inlineStr">
        <is>
          <t>Company</t>
        </is>
      </c>
      <c r="E3014" t="inlineStr">
        <is>
          <t>Head Office</t>
        </is>
      </c>
      <c r="F3014" t="inlineStr">
        <is>
          <t>Medan, North Sumatra</t>
        </is>
      </c>
      <c r="G3014" t="inlineStr">
        <is>
          <t>text</t>
        </is>
      </c>
      <c r="H3014" t="n">
        <v>1</v>
      </c>
      <c r="I3014" t="inlineStr">
        <is>
          <t>Medan, Sumatra Utara</t>
        </is>
      </c>
      <c r="J3014" t="inlineStr">
        <is>
          <t>High</t>
        </is>
      </c>
      <c r="M3014" t="inlineStr">
        <is>
          <t>LLM</t>
        </is>
      </c>
      <c r="N3014" t="inlineStr">
        <is>
          <t>2026-04-18</t>
        </is>
      </c>
      <c r="O3014" t="inlineStr">
        <is>
          <t>AI</t>
        </is>
      </c>
    </row>
    <row r="3015">
      <c r="A3015" t="inlineStr">
        <is>
          <t>PT Mahkota Group Tbk</t>
        </is>
      </c>
      <c r="B3015" t="inlineStr">
        <is>
          <t>MGRO_2022_AR.pdf</t>
        </is>
      </c>
      <c r="C3015" t="n">
        <v>2022</v>
      </c>
      <c r="D3015" t="inlineStr">
        <is>
          <t>Company</t>
        </is>
      </c>
      <c r="E3015" t="inlineStr">
        <is>
          <t>Controlling Shareholder</t>
        </is>
      </c>
      <c r="F3015" t="inlineStr">
        <is>
          <t>PT Mahkota Global Investama 56.03%</t>
        </is>
      </c>
      <c r="G3015" t="inlineStr">
        <is>
          <t>%</t>
        </is>
      </c>
      <c r="H3015" t="n">
        <v>42</v>
      </c>
      <c r="I3015" t="inlineStr">
        <is>
          <t>PT Mahkota Global Investama 1.991.490.100 56,0281%</t>
        </is>
      </c>
      <c r="J3015" t="inlineStr">
        <is>
          <t>High</t>
        </is>
      </c>
      <c r="M3015" t="inlineStr">
        <is>
          <t>LLM</t>
        </is>
      </c>
      <c r="N3015" t="inlineStr">
        <is>
          <t>2026-04-18</t>
        </is>
      </c>
      <c r="O3015" t="inlineStr">
        <is>
          <t>AI</t>
        </is>
      </c>
    </row>
    <row r="3016">
      <c r="A3016" t="inlineStr">
        <is>
          <t>PT Mahkota Group Tbk</t>
        </is>
      </c>
      <c r="B3016" t="inlineStr">
        <is>
          <t>MGRO_2022_AR.pdf</t>
        </is>
      </c>
      <c r="C3016" t="n">
        <v>2022</v>
      </c>
      <c r="D3016" t="inlineStr">
        <is>
          <t>Company</t>
        </is>
      </c>
      <c r="E3016" t="inlineStr">
        <is>
          <t>Second Shareholder</t>
        </is>
      </c>
      <c r="F3016" t="inlineStr">
        <is>
          <t>MGI International Holdings Ltd. 22.79%</t>
        </is>
      </c>
      <c r="G3016" t="inlineStr">
        <is>
          <t>%</t>
        </is>
      </c>
      <c r="H3016" t="n">
        <v>42</v>
      </c>
      <c r="I3016" t="inlineStr">
        <is>
          <t>MGI International Holdings Ltd. 810.000.000 22,7884%</t>
        </is>
      </c>
      <c r="J3016" t="inlineStr">
        <is>
          <t>High</t>
        </is>
      </c>
      <c r="M3016" t="inlineStr">
        <is>
          <t>LLM</t>
        </is>
      </c>
      <c r="N3016" t="inlineStr">
        <is>
          <t>2026-04-18</t>
        </is>
      </c>
      <c r="O3016" t="inlineStr">
        <is>
          <t>AI</t>
        </is>
      </c>
    </row>
    <row r="3017">
      <c r="A3017" t="inlineStr">
        <is>
          <t>PT Mahkota Group Tbk</t>
        </is>
      </c>
      <c r="B3017" t="inlineStr">
        <is>
          <t>MGRO_2022_AR.pdf</t>
        </is>
      </c>
      <c r="C3017" t="n">
        <v>2022</v>
      </c>
      <c r="D3017" t="inlineStr">
        <is>
          <t>Company</t>
        </is>
      </c>
      <c r="E3017" t="inlineStr">
        <is>
          <t>Public Float</t>
        </is>
      </c>
      <c r="F3017" t="n">
        <v>0.2036</v>
      </c>
      <c r="G3017" t="inlineStr">
        <is>
          <t>%</t>
        </is>
      </c>
      <c r="H3017" t="n">
        <v>42</v>
      </c>
      <c r="I3017" t="inlineStr">
        <is>
          <t>Masyarakat 723.799.700 20,3632%</t>
        </is>
      </c>
      <c r="J3017" t="inlineStr">
        <is>
          <t>High</t>
        </is>
      </c>
      <c r="M3017" t="inlineStr">
        <is>
          <t>LLM</t>
        </is>
      </c>
      <c r="N3017" t="inlineStr">
        <is>
          <t>2026-04-18</t>
        </is>
      </c>
      <c r="O3017" t="inlineStr">
        <is>
          <t>AI</t>
        </is>
      </c>
    </row>
    <row r="3018">
      <c r="A3018" t="inlineStr">
        <is>
          <t>PT Mahkota Group Tbk</t>
        </is>
      </c>
      <c r="B3018" t="inlineStr">
        <is>
          <t>MGRO_2022_AR.pdf</t>
        </is>
      </c>
      <c r="C3018" t="n">
        <v>2022</v>
      </c>
      <c r="D3018" t="inlineStr">
        <is>
          <t>Company</t>
        </is>
      </c>
      <c r="E3018" t="inlineStr">
        <is>
          <t>Ultimate Beneficial Owner</t>
        </is>
      </c>
      <c r="F3018" t="inlineStr">
        <is>
          <t>Mily</t>
        </is>
      </c>
      <c r="G3018" t="inlineStr">
        <is>
          <t>text</t>
        </is>
      </c>
      <c r="H3018" t="n">
        <v>44</v>
      </c>
      <c r="I3018" t="inlineStr">
        <is>
          <t>Pemilik manfaat akhir dari struktur kepemilikan saham Perseroan adalah Mily.</t>
        </is>
      </c>
      <c r="J3018" t="inlineStr">
        <is>
          <t>High</t>
        </is>
      </c>
      <c r="M3018" t="inlineStr">
        <is>
          <t>LLM</t>
        </is>
      </c>
      <c r="N3018" t="inlineStr">
        <is>
          <t>2026-04-18</t>
        </is>
      </c>
      <c r="O3018" t="inlineStr">
        <is>
          <t>AI</t>
        </is>
      </c>
    </row>
    <row r="3019">
      <c r="A3019" t="inlineStr">
        <is>
          <t>PT Mahkota Group Tbk</t>
        </is>
      </c>
      <c r="B3019" t="inlineStr">
        <is>
          <t>MGRO_2022_AR.pdf</t>
        </is>
      </c>
      <c r="C3019" t="n">
        <v>2022</v>
      </c>
      <c r="D3019" t="inlineStr">
        <is>
          <t>Financial</t>
        </is>
      </c>
      <c r="E3019" t="inlineStr">
        <is>
          <t>Revenue</t>
        </is>
      </c>
      <c r="F3019" t="n">
        <v>7505.7</v>
      </c>
      <c r="G3019" t="inlineStr">
        <is>
          <t>IDR bn</t>
        </is>
      </c>
      <c r="H3019" t="n">
        <v>61</v>
      </c>
      <c r="I3019" t="inlineStr">
        <is>
          <t>Pendapatan Usaha 7.505,70 7.313,13</t>
        </is>
      </c>
      <c r="J3019" t="inlineStr">
        <is>
          <t>High</t>
        </is>
      </c>
      <c r="M3019" t="inlineStr">
        <is>
          <t>LLM</t>
        </is>
      </c>
      <c r="N3019" t="inlineStr">
        <is>
          <t>2026-04-18</t>
        </is>
      </c>
      <c r="O3019" t="inlineStr">
        <is>
          <t>AI</t>
        </is>
      </c>
    </row>
    <row r="3020">
      <c r="A3020" t="inlineStr">
        <is>
          <t>PT Mahkota Group Tbk</t>
        </is>
      </c>
      <c r="B3020" t="inlineStr">
        <is>
          <t>MGRO_2022_AR.pdf</t>
        </is>
      </c>
      <c r="C3020" t="n">
        <v>2022</v>
      </c>
      <c r="D3020" t="inlineStr">
        <is>
          <t>Financial</t>
        </is>
      </c>
      <c r="E3020" t="inlineStr">
        <is>
          <t>Cost of Revenue</t>
        </is>
      </c>
      <c r="F3020" t="n">
        <v>6777.09</v>
      </c>
      <c r="G3020" t="inlineStr">
        <is>
          <t>IDR bn</t>
        </is>
      </c>
      <c r="H3020" t="n">
        <v>61</v>
      </c>
      <c r="I3020" t="inlineStr">
        <is>
          <t>Beban Pokok Pendapatan 6.777,09 6.488,08</t>
        </is>
      </c>
      <c r="J3020" t="inlineStr">
        <is>
          <t>High</t>
        </is>
      </c>
      <c r="M3020" t="inlineStr">
        <is>
          <t>LLM</t>
        </is>
      </c>
      <c r="N3020" t="inlineStr">
        <is>
          <t>2026-04-18</t>
        </is>
      </c>
      <c r="O3020" t="inlineStr">
        <is>
          <t>AI</t>
        </is>
      </c>
    </row>
    <row r="3021">
      <c r="A3021" t="inlineStr">
        <is>
          <t>PT Mahkota Group Tbk</t>
        </is>
      </c>
      <c r="B3021" t="inlineStr">
        <is>
          <t>MGRO_2022_AR.pdf</t>
        </is>
      </c>
      <c r="C3021" t="n">
        <v>2022</v>
      </c>
      <c r="D3021" t="inlineStr">
        <is>
          <t>Financial</t>
        </is>
      </c>
      <c r="E3021" t="inlineStr">
        <is>
          <t>Gross Profit</t>
        </is>
      </c>
      <c r="F3021" t="n">
        <v>728.61</v>
      </c>
      <c r="G3021" t="inlineStr">
        <is>
          <t>IDR bn</t>
        </is>
      </c>
      <c r="H3021" t="n">
        <v>251</v>
      </c>
      <c r="I3021" t="inlineStr">
        <is>
          <t>LABA BRUTO 728.609.387.314 825.050.828.336</t>
        </is>
      </c>
      <c r="J3021" t="inlineStr">
        <is>
          <t>High</t>
        </is>
      </c>
      <c r="M3021" t="inlineStr">
        <is>
          <t>LLM</t>
        </is>
      </c>
      <c r="N3021" t="inlineStr">
        <is>
          <t>2026-04-18</t>
        </is>
      </c>
      <c r="O3021" t="inlineStr">
        <is>
          <t>AI</t>
        </is>
      </c>
    </row>
    <row r="3022">
      <c r="A3022" t="inlineStr">
        <is>
          <t>PT Mahkota Group Tbk</t>
        </is>
      </c>
      <c r="B3022" t="inlineStr">
        <is>
          <t>MGRO_2022_AR.pdf</t>
        </is>
      </c>
      <c r="C3022" t="n">
        <v>2022</v>
      </c>
      <c r="D3022" t="inlineStr">
        <is>
          <t>Financial</t>
        </is>
      </c>
      <c r="E3022" t="inlineStr">
        <is>
          <t>Operating Profit</t>
        </is>
      </c>
      <c r="F3022" t="n">
        <v>100.54</v>
      </c>
      <c r="G3022" t="inlineStr">
        <is>
          <t>IDR bn</t>
        </is>
      </c>
      <c r="H3022" t="n">
        <v>251</v>
      </c>
      <c r="I3022" t="inlineStr">
        <is>
          <t>LABA OPERASI 100.537.044.367 182.467.818.820</t>
        </is>
      </c>
      <c r="J3022" t="inlineStr">
        <is>
          <t>High</t>
        </is>
      </c>
      <c r="M3022" t="inlineStr">
        <is>
          <t>LLM</t>
        </is>
      </c>
      <c r="N3022" t="inlineStr">
        <is>
          <t>2026-04-18</t>
        </is>
      </c>
      <c r="O3022" t="inlineStr">
        <is>
          <t>AI</t>
        </is>
      </c>
    </row>
    <row r="3023">
      <c r="A3023" t="inlineStr">
        <is>
          <t>PT Mahkota Group Tbk</t>
        </is>
      </c>
      <c r="B3023" t="inlineStr">
        <is>
          <t>MGRO_2022_AR.pdf</t>
        </is>
      </c>
      <c r="C3023" t="n">
        <v>2022</v>
      </c>
      <c r="D3023" t="inlineStr">
        <is>
          <t>Financial</t>
        </is>
      </c>
      <c r="E3023" t="inlineStr">
        <is>
          <t>Finance Costs</t>
        </is>
      </c>
      <c r="F3023" t="n">
        <v>95.59999999999999</v>
      </c>
      <c r="G3023" t="inlineStr">
        <is>
          <t>IDR bn</t>
        </is>
      </c>
      <c r="H3023" t="n">
        <v>251</v>
      </c>
      <c r="I3023" t="inlineStr">
        <is>
          <t>Beban keuangan 38 (95.604.259.344) (65.988.195.242)</t>
        </is>
      </c>
      <c r="J3023" t="inlineStr">
        <is>
          <t>High</t>
        </is>
      </c>
      <c r="M3023" t="inlineStr">
        <is>
          <t>LLM</t>
        </is>
      </c>
      <c r="N3023" t="inlineStr">
        <is>
          <t>2026-04-18</t>
        </is>
      </c>
      <c r="O3023" t="inlineStr">
        <is>
          <t>AI</t>
        </is>
      </c>
    </row>
    <row r="3024">
      <c r="A3024" t="inlineStr">
        <is>
          <t>PT Mahkota Group Tbk</t>
        </is>
      </c>
      <c r="B3024" t="inlineStr">
        <is>
          <t>MGRO_2022_AR.pdf</t>
        </is>
      </c>
      <c r="C3024" t="n">
        <v>2022</v>
      </c>
      <c r="D3024" t="inlineStr">
        <is>
          <t>Financial</t>
        </is>
      </c>
      <c r="E3024" t="inlineStr">
        <is>
          <t>Loss Before Tax</t>
        </is>
      </c>
      <c r="F3024" t="n">
        <v>-6.62</v>
      </c>
      <c r="G3024" t="inlineStr">
        <is>
          <t>IDR bn</t>
        </is>
      </c>
      <c r="H3024" t="n">
        <v>251</v>
      </c>
      <c r="I3024" t="inlineStr">
        <is>
          <t>LABA (RUGI) SEBELUM PAJAK PENGHASILAN (6.622.540.866) 109.422.288.389</t>
        </is>
      </c>
      <c r="J3024" t="inlineStr">
        <is>
          <t>High</t>
        </is>
      </c>
      <c r="M3024" t="inlineStr">
        <is>
          <t>LLM</t>
        </is>
      </c>
      <c r="N3024" t="inlineStr">
        <is>
          <t>2026-04-18</t>
        </is>
      </c>
      <c r="O3024" t="inlineStr">
        <is>
          <t>AI</t>
        </is>
      </c>
    </row>
    <row r="3025">
      <c r="A3025" t="inlineStr">
        <is>
          <t>PT Mahkota Group Tbk</t>
        </is>
      </c>
      <c r="B3025" t="inlineStr">
        <is>
          <t>MGRO_2022_AR.pdf</t>
        </is>
      </c>
      <c r="C3025" t="n">
        <v>2022</v>
      </c>
      <c r="D3025" t="inlineStr">
        <is>
          <t>Financial</t>
        </is>
      </c>
      <c r="E3025" t="inlineStr">
        <is>
          <t>Net Loss</t>
        </is>
      </c>
      <c r="F3025" t="n">
        <v>-34.79</v>
      </c>
      <c r="G3025" t="inlineStr">
        <is>
          <t>IDR bn</t>
        </is>
      </c>
      <c r="H3025" t="n">
        <v>251</v>
      </c>
      <c r="I3025" t="inlineStr">
        <is>
          <t>LABA (RUGI) BERSIH (34.790.602.513)</t>
        </is>
      </c>
      <c r="J3025" t="inlineStr">
        <is>
          <t>High</t>
        </is>
      </c>
      <c r="M3025" t="inlineStr">
        <is>
          <t>LLM</t>
        </is>
      </c>
      <c r="N3025" t="inlineStr">
        <is>
          <t>2026-04-18</t>
        </is>
      </c>
      <c r="O3025" t="inlineStr">
        <is>
          <t>AI</t>
        </is>
      </c>
    </row>
    <row r="3026">
      <c r="A3026" t="inlineStr">
        <is>
          <t>PT Mahkota Group Tbk</t>
        </is>
      </c>
      <c r="B3026" t="inlineStr">
        <is>
          <t>MGRO_2022_AR.pdf</t>
        </is>
      </c>
      <c r="C3026" t="n">
        <v>2022</v>
      </c>
      <c r="D3026" t="inlineStr">
        <is>
          <t>Financial</t>
        </is>
      </c>
      <c r="E3026" t="inlineStr">
        <is>
          <t>Loss Attributable to Parent</t>
        </is>
      </c>
      <c r="F3026" t="n">
        <v>-20.1</v>
      </c>
      <c r="G3026" t="inlineStr">
        <is>
          <t>IDR bn</t>
        </is>
      </c>
      <c r="H3026" t="n">
        <v>8</v>
      </c>
      <c r="I3026" t="inlineStr">
        <is>
          <t>Pemilik Entitas Induk (20.104)</t>
        </is>
      </c>
      <c r="J3026" t="inlineStr">
        <is>
          <t>High</t>
        </is>
      </c>
      <c r="M3026" t="inlineStr">
        <is>
          <t>LLM</t>
        </is>
      </c>
      <c r="N3026" t="inlineStr">
        <is>
          <t>2026-04-18</t>
        </is>
      </c>
      <c r="O3026" t="inlineStr">
        <is>
          <t>AI</t>
        </is>
      </c>
    </row>
    <row r="3027">
      <c r="A3027" t="inlineStr">
        <is>
          <t>PT Mahkota Group Tbk</t>
        </is>
      </c>
      <c r="B3027" t="inlineStr">
        <is>
          <t>MGRO_2022_AR.pdf</t>
        </is>
      </c>
      <c r="C3027" t="n">
        <v>2022</v>
      </c>
      <c r="D3027" t="inlineStr">
        <is>
          <t>Financial</t>
        </is>
      </c>
      <c r="E3027" t="inlineStr">
        <is>
          <t>Loss to Non-controlling</t>
        </is>
      </c>
      <c r="F3027" t="n">
        <v>-14.69</v>
      </c>
      <c r="G3027" t="inlineStr">
        <is>
          <t>IDR bn</t>
        </is>
      </c>
      <c r="H3027" t="n">
        <v>8</v>
      </c>
      <c r="I3027" t="inlineStr">
        <is>
          <t>Kepentingan Non Pengendali (14.686)</t>
        </is>
      </c>
      <c r="J3027" t="inlineStr">
        <is>
          <t>High</t>
        </is>
      </c>
      <c r="M3027" t="inlineStr">
        <is>
          <t>LLM</t>
        </is>
      </c>
      <c r="N3027" t="inlineStr">
        <is>
          <t>2026-04-18</t>
        </is>
      </c>
      <c r="O3027" t="inlineStr">
        <is>
          <t>AI</t>
        </is>
      </c>
    </row>
    <row r="3028">
      <c r="A3028" t="inlineStr">
        <is>
          <t>PT Mahkota Group Tbk</t>
        </is>
      </c>
      <c r="B3028" t="inlineStr">
        <is>
          <t>MGRO_2022_AR.pdf</t>
        </is>
      </c>
      <c r="C3028" t="n">
        <v>2022</v>
      </c>
      <c r="D3028" t="inlineStr">
        <is>
          <t>Financial</t>
        </is>
      </c>
      <c r="E3028" t="inlineStr">
        <is>
          <t>Comprehensive Loss</t>
        </is>
      </c>
      <c r="F3028" t="n">
        <v>-28.73</v>
      </c>
      <c r="G3028" t="inlineStr">
        <is>
          <t>IDR bn</t>
        </is>
      </c>
      <c r="H3028" t="n">
        <v>8</v>
      </c>
      <c r="I3028" t="inlineStr">
        <is>
          <t>Jumlah Penghasilan Komprehensif (28.731)</t>
        </is>
      </c>
      <c r="J3028" t="inlineStr">
        <is>
          <t>High</t>
        </is>
      </c>
      <c r="M3028" t="inlineStr">
        <is>
          <t>LLM</t>
        </is>
      </c>
      <c r="N3028" t="inlineStr">
        <is>
          <t>2026-04-18</t>
        </is>
      </c>
      <c r="O3028" t="inlineStr">
        <is>
          <t>AI</t>
        </is>
      </c>
    </row>
    <row r="3029">
      <c r="A3029" t="inlineStr">
        <is>
          <t>PT Mahkota Group Tbk</t>
        </is>
      </c>
      <c r="B3029" t="inlineStr">
        <is>
          <t>MGRO_2022_AR.pdf</t>
        </is>
      </c>
      <c r="C3029" t="n">
        <v>2022</v>
      </c>
      <c r="D3029" t="inlineStr">
        <is>
          <t>Financial</t>
        </is>
      </c>
      <c r="E3029" t="inlineStr">
        <is>
          <t>Total Assets</t>
        </is>
      </c>
      <c r="F3029" t="n">
        <v>2561.66</v>
      </c>
      <c r="G3029" t="inlineStr">
        <is>
          <t>IDR bn</t>
        </is>
      </c>
      <c r="H3029" t="n">
        <v>61</v>
      </c>
      <c r="I3029" t="inlineStr">
        <is>
          <t>Total Aset 2.561,66 1.820,20</t>
        </is>
      </c>
      <c r="J3029" t="inlineStr">
        <is>
          <t>High</t>
        </is>
      </c>
      <c r="M3029" t="inlineStr">
        <is>
          <t>LLM</t>
        </is>
      </c>
      <c r="N3029" t="inlineStr">
        <is>
          <t>2026-04-18</t>
        </is>
      </c>
      <c r="O3029" t="inlineStr">
        <is>
          <t>AI</t>
        </is>
      </c>
    </row>
    <row r="3030">
      <c r="A3030" t="inlineStr">
        <is>
          <t>PT Mahkota Group Tbk</t>
        </is>
      </c>
      <c r="B3030" t="inlineStr">
        <is>
          <t>MGRO_2022_AR.pdf</t>
        </is>
      </c>
      <c r="C3030" t="n">
        <v>2022</v>
      </c>
      <c r="D3030" t="inlineStr">
        <is>
          <t>Financial</t>
        </is>
      </c>
      <c r="E3030" t="inlineStr">
        <is>
          <t>Current Assets</t>
        </is>
      </c>
      <c r="F3030" t="n">
        <v>1429.23</v>
      </c>
      <c r="G3030" t="inlineStr">
        <is>
          <t>IDR bn</t>
        </is>
      </c>
      <c r="H3030" t="n">
        <v>61</v>
      </c>
      <c r="I3030" t="inlineStr">
        <is>
          <t>Aset Lancar 1.429,23 809,01</t>
        </is>
      </c>
      <c r="J3030" t="inlineStr">
        <is>
          <t>High</t>
        </is>
      </c>
      <c r="M3030" t="inlineStr">
        <is>
          <t>LLM</t>
        </is>
      </c>
      <c r="N3030" t="inlineStr">
        <is>
          <t>2026-04-18</t>
        </is>
      </c>
      <c r="O3030" t="inlineStr">
        <is>
          <t>AI</t>
        </is>
      </c>
    </row>
    <row r="3031">
      <c r="A3031" t="inlineStr">
        <is>
          <t>PT Mahkota Group Tbk</t>
        </is>
      </c>
      <c r="B3031" t="inlineStr">
        <is>
          <t>MGRO_2022_AR.pdf</t>
        </is>
      </c>
      <c r="C3031" t="n">
        <v>2022</v>
      </c>
      <c r="D3031" t="inlineStr">
        <is>
          <t>Financial</t>
        </is>
      </c>
      <c r="E3031" t="inlineStr">
        <is>
          <t>Non-Current Assets</t>
        </is>
      </c>
      <c r="F3031" t="n">
        <v>1132.43</v>
      </c>
      <c r="G3031" t="inlineStr">
        <is>
          <t>IDR bn</t>
        </is>
      </c>
      <c r="H3031" t="n">
        <v>61</v>
      </c>
      <c r="I3031" t="inlineStr">
        <is>
          <t>Aset Tidak Lancar 1.132,43 1.011,18</t>
        </is>
      </c>
      <c r="J3031" t="inlineStr">
        <is>
          <t>High</t>
        </is>
      </c>
      <c r="M3031" t="inlineStr">
        <is>
          <t>LLM</t>
        </is>
      </c>
      <c r="N3031" t="inlineStr">
        <is>
          <t>2026-04-18</t>
        </is>
      </c>
      <c r="O3031" t="inlineStr">
        <is>
          <t>AI</t>
        </is>
      </c>
    </row>
    <row r="3032">
      <c r="A3032" t="inlineStr">
        <is>
          <t>PT Mahkota Group Tbk</t>
        </is>
      </c>
      <c r="B3032" t="inlineStr">
        <is>
          <t>MGRO_2022_AR.pdf</t>
        </is>
      </c>
      <c r="C3032" t="n">
        <v>2022</v>
      </c>
      <c r="D3032" t="inlineStr">
        <is>
          <t>Financial</t>
        </is>
      </c>
      <c r="E3032" t="inlineStr">
        <is>
          <t>Total Liabilities</t>
        </is>
      </c>
      <c r="F3032" t="n">
        <v>1916.29</v>
      </c>
      <c r="G3032" t="inlineStr">
        <is>
          <t>IDR bn</t>
        </is>
      </c>
      <c r="H3032" t="n">
        <v>61</v>
      </c>
      <c r="I3032" t="inlineStr">
        <is>
          <t>Total Liabilitas 1.916,29 1.110,40</t>
        </is>
      </c>
      <c r="J3032" t="inlineStr">
        <is>
          <t>High</t>
        </is>
      </c>
      <c r="M3032" t="inlineStr">
        <is>
          <t>LLM</t>
        </is>
      </c>
      <c r="N3032" t="inlineStr">
        <is>
          <t>2026-04-18</t>
        </is>
      </c>
      <c r="O3032" t="inlineStr">
        <is>
          <t>AI</t>
        </is>
      </c>
    </row>
    <row r="3033">
      <c r="A3033" t="inlineStr">
        <is>
          <t>PT Mahkota Group Tbk</t>
        </is>
      </c>
      <c r="B3033" t="inlineStr">
        <is>
          <t>MGRO_2022_AR.pdf</t>
        </is>
      </c>
      <c r="C3033" t="n">
        <v>2022</v>
      </c>
      <c r="D3033" t="inlineStr">
        <is>
          <t>Financial</t>
        </is>
      </c>
      <c r="E3033" t="inlineStr">
        <is>
          <t>Current Liabilities</t>
        </is>
      </c>
      <c r="F3033" t="n">
        <v>1423.46</v>
      </c>
      <c r="G3033" t="inlineStr">
        <is>
          <t>IDR bn</t>
        </is>
      </c>
      <c r="H3033" t="n">
        <v>61</v>
      </c>
      <c r="I3033" t="inlineStr">
        <is>
          <t>Liabilitas Jangka Pendek 1.423,46 787,14</t>
        </is>
      </c>
      <c r="J3033" t="inlineStr">
        <is>
          <t>High</t>
        </is>
      </c>
      <c r="M3033" t="inlineStr">
        <is>
          <t>LLM</t>
        </is>
      </c>
      <c r="N3033" t="inlineStr">
        <is>
          <t>2026-04-18</t>
        </is>
      </c>
      <c r="O3033" t="inlineStr">
        <is>
          <t>AI</t>
        </is>
      </c>
    </row>
    <row r="3034">
      <c r="A3034" t="inlineStr">
        <is>
          <t>PT Mahkota Group Tbk</t>
        </is>
      </c>
      <c r="B3034" t="inlineStr">
        <is>
          <t>MGRO_2022_AR.pdf</t>
        </is>
      </c>
      <c r="C3034" t="n">
        <v>2022</v>
      </c>
      <c r="D3034" t="inlineStr">
        <is>
          <t>Financial</t>
        </is>
      </c>
      <c r="E3034" t="inlineStr">
        <is>
          <t>Non-Current Liabilities</t>
        </is>
      </c>
      <c r="F3034" t="n">
        <v>492.83</v>
      </c>
      <c r="G3034" t="inlineStr">
        <is>
          <t>IDR bn</t>
        </is>
      </c>
      <c r="H3034" t="n">
        <v>61</v>
      </c>
      <c r="I3034" t="inlineStr">
        <is>
          <t>Liabilitas Jangka Panjang 492,83 323,25</t>
        </is>
      </c>
      <c r="J3034" t="inlineStr">
        <is>
          <t>High</t>
        </is>
      </c>
      <c r="M3034" t="inlineStr">
        <is>
          <t>LLM</t>
        </is>
      </c>
      <c r="N3034" t="inlineStr">
        <is>
          <t>2026-04-18</t>
        </is>
      </c>
      <c r="O3034" t="inlineStr">
        <is>
          <t>AI</t>
        </is>
      </c>
    </row>
    <row r="3035">
      <c r="A3035" t="inlineStr">
        <is>
          <t>PT Mahkota Group Tbk</t>
        </is>
      </c>
      <c r="B3035" t="inlineStr">
        <is>
          <t>MGRO_2022_AR.pdf</t>
        </is>
      </c>
      <c r="C3035" t="n">
        <v>2022</v>
      </c>
      <c r="D3035" t="inlineStr">
        <is>
          <t>Financial</t>
        </is>
      </c>
      <c r="E3035" t="inlineStr">
        <is>
          <t>Total Equity</t>
        </is>
      </c>
      <c r="F3035" t="n">
        <v>645.37</v>
      </c>
      <c r="G3035" t="inlineStr">
        <is>
          <t>IDR bn</t>
        </is>
      </c>
      <c r="H3035" t="n">
        <v>61</v>
      </c>
      <c r="I3035" t="inlineStr">
        <is>
          <t>Total Ekuitas 645,37 709,80</t>
        </is>
      </c>
      <c r="J3035" t="inlineStr">
        <is>
          <t>High</t>
        </is>
      </c>
      <c r="M3035" t="inlineStr">
        <is>
          <t>LLM</t>
        </is>
      </c>
      <c r="N3035" t="inlineStr">
        <is>
          <t>2026-04-18</t>
        </is>
      </c>
      <c r="O3035" t="inlineStr">
        <is>
          <t>AI</t>
        </is>
      </c>
    </row>
    <row r="3036">
      <c r="A3036" t="inlineStr">
        <is>
          <t>PT Mahkota Group Tbk</t>
        </is>
      </c>
      <c r="B3036" t="inlineStr">
        <is>
          <t>MGRO_2022_AR.pdf</t>
        </is>
      </c>
      <c r="C3036" t="n">
        <v>2022</v>
      </c>
      <c r="D3036" t="inlineStr">
        <is>
          <t>Financial</t>
        </is>
      </c>
      <c r="E3036" t="inlineStr">
        <is>
          <t>Equity Attributable to Parent</t>
        </is>
      </c>
      <c r="F3036" t="n">
        <v>606.89</v>
      </c>
      <c r="G3036" t="inlineStr">
        <is>
          <t>IDR bn</t>
        </is>
      </c>
      <c r="H3036" t="n">
        <v>250</v>
      </c>
      <c r="I3036" t="inlineStr">
        <is>
          <t>pemilik entitas induk 606.893.257.484 646.183.135.956</t>
        </is>
      </c>
      <c r="J3036" t="inlineStr">
        <is>
          <t>High</t>
        </is>
      </c>
      <c r="M3036" t="inlineStr">
        <is>
          <t>LLM</t>
        </is>
      </c>
      <c r="N3036" t="inlineStr">
        <is>
          <t>2026-04-18</t>
        </is>
      </c>
      <c r="O3036" t="inlineStr">
        <is>
          <t>AI</t>
        </is>
      </c>
    </row>
    <row r="3037">
      <c r="A3037" t="inlineStr">
        <is>
          <t>PT Mahkota Group Tbk</t>
        </is>
      </c>
      <c r="B3037" t="inlineStr">
        <is>
          <t>MGRO_2022_AR.pdf</t>
        </is>
      </c>
      <c r="C3037" t="n">
        <v>2022</v>
      </c>
      <c r="D3037" t="inlineStr">
        <is>
          <t>Financial</t>
        </is>
      </c>
      <c r="E3037" t="inlineStr">
        <is>
          <t>Cash &amp; Cash Equivalents</t>
        </is>
      </c>
      <c r="F3037" t="n">
        <v>457.6</v>
      </c>
      <c r="G3037" t="inlineStr">
        <is>
          <t>IDR bn</t>
        </is>
      </c>
      <c r="H3037" t="n">
        <v>249</v>
      </c>
      <c r="I3037" t="inlineStr">
        <is>
          <t>Kas dan setara kas 6 457.603.972.507 90.763.070.618</t>
        </is>
      </c>
      <c r="J3037" t="inlineStr">
        <is>
          <t>High</t>
        </is>
      </c>
      <c r="M3037" t="inlineStr">
        <is>
          <t>LLM</t>
        </is>
      </c>
      <c r="N3037" t="inlineStr">
        <is>
          <t>2026-04-18</t>
        </is>
      </c>
      <c r="O3037" t="inlineStr">
        <is>
          <t>AI</t>
        </is>
      </c>
    </row>
    <row r="3038">
      <c r="A3038" t="inlineStr">
        <is>
          <t>PT Mahkota Group Tbk</t>
        </is>
      </c>
      <c r="B3038" t="inlineStr">
        <is>
          <t>MGRO_2022_AR.pdf</t>
        </is>
      </c>
      <c r="C3038" t="n">
        <v>2022</v>
      </c>
      <c r="D3038" t="inlineStr">
        <is>
          <t>Financial</t>
        </is>
      </c>
      <c r="E3038" t="inlineStr">
        <is>
          <t>Inventories</t>
        </is>
      </c>
      <c r="F3038" t="n">
        <v>693.64</v>
      </c>
      <c r="G3038" t="inlineStr">
        <is>
          <t>IDR bn</t>
        </is>
      </c>
      <c r="H3038" t="n">
        <v>249</v>
      </c>
      <c r="I3038" t="inlineStr">
        <is>
          <t>Persediaan 9 693.644.234.553 429.327.199.094</t>
        </is>
      </c>
      <c r="J3038" t="inlineStr">
        <is>
          <t>High</t>
        </is>
      </c>
      <c r="M3038" t="inlineStr">
        <is>
          <t>LLM</t>
        </is>
      </c>
      <c r="N3038" t="inlineStr">
        <is>
          <t>2026-04-18</t>
        </is>
      </c>
      <c r="O3038" t="inlineStr">
        <is>
          <t>AI</t>
        </is>
      </c>
    </row>
    <row r="3039">
      <c r="A3039" t="inlineStr">
        <is>
          <t>PT Mahkota Group Tbk</t>
        </is>
      </c>
      <c r="B3039" t="inlineStr">
        <is>
          <t>MGRO_2022_AR.pdf</t>
        </is>
      </c>
      <c r="C3039" t="n">
        <v>2022</v>
      </c>
      <c r="D3039" t="inlineStr">
        <is>
          <t>Financial</t>
        </is>
      </c>
      <c r="E3039" t="inlineStr">
        <is>
          <t>Short-term Bank Loans</t>
        </is>
      </c>
      <c r="F3039" t="n">
        <v>1084.69</v>
      </c>
      <c r="G3039" t="inlineStr">
        <is>
          <t>IDR bn</t>
        </is>
      </c>
      <c r="H3039" t="n">
        <v>250</v>
      </c>
      <c r="I3039" t="inlineStr">
        <is>
          <t>Pinjaman bank jangka pendek 21 1.084.687.058.283 508.358.165.634</t>
        </is>
      </c>
      <c r="J3039" t="inlineStr">
        <is>
          <t>High</t>
        </is>
      </c>
      <c r="M3039" t="inlineStr">
        <is>
          <t>LLM</t>
        </is>
      </c>
      <c r="N3039" t="inlineStr">
        <is>
          <t>2026-04-18</t>
        </is>
      </c>
      <c r="O3039" t="inlineStr">
        <is>
          <t>AI</t>
        </is>
      </c>
    </row>
    <row r="3040">
      <c r="A3040" t="inlineStr">
        <is>
          <t>PT Mahkota Group Tbk</t>
        </is>
      </c>
      <c r="B3040" t="inlineStr">
        <is>
          <t>MGRO_2022_AR.pdf</t>
        </is>
      </c>
      <c r="C3040" t="n">
        <v>2022</v>
      </c>
      <c r="D3040" t="inlineStr">
        <is>
          <t>Financial</t>
        </is>
      </c>
      <c r="E3040" t="inlineStr">
        <is>
          <t>Current Portion LT Bank Loans</t>
        </is>
      </c>
      <c r="F3040" t="n">
        <v>145.46</v>
      </c>
      <c r="G3040" t="inlineStr">
        <is>
          <t>IDR bn</t>
        </is>
      </c>
      <c r="H3040" t="n">
        <v>250</v>
      </c>
      <c r="I3040" t="inlineStr">
        <is>
          <t>Pinjaman bank jangka panjang 21 145.461.672.378 58.974.138.025</t>
        </is>
      </c>
      <c r="J3040" t="inlineStr">
        <is>
          <t>High</t>
        </is>
      </c>
      <c r="M3040" t="inlineStr">
        <is>
          <t>LLM</t>
        </is>
      </c>
      <c r="N3040" t="inlineStr">
        <is>
          <t>2026-04-18</t>
        </is>
      </c>
      <c r="O3040" t="inlineStr">
        <is>
          <t>AI</t>
        </is>
      </c>
    </row>
    <row r="3041">
      <c r="A3041" t="inlineStr">
        <is>
          <t>PT Mahkota Group Tbk</t>
        </is>
      </c>
      <c r="B3041" t="inlineStr">
        <is>
          <t>MGRO_2022_AR.pdf</t>
        </is>
      </c>
      <c r="C3041" t="n">
        <v>2022</v>
      </c>
      <c r="D3041" t="inlineStr">
        <is>
          <t>Financial</t>
        </is>
      </c>
      <c r="E3041" t="inlineStr">
        <is>
          <t>Long-term Bank Loans (non-current)</t>
        </is>
      </c>
      <c r="F3041" t="n">
        <v>337.76</v>
      </c>
      <c r="G3041" t="inlineStr">
        <is>
          <t>IDR bn</t>
        </is>
      </c>
      <c r="H3041" t="n">
        <v>250</v>
      </c>
      <c r="I3041" t="inlineStr">
        <is>
          <t>Pinjaman bank jangka panjang 21 337.755.416.657 278.843.345.672</t>
        </is>
      </c>
      <c r="J3041" t="inlineStr">
        <is>
          <t>High</t>
        </is>
      </c>
      <c r="M3041" t="inlineStr">
        <is>
          <t>LLM</t>
        </is>
      </c>
      <c r="N3041" t="inlineStr">
        <is>
          <t>2026-04-18</t>
        </is>
      </c>
      <c r="O3041" t="inlineStr">
        <is>
          <t>AI</t>
        </is>
      </c>
    </row>
    <row r="3042">
      <c r="A3042" t="inlineStr">
        <is>
          <t>PT Mahkota Group Tbk</t>
        </is>
      </c>
      <c r="B3042" t="inlineStr">
        <is>
          <t>MGRO_2022_AR.pdf</t>
        </is>
      </c>
      <c r="C3042" t="n">
        <v>2022</v>
      </c>
      <c r="D3042" t="inlineStr">
        <is>
          <t>Financial</t>
        </is>
      </c>
      <c r="E3042" t="inlineStr">
        <is>
          <t>MTN (Non-Current)</t>
        </is>
      </c>
      <c r="F3042" t="n">
        <v>90</v>
      </c>
      <c r="G3042" t="inlineStr">
        <is>
          <t>IDR bn</t>
        </is>
      </c>
      <c r="H3042" t="n">
        <v>250</v>
      </c>
      <c r="I3042" t="inlineStr">
        <is>
          <t>Surat utang jangka menengah 26 90.000.000.000 - Medium term notes</t>
        </is>
      </c>
      <c r="J3042" t="inlineStr">
        <is>
          <t>High</t>
        </is>
      </c>
      <c r="M3042" t="inlineStr">
        <is>
          <t>LLM</t>
        </is>
      </c>
      <c r="N3042" t="inlineStr">
        <is>
          <t>2026-04-18</t>
        </is>
      </c>
      <c r="O3042" t="inlineStr">
        <is>
          <t>AI</t>
        </is>
      </c>
    </row>
    <row r="3043">
      <c r="A3043" t="inlineStr">
        <is>
          <t>PT Mahkota Group Tbk</t>
        </is>
      </c>
      <c r="B3043" t="inlineStr">
        <is>
          <t>MGRO_2022_AR.pdf</t>
        </is>
      </c>
      <c r="C3043" t="n">
        <v>2022</v>
      </c>
      <c r="D3043" t="inlineStr">
        <is>
          <t>Financial</t>
        </is>
      </c>
      <c r="E3043" t="inlineStr">
        <is>
          <t>Gross Debt</t>
        </is>
      </c>
      <c r="F3043" t="n">
        <v>1657.91</v>
      </c>
      <c r="G3043" t="inlineStr">
        <is>
          <t>IDR bn</t>
        </is>
      </c>
      <c r="H3043" t="n">
        <v>250</v>
      </c>
      <c r="I3043" t="inlineStr">
        <is>
          <t>Calculated: ST 1,084.69 + LT cur 145.46 + LT 337.76 + MTN 90 = 1,657.91</t>
        </is>
      </c>
      <c r="J3043" t="inlineStr">
        <is>
          <t>High</t>
        </is>
      </c>
      <c r="M3043" t="inlineStr">
        <is>
          <t>LLM</t>
        </is>
      </c>
      <c r="N3043" t="inlineStr">
        <is>
          <t>2026-04-18</t>
        </is>
      </c>
      <c r="O3043" t="inlineStr">
        <is>
          <t>AI</t>
        </is>
      </c>
    </row>
    <row r="3044">
      <c r="A3044" t="inlineStr">
        <is>
          <t>PT Mahkota Group Tbk</t>
        </is>
      </c>
      <c r="B3044" t="inlineStr">
        <is>
          <t>MGRO_2022_AR.pdf</t>
        </is>
      </c>
      <c r="C3044" t="n">
        <v>2022</v>
      </c>
      <c r="D3044" t="inlineStr">
        <is>
          <t>Financial</t>
        </is>
      </c>
      <c r="E3044" t="inlineStr">
        <is>
          <t>CFO</t>
        </is>
      </c>
      <c r="F3044" t="n">
        <v>-285.73</v>
      </c>
      <c r="G3044" t="inlineStr">
        <is>
          <t>IDR bn</t>
        </is>
      </c>
      <c r="H3044" t="n">
        <v>8</v>
      </c>
      <c r="I3044" t="inlineStr">
        <is>
          <t>Kas bersih digunakan untuk aktivitas operasi (285.731)</t>
        </is>
      </c>
      <c r="J3044" t="inlineStr">
        <is>
          <t>High</t>
        </is>
      </c>
      <c r="M3044" t="inlineStr">
        <is>
          <t>LLM</t>
        </is>
      </c>
      <c r="N3044" t="inlineStr">
        <is>
          <t>2026-04-18</t>
        </is>
      </c>
      <c r="O3044" t="inlineStr">
        <is>
          <t>AI</t>
        </is>
      </c>
    </row>
    <row r="3045">
      <c r="A3045" t="inlineStr">
        <is>
          <t>PT Mahkota Group Tbk</t>
        </is>
      </c>
      <c r="B3045" t="inlineStr">
        <is>
          <t>MGRO_2022_AR.pdf</t>
        </is>
      </c>
      <c r="C3045" t="n">
        <v>2022</v>
      </c>
      <c r="D3045" t="inlineStr">
        <is>
          <t>Financial</t>
        </is>
      </c>
      <c r="E3045" t="inlineStr">
        <is>
          <t>CFI</t>
        </is>
      </c>
      <c r="F3045" t="n">
        <v>-133.11</v>
      </c>
      <c r="G3045" t="inlineStr">
        <is>
          <t>IDR bn</t>
        </is>
      </c>
      <c r="H3045" t="n">
        <v>8</v>
      </c>
      <c r="I3045" t="inlineStr">
        <is>
          <t>Kas bersih digunakan untuk aktivitas investasi (133.107)</t>
        </is>
      </c>
      <c r="J3045" t="inlineStr">
        <is>
          <t>High</t>
        </is>
      </c>
      <c r="M3045" t="inlineStr">
        <is>
          <t>LLM</t>
        </is>
      </c>
      <c r="N3045" t="inlineStr">
        <is>
          <t>2026-04-18</t>
        </is>
      </c>
      <c r="O3045" t="inlineStr">
        <is>
          <t>AI</t>
        </is>
      </c>
    </row>
    <row r="3046">
      <c r="A3046" t="inlineStr">
        <is>
          <t>PT Mahkota Group Tbk</t>
        </is>
      </c>
      <c r="B3046" t="inlineStr">
        <is>
          <t>MGRO_2022_AR.pdf</t>
        </is>
      </c>
      <c r="C3046" t="n">
        <v>2022</v>
      </c>
      <c r="D3046" t="inlineStr">
        <is>
          <t>Financial</t>
        </is>
      </c>
      <c r="E3046" t="inlineStr">
        <is>
          <t>CFF</t>
        </is>
      </c>
      <c r="F3046" t="n">
        <v>785.6799999999999</v>
      </c>
      <c r="G3046" t="inlineStr">
        <is>
          <t>IDR bn</t>
        </is>
      </c>
      <c r="H3046" t="n">
        <v>8</v>
      </c>
      <c r="I3046" t="inlineStr">
        <is>
          <t>Kas bersih diperoleh dari aktivitas pendanaan 785.679</t>
        </is>
      </c>
      <c r="J3046" t="inlineStr">
        <is>
          <t>High</t>
        </is>
      </c>
      <c r="M3046" t="inlineStr">
        <is>
          <t>LLM</t>
        </is>
      </c>
      <c r="N3046" t="inlineStr">
        <is>
          <t>2026-04-18</t>
        </is>
      </c>
      <c r="O3046" t="inlineStr">
        <is>
          <t>AI</t>
        </is>
      </c>
    </row>
    <row r="3047">
      <c r="A3047" t="inlineStr">
        <is>
          <t>PT Mahkota Group Tbk</t>
        </is>
      </c>
      <c r="B3047" t="inlineStr">
        <is>
          <t>MGRO_2022_AR.pdf</t>
        </is>
      </c>
      <c r="C3047" t="n">
        <v>2022</v>
      </c>
      <c r="D3047" t="inlineStr">
        <is>
          <t>Financial</t>
        </is>
      </c>
      <c r="E3047" t="inlineStr">
        <is>
          <t>Shares Outstanding</t>
        </is>
      </c>
      <c r="F3047" t="n">
        <v>3554.45</v>
      </c>
      <c r="G3047" t="inlineStr">
        <is>
          <t>mn shares</t>
        </is>
      </c>
      <c r="H3047" t="n">
        <v>1</v>
      </c>
      <c r="I3047" t="inlineStr">
        <is>
          <t>3.554.445.700 saham beredar</t>
        </is>
      </c>
      <c r="J3047" t="inlineStr">
        <is>
          <t>High</t>
        </is>
      </c>
      <c r="M3047" t="inlineStr">
        <is>
          <t>LLM</t>
        </is>
      </c>
      <c r="N3047" t="inlineStr">
        <is>
          <t>2026-04-18</t>
        </is>
      </c>
      <c r="O3047" t="inlineStr">
        <is>
          <t>AI</t>
        </is>
      </c>
    </row>
    <row r="3048">
      <c r="A3048" t="inlineStr">
        <is>
          <t>PT Mahkota Group Tbk</t>
        </is>
      </c>
      <c r="B3048" t="inlineStr">
        <is>
          <t>MGRO_2022_AR.pdf</t>
        </is>
      </c>
      <c r="C3048" t="n">
        <v>2022</v>
      </c>
      <c r="D3048" t="inlineStr">
        <is>
          <t>Financial</t>
        </is>
      </c>
      <c r="E3048" t="inlineStr">
        <is>
          <t>Loss per Share</t>
        </is>
      </c>
      <c r="F3048" t="n">
        <v>-5.69</v>
      </c>
      <c r="G3048" t="inlineStr">
        <is>
          <t>Rp/share</t>
        </is>
      </c>
      <c r="H3048" t="n">
        <v>8</v>
      </c>
      <c r="I3048" t="inlineStr">
        <is>
          <t>Laba Per Saham Dasar (5,69)</t>
        </is>
      </c>
      <c r="J3048" t="inlineStr">
        <is>
          <t>High</t>
        </is>
      </c>
      <c r="M3048" t="inlineStr">
        <is>
          <t>LLM</t>
        </is>
      </c>
      <c r="N3048" t="inlineStr">
        <is>
          <t>2026-04-18</t>
        </is>
      </c>
      <c r="O3048" t="inlineStr">
        <is>
          <t>AI</t>
        </is>
      </c>
    </row>
    <row r="3049">
      <c r="A3049" t="inlineStr">
        <is>
          <t>PT Mahkota Group Tbk</t>
        </is>
      </c>
      <c r="B3049" t="inlineStr">
        <is>
          <t>MGRO_2022_AR.pdf</t>
        </is>
      </c>
      <c r="C3049" t="n">
        <v>2022</v>
      </c>
      <c r="D3049" t="inlineStr">
        <is>
          <t>Financial</t>
        </is>
      </c>
      <c r="E3049" t="inlineStr">
        <is>
          <t>Closing Price (Q4 2022)</t>
        </is>
      </c>
      <c r="F3049" t="n">
        <v>845</v>
      </c>
      <c r="G3049" t="inlineStr">
        <is>
          <t>Rp/share</t>
        </is>
      </c>
      <c r="H3049" t="n">
        <v>9</v>
      </c>
      <c r="I3049" t="inlineStr">
        <is>
          <t>IV 3.554.445.700 870 750 845</t>
        </is>
      </c>
      <c r="J3049" t="inlineStr">
        <is>
          <t>High</t>
        </is>
      </c>
      <c r="M3049" t="inlineStr">
        <is>
          <t>LLM</t>
        </is>
      </c>
      <c r="N3049" t="inlineStr">
        <is>
          <t>2026-04-18</t>
        </is>
      </c>
      <c r="O3049" t="inlineStr">
        <is>
          <t>AI</t>
        </is>
      </c>
    </row>
    <row r="3050">
      <c r="A3050" t="inlineStr">
        <is>
          <t>PT Mahkota Group Tbk</t>
        </is>
      </c>
      <c r="B3050" t="inlineStr">
        <is>
          <t>MGRO_2022_AR.pdf</t>
        </is>
      </c>
      <c r="C3050" t="n">
        <v>2022</v>
      </c>
      <c r="D3050" t="inlineStr">
        <is>
          <t>Financial</t>
        </is>
      </c>
      <c r="E3050" t="inlineStr">
        <is>
          <t>Market Cap (Q4 2022)</t>
        </is>
      </c>
      <c r="F3050" t="n">
        <v>3003.51</v>
      </c>
      <c r="G3050" t="inlineStr">
        <is>
          <t>IDR bn</t>
        </is>
      </c>
      <c r="H3050" t="n">
        <v>9</v>
      </c>
      <c r="I3050" t="inlineStr">
        <is>
          <t>Kapitalisasi Pasar IV 3.003.506.616.500</t>
        </is>
      </c>
      <c r="J3050" t="inlineStr">
        <is>
          <t>High</t>
        </is>
      </c>
      <c r="M3050" t="inlineStr">
        <is>
          <t>LLM</t>
        </is>
      </c>
      <c r="N3050" t="inlineStr">
        <is>
          <t>2026-04-18</t>
        </is>
      </c>
      <c r="O3050" t="inlineStr">
        <is>
          <t>AI</t>
        </is>
      </c>
    </row>
    <row r="3051">
      <c r="A3051" t="inlineStr">
        <is>
          <t>PT Mahkota Group Tbk</t>
        </is>
      </c>
      <c r="B3051" t="inlineStr">
        <is>
          <t>MGRO_2022_AR.pdf</t>
        </is>
      </c>
      <c r="C3051" t="n">
        <v>2022</v>
      </c>
      <c r="D3051" t="inlineStr">
        <is>
          <t>Financial</t>
        </is>
      </c>
      <c r="E3051" t="inlineStr">
        <is>
          <t>Current Ratio</t>
        </is>
      </c>
      <c r="F3051" t="n">
        <v>1.0041</v>
      </c>
      <c r="G3051" t="inlineStr">
        <is>
          <t>x</t>
        </is>
      </c>
      <c r="H3051" t="n">
        <v>9</v>
      </c>
      <c r="I3051" t="inlineStr">
        <is>
          <t>Rasio Lancar 100,41% 102,78%</t>
        </is>
      </c>
      <c r="J3051" t="inlineStr">
        <is>
          <t>High</t>
        </is>
      </c>
      <c r="M3051" t="inlineStr">
        <is>
          <t>LLM</t>
        </is>
      </c>
      <c r="N3051" t="inlineStr">
        <is>
          <t>2026-04-18</t>
        </is>
      </c>
      <c r="O3051" t="inlineStr">
        <is>
          <t>AI</t>
        </is>
      </c>
    </row>
    <row r="3052">
      <c r="A3052" t="inlineStr">
        <is>
          <t>PT Mahkota Group Tbk</t>
        </is>
      </c>
      <c r="B3052" t="inlineStr">
        <is>
          <t>MGRO_2022_AR.pdf</t>
        </is>
      </c>
      <c r="C3052" t="n">
        <v>2022</v>
      </c>
      <c r="D3052" t="inlineStr">
        <is>
          <t>Financial</t>
        </is>
      </c>
      <c r="E3052" t="inlineStr">
        <is>
          <t>Debt-to-Equity Ratio</t>
        </is>
      </c>
      <c r="F3052" t="n">
        <v>2.9693</v>
      </c>
      <c r="G3052" t="inlineStr">
        <is>
          <t>x</t>
        </is>
      </c>
      <c r="H3052" t="n">
        <v>9</v>
      </c>
      <c r="I3052" t="inlineStr">
        <is>
          <t>Rasio Liabilitas terhadap Ekuitas 296,93% 156,44%</t>
        </is>
      </c>
      <c r="J3052" t="inlineStr">
        <is>
          <t>High</t>
        </is>
      </c>
      <c r="M3052" t="inlineStr">
        <is>
          <t>LLM</t>
        </is>
      </c>
      <c r="N3052" t="inlineStr">
        <is>
          <t>2026-04-18</t>
        </is>
      </c>
      <c r="O3052" t="inlineStr">
        <is>
          <t>AI</t>
        </is>
      </c>
    </row>
    <row r="3053">
      <c r="A3053" t="inlineStr">
        <is>
          <t>PT Mahkota Group Tbk</t>
        </is>
      </c>
      <c r="B3053" t="inlineStr">
        <is>
          <t>MGRO_2022_AR.pdf</t>
        </is>
      </c>
      <c r="C3053" t="n">
        <v>2022</v>
      </c>
      <c r="D3053" t="inlineStr">
        <is>
          <t>Financial</t>
        </is>
      </c>
      <c r="E3053" t="inlineStr">
        <is>
          <t>Cash Ratio</t>
        </is>
      </c>
      <c r="F3053" t="n">
        <v>0.3215</v>
      </c>
      <c r="G3053" t="inlineStr">
        <is>
          <t>x</t>
        </is>
      </c>
      <c r="H3053" t="n">
        <v>62</v>
      </c>
      <c r="I3053" t="inlineStr">
        <is>
          <t>Rasio Kas 32,15%</t>
        </is>
      </c>
      <c r="J3053" t="inlineStr">
        <is>
          <t>High</t>
        </is>
      </c>
      <c r="M3053" t="inlineStr">
        <is>
          <t>LLM</t>
        </is>
      </c>
      <c r="N3053" t="inlineStr">
        <is>
          <t>2026-04-18</t>
        </is>
      </c>
      <c r="O3053" t="inlineStr">
        <is>
          <t>AI</t>
        </is>
      </c>
    </row>
    <row r="3054">
      <c r="A3054" t="inlineStr">
        <is>
          <t>PT Mahkota Group Tbk</t>
        </is>
      </c>
      <c r="B3054" t="inlineStr">
        <is>
          <t>MGRO_2022_AR.pdf</t>
        </is>
      </c>
      <c r="C3054" t="n">
        <v>2022</v>
      </c>
      <c r="D3054" t="inlineStr">
        <is>
          <t>Financial</t>
        </is>
      </c>
      <c r="E3054" t="inlineStr">
        <is>
          <t>MTN Issued</t>
        </is>
      </c>
      <c r="F3054" t="inlineStr">
        <is>
          <t>Rp90 bn, 3-yr, 9% p.a.</t>
        </is>
      </c>
      <c r="G3054" t="inlineStr">
        <is>
          <t>text</t>
        </is>
      </c>
      <c r="H3054" t="n">
        <v>11</v>
      </c>
      <c r="I3054" t="inlineStr">
        <is>
          <t>Pada 12 April 2022, Perseroan menerbitkan Medium Term Notes (MTN) ... Rp90.000.000.000 ... 9,00% per tahun ... Jangka Waktu 3 Tahun</t>
        </is>
      </c>
      <c r="J3054" t="inlineStr">
        <is>
          <t>High</t>
        </is>
      </c>
      <c r="M3054" t="inlineStr">
        <is>
          <t>LLM</t>
        </is>
      </c>
      <c r="N3054" t="inlineStr">
        <is>
          <t>2026-04-18</t>
        </is>
      </c>
      <c r="O3054" t="inlineStr">
        <is>
          <t>AI</t>
        </is>
      </c>
    </row>
    <row r="3055">
      <c r="A3055" t="inlineStr">
        <is>
          <t>PT Mahkota Group Tbk</t>
        </is>
      </c>
      <c r="B3055" t="inlineStr">
        <is>
          <t>MGRO_2022_AR.pdf</t>
        </is>
      </c>
      <c r="C3055" t="n">
        <v>2022</v>
      </c>
      <c r="D3055" t="inlineStr">
        <is>
          <t>Asset</t>
        </is>
      </c>
      <c r="E3055" t="inlineStr">
        <is>
          <t>Storage Tank Total Count</t>
        </is>
      </c>
      <c r="F3055" t="n">
        <v>26</v>
      </c>
      <c r="G3055" t="inlineStr">
        <is>
          <t>count</t>
        </is>
      </c>
      <c r="H3055" t="n">
        <v>60</v>
      </c>
      <c r="I3055" t="inlineStr">
        <is>
          <t>Perseroan memiliki total 26 tangki timbun</t>
        </is>
      </c>
      <c r="J3055" t="inlineStr">
        <is>
          <t>High</t>
        </is>
      </c>
      <c r="M3055" t="inlineStr">
        <is>
          <t>LLM</t>
        </is>
      </c>
      <c r="N3055" t="inlineStr">
        <is>
          <t>2026-04-18</t>
        </is>
      </c>
      <c r="O3055" t="inlineStr">
        <is>
          <t>AI</t>
        </is>
      </c>
    </row>
    <row r="3056">
      <c r="A3056" t="inlineStr">
        <is>
          <t>PT Mahkota Group Tbk</t>
        </is>
      </c>
      <c r="B3056" t="inlineStr">
        <is>
          <t>MGRO_2022_AR.pdf</t>
        </is>
      </c>
      <c r="C3056" t="n">
        <v>2022</v>
      </c>
      <c r="D3056" t="inlineStr">
        <is>
          <t>Operation</t>
        </is>
      </c>
      <c r="E3056" t="inlineStr">
        <is>
          <t>CPO Production</t>
        </is>
      </c>
      <c r="F3056" t="n">
        <v>278280</v>
      </c>
      <c r="G3056" t="inlineStr">
        <is>
          <t>t</t>
        </is>
      </c>
      <c r="H3056" t="n">
        <v>59</v>
      </c>
      <c r="I3056" t="inlineStr">
        <is>
          <t>CPO 278,28 227,20 22,5%</t>
        </is>
      </c>
      <c r="J3056" t="inlineStr">
        <is>
          <t>High</t>
        </is>
      </c>
      <c r="M3056" t="inlineStr">
        <is>
          <t>LLM</t>
        </is>
      </c>
      <c r="N3056" t="inlineStr">
        <is>
          <t>2026-04-18</t>
        </is>
      </c>
      <c r="O3056" t="inlineStr">
        <is>
          <t>AI</t>
        </is>
      </c>
    </row>
    <row r="3057">
      <c r="A3057" t="inlineStr">
        <is>
          <t>PT Mahkota Group Tbk</t>
        </is>
      </c>
      <c r="B3057" t="inlineStr">
        <is>
          <t>MGRO_2022_AR.pdf</t>
        </is>
      </c>
      <c r="C3057" t="n">
        <v>2022</v>
      </c>
      <c r="D3057" t="inlineStr">
        <is>
          <t>Operation</t>
        </is>
      </c>
      <c r="E3057" t="inlineStr">
        <is>
          <t>PK Production</t>
        </is>
      </c>
      <c r="F3057" t="n">
        <v>83960</v>
      </c>
      <c r="G3057" t="inlineStr">
        <is>
          <t>t</t>
        </is>
      </c>
      <c r="H3057" t="n">
        <v>59</v>
      </c>
      <c r="I3057" t="inlineStr">
        <is>
          <t>PK 83,96 68,07 23,3%</t>
        </is>
      </c>
      <c r="J3057" t="inlineStr">
        <is>
          <t>High</t>
        </is>
      </c>
      <c r="M3057" t="inlineStr">
        <is>
          <t>LLM</t>
        </is>
      </c>
      <c r="N3057" t="inlineStr">
        <is>
          <t>2026-04-18</t>
        </is>
      </c>
      <c r="O3057" t="inlineStr">
        <is>
          <t>AI</t>
        </is>
      </c>
    </row>
    <row r="3058">
      <c r="A3058" t="inlineStr">
        <is>
          <t>PT Mahkota Group Tbk</t>
        </is>
      </c>
      <c r="B3058" t="inlineStr">
        <is>
          <t>MGRO_2022_AR.pdf</t>
        </is>
      </c>
      <c r="C3058" t="n">
        <v>2022</v>
      </c>
      <c r="D3058" t="inlineStr">
        <is>
          <t>Operation</t>
        </is>
      </c>
      <c r="E3058" t="inlineStr">
        <is>
          <t>RBDPO Production</t>
        </is>
      </c>
      <c r="F3058" t="n">
        <v>340060</v>
      </c>
      <c r="G3058" t="inlineStr">
        <is>
          <t>t</t>
        </is>
      </c>
      <c r="H3058" t="n">
        <v>59</v>
      </c>
      <c r="I3058" t="inlineStr">
        <is>
          <t>RBDPO 340,06 322,24 5,5%</t>
        </is>
      </c>
      <c r="J3058" t="inlineStr">
        <is>
          <t>High</t>
        </is>
      </c>
      <c r="M3058" t="inlineStr">
        <is>
          <t>LLM</t>
        </is>
      </c>
      <c r="N3058" t="inlineStr">
        <is>
          <t>2026-04-18</t>
        </is>
      </c>
      <c r="O3058" t="inlineStr">
        <is>
          <t>AI</t>
        </is>
      </c>
    </row>
    <row r="3059">
      <c r="A3059" t="inlineStr">
        <is>
          <t>PT Mahkota Group Tbk</t>
        </is>
      </c>
      <c r="B3059" t="inlineStr">
        <is>
          <t>MGRO_2022_AR.pdf</t>
        </is>
      </c>
      <c r="C3059" t="n">
        <v>2022</v>
      </c>
      <c r="D3059" t="inlineStr">
        <is>
          <t>Operation</t>
        </is>
      </c>
      <c r="E3059" t="inlineStr">
        <is>
          <t>PFAD Production</t>
        </is>
      </c>
      <c r="F3059" t="n">
        <v>19610</v>
      </c>
      <c r="G3059" t="inlineStr">
        <is>
          <t>t</t>
        </is>
      </c>
      <c r="H3059" t="n">
        <v>59</v>
      </c>
      <c r="I3059" t="inlineStr">
        <is>
          <t>PFAD 19,61 17,08 14,8%</t>
        </is>
      </c>
      <c r="J3059" t="inlineStr">
        <is>
          <t>High</t>
        </is>
      </c>
      <c r="M3059" t="inlineStr">
        <is>
          <t>LLM</t>
        </is>
      </c>
      <c r="N3059" t="inlineStr">
        <is>
          <t>2026-04-18</t>
        </is>
      </c>
      <c r="O3059" t="inlineStr">
        <is>
          <t>AI</t>
        </is>
      </c>
    </row>
    <row r="3060">
      <c r="A3060" t="inlineStr">
        <is>
          <t>PT Mahkota Group Tbk</t>
        </is>
      </c>
      <c r="B3060" t="inlineStr">
        <is>
          <t>MGRO_2022_AR.pdf</t>
        </is>
      </c>
      <c r="C3060" t="n">
        <v>2022</v>
      </c>
      <c r="D3060" t="inlineStr">
        <is>
          <t>Operation</t>
        </is>
      </c>
      <c r="E3060" t="inlineStr">
        <is>
          <t>PKO Production</t>
        </is>
      </c>
      <c r="F3060" t="n">
        <v>22550</v>
      </c>
      <c r="G3060" t="inlineStr">
        <is>
          <t>t</t>
        </is>
      </c>
      <c r="H3060" t="n">
        <v>59</v>
      </c>
      <c r="I3060" t="inlineStr">
        <is>
          <t>PKO 22,55 12,02 87,6%</t>
        </is>
      </c>
      <c r="J3060" t="inlineStr">
        <is>
          <t>High</t>
        </is>
      </c>
      <c r="M3060" t="inlineStr">
        <is>
          <t>LLM</t>
        </is>
      </c>
      <c r="N3060" t="inlineStr">
        <is>
          <t>2026-04-18</t>
        </is>
      </c>
      <c r="O3060" t="inlineStr">
        <is>
          <t>AI</t>
        </is>
      </c>
    </row>
    <row r="3061">
      <c r="A3061" t="inlineStr">
        <is>
          <t>PT Mahkota Group Tbk</t>
        </is>
      </c>
      <c r="B3061" t="inlineStr">
        <is>
          <t>MGRO_2022_AR.pdf</t>
        </is>
      </c>
      <c r="C3061" t="n">
        <v>2022</v>
      </c>
      <c r="D3061" t="inlineStr">
        <is>
          <t>Operation</t>
        </is>
      </c>
      <c r="E3061" t="inlineStr">
        <is>
          <t>PKE Production</t>
        </is>
      </c>
      <c r="F3061" t="n">
        <v>27340</v>
      </c>
      <c r="G3061" t="inlineStr">
        <is>
          <t>t</t>
        </is>
      </c>
      <c r="H3061" t="n">
        <v>59</v>
      </c>
      <c r="I3061" t="inlineStr">
        <is>
          <t>PKE 27,34 14,79 84,8%</t>
        </is>
      </c>
      <c r="J3061" t="inlineStr">
        <is>
          <t>High</t>
        </is>
      </c>
      <c r="M3061" t="inlineStr">
        <is>
          <t>LLM</t>
        </is>
      </c>
      <c r="N3061" t="inlineStr">
        <is>
          <t>2026-04-18</t>
        </is>
      </c>
      <c r="O3061" t="inlineStr">
        <is>
          <t>AI</t>
        </is>
      </c>
    </row>
    <row r="3062">
      <c r="A3062" t="inlineStr">
        <is>
          <t>PT Mahkota Group Tbk</t>
        </is>
      </c>
      <c r="B3062" t="inlineStr">
        <is>
          <t>MGRO_2022_AR.pdf</t>
        </is>
      </c>
      <c r="C3062" t="n">
        <v>2022</v>
      </c>
      <c r="D3062" t="inlineStr">
        <is>
          <t>Operation</t>
        </is>
      </c>
      <c r="E3062" t="inlineStr">
        <is>
          <t>Olein Production</t>
        </is>
      </c>
      <c r="F3062" t="n">
        <v>7690</v>
      </c>
      <c r="G3062" t="inlineStr">
        <is>
          <t>t</t>
        </is>
      </c>
      <c r="H3062" t="n">
        <v>59</v>
      </c>
      <c r="I3062" t="inlineStr">
        <is>
          <t>Olein 7,69</t>
        </is>
      </c>
      <c r="J3062" t="inlineStr">
        <is>
          <t>High</t>
        </is>
      </c>
      <c r="M3062" t="inlineStr">
        <is>
          <t>LLM</t>
        </is>
      </c>
      <c r="N3062" t="inlineStr">
        <is>
          <t>2026-04-18</t>
        </is>
      </c>
      <c r="O3062" t="inlineStr">
        <is>
          <t>AI</t>
        </is>
      </c>
    </row>
    <row r="3063">
      <c r="A3063" t="inlineStr">
        <is>
          <t>PT Mahkota Group Tbk</t>
        </is>
      </c>
      <c r="B3063" t="inlineStr">
        <is>
          <t>MGRO_2022_AR.pdf</t>
        </is>
      </c>
      <c r="C3063" t="n">
        <v>2022</v>
      </c>
      <c r="D3063" t="inlineStr">
        <is>
          <t>Operation</t>
        </is>
      </c>
      <c r="E3063" t="inlineStr">
        <is>
          <t>Stearin Production</t>
        </is>
      </c>
      <c r="F3063" t="n">
        <v>2440</v>
      </c>
      <c r="G3063" t="inlineStr">
        <is>
          <t>t</t>
        </is>
      </c>
      <c r="H3063" t="n">
        <v>59</v>
      </c>
      <c r="I3063" t="inlineStr">
        <is>
          <t>Stearin 2,44</t>
        </is>
      </c>
      <c r="J3063" t="inlineStr">
        <is>
          <t>High</t>
        </is>
      </c>
      <c r="M3063" t="inlineStr">
        <is>
          <t>LLM</t>
        </is>
      </c>
      <c r="N3063" t="inlineStr">
        <is>
          <t>2026-04-18</t>
        </is>
      </c>
      <c r="O3063" t="inlineStr">
        <is>
          <t>AI</t>
        </is>
      </c>
    </row>
    <row r="3064">
      <c r="A3064" t="inlineStr">
        <is>
          <t>PT Mahkota Group Tbk</t>
        </is>
      </c>
      <c r="B3064" t="inlineStr">
        <is>
          <t>MGRO_2022_AR.pdf</t>
        </is>
      </c>
      <c r="C3064" t="n">
        <v>2022</v>
      </c>
      <c r="D3064" t="inlineStr">
        <is>
          <t>Operation</t>
        </is>
      </c>
      <c r="E3064" t="inlineStr">
        <is>
          <t>FFB Purchased (3rd Party)</t>
        </is>
      </c>
      <c r="F3064" t="n">
        <v>1506111</v>
      </c>
      <c r="G3064" t="inlineStr">
        <is>
          <t>t</t>
        </is>
      </c>
      <c r="H3064" t="n">
        <v>68</v>
      </c>
      <c r="I3064" t="inlineStr">
        <is>
          <t>TBS FFB 1.506.111 (from 2023 AR comparatives)</t>
        </is>
      </c>
      <c r="J3064" t="inlineStr">
        <is>
          <t>High</t>
        </is>
      </c>
      <c r="M3064" t="inlineStr">
        <is>
          <t>LLM</t>
        </is>
      </c>
      <c r="N3064" t="inlineStr">
        <is>
          <t>2026-04-18</t>
        </is>
      </c>
      <c r="O3064" t="inlineStr">
        <is>
          <t>AI</t>
        </is>
      </c>
    </row>
    <row r="3065">
      <c r="A3065" t="inlineStr">
        <is>
          <t>PT Mahkota Group Tbk</t>
        </is>
      </c>
      <c r="B3065" t="inlineStr">
        <is>
          <t>MGRO_2022_AR.pdf</t>
        </is>
      </c>
      <c r="C3065" t="n">
        <v>2022</v>
      </c>
      <c r="D3065" t="inlineStr">
        <is>
          <t>Operation</t>
        </is>
      </c>
      <c r="E3065" t="inlineStr">
        <is>
          <t>CPO Purchased (3rd Party)</t>
        </is>
      </c>
      <c r="F3065" t="n">
        <v>226186</v>
      </c>
      <c r="G3065" t="inlineStr">
        <is>
          <t>t</t>
        </is>
      </c>
      <c r="H3065" t="n">
        <v>68</v>
      </c>
      <c r="I3065" t="inlineStr">
        <is>
          <t>CPO 226.186 (2022 from 2023 AR comparatives)</t>
        </is>
      </c>
      <c r="J3065" t="inlineStr">
        <is>
          <t>High</t>
        </is>
      </c>
      <c r="M3065" t="inlineStr">
        <is>
          <t>LLM</t>
        </is>
      </c>
      <c r="N3065" t="inlineStr">
        <is>
          <t>2026-04-18</t>
        </is>
      </c>
      <c r="O3065" t="inlineStr">
        <is>
          <t>AI</t>
        </is>
      </c>
    </row>
    <row r="3066">
      <c r="A3066" t="inlineStr">
        <is>
          <t>PT Mahkota Group Tbk</t>
        </is>
      </c>
      <c r="B3066" t="inlineStr">
        <is>
          <t>MGRO_2022_AR.pdf</t>
        </is>
      </c>
      <c r="C3066" t="n">
        <v>2022</v>
      </c>
      <c r="D3066" t="inlineStr">
        <is>
          <t>Operation</t>
        </is>
      </c>
      <c r="E3066" t="inlineStr">
        <is>
          <t>CPO Sales Volume</t>
        </is>
      </c>
      <c r="F3066" t="n">
        <v>126936</v>
      </c>
      <c r="G3066" t="inlineStr">
        <is>
          <t>t</t>
        </is>
      </c>
      <c r="H3066" t="n">
        <v>68</v>
      </c>
      <c r="I3066" t="inlineStr">
        <is>
          <t>CPO 126.936 (2022)</t>
        </is>
      </c>
      <c r="J3066" t="inlineStr">
        <is>
          <t>High</t>
        </is>
      </c>
      <c r="M3066" t="inlineStr">
        <is>
          <t>LLM</t>
        </is>
      </c>
      <c r="N3066" t="inlineStr">
        <is>
          <t>2026-04-18</t>
        </is>
      </c>
      <c r="O3066" t="inlineStr">
        <is>
          <t>AI</t>
        </is>
      </c>
    </row>
    <row r="3067">
      <c r="A3067" t="inlineStr">
        <is>
          <t>PT Mahkota Group Tbk</t>
        </is>
      </c>
      <c r="B3067" t="inlineStr">
        <is>
          <t>MGRO_2022_AR.pdf</t>
        </is>
      </c>
      <c r="C3067" t="n">
        <v>2022</v>
      </c>
      <c r="D3067" t="inlineStr">
        <is>
          <t>Operation</t>
        </is>
      </c>
      <c r="E3067" t="inlineStr">
        <is>
          <t>RBDPO Sales Volume</t>
        </is>
      </c>
      <c r="F3067" t="n">
        <v>318592</v>
      </c>
      <c r="G3067" t="inlineStr">
        <is>
          <t>t</t>
        </is>
      </c>
      <c r="H3067" t="n">
        <v>68</v>
      </c>
      <c r="I3067" t="inlineStr">
        <is>
          <t>RBDPO 318.592 (2022)</t>
        </is>
      </c>
      <c r="J3067" t="inlineStr">
        <is>
          <t>High</t>
        </is>
      </c>
      <c r="M3067" t="inlineStr">
        <is>
          <t>LLM</t>
        </is>
      </c>
      <c r="N3067" t="inlineStr">
        <is>
          <t>2026-04-18</t>
        </is>
      </c>
      <c r="O3067" t="inlineStr">
        <is>
          <t>AI</t>
        </is>
      </c>
    </row>
    <row r="3068">
      <c r="A3068" t="inlineStr">
        <is>
          <t>PT Mahkota Group Tbk</t>
        </is>
      </c>
      <c r="B3068" t="inlineStr">
        <is>
          <t>MGRO_2022_AR.pdf</t>
        </is>
      </c>
      <c r="C3068" t="n">
        <v>2022</v>
      </c>
      <c r="D3068" t="inlineStr">
        <is>
          <t>Operation</t>
        </is>
      </c>
      <c r="E3068" t="inlineStr">
        <is>
          <t>CPO Segment Sales Revenue</t>
        </is>
      </c>
      <c r="F3068" t="n">
        <v>1528</v>
      </c>
      <c r="G3068" t="inlineStr">
        <is>
          <t>IDR bn</t>
        </is>
      </c>
      <c r="H3068" t="n">
        <v>59</v>
      </c>
      <c r="I3068" t="inlineStr">
        <is>
          <t>CPO 1.528 2.053 (25,57%)</t>
        </is>
      </c>
      <c r="J3068" t="inlineStr">
        <is>
          <t>High</t>
        </is>
      </c>
      <c r="M3068" t="inlineStr">
        <is>
          <t>LLM</t>
        </is>
      </c>
      <c r="N3068" t="inlineStr">
        <is>
          <t>2026-04-18</t>
        </is>
      </c>
      <c r="O3068" t="inlineStr">
        <is>
          <t>AI</t>
        </is>
      </c>
    </row>
    <row r="3069">
      <c r="A3069" t="inlineStr">
        <is>
          <t>PT Mahkota Group Tbk</t>
        </is>
      </c>
      <c r="B3069" t="inlineStr">
        <is>
          <t>MGRO_2022_AR.pdf</t>
        </is>
      </c>
      <c r="C3069" t="n">
        <v>2022</v>
      </c>
      <c r="D3069" t="inlineStr">
        <is>
          <t>Operation</t>
        </is>
      </c>
      <c r="E3069" t="inlineStr">
        <is>
          <t>RBDPO Segment Sales Revenue</t>
        </is>
      </c>
      <c r="F3069" t="n">
        <v>4898</v>
      </c>
      <c r="G3069" t="inlineStr">
        <is>
          <t>IDR bn</t>
        </is>
      </c>
      <c r="H3069" t="n">
        <v>59</v>
      </c>
      <c r="I3069" t="inlineStr">
        <is>
          <t>RBDPO 4.898 4.401 11,29%</t>
        </is>
      </c>
      <c r="J3069" t="inlineStr">
        <is>
          <t>High</t>
        </is>
      </c>
      <c r="M3069" t="inlineStr">
        <is>
          <t>LLM</t>
        </is>
      </c>
      <c r="N3069" t="inlineStr">
        <is>
          <t>2026-04-18</t>
        </is>
      </c>
      <c r="O3069" t="inlineStr">
        <is>
          <t>AI</t>
        </is>
      </c>
    </row>
    <row r="3070">
      <c r="A3070" t="inlineStr">
        <is>
          <t>PT Mahkota Group Tbk</t>
        </is>
      </c>
      <c r="B3070" t="inlineStr">
        <is>
          <t>MGRO_2022_AR.pdf</t>
        </is>
      </c>
      <c r="C3070" t="n">
        <v>2022</v>
      </c>
      <c r="D3070" t="inlineStr">
        <is>
          <t>Operation</t>
        </is>
      </c>
      <c r="E3070" t="inlineStr">
        <is>
          <t>PKO Segment Sales Revenue</t>
        </is>
      </c>
      <c r="F3070" t="n">
        <v>313</v>
      </c>
      <c r="G3070" t="inlineStr">
        <is>
          <t>IDR bn</t>
        </is>
      </c>
      <c r="H3070" t="n">
        <v>59</v>
      </c>
      <c r="I3070" t="inlineStr">
        <is>
          <t>PKO 313 187 67,38%</t>
        </is>
      </c>
      <c r="J3070" t="inlineStr">
        <is>
          <t>High</t>
        </is>
      </c>
      <c r="M3070" t="inlineStr">
        <is>
          <t>LLM</t>
        </is>
      </c>
      <c r="N3070" t="inlineStr">
        <is>
          <t>2026-04-18</t>
        </is>
      </c>
      <c r="O3070" t="inlineStr">
        <is>
          <t>AI</t>
        </is>
      </c>
    </row>
    <row r="3071">
      <c r="A3071" t="inlineStr">
        <is>
          <t>PT Mahkota Group Tbk</t>
        </is>
      </c>
      <c r="B3071" t="inlineStr">
        <is>
          <t>MGRO_2022_AR.pdf</t>
        </is>
      </c>
      <c r="C3071" t="n">
        <v>2022</v>
      </c>
      <c r="D3071" t="inlineStr">
        <is>
          <t>Operation</t>
        </is>
      </c>
      <c r="E3071" t="inlineStr">
        <is>
          <t>Storage Tank Leasing Revenue</t>
        </is>
      </c>
      <c r="F3071" t="n">
        <v>58.22</v>
      </c>
      <c r="G3071" t="inlineStr">
        <is>
          <t>IDR bn</t>
        </is>
      </c>
      <c r="H3071" t="n">
        <v>60</v>
      </c>
      <c r="I3071" t="inlineStr">
        <is>
          <t>Penyewaan Leasing 58,22 58,90 (1,15%)</t>
        </is>
      </c>
      <c r="J3071" t="inlineStr">
        <is>
          <t>High</t>
        </is>
      </c>
      <c r="M3071" t="inlineStr">
        <is>
          <t>LLM</t>
        </is>
      </c>
      <c r="N3071" t="inlineStr">
        <is>
          <t>2026-04-18</t>
        </is>
      </c>
      <c r="O3071" t="inlineStr">
        <is>
          <t>AI</t>
        </is>
      </c>
    </row>
    <row r="3072">
      <c r="A3072" t="inlineStr">
        <is>
          <t>PT Mahkota Group Tbk</t>
        </is>
      </c>
      <c r="B3072" t="inlineStr">
        <is>
          <t>MGRO_2022_AR.pdf</t>
        </is>
      </c>
      <c r="C3072" t="n">
        <v>2022</v>
      </c>
      <c r="D3072" t="inlineStr">
        <is>
          <t>Operation</t>
        </is>
      </c>
      <c r="E3072" t="inlineStr">
        <is>
          <t>Storage Tank Leasing Profit</t>
        </is>
      </c>
      <c r="F3072" t="n">
        <v>36.22</v>
      </c>
      <c r="G3072" t="inlineStr">
        <is>
          <t>IDR bn</t>
        </is>
      </c>
      <c r="H3072" t="n">
        <v>60</v>
      </c>
      <c r="I3072" t="inlineStr">
        <is>
          <t>Laba Profit 36,22 33,91 6,81%</t>
        </is>
      </c>
      <c r="J3072" t="inlineStr">
        <is>
          <t>High</t>
        </is>
      </c>
      <c r="M3072" t="inlineStr">
        <is>
          <t>LLM</t>
        </is>
      </c>
      <c r="N3072" t="inlineStr">
        <is>
          <t>2026-04-18</t>
        </is>
      </c>
      <c r="O3072" t="inlineStr">
        <is>
          <t>AI</t>
        </is>
      </c>
    </row>
    <row r="3073">
      <c r="A3073" t="inlineStr">
        <is>
          <t>PT Mahkota Group Tbk</t>
        </is>
      </c>
      <c r="B3073" t="inlineStr">
        <is>
          <t>MGRO_2022_AR.pdf</t>
        </is>
      </c>
      <c r="C3073" t="n">
        <v>2022</v>
      </c>
      <c r="D3073" t="inlineStr">
        <is>
          <t>Company</t>
        </is>
      </c>
      <c r="E3073" t="inlineStr">
        <is>
          <t>Auditor</t>
        </is>
      </c>
      <c r="F3073" t="inlineStr">
        <is>
          <t>KAP Gani Sigiro &amp; Handayani</t>
        </is>
      </c>
      <c r="G3073" t="inlineStr">
        <is>
          <t>text</t>
        </is>
      </c>
      <c r="H3073" t="n">
        <v>61</v>
      </c>
      <c r="I3073" t="inlineStr">
        <is>
          <t>telah diaudit oleh KAP Gani Sigiro &amp; Handayani</t>
        </is>
      </c>
      <c r="J3073" t="inlineStr">
        <is>
          <t>High</t>
        </is>
      </c>
      <c r="M3073" t="inlineStr">
        <is>
          <t>LLM</t>
        </is>
      </c>
      <c r="N3073" t="inlineStr">
        <is>
          <t>2026-04-18</t>
        </is>
      </c>
      <c r="O3073" t="inlineStr">
        <is>
          <t>AI</t>
        </is>
      </c>
    </row>
    <row r="3074">
      <c r="A3074" t="inlineStr">
        <is>
          <t>PT Mahkota Group Tbk</t>
        </is>
      </c>
      <c r="B3074" t="inlineStr">
        <is>
          <t>MGRO_2023_AR.pdf</t>
        </is>
      </c>
      <c r="C3074" t="n">
        <v>2023</v>
      </c>
      <c r="D3074" t="inlineStr">
        <is>
          <t>Company</t>
        </is>
      </c>
      <c r="E3074" t="inlineStr">
        <is>
          <t>Company Name</t>
        </is>
      </c>
      <c r="F3074" t="inlineStr">
        <is>
          <t>PT Mahkota Group Tbk</t>
        </is>
      </c>
      <c r="G3074" t="inlineStr">
        <is>
          <t>text</t>
        </is>
      </c>
      <c r="H3074" t="n">
        <v>1</v>
      </c>
      <c r="I3074" t="inlineStr">
        <is>
          <t>PT Mahkota Group Tbk 2023 Annual Report</t>
        </is>
      </c>
      <c r="J3074" t="inlineStr">
        <is>
          <t>High</t>
        </is>
      </c>
      <c r="M3074" t="inlineStr">
        <is>
          <t>LLM</t>
        </is>
      </c>
      <c r="N3074" t="inlineStr">
        <is>
          <t>2026-04-18</t>
        </is>
      </c>
      <c r="O3074" t="inlineStr">
        <is>
          <t>AI</t>
        </is>
      </c>
    </row>
    <row r="3075">
      <c r="A3075" t="inlineStr">
        <is>
          <t>PT Mahkota Group Tbk</t>
        </is>
      </c>
      <c r="B3075" t="inlineStr">
        <is>
          <t>MGRO_2023_AR.pdf</t>
        </is>
      </c>
      <c r="C3075" t="n">
        <v>2023</v>
      </c>
      <c r="D3075" t="inlineStr">
        <is>
          <t>Company</t>
        </is>
      </c>
      <c r="E3075" t="inlineStr">
        <is>
          <t>Ticker</t>
        </is>
      </c>
      <c r="F3075" t="inlineStr">
        <is>
          <t>MGRO</t>
        </is>
      </c>
      <c r="G3075" t="inlineStr">
        <is>
          <t>text</t>
        </is>
      </c>
      <c r="H3075" t="n">
        <v>32</v>
      </c>
      <c r="I3075" t="inlineStr">
        <is>
          <t>Kode Saham MGRO</t>
        </is>
      </c>
      <c r="J3075" t="inlineStr">
        <is>
          <t>High</t>
        </is>
      </c>
      <c r="M3075" t="inlineStr">
        <is>
          <t>LLM</t>
        </is>
      </c>
      <c r="N3075" t="inlineStr">
        <is>
          <t>2026-04-18</t>
        </is>
      </c>
      <c r="O3075" t="inlineStr">
        <is>
          <t>AI</t>
        </is>
      </c>
    </row>
    <row r="3076">
      <c r="A3076" t="inlineStr">
        <is>
          <t>PT Mahkota Group Tbk</t>
        </is>
      </c>
      <c r="B3076" t="inlineStr">
        <is>
          <t>MGRO_2023_AR.pdf</t>
        </is>
      </c>
      <c r="C3076" t="n">
        <v>2023</v>
      </c>
      <c r="D3076" t="inlineStr">
        <is>
          <t>Company</t>
        </is>
      </c>
      <c r="E3076" t="inlineStr">
        <is>
          <t>Head Office</t>
        </is>
      </c>
      <c r="F3076" t="inlineStr">
        <is>
          <t>Medan, North Sumatra</t>
        </is>
      </c>
      <c r="G3076" t="inlineStr">
        <is>
          <t>text</t>
        </is>
      </c>
      <c r="H3076" t="n">
        <v>32</v>
      </c>
      <c r="I3076" t="inlineStr">
        <is>
          <t>Medan 20239, Sumatra Utara</t>
        </is>
      </c>
      <c r="J3076" t="inlineStr">
        <is>
          <t>High</t>
        </is>
      </c>
      <c r="M3076" t="inlineStr">
        <is>
          <t>LLM</t>
        </is>
      </c>
      <c r="N3076" t="inlineStr">
        <is>
          <t>2026-04-18</t>
        </is>
      </c>
      <c r="O3076" t="inlineStr">
        <is>
          <t>AI</t>
        </is>
      </c>
    </row>
    <row r="3077">
      <c r="A3077" t="inlineStr">
        <is>
          <t>PT Mahkota Group Tbk</t>
        </is>
      </c>
      <c r="B3077" t="inlineStr">
        <is>
          <t>MGRO_2023_AR.pdf</t>
        </is>
      </c>
      <c r="C3077" t="n">
        <v>2023</v>
      </c>
      <c r="D3077" t="inlineStr">
        <is>
          <t>Company</t>
        </is>
      </c>
      <c r="E3077" t="inlineStr">
        <is>
          <t>Controlling Shareholder</t>
        </is>
      </c>
      <c r="F3077" t="inlineStr">
        <is>
          <t>PT Mahkota Global Investama 56.40%</t>
        </is>
      </c>
      <c r="G3077" t="inlineStr">
        <is>
          <t>%</t>
        </is>
      </c>
      <c r="H3077" t="n">
        <v>48</v>
      </c>
      <c r="I3077" t="inlineStr">
        <is>
          <t>PT Mahkota Global Investama 56,4012</t>
        </is>
      </c>
      <c r="J3077" t="inlineStr">
        <is>
          <t>High</t>
        </is>
      </c>
      <c r="M3077" t="inlineStr">
        <is>
          <t>LLM</t>
        </is>
      </c>
      <c r="N3077" t="inlineStr">
        <is>
          <t>2026-04-18</t>
        </is>
      </c>
      <c r="O3077" t="inlineStr">
        <is>
          <t>AI</t>
        </is>
      </c>
    </row>
    <row r="3078">
      <c r="A3078" t="inlineStr">
        <is>
          <t>PT Mahkota Group Tbk</t>
        </is>
      </c>
      <c r="B3078" t="inlineStr">
        <is>
          <t>MGRO_2023_AR.pdf</t>
        </is>
      </c>
      <c r="C3078" t="n">
        <v>2023</v>
      </c>
      <c r="D3078" t="inlineStr">
        <is>
          <t>Company</t>
        </is>
      </c>
      <c r="E3078" t="inlineStr">
        <is>
          <t>Ultimate Beneficial Owner</t>
        </is>
      </c>
      <c r="F3078" t="inlineStr">
        <is>
          <t>Mily</t>
        </is>
      </c>
      <c r="G3078" t="inlineStr">
        <is>
          <t>text</t>
        </is>
      </c>
      <c r="H3078" t="n">
        <v>49</v>
      </c>
      <c r="I3078" t="inlineStr">
        <is>
          <t>Pemilik manfaat akhir dari struktur kepemilikan saham Perseroan adalah Mily.</t>
        </is>
      </c>
      <c r="J3078" t="inlineStr">
        <is>
          <t>High</t>
        </is>
      </c>
      <c r="M3078" t="inlineStr">
        <is>
          <t>LLM</t>
        </is>
      </c>
      <c r="N3078" t="inlineStr">
        <is>
          <t>2026-04-18</t>
        </is>
      </c>
      <c r="O3078" t="inlineStr">
        <is>
          <t>AI</t>
        </is>
      </c>
    </row>
    <row r="3079">
      <c r="A3079" t="inlineStr">
        <is>
          <t>PT Mahkota Group Tbk</t>
        </is>
      </c>
      <c r="B3079" t="inlineStr">
        <is>
          <t>MGRO_2023_AR.pdf</t>
        </is>
      </c>
      <c r="C3079" t="n">
        <v>2023</v>
      </c>
      <c r="D3079" t="inlineStr">
        <is>
          <t>Financial</t>
        </is>
      </c>
      <c r="E3079" t="inlineStr">
        <is>
          <t>Revenue</t>
        </is>
      </c>
      <c r="F3079" t="n">
        <v>5425.48</v>
      </c>
      <c r="G3079" t="inlineStr">
        <is>
          <t>IDR bn</t>
        </is>
      </c>
      <c r="H3079" t="n">
        <v>67</v>
      </c>
      <c r="I3079" t="inlineStr">
        <is>
          <t>Pendapatan Usaha 5.425,48 7.505,70</t>
        </is>
      </c>
      <c r="J3079" t="inlineStr">
        <is>
          <t>High</t>
        </is>
      </c>
      <c r="M3079" t="inlineStr">
        <is>
          <t>LLM</t>
        </is>
      </c>
      <c r="N3079" t="inlineStr">
        <is>
          <t>2026-04-18</t>
        </is>
      </c>
      <c r="O3079" t="inlineStr">
        <is>
          <t>AI</t>
        </is>
      </c>
    </row>
    <row r="3080">
      <c r="A3080" t="inlineStr">
        <is>
          <t>PT Mahkota Group Tbk</t>
        </is>
      </c>
      <c r="B3080" t="inlineStr">
        <is>
          <t>MGRO_2023_AR.pdf</t>
        </is>
      </c>
      <c r="C3080" t="n">
        <v>2023</v>
      </c>
      <c r="D3080" t="inlineStr">
        <is>
          <t>Financial</t>
        </is>
      </c>
      <c r="E3080" t="inlineStr">
        <is>
          <t>Cost of Revenue</t>
        </is>
      </c>
      <c r="F3080" t="n">
        <v>5168.13</v>
      </c>
      <c r="G3080" t="inlineStr">
        <is>
          <t>IDR bn</t>
        </is>
      </c>
      <c r="H3080" t="n">
        <v>67</v>
      </c>
      <c r="I3080" t="inlineStr">
        <is>
          <t>Beban Pokok Pendapatan 5.168,13 6.777,09</t>
        </is>
      </c>
      <c r="J3080" t="inlineStr">
        <is>
          <t>High</t>
        </is>
      </c>
      <c r="M3080" t="inlineStr">
        <is>
          <t>LLM</t>
        </is>
      </c>
      <c r="N3080" t="inlineStr">
        <is>
          <t>2026-04-18</t>
        </is>
      </c>
      <c r="O3080" t="inlineStr">
        <is>
          <t>AI</t>
        </is>
      </c>
    </row>
    <row r="3081">
      <c r="A3081" t="inlineStr">
        <is>
          <t>PT Mahkota Group Tbk</t>
        </is>
      </c>
      <c r="B3081" t="inlineStr">
        <is>
          <t>MGRO_2023_AR.pdf</t>
        </is>
      </c>
      <c r="C3081" t="n">
        <v>2023</v>
      </c>
      <c r="D3081" t="inlineStr">
        <is>
          <t>Financial</t>
        </is>
      </c>
      <c r="E3081" t="inlineStr">
        <is>
          <t>Gross Profit</t>
        </is>
      </c>
      <c r="F3081" t="n">
        <v>257.35</v>
      </c>
      <c r="G3081" t="inlineStr">
        <is>
          <t>IDR bn</t>
        </is>
      </c>
      <c r="H3081" t="n">
        <v>266</v>
      </c>
      <c r="I3081" t="inlineStr">
        <is>
          <t>LABA BRUTO 257.351.254.455 728.609.387.314</t>
        </is>
      </c>
      <c r="J3081" t="inlineStr">
        <is>
          <t>High</t>
        </is>
      </c>
      <c r="M3081" t="inlineStr">
        <is>
          <t>LLM</t>
        </is>
      </c>
      <c r="N3081" t="inlineStr">
        <is>
          <t>2026-04-18</t>
        </is>
      </c>
      <c r="O3081" t="inlineStr">
        <is>
          <t>AI</t>
        </is>
      </c>
    </row>
    <row r="3082">
      <c r="A3082" t="inlineStr">
        <is>
          <t>PT Mahkota Group Tbk</t>
        </is>
      </c>
      <c r="B3082" t="inlineStr">
        <is>
          <t>MGRO_2023_AR.pdf</t>
        </is>
      </c>
      <c r="C3082" t="n">
        <v>2023</v>
      </c>
      <c r="D3082" t="inlineStr">
        <is>
          <t>Financial</t>
        </is>
      </c>
      <c r="E3082" t="inlineStr">
        <is>
          <t>Operating Loss</t>
        </is>
      </c>
      <c r="F3082" t="n">
        <v>-43.9</v>
      </c>
      <c r="G3082" t="inlineStr">
        <is>
          <t>IDR bn</t>
        </is>
      </c>
      <c r="H3082" t="n">
        <v>266</v>
      </c>
      <c r="I3082" t="inlineStr">
        <is>
          <t>LABA (RUGI) OPERASI (43.901.136.252) 100.537.044.367</t>
        </is>
      </c>
      <c r="J3082" t="inlineStr">
        <is>
          <t>High</t>
        </is>
      </c>
      <c r="M3082" t="inlineStr">
        <is>
          <t>LLM</t>
        </is>
      </c>
      <c r="N3082" t="inlineStr">
        <is>
          <t>2026-04-18</t>
        </is>
      </c>
      <c r="O3082" t="inlineStr">
        <is>
          <t>AI</t>
        </is>
      </c>
    </row>
    <row r="3083">
      <c r="A3083" t="inlineStr">
        <is>
          <t>PT Mahkota Group Tbk</t>
        </is>
      </c>
      <c r="B3083" t="inlineStr">
        <is>
          <t>MGRO_2023_AR.pdf</t>
        </is>
      </c>
      <c r="C3083" t="n">
        <v>2023</v>
      </c>
      <c r="D3083" t="inlineStr">
        <is>
          <t>Financial</t>
        </is>
      </c>
      <c r="E3083" t="inlineStr">
        <is>
          <t>Finance Costs</t>
        </is>
      </c>
      <c r="F3083" t="n">
        <v>117.73</v>
      </c>
      <c r="G3083" t="inlineStr">
        <is>
          <t>IDR bn</t>
        </is>
      </c>
      <c r="H3083" t="n">
        <v>266</v>
      </c>
      <c r="I3083" t="inlineStr">
        <is>
          <t>Beban keuangan 38 (117.733.374.597) (95.604.259.344)</t>
        </is>
      </c>
      <c r="J3083" t="inlineStr">
        <is>
          <t>High</t>
        </is>
      </c>
      <c r="M3083" t="inlineStr">
        <is>
          <t>LLM</t>
        </is>
      </c>
      <c r="N3083" t="inlineStr">
        <is>
          <t>2026-04-18</t>
        </is>
      </c>
      <c r="O3083" t="inlineStr">
        <is>
          <t>AI</t>
        </is>
      </c>
    </row>
    <row r="3084">
      <c r="A3084" t="inlineStr">
        <is>
          <t>PT Mahkota Group Tbk</t>
        </is>
      </c>
      <c r="B3084" t="inlineStr">
        <is>
          <t>MGRO_2023_AR.pdf</t>
        </is>
      </c>
      <c r="C3084" t="n">
        <v>2023</v>
      </c>
      <c r="D3084" t="inlineStr">
        <is>
          <t>Financial</t>
        </is>
      </c>
      <c r="E3084" t="inlineStr">
        <is>
          <t>Loss Before Tax</t>
        </is>
      </c>
      <c r="F3084" t="n">
        <v>-164.04</v>
      </c>
      <c r="G3084" t="inlineStr">
        <is>
          <t>IDR bn</t>
        </is>
      </c>
      <c r="H3084" t="n">
        <v>266</v>
      </c>
      <c r="I3084" t="inlineStr">
        <is>
          <t>RUGI SEBELUM PAJAK PENGHASILAN (164.040.233.966) (6.622.540.866)</t>
        </is>
      </c>
      <c r="J3084" t="inlineStr">
        <is>
          <t>High</t>
        </is>
      </c>
      <c r="M3084" t="inlineStr">
        <is>
          <t>LLM</t>
        </is>
      </c>
      <c r="N3084" t="inlineStr">
        <is>
          <t>2026-04-18</t>
        </is>
      </c>
      <c r="O3084" t="inlineStr">
        <is>
          <t>AI</t>
        </is>
      </c>
    </row>
    <row r="3085">
      <c r="A3085" t="inlineStr">
        <is>
          <t>PT Mahkota Group Tbk</t>
        </is>
      </c>
      <c r="B3085" t="inlineStr">
        <is>
          <t>MGRO_2023_AR.pdf</t>
        </is>
      </c>
      <c r="C3085" t="n">
        <v>2023</v>
      </c>
      <c r="D3085" t="inlineStr">
        <is>
          <t>Financial</t>
        </is>
      </c>
      <c r="E3085" t="inlineStr">
        <is>
          <t>Net Loss</t>
        </is>
      </c>
      <c r="F3085" t="n">
        <v>-172.27</v>
      </c>
      <c r="G3085" t="inlineStr">
        <is>
          <t>IDR bn</t>
        </is>
      </c>
      <c r="H3085" t="n">
        <v>266</v>
      </c>
      <c r="I3085" t="inlineStr">
        <is>
          <t>RUGI BERSIH TAHUN BERJALAN (172.273.898.363) (34.790.602.513)</t>
        </is>
      </c>
      <c r="J3085" t="inlineStr">
        <is>
          <t>High</t>
        </is>
      </c>
      <c r="M3085" t="inlineStr">
        <is>
          <t>LLM</t>
        </is>
      </c>
      <c r="N3085" t="inlineStr">
        <is>
          <t>2026-04-18</t>
        </is>
      </c>
      <c r="O3085" t="inlineStr">
        <is>
          <t>AI</t>
        </is>
      </c>
    </row>
    <row r="3086">
      <c r="A3086" t="inlineStr">
        <is>
          <t>PT Mahkota Group Tbk</t>
        </is>
      </c>
      <c r="B3086" t="inlineStr">
        <is>
          <t>MGRO_2023_AR.pdf</t>
        </is>
      </c>
      <c r="C3086" t="n">
        <v>2023</v>
      </c>
      <c r="D3086" t="inlineStr">
        <is>
          <t>Financial</t>
        </is>
      </c>
      <c r="E3086" t="inlineStr">
        <is>
          <t>Loss Attributable to Parent</t>
        </is>
      </c>
      <c r="F3086" t="n">
        <v>-152.23</v>
      </c>
      <c r="G3086" t="inlineStr">
        <is>
          <t>IDR bn</t>
        </is>
      </c>
      <c r="H3086" t="n">
        <v>8</v>
      </c>
      <c r="I3086" t="inlineStr">
        <is>
          <t>Pemilik Entitas Induk (152.234)</t>
        </is>
      </c>
      <c r="J3086" t="inlineStr">
        <is>
          <t>High</t>
        </is>
      </c>
      <c r="M3086" t="inlineStr">
        <is>
          <t>LLM</t>
        </is>
      </c>
      <c r="N3086" t="inlineStr">
        <is>
          <t>2026-04-18</t>
        </is>
      </c>
      <c r="O3086" t="inlineStr">
        <is>
          <t>AI</t>
        </is>
      </c>
    </row>
    <row r="3087">
      <c r="A3087" t="inlineStr">
        <is>
          <t>PT Mahkota Group Tbk</t>
        </is>
      </c>
      <c r="B3087" t="inlineStr">
        <is>
          <t>MGRO_2023_AR.pdf</t>
        </is>
      </c>
      <c r="C3087" t="n">
        <v>2023</v>
      </c>
      <c r="D3087" t="inlineStr">
        <is>
          <t>Financial</t>
        </is>
      </c>
      <c r="E3087" t="inlineStr">
        <is>
          <t>Loss to Non-controlling</t>
        </is>
      </c>
      <c r="F3087" t="n">
        <v>-20.04</v>
      </c>
      <c r="G3087" t="inlineStr">
        <is>
          <t>IDR bn</t>
        </is>
      </c>
      <c r="H3087" t="n">
        <v>8</v>
      </c>
      <c r="I3087" t="inlineStr">
        <is>
          <t>Kepentingan Non Pengendali (20.040)</t>
        </is>
      </c>
      <c r="J3087" t="inlineStr">
        <is>
          <t>High</t>
        </is>
      </c>
      <c r="M3087" t="inlineStr">
        <is>
          <t>LLM</t>
        </is>
      </c>
      <c r="N3087" t="inlineStr">
        <is>
          <t>2026-04-18</t>
        </is>
      </c>
      <c r="O3087" t="inlineStr">
        <is>
          <t>AI</t>
        </is>
      </c>
    </row>
    <row r="3088">
      <c r="A3088" t="inlineStr">
        <is>
          <t>PT Mahkota Group Tbk</t>
        </is>
      </c>
      <c r="B3088" t="inlineStr">
        <is>
          <t>MGRO_2023_AR.pdf</t>
        </is>
      </c>
      <c r="C3088" t="n">
        <v>2023</v>
      </c>
      <c r="D3088" t="inlineStr">
        <is>
          <t>Financial</t>
        </is>
      </c>
      <c r="E3088" t="inlineStr">
        <is>
          <t>Comprehensive Loss</t>
        </is>
      </c>
      <c r="F3088" t="n">
        <v>-163.5</v>
      </c>
      <c r="G3088" t="inlineStr">
        <is>
          <t>IDR bn</t>
        </is>
      </c>
      <c r="H3088" t="n">
        <v>8</v>
      </c>
      <c r="I3088" t="inlineStr">
        <is>
          <t>Jumlah Penghasilan Komprehensif (163.503)</t>
        </is>
      </c>
      <c r="J3088" t="inlineStr">
        <is>
          <t>High</t>
        </is>
      </c>
      <c r="M3088" t="inlineStr">
        <is>
          <t>LLM</t>
        </is>
      </c>
      <c r="N3088" t="inlineStr">
        <is>
          <t>2026-04-18</t>
        </is>
      </c>
      <c r="O3088" t="inlineStr">
        <is>
          <t>AI</t>
        </is>
      </c>
    </row>
    <row r="3089">
      <c r="A3089" t="inlineStr">
        <is>
          <t>PT Mahkota Group Tbk</t>
        </is>
      </c>
      <c r="B3089" t="inlineStr">
        <is>
          <t>MGRO_2023_AR.pdf</t>
        </is>
      </c>
      <c r="C3089" t="n">
        <v>2023</v>
      </c>
      <c r="D3089" t="inlineStr">
        <is>
          <t>Financial</t>
        </is>
      </c>
      <c r="E3089" t="inlineStr">
        <is>
          <t>Total Assets</t>
        </is>
      </c>
      <c r="F3089" t="n">
        <v>2680.2</v>
      </c>
      <c r="G3089" t="inlineStr">
        <is>
          <t>IDR bn</t>
        </is>
      </c>
      <c r="H3089" t="n">
        <v>66</v>
      </c>
      <c r="I3089" t="inlineStr">
        <is>
          <t>Total Aset 2.680,20 2.561,66</t>
        </is>
      </c>
      <c r="J3089" t="inlineStr">
        <is>
          <t>High</t>
        </is>
      </c>
      <c r="M3089" t="inlineStr">
        <is>
          <t>LLM</t>
        </is>
      </c>
      <c r="N3089" t="inlineStr">
        <is>
          <t>2026-04-18</t>
        </is>
      </c>
      <c r="O3089" t="inlineStr">
        <is>
          <t>AI</t>
        </is>
      </c>
    </row>
    <row r="3090">
      <c r="A3090" t="inlineStr">
        <is>
          <t>PT Mahkota Group Tbk</t>
        </is>
      </c>
      <c r="B3090" t="inlineStr">
        <is>
          <t>MGRO_2023_AR.pdf</t>
        </is>
      </c>
      <c r="C3090" t="n">
        <v>2023</v>
      </c>
      <c r="D3090" t="inlineStr">
        <is>
          <t>Financial</t>
        </is>
      </c>
      <c r="E3090" t="inlineStr">
        <is>
          <t>Current Assets</t>
        </is>
      </c>
      <c r="F3090" t="n">
        <v>1425.67</v>
      </c>
      <c r="G3090" t="inlineStr">
        <is>
          <t>IDR bn</t>
        </is>
      </c>
      <c r="H3090" t="n">
        <v>66</v>
      </c>
      <c r="I3090" t="inlineStr">
        <is>
          <t>Aset Lancar 1.425,67 1.429,23</t>
        </is>
      </c>
      <c r="J3090" t="inlineStr">
        <is>
          <t>High</t>
        </is>
      </c>
      <c r="M3090" t="inlineStr">
        <is>
          <t>LLM</t>
        </is>
      </c>
      <c r="N3090" t="inlineStr">
        <is>
          <t>2026-04-18</t>
        </is>
      </c>
      <c r="O3090" t="inlineStr">
        <is>
          <t>AI</t>
        </is>
      </c>
    </row>
    <row r="3091">
      <c r="A3091" t="inlineStr">
        <is>
          <t>PT Mahkota Group Tbk</t>
        </is>
      </c>
      <c r="B3091" t="inlineStr">
        <is>
          <t>MGRO_2023_AR.pdf</t>
        </is>
      </c>
      <c r="C3091" t="n">
        <v>2023</v>
      </c>
      <c r="D3091" t="inlineStr">
        <is>
          <t>Financial</t>
        </is>
      </c>
      <c r="E3091" t="inlineStr">
        <is>
          <t>Non-Current Assets</t>
        </is>
      </c>
      <c r="F3091" t="n">
        <v>1254.53</v>
      </c>
      <c r="G3091" t="inlineStr">
        <is>
          <t>IDR bn</t>
        </is>
      </c>
      <c r="H3091" t="n">
        <v>66</v>
      </c>
      <c r="I3091" t="inlineStr">
        <is>
          <t>Aset Tidak Lancar 1.254,53 1.132,43</t>
        </is>
      </c>
      <c r="J3091" t="inlineStr">
        <is>
          <t>High</t>
        </is>
      </c>
      <c r="M3091" t="inlineStr">
        <is>
          <t>LLM</t>
        </is>
      </c>
      <c r="N3091" t="inlineStr">
        <is>
          <t>2026-04-18</t>
        </is>
      </c>
      <c r="O3091" t="inlineStr">
        <is>
          <t>AI</t>
        </is>
      </c>
    </row>
    <row r="3092">
      <c r="A3092" t="inlineStr">
        <is>
          <t>PT Mahkota Group Tbk</t>
        </is>
      </c>
      <c r="B3092" t="inlineStr">
        <is>
          <t>MGRO_2023_AR.pdf</t>
        </is>
      </c>
      <c r="C3092" t="n">
        <v>2023</v>
      </c>
      <c r="D3092" t="inlineStr">
        <is>
          <t>Financial</t>
        </is>
      </c>
      <c r="E3092" t="inlineStr">
        <is>
          <t>Total Liabilities</t>
        </is>
      </c>
      <c r="F3092" t="n">
        <v>2159.14</v>
      </c>
      <c r="G3092" t="inlineStr">
        <is>
          <t>IDR bn</t>
        </is>
      </c>
      <c r="H3092" t="n">
        <v>66</v>
      </c>
      <c r="I3092" t="inlineStr">
        <is>
          <t>Total Liabilitas 2.159,14 1.916,29</t>
        </is>
      </c>
      <c r="J3092" t="inlineStr">
        <is>
          <t>High</t>
        </is>
      </c>
      <c r="M3092" t="inlineStr">
        <is>
          <t>LLM</t>
        </is>
      </c>
      <c r="N3092" t="inlineStr">
        <is>
          <t>2026-04-18</t>
        </is>
      </c>
      <c r="O3092" t="inlineStr">
        <is>
          <t>AI</t>
        </is>
      </c>
    </row>
    <row r="3093">
      <c r="A3093" t="inlineStr">
        <is>
          <t>PT Mahkota Group Tbk</t>
        </is>
      </c>
      <c r="B3093" t="inlineStr">
        <is>
          <t>MGRO_2023_AR.pdf</t>
        </is>
      </c>
      <c r="C3093" t="n">
        <v>2023</v>
      </c>
      <c r="D3093" t="inlineStr">
        <is>
          <t>Financial</t>
        </is>
      </c>
      <c r="E3093" t="inlineStr">
        <is>
          <t>Current Liabilities</t>
        </is>
      </c>
      <c r="F3093" t="n">
        <v>1693.11</v>
      </c>
      <c r="G3093" t="inlineStr">
        <is>
          <t>IDR bn</t>
        </is>
      </c>
      <c r="H3093" t="n">
        <v>66</v>
      </c>
      <c r="I3093" t="inlineStr">
        <is>
          <t>Liabilitas Jangka Pendek 1.693,11 1.423,46</t>
        </is>
      </c>
      <c r="J3093" t="inlineStr">
        <is>
          <t>High</t>
        </is>
      </c>
      <c r="M3093" t="inlineStr">
        <is>
          <t>LLM</t>
        </is>
      </c>
      <c r="N3093" t="inlineStr">
        <is>
          <t>2026-04-18</t>
        </is>
      </c>
      <c r="O3093" t="inlineStr">
        <is>
          <t>AI</t>
        </is>
      </c>
    </row>
    <row r="3094">
      <c r="A3094" t="inlineStr">
        <is>
          <t>PT Mahkota Group Tbk</t>
        </is>
      </c>
      <c r="B3094" t="inlineStr">
        <is>
          <t>MGRO_2023_AR.pdf</t>
        </is>
      </c>
      <c r="C3094" t="n">
        <v>2023</v>
      </c>
      <c r="D3094" t="inlineStr">
        <is>
          <t>Financial</t>
        </is>
      </c>
      <c r="E3094" t="inlineStr">
        <is>
          <t>Non-Current Liabilities</t>
        </is>
      </c>
      <c r="F3094" t="n">
        <v>466.02</v>
      </c>
      <c r="G3094" t="inlineStr">
        <is>
          <t>IDR bn</t>
        </is>
      </c>
      <c r="H3094" t="n">
        <v>66</v>
      </c>
      <c r="I3094" t="inlineStr">
        <is>
          <t>Liabilitas Jangka Panjang 466,02 492,83</t>
        </is>
      </c>
      <c r="J3094" t="inlineStr">
        <is>
          <t>High</t>
        </is>
      </c>
      <c r="M3094" t="inlineStr">
        <is>
          <t>LLM</t>
        </is>
      </c>
      <c r="N3094" t="inlineStr">
        <is>
          <t>2026-04-18</t>
        </is>
      </c>
      <c r="O3094" t="inlineStr">
        <is>
          <t>AI</t>
        </is>
      </c>
    </row>
    <row r="3095">
      <c r="A3095" t="inlineStr">
        <is>
          <t>PT Mahkota Group Tbk</t>
        </is>
      </c>
      <c r="B3095" t="inlineStr">
        <is>
          <t>MGRO_2023_AR.pdf</t>
        </is>
      </c>
      <c r="C3095" t="n">
        <v>2023</v>
      </c>
      <c r="D3095" t="inlineStr">
        <is>
          <t>Financial</t>
        </is>
      </c>
      <c r="E3095" t="inlineStr">
        <is>
          <t>Total Equity</t>
        </is>
      </c>
      <c r="F3095" t="n">
        <v>521.0599999999999</v>
      </c>
      <c r="G3095" t="inlineStr">
        <is>
          <t>IDR bn</t>
        </is>
      </c>
      <c r="H3095" t="n">
        <v>66</v>
      </c>
      <c r="I3095" t="inlineStr">
        <is>
          <t>Total Ekuitas 521,06 645,37</t>
        </is>
      </c>
      <c r="J3095" t="inlineStr">
        <is>
          <t>High</t>
        </is>
      </c>
      <c r="M3095" t="inlineStr">
        <is>
          <t>LLM</t>
        </is>
      </c>
      <c r="N3095" t="inlineStr">
        <is>
          <t>2026-04-18</t>
        </is>
      </c>
      <c r="O3095" t="inlineStr">
        <is>
          <t>AI</t>
        </is>
      </c>
    </row>
    <row r="3096">
      <c r="A3096" t="inlineStr">
        <is>
          <t>PT Mahkota Group Tbk</t>
        </is>
      </c>
      <c r="B3096" t="inlineStr">
        <is>
          <t>MGRO_2023_AR.pdf</t>
        </is>
      </c>
      <c r="C3096" t="n">
        <v>2023</v>
      </c>
      <c r="D3096" t="inlineStr">
        <is>
          <t>Financial</t>
        </is>
      </c>
      <c r="E3096" t="inlineStr">
        <is>
          <t>Equity Attributable to Parent</t>
        </is>
      </c>
      <c r="F3096" t="n">
        <v>460.47</v>
      </c>
      <c r="G3096" t="inlineStr">
        <is>
          <t>IDR bn</t>
        </is>
      </c>
      <c r="H3096" t="n">
        <v>266</v>
      </c>
      <c r="I3096" t="inlineStr">
        <is>
          <t>pemilik entitas induk 460.466.342.496 606.893.257.484</t>
        </is>
      </c>
      <c r="J3096" t="inlineStr">
        <is>
          <t>High</t>
        </is>
      </c>
      <c r="M3096" t="inlineStr">
        <is>
          <t>LLM</t>
        </is>
      </c>
      <c r="N3096" t="inlineStr">
        <is>
          <t>2026-04-18</t>
        </is>
      </c>
      <c r="O3096" t="inlineStr">
        <is>
          <t>AI</t>
        </is>
      </c>
    </row>
    <row r="3097">
      <c r="A3097" t="inlineStr">
        <is>
          <t>PT Mahkota Group Tbk</t>
        </is>
      </c>
      <c r="B3097" t="inlineStr">
        <is>
          <t>MGRO_2023_AR.pdf</t>
        </is>
      </c>
      <c r="C3097" t="n">
        <v>2023</v>
      </c>
      <c r="D3097" t="inlineStr">
        <is>
          <t>Financial</t>
        </is>
      </c>
      <c r="E3097" t="inlineStr">
        <is>
          <t>Cash &amp; Cash Equivalents</t>
        </is>
      </c>
      <c r="F3097" t="n">
        <v>421.27</v>
      </c>
      <c r="G3097" t="inlineStr">
        <is>
          <t>IDR bn</t>
        </is>
      </c>
      <c r="H3097" t="n">
        <v>266</v>
      </c>
      <c r="I3097" t="inlineStr">
        <is>
          <t>Kas dan setara kas 6 421.266.153.510 457.603.972.507</t>
        </is>
      </c>
      <c r="J3097" t="inlineStr">
        <is>
          <t>High</t>
        </is>
      </c>
      <c r="M3097" t="inlineStr">
        <is>
          <t>LLM</t>
        </is>
      </c>
      <c r="N3097" t="inlineStr">
        <is>
          <t>2026-04-18</t>
        </is>
      </c>
      <c r="O3097" t="inlineStr">
        <is>
          <t>AI</t>
        </is>
      </c>
    </row>
    <row r="3098">
      <c r="A3098" t="inlineStr">
        <is>
          <t>PT Mahkota Group Tbk</t>
        </is>
      </c>
      <c r="B3098" t="inlineStr">
        <is>
          <t>MGRO_2023_AR.pdf</t>
        </is>
      </c>
      <c r="C3098" t="n">
        <v>2023</v>
      </c>
      <c r="D3098" t="inlineStr">
        <is>
          <t>Financial</t>
        </is>
      </c>
      <c r="E3098" t="inlineStr">
        <is>
          <t>Restricted Cash</t>
        </is>
      </c>
      <c r="F3098" t="n">
        <v>305.87</v>
      </c>
      <c r="G3098" t="inlineStr">
        <is>
          <t>IDR bn</t>
        </is>
      </c>
      <c r="H3098" t="n">
        <v>67</v>
      </c>
      <c r="I3098" t="inlineStr">
        <is>
          <t>kas dan setara kas yang dibatasi penggunaannya sebesar Rp305,87 miliar yang merupakan deposito yang dijaminkan atas pinjaman bank</t>
        </is>
      </c>
      <c r="J3098" t="inlineStr">
        <is>
          <t>High</t>
        </is>
      </c>
      <c r="M3098" t="inlineStr">
        <is>
          <t>LLM</t>
        </is>
      </c>
      <c r="N3098" t="inlineStr">
        <is>
          <t>2026-04-18</t>
        </is>
      </c>
      <c r="O3098" t="inlineStr">
        <is>
          <t>AI</t>
        </is>
      </c>
    </row>
    <row r="3099">
      <c r="A3099" t="inlineStr">
        <is>
          <t>PT Mahkota Group Tbk</t>
        </is>
      </c>
      <c r="B3099" t="inlineStr">
        <is>
          <t>MGRO_2023_AR.pdf</t>
        </is>
      </c>
      <c r="C3099" t="n">
        <v>2023</v>
      </c>
      <c r="D3099" t="inlineStr">
        <is>
          <t>Financial</t>
        </is>
      </c>
      <c r="E3099" t="inlineStr">
        <is>
          <t>Inventories</t>
        </is>
      </c>
      <c r="F3099" t="n">
        <v>331.71</v>
      </c>
      <c r="G3099" t="inlineStr">
        <is>
          <t>IDR bn</t>
        </is>
      </c>
      <c r="H3099" t="n">
        <v>266</v>
      </c>
      <c r="I3099" t="inlineStr">
        <is>
          <t>Persediaan 9 331.711.608.612 693.644.234.553</t>
        </is>
      </c>
      <c r="J3099" t="inlineStr">
        <is>
          <t>High</t>
        </is>
      </c>
      <c r="M3099" t="inlineStr">
        <is>
          <t>LLM</t>
        </is>
      </c>
      <c r="N3099" t="inlineStr">
        <is>
          <t>2026-04-18</t>
        </is>
      </c>
      <c r="O3099" t="inlineStr">
        <is>
          <t>AI</t>
        </is>
      </c>
    </row>
    <row r="3100">
      <c r="A3100" t="inlineStr">
        <is>
          <t>PT Mahkota Group Tbk</t>
        </is>
      </c>
      <c r="B3100" t="inlineStr">
        <is>
          <t>MGRO_2023_AR.pdf</t>
        </is>
      </c>
      <c r="C3100" t="n">
        <v>2023</v>
      </c>
      <c r="D3100" t="inlineStr">
        <is>
          <t>Financial</t>
        </is>
      </c>
      <c r="E3100" t="inlineStr">
        <is>
          <t>Short-term Bank Loans</t>
        </is>
      </c>
      <c r="F3100" t="n">
        <v>1425.05</v>
      </c>
      <c r="G3100" t="inlineStr">
        <is>
          <t>IDR bn</t>
        </is>
      </c>
      <c r="H3100" t="n">
        <v>266</v>
      </c>
      <c r="I3100" t="inlineStr">
        <is>
          <t>Pinjaman bank jangka pendek 21 1.425.048.011.243 1.084.687.058.283</t>
        </is>
      </c>
      <c r="J3100" t="inlineStr">
        <is>
          <t>High</t>
        </is>
      </c>
      <c r="M3100" t="inlineStr">
        <is>
          <t>LLM</t>
        </is>
      </c>
      <c r="N3100" t="inlineStr">
        <is>
          <t>2026-04-18</t>
        </is>
      </c>
      <c r="O3100" t="inlineStr">
        <is>
          <t>AI</t>
        </is>
      </c>
    </row>
    <row r="3101">
      <c r="A3101" t="inlineStr">
        <is>
          <t>PT Mahkota Group Tbk</t>
        </is>
      </c>
      <c r="B3101" t="inlineStr">
        <is>
          <t>MGRO_2023_AR.pdf</t>
        </is>
      </c>
      <c r="C3101" t="n">
        <v>2023</v>
      </c>
      <c r="D3101" t="inlineStr">
        <is>
          <t>Financial</t>
        </is>
      </c>
      <c r="E3101" t="inlineStr">
        <is>
          <t>Current Portion LT Bank Loans</t>
        </is>
      </c>
      <c r="F3101" t="n">
        <v>88.55</v>
      </c>
      <c r="G3101" t="inlineStr">
        <is>
          <t>IDR bn</t>
        </is>
      </c>
      <c r="H3101" t="n">
        <v>266</v>
      </c>
      <c r="I3101" t="inlineStr">
        <is>
          <t>Pinjaman bank jangka panjang 21 88.550.000.000 81.461.672.378</t>
        </is>
      </c>
      <c r="J3101" t="inlineStr">
        <is>
          <t>High</t>
        </is>
      </c>
      <c r="M3101" t="inlineStr">
        <is>
          <t>LLM</t>
        </is>
      </c>
      <c r="N3101" t="inlineStr">
        <is>
          <t>2026-04-18</t>
        </is>
      </c>
      <c r="O3101" t="inlineStr">
        <is>
          <t>AI</t>
        </is>
      </c>
    </row>
    <row r="3102">
      <c r="A3102" t="inlineStr">
        <is>
          <t>PT Mahkota Group Tbk</t>
        </is>
      </c>
      <c r="B3102" t="inlineStr">
        <is>
          <t>MGRO_2023_AR.pdf</t>
        </is>
      </c>
      <c r="C3102" t="n">
        <v>2023</v>
      </c>
      <c r="D3102" t="inlineStr">
        <is>
          <t>Financial</t>
        </is>
      </c>
      <c r="E3102" t="inlineStr">
        <is>
          <t>Long-term Bank Loans (non-current)</t>
        </is>
      </c>
      <c r="F3102" t="n">
        <v>313.35</v>
      </c>
      <c r="G3102" t="inlineStr">
        <is>
          <t>IDR bn</t>
        </is>
      </c>
      <c r="H3102" t="n">
        <v>266</v>
      </c>
      <c r="I3102" t="inlineStr">
        <is>
          <t>Pinjaman bank jangka panjang 21 313.351.560.688 401.755.416.657</t>
        </is>
      </c>
      <c r="J3102" t="inlineStr">
        <is>
          <t>High</t>
        </is>
      </c>
      <c r="M3102" t="inlineStr">
        <is>
          <t>LLM</t>
        </is>
      </c>
      <c r="N3102" t="inlineStr">
        <is>
          <t>2026-04-18</t>
        </is>
      </c>
      <c r="O3102" t="inlineStr">
        <is>
          <t>AI</t>
        </is>
      </c>
    </row>
    <row r="3103">
      <c r="A3103" t="inlineStr">
        <is>
          <t>PT Mahkota Group Tbk</t>
        </is>
      </c>
      <c r="B3103" t="inlineStr">
        <is>
          <t>MGRO_2023_AR.pdf</t>
        </is>
      </c>
      <c r="C3103" t="n">
        <v>2023</v>
      </c>
      <c r="D3103" t="inlineStr">
        <is>
          <t>Financial</t>
        </is>
      </c>
      <c r="E3103" t="inlineStr">
        <is>
          <t>MTN (Non-Current)</t>
        </is>
      </c>
      <c r="F3103" t="n">
        <v>90</v>
      </c>
      <c r="G3103" t="inlineStr">
        <is>
          <t>IDR bn</t>
        </is>
      </c>
      <c r="H3103" t="n">
        <v>266</v>
      </c>
      <c r="I3103" t="inlineStr">
        <is>
          <t>Surat utang jangka menengah 26 90.000.000.000 90.000.000.000</t>
        </is>
      </c>
      <c r="J3103" t="inlineStr">
        <is>
          <t>High</t>
        </is>
      </c>
      <c r="M3103" t="inlineStr">
        <is>
          <t>LLM</t>
        </is>
      </c>
      <c r="N3103" t="inlineStr">
        <is>
          <t>2026-04-18</t>
        </is>
      </c>
      <c r="O3103" t="inlineStr">
        <is>
          <t>AI</t>
        </is>
      </c>
    </row>
    <row r="3104">
      <c r="A3104" t="inlineStr">
        <is>
          <t>PT Mahkota Group Tbk</t>
        </is>
      </c>
      <c r="B3104" t="inlineStr">
        <is>
          <t>MGRO_2023_AR.pdf</t>
        </is>
      </c>
      <c r="C3104" t="n">
        <v>2023</v>
      </c>
      <c r="D3104" t="inlineStr">
        <is>
          <t>Financial</t>
        </is>
      </c>
      <c r="E3104" t="inlineStr">
        <is>
          <t>Gross Debt</t>
        </is>
      </c>
      <c r="F3104" t="n">
        <v>1916.95</v>
      </c>
      <c r="G3104" t="inlineStr">
        <is>
          <t>IDR bn</t>
        </is>
      </c>
      <c r="H3104" t="n">
        <v>266</v>
      </c>
      <c r="I3104" t="inlineStr">
        <is>
          <t>Calculated: ST 1,425.05 + LT cur 88.55 + LT 313.35 + MTN 90 = 1,916.95</t>
        </is>
      </c>
      <c r="J3104" t="inlineStr">
        <is>
          <t>High</t>
        </is>
      </c>
      <c r="M3104" t="inlineStr">
        <is>
          <t>LLM</t>
        </is>
      </c>
      <c r="N3104" t="inlineStr">
        <is>
          <t>2026-04-18</t>
        </is>
      </c>
      <c r="O3104" t="inlineStr">
        <is>
          <t>AI</t>
        </is>
      </c>
    </row>
    <row r="3105">
      <c r="A3105" t="inlineStr">
        <is>
          <t>PT Mahkota Group Tbk</t>
        </is>
      </c>
      <c r="B3105" t="inlineStr">
        <is>
          <t>MGRO_2023_AR.pdf</t>
        </is>
      </c>
      <c r="C3105" t="n">
        <v>2023</v>
      </c>
      <c r="D3105" t="inlineStr">
        <is>
          <t>Financial</t>
        </is>
      </c>
      <c r="E3105" t="inlineStr">
        <is>
          <t>CFO</t>
        </is>
      </c>
      <c r="F3105" t="n">
        <v>309.79</v>
      </c>
      <c r="G3105" t="inlineStr">
        <is>
          <t>IDR bn</t>
        </is>
      </c>
      <c r="H3105" t="n">
        <v>70</v>
      </c>
      <c r="I3105" t="inlineStr">
        <is>
          <t>Arus Kas dari Aktivitas Operasi 309,79 (285,73)</t>
        </is>
      </c>
      <c r="J3105" t="inlineStr">
        <is>
          <t>High</t>
        </is>
      </c>
      <c r="M3105" t="inlineStr">
        <is>
          <t>LLM</t>
        </is>
      </c>
      <c r="N3105" t="inlineStr">
        <is>
          <t>2026-04-18</t>
        </is>
      </c>
      <c r="O3105" t="inlineStr">
        <is>
          <t>AI</t>
        </is>
      </c>
    </row>
    <row r="3106">
      <c r="A3106" t="inlineStr">
        <is>
          <t>PT Mahkota Group Tbk</t>
        </is>
      </c>
      <c r="B3106" t="inlineStr">
        <is>
          <t>MGRO_2023_AR.pdf</t>
        </is>
      </c>
      <c r="C3106" t="n">
        <v>2023</v>
      </c>
      <c r="D3106" t="inlineStr">
        <is>
          <t>Financial</t>
        </is>
      </c>
      <c r="E3106" t="inlineStr">
        <is>
          <t>CFI</t>
        </is>
      </c>
      <c r="F3106" t="n">
        <v>-274.59</v>
      </c>
      <c r="G3106" t="inlineStr">
        <is>
          <t>IDR bn</t>
        </is>
      </c>
      <c r="H3106" t="n">
        <v>70</v>
      </c>
      <c r="I3106" t="inlineStr">
        <is>
          <t>Arus Kas dari Aktivitas Investasi (274,59) (133,11)</t>
        </is>
      </c>
      <c r="J3106" t="inlineStr">
        <is>
          <t>High</t>
        </is>
      </c>
      <c r="M3106" t="inlineStr">
        <is>
          <t>LLM</t>
        </is>
      </c>
      <c r="N3106" t="inlineStr">
        <is>
          <t>2026-04-18</t>
        </is>
      </c>
      <c r="O3106" t="inlineStr">
        <is>
          <t>AI</t>
        </is>
      </c>
    </row>
    <row r="3107">
      <c r="A3107" t="inlineStr">
        <is>
          <t>PT Mahkota Group Tbk</t>
        </is>
      </c>
      <c r="B3107" t="inlineStr">
        <is>
          <t>MGRO_2023_AR.pdf</t>
        </is>
      </c>
      <c r="C3107" t="n">
        <v>2023</v>
      </c>
      <c r="D3107" t="inlineStr">
        <is>
          <t>Financial</t>
        </is>
      </c>
      <c r="E3107" t="inlineStr">
        <is>
          <t>CFF</t>
        </is>
      </c>
      <c r="F3107" t="n">
        <v>234.33</v>
      </c>
      <c r="G3107" t="inlineStr">
        <is>
          <t>IDR bn</t>
        </is>
      </c>
      <c r="H3107" t="n">
        <v>70</v>
      </c>
      <c r="I3107" t="inlineStr">
        <is>
          <t>Arus Kas dari Aktivitas Pendanaan 234,33 785,68</t>
        </is>
      </c>
      <c r="J3107" t="inlineStr">
        <is>
          <t>High</t>
        </is>
      </c>
      <c r="M3107" t="inlineStr">
        <is>
          <t>LLM</t>
        </is>
      </c>
      <c r="N3107" t="inlineStr">
        <is>
          <t>2026-04-18</t>
        </is>
      </c>
      <c r="O3107" t="inlineStr">
        <is>
          <t>AI</t>
        </is>
      </c>
    </row>
    <row r="3108">
      <c r="A3108" t="inlineStr">
        <is>
          <t>PT Mahkota Group Tbk</t>
        </is>
      </c>
      <c r="B3108" t="inlineStr">
        <is>
          <t>MGRO_2023_AR.pdf</t>
        </is>
      </c>
      <c r="C3108" t="n">
        <v>2023</v>
      </c>
      <c r="D3108" t="inlineStr">
        <is>
          <t>Financial</t>
        </is>
      </c>
      <c r="E3108" t="inlineStr">
        <is>
          <t>Capex (Fixed Asset Acquisition)</t>
        </is>
      </c>
      <c r="F3108" t="n">
        <v>180.81</v>
      </c>
      <c r="G3108" t="inlineStr">
        <is>
          <t>IDR bn</t>
        </is>
      </c>
      <c r="H3108" t="n">
        <v>68</v>
      </c>
      <c r="I3108" t="inlineStr">
        <is>
          <t>kenaikan pembayaran untuk perolehan aset tetap ... Rp175,79 (2023) - from 2024 AR cash flow comparatives 180,809,079,106</t>
        </is>
      </c>
      <c r="J3108" t="inlineStr">
        <is>
          <t>High</t>
        </is>
      </c>
      <c r="M3108" t="inlineStr">
        <is>
          <t>LLM</t>
        </is>
      </c>
      <c r="N3108" t="inlineStr">
        <is>
          <t>2026-04-18</t>
        </is>
      </c>
      <c r="O3108" t="inlineStr">
        <is>
          <t>AI</t>
        </is>
      </c>
    </row>
    <row r="3109">
      <c r="A3109" t="inlineStr">
        <is>
          <t>PT Mahkota Group Tbk</t>
        </is>
      </c>
      <c r="B3109" t="inlineStr">
        <is>
          <t>MGRO_2023_AR.pdf</t>
        </is>
      </c>
      <c r="C3109" t="n">
        <v>2023</v>
      </c>
      <c r="D3109" t="inlineStr">
        <is>
          <t>Financial</t>
        </is>
      </c>
      <c r="E3109" t="inlineStr">
        <is>
          <t>Shares Outstanding</t>
        </is>
      </c>
      <c r="F3109" t="n">
        <v>3554.45</v>
      </c>
      <c r="G3109" t="inlineStr">
        <is>
          <t>mn shares</t>
        </is>
      </c>
      <c r="H3109" t="n">
        <v>9</v>
      </c>
      <c r="I3109" t="inlineStr">
        <is>
          <t>3.554.445.700 saham beredar</t>
        </is>
      </c>
      <c r="J3109" t="inlineStr">
        <is>
          <t>High</t>
        </is>
      </c>
      <c r="M3109" t="inlineStr">
        <is>
          <t>LLM</t>
        </is>
      </c>
      <c r="N3109" t="inlineStr">
        <is>
          <t>2026-04-18</t>
        </is>
      </c>
      <c r="O3109" t="inlineStr">
        <is>
          <t>AI</t>
        </is>
      </c>
    </row>
    <row r="3110">
      <c r="A3110" t="inlineStr">
        <is>
          <t>PT Mahkota Group Tbk</t>
        </is>
      </c>
      <c r="B3110" t="inlineStr">
        <is>
          <t>MGRO_2023_AR.pdf</t>
        </is>
      </c>
      <c r="C3110" t="n">
        <v>2023</v>
      </c>
      <c r="D3110" t="inlineStr">
        <is>
          <t>Financial</t>
        </is>
      </c>
      <c r="E3110" t="inlineStr">
        <is>
          <t>Loss per Share</t>
        </is>
      </c>
      <c r="F3110" t="n">
        <v>-43.12</v>
      </c>
      <c r="G3110" t="inlineStr">
        <is>
          <t>Rp/share</t>
        </is>
      </c>
      <c r="H3110" t="n">
        <v>8</v>
      </c>
      <c r="I3110" t="inlineStr">
        <is>
          <t>Laba Per Saham Dasar (43,12) (5,69) 22,25</t>
        </is>
      </c>
      <c r="J3110" t="inlineStr">
        <is>
          <t>High</t>
        </is>
      </c>
      <c r="M3110" t="inlineStr">
        <is>
          <t>LLM</t>
        </is>
      </c>
      <c r="N3110" t="inlineStr">
        <is>
          <t>2026-04-18</t>
        </is>
      </c>
      <c r="O3110" t="inlineStr">
        <is>
          <t>AI</t>
        </is>
      </c>
    </row>
    <row r="3111">
      <c r="A3111" t="inlineStr">
        <is>
          <t>PT Mahkota Group Tbk</t>
        </is>
      </c>
      <c r="B3111" t="inlineStr">
        <is>
          <t>MGRO_2023_AR.pdf</t>
        </is>
      </c>
      <c r="C3111" t="n">
        <v>2023</v>
      </c>
      <c r="D3111" t="inlineStr">
        <is>
          <t>Financial</t>
        </is>
      </c>
      <c r="E3111" t="inlineStr">
        <is>
          <t>Closing Price (Q4 2023)</t>
        </is>
      </c>
      <c r="F3111" t="n">
        <v>705</v>
      </c>
      <c r="G3111" t="inlineStr">
        <is>
          <t>Rp/share</t>
        </is>
      </c>
      <c r="H3111" t="n">
        <v>9</v>
      </c>
      <c r="I3111" t="inlineStr">
        <is>
          <t>IV 3.554.445.700 745 545 705</t>
        </is>
      </c>
      <c r="J3111" t="inlineStr">
        <is>
          <t>High</t>
        </is>
      </c>
      <c r="M3111" t="inlineStr">
        <is>
          <t>LLM</t>
        </is>
      </c>
      <c r="N3111" t="inlineStr">
        <is>
          <t>2026-04-18</t>
        </is>
      </c>
      <c r="O3111" t="inlineStr">
        <is>
          <t>AI</t>
        </is>
      </c>
    </row>
    <row r="3112">
      <c r="A3112" t="inlineStr">
        <is>
          <t>PT Mahkota Group Tbk</t>
        </is>
      </c>
      <c r="B3112" t="inlineStr">
        <is>
          <t>MGRO_2023_AR.pdf</t>
        </is>
      </c>
      <c r="C3112" t="n">
        <v>2023</v>
      </c>
      <c r="D3112" t="inlineStr">
        <is>
          <t>Financial</t>
        </is>
      </c>
      <c r="E3112" t="inlineStr">
        <is>
          <t>Market Cap (Q4 2023)</t>
        </is>
      </c>
      <c r="F3112" t="n">
        <v>2505.88</v>
      </c>
      <c r="G3112" t="inlineStr">
        <is>
          <t>IDR bn</t>
        </is>
      </c>
      <c r="H3112" t="n">
        <v>9</v>
      </c>
      <c r="I3112" t="inlineStr">
        <is>
          <t>Kapitalisasi Pasar IV 2.505.884.218.500</t>
        </is>
      </c>
      <c r="J3112" t="inlineStr">
        <is>
          <t>High</t>
        </is>
      </c>
      <c r="M3112" t="inlineStr">
        <is>
          <t>LLM</t>
        </is>
      </c>
      <c r="N3112" t="inlineStr">
        <is>
          <t>2026-04-18</t>
        </is>
      </c>
      <c r="O3112" t="inlineStr">
        <is>
          <t>AI</t>
        </is>
      </c>
    </row>
    <row r="3113">
      <c r="A3113" t="inlineStr">
        <is>
          <t>PT Mahkota Group Tbk</t>
        </is>
      </c>
      <c r="B3113" t="inlineStr">
        <is>
          <t>MGRO_2023_AR.pdf</t>
        </is>
      </c>
      <c r="C3113" t="n">
        <v>2023</v>
      </c>
      <c r="D3113" t="inlineStr">
        <is>
          <t>Financial</t>
        </is>
      </c>
      <c r="E3113" t="inlineStr">
        <is>
          <t>Current Ratio</t>
        </is>
      </c>
      <c r="F3113" t="n">
        <v>0.842</v>
      </c>
      <c r="G3113" t="inlineStr">
        <is>
          <t>x</t>
        </is>
      </c>
      <c r="H3113" t="n">
        <v>9</v>
      </c>
      <c r="I3113" t="inlineStr">
        <is>
          <t>Rasio Lancar 84,20% 100,41% 102,78%</t>
        </is>
      </c>
      <c r="J3113" t="inlineStr">
        <is>
          <t>High</t>
        </is>
      </c>
      <c r="M3113" t="inlineStr">
        <is>
          <t>LLM</t>
        </is>
      </c>
      <c r="N3113" t="inlineStr">
        <is>
          <t>2026-04-18</t>
        </is>
      </c>
      <c r="O3113" t="inlineStr">
        <is>
          <t>AI</t>
        </is>
      </c>
    </row>
    <row r="3114">
      <c r="A3114" t="inlineStr">
        <is>
          <t>PT Mahkota Group Tbk</t>
        </is>
      </c>
      <c r="B3114" t="inlineStr">
        <is>
          <t>MGRO_2023_AR.pdf</t>
        </is>
      </c>
      <c r="C3114" t="n">
        <v>2023</v>
      </c>
      <c r="D3114" t="inlineStr">
        <is>
          <t>Financial</t>
        </is>
      </c>
      <c r="E3114" t="inlineStr">
        <is>
          <t>Debt-to-Equity Ratio</t>
        </is>
      </c>
      <c r="F3114" t="n">
        <v>4.1437</v>
      </c>
      <c r="G3114" t="inlineStr">
        <is>
          <t>x</t>
        </is>
      </c>
      <c r="H3114" t="n">
        <v>9</v>
      </c>
      <c r="I3114" t="inlineStr">
        <is>
          <t>Rasio Liabilitas terhadap Ekuitas 414,37% 296,93% 156,44%</t>
        </is>
      </c>
      <c r="J3114" t="inlineStr">
        <is>
          <t>High</t>
        </is>
      </c>
      <c r="M3114" t="inlineStr">
        <is>
          <t>LLM</t>
        </is>
      </c>
      <c r="N3114" t="inlineStr">
        <is>
          <t>2026-04-18</t>
        </is>
      </c>
      <c r="O3114" t="inlineStr">
        <is>
          <t>AI</t>
        </is>
      </c>
    </row>
    <row r="3115">
      <c r="A3115" t="inlineStr">
        <is>
          <t>PT Mahkota Group Tbk</t>
        </is>
      </c>
      <c r="B3115" t="inlineStr">
        <is>
          <t>MGRO_2023_AR.pdf</t>
        </is>
      </c>
      <c r="C3115" t="n">
        <v>2023</v>
      </c>
      <c r="D3115" t="inlineStr">
        <is>
          <t>Financial</t>
        </is>
      </c>
      <c r="E3115" t="inlineStr">
        <is>
          <t>Cash Ratio</t>
        </is>
      </c>
      <c r="F3115" t="n">
        <v>0.4295</v>
      </c>
      <c r="G3115" t="inlineStr">
        <is>
          <t>x</t>
        </is>
      </c>
      <c r="H3115" t="n">
        <v>71</v>
      </c>
      <c r="I3115" t="inlineStr">
        <is>
          <t>Rasio Kas 42,95% 32,15%</t>
        </is>
      </c>
      <c r="J3115" t="inlineStr">
        <is>
          <t>High</t>
        </is>
      </c>
      <c r="M3115" t="inlineStr">
        <is>
          <t>LLM</t>
        </is>
      </c>
      <c r="N3115" t="inlineStr">
        <is>
          <t>2026-04-18</t>
        </is>
      </c>
      <c r="O3115" t="inlineStr">
        <is>
          <t>AI</t>
        </is>
      </c>
    </row>
    <row r="3116">
      <c r="A3116" t="inlineStr">
        <is>
          <t>PT Mahkota Group Tbk</t>
        </is>
      </c>
      <c r="B3116" t="inlineStr">
        <is>
          <t>MGRO_2023_AR.pdf</t>
        </is>
      </c>
      <c r="C3116" t="n">
        <v>2023</v>
      </c>
      <c r="D3116" t="inlineStr">
        <is>
          <t>Asset</t>
        </is>
      </c>
      <c r="E3116" t="inlineStr">
        <is>
          <t>Planted Area (Plantation Segment)</t>
        </is>
      </c>
      <c r="F3116" t="n">
        <v>427.88</v>
      </c>
      <c r="G3116" t="inlineStr">
        <is>
          <t>ha</t>
        </is>
      </c>
      <c r="H3116" t="n">
        <v>65</v>
      </c>
      <c r="I3116" t="inlineStr">
        <is>
          <t>total luas area tanam per akhir tahun 2023 adalah sebesar 427,88 hektar</t>
        </is>
      </c>
      <c r="J3116" t="inlineStr">
        <is>
          <t>High</t>
        </is>
      </c>
      <c r="M3116" t="inlineStr">
        <is>
          <t>LLM</t>
        </is>
      </c>
      <c r="N3116" t="inlineStr">
        <is>
          <t>2026-04-18</t>
        </is>
      </c>
      <c r="O3116" t="inlineStr">
        <is>
          <t>AI</t>
        </is>
      </c>
    </row>
    <row r="3117">
      <c r="A3117" t="inlineStr">
        <is>
          <t>PT Mahkota Group Tbk</t>
        </is>
      </c>
      <c r="B3117" t="inlineStr">
        <is>
          <t>MGRO_2023_AR.pdf</t>
        </is>
      </c>
      <c r="C3117" t="n">
        <v>2023</v>
      </c>
      <c r="D3117" t="inlineStr">
        <is>
          <t>Asset</t>
        </is>
      </c>
      <c r="E3117" t="inlineStr">
        <is>
          <t>Total Land Area (Concession)</t>
        </is>
      </c>
      <c r="F3117" t="n">
        <v>967.74</v>
      </c>
      <c r="G3117" t="inlineStr">
        <is>
          <t>ha</t>
        </is>
      </c>
      <c r="H3117" t="n">
        <v>65</v>
      </c>
      <c r="I3117" t="inlineStr">
        <is>
          <t>total luas lahan sebesar 967,74 hektar</t>
        </is>
      </c>
      <c r="J3117" t="inlineStr">
        <is>
          <t>High</t>
        </is>
      </c>
      <c r="M3117" t="inlineStr">
        <is>
          <t>LLM</t>
        </is>
      </c>
      <c r="N3117" t="inlineStr">
        <is>
          <t>2026-04-18</t>
        </is>
      </c>
      <c r="O3117" t="inlineStr">
        <is>
          <t>AI</t>
        </is>
      </c>
    </row>
    <row r="3118">
      <c r="A3118" t="inlineStr">
        <is>
          <t>PT Mahkota Group Tbk</t>
        </is>
      </c>
      <c r="B3118" t="inlineStr">
        <is>
          <t>MGRO_2023_AR.pdf</t>
        </is>
      </c>
      <c r="C3118" t="n">
        <v>2023</v>
      </c>
      <c r="D3118" t="inlineStr">
        <is>
          <t>Asset</t>
        </is>
      </c>
      <c r="E3118" t="inlineStr">
        <is>
          <t>New Planting 2023</t>
        </is>
      </c>
      <c r="F3118" t="n">
        <v>71.61</v>
      </c>
      <c r="G3118" t="inlineStr">
        <is>
          <t>ha</t>
        </is>
      </c>
      <c r="H3118" t="n">
        <v>65</v>
      </c>
      <c r="I3118" t="inlineStr">
        <is>
          <t>terdapat penambahan areal lahan tanam baru seluas total 71,61 hektar</t>
        </is>
      </c>
      <c r="J3118" t="inlineStr">
        <is>
          <t>High</t>
        </is>
      </c>
      <c r="M3118" t="inlineStr">
        <is>
          <t>LLM</t>
        </is>
      </c>
      <c r="N3118" t="inlineStr">
        <is>
          <t>2026-04-18</t>
        </is>
      </c>
      <c r="O3118" t="inlineStr">
        <is>
          <t>AI</t>
        </is>
      </c>
    </row>
    <row r="3119">
      <c r="A3119" t="inlineStr">
        <is>
          <t>PT Mahkota Group Tbk</t>
        </is>
      </c>
      <c r="B3119" t="inlineStr">
        <is>
          <t>MGRO_2023_AR.pdf</t>
        </is>
      </c>
      <c r="C3119" t="n">
        <v>2023</v>
      </c>
      <c r="D3119" t="inlineStr">
        <is>
          <t>Asset</t>
        </is>
      </c>
      <c r="E3119" t="inlineStr">
        <is>
          <t>Storage Tank Total Count</t>
        </is>
      </c>
      <c r="F3119" t="n">
        <v>26</v>
      </c>
      <c r="G3119" t="inlineStr">
        <is>
          <t>count</t>
        </is>
      </c>
      <c r="H3119" t="n">
        <v>63</v>
      </c>
      <c r="I3119" t="inlineStr">
        <is>
          <t>Perseroan memiliki total 26 tangki timbun</t>
        </is>
      </c>
      <c r="J3119" t="inlineStr">
        <is>
          <t>High</t>
        </is>
      </c>
      <c r="M3119" t="inlineStr">
        <is>
          <t>LLM</t>
        </is>
      </c>
      <c r="N3119" t="inlineStr">
        <is>
          <t>2026-04-18</t>
        </is>
      </c>
      <c r="O3119" t="inlineStr">
        <is>
          <t>AI</t>
        </is>
      </c>
    </row>
    <row r="3120">
      <c r="A3120" t="inlineStr">
        <is>
          <t>PT Mahkota Group Tbk</t>
        </is>
      </c>
      <c r="B3120" t="inlineStr">
        <is>
          <t>MGRO_2023_AR.pdf</t>
        </is>
      </c>
      <c r="C3120" t="n">
        <v>2023</v>
      </c>
      <c r="D3120" t="inlineStr">
        <is>
          <t>Operation</t>
        </is>
      </c>
      <c r="E3120" t="inlineStr">
        <is>
          <t>CPO Production</t>
        </is>
      </c>
      <c r="F3120" t="n">
        <v>256930</v>
      </c>
      <c r="G3120" t="inlineStr">
        <is>
          <t>t</t>
        </is>
      </c>
      <c r="H3120" t="n">
        <v>63</v>
      </c>
      <c r="I3120" t="inlineStr">
        <is>
          <t>CPO 256,93 278,28 (7,67) (juta kg)</t>
        </is>
      </c>
      <c r="J3120" t="inlineStr">
        <is>
          <t>High</t>
        </is>
      </c>
      <c r="M3120" t="inlineStr">
        <is>
          <t>LLM</t>
        </is>
      </c>
      <c r="N3120" t="inlineStr">
        <is>
          <t>2026-04-18</t>
        </is>
      </c>
      <c r="O3120" t="inlineStr">
        <is>
          <t>AI</t>
        </is>
      </c>
    </row>
    <row r="3121">
      <c r="A3121" t="inlineStr">
        <is>
          <t>PT Mahkota Group Tbk</t>
        </is>
      </c>
      <c r="B3121" t="inlineStr">
        <is>
          <t>MGRO_2023_AR.pdf</t>
        </is>
      </c>
      <c r="C3121" t="n">
        <v>2023</v>
      </c>
      <c r="D3121" t="inlineStr">
        <is>
          <t>Operation</t>
        </is>
      </c>
      <c r="E3121" t="inlineStr">
        <is>
          <t>PK Production</t>
        </is>
      </c>
      <c r="F3121" t="n">
        <v>77230</v>
      </c>
      <c r="G3121" t="inlineStr">
        <is>
          <t>t</t>
        </is>
      </c>
      <c r="H3121" t="n">
        <v>63</v>
      </c>
      <c r="I3121" t="inlineStr">
        <is>
          <t>PK 77,23 83,96 (7,99)</t>
        </is>
      </c>
      <c r="J3121" t="inlineStr">
        <is>
          <t>High</t>
        </is>
      </c>
      <c r="M3121" t="inlineStr">
        <is>
          <t>LLM</t>
        </is>
      </c>
      <c r="N3121" t="inlineStr">
        <is>
          <t>2026-04-18</t>
        </is>
      </c>
      <c r="O3121" t="inlineStr">
        <is>
          <t>AI</t>
        </is>
      </c>
    </row>
    <row r="3122">
      <c r="A3122" t="inlineStr">
        <is>
          <t>PT Mahkota Group Tbk</t>
        </is>
      </c>
      <c r="B3122" t="inlineStr">
        <is>
          <t>MGRO_2023_AR.pdf</t>
        </is>
      </c>
      <c r="C3122" t="n">
        <v>2023</v>
      </c>
      <c r="D3122" t="inlineStr">
        <is>
          <t>Operation</t>
        </is>
      </c>
      <c r="E3122" t="inlineStr">
        <is>
          <t>RBDPO Production</t>
        </is>
      </c>
      <c r="F3122" t="n">
        <v>274680</v>
      </c>
      <c r="G3122" t="inlineStr">
        <is>
          <t>t</t>
        </is>
      </c>
      <c r="H3122" t="n">
        <v>63</v>
      </c>
      <c r="I3122" t="inlineStr">
        <is>
          <t>RBDPO 274,68 340,06 (19,23)</t>
        </is>
      </c>
      <c r="J3122" t="inlineStr">
        <is>
          <t>High</t>
        </is>
      </c>
      <c r="M3122" t="inlineStr">
        <is>
          <t>LLM</t>
        </is>
      </c>
      <c r="N3122" t="inlineStr">
        <is>
          <t>2026-04-18</t>
        </is>
      </c>
      <c r="O3122" t="inlineStr">
        <is>
          <t>AI</t>
        </is>
      </c>
    </row>
    <row r="3123">
      <c r="A3123" t="inlineStr">
        <is>
          <t>PT Mahkota Group Tbk</t>
        </is>
      </c>
      <c r="B3123" t="inlineStr">
        <is>
          <t>MGRO_2023_AR.pdf</t>
        </is>
      </c>
      <c r="C3123" t="n">
        <v>2023</v>
      </c>
      <c r="D3123" t="inlineStr">
        <is>
          <t>Operation</t>
        </is>
      </c>
      <c r="E3123" t="inlineStr">
        <is>
          <t>PFAD Production</t>
        </is>
      </c>
      <c r="F3123" t="n">
        <v>15970</v>
      </c>
      <c r="G3123" t="inlineStr">
        <is>
          <t>t</t>
        </is>
      </c>
      <c r="H3123" t="n">
        <v>63</v>
      </c>
      <c r="I3123" t="inlineStr">
        <is>
          <t>PFAD 15,97 19,61 (18,61)</t>
        </is>
      </c>
      <c r="J3123" t="inlineStr">
        <is>
          <t>High</t>
        </is>
      </c>
      <c r="M3123" t="inlineStr">
        <is>
          <t>LLM</t>
        </is>
      </c>
      <c r="N3123" t="inlineStr">
        <is>
          <t>2026-04-18</t>
        </is>
      </c>
      <c r="O3123" t="inlineStr">
        <is>
          <t>AI</t>
        </is>
      </c>
    </row>
    <row r="3124">
      <c r="A3124" t="inlineStr">
        <is>
          <t>PT Mahkota Group Tbk</t>
        </is>
      </c>
      <c r="B3124" t="inlineStr">
        <is>
          <t>MGRO_2023_AR.pdf</t>
        </is>
      </c>
      <c r="C3124" t="n">
        <v>2023</v>
      </c>
      <c r="D3124" t="inlineStr">
        <is>
          <t>Operation</t>
        </is>
      </c>
      <c r="E3124" t="inlineStr">
        <is>
          <t>PKO Production</t>
        </is>
      </c>
      <c r="F3124" t="n">
        <v>15730</v>
      </c>
      <c r="G3124" t="inlineStr">
        <is>
          <t>t</t>
        </is>
      </c>
      <c r="H3124" t="n">
        <v>63</v>
      </c>
      <c r="I3124" t="inlineStr">
        <is>
          <t>PKO 15,73 22,55 (30,27)</t>
        </is>
      </c>
      <c r="J3124" t="inlineStr">
        <is>
          <t>High</t>
        </is>
      </c>
      <c r="M3124" t="inlineStr">
        <is>
          <t>LLM</t>
        </is>
      </c>
      <c r="N3124" t="inlineStr">
        <is>
          <t>2026-04-18</t>
        </is>
      </c>
      <c r="O3124" t="inlineStr">
        <is>
          <t>AI</t>
        </is>
      </c>
    </row>
    <row r="3125">
      <c r="A3125" t="inlineStr">
        <is>
          <t>PT Mahkota Group Tbk</t>
        </is>
      </c>
      <c r="B3125" t="inlineStr">
        <is>
          <t>MGRO_2023_AR.pdf</t>
        </is>
      </c>
      <c r="C3125" t="n">
        <v>2023</v>
      </c>
      <c r="D3125" t="inlineStr">
        <is>
          <t>Operation</t>
        </is>
      </c>
      <c r="E3125" t="inlineStr">
        <is>
          <t>PKE Production</t>
        </is>
      </c>
      <c r="F3125" t="n">
        <v>19960</v>
      </c>
      <c r="G3125" t="inlineStr">
        <is>
          <t>t</t>
        </is>
      </c>
      <c r="H3125" t="n">
        <v>63</v>
      </c>
      <c r="I3125" t="inlineStr">
        <is>
          <t>PKE 19,96 27,34 (27,02)</t>
        </is>
      </c>
      <c r="J3125" t="inlineStr">
        <is>
          <t>High</t>
        </is>
      </c>
      <c r="M3125" t="inlineStr">
        <is>
          <t>LLM</t>
        </is>
      </c>
      <c r="N3125" t="inlineStr">
        <is>
          <t>2026-04-18</t>
        </is>
      </c>
      <c r="O3125" t="inlineStr">
        <is>
          <t>AI</t>
        </is>
      </c>
    </row>
    <row r="3126">
      <c r="A3126" t="inlineStr">
        <is>
          <t>PT Mahkota Group Tbk</t>
        </is>
      </c>
      <c r="B3126" t="inlineStr">
        <is>
          <t>MGRO_2023_AR.pdf</t>
        </is>
      </c>
      <c r="C3126" t="n">
        <v>2023</v>
      </c>
      <c r="D3126" t="inlineStr">
        <is>
          <t>Operation</t>
        </is>
      </c>
      <c r="E3126" t="inlineStr">
        <is>
          <t>Olein Production</t>
        </is>
      </c>
      <c r="F3126" t="n">
        <v>9420</v>
      </c>
      <c r="G3126" t="inlineStr">
        <is>
          <t>t</t>
        </is>
      </c>
      <c r="H3126" t="n">
        <v>63</v>
      </c>
      <c r="I3126" t="inlineStr">
        <is>
          <t>Olein 9,42 7,69 22,43</t>
        </is>
      </c>
      <c r="J3126" t="inlineStr">
        <is>
          <t>High</t>
        </is>
      </c>
      <c r="M3126" t="inlineStr">
        <is>
          <t>LLM</t>
        </is>
      </c>
      <c r="N3126" t="inlineStr">
        <is>
          <t>2026-04-18</t>
        </is>
      </c>
      <c r="O3126" t="inlineStr">
        <is>
          <t>AI</t>
        </is>
      </c>
    </row>
    <row r="3127">
      <c r="A3127" t="inlineStr">
        <is>
          <t>PT Mahkota Group Tbk</t>
        </is>
      </c>
      <c r="B3127" t="inlineStr">
        <is>
          <t>MGRO_2023_AR.pdf</t>
        </is>
      </c>
      <c r="C3127" t="n">
        <v>2023</v>
      </c>
      <c r="D3127" t="inlineStr">
        <is>
          <t>Operation</t>
        </is>
      </c>
      <c r="E3127" t="inlineStr">
        <is>
          <t>Stearin Production</t>
        </is>
      </c>
      <c r="F3127" t="n">
        <v>3630</v>
      </c>
      <c r="G3127" t="inlineStr">
        <is>
          <t>t</t>
        </is>
      </c>
      <c r="H3127" t="n">
        <v>63</v>
      </c>
      <c r="I3127" t="inlineStr">
        <is>
          <t>Stearin 3,63 2,44 48,38</t>
        </is>
      </c>
      <c r="J3127" t="inlineStr">
        <is>
          <t>High</t>
        </is>
      </c>
      <c r="M3127" t="inlineStr">
        <is>
          <t>LLM</t>
        </is>
      </c>
      <c r="N3127" t="inlineStr">
        <is>
          <t>2026-04-18</t>
        </is>
      </c>
      <c r="O3127" t="inlineStr">
        <is>
          <t>AI</t>
        </is>
      </c>
    </row>
    <row r="3128">
      <c r="A3128" t="inlineStr">
        <is>
          <t>PT Mahkota Group Tbk</t>
        </is>
      </c>
      <c r="B3128" t="inlineStr">
        <is>
          <t>MGRO_2023_AR.pdf</t>
        </is>
      </c>
      <c r="C3128" t="n">
        <v>2023</v>
      </c>
      <c r="D3128" t="inlineStr">
        <is>
          <t>Operation</t>
        </is>
      </c>
      <c r="E3128" t="inlineStr">
        <is>
          <t>FFB Plantation Production</t>
        </is>
      </c>
      <c r="F3128" t="n">
        <v>694591</v>
      </c>
      <c r="G3128" t="inlineStr">
        <is>
          <t>t</t>
        </is>
      </c>
      <c r="H3128" t="n">
        <v>65</v>
      </c>
      <c r="I3128" t="inlineStr">
        <is>
          <t>694.591 ton ... Tandan Buah Sawit</t>
        </is>
      </c>
      <c r="J3128" t="inlineStr">
        <is>
          <t>High</t>
        </is>
      </c>
      <c r="M3128" t="inlineStr">
        <is>
          <t>LLM</t>
        </is>
      </c>
      <c r="N3128" t="inlineStr">
        <is>
          <t>2026-04-18</t>
        </is>
      </c>
      <c r="O3128" t="inlineStr">
        <is>
          <t>AI</t>
        </is>
      </c>
    </row>
    <row r="3129">
      <c r="A3129" t="inlineStr">
        <is>
          <t>PT Mahkota Group Tbk</t>
        </is>
      </c>
      <c r="B3129" t="inlineStr">
        <is>
          <t>MGRO_2023_AR.pdf</t>
        </is>
      </c>
      <c r="C3129" t="n">
        <v>2023</v>
      </c>
      <c r="D3129" t="inlineStr">
        <is>
          <t>Operation</t>
        </is>
      </c>
      <c r="E3129" t="inlineStr">
        <is>
          <t>FFB Purchased (3rd Party)</t>
        </is>
      </c>
      <c r="F3129" t="n">
        <v>1470215</v>
      </c>
      <c r="G3129" t="inlineStr">
        <is>
          <t>t</t>
        </is>
      </c>
      <c r="H3129" t="n">
        <v>68</v>
      </c>
      <c r="I3129" t="inlineStr">
        <is>
          <t>TBS FFB 1.470.215 1.506.111 (35.896)</t>
        </is>
      </c>
      <c r="J3129" t="inlineStr">
        <is>
          <t>High</t>
        </is>
      </c>
      <c r="M3129" t="inlineStr">
        <is>
          <t>LLM</t>
        </is>
      </c>
      <c r="N3129" t="inlineStr">
        <is>
          <t>2026-04-18</t>
        </is>
      </c>
      <c r="O3129" t="inlineStr">
        <is>
          <t>AI</t>
        </is>
      </c>
    </row>
    <row r="3130">
      <c r="A3130" t="inlineStr">
        <is>
          <t>PT Mahkota Group Tbk</t>
        </is>
      </c>
      <c r="B3130" t="inlineStr">
        <is>
          <t>MGRO_2023_AR.pdf</t>
        </is>
      </c>
      <c r="C3130" t="n">
        <v>2023</v>
      </c>
      <c r="D3130" t="inlineStr">
        <is>
          <t>Operation</t>
        </is>
      </c>
      <c r="E3130" t="inlineStr">
        <is>
          <t>CPO Purchased (3rd Party)</t>
        </is>
      </c>
      <c r="F3130" t="n">
        <v>123164</v>
      </c>
      <c r="G3130" t="inlineStr">
        <is>
          <t>t</t>
        </is>
      </c>
      <c r="H3130" t="n">
        <v>68</v>
      </c>
      <c r="I3130" t="inlineStr">
        <is>
          <t>CPO 123.164 226.186 (103.022)</t>
        </is>
      </c>
      <c r="J3130" t="inlineStr">
        <is>
          <t>High</t>
        </is>
      </c>
      <c r="M3130" t="inlineStr">
        <is>
          <t>LLM</t>
        </is>
      </c>
      <c r="N3130" t="inlineStr">
        <is>
          <t>2026-04-18</t>
        </is>
      </c>
      <c r="O3130" t="inlineStr">
        <is>
          <t>AI</t>
        </is>
      </c>
    </row>
    <row r="3131">
      <c r="A3131" t="inlineStr">
        <is>
          <t>PT Mahkota Group Tbk</t>
        </is>
      </c>
      <c r="B3131" t="inlineStr">
        <is>
          <t>MGRO_2023_AR.pdf</t>
        </is>
      </c>
      <c r="C3131" t="n">
        <v>2023</v>
      </c>
      <c r="D3131" t="inlineStr">
        <is>
          <t>Operation</t>
        </is>
      </c>
      <c r="E3131" t="inlineStr">
        <is>
          <t>PK Purchased (3rd Party)</t>
        </is>
      </c>
      <c r="F3131" t="n">
        <v>21231</v>
      </c>
      <c r="G3131" t="inlineStr">
        <is>
          <t>t</t>
        </is>
      </c>
      <c r="H3131" t="n">
        <v>68</v>
      </c>
      <c r="I3131" t="inlineStr">
        <is>
          <t>PK 21.231 22.713 (1.483)</t>
        </is>
      </c>
      <c r="J3131" t="inlineStr">
        <is>
          <t>High</t>
        </is>
      </c>
      <c r="M3131" t="inlineStr">
        <is>
          <t>LLM</t>
        </is>
      </c>
      <c r="N3131" t="inlineStr">
        <is>
          <t>2026-04-18</t>
        </is>
      </c>
      <c r="O3131" t="inlineStr">
        <is>
          <t>AI</t>
        </is>
      </c>
    </row>
    <row r="3132">
      <c r="A3132" t="inlineStr">
        <is>
          <t>PT Mahkota Group Tbk</t>
        </is>
      </c>
      <c r="B3132" t="inlineStr">
        <is>
          <t>MGRO_2023_AR.pdf</t>
        </is>
      </c>
      <c r="C3132" t="n">
        <v>2023</v>
      </c>
      <c r="D3132" t="inlineStr">
        <is>
          <t>Operation</t>
        </is>
      </c>
      <c r="E3132" t="inlineStr">
        <is>
          <t>CPO Sales Volume</t>
        </is>
      </c>
      <c r="F3132" t="n">
        <v>89259</v>
      </c>
      <c r="G3132" t="inlineStr">
        <is>
          <t>t</t>
        </is>
      </c>
      <c r="H3132" t="n">
        <v>68</v>
      </c>
      <c r="I3132" t="inlineStr">
        <is>
          <t>CPO 89.259 126.936 (37.677)</t>
        </is>
      </c>
      <c r="J3132" t="inlineStr">
        <is>
          <t>High</t>
        </is>
      </c>
      <c r="M3132" t="inlineStr">
        <is>
          <t>LLM</t>
        </is>
      </c>
      <c r="N3132" t="inlineStr">
        <is>
          <t>2026-04-18</t>
        </is>
      </c>
      <c r="O3132" t="inlineStr">
        <is>
          <t>AI</t>
        </is>
      </c>
    </row>
    <row r="3133">
      <c r="A3133" t="inlineStr">
        <is>
          <t>PT Mahkota Group Tbk</t>
        </is>
      </c>
      <c r="B3133" t="inlineStr">
        <is>
          <t>MGRO_2023_AR.pdf</t>
        </is>
      </c>
      <c r="C3133" t="n">
        <v>2023</v>
      </c>
      <c r="D3133" t="inlineStr">
        <is>
          <t>Operation</t>
        </is>
      </c>
      <c r="E3133" t="inlineStr">
        <is>
          <t>PK Sales Volume</t>
        </is>
      </c>
      <c r="F3133" t="n">
        <v>59642</v>
      </c>
      <c r="G3133" t="inlineStr">
        <is>
          <t>t</t>
        </is>
      </c>
      <c r="H3133" t="n">
        <v>68</v>
      </c>
      <c r="I3133" t="inlineStr">
        <is>
          <t>PK 59.642 32.054 27.588</t>
        </is>
      </c>
      <c r="J3133" t="inlineStr">
        <is>
          <t>High</t>
        </is>
      </c>
      <c r="M3133" t="inlineStr">
        <is>
          <t>LLM</t>
        </is>
      </c>
      <c r="N3133" t="inlineStr">
        <is>
          <t>2026-04-18</t>
        </is>
      </c>
      <c r="O3133" t="inlineStr">
        <is>
          <t>AI</t>
        </is>
      </c>
    </row>
    <row r="3134">
      <c r="A3134" t="inlineStr">
        <is>
          <t>PT Mahkota Group Tbk</t>
        </is>
      </c>
      <c r="B3134" t="inlineStr">
        <is>
          <t>MGRO_2023_AR.pdf</t>
        </is>
      </c>
      <c r="C3134" t="n">
        <v>2023</v>
      </c>
      <c r="D3134" t="inlineStr">
        <is>
          <t>Operation</t>
        </is>
      </c>
      <c r="E3134" t="inlineStr">
        <is>
          <t>RBDPO Sales Volume</t>
        </is>
      </c>
      <c r="F3134" t="n">
        <v>266111</v>
      </c>
      <c r="G3134" t="inlineStr">
        <is>
          <t>t</t>
        </is>
      </c>
      <c r="H3134" t="n">
        <v>68</v>
      </c>
      <c r="I3134" t="inlineStr">
        <is>
          <t>RBDPO 266.111 318.592 (52.481)</t>
        </is>
      </c>
      <c r="J3134" t="inlineStr">
        <is>
          <t>High</t>
        </is>
      </c>
      <c r="M3134" t="inlineStr">
        <is>
          <t>LLM</t>
        </is>
      </c>
      <c r="N3134" t="inlineStr">
        <is>
          <t>2026-04-18</t>
        </is>
      </c>
      <c r="O3134" t="inlineStr">
        <is>
          <t>AI</t>
        </is>
      </c>
    </row>
    <row r="3135">
      <c r="A3135" t="inlineStr">
        <is>
          <t>PT Mahkota Group Tbk</t>
        </is>
      </c>
      <c r="B3135" t="inlineStr">
        <is>
          <t>MGRO_2023_AR.pdf</t>
        </is>
      </c>
      <c r="C3135" t="n">
        <v>2023</v>
      </c>
      <c r="D3135" t="inlineStr">
        <is>
          <t>Operation</t>
        </is>
      </c>
      <c r="E3135" t="inlineStr">
        <is>
          <t>PFAD Sales Volume</t>
        </is>
      </c>
      <c r="F3135" t="n">
        <v>15498</v>
      </c>
      <c r="G3135" t="inlineStr">
        <is>
          <t>t</t>
        </is>
      </c>
      <c r="H3135" t="n">
        <v>68</v>
      </c>
      <c r="I3135" t="inlineStr">
        <is>
          <t>PFAD 15.498 19.896 (4.398)</t>
        </is>
      </c>
      <c r="J3135" t="inlineStr">
        <is>
          <t>High</t>
        </is>
      </c>
      <c r="M3135" t="inlineStr">
        <is>
          <t>LLM</t>
        </is>
      </c>
      <c r="N3135" t="inlineStr">
        <is>
          <t>2026-04-18</t>
        </is>
      </c>
      <c r="O3135" t="inlineStr">
        <is>
          <t>AI</t>
        </is>
      </c>
    </row>
    <row r="3136">
      <c r="A3136" t="inlineStr">
        <is>
          <t>PT Mahkota Group Tbk</t>
        </is>
      </c>
      <c r="B3136" t="inlineStr">
        <is>
          <t>MGRO_2023_AR.pdf</t>
        </is>
      </c>
      <c r="C3136" t="n">
        <v>2023</v>
      </c>
      <c r="D3136" t="inlineStr">
        <is>
          <t>Operation</t>
        </is>
      </c>
      <c r="E3136" t="inlineStr">
        <is>
          <t>CPKO Sales Volume</t>
        </is>
      </c>
      <c r="F3136" t="n">
        <v>11418</v>
      </c>
      <c r="G3136" t="inlineStr">
        <is>
          <t>t</t>
        </is>
      </c>
      <c r="H3136" t="n">
        <v>68</v>
      </c>
      <c r="I3136" t="inlineStr">
        <is>
          <t>CPKO 11.418 19.951 (8.533)</t>
        </is>
      </c>
      <c r="J3136" t="inlineStr">
        <is>
          <t>High</t>
        </is>
      </c>
      <c r="M3136" t="inlineStr">
        <is>
          <t>LLM</t>
        </is>
      </c>
      <c r="N3136" t="inlineStr">
        <is>
          <t>2026-04-18</t>
        </is>
      </c>
      <c r="O3136" t="inlineStr">
        <is>
          <t>AI</t>
        </is>
      </c>
    </row>
    <row r="3137">
      <c r="A3137" t="inlineStr">
        <is>
          <t>PT Mahkota Group Tbk</t>
        </is>
      </c>
      <c r="B3137" t="inlineStr">
        <is>
          <t>MGRO_2023_AR.pdf</t>
        </is>
      </c>
      <c r="C3137" t="n">
        <v>2023</v>
      </c>
      <c r="D3137" t="inlineStr">
        <is>
          <t>Operation</t>
        </is>
      </c>
      <c r="E3137" t="inlineStr">
        <is>
          <t>PKE Sales Volume</t>
        </is>
      </c>
      <c r="F3137" t="n">
        <v>23108</v>
      </c>
      <c r="G3137" t="inlineStr">
        <is>
          <t>t</t>
        </is>
      </c>
      <c r="H3137" t="n">
        <v>68</v>
      </c>
      <c r="I3137" t="inlineStr">
        <is>
          <t>PKE 23.108 30.388 (7.280)</t>
        </is>
      </c>
      <c r="J3137" t="inlineStr">
        <is>
          <t>High</t>
        </is>
      </c>
      <c r="M3137" t="inlineStr">
        <is>
          <t>LLM</t>
        </is>
      </c>
      <c r="N3137" t="inlineStr">
        <is>
          <t>2026-04-18</t>
        </is>
      </c>
      <c r="O3137" t="inlineStr">
        <is>
          <t>AI</t>
        </is>
      </c>
    </row>
    <row r="3138">
      <c r="A3138" t="inlineStr">
        <is>
          <t>PT Mahkota Group Tbk</t>
        </is>
      </c>
      <c r="B3138" t="inlineStr">
        <is>
          <t>MGRO_2023_AR.pdf</t>
        </is>
      </c>
      <c r="C3138" t="n">
        <v>2023</v>
      </c>
      <c r="D3138" t="inlineStr">
        <is>
          <t>Operation</t>
        </is>
      </c>
      <c r="E3138" t="inlineStr">
        <is>
          <t>Olein Sales Volume</t>
        </is>
      </c>
      <c r="F3138" t="n">
        <v>10609</v>
      </c>
      <c r="G3138" t="inlineStr">
        <is>
          <t>t</t>
        </is>
      </c>
      <c r="H3138" t="n">
        <v>68</v>
      </c>
      <c r="I3138" t="inlineStr">
        <is>
          <t>Olein 10.609 8.701 1.908</t>
        </is>
      </c>
      <c r="J3138" t="inlineStr">
        <is>
          <t>High</t>
        </is>
      </c>
      <c r="M3138" t="inlineStr">
        <is>
          <t>LLM</t>
        </is>
      </c>
      <c r="N3138" t="inlineStr">
        <is>
          <t>2026-04-18</t>
        </is>
      </c>
      <c r="O3138" t="inlineStr">
        <is>
          <t>AI</t>
        </is>
      </c>
    </row>
    <row r="3139">
      <c r="A3139" t="inlineStr">
        <is>
          <t>PT Mahkota Group Tbk</t>
        </is>
      </c>
      <c r="B3139" t="inlineStr">
        <is>
          <t>MGRO_2023_AR.pdf</t>
        </is>
      </c>
      <c r="C3139" t="n">
        <v>2023</v>
      </c>
      <c r="D3139" t="inlineStr">
        <is>
          <t>Operation</t>
        </is>
      </c>
      <c r="E3139" t="inlineStr">
        <is>
          <t>CPO Segment Sales Revenue</t>
        </is>
      </c>
      <c r="F3139" t="n">
        <v>1107</v>
      </c>
      <c r="G3139" t="inlineStr">
        <is>
          <t>IDR bn</t>
        </is>
      </c>
      <c r="H3139" t="n">
        <v>63</v>
      </c>
      <c r="I3139" t="inlineStr">
        <is>
          <t>CPO 1.107 1.528 (27,55)</t>
        </is>
      </c>
      <c r="J3139" t="inlineStr">
        <is>
          <t>High</t>
        </is>
      </c>
      <c r="M3139" t="inlineStr">
        <is>
          <t>LLM</t>
        </is>
      </c>
      <c r="N3139" t="inlineStr">
        <is>
          <t>2026-04-18</t>
        </is>
      </c>
      <c r="O3139" t="inlineStr">
        <is>
          <t>AI</t>
        </is>
      </c>
    </row>
    <row r="3140">
      <c r="A3140" t="inlineStr">
        <is>
          <t>PT Mahkota Group Tbk</t>
        </is>
      </c>
      <c r="B3140" t="inlineStr">
        <is>
          <t>MGRO_2023_AR.pdf</t>
        </is>
      </c>
      <c r="C3140" t="n">
        <v>2023</v>
      </c>
      <c r="D3140" t="inlineStr">
        <is>
          <t>Operation</t>
        </is>
      </c>
      <c r="E3140" t="inlineStr">
        <is>
          <t>RBDPO Segment Sales Revenue</t>
        </is>
      </c>
      <c r="F3140" t="n">
        <v>3498</v>
      </c>
      <c r="G3140" t="inlineStr">
        <is>
          <t>IDR bn</t>
        </is>
      </c>
      <c r="H3140" t="n">
        <v>63</v>
      </c>
      <c r="I3140" t="inlineStr">
        <is>
          <t>RBDPO 3.498 4.898 (28,58)</t>
        </is>
      </c>
      <c r="J3140" t="inlineStr">
        <is>
          <t>High</t>
        </is>
      </c>
      <c r="M3140" t="inlineStr">
        <is>
          <t>LLM</t>
        </is>
      </c>
      <c r="N3140" t="inlineStr">
        <is>
          <t>2026-04-18</t>
        </is>
      </c>
      <c r="O3140" t="inlineStr">
        <is>
          <t>AI</t>
        </is>
      </c>
    </row>
    <row r="3141">
      <c r="A3141" t="inlineStr">
        <is>
          <t>PT Mahkota Group Tbk</t>
        </is>
      </c>
      <c r="B3141" t="inlineStr">
        <is>
          <t>MGRO_2023_AR.pdf</t>
        </is>
      </c>
      <c r="C3141" t="n">
        <v>2023</v>
      </c>
      <c r="D3141" t="inlineStr">
        <is>
          <t>Operation</t>
        </is>
      </c>
      <c r="E3141" t="inlineStr">
        <is>
          <t>Storage Tank Leasing Revenue</t>
        </is>
      </c>
      <c r="F3141" t="n">
        <v>83.37</v>
      </c>
      <c r="G3141" t="inlineStr">
        <is>
          <t>IDR bn</t>
        </is>
      </c>
      <c r="H3141" t="n">
        <v>64</v>
      </c>
      <c r="I3141" t="inlineStr">
        <is>
          <t>Penyewaan Leasing 83,37 58,22 43,20</t>
        </is>
      </c>
      <c r="J3141" t="inlineStr">
        <is>
          <t>High</t>
        </is>
      </c>
      <c r="M3141" t="inlineStr">
        <is>
          <t>LLM</t>
        </is>
      </c>
      <c r="N3141" t="inlineStr">
        <is>
          <t>2026-04-18</t>
        </is>
      </c>
      <c r="O3141" t="inlineStr">
        <is>
          <t>AI</t>
        </is>
      </c>
    </row>
    <row r="3142">
      <c r="A3142" t="inlineStr">
        <is>
          <t>PT Mahkota Group Tbk</t>
        </is>
      </c>
      <c r="B3142" t="inlineStr">
        <is>
          <t>MGRO_2023_AR.pdf</t>
        </is>
      </c>
      <c r="C3142" t="n">
        <v>2023</v>
      </c>
      <c r="D3142" t="inlineStr">
        <is>
          <t>Operation</t>
        </is>
      </c>
      <c r="E3142" t="inlineStr">
        <is>
          <t>Storage Tank Leasing Profit</t>
        </is>
      </c>
      <c r="F3142" t="n">
        <v>61.94</v>
      </c>
      <c r="G3142" t="inlineStr">
        <is>
          <t>IDR bn</t>
        </is>
      </c>
      <c r="H3142" t="n">
        <v>64</v>
      </c>
      <c r="I3142" t="inlineStr">
        <is>
          <t>Laba Profit 61,94 36,22 71,01</t>
        </is>
      </c>
      <c r="J3142" t="inlineStr">
        <is>
          <t>High</t>
        </is>
      </c>
      <c r="M3142" t="inlineStr">
        <is>
          <t>LLM</t>
        </is>
      </c>
      <c r="N3142" t="inlineStr">
        <is>
          <t>2026-04-18</t>
        </is>
      </c>
      <c r="O3142" t="inlineStr">
        <is>
          <t>AI</t>
        </is>
      </c>
    </row>
    <row r="3143">
      <c r="A3143" t="inlineStr">
        <is>
          <t>PT Mahkota Group Tbk</t>
        </is>
      </c>
      <c r="B3143" t="inlineStr">
        <is>
          <t>MGRO_2023_AR.pdf</t>
        </is>
      </c>
      <c r="C3143" t="n">
        <v>2023</v>
      </c>
      <c r="D3143" t="inlineStr">
        <is>
          <t>Operation</t>
        </is>
      </c>
      <c r="E3143" t="inlineStr">
        <is>
          <t>FFB Plantation Sales Revenue</t>
        </is>
      </c>
      <c r="F3143" t="n">
        <v>1.51</v>
      </c>
      <c r="G3143" t="inlineStr">
        <is>
          <t>IDR bn</t>
        </is>
      </c>
      <c r="H3143" t="n">
        <v>65</v>
      </c>
      <c r="I3143" t="inlineStr">
        <is>
          <t>694.591 ton 1,51 (0,17)</t>
        </is>
      </c>
      <c r="J3143" t="inlineStr">
        <is>
          <t>High</t>
        </is>
      </c>
      <c r="M3143" t="inlineStr">
        <is>
          <t>LLM</t>
        </is>
      </c>
      <c r="N3143" t="inlineStr">
        <is>
          <t>2026-04-18</t>
        </is>
      </c>
      <c r="O3143" t="inlineStr">
        <is>
          <t>AI</t>
        </is>
      </c>
    </row>
    <row r="3144">
      <c r="A3144" t="inlineStr">
        <is>
          <t>PT Mahkota Group Tbk</t>
        </is>
      </c>
      <c r="B3144" t="inlineStr">
        <is>
          <t>MGRO_2023_AR.pdf</t>
        </is>
      </c>
      <c r="C3144" t="n">
        <v>2023</v>
      </c>
      <c r="D3144" t="inlineStr">
        <is>
          <t>Company</t>
        </is>
      </c>
      <c r="E3144" t="inlineStr">
        <is>
          <t>Auditor</t>
        </is>
      </c>
      <c r="F3144" t="inlineStr">
        <is>
          <t>KAP Gani Sigiro &amp; Handayani</t>
        </is>
      </c>
      <c r="G3144" t="inlineStr">
        <is>
          <t>text</t>
        </is>
      </c>
      <c r="H3144" t="n">
        <v>65</v>
      </c>
      <c r="I3144" t="inlineStr">
        <is>
          <t>telah diaudit oleh KAP Gani Sigiro &amp; Handayani</t>
        </is>
      </c>
      <c r="J3144" t="inlineStr">
        <is>
          <t>High</t>
        </is>
      </c>
      <c r="M3144" t="inlineStr">
        <is>
          <t>LLM</t>
        </is>
      </c>
      <c r="N3144" t="inlineStr">
        <is>
          <t>2026-04-18</t>
        </is>
      </c>
      <c r="O3144" t="inlineStr">
        <is>
          <t>AI</t>
        </is>
      </c>
    </row>
    <row r="3145">
      <c r="A3145" t="inlineStr">
        <is>
          <t>PT Mahkota Group Tbk</t>
        </is>
      </c>
      <c r="B3145" t="inlineStr">
        <is>
          <t>MGRO_2023_AR.pdf</t>
        </is>
      </c>
      <c r="C3145" t="n">
        <v>2023</v>
      </c>
      <c r="D3145" t="inlineStr">
        <is>
          <t>Company</t>
        </is>
      </c>
      <c r="E3145" t="inlineStr">
        <is>
          <t>PT Mega Sawit Sriwijaya Acquisition</t>
        </is>
      </c>
      <c r="F3145" t="inlineStr">
        <is>
          <t>March 2023, 52% via BIM</t>
        </is>
      </c>
      <c r="G3145" t="inlineStr">
        <is>
          <t>text</t>
        </is>
      </c>
      <c r="H3145" t="n">
        <v>66</v>
      </c>
      <c r="I3145" t="inlineStr">
        <is>
          <t>PT Mega Sawit Sriwijaya yang diakuisisi melalui entitas anak PT Berlian Inti Mekar yang dilaksanakan pada Maret 2023</t>
        </is>
      </c>
      <c r="J3145" t="inlineStr">
        <is>
          <t>High</t>
        </is>
      </c>
      <c r="M3145" t="inlineStr">
        <is>
          <t>LLM</t>
        </is>
      </c>
      <c r="N3145" t="inlineStr">
        <is>
          <t>2026-04-18</t>
        </is>
      </c>
      <c r="O3145" t="inlineStr">
        <is>
          <t>AI</t>
        </is>
      </c>
    </row>
    <row r="3146">
      <c r="A3146" t="inlineStr">
        <is>
          <t>PT Mahkota Group Tbk</t>
        </is>
      </c>
      <c r="B3146" t="inlineStr">
        <is>
          <t>MGRO_2024_AR.pdf</t>
        </is>
      </c>
      <c r="C3146" t="n">
        <v>2024</v>
      </c>
      <c r="D3146" t="inlineStr">
        <is>
          <t>Company</t>
        </is>
      </c>
      <c r="E3146" t="inlineStr">
        <is>
          <t>Company Name</t>
        </is>
      </c>
      <c r="F3146" t="inlineStr">
        <is>
          <t>PT Mahkota Group Tbk</t>
        </is>
      </c>
      <c r="G3146" t="inlineStr">
        <is>
          <t>text</t>
        </is>
      </c>
      <c r="H3146" t="n">
        <v>32</v>
      </c>
      <c r="I3146" t="inlineStr">
        <is>
          <t>PT Mahkota Group Tbk ... Tercatat di BEI pada 12 Juli 2018</t>
        </is>
      </c>
      <c r="J3146" t="inlineStr">
        <is>
          <t>High</t>
        </is>
      </c>
      <c r="M3146" t="inlineStr">
        <is>
          <t>LLM</t>
        </is>
      </c>
      <c r="N3146" t="inlineStr">
        <is>
          <t>2026-04-18</t>
        </is>
      </c>
      <c r="O3146" t="inlineStr">
        <is>
          <t>AI</t>
        </is>
      </c>
    </row>
    <row r="3147">
      <c r="A3147" t="inlineStr">
        <is>
          <t>PT Mahkota Group Tbk</t>
        </is>
      </c>
      <c r="B3147" t="inlineStr">
        <is>
          <t>MGRO_2024_AR.pdf</t>
        </is>
      </c>
      <c r="C3147" t="n">
        <v>2024</v>
      </c>
      <c r="D3147" t="inlineStr">
        <is>
          <t>Company</t>
        </is>
      </c>
      <c r="E3147" t="inlineStr">
        <is>
          <t>Ticker</t>
        </is>
      </c>
      <c r="F3147" t="inlineStr">
        <is>
          <t>MGRO</t>
        </is>
      </c>
      <c r="G3147" t="inlineStr">
        <is>
          <t>text</t>
        </is>
      </c>
      <c r="H3147" t="n">
        <v>32</v>
      </c>
      <c r="I3147" t="inlineStr">
        <is>
          <t>Kode Saham MGRO</t>
        </is>
      </c>
      <c r="J3147" t="inlineStr">
        <is>
          <t>High</t>
        </is>
      </c>
      <c r="M3147" t="inlineStr">
        <is>
          <t>LLM</t>
        </is>
      </c>
      <c r="N3147" t="inlineStr">
        <is>
          <t>2026-04-18</t>
        </is>
      </c>
      <c r="O3147" t="inlineStr">
        <is>
          <t>AI</t>
        </is>
      </c>
    </row>
    <row r="3148">
      <c r="A3148" t="inlineStr">
        <is>
          <t>PT Mahkota Group Tbk</t>
        </is>
      </c>
      <c r="B3148" t="inlineStr">
        <is>
          <t>MGRO_2024_AR.pdf</t>
        </is>
      </c>
      <c r="C3148" t="n">
        <v>2024</v>
      </c>
      <c r="D3148" t="inlineStr">
        <is>
          <t>Company</t>
        </is>
      </c>
      <c r="E3148" t="inlineStr">
        <is>
          <t>Head Office</t>
        </is>
      </c>
      <c r="F3148" t="inlineStr">
        <is>
          <t>Medan, North Sumatra</t>
        </is>
      </c>
      <c r="G3148" t="inlineStr">
        <is>
          <t>text</t>
        </is>
      </c>
      <c r="H3148" t="n">
        <v>32</v>
      </c>
      <c r="I3148" t="inlineStr">
        <is>
          <t>Grand Jati Junction Lt. 27, Jl. Perintis Kemerdekaan No. 3A, Medan 20239, Sumatra Utara</t>
        </is>
      </c>
      <c r="J3148" t="inlineStr">
        <is>
          <t>High</t>
        </is>
      </c>
      <c r="M3148" t="inlineStr">
        <is>
          <t>LLM</t>
        </is>
      </c>
      <c r="N3148" t="inlineStr">
        <is>
          <t>2026-04-18</t>
        </is>
      </c>
      <c r="O3148" t="inlineStr">
        <is>
          <t>AI</t>
        </is>
      </c>
    </row>
    <row r="3149">
      <c r="A3149" t="inlineStr">
        <is>
          <t>PT Mahkota Group Tbk</t>
        </is>
      </c>
      <c r="B3149" t="inlineStr">
        <is>
          <t>MGRO_2024_AR.pdf</t>
        </is>
      </c>
      <c r="C3149" t="n">
        <v>2024</v>
      </c>
      <c r="D3149" t="inlineStr">
        <is>
          <t>Company</t>
        </is>
      </c>
      <c r="E3149" t="inlineStr">
        <is>
          <t>Incorporation Date</t>
        </is>
      </c>
      <c r="F3149" t="inlineStr">
        <is>
          <t>7 January 2011</t>
        </is>
      </c>
      <c r="G3149" t="inlineStr">
        <is>
          <t>text</t>
        </is>
      </c>
      <c r="H3149" t="n">
        <v>33</v>
      </c>
      <c r="I3149" t="inlineStr">
        <is>
          <t>Perseroan didirikan dengan nama PT Mahkota Group yang berkedudukan di Medan, Sumatra Utara pada 7 Januari 2011</t>
        </is>
      </c>
      <c r="J3149" t="inlineStr">
        <is>
          <t>High</t>
        </is>
      </c>
      <c r="M3149" t="inlineStr">
        <is>
          <t>LLM</t>
        </is>
      </c>
      <c r="N3149" t="inlineStr">
        <is>
          <t>2026-04-18</t>
        </is>
      </c>
      <c r="O3149" t="inlineStr">
        <is>
          <t>AI</t>
        </is>
      </c>
    </row>
    <row r="3150">
      <c r="A3150" t="inlineStr">
        <is>
          <t>PT Mahkota Group Tbk</t>
        </is>
      </c>
      <c r="B3150" t="inlineStr">
        <is>
          <t>MGRO_2024_AR.pdf</t>
        </is>
      </c>
      <c r="C3150" t="n">
        <v>2024</v>
      </c>
      <c r="D3150" t="inlineStr">
        <is>
          <t>Company</t>
        </is>
      </c>
      <c r="E3150" t="inlineStr">
        <is>
          <t>IDX Listing Date</t>
        </is>
      </c>
      <c r="F3150" t="inlineStr">
        <is>
          <t>12 July 2018</t>
        </is>
      </c>
      <c r="G3150" t="inlineStr">
        <is>
          <t>text</t>
        </is>
      </c>
      <c r="H3150" t="n">
        <v>34</v>
      </c>
      <c r="I3150" t="inlineStr">
        <is>
          <t>Pada 12 Juli 2018, Perseroan secara resmi listing di Bursa Efek Indonesia</t>
        </is>
      </c>
      <c r="J3150" t="inlineStr">
        <is>
          <t>High</t>
        </is>
      </c>
      <c r="M3150" t="inlineStr">
        <is>
          <t>LLM</t>
        </is>
      </c>
      <c r="N3150" t="inlineStr">
        <is>
          <t>2026-04-18</t>
        </is>
      </c>
      <c r="O3150" t="inlineStr">
        <is>
          <t>AI</t>
        </is>
      </c>
    </row>
    <row r="3151">
      <c r="A3151" t="inlineStr">
        <is>
          <t>PT Mahkota Group Tbk</t>
        </is>
      </c>
      <c r="B3151" t="inlineStr">
        <is>
          <t>MGRO_2024_AR.pdf</t>
        </is>
      </c>
      <c r="C3151" t="n">
        <v>2024</v>
      </c>
      <c r="D3151" t="inlineStr">
        <is>
          <t>Company</t>
        </is>
      </c>
      <c r="E3151" t="inlineStr">
        <is>
          <t>Controlling Shareholder</t>
        </is>
      </c>
      <c r="F3151" t="inlineStr">
        <is>
          <t>PT Mahkota Global Investama 56.40%</t>
        </is>
      </c>
      <c r="G3151" t="inlineStr">
        <is>
          <t>%</t>
        </is>
      </c>
      <c r="H3151" t="n">
        <v>48</v>
      </c>
      <c r="I3151" t="inlineStr">
        <is>
          <t>PT Mahkota Global Investama 2.004.749.900 56,4012</t>
        </is>
      </c>
      <c r="J3151" t="inlineStr">
        <is>
          <t>High</t>
        </is>
      </c>
      <c r="M3151" t="inlineStr">
        <is>
          <t>LLM</t>
        </is>
      </c>
      <c r="N3151" t="inlineStr">
        <is>
          <t>2026-04-18</t>
        </is>
      </c>
      <c r="O3151" t="inlineStr">
        <is>
          <t>AI</t>
        </is>
      </c>
    </row>
    <row r="3152">
      <c r="A3152" t="inlineStr">
        <is>
          <t>PT Mahkota Group Tbk</t>
        </is>
      </c>
      <c r="B3152" t="inlineStr">
        <is>
          <t>MGRO_2024_AR.pdf</t>
        </is>
      </c>
      <c r="C3152" t="n">
        <v>2024</v>
      </c>
      <c r="D3152" t="inlineStr">
        <is>
          <t>Company</t>
        </is>
      </c>
      <c r="E3152" t="inlineStr">
        <is>
          <t>Second Largest Shareholder</t>
        </is>
      </c>
      <c r="F3152" t="inlineStr">
        <is>
          <t>MGI International Holdings Ltd. 22.79%</t>
        </is>
      </c>
      <c r="G3152" t="inlineStr">
        <is>
          <t>%</t>
        </is>
      </c>
      <c r="H3152" t="n">
        <v>48</v>
      </c>
      <c r="I3152" t="inlineStr">
        <is>
          <t>MGI International Holdings Ltd. 810.000.000 22,7884</t>
        </is>
      </c>
      <c r="J3152" t="inlineStr">
        <is>
          <t>High</t>
        </is>
      </c>
      <c r="M3152" t="inlineStr">
        <is>
          <t>LLM</t>
        </is>
      </c>
      <c r="N3152" t="inlineStr">
        <is>
          <t>2026-04-18</t>
        </is>
      </c>
      <c r="O3152" t="inlineStr">
        <is>
          <t>AI</t>
        </is>
      </c>
    </row>
    <row r="3153">
      <c r="A3153" t="inlineStr">
        <is>
          <t>PT Mahkota Group Tbk</t>
        </is>
      </c>
      <c r="B3153" t="inlineStr">
        <is>
          <t>MGRO_2024_AR.pdf</t>
        </is>
      </c>
      <c r="C3153" t="n">
        <v>2024</v>
      </c>
      <c r="D3153" t="inlineStr">
        <is>
          <t>Company</t>
        </is>
      </c>
      <c r="E3153" t="inlineStr">
        <is>
          <t>Public Float</t>
        </is>
      </c>
      <c r="F3153" t="n">
        <v>0.1999</v>
      </c>
      <c r="G3153" t="inlineStr">
        <is>
          <t>%</t>
        </is>
      </c>
      <c r="H3153" t="n">
        <v>48</v>
      </c>
      <c r="I3153" t="inlineStr">
        <is>
          <t>Masyarakat 710.539.900 19,9901</t>
        </is>
      </c>
      <c r="J3153" t="inlineStr">
        <is>
          <t>High</t>
        </is>
      </c>
      <c r="M3153" t="inlineStr">
        <is>
          <t>LLM</t>
        </is>
      </c>
      <c r="N3153" t="inlineStr">
        <is>
          <t>2026-04-18</t>
        </is>
      </c>
      <c r="O3153" t="inlineStr">
        <is>
          <t>AI</t>
        </is>
      </c>
    </row>
    <row r="3154">
      <c r="A3154" t="inlineStr">
        <is>
          <t>PT Mahkota Group Tbk</t>
        </is>
      </c>
      <c r="B3154" t="inlineStr">
        <is>
          <t>MGRO_2024_AR.pdf</t>
        </is>
      </c>
      <c r="C3154" t="n">
        <v>2024</v>
      </c>
      <c r="D3154" t="inlineStr">
        <is>
          <t>Company</t>
        </is>
      </c>
      <c r="E3154" t="inlineStr">
        <is>
          <t>Treasury Stock</t>
        </is>
      </c>
      <c r="F3154" t="n">
        <v>0.008200000000000001</v>
      </c>
      <c r="G3154" t="inlineStr">
        <is>
          <t>%</t>
        </is>
      </c>
      <c r="H3154" t="n">
        <v>48</v>
      </c>
      <c r="I3154" t="inlineStr">
        <is>
          <t>Saham Treasury 29.155.900 0,8203</t>
        </is>
      </c>
      <c r="J3154" t="inlineStr">
        <is>
          <t>High</t>
        </is>
      </c>
      <c r="M3154" t="inlineStr">
        <is>
          <t>LLM</t>
        </is>
      </c>
      <c r="N3154" t="inlineStr">
        <is>
          <t>2026-04-18</t>
        </is>
      </c>
      <c r="O3154" t="inlineStr">
        <is>
          <t>AI</t>
        </is>
      </c>
    </row>
    <row r="3155">
      <c r="A3155" t="inlineStr">
        <is>
          <t>PT Mahkota Group Tbk</t>
        </is>
      </c>
      <c r="B3155" t="inlineStr">
        <is>
          <t>MGRO_2024_AR.pdf</t>
        </is>
      </c>
      <c r="C3155" t="n">
        <v>2024</v>
      </c>
      <c r="D3155" t="inlineStr">
        <is>
          <t>Company</t>
        </is>
      </c>
      <c r="E3155" t="inlineStr">
        <is>
          <t>Ultimate Beneficial Owner</t>
        </is>
      </c>
      <c r="F3155" t="inlineStr">
        <is>
          <t>Mily</t>
        </is>
      </c>
      <c r="G3155" t="inlineStr">
        <is>
          <t>text</t>
        </is>
      </c>
      <c r="H3155" t="n">
        <v>49</v>
      </c>
      <c r="I3155" t="inlineStr">
        <is>
          <t>Pemilik manfaat akhir dari struktur kepemilikan saham Perseroan adalah Mily.</t>
        </is>
      </c>
      <c r="J3155" t="inlineStr">
        <is>
          <t>High</t>
        </is>
      </c>
      <c r="M3155" t="inlineStr">
        <is>
          <t>LLM</t>
        </is>
      </c>
      <c r="N3155" t="inlineStr">
        <is>
          <t>2026-04-18</t>
        </is>
      </c>
      <c r="O3155" t="inlineStr">
        <is>
          <t>AI</t>
        </is>
      </c>
    </row>
    <row r="3156">
      <c r="A3156" t="inlineStr">
        <is>
          <t>PT Mahkota Group Tbk</t>
        </is>
      </c>
      <c r="B3156" t="inlineStr">
        <is>
          <t>MGRO_2024_AR.pdf</t>
        </is>
      </c>
      <c r="C3156" t="n">
        <v>2024</v>
      </c>
      <c r="D3156" t="inlineStr">
        <is>
          <t>Financial</t>
        </is>
      </c>
      <c r="E3156" t="inlineStr">
        <is>
          <t>Revenue</t>
        </is>
      </c>
      <c r="F3156" t="n">
        <v>4685.75</v>
      </c>
      <c r="G3156" t="inlineStr">
        <is>
          <t>IDR bn</t>
        </is>
      </c>
      <c r="H3156" t="n">
        <v>65</v>
      </c>
      <c r="I3156" t="inlineStr">
        <is>
          <t>Pendapatan Usaha 4.685,75 5.425,48</t>
        </is>
      </c>
      <c r="J3156" t="inlineStr">
        <is>
          <t>High</t>
        </is>
      </c>
      <c r="M3156" t="inlineStr">
        <is>
          <t>LLM</t>
        </is>
      </c>
      <c r="N3156" t="inlineStr">
        <is>
          <t>2026-04-18</t>
        </is>
      </c>
      <c r="O3156" t="inlineStr">
        <is>
          <t>AI</t>
        </is>
      </c>
    </row>
    <row r="3157">
      <c r="A3157" t="inlineStr">
        <is>
          <t>PT Mahkota Group Tbk</t>
        </is>
      </c>
      <c r="B3157" t="inlineStr">
        <is>
          <t>MGRO_2024_AR.pdf</t>
        </is>
      </c>
      <c r="C3157" t="n">
        <v>2024</v>
      </c>
      <c r="D3157" t="inlineStr">
        <is>
          <t>Financial</t>
        </is>
      </c>
      <c r="E3157" t="inlineStr">
        <is>
          <t>Cost of Revenue</t>
        </is>
      </c>
      <c r="F3157" t="n">
        <v>4333.21</v>
      </c>
      <c r="G3157" t="inlineStr">
        <is>
          <t>IDR bn</t>
        </is>
      </c>
      <c r="H3157" t="n">
        <v>65</v>
      </c>
      <c r="I3157" t="inlineStr">
        <is>
          <t>Beban Pokok Pendapatan 4.333,21 5.168,13</t>
        </is>
      </c>
      <c r="J3157" t="inlineStr">
        <is>
          <t>High</t>
        </is>
      </c>
      <c r="M3157" t="inlineStr">
        <is>
          <t>LLM</t>
        </is>
      </c>
      <c r="N3157" t="inlineStr">
        <is>
          <t>2026-04-18</t>
        </is>
      </c>
      <c r="O3157" t="inlineStr">
        <is>
          <t>AI</t>
        </is>
      </c>
    </row>
    <row r="3158">
      <c r="A3158" t="inlineStr">
        <is>
          <t>PT Mahkota Group Tbk</t>
        </is>
      </c>
      <c r="B3158" t="inlineStr">
        <is>
          <t>MGRO_2024_AR.pdf</t>
        </is>
      </c>
      <c r="C3158" t="n">
        <v>2024</v>
      </c>
      <c r="D3158" t="inlineStr">
        <is>
          <t>Financial</t>
        </is>
      </c>
      <c r="E3158" t="inlineStr">
        <is>
          <t>Gross Profit</t>
        </is>
      </c>
      <c r="F3158" t="n">
        <v>352.54</v>
      </c>
      <c r="G3158" t="inlineStr">
        <is>
          <t>IDR bn</t>
        </is>
      </c>
      <c r="H3158" t="n">
        <v>261</v>
      </c>
      <c r="I3158" t="inlineStr">
        <is>
          <t>LABA BRUTO 352.538.591.014 257.351.254.455</t>
        </is>
      </c>
      <c r="J3158" t="inlineStr">
        <is>
          <t>High</t>
        </is>
      </c>
      <c r="M3158" t="inlineStr">
        <is>
          <t>LLM</t>
        </is>
      </c>
      <c r="N3158" t="inlineStr">
        <is>
          <t>2026-04-18</t>
        </is>
      </c>
      <c r="O3158" t="inlineStr">
        <is>
          <t>AI</t>
        </is>
      </c>
    </row>
    <row r="3159">
      <c r="A3159" t="inlineStr">
        <is>
          <t>PT Mahkota Group Tbk</t>
        </is>
      </c>
      <c r="B3159" t="inlineStr">
        <is>
          <t>MGRO_2024_AR.pdf</t>
        </is>
      </c>
      <c r="C3159" t="n">
        <v>2024</v>
      </c>
      <c r="D3159" t="inlineStr">
        <is>
          <t>Financial</t>
        </is>
      </c>
      <c r="E3159" t="inlineStr">
        <is>
          <t>Operating Profit</t>
        </is>
      </c>
      <c r="F3159" t="n">
        <v>68.70999999999999</v>
      </c>
      <c r="G3159" t="inlineStr">
        <is>
          <t>IDR bn</t>
        </is>
      </c>
      <c r="H3159" t="n">
        <v>261</v>
      </c>
      <c r="I3159" t="inlineStr">
        <is>
          <t>LABA (RUGI) OPERASI 68.709.771.612 (43.901.136.252)</t>
        </is>
      </c>
      <c r="J3159" t="inlineStr">
        <is>
          <t>High</t>
        </is>
      </c>
      <c r="M3159" t="inlineStr">
        <is>
          <t>LLM</t>
        </is>
      </c>
      <c r="N3159" t="inlineStr">
        <is>
          <t>2026-04-18</t>
        </is>
      </c>
      <c r="O3159" t="inlineStr">
        <is>
          <t>AI</t>
        </is>
      </c>
    </row>
    <row r="3160">
      <c r="A3160" t="inlineStr">
        <is>
          <t>PT Mahkota Group Tbk</t>
        </is>
      </c>
      <c r="B3160" t="inlineStr">
        <is>
          <t>MGRO_2024_AR.pdf</t>
        </is>
      </c>
      <c r="C3160" t="n">
        <v>2024</v>
      </c>
      <c r="D3160" t="inlineStr">
        <is>
          <t>Financial</t>
        </is>
      </c>
      <c r="E3160" t="inlineStr">
        <is>
          <t>Finance Costs</t>
        </is>
      </c>
      <c r="F3160" t="n">
        <v>100.91</v>
      </c>
      <c r="G3160" t="inlineStr">
        <is>
          <t>IDR bn</t>
        </is>
      </c>
      <c r="H3160" t="n">
        <v>261</v>
      </c>
      <c r="I3160" t="inlineStr">
        <is>
          <t>Beban keuangan 38 (100.906.503.898) (117.733.374.597)</t>
        </is>
      </c>
      <c r="J3160" t="inlineStr">
        <is>
          <t>High</t>
        </is>
      </c>
      <c r="M3160" t="inlineStr">
        <is>
          <t>LLM</t>
        </is>
      </c>
      <c r="N3160" t="inlineStr">
        <is>
          <t>2026-04-18</t>
        </is>
      </c>
      <c r="O3160" t="inlineStr">
        <is>
          <t>AI</t>
        </is>
      </c>
    </row>
    <row r="3161">
      <c r="A3161" t="inlineStr">
        <is>
          <t>PT Mahkota Group Tbk</t>
        </is>
      </c>
      <c r="B3161" t="inlineStr">
        <is>
          <t>MGRO_2024_AR.pdf</t>
        </is>
      </c>
      <c r="C3161" t="n">
        <v>2024</v>
      </c>
      <c r="D3161" t="inlineStr">
        <is>
          <t>Financial</t>
        </is>
      </c>
      <c r="E3161" t="inlineStr">
        <is>
          <t>Other Income</t>
        </is>
      </c>
      <c r="F3161" t="n">
        <v>24.64</v>
      </c>
      <c r="G3161" t="inlineStr">
        <is>
          <t>IDR bn</t>
        </is>
      </c>
      <c r="H3161" t="n">
        <v>65</v>
      </c>
      <c r="I3161" t="inlineStr">
        <is>
          <t>Pendapatan Lainnya 24,64 10,54</t>
        </is>
      </c>
      <c r="J3161" t="inlineStr">
        <is>
          <t>High</t>
        </is>
      </c>
      <c r="M3161" t="inlineStr">
        <is>
          <t>LLM</t>
        </is>
      </c>
      <c r="N3161" t="inlineStr">
        <is>
          <t>2026-04-18</t>
        </is>
      </c>
      <c r="O3161" t="inlineStr">
        <is>
          <t>AI</t>
        </is>
      </c>
    </row>
    <row r="3162">
      <c r="A3162" t="inlineStr">
        <is>
          <t>PT Mahkota Group Tbk</t>
        </is>
      </c>
      <c r="B3162" t="inlineStr">
        <is>
          <t>MGRO_2024_AR.pdf</t>
        </is>
      </c>
      <c r="C3162" t="n">
        <v>2024</v>
      </c>
      <c r="D3162" t="inlineStr">
        <is>
          <t>Financial</t>
        </is>
      </c>
      <c r="E3162" t="inlineStr">
        <is>
          <t>Loss Before Tax</t>
        </is>
      </c>
      <c r="F3162" t="n">
        <v>-19.36</v>
      </c>
      <c r="G3162" t="inlineStr">
        <is>
          <t>IDR bn</t>
        </is>
      </c>
      <c r="H3162" t="n">
        <v>65</v>
      </c>
      <c r="I3162" t="inlineStr">
        <is>
          <t>Laba (Rugi) Sebelum Pajak (19,36) (164,04)</t>
        </is>
      </c>
      <c r="J3162" t="inlineStr">
        <is>
          <t>High</t>
        </is>
      </c>
      <c r="M3162" t="inlineStr">
        <is>
          <t>LLM</t>
        </is>
      </c>
      <c r="N3162" t="inlineStr">
        <is>
          <t>2026-04-18</t>
        </is>
      </c>
      <c r="O3162" t="inlineStr">
        <is>
          <t>AI</t>
        </is>
      </c>
    </row>
    <row r="3163">
      <c r="A3163" t="inlineStr">
        <is>
          <t>PT Mahkota Group Tbk</t>
        </is>
      </c>
      <c r="B3163" t="inlineStr">
        <is>
          <t>MGRO_2024_AR.pdf</t>
        </is>
      </c>
      <c r="C3163" t="n">
        <v>2024</v>
      </c>
      <c r="D3163" t="inlineStr">
        <is>
          <t>Financial</t>
        </is>
      </c>
      <c r="E3163" t="inlineStr">
        <is>
          <t>Net Loss</t>
        </is>
      </c>
      <c r="F3163" t="n">
        <v>-22.98</v>
      </c>
      <c r="G3163" t="inlineStr">
        <is>
          <t>IDR bn</t>
        </is>
      </c>
      <c r="H3163" t="n">
        <v>65</v>
      </c>
      <c r="I3163" t="inlineStr">
        <is>
          <t>Laba (Rugi) Bersih (22,98) (172,27)</t>
        </is>
      </c>
      <c r="J3163" t="inlineStr">
        <is>
          <t>High</t>
        </is>
      </c>
      <c r="M3163" t="inlineStr">
        <is>
          <t>LLM</t>
        </is>
      </c>
      <c r="N3163" t="inlineStr">
        <is>
          <t>2026-04-18</t>
        </is>
      </c>
      <c r="O3163" t="inlineStr">
        <is>
          <t>AI</t>
        </is>
      </c>
    </row>
    <row r="3164">
      <c r="A3164" t="inlineStr">
        <is>
          <t>PT Mahkota Group Tbk</t>
        </is>
      </c>
      <c r="B3164" t="inlineStr">
        <is>
          <t>MGRO_2024_AR.pdf</t>
        </is>
      </c>
      <c r="C3164" t="n">
        <v>2024</v>
      </c>
      <c r="D3164" t="inlineStr">
        <is>
          <t>Financial</t>
        </is>
      </c>
      <c r="E3164" t="inlineStr">
        <is>
          <t>Loss Attributable to Parent</t>
        </is>
      </c>
      <c r="F3164" t="n">
        <v>-20.85</v>
      </c>
      <c r="G3164" t="inlineStr">
        <is>
          <t>IDR bn</t>
        </is>
      </c>
      <c r="H3164" t="n">
        <v>8</v>
      </c>
      <c r="I3164" t="inlineStr">
        <is>
          <t>Pemilik Entitas Induk (20.851) (152.234) (20.104)</t>
        </is>
      </c>
      <c r="J3164" t="inlineStr">
        <is>
          <t>High</t>
        </is>
      </c>
      <c r="M3164" t="inlineStr">
        <is>
          <t>LLM</t>
        </is>
      </c>
      <c r="N3164" t="inlineStr">
        <is>
          <t>2026-04-18</t>
        </is>
      </c>
      <c r="O3164" t="inlineStr">
        <is>
          <t>AI</t>
        </is>
      </c>
    </row>
    <row r="3165">
      <c r="A3165" t="inlineStr">
        <is>
          <t>PT Mahkota Group Tbk</t>
        </is>
      </c>
      <c r="B3165" t="inlineStr">
        <is>
          <t>MGRO_2024_AR.pdf</t>
        </is>
      </c>
      <c r="C3165" t="n">
        <v>2024</v>
      </c>
      <c r="D3165" t="inlineStr">
        <is>
          <t>Financial</t>
        </is>
      </c>
      <c r="E3165" t="inlineStr">
        <is>
          <t>Loss to Non-controlling</t>
        </is>
      </c>
      <c r="F3165" t="n">
        <v>-2.13</v>
      </c>
      <c r="G3165" t="inlineStr">
        <is>
          <t>IDR bn</t>
        </is>
      </c>
      <c r="H3165" t="n">
        <v>8</v>
      </c>
      <c r="I3165" t="inlineStr">
        <is>
          <t>Kepentingan Nonpengendali (2.130) (20.040) (14.686)</t>
        </is>
      </c>
      <c r="J3165" t="inlineStr">
        <is>
          <t>High</t>
        </is>
      </c>
      <c r="M3165" t="inlineStr">
        <is>
          <t>LLM</t>
        </is>
      </c>
      <c r="N3165" t="inlineStr">
        <is>
          <t>2026-04-18</t>
        </is>
      </c>
      <c r="O3165" t="inlineStr">
        <is>
          <t>AI</t>
        </is>
      </c>
    </row>
    <row r="3166">
      <c r="A3166" t="inlineStr">
        <is>
          <t>PT Mahkota Group Tbk</t>
        </is>
      </c>
      <c r="B3166" t="inlineStr">
        <is>
          <t>MGRO_2024_AR.pdf</t>
        </is>
      </c>
      <c r="C3166" t="n">
        <v>2024</v>
      </c>
      <c r="D3166" t="inlineStr">
        <is>
          <t>Financial</t>
        </is>
      </c>
      <c r="E3166" t="inlineStr">
        <is>
          <t>Comprehensive Loss</t>
        </is>
      </c>
      <c r="F3166" t="n">
        <v>-19.68</v>
      </c>
      <c r="G3166" t="inlineStr">
        <is>
          <t>IDR bn</t>
        </is>
      </c>
      <c r="H3166" t="n">
        <v>65</v>
      </c>
      <c r="I3166" t="inlineStr">
        <is>
          <t>Laba (Rugi) Komprehensif Tahun Berjalan (19,68) (163,50)</t>
        </is>
      </c>
      <c r="J3166" t="inlineStr">
        <is>
          <t>High</t>
        </is>
      </c>
      <c r="M3166" t="inlineStr">
        <is>
          <t>LLM</t>
        </is>
      </c>
      <c r="N3166" t="inlineStr">
        <is>
          <t>2026-04-18</t>
        </is>
      </c>
      <c r="O3166" t="inlineStr">
        <is>
          <t>AI</t>
        </is>
      </c>
    </row>
    <row r="3167">
      <c r="A3167" t="inlineStr">
        <is>
          <t>PT Mahkota Group Tbk</t>
        </is>
      </c>
      <c r="B3167" t="inlineStr">
        <is>
          <t>MGRO_2024_AR.pdf</t>
        </is>
      </c>
      <c r="C3167" t="n">
        <v>2024</v>
      </c>
      <c r="D3167" t="inlineStr">
        <is>
          <t>Financial</t>
        </is>
      </c>
      <c r="E3167" t="inlineStr">
        <is>
          <t>Total Assets</t>
        </is>
      </c>
      <c r="F3167" t="n">
        <v>3073.81</v>
      </c>
      <c r="G3167" t="inlineStr">
        <is>
          <t>IDR bn</t>
        </is>
      </c>
      <c r="H3167" t="n">
        <v>63</v>
      </c>
      <c r="I3167" t="inlineStr">
        <is>
          <t>Jumlah Aset 3.073,81 2.680,20</t>
        </is>
      </c>
      <c r="J3167" t="inlineStr">
        <is>
          <t>High</t>
        </is>
      </c>
      <c r="M3167" t="inlineStr">
        <is>
          <t>LLM</t>
        </is>
      </c>
      <c r="N3167" t="inlineStr">
        <is>
          <t>2026-04-18</t>
        </is>
      </c>
      <c r="O3167" t="inlineStr">
        <is>
          <t>AI</t>
        </is>
      </c>
    </row>
    <row r="3168">
      <c r="A3168" t="inlineStr">
        <is>
          <t>PT Mahkota Group Tbk</t>
        </is>
      </c>
      <c r="B3168" t="inlineStr">
        <is>
          <t>MGRO_2024_AR.pdf</t>
        </is>
      </c>
      <c r="C3168" t="n">
        <v>2024</v>
      </c>
      <c r="D3168" t="inlineStr">
        <is>
          <t>Financial</t>
        </is>
      </c>
      <c r="E3168" t="inlineStr">
        <is>
          <t>Current Assets</t>
        </is>
      </c>
      <c r="F3168" t="n">
        <v>1576.71</v>
      </c>
      <c r="G3168" t="inlineStr">
        <is>
          <t>IDR bn</t>
        </is>
      </c>
      <c r="H3168" t="n">
        <v>63</v>
      </c>
      <c r="I3168" t="inlineStr">
        <is>
          <t>Aset Lancar 1.576,71 1.425,67</t>
        </is>
      </c>
      <c r="J3168" t="inlineStr">
        <is>
          <t>High</t>
        </is>
      </c>
      <c r="M3168" t="inlineStr">
        <is>
          <t>LLM</t>
        </is>
      </c>
      <c r="N3168" t="inlineStr">
        <is>
          <t>2026-04-18</t>
        </is>
      </c>
      <c r="O3168" t="inlineStr">
        <is>
          <t>AI</t>
        </is>
      </c>
    </row>
    <row r="3169">
      <c r="A3169" t="inlineStr">
        <is>
          <t>PT Mahkota Group Tbk</t>
        </is>
      </c>
      <c r="B3169" t="inlineStr">
        <is>
          <t>MGRO_2024_AR.pdf</t>
        </is>
      </c>
      <c r="C3169" t="n">
        <v>2024</v>
      </c>
      <c r="D3169" t="inlineStr">
        <is>
          <t>Financial</t>
        </is>
      </c>
      <c r="E3169" t="inlineStr">
        <is>
          <t>Non-Current Assets</t>
        </is>
      </c>
      <c r="F3169" t="n">
        <v>1497.1</v>
      </c>
      <c r="G3169" t="inlineStr">
        <is>
          <t>IDR bn</t>
        </is>
      </c>
      <c r="H3169" t="n">
        <v>63</v>
      </c>
      <c r="I3169" t="inlineStr">
        <is>
          <t>Aset Tidak Lancar 1.497,10 1.254,53</t>
        </is>
      </c>
      <c r="J3169" t="inlineStr">
        <is>
          <t>High</t>
        </is>
      </c>
      <c r="M3169" t="inlineStr">
        <is>
          <t>LLM</t>
        </is>
      </c>
      <c r="N3169" t="inlineStr">
        <is>
          <t>2026-04-18</t>
        </is>
      </c>
      <c r="O3169" t="inlineStr">
        <is>
          <t>AI</t>
        </is>
      </c>
    </row>
    <row r="3170">
      <c r="A3170" t="inlineStr">
        <is>
          <t>PT Mahkota Group Tbk</t>
        </is>
      </c>
      <c r="B3170" t="inlineStr">
        <is>
          <t>MGRO_2024_AR.pdf</t>
        </is>
      </c>
      <c r="C3170" t="n">
        <v>2024</v>
      </c>
      <c r="D3170" t="inlineStr">
        <is>
          <t>Financial</t>
        </is>
      </c>
      <c r="E3170" t="inlineStr">
        <is>
          <t>Total Liabilities</t>
        </is>
      </c>
      <c r="F3170" t="n">
        <v>2568.91</v>
      </c>
      <c r="G3170" t="inlineStr">
        <is>
          <t>IDR bn</t>
        </is>
      </c>
      <c r="H3170" t="n">
        <v>63</v>
      </c>
      <c r="I3170" t="inlineStr">
        <is>
          <t>Jumlah Liabilitas 2.568,91 2.159,14</t>
        </is>
      </c>
      <c r="J3170" t="inlineStr">
        <is>
          <t>High</t>
        </is>
      </c>
      <c r="M3170" t="inlineStr">
        <is>
          <t>LLM</t>
        </is>
      </c>
      <c r="N3170" t="inlineStr">
        <is>
          <t>2026-04-18</t>
        </is>
      </c>
      <c r="O3170" t="inlineStr">
        <is>
          <t>AI</t>
        </is>
      </c>
    </row>
    <row r="3171">
      <c r="A3171" t="inlineStr">
        <is>
          <t>PT Mahkota Group Tbk</t>
        </is>
      </c>
      <c r="B3171" t="inlineStr">
        <is>
          <t>MGRO_2024_AR.pdf</t>
        </is>
      </c>
      <c r="C3171" t="n">
        <v>2024</v>
      </c>
      <c r="D3171" t="inlineStr">
        <is>
          <t>Financial</t>
        </is>
      </c>
      <c r="E3171" t="inlineStr">
        <is>
          <t>Current Liabilities</t>
        </is>
      </c>
      <c r="F3171" t="n">
        <v>1811.73</v>
      </c>
      <c r="G3171" t="inlineStr">
        <is>
          <t>IDR bn</t>
        </is>
      </c>
      <c r="H3171" t="n">
        <v>63</v>
      </c>
      <c r="I3171" t="inlineStr">
        <is>
          <t>Liabilitas Jangka Pendek 1.811,73 1.693,11</t>
        </is>
      </c>
      <c r="J3171" t="inlineStr">
        <is>
          <t>High</t>
        </is>
      </c>
      <c r="M3171" t="inlineStr">
        <is>
          <t>LLM</t>
        </is>
      </c>
      <c r="N3171" t="inlineStr">
        <is>
          <t>2026-04-18</t>
        </is>
      </c>
      <c r="O3171" t="inlineStr">
        <is>
          <t>AI</t>
        </is>
      </c>
    </row>
    <row r="3172">
      <c r="A3172" t="inlineStr">
        <is>
          <t>PT Mahkota Group Tbk</t>
        </is>
      </c>
      <c r="B3172" t="inlineStr">
        <is>
          <t>MGRO_2024_AR.pdf</t>
        </is>
      </c>
      <c r="C3172" t="n">
        <v>2024</v>
      </c>
      <c r="D3172" t="inlineStr">
        <is>
          <t>Financial</t>
        </is>
      </c>
      <c r="E3172" t="inlineStr">
        <is>
          <t>Non-Current Liabilities</t>
        </is>
      </c>
      <c r="F3172" t="n">
        <v>757.1799999999999</v>
      </c>
      <c r="G3172" t="inlineStr">
        <is>
          <t>IDR bn</t>
        </is>
      </c>
      <c r="H3172" t="n">
        <v>63</v>
      </c>
      <c r="I3172" t="inlineStr">
        <is>
          <t>Liabilitas Jangka Panjang 757,18 466,02</t>
        </is>
      </c>
      <c r="J3172" t="inlineStr">
        <is>
          <t>High</t>
        </is>
      </c>
      <c r="M3172" t="inlineStr">
        <is>
          <t>LLM</t>
        </is>
      </c>
      <c r="N3172" t="inlineStr">
        <is>
          <t>2026-04-18</t>
        </is>
      </c>
      <c r="O3172" t="inlineStr">
        <is>
          <t>AI</t>
        </is>
      </c>
    </row>
    <row r="3173">
      <c r="A3173" t="inlineStr">
        <is>
          <t>PT Mahkota Group Tbk</t>
        </is>
      </c>
      <c r="B3173" t="inlineStr">
        <is>
          <t>MGRO_2024_AR.pdf</t>
        </is>
      </c>
      <c r="C3173" t="n">
        <v>2024</v>
      </c>
      <c r="D3173" t="inlineStr">
        <is>
          <t>Financial</t>
        </is>
      </c>
      <c r="E3173" t="inlineStr">
        <is>
          <t>Total Equity</t>
        </is>
      </c>
      <c r="F3173" t="n">
        <v>504.89</v>
      </c>
      <c r="G3173" t="inlineStr">
        <is>
          <t>IDR bn</t>
        </is>
      </c>
      <c r="H3173" t="n">
        <v>63</v>
      </c>
      <c r="I3173" t="inlineStr">
        <is>
          <t>Jumlah Ekuitas 504,89 521,06</t>
        </is>
      </c>
      <c r="J3173" t="inlineStr">
        <is>
          <t>High</t>
        </is>
      </c>
      <c r="M3173" t="inlineStr">
        <is>
          <t>LLM</t>
        </is>
      </c>
      <c r="N3173" t="inlineStr">
        <is>
          <t>2026-04-18</t>
        </is>
      </c>
      <c r="O3173" t="inlineStr">
        <is>
          <t>AI</t>
        </is>
      </c>
    </row>
    <row r="3174">
      <c r="A3174" t="inlineStr">
        <is>
          <t>PT Mahkota Group Tbk</t>
        </is>
      </c>
      <c r="B3174" t="inlineStr">
        <is>
          <t>MGRO_2024_AR.pdf</t>
        </is>
      </c>
      <c r="C3174" t="n">
        <v>2024</v>
      </c>
      <c r="D3174" t="inlineStr">
        <is>
          <t>Financial</t>
        </is>
      </c>
      <c r="E3174" t="inlineStr">
        <is>
          <t>Equity Attributable to Parent</t>
        </is>
      </c>
      <c r="F3174" t="n">
        <v>442.46</v>
      </c>
      <c r="G3174" t="inlineStr">
        <is>
          <t>IDR bn</t>
        </is>
      </c>
      <c r="H3174" t="n">
        <v>262</v>
      </c>
      <c r="I3174" t="inlineStr">
        <is>
          <t>pemilik entitas induk 442.462.440.391 460.466.342.496</t>
        </is>
      </c>
      <c r="J3174" t="inlineStr">
        <is>
          <t>High</t>
        </is>
      </c>
      <c r="M3174" t="inlineStr">
        <is>
          <t>LLM</t>
        </is>
      </c>
      <c r="N3174" t="inlineStr">
        <is>
          <t>2026-04-18</t>
        </is>
      </c>
      <c r="O3174" t="inlineStr">
        <is>
          <t>AI</t>
        </is>
      </c>
    </row>
    <row r="3175">
      <c r="A3175" t="inlineStr">
        <is>
          <t>PT Mahkota Group Tbk</t>
        </is>
      </c>
      <c r="B3175" t="inlineStr">
        <is>
          <t>MGRO_2024_AR.pdf</t>
        </is>
      </c>
      <c r="C3175" t="n">
        <v>2024</v>
      </c>
      <c r="D3175" t="inlineStr">
        <is>
          <t>Financial</t>
        </is>
      </c>
      <c r="E3175" t="inlineStr">
        <is>
          <t>Non-controlling Interests</t>
        </is>
      </c>
      <c r="F3175" t="n">
        <v>62.43</v>
      </c>
      <c r="G3175" t="inlineStr">
        <is>
          <t>IDR bn</t>
        </is>
      </c>
      <c r="H3175" t="n">
        <v>262</v>
      </c>
      <c r="I3175" t="inlineStr">
        <is>
          <t>Kepentingan non-pengendali 45 62.429.600.354 60.598.292.590</t>
        </is>
      </c>
      <c r="J3175" t="inlineStr">
        <is>
          <t>High</t>
        </is>
      </c>
      <c r="M3175" t="inlineStr">
        <is>
          <t>LLM</t>
        </is>
      </c>
      <c r="N3175" t="inlineStr">
        <is>
          <t>2026-04-18</t>
        </is>
      </c>
      <c r="O3175" t="inlineStr">
        <is>
          <t>AI</t>
        </is>
      </c>
    </row>
    <row r="3176">
      <c r="A3176" t="inlineStr">
        <is>
          <t>PT Mahkota Group Tbk</t>
        </is>
      </c>
      <c r="B3176" t="inlineStr">
        <is>
          <t>MGRO_2024_AR.pdf</t>
        </is>
      </c>
      <c r="C3176" t="n">
        <v>2024</v>
      </c>
      <c r="D3176" t="inlineStr">
        <is>
          <t>Financial</t>
        </is>
      </c>
      <c r="E3176" t="inlineStr">
        <is>
          <t>Cash &amp; Cash Equivalents</t>
        </is>
      </c>
      <c r="F3176" t="n">
        <v>276.1</v>
      </c>
      <c r="G3176" t="inlineStr">
        <is>
          <t>IDR bn</t>
        </is>
      </c>
      <c r="H3176" t="n">
        <v>261</v>
      </c>
      <c r="I3176" t="inlineStr">
        <is>
          <t>Kas dan setara kas 6 276.096.170.712 421.266.153.510</t>
        </is>
      </c>
      <c r="J3176" t="inlineStr">
        <is>
          <t>High</t>
        </is>
      </c>
      <c r="M3176" t="inlineStr">
        <is>
          <t>LLM</t>
        </is>
      </c>
      <c r="N3176" t="inlineStr">
        <is>
          <t>2026-04-18</t>
        </is>
      </c>
      <c r="O3176" t="inlineStr">
        <is>
          <t>AI</t>
        </is>
      </c>
    </row>
    <row r="3177">
      <c r="A3177" t="inlineStr">
        <is>
          <t>PT Mahkota Group Tbk</t>
        </is>
      </c>
      <c r="B3177" t="inlineStr">
        <is>
          <t>MGRO_2024_AR.pdf</t>
        </is>
      </c>
      <c r="C3177" t="n">
        <v>2024</v>
      </c>
      <c r="D3177" t="inlineStr">
        <is>
          <t>Financial</t>
        </is>
      </c>
      <c r="E3177" t="inlineStr">
        <is>
          <t>Restricted Cash</t>
        </is>
      </c>
      <c r="F3177" t="n">
        <v>476.75</v>
      </c>
      <c r="G3177" t="inlineStr">
        <is>
          <t>IDR bn</t>
        </is>
      </c>
      <c r="H3177" t="n">
        <v>261</v>
      </c>
      <c r="I3177" t="inlineStr">
        <is>
          <t>Kas yang dibatasi penggunaannya 6,21 476.745.800.000 305.870.000.000</t>
        </is>
      </c>
      <c r="J3177" t="inlineStr">
        <is>
          <t>High</t>
        </is>
      </c>
      <c r="M3177" t="inlineStr">
        <is>
          <t>LLM</t>
        </is>
      </c>
      <c r="N3177" t="inlineStr">
        <is>
          <t>2026-04-18</t>
        </is>
      </c>
      <c r="O3177" t="inlineStr">
        <is>
          <t>AI</t>
        </is>
      </c>
    </row>
    <row r="3178">
      <c r="A3178" t="inlineStr">
        <is>
          <t>PT Mahkota Group Tbk</t>
        </is>
      </c>
      <c r="B3178" t="inlineStr">
        <is>
          <t>MGRO_2024_AR.pdf</t>
        </is>
      </c>
      <c r="C3178" t="n">
        <v>2024</v>
      </c>
      <c r="D3178" t="inlineStr">
        <is>
          <t>Financial</t>
        </is>
      </c>
      <c r="E3178" t="inlineStr">
        <is>
          <t>Inventories</t>
        </is>
      </c>
      <c r="F3178" t="n">
        <v>344.63</v>
      </c>
      <c r="G3178" t="inlineStr">
        <is>
          <t>IDR bn</t>
        </is>
      </c>
      <c r="H3178" t="n">
        <v>261</v>
      </c>
      <c r="I3178" t="inlineStr">
        <is>
          <t>Persediaan 9 344.634.464.156 331.711.608.612</t>
        </is>
      </c>
      <c r="J3178" t="inlineStr">
        <is>
          <t>High</t>
        </is>
      </c>
      <c r="M3178" t="inlineStr">
        <is>
          <t>LLM</t>
        </is>
      </c>
      <c r="N3178" t="inlineStr">
        <is>
          <t>2026-04-18</t>
        </is>
      </c>
      <c r="O3178" t="inlineStr">
        <is>
          <t>AI</t>
        </is>
      </c>
    </row>
    <row r="3179">
      <c r="A3179" t="inlineStr">
        <is>
          <t>PT Mahkota Group Tbk</t>
        </is>
      </c>
      <c r="B3179" t="inlineStr">
        <is>
          <t>MGRO_2024_AR.pdf</t>
        </is>
      </c>
      <c r="C3179" t="n">
        <v>2024</v>
      </c>
      <c r="D3179" t="inlineStr">
        <is>
          <t>Financial</t>
        </is>
      </c>
      <c r="E3179" t="inlineStr">
        <is>
          <t>Short-term Bank Loans</t>
        </is>
      </c>
      <c r="F3179" t="n">
        <v>1357.81</v>
      </c>
      <c r="G3179" t="inlineStr">
        <is>
          <t>IDR bn</t>
        </is>
      </c>
      <c r="H3179" t="n">
        <v>262</v>
      </c>
      <c r="I3179" t="inlineStr">
        <is>
          <t>Pinjaman bank jangka pendek 21 1.357.809.800.000 1.425.048.011.243</t>
        </is>
      </c>
      <c r="J3179" t="inlineStr">
        <is>
          <t>High</t>
        </is>
      </c>
      <c r="M3179" t="inlineStr">
        <is>
          <t>LLM</t>
        </is>
      </c>
      <c r="N3179" t="inlineStr">
        <is>
          <t>2026-04-18</t>
        </is>
      </c>
      <c r="O3179" t="inlineStr">
        <is>
          <t>AI</t>
        </is>
      </c>
    </row>
    <row r="3180">
      <c r="A3180" t="inlineStr">
        <is>
          <t>PT Mahkota Group Tbk</t>
        </is>
      </c>
      <c r="B3180" t="inlineStr">
        <is>
          <t>MGRO_2024_AR.pdf</t>
        </is>
      </c>
      <c r="C3180" t="n">
        <v>2024</v>
      </c>
      <c r="D3180" t="inlineStr">
        <is>
          <t>Financial</t>
        </is>
      </c>
      <c r="E3180" t="inlineStr">
        <is>
          <t>Current Portion LT Bank Loans</t>
        </is>
      </c>
      <c r="F3180" t="n">
        <v>166.1</v>
      </c>
      <c r="G3180" t="inlineStr">
        <is>
          <t>IDR bn</t>
        </is>
      </c>
      <c r="H3180" t="n">
        <v>262</v>
      </c>
      <c r="I3180" t="inlineStr">
        <is>
          <t>Pinjaman bank jangka panjang 21 166.100.000.000 88.550.000.000</t>
        </is>
      </c>
      <c r="J3180" t="inlineStr">
        <is>
          <t>High</t>
        </is>
      </c>
      <c r="M3180" t="inlineStr">
        <is>
          <t>LLM</t>
        </is>
      </c>
      <c r="N3180" t="inlineStr">
        <is>
          <t>2026-04-18</t>
        </is>
      </c>
      <c r="O3180" t="inlineStr">
        <is>
          <t>AI</t>
        </is>
      </c>
    </row>
    <row r="3181">
      <c r="A3181" t="inlineStr">
        <is>
          <t>PT Mahkota Group Tbk</t>
        </is>
      </c>
      <c r="B3181" t="inlineStr">
        <is>
          <t>MGRO_2024_AR.pdf</t>
        </is>
      </c>
      <c r="C3181" t="n">
        <v>2024</v>
      </c>
      <c r="D3181" t="inlineStr">
        <is>
          <t>Financial</t>
        </is>
      </c>
      <c r="E3181" t="inlineStr">
        <is>
          <t>Long-term Bank Loans (non-current)</t>
        </is>
      </c>
      <c r="F3181" t="n">
        <v>696.08</v>
      </c>
      <c r="G3181" t="inlineStr">
        <is>
          <t>IDR bn</t>
        </is>
      </c>
      <c r="H3181" t="n">
        <v>262</v>
      </c>
      <c r="I3181" t="inlineStr">
        <is>
          <t>Pinjaman bank jangka panjang 21 696.075.578.598 313.351.560.688</t>
        </is>
      </c>
      <c r="J3181" t="inlineStr">
        <is>
          <t>High</t>
        </is>
      </c>
      <c r="M3181" t="inlineStr">
        <is>
          <t>LLM</t>
        </is>
      </c>
      <c r="N3181" t="inlineStr">
        <is>
          <t>2026-04-18</t>
        </is>
      </c>
      <c r="O3181" t="inlineStr">
        <is>
          <t>AI</t>
        </is>
      </c>
    </row>
    <row r="3182">
      <c r="A3182" t="inlineStr">
        <is>
          <t>PT Mahkota Group Tbk</t>
        </is>
      </c>
      <c r="B3182" t="inlineStr">
        <is>
          <t>MGRO_2024_AR.pdf</t>
        </is>
      </c>
      <c r="C3182" t="n">
        <v>2024</v>
      </c>
      <c r="D3182" t="inlineStr">
        <is>
          <t>Financial</t>
        </is>
      </c>
      <c r="E3182" t="inlineStr">
        <is>
          <t>MTN (Current)</t>
        </is>
      </c>
      <c r="F3182" t="n">
        <v>90</v>
      </c>
      <c r="G3182" t="inlineStr">
        <is>
          <t>IDR bn</t>
        </is>
      </c>
      <c r="H3182" t="n">
        <v>262</v>
      </c>
      <c r="I3182" t="inlineStr">
        <is>
          <t>Surat utang jangka menengah 26 90.000.000.000 - Medium term notes</t>
        </is>
      </c>
      <c r="J3182" t="inlineStr">
        <is>
          <t>High</t>
        </is>
      </c>
      <c r="M3182" t="inlineStr">
        <is>
          <t>LLM</t>
        </is>
      </c>
      <c r="N3182" t="inlineStr">
        <is>
          <t>2026-04-18</t>
        </is>
      </c>
      <c r="O3182" t="inlineStr">
        <is>
          <t>AI</t>
        </is>
      </c>
    </row>
    <row r="3183">
      <c r="A3183" t="inlineStr">
        <is>
          <t>PT Mahkota Group Tbk</t>
        </is>
      </c>
      <c r="B3183" t="inlineStr">
        <is>
          <t>MGRO_2024_AR.pdf</t>
        </is>
      </c>
      <c r="C3183" t="n">
        <v>2024</v>
      </c>
      <c r="D3183" t="inlineStr">
        <is>
          <t>Financial</t>
        </is>
      </c>
      <c r="E3183" t="inlineStr">
        <is>
          <t>Gross Debt</t>
        </is>
      </c>
      <c r="F3183" t="n">
        <v>2310.08</v>
      </c>
      <c r="G3183" t="inlineStr">
        <is>
          <t>IDR bn</t>
        </is>
      </c>
      <c r="H3183" t="n">
        <v>262</v>
      </c>
      <c r="I3183" t="inlineStr">
        <is>
          <t>Calculated: ST 1,357.81 + LT cur 166.10 + LT 696.08 + MTN 90 = 2,310.08</t>
        </is>
      </c>
      <c r="J3183" t="inlineStr">
        <is>
          <t>High</t>
        </is>
      </c>
      <c r="M3183" t="inlineStr">
        <is>
          <t>LLM</t>
        </is>
      </c>
      <c r="N3183" t="inlineStr">
        <is>
          <t>2026-04-18</t>
        </is>
      </c>
      <c r="O3183" t="inlineStr">
        <is>
          <t>AI</t>
        </is>
      </c>
    </row>
    <row r="3184">
      <c r="A3184" t="inlineStr">
        <is>
          <t>PT Mahkota Group Tbk</t>
        </is>
      </c>
      <c r="B3184" t="inlineStr">
        <is>
          <t>MGRO_2024_AR.pdf</t>
        </is>
      </c>
      <c r="C3184" t="n">
        <v>2024</v>
      </c>
      <c r="D3184" t="inlineStr">
        <is>
          <t>Financial</t>
        </is>
      </c>
      <c r="E3184" t="inlineStr">
        <is>
          <t>CFO</t>
        </is>
      </c>
      <c r="F3184" t="n">
        <v>-38.01</v>
      </c>
      <c r="G3184" t="inlineStr">
        <is>
          <t>IDR bn</t>
        </is>
      </c>
      <c r="H3184" t="n">
        <v>68</v>
      </c>
      <c r="I3184" t="inlineStr">
        <is>
          <t>Arus Kas dari Aktivitas Operasi (38,01) 309,79</t>
        </is>
      </c>
      <c r="J3184" t="inlineStr">
        <is>
          <t>High</t>
        </is>
      </c>
      <c r="M3184" t="inlineStr">
        <is>
          <t>LLM</t>
        </is>
      </c>
      <c r="N3184" t="inlineStr">
        <is>
          <t>2026-04-18</t>
        </is>
      </c>
      <c r="O3184" t="inlineStr">
        <is>
          <t>AI</t>
        </is>
      </c>
    </row>
    <row r="3185">
      <c r="A3185" t="inlineStr">
        <is>
          <t>PT Mahkota Group Tbk</t>
        </is>
      </c>
      <c r="B3185" t="inlineStr">
        <is>
          <t>MGRO_2024_AR.pdf</t>
        </is>
      </c>
      <c r="C3185" t="n">
        <v>2024</v>
      </c>
      <c r="D3185" t="inlineStr">
        <is>
          <t>Financial</t>
        </is>
      </c>
      <c r="E3185" t="inlineStr">
        <is>
          <t>CFI</t>
        </is>
      </c>
      <c r="F3185" t="n">
        <v>-316.94</v>
      </c>
      <c r="G3185" t="inlineStr">
        <is>
          <t>IDR bn</t>
        </is>
      </c>
      <c r="H3185" t="n">
        <v>68</v>
      </c>
      <c r="I3185" t="inlineStr">
        <is>
          <t>Arus Kas dari Aktivitas Investasi (316,94) (274,59)</t>
        </is>
      </c>
      <c r="J3185" t="inlineStr">
        <is>
          <t>High</t>
        </is>
      </c>
      <c r="M3185" t="inlineStr">
        <is>
          <t>LLM</t>
        </is>
      </c>
      <c r="N3185" t="inlineStr">
        <is>
          <t>2026-04-18</t>
        </is>
      </c>
      <c r="O3185" t="inlineStr">
        <is>
          <t>AI</t>
        </is>
      </c>
    </row>
    <row r="3186">
      <c r="A3186" t="inlineStr">
        <is>
          <t>PT Mahkota Group Tbk</t>
        </is>
      </c>
      <c r="B3186" t="inlineStr">
        <is>
          <t>MGRO_2024_AR.pdf</t>
        </is>
      </c>
      <c r="C3186" t="n">
        <v>2024</v>
      </c>
      <c r="D3186" t="inlineStr">
        <is>
          <t>Financial</t>
        </is>
      </c>
      <c r="E3186" t="inlineStr">
        <is>
          <t>CFF</t>
        </is>
      </c>
      <c r="F3186" t="n">
        <v>380.66</v>
      </c>
      <c r="G3186" t="inlineStr">
        <is>
          <t>IDR bn</t>
        </is>
      </c>
      <c r="H3186" t="n">
        <v>68</v>
      </c>
      <c r="I3186" t="inlineStr">
        <is>
          <t>Arus Kas dari Aktivitas Pendanaan 380,66 234,33</t>
        </is>
      </c>
      <c r="J3186" t="inlineStr">
        <is>
          <t>High</t>
        </is>
      </c>
      <c r="M3186" t="inlineStr">
        <is>
          <t>LLM</t>
        </is>
      </c>
      <c r="N3186" t="inlineStr">
        <is>
          <t>2026-04-18</t>
        </is>
      </c>
      <c r="O3186" t="inlineStr">
        <is>
          <t>AI</t>
        </is>
      </c>
    </row>
    <row r="3187">
      <c r="A3187" t="inlineStr">
        <is>
          <t>PT Mahkota Group Tbk</t>
        </is>
      </c>
      <c r="B3187" t="inlineStr">
        <is>
          <t>MGRO_2024_AR.pdf</t>
        </is>
      </c>
      <c r="C3187" t="n">
        <v>2024</v>
      </c>
      <c r="D3187" t="inlineStr">
        <is>
          <t>Financial</t>
        </is>
      </c>
      <c r="E3187" t="inlineStr">
        <is>
          <t>Capex (Fixed Asset Acquisition)</t>
        </is>
      </c>
      <c r="F3187" t="n">
        <v>319.07</v>
      </c>
      <c r="G3187" t="inlineStr">
        <is>
          <t>IDR bn</t>
        </is>
      </c>
      <c r="H3187" t="n">
        <v>266</v>
      </c>
      <c r="I3187" t="inlineStr">
        <is>
          <t>Perolehan aset tetap 14 (319.070.298.604) (180.809.079.106)</t>
        </is>
      </c>
      <c r="J3187" t="inlineStr">
        <is>
          <t>High</t>
        </is>
      </c>
      <c r="M3187" t="inlineStr">
        <is>
          <t>LLM</t>
        </is>
      </c>
      <c r="N3187" t="inlineStr">
        <is>
          <t>2026-04-18</t>
        </is>
      </c>
      <c r="O3187" t="inlineStr">
        <is>
          <t>AI</t>
        </is>
      </c>
    </row>
    <row r="3188">
      <c r="A3188" t="inlineStr">
        <is>
          <t>PT Mahkota Group Tbk</t>
        </is>
      </c>
      <c r="B3188" t="inlineStr">
        <is>
          <t>MGRO_2024_AR.pdf</t>
        </is>
      </c>
      <c r="C3188" t="n">
        <v>2024</v>
      </c>
      <c r="D3188" t="inlineStr">
        <is>
          <t>Financial</t>
        </is>
      </c>
      <c r="E3188" t="inlineStr">
        <is>
          <t>Shares Outstanding</t>
        </is>
      </c>
      <c r="F3188" t="n">
        <v>3554.45</v>
      </c>
      <c r="G3188" t="inlineStr">
        <is>
          <t>mn shares</t>
        </is>
      </c>
      <c r="H3188" t="n">
        <v>9</v>
      </c>
      <c r="I3188" t="inlineStr">
        <is>
          <t>3.554.445.700 saham beredar</t>
        </is>
      </c>
      <c r="J3188" t="inlineStr">
        <is>
          <t>High</t>
        </is>
      </c>
      <c r="M3188" t="inlineStr">
        <is>
          <t>LLM</t>
        </is>
      </c>
      <c r="N3188" t="inlineStr">
        <is>
          <t>2026-04-18</t>
        </is>
      </c>
      <c r="O3188" t="inlineStr">
        <is>
          <t>AI</t>
        </is>
      </c>
    </row>
    <row r="3189">
      <c r="A3189" t="inlineStr">
        <is>
          <t>PT Mahkota Group Tbk</t>
        </is>
      </c>
      <c r="B3189" t="inlineStr">
        <is>
          <t>MGRO_2024_AR.pdf</t>
        </is>
      </c>
      <c r="C3189" t="n">
        <v>2024</v>
      </c>
      <c r="D3189" t="inlineStr">
        <is>
          <t>Financial</t>
        </is>
      </c>
      <c r="E3189" t="inlineStr">
        <is>
          <t>Loss per Share</t>
        </is>
      </c>
      <c r="F3189" t="n">
        <v>-5.91</v>
      </c>
      <c r="G3189" t="inlineStr">
        <is>
          <t>Rp/share</t>
        </is>
      </c>
      <c r="H3189" t="n">
        <v>8</v>
      </c>
      <c r="I3189" t="inlineStr">
        <is>
          <t>Laba Per Saham Dasar (5,91) (43,12) (5,69)</t>
        </is>
      </c>
      <c r="J3189" t="inlineStr">
        <is>
          <t>High</t>
        </is>
      </c>
      <c r="M3189" t="inlineStr">
        <is>
          <t>LLM</t>
        </is>
      </c>
      <c r="N3189" t="inlineStr">
        <is>
          <t>2026-04-18</t>
        </is>
      </c>
      <c r="O3189" t="inlineStr">
        <is>
          <t>AI</t>
        </is>
      </c>
    </row>
    <row r="3190">
      <c r="A3190" t="inlineStr">
        <is>
          <t>PT Mahkota Group Tbk</t>
        </is>
      </c>
      <c r="B3190" t="inlineStr">
        <is>
          <t>MGRO_2024_AR.pdf</t>
        </is>
      </c>
      <c r="C3190" t="n">
        <v>2024</v>
      </c>
      <c r="D3190" t="inlineStr">
        <is>
          <t>Financial</t>
        </is>
      </c>
      <c r="E3190" t="inlineStr">
        <is>
          <t>Closing Price (Q4 2024)</t>
        </is>
      </c>
      <c r="F3190" t="n">
        <v>695</v>
      </c>
      <c r="G3190" t="inlineStr">
        <is>
          <t>Rp/share</t>
        </is>
      </c>
      <c r="H3190" t="n">
        <v>9</v>
      </c>
      <c r="I3190" t="inlineStr">
        <is>
          <t>IV 3.554.445.700 720 620 695</t>
        </is>
      </c>
      <c r="J3190" t="inlineStr">
        <is>
          <t>High</t>
        </is>
      </c>
      <c r="M3190" t="inlineStr">
        <is>
          <t>LLM</t>
        </is>
      </c>
      <c r="N3190" t="inlineStr">
        <is>
          <t>2026-04-18</t>
        </is>
      </c>
      <c r="O3190" t="inlineStr">
        <is>
          <t>AI</t>
        </is>
      </c>
    </row>
    <row r="3191">
      <c r="A3191" t="inlineStr">
        <is>
          <t>PT Mahkota Group Tbk</t>
        </is>
      </c>
      <c r="B3191" t="inlineStr">
        <is>
          <t>MGRO_2024_AR.pdf</t>
        </is>
      </c>
      <c r="C3191" t="n">
        <v>2024</v>
      </c>
      <c r="D3191" t="inlineStr">
        <is>
          <t>Financial</t>
        </is>
      </c>
      <c r="E3191" t="inlineStr">
        <is>
          <t>Market Cap (Q4 2024)</t>
        </is>
      </c>
      <c r="F3191" t="n">
        <v>2470.34</v>
      </c>
      <c r="G3191" t="inlineStr">
        <is>
          <t>IDR bn</t>
        </is>
      </c>
      <c r="H3191" t="n">
        <v>9</v>
      </c>
      <c r="I3191" t="inlineStr">
        <is>
          <t>Kapitalisasi Pasar IV 2.470.339.761.500</t>
        </is>
      </c>
      <c r="J3191" t="inlineStr">
        <is>
          <t>High</t>
        </is>
      </c>
      <c r="M3191" t="inlineStr">
        <is>
          <t>LLM</t>
        </is>
      </c>
      <c r="N3191" t="inlineStr">
        <is>
          <t>2026-04-18</t>
        </is>
      </c>
      <c r="O3191" t="inlineStr">
        <is>
          <t>AI</t>
        </is>
      </c>
    </row>
    <row r="3192">
      <c r="A3192" t="inlineStr">
        <is>
          <t>PT Mahkota Group Tbk</t>
        </is>
      </c>
      <c r="B3192" t="inlineStr">
        <is>
          <t>MGRO_2024_AR.pdf</t>
        </is>
      </c>
      <c r="C3192" t="n">
        <v>2024</v>
      </c>
      <c r="D3192" t="inlineStr">
        <is>
          <t>Financial</t>
        </is>
      </c>
      <c r="E3192" t="inlineStr">
        <is>
          <t>Current Ratio</t>
        </is>
      </c>
      <c r="F3192" t="n">
        <v>0.8703</v>
      </c>
      <c r="G3192" t="inlineStr">
        <is>
          <t>x</t>
        </is>
      </c>
      <c r="H3192" t="n">
        <v>9</v>
      </c>
      <c r="I3192" t="inlineStr">
        <is>
          <t>Rasio Lancar 87,03% 84,20% 100,41%</t>
        </is>
      </c>
      <c r="J3192" t="inlineStr">
        <is>
          <t>High</t>
        </is>
      </c>
      <c r="M3192" t="inlineStr">
        <is>
          <t>LLM</t>
        </is>
      </c>
      <c r="N3192" t="inlineStr">
        <is>
          <t>2026-04-18</t>
        </is>
      </c>
      <c r="O3192" t="inlineStr">
        <is>
          <t>AI</t>
        </is>
      </c>
    </row>
    <row r="3193">
      <c r="A3193" t="inlineStr">
        <is>
          <t>PT Mahkota Group Tbk</t>
        </is>
      </c>
      <c r="B3193" t="inlineStr">
        <is>
          <t>MGRO_2024_AR.pdf</t>
        </is>
      </c>
      <c r="C3193" t="n">
        <v>2024</v>
      </c>
      <c r="D3193" t="inlineStr">
        <is>
          <t>Financial</t>
        </is>
      </c>
      <c r="E3193" t="inlineStr">
        <is>
          <t>Debt-to-Equity Ratio</t>
        </is>
      </c>
      <c r="F3193" t="n">
        <v>5.088</v>
      </c>
      <c r="G3193" t="inlineStr">
        <is>
          <t>x</t>
        </is>
      </c>
      <c r="H3193" t="n">
        <v>9</v>
      </c>
      <c r="I3193" t="inlineStr">
        <is>
          <t>Rasio Liabilitas terhadap Ekuitas 508,80% 414,37% 296,93%</t>
        </is>
      </c>
      <c r="J3193" t="inlineStr">
        <is>
          <t>High</t>
        </is>
      </c>
      <c r="M3193" t="inlineStr">
        <is>
          <t>LLM</t>
        </is>
      </c>
      <c r="N3193" t="inlineStr">
        <is>
          <t>2026-04-18</t>
        </is>
      </c>
      <c r="O3193" t="inlineStr">
        <is>
          <t>AI</t>
        </is>
      </c>
    </row>
    <row r="3194">
      <c r="A3194" t="inlineStr">
        <is>
          <t>PT Mahkota Group Tbk</t>
        </is>
      </c>
      <c r="B3194" t="inlineStr">
        <is>
          <t>MGRO_2024_AR.pdf</t>
        </is>
      </c>
      <c r="C3194" t="n">
        <v>2024</v>
      </c>
      <c r="D3194" t="inlineStr">
        <is>
          <t>Financial</t>
        </is>
      </c>
      <c r="E3194" t="inlineStr">
        <is>
          <t>Cash Ratio</t>
        </is>
      </c>
      <c r="F3194" t="n">
        <v>0.4155</v>
      </c>
      <c r="G3194" t="inlineStr">
        <is>
          <t>x</t>
        </is>
      </c>
      <c r="H3194" t="n">
        <v>71</v>
      </c>
      <c r="I3194" t="inlineStr">
        <is>
          <t>Rasio Kas 41,55% 42,95%</t>
        </is>
      </c>
      <c r="J3194" t="inlineStr">
        <is>
          <t>High</t>
        </is>
      </c>
      <c r="M3194" t="inlineStr">
        <is>
          <t>LLM</t>
        </is>
      </c>
      <c r="N3194" t="inlineStr">
        <is>
          <t>2026-04-18</t>
        </is>
      </c>
      <c r="O3194" t="inlineStr">
        <is>
          <t>AI</t>
        </is>
      </c>
    </row>
    <row r="3195">
      <c r="A3195" t="inlineStr">
        <is>
          <t>PT Mahkota Group Tbk</t>
        </is>
      </c>
      <c r="B3195" t="inlineStr">
        <is>
          <t>MGRO_2024_AR.pdf</t>
        </is>
      </c>
      <c r="C3195" t="n">
        <v>2024</v>
      </c>
      <c r="D3195" t="inlineStr">
        <is>
          <t>Financial</t>
        </is>
      </c>
      <c r="E3195" t="inlineStr">
        <is>
          <t>Quick Ratio</t>
        </is>
      </c>
      <c r="F3195" t="n">
        <v>0.6801</v>
      </c>
      <c r="G3195" t="inlineStr">
        <is>
          <t>x</t>
        </is>
      </c>
      <c r="H3195" t="n">
        <v>71</v>
      </c>
      <c r="I3195" t="inlineStr">
        <is>
          <t>Rasio Cepat 68,01% 64,61%</t>
        </is>
      </c>
      <c r="J3195" t="inlineStr">
        <is>
          <t>High</t>
        </is>
      </c>
      <c r="M3195" t="inlineStr">
        <is>
          <t>LLM</t>
        </is>
      </c>
      <c r="N3195" t="inlineStr">
        <is>
          <t>2026-04-18</t>
        </is>
      </c>
      <c r="O3195" t="inlineStr">
        <is>
          <t>AI</t>
        </is>
      </c>
    </row>
    <row r="3196">
      <c r="A3196" t="inlineStr">
        <is>
          <t>PT Mahkota Group Tbk</t>
        </is>
      </c>
      <c r="B3196" t="inlineStr">
        <is>
          <t>MGRO_2024_AR.pdf</t>
        </is>
      </c>
      <c r="C3196" t="n">
        <v>2024</v>
      </c>
      <c r="D3196" t="inlineStr">
        <is>
          <t>Asset</t>
        </is>
      </c>
      <c r="E3196" t="inlineStr">
        <is>
          <t>Planted Area (Plantation Segment)</t>
        </is>
      </c>
      <c r="F3196" t="n">
        <v>477.85</v>
      </c>
      <c r="G3196" t="inlineStr">
        <is>
          <t>ha</t>
        </is>
      </c>
      <c r="H3196" t="n">
        <v>64</v>
      </c>
      <c r="I3196" t="inlineStr">
        <is>
          <t>total luas area tanam per akhir tahun 2024 adalah sebesar 477,85 hektar</t>
        </is>
      </c>
      <c r="J3196" t="inlineStr">
        <is>
          <t>High</t>
        </is>
      </c>
      <c r="M3196" t="inlineStr">
        <is>
          <t>LLM</t>
        </is>
      </c>
      <c r="N3196" t="inlineStr">
        <is>
          <t>2026-04-18</t>
        </is>
      </c>
      <c r="O3196" t="inlineStr">
        <is>
          <t>AI</t>
        </is>
      </c>
    </row>
    <row r="3197">
      <c r="A3197" t="inlineStr">
        <is>
          <t>PT Mahkota Group Tbk</t>
        </is>
      </c>
      <c r="B3197" t="inlineStr">
        <is>
          <t>MGRO_2024_AR.pdf</t>
        </is>
      </c>
      <c r="C3197" t="n">
        <v>2024</v>
      </c>
      <c r="D3197" t="inlineStr">
        <is>
          <t>Asset</t>
        </is>
      </c>
      <c r="E3197" t="inlineStr">
        <is>
          <t>Total Land Area (Concession)</t>
        </is>
      </c>
      <c r="F3197" t="n">
        <v>967.74</v>
      </c>
      <c r="G3197" t="inlineStr">
        <is>
          <t>ha</t>
        </is>
      </c>
      <c r="H3197" t="n">
        <v>64</v>
      </c>
      <c r="I3197" t="inlineStr">
        <is>
          <t>total luas lahan sebesar 967,74 hektar</t>
        </is>
      </c>
      <c r="J3197" t="inlineStr">
        <is>
          <t>High</t>
        </is>
      </c>
      <c r="M3197" t="inlineStr">
        <is>
          <t>LLM</t>
        </is>
      </c>
      <c r="N3197" t="inlineStr">
        <is>
          <t>2026-04-18</t>
        </is>
      </c>
      <c r="O3197" t="inlineStr">
        <is>
          <t>AI</t>
        </is>
      </c>
    </row>
    <row r="3198">
      <c r="A3198" t="inlineStr">
        <is>
          <t>PT Mahkota Group Tbk</t>
        </is>
      </c>
      <c r="B3198" t="inlineStr">
        <is>
          <t>MGRO_2024_AR.pdf</t>
        </is>
      </c>
      <c r="C3198" t="n">
        <v>2024</v>
      </c>
      <c r="D3198" t="inlineStr">
        <is>
          <t>Asset</t>
        </is>
      </c>
      <c r="E3198" t="inlineStr">
        <is>
          <t>New Planting 2024</t>
        </is>
      </c>
      <c r="F3198" t="n">
        <v>49.97</v>
      </c>
      <c r="G3198" t="inlineStr">
        <is>
          <t>ha</t>
        </is>
      </c>
      <c r="H3198" t="n">
        <v>64</v>
      </c>
      <c r="I3198" t="inlineStr">
        <is>
          <t>penambahan areal lahan tanam baru seluas total 49,97 hektar</t>
        </is>
      </c>
      <c r="J3198" t="inlineStr">
        <is>
          <t>High</t>
        </is>
      </c>
      <c r="M3198" t="inlineStr">
        <is>
          <t>LLM</t>
        </is>
      </c>
      <c r="N3198" t="inlineStr">
        <is>
          <t>2026-04-18</t>
        </is>
      </c>
      <c r="O3198" t="inlineStr">
        <is>
          <t>AI</t>
        </is>
      </c>
    </row>
    <row r="3199">
      <c r="A3199" t="inlineStr">
        <is>
          <t>PT Mahkota Group Tbk</t>
        </is>
      </c>
      <c r="B3199" t="inlineStr">
        <is>
          <t>MGRO_2024_AR.pdf</t>
        </is>
      </c>
      <c r="C3199" t="n">
        <v>2024</v>
      </c>
      <c r="D3199" t="inlineStr">
        <is>
          <t>Asset</t>
        </is>
      </c>
      <c r="E3199" t="inlineStr">
        <is>
          <t>Palm Oil Mills (CPO/PK)</t>
        </is>
      </c>
      <c r="F3199" t="inlineStr">
        <is>
          <t>45-60 t/hour each</t>
        </is>
      </c>
      <c r="G3199" t="inlineStr">
        <is>
          <t>tph</t>
        </is>
      </c>
      <c r="H3199" t="n">
        <v>61</v>
      </c>
      <c r="I3199" t="inlineStr">
        <is>
          <t>Kapasitas setiap pabrik pengolahan Perseroan untuk produk CPO dan PK berada di kisaran 45-60 ton per jam</t>
        </is>
      </c>
      <c r="J3199" t="inlineStr">
        <is>
          <t>High</t>
        </is>
      </c>
      <c r="M3199" t="inlineStr">
        <is>
          <t>LLM</t>
        </is>
      </c>
      <c r="N3199" t="inlineStr">
        <is>
          <t>2026-04-18</t>
        </is>
      </c>
      <c r="O3199" t="inlineStr">
        <is>
          <t>AI</t>
        </is>
      </c>
    </row>
    <row r="3200">
      <c r="A3200" t="inlineStr">
        <is>
          <t>PT Mahkota Group Tbk</t>
        </is>
      </c>
      <c r="B3200" t="inlineStr">
        <is>
          <t>MGRO_2024_AR.pdf</t>
        </is>
      </c>
      <c r="C3200" t="n">
        <v>2024</v>
      </c>
      <c r="D3200" t="inlineStr">
        <is>
          <t>Asset</t>
        </is>
      </c>
      <c r="E3200" t="inlineStr">
        <is>
          <t>Refinery Capacity (RBDPO/PFAD/Olein/Stearin)</t>
        </is>
      </c>
      <c r="F3200" t="inlineStr">
        <is>
          <t>1,500-1,800 t/day</t>
        </is>
      </c>
      <c r="G3200" t="inlineStr">
        <is>
          <t>tpd</t>
        </is>
      </c>
      <c r="H3200" t="n">
        <v>61</v>
      </c>
      <c r="I3200" t="inlineStr">
        <is>
          <t>produk RBDPO dan PFAD ataupun produk fraksinasi Olein dan Stearin sebesar 1.500-1.800 ton per hari</t>
        </is>
      </c>
      <c r="J3200" t="inlineStr">
        <is>
          <t>High</t>
        </is>
      </c>
      <c r="M3200" t="inlineStr">
        <is>
          <t>LLM</t>
        </is>
      </c>
      <c r="N3200" t="inlineStr">
        <is>
          <t>2026-04-18</t>
        </is>
      </c>
      <c r="O3200" t="inlineStr">
        <is>
          <t>AI</t>
        </is>
      </c>
    </row>
    <row r="3201">
      <c r="A3201" t="inlineStr">
        <is>
          <t>PT Mahkota Group Tbk</t>
        </is>
      </c>
      <c r="B3201" t="inlineStr">
        <is>
          <t>MGRO_2024_AR.pdf</t>
        </is>
      </c>
      <c r="C3201" t="n">
        <v>2024</v>
      </c>
      <c r="D3201" t="inlineStr">
        <is>
          <t>Asset</t>
        </is>
      </c>
      <c r="E3201" t="inlineStr">
        <is>
          <t>Second Refinery Line Commissioning</t>
        </is>
      </c>
      <c r="F3201" t="inlineStr">
        <is>
          <t>2024</t>
        </is>
      </c>
      <c r="G3201" t="inlineStr">
        <is>
          <t>text</t>
        </is>
      </c>
      <c r="H3201" t="n">
        <v>26</v>
      </c>
      <c r="I3201" t="inlineStr">
        <is>
          <t>commissioning line produksi kedua refinery pada proyek Integrated Sustainable Agro Industry di Riau, yang dapat meningkatkan kapasitas produksi hingga 2x1.800 ton per hari</t>
        </is>
      </c>
      <c r="J3201" t="inlineStr">
        <is>
          <t>High</t>
        </is>
      </c>
      <c r="M3201" t="inlineStr">
        <is>
          <t>LLM</t>
        </is>
      </c>
      <c r="N3201" t="inlineStr">
        <is>
          <t>2026-04-18</t>
        </is>
      </c>
      <c r="O3201" t="inlineStr">
        <is>
          <t>AI</t>
        </is>
      </c>
    </row>
    <row r="3202">
      <c r="A3202" t="inlineStr">
        <is>
          <t>PT Mahkota Group Tbk</t>
        </is>
      </c>
      <c r="B3202" t="inlineStr">
        <is>
          <t>MGRO_2024_AR.pdf</t>
        </is>
      </c>
      <c r="C3202" t="n">
        <v>2024</v>
      </c>
      <c r="D3202" t="inlineStr">
        <is>
          <t>Asset</t>
        </is>
      </c>
      <c r="E3202" t="inlineStr">
        <is>
          <t>KCP (PKO/PKE) Capacity</t>
        </is>
      </c>
      <c r="F3202" t="inlineStr">
        <is>
          <t>200-400 t/day</t>
        </is>
      </c>
      <c r="G3202" t="inlineStr">
        <is>
          <t>tpd</t>
        </is>
      </c>
      <c r="H3202" t="n">
        <v>61</v>
      </c>
      <c r="I3202" t="inlineStr">
        <is>
          <t>produk PKO dan PKE sebesar 200-400 ton per hari</t>
        </is>
      </c>
      <c r="J3202" t="inlineStr">
        <is>
          <t>High</t>
        </is>
      </c>
      <c r="M3202" t="inlineStr">
        <is>
          <t>LLM</t>
        </is>
      </c>
      <c r="N3202" t="inlineStr">
        <is>
          <t>2026-04-18</t>
        </is>
      </c>
      <c r="O3202" t="inlineStr">
        <is>
          <t>AI</t>
        </is>
      </c>
    </row>
    <row r="3203">
      <c r="A3203" t="inlineStr">
        <is>
          <t>PT Mahkota Group Tbk</t>
        </is>
      </c>
      <c r="B3203" t="inlineStr">
        <is>
          <t>MGRO_2024_AR.pdf</t>
        </is>
      </c>
      <c r="C3203" t="n">
        <v>2024</v>
      </c>
      <c r="D3203" t="inlineStr">
        <is>
          <t>Asset</t>
        </is>
      </c>
      <c r="E3203" t="inlineStr">
        <is>
          <t>Storage Tank Total Capacity</t>
        </is>
      </c>
      <c r="F3203" t="n">
        <v>75900</v>
      </c>
      <c r="G3203" t="inlineStr">
        <is>
          <t>metric tons</t>
        </is>
      </c>
      <c r="H3203" t="n">
        <v>61</v>
      </c>
      <c r="I3203" t="inlineStr">
        <is>
          <t>total kapasitas penyewaan tangki timbun adalah 75.900 metrik ton</t>
        </is>
      </c>
      <c r="J3203" t="inlineStr">
        <is>
          <t>High</t>
        </is>
      </c>
      <c r="M3203" t="inlineStr">
        <is>
          <t>LLM</t>
        </is>
      </c>
      <c r="N3203" t="inlineStr">
        <is>
          <t>2026-04-18</t>
        </is>
      </c>
      <c r="O3203" t="inlineStr">
        <is>
          <t>AI</t>
        </is>
      </c>
    </row>
    <row r="3204">
      <c r="A3204" t="inlineStr">
        <is>
          <t>PT Mahkota Group Tbk</t>
        </is>
      </c>
      <c r="B3204" t="inlineStr">
        <is>
          <t>MGRO_2024_AR.pdf</t>
        </is>
      </c>
      <c r="C3204" t="n">
        <v>2024</v>
      </c>
      <c r="D3204" t="inlineStr">
        <is>
          <t>Asset</t>
        </is>
      </c>
      <c r="E3204" t="inlineStr">
        <is>
          <t>Storage Tanks Count</t>
        </is>
      </c>
      <c r="F3204" t="n">
        <v>26</v>
      </c>
      <c r="G3204" t="inlineStr">
        <is>
          <t>count</t>
        </is>
      </c>
      <c r="H3204" t="n">
        <v>63</v>
      </c>
      <c r="I3204" t="inlineStr">
        <is>
          <t>Perseroan memiliki total 26 tangki timbun dengan perincian ukuran kapasitas 3.150 ton sebanyak 18 tangki dan ukuran kapasitas 2.400 ton sebanyak 8</t>
        </is>
      </c>
      <c r="J3204" t="inlineStr">
        <is>
          <t>High</t>
        </is>
      </c>
      <c r="M3204" t="inlineStr">
        <is>
          <t>LLM</t>
        </is>
      </c>
      <c r="N3204" t="inlineStr">
        <is>
          <t>2026-04-18</t>
        </is>
      </c>
      <c r="O3204" t="inlineStr">
        <is>
          <t>AI</t>
        </is>
      </c>
    </row>
    <row r="3205">
      <c r="A3205" t="inlineStr">
        <is>
          <t>PT Mahkota Group Tbk</t>
        </is>
      </c>
      <c r="B3205" t="inlineStr">
        <is>
          <t>MGRO_2024_AR.pdf</t>
        </is>
      </c>
      <c r="C3205" t="n">
        <v>2024</v>
      </c>
      <c r="D3205" t="inlineStr">
        <is>
          <t>Operation</t>
        </is>
      </c>
      <c r="E3205" t="inlineStr">
        <is>
          <t>CPO Production</t>
        </is>
      </c>
      <c r="F3205" t="n">
        <v>195440</v>
      </c>
      <c r="G3205" t="inlineStr">
        <is>
          <t>t</t>
        </is>
      </c>
      <c r="H3205" t="n">
        <v>63</v>
      </c>
      <c r="I3205" t="inlineStr">
        <is>
          <t>CPO 195,44 256,93 (24%) (juta kg)</t>
        </is>
      </c>
      <c r="J3205" t="inlineStr">
        <is>
          <t>High</t>
        </is>
      </c>
      <c r="M3205" t="inlineStr">
        <is>
          <t>LLM</t>
        </is>
      </c>
      <c r="N3205" t="inlineStr">
        <is>
          <t>2026-04-18</t>
        </is>
      </c>
      <c r="O3205" t="inlineStr">
        <is>
          <t>AI</t>
        </is>
      </c>
    </row>
    <row r="3206">
      <c r="A3206" t="inlineStr">
        <is>
          <t>PT Mahkota Group Tbk</t>
        </is>
      </c>
      <c r="B3206" t="inlineStr">
        <is>
          <t>MGRO_2024_AR.pdf</t>
        </is>
      </c>
      <c r="C3206" t="n">
        <v>2024</v>
      </c>
      <c r="D3206" t="inlineStr">
        <is>
          <t>Operation</t>
        </is>
      </c>
      <c r="E3206" t="inlineStr">
        <is>
          <t>PK Production</t>
        </is>
      </c>
      <c r="F3206" t="n">
        <v>57860</v>
      </c>
      <c r="G3206" t="inlineStr">
        <is>
          <t>t</t>
        </is>
      </c>
      <c r="H3206" t="n">
        <v>63</v>
      </c>
      <c r="I3206" t="inlineStr">
        <is>
          <t>PK 57,86 77,23 (25%) (juta kg)</t>
        </is>
      </c>
      <c r="J3206" t="inlineStr">
        <is>
          <t>High</t>
        </is>
      </c>
      <c r="M3206" t="inlineStr">
        <is>
          <t>LLM</t>
        </is>
      </c>
      <c r="N3206" t="inlineStr">
        <is>
          <t>2026-04-18</t>
        </is>
      </c>
      <c r="O3206" t="inlineStr">
        <is>
          <t>AI</t>
        </is>
      </c>
    </row>
    <row r="3207">
      <c r="A3207" t="inlineStr">
        <is>
          <t>PT Mahkota Group Tbk</t>
        </is>
      </c>
      <c r="B3207" t="inlineStr">
        <is>
          <t>MGRO_2024_AR.pdf</t>
        </is>
      </c>
      <c r="C3207" t="n">
        <v>2024</v>
      </c>
      <c r="D3207" t="inlineStr">
        <is>
          <t>Operation</t>
        </is>
      </c>
      <c r="E3207" t="inlineStr">
        <is>
          <t>RBDPO Production</t>
        </is>
      </c>
      <c r="F3207" t="n">
        <v>212470</v>
      </c>
      <c r="G3207" t="inlineStr">
        <is>
          <t>t</t>
        </is>
      </c>
      <c r="H3207" t="n">
        <v>63</v>
      </c>
      <c r="I3207" t="inlineStr">
        <is>
          <t>RBDPO 212,47 274,68 (23%) (juta kg)</t>
        </is>
      </c>
      <c r="J3207" t="inlineStr">
        <is>
          <t>High</t>
        </is>
      </c>
      <c r="M3207" t="inlineStr">
        <is>
          <t>LLM</t>
        </is>
      </c>
      <c r="N3207" t="inlineStr">
        <is>
          <t>2026-04-18</t>
        </is>
      </c>
      <c r="O3207" t="inlineStr">
        <is>
          <t>AI</t>
        </is>
      </c>
    </row>
    <row r="3208">
      <c r="A3208" t="inlineStr">
        <is>
          <t>PT Mahkota Group Tbk</t>
        </is>
      </c>
      <c r="B3208" t="inlineStr">
        <is>
          <t>MGRO_2024_AR.pdf</t>
        </is>
      </c>
      <c r="C3208" t="n">
        <v>2024</v>
      </c>
      <c r="D3208" t="inlineStr">
        <is>
          <t>Operation</t>
        </is>
      </c>
      <c r="E3208" t="inlineStr">
        <is>
          <t>PFAD Production</t>
        </is>
      </c>
      <c r="F3208" t="n">
        <v>9330</v>
      </c>
      <c r="G3208" t="inlineStr">
        <is>
          <t>t</t>
        </is>
      </c>
      <c r="H3208" t="n">
        <v>63</v>
      </c>
      <c r="I3208" t="inlineStr">
        <is>
          <t>PFAD 9,33 15,97 (42%)</t>
        </is>
      </c>
      <c r="J3208" t="inlineStr">
        <is>
          <t>High</t>
        </is>
      </c>
      <c r="M3208" t="inlineStr">
        <is>
          <t>LLM</t>
        </is>
      </c>
      <c r="N3208" t="inlineStr">
        <is>
          <t>2026-04-18</t>
        </is>
      </c>
      <c r="O3208" t="inlineStr">
        <is>
          <t>AI</t>
        </is>
      </c>
    </row>
    <row r="3209">
      <c r="A3209" t="inlineStr">
        <is>
          <t>PT Mahkota Group Tbk</t>
        </is>
      </c>
      <c r="B3209" t="inlineStr">
        <is>
          <t>MGRO_2024_AR.pdf</t>
        </is>
      </c>
      <c r="C3209" t="n">
        <v>2024</v>
      </c>
      <c r="D3209" t="inlineStr">
        <is>
          <t>Operation</t>
        </is>
      </c>
      <c r="E3209" t="inlineStr">
        <is>
          <t>PKO Production</t>
        </is>
      </c>
      <c r="F3209" t="n">
        <v>21230</v>
      </c>
      <c r="G3209" t="inlineStr">
        <is>
          <t>t</t>
        </is>
      </c>
      <c r="H3209" t="n">
        <v>63</v>
      </c>
      <c r="I3209" t="inlineStr">
        <is>
          <t>PKO 21,23 15,73 35%</t>
        </is>
      </c>
      <c r="J3209" t="inlineStr">
        <is>
          <t>High</t>
        </is>
      </c>
      <c r="M3209" t="inlineStr">
        <is>
          <t>LLM</t>
        </is>
      </c>
      <c r="N3209" t="inlineStr">
        <is>
          <t>2026-04-18</t>
        </is>
      </c>
      <c r="O3209" t="inlineStr">
        <is>
          <t>AI</t>
        </is>
      </c>
    </row>
    <row r="3210">
      <c r="A3210" t="inlineStr">
        <is>
          <t>PT Mahkota Group Tbk</t>
        </is>
      </c>
      <c r="B3210" t="inlineStr">
        <is>
          <t>MGRO_2024_AR.pdf</t>
        </is>
      </c>
      <c r="C3210" t="n">
        <v>2024</v>
      </c>
      <c r="D3210" t="inlineStr">
        <is>
          <t>Operation</t>
        </is>
      </c>
      <c r="E3210" t="inlineStr">
        <is>
          <t>PKE Production</t>
        </is>
      </c>
      <c r="F3210" t="n">
        <v>26650</v>
      </c>
      <c r="G3210" t="inlineStr">
        <is>
          <t>t</t>
        </is>
      </c>
      <c r="H3210" t="n">
        <v>63</v>
      </c>
      <c r="I3210" t="inlineStr">
        <is>
          <t>PKE 26,65 19,96 33%</t>
        </is>
      </c>
      <c r="J3210" t="inlineStr">
        <is>
          <t>High</t>
        </is>
      </c>
      <c r="M3210" t="inlineStr">
        <is>
          <t>LLM</t>
        </is>
      </c>
      <c r="N3210" t="inlineStr">
        <is>
          <t>2026-04-18</t>
        </is>
      </c>
      <c r="O3210" t="inlineStr">
        <is>
          <t>AI</t>
        </is>
      </c>
    </row>
    <row r="3211">
      <c r="A3211" t="inlineStr">
        <is>
          <t>PT Mahkota Group Tbk</t>
        </is>
      </c>
      <c r="B3211" t="inlineStr">
        <is>
          <t>MGRO_2024_AR.pdf</t>
        </is>
      </c>
      <c r="C3211" t="n">
        <v>2024</v>
      </c>
      <c r="D3211" t="inlineStr">
        <is>
          <t>Operation</t>
        </is>
      </c>
      <c r="E3211" t="inlineStr">
        <is>
          <t>Olein Production</t>
        </is>
      </c>
      <c r="F3211" t="n">
        <v>12460</v>
      </c>
      <c r="G3211" t="inlineStr">
        <is>
          <t>t</t>
        </is>
      </c>
      <c r="H3211" t="n">
        <v>63</v>
      </c>
      <c r="I3211" t="inlineStr">
        <is>
          <t>Olein 12,46 9,42 32%</t>
        </is>
      </c>
      <c r="J3211" t="inlineStr">
        <is>
          <t>High</t>
        </is>
      </c>
      <c r="M3211" t="inlineStr">
        <is>
          <t>LLM</t>
        </is>
      </c>
      <c r="N3211" t="inlineStr">
        <is>
          <t>2026-04-18</t>
        </is>
      </c>
      <c r="O3211" t="inlineStr">
        <is>
          <t>AI</t>
        </is>
      </c>
    </row>
    <row r="3212">
      <c r="A3212" t="inlineStr">
        <is>
          <t>PT Mahkota Group Tbk</t>
        </is>
      </c>
      <c r="B3212" t="inlineStr">
        <is>
          <t>MGRO_2024_AR.pdf</t>
        </is>
      </c>
      <c r="C3212" t="n">
        <v>2024</v>
      </c>
      <c r="D3212" t="inlineStr">
        <is>
          <t>Operation</t>
        </is>
      </c>
      <c r="E3212" t="inlineStr">
        <is>
          <t>Stearin Production</t>
        </is>
      </c>
      <c r="F3212" t="n">
        <v>3660</v>
      </c>
      <c r="G3212" t="inlineStr">
        <is>
          <t>t</t>
        </is>
      </c>
      <c r="H3212" t="n">
        <v>63</v>
      </c>
      <c r="I3212" t="inlineStr">
        <is>
          <t>Stearin 3,66 3,63 1%</t>
        </is>
      </c>
      <c r="J3212" t="inlineStr">
        <is>
          <t>High</t>
        </is>
      </c>
      <c r="M3212" t="inlineStr">
        <is>
          <t>LLM</t>
        </is>
      </c>
      <c r="N3212" t="inlineStr">
        <is>
          <t>2026-04-18</t>
        </is>
      </c>
      <c r="O3212" t="inlineStr">
        <is>
          <t>AI</t>
        </is>
      </c>
    </row>
    <row r="3213">
      <c r="A3213" t="inlineStr">
        <is>
          <t>PT Mahkota Group Tbk</t>
        </is>
      </c>
      <c r="B3213" t="inlineStr">
        <is>
          <t>MGRO_2024_AR.pdf</t>
        </is>
      </c>
      <c r="C3213" t="n">
        <v>2024</v>
      </c>
      <c r="D3213" t="inlineStr">
        <is>
          <t>Operation</t>
        </is>
      </c>
      <c r="E3213" t="inlineStr">
        <is>
          <t>FFB Plantation Production</t>
        </is>
      </c>
      <c r="F3213" t="n">
        <v>486707</v>
      </c>
      <c r="G3213" t="inlineStr">
        <is>
          <t>t</t>
        </is>
      </c>
      <c r="H3213" t="n">
        <v>64</v>
      </c>
      <c r="I3213" t="inlineStr">
        <is>
          <t>Kinerja Produksi 486.707 694.591 (29,93%)</t>
        </is>
      </c>
      <c r="J3213" t="inlineStr">
        <is>
          <t>High</t>
        </is>
      </c>
      <c r="M3213" t="inlineStr">
        <is>
          <t>LLM</t>
        </is>
      </c>
      <c r="N3213" t="inlineStr">
        <is>
          <t>2026-04-18</t>
        </is>
      </c>
      <c r="O3213" t="inlineStr">
        <is>
          <t>AI</t>
        </is>
      </c>
    </row>
    <row r="3214">
      <c r="A3214" t="inlineStr">
        <is>
          <t>PT Mahkota Group Tbk</t>
        </is>
      </c>
      <c r="B3214" t="inlineStr">
        <is>
          <t>MGRO_2024_AR.pdf</t>
        </is>
      </c>
      <c r="C3214" t="n">
        <v>2024</v>
      </c>
      <c r="D3214" t="inlineStr">
        <is>
          <t>Operation</t>
        </is>
      </c>
      <c r="E3214" t="inlineStr">
        <is>
          <t>FFB Purchased (3rd Party)</t>
        </is>
      </c>
      <c r="F3214" t="n">
        <v>1132255</v>
      </c>
      <c r="G3214" t="inlineStr">
        <is>
          <t>t</t>
        </is>
      </c>
      <c r="H3214" t="n">
        <v>67</v>
      </c>
      <c r="I3214" t="inlineStr">
        <is>
          <t>TBS FFB 1.132.255 1.470.215 (22,99%)</t>
        </is>
      </c>
      <c r="J3214" t="inlineStr">
        <is>
          <t>High</t>
        </is>
      </c>
      <c r="M3214" t="inlineStr">
        <is>
          <t>LLM</t>
        </is>
      </c>
      <c r="N3214" t="inlineStr">
        <is>
          <t>2026-04-18</t>
        </is>
      </c>
      <c r="O3214" t="inlineStr">
        <is>
          <t>AI</t>
        </is>
      </c>
    </row>
    <row r="3215">
      <c r="A3215" t="inlineStr">
        <is>
          <t>PT Mahkota Group Tbk</t>
        </is>
      </c>
      <c r="B3215" t="inlineStr">
        <is>
          <t>MGRO_2024_AR.pdf</t>
        </is>
      </c>
      <c r="C3215" t="n">
        <v>2024</v>
      </c>
      <c r="D3215" t="inlineStr">
        <is>
          <t>Operation</t>
        </is>
      </c>
      <c r="E3215" t="inlineStr">
        <is>
          <t>CPO Purchased (3rd Party)</t>
        </is>
      </c>
      <c r="F3215" t="n">
        <v>88257</v>
      </c>
      <c r="G3215" t="inlineStr">
        <is>
          <t>t</t>
        </is>
      </c>
      <c r="H3215" t="n">
        <v>67</v>
      </c>
      <c r="I3215" t="inlineStr">
        <is>
          <t>CPO 88.257 123.164 (28,34%)</t>
        </is>
      </c>
      <c r="J3215" t="inlineStr">
        <is>
          <t>High</t>
        </is>
      </c>
      <c r="M3215" t="inlineStr">
        <is>
          <t>LLM</t>
        </is>
      </c>
      <c r="N3215" t="inlineStr">
        <is>
          <t>2026-04-18</t>
        </is>
      </c>
      <c r="O3215" t="inlineStr">
        <is>
          <t>AI</t>
        </is>
      </c>
    </row>
    <row r="3216">
      <c r="A3216" t="inlineStr">
        <is>
          <t>PT Mahkota Group Tbk</t>
        </is>
      </c>
      <c r="B3216" t="inlineStr">
        <is>
          <t>MGRO_2024_AR.pdf</t>
        </is>
      </c>
      <c r="C3216" t="n">
        <v>2024</v>
      </c>
      <c r="D3216" t="inlineStr">
        <is>
          <t>Operation</t>
        </is>
      </c>
      <c r="E3216" t="inlineStr">
        <is>
          <t>PK Purchased (3rd Party)</t>
        </is>
      </c>
      <c r="F3216" t="n">
        <v>31381</v>
      </c>
      <c r="G3216" t="inlineStr">
        <is>
          <t>t</t>
        </is>
      </c>
      <c r="H3216" t="n">
        <v>67</v>
      </c>
      <c r="I3216" t="inlineStr">
        <is>
          <t>PK 31.381 21.231 47,81%</t>
        </is>
      </c>
      <c r="J3216" t="inlineStr">
        <is>
          <t>High</t>
        </is>
      </c>
      <c r="M3216" t="inlineStr">
        <is>
          <t>LLM</t>
        </is>
      </c>
      <c r="N3216" t="inlineStr">
        <is>
          <t>2026-04-18</t>
        </is>
      </c>
      <c r="O3216" t="inlineStr">
        <is>
          <t>AI</t>
        </is>
      </c>
    </row>
    <row r="3217">
      <c r="A3217" t="inlineStr">
        <is>
          <t>PT Mahkota Group Tbk</t>
        </is>
      </c>
      <c r="B3217" t="inlineStr">
        <is>
          <t>MGRO_2024_AR.pdf</t>
        </is>
      </c>
      <c r="C3217" t="n">
        <v>2024</v>
      </c>
      <c r="D3217" t="inlineStr">
        <is>
          <t>Operation</t>
        </is>
      </c>
      <c r="E3217" t="inlineStr">
        <is>
          <t>CPO Sales Volume</t>
        </is>
      </c>
      <c r="F3217" t="n">
        <v>59601</v>
      </c>
      <c r="G3217" t="inlineStr">
        <is>
          <t>t</t>
        </is>
      </c>
      <c r="H3217" t="n">
        <v>67</v>
      </c>
      <c r="I3217" t="inlineStr">
        <is>
          <t>CPO 59.601 89.259 (33%) (dalam ton)</t>
        </is>
      </c>
      <c r="J3217" t="inlineStr">
        <is>
          <t>High</t>
        </is>
      </c>
      <c r="M3217" t="inlineStr">
        <is>
          <t>LLM</t>
        </is>
      </c>
      <c r="N3217" t="inlineStr">
        <is>
          <t>2026-04-18</t>
        </is>
      </c>
      <c r="O3217" t="inlineStr">
        <is>
          <t>AI</t>
        </is>
      </c>
    </row>
    <row r="3218">
      <c r="A3218" t="inlineStr">
        <is>
          <t>PT Mahkota Group Tbk</t>
        </is>
      </c>
      <c r="B3218" t="inlineStr">
        <is>
          <t>MGRO_2024_AR.pdf</t>
        </is>
      </c>
      <c r="C3218" t="n">
        <v>2024</v>
      </c>
      <c r="D3218" t="inlineStr">
        <is>
          <t>Operation</t>
        </is>
      </c>
      <c r="E3218" t="inlineStr">
        <is>
          <t>PK Sales Volume</t>
        </is>
      </c>
      <c r="F3218" t="n">
        <v>11248</v>
      </c>
      <c r="G3218" t="inlineStr">
        <is>
          <t>t</t>
        </is>
      </c>
      <c r="H3218" t="n">
        <v>67</v>
      </c>
      <c r="I3218" t="inlineStr">
        <is>
          <t>PK 11.248 59.642 (81%)</t>
        </is>
      </c>
      <c r="J3218" t="inlineStr">
        <is>
          <t>High</t>
        </is>
      </c>
      <c r="M3218" t="inlineStr">
        <is>
          <t>LLM</t>
        </is>
      </c>
      <c r="N3218" t="inlineStr">
        <is>
          <t>2026-04-18</t>
        </is>
      </c>
      <c r="O3218" t="inlineStr">
        <is>
          <t>AI</t>
        </is>
      </c>
    </row>
    <row r="3219">
      <c r="A3219" t="inlineStr">
        <is>
          <t>PT Mahkota Group Tbk</t>
        </is>
      </c>
      <c r="B3219" t="inlineStr">
        <is>
          <t>MGRO_2024_AR.pdf</t>
        </is>
      </c>
      <c r="C3219" t="n">
        <v>2024</v>
      </c>
      <c r="D3219" t="inlineStr">
        <is>
          <t>Operation</t>
        </is>
      </c>
      <c r="E3219" t="inlineStr">
        <is>
          <t>RBDPO Sales Volume</t>
        </is>
      </c>
      <c r="F3219" t="n">
        <v>192406</v>
      </c>
      <c r="G3219" t="inlineStr">
        <is>
          <t>t</t>
        </is>
      </c>
      <c r="H3219" t="n">
        <v>67</v>
      </c>
      <c r="I3219" t="inlineStr">
        <is>
          <t>RBDPO 192.406 266.111 (28%)</t>
        </is>
      </c>
      <c r="J3219" t="inlineStr">
        <is>
          <t>High</t>
        </is>
      </c>
      <c r="M3219" t="inlineStr">
        <is>
          <t>LLM</t>
        </is>
      </c>
      <c r="N3219" t="inlineStr">
        <is>
          <t>2026-04-18</t>
        </is>
      </c>
      <c r="O3219" t="inlineStr">
        <is>
          <t>AI</t>
        </is>
      </c>
    </row>
    <row r="3220">
      <c r="A3220" t="inlineStr">
        <is>
          <t>PT Mahkota Group Tbk</t>
        </is>
      </c>
      <c r="B3220" t="inlineStr">
        <is>
          <t>MGRO_2024_AR.pdf</t>
        </is>
      </c>
      <c r="C3220" t="n">
        <v>2024</v>
      </c>
      <c r="D3220" t="inlineStr">
        <is>
          <t>Operation</t>
        </is>
      </c>
      <c r="E3220" t="inlineStr">
        <is>
          <t>PFAD Sales Volume</t>
        </is>
      </c>
      <c r="F3220" t="n">
        <v>11509</v>
      </c>
      <c r="G3220" t="inlineStr">
        <is>
          <t>t</t>
        </is>
      </c>
      <c r="H3220" t="n">
        <v>67</v>
      </c>
      <c r="I3220" t="inlineStr">
        <is>
          <t>PFAD 11.509 15.498 (26%)</t>
        </is>
      </c>
      <c r="J3220" t="inlineStr">
        <is>
          <t>High</t>
        </is>
      </c>
      <c r="M3220" t="inlineStr">
        <is>
          <t>LLM</t>
        </is>
      </c>
      <c r="N3220" t="inlineStr">
        <is>
          <t>2026-04-18</t>
        </is>
      </c>
      <c r="O3220" t="inlineStr">
        <is>
          <t>AI</t>
        </is>
      </c>
    </row>
    <row r="3221">
      <c r="A3221" t="inlineStr">
        <is>
          <t>PT Mahkota Group Tbk</t>
        </is>
      </c>
      <c r="B3221" t="inlineStr">
        <is>
          <t>MGRO_2024_AR.pdf</t>
        </is>
      </c>
      <c r="C3221" t="n">
        <v>2024</v>
      </c>
      <c r="D3221" t="inlineStr">
        <is>
          <t>Operation</t>
        </is>
      </c>
      <c r="E3221" t="inlineStr">
        <is>
          <t>CPKO Sales Volume</t>
        </is>
      </c>
      <c r="F3221" t="n">
        <v>31560</v>
      </c>
      <c r="G3221" t="inlineStr">
        <is>
          <t>t</t>
        </is>
      </c>
      <c r="H3221" t="n">
        <v>67</v>
      </c>
      <c r="I3221" t="inlineStr">
        <is>
          <t>CPKO 31.560 11.418 176%</t>
        </is>
      </c>
      <c r="J3221" t="inlineStr">
        <is>
          <t>High</t>
        </is>
      </c>
      <c r="M3221" t="inlineStr">
        <is>
          <t>LLM</t>
        </is>
      </c>
      <c r="N3221" t="inlineStr">
        <is>
          <t>2026-04-18</t>
        </is>
      </c>
      <c r="O3221" t="inlineStr">
        <is>
          <t>AI</t>
        </is>
      </c>
    </row>
    <row r="3222">
      <c r="A3222" t="inlineStr">
        <is>
          <t>PT Mahkota Group Tbk</t>
        </is>
      </c>
      <c r="B3222" t="inlineStr">
        <is>
          <t>MGRO_2024_AR.pdf</t>
        </is>
      </c>
      <c r="C3222" t="n">
        <v>2024</v>
      </c>
      <c r="D3222" t="inlineStr">
        <is>
          <t>Operation</t>
        </is>
      </c>
      <c r="E3222" t="inlineStr">
        <is>
          <t>PKE Sales Volume</t>
        </is>
      </c>
      <c r="F3222" t="n">
        <v>22361</v>
      </c>
      <c r="G3222" t="inlineStr">
        <is>
          <t>t</t>
        </is>
      </c>
      <c r="H3222" t="n">
        <v>67</v>
      </c>
      <c r="I3222" t="inlineStr">
        <is>
          <t>PKE 22.361 23.108 (3%)</t>
        </is>
      </c>
      <c r="J3222" t="inlineStr">
        <is>
          <t>High</t>
        </is>
      </c>
      <c r="M3222" t="inlineStr">
        <is>
          <t>LLM</t>
        </is>
      </c>
      <c r="N3222" t="inlineStr">
        <is>
          <t>2026-04-18</t>
        </is>
      </c>
      <c r="O3222" t="inlineStr">
        <is>
          <t>AI</t>
        </is>
      </c>
    </row>
    <row r="3223">
      <c r="A3223" t="inlineStr">
        <is>
          <t>PT Mahkota Group Tbk</t>
        </is>
      </c>
      <c r="B3223" t="inlineStr">
        <is>
          <t>MGRO_2024_AR.pdf</t>
        </is>
      </c>
      <c r="C3223" t="n">
        <v>2024</v>
      </c>
      <c r="D3223" t="inlineStr">
        <is>
          <t>Operation</t>
        </is>
      </c>
      <c r="E3223" t="inlineStr">
        <is>
          <t>Olein Sales Volume</t>
        </is>
      </c>
      <c r="F3223" t="n">
        <v>9372</v>
      </c>
      <c r="G3223" t="inlineStr">
        <is>
          <t>t</t>
        </is>
      </c>
      <c r="H3223" t="n">
        <v>67</v>
      </c>
      <c r="I3223" t="inlineStr">
        <is>
          <t>Olein 9.372 10.609 (12%)</t>
        </is>
      </c>
      <c r="J3223" t="inlineStr">
        <is>
          <t>High</t>
        </is>
      </c>
      <c r="M3223" t="inlineStr">
        <is>
          <t>LLM</t>
        </is>
      </c>
      <c r="N3223" t="inlineStr">
        <is>
          <t>2026-04-18</t>
        </is>
      </c>
      <c r="O3223" t="inlineStr">
        <is>
          <t>AI</t>
        </is>
      </c>
    </row>
    <row r="3224">
      <c r="A3224" t="inlineStr">
        <is>
          <t>PT Mahkota Group Tbk</t>
        </is>
      </c>
      <c r="B3224" t="inlineStr">
        <is>
          <t>MGRO_2024_AR.pdf</t>
        </is>
      </c>
      <c r="C3224" t="n">
        <v>2024</v>
      </c>
      <c r="D3224" t="inlineStr">
        <is>
          <t>Operation</t>
        </is>
      </c>
      <c r="E3224" t="inlineStr">
        <is>
          <t>Stearin Sales Volume</t>
        </is>
      </c>
      <c r="F3224" t="n">
        <v>4649</v>
      </c>
      <c r="G3224" t="inlineStr">
        <is>
          <t>t</t>
        </is>
      </c>
      <c r="H3224" t="n">
        <v>67</v>
      </c>
      <c r="I3224" t="inlineStr">
        <is>
          <t>Stearin 4.649 750 520%</t>
        </is>
      </c>
      <c r="J3224" t="inlineStr">
        <is>
          <t>High</t>
        </is>
      </c>
      <c r="M3224" t="inlineStr">
        <is>
          <t>LLM</t>
        </is>
      </c>
      <c r="N3224" t="inlineStr">
        <is>
          <t>2026-04-18</t>
        </is>
      </c>
      <c r="O3224" t="inlineStr">
        <is>
          <t>AI</t>
        </is>
      </c>
    </row>
    <row r="3225">
      <c r="A3225" t="inlineStr">
        <is>
          <t>PT Mahkota Group Tbk</t>
        </is>
      </c>
      <c r="B3225" t="inlineStr">
        <is>
          <t>MGRO_2024_AR.pdf</t>
        </is>
      </c>
      <c r="C3225" t="n">
        <v>2024</v>
      </c>
      <c r="D3225" t="inlineStr">
        <is>
          <t>Operation</t>
        </is>
      </c>
      <c r="E3225" t="inlineStr">
        <is>
          <t>CPO Segment Sales Revenue</t>
        </is>
      </c>
      <c r="F3225" t="n">
        <v>810</v>
      </c>
      <c r="G3225" t="inlineStr">
        <is>
          <t>IDR bn</t>
        </is>
      </c>
      <c r="H3225" t="n">
        <v>63</v>
      </c>
      <c r="I3225" t="inlineStr">
        <is>
          <t>CPO 810 1.107 (27%) (Rp miliar)</t>
        </is>
      </c>
      <c r="J3225" t="inlineStr">
        <is>
          <t>High</t>
        </is>
      </c>
      <c r="M3225" t="inlineStr">
        <is>
          <t>LLM</t>
        </is>
      </c>
      <c r="N3225" t="inlineStr">
        <is>
          <t>2026-04-18</t>
        </is>
      </c>
      <c r="O3225" t="inlineStr">
        <is>
          <t>AI</t>
        </is>
      </c>
    </row>
    <row r="3226">
      <c r="A3226" t="inlineStr">
        <is>
          <t>PT Mahkota Group Tbk</t>
        </is>
      </c>
      <c r="B3226" t="inlineStr">
        <is>
          <t>MGRO_2024_AR.pdf</t>
        </is>
      </c>
      <c r="C3226" t="n">
        <v>2024</v>
      </c>
      <c r="D3226" t="inlineStr">
        <is>
          <t>Operation</t>
        </is>
      </c>
      <c r="E3226" t="inlineStr">
        <is>
          <t>RBDPO Segment Sales Revenue</t>
        </is>
      </c>
      <c r="F3226" t="n">
        <v>2728</v>
      </c>
      <c r="G3226" t="inlineStr">
        <is>
          <t>IDR bn</t>
        </is>
      </c>
      <c r="H3226" t="n">
        <v>63</v>
      </c>
      <c r="I3226" t="inlineStr">
        <is>
          <t>RBDPO 2.728 3.498 (22%)</t>
        </is>
      </c>
      <c r="J3226" t="inlineStr">
        <is>
          <t>High</t>
        </is>
      </c>
      <c r="M3226" t="inlineStr">
        <is>
          <t>LLM</t>
        </is>
      </c>
      <c r="N3226" t="inlineStr">
        <is>
          <t>2026-04-18</t>
        </is>
      </c>
      <c r="O3226" t="inlineStr">
        <is>
          <t>AI</t>
        </is>
      </c>
    </row>
    <row r="3227">
      <c r="A3227" t="inlineStr">
        <is>
          <t>PT Mahkota Group Tbk</t>
        </is>
      </c>
      <c r="B3227" t="inlineStr">
        <is>
          <t>MGRO_2024_AR.pdf</t>
        </is>
      </c>
      <c r="C3227" t="n">
        <v>2024</v>
      </c>
      <c r="D3227" t="inlineStr">
        <is>
          <t>Operation</t>
        </is>
      </c>
      <c r="E3227" t="inlineStr">
        <is>
          <t>PKO Segment Sales Revenue</t>
        </is>
      </c>
      <c r="F3227" t="n">
        <v>538</v>
      </c>
      <c r="G3227" t="inlineStr">
        <is>
          <t>IDR bn</t>
        </is>
      </c>
      <c r="H3227" t="n">
        <v>63</v>
      </c>
      <c r="I3227" t="inlineStr">
        <is>
          <t>PKO 538 130 314%</t>
        </is>
      </c>
      <c r="J3227" t="inlineStr">
        <is>
          <t>High</t>
        </is>
      </c>
      <c r="M3227" t="inlineStr">
        <is>
          <t>LLM</t>
        </is>
      </c>
      <c r="N3227" t="inlineStr">
        <is>
          <t>2026-04-18</t>
        </is>
      </c>
      <c r="O3227" t="inlineStr">
        <is>
          <t>AI</t>
        </is>
      </c>
    </row>
    <row r="3228">
      <c r="A3228" t="inlineStr">
        <is>
          <t>PT Mahkota Group Tbk</t>
        </is>
      </c>
      <c r="B3228" t="inlineStr">
        <is>
          <t>MGRO_2024_AR.pdf</t>
        </is>
      </c>
      <c r="C3228" t="n">
        <v>2024</v>
      </c>
      <c r="D3228" t="inlineStr">
        <is>
          <t>Operation</t>
        </is>
      </c>
      <c r="E3228" t="inlineStr">
        <is>
          <t>Storage Tank Leasing Revenue</t>
        </is>
      </c>
      <c r="F3228" t="n">
        <v>89.18000000000001</v>
      </c>
      <c r="G3228" t="inlineStr">
        <is>
          <t>IDR bn</t>
        </is>
      </c>
      <c r="H3228" t="n">
        <v>64</v>
      </c>
      <c r="I3228" t="inlineStr">
        <is>
          <t>Penyewaan Leasing 89,18 83,37 7%</t>
        </is>
      </c>
      <c r="J3228" t="inlineStr">
        <is>
          <t>High</t>
        </is>
      </c>
      <c r="M3228" t="inlineStr">
        <is>
          <t>LLM</t>
        </is>
      </c>
      <c r="N3228" t="inlineStr">
        <is>
          <t>2026-04-18</t>
        </is>
      </c>
      <c r="O3228" t="inlineStr">
        <is>
          <t>AI</t>
        </is>
      </c>
    </row>
    <row r="3229">
      <c r="A3229" t="inlineStr">
        <is>
          <t>PT Mahkota Group Tbk</t>
        </is>
      </c>
      <c r="B3229" t="inlineStr">
        <is>
          <t>MGRO_2024_AR.pdf</t>
        </is>
      </c>
      <c r="C3229" t="n">
        <v>2024</v>
      </c>
      <c r="D3229" t="inlineStr">
        <is>
          <t>Operation</t>
        </is>
      </c>
      <c r="E3229" t="inlineStr">
        <is>
          <t>Storage Tank Leasing Profit</t>
        </is>
      </c>
      <c r="F3229" t="n">
        <v>69.64</v>
      </c>
      <c r="G3229" t="inlineStr">
        <is>
          <t>IDR bn</t>
        </is>
      </c>
      <c r="H3229" t="n">
        <v>64</v>
      </c>
      <c r="I3229" t="inlineStr">
        <is>
          <t>Laba Profit 69,64 61,94 12%</t>
        </is>
      </c>
      <c r="J3229" t="inlineStr">
        <is>
          <t>High</t>
        </is>
      </c>
      <c r="M3229" t="inlineStr">
        <is>
          <t>LLM</t>
        </is>
      </c>
      <c r="N3229" t="inlineStr">
        <is>
          <t>2026-04-18</t>
        </is>
      </c>
      <c r="O3229" t="inlineStr">
        <is>
          <t>AI</t>
        </is>
      </c>
    </row>
    <row r="3230">
      <c r="A3230" t="inlineStr">
        <is>
          <t>PT Mahkota Group Tbk</t>
        </is>
      </c>
      <c r="B3230" t="inlineStr">
        <is>
          <t>MGRO_2024_AR.pdf</t>
        </is>
      </c>
      <c r="C3230" t="n">
        <v>2024</v>
      </c>
      <c r="D3230" t="inlineStr">
        <is>
          <t>Operation</t>
        </is>
      </c>
      <c r="E3230" t="inlineStr">
        <is>
          <t>FFB Plantation Sales Revenue</t>
        </is>
      </c>
      <c r="F3230" t="n">
        <v>1.3</v>
      </c>
      <c r="G3230" t="inlineStr">
        <is>
          <t>IDR bn</t>
        </is>
      </c>
      <c r="H3230" t="n">
        <v>64</v>
      </c>
      <c r="I3230" t="inlineStr">
        <is>
          <t>Kinerja Penjualan 1,30 1,51 (14%)</t>
        </is>
      </c>
      <c r="J3230" t="inlineStr">
        <is>
          <t>High</t>
        </is>
      </c>
      <c r="M3230" t="inlineStr">
        <is>
          <t>LLM</t>
        </is>
      </c>
      <c r="N3230" t="inlineStr">
        <is>
          <t>2026-04-18</t>
        </is>
      </c>
      <c r="O3230" t="inlineStr">
        <is>
          <t>AI</t>
        </is>
      </c>
    </row>
    <row r="3231">
      <c r="A3231" t="inlineStr">
        <is>
          <t>PT Mahkota Group Tbk</t>
        </is>
      </c>
      <c r="B3231" t="inlineStr">
        <is>
          <t>MGRO_2024_AR.pdf</t>
        </is>
      </c>
      <c r="C3231" t="n">
        <v>2024</v>
      </c>
      <c r="D3231" t="inlineStr">
        <is>
          <t>Company</t>
        </is>
      </c>
      <c r="E3231" t="inlineStr">
        <is>
          <t>Auditor</t>
        </is>
      </c>
      <c r="F3231" t="inlineStr">
        <is>
          <t>KAP Gani Sigiro &amp; Handayani</t>
        </is>
      </c>
      <c r="G3231" t="inlineStr">
        <is>
          <t>text</t>
        </is>
      </c>
      <c r="H3231" t="n">
        <v>64</v>
      </c>
      <c r="I3231" t="inlineStr">
        <is>
          <t>sesuai dengan Standar Akuntansi Keuangan Indonesia yang telah diaudit oleh KAP Gani Sigiro &amp; Handayani</t>
        </is>
      </c>
      <c r="J3231" t="inlineStr">
        <is>
          <t>High</t>
        </is>
      </c>
      <c r="M3231" t="inlineStr">
        <is>
          <t>LLM</t>
        </is>
      </c>
      <c r="N3231" t="inlineStr">
        <is>
          <t>2026-04-18</t>
        </is>
      </c>
      <c r="O3231" t="inlineStr">
        <is>
          <t>AI</t>
        </is>
      </c>
    </row>
    <row r="3232">
      <c r="A3232" t="inlineStr">
        <is>
          <t>PT Mahkota Group Tbk</t>
        </is>
      </c>
      <c r="B3232" t="inlineStr">
        <is>
          <t>MGRO_2024_AR.pdf</t>
        </is>
      </c>
      <c r="C3232" t="n">
        <v>2024</v>
      </c>
      <c r="D3232" t="inlineStr">
        <is>
          <t>ESG</t>
        </is>
      </c>
      <c r="E3232" t="inlineStr">
        <is>
          <t>ISPO Certified Subsidiaries</t>
        </is>
      </c>
      <c r="F3232" t="inlineStr">
        <is>
          <t>PT Mutiara Unggul Lestari, PT Berlian Inti Mekar Siak &amp; Palembang, PT Intan Sejati Andalan</t>
        </is>
      </c>
      <c r="G3232" t="inlineStr">
        <is>
          <t>text</t>
        </is>
      </c>
      <c r="H3232" t="n">
        <v>35</v>
      </c>
      <c r="I3232" t="inlineStr">
        <is>
          <t>Sertifikasi ISPO di entitas anak PT Mutiara Unggul Lestari dan entitas dari entitas anak PT Intan Sejati Andalan / PT Berlian Inti Mekar Siak dan Palembang</t>
        </is>
      </c>
      <c r="J3232" t="inlineStr">
        <is>
          <t>High</t>
        </is>
      </c>
      <c r="M3232" t="inlineStr">
        <is>
          <t>LLM</t>
        </is>
      </c>
      <c r="N3232" t="inlineStr">
        <is>
          <t>2026-04-18</t>
        </is>
      </c>
      <c r="O3232" t="inlineStr">
        <is>
          <t>AI</t>
        </is>
      </c>
    </row>
    <row r="3233">
      <c r="A3233" t="inlineStr">
        <is>
          <t>PT Mahkota Group Tbk</t>
        </is>
      </c>
      <c r="B3233" t="inlineStr">
        <is>
          <t>MGRO_2024_AR.pdf</t>
        </is>
      </c>
      <c r="C3233" t="n">
        <v>2024</v>
      </c>
      <c r="D3233" t="inlineStr">
        <is>
          <t>Financial</t>
        </is>
      </c>
      <c r="E3233" t="inlineStr">
        <is>
          <t>MTN Outstanding (Principal)</t>
        </is>
      </c>
      <c r="F3233" t="n">
        <v>90</v>
      </c>
      <c r="G3233" t="inlineStr">
        <is>
          <t>IDR bn</t>
        </is>
      </c>
      <c r="H3233" t="n">
        <v>11</v>
      </c>
      <c r="I3233" t="inlineStr">
        <is>
          <t>Jumlah Pokok MTN Sebanyak Rp90.000.000.000 ... MTN I Mahkota Group Tahun 2022 ... 9.00% per year, 3 years (issued 12 April 2022)</t>
        </is>
      </c>
      <c r="J3233" t="inlineStr">
        <is>
          <t>High</t>
        </is>
      </c>
      <c r="M3233" t="inlineStr">
        <is>
          <t>LLM</t>
        </is>
      </c>
      <c r="N3233" t="inlineStr">
        <is>
          <t>2026-04-18</t>
        </is>
      </c>
      <c r="O3233" t="inlineStr">
        <is>
          <t>AI</t>
        </is>
      </c>
    </row>
    <row r="3234">
      <c r="A3234" t="inlineStr">
        <is>
          <t>PT Menthobi Karyatama Raya Tbk</t>
        </is>
      </c>
      <c r="B3234" t="inlineStr">
        <is>
          <t>MKTR_2022_AR.pdf</t>
        </is>
      </c>
      <c r="C3234" t="n">
        <v>2022</v>
      </c>
      <c r="D3234" t="inlineStr">
        <is>
          <t>Company</t>
        </is>
      </c>
      <c r="E3234" t="inlineStr">
        <is>
          <t>Company Name</t>
        </is>
      </c>
      <c r="F3234" t="inlineStr">
        <is>
          <t>PT Menthobi Karyatama Raya Tbk</t>
        </is>
      </c>
      <c r="G3234" t="inlineStr">
        <is>
          <t>text</t>
        </is>
      </c>
      <c r="H3234" t="n">
        <v>49</v>
      </c>
      <c r="I3234" t="inlineStr">
        <is>
          <t>PT Menthobi Karyatama Raya Tbk; IPO completed Nov 2022</t>
        </is>
      </c>
      <c r="J3234" t="inlineStr">
        <is>
          <t>High</t>
        </is>
      </c>
      <c r="M3234" t="inlineStr">
        <is>
          <t>LLM</t>
        </is>
      </c>
      <c r="N3234" t="inlineStr">
        <is>
          <t>2026-04-19</t>
        </is>
      </c>
      <c r="O3234" t="inlineStr">
        <is>
          <t>AI</t>
        </is>
      </c>
    </row>
    <row r="3235">
      <c r="A3235" t="inlineStr">
        <is>
          <t>PT Menthobi Karyatama Raya Tbk</t>
        </is>
      </c>
      <c r="B3235" t="inlineStr">
        <is>
          <t>MKTR_2022_AR.pdf</t>
        </is>
      </c>
      <c r="C3235" t="n">
        <v>2022</v>
      </c>
      <c r="D3235" t="inlineStr">
        <is>
          <t>Company</t>
        </is>
      </c>
      <c r="E3235" t="inlineStr">
        <is>
          <t>IPO Date</t>
        </is>
      </c>
      <c r="F3235" t="inlineStr">
        <is>
          <t>2022-11-08</t>
        </is>
      </c>
      <c r="G3235" t="inlineStr">
        <is>
          <t>date</t>
        </is>
      </c>
      <c r="H3235" t="n">
        <v>15</v>
      </c>
      <c r="I3235" t="inlineStr">
        <is>
          <t>Perseroan baru mencatatkan saham perdananya di Bursa Efek Indonesia (BEI) pada tanggal 8 November 2022</t>
        </is>
      </c>
      <c r="J3235" t="inlineStr">
        <is>
          <t>High</t>
        </is>
      </c>
      <c r="M3235" t="inlineStr">
        <is>
          <t>LLM</t>
        </is>
      </c>
      <c r="N3235" t="inlineStr">
        <is>
          <t>2026-04-19</t>
        </is>
      </c>
      <c r="O3235" t="inlineStr">
        <is>
          <t>AI</t>
        </is>
      </c>
    </row>
    <row r="3236">
      <c r="A3236" t="inlineStr">
        <is>
          <t>PT Menthobi Karyatama Raya Tbk</t>
        </is>
      </c>
      <c r="B3236" t="inlineStr">
        <is>
          <t>MKTR_2022_AR.pdf</t>
        </is>
      </c>
      <c r="C3236" t="n">
        <v>2022</v>
      </c>
      <c r="D3236" t="inlineStr">
        <is>
          <t>Company</t>
        </is>
      </c>
      <c r="E3236" t="inlineStr">
        <is>
          <t>IPO Size</t>
        </is>
      </c>
      <c r="F3236" t="n">
        <v>300</v>
      </c>
      <c r="G3236" t="inlineStr">
        <is>
          <t>IDR bn</t>
        </is>
      </c>
      <c r="H3236" t="n">
        <v>16</v>
      </c>
      <c r="I3236" t="inlineStr">
        <is>
          <t>Jumlah seluruh nilai Penawaran Umum adalah sebesar Rp300.000.000.000</t>
        </is>
      </c>
      <c r="J3236" t="inlineStr">
        <is>
          <t>High</t>
        </is>
      </c>
      <c r="M3236" t="inlineStr">
        <is>
          <t>LLM</t>
        </is>
      </c>
      <c r="N3236" t="inlineStr">
        <is>
          <t>2026-04-19</t>
        </is>
      </c>
      <c r="O3236" t="inlineStr">
        <is>
          <t>AI</t>
        </is>
      </c>
    </row>
    <row r="3237">
      <c r="A3237" t="inlineStr">
        <is>
          <t>PT Menthobi Karyatama Raya Tbk</t>
        </is>
      </c>
      <c r="B3237" t="inlineStr">
        <is>
          <t>MKTR_2022_AR.pdf</t>
        </is>
      </c>
      <c r="C3237" t="n">
        <v>2022</v>
      </c>
      <c r="D3237" t="inlineStr">
        <is>
          <t>Company</t>
        </is>
      </c>
      <c r="E3237" t="inlineStr">
        <is>
          <t>Controlling Shareholder</t>
        </is>
      </c>
      <c r="F3237" t="inlineStr">
        <is>
          <t>Fuad Hasan Masyhur 68.97%</t>
        </is>
      </c>
      <c r="G3237" t="inlineStr">
        <is>
          <t>%</t>
        </is>
      </c>
      <c r="H3237" t="n">
        <v>49</v>
      </c>
      <c r="I3237" t="inlineStr">
        <is>
          <t>Fuad Hasan Masyhur: 68,97%</t>
        </is>
      </c>
      <c r="J3237" t="inlineStr">
        <is>
          <t>High</t>
        </is>
      </c>
      <c r="M3237" t="inlineStr">
        <is>
          <t>LLM</t>
        </is>
      </c>
      <c r="N3237" t="inlineStr">
        <is>
          <t>2026-04-19</t>
        </is>
      </c>
      <c r="O3237" t="inlineStr">
        <is>
          <t>AI</t>
        </is>
      </c>
    </row>
    <row r="3238">
      <c r="A3238" t="inlineStr">
        <is>
          <t>PT Menthobi Karyatama Raya Tbk</t>
        </is>
      </c>
      <c r="B3238" t="inlineStr">
        <is>
          <t>MKTR_2022_AR.pdf</t>
        </is>
      </c>
      <c r="C3238" t="n">
        <v>2022</v>
      </c>
      <c r="D3238" t="inlineStr">
        <is>
          <t>Company</t>
        </is>
      </c>
      <c r="E3238" t="inlineStr">
        <is>
          <t>PT Maktour Bangun Persada</t>
        </is>
      </c>
      <c r="F3238" t="n">
        <v>0.07820000000000001</v>
      </c>
      <c r="G3238" t="inlineStr">
        <is>
          <t>%</t>
        </is>
      </c>
      <c r="H3238" t="n">
        <v>49</v>
      </c>
      <c r="I3238" t="inlineStr">
        <is>
          <t>PT Maktour Bangun Persada: 7,82%</t>
        </is>
      </c>
      <c r="J3238" t="inlineStr">
        <is>
          <t>High</t>
        </is>
      </c>
      <c r="M3238" t="inlineStr">
        <is>
          <t>LLM</t>
        </is>
      </c>
      <c r="N3238" t="inlineStr">
        <is>
          <t>2026-04-19</t>
        </is>
      </c>
      <c r="O3238" t="inlineStr">
        <is>
          <t>AI</t>
        </is>
      </c>
    </row>
    <row r="3239">
      <c r="A3239" t="inlineStr">
        <is>
          <t>PT Menthobi Karyatama Raya Tbk</t>
        </is>
      </c>
      <c r="B3239" t="inlineStr">
        <is>
          <t>MKTR_2022_AR.pdf</t>
        </is>
      </c>
      <c r="C3239" t="n">
        <v>2022</v>
      </c>
      <c r="D3239" t="inlineStr">
        <is>
          <t>Company</t>
        </is>
      </c>
      <c r="E3239" t="inlineStr">
        <is>
          <t>PT Mitra Wiraswasta Indonesia</t>
        </is>
      </c>
      <c r="F3239" t="n">
        <v>0.0238</v>
      </c>
      <c r="G3239" t="inlineStr">
        <is>
          <t>%</t>
        </is>
      </c>
      <c r="H3239" t="n">
        <v>49</v>
      </c>
      <c r="I3239" t="inlineStr">
        <is>
          <t>PT Mitra Wiraswasta Indonesia : 2,38%</t>
        </is>
      </c>
      <c r="J3239" t="inlineStr">
        <is>
          <t>High</t>
        </is>
      </c>
      <c r="M3239" t="inlineStr">
        <is>
          <t>LLM</t>
        </is>
      </c>
      <c r="N3239" t="inlineStr">
        <is>
          <t>2026-04-19</t>
        </is>
      </c>
      <c r="O3239" t="inlineStr">
        <is>
          <t>AI</t>
        </is>
      </c>
    </row>
    <row r="3240">
      <c r="A3240" t="inlineStr">
        <is>
          <t>PT Menthobi Karyatama Raya Tbk</t>
        </is>
      </c>
      <c r="B3240" t="inlineStr">
        <is>
          <t>MKTR_2022_AR.pdf</t>
        </is>
      </c>
      <c r="C3240" t="n">
        <v>2022</v>
      </c>
      <c r="D3240" t="inlineStr">
        <is>
          <t>Company</t>
        </is>
      </c>
      <c r="E3240" t="inlineStr">
        <is>
          <t>Public Float</t>
        </is>
      </c>
      <c r="F3240" t="n">
        <v>0.2083</v>
      </c>
      <c r="G3240" t="inlineStr">
        <is>
          <t>%</t>
        </is>
      </c>
      <c r="H3240" t="n">
        <v>49</v>
      </c>
      <c r="I3240" t="inlineStr">
        <is>
          <t>Masyarakat // community: 20,83%</t>
        </is>
      </c>
      <c r="J3240" t="inlineStr">
        <is>
          <t>High</t>
        </is>
      </c>
      <c r="M3240" t="inlineStr">
        <is>
          <t>LLM</t>
        </is>
      </c>
      <c r="N3240" t="inlineStr">
        <is>
          <t>2026-04-19</t>
        </is>
      </c>
      <c r="O3240" t="inlineStr">
        <is>
          <t>AI</t>
        </is>
      </c>
    </row>
    <row r="3241">
      <c r="A3241" t="inlineStr">
        <is>
          <t>PT Menthobi Karyatama Raya Tbk</t>
        </is>
      </c>
      <c r="B3241" t="inlineStr">
        <is>
          <t>MKTR_2022_AR.pdf</t>
        </is>
      </c>
      <c r="C3241" t="n">
        <v>2022</v>
      </c>
      <c r="D3241" t="inlineStr">
        <is>
          <t>Company</t>
        </is>
      </c>
      <c r="E3241" t="inlineStr">
        <is>
          <t>Employees</t>
        </is>
      </c>
      <c r="F3241" t="n">
        <v>1072</v>
      </c>
      <c r="G3241" t="inlineStr">
        <is>
          <t>count</t>
        </is>
      </c>
      <c r="H3241" t="n">
        <v>50</v>
      </c>
      <c r="I3241" t="inlineStr">
        <is>
          <t>Tahun 2022: 1.072 orang (termasuk karyawan Entitas Anak)</t>
        </is>
      </c>
      <c r="J3241" t="inlineStr">
        <is>
          <t>High</t>
        </is>
      </c>
      <c r="M3241" t="inlineStr">
        <is>
          <t>LLM</t>
        </is>
      </c>
      <c r="N3241" t="inlineStr">
        <is>
          <t>2026-04-19</t>
        </is>
      </c>
      <c r="O3241" t="inlineStr">
        <is>
          <t>AI</t>
        </is>
      </c>
    </row>
    <row r="3242">
      <c r="A3242" t="inlineStr">
        <is>
          <t>PT Menthobi Karyatama Raya Tbk</t>
        </is>
      </c>
      <c r="B3242" t="inlineStr">
        <is>
          <t>MKTR_2022_AR.pdf</t>
        </is>
      </c>
      <c r="C3242" t="n">
        <v>2022</v>
      </c>
      <c r="D3242" t="inlineStr">
        <is>
          <t>Financial</t>
        </is>
      </c>
      <c r="E3242" t="inlineStr">
        <is>
          <t>Revenue (Sales)</t>
        </is>
      </c>
      <c r="F3242" t="n">
        <v>627.88</v>
      </c>
      <c r="G3242" t="inlineStr">
        <is>
          <t>IDR bn</t>
        </is>
      </c>
      <c r="H3242" t="n">
        <v>10</v>
      </c>
      <c r="I3242" t="inlineStr">
        <is>
          <t>Penjualan Sales 627.880.911 (thousand Rp)</t>
        </is>
      </c>
      <c r="J3242" t="inlineStr">
        <is>
          <t>High</t>
        </is>
      </c>
      <c r="M3242" t="inlineStr">
        <is>
          <t>LLM</t>
        </is>
      </c>
      <c r="N3242" t="inlineStr">
        <is>
          <t>2026-04-19</t>
        </is>
      </c>
      <c r="O3242" t="inlineStr">
        <is>
          <t>AI</t>
        </is>
      </c>
    </row>
    <row r="3243">
      <c r="A3243" t="inlineStr">
        <is>
          <t>PT Menthobi Karyatama Raya Tbk</t>
        </is>
      </c>
      <c r="B3243" t="inlineStr">
        <is>
          <t>MKTR_2022_AR.pdf</t>
        </is>
      </c>
      <c r="C3243" t="n">
        <v>2022</v>
      </c>
      <c r="D3243" t="inlineStr">
        <is>
          <t>Financial</t>
        </is>
      </c>
      <c r="E3243" t="inlineStr">
        <is>
          <t>Cost of Goods Sold</t>
        </is>
      </c>
      <c r="F3243" t="n">
        <v>453.69</v>
      </c>
      <c r="G3243" t="inlineStr">
        <is>
          <t>IDR bn</t>
        </is>
      </c>
      <c r="H3243" t="n">
        <v>10</v>
      </c>
      <c r="I3243" t="inlineStr">
        <is>
          <t>Beban Pokok Penjualan (453.690.848)</t>
        </is>
      </c>
      <c r="J3243" t="inlineStr">
        <is>
          <t>High</t>
        </is>
      </c>
      <c r="M3243" t="inlineStr">
        <is>
          <t>LLM</t>
        </is>
      </c>
      <c r="N3243" t="inlineStr">
        <is>
          <t>2026-04-19</t>
        </is>
      </c>
      <c r="O3243" t="inlineStr">
        <is>
          <t>AI</t>
        </is>
      </c>
    </row>
    <row r="3244">
      <c r="A3244" t="inlineStr">
        <is>
          <t>PT Menthobi Karyatama Raya Tbk</t>
        </is>
      </c>
      <c r="B3244" t="inlineStr">
        <is>
          <t>MKTR_2022_AR.pdf</t>
        </is>
      </c>
      <c r="C3244" t="n">
        <v>2022</v>
      </c>
      <c r="D3244" t="inlineStr">
        <is>
          <t>Financial</t>
        </is>
      </c>
      <c r="E3244" t="inlineStr">
        <is>
          <t>Gross Profit</t>
        </is>
      </c>
      <c r="F3244" t="n">
        <v>174.19</v>
      </c>
      <c r="G3244" t="inlineStr">
        <is>
          <t>IDR bn</t>
        </is>
      </c>
      <c r="H3244" t="n">
        <v>10</v>
      </c>
      <c r="I3244" t="inlineStr">
        <is>
          <t>Laba Bruto 174.190.063</t>
        </is>
      </c>
      <c r="J3244" t="inlineStr">
        <is>
          <t>High</t>
        </is>
      </c>
      <c r="M3244" t="inlineStr">
        <is>
          <t>LLM</t>
        </is>
      </c>
      <c r="N3244" t="inlineStr">
        <is>
          <t>2026-04-19</t>
        </is>
      </c>
      <c r="O3244" t="inlineStr">
        <is>
          <t>AI</t>
        </is>
      </c>
    </row>
    <row r="3245">
      <c r="A3245" t="inlineStr">
        <is>
          <t>PT Menthobi Karyatama Raya Tbk</t>
        </is>
      </c>
      <c r="B3245" t="inlineStr">
        <is>
          <t>MKTR_2022_AR.pdf</t>
        </is>
      </c>
      <c r="C3245" t="n">
        <v>2022</v>
      </c>
      <c r="D3245" t="inlineStr">
        <is>
          <t>Financial</t>
        </is>
      </c>
      <c r="E3245" t="inlineStr">
        <is>
          <t>Operating Expenses</t>
        </is>
      </c>
      <c r="F3245" t="n">
        <v>59.04</v>
      </c>
      <c r="G3245" t="inlineStr">
        <is>
          <t>IDR bn</t>
        </is>
      </c>
      <c r="H3245" t="n">
        <v>10</v>
      </c>
      <c r="I3245" t="inlineStr">
        <is>
          <t>Beban Usaha 59.042.075</t>
        </is>
      </c>
      <c r="J3245" t="inlineStr">
        <is>
          <t>High</t>
        </is>
      </c>
      <c r="M3245" t="inlineStr">
        <is>
          <t>LLM</t>
        </is>
      </c>
      <c r="N3245" t="inlineStr">
        <is>
          <t>2026-04-19</t>
        </is>
      </c>
      <c r="O3245" t="inlineStr">
        <is>
          <t>AI</t>
        </is>
      </c>
    </row>
    <row r="3246">
      <c r="A3246" t="inlineStr">
        <is>
          <t>PT Menthobi Karyatama Raya Tbk</t>
        </is>
      </c>
      <c r="B3246" t="inlineStr">
        <is>
          <t>MKTR_2022_AR.pdf</t>
        </is>
      </c>
      <c r="C3246" t="n">
        <v>2022</v>
      </c>
      <c r="D3246" t="inlineStr">
        <is>
          <t>Financial</t>
        </is>
      </c>
      <c r="E3246" t="inlineStr">
        <is>
          <t>Operating Profit</t>
        </is>
      </c>
      <c r="F3246" t="n">
        <v>115.15</v>
      </c>
      <c r="G3246" t="inlineStr">
        <is>
          <t>IDR bn</t>
        </is>
      </c>
      <c r="H3246" t="n">
        <v>10</v>
      </c>
      <c r="I3246" t="inlineStr">
        <is>
          <t>Laba Usaha 115.147.988 (per 2022 AR; 2024 AR retrospective shows 121.81)</t>
        </is>
      </c>
      <c r="J3246" t="inlineStr">
        <is>
          <t>High</t>
        </is>
      </c>
      <c r="M3246" t="inlineStr">
        <is>
          <t>LLM</t>
        </is>
      </c>
      <c r="N3246" t="inlineStr">
        <is>
          <t>2026-04-19</t>
        </is>
      </c>
      <c r="O3246" t="inlineStr">
        <is>
          <t>AI</t>
        </is>
      </c>
    </row>
    <row r="3247">
      <c r="A3247" t="inlineStr">
        <is>
          <t>PT Menthobi Karyatama Raya Tbk</t>
        </is>
      </c>
      <c r="B3247" t="inlineStr">
        <is>
          <t>MKTR_2022_AR.pdf</t>
        </is>
      </c>
      <c r="C3247" t="n">
        <v>2022</v>
      </c>
      <c r="D3247" t="inlineStr">
        <is>
          <t>Financial</t>
        </is>
      </c>
      <c r="E3247" t="inlineStr">
        <is>
          <t>Profit Before Tax</t>
        </is>
      </c>
      <c r="F3247" t="n">
        <v>87.72</v>
      </c>
      <c r="G3247" t="inlineStr">
        <is>
          <t>IDR bn</t>
        </is>
      </c>
      <c r="H3247" t="n">
        <v>10</v>
      </c>
      <c r="I3247" t="inlineStr">
        <is>
          <t>Laba Sebelum Pajak Penghasilan 87.719.403</t>
        </is>
      </c>
      <c r="J3247" t="inlineStr">
        <is>
          <t>High</t>
        </is>
      </c>
      <c r="M3247" t="inlineStr">
        <is>
          <t>LLM</t>
        </is>
      </c>
      <c r="N3247" t="inlineStr">
        <is>
          <t>2026-04-19</t>
        </is>
      </c>
      <c r="O3247" t="inlineStr">
        <is>
          <t>AI</t>
        </is>
      </c>
    </row>
    <row r="3248">
      <c r="A3248" t="inlineStr">
        <is>
          <t>PT Menthobi Karyatama Raya Tbk</t>
        </is>
      </c>
      <c r="B3248" t="inlineStr">
        <is>
          <t>MKTR_2022_AR.pdf</t>
        </is>
      </c>
      <c r="C3248" t="n">
        <v>2022</v>
      </c>
      <c r="D3248" t="inlineStr">
        <is>
          <t>Financial</t>
        </is>
      </c>
      <c r="E3248" t="inlineStr">
        <is>
          <t>Net Profit</t>
        </is>
      </c>
      <c r="F3248" t="n">
        <v>61.88</v>
      </c>
      <c r="G3248" t="inlineStr">
        <is>
          <t>IDR bn</t>
        </is>
      </c>
      <c r="I3248" t="inlineStr">
        <is>
          <t>Laba Tahun Berjalan 61.883.697 (2024 AR retrospective; 2022 AR shows merging entity-adjusted 65.66)</t>
        </is>
      </c>
      <c r="J3248" t="inlineStr">
        <is>
          <t>High</t>
        </is>
      </c>
      <c r="M3248" t="inlineStr">
        <is>
          <t>LLM</t>
        </is>
      </c>
      <c r="N3248" t="inlineStr">
        <is>
          <t>2026-04-19</t>
        </is>
      </c>
      <c r="O3248" t="inlineStr">
        <is>
          <t>AI</t>
        </is>
      </c>
    </row>
    <row r="3249">
      <c r="A3249" t="inlineStr">
        <is>
          <t>PT Menthobi Karyatama Raya Tbk</t>
        </is>
      </c>
      <c r="B3249" t="inlineStr">
        <is>
          <t>MKTR_2022_AR.pdf</t>
        </is>
      </c>
      <c r="C3249" t="n">
        <v>2022</v>
      </c>
      <c r="D3249" t="inlineStr">
        <is>
          <t>Financial</t>
        </is>
      </c>
      <c r="E3249" t="inlineStr">
        <is>
          <t>Profit Attributable to Parent</t>
        </is>
      </c>
      <c r="F3249" t="n">
        <v>61.52</v>
      </c>
      <c r="G3249" t="inlineStr">
        <is>
          <t>IDR bn</t>
        </is>
      </c>
      <c r="I3249" t="inlineStr">
        <is>
          <t>Pemilik Entitas Induk 61.523.703</t>
        </is>
      </c>
      <c r="J3249" t="inlineStr">
        <is>
          <t>High</t>
        </is>
      </c>
      <c r="M3249" t="inlineStr">
        <is>
          <t>LLM</t>
        </is>
      </c>
      <c r="N3249" t="inlineStr">
        <is>
          <t>2026-04-19</t>
        </is>
      </c>
      <c r="O3249" t="inlineStr">
        <is>
          <t>AI</t>
        </is>
      </c>
    </row>
    <row r="3250">
      <c r="A3250" t="inlineStr">
        <is>
          <t>PT Menthobi Karyatama Raya Tbk</t>
        </is>
      </c>
      <c r="B3250" t="inlineStr">
        <is>
          <t>MKTR_2022_AR.pdf</t>
        </is>
      </c>
      <c r="C3250" t="n">
        <v>2022</v>
      </c>
      <c r="D3250" t="inlineStr">
        <is>
          <t>Financial</t>
        </is>
      </c>
      <c r="E3250" t="inlineStr">
        <is>
          <t>Total Assets</t>
        </is>
      </c>
      <c r="F3250" t="n">
        <v>966.24</v>
      </c>
      <c r="G3250" t="inlineStr">
        <is>
          <t>IDR bn</t>
        </is>
      </c>
      <c r="H3250" t="n">
        <v>11</v>
      </c>
      <c r="I3250" t="inlineStr">
        <is>
          <t>Jumlah Aset 965.590.564 (2022 AR); 966.235.747 (2024 AR retrospective)</t>
        </is>
      </c>
      <c r="J3250" t="inlineStr">
        <is>
          <t>High</t>
        </is>
      </c>
      <c r="M3250" t="inlineStr">
        <is>
          <t>LLM</t>
        </is>
      </c>
      <c r="N3250" t="inlineStr">
        <is>
          <t>2026-04-19</t>
        </is>
      </c>
      <c r="O3250" t="inlineStr">
        <is>
          <t>AI</t>
        </is>
      </c>
    </row>
    <row r="3251">
      <c r="A3251" t="inlineStr">
        <is>
          <t>PT Menthobi Karyatama Raya Tbk</t>
        </is>
      </c>
      <c r="B3251" t="inlineStr">
        <is>
          <t>MKTR_2022_AR.pdf</t>
        </is>
      </c>
      <c r="C3251" t="n">
        <v>2022</v>
      </c>
      <c r="D3251" t="inlineStr">
        <is>
          <t>Financial</t>
        </is>
      </c>
      <c r="E3251" t="inlineStr">
        <is>
          <t>Current Assets</t>
        </is>
      </c>
      <c r="F3251" t="n">
        <v>460.45</v>
      </c>
      <c r="G3251" t="inlineStr">
        <is>
          <t>IDR bn</t>
        </is>
      </c>
      <c r="H3251" t="n">
        <v>11</v>
      </c>
      <c r="I3251" t="inlineStr">
        <is>
          <t>Aset Lancar 460.445.854</t>
        </is>
      </c>
      <c r="J3251" t="inlineStr">
        <is>
          <t>High</t>
        </is>
      </c>
      <c r="M3251" t="inlineStr">
        <is>
          <t>LLM</t>
        </is>
      </c>
      <c r="N3251" t="inlineStr">
        <is>
          <t>2026-04-19</t>
        </is>
      </c>
      <c r="O3251" t="inlineStr">
        <is>
          <t>AI</t>
        </is>
      </c>
    </row>
    <row r="3252">
      <c r="A3252" t="inlineStr">
        <is>
          <t>PT Menthobi Karyatama Raya Tbk</t>
        </is>
      </c>
      <c r="B3252" t="inlineStr">
        <is>
          <t>MKTR_2022_AR.pdf</t>
        </is>
      </c>
      <c r="C3252" t="n">
        <v>2022</v>
      </c>
      <c r="D3252" t="inlineStr">
        <is>
          <t>Financial</t>
        </is>
      </c>
      <c r="E3252" t="inlineStr">
        <is>
          <t>Non-Current Assets</t>
        </is>
      </c>
      <c r="F3252" t="n">
        <v>505.79</v>
      </c>
      <c r="G3252" t="inlineStr">
        <is>
          <t>IDR bn</t>
        </is>
      </c>
      <c r="H3252" t="n">
        <v>11</v>
      </c>
      <c r="I3252" t="inlineStr">
        <is>
          <t>Aset Tidak Lancar 505.144.710 (2022 AR) / 505.789.893 (2024 AR)</t>
        </is>
      </c>
      <c r="J3252" t="inlineStr">
        <is>
          <t>High</t>
        </is>
      </c>
      <c r="M3252" t="inlineStr">
        <is>
          <t>LLM</t>
        </is>
      </c>
      <c r="N3252" t="inlineStr">
        <is>
          <t>2026-04-19</t>
        </is>
      </c>
      <c r="O3252" t="inlineStr">
        <is>
          <t>AI</t>
        </is>
      </c>
    </row>
    <row r="3253">
      <c r="A3253" t="inlineStr">
        <is>
          <t>PT Menthobi Karyatama Raya Tbk</t>
        </is>
      </c>
      <c r="B3253" t="inlineStr">
        <is>
          <t>MKTR_2022_AR.pdf</t>
        </is>
      </c>
      <c r="C3253" t="n">
        <v>2022</v>
      </c>
      <c r="D3253" t="inlineStr">
        <is>
          <t>Financial</t>
        </is>
      </c>
      <c r="E3253" t="inlineStr">
        <is>
          <t>Total Liabilities</t>
        </is>
      </c>
      <c r="F3253" t="n">
        <v>422.83</v>
      </c>
      <c r="G3253" t="inlineStr">
        <is>
          <t>IDR bn</t>
        </is>
      </c>
      <c r="H3253" t="n">
        <v>11</v>
      </c>
      <c r="I3253" t="inlineStr">
        <is>
          <t>Jumlah Liabilitas 421.337.723 / 422.827.959</t>
        </is>
      </c>
      <c r="J3253" t="inlineStr">
        <is>
          <t>High</t>
        </is>
      </c>
      <c r="M3253" t="inlineStr">
        <is>
          <t>LLM</t>
        </is>
      </c>
      <c r="N3253" t="inlineStr">
        <is>
          <t>2026-04-19</t>
        </is>
      </c>
      <c r="O3253" t="inlineStr">
        <is>
          <t>AI</t>
        </is>
      </c>
    </row>
    <row r="3254">
      <c r="A3254" t="inlineStr">
        <is>
          <t>PT Menthobi Karyatama Raya Tbk</t>
        </is>
      </c>
      <c r="B3254" t="inlineStr">
        <is>
          <t>MKTR_2022_AR.pdf</t>
        </is>
      </c>
      <c r="C3254" t="n">
        <v>2022</v>
      </c>
      <c r="D3254" t="inlineStr">
        <is>
          <t>Financial</t>
        </is>
      </c>
      <c r="E3254" t="inlineStr">
        <is>
          <t>Current Liabilities</t>
        </is>
      </c>
      <c r="F3254" t="n">
        <v>211.34</v>
      </c>
      <c r="G3254" t="inlineStr">
        <is>
          <t>IDR bn</t>
        </is>
      </c>
      <c r="H3254" t="n">
        <v>11</v>
      </c>
      <c r="I3254" t="inlineStr">
        <is>
          <t>Liabilitas Jangka Pendek 210.733.942 / 211.339.579</t>
        </is>
      </c>
      <c r="J3254" t="inlineStr">
        <is>
          <t>High</t>
        </is>
      </c>
      <c r="M3254" t="inlineStr">
        <is>
          <t>LLM</t>
        </is>
      </c>
      <c r="N3254" t="inlineStr">
        <is>
          <t>2026-04-19</t>
        </is>
      </c>
      <c r="O3254" t="inlineStr">
        <is>
          <t>AI</t>
        </is>
      </c>
    </row>
    <row r="3255">
      <c r="A3255" t="inlineStr">
        <is>
          <t>PT Menthobi Karyatama Raya Tbk</t>
        </is>
      </c>
      <c r="B3255" t="inlineStr">
        <is>
          <t>MKTR_2022_AR.pdf</t>
        </is>
      </c>
      <c r="C3255" t="n">
        <v>2022</v>
      </c>
      <c r="D3255" t="inlineStr">
        <is>
          <t>Financial</t>
        </is>
      </c>
      <c r="E3255" t="inlineStr">
        <is>
          <t>Non-Current Liabilities</t>
        </is>
      </c>
      <c r="F3255" t="n">
        <v>211.49</v>
      </c>
      <c r="G3255" t="inlineStr">
        <is>
          <t>IDR bn</t>
        </is>
      </c>
      <c r="H3255" t="n">
        <v>11</v>
      </c>
      <c r="I3255" t="inlineStr">
        <is>
          <t>Liabilitas Jangka Panjang 210.603.781 / 211.488.380</t>
        </is>
      </c>
      <c r="J3255" t="inlineStr">
        <is>
          <t>High</t>
        </is>
      </c>
      <c r="M3255" t="inlineStr">
        <is>
          <t>LLM</t>
        </is>
      </c>
      <c r="N3255" t="inlineStr">
        <is>
          <t>2026-04-19</t>
        </is>
      </c>
      <c r="O3255" t="inlineStr">
        <is>
          <t>AI</t>
        </is>
      </c>
    </row>
    <row r="3256">
      <c r="A3256" t="inlineStr">
        <is>
          <t>PT Menthobi Karyatama Raya Tbk</t>
        </is>
      </c>
      <c r="B3256" t="inlineStr">
        <is>
          <t>MKTR_2022_AR.pdf</t>
        </is>
      </c>
      <c r="C3256" t="n">
        <v>2022</v>
      </c>
      <c r="D3256" t="inlineStr">
        <is>
          <t>Financial</t>
        </is>
      </c>
      <c r="E3256" t="inlineStr">
        <is>
          <t>Total Equity</t>
        </is>
      </c>
      <c r="F3256" t="n">
        <v>543.41</v>
      </c>
      <c r="G3256" t="inlineStr">
        <is>
          <t>IDR bn</t>
        </is>
      </c>
      <c r="H3256" t="n">
        <v>11</v>
      </c>
      <c r="I3256" t="inlineStr">
        <is>
          <t>Jumlah Ekuitas 544.252.841 / 543.407.788</t>
        </is>
      </c>
      <c r="J3256" t="inlineStr">
        <is>
          <t>High</t>
        </is>
      </c>
      <c r="M3256" t="inlineStr">
        <is>
          <t>LLM</t>
        </is>
      </c>
      <c r="N3256" t="inlineStr">
        <is>
          <t>2026-04-19</t>
        </is>
      </c>
      <c r="O3256" t="inlineStr">
        <is>
          <t>AI</t>
        </is>
      </c>
    </row>
    <row r="3257">
      <c r="A3257" t="inlineStr">
        <is>
          <t>PT Menthobi Karyatama Raya Tbk</t>
        </is>
      </c>
      <c r="B3257" t="inlineStr">
        <is>
          <t>MKTR_2022_AR.pdf</t>
        </is>
      </c>
      <c r="C3257" t="n">
        <v>2022</v>
      </c>
      <c r="D3257" t="inlineStr">
        <is>
          <t>Financial</t>
        </is>
      </c>
      <c r="E3257" t="inlineStr">
        <is>
          <t>Cash and Banks</t>
        </is>
      </c>
      <c r="F3257" t="n">
        <v>303.67</v>
      </c>
      <c r="G3257" t="inlineStr">
        <is>
          <t>IDR bn</t>
        </is>
      </c>
      <c r="I3257" t="inlineStr">
        <is>
          <t>Kas dan bank 303.674.882</t>
        </is>
      </c>
      <c r="J3257" t="inlineStr">
        <is>
          <t>High</t>
        </is>
      </c>
      <c r="M3257" t="inlineStr">
        <is>
          <t>LLM</t>
        </is>
      </c>
      <c r="N3257" t="inlineStr">
        <is>
          <t>2026-04-19</t>
        </is>
      </c>
      <c r="O3257" t="inlineStr">
        <is>
          <t>AI</t>
        </is>
      </c>
    </row>
    <row r="3258">
      <c r="A3258" t="inlineStr">
        <is>
          <t>PT Menthobi Karyatama Raya Tbk</t>
        </is>
      </c>
      <c r="B3258" t="inlineStr">
        <is>
          <t>MKTR_2022_AR.pdf</t>
        </is>
      </c>
      <c r="C3258" t="n">
        <v>2022</v>
      </c>
      <c r="D3258" t="inlineStr">
        <is>
          <t>Financial</t>
        </is>
      </c>
      <c r="E3258" t="inlineStr">
        <is>
          <t>Short-term Bank Loans</t>
        </is>
      </c>
      <c r="F3258" t="n">
        <v>65</v>
      </c>
      <c r="G3258" t="inlineStr">
        <is>
          <t>IDR bn</t>
        </is>
      </c>
      <c r="I3258" t="inlineStr">
        <is>
          <t>Pinjaman bank jangka pendek 65.000.000</t>
        </is>
      </c>
      <c r="J3258" t="inlineStr">
        <is>
          <t>High</t>
        </is>
      </c>
      <c r="M3258" t="inlineStr">
        <is>
          <t>LLM</t>
        </is>
      </c>
      <c r="N3258" t="inlineStr">
        <is>
          <t>2026-04-19</t>
        </is>
      </c>
      <c r="O3258" t="inlineStr">
        <is>
          <t>AI</t>
        </is>
      </c>
    </row>
    <row r="3259">
      <c r="A3259" t="inlineStr">
        <is>
          <t>PT Menthobi Karyatama Raya Tbk</t>
        </is>
      </c>
      <c r="B3259" t="inlineStr">
        <is>
          <t>MKTR_2022_AR.pdf</t>
        </is>
      </c>
      <c r="C3259" t="n">
        <v>2022</v>
      </c>
      <c r="D3259" t="inlineStr">
        <is>
          <t>Financial</t>
        </is>
      </c>
      <c r="E3259" t="inlineStr">
        <is>
          <t>Current portion LT Bank Loans</t>
        </is>
      </c>
      <c r="F3259" t="n">
        <v>80.59</v>
      </c>
      <c r="G3259" t="inlineStr">
        <is>
          <t>IDR bn</t>
        </is>
      </c>
      <c r="I3259" t="inlineStr">
        <is>
          <t>Pinjaman bank (current) 80.591.000</t>
        </is>
      </c>
      <c r="J3259" t="inlineStr">
        <is>
          <t>High</t>
        </is>
      </c>
      <c r="M3259" t="inlineStr">
        <is>
          <t>LLM</t>
        </is>
      </c>
      <c r="N3259" t="inlineStr">
        <is>
          <t>2026-04-19</t>
        </is>
      </c>
      <c r="O3259" t="inlineStr">
        <is>
          <t>AI</t>
        </is>
      </c>
    </row>
    <row r="3260">
      <c r="A3260" t="inlineStr">
        <is>
          <t>PT Menthobi Karyatama Raya Tbk</t>
        </is>
      </c>
      <c r="B3260" t="inlineStr">
        <is>
          <t>MKTR_2022_AR.pdf</t>
        </is>
      </c>
      <c r="C3260" t="n">
        <v>2022</v>
      </c>
      <c r="D3260" t="inlineStr">
        <is>
          <t>Financial</t>
        </is>
      </c>
      <c r="E3260" t="inlineStr">
        <is>
          <t>Long-term Bank Loans</t>
        </is>
      </c>
      <c r="F3260" t="n">
        <v>207.07</v>
      </c>
      <c r="G3260" t="inlineStr">
        <is>
          <t>IDR bn</t>
        </is>
      </c>
      <c r="I3260" t="inlineStr">
        <is>
          <t>Pinjaman bank 207.074.000</t>
        </is>
      </c>
      <c r="J3260" t="inlineStr">
        <is>
          <t>High</t>
        </is>
      </c>
      <c r="M3260" t="inlineStr">
        <is>
          <t>LLM</t>
        </is>
      </c>
      <c r="N3260" t="inlineStr">
        <is>
          <t>2026-04-19</t>
        </is>
      </c>
      <c r="O3260" t="inlineStr">
        <is>
          <t>AI</t>
        </is>
      </c>
    </row>
    <row r="3261">
      <c r="A3261" t="inlineStr">
        <is>
          <t>PT Menthobi Karyatama Raya Tbk</t>
        </is>
      </c>
      <c r="B3261" t="inlineStr">
        <is>
          <t>MKTR_2022_AR.pdf</t>
        </is>
      </c>
      <c r="C3261" t="n">
        <v>2022</v>
      </c>
      <c r="D3261" t="inlineStr">
        <is>
          <t>Financial</t>
        </is>
      </c>
      <c r="E3261" t="inlineStr">
        <is>
          <t>Gross Debt</t>
        </is>
      </c>
      <c r="F3261" t="n">
        <v>352.67</v>
      </c>
      <c r="G3261" t="inlineStr">
        <is>
          <t>IDR bn</t>
        </is>
      </c>
      <c r="I3261" t="inlineStr">
        <is>
          <t>Calculated: 65 + 80.59 + 207.07 = 352.67</t>
        </is>
      </c>
      <c r="J3261" t="inlineStr">
        <is>
          <t>High</t>
        </is>
      </c>
      <c r="M3261" t="inlineStr">
        <is>
          <t>LLM</t>
        </is>
      </c>
      <c r="N3261" t="inlineStr">
        <is>
          <t>2026-04-19</t>
        </is>
      </c>
      <c r="O3261" t="inlineStr">
        <is>
          <t>AI</t>
        </is>
      </c>
    </row>
    <row r="3262">
      <c r="A3262" t="inlineStr">
        <is>
          <t>PT Menthobi Karyatama Raya Tbk</t>
        </is>
      </c>
      <c r="B3262" t="inlineStr">
        <is>
          <t>MKTR_2022_AR.pdf</t>
        </is>
      </c>
      <c r="C3262" t="n">
        <v>2022</v>
      </c>
      <c r="D3262" t="inlineStr">
        <is>
          <t>Financial</t>
        </is>
      </c>
      <c r="E3262" t="inlineStr">
        <is>
          <t>CFO</t>
        </is>
      </c>
      <c r="F3262" t="n">
        <v>89.26000000000001</v>
      </c>
      <c r="G3262" t="inlineStr">
        <is>
          <t>IDR bn</t>
        </is>
      </c>
      <c r="I3262" t="inlineStr">
        <is>
          <t>Arus Kas Bersih dari aktivitas operasi 89.255.065</t>
        </is>
      </c>
      <c r="J3262" t="inlineStr">
        <is>
          <t>High</t>
        </is>
      </c>
      <c r="M3262" t="inlineStr">
        <is>
          <t>LLM</t>
        </is>
      </c>
      <c r="N3262" t="inlineStr">
        <is>
          <t>2026-04-19</t>
        </is>
      </c>
      <c r="O3262" t="inlineStr">
        <is>
          <t>AI</t>
        </is>
      </c>
    </row>
    <row r="3263">
      <c r="A3263" t="inlineStr">
        <is>
          <t>PT Menthobi Karyatama Raya Tbk</t>
        </is>
      </c>
      <c r="B3263" t="inlineStr">
        <is>
          <t>MKTR_2022_AR.pdf</t>
        </is>
      </c>
      <c r="C3263" t="n">
        <v>2022</v>
      </c>
      <c r="D3263" t="inlineStr">
        <is>
          <t>Financial</t>
        </is>
      </c>
      <c r="E3263" t="inlineStr">
        <is>
          <t>CFI</t>
        </is>
      </c>
      <c r="F3263" t="n">
        <v>-99.88</v>
      </c>
      <c r="G3263" t="inlineStr">
        <is>
          <t>IDR bn</t>
        </is>
      </c>
      <c r="I3263" t="inlineStr">
        <is>
          <t>Arus kas bersih untuk aktivitas investasi (99.882.899)</t>
        </is>
      </c>
      <c r="J3263" t="inlineStr">
        <is>
          <t>High</t>
        </is>
      </c>
      <c r="M3263" t="inlineStr">
        <is>
          <t>LLM</t>
        </is>
      </c>
      <c r="N3263" t="inlineStr">
        <is>
          <t>2026-04-19</t>
        </is>
      </c>
      <c r="O3263" t="inlineStr">
        <is>
          <t>AI</t>
        </is>
      </c>
    </row>
    <row r="3264">
      <c r="A3264" t="inlineStr">
        <is>
          <t>PT Menthobi Karyatama Raya Tbk</t>
        </is>
      </c>
      <c r="B3264" t="inlineStr">
        <is>
          <t>MKTR_2022_AR.pdf</t>
        </is>
      </c>
      <c r="C3264" t="n">
        <v>2022</v>
      </c>
      <c r="D3264" t="inlineStr">
        <is>
          <t>Financial</t>
        </is>
      </c>
      <c r="E3264" t="inlineStr">
        <is>
          <t>CFF</t>
        </is>
      </c>
      <c r="F3264" t="n">
        <v>264.51</v>
      </c>
      <c r="G3264" t="inlineStr">
        <is>
          <t>IDR bn</t>
        </is>
      </c>
      <c r="I3264" t="inlineStr">
        <is>
          <t>Arus kas bersih dari aktivitas pendanaan 264.508.643</t>
        </is>
      </c>
      <c r="J3264" t="inlineStr">
        <is>
          <t>High</t>
        </is>
      </c>
      <c r="M3264" t="inlineStr">
        <is>
          <t>LLM</t>
        </is>
      </c>
      <c r="N3264" t="inlineStr">
        <is>
          <t>2026-04-19</t>
        </is>
      </c>
      <c r="O3264" t="inlineStr">
        <is>
          <t>AI</t>
        </is>
      </c>
    </row>
    <row r="3265">
      <c r="A3265" t="inlineStr">
        <is>
          <t>PT Menthobi Karyatama Raya Tbk</t>
        </is>
      </c>
      <c r="B3265" t="inlineStr">
        <is>
          <t>MKTR_2022_AR.pdf</t>
        </is>
      </c>
      <c r="C3265" t="n">
        <v>2022</v>
      </c>
      <c r="D3265" t="inlineStr">
        <is>
          <t>Financial</t>
        </is>
      </c>
      <c r="E3265" t="inlineStr">
        <is>
          <t>EPS Basic</t>
        </is>
      </c>
      <c r="F3265" t="n">
        <v>6.2</v>
      </c>
      <c r="G3265" t="inlineStr">
        <is>
          <t>Rp/share</t>
        </is>
      </c>
      <c r="I3265" t="inlineStr">
        <is>
          <t>Laba per Saham Dasar 6,20 (from 2024 AR retrospective); 2022 AR shows 6,59 (pre-merging adjustment)</t>
        </is>
      </c>
      <c r="J3265" t="inlineStr">
        <is>
          <t>High</t>
        </is>
      </c>
      <c r="M3265" t="inlineStr">
        <is>
          <t>LLM</t>
        </is>
      </c>
      <c r="N3265" t="inlineStr">
        <is>
          <t>2026-04-19</t>
        </is>
      </c>
      <c r="O3265" t="inlineStr">
        <is>
          <t>AI</t>
        </is>
      </c>
    </row>
    <row r="3266">
      <c r="A3266" t="inlineStr">
        <is>
          <t>PT Menthobi Karyatama Raya Tbk</t>
        </is>
      </c>
      <c r="B3266" t="inlineStr">
        <is>
          <t>MKTR_2022_AR.pdf</t>
        </is>
      </c>
      <c r="C3266" t="n">
        <v>2022</v>
      </c>
      <c r="D3266" t="inlineStr">
        <is>
          <t>Financial</t>
        </is>
      </c>
      <c r="E3266" t="inlineStr">
        <is>
          <t>Shares Outstanding (end 2022)</t>
        </is>
      </c>
      <c r="F3266" t="n">
        <v>12000000000</v>
      </c>
      <c r="G3266" t="inlineStr">
        <is>
          <t>shares</t>
        </is>
      </c>
      <c r="H3266" t="n">
        <v>15</v>
      </c>
      <c r="I3266" t="inlineStr">
        <is>
          <t>12.000.000.000 (December 2022 row)</t>
        </is>
      </c>
      <c r="J3266" t="inlineStr">
        <is>
          <t>High</t>
        </is>
      </c>
      <c r="M3266" t="inlineStr">
        <is>
          <t>LLM</t>
        </is>
      </c>
      <c r="N3266" t="inlineStr">
        <is>
          <t>2026-04-19</t>
        </is>
      </c>
      <c r="O3266" t="inlineStr">
        <is>
          <t>AI</t>
        </is>
      </c>
    </row>
    <row r="3267">
      <c r="A3267" t="inlineStr">
        <is>
          <t>PT Menthobi Karyatama Raya Tbk</t>
        </is>
      </c>
      <c r="B3267" t="inlineStr">
        <is>
          <t>MKTR_2022_AR.pdf</t>
        </is>
      </c>
      <c r="C3267" t="n">
        <v>2022</v>
      </c>
      <c r="D3267" t="inlineStr">
        <is>
          <t>Financial</t>
        </is>
      </c>
      <c r="E3267" t="inlineStr">
        <is>
          <t>Closing Price (Dec 2022)</t>
        </is>
      </c>
      <c r="F3267" t="n">
        <v>129</v>
      </c>
      <c r="G3267" t="inlineStr">
        <is>
          <t>Rp/share</t>
        </is>
      </c>
      <c r="H3267" t="n">
        <v>15</v>
      </c>
      <c r="I3267" t="inlineStr">
        <is>
          <t>December 130 176 118 129</t>
        </is>
      </c>
      <c r="J3267" t="inlineStr">
        <is>
          <t>High</t>
        </is>
      </c>
      <c r="M3267" t="inlineStr">
        <is>
          <t>LLM</t>
        </is>
      </c>
      <c r="N3267" t="inlineStr">
        <is>
          <t>2026-04-19</t>
        </is>
      </c>
      <c r="O3267" t="inlineStr">
        <is>
          <t>AI</t>
        </is>
      </c>
    </row>
    <row r="3268">
      <c r="A3268" t="inlineStr">
        <is>
          <t>PT Menthobi Karyatama Raya Tbk</t>
        </is>
      </c>
      <c r="B3268" t="inlineStr">
        <is>
          <t>MKTR_2022_AR.pdf</t>
        </is>
      </c>
      <c r="C3268" t="n">
        <v>2022</v>
      </c>
      <c r="D3268" t="inlineStr">
        <is>
          <t>Financial</t>
        </is>
      </c>
      <c r="E3268" t="inlineStr">
        <is>
          <t>Market Capitalization (Dec 2022)</t>
        </is>
      </c>
      <c r="F3268" t="n">
        <v>1548</v>
      </c>
      <c r="G3268" t="inlineStr">
        <is>
          <t>IDR bn</t>
        </is>
      </c>
      <c r="H3268" t="n">
        <v>15</v>
      </c>
      <c r="I3268" t="inlineStr">
        <is>
          <t>1.548.000.000.000</t>
        </is>
      </c>
      <c r="J3268" t="inlineStr">
        <is>
          <t>High</t>
        </is>
      </c>
      <c r="M3268" t="inlineStr">
        <is>
          <t>LLM</t>
        </is>
      </c>
      <c r="N3268" t="inlineStr">
        <is>
          <t>2026-04-19</t>
        </is>
      </c>
      <c r="O3268" t="inlineStr">
        <is>
          <t>AI</t>
        </is>
      </c>
    </row>
    <row r="3269">
      <c r="A3269" t="inlineStr">
        <is>
          <t>PT Menthobi Karyatama Raya Tbk</t>
        </is>
      </c>
      <c r="B3269" t="inlineStr">
        <is>
          <t>MKTR_2022_AR.pdf</t>
        </is>
      </c>
      <c r="C3269" t="n">
        <v>2022</v>
      </c>
      <c r="D3269" t="inlineStr">
        <is>
          <t>Financial</t>
        </is>
      </c>
      <c r="E3269" t="inlineStr">
        <is>
          <t>Current Ratio</t>
        </is>
      </c>
      <c r="F3269" t="n">
        <v>217.87</v>
      </c>
      <c r="G3269" t="inlineStr">
        <is>
          <t>%</t>
        </is>
      </c>
      <c r="H3269" t="n">
        <v>11</v>
      </c>
      <c r="I3269" t="inlineStr">
        <is>
          <t>Rasio Lancar 2,18 = 217.87%</t>
        </is>
      </c>
      <c r="J3269" t="inlineStr">
        <is>
          <t>High</t>
        </is>
      </c>
      <c r="M3269" t="inlineStr">
        <is>
          <t>LLM</t>
        </is>
      </c>
      <c r="N3269" t="inlineStr">
        <is>
          <t>2026-04-19</t>
        </is>
      </c>
      <c r="O3269" t="inlineStr">
        <is>
          <t>AI</t>
        </is>
      </c>
    </row>
    <row r="3270">
      <c r="A3270" t="inlineStr">
        <is>
          <t>PT Menthobi Karyatama Raya Tbk</t>
        </is>
      </c>
      <c r="B3270" t="inlineStr">
        <is>
          <t>MKTR_2022_AR.pdf</t>
        </is>
      </c>
      <c r="C3270" t="n">
        <v>2022</v>
      </c>
      <c r="D3270" t="inlineStr">
        <is>
          <t>Financial</t>
        </is>
      </c>
      <c r="E3270" t="inlineStr">
        <is>
          <t>Debt to Equity</t>
        </is>
      </c>
      <c r="F3270" t="n">
        <v>77.73999999999999</v>
      </c>
      <c r="G3270" t="inlineStr">
        <is>
          <t>%</t>
        </is>
      </c>
      <c r="H3270" t="n">
        <v>11</v>
      </c>
      <c r="I3270" t="inlineStr">
        <is>
          <t>Jumlah Liabilitas / Jumlah Ekuitas 0,78</t>
        </is>
      </c>
      <c r="J3270" t="inlineStr">
        <is>
          <t>High</t>
        </is>
      </c>
      <c r="M3270" t="inlineStr">
        <is>
          <t>LLM</t>
        </is>
      </c>
      <c r="N3270" t="inlineStr">
        <is>
          <t>2026-04-19</t>
        </is>
      </c>
      <c r="O3270" t="inlineStr">
        <is>
          <t>AI</t>
        </is>
      </c>
    </row>
    <row r="3271">
      <c r="A3271" t="inlineStr">
        <is>
          <t>PT Menthobi Karyatama Raya Tbk</t>
        </is>
      </c>
      <c r="B3271" t="inlineStr">
        <is>
          <t>MKTR_2022_AR.pdf</t>
        </is>
      </c>
      <c r="C3271" t="n">
        <v>2022</v>
      </c>
      <c r="D3271" t="inlineStr">
        <is>
          <t>Financial</t>
        </is>
      </c>
      <c r="E3271" t="inlineStr">
        <is>
          <t>ROA</t>
        </is>
      </c>
      <c r="F3271" t="n">
        <v>6.4</v>
      </c>
      <c r="G3271" t="inlineStr">
        <is>
          <t>%</t>
        </is>
      </c>
      <c r="H3271" t="n">
        <v>11</v>
      </c>
      <c r="I3271" t="inlineStr">
        <is>
          <t>Return on Asset (ROA) 6,40</t>
        </is>
      </c>
      <c r="J3271" t="inlineStr">
        <is>
          <t>High</t>
        </is>
      </c>
      <c r="M3271" t="inlineStr">
        <is>
          <t>LLM</t>
        </is>
      </c>
      <c r="N3271" t="inlineStr">
        <is>
          <t>2026-04-19</t>
        </is>
      </c>
      <c r="O3271" t="inlineStr">
        <is>
          <t>AI</t>
        </is>
      </c>
    </row>
    <row r="3272">
      <c r="A3272" t="inlineStr">
        <is>
          <t>PT Menthobi Karyatama Raya Tbk</t>
        </is>
      </c>
      <c r="B3272" t="inlineStr">
        <is>
          <t>MKTR_2022_AR.pdf</t>
        </is>
      </c>
      <c r="C3272" t="n">
        <v>2022</v>
      </c>
      <c r="D3272" t="inlineStr">
        <is>
          <t>Financial</t>
        </is>
      </c>
      <c r="E3272" t="inlineStr">
        <is>
          <t>ROE</t>
        </is>
      </c>
      <c r="F3272" t="n">
        <v>11.39</v>
      </c>
      <c r="G3272" t="inlineStr">
        <is>
          <t>%</t>
        </is>
      </c>
      <c r="H3272" t="n">
        <v>11</v>
      </c>
      <c r="I3272" t="inlineStr">
        <is>
          <t>Return on Equity (ROE) 11,39</t>
        </is>
      </c>
      <c r="J3272" t="inlineStr">
        <is>
          <t>High</t>
        </is>
      </c>
      <c r="M3272" t="inlineStr">
        <is>
          <t>LLM</t>
        </is>
      </c>
      <c r="N3272" t="inlineStr">
        <is>
          <t>2026-04-19</t>
        </is>
      </c>
      <c r="O3272" t="inlineStr">
        <is>
          <t>AI</t>
        </is>
      </c>
    </row>
    <row r="3273">
      <c r="A3273" t="inlineStr">
        <is>
          <t>PT Menthobi Karyatama Raya Tbk</t>
        </is>
      </c>
      <c r="B3273" t="inlineStr">
        <is>
          <t>MKTR_2022_AR.pdf</t>
        </is>
      </c>
      <c r="C3273" t="n">
        <v>2022</v>
      </c>
      <c r="D3273" t="inlineStr">
        <is>
          <t>Financial</t>
        </is>
      </c>
      <c r="E3273" t="inlineStr">
        <is>
          <t>CPO Sales Revenue</t>
        </is>
      </c>
      <c r="F3273" t="n">
        <v>567.12</v>
      </c>
      <c r="G3273" t="inlineStr">
        <is>
          <t>IDR bn</t>
        </is>
      </c>
      <c r="H3273" t="n">
        <v>12</v>
      </c>
      <c r="I3273" t="inlineStr">
        <is>
          <t>Minyak Kelapa Sawit 567.124.561</t>
        </is>
      </c>
      <c r="J3273" t="inlineStr">
        <is>
          <t>High</t>
        </is>
      </c>
      <c r="M3273" t="inlineStr">
        <is>
          <t>LLM</t>
        </is>
      </c>
      <c r="N3273" t="inlineStr">
        <is>
          <t>2026-04-19</t>
        </is>
      </c>
      <c r="O3273" t="inlineStr">
        <is>
          <t>AI</t>
        </is>
      </c>
    </row>
    <row r="3274">
      <c r="A3274" t="inlineStr">
        <is>
          <t>PT Menthobi Karyatama Raya Tbk</t>
        </is>
      </c>
      <c r="B3274" t="inlineStr">
        <is>
          <t>MKTR_2022_AR.pdf</t>
        </is>
      </c>
      <c r="C3274" t="n">
        <v>2022</v>
      </c>
      <c r="D3274" t="inlineStr">
        <is>
          <t>Financial</t>
        </is>
      </c>
      <c r="E3274" t="inlineStr">
        <is>
          <t>PK Sales Revenue</t>
        </is>
      </c>
      <c r="F3274" t="n">
        <v>60.76</v>
      </c>
      <c r="G3274" t="inlineStr">
        <is>
          <t>IDR bn</t>
        </is>
      </c>
      <c r="H3274" t="n">
        <v>12</v>
      </c>
      <c r="I3274" t="inlineStr">
        <is>
          <t>Inti Kelapa Sawit 60.756.350</t>
        </is>
      </c>
      <c r="J3274" t="inlineStr">
        <is>
          <t>High</t>
        </is>
      </c>
      <c r="M3274" t="inlineStr">
        <is>
          <t>LLM</t>
        </is>
      </c>
      <c r="N3274" t="inlineStr">
        <is>
          <t>2026-04-19</t>
        </is>
      </c>
      <c r="O3274" t="inlineStr">
        <is>
          <t>AI</t>
        </is>
      </c>
    </row>
    <row r="3275">
      <c r="A3275" t="inlineStr">
        <is>
          <t>PT Menthobi Karyatama Raya Tbk</t>
        </is>
      </c>
      <c r="B3275" t="inlineStr">
        <is>
          <t>MKTR_2022_AR.pdf</t>
        </is>
      </c>
      <c r="C3275" t="n">
        <v>2022</v>
      </c>
      <c r="D3275" t="inlineStr">
        <is>
          <t>Asset</t>
        </is>
      </c>
      <c r="E3275" t="inlineStr">
        <is>
          <t>Palm Oil Mills Count</t>
        </is>
      </c>
      <c r="F3275" t="n">
        <v>1</v>
      </c>
      <c r="G3275" t="inlineStr">
        <is>
          <t>count</t>
        </is>
      </c>
      <c r="I3275" t="inlineStr">
        <is>
          <t>1 PKS via MMAL (KSO not yet acquired)</t>
        </is>
      </c>
      <c r="J3275" t="inlineStr">
        <is>
          <t>High</t>
        </is>
      </c>
      <c r="M3275" t="inlineStr">
        <is>
          <t>LLM</t>
        </is>
      </c>
      <c r="N3275" t="inlineStr">
        <is>
          <t>2026-04-19</t>
        </is>
      </c>
      <c r="O3275" t="inlineStr">
        <is>
          <t>AI</t>
        </is>
      </c>
    </row>
    <row r="3276">
      <c r="A3276" t="inlineStr">
        <is>
          <t>PT Menthobi Karyatama Raya Tbk</t>
        </is>
      </c>
      <c r="B3276" t="inlineStr">
        <is>
          <t>MKTR_2022_AR.pdf</t>
        </is>
      </c>
      <c r="C3276" t="n">
        <v>2022</v>
      </c>
      <c r="D3276" t="inlineStr">
        <is>
          <t>Asset</t>
        </is>
      </c>
      <c r="E3276" t="inlineStr">
        <is>
          <t>Mill Capacity</t>
        </is>
      </c>
      <c r="F3276" t="n">
        <v>30</v>
      </c>
      <c r="G3276" t="inlineStr">
        <is>
          <t>tph</t>
        </is>
      </c>
      <c r="I3276" t="inlineStr">
        <is>
          <t>kapasitas produksi CPO mencapai 30 ton/jam</t>
        </is>
      </c>
      <c r="J3276" t="inlineStr">
        <is>
          <t>High</t>
        </is>
      </c>
      <c r="M3276" t="inlineStr">
        <is>
          <t>LLM</t>
        </is>
      </c>
      <c r="N3276" t="inlineStr">
        <is>
          <t>2026-04-19</t>
        </is>
      </c>
      <c r="O3276" t="inlineStr">
        <is>
          <t>AI</t>
        </is>
      </c>
    </row>
    <row r="3277">
      <c r="A3277" t="inlineStr">
        <is>
          <t>PT Menthobi Karyatama Raya Tbk</t>
        </is>
      </c>
      <c r="B3277" t="inlineStr">
        <is>
          <t>MKTR_2022_AR.pdf</t>
        </is>
      </c>
      <c r="C3277" t="n">
        <v>2022</v>
      </c>
      <c r="D3277" t="inlineStr">
        <is>
          <t>Asset</t>
        </is>
      </c>
      <c r="E3277" t="inlineStr">
        <is>
          <t>Location Permit Area</t>
        </is>
      </c>
      <c r="F3277" t="n">
        <v>12000</v>
      </c>
      <c r="G3277" t="inlineStr">
        <is>
          <t>ha</t>
        </is>
      </c>
      <c r="I3277" t="inlineStr">
        <is>
          <t>luas area sesuai izin lokasi seluas ± 12.000 hektare</t>
        </is>
      </c>
      <c r="J3277" t="inlineStr">
        <is>
          <t>High</t>
        </is>
      </c>
      <c r="M3277" t="inlineStr">
        <is>
          <t>LLM</t>
        </is>
      </c>
      <c r="N3277" t="inlineStr">
        <is>
          <t>2026-04-19</t>
        </is>
      </c>
      <c r="O3277" t="inlineStr">
        <is>
          <t>AI</t>
        </is>
      </c>
    </row>
    <row r="3278">
      <c r="A3278" t="inlineStr">
        <is>
          <t>PT Menthobi Karyatama Raya Tbk</t>
        </is>
      </c>
      <c r="B3278" t="inlineStr">
        <is>
          <t>MKTR_2022_AR.pdf</t>
        </is>
      </c>
      <c r="C3278" t="n">
        <v>2022</v>
      </c>
      <c r="D3278" t="inlineStr">
        <is>
          <t>Asset</t>
        </is>
      </c>
      <c r="E3278" t="inlineStr">
        <is>
          <t>HGU Area (MMAL)</t>
        </is>
      </c>
      <c r="F3278" t="n">
        <v>2202.6</v>
      </c>
      <c r="G3278" t="inlineStr">
        <is>
          <t>ha</t>
        </is>
      </c>
      <c r="I3278" t="inlineStr">
        <is>
          <t>Tanah perkebunan kelapa sawit seluas 2.202 Ha. located at Kujan</t>
        </is>
      </c>
      <c r="J3278" t="inlineStr">
        <is>
          <t>High</t>
        </is>
      </c>
      <c r="M3278" t="inlineStr">
        <is>
          <t>LLM</t>
        </is>
      </c>
      <c r="N3278" t="inlineStr">
        <is>
          <t>2026-04-19</t>
        </is>
      </c>
      <c r="O3278" t="inlineStr">
        <is>
          <t>AI</t>
        </is>
      </c>
    </row>
    <row r="3279">
      <c r="A3279" t="inlineStr">
        <is>
          <t>PT Menthobi Karyatama Raya Tbk</t>
        </is>
      </c>
      <c r="B3279" t="inlineStr">
        <is>
          <t>MKTR_2022_AR.pdf</t>
        </is>
      </c>
      <c r="C3279" t="n">
        <v>2022</v>
      </c>
      <c r="D3279" t="inlineStr">
        <is>
          <t>Operation</t>
        </is>
      </c>
      <c r="E3279" t="inlineStr">
        <is>
          <t>FFB Production (Homegrown)</t>
        </is>
      </c>
      <c r="F3279" t="n">
        <v>117967</v>
      </c>
      <c r="G3279" t="inlineStr">
        <is>
          <t>t</t>
        </is>
      </c>
      <c r="I3279" t="inlineStr">
        <is>
          <t>Jumlah TBS hasil Produksi Perkebunan 117.967 (from 2024 AR retrospective)</t>
        </is>
      </c>
      <c r="J3279" t="inlineStr">
        <is>
          <t>High</t>
        </is>
      </c>
      <c r="M3279" t="inlineStr">
        <is>
          <t>LLM</t>
        </is>
      </c>
      <c r="N3279" t="inlineStr">
        <is>
          <t>2026-04-19</t>
        </is>
      </c>
      <c r="O3279" t="inlineStr">
        <is>
          <t>AI</t>
        </is>
      </c>
    </row>
    <row r="3280">
      <c r="A3280" t="inlineStr">
        <is>
          <t>PT Menthobi Karyatama Raya Tbk</t>
        </is>
      </c>
      <c r="B3280" t="inlineStr">
        <is>
          <t>MKTR_2022_AR.pdf</t>
        </is>
      </c>
      <c r="C3280" t="n">
        <v>2022</v>
      </c>
      <c r="D3280" t="inlineStr">
        <is>
          <t>Operation</t>
        </is>
      </c>
      <c r="E3280" t="inlineStr">
        <is>
          <t>FFB Purchased Third Party</t>
        </is>
      </c>
      <c r="F3280" t="n">
        <v>71472</v>
      </c>
      <c r="G3280" t="inlineStr">
        <is>
          <t>t</t>
        </is>
      </c>
      <c r="I3280" t="inlineStr">
        <is>
          <t>TBS yang dibeli dari pihak ketiga 71.472</t>
        </is>
      </c>
      <c r="J3280" t="inlineStr">
        <is>
          <t>High</t>
        </is>
      </c>
      <c r="M3280" t="inlineStr">
        <is>
          <t>LLM</t>
        </is>
      </c>
      <c r="N3280" t="inlineStr">
        <is>
          <t>2026-04-19</t>
        </is>
      </c>
      <c r="O3280" t="inlineStr">
        <is>
          <t>AI</t>
        </is>
      </c>
    </row>
    <row r="3281">
      <c r="A3281" t="inlineStr">
        <is>
          <t>PT Menthobi Karyatama Raya Tbk</t>
        </is>
      </c>
      <c r="B3281" t="inlineStr">
        <is>
          <t>MKTR_2022_AR.pdf</t>
        </is>
      </c>
      <c r="C3281" t="n">
        <v>2022</v>
      </c>
      <c r="D3281" t="inlineStr">
        <is>
          <t>Operation</t>
        </is>
      </c>
      <c r="E3281" t="inlineStr">
        <is>
          <t>FFB Processed</t>
        </is>
      </c>
      <c r="F3281" t="n">
        <v>189912</v>
      </c>
      <c r="G3281" t="inlineStr">
        <is>
          <t>t</t>
        </is>
      </c>
      <c r="I3281" t="inlineStr">
        <is>
          <t>TBS yang diolah 189.912</t>
        </is>
      </c>
      <c r="J3281" t="inlineStr">
        <is>
          <t>High</t>
        </is>
      </c>
      <c r="M3281" t="inlineStr">
        <is>
          <t>LLM</t>
        </is>
      </c>
      <c r="N3281" t="inlineStr">
        <is>
          <t>2026-04-19</t>
        </is>
      </c>
      <c r="O3281" t="inlineStr">
        <is>
          <t>AI</t>
        </is>
      </c>
    </row>
    <row r="3282">
      <c r="A3282" t="inlineStr">
        <is>
          <t>PT Menthobi Karyatama Raya Tbk</t>
        </is>
      </c>
      <c r="B3282" t="inlineStr">
        <is>
          <t>MKTR_2022_AR.pdf</t>
        </is>
      </c>
      <c r="C3282" t="n">
        <v>2022</v>
      </c>
      <c r="D3282" t="inlineStr">
        <is>
          <t>Operation</t>
        </is>
      </c>
      <c r="E3282" t="inlineStr">
        <is>
          <t>CPO Production</t>
        </is>
      </c>
      <c r="F3282" t="n">
        <v>43729</v>
      </c>
      <c r="G3282" t="inlineStr">
        <is>
          <t>t</t>
        </is>
      </c>
      <c r="I3282" t="inlineStr">
        <is>
          <t>Jumlah produksi CPO 43.729</t>
        </is>
      </c>
      <c r="J3282" t="inlineStr">
        <is>
          <t>High</t>
        </is>
      </c>
      <c r="M3282" t="inlineStr">
        <is>
          <t>LLM</t>
        </is>
      </c>
      <c r="N3282" t="inlineStr">
        <is>
          <t>2026-04-19</t>
        </is>
      </c>
      <c r="O3282" t="inlineStr">
        <is>
          <t>AI</t>
        </is>
      </c>
    </row>
    <row r="3283">
      <c r="A3283" t="inlineStr">
        <is>
          <t>PT Menthobi Karyatama Raya Tbk</t>
        </is>
      </c>
      <c r="B3283" t="inlineStr">
        <is>
          <t>MKTR_2022_AR.pdf</t>
        </is>
      </c>
      <c r="C3283" t="n">
        <v>2022</v>
      </c>
      <c r="D3283" t="inlineStr">
        <is>
          <t>Operation</t>
        </is>
      </c>
      <c r="E3283" t="inlineStr">
        <is>
          <t>CPO Sales Volume</t>
        </is>
      </c>
      <c r="F3283" t="n">
        <v>44518</v>
      </c>
      <c r="G3283" t="inlineStr">
        <is>
          <t>t</t>
        </is>
      </c>
      <c r="I3283" t="inlineStr">
        <is>
          <t>Volume Penjualan CPO 44.518</t>
        </is>
      </c>
      <c r="J3283" t="inlineStr">
        <is>
          <t>High</t>
        </is>
      </c>
      <c r="M3283" t="inlineStr">
        <is>
          <t>LLM</t>
        </is>
      </c>
      <c r="N3283" t="inlineStr">
        <is>
          <t>2026-04-19</t>
        </is>
      </c>
      <c r="O3283" t="inlineStr">
        <is>
          <t>AI</t>
        </is>
      </c>
    </row>
    <row r="3284">
      <c r="A3284" t="inlineStr">
        <is>
          <t>PT Menthobi Karyatama Raya Tbk</t>
        </is>
      </c>
      <c r="B3284" t="inlineStr">
        <is>
          <t>MKTR_2022_AR.pdf</t>
        </is>
      </c>
      <c r="C3284" t="n">
        <v>2022</v>
      </c>
      <c r="D3284" t="inlineStr">
        <is>
          <t>Operation</t>
        </is>
      </c>
      <c r="E3284" t="inlineStr">
        <is>
          <t>PK Production</t>
        </is>
      </c>
      <c r="F3284" t="n">
        <v>7453</v>
      </c>
      <c r="G3284" t="inlineStr">
        <is>
          <t>t</t>
        </is>
      </c>
      <c r="I3284" t="inlineStr">
        <is>
          <t>Jumlah produksi PK 7.453</t>
        </is>
      </c>
      <c r="J3284" t="inlineStr">
        <is>
          <t>High</t>
        </is>
      </c>
      <c r="M3284" t="inlineStr">
        <is>
          <t>LLM</t>
        </is>
      </c>
      <c r="N3284" t="inlineStr">
        <is>
          <t>2026-04-19</t>
        </is>
      </c>
      <c r="O3284" t="inlineStr">
        <is>
          <t>AI</t>
        </is>
      </c>
    </row>
    <row r="3285">
      <c r="A3285" t="inlineStr">
        <is>
          <t>PT Menthobi Karyatama Raya Tbk</t>
        </is>
      </c>
      <c r="B3285" t="inlineStr">
        <is>
          <t>MKTR_2022_AR.pdf</t>
        </is>
      </c>
      <c r="C3285" t="n">
        <v>2022</v>
      </c>
      <c r="D3285" t="inlineStr">
        <is>
          <t>Operation</t>
        </is>
      </c>
      <c r="E3285" t="inlineStr">
        <is>
          <t>PK Sales Volume</t>
        </is>
      </c>
      <c r="F3285" t="n">
        <v>7332</v>
      </c>
      <c r="G3285" t="inlineStr">
        <is>
          <t>t</t>
        </is>
      </c>
      <c r="I3285" t="inlineStr">
        <is>
          <t>Volume Penjualan PK 7.332</t>
        </is>
      </c>
      <c r="J3285" t="inlineStr">
        <is>
          <t>High</t>
        </is>
      </c>
      <c r="M3285" t="inlineStr">
        <is>
          <t>LLM</t>
        </is>
      </c>
      <c r="N3285" t="inlineStr">
        <is>
          <t>2026-04-19</t>
        </is>
      </c>
      <c r="O3285" t="inlineStr">
        <is>
          <t>AI</t>
        </is>
      </c>
    </row>
    <row r="3286">
      <c r="A3286" t="inlineStr">
        <is>
          <t>PT Menthobi Karyatama Raya Tbk</t>
        </is>
      </c>
      <c r="B3286" t="inlineStr">
        <is>
          <t>MKTR_2022_AR.pdf</t>
        </is>
      </c>
      <c r="C3286" t="n">
        <v>2022</v>
      </c>
      <c r="D3286" t="inlineStr">
        <is>
          <t>Operation</t>
        </is>
      </c>
      <c r="E3286" t="inlineStr">
        <is>
          <t>Avg CPO Selling Price</t>
        </is>
      </c>
      <c r="F3286" t="n">
        <v>12739</v>
      </c>
      <c r="G3286" t="inlineStr">
        <is>
          <t>Rp/kg</t>
        </is>
      </c>
      <c r="I3286" t="inlineStr">
        <is>
          <t>Harga jual rata-rata CPO 12.739</t>
        </is>
      </c>
      <c r="J3286" t="inlineStr">
        <is>
          <t>High</t>
        </is>
      </c>
      <c r="M3286" t="inlineStr">
        <is>
          <t>LLM</t>
        </is>
      </c>
      <c r="N3286" t="inlineStr">
        <is>
          <t>2026-04-19</t>
        </is>
      </c>
      <c r="O3286" t="inlineStr">
        <is>
          <t>AI</t>
        </is>
      </c>
    </row>
    <row r="3287">
      <c r="A3287" t="inlineStr">
        <is>
          <t>PT Menthobi Karyatama Raya Tbk</t>
        </is>
      </c>
      <c r="B3287" t="inlineStr">
        <is>
          <t>MKTR_2022_AR.pdf</t>
        </is>
      </c>
      <c r="C3287" t="n">
        <v>2022</v>
      </c>
      <c r="D3287" t="inlineStr">
        <is>
          <t>Operation</t>
        </is>
      </c>
      <c r="E3287" t="inlineStr">
        <is>
          <t>Avg PK Selling Price</t>
        </is>
      </c>
      <c r="F3287" t="n">
        <v>8286</v>
      </c>
      <c r="G3287" t="inlineStr">
        <is>
          <t>Rp/kg</t>
        </is>
      </c>
      <c r="I3287" t="inlineStr">
        <is>
          <t>Harga jual rata-rata PK 8.286</t>
        </is>
      </c>
      <c r="J3287" t="inlineStr">
        <is>
          <t>High</t>
        </is>
      </c>
      <c r="M3287" t="inlineStr">
        <is>
          <t>LLM</t>
        </is>
      </c>
      <c r="N3287" t="inlineStr">
        <is>
          <t>2026-04-19</t>
        </is>
      </c>
      <c r="O3287" t="inlineStr">
        <is>
          <t>AI</t>
        </is>
      </c>
    </row>
    <row r="3288">
      <c r="A3288" t="inlineStr">
        <is>
          <t>PT Menthobi Karyatama Raya Tbk</t>
        </is>
      </c>
      <c r="B3288" t="inlineStr">
        <is>
          <t>MKTR_2022_AR.pdf</t>
        </is>
      </c>
      <c r="C3288" t="n">
        <v>2022</v>
      </c>
      <c r="D3288" t="inlineStr">
        <is>
          <t>Operation</t>
        </is>
      </c>
      <c r="E3288" t="inlineStr">
        <is>
          <t>OER Calculated</t>
        </is>
      </c>
      <c r="F3288" t="n">
        <v>0.2302</v>
      </c>
      <c r="G3288" t="inlineStr">
        <is>
          <t>%</t>
        </is>
      </c>
      <c r="I3288" t="inlineStr">
        <is>
          <t>Calculated: 43,729 / 189,912 = 23.02%</t>
        </is>
      </c>
      <c r="J3288" t="inlineStr">
        <is>
          <t>Medium</t>
        </is>
      </c>
      <c r="M3288" t="inlineStr">
        <is>
          <t>LLM</t>
        </is>
      </c>
      <c r="N3288" t="inlineStr">
        <is>
          <t>2026-04-19</t>
        </is>
      </c>
      <c r="O3288" t="inlineStr">
        <is>
          <t>AI</t>
        </is>
      </c>
    </row>
    <row r="3289">
      <c r="A3289" t="inlineStr">
        <is>
          <t>PT Menthobi Karyatama Raya Tbk</t>
        </is>
      </c>
      <c r="B3289" t="inlineStr">
        <is>
          <t>MKTR_2022_AR.pdf</t>
        </is>
      </c>
      <c r="C3289" t="n">
        <v>2022</v>
      </c>
      <c r="D3289" t="inlineStr">
        <is>
          <t>Operation</t>
        </is>
      </c>
      <c r="E3289" t="inlineStr">
        <is>
          <t>Domestic Sales 100%</t>
        </is>
      </c>
      <c r="F3289" t="n">
        <v>1</v>
      </c>
      <c r="G3289" t="inlineStr">
        <is>
          <t>%</t>
        </is>
      </c>
      <c r="I3289" t="inlineStr">
        <is>
          <t>Products targeted 100% domestic</t>
        </is>
      </c>
      <c r="J3289" t="inlineStr">
        <is>
          <t>High</t>
        </is>
      </c>
      <c r="M3289" t="inlineStr">
        <is>
          <t>LLM</t>
        </is>
      </c>
      <c r="N3289" t="inlineStr">
        <is>
          <t>2026-04-19</t>
        </is>
      </c>
      <c r="O3289" t="inlineStr">
        <is>
          <t>AI</t>
        </is>
      </c>
    </row>
    <row r="3290">
      <c r="A3290" t="inlineStr">
        <is>
          <t>PT Menthobi Karyatama Raya Tbk</t>
        </is>
      </c>
      <c r="B3290" t="inlineStr">
        <is>
          <t>MKTR_2023_AR.pdf</t>
        </is>
      </c>
      <c r="C3290" t="n">
        <v>2023</v>
      </c>
      <c r="D3290" t="inlineStr">
        <is>
          <t>Company</t>
        </is>
      </c>
      <c r="E3290" t="inlineStr">
        <is>
          <t>Company Name</t>
        </is>
      </c>
      <c r="F3290" t="inlineStr">
        <is>
          <t>PT Menthobi Karyatama Raya Tbk</t>
        </is>
      </c>
      <c r="G3290" t="inlineStr">
        <is>
          <t>text</t>
        </is>
      </c>
      <c r="H3290" t="n">
        <v>78</v>
      </c>
      <c r="I3290" t="inlineStr">
        <is>
          <t>PT Menthobi Karyatama Raya Tbk Stock Code MKTR</t>
        </is>
      </c>
      <c r="J3290" t="inlineStr">
        <is>
          <t>High</t>
        </is>
      </c>
      <c r="M3290" t="inlineStr">
        <is>
          <t>LLM</t>
        </is>
      </c>
      <c r="N3290" t="inlineStr">
        <is>
          <t>2026-04-19</t>
        </is>
      </c>
      <c r="O3290" t="inlineStr">
        <is>
          <t>AI</t>
        </is>
      </c>
    </row>
    <row r="3291">
      <c r="A3291" t="inlineStr">
        <is>
          <t>PT Menthobi Karyatama Raya Tbk</t>
        </is>
      </c>
      <c r="B3291" t="inlineStr">
        <is>
          <t>MKTR_2023_AR.pdf</t>
        </is>
      </c>
      <c r="C3291" t="n">
        <v>2023</v>
      </c>
      <c r="D3291" t="inlineStr">
        <is>
          <t>Company</t>
        </is>
      </c>
      <c r="E3291" t="inlineStr">
        <is>
          <t>HQ</t>
        </is>
      </c>
      <c r="F3291" t="inlineStr">
        <is>
          <t>Wisma Maktour Lt. 4, Jakarta Timur</t>
        </is>
      </c>
      <c r="G3291" t="inlineStr">
        <is>
          <t>text</t>
        </is>
      </c>
      <c r="H3291" t="n">
        <v>78</v>
      </c>
      <c r="I3291" t="inlineStr">
        <is>
          <t>Wisma Maktour Lantai 4, Jakarta Timur</t>
        </is>
      </c>
      <c r="J3291" t="inlineStr">
        <is>
          <t>High</t>
        </is>
      </c>
      <c r="M3291" t="inlineStr">
        <is>
          <t>LLM</t>
        </is>
      </c>
      <c r="N3291" t="inlineStr">
        <is>
          <t>2026-04-19</t>
        </is>
      </c>
      <c r="O3291" t="inlineStr">
        <is>
          <t>AI</t>
        </is>
      </c>
    </row>
    <row r="3292">
      <c r="A3292" t="inlineStr">
        <is>
          <t>PT Menthobi Karyatama Raya Tbk</t>
        </is>
      </c>
      <c r="B3292" t="inlineStr">
        <is>
          <t>MKTR_2023_AR.pdf</t>
        </is>
      </c>
      <c r="C3292" t="n">
        <v>2023</v>
      </c>
      <c r="D3292" t="inlineStr">
        <is>
          <t>Company</t>
        </is>
      </c>
      <c r="E3292" t="inlineStr">
        <is>
          <t>IPO Date</t>
        </is>
      </c>
      <c r="F3292" t="inlineStr">
        <is>
          <t>2022-11-08</t>
        </is>
      </c>
      <c r="G3292" t="inlineStr">
        <is>
          <t>date</t>
        </is>
      </c>
      <c r="H3292" t="n">
        <v>79</v>
      </c>
      <c r="I3292" t="inlineStr">
        <is>
          <t>tanggal 08 November 2022 dengan kode saham MKTR</t>
        </is>
      </c>
      <c r="J3292" t="inlineStr">
        <is>
          <t>High</t>
        </is>
      </c>
      <c r="M3292" t="inlineStr">
        <is>
          <t>LLM</t>
        </is>
      </c>
      <c r="N3292" t="inlineStr">
        <is>
          <t>2026-04-19</t>
        </is>
      </c>
      <c r="O3292" t="inlineStr">
        <is>
          <t>AI</t>
        </is>
      </c>
    </row>
    <row r="3293">
      <c r="A3293" t="inlineStr">
        <is>
          <t>PT Menthobi Karyatama Raya Tbk</t>
        </is>
      </c>
      <c r="B3293" t="inlineStr">
        <is>
          <t>MKTR_2023_AR.pdf</t>
        </is>
      </c>
      <c r="C3293" t="n">
        <v>2023</v>
      </c>
      <c r="D3293" t="inlineStr">
        <is>
          <t>Company</t>
        </is>
      </c>
      <c r="E3293" t="inlineStr">
        <is>
          <t>Shareholder per Dec 2023</t>
        </is>
      </c>
      <c r="F3293" t="inlineStr">
        <is>
          <t>Fuad Hasan ~68.75% + PT Maktour 7.82% + Public 23.31%</t>
        </is>
      </c>
      <c r="G3293" t="inlineStr">
        <is>
          <t>text</t>
        </is>
      </c>
      <c r="H3293" t="n">
        <v>79</v>
      </c>
      <c r="I3293" t="inlineStr">
        <is>
          <t>Per 31 Desember 2023 - PT Maktour Bangun Persada : 7,82%</t>
        </is>
      </c>
      <c r="J3293" t="inlineStr">
        <is>
          <t>High</t>
        </is>
      </c>
      <c r="M3293" t="inlineStr">
        <is>
          <t>LLM</t>
        </is>
      </c>
      <c r="N3293" t="inlineStr">
        <is>
          <t>2026-04-19</t>
        </is>
      </c>
      <c r="O3293" t="inlineStr">
        <is>
          <t>AI</t>
        </is>
      </c>
    </row>
    <row r="3294">
      <c r="A3294" t="inlineStr">
        <is>
          <t>PT Menthobi Karyatama Raya Tbk</t>
        </is>
      </c>
      <c r="B3294" t="inlineStr">
        <is>
          <t>MKTR_2023_AR.pdf</t>
        </is>
      </c>
      <c r="C3294" t="n">
        <v>2023</v>
      </c>
      <c r="D3294" t="inlineStr">
        <is>
          <t>Company</t>
        </is>
      </c>
      <c r="E3294" t="inlineStr">
        <is>
          <t>Total Employees</t>
        </is>
      </c>
      <c r="F3294" t="n">
        <v>1262</v>
      </c>
      <c r="G3294" t="inlineStr">
        <is>
          <t>count</t>
        </is>
      </c>
      <c r="I3294" t="inlineStr">
        <is>
          <t>Tahun 2023 : 1.262 orang (termasuk karyawan Entitas Anak) (from 2024 AR retrospective)</t>
        </is>
      </c>
      <c r="J3294" t="inlineStr">
        <is>
          <t>High</t>
        </is>
      </c>
      <c r="M3294" t="inlineStr">
        <is>
          <t>LLM</t>
        </is>
      </c>
      <c r="N3294" t="inlineStr">
        <is>
          <t>2026-04-19</t>
        </is>
      </c>
      <c r="O3294" t="inlineStr">
        <is>
          <t>AI</t>
        </is>
      </c>
    </row>
    <row r="3295">
      <c r="A3295" t="inlineStr">
        <is>
          <t>PT Menthobi Karyatama Raya Tbk</t>
        </is>
      </c>
      <c r="B3295" t="inlineStr">
        <is>
          <t>MKTR_2023_AR.pdf</t>
        </is>
      </c>
      <c r="C3295" t="n">
        <v>2023</v>
      </c>
      <c r="D3295" t="inlineStr">
        <is>
          <t>Financial</t>
        </is>
      </c>
      <c r="E3295" t="inlineStr">
        <is>
          <t>Revenue (Net)</t>
        </is>
      </c>
      <c r="F3295" t="n">
        <v>710.98</v>
      </c>
      <c r="G3295" t="inlineStr">
        <is>
          <t>IDR bn</t>
        </is>
      </c>
      <c r="H3295" t="n">
        <v>132</v>
      </c>
      <c r="I3295" t="inlineStr">
        <is>
          <t>Total Penjualan Neto 710.983.008 (thousand Rp)</t>
        </is>
      </c>
      <c r="J3295" t="inlineStr">
        <is>
          <t>High</t>
        </is>
      </c>
      <c r="M3295" t="inlineStr">
        <is>
          <t>LLM</t>
        </is>
      </c>
      <c r="N3295" t="inlineStr">
        <is>
          <t>2026-04-19</t>
        </is>
      </c>
      <c r="O3295" t="inlineStr">
        <is>
          <t>AI</t>
        </is>
      </c>
    </row>
    <row r="3296">
      <c r="A3296" t="inlineStr">
        <is>
          <t>PT Menthobi Karyatama Raya Tbk</t>
        </is>
      </c>
      <c r="B3296" t="inlineStr">
        <is>
          <t>MKTR_2023_AR.pdf</t>
        </is>
      </c>
      <c r="C3296" t="n">
        <v>2023</v>
      </c>
      <c r="D3296" t="inlineStr">
        <is>
          <t>Financial</t>
        </is>
      </c>
      <c r="E3296" t="inlineStr">
        <is>
          <t>Cost of Sales</t>
        </is>
      </c>
      <c r="F3296" t="n">
        <v>585.23</v>
      </c>
      <c r="G3296" t="inlineStr">
        <is>
          <t>IDR bn</t>
        </is>
      </c>
      <c r="I3296" t="inlineStr">
        <is>
          <t>Beban Pokok Penjualan (585.234.712) (from 2024 AR retrospective)</t>
        </is>
      </c>
      <c r="J3296" t="inlineStr">
        <is>
          <t>High</t>
        </is>
      </c>
      <c r="M3296" t="inlineStr">
        <is>
          <t>LLM</t>
        </is>
      </c>
      <c r="N3296" t="inlineStr">
        <is>
          <t>2026-04-19</t>
        </is>
      </c>
      <c r="O3296" t="inlineStr">
        <is>
          <t>AI</t>
        </is>
      </c>
    </row>
    <row r="3297">
      <c r="A3297" t="inlineStr">
        <is>
          <t>PT Menthobi Karyatama Raya Tbk</t>
        </is>
      </c>
      <c r="B3297" t="inlineStr">
        <is>
          <t>MKTR_2023_AR.pdf</t>
        </is>
      </c>
      <c r="C3297" t="n">
        <v>2023</v>
      </c>
      <c r="D3297" t="inlineStr">
        <is>
          <t>Financial</t>
        </is>
      </c>
      <c r="E3297" t="inlineStr">
        <is>
          <t>Gross Profit</t>
        </is>
      </c>
      <c r="F3297" t="n">
        <v>125.75</v>
      </c>
      <c r="G3297" t="inlineStr">
        <is>
          <t>IDR bn</t>
        </is>
      </c>
      <c r="H3297" t="n">
        <v>132</v>
      </c>
      <c r="I3297" t="inlineStr">
        <is>
          <t>Total Laba Bruto 125.748.296</t>
        </is>
      </c>
      <c r="J3297" t="inlineStr">
        <is>
          <t>High</t>
        </is>
      </c>
      <c r="M3297" t="inlineStr">
        <is>
          <t>LLM</t>
        </is>
      </c>
      <c r="N3297" t="inlineStr">
        <is>
          <t>2026-04-19</t>
        </is>
      </c>
      <c r="O3297" t="inlineStr">
        <is>
          <t>AI</t>
        </is>
      </c>
    </row>
    <row r="3298">
      <c r="A3298" t="inlineStr">
        <is>
          <t>PT Menthobi Karyatama Raya Tbk</t>
        </is>
      </c>
      <c r="B3298" t="inlineStr">
        <is>
          <t>MKTR_2023_AR.pdf</t>
        </is>
      </c>
      <c r="C3298" t="n">
        <v>2023</v>
      </c>
      <c r="D3298" t="inlineStr">
        <is>
          <t>Financial</t>
        </is>
      </c>
      <c r="E3298" t="inlineStr">
        <is>
          <t>Operating Expenses</t>
        </is>
      </c>
      <c r="F3298" t="n">
        <v>63.07</v>
      </c>
      <c r="G3298" t="inlineStr">
        <is>
          <t>IDR bn</t>
        </is>
      </c>
      <c r="I3298" t="inlineStr">
        <is>
          <t>Beban Usaha (63.069.238)</t>
        </is>
      </c>
      <c r="J3298" t="inlineStr">
        <is>
          <t>High</t>
        </is>
      </c>
      <c r="M3298" t="inlineStr">
        <is>
          <t>LLM</t>
        </is>
      </c>
      <c r="N3298" t="inlineStr">
        <is>
          <t>2026-04-19</t>
        </is>
      </c>
      <c r="O3298" t="inlineStr">
        <is>
          <t>AI</t>
        </is>
      </c>
    </row>
    <row r="3299">
      <c r="A3299" t="inlineStr">
        <is>
          <t>PT Menthobi Karyatama Raya Tbk</t>
        </is>
      </c>
      <c r="B3299" t="inlineStr">
        <is>
          <t>MKTR_2023_AR.pdf</t>
        </is>
      </c>
      <c r="C3299" t="n">
        <v>2023</v>
      </c>
      <c r="D3299" t="inlineStr">
        <is>
          <t>Financial</t>
        </is>
      </c>
      <c r="E3299" t="inlineStr">
        <is>
          <t>Operating Profit (EBIT)</t>
        </is>
      </c>
      <c r="F3299" t="n">
        <v>62.68</v>
      </c>
      <c r="G3299" t="inlineStr">
        <is>
          <t>IDR bn</t>
        </is>
      </c>
      <c r="I3299" t="inlineStr">
        <is>
          <t>Laba Usaha 62.679.058 (2024 AR retrospective)</t>
        </is>
      </c>
      <c r="J3299" t="inlineStr">
        <is>
          <t>High</t>
        </is>
      </c>
      <c r="M3299" t="inlineStr">
        <is>
          <t>LLM</t>
        </is>
      </c>
      <c r="N3299" t="inlineStr">
        <is>
          <t>2026-04-19</t>
        </is>
      </c>
      <c r="O3299" t="inlineStr">
        <is>
          <t>AI</t>
        </is>
      </c>
    </row>
    <row r="3300">
      <c r="A3300" t="inlineStr">
        <is>
          <t>PT Menthobi Karyatama Raya Tbk</t>
        </is>
      </c>
      <c r="B3300" t="inlineStr">
        <is>
          <t>MKTR_2023_AR.pdf</t>
        </is>
      </c>
      <c r="C3300" t="n">
        <v>2023</v>
      </c>
      <c r="D3300" t="inlineStr">
        <is>
          <t>Financial</t>
        </is>
      </c>
      <c r="E3300" t="inlineStr">
        <is>
          <t>Other Income (Expenses)</t>
        </is>
      </c>
      <c r="F3300" t="n">
        <v>7.08</v>
      </c>
      <c r="G3300" t="inlineStr">
        <is>
          <t>IDR bn</t>
        </is>
      </c>
      <c r="I3300" t="inlineStr">
        <is>
          <t>Penghasilan (Beban) Lain-lain 7.079.617</t>
        </is>
      </c>
      <c r="J3300" t="inlineStr">
        <is>
          <t>High</t>
        </is>
      </c>
      <c r="M3300" t="inlineStr">
        <is>
          <t>LLM</t>
        </is>
      </c>
      <c r="N3300" t="inlineStr">
        <is>
          <t>2026-04-19</t>
        </is>
      </c>
      <c r="O3300" t="inlineStr">
        <is>
          <t>AI</t>
        </is>
      </c>
    </row>
    <row r="3301">
      <c r="A3301" t="inlineStr">
        <is>
          <t>PT Menthobi Karyatama Raya Tbk</t>
        </is>
      </c>
      <c r="B3301" t="inlineStr">
        <is>
          <t>MKTR_2023_AR.pdf</t>
        </is>
      </c>
      <c r="C3301" t="n">
        <v>2023</v>
      </c>
      <c r="D3301" t="inlineStr">
        <is>
          <t>Financial</t>
        </is>
      </c>
      <c r="E3301" t="inlineStr">
        <is>
          <t>Profit Before Tax</t>
        </is>
      </c>
      <c r="F3301" t="n">
        <v>69.76000000000001</v>
      </c>
      <c r="G3301" t="inlineStr">
        <is>
          <t>IDR bn</t>
        </is>
      </c>
      <c r="I3301" t="inlineStr">
        <is>
          <t>Laba Sebelum Pajak 69.758.675</t>
        </is>
      </c>
      <c r="J3301" t="inlineStr">
        <is>
          <t>High</t>
        </is>
      </c>
      <c r="M3301" t="inlineStr">
        <is>
          <t>LLM</t>
        </is>
      </c>
      <c r="N3301" t="inlineStr">
        <is>
          <t>2026-04-19</t>
        </is>
      </c>
      <c r="O3301" t="inlineStr">
        <is>
          <t>AI</t>
        </is>
      </c>
    </row>
    <row r="3302">
      <c r="A3302" t="inlineStr">
        <is>
          <t>PT Menthobi Karyatama Raya Tbk</t>
        </is>
      </c>
      <c r="B3302" t="inlineStr">
        <is>
          <t>MKTR_2023_AR.pdf</t>
        </is>
      </c>
      <c r="C3302" t="n">
        <v>2023</v>
      </c>
      <c r="D3302" t="inlineStr">
        <is>
          <t>Financial</t>
        </is>
      </c>
      <c r="E3302" t="inlineStr">
        <is>
          <t>Net Profit</t>
        </is>
      </c>
      <c r="F3302" t="n">
        <v>51.38</v>
      </c>
      <c r="G3302" t="inlineStr">
        <is>
          <t>IDR bn</t>
        </is>
      </c>
      <c r="I3302" t="inlineStr">
        <is>
          <t>Laba Tahun Berjalan 51.375.410</t>
        </is>
      </c>
      <c r="J3302" t="inlineStr">
        <is>
          <t>High</t>
        </is>
      </c>
      <c r="M3302" t="inlineStr">
        <is>
          <t>LLM</t>
        </is>
      </c>
      <c r="N3302" t="inlineStr">
        <is>
          <t>2026-04-19</t>
        </is>
      </c>
      <c r="O3302" t="inlineStr">
        <is>
          <t>AI</t>
        </is>
      </c>
    </row>
    <row r="3303">
      <c r="A3303" t="inlineStr">
        <is>
          <t>PT Menthobi Karyatama Raya Tbk</t>
        </is>
      </c>
      <c r="B3303" t="inlineStr">
        <is>
          <t>MKTR_2023_AR.pdf</t>
        </is>
      </c>
      <c r="C3303" t="n">
        <v>2023</v>
      </c>
      <c r="D3303" t="inlineStr">
        <is>
          <t>Financial</t>
        </is>
      </c>
      <c r="E3303" t="inlineStr">
        <is>
          <t>Profit Attributable to Parent</t>
        </is>
      </c>
      <c r="F3303" t="n">
        <v>51.24</v>
      </c>
      <c r="G3303" t="inlineStr">
        <is>
          <t>IDR bn</t>
        </is>
      </c>
      <c r="I3303" t="inlineStr">
        <is>
          <t>Pemilik Entitas Induk 51.241.374</t>
        </is>
      </c>
      <c r="J3303" t="inlineStr">
        <is>
          <t>High</t>
        </is>
      </c>
      <c r="M3303" t="inlineStr">
        <is>
          <t>LLM</t>
        </is>
      </c>
      <c r="N3303" t="inlineStr">
        <is>
          <t>2026-04-19</t>
        </is>
      </c>
      <c r="O3303" t="inlineStr">
        <is>
          <t>AI</t>
        </is>
      </c>
    </row>
    <row r="3304">
      <c r="A3304" t="inlineStr">
        <is>
          <t>PT Menthobi Karyatama Raya Tbk</t>
        </is>
      </c>
      <c r="B3304" t="inlineStr">
        <is>
          <t>MKTR_2023_AR.pdf</t>
        </is>
      </c>
      <c r="C3304" t="n">
        <v>2023</v>
      </c>
      <c r="D3304" t="inlineStr">
        <is>
          <t>Financial</t>
        </is>
      </c>
      <c r="E3304" t="inlineStr">
        <is>
          <t>Total Assets</t>
        </is>
      </c>
      <c r="F3304" t="n">
        <v>1331.79</v>
      </c>
      <c r="G3304" t="inlineStr">
        <is>
          <t>IDR bn</t>
        </is>
      </c>
      <c r="I3304" t="inlineStr">
        <is>
          <t>Total Assets 1.331.794.557</t>
        </is>
      </c>
      <c r="J3304" t="inlineStr">
        <is>
          <t>High</t>
        </is>
      </c>
      <c r="M3304" t="inlineStr">
        <is>
          <t>LLM</t>
        </is>
      </c>
      <c r="N3304" t="inlineStr">
        <is>
          <t>2026-04-19</t>
        </is>
      </c>
      <c r="O3304" t="inlineStr">
        <is>
          <t>AI</t>
        </is>
      </c>
    </row>
    <row r="3305">
      <c r="A3305" t="inlineStr">
        <is>
          <t>PT Menthobi Karyatama Raya Tbk</t>
        </is>
      </c>
      <c r="B3305" t="inlineStr">
        <is>
          <t>MKTR_2023_AR.pdf</t>
        </is>
      </c>
      <c r="C3305" t="n">
        <v>2023</v>
      </c>
      <c r="D3305" t="inlineStr">
        <is>
          <t>Financial</t>
        </is>
      </c>
      <c r="E3305" t="inlineStr">
        <is>
          <t>Current Assets</t>
        </is>
      </c>
      <c r="F3305" t="n">
        <v>538.02</v>
      </c>
      <c r="G3305" t="inlineStr">
        <is>
          <t>IDR bn</t>
        </is>
      </c>
      <c r="I3305" t="inlineStr">
        <is>
          <t>Aset Lancar 538.016.466</t>
        </is>
      </c>
      <c r="J3305" t="inlineStr">
        <is>
          <t>High</t>
        </is>
      </c>
      <c r="M3305" t="inlineStr">
        <is>
          <t>LLM</t>
        </is>
      </c>
      <c r="N3305" t="inlineStr">
        <is>
          <t>2026-04-19</t>
        </is>
      </c>
      <c r="O3305" t="inlineStr">
        <is>
          <t>AI</t>
        </is>
      </c>
    </row>
    <row r="3306">
      <c r="A3306" t="inlineStr">
        <is>
          <t>PT Menthobi Karyatama Raya Tbk</t>
        </is>
      </c>
      <c r="B3306" t="inlineStr">
        <is>
          <t>MKTR_2023_AR.pdf</t>
        </is>
      </c>
      <c r="C3306" t="n">
        <v>2023</v>
      </c>
      <c r="D3306" t="inlineStr">
        <is>
          <t>Financial</t>
        </is>
      </c>
      <c r="E3306" t="inlineStr">
        <is>
          <t>Non-Current Assets</t>
        </is>
      </c>
      <c r="F3306" t="n">
        <v>793.78</v>
      </c>
      <c r="G3306" t="inlineStr">
        <is>
          <t>IDR bn</t>
        </is>
      </c>
      <c r="I3306" t="inlineStr">
        <is>
          <t>Aset Tidak Lancar 793.778.091</t>
        </is>
      </c>
      <c r="J3306" t="inlineStr">
        <is>
          <t>High</t>
        </is>
      </c>
      <c r="M3306" t="inlineStr">
        <is>
          <t>LLM</t>
        </is>
      </c>
      <c r="N3306" t="inlineStr">
        <is>
          <t>2026-04-19</t>
        </is>
      </c>
      <c r="O3306" t="inlineStr">
        <is>
          <t>AI</t>
        </is>
      </c>
    </row>
    <row r="3307">
      <c r="A3307" t="inlineStr">
        <is>
          <t>PT Menthobi Karyatama Raya Tbk</t>
        </is>
      </c>
      <c r="B3307" t="inlineStr">
        <is>
          <t>MKTR_2023_AR.pdf</t>
        </is>
      </c>
      <c r="C3307" t="n">
        <v>2023</v>
      </c>
      <c r="D3307" t="inlineStr">
        <is>
          <t>Financial</t>
        </is>
      </c>
      <c r="E3307" t="inlineStr">
        <is>
          <t>Total Liabilities</t>
        </is>
      </c>
      <c r="F3307" t="n">
        <v>747.3200000000001</v>
      </c>
      <c r="G3307" t="inlineStr">
        <is>
          <t>IDR bn</t>
        </is>
      </c>
      <c r="I3307" t="inlineStr">
        <is>
          <t>Total Liabilities 747.318.549</t>
        </is>
      </c>
      <c r="J3307" t="inlineStr">
        <is>
          <t>High</t>
        </is>
      </c>
      <c r="M3307" t="inlineStr">
        <is>
          <t>LLM</t>
        </is>
      </c>
      <c r="N3307" t="inlineStr">
        <is>
          <t>2026-04-19</t>
        </is>
      </c>
      <c r="O3307" t="inlineStr">
        <is>
          <t>AI</t>
        </is>
      </c>
    </row>
    <row r="3308">
      <c r="A3308" t="inlineStr">
        <is>
          <t>PT Menthobi Karyatama Raya Tbk</t>
        </is>
      </c>
      <c r="B3308" t="inlineStr">
        <is>
          <t>MKTR_2023_AR.pdf</t>
        </is>
      </c>
      <c r="C3308" t="n">
        <v>2023</v>
      </c>
      <c r="D3308" t="inlineStr">
        <is>
          <t>Financial</t>
        </is>
      </c>
      <c r="E3308" t="inlineStr">
        <is>
          <t>Current Liabilities</t>
        </is>
      </c>
      <c r="F3308" t="n">
        <v>166.15</v>
      </c>
      <c r="G3308" t="inlineStr">
        <is>
          <t>IDR bn</t>
        </is>
      </c>
      <c r="I3308" t="inlineStr">
        <is>
          <t>Liabilitas Jangka Pendek 166.153.040</t>
        </is>
      </c>
      <c r="J3308" t="inlineStr">
        <is>
          <t>High</t>
        </is>
      </c>
      <c r="M3308" t="inlineStr">
        <is>
          <t>LLM</t>
        </is>
      </c>
      <c r="N3308" t="inlineStr">
        <is>
          <t>2026-04-19</t>
        </is>
      </c>
      <c r="O3308" t="inlineStr">
        <is>
          <t>AI</t>
        </is>
      </c>
    </row>
    <row r="3309">
      <c r="A3309" t="inlineStr">
        <is>
          <t>PT Menthobi Karyatama Raya Tbk</t>
        </is>
      </c>
      <c r="B3309" t="inlineStr">
        <is>
          <t>MKTR_2023_AR.pdf</t>
        </is>
      </c>
      <c r="C3309" t="n">
        <v>2023</v>
      </c>
      <c r="D3309" t="inlineStr">
        <is>
          <t>Financial</t>
        </is>
      </c>
      <c r="E3309" t="inlineStr">
        <is>
          <t>Non-Current Liabilities</t>
        </is>
      </c>
      <c r="F3309" t="n">
        <v>581.17</v>
      </c>
      <c r="G3309" t="inlineStr">
        <is>
          <t>IDR bn</t>
        </is>
      </c>
      <c r="I3309" t="inlineStr">
        <is>
          <t>Liabilitas Jangka Panjang 581.165.509</t>
        </is>
      </c>
      <c r="J3309" t="inlineStr">
        <is>
          <t>High</t>
        </is>
      </c>
      <c r="M3309" t="inlineStr">
        <is>
          <t>LLM</t>
        </is>
      </c>
      <c r="N3309" t="inlineStr">
        <is>
          <t>2026-04-19</t>
        </is>
      </c>
      <c r="O3309" t="inlineStr">
        <is>
          <t>AI</t>
        </is>
      </c>
    </row>
    <row r="3310">
      <c r="A3310" t="inlineStr">
        <is>
          <t>PT Menthobi Karyatama Raya Tbk</t>
        </is>
      </c>
      <c r="B3310" t="inlineStr">
        <is>
          <t>MKTR_2023_AR.pdf</t>
        </is>
      </c>
      <c r="C3310" t="n">
        <v>2023</v>
      </c>
      <c r="D3310" t="inlineStr">
        <is>
          <t>Financial</t>
        </is>
      </c>
      <c r="E3310" t="inlineStr">
        <is>
          <t>Total Equity</t>
        </is>
      </c>
      <c r="F3310" t="n">
        <v>584.48</v>
      </c>
      <c r="G3310" t="inlineStr">
        <is>
          <t>IDR bn</t>
        </is>
      </c>
      <c r="I3310" t="inlineStr">
        <is>
          <t>Jumlah Ekuitas 584.476.008</t>
        </is>
      </c>
      <c r="J3310" t="inlineStr">
        <is>
          <t>High</t>
        </is>
      </c>
      <c r="M3310" t="inlineStr">
        <is>
          <t>LLM</t>
        </is>
      </c>
      <c r="N3310" t="inlineStr">
        <is>
          <t>2026-04-19</t>
        </is>
      </c>
      <c r="O3310" t="inlineStr">
        <is>
          <t>AI</t>
        </is>
      </c>
    </row>
    <row r="3311">
      <c r="A3311" t="inlineStr">
        <is>
          <t>PT Menthobi Karyatama Raya Tbk</t>
        </is>
      </c>
      <c r="B3311" t="inlineStr">
        <is>
          <t>MKTR_2023_AR.pdf</t>
        </is>
      </c>
      <c r="C3311" t="n">
        <v>2023</v>
      </c>
      <c r="D3311" t="inlineStr">
        <is>
          <t>Financial</t>
        </is>
      </c>
      <c r="E3311" t="inlineStr">
        <is>
          <t>Equity Parent</t>
        </is>
      </c>
      <c r="F3311" t="n">
        <v>582.98</v>
      </c>
      <c r="G3311" t="inlineStr">
        <is>
          <t>IDR bn</t>
        </is>
      </c>
      <c r="I3311" t="inlineStr">
        <is>
          <t>Pemilik Entitas Induk 582.984.665</t>
        </is>
      </c>
      <c r="J3311" t="inlineStr">
        <is>
          <t>High</t>
        </is>
      </c>
      <c r="M3311" t="inlineStr">
        <is>
          <t>LLM</t>
        </is>
      </c>
      <c r="N3311" t="inlineStr">
        <is>
          <t>2026-04-19</t>
        </is>
      </c>
      <c r="O3311" t="inlineStr">
        <is>
          <t>AI</t>
        </is>
      </c>
    </row>
    <row r="3312">
      <c r="A3312" t="inlineStr">
        <is>
          <t>PT Menthobi Karyatama Raya Tbk</t>
        </is>
      </c>
      <c r="B3312" t="inlineStr">
        <is>
          <t>MKTR_2023_AR.pdf</t>
        </is>
      </c>
      <c r="C3312" t="n">
        <v>2023</v>
      </c>
      <c r="D3312" t="inlineStr">
        <is>
          <t>Financial</t>
        </is>
      </c>
      <c r="E3312" t="inlineStr">
        <is>
          <t>Cash and Banks (end 2023)</t>
        </is>
      </c>
      <c r="F3312" t="n">
        <v>188.24</v>
      </c>
      <c r="G3312" t="inlineStr">
        <is>
          <t>IDR bn</t>
        </is>
      </c>
      <c r="H3312" t="n">
        <v>142</v>
      </c>
      <c r="I3312" t="inlineStr">
        <is>
          <t>Kas dan Bank Pada Akhir Tahun 188.243.798</t>
        </is>
      </c>
      <c r="J3312" t="inlineStr">
        <is>
          <t>High</t>
        </is>
      </c>
      <c r="M3312" t="inlineStr">
        <is>
          <t>LLM</t>
        </is>
      </c>
      <c r="N3312" t="inlineStr">
        <is>
          <t>2026-04-19</t>
        </is>
      </c>
      <c r="O3312" t="inlineStr">
        <is>
          <t>AI</t>
        </is>
      </c>
    </row>
    <row r="3313">
      <c r="A3313" t="inlineStr">
        <is>
          <t>PT Menthobi Karyatama Raya Tbk</t>
        </is>
      </c>
      <c r="B3313" t="inlineStr">
        <is>
          <t>MKTR_2023_AR.pdf</t>
        </is>
      </c>
      <c r="C3313" t="n">
        <v>2023</v>
      </c>
      <c r="D3313" t="inlineStr">
        <is>
          <t>Financial</t>
        </is>
      </c>
      <c r="E3313" t="inlineStr">
        <is>
          <t>Short-term Bank Loans</t>
        </is>
      </c>
      <c r="F3313" t="n">
        <v>27.99</v>
      </c>
      <c r="G3313" t="inlineStr">
        <is>
          <t>IDR bn</t>
        </is>
      </c>
      <c r="I3313" t="inlineStr">
        <is>
          <t>Pinjaman bank jangka pendek 27.990.000 (2024 AR retrospective)</t>
        </is>
      </c>
      <c r="J3313" t="inlineStr">
        <is>
          <t>High</t>
        </is>
      </c>
      <c r="M3313" t="inlineStr">
        <is>
          <t>LLM</t>
        </is>
      </c>
      <c r="N3313" t="inlineStr">
        <is>
          <t>2026-04-19</t>
        </is>
      </c>
      <c r="O3313" t="inlineStr">
        <is>
          <t>AI</t>
        </is>
      </c>
    </row>
    <row r="3314">
      <c r="A3314" t="inlineStr">
        <is>
          <t>PT Menthobi Karyatama Raya Tbk</t>
        </is>
      </c>
      <c r="B3314" t="inlineStr">
        <is>
          <t>MKTR_2023_AR.pdf</t>
        </is>
      </c>
      <c r="C3314" t="n">
        <v>2023</v>
      </c>
      <c r="D3314" t="inlineStr">
        <is>
          <t>Financial</t>
        </is>
      </c>
      <c r="E3314" t="inlineStr">
        <is>
          <t>Current portion LT Bank Loans</t>
        </is>
      </c>
      <c r="F3314" t="n">
        <v>63.07</v>
      </c>
      <c r="G3314" t="inlineStr">
        <is>
          <t>IDR bn</t>
        </is>
      </c>
      <c r="I3314" t="inlineStr">
        <is>
          <t>Pinjaman bank (current) 63.074.000</t>
        </is>
      </c>
      <c r="J3314" t="inlineStr">
        <is>
          <t>High</t>
        </is>
      </c>
      <c r="M3314" t="inlineStr">
        <is>
          <t>LLM</t>
        </is>
      </c>
      <c r="N3314" t="inlineStr">
        <is>
          <t>2026-04-19</t>
        </is>
      </c>
      <c r="O3314" t="inlineStr">
        <is>
          <t>AI</t>
        </is>
      </c>
    </row>
    <row r="3315">
      <c r="A3315" t="inlineStr">
        <is>
          <t>PT Menthobi Karyatama Raya Tbk</t>
        </is>
      </c>
      <c r="B3315" t="inlineStr">
        <is>
          <t>MKTR_2023_AR.pdf</t>
        </is>
      </c>
      <c r="C3315" t="n">
        <v>2023</v>
      </c>
      <c r="D3315" t="inlineStr">
        <is>
          <t>Financial</t>
        </is>
      </c>
      <c r="E3315" t="inlineStr">
        <is>
          <t>Long-term Bank Loans</t>
        </is>
      </c>
      <c r="F3315" t="n">
        <v>571.78</v>
      </c>
      <c r="G3315" t="inlineStr">
        <is>
          <t>IDR bn</t>
        </is>
      </c>
      <c r="I3315" t="inlineStr">
        <is>
          <t>Pinjaman bank 571.776.500</t>
        </is>
      </c>
      <c r="J3315" t="inlineStr">
        <is>
          <t>High</t>
        </is>
      </c>
      <c r="M3315" t="inlineStr">
        <is>
          <t>LLM</t>
        </is>
      </c>
      <c r="N3315" t="inlineStr">
        <is>
          <t>2026-04-19</t>
        </is>
      </c>
      <c r="O3315" t="inlineStr">
        <is>
          <t>AI</t>
        </is>
      </c>
    </row>
    <row r="3316">
      <c r="A3316" t="inlineStr">
        <is>
          <t>PT Menthobi Karyatama Raya Tbk</t>
        </is>
      </c>
      <c r="B3316" t="inlineStr">
        <is>
          <t>MKTR_2023_AR.pdf</t>
        </is>
      </c>
      <c r="C3316" t="n">
        <v>2023</v>
      </c>
      <c r="D3316" t="inlineStr">
        <is>
          <t>Financial</t>
        </is>
      </c>
      <c r="E3316" t="inlineStr">
        <is>
          <t>Gross Debt</t>
        </is>
      </c>
      <c r="F3316" t="n">
        <v>662.84</v>
      </c>
      <c r="G3316" t="inlineStr">
        <is>
          <t>IDR bn</t>
        </is>
      </c>
      <c r="I3316" t="inlineStr">
        <is>
          <t>Calculated: 27.99 + 63.07 + 571.78 = 662.84</t>
        </is>
      </c>
      <c r="J3316" t="inlineStr">
        <is>
          <t>High</t>
        </is>
      </c>
      <c r="M3316" t="inlineStr">
        <is>
          <t>LLM</t>
        </is>
      </c>
      <c r="N3316" t="inlineStr">
        <is>
          <t>2026-04-19</t>
        </is>
      </c>
      <c r="O3316" t="inlineStr">
        <is>
          <t>AI</t>
        </is>
      </c>
    </row>
    <row r="3317">
      <c r="A3317" t="inlineStr">
        <is>
          <t>PT Menthobi Karyatama Raya Tbk</t>
        </is>
      </c>
      <c r="B3317" t="inlineStr">
        <is>
          <t>MKTR_2023_AR.pdf</t>
        </is>
      </c>
      <c r="C3317" t="n">
        <v>2023</v>
      </c>
      <c r="D3317" t="inlineStr">
        <is>
          <t>Financial</t>
        </is>
      </c>
      <c r="E3317" t="inlineStr">
        <is>
          <t>CFO</t>
        </is>
      </c>
      <c r="F3317" t="n">
        <v>16.58</v>
      </c>
      <c r="G3317" t="inlineStr">
        <is>
          <t>IDR bn</t>
        </is>
      </c>
      <c r="H3317" t="n">
        <v>142</v>
      </c>
      <c r="I3317" t="inlineStr">
        <is>
          <t>Arus kas bersih dari aktivitas operasi 16.580.700</t>
        </is>
      </c>
      <c r="J3317" t="inlineStr">
        <is>
          <t>High</t>
        </is>
      </c>
      <c r="M3317" t="inlineStr">
        <is>
          <t>LLM</t>
        </is>
      </c>
      <c r="N3317" t="inlineStr">
        <is>
          <t>2026-04-19</t>
        </is>
      </c>
      <c r="O3317" t="inlineStr">
        <is>
          <t>AI</t>
        </is>
      </c>
    </row>
    <row r="3318">
      <c r="A3318" t="inlineStr">
        <is>
          <t>PT Menthobi Karyatama Raya Tbk</t>
        </is>
      </c>
      <c r="B3318" t="inlineStr">
        <is>
          <t>MKTR_2023_AR.pdf</t>
        </is>
      </c>
      <c r="C3318" t="n">
        <v>2023</v>
      </c>
      <c r="D3318" t="inlineStr">
        <is>
          <t>Financial</t>
        </is>
      </c>
      <c r="E3318" t="inlineStr">
        <is>
          <t>CFI</t>
        </is>
      </c>
      <c r="F3318" t="n">
        <v>-328.31</v>
      </c>
      <c r="G3318" t="inlineStr">
        <is>
          <t>IDR bn</t>
        </is>
      </c>
      <c r="H3318" t="n">
        <v>142</v>
      </c>
      <c r="I3318" t="inlineStr">
        <is>
          <t>Arus kas bersih untuk aktivitas investasi (328.312.578)</t>
        </is>
      </c>
      <c r="J3318" t="inlineStr">
        <is>
          <t>High</t>
        </is>
      </c>
      <c r="M3318" t="inlineStr">
        <is>
          <t>LLM</t>
        </is>
      </c>
      <c r="N3318" t="inlineStr">
        <is>
          <t>2026-04-19</t>
        </is>
      </c>
      <c r="O3318" t="inlineStr">
        <is>
          <t>AI</t>
        </is>
      </c>
    </row>
    <row r="3319">
      <c r="A3319" t="inlineStr">
        <is>
          <t>PT Menthobi Karyatama Raya Tbk</t>
        </is>
      </c>
      <c r="B3319" t="inlineStr">
        <is>
          <t>MKTR_2023_AR.pdf</t>
        </is>
      </c>
      <c r="C3319" t="n">
        <v>2023</v>
      </c>
      <c r="D3319" t="inlineStr">
        <is>
          <t>Financial</t>
        </is>
      </c>
      <c r="E3319" t="inlineStr">
        <is>
          <t>CFF</t>
        </is>
      </c>
      <c r="F3319" t="n">
        <v>196.3</v>
      </c>
      <c r="G3319" t="inlineStr">
        <is>
          <t>IDR bn</t>
        </is>
      </c>
      <c r="H3319" t="n">
        <v>142</v>
      </c>
      <c r="I3319" t="inlineStr">
        <is>
          <t>Arus kas bersih dari aktivitas pendanaan 196.300.793</t>
        </is>
      </c>
      <c r="J3319" t="inlineStr">
        <is>
          <t>High</t>
        </is>
      </c>
      <c r="M3319" t="inlineStr">
        <is>
          <t>LLM</t>
        </is>
      </c>
      <c r="N3319" t="inlineStr">
        <is>
          <t>2026-04-19</t>
        </is>
      </c>
      <c r="O3319" t="inlineStr">
        <is>
          <t>AI</t>
        </is>
      </c>
    </row>
    <row r="3320">
      <c r="A3320" t="inlineStr">
        <is>
          <t>PT Menthobi Karyatama Raya Tbk</t>
        </is>
      </c>
      <c r="B3320" t="inlineStr">
        <is>
          <t>MKTR_2023_AR.pdf</t>
        </is>
      </c>
      <c r="C3320" t="n">
        <v>2023</v>
      </c>
      <c r="D3320" t="inlineStr">
        <is>
          <t>Financial</t>
        </is>
      </c>
      <c r="E3320" t="inlineStr">
        <is>
          <t>EPS Basic</t>
        </is>
      </c>
      <c r="F3320" t="n">
        <v>4.27</v>
      </c>
      <c r="G3320" t="inlineStr">
        <is>
          <t>Rp/share</t>
        </is>
      </c>
      <c r="I3320" t="inlineStr">
        <is>
          <t>laba per saham dasar di tahun 2023 sebesar Rp4,27 (nilai penuh)</t>
        </is>
      </c>
      <c r="J3320" t="inlineStr">
        <is>
          <t>High</t>
        </is>
      </c>
      <c r="M3320" t="inlineStr">
        <is>
          <t>LLM</t>
        </is>
      </c>
      <c r="N3320" t="inlineStr">
        <is>
          <t>2026-04-19</t>
        </is>
      </c>
      <c r="O3320" t="inlineStr">
        <is>
          <t>AI</t>
        </is>
      </c>
    </row>
    <row r="3321">
      <c r="A3321" t="inlineStr">
        <is>
          <t>PT Menthobi Karyatama Raya Tbk</t>
        </is>
      </c>
      <c r="B3321" t="inlineStr">
        <is>
          <t>MKTR_2023_AR.pdf</t>
        </is>
      </c>
      <c r="C3321" t="n">
        <v>2023</v>
      </c>
      <c r="D3321" t="inlineStr">
        <is>
          <t>Financial</t>
        </is>
      </c>
      <c r="E3321" t="inlineStr">
        <is>
          <t>Shares Outstanding (end 2023)</t>
        </is>
      </c>
      <c r="F3321" t="n">
        <v>12000119802</v>
      </c>
      <c r="G3321" t="inlineStr">
        <is>
          <t>shares</t>
        </is>
      </c>
      <c r="I3321" t="inlineStr">
        <is>
          <t>12.000.119.802 (December 2023 row from 2023 AR)</t>
        </is>
      </c>
      <c r="J3321" t="inlineStr">
        <is>
          <t>High</t>
        </is>
      </c>
      <c r="M3321" t="inlineStr">
        <is>
          <t>LLM</t>
        </is>
      </c>
      <c r="N3321" t="inlineStr">
        <is>
          <t>2026-04-19</t>
        </is>
      </c>
      <c r="O3321" t="inlineStr">
        <is>
          <t>AI</t>
        </is>
      </c>
    </row>
    <row r="3322">
      <c r="A3322" t="inlineStr">
        <is>
          <t>PT Menthobi Karyatama Raya Tbk</t>
        </is>
      </c>
      <c r="B3322" t="inlineStr">
        <is>
          <t>MKTR_2023_AR.pdf</t>
        </is>
      </c>
      <c r="C3322" t="n">
        <v>2023</v>
      </c>
      <c r="D3322" t="inlineStr">
        <is>
          <t>Financial</t>
        </is>
      </c>
      <c r="E3322" t="inlineStr">
        <is>
          <t>Closing Price (Dec 2023)</t>
        </is>
      </c>
      <c r="F3322" t="n">
        <v>150</v>
      </c>
      <c r="G3322" t="inlineStr">
        <is>
          <t>Rp/share</t>
        </is>
      </c>
      <c r="I3322" t="inlineStr">
        <is>
          <t>Desember 134 196 125 150 (2023 close)</t>
        </is>
      </c>
      <c r="J3322" t="inlineStr">
        <is>
          <t>High</t>
        </is>
      </c>
      <c r="M3322" t="inlineStr">
        <is>
          <t>LLM</t>
        </is>
      </c>
      <c r="N3322" t="inlineStr">
        <is>
          <t>2026-04-19</t>
        </is>
      </c>
      <c r="O3322" t="inlineStr">
        <is>
          <t>AI</t>
        </is>
      </c>
    </row>
    <row r="3323">
      <c r="A3323" t="inlineStr">
        <is>
          <t>PT Menthobi Karyatama Raya Tbk</t>
        </is>
      </c>
      <c r="B3323" t="inlineStr">
        <is>
          <t>MKTR_2023_AR.pdf</t>
        </is>
      </c>
      <c r="C3323" t="n">
        <v>2023</v>
      </c>
      <c r="D3323" t="inlineStr">
        <is>
          <t>Financial</t>
        </is>
      </c>
      <c r="E3323" t="inlineStr">
        <is>
          <t>Current Ratio</t>
        </is>
      </c>
      <c r="F3323" t="n">
        <v>323.81</v>
      </c>
      <c r="G3323" t="inlineStr">
        <is>
          <t>%</t>
        </is>
      </c>
      <c r="I3323" t="inlineStr">
        <is>
          <t>Rasio Lancar 323,81</t>
        </is>
      </c>
      <c r="J3323" t="inlineStr">
        <is>
          <t>High</t>
        </is>
      </c>
      <c r="M3323" t="inlineStr">
        <is>
          <t>LLM</t>
        </is>
      </c>
      <c r="N3323" t="inlineStr">
        <is>
          <t>2026-04-19</t>
        </is>
      </c>
      <c r="O3323" t="inlineStr">
        <is>
          <t>AI</t>
        </is>
      </c>
    </row>
    <row r="3324">
      <c r="A3324" t="inlineStr">
        <is>
          <t>PT Menthobi Karyatama Raya Tbk</t>
        </is>
      </c>
      <c r="B3324" t="inlineStr">
        <is>
          <t>MKTR_2023_AR.pdf</t>
        </is>
      </c>
      <c r="C3324" t="n">
        <v>2023</v>
      </c>
      <c r="D3324" t="inlineStr">
        <is>
          <t>Financial</t>
        </is>
      </c>
      <c r="E3324" t="inlineStr">
        <is>
          <t>Debt to Equity</t>
        </is>
      </c>
      <c r="F3324" t="n">
        <v>127.86</v>
      </c>
      <c r="G3324" t="inlineStr">
        <is>
          <t>%</t>
        </is>
      </c>
      <c r="I3324" t="inlineStr">
        <is>
          <t>Jumlah Liabilitas / Jumlah Ekuitas 127,86</t>
        </is>
      </c>
      <c r="J3324" t="inlineStr">
        <is>
          <t>High</t>
        </is>
      </c>
      <c r="M3324" t="inlineStr">
        <is>
          <t>LLM</t>
        </is>
      </c>
      <c r="N3324" t="inlineStr">
        <is>
          <t>2026-04-19</t>
        </is>
      </c>
      <c r="O3324" t="inlineStr">
        <is>
          <t>AI</t>
        </is>
      </c>
    </row>
    <row r="3325">
      <c r="A3325" t="inlineStr">
        <is>
          <t>PT Menthobi Karyatama Raya Tbk</t>
        </is>
      </c>
      <c r="B3325" t="inlineStr">
        <is>
          <t>MKTR_2023_AR.pdf</t>
        </is>
      </c>
      <c r="C3325" t="n">
        <v>2023</v>
      </c>
      <c r="D3325" t="inlineStr">
        <is>
          <t>Financial</t>
        </is>
      </c>
      <c r="E3325" t="inlineStr">
        <is>
          <t>ROA</t>
        </is>
      </c>
      <c r="F3325" t="n">
        <v>3.86</v>
      </c>
      <c r="G3325" t="inlineStr">
        <is>
          <t>%</t>
        </is>
      </c>
      <c r="I3325" t="inlineStr">
        <is>
          <t>Return on Asset (ROA) 3,86</t>
        </is>
      </c>
      <c r="J3325" t="inlineStr">
        <is>
          <t>High</t>
        </is>
      </c>
      <c r="M3325" t="inlineStr">
        <is>
          <t>LLM</t>
        </is>
      </c>
      <c r="N3325" t="inlineStr">
        <is>
          <t>2026-04-19</t>
        </is>
      </c>
      <c r="O3325" t="inlineStr">
        <is>
          <t>AI</t>
        </is>
      </c>
    </row>
    <row r="3326">
      <c r="A3326" t="inlineStr">
        <is>
          <t>PT Menthobi Karyatama Raya Tbk</t>
        </is>
      </c>
      <c r="B3326" t="inlineStr">
        <is>
          <t>MKTR_2023_AR.pdf</t>
        </is>
      </c>
      <c r="C3326" t="n">
        <v>2023</v>
      </c>
      <c r="D3326" t="inlineStr">
        <is>
          <t>Financial</t>
        </is>
      </c>
      <c r="E3326" t="inlineStr">
        <is>
          <t>ROE</t>
        </is>
      </c>
      <c r="F3326" t="n">
        <v>8.789999999999999</v>
      </c>
      <c r="G3326" t="inlineStr">
        <is>
          <t>%</t>
        </is>
      </c>
      <c r="I3326" t="inlineStr">
        <is>
          <t>Return on Equity (ROE) 8,79</t>
        </is>
      </c>
      <c r="J3326" t="inlineStr">
        <is>
          <t>High</t>
        </is>
      </c>
      <c r="M3326" t="inlineStr">
        <is>
          <t>LLM</t>
        </is>
      </c>
      <c r="N3326" t="inlineStr">
        <is>
          <t>2026-04-19</t>
        </is>
      </c>
      <c r="O3326" t="inlineStr">
        <is>
          <t>AI</t>
        </is>
      </c>
    </row>
    <row r="3327">
      <c r="A3327" t="inlineStr">
        <is>
          <t>PT Menthobi Karyatama Raya Tbk</t>
        </is>
      </c>
      <c r="B3327" t="inlineStr">
        <is>
          <t>MKTR_2023_AR.pdf</t>
        </is>
      </c>
      <c r="C3327" t="n">
        <v>2023</v>
      </c>
      <c r="D3327" t="inlineStr">
        <is>
          <t>Financial</t>
        </is>
      </c>
      <c r="E3327" t="inlineStr">
        <is>
          <t>CPO Sales Revenue</t>
        </is>
      </c>
      <c r="F3327" t="n">
        <v>652.86</v>
      </c>
      <c r="G3327" t="inlineStr">
        <is>
          <t>IDR bn</t>
        </is>
      </c>
      <c r="H3327" t="n">
        <v>132</v>
      </c>
      <c r="I3327" t="inlineStr">
        <is>
          <t>Minyak Kelapa Sawit 652.864.466</t>
        </is>
      </c>
      <c r="J3327" t="inlineStr">
        <is>
          <t>High</t>
        </is>
      </c>
      <c r="M3327" t="inlineStr">
        <is>
          <t>LLM</t>
        </is>
      </c>
      <c r="N3327" t="inlineStr">
        <is>
          <t>2026-04-19</t>
        </is>
      </c>
      <c r="O3327" t="inlineStr">
        <is>
          <t>AI</t>
        </is>
      </c>
    </row>
    <row r="3328">
      <c r="A3328" t="inlineStr">
        <is>
          <t>PT Menthobi Karyatama Raya Tbk</t>
        </is>
      </c>
      <c r="B3328" t="inlineStr">
        <is>
          <t>MKTR_2023_AR.pdf</t>
        </is>
      </c>
      <c r="C3328" t="n">
        <v>2023</v>
      </c>
      <c r="D3328" t="inlineStr">
        <is>
          <t>Financial</t>
        </is>
      </c>
      <c r="E3328" t="inlineStr">
        <is>
          <t>PK Sales Revenue</t>
        </is>
      </c>
      <c r="F3328" t="n">
        <v>57.41</v>
      </c>
      <c r="G3328" t="inlineStr">
        <is>
          <t>IDR bn</t>
        </is>
      </c>
      <c r="H3328" t="n">
        <v>132</v>
      </c>
      <c r="I3328" t="inlineStr">
        <is>
          <t>Inti Kelapa Sawit 57.407.107</t>
        </is>
      </c>
      <c r="J3328" t="inlineStr">
        <is>
          <t>High</t>
        </is>
      </c>
      <c r="M3328" t="inlineStr">
        <is>
          <t>LLM</t>
        </is>
      </c>
      <c r="N3328" t="inlineStr">
        <is>
          <t>2026-04-19</t>
        </is>
      </c>
      <c r="O3328" t="inlineStr">
        <is>
          <t>AI</t>
        </is>
      </c>
    </row>
    <row r="3329">
      <c r="A3329" t="inlineStr">
        <is>
          <t>PT Menthobi Karyatama Raya Tbk</t>
        </is>
      </c>
      <c r="B3329" t="inlineStr">
        <is>
          <t>MKTR_2023_AR.pdf</t>
        </is>
      </c>
      <c r="C3329" t="n">
        <v>2023</v>
      </c>
      <c r="D3329" t="inlineStr">
        <is>
          <t>Asset</t>
        </is>
      </c>
      <c r="E3329" t="inlineStr">
        <is>
          <t>Palm Oil Mills Count</t>
        </is>
      </c>
      <c r="F3329" t="n">
        <v>2</v>
      </c>
      <c r="G3329" t="inlineStr">
        <is>
          <t>count</t>
        </is>
      </c>
      <c r="I3329" t="inlineStr">
        <is>
          <t>2 PKS (MMAL + KSO after 2023 acquisition)</t>
        </is>
      </c>
      <c r="J3329" t="inlineStr">
        <is>
          <t>High</t>
        </is>
      </c>
      <c r="M3329" t="inlineStr">
        <is>
          <t>LLM</t>
        </is>
      </c>
      <c r="N3329" t="inlineStr">
        <is>
          <t>2026-04-19</t>
        </is>
      </c>
      <c r="O3329" t="inlineStr">
        <is>
          <t>AI</t>
        </is>
      </c>
    </row>
    <row r="3330">
      <c r="A3330" t="inlineStr">
        <is>
          <t>PT Menthobi Karyatama Raya Tbk</t>
        </is>
      </c>
      <c r="B3330" t="inlineStr">
        <is>
          <t>MKTR_2023_AR.pdf</t>
        </is>
      </c>
      <c r="C3330" t="n">
        <v>2023</v>
      </c>
      <c r="D3330" t="inlineStr">
        <is>
          <t>Asset</t>
        </is>
      </c>
      <c r="E3330" t="inlineStr">
        <is>
          <t>Mill Capacity</t>
        </is>
      </c>
      <c r="F3330" t="n">
        <v>30</v>
      </c>
      <c r="G3330" t="inlineStr">
        <is>
          <t>tph</t>
        </is>
      </c>
      <c r="I3330" t="inlineStr">
        <is>
          <t>kapasitas produksi CPO mencapai 30 ton/jam</t>
        </is>
      </c>
      <c r="J3330" t="inlineStr">
        <is>
          <t>High</t>
        </is>
      </c>
      <c r="M3330" t="inlineStr">
        <is>
          <t>LLM</t>
        </is>
      </c>
      <c r="N3330" t="inlineStr">
        <is>
          <t>2026-04-19</t>
        </is>
      </c>
      <c r="O3330" t="inlineStr">
        <is>
          <t>AI</t>
        </is>
      </c>
    </row>
    <row r="3331">
      <c r="A3331" t="inlineStr">
        <is>
          <t>PT Menthobi Karyatama Raya Tbk</t>
        </is>
      </c>
      <c r="B3331" t="inlineStr">
        <is>
          <t>MKTR_2023_AR.pdf</t>
        </is>
      </c>
      <c r="C3331" t="n">
        <v>2023</v>
      </c>
      <c r="D3331" t="inlineStr">
        <is>
          <t>Operation</t>
        </is>
      </c>
      <c r="E3331" t="inlineStr">
        <is>
          <t>FFB Production (Homegrown)</t>
        </is>
      </c>
      <c r="F3331" t="n">
        <v>121778</v>
      </c>
      <c r="G3331" t="inlineStr">
        <is>
          <t>t</t>
        </is>
      </c>
      <c r="I3331" t="inlineStr">
        <is>
          <t>Jumlah TBS hasil Produksi Perkebunan 121.778 (from 2024 AR retrospective)</t>
        </is>
      </c>
      <c r="J3331" t="inlineStr">
        <is>
          <t>High</t>
        </is>
      </c>
      <c r="M3331" t="inlineStr">
        <is>
          <t>LLM</t>
        </is>
      </c>
      <c r="N3331" t="inlineStr">
        <is>
          <t>2026-04-19</t>
        </is>
      </c>
      <c r="O3331" t="inlineStr">
        <is>
          <t>AI</t>
        </is>
      </c>
    </row>
    <row r="3332">
      <c r="A3332" t="inlineStr">
        <is>
          <t>PT Menthobi Karyatama Raya Tbk</t>
        </is>
      </c>
      <c r="B3332" t="inlineStr">
        <is>
          <t>MKTR_2023_AR.pdf</t>
        </is>
      </c>
      <c r="C3332" t="n">
        <v>2023</v>
      </c>
      <c r="D3332" t="inlineStr">
        <is>
          <t>Operation</t>
        </is>
      </c>
      <c r="E3332" t="inlineStr">
        <is>
          <t>FFB Purchased from Third Parties</t>
        </is>
      </c>
      <c r="F3332" t="n">
        <v>180478</v>
      </c>
      <c r="G3332" t="inlineStr">
        <is>
          <t>t</t>
        </is>
      </c>
      <c r="I3332" t="inlineStr">
        <is>
          <t>TBS dibeli dari pihak ketiga 180.478</t>
        </is>
      </c>
      <c r="J3332" t="inlineStr">
        <is>
          <t>High</t>
        </is>
      </c>
      <c r="M3332" t="inlineStr">
        <is>
          <t>LLM</t>
        </is>
      </c>
      <c r="N3332" t="inlineStr">
        <is>
          <t>2026-04-19</t>
        </is>
      </c>
      <c r="O3332" t="inlineStr">
        <is>
          <t>AI</t>
        </is>
      </c>
    </row>
    <row r="3333">
      <c r="A3333" t="inlineStr">
        <is>
          <t>PT Menthobi Karyatama Raya Tbk</t>
        </is>
      </c>
      <c r="B3333" t="inlineStr">
        <is>
          <t>MKTR_2023_AR.pdf</t>
        </is>
      </c>
      <c r="C3333" t="n">
        <v>2023</v>
      </c>
      <c r="D3333" t="inlineStr">
        <is>
          <t>Operation</t>
        </is>
      </c>
      <c r="E3333" t="inlineStr">
        <is>
          <t>FFB Processed</t>
        </is>
      </c>
      <c r="F3333" t="n">
        <v>302317</v>
      </c>
      <c r="G3333" t="inlineStr">
        <is>
          <t>t</t>
        </is>
      </c>
      <c r="I3333" t="inlineStr">
        <is>
          <t>TBS yang diolah 302.317</t>
        </is>
      </c>
      <c r="J3333" t="inlineStr">
        <is>
          <t>High</t>
        </is>
      </c>
      <c r="M3333" t="inlineStr">
        <is>
          <t>LLM</t>
        </is>
      </c>
      <c r="N3333" t="inlineStr">
        <is>
          <t>2026-04-19</t>
        </is>
      </c>
      <c r="O3333" t="inlineStr">
        <is>
          <t>AI</t>
        </is>
      </c>
    </row>
    <row r="3334">
      <c r="A3334" t="inlineStr">
        <is>
          <t>PT Menthobi Karyatama Raya Tbk</t>
        </is>
      </c>
      <c r="B3334" t="inlineStr">
        <is>
          <t>MKTR_2023_AR.pdf</t>
        </is>
      </c>
      <c r="C3334" t="n">
        <v>2023</v>
      </c>
      <c r="D3334" t="inlineStr">
        <is>
          <t>Operation</t>
        </is>
      </c>
      <c r="E3334" t="inlineStr">
        <is>
          <t>CPO Production</t>
        </is>
      </c>
      <c r="F3334" t="n">
        <v>57803</v>
      </c>
      <c r="G3334" t="inlineStr">
        <is>
          <t>t</t>
        </is>
      </c>
      <c r="I3334" t="inlineStr">
        <is>
          <t>Jumlah produksi CPO 57.803 ton (2024 AR retrospective)</t>
        </is>
      </c>
      <c r="J3334" t="inlineStr">
        <is>
          <t>High</t>
        </is>
      </c>
      <c r="M3334" t="inlineStr">
        <is>
          <t>LLM</t>
        </is>
      </c>
      <c r="N3334" t="inlineStr">
        <is>
          <t>2026-04-19</t>
        </is>
      </c>
      <c r="O3334" t="inlineStr">
        <is>
          <t>AI</t>
        </is>
      </c>
    </row>
    <row r="3335">
      <c r="A3335" t="inlineStr">
        <is>
          <t>PT Menthobi Karyatama Raya Tbk</t>
        </is>
      </c>
      <c r="B3335" t="inlineStr">
        <is>
          <t>MKTR_2023_AR.pdf</t>
        </is>
      </c>
      <c r="C3335" t="n">
        <v>2023</v>
      </c>
      <c r="D3335" t="inlineStr">
        <is>
          <t>Operation</t>
        </is>
      </c>
      <c r="E3335" t="inlineStr">
        <is>
          <t>CPO Sales Volume</t>
        </is>
      </c>
      <c r="F3335" t="n">
        <v>59704</v>
      </c>
      <c r="G3335" t="inlineStr">
        <is>
          <t>t</t>
        </is>
      </c>
      <c r="H3335" t="n">
        <v>134</v>
      </c>
      <c r="I3335" t="inlineStr">
        <is>
          <t>Minyak Sawit Mentah 59.704</t>
        </is>
      </c>
      <c r="J3335" t="inlineStr">
        <is>
          <t>High</t>
        </is>
      </c>
      <c r="M3335" t="inlineStr">
        <is>
          <t>LLM</t>
        </is>
      </c>
      <c r="N3335" t="inlineStr">
        <is>
          <t>2026-04-19</t>
        </is>
      </c>
      <c r="O3335" t="inlineStr">
        <is>
          <t>AI</t>
        </is>
      </c>
    </row>
    <row r="3336">
      <c r="A3336" t="inlineStr">
        <is>
          <t>PT Menthobi Karyatama Raya Tbk</t>
        </is>
      </c>
      <c r="B3336" t="inlineStr">
        <is>
          <t>MKTR_2023_AR.pdf</t>
        </is>
      </c>
      <c r="C3336" t="n">
        <v>2023</v>
      </c>
      <c r="D3336" t="inlineStr">
        <is>
          <t>Operation</t>
        </is>
      </c>
      <c r="E3336" t="inlineStr">
        <is>
          <t>PK Production</t>
        </is>
      </c>
      <c r="F3336" t="n">
        <v>10211</v>
      </c>
      <c r="G3336" t="inlineStr">
        <is>
          <t>t</t>
        </is>
      </c>
      <c r="I3336" t="inlineStr">
        <is>
          <t>Jumlah produksi PK 10.211</t>
        </is>
      </c>
      <c r="J3336" t="inlineStr">
        <is>
          <t>High</t>
        </is>
      </c>
      <c r="M3336" t="inlineStr">
        <is>
          <t>LLM</t>
        </is>
      </c>
      <c r="N3336" t="inlineStr">
        <is>
          <t>2026-04-19</t>
        </is>
      </c>
      <c r="O3336" t="inlineStr">
        <is>
          <t>AI</t>
        </is>
      </c>
    </row>
    <row r="3337">
      <c r="A3337" t="inlineStr">
        <is>
          <t>PT Menthobi Karyatama Raya Tbk</t>
        </is>
      </c>
      <c r="B3337" t="inlineStr">
        <is>
          <t>MKTR_2023_AR.pdf</t>
        </is>
      </c>
      <c r="C3337" t="n">
        <v>2023</v>
      </c>
      <c r="D3337" t="inlineStr">
        <is>
          <t>Operation</t>
        </is>
      </c>
      <c r="E3337" t="inlineStr">
        <is>
          <t>PK Sales Volume</t>
        </is>
      </c>
      <c r="F3337" t="n">
        <v>11149</v>
      </c>
      <c r="G3337" t="inlineStr">
        <is>
          <t>t</t>
        </is>
      </c>
      <c r="H3337" t="n">
        <v>134</v>
      </c>
      <c r="I3337" t="inlineStr">
        <is>
          <t>Inti Kelapa Sawit 11.149</t>
        </is>
      </c>
      <c r="J3337" t="inlineStr">
        <is>
          <t>High</t>
        </is>
      </c>
      <c r="M3337" t="inlineStr">
        <is>
          <t>LLM</t>
        </is>
      </c>
      <c r="N3337" t="inlineStr">
        <is>
          <t>2026-04-19</t>
        </is>
      </c>
      <c r="O3337" t="inlineStr">
        <is>
          <t>AI</t>
        </is>
      </c>
    </row>
    <row r="3338">
      <c r="A3338" t="inlineStr">
        <is>
          <t>PT Menthobi Karyatama Raya Tbk</t>
        </is>
      </c>
      <c r="B3338" t="inlineStr">
        <is>
          <t>MKTR_2023_AR.pdf</t>
        </is>
      </c>
      <c r="C3338" t="n">
        <v>2023</v>
      </c>
      <c r="D3338" t="inlineStr">
        <is>
          <t>Operation</t>
        </is>
      </c>
      <c r="E3338" t="inlineStr">
        <is>
          <t>Avg CPO Selling Price</t>
        </is>
      </c>
      <c r="F3338" t="n">
        <v>10933</v>
      </c>
      <c r="G3338" t="inlineStr">
        <is>
          <t>Rp/kg</t>
        </is>
      </c>
      <c r="I3338" t="inlineStr">
        <is>
          <t>Harga jual rata-rata CPO 10.933</t>
        </is>
      </c>
      <c r="J3338" t="inlineStr">
        <is>
          <t>High</t>
        </is>
      </c>
      <c r="M3338" t="inlineStr">
        <is>
          <t>LLM</t>
        </is>
      </c>
      <c r="N3338" t="inlineStr">
        <is>
          <t>2026-04-19</t>
        </is>
      </c>
      <c r="O3338" t="inlineStr">
        <is>
          <t>AI</t>
        </is>
      </c>
    </row>
    <row r="3339">
      <c r="A3339" t="inlineStr">
        <is>
          <t>PT Menthobi Karyatama Raya Tbk</t>
        </is>
      </c>
      <c r="B3339" t="inlineStr">
        <is>
          <t>MKTR_2023_AR.pdf</t>
        </is>
      </c>
      <c r="C3339" t="n">
        <v>2023</v>
      </c>
      <c r="D3339" t="inlineStr">
        <is>
          <t>Operation</t>
        </is>
      </c>
      <c r="E3339" t="inlineStr">
        <is>
          <t>Avg PK Selling Price</t>
        </is>
      </c>
      <c r="F3339" t="n">
        <v>5063</v>
      </c>
      <c r="G3339" t="inlineStr">
        <is>
          <t>Rp/kg</t>
        </is>
      </c>
      <c r="I3339" t="inlineStr">
        <is>
          <t>Harga jual rata-rata PK 5.063</t>
        </is>
      </c>
      <c r="J3339" t="inlineStr">
        <is>
          <t>High</t>
        </is>
      </c>
      <c r="M3339" t="inlineStr">
        <is>
          <t>LLM</t>
        </is>
      </c>
      <c r="N3339" t="inlineStr">
        <is>
          <t>2026-04-19</t>
        </is>
      </c>
      <c r="O3339" t="inlineStr">
        <is>
          <t>AI</t>
        </is>
      </c>
    </row>
    <row r="3340">
      <c r="A3340" t="inlineStr">
        <is>
          <t>PT Menthobi Karyatama Raya Tbk</t>
        </is>
      </c>
      <c r="B3340" t="inlineStr">
        <is>
          <t>MKTR_2023_AR.pdf</t>
        </is>
      </c>
      <c r="C3340" t="n">
        <v>2023</v>
      </c>
      <c r="D3340" t="inlineStr">
        <is>
          <t>Operation</t>
        </is>
      </c>
      <c r="E3340" t="inlineStr">
        <is>
          <t>OER Calculated</t>
        </is>
      </c>
      <c r="F3340" t="n">
        <v>0.1912</v>
      </c>
      <c r="G3340" t="inlineStr">
        <is>
          <t>%</t>
        </is>
      </c>
      <c r="I3340" t="inlineStr">
        <is>
          <t>Calculated: 57,803/302,317 = 19.12%</t>
        </is>
      </c>
      <c r="J3340" t="inlineStr">
        <is>
          <t>Medium</t>
        </is>
      </c>
      <c r="M3340" t="inlineStr">
        <is>
          <t>LLM</t>
        </is>
      </c>
      <c r="N3340" t="inlineStr">
        <is>
          <t>2026-04-19</t>
        </is>
      </c>
      <c r="O3340" t="inlineStr">
        <is>
          <t>AI</t>
        </is>
      </c>
    </row>
    <row r="3341">
      <c r="A3341" t="inlineStr">
        <is>
          <t>PT Menthobi Karyatama Raya Tbk</t>
        </is>
      </c>
      <c r="B3341" t="inlineStr">
        <is>
          <t>MKTR_2023_AR.pdf</t>
        </is>
      </c>
      <c r="C3341" t="n">
        <v>2023</v>
      </c>
      <c r="D3341" t="inlineStr">
        <is>
          <t>Operation</t>
        </is>
      </c>
      <c r="E3341" t="inlineStr">
        <is>
          <t>Domestic Market Share (CPO)</t>
        </is>
      </c>
      <c r="F3341" t="n">
        <v>0.0012</v>
      </c>
      <c r="G3341" t="inlineStr">
        <is>
          <t>%</t>
        </is>
      </c>
      <c r="H3341" t="n">
        <v>131</v>
      </c>
      <c r="I3341" t="inlineStr">
        <is>
          <t>Pangsa Pasar Perseroan 0,12% produksi CPO vs nasional 50.070 (ribu ton)</t>
        </is>
      </c>
      <c r="J3341" t="inlineStr">
        <is>
          <t>High</t>
        </is>
      </c>
      <c r="M3341" t="inlineStr">
        <is>
          <t>LLM</t>
        </is>
      </c>
      <c r="N3341" t="inlineStr">
        <is>
          <t>2026-04-19</t>
        </is>
      </c>
      <c r="O3341" t="inlineStr">
        <is>
          <t>AI</t>
        </is>
      </c>
    </row>
    <row r="3342">
      <c r="A3342" t="inlineStr">
        <is>
          <t>PT Menthobi Karyatama Raya Tbk</t>
        </is>
      </c>
      <c r="B3342" t="inlineStr">
        <is>
          <t>MKTR_2023_AR.pdf</t>
        </is>
      </c>
      <c r="C3342" t="n">
        <v>2023</v>
      </c>
      <c r="D3342" t="inlineStr">
        <is>
          <t>Operation</t>
        </is>
      </c>
      <c r="E3342" t="inlineStr">
        <is>
          <t>Sales to Domestic 100%</t>
        </is>
      </c>
      <c r="F3342" t="n">
        <v>1</v>
      </c>
      <c r="G3342" t="inlineStr">
        <is>
          <t>%</t>
        </is>
      </c>
      <c r="H3342" t="n">
        <v>131</v>
      </c>
      <c r="I3342" t="inlineStr">
        <is>
          <t>produk Entitas Anak tersebut ditujukan 100% untuk pasar domestik</t>
        </is>
      </c>
      <c r="J3342" t="inlineStr">
        <is>
          <t>High</t>
        </is>
      </c>
      <c r="M3342" t="inlineStr">
        <is>
          <t>LLM</t>
        </is>
      </c>
      <c r="N3342" t="inlineStr">
        <is>
          <t>2026-04-19</t>
        </is>
      </c>
      <c r="O3342" t="inlineStr">
        <is>
          <t>AI</t>
        </is>
      </c>
    </row>
    <row r="3343">
      <c r="A3343" t="inlineStr">
        <is>
          <t>PT Menthobi Karyatama Raya Tbk</t>
        </is>
      </c>
      <c r="B3343" t="inlineStr">
        <is>
          <t>MKTR_2023_AR.pdf</t>
        </is>
      </c>
      <c r="C3343" t="n">
        <v>2023</v>
      </c>
      <c r="D3343" t="inlineStr">
        <is>
          <t>ESG</t>
        </is>
      </c>
      <c r="E3343" t="inlineStr">
        <is>
          <t>Operational Region</t>
        </is>
      </c>
      <c r="F3343" t="inlineStr">
        <is>
          <t>DKI Jakarta, Central Kalimantan</t>
        </is>
      </c>
      <c r="G3343" t="inlineStr">
        <is>
          <t>text</t>
        </is>
      </c>
      <c r="I3343" t="inlineStr">
        <is>
          <t>Wilayah Operasional</t>
        </is>
      </c>
      <c r="J3343" t="inlineStr">
        <is>
          <t>High</t>
        </is>
      </c>
      <c r="M3343" t="inlineStr">
        <is>
          <t>LLM</t>
        </is>
      </c>
      <c r="N3343" t="inlineStr">
        <is>
          <t>2026-04-19</t>
        </is>
      </c>
      <c r="O3343" t="inlineStr">
        <is>
          <t>AI</t>
        </is>
      </c>
    </row>
    <row r="3344">
      <c r="A3344" t="inlineStr">
        <is>
          <t>PT Menthobi Karyatama Raya Tbk</t>
        </is>
      </c>
      <c r="B3344" t="inlineStr">
        <is>
          <t>MKTR_2024_AR.pdf</t>
        </is>
      </c>
      <c r="C3344" t="n">
        <v>2024</v>
      </c>
      <c r="D3344" t="inlineStr">
        <is>
          <t>Company</t>
        </is>
      </c>
      <c r="E3344" t="inlineStr">
        <is>
          <t>Company Name</t>
        </is>
      </c>
      <c r="F3344" t="inlineStr">
        <is>
          <t>PT Menthobi Karyatama Raya Tbk</t>
        </is>
      </c>
      <c r="G3344" t="inlineStr">
        <is>
          <t>text</t>
        </is>
      </c>
      <c r="H3344" t="n">
        <v>60</v>
      </c>
      <c r="I3344" t="inlineStr">
        <is>
          <t>PT Menthobi Karyatama Raya, Tbk. MKTR</t>
        </is>
      </c>
      <c r="J3344" t="inlineStr">
        <is>
          <t>High</t>
        </is>
      </c>
      <c r="M3344" t="inlineStr">
        <is>
          <t>LLM</t>
        </is>
      </c>
      <c r="N3344" t="inlineStr">
        <is>
          <t>2026-04-19</t>
        </is>
      </c>
      <c r="O3344" t="inlineStr">
        <is>
          <t>AI</t>
        </is>
      </c>
    </row>
    <row r="3345">
      <c r="A3345" t="inlineStr">
        <is>
          <t>PT Menthobi Karyatama Raya Tbk</t>
        </is>
      </c>
      <c r="B3345" t="inlineStr">
        <is>
          <t>MKTR_2024_AR.pdf</t>
        </is>
      </c>
      <c r="C3345" t="n">
        <v>2024</v>
      </c>
      <c r="D3345" t="inlineStr">
        <is>
          <t>Company</t>
        </is>
      </c>
      <c r="E3345" t="inlineStr">
        <is>
          <t>Ticker</t>
        </is>
      </c>
      <c r="F3345" t="inlineStr">
        <is>
          <t>MKTR</t>
        </is>
      </c>
      <c r="G3345" t="inlineStr">
        <is>
          <t>text</t>
        </is>
      </c>
      <c r="H3345" t="n">
        <v>60</v>
      </c>
      <c r="I3345" t="inlineStr">
        <is>
          <t>Stock Code MKTR</t>
        </is>
      </c>
      <c r="J3345" t="inlineStr">
        <is>
          <t>High</t>
        </is>
      </c>
      <c r="M3345" t="inlineStr">
        <is>
          <t>LLM</t>
        </is>
      </c>
      <c r="N3345" t="inlineStr">
        <is>
          <t>2026-04-19</t>
        </is>
      </c>
      <c r="O3345" t="inlineStr">
        <is>
          <t>AI</t>
        </is>
      </c>
    </row>
    <row r="3346">
      <c r="A3346" t="inlineStr">
        <is>
          <t>PT Menthobi Karyatama Raya Tbk</t>
        </is>
      </c>
      <c r="B3346" t="inlineStr">
        <is>
          <t>MKTR_2024_AR.pdf</t>
        </is>
      </c>
      <c r="C3346" t="n">
        <v>2024</v>
      </c>
      <c r="D3346" t="inlineStr">
        <is>
          <t>Company</t>
        </is>
      </c>
      <c r="E3346" t="inlineStr">
        <is>
          <t>HQ</t>
        </is>
      </c>
      <c r="F3346" t="inlineStr">
        <is>
          <t>Wisma Maktour Lt. 4, Jalan Otista Raya No. 80, Jakarta Timur</t>
        </is>
      </c>
      <c r="G3346" t="inlineStr">
        <is>
          <t>text</t>
        </is>
      </c>
      <c r="H3346" t="n">
        <v>60</v>
      </c>
      <c r="I3346" t="inlineStr">
        <is>
          <t>Wisma Maktour Lt. 4 Jalan Otista Raya No. 80 Kelurahan Kampung Melayu</t>
        </is>
      </c>
      <c r="J3346" t="inlineStr">
        <is>
          <t>High</t>
        </is>
      </c>
      <c r="M3346" t="inlineStr">
        <is>
          <t>LLM</t>
        </is>
      </c>
      <c r="N3346" t="inlineStr">
        <is>
          <t>2026-04-19</t>
        </is>
      </c>
      <c r="O3346" t="inlineStr">
        <is>
          <t>AI</t>
        </is>
      </c>
    </row>
    <row r="3347">
      <c r="A3347" t="inlineStr">
        <is>
          <t>PT Menthobi Karyatama Raya Tbk</t>
        </is>
      </c>
      <c r="B3347" t="inlineStr">
        <is>
          <t>MKTR_2024_AR.pdf</t>
        </is>
      </c>
      <c r="C3347" t="n">
        <v>2024</v>
      </c>
      <c r="D3347" t="inlineStr">
        <is>
          <t>Company</t>
        </is>
      </c>
      <c r="E3347" t="inlineStr">
        <is>
          <t>IPO Date</t>
        </is>
      </c>
      <c r="F3347" t="inlineStr">
        <is>
          <t>2022-11-08</t>
        </is>
      </c>
      <c r="G3347" t="inlineStr">
        <is>
          <t>date</t>
        </is>
      </c>
      <c r="H3347" t="n">
        <v>61</v>
      </c>
      <c r="I3347" t="inlineStr">
        <is>
          <t>Tercatat di Bursa Efek Indonesia pada tanggal 08 November 2022</t>
        </is>
      </c>
      <c r="J3347" t="inlineStr">
        <is>
          <t>High</t>
        </is>
      </c>
      <c r="M3347" t="inlineStr">
        <is>
          <t>LLM</t>
        </is>
      </c>
      <c r="N3347" t="inlineStr">
        <is>
          <t>2026-04-19</t>
        </is>
      </c>
      <c r="O3347" t="inlineStr">
        <is>
          <t>AI</t>
        </is>
      </c>
    </row>
    <row r="3348">
      <c r="A3348" t="inlineStr">
        <is>
          <t>PT Menthobi Karyatama Raya Tbk</t>
        </is>
      </c>
      <c r="B3348" t="inlineStr">
        <is>
          <t>MKTR_2024_AR.pdf</t>
        </is>
      </c>
      <c r="C3348" t="n">
        <v>2024</v>
      </c>
      <c r="D3348" t="inlineStr">
        <is>
          <t>Company</t>
        </is>
      </c>
      <c r="E3348" t="inlineStr">
        <is>
          <t>Controlling Shareholder</t>
        </is>
      </c>
      <c r="F3348" t="inlineStr">
        <is>
          <t>Fuad Hasan Masyhur 68.67%</t>
        </is>
      </c>
      <c r="G3348" t="inlineStr">
        <is>
          <t>%</t>
        </is>
      </c>
      <c r="H3348" t="n">
        <v>60</v>
      </c>
      <c r="I3348" t="inlineStr">
        <is>
          <t>Fuad Hasan Masyhur : 68,67%</t>
        </is>
      </c>
      <c r="J3348" t="inlineStr">
        <is>
          <t>High</t>
        </is>
      </c>
      <c r="M3348" t="inlineStr">
        <is>
          <t>LLM</t>
        </is>
      </c>
      <c r="N3348" t="inlineStr">
        <is>
          <t>2026-04-19</t>
        </is>
      </c>
      <c r="O3348" t="inlineStr">
        <is>
          <t>AI</t>
        </is>
      </c>
    </row>
    <row r="3349">
      <c r="A3349" t="inlineStr">
        <is>
          <t>PT Menthobi Karyatama Raya Tbk</t>
        </is>
      </c>
      <c r="B3349" t="inlineStr">
        <is>
          <t>MKTR_2024_AR.pdf</t>
        </is>
      </c>
      <c r="C3349" t="n">
        <v>2024</v>
      </c>
      <c r="D3349" t="inlineStr">
        <is>
          <t>Company</t>
        </is>
      </c>
      <c r="E3349" t="inlineStr">
        <is>
          <t>PT Maktour Bangun Persada ownership</t>
        </is>
      </c>
      <c r="F3349" t="n">
        <v>0.0779</v>
      </c>
      <c r="G3349" t="inlineStr">
        <is>
          <t>%</t>
        </is>
      </c>
      <c r="H3349" t="n">
        <v>60</v>
      </c>
      <c r="I3349" t="inlineStr">
        <is>
          <t>PT Maktour Bangun Persada : 7,79%</t>
        </is>
      </c>
      <c r="J3349" t="inlineStr">
        <is>
          <t>High</t>
        </is>
      </c>
      <c r="M3349" t="inlineStr">
        <is>
          <t>LLM</t>
        </is>
      </c>
      <c r="N3349" t="inlineStr">
        <is>
          <t>2026-04-19</t>
        </is>
      </c>
      <c r="O3349" t="inlineStr">
        <is>
          <t>AI</t>
        </is>
      </c>
    </row>
    <row r="3350">
      <c r="A3350" t="inlineStr">
        <is>
          <t>PT Menthobi Karyatama Raya Tbk</t>
        </is>
      </c>
      <c r="B3350" t="inlineStr">
        <is>
          <t>MKTR_2024_AR.pdf</t>
        </is>
      </c>
      <c r="C3350" t="n">
        <v>2024</v>
      </c>
      <c r="D3350" t="inlineStr">
        <is>
          <t>Company</t>
        </is>
      </c>
      <c r="E3350" t="inlineStr">
        <is>
          <t>Public Float</t>
        </is>
      </c>
      <c r="F3350" t="n">
        <v>0.2339</v>
      </c>
      <c r="G3350" t="inlineStr">
        <is>
          <t>%</t>
        </is>
      </c>
      <c r="H3350" t="n">
        <v>60</v>
      </c>
      <c r="I3350" t="inlineStr">
        <is>
          <t>Masyarakat | Public : 23,39%</t>
        </is>
      </c>
      <c r="J3350" t="inlineStr">
        <is>
          <t>High</t>
        </is>
      </c>
      <c r="M3350" t="inlineStr">
        <is>
          <t>LLM</t>
        </is>
      </c>
      <c r="N3350" t="inlineStr">
        <is>
          <t>2026-04-19</t>
        </is>
      </c>
      <c r="O3350" t="inlineStr">
        <is>
          <t>AI</t>
        </is>
      </c>
    </row>
    <row r="3351">
      <c r="A3351" t="inlineStr">
        <is>
          <t>PT Menthobi Karyatama Raya Tbk</t>
        </is>
      </c>
      <c r="B3351" t="inlineStr">
        <is>
          <t>MKTR_2024_AR.pdf</t>
        </is>
      </c>
      <c r="C3351" t="n">
        <v>2024</v>
      </c>
      <c r="D3351" t="inlineStr">
        <is>
          <t>Company</t>
        </is>
      </c>
      <c r="E3351" t="inlineStr">
        <is>
          <t>Subsidiaries</t>
        </is>
      </c>
      <c r="F3351" t="inlineStr">
        <is>
          <t>MMAL, MAR, MHL, MTR, KSO</t>
        </is>
      </c>
      <c r="G3351" t="inlineStr">
        <is>
          <t>text</t>
        </is>
      </c>
      <c r="H3351" t="n">
        <v>61</v>
      </c>
      <c r="I3351" t="inlineStr">
        <is>
          <t>1. PT Menthobi Makmur Lestari (MMAL) 2. PT Menthobi Agro Raya (MAR) 3. PT Menthobi Hijau Lestari (MHL) 4. PT Menthobi Transtitian Raya (MTR) 5. PT Khatulistiwa Sinergi Omnidaya (KSO)</t>
        </is>
      </c>
      <c r="J3351" t="inlineStr">
        <is>
          <t>High</t>
        </is>
      </c>
      <c r="M3351" t="inlineStr">
        <is>
          <t>LLM</t>
        </is>
      </c>
      <c r="N3351" t="inlineStr">
        <is>
          <t>2026-04-19</t>
        </is>
      </c>
      <c r="O3351" t="inlineStr">
        <is>
          <t>AI</t>
        </is>
      </c>
    </row>
    <row r="3352">
      <c r="A3352" t="inlineStr">
        <is>
          <t>PT Menthobi Karyatama Raya Tbk</t>
        </is>
      </c>
      <c r="B3352" t="inlineStr">
        <is>
          <t>MKTR_2024_AR.pdf</t>
        </is>
      </c>
      <c r="C3352" t="n">
        <v>2024</v>
      </c>
      <c r="D3352" t="inlineStr">
        <is>
          <t>Company</t>
        </is>
      </c>
      <c r="E3352" t="inlineStr">
        <is>
          <t>Total Employees</t>
        </is>
      </c>
      <c r="F3352" t="n">
        <v>1328</v>
      </c>
      <c r="G3352" t="inlineStr">
        <is>
          <t>count</t>
        </is>
      </c>
      <c r="H3352" t="n">
        <v>61</v>
      </c>
      <c r="I3352" t="inlineStr">
        <is>
          <t>Tahun 2024 : 1.328 orang (termasuk karyawan Entitas Anak)</t>
        </is>
      </c>
      <c r="J3352" t="inlineStr">
        <is>
          <t>High</t>
        </is>
      </c>
      <c r="M3352" t="inlineStr">
        <is>
          <t>LLM</t>
        </is>
      </c>
      <c r="N3352" t="inlineStr">
        <is>
          <t>2026-04-19</t>
        </is>
      </c>
      <c r="O3352" t="inlineStr">
        <is>
          <t>AI</t>
        </is>
      </c>
    </row>
    <row r="3353">
      <c r="A3353" t="inlineStr">
        <is>
          <t>PT Menthobi Karyatama Raya Tbk</t>
        </is>
      </c>
      <c r="B3353" t="inlineStr">
        <is>
          <t>MKTR_2024_AR.pdf</t>
        </is>
      </c>
      <c r="C3353" t="n">
        <v>2024</v>
      </c>
      <c r="D3353" t="inlineStr">
        <is>
          <t>Financial</t>
        </is>
      </c>
      <c r="E3353" t="inlineStr">
        <is>
          <t>Revenue (Net)</t>
        </is>
      </c>
      <c r="F3353" t="n">
        <v>1006.86</v>
      </c>
      <c r="G3353" t="inlineStr">
        <is>
          <t>IDR bn</t>
        </is>
      </c>
      <c r="H3353" t="n">
        <v>20</v>
      </c>
      <c r="I3353" t="inlineStr">
        <is>
          <t>Penjualan 1.006.858.372 710.983.008 627.880.911 (thousand Rp)</t>
        </is>
      </c>
      <c r="J3353" t="inlineStr">
        <is>
          <t>High</t>
        </is>
      </c>
      <c r="M3353" t="inlineStr">
        <is>
          <t>LLM</t>
        </is>
      </c>
      <c r="N3353" t="inlineStr">
        <is>
          <t>2026-04-19</t>
        </is>
      </c>
      <c r="O3353" t="inlineStr">
        <is>
          <t>AI</t>
        </is>
      </c>
    </row>
    <row r="3354">
      <c r="A3354" t="inlineStr">
        <is>
          <t>PT Menthobi Karyatama Raya Tbk</t>
        </is>
      </c>
      <c r="B3354" t="inlineStr">
        <is>
          <t>MKTR_2024_AR.pdf</t>
        </is>
      </c>
      <c r="C3354" t="n">
        <v>2024</v>
      </c>
      <c r="D3354" t="inlineStr">
        <is>
          <t>Financial</t>
        </is>
      </c>
      <c r="E3354" t="inlineStr">
        <is>
          <t>Cost of Sales</t>
        </is>
      </c>
      <c r="F3354" t="n">
        <v>827.4299999999999</v>
      </c>
      <c r="G3354" t="inlineStr">
        <is>
          <t>IDR bn</t>
        </is>
      </c>
      <c r="H3354" t="n">
        <v>20</v>
      </c>
      <c r="I3354" t="inlineStr">
        <is>
          <t>Beban Pokok Penjualan (827.428.969)</t>
        </is>
      </c>
      <c r="J3354" t="inlineStr">
        <is>
          <t>High</t>
        </is>
      </c>
      <c r="M3354" t="inlineStr">
        <is>
          <t>LLM</t>
        </is>
      </c>
      <c r="N3354" t="inlineStr">
        <is>
          <t>2026-04-19</t>
        </is>
      </c>
      <c r="O3354" t="inlineStr">
        <is>
          <t>AI</t>
        </is>
      </c>
    </row>
    <row r="3355">
      <c r="A3355" t="inlineStr">
        <is>
          <t>PT Menthobi Karyatama Raya Tbk</t>
        </is>
      </c>
      <c r="B3355" t="inlineStr">
        <is>
          <t>MKTR_2024_AR.pdf</t>
        </is>
      </c>
      <c r="C3355" t="n">
        <v>2024</v>
      </c>
      <c r="D3355" t="inlineStr">
        <is>
          <t>Financial</t>
        </is>
      </c>
      <c r="E3355" t="inlineStr">
        <is>
          <t>Gross Profit</t>
        </is>
      </c>
      <c r="F3355" t="n">
        <v>179.43</v>
      </c>
      <c r="G3355" t="inlineStr">
        <is>
          <t>IDR bn</t>
        </is>
      </c>
      <c r="H3355" t="n">
        <v>20</v>
      </c>
      <c r="I3355" t="inlineStr">
        <is>
          <t>Laba Bruto 179.429.403</t>
        </is>
      </c>
      <c r="J3355" t="inlineStr">
        <is>
          <t>High</t>
        </is>
      </c>
      <c r="M3355" t="inlineStr">
        <is>
          <t>LLM</t>
        </is>
      </c>
      <c r="N3355" t="inlineStr">
        <is>
          <t>2026-04-19</t>
        </is>
      </c>
      <c r="O3355" t="inlineStr">
        <is>
          <t>AI</t>
        </is>
      </c>
    </row>
    <row r="3356">
      <c r="A3356" t="inlineStr">
        <is>
          <t>PT Menthobi Karyatama Raya Tbk</t>
        </is>
      </c>
      <c r="B3356" t="inlineStr">
        <is>
          <t>MKTR_2024_AR.pdf</t>
        </is>
      </c>
      <c r="C3356" t="n">
        <v>2024</v>
      </c>
      <c r="D3356" t="inlineStr">
        <is>
          <t>Financial</t>
        </is>
      </c>
      <c r="E3356" t="inlineStr">
        <is>
          <t>Operating Expenses</t>
        </is>
      </c>
      <c r="F3356" t="n">
        <v>73.04000000000001</v>
      </c>
      <c r="G3356" t="inlineStr">
        <is>
          <t>IDR bn</t>
        </is>
      </c>
      <c r="H3356" t="n">
        <v>20</v>
      </c>
      <c r="I3356" t="inlineStr">
        <is>
          <t>Beban Usaha (73.043.130)</t>
        </is>
      </c>
      <c r="J3356" t="inlineStr">
        <is>
          <t>High</t>
        </is>
      </c>
      <c r="M3356" t="inlineStr">
        <is>
          <t>LLM</t>
        </is>
      </c>
      <c r="N3356" t="inlineStr">
        <is>
          <t>2026-04-19</t>
        </is>
      </c>
      <c r="O3356" t="inlineStr">
        <is>
          <t>AI</t>
        </is>
      </c>
    </row>
    <row r="3357">
      <c r="A3357" t="inlineStr">
        <is>
          <t>PT Menthobi Karyatama Raya Tbk</t>
        </is>
      </c>
      <c r="B3357" t="inlineStr">
        <is>
          <t>MKTR_2024_AR.pdf</t>
        </is>
      </c>
      <c r="C3357" t="n">
        <v>2024</v>
      </c>
      <c r="D3357" t="inlineStr">
        <is>
          <t>Financial</t>
        </is>
      </c>
      <c r="E3357" t="inlineStr">
        <is>
          <t>Operating Profit (EBIT)</t>
        </is>
      </c>
      <c r="F3357" t="n">
        <v>106.39</v>
      </c>
      <c r="G3357" t="inlineStr">
        <is>
          <t>IDR bn</t>
        </is>
      </c>
      <c r="H3357" t="n">
        <v>14</v>
      </c>
      <c r="I3357" t="inlineStr">
        <is>
          <t>2024 Rp106,39 Miliar | Billion; Meningkat 69,73%</t>
        </is>
      </c>
      <c r="J3357" t="inlineStr">
        <is>
          <t>High</t>
        </is>
      </c>
      <c r="M3357" t="inlineStr">
        <is>
          <t>LLM</t>
        </is>
      </c>
      <c r="N3357" t="inlineStr">
        <is>
          <t>2026-04-19</t>
        </is>
      </c>
      <c r="O3357" t="inlineStr">
        <is>
          <t>AI</t>
        </is>
      </c>
    </row>
    <row r="3358">
      <c r="A3358" t="inlineStr">
        <is>
          <t>PT Menthobi Karyatama Raya Tbk</t>
        </is>
      </c>
      <c r="B3358" t="inlineStr">
        <is>
          <t>MKTR_2024_AR.pdf</t>
        </is>
      </c>
      <c r="C3358" t="n">
        <v>2024</v>
      </c>
      <c r="D3358" t="inlineStr">
        <is>
          <t>Financial</t>
        </is>
      </c>
      <c r="E3358" t="inlineStr">
        <is>
          <t>Other Income (Expenses)</t>
        </is>
      </c>
      <c r="F3358" t="n">
        <v>-26.33</v>
      </c>
      <c r="G3358" t="inlineStr">
        <is>
          <t>IDR bn</t>
        </is>
      </c>
      <c r="H3358" t="n">
        <v>20</v>
      </c>
      <c r="I3358" t="inlineStr">
        <is>
          <t>Penghasilan (Beban) Lain-lain (26.331.924)</t>
        </is>
      </c>
      <c r="J3358" t="inlineStr">
        <is>
          <t>High</t>
        </is>
      </c>
      <c r="M3358" t="inlineStr">
        <is>
          <t>LLM</t>
        </is>
      </c>
      <c r="N3358" t="inlineStr">
        <is>
          <t>2026-04-19</t>
        </is>
      </c>
      <c r="O3358" t="inlineStr">
        <is>
          <t>AI</t>
        </is>
      </c>
    </row>
    <row r="3359">
      <c r="A3359" t="inlineStr">
        <is>
          <t>PT Menthobi Karyatama Raya Tbk</t>
        </is>
      </c>
      <c r="B3359" t="inlineStr">
        <is>
          <t>MKTR_2024_AR.pdf</t>
        </is>
      </c>
      <c r="C3359" t="n">
        <v>2024</v>
      </c>
      <c r="D3359" t="inlineStr">
        <is>
          <t>Financial</t>
        </is>
      </c>
      <c r="E3359" t="inlineStr">
        <is>
          <t>Profit Before Tax</t>
        </is>
      </c>
      <c r="F3359" t="n">
        <v>80.05</v>
      </c>
      <c r="G3359" t="inlineStr">
        <is>
          <t>IDR bn</t>
        </is>
      </c>
      <c r="H3359" t="n">
        <v>20</v>
      </c>
      <c r="I3359" t="inlineStr">
        <is>
          <t>Laba Sebelum Pajak Penghasilan 80.054.349</t>
        </is>
      </c>
      <c r="J3359" t="inlineStr">
        <is>
          <t>High</t>
        </is>
      </c>
      <c r="M3359" t="inlineStr">
        <is>
          <t>LLM</t>
        </is>
      </c>
      <c r="N3359" t="inlineStr">
        <is>
          <t>2026-04-19</t>
        </is>
      </c>
      <c r="O3359" t="inlineStr">
        <is>
          <t>AI</t>
        </is>
      </c>
    </row>
    <row r="3360">
      <c r="A3360" t="inlineStr">
        <is>
          <t>PT Menthobi Karyatama Raya Tbk</t>
        </is>
      </c>
      <c r="B3360" t="inlineStr">
        <is>
          <t>MKTR_2024_AR.pdf</t>
        </is>
      </c>
      <c r="C3360" t="n">
        <v>2024</v>
      </c>
      <c r="D3360" t="inlineStr">
        <is>
          <t>Financial</t>
        </is>
      </c>
      <c r="E3360" t="inlineStr">
        <is>
          <t>Net Profit</t>
        </is>
      </c>
      <c r="F3360" t="n">
        <v>52.25</v>
      </c>
      <c r="G3360" t="inlineStr">
        <is>
          <t>IDR bn</t>
        </is>
      </c>
      <c r="H3360" t="n">
        <v>20</v>
      </c>
      <c r="I3360" t="inlineStr">
        <is>
          <t>Laba Tahun Berjalan 52.245.463</t>
        </is>
      </c>
      <c r="J3360" t="inlineStr">
        <is>
          <t>High</t>
        </is>
      </c>
      <c r="M3360" t="inlineStr">
        <is>
          <t>LLM</t>
        </is>
      </c>
      <c r="N3360" t="inlineStr">
        <is>
          <t>2026-04-19</t>
        </is>
      </c>
      <c r="O3360" t="inlineStr">
        <is>
          <t>AI</t>
        </is>
      </c>
    </row>
    <row r="3361">
      <c r="A3361" t="inlineStr">
        <is>
          <t>PT Menthobi Karyatama Raya Tbk</t>
        </is>
      </c>
      <c r="B3361" t="inlineStr">
        <is>
          <t>MKTR_2024_AR.pdf</t>
        </is>
      </c>
      <c r="C3361" t="n">
        <v>2024</v>
      </c>
      <c r="D3361" t="inlineStr">
        <is>
          <t>Financial</t>
        </is>
      </c>
      <c r="E3361" t="inlineStr">
        <is>
          <t>Profit Attributable to Parent</t>
        </is>
      </c>
      <c r="F3361" t="n">
        <v>52.04</v>
      </c>
      <c r="G3361" t="inlineStr">
        <is>
          <t>IDR bn</t>
        </is>
      </c>
      <c r="H3361" t="n">
        <v>20</v>
      </c>
      <c r="I3361" t="inlineStr">
        <is>
          <t>Pemilik Entitas Induk 52.036.897</t>
        </is>
      </c>
      <c r="J3361" t="inlineStr">
        <is>
          <t>High</t>
        </is>
      </c>
      <c r="M3361" t="inlineStr">
        <is>
          <t>LLM</t>
        </is>
      </c>
      <c r="N3361" t="inlineStr">
        <is>
          <t>2026-04-19</t>
        </is>
      </c>
      <c r="O3361" t="inlineStr">
        <is>
          <t>AI</t>
        </is>
      </c>
    </row>
    <row r="3362">
      <c r="A3362" t="inlineStr">
        <is>
          <t>PT Menthobi Karyatama Raya Tbk</t>
        </is>
      </c>
      <c r="B3362" t="inlineStr">
        <is>
          <t>MKTR_2024_AR.pdf</t>
        </is>
      </c>
      <c r="C3362" t="n">
        <v>2024</v>
      </c>
      <c r="D3362" t="inlineStr">
        <is>
          <t>Financial</t>
        </is>
      </c>
      <c r="E3362" t="inlineStr">
        <is>
          <t>Total Assets</t>
        </is>
      </c>
      <c r="F3362" t="n">
        <v>1518.44</v>
      </c>
      <c r="G3362" t="inlineStr">
        <is>
          <t>IDR bn</t>
        </is>
      </c>
      <c r="H3362" t="n">
        <v>14</v>
      </c>
      <c r="I3362" t="inlineStr">
        <is>
          <t>2024 Rp1,52 Triliun | Trillion; 1.518.438.495 (thousand Rp)</t>
        </is>
      </c>
      <c r="J3362" t="inlineStr">
        <is>
          <t>High</t>
        </is>
      </c>
      <c r="M3362" t="inlineStr">
        <is>
          <t>LLM</t>
        </is>
      </c>
      <c r="N3362" t="inlineStr">
        <is>
          <t>2026-04-19</t>
        </is>
      </c>
      <c r="O3362" t="inlineStr">
        <is>
          <t>AI</t>
        </is>
      </c>
    </row>
    <row r="3363">
      <c r="A3363" t="inlineStr">
        <is>
          <t>PT Menthobi Karyatama Raya Tbk</t>
        </is>
      </c>
      <c r="B3363" t="inlineStr">
        <is>
          <t>MKTR_2024_AR.pdf</t>
        </is>
      </c>
      <c r="C3363" t="n">
        <v>2024</v>
      </c>
      <c r="D3363" t="inlineStr">
        <is>
          <t>Financial</t>
        </is>
      </c>
      <c r="E3363" t="inlineStr">
        <is>
          <t>Current Assets</t>
        </is>
      </c>
      <c r="F3363" t="n">
        <v>668.76</v>
      </c>
      <c r="G3363" t="inlineStr">
        <is>
          <t>IDR bn</t>
        </is>
      </c>
      <c r="H3363" t="n">
        <v>20</v>
      </c>
      <c r="I3363" t="inlineStr">
        <is>
          <t>Aset Lancar 668.757.689</t>
        </is>
      </c>
      <c r="J3363" t="inlineStr">
        <is>
          <t>High</t>
        </is>
      </c>
      <c r="M3363" t="inlineStr">
        <is>
          <t>LLM</t>
        </is>
      </c>
      <c r="N3363" t="inlineStr">
        <is>
          <t>2026-04-19</t>
        </is>
      </c>
      <c r="O3363" t="inlineStr">
        <is>
          <t>AI</t>
        </is>
      </c>
    </row>
    <row r="3364">
      <c r="A3364" t="inlineStr">
        <is>
          <t>PT Menthobi Karyatama Raya Tbk</t>
        </is>
      </c>
      <c r="B3364" t="inlineStr">
        <is>
          <t>MKTR_2024_AR.pdf</t>
        </is>
      </c>
      <c r="C3364" t="n">
        <v>2024</v>
      </c>
      <c r="D3364" t="inlineStr">
        <is>
          <t>Financial</t>
        </is>
      </c>
      <c r="E3364" t="inlineStr">
        <is>
          <t>Non-Current Assets</t>
        </is>
      </c>
      <c r="F3364" t="n">
        <v>849.6799999999999</v>
      </c>
      <c r="G3364" t="inlineStr">
        <is>
          <t>IDR bn</t>
        </is>
      </c>
      <c r="H3364" t="n">
        <v>20</v>
      </c>
      <c r="I3364" t="inlineStr">
        <is>
          <t>Aset Tidak Lancar 849.680.806</t>
        </is>
      </c>
      <c r="J3364" t="inlineStr">
        <is>
          <t>High</t>
        </is>
      </c>
      <c r="M3364" t="inlineStr">
        <is>
          <t>LLM</t>
        </is>
      </c>
      <c r="N3364" t="inlineStr">
        <is>
          <t>2026-04-19</t>
        </is>
      </c>
      <c r="O3364" t="inlineStr">
        <is>
          <t>AI</t>
        </is>
      </c>
    </row>
    <row r="3365">
      <c r="A3365" t="inlineStr">
        <is>
          <t>PT Menthobi Karyatama Raya Tbk</t>
        </is>
      </c>
      <c r="B3365" t="inlineStr">
        <is>
          <t>MKTR_2024_AR.pdf</t>
        </is>
      </c>
      <c r="C3365" t="n">
        <v>2024</v>
      </c>
      <c r="D3365" t="inlineStr">
        <is>
          <t>Financial</t>
        </is>
      </c>
      <c r="E3365" t="inlineStr">
        <is>
          <t>Total Liabilities</t>
        </is>
      </c>
      <c r="F3365" t="n">
        <v>889.1</v>
      </c>
      <c r="G3365" t="inlineStr">
        <is>
          <t>IDR bn</t>
        </is>
      </c>
      <c r="H3365" t="n">
        <v>21</v>
      </c>
      <c r="I3365" t="inlineStr">
        <is>
          <t>Jumlah Liabilitas 889.102.445</t>
        </is>
      </c>
      <c r="J3365" t="inlineStr">
        <is>
          <t>High</t>
        </is>
      </c>
      <c r="M3365" t="inlineStr">
        <is>
          <t>LLM</t>
        </is>
      </c>
      <c r="N3365" t="inlineStr">
        <is>
          <t>2026-04-19</t>
        </is>
      </c>
      <c r="O3365" t="inlineStr">
        <is>
          <t>AI</t>
        </is>
      </c>
    </row>
    <row r="3366">
      <c r="A3366" t="inlineStr">
        <is>
          <t>PT Menthobi Karyatama Raya Tbk</t>
        </is>
      </c>
      <c r="B3366" t="inlineStr">
        <is>
          <t>MKTR_2024_AR.pdf</t>
        </is>
      </c>
      <c r="C3366" t="n">
        <v>2024</v>
      </c>
      <c r="D3366" t="inlineStr">
        <is>
          <t>Financial</t>
        </is>
      </c>
      <c r="E3366" t="inlineStr">
        <is>
          <t>Current Liabilities</t>
        </is>
      </c>
      <c r="F3366" t="n">
        <v>171.44</v>
      </c>
      <c r="G3366" t="inlineStr">
        <is>
          <t>IDR bn</t>
        </is>
      </c>
      <c r="H3366" t="n">
        <v>21</v>
      </c>
      <c r="I3366" t="inlineStr">
        <is>
          <t>Liabilitas Jangka Pendek 171.440.965</t>
        </is>
      </c>
      <c r="J3366" t="inlineStr">
        <is>
          <t>High</t>
        </is>
      </c>
      <c r="M3366" t="inlineStr">
        <is>
          <t>LLM</t>
        </is>
      </c>
      <c r="N3366" t="inlineStr">
        <is>
          <t>2026-04-19</t>
        </is>
      </c>
      <c r="O3366" t="inlineStr">
        <is>
          <t>AI</t>
        </is>
      </c>
    </row>
    <row r="3367">
      <c r="A3367" t="inlineStr">
        <is>
          <t>PT Menthobi Karyatama Raya Tbk</t>
        </is>
      </c>
      <c r="B3367" t="inlineStr">
        <is>
          <t>MKTR_2024_AR.pdf</t>
        </is>
      </c>
      <c r="C3367" t="n">
        <v>2024</v>
      </c>
      <c r="D3367" t="inlineStr">
        <is>
          <t>Financial</t>
        </is>
      </c>
      <c r="E3367" t="inlineStr">
        <is>
          <t>Non-Current Liabilities</t>
        </is>
      </c>
      <c r="F3367" t="n">
        <v>717.66</v>
      </c>
      <c r="G3367" t="inlineStr">
        <is>
          <t>IDR bn</t>
        </is>
      </c>
      <c r="H3367" t="n">
        <v>21</v>
      </c>
      <c r="I3367" t="inlineStr">
        <is>
          <t>Liabilitas Jangka Panjang 717.661.480</t>
        </is>
      </c>
      <c r="J3367" t="inlineStr">
        <is>
          <t>High</t>
        </is>
      </c>
      <c r="M3367" t="inlineStr">
        <is>
          <t>LLM</t>
        </is>
      </c>
      <c r="N3367" t="inlineStr">
        <is>
          <t>2026-04-19</t>
        </is>
      </c>
      <c r="O3367" t="inlineStr">
        <is>
          <t>AI</t>
        </is>
      </c>
    </row>
    <row r="3368">
      <c r="A3368" t="inlineStr">
        <is>
          <t>PT Menthobi Karyatama Raya Tbk</t>
        </is>
      </c>
      <c r="B3368" t="inlineStr">
        <is>
          <t>MKTR_2024_AR.pdf</t>
        </is>
      </c>
      <c r="C3368" t="n">
        <v>2024</v>
      </c>
      <c r="D3368" t="inlineStr">
        <is>
          <t>Financial</t>
        </is>
      </c>
      <c r="E3368" t="inlineStr">
        <is>
          <t>Total Equity</t>
        </is>
      </c>
      <c r="F3368" t="n">
        <v>629.34</v>
      </c>
      <c r="G3368" t="inlineStr">
        <is>
          <t>IDR bn</t>
        </is>
      </c>
      <c r="H3368" t="n">
        <v>14</v>
      </c>
      <c r="I3368" t="inlineStr">
        <is>
          <t>2024 Rp629,34 Miliar; Jumlah Ekuitas 629.336.050</t>
        </is>
      </c>
      <c r="J3368" t="inlineStr">
        <is>
          <t>High</t>
        </is>
      </c>
      <c r="M3368" t="inlineStr">
        <is>
          <t>LLM</t>
        </is>
      </c>
      <c r="N3368" t="inlineStr">
        <is>
          <t>2026-04-19</t>
        </is>
      </c>
      <c r="O3368" t="inlineStr">
        <is>
          <t>AI</t>
        </is>
      </c>
    </row>
    <row r="3369">
      <c r="A3369" t="inlineStr">
        <is>
          <t>PT Menthobi Karyatama Raya Tbk</t>
        </is>
      </c>
      <c r="B3369" t="inlineStr">
        <is>
          <t>MKTR_2024_AR.pdf</t>
        </is>
      </c>
      <c r="C3369" t="n">
        <v>2024</v>
      </c>
      <c r="D3369" t="inlineStr">
        <is>
          <t>Financial</t>
        </is>
      </c>
      <c r="E3369" t="inlineStr">
        <is>
          <t>Equity Parent</t>
        </is>
      </c>
      <c r="F3369" t="n">
        <v>627.64</v>
      </c>
      <c r="G3369" t="inlineStr">
        <is>
          <t>IDR bn</t>
        </is>
      </c>
      <c r="H3369" t="n">
        <v>21</v>
      </c>
      <c r="I3369" t="inlineStr">
        <is>
          <t>Pemilik Entitas Induk 627.636.087</t>
        </is>
      </c>
      <c r="J3369" t="inlineStr">
        <is>
          <t>High</t>
        </is>
      </c>
      <c r="M3369" t="inlineStr">
        <is>
          <t>LLM</t>
        </is>
      </c>
      <c r="N3369" t="inlineStr">
        <is>
          <t>2026-04-19</t>
        </is>
      </c>
      <c r="O3369" t="inlineStr">
        <is>
          <t>AI</t>
        </is>
      </c>
    </row>
    <row r="3370">
      <c r="A3370" t="inlineStr">
        <is>
          <t>PT Menthobi Karyatama Raya Tbk</t>
        </is>
      </c>
      <c r="B3370" t="inlineStr">
        <is>
          <t>MKTR_2024_AR.pdf</t>
        </is>
      </c>
      <c r="C3370" t="n">
        <v>2024</v>
      </c>
      <c r="D3370" t="inlineStr">
        <is>
          <t>Financial</t>
        </is>
      </c>
      <c r="E3370" t="inlineStr">
        <is>
          <t>Cash and Banks</t>
        </is>
      </c>
      <c r="F3370" t="n">
        <v>164.52</v>
      </c>
      <c r="G3370" t="inlineStr">
        <is>
          <t>IDR bn</t>
        </is>
      </c>
      <c r="H3370" t="n">
        <v>210</v>
      </c>
      <c r="I3370" t="inlineStr">
        <is>
          <t>Kas dan Bank Pada Akhir Tahun 164.519.625</t>
        </is>
      </c>
      <c r="J3370" t="inlineStr">
        <is>
          <t>High</t>
        </is>
      </c>
      <c r="M3370" t="inlineStr">
        <is>
          <t>LLM</t>
        </is>
      </c>
      <c r="N3370" t="inlineStr">
        <is>
          <t>2026-04-19</t>
        </is>
      </c>
      <c r="O3370" t="inlineStr">
        <is>
          <t>AI</t>
        </is>
      </c>
    </row>
    <row r="3371">
      <c r="A3371" t="inlineStr">
        <is>
          <t>PT Menthobi Karyatama Raya Tbk</t>
        </is>
      </c>
      <c r="B3371" t="inlineStr">
        <is>
          <t>MKTR_2024_AR.pdf</t>
        </is>
      </c>
      <c r="C3371" t="n">
        <v>2024</v>
      </c>
      <c r="D3371" t="inlineStr">
        <is>
          <t>Financial</t>
        </is>
      </c>
      <c r="E3371" t="inlineStr">
        <is>
          <t>Short-term Bank Loans</t>
        </is>
      </c>
      <c r="F3371" t="n">
        <v>20</v>
      </c>
      <c r="G3371" t="inlineStr">
        <is>
          <t>IDR bn</t>
        </is>
      </c>
      <c r="H3371" t="n">
        <v>194</v>
      </c>
      <c r="I3371" t="inlineStr">
        <is>
          <t>Pinjaman bank jangka pendek 20.000.000</t>
        </is>
      </c>
      <c r="J3371" t="inlineStr">
        <is>
          <t>High</t>
        </is>
      </c>
      <c r="M3371" t="inlineStr">
        <is>
          <t>LLM</t>
        </is>
      </c>
      <c r="N3371" t="inlineStr">
        <is>
          <t>2026-04-19</t>
        </is>
      </c>
      <c r="O3371" t="inlineStr">
        <is>
          <t>AI</t>
        </is>
      </c>
    </row>
    <row r="3372">
      <c r="A3372" t="inlineStr">
        <is>
          <t>PT Menthobi Karyatama Raya Tbk</t>
        </is>
      </c>
      <c r="B3372" t="inlineStr">
        <is>
          <t>MKTR_2024_AR.pdf</t>
        </is>
      </c>
      <c r="C3372" t="n">
        <v>2024</v>
      </c>
      <c r="D3372" t="inlineStr">
        <is>
          <t>Financial</t>
        </is>
      </c>
      <c r="E3372" t="inlineStr">
        <is>
          <t>Current portion of LT Bank Loans</t>
        </is>
      </c>
      <c r="F3372" t="n">
        <v>68.93000000000001</v>
      </c>
      <c r="G3372" t="inlineStr">
        <is>
          <t>IDR bn</t>
        </is>
      </c>
      <c r="H3372" t="n">
        <v>195</v>
      </c>
      <c r="I3372" t="inlineStr">
        <is>
          <t>Pinjaman bank (current maturities) 68.928.500</t>
        </is>
      </c>
      <c r="J3372" t="inlineStr">
        <is>
          <t>High</t>
        </is>
      </c>
      <c r="M3372" t="inlineStr">
        <is>
          <t>LLM</t>
        </is>
      </c>
      <c r="N3372" t="inlineStr">
        <is>
          <t>2026-04-19</t>
        </is>
      </c>
      <c r="O3372" t="inlineStr">
        <is>
          <t>AI</t>
        </is>
      </c>
    </row>
    <row r="3373">
      <c r="A3373" t="inlineStr">
        <is>
          <t>PT Menthobi Karyatama Raya Tbk</t>
        </is>
      </c>
      <c r="B3373" t="inlineStr">
        <is>
          <t>MKTR_2024_AR.pdf</t>
        </is>
      </c>
      <c r="C3373" t="n">
        <v>2024</v>
      </c>
      <c r="D3373" t="inlineStr">
        <is>
          <t>Financial</t>
        </is>
      </c>
      <c r="E3373" t="inlineStr">
        <is>
          <t>Long-term Bank Loans (net of current)</t>
        </is>
      </c>
      <c r="F3373" t="n">
        <v>709.79</v>
      </c>
      <c r="G3373" t="inlineStr">
        <is>
          <t>IDR bn</t>
        </is>
      </c>
      <c r="H3373" t="n">
        <v>195</v>
      </c>
      <c r="I3373" t="inlineStr">
        <is>
          <t>Pinjaman bank 709.787.667</t>
        </is>
      </c>
      <c r="J3373" t="inlineStr">
        <is>
          <t>High</t>
        </is>
      </c>
      <c r="M3373" t="inlineStr">
        <is>
          <t>LLM</t>
        </is>
      </c>
      <c r="N3373" t="inlineStr">
        <is>
          <t>2026-04-19</t>
        </is>
      </c>
      <c r="O3373" t="inlineStr">
        <is>
          <t>AI</t>
        </is>
      </c>
    </row>
    <row r="3374">
      <c r="A3374" t="inlineStr">
        <is>
          <t>PT Menthobi Karyatama Raya Tbk</t>
        </is>
      </c>
      <c r="B3374" t="inlineStr">
        <is>
          <t>MKTR_2024_AR.pdf</t>
        </is>
      </c>
      <c r="C3374" t="n">
        <v>2024</v>
      </c>
      <c r="D3374" t="inlineStr">
        <is>
          <t>Financial</t>
        </is>
      </c>
      <c r="E3374" t="inlineStr">
        <is>
          <t>Gross Debt (bank loans)</t>
        </is>
      </c>
      <c r="F3374" t="n">
        <v>798.72</v>
      </c>
      <c r="G3374" t="inlineStr">
        <is>
          <t>IDR bn</t>
        </is>
      </c>
      <c r="H3374" t="n">
        <v>195</v>
      </c>
      <c r="I3374" t="inlineStr">
        <is>
          <t>Calculated: 20.0 + 68.93 + 709.79 = 798.72</t>
        </is>
      </c>
      <c r="J3374" t="inlineStr">
        <is>
          <t>High</t>
        </is>
      </c>
      <c r="M3374" t="inlineStr">
        <is>
          <t>LLM</t>
        </is>
      </c>
      <c r="N3374" t="inlineStr">
        <is>
          <t>2026-04-19</t>
        </is>
      </c>
      <c r="O3374" t="inlineStr">
        <is>
          <t>AI</t>
        </is>
      </c>
    </row>
    <row r="3375">
      <c r="A3375" t="inlineStr">
        <is>
          <t>PT Menthobi Karyatama Raya Tbk</t>
        </is>
      </c>
      <c r="B3375" t="inlineStr">
        <is>
          <t>MKTR_2024_AR.pdf</t>
        </is>
      </c>
      <c r="C3375" t="n">
        <v>2024</v>
      </c>
      <c r="D3375" t="inlineStr">
        <is>
          <t>Financial</t>
        </is>
      </c>
      <c r="E3375" t="inlineStr">
        <is>
          <t>CFO</t>
        </is>
      </c>
      <c r="F3375" t="n">
        <v>114.33</v>
      </c>
      <c r="G3375" t="inlineStr">
        <is>
          <t>IDR bn</t>
        </is>
      </c>
      <c r="H3375" t="n">
        <v>209</v>
      </c>
      <c r="I3375" t="inlineStr">
        <is>
          <t>Arus kas bersih dari aktivitas operasi 114.329.489</t>
        </is>
      </c>
      <c r="J3375" t="inlineStr">
        <is>
          <t>High</t>
        </is>
      </c>
      <c r="M3375" t="inlineStr">
        <is>
          <t>LLM</t>
        </is>
      </c>
      <c r="N3375" t="inlineStr">
        <is>
          <t>2026-04-19</t>
        </is>
      </c>
      <c r="O3375" t="inlineStr">
        <is>
          <t>AI</t>
        </is>
      </c>
    </row>
    <row r="3376">
      <c r="A3376" t="inlineStr">
        <is>
          <t>PT Menthobi Karyatama Raya Tbk</t>
        </is>
      </c>
      <c r="B3376" t="inlineStr">
        <is>
          <t>MKTR_2024_AR.pdf</t>
        </is>
      </c>
      <c r="C3376" t="n">
        <v>2024</v>
      </c>
      <c r="D3376" t="inlineStr">
        <is>
          <t>Financial</t>
        </is>
      </c>
      <c r="E3376" t="inlineStr">
        <is>
          <t>CFI</t>
        </is>
      </c>
      <c r="F3376" t="n">
        <v>-257.62</v>
      </c>
      <c r="G3376" t="inlineStr">
        <is>
          <t>IDR bn</t>
        </is>
      </c>
      <c r="H3376" t="n">
        <v>209</v>
      </c>
      <c r="I3376" t="inlineStr">
        <is>
          <t>Arus kas bersih untuk aktivitas investasi (257.617.181)</t>
        </is>
      </c>
      <c r="J3376" t="inlineStr">
        <is>
          <t>High</t>
        </is>
      </c>
      <c r="M3376" t="inlineStr">
        <is>
          <t>LLM</t>
        </is>
      </c>
      <c r="N3376" t="inlineStr">
        <is>
          <t>2026-04-19</t>
        </is>
      </c>
      <c r="O3376" t="inlineStr">
        <is>
          <t>AI</t>
        </is>
      </c>
    </row>
    <row r="3377">
      <c r="A3377" t="inlineStr">
        <is>
          <t>PT Menthobi Karyatama Raya Tbk</t>
        </is>
      </c>
      <c r="B3377" t="inlineStr">
        <is>
          <t>MKTR_2024_AR.pdf</t>
        </is>
      </c>
      <c r="C3377" t="n">
        <v>2024</v>
      </c>
      <c r="D3377" t="inlineStr">
        <is>
          <t>Financial</t>
        </is>
      </c>
      <c r="E3377" t="inlineStr">
        <is>
          <t>CFF</t>
        </is>
      </c>
      <c r="F3377" t="n">
        <v>119.56</v>
      </c>
      <c r="G3377" t="inlineStr">
        <is>
          <t>IDR bn</t>
        </is>
      </c>
      <c r="H3377" t="n">
        <v>209</v>
      </c>
      <c r="I3377" t="inlineStr">
        <is>
          <t>Arus kas bersih dari aktivitas pendanaan 119.563.519</t>
        </is>
      </c>
      <c r="J3377" t="inlineStr">
        <is>
          <t>High</t>
        </is>
      </c>
      <c r="M3377" t="inlineStr">
        <is>
          <t>LLM</t>
        </is>
      </c>
      <c r="N3377" t="inlineStr">
        <is>
          <t>2026-04-19</t>
        </is>
      </c>
      <c r="O3377" t="inlineStr">
        <is>
          <t>AI</t>
        </is>
      </c>
    </row>
    <row r="3378">
      <c r="A3378" t="inlineStr">
        <is>
          <t>PT Menthobi Karyatama Raya Tbk</t>
        </is>
      </c>
      <c r="B3378" t="inlineStr">
        <is>
          <t>MKTR_2024_AR.pdf</t>
        </is>
      </c>
      <c r="C3378" t="n">
        <v>2024</v>
      </c>
      <c r="D3378" t="inlineStr">
        <is>
          <t>Financial</t>
        </is>
      </c>
      <c r="E3378" t="inlineStr">
        <is>
          <t>Capex (Realized 2024)</t>
        </is>
      </c>
      <c r="F3378" t="n">
        <v>70.81999999999999</v>
      </c>
      <c r="G3378" t="inlineStr">
        <is>
          <t>IDR bn</t>
        </is>
      </c>
      <c r="H3378" t="n">
        <v>221</v>
      </c>
      <c r="I3378" t="inlineStr">
        <is>
          <t>Total 70.817.043; belanja modal Perseroan berjumlah Rp70,82 miliar</t>
        </is>
      </c>
      <c r="J3378" t="inlineStr">
        <is>
          <t>High</t>
        </is>
      </c>
      <c r="M3378" t="inlineStr">
        <is>
          <t>LLM</t>
        </is>
      </c>
      <c r="N3378" t="inlineStr">
        <is>
          <t>2026-04-19</t>
        </is>
      </c>
      <c r="O3378" t="inlineStr">
        <is>
          <t>AI</t>
        </is>
      </c>
    </row>
    <row r="3379">
      <c r="A3379" t="inlineStr">
        <is>
          <t>PT Menthobi Karyatama Raya Tbk</t>
        </is>
      </c>
      <c r="B3379" t="inlineStr">
        <is>
          <t>MKTR_2024_AR.pdf</t>
        </is>
      </c>
      <c r="C3379" t="n">
        <v>2024</v>
      </c>
      <c r="D3379" t="inlineStr">
        <is>
          <t>Financial</t>
        </is>
      </c>
      <c r="E3379" t="inlineStr">
        <is>
          <t>EPS Basic</t>
        </is>
      </c>
      <c r="F3379" t="n">
        <v>4.33</v>
      </c>
      <c r="G3379" t="inlineStr">
        <is>
          <t>Rp/share</t>
        </is>
      </c>
      <c r="H3379" t="n">
        <v>20</v>
      </c>
      <c r="I3379" t="inlineStr">
        <is>
          <t>Laba per Saham Dasar (Nilai Penuh) 4,33</t>
        </is>
      </c>
      <c r="J3379" t="inlineStr">
        <is>
          <t>High</t>
        </is>
      </c>
      <c r="M3379" t="inlineStr">
        <is>
          <t>LLM</t>
        </is>
      </c>
      <c r="N3379" t="inlineStr">
        <is>
          <t>2026-04-19</t>
        </is>
      </c>
      <c r="O3379" t="inlineStr">
        <is>
          <t>AI</t>
        </is>
      </c>
    </row>
    <row r="3380">
      <c r="A3380" t="inlineStr">
        <is>
          <t>PT Menthobi Karyatama Raya Tbk</t>
        </is>
      </c>
      <c r="B3380" t="inlineStr">
        <is>
          <t>MKTR_2024_AR.pdf</t>
        </is>
      </c>
      <c r="C3380" t="n">
        <v>2024</v>
      </c>
      <c r="D3380" t="inlineStr">
        <is>
          <t>Financial</t>
        </is>
      </c>
      <c r="E3380" t="inlineStr">
        <is>
          <t>Shares Outstanding (end 2024)</t>
        </is>
      </c>
      <c r="F3380" t="n">
        <v>12052397422</v>
      </c>
      <c r="G3380" t="inlineStr">
        <is>
          <t>shares</t>
        </is>
      </c>
      <c r="H3380" t="n">
        <v>23</v>
      </c>
      <c r="I3380" t="inlineStr">
        <is>
          <t>12.052.397.422 shares (December 2024 row)</t>
        </is>
      </c>
      <c r="J3380" t="inlineStr">
        <is>
          <t>High</t>
        </is>
      </c>
      <c r="M3380" t="inlineStr">
        <is>
          <t>LLM</t>
        </is>
      </c>
      <c r="N3380" t="inlineStr">
        <is>
          <t>2026-04-19</t>
        </is>
      </c>
      <c r="O3380" t="inlineStr">
        <is>
          <t>AI</t>
        </is>
      </c>
    </row>
    <row r="3381">
      <c r="A3381" t="inlineStr">
        <is>
          <t>PT Menthobi Karyatama Raya Tbk</t>
        </is>
      </c>
      <c r="B3381" t="inlineStr">
        <is>
          <t>MKTR_2024_AR.pdf</t>
        </is>
      </c>
      <c r="C3381" t="n">
        <v>2024</v>
      </c>
      <c r="D3381" t="inlineStr">
        <is>
          <t>Financial</t>
        </is>
      </c>
      <c r="E3381" t="inlineStr">
        <is>
          <t>Closing Price (Dec 2024)</t>
        </is>
      </c>
      <c r="F3381" t="n">
        <v>120</v>
      </c>
      <c r="G3381" t="inlineStr">
        <is>
          <t>Rp/share</t>
        </is>
      </c>
      <c r="H3381" t="n">
        <v>23</v>
      </c>
      <c r="I3381" t="inlineStr">
        <is>
          <t>Desember 120 120 119 120 (Close Dec 2024)</t>
        </is>
      </c>
      <c r="J3381" t="inlineStr">
        <is>
          <t>High</t>
        </is>
      </c>
      <c r="M3381" t="inlineStr">
        <is>
          <t>LLM</t>
        </is>
      </c>
      <c r="N3381" t="inlineStr">
        <is>
          <t>2026-04-19</t>
        </is>
      </c>
      <c r="O3381" t="inlineStr">
        <is>
          <t>AI</t>
        </is>
      </c>
    </row>
    <row r="3382">
      <c r="A3382" t="inlineStr">
        <is>
          <t>PT Menthobi Karyatama Raya Tbk</t>
        </is>
      </c>
      <c r="B3382" t="inlineStr">
        <is>
          <t>MKTR_2024_AR.pdf</t>
        </is>
      </c>
      <c r="C3382" t="n">
        <v>2024</v>
      </c>
      <c r="D3382" t="inlineStr">
        <is>
          <t>Financial</t>
        </is>
      </c>
      <c r="E3382" t="inlineStr">
        <is>
          <t>Market Capitalization</t>
        </is>
      </c>
      <c r="F3382" t="n">
        <v>1446.29</v>
      </c>
      <c r="G3382" t="inlineStr">
        <is>
          <t>IDR bn</t>
        </is>
      </c>
      <c r="H3382" t="n">
        <v>23</v>
      </c>
      <c r="I3382" t="inlineStr">
        <is>
          <t>Desember: 1.446.287.691 (thousand Rp)</t>
        </is>
      </c>
      <c r="J3382" t="inlineStr">
        <is>
          <t>High</t>
        </is>
      </c>
      <c r="M3382" t="inlineStr">
        <is>
          <t>LLM</t>
        </is>
      </c>
      <c r="N3382" t="inlineStr">
        <is>
          <t>2026-04-19</t>
        </is>
      </c>
      <c r="O3382" t="inlineStr">
        <is>
          <t>AI</t>
        </is>
      </c>
    </row>
    <row r="3383">
      <c r="A3383" t="inlineStr">
        <is>
          <t>PT Menthobi Karyatama Raya Tbk</t>
        </is>
      </c>
      <c r="B3383" t="inlineStr">
        <is>
          <t>MKTR_2024_AR.pdf</t>
        </is>
      </c>
      <c r="C3383" t="n">
        <v>2024</v>
      </c>
      <c r="D3383" t="inlineStr">
        <is>
          <t>Financial</t>
        </is>
      </c>
      <c r="E3383" t="inlineStr">
        <is>
          <t>Final Dividend (2024 - paid from 2023 results)</t>
        </is>
      </c>
      <c r="F3383" t="n">
        <v>12</v>
      </c>
      <c r="G3383" t="inlineStr">
        <is>
          <t>IDR bn</t>
        </is>
      </c>
      <c r="H3383" t="n">
        <v>246</v>
      </c>
      <c r="I3383" t="inlineStr">
        <is>
          <t>dividen tunai sejumlah Rp12.000.123.702, atau sebesar Rp1,-</t>
        </is>
      </c>
      <c r="J3383" t="inlineStr">
        <is>
          <t>High</t>
        </is>
      </c>
      <c r="M3383" t="inlineStr">
        <is>
          <t>LLM</t>
        </is>
      </c>
      <c r="N3383" t="inlineStr">
        <is>
          <t>2026-04-19</t>
        </is>
      </c>
      <c r="O3383" t="inlineStr">
        <is>
          <t>AI</t>
        </is>
      </c>
    </row>
    <row r="3384">
      <c r="A3384" t="inlineStr">
        <is>
          <t>PT Menthobi Karyatama Raya Tbk</t>
        </is>
      </c>
      <c r="B3384" t="inlineStr">
        <is>
          <t>MKTR_2024_AR.pdf</t>
        </is>
      </c>
      <c r="C3384" t="n">
        <v>2024</v>
      </c>
      <c r="D3384" t="inlineStr">
        <is>
          <t>Financial</t>
        </is>
      </c>
      <c r="E3384" t="inlineStr">
        <is>
          <t>Current Ratio</t>
        </is>
      </c>
      <c r="F3384" t="n">
        <v>390.08</v>
      </c>
      <c r="G3384" t="inlineStr">
        <is>
          <t>%</t>
        </is>
      </c>
      <c r="H3384" t="n">
        <v>21</v>
      </c>
      <c r="I3384" t="inlineStr">
        <is>
          <t>Rasio Lancar 390,08</t>
        </is>
      </c>
      <c r="J3384" t="inlineStr">
        <is>
          <t>High</t>
        </is>
      </c>
      <c r="M3384" t="inlineStr">
        <is>
          <t>LLM</t>
        </is>
      </c>
      <c r="N3384" t="inlineStr">
        <is>
          <t>2026-04-19</t>
        </is>
      </c>
      <c r="O3384" t="inlineStr">
        <is>
          <t>AI</t>
        </is>
      </c>
    </row>
    <row r="3385">
      <c r="A3385" t="inlineStr">
        <is>
          <t>PT Menthobi Karyatama Raya Tbk</t>
        </is>
      </c>
      <c r="B3385" t="inlineStr">
        <is>
          <t>MKTR_2024_AR.pdf</t>
        </is>
      </c>
      <c r="C3385" t="n">
        <v>2024</v>
      </c>
      <c r="D3385" t="inlineStr">
        <is>
          <t>Financial</t>
        </is>
      </c>
      <c r="E3385" t="inlineStr">
        <is>
          <t>Debt to Equity</t>
        </is>
      </c>
      <c r="F3385" t="n">
        <v>141.28</v>
      </c>
      <c r="G3385" t="inlineStr">
        <is>
          <t>%</t>
        </is>
      </c>
      <c r="H3385" t="n">
        <v>21</v>
      </c>
      <c r="I3385" t="inlineStr">
        <is>
          <t>Jumlah Liabilitas / Jumlah Ekuitas 141,28</t>
        </is>
      </c>
      <c r="J3385" t="inlineStr">
        <is>
          <t>High</t>
        </is>
      </c>
      <c r="M3385" t="inlineStr">
        <is>
          <t>LLM</t>
        </is>
      </c>
      <c r="N3385" t="inlineStr">
        <is>
          <t>2026-04-19</t>
        </is>
      </c>
      <c r="O3385" t="inlineStr">
        <is>
          <t>AI</t>
        </is>
      </c>
    </row>
    <row r="3386">
      <c r="A3386" t="inlineStr">
        <is>
          <t>PT Menthobi Karyatama Raya Tbk</t>
        </is>
      </c>
      <c r="B3386" t="inlineStr">
        <is>
          <t>MKTR_2024_AR.pdf</t>
        </is>
      </c>
      <c r="C3386" t="n">
        <v>2024</v>
      </c>
      <c r="D3386" t="inlineStr">
        <is>
          <t>Financial</t>
        </is>
      </c>
      <c r="E3386" t="inlineStr">
        <is>
          <t>ROA</t>
        </is>
      </c>
      <c r="F3386" t="n">
        <v>3.45</v>
      </c>
      <c r="G3386" t="inlineStr">
        <is>
          <t>%</t>
        </is>
      </c>
      <c r="H3386" t="n">
        <v>21</v>
      </c>
      <c r="I3386" t="inlineStr">
        <is>
          <t>Return on Asset (ROA) 3,45</t>
        </is>
      </c>
      <c r="J3386" t="inlineStr">
        <is>
          <t>High</t>
        </is>
      </c>
      <c r="M3386" t="inlineStr">
        <is>
          <t>LLM</t>
        </is>
      </c>
      <c r="N3386" t="inlineStr">
        <is>
          <t>2026-04-19</t>
        </is>
      </c>
      <c r="O3386" t="inlineStr">
        <is>
          <t>AI</t>
        </is>
      </c>
    </row>
    <row r="3387">
      <c r="A3387" t="inlineStr">
        <is>
          <t>PT Menthobi Karyatama Raya Tbk</t>
        </is>
      </c>
      <c r="B3387" t="inlineStr">
        <is>
          <t>MKTR_2024_AR.pdf</t>
        </is>
      </c>
      <c r="C3387" t="n">
        <v>2024</v>
      </c>
      <c r="D3387" t="inlineStr">
        <is>
          <t>Financial</t>
        </is>
      </c>
      <c r="E3387" t="inlineStr">
        <is>
          <t>ROE</t>
        </is>
      </c>
      <c r="F3387" t="n">
        <v>8.32</v>
      </c>
      <c r="G3387" t="inlineStr">
        <is>
          <t>%</t>
        </is>
      </c>
      <c r="H3387" t="n">
        <v>21</v>
      </c>
      <c r="I3387" t="inlineStr">
        <is>
          <t>Return on Equity (ROE) 8,32</t>
        </is>
      </c>
      <c r="J3387" t="inlineStr">
        <is>
          <t>High</t>
        </is>
      </c>
      <c r="M3387" t="inlineStr">
        <is>
          <t>LLM</t>
        </is>
      </c>
      <c r="N3387" t="inlineStr">
        <is>
          <t>2026-04-19</t>
        </is>
      </c>
      <c r="O3387" t="inlineStr">
        <is>
          <t>AI</t>
        </is>
      </c>
    </row>
    <row r="3388">
      <c r="A3388" t="inlineStr">
        <is>
          <t>PT Menthobi Karyatama Raya Tbk</t>
        </is>
      </c>
      <c r="B3388" t="inlineStr">
        <is>
          <t>MKTR_2024_AR.pdf</t>
        </is>
      </c>
      <c r="C3388" t="n">
        <v>2024</v>
      </c>
      <c r="D3388" t="inlineStr">
        <is>
          <t>Financial</t>
        </is>
      </c>
      <c r="E3388" t="inlineStr">
        <is>
          <t>Trade Receivables</t>
        </is>
      </c>
      <c r="G3388" t="inlineStr">
        <is>
          <t>IDR bn</t>
        </is>
      </c>
      <c r="H3388" t="n">
        <v>194</v>
      </c>
      <c r="I3388" t="inlineStr">
        <is>
          <t>(see balance sheet notes)</t>
        </is>
      </c>
      <c r="J3388" t="inlineStr">
        <is>
          <t>Low</t>
        </is>
      </c>
      <c r="M3388" t="inlineStr">
        <is>
          <t>LLM</t>
        </is>
      </c>
      <c r="N3388" t="inlineStr">
        <is>
          <t>2026-04-19</t>
        </is>
      </c>
      <c r="O3388" t="inlineStr">
        <is>
          <t>AI</t>
        </is>
      </c>
    </row>
    <row r="3389">
      <c r="A3389" t="inlineStr">
        <is>
          <t>PT Menthobi Karyatama Raya Tbk</t>
        </is>
      </c>
      <c r="B3389" t="inlineStr">
        <is>
          <t>MKTR_2024_AR.pdf</t>
        </is>
      </c>
      <c r="C3389" t="n">
        <v>2024</v>
      </c>
      <c r="D3389" t="inlineStr">
        <is>
          <t>Financial</t>
        </is>
      </c>
      <c r="E3389" t="inlineStr">
        <is>
          <t>Finance Cost (Interest)</t>
        </is>
      </c>
      <c r="G3389" t="inlineStr">
        <is>
          <t>IDR bn</t>
        </is>
      </c>
      <c r="I3389" t="inlineStr">
        <is>
          <t>Interest coverage ratio 399.08x suggests modest interest</t>
        </is>
      </c>
      <c r="J3389" t="inlineStr">
        <is>
          <t>Low</t>
        </is>
      </c>
      <c r="M3389" t="inlineStr">
        <is>
          <t>LLM</t>
        </is>
      </c>
      <c r="N3389" t="inlineStr">
        <is>
          <t>2026-04-19</t>
        </is>
      </c>
      <c r="O3389" t="inlineStr">
        <is>
          <t>AI</t>
        </is>
      </c>
    </row>
    <row r="3390">
      <c r="A3390" t="inlineStr">
        <is>
          <t>PT Menthobi Karyatama Raya Tbk</t>
        </is>
      </c>
      <c r="B3390" t="inlineStr">
        <is>
          <t>MKTR_2024_AR.pdf</t>
        </is>
      </c>
      <c r="C3390" t="n">
        <v>2024</v>
      </c>
      <c r="D3390" t="inlineStr">
        <is>
          <t>Financial</t>
        </is>
      </c>
      <c r="E3390" t="inlineStr">
        <is>
          <t>CPO Sales Revenue</t>
        </is>
      </c>
      <c r="F3390" t="n">
        <v>899.85</v>
      </c>
      <c r="G3390" t="inlineStr">
        <is>
          <t>IDR bn</t>
        </is>
      </c>
      <c r="H3390" t="n">
        <v>15</v>
      </c>
      <c r="I3390" t="inlineStr">
        <is>
          <t>2024 Rp899,85 Miliar | Billion; Meningkat 37,83%</t>
        </is>
      </c>
      <c r="J3390" t="inlineStr">
        <is>
          <t>High</t>
        </is>
      </c>
      <c r="M3390" t="inlineStr">
        <is>
          <t>LLM</t>
        </is>
      </c>
      <c r="N3390" t="inlineStr">
        <is>
          <t>2026-04-19</t>
        </is>
      </c>
      <c r="O3390" t="inlineStr">
        <is>
          <t>AI</t>
        </is>
      </c>
    </row>
    <row r="3391">
      <c r="A3391" t="inlineStr">
        <is>
          <t>PT Menthobi Karyatama Raya Tbk</t>
        </is>
      </c>
      <c r="B3391" t="inlineStr">
        <is>
          <t>MKTR_2024_AR.pdf</t>
        </is>
      </c>
      <c r="C3391" t="n">
        <v>2024</v>
      </c>
      <c r="D3391" t="inlineStr">
        <is>
          <t>Financial</t>
        </is>
      </c>
      <c r="E3391" t="inlineStr">
        <is>
          <t>PK Sales Revenue</t>
        </is>
      </c>
      <c r="F3391" t="n">
        <v>32.81</v>
      </c>
      <c r="G3391" t="inlineStr">
        <is>
          <t>IDR bn</t>
        </is>
      </c>
      <c r="H3391" t="n">
        <v>18</v>
      </c>
      <c r="I3391" t="inlineStr">
        <is>
          <t>Inti Kelapa Sawit 32.808.065</t>
        </is>
      </c>
      <c r="J3391" t="inlineStr">
        <is>
          <t>High</t>
        </is>
      </c>
      <c r="M3391" t="inlineStr">
        <is>
          <t>LLM</t>
        </is>
      </c>
      <c r="N3391" t="inlineStr">
        <is>
          <t>2026-04-19</t>
        </is>
      </c>
      <c r="O3391" t="inlineStr">
        <is>
          <t>AI</t>
        </is>
      </c>
    </row>
    <row r="3392">
      <c r="A3392" t="inlineStr">
        <is>
          <t>PT Menthobi Karyatama Raya Tbk</t>
        </is>
      </c>
      <c r="B3392" t="inlineStr">
        <is>
          <t>MKTR_2024_AR.pdf</t>
        </is>
      </c>
      <c r="C3392" t="n">
        <v>2024</v>
      </c>
      <c r="D3392" t="inlineStr">
        <is>
          <t>Financial</t>
        </is>
      </c>
      <c r="E3392" t="inlineStr">
        <is>
          <t>PKO Sales Revenue</t>
        </is>
      </c>
      <c r="F3392" t="n">
        <v>62.95</v>
      </c>
      <c r="G3392" t="inlineStr">
        <is>
          <t>IDR bn</t>
        </is>
      </c>
      <c r="H3392" t="n">
        <v>18</v>
      </c>
      <c r="I3392" t="inlineStr">
        <is>
          <t>Minyak Inti Kelapa Sawit 62.947.662</t>
        </is>
      </c>
      <c r="J3392" t="inlineStr">
        <is>
          <t>High</t>
        </is>
      </c>
      <c r="M3392" t="inlineStr">
        <is>
          <t>LLM</t>
        </is>
      </c>
      <c r="N3392" t="inlineStr">
        <is>
          <t>2026-04-19</t>
        </is>
      </c>
      <c r="O3392" t="inlineStr">
        <is>
          <t>AI</t>
        </is>
      </c>
    </row>
    <row r="3393">
      <c r="A3393" t="inlineStr">
        <is>
          <t>PT Menthobi Karyatama Raya Tbk</t>
        </is>
      </c>
      <c r="B3393" t="inlineStr">
        <is>
          <t>MKTR_2024_AR.pdf</t>
        </is>
      </c>
      <c r="C3393" t="n">
        <v>2024</v>
      </c>
      <c r="D3393" t="inlineStr">
        <is>
          <t>Asset</t>
        </is>
      </c>
      <c r="E3393" t="inlineStr">
        <is>
          <t>Planted Area Reserve</t>
        </is>
      </c>
      <c r="F3393" t="n">
        <v>1807.94</v>
      </c>
      <c r="G3393" t="inlineStr">
        <is>
          <t>ha</t>
        </is>
      </c>
      <c r="H3393" t="n">
        <v>63</v>
      </c>
      <c r="I3393" t="inlineStr">
        <is>
          <t>total cadangan lahan seluas 1.807,94 hektare dari area yang telah ditanami</t>
        </is>
      </c>
      <c r="J3393" t="inlineStr">
        <is>
          <t>High</t>
        </is>
      </c>
      <c r="M3393" t="inlineStr">
        <is>
          <t>LLM</t>
        </is>
      </c>
      <c r="N3393" t="inlineStr">
        <is>
          <t>2026-04-19</t>
        </is>
      </c>
      <c r="O3393" t="inlineStr">
        <is>
          <t>AI</t>
        </is>
      </c>
    </row>
    <row r="3394">
      <c r="A3394" t="inlineStr">
        <is>
          <t>PT Menthobi Karyatama Raya Tbk</t>
        </is>
      </c>
      <c r="B3394" t="inlineStr">
        <is>
          <t>MKTR_2024_AR.pdf</t>
        </is>
      </c>
      <c r="C3394" t="n">
        <v>2024</v>
      </c>
      <c r="D3394" t="inlineStr">
        <is>
          <t>Asset</t>
        </is>
      </c>
      <c r="E3394" t="inlineStr">
        <is>
          <t>HGU Total (5 certificates)</t>
        </is>
      </c>
      <c r="F3394" t="n">
        <v>7424.11</v>
      </c>
      <c r="G3394" t="inlineStr">
        <is>
          <t>ha</t>
        </is>
      </c>
      <c r="H3394" t="n">
        <v>463</v>
      </c>
      <c r="I3394" t="inlineStr">
        <is>
          <t>perkebunan kelapa sawit seluas 7.424,11 Ha. milik Grup digunakan sebagai jaminan</t>
        </is>
      </c>
      <c r="J3394" t="inlineStr">
        <is>
          <t>High</t>
        </is>
      </c>
      <c r="M3394" t="inlineStr">
        <is>
          <t>LLM</t>
        </is>
      </c>
      <c r="N3394" t="inlineStr">
        <is>
          <t>2026-04-19</t>
        </is>
      </c>
      <c r="O3394" t="inlineStr">
        <is>
          <t>AI</t>
        </is>
      </c>
    </row>
    <row r="3395">
      <c r="A3395" t="inlineStr">
        <is>
          <t>PT Menthobi Karyatama Raya Tbk</t>
        </is>
      </c>
      <c r="B3395" t="inlineStr">
        <is>
          <t>MKTR_2024_AR.pdf</t>
        </is>
      </c>
      <c r="C3395" t="n">
        <v>2024</v>
      </c>
      <c r="D3395" t="inlineStr">
        <is>
          <t>Asset</t>
        </is>
      </c>
      <c r="E3395" t="inlineStr">
        <is>
          <t>Location Permit Area</t>
        </is>
      </c>
      <c r="F3395" t="n">
        <v>12000</v>
      </c>
      <c r="G3395" t="inlineStr">
        <is>
          <t>ha</t>
        </is>
      </c>
      <c r="H3395" t="n">
        <v>84</v>
      </c>
      <c r="I3395" t="inlineStr">
        <is>
          <t>dengan luas area sesuai izin lokasi seluas ± 12.000 hektare</t>
        </is>
      </c>
      <c r="J3395" t="inlineStr">
        <is>
          <t>High</t>
        </is>
      </c>
      <c r="M3395" t="inlineStr">
        <is>
          <t>LLM</t>
        </is>
      </c>
      <c r="N3395" t="inlineStr">
        <is>
          <t>2026-04-19</t>
        </is>
      </c>
      <c r="O3395" t="inlineStr">
        <is>
          <t>AI</t>
        </is>
      </c>
    </row>
    <row r="3396">
      <c r="A3396" t="inlineStr">
        <is>
          <t>PT Menthobi Karyatama Raya Tbk</t>
        </is>
      </c>
      <c r="B3396" t="inlineStr">
        <is>
          <t>MKTR_2024_AR.pdf</t>
        </is>
      </c>
      <c r="C3396" t="n">
        <v>2024</v>
      </c>
      <c r="D3396" t="inlineStr">
        <is>
          <t>Asset</t>
        </is>
      </c>
      <c r="E3396" t="inlineStr">
        <is>
          <t>Mature Plantation Carrying Value</t>
        </is>
      </c>
      <c r="F3396" t="n">
        <v>147.68</v>
      </c>
      <c r="G3396" t="inlineStr">
        <is>
          <t>IDR bn</t>
        </is>
      </c>
      <c r="H3396" t="n">
        <v>462</v>
      </c>
      <c r="I3396" t="inlineStr">
        <is>
          <t>Tanaman menghasilkan 147.680.681</t>
        </is>
      </c>
      <c r="J3396" t="inlineStr">
        <is>
          <t>High</t>
        </is>
      </c>
      <c r="M3396" t="inlineStr">
        <is>
          <t>LLM</t>
        </is>
      </c>
      <c r="N3396" t="inlineStr">
        <is>
          <t>2026-04-19</t>
        </is>
      </c>
      <c r="O3396" t="inlineStr">
        <is>
          <t>AI</t>
        </is>
      </c>
    </row>
    <row r="3397">
      <c r="A3397" t="inlineStr">
        <is>
          <t>PT Menthobi Karyatama Raya Tbk</t>
        </is>
      </c>
      <c r="B3397" t="inlineStr">
        <is>
          <t>MKTR_2024_AR.pdf</t>
        </is>
      </c>
      <c r="C3397" t="n">
        <v>2024</v>
      </c>
      <c r="D3397" t="inlineStr">
        <is>
          <t>Asset</t>
        </is>
      </c>
      <c r="E3397" t="inlineStr">
        <is>
          <t>Immature Plantation Carrying Value</t>
        </is>
      </c>
      <c r="F3397" t="n">
        <v>25.36</v>
      </c>
      <c r="G3397" t="inlineStr">
        <is>
          <t>IDR bn</t>
        </is>
      </c>
      <c r="H3397" t="n">
        <v>462</v>
      </c>
      <c r="I3397" t="inlineStr">
        <is>
          <t>Tanaman belum menghasilkan 25.360.490</t>
        </is>
      </c>
      <c r="J3397" t="inlineStr">
        <is>
          <t>High</t>
        </is>
      </c>
      <c r="M3397" t="inlineStr">
        <is>
          <t>LLM</t>
        </is>
      </c>
      <c r="N3397" t="inlineStr">
        <is>
          <t>2026-04-19</t>
        </is>
      </c>
      <c r="O3397" t="inlineStr">
        <is>
          <t>AI</t>
        </is>
      </c>
    </row>
    <row r="3398">
      <c r="A3398" t="inlineStr">
        <is>
          <t>PT Menthobi Karyatama Raya Tbk</t>
        </is>
      </c>
      <c r="B3398" t="inlineStr">
        <is>
          <t>MKTR_2024_AR.pdf</t>
        </is>
      </c>
      <c r="C3398" t="n">
        <v>2024</v>
      </c>
      <c r="D3398" t="inlineStr">
        <is>
          <t>Asset</t>
        </is>
      </c>
      <c r="E3398" t="inlineStr">
        <is>
          <t>Fixed Assets and Bearer Plants Net</t>
        </is>
      </c>
      <c r="F3398" t="n">
        <v>776.86</v>
      </c>
      <c r="G3398" t="inlineStr">
        <is>
          <t>IDR bn</t>
        </is>
      </c>
      <c r="H3398" t="n">
        <v>194</v>
      </c>
      <c r="I3398" t="inlineStr">
        <is>
          <t>Aset tetap dan tanaman produktif – bersih 776.861.557</t>
        </is>
      </c>
      <c r="J3398" t="inlineStr">
        <is>
          <t>High</t>
        </is>
      </c>
      <c r="M3398" t="inlineStr">
        <is>
          <t>LLM</t>
        </is>
      </c>
      <c r="N3398" t="inlineStr">
        <is>
          <t>2026-04-19</t>
        </is>
      </c>
      <c r="O3398" t="inlineStr">
        <is>
          <t>AI</t>
        </is>
      </c>
    </row>
    <row r="3399">
      <c r="A3399" t="inlineStr">
        <is>
          <t>PT Menthobi Karyatama Raya Tbk</t>
        </is>
      </c>
      <c r="B3399" t="inlineStr">
        <is>
          <t>MKTR_2024_AR.pdf</t>
        </is>
      </c>
      <c r="C3399" t="n">
        <v>2024</v>
      </c>
      <c r="D3399" t="inlineStr">
        <is>
          <t>Asset</t>
        </is>
      </c>
      <c r="E3399" t="inlineStr">
        <is>
          <t>Palm Oil Mills Count</t>
        </is>
      </c>
      <c r="F3399" t="n">
        <v>2</v>
      </c>
      <c r="G3399" t="inlineStr">
        <is>
          <t>count</t>
        </is>
      </c>
      <c r="H3399" t="n">
        <v>84</v>
      </c>
      <c r="I3399" t="inlineStr">
        <is>
          <t>1 (satu) perkebunan Kelapa Sawit, 2 (dua) Pabrik Kelapa Sawit serta 2 (dua) Pabrik Pupuk Kompos Granul</t>
        </is>
      </c>
      <c r="J3399" t="inlineStr">
        <is>
          <t>High</t>
        </is>
      </c>
      <c r="M3399" t="inlineStr">
        <is>
          <t>LLM</t>
        </is>
      </c>
      <c r="N3399" t="inlineStr">
        <is>
          <t>2026-04-19</t>
        </is>
      </c>
      <c r="O3399" t="inlineStr">
        <is>
          <t>AI</t>
        </is>
      </c>
    </row>
    <row r="3400">
      <c r="A3400" t="inlineStr">
        <is>
          <t>PT Menthobi Karyatama Raya Tbk</t>
        </is>
      </c>
      <c r="B3400" t="inlineStr">
        <is>
          <t>MKTR_2024_AR.pdf</t>
        </is>
      </c>
      <c r="C3400" t="n">
        <v>2024</v>
      </c>
      <c r="D3400" t="inlineStr">
        <is>
          <t>Asset</t>
        </is>
      </c>
      <c r="E3400" t="inlineStr">
        <is>
          <t>Mill Capacity</t>
        </is>
      </c>
      <c r="F3400" t="n">
        <v>30</v>
      </c>
      <c r="G3400" t="inlineStr">
        <is>
          <t>tph</t>
        </is>
      </c>
      <c r="H3400" t="n">
        <v>82</v>
      </c>
      <c r="I3400" t="inlineStr">
        <is>
          <t>kapasitas produksi CPO mencapai 30 ton/jam</t>
        </is>
      </c>
      <c r="J3400" t="inlineStr">
        <is>
          <t>High</t>
        </is>
      </c>
      <c r="M3400" t="inlineStr">
        <is>
          <t>LLM</t>
        </is>
      </c>
      <c r="N3400" t="inlineStr">
        <is>
          <t>2026-04-19</t>
        </is>
      </c>
      <c r="O3400" t="inlineStr">
        <is>
          <t>AI</t>
        </is>
      </c>
    </row>
    <row r="3401">
      <c r="A3401" t="inlineStr">
        <is>
          <t>PT Menthobi Karyatama Raya Tbk</t>
        </is>
      </c>
      <c r="B3401" t="inlineStr">
        <is>
          <t>MKTR_2024_AR.pdf</t>
        </is>
      </c>
      <c r="C3401" t="n">
        <v>2024</v>
      </c>
      <c r="D3401" t="inlineStr">
        <is>
          <t>Asset</t>
        </is>
      </c>
      <c r="E3401" t="inlineStr">
        <is>
          <t>Kernel Crushing Plant (KCP) Capacity</t>
        </is>
      </c>
      <c r="F3401" t="n">
        <v>60</v>
      </c>
      <c r="G3401" t="inlineStr">
        <is>
          <t>t/day</t>
        </is>
      </c>
      <c r="H3401" t="n">
        <v>21</v>
      </c>
      <c r="I3401" t="inlineStr">
        <is>
          <t>Kernel Crushing Plant (KCP) dengan kapasitas 60 ton per hari (p.~24 Dewan Komisaris letter)</t>
        </is>
      </c>
      <c r="J3401" t="inlineStr">
        <is>
          <t>High</t>
        </is>
      </c>
      <c r="M3401" t="inlineStr">
        <is>
          <t>LLM</t>
        </is>
      </c>
      <c r="N3401" t="inlineStr">
        <is>
          <t>2026-04-19</t>
        </is>
      </c>
      <c r="O3401" t="inlineStr">
        <is>
          <t>AI</t>
        </is>
      </c>
    </row>
    <row r="3402">
      <c r="A3402" t="inlineStr">
        <is>
          <t>PT Menthobi Karyatama Raya Tbk</t>
        </is>
      </c>
      <c r="B3402" t="inlineStr">
        <is>
          <t>MKTR_2024_AR.pdf</t>
        </is>
      </c>
      <c r="C3402" t="n">
        <v>2024</v>
      </c>
      <c r="D3402" t="inlineStr">
        <is>
          <t>Asset</t>
        </is>
      </c>
      <c r="E3402" t="inlineStr">
        <is>
          <t>Granular Compost Fertilizer Plants</t>
        </is>
      </c>
      <c r="F3402" t="n">
        <v>2</v>
      </c>
      <c r="G3402" t="inlineStr">
        <is>
          <t>count</t>
        </is>
      </c>
      <c r="H3402" t="n">
        <v>84</v>
      </c>
      <c r="I3402" t="inlineStr">
        <is>
          <t>2 (dua) Pabrik Pupuk Kompos Granul</t>
        </is>
      </c>
      <c r="J3402" t="inlineStr">
        <is>
          <t>High</t>
        </is>
      </c>
      <c r="M3402" t="inlineStr">
        <is>
          <t>LLM</t>
        </is>
      </c>
      <c r="N3402" t="inlineStr">
        <is>
          <t>2026-04-19</t>
        </is>
      </c>
      <c r="O3402" t="inlineStr">
        <is>
          <t>AI</t>
        </is>
      </c>
    </row>
    <row r="3403">
      <c r="A3403" t="inlineStr">
        <is>
          <t>PT Menthobi Karyatama Raya Tbk</t>
        </is>
      </c>
      <c r="B3403" t="inlineStr">
        <is>
          <t>MKTR_2024_AR.pdf</t>
        </is>
      </c>
      <c r="C3403" t="n">
        <v>2024</v>
      </c>
      <c r="D3403" t="inlineStr">
        <is>
          <t>Asset</t>
        </is>
      </c>
      <c r="E3403" t="inlineStr">
        <is>
          <t>Biomass Pellet Capacity (planned)</t>
        </is>
      </c>
      <c r="F3403" t="n">
        <v>10</v>
      </c>
      <c r="G3403" t="inlineStr">
        <is>
          <t>tph</t>
        </is>
      </c>
      <c r="H3403" t="n">
        <v>32</v>
      </c>
      <c r="I3403" t="inlineStr">
        <is>
          <t>kapasitas 10 ton/jam direncanakan (tankos) with a capacity of 10 tons/hour</t>
        </is>
      </c>
      <c r="J3403" t="inlineStr">
        <is>
          <t>Medium</t>
        </is>
      </c>
      <c r="M3403" t="inlineStr">
        <is>
          <t>LLM</t>
        </is>
      </c>
      <c r="N3403" t="inlineStr">
        <is>
          <t>2026-04-19</t>
        </is>
      </c>
      <c r="O3403" t="inlineStr">
        <is>
          <t>AI</t>
        </is>
      </c>
    </row>
    <row r="3404">
      <c r="A3404" t="inlineStr">
        <is>
          <t>PT Menthobi Karyatama Raya Tbk</t>
        </is>
      </c>
      <c r="B3404" t="inlineStr">
        <is>
          <t>MKTR_2024_AR.pdf</t>
        </is>
      </c>
      <c r="C3404" t="n">
        <v>2024</v>
      </c>
      <c r="D3404" t="inlineStr">
        <is>
          <t>Operation</t>
        </is>
      </c>
      <c r="E3404" t="inlineStr">
        <is>
          <t>FFB Production (Homegrown)</t>
        </is>
      </c>
      <c r="F3404" t="n">
        <v>100830</v>
      </c>
      <c r="G3404" t="inlineStr">
        <is>
          <t>t</t>
        </is>
      </c>
      <c r="H3404" t="n">
        <v>19</v>
      </c>
      <c r="I3404" t="inlineStr">
        <is>
          <t>Jumlah TBS hasil Produksi Perkebunan 100.830</t>
        </is>
      </c>
      <c r="J3404" t="inlineStr">
        <is>
          <t>High</t>
        </is>
      </c>
      <c r="M3404" t="inlineStr">
        <is>
          <t>LLM</t>
        </is>
      </c>
      <c r="N3404" t="inlineStr">
        <is>
          <t>2026-04-19</t>
        </is>
      </c>
      <c r="O3404" t="inlineStr">
        <is>
          <t>AI</t>
        </is>
      </c>
    </row>
    <row r="3405">
      <c r="A3405" t="inlineStr">
        <is>
          <t>PT Menthobi Karyatama Raya Tbk</t>
        </is>
      </c>
      <c r="B3405" t="inlineStr">
        <is>
          <t>MKTR_2024_AR.pdf</t>
        </is>
      </c>
      <c r="C3405" t="n">
        <v>2024</v>
      </c>
      <c r="D3405" t="inlineStr">
        <is>
          <t>Operation</t>
        </is>
      </c>
      <c r="E3405" t="inlineStr">
        <is>
          <t>FFB Purchased from Third Parties</t>
        </is>
      </c>
      <c r="F3405" t="n">
        <v>217660</v>
      </c>
      <c r="G3405" t="inlineStr">
        <is>
          <t>t</t>
        </is>
      </c>
      <c r="H3405" t="n">
        <v>19</v>
      </c>
      <c r="I3405" t="inlineStr">
        <is>
          <t>Jumlah TBS yang dibeli dari pihak ketiga 217.660</t>
        </is>
      </c>
      <c r="J3405" t="inlineStr">
        <is>
          <t>High</t>
        </is>
      </c>
      <c r="M3405" t="inlineStr">
        <is>
          <t>LLM</t>
        </is>
      </c>
      <c r="N3405" t="inlineStr">
        <is>
          <t>2026-04-19</t>
        </is>
      </c>
      <c r="O3405" t="inlineStr">
        <is>
          <t>AI</t>
        </is>
      </c>
    </row>
    <row r="3406">
      <c r="A3406" t="inlineStr">
        <is>
          <t>PT Menthobi Karyatama Raya Tbk</t>
        </is>
      </c>
      <c r="B3406" t="inlineStr">
        <is>
          <t>MKTR_2024_AR.pdf</t>
        </is>
      </c>
      <c r="C3406" t="n">
        <v>2024</v>
      </c>
      <c r="D3406" t="inlineStr">
        <is>
          <t>Operation</t>
        </is>
      </c>
      <c r="E3406" t="inlineStr">
        <is>
          <t>FFB Processed</t>
        </is>
      </c>
      <c r="F3406" t="n">
        <v>318717</v>
      </c>
      <c r="G3406" t="inlineStr">
        <is>
          <t>t</t>
        </is>
      </c>
      <c r="H3406" t="n">
        <v>19</v>
      </c>
      <c r="I3406" t="inlineStr">
        <is>
          <t>Jumlah TBS yang diolah 318.717</t>
        </is>
      </c>
      <c r="J3406" t="inlineStr">
        <is>
          <t>High</t>
        </is>
      </c>
      <c r="M3406" t="inlineStr">
        <is>
          <t>LLM</t>
        </is>
      </c>
      <c r="N3406" t="inlineStr">
        <is>
          <t>2026-04-19</t>
        </is>
      </c>
      <c r="O3406" t="inlineStr">
        <is>
          <t>AI</t>
        </is>
      </c>
    </row>
    <row r="3407">
      <c r="A3407" t="inlineStr">
        <is>
          <t>PT Menthobi Karyatama Raya Tbk</t>
        </is>
      </c>
      <c r="B3407" t="inlineStr">
        <is>
          <t>MKTR_2024_AR.pdf</t>
        </is>
      </c>
      <c r="C3407" t="n">
        <v>2024</v>
      </c>
      <c r="D3407" t="inlineStr">
        <is>
          <t>Operation</t>
        </is>
      </c>
      <c r="E3407" t="inlineStr">
        <is>
          <t>CPO Production</t>
        </is>
      </c>
      <c r="F3407" t="n">
        <v>69967</v>
      </c>
      <c r="G3407" t="inlineStr">
        <is>
          <t>t</t>
        </is>
      </c>
      <c r="H3407" t="n">
        <v>15</v>
      </c>
      <c r="I3407" t="inlineStr">
        <is>
          <t>2024 69.967 Ton; Meningkat 21,04% (from 57,803)</t>
        </is>
      </c>
      <c r="J3407" t="inlineStr">
        <is>
          <t>High</t>
        </is>
      </c>
      <c r="M3407" t="inlineStr">
        <is>
          <t>LLM</t>
        </is>
      </c>
      <c r="N3407" t="inlineStr">
        <is>
          <t>2026-04-19</t>
        </is>
      </c>
      <c r="O3407" t="inlineStr">
        <is>
          <t>AI</t>
        </is>
      </c>
    </row>
    <row r="3408">
      <c r="A3408" t="inlineStr">
        <is>
          <t>PT Menthobi Karyatama Raya Tbk</t>
        </is>
      </c>
      <c r="B3408" t="inlineStr">
        <is>
          <t>MKTR_2024_AR.pdf</t>
        </is>
      </c>
      <c r="C3408" t="n">
        <v>2024</v>
      </c>
      <c r="D3408" t="inlineStr">
        <is>
          <t>Operation</t>
        </is>
      </c>
      <c r="E3408" t="inlineStr">
        <is>
          <t>CPO Sales Volume</t>
        </is>
      </c>
      <c r="F3408" t="n">
        <v>69675</v>
      </c>
      <c r="G3408" t="inlineStr">
        <is>
          <t>t</t>
        </is>
      </c>
      <c r="H3408" t="n">
        <v>19</v>
      </c>
      <c r="I3408" t="inlineStr">
        <is>
          <t>Volume Penjualan CPO 69.675</t>
        </is>
      </c>
      <c r="J3408" t="inlineStr">
        <is>
          <t>High</t>
        </is>
      </c>
      <c r="M3408" t="inlineStr">
        <is>
          <t>LLM</t>
        </is>
      </c>
      <c r="N3408" t="inlineStr">
        <is>
          <t>2026-04-19</t>
        </is>
      </c>
      <c r="O3408" t="inlineStr">
        <is>
          <t>AI</t>
        </is>
      </c>
    </row>
    <row r="3409">
      <c r="A3409" t="inlineStr">
        <is>
          <t>PT Menthobi Karyatama Raya Tbk</t>
        </is>
      </c>
      <c r="B3409" t="inlineStr">
        <is>
          <t>MKTR_2024_AR.pdf</t>
        </is>
      </c>
      <c r="C3409" t="n">
        <v>2024</v>
      </c>
      <c r="D3409" t="inlineStr">
        <is>
          <t>Operation</t>
        </is>
      </c>
      <c r="E3409" t="inlineStr">
        <is>
          <t>PK Production</t>
        </is>
      </c>
      <c r="F3409" t="n">
        <v>13667</v>
      </c>
      <c r="G3409" t="inlineStr">
        <is>
          <t>t</t>
        </is>
      </c>
      <c r="H3409" t="n">
        <v>19</v>
      </c>
      <c r="I3409" t="inlineStr">
        <is>
          <t>Jumlah produksi PK 13.667</t>
        </is>
      </c>
      <c r="J3409" t="inlineStr">
        <is>
          <t>High</t>
        </is>
      </c>
      <c r="M3409" t="inlineStr">
        <is>
          <t>LLM</t>
        </is>
      </c>
      <c r="N3409" t="inlineStr">
        <is>
          <t>2026-04-19</t>
        </is>
      </c>
      <c r="O3409" t="inlineStr">
        <is>
          <t>AI</t>
        </is>
      </c>
    </row>
    <row r="3410">
      <c r="A3410" t="inlineStr">
        <is>
          <t>PT Menthobi Karyatama Raya Tbk</t>
        </is>
      </c>
      <c r="B3410" t="inlineStr">
        <is>
          <t>MKTR_2024_AR.pdf</t>
        </is>
      </c>
      <c r="C3410" t="n">
        <v>2024</v>
      </c>
      <c r="D3410" t="inlineStr">
        <is>
          <t>Operation</t>
        </is>
      </c>
      <c r="E3410" t="inlineStr">
        <is>
          <t>PK Sales Volume</t>
        </is>
      </c>
      <c r="F3410" t="n">
        <v>5214</v>
      </c>
      <c r="G3410" t="inlineStr">
        <is>
          <t>t</t>
        </is>
      </c>
      <c r="H3410" t="n">
        <v>19</v>
      </c>
      <c r="I3410" t="inlineStr">
        <is>
          <t>Volume Penjualan PK 5.214</t>
        </is>
      </c>
      <c r="J3410" t="inlineStr">
        <is>
          <t>High</t>
        </is>
      </c>
      <c r="M3410" t="inlineStr">
        <is>
          <t>LLM</t>
        </is>
      </c>
      <c r="N3410" t="inlineStr">
        <is>
          <t>2026-04-19</t>
        </is>
      </c>
      <c r="O3410" t="inlineStr">
        <is>
          <t>AI</t>
        </is>
      </c>
    </row>
    <row r="3411">
      <c r="A3411" t="inlineStr">
        <is>
          <t>PT Menthobi Karyatama Raya Tbk</t>
        </is>
      </c>
      <c r="B3411" t="inlineStr">
        <is>
          <t>MKTR_2024_AR.pdf</t>
        </is>
      </c>
      <c r="C3411" t="n">
        <v>2024</v>
      </c>
      <c r="D3411" t="inlineStr">
        <is>
          <t>Operation</t>
        </is>
      </c>
      <c r="E3411" t="inlineStr">
        <is>
          <t>PKO Production</t>
        </is>
      </c>
      <c r="F3411" t="n">
        <v>3531</v>
      </c>
      <c r="G3411" t="inlineStr">
        <is>
          <t>t</t>
        </is>
      </c>
      <c r="H3411" t="n">
        <v>19</v>
      </c>
      <c r="I3411" t="inlineStr">
        <is>
          <t>Jumlah produksi PKO 3.531</t>
        </is>
      </c>
      <c r="J3411" t="inlineStr">
        <is>
          <t>High</t>
        </is>
      </c>
      <c r="M3411" t="inlineStr">
        <is>
          <t>LLM</t>
        </is>
      </c>
      <c r="N3411" t="inlineStr">
        <is>
          <t>2026-04-19</t>
        </is>
      </c>
      <c r="O3411" t="inlineStr">
        <is>
          <t>AI</t>
        </is>
      </c>
    </row>
    <row r="3412">
      <c r="A3412" t="inlineStr">
        <is>
          <t>PT Menthobi Karyatama Raya Tbk</t>
        </is>
      </c>
      <c r="B3412" t="inlineStr">
        <is>
          <t>MKTR_2024_AR.pdf</t>
        </is>
      </c>
      <c r="C3412" t="n">
        <v>2024</v>
      </c>
      <c r="D3412" t="inlineStr">
        <is>
          <t>Operation</t>
        </is>
      </c>
      <c r="E3412" t="inlineStr">
        <is>
          <t>PKO Sales Volume</t>
        </is>
      </c>
      <c r="F3412" t="n">
        <v>3364</v>
      </c>
      <c r="G3412" t="inlineStr">
        <is>
          <t>t</t>
        </is>
      </c>
      <c r="H3412" t="n">
        <v>19</v>
      </c>
      <c r="I3412" t="inlineStr">
        <is>
          <t>Volume Penjualan PKO 3.364</t>
        </is>
      </c>
      <c r="J3412" t="inlineStr">
        <is>
          <t>High</t>
        </is>
      </c>
      <c r="M3412" t="inlineStr">
        <is>
          <t>LLM</t>
        </is>
      </c>
      <c r="N3412" t="inlineStr">
        <is>
          <t>2026-04-19</t>
        </is>
      </c>
      <c r="O3412" t="inlineStr">
        <is>
          <t>AI</t>
        </is>
      </c>
    </row>
    <row r="3413">
      <c r="A3413" t="inlineStr">
        <is>
          <t>PT Menthobi Karyatama Raya Tbk</t>
        </is>
      </c>
      <c r="B3413" t="inlineStr">
        <is>
          <t>MKTR_2024_AR.pdf</t>
        </is>
      </c>
      <c r="C3413" t="n">
        <v>2024</v>
      </c>
      <c r="D3413" t="inlineStr">
        <is>
          <t>Operation</t>
        </is>
      </c>
      <c r="E3413" t="inlineStr">
        <is>
          <t>Average CPO Selling Price</t>
        </is>
      </c>
      <c r="F3413" t="n">
        <v>12932</v>
      </c>
      <c r="G3413" t="inlineStr">
        <is>
          <t>Rp/kg</t>
        </is>
      </c>
      <c r="H3413" t="n">
        <v>19</v>
      </c>
      <c r="I3413" t="inlineStr">
        <is>
          <t>Harga jual rata-rata CPO 12.932</t>
        </is>
      </c>
      <c r="J3413" t="inlineStr">
        <is>
          <t>High</t>
        </is>
      </c>
      <c r="M3413" t="inlineStr">
        <is>
          <t>LLM</t>
        </is>
      </c>
      <c r="N3413" t="inlineStr">
        <is>
          <t>2026-04-19</t>
        </is>
      </c>
      <c r="O3413" t="inlineStr">
        <is>
          <t>AI</t>
        </is>
      </c>
    </row>
    <row r="3414">
      <c r="A3414" t="inlineStr">
        <is>
          <t>PT Menthobi Karyatama Raya Tbk</t>
        </is>
      </c>
      <c r="B3414" t="inlineStr">
        <is>
          <t>MKTR_2024_AR.pdf</t>
        </is>
      </c>
      <c r="C3414" t="n">
        <v>2024</v>
      </c>
      <c r="D3414" t="inlineStr">
        <is>
          <t>Operation</t>
        </is>
      </c>
      <c r="E3414" t="inlineStr">
        <is>
          <t>Average PK Selling Price</t>
        </is>
      </c>
      <c r="F3414" t="n">
        <v>6292</v>
      </c>
      <c r="G3414" t="inlineStr">
        <is>
          <t>Rp/kg</t>
        </is>
      </c>
      <c r="H3414" t="n">
        <v>19</v>
      </c>
      <c r="I3414" t="inlineStr">
        <is>
          <t>Harga jual rata-rata PK 6.292</t>
        </is>
      </c>
      <c r="J3414" t="inlineStr">
        <is>
          <t>High</t>
        </is>
      </c>
      <c r="M3414" t="inlineStr">
        <is>
          <t>LLM</t>
        </is>
      </c>
      <c r="N3414" t="inlineStr">
        <is>
          <t>2026-04-19</t>
        </is>
      </c>
      <c r="O3414" t="inlineStr">
        <is>
          <t>AI</t>
        </is>
      </c>
    </row>
    <row r="3415">
      <c r="A3415" t="inlineStr">
        <is>
          <t>PT Menthobi Karyatama Raya Tbk</t>
        </is>
      </c>
      <c r="B3415" t="inlineStr">
        <is>
          <t>MKTR_2024_AR.pdf</t>
        </is>
      </c>
      <c r="C3415" t="n">
        <v>2024</v>
      </c>
      <c r="D3415" t="inlineStr">
        <is>
          <t>Operation</t>
        </is>
      </c>
      <c r="E3415" t="inlineStr">
        <is>
          <t>Average PKO Selling Price</t>
        </is>
      </c>
      <c r="F3415" t="n">
        <v>18713</v>
      </c>
      <c r="G3415" t="inlineStr">
        <is>
          <t>Rp/kg</t>
        </is>
      </c>
      <c r="H3415" t="n">
        <v>19</v>
      </c>
      <c r="I3415" t="inlineStr">
        <is>
          <t>Harga jual rata-rata PKO 18.713</t>
        </is>
      </c>
      <c r="J3415" t="inlineStr">
        <is>
          <t>High</t>
        </is>
      </c>
      <c r="M3415" t="inlineStr">
        <is>
          <t>LLM</t>
        </is>
      </c>
      <c r="N3415" t="inlineStr">
        <is>
          <t>2026-04-19</t>
        </is>
      </c>
      <c r="O3415" t="inlineStr">
        <is>
          <t>AI</t>
        </is>
      </c>
    </row>
    <row r="3416">
      <c r="A3416" t="inlineStr">
        <is>
          <t>PT Menthobi Karyatama Raya Tbk</t>
        </is>
      </c>
      <c r="B3416" t="inlineStr">
        <is>
          <t>MKTR_2024_AR.pdf</t>
        </is>
      </c>
      <c r="C3416" t="n">
        <v>2024</v>
      </c>
      <c r="D3416" t="inlineStr">
        <is>
          <t>Operation</t>
        </is>
      </c>
      <c r="E3416" t="inlineStr">
        <is>
          <t>OER (CPO/FFB Processed)</t>
        </is>
      </c>
      <c r="F3416" t="n">
        <v>0.2195</v>
      </c>
      <c r="G3416" t="inlineStr">
        <is>
          <t>%</t>
        </is>
      </c>
      <c r="H3416" t="n">
        <v>19</v>
      </c>
      <c r="I3416" t="inlineStr">
        <is>
          <t>Calculated: 69,967 / 318,717 = 21.95%</t>
        </is>
      </c>
      <c r="J3416" t="inlineStr">
        <is>
          <t>Medium</t>
        </is>
      </c>
      <c r="M3416" t="inlineStr">
        <is>
          <t>LLM</t>
        </is>
      </c>
      <c r="N3416" t="inlineStr">
        <is>
          <t>2026-04-19</t>
        </is>
      </c>
      <c r="O3416" t="inlineStr">
        <is>
          <t>AI</t>
        </is>
      </c>
    </row>
    <row r="3417">
      <c r="A3417" t="inlineStr">
        <is>
          <t>PT Menthobi Karyatama Raya Tbk</t>
        </is>
      </c>
      <c r="B3417" t="inlineStr">
        <is>
          <t>MKTR_2024_AR.pdf</t>
        </is>
      </c>
      <c r="C3417" t="n">
        <v>2024</v>
      </c>
      <c r="D3417" t="inlineStr">
        <is>
          <t>Operation</t>
        </is>
      </c>
      <c r="E3417" t="inlineStr">
        <is>
          <t>Domestic Sales Proportion</t>
        </is>
      </c>
      <c r="F3417" t="n">
        <v>1</v>
      </c>
      <c r="G3417" t="inlineStr">
        <is>
          <t>%</t>
        </is>
      </c>
      <c r="H3417" t="n">
        <v>131</v>
      </c>
      <c r="I3417" t="inlineStr">
        <is>
          <t>Produk Entitas Anak tersebut ditujukan 100% untuk pasar domestik</t>
        </is>
      </c>
      <c r="J3417" t="inlineStr">
        <is>
          <t>High</t>
        </is>
      </c>
      <c r="M3417" t="inlineStr">
        <is>
          <t>LLM</t>
        </is>
      </c>
      <c r="N3417" t="inlineStr">
        <is>
          <t>2026-04-19</t>
        </is>
      </c>
      <c r="O3417" t="inlineStr">
        <is>
          <t>AI</t>
        </is>
      </c>
    </row>
    <row r="3418">
      <c r="A3418" t="inlineStr">
        <is>
          <t>PT Menthobi Karyatama Raya Tbk</t>
        </is>
      </c>
      <c r="B3418" t="inlineStr">
        <is>
          <t>MKTR_2024_AR.pdf</t>
        </is>
      </c>
      <c r="C3418" t="n">
        <v>2024</v>
      </c>
      <c r="D3418" t="inlineStr">
        <is>
          <t>Operation</t>
        </is>
      </c>
      <c r="E3418" t="inlineStr">
        <is>
          <t>Revenue growth</t>
        </is>
      </c>
      <c r="F3418" t="n">
        <v>0.4161</v>
      </c>
      <c r="G3418" t="inlineStr">
        <is>
          <t>%</t>
        </is>
      </c>
      <c r="H3418" t="n">
        <v>14</v>
      </c>
      <c r="I3418" t="inlineStr">
        <is>
          <t>Meningkat 41,61%</t>
        </is>
      </c>
      <c r="J3418" t="inlineStr">
        <is>
          <t>High</t>
        </is>
      </c>
      <c r="M3418" t="inlineStr">
        <is>
          <t>LLM</t>
        </is>
      </c>
      <c r="N3418" t="inlineStr">
        <is>
          <t>2026-04-19</t>
        </is>
      </c>
      <c r="O3418" t="inlineStr">
        <is>
          <t>AI</t>
        </is>
      </c>
    </row>
    <row r="3419">
      <c r="A3419" t="inlineStr">
        <is>
          <t>PT Menthobi Karyatama Raya Tbk</t>
        </is>
      </c>
      <c r="B3419" t="inlineStr">
        <is>
          <t>MKTR_2024_AR.pdf</t>
        </is>
      </c>
      <c r="C3419" t="n">
        <v>2024</v>
      </c>
      <c r="D3419" t="inlineStr">
        <is>
          <t>ESG</t>
        </is>
      </c>
      <c r="E3419" t="inlineStr">
        <is>
          <t>Operational Region</t>
        </is>
      </c>
      <c r="F3419" t="inlineStr">
        <is>
          <t>DKI Jakarta, Central Kalimantan, South Sumatra</t>
        </is>
      </c>
      <c r="G3419" t="inlineStr">
        <is>
          <t>text</t>
        </is>
      </c>
      <c r="H3419" t="n">
        <v>61</v>
      </c>
      <c r="I3419" t="inlineStr">
        <is>
          <t>DKI Jakarta, Kalimantan Tengah, dan Sumatera Selatan</t>
        </is>
      </c>
      <c r="J3419" t="inlineStr">
        <is>
          <t>High</t>
        </is>
      </c>
      <c r="M3419" t="inlineStr">
        <is>
          <t>LLM</t>
        </is>
      </c>
      <c r="N3419" t="inlineStr">
        <is>
          <t>2026-04-19</t>
        </is>
      </c>
      <c r="O3419" t="inlineStr">
        <is>
          <t>AI</t>
        </is>
      </c>
    </row>
    <row r="3420">
      <c r="A3420" t="inlineStr">
        <is>
          <t>PT Nusantara Sawit Sejahtera Tbk</t>
        </is>
      </c>
      <c r="B3420" t="inlineStr">
        <is>
          <t>NSSS_2022_AR.pdf</t>
        </is>
      </c>
      <c r="C3420" t="n">
        <v>2022</v>
      </c>
      <c r="D3420" t="inlineStr">
        <is>
          <t>Company</t>
        </is>
      </c>
      <c r="E3420" t="inlineStr">
        <is>
          <t>Company Name</t>
        </is>
      </c>
      <c r="F3420" t="inlineStr">
        <is>
          <t>PT Nusantara Sawit Sejahtera Tbk</t>
        </is>
      </c>
      <c r="G3420" t="inlineStr">
        <is>
          <t>text</t>
        </is>
      </c>
      <c r="H3420" t="n">
        <v>1</v>
      </c>
      <c r="I3420" t="inlineStr">
        <is>
          <t>PT Nusantara Sawit Sejahtera Tbk</t>
        </is>
      </c>
      <c r="J3420" t="inlineStr">
        <is>
          <t>High</t>
        </is>
      </c>
      <c r="M3420" t="inlineStr">
        <is>
          <t>LLM</t>
        </is>
      </c>
      <c r="N3420" t="inlineStr">
        <is>
          <t>2026-04-19</t>
        </is>
      </c>
      <c r="O3420" t="inlineStr">
        <is>
          <t>AI</t>
        </is>
      </c>
    </row>
    <row r="3421">
      <c r="A3421" t="inlineStr">
        <is>
          <t>PT Nusantara Sawit Sejahtera Tbk</t>
        </is>
      </c>
      <c r="B3421" t="inlineStr">
        <is>
          <t>NSSS_2022_AR.pdf</t>
        </is>
      </c>
      <c r="C3421" t="n">
        <v>2022</v>
      </c>
      <c r="D3421" t="inlineStr">
        <is>
          <t>Company</t>
        </is>
      </c>
      <c r="E3421" t="inlineStr">
        <is>
          <t>Listed Status (Year-End 2022)</t>
        </is>
      </c>
      <c r="F3421" t="inlineStr">
        <is>
          <t>Private (not yet listed)</t>
        </is>
      </c>
      <c r="G3421" t="inlineStr">
        <is>
          <t>text</t>
        </is>
      </c>
      <c r="H3421" t="n">
        <v>14</v>
      </c>
      <c r="I3421" t="inlineStr">
        <is>
          <t>Per 31 Desember 2022, Perseroan belum berstatus sebagai perusahaan terbuka</t>
        </is>
      </c>
      <c r="J3421" t="inlineStr">
        <is>
          <t>High</t>
        </is>
      </c>
      <c r="M3421" t="inlineStr">
        <is>
          <t>LLM</t>
        </is>
      </c>
      <c r="N3421" t="inlineStr">
        <is>
          <t>2026-04-19</t>
        </is>
      </c>
      <c r="O3421" t="inlineStr">
        <is>
          <t>AI</t>
        </is>
      </c>
    </row>
    <row r="3422">
      <c r="A3422" t="inlineStr">
        <is>
          <t>PT Nusantara Sawit Sejahtera Tbk</t>
        </is>
      </c>
      <c r="B3422" t="inlineStr">
        <is>
          <t>NSSS_2022_AR.pdf</t>
        </is>
      </c>
      <c r="C3422" t="n">
        <v>2022</v>
      </c>
      <c r="D3422" t="inlineStr">
        <is>
          <t>Company</t>
        </is>
      </c>
      <c r="E3422" t="inlineStr">
        <is>
          <t>Shareholder - PT Mitra Agro Dharma Unggul</t>
        </is>
      </c>
      <c r="F3422" t="n">
        <v>0.5911</v>
      </c>
      <c r="G3422" t="inlineStr">
        <is>
          <t>%</t>
        </is>
      </c>
      <c r="H3422" t="n">
        <v>49</v>
      </c>
      <c r="I3422" t="inlineStr">
        <is>
          <t>PT Mitra Agro Dharma Unggul, sebanyak 11.952.840.000 lembar saham atau senilai Rp597.642.000.000 (59.11%)</t>
        </is>
      </c>
      <c r="J3422" t="inlineStr">
        <is>
          <t>High</t>
        </is>
      </c>
      <c r="M3422" t="inlineStr">
        <is>
          <t>LLM</t>
        </is>
      </c>
      <c r="N3422" t="inlineStr">
        <is>
          <t>2026-04-19</t>
        </is>
      </c>
      <c r="O3422" t="inlineStr">
        <is>
          <t>AI</t>
        </is>
      </c>
    </row>
    <row r="3423">
      <c r="A3423" t="inlineStr">
        <is>
          <t>PT Nusantara Sawit Sejahtera Tbk</t>
        </is>
      </c>
      <c r="B3423" t="inlineStr">
        <is>
          <t>NSSS_2022_AR.pdf</t>
        </is>
      </c>
      <c r="C3423" t="n">
        <v>2022</v>
      </c>
      <c r="D3423" t="inlineStr">
        <is>
          <t>Company</t>
        </is>
      </c>
      <c r="E3423" t="inlineStr">
        <is>
          <t>Shareholder - Teguh Patriawan (direct)</t>
        </is>
      </c>
      <c r="F3423" t="n">
        <v>0.1712</v>
      </c>
      <c r="G3423" t="inlineStr">
        <is>
          <t>%</t>
        </is>
      </c>
      <c r="H3423" t="n">
        <v>49</v>
      </c>
      <c r="I3423" t="inlineStr">
        <is>
          <t>Ir. Teguh Patriawan, Direktur Utama 3.461.800.000 17,12%</t>
        </is>
      </c>
      <c r="J3423" t="inlineStr">
        <is>
          <t>High</t>
        </is>
      </c>
      <c r="M3423" t="inlineStr">
        <is>
          <t>LLM</t>
        </is>
      </c>
      <c r="N3423" t="inlineStr">
        <is>
          <t>2026-04-19</t>
        </is>
      </c>
      <c r="O3423" t="inlineStr">
        <is>
          <t>AI</t>
        </is>
      </c>
    </row>
    <row r="3424">
      <c r="A3424" t="inlineStr">
        <is>
          <t>PT Nusantara Sawit Sejahtera Tbk</t>
        </is>
      </c>
      <c r="B3424" t="inlineStr">
        <is>
          <t>NSSS_2022_AR.pdf</t>
        </is>
      </c>
      <c r="C3424" t="n">
        <v>2022</v>
      </c>
      <c r="D3424" t="inlineStr">
        <is>
          <t>Company</t>
        </is>
      </c>
      <c r="E3424" t="inlineStr">
        <is>
          <t>Shareholder - PT Nusantara Makmur Lestari</t>
        </is>
      </c>
      <c r="F3424" t="n">
        <v>0.1075</v>
      </c>
      <c r="G3424" t="inlineStr">
        <is>
          <t>%</t>
        </is>
      </c>
      <c r="H3424" t="n">
        <v>49</v>
      </c>
      <c r="I3424" t="inlineStr">
        <is>
          <t>PT Nusantara Makmur Lestari, sebanyak 2.173.660.000 lembar saham (10.75%)</t>
        </is>
      </c>
      <c r="J3424" t="inlineStr">
        <is>
          <t>High</t>
        </is>
      </c>
      <c r="M3424" t="inlineStr">
        <is>
          <t>LLM</t>
        </is>
      </c>
      <c r="N3424" t="inlineStr">
        <is>
          <t>2026-04-19</t>
        </is>
      </c>
      <c r="O3424" t="inlineStr">
        <is>
          <t>AI</t>
        </is>
      </c>
    </row>
    <row r="3425">
      <c r="A3425" t="inlineStr">
        <is>
          <t>PT Nusantara Sawit Sejahtera Tbk</t>
        </is>
      </c>
      <c r="B3425" t="inlineStr">
        <is>
          <t>NSSS_2022_AR.pdf</t>
        </is>
      </c>
      <c r="C3425" t="n">
        <v>2022</v>
      </c>
      <c r="D3425" t="inlineStr">
        <is>
          <t>Company</t>
        </is>
      </c>
      <c r="E3425" t="inlineStr">
        <is>
          <t>Beneficial Owner</t>
        </is>
      </c>
      <c r="F3425" t="inlineStr">
        <is>
          <t>Eunice M. Satyono</t>
        </is>
      </c>
      <c r="G3425" t="inlineStr">
        <is>
          <t>text</t>
        </is>
      </c>
      <c r="H3425" t="n">
        <v>49</v>
      </c>
      <c r="I3425" t="inlineStr">
        <is>
          <t>Eunice M. Satyono selaku pemegang saham terbesar Perseroan melalui kepemilikan sahamnya di PT Mitra Agro Dharma Unggul merupakan pemilik manfaat Perseroan</t>
        </is>
      </c>
      <c r="J3425" t="inlineStr">
        <is>
          <t>High</t>
        </is>
      </c>
      <c r="M3425" t="inlineStr">
        <is>
          <t>LLM</t>
        </is>
      </c>
      <c r="N3425" t="inlineStr">
        <is>
          <t>2026-04-19</t>
        </is>
      </c>
      <c r="O3425" t="inlineStr">
        <is>
          <t>AI</t>
        </is>
      </c>
    </row>
    <row r="3426">
      <c r="A3426" t="inlineStr">
        <is>
          <t>PT Nusantara Sawit Sejahtera Tbk</t>
        </is>
      </c>
      <c r="B3426" t="inlineStr">
        <is>
          <t>NSSS_2022_AR.pdf</t>
        </is>
      </c>
      <c r="C3426" t="n">
        <v>2022</v>
      </c>
      <c r="D3426" t="inlineStr">
        <is>
          <t>Company</t>
        </is>
      </c>
      <c r="E3426" t="inlineStr">
        <is>
          <t>Employees (Consolidated)</t>
        </is>
      </c>
      <c r="F3426" t="n">
        <v>145</v>
      </c>
      <c r="G3426" t="inlineStr">
        <is>
          <t>count</t>
        </is>
      </c>
      <c r="H3426" t="n">
        <v>65</v>
      </c>
      <c r="I3426" t="inlineStr">
        <is>
          <t>145 orang pada tahun 2022</t>
        </is>
      </c>
      <c r="J3426" t="inlineStr">
        <is>
          <t>High</t>
        </is>
      </c>
      <c r="M3426" t="inlineStr">
        <is>
          <t>LLM</t>
        </is>
      </c>
      <c r="N3426" t="inlineStr">
        <is>
          <t>2026-04-19</t>
        </is>
      </c>
      <c r="O3426" t="inlineStr">
        <is>
          <t>AI</t>
        </is>
      </c>
    </row>
    <row r="3427">
      <c r="A3427" t="inlineStr">
        <is>
          <t>PT Nusantara Sawit Sejahtera Tbk</t>
        </is>
      </c>
      <c r="B3427" t="inlineStr">
        <is>
          <t>NSSS_2022_AR.pdf</t>
        </is>
      </c>
      <c r="C3427" t="n">
        <v>2022</v>
      </c>
      <c r="D3427" t="inlineStr">
        <is>
          <t>Company</t>
        </is>
      </c>
      <c r="E3427" t="inlineStr">
        <is>
          <t>External Auditor</t>
        </is>
      </c>
      <c r="F3427" t="inlineStr">
        <is>
          <t>KAP Purwantono, Sungkoro &amp; Surja (EY)</t>
        </is>
      </c>
      <c r="G3427" t="inlineStr">
        <is>
          <t>text</t>
        </is>
      </c>
      <c r="H3427" t="n">
        <v>52</v>
      </c>
      <c r="I3427" t="inlineStr">
        <is>
          <t>Pada 2022, Perseroan menunjuk KAP Purwantono, Sungkoro &amp; Surja</t>
        </is>
      </c>
      <c r="J3427" t="inlineStr">
        <is>
          <t>High</t>
        </is>
      </c>
      <c r="M3427" t="inlineStr">
        <is>
          <t>LLM</t>
        </is>
      </c>
      <c r="N3427" t="inlineStr">
        <is>
          <t>2026-04-19</t>
        </is>
      </c>
      <c r="O3427" t="inlineStr">
        <is>
          <t>AI</t>
        </is>
      </c>
    </row>
    <row r="3428">
      <c r="A3428" t="inlineStr">
        <is>
          <t>PT Nusantara Sawit Sejahtera Tbk</t>
        </is>
      </c>
      <c r="B3428" t="inlineStr">
        <is>
          <t>NSSS_2022_AR.pdf</t>
        </is>
      </c>
      <c r="C3428" t="n">
        <v>2022</v>
      </c>
      <c r="D3428" t="inlineStr">
        <is>
          <t>Company</t>
        </is>
      </c>
      <c r="E3428" t="inlineStr">
        <is>
          <t>External Auditor Fee</t>
        </is>
      </c>
      <c r="F3428" t="n">
        <v>800</v>
      </c>
      <c r="G3428" t="inlineStr">
        <is>
          <t>IDR mn</t>
        </is>
      </c>
      <c r="H3428" t="n">
        <v>52</v>
      </c>
      <c r="I3428" t="inlineStr">
        <is>
          <t>Biaya jasa KAP ... tahun buku 2022 adalah sebesar Rp800 juta</t>
        </is>
      </c>
      <c r="J3428" t="inlineStr">
        <is>
          <t>High</t>
        </is>
      </c>
      <c r="M3428" t="inlineStr">
        <is>
          <t>LLM</t>
        </is>
      </c>
      <c r="N3428" t="inlineStr">
        <is>
          <t>2026-04-19</t>
        </is>
      </c>
      <c r="O3428" t="inlineStr">
        <is>
          <t>AI</t>
        </is>
      </c>
    </row>
    <row r="3429">
      <c r="A3429" t="inlineStr">
        <is>
          <t>PT Nusantara Sawit Sejahtera Tbk</t>
        </is>
      </c>
      <c r="B3429" t="inlineStr">
        <is>
          <t>NSSS_2022_AR.pdf</t>
        </is>
      </c>
      <c r="C3429" t="n">
        <v>2022</v>
      </c>
      <c r="D3429" t="inlineStr">
        <is>
          <t>Financial</t>
        </is>
      </c>
      <c r="E3429" t="inlineStr">
        <is>
          <t>Revenue (Sales)</t>
        </is>
      </c>
      <c r="F3429" t="n">
        <v>1134</v>
      </c>
      <c r="G3429" t="inlineStr">
        <is>
          <t>IDR bn</t>
        </is>
      </c>
      <c r="H3429" t="n">
        <v>12</v>
      </c>
      <c r="I3429" t="inlineStr">
        <is>
          <t>Penjualan 1.134.095 1.146.624 746.873</t>
        </is>
      </c>
      <c r="J3429" t="inlineStr">
        <is>
          <t>High</t>
        </is>
      </c>
      <c r="M3429" t="inlineStr">
        <is>
          <t>LLM</t>
        </is>
      </c>
      <c r="N3429" t="inlineStr">
        <is>
          <t>2026-04-19</t>
        </is>
      </c>
      <c r="O3429" t="inlineStr">
        <is>
          <t>AI</t>
        </is>
      </c>
    </row>
    <row r="3430">
      <c r="A3430" t="inlineStr">
        <is>
          <t>PT Nusantara Sawit Sejahtera Tbk</t>
        </is>
      </c>
      <c r="B3430" t="inlineStr">
        <is>
          <t>NSSS_2022_AR.pdf</t>
        </is>
      </c>
      <c r="C3430" t="n">
        <v>2022</v>
      </c>
      <c r="D3430" t="inlineStr">
        <is>
          <t>Financial</t>
        </is>
      </c>
      <c r="E3430" t="inlineStr">
        <is>
          <t>Cost of Goods Sold</t>
        </is>
      </c>
      <c r="F3430" t="n">
        <v>728</v>
      </c>
      <c r="G3430" t="inlineStr">
        <is>
          <t>IDR bn</t>
        </is>
      </c>
      <c r="H3430" t="n">
        <v>12</v>
      </c>
      <c r="I3430" t="inlineStr">
        <is>
          <t>Beban Pokok Penjualan (728.392) (576.122)</t>
        </is>
      </c>
      <c r="J3430" t="inlineStr">
        <is>
          <t>High</t>
        </is>
      </c>
      <c r="M3430" t="inlineStr">
        <is>
          <t>LLM</t>
        </is>
      </c>
      <c r="N3430" t="inlineStr">
        <is>
          <t>2026-04-19</t>
        </is>
      </c>
      <c r="O3430" t="inlineStr">
        <is>
          <t>AI</t>
        </is>
      </c>
    </row>
    <row r="3431">
      <c r="A3431" t="inlineStr">
        <is>
          <t>PT Nusantara Sawit Sejahtera Tbk</t>
        </is>
      </c>
      <c r="B3431" t="inlineStr">
        <is>
          <t>NSSS_2022_AR.pdf</t>
        </is>
      </c>
      <c r="C3431" t="n">
        <v>2022</v>
      </c>
      <c r="D3431" t="inlineStr">
        <is>
          <t>Financial</t>
        </is>
      </c>
      <c r="E3431" t="inlineStr">
        <is>
          <t>Gross Profit</t>
        </is>
      </c>
      <c r="F3431" t="n">
        <v>406</v>
      </c>
      <c r="G3431" t="inlineStr">
        <is>
          <t>IDR bn</t>
        </is>
      </c>
      <c r="H3431" t="n">
        <v>12</v>
      </c>
      <c r="I3431" t="inlineStr">
        <is>
          <t>Laba (Rugi) Bruto 405.703 570.502 223.434</t>
        </is>
      </c>
      <c r="J3431" t="inlineStr">
        <is>
          <t>High</t>
        </is>
      </c>
      <c r="M3431" t="inlineStr">
        <is>
          <t>LLM</t>
        </is>
      </c>
      <c r="N3431" t="inlineStr">
        <is>
          <t>2026-04-19</t>
        </is>
      </c>
      <c r="O3431" t="inlineStr">
        <is>
          <t>AI</t>
        </is>
      </c>
    </row>
    <row r="3432">
      <c r="A3432" t="inlineStr">
        <is>
          <t>PT Nusantara Sawit Sejahtera Tbk</t>
        </is>
      </c>
      <c r="B3432" t="inlineStr">
        <is>
          <t>NSSS_2022_AR.pdf</t>
        </is>
      </c>
      <c r="C3432" t="n">
        <v>2022</v>
      </c>
      <c r="D3432" t="inlineStr">
        <is>
          <t>Financial</t>
        </is>
      </c>
      <c r="E3432" t="inlineStr">
        <is>
          <t>Net Profit</t>
        </is>
      </c>
      <c r="F3432" t="n">
        <v>70</v>
      </c>
      <c r="G3432" t="inlineStr">
        <is>
          <t>IDR bn</t>
        </is>
      </c>
      <c r="H3432" t="n">
        <v>12</v>
      </c>
      <c r="I3432" t="inlineStr">
        <is>
          <t>Laba Bersih Tahun Berjalan 70.236 245.333 19.433</t>
        </is>
      </c>
      <c r="J3432" t="inlineStr">
        <is>
          <t>High</t>
        </is>
      </c>
      <c r="M3432" t="inlineStr">
        <is>
          <t>LLM</t>
        </is>
      </c>
      <c r="N3432" t="inlineStr">
        <is>
          <t>2026-04-19</t>
        </is>
      </c>
      <c r="O3432" t="inlineStr">
        <is>
          <t>AI</t>
        </is>
      </c>
    </row>
    <row r="3433">
      <c r="A3433" t="inlineStr">
        <is>
          <t>PT Nusantara Sawit Sejahtera Tbk</t>
        </is>
      </c>
      <c r="B3433" t="inlineStr">
        <is>
          <t>NSSS_2022_AR.pdf</t>
        </is>
      </c>
      <c r="C3433" t="n">
        <v>2022</v>
      </c>
      <c r="D3433" t="inlineStr">
        <is>
          <t>Financial</t>
        </is>
      </c>
      <c r="E3433" t="inlineStr">
        <is>
          <t>Profit to Parent</t>
        </is>
      </c>
      <c r="F3433" t="n">
        <v>70</v>
      </c>
      <c r="G3433" t="inlineStr">
        <is>
          <t>IDR bn</t>
        </is>
      </c>
      <c r="H3433" t="n">
        <v>12</v>
      </c>
      <c r="I3433" t="inlineStr">
        <is>
          <t>Pemilik Entitas Induk 70.236</t>
        </is>
      </c>
      <c r="J3433" t="inlineStr">
        <is>
          <t>High</t>
        </is>
      </c>
      <c r="M3433" t="inlineStr">
        <is>
          <t>LLM</t>
        </is>
      </c>
      <c r="N3433" t="inlineStr">
        <is>
          <t>2026-04-19</t>
        </is>
      </c>
      <c r="O3433" t="inlineStr">
        <is>
          <t>AI</t>
        </is>
      </c>
    </row>
    <row r="3434">
      <c r="A3434" t="inlineStr">
        <is>
          <t>PT Nusantara Sawit Sejahtera Tbk</t>
        </is>
      </c>
      <c r="B3434" t="inlineStr">
        <is>
          <t>NSSS_2022_AR.pdf</t>
        </is>
      </c>
      <c r="C3434" t="n">
        <v>2022</v>
      </c>
      <c r="D3434" t="inlineStr">
        <is>
          <t>Financial</t>
        </is>
      </c>
      <c r="E3434" t="inlineStr">
        <is>
          <t>Total Assets</t>
        </is>
      </c>
      <c r="F3434" t="n">
        <v>3035</v>
      </c>
      <c r="G3434" t="inlineStr">
        <is>
          <t>IDR bn</t>
        </is>
      </c>
      <c r="H3434" t="n">
        <v>12</v>
      </c>
      <c r="I3434" t="inlineStr">
        <is>
          <t>Jumlah Aset 3.035.285 2.975.000 2.755.148</t>
        </is>
      </c>
      <c r="J3434" t="inlineStr">
        <is>
          <t>High</t>
        </is>
      </c>
      <c r="M3434" t="inlineStr">
        <is>
          <t>LLM</t>
        </is>
      </c>
      <c r="N3434" t="inlineStr">
        <is>
          <t>2026-04-19</t>
        </is>
      </c>
      <c r="O3434" t="inlineStr">
        <is>
          <t>AI</t>
        </is>
      </c>
    </row>
    <row r="3435">
      <c r="A3435" t="inlineStr">
        <is>
          <t>PT Nusantara Sawit Sejahtera Tbk</t>
        </is>
      </c>
      <c r="B3435" t="inlineStr">
        <is>
          <t>NSSS_2022_AR.pdf</t>
        </is>
      </c>
      <c r="C3435" t="n">
        <v>2022</v>
      </c>
      <c r="D3435" t="inlineStr">
        <is>
          <t>Financial</t>
        </is>
      </c>
      <c r="E3435" t="inlineStr">
        <is>
          <t>Current Assets</t>
        </is>
      </c>
      <c r="F3435" t="n">
        <v>331</v>
      </c>
      <c r="G3435" t="inlineStr">
        <is>
          <t>IDR bn</t>
        </is>
      </c>
      <c r="H3435" t="n">
        <v>12</v>
      </c>
      <c r="I3435" t="inlineStr">
        <is>
          <t>Aset Lancar 330.697 397.400 143.219</t>
        </is>
      </c>
      <c r="J3435" t="inlineStr">
        <is>
          <t>High</t>
        </is>
      </c>
      <c r="M3435" t="inlineStr">
        <is>
          <t>LLM</t>
        </is>
      </c>
      <c r="N3435" t="inlineStr">
        <is>
          <t>2026-04-19</t>
        </is>
      </c>
      <c r="O3435" t="inlineStr">
        <is>
          <t>AI</t>
        </is>
      </c>
    </row>
    <row r="3436">
      <c r="A3436" t="inlineStr">
        <is>
          <t>PT Nusantara Sawit Sejahtera Tbk</t>
        </is>
      </c>
      <c r="B3436" t="inlineStr">
        <is>
          <t>NSSS_2022_AR.pdf</t>
        </is>
      </c>
      <c r="C3436" t="n">
        <v>2022</v>
      </c>
      <c r="D3436" t="inlineStr">
        <is>
          <t>Financial</t>
        </is>
      </c>
      <c r="E3436" t="inlineStr">
        <is>
          <t>Non-Current Assets</t>
        </is>
      </c>
      <c r="F3436" t="n">
        <v>2705</v>
      </c>
      <c r="G3436" t="inlineStr">
        <is>
          <t>IDR bn</t>
        </is>
      </c>
      <c r="H3436" t="n">
        <v>12</v>
      </c>
      <c r="I3436" t="inlineStr">
        <is>
          <t>Aset Tidak Lancar 2.704.588 2.577.600</t>
        </is>
      </c>
      <c r="J3436" t="inlineStr">
        <is>
          <t>High</t>
        </is>
      </c>
      <c r="M3436" t="inlineStr">
        <is>
          <t>LLM</t>
        </is>
      </c>
      <c r="N3436" t="inlineStr">
        <is>
          <t>2026-04-19</t>
        </is>
      </c>
      <c r="O3436" t="inlineStr">
        <is>
          <t>AI</t>
        </is>
      </c>
    </row>
    <row r="3437">
      <c r="A3437" t="inlineStr">
        <is>
          <t>PT Nusantara Sawit Sejahtera Tbk</t>
        </is>
      </c>
      <c r="B3437" t="inlineStr">
        <is>
          <t>NSSS_2022_AR.pdf</t>
        </is>
      </c>
      <c r="C3437" t="n">
        <v>2022</v>
      </c>
      <c r="D3437" t="inlineStr">
        <is>
          <t>Financial</t>
        </is>
      </c>
      <c r="E3437" t="inlineStr">
        <is>
          <t>Total Liabilities</t>
        </is>
      </c>
      <c r="F3437" t="n">
        <v>2405</v>
      </c>
      <c r="G3437" t="inlineStr">
        <is>
          <t>IDR bn</t>
        </is>
      </c>
      <c r="H3437" t="n">
        <v>12</v>
      </c>
      <c r="I3437" t="inlineStr">
        <is>
          <t>Jumlah Liabilitas 2.405.161 2.415.748</t>
        </is>
      </c>
      <c r="J3437" t="inlineStr">
        <is>
          <t>High</t>
        </is>
      </c>
      <c r="M3437" t="inlineStr">
        <is>
          <t>LLM</t>
        </is>
      </c>
      <c r="N3437" t="inlineStr">
        <is>
          <t>2026-04-19</t>
        </is>
      </c>
      <c r="O3437" t="inlineStr">
        <is>
          <t>AI</t>
        </is>
      </c>
    </row>
    <row r="3438">
      <c r="A3438" t="inlineStr">
        <is>
          <t>PT Nusantara Sawit Sejahtera Tbk</t>
        </is>
      </c>
      <c r="B3438" t="inlineStr">
        <is>
          <t>NSSS_2022_AR.pdf</t>
        </is>
      </c>
      <c r="C3438" t="n">
        <v>2022</v>
      </c>
      <c r="D3438" t="inlineStr">
        <is>
          <t>Financial</t>
        </is>
      </c>
      <c r="E3438" t="inlineStr">
        <is>
          <t>Current Liabilities</t>
        </is>
      </c>
      <c r="F3438" t="n">
        <v>337</v>
      </c>
      <c r="G3438" t="inlineStr">
        <is>
          <t>IDR bn</t>
        </is>
      </c>
      <c r="H3438" t="n">
        <v>12</v>
      </c>
      <c r="I3438" t="inlineStr">
        <is>
          <t>Liabilitas Jangka Pendek 337.097 362.905</t>
        </is>
      </c>
      <c r="J3438" t="inlineStr">
        <is>
          <t>High</t>
        </is>
      </c>
      <c r="M3438" t="inlineStr">
        <is>
          <t>LLM</t>
        </is>
      </c>
      <c r="N3438" t="inlineStr">
        <is>
          <t>2026-04-19</t>
        </is>
      </c>
      <c r="O3438" t="inlineStr">
        <is>
          <t>AI</t>
        </is>
      </c>
    </row>
    <row r="3439">
      <c r="A3439" t="inlineStr">
        <is>
          <t>PT Nusantara Sawit Sejahtera Tbk</t>
        </is>
      </c>
      <c r="B3439" t="inlineStr">
        <is>
          <t>NSSS_2022_AR.pdf</t>
        </is>
      </c>
      <c r="C3439" t="n">
        <v>2022</v>
      </c>
      <c r="D3439" t="inlineStr">
        <is>
          <t>Financial</t>
        </is>
      </c>
      <c r="E3439" t="inlineStr">
        <is>
          <t>Long-term Liabilities</t>
        </is>
      </c>
      <c r="F3439" t="n">
        <v>2068</v>
      </c>
      <c r="G3439" t="inlineStr">
        <is>
          <t>IDR bn</t>
        </is>
      </c>
      <c r="H3439" t="n">
        <v>12</v>
      </c>
      <c r="I3439" t="inlineStr">
        <is>
          <t>Liabilitas Jangka Panjang 2.068.064 2.052.843</t>
        </is>
      </c>
      <c r="J3439" t="inlineStr">
        <is>
          <t>High</t>
        </is>
      </c>
      <c r="M3439" t="inlineStr">
        <is>
          <t>LLM</t>
        </is>
      </c>
      <c r="N3439" t="inlineStr">
        <is>
          <t>2026-04-19</t>
        </is>
      </c>
      <c r="O3439" t="inlineStr">
        <is>
          <t>AI</t>
        </is>
      </c>
    </row>
    <row r="3440">
      <c r="A3440" t="inlineStr">
        <is>
          <t>PT Nusantara Sawit Sejahtera Tbk</t>
        </is>
      </c>
      <c r="B3440" t="inlineStr">
        <is>
          <t>NSSS_2022_AR.pdf</t>
        </is>
      </c>
      <c r="C3440" t="n">
        <v>2022</v>
      </c>
      <c r="D3440" t="inlineStr">
        <is>
          <t>Financial</t>
        </is>
      </c>
      <c r="E3440" t="inlineStr">
        <is>
          <t>Total Equity</t>
        </is>
      </c>
      <c r="F3440" t="n">
        <v>630</v>
      </c>
      <c r="G3440" t="inlineStr">
        <is>
          <t>IDR bn</t>
        </is>
      </c>
      <c r="H3440" t="n">
        <v>12</v>
      </c>
      <c r="I3440" t="inlineStr">
        <is>
          <t>Jumlah Ekuitas 630.124 559.252</t>
        </is>
      </c>
      <c r="J3440" t="inlineStr">
        <is>
          <t>High</t>
        </is>
      </c>
      <c r="M3440" t="inlineStr">
        <is>
          <t>LLM</t>
        </is>
      </c>
      <c r="N3440" t="inlineStr">
        <is>
          <t>2026-04-19</t>
        </is>
      </c>
      <c r="O3440" t="inlineStr">
        <is>
          <t>AI</t>
        </is>
      </c>
    </row>
    <row r="3441">
      <c r="A3441" t="inlineStr">
        <is>
          <t>PT Nusantara Sawit Sejahtera Tbk</t>
        </is>
      </c>
      <c r="B3441" t="inlineStr">
        <is>
          <t>NSSS_2022_AR.pdf</t>
        </is>
      </c>
      <c r="C3441" t="n">
        <v>2022</v>
      </c>
      <c r="D3441" t="inlineStr">
        <is>
          <t>Financial</t>
        </is>
      </c>
      <c r="E3441" t="inlineStr">
        <is>
          <t>Cash End of Year</t>
        </is>
      </c>
      <c r="F3441" t="n">
        <v>40</v>
      </c>
      <c r="G3441" t="inlineStr">
        <is>
          <t>IDR bn</t>
        </is>
      </c>
      <c r="H3441" t="n">
        <v>63</v>
      </c>
      <c r="I3441" t="inlineStr">
        <is>
          <t>Kas dan Bank pada Akhir Tahun 40.453 191.229</t>
        </is>
      </c>
      <c r="J3441" t="inlineStr">
        <is>
          <t>High</t>
        </is>
      </c>
      <c r="M3441" t="inlineStr">
        <is>
          <t>LLM</t>
        </is>
      </c>
      <c r="N3441" t="inlineStr">
        <is>
          <t>2026-04-19</t>
        </is>
      </c>
      <c r="O3441" t="inlineStr">
        <is>
          <t>AI</t>
        </is>
      </c>
    </row>
    <row r="3442">
      <c r="A3442" t="inlineStr">
        <is>
          <t>PT Nusantara Sawit Sejahtera Tbk</t>
        </is>
      </c>
      <c r="B3442" t="inlineStr">
        <is>
          <t>NSSS_2022_AR.pdf</t>
        </is>
      </c>
      <c r="C3442" t="n">
        <v>2022</v>
      </c>
      <c r="D3442" t="inlineStr">
        <is>
          <t>Financial</t>
        </is>
      </c>
      <c r="E3442" t="inlineStr">
        <is>
          <t>CFO</t>
        </is>
      </c>
      <c r="F3442" t="n">
        <v>47</v>
      </c>
      <c r="G3442" t="inlineStr">
        <is>
          <t>IDR bn</t>
        </is>
      </c>
      <c r="H3442" t="n">
        <v>63</v>
      </c>
      <c r="I3442" t="inlineStr">
        <is>
          <t>Arus Kas Diperoleh dari Aktivitas Operasi 47.041</t>
        </is>
      </c>
      <c r="J3442" t="inlineStr">
        <is>
          <t>High</t>
        </is>
      </c>
      <c r="M3442" t="inlineStr">
        <is>
          <t>LLM</t>
        </is>
      </c>
      <c r="N3442" t="inlineStr">
        <is>
          <t>2026-04-19</t>
        </is>
      </c>
      <c r="O3442" t="inlineStr">
        <is>
          <t>AI</t>
        </is>
      </c>
    </row>
    <row r="3443">
      <c r="A3443" t="inlineStr">
        <is>
          <t>PT Nusantara Sawit Sejahtera Tbk</t>
        </is>
      </c>
      <c r="B3443" t="inlineStr">
        <is>
          <t>NSSS_2022_AR.pdf</t>
        </is>
      </c>
      <c r="C3443" t="n">
        <v>2022</v>
      </c>
      <c r="D3443" t="inlineStr">
        <is>
          <t>Financial</t>
        </is>
      </c>
      <c r="E3443" t="inlineStr">
        <is>
          <t>CFI</t>
        </is>
      </c>
      <c r="F3443" t="n">
        <v>-137</v>
      </c>
      <c r="G3443" t="inlineStr">
        <is>
          <t>IDR bn</t>
        </is>
      </c>
      <c r="H3443" t="n">
        <v>63</v>
      </c>
      <c r="I3443" t="inlineStr">
        <is>
          <t>Arus Kas untuk Aktivitas Investasi (137.199)</t>
        </is>
      </c>
      <c r="J3443" t="inlineStr">
        <is>
          <t>High</t>
        </is>
      </c>
      <c r="M3443" t="inlineStr">
        <is>
          <t>LLM</t>
        </is>
      </c>
      <c r="N3443" t="inlineStr">
        <is>
          <t>2026-04-19</t>
        </is>
      </c>
      <c r="O3443" t="inlineStr">
        <is>
          <t>AI</t>
        </is>
      </c>
    </row>
    <row r="3444">
      <c r="A3444" t="inlineStr">
        <is>
          <t>PT Nusantara Sawit Sejahtera Tbk</t>
        </is>
      </c>
      <c r="B3444" t="inlineStr">
        <is>
          <t>NSSS_2022_AR.pdf</t>
        </is>
      </c>
      <c r="C3444" t="n">
        <v>2022</v>
      </c>
      <c r="D3444" t="inlineStr">
        <is>
          <t>Financial</t>
        </is>
      </c>
      <c r="E3444" t="inlineStr">
        <is>
          <t>CFF</t>
        </is>
      </c>
      <c r="F3444" t="n">
        <v>-61</v>
      </c>
      <c r="G3444" t="inlineStr">
        <is>
          <t>IDR bn</t>
        </is>
      </c>
      <c r="H3444" t="n">
        <v>63</v>
      </c>
      <c r="I3444" t="inlineStr">
        <is>
          <t>Arus Kas Digunakan untuk Aktivitas Pendanaan (60.633)</t>
        </is>
      </c>
      <c r="J3444" t="inlineStr">
        <is>
          <t>High</t>
        </is>
      </c>
      <c r="M3444" t="inlineStr">
        <is>
          <t>LLM</t>
        </is>
      </c>
      <c r="N3444" t="inlineStr">
        <is>
          <t>2026-04-19</t>
        </is>
      </c>
      <c r="O3444" t="inlineStr">
        <is>
          <t>AI</t>
        </is>
      </c>
    </row>
    <row r="3445">
      <c r="A3445" t="inlineStr">
        <is>
          <t>PT Nusantara Sawit Sejahtera Tbk</t>
        </is>
      </c>
      <c r="B3445" t="inlineStr">
        <is>
          <t>NSSS_2022_AR.pdf</t>
        </is>
      </c>
      <c r="C3445" t="n">
        <v>2022</v>
      </c>
      <c r="D3445" t="inlineStr">
        <is>
          <t>Financial</t>
        </is>
      </c>
      <c r="E3445" t="inlineStr">
        <is>
          <t>EPS (basic)</t>
        </is>
      </c>
      <c r="F3445" t="n">
        <v>3</v>
      </c>
      <c r="G3445" t="inlineStr">
        <is>
          <t>Rp/share</t>
        </is>
      </c>
      <c r="H3445" t="n">
        <v>12</v>
      </c>
      <c r="I3445" t="inlineStr">
        <is>
          <t>Laba per Saham Dasar 3</t>
        </is>
      </c>
      <c r="J3445" t="inlineStr">
        <is>
          <t>High</t>
        </is>
      </c>
      <c r="M3445" t="inlineStr">
        <is>
          <t>LLM</t>
        </is>
      </c>
      <c r="N3445" t="inlineStr">
        <is>
          <t>2026-04-19</t>
        </is>
      </c>
      <c r="O3445" t="inlineStr">
        <is>
          <t>AI</t>
        </is>
      </c>
    </row>
    <row r="3446">
      <c r="A3446" t="inlineStr">
        <is>
          <t>PT Nusantara Sawit Sejahtera Tbk</t>
        </is>
      </c>
      <c r="B3446" t="inlineStr">
        <is>
          <t>NSSS_2022_AR.pdf</t>
        </is>
      </c>
      <c r="C3446" t="n">
        <v>2022</v>
      </c>
      <c r="D3446" t="inlineStr">
        <is>
          <t>Financial</t>
        </is>
      </c>
      <c r="E3446" t="inlineStr">
        <is>
          <t>Current Ratio</t>
        </is>
      </c>
      <c r="F3446" t="n">
        <v>0.98</v>
      </c>
      <c r="G3446" t="inlineStr">
        <is>
          <t>x</t>
        </is>
      </c>
      <c r="H3446" t="n">
        <v>12</v>
      </c>
      <c r="I3446" t="inlineStr">
        <is>
          <t>Rasio Lancar (%) 98,1</t>
        </is>
      </c>
      <c r="J3446" t="inlineStr">
        <is>
          <t>High</t>
        </is>
      </c>
      <c r="M3446" t="inlineStr">
        <is>
          <t>LLM</t>
        </is>
      </c>
      <c r="N3446" t="inlineStr">
        <is>
          <t>2026-04-19</t>
        </is>
      </c>
      <c r="O3446" t="inlineStr">
        <is>
          <t>AI</t>
        </is>
      </c>
    </row>
    <row r="3447">
      <c r="A3447" t="inlineStr">
        <is>
          <t>PT Nusantara Sawit Sejahtera Tbk</t>
        </is>
      </c>
      <c r="B3447" t="inlineStr">
        <is>
          <t>NSSS_2022_AR.pdf</t>
        </is>
      </c>
      <c r="C3447" t="n">
        <v>2022</v>
      </c>
      <c r="D3447" t="inlineStr">
        <is>
          <t>Financial</t>
        </is>
      </c>
      <c r="E3447" t="inlineStr">
        <is>
          <t>Debt-to-Equity Ratio</t>
        </is>
      </c>
      <c r="F3447" t="n">
        <v>3.817</v>
      </c>
      <c r="G3447" t="inlineStr">
        <is>
          <t>%</t>
        </is>
      </c>
      <c r="H3447" t="n">
        <v>12</v>
      </c>
      <c r="I3447" t="inlineStr">
        <is>
          <t>Utang terhadap Ekuitas (%) 381,7</t>
        </is>
      </c>
      <c r="J3447" t="inlineStr">
        <is>
          <t>High</t>
        </is>
      </c>
      <c r="M3447" t="inlineStr">
        <is>
          <t>LLM</t>
        </is>
      </c>
      <c r="N3447" t="inlineStr">
        <is>
          <t>2026-04-19</t>
        </is>
      </c>
      <c r="O3447" t="inlineStr">
        <is>
          <t>AI</t>
        </is>
      </c>
    </row>
    <row r="3448">
      <c r="A3448" t="inlineStr">
        <is>
          <t>PT Nusantara Sawit Sejahtera Tbk</t>
        </is>
      </c>
      <c r="B3448" t="inlineStr">
        <is>
          <t>NSSS_2022_AR.pdf</t>
        </is>
      </c>
      <c r="C3448" t="n">
        <v>2022</v>
      </c>
      <c r="D3448" t="inlineStr">
        <is>
          <t>Financial</t>
        </is>
      </c>
      <c r="E3448" t="inlineStr">
        <is>
          <t>Debt-to-Assets Ratio</t>
        </is>
      </c>
      <c r="F3448" t="n">
        <v>0.792</v>
      </c>
      <c r="G3448" t="inlineStr">
        <is>
          <t>%</t>
        </is>
      </c>
      <c r="H3448" t="n">
        <v>12</v>
      </c>
      <c r="I3448" t="inlineStr">
        <is>
          <t>Utang terhadap Aset (%) 79,2</t>
        </is>
      </c>
      <c r="J3448" t="inlineStr">
        <is>
          <t>High</t>
        </is>
      </c>
      <c r="M3448" t="inlineStr">
        <is>
          <t>LLM</t>
        </is>
      </c>
      <c r="N3448" t="inlineStr">
        <is>
          <t>2026-04-19</t>
        </is>
      </c>
      <c r="O3448" t="inlineStr">
        <is>
          <t>AI</t>
        </is>
      </c>
    </row>
    <row r="3449">
      <c r="A3449" t="inlineStr">
        <is>
          <t>PT Nusantara Sawit Sejahtera Tbk</t>
        </is>
      </c>
      <c r="B3449" t="inlineStr">
        <is>
          <t>NSSS_2022_AR.pdf</t>
        </is>
      </c>
      <c r="C3449" t="n">
        <v>2022</v>
      </c>
      <c r="D3449" t="inlineStr">
        <is>
          <t>Asset</t>
        </is>
      </c>
      <c r="E3449" t="inlineStr">
        <is>
          <t>Total Planted Area (Nucleus+Plasma)</t>
        </is>
      </c>
      <c r="F3449" t="n">
        <v>27265</v>
      </c>
      <c r="G3449" t="inlineStr">
        <is>
          <t>ha</t>
        </is>
      </c>
      <c r="H3449" t="n">
        <v>109</v>
      </c>
      <c r="I3449" t="inlineStr">
        <is>
          <t>area tertanam seluas 27.265 ha yang terdiri dari lahan inti tertanam seluas 26.384 ha dan lahan plasma seluas 881 ha</t>
        </is>
      </c>
      <c r="J3449" t="inlineStr">
        <is>
          <t>High</t>
        </is>
      </c>
      <c r="M3449" t="inlineStr">
        <is>
          <t>LLM</t>
        </is>
      </c>
      <c r="N3449" t="inlineStr">
        <is>
          <t>2026-04-19</t>
        </is>
      </c>
      <c r="O3449" t="inlineStr">
        <is>
          <t>AI</t>
        </is>
      </c>
    </row>
    <row r="3450">
      <c r="A3450" t="inlineStr">
        <is>
          <t>PT Nusantara Sawit Sejahtera Tbk</t>
        </is>
      </c>
      <c r="B3450" t="inlineStr">
        <is>
          <t>NSSS_2022_AR.pdf</t>
        </is>
      </c>
      <c r="C3450" t="n">
        <v>2022</v>
      </c>
      <c r="D3450" t="inlineStr">
        <is>
          <t>Asset</t>
        </is>
      </c>
      <c r="E3450" t="inlineStr">
        <is>
          <t>Nucleus Area</t>
        </is>
      </c>
      <c r="F3450" t="n">
        <v>26384</v>
      </c>
      <c r="G3450" t="inlineStr">
        <is>
          <t>ha</t>
        </is>
      </c>
      <c r="H3450" t="n">
        <v>109</v>
      </c>
      <c r="I3450" t="inlineStr">
        <is>
          <t>lahan inti tertanam seluas 26.384 ha</t>
        </is>
      </c>
      <c r="J3450" t="inlineStr">
        <is>
          <t>High</t>
        </is>
      </c>
      <c r="M3450" t="inlineStr">
        <is>
          <t>LLM</t>
        </is>
      </c>
      <c r="N3450" t="inlineStr">
        <is>
          <t>2026-04-19</t>
        </is>
      </c>
      <c r="O3450" t="inlineStr">
        <is>
          <t>AI</t>
        </is>
      </c>
    </row>
    <row r="3451">
      <c r="A3451" t="inlineStr">
        <is>
          <t>PT Nusantara Sawit Sejahtera Tbk</t>
        </is>
      </c>
      <c r="B3451" t="inlineStr">
        <is>
          <t>NSSS_2022_AR.pdf</t>
        </is>
      </c>
      <c r="C3451" t="n">
        <v>2022</v>
      </c>
      <c r="D3451" t="inlineStr">
        <is>
          <t>Asset</t>
        </is>
      </c>
      <c r="E3451" t="inlineStr">
        <is>
          <t>Plasma Area</t>
        </is>
      </c>
      <c r="F3451" t="n">
        <v>881</v>
      </c>
      <c r="G3451" t="inlineStr">
        <is>
          <t>ha</t>
        </is>
      </c>
      <c r="H3451" t="n">
        <v>109</v>
      </c>
      <c r="I3451" t="inlineStr">
        <is>
          <t>lahan plasma seluas 881 ha</t>
        </is>
      </c>
      <c r="J3451" t="inlineStr">
        <is>
          <t>High</t>
        </is>
      </c>
      <c r="M3451" t="inlineStr">
        <is>
          <t>LLM</t>
        </is>
      </c>
      <c r="N3451" t="inlineStr">
        <is>
          <t>2026-04-19</t>
        </is>
      </c>
      <c r="O3451" t="inlineStr">
        <is>
          <t>AI</t>
        </is>
      </c>
    </row>
    <row r="3452">
      <c r="A3452" t="inlineStr">
        <is>
          <t>PT Nusantara Sawit Sejahtera Tbk</t>
        </is>
      </c>
      <c r="B3452" t="inlineStr">
        <is>
          <t>NSSS_2022_AR.pdf</t>
        </is>
      </c>
      <c r="C3452" t="n">
        <v>2022</v>
      </c>
      <c r="D3452" t="inlineStr">
        <is>
          <t>Asset</t>
        </is>
      </c>
      <c r="E3452" t="inlineStr">
        <is>
          <t>Nucleus Mature Area</t>
        </is>
      </c>
      <c r="F3452" t="n">
        <v>25197</v>
      </c>
      <c r="G3452" t="inlineStr">
        <is>
          <t>ha</t>
        </is>
      </c>
      <c r="H3452" t="n">
        <v>109</v>
      </c>
      <c r="I3452" t="inlineStr">
        <is>
          <t>Pada lahan inti terdapat 25.197 ha TM dan 1.187 ha TBM</t>
        </is>
      </c>
      <c r="J3452" t="inlineStr">
        <is>
          <t>High</t>
        </is>
      </c>
      <c r="M3452" t="inlineStr">
        <is>
          <t>LLM</t>
        </is>
      </c>
      <c r="N3452" t="inlineStr">
        <is>
          <t>2026-04-19</t>
        </is>
      </c>
      <c r="O3452" t="inlineStr">
        <is>
          <t>AI</t>
        </is>
      </c>
    </row>
    <row r="3453">
      <c r="A3453" t="inlineStr">
        <is>
          <t>PT Nusantara Sawit Sejahtera Tbk</t>
        </is>
      </c>
      <c r="B3453" t="inlineStr">
        <is>
          <t>NSSS_2022_AR.pdf</t>
        </is>
      </c>
      <c r="C3453" t="n">
        <v>2022</v>
      </c>
      <c r="D3453" t="inlineStr">
        <is>
          <t>Asset</t>
        </is>
      </c>
      <c r="E3453" t="inlineStr">
        <is>
          <t>Nucleus Immature Area</t>
        </is>
      </c>
      <c r="F3453" t="n">
        <v>1187</v>
      </c>
      <c r="G3453" t="inlineStr">
        <is>
          <t>ha</t>
        </is>
      </c>
      <c r="H3453" t="n">
        <v>109</v>
      </c>
      <c r="I3453" t="inlineStr">
        <is>
          <t>1.187 ha TBM (nucleus)</t>
        </is>
      </c>
      <c r="J3453" t="inlineStr">
        <is>
          <t>High</t>
        </is>
      </c>
      <c r="M3453" t="inlineStr">
        <is>
          <t>LLM</t>
        </is>
      </c>
      <c r="N3453" t="inlineStr">
        <is>
          <t>2026-04-19</t>
        </is>
      </c>
      <c r="O3453" t="inlineStr">
        <is>
          <t>AI</t>
        </is>
      </c>
    </row>
    <row r="3454">
      <c r="A3454" t="inlineStr">
        <is>
          <t>PT Nusantara Sawit Sejahtera Tbk</t>
        </is>
      </c>
      <c r="B3454" t="inlineStr">
        <is>
          <t>NSSS_2022_AR.pdf</t>
        </is>
      </c>
      <c r="C3454" t="n">
        <v>2022</v>
      </c>
      <c r="D3454" t="inlineStr">
        <is>
          <t>Asset</t>
        </is>
      </c>
      <c r="E3454" t="inlineStr">
        <is>
          <t>Plasma Mature Area</t>
        </is>
      </c>
      <c r="F3454" t="n">
        <v>560</v>
      </c>
      <c r="G3454" t="inlineStr">
        <is>
          <t>ha</t>
        </is>
      </c>
      <c r="H3454" t="n">
        <v>109</v>
      </c>
      <c r="I3454" t="inlineStr">
        <is>
          <t>560 ha TM plasma</t>
        </is>
      </c>
      <c r="J3454" t="inlineStr">
        <is>
          <t>High</t>
        </is>
      </c>
      <c r="M3454" t="inlineStr">
        <is>
          <t>LLM</t>
        </is>
      </c>
      <c r="N3454" t="inlineStr">
        <is>
          <t>2026-04-19</t>
        </is>
      </c>
      <c r="O3454" t="inlineStr">
        <is>
          <t>AI</t>
        </is>
      </c>
    </row>
    <row r="3455">
      <c r="A3455" t="inlineStr">
        <is>
          <t>PT Nusantara Sawit Sejahtera Tbk</t>
        </is>
      </c>
      <c r="B3455" t="inlineStr">
        <is>
          <t>NSSS_2022_AR.pdf</t>
        </is>
      </c>
      <c r="C3455" t="n">
        <v>2022</v>
      </c>
      <c r="D3455" t="inlineStr">
        <is>
          <t>Asset</t>
        </is>
      </c>
      <c r="E3455" t="inlineStr">
        <is>
          <t>Plasma Immature Area</t>
        </is>
      </c>
      <c r="F3455" t="n">
        <v>321</v>
      </c>
      <c r="G3455" t="inlineStr">
        <is>
          <t>ha</t>
        </is>
      </c>
      <c r="H3455" t="n">
        <v>109</v>
      </c>
      <c r="I3455" t="inlineStr">
        <is>
          <t>321 ha TBM plasma</t>
        </is>
      </c>
      <c r="J3455" t="inlineStr">
        <is>
          <t>High</t>
        </is>
      </c>
      <c r="M3455" t="inlineStr">
        <is>
          <t>LLM</t>
        </is>
      </c>
      <c r="N3455" t="inlineStr">
        <is>
          <t>2026-04-19</t>
        </is>
      </c>
      <c r="O3455" t="inlineStr">
        <is>
          <t>AI</t>
        </is>
      </c>
    </row>
    <row r="3456">
      <c r="A3456" t="inlineStr">
        <is>
          <t>PT Nusantara Sawit Sejahtera Tbk</t>
        </is>
      </c>
      <c r="B3456" t="inlineStr">
        <is>
          <t>NSSS_2022_AR.pdf</t>
        </is>
      </c>
      <c r="C3456" t="n">
        <v>2022</v>
      </c>
      <c r="D3456" t="inlineStr">
        <is>
          <t>Asset</t>
        </is>
      </c>
      <c r="E3456" t="inlineStr">
        <is>
          <t>NSP Mature Nucleus Area</t>
        </is>
      </c>
      <c r="F3456" t="n">
        <v>12274</v>
      </c>
      <c r="G3456" t="inlineStr">
        <is>
          <t>ha</t>
        </is>
      </c>
      <c r="H3456" t="n">
        <v>38</v>
      </c>
      <c r="I3456" t="inlineStr">
        <is>
          <t>PT Nusantara Sawit Persada Mature Plants 12.274</t>
        </is>
      </c>
      <c r="J3456" t="inlineStr">
        <is>
          <t>High</t>
        </is>
      </c>
      <c r="M3456" t="inlineStr">
        <is>
          <t>LLM</t>
        </is>
      </c>
      <c r="N3456" t="inlineStr">
        <is>
          <t>2026-04-19</t>
        </is>
      </c>
      <c r="O3456" t="inlineStr">
        <is>
          <t>AI</t>
        </is>
      </c>
    </row>
    <row r="3457">
      <c r="A3457" t="inlineStr">
        <is>
          <t>PT Nusantara Sawit Sejahtera Tbk</t>
        </is>
      </c>
      <c r="B3457" t="inlineStr">
        <is>
          <t>NSSS_2022_AR.pdf</t>
        </is>
      </c>
      <c r="C3457" t="n">
        <v>2022</v>
      </c>
      <c r="D3457" t="inlineStr">
        <is>
          <t>Asset</t>
        </is>
      </c>
      <c r="E3457" t="inlineStr">
        <is>
          <t>BSP Mature Nucleus Area</t>
        </is>
      </c>
      <c r="F3457" t="n">
        <v>8259</v>
      </c>
      <c r="G3457" t="inlineStr">
        <is>
          <t>ha</t>
        </is>
      </c>
      <c r="H3457" t="n">
        <v>38</v>
      </c>
      <c r="I3457" t="inlineStr">
        <is>
          <t>PT Borneo Sawit Perdana Mature Plants 8.259</t>
        </is>
      </c>
      <c r="J3457" t="inlineStr">
        <is>
          <t>High</t>
        </is>
      </c>
      <c r="M3457" t="inlineStr">
        <is>
          <t>LLM</t>
        </is>
      </c>
      <c r="N3457" t="inlineStr">
        <is>
          <t>2026-04-19</t>
        </is>
      </c>
      <c r="O3457" t="inlineStr">
        <is>
          <t>AI</t>
        </is>
      </c>
    </row>
    <row r="3458">
      <c r="A3458" t="inlineStr">
        <is>
          <t>PT Nusantara Sawit Sejahtera Tbk</t>
        </is>
      </c>
      <c r="B3458" t="inlineStr">
        <is>
          <t>NSSS_2022_AR.pdf</t>
        </is>
      </c>
      <c r="C3458" t="n">
        <v>2022</v>
      </c>
      <c r="D3458" t="inlineStr">
        <is>
          <t>Asset</t>
        </is>
      </c>
      <c r="E3458" t="inlineStr">
        <is>
          <t>PMM Mature Nucleus Area</t>
        </is>
      </c>
      <c r="F3458" t="n">
        <v>4664</v>
      </c>
      <c r="G3458" t="inlineStr">
        <is>
          <t>ha</t>
        </is>
      </c>
      <c r="H3458" t="n">
        <v>38</v>
      </c>
      <c r="I3458" t="inlineStr">
        <is>
          <t>PT Prasetya Mitra Muda Mature Plants 4.664</t>
        </is>
      </c>
      <c r="J3458" t="inlineStr">
        <is>
          <t>High</t>
        </is>
      </c>
      <c r="M3458" t="inlineStr">
        <is>
          <t>LLM</t>
        </is>
      </c>
      <c r="N3458" t="inlineStr">
        <is>
          <t>2026-04-19</t>
        </is>
      </c>
      <c r="O3458" t="inlineStr">
        <is>
          <t>AI</t>
        </is>
      </c>
    </row>
    <row r="3459">
      <c r="A3459" t="inlineStr">
        <is>
          <t>PT Nusantara Sawit Sejahtera Tbk</t>
        </is>
      </c>
      <c r="B3459" t="inlineStr">
        <is>
          <t>NSSS_2022_AR.pdf</t>
        </is>
      </c>
      <c r="C3459" t="n">
        <v>2022</v>
      </c>
      <c r="D3459" t="inlineStr">
        <is>
          <t>Asset</t>
        </is>
      </c>
      <c r="E3459" t="inlineStr">
        <is>
          <t>Avg Tree Age</t>
        </is>
      </c>
      <c r="F3459" t="n">
        <v>7</v>
      </c>
      <c r="G3459" t="inlineStr">
        <is>
          <t>years</t>
        </is>
      </c>
      <c r="H3459" t="n">
        <v>39</v>
      </c>
      <c r="I3459" t="inlineStr">
        <is>
          <t>Umur Tanaman yang Muda dengan Rata-Rata Umur 7 Tahun</t>
        </is>
      </c>
      <c r="J3459" t="inlineStr">
        <is>
          <t>High</t>
        </is>
      </c>
      <c r="M3459" t="inlineStr">
        <is>
          <t>LLM</t>
        </is>
      </c>
      <c r="N3459" t="inlineStr">
        <is>
          <t>2026-04-19</t>
        </is>
      </c>
      <c r="O3459" t="inlineStr">
        <is>
          <t>AI</t>
        </is>
      </c>
    </row>
    <row r="3460">
      <c r="A3460" t="inlineStr">
        <is>
          <t>PT Nusantara Sawit Sejahtera Tbk</t>
        </is>
      </c>
      <c r="B3460" t="inlineStr">
        <is>
          <t>NSSS_2022_AR.pdf</t>
        </is>
      </c>
      <c r="C3460" t="n">
        <v>2022</v>
      </c>
      <c r="D3460" t="inlineStr">
        <is>
          <t>Asset</t>
        </is>
      </c>
      <c r="E3460" t="inlineStr">
        <is>
          <t>Palm Oil Mill Count</t>
        </is>
      </c>
      <c r="F3460" t="n">
        <v>1</v>
      </c>
      <c r="G3460" t="inlineStr">
        <is>
          <t>count</t>
        </is>
      </c>
      <c r="H3460" t="n">
        <v>114</v>
      </c>
      <c r="I3460" t="inlineStr">
        <is>
          <t>Perseroan dan Entitas Anak mengoperasikan 1 pabrik kelapa sawit dengan kapasitas 60 ton per jam di PT NSP</t>
        </is>
      </c>
      <c r="J3460" t="inlineStr">
        <is>
          <t>High</t>
        </is>
      </c>
      <c r="M3460" t="inlineStr">
        <is>
          <t>LLM</t>
        </is>
      </c>
      <c r="N3460" t="inlineStr">
        <is>
          <t>2026-04-19</t>
        </is>
      </c>
      <c r="O3460" t="inlineStr">
        <is>
          <t>AI</t>
        </is>
      </c>
    </row>
    <row r="3461">
      <c r="A3461" t="inlineStr">
        <is>
          <t>PT Nusantara Sawit Sejahtera Tbk</t>
        </is>
      </c>
      <c r="B3461" t="inlineStr">
        <is>
          <t>NSSS_2022_AR.pdf</t>
        </is>
      </c>
      <c r="C3461" t="n">
        <v>2022</v>
      </c>
      <c r="D3461" t="inlineStr">
        <is>
          <t>Asset</t>
        </is>
      </c>
      <c r="E3461" t="inlineStr">
        <is>
          <t>Mill Capacity (NSP)</t>
        </is>
      </c>
      <c r="F3461" t="n">
        <v>60</v>
      </c>
      <c r="G3461" t="inlineStr">
        <is>
          <t>tph</t>
        </is>
      </c>
      <c r="H3461" t="n">
        <v>114</v>
      </c>
      <c r="I3461" t="inlineStr">
        <is>
          <t>1 pabrik kelapa sawit dengan kapasitas 60 ton per jam di PT NSP</t>
        </is>
      </c>
      <c r="J3461" t="inlineStr">
        <is>
          <t>High</t>
        </is>
      </c>
      <c r="M3461" t="inlineStr">
        <is>
          <t>LLM</t>
        </is>
      </c>
      <c r="N3461" t="inlineStr">
        <is>
          <t>2026-04-19</t>
        </is>
      </c>
      <c r="O3461" t="inlineStr">
        <is>
          <t>AI</t>
        </is>
      </c>
    </row>
    <row r="3462">
      <c r="A3462" t="inlineStr">
        <is>
          <t>PT Nusantara Sawit Sejahtera Tbk</t>
        </is>
      </c>
      <c r="B3462" t="inlineStr">
        <is>
          <t>NSSS_2022_AR.pdf</t>
        </is>
      </c>
      <c r="C3462" t="n">
        <v>2022</v>
      </c>
      <c r="D3462" t="inlineStr">
        <is>
          <t>Asset</t>
        </is>
      </c>
      <c r="E3462" t="inlineStr">
        <is>
          <t>CPO Storage Capacity</t>
        </is>
      </c>
      <c r="F3462" t="n">
        <v>6000</v>
      </c>
      <c r="G3462" t="inlineStr">
        <is>
          <t>t</t>
        </is>
      </c>
      <c r="H3462" t="n">
        <v>115</v>
      </c>
      <c r="I3462" t="inlineStr">
        <is>
          <t>CPO akan disimpan ke dalam 2 tangki dengan total kapasitas 6.000 ton</t>
        </is>
      </c>
      <c r="J3462" t="inlineStr">
        <is>
          <t>High</t>
        </is>
      </c>
      <c r="M3462" t="inlineStr">
        <is>
          <t>LLM</t>
        </is>
      </c>
      <c r="N3462" t="inlineStr">
        <is>
          <t>2026-04-19</t>
        </is>
      </c>
      <c r="O3462" t="inlineStr">
        <is>
          <t>AI</t>
        </is>
      </c>
    </row>
    <row r="3463">
      <c r="A3463" t="inlineStr">
        <is>
          <t>PT Nusantara Sawit Sejahtera Tbk</t>
        </is>
      </c>
      <c r="B3463" t="inlineStr">
        <is>
          <t>NSSS_2022_AR.pdf</t>
        </is>
      </c>
      <c r="C3463" t="n">
        <v>2022</v>
      </c>
      <c r="D3463" t="inlineStr">
        <is>
          <t>Operation</t>
        </is>
      </c>
      <c r="E3463" t="inlineStr">
        <is>
          <t>FFB Production Total</t>
        </is>
      </c>
      <c r="F3463" t="n">
        <v>399606</v>
      </c>
      <c r="G3463" t="inlineStr">
        <is>
          <t>t</t>
        </is>
      </c>
      <c r="H3463" t="n">
        <v>115</v>
      </c>
      <c r="I3463" t="inlineStr">
        <is>
          <t>Sub jumlah 399.606 390.367 351.098 298.259 (2022)</t>
        </is>
      </c>
      <c r="J3463" t="inlineStr">
        <is>
          <t>High</t>
        </is>
      </c>
      <c r="M3463" t="inlineStr">
        <is>
          <t>LLM</t>
        </is>
      </c>
      <c r="N3463" t="inlineStr">
        <is>
          <t>2026-04-19</t>
        </is>
      </c>
      <c r="O3463" t="inlineStr">
        <is>
          <t>AI</t>
        </is>
      </c>
    </row>
    <row r="3464">
      <c r="A3464" t="inlineStr">
        <is>
          <t>PT Nusantara Sawit Sejahtera Tbk</t>
        </is>
      </c>
      <c r="B3464" t="inlineStr">
        <is>
          <t>NSSS_2022_AR.pdf</t>
        </is>
      </c>
      <c r="C3464" t="n">
        <v>2022</v>
      </c>
      <c r="D3464" t="inlineStr">
        <is>
          <t>Operation</t>
        </is>
      </c>
      <c r="E3464" t="inlineStr">
        <is>
          <t>FFB Production - NSP</t>
        </is>
      </c>
      <c r="F3464" t="n">
        <v>232227</v>
      </c>
      <c r="G3464" t="inlineStr">
        <is>
          <t>t</t>
        </is>
      </c>
      <c r="H3464" t="n">
        <v>115</v>
      </c>
      <c r="I3464" t="inlineStr">
        <is>
          <t>NSP 232.227 233.768 211.805 190.986</t>
        </is>
      </c>
      <c r="J3464" t="inlineStr">
        <is>
          <t>High</t>
        </is>
      </c>
      <c r="M3464" t="inlineStr">
        <is>
          <t>LLM</t>
        </is>
      </c>
      <c r="N3464" t="inlineStr">
        <is>
          <t>2026-04-19</t>
        </is>
      </c>
      <c r="O3464" t="inlineStr">
        <is>
          <t>AI</t>
        </is>
      </c>
    </row>
    <row r="3465">
      <c r="A3465" t="inlineStr">
        <is>
          <t>PT Nusantara Sawit Sejahtera Tbk</t>
        </is>
      </c>
      <c r="B3465" t="inlineStr">
        <is>
          <t>NSSS_2022_AR.pdf</t>
        </is>
      </c>
      <c r="C3465" t="n">
        <v>2022</v>
      </c>
      <c r="D3465" t="inlineStr">
        <is>
          <t>Operation</t>
        </is>
      </c>
      <c r="E3465" t="inlineStr">
        <is>
          <t>FFB Production - BSP</t>
        </is>
      </c>
      <c r="F3465" t="n">
        <v>126345</v>
      </c>
      <c r="G3465" t="inlineStr">
        <is>
          <t>t</t>
        </is>
      </c>
      <c r="H3465" t="n">
        <v>115</v>
      </c>
      <c r="I3465" t="inlineStr">
        <is>
          <t>BSP 126.345 123.498 117.400 97.851</t>
        </is>
      </c>
      <c r="J3465" t="inlineStr">
        <is>
          <t>High</t>
        </is>
      </c>
      <c r="M3465" t="inlineStr">
        <is>
          <t>LLM</t>
        </is>
      </c>
      <c r="N3465" t="inlineStr">
        <is>
          <t>2026-04-19</t>
        </is>
      </c>
      <c r="O3465" t="inlineStr">
        <is>
          <t>AI</t>
        </is>
      </c>
    </row>
    <row r="3466">
      <c r="A3466" t="inlineStr">
        <is>
          <t>PT Nusantara Sawit Sejahtera Tbk</t>
        </is>
      </c>
      <c r="B3466" t="inlineStr">
        <is>
          <t>NSSS_2022_AR.pdf</t>
        </is>
      </c>
      <c r="C3466" t="n">
        <v>2022</v>
      </c>
      <c r="D3466" t="inlineStr">
        <is>
          <t>Operation</t>
        </is>
      </c>
      <c r="E3466" t="inlineStr">
        <is>
          <t>FFB Production - PMM</t>
        </is>
      </c>
      <c r="F3466" t="n">
        <v>41034</v>
      </c>
      <c r="G3466" t="inlineStr">
        <is>
          <t>t</t>
        </is>
      </c>
      <c r="H3466" t="n">
        <v>115</v>
      </c>
      <c r="I3466" t="inlineStr">
        <is>
          <t>PMM 41.034 33.101 21.893 9.422</t>
        </is>
      </c>
      <c r="J3466" t="inlineStr">
        <is>
          <t>High</t>
        </is>
      </c>
      <c r="M3466" t="inlineStr">
        <is>
          <t>LLM</t>
        </is>
      </c>
      <c r="N3466" t="inlineStr">
        <is>
          <t>2026-04-19</t>
        </is>
      </c>
      <c r="O3466" t="inlineStr">
        <is>
          <t>AI</t>
        </is>
      </c>
    </row>
    <row r="3467">
      <c r="A3467" t="inlineStr">
        <is>
          <t>PT Nusantara Sawit Sejahtera Tbk</t>
        </is>
      </c>
      <c r="B3467" t="inlineStr">
        <is>
          <t>NSSS_2022_AR.pdf</t>
        </is>
      </c>
      <c r="C3467" t="n">
        <v>2022</v>
      </c>
      <c r="D3467" t="inlineStr">
        <is>
          <t>Operation</t>
        </is>
      </c>
      <c r="E3467" t="inlineStr">
        <is>
          <t>CPO Production</t>
        </is>
      </c>
      <c r="F3467" t="n">
        <v>82862</v>
      </c>
      <c r="G3467" t="inlineStr">
        <is>
          <t>t</t>
        </is>
      </c>
      <c r="H3467" t="n">
        <v>115</v>
      </c>
      <c r="I3467" t="inlineStr">
        <is>
          <t>CPO NSP 82.862 88.025 80.555 73.350</t>
        </is>
      </c>
      <c r="J3467" t="inlineStr">
        <is>
          <t>High</t>
        </is>
      </c>
      <c r="M3467" t="inlineStr">
        <is>
          <t>LLM</t>
        </is>
      </c>
      <c r="N3467" t="inlineStr">
        <is>
          <t>2026-04-19</t>
        </is>
      </c>
      <c r="O3467" t="inlineStr">
        <is>
          <t>AI</t>
        </is>
      </c>
    </row>
    <row r="3468">
      <c r="A3468" t="inlineStr">
        <is>
          <t>PT Nusantara Sawit Sejahtera Tbk</t>
        </is>
      </c>
      <c r="B3468" t="inlineStr">
        <is>
          <t>NSSS_2022_AR.pdf</t>
        </is>
      </c>
      <c r="C3468" t="n">
        <v>2022</v>
      </c>
      <c r="D3468" t="inlineStr">
        <is>
          <t>Operation</t>
        </is>
      </c>
      <c r="E3468" t="inlineStr">
        <is>
          <t>PK Production</t>
        </is>
      </c>
      <c r="F3468" t="n">
        <v>15617</v>
      </c>
      <c r="G3468" t="inlineStr">
        <is>
          <t>t</t>
        </is>
      </c>
      <c r="H3468" t="n">
        <v>115</v>
      </c>
      <c r="I3468" t="inlineStr">
        <is>
          <t>PK NSP 15.617 18.083 15.311 13.904</t>
        </is>
      </c>
      <c r="J3468" t="inlineStr">
        <is>
          <t>High</t>
        </is>
      </c>
      <c r="M3468" t="inlineStr">
        <is>
          <t>LLM</t>
        </is>
      </c>
      <c r="N3468" t="inlineStr">
        <is>
          <t>2026-04-19</t>
        </is>
      </c>
      <c r="O3468" t="inlineStr">
        <is>
          <t>AI</t>
        </is>
      </c>
    </row>
    <row r="3469">
      <c r="A3469" t="inlineStr">
        <is>
          <t>PT Nusantara Sawit Sejahtera Tbk</t>
        </is>
      </c>
      <c r="B3469" t="inlineStr">
        <is>
          <t>NSSS_2022_AR.pdf</t>
        </is>
      </c>
      <c r="C3469" t="n">
        <v>2022</v>
      </c>
      <c r="D3469" t="inlineStr">
        <is>
          <t>Operation</t>
        </is>
      </c>
      <c r="E3469" t="inlineStr">
        <is>
          <t>OER</t>
        </is>
      </c>
      <c r="F3469" t="n">
        <v>0.2177</v>
      </c>
      <c r="G3469" t="inlineStr">
        <is>
          <t>%</t>
        </is>
      </c>
      <c r="H3469" t="n">
        <v>115</v>
      </c>
      <c r="I3469" t="inlineStr">
        <is>
          <t>Oil Extraction Rate NSP 21,77 21,90 21,37 21,72</t>
        </is>
      </c>
      <c r="J3469" t="inlineStr">
        <is>
          <t>High</t>
        </is>
      </c>
      <c r="M3469" t="inlineStr">
        <is>
          <t>LLM</t>
        </is>
      </c>
      <c r="N3469" t="inlineStr">
        <is>
          <t>2026-04-19</t>
        </is>
      </c>
      <c r="O3469" t="inlineStr">
        <is>
          <t>AI</t>
        </is>
      </c>
    </row>
    <row r="3470">
      <c r="A3470" t="inlineStr">
        <is>
          <t>PT Nusantara Sawit Sejahtera Tbk</t>
        </is>
      </c>
      <c r="B3470" t="inlineStr">
        <is>
          <t>NSSS_2022_AR.pdf</t>
        </is>
      </c>
      <c r="C3470" t="n">
        <v>2022</v>
      </c>
      <c r="D3470" t="inlineStr">
        <is>
          <t>Operation</t>
        </is>
      </c>
      <c r="E3470" t="inlineStr">
        <is>
          <t>CPO Sales Volume</t>
        </is>
      </c>
      <c r="F3470" t="n">
        <v>80466</v>
      </c>
      <c r="G3470" t="inlineStr">
        <is>
          <t>t</t>
        </is>
      </c>
      <c r="H3470" t="n">
        <v>75</v>
      </c>
      <c r="I3470" t="inlineStr">
        <is>
          <t>2022: 80.466 ton (CPO sales quantity 2022)</t>
        </is>
      </c>
      <c r="J3470" t="inlineStr">
        <is>
          <t>High</t>
        </is>
      </c>
      <c r="M3470" t="inlineStr">
        <is>
          <t>LLM</t>
        </is>
      </c>
      <c r="N3470" t="inlineStr">
        <is>
          <t>2026-04-19</t>
        </is>
      </c>
      <c r="O3470" t="inlineStr">
        <is>
          <t>AI</t>
        </is>
      </c>
    </row>
    <row r="3471">
      <c r="A3471" t="inlineStr">
        <is>
          <t>PT Nusantara Sawit Sejahtera Tbk</t>
        </is>
      </c>
      <c r="B3471" t="inlineStr">
        <is>
          <t>NSSS_2022_AR.pdf</t>
        </is>
      </c>
      <c r="C3471" t="n">
        <v>2022</v>
      </c>
      <c r="D3471" t="inlineStr">
        <is>
          <t>Operation</t>
        </is>
      </c>
      <c r="E3471" t="inlineStr">
        <is>
          <t>PK Sales Volume</t>
        </is>
      </c>
      <c r="F3471" t="n">
        <v>15544</v>
      </c>
      <c r="G3471" t="inlineStr">
        <is>
          <t>t</t>
        </is>
      </c>
      <c r="H3471" t="n">
        <v>75</v>
      </c>
      <c r="I3471" t="inlineStr">
        <is>
          <t>2022: 15.544 ton (PK sales quantity)</t>
        </is>
      </c>
      <c r="J3471" t="inlineStr">
        <is>
          <t>High</t>
        </is>
      </c>
      <c r="M3471" t="inlineStr">
        <is>
          <t>LLM</t>
        </is>
      </c>
      <c r="N3471" t="inlineStr">
        <is>
          <t>2026-04-19</t>
        </is>
      </c>
      <c r="O3471" t="inlineStr">
        <is>
          <t>AI</t>
        </is>
      </c>
    </row>
    <row r="3472">
      <c r="A3472" t="inlineStr">
        <is>
          <t>PT Nusantara Sawit Sejahtera Tbk</t>
        </is>
      </c>
      <c r="B3472" t="inlineStr">
        <is>
          <t>NSSS_2022_AR.pdf</t>
        </is>
      </c>
      <c r="C3472" t="n">
        <v>2022</v>
      </c>
      <c r="D3472" t="inlineStr">
        <is>
          <t>Operation</t>
        </is>
      </c>
      <c r="E3472" t="inlineStr">
        <is>
          <t>FFB Sales Volume</t>
        </is>
      </c>
      <c r="F3472" t="n">
        <v>22930</v>
      </c>
      <c r="G3472" t="inlineStr">
        <is>
          <t>t</t>
        </is>
      </c>
      <c r="H3472" t="n">
        <v>75</v>
      </c>
      <c r="I3472" t="inlineStr">
        <is>
          <t>2022: 22.930 ton (FFB sales quantity)</t>
        </is>
      </c>
      <c r="J3472" t="inlineStr">
        <is>
          <t>High</t>
        </is>
      </c>
      <c r="M3472" t="inlineStr">
        <is>
          <t>LLM</t>
        </is>
      </c>
      <c r="N3472" t="inlineStr">
        <is>
          <t>2026-04-19</t>
        </is>
      </c>
      <c r="O3472" t="inlineStr">
        <is>
          <t>AI</t>
        </is>
      </c>
    </row>
    <row r="3473">
      <c r="A3473" t="inlineStr">
        <is>
          <t>PT Nusantara Sawit Sejahtera Tbk</t>
        </is>
      </c>
      <c r="B3473" t="inlineStr">
        <is>
          <t>NSSS_2022_AR.pdf</t>
        </is>
      </c>
      <c r="C3473" t="n">
        <v>2022</v>
      </c>
      <c r="D3473" t="inlineStr">
        <is>
          <t>Operation</t>
        </is>
      </c>
      <c r="E3473" t="inlineStr">
        <is>
          <t>Avg CPO Selling Price</t>
        </is>
      </c>
      <c r="F3473" t="n">
        <v>12145</v>
      </c>
      <c r="G3473" t="inlineStr">
        <is>
          <t>Rp/kg</t>
        </is>
      </c>
      <c r="H3473" t="n">
        <v>75</v>
      </c>
      <c r="I3473" t="inlineStr">
        <is>
          <t>2022: Rp12.145 per kg</t>
        </is>
      </c>
      <c r="J3473" t="inlineStr">
        <is>
          <t>High</t>
        </is>
      </c>
      <c r="M3473" t="inlineStr">
        <is>
          <t>LLM</t>
        </is>
      </c>
      <c r="N3473" t="inlineStr">
        <is>
          <t>2026-04-19</t>
        </is>
      </c>
      <c r="O3473" t="inlineStr">
        <is>
          <t>AI</t>
        </is>
      </c>
    </row>
    <row r="3474">
      <c r="A3474" t="inlineStr">
        <is>
          <t>PT Nusantara Sawit Sejahtera Tbk</t>
        </is>
      </c>
      <c r="B3474" t="inlineStr">
        <is>
          <t>NSSS_2022_AR.pdf</t>
        </is>
      </c>
      <c r="C3474" t="n">
        <v>2022</v>
      </c>
      <c r="D3474" t="inlineStr">
        <is>
          <t>Operation</t>
        </is>
      </c>
      <c r="E3474" t="inlineStr">
        <is>
          <t>Avg PK Selling Price</t>
        </is>
      </c>
      <c r="F3474" t="n">
        <v>7550</v>
      </c>
      <c r="G3474" t="inlineStr">
        <is>
          <t>Rp/kg</t>
        </is>
      </c>
      <c r="H3474" t="n">
        <v>75</v>
      </c>
      <c r="I3474" t="inlineStr">
        <is>
          <t>2022: Rp7.550 per kg</t>
        </is>
      </c>
      <c r="J3474" t="inlineStr">
        <is>
          <t>High</t>
        </is>
      </c>
      <c r="M3474" t="inlineStr">
        <is>
          <t>LLM</t>
        </is>
      </c>
      <c r="N3474" t="inlineStr">
        <is>
          <t>2026-04-19</t>
        </is>
      </c>
      <c r="O3474" t="inlineStr">
        <is>
          <t>AI</t>
        </is>
      </c>
    </row>
    <row r="3475">
      <c r="A3475" t="inlineStr">
        <is>
          <t>PT Nusantara Sawit Sejahtera Tbk</t>
        </is>
      </c>
      <c r="B3475" t="inlineStr">
        <is>
          <t>NSSS_2022_AR.pdf</t>
        </is>
      </c>
      <c r="C3475" t="n">
        <v>2022</v>
      </c>
      <c r="D3475" t="inlineStr">
        <is>
          <t>Operation</t>
        </is>
      </c>
      <c r="E3475" t="inlineStr">
        <is>
          <t>Avg FFB Selling Price</t>
        </is>
      </c>
      <c r="F3475" t="n">
        <v>1719</v>
      </c>
      <c r="G3475" t="inlineStr">
        <is>
          <t>Rp/kg</t>
        </is>
      </c>
      <c r="H3475" t="n">
        <v>75</v>
      </c>
      <c r="I3475" t="inlineStr">
        <is>
          <t>2022: Rp1.719 per kg</t>
        </is>
      </c>
      <c r="J3475" t="inlineStr">
        <is>
          <t>High</t>
        </is>
      </c>
      <c r="M3475" t="inlineStr">
        <is>
          <t>LLM</t>
        </is>
      </c>
      <c r="N3475" t="inlineStr">
        <is>
          <t>2026-04-19</t>
        </is>
      </c>
      <c r="O3475" t="inlineStr">
        <is>
          <t>AI</t>
        </is>
      </c>
    </row>
    <row r="3476">
      <c r="A3476" t="inlineStr">
        <is>
          <t>PT Nusantara Sawit Sejahtera Tbk</t>
        </is>
      </c>
      <c r="B3476" t="inlineStr">
        <is>
          <t>NSSS_2022_AR.pdf</t>
        </is>
      </c>
      <c r="C3476" t="n">
        <v>2022</v>
      </c>
      <c r="D3476" t="inlineStr">
        <is>
          <t>Operation</t>
        </is>
      </c>
      <c r="E3476" t="inlineStr">
        <is>
          <t>CPO Sales Value</t>
        </is>
      </c>
      <c r="F3476" t="n">
        <v>977</v>
      </c>
      <c r="G3476" t="inlineStr">
        <is>
          <t>IDR bn</t>
        </is>
      </c>
      <c r="H3476" t="n">
        <v>72</v>
      </c>
      <c r="I3476" t="inlineStr">
        <is>
          <t>CPO (juta Rp) 977.316</t>
        </is>
      </c>
      <c r="J3476" t="inlineStr">
        <is>
          <t>High</t>
        </is>
      </c>
      <c r="M3476" t="inlineStr">
        <is>
          <t>LLM</t>
        </is>
      </c>
      <c r="N3476" t="inlineStr">
        <is>
          <t>2026-04-19</t>
        </is>
      </c>
      <c r="O3476" t="inlineStr">
        <is>
          <t>AI</t>
        </is>
      </c>
    </row>
    <row r="3477">
      <c r="A3477" t="inlineStr">
        <is>
          <t>PT Nusantara Sawit Sejahtera Tbk</t>
        </is>
      </c>
      <c r="B3477" t="inlineStr">
        <is>
          <t>NSSS_2022_AR.pdf</t>
        </is>
      </c>
      <c r="C3477" t="n">
        <v>2022</v>
      </c>
      <c r="D3477" t="inlineStr">
        <is>
          <t>Operation</t>
        </is>
      </c>
      <c r="E3477" t="inlineStr">
        <is>
          <t>PK Sales Value</t>
        </is>
      </c>
      <c r="F3477" t="n">
        <v>117</v>
      </c>
      <c r="G3477" t="inlineStr">
        <is>
          <t>IDR bn</t>
        </is>
      </c>
      <c r="H3477" t="n">
        <v>72</v>
      </c>
      <c r="I3477" t="inlineStr">
        <is>
          <t>PK (juta Rp) 117.366</t>
        </is>
      </c>
      <c r="J3477" t="inlineStr">
        <is>
          <t>High</t>
        </is>
      </c>
      <c r="M3477" t="inlineStr">
        <is>
          <t>LLM</t>
        </is>
      </c>
      <c r="N3477" t="inlineStr">
        <is>
          <t>2026-04-19</t>
        </is>
      </c>
      <c r="O3477" t="inlineStr">
        <is>
          <t>AI</t>
        </is>
      </c>
    </row>
    <row r="3478">
      <c r="A3478" t="inlineStr">
        <is>
          <t>PT Nusantara Sawit Sejahtera Tbk</t>
        </is>
      </c>
      <c r="B3478" t="inlineStr">
        <is>
          <t>NSSS_2022_AR.pdf</t>
        </is>
      </c>
      <c r="C3478" t="n">
        <v>2022</v>
      </c>
      <c r="D3478" t="inlineStr">
        <is>
          <t>Operation</t>
        </is>
      </c>
      <c r="E3478" t="inlineStr">
        <is>
          <t>FFB Sales Value</t>
        </is>
      </c>
      <c r="F3478" t="n">
        <v>39</v>
      </c>
      <c r="G3478" t="inlineStr">
        <is>
          <t>IDR bn</t>
        </is>
      </c>
      <c r="H3478" t="n">
        <v>72</v>
      </c>
      <c r="I3478" t="inlineStr">
        <is>
          <t>TBS (juta Rp) 39.413</t>
        </is>
      </c>
      <c r="J3478" t="inlineStr">
        <is>
          <t>High</t>
        </is>
      </c>
      <c r="M3478" t="inlineStr">
        <is>
          <t>LLM</t>
        </is>
      </c>
      <c r="N3478" t="inlineStr">
        <is>
          <t>2026-04-19</t>
        </is>
      </c>
      <c r="O3478" t="inlineStr">
        <is>
          <t>AI</t>
        </is>
      </c>
    </row>
    <row r="3479">
      <c r="A3479" t="inlineStr">
        <is>
          <t>PT Nusantara Sawit Sejahtera Tbk</t>
        </is>
      </c>
      <c r="B3479" t="inlineStr">
        <is>
          <t>NSSS_2022_AR.pdf</t>
        </is>
      </c>
      <c r="C3479" t="n">
        <v>2022</v>
      </c>
      <c r="D3479" t="inlineStr">
        <is>
          <t>Operation</t>
        </is>
      </c>
      <c r="E3479" t="inlineStr">
        <is>
          <t>FFB Production Target 2022</t>
        </is>
      </c>
      <c r="F3479" t="n">
        <v>389878</v>
      </c>
      <c r="G3479" t="inlineStr">
        <is>
          <t>t</t>
        </is>
      </c>
      <c r="H3479" t="n">
        <v>152</v>
      </c>
      <c r="I3479" t="inlineStr">
        <is>
          <t>2022 389.878 399.606</t>
        </is>
      </c>
      <c r="J3479" t="inlineStr">
        <is>
          <t>High</t>
        </is>
      </c>
      <c r="M3479" t="inlineStr">
        <is>
          <t>LLM</t>
        </is>
      </c>
      <c r="N3479" t="inlineStr">
        <is>
          <t>2026-04-19</t>
        </is>
      </c>
      <c r="O3479" t="inlineStr">
        <is>
          <t>AI</t>
        </is>
      </c>
    </row>
    <row r="3480">
      <c r="A3480" t="inlineStr">
        <is>
          <t>PT Nusantara Sawit Sejahtera Tbk</t>
        </is>
      </c>
      <c r="B3480" t="inlineStr">
        <is>
          <t>NSSS_2022_AR.pdf</t>
        </is>
      </c>
      <c r="C3480" t="n">
        <v>2022</v>
      </c>
      <c r="D3480" t="inlineStr">
        <is>
          <t>Operation</t>
        </is>
      </c>
      <c r="E3480" t="inlineStr">
        <is>
          <t>CPO Production Target 2022</t>
        </is>
      </c>
      <c r="F3480" t="n">
        <v>80490</v>
      </c>
      <c r="G3480" t="inlineStr">
        <is>
          <t>t</t>
        </is>
      </c>
      <c r="H3480" t="n">
        <v>153</v>
      </c>
      <c r="I3480" t="inlineStr">
        <is>
          <t>CPO 80.490 82.862 (target/realization 2022)</t>
        </is>
      </c>
      <c r="J3480" t="inlineStr">
        <is>
          <t>High</t>
        </is>
      </c>
      <c r="M3480" t="inlineStr">
        <is>
          <t>LLM</t>
        </is>
      </c>
      <c r="N3480" t="inlineStr">
        <is>
          <t>2026-04-19</t>
        </is>
      </c>
      <c r="O3480" t="inlineStr">
        <is>
          <t>AI</t>
        </is>
      </c>
    </row>
    <row r="3481">
      <c r="A3481" t="inlineStr">
        <is>
          <t>PT Nusantara Sawit Sejahtera Tbk</t>
        </is>
      </c>
      <c r="B3481" t="inlineStr">
        <is>
          <t>NSSS_2022_AR.pdf</t>
        </is>
      </c>
      <c r="C3481" t="n">
        <v>2022</v>
      </c>
      <c r="D3481" t="inlineStr">
        <is>
          <t>Operation</t>
        </is>
      </c>
      <c r="E3481" t="inlineStr">
        <is>
          <t>Third-Party FFB Volume</t>
        </is>
      </c>
      <c r="F3481" t="n">
        <v>4490</v>
      </c>
      <c r="G3481" t="inlineStr">
        <is>
          <t>t</t>
        </is>
      </c>
      <c r="H3481" t="n">
        <v>153</v>
      </c>
      <c r="I3481" t="inlineStr">
        <is>
          <t>TBS 4.490 4 4 (2022)</t>
        </is>
      </c>
      <c r="J3481" t="inlineStr">
        <is>
          <t>High</t>
        </is>
      </c>
      <c r="M3481" t="inlineStr">
        <is>
          <t>LLM</t>
        </is>
      </c>
      <c r="N3481" t="inlineStr">
        <is>
          <t>2026-04-19</t>
        </is>
      </c>
      <c r="O3481" t="inlineStr">
        <is>
          <t>AI</t>
        </is>
      </c>
    </row>
    <row r="3482">
      <c r="A3482" t="inlineStr">
        <is>
          <t>PT Nusantara Sawit Sejahtera Tbk</t>
        </is>
      </c>
      <c r="B3482" t="inlineStr">
        <is>
          <t>NSSS_2022_AR.pdf</t>
        </is>
      </c>
      <c r="C3482" t="n">
        <v>2022</v>
      </c>
      <c r="D3482" t="inlineStr">
        <is>
          <t>ESG</t>
        </is>
      </c>
      <c r="E3482" t="inlineStr">
        <is>
          <t>ISPO Certifications</t>
        </is>
      </c>
      <c r="F3482" t="n">
        <v>2</v>
      </c>
      <c r="G3482" t="inlineStr">
        <is>
          <t>count</t>
        </is>
      </c>
      <c r="H3482" t="n">
        <v>109</v>
      </c>
      <c r="I3482" t="inlineStr">
        <is>
          <t>NSP sebagai Entitas Anak telah memiliki sertifikat ISPO sejak tahun 2021 dan BSP pada tahun 2022</t>
        </is>
      </c>
      <c r="J3482" t="inlineStr">
        <is>
          <t>High</t>
        </is>
      </c>
      <c r="M3482" t="inlineStr">
        <is>
          <t>LLM</t>
        </is>
      </c>
      <c r="N3482" t="inlineStr">
        <is>
          <t>2026-04-19</t>
        </is>
      </c>
      <c r="O3482" t="inlineStr">
        <is>
          <t>AI</t>
        </is>
      </c>
    </row>
    <row r="3483">
      <c r="A3483" t="inlineStr">
        <is>
          <t>PT Nusantara Sawit Sejahtera Tbk</t>
        </is>
      </c>
      <c r="B3483" t="inlineStr">
        <is>
          <t>NSSS_2022_AR.pdf</t>
        </is>
      </c>
      <c r="C3483" t="n">
        <v>2022</v>
      </c>
      <c r="D3483" t="inlineStr">
        <is>
          <t>ESG</t>
        </is>
      </c>
      <c r="E3483" t="inlineStr">
        <is>
          <t>GHG Emissions</t>
        </is>
      </c>
      <c r="F3483" t="n">
        <v>38242</v>
      </c>
      <c r="G3483" t="inlineStr">
        <is>
          <t>tCO2e</t>
        </is>
      </c>
      <c r="H3483" t="n">
        <v>11</v>
      </c>
      <c r="I3483" t="inlineStr">
        <is>
          <t>Emisi Gas Rumah Kaca 38.242,30</t>
        </is>
      </c>
      <c r="J3483" t="inlineStr">
        <is>
          <t>High</t>
        </is>
      </c>
      <c r="M3483" t="inlineStr">
        <is>
          <t>LLM</t>
        </is>
      </c>
      <c r="N3483" t="inlineStr">
        <is>
          <t>2026-04-19</t>
        </is>
      </c>
      <c r="O3483" t="inlineStr">
        <is>
          <t>AI</t>
        </is>
      </c>
    </row>
    <row r="3484">
      <c r="A3484" t="inlineStr">
        <is>
          <t>PT Nusantara Sawit Sejahtera Tbk</t>
        </is>
      </c>
      <c r="B3484" t="inlineStr">
        <is>
          <t>NSSS_2022_AR.pdf</t>
        </is>
      </c>
      <c r="C3484" t="n">
        <v>2022</v>
      </c>
      <c r="D3484" t="inlineStr">
        <is>
          <t>ESG</t>
        </is>
      </c>
      <c r="E3484" t="inlineStr">
        <is>
          <t>CSR Fund</t>
        </is>
      </c>
      <c r="F3484" t="n">
        <v>1140</v>
      </c>
      <c r="G3484" t="inlineStr">
        <is>
          <t>IDR mn</t>
        </is>
      </c>
      <c r="H3484" t="n">
        <v>11</v>
      </c>
      <c r="I3484" t="inlineStr">
        <is>
          <t>Dana TJSL 1.140</t>
        </is>
      </c>
      <c r="J3484" t="inlineStr">
        <is>
          <t>High</t>
        </is>
      </c>
      <c r="M3484" t="inlineStr">
        <is>
          <t>LLM</t>
        </is>
      </c>
      <c r="N3484" t="inlineStr">
        <is>
          <t>2026-04-19</t>
        </is>
      </c>
      <c r="O3484" t="inlineStr">
        <is>
          <t>AI</t>
        </is>
      </c>
    </row>
    <row r="3485">
      <c r="A3485" t="inlineStr">
        <is>
          <t>PT Nusantara Sawit Sejahtera Tbk</t>
        </is>
      </c>
      <c r="B3485" t="inlineStr">
        <is>
          <t>NSSS_2023_AR.pdf</t>
        </is>
      </c>
      <c r="C3485" t="n">
        <v>2023</v>
      </c>
      <c r="D3485" t="inlineStr">
        <is>
          <t>Company</t>
        </is>
      </c>
      <c r="E3485" t="inlineStr">
        <is>
          <t>Company Name</t>
        </is>
      </c>
      <c r="F3485" t="inlineStr">
        <is>
          <t>PT Nusantara Sawit Sejahtera Tbk</t>
        </is>
      </c>
      <c r="G3485" t="inlineStr">
        <is>
          <t>text</t>
        </is>
      </c>
      <c r="H3485" t="n">
        <v>1</v>
      </c>
      <c r="I3485" t="inlineStr">
        <is>
          <t>PT Nusantara Sawit Sejahtera Tbk</t>
        </is>
      </c>
      <c r="J3485" t="inlineStr">
        <is>
          <t>High</t>
        </is>
      </c>
      <c r="M3485" t="inlineStr">
        <is>
          <t>LLM</t>
        </is>
      </c>
      <c r="N3485" t="inlineStr">
        <is>
          <t>2026-04-19</t>
        </is>
      </c>
      <c r="O3485" t="inlineStr">
        <is>
          <t>AI</t>
        </is>
      </c>
    </row>
    <row r="3486">
      <c r="A3486" t="inlineStr">
        <is>
          <t>PT Nusantara Sawit Sejahtera Tbk</t>
        </is>
      </c>
      <c r="B3486" t="inlineStr">
        <is>
          <t>NSSS_2023_AR.pdf</t>
        </is>
      </c>
      <c r="C3486" t="n">
        <v>2023</v>
      </c>
      <c r="D3486" t="inlineStr">
        <is>
          <t>Company</t>
        </is>
      </c>
      <c r="E3486" t="inlineStr">
        <is>
          <t>IPO Date</t>
        </is>
      </c>
      <c r="F3486" t="inlineStr">
        <is>
          <t>10 March 2023</t>
        </is>
      </c>
      <c r="G3486" t="inlineStr">
        <is>
          <t>date</t>
        </is>
      </c>
      <c r="H3486" t="n">
        <v>67</v>
      </c>
      <c r="I3486" t="inlineStr">
        <is>
          <t>Pada tanggal 10 Maret 2023, PT Nusantara Sawit Sejahtera Tbk (NSSS) resmi melantai di Bursa Efek Indonesia</t>
        </is>
      </c>
      <c r="J3486" t="inlineStr">
        <is>
          <t>High</t>
        </is>
      </c>
      <c r="M3486" t="inlineStr">
        <is>
          <t>LLM</t>
        </is>
      </c>
      <c r="N3486" t="inlineStr">
        <is>
          <t>2026-04-19</t>
        </is>
      </c>
      <c r="O3486" t="inlineStr">
        <is>
          <t>AI</t>
        </is>
      </c>
    </row>
    <row r="3487">
      <c r="A3487" t="inlineStr">
        <is>
          <t>PT Nusantara Sawit Sejahtera Tbk</t>
        </is>
      </c>
      <c r="B3487" t="inlineStr">
        <is>
          <t>NSSS_2023_AR.pdf</t>
        </is>
      </c>
      <c r="C3487" t="n">
        <v>2023</v>
      </c>
      <c r="D3487" t="inlineStr">
        <is>
          <t>Company</t>
        </is>
      </c>
      <c r="E3487" t="inlineStr">
        <is>
          <t>IPO Shares Issued</t>
        </is>
      </c>
      <c r="F3487" t="n">
        <v>3568235300</v>
      </c>
      <c r="G3487" t="inlineStr">
        <is>
          <t>shares</t>
        </is>
      </c>
      <c r="H3487" t="n">
        <v>67</v>
      </c>
      <c r="I3487" t="inlineStr">
        <is>
          <t>Sebanyak 3.568.235.300 saham biasa atas nama dengan nilai nominal Rp50 setiap saham atau mewakili sebanyak 15% dari modal yang ditempatkan dan disetor penuh</t>
        </is>
      </c>
      <c r="J3487" t="inlineStr">
        <is>
          <t>High</t>
        </is>
      </c>
      <c r="M3487" t="inlineStr">
        <is>
          <t>LLM</t>
        </is>
      </c>
      <c r="N3487" t="inlineStr">
        <is>
          <t>2026-04-19</t>
        </is>
      </c>
      <c r="O3487" t="inlineStr">
        <is>
          <t>AI</t>
        </is>
      </c>
    </row>
    <row r="3488">
      <c r="A3488" t="inlineStr">
        <is>
          <t>PT Nusantara Sawit Sejahtera Tbk</t>
        </is>
      </c>
      <c r="B3488" t="inlineStr">
        <is>
          <t>NSSS_2023_AR.pdf</t>
        </is>
      </c>
      <c r="C3488" t="n">
        <v>2023</v>
      </c>
      <c r="D3488" t="inlineStr">
        <is>
          <t>Company</t>
        </is>
      </c>
      <c r="E3488" t="inlineStr">
        <is>
          <t>Employees (Consolidated)</t>
        </is>
      </c>
      <c r="F3488" t="n">
        <v>163</v>
      </c>
      <c r="G3488" t="inlineStr">
        <is>
          <t>count</t>
        </is>
      </c>
      <c r="H3488" t="n">
        <v>65</v>
      </c>
      <c r="I3488" t="inlineStr">
        <is>
          <t>jumlah karyawan Perseroan selama tahun 2023 adalah 163 orang</t>
        </is>
      </c>
      <c r="J3488" t="inlineStr">
        <is>
          <t>High</t>
        </is>
      </c>
      <c r="M3488" t="inlineStr">
        <is>
          <t>LLM</t>
        </is>
      </c>
      <c r="N3488" t="inlineStr">
        <is>
          <t>2026-04-19</t>
        </is>
      </c>
      <c r="O3488" t="inlineStr">
        <is>
          <t>AI</t>
        </is>
      </c>
    </row>
    <row r="3489">
      <c r="A3489" t="inlineStr">
        <is>
          <t>PT Nusantara Sawit Sejahtera Tbk</t>
        </is>
      </c>
      <c r="B3489" t="inlineStr">
        <is>
          <t>NSSS_2023_AR.pdf</t>
        </is>
      </c>
      <c r="C3489" t="n">
        <v>2023</v>
      </c>
      <c r="D3489" t="inlineStr">
        <is>
          <t>Company</t>
        </is>
      </c>
      <c r="E3489" t="inlineStr">
        <is>
          <t>External Auditor</t>
        </is>
      </c>
      <c r="F3489" t="inlineStr">
        <is>
          <t>KAP Purwantono, Sungkoro &amp; Surja (EY)</t>
        </is>
      </c>
      <c r="G3489" t="inlineStr">
        <is>
          <t>text</t>
        </is>
      </c>
      <c r="H3489" t="n">
        <v>64</v>
      </c>
      <c r="I3489" t="inlineStr">
        <is>
          <t>Pada 2023, Perseroan menunjuk KAP Purwantono, Sungkoro &amp; Surja</t>
        </is>
      </c>
      <c r="J3489" t="inlineStr">
        <is>
          <t>High</t>
        </is>
      </c>
      <c r="M3489" t="inlineStr">
        <is>
          <t>LLM</t>
        </is>
      </c>
      <c r="N3489" t="inlineStr">
        <is>
          <t>2026-04-19</t>
        </is>
      </c>
      <c r="O3489" t="inlineStr">
        <is>
          <t>AI</t>
        </is>
      </c>
    </row>
    <row r="3490">
      <c r="A3490" t="inlineStr">
        <is>
          <t>PT Nusantara Sawit Sejahtera Tbk</t>
        </is>
      </c>
      <c r="B3490" t="inlineStr">
        <is>
          <t>NSSS_2023_AR.pdf</t>
        </is>
      </c>
      <c r="C3490" t="n">
        <v>2023</v>
      </c>
      <c r="D3490" t="inlineStr">
        <is>
          <t>Company</t>
        </is>
      </c>
      <c r="E3490" t="inlineStr">
        <is>
          <t>External Auditor Fee</t>
        </is>
      </c>
      <c r="F3490" t="n">
        <v>880</v>
      </c>
      <c r="G3490" t="inlineStr">
        <is>
          <t>IDR mn</t>
        </is>
      </c>
      <c r="H3490" t="n">
        <v>64</v>
      </c>
      <c r="I3490" t="inlineStr">
        <is>
          <t>Biaya jasa KAP ... tahun buku 2023 adalah sebesar Rp880 juta</t>
        </is>
      </c>
      <c r="J3490" t="inlineStr">
        <is>
          <t>High</t>
        </is>
      </c>
      <c r="M3490" t="inlineStr">
        <is>
          <t>LLM</t>
        </is>
      </c>
      <c r="N3490" t="inlineStr">
        <is>
          <t>2026-04-19</t>
        </is>
      </c>
      <c r="O3490" t="inlineStr">
        <is>
          <t>AI</t>
        </is>
      </c>
    </row>
    <row r="3491">
      <c r="A3491" t="inlineStr">
        <is>
          <t>PT Nusantara Sawit Sejahtera Tbk</t>
        </is>
      </c>
      <c r="B3491" t="inlineStr">
        <is>
          <t>NSSS_2023_AR.pdf</t>
        </is>
      </c>
      <c r="C3491" t="n">
        <v>2023</v>
      </c>
      <c r="D3491" t="inlineStr">
        <is>
          <t>Financial</t>
        </is>
      </c>
      <c r="E3491" t="inlineStr">
        <is>
          <t>Revenue (Sales)</t>
        </is>
      </c>
      <c r="F3491" t="n">
        <v>1185</v>
      </c>
      <c r="G3491" t="inlineStr">
        <is>
          <t>IDR bn</t>
        </is>
      </c>
      <c r="H3491" t="n">
        <v>12</v>
      </c>
      <c r="I3491" t="inlineStr">
        <is>
          <t>Penjualan 1.184.581 1.134.095 1.146.624</t>
        </is>
      </c>
      <c r="J3491" t="inlineStr">
        <is>
          <t>High</t>
        </is>
      </c>
      <c r="M3491" t="inlineStr">
        <is>
          <t>LLM</t>
        </is>
      </c>
      <c r="N3491" t="inlineStr">
        <is>
          <t>2026-04-19</t>
        </is>
      </c>
      <c r="O3491" t="inlineStr">
        <is>
          <t>AI</t>
        </is>
      </c>
    </row>
    <row r="3492">
      <c r="A3492" t="inlineStr">
        <is>
          <t>PT Nusantara Sawit Sejahtera Tbk</t>
        </is>
      </c>
      <c r="B3492" t="inlineStr">
        <is>
          <t>NSSS_2023_AR.pdf</t>
        </is>
      </c>
      <c r="C3492" t="n">
        <v>2023</v>
      </c>
      <c r="D3492" t="inlineStr">
        <is>
          <t>Financial</t>
        </is>
      </c>
      <c r="E3492" t="inlineStr">
        <is>
          <t>Cost of Goods Sold</t>
        </is>
      </c>
      <c r="F3492" t="n">
        <v>882</v>
      </c>
      <c r="G3492" t="inlineStr">
        <is>
          <t>IDR bn</t>
        </is>
      </c>
      <c r="H3492" t="n">
        <v>12</v>
      </c>
      <c r="I3492" t="inlineStr">
        <is>
          <t>Beban Pokok Penjualan (881.776) (728.392) (576.122)</t>
        </is>
      </c>
      <c r="J3492" t="inlineStr">
        <is>
          <t>High</t>
        </is>
      </c>
      <c r="M3492" t="inlineStr">
        <is>
          <t>LLM</t>
        </is>
      </c>
      <c r="N3492" t="inlineStr">
        <is>
          <t>2026-04-19</t>
        </is>
      </c>
      <c r="O3492" t="inlineStr">
        <is>
          <t>AI</t>
        </is>
      </c>
    </row>
    <row r="3493">
      <c r="A3493" t="inlineStr">
        <is>
          <t>PT Nusantara Sawit Sejahtera Tbk</t>
        </is>
      </c>
      <c r="B3493" t="inlineStr">
        <is>
          <t>NSSS_2023_AR.pdf</t>
        </is>
      </c>
      <c r="C3493" t="n">
        <v>2023</v>
      </c>
      <c r="D3493" t="inlineStr">
        <is>
          <t>Financial</t>
        </is>
      </c>
      <c r="E3493" t="inlineStr">
        <is>
          <t>Gross Profit</t>
        </is>
      </c>
      <c r="F3493" t="n">
        <v>303</v>
      </c>
      <c r="G3493" t="inlineStr">
        <is>
          <t>IDR bn</t>
        </is>
      </c>
      <c r="H3493" t="n">
        <v>12</v>
      </c>
      <c r="I3493" t="inlineStr">
        <is>
          <t>Laba Bruto 302.805 405.703 570.502</t>
        </is>
      </c>
      <c r="J3493" t="inlineStr">
        <is>
          <t>High</t>
        </is>
      </c>
      <c r="M3493" t="inlineStr">
        <is>
          <t>LLM</t>
        </is>
      </c>
      <c r="N3493" t="inlineStr">
        <is>
          <t>2026-04-19</t>
        </is>
      </c>
      <c r="O3493" t="inlineStr">
        <is>
          <t>AI</t>
        </is>
      </c>
    </row>
    <row r="3494">
      <c r="A3494" t="inlineStr">
        <is>
          <t>PT Nusantara Sawit Sejahtera Tbk</t>
        </is>
      </c>
      <c r="B3494" t="inlineStr">
        <is>
          <t>NSSS_2023_AR.pdf</t>
        </is>
      </c>
      <c r="C3494" t="n">
        <v>2023</v>
      </c>
      <c r="D3494" t="inlineStr">
        <is>
          <t>Financial</t>
        </is>
      </c>
      <c r="E3494" t="inlineStr">
        <is>
          <t>Net Profit</t>
        </is>
      </c>
      <c r="F3494" t="n">
        <v>2</v>
      </c>
      <c r="G3494" t="inlineStr">
        <is>
          <t>IDR bn</t>
        </is>
      </c>
      <c r="H3494" t="n">
        <v>12</v>
      </c>
      <c r="I3494" t="inlineStr">
        <is>
          <t>Laba Bersih Tahun Berjalan 2.093 70.236 245.333</t>
        </is>
      </c>
      <c r="J3494" t="inlineStr">
        <is>
          <t>High</t>
        </is>
      </c>
      <c r="M3494" t="inlineStr">
        <is>
          <t>LLM</t>
        </is>
      </c>
      <c r="N3494" t="inlineStr">
        <is>
          <t>2026-04-19</t>
        </is>
      </c>
      <c r="O3494" t="inlineStr">
        <is>
          <t>AI</t>
        </is>
      </c>
    </row>
    <row r="3495">
      <c r="A3495" t="inlineStr">
        <is>
          <t>PT Nusantara Sawit Sejahtera Tbk</t>
        </is>
      </c>
      <c r="B3495" t="inlineStr">
        <is>
          <t>NSSS_2023_AR.pdf</t>
        </is>
      </c>
      <c r="C3495" t="n">
        <v>2023</v>
      </c>
      <c r="D3495" t="inlineStr">
        <is>
          <t>Financial</t>
        </is>
      </c>
      <c r="E3495" t="inlineStr">
        <is>
          <t>Profit to Parent</t>
        </is>
      </c>
      <c r="F3495" t="n">
        <v>2</v>
      </c>
      <c r="G3495" t="inlineStr">
        <is>
          <t>IDR bn</t>
        </is>
      </c>
      <c r="H3495" t="n">
        <v>12</v>
      </c>
      <c r="I3495" t="inlineStr">
        <is>
          <t>Pemilik Entitas Induk 2.093</t>
        </is>
      </c>
      <c r="J3495" t="inlineStr">
        <is>
          <t>High</t>
        </is>
      </c>
      <c r="M3495" t="inlineStr">
        <is>
          <t>LLM</t>
        </is>
      </c>
      <c r="N3495" t="inlineStr">
        <is>
          <t>2026-04-19</t>
        </is>
      </c>
      <c r="O3495" t="inlineStr">
        <is>
          <t>AI</t>
        </is>
      </c>
    </row>
    <row r="3496">
      <c r="A3496" t="inlineStr">
        <is>
          <t>PT Nusantara Sawit Sejahtera Tbk</t>
        </is>
      </c>
      <c r="B3496" t="inlineStr">
        <is>
          <t>NSSS_2023_AR.pdf</t>
        </is>
      </c>
      <c r="C3496" t="n">
        <v>2023</v>
      </c>
      <c r="D3496" t="inlineStr">
        <is>
          <t>Financial</t>
        </is>
      </c>
      <c r="E3496" t="inlineStr">
        <is>
          <t>Total Assets</t>
        </is>
      </c>
      <c r="F3496" t="n">
        <v>3672</v>
      </c>
      <c r="G3496" t="inlineStr">
        <is>
          <t>IDR bn</t>
        </is>
      </c>
      <c r="H3496" t="n">
        <v>12</v>
      </c>
      <c r="I3496" t="inlineStr">
        <is>
          <t>Jumlah Aset 3.672.336 3.035.285 2.975.000</t>
        </is>
      </c>
      <c r="J3496" t="inlineStr">
        <is>
          <t>High</t>
        </is>
      </c>
      <c r="M3496" t="inlineStr">
        <is>
          <t>LLM</t>
        </is>
      </c>
      <c r="N3496" t="inlineStr">
        <is>
          <t>2026-04-19</t>
        </is>
      </c>
      <c r="O3496" t="inlineStr">
        <is>
          <t>AI</t>
        </is>
      </c>
    </row>
    <row r="3497">
      <c r="A3497" t="inlineStr">
        <is>
          <t>PT Nusantara Sawit Sejahtera Tbk</t>
        </is>
      </c>
      <c r="B3497" t="inlineStr">
        <is>
          <t>NSSS_2023_AR.pdf</t>
        </is>
      </c>
      <c r="C3497" t="n">
        <v>2023</v>
      </c>
      <c r="D3497" t="inlineStr">
        <is>
          <t>Financial</t>
        </is>
      </c>
      <c r="E3497" t="inlineStr">
        <is>
          <t>Current Assets</t>
        </is>
      </c>
      <c r="F3497" t="n">
        <v>636</v>
      </c>
      <c r="G3497" t="inlineStr">
        <is>
          <t>IDR bn</t>
        </is>
      </c>
      <c r="H3497" t="n">
        <v>12</v>
      </c>
      <c r="I3497" t="inlineStr">
        <is>
          <t>Aset Lancar 635.764 330.697 397.400</t>
        </is>
      </c>
      <c r="J3497" t="inlineStr">
        <is>
          <t>High</t>
        </is>
      </c>
      <c r="M3497" t="inlineStr">
        <is>
          <t>LLM</t>
        </is>
      </c>
      <c r="N3497" t="inlineStr">
        <is>
          <t>2026-04-19</t>
        </is>
      </c>
      <c r="O3497" t="inlineStr">
        <is>
          <t>AI</t>
        </is>
      </c>
    </row>
    <row r="3498">
      <c r="A3498" t="inlineStr">
        <is>
          <t>PT Nusantara Sawit Sejahtera Tbk</t>
        </is>
      </c>
      <c r="B3498" t="inlineStr">
        <is>
          <t>NSSS_2023_AR.pdf</t>
        </is>
      </c>
      <c r="C3498" t="n">
        <v>2023</v>
      </c>
      <c r="D3498" t="inlineStr">
        <is>
          <t>Financial</t>
        </is>
      </c>
      <c r="E3498" t="inlineStr">
        <is>
          <t>Non-Current Assets</t>
        </is>
      </c>
      <c r="F3498" t="n">
        <v>3037</v>
      </c>
      <c r="G3498" t="inlineStr">
        <is>
          <t>IDR bn</t>
        </is>
      </c>
      <c r="H3498" t="n">
        <v>12</v>
      </c>
      <c r="I3498" t="inlineStr">
        <is>
          <t>Aset Tidak Lancar 3.036.572 2.704.588 2.577.600</t>
        </is>
      </c>
      <c r="J3498" t="inlineStr">
        <is>
          <t>High</t>
        </is>
      </c>
      <c r="M3498" t="inlineStr">
        <is>
          <t>LLM</t>
        </is>
      </c>
      <c r="N3498" t="inlineStr">
        <is>
          <t>2026-04-19</t>
        </is>
      </c>
      <c r="O3498" t="inlineStr">
        <is>
          <t>AI</t>
        </is>
      </c>
    </row>
    <row r="3499">
      <c r="A3499" t="inlineStr">
        <is>
          <t>PT Nusantara Sawit Sejahtera Tbk</t>
        </is>
      </c>
      <c r="B3499" t="inlineStr">
        <is>
          <t>NSSS_2023_AR.pdf</t>
        </is>
      </c>
      <c r="C3499" t="n">
        <v>2023</v>
      </c>
      <c r="D3499" t="inlineStr">
        <is>
          <t>Financial</t>
        </is>
      </c>
      <c r="E3499" t="inlineStr">
        <is>
          <t>Total Liabilities</t>
        </is>
      </c>
      <c r="F3499" t="n">
        <v>2611</v>
      </c>
      <c r="G3499" t="inlineStr">
        <is>
          <t>IDR bn</t>
        </is>
      </c>
      <c r="H3499" t="n">
        <v>12</v>
      </c>
      <c r="I3499" t="inlineStr">
        <is>
          <t>Jumlah Liabilitas 2.611.145 2.405.161 2.415.748</t>
        </is>
      </c>
      <c r="J3499" t="inlineStr">
        <is>
          <t>High</t>
        </is>
      </c>
      <c r="M3499" t="inlineStr">
        <is>
          <t>LLM</t>
        </is>
      </c>
      <c r="N3499" t="inlineStr">
        <is>
          <t>2026-04-19</t>
        </is>
      </c>
      <c r="O3499" t="inlineStr">
        <is>
          <t>AI</t>
        </is>
      </c>
    </row>
    <row r="3500">
      <c r="A3500" t="inlineStr">
        <is>
          <t>PT Nusantara Sawit Sejahtera Tbk</t>
        </is>
      </c>
      <c r="B3500" t="inlineStr">
        <is>
          <t>NSSS_2023_AR.pdf</t>
        </is>
      </c>
      <c r="C3500" t="n">
        <v>2023</v>
      </c>
      <c r="D3500" t="inlineStr">
        <is>
          <t>Financial</t>
        </is>
      </c>
      <c r="E3500" t="inlineStr">
        <is>
          <t>Current Liabilities</t>
        </is>
      </c>
      <c r="F3500" t="n">
        <v>678</v>
      </c>
      <c r="G3500" t="inlineStr">
        <is>
          <t>IDR bn</t>
        </is>
      </c>
      <c r="H3500" t="n">
        <v>12</v>
      </c>
      <c r="I3500" t="inlineStr">
        <is>
          <t>Liabilitas Jangka Pendek 678.326 337.097</t>
        </is>
      </c>
      <c r="J3500" t="inlineStr">
        <is>
          <t>High</t>
        </is>
      </c>
      <c r="M3500" t="inlineStr">
        <is>
          <t>LLM</t>
        </is>
      </c>
      <c r="N3500" t="inlineStr">
        <is>
          <t>2026-04-19</t>
        </is>
      </c>
      <c r="O3500" t="inlineStr">
        <is>
          <t>AI</t>
        </is>
      </c>
    </row>
    <row r="3501">
      <c r="A3501" t="inlineStr">
        <is>
          <t>PT Nusantara Sawit Sejahtera Tbk</t>
        </is>
      </c>
      <c r="B3501" t="inlineStr">
        <is>
          <t>NSSS_2023_AR.pdf</t>
        </is>
      </c>
      <c r="C3501" t="n">
        <v>2023</v>
      </c>
      <c r="D3501" t="inlineStr">
        <is>
          <t>Financial</t>
        </is>
      </c>
      <c r="E3501" t="inlineStr">
        <is>
          <t>Long-term Liabilities</t>
        </is>
      </c>
      <c r="F3501" t="n">
        <v>1933</v>
      </c>
      <c r="G3501" t="inlineStr">
        <is>
          <t>IDR bn</t>
        </is>
      </c>
      <c r="H3501" t="n">
        <v>12</v>
      </c>
      <c r="I3501" t="inlineStr">
        <is>
          <t>Liabilitas Jangka Panjang 1.932.819 2.068.064</t>
        </is>
      </c>
      <c r="J3501" t="inlineStr">
        <is>
          <t>High</t>
        </is>
      </c>
      <c r="M3501" t="inlineStr">
        <is>
          <t>LLM</t>
        </is>
      </c>
      <c r="N3501" t="inlineStr">
        <is>
          <t>2026-04-19</t>
        </is>
      </c>
      <c r="O3501" t="inlineStr">
        <is>
          <t>AI</t>
        </is>
      </c>
    </row>
    <row r="3502">
      <c r="A3502" t="inlineStr">
        <is>
          <t>PT Nusantara Sawit Sejahtera Tbk</t>
        </is>
      </c>
      <c r="B3502" t="inlineStr">
        <is>
          <t>NSSS_2023_AR.pdf</t>
        </is>
      </c>
      <c r="C3502" t="n">
        <v>2023</v>
      </c>
      <c r="D3502" t="inlineStr">
        <is>
          <t>Financial</t>
        </is>
      </c>
      <c r="E3502" t="inlineStr">
        <is>
          <t>Total Equity</t>
        </is>
      </c>
      <c r="F3502" t="n">
        <v>1061</v>
      </c>
      <c r="G3502" t="inlineStr">
        <is>
          <t>IDR bn</t>
        </is>
      </c>
      <c r="H3502" t="n">
        <v>12</v>
      </c>
      <c r="I3502" t="inlineStr">
        <is>
          <t>Jumlah Ekuitas 1.061.191 630.124 559.252</t>
        </is>
      </c>
      <c r="J3502" t="inlineStr">
        <is>
          <t>High</t>
        </is>
      </c>
      <c r="M3502" t="inlineStr">
        <is>
          <t>LLM</t>
        </is>
      </c>
      <c r="N3502" t="inlineStr">
        <is>
          <t>2026-04-19</t>
        </is>
      </c>
      <c r="O3502" t="inlineStr">
        <is>
          <t>AI</t>
        </is>
      </c>
    </row>
    <row r="3503">
      <c r="A3503" t="inlineStr">
        <is>
          <t>PT Nusantara Sawit Sejahtera Tbk</t>
        </is>
      </c>
      <c r="B3503" t="inlineStr">
        <is>
          <t>NSSS_2023_AR.pdf</t>
        </is>
      </c>
      <c r="C3503" t="n">
        <v>2023</v>
      </c>
      <c r="D3503" t="inlineStr">
        <is>
          <t>Financial</t>
        </is>
      </c>
      <c r="E3503" t="inlineStr">
        <is>
          <t>Cash End of Year</t>
        </is>
      </c>
      <c r="F3503" t="n">
        <v>243</v>
      </c>
      <c r="G3503" t="inlineStr">
        <is>
          <t>IDR bn</t>
        </is>
      </c>
      <c r="H3503" t="n">
        <v>75</v>
      </c>
      <c r="I3503" t="inlineStr">
        <is>
          <t>Kas dan Bank pada Akhir Tahun 242.894 40.453</t>
        </is>
      </c>
      <c r="J3503" t="inlineStr">
        <is>
          <t>High</t>
        </is>
      </c>
      <c r="M3503" t="inlineStr">
        <is>
          <t>LLM</t>
        </is>
      </c>
      <c r="N3503" t="inlineStr">
        <is>
          <t>2026-04-19</t>
        </is>
      </c>
      <c r="O3503" t="inlineStr">
        <is>
          <t>AI</t>
        </is>
      </c>
    </row>
    <row r="3504">
      <c r="A3504" t="inlineStr">
        <is>
          <t>PT Nusantara Sawit Sejahtera Tbk</t>
        </is>
      </c>
      <c r="B3504" t="inlineStr">
        <is>
          <t>NSSS_2023_AR.pdf</t>
        </is>
      </c>
      <c r="C3504" t="n">
        <v>2023</v>
      </c>
      <c r="D3504" t="inlineStr">
        <is>
          <t>Financial</t>
        </is>
      </c>
      <c r="E3504" t="inlineStr">
        <is>
          <t>CFO</t>
        </is>
      </c>
      <c r="F3504" t="n">
        <v>136</v>
      </c>
      <c r="G3504" t="inlineStr">
        <is>
          <t>IDR bn</t>
        </is>
      </c>
      <c r="H3504" t="n">
        <v>75</v>
      </c>
      <c r="I3504" t="inlineStr">
        <is>
          <t>Arus Kas Diperoleh dari Aktivitas Operasi 136.424</t>
        </is>
      </c>
      <c r="J3504" t="inlineStr">
        <is>
          <t>High</t>
        </is>
      </c>
      <c r="M3504" t="inlineStr">
        <is>
          <t>LLM</t>
        </is>
      </c>
      <c r="N3504" t="inlineStr">
        <is>
          <t>2026-04-19</t>
        </is>
      </c>
      <c r="O3504" t="inlineStr">
        <is>
          <t>AI</t>
        </is>
      </c>
    </row>
    <row r="3505">
      <c r="A3505" t="inlineStr">
        <is>
          <t>PT Nusantara Sawit Sejahtera Tbk</t>
        </is>
      </c>
      <c r="B3505" t="inlineStr">
        <is>
          <t>NSSS_2023_AR.pdf</t>
        </is>
      </c>
      <c r="C3505" t="n">
        <v>2023</v>
      </c>
      <c r="D3505" t="inlineStr">
        <is>
          <t>Financial</t>
        </is>
      </c>
      <c r="E3505" t="inlineStr">
        <is>
          <t>CFI</t>
        </is>
      </c>
      <c r="F3505" t="n">
        <v>-330</v>
      </c>
      <c r="G3505" t="inlineStr">
        <is>
          <t>IDR bn</t>
        </is>
      </c>
      <c r="H3505" t="n">
        <v>75</v>
      </c>
      <c r="I3505" t="inlineStr">
        <is>
          <t>Arus Kas Digunakan untuk Aktivitas Investasi (329.882)</t>
        </is>
      </c>
      <c r="J3505" t="inlineStr">
        <is>
          <t>High</t>
        </is>
      </c>
      <c r="M3505" t="inlineStr">
        <is>
          <t>LLM</t>
        </is>
      </c>
      <c r="N3505" t="inlineStr">
        <is>
          <t>2026-04-19</t>
        </is>
      </c>
      <c r="O3505" t="inlineStr">
        <is>
          <t>AI</t>
        </is>
      </c>
    </row>
    <row r="3506">
      <c r="A3506" t="inlineStr">
        <is>
          <t>PT Nusantara Sawit Sejahtera Tbk</t>
        </is>
      </c>
      <c r="B3506" t="inlineStr">
        <is>
          <t>NSSS_2023_AR.pdf</t>
        </is>
      </c>
      <c r="C3506" t="n">
        <v>2023</v>
      </c>
      <c r="D3506" t="inlineStr">
        <is>
          <t>Financial</t>
        </is>
      </c>
      <c r="E3506" t="inlineStr">
        <is>
          <t>CFF</t>
        </is>
      </c>
      <c r="F3506" t="n">
        <v>395</v>
      </c>
      <c r="G3506" t="inlineStr">
        <is>
          <t>IDR bn</t>
        </is>
      </c>
      <c r="H3506" t="n">
        <v>75</v>
      </c>
      <c r="I3506" t="inlineStr">
        <is>
          <t>Arus Kas Diperoleh dari Aktivitas Pendanaan 395.445</t>
        </is>
      </c>
      <c r="J3506" t="inlineStr">
        <is>
          <t>High</t>
        </is>
      </c>
      <c r="M3506" t="inlineStr">
        <is>
          <t>LLM</t>
        </is>
      </c>
      <c r="N3506" t="inlineStr">
        <is>
          <t>2026-04-19</t>
        </is>
      </c>
      <c r="O3506" t="inlineStr">
        <is>
          <t>AI</t>
        </is>
      </c>
    </row>
    <row r="3507">
      <c r="A3507" t="inlineStr">
        <is>
          <t>PT Nusantara Sawit Sejahtera Tbk</t>
        </is>
      </c>
      <c r="B3507" t="inlineStr">
        <is>
          <t>NSSS_2023_AR.pdf</t>
        </is>
      </c>
      <c r="C3507" t="n">
        <v>2023</v>
      </c>
      <c r="D3507" t="inlineStr">
        <is>
          <t>Financial</t>
        </is>
      </c>
      <c r="E3507" t="inlineStr">
        <is>
          <t>EPS (basic)</t>
        </is>
      </c>
      <c r="F3507" t="n">
        <v>0.09</v>
      </c>
      <c r="G3507" t="inlineStr">
        <is>
          <t>Rp/share</t>
        </is>
      </c>
      <c r="H3507" t="n">
        <v>12</v>
      </c>
      <c r="I3507" t="inlineStr">
        <is>
          <t>Laba per Saham Dasar 0,09</t>
        </is>
      </c>
      <c r="J3507" t="inlineStr">
        <is>
          <t>High</t>
        </is>
      </c>
      <c r="M3507" t="inlineStr">
        <is>
          <t>LLM</t>
        </is>
      </c>
      <c r="N3507" t="inlineStr">
        <is>
          <t>2026-04-19</t>
        </is>
      </c>
      <c r="O3507" t="inlineStr">
        <is>
          <t>AI</t>
        </is>
      </c>
    </row>
    <row r="3508">
      <c r="A3508" t="inlineStr">
        <is>
          <t>PT Nusantara Sawit Sejahtera Tbk</t>
        </is>
      </c>
      <c r="B3508" t="inlineStr">
        <is>
          <t>NSSS_2023_AR.pdf</t>
        </is>
      </c>
      <c r="C3508" t="n">
        <v>2023</v>
      </c>
      <c r="D3508" t="inlineStr">
        <is>
          <t>Financial</t>
        </is>
      </c>
      <c r="E3508" t="inlineStr">
        <is>
          <t>Shares Outstanding (End of Year)</t>
        </is>
      </c>
      <c r="F3508" t="n">
        <v>23788868114</v>
      </c>
      <c r="G3508" t="inlineStr">
        <is>
          <t>shares</t>
        </is>
      </c>
      <c r="H3508" t="n">
        <v>12</v>
      </c>
      <c r="I3508" t="inlineStr">
        <is>
          <t>IV 204 130 177 2.473.682.400 23.788.868.114</t>
        </is>
      </c>
      <c r="J3508" t="inlineStr">
        <is>
          <t>High</t>
        </is>
      </c>
      <c r="M3508" t="inlineStr">
        <is>
          <t>LLM</t>
        </is>
      </c>
      <c r="N3508" t="inlineStr">
        <is>
          <t>2026-04-19</t>
        </is>
      </c>
      <c r="O3508" t="inlineStr">
        <is>
          <t>AI</t>
        </is>
      </c>
    </row>
    <row r="3509">
      <c r="A3509" t="inlineStr">
        <is>
          <t>PT Nusantara Sawit Sejahtera Tbk</t>
        </is>
      </c>
      <c r="B3509" t="inlineStr">
        <is>
          <t>NSSS_2023_AR.pdf</t>
        </is>
      </c>
      <c r="C3509" t="n">
        <v>2023</v>
      </c>
      <c r="D3509" t="inlineStr">
        <is>
          <t>Financial</t>
        </is>
      </c>
      <c r="E3509" t="inlineStr">
        <is>
          <t>Closing Price Q4 2023</t>
        </is>
      </c>
      <c r="F3509" t="n">
        <v>177</v>
      </c>
      <c r="G3509" t="inlineStr">
        <is>
          <t>Rp/share</t>
        </is>
      </c>
      <c r="H3509" t="n">
        <v>12</v>
      </c>
      <c r="I3509" t="inlineStr">
        <is>
          <t>IV 204 130 177 ... 4.210.630</t>
        </is>
      </c>
      <c r="J3509" t="inlineStr">
        <is>
          <t>High</t>
        </is>
      </c>
      <c r="M3509" t="inlineStr">
        <is>
          <t>LLM</t>
        </is>
      </c>
      <c r="N3509" t="inlineStr">
        <is>
          <t>2026-04-19</t>
        </is>
      </c>
      <c r="O3509" t="inlineStr">
        <is>
          <t>AI</t>
        </is>
      </c>
    </row>
    <row r="3510">
      <c r="A3510" t="inlineStr">
        <is>
          <t>PT Nusantara Sawit Sejahtera Tbk</t>
        </is>
      </c>
      <c r="B3510" t="inlineStr">
        <is>
          <t>NSSS_2023_AR.pdf</t>
        </is>
      </c>
      <c r="C3510" t="n">
        <v>2023</v>
      </c>
      <c r="D3510" t="inlineStr">
        <is>
          <t>Financial</t>
        </is>
      </c>
      <c r="E3510" t="inlineStr">
        <is>
          <t>Market Cap Q4 2023</t>
        </is>
      </c>
      <c r="F3510" t="n">
        <v>4211</v>
      </c>
      <c r="G3510" t="inlineStr">
        <is>
          <t>IDR bn</t>
        </is>
      </c>
      <c r="H3510" t="n">
        <v>12</v>
      </c>
      <c r="I3510" t="inlineStr">
        <is>
          <t>Kapitalisasi Pasar 4.210.630 (Rp juta)</t>
        </is>
      </c>
      <c r="J3510" t="inlineStr">
        <is>
          <t>High</t>
        </is>
      </c>
      <c r="M3510" t="inlineStr">
        <is>
          <t>LLM</t>
        </is>
      </c>
      <c r="N3510" t="inlineStr">
        <is>
          <t>2026-04-19</t>
        </is>
      </c>
      <c r="O3510" t="inlineStr">
        <is>
          <t>AI</t>
        </is>
      </c>
    </row>
    <row r="3511">
      <c r="A3511" t="inlineStr">
        <is>
          <t>PT Nusantara Sawit Sejahtera Tbk</t>
        </is>
      </c>
      <c r="B3511" t="inlineStr">
        <is>
          <t>NSSS_2023_AR.pdf</t>
        </is>
      </c>
      <c r="C3511" t="n">
        <v>2023</v>
      </c>
      <c r="D3511" t="inlineStr">
        <is>
          <t>Financial</t>
        </is>
      </c>
      <c r="E3511" t="inlineStr">
        <is>
          <t>Current Ratio</t>
        </is>
      </c>
      <c r="F3511" t="n">
        <v>0.9399999999999999</v>
      </c>
      <c r="G3511" t="inlineStr">
        <is>
          <t>x</t>
        </is>
      </c>
      <c r="H3511" t="n">
        <v>12</v>
      </c>
      <c r="I3511" t="inlineStr">
        <is>
          <t>Rasio Lancar (%) 93,7 98,1 109,5</t>
        </is>
      </c>
      <c r="J3511" t="inlineStr">
        <is>
          <t>High</t>
        </is>
      </c>
      <c r="M3511" t="inlineStr">
        <is>
          <t>LLM</t>
        </is>
      </c>
      <c r="N3511" t="inlineStr">
        <is>
          <t>2026-04-19</t>
        </is>
      </c>
      <c r="O3511" t="inlineStr">
        <is>
          <t>AI</t>
        </is>
      </c>
    </row>
    <row r="3512">
      <c r="A3512" t="inlineStr">
        <is>
          <t>PT Nusantara Sawit Sejahtera Tbk</t>
        </is>
      </c>
      <c r="B3512" t="inlineStr">
        <is>
          <t>NSSS_2023_AR.pdf</t>
        </is>
      </c>
      <c r="C3512" t="n">
        <v>2023</v>
      </c>
      <c r="D3512" t="inlineStr">
        <is>
          <t>Financial</t>
        </is>
      </c>
      <c r="E3512" t="inlineStr">
        <is>
          <t>Debt-to-Equity Ratio</t>
        </is>
      </c>
      <c r="F3512" t="n">
        <v>2.4606</v>
      </c>
      <c r="G3512" t="inlineStr">
        <is>
          <t>%</t>
        </is>
      </c>
      <c r="H3512" t="n">
        <v>12</v>
      </c>
      <c r="I3512" t="inlineStr">
        <is>
          <t>Utang terhadap Ekuitas (%) 246,06</t>
        </is>
      </c>
      <c r="J3512" t="inlineStr">
        <is>
          <t>High</t>
        </is>
      </c>
      <c r="M3512" t="inlineStr">
        <is>
          <t>LLM</t>
        </is>
      </c>
      <c r="N3512" t="inlineStr">
        <is>
          <t>2026-04-19</t>
        </is>
      </c>
      <c r="O3512" t="inlineStr">
        <is>
          <t>AI</t>
        </is>
      </c>
    </row>
    <row r="3513">
      <c r="A3513" t="inlineStr">
        <is>
          <t>PT Nusantara Sawit Sejahtera Tbk</t>
        </is>
      </c>
      <c r="B3513" t="inlineStr">
        <is>
          <t>NSSS_2023_AR.pdf</t>
        </is>
      </c>
      <c r="C3513" t="n">
        <v>2023</v>
      </c>
      <c r="D3513" t="inlineStr">
        <is>
          <t>Financial</t>
        </is>
      </c>
      <c r="E3513" t="inlineStr">
        <is>
          <t>Debt-to-Assets Ratio</t>
        </is>
      </c>
      <c r="F3513" t="n">
        <v>0.711</v>
      </c>
      <c r="G3513" t="inlineStr">
        <is>
          <t>%</t>
        </is>
      </c>
      <c r="H3513" t="n">
        <v>12</v>
      </c>
      <c r="I3513" t="inlineStr">
        <is>
          <t>Utang terhadap Aset (%) 71,10</t>
        </is>
      </c>
      <c r="J3513" t="inlineStr">
        <is>
          <t>High</t>
        </is>
      </c>
      <c r="M3513" t="inlineStr">
        <is>
          <t>LLM</t>
        </is>
      </c>
      <c r="N3513" t="inlineStr">
        <is>
          <t>2026-04-19</t>
        </is>
      </c>
      <c r="O3513" t="inlineStr">
        <is>
          <t>AI</t>
        </is>
      </c>
    </row>
    <row r="3514">
      <c r="A3514" t="inlineStr">
        <is>
          <t>PT Nusantara Sawit Sejahtera Tbk</t>
        </is>
      </c>
      <c r="B3514" t="inlineStr">
        <is>
          <t>NSSS_2023_AR.pdf</t>
        </is>
      </c>
      <c r="C3514" t="n">
        <v>2023</v>
      </c>
      <c r="D3514" t="inlineStr">
        <is>
          <t>Asset</t>
        </is>
      </c>
      <c r="E3514" t="inlineStr">
        <is>
          <t>Total Planted Area (Nucleus+Plasma)</t>
        </is>
      </c>
      <c r="F3514" t="n">
        <v>28148</v>
      </c>
      <c r="G3514" t="inlineStr">
        <is>
          <t>ha</t>
        </is>
      </c>
      <c r="H3514" t="n">
        <v>10</v>
      </c>
      <c r="I3514" t="inlineStr">
        <is>
          <t>Total lahan tertanam inti dan plasma perkebunan kelapa sawit Ha 28.148</t>
        </is>
      </c>
      <c r="J3514" t="inlineStr">
        <is>
          <t>High</t>
        </is>
      </c>
      <c r="M3514" t="inlineStr">
        <is>
          <t>LLM</t>
        </is>
      </c>
      <c r="N3514" t="inlineStr">
        <is>
          <t>2026-04-19</t>
        </is>
      </c>
      <c r="O3514" t="inlineStr">
        <is>
          <t>AI</t>
        </is>
      </c>
    </row>
    <row r="3515">
      <c r="A3515" t="inlineStr">
        <is>
          <t>PT Nusantara Sawit Sejahtera Tbk</t>
        </is>
      </c>
      <c r="B3515" t="inlineStr">
        <is>
          <t>NSSS_2023_AR.pdf</t>
        </is>
      </c>
      <c r="C3515" t="n">
        <v>2023</v>
      </c>
      <c r="D3515" t="inlineStr">
        <is>
          <t>Asset</t>
        </is>
      </c>
      <c r="E3515" t="inlineStr">
        <is>
          <t>NSP Total Nucleus Area</t>
        </is>
      </c>
      <c r="F3515" t="n">
        <v>12391</v>
      </c>
      <c r="G3515" t="inlineStr">
        <is>
          <t>ha</t>
        </is>
      </c>
      <c r="H3515" t="n">
        <v>38</v>
      </c>
      <c r="I3515" t="inlineStr">
        <is>
          <t>PT Nusantara Sawit Persada Kotawaringin Timur Total: 12.391</t>
        </is>
      </c>
      <c r="J3515" t="inlineStr">
        <is>
          <t>High</t>
        </is>
      </c>
      <c r="M3515" t="inlineStr">
        <is>
          <t>LLM</t>
        </is>
      </c>
      <c r="N3515" t="inlineStr">
        <is>
          <t>2026-04-19</t>
        </is>
      </c>
      <c r="O3515" t="inlineStr">
        <is>
          <t>AI</t>
        </is>
      </c>
    </row>
    <row r="3516">
      <c r="A3516" t="inlineStr">
        <is>
          <t>PT Nusantara Sawit Sejahtera Tbk</t>
        </is>
      </c>
      <c r="B3516" t="inlineStr">
        <is>
          <t>NSSS_2023_AR.pdf</t>
        </is>
      </c>
      <c r="C3516" t="n">
        <v>2023</v>
      </c>
      <c r="D3516" t="inlineStr">
        <is>
          <t>Asset</t>
        </is>
      </c>
      <c r="E3516" t="inlineStr">
        <is>
          <t>BSP Total Nucleus Area</t>
        </is>
      </c>
      <c r="F3516" t="n">
        <v>8257</v>
      </c>
      <c r="G3516" t="inlineStr">
        <is>
          <t>ha</t>
        </is>
      </c>
      <c r="H3516" t="n">
        <v>38</v>
      </c>
      <c r="I3516" t="inlineStr">
        <is>
          <t>PT Borneo Sawit Perdana Kotawaringin Timur Total: 8.257</t>
        </is>
      </c>
      <c r="J3516" t="inlineStr">
        <is>
          <t>High</t>
        </is>
      </c>
      <c r="M3516" t="inlineStr">
        <is>
          <t>LLM</t>
        </is>
      </c>
      <c r="N3516" t="inlineStr">
        <is>
          <t>2026-04-19</t>
        </is>
      </c>
      <c r="O3516" t="inlineStr">
        <is>
          <t>AI</t>
        </is>
      </c>
    </row>
    <row r="3517">
      <c r="A3517" t="inlineStr">
        <is>
          <t>PT Nusantara Sawit Sejahtera Tbk</t>
        </is>
      </c>
      <c r="B3517" t="inlineStr">
        <is>
          <t>NSSS_2023_AR.pdf</t>
        </is>
      </c>
      <c r="C3517" t="n">
        <v>2023</v>
      </c>
      <c r="D3517" t="inlineStr">
        <is>
          <t>Asset</t>
        </is>
      </c>
      <c r="E3517" t="inlineStr">
        <is>
          <t>PMM Total Nucleus Area</t>
        </is>
      </c>
      <c r="F3517" t="n">
        <v>6119</v>
      </c>
      <c r="G3517" t="inlineStr">
        <is>
          <t>ha</t>
        </is>
      </c>
      <c r="H3517" t="n">
        <v>38</v>
      </c>
      <c r="I3517" t="inlineStr">
        <is>
          <t>PT Prasetya Mitra Muda Gunung Mas Total: 6.119</t>
        </is>
      </c>
      <c r="J3517" t="inlineStr">
        <is>
          <t>High</t>
        </is>
      </c>
      <c r="M3517" t="inlineStr">
        <is>
          <t>LLM</t>
        </is>
      </c>
      <c r="N3517" t="inlineStr">
        <is>
          <t>2026-04-19</t>
        </is>
      </c>
      <c r="O3517" t="inlineStr">
        <is>
          <t>AI</t>
        </is>
      </c>
    </row>
    <row r="3518">
      <c r="A3518" t="inlineStr">
        <is>
          <t>PT Nusantara Sawit Sejahtera Tbk</t>
        </is>
      </c>
      <c r="B3518" t="inlineStr">
        <is>
          <t>NSSS_2023_AR.pdf</t>
        </is>
      </c>
      <c r="C3518" t="n">
        <v>2023</v>
      </c>
      <c r="D3518" t="inlineStr">
        <is>
          <t>Asset</t>
        </is>
      </c>
      <c r="E3518" t="inlineStr">
        <is>
          <t>Plant Age 0-3 yrs (Nucleus)</t>
        </is>
      </c>
      <c r="F3518" t="n">
        <v>1174</v>
      </c>
      <c r="G3518" t="inlineStr">
        <is>
          <t>ha</t>
        </is>
      </c>
      <c r="H3518" t="n">
        <v>71</v>
      </c>
      <c r="I3518" t="inlineStr">
        <is>
          <t>0-3 tahun (Ha) 1.174 1.973</t>
        </is>
      </c>
      <c r="J3518" t="inlineStr">
        <is>
          <t>High</t>
        </is>
      </c>
      <c r="M3518" t="inlineStr">
        <is>
          <t>LLM</t>
        </is>
      </c>
      <c r="N3518" t="inlineStr">
        <is>
          <t>2026-04-19</t>
        </is>
      </c>
      <c r="O3518" t="inlineStr">
        <is>
          <t>AI</t>
        </is>
      </c>
    </row>
    <row r="3519">
      <c r="A3519" t="inlineStr">
        <is>
          <t>PT Nusantara Sawit Sejahtera Tbk</t>
        </is>
      </c>
      <c r="B3519" t="inlineStr">
        <is>
          <t>NSSS_2023_AR.pdf</t>
        </is>
      </c>
      <c r="C3519" t="n">
        <v>2023</v>
      </c>
      <c r="D3519" t="inlineStr">
        <is>
          <t>Asset</t>
        </is>
      </c>
      <c r="E3519" t="inlineStr">
        <is>
          <t>Plant Age 4-6 yrs (Nucleus)</t>
        </is>
      </c>
      <c r="F3519" t="n">
        <v>3103</v>
      </c>
      <c r="G3519" t="inlineStr">
        <is>
          <t>ha</t>
        </is>
      </c>
      <c r="H3519" t="n">
        <v>71</v>
      </c>
      <c r="I3519" t="inlineStr">
        <is>
          <t>4-6 tahun (Ha) 3.103 3.227</t>
        </is>
      </c>
      <c r="J3519" t="inlineStr">
        <is>
          <t>High</t>
        </is>
      </c>
      <c r="M3519" t="inlineStr">
        <is>
          <t>LLM</t>
        </is>
      </c>
      <c r="N3519" t="inlineStr">
        <is>
          <t>2026-04-19</t>
        </is>
      </c>
      <c r="O3519" t="inlineStr">
        <is>
          <t>AI</t>
        </is>
      </c>
    </row>
    <row r="3520">
      <c r="A3520" t="inlineStr">
        <is>
          <t>PT Nusantara Sawit Sejahtera Tbk</t>
        </is>
      </c>
      <c r="B3520" t="inlineStr">
        <is>
          <t>NSSS_2023_AR.pdf</t>
        </is>
      </c>
      <c r="C3520" t="n">
        <v>2023</v>
      </c>
      <c r="D3520" t="inlineStr">
        <is>
          <t>Asset</t>
        </is>
      </c>
      <c r="E3520" t="inlineStr">
        <is>
          <t>Plant Age 7-20 yrs (Nucleus)</t>
        </is>
      </c>
      <c r="F3520" t="n">
        <v>22490</v>
      </c>
      <c r="G3520" t="inlineStr">
        <is>
          <t>ha</t>
        </is>
      </c>
      <c r="H3520" t="n">
        <v>71</v>
      </c>
      <c r="I3520" t="inlineStr">
        <is>
          <t>7-20 tahun (Ha) 22.490 22.948</t>
        </is>
      </c>
      <c r="J3520" t="inlineStr">
        <is>
          <t>High</t>
        </is>
      </c>
      <c r="M3520" t="inlineStr">
        <is>
          <t>LLM</t>
        </is>
      </c>
      <c r="N3520" t="inlineStr">
        <is>
          <t>2026-04-19</t>
        </is>
      </c>
      <c r="O3520" t="inlineStr">
        <is>
          <t>AI</t>
        </is>
      </c>
    </row>
    <row r="3521">
      <c r="A3521" t="inlineStr">
        <is>
          <t>PT Nusantara Sawit Sejahtera Tbk</t>
        </is>
      </c>
      <c r="B3521" t="inlineStr">
        <is>
          <t>NSSS_2023_AR.pdf</t>
        </is>
      </c>
      <c r="C3521" t="n">
        <v>2023</v>
      </c>
      <c r="D3521" t="inlineStr">
        <is>
          <t>Asset</t>
        </is>
      </c>
      <c r="E3521" t="inlineStr">
        <is>
          <t>Palm Oil Mill Count</t>
        </is>
      </c>
      <c r="F3521" t="n">
        <v>2</v>
      </c>
      <c r="G3521" t="inlineStr">
        <is>
          <t>count</t>
        </is>
      </c>
      <c r="H3521" t="n">
        <v>46</v>
      </c>
      <c r="I3521" t="inlineStr">
        <is>
          <t>PKS milik entitas anak Perseroan, PT Borneo Sawit Perdana, mulai beroperasi pada bulan Desember 2023 (NSP existing 60 tph + BSP new 60 tph)</t>
        </is>
      </c>
      <c r="J3521" t="inlineStr">
        <is>
          <t>High</t>
        </is>
      </c>
      <c r="M3521" t="inlineStr">
        <is>
          <t>LLM</t>
        </is>
      </c>
      <c r="N3521" t="inlineStr">
        <is>
          <t>2026-04-19</t>
        </is>
      </c>
      <c r="O3521" t="inlineStr">
        <is>
          <t>AI</t>
        </is>
      </c>
    </row>
    <row r="3522">
      <c r="A3522" t="inlineStr">
        <is>
          <t>PT Nusantara Sawit Sejahtera Tbk</t>
        </is>
      </c>
      <c r="B3522" t="inlineStr">
        <is>
          <t>NSSS_2023_AR.pdf</t>
        </is>
      </c>
      <c r="C3522" t="n">
        <v>2023</v>
      </c>
      <c r="D3522" t="inlineStr">
        <is>
          <t>Asset</t>
        </is>
      </c>
      <c r="E3522" t="inlineStr">
        <is>
          <t>Mill Capacity (Primary NSP)</t>
        </is>
      </c>
      <c r="F3522" t="n">
        <v>60</v>
      </c>
      <c r="G3522" t="inlineStr">
        <is>
          <t>tph</t>
        </is>
      </c>
      <c r="H3522" t="n">
        <v>150</v>
      </c>
      <c r="I3522" t="inlineStr">
        <is>
          <t>Perseroan dan Entitas Anak mengoperasikan 1 pabrik kelapa sawit dengan kapasitas 60 ton per jam di PT NSP</t>
        </is>
      </c>
      <c r="J3522" t="inlineStr">
        <is>
          <t>High</t>
        </is>
      </c>
      <c r="M3522" t="inlineStr">
        <is>
          <t>LLM</t>
        </is>
      </c>
      <c r="N3522" t="inlineStr">
        <is>
          <t>2026-04-19</t>
        </is>
      </c>
      <c r="O3522" t="inlineStr">
        <is>
          <t>AI</t>
        </is>
      </c>
    </row>
    <row r="3523">
      <c r="A3523" t="inlineStr">
        <is>
          <t>PT Nusantara Sawit Sejahtera Tbk</t>
        </is>
      </c>
      <c r="B3523" t="inlineStr">
        <is>
          <t>NSSS_2023_AR.pdf</t>
        </is>
      </c>
      <c r="C3523" t="n">
        <v>2023</v>
      </c>
      <c r="D3523" t="inlineStr">
        <is>
          <t>Asset</t>
        </is>
      </c>
      <c r="E3523" t="inlineStr">
        <is>
          <t>CPO Storage Capacity</t>
        </is>
      </c>
      <c r="F3523" t="n">
        <v>6000</v>
      </c>
      <c r="G3523" t="inlineStr">
        <is>
          <t>t</t>
        </is>
      </c>
      <c r="H3523" t="n">
        <v>151</v>
      </c>
      <c r="I3523" t="inlineStr">
        <is>
          <t>CPO akan dialirkan ke dalam dua tangki dengan total kapasitas 6.000 ton</t>
        </is>
      </c>
      <c r="J3523" t="inlineStr">
        <is>
          <t>Medium</t>
        </is>
      </c>
      <c r="M3523" t="inlineStr">
        <is>
          <t>LLM</t>
        </is>
      </c>
      <c r="N3523" t="inlineStr">
        <is>
          <t>2026-04-19</t>
        </is>
      </c>
      <c r="O3523" t="inlineStr">
        <is>
          <t>AI</t>
        </is>
      </c>
    </row>
    <row r="3524">
      <c r="A3524" t="inlineStr">
        <is>
          <t>PT Nusantara Sawit Sejahtera Tbk</t>
        </is>
      </c>
      <c r="B3524" t="inlineStr">
        <is>
          <t>NSSS_2023_AR.pdf</t>
        </is>
      </c>
      <c r="C3524" t="n">
        <v>2023</v>
      </c>
      <c r="D3524" t="inlineStr">
        <is>
          <t>Operation</t>
        </is>
      </c>
      <c r="E3524" t="inlineStr">
        <is>
          <t>FFB Production</t>
        </is>
      </c>
      <c r="F3524" t="n">
        <v>463843</v>
      </c>
      <c r="G3524" t="inlineStr">
        <is>
          <t>t</t>
        </is>
      </c>
      <c r="H3524" t="n">
        <v>71</v>
      </c>
      <c r="I3524" t="inlineStr">
        <is>
          <t>TBS (ribu ton) 463.843 399.606</t>
        </is>
      </c>
      <c r="J3524" t="inlineStr">
        <is>
          <t>High</t>
        </is>
      </c>
      <c r="M3524" t="inlineStr">
        <is>
          <t>LLM</t>
        </is>
      </c>
      <c r="N3524" t="inlineStr">
        <is>
          <t>2026-04-19</t>
        </is>
      </c>
      <c r="O3524" t="inlineStr">
        <is>
          <t>AI</t>
        </is>
      </c>
    </row>
    <row r="3525">
      <c r="A3525" t="inlineStr">
        <is>
          <t>PT Nusantara Sawit Sejahtera Tbk</t>
        </is>
      </c>
      <c r="B3525" t="inlineStr">
        <is>
          <t>NSSS_2023_AR.pdf</t>
        </is>
      </c>
      <c r="C3525" t="n">
        <v>2023</v>
      </c>
      <c r="D3525" t="inlineStr">
        <is>
          <t>Operation</t>
        </is>
      </c>
      <c r="E3525" t="inlineStr">
        <is>
          <t>CPO Production</t>
        </is>
      </c>
      <c r="F3525" t="n">
        <v>91285</v>
      </c>
      <c r="G3525" t="inlineStr">
        <is>
          <t>t</t>
        </is>
      </c>
      <c r="H3525" t="n">
        <v>71</v>
      </c>
      <c r="I3525" t="inlineStr">
        <is>
          <t>CPO (ribu ton) 91.285 82.862</t>
        </is>
      </c>
      <c r="J3525" t="inlineStr">
        <is>
          <t>High</t>
        </is>
      </c>
      <c r="M3525" t="inlineStr">
        <is>
          <t>LLM</t>
        </is>
      </c>
      <c r="N3525" t="inlineStr">
        <is>
          <t>2026-04-19</t>
        </is>
      </c>
      <c r="O3525" t="inlineStr">
        <is>
          <t>AI</t>
        </is>
      </c>
    </row>
    <row r="3526">
      <c r="A3526" t="inlineStr">
        <is>
          <t>PT Nusantara Sawit Sejahtera Tbk</t>
        </is>
      </c>
      <c r="B3526" t="inlineStr">
        <is>
          <t>NSSS_2023_AR.pdf</t>
        </is>
      </c>
      <c r="C3526" t="n">
        <v>2023</v>
      </c>
      <c r="D3526" t="inlineStr">
        <is>
          <t>Operation</t>
        </is>
      </c>
      <c r="E3526" t="inlineStr">
        <is>
          <t>PK Production</t>
        </is>
      </c>
      <c r="F3526" t="n">
        <v>18926</v>
      </c>
      <c r="G3526" t="inlineStr">
        <is>
          <t>t</t>
        </is>
      </c>
      <c r="H3526" t="n">
        <v>71</v>
      </c>
      <c r="I3526" t="inlineStr">
        <is>
          <t>PK (ribu ton) 18.926 15.617</t>
        </is>
      </c>
      <c r="J3526" t="inlineStr">
        <is>
          <t>High</t>
        </is>
      </c>
      <c r="M3526" t="inlineStr">
        <is>
          <t>LLM</t>
        </is>
      </c>
      <c r="N3526" t="inlineStr">
        <is>
          <t>2026-04-19</t>
        </is>
      </c>
      <c r="O3526" t="inlineStr">
        <is>
          <t>AI</t>
        </is>
      </c>
    </row>
    <row r="3527">
      <c r="A3527" t="inlineStr">
        <is>
          <t>PT Nusantara Sawit Sejahtera Tbk</t>
        </is>
      </c>
      <c r="B3527" t="inlineStr">
        <is>
          <t>NSSS_2023_AR.pdf</t>
        </is>
      </c>
      <c r="C3527" t="n">
        <v>2023</v>
      </c>
      <c r="D3527" t="inlineStr">
        <is>
          <t>Operation</t>
        </is>
      </c>
      <c r="E3527" t="inlineStr">
        <is>
          <t>OER</t>
        </is>
      </c>
      <c r="F3527" t="n">
        <v>0.2169</v>
      </c>
      <c r="G3527" t="inlineStr">
        <is>
          <t>%</t>
        </is>
      </c>
      <c r="H3527" t="n">
        <v>71</v>
      </c>
      <c r="I3527" t="inlineStr">
        <is>
          <t>Rendemen CPO 21,69 21,77</t>
        </is>
      </c>
      <c r="J3527" t="inlineStr">
        <is>
          <t>High</t>
        </is>
      </c>
      <c r="M3527" t="inlineStr">
        <is>
          <t>LLM</t>
        </is>
      </c>
      <c r="N3527" t="inlineStr">
        <is>
          <t>2026-04-19</t>
        </is>
      </c>
      <c r="O3527" t="inlineStr">
        <is>
          <t>AI</t>
        </is>
      </c>
    </row>
    <row r="3528">
      <c r="A3528" t="inlineStr">
        <is>
          <t>PT Nusantara Sawit Sejahtera Tbk</t>
        </is>
      </c>
      <c r="B3528" t="inlineStr">
        <is>
          <t>NSSS_2023_AR.pdf</t>
        </is>
      </c>
      <c r="C3528" t="n">
        <v>2023</v>
      </c>
      <c r="D3528" t="inlineStr">
        <is>
          <t>Operation</t>
        </is>
      </c>
      <c r="E3528" t="inlineStr">
        <is>
          <t>KER</t>
        </is>
      </c>
      <c r="F3528" t="n">
        <v>0.0462</v>
      </c>
      <c r="G3528" t="inlineStr">
        <is>
          <t>%</t>
        </is>
      </c>
      <c r="H3528" t="n">
        <v>151</v>
      </c>
      <c r="I3528" t="inlineStr">
        <is>
          <t>PK Extraction Rate (%) 4,62 4,10 4,50</t>
        </is>
      </c>
      <c r="J3528" t="inlineStr">
        <is>
          <t>High</t>
        </is>
      </c>
      <c r="M3528" t="inlineStr">
        <is>
          <t>LLM</t>
        </is>
      </c>
      <c r="N3528" t="inlineStr">
        <is>
          <t>2026-04-19</t>
        </is>
      </c>
      <c r="O3528" t="inlineStr">
        <is>
          <t>AI</t>
        </is>
      </c>
    </row>
    <row r="3529">
      <c r="A3529" t="inlineStr">
        <is>
          <t>PT Nusantara Sawit Sejahtera Tbk</t>
        </is>
      </c>
      <c r="B3529" t="inlineStr">
        <is>
          <t>NSSS_2023_AR.pdf</t>
        </is>
      </c>
      <c r="C3529" t="n">
        <v>2023</v>
      </c>
      <c r="D3529" t="inlineStr">
        <is>
          <t>Operation</t>
        </is>
      </c>
      <c r="E3529" t="inlineStr">
        <is>
          <t>CPO Sales Volume</t>
        </is>
      </c>
      <c r="F3529" t="n">
        <v>92255</v>
      </c>
      <c r="G3529" t="inlineStr">
        <is>
          <t>t</t>
        </is>
      </c>
      <c r="H3529" t="n">
        <v>75</v>
      </c>
      <c r="I3529" t="inlineStr">
        <is>
          <t>Kuantitas penjualan CPO naik sebesar 14,7% (2023: 92.255 ton dan 2022: 80.466 ton)</t>
        </is>
      </c>
      <c r="J3529" t="inlineStr">
        <is>
          <t>High</t>
        </is>
      </c>
      <c r="M3529" t="inlineStr">
        <is>
          <t>LLM</t>
        </is>
      </c>
      <c r="N3529" t="inlineStr">
        <is>
          <t>2026-04-19</t>
        </is>
      </c>
      <c r="O3529" t="inlineStr">
        <is>
          <t>AI</t>
        </is>
      </c>
    </row>
    <row r="3530">
      <c r="A3530" t="inlineStr">
        <is>
          <t>PT Nusantara Sawit Sejahtera Tbk</t>
        </is>
      </c>
      <c r="B3530" t="inlineStr">
        <is>
          <t>NSSS_2023_AR.pdf</t>
        </is>
      </c>
      <c r="C3530" t="n">
        <v>2023</v>
      </c>
      <c r="D3530" t="inlineStr">
        <is>
          <t>Operation</t>
        </is>
      </c>
      <c r="E3530" t="inlineStr">
        <is>
          <t>PK Sales Volume</t>
        </is>
      </c>
      <c r="F3530" t="n">
        <v>18760</v>
      </c>
      <c r="G3530" t="inlineStr">
        <is>
          <t>t</t>
        </is>
      </c>
      <c r="H3530" t="n">
        <v>75</v>
      </c>
      <c r="I3530" t="inlineStr">
        <is>
          <t>Kuantitas penjualan PK naik sebesar 20,7% (2023: 18.760 ton dan 2022: 15.544 ton)</t>
        </is>
      </c>
      <c r="J3530" t="inlineStr">
        <is>
          <t>High</t>
        </is>
      </c>
      <c r="M3530" t="inlineStr">
        <is>
          <t>LLM</t>
        </is>
      </c>
      <c r="N3530" t="inlineStr">
        <is>
          <t>2026-04-19</t>
        </is>
      </c>
      <c r="O3530" t="inlineStr">
        <is>
          <t>AI</t>
        </is>
      </c>
    </row>
    <row r="3531">
      <c r="A3531" t="inlineStr">
        <is>
          <t>PT Nusantara Sawit Sejahtera Tbk</t>
        </is>
      </c>
      <c r="B3531" t="inlineStr">
        <is>
          <t>NSSS_2023_AR.pdf</t>
        </is>
      </c>
      <c r="C3531" t="n">
        <v>2023</v>
      </c>
      <c r="D3531" t="inlineStr">
        <is>
          <t>Operation</t>
        </is>
      </c>
      <c r="E3531" t="inlineStr">
        <is>
          <t>FFB Sales Volume</t>
        </is>
      </c>
      <c r="F3531" t="n">
        <v>47415</v>
      </c>
      <c r="G3531" t="inlineStr">
        <is>
          <t>t</t>
        </is>
      </c>
      <c r="H3531" t="n">
        <v>75</v>
      </c>
      <c r="I3531" t="inlineStr">
        <is>
          <t>Kuantitas penjualan TBS naik sebesar 106,8% (2023: 47.415 ton dan 2022: 22.930 ton)</t>
        </is>
      </c>
      <c r="J3531" t="inlineStr">
        <is>
          <t>High</t>
        </is>
      </c>
      <c r="M3531" t="inlineStr">
        <is>
          <t>LLM</t>
        </is>
      </c>
      <c r="N3531" t="inlineStr">
        <is>
          <t>2026-04-19</t>
        </is>
      </c>
      <c r="O3531" t="inlineStr">
        <is>
          <t>AI</t>
        </is>
      </c>
    </row>
    <row r="3532">
      <c r="A3532" t="inlineStr">
        <is>
          <t>PT Nusantara Sawit Sejahtera Tbk</t>
        </is>
      </c>
      <c r="B3532" t="inlineStr">
        <is>
          <t>NSSS_2023_AR.pdf</t>
        </is>
      </c>
      <c r="C3532" t="n">
        <v>2023</v>
      </c>
      <c r="D3532" t="inlineStr">
        <is>
          <t>Operation</t>
        </is>
      </c>
      <c r="E3532" t="inlineStr">
        <is>
          <t>Avg CPO Selling Price</t>
        </is>
      </c>
      <c r="F3532" t="n">
        <v>10796</v>
      </c>
      <c r="G3532" t="inlineStr">
        <is>
          <t>Rp/kg</t>
        </is>
      </c>
      <c r="H3532" t="n">
        <v>75</v>
      </c>
      <c r="I3532" t="inlineStr">
        <is>
          <t>2023: Rp10.796 per kg dan 2022: Rp12.145 per kg</t>
        </is>
      </c>
      <c r="J3532" t="inlineStr">
        <is>
          <t>High</t>
        </is>
      </c>
      <c r="M3532" t="inlineStr">
        <is>
          <t>LLM</t>
        </is>
      </c>
      <c r="N3532" t="inlineStr">
        <is>
          <t>2026-04-19</t>
        </is>
      </c>
      <c r="O3532" t="inlineStr">
        <is>
          <t>AI</t>
        </is>
      </c>
    </row>
    <row r="3533">
      <c r="A3533" t="inlineStr">
        <is>
          <t>PT Nusantara Sawit Sejahtera Tbk</t>
        </is>
      </c>
      <c r="B3533" t="inlineStr">
        <is>
          <t>NSSS_2023_AR.pdf</t>
        </is>
      </c>
      <c r="C3533" t="n">
        <v>2023</v>
      </c>
      <c r="D3533" t="inlineStr">
        <is>
          <t>Operation</t>
        </is>
      </c>
      <c r="E3533" t="inlineStr">
        <is>
          <t>Avg PK Selling Price</t>
        </is>
      </c>
      <c r="F3533" t="n">
        <v>5007</v>
      </c>
      <c r="G3533" t="inlineStr">
        <is>
          <t>Rp/kg</t>
        </is>
      </c>
      <c r="H3533" t="n">
        <v>75</v>
      </c>
      <c r="I3533" t="inlineStr">
        <is>
          <t>2023: Rp5.007 per kg</t>
        </is>
      </c>
      <c r="J3533" t="inlineStr">
        <is>
          <t>High</t>
        </is>
      </c>
      <c r="M3533" t="inlineStr">
        <is>
          <t>LLM</t>
        </is>
      </c>
      <c r="N3533" t="inlineStr">
        <is>
          <t>2026-04-19</t>
        </is>
      </c>
      <c r="O3533" t="inlineStr">
        <is>
          <t>AI</t>
        </is>
      </c>
    </row>
    <row r="3534">
      <c r="A3534" t="inlineStr">
        <is>
          <t>PT Nusantara Sawit Sejahtera Tbk</t>
        </is>
      </c>
      <c r="B3534" t="inlineStr">
        <is>
          <t>NSSS_2023_AR.pdf</t>
        </is>
      </c>
      <c r="C3534" t="n">
        <v>2023</v>
      </c>
      <c r="D3534" t="inlineStr">
        <is>
          <t>Operation</t>
        </is>
      </c>
      <c r="E3534" t="inlineStr">
        <is>
          <t>Avg FFB Selling Price</t>
        </is>
      </c>
      <c r="F3534" t="n">
        <v>1996</v>
      </c>
      <c r="G3534" t="inlineStr">
        <is>
          <t>Rp/kg</t>
        </is>
      </c>
      <c r="H3534" t="n">
        <v>75</v>
      </c>
      <c r="I3534" t="inlineStr">
        <is>
          <t>2023: Rp1.996 per kg</t>
        </is>
      </c>
      <c r="J3534" t="inlineStr">
        <is>
          <t>High</t>
        </is>
      </c>
      <c r="M3534" t="inlineStr">
        <is>
          <t>LLM</t>
        </is>
      </c>
      <c r="N3534" t="inlineStr">
        <is>
          <t>2026-04-19</t>
        </is>
      </c>
      <c r="O3534" t="inlineStr">
        <is>
          <t>AI</t>
        </is>
      </c>
    </row>
    <row r="3535">
      <c r="A3535" t="inlineStr">
        <is>
          <t>PT Nusantara Sawit Sejahtera Tbk</t>
        </is>
      </c>
      <c r="B3535" t="inlineStr">
        <is>
          <t>NSSS_2023_AR.pdf</t>
        </is>
      </c>
      <c r="C3535" t="n">
        <v>2023</v>
      </c>
      <c r="D3535" t="inlineStr">
        <is>
          <t>Operation</t>
        </is>
      </c>
      <c r="E3535" t="inlineStr">
        <is>
          <t>CPO Sales Value</t>
        </is>
      </c>
      <c r="F3535" t="n">
        <v>996</v>
      </c>
      <c r="G3535" t="inlineStr">
        <is>
          <t>IDR bn</t>
        </is>
      </c>
      <c r="H3535" t="n">
        <v>72</v>
      </c>
      <c r="I3535" t="inlineStr">
        <is>
          <t>CPO (juta Rp) 996.024 977.316</t>
        </is>
      </c>
      <c r="J3535" t="inlineStr">
        <is>
          <t>High</t>
        </is>
      </c>
      <c r="M3535" t="inlineStr">
        <is>
          <t>LLM</t>
        </is>
      </c>
      <c r="N3535" t="inlineStr">
        <is>
          <t>2026-04-19</t>
        </is>
      </c>
      <c r="O3535" t="inlineStr">
        <is>
          <t>AI</t>
        </is>
      </c>
    </row>
    <row r="3536">
      <c r="A3536" t="inlineStr">
        <is>
          <t>PT Nusantara Sawit Sejahtera Tbk</t>
        </is>
      </c>
      <c r="B3536" t="inlineStr">
        <is>
          <t>NSSS_2023_AR.pdf</t>
        </is>
      </c>
      <c r="C3536" t="n">
        <v>2023</v>
      </c>
      <c r="D3536" t="inlineStr">
        <is>
          <t>Operation</t>
        </is>
      </c>
      <c r="E3536" t="inlineStr">
        <is>
          <t>PK Sales Value</t>
        </is>
      </c>
      <c r="F3536" t="n">
        <v>94</v>
      </c>
      <c r="G3536" t="inlineStr">
        <is>
          <t>IDR bn</t>
        </is>
      </c>
      <c r="H3536" t="n">
        <v>72</v>
      </c>
      <c r="I3536" t="inlineStr">
        <is>
          <t>PK (juta Rp) 93.927 117.366</t>
        </is>
      </c>
      <c r="J3536" t="inlineStr">
        <is>
          <t>High</t>
        </is>
      </c>
      <c r="M3536" t="inlineStr">
        <is>
          <t>LLM</t>
        </is>
      </c>
      <c r="N3536" t="inlineStr">
        <is>
          <t>2026-04-19</t>
        </is>
      </c>
      <c r="O3536" t="inlineStr">
        <is>
          <t>AI</t>
        </is>
      </c>
    </row>
    <row r="3537">
      <c r="A3537" t="inlineStr">
        <is>
          <t>PT Nusantara Sawit Sejahtera Tbk</t>
        </is>
      </c>
      <c r="B3537" t="inlineStr">
        <is>
          <t>NSSS_2023_AR.pdf</t>
        </is>
      </c>
      <c r="C3537" t="n">
        <v>2023</v>
      </c>
      <c r="D3537" t="inlineStr">
        <is>
          <t>Operation</t>
        </is>
      </c>
      <c r="E3537" t="inlineStr">
        <is>
          <t>FFB Sales Value</t>
        </is>
      </c>
      <c r="F3537" t="n">
        <v>95</v>
      </c>
      <c r="G3537" t="inlineStr">
        <is>
          <t>IDR bn</t>
        </is>
      </c>
      <c r="H3537" t="n">
        <v>72</v>
      </c>
      <c r="I3537" t="inlineStr">
        <is>
          <t>TBS (juta Rp) 94.630 39.413</t>
        </is>
      </c>
      <c r="J3537" t="inlineStr">
        <is>
          <t>High</t>
        </is>
      </c>
      <c r="M3537" t="inlineStr">
        <is>
          <t>LLM</t>
        </is>
      </c>
      <c r="N3537" t="inlineStr">
        <is>
          <t>2026-04-19</t>
        </is>
      </c>
      <c r="O3537" t="inlineStr">
        <is>
          <t>AI</t>
        </is>
      </c>
    </row>
    <row r="3538">
      <c r="A3538" t="inlineStr">
        <is>
          <t>PT Nusantara Sawit Sejahtera Tbk</t>
        </is>
      </c>
      <c r="B3538" t="inlineStr">
        <is>
          <t>NSSS_2023_AR.pdf</t>
        </is>
      </c>
      <c r="C3538" t="n">
        <v>2023</v>
      </c>
      <c r="D3538" t="inlineStr">
        <is>
          <t>Operation</t>
        </is>
      </c>
      <c r="E3538" t="inlineStr">
        <is>
          <t>FFB Production Target 2023</t>
        </is>
      </c>
      <c r="F3538" t="n">
        <v>442500</v>
      </c>
      <c r="G3538" t="inlineStr">
        <is>
          <t>t</t>
        </is>
      </c>
      <c r="H3538" t="n">
        <v>152</v>
      </c>
      <c r="I3538" t="inlineStr">
        <is>
          <t>2023 442.500 463.843</t>
        </is>
      </c>
      <c r="J3538" t="inlineStr">
        <is>
          <t>High</t>
        </is>
      </c>
      <c r="M3538" t="inlineStr">
        <is>
          <t>LLM</t>
        </is>
      </c>
      <c r="N3538" t="inlineStr">
        <is>
          <t>2026-04-19</t>
        </is>
      </c>
      <c r="O3538" t="inlineStr">
        <is>
          <t>AI</t>
        </is>
      </c>
    </row>
    <row r="3539">
      <c r="A3539" t="inlineStr">
        <is>
          <t>PT Nusantara Sawit Sejahtera Tbk</t>
        </is>
      </c>
      <c r="B3539" t="inlineStr">
        <is>
          <t>NSSS_2023_AR.pdf</t>
        </is>
      </c>
      <c r="C3539" t="n">
        <v>2023</v>
      </c>
      <c r="D3539" t="inlineStr">
        <is>
          <t>Operation</t>
        </is>
      </c>
      <c r="E3539" t="inlineStr">
        <is>
          <t>CPO Production Target 2023</t>
        </is>
      </c>
      <c r="F3539" t="n">
        <v>89500</v>
      </c>
      <c r="G3539" t="inlineStr">
        <is>
          <t>t</t>
        </is>
      </c>
      <c r="H3539" t="n">
        <v>153</v>
      </c>
      <c r="I3539" t="inlineStr">
        <is>
          <t>CPO 89.500 91.285</t>
        </is>
      </c>
      <c r="J3539" t="inlineStr">
        <is>
          <t>High</t>
        </is>
      </c>
      <c r="M3539" t="inlineStr">
        <is>
          <t>LLM</t>
        </is>
      </c>
      <c r="N3539" t="inlineStr">
        <is>
          <t>2026-04-19</t>
        </is>
      </c>
      <c r="O3539" t="inlineStr">
        <is>
          <t>AI</t>
        </is>
      </c>
    </row>
    <row r="3540">
      <c r="A3540" t="inlineStr">
        <is>
          <t>PT Nusantara Sawit Sejahtera Tbk</t>
        </is>
      </c>
      <c r="B3540" t="inlineStr">
        <is>
          <t>NSSS_2023_AR.pdf</t>
        </is>
      </c>
      <c r="C3540" t="n">
        <v>2023</v>
      </c>
      <c r="D3540" t="inlineStr">
        <is>
          <t>Operation</t>
        </is>
      </c>
      <c r="E3540" t="inlineStr">
        <is>
          <t>Third-Party FFB Volume</t>
        </is>
      </c>
      <c r="F3540" t="n">
        <v>5598</v>
      </c>
      <c r="G3540" t="inlineStr">
        <is>
          <t>t</t>
        </is>
      </c>
      <c r="H3540" t="n">
        <v>153</v>
      </c>
      <c r="I3540" t="inlineStr">
        <is>
          <t>TBS 5.598 3 3 (2023)</t>
        </is>
      </c>
      <c r="J3540" t="inlineStr">
        <is>
          <t>High</t>
        </is>
      </c>
      <c r="M3540" t="inlineStr">
        <is>
          <t>LLM</t>
        </is>
      </c>
      <c r="N3540" t="inlineStr">
        <is>
          <t>2026-04-19</t>
        </is>
      </c>
      <c r="O3540" t="inlineStr">
        <is>
          <t>AI</t>
        </is>
      </c>
    </row>
    <row r="3541">
      <c r="A3541" t="inlineStr">
        <is>
          <t>PT Nusantara Sawit Sejahtera Tbk</t>
        </is>
      </c>
      <c r="B3541" t="inlineStr">
        <is>
          <t>NSSS_2023_AR.pdf</t>
        </is>
      </c>
      <c r="C3541" t="n">
        <v>2023</v>
      </c>
      <c r="D3541" t="inlineStr">
        <is>
          <t>ESG</t>
        </is>
      </c>
      <c r="E3541" t="inlineStr">
        <is>
          <t>ISPO Certifications</t>
        </is>
      </c>
      <c r="F3541" t="n">
        <v>3</v>
      </c>
      <c r="G3541" t="inlineStr">
        <is>
          <t>count</t>
        </is>
      </c>
      <c r="H3541" t="n">
        <v>47</v>
      </c>
      <c r="I3541" t="inlineStr">
        <is>
          <t>PT Prasetya Mitra Muda mendapatkan sertifikat ISPO (2023); NSP (2021); BSP (2022)</t>
        </is>
      </c>
      <c r="J3541" t="inlineStr">
        <is>
          <t>High</t>
        </is>
      </c>
      <c r="M3541" t="inlineStr">
        <is>
          <t>LLM</t>
        </is>
      </c>
      <c r="N3541" t="inlineStr">
        <is>
          <t>2026-04-19</t>
        </is>
      </c>
      <c r="O3541" t="inlineStr">
        <is>
          <t>AI</t>
        </is>
      </c>
    </row>
    <row r="3542">
      <c r="A3542" t="inlineStr">
        <is>
          <t>PT Nusantara Sawit Sejahtera Tbk</t>
        </is>
      </c>
      <c r="B3542" t="inlineStr">
        <is>
          <t>NSSS_2023_AR.pdf</t>
        </is>
      </c>
      <c r="C3542" t="n">
        <v>2023</v>
      </c>
      <c r="D3542" t="inlineStr">
        <is>
          <t>ESG</t>
        </is>
      </c>
      <c r="E3542" t="inlineStr">
        <is>
          <t>GHG Emissions</t>
        </is>
      </c>
      <c r="F3542" t="n">
        <v>44860</v>
      </c>
      <c r="G3542" t="inlineStr">
        <is>
          <t>tCO2e</t>
        </is>
      </c>
      <c r="H3542" t="n">
        <v>11</v>
      </c>
      <c r="I3542" t="inlineStr">
        <is>
          <t>Emisi Gas Rumah Kaca ton CO2eq 44.859,51</t>
        </is>
      </c>
      <c r="J3542" t="inlineStr">
        <is>
          <t>High</t>
        </is>
      </c>
      <c r="M3542" t="inlineStr">
        <is>
          <t>LLM</t>
        </is>
      </c>
      <c r="N3542" t="inlineStr">
        <is>
          <t>2026-04-19</t>
        </is>
      </c>
      <c r="O3542" t="inlineStr">
        <is>
          <t>AI</t>
        </is>
      </c>
    </row>
    <row r="3543">
      <c r="A3543" t="inlineStr">
        <is>
          <t>PT Nusantara Sawit Sejahtera Tbk</t>
        </is>
      </c>
      <c r="B3543" t="inlineStr">
        <is>
          <t>NSSS_2023_AR.pdf</t>
        </is>
      </c>
      <c r="C3543" t="n">
        <v>2023</v>
      </c>
      <c r="D3543" t="inlineStr">
        <is>
          <t>ESG</t>
        </is>
      </c>
      <c r="E3543" t="inlineStr">
        <is>
          <t>CSR Fund</t>
        </is>
      </c>
      <c r="F3543" t="n">
        <v>1960</v>
      </c>
      <c r="G3543" t="inlineStr">
        <is>
          <t>IDR mn</t>
        </is>
      </c>
      <c r="H3543" t="n">
        <v>11</v>
      </c>
      <c r="I3543" t="inlineStr">
        <is>
          <t>Dana TJSL Rp juta 1.960</t>
        </is>
      </c>
      <c r="J3543" t="inlineStr">
        <is>
          <t>High</t>
        </is>
      </c>
      <c r="M3543" t="inlineStr">
        <is>
          <t>LLM</t>
        </is>
      </c>
      <c r="N3543" t="inlineStr">
        <is>
          <t>2026-04-19</t>
        </is>
      </c>
      <c r="O3543" t="inlineStr">
        <is>
          <t>AI</t>
        </is>
      </c>
    </row>
    <row r="3544">
      <c r="A3544" t="inlineStr">
        <is>
          <t>PT Nusantara Sawit Sejahtera Tbk</t>
        </is>
      </c>
      <c r="B3544" t="inlineStr">
        <is>
          <t>NSSS_2024_AR.pdf</t>
        </is>
      </c>
      <c r="C3544" t="n">
        <v>2024</v>
      </c>
      <c r="D3544" t="inlineStr">
        <is>
          <t>Company</t>
        </is>
      </c>
      <c r="E3544" t="inlineStr">
        <is>
          <t>Company Name</t>
        </is>
      </c>
      <c r="F3544" t="inlineStr">
        <is>
          <t>PT Nusantara Sawit Sejahtera Tbk</t>
        </is>
      </c>
      <c r="G3544" t="inlineStr">
        <is>
          <t>text</t>
        </is>
      </c>
      <c r="H3544" t="n">
        <v>44</v>
      </c>
      <c r="I3544" t="inlineStr">
        <is>
          <t>Nama Perseroan PT Nusantara Sawit Sejahtera Tbk</t>
        </is>
      </c>
      <c r="J3544" t="inlineStr">
        <is>
          <t>High</t>
        </is>
      </c>
      <c r="M3544" t="inlineStr">
        <is>
          <t>LLM</t>
        </is>
      </c>
      <c r="N3544" t="inlineStr">
        <is>
          <t>2026-04-19</t>
        </is>
      </c>
      <c r="O3544" t="inlineStr">
        <is>
          <t>AI</t>
        </is>
      </c>
    </row>
    <row r="3545">
      <c r="A3545" t="inlineStr">
        <is>
          <t>PT Nusantara Sawit Sejahtera Tbk</t>
        </is>
      </c>
      <c r="B3545" t="inlineStr">
        <is>
          <t>NSSS_2024_AR.pdf</t>
        </is>
      </c>
      <c r="C3545" t="n">
        <v>2024</v>
      </c>
      <c r="D3545" t="inlineStr">
        <is>
          <t>Company</t>
        </is>
      </c>
      <c r="E3545" t="inlineStr">
        <is>
          <t>Ticker</t>
        </is>
      </c>
      <c r="F3545" t="inlineStr">
        <is>
          <t>NSSS</t>
        </is>
      </c>
      <c r="G3545" t="inlineStr">
        <is>
          <t>text</t>
        </is>
      </c>
      <c r="H3545" t="n">
        <v>44</v>
      </c>
      <c r="I3545" t="inlineStr">
        <is>
          <t>Kode Saham NSSS</t>
        </is>
      </c>
      <c r="J3545" t="inlineStr">
        <is>
          <t>High</t>
        </is>
      </c>
      <c r="M3545" t="inlineStr">
        <is>
          <t>LLM</t>
        </is>
      </c>
      <c r="N3545" t="inlineStr">
        <is>
          <t>2026-04-19</t>
        </is>
      </c>
      <c r="O3545" t="inlineStr">
        <is>
          <t>AI</t>
        </is>
      </c>
    </row>
    <row r="3546">
      <c r="A3546" t="inlineStr">
        <is>
          <t>PT Nusantara Sawit Sejahtera Tbk</t>
        </is>
      </c>
      <c r="B3546" t="inlineStr">
        <is>
          <t>NSSS_2024_AR.pdf</t>
        </is>
      </c>
      <c r="C3546" t="n">
        <v>2024</v>
      </c>
      <c r="D3546" t="inlineStr">
        <is>
          <t>Company</t>
        </is>
      </c>
      <c r="E3546" t="inlineStr">
        <is>
          <t>Date of Establishment</t>
        </is>
      </c>
      <c r="F3546" t="inlineStr">
        <is>
          <t>1 April 2009</t>
        </is>
      </c>
      <c r="G3546" t="inlineStr">
        <is>
          <t>date</t>
        </is>
      </c>
      <c r="H3546" t="n">
        <v>44</v>
      </c>
      <c r="I3546" t="inlineStr">
        <is>
          <t>Tanggal Pendirian 1 April 2009</t>
        </is>
      </c>
      <c r="J3546" t="inlineStr">
        <is>
          <t>High</t>
        </is>
      </c>
      <c r="M3546" t="inlineStr">
        <is>
          <t>LLM</t>
        </is>
      </c>
      <c r="N3546" t="inlineStr">
        <is>
          <t>2026-04-19</t>
        </is>
      </c>
      <c r="O3546" t="inlineStr">
        <is>
          <t>AI</t>
        </is>
      </c>
    </row>
    <row r="3547">
      <c r="A3547" t="inlineStr">
        <is>
          <t>PT Nusantara Sawit Sejahtera Tbk</t>
        </is>
      </c>
      <c r="B3547" t="inlineStr">
        <is>
          <t>NSSS_2024_AR.pdf</t>
        </is>
      </c>
      <c r="C3547" t="n">
        <v>2024</v>
      </c>
      <c r="D3547" t="inlineStr">
        <is>
          <t>Company</t>
        </is>
      </c>
      <c r="E3547" t="inlineStr">
        <is>
          <t>IPO Date</t>
        </is>
      </c>
      <c r="F3547" t="inlineStr">
        <is>
          <t>10 March 2023</t>
        </is>
      </c>
      <c r="G3547" t="inlineStr">
        <is>
          <t>date</t>
        </is>
      </c>
      <c r="H3547" t="n">
        <v>45</v>
      </c>
      <c r="I3547" t="inlineStr">
        <is>
          <t>Pada 10 Maret 2023, Perseroan resmi melangsungkan Penawaran Saham Perdana dengan memperdagangkan 3.568.235.300 lembar saham dengan harga penawaran sebesar Rp127</t>
        </is>
      </c>
      <c r="J3547" t="inlineStr">
        <is>
          <t>High</t>
        </is>
      </c>
      <c r="M3547" t="inlineStr">
        <is>
          <t>LLM</t>
        </is>
      </c>
      <c r="N3547" t="inlineStr">
        <is>
          <t>2026-04-19</t>
        </is>
      </c>
      <c r="O3547" t="inlineStr">
        <is>
          <t>AI</t>
        </is>
      </c>
    </row>
    <row r="3548">
      <c r="A3548" t="inlineStr">
        <is>
          <t>PT Nusantara Sawit Sejahtera Tbk</t>
        </is>
      </c>
      <c r="B3548" t="inlineStr">
        <is>
          <t>NSSS_2024_AR.pdf</t>
        </is>
      </c>
      <c r="C3548" t="n">
        <v>2024</v>
      </c>
      <c r="D3548" t="inlineStr">
        <is>
          <t>Company</t>
        </is>
      </c>
      <c r="E3548" t="inlineStr">
        <is>
          <t>HQ Address</t>
        </is>
      </c>
      <c r="F3548" t="inlineStr">
        <is>
          <t>Menara Imperium Lt.20, Jl. H.R. Rasuna Said Kav.1, Jakarta Selatan 12980</t>
        </is>
      </c>
      <c r="G3548" t="inlineStr">
        <is>
          <t>text</t>
        </is>
      </c>
      <c r="H3548" t="n">
        <v>44</v>
      </c>
      <c r="I3548" t="inlineStr">
        <is>
          <t>Menara Imperium Lantai 20 Suite C, Jalan H.R. Rasuna Said Kav.1 ... Jakarta Selatan 12980</t>
        </is>
      </c>
      <c r="J3548" t="inlineStr">
        <is>
          <t>High</t>
        </is>
      </c>
      <c r="M3548" t="inlineStr">
        <is>
          <t>LLM</t>
        </is>
      </c>
      <c r="N3548" t="inlineStr">
        <is>
          <t>2026-04-19</t>
        </is>
      </c>
      <c r="O3548" t="inlineStr">
        <is>
          <t>AI</t>
        </is>
      </c>
    </row>
    <row r="3549">
      <c r="A3549" t="inlineStr">
        <is>
          <t>PT Nusantara Sawit Sejahtera Tbk</t>
        </is>
      </c>
      <c r="B3549" t="inlineStr">
        <is>
          <t>NSSS_2024_AR.pdf</t>
        </is>
      </c>
      <c r="C3549" t="n">
        <v>2024</v>
      </c>
      <c r="D3549" t="inlineStr">
        <is>
          <t>Company</t>
        </is>
      </c>
      <c r="E3549" t="inlineStr">
        <is>
          <t>Authorized Capital</t>
        </is>
      </c>
      <c r="F3549" t="n">
        <v>4000000</v>
      </c>
      <c r="G3549" t="inlineStr">
        <is>
          <t>IDR mn</t>
        </is>
      </c>
      <c r="H3549" t="n">
        <v>44</v>
      </c>
      <c r="I3549" t="inlineStr">
        <is>
          <t>Modal Dasar Rp4.000.000.000.000</t>
        </is>
      </c>
      <c r="J3549" t="inlineStr">
        <is>
          <t>High</t>
        </is>
      </c>
      <c r="M3549" t="inlineStr">
        <is>
          <t>LLM</t>
        </is>
      </c>
      <c r="N3549" t="inlineStr">
        <is>
          <t>2026-04-19</t>
        </is>
      </c>
      <c r="O3549" t="inlineStr">
        <is>
          <t>AI</t>
        </is>
      </c>
    </row>
    <row r="3550">
      <c r="A3550" t="inlineStr">
        <is>
          <t>PT Nusantara Sawit Sejahtera Tbk</t>
        </is>
      </c>
      <c r="B3550" t="inlineStr">
        <is>
          <t>NSSS_2024_AR.pdf</t>
        </is>
      </c>
      <c r="C3550" t="n">
        <v>2024</v>
      </c>
      <c r="D3550" t="inlineStr">
        <is>
          <t>Company</t>
        </is>
      </c>
      <c r="E3550" t="inlineStr">
        <is>
          <t>Paid-in Capital</t>
        </is>
      </c>
      <c r="F3550" t="n">
        <v>1190078</v>
      </c>
      <c r="G3550" t="inlineStr">
        <is>
          <t>IDR mn</t>
        </is>
      </c>
      <c r="H3550" t="n">
        <v>44</v>
      </c>
      <c r="I3550" t="inlineStr">
        <is>
          <t>Modal Ditempatkan dan Disetor Rp1.190.078.432.250</t>
        </is>
      </c>
      <c r="J3550" t="inlineStr">
        <is>
          <t>High</t>
        </is>
      </c>
      <c r="M3550" t="inlineStr">
        <is>
          <t>LLM</t>
        </is>
      </c>
      <c r="N3550" t="inlineStr">
        <is>
          <t>2026-04-19</t>
        </is>
      </c>
      <c r="O3550" t="inlineStr">
        <is>
          <t>AI</t>
        </is>
      </c>
    </row>
    <row r="3551">
      <c r="A3551" t="inlineStr">
        <is>
          <t>PT Nusantara Sawit Sejahtera Tbk</t>
        </is>
      </c>
      <c r="B3551" t="inlineStr">
        <is>
          <t>NSSS_2024_AR.pdf</t>
        </is>
      </c>
      <c r="C3551" t="n">
        <v>2024</v>
      </c>
      <c r="D3551" t="inlineStr">
        <is>
          <t>Company</t>
        </is>
      </c>
      <c r="E3551" t="inlineStr">
        <is>
          <t>Employees (Consolidated)</t>
        </is>
      </c>
      <c r="F3551" t="n">
        <v>180</v>
      </c>
      <c r="G3551" t="inlineStr">
        <is>
          <t>count</t>
        </is>
      </c>
      <c r="H3551" t="n">
        <v>69</v>
      </c>
      <c r="I3551" t="inlineStr">
        <is>
          <t>Secara konsolidasi, jumlah karyawan Perseroan selama tahun 2024 adalah 180 orang</t>
        </is>
      </c>
      <c r="J3551" t="inlineStr">
        <is>
          <t>High</t>
        </is>
      </c>
      <c r="M3551" t="inlineStr">
        <is>
          <t>LLM</t>
        </is>
      </c>
      <c r="N3551" t="inlineStr">
        <is>
          <t>2026-04-19</t>
        </is>
      </c>
      <c r="O3551" t="inlineStr">
        <is>
          <t>AI</t>
        </is>
      </c>
    </row>
    <row r="3552">
      <c r="A3552" t="inlineStr">
        <is>
          <t>PT Nusantara Sawit Sejahtera Tbk</t>
        </is>
      </c>
      <c r="B3552" t="inlineStr">
        <is>
          <t>NSSS_2024_AR.pdf</t>
        </is>
      </c>
      <c r="C3552" t="n">
        <v>2024</v>
      </c>
      <c r="D3552" t="inlineStr">
        <is>
          <t>Company</t>
        </is>
      </c>
      <c r="E3552" t="inlineStr">
        <is>
          <t>Shareholder - PT Samuel Tumbuh Bersama</t>
        </is>
      </c>
      <c r="F3552" t="n">
        <v>0.4358</v>
      </c>
      <c r="G3552" t="inlineStr">
        <is>
          <t>%</t>
        </is>
      </c>
      <c r="H3552" t="n">
        <v>63</v>
      </c>
      <c r="I3552" t="inlineStr">
        <is>
          <t>PT Samuel Tumbuh Bersama 10.371.888.100 43,58%</t>
        </is>
      </c>
      <c r="J3552" t="inlineStr">
        <is>
          <t>High</t>
        </is>
      </c>
      <c r="M3552" t="inlineStr">
        <is>
          <t>LLM</t>
        </is>
      </c>
      <c r="N3552" t="inlineStr">
        <is>
          <t>2026-04-19</t>
        </is>
      </c>
      <c r="O3552" t="inlineStr">
        <is>
          <t>AI</t>
        </is>
      </c>
    </row>
    <row r="3553">
      <c r="A3553" t="inlineStr">
        <is>
          <t>PT Nusantara Sawit Sejahtera Tbk</t>
        </is>
      </c>
      <c r="B3553" t="inlineStr">
        <is>
          <t>NSSS_2024_AR.pdf</t>
        </is>
      </c>
      <c r="C3553" t="n">
        <v>2024</v>
      </c>
      <c r="D3553" t="inlineStr">
        <is>
          <t>Company</t>
        </is>
      </c>
      <c r="E3553" t="inlineStr">
        <is>
          <t>Shareholder - Teguh Patriawan</t>
        </is>
      </c>
      <c r="F3553" t="n">
        <v>0.1029</v>
      </c>
      <c r="G3553" t="inlineStr">
        <is>
          <t>%</t>
        </is>
      </c>
      <c r="H3553" t="n">
        <v>63</v>
      </c>
      <c r="I3553" t="inlineStr">
        <is>
          <t>Ir. Teguh Patriawan 2.448.630.000 10,29%</t>
        </is>
      </c>
      <c r="J3553" t="inlineStr">
        <is>
          <t>High</t>
        </is>
      </c>
      <c r="M3553" t="inlineStr">
        <is>
          <t>LLM</t>
        </is>
      </c>
      <c r="N3553" t="inlineStr">
        <is>
          <t>2026-04-19</t>
        </is>
      </c>
      <c r="O3553" t="inlineStr">
        <is>
          <t>AI</t>
        </is>
      </c>
    </row>
    <row r="3554">
      <c r="A3554" t="inlineStr">
        <is>
          <t>PT Nusantara Sawit Sejahtera Tbk</t>
        </is>
      </c>
      <c r="B3554" t="inlineStr">
        <is>
          <t>NSSS_2024_AR.pdf</t>
        </is>
      </c>
      <c r="C3554" t="n">
        <v>2024</v>
      </c>
      <c r="D3554" t="inlineStr">
        <is>
          <t>Company</t>
        </is>
      </c>
      <c r="E3554" t="inlineStr">
        <is>
          <t>Shareholder - PT Nusantara Makmur Lestari</t>
        </is>
      </c>
      <c r="F3554" t="n">
        <v>0.09619999999999999</v>
      </c>
      <c r="G3554" t="inlineStr">
        <is>
          <t>%</t>
        </is>
      </c>
      <c r="H3554" t="n">
        <v>63</v>
      </c>
      <c r="I3554" t="inlineStr">
        <is>
          <t>PT Nusantara Makmur Lestari 2.290.666.000 9,62%</t>
        </is>
      </c>
      <c r="J3554" t="inlineStr">
        <is>
          <t>High</t>
        </is>
      </c>
      <c r="M3554" t="inlineStr">
        <is>
          <t>LLM</t>
        </is>
      </c>
      <c r="N3554" t="inlineStr">
        <is>
          <t>2026-04-19</t>
        </is>
      </c>
      <c r="O3554" t="inlineStr">
        <is>
          <t>AI</t>
        </is>
      </c>
    </row>
    <row r="3555">
      <c r="A3555" t="inlineStr">
        <is>
          <t>PT Nusantara Sawit Sejahtera Tbk</t>
        </is>
      </c>
      <c r="B3555" t="inlineStr">
        <is>
          <t>NSSS_2024_AR.pdf</t>
        </is>
      </c>
      <c r="C3555" t="n">
        <v>2024</v>
      </c>
      <c r="D3555" t="inlineStr">
        <is>
          <t>Company</t>
        </is>
      </c>
      <c r="E3555" t="inlineStr">
        <is>
          <t>Public Float</t>
        </is>
      </c>
      <c r="F3555" t="n">
        <v>0.3651</v>
      </c>
      <c r="G3555" t="inlineStr">
        <is>
          <t>%</t>
        </is>
      </c>
      <c r="H3555" t="n">
        <v>63</v>
      </c>
      <c r="I3555" t="inlineStr">
        <is>
          <t>Masyarakat 8.690.384.545 36,51%</t>
        </is>
      </c>
      <c r="J3555" t="inlineStr">
        <is>
          <t>High</t>
        </is>
      </c>
      <c r="M3555" t="inlineStr">
        <is>
          <t>LLM</t>
        </is>
      </c>
      <c r="N3555" t="inlineStr">
        <is>
          <t>2026-04-19</t>
        </is>
      </c>
      <c r="O3555" t="inlineStr">
        <is>
          <t>AI</t>
        </is>
      </c>
    </row>
    <row r="3556">
      <c r="A3556" t="inlineStr">
        <is>
          <t>PT Nusantara Sawit Sejahtera Tbk</t>
        </is>
      </c>
      <c r="B3556" t="inlineStr">
        <is>
          <t>NSSS_2024_AR.pdf</t>
        </is>
      </c>
      <c r="C3556" t="n">
        <v>2024</v>
      </c>
      <c r="D3556" t="inlineStr">
        <is>
          <t>Company</t>
        </is>
      </c>
      <c r="E3556" t="inlineStr">
        <is>
          <t>Ultimate Beneficial Owner</t>
        </is>
      </c>
      <c r="F3556" t="inlineStr">
        <is>
          <t>PT Samuel International</t>
        </is>
      </c>
      <c r="G3556" t="inlineStr">
        <is>
          <t>text</t>
        </is>
      </c>
      <c r="H3556" t="n">
        <v>65</v>
      </c>
      <c r="I3556" t="inlineStr">
        <is>
          <t>PT Samuel International selaku pemegang saham terbesar Perseroan melalui kepemilikan sahamnya di PT Samuel Tumbuh Bersama merupakan pemilik manfaat Perseroan</t>
        </is>
      </c>
      <c r="J3556" t="inlineStr">
        <is>
          <t>High</t>
        </is>
      </c>
      <c r="M3556" t="inlineStr">
        <is>
          <t>LLM</t>
        </is>
      </c>
      <c r="N3556" t="inlineStr">
        <is>
          <t>2026-04-19</t>
        </is>
      </c>
      <c r="O3556" t="inlineStr">
        <is>
          <t>AI</t>
        </is>
      </c>
    </row>
    <row r="3557">
      <c r="A3557" t="inlineStr">
        <is>
          <t>PT Nusantara Sawit Sejahtera Tbk</t>
        </is>
      </c>
      <c r="B3557" t="inlineStr">
        <is>
          <t>NSSS_2024_AR.pdf</t>
        </is>
      </c>
      <c r="C3557" t="n">
        <v>2024</v>
      </c>
      <c r="D3557" t="inlineStr">
        <is>
          <t>Company</t>
        </is>
      </c>
      <c r="E3557" t="inlineStr">
        <is>
          <t>External Auditor Fee</t>
        </is>
      </c>
      <c r="F3557" t="n">
        <v>920</v>
      </c>
      <c r="G3557" t="inlineStr">
        <is>
          <t>IDR mn</t>
        </is>
      </c>
      <c r="H3557" t="n">
        <v>68</v>
      </c>
      <c r="I3557" t="inlineStr">
        <is>
          <t>Biaya jasa KAP untuk audit Laporan Keuangan Tahunan Konsolidasian Perseroan tahun buku 2024 adalah sebesar Rp920 juta</t>
        </is>
      </c>
      <c r="J3557" t="inlineStr">
        <is>
          <t>High</t>
        </is>
      </c>
      <c r="M3557" t="inlineStr">
        <is>
          <t>LLM</t>
        </is>
      </c>
      <c r="N3557" t="inlineStr">
        <is>
          <t>2026-04-19</t>
        </is>
      </c>
      <c r="O3557" t="inlineStr">
        <is>
          <t>AI</t>
        </is>
      </c>
    </row>
    <row r="3558">
      <c r="A3558" t="inlineStr">
        <is>
          <t>PT Nusantara Sawit Sejahtera Tbk</t>
        </is>
      </c>
      <c r="B3558" t="inlineStr">
        <is>
          <t>NSSS_2024_AR.pdf</t>
        </is>
      </c>
      <c r="C3558" t="n">
        <v>2024</v>
      </c>
      <c r="D3558" t="inlineStr">
        <is>
          <t>Company</t>
        </is>
      </c>
      <c r="E3558" t="inlineStr">
        <is>
          <t>External Auditor</t>
        </is>
      </c>
      <c r="F3558" t="inlineStr">
        <is>
          <t>KAP Purwantono, Sungkoro &amp; Surja (EY)</t>
        </is>
      </c>
      <c r="G3558" t="inlineStr">
        <is>
          <t>text</t>
        </is>
      </c>
      <c r="H3558" t="n">
        <v>68</v>
      </c>
      <c r="I3558" t="inlineStr">
        <is>
          <t>KAP Purwantono, Sungkoro &amp; Surja (anggota firma Ernst &amp; Young Global Limited)</t>
        </is>
      </c>
      <c r="J3558" t="inlineStr">
        <is>
          <t>High</t>
        </is>
      </c>
      <c r="M3558" t="inlineStr">
        <is>
          <t>LLM</t>
        </is>
      </c>
      <c r="N3558" t="inlineStr">
        <is>
          <t>2026-04-19</t>
        </is>
      </c>
      <c r="O3558" t="inlineStr">
        <is>
          <t>AI</t>
        </is>
      </c>
    </row>
    <row r="3559">
      <c r="A3559" t="inlineStr">
        <is>
          <t>PT Nusantara Sawit Sejahtera Tbk</t>
        </is>
      </c>
      <c r="B3559" t="inlineStr">
        <is>
          <t>NSSS_2024_AR.pdf</t>
        </is>
      </c>
      <c r="C3559" t="n">
        <v>2024</v>
      </c>
      <c r="D3559" t="inlineStr">
        <is>
          <t>Financial</t>
        </is>
      </c>
      <c r="E3559" t="inlineStr">
        <is>
          <t>Revenue (Sales)</t>
        </is>
      </c>
      <c r="F3559" t="n">
        <v>1490</v>
      </c>
      <c r="G3559" t="inlineStr">
        <is>
          <t>IDR bn</t>
        </is>
      </c>
      <c r="H3559" t="n">
        <v>12</v>
      </c>
      <c r="I3559" t="inlineStr">
        <is>
          <t>Penjualan 1.489.899 1.184.581 1.134.095 (juta Rp)</t>
        </is>
      </c>
      <c r="J3559" t="inlineStr">
        <is>
          <t>High</t>
        </is>
      </c>
      <c r="M3559" t="inlineStr">
        <is>
          <t>LLM</t>
        </is>
      </c>
      <c r="N3559" t="inlineStr">
        <is>
          <t>2026-04-19</t>
        </is>
      </c>
      <c r="O3559" t="inlineStr">
        <is>
          <t>AI</t>
        </is>
      </c>
    </row>
    <row r="3560">
      <c r="A3560" t="inlineStr">
        <is>
          <t>PT Nusantara Sawit Sejahtera Tbk</t>
        </is>
      </c>
      <c r="B3560" t="inlineStr">
        <is>
          <t>NSSS_2024_AR.pdf</t>
        </is>
      </c>
      <c r="C3560" t="n">
        <v>2024</v>
      </c>
      <c r="D3560" t="inlineStr">
        <is>
          <t>Financial</t>
        </is>
      </c>
      <c r="E3560" t="inlineStr">
        <is>
          <t>Cost of Goods Sold</t>
        </is>
      </c>
      <c r="F3560" t="n">
        <v>905</v>
      </c>
      <c r="G3560" t="inlineStr">
        <is>
          <t>IDR bn</t>
        </is>
      </c>
      <c r="H3560" t="n">
        <v>12</v>
      </c>
      <c r="I3560" t="inlineStr">
        <is>
          <t>Beban Pokok Penjualan (905.089) (881.776)</t>
        </is>
      </c>
      <c r="J3560" t="inlineStr">
        <is>
          <t>High</t>
        </is>
      </c>
      <c r="M3560" t="inlineStr">
        <is>
          <t>LLM</t>
        </is>
      </c>
      <c r="N3560" t="inlineStr">
        <is>
          <t>2026-04-19</t>
        </is>
      </c>
      <c r="O3560" t="inlineStr">
        <is>
          <t>AI</t>
        </is>
      </c>
    </row>
    <row r="3561">
      <c r="A3561" t="inlineStr">
        <is>
          <t>PT Nusantara Sawit Sejahtera Tbk</t>
        </is>
      </c>
      <c r="B3561" t="inlineStr">
        <is>
          <t>NSSS_2024_AR.pdf</t>
        </is>
      </c>
      <c r="C3561" t="n">
        <v>2024</v>
      </c>
      <c r="D3561" t="inlineStr">
        <is>
          <t>Financial</t>
        </is>
      </c>
      <c r="E3561" t="inlineStr">
        <is>
          <t>Gross Profit</t>
        </is>
      </c>
      <c r="F3561" t="n">
        <v>585</v>
      </c>
      <c r="G3561" t="inlineStr">
        <is>
          <t>IDR bn</t>
        </is>
      </c>
      <c r="H3561" t="n">
        <v>12</v>
      </c>
      <c r="I3561" t="inlineStr">
        <is>
          <t>Laba Bruto 584.810 302.805 405.703</t>
        </is>
      </c>
      <c r="J3561" t="inlineStr">
        <is>
          <t>High</t>
        </is>
      </c>
      <c r="M3561" t="inlineStr">
        <is>
          <t>LLM</t>
        </is>
      </c>
      <c r="N3561" t="inlineStr">
        <is>
          <t>2026-04-19</t>
        </is>
      </c>
      <c r="O3561" t="inlineStr">
        <is>
          <t>AI</t>
        </is>
      </c>
    </row>
    <row r="3562">
      <c r="A3562" t="inlineStr">
        <is>
          <t>PT Nusantara Sawit Sejahtera Tbk</t>
        </is>
      </c>
      <c r="B3562" t="inlineStr">
        <is>
          <t>NSSS_2024_AR.pdf</t>
        </is>
      </c>
      <c r="C3562" t="n">
        <v>2024</v>
      </c>
      <c r="D3562" t="inlineStr">
        <is>
          <t>Financial</t>
        </is>
      </c>
      <c r="E3562" t="inlineStr">
        <is>
          <t>Net Profit</t>
        </is>
      </c>
      <c r="F3562" t="n">
        <v>305</v>
      </c>
      <c r="G3562" t="inlineStr">
        <is>
          <t>IDR bn</t>
        </is>
      </c>
      <c r="H3562" t="n">
        <v>12</v>
      </c>
      <c r="I3562" t="inlineStr">
        <is>
          <t>Laba Bersih Tahun Berjalan 304.628 2.093 70.236</t>
        </is>
      </c>
      <c r="J3562" t="inlineStr">
        <is>
          <t>High</t>
        </is>
      </c>
      <c r="M3562" t="inlineStr">
        <is>
          <t>LLM</t>
        </is>
      </c>
      <c r="N3562" t="inlineStr">
        <is>
          <t>2026-04-19</t>
        </is>
      </c>
      <c r="O3562" t="inlineStr">
        <is>
          <t>AI</t>
        </is>
      </c>
    </row>
    <row r="3563">
      <c r="A3563" t="inlineStr">
        <is>
          <t>PT Nusantara Sawit Sejahtera Tbk</t>
        </is>
      </c>
      <c r="B3563" t="inlineStr">
        <is>
          <t>NSSS_2024_AR.pdf</t>
        </is>
      </c>
      <c r="C3563" t="n">
        <v>2024</v>
      </c>
      <c r="D3563" t="inlineStr">
        <is>
          <t>Financial</t>
        </is>
      </c>
      <c r="E3563" t="inlineStr">
        <is>
          <t>Profit to Parent</t>
        </is>
      </c>
      <c r="F3563" t="n">
        <v>305</v>
      </c>
      <c r="G3563" t="inlineStr">
        <is>
          <t>IDR bn</t>
        </is>
      </c>
      <c r="H3563" t="n">
        <v>12</v>
      </c>
      <c r="I3563" t="inlineStr">
        <is>
          <t>Pemilik Entitas Induk 304.624</t>
        </is>
      </c>
      <c r="J3563" t="inlineStr">
        <is>
          <t>High</t>
        </is>
      </c>
      <c r="M3563" t="inlineStr">
        <is>
          <t>LLM</t>
        </is>
      </c>
      <c r="N3563" t="inlineStr">
        <is>
          <t>2026-04-19</t>
        </is>
      </c>
      <c r="O3563" t="inlineStr">
        <is>
          <t>AI</t>
        </is>
      </c>
    </row>
    <row r="3564">
      <c r="A3564" t="inlineStr">
        <is>
          <t>PT Nusantara Sawit Sejahtera Tbk</t>
        </is>
      </c>
      <c r="B3564" t="inlineStr">
        <is>
          <t>NSSS_2024_AR.pdf</t>
        </is>
      </c>
      <c r="C3564" t="n">
        <v>2024</v>
      </c>
      <c r="D3564" t="inlineStr">
        <is>
          <t>Financial</t>
        </is>
      </c>
      <c r="E3564" t="inlineStr">
        <is>
          <t>Total Assets</t>
        </is>
      </c>
      <c r="F3564" t="n">
        <v>3728</v>
      </c>
      <c r="G3564" t="inlineStr">
        <is>
          <t>IDR bn</t>
        </is>
      </c>
      <c r="H3564" t="n">
        <v>12</v>
      </c>
      <c r="I3564" t="inlineStr">
        <is>
          <t>Jumlah Aset 3.727.745</t>
        </is>
      </c>
      <c r="J3564" t="inlineStr">
        <is>
          <t>High</t>
        </is>
      </c>
      <c r="M3564" t="inlineStr">
        <is>
          <t>LLM</t>
        </is>
      </c>
      <c r="N3564" t="inlineStr">
        <is>
          <t>2026-04-19</t>
        </is>
      </c>
      <c r="O3564" t="inlineStr">
        <is>
          <t>AI</t>
        </is>
      </c>
    </row>
    <row r="3565">
      <c r="A3565" t="inlineStr">
        <is>
          <t>PT Nusantara Sawit Sejahtera Tbk</t>
        </is>
      </c>
      <c r="B3565" t="inlineStr">
        <is>
          <t>NSSS_2024_AR.pdf</t>
        </is>
      </c>
      <c r="C3565" t="n">
        <v>2024</v>
      </c>
      <c r="D3565" t="inlineStr">
        <is>
          <t>Financial</t>
        </is>
      </c>
      <c r="E3565" t="inlineStr">
        <is>
          <t>Current Assets</t>
        </is>
      </c>
      <c r="F3565" t="n">
        <v>720</v>
      </c>
      <c r="G3565" t="inlineStr">
        <is>
          <t>IDR bn</t>
        </is>
      </c>
      <c r="H3565" t="n">
        <v>12</v>
      </c>
      <c r="I3565" t="inlineStr">
        <is>
          <t>Aset Lancar 719.581</t>
        </is>
      </c>
      <c r="J3565" t="inlineStr">
        <is>
          <t>High</t>
        </is>
      </c>
      <c r="M3565" t="inlineStr">
        <is>
          <t>LLM</t>
        </is>
      </c>
      <c r="N3565" t="inlineStr">
        <is>
          <t>2026-04-19</t>
        </is>
      </c>
      <c r="O3565" t="inlineStr">
        <is>
          <t>AI</t>
        </is>
      </c>
    </row>
    <row r="3566">
      <c r="A3566" t="inlineStr">
        <is>
          <t>PT Nusantara Sawit Sejahtera Tbk</t>
        </is>
      </c>
      <c r="B3566" t="inlineStr">
        <is>
          <t>NSSS_2024_AR.pdf</t>
        </is>
      </c>
      <c r="C3566" t="n">
        <v>2024</v>
      </c>
      <c r="D3566" t="inlineStr">
        <is>
          <t>Financial</t>
        </is>
      </c>
      <c r="E3566" t="inlineStr">
        <is>
          <t>Non-Current Assets</t>
        </is>
      </c>
      <c r="F3566" t="n">
        <v>3008</v>
      </c>
      <c r="G3566" t="inlineStr">
        <is>
          <t>IDR bn</t>
        </is>
      </c>
      <c r="H3566" t="n">
        <v>12</v>
      </c>
      <c r="I3566" t="inlineStr">
        <is>
          <t>Aset Tidak Lancar 3.008.164</t>
        </is>
      </c>
      <c r="J3566" t="inlineStr">
        <is>
          <t>High</t>
        </is>
      </c>
      <c r="M3566" t="inlineStr">
        <is>
          <t>LLM</t>
        </is>
      </c>
      <c r="N3566" t="inlineStr">
        <is>
          <t>2026-04-19</t>
        </is>
      </c>
      <c r="O3566" t="inlineStr">
        <is>
          <t>AI</t>
        </is>
      </c>
    </row>
    <row r="3567">
      <c r="A3567" t="inlineStr">
        <is>
          <t>PT Nusantara Sawit Sejahtera Tbk</t>
        </is>
      </c>
      <c r="B3567" t="inlineStr">
        <is>
          <t>NSSS_2024_AR.pdf</t>
        </is>
      </c>
      <c r="C3567" t="n">
        <v>2024</v>
      </c>
      <c r="D3567" t="inlineStr">
        <is>
          <t>Financial</t>
        </is>
      </c>
      <c r="E3567" t="inlineStr">
        <is>
          <t>Total Liabilities</t>
        </is>
      </c>
      <c r="F3567" t="n">
        <v>2363</v>
      </c>
      <c r="G3567" t="inlineStr">
        <is>
          <t>IDR bn</t>
        </is>
      </c>
      <c r="H3567" t="n">
        <v>12</v>
      </c>
      <c r="I3567" t="inlineStr">
        <is>
          <t>Jumlah Liabilitas 2.362.686</t>
        </is>
      </c>
      <c r="J3567" t="inlineStr">
        <is>
          <t>High</t>
        </is>
      </c>
      <c r="M3567" t="inlineStr">
        <is>
          <t>LLM</t>
        </is>
      </c>
      <c r="N3567" t="inlineStr">
        <is>
          <t>2026-04-19</t>
        </is>
      </c>
      <c r="O3567" t="inlineStr">
        <is>
          <t>AI</t>
        </is>
      </c>
    </row>
    <row r="3568">
      <c r="A3568" t="inlineStr">
        <is>
          <t>PT Nusantara Sawit Sejahtera Tbk</t>
        </is>
      </c>
      <c r="B3568" t="inlineStr">
        <is>
          <t>NSSS_2024_AR.pdf</t>
        </is>
      </c>
      <c r="C3568" t="n">
        <v>2024</v>
      </c>
      <c r="D3568" t="inlineStr">
        <is>
          <t>Financial</t>
        </is>
      </c>
      <c r="E3568" t="inlineStr">
        <is>
          <t>Current Liabilities</t>
        </is>
      </c>
      <c r="F3568" t="n">
        <v>627</v>
      </c>
      <c r="G3568" t="inlineStr">
        <is>
          <t>IDR bn</t>
        </is>
      </c>
      <c r="H3568" t="n">
        <v>12</v>
      </c>
      <c r="I3568" t="inlineStr">
        <is>
          <t>Liabilitas Jangka Pendek 627.231</t>
        </is>
      </c>
      <c r="J3568" t="inlineStr">
        <is>
          <t>High</t>
        </is>
      </c>
      <c r="M3568" t="inlineStr">
        <is>
          <t>LLM</t>
        </is>
      </c>
      <c r="N3568" t="inlineStr">
        <is>
          <t>2026-04-19</t>
        </is>
      </c>
      <c r="O3568" t="inlineStr">
        <is>
          <t>AI</t>
        </is>
      </c>
    </row>
    <row r="3569">
      <c r="A3569" t="inlineStr">
        <is>
          <t>PT Nusantara Sawit Sejahtera Tbk</t>
        </is>
      </c>
      <c r="B3569" t="inlineStr">
        <is>
          <t>NSSS_2024_AR.pdf</t>
        </is>
      </c>
      <c r="C3569" t="n">
        <v>2024</v>
      </c>
      <c r="D3569" t="inlineStr">
        <is>
          <t>Financial</t>
        </is>
      </c>
      <c r="E3569" t="inlineStr">
        <is>
          <t>Long-term Liabilities</t>
        </is>
      </c>
      <c r="F3569" t="n">
        <v>1735</v>
      </c>
      <c r="G3569" t="inlineStr">
        <is>
          <t>IDR bn</t>
        </is>
      </c>
      <c r="H3569" t="n">
        <v>12</v>
      </c>
      <c r="I3569" t="inlineStr">
        <is>
          <t>Liabilitas Jangka Panjang 1.735.455</t>
        </is>
      </c>
      <c r="J3569" t="inlineStr">
        <is>
          <t>High</t>
        </is>
      </c>
      <c r="M3569" t="inlineStr">
        <is>
          <t>LLM</t>
        </is>
      </c>
      <c r="N3569" t="inlineStr">
        <is>
          <t>2026-04-19</t>
        </is>
      </c>
      <c r="O3569" t="inlineStr">
        <is>
          <t>AI</t>
        </is>
      </c>
    </row>
    <row r="3570">
      <c r="A3570" t="inlineStr">
        <is>
          <t>PT Nusantara Sawit Sejahtera Tbk</t>
        </is>
      </c>
      <c r="B3570" t="inlineStr">
        <is>
          <t>NSSS_2024_AR.pdf</t>
        </is>
      </c>
      <c r="C3570" t="n">
        <v>2024</v>
      </c>
      <c r="D3570" t="inlineStr">
        <is>
          <t>Financial</t>
        </is>
      </c>
      <c r="E3570" t="inlineStr">
        <is>
          <t>Total Equity</t>
        </is>
      </c>
      <c r="F3570" t="n">
        <v>1365</v>
      </c>
      <c r="G3570" t="inlineStr">
        <is>
          <t>IDR bn</t>
        </is>
      </c>
      <c r="H3570" t="n">
        <v>12</v>
      </c>
      <c r="I3570" t="inlineStr">
        <is>
          <t>Jumlah Ekuitas 1.365.059</t>
        </is>
      </c>
      <c r="J3570" t="inlineStr">
        <is>
          <t>High</t>
        </is>
      </c>
      <c r="M3570" t="inlineStr">
        <is>
          <t>LLM</t>
        </is>
      </c>
      <c r="N3570" t="inlineStr">
        <is>
          <t>2026-04-19</t>
        </is>
      </c>
      <c r="O3570" t="inlineStr">
        <is>
          <t>AI</t>
        </is>
      </c>
    </row>
    <row r="3571">
      <c r="A3571" t="inlineStr">
        <is>
          <t>PT Nusantara Sawit Sejahtera Tbk</t>
        </is>
      </c>
      <c r="B3571" t="inlineStr">
        <is>
          <t>NSSS_2024_AR.pdf</t>
        </is>
      </c>
      <c r="C3571" t="n">
        <v>2024</v>
      </c>
      <c r="D3571" t="inlineStr">
        <is>
          <t>Financial</t>
        </is>
      </c>
      <c r="E3571" t="inlineStr">
        <is>
          <t>Cash End of Year</t>
        </is>
      </c>
      <c r="F3571" t="n">
        <v>386</v>
      </c>
      <c r="G3571" t="inlineStr">
        <is>
          <t>IDR bn</t>
        </is>
      </c>
      <c r="H3571" t="n">
        <v>80</v>
      </c>
      <c r="I3571" t="inlineStr">
        <is>
          <t>Kas dan Bank pada Akhir Tahun 386.397</t>
        </is>
      </c>
      <c r="J3571" t="inlineStr">
        <is>
          <t>High</t>
        </is>
      </c>
      <c r="M3571" t="inlineStr">
        <is>
          <t>LLM</t>
        </is>
      </c>
      <c r="N3571" t="inlineStr">
        <is>
          <t>2026-04-19</t>
        </is>
      </c>
      <c r="O3571" t="inlineStr">
        <is>
          <t>AI</t>
        </is>
      </c>
    </row>
    <row r="3572">
      <c r="A3572" t="inlineStr">
        <is>
          <t>PT Nusantara Sawit Sejahtera Tbk</t>
        </is>
      </c>
      <c r="B3572" t="inlineStr">
        <is>
          <t>NSSS_2024_AR.pdf</t>
        </is>
      </c>
      <c r="C3572" t="n">
        <v>2024</v>
      </c>
      <c r="D3572" t="inlineStr">
        <is>
          <t>Financial</t>
        </is>
      </c>
      <c r="E3572" t="inlineStr">
        <is>
          <t>CFO</t>
        </is>
      </c>
      <c r="F3572" t="n">
        <v>438</v>
      </c>
      <c r="G3572" t="inlineStr">
        <is>
          <t>IDR bn</t>
        </is>
      </c>
      <c r="H3572" t="n">
        <v>80</v>
      </c>
      <c r="I3572" t="inlineStr">
        <is>
          <t>Arus Kas Diperoleh dari Aktivitas Operasi 438.101</t>
        </is>
      </c>
      <c r="J3572" t="inlineStr">
        <is>
          <t>High</t>
        </is>
      </c>
      <c r="M3572" t="inlineStr">
        <is>
          <t>LLM</t>
        </is>
      </c>
      <c r="N3572" t="inlineStr">
        <is>
          <t>2026-04-19</t>
        </is>
      </c>
      <c r="O3572" t="inlineStr">
        <is>
          <t>AI</t>
        </is>
      </c>
    </row>
    <row r="3573">
      <c r="A3573" t="inlineStr">
        <is>
          <t>PT Nusantara Sawit Sejahtera Tbk</t>
        </is>
      </c>
      <c r="B3573" t="inlineStr">
        <is>
          <t>NSSS_2024_AR.pdf</t>
        </is>
      </c>
      <c r="C3573" t="n">
        <v>2024</v>
      </c>
      <c r="D3573" t="inlineStr">
        <is>
          <t>Financial</t>
        </is>
      </c>
      <c r="E3573" t="inlineStr">
        <is>
          <t>CFI</t>
        </is>
      </c>
      <c r="F3573" t="n">
        <v>-175</v>
      </c>
      <c r="G3573" t="inlineStr">
        <is>
          <t>IDR bn</t>
        </is>
      </c>
      <c r="H3573" t="n">
        <v>80</v>
      </c>
      <c r="I3573" t="inlineStr">
        <is>
          <t>Arus Kas Digunakan untuk Aktivitas Investasi (174.773)</t>
        </is>
      </c>
      <c r="J3573" t="inlineStr">
        <is>
          <t>High</t>
        </is>
      </c>
      <c r="M3573" t="inlineStr">
        <is>
          <t>LLM</t>
        </is>
      </c>
      <c r="N3573" t="inlineStr">
        <is>
          <t>2026-04-19</t>
        </is>
      </c>
      <c r="O3573" t="inlineStr">
        <is>
          <t>AI</t>
        </is>
      </c>
    </row>
    <row r="3574">
      <c r="A3574" t="inlineStr">
        <is>
          <t>PT Nusantara Sawit Sejahtera Tbk</t>
        </is>
      </c>
      <c r="B3574" t="inlineStr">
        <is>
          <t>NSSS_2024_AR.pdf</t>
        </is>
      </c>
      <c r="C3574" t="n">
        <v>2024</v>
      </c>
      <c r="D3574" t="inlineStr">
        <is>
          <t>Financial</t>
        </is>
      </c>
      <c r="E3574" t="inlineStr">
        <is>
          <t>CFF</t>
        </is>
      </c>
      <c r="F3574" t="n">
        <v>-120</v>
      </c>
      <c r="G3574" t="inlineStr">
        <is>
          <t>IDR bn</t>
        </is>
      </c>
      <c r="H3574" t="n">
        <v>80</v>
      </c>
      <c r="I3574" t="inlineStr">
        <is>
          <t>Arus Kas Digunakan untuk Aktivitas Pendanaan (119.829)</t>
        </is>
      </c>
      <c r="J3574" t="inlineStr">
        <is>
          <t>High</t>
        </is>
      </c>
      <c r="M3574" t="inlineStr">
        <is>
          <t>LLM</t>
        </is>
      </c>
      <c r="N3574" t="inlineStr">
        <is>
          <t>2026-04-19</t>
        </is>
      </c>
      <c r="O3574" t="inlineStr">
        <is>
          <t>AI</t>
        </is>
      </c>
    </row>
    <row r="3575">
      <c r="A3575" t="inlineStr">
        <is>
          <t>PT Nusantara Sawit Sejahtera Tbk</t>
        </is>
      </c>
      <c r="B3575" t="inlineStr">
        <is>
          <t>NSSS_2024_AR.pdf</t>
        </is>
      </c>
      <c r="C3575" t="n">
        <v>2024</v>
      </c>
      <c r="D3575" t="inlineStr">
        <is>
          <t>Financial</t>
        </is>
      </c>
      <c r="E3575" t="inlineStr">
        <is>
          <t>Capex Realized</t>
        </is>
      </c>
      <c r="F3575" t="n">
        <v>75</v>
      </c>
      <c r="G3575" t="inlineStr">
        <is>
          <t>IDR bn</t>
        </is>
      </c>
      <c r="H3575" t="n">
        <v>86</v>
      </c>
      <c r="I3575" t="inlineStr">
        <is>
          <t>Pada tahun 2024, Perseroan telah merealisasikan investasi barang modal sebesar Rp74.780 miliar</t>
        </is>
      </c>
      <c r="J3575" t="inlineStr">
        <is>
          <t>High</t>
        </is>
      </c>
      <c r="M3575" t="inlineStr">
        <is>
          <t>LLM</t>
        </is>
      </c>
      <c r="N3575" t="inlineStr">
        <is>
          <t>2026-04-19</t>
        </is>
      </c>
      <c r="O3575" t="inlineStr">
        <is>
          <t>AI</t>
        </is>
      </c>
    </row>
    <row r="3576">
      <c r="A3576" t="inlineStr">
        <is>
          <t>PT Nusantara Sawit Sejahtera Tbk</t>
        </is>
      </c>
      <c r="B3576" t="inlineStr">
        <is>
          <t>NSSS_2024_AR.pdf</t>
        </is>
      </c>
      <c r="C3576" t="n">
        <v>2024</v>
      </c>
      <c r="D3576" t="inlineStr">
        <is>
          <t>Financial</t>
        </is>
      </c>
      <c r="E3576" t="inlineStr">
        <is>
          <t>EPS (basic)</t>
        </is>
      </c>
      <c r="F3576" t="n">
        <v>12.8</v>
      </c>
      <c r="G3576" t="inlineStr">
        <is>
          <t>Rp/share</t>
        </is>
      </c>
      <c r="H3576" t="n">
        <v>12</v>
      </c>
      <c r="I3576" t="inlineStr">
        <is>
          <t>Laba per Saham Dasar (Rp penuh) 12,80</t>
        </is>
      </c>
      <c r="J3576" t="inlineStr">
        <is>
          <t>High</t>
        </is>
      </c>
      <c r="M3576" t="inlineStr">
        <is>
          <t>LLM</t>
        </is>
      </c>
      <c r="N3576" t="inlineStr">
        <is>
          <t>2026-04-19</t>
        </is>
      </c>
      <c r="O3576" t="inlineStr">
        <is>
          <t>AI</t>
        </is>
      </c>
    </row>
    <row r="3577">
      <c r="A3577" t="inlineStr">
        <is>
          <t>PT Nusantara Sawit Sejahtera Tbk</t>
        </is>
      </c>
      <c r="B3577" t="inlineStr">
        <is>
          <t>NSSS_2024_AR.pdf</t>
        </is>
      </c>
      <c r="C3577" t="n">
        <v>2024</v>
      </c>
      <c r="D3577" t="inlineStr">
        <is>
          <t>Financial</t>
        </is>
      </c>
      <c r="E3577" t="inlineStr">
        <is>
          <t>Shares Outstanding</t>
        </is>
      </c>
      <c r="F3577" t="n">
        <v>23801568645</v>
      </c>
      <c r="G3577" t="inlineStr">
        <is>
          <t>shares</t>
        </is>
      </c>
      <c r="H3577" t="n">
        <v>14</v>
      </c>
      <c r="I3577" t="inlineStr">
        <is>
          <t>IV 276 195 276 2.440.000.000 23.801.568.645</t>
        </is>
      </c>
      <c r="J3577" t="inlineStr">
        <is>
          <t>High</t>
        </is>
      </c>
      <c r="M3577" t="inlineStr">
        <is>
          <t>LLM</t>
        </is>
      </c>
      <c r="N3577" t="inlineStr">
        <is>
          <t>2026-04-19</t>
        </is>
      </c>
      <c r="O3577" t="inlineStr">
        <is>
          <t>AI</t>
        </is>
      </c>
    </row>
    <row r="3578">
      <c r="A3578" t="inlineStr">
        <is>
          <t>PT Nusantara Sawit Sejahtera Tbk</t>
        </is>
      </c>
      <c r="B3578" t="inlineStr">
        <is>
          <t>NSSS_2024_AR.pdf</t>
        </is>
      </c>
      <c r="C3578" t="n">
        <v>2024</v>
      </c>
      <c r="D3578" t="inlineStr">
        <is>
          <t>Financial</t>
        </is>
      </c>
      <c r="E3578" t="inlineStr">
        <is>
          <t>Closing Price Q4 2024</t>
        </is>
      </c>
      <c r="F3578" t="n">
        <v>276</v>
      </c>
      <c r="G3578" t="inlineStr">
        <is>
          <t>Rp/share</t>
        </is>
      </c>
      <c r="H3578" t="n">
        <v>14</v>
      </c>
      <c r="I3578" t="inlineStr">
        <is>
          <t>IV 276 195 276 ... 6.569.233</t>
        </is>
      </c>
      <c r="J3578" t="inlineStr">
        <is>
          <t>High</t>
        </is>
      </c>
      <c r="M3578" t="inlineStr">
        <is>
          <t>LLM</t>
        </is>
      </c>
      <c r="N3578" t="inlineStr">
        <is>
          <t>2026-04-19</t>
        </is>
      </c>
      <c r="O3578" t="inlineStr">
        <is>
          <t>AI</t>
        </is>
      </c>
    </row>
    <row r="3579">
      <c r="A3579" t="inlineStr">
        <is>
          <t>PT Nusantara Sawit Sejahtera Tbk</t>
        </is>
      </c>
      <c r="B3579" t="inlineStr">
        <is>
          <t>NSSS_2024_AR.pdf</t>
        </is>
      </c>
      <c r="C3579" t="n">
        <v>2024</v>
      </c>
      <c r="D3579" t="inlineStr">
        <is>
          <t>Financial</t>
        </is>
      </c>
      <c r="E3579" t="inlineStr">
        <is>
          <t>Market Cap End of Year</t>
        </is>
      </c>
      <c r="F3579" t="n">
        <v>6569</v>
      </c>
      <c r="G3579" t="inlineStr">
        <is>
          <t>IDR bn</t>
        </is>
      </c>
      <c r="H3579" t="n">
        <v>14</v>
      </c>
      <c r="I3579" t="inlineStr">
        <is>
          <t>Kapitalisasi 6.569.233 (Rp juta)</t>
        </is>
      </c>
      <c r="J3579" t="inlineStr">
        <is>
          <t>High</t>
        </is>
      </c>
      <c r="M3579" t="inlineStr">
        <is>
          <t>LLM</t>
        </is>
      </c>
      <c r="N3579" t="inlineStr">
        <is>
          <t>2026-04-19</t>
        </is>
      </c>
      <c r="O3579" t="inlineStr">
        <is>
          <t>AI</t>
        </is>
      </c>
    </row>
    <row r="3580">
      <c r="A3580" t="inlineStr">
        <is>
          <t>PT Nusantara Sawit Sejahtera Tbk</t>
        </is>
      </c>
      <c r="B3580" t="inlineStr">
        <is>
          <t>NSSS_2024_AR.pdf</t>
        </is>
      </c>
      <c r="C3580" t="n">
        <v>2024</v>
      </c>
      <c r="D3580" t="inlineStr">
        <is>
          <t>Financial</t>
        </is>
      </c>
      <c r="E3580" t="inlineStr">
        <is>
          <t>Current Ratio</t>
        </is>
      </c>
      <c r="F3580" t="n">
        <v>1.15</v>
      </c>
      <c r="G3580" t="inlineStr">
        <is>
          <t>x</t>
        </is>
      </c>
      <c r="H3580" t="n">
        <v>12</v>
      </c>
      <c r="I3580" t="inlineStr">
        <is>
          <t>Rasio Lancar (x) 1,15</t>
        </is>
      </c>
      <c r="J3580" t="inlineStr">
        <is>
          <t>High</t>
        </is>
      </c>
      <c r="M3580" t="inlineStr">
        <is>
          <t>LLM</t>
        </is>
      </c>
      <c r="N3580" t="inlineStr">
        <is>
          <t>2026-04-19</t>
        </is>
      </c>
      <c r="O3580" t="inlineStr">
        <is>
          <t>AI</t>
        </is>
      </c>
    </row>
    <row r="3581">
      <c r="A3581" t="inlineStr">
        <is>
          <t>PT Nusantara Sawit Sejahtera Tbk</t>
        </is>
      </c>
      <c r="B3581" t="inlineStr">
        <is>
          <t>NSSS_2024_AR.pdf</t>
        </is>
      </c>
      <c r="C3581" t="n">
        <v>2024</v>
      </c>
      <c r="D3581" t="inlineStr">
        <is>
          <t>Financial</t>
        </is>
      </c>
      <c r="E3581" t="inlineStr">
        <is>
          <t>Debt-to-Equity Ratio</t>
        </is>
      </c>
      <c r="F3581" t="n">
        <v>1.7308</v>
      </c>
      <c r="G3581" t="inlineStr">
        <is>
          <t>%</t>
        </is>
      </c>
      <c r="H3581" t="n">
        <v>12</v>
      </c>
      <c r="I3581" t="inlineStr">
        <is>
          <t>Liabilitas terhadap Ekuitas (%) 173,08</t>
        </is>
      </c>
      <c r="J3581" t="inlineStr">
        <is>
          <t>High</t>
        </is>
      </c>
      <c r="M3581" t="inlineStr">
        <is>
          <t>LLM</t>
        </is>
      </c>
      <c r="N3581" t="inlineStr">
        <is>
          <t>2026-04-19</t>
        </is>
      </c>
      <c r="O3581" t="inlineStr">
        <is>
          <t>AI</t>
        </is>
      </c>
    </row>
    <row r="3582">
      <c r="A3582" t="inlineStr">
        <is>
          <t>PT Nusantara Sawit Sejahtera Tbk</t>
        </is>
      </c>
      <c r="B3582" t="inlineStr">
        <is>
          <t>NSSS_2024_AR.pdf</t>
        </is>
      </c>
      <c r="C3582" t="n">
        <v>2024</v>
      </c>
      <c r="D3582" t="inlineStr">
        <is>
          <t>Financial</t>
        </is>
      </c>
      <c r="E3582" t="inlineStr">
        <is>
          <t>Debt-to-Assets Ratio</t>
        </is>
      </c>
      <c r="F3582" t="n">
        <v>0.6338</v>
      </c>
      <c r="G3582" t="inlineStr">
        <is>
          <t>%</t>
        </is>
      </c>
      <c r="H3582" t="n">
        <v>12</v>
      </c>
      <c r="I3582" t="inlineStr">
        <is>
          <t>Liabilitas terhadap Aset (%) 63,38</t>
        </is>
      </c>
      <c r="J3582" t="inlineStr">
        <is>
          <t>High</t>
        </is>
      </c>
      <c r="M3582" t="inlineStr">
        <is>
          <t>LLM</t>
        </is>
      </c>
      <c r="N3582" t="inlineStr">
        <is>
          <t>2026-04-19</t>
        </is>
      </c>
      <c r="O3582" t="inlineStr">
        <is>
          <t>AI</t>
        </is>
      </c>
    </row>
    <row r="3583">
      <c r="A3583" t="inlineStr">
        <is>
          <t>PT Nusantara Sawit Sejahtera Tbk</t>
        </is>
      </c>
      <c r="B3583" t="inlineStr">
        <is>
          <t>NSSS_2024_AR.pdf</t>
        </is>
      </c>
      <c r="C3583" t="n">
        <v>2024</v>
      </c>
      <c r="D3583" t="inlineStr">
        <is>
          <t>Financial</t>
        </is>
      </c>
      <c r="E3583" t="inlineStr">
        <is>
          <t>ROA</t>
        </is>
      </c>
      <c r="F3583" t="n">
        <v>0.08169999999999999</v>
      </c>
      <c r="G3583" t="inlineStr">
        <is>
          <t>%</t>
        </is>
      </c>
      <c r="H3583" t="n">
        <v>12</v>
      </c>
      <c r="I3583" t="inlineStr">
        <is>
          <t>Laba Bersih terhadap Total Aset (%) 8,17</t>
        </is>
      </c>
      <c r="J3583" t="inlineStr">
        <is>
          <t>High</t>
        </is>
      </c>
      <c r="M3583" t="inlineStr">
        <is>
          <t>LLM</t>
        </is>
      </c>
      <c r="N3583" t="inlineStr">
        <is>
          <t>2026-04-19</t>
        </is>
      </c>
      <c r="O3583" t="inlineStr">
        <is>
          <t>AI</t>
        </is>
      </c>
    </row>
    <row r="3584">
      <c r="A3584" t="inlineStr">
        <is>
          <t>PT Nusantara Sawit Sejahtera Tbk</t>
        </is>
      </c>
      <c r="B3584" t="inlineStr">
        <is>
          <t>NSSS_2024_AR.pdf</t>
        </is>
      </c>
      <c r="C3584" t="n">
        <v>2024</v>
      </c>
      <c r="D3584" t="inlineStr">
        <is>
          <t>Financial</t>
        </is>
      </c>
      <c r="E3584" t="inlineStr">
        <is>
          <t>ROE</t>
        </is>
      </c>
      <c r="F3584" t="n">
        <v>0.2232</v>
      </c>
      <c r="G3584" t="inlineStr">
        <is>
          <t>%</t>
        </is>
      </c>
      <c r="H3584" t="n">
        <v>12</v>
      </c>
      <c r="I3584" t="inlineStr">
        <is>
          <t>Laba Bersih terhadap Total Ekuitas (%) 22,32</t>
        </is>
      </c>
      <c r="J3584" t="inlineStr">
        <is>
          <t>High</t>
        </is>
      </c>
      <c r="M3584" t="inlineStr">
        <is>
          <t>LLM</t>
        </is>
      </c>
      <c r="N3584" t="inlineStr">
        <is>
          <t>2026-04-19</t>
        </is>
      </c>
      <c r="O3584" t="inlineStr">
        <is>
          <t>AI</t>
        </is>
      </c>
    </row>
    <row r="3585">
      <c r="A3585" t="inlineStr">
        <is>
          <t>PT Nusantara Sawit Sejahtera Tbk</t>
        </is>
      </c>
      <c r="B3585" t="inlineStr">
        <is>
          <t>NSSS_2024_AR.pdf</t>
        </is>
      </c>
      <c r="C3585" t="n">
        <v>2024</v>
      </c>
      <c r="D3585" t="inlineStr">
        <is>
          <t>Financial</t>
        </is>
      </c>
      <c r="E3585" t="inlineStr">
        <is>
          <t>EBITDA Margin</t>
        </is>
      </c>
      <c r="F3585" t="n">
        <v>0.4738</v>
      </c>
      <c r="G3585" t="inlineStr">
        <is>
          <t>%</t>
        </is>
      </c>
      <c r="H3585" t="n">
        <v>12</v>
      </c>
      <c r="I3585" t="inlineStr">
        <is>
          <t>Marjin EBITDA (x) 47,38</t>
        </is>
      </c>
      <c r="J3585" t="inlineStr">
        <is>
          <t>High</t>
        </is>
      </c>
      <c r="M3585" t="inlineStr">
        <is>
          <t>LLM</t>
        </is>
      </c>
      <c r="N3585" t="inlineStr">
        <is>
          <t>2026-04-19</t>
        </is>
      </c>
      <c r="O3585" t="inlineStr">
        <is>
          <t>AI</t>
        </is>
      </c>
    </row>
    <row r="3586">
      <c r="A3586" t="inlineStr">
        <is>
          <t>PT Nusantara Sawit Sejahtera Tbk</t>
        </is>
      </c>
      <c r="B3586" t="inlineStr">
        <is>
          <t>NSSS_2024_AR.pdf</t>
        </is>
      </c>
      <c r="C3586" t="n">
        <v>2024</v>
      </c>
      <c r="D3586" t="inlineStr">
        <is>
          <t>Financial</t>
        </is>
      </c>
      <c r="E3586" t="inlineStr">
        <is>
          <t>Trade Receivables</t>
        </is>
      </c>
      <c r="F3586" t="n">
        <v>49824</v>
      </c>
      <c r="G3586" t="inlineStr">
        <is>
          <t>IDR mn</t>
        </is>
      </c>
      <c r="H3586" t="n">
        <v>84</v>
      </c>
      <c r="I3586" t="inlineStr">
        <is>
          <t>Total 49.824</t>
        </is>
      </c>
      <c r="J3586" t="inlineStr">
        <is>
          <t>High</t>
        </is>
      </c>
      <c r="M3586" t="inlineStr">
        <is>
          <t>LLM</t>
        </is>
      </c>
      <c r="N3586" t="inlineStr">
        <is>
          <t>2026-04-19</t>
        </is>
      </c>
      <c r="O3586" t="inlineStr">
        <is>
          <t>AI</t>
        </is>
      </c>
    </row>
    <row r="3587">
      <c r="A3587" t="inlineStr">
        <is>
          <t>PT Nusantara Sawit Sejahtera Tbk</t>
        </is>
      </c>
      <c r="B3587" t="inlineStr">
        <is>
          <t>NSSS_2024_AR.pdf</t>
        </is>
      </c>
      <c r="C3587" t="n">
        <v>2024</v>
      </c>
      <c r="D3587" t="inlineStr">
        <is>
          <t>Financial</t>
        </is>
      </c>
      <c r="E3587" t="inlineStr">
        <is>
          <t>Revenue Target 2024</t>
        </is>
      </c>
      <c r="F3587" t="n">
        <v>1695</v>
      </c>
      <c r="G3587" t="inlineStr">
        <is>
          <t>IDR bn</t>
        </is>
      </c>
      <c r="H3587" t="n">
        <v>86</v>
      </c>
      <c r="I3587" t="inlineStr">
        <is>
          <t>di bawah target sebesar 12% dari target 2024 yang ditetapkan sebesar Rp1,695 triliun</t>
        </is>
      </c>
      <c r="J3587" t="inlineStr">
        <is>
          <t>High</t>
        </is>
      </c>
      <c r="M3587" t="inlineStr">
        <is>
          <t>LLM</t>
        </is>
      </c>
      <c r="N3587" t="inlineStr">
        <is>
          <t>2026-04-19</t>
        </is>
      </c>
      <c r="O3587" t="inlineStr">
        <is>
          <t>AI</t>
        </is>
      </c>
    </row>
    <row r="3588">
      <c r="A3588" t="inlineStr">
        <is>
          <t>PT Nusantara Sawit Sejahtera Tbk</t>
        </is>
      </c>
      <c r="B3588" t="inlineStr">
        <is>
          <t>NSSS_2024_AR.pdf</t>
        </is>
      </c>
      <c r="C3588" t="n">
        <v>2024</v>
      </c>
      <c r="D3588" t="inlineStr">
        <is>
          <t>Financial</t>
        </is>
      </c>
      <c r="E3588" t="inlineStr">
        <is>
          <t>Net Profit Target 2024</t>
        </is>
      </c>
      <c r="F3588" t="n">
        <v>213</v>
      </c>
      <c r="G3588" t="inlineStr">
        <is>
          <t>IDR bn</t>
        </is>
      </c>
      <c r="H3588" t="n">
        <v>86</v>
      </c>
      <c r="I3588" t="inlineStr">
        <is>
          <t>target laba ... sebesar Rp213 miliar</t>
        </is>
      </c>
      <c r="J3588" t="inlineStr">
        <is>
          <t>High</t>
        </is>
      </c>
      <c r="M3588" t="inlineStr">
        <is>
          <t>LLM</t>
        </is>
      </c>
      <c r="N3588" t="inlineStr">
        <is>
          <t>2026-04-19</t>
        </is>
      </c>
      <c r="O3588" t="inlineStr">
        <is>
          <t>AI</t>
        </is>
      </c>
    </row>
    <row r="3589">
      <c r="A3589" t="inlineStr">
        <is>
          <t>PT Nusantara Sawit Sejahtera Tbk</t>
        </is>
      </c>
      <c r="B3589" t="inlineStr">
        <is>
          <t>NSSS_2024_AR.pdf</t>
        </is>
      </c>
      <c r="C3589" t="n">
        <v>2024</v>
      </c>
      <c r="D3589" t="inlineStr">
        <is>
          <t>Asset</t>
        </is>
      </c>
      <c r="E3589" t="inlineStr">
        <is>
          <t>Total Planted Area (Nucleus+Plasma)</t>
        </is>
      </c>
      <c r="F3589" t="n">
        <v>29125</v>
      </c>
      <c r="G3589" t="inlineStr">
        <is>
          <t>ha</t>
        </is>
      </c>
      <c r="H3589" t="n">
        <v>10</v>
      </c>
      <c r="I3589" t="inlineStr">
        <is>
          <t>Total lahan tertanam inti dan plasma perkebunan kelapa sawit ha 29.125</t>
        </is>
      </c>
      <c r="J3589" t="inlineStr">
        <is>
          <t>High</t>
        </is>
      </c>
      <c r="M3589" t="inlineStr">
        <is>
          <t>LLM</t>
        </is>
      </c>
      <c r="N3589" t="inlineStr">
        <is>
          <t>2026-04-19</t>
        </is>
      </c>
      <c r="O3589" t="inlineStr">
        <is>
          <t>AI</t>
        </is>
      </c>
    </row>
    <row r="3590">
      <c r="A3590" t="inlineStr">
        <is>
          <t>PT Nusantara Sawit Sejahtera Tbk</t>
        </is>
      </c>
      <c r="B3590" t="inlineStr">
        <is>
          <t>NSSS_2024_AR.pdf</t>
        </is>
      </c>
      <c r="C3590" t="n">
        <v>2024</v>
      </c>
      <c r="D3590" t="inlineStr">
        <is>
          <t>Asset</t>
        </is>
      </c>
      <c r="E3590" t="inlineStr">
        <is>
          <t>Nucleus Area</t>
        </is>
      </c>
      <c r="F3590" t="n">
        <v>27384</v>
      </c>
      <c r="G3590" t="inlineStr">
        <is>
          <t>ha</t>
        </is>
      </c>
      <c r="H3590" t="n">
        <v>158</v>
      </c>
      <c r="I3590" t="inlineStr">
        <is>
          <t>lahan inti seluas 27.384 hektar</t>
        </is>
      </c>
      <c r="J3590" t="inlineStr">
        <is>
          <t>High</t>
        </is>
      </c>
      <c r="M3590" t="inlineStr">
        <is>
          <t>LLM</t>
        </is>
      </c>
      <c r="N3590" t="inlineStr">
        <is>
          <t>2026-04-19</t>
        </is>
      </c>
      <c r="O3590" t="inlineStr">
        <is>
          <t>AI</t>
        </is>
      </c>
    </row>
    <row r="3591">
      <c r="A3591" t="inlineStr">
        <is>
          <t>PT Nusantara Sawit Sejahtera Tbk</t>
        </is>
      </c>
      <c r="B3591" t="inlineStr">
        <is>
          <t>NSSS_2024_AR.pdf</t>
        </is>
      </c>
      <c r="C3591" t="n">
        <v>2024</v>
      </c>
      <c r="D3591" t="inlineStr">
        <is>
          <t>Asset</t>
        </is>
      </c>
      <c r="E3591" t="inlineStr">
        <is>
          <t>Plasma Area</t>
        </is>
      </c>
      <c r="F3591" t="n">
        <v>1741</v>
      </c>
      <c r="G3591" t="inlineStr">
        <is>
          <t>ha</t>
        </is>
      </c>
      <c r="H3591" t="n">
        <v>158</v>
      </c>
      <c r="I3591" t="inlineStr">
        <is>
          <t>lahan plasma sebesar 1.741 hektar</t>
        </is>
      </c>
      <c r="J3591" t="inlineStr">
        <is>
          <t>High</t>
        </is>
      </c>
      <c r="M3591" t="inlineStr">
        <is>
          <t>LLM</t>
        </is>
      </c>
      <c r="N3591" t="inlineStr">
        <is>
          <t>2026-04-19</t>
        </is>
      </c>
      <c r="O3591" t="inlineStr">
        <is>
          <t>AI</t>
        </is>
      </c>
    </row>
    <row r="3592">
      <c r="A3592" t="inlineStr">
        <is>
          <t>PT Nusantara Sawit Sejahtera Tbk</t>
        </is>
      </c>
      <c r="B3592" t="inlineStr">
        <is>
          <t>NSSS_2024_AR.pdf</t>
        </is>
      </c>
      <c r="C3592" t="n">
        <v>2024</v>
      </c>
      <c r="D3592" t="inlineStr">
        <is>
          <t>Asset</t>
        </is>
      </c>
      <c r="E3592" t="inlineStr">
        <is>
          <t>Nucleus Mature Area</t>
        </is>
      </c>
      <c r="F3592" t="n">
        <v>26056</v>
      </c>
      <c r="G3592" t="inlineStr">
        <is>
          <t>ha</t>
        </is>
      </c>
      <c r="H3592" t="n">
        <v>158</v>
      </c>
      <c r="I3592" t="inlineStr">
        <is>
          <t>Pada lahan inti, area yang terdiri dari tanaman matang (TM) mencakup 26.056 hektar</t>
        </is>
      </c>
      <c r="J3592" t="inlineStr">
        <is>
          <t>High</t>
        </is>
      </c>
      <c r="M3592" t="inlineStr">
        <is>
          <t>LLM</t>
        </is>
      </c>
      <c r="N3592" t="inlineStr">
        <is>
          <t>2026-04-19</t>
        </is>
      </c>
      <c r="O3592" t="inlineStr">
        <is>
          <t>AI</t>
        </is>
      </c>
    </row>
    <row r="3593">
      <c r="A3593" t="inlineStr">
        <is>
          <t>PT Nusantara Sawit Sejahtera Tbk</t>
        </is>
      </c>
      <c r="B3593" t="inlineStr">
        <is>
          <t>NSSS_2024_AR.pdf</t>
        </is>
      </c>
      <c r="C3593" t="n">
        <v>2024</v>
      </c>
      <c r="D3593" t="inlineStr">
        <is>
          <t>Asset</t>
        </is>
      </c>
      <c r="E3593" t="inlineStr">
        <is>
          <t>Nucleus Immature Area</t>
        </is>
      </c>
      <c r="F3593" t="n">
        <v>1328</v>
      </c>
      <c r="G3593" t="inlineStr">
        <is>
          <t>ha</t>
        </is>
      </c>
      <c r="H3593" t="n">
        <v>158</v>
      </c>
      <c r="I3593" t="inlineStr">
        <is>
          <t>1.328 hektar sisanya merupakan tanaman belum matang (TBM)</t>
        </is>
      </c>
      <c r="J3593" t="inlineStr">
        <is>
          <t>High</t>
        </is>
      </c>
      <c r="M3593" t="inlineStr">
        <is>
          <t>LLM</t>
        </is>
      </c>
      <c r="N3593" t="inlineStr">
        <is>
          <t>2026-04-19</t>
        </is>
      </c>
      <c r="O3593" t="inlineStr">
        <is>
          <t>AI</t>
        </is>
      </c>
    </row>
    <row r="3594">
      <c r="A3594" t="inlineStr">
        <is>
          <t>PT Nusantara Sawit Sejahtera Tbk</t>
        </is>
      </c>
      <c r="B3594" t="inlineStr">
        <is>
          <t>NSSS_2024_AR.pdf</t>
        </is>
      </c>
      <c r="C3594" t="n">
        <v>2024</v>
      </c>
      <c r="D3594" t="inlineStr">
        <is>
          <t>Asset</t>
        </is>
      </c>
      <c r="E3594" t="inlineStr">
        <is>
          <t>Plasma Mature Area</t>
        </is>
      </c>
      <c r="F3594" t="n">
        <v>669</v>
      </c>
      <c r="G3594" t="inlineStr">
        <is>
          <t>ha</t>
        </is>
      </c>
      <c r="H3594" t="n">
        <v>158</v>
      </c>
      <c r="I3594" t="inlineStr">
        <is>
          <t>lahan plasma mencakup 669 hektar TM</t>
        </is>
      </c>
      <c r="J3594" t="inlineStr">
        <is>
          <t>High</t>
        </is>
      </c>
      <c r="M3594" t="inlineStr">
        <is>
          <t>LLM</t>
        </is>
      </c>
      <c r="N3594" t="inlineStr">
        <is>
          <t>2026-04-19</t>
        </is>
      </c>
      <c r="O3594" t="inlineStr">
        <is>
          <t>AI</t>
        </is>
      </c>
    </row>
    <row r="3595">
      <c r="A3595" t="inlineStr">
        <is>
          <t>PT Nusantara Sawit Sejahtera Tbk</t>
        </is>
      </c>
      <c r="B3595" t="inlineStr">
        <is>
          <t>NSSS_2024_AR.pdf</t>
        </is>
      </c>
      <c r="C3595" t="n">
        <v>2024</v>
      </c>
      <c r="D3595" t="inlineStr">
        <is>
          <t>Asset</t>
        </is>
      </c>
      <c r="E3595" t="inlineStr">
        <is>
          <t>Plasma Immature Area</t>
        </is>
      </c>
      <c r="F3595" t="n">
        <v>1072</v>
      </c>
      <c r="G3595" t="inlineStr">
        <is>
          <t>ha</t>
        </is>
      </c>
      <c r="H3595" t="n">
        <v>158</v>
      </c>
      <c r="I3595" t="inlineStr">
        <is>
          <t>1.072 hektar TBM (plasma)</t>
        </is>
      </c>
      <c r="J3595" t="inlineStr">
        <is>
          <t>High</t>
        </is>
      </c>
      <c r="M3595" t="inlineStr">
        <is>
          <t>LLM</t>
        </is>
      </c>
      <c r="N3595" t="inlineStr">
        <is>
          <t>2026-04-19</t>
        </is>
      </c>
      <c r="O3595" t="inlineStr">
        <is>
          <t>AI</t>
        </is>
      </c>
    </row>
    <row r="3596">
      <c r="A3596" t="inlineStr">
        <is>
          <t>PT Nusantara Sawit Sejahtera Tbk</t>
        </is>
      </c>
      <c r="B3596" t="inlineStr">
        <is>
          <t>NSSS_2024_AR.pdf</t>
        </is>
      </c>
      <c r="C3596" t="n">
        <v>2024</v>
      </c>
      <c r="D3596" t="inlineStr">
        <is>
          <t>Asset</t>
        </is>
      </c>
      <c r="E3596" t="inlineStr">
        <is>
          <t>NSP Mature Nucleus Area</t>
        </is>
      </c>
      <c r="F3596" t="n">
        <v>12294</v>
      </c>
      <c r="G3596" t="inlineStr">
        <is>
          <t>ha</t>
        </is>
      </c>
      <c r="H3596" t="n">
        <v>52</v>
      </c>
      <c r="I3596" t="inlineStr">
        <is>
          <t>PT Nusantara Sawit Persada ... 12.294 135 12.429</t>
        </is>
      </c>
      <c r="J3596" t="inlineStr">
        <is>
          <t>High</t>
        </is>
      </c>
      <c r="M3596" t="inlineStr">
        <is>
          <t>LLM</t>
        </is>
      </c>
      <c r="N3596" t="inlineStr">
        <is>
          <t>2026-04-19</t>
        </is>
      </c>
      <c r="O3596" t="inlineStr">
        <is>
          <t>AI</t>
        </is>
      </c>
    </row>
    <row r="3597">
      <c r="A3597" t="inlineStr">
        <is>
          <t>PT Nusantara Sawit Sejahtera Tbk</t>
        </is>
      </c>
      <c r="B3597" t="inlineStr">
        <is>
          <t>NSSS_2024_AR.pdf</t>
        </is>
      </c>
      <c r="C3597" t="n">
        <v>2024</v>
      </c>
      <c r="D3597" t="inlineStr">
        <is>
          <t>Asset</t>
        </is>
      </c>
      <c r="E3597" t="inlineStr">
        <is>
          <t>BSP Mature Nucleus Area</t>
        </is>
      </c>
      <c r="F3597" t="n">
        <v>8257</v>
      </c>
      <c r="G3597" t="inlineStr">
        <is>
          <t>ha</t>
        </is>
      </c>
      <c r="H3597" t="n">
        <v>52</v>
      </c>
      <c r="I3597" t="inlineStr">
        <is>
          <t>PT Borneo Sawit Perdana ... 8.257 0 8.257</t>
        </is>
      </c>
      <c r="J3597" t="inlineStr">
        <is>
          <t>High</t>
        </is>
      </c>
      <c r="M3597" t="inlineStr">
        <is>
          <t>LLM</t>
        </is>
      </c>
      <c r="N3597" t="inlineStr">
        <is>
          <t>2026-04-19</t>
        </is>
      </c>
      <c r="O3597" t="inlineStr">
        <is>
          <t>AI</t>
        </is>
      </c>
    </row>
    <row r="3598">
      <c r="A3598" t="inlineStr">
        <is>
          <t>PT Nusantara Sawit Sejahtera Tbk</t>
        </is>
      </c>
      <c r="B3598" t="inlineStr">
        <is>
          <t>NSSS_2024_AR.pdf</t>
        </is>
      </c>
      <c r="C3598" t="n">
        <v>2024</v>
      </c>
      <c r="D3598" t="inlineStr">
        <is>
          <t>Asset</t>
        </is>
      </c>
      <c r="E3598" t="inlineStr">
        <is>
          <t>PMM Mature Nucleus Area</t>
        </is>
      </c>
      <c r="F3598" t="n">
        <v>5503</v>
      </c>
      <c r="G3598" t="inlineStr">
        <is>
          <t>ha</t>
        </is>
      </c>
      <c r="H3598" t="n">
        <v>52</v>
      </c>
      <c r="I3598" t="inlineStr">
        <is>
          <t>PT Prasetya Mitra Muda ... 5.503 1.193 6.696</t>
        </is>
      </c>
      <c r="J3598" t="inlineStr">
        <is>
          <t>High</t>
        </is>
      </c>
      <c r="M3598" t="inlineStr">
        <is>
          <t>LLM</t>
        </is>
      </c>
      <c r="N3598" t="inlineStr">
        <is>
          <t>2026-04-19</t>
        </is>
      </c>
      <c r="O3598" t="inlineStr">
        <is>
          <t>AI</t>
        </is>
      </c>
    </row>
    <row r="3599">
      <c r="A3599" t="inlineStr">
        <is>
          <t>PT Nusantara Sawit Sejahtera Tbk</t>
        </is>
      </c>
      <c r="B3599" t="inlineStr">
        <is>
          <t>NSSS_2024_AR.pdf</t>
        </is>
      </c>
      <c r="C3599" t="n">
        <v>2024</v>
      </c>
      <c r="D3599" t="inlineStr">
        <is>
          <t>Asset</t>
        </is>
      </c>
      <c r="E3599" t="inlineStr">
        <is>
          <t>Avg Tree Age</t>
        </is>
      </c>
      <c r="F3599" t="n">
        <v>9.800000000000001</v>
      </c>
      <c r="G3599" t="inlineStr">
        <is>
          <t>years</t>
        </is>
      </c>
      <c r="H3599" t="n">
        <v>53</v>
      </c>
      <c r="I3599" t="inlineStr">
        <is>
          <t>Usia Tanaman yang Muda dengan Rata-Rata 9,8 Tahun</t>
        </is>
      </c>
      <c r="J3599" t="inlineStr">
        <is>
          <t>High</t>
        </is>
      </c>
      <c r="M3599" t="inlineStr">
        <is>
          <t>LLM</t>
        </is>
      </c>
      <c r="N3599" t="inlineStr">
        <is>
          <t>2026-04-19</t>
        </is>
      </c>
      <c r="O3599" t="inlineStr">
        <is>
          <t>AI</t>
        </is>
      </c>
    </row>
    <row r="3600">
      <c r="A3600" t="inlineStr">
        <is>
          <t>PT Nusantara Sawit Sejahtera Tbk</t>
        </is>
      </c>
      <c r="B3600" t="inlineStr">
        <is>
          <t>NSSS_2024_AR.pdf</t>
        </is>
      </c>
      <c r="C3600" t="n">
        <v>2024</v>
      </c>
      <c r="D3600" t="inlineStr">
        <is>
          <t>Asset</t>
        </is>
      </c>
      <c r="E3600" t="inlineStr">
        <is>
          <t>Plant Age 0-3 yrs (Nucleus)</t>
        </is>
      </c>
      <c r="F3600" t="n">
        <v>1328</v>
      </c>
      <c r="G3600" t="inlineStr">
        <is>
          <t>ha</t>
        </is>
      </c>
      <c r="H3600" t="n">
        <v>77</v>
      </c>
      <c r="I3600" t="inlineStr">
        <is>
          <t>0-3 tahun (Ha) 1.328 2.401</t>
        </is>
      </c>
      <c r="J3600" t="inlineStr">
        <is>
          <t>High</t>
        </is>
      </c>
      <c r="M3600" t="inlineStr">
        <is>
          <t>LLM</t>
        </is>
      </c>
      <c r="N3600" t="inlineStr">
        <is>
          <t>2026-04-19</t>
        </is>
      </c>
      <c r="O3600" t="inlineStr">
        <is>
          <t>AI</t>
        </is>
      </c>
    </row>
    <row r="3601">
      <c r="A3601" t="inlineStr">
        <is>
          <t>PT Nusantara Sawit Sejahtera Tbk</t>
        </is>
      </c>
      <c r="B3601" t="inlineStr">
        <is>
          <t>NSSS_2024_AR.pdf</t>
        </is>
      </c>
      <c r="C3601" t="n">
        <v>2024</v>
      </c>
      <c r="D3601" t="inlineStr">
        <is>
          <t>Asset</t>
        </is>
      </c>
      <c r="E3601" t="inlineStr">
        <is>
          <t>Plant Age 4-6 yrs (Nucleus)</t>
        </is>
      </c>
      <c r="F3601" t="n">
        <v>2086</v>
      </c>
      <c r="G3601" t="inlineStr">
        <is>
          <t>ha</t>
        </is>
      </c>
      <c r="H3601" t="n">
        <v>77</v>
      </c>
      <c r="I3601" t="inlineStr">
        <is>
          <t>4-6 tahun (Ha) 2.086 2.296</t>
        </is>
      </c>
      <c r="J3601" t="inlineStr">
        <is>
          <t>High</t>
        </is>
      </c>
      <c r="M3601" t="inlineStr">
        <is>
          <t>LLM</t>
        </is>
      </c>
      <c r="N3601" t="inlineStr">
        <is>
          <t>2026-04-19</t>
        </is>
      </c>
      <c r="O3601" t="inlineStr">
        <is>
          <t>AI</t>
        </is>
      </c>
    </row>
    <row r="3602">
      <c r="A3602" t="inlineStr">
        <is>
          <t>PT Nusantara Sawit Sejahtera Tbk</t>
        </is>
      </c>
      <c r="B3602" t="inlineStr">
        <is>
          <t>NSSS_2024_AR.pdf</t>
        </is>
      </c>
      <c r="C3602" t="n">
        <v>2024</v>
      </c>
      <c r="D3602" t="inlineStr">
        <is>
          <t>Asset</t>
        </is>
      </c>
      <c r="E3602" t="inlineStr">
        <is>
          <t>Plant Age 7-20 yrs (Nucleus)</t>
        </is>
      </c>
      <c r="F3602" t="n">
        <v>23970</v>
      </c>
      <c r="G3602" t="inlineStr">
        <is>
          <t>ha</t>
        </is>
      </c>
      <c r="H3602" t="n">
        <v>77</v>
      </c>
      <c r="I3602" t="inlineStr">
        <is>
          <t>7-20 tahun (Ha) 23.970 24.428</t>
        </is>
      </c>
      <c r="J3602" t="inlineStr">
        <is>
          <t>High</t>
        </is>
      </c>
      <c r="M3602" t="inlineStr">
        <is>
          <t>LLM</t>
        </is>
      </c>
      <c r="N3602" t="inlineStr">
        <is>
          <t>2026-04-19</t>
        </is>
      </c>
      <c r="O3602" t="inlineStr">
        <is>
          <t>AI</t>
        </is>
      </c>
    </row>
    <row r="3603">
      <c r="A3603" t="inlineStr">
        <is>
          <t>PT Nusantara Sawit Sejahtera Tbk</t>
        </is>
      </c>
      <c r="B3603" t="inlineStr">
        <is>
          <t>NSSS_2024_AR.pdf</t>
        </is>
      </c>
      <c r="C3603" t="n">
        <v>2024</v>
      </c>
      <c r="D3603" t="inlineStr">
        <is>
          <t>Asset</t>
        </is>
      </c>
      <c r="E3603" t="inlineStr">
        <is>
          <t>Palm Oil Mill Count</t>
        </is>
      </c>
      <c r="F3603" t="n">
        <v>2</v>
      </c>
      <c r="G3603" t="inlineStr">
        <is>
          <t>count</t>
        </is>
      </c>
      <c r="H3603" t="n">
        <v>47</v>
      </c>
      <c r="I3603" t="inlineStr">
        <is>
          <t>Pabrik Pengolahan Kelapa Sawit dengan kapasitas 60 ton per jam (NSP) + PKS milik entitas anak Perseroan, PT Borneo Sawit Perdana, mulai beroperasi pada bulan Desember (2023) + Second POM at BSP commenced commercial ops 2024</t>
        </is>
      </c>
      <c r="J3603" t="inlineStr">
        <is>
          <t>High</t>
        </is>
      </c>
      <c r="M3603" t="inlineStr">
        <is>
          <t>LLM</t>
        </is>
      </c>
      <c r="N3603" t="inlineStr">
        <is>
          <t>2026-04-19</t>
        </is>
      </c>
      <c r="O3603" t="inlineStr">
        <is>
          <t>AI</t>
        </is>
      </c>
    </row>
    <row r="3604">
      <c r="A3604" t="inlineStr">
        <is>
          <t>PT Nusantara Sawit Sejahtera Tbk</t>
        </is>
      </c>
      <c r="B3604" t="inlineStr">
        <is>
          <t>NSSS_2024_AR.pdf</t>
        </is>
      </c>
      <c r="C3604" t="n">
        <v>2024</v>
      </c>
      <c r="D3604" t="inlineStr">
        <is>
          <t>Asset</t>
        </is>
      </c>
      <c r="E3604" t="inlineStr">
        <is>
          <t>Mill Capacity (Total)</t>
        </is>
      </c>
      <c r="F3604" t="n">
        <v>120</v>
      </c>
      <c r="G3604" t="inlineStr">
        <is>
          <t>tph</t>
        </is>
      </c>
      <c r="H3604" t="n">
        <v>47</v>
      </c>
      <c r="I3604" t="inlineStr">
        <is>
          <t>NSP 60 tph + BSP 60 tph = 120 tph; Pabrik Pengolahan Kelapa Sawit Perseroan dengan kapasitas 60 ton per jam serta Terminal Khusus milik anak Perseroan PT Borneo Sawit Perdana mulai beroperasi secara komersial (2024)</t>
        </is>
      </c>
      <c r="J3604" t="inlineStr">
        <is>
          <t>High</t>
        </is>
      </c>
      <c r="M3604" t="inlineStr">
        <is>
          <t>LLM</t>
        </is>
      </c>
      <c r="N3604" t="inlineStr">
        <is>
          <t>2026-04-19</t>
        </is>
      </c>
      <c r="O3604" t="inlineStr">
        <is>
          <t>AI</t>
        </is>
      </c>
    </row>
    <row r="3605">
      <c r="A3605" t="inlineStr">
        <is>
          <t>PT Nusantara Sawit Sejahtera Tbk</t>
        </is>
      </c>
      <c r="B3605" t="inlineStr">
        <is>
          <t>NSSS_2024_AR.pdf</t>
        </is>
      </c>
      <c r="C3605" t="n">
        <v>2024</v>
      </c>
      <c r="D3605" t="inlineStr">
        <is>
          <t>Asset</t>
        </is>
      </c>
      <c r="E3605" t="inlineStr">
        <is>
          <t>Special Terminal Status</t>
        </is>
      </c>
      <c r="F3605" t="inlineStr">
        <is>
          <t>Commenced operations June 2024 (BSP)</t>
        </is>
      </c>
      <c r="G3605" t="inlineStr">
        <is>
          <t>text</t>
        </is>
      </c>
      <c r="H3605" t="n">
        <v>47</v>
      </c>
      <c r="I3605" t="inlineStr">
        <is>
          <t>Terminal Khusus milik entitas anak Perseroan, PT Borneo Sawit Perdana, mulai beroperasi pada Juni 2024</t>
        </is>
      </c>
      <c r="J3605" t="inlineStr">
        <is>
          <t>High</t>
        </is>
      </c>
      <c r="M3605" t="inlineStr">
        <is>
          <t>LLM</t>
        </is>
      </c>
      <c r="N3605" t="inlineStr">
        <is>
          <t>2026-04-19</t>
        </is>
      </c>
      <c r="O3605" t="inlineStr">
        <is>
          <t>AI</t>
        </is>
      </c>
    </row>
    <row r="3606">
      <c r="A3606" t="inlineStr">
        <is>
          <t>PT Nusantara Sawit Sejahtera Tbk</t>
        </is>
      </c>
      <c r="B3606" t="inlineStr">
        <is>
          <t>NSSS_2024_AR.pdf</t>
        </is>
      </c>
      <c r="C3606" t="n">
        <v>2024</v>
      </c>
      <c r="D3606" t="inlineStr">
        <is>
          <t>Asset</t>
        </is>
      </c>
      <c r="E3606" t="inlineStr">
        <is>
          <t>CPO Storage Capacity</t>
        </is>
      </c>
      <c r="F3606" t="n">
        <v>6000</v>
      </c>
      <c r="G3606" t="inlineStr">
        <is>
          <t>t</t>
        </is>
      </c>
      <c r="H3606" t="n">
        <v>151</v>
      </c>
      <c r="I3606" t="inlineStr">
        <is>
          <t>CPO akan dialirkan ke dalam dua tangki dengan total kapasitas 6.000 ton</t>
        </is>
      </c>
      <c r="J3606" t="inlineStr">
        <is>
          <t>Medium</t>
        </is>
      </c>
      <c r="M3606" t="inlineStr">
        <is>
          <t>LLM</t>
        </is>
      </c>
      <c r="N3606" t="inlineStr">
        <is>
          <t>2026-04-19</t>
        </is>
      </c>
      <c r="O3606" t="inlineStr">
        <is>
          <t>AI</t>
        </is>
      </c>
    </row>
    <row r="3607">
      <c r="A3607" t="inlineStr">
        <is>
          <t>PT Nusantara Sawit Sejahtera Tbk</t>
        </is>
      </c>
      <c r="B3607" t="inlineStr">
        <is>
          <t>NSSS_2024_AR.pdf</t>
        </is>
      </c>
      <c r="C3607" t="n">
        <v>2024</v>
      </c>
      <c r="D3607" t="inlineStr">
        <is>
          <t>Operation</t>
        </is>
      </c>
      <c r="E3607" t="inlineStr">
        <is>
          <t>FFB Production</t>
        </is>
      </c>
      <c r="F3607" t="n">
        <v>477288</v>
      </c>
      <c r="G3607" t="inlineStr">
        <is>
          <t>t</t>
        </is>
      </c>
      <c r="H3607" t="n">
        <v>77</v>
      </c>
      <c r="I3607" t="inlineStr">
        <is>
          <t>TBS (ton) 477.288 463.843 399.606</t>
        </is>
      </c>
      <c r="J3607" t="inlineStr">
        <is>
          <t>High</t>
        </is>
      </c>
      <c r="M3607" t="inlineStr">
        <is>
          <t>LLM</t>
        </is>
      </c>
      <c r="N3607" t="inlineStr">
        <is>
          <t>2026-04-19</t>
        </is>
      </c>
      <c r="O3607" t="inlineStr">
        <is>
          <t>AI</t>
        </is>
      </c>
    </row>
    <row r="3608">
      <c r="A3608" t="inlineStr">
        <is>
          <t>PT Nusantara Sawit Sejahtera Tbk</t>
        </is>
      </c>
      <c r="B3608" t="inlineStr">
        <is>
          <t>NSSS_2024_AR.pdf</t>
        </is>
      </c>
      <c r="C3608" t="n">
        <v>2024</v>
      </c>
      <c r="D3608" t="inlineStr">
        <is>
          <t>Operation</t>
        </is>
      </c>
      <c r="E3608" t="inlineStr">
        <is>
          <t>CPO Production</t>
        </is>
      </c>
      <c r="F3608" t="n">
        <v>105570</v>
      </c>
      <c r="G3608" t="inlineStr">
        <is>
          <t>t</t>
        </is>
      </c>
      <c r="H3608" t="n">
        <v>77</v>
      </c>
      <c r="I3608" t="inlineStr">
        <is>
          <t>CPO (ton) 105.570 91.285 82.862</t>
        </is>
      </c>
      <c r="J3608" t="inlineStr">
        <is>
          <t>High</t>
        </is>
      </c>
      <c r="M3608" t="inlineStr">
        <is>
          <t>LLM</t>
        </is>
      </c>
      <c r="N3608" t="inlineStr">
        <is>
          <t>2026-04-19</t>
        </is>
      </c>
      <c r="O3608" t="inlineStr">
        <is>
          <t>AI</t>
        </is>
      </c>
    </row>
    <row r="3609">
      <c r="A3609" t="inlineStr">
        <is>
          <t>PT Nusantara Sawit Sejahtera Tbk</t>
        </is>
      </c>
      <c r="B3609" t="inlineStr">
        <is>
          <t>NSSS_2024_AR.pdf</t>
        </is>
      </c>
      <c r="C3609" t="n">
        <v>2024</v>
      </c>
      <c r="D3609" t="inlineStr">
        <is>
          <t>Operation</t>
        </is>
      </c>
      <c r="E3609" t="inlineStr">
        <is>
          <t>PK Production</t>
        </is>
      </c>
      <c r="F3609" t="n">
        <v>21062</v>
      </c>
      <c r="G3609" t="inlineStr">
        <is>
          <t>t</t>
        </is>
      </c>
      <c r="H3609" t="n">
        <v>78</v>
      </c>
      <c r="I3609" t="inlineStr">
        <is>
          <t>PK (ton) 21.062 18.926 15.617</t>
        </is>
      </c>
      <c r="J3609" t="inlineStr">
        <is>
          <t>High</t>
        </is>
      </c>
      <c r="M3609" t="inlineStr">
        <is>
          <t>LLM</t>
        </is>
      </c>
      <c r="N3609" t="inlineStr">
        <is>
          <t>2026-04-19</t>
        </is>
      </c>
      <c r="O3609" t="inlineStr">
        <is>
          <t>AI</t>
        </is>
      </c>
    </row>
    <row r="3610">
      <c r="A3610" t="inlineStr">
        <is>
          <t>PT Nusantara Sawit Sejahtera Tbk</t>
        </is>
      </c>
      <c r="B3610" t="inlineStr">
        <is>
          <t>NSSS_2024_AR.pdf</t>
        </is>
      </c>
      <c r="C3610" t="n">
        <v>2024</v>
      </c>
      <c r="D3610" t="inlineStr">
        <is>
          <t>Operation</t>
        </is>
      </c>
      <c r="E3610" t="inlineStr">
        <is>
          <t>OER</t>
        </is>
      </c>
      <c r="F3610" t="n">
        <v>0.212</v>
      </c>
      <c r="G3610" t="inlineStr">
        <is>
          <t>%</t>
        </is>
      </c>
      <c r="H3610" t="n">
        <v>78</v>
      </c>
      <c r="I3610" t="inlineStr">
        <is>
          <t>Rendemen CPO 21,2 21,7 21,8</t>
        </is>
      </c>
      <c r="J3610" t="inlineStr">
        <is>
          <t>High</t>
        </is>
      </c>
      <c r="M3610" t="inlineStr">
        <is>
          <t>LLM</t>
        </is>
      </c>
      <c r="N3610" t="inlineStr">
        <is>
          <t>2026-04-19</t>
        </is>
      </c>
      <c r="O3610" t="inlineStr">
        <is>
          <t>AI</t>
        </is>
      </c>
    </row>
    <row r="3611">
      <c r="A3611" t="inlineStr">
        <is>
          <t>PT Nusantara Sawit Sejahtera Tbk</t>
        </is>
      </c>
      <c r="B3611" t="inlineStr">
        <is>
          <t>NSSS_2024_AR.pdf</t>
        </is>
      </c>
      <c r="C3611" t="n">
        <v>2024</v>
      </c>
      <c r="D3611" t="inlineStr">
        <is>
          <t>Operation</t>
        </is>
      </c>
      <c r="E3611" t="inlineStr">
        <is>
          <t>KER</t>
        </is>
      </c>
      <c r="F3611" t="n">
        <v>0.042</v>
      </c>
      <c r="G3611" t="inlineStr">
        <is>
          <t>%</t>
        </is>
      </c>
      <c r="H3611" t="n">
        <v>78</v>
      </c>
      <c r="I3611" t="inlineStr">
        <is>
          <t>Rendemen PK 4,2 4,3 4,1</t>
        </is>
      </c>
      <c r="J3611" t="inlineStr">
        <is>
          <t>High</t>
        </is>
      </c>
      <c r="M3611" t="inlineStr">
        <is>
          <t>LLM</t>
        </is>
      </c>
      <c r="N3611" t="inlineStr">
        <is>
          <t>2026-04-19</t>
        </is>
      </c>
      <c r="O3611" t="inlineStr">
        <is>
          <t>AI</t>
        </is>
      </c>
    </row>
    <row r="3612">
      <c r="A3612" t="inlineStr">
        <is>
          <t>PT Nusantara Sawit Sejahtera Tbk</t>
        </is>
      </c>
      <c r="B3612" t="inlineStr">
        <is>
          <t>NSSS_2024_AR.pdf</t>
        </is>
      </c>
      <c r="C3612" t="n">
        <v>2024</v>
      </c>
      <c r="D3612" t="inlineStr">
        <is>
          <t>Operation</t>
        </is>
      </c>
      <c r="E3612" t="inlineStr">
        <is>
          <t>CPO Sales Volume</t>
        </is>
      </c>
      <c r="F3612" t="n">
        <v>103729</v>
      </c>
      <c r="G3612" t="inlineStr">
        <is>
          <t>t</t>
        </is>
      </c>
      <c r="H3612" t="n">
        <v>81</v>
      </c>
      <c r="I3612" t="inlineStr">
        <is>
          <t>Kuantitas penjualan CPO naik sebesar 12% (2024: 103.729 ton dan 2023: 92.255 ton)</t>
        </is>
      </c>
      <c r="J3612" t="inlineStr">
        <is>
          <t>High</t>
        </is>
      </c>
      <c r="M3612" t="inlineStr">
        <is>
          <t>LLM</t>
        </is>
      </c>
      <c r="N3612" t="inlineStr">
        <is>
          <t>2026-04-19</t>
        </is>
      </c>
      <c r="O3612" t="inlineStr">
        <is>
          <t>AI</t>
        </is>
      </c>
    </row>
    <row r="3613">
      <c r="A3613" t="inlineStr">
        <is>
          <t>PT Nusantara Sawit Sejahtera Tbk</t>
        </is>
      </c>
      <c r="B3613" t="inlineStr">
        <is>
          <t>NSSS_2024_AR.pdf</t>
        </is>
      </c>
      <c r="C3613" t="n">
        <v>2024</v>
      </c>
      <c r="D3613" t="inlineStr">
        <is>
          <t>Operation</t>
        </is>
      </c>
      <c r="E3613" t="inlineStr">
        <is>
          <t>PK Sales Volume</t>
        </is>
      </c>
      <c r="F3613" t="n">
        <v>20613</v>
      </c>
      <c r="G3613" t="inlineStr">
        <is>
          <t>t</t>
        </is>
      </c>
      <c r="H3613" t="n">
        <v>81</v>
      </c>
      <c r="I3613" t="inlineStr">
        <is>
          <t>Kuantitas penjualan PK naik sebesar 10% (2024: 20.613 ton dan 2023: 18.760 ton)</t>
        </is>
      </c>
      <c r="J3613" t="inlineStr">
        <is>
          <t>High</t>
        </is>
      </c>
      <c r="M3613" t="inlineStr">
        <is>
          <t>LLM</t>
        </is>
      </c>
      <c r="N3613" t="inlineStr">
        <is>
          <t>2026-04-19</t>
        </is>
      </c>
      <c r="O3613" t="inlineStr">
        <is>
          <t>AI</t>
        </is>
      </c>
    </row>
    <row r="3614">
      <c r="A3614" t="inlineStr">
        <is>
          <t>PT Nusantara Sawit Sejahtera Tbk</t>
        </is>
      </c>
      <c r="B3614" t="inlineStr">
        <is>
          <t>NSSS_2024_AR.pdf</t>
        </is>
      </c>
      <c r="C3614" t="n">
        <v>2024</v>
      </c>
      <c r="D3614" t="inlineStr">
        <is>
          <t>Operation</t>
        </is>
      </c>
      <c r="E3614" t="inlineStr">
        <is>
          <t>Avg CPO Selling Price</t>
        </is>
      </c>
      <c r="F3614" t="n">
        <v>12802</v>
      </c>
      <c r="G3614" t="inlineStr">
        <is>
          <t>Rp/kg</t>
        </is>
      </c>
      <c r="H3614" t="n">
        <v>81</v>
      </c>
      <c r="I3614" t="inlineStr">
        <is>
          <t>harga jual rata-rata CPO ... 2024: Rp12.802 per kg</t>
        </is>
      </c>
      <c r="J3614" t="inlineStr">
        <is>
          <t>High</t>
        </is>
      </c>
      <c r="M3614" t="inlineStr">
        <is>
          <t>LLM</t>
        </is>
      </c>
      <c r="N3614" t="inlineStr">
        <is>
          <t>2026-04-19</t>
        </is>
      </c>
      <c r="O3614" t="inlineStr">
        <is>
          <t>AI</t>
        </is>
      </c>
    </row>
    <row r="3615">
      <c r="A3615" t="inlineStr">
        <is>
          <t>PT Nusantara Sawit Sejahtera Tbk</t>
        </is>
      </c>
      <c r="B3615" t="inlineStr">
        <is>
          <t>NSSS_2024_AR.pdf</t>
        </is>
      </c>
      <c r="C3615" t="n">
        <v>2024</v>
      </c>
      <c r="D3615" t="inlineStr">
        <is>
          <t>Operation</t>
        </is>
      </c>
      <c r="E3615" t="inlineStr">
        <is>
          <t>Avg PK Selling Price</t>
        </is>
      </c>
      <c r="F3615" t="n">
        <v>7860</v>
      </c>
      <c r="G3615" t="inlineStr">
        <is>
          <t>Rp/kg</t>
        </is>
      </c>
      <c r="H3615" t="n">
        <v>81</v>
      </c>
      <c r="I3615" t="inlineStr">
        <is>
          <t>harga jual rata-rata PK ... 2024: Rp7.860 per kg</t>
        </is>
      </c>
      <c r="J3615" t="inlineStr">
        <is>
          <t>High</t>
        </is>
      </c>
      <c r="M3615" t="inlineStr">
        <is>
          <t>LLM</t>
        </is>
      </c>
      <c r="N3615" t="inlineStr">
        <is>
          <t>2026-04-19</t>
        </is>
      </c>
      <c r="O3615" t="inlineStr">
        <is>
          <t>AI</t>
        </is>
      </c>
    </row>
    <row r="3616">
      <c r="A3616" t="inlineStr">
        <is>
          <t>PT Nusantara Sawit Sejahtera Tbk</t>
        </is>
      </c>
      <c r="B3616" t="inlineStr">
        <is>
          <t>NSSS_2024_AR.pdf</t>
        </is>
      </c>
      <c r="C3616" t="n">
        <v>2024</v>
      </c>
      <c r="D3616" t="inlineStr">
        <is>
          <t>Operation</t>
        </is>
      </c>
      <c r="E3616" t="inlineStr">
        <is>
          <t>CPO Sales Value</t>
        </is>
      </c>
      <c r="F3616" t="n">
        <v>1328</v>
      </c>
      <c r="G3616" t="inlineStr">
        <is>
          <t>IDR bn</t>
        </is>
      </c>
      <c r="H3616" t="n">
        <v>81</v>
      </c>
      <c r="I3616" t="inlineStr">
        <is>
          <t>CPO (juta Rp) 1.327.882</t>
        </is>
      </c>
      <c r="J3616" t="inlineStr">
        <is>
          <t>High</t>
        </is>
      </c>
      <c r="M3616" t="inlineStr">
        <is>
          <t>LLM</t>
        </is>
      </c>
      <c r="N3616" t="inlineStr">
        <is>
          <t>2026-04-19</t>
        </is>
      </c>
      <c r="O3616" t="inlineStr">
        <is>
          <t>AI</t>
        </is>
      </c>
    </row>
    <row r="3617">
      <c r="A3617" t="inlineStr">
        <is>
          <t>PT Nusantara Sawit Sejahtera Tbk</t>
        </is>
      </c>
      <c r="B3617" t="inlineStr">
        <is>
          <t>NSSS_2024_AR.pdf</t>
        </is>
      </c>
      <c r="C3617" t="n">
        <v>2024</v>
      </c>
      <c r="D3617" t="inlineStr">
        <is>
          <t>Operation</t>
        </is>
      </c>
      <c r="E3617" t="inlineStr">
        <is>
          <t>PK Sales Value</t>
        </is>
      </c>
      <c r="F3617" t="n">
        <v>162</v>
      </c>
      <c r="G3617" t="inlineStr">
        <is>
          <t>IDR bn</t>
        </is>
      </c>
      <c r="H3617" t="n">
        <v>81</v>
      </c>
      <c r="I3617" t="inlineStr">
        <is>
          <t>PK (juta Rp) 162.017</t>
        </is>
      </c>
      <c r="J3617" t="inlineStr">
        <is>
          <t>High</t>
        </is>
      </c>
      <c r="M3617" t="inlineStr">
        <is>
          <t>LLM</t>
        </is>
      </c>
      <c r="N3617" t="inlineStr">
        <is>
          <t>2026-04-19</t>
        </is>
      </c>
      <c r="O3617" t="inlineStr">
        <is>
          <t>AI</t>
        </is>
      </c>
    </row>
    <row r="3618">
      <c r="A3618" t="inlineStr">
        <is>
          <t>PT Nusantara Sawit Sejahtera Tbk</t>
        </is>
      </c>
      <c r="B3618" t="inlineStr">
        <is>
          <t>NSSS_2024_AR.pdf</t>
        </is>
      </c>
      <c r="C3618" t="n">
        <v>2024</v>
      </c>
      <c r="D3618" t="inlineStr">
        <is>
          <t>Operation</t>
        </is>
      </c>
      <c r="E3618" t="inlineStr">
        <is>
          <t>FFB Production Target 2024</t>
        </is>
      </c>
      <c r="F3618" t="n">
        <v>490000</v>
      </c>
      <c r="G3618" t="inlineStr">
        <is>
          <t>t</t>
        </is>
      </c>
      <c r="H3618" t="n">
        <v>164</v>
      </c>
      <c r="I3618" t="inlineStr">
        <is>
          <t>2024 490.000 477.288</t>
        </is>
      </c>
      <c r="J3618" t="inlineStr">
        <is>
          <t>High</t>
        </is>
      </c>
      <c r="M3618" t="inlineStr">
        <is>
          <t>LLM</t>
        </is>
      </c>
      <c r="N3618" t="inlineStr">
        <is>
          <t>2026-04-19</t>
        </is>
      </c>
      <c r="O3618" t="inlineStr">
        <is>
          <t>AI</t>
        </is>
      </c>
    </row>
    <row r="3619">
      <c r="A3619" t="inlineStr">
        <is>
          <t>PT Nusantara Sawit Sejahtera Tbk</t>
        </is>
      </c>
      <c r="B3619" t="inlineStr">
        <is>
          <t>NSSS_2024_AR.pdf</t>
        </is>
      </c>
      <c r="C3619" t="n">
        <v>2024</v>
      </c>
      <c r="D3619" t="inlineStr">
        <is>
          <t>Operation</t>
        </is>
      </c>
      <c r="E3619" t="inlineStr">
        <is>
          <t>Third-Party FFB Volume</t>
        </is>
      </c>
      <c r="F3619" t="n">
        <v>14343</v>
      </c>
      <c r="G3619" t="inlineStr">
        <is>
          <t>t</t>
        </is>
      </c>
      <c r="H3619" t="n">
        <v>164</v>
      </c>
      <c r="I3619" t="inlineStr">
        <is>
          <t>TBS | FFB 14.343 6 6 (2024 total raw material from 6 local suppliers)</t>
        </is>
      </c>
      <c r="J3619" t="inlineStr">
        <is>
          <t>High</t>
        </is>
      </c>
      <c r="M3619" t="inlineStr">
        <is>
          <t>LLM</t>
        </is>
      </c>
      <c r="N3619" t="inlineStr">
        <is>
          <t>2026-04-19</t>
        </is>
      </c>
      <c r="O3619" t="inlineStr">
        <is>
          <t>AI</t>
        </is>
      </c>
    </row>
    <row r="3620">
      <c r="A3620" t="inlineStr">
        <is>
          <t>PT Nusantara Sawit Sejahtera Tbk</t>
        </is>
      </c>
      <c r="B3620" t="inlineStr">
        <is>
          <t>NSSS_2024_AR.pdf</t>
        </is>
      </c>
      <c r="C3620" t="n">
        <v>2024</v>
      </c>
      <c r="D3620" t="inlineStr">
        <is>
          <t>ESG</t>
        </is>
      </c>
      <c r="E3620" t="inlineStr">
        <is>
          <t>ISPO Certifications</t>
        </is>
      </c>
      <c r="F3620" t="n">
        <v>3</v>
      </c>
      <c r="G3620" t="inlineStr">
        <is>
          <t>count</t>
        </is>
      </c>
      <c r="H3620" t="n">
        <v>10</v>
      </c>
      <c r="I3620" t="inlineStr">
        <is>
          <t>PT NSP, PT BSP, dan PT PMM telah mendapatkan sertifikat ISPO</t>
        </is>
      </c>
      <c r="J3620" t="inlineStr">
        <is>
          <t>High</t>
        </is>
      </c>
      <c r="M3620" t="inlineStr">
        <is>
          <t>LLM</t>
        </is>
      </c>
      <c r="N3620" t="inlineStr">
        <is>
          <t>2026-04-19</t>
        </is>
      </c>
      <c r="O3620" t="inlineStr">
        <is>
          <t>AI</t>
        </is>
      </c>
    </row>
    <row r="3621">
      <c r="A3621" t="inlineStr">
        <is>
          <t>PT Nusantara Sawit Sejahtera Tbk</t>
        </is>
      </c>
      <c r="B3621" t="inlineStr">
        <is>
          <t>NSSS_2024_AR.pdf</t>
        </is>
      </c>
      <c r="C3621" t="n">
        <v>2024</v>
      </c>
      <c r="D3621" t="inlineStr">
        <is>
          <t>ESG</t>
        </is>
      </c>
      <c r="E3621" t="inlineStr">
        <is>
          <t>GHG Emissions</t>
        </is>
      </c>
      <c r="F3621" t="n">
        <v>29779</v>
      </c>
      <c r="G3621" t="inlineStr">
        <is>
          <t>tCO2e</t>
        </is>
      </c>
      <c r="H3621" t="n">
        <v>10</v>
      </c>
      <c r="I3621" t="inlineStr">
        <is>
          <t>Emisi Gas Rumah Kaca ton COe 29.779,44</t>
        </is>
      </c>
      <c r="J3621" t="inlineStr">
        <is>
          <t>High</t>
        </is>
      </c>
      <c r="M3621" t="inlineStr">
        <is>
          <t>LLM</t>
        </is>
      </c>
      <c r="N3621" t="inlineStr">
        <is>
          <t>2026-04-19</t>
        </is>
      </c>
      <c r="O3621" t="inlineStr">
        <is>
          <t>AI</t>
        </is>
      </c>
    </row>
    <row r="3622">
      <c r="A3622" t="inlineStr">
        <is>
          <t>PT Nusantara Sawit Sejahtera Tbk</t>
        </is>
      </c>
      <c r="B3622" t="inlineStr">
        <is>
          <t>NSSS_2024_AR.pdf</t>
        </is>
      </c>
      <c r="C3622" t="n">
        <v>2024</v>
      </c>
      <c r="D3622" t="inlineStr">
        <is>
          <t>ESG</t>
        </is>
      </c>
      <c r="E3622" t="inlineStr">
        <is>
          <t>Emission Reduction</t>
        </is>
      </c>
      <c r="F3622" t="n">
        <v>0.9044</v>
      </c>
      <c r="G3622" t="inlineStr">
        <is>
          <t>%</t>
        </is>
      </c>
      <c r="H3622" t="n">
        <v>10</v>
      </c>
      <c r="I3622" t="inlineStr">
        <is>
          <t>Hasil Penurunan Emisi % 90,44</t>
        </is>
      </c>
      <c r="J3622" t="inlineStr">
        <is>
          <t>High</t>
        </is>
      </c>
      <c r="M3622" t="inlineStr">
        <is>
          <t>LLM</t>
        </is>
      </c>
      <c r="N3622" t="inlineStr">
        <is>
          <t>2026-04-19</t>
        </is>
      </c>
      <c r="O3622" t="inlineStr">
        <is>
          <t>AI</t>
        </is>
      </c>
    </row>
    <row r="3623">
      <c r="A3623" t="inlineStr">
        <is>
          <t>PT Nusantara Sawit Sejahtera Tbk</t>
        </is>
      </c>
      <c r="B3623" t="inlineStr">
        <is>
          <t>NSSS_2024_AR.pdf</t>
        </is>
      </c>
      <c r="C3623" t="n">
        <v>2024</v>
      </c>
      <c r="D3623" t="inlineStr">
        <is>
          <t>ESG</t>
        </is>
      </c>
      <c r="E3623" t="inlineStr">
        <is>
          <t>CSR Fund</t>
        </is>
      </c>
      <c r="F3623" t="n">
        <v>1447</v>
      </c>
      <c r="G3623" t="inlineStr">
        <is>
          <t>IDR mn</t>
        </is>
      </c>
      <c r="H3623" t="n">
        <v>11</v>
      </c>
      <c r="I3623" t="inlineStr">
        <is>
          <t>Dana TJSL Rp juta 1.447</t>
        </is>
      </c>
      <c r="J3623" t="inlineStr">
        <is>
          <t>High</t>
        </is>
      </c>
      <c r="M3623" t="inlineStr">
        <is>
          <t>LLM</t>
        </is>
      </c>
      <c r="N3623" t="inlineStr">
        <is>
          <t>2026-04-19</t>
        </is>
      </c>
      <c r="O3623" t="inlineStr">
        <is>
          <t>AI</t>
        </is>
      </c>
    </row>
    <row r="3624">
      <c r="A3624" t="inlineStr">
        <is>
          <t>PT Nusantara Sawit Sejahtera Tbk</t>
        </is>
      </c>
      <c r="B3624" t="inlineStr">
        <is>
          <t>NSSS_2024_AR.pdf</t>
        </is>
      </c>
      <c r="C3624" t="n">
        <v>2024</v>
      </c>
      <c r="D3624" t="inlineStr">
        <is>
          <t>ESG</t>
        </is>
      </c>
      <c r="E3624" t="inlineStr">
        <is>
          <t>Water Consumption</t>
        </is>
      </c>
      <c r="F3624" t="n">
        <v>591812</v>
      </c>
      <c r="G3624" t="inlineStr">
        <is>
          <t>m3</t>
        </is>
      </c>
      <c r="H3624" t="n">
        <v>11</v>
      </c>
      <c r="I3624" t="inlineStr">
        <is>
          <t>Konsumsi Air m3 591.812,00</t>
        </is>
      </c>
      <c r="J3624" t="inlineStr">
        <is>
          <t>High</t>
        </is>
      </c>
      <c r="M3624" t="inlineStr">
        <is>
          <t>LLM</t>
        </is>
      </c>
      <c r="N3624" t="inlineStr">
        <is>
          <t>2026-04-19</t>
        </is>
      </c>
      <c r="O3624" t="inlineStr">
        <is>
          <t>AI</t>
        </is>
      </c>
    </row>
    <row r="3625">
      <c r="A3625" t="inlineStr">
        <is>
          <t>PT Indo Oil Perkasa Tbk</t>
        </is>
      </c>
      <c r="B3625" t="inlineStr">
        <is>
          <t>OILS_2022_AR.pdf</t>
        </is>
      </c>
      <c r="C3625" t="n">
        <v>2022</v>
      </c>
      <c r="D3625" t="inlineStr">
        <is>
          <t>Company</t>
        </is>
      </c>
      <c r="E3625" t="inlineStr">
        <is>
          <t>Company Name</t>
        </is>
      </c>
      <c r="F3625" t="inlineStr">
        <is>
          <t>PT Indo Oil Perkasa Tbk</t>
        </is>
      </c>
      <c r="G3625" t="inlineStr">
        <is>
          <t>text</t>
        </is>
      </c>
      <c r="H3625" t="n">
        <v>2</v>
      </c>
      <c r="I3625" t="inlineStr">
        <is>
          <t>PT Indo Oil Perkasa Tbk</t>
        </is>
      </c>
      <c r="J3625" t="inlineStr">
        <is>
          <t>High</t>
        </is>
      </c>
      <c r="M3625" t="inlineStr">
        <is>
          <t>LLM</t>
        </is>
      </c>
      <c r="N3625" t="inlineStr">
        <is>
          <t>2026-04-19</t>
        </is>
      </c>
      <c r="O3625" t="inlineStr">
        <is>
          <t>AI</t>
        </is>
      </c>
    </row>
    <row r="3626">
      <c r="A3626" t="inlineStr">
        <is>
          <t>PT Indo Oil Perkasa Tbk</t>
        </is>
      </c>
      <c r="B3626" t="inlineStr">
        <is>
          <t>OILS_2022_AR.pdf</t>
        </is>
      </c>
      <c r="C3626" t="n">
        <v>2022</v>
      </c>
      <c r="D3626" t="inlineStr">
        <is>
          <t>Company</t>
        </is>
      </c>
      <c r="E3626" t="inlineStr">
        <is>
          <t>Ticker</t>
        </is>
      </c>
      <c r="F3626" t="inlineStr">
        <is>
          <t>OILS</t>
        </is>
      </c>
      <c r="G3626" t="inlineStr">
        <is>
          <t>text</t>
        </is>
      </c>
      <c r="H3626" t="n">
        <v>8</v>
      </c>
      <c r="I3626" t="inlineStr">
        <is>
          <t>ticker symbol OILS listed 6 September 2021</t>
        </is>
      </c>
      <c r="J3626" t="inlineStr">
        <is>
          <t>High</t>
        </is>
      </c>
      <c r="M3626" t="inlineStr">
        <is>
          <t>LLM</t>
        </is>
      </c>
      <c r="N3626" t="inlineStr">
        <is>
          <t>2026-04-19</t>
        </is>
      </c>
      <c r="O3626" t="inlineStr">
        <is>
          <t>AI</t>
        </is>
      </c>
    </row>
    <row r="3627">
      <c r="A3627" t="inlineStr">
        <is>
          <t>PT Indo Oil Perkasa Tbk</t>
        </is>
      </c>
      <c r="B3627" t="inlineStr">
        <is>
          <t>OILS_2022_AR.pdf</t>
        </is>
      </c>
      <c r="C3627" t="n">
        <v>2022</v>
      </c>
      <c r="D3627" t="inlineStr">
        <is>
          <t>Company</t>
        </is>
      </c>
      <c r="E3627" t="inlineStr">
        <is>
          <t>Primary Business</t>
        </is>
      </c>
      <c r="F3627" t="inlineStr">
        <is>
          <t>Crude Coconut Oil (CNO) processing and copra meal</t>
        </is>
      </c>
      <c r="G3627" t="inlineStr">
        <is>
          <t>text</t>
        </is>
      </c>
      <c r="H3627" t="n">
        <v>45</v>
      </c>
      <c r="I3627" t="inlineStr">
        <is>
          <t>Crude Coconut Oil (CNO) merupakan salah satu komoditas minyak nabati</t>
        </is>
      </c>
      <c r="J3627" t="inlineStr">
        <is>
          <t>High</t>
        </is>
      </c>
      <c r="M3627" t="inlineStr">
        <is>
          <t>LLM</t>
        </is>
      </c>
      <c r="N3627" t="inlineStr">
        <is>
          <t>2026-04-19</t>
        </is>
      </c>
      <c r="O3627" t="inlineStr">
        <is>
          <t>AI</t>
        </is>
      </c>
    </row>
    <row r="3628">
      <c r="A3628" t="inlineStr">
        <is>
          <t>PT Indo Oil Perkasa Tbk</t>
        </is>
      </c>
      <c r="B3628" t="inlineStr">
        <is>
          <t>OILS_2022_AR.pdf</t>
        </is>
      </c>
      <c r="C3628" t="n">
        <v>2022</v>
      </c>
      <c r="D3628" t="inlineStr">
        <is>
          <t>Company</t>
        </is>
      </c>
      <c r="E3628" t="inlineStr">
        <is>
          <t>Listing Date</t>
        </is>
      </c>
      <c r="F3628" t="inlineStr">
        <is>
          <t>6 September 2021</t>
        </is>
      </c>
      <c r="G3628" t="inlineStr">
        <is>
          <t>date</t>
        </is>
      </c>
      <c r="H3628" t="n">
        <v>8</v>
      </c>
      <c r="I3628" t="inlineStr">
        <is>
          <t>diperdagangkan perdana di Bursa Efek Indonesia pada tanggal 6 September 2021</t>
        </is>
      </c>
      <c r="J3628" t="inlineStr">
        <is>
          <t>High</t>
        </is>
      </c>
      <c r="M3628" t="inlineStr">
        <is>
          <t>LLM</t>
        </is>
      </c>
      <c r="N3628" t="inlineStr">
        <is>
          <t>2026-04-19</t>
        </is>
      </c>
      <c r="O3628" t="inlineStr">
        <is>
          <t>AI</t>
        </is>
      </c>
    </row>
    <row r="3629">
      <c r="A3629" t="inlineStr">
        <is>
          <t>PT Indo Oil Perkasa Tbk</t>
        </is>
      </c>
      <c r="B3629" t="inlineStr">
        <is>
          <t>OILS_2022_AR.pdf</t>
        </is>
      </c>
      <c r="C3629" t="n">
        <v>2022</v>
      </c>
      <c r="D3629" t="inlineStr">
        <is>
          <t>Company</t>
        </is>
      </c>
      <c r="E3629" t="inlineStr">
        <is>
          <t>IPO Price</t>
        </is>
      </c>
      <c r="F3629" t="n">
        <v>270</v>
      </c>
      <c r="G3629" t="inlineStr">
        <is>
          <t>Rp/share</t>
        </is>
      </c>
      <c r="H3629" t="n">
        <v>8</v>
      </c>
      <c r="I3629" t="inlineStr">
        <is>
          <t>dengan harga penawaran perdana sebesar Rp270 per lembar saham</t>
        </is>
      </c>
      <c r="J3629" t="inlineStr">
        <is>
          <t>High</t>
        </is>
      </c>
      <c r="M3629" t="inlineStr">
        <is>
          <t>LLM</t>
        </is>
      </c>
      <c r="N3629" t="inlineStr">
        <is>
          <t>2026-04-19</t>
        </is>
      </c>
      <c r="O3629" t="inlineStr">
        <is>
          <t>AI</t>
        </is>
      </c>
    </row>
    <row r="3630">
      <c r="A3630" t="inlineStr">
        <is>
          <t>PT Indo Oil Perkasa Tbk</t>
        </is>
      </c>
      <c r="B3630" t="inlineStr">
        <is>
          <t>OILS_2022_AR.pdf</t>
        </is>
      </c>
      <c r="C3630" t="n">
        <v>2022</v>
      </c>
      <c r="D3630" t="inlineStr">
        <is>
          <t>Company</t>
        </is>
      </c>
      <c r="E3630" t="inlineStr">
        <is>
          <t>Controlling Shareholder</t>
        </is>
      </c>
      <c r="F3630" t="inlineStr">
        <is>
          <t>Sulastri</t>
        </is>
      </c>
      <c r="G3630" t="inlineStr">
        <is>
          <t>text</t>
        </is>
      </c>
      <c r="H3630" t="n">
        <v>47</v>
      </c>
      <c r="I3630" t="inlineStr">
        <is>
          <t>pengendali Perseroan adalah Sulastri (per 2024 AR, same structure)</t>
        </is>
      </c>
      <c r="J3630" t="inlineStr">
        <is>
          <t>High</t>
        </is>
      </c>
      <c r="M3630" t="inlineStr">
        <is>
          <t>LLM</t>
        </is>
      </c>
      <c r="N3630" t="inlineStr">
        <is>
          <t>2026-04-19</t>
        </is>
      </c>
      <c r="O3630" t="inlineStr">
        <is>
          <t>AI</t>
        </is>
      </c>
    </row>
    <row r="3631">
      <c r="A3631" t="inlineStr">
        <is>
          <t>PT Indo Oil Perkasa Tbk</t>
        </is>
      </c>
      <c r="B3631" t="inlineStr">
        <is>
          <t>OILS_2022_AR.pdf</t>
        </is>
      </c>
      <c r="C3631" t="n">
        <v>2022</v>
      </c>
      <c r="D3631" t="inlineStr">
        <is>
          <t>Company</t>
        </is>
      </c>
      <c r="E3631" t="inlineStr">
        <is>
          <t>PT Mandalindo Putra Perkasa Ownership</t>
        </is>
      </c>
      <c r="F3631" t="n">
        <v>0.4785</v>
      </c>
      <c r="G3631" t="inlineStr">
        <is>
          <t>%</t>
        </is>
      </c>
      <c r="H3631" t="n">
        <v>47</v>
      </c>
      <c r="I3631" t="inlineStr">
        <is>
          <t>PT Mandalindo Putra Perkasa 47.85 (same structure)</t>
        </is>
      </c>
      <c r="J3631" t="inlineStr">
        <is>
          <t>High</t>
        </is>
      </c>
      <c r="M3631" t="inlineStr">
        <is>
          <t>LLM</t>
        </is>
      </c>
      <c r="N3631" t="inlineStr">
        <is>
          <t>2026-04-19</t>
        </is>
      </c>
      <c r="O3631" t="inlineStr">
        <is>
          <t>AI</t>
        </is>
      </c>
    </row>
    <row r="3632">
      <c r="A3632" t="inlineStr">
        <is>
          <t>PT Indo Oil Perkasa Tbk</t>
        </is>
      </c>
      <c r="B3632" t="inlineStr">
        <is>
          <t>OILS_2022_AR.pdf</t>
        </is>
      </c>
      <c r="C3632" t="n">
        <v>2022</v>
      </c>
      <c r="D3632" t="inlineStr">
        <is>
          <t>Company</t>
        </is>
      </c>
      <c r="E3632" t="inlineStr">
        <is>
          <t>Shares Outstanding</t>
        </is>
      </c>
      <c r="F3632" t="n">
        <v>454056563</v>
      </c>
      <c r="G3632" t="inlineStr">
        <is>
          <t>shares</t>
        </is>
      </c>
      <c r="H3632" t="n">
        <v>8</v>
      </c>
      <c r="I3632" t="inlineStr">
        <is>
          <t>Saham yang Beredar 454.056.563 (end 2022)</t>
        </is>
      </c>
      <c r="J3632" t="inlineStr">
        <is>
          <t>High</t>
        </is>
      </c>
      <c r="M3632" t="inlineStr">
        <is>
          <t>LLM</t>
        </is>
      </c>
      <c r="N3632" t="inlineStr">
        <is>
          <t>2026-04-19</t>
        </is>
      </c>
      <c r="O3632" t="inlineStr">
        <is>
          <t>AI</t>
        </is>
      </c>
    </row>
    <row r="3633">
      <c r="A3633" t="inlineStr">
        <is>
          <t>PT Indo Oil Perkasa Tbk</t>
        </is>
      </c>
      <c r="B3633" t="inlineStr">
        <is>
          <t>OILS_2022_AR.pdf</t>
        </is>
      </c>
      <c r="C3633" t="n">
        <v>2022</v>
      </c>
      <c r="D3633" t="inlineStr">
        <is>
          <t>Financial</t>
        </is>
      </c>
      <c r="E3633" t="inlineStr">
        <is>
          <t>Revenue (Sales)</t>
        </is>
      </c>
      <c r="F3633" t="n">
        <v>514.2</v>
      </c>
      <c r="G3633" t="inlineStr">
        <is>
          <t>IDR bn</t>
        </is>
      </c>
      <c r="H3633" t="n">
        <v>6</v>
      </c>
      <c r="I3633" t="inlineStr">
        <is>
          <t>Penjualan 514.201,82 (in juta = 514.20 bn)</t>
        </is>
      </c>
      <c r="J3633" t="inlineStr">
        <is>
          <t>High</t>
        </is>
      </c>
      <c r="M3633" t="inlineStr">
        <is>
          <t>LLM</t>
        </is>
      </c>
      <c r="N3633" t="inlineStr">
        <is>
          <t>2026-04-19</t>
        </is>
      </c>
      <c r="O3633" t="inlineStr">
        <is>
          <t>AI</t>
        </is>
      </c>
    </row>
    <row r="3634">
      <c r="A3634" t="inlineStr">
        <is>
          <t>PT Indo Oil Perkasa Tbk</t>
        </is>
      </c>
      <c r="B3634" t="inlineStr">
        <is>
          <t>OILS_2022_AR.pdf</t>
        </is>
      </c>
      <c r="C3634" t="n">
        <v>2022</v>
      </c>
      <c r="D3634" t="inlineStr">
        <is>
          <t>Financial</t>
        </is>
      </c>
      <c r="E3634" t="inlineStr">
        <is>
          <t>Cost of Goods Sold</t>
        </is>
      </c>
      <c r="F3634" t="n">
        <v>470.06</v>
      </c>
      <c r="G3634" t="inlineStr">
        <is>
          <t>IDR bn</t>
        </is>
      </c>
      <c r="H3634" t="n">
        <v>6</v>
      </c>
      <c r="I3634" t="inlineStr">
        <is>
          <t>Beban pokok penjualan (470.059,33)</t>
        </is>
      </c>
      <c r="J3634" t="inlineStr">
        <is>
          <t>High</t>
        </is>
      </c>
      <c r="M3634" t="inlineStr">
        <is>
          <t>LLM</t>
        </is>
      </c>
      <c r="N3634" t="inlineStr">
        <is>
          <t>2026-04-19</t>
        </is>
      </c>
      <c r="O3634" t="inlineStr">
        <is>
          <t>AI</t>
        </is>
      </c>
    </row>
    <row r="3635">
      <c r="A3635" t="inlineStr">
        <is>
          <t>PT Indo Oil Perkasa Tbk</t>
        </is>
      </c>
      <c r="B3635" t="inlineStr">
        <is>
          <t>OILS_2022_AR.pdf</t>
        </is>
      </c>
      <c r="C3635" t="n">
        <v>2022</v>
      </c>
      <c r="D3635" t="inlineStr">
        <is>
          <t>Financial</t>
        </is>
      </c>
      <c r="E3635" t="inlineStr">
        <is>
          <t>Gross Profit</t>
        </is>
      </c>
      <c r="F3635" t="n">
        <v>44.14</v>
      </c>
      <c r="G3635" t="inlineStr">
        <is>
          <t>IDR bn</t>
        </is>
      </c>
      <c r="H3635" t="n">
        <v>6</v>
      </c>
      <c r="I3635" t="inlineStr">
        <is>
          <t>Laba Bruto 44.142,48</t>
        </is>
      </c>
      <c r="J3635" t="inlineStr">
        <is>
          <t>High</t>
        </is>
      </c>
      <c r="M3635" t="inlineStr">
        <is>
          <t>LLM</t>
        </is>
      </c>
      <c r="N3635" t="inlineStr">
        <is>
          <t>2026-04-19</t>
        </is>
      </c>
      <c r="O3635" t="inlineStr">
        <is>
          <t>AI</t>
        </is>
      </c>
    </row>
    <row r="3636">
      <c r="A3636" t="inlineStr">
        <is>
          <t>PT Indo Oil Perkasa Tbk</t>
        </is>
      </c>
      <c r="B3636" t="inlineStr">
        <is>
          <t>OILS_2022_AR.pdf</t>
        </is>
      </c>
      <c r="C3636" t="n">
        <v>2022</v>
      </c>
      <c r="D3636" t="inlineStr">
        <is>
          <t>Financial</t>
        </is>
      </c>
      <c r="E3636" t="inlineStr">
        <is>
          <t>G&amp;A Expenses</t>
        </is>
      </c>
      <c r="F3636" t="n">
        <v>27.02</v>
      </c>
      <c r="G3636" t="inlineStr">
        <is>
          <t>IDR bn</t>
        </is>
      </c>
      <c r="H3636" t="n">
        <v>6</v>
      </c>
      <c r="I3636" t="inlineStr">
        <is>
          <t>Beban Umum dan Administrasi (27.016,65)</t>
        </is>
      </c>
      <c r="J3636" t="inlineStr">
        <is>
          <t>High</t>
        </is>
      </c>
      <c r="M3636" t="inlineStr">
        <is>
          <t>LLM</t>
        </is>
      </c>
      <c r="N3636" t="inlineStr">
        <is>
          <t>2026-04-19</t>
        </is>
      </c>
      <c r="O3636" t="inlineStr">
        <is>
          <t>AI</t>
        </is>
      </c>
    </row>
    <row r="3637">
      <c r="A3637" t="inlineStr">
        <is>
          <t>PT Indo Oil Perkasa Tbk</t>
        </is>
      </c>
      <c r="B3637" t="inlineStr">
        <is>
          <t>OILS_2022_AR.pdf</t>
        </is>
      </c>
      <c r="C3637" t="n">
        <v>2022</v>
      </c>
      <c r="D3637" t="inlineStr">
        <is>
          <t>Financial</t>
        </is>
      </c>
      <c r="E3637" t="inlineStr">
        <is>
          <t>Operating Profit (Laba Usaha)</t>
        </is>
      </c>
      <c r="F3637" t="n">
        <v>15.18</v>
      </c>
      <c r="G3637" t="inlineStr">
        <is>
          <t>IDR bn</t>
        </is>
      </c>
      <c r="H3637" t="n">
        <v>38</v>
      </c>
      <c r="I3637" t="inlineStr">
        <is>
          <t>Laba Usaha 15.182.435.095 (from 2023 AR comparative)</t>
        </is>
      </c>
      <c r="J3637" t="inlineStr">
        <is>
          <t>High</t>
        </is>
      </c>
      <c r="M3637" t="inlineStr">
        <is>
          <t>LLM</t>
        </is>
      </c>
      <c r="N3637" t="inlineStr">
        <is>
          <t>2026-04-19</t>
        </is>
      </c>
      <c r="O3637" t="inlineStr">
        <is>
          <t>AI</t>
        </is>
      </c>
    </row>
    <row r="3638">
      <c r="A3638" t="inlineStr">
        <is>
          <t>PT Indo Oil Perkasa Tbk</t>
        </is>
      </c>
      <c r="B3638" t="inlineStr">
        <is>
          <t>OILS_2022_AR.pdf</t>
        </is>
      </c>
      <c r="C3638" t="n">
        <v>2022</v>
      </c>
      <c r="D3638" t="inlineStr">
        <is>
          <t>Financial</t>
        </is>
      </c>
      <c r="E3638" t="inlineStr">
        <is>
          <t>Finance Cost</t>
        </is>
      </c>
      <c r="F3638" t="n">
        <v>5.43</v>
      </c>
      <c r="G3638" t="inlineStr">
        <is>
          <t>IDR bn</t>
        </is>
      </c>
      <c r="H3638" t="n">
        <v>6</v>
      </c>
      <c r="I3638" t="inlineStr">
        <is>
          <t>Beban Bunga dan Keuangan (5.433,55)</t>
        </is>
      </c>
      <c r="J3638" t="inlineStr">
        <is>
          <t>High</t>
        </is>
      </c>
      <c r="M3638" t="inlineStr">
        <is>
          <t>LLM</t>
        </is>
      </c>
      <c r="N3638" t="inlineStr">
        <is>
          <t>2026-04-19</t>
        </is>
      </c>
      <c r="O3638" t="inlineStr">
        <is>
          <t>AI</t>
        </is>
      </c>
    </row>
    <row r="3639">
      <c r="A3639" t="inlineStr">
        <is>
          <t>PT Indo Oil Perkasa Tbk</t>
        </is>
      </c>
      <c r="B3639" t="inlineStr">
        <is>
          <t>OILS_2022_AR.pdf</t>
        </is>
      </c>
      <c r="C3639" t="n">
        <v>2022</v>
      </c>
      <c r="D3639" t="inlineStr">
        <is>
          <t>Financial</t>
        </is>
      </c>
      <c r="E3639" t="inlineStr">
        <is>
          <t>Profit Before Tax</t>
        </is>
      </c>
      <c r="F3639" t="n">
        <v>9.44</v>
      </c>
      <c r="G3639" t="inlineStr">
        <is>
          <t>IDR bn</t>
        </is>
      </c>
      <c r="H3639" t="n">
        <v>6</v>
      </c>
      <c r="I3639" t="inlineStr">
        <is>
          <t>Laba sebelum Pajak Penghasilan 9.441,74</t>
        </is>
      </c>
      <c r="J3639" t="inlineStr">
        <is>
          <t>High</t>
        </is>
      </c>
      <c r="M3639" t="inlineStr">
        <is>
          <t>LLM</t>
        </is>
      </c>
      <c r="N3639" t="inlineStr">
        <is>
          <t>2026-04-19</t>
        </is>
      </c>
      <c r="O3639" t="inlineStr">
        <is>
          <t>AI</t>
        </is>
      </c>
    </row>
    <row r="3640">
      <c r="A3640" t="inlineStr">
        <is>
          <t>PT Indo Oil Perkasa Tbk</t>
        </is>
      </c>
      <c r="B3640" t="inlineStr">
        <is>
          <t>OILS_2022_AR.pdf</t>
        </is>
      </c>
      <c r="C3640" t="n">
        <v>2022</v>
      </c>
      <c r="D3640" t="inlineStr">
        <is>
          <t>Financial</t>
        </is>
      </c>
      <c r="E3640" t="inlineStr">
        <is>
          <t>Current Tax</t>
        </is>
      </c>
      <c r="F3640" t="n">
        <v>2.72</v>
      </c>
      <c r="G3640" t="inlineStr">
        <is>
          <t>IDR bn</t>
        </is>
      </c>
      <c r="H3640" t="n">
        <v>6</v>
      </c>
      <c r="I3640" t="inlineStr">
        <is>
          <t>Pajak Kini (2.717,74)</t>
        </is>
      </c>
      <c r="J3640" t="inlineStr">
        <is>
          <t>High</t>
        </is>
      </c>
      <c r="M3640" t="inlineStr">
        <is>
          <t>LLM</t>
        </is>
      </c>
      <c r="N3640" t="inlineStr">
        <is>
          <t>2026-04-19</t>
        </is>
      </c>
      <c r="O3640" t="inlineStr">
        <is>
          <t>AI</t>
        </is>
      </c>
    </row>
    <row r="3641">
      <c r="A3641" t="inlineStr">
        <is>
          <t>PT Indo Oil Perkasa Tbk</t>
        </is>
      </c>
      <c r="B3641" t="inlineStr">
        <is>
          <t>OILS_2022_AR.pdf</t>
        </is>
      </c>
      <c r="C3641" t="n">
        <v>2022</v>
      </c>
      <c r="D3641" t="inlineStr">
        <is>
          <t>Financial</t>
        </is>
      </c>
      <c r="E3641" t="inlineStr">
        <is>
          <t>Net Profit</t>
        </is>
      </c>
      <c r="F3641" t="n">
        <v>6.82</v>
      </c>
      <c r="G3641" t="inlineStr">
        <is>
          <t>IDR bn</t>
        </is>
      </c>
      <c r="H3641" t="n">
        <v>6</v>
      </c>
      <c r="I3641" t="inlineStr">
        <is>
          <t>Laba Tahun Berjalan 6.817,79</t>
        </is>
      </c>
      <c r="J3641" t="inlineStr">
        <is>
          <t>High</t>
        </is>
      </c>
      <c r="M3641" t="inlineStr">
        <is>
          <t>LLM</t>
        </is>
      </c>
      <c r="N3641" t="inlineStr">
        <is>
          <t>2026-04-19</t>
        </is>
      </c>
      <c r="O3641" t="inlineStr">
        <is>
          <t>AI</t>
        </is>
      </c>
    </row>
    <row r="3642">
      <c r="A3642" t="inlineStr">
        <is>
          <t>PT Indo Oil Perkasa Tbk</t>
        </is>
      </c>
      <c r="B3642" t="inlineStr">
        <is>
          <t>OILS_2022_AR.pdf</t>
        </is>
      </c>
      <c r="C3642" t="n">
        <v>2022</v>
      </c>
      <c r="D3642" t="inlineStr">
        <is>
          <t>Financial</t>
        </is>
      </c>
      <c r="E3642" t="inlineStr">
        <is>
          <t>Total Assets</t>
        </is>
      </c>
      <c r="F3642" t="n">
        <v>157.98</v>
      </c>
      <c r="G3642" t="inlineStr">
        <is>
          <t>IDR bn</t>
        </is>
      </c>
      <c r="H3642" t="n">
        <v>6</v>
      </c>
      <c r="I3642" t="inlineStr">
        <is>
          <t>Total Aset 157.982,37</t>
        </is>
      </c>
      <c r="J3642" t="inlineStr">
        <is>
          <t>High</t>
        </is>
      </c>
      <c r="M3642" t="inlineStr">
        <is>
          <t>LLM</t>
        </is>
      </c>
      <c r="N3642" t="inlineStr">
        <is>
          <t>2026-04-19</t>
        </is>
      </c>
      <c r="O3642" t="inlineStr">
        <is>
          <t>AI</t>
        </is>
      </c>
    </row>
    <row r="3643">
      <c r="A3643" t="inlineStr">
        <is>
          <t>PT Indo Oil Perkasa Tbk</t>
        </is>
      </c>
      <c r="B3643" t="inlineStr">
        <is>
          <t>OILS_2022_AR.pdf</t>
        </is>
      </c>
      <c r="C3643" t="n">
        <v>2022</v>
      </c>
      <c r="D3643" t="inlineStr">
        <is>
          <t>Financial</t>
        </is>
      </c>
      <c r="E3643" t="inlineStr">
        <is>
          <t>Total Liabilities</t>
        </is>
      </c>
      <c r="F3643" t="n">
        <v>75.19</v>
      </c>
      <c r="G3643" t="inlineStr">
        <is>
          <t>IDR bn</t>
        </is>
      </c>
      <c r="H3643" t="n">
        <v>6</v>
      </c>
      <c r="I3643" t="inlineStr">
        <is>
          <t>Total Liabilitas 75.193,65</t>
        </is>
      </c>
      <c r="J3643" t="inlineStr">
        <is>
          <t>High</t>
        </is>
      </c>
      <c r="M3643" t="inlineStr">
        <is>
          <t>LLM</t>
        </is>
      </c>
      <c r="N3643" t="inlineStr">
        <is>
          <t>2026-04-19</t>
        </is>
      </c>
      <c r="O3643" t="inlineStr">
        <is>
          <t>AI</t>
        </is>
      </c>
    </row>
    <row r="3644">
      <c r="A3644" t="inlineStr">
        <is>
          <t>PT Indo Oil Perkasa Tbk</t>
        </is>
      </c>
      <c r="B3644" t="inlineStr">
        <is>
          <t>OILS_2022_AR.pdf</t>
        </is>
      </c>
      <c r="C3644" t="n">
        <v>2022</v>
      </c>
      <c r="D3644" t="inlineStr">
        <is>
          <t>Financial</t>
        </is>
      </c>
      <c r="E3644" t="inlineStr">
        <is>
          <t>Total Equity</t>
        </is>
      </c>
      <c r="F3644" t="n">
        <v>82.79000000000001</v>
      </c>
      <c r="G3644" t="inlineStr">
        <is>
          <t>IDR bn</t>
        </is>
      </c>
      <c r="H3644" t="n">
        <v>6</v>
      </c>
      <c r="I3644" t="inlineStr">
        <is>
          <t>Total Ekuitas 82.788,71</t>
        </is>
      </c>
      <c r="J3644" t="inlineStr">
        <is>
          <t>High</t>
        </is>
      </c>
      <c r="M3644" t="inlineStr">
        <is>
          <t>LLM</t>
        </is>
      </c>
      <c r="N3644" t="inlineStr">
        <is>
          <t>2026-04-19</t>
        </is>
      </c>
      <c r="O3644" t="inlineStr">
        <is>
          <t>AI</t>
        </is>
      </c>
    </row>
    <row r="3645">
      <c r="A3645" t="inlineStr">
        <is>
          <t>PT Indo Oil Perkasa Tbk</t>
        </is>
      </c>
      <c r="B3645" t="inlineStr">
        <is>
          <t>OILS_2022_AR.pdf</t>
        </is>
      </c>
      <c r="C3645" t="n">
        <v>2022</v>
      </c>
      <c r="D3645" t="inlineStr">
        <is>
          <t>Financial</t>
        </is>
      </c>
      <c r="E3645" t="inlineStr">
        <is>
          <t>Current Assets</t>
        </is>
      </c>
      <c r="F3645" t="n">
        <v>118.48</v>
      </c>
      <c r="G3645" t="inlineStr">
        <is>
          <t>IDR bn</t>
        </is>
      </c>
      <c r="H3645" t="n">
        <v>36</v>
      </c>
      <c r="I3645" t="inlineStr">
        <is>
          <t>Total Aset Lancar 118.480.028.424 (from 2023 AR comparative)</t>
        </is>
      </c>
      <c r="J3645" t="inlineStr">
        <is>
          <t>High</t>
        </is>
      </c>
      <c r="M3645" t="inlineStr">
        <is>
          <t>LLM</t>
        </is>
      </c>
      <c r="N3645" t="inlineStr">
        <is>
          <t>2026-04-19</t>
        </is>
      </c>
      <c r="O3645" t="inlineStr">
        <is>
          <t>AI</t>
        </is>
      </c>
    </row>
    <row r="3646">
      <c r="A3646" t="inlineStr">
        <is>
          <t>PT Indo Oil Perkasa Tbk</t>
        </is>
      </c>
      <c r="B3646" t="inlineStr">
        <is>
          <t>OILS_2022_AR.pdf</t>
        </is>
      </c>
      <c r="C3646" t="n">
        <v>2022</v>
      </c>
      <c r="D3646" t="inlineStr">
        <is>
          <t>Financial</t>
        </is>
      </c>
      <c r="E3646" t="inlineStr">
        <is>
          <t>Non-Current Assets</t>
        </is>
      </c>
      <c r="F3646" t="n">
        <v>39.5</v>
      </c>
      <c r="G3646" t="inlineStr">
        <is>
          <t>IDR bn</t>
        </is>
      </c>
      <c r="H3646" t="n">
        <v>36</v>
      </c>
      <c r="I3646" t="inlineStr">
        <is>
          <t>Total Aset Tidak Lancar 39.502.345.357 (from 2023 AR comparative)</t>
        </is>
      </c>
      <c r="J3646" t="inlineStr">
        <is>
          <t>High</t>
        </is>
      </c>
      <c r="M3646" t="inlineStr">
        <is>
          <t>LLM</t>
        </is>
      </c>
      <c r="N3646" t="inlineStr">
        <is>
          <t>2026-04-19</t>
        </is>
      </c>
      <c r="O3646" t="inlineStr">
        <is>
          <t>AI</t>
        </is>
      </c>
    </row>
    <row r="3647">
      <c r="A3647" t="inlineStr">
        <is>
          <t>PT Indo Oil Perkasa Tbk</t>
        </is>
      </c>
      <c r="B3647" t="inlineStr">
        <is>
          <t>OILS_2022_AR.pdf</t>
        </is>
      </c>
      <c r="C3647" t="n">
        <v>2022</v>
      </c>
      <c r="D3647" t="inlineStr">
        <is>
          <t>Financial</t>
        </is>
      </c>
      <c r="E3647" t="inlineStr">
        <is>
          <t>Current Liabilities</t>
        </is>
      </c>
      <c r="F3647" t="n">
        <v>67.98</v>
      </c>
      <c r="G3647" t="inlineStr">
        <is>
          <t>IDR bn</t>
        </is>
      </c>
      <c r="H3647" t="n">
        <v>37</v>
      </c>
      <c r="I3647" t="inlineStr">
        <is>
          <t>Total Liabilitas Jangka Pendek 67.976.353.450 (from 2023 AR)</t>
        </is>
      </c>
      <c r="J3647" t="inlineStr">
        <is>
          <t>High</t>
        </is>
      </c>
      <c r="M3647" t="inlineStr">
        <is>
          <t>LLM</t>
        </is>
      </c>
      <c r="N3647" t="inlineStr">
        <is>
          <t>2026-04-19</t>
        </is>
      </c>
      <c r="O3647" t="inlineStr">
        <is>
          <t>AI</t>
        </is>
      </c>
    </row>
    <row r="3648">
      <c r="A3648" t="inlineStr">
        <is>
          <t>PT Indo Oil Perkasa Tbk</t>
        </is>
      </c>
      <c r="B3648" t="inlineStr">
        <is>
          <t>OILS_2022_AR.pdf</t>
        </is>
      </c>
      <c r="C3648" t="n">
        <v>2022</v>
      </c>
      <c r="D3648" t="inlineStr">
        <is>
          <t>Financial</t>
        </is>
      </c>
      <c r="E3648" t="inlineStr">
        <is>
          <t>Non-Current Liabilities</t>
        </is>
      </c>
      <c r="F3648" t="n">
        <v>7.22</v>
      </c>
      <c r="G3648" t="inlineStr">
        <is>
          <t>IDR bn</t>
        </is>
      </c>
      <c r="H3648" t="n">
        <v>37</v>
      </c>
      <c r="I3648" t="inlineStr">
        <is>
          <t>Total Liabilitas Jangka Panjang 7.217.304.707 (from 2023 AR)</t>
        </is>
      </c>
      <c r="J3648" t="inlineStr">
        <is>
          <t>High</t>
        </is>
      </c>
      <c r="M3648" t="inlineStr">
        <is>
          <t>LLM</t>
        </is>
      </c>
      <c r="N3648" t="inlineStr">
        <is>
          <t>2026-04-19</t>
        </is>
      </c>
      <c r="O3648" t="inlineStr">
        <is>
          <t>AI</t>
        </is>
      </c>
    </row>
    <row r="3649">
      <c r="A3649" t="inlineStr">
        <is>
          <t>PT Indo Oil Perkasa Tbk</t>
        </is>
      </c>
      <c r="B3649" t="inlineStr">
        <is>
          <t>OILS_2022_AR.pdf</t>
        </is>
      </c>
      <c r="C3649" t="n">
        <v>2022</v>
      </c>
      <c r="D3649" t="inlineStr">
        <is>
          <t>Financial</t>
        </is>
      </c>
      <c r="E3649" t="inlineStr">
        <is>
          <t>Cash &amp; Equivalents</t>
        </is>
      </c>
      <c r="F3649" t="n">
        <v>7.96</v>
      </c>
      <c r="G3649" t="inlineStr">
        <is>
          <t>IDR bn</t>
        </is>
      </c>
      <c r="H3649" t="n">
        <v>6</v>
      </c>
      <c r="I3649" t="inlineStr">
        <is>
          <t>Kas dan Setara Kas Akhir Tahun 7.960,62</t>
        </is>
      </c>
      <c r="J3649" t="inlineStr">
        <is>
          <t>High</t>
        </is>
      </c>
      <c r="M3649" t="inlineStr">
        <is>
          <t>LLM</t>
        </is>
      </c>
      <c r="N3649" t="inlineStr">
        <is>
          <t>2026-04-19</t>
        </is>
      </c>
      <c r="O3649" t="inlineStr">
        <is>
          <t>AI</t>
        </is>
      </c>
    </row>
    <row r="3650">
      <c r="A3650" t="inlineStr">
        <is>
          <t>PT Indo Oil Perkasa Tbk</t>
        </is>
      </c>
      <c r="B3650" t="inlineStr">
        <is>
          <t>OILS_2022_AR.pdf</t>
        </is>
      </c>
      <c r="C3650" t="n">
        <v>2022</v>
      </c>
      <c r="D3650" t="inlineStr">
        <is>
          <t>Financial</t>
        </is>
      </c>
      <c r="E3650" t="inlineStr">
        <is>
          <t>Trade Receivables</t>
        </is>
      </c>
      <c r="F3650" t="n">
        <v>33.37</v>
      </c>
      <c r="G3650" t="inlineStr">
        <is>
          <t>IDR bn</t>
        </is>
      </c>
      <c r="H3650" t="n">
        <v>36</v>
      </c>
      <c r="I3650" t="inlineStr">
        <is>
          <t>Piutang Usaha 33.368.064.777 (from 2023 AR comparative)</t>
        </is>
      </c>
      <c r="J3650" t="inlineStr">
        <is>
          <t>High</t>
        </is>
      </c>
      <c r="M3650" t="inlineStr">
        <is>
          <t>LLM</t>
        </is>
      </c>
      <c r="N3650" t="inlineStr">
        <is>
          <t>2026-04-19</t>
        </is>
      </c>
      <c r="O3650" t="inlineStr">
        <is>
          <t>AI</t>
        </is>
      </c>
    </row>
    <row r="3651">
      <c r="A3651" t="inlineStr">
        <is>
          <t>PT Indo Oil Perkasa Tbk</t>
        </is>
      </c>
      <c r="B3651" t="inlineStr">
        <is>
          <t>OILS_2022_AR.pdf</t>
        </is>
      </c>
      <c r="C3651" t="n">
        <v>2022</v>
      </c>
      <c r="D3651" t="inlineStr">
        <is>
          <t>Financial</t>
        </is>
      </c>
      <c r="E3651" t="inlineStr">
        <is>
          <t>Inventories</t>
        </is>
      </c>
      <c r="F3651" t="n">
        <v>45.15</v>
      </c>
      <c r="G3651" t="inlineStr">
        <is>
          <t>IDR bn</t>
        </is>
      </c>
      <c r="H3651" t="n">
        <v>36</v>
      </c>
      <c r="I3651" t="inlineStr">
        <is>
          <t>Persediaan 45.147.600.523 (from 2023 AR comparative)</t>
        </is>
      </c>
      <c r="J3651" t="inlineStr">
        <is>
          <t>High</t>
        </is>
      </c>
      <c r="M3651" t="inlineStr">
        <is>
          <t>LLM</t>
        </is>
      </c>
      <c r="N3651" t="inlineStr">
        <is>
          <t>2026-04-19</t>
        </is>
      </c>
      <c r="O3651" t="inlineStr">
        <is>
          <t>AI</t>
        </is>
      </c>
    </row>
    <row r="3652">
      <c r="A3652" t="inlineStr">
        <is>
          <t>PT Indo Oil Perkasa Tbk</t>
        </is>
      </c>
      <c r="B3652" t="inlineStr">
        <is>
          <t>OILS_2022_AR.pdf</t>
        </is>
      </c>
      <c r="C3652" t="n">
        <v>2022</v>
      </c>
      <c r="D3652" t="inlineStr">
        <is>
          <t>Financial</t>
        </is>
      </c>
      <c r="E3652" t="inlineStr">
        <is>
          <t>Fixed Assets (Net)</t>
        </is>
      </c>
      <c r="F3652" t="n">
        <v>39.35</v>
      </c>
      <c r="G3652" t="inlineStr">
        <is>
          <t>IDR bn</t>
        </is>
      </c>
      <c r="H3652" t="n">
        <v>36</v>
      </c>
      <c r="I3652" t="inlineStr">
        <is>
          <t>Aset Tetap - Neto 39.350.043.495 (from 2023 AR comparative)</t>
        </is>
      </c>
      <c r="J3652" t="inlineStr">
        <is>
          <t>High</t>
        </is>
      </c>
      <c r="M3652" t="inlineStr">
        <is>
          <t>LLM</t>
        </is>
      </c>
      <c r="N3652" t="inlineStr">
        <is>
          <t>2026-04-19</t>
        </is>
      </c>
      <c r="O3652" t="inlineStr">
        <is>
          <t>AI</t>
        </is>
      </c>
    </row>
    <row r="3653">
      <c r="A3653" t="inlineStr">
        <is>
          <t>PT Indo Oil Perkasa Tbk</t>
        </is>
      </c>
      <c r="B3653" t="inlineStr">
        <is>
          <t>OILS_2022_AR.pdf</t>
        </is>
      </c>
      <c r="C3653" t="n">
        <v>2022</v>
      </c>
      <c r="D3653" t="inlineStr">
        <is>
          <t>Financial</t>
        </is>
      </c>
      <c r="E3653" t="inlineStr">
        <is>
          <t>Short-term Bank Loans</t>
        </is>
      </c>
      <c r="F3653" t="n">
        <v>43.65</v>
      </c>
      <c r="G3653" t="inlineStr">
        <is>
          <t>IDR bn</t>
        </is>
      </c>
      <c r="H3653" t="n">
        <v>37</v>
      </c>
      <c r="I3653" t="inlineStr">
        <is>
          <t>Utang Bank Jangka Pendek 43.646.838.903 (from 2023 AR)</t>
        </is>
      </c>
      <c r="J3653" t="inlineStr">
        <is>
          <t>High</t>
        </is>
      </c>
      <c r="M3653" t="inlineStr">
        <is>
          <t>LLM</t>
        </is>
      </c>
      <c r="N3653" t="inlineStr">
        <is>
          <t>2026-04-19</t>
        </is>
      </c>
      <c r="O3653" t="inlineStr">
        <is>
          <t>AI</t>
        </is>
      </c>
    </row>
    <row r="3654">
      <c r="A3654" t="inlineStr">
        <is>
          <t>PT Indo Oil Perkasa Tbk</t>
        </is>
      </c>
      <c r="B3654" t="inlineStr">
        <is>
          <t>OILS_2022_AR.pdf</t>
        </is>
      </c>
      <c r="C3654" t="n">
        <v>2022</v>
      </c>
      <c r="D3654" t="inlineStr">
        <is>
          <t>Financial</t>
        </is>
      </c>
      <c r="E3654" t="inlineStr">
        <is>
          <t>Long-term Bank Loans (Non-Current)</t>
        </is>
      </c>
      <c r="F3654" t="n">
        <v>5.69</v>
      </c>
      <c r="G3654" t="inlineStr">
        <is>
          <t>IDR bn</t>
        </is>
      </c>
      <c r="H3654" t="n">
        <v>37</v>
      </c>
      <c r="I3654" t="inlineStr">
        <is>
          <t>Utang Bank 5.685.013.348 (non-current, from 2023 AR)</t>
        </is>
      </c>
      <c r="J3654" t="inlineStr">
        <is>
          <t>High</t>
        </is>
      </c>
      <c r="M3654" t="inlineStr">
        <is>
          <t>LLM</t>
        </is>
      </c>
      <c r="N3654" t="inlineStr">
        <is>
          <t>2026-04-19</t>
        </is>
      </c>
      <c r="O3654" t="inlineStr">
        <is>
          <t>AI</t>
        </is>
      </c>
    </row>
    <row r="3655">
      <c r="A3655" t="inlineStr">
        <is>
          <t>PT Indo Oil Perkasa Tbk</t>
        </is>
      </c>
      <c r="B3655" t="inlineStr">
        <is>
          <t>OILS_2022_AR.pdf</t>
        </is>
      </c>
      <c r="C3655" t="n">
        <v>2022</v>
      </c>
      <c r="D3655" t="inlineStr">
        <is>
          <t>Financial</t>
        </is>
      </c>
      <c r="E3655" t="inlineStr">
        <is>
          <t>Long-term Bank Loans (Current Portion)</t>
        </is>
      </c>
      <c r="F3655" t="n">
        <v>1.75</v>
      </c>
      <c r="G3655" t="inlineStr">
        <is>
          <t>IDR bn</t>
        </is>
      </c>
      <c r="H3655" t="n">
        <v>37</v>
      </c>
      <c r="I3655" t="inlineStr">
        <is>
          <t>Utang Bank 1.747.194.865 (current maturities)</t>
        </is>
      </c>
      <c r="J3655" t="inlineStr">
        <is>
          <t>High</t>
        </is>
      </c>
      <c r="M3655" t="inlineStr">
        <is>
          <t>LLM</t>
        </is>
      </c>
      <c r="N3655" t="inlineStr">
        <is>
          <t>2026-04-19</t>
        </is>
      </c>
      <c r="O3655" t="inlineStr">
        <is>
          <t>AI</t>
        </is>
      </c>
    </row>
    <row r="3656">
      <c r="A3656" t="inlineStr">
        <is>
          <t>PT Indo Oil Perkasa Tbk</t>
        </is>
      </c>
      <c r="B3656" t="inlineStr">
        <is>
          <t>OILS_2022_AR.pdf</t>
        </is>
      </c>
      <c r="C3656" t="n">
        <v>2022</v>
      </c>
      <c r="D3656" t="inlineStr">
        <is>
          <t>Financial</t>
        </is>
      </c>
      <c r="E3656" t="inlineStr">
        <is>
          <t>Gross Bank Debt (Total)</t>
        </is>
      </c>
      <c r="F3656" t="n">
        <v>51.08</v>
      </c>
      <c r="G3656" t="inlineStr">
        <is>
          <t>IDR bn</t>
        </is>
      </c>
      <c r="H3656" t="n">
        <v>37</v>
      </c>
      <c r="I3656" t="inlineStr">
        <is>
          <t>Calc: 43.65 + 1.75 + 5.69 = 51.08</t>
        </is>
      </c>
      <c r="J3656" t="inlineStr">
        <is>
          <t>High</t>
        </is>
      </c>
      <c r="M3656" t="inlineStr">
        <is>
          <t>LLM</t>
        </is>
      </c>
      <c r="N3656" t="inlineStr">
        <is>
          <t>2026-04-19</t>
        </is>
      </c>
      <c r="O3656" t="inlineStr">
        <is>
          <t>AI</t>
        </is>
      </c>
    </row>
    <row r="3657">
      <c r="A3657" t="inlineStr">
        <is>
          <t>PT Indo Oil Perkasa Tbk</t>
        </is>
      </c>
      <c r="B3657" t="inlineStr">
        <is>
          <t>OILS_2022_AR.pdf</t>
        </is>
      </c>
      <c r="C3657" t="n">
        <v>2022</v>
      </c>
      <c r="D3657" t="inlineStr">
        <is>
          <t>Financial</t>
        </is>
      </c>
      <c r="E3657" t="inlineStr">
        <is>
          <t>CFO</t>
        </is>
      </c>
      <c r="F3657" t="n">
        <v>18.87</v>
      </c>
      <c r="G3657" t="inlineStr">
        <is>
          <t>IDR bn</t>
        </is>
      </c>
      <c r="H3657" t="n">
        <v>6</v>
      </c>
      <c r="I3657" t="inlineStr">
        <is>
          <t>Arus Kas dari Aktivitas Operasi 18.865,67</t>
        </is>
      </c>
      <c r="J3657" t="inlineStr">
        <is>
          <t>High</t>
        </is>
      </c>
      <c r="M3657" t="inlineStr">
        <is>
          <t>LLM</t>
        </is>
      </c>
      <c r="N3657" t="inlineStr">
        <is>
          <t>2026-04-19</t>
        </is>
      </c>
      <c r="O3657" t="inlineStr">
        <is>
          <t>AI</t>
        </is>
      </c>
    </row>
    <row r="3658">
      <c r="A3658" t="inlineStr">
        <is>
          <t>PT Indo Oil Perkasa Tbk</t>
        </is>
      </c>
      <c r="B3658" t="inlineStr">
        <is>
          <t>OILS_2022_AR.pdf</t>
        </is>
      </c>
      <c r="C3658" t="n">
        <v>2022</v>
      </c>
      <c r="D3658" t="inlineStr">
        <is>
          <t>Financial</t>
        </is>
      </c>
      <c r="E3658" t="inlineStr">
        <is>
          <t>CFI</t>
        </is>
      </c>
      <c r="F3658" t="n">
        <v>-27.22</v>
      </c>
      <c r="G3658" t="inlineStr">
        <is>
          <t>IDR bn</t>
        </is>
      </c>
      <c r="H3658" t="n">
        <v>6</v>
      </c>
      <c r="I3658" t="inlineStr">
        <is>
          <t>Arus Kas dari Aktivitas Investasi (27.224,53)</t>
        </is>
      </c>
      <c r="J3658" t="inlineStr">
        <is>
          <t>High</t>
        </is>
      </c>
      <c r="M3658" t="inlineStr">
        <is>
          <t>LLM</t>
        </is>
      </c>
      <c r="N3658" t="inlineStr">
        <is>
          <t>2026-04-19</t>
        </is>
      </c>
      <c r="O3658" t="inlineStr">
        <is>
          <t>AI</t>
        </is>
      </c>
    </row>
    <row r="3659">
      <c r="A3659" t="inlineStr">
        <is>
          <t>PT Indo Oil Perkasa Tbk</t>
        </is>
      </c>
      <c r="B3659" t="inlineStr">
        <is>
          <t>OILS_2022_AR.pdf</t>
        </is>
      </c>
      <c r="C3659" t="n">
        <v>2022</v>
      </c>
      <c r="D3659" t="inlineStr">
        <is>
          <t>Financial</t>
        </is>
      </c>
      <c r="E3659" t="inlineStr">
        <is>
          <t>CFF</t>
        </is>
      </c>
      <c r="F3659" t="n">
        <v>11.34</v>
      </c>
      <c r="G3659" t="inlineStr">
        <is>
          <t>IDR bn</t>
        </is>
      </c>
      <c r="H3659" t="n">
        <v>6</v>
      </c>
      <c r="I3659" t="inlineStr">
        <is>
          <t>Arus Kas dari Aktivitas Pendanaan 11.336,87</t>
        </is>
      </c>
      <c r="J3659" t="inlineStr">
        <is>
          <t>High</t>
        </is>
      </c>
      <c r="M3659" t="inlineStr">
        <is>
          <t>LLM</t>
        </is>
      </c>
      <c r="N3659" t="inlineStr">
        <is>
          <t>2026-04-19</t>
        </is>
      </c>
      <c r="O3659" t="inlineStr">
        <is>
          <t>AI</t>
        </is>
      </c>
    </row>
    <row r="3660">
      <c r="A3660" t="inlineStr">
        <is>
          <t>PT Indo Oil Perkasa Tbk</t>
        </is>
      </c>
      <c r="B3660" t="inlineStr">
        <is>
          <t>OILS_2022_AR.pdf</t>
        </is>
      </c>
      <c r="C3660" t="n">
        <v>2022</v>
      </c>
      <c r="D3660" t="inlineStr">
        <is>
          <t>Financial</t>
        </is>
      </c>
      <c r="E3660" t="inlineStr">
        <is>
          <t>Capex (Fixed Asset Acquisition)</t>
        </is>
      </c>
      <c r="F3660" t="n">
        <v>27.22</v>
      </c>
      <c r="G3660" t="inlineStr">
        <is>
          <t>IDR bn</t>
        </is>
      </c>
      <c r="H3660" t="n">
        <v>43</v>
      </c>
      <c r="I3660" t="inlineStr">
        <is>
          <t>Kas bersih digunakan untuk aktivitas investasi Rp27.224,54 juta...disebabkan oleh pembelian aset tetap</t>
        </is>
      </c>
      <c r="J3660" t="inlineStr">
        <is>
          <t>High</t>
        </is>
      </c>
      <c r="M3660" t="inlineStr">
        <is>
          <t>LLM</t>
        </is>
      </c>
      <c r="N3660" t="inlineStr">
        <is>
          <t>2026-04-19</t>
        </is>
      </c>
      <c r="O3660" t="inlineStr">
        <is>
          <t>AI</t>
        </is>
      </c>
    </row>
    <row r="3661">
      <c r="A3661" t="inlineStr">
        <is>
          <t>PT Indo Oil Perkasa Tbk</t>
        </is>
      </c>
      <c r="B3661" t="inlineStr">
        <is>
          <t>OILS_2022_AR.pdf</t>
        </is>
      </c>
      <c r="C3661" t="n">
        <v>2022</v>
      </c>
      <c r="D3661" t="inlineStr">
        <is>
          <t>Financial</t>
        </is>
      </c>
      <c r="E3661" t="inlineStr">
        <is>
          <t>EPS</t>
        </is>
      </c>
      <c r="F3661" t="n">
        <v>15.02</v>
      </c>
      <c r="G3661" t="inlineStr">
        <is>
          <t>Rp/share</t>
        </is>
      </c>
      <c r="H3661" t="n">
        <v>6</v>
      </c>
      <c r="I3661" t="inlineStr">
        <is>
          <t>Laba Per Saham Dasar 15,10 (approx 15.02 per 2023 AR)</t>
        </is>
      </c>
      <c r="J3661" t="inlineStr">
        <is>
          <t>High</t>
        </is>
      </c>
      <c r="M3661" t="inlineStr">
        <is>
          <t>LLM</t>
        </is>
      </c>
      <c r="N3661" t="inlineStr">
        <is>
          <t>2026-04-19</t>
        </is>
      </c>
      <c r="O3661" t="inlineStr">
        <is>
          <t>AI</t>
        </is>
      </c>
    </row>
    <row r="3662">
      <c r="A3662" t="inlineStr">
        <is>
          <t>PT Indo Oil Perkasa Tbk</t>
        </is>
      </c>
      <c r="B3662" t="inlineStr">
        <is>
          <t>OILS_2022_AR.pdf</t>
        </is>
      </c>
      <c r="C3662" t="n">
        <v>2022</v>
      </c>
      <c r="D3662" t="inlineStr">
        <is>
          <t>Financial</t>
        </is>
      </c>
      <c r="E3662" t="inlineStr">
        <is>
          <t>Closing Price (31 Dec 2022)</t>
        </is>
      </c>
      <c r="F3662" t="n">
        <v>218</v>
      </c>
      <c r="G3662" t="inlineStr">
        <is>
          <t>Rp/share</t>
        </is>
      </c>
      <c r="H3662" t="n">
        <v>8</v>
      </c>
      <c r="I3662" t="inlineStr">
        <is>
          <t>Kuartal IV (Okt - Des 2022) 232 197 218</t>
        </is>
      </c>
      <c r="J3662" t="inlineStr">
        <is>
          <t>High</t>
        </is>
      </c>
      <c r="M3662" t="inlineStr">
        <is>
          <t>LLM</t>
        </is>
      </c>
      <c r="N3662" t="inlineStr">
        <is>
          <t>2026-04-19</t>
        </is>
      </c>
      <c r="O3662" t="inlineStr">
        <is>
          <t>AI</t>
        </is>
      </c>
    </row>
    <row r="3663">
      <c r="A3663" t="inlineStr">
        <is>
          <t>PT Indo Oil Perkasa Tbk</t>
        </is>
      </c>
      <c r="B3663" t="inlineStr">
        <is>
          <t>OILS_2022_AR.pdf</t>
        </is>
      </c>
      <c r="C3663" t="n">
        <v>2022</v>
      </c>
      <c r="D3663" t="inlineStr">
        <is>
          <t>Financial</t>
        </is>
      </c>
      <c r="E3663" t="inlineStr">
        <is>
          <t>Current Ratio</t>
        </is>
      </c>
      <c r="F3663" t="n">
        <v>1.74</v>
      </c>
      <c r="G3663" t="inlineStr">
        <is>
          <t>x</t>
        </is>
      </c>
      <c r="H3663" t="n">
        <v>6</v>
      </c>
      <c r="I3663" t="inlineStr">
        <is>
          <t>Rasio Lancar 1,74 2,04</t>
        </is>
      </c>
      <c r="J3663" t="inlineStr">
        <is>
          <t>High</t>
        </is>
      </c>
      <c r="M3663" t="inlineStr">
        <is>
          <t>LLM</t>
        </is>
      </c>
      <c r="N3663" t="inlineStr">
        <is>
          <t>2026-04-19</t>
        </is>
      </c>
      <c r="O3663" t="inlineStr">
        <is>
          <t>AI</t>
        </is>
      </c>
    </row>
    <row r="3664">
      <c r="A3664" t="inlineStr">
        <is>
          <t>PT Indo Oil Perkasa Tbk</t>
        </is>
      </c>
      <c r="B3664" t="inlineStr">
        <is>
          <t>OILS_2022_AR.pdf</t>
        </is>
      </c>
      <c r="C3664" t="n">
        <v>2022</v>
      </c>
      <c r="D3664" t="inlineStr">
        <is>
          <t>Financial</t>
        </is>
      </c>
      <c r="E3664" t="inlineStr">
        <is>
          <t>Debt-to-Equity</t>
        </is>
      </c>
      <c r="F3664" t="n">
        <v>0.91</v>
      </c>
      <c r="G3664" t="inlineStr">
        <is>
          <t>x</t>
        </is>
      </c>
      <c r="H3664" t="n">
        <v>6</v>
      </c>
      <c r="I3664" t="inlineStr">
        <is>
          <t>Rasio Total Liabilitas Terhadap Jumlah Ekuitas 0,91</t>
        </is>
      </c>
      <c r="J3664" t="inlineStr">
        <is>
          <t>High</t>
        </is>
      </c>
      <c r="M3664" t="inlineStr">
        <is>
          <t>LLM</t>
        </is>
      </c>
      <c r="N3664" t="inlineStr">
        <is>
          <t>2026-04-19</t>
        </is>
      </c>
      <c r="O3664" t="inlineStr">
        <is>
          <t>AI</t>
        </is>
      </c>
    </row>
    <row r="3665">
      <c r="A3665" t="inlineStr">
        <is>
          <t>PT Indo Oil Perkasa Tbk</t>
        </is>
      </c>
      <c r="B3665" t="inlineStr">
        <is>
          <t>OILS_2022_AR.pdf</t>
        </is>
      </c>
      <c r="C3665" t="n">
        <v>2022</v>
      </c>
      <c r="D3665" t="inlineStr">
        <is>
          <t>Financial</t>
        </is>
      </c>
      <c r="E3665" t="inlineStr">
        <is>
          <t>Debt-to-Assets</t>
        </is>
      </c>
      <c r="F3665" t="n">
        <v>0.48</v>
      </c>
      <c r="G3665" t="inlineStr">
        <is>
          <t>x</t>
        </is>
      </c>
      <c r="H3665" t="n">
        <v>6</v>
      </c>
      <c r="I3665" t="inlineStr">
        <is>
          <t>Rasio Total Liabilitas Terhadap Jumlah Aset 0,48</t>
        </is>
      </c>
      <c r="J3665" t="inlineStr">
        <is>
          <t>High</t>
        </is>
      </c>
      <c r="M3665" t="inlineStr">
        <is>
          <t>LLM</t>
        </is>
      </c>
      <c r="N3665" t="inlineStr">
        <is>
          <t>2026-04-19</t>
        </is>
      </c>
      <c r="O3665" t="inlineStr">
        <is>
          <t>AI</t>
        </is>
      </c>
    </row>
    <row r="3666">
      <c r="A3666" t="inlineStr">
        <is>
          <t>PT Indo Oil Perkasa Tbk</t>
        </is>
      </c>
      <c r="B3666" t="inlineStr">
        <is>
          <t>OILS_2022_AR.pdf</t>
        </is>
      </c>
      <c r="C3666" t="n">
        <v>2022</v>
      </c>
      <c r="D3666" t="inlineStr">
        <is>
          <t>Operation</t>
        </is>
      </c>
      <c r="E3666" t="inlineStr">
        <is>
          <t>Local Sales</t>
        </is>
      </c>
      <c r="F3666" t="n">
        <v>186.3</v>
      </c>
      <c r="G3666" t="inlineStr">
        <is>
          <t>IDR bn</t>
        </is>
      </c>
      <c r="H3666" t="n">
        <v>42</v>
      </c>
      <c r="I3666" t="inlineStr">
        <is>
          <t>Penjualan Lokal 186.301.684.585 (from 2023 AR comparative)</t>
        </is>
      </c>
      <c r="J3666" t="inlineStr">
        <is>
          <t>High</t>
        </is>
      </c>
      <c r="M3666" t="inlineStr">
        <is>
          <t>LLM</t>
        </is>
      </c>
      <c r="N3666" t="inlineStr">
        <is>
          <t>2026-04-19</t>
        </is>
      </c>
      <c r="O3666" t="inlineStr">
        <is>
          <t>AI</t>
        </is>
      </c>
    </row>
    <row r="3667">
      <c r="A3667" t="inlineStr">
        <is>
          <t>PT Indo Oil Perkasa Tbk</t>
        </is>
      </c>
      <c r="B3667" t="inlineStr">
        <is>
          <t>OILS_2022_AR.pdf</t>
        </is>
      </c>
      <c r="C3667" t="n">
        <v>2022</v>
      </c>
      <c r="D3667" t="inlineStr">
        <is>
          <t>Operation</t>
        </is>
      </c>
      <c r="E3667" t="inlineStr">
        <is>
          <t>Export Sales</t>
        </is>
      </c>
      <c r="F3667" t="n">
        <v>327.9</v>
      </c>
      <c r="G3667" t="inlineStr">
        <is>
          <t>IDR bn</t>
        </is>
      </c>
      <c r="H3667" t="n">
        <v>42</v>
      </c>
      <c r="I3667" t="inlineStr">
        <is>
          <t>Penjualan Ekspor 327.900.139.407 (from 2023 AR comparative)</t>
        </is>
      </c>
      <c r="J3667" t="inlineStr">
        <is>
          <t>High</t>
        </is>
      </c>
      <c r="M3667" t="inlineStr">
        <is>
          <t>LLM</t>
        </is>
      </c>
      <c r="N3667" t="inlineStr">
        <is>
          <t>2026-04-19</t>
        </is>
      </c>
      <c r="O3667" t="inlineStr">
        <is>
          <t>AI</t>
        </is>
      </c>
    </row>
    <row r="3668">
      <c r="A3668" t="inlineStr">
        <is>
          <t>PT Indo Oil Perkasa Tbk</t>
        </is>
      </c>
      <c r="B3668" t="inlineStr">
        <is>
          <t>OILS_2022_AR.pdf</t>
        </is>
      </c>
      <c r="C3668" t="n">
        <v>2022</v>
      </c>
      <c r="D3668" t="inlineStr">
        <is>
          <t>Operation</t>
        </is>
      </c>
      <c r="E3668" t="inlineStr">
        <is>
          <t>Plant Capacity</t>
        </is>
      </c>
      <c r="F3668" t="n">
        <v>4000</v>
      </c>
      <c r="G3668" t="inlineStr">
        <is>
          <t>tons</t>
        </is>
      </c>
      <c r="H3668" t="n">
        <v>11</v>
      </c>
      <c r="I3668" t="inlineStr">
        <is>
          <t>pabrik Perseroan di Mojokerto berkapasitas sebesar 4.000 ton</t>
        </is>
      </c>
      <c r="J3668" t="inlineStr">
        <is>
          <t>High</t>
        </is>
      </c>
      <c r="M3668" t="inlineStr">
        <is>
          <t>LLM</t>
        </is>
      </c>
      <c r="N3668" t="inlineStr">
        <is>
          <t>2026-04-19</t>
        </is>
      </c>
      <c r="O3668" t="inlineStr">
        <is>
          <t>AI</t>
        </is>
      </c>
    </row>
    <row r="3669">
      <c r="A3669" t="inlineStr">
        <is>
          <t>PT Indo Oil Perkasa Tbk</t>
        </is>
      </c>
      <c r="B3669" t="inlineStr">
        <is>
          <t>OILS_2022_AR.pdf</t>
        </is>
      </c>
      <c r="C3669" t="n">
        <v>2022</v>
      </c>
      <c r="D3669" t="inlineStr">
        <is>
          <t>Operation</t>
        </is>
      </c>
      <c r="E3669" t="inlineStr">
        <is>
          <t>Daily CNO Production Capacity</t>
        </is>
      </c>
      <c r="F3669" t="n">
        <v>100</v>
      </c>
      <c r="G3669" t="inlineStr">
        <is>
          <t>t/day</t>
        </is>
      </c>
      <c r="H3669" t="n">
        <v>12</v>
      </c>
      <c r="I3669" t="inlineStr">
        <is>
          <t>kapasitas produksi OILS mencapai sebesar 100 ton CNO per hari</t>
        </is>
      </c>
      <c r="J3669" t="inlineStr">
        <is>
          <t>High</t>
        </is>
      </c>
      <c r="M3669" t="inlineStr">
        <is>
          <t>LLM</t>
        </is>
      </c>
      <c r="N3669" t="inlineStr">
        <is>
          <t>2026-04-19</t>
        </is>
      </c>
      <c r="O3669" t="inlineStr">
        <is>
          <t>AI</t>
        </is>
      </c>
    </row>
    <row r="3670">
      <c r="A3670" t="inlineStr">
        <is>
          <t>PT Indo Oil Perkasa Tbk</t>
        </is>
      </c>
      <c r="B3670" t="inlineStr">
        <is>
          <t>OILS_2022_AR.pdf</t>
        </is>
      </c>
      <c r="C3670" t="n">
        <v>2022</v>
      </c>
      <c r="D3670" t="inlineStr">
        <is>
          <t>Operation</t>
        </is>
      </c>
      <c r="E3670" t="inlineStr">
        <is>
          <t>Daily Copra Meal Production Capacity</t>
        </is>
      </c>
      <c r="F3670" t="n">
        <v>150</v>
      </c>
      <c r="G3670" t="inlineStr">
        <is>
          <t>t/day</t>
        </is>
      </c>
      <c r="H3670" t="n">
        <v>12</v>
      </c>
      <c r="I3670" t="inlineStr">
        <is>
          <t>setara dengan 150 ton tepung kopra per hari</t>
        </is>
      </c>
      <c r="J3670" t="inlineStr">
        <is>
          <t>High</t>
        </is>
      </c>
      <c r="M3670" t="inlineStr">
        <is>
          <t>LLM</t>
        </is>
      </c>
      <c r="N3670" t="inlineStr">
        <is>
          <t>2026-04-19</t>
        </is>
      </c>
      <c r="O3670" t="inlineStr">
        <is>
          <t>AI</t>
        </is>
      </c>
    </row>
    <row r="3671">
      <c r="A3671" t="inlineStr">
        <is>
          <t>PT Indo Oil Perkasa Tbk</t>
        </is>
      </c>
      <c r="B3671" t="inlineStr">
        <is>
          <t>OILS_2022_AR.pdf</t>
        </is>
      </c>
      <c r="C3671" t="n">
        <v>2022</v>
      </c>
      <c r="D3671" t="inlineStr">
        <is>
          <t>Operation</t>
        </is>
      </c>
      <c r="E3671" t="inlineStr">
        <is>
          <t>Number of Production Machines</t>
        </is>
      </c>
      <c r="F3671" t="n">
        <v>4</v>
      </c>
      <c r="G3671" t="inlineStr">
        <is>
          <t>count</t>
        </is>
      </c>
      <c r="H3671" t="n">
        <v>12</v>
      </c>
      <c r="I3671" t="inlineStr">
        <is>
          <t>menggunakan empat mesin produksi</t>
        </is>
      </c>
      <c r="J3671" t="inlineStr">
        <is>
          <t>High</t>
        </is>
      </c>
      <c r="M3671" t="inlineStr">
        <is>
          <t>LLM</t>
        </is>
      </c>
      <c r="N3671" t="inlineStr">
        <is>
          <t>2026-04-19</t>
        </is>
      </c>
      <c r="O3671" t="inlineStr">
        <is>
          <t>AI</t>
        </is>
      </c>
    </row>
    <row r="3672">
      <c r="A3672" t="inlineStr">
        <is>
          <t>PT Indo Oil Perkasa Tbk</t>
        </is>
      </c>
      <c r="B3672" t="inlineStr">
        <is>
          <t>OILS_2022_AR.pdf</t>
        </is>
      </c>
      <c r="C3672" t="n">
        <v>2022</v>
      </c>
      <c r="D3672" t="inlineStr">
        <is>
          <t>Operation</t>
        </is>
      </c>
      <c r="E3672" t="inlineStr">
        <is>
          <t>Oil Storage Tank</t>
        </is>
      </c>
      <c r="F3672" t="n">
        <v>2100</v>
      </c>
      <c r="G3672" t="inlineStr">
        <is>
          <t>tons</t>
        </is>
      </c>
      <c r="H3672" t="n">
        <v>11</v>
      </c>
      <c r="I3672" t="inlineStr">
        <is>
          <t>tangki penyimpanan minyak sebanyak 2.100 ton</t>
        </is>
      </c>
      <c r="J3672" t="inlineStr">
        <is>
          <t>High</t>
        </is>
      </c>
      <c r="M3672" t="inlineStr">
        <is>
          <t>LLM</t>
        </is>
      </c>
      <c r="N3672" t="inlineStr">
        <is>
          <t>2026-04-19</t>
        </is>
      </c>
      <c r="O3672" t="inlineStr">
        <is>
          <t>AI</t>
        </is>
      </c>
    </row>
    <row r="3673">
      <c r="A3673" t="inlineStr">
        <is>
          <t>PT Indo Oil Perkasa Tbk</t>
        </is>
      </c>
      <c r="B3673" t="inlineStr">
        <is>
          <t>OILS_2022_AR.pdf</t>
        </is>
      </c>
      <c r="C3673" t="n">
        <v>2022</v>
      </c>
      <c r="D3673" t="inlineStr">
        <is>
          <t>Operation</t>
        </is>
      </c>
      <c r="E3673" t="inlineStr">
        <is>
          <t>Copra Meal Storage</t>
        </is>
      </c>
      <c r="F3673" t="n">
        <v>3000</v>
      </c>
      <c r="G3673" t="inlineStr">
        <is>
          <t>tons</t>
        </is>
      </c>
      <c r="H3673" t="n">
        <v>11</v>
      </c>
      <c r="I3673" t="inlineStr">
        <is>
          <t>penyimpanan tepung kopra sebanyak 3.000 ton</t>
        </is>
      </c>
      <c r="J3673" t="inlineStr">
        <is>
          <t>High</t>
        </is>
      </c>
      <c r="M3673" t="inlineStr">
        <is>
          <t>LLM</t>
        </is>
      </c>
      <c r="N3673" t="inlineStr">
        <is>
          <t>2026-04-19</t>
        </is>
      </c>
      <c r="O3673" t="inlineStr">
        <is>
          <t>AI</t>
        </is>
      </c>
    </row>
    <row r="3674">
      <c r="A3674" t="inlineStr">
        <is>
          <t>PT Indo Oil Perkasa Tbk</t>
        </is>
      </c>
      <c r="B3674" t="inlineStr">
        <is>
          <t>OILS_2022_AR.pdf</t>
        </is>
      </c>
      <c r="C3674" t="n">
        <v>2022</v>
      </c>
      <c r="D3674" t="inlineStr">
        <is>
          <t>ESG</t>
        </is>
      </c>
      <c r="E3674" t="inlineStr">
        <is>
          <t>Copra Meal Solid Waste (Resellable)</t>
        </is>
      </c>
      <c r="F3674" t="n">
        <v>720</v>
      </c>
      <c r="G3674" t="inlineStr">
        <is>
          <t>ton</t>
        </is>
      </c>
      <c r="H3674" t="n">
        <v>9</v>
      </c>
      <c r="I3674" t="inlineStr">
        <is>
          <t>Volume Limbah Padat (Bungkil Kopra) 720 (from 2023 AR comparative)</t>
        </is>
      </c>
      <c r="J3674" t="inlineStr">
        <is>
          <t>Medium</t>
        </is>
      </c>
      <c r="M3674" t="inlineStr">
        <is>
          <t>LLM</t>
        </is>
      </c>
      <c r="N3674" t="inlineStr">
        <is>
          <t>2026-04-19</t>
        </is>
      </c>
      <c r="O3674" t="inlineStr">
        <is>
          <t>AI</t>
        </is>
      </c>
    </row>
    <row r="3675">
      <c r="A3675" t="inlineStr">
        <is>
          <t>PT Indo Oil Perkasa Tbk</t>
        </is>
      </c>
      <c r="B3675" t="inlineStr">
        <is>
          <t>OILS_2022_AR.pdf</t>
        </is>
      </c>
      <c r="C3675" t="n">
        <v>2022</v>
      </c>
      <c r="D3675" t="inlineStr">
        <is>
          <t>ESG</t>
        </is>
      </c>
      <c r="E3675" t="inlineStr">
        <is>
          <t>CSR Fund</t>
        </is>
      </c>
      <c r="F3675" t="n">
        <v>62473850</v>
      </c>
      <c r="G3675" t="inlineStr">
        <is>
          <t>Rp</t>
        </is>
      </c>
      <c r="H3675" t="n">
        <v>9</v>
      </c>
      <c r="I3675" t="inlineStr">
        <is>
          <t>Dana CSR 62.473.850 (from 2023 AR comparative)</t>
        </is>
      </c>
      <c r="J3675" t="inlineStr">
        <is>
          <t>Medium</t>
        </is>
      </c>
      <c r="M3675" t="inlineStr">
        <is>
          <t>LLM</t>
        </is>
      </c>
      <c r="N3675" t="inlineStr">
        <is>
          <t>2026-04-19</t>
        </is>
      </c>
      <c r="O3675" t="inlineStr">
        <is>
          <t>AI</t>
        </is>
      </c>
    </row>
    <row r="3676">
      <c r="A3676" t="inlineStr">
        <is>
          <t>PT Indo Oil Perkasa Tbk</t>
        </is>
      </c>
      <c r="B3676" t="inlineStr">
        <is>
          <t>OILS_2023_AR.pdf</t>
        </is>
      </c>
      <c r="C3676" t="n">
        <v>2023</v>
      </c>
      <c r="D3676" t="inlineStr">
        <is>
          <t>Company</t>
        </is>
      </c>
      <c r="E3676" t="inlineStr">
        <is>
          <t>Company Name</t>
        </is>
      </c>
      <c r="F3676" t="inlineStr">
        <is>
          <t>PT Indo Oil Perkasa Tbk</t>
        </is>
      </c>
      <c r="G3676" t="inlineStr">
        <is>
          <t>text</t>
        </is>
      </c>
      <c r="H3676" t="n">
        <v>1</v>
      </c>
      <c r="I3676" t="inlineStr">
        <is>
          <t>PT Indo Oil Perkasa Tbk - Laporan Tahunan 2023</t>
        </is>
      </c>
      <c r="J3676" t="inlineStr">
        <is>
          <t>High</t>
        </is>
      </c>
      <c r="M3676" t="inlineStr">
        <is>
          <t>LLM</t>
        </is>
      </c>
      <c r="N3676" t="inlineStr">
        <is>
          <t>2026-04-19</t>
        </is>
      </c>
      <c r="O3676" t="inlineStr">
        <is>
          <t>AI</t>
        </is>
      </c>
    </row>
    <row r="3677">
      <c r="A3677" t="inlineStr">
        <is>
          <t>PT Indo Oil Perkasa Tbk</t>
        </is>
      </c>
      <c r="B3677" t="inlineStr">
        <is>
          <t>OILS_2023_AR.pdf</t>
        </is>
      </c>
      <c r="C3677" t="n">
        <v>2023</v>
      </c>
      <c r="D3677" t="inlineStr">
        <is>
          <t>Company</t>
        </is>
      </c>
      <c r="E3677" t="inlineStr">
        <is>
          <t>Ticker</t>
        </is>
      </c>
      <c r="F3677" t="inlineStr">
        <is>
          <t>OILS</t>
        </is>
      </c>
      <c r="G3677" t="inlineStr">
        <is>
          <t>text</t>
        </is>
      </c>
      <c r="H3677" t="n">
        <v>8</v>
      </c>
      <c r="I3677" t="inlineStr">
        <is>
          <t>kode saham OILS mulai tanggal 06 September 2021</t>
        </is>
      </c>
      <c r="J3677" t="inlineStr">
        <is>
          <t>High</t>
        </is>
      </c>
      <c r="M3677" t="inlineStr">
        <is>
          <t>LLM</t>
        </is>
      </c>
      <c r="N3677" t="inlineStr">
        <is>
          <t>2026-04-19</t>
        </is>
      </c>
      <c r="O3677" t="inlineStr">
        <is>
          <t>AI</t>
        </is>
      </c>
    </row>
    <row r="3678">
      <c r="A3678" t="inlineStr">
        <is>
          <t>PT Indo Oil Perkasa Tbk</t>
        </is>
      </c>
      <c r="B3678" t="inlineStr">
        <is>
          <t>OILS_2023_AR.pdf</t>
        </is>
      </c>
      <c r="C3678" t="n">
        <v>2023</v>
      </c>
      <c r="D3678" t="inlineStr">
        <is>
          <t>Company</t>
        </is>
      </c>
      <c r="E3678" t="inlineStr">
        <is>
          <t>Primary Business</t>
        </is>
      </c>
      <c r="F3678" t="inlineStr">
        <is>
          <t>Crude Coconut Oil (CNO) processing and copra meal</t>
        </is>
      </c>
      <c r="G3678" t="inlineStr">
        <is>
          <t>text</t>
        </is>
      </c>
      <c r="H3678" t="n">
        <v>43</v>
      </c>
      <c r="I3678" t="inlineStr">
        <is>
          <t>pengolahan produksi kopra dan penjualan minyak kelapa</t>
        </is>
      </c>
      <c r="J3678" t="inlineStr">
        <is>
          <t>High</t>
        </is>
      </c>
      <c r="M3678" t="inlineStr">
        <is>
          <t>LLM</t>
        </is>
      </c>
      <c r="N3678" t="inlineStr">
        <is>
          <t>2026-04-19</t>
        </is>
      </c>
      <c r="O3678" t="inlineStr">
        <is>
          <t>AI</t>
        </is>
      </c>
    </row>
    <row r="3679">
      <c r="A3679" t="inlineStr">
        <is>
          <t>PT Indo Oil Perkasa Tbk</t>
        </is>
      </c>
      <c r="B3679" t="inlineStr">
        <is>
          <t>OILS_2023_AR.pdf</t>
        </is>
      </c>
      <c r="C3679" t="n">
        <v>2023</v>
      </c>
      <c r="D3679" t="inlineStr">
        <is>
          <t>Company</t>
        </is>
      </c>
      <c r="E3679" t="inlineStr">
        <is>
          <t>Headquarters Address</t>
        </is>
      </c>
      <c r="F3679" t="inlineStr">
        <is>
          <t>Jl. Raya Perning No. 39, Jetis, Mojokerto, East Java</t>
        </is>
      </c>
      <c r="G3679" t="inlineStr">
        <is>
          <t>text</t>
        </is>
      </c>
      <c r="H3679" t="n">
        <v>4</v>
      </c>
      <c r="I3679" t="inlineStr">
        <is>
          <t>Jl Raya Perning No. 39 Jetis Mojokerto Jawa Timur</t>
        </is>
      </c>
      <c r="J3679" t="inlineStr">
        <is>
          <t>High</t>
        </is>
      </c>
      <c r="M3679" t="inlineStr">
        <is>
          <t>LLM</t>
        </is>
      </c>
      <c r="N3679" t="inlineStr">
        <is>
          <t>2026-04-19</t>
        </is>
      </c>
      <c r="O3679" t="inlineStr">
        <is>
          <t>AI</t>
        </is>
      </c>
    </row>
    <row r="3680">
      <c r="A3680" t="inlineStr">
        <is>
          <t>PT Indo Oil Perkasa Tbk</t>
        </is>
      </c>
      <c r="B3680" t="inlineStr">
        <is>
          <t>OILS_2023_AR.pdf</t>
        </is>
      </c>
      <c r="C3680" t="n">
        <v>2023</v>
      </c>
      <c r="D3680" t="inlineStr">
        <is>
          <t>Company</t>
        </is>
      </c>
      <c r="E3680" t="inlineStr">
        <is>
          <t>Listing Date</t>
        </is>
      </c>
      <c r="F3680" t="inlineStr">
        <is>
          <t>6 September 2021</t>
        </is>
      </c>
      <c r="G3680" t="inlineStr">
        <is>
          <t>date</t>
        </is>
      </c>
      <c r="H3680" t="n">
        <v>8</v>
      </c>
      <c r="I3680" t="inlineStr">
        <is>
          <t>sejak tanggal 6 September 2021</t>
        </is>
      </c>
      <c r="J3680" t="inlineStr">
        <is>
          <t>High</t>
        </is>
      </c>
      <c r="M3680" t="inlineStr">
        <is>
          <t>LLM</t>
        </is>
      </c>
      <c r="N3680" t="inlineStr">
        <is>
          <t>2026-04-19</t>
        </is>
      </c>
      <c r="O3680" t="inlineStr">
        <is>
          <t>AI</t>
        </is>
      </c>
    </row>
    <row r="3681">
      <c r="A3681" t="inlineStr">
        <is>
          <t>PT Indo Oil Perkasa Tbk</t>
        </is>
      </c>
      <c r="B3681" t="inlineStr">
        <is>
          <t>OILS_2023_AR.pdf</t>
        </is>
      </c>
      <c r="C3681" t="n">
        <v>2023</v>
      </c>
      <c r="D3681" t="inlineStr">
        <is>
          <t>Company</t>
        </is>
      </c>
      <c r="E3681" t="inlineStr">
        <is>
          <t>Controlling Shareholder</t>
        </is>
      </c>
      <c r="F3681" t="inlineStr">
        <is>
          <t>Sulastri</t>
        </is>
      </c>
      <c r="G3681" t="inlineStr">
        <is>
          <t>text</t>
        </is>
      </c>
      <c r="H3681" t="n">
        <v>53</v>
      </c>
      <c r="I3681" t="inlineStr">
        <is>
          <t>pengendali Perseroan adalah Sulastri</t>
        </is>
      </c>
      <c r="J3681" t="inlineStr">
        <is>
          <t>High</t>
        </is>
      </c>
      <c r="M3681" t="inlineStr">
        <is>
          <t>LLM</t>
        </is>
      </c>
      <c r="N3681" t="inlineStr">
        <is>
          <t>2026-04-19</t>
        </is>
      </c>
      <c r="O3681" t="inlineStr">
        <is>
          <t>AI</t>
        </is>
      </c>
    </row>
    <row r="3682">
      <c r="A3682" t="inlineStr">
        <is>
          <t>PT Indo Oil Perkasa Tbk</t>
        </is>
      </c>
      <c r="B3682" t="inlineStr">
        <is>
          <t>OILS_2023_AR.pdf</t>
        </is>
      </c>
      <c r="C3682" t="n">
        <v>2023</v>
      </c>
      <c r="D3682" t="inlineStr">
        <is>
          <t>Company</t>
        </is>
      </c>
      <c r="E3682" t="inlineStr">
        <is>
          <t>PT Mandalindo Putra Perkasa Ownership</t>
        </is>
      </c>
      <c r="F3682" t="n">
        <v>0.4785</v>
      </c>
      <c r="G3682" t="inlineStr">
        <is>
          <t>%</t>
        </is>
      </c>
      <c r="H3682" t="n">
        <v>51</v>
      </c>
      <c r="I3682" t="inlineStr">
        <is>
          <t>PT Mandalindo Putra Perkasa 47,85%</t>
        </is>
      </c>
      <c r="J3682" t="inlineStr">
        <is>
          <t>High</t>
        </is>
      </c>
      <c r="M3682" t="inlineStr">
        <is>
          <t>LLM</t>
        </is>
      </c>
      <c r="N3682" t="inlineStr">
        <is>
          <t>2026-04-19</t>
        </is>
      </c>
      <c r="O3682" t="inlineStr">
        <is>
          <t>AI</t>
        </is>
      </c>
    </row>
    <row r="3683">
      <c r="A3683" t="inlineStr">
        <is>
          <t>PT Indo Oil Perkasa Tbk</t>
        </is>
      </c>
      <c r="B3683" t="inlineStr">
        <is>
          <t>OILS_2023_AR.pdf</t>
        </is>
      </c>
      <c r="C3683" t="n">
        <v>2023</v>
      </c>
      <c r="D3683" t="inlineStr">
        <is>
          <t>Company</t>
        </is>
      </c>
      <c r="E3683" t="inlineStr">
        <is>
          <t>Sulastri Ownership</t>
        </is>
      </c>
      <c r="F3683" t="n">
        <v>0.0709</v>
      </c>
      <c r="G3683" t="inlineStr">
        <is>
          <t>%</t>
        </is>
      </c>
      <c r="H3683" t="n">
        <v>51</v>
      </c>
      <c r="I3683" t="inlineStr">
        <is>
          <t>Sulastri 32,184,100 7.09%</t>
        </is>
      </c>
      <c r="J3683" t="inlineStr">
        <is>
          <t>High</t>
        </is>
      </c>
      <c r="M3683" t="inlineStr">
        <is>
          <t>LLM</t>
        </is>
      </c>
      <c r="N3683" t="inlineStr">
        <is>
          <t>2026-04-19</t>
        </is>
      </c>
      <c r="O3683" t="inlineStr">
        <is>
          <t>AI</t>
        </is>
      </c>
    </row>
    <row r="3684">
      <c r="A3684" t="inlineStr">
        <is>
          <t>PT Indo Oil Perkasa Tbk</t>
        </is>
      </c>
      <c r="B3684" t="inlineStr">
        <is>
          <t>OILS_2023_AR.pdf</t>
        </is>
      </c>
      <c r="C3684" t="n">
        <v>2023</v>
      </c>
      <c r="D3684" t="inlineStr">
        <is>
          <t>Company</t>
        </is>
      </c>
      <c r="E3684" t="inlineStr">
        <is>
          <t>Shares Outstanding</t>
        </is>
      </c>
      <c r="F3684" t="n">
        <v>454056563</v>
      </c>
      <c r="G3684" t="inlineStr">
        <is>
          <t>shares</t>
        </is>
      </c>
      <c r="H3684" t="n">
        <v>8</v>
      </c>
      <c r="I3684" t="inlineStr">
        <is>
          <t>Saham Yang Beredar 454.056.563</t>
        </is>
      </c>
      <c r="J3684" t="inlineStr">
        <is>
          <t>High</t>
        </is>
      </c>
      <c r="M3684" t="inlineStr">
        <is>
          <t>LLM</t>
        </is>
      </c>
      <c r="N3684" t="inlineStr">
        <is>
          <t>2026-04-19</t>
        </is>
      </c>
      <c r="O3684" t="inlineStr">
        <is>
          <t>AI</t>
        </is>
      </c>
    </row>
    <row r="3685">
      <c r="A3685" t="inlineStr">
        <is>
          <t>PT Indo Oil Perkasa Tbk</t>
        </is>
      </c>
      <c r="B3685" t="inlineStr">
        <is>
          <t>OILS_2023_AR.pdf</t>
        </is>
      </c>
      <c r="C3685" t="n">
        <v>2023</v>
      </c>
      <c r="D3685" t="inlineStr">
        <is>
          <t>Company</t>
        </is>
      </c>
      <c r="E3685" t="inlineStr">
        <is>
          <t>Employees</t>
        </is>
      </c>
      <c r="F3685" t="n">
        <v>27</v>
      </c>
      <c r="G3685" t="inlineStr">
        <is>
          <t>count</t>
        </is>
      </c>
      <c r="H3685" t="n">
        <v>70</v>
      </c>
      <c r="I3685" t="inlineStr">
        <is>
          <t>27 karyawan (unaudited)</t>
        </is>
      </c>
      <c r="J3685" t="inlineStr">
        <is>
          <t>High</t>
        </is>
      </c>
      <c r="M3685" t="inlineStr">
        <is>
          <t>LLM</t>
        </is>
      </c>
      <c r="N3685" t="inlineStr">
        <is>
          <t>2026-04-19</t>
        </is>
      </c>
      <c r="O3685" t="inlineStr">
        <is>
          <t>AI</t>
        </is>
      </c>
    </row>
    <row r="3686">
      <c r="A3686" t="inlineStr">
        <is>
          <t>PT Indo Oil Perkasa Tbk</t>
        </is>
      </c>
      <c r="B3686" t="inlineStr">
        <is>
          <t>OILS_2023_AR.pdf</t>
        </is>
      </c>
      <c r="C3686" t="n">
        <v>2023</v>
      </c>
      <c r="D3686" t="inlineStr">
        <is>
          <t>Financial</t>
        </is>
      </c>
      <c r="E3686" t="inlineStr">
        <is>
          <t>Revenue (Sales)</t>
        </is>
      </c>
      <c r="F3686" t="n">
        <v>600.35</v>
      </c>
      <c r="G3686" t="inlineStr">
        <is>
          <t>IDR bn</t>
        </is>
      </c>
      <c r="H3686" t="n">
        <v>6</v>
      </c>
      <c r="I3686" t="inlineStr">
        <is>
          <t>Penjualan 600.351.628.985</t>
        </is>
      </c>
      <c r="J3686" t="inlineStr">
        <is>
          <t>High</t>
        </is>
      </c>
      <c r="M3686" t="inlineStr">
        <is>
          <t>LLM</t>
        </is>
      </c>
      <c r="N3686" t="inlineStr">
        <is>
          <t>2026-04-19</t>
        </is>
      </c>
      <c r="O3686" t="inlineStr">
        <is>
          <t>AI</t>
        </is>
      </c>
    </row>
    <row r="3687">
      <c r="A3687" t="inlineStr">
        <is>
          <t>PT Indo Oil Perkasa Tbk</t>
        </is>
      </c>
      <c r="B3687" t="inlineStr">
        <is>
          <t>OILS_2023_AR.pdf</t>
        </is>
      </c>
      <c r="C3687" t="n">
        <v>2023</v>
      </c>
      <c r="D3687" t="inlineStr">
        <is>
          <t>Financial</t>
        </is>
      </c>
      <c r="E3687" t="inlineStr">
        <is>
          <t>Cost of Goods Sold</t>
        </is>
      </c>
      <c r="F3687" t="n">
        <v>564.4299999999999</v>
      </c>
      <c r="G3687" t="inlineStr">
        <is>
          <t>IDR bn</t>
        </is>
      </c>
      <c r="H3687" t="n">
        <v>6</v>
      </c>
      <c r="I3687" t="inlineStr">
        <is>
          <t>Beban Pokok Penjualan (564.427.727.670)</t>
        </is>
      </c>
      <c r="J3687" t="inlineStr">
        <is>
          <t>High</t>
        </is>
      </c>
      <c r="M3687" t="inlineStr">
        <is>
          <t>LLM</t>
        </is>
      </c>
      <c r="N3687" t="inlineStr">
        <is>
          <t>2026-04-19</t>
        </is>
      </c>
      <c r="O3687" t="inlineStr">
        <is>
          <t>AI</t>
        </is>
      </c>
    </row>
    <row r="3688">
      <c r="A3688" t="inlineStr">
        <is>
          <t>PT Indo Oil Perkasa Tbk</t>
        </is>
      </c>
      <c r="B3688" t="inlineStr">
        <is>
          <t>OILS_2023_AR.pdf</t>
        </is>
      </c>
      <c r="C3688" t="n">
        <v>2023</v>
      </c>
      <c r="D3688" t="inlineStr">
        <is>
          <t>Financial</t>
        </is>
      </c>
      <c r="E3688" t="inlineStr">
        <is>
          <t>Gross Profit</t>
        </is>
      </c>
      <c r="F3688" t="n">
        <v>35.92</v>
      </c>
      <c r="G3688" t="inlineStr">
        <is>
          <t>IDR bn</t>
        </is>
      </c>
      <c r="H3688" t="n">
        <v>6</v>
      </c>
      <c r="I3688" t="inlineStr">
        <is>
          <t>Laba Bruto 35.923.901.315</t>
        </is>
      </c>
      <c r="J3688" t="inlineStr">
        <is>
          <t>High</t>
        </is>
      </c>
      <c r="M3688" t="inlineStr">
        <is>
          <t>LLM</t>
        </is>
      </c>
      <c r="N3688" t="inlineStr">
        <is>
          <t>2026-04-19</t>
        </is>
      </c>
      <c r="O3688" t="inlineStr">
        <is>
          <t>AI</t>
        </is>
      </c>
    </row>
    <row r="3689">
      <c r="A3689" t="inlineStr">
        <is>
          <t>PT Indo Oil Perkasa Tbk</t>
        </is>
      </c>
      <c r="B3689" t="inlineStr">
        <is>
          <t>OILS_2023_AR.pdf</t>
        </is>
      </c>
      <c r="C3689" t="n">
        <v>2023</v>
      </c>
      <c r="D3689" t="inlineStr">
        <is>
          <t>Financial</t>
        </is>
      </c>
      <c r="E3689" t="inlineStr">
        <is>
          <t>G&amp;A Expenses</t>
        </is>
      </c>
      <c r="F3689" t="n">
        <v>26.99</v>
      </c>
      <c r="G3689" t="inlineStr">
        <is>
          <t>IDR bn</t>
        </is>
      </c>
      <c r="H3689" t="n">
        <v>38</v>
      </c>
      <c r="I3689" t="inlineStr">
        <is>
          <t>Beban Umum dan Administrasi (26.991.929.213)</t>
        </is>
      </c>
      <c r="J3689" t="inlineStr">
        <is>
          <t>High</t>
        </is>
      </c>
      <c r="M3689" t="inlineStr">
        <is>
          <t>LLM</t>
        </is>
      </c>
      <c r="N3689" t="inlineStr">
        <is>
          <t>2026-04-19</t>
        </is>
      </c>
      <c r="O3689" t="inlineStr">
        <is>
          <t>AI</t>
        </is>
      </c>
    </row>
    <row r="3690">
      <c r="A3690" t="inlineStr">
        <is>
          <t>PT Indo Oil Perkasa Tbk</t>
        </is>
      </c>
      <c r="B3690" t="inlineStr">
        <is>
          <t>OILS_2023_AR.pdf</t>
        </is>
      </c>
      <c r="C3690" t="n">
        <v>2023</v>
      </c>
      <c r="D3690" t="inlineStr">
        <is>
          <t>Financial</t>
        </is>
      </c>
      <c r="E3690" t="inlineStr">
        <is>
          <t>Operating Profit (Laba Usaha)</t>
        </is>
      </c>
      <c r="F3690" t="n">
        <v>11.25</v>
      </c>
      <c r="G3690" t="inlineStr">
        <is>
          <t>IDR bn</t>
        </is>
      </c>
      <c r="H3690" t="n">
        <v>38</v>
      </c>
      <c r="I3690" t="inlineStr">
        <is>
          <t>Laba Usaha 11.249.447.308</t>
        </is>
      </c>
      <c r="J3690" t="inlineStr">
        <is>
          <t>High</t>
        </is>
      </c>
      <c r="M3690" t="inlineStr">
        <is>
          <t>LLM</t>
        </is>
      </c>
      <c r="N3690" t="inlineStr">
        <is>
          <t>2026-04-19</t>
        </is>
      </c>
      <c r="O3690" t="inlineStr">
        <is>
          <t>AI</t>
        </is>
      </c>
    </row>
    <row r="3691">
      <c r="A3691" t="inlineStr">
        <is>
          <t>PT Indo Oil Perkasa Tbk</t>
        </is>
      </c>
      <c r="B3691" t="inlineStr">
        <is>
          <t>OILS_2023_AR.pdf</t>
        </is>
      </c>
      <c r="C3691" t="n">
        <v>2023</v>
      </c>
      <c r="D3691" t="inlineStr">
        <is>
          <t>Financial</t>
        </is>
      </c>
      <c r="E3691" t="inlineStr">
        <is>
          <t>Finance Cost</t>
        </is>
      </c>
      <c r="F3691" t="n">
        <v>7.33</v>
      </c>
      <c r="G3691" t="inlineStr">
        <is>
          <t>IDR bn</t>
        </is>
      </c>
      <c r="H3691" t="n">
        <v>38</v>
      </c>
      <c r="I3691" t="inlineStr">
        <is>
          <t>Biaya Keuangan (7.325.206.157)</t>
        </is>
      </c>
      <c r="J3691" t="inlineStr">
        <is>
          <t>High</t>
        </is>
      </c>
      <c r="M3691" t="inlineStr">
        <is>
          <t>LLM</t>
        </is>
      </c>
      <c r="N3691" t="inlineStr">
        <is>
          <t>2026-04-19</t>
        </is>
      </c>
      <c r="O3691" t="inlineStr">
        <is>
          <t>AI</t>
        </is>
      </c>
    </row>
    <row r="3692">
      <c r="A3692" t="inlineStr">
        <is>
          <t>PT Indo Oil Perkasa Tbk</t>
        </is>
      </c>
      <c r="B3692" t="inlineStr">
        <is>
          <t>OILS_2023_AR.pdf</t>
        </is>
      </c>
      <c r="C3692" t="n">
        <v>2023</v>
      </c>
      <c r="D3692" t="inlineStr">
        <is>
          <t>Financial</t>
        </is>
      </c>
      <c r="E3692" t="inlineStr">
        <is>
          <t>Profit Before Tax</t>
        </is>
      </c>
      <c r="F3692" t="n">
        <v>4.04</v>
      </c>
      <c r="G3692" t="inlineStr">
        <is>
          <t>IDR bn</t>
        </is>
      </c>
      <c r="H3692" t="n">
        <v>6</v>
      </c>
      <c r="I3692" t="inlineStr">
        <is>
          <t>Laba Sebelum Pajak Penghasilan 4.035.572.982</t>
        </is>
      </c>
      <c r="J3692" t="inlineStr">
        <is>
          <t>High</t>
        </is>
      </c>
      <c r="M3692" t="inlineStr">
        <is>
          <t>LLM</t>
        </is>
      </c>
      <c r="N3692" t="inlineStr">
        <is>
          <t>2026-04-19</t>
        </is>
      </c>
      <c r="O3692" t="inlineStr">
        <is>
          <t>AI</t>
        </is>
      </c>
    </row>
    <row r="3693">
      <c r="A3693" t="inlineStr">
        <is>
          <t>PT Indo Oil Perkasa Tbk</t>
        </is>
      </c>
      <c r="B3693" t="inlineStr">
        <is>
          <t>OILS_2023_AR.pdf</t>
        </is>
      </c>
      <c r="C3693" t="n">
        <v>2023</v>
      </c>
      <c r="D3693" t="inlineStr">
        <is>
          <t>Financial</t>
        </is>
      </c>
      <c r="E3693" t="inlineStr">
        <is>
          <t>Income Tax Expense</t>
        </is>
      </c>
      <c r="F3693" t="n">
        <v>0.91</v>
      </c>
      <c r="G3693" t="inlineStr">
        <is>
          <t>IDR bn</t>
        </is>
      </c>
      <c r="H3693" t="n">
        <v>38</v>
      </c>
      <c r="I3693" t="inlineStr">
        <is>
          <t>Beban Pajak Penghasilan (905.126.364)</t>
        </is>
      </c>
      <c r="J3693" t="inlineStr">
        <is>
          <t>High</t>
        </is>
      </c>
      <c r="M3693" t="inlineStr">
        <is>
          <t>LLM</t>
        </is>
      </c>
      <c r="N3693" t="inlineStr">
        <is>
          <t>2026-04-19</t>
        </is>
      </c>
      <c r="O3693" t="inlineStr">
        <is>
          <t>AI</t>
        </is>
      </c>
    </row>
    <row r="3694">
      <c r="A3694" t="inlineStr">
        <is>
          <t>PT Indo Oil Perkasa Tbk</t>
        </is>
      </c>
      <c r="B3694" t="inlineStr">
        <is>
          <t>OILS_2023_AR.pdf</t>
        </is>
      </c>
      <c r="C3694" t="n">
        <v>2023</v>
      </c>
      <c r="D3694" t="inlineStr">
        <is>
          <t>Financial</t>
        </is>
      </c>
      <c r="E3694" t="inlineStr">
        <is>
          <t>Net Profit</t>
        </is>
      </c>
      <c r="F3694" t="n">
        <v>3.13</v>
      </c>
      <c r="G3694" t="inlineStr">
        <is>
          <t>IDR bn</t>
        </is>
      </c>
      <c r="H3694" t="n">
        <v>6</v>
      </c>
      <c r="I3694" t="inlineStr">
        <is>
          <t>Laba Neto Tahun Berjalan 3.130.446.618</t>
        </is>
      </c>
      <c r="J3694" t="inlineStr">
        <is>
          <t>High</t>
        </is>
      </c>
      <c r="M3694" t="inlineStr">
        <is>
          <t>LLM</t>
        </is>
      </c>
      <c r="N3694" t="inlineStr">
        <is>
          <t>2026-04-19</t>
        </is>
      </c>
      <c r="O3694" t="inlineStr">
        <is>
          <t>AI</t>
        </is>
      </c>
    </row>
    <row r="3695">
      <c r="A3695" t="inlineStr">
        <is>
          <t>PT Indo Oil Perkasa Tbk</t>
        </is>
      </c>
      <c r="B3695" t="inlineStr">
        <is>
          <t>OILS_2023_AR.pdf</t>
        </is>
      </c>
      <c r="C3695" t="n">
        <v>2023</v>
      </c>
      <c r="D3695" t="inlineStr">
        <is>
          <t>Financial</t>
        </is>
      </c>
      <c r="E3695" t="inlineStr">
        <is>
          <t>Total Assets</t>
        </is>
      </c>
      <c r="F3695" t="n">
        <v>199.91</v>
      </c>
      <c r="G3695" t="inlineStr">
        <is>
          <t>IDR bn</t>
        </is>
      </c>
      <c r="H3695" t="n">
        <v>6</v>
      </c>
      <c r="I3695" t="inlineStr">
        <is>
          <t>Total Aset 199.907.912.568</t>
        </is>
      </c>
      <c r="J3695" t="inlineStr">
        <is>
          <t>High</t>
        </is>
      </c>
      <c r="M3695" t="inlineStr">
        <is>
          <t>LLM</t>
        </is>
      </c>
      <c r="N3695" t="inlineStr">
        <is>
          <t>2026-04-19</t>
        </is>
      </c>
      <c r="O3695" t="inlineStr">
        <is>
          <t>AI</t>
        </is>
      </c>
    </row>
    <row r="3696">
      <c r="A3696" t="inlineStr">
        <is>
          <t>PT Indo Oil Perkasa Tbk</t>
        </is>
      </c>
      <c r="B3696" t="inlineStr">
        <is>
          <t>OILS_2023_AR.pdf</t>
        </is>
      </c>
      <c r="C3696" t="n">
        <v>2023</v>
      </c>
      <c r="D3696" t="inlineStr">
        <is>
          <t>Financial</t>
        </is>
      </c>
      <c r="E3696" t="inlineStr">
        <is>
          <t>Current Assets</t>
        </is>
      </c>
      <c r="F3696" t="n">
        <v>136.07</v>
      </c>
      <c r="G3696" t="inlineStr">
        <is>
          <t>IDR bn</t>
        </is>
      </c>
      <c r="H3696" t="n">
        <v>6</v>
      </c>
      <c r="I3696" t="inlineStr">
        <is>
          <t>Total Aset Lancar 136.066.915.786</t>
        </is>
      </c>
      <c r="J3696" t="inlineStr">
        <is>
          <t>High</t>
        </is>
      </c>
      <c r="M3696" t="inlineStr">
        <is>
          <t>LLM</t>
        </is>
      </c>
      <c r="N3696" t="inlineStr">
        <is>
          <t>2026-04-19</t>
        </is>
      </c>
      <c r="O3696" t="inlineStr">
        <is>
          <t>AI</t>
        </is>
      </c>
    </row>
    <row r="3697">
      <c r="A3697" t="inlineStr">
        <is>
          <t>PT Indo Oil Perkasa Tbk</t>
        </is>
      </c>
      <c r="B3697" t="inlineStr">
        <is>
          <t>OILS_2023_AR.pdf</t>
        </is>
      </c>
      <c r="C3697" t="n">
        <v>2023</v>
      </c>
      <c r="D3697" t="inlineStr">
        <is>
          <t>Financial</t>
        </is>
      </c>
      <c r="E3697" t="inlineStr">
        <is>
          <t>Non-Current Assets</t>
        </is>
      </c>
      <c r="F3697" t="n">
        <v>63.84</v>
      </c>
      <c r="G3697" t="inlineStr">
        <is>
          <t>IDR bn</t>
        </is>
      </c>
      <c r="H3697" t="n">
        <v>6</v>
      </c>
      <c r="I3697" t="inlineStr">
        <is>
          <t>Total Aset Tidak Lancar 63.840.996.782</t>
        </is>
      </c>
      <c r="J3697" t="inlineStr">
        <is>
          <t>High</t>
        </is>
      </c>
      <c r="M3697" t="inlineStr">
        <is>
          <t>LLM</t>
        </is>
      </c>
      <c r="N3697" t="inlineStr">
        <is>
          <t>2026-04-19</t>
        </is>
      </c>
      <c r="O3697" t="inlineStr">
        <is>
          <t>AI</t>
        </is>
      </c>
    </row>
    <row r="3698">
      <c r="A3698" t="inlineStr">
        <is>
          <t>PT Indo Oil Perkasa Tbk</t>
        </is>
      </c>
      <c r="B3698" t="inlineStr">
        <is>
          <t>OILS_2023_AR.pdf</t>
        </is>
      </c>
      <c r="C3698" t="n">
        <v>2023</v>
      </c>
      <c r="D3698" t="inlineStr">
        <is>
          <t>Financial</t>
        </is>
      </c>
      <c r="E3698" t="inlineStr">
        <is>
          <t>Cash &amp; Equivalents</t>
        </is>
      </c>
      <c r="F3698" t="n">
        <v>7.91</v>
      </c>
      <c r="G3698" t="inlineStr">
        <is>
          <t>IDR bn</t>
        </is>
      </c>
      <c r="H3698" t="n">
        <v>36</v>
      </c>
      <c r="I3698" t="inlineStr">
        <is>
          <t>Kas dan setara kas 7.906.848.519</t>
        </is>
      </c>
      <c r="J3698" t="inlineStr">
        <is>
          <t>High</t>
        </is>
      </c>
      <c r="M3698" t="inlineStr">
        <is>
          <t>LLM</t>
        </is>
      </c>
      <c r="N3698" t="inlineStr">
        <is>
          <t>2026-04-19</t>
        </is>
      </c>
      <c r="O3698" t="inlineStr">
        <is>
          <t>AI</t>
        </is>
      </c>
    </row>
    <row r="3699">
      <c r="A3699" t="inlineStr">
        <is>
          <t>PT Indo Oil Perkasa Tbk</t>
        </is>
      </c>
      <c r="B3699" t="inlineStr">
        <is>
          <t>OILS_2023_AR.pdf</t>
        </is>
      </c>
      <c r="C3699" t="n">
        <v>2023</v>
      </c>
      <c r="D3699" t="inlineStr">
        <is>
          <t>Financial</t>
        </is>
      </c>
      <c r="E3699" t="inlineStr">
        <is>
          <t>Trade Receivables</t>
        </is>
      </c>
      <c r="F3699" t="n">
        <v>33.93</v>
      </c>
      <c r="G3699" t="inlineStr">
        <is>
          <t>IDR bn</t>
        </is>
      </c>
      <c r="H3699" t="n">
        <v>36</v>
      </c>
      <c r="I3699" t="inlineStr">
        <is>
          <t>Piutang Usaha 33.931.182.411</t>
        </is>
      </c>
      <c r="J3699" t="inlineStr">
        <is>
          <t>High</t>
        </is>
      </c>
      <c r="M3699" t="inlineStr">
        <is>
          <t>LLM</t>
        </is>
      </c>
      <c r="N3699" t="inlineStr">
        <is>
          <t>2026-04-19</t>
        </is>
      </c>
      <c r="O3699" t="inlineStr">
        <is>
          <t>AI</t>
        </is>
      </c>
    </row>
    <row r="3700">
      <c r="A3700" t="inlineStr">
        <is>
          <t>PT Indo Oil Perkasa Tbk</t>
        </is>
      </c>
      <c r="B3700" t="inlineStr">
        <is>
          <t>OILS_2023_AR.pdf</t>
        </is>
      </c>
      <c r="C3700" t="n">
        <v>2023</v>
      </c>
      <c r="D3700" t="inlineStr">
        <is>
          <t>Financial</t>
        </is>
      </c>
      <c r="E3700" t="inlineStr">
        <is>
          <t>Inventories</t>
        </is>
      </c>
      <c r="F3700" t="n">
        <v>86.56</v>
      </c>
      <c r="G3700" t="inlineStr">
        <is>
          <t>IDR bn</t>
        </is>
      </c>
      <c r="H3700" t="n">
        <v>36</v>
      </c>
      <c r="I3700" t="inlineStr">
        <is>
          <t>Persediaan 86.560.578.840</t>
        </is>
      </c>
      <c r="J3700" t="inlineStr">
        <is>
          <t>High</t>
        </is>
      </c>
      <c r="M3700" t="inlineStr">
        <is>
          <t>LLM</t>
        </is>
      </c>
      <c r="N3700" t="inlineStr">
        <is>
          <t>2026-04-19</t>
        </is>
      </c>
      <c r="O3700" t="inlineStr">
        <is>
          <t>AI</t>
        </is>
      </c>
    </row>
    <row r="3701">
      <c r="A3701" t="inlineStr">
        <is>
          <t>PT Indo Oil Perkasa Tbk</t>
        </is>
      </c>
      <c r="B3701" t="inlineStr">
        <is>
          <t>OILS_2023_AR.pdf</t>
        </is>
      </c>
      <c r="C3701" t="n">
        <v>2023</v>
      </c>
      <c r="D3701" t="inlineStr">
        <is>
          <t>Financial</t>
        </is>
      </c>
      <c r="E3701" t="inlineStr">
        <is>
          <t>Fixed Assets (Net)</t>
        </is>
      </c>
      <c r="F3701" t="n">
        <v>59.98</v>
      </c>
      <c r="G3701" t="inlineStr">
        <is>
          <t>IDR bn</t>
        </is>
      </c>
      <c r="H3701" t="n">
        <v>36</v>
      </c>
      <c r="I3701" t="inlineStr">
        <is>
          <t>Aset Tetap - Neto 59.975.127.010</t>
        </is>
      </c>
      <c r="J3701" t="inlineStr">
        <is>
          <t>High</t>
        </is>
      </c>
      <c r="M3701" t="inlineStr">
        <is>
          <t>LLM</t>
        </is>
      </c>
      <c r="N3701" t="inlineStr">
        <is>
          <t>2026-04-19</t>
        </is>
      </c>
      <c r="O3701" t="inlineStr">
        <is>
          <t>AI</t>
        </is>
      </c>
    </row>
    <row r="3702">
      <c r="A3702" t="inlineStr">
        <is>
          <t>PT Indo Oil Perkasa Tbk</t>
        </is>
      </c>
      <c r="B3702" t="inlineStr">
        <is>
          <t>OILS_2023_AR.pdf</t>
        </is>
      </c>
      <c r="C3702" t="n">
        <v>2023</v>
      </c>
      <c r="D3702" t="inlineStr">
        <is>
          <t>Financial</t>
        </is>
      </c>
      <c r="E3702" t="inlineStr">
        <is>
          <t>Total Liabilities</t>
        </is>
      </c>
      <c r="F3702" t="n">
        <v>115.42</v>
      </c>
      <c r="G3702" t="inlineStr">
        <is>
          <t>IDR bn</t>
        </is>
      </c>
      <c r="H3702" t="n">
        <v>6</v>
      </c>
      <c r="I3702" t="inlineStr">
        <is>
          <t>Total Liabilitas 115.421.733.330</t>
        </is>
      </c>
      <c r="J3702" t="inlineStr">
        <is>
          <t>High</t>
        </is>
      </c>
      <c r="M3702" t="inlineStr">
        <is>
          <t>LLM</t>
        </is>
      </c>
      <c r="N3702" t="inlineStr">
        <is>
          <t>2026-04-19</t>
        </is>
      </c>
      <c r="O3702" t="inlineStr">
        <is>
          <t>AI</t>
        </is>
      </c>
    </row>
    <row r="3703">
      <c r="A3703" t="inlineStr">
        <is>
          <t>PT Indo Oil Perkasa Tbk</t>
        </is>
      </c>
      <c r="B3703" t="inlineStr">
        <is>
          <t>OILS_2023_AR.pdf</t>
        </is>
      </c>
      <c r="C3703" t="n">
        <v>2023</v>
      </c>
      <c r="D3703" t="inlineStr">
        <is>
          <t>Financial</t>
        </is>
      </c>
      <c r="E3703" t="inlineStr">
        <is>
          <t>Current Liabilities</t>
        </is>
      </c>
      <c r="F3703" t="n">
        <v>103.76</v>
      </c>
      <c r="G3703" t="inlineStr">
        <is>
          <t>IDR bn</t>
        </is>
      </c>
      <c r="H3703" t="n">
        <v>6</v>
      </c>
      <c r="I3703" t="inlineStr">
        <is>
          <t>Total Liabilitas Jangka Pendek 103.759.062.353</t>
        </is>
      </c>
      <c r="J3703" t="inlineStr">
        <is>
          <t>High</t>
        </is>
      </c>
      <c r="M3703" t="inlineStr">
        <is>
          <t>LLM</t>
        </is>
      </c>
      <c r="N3703" t="inlineStr">
        <is>
          <t>2026-04-19</t>
        </is>
      </c>
      <c r="O3703" t="inlineStr">
        <is>
          <t>AI</t>
        </is>
      </c>
    </row>
    <row r="3704">
      <c r="A3704" t="inlineStr">
        <is>
          <t>PT Indo Oil Perkasa Tbk</t>
        </is>
      </c>
      <c r="B3704" t="inlineStr">
        <is>
          <t>OILS_2023_AR.pdf</t>
        </is>
      </c>
      <c r="C3704" t="n">
        <v>2023</v>
      </c>
      <c r="D3704" t="inlineStr">
        <is>
          <t>Financial</t>
        </is>
      </c>
      <c r="E3704" t="inlineStr">
        <is>
          <t>Non-Current Liabilities</t>
        </is>
      </c>
      <c r="F3704" t="n">
        <v>11.66</v>
      </c>
      <c r="G3704" t="inlineStr">
        <is>
          <t>IDR bn</t>
        </is>
      </c>
      <c r="H3704" t="n">
        <v>37</v>
      </c>
      <c r="I3704" t="inlineStr">
        <is>
          <t>Total Liabilitas Jangka Panjang 11.662.670.977</t>
        </is>
      </c>
      <c r="J3704" t="inlineStr">
        <is>
          <t>High</t>
        </is>
      </c>
      <c r="M3704" t="inlineStr">
        <is>
          <t>LLM</t>
        </is>
      </c>
      <c r="N3704" t="inlineStr">
        <is>
          <t>2026-04-19</t>
        </is>
      </c>
      <c r="O3704" t="inlineStr">
        <is>
          <t>AI</t>
        </is>
      </c>
    </row>
    <row r="3705">
      <c r="A3705" t="inlineStr">
        <is>
          <t>PT Indo Oil Perkasa Tbk</t>
        </is>
      </c>
      <c r="B3705" t="inlineStr">
        <is>
          <t>OILS_2023_AR.pdf</t>
        </is>
      </c>
      <c r="C3705" t="n">
        <v>2023</v>
      </c>
      <c r="D3705" t="inlineStr">
        <is>
          <t>Financial</t>
        </is>
      </c>
      <c r="E3705" t="inlineStr">
        <is>
          <t>Short-term Bank Loans</t>
        </is>
      </c>
      <c r="F3705" t="n">
        <v>73.95</v>
      </c>
      <c r="G3705" t="inlineStr">
        <is>
          <t>IDR bn</t>
        </is>
      </c>
      <c r="H3705" t="n">
        <v>37</v>
      </c>
      <c r="I3705" t="inlineStr">
        <is>
          <t>Utang Bank Jangka Pendek 73.951.903.898</t>
        </is>
      </c>
      <c r="J3705" t="inlineStr">
        <is>
          <t>High</t>
        </is>
      </c>
      <c r="M3705" t="inlineStr">
        <is>
          <t>LLM</t>
        </is>
      </c>
      <c r="N3705" t="inlineStr">
        <is>
          <t>2026-04-19</t>
        </is>
      </c>
      <c r="O3705" t="inlineStr">
        <is>
          <t>AI</t>
        </is>
      </c>
    </row>
    <row r="3706">
      <c r="A3706" t="inlineStr">
        <is>
          <t>PT Indo Oil Perkasa Tbk</t>
        </is>
      </c>
      <c r="B3706" t="inlineStr">
        <is>
          <t>OILS_2023_AR.pdf</t>
        </is>
      </c>
      <c r="C3706" t="n">
        <v>2023</v>
      </c>
      <c r="D3706" t="inlineStr">
        <is>
          <t>Financial</t>
        </is>
      </c>
      <c r="E3706" t="inlineStr">
        <is>
          <t>Long-term Bank Loans (Current Portion)</t>
        </is>
      </c>
      <c r="F3706" t="n">
        <v>2.11</v>
      </c>
      <c r="G3706" t="inlineStr">
        <is>
          <t>IDR bn</t>
        </is>
      </c>
      <c r="H3706" t="n">
        <v>37</v>
      </c>
      <c r="I3706" t="inlineStr">
        <is>
          <t>Utang Bank 2.107.514.892 (current maturities)</t>
        </is>
      </c>
      <c r="J3706" t="inlineStr">
        <is>
          <t>High</t>
        </is>
      </c>
      <c r="M3706" t="inlineStr">
        <is>
          <t>LLM</t>
        </is>
      </c>
      <c r="N3706" t="inlineStr">
        <is>
          <t>2026-04-19</t>
        </is>
      </c>
      <c r="O3706" t="inlineStr">
        <is>
          <t>AI</t>
        </is>
      </c>
    </row>
    <row r="3707">
      <c r="A3707" t="inlineStr">
        <is>
          <t>PT Indo Oil Perkasa Tbk</t>
        </is>
      </c>
      <c r="B3707" t="inlineStr">
        <is>
          <t>OILS_2023_AR.pdf</t>
        </is>
      </c>
      <c r="C3707" t="n">
        <v>2023</v>
      </c>
      <c r="D3707" t="inlineStr">
        <is>
          <t>Financial</t>
        </is>
      </c>
      <c r="E3707" t="inlineStr">
        <is>
          <t>Long-term Bank Loans (Non-Current)</t>
        </is>
      </c>
      <c r="F3707" t="n">
        <v>4.74</v>
      </c>
      <c r="G3707" t="inlineStr">
        <is>
          <t>IDR bn</t>
        </is>
      </c>
      <c r="H3707" t="n">
        <v>37</v>
      </c>
      <c r="I3707" t="inlineStr">
        <is>
          <t>Utang Bank 4.741.908.489 (non-current)</t>
        </is>
      </c>
      <c r="J3707" t="inlineStr">
        <is>
          <t>High</t>
        </is>
      </c>
      <c r="M3707" t="inlineStr">
        <is>
          <t>LLM</t>
        </is>
      </c>
      <c r="N3707" t="inlineStr">
        <is>
          <t>2026-04-19</t>
        </is>
      </c>
      <c r="O3707" t="inlineStr">
        <is>
          <t>AI</t>
        </is>
      </c>
    </row>
    <row r="3708">
      <c r="A3708" t="inlineStr">
        <is>
          <t>PT Indo Oil Perkasa Tbk</t>
        </is>
      </c>
      <c r="B3708" t="inlineStr">
        <is>
          <t>OILS_2023_AR.pdf</t>
        </is>
      </c>
      <c r="C3708" t="n">
        <v>2023</v>
      </c>
      <c r="D3708" t="inlineStr">
        <is>
          <t>Financial</t>
        </is>
      </c>
      <c r="E3708" t="inlineStr">
        <is>
          <t>Gross Bank Debt (Total)</t>
        </is>
      </c>
      <c r="F3708" t="n">
        <v>80.8</v>
      </c>
      <c r="G3708" t="inlineStr">
        <is>
          <t>IDR bn</t>
        </is>
      </c>
      <c r="H3708" t="n">
        <v>37</v>
      </c>
      <c r="I3708" t="inlineStr">
        <is>
          <t>Calc: 73.95 + 2.11 + 4.74 = 80.80</t>
        </is>
      </c>
      <c r="J3708" t="inlineStr">
        <is>
          <t>High</t>
        </is>
      </c>
      <c r="M3708" t="inlineStr">
        <is>
          <t>LLM</t>
        </is>
      </c>
      <c r="N3708" t="inlineStr">
        <is>
          <t>2026-04-19</t>
        </is>
      </c>
      <c r="O3708" t="inlineStr">
        <is>
          <t>AI</t>
        </is>
      </c>
    </row>
    <row r="3709">
      <c r="A3709" t="inlineStr">
        <is>
          <t>PT Indo Oil Perkasa Tbk</t>
        </is>
      </c>
      <c r="B3709" t="inlineStr">
        <is>
          <t>OILS_2023_AR.pdf</t>
        </is>
      </c>
      <c r="C3709" t="n">
        <v>2023</v>
      </c>
      <c r="D3709" t="inlineStr">
        <is>
          <t>Financial</t>
        </is>
      </c>
      <c r="E3709" t="inlineStr">
        <is>
          <t>Total Equity</t>
        </is>
      </c>
      <c r="F3709" t="n">
        <v>84.48999999999999</v>
      </c>
      <c r="G3709" t="inlineStr">
        <is>
          <t>IDR bn</t>
        </is>
      </c>
      <c r="H3709" t="n">
        <v>6</v>
      </c>
      <c r="I3709" t="inlineStr">
        <is>
          <t>Total Ekuitas 84.486.179.238</t>
        </is>
      </c>
      <c r="J3709" t="inlineStr">
        <is>
          <t>High</t>
        </is>
      </c>
      <c r="M3709" t="inlineStr">
        <is>
          <t>LLM</t>
        </is>
      </c>
      <c r="N3709" t="inlineStr">
        <is>
          <t>2026-04-19</t>
        </is>
      </c>
      <c r="O3709" t="inlineStr">
        <is>
          <t>AI</t>
        </is>
      </c>
    </row>
    <row r="3710">
      <c r="A3710" t="inlineStr">
        <is>
          <t>PT Indo Oil Perkasa Tbk</t>
        </is>
      </c>
      <c r="B3710" t="inlineStr">
        <is>
          <t>OILS_2023_AR.pdf</t>
        </is>
      </c>
      <c r="C3710" t="n">
        <v>2023</v>
      </c>
      <c r="D3710" t="inlineStr">
        <is>
          <t>Financial</t>
        </is>
      </c>
      <c r="E3710" t="inlineStr">
        <is>
          <t>CFO</t>
        </is>
      </c>
      <c r="F3710" t="n">
        <v>-11.95</v>
      </c>
      <c r="G3710" t="inlineStr">
        <is>
          <t>IDR bn</t>
        </is>
      </c>
      <c r="H3710" t="n">
        <v>6</v>
      </c>
      <c r="I3710" t="inlineStr">
        <is>
          <t>Kas Neto Digunakan untuk Aktivitas Operasi (11.953.352.490)</t>
        </is>
      </c>
      <c r="J3710" t="inlineStr">
        <is>
          <t>High</t>
        </is>
      </c>
      <c r="M3710" t="inlineStr">
        <is>
          <t>LLM</t>
        </is>
      </c>
      <c r="N3710" t="inlineStr">
        <is>
          <t>2026-04-19</t>
        </is>
      </c>
      <c r="O3710" t="inlineStr">
        <is>
          <t>AI</t>
        </is>
      </c>
    </row>
    <row r="3711">
      <c r="A3711" t="inlineStr">
        <is>
          <t>PT Indo Oil Perkasa Tbk</t>
        </is>
      </c>
      <c r="B3711" t="inlineStr">
        <is>
          <t>OILS_2023_AR.pdf</t>
        </is>
      </c>
      <c r="C3711" t="n">
        <v>2023</v>
      </c>
      <c r="D3711" t="inlineStr">
        <is>
          <t>Financial</t>
        </is>
      </c>
      <c r="E3711" t="inlineStr">
        <is>
          <t>CFI</t>
        </is>
      </c>
      <c r="F3711" t="n">
        <v>-14.37</v>
      </c>
      <c r="G3711" t="inlineStr">
        <is>
          <t>IDR bn</t>
        </is>
      </c>
      <c r="H3711" t="n">
        <v>6</v>
      </c>
      <c r="I3711" t="inlineStr">
        <is>
          <t>Kas Neto Digunakan untuk Aktivitas Investasi (14.369.847.699)</t>
        </is>
      </c>
      <c r="J3711" t="inlineStr">
        <is>
          <t>High</t>
        </is>
      </c>
      <c r="M3711" t="inlineStr">
        <is>
          <t>LLM</t>
        </is>
      </c>
      <c r="N3711" t="inlineStr">
        <is>
          <t>2026-04-19</t>
        </is>
      </c>
      <c r="O3711" t="inlineStr">
        <is>
          <t>AI</t>
        </is>
      </c>
    </row>
    <row r="3712">
      <c r="A3712" t="inlineStr">
        <is>
          <t>PT Indo Oil Perkasa Tbk</t>
        </is>
      </c>
      <c r="B3712" t="inlineStr">
        <is>
          <t>OILS_2023_AR.pdf</t>
        </is>
      </c>
      <c r="C3712" t="n">
        <v>2023</v>
      </c>
      <c r="D3712" t="inlineStr">
        <is>
          <t>Financial</t>
        </is>
      </c>
      <c r="E3712" t="inlineStr">
        <is>
          <t>CFF</t>
        </is>
      </c>
      <c r="F3712" t="n">
        <v>26.27</v>
      </c>
      <c r="G3712" t="inlineStr">
        <is>
          <t>IDR bn</t>
        </is>
      </c>
      <c r="H3712" t="n">
        <v>6</v>
      </c>
      <c r="I3712" t="inlineStr">
        <is>
          <t>Kas Neto Diperoleh dari Aktivitas Pendanaan 26.269.424.689</t>
        </is>
      </c>
      <c r="J3712" t="inlineStr">
        <is>
          <t>High</t>
        </is>
      </c>
      <c r="M3712" t="inlineStr">
        <is>
          <t>LLM</t>
        </is>
      </c>
      <c r="N3712" t="inlineStr">
        <is>
          <t>2026-04-19</t>
        </is>
      </c>
      <c r="O3712" t="inlineStr">
        <is>
          <t>AI</t>
        </is>
      </c>
    </row>
    <row r="3713">
      <c r="A3713" t="inlineStr">
        <is>
          <t>PT Indo Oil Perkasa Tbk</t>
        </is>
      </c>
      <c r="B3713" t="inlineStr">
        <is>
          <t>OILS_2023_AR.pdf</t>
        </is>
      </c>
      <c r="C3713" t="n">
        <v>2023</v>
      </c>
      <c r="D3713" t="inlineStr">
        <is>
          <t>Financial</t>
        </is>
      </c>
      <c r="E3713" t="inlineStr">
        <is>
          <t>Capex (Fixed Asset Acquisition)</t>
        </is>
      </c>
      <c r="F3713" t="n">
        <v>14.37</v>
      </c>
      <c r="G3713" t="inlineStr">
        <is>
          <t>IDR bn</t>
        </is>
      </c>
      <c r="H3713" t="n">
        <v>40</v>
      </c>
      <c r="I3713" t="inlineStr">
        <is>
          <t>Perolehan Aset Tetap di tahun 2023 (14,369,847,699)</t>
        </is>
      </c>
      <c r="J3713" t="inlineStr">
        <is>
          <t>High</t>
        </is>
      </c>
      <c r="M3713" t="inlineStr">
        <is>
          <t>LLM</t>
        </is>
      </c>
      <c r="N3713" t="inlineStr">
        <is>
          <t>2026-04-19</t>
        </is>
      </c>
      <c r="O3713" t="inlineStr">
        <is>
          <t>AI</t>
        </is>
      </c>
    </row>
    <row r="3714">
      <c r="A3714" t="inlineStr">
        <is>
          <t>PT Indo Oil Perkasa Tbk</t>
        </is>
      </c>
      <c r="B3714" t="inlineStr">
        <is>
          <t>OILS_2023_AR.pdf</t>
        </is>
      </c>
      <c r="C3714" t="n">
        <v>2023</v>
      </c>
      <c r="D3714" t="inlineStr">
        <is>
          <t>Financial</t>
        </is>
      </c>
      <c r="E3714" t="inlineStr">
        <is>
          <t>EPS</t>
        </is>
      </c>
      <c r="F3714" t="n">
        <v>6.89</v>
      </c>
      <c r="G3714" t="inlineStr">
        <is>
          <t>Rp/share</t>
        </is>
      </c>
      <c r="H3714" t="n">
        <v>6</v>
      </c>
      <c r="I3714" t="inlineStr">
        <is>
          <t>Laba Per Saham 6,89</t>
        </is>
      </c>
      <c r="J3714" t="inlineStr">
        <is>
          <t>High</t>
        </is>
      </c>
      <c r="M3714" t="inlineStr">
        <is>
          <t>LLM</t>
        </is>
      </c>
      <c r="N3714" t="inlineStr">
        <is>
          <t>2026-04-19</t>
        </is>
      </c>
      <c r="O3714" t="inlineStr">
        <is>
          <t>AI</t>
        </is>
      </c>
    </row>
    <row r="3715">
      <c r="A3715" t="inlineStr">
        <is>
          <t>PT Indo Oil Perkasa Tbk</t>
        </is>
      </c>
      <c r="B3715" t="inlineStr">
        <is>
          <t>OILS_2023_AR.pdf</t>
        </is>
      </c>
      <c r="C3715" t="n">
        <v>2023</v>
      </c>
      <c r="D3715" t="inlineStr">
        <is>
          <t>Financial</t>
        </is>
      </c>
      <c r="E3715" t="inlineStr">
        <is>
          <t>Dividend Paid (FY2022)</t>
        </is>
      </c>
      <c r="F3715" t="n">
        <v>1.41</v>
      </c>
      <c r="G3715" t="inlineStr">
        <is>
          <t>IDR bn</t>
        </is>
      </c>
      <c r="H3715" t="n">
        <v>152</v>
      </c>
      <c r="I3715" t="inlineStr">
        <is>
          <t>Dividen (Catatan 25) (1.405.813.174)</t>
        </is>
      </c>
      <c r="J3715" t="inlineStr">
        <is>
          <t>High</t>
        </is>
      </c>
      <c r="M3715" t="inlineStr">
        <is>
          <t>LLM</t>
        </is>
      </c>
      <c r="N3715" t="inlineStr">
        <is>
          <t>2026-04-19</t>
        </is>
      </c>
      <c r="O3715" t="inlineStr">
        <is>
          <t>AI</t>
        </is>
      </c>
    </row>
    <row r="3716">
      <c r="A3716" t="inlineStr">
        <is>
          <t>PT Indo Oil Perkasa Tbk</t>
        </is>
      </c>
      <c r="B3716" t="inlineStr">
        <is>
          <t>OILS_2023_AR.pdf</t>
        </is>
      </c>
      <c r="C3716" t="n">
        <v>2023</v>
      </c>
      <c r="D3716" t="inlineStr">
        <is>
          <t>Financial</t>
        </is>
      </c>
      <c r="E3716" t="inlineStr">
        <is>
          <t>Closing Price (31 Dec 2023)</t>
        </is>
      </c>
      <c r="F3716" t="n">
        <v>133</v>
      </c>
      <c r="G3716" t="inlineStr">
        <is>
          <t>Rp/share</t>
        </is>
      </c>
      <c r="H3716" t="n">
        <v>8</v>
      </c>
      <c r="I3716" t="inlineStr">
        <is>
          <t>Kuartal IV (Okt-Des 2023) 177 130 133</t>
        </is>
      </c>
      <c r="J3716" t="inlineStr">
        <is>
          <t>High</t>
        </is>
      </c>
      <c r="M3716" t="inlineStr">
        <is>
          <t>LLM</t>
        </is>
      </c>
      <c r="N3716" t="inlineStr">
        <is>
          <t>2026-04-19</t>
        </is>
      </c>
      <c r="O3716" t="inlineStr">
        <is>
          <t>AI</t>
        </is>
      </c>
    </row>
    <row r="3717">
      <c r="A3717" t="inlineStr">
        <is>
          <t>PT Indo Oil Perkasa Tbk</t>
        </is>
      </c>
      <c r="B3717" t="inlineStr">
        <is>
          <t>OILS_2023_AR.pdf</t>
        </is>
      </c>
      <c r="C3717" t="n">
        <v>2023</v>
      </c>
      <c r="D3717" t="inlineStr">
        <is>
          <t>Financial</t>
        </is>
      </c>
      <c r="E3717" t="inlineStr">
        <is>
          <t>Current Ratio</t>
        </is>
      </c>
      <c r="F3717" t="n">
        <v>1.31</v>
      </c>
      <c r="G3717" t="inlineStr">
        <is>
          <t>x</t>
        </is>
      </c>
      <c r="H3717" t="n">
        <v>40</v>
      </c>
      <c r="I3717" t="inlineStr">
        <is>
          <t>Rasio Lancar 1.31 1.74</t>
        </is>
      </c>
      <c r="J3717" t="inlineStr">
        <is>
          <t>High</t>
        </is>
      </c>
      <c r="M3717" t="inlineStr">
        <is>
          <t>LLM</t>
        </is>
      </c>
      <c r="N3717" t="inlineStr">
        <is>
          <t>2026-04-19</t>
        </is>
      </c>
      <c r="O3717" t="inlineStr">
        <is>
          <t>AI</t>
        </is>
      </c>
    </row>
    <row r="3718">
      <c r="A3718" t="inlineStr">
        <is>
          <t>PT Indo Oil Perkasa Tbk</t>
        </is>
      </c>
      <c r="B3718" t="inlineStr">
        <is>
          <t>OILS_2023_AR.pdf</t>
        </is>
      </c>
      <c r="C3718" t="n">
        <v>2023</v>
      </c>
      <c r="D3718" t="inlineStr">
        <is>
          <t>Financial</t>
        </is>
      </c>
      <c r="E3718" t="inlineStr">
        <is>
          <t>Debt-to-Equity</t>
        </is>
      </c>
      <c r="F3718" t="n">
        <v>1.37</v>
      </c>
      <c r="G3718" t="inlineStr">
        <is>
          <t>x</t>
        </is>
      </c>
      <c r="H3718" t="n">
        <v>40</v>
      </c>
      <c r="I3718" t="inlineStr">
        <is>
          <t>Rasio Total Liabilitas terhadap Total Ekuitas 1.37 0.91</t>
        </is>
      </c>
      <c r="J3718" t="inlineStr">
        <is>
          <t>High</t>
        </is>
      </c>
      <c r="M3718" t="inlineStr">
        <is>
          <t>LLM</t>
        </is>
      </c>
      <c r="N3718" t="inlineStr">
        <is>
          <t>2026-04-19</t>
        </is>
      </c>
      <c r="O3718" t="inlineStr">
        <is>
          <t>AI</t>
        </is>
      </c>
    </row>
    <row r="3719">
      <c r="A3719" t="inlineStr">
        <is>
          <t>PT Indo Oil Perkasa Tbk</t>
        </is>
      </c>
      <c r="B3719" t="inlineStr">
        <is>
          <t>OILS_2023_AR.pdf</t>
        </is>
      </c>
      <c r="C3719" t="n">
        <v>2023</v>
      </c>
      <c r="D3719" t="inlineStr">
        <is>
          <t>Financial</t>
        </is>
      </c>
      <c r="E3719" t="inlineStr">
        <is>
          <t>Debt-to-Assets</t>
        </is>
      </c>
      <c r="F3719" t="n">
        <v>0.58</v>
      </c>
      <c r="G3719" t="inlineStr">
        <is>
          <t>x</t>
        </is>
      </c>
      <c r="H3719" t="n">
        <v>40</v>
      </c>
      <c r="I3719" t="inlineStr">
        <is>
          <t>Rasio Total Liabilitas terhadap Total Aset 0.58 0.48</t>
        </is>
      </c>
      <c r="J3719" t="inlineStr">
        <is>
          <t>High</t>
        </is>
      </c>
      <c r="M3719" t="inlineStr">
        <is>
          <t>LLM</t>
        </is>
      </c>
      <c r="N3719" t="inlineStr">
        <is>
          <t>2026-04-19</t>
        </is>
      </c>
      <c r="O3719" t="inlineStr">
        <is>
          <t>AI</t>
        </is>
      </c>
    </row>
    <row r="3720">
      <c r="A3720" t="inlineStr">
        <is>
          <t>PT Indo Oil Perkasa Tbk</t>
        </is>
      </c>
      <c r="B3720" t="inlineStr">
        <is>
          <t>OILS_2023_AR.pdf</t>
        </is>
      </c>
      <c r="C3720" t="n">
        <v>2023</v>
      </c>
      <c r="D3720" t="inlineStr">
        <is>
          <t>Operation</t>
        </is>
      </c>
      <c r="E3720" t="inlineStr">
        <is>
          <t>Plant Capacity</t>
        </is>
      </c>
      <c r="F3720" t="n">
        <v>4000</v>
      </c>
      <c r="G3720" t="inlineStr">
        <is>
          <t>tons</t>
        </is>
      </c>
      <c r="H3720" t="n">
        <v>45</v>
      </c>
      <c r="I3720" t="inlineStr">
        <is>
          <t>pabrik Perseroan di Mojokerto berkapasitas 4.000 ton</t>
        </is>
      </c>
      <c r="J3720" t="inlineStr">
        <is>
          <t>High</t>
        </is>
      </c>
      <c r="M3720" t="inlineStr">
        <is>
          <t>LLM</t>
        </is>
      </c>
      <c r="N3720" t="inlineStr">
        <is>
          <t>2026-04-19</t>
        </is>
      </c>
      <c r="O3720" t="inlineStr">
        <is>
          <t>AI</t>
        </is>
      </c>
    </row>
    <row r="3721">
      <c r="A3721" t="inlineStr">
        <is>
          <t>PT Indo Oil Perkasa Tbk</t>
        </is>
      </c>
      <c r="B3721" t="inlineStr">
        <is>
          <t>OILS_2023_AR.pdf</t>
        </is>
      </c>
      <c r="C3721" t="n">
        <v>2023</v>
      </c>
      <c r="D3721" t="inlineStr">
        <is>
          <t>Operation</t>
        </is>
      </c>
      <c r="E3721" t="inlineStr">
        <is>
          <t>Daily CNO Production Capacity</t>
        </is>
      </c>
      <c r="F3721" t="n">
        <v>100</v>
      </c>
      <c r="G3721" t="inlineStr">
        <is>
          <t>t/day</t>
        </is>
      </c>
      <c r="H3721" t="n">
        <v>45</v>
      </c>
      <c r="I3721" t="inlineStr">
        <is>
          <t>kapasitas produksi OILS sebesar 100 ton CNO per hari</t>
        </is>
      </c>
      <c r="J3721" t="inlineStr">
        <is>
          <t>High</t>
        </is>
      </c>
      <c r="M3721" t="inlineStr">
        <is>
          <t>LLM</t>
        </is>
      </c>
      <c r="N3721" t="inlineStr">
        <is>
          <t>2026-04-19</t>
        </is>
      </c>
      <c r="O3721" t="inlineStr">
        <is>
          <t>AI</t>
        </is>
      </c>
    </row>
    <row r="3722">
      <c r="A3722" t="inlineStr">
        <is>
          <t>PT Indo Oil Perkasa Tbk</t>
        </is>
      </c>
      <c r="B3722" t="inlineStr">
        <is>
          <t>OILS_2023_AR.pdf</t>
        </is>
      </c>
      <c r="C3722" t="n">
        <v>2023</v>
      </c>
      <c r="D3722" t="inlineStr">
        <is>
          <t>Operation</t>
        </is>
      </c>
      <c r="E3722" t="inlineStr">
        <is>
          <t>Daily Copra Meal Production Capacity</t>
        </is>
      </c>
      <c r="F3722" t="n">
        <v>150</v>
      </c>
      <c r="G3722" t="inlineStr">
        <is>
          <t>t/day</t>
        </is>
      </c>
      <c r="H3722" t="n">
        <v>45</v>
      </c>
      <c r="I3722" t="inlineStr">
        <is>
          <t>setara 150 ton tepung kopra per hari</t>
        </is>
      </c>
      <c r="J3722" t="inlineStr">
        <is>
          <t>High</t>
        </is>
      </c>
      <c r="M3722" t="inlineStr">
        <is>
          <t>LLM</t>
        </is>
      </c>
      <c r="N3722" t="inlineStr">
        <is>
          <t>2026-04-19</t>
        </is>
      </c>
      <c r="O3722" t="inlineStr">
        <is>
          <t>AI</t>
        </is>
      </c>
    </row>
    <row r="3723">
      <c r="A3723" t="inlineStr">
        <is>
          <t>PT Indo Oil Perkasa Tbk</t>
        </is>
      </c>
      <c r="B3723" t="inlineStr">
        <is>
          <t>OILS_2023_AR.pdf</t>
        </is>
      </c>
      <c r="C3723" t="n">
        <v>2023</v>
      </c>
      <c r="D3723" t="inlineStr">
        <is>
          <t>Operation</t>
        </is>
      </c>
      <c r="E3723" t="inlineStr">
        <is>
          <t>Number of Production Machines</t>
        </is>
      </c>
      <c r="F3723" t="n">
        <v>4</v>
      </c>
      <c r="G3723" t="inlineStr">
        <is>
          <t>count</t>
        </is>
      </c>
      <c r="H3723" t="n">
        <v>45</v>
      </c>
      <c r="I3723" t="inlineStr">
        <is>
          <t>menggunakan empat mesin produksi</t>
        </is>
      </c>
      <c r="J3723" t="inlineStr">
        <is>
          <t>High</t>
        </is>
      </c>
      <c r="M3723" t="inlineStr">
        <is>
          <t>LLM</t>
        </is>
      </c>
      <c r="N3723" t="inlineStr">
        <is>
          <t>2026-04-19</t>
        </is>
      </c>
      <c r="O3723" t="inlineStr">
        <is>
          <t>AI</t>
        </is>
      </c>
    </row>
    <row r="3724">
      <c r="A3724" t="inlineStr">
        <is>
          <t>PT Indo Oil Perkasa Tbk</t>
        </is>
      </c>
      <c r="B3724" t="inlineStr">
        <is>
          <t>OILS_2023_AR.pdf</t>
        </is>
      </c>
      <c r="C3724" t="n">
        <v>2023</v>
      </c>
      <c r="D3724" t="inlineStr">
        <is>
          <t>Operation</t>
        </is>
      </c>
      <c r="E3724" t="inlineStr">
        <is>
          <t>Oil Storage Tank</t>
        </is>
      </c>
      <c r="F3724" t="n">
        <v>500</v>
      </c>
      <c r="G3724" t="inlineStr">
        <is>
          <t>tons</t>
        </is>
      </c>
      <c r="H3724" t="n">
        <v>45</v>
      </c>
      <c r="I3724" t="inlineStr">
        <is>
          <t>tangki penyimpanan minyak sebanyak 500 ton</t>
        </is>
      </c>
      <c r="J3724" t="inlineStr">
        <is>
          <t>High</t>
        </is>
      </c>
      <c r="M3724" t="inlineStr">
        <is>
          <t>LLM</t>
        </is>
      </c>
      <c r="N3724" t="inlineStr">
        <is>
          <t>2026-04-19</t>
        </is>
      </c>
      <c r="O3724" t="inlineStr">
        <is>
          <t>AI</t>
        </is>
      </c>
    </row>
    <row r="3725">
      <c r="A3725" t="inlineStr">
        <is>
          <t>PT Indo Oil Perkasa Tbk</t>
        </is>
      </c>
      <c r="B3725" t="inlineStr">
        <is>
          <t>OILS_2023_AR.pdf</t>
        </is>
      </c>
      <c r="C3725" t="n">
        <v>2023</v>
      </c>
      <c r="D3725" t="inlineStr">
        <is>
          <t>Operation</t>
        </is>
      </c>
      <c r="E3725" t="inlineStr">
        <is>
          <t>Copra Meal Storage</t>
        </is>
      </c>
      <c r="F3725" t="n">
        <v>3000</v>
      </c>
      <c r="G3725" t="inlineStr">
        <is>
          <t>tons</t>
        </is>
      </c>
      <c r="H3725" t="n">
        <v>45</v>
      </c>
      <c r="I3725" t="inlineStr">
        <is>
          <t>penyimpanan tepung kopra 3.000 ton</t>
        </is>
      </c>
      <c r="J3725" t="inlineStr">
        <is>
          <t>High</t>
        </is>
      </c>
      <c r="M3725" t="inlineStr">
        <is>
          <t>LLM</t>
        </is>
      </c>
      <c r="N3725" t="inlineStr">
        <is>
          <t>2026-04-19</t>
        </is>
      </c>
      <c r="O3725" t="inlineStr">
        <is>
          <t>AI</t>
        </is>
      </c>
    </row>
    <row r="3726">
      <c r="A3726" t="inlineStr">
        <is>
          <t>PT Indo Oil Perkasa Tbk</t>
        </is>
      </c>
      <c r="B3726" t="inlineStr">
        <is>
          <t>OILS_2023_AR.pdf</t>
        </is>
      </c>
      <c r="C3726" t="n">
        <v>2023</v>
      </c>
      <c r="D3726" t="inlineStr">
        <is>
          <t>Operation</t>
        </is>
      </c>
      <c r="E3726" t="inlineStr">
        <is>
          <t>Capacity Expansion Plan</t>
        </is>
      </c>
      <c r="F3726" t="inlineStr">
        <is>
          <t>6,000 tons factory, 1,000 tons oil tank, 300 t/day CNO, 9 machines</t>
        </is>
      </c>
      <c r="G3726" t="inlineStr">
        <is>
          <t>text</t>
        </is>
      </c>
      <c r="H3726" t="n">
        <v>45</v>
      </c>
      <c r="I3726" t="inlineStr">
        <is>
          <t>meningkatkan kapasitas pabrik menjadi 6.000 ton, tangki penyimpanan menjadi 1.000 ton dan produksi CNO sebanyak 300 ton per hari</t>
        </is>
      </c>
      <c r="J3726" t="inlineStr">
        <is>
          <t>High</t>
        </is>
      </c>
      <c r="M3726" t="inlineStr">
        <is>
          <t>LLM</t>
        </is>
      </c>
      <c r="N3726" t="inlineStr">
        <is>
          <t>2026-04-19</t>
        </is>
      </c>
      <c r="O3726" t="inlineStr">
        <is>
          <t>AI</t>
        </is>
      </c>
    </row>
    <row r="3727">
      <c r="A3727" t="inlineStr">
        <is>
          <t>PT Indo Oil Perkasa Tbk</t>
        </is>
      </c>
      <c r="B3727" t="inlineStr">
        <is>
          <t>OILS_2023_AR.pdf</t>
        </is>
      </c>
      <c r="C3727" t="n">
        <v>2023</v>
      </c>
      <c r="D3727" t="inlineStr">
        <is>
          <t>Operation</t>
        </is>
      </c>
      <c r="E3727" t="inlineStr">
        <is>
          <t>Local Sales</t>
        </is>
      </c>
      <c r="F3727" t="n">
        <v>298.64</v>
      </c>
      <c r="G3727" t="inlineStr">
        <is>
          <t>IDR bn</t>
        </is>
      </c>
      <c r="H3727" t="n">
        <v>35</v>
      </c>
      <c r="I3727" t="inlineStr">
        <is>
          <t>Penjualan Lokal / Local Sales 298.642.177.109</t>
        </is>
      </c>
      <c r="J3727" t="inlineStr">
        <is>
          <t>High</t>
        </is>
      </c>
      <c r="M3727" t="inlineStr">
        <is>
          <t>LLM</t>
        </is>
      </c>
      <c r="N3727" t="inlineStr">
        <is>
          <t>2026-04-19</t>
        </is>
      </c>
      <c r="O3727" t="inlineStr">
        <is>
          <t>AI</t>
        </is>
      </c>
    </row>
    <row r="3728">
      <c r="A3728" t="inlineStr">
        <is>
          <t>PT Indo Oil Perkasa Tbk</t>
        </is>
      </c>
      <c r="B3728" t="inlineStr">
        <is>
          <t>OILS_2023_AR.pdf</t>
        </is>
      </c>
      <c r="C3728" t="n">
        <v>2023</v>
      </c>
      <c r="D3728" t="inlineStr">
        <is>
          <t>Operation</t>
        </is>
      </c>
      <c r="E3728" t="inlineStr">
        <is>
          <t>Export Sales</t>
        </is>
      </c>
      <c r="F3728" t="n">
        <v>301.71</v>
      </c>
      <c r="G3728" t="inlineStr">
        <is>
          <t>IDR bn</t>
        </is>
      </c>
      <c r="H3728" t="n">
        <v>35</v>
      </c>
      <c r="I3728" t="inlineStr">
        <is>
          <t>Penjualan Ekspor / Export Sales 301.709.451.876</t>
        </is>
      </c>
      <c r="J3728" t="inlineStr">
        <is>
          <t>High</t>
        </is>
      </c>
      <c r="M3728" t="inlineStr">
        <is>
          <t>LLM</t>
        </is>
      </c>
      <c r="N3728" t="inlineStr">
        <is>
          <t>2026-04-19</t>
        </is>
      </c>
      <c r="O3728" t="inlineStr">
        <is>
          <t>AI</t>
        </is>
      </c>
    </row>
    <row r="3729">
      <c r="A3729" t="inlineStr">
        <is>
          <t>PT Indo Oil Perkasa Tbk</t>
        </is>
      </c>
      <c r="B3729" t="inlineStr">
        <is>
          <t>OILS_2023_AR.pdf</t>
        </is>
      </c>
      <c r="C3729" t="n">
        <v>2023</v>
      </c>
      <c r="D3729" t="inlineStr">
        <is>
          <t>Operation</t>
        </is>
      </c>
      <c r="E3729" t="inlineStr">
        <is>
          <t>Receivables Turnover</t>
        </is>
      </c>
      <c r="F3729" t="n">
        <v>17.69</v>
      </c>
      <c r="G3729" t="inlineStr">
        <is>
          <t>x</t>
        </is>
      </c>
      <c r="H3729" t="n">
        <v>40</v>
      </c>
      <c r="I3729" t="inlineStr">
        <is>
          <t>Rasio Perputaran Piutang 17.69</t>
        </is>
      </c>
      <c r="J3729" t="inlineStr">
        <is>
          <t>High</t>
        </is>
      </c>
      <c r="M3729" t="inlineStr">
        <is>
          <t>LLM</t>
        </is>
      </c>
      <c r="N3729" t="inlineStr">
        <is>
          <t>2026-04-19</t>
        </is>
      </c>
      <c r="O3729" t="inlineStr">
        <is>
          <t>AI</t>
        </is>
      </c>
    </row>
    <row r="3730">
      <c r="A3730" t="inlineStr">
        <is>
          <t>PT Indo Oil Perkasa Tbk</t>
        </is>
      </c>
      <c r="B3730" t="inlineStr">
        <is>
          <t>OILS_2023_AR.pdf</t>
        </is>
      </c>
      <c r="C3730" t="n">
        <v>2023</v>
      </c>
      <c r="D3730" t="inlineStr">
        <is>
          <t>Operation</t>
        </is>
      </c>
      <c r="E3730" t="inlineStr">
        <is>
          <t>Days Receivable</t>
        </is>
      </c>
      <c r="F3730" t="n">
        <v>21</v>
      </c>
      <c r="G3730" t="inlineStr">
        <is>
          <t>days</t>
        </is>
      </c>
      <c r="H3730" t="n">
        <v>40</v>
      </c>
      <c r="I3730" t="inlineStr">
        <is>
          <t>Rata-rata periode penagihan piutang 21 hari</t>
        </is>
      </c>
      <c r="J3730" t="inlineStr">
        <is>
          <t>High</t>
        </is>
      </c>
      <c r="M3730" t="inlineStr">
        <is>
          <t>LLM</t>
        </is>
      </c>
      <c r="N3730" t="inlineStr">
        <is>
          <t>2026-04-19</t>
        </is>
      </c>
      <c r="O3730" t="inlineStr">
        <is>
          <t>AI</t>
        </is>
      </c>
    </row>
    <row r="3731">
      <c r="A3731" t="inlineStr">
        <is>
          <t>PT Indo Oil Perkasa Tbk</t>
        </is>
      </c>
      <c r="B3731" t="inlineStr">
        <is>
          <t>OILS_2023_AR.pdf</t>
        </is>
      </c>
      <c r="C3731" t="n">
        <v>2023</v>
      </c>
      <c r="D3731" t="inlineStr">
        <is>
          <t>ESG</t>
        </is>
      </c>
      <c r="E3731" t="inlineStr">
        <is>
          <t>Electricity Consumption</t>
        </is>
      </c>
      <c r="F3731" t="n">
        <v>2854401</v>
      </c>
      <c r="G3731" t="inlineStr">
        <is>
          <t>Kwh</t>
        </is>
      </c>
      <c r="H3731" t="n">
        <v>9</v>
      </c>
      <c r="I3731" t="inlineStr">
        <is>
          <t>Pemakaian Listrik 2.854.401 2.441.559</t>
        </is>
      </c>
      <c r="J3731" t="inlineStr">
        <is>
          <t>High</t>
        </is>
      </c>
      <c r="M3731" t="inlineStr">
        <is>
          <t>LLM</t>
        </is>
      </c>
      <c r="N3731" t="inlineStr">
        <is>
          <t>2026-04-19</t>
        </is>
      </c>
      <c r="O3731" t="inlineStr">
        <is>
          <t>AI</t>
        </is>
      </c>
    </row>
    <row r="3732">
      <c r="A3732" t="inlineStr">
        <is>
          <t>PT Indo Oil Perkasa Tbk</t>
        </is>
      </c>
      <c r="B3732" t="inlineStr">
        <is>
          <t>OILS_2023_AR.pdf</t>
        </is>
      </c>
      <c r="C3732" t="n">
        <v>2023</v>
      </c>
      <c r="D3732" t="inlineStr">
        <is>
          <t>ESG</t>
        </is>
      </c>
      <c r="E3732" t="inlineStr">
        <is>
          <t>Water Consumption</t>
        </is>
      </c>
      <c r="F3732" t="n">
        <v>4276</v>
      </c>
      <c r="G3732" t="inlineStr">
        <is>
          <t>m3</t>
        </is>
      </c>
      <c r="H3732" t="n">
        <v>9</v>
      </c>
      <c r="I3732" t="inlineStr">
        <is>
          <t>Volume Pemakaian Air 4.276 3.564</t>
        </is>
      </c>
      <c r="J3732" t="inlineStr">
        <is>
          <t>High</t>
        </is>
      </c>
      <c r="M3732" t="inlineStr">
        <is>
          <t>LLM</t>
        </is>
      </c>
      <c r="N3732" t="inlineStr">
        <is>
          <t>2026-04-19</t>
        </is>
      </c>
      <c r="O3732" t="inlineStr">
        <is>
          <t>AI</t>
        </is>
      </c>
    </row>
    <row r="3733">
      <c r="A3733" t="inlineStr">
        <is>
          <t>PT Indo Oil Perkasa Tbk</t>
        </is>
      </c>
      <c r="B3733" t="inlineStr">
        <is>
          <t>OILS_2023_AR.pdf</t>
        </is>
      </c>
      <c r="C3733" t="n">
        <v>2023</v>
      </c>
      <c r="D3733" t="inlineStr">
        <is>
          <t>ESG</t>
        </is>
      </c>
      <c r="E3733" t="inlineStr">
        <is>
          <t>CO2 Emissions</t>
        </is>
      </c>
      <c r="F3733" t="n">
        <v>2813</v>
      </c>
      <c r="G3733" t="inlineStr">
        <is>
          <t>ton CO2eq</t>
        </is>
      </c>
      <c r="H3733" t="n">
        <v>9</v>
      </c>
      <c r="I3733" t="inlineStr">
        <is>
          <t>Total Pelepasan Emisi CO2 2.813 6.324</t>
        </is>
      </c>
      <c r="J3733" t="inlineStr">
        <is>
          <t>High</t>
        </is>
      </c>
      <c r="M3733" t="inlineStr">
        <is>
          <t>LLM</t>
        </is>
      </c>
      <c r="N3733" t="inlineStr">
        <is>
          <t>2026-04-19</t>
        </is>
      </c>
      <c r="O3733" t="inlineStr">
        <is>
          <t>AI</t>
        </is>
      </c>
    </row>
    <row r="3734">
      <c r="A3734" t="inlineStr">
        <is>
          <t>PT Indo Oil Perkasa Tbk</t>
        </is>
      </c>
      <c r="B3734" t="inlineStr">
        <is>
          <t>OILS_2023_AR.pdf</t>
        </is>
      </c>
      <c r="C3734" t="n">
        <v>2023</v>
      </c>
      <c r="D3734" t="inlineStr">
        <is>
          <t>ESG</t>
        </is>
      </c>
      <c r="E3734" t="inlineStr">
        <is>
          <t>Copra Meal Solid Waste (Resellable)</t>
        </is>
      </c>
      <c r="F3734" t="n">
        <v>780</v>
      </c>
      <c r="G3734" t="inlineStr">
        <is>
          <t>ton</t>
        </is>
      </c>
      <c r="H3734" t="n">
        <v>9</v>
      </c>
      <c r="I3734" t="inlineStr">
        <is>
          <t>Volume Limbah Padat (Bungkil Kopra) yang dapat dijual kembali 780 720</t>
        </is>
      </c>
      <c r="J3734" t="inlineStr">
        <is>
          <t>High</t>
        </is>
      </c>
      <c r="M3734" t="inlineStr">
        <is>
          <t>LLM</t>
        </is>
      </c>
      <c r="N3734" t="inlineStr">
        <is>
          <t>2026-04-19</t>
        </is>
      </c>
      <c r="O3734" t="inlineStr">
        <is>
          <t>AI</t>
        </is>
      </c>
    </row>
    <row r="3735">
      <c r="A3735" t="inlineStr">
        <is>
          <t>PT Indo Oil Perkasa Tbk</t>
        </is>
      </c>
      <c r="B3735" t="inlineStr">
        <is>
          <t>OILS_2023_AR.pdf</t>
        </is>
      </c>
      <c r="C3735" t="n">
        <v>2023</v>
      </c>
      <c r="D3735" t="inlineStr">
        <is>
          <t>ESG</t>
        </is>
      </c>
      <c r="E3735" t="inlineStr">
        <is>
          <t>CSR Fund</t>
        </is>
      </c>
      <c r="F3735" t="n">
        <v>74968620</v>
      </c>
      <c r="G3735" t="inlineStr">
        <is>
          <t>Rp</t>
        </is>
      </c>
      <c r="H3735" t="n">
        <v>9</v>
      </c>
      <c r="I3735" t="inlineStr">
        <is>
          <t>Dana CSR Rp 74.968.620</t>
        </is>
      </c>
      <c r="J3735" t="inlineStr">
        <is>
          <t>High</t>
        </is>
      </c>
      <c r="M3735" t="inlineStr">
        <is>
          <t>LLM</t>
        </is>
      </c>
      <c r="N3735" t="inlineStr">
        <is>
          <t>2026-04-19</t>
        </is>
      </c>
      <c r="O3735" t="inlineStr">
        <is>
          <t>AI</t>
        </is>
      </c>
    </row>
    <row r="3736">
      <c r="A3736" t="inlineStr">
        <is>
          <t>PT Indo Oil Perkasa Tbk</t>
        </is>
      </c>
      <c r="B3736" t="inlineStr">
        <is>
          <t>OILS_2024_AR.pdf</t>
        </is>
      </c>
      <c r="C3736" t="n">
        <v>2024</v>
      </c>
      <c r="D3736" t="inlineStr">
        <is>
          <t>Company</t>
        </is>
      </c>
      <c r="E3736" t="inlineStr">
        <is>
          <t>Company Name</t>
        </is>
      </c>
      <c r="F3736" t="inlineStr">
        <is>
          <t>PT Indo Oil Perkasa Tbk</t>
        </is>
      </c>
      <c r="G3736" t="inlineStr">
        <is>
          <t>text</t>
        </is>
      </c>
      <c r="H3736" t="n">
        <v>5</v>
      </c>
      <c r="I3736" t="inlineStr">
        <is>
          <t>PT Indo Oil Perkasa Tbk - Laporan Tahunan 2024</t>
        </is>
      </c>
      <c r="J3736" t="inlineStr">
        <is>
          <t>High</t>
        </is>
      </c>
      <c r="M3736" t="inlineStr">
        <is>
          <t>LLM</t>
        </is>
      </c>
      <c r="N3736" t="inlineStr">
        <is>
          <t>2026-04-19</t>
        </is>
      </c>
      <c r="O3736" t="inlineStr">
        <is>
          <t>AI</t>
        </is>
      </c>
    </row>
    <row r="3737">
      <c r="A3737" t="inlineStr">
        <is>
          <t>PT Indo Oil Perkasa Tbk</t>
        </is>
      </c>
      <c r="B3737" t="inlineStr">
        <is>
          <t>OILS_2024_AR.pdf</t>
        </is>
      </c>
      <c r="C3737" t="n">
        <v>2024</v>
      </c>
      <c r="D3737" t="inlineStr">
        <is>
          <t>Company</t>
        </is>
      </c>
      <c r="E3737" t="inlineStr">
        <is>
          <t>Ticker</t>
        </is>
      </c>
      <c r="F3737" t="inlineStr">
        <is>
          <t>OILS</t>
        </is>
      </c>
      <c r="G3737" t="inlineStr">
        <is>
          <t>text</t>
        </is>
      </c>
      <c r="H3737" t="n">
        <v>14</v>
      </c>
      <c r="I3737" t="inlineStr">
        <is>
          <t>Saham Perseroan dicatatkan dan diperdagangkan di Bursa Efek Indonesia dengan kode saham OILS sejak tanggal 6 September 2021</t>
        </is>
      </c>
      <c r="J3737" t="inlineStr">
        <is>
          <t>High</t>
        </is>
      </c>
      <c r="M3737" t="inlineStr">
        <is>
          <t>LLM</t>
        </is>
      </c>
      <c r="N3737" t="inlineStr">
        <is>
          <t>2026-04-19</t>
        </is>
      </c>
      <c r="O3737" t="inlineStr">
        <is>
          <t>AI</t>
        </is>
      </c>
    </row>
    <row r="3738">
      <c r="A3738" t="inlineStr">
        <is>
          <t>PT Indo Oil Perkasa Tbk</t>
        </is>
      </c>
      <c r="B3738" t="inlineStr">
        <is>
          <t>OILS_2024_AR.pdf</t>
        </is>
      </c>
      <c r="C3738" t="n">
        <v>2024</v>
      </c>
      <c r="D3738" t="inlineStr">
        <is>
          <t>Company</t>
        </is>
      </c>
      <c r="E3738" t="inlineStr">
        <is>
          <t>Primary Business</t>
        </is>
      </c>
      <c r="F3738" t="inlineStr">
        <is>
          <t>Crude Coconut Oil (CNO) processing and copra meal</t>
        </is>
      </c>
      <c r="G3738" t="inlineStr">
        <is>
          <t>text</t>
        </is>
      </c>
      <c r="H3738" t="n">
        <v>20</v>
      </c>
      <c r="I3738" t="inlineStr">
        <is>
          <t>OILS yang bergerak di bidang pengolahan produksi kopra dan penjualan minyak kelapa</t>
        </is>
      </c>
      <c r="J3738" t="inlineStr">
        <is>
          <t>High</t>
        </is>
      </c>
      <c r="M3738" t="inlineStr">
        <is>
          <t>LLM</t>
        </is>
      </c>
      <c r="N3738" t="inlineStr">
        <is>
          <t>2026-04-19</t>
        </is>
      </c>
      <c r="O3738" t="inlineStr">
        <is>
          <t>AI</t>
        </is>
      </c>
    </row>
    <row r="3739">
      <c r="A3739" t="inlineStr">
        <is>
          <t>PT Indo Oil Perkasa Tbk</t>
        </is>
      </c>
      <c r="B3739" t="inlineStr">
        <is>
          <t>OILS_2024_AR.pdf</t>
        </is>
      </c>
      <c r="C3739" t="n">
        <v>2024</v>
      </c>
      <c r="D3739" t="inlineStr">
        <is>
          <t>Company</t>
        </is>
      </c>
      <c r="E3739" t="inlineStr">
        <is>
          <t>Headquarters Address</t>
        </is>
      </c>
      <c r="F3739" t="inlineStr">
        <is>
          <t>Jl. Raya Perning No. 39, Jetis, Mojokerto, East Java 61352</t>
        </is>
      </c>
      <c r="G3739" t="inlineStr">
        <is>
          <t>text</t>
        </is>
      </c>
      <c r="H3739" t="n">
        <v>3</v>
      </c>
      <c r="I3739" t="inlineStr">
        <is>
          <t>JI. Raya Perning No. 39 Jetis, Mojokerto East Java - Indonesia 61352</t>
        </is>
      </c>
      <c r="J3739" t="inlineStr">
        <is>
          <t>High</t>
        </is>
      </c>
      <c r="M3739" t="inlineStr">
        <is>
          <t>LLM</t>
        </is>
      </c>
      <c r="N3739" t="inlineStr">
        <is>
          <t>2026-04-19</t>
        </is>
      </c>
      <c r="O3739" t="inlineStr">
        <is>
          <t>AI</t>
        </is>
      </c>
    </row>
    <row r="3740">
      <c r="A3740" t="inlineStr">
        <is>
          <t>PT Indo Oil Perkasa Tbk</t>
        </is>
      </c>
      <c r="B3740" t="inlineStr">
        <is>
          <t>OILS_2024_AR.pdf</t>
        </is>
      </c>
      <c r="C3740" t="n">
        <v>2024</v>
      </c>
      <c r="D3740" t="inlineStr">
        <is>
          <t>Company</t>
        </is>
      </c>
      <c r="E3740" t="inlineStr">
        <is>
          <t>Listing Date</t>
        </is>
      </c>
      <c r="F3740" t="inlineStr">
        <is>
          <t>6 September 2021</t>
        </is>
      </c>
      <c r="G3740" t="inlineStr">
        <is>
          <t>date</t>
        </is>
      </c>
      <c r="H3740" t="n">
        <v>14</v>
      </c>
      <c r="I3740" t="inlineStr">
        <is>
          <t>sejak tanggal 6 September 2021</t>
        </is>
      </c>
      <c r="J3740" t="inlineStr">
        <is>
          <t>High</t>
        </is>
      </c>
      <c r="M3740" t="inlineStr">
        <is>
          <t>LLM</t>
        </is>
      </c>
      <c r="N3740" t="inlineStr">
        <is>
          <t>2026-04-19</t>
        </is>
      </c>
      <c r="O3740" t="inlineStr">
        <is>
          <t>AI</t>
        </is>
      </c>
    </row>
    <row r="3741">
      <c r="A3741" t="inlineStr">
        <is>
          <t>PT Indo Oil Perkasa Tbk</t>
        </is>
      </c>
      <c r="B3741" t="inlineStr">
        <is>
          <t>OILS_2024_AR.pdf</t>
        </is>
      </c>
      <c r="C3741" t="n">
        <v>2024</v>
      </c>
      <c r="D3741" t="inlineStr">
        <is>
          <t>Company</t>
        </is>
      </c>
      <c r="E3741" t="inlineStr">
        <is>
          <t>Controlling Shareholder</t>
        </is>
      </c>
      <c r="F3741" t="inlineStr">
        <is>
          <t>Sulastri</t>
        </is>
      </c>
      <c r="G3741" t="inlineStr">
        <is>
          <t>text</t>
        </is>
      </c>
      <c r="H3741" t="n">
        <v>47</v>
      </c>
      <c r="I3741" t="inlineStr">
        <is>
          <t>Pemegang saham utama dan pengendali Perseroan adalah Sulastri</t>
        </is>
      </c>
      <c r="J3741" t="inlineStr">
        <is>
          <t>High</t>
        </is>
      </c>
      <c r="M3741" t="inlineStr">
        <is>
          <t>LLM</t>
        </is>
      </c>
      <c r="N3741" t="inlineStr">
        <is>
          <t>2026-04-19</t>
        </is>
      </c>
      <c r="O3741" t="inlineStr">
        <is>
          <t>AI</t>
        </is>
      </c>
    </row>
    <row r="3742">
      <c r="A3742" t="inlineStr">
        <is>
          <t>PT Indo Oil Perkasa Tbk</t>
        </is>
      </c>
      <c r="B3742" t="inlineStr">
        <is>
          <t>OILS_2024_AR.pdf</t>
        </is>
      </c>
      <c r="C3742" t="n">
        <v>2024</v>
      </c>
      <c r="D3742" t="inlineStr">
        <is>
          <t>Company</t>
        </is>
      </c>
      <c r="E3742" t="inlineStr">
        <is>
          <t>PT Mandalindo Putra Perkasa Ownership</t>
        </is>
      </c>
      <c r="F3742" t="n">
        <v>0.4785</v>
      </c>
      <c r="G3742" t="inlineStr">
        <is>
          <t>%</t>
        </is>
      </c>
      <c r="H3742" t="n">
        <v>47</v>
      </c>
      <c r="I3742" t="inlineStr">
        <is>
          <t>PT Mandalindo Putra Perkasa 217,255,500 47.85</t>
        </is>
      </c>
      <c r="J3742" t="inlineStr">
        <is>
          <t>High</t>
        </is>
      </c>
      <c r="M3742" t="inlineStr">
        <is>
          <t>LLM</t>
        </is>
      </c>
      <c r="N3742" t="inlineStr">
        <is>
          <t>2026-04-19</t>
        </is>
      </c>
      <c r="O3742" t="inlineStr">
        <is>
          <t>AI</t>
        </is>
      </c>
    </row>
    <row r="3743">
      <c r="A3743" t="inlineStr">
        <is>
          <t>PT Indo Oil Perkasa Tbk</t>
        </is>
      </c>
      <c r="B3743" t="inlineStr">
        <is>
          <t>OILS_2024_AR.pdf</t>
        </is>
      </c>
      <c r="C3743" t="n">
        <v>2024</v>
      </c>
      <c r="D3743" t="inlineStr">
        <is>
          <t>Company</t>
        </is>
      </c>
      <c r="E3743" t="inlineStr">
        <is>
          <t>Sulastri Ownership</t>
        </is>
      </c>
      <c r="F3743" t="n">
        <v>0.0709</v>
      </c>
      <c r="G3743" t="inlineStr">
        <is>
          <t>%</t>
        </is>
      </c>
      <c r="H3743" t="n">
        <v>47</v>
      </c>
      <c r="I3743" t="inlineStr">
        <is>
          <t>Sulastri 32,184,100 7.09</t>
        </is>
      </c>
      <c r="J3743" t="inlineStr">
        <is>
          <t>High</t>
        </is>
      </c>
      <c r="M3743" t="inlineStr">
        <is>
          <t>LLM</t>
        </is>
      </c>
      <c r="N3743" t="inlineStr">
        <is>
          <t>2026-04-19</t>
        </is>
      </c>
      <c r="O3743" t="inlineStr">
        <is>
          <t>AI</t>
        </is>
      </c>
    </row>
    <row r="3744">
      <c r="A3744" t="inlineStr">
        <is>
          <t>PT Indo Oil Perkasa Tbk</t>
        </is>
      </c>
      <c r="B3744" t="inlineStr">
        <is>
          <t>OILS_2024_AR.pdf</t>
        </is>
      </c>
      <c r="C3744" t="n">
        <v>2024</v>
      </c>
      <c r="D3744" t="inlineStr">
        <is>
          <t>Company</t>
        </is>
      </c>
      <c r="E3744" t="inlineStr">
        <is>
          <t>Public Float</t>
        </is>
      </c>
      <c r="F3744" t="n">
        <v>0.3305</v>
      </c>
      <c r="G3744" t="inlineStr">
        <is>
          <t>%</t>
        </is>
      </c>
      <c r="H3744" t="n">
        <v>47</v>
      </c>
      <c r="I3744" t="inlineStr">
        <is>
          <t>Masyarakat/Public 204,616,963 33.05</t>
        </is>
      </c>
      <c r="J3744" t="inlineStr">
        <is>
          <t>High</t>
        </is>
      </c>
      <c r="M3744" t="inlineStr">
        <is>
          <t>LLM</t>
        </is>
      </c>
      <c r="N3744" t="inlineStr">
        <is>
          <t>2026-04-19</t>
        </is>
      </c>
      <c r="O3744" t="inlineStr">
        <is>
          <t>AI</t>
        </is>
      </c>
    </row>
    <row r="3745">
      <c r="A3745" t="inlineStr">
        <is>
          <t>PT Indo Oil Perkasa Tbk</t>
        </is>
      </c>
      <c r="B3745" t="inlineStr">
        <is>
          <t>OILS_2024_AR.pdf</t>
        </is>
      </c>
      <c r="C3745" t="n">
        <v>2024</v>
      </c>
      <c r="D3745" t="inlineStr">
        <is>
          <t>Company</t>
        </is>
      </c>
      <c r="E3745" t="inlineStr">
        <is>
          <t>Shares Outstanding</t>
        </is>
      </c>
      <c r="F3745" t="n">
        <v>454056563</v>
      </c>
      <c r="G3745" t="inlineStr">
        <is>
          <t>shares</t>
        </is>
      </c>
      <c r="H3745" t="n">
        <v>47</v>
      </c>
      <c r="I3745" t="inlineStr">
        <is>
          <t>Jumlah/Total 454,000,000 100</t>
        </is>
      </c>
      <c r="J3745" t="inlineStr">
        <is>
          <t>High</t>
        </is>
      </c>
      <c r="M3745" t="inlineStr">
        <is>
          <t>LLM</t>
        </is>
      </c>
      <c r="N3745" t="inlineStr">
        <is>
          <t>2026-04-19</t>
        </is>
      </c>
      <c r="O3745" t="inlineStr">
        <is>
          <t>AI</t>
        </is>
      </c>
    </row>
    <row r="3746">
      <c r="A3746" t="inlineStr">
        <is>
          <t>PT Indo Oil Perkasa Tbk</t>
        </is>
      </c>
      <c r="B3746" t="inlineStr">
        <is>
          <t>OILS_2024_AR.pdf</t>
        </is>
      </c>
      <c r="C3746" t="n">
        <v>2024</v>
      </c>
      <c r="D3746" t="inlineStr">
        <is>
          <t>Company</t>
        </is>
      </c>
      <c r="E3746" t="inlineStr">
        <is>
          <t>Employees</t>
        </is>
      </c>
      <c r="F3746" t="n">
        <v>27</v>
      </c>
      <c r="G3746" t="inlineStr">
        <is>
          <t>count</t>
        </is>
      </c>
      <c r="H3746" t="n">
        <v>156</v>
      </c>
      <c r="I3746" t="inlineStr">
        <is>
          <t>Perusahaan memiliki masing-masing 27 dan 26 karyawan (tidak diaudit)</t>
        </is>
      </c>
      <c r="J3746" t="inlineStr">
        <is>
          <t>High</t>
        </is>
      </c>
      <c r="M3746" t="inlineStr">
        <is>
          <t>LLM</t>
        </is>
      </c>
      <c r="N3746" t="inlineStr">
        <is>
          <t>2026-04-19</t>
        </is>
      </c>
      <c r="O3746" t="inlineStr">
        <is>
          <t>AI</t>
        </is>
      </c>
    </row>
    <row r="3747">
      <c r="A3747" t="inlineStr">
        <is>
          <t>PT Indo Oil Perkasa Tbk</t>
        </is>
      </c>
      <c r="B3747" t="inlineStr">
        <is>
          <t>OILS_2024_AR.pdf</t>
        </is>
      </c>
      <c r="C3747" t="n">
        <v>2024</v>
      </c>
      <c r="D3747" t="inlineStr">
        <is>
          <t>Company</t>
        </is>
      </c>
      <c r="E3747" t="inlineStr">
        <is>
          <t>Subsidiary - PT Indosena Perkasa Refineries</t>
        </is>
      </c>
      <c r="F3747" t="inlineStr">
        <is>
          <t>51% owned, Rp5.1 bn, established Jan 2024, not yet operational</t>
        </is>
      </c>
      <c r="G3747" t="inlineStr">
        <is>
          <t>text</t>
        </is>
      </c>
      <c r="H3747" t="n">
        <v>48</v>
      </c>
      <c r="I3747" t="inlineStr">
        <is>
          <t>PT Indo Oils Perkasa berinvestasi senilai 51% atau Rp5,100,000,000</t>
        </is>
      </c>
      <c r="J3747" t="inlineStr">
        <is>
          <t>High</t>
        </is>
      </c>
      <c r="M3747" t="inlineStr">
        <is>
          <t>LLM</t>
        </is>
      </c>
      <c r="N3747" t="inlineStr">
        <is>
          <t>2026-04-19</t>
        </is>
      </c>
      <c r="O3747" t="inlineStr">
        <is>
          <t>AI</t>
        </is>
      </c>
    </row>
    <row r="3748">
      <c r="A3748" t="inlineStr">
        <is>
          <t>PT Indo Oil Perkasa Tbk</t>
        </is>
      </c>
      <c r="B3748" t="inlineStr">
        <is>
          <t>OILS_2024_AR.pdf</t>
        </is>
      </c>
      <c r="C3748" t="n">
        <v>2024</v>
      </c>
      <c r="D3748" t="inlineStr">
        <is>
          <t>Company</t>
        </is>
      </c>
      <c r="E3748" t="inlineStr">
        <is>
          <t>Subsidiary - PT Indo Kelapa Perkasa</t>
        </is>
      </c>
      <c r="F3748" t="inlineStr">
        <is>
          <t>65% owned, Rp1.625 bn, established Dec 2024, not yet operational</t>
        </is>
      </c>
      <c r="G3748" t="inlineStr">
        <is>
          <t>text</t>
        </is>
      </c>
      <c r="H3748" t="n">
        <v>48</v>
      </c>
      <c r="I3748" t="inlineStr">
        <is>
          <t>PT Indo Oil Perkasa berinvestasi senilai 65% atau Rp1,625,000,000</t>
        </is>
      </c>
      <c r="J3748" t="inlineStr">
        <is>
          <t>High</t>
        </is>
      </c>
      <c r="M3748" t="inlineStr">
        <is>
          <t>LLM</t>
        </is>
      </c>
      <c r="N3748" t="inlineStr">
        <is>
          <t>2026-04-19</t>
        </is>
      </c>
      <c r="O3748" t="inlineStr">
        <is>
          <t>AI</t>
        </is>
      </c>
    </row>
    <row r="3749">
      <c r="A3749" t="inlineStr">
        <is>
          <t>PT Indo Oil Perkasa Tbk</t>
        </is>
      </c>
      <c r="B3749" t="inlineStr">
        <is>
          <t>OILS_2024_AR.pdf</t>
        </is>
      </c>
      <c r="C3749" t="n">
        <v>2024</v>
      </c>
      <c r="D3749" t="inlineStr">
        <is>
          <t>Financial</t>
        </is>
      </c>
      <c r="E3749" t="inlineStr">
        <is>
          <t>Revenue (Sales)</t>
        </is>
      </c>
      <c r="F3749" t="n">
        <v>634.38</v>
      </c>
      <c r="G3749" t="inlineStr">
        <is>
          <t>IDR bn</t>
        </is>
      </c>
      <c r="H3749" t="n">
        <v>152</v>
      </c>
      <c r="I3749" t="inlineStr">
        <is>
          <t>PENJUALAN 634.376.822.300</t>
        </is>
      </c>
      <c r="J3749" t="inlineStr">
        <is>
          <t>High</t>
        </is>
      </c>
      <c r="M3749" t="inlineStr">
        <is>
          <t>LLM</t>
        </is>
      </c>
      <c r="N3749" t="inlineStr">
        <is>
          <t>2026-04-19</t>
        </is>
      </c>
      <c r="O3749" t="inlineStr">
        <is>
          <t>AI</t>
        </is>
      </c>
    </row>
    <row r="3750">
      <c r="A3750" t="inlineStr">
        <is>
          <t>PT Indo Oil Perkasa Tbk</t>
        </is>
      </c>
      <c r="B3750" t="inlineStr">
        <is>
          <t>OILS_2024_AR.pdf</t>
        </is>
      </c>
      <c r="C3750" t="n">
        <v>2024</v>
      </c>
      <c r="D3750" t="inlineStr">
        <is>
          <t>Financial</t>
        </is>
      </c>
      <c r="E3750" t="inlineStr">
        <is>
          <t>Cost of Goods Sold</t>
        </is>
      </c>
      <c r="F3750" t="n">
        <v>589.11</v>
      </c>
      <c r="G3750" t="inlineStr">
        <is>
          <t>IDR bn</t>
        </is>
      </c>
      <c r="H3750" t="n">
        <v>152</v>
      </c>
      <c r="I3750" t="inlineStr">
        <is>
          <t>BEBAN POKOK PENJUALAN (589.112.400.894)</t>
        </is>
      </c>
      <c r="J3750" t="inlineStr">
        <is>
          <t>High</t>
        </is>
      </c>
      <c r="M3750" t="inlineStr">
        <is>
          <t>LLM</t>
        </is>
      </c>
      <c r="N3750" t="inlineStr">
        <is>
          <t>2026-04-19</t>
        </is>
      </c>
      <c r="O3750" t="inlineStr">
        <is>
          <t>AI</t>
        </is>
      </c>
    </row>
    <row r="3751">
      <c r="A3751" t="inlineStr">
        <is>
          <t>PT Indo Oil Perkasa Tbk</t>
        </is>
      </c>
      <c r="B3751" t="inlineStr">
        <is>
          <t>OILS_2024_AR.pdf</t>
        </is>
      </c>
      <c r="C3751" t="n">
        <v>2024</v>
      </c>
      <c r="D3751" t="inlineStr">
        <is>
          <t>Financial</t>
        </is>
      </c>
      <c r="E3751" t="inlineStr">
        <is>
          <t>Gross Profit</t>
        </is>
      </c>
      <c r="F3751" t="n">
        <v>45.26</v>
      </c>
      <c r="G3751" t="inlineStr">
        <is>
          <t>IDR bn</t>
        </is>
      </c>
      <c r="H3751" t="n">
        <v>152</v>
      </c>
      <c r="I3751" t="inlineStr">
        <is>
          <t>LABA BRUTO 45.264.421.406</t>
        </is>
      </c>
      <c r="J3751" t="inlineStr">
        <is>
          <t>High</t>
        </is>
      </c>
      <c r="M3751" t="inlineStr">
        <is>
          <t>LLM</t>
        </is>
      </c>
      <c r="N3751" t="inlineStr">
        <is>
          <t>2026-04-19</t>
        </is>
      </c>
      <c r="O3751" t="inlineStr">
        <is>
          <t>AI</t>
        </is>
      </c>
    </row>
    <row r="3752">
      <c r="A3752" t="inlineStr">
        <is>
          <t>PT Indo Oil Perkasa Tbk</t>
        </is>
      </c>
      <c r="B3752" t="inlineStr">
        <is>
          <t>OILS_2024_AR.pdf</t>
        </is>
      </c>
      <c r="C3752" t="n">
        <v>2024</v>
      </c>
      <c r="D3752" t="inlineStr">
        <is>
          <t>Financial</t>
        </is>
      </c>
      <c r="E3752" t="inlineStr">
        <is>
          <t>G&amp;A Expenses</t>
        </is>
      </c>
      <c r="F3752" t="n">
        <v>35.41</v>
      </c>
      <c r="G3752" t="inlineStr">
        <is>
          <t>IDR bn</t>
        </is>
      </c>
      <c r="H3752" t="n">
        <v>152</v>
      </c>
      <c r="I3752" t="inlineStr">
        <is>
          <t>Beban umum dan administrasi (35.413.523.273)</t>
        </is>
      </c>
      <c r="J3752" t="inlineStr">
        <is>
          <t>High</t>
        </is>
      </c>
      <c r="M3752" t="inlineStr">
        <is>
          <t>LLM</t>
        </is>
      </c>
      <c r="N3752" t="inlineStr">
        <is>
          <t>2026-04-19</t>
        </is>
      </c>
      <c r="O3752" t="inlineStr">
        <is>
          <t>AI</t>
        </is>
      </c>
    </row>
    <row r="3753">
      <c r="A3753" t="inlineStr">
        <is>
          <t>PT Indo Oil Perkasa Tbk</t>
        </is>
      </c>
      <c r="B3753" t="inlineStr">
        <is>
          <t>OILS_2024_AR.pdf</t>
        </is>
      </c>
      <c r="C3753" t="n">
        <v>2024</v>
      </c>
      <c r="D3753" t="inlineStr">
        <is>
          <t>Financial</t>
        </is>
      </c>
      <c r="E3753" t="inlineStr">
        <is>
          <t>Operating Profit (Laba Usaha)</t>
        </is>
      </c>
      <c r="F3753" t="n">
        <v>16.51</v>
      </c>
      <c r="G3753" t="inlineStr">
        <is>
          <t>IDR bn</t>
        </is>
      </c>
      <c r="H3753" t="n">
        <v>152</v>
      </c>
      <c r="I3753" t="inlineStr">
        <is>
          <t>LABA USAHA 16.511.668.932</t>
        </is>
      </c>
      <c r="J3753" t="inlineStr">
        <is>
          <t>High</t>
        </is>
      </c>
      <c r="M3753" t="inlineStr">
        <is>
          <t>LLM</t>
        </is>
      </c>
      <c r="N3753" t="inlineStr">
        <is>
          <t>2026-04-19</t>
        </is>
      </c>
      <c r="O3753" t="inlineStr">
        <is>
          <t>AI</t>
        </is>
      </c>
    </row>
    <row r="3754">
      <c r="A3754" t="inlineStr">
        <is>
          <t>PT Indo Oil Perkasa Tbk</t>
        </is>
      </c>
      <c r="B3754" t="inlineStr">
        <is>
          <t>OILS_2024_AR.pdf</t>
        </is>
      </c>
      <c r="C3754" t="n">
        <v>2024</v>
      </c>
      <c r="D3754" t="inlineStr">
        <is>
          <t>Financial</t>
        </is>
      </c>
      <c r="E3754" t="inlineStr">
        <is>
          <t>Finance Cost</t>
        </is>
      </c>
      <c r="F3754" t="n">
        <v>8.529999999999999</v>
      </c>
      <c r="G3754" t="inlineStr">
        <is>
          <t>IDR bn</t>
        </is>
      </c>
      <c r="H3754" t="n">
        <v>152</v>
      </c>
      <c r="I3754" t="inlineStr">
        <is>
          <t>Biaya keuangan (8.529.595.835)</t>
        </is>
      </c>
      <c r="J3754" t="inlineStr">
        <is>
          <t>High</t>
        </is>
      </c>
      <c r="M3754" t="inlineStr">
        <is>
          <t>LLM</t>
        </is>
      </c>
      <c r="N3754" t="inlineStr">
        <is>
          <t>2026-04-19</t>
        </is>
      </c>
      <c r="O3754" t="inlineStr">
        <is>
          <t>AI</t>
        </is>
      </c>
    </row>
    <row r="3755">
      <c r="A3755" t="inlineStr">
        <is>
          <t>PT Indo Oil Perkasa Tbk</t>
        </is>
      </c>
      <c r="B3755" t="inlineStr">
        <is>
          <t>OILS_2024_AR.pdf</t>
        </is>
      </c>
      <c r="C3755" t="n">
        <v>2024</v>
      </c>
      <c r="D3755" t="inlineStr">
        <is>
          <t>Financial</t>
        </is>
      </c>
      <c r="E3755" t="inlineStr">
        <is>
          <t>Profit Before Tax</t>
        </is>
      </c>
      <c r="F3755" t="n">
        <v>8.109999999999999</v>
      </c>
      <c r="G3755" t="inlineStr">
        <is>
          <t>IDR bn</t>
        </is>
      </c>
      <c r="H3755" t="n">
        <v>152</v>
      </c>
      <c r="I3755" t="inlineStr">
        <is>
          <t>LABA SEBELUM PAJAK PENGHASILAN 8.111.745.489</t>
        </is>
      </c>
      <c r="J3755" t="inlineStr">
        <is>
          <t>High</t>
        </is>
      </c>
      <c r="M3755" t="inlineStr">
        <is>
          <t>LLM</t>
        </is>
      </c>
      <c r="N3755" t="inlineStr">
        <is>
          <t>2026-04-19</t>
        </is>
      </c>
      <c r="O3755" t="inlineStr">
        <is>
          <t>AI</t>
        </is>
      </c>
    </row>
    <row r="3756">
      <c r="A3756" t="inlineStr">
        <is>
          <t>PT Indo Oil Perkasa Tbk</t>
        </is>
      </c>
      <c r="B3756" t="inlineStr">
        <is>
          <t>OILS_2024_AR.pdf</t>
        </is>
      </c>
      <c r="C3756" t="n">
        <v>2024</v>
      </c>
      <c r="D3756" t="inlineStr">
        <is>
          <t>Financial</t>
        </is>
      </c>
      <c r="E3756" t="inlineStr">
        <is>
          <t>Income Tax Expense</t>
        </is>
      </c>
      <c r="F3756" t="n">
        <v>1.77</v>
      </c>
      <c r="G3756" t="inlineStr">
        <is>
          <t>IDR bn</t>
        </is>
      </c>
      <c r="H3756" t="n">
        <v>152</v>
      </c>
      <c r="I3756" t="inlineStr">
        <is>
          <t>BEBAN PAJAK PENGHASILAN - NETO (1.765.951.008)</t>
        </is>
      </c>
      <c r="J3756" t="inlineStr">
        <is>
          <t>High</t>
        </is>
      </c>
      <c r="M3756" t="inlineStr">
        <is>
          <t>LLM</t>
        </is>
      </c>
      <c r="N3756" t="inlineStr">
        <is>
          <t>2026-04-19</t>
        </is>
      </c>
      <c r="O3756" t="inlineStr">
        <is>
          <t>AI</t>
        </is>
      </c>
    </row>
    <row r="3757">
      <c r="A3757" t="inlineStr">
        <is>
          <t>PT Indo Oil Perkasa Tbk</t>
        </is>
      </c>
      <c r="B3757" t="inlineStr">
        <is>
          <t>OILS_2024_AR.pdf</t>
        </is>
      </c>
      <c r="C3757" t="n">
        <v>2024</v>
      </c>
      <c r="D3757" t="inlineStr">
        <is>
          <t>Financial</t>
        </is>
      </c>
      <c r="E3757" t="inlineStr">
        <is>
          <t>Net Profit</t>
        </is>
      </c>
      <c r="F3757" t="n">
        <v>6.35</v>
      </c>
      <c r="G3757" t="inlineStr">
        <is>
          <t>IDR bn</t>
        </is>
      </c>
      <c r="H3757" t="n">
        <v>152</v>
      </c>
      <c r="I3757" t="inlineStr">
        <is>
          <t>LABA NETO TAHUN BERJALAN 6.345.794.481</t>
        </is>
      </c>
      <c r="J3757" t="inlineStr">
        <is>
          <t>High</t>
        </is>
      </c>
      <c r="M3757" t="inlineStr">
        <is>
          <t>LLM</t>
        </is>
      </c>
      <c r="N3757" t="inlineStr">
        <is>
          <t>2026-04-19</t>
        </is>
      </c>
      <c r="O3757" t="inlineStr">
        <is>
          <t>AI</t>
        </is>
      </c>
    </row>
    <row r="3758">
      <c r="A3758" t="inlineStr">
        <is>
          <t>PT Indo Oil Perkasa Tbk</t>
        </is>
      </c>
      <c r="B3758" t="inlineStr">
        <is>
          <t>OILS_2024_AR.pdf</t>
        </is>
      </c>
      <c r="C3758" t="n">
        <v>2024</v>
      </c>
      <c r="D3758" t="inlineStr">
        <is>
          <t>Financial</t>
        </is>
      </c>
      <c r="E3758" t="inlineStr">
        <is>
          <t>Total Assets</t>
        </is>
      </c>
      <c r="F3758" t="n">
        <v>219.17</v>
      </c>
      <c r="G3758" t="inlineStr">
        <is>
          <t>IDR bn</t>
        </is>
      </c>
      <c r="H3758" t="n">
        <v>150</v>
      </c>
      <c r="I3758" t="inlineStr">
        <is>
          <t>JUMLAH ASET 219.173.546.119</t>
        </is>
      </c>
      <c r="J3758" t="inlineStr">
        <is>
          <t>High</t>
        </is>
      </c>
      <c r="M3758" t="inlineStr">
        <is>
          <t>LLM</t>
        </is>
      </c>
      <c r="N3758" t="inlineStr">
        <is>
          <t>2026-04-19</t>
        </is>
      </c>
      <c r="O3758" t="inlineStr">
        <is>
          <t>AI</t>
        </is>
      </c>
    </row>
    <row r="3759">
      <c r="A3759" t="inlineStr">
        <is>
          <t>PT Indo Oil Perkasa Tbk</t>
        </is>
      </c>
      <c r="B3759" t="inlineStr">
        <is>
          <t>OILS_2024_AR.pdf</t>
        </is>
      </c>
      <c r="C3759" t="n">
        <v>2024</v>
      </c>
      <c r="D3759" t="inlineStr">
        <is>
          <t>Financial</t>
        </is>
      </c>
      <c r="E3759" t="inlineStr">
        <is>
          <t>Current Assets</t>
        </is>
      </c>
      <c r="F3759" t="n">
        <v>147.96</v>
      </c>
      <c r="G3759" t="inlineStr">
        <is>
          <t>IDR bn</t>
        </is>
      </c>
      <c r="H3759" t="n">
        <v>150</v>
      </c>
      <c r="I3759" t="inlineStr">
        <is>
          <t>Jumlah aset lancar 147.960.012.876</t>
        </is>
      </c>
      <c r="J3759" t="inlineStr">
        <is>
          <t>High</t>
        </is>
      </c>
      <c r="M3759" t="inlineStr">
        <is>
          <t>LLM</t>
        </is>
      </c>
      <c r="N3759" t="inlineStr">
        <is>
          <t>2026-04-19</t>
        </is>
      </c>
      <c r="O3759" t="inlineStr">
        <is>
          <t>AI</t>
        </is>
      </c>
    </row>
    <row r="3760">
      <c r="A3760" t="inlineStr">
        <is>
          <t>PT Indo Oil Perkasa Tbk</t>
        </is>
      </c>
      <c r="B3760" t="inlineStr">
        <is>
          <t>OILS_2024_AR.pdf</t>
        </is>
      </c>
      <c r="C3760" t="n">
        <v>2024</v>
      </c>
      <c r="D3760" t="inlineStr">
        <is>
          <t>Financial</t>
        </is>
      </c>
      <c r="E3760" t="inlineStr">
        <is>
          <t>Non-Current Assets</t>
        </is>
      </c>
      <c r="F3760" t="n">
        <v>71.20999999999999</v>
      </c>
      <c r="G3760" t="inlineStr">
        <is>
          <t>IDR bn</t>
        </is>
      </c>
      <c r="H3760" t="n">
        <v>150</v>
      </c>
      <c r="I3760" t="inlineStr">
        <is>
          <t>Jumlah aset tidak lancar 71.213.533.243</t>
        </is>
      </c>
      <c r="J3760" t="inlineStr">
        <is>
          <t>High</t>
        </is>
      </c>
      <c r="M3760" t="inlineStr">
        <is>
          <t>LLM</t>
        </is>
      </c>
      <c r="N3760" t="inlineStr">
        <is>
          <t>2026-04-19</t>
        </is>
      </c>
      <c r="O3760" t="inlineStr">
        <is>
          <t>AI</t>
        </is>
      </c>
    </row>
    <row r="3761">
      <c r="A3761" t="inlineStr">
        <is>
          <t>PT Indo Oil Perkasa Tbk</t>
        </is>
      </c>
      <c r="B3761" t="inlineStr">
        <is>
          <t>OILS_2024_AR.pdf</t>
        </is>
      </c>
      <c r="C3761" t="n">
        <v>2024</v>
      </c>
      <c r="D3761" t="inlineStr">
        <is>
          <t>Financial</t>
        </is>
      </c>
      <c r="E3761" t="inlineStr">
        <is>
          <t>Cash &amp; Equivalents</t>
        </is>
      </c>
      <c r="F3761" t="n">
        <v>9.77</v>
      </c>
      <c r="G3761" t="inlineStr">
        <is>
          <t>IDR bn</t>
        </is>
      </c>
      <c r="H3761" t="n">
        <v>150</v>
      </c>
      <c r="I3761" t="inlineStr">
        <is>
          <t>Kas dan setara kas 9.774.791.533</t>
        </is>
      </c>
      <c r="J3761" t="inlineStr">
        <is>
          <t>High</t>
        </is>
      </c>
      <c r="M3761" t="inlineStr">
        <is>
          <t>LLM</t>
        </is>
      </c>
      <c r="N3761" t="inlineStr">
        <is>
          <t>2026-04-19</t>
        </is>
      </c>
      <c r="O3761" t="inlineStr">
        <is>
          <t>AI</t>
        </is>
      </c>
    </row>
    <row r="3762">
      <c r="A3762" t="inlineStr">
        <is>
          <t>PT Indo Oil Perkasa Tbk</t>
        </is>
      </c>
      <c r="B3762" t="inlineStr">
        <is>
          <t>OILS_2024_AR.pdf</t>
        </is>
      </c>
      <c r="C3762" t="n">
        <v>2024</v>
      </c>
      <c r="D3762" t="inlineStr">
        <is>
          <t>Financial</t>
        </is>
      </c>
      <c r="E3762" t="inlineStr">
        <is>
          <t>Trade Receivables</t>
        </is>
      </c>
      <c r="F3762" t="n">
        <v>18.53</v>
      </c>
      <c r="G3762" t="inlineStr">
        <is>
          <t>IDR bn</t>
        </is>
      </c>
      <c r="H3762" t="n">
        <v>150</v>
      </c>
      <c r="I3762" t="inlineStr">
        <is>
          <t>Piutang usaha 18.528.484.725</t>
        </is>
      </c>
      <c r="J3762" t="inlineStr">
        <is>
          <t>High</t>
        </is>
      </c>
      <c r="M3762" t="inlineStr">
        <is>
          <t>LLM</t>
        </is>
      </c>
      <c r="N3762" t="inlineStr">
        <is>
          <t>2026-04-19</t>
        </is>
      </c>
      <c r="O3762" t="inlineStr">
        <is>
          <t>AI</t>
        </is>
      </c>
    </row>
    <row r="3763">
      <c r="A3763" t="inlineStr">
        <is>
          <t>PT Indo Oil Perkasa Tbk</t>
        </is>
      </c>
      <c r="B3763" t="inlineStr">
        <is>
          <t>OILS_2024_AR.pdf</t>
        </is>
      </c>
      <c r="C3763" t="n">
        <v>2024</v>
      </c>
      <c r="D3763" t="inlineStr">
        <is>
          <t>Financial</t>
        </is>
      </c>
      <c r="E3763" t="inlineStr">
        <is>
          <t>Inventories</t>
        </is>
      </c>
      <c r="F3763" t="n">
        <v>118.65</v>
      </c>
      <c r="G3763" t="inlineStr">
        <is>
          <t>IDR bn</t>
        </is>
      </c>
      <c r="H3763" t="n">
        <v>150</v>
      </c>
      <c r="I3763" t="inlineStr">
        <is>
          <t>Persediaan 118.645.507.504</t>
        </is>
      </c>
      <c r="J3763" t="inlineStr">
        <is>
          <t>High</t>
        </is>
      </c>
      <c r="M3763" t="inlineStr">
        <is>
          <t>LLM</t>
        </is>
      </c>
      <c r="N3763" t="inlineStr">
        <is>
          <t>2026-04-19</t>
        </is>
      </c>
      <c r="O3763" t="inlineStr">
        <is>
          <t>AI</t>
        </is>
      </c>
    </row>
    <row r="3764">
      <c r="A3764" t="inlineStr">
        <is>
          <t>PT Indo Oil Perkasa Tbk</t>
        </is>
      </c>
      <c r="B3764" t="inlineStr">
        <is>
          <t>OILS_2024_AR.pdf</t>
        </is>
      </c>
      <c r="C3764" t="n">
        <v>2024</v>
      </c>
      <c r="D3764" t="inlineStr">
        <is>
          <t>Financial</t>
        </is>
      </c>
      <c r="E3764" t="inlineStr">
        <is>
          <t>Fixed Assets (Net)</t>
        </is>
      </c>
      <c r="F3764" t="n">
        <v>49.07</v>
      </c>
      <c r="G3764" t="inlineStr">
        <is>
          <t>IDR bn</t>
        </is>
      </c>
      <c r="H3764" t="n">
        <v>150</v>
      </c>
      <c r="I3764" t="inlineStr">
        <is>
          <t>Aset tetap – neto 49.067.813.944</t>
        </is>
      </c>
      <c r="J3764" t="inlineStr">
        <is>
          <t>High</t>
        </is>
      </c>
      <c r="M3764" t="inlineStr">
        <is>
          <t>LLM</t>
        </is>
      </c>
      <c r="N3764" t="inlineStr">
        <is>
          <t>2026-04-19</t>
        </is>
      </c>
      <c r="O3764" t="inlineStr">
        <is>
          <t>AI</t>
        </is>
      </c>
    </row>
    <row r="3765">
      <c r="A3765" t="inlineStr">
        <is>
          <t>PT Indo Oil Perkasa Tbk</t>
        </is>
      </c>
      <c r="B3765" t="inlineStr">
        <is>
          <t>OILS_2024_AR.pdf</t>
        </is>
      </c>
      <c r="C3765" t="n">
        <v>2024</v>
      </c>
      <c r="D3765" t="inlineStr">
        <is>
          <t>Financial</t>
        </is>
      </c>
      <c r="E3765" t="inlineStr">
        <is>
          <t>Stock Investment (Subsidiaries)</t>
        </is>
      </c>
      <c r="F3765" t="n">
        <v>6.73</v>
      </c>
      <c r="G3765" t="inlineStr">
        <is>
          <t>IDR bn</t>
        </is>
      </c>
      <c r="H3765" t="n">
        <v>150</v>
      </c>
      <c r="I3765" t="inlineStr">
        <is>
          <t>Investasi Saham 6.725.000.000</t>
        </is>
      </c>
      <c r="J3765" t="inlineStr">
        <is>
          <t>High</t>
        </is>
      </c>
      <c r="M3765" t="inlineStr">
        <is>
          <t>LLM</t>
        </is>
      </c>
      <c r="N3765" t="inlineStr">
        <is>
          <t>2026-04-19</t>
        </is>
      </c>
      <c r="O3765" t="inlineStr">
        <is>
          <t>AI</t>
        </is>
      </c>
    </row>
    <row r="3766">
      <c r="A3766" t="inlineStr">
        <is>
          <t>PT Indo Oil Perkasa Tbk</t>
        </is>
      </c>
      <c r="B3766" t="inlineStr">
        <is>
          <t>OILS_2024_AR.pdf</t>
        </is>
      </c>
      <c r="C3766" t="n">
        <v>2024</v>
      </c>
      <c r="D3766" t="inlineStr">
        <is>
          <t>Financial</t>
        </is>
      </c>
      <c r="E3766" t="inlineStr">
        <is>
          <t>Total Liabilities</t>
        </is>
      </c>
      <c r="F3766" t="n">
        <v>128.36</v>
      </c>
      <c r="G3766" t="inlineStr">
        <is>
          <t>IDR bn</t>
        </is>
      </c>
      <c r="H3766" t="n">
        <v>151</v>
      </c>
      <c r="I3766" t="inlineStr">
        <is>
          <t>TOTAL LIABILITAS 128.359.964.260</t>
        </is>
      </c>
      <c r="J3766" t="inlineStr">
        <is>
          <t>High</t>
        </is>
      </c>
      <c r="M3766" t="inlineStr">
        <is>
          <t>LLM</t>
        </is>
      </c>
      <c r="N3766" t="inlineStr">
        <is>
          <t>2026-04-19</t>
        </is>
      </c>
      <c r="O3766" t="inlineStr">
        <is>
          <t>AI</t>
        </is>
      </c>
    </row>
    <row r="3767">
      <c r="A3767" t="inlineStr">
        <is>
          <t>PT Indo Oil Perkasa Tbk</t>
        </is>
      </c>
      <c r="B3767" t="inlineStr">
        <is>
          <t>OILS_2024_AR.pdf</t>
        </is>
      </c>
      <c r="C3767" t="n">
        <v>2024</v>
      </c>
      <c r="D3767" t="inlineStr">
        <is>
          <t>Financial</t>
        </is>
      </c>
      <c r="E3767" t="inlineStr">
        <is>
          <t>Current Liabilities</t>
        </is>
      </c>
      <c r="F3767" t="n">
        <v>123.59</v>
      </c>
      <c r="G3767" t="inlineStr">
        <is>
          <t>IDR bn</t>
        </is>
      </c>
      <c r="H3767" t="n">
        <v>151</v>
      </c>
      <c r="I3767" t="inlineStr">
        <is>
          <t>Total Liabilitas Jangka Pendek 123.591.517.906</t>
        </is>
      </c>
      <c r="J3767" t="inlineStr">
        <is>
          <t>High</t>
        </is>
      </c>
      <c r="M3767" t="inlineStr">
        <is>
          <t>LLM</t>
        </is>
      </c>
      <c r="N3767" t="inlineStr">
        <is>
          <t>2026-04-19</t>
        </is>
      </c>
      <c r="O3767" t="inlineStr">
        <is>
          <t>AI</t>
        </is>
      </c>
    </row>
    <row r="3768">
      <c r="A3768" t="inlineStr">
        <is>
          <t>PT Indo Oil Perkasa Tbk</t>
        </is>
      </c>
      <c r="B3768" t="inlineStr">
        <is>
          <t>OILS_2024_AR.pdf</t>
        </is>
      </c>
      <c r="C3768" t="n">
        <v>2024</v>
      </c>
      <c r="D3768" t="inlineStr">
        <is>
          <t>Financial</t>
        </is>
      </c>
      <c r="E3768" t="inlineStr">
        <is>
          <t>Non-Current Liabilities</t>
        </is>
      </c>
      <c r="F3768" t="n">
        <v>4.77</v>
      </c>
      <c r="G3768" t="inlineStr">
        <is>
          <t>IDR bn</t>
        </is>
      </c>
      <c r="H3768" t="n">
        <v>151</v>
      </c>
      <c r="I3768" t="inlineStr">
        <is>
          <t>Total Liabilitas Jangka Panjang 4.768.446.354</t>
        </is>
      </c>
      <c r="J3768" t="inlineStr">
        <is>
          <t>High</t>
        </is>
      </c>
      <c r="M3768" t="inlineStr">
        <is>
          <t>LLM</t>
        </is>
      </c>
      <c r="N3768" t="inlineStr">
        <is>
          <t>2026-04-19</t>
        </is>
      </c>
      <c r="O3768" t="inlineStr">
        <is>
          <t>AI</t>
        </is>
      </c>
    </row>
    <row r="3769">
      <c r="A3769" t="inlineStr">
        <is>
          <t>PT Indo Oil Perkasa Tbk</t>
        </is>
      </c>
      <c r="B3769" t="inlineStr">
        <is>
          <t>OILS_2024_AR.pdf</t>
        </is>
      </c>
      <c r="C3769" t="n">
        <v>2024</v>
      </c>
      <c r="D3769" t="inlineStr">
        <is>
          <t>Financial</t>
        </is>
      </c>
      <c r="E3769" t="inlineStr">
        <is>
          <t>Short-term Bank Loans</t>
        </is>
      </c>
      <c r="F3769" t="n">
        <v>82.12</v>
      </c>
      <c r="G3769" t="inlineStr">
        <is>
          <t>IDR bn</t>
        </is>
      </c>
      <c r="H3769" t="n">
        <v>151</v>
      </c>
      <c r="I3769" t="inlineStr">
        <is>
          <t>Utang bank jangka pendek 82.124.848.596</t>
        </is>
      </c>
      <c r="J3769" t="inlineStr">
        <is>
          <t>High</t>
        </is>
      </c>
      <c r="M3769" t="inlineStr">
        <is>
          <t>LLM</t>
        </is>
      </c>
      <c r="N3769" t="inlineStr">
        <is>
          <t>2026-04-19</t>
        </is>
      </c>
      <c r="O3769" t="inlineStr">
        <is>
          <t>AI</t>
        </is>
      </c>
    </row>
    <row r="3770">
      <c r="A3770" t="inlineStr">
        <is>
          <t>PT Indo Oil Perkasa Tbk</t>
        </is>
      </c>
      <c r="B3770" t="inlineStr">
        <is>
          <t>OILS_2024_AR.pdf</t>
        </is>
      </c>
      <c r="C3770" t="n">
        <v>2024</v>
      </c>
      <c r="D3770" t="inlineStr">
        <is>
          <t>Financial</t>
        </is>
      </c>
      <c r="E3770" t="inlineStr">
        <is>
          <t>Long-term Bank Loans (Current Portion)</t>
        </is>
      </c>
      <c r="F3770" t="n">
        <v>2.63</v>
      </c>
      <c r="G3770" t="inlineStr">
        <is>
          <t>IDR bn</t>
        </is>
      </c>
      <c r="H3770" t="n">
        <v>151</v>
      </c>
      <c r="I3770" t="inlineStr">
        <is>
          <t>Utang bank 2.634.393.612 (current maturities)</t>
        </is>
      </c>
      <c r="J3770" t="inlineStr">
        <is>
          <t>High</t>
        </is>
      </c>
      <c r="M3770" t="inlineStr">
        <is>
          <t>LLM</t>
        </is>
      </c>
      <c r="N3770" t="inlineStr">
        <is>
          <t>2026-04-19</t>
        </is>
      </c>
      <c r="O3770" t="inlineStr">
        <is>
          <t>AI</t>
        </is>
      </c>
    </row>
    <row r="3771">
      <c r="A3771" t="inlineStr">
        <is>
          <t>PT Indo Oil Perkasa Tbk</t>
        </is>
      </c>
      <c r="B3771" t="inlineStr">
        <is>
          <t>OILS_2024_AR.pdf</t>
        </is>
      </c>
      <c r="C3771" t="n">
        <v>2024</v>
      </c>
      <c r="D3771" t="inlineStr">
        <is>
          <t>Financial</t>
        </is>
      </c>
      <c r="E3771" t="inlineStr">
        <is>
          <t>Long-term Bank Loans (Non-Current)</t>
        </is>
      </c>
      <c r="F3771" t="n">
        <v>2.11</v>
      </c>
      <c r="G3771" t="inlineStr">
        <is>
          <t>IDR bn</t>
        </is>
      </c>
      <c r="H3771" t="n">
        <v>151</v>
      </c>
      <c r="I3771" t="inlineStr">
        <is>
          <t>Utang bank 2.107.514.881 (non-current)</t>
        </is>
      </c>
      <c r="J3771" t="inlineStr">
        <is>
          <t>High</t>
        </is>
      </c>
      <c r="M3771" t="inlineStr">
        <is>
          <t>LLM</t>
        </is>
      </c>
      <c r="N3771" t="inlineStr">
        <is>
          <t>2026-04-19</t>
        </is>
      </c>
      <c r="O3771" t="inlineStr">
        <is>
          <t>AI</t>
        </is>
      </c>
    </row>
    <row r="3772">
      <c r="A3772" t="inlineStr">
        <is>
          <t>PT Indo Oil Perkasa Tbk</t>
        </is>
      </c>
      <c r="B3772" t="inlineStr">
        <is>
          <t>OILS_2024_AR.pdf</t>
        </is>
      </c>
      <c r="C3772" t="n">
        <v>2024</v>
      </c>
      <c r="D3772" t="inlineStr">
        <is>
          <t>Financial</t>
        </is>
      </c>
      <c r="E3772" t="inlineStr">
        <is>
          <t>Gross Bank Debt (Total)</t>
        </is>
      </c>
      <c r="F3772" t="n">
        <v>86.87</v>
      </c>
      <c r="G3772" t="inlineStr">
        <is>
          <t>IDR bn</t>
        </is>
      </c>
      <c r="H3772" t="n">
        <v>151</v>
      </c>
      <c r="I3772" t="inlineStr">
        <is>
          <t>Calc: 82.12 + 2.63 + 2.11 = 86.87</t>
        </is>
      </c>
      <c r="J3772" t="inlineStr">
        <is>
          <t>High</t>
        </is>
      </c>
      <c r="M3772" t="inlineStr">
        <is>
          <t>LLM</t>
        </is>
      </c>
      <c r="N3772" t="inlineStr">
        <is>
          <t>2026-04-19</t>
        </is>
      </c>
      <c r="O3772" t="inlineStr">
        <is>
          <t>AI</t>
        </is>
      </c>
    </row>
    <row r="3773">
      <c r="A3773" t="inlineStr">
        <is>
          <t>PT Indo Oil Perkasa Tbk</t>
        </is>
      </c>
      <c r="B3773" t="inlineStr">
        <is>
          <t>OILS_2024_AR.pdf</t>
        </is>
      </c>
      <c r="C3773" t="n">
        <v>2024</v>
      </c>
      <c r="D3773" t="inlineStr">
        <is>
          <t>Financial</t>
        </is>
      </c>
      <c r="E3773" t="inlineStr">
        <is>
          <t>Lease Liabilities Total</t>
        </is>
      </c>
      <c r="F3773" t="n">
        <v>6.18</v>
      </c>
      <c r="G3773" t="inlineStr">
        <is>
          <t>IDR bn</t>
        </is>
      </c>
      <c r="H3773" t="n">
        <v>151</v>
      </c>
      <c r="I3773" t="inlineStr">
        <is>
          <t>Liabilitas sewa 4.192.893.802 + 1.985.796.447</t>
        </is>
      </c>
      <c r="J3773" t="inlineStr">
        <is>
          <t>High</t>
        </is>
      </c>
      <c r="M3773" t="inlineStr">
        <is>
          <t>LLM</t>
        </is>
      </c>
      <c r="N3773" t="inlineStr">
        <is>
          <t>2026-04-19</t>
        </is>
      </c>
      <c r="O3773" t="inlineStr">
        <is>
          <t>AI</t>
        </is>
      </c>
    </row>
    <row r="3774">
      <c r="A3774" t="inlineStr">
        <is>
          <t>PT Indo Oil Perkasa Tbk</t>
        </is>
      </c>
      <c r="B3774" t="inlineStr">
        <is>
          <t>OILS_2024_AR.pdf</t>
        </is>
      </c>
      <c r="C3774" t="n">
        <v>2024</v>
      </c>
      <c r="D3774" t="inlineStr">
        <is>
          <t>Financial</t>
        </is>
      </c>
      <c r="E3774" t="inlineStr">
        <is>
          <t>Total Equity</t>
        </is>
      </c>
      <c r="F3774" t="n">
        <v>90.81</v>
      </c>
      <c r="G3774" t="inlineStr">
        <is>
          <t>IDR bn</t>
        </is>
      </c>
      <c r="H3774" t="n">
        <v>151</v>
      </c>
      <c r="I3774" t="inlineStr">
        <is>
          <t>TOTAL EKUITAS 90.813.581.859</t>
        </is>
      </c>
      <c r="J3774" t="inlineStr">
        <is>
          <t>High</t>
        </is>
      </c>
      <c r="M3774" t="inlineStr">
        <is>
          <t>LLM</t>
        </is>
      </c>
      <c r="N3774" t="inlineStr">
        <is>
          <t>2026-04-19</t>
        </is>
      </c>
      <c r="O3774" t="inlineStr">
        <is>
          <t>AI</t>
        </is>
      </c>
    </row>
    <row r="3775">
      <c r="A3775" t="inlineStr">
        <is>
          <t>PT Indo Oil Perkasa Tbk</t>
        </is>
      </c>
      <c r="B3775" t="inlineStr">
        <is>
          <t>OILS_2024_AR.pdf</t>
        </is>
      </c>
      <c r="C3775" t="n">
        <v>2024</v>
      </c>
      <c r="D3775" t="inlineStr">
        <is>
          <t>Financial</t>
        </is>
      </c>
      <c r="E3775" t="inlineStr">
        <is>
          <t>Share Capital (Paid-up)</t>
        </is>
      </c>
      <c r="F3775" t="n">
        <v>45.41</v>
      </c>
      <c r="G3775" t="inlineStr">
        <is>
          <t>IDR bn</t>
        </is>
      </c>
      <c r="H3775" t="n">
        <v>151</v>
      </c>
      <c r="I3775" t="inlineStr">
        <is>
          <t>Modal saham 45.405.656.300 (454,056,563 shares at Rp100 par)</t>
        </is>
      </c>
      <c r="J3775" t="inlineStr">
        <is>
          <t>High</t>
        </is>
      </c>
      <c r="M3775" t="inlineStr">
        <is>
          <t>LLM</t>
        </is>
      </c>
      <c r="N3775" t="inlineStr">
        <is>
          <t>2026-04-19</t>
        </is>
      </c>
      <c r="O3775" t="inlineStr">
        <is>
          <t>AI</t>
        </is>
      </c>
    </row>
    <row r="3776">
      <c r="A3776" t="inlineStr">
        <is>
          <t>PT Indo Oil Perkasa Tbk</t>
        </is>
      </c>
      <c r="B3776" t="inlineStr">
        <is>
          <t>OILS_2024_AR.pdf</t>
        </is>
      </c>
      <c r="C3776" t="n">
        <v>2024</v>
      </c>
      <c r="D3776" t="inlineStr">
        <is>
          <t>Financial</t>
        </is>
      </c>
      <c r="E3776" t="inlineStr">
        <is>
          <t>Additional Paid-in Capital (Agio)</t>
        </is>
      </c>
      <c r="F3776" t="n">
        <v>23.61</v>
      </c>
      <c r="G3776" t="inlineStr">
        <is>
          <t>IDR bn</t>
        </is>
      </c>
      <c r="H3776" t="n">
        <v>151</v>
      </c>
      <c r="I3776" t="inlineStr">
        <is>
          <t>Tambahan modal disetor 23.612.993.860</t>
        </is>
      </c>
      <c r="J3776" t="inlineStr">
        <is>
          <t>High</t>
        </is>
      </c>
      <c r="M3776" t="inlineStr">
        <is>
          <t>LLM</t>
        </is>
      </c>
      <c r="N3776" t="inlineStr">
        <is>
          <t>2026-04-19</t>
        </is>
      </c>
      <c r="O3776" t="inlineStr">
        <is>
          <t>AI</t>
        </is>
      </c>
    </row>
    <row r="3777">
      <c r="A3777" t="inlineStr">
        <is>
          <t>PT Indo Oil Perkasa Tbk</t>
        </is>
      </c>
      <c r="B3777" t="inlineStr">
        <is>
          <t>OILS_2024_AR.pdf</t>
        </is>
      </c>
      <c r="C3777" t="n">
        <v>2024</v>
      </c>
      <c r="D3777" t="inlineStr">
        <is>
          <t>Financial</t>
        </is>
      </c>
      <c r="E3777" t="inlineStr">
        <is>
          <t>Retained Earnings (Appropriated)</t>
        </is>
      </c>
      <c r="F3777" t="n">
        <v>1</v>
      </c>
      <c r="G3777" t="inlineStr">
        <is>
          <t>IDR bn</t>
        </is>
      </c>
      <c r="H3777" t="n">
        <v>151</v>
      </c>
      <c r="I3777" t="inlineStr">
        <is>
          <t>Ditentukan penggunaannya 1.000.000.000</t>
        </is>
      </c>
      <c r="J3777" t="inlineStr">
        <is>
          <t>High</t>
        </is>
      </c>
      <c r="M3777" t="inlineStr">
        <is>
          <t>LLM</t>
        </is>
      </c>
      <c r="N3777" t="inlineStr">
        <is>
          <t>2026-04-19</t>
        </is>
      </c>
      <c r="O3777" t="inlineStr">
        <is>
          <t>AI</t>
        </is>
      </c>
    </row>
    <row r="3778">
      <c r="A3778" t="inlineStr">
        <is>
          <t>PT Indo Oil Perkasa Tbk</t>
        </is>
      </c>
      <c r="B3778" t="inlineStr">
        <is>
          <t>OILS_2024_AR.pdf</t>
        </is>
      </c>
      <c r="C3778" t="n">
        <v>2024</v>
      </c>
      <c r="D3778" t="inlineStr">
        <is>
          <t>Financial</t>
        </is>
      </c>
      <c r="E3778" t="inlineStr">
        <is>
          <t>Retained Earnings (Unappropriated)</t>
        </is>
      </c>
      <c r="F3778" t="n">
        <v>20.85</v>
      </c>
      <c r="G3778" t="inlineStr">
        <is>
          <t>IDR bn</t>
        </is>
      </c>
      <c r="H3778" t="n">
        <v>151</v>
      </c>
      <c r="I3778" t="inlineStr">
        <is>
          <t>Belum ditentukan penggunaannya 20.850.547.689</t>
        </is>
      </c>
      <c r="J3778" t="inlineStr">
        <is>
          <t>High</t>
        </is>
      </c>
      <c r="M3778" t="inlineStr">
        <is>
          <t>LLM</t>
        </is>
      </c>
      <c r="N3778" t="inlineStr">
        <is>
          <t>2026-04-19</t>
        </is>
      </c>
      <c r="O3778" t="inlineStr">
        <is>
          <t>AI</t>
        </is>
      </c>
    </row>
    <row r="3779">
      <c r="A3779" t="inlineStr">
        <is>
          <t>PT Indo Oil Perkasa Tbk</t>
        </is>
      </c>
      <c r="B3779" t="inlineStr">
        <is>
          <t>OILS_2024_AR.pdf</t>
        </is>
      </c>
      <c r="C3779" t="n">
        <v>2024</v>
      </c>
      <c r="D3779" t="inlineStr">
        <is>
          <t>Financial</t>
        </is>
      </c>
      <c r="E3779" t="inlineStr">
        <is>
          <t>CFO</t>
        </is>
      </c>
      <c r="F3779" t="n">
        <v>13.17</v>
      </c>
      <c r="G3779" t="inlineStr">
        <is>
          <t>IDR bn</t>
        </is>
      </c>
      <c r="H3779" t="n">
        <v>154</v>
      </c>
      <c r="I3779" t="inlineStr">
        <is>
          <t>Kas Neto Dari Aktivitas Operasi 13.174.047.410</t>
        </is>
      </c>
      <c r="J3779" t="inlineStr">
        <is>
          <t>High</t>
        </is>
      </c>
      <c r="M3779" t="inlineStr">
        <is>
          <t>LLM</t>
        </is>
      </c>
      <c r="N3779" t="inlineStr">
        <is>
          <t>2026-04-19</t>
        </is>
      </c>
      <c r="O3779" t="inlineStr">
        <is>
          <t>AI</t>
        </is>
      </c>
    </row>
    <row r="3780">
      <c r="A3780" t="inlineStr">
        <is>
          <t>PT Indo Oil Perkasa Tbk</t>
        </is>
      </c>
      <c r="B3780" t="inlineStr">
        <is>
          <t>OILS_2024_AR.pdf</t>
        </is>
      </c>
      <c r="C3780" t="n">
        <v>2024</v>
      </c>
      <c r="D3780" t="inlineStr">
        <is>
          <t>Financial</t>
        </is>
      </c>
      <c r="E3780" t="inlineStr">
        <is>
          <t>CFI</t>
        </is>
      </c>
      <c r="F3780" t="n">
        <v>-13.41</v>
      </c>
      <c r="G3780" t="inlineStr">
        <is>
          <t>IDR bn</t>
        </is>
      </c>
      <c r="H3780" t="n">
        <v>154</v>
      </c>
      <c r="I3780" t="inlineStr">
        <is>
          <t>Kas Neto Digunakan untuk Aktivitas Investasi (13.411.023.205)</t>
        </is>
      </c>
      <c r="J3780" t="inlineStr">
        <is>
          <t>High</t>
        </is>
      </c>
      <c r="M3780" t="inlineStr">
        <is>
          <t>LLM</t>
        </is>
      </c>
      <c r="N3780" t="inlineStr">
        <is>
          <t>2026-04-19</t>
        </is>
      </c>
      <c r="O3780" t="inlineStr">
        <is>
          <t>AI</t>
        </is>
      </c>
    </row>
    <row r="3781">
      <c r="A3781" t="inlineStr">
        <is>
          <t>PT Indo Oil Perkasa Tbk</t>
        </is>
      </c>
      <c r="B3781" t="inlineStr">
        <is>
          <t>OILS_2024_AR.pdf</t>
        </is>
      </c>
      <c r="C3781" t="n">
        <v>2024</v>
      </c>
      <c r="D3781" t="inlineStr">
        <is>
          <t>Financial</t>
        </is>
      </c>
      <c r="E3781" t="inlineStr">
        <is>
          <t>CFF</t>
        </is>
      </c>
      <c r="F3781" t="n">
        <v>2.1</v>
      </c>
      <c r="G3781" t="inlineStr">
        <is>
          <t>IDR bn</t>
        </is>
      </c>
      <c r="H3781" t="n">
        <v>154</v>
      </c>
      <c r="I3781" t="inlineStr">
        <is>
          <t>Kas Neto Diperoleh dari Aktivitas Pendanaan 2.104.918.809</t>
        </is>
      </c>
      <c r="J3781" t="inlineStr">
        <is>
          <t>High</t>
        </is>
      </c>
      <c r="M3781" t="inlineStr">
        <is>
          <t>LLM</t>
        </is>
      </c>
      <c r="N3781" t="inlineStr">
        <is>
          <t>2026-04-19</t>
        </is>
      </c>
      <c r="O3781" t="inlineStr">
        <is>
          <t>AI</t>
        </is>
      </c>
    </row>
    <row r="3782">
      <c r="A3782" t="inlineStr">
        <is>
          <t>PT Indo Oil Perkasa Tbk</t>
        </is>
      </c>
      <c r="B3782" t="inlineStr">
        <is>
          <t>OILS_2024_AR.pdf</t>
        </is>
      </c>
      <c r="C3782" t="n">
        <v>2024</v>
      </c>
      <c r="D3782" t="inlineStr">
        <is>
          <t>Financial</t>
        </is>
      </c>
      <c r="E3782" t="inlineStr">
        <is>
          <t>Capex (Fixed Asset Acquisition)</t>
        </is>
      </c>
      <c r="F3782" t="n">
        <v>6.69</v>
      </c>
      <c r="G3782" t="inlineStr">
        <is>
          <t>IDR bn</t>
        </is>
      </c>
      <c r="H3782" t="n">
        <v>154</v>
      </c>
      <c r="I3782" t="inlineStr">
        <is>
          <t>Perolehan aset tetap (6.686.023.205)</t>
        </is>
      </c>
      <c r="J3782" t="inlineStr">
        <is>
          <t>High</t>
        </is>
      </c>
      <c r="M3782" t="inlineStr">
        <is>
          <t>LLM</t>
        </is>
      </c>
      <c r="N3782" t="inlineStr">
        <is>
          <t>2026-04-19</t>
        </is>
      </c>
      <c r="O3782" t="inlineStr">
        <is>
          <t>AI</t>
        </is>
      </c>
    </row>
    <row r="3783">
      <c r="A3783" t="inlineStr">
        <is>
          <t>PT Indo Oil Perkasa Tbk</t>
        </is>
      </c>
      <c r="B3783" t="inlineStr">
        <is>
          <t>OILS_2024_AR.pdf</t>
        </is>
      </c>
      <c r="C3783" t="n">
        <v>2024</v>
      </c>
      <c r="D3783" t="inlineStr">
        <is>
          <t>Financial</t>
        </is>
      </c>
      <c r="E3783" t="inlineStr">
        <is>
          <t>EPS</t>
        </is>
      </c>
      <c r="F3783" t="n">
        <v>13.98</v>
      </c>
      <c r="G3783" t="inlineStr">
        <is>
          <t>Rp/share</t>
        </is>
      </c>
      <c r="H3783" t="n">
        <v>152</v>
      </c>
      <c r="I3783" t="inlineStr">
        <is>
          <t>LABA PER SAHAM 13,98</t>
        </is>
      </c>
      <c r="J3783" t="inlineStr">
        <is>
          <t>High</t>
        </is>
      </c>
      <c r="M3783" t="inlineStr">
        <is>
          <t>LLM</t>
        </is>
      </c>
      <c r="N3783" t="inlineStr">
        <is>
          <t>2026-04-19</t>
        </is>
      </c>
      <c r="O3783" t="inlineStr">
        <is>
          <t>AI</t>
        </is>
      </c>
    </row>
    <row r="3784">
      <c r="A3784" t="inlineStr">
        <is>
          <t>PT Indo Oil Perkasa Tbk</t>
        </is>
      </c>
      <c r="B3784" t="inlineStr">
        <is>
          <t>OILS_2024_AR.pdf</t>
        </is>
      </c>
      <c r="C3784" t="n">
        <v>2024</v>
      </c>
      <c r="D3784" t="inlineStr">
        <is>
          <t>Financial</t>
        </is>
      </c>
      <c r="E3784" t="inlineStr">
        <is>
          <t>Closing Price (31 Dec 2024)</t>
        </is>
      </c>
      <c r="F3784" t="n">
        <v>98</v>
      </c>
      <c r="G3784" t="inlineStr">
        <is>
          <t>Rp/share</t>
        </is>
      </c>
      <c r="H3784" t="n">
        <v>14</v>
      </c>
      <c r="I3784" t="inlineStr">
        <is>
          <t>Kuartal IV (Okt - Des 2024) 100 94 98</t>
        </is>
      </c>
      <c r="J3784" t="inlineStr">
        <is>
          <t>High</t>
        </is>
      </c>
      <c r="M3784" t="inlineStr">
        <is>
          <t>LLM</t>
        </is>
      </c>
      <c r="N3784" t="inlineStr">
        <is>
          <t>2026-04-19</t>
        </is>
      </c>
      <c r="O3784" t="inlineStr">
        <is>
          <t>AI</t>
        </is>
      </c>
    </row>
    <row r="3785">
      <c r="A3785" t="inlineStr">
        <is>
          <t>PT Indo Oil Perkasa Tbk</t>
        </is>
      </c>
      <c r="B3785" t="inlineStr">
        <is>
          <t>OILS_2024_AR.pdf</t>
        </is>
      </c>
      <c r="C3785" t="n">
        <v>2024</v>
      </c>
      <c r="D3785" t="inlineStr">
        <is>
          <t>Financial</t>
        </is>
      </c>
      <c r="E3785" t="inlineStr">
        <is>
          <t>Market Cap (Q4 2024)</t>
        </is>
      </c>
      <c r="F3785" t="n">
        <v>44.49</v>
      </c>
      <c r="G3785" t="inlineStr">
        <is>
          <t>IDR bn</t>
        </is>
      </c>
      <c r="H3785" t="n">
        <v>14</v>
      </c>
      <c r="I3785" t="inlineStr">
        <is>
          <t>Kuartal IV Kapitalisasi Pasar 44.487.543.174</t>
        </is>
      </c>
      <c r="J3785" t="inlineStr">
        <is>
          <t>High</t>
        </is>
      </c>
      <c r="M3785" t="inlineStr">
        <is>
          <t>LLM</t>
        </is>
      </c>
      <c r="N3785" t="inlineStr">
        <is>
          <t>2026-04-19</t>
        </is>
      </c>
      <c r="O3785" t="inlineStr">
        <is>
          <t>AI</t>
        </is>
      </c>
    </row>
    <row r="3786">
      <c r="A3786" t="inlineStr">
        <is>
          <t>PT Indo Oil Perkasa Tbk</t>
        </is>
      </c>
      <c r="B3786" t="inlineStr">
        <is>
          <t>OILS_2024_AR.pdf</t>
        </is>
      </c>
      <c r="C3786" t="n">
        <v>2024</v>
      </c>
      <c r="D3786" t="inlineStr">
        <is>
          <t>Financial</t>
        </is>
      </c>
      <c r="E3786" t="inlineStr">
        <is>
          <t>Audit Fee</t>
        </is>
      </c>
      <c r="F3786" t="n">
        <v>84</v>
      </c>
      <c r="G3786" t="inlineStr">
        <is>
          <t>IDR mn</t>
        </is>
      </c>
      <c r="H3786" t="n">
        <v>50</v>
      </c>
      <c r="I3786" t="inlineStr">
        <is>
          <t>Biaya Jasa / Service Fee Jasa Audit: Rp84.000.000</t>
        </is>
      </c>
      <c r="J3786" t="inlineStr">
        <is>
          <t>High</t>
        </is>
      </c>
      <c r="M3786" t="inlineStr">
        <is>
          <t>LLM</t>
        </is>
      </c>
      <c r="N3786" t="inlineStr">
        <is>
          <t>2026-04-19</t>
        </is>
      </c>
      <c r="O3786" t="inlineStr">
        <is>
          <t>AI</t>
        </is>
      </c>
    </row>
    <row r="3787">
      <c r="A3787" t="inlineStr">
        <is>
          <t>PT Indo Oil Perkasa Tbk</t>
        </is>
      </c>
      <c r="B3787" t="inlineStr">
        <is>
          <t>OILS_2024_AR.pdf</t>
        </is>
      </c>
      <c r="C3787" t="n">
        <v>2024</v>
      </c>
      <c r="D3787" t="inlineStr">
        <is>
          <t>Operation</t>
        </is>
      </c>
      <c r="E3787" t="inlineStr">
        <is>
          <t>CNO Production</t>
        </is>
      </c>
      <c r="F3787" t="n">
        <v>20543.14</v>
      </c>
      <c r="G3787" t="inlineStr">
        <is>
          <t>t</t>
        </is>
      </c>
      <c r="H3787" t="n">
        <v>19</v>
      </c>
      <c r="I3787" t="inlineStr">
        <is>
          <t>Pabrik Perseroan di Mojokerto mampu menghasilkan sebanyak 20.543,14 ton minyak pada tahun 2024</t>
        </is>
      </c>
      <c r="J3787" t="inlineStr">
        <is>
          <t>High</t>
        </is>
      </c>
      <c r="M3787" t="inlineStr">
        <is>
          <t>LLM</t>
        </is>
      </c>
      <c r="N3787" t="inlineStr">
        <is>
          <t>2026-04-19</t>
        </is>
      </c>
      <c r="O3787" t="inlineStr">
        <is>
          <t>AI</t>
        </is>
      </c>
    </row>
    <row r="3788">
      <c r="A3788" t="inlineStr">
        <is>
          <t>PT Indo Oil Perkasa Tbk</t>
        </is>
      </c>
      <c r="B3788" t="inlineStr">
        <is>
          <t>OILS_2024_AR.pdf</t>
        </is>
      </c>
      <c r="C3788" t="n">
        <v>2024</v>
      </c>
      <c r="D3788" t="inlineStr">
        <is>
          <t>Operation</t>
        </is>
      </c>
      <c r="E3788" t="inlineStr">
        <is>
          <t>Copra Meal Production</t>
        </is>
      </c>
      <c r="F3788" t="n">
        <v>30825.36</v>
      </c>
      <c r="G3788" t="inlineStr">
        <is>
          <t>t</t>
        </is>
      </c>
      <c r="H3788" t="n">
        <v>19</v>
      </c>
      <c r="I3788" t="inlineStr">
        <is>
          <t>memproduksi tepung kopra sebanyak 30.825,36 ton</t>
        </is>
      </c>
      <c r="J3788" t="inlineStr">
        <is>
          <t>High</t>
        </is>
      </c>
      <c r="M3788" t="inlineStr">
        <is>
          <t>LLM</t>
        </is>
      </c>
      <c r="N3788" t="inlineStr">
        <is>
          <t>2026-04-19</t>
        </is>
      </c>
      <c r="O3788" t="inlineStr">
        <is>
          <t>AI</t>
        </is>
      </c>
    </row>
    <row r="3789">
      <c r="A3789" t="inlineStr">
        <is>
          <t>PT Indo Oil Perkasa Tbk</t>
        </is>
      </c>
      <c r="B3789" t="inlineStr">
        <is>
          <t>OILS_2024_AR.pdf</t>
        </is>
      </c>
      <c r="C3789" t="n">
        <v>2024</v>
      </c>
      <c r="D3789" t="inlineStr">
        <is>
          <t>Operation</t>
        </is>
      </c>
      <c r="E3789" t="inlineStr">
        <is>
          <t>Copra Meal For Resale</t>
        </is>
      </c>
      <c r="F3789" t="n">
        <v>239400</v>
      </c>
      <c r="G3789" t="inlineStr">
        <is>
          <t>t</t>
        </is>
      </c>
      <c r="H3789" t="n">
        <v>106</v>
      </c>
      <c r="I3789" t="inlineStr">
        <is>
          <t>Selama tahun 2024, perusahaan menghasilkan 239.400 ton bungkil untuk dijual kembali</t>
        </is>
      </c>
      <c r="J3789" t="inlineStr">
        <is>
          <t>Medium</t>
        </is>
      </c>
      <c r="M3789" t="inlineStr">
        <is>
          <t>LLM</t>
        </is>
      </c>
      <c r="N3789" t="inlineStr">
        <is>
          <t>2026-04-19</t>
        </is>
      </c>
      <c r="O3789" t="inlineStr">
        <is>
          <t>AI</t>
        </is>
      </c>
    </row>
    <row r="3790">
      <c r="A3790" t="inlineStr">
        <is>
          <t>PT Indo Oil Perkasa Tbk</t>
        </is>
      </c>
      <c r="B3790" t="inlineStr">
        <is>
          <t>OILS_2024_AR.pdf</t>
        </is>
      </c>
      <c r="C3790" t="n">
        <v>2024</v>
      </c>
      <c r="D3790" t="inlineStr">
        <is>
          <t>Operation</t>
        </is>
      </c>
      <c r="E3790" t="inlineStr">
        <is>
          <t>Plant Capacity</t>
        </is>
      </c>
      <c r="F3790" t="n">
        <v>4000</v>
      </c>
      <c r="G3790" t="inlineStr">
        <is>
          <t>tons</t>
        </is>
      </c>
      <c r="H3790" t="n">
        <v>19</v>
      </c>
      <c r="I3790" t="inlineStr">
        <is>
          <t>pabrik Perseroan di Mojokerto mampu menghasilkan sebanyak 4.000 ton</t>
        </is>
      </c>
      <c r="J3790" t="inlineStr">
        <is>
          <t>High</t>
        </is>
      </c>
      <c r="M3790" t="inlineStr">
        <is>
          <t>LLM</t>
        </is>
      </c>
      <c r="N3790" t="inlineStr">
        <is>
          <t>2026-04-19</t>
        </is>
      </c>
      <c r="O3790" t="inlineStr">
        <is>
          <t>AI</t>
        </is>
      </c>
    </row>
    <row r="3791">
      <c r="A3791" t="inlineStr">
        <is>
          <t>PT Indo Oil Perkasa Tbk</t>
        </is>
      </c>
      <c r="B3791" t="inlineStr">
        <is>
          <t>OILS_2024_AR.pdf</t>
        </is>
      </c>
      <c r="C3791" t="n">
        <v>2024</v>
      </c>
      <c r="D3791" t="inlineStr">
        <is>
          <t>Operation</t>
        </is>
      </c>
      <c r="E3791" t="inlineStr">
        <is>
          <t>Oil Storage Tank Capacity</t>
        </is>
      </c>
      <c r="F3791" t="n">
        <v>2100</v>
      </c>
      <c r="G3791" t="inlineStr">
        <is>
          <t>tons</t>
        </is>
      </c>
      <c r="H3791" t="n">
        <v>19</v>
      </c>
      <c r="I3791" t="inlineStr">
        <is>
          <t>tangki penyimpanan minyak sebanyak 2.100 ton</t>
        </is>
      </c>
      <c r="J3791" t="inlineStr">
        <is>
          <t>High</t>
        </is>
      </c>
      <c r="M3791" t="inlineStr">
        <is>
          <t>LLM</t>
        </is>
      </c>
      <c r="N3791" t="inlineStr">
        <is>
          <t>2026-04-19</t>
        </is>
      </c>
      <c r="O3791" t="inlineStr">
        <is>
          <t>AI</t>
        </is>
      </c>
    </row>
    <row r="3792">
      <c r="A3792" t="inlineStr">
        <is>
          <t>PT Indo Oil Perkasa Tbk</t>
        </is>
      </c>
      <c r="B3792" t="inlineStr">
        <is>
          <t>OILS_2024_AR.pdf</t>
        </is>
      </c>
      <c r="C3792" t="n">
        <v>2024</v>
      </c>
      <c r="D3792" t="inlineStr">
        <is>
          <t>Operation</t>
        </is>
      </c>
      <c r="E3792" t="inlineStr">
        <is>
          <t>Copra Meal Storage Capacity</t>
        </is>
      </c>
      <c r="F3792" t="n">
        <v>3000</v>
      </c>
      <c r="G3792" t="inlineStr">
        <is>
          <t>tons</t>
        </is>
      </c>
      <c r="H3792" t="n">
        <v>19</v>
      </c>
      <c r="I3792" t="inlineStr">
        <is>
          <t>penyimpanan tepung kopra sebanyak 3.000 ton</t>
        </is>
      </c>
      <c r="J3792" t="inlineStr">
        <is>
          <t>High</t>
        </is>
      </c>
      <c r="M3792" t="inlineStr">
        <is>
          <t>LLM</t>
        </is>
      </c>
      <c r="N3792" t="inlineStr">
        <is>
          <t>2026-04-19</t>
        </is>
      </c>
      <c r="O3792" t="inlineStr">
        <is>
          <t>AI</t>
        </is>
      </c>
    </row>
    <row r="3793">
      <c r="A3793" t="inlineStr">
        <is>
          <t>PT Indo Oil Perkasa Tbk</t>
        </is>
      </c>
      <c r="B3793" t="inlineStr">
        <is>
          <t>OILS_2024_AR.pdf</t>
        </is>
      </c>
      <c r="C3793" t="n">
        <v>2024</v>
      </c>
      <c r="D3793" t="inlineStr">
        <is>
          <t>Operation</t>
        </is>
      </c>
      <c r="E3793" t="inlineStr">
        <is>
          <t>Local Sales</t>
        </is>
      </c>
      <c r="F3793" t="n">
        <v>308.88</v>
      </c>
      <c r="G3793" t="inlineStr">
        <is>
          <t>IDR bn</t>
        </is>
      </c>
      <c r="H3793" t="n">
        <v>53</v>
      </c>
      <c r="I3793" t="inlineStr">
        <is>
          <t>Penjualan Lokal 308.877.455.882</t>
        </is>
      </c>
      <c r="J3793" t="inlineStr">
        <is>
          <t>High</t>
        </is>
      </c>
      <c r="M3793" t="inlineStr">
        <is>
          <t>LLM</t>
        </is>
      </c>
      <c r="N3793" t="inlineStr">
        <is>
          <t>2026-04-19</t>
        </is>
      </c>
      <c r="O3793" t="inlineStr">
        <is>
          <t>AI</t>
        </is>
      </c>
    </row>
    <row r="3794">
      <c r="A3794" t="inlineStr">
        <is>
          <t>PT Indo Oil Perkasa Tbk</t>
        </is>
      </c>
      <c r="B3794" t="inlineStr">
        <is>
          <t>OILS_2024_AR.pdf</t>
        </is>
      </c>
      <c r="C3794" t="n">
        <v>2024</v>
      </c>
      <c r="D3794" t="inlineStr">
        <is>
          <t>Operation</t>
        </is>
      </c>
      <c r="E3794" t="inlineStr">
        <is>
          <t>Export Sales</t>
        </is>
      </c>
      <c r="F3794" t="n">
        <v>325.5</v>
      </c>
      <c r="G3794" t="inlineStr">
        <is>
          <t>IDR bn</t>
        </is>
      </c>
      <c r="H3794" t="n">
        <v>53</v>
      </c>
      <c r="I3794" t="inlineStr">
        <is>
          <t>Penjualan Expor 325.499.366.418</t>
        </is>
      </c>
      <c r="J3794" t="inlineStr">
        <is>
          <t>High</t>
        </is>
      </c>
      <c r="M3794" t="inlineStr">
        <is>
          <t>LLM</t>
        </is>
      </c>
      <c r="N3794" t="inlineStr">
        <is>
          <t>2026-04-19</t>
        </is>
      </c>
      <c r="O3794" t="inlineStr">
        <is>
          <t>AI</t>
        </is>
      </c>
    </row>
    <row r="3795">
      <c r="A3795" t="inlineStr">
        <is>
          <t>PT Indo Oil Perkasa Tbk</t>
        </is>
      </c>
      <c r="B3795" t="inlineStr">
        <is>
          <t>OILS_2024_AR.pdf</t>
        </is>
      </c>
      <c r="C3795" t="n">
        <v>2024</v>
      </c>
      <c r="D3795" t="inlineStr">
        <is>
          <t>Operation</t>
        </is>
      </c>
      <c r="E3795" t="inlineStr">
        <is>
          <t>Export Destinations</t>
        </is>
      </c>
      <c r="F3795" t="inlineStr">
        <is>
          <t>Bangladesh, Malaysia, Sri Lanka, Thailand, Turkey, USA, Tunisia, Madagascar, Japan</t>
        </is>
      </c>
      <c r="G3795" t="inlineStr">
        <is>
          <t>text</t>
        </is>
      </c>
      <c r="H3795" t="n">
        <v>53</v>
      </c>
      <c r="I3795" t="inlineStr">
        <is>
          <t>ekspor ke Bangladesh, Malaysia, Srilanka, Thailand, Turki, USA, Tunisia, Madagaskar, Jepang</t>
        </is>
      </c>
      <c r="J3795" t="inlineStr">
        <is>
          <t>High</t>
        </is>
      </c>
      <c r="M3795" t="inlineStr">
        <is>
          <t>LLM</t>
        </is>
      </c>
      <c r="N3795" t="inlineStr">
        <is>
          <t>2026-04-19</t>
        </is>
      </c>
      <c r="O3795" t="inlineStr">
        <is>
          <t>AI</t>
        </is>
      </c>
    </row>
    <row r="3796">
      <c r="A3796" t="inlineStr">
        <is>
          <t>PT Indo Oil Perkasa Tbk</t>
        </is>
      </c>
      <c r="B3796" t="inlineStr">
        <is>
          <t>OILS_2024_AR.pdf</t>
        </is>
      </c>
      <c r="C3796" t="n">
        <v>2024</v>
      </c>
      <c r="D3796" t="inlineStr">
        <is>
          <t>ESG</t>
        </is>
      </c>
      <c r="E3796" t="inlineStr">
        <is>
          <t>KOSHER Certificate</t>
        </is>
      </c>
      <c r="F3796" t="inlineStr">
        <is>
          <t>Valid Oct 2024 - Oct 2025</t>
        </is>
      </c>
      <c r="G3796" t="inlineStr">
        <is>
          <t>text</t>
        </is>
      </c>
      <c r="H3796" t="n">
        <v>15</v>
      </c>
      <c r="I3796" t="inlineStr">
        <is>
          <t>1 KOSHER CERTIFICATE 19 Oktober 2024 - 19 Oktober 2025</t>
        </is>
      </c>
      <c r="J3796" t="inlineStr">
        <is>
          <t>High</t>
        </is>
      </c>
      <c r="M3796" t="inlineStr">
        <is>
          <t>LLM</t>
        </is>
      </c>
      <c r="N3796" t="inlineStr">
        <is>
          <t>2026-04-19</t>
        </is>
      </c>
      <c r="O3796" t="inlineStr">
        <is>
          <t>AI</t>
        </is>
      </c>
    </row>
    <row r="3797">
      <c r="A3797" t="inlineStr">
        <is>
          <t>PT Indo Oil Perkasa Tbk</t>
        </is>
      </c>
      <c r="B3797" t="inlineStr">
        <is>
          <t>OILS_2024_AR.pdf</t>
        </is>
      </c>
      <c r="C3797" t="n">
        <v>2024</v>
      </c>
      <c r="D3797" t="inlineStr">
        <is>
          <t>ESG</t>
        </is>
      </c>
      <c r="E3797" t="inlineStr">
        <is>
          <t>ISO 9001:2018</t>
        </is>
      </c>
      <c r="F3797" t="inlineStr">
        <is>
          <t>Valid Jan 2024 - Feb 2025</t>
        </is>
      </c>
      <c r="G3797" t="inlineStr">
        <is>
          <t>text</t>
        </is>
      </c>
      <c r="H3797" t="n">
        <v>15</v>
      </c>
      <c r="I3797" t="inlineStr">
        <is>
          <t>2 ISO 9001 : 2018 05 Januari 2024 s/d 25 Februari 2025</t>
        </is>
      </c>
      <c r="J3797" t="inlineStr">
        <is>
          <t>High</t>
        </is>
      </c>
      <c r="M3797" t="inlineStr">
        <is>
          <t>LLM</t>
        </is>
      </c>
      <c r="N3797" t="inlineStr">
        <is>
          <t>2026-04-19</t>
        </is>
      </c>
      <c r="O3797" t="inlineStr">
        <is>
          <t>AI</t>
        </is>
      </c>
    </row>
    <row r="3798">
      <c r="A3798" t="inlineStr">
        <is>
          <t>PT Indo Oil Perkasa Tbk</t>
        </is>
      </c>
      <c r="B3798" t="inlineStr">
        <is>
          <t>OILS_2024_AR.pdf</t>
        </is>
      </c>
      <c r="C3798" t="n">
        <v>2024</v>
      </c>
      <c r="D3798" t="inlineStr">
        <is>
          <t>ESG</t>
        </is>
      </c>
      <c r="E3798" t="inlineStr">
        <is>
          <t>ISO 22000:2018</t>
        </is>
      </c>
      <c r="F3798" t="inlineStr">
        <is>
          <t>Valid Jan 2024 - Feb 2025</t>
        </is>
      </c>
      <c r="G3798" t="inlineStr">
        <is>
          <t>text</t>
        </is>
      </c>
      <c r="H3798" t="n">
        <v>15</v>
      </c>
      <c r="I3798" t="inlineStr">
        <is>
          <t>3 ISO 2200 : 2018 Americo Quality Standards Registech</t>
        </is>
      </c>
      <c r="J3798" t="inlineStr">
        <is>
          <t>High</t>
        </is>
      </c>
      <c r="M3798" t="inlineStr">
        <is>
          <t>LLM</t>
        </is>
      </c>
      <c r="N3798" t="inlineStr">
        <is>
          <t>2026-04-19</t>
        </is>
      </c>
      <c r="O3798" t="inlineStr">
        <is>
          <t>AI</t>
        </is>
      </c>
    </row>
    <row r="3799">
      <c r="A3799" t="inlineStr">
        <is>
          <t>PT Indo Oil Perkasa Tbk</t>
        </is>
      </c>
      <c r="B3799" t="inlineStr">
        <is>
          <t>OILS_2024_AR.pdf</t>
        </is>
      </c>
      <c r="C3799" t="n">
        <v>2024</v>
      </c>
      <c r="D3799" t="inlineStr">
        <is>
          <t>ESG</t>
        </is>
      </c>
      <c r="E3799" t="inlineStr">
        <is>
          <t>Halal Certificate</t>
        </is>
      </c>
      <c r="F3799" t="inlineStr">
        <is>
          <t>Valid since Oct 2021 - present</t>
        </is>
      </c>
      <c r="G3799" t="inlineStr">
        <is>
          <t>text</t>
        </is>
      </c>
      <c r="H3799" t="n">
        <v>15</v>
      </c>
      <c r="I3799" t="inlineStr">
        <is>
          <t>4 Sertifikat Halal No. ID004100000201740621</t>
        </is>
      </c>
      <c r="J3799" t="inlineStr">
        <is>
          <t>High</t>
        </is>
      </c>
      <c r="M3799" t="inlineStr">
        <is>
          <t>LLM</t>
        </is>
      </c>
      <c r="N3799" t="inlineStr">
        <is>
          <t>2026-04-19</t>
        </is>
      </c>
      <c r="O3799" t="inlineStr">
        <is>
          <t>AI</t>
        </is>
      </c>
    </row>
    <row r="3800">
      <c r="A3800" t="inlineStr">
        <is>
          <t>PT Indo Oil Perkasa Tbk</t>
        </is>
      </c>
      <c r="B3800" t="inlineStr">
        <is>
          <t>OILS_2024_AR.pdf</t>
        </is>
      </c>
      <c r="C3800" t="n">
        <v>2024</v>
      </c>
      <c r="D3800" t="inlineStr">
        <is>
          <t>ESG</t>
        </is>
      </c>
      <c r="E3800" t="inlineStr">
        <is>
          <t>Electricity Consumption</t>
        </is>
      </c>
      <c r="F3800" t="n">
        <v>4131448</v>
      </c>
      <c r="G3800" t="inlineStr">
        <is>
          <t>Kwh</t>
        </is>
      </c>
      <c r="H3800" t="n">
        <v>105</v>
      </c>
      <c r="I3800" t="inlineStr">
        <is>
          <t>Pemakaian Listrik 4.131.448 2.854.401</t>
        </is>
      </c>
      <c r="J3800" t="inlineStr">
        <is>
          <t>High</t>
        </is>
      </c>
      <c r="M3800" t="inlineStr">
        <is>
          <t>LLM</t>
        </is>
      </c>
      <c r="N3800" t="inlineStr">
        <is>
          <t>2026-04-19</t>
        </is>
      </c>
      <c r="O3800" t="inlineStr">
        <is>
          <t>AI</t>
        </is>
      </c>
    </row>
    <row r="3801">
      <c r="A3801" t="inlineStr">
        <is>
          <t>PT Indo Oil Perkasa Tbk</t>
        </is>
      </c>
      <c r="B3801" t="inlineStr">
        <is>
          <t>OILS_2024_AR.pdf</t>
        </is>
      </c>
      <c r="C3801" t="n">
        <v>2024</v>
      </c>
      <c r="D3801" t="inlineStr">
        <is>
          <t>ESG</t>
        </is>
      </c>
      <c r="E3801" t="inlineStr">
        <is>
          <t>Water Consumption</t>
        </is>
      </c>
      <c r="F3801" t="n">
        <v>18349</v>
      </c>
      <c r="G3801" t="inlineStr">
        <is>
          <t>m3</t>
        </is>
      </c>
      <c r="H3801" t="n">
        <v>105</v>
      </c>
      <c r="I3801" t="inlineStr">
        <is>
          <t>Volume Pemakaian Air 18.349 4.276</t>
        </is>
      </c>
      <c r="J3801" t="inlineStr">
        <is>
          <t>High</t>
        </is>
      </c>
      <c r="M3801" t="inlineStr">
        <is>
          <t>LLM</t>
        </is>
      </c>
      <c r="N3801" t="inlineStr">
        <is>
          <t>2026-04-19</t>
        </is>
      </c>
      <c r="O3801" t="inlineStr">
        <is>
          <t>AI</t>
        </is>
      </c>
    </row>
    <row r="3802">
      <c r="A3802" t="inlineStr">
        <is>
          <t>PT Indo Oil Perkasa Tbk</t>
        </is>
      </c>
      <c r="B3802" t="inlineStr">
        <is>
          <t>OILS_2024_AR.pdf</t>
        </is>
      </c>
      <c r="C3802" t="n">
        <v>2024</v>
      </c>
      <c r="D3802" t="inlineStr">
        <is>
          <t>ESG</t>
        </is>
      </c>
      <c r="E3802" t="inlineStr">
        <is>
          <t>Total Employees (Sustainability)</t>
        </is>
      </c>
      <c r="F3802" t="n">
        <v>228</v>
      </c>
      <c r="G3802" t="inlineStr">
        <is>
          <t>count</t>
        </is>
      </c>
      <c r="H3802" t="n">
        <v>105</v>
      </c>
      <c r="I3802" t="inlineStr">
        <is>
          <t>Total Jumlah Karyawan orang 228 220</t>
        </is>
      </c>
      <c r="J3802" t="inlineStr">
        <is>
          <t>Medium</t>
        </is>
      </c>
      <c r="M3802" t="inlineStr">
        <is>
          <t>LLM</t>
        </is>
      </c>
      <c r="N3802" t="inlineStr">
        <is>
          <t>2026-04-19</t>
        </is>
      </c>
      <c r="O3802" t="inlineStr">
        <is>
          <t>AI</t>
        </is>
      </c>
    </row>
    <row r="3803">
      <c r="A3803" t="inlineStr">
        <is>
          <t>PT Pradiksi Gunatama Tbk</t>
        </is>
      </c>
      <c r="B3803" t="inlineStr">
        <is>
          <t>PGUN_2022_AR.pdf</t>
        </is>
      </c>
      <c r="C3803" t="n">
        <v>2022</v>
      </c>
      <c r="D3803" t="inlineStr">
        <is>
          <t>Company</t>
        </is>
      </c>
      <c r="E3803" t="inlineStr">
        <is>
          <t>Company Name</t>
        </is>
      </c>
      <c r="F3803" t="inlineStr">
        <is>
          <t>PT Pradiksi Gunatama Tbk</t>
        </is>
      </c>
      <c r="G3803" t="inlineStr">
        <is>
          <t>text</t>
        </is>
      </c>
      <c r="H3803" t="n">
        <v>1</v>
      </c>
      <c r="I3803" t="inlineStr">
        <is>
          <t>PT Pradiksi Gunatama Tbk</t>
        </is>
      </c>
      <c r="J3803" t="inlineStr">
        <is>
          <t>High</t>
        </is>
      </c>
      <c r="M3803" t="inlineStr">
        <is>
          <t>LLM</t>
        </is>
      </c>
      <c r="N3803" t="inlineStr">
        <is>
          <t>2026-04-19</t>
        </is>
      </c>
      <c r="O3803" t="inlineStr">
        <is>
          <t>AI</t>
        </is>
      </c>
    </row>
    <row r="3804">
      <c r="A3804" t="inlineStr">
        <is>
          <t>PT Pradiksi Gunatama Tbk</t>
        </is>
      </c>
      <c r="B3804" t="inlineStr">
        <is>
          <t>PGUN_2022_AR.pdf</t>
        </is>
      </c>
      <c r="C3804" t="n">
        <v>2022</v>
      </c>
      <c r="D3804" t="inlineStr">
        <is>
          <t>Company</t>
        </is>
      </c>
      <c r="E3804" t="inlineStr">
        <is>
          <t>Head Office</t>
        </is>
      </c>
      <c r="F3804" t="inlineStr">
        <is>
          <t>Jl. Negara Km. 44 Batu Engau, Paser, East Kalimantan</t>
        </is>
      </c>
      <c r="G3804" t="inlineStr">
        <is>
          <t>text</t>
        </is>
      </c>
      <c r="H3804" t="n">
        <v>19</v>
      </c>
      <c r="I3804" t="inlineStr">
        <is>
          <t>Jl. Negara Km. 44 sub-districts of Batu Engau, Paser Regency, East Kalimantan Province</t>
        </is>
      </c>
      <c r="J3804" t="inlineStr">
        <is>
          <t>High</t>
        </is>
      </c>
      <c r="M3804" t="inlineStr">
        <is>
          <t>LLM</t>
        </is>
      </c>
      <c r="N3804" t="inlineStr">
        <is>
          <t>2026-04-19</t>
        </is>
      </c>
      <c r="O3804" t="inlineStr">
        <is>
          <t>AI</t>
        </is>
      </c>
    </row>
    <row r="3805">
      <c r="A3805" t="inlineStr">
        <is>
          <t>PT Pradiksi Gunatama Tbk</t>
        </is>
      </c>
      <c r="B3805" t="inlineStr">
        <is>
          <t>PGUN_2022_AR.pdf</t>
        </is>
      </c>
      <c r="C3805" t="n">
        <v>2022</v>
      </c>
      <c r="D3805" t="inlineStr">
        <is>
          <t>Company</t>
        </is>
      </c>
      <c r="E3805" t="inlineStr">
        <is>
          <t>Establishment</t>
        </is>
      </c>
      <c r="F3805" t="n">
        <v>1995</v>
      </c>
      <c r="G3805" t="inlineStr">
        <is>
          <t>year</t>
        </is>
      </c>
      <c r="H3805" t="n">
        <v>0</v>
      </c>
      <c r="I3805" t="inlineStr">
        <is>
          <t>Founded 11 September 1995 (Notary Ny. Toety Juniarto SH)</t>
        </is>
      </c>
      <c r="J3805" t="inlineStr">
        <is>
          <t>High</t>
        </is>
      </c>
      <c r="M3805" t="inlineStr">
        <is>
          <t>LLM</t>
        </is>
      </c>
      <c r="N3805" t="inlineStr">
        <is>
          <t>2026-04-19</t>
        </is>
      </c>
      <c r="O3805" t="inlineStr">
        <is>
          <t>AI</t>
        </is>
      </c>
    </row>
    <row r="3806">
      <c r="A3806" t="inlineStr">
        <is>
          <t>PT Pradiksi Gunatama Tbk</t>
        </is>
      </c>
      <c r="B3806" t="inlineStr">
        <is>
          <t>PGUN_2022_AR.pdf</t>
        </is>
      </c>
      <c r="C3806" t="n">
        <v>2022</v>
      </c>
      <c r="D3806" t="inlineStr">
        <is>
          <t>Company</t>
        </is>
      </c>
      <c r="E3806" t="inlineStr">
        <is>
          <t>HGU Area (post-merger)</t>
        </is>
      </c>
      <c r="F3806" t="n">
        <v>38991.12</v>
      </c>
      <c r="G3806" t="inlineStr">
        <is>
          <t>ha</t>
        </is>
      </c>
      <c r="H3806" t="n">
        <v>197</v>
      </c>
      <c r="I3806" t="inlineStr">
        <is>
          <t>lahan perkebunan kelapa sawit seluas 38.991,12 hektar (post-SA merger)</t>
        </is>
      </c>
      <c r="J3806" t="inlineStr">
        <is>
          <t>High</t>
        </is>
      </c>
      <c r="M3806" t="inlineStr">
        <is>
          <t>LLM</t>
        </is>
      </c>
      <c r="N3806" t="inlineStr">
        <is>
          <t>2026-04-19</t>
        </is>
      </c>
      <c r="O3806" t="inlineStr">
        <is>
          <t>AI</t>
        </is>
      </c>
    </row>
    <row r="3807">
      <c r="A3807" t="inlineStr">
        <is>
          <t>PT Pradiksi Gunatama Tbk</t>
        </is>
      </c>
      <c r="B3807" t="inlineStr">
        <is>
          <t>PGUN_2022_AR.pdf</t>
        </is>
      </c>
      <c r="C3807" t="n">
        <v>2022</v>
      </c>
      <c r="D3807" t="inlineStr">
        <is>
          <t>Company</t>
        </is>
      </c>
      <c r="E3807" t="inlineStr">
        <is>
          <t>Controlling Shareholder 1</t>
        </is>
      </c>
      <c r="F3807" t="inlineStr">
        <is>
          <t>PT Araya Agro Lestari 42.29%</t>
        </is>
      </c>
      <c r="G3807" t="inlineStr">
        <is>
          <t>%</t>
        </is>
      </c>
      <c r="H3807" t="n">
        <v>9</v>
      </c>
      <c r="I3807" t="inlineStr">
        <is>
          <t>PT Araya Agro Lestari 2.426.317.596 42,29% Controller (per 31 Dec 2022)</t>
        </is>
      </c>
      <c r="J3807" t="inlineStr">
        <is>
          <t>High</t>
        </is>
      </c>
      <c r="M3807" t="inlineStr">
        <is>
          <t>LLM</t>
        </is>
      </c>
      <c r="N3807" t="inlineStr">
        <is>
          <t>2026-04-19</t>
        </is>
      </c>
      <c r="O3807" t="inlineStr">
        <is>
          <t>AI</t>
        </is>
      </c>
    </row>
    <row r="3808">
      <c r="A3808" t="inlineStr">
        <is>
          <t>PT Pradiksi Gunatama Tbk</t>
        </is>
      </c>
      <c r="B3808" t="inlineStr">
        <is>
          <t>PGUN_2022_AR.pdf</t>
        </is>
      </c>
      <c r="C3808" t="n">
        <v>2022</v>
      </c>
      <c r="D3808" t="inlineStr">
        <is>
          <t>Company</t>
        </is>
      </c>
      <c r="E3808" t="inlineStr">
        <is>
          <t>Controlling Shareholder 2</t>
        </is>
      </c>
      <c r="F3808" t="inlineStr">
        <is>
          <t>PT Citra Agro Raya 42.03%</t>
        </is>
      </c>
      <c r="G3808" t="inlineStr">
        <is>
          <t>%</t>
        </is>
      </c>
      <c r="H3808" t="n">
        <v>9</v>
      </c>
      <c r="I3808" t="inlineStr">
        <is>
          <t>PT Citra Agro Raya 2.411.531.286 42,03% Controller</t>
        </is>
      </c>
      <c r="J3808" t="inlineStr">
        <is>
          <t>High</t>
        </is>
      </c>
      <c r="M3808" t="inlineStr">
        <is>
          <t>LLM</t>
        </is>
      </c>
      <c r="N3808" t="inlineStr">
        <is>
          <t>2026-04-19</t>
        </is>
      </c>
      <c r="O3808" t="inlineStr">
        <is>
          <t>AI</t>
        </is>
      </c>
    </row>
    <row r="3809">
      <c r="A3809" t="inlineStr">
        <is>
          <t>PT Pradiksi Gunatama Tbk</t>
        </is>
      </c>
      <c r="B3809" t="inlineStr">
        <is>
          <t>PGUN_2022_AR.pdf</t>
        </is>
      </c>
      <c r="C3809" t="n">
        <v>2022</v>
      </c>
      <c r="D3809" t="inlineStr">
        <is>
          <t>Company</t>
        </is>
      </c>
      <c r="E3809" t="inlineStr">
        <is>
          <t>Public Float</t>
        </is>
      </c>
      <c r="F3809" t="n">
        <v>0.1568</v>
      </c>
      <c r="G3809" t="inlineStr">
        <is>
          <t>%</t>
        </is>
      </c>
      <c r="H3809" t="n">
        <v>9</v>
      </c>
      <c r="I3809" t="inlineStr">
        <is>
          <t>Public 900,000,000 15,68%</t>
        </is>
      </c>
      <c r="J3809" t="inlineStr">
        <is>
          <t>High</t>
        </is>
      </c>
      <c r="M3809" t="inlineStr">
        <is>
          <t>LLM</t>
        </is>
      </c>
      <c r="N3809" t="inlineStr">
        <is>
          <t>2026-04-19</t>
        </is>
      </c>
      <c r="O3809" t="inlineStr">
        <is>
          <t>AI</t>
        </is>
      </c>
    </row>
    <row r="3810">
      <c r="A3810" t="inlineStr">
        <is>
          <t>PT Pradiksi Gunatama Tbk</t>
        </is>
      </c>
      <c r="B3810" t="inlineStr">
        <is>
          <t>PGUN_2022_AR.pdf</t>
        </is>
      </c>
      <c r="C3810" t="n">
        <v>2022</v>
      </c>
      <c r="D3810" t="inlineStr">
        <is>
          <t>Company</t>
        </is>
      </c>
      <c r="E3810" t="inlineStr">
        <is>
          <t>Auditor</t>
        </is>
      </c>
      <c r="F3810" t="inlineStr">
        <is>
          <t>KAP Kanaka Puradiredja Suhartono</t>
        </is>
      </c>
      <c r="G3810" t="inlineStr">
        <is>
          <t>text</t>
        </is>
      </c>
      <c r="H3810" t="n">
        <v>0</v>
      </c>
      <c r="I3810" t="inlineStr">
        <is>
          <t>Audited by KAP Kanaka Puradiredja Suhartono, signed by Aris Suryanta, Ak., CA., CPA.</t>
        </is>
      </c>
      <c r="J3810" t="inlineStr">
        <is>
          <t>High</t>
        </is>
      </c>
      <c r="M3810" t="inlineStr">
        <is>
          <t>LLM</t>
        </is>
      </c>
      <c r="N3810" t="inlineStr">
        <is>
          <t>2026-04-19</t>
        </is>
      </c>
      <c r="O3810" t="inlineStr">
        <is>
          <t>AI</t>
        </is>
      </c>
    </row>
    <row r="3811">
      <c r="A3811" t="inlineStr">
        <is>
          <t>PT Pradiksi Gunatama Tbk</t>
        </is>
      </c>
      <c r="B3811" t="inlineStr">
        <is>
          <t>PGUN_2022_AR.pdf</t>
        </is>
      </c>
      <c r="C3811" t="n">
        <v>2022</v>
      </c>
      <c r="D3811" t="inlineStr">
        <is>
          <t>Company</t>
        </is>
      </c>
      <c r="E3811" t="inlineStr">
        <is>
          <t>President Director</t>
        </is>
      </c>
      <c r="F3811" t="inlineStr">
        <is>
          <t>Jooyoung Lee</t>
        </is>
      </c>
      <c r="G3811" t="inlineStr">
        <is>
          <t>text</t>
        </is>
      </c>
      <c r="H3811" t="n">
        <v>198</v>
      </c>
      <c r="I3811" t="inlineStr">
        <is>
          <t>Direktur Utama: Jooyoung Lee (2022)</t>
        </is>
      </c>
      <c r="J3811" t="inlineStr">
        <is>
          <t>High</t>
        </is>
      </c>
      <c r="M3811" t="inlineStr">
        <is>
          <t>LLM</t>
        </is>
      </c>
      <c r="N3811" t="inlineStr">
        <is>
          <t>2026-04-19</t>
        </is>
      </c>
      <c r="O3811" t="inlineStr">
        <is>
          <t>AI</t>
        </is>
      </c>
    </row>
    <row r="3812">
      <c r="A3812" t="inlineStr">
        <is>
          <t>PT Pradiksi Gunatama Tbk</t>
        </is>
      </c>
      <c r="B3812" t="inlineStr">
        <is>
          <t>PGUN_2022_AR.pdf</t>
        </is>
      </c>
      <c r="C3812" t="n">
        <v>2022</v>
      </c>
      <c r="D3812" t="inlineStr">
        <is>
          <t>Company</t>
        </is>
      </c>
      <c r="E3812" t="inlineStr">
        <is>
          <t>President Commissioner</t>
        </is>
      </c>
      <c r="F3812" t="inlineStr">
        <is>
          <t>Liana Saputri</t>
        </is>
      </c>
      <c r="G3812" t="inlineStr">
        <is>
          <t>text</t>
        </is>
      </c>
      <c r="H3812" t="n">
        <v>198</v>
      </c>
      <c r="I3812" t="inlineStr">
        <is>
          <t>Komisaris Utama: Liana Saputri</t>
        </is>
      </c>
      <c r="J3812" t="inlineStr">
        <is>
          <t>High</t>
        </is>
      </c>
      <c r="M3812" t="inlineStr">
        <is>
          <t>LLM</t>
        </is>
      </c>
      <c r="N3812" t="inlineStr">
        <is>
          <t>2026-04-19</t>
        </is>
      </c>
      <c r="O3812" t="inlineStr">
        <is>
          <t>AI</t>
        </is>
      </c>
    </row>
    <row r="3813">
      <c r="A3813" t="inlineStr">
        <is>
          <t>PT Pradiksi Gunatama Tbk</t>
        </is>
      </c>
      <c r="B3813" t="inlineStr">
        <is>
          <t>PGUN_2022_AR.pdf</t>
        </is>
      </c>
      <c r="C3813" t="n">
        <v>2022</v>
      </c>
      <c r="D3813" t="inlineStr">
        <is>
          <t>Company</t>
        </is>
      </c>
      <c r="E3813" t="inlineStr">
        <is>
          <t>Senabangun Merger</t>
        </is>
      </c>
      <c r="F3813" t="inlineStr">
        <is>
          <t>21 Dec 2022</t>
        </is>
      </c>
      <c r="G3813" t="inlineStr">
        <is>
          <t>date</t>
        </is>
      </c>
      <c r="H3813" t="n">
        <v>180</v>
      </c>
      <c r="I3813" t="inlineStr">
        <is>
          <t>Deed of Merger No. 53 dated 21 Dec 2022 (Leolin Jayanti) merging PT Senabangun Anekapertiwi into PGUN</t>
        </is>
      </c>
      <c r="J3813" t="inlineStr">
        <is>
          <t>High</t>
        </is>
      </c>
      <c r="M3813" t="inlineStr">
        <is>
          <t>LLM</t>
        </is>
      </c>
      <c r="N3813" t="inlineStr">
        <is>
          <t>2026-04-19</t>
        </is>
      </c>
      <c r="O3813" t="inlineStr">
        <is>
          <t>AI</t>
        </is>
      </c>
    </row>
    <row r="3814">
      <c r="A3814" t="inlineStr">
        <is>
          <t>PT Pradiksi Gunatama Tbk</t>
        </is>
      </c>
      <c r="B3814" t="inlineStr">
        <is>
          <t>PGUN_2022_AR.pdf</t>
        </is>
      </c>
      <c r="C3814" t="n">
        <v>2022</v>
      </c>
      <c r="D3814" t="inlineStr">
        <is>
          <t>Financial</t>
        </is>
      </c>
      <c r="E3814" t="inlineStr">
        <is>
          <t>Revenue (Net Sales)</t>
        </is>
      </c>
      <c r="F3814" t="n">
        <v>1007.31</v>
      </c>
      <c r="G3814" t="inlineStr">
        <is>
          <t>IDR bn</t>
        </is>
      </c>
      <c r="H3814" t="n">
        <v>3</v>
      </c>
      <c r="I3814" t="inlineStr">
        <is>
          <t>PENJUALAN BERSIH 1,007,305,060,864 (2022)</t>
        </is>
      </c>
      <c r="J3814" t="inlineStr">
        <is>
          <t>High</t>
        </is>
      </c>
      <c r="M3814" t="inlineStr">
        <is>
          <t>LLM</t>
        </is>
      </c>
      <c r="N3814" t="inlineStr">
        <is>
          <t>2026-04-19</t>
        </is>
      </c>
      <c r="O3814" t="inlineStr">
        <is>
          <t>AI</t>
        </is>
      </c>
    </row>
    <row r="3815">
      <c r="A3815" t="inlineStr">
        <is>
          <t>PT Pradiksi Gunatama Tbk</t>
        </is>
      </c>
      <c r="B3815" t="inlineStr">
        <is>
          <t>PGUN_2022_AR.pdf</t>
        </is>
      </c>
      <c r="C3815" t="n">
        <v>2022</v>
      </c>
      <c r="D3815" t="inlineStr">
        <is>
          <t>Financial</t>
        </is>
      </c>
      <c r="E3815" t="inlineStr">
        <is>
          <t>Cost of Goods Sold</t>
        </is>
      </c>
      <c r="F3815" t="n">
        <v>742.88</v>
      </c>
      <c r="G3815" t="inlineStr">
        <is>
          <t>IDR bn</t>
        </is>
      </c>
      <c r="H3815" t="n">
        <v>193</v>
      </c>
      <c r="I3815" t="inlineStr">
        <is>
          <t>BEBAN POKOK PENJUALAN (742.883.990.213)</t>
        </is>
      </c>
      <c r="J3815" t="inlineStr">
        <is>
          <t>High</t>
        </is>
      </c>
      <c r="M3815" t="inlineStr">
        <is>
          <t>LLM</t>
        </is>
      </c>
      <c r="N3815" t="inlineStr">
        <is>
          <t>2026-04-19</t>
        </is>
      </c>
      <c r="O3815" t="inlineStr">
        <is>
          <t>AI</t>
        </is>
      </c>
    </row>
    <row r="3816">
      <c r="A3816" t="inlineStr">
        <is>
          <t>PT Pradiksi Gunatama Tbk</t>
        </is>
      </c>
      <c r="B3816" t="inlineStr">
        <is>
          <t>PGUN_2022_AR.pdf</t>
        </is>
      </c>
      <c r="C3816" t="n">
        <v>2022</v>
      </c>
      <c r="D3816" t="inlineStr">
        <is>
          <t>Financial</t>
        </is>
      </c>
      <c r="E3816" t="inlineStr">
        <is>
          <t>Gross Profit</t>
        </is>
      </c>
      <c r="F3816" t="n">
        <v>264.42</v>
      </c>
      <c r="G3816" t="inlineStr">
        <is>
          <t>IDR bn</t>
        </is>
      </c>
      <c r="H3816" t="n">
        <v>3</v>
      </c>
      <c r="I3816" t="inlineStr">
        <is>
          <t>LABA BRUTO 264,421,070,651</t>
        </is>
      </c>
      <c r="J3816" t="inlineStr">
        <is>
          <t>High</t>
        </is>
      </c>
      <c r="M3816" t="inlineStr">
        <is>
          <t>LLM</t>
        </is>
      </c>
      <c r="N3816" t="inlineStr">
        <is>
          <t>2026-04-19</t>
        </is>
      </c>
      <c r="O3816" t="inlineStr">
        <is>
          <t>AI</t>
        </is>
      </c>
    </row>
    <row r="3817">
      <c r="A3817" t="inlineStr">
        <is>
          <t>PT Pradiksi Gunatama Tbk</t>
        </is>
      </c>
      <c r="B3817" t="inlineStr">
        <is>
          <t>PGUN_2022_AR.pdf</t>
        </is>
      </c>
      <c r="C3817" t="n">
        <v>2022</v>
      </c>
      <c r="D3817" t="inlineStr">
        <is>
          <t>Financial</t>
        </is>
      </c>
      <c r="E3817" t="inlineStr">
        <is>
          <t>Operating Profit (EBIT)</t>
        </is>
      </c>
      <c r="F3817" t="n">
        <v>233.64</v>
      </c>
      <c r="G3817" t="inlineStr">
        <is>
          <t>IDR bn</t>
        </is>
      </c>
      <c r="H3817" t="n">
        <v>193</v>
      </c>
      <c r="I3817" t="inlineStr">
        <is>
          <t>LABA (RUGI) USAHA 233,635,817,372</t>
        </is>
      </c>
      <c r="J3817" t="inlineStr">
        <is>
          <t>High</t>
        </is>
      </c>
      <c r="M3817" t="inlineStr">
        <is>
          <t>LLM</t>
        </is>
      </c>
      <c r="N3817" t="inlineStr">
        <is>
          <t>2026-04-19</t>
        </is>
      </c>
      <c r="O3817" t="inlineStr">
        <is>
          <t>AI</t>
        </is>
      </c>
    </row>
    <row r="3818">
      <c r="A3818" t="inlineStr">
        <is>
          <t>PT Pradiksi Gunatama Tbk</t>
        </is>
      </c>
      <c r="B3818" t="inlineStr">
        <is>
          <t>PGUN_2022_AR.pdf</t>
        </is>
      </c>
      <c r="C3818" t="n">
        <v>2022</v>
      </c>
      <c r="D3818" t="inlineStr">
        <is>
          <t>Financial</t>
        </is>
      </c>
      <c r="E3818" t="inlineStr">
        <is>
          <t>Finance Cost</t>
        </is>
      </c>
      <c r="F3818" t="n">
        <v>62.6</v>
      </c>
      <c r="G3818" t="inlineStr">
        <is>
          <t>IDR bn</t>
        </is>
      </c>
      <c r="H3818" t="n">
        <v>193</v>
      </c>
      <c r="I3818" t="inlineStr">
        <is>
          <t>Beban keuangan (62.603.309.677)</t>
        </is>
      </c>
      <c r="J3818" t="inlineStr">
        <is>
          <t>High</t>
        </is>
      </c>
      <c r="M3818" t="inlineStr">
        <is>
          <t>LLM</t>
        </is>
      </c>
      <c r="N3818" t="inlineStr">
        <is>
          <t>2026-04-19</t>
        </is>
      </c>
      <c r="O3818" t="inlineStr">
        <is>
          <t>AI</t>
        </is>
      </c>
    </row>
    <row r="3819">
      <c r="A3819" t="inlineStr">
        <is>
          <t>PT Pradiksi Gunatama Tbk</t>
        </is>
      </c>
      <c r="B3819" t="inlineStr">
        <is>
          <t>PGUN_2022_AR.pdf</t>
        </is>
      </c>
      <c r="C3819" t="n">
        <v>2022</v>
      </c>
      <c r="D3819" t="inlineStr">
        <is>
          <t>Financial</t>
        </is>
      </c>
      <c r="E3819" t="inlineStr">
        <is>
          <t>Profit Before Tax</t>
        </is>
      </c>
      <c r="F3819" t="n">
        <v>188.88</v>
      </c>
      <c r="G3819" t="inlineStr">
        <is>
          <t>IDR bn</t>
        </is>
      </c>
      <c r="H3819" t="n">
        <v>193</v>
      </c>
      <c r="I3819" t="inlineStr">
        <is>
          <t>LABA (RUGI) SEBELUM PAJAK PENGHASILAN 188.875.205.126</t>
        </is>
      </c>
      <c r="J3819" t="inlineStr">
        <is>
          <t>High</t>
        </is>
      </c>
      <c r="M3819" t="inlineStr">
        <is>
          <t>LLM</t>
        </is>
      </c>
      <c r="N3819" t="inlineStr">
        <is>
          <t>2026-04-19</t>
        </is>
      </c>
      <c r="O3819" t="inlineStr">
        <is>
          <t>AI</t>
        </is>
      </c>
    </row>
    <row r="3820">
      <c r="A3820" t="inlineStr">
        <is>
          <t>PT Pradiksi Gunatama Tbk</t>
        </is>
      </c>
      <c r="B3820" t="inlineStr">
        <is>
          <t>PGUN_2022_AR.pdf</t>
        </is>
      </c>
      <c r="C3820" t="n">
        <v>2022</v>
      </c>
      <c r="D3820" t="inlineStr">
        <is>
          <t>Financial</t>
        </is>
      </c>
      <c r="E3820" t="inlineStr">
        <is>
          <t>Net Profit</t>
        </is>
      </c>
      <c r="F3820" t="n">
        <v>167.25</v>
      </c>
      <c r="G3820" t="inlineStr">
        <is>
          <t>IDR bn</t>
        </is>
      </c>
      <c r="H3820" t="n">
        <v>3</v>
      </c>
      <c r="I3820" t="inlineStr">
        <is>
          <t>LABA BERSIH 167,246,545,379 (2022)</t>
        </is>
      </c>
      <c r="J3820" t="inlineStr">
        <is>
          <t>High</t>
        </is>
      </c>
      <c r="M3820" t="inlineStr">
        <is>
          <t>LLM</t>
        </is>
      </c>
      <c r="N3820" t="inlineStr">
        <is>
          <t>2026-04-19</t>
        </is>
      </c>
      <c r="O3820" t="inlineStr">
        <is>
          <t>AI</t>
        </is>
      </c>
    </row>
    <row r="3821">
      <c r="A3821" t="inlineStr">
        <is>
          <t>PT Pradiksi Gunatama Tbk</t>
        </is>
      </c>
      <c r="B3821" t="inlineStr">
        <is>
          <t>PGUN_2022_AR.pdf</t>
        </is>
      </c>
      <c r="C3821" t="n">
        <v>2022</v>
      </c>
      <c r="D3821" t="inlineStr">
        <is>
          <t>Financial</t>
        </is>
      </c>
      <c r="E3821" t="inlineStr">
        <is>
          <t>Profit Attributable to Parent</t>
        </is>
      </c>
      <c r="F3821" t="n">
        <v>172.15</v>
      </c>
      <c r="G3821" t="inlineStr">
        <is>
          <t>IDR bn</t>
        </is>
      </c>
      <c r="H3821" t="n">
        <v>196</v>
      </c>
      <c r="I3821" t="inlineStr">
        <is>
          <t>Laba bersih tahun berjalan attributable to parent 172,151,655,670</t>
        </is>
      </c>
      <c r="J3821" t="inlineStr">
        <is>
          <t>High</t>
        </is>
      </c>
      <c r="M3821" t="inlineStr">
        <is>
          <t>LLM</t>
        </is>
      </c>
      <c r="N3821" t="inlineStr">
        <is>
          <t>2026-04-19</t>
        </is>
      </c>
      <c r="O3821" t="inlineStr">
        <is>
          <t>AI</t>
        </is>
      </c>
    </row>
    <row r="3822">
      <c r="A3822" t="inlineStr">
        <is>
          <t>PT Pradiksi Gunatama Tbk</t>
        </is>
      </c>
      <c r="B3822" t="inlineStr">
        <is>
          <t>PGUN_2022_AR.pdf</t>
        </is>
      </c>
      <c r="C3822" t="n">
        <v>2022</v>
      </c>
      <c r="D3822" t="inlineStr">
        <is>
          <t>Financial</t>
        </is>
      </c>
      <c r="E3822" t="inlineStr">
        <is>
          <t>EPS</t>
        </is>
      </c>
      <c r="F3822" t="n">
        <v>30</v>
      </c>
      <c r="G3822" t="inlineStr">
        <is>
          <t>Rp/share</t>
        </is>
      </c>
      <c r="H3822" t="n">
        <v>3</v>
      </c>
      <c r="I3822" t="inlineStr">
        <is>
          <t>LABA (RUGI) PER SAHAM 30.00</t>
        </is>
      </c>
      <c r="J3822" t="inlineStr">
        <is>
          <t>High</t>
        </is>
      </c>
      <c r="M3822" t="inlineStr">
        <is>
          <t>LLM</t>
        </is>
      </c>
      <c r="N3822" t="inlineStr">
        <is>
          <t>2026-04-19</t>
        </is>
      </c>
      <c r="O3822" t="inlineStr">
        <is>
          <t>AI</t>
        </is>
      </c>
    </row>
    <row r="3823">
      <c r="A3823" t="inlineStr">
        <is>
          <t>PT Pradiksi Gunatama Tbk</t>
        </is>
      </c>
      <c r="B3823" t="inlineStr">
        <is>
          <t>PGUN_2022_AR.pdf</t>
        </is>
      </c>
      <c r="C3823" t="n">
        <v>2022</v>
      </c>
      <c r="D3823" t="inlineStr">
        <is>
          <t>Financial</t>
        </is>
      </c>
      <c r="E3823" t="inlineStr">
        <is>
          <t>Total Assets</t>
        </is>
      </c>
      <c r="F3823" t="n">
        <v>2347.52</v>
      </c>
      <c r="G3823" t="inlineStr">
        <is>
          <t>IDR bn</t>
        </is>
      </c>
      <c r="H3823" t="n">
        <v>3</v>
      </c>
      <c r="I3823" t="inlineStr">
        <is>
          <t>Jumlah Aset 2,347,517,612,881</t>
        </is>
      </c>
      <c r="J3823" t="inlineStr">
        <is>
          <t>High</t>
        </is>
      </c>
      <c r="M3823" t="inlineStr">
        <is>
          <t>LLM</t>
        </is>
      </c>
      <c r="N3823" t="inlineStr">
        <is>
          <t>2026-04-19</t>
        </is>
      </c>
      <c r="O3823" t="inlineStr">
        <is>
          <t>AI</t>
        </is>
      </c>
    </row>
    <row r="3824">
      <c r="A3824" t="inlineStr">
        <is>
          <t>PT Pradiksi Gunatama Tbk</t>
        </is>
      </c>
      <c r="B3824" t="inlineStr">
        <is>
          <t>PGUN_2022_AR.pdf</t>
        </is>
      </c>
      <c r="C3824" t="n">
        <v>2022</v>
      </c>
      <c r="D3824" t="inlineStr">
        <is>
          <t>Financial</t>
        </is>
      </c>
      <c r="E3824" t="inlineStr">
        <is>
          <t>Current Assets</t>
        </is>
      </c>
      <c r="F3824" t="n">
        <v>289.998</v>
      </c>
      <c r="G3824" t="inlineStr">
        <is>
          <t>IDR bn</t>
        </is>
      </c>
      <c r="H3824" t="n">
        <v>75</v>
      </c>
      <c r="I3824" t="inlineStr">
        <is>
          <t>Aset Lancar 289.998.443.433</t>
        </is>
      </c>
      <c r="J3824" t="inlineStr">
        <is>
          <t>High</t>
        </is>
      </c>
      <c r="M3824" t="inlineStr">
        <is>
          <t>LLM</t>
        </is>
      </c>
      <c r="N3824" t="inlineStr">
        <is>
          <t>2026-04-19</t>
        </is>
      </c>
      <c r="O3824" t="inlineStr">
        <is>
          <t>AI</t>
        </is>
      </c>
    </row>
    <row r="3825">
      <c r="A3825" t="inlineStr">
        <is>
          <t>PT Pradiksi Gunatama Tbk</t>
        </is>
      </c>
      <c r="B3825" t="inlineStr">
        <is>
          <t>PGUN_2022_AR.pdf</t>
        </is>
      </c>
      <c r="C3825" t="n">
        <v>2022</v>
      </c>
      <c r="D3825" t="inlineStr">
        <is>
          <t>Financial</t>
        </is>
      </c>
      <c r="E3825" t="inlineStr">
        <is>
          <t>Non-Current Assets</t>
        </is>
      </c>
      <c r="F3825" t="n">
        <v>2057.52</v>
      </c>
      <c r="G3825" t="inlineStr">
        <is>
          <t>IDR bn</t>
        </is>
      </c>
      <c r="H3825" t="n">
        <v>75</v>
      </c>
      <c r="I3825" t="inlineStr">
        <is>
          <t>Aset Tidak Lancar 2.057.519.169.448</t>
        </is>
      </c>
      <c r="J3825" t="inlineStr">
        <is>
          <t>High</t>
        </is>
      </c>
      <c r="M3825" t="inlineStr">
        <is>
          <t>LLM</t>
        </is>
      </c>
      <c r="N3825" t="inlineStr">
        <is>
          <t>2026-04-19</t>
        </is>
      </c>
      <c r="O3825" t="inlineStr">
        <is>
          <t>AI</t>
        </is>
      </c>
    </row>
    <row r="3826">
      <c r="A3826" t="inlineStr">
        <is>
          <t>PT Pradiksi Gunatama Tbk</t>
        </is>
      </c>
      <c r="B3826" t="inlineStr">
        <is>
          <t>PGUN_2022_AR.pdf</t>
        </is>
      </c>
      <c r="C3826" t="n">
        <v>2022</v>
      </c>
      <c r="D3826" t="inlineStr">
        <is>
          <t>Financial</t>
        </is>
      </c>
      <c r="E3826" t="inlineStr">
        <is>
          <t>Total Liabilities</t>
        </is>
      </c>
      <c r="F3826" t="n">
        <v>918.35</v>
      </c>
      <c r="G3826" t="inlineStr">
        <is>
          <t>IDR bn</t>
        </is>
      </c>
      <c r="H3826" t="n">
        <v>3</v>
      </c>
      <c r="I3826" t="inlineStr">
        <is>
          <t>Jumlah Liabilitas 918,351,509,165</t>
        </is>
      </c>
      <c r="J3826" t="inlineStr">
        <is>
          <t>High</t>
        </is>
      </c>
      <c r="M3826" t="inlineStr">
        <is>
          <t>LLM</t>
        </is>
      </c>
      <c r="N3826" t="inlineStr">
        <is>
          <t>2026-04-19</t>
        </is>
      </c>
      <c r="O3826" t="inlineStr">
        <is>
          <t>AI</t>
        </is>
      </c>
    </row>
    <row r="3827">
      <c r="A3827" t="inlineStr">
        <is>
          <t>PT Pradiksi Gunatama Tbk</t>
        </is>
      </c>
      <c r="B3827" t="inlineStr">
        <is>
          <t>PGUN_2022_AR.pdf</t>
        </is>
      </c>
      <c r="C3827" t="n">
        <v>2022</v>
      </c>
      <c r="D3827" t="inlineStr">
        <is>
          <t>Financial</t>
        </is>
      </c>
      <c r="E3827" t="inlineStr">
        <is>
          <t>Current Liabilities</t>
        </is>
      </c>
      <c r="F3827" t="n">
        <v>197.37</v>
      </c>
      <c r="G3827" t="inlineStr">
        <is>
          <t>IDR bn</t>
        </is>
      </c>
      <c r="H3827" t="n">
        <v>75</v>
      </c>
      <c r="I3827" t="inlineStr">
        <is>
          <t>Short-term liabilities 197.371.836.873</t>
        </is>
      </c>
      <c r="J3827" t="inlineStr">
        <is>
          <t>High</t>
        </is>
      </c>
      <c r="M3827" t="inlineStr">
        <is>
          <t>LLM</t>
        </is>
      </c>
      <c r="N3827" t="inlineStr">
        <is>
          <t>2026-04-19</t>
        </is>
      </c>
      <c r="O3827" t="inlineStr">
        <is>
          <t>AI</t>
        </is>
      </c>
    </row>
    <row r="3828">
      <c r="A3828" t="inlineStr">
        <is>
          <t>PT Pradiksi Gunatama Tbk</t>
        </is>
      </c>
      <c r="B3828" t="inlineStr">
        <is>
          <t>PGUN_2022_AR.pdf</t>
        </is>
      </c>
      <c r="C3828" t="n">
        <v>2022</v>
      </c>
      <c r="D3828" t="inlineStr">
        <is>
          <t>Financial</t>
        </is>
      </c>
      <c r="E3828" t="inlineStr">
        <is>
          <t>Long-term Liabilities</t>
        </is>
      </c>
      <c r="F3828" t="n">
        <v>720.98</v>
      </c>
      <c r="G3828" t="inlineStr">
        <is>
          <t>IDR bn</t>
        </is>
      </c>
      <c r="H3828" t="n">
        <v>75</v>
      </c>
      <c r="I3828" t="inlineStr">
        <is>
          <t>Long Term Liabilities 720.979.672.292</t>
        </is>
      </c>
      <c r="J3828" t="inlineStr">
        <is>
          <t>High</t>
        </is>
      </c>
      <c r="M3828" t="inlineStr">
        <is>
          <t>LLM</t>
        </is>
      </c>
      <c r="N3828" t="inlineStr">
        <is>
          <t>2026-04-19</t>
        </is>
      </c>
      <c r="O3828" t="inlineStr">
        <is>
          <t>AI</t>
        </is>
      </c>
    </row>
    <row r="3829">
      <c r="A3829" t="inlineStr">
        <is>
          <t>PT Pradiksi Gunatama Tbk</t>
        </is>
      </c>
      <c r="B3829" t="inlineStr">
        <is>
          <t>PGUN_2022_AR.pdf</t>
        </is>
      </c>
      <c r="C3829" t="n">
        <v>2022</v>
      </c>
      <c r="D3829" t="inlineStr">
        <is>
          <t>Financial</t>
        </is>
      </c>
      <c r="E3829" t="inlineStr">
        <is>
          <t>Total Equity</t>
        </is>
      </c>
      <c r="F3829" t="n">
        <v>1429.17</v>
      </c>
      <c r="G3829" t="inlineStr">
        <is>
          <t>IDR bn</t>
        </is>
      </c>
      <c r="H3829" t="n">
        <v>3</v>
      </c>
      <c r="I3829" t="inlineStr">
        <is>
          <t>Jumlah Ekuitas 1,429,166,103,716</t>
        </is>
      </c>
      <c r="J3829" t="inlineStr">
        <is>
          <t>High</t>
        </is>
      </c>
      <c r="M3829" t="inlineStr">
        <is>
          <t>LLM</t>
        </is>
      </c>
      <c r="N3829" t="inlineStr">
        <is>
          <t>2026-04-19</t>
        </is>
      </c>
      <c r="O3829" t="inlineStr">
        <is>
          <t>AI</t>
        </is>
      </c>
    </row>
    <row r="3830">
      <c r="A3830" t="inlineStr">
        <is>
          <t>PT Pradiksi Gunatama Tbk</t>
        </is>
      </c>
      <c r="B3830" t="inlineStr">
        <is>
          <t>PGUN_2022_AR.pdf</t>
        </is>
      </c>
      <c r="C3830" t="n">
        <v>2022</v>
      </c>
      <c r="D3830" t="inlineStr">
        <is>
          <t>Financial</t>
        </is>
      </c>
      <c r="E3830" t="inlineStr">
        <is>
          <t>Cash and Banks</t>
        </is>
      </c>
      <c r="F3830" t="n">
        <v>35.9</v>
      </c>
      <c r="G3830" t="inlineStr">
        <is>
          <t>IDR bn</t>
        </is>
      </c>
      <c r="H3830" t="n">
        <v>229</v>
      </c>
      <c r="I3830" t="inlineStr">
        <is>
          <t>Kas dan bank 35.899.308.357 (31 Dec 2022)</t>
        </is>
      </c>
      <c r="J3830" t="inlineStr">
        <is>
          <t>High</t>
        </is>
      </c>
      <c r="M3830" t="inlineStr">
        <is>
          <t>LLM</t>
        </is>
      </c>
      <c r="N3830" t="inlineStr">
        <is>
          <t>2026-04-19</t>
        </is>
      </c>
      <c r="O3830" t="inlineStr">
        <is>
          <t>AI</t>
        </is>
      </c>
    </row>
    <row r="3831">
      <c r="A3831" t="inlineStr">
        <is>
          <t>PT Pradiksi Gunatama Tbk</t>
        </is>
      </c>
      <c r="B3831" t="inlineStr">
        <is>
          <t>PGUN_2022_AR.pdf</t>
        </is>
      </c>
      <c r="C3831" t="n">
        <v>2022</v>
      </c>
      <c r="D3831" t="inlineStr">
        <is>
          <t>Financial</t>
        </is>
      </c>
      <c r="E3831" t="inlineStr">
        <is>
          <t>Bank Loan (BRI) Gross</t>
        </is>
      </c>
      <c r="F3831" t="n">
        <v>697.6</v>
      </c>
      <c r="G3831" t="inlineStr">
        <is>
          <t>IDR bn</t>
        </is>
      </c>
      <c r="H3831" t="n">
        <v>0</v>
      </c>
      <c r="I3831" t="inlineStr">
        <is>
          <t>PT Bank Rakyat Indonesia (Persero), Tbk 697.596.304.485 (2022)</t>
        </is>
      </c>
      <c r="J3831" t="inlineStr">
        <is>
          <t>High</t>
        </is>
      </c>
      <c r="M3831" t="inlineStr">
        <is>
          <t>LLM</t>
        </is>
      </c>
      <c r="N3831" t="inlineStr">
        <is>
          <t>2026-04-19</t>
        </is>
      </c>
      <c r="O3831" t="inlineStr">
        <is>
          <t>AI</t>
        </is>
      </c>
    </row>
    <row r="3832">
      <c r="A3832" t="inlineStr">
        <is>
          <t>PT Pradiksi Gunatama Tbk</t>
        </is>
      </c>
      <c r="B3832" t="inlineStr">
        <is>
          <t>PGUN_2022_AR.pdf</t>
        </is>
      </c>
      <c r="C3832" t="n">
        <v>2022</v>
      </c>
      <c r="D3832" t="inlineStr">
        <is>
          <t>Financial</t>
        </is>
      </c>
      <c r="E3832" t="inlineStr">
        <is>
          <t>Bank Loan Net</t>
        </is>
      </c>
      <c r="F3832" t="n">
        <v>692.08</v>
      </c>
      <c r="G3832" t="inlineStr">
        <is>
          <t>IDR bn</t>
        </is>
      </c>
      <c r="H3832" t="n">
        <v>0</v>
      </c>
      <c r="I3832" t="inlineStr">
        <is>
          <t>Jumlah 692.078.976.684 (net of Rp5.52 bn unamortized arrangement cost)</t>
        </is>
      </c>
      <c r="J3832" t="inlineStr">
        <is>
          <t>High</t>
        </is>
      </c>
      <c r="M3832" t="inlineStr">
        <is>
          <t>LLM</t>
        </is>
      </c>
      <c r="N3832" t="inlineStr">
        <is>
          <t>2026-04-19</t>
        </is>
      </c>
      <c r="O3832" t="inlineStr">
        <is>
          <t>AI</t>
        </is>
      </c>
    </row>
    <row r="3833">
      <c r="A3833" t="inlineStr">
        <is>
          <t>PT Pradiksi Gunatama Tbk</t>
        </is>
      </c>
      <c r="B3833" t="inlineStr">
        <is>
          <t>PGUN_2022_AR.pdf</t>
        </is>
      </c>
      <c r="C3833" t="n">
        <v>2022</v>
      </c>
      <c r="D3833" t="inlineStr">
        <is>
          <t>Financial</t>
        </is>
      </c>
      <c r="E3833" t="inlineStr">
        <is>
          <t>Bank Loan Current Portion</t>
        </is>
      </c>
      <c r="F3833" t="n">
        <v>122.98</v>
      </c>
      <c r="G3833" t="inlineStr">
        <is>
          <t>IDR bn</t>
        </is>
      </c>
      <c r="H3833" t="n">
        <v>0</v>
      </c>
      <c r="I3833" t="inlineStr">
        <is>
          <t>Bagian jangka pendek 122.981.999.997</t>
        </is>
      </c>
      <c r="J3833" t="inlineStr">
        <is>
          <t>High</t>
        </is>
      </c>
      <c r="M3833" t="inlineStr">
        <is>
          <t>LLM</t>
        </is>
      </c>
      <c r="N3833" t="inlineStr">
        <is>
          <t>2026-04-19</t>
        </is>
      </c>
      <c r="O3833" t="inlineStr">
        <is>
          <t>AI</t>
        </is>
      </c>
    </row>
    <row r="3834">
      <c r="A3834" t="inlineStr">
        <is>
          <t>PT Pradiksi Gunatama Tbk</t>
        </is>
      </c>
      <c r="B3834" t="inlineStr">
        <is>
          <t>PGUN_2022_AR.pdf</t>
        </is>
      </c>
      <c r="C3834" t="n">
        <v>2022</v>
      </c>
      <c r="D3834" t="inlineStr">
        <is>
          <t>Financial</t>
        </is>
      </c>
      <c r="E3834" t="inlineStr">
        <is>
          <t>Bank Loan Long-term Portion</t>
        </is>
      </c>
      <c r="F3834" t="n">
        <v>569.1</v>
      </c>
      <c r="G3834" t="inlineStr">
        <is>
          <t>IDR bn</t>
        </is>
      </c>
      <c r="H3834" t="n">
        <v>0</v>
      </c>
      <c r="I3834" t="inlineStr">
        <is>
          <t>Bagian jangka panjang 569.096.976.687</t>
        </is>
      </c>
      <c r="J3834" t="inlineStr">
        <is>
          <t>High</t>
        </is>
      </c>
      <c r="M3834" t="inlineStr">
        <is>
          <t>LLM</t>
        </is>
      </c>
      <c r="N3834" t="inlineStr">
        <is>
          <t>2026-04-19</t>
        </is>
      </c>
      <c r="O3834" t="inlineStr">
        <is>
          <t>AI</t>
        </is>
      </c>
    </row>
    <row r="3835">
      <c r="A3835" t="inlineStr">
        <is>
          <t>PT Pradiksi Gunatama Tbk</t>
        </is>
      </c>
      <c r="B3835" t="inlineStr">
        <is>
          <t>PGUN_2022_AR.pdf</t>
        </is>
      </c>
      <c r="C3835" t="n">
        <v>2022</v>
      </c>
      <c r="D3835" t="inlineStr">
        <is>
          <t>Financial</t>
        </is>
      </c>
      <c r="E3835" t="inlineStr">
        <is>
          <t>CFO</t>
        </is>
      </c>
      <c r="F3835" t="n">
        <v>213.08</v>
      </c>
      <c r="G3835" t="inlineStr">
        <is>
          <t>IDR bn</t>
        </is>
      </c>
      <c r="H3835" t="n">
        <v>196</v>
      </c>
      <c r="I3835" t="inlineStr">
        <is>
          <t>Kas bersih diperoleh dari aktivitas operasi 213.075.287.779 (2022)</t>
        </is>
      </c>
      <c r="J3835" t="inlineStr">
        <is>
          <t>High</t>
        </is>
      </c>
      <c r="M3835" t="inlineStr">
        <is>
          <t>LLM</t>
        </is>
      </c>
      <c r="N3835" t="inlineStr">
        <is>
          <t>2026-04-19</t>
        </is>
      </c>
      <c r="O3835" t="inlineStr">
        <is>
          <t>AI</t>
        </is>
      </c>
    </row>
    <row r="3836">
      <c r="A3836" t="inlineStr">
        <is>
          <t>PT Pradiksi Gunatama Tbk</t>
        </is>
      </c>
      <c r="B3836" t="inlineStr">
        <is>
          <t>PGUN_2022_AR.pdf</t>
        </is>
      </c>
      <c r="C3836" t="n">
        <v>2022</v>
      </c>
      <c r="D3836" t="inlineStr">
        <is>
          <t>Financial</t>
        </is>
      </c>
      <c r="E3836" t="inlineStr">
        <is>
          <t>CFI</t>
        </is>
      </c>
      <c r="F3836" t="n">
        <v>-78.81999999999999</v>
      </c>
      <c r="G3836" t="inlineStr">
        <is>
          <t>IDR bn</t>
        </is>
      </c>
      <c r="H3836" t="n">
        <v>196</v>
      </c>
      <c r="I3836" t="inlineStr">
        <is>
          <t>Kas bersih (digunakan untuk) aktivitas investasi (78.820.233.399)</t>
        </is>
      </c>
      <c r="J3836" t="inlineStr">
        <is>
          <t>High</t>
        </is>
      </c>
      <c r="M3836" t="inlineStr">
        <is>
          <t>LLM</t>
        </is>
      </c>
      <c r="N3836" t="inlineStr">
        <is>
          <t>2026-04-19</t>
        </is>
      </c>
      <c r="O3836" t="inlineStr">
        <is>
          <t>AI</t>
        </is>
      </c>
    </row>
    <row r="3837">
      <c r="A3837" t="inlineStr">
        <is>
          <t>PT Pradiksi Gunatama Tbk</t>
        </is>
      </c>
      <c r="B3837" t="inlineStr">
        <is>
          <t>PGUN_2022_AR.pdf</t>
        </is>
      </c>
      <c r="C3837" t="n">
        <v>2022</v>
      </c>
      <c r="D3837" t="inlineStr">
        <is>
          <t>Financial</t>
        </is>
      </c>
      <c r="E3837" t="inlineStr">
        <is>
          <t>Capex: Bearer Plants</t>
        </is>
      </c>
      <c r="F3837" t="n">
        <v>31.65</v>
      </c>
      <c r="G3837" t="inlineStr">
        <is>
          <t>IDR bn</t>
        </is>
      </c>
      <c r="H3837" t="n">
        <v>196</v>
      </c>
      <c r="I3837" t="inlineStr">
        <is>
          <t>Pembayaran untuk perolehan tanaman produktif 31.647.886.796</t>
        </is>
      </c>
      <c r="J3837" t="inlineStr">
        <is>
          <t>High</t>
        </is>
      </c>
      <c r="M3837" t="inlineStr">
        <is>
          <t>LLM</t>
        </is>
      </c>
      <c r="N3837" t="inlineStr">
        <is>
          <t>2026-04-19</t>
        </is>
      </c>
      <c r="O3837" t="inlineStr">
        <is>
          <t>AI</t>
        </is>
      </c>
    </row>
    <row r="3838">
      <c r="A3838" t="inlineStr">
        <is>
          <t>PT Pradiksi Gunatama Tbk</t>
        </is>
      </c>
      <c r="B3838" t="inlineStr">
        <is>
          <t>PGUN_2022_AR.pdf</t>
        </is>
      </c>
      <c r="C3838" t="n">
        <v>2022</v>
      </c>
      <c r="D3838" t="inlineStr">
        <is>
          <t>Financial</t>
        </is>
      </c>
      <c r="E3838" t="inlineStr">
        <is>
          <t>Capex: Fixed Assets</t>
        </is>
      </c>
      <c r="F3838" t="n">
        <v>45.42</v>
      </c>
      <c r="G3838" t="inlineStr">
        <is>
          <t>IDR bn</t>
        </is>
      </c>
      <c r="H3838" t="n">
        <v>196</v>
      </c>
      <c r="I3838" t="inlineStr">
        <is>
          <t>Perolehan aset tetap 45.420.846.603</t>
        </is>
      </c>
      <c r="J3838" t="inlineStr">
        <is>
          <t>High</t>
        </is>
      </c>
      <c r="M3838" t="inlineStr">
        <is>
          <t>LLM</t>
        </is>
      </c>
      <c r="N3838" t="inlineStr">
        <is>
          <t>2026-04-19</t>
        </is>
      </c>
      <c r="O3838" t="inlineStr">
        <is>
          <t>AI</t>
        </is>
      </c>
    </row>
    <row r="3839">
      <c r="A3839" t="inlineStr">
        <is>
          <t>PT Pradiksi Gunatama Tbk</t>
        </is>
      </c>
      <c r="B3839" t="inlineStr">
        <is>
          <t>PGUN_2022_AR.pdf</t>
        </is>
      </c>
      <c r="C3839" t="n">
        <v>2022</v>
      </c>
      <c r="D3839" t="inlineStr">
        <is>
          <t>Financial</t>
        </is>
      </c>
      <c r="E3839" t="inlineStr">
        <is>
          <t>Total Capex</t>
        </is>
      </c>
      <c r="F3839" t="n">
        <v>77.06999999999999</v>
      </c>
      <c r="G3839" t="inlineStr">
        <is>
          <t>IDR bn</t>
        </is>
      </c>
      <c r="H3839" t="n">
        <v>196</v>
      </c>
      <c r="I3839" t="inlineStr">
        <is>
          <t>31.65 + 45.42 = 77.07</t>
        </is>
      </c>
      <c r="J3839" t="inlineStr">
        <is>
          <t>High</t>
        </is>
      </c>
      <c r="M3839" t="inlineStr">
        <is>
          <t>LLM</t>
        </is>
      </c>
      <c r="N3839" t="inlineStr">
        <is>
          <t>2026-04-19</t>
        </is>
      </c>
      <c r="O3839" t="inlineStr">
        <is>
          <t>AI</t>
        </is>
      </c>
    </row>
    <row r="3840">
      <c r="A3840" t="inlineStr">
        <is>
          <t>PT Pradiksi Gunatama Tbk</t>
        </is>
      </c>
      <c r="B3840" t="inlineStr">
        <is>
          <t>PGUN_2022_AR.pdf</t>
        </is>
      </c>
      <c r="C3840" t="n">
        <v>2022</v>
      </c>
      <c r="D3840" t="inlineStr">
        <is>
          <t>Financial</t>
        </is>
      </c>
      <c r="E3840" t="inlineStr">
        <is>
          <t>Payments of bank loans</t>
        </is>
      </c>
      <c r="F3840" t="n">
        <v>99.70999999999999</v>
      </c>
      <c r="G3840" t="inlineStr">
        <is>
          <t>IDR bn</t>
        </is>
      </c>
      <c r="H3840" t="n">
        <v>196</v>
      </c>
      <c r="I3840" t="inlineStr">
        <is>
          <t>Pembayaran utang bank (99.709.749.996)</t>
        </is>
      </c>
      <c r="J3840" t="inlineStr">
        <is>
          <t>High</t>
        </is>
      </c>
      <c r="M3840" t="inlineStr">
        <is>
          <t>LLM</t>
        </is>
      </c>
      <c r="N3840" t="inlineStr">
        <is>
          <t>2026-04-19</t>
        </is>
      </c>
      <c r="O3840" t="inlineStr">
        <is>
          <t>AI</t>
        </is>
      </c>
    </row>
    <row r="3841">
      <c r="A3841" t="inlineStr">
        <is>
          <t>PT Pradiksi Gunatama Tbk</t>
        </is>
      </c>
      <c r="B3841" t="inlineStr">
        <is>
          <t>PGUN_2022_AR.pdf</t>
        </is>
      </c>
      <c r="C3841" t="n">
        <v>2022</v>
      </c>
      <c r="D3841" t="inlineStr">
        <is>
          <t>Financial</t>
        </is>
      </c>
      <c r="E3841" t="inlineStr">
        <is>
          <t>Shares Outstanding (end 2022)</t>
        </is>
      </c>
      <c r="F3841" t="n">
        <v>5737.85</v>
      </c>
      <c r="G3841" t="inlineStr">
        <is>
          <t>mn</t>
        </is>
      </c>
      <c r="H3841" t="n">
        <v>0</v>
      </c>
      <c r="I3841" t="inlineStr">
        <is>
          <t>Modal ditempatkan dan disetor 5.737.848.882 100% 573.784.888.200 (increased from 4,998,360,000 post-merger)</t>
        </is>
      </c>
      <c r="J3841" t="inlineStr">
        <is>
          <t>High</t>
        </is>
      </c>
      <c r="M3841" t="inlineStr">
        <is>
          <t>LLM</t>
        </is>
      </c>
      <c r="N3841" t="inlineStr">
        <is>
          <t>2026-04-19</t>
        </is>
      </c>
      <c r="O3841" t="inlineStr">
        <is>
          <t>AI</t>
        </is>
      </c>
    </row>
    <row r="3842">
      <c r="A3842" t="inlineStr">
        <is>
          <t>PT Pradiksi Gunatama Tbk</t>
        </is>
      </c>
      <c r="B3842" t="inlineStr">
        <is>
          <t>PGUN_2022_AR.pdf</t>
        </is>
      </c>
      <c r="C3842" t="n">
        <v>2022</v>
      </c>
      <c r="D3842" t="inlineStr">
        <is>
          <t>Financial</t>
        </is>
      </c>
      <c r="E3842" t="inlineStr">
        <is>
          <t>Closing Price (31 Dec 2022)</t>
        </is>
      </c>
      <c r="F3842" t="n">
        <v>805</v>
      </c>
      <c r="G3842" t="inlineStr">
        <is>
          <t>Rp/share</t>
        </is>
      </c>
      <c r="H3842" t="n">
        <v>10</v>
      </c>
      <c r="I3842" t="inlineStr">
        <is>
          <t>Desember 2022 Kurs Akhir 805</t>
        </is>
      </c>
      <c r="J3842" t="inlineStr">
        <is>
          <t>High</t>
        </is>
      </c>
      <c r="M3842" t="inlineStr">
        <is>
          <t>LLM</t>
        </is>
      </c>
      <c r="N3842" t="inlineStr">
        <is>
          <t>2026-04-19</t>
        </is>
      </c>
      <c r="O3842" t="inlineStr">
        <is>
          <t>AI</t>
        </is>
      </c>
    </row>
    <row r="3843">
      <c r="A3843" t="inlineStr">
        <is>
          <t>PT Pradiksi Gunatama Tbk</t>
        </is>
      </c>
      <c r="B3843" t="inlineStr">
        <is>
          <t>PGUN_2022_AR.pdf</t>
        </is>
      </c>
      <c r="C3843" t="n">
        <v>2022</v>
      </c>
      <c r="D3843" t="inlineStr">
        <is>
          <t>Financial</t>
        </is>
      </c>
      <c r="E3843" t="inlineStr">
        <is>
          <t>Market Cap (31 Dec 2022)</t>
        </is>
      </c>
      <c r="F3843" t="n">
        <v>4618.97</v>
      </c>
      <c r="G3843" t="inlineStr">
        <is>
          <t>IDR bn</t>
        </is>
      </c>
      <c r="H3843" t="n">
        <v>9</v>
      </c>
      <c r="I3843" t="inlineStr">
        <is>
          <t>December 2022 Market Cap 4,618,968,350,010</t>
        </is>
      </c>
      <c r="J3843" t="inlineStr">
        <is>
          <t>High</t>
        </is>
      </c>
      <c r="M3843" t="inlineStr">
        <is>
          <t>LLM</t>
        </is>
      </c>
      <c r="N3843" t="inlineStr">
        <is>
          <t>2026-04-19</t>
        </is>
      </c>
      <c r="O3843" t="inlineStr">
        <is>
          <t>AI</t>
        </is>
      </c>
    </row>
    <row r="3844">
      <c r="A3844" t="inlineStr">
        <is>
          <t>PT Pradiksi Gunatama Tbk</t>
        </is>
      </c>
      <c r="B3844" t="inlineStr">
        <is>
          <t>PGUN_2022_AR.pdf</t>
        </is>
      </c>
      <c r="C3844" t="n">
        <v>2022</v>
      </c>
      <c r="D3844" t="inlineStr">
        <is>
          <t>Financial</t>
        </is>
      </c>
      <c r="E3844" t="inlineStr">
        <is>
          <t>Current Ratio</t>
        </is>
      </c>
      <c r="F3844" t="n">
        <v>1.47</v>
      </c>
      <c r="G3844" t="inlineStr">
        <is>
          <t>x</t>
        </is>
      </c>
      <c r="H3844" t="n">
        <v>3</v>
      </c>
      <c r="I3844" t="inlineStr">
        <is>
          <t>Rasio Lancar 1,47 (2022 restated)</t>
        </is>
      </c>
      <c r="J3844" t="inlineStr">
        <is>
          <t>High</t>
        </is>
      </c>
      <c r="M3844" t="inlineStr">
        <is>
          <t>LLM</t>
        </is>
      </c>
      <c r="N3844" t="inlineStr">
        <is>
          <t>2026-04-19</t>
        </is>
      </c>
      <c r="O3844" t="inlineStr">
        <is>
          <t>AI</t>
        </is>
      </c>
    </row>
    <row r="3845">
      <c r="A3845" t="inlineStr">
        <is>
          <t>PT Pradiksi Gunatama Tbk</t>
        </is>
      </c>
      <c r="B3845" t="inlineStr">
        <is>
          <t>PGUN_2022_AR.pdf</t>
        </is>
      </c>
      <c r="C3845" t="n">
        <v>2022</v>
      </c>
      <c r="D3845" t="inlineStr">
        <is>
          <t>Financial</t>
        </is>
      </c>
      <c r="E3845" t="inlineStr">
        <is>
          <t>Liability/Equity</t>
        </is>
      </c>
      <c r="F3845" t="n">
        <v>0.64</v>
      </c>
      <c r="G3845" t="inlineStr">
        <is>
          <t>x</t>
        </is>
      </c>
      <c r="H3845" t="n">
        <v>3</v>
      </c>
      <c r="I3845" t="inlineStr">
        <is>
          <t>Rasio Liabilitas terhadap Ekuitas 0,64</t>
        </is>
      </c>
      <c r="J3845" t="inlineStr">
        <is>
          <t>High</t>
        </is>
      </c>
      <c r="M3845" t="inlineStr">
        <is>
          <t>LLM</t>
        </is>
      </c>
      <c r="N3845" t="inlineStr">
        <is>
          <t>2026-04-19</t>
        </is>
      </c>
      <c r="O3845" t="inlineStr">
        <is>
          <t>AI</t>
        </is>
      </c>
    </row>
    <row r="3846">
      <c r="A3846" t="inlineStr">
        <is>
          <t>PT Pradiksi Gunatama Tbk</t>
        </is>
      </c>
      <c r="B3846" t="inlineStr">
        <is>
          <t>PGUN_2022_AR.pdf</t>
        </is>
      </c>
      <c r="C3846" t="n">
        <v>2022</v>
      </c>
      <c r="D3846" t="inlineStr">
        <is>
          <t>Asset</t>
        </is>
      </c>
      <c r="E3846" t="inlineStr">
        <is>
          <t>Total Planted Area (post-merger)</t>
        </is>
      </c>
      <c r="F3846" t="n">
        <v>20267</v>
      </c>
      <c r="G3846" t="inlineStr">
        <is>
          <t>ha</t>
        </is>
      </c>
      <c r="H3846" t="n">
        <v>14</v>
      </c>
      <c r="I3846" t="inlineStr">
        <is>
          <t>luas lahan Perseroan di tahun 2022 bertambah menjadi sebesar 38,991 Ha, dengan luas tertanam sebesar 20,267 Ha (per management discussion)</t>
        </is>
      </c>
      <c r="J3846" t="inlineStr">
        <is>
          <t>High</t>
        </is>
      </c>
      <c r="M3846" t="inlineStr">
        <is>
          <t>LLM</t>
        </is>
      </c>
      <c r="N3846" t="inlineStr">
        <is>
          <t>2026-04-19</t>
        </is>
      </c>
      <c r="O3846" t="inlineStr">
        <is>
          <t>AI</t>
        </is>
      </c>
    </row>
    <row r="3847">
      <c r="A3847" t="inlineStr">
        <is>
          <t>PT Pradiksi Gunatama Tbk</t>
        </is>
      </c>
      <c r="B3847" t="inlineStr">
        <is>
          <t>PGUN_2022_AR.pdf</t>
        </is>
      </c>
      <c r="C3847" t="n">
        <v>2022</v>
      </c>
      <c r="D3847" t="inlineStr">
        <is>
          <t>Asset</t>
        </is>
      </c>
      <c r="E3847" t="inlineStr">
        <is>
          <t>Total Planted (alt disclosure)</t>
        </is>
      </c>
      <c r="F3847" t="n">
        <v>19417</v>
      </c>
      <c r="G3847" t="inlineStr">
        <is>
          <t>ha</t>
        </is>
      </c>
      <c r="H3847" t="n">
        <v>16</v>
      </c>
      <c r="I3847" t="inlineStr">
        <is>
          <t>luas tertanam sebesar 19.417 Ha (another disclosure)</t>
        </is>
      </c>
      <c r="J3847" t="inlineStr">
        <is>
          <t>Medium</t>
        </is>
      </c>
      <c r="M3847" t="inlineStr">
        <is>
          <t>LLM</t>
        </is>
      </c>
      <c r="N3847" t="inlineStr">
        <is>
          <t>2026-04-19</t>
        </is>
      </c>
      <c r="O3847" t="inlineStr">
        <is>
          <t>AI</t>
        </is>
      </c>
    </row>
    <row r="3848">
      <c r="A3848" t="inlineStr">
        <is>
          <t>PT Pradiksi Gunatama Tbk</t>
        </is>
      </c>
      <c r="B3848" t="inlineStr">
        <is>
          <t>PGUN_2022_AR.pdf</t>
        </is>
      </c>
      <c r="C3848" t="n">
        <v>2022</v>
      </c>
      <c r="D3848" t="inlineStr">
        <is>
          <t>Asset</t>
        </is>
      </c>
      <c r="E3848" t="inlineStr">
        <is>
          <t>HGU Area (post-merger)</t>
        </is>
      </c>
      <c r="F3848" t="n">
        <v>38991</v>
      </c>
      <c r="G3848" t="inlineStr">
        <is>
          <t>ha</t>
        </is>
      </c>
      <c r="H3848" t="n">
        <v>14</v>
      </c>
      <c r="I3848" t="inlineStr">
        <is>
          <t>luas lahan 38,991 Ha (after Senabangun merger adding 16,404 ha)</t>
        </is>
      </c>
      <c r="J3848" t="inlineStr">
        <is>
          <t>High</t>
        </is>
      </c>
      <c r="M3848" t="inlineStr">
        <is>
          <t>LLM</t>
        </is>
      </c>
      <c r="N3848" t="inlineStr">
        <is>
          <t>2026-04-19</t>
        </is>
      </c>
      <c r="O3848" t="inlineStr">
        <is>
          <t>AI</t>
        </is>
      </c>
    </row>
    <row r="3849">
      <c r="A3849" t="inlineStr">
        <is>
          <t>PT Pradiksi Gunatama Tbk</t>
        </is>
      </c>
      <c r="B3849" t="inlineStr">
        <is>
          <t>PGUN_2022_AR.pdf</t>
        </is>
      </c>
      <c r="C3849" t="n">
        <v>2022</v>
      </c>
      <c r="D3849" t="inlineStr">
        <is>
          <t>Asset</t>
        </is>
      </c>
      <c r="E3849" t="inlineStr">
        <is>
          <t>Palm Oil Mill Count</t>
        </is>
      </c>
      <c r="F3849" t="n">
        <v>1</v>
      </c>
      <c r="G3849" t="inlineStr">
        <is>
          <t>count</t>
        </is>
      </c>
      <c r="H3849" t="n">
        <v>73</v>
      </c>
      <c r="I3849" t="inlineStr">
        <is>
          <t>Company has a Palm Oil Mill (PKS) which has been operating since August 2019</t>
        </is>
      </c>
      <c r="J3849" t="inlineStr">
        <is>
          <t>High</t>
        </is>
      </c>
      <c r="M3849" t="inlineStr">
        <is>
          <t>LLM</t>
        </is>
      </c>
      <c r="N3849" t="inlineStr">
        <is>
          <t>2026-04-19</t>
        </is>
      </c>
      <c r="O3849" t="inlineStr">
        <is>
          <t>AI</t>
        </is>
      </c>
    </row>
    <row r="3850">
      <c r="A3850" t="inlineStr">
        <is>
          <t>PT Pradiksi Gunatama Tbk</t>
        </is>
      </c>
      <c r="B3850" t="inlineStr">
        <is>
          <t>PGUN_2022_AR.pdf</t>
        </is>
      </c>
      <c r="C3850" t="n">
        <v>2022</v>
      </c>
      <c r="D3850" t="inlineStr">
        <is>
          <t>Asset</t>
        </is>
      </c>
      <c r="E3850" t="inlineStr">
        <is>
          <t>Mill Capacity (2022)</t>
        </is>
      </c>
      <c r="F3850" t="n">
        <v>60</v>
      </c>
      <c r="G3850" t="inlineStr">
        <is>
          <t>tph</t>
        </is>
      </c>
      <c r="H3850" t="n">
        <v>73</v>
      </c>
      <c r="I3850" t="inlineStr">
        <is>
          <t>kapasitas 60 ton per jam yang dapat ditingkatkan hingga 90 ton/jam (upgrade scheduled mid-2023)</t>
        </is>
      </c>
      <c r="J3850" t="inlineStr">
        <is>
          <t>High</t>
        </is>
      </c>
      <c r="M3850" t="inlineStr">
        <is>
          <t>LLM</t>
        </is>
      </c>
      <c r="N3850" t="inlineStr">
        <is>
          <t>2026-04-19</t>
        </is>
      </c>
      <c r="O3850" t="inlineStr">
        <is>
          <t>AI</t>
        </is>
      </c>
    </row>
    <row r="3851">
      <c r="A3851" t="inlineStr">
        <is>
          <t>PT Pradiksi Gunatama Tbk</t>
        </is>
      </c>
      <c r="B3851" t="inlineStr">
        <is>
          <t>PGUN_2022_AR.pdf</t>
        </is>
      </c>
      <c r="C3851" t="n">
        <v>2022</v>
      </c>
      <c r="D3851" t="inlineStr">
        <is>
          <t>Operation</t>
        </is>
      </c>
      <c r="E3851" t="inlineStr">
        <is>
          <t>FFB Production 2022</t>
        </is>
      </c>
      <c r="F3851" t="n">
        <v>243726</v>
      </c>
      <c r="G3851" t="inlineStr">
        <is>
          <t>t</t>
        </is>
      </c>
      <c r="H3851" t="n">
        <v>13</v>
      </c>
      <c r="I3851" t="inlineStr">
        <is>
          <t>pencapaian produksi TBS 107% dari target 228,268 ton, hasil 243,726 ton</t>
        </is>
      </c>
      <c r="J3851" t="inlineStr">
        <is>
          <t>High</t>
        </is>
      </c>
      <c r="M3851" t="inlineStr">
        <is>
          <t>LLM</t>
        </is>
      </c>
      <c r="N3851" t="inlineStr">
        <is>
          <t>2026-04-19</t>
        </is>
      </c>
      <c r="O3851" t="inlineStr">
        <is>
          <t>AI</t>
        </is>
      </c>
    </row>
    <row r="3852">
      <c r="A3852" t="inlineStr">
        <is>
          <t>PT Pradiksi Gunatama Tbk</t>
        </is>
      </c>
      <c r="B3852" t="inlineStr">
        <is>
          <t>PGUN_2022_AR.pdf</t>
        </is>
      </c>
      <c r="C3852" t="n">
        <v>2022</v>
      </c>
      <c r="D3852" t="inlineStr">
        <is>
          <t>Operation</t>
        </is>
      </c>
      <c r="E3852" t="inlineStr">
        <is>
          <t>CPO Production 2022</t>
        </is>
      </c>
      <c r="F3852" t="n">
        <v>72118</v>
      </c>
      <c r="G3852" t="inlineStr">
        <is>
          <t>t</t>
        </is>
      </c>
      <c r="H3852" t="n">
        <v>13</v>
      </c>
      <c r="I3852" t="inlineStr">
        <is>
          <t>CPO 102% dari target 70,923 Ton, tercapai 72,118 ton</t>
        </is>
      </c>
      <c r="J3852" t="inlineStr">
        <is>
          <t>High</t>
        </is>
      </c>
      <c r="M3852" t="inlineStr">
        <is>
          <t>LLM</t>
        </is>
      </c>
      <c r="N3852" t="inlineStr">
        <is>
          <t>2026-04-19</t>
        </is>
      </c>
      <c r="O3852" t="inlineStr">
        <is>
          <t>AI</t>
        </is>
      </c>
    </row>
    <row r="3853">
      <c r="A3853" t="inlineStr">
        <is>
          <t>PT Pradiksi Gunatama Tbk</t>
        </is>
      </c>
      <c r="B3853" t="inlineStr">
        <is>
          <t>PGUN_2022_AR.pdf</t>
        </is>
      </c>
      <c r="C3853" t="n">
        <v>2022</v>
      </c>
      <c r="D3853" t="inlineStr">
        <is>
          <t>Operation</t>
        </is>
      </c>
      <c r="E3853" t="inlineStr">
        <is>
          <t>Kernel Production (sum 2022)</t>
        </is>
      </c>
      <c r="F3853" t="n">
        <v>12856</v>
      </c>
      <c r="G3853" t="inlineStr">
        <is>
          <t>t</t>
        </is>
      </c>
      <c r="H3853" t="n">
        <v>73</v>
      </c>
      <c r="I3853" t="inlineStr">
        <is>
          <t>Monthly Kernel 2022 sum: 875+965+1144+1216+1216+1204+983+1070+1072+984+1048+1080 = 12,856 MT</t>
        </is>
      </c>
      <c r="J3853" t="inlineStr">
        <is>
          <t>Medium</t>
        </is>
      </c>
      <c r="M3853" t="inlineStr">
        <is>
          <t>LLM</t>
        </is>
      </c>
      <c r="N3853" t="inlineStr">
        <is>
          <t>2026-04-19</t>
        </is>
      </c>
      <c r="O3853" t="inlineStr">
        <is>
          <t>AI</t>
        </is>
      </c>
    </row>
    <row r="3854">
      <c r="A3854" t="inlineStr">
        <is>
          <t>PT Pradiksi Gunatama Tbk</t>
        </is>
      </c>
      <c r="B3854" t="inlineStr">
        <is>
          <t>PGUN_2022_AR.pdf</t>
        </is>
      </c>
      <c r="C3854" t="n">
        <v>2022</v>
      </c>
      <c r="D3854" t="inlineStr">
        <is>
          <t>Operation</t>
        </is>
      </c>
      <c r="E3854" t="inlineStr">
        <is>
          <t>Daily FFB Processing</t>
        </is>
      </c>
      <c r="F3854" t="n">
        <v>962</v>
      </c>
      <c r="G3854" t="inlineStr">
        <is>
          <t>t/day</t>
        </is>
      </c>
      <c r="H3854" t="n">
        <v>73</v>
      </c>
      <c r="I3854" t="inlineStr">
        <is>
          <t>Selama tahun 2022, Perseroan mampu mengolah 962 ton Tandan Buah Segar perhari</t>
        </is>
      </c>
      <c r="J3854" t="inlineStr">
        <is>
          <t>High</t>
        </is>
      </c>
      <c r="M3854" t="inlineStr">
        <is>
          <t>LLM</t>
        </is>
      </c>
      <c r="N3854" t="inlineStr">
        <is>
          <t>2026-04-19</t>
        </is>
      </c>
      <c r="O3854" t="inlineStr">
        <is>
          <t>AI</t>
        </is>
      </c>
    </row>
    <row r="3855">
      <c r="A3855" t="inlineStr">
        <is>
          <t>PT Pradiksi Gunatama Tbk</t>
        </is>
      </c>
      <c r="B3855" t="inlineStr">
        <is>
          <t>PGUN_2022_AR.pdf</t>
        </is>
      </c>
      <c r="C3855" t="n">
        <v>2022</v>
      </c>
      <c r="D3855" t="inlineStr">
        <is>
          <t>Operation</t>
        </is>
      </c>
      <c r="E3855" t="inlineStr">
        <is>
          <t>Revenue from CPO+Kernel</t>
        </is>
      </c>
      <c r="F3855" t="n">
        <v>1007.31</v>
      </c>
      <c r="G3855" t="inlineStr">
        <is>
          <t>IDR bn</t>
        </is>
      </c>
      <c r="H3855" t="n">
        <v>73</v>
      </c>
      <c r="I3855" t="inlineStr">
        <is>
          <t>Untuk penjualan CPO dan Kernel selama tahun 2022 diperoleh pendapatan sebesar Rp 1,007,305,060,864</t>
        </is>
      </c>
      <c r="J3855" t="inlineStr">
        <is>
          <t>High</t>
        </is>
      </c>
      <c r="M3855" t="inlineStr">
        <is>
          <t>LLM</t>
        </is>
      </c>
      <c r="N3855" t="inlineStr">
        <is>
          <t>2026-04-19</t>
        </is>
      </c>
      <c r="O3855" t="inlineStr">
        <is>
          <t>AI</t>
        </is>
      </c>
    </row>
    <row r="3856">
      <c r="A3856" t="inlineStr">
        <is>
          <t>PT Pradiksi Gunatama Tbk</t>
        </is>
      </c>
      <c r="B3856" t="inlineStr">
        <is>
          <t>PGUN_2022_AR.pdf</t>
        </is>
      </c>
      <c r="C3856" t="n">
        <v>2022</v>
      </c>
      <c r="D3856" t="inlineStr">
        <is>
          <t>Operation</t>
        </is>
      </c>
      <c r="E3856" t="inlineStr">
        <is>
          <t>CPO price start of 2022</t>
        </is>
      </c>
      <c r="F3856" t="n">
        <v>13420</v>
      </c>
      <c r="G3856" t="inlineStr">
        <is>
          <t>Rp/kg</t>
        </is>
      </c>
      <c r="H3856" t="n">
        <v>14</v>
      </c>
      <c r="I3856" t="inlineStr">
        <is>
          <t>Pada awal tahun 2022 Perseroan membuka kontrak penjualan CPO di harga Rp 13.420/Kg</t>
        </is>
      </c>
      <c r="J3856" t="inlineStr">
        <is>
          <t>High</t>
        </is>
      </c>
      <c r="M3856" t="inlineStr">
        <is>
          <t>LLM</t>
        </is>
      </c>
      <c r="N3856" t="inlineStr">
        <is>
          <t>2026-04-19</t>
        </is>
      </c>
      <c r="O3856" t="inlineStr">
        <is>
          <t>AI</t>
        </is>
      </c>
    </row>
    <row r="3857">
      <c r="A3857" t="inlineStr">
        <is>
          <t>PT Pradiksi Gunatama Tbk</t>
        </is>
      </c>
      <c r="B3857" t="inlineStr">
        <is>
          <t>PGUN_2022_AR.pdf</t>
        </is>
      </c>
      <c r="C3857" t="n">
        <v>2022</v>
      </c>
      <c r="D3857" t="inlineStr">
        <is>
          <t>Operation</t>
        </is>
      </c>
      <c r="E3857" t="inlineStr">
        <is>
          <t>CPO price end of 2022</t>
        </is>
      </c>
      <c r="F3857" t="n">
        <v>12159</v>
      </c>
      <c r="G3857" t="inlineStr">
        <is>
          <t>Rp/kg</t>
        </is>
      </c>
      <c r="H3857" t="n">
        <v>14</v>
      </c>
      <c r="I3857" t="inlineStr">
        <is>
          <t>diakhir tahun 2022, Perseroan membuka kontrak penjualan CPO di harga Rp 12.159/kg</t>
        </is>
      </c>
      <c r="J3857" t="inlineStr">
        <is>
          <t>High</t>
        </is>
      </c>
      <c r="M3857" t="inlineStr">
        <is>
          <t>LLM</t>
        </is>
      </c>
      <c r="N3857" t="inlineStr">
        <is>
          <t>2026-04-19</t>
        </is>
      </c>
      <c r="O3857" t="inlineStr">
        <is>
          <t>AI</t>
        </is>
      </c>
    </row>
    <row r="3858">
      <c r="A3858" t="inlineStr">
        <is>
          <t>PT Pradiksi Gunatama Tbk</t>
        </is>
      </c>
      <c r="B3858" t="inlineStr">
        <is>
          <t>PGUN_2022_AR.pdf</t>
        </is>
      </c>
      <c r="C3858" t="n">
        <v>2022</v>
      </c>
      <c r="D3858" t="inlineStr">
        <is>
          <t>Operation</t>
        </is>
      </c>
      <c r="E3858" t="inlineStr">
        <is>
          <t>CPO + Kernel Revenue 2022 mention</t>
        </is>
      </c>
      <c r="F3858" t="inlineStr">
        <is>
          <t>Rp1,205.28 bn target for 2023</t>
        </is>
      </c>
      <c r="G3858" t="inlineStr">
        <is>
          <t>IDR bn</t>
        </is>
      </c>
      <c r="H3858" t="n">
        <v>0</v>
      </c>
      <c r="I3858" t="inlineStr">
        <is>
          <t>Struktur Modal target</t>
        </is>
      </c>
      <c r="J3858" t="inlineStr">
        <is>
          <t>Low</t>
        </is>
      </c>
      <c r="M3858" t="inlineStr">
        <is>
          <t>LLM</t>
        </is>
      </c>
      <c r="N3858" t="inlineStr">
        <is>
          <t>2026-04-19</t>
        </is>
      </c>
      <c r="O3858" t="inlineStr">
        <is>
          <t>AI</t>
        </is>
      </c>
    </row>
    <row r="3859">
      <c r="A3859" t="inlineStr">
        <is>
          <t>PT Pradiksi Gunatama Tbk</t>
        </is>
      </c>
      <c r="B3859" t="inlineStr">
        <is>
          <t>PGUN_2022_AR.pdf</t>
        </is>
      </c>
      <c r="C3859" t="n">
        <v>2022</v>
      </c>
      <c r="D3859" t="inlineStr">
        <is>
          <t>Company</t>
        </is>
      </c>
      <c r="E3859" t="inlineStr">
        <is>
          <t>Related Party: Sales to JARR (affiliate)</t>
        </is>
      </c>
      <c r="F3859" t="inlineStr">
        <is>
          <t>Yes</t>
        </is>
      </c>
      <c r="G3859" t="inlineStr">
        <is>
          <t>text</t>
        </is>
      </c>
      <c r="H3859" t="n">
        <v>0</v>
      </c>
      <c r="I3859" t="inlineStr">
        <is>
          <t>Perseroan menjual CPO kepada PT Jhonlin Agro Raya Tbk (JARR) afiliasi</t>
        </is>
      </c>
      <c r="J3859" t="inlineStr">
        <is>
          <t>High</t>
        </is>
      </c>
      <c r="M3859" t="inlineStr">
        <is>
          <t>LLM</t>
        </is>
      </c>
      <c r="N3859" t="inlineStr">
        <is>
          <t>2026-04-19</t>
        </is>
      </c>
      <c r="O3859" t="inlineStr">
        <is>
          <t>AI</t>
        </is>
      </c>
    </row>
    <row r="3860">
      <c r="A3860" t="inlineStr">
        <is>
          <t>PT Pradiksi Gunatama Tbk</t>
        </is>
      </c>
      <c r="B3860" t="inlineStr">
        <is>
          <t>PGUN_2022_AR.pdf</t>
        </is>
      </c>
      <c r="C3860" t="n">
        <v>2022</v>
      </c>
      <c r="D3860" t="inlineStr">
        <is>
          <t>Company</t>
        </is>
      </c>
      <c r="E3860" t="inlineStr">
        <is>
          <t>Related Party: Sales to Kodeco</t>
        </is>
      </c>
      <c r="F3860" t="inlineStr">
        <is>
          <t>Yes</t>
        </is>
      </c>
      <c r="G3860" t="inlineStr">
        <is>
          <t>text</t>
        </is>
      </c>
      <c r="H3860" t="n">
        <v>0</v>
      </c>
      <c r="I3860" t="inlineStr">
        <is>
          <t>menjual Kernel kepada PT Kodeco Agrojaya Mandiri</t>
        </is>
      </c>
      <c r="J3860" t="inlineStr">
        <is>
          <t>High</t>
        </is>
      </c>
      <c r="M3860" t="inlineStr">
        <is>
          <t>LLM</t>
        </is>
      </c>
      <c r="N3860" t="inlineStr">
        <is>
          <t>2026-04-19</t>
        </is>
      </c>
      <c r="O3860" t="inlineStr">
        <is>
          <t>AI</t>
        </is>
      </c>
    </row>
    <row r="3861">
      <c r="A3861" t="inlineStr">
        <is>
          <t>PT Pradiksi Gunatama Tbk</t>
        </is>
      </c>
      <c r="B3861" t="inlineStr">
        <is>
          <t>PGUN_2023_AR.pdf</t>
        </is>
      </c>
      <c r="C3861" t="n">
        <v>2023</v>
      </c>
      <c r="D3861" t="inlineStr">
        <is>
          <t>Company</t>
        </is>
      </c>
      <c r="E3861" t="inlineStr">
        <is>
          <t>Company Name</t>
        </is>
      </c>
      <c r="F3861" t="inlineStr">
        <is>
          <t>PT Pradiksi Gunatama Tbk</t>
        </is>
      </c>
      <c r="G3861" t="inlineStr">
        <is>
          <t>text</t>
        </is>
      </c>
      <c r="H3861" t="n">
        <v>3</v>
      </c>
      <c r="I3861" t="inlineStr">
        <is>
          <t>LAPORAN TAHUNAN 2023 ANNUAL REPORT - PT PRADIKSI GUNATAMA TBK</t>
        </is>
      </c>
      <c r="J3861" t="inlineStr">
        <is>
          <t>High</t>
        </is>
      </c>
      <c r="M3861" t="inlineStr">
        <is>
          <t>LLM</t>
        </is>
      </c>
      <c r="N3861" t="inlineStr">
        <is>
          <t>2026-04-19</t>
        </is>
      </c>
      <c r="O3861" t="inlineStr">
        <is>
          <t>AI</t>
        </is>
      </c>
    </row>
    <row r="3862">
      <c r="A3862" t="inlineStr">
        <is>
          <t>PT Pradiksi Gunatama Tbk</t>
        </is>
      </c>
      <c r="B3862" t="inlineStr">
        <is>
          <t>PGUN_2023_AR.pdf</t>
        </is>
      </c>
      <c r="C3862" t="n">
        <v>2023</v>
      </c>
      <c r="D3862" t="inlineStr">
        <is>
          <t>Company</t>
        </is>
      </c>
      <c r="E3862" t="inlineStr">
        <is>
          <t>Head Office</t>
        </is>
      </c>
      <c r="F3862" t="inlineStr">
        <is>
          <t>Jl. Negara Km. 44 Batu Engau, Paser, East Kalimantan</t>
        </is>
      </c>
      <c r="G3862" t="inlineStr">
        <is>
          <t>text</t>
        </is>
      </c>
      <c r="H3862" t="n">
        <v>23</v>
      </c>
      <c r="I3862" t="inlineStr">
        <is>
          <t>Alamat Kantor Jl. Negara Km. 44 kecamatan Batu Engau, Kabupaten Paser, Provinsi Kalimantan Timur</t>
        </is>
      </c>
      <c r="J3862" t="inlineStr">
        <is>
          <t>High</t>
        </is>
      </c>
      <c r="M3862" t="inlineStr">
        <is>
          <t>LLM</t>
        </is>
      </c>
      <c r="N3862" t="inlineStr">
        <is>
          <t>2026-04-19</t>
        </is>
      </c>
      <c r="O3862" t="inlineStr">
        <is>
          <t>AI</t>
        </is>
      </c>
    </row>
    <row r="3863">
      <c r="A3863" t="inlineStr">
        <is>
          <t>PT Pradiksi Gunatama Tbk</t>
        </is>
      </c>
      <c r="B3863" t="inlineStr">
        <is>
          <t>PGUN_2023_AR.pdf</t>
        </is>
      </c>
      <c r="C3863" t="n">
        <v>2023</v>
      </c>
      <c r="D3863" t="inlineStr">
        <is>
          <t>Company</t>
        </is>
      </c>
      <c r="E3863" t="inlineStr">
        <is>
          <t>Controlling Shareholder 1</t>
        </is>
      </c>
      <c r="F3863" t="inlineStr">
        <is>
          <t>PT Araya Agro Lestari 38.44%</t>
        </is>
      </c>
      <c r="G3863" t="inlineStr">
        <is>
          <t>%</t>
        </is>
      </c>
      <c r="H3863" t="n">
        <v>44</v>
      </c>
      <c r="I3863" t="inlineStr">
        <is>
          <t>PT Araya Agro Lestari 2.205.667.896 38,44% Pengendali (per 31 Dec 2023)</t>
        </is>
      </c>
      <c r="J3863" t="inlineStr">
        <is>
          <t>High</t>
        </is>
      </c>
      <c r="M3863" t="inlineStr">
        <is>
          <t>LLM</t>
        </is>
      </c>
      <c r="N3863" t="inlineStr">
        <is>
          <t>2026-04-19</t>
        </is>
      </c>
      <c r="O3863" t="inlineStr">
        <is>
          <t>AI</t>
        </is>
      </c>
    </row>
    <row r="3864">
      <c r="A3864" t="inlineStr">
        <is>
          <t>PT Pradiksi Gunatama Tbk</t>
        </is>
      </c>
      <c r="B3864" t="inlineStr">
        <is>
          <t>PGUN_2023_AR.pdf</t>
        </is>
      </c>
      <c r="C3864" t="n">
        <v>2023</v>
      </c>
      <c r="D3864" t="inlineStr">
        <is>
          <t>Company</t>
        </is>
      </c>
      <c r="E3864" t="inlineStr">
        <is>
          <t>Controlling Shareholder 2</t>
        </is>
      </c>
      <c r="F3864" t="inlineStr">
        <is>
          <t>PT Citra Agro Raya 38.25%</t>
        </is>
      </c>
      <c r="G3864" t="inlineStr">
        <is>
          <t>%</t>
        </is>
      </c>
      <c r="H3864" t="n">
        <v>44</v>
      </c>
      <c r="I3864" t="inlineStr">
        <is>
          <t>PT Citra Agro Raya 2.194.718.786 38,25% Pengendali</t>
        </is>
      </c>
      <c r="J3864" t="inlineStr">
        <is>
          <t>High</t>
        </is>
      </c>
      <c r="M3864" t="inlineStr">
        <is>
          <t>LLM</t>
        </is>
      </c>
      <c r="N3864" t="inlineStr">
        <is>
          <t>2026-04-19</t>
        </is>
      </c>
      <c r="O3864" t="inlineStr">
        <is>
          <t>AI</t>
        </is>
      </c>
    </row>
    <row r="3865">
      <c r="A3865" t="inlineStr">
        <is>
          <t>PT Pradiksi Gunatama Tbk</t>
        </is>
      </c>
      <c r="B3865" t="inlineStr">
        <is>
          <t>PGUN_2023_AR.pdf</t>
        </is>
      </c>
      <c r="C3865" t="n">
        <v>2023</v>
      </c>
      <c r="D3865" t="inlineStr">
        <is>
          <t>Company</t>
        </is>
      </c>
      <c r="E3865" t="inlineStr">
        <is>
          <t>Major Shareholder 3</t>
        </is>
      </c>
      <c r="F3865" t="inlineStr">
        <is>
          <t>PT Baramega Citra Mulia Persada 16.88%</t>
        </is>
      </c>
      <c r="G3865" t="inlineStr">
        <is>
          <t>%</t>
        </is>
      </c>
      <c r="H3865" t="n">
        <v>44</v>
      </c>
      <c r="I3865" t="inlineStr">
        <is>
          <t>PT Baramega Citra Mulia Persada 968.262.500 16,88%</t>
        </is>
      </c>
      <c r="J3865" t="inlineStr">
        <is>
          <t>High</t>
        </is>
      </c>
      <c r="M3865" t="inlineStr">
        <is>
          <t>LLM</t>
        </is>
      </c>
      <c r="N3865" t="inlineStr">
        <is>
          <t>2026-04-19</t>
        </is>
      </c>
      <c r="O3865" t="inlineStr">
        <is>
          <t>AI</t>
        </is>
      </c>
    </row>
    <row r="3866">
      <c r="A3866" t="inlineStr">
        <is>
          <t>PT Pradiksi Gunatama Tbk</t>
        </is>
      </c>
      <c r="B3866" t="inlineStr">
        <is>
          <t>PGUN_2023_AR.pdf</t>
        </is>
      </c>
      <c r="C3866" t="n">
        <v>2023</v>
      </c>
      <c r="D3866" t="inlineStr">
        <is>
          <t>Company</t>
        </is>
      </c>
      <c r="E3866" t="inlineStr">
        <is>
          <t>Public Float</t>
        </is>
      </c>
      <c r="F3866" t="n">
        <v>0.0643</v>
      </c>
      <c r="G3866" t="inlineStr">
        <is>
          <t>%</t>
        </is>
      </c>
      <c r="H3866" t="n">
        <v>45</v>
      </c>
      <c r="I3866" t="inlineStr">
        <is>
          <t>Masyarakat 369,199,700 shares 6.43% (per 31 Dec 2023)</t>
        </is>
      </c>
      <c r="J3866" t="inlineStr">
        <is>
          <t>High</t>
        </is>
      </c>
      <c r="M3866" t="inlineStr">
        <is>
          <t>LLM</t>
        </is>
      </c>
      <c r="N3866" t="inlineStr">
        <is>
          <t>2026-04-19</t>
        </is>
      </c>
      <c r="O3866" t="inlineStr">
        <is>
          <t>AI</t>
        </is>
      </c>
    </row>
    <row r="3867">
      <c r="A3867" t="inlineStr">
        <is>
          <t>PT Pradiksi Gunatama Tbk</t>
        </is>
      </c>
      <c r="B3867" t="inlineStr">
        <is>
          <t>PGUN_2023_AR.pdf</t>
        </is>
      </c>
      <c r="C3867" t="n">
        <v>2023</v>
      </c>
      <c r="D3867" t="inlineStr">
        <is>
          <t>Company</t>
        </is>
      </c>
      <c r="E3867" t="inlineStr">
        <is>
          <t>Ultimate Beneficial Owner</t>
        </is>
      </c>
      <c r="F3867" t="inlineStr">
        <is>
          <t>Liana Saputri &amp; Jhoni Saputra (each 50% of each parent)</t>
        </is>
      </c>
      <c r="G3867" t="inlineStr">
        <is>
          <t>text</t>
        </is>
      </c>
      <c r="H3867" t="n">
        <v>46</v>
      </c>
      <c r="I3867" t="inlineStr">
        <is>
          <t>Skema Pemegang Saham: Liana Saputri 50% Jhoni Saputra 50% (in each of Citra Agro Raya and Araya Agro Lestari)</t>
        </is>
      </c>
      <c r="J3867" t="inlineStr">
        <is>
          <t>High</t>
        </is>
      </c>
      <c r="M3867" t="inlineStr">
        <is>
          <t>LLM</t>
        </is>
      </c>
      <c r="N3867" t="inlineStr">
        <is>
          <t>2026-04-19</t>
        </is>
      </c>
      <c r="O3867" t="inlineStr">
        <is>
          <t>AI</t>
        </is>
      </c>
    </row>
    <row r="3868">
      <c r="A3868" t="inlineStr">
        <is>
          <t>PT Pradiksi Gunatama Tbk</t>
        </is>
      </c>
      <c r="B3868" t="inlineStr">
        <is>
          <t>PGUN_2023_AR.pdf</t>
        </is>
      </c>
      <c r="C3868" t="n">
        <v>2023</v>
      </c>
      <c r="D3868" t="inlineStr">
        <is>
          <t>Company</t>
        </is>
      </c>
      <c r="E3868" t="inlineStr">
        <is>
          <t>Auditor</t>
        </is>
      </c>
      <c r="F3868" t="inlineStr">
        <is>
          <t>KAP Kanaka Puradiredja Suhartono</t>
        </is>
      </c>
      <c r="G3868" t="inlineStr">
        <is>
          <t>text</t>
        </is>
      </c>
      <c r="H3868" t="n">
        <v>3</v>
      </c>
      <c r="I3868" t="inlineStr">
        <is>
          <t>diaudit oleh Kantor Akuntan Publik Kanaka Puradiredja Suhartono, ditandatangani oleh Aris Suryanta</t>
        </is>
      </c>
      <c r="J3868" t="inlineStr">
        <is>
          <t>High</t>
        </is>
      </c>
      <c r="M3868" t="inlineStr">
        <is>
          <t>LLM</t>
        </is>
      </c>
      <c r="N3868" t="inlineStr">
        <is>
          <t>2026-04-19</t>
        </is>
      </c>
      <c r="O3868" t="inlineStr">
        <is>
          <t>AI</t>
        </is>
      </c>
    </row>
    <row r="3869">
      <c r="A3869" t="inlineStr">
        <is>
          <t>PT Pradiksi Gunatama Tbk</t>
        </is>
      </c>
      <c r="B3869" t="inlineStr">
        <is>
          <t>PGUN_2023_AR.pdf</t>
        </is>
      </c>
      <c r="C3869" t="n">
        <v>2023</v>
      </c>
      <c r="D3869" t="inlineStr">
        <is>
          <t>Company</t>
        </is>
      </c>
      <c r="E3869" t="inlineStr">
        <is>
          <t>President Director</t>
        </is>
      </c>
      <c r="F3869" t="inlineStr">
        <is>
          <t>Jooyoung Lee</t>
        </is>
      </c>
      <c r="G3869" t="inlineStr">
        <is>
          <t>text</t>
        </is>
      </c>
      <c r="H3869" t="n">
        <v>45</v>
      </c>
      <c r="I3869" t="inlineStr">
        <is>
          <t>Jooyoung Lee Direktur Utama (per 31 Des 2023)</t>
        </is>
      </c>
      <c r="J3869" t="inlineStr">
        <is>
          <t>High</t>
        </is>
      </c>
      <c r="M3869" t="inlineStr">
        <is>
          <t>LLM</t>
        </is>
      </c>
      <c r="N3869" t="inlineStr">
        <is>
          <t>2026-04-19</t>
        </is>
      </c>
      <c r="O3869" t="inlineStr">
        <is>
          <t>AI</t>
        </is>
      </c>
    </row>
    <row r="3870">
      <c r="A3870" t="inlineStr">
        <is>
          <t>PT Pradiksi Gunatama Tbk</t>
        </is>
      </c>
      <c r="B3870" t="inlineStr">
        <is>
          <t>PGUN_2023_AR.pdf</t>
        </is>
      </c>
      <c r="C3870" t="n">
        <v>2023</v>
      </c>
      <c r="D3870" t="inlineStr">
        <is>
          <t>Company</t>
        </is>
      </c>
      <c r="E3870" t="inlineStr">
        <is>
          <t>President Commissioner</t>
        </is>
      </c>
      <c r="F3870" t="inlineStr">
        <is>
          <t>Liana Saputri</t>
        </is>
      </c>
      <c r="G3870" t="inlineStr">
        <is>
          <t>text</t>
        </is>
      </c>
      <c r="H3870" t="n">
        <v>45</v>
      </c>
      <c r="I3870" t="inlineStr">
        <is>
          <t>Liana Saputri Komisaris Utama</t>
        </is>
      </c>
      <c r="J3870" t="inlineStr">
        <is>
          <t>High</t>
        </is>
      </c>
      <c r="M3870" t="inlineStr">
        <is>
          <t>LLM</t>
        </is>
      </c>
      <c r="N3870" t="inlineStr">
        <is>
          <t>2026-04-19</t>
        </is>
      </c>
      <c r="O3870" t="inlineStr">
        <is>
          <t>AI</t>
        </is>
      </c>
    </row>
    <row r="3871">
      <c r="A3871" t="inlineStr">
        <is>
          <t>PT Pradiksi Gunatama Tbk</t>
        </is>
      </c>
      <c r="B3871" t="inlineStr">
        <is>
          <t>PGUN_2023_AR.pdf</t>
        </is>
      </c>
      <c r="C3871" t="n">
        <v>2023</v>
      </c>
      <c r="D3871" t="inlineStr">
        <is>
          <t>Financial</t>
        </is>
      </c>
      <c r="E3871" t="inlineStr">
        <is>
          <t>Revenue (Net Sales)</t>
        </is>
      </c>
      <c r="F3871" t="n">
        <v>868.46</v>
      </c>
      <c r="G3871" t="inlineStr">
        <is>
          <t>IDR bn</t>
        </is>
      </c>
      <c r="H3871" t="n">
        <v>3</v>
      </c>
      <c r="I3871" t="inlineStr">
        <is>
          <t>PENJUALAN BERSIH 868,456,776,538 (2023)</t>
        </is>
      </c>
      <c r="J3871" t="inlineStr">
        <is>
          <t>High</t>
        </is>
      </c>
      <c r="M3871" t="inlineStr">
        <is>
          <t>LLM</t>
        </is>
      </c>
      <c r="N3871" t="inlineStr">
        <is>
          <t>2026-04-19</t>
        </is>
      </c>
      <c r="O3871" t="inlineStr">
        <is>
          <t>AI</t>
        </is>
      </c>
    </row>
    <row r="3872">
      <c r="A3872" t="inlineStr">
        <is>
          <t>PT Pradiksi Gunatama Tbk</t>
        </is>
      </c>
      <c r="B3872" t="inlineStr">
        <is>
          <t>PGUN_2023_AR.pdf</t>
        </is>
      </c>
      <c r="C3872" t="n">
        <v>2023</v>
      </c>
      <c r="D3872" t="inlineStr">
        <is>
          <t>Financial</t>
        </is>
      </c>
      <c r="E3872" t="inlineStr">
        <is>
          <t>Gross Profit</t>
        </is>
      </c>
      <c r="F3872" t="n">
        <v>246.07</v>
      </c>
      <c r="G3872" t="inlineStr">
        <is>
          <t>IDR bn</t>
        </is>
      </c>
      <c r="H3872" t="n">
        <v>3</v>
      </c>
      <c r="I3872" t="inlineStr">
        <is>
          <t>LABA BRUTO 246,074,449,081</t>
        </is>
      </c>
      <c r="J3872" t="inlineStr">
        <is>
          <t>High</t>
        </is>
      </c>
      <c r="M3872" t="inlineStr">
        <is>
          <t>LLM</t>
        </is>
      </c>
      <c r="N3872" t="inlineStr">
        <is>
          <t>2026-04-19</t>
        </is>
      </c>
      <c r="O3872" t="inlineStr">
        <is>
          <t>AI</t>
        </is>
      </c>
    </row>
    <row r="3873">
      <c r="A3873" t="inlineStr">
        <is>
          <t>PT Pradiksi Gunatama Tbk</t>
        </is>
      </c>
      <c r="B3873" t="inlineStr">
        <is>
          <t>PGUN_2023_AR.pdf</t>
        </is>
      </c>
      <c r="C3873" t="n">
        <v>2023</v>
      </c>
      <c r="D3873" t="inlineStr">
        <is>
          <t>Financial</t>
        </is>
      </c>
      <c r="E3873" t="inlineStr">
        <is>
          <t>Operating Profit (EBIT)</t>
        </is>
      </c>
      <c r="F3873" t="n">
        <v>191.94</v>
      </c>
      <c r="G3873" t="inlineStr">
        <is>
          <t>IDR bn</t>
        </is>
      </c>
      <c r="H3873" t="n">
        <v>3</v>
      </c>
      <c r="I3873" t="inlineStr">
        <is>
          <t>LABA USAHA 191,936,350,429</t>
        </is>
      </c>
      <c r="J3873" t="inlineStr">
        <is>
          <t>High</t>
        </is>
      </c>
      <c r="M3873" t="inlineStr">
        <is>
          <t>LLM</t>
        </is>
      </c>
      <c r="N3873" t="inlineStr">
        <is>
          <t>2026-04-19</t>
        </is>
      </c>
      <c r="O3873" t="inlineStr">
        <is>
          <t>AI</t>
        </is>
      </c>
    </row>
    <row r="3874">
      <c r="A3874" t="inlineStr">
        <is>
          <t>PT Pradiksi Gunatama Tbk</t>
        </is>
      </c>
      <c r="B3874" t="inlineStr">
        <is>
          <t>PGUN_2023_AR.pdf</t>
        </is>
      </c>
      <c r="C3874" t="n">
        <v>2023</v>
      </c>
      <c r="D3874" t="inlineStr">
        <is>
          <t>Financial</t>
        </is>
      </c>
      <c r="E3874" t="inlineStr">
        <is>
          <t>Net Profit</t>
        </is>
      </c>
      <c r="F3874" t="n">
        <v>108.06</v>
      </c>
      <c r="G3874" t="inlineStr">
        <is>
          <t>IDR bn</t>
        </is>
      </c>
      <c r="H3874" t="n">
        <v>3</v>
      </c>
      <c r="I3874" t="inlineStr">
        <is>
          <t>LABA BERSIH TAHUN BERJALAN 108,056,587,588</t>
        </is>
      </c>
      <c r="J3874" t="inlineStr">
        <is>
          <t>High</t>
        </is>
      </c>
      <c r="M3874" t="inlineStr">
        <is>
          <t>LLM</t>
        </is>
      </c>
      <c r="N3874" t="inlineStr">
        <is>
          <t>2026-04-19</t>
        </is>
      </c>
      <c r="O3874" t="inlineStr">
        <is>
          <t>AI</t>
        </is>
      </c>
    </row>
    <row r="3875">
      <c r="A3875" t="inlineStr">
        <is>
          <t>PT Pradiksi Gunatama Tbk</t>
        </is>
      </c>
      <c r="B3875" t="inlineStr">
        <is>
          <t>PGUN_2023_AR.pdf</t>
        </is>
      </c>
      <c r="C3875" t="n">
        <v>2023</v>
      </c>
      <c r="D3875" t="inlineStr">
        <is>
          <t>Financial</t>
        </is>
      </c>
      <c r="E3875" t="inlineStr">
        <is>
          <t>Total Comprehensive Income</t>
        </is>
      </c>
      <c r="F3875" t="n">
        <v>196.91</v>
      </c>
      <c r="G3875" t="inlineStr">
        <is>
          <t>IDR bn</t>
        </is>
      </c>
      <c r="H3875" t="n">
        <v>3</v>
      </c>
      <c r="I3875" t="inlineStr">
        <is>
          <t>LABA KOMPREHENSIF TAHUN BERJALAN 196,908,742,054</t>
        </is>
      </c>
      <c r="J3875" t="inlineStr">
        <is>
          <t>High</t>
        </is>
      </c>
      <c r="M3875" t="inlineStr">
        <is>
          <t>LLM</t>
        </is>
      </c>
      <c r="N3875" t="inlineStr">
        <is>
          <t>2026-04-19</t>
        </is>
      </c>
      <c r="O3875" t="inlineStr">
        <is>
          <t>AI</t>
        </is>
      </c>
    </row>
    <row r="3876">
      <c r="A3876" t="inlineStr">
        <is>
          <t>PT Pradiksi Gunatama Tbk</t>
        </is>
      </c>
      <c r="B3876" t="inlineStr">
        <is>
          <t>PGUN_2023_AR.pdf</t>
        </is>
      </c>
      <c r="C3876" t="n">
        <v>2023</v>
      </c>
      <c r="D3876" t="inlineStr">
        <is>
          <t>Financial</t>
        </is>
      </c>
      <c r="E3876" t="inlineStr">
        <is>
          <t>EPS</t>
        </is>
      </c>
      <c r="F3876" t="n">
        <v>18.83</v>
      </c>
      <c r="G3876" t="inlineStr">
        <is>
          <t>Rp/share</t>
        </is>
      </c>
      <c r="H3876" t="n">
        <v>3</v>
      </c>
      <c r="I3876" t="inlineStr">
        <is>
          <t>LABA (RUGI) PER SAHAM 18.83</t>
        </is>
      </c>
      <c r="J3876" t="inlineStr">
        <is>
          <t>High</t>
        </is>
      </c>
      <c r="M3876" t="inlineStr">
        <is>
          <t>LLM</t>
        </is>
      </c>
      <c r="N3876" t="inlineStr">
        <is>
          <t>2026-04-19</t>
        </is>
      </c>
      <c r="O3876" t="inlineStr">
        <is>
          <t>AI</t>
        </is>
      </c>
    </row>
    <row r="3877">
      <c r="A3877" t="inlineStr">
        <is>
          <t>PT Pradiksi Gunatama Tbk</t>
        </is>
      </c>
      <c r="B3877" t="inlineStr">
        <is>
          <t>PGUN_2023_AR.pdf</t>
        </is>
      </c>
      <c r="C3877" t="n">
        <v>2023</v>
      </c>
      <c r="D3877" t="inlineStr">
        <is>
          <t>Financial</t>
        </is>
      </c>
      <c r="E3877" t="inlineStr">
        <is>
          <t>Total Assets</t>
        </is>
      </c>
      <c r="F3877" t="n">
        <v>2591.48</v>
      </c>
      <c r="G3877" t="inlineStr">
        <is>
          <t>IDR bn</t>
        </is>
      </c>
      <c r="H3877" t="n">
        <v>3</v>
      </c>
      <c r="I3877" t="inlineStr">
        <is>
          <t>Jumlah Aset 2,591,476,467,270</t>
        </is>
      </c>
      <c r="J3877" t="inlineStr">
        <is>
          <t>High</t>
        </is>
      </c>
      <c r="M3877" t="inlineStr">
        <is>
          <t>LLM</t>
        </is>
      </c>
      <c r="N3877" t="inlineStr">
        <is>
          <t>2026-04-19</t>
        </is>
      </c>
      <c r="O3877" t="inlineStr">
        <is>
          <t>AI</t>
        </is>
      </c>
    </row>
    <row r="3878">
      <c r="A3878" t="inlineStr">
        <is>
          <t>PT Pradiksi Gunatama Tbk</t>
        </is>
      </c>
      <c r="B3878" t="inlineStr">
        <is>
          <t>PGUN_2023_AR.pdf</t>
        </is>
      </c>
      <c r="C3878" t="n">
        <v>2023</v>
      </c>
      <c r="D3878" t="inlineStr">
        <is>
          <t>Financial</t>
        </is>
      </c>
      <c r="E3878" t="inlineStr">
        <is>
          <t>Current Assets</t>
        </is>
      </c>
      <c r="F3878" t="n">
        <v>290.91</v>
      </c>
      <c r="G3878" t="inlineStr">
        <is>
          <t>IDR bn</t>
        </is>
      </c>
      <c r="H3878" t="n">
        <v>65</v>
      </c>
      <c r="I3878" t="inlineStr">
        <is>
          <t>Aset Lancar 290,913,406,730</t>
        </is>
      </c>
      <c r="J3878" t="inlineStr">
        <is>
          <t>High</t>
        </is>
      </c>
      <c r="M3878" t="inlineStr">
        <is>
          <t>LLM</t>
        </is>
      </c>
      <c r="N3878" t="inlineStr">
        <is>
          <t>2026-04-19</t>
        </is>
      </c>
      <c r="O3878" t="inlineStr">
        <is>
          <t>AI</t>
        </is>
      </c>
    </row>
    <row r="3879">
      <c r="A3879" t="inlineStr">
        <is>
          <t>PT Pradiksi Gunatama Tbk</t>
        </is>
      </c>
      <c r="B3879" t="inlineStr">
        <is>
          <t>PGUN_2023_AR.pdf</t>
        </is>
      </c>
      <c r="C3879" t="n">
        <v>2023</v>
      </c>
      <c r="D3879" t="inlineStr">
        <is>
          <t>Financial</t>
        </is>
      </c>
      <c r="E3879" t="inlineStr">
        <is>
          <t>Non-Current Assets</t>
        </is>
      </c>
      <c r="F3879" t="n">
        <v>2300.56</v>
      </c>
      <c r="G3879" t="inlineStr">
        <is>
          <t>IDR bn</t>
        </is>
      </c>
      <c r="H3879" t="n">
        <v>65</v>
      </c>
      <c r="I3879" t="inlineStr">
        <is>
          <t>Aset Tidak Lancar 2,300,563,060,540</t>
        </is>
      </c>
      <c r="J3879" t="inlineStr">
        <is>
          <t>High</t>
        </is>
      </c>
      <c r="M3879" t="inlineStr">
        <is>
          <t>LLM</t>
        </is>
      </c>
      <c r="N3879" t="inlineStr">
        <is>
          <t>2026-04-19</t>
        </is>
      </c>
      <c r="O3879" t="inlineStr">
        <is>
          <t>AI</t>
        </is>
      </c>
    </row>
    <row r="3880">
      <c r="A3880" t="inlineStr">
        <is>
          <t>PT Pradiksi Gunatama Tbk</t>
        </is>
      </c>
      <c r="B3880" t="inlineStr">
        <is>
          <t>PGUN_2023_AR.pdf</t>
        </is>
      </c>
      <c r="C3880" t="n">
        <v>2023</v>
      </c>
      <c r="D3880" t="inlineStr">
        <is>
          <t>Financial</t>
        </is>
      </c>
      <c r="E3880" t="inlineStr">
        <is>
          <t>Total Liabilities</t>
        </is>
      </c>
      <c r="F3880" t="n">
        <v>965.4</v>
      </c>
      <c r="G3880" t="inlineStr">
        <is>
          <t>IDR bn</t>
        </is>
      </c>
      <c r="H3880" t="n">
        <v>3</v>
      </c>
      <c r="I3880" t="inlineStr">
        <is>
          <t>Jumlah Liabilitas 965,401,621,500</t>
        </is>
      </c>
      <c r="J3880" t="inlineStr">
        <is>
          <t>High</t>
        </is>
      </c>
      <c r="M3880" t="inlineStr">
        <is>
          <t>LLM</t>
        </is>
      </c>
      <c r="N3880" t="inlineStr">
        <is>
          <t>2026-04-19</t>
        </is>
      </c>
      <c r="O3880" t="inlineStr">
        <is>
          <t>AI</t>
        </is>
      </c>
    </row>
    <row r="3881">
      <c r="A3881" t="inlineStr">
        <is>
          <t>PT Pradiksi Gunatama Tbk</t>
        </is>
      </c>
      <c r="B3881" t="inlineStr">
        <is>
          <t>PGUN_2023_AR.pdf</t>
        </is>
      </c>
      <c r="C3881" t="n">
        <v>2023</v>
      </c>
      <c r="D3881" t="inlineStr">
        <is>
          <t>Financial</t>
        </is>
      </c>
      <c r="E3881" t="inlineStr">
        <is>
          <t>Current Liabilities</t>
        </is>
      </c>
      <c r="F3881" t="n">
        <v>161.57</v>
      </c>
      <c r="G3881" t="inlineStr">
        <is>
          <t>IDR bn</t>
        </is>
      </c>
      <c r="H3881" t="n">
        <v>65</v>
      </c>
      <c r="I3881" t="inlineStr">
        <is>
          <t>Liabilitas Jangka Pendek 161,569,378,318</t>
        </is>
      </c>
      <c r="J3881" t="inlineStr">
        <is>
          <t>High</t>
        </is>
      </c>
      <c r="M3881" t="inlineStr">
        <is>
          <t>LLM</t>
        </is>
      </c>
      <c r="N3881" t="inlineStr">
        <is>
          <t>2026-04-19</t>
        </is>
      </c>
      <c r="O3881" t="inlineStr">
        <is>
          <t>AI</t>
        </is>
      </c>
    </row>
    <row r="3882">
      <c r="A3882" t="inlineStr">
        <is>
          <t>PT Pradiksi Gunatama Tbk</t>
        </is>
      </c>
      <c r="B3882" t="inlineStr">
        <is>
          <t>PGUN_2023_AR.pdf</t>
        </is>
      </c>
      <c r="C3882" t="n">
        <v>2023</v>
      </c>
      <c r="D3882" t="inlineStr">
        <is>
          <t>Financial</t>
        </is>
      </c>
      <c r="E3882" t="inlineStr">
        <is>
          <t>Long-term Liabilities</t>
        </is>
      </c>
      <c r="F3882" t="n">
        <v>803.83</v>
      </c>
      <c r="G3882" t="inlineStr">
        <is>
          <t>IDR bn</t>
        </is>
      </c>
      <c r="H3882" t="n">
        <v>65</v>
      </c>
      <c r="I3882" t="inlineStr">
        <is>
          <t>Liabilitas Jangka Panjang 803,832,243,181</t>
        </is>
      </c>
      <c r="J3882" t="inlineStr">
        <is>
          <t>High</t>
        </is>
      </c>
      <c r="M3882" t="inlineStr">
        <is>
          <t>LLM</t>
        </is>
      </c>
      <c r="N3882" t="inlineStr">
        <is>
          <t>2026-04-19</t>
        </is>
      </c>
      <c r="O3882" t="inlineStr">
        <is>
          <t>AI</t>
        </is>
      </c>
    </row>
    <row r="3883">
      <c r="A3883" t="inlineStr">
        <is>
          <t>PT Pradiksi Gunatama Tbk</t>
        </is>
      </c>
      <c r="B3883" t="inlineStr">
        <is>
          <t>PGUN_2023_AR.pdf</t>
        </is>
      </c>
      <c r="C3883" t="n">
        <v>2023</v>
      </c>
      <c r="D3883" t="inlineStr">
        <is>
          <t>Financial</t>
        </is>
      </c>
      <c r="E3883" t="inlineStr">
        <is>
          <t>Total Equity</t>
        </is>
      </c>
      <c r="F3883" t="n">
        <v>1626.07</v>
      </c>
      <c r="G3883" t="inlineStr">
        <is>
          <t>IDR bn</t>
        </is>
      </c>
      <c r="H3883" t="n">
        <v>3</v>
      </c>
      <c r="I3883" t="inlineStr">
        <is>
          <t>Jumlah Ekuitas 1,626,074,845,771</t>
        </is>
      </c>
      <c r="J3883" t="inlineStr">
        <is>
          <t>High</t>
        </is>
      </c>
      <c r="M3883" t="inlineStr">
        <is>
          <t>LLM</t>
        </is>
      </c>
      <c r="N3883" t="inlineStr">
        <is>
          <t>2026-04-19</t>
        </is>
      </c>
      <c r="O3883" t="inlineStr">
        <is>
          <t>AI</t>
        </is>
      </c>
    </row>
    <row r="3884">
      <c r="A3884" t="inlineStr">
        <is>
          <t>PT Pradiksi Gunatama Tbk</t>
        </is>
      </c>
      <c r="B3884" t="inlineStr">
        <is>
          <t>PGUN_2023_AR.pdf</t>
        </is>
      </c>
      <c r="C3884" t="n">
        <v>2023</v>
      </c>
      <c r="D3884" t="inlineStr">
        <is>
          <t>Financial</t>
        </is>
      </c>
      <c r="E3884" t="inlineStr">
        <is>
          <t>Cash and Banks</t>
        </is>
      </c>
      <c r="F3884" t="n">
        <v>75.59</v>
      </c>
      <c r="G3884" t="inlineStr">
        <is>
          <t>IDR bn</t>
        </is>
      </c>
      <c r="H3884" t="n">
        <v>63</v>
      </c>
      <c r="I3884" t="inlineStr">
        <is>
          <t>Kas dan bank 75.587.187.365 (31 Dec 2023)</t>
        </is>
      </c>
      <c r="J3884" t="inlineStr">
        <is>
          <t>High</t>
        </is>
      </c>
      <c r="M3884" t="inlineStr">
        <is>
          <t>LLM</t>
        </is>
      </c>
      <c r="N3884" t="inlineStr">
        <is>
          <t>2026-04-19</t>
        </is>
      </c>
      <c r="O3884" t="inlineStr">
        <is>
          <t>AI</t>
        </is>
      </c>
    </row>
    <row r="3885">
      <c r="A3885" t="inlineStr">
        <is>
          <t>PT Pradiksi Gunatama Tbk</t>
        </is>
      </c>
      <c r="B3885" t="inlineStr">
        <is>
          <t>PGUN_2023_AR.pdf</t>
        </is>
      </c>
      <c r="C3885" t="n">
        <v>2023</v>
      </c>
      <c r="D3885" t="inlineStr">
        <is>
          <t>Financial</t>
        </is>
      </c>
      <c r="E3885" t="inlineStr">
        <is>
          <t>Bank Loan (BRI) Gross</t>
        </is>
      </c>
      <c r="F3885" t="n">
        <v>574.61</v>
      </c>
      <c r="G3885" t="inlineStr">
        <is>
          <t>IDR bn</t>
        </is>
      </c>
      <c r="H3885" t="n">
        <v>0</v>
      </c>
      <c r="I3885" t="inlineStr">
        <is>
          <t>PT Bank Rakyat Indonesia (Persero), Tbk 574.614.304.482 (2023)</t>
        </is>
      </c>
      <c r="J3885" t="inlineStr">
        <is>
          <t>High</t>
        </is>
      </c>
      <c r="M3885" t="inlineStr">
        <is>
          <t>LLM</t>
        </is>
      </c>
      <c r="N3885" t="inlineStr">
        <is>
          <t>2026-04-19</t>
        </is>
      </c>
      <c r="O3885" t="inlineStr">
        <is>
          <t>AI</t>
        </is>
      </c>
    </row>
    <row r="3886">
      <c r="A3886" t="inlineStr">
        <is>
          <t>PT Pradiksi Gunatama Tbk</t>
        </is>
      </c>
      <c r="B3886" t="inlineStr">
        <is>
          <t>PGUN_2023_AR.pdf</t>
        </is>
      </c>
      <c r="C3886" t="n">
        <v>2023</v>
      </c>
      <c r="D3886" t="inlineStr">
        <is>
          <t>Financial</t>
        </is>
      </c>
      <c r="E3886" t="inlineStr">
        <is>
          <t>Bank Loan Net</t>
        </is>
      </c>
      <c r="F3886" t="n">
        <v>569.84</v>
      </c>
      <c r="G3886" t="inlineStr">
        <is>
          <t>IDR bn</t>
        </is>
      </c>
      <c r="H3886" t="n">
        <v>0</v>
      </c>
      <c r="I3886" t="inlineStr">
        <is>
          <t>Jumlah 569.841.402.562 (2023; after Rp4.77 bn unamortized arrangement cost)</t>
        </is>
      </c>
      <c r="J3886" t="inlineStr">
        <is>
          <t>High</t>
        </is>
      </c>
      <c r="M3886" t="inlineStr">
        <is>
          <t>LLM</t>
        </is>
      </c>
      <c r="N3886" t="inlineStr">
        <is>
          <t>2026-04-19</t>
        </is>
      </c>
      <c r="O3886" t="inlineStr">
        <is>
          <t>AI</t>
        </is>
      </c>
    </row>
    <row r="3887">
      <c r="A3887" t="inlineStr">
        <is>
          <t>PT Pradiksi Gunatama Tbk</t>
        </is>
      </c>
      <c r="B3887" t="inlineStr">
        <is>
          <t>PGUN_2023_AR.pdf</t>
        </is>
      </c>
      <c r="C3887" t="n">
        <v>2023</v>
      </c>
      <c r="D3887" t="inlineStr">
        <is>
          <t>Financial</t>
        </is>
      </c>
      <c r="E3887" t="inlineStr">
        <is>
          <t>Bank Loan Current Portion</t>
        </is>
      </c>
      <c r="F3887" t="n">
        <v>81.92</v>
      </c>
      <c r="G3887" t="inlineStr">
        <is>
          <t>IDR bn</t>
        </is>
      </c>
      <c r="H3887" t="n">
        <v>0</v>
      </c>
      <c r="I3887" t="inlineStr">
        <is>
          <t>Bagian jangka pendek 81.920.304.471</t>
        </is>
      </c>
      <c r="J3887" t="inlineStr">
        <is>
          <t>High</t>
        </is>
      </c>
      <c r="M3887" t="inlineStr">
        <is>
          <t>LLM</t>
        </is>
      </c>
      <c r="N3887" t="inlineStr">
        <is>
          <t>2026-04-19</t>
        </is>
      </c>
      <c r="O3887" t="inlineStr">
        <is>
          <t>AI</t>
        </is>
      </c>
    </row>
    <row r="3888">
      <c r="A3888" t="inlineStr">
        <is>
          <t>PT Pradiksi Gunatama Tbk</t>
        </is>
      </c>
      <c r="B3888" t="inlineStr">
        <is>
          <t>PGUN_2023_AR.pdf</t>
        </is>
      </c>
      <c r="C3888" t="n">
        <v>2023</v>
      </c>
      <c r="D3888" t="inlineStr">
        <is>
          <t>Financial</t>
        </is>
      </c>
      <c r="E3888" t="inlineStr">
        <is>
          <t>Bank Loan Long-term Portion</t>
        </is>
      </c>
      <c r="F3888" t="n">
        <v>487.92</v>
      </c>
      <c r="G3888" t="inlineStr">
        <is>
          <t>IDR bn</t>
        </is>
      </c>
      <c r="H3888" t="n">
        <v>0</v>
      </c>
      <c r="I3888" t="inlineStr">
        <is>
          <t>Bagian jangka panjang 487.921.098.091</t>
        </is>
      </c>
      <c r="J3888" t="inlineStr">
        <is>
          <t>High</t>
        </is>
      </c>
      <c r="M3888" t="inlineStr">
        <is>
          <t>LLM</t>
        </is>
      </c>
      <c r="N3888" t="inlineStr">
        <is>
          <t>2026-04-19</t>
        </is>
      </c>
      <c r="O3888" t="inlineStr">
        <is>
          <t>AI</t>
        </is>
      </c>
    </row>
    <row r="3889">
      <c r="A3889" t="inlineStr">
        <is>
          <t>PT Pradiksi Gunatama Tbk</t>
        </is>
      </c>
      <c r="B3889" t="inlineStr">
        <is>
          <t>PGUN_2023_AR.pdf</t>
        </is>
      </c>
      <c r="C3889" t="n">
        <v>2023</v>
      </c>
      <c r="D3889" t="inlineStr">
        <is>
          <t>Financial</t>
        </is>
      </c>
      <c r="E3889" t="inlineStr">
        <is>
          <t>Interest Expense</t>
        </is>
      </c>
      <c r="F3889" t="n">
        <v>46.65</v>
      </c>
      <c r="G3889" t="inlineStr">
        <is>
          <t>IDR bn</t>
        </is>
      </c>
      <c r="H3889" t="n">
        <v>0</v>
      </c>
      <c r="I3889" t="inlineStr">
        <is>
          <t>Beban bunga 2023: Rp46.648.522.975</t>
        </is>
      </c>
      <c r="J3889" t="inlineStr">
        <is>
          <t>High</t>
        </is>
      </c>
      <c r="M3889" t="inlineStr">
        <is>
          <t>LLM</t>
        </is>
      </c>
      <c r="N3889" t="inlineStr">
        <is>
          <t>2026-04-19</t>
        </is>
      </c>
      <c r="O3889" t="inlineStr">
        <is>
          <t>AI</t>
        </is>
      </c>
    </row>
    <row r="3890">
      <c r="A3890" t="inlineStr">
        <is>
          <t>PT Pradiksi Gunatama Tbk</t>
        </is>
      </c>
      <c r="B3890" t="inlineStr">
        <is>
          <t>PGUN_2023_AR.pdf</t>
        </is>
      </c>
      <c r="C3890" t="n">
        <v>2023</v>
      </c>
      <c r="D3890" t="inlineStr">
        <is>
          <t>Financial</t>
        </is>
      </c>
      <c r="E3890" t="inlineStr">
        <is>
          <t>CFO (Operating Cash Flow)</t>
        </is>
      </c>
      <c r="F3890" t="n">
        <v>355.18</v>
      </c>
      <c r="G3890" t="inlineStr">
        <is>
          <t>IDR bn</t>
        </is>
      </c>
      <c r="H3890" t="n">
        <v>0</v>
      </c>
      <c r="I3890" t="inlineStr">
        <is>
          <t>Kas bersih diperoleh dari aktivitas operasi 355.175.776.509 (2023)</t>
        </is>
      </c>
      <c r="J3890" t="inlineStr">
        <is>
          <t>High</t>
        </is>
      </c>
      <c r="M3890" t="inlineStr">
        <is>
          <t>LLM</t>
        </is>
      </c>
      <c r="N3890" t="inlineStr">
        <is>
          <t>2026-04-19</t>
        </is>
      </c>
      <c r="O3890" t="inlineStr">
        <is>
          <t>AI</t>
        </is>
      </c>
    </row>
    <row r="3891">
      <c r="A3891" t="inlineStr">
        <is>
          <t>PT Pradiksi Gunatama Tbk</t>
        </is>
      </c>
      <c r="B3891" t="inlineStr">
        <is>
          <t>PGUN_2023_AR.pdf</t>
        </is>
      </c>
      <c r="C3891" t="n">
        <v>2023</v>
      </c>
      <c r="D3891" t="inlineStr">
        <is>
          <t>Financial</t>
        </is>
      </c>
      <c r="E3891" t="inlineStr">
        <is>
          <t>CFI</t>
        </is>
      </c>
      <c r="F3891" t="n">
        <v>-344.99</v>
      </c>
      <c r="G3891" t="inlineStr">
        <is>
          <t>IDR bn</t>
        </is>
      </c>
      <c r="H3891" t="n">
        <v>0</v>
      </c>
      <c r="I3891" t="inlineStr">
        <is>
          <t>Kas bersih (digunakan untuk) aktivitas investasi (344.986.421.610)</t>
        </is>
      </c>
      <c r="J3891" t="inlineStr">
        <is>
          <t>High</t>
        </is>
      </c>
      <c r="M3891" t="inlineStr">
        <is>
          <t>LLM</t>
        </is>
      </c>
      <c r="N3891" t="inlineStr">
        <is>
          <t>2026-04-19</t>
        </is>
      </c>
      <c r="O3891" t="inlineStr">
        <is>
          <t>AI</t>
        </is>
      </c>
    </row>
    <row r="3892">
      <c r="A3892" t="inlineStr">
        <is>
          <t>PT Pradiksi Gunatama Tbk</t>
        </is>
      </c>
      <c r="B3892" t="inlineStr">
        <is>
          <t>PGUN_2023_AR.pdf</t>
        </is>
      </c>
      <c r="C3892" t="n">
        <v>2023</v>
      </c>
      <c r="D3892" t="inlineStr">
        <is>
          <t>Financial</t>
        </is>
      </c>
      <c r="E3892" t="inlineStr">
        <is>
          <t>Capex: Bearer Plants</t>
        </is>
      </c>
      <c r="F3892" t="n">
        <v>207.02</v>
      </c>
      <c r="G3892" t="inlineStr">
        <is>
          <t>IDR bn</t>
        </is>
      </c>
      <c r="H3892" t="n">
        <v>0</v>
      </c>
      <c r="I3892" t="inlineStr">
        <is>
          <t>Pembayaran untuk perolehan tanaman produktif 207.021.350.763 (2023)</t>
        </is>
      </c>
      <c r="J3892" t="inlineStr">
        <is>
          <t>High</t>
        </is>
      </c>
      <c r="M3892" t="inlineStr">
        <is>
          <t>LLM</t>
        </is>
      </c>
      <c r="N3892" t="inlineStr">
        <is>
          <t>2026-04-19</t>
        </is>
      </c>
      <c r="O3892" t="inlineStr">
        <is>
          <t>AI</t>
        </is>
      </c>
    </row>
    <row r="3893">
      <c r="A3893" t="inlineStr">
        <is>
          <t>PT Pradiksi Gunatama Tbk</t>
        </is>
      </c>
      <c r="B3893" t="inlineStr">
        <is>
          <t>PGUN_2023_AR.pdf</t>
        </is>
      </c>
      <c r="C3893" t="n">
        <v>2023</v>
      </c>
      <c r="D3893" t="inlineStr">
        <is>
          <t>Financial</t>
        </is>
      </c>
      <c r="E3893" t="inlineStr">
        <is>
          <t>Capex: Fixed Assets</t>
        </is>
      </c>
      <c r="F3893" t="n">
        <v>146.36</v>
      </c>
      <c r="G3893" t="inlineStr">
        <is>
          <t>IDR bn</t>
        </is>
      </c>
      <c r="H3893" t="n">
        <v>0</v>
      </c>
      <c r="I3893" t="inlineStr">
        <is>
          <t>Perolehan aset tetap 146.359.217.693 (2023)</t>
        </is>
      </c>
      <c r="J3893" t="inlineStr">
        <is>
          <t>High</t>
        </is>
      </c>
      <c r="M3893" t="inlineStr">
        <is>
          <t>LLM</t>
        </is>
      </c>
      <c r="N3893" t="inlineStr">
        <is>
          <t>2026-04-19</t>
        </is>
      </c>
      <c r="O3893" t="inlineStr">
        <is>
          <t>AI</t>
        </is>
      </c>
    </row>
    <row r="3894">
      <c r="A3894" t="inlineStr">
        <is>
          <t>PT Pradiksi Gunatama Tbk</t>
        </is>
      </c>
      <c r="B3894" t="inlineStr">
        <is>
          <t>PGUN_2023_AR.pdf</t>
        </is>
      </c>
      <c r="C3894" t="n">
        <v>2023</v>
      </c>
      <c r="D3894" t="inlineStr">
        <is>
          <t>Financial</t>
        </is>
      </c>
      <c r="E3894" t="inlineStr">
        <is>
          <t>Total Capex 2023</t>
        </is>
      </c>
      <c r="F3894" t="n">
        <v>353.38</v>
      </c>
      <c r="G3894" t="inlineStr">
        <is>
          <t>IDR bn</t>
        </is>
      </c>
      <c r="H3894" t="n">
        <v>0</v>
      </c>
      <c r="I3894" t="inlineStr">
        <is>
          <t>207.02 + 146.36 = 353.38</t>
        </is>
      </c>
      <c r="J3894" t="inlineStr">
        <is>
          <t>High</t>
        </is>
      </c>
      <c r="M3894" t="inlineStr">
        <is>
          <t>LLM</t>
        </is>
      </c>
      <c r="N3894" t="inlineStr">
        <is>
          <t>2026-04-19</t>
        </is>
      </c>
      <c r="O3894" t="inlineStr">
        <is>
          <t>AI</t>
        </is>
      </c>
    </row>
    <row r="3895">
      <c r="A3895" t="inlineStr">
        <is>
          <t>PT Pradiksi Gunatama Tbk</t>
        </is>
      </c>
      <c r="B3895" t="inlineStr">
        <is>
          <t>PGUN_2023_AR.pdf</t>
        </is>
      </c>
      <c r="C3895" t="n">
        <v>2023</v>
      </c>
      <c r="D3895" t="inlineStr">
        <is>
          <t>Financial</t>
        </is>
      </c>
      <c r="E3895" t="inlineStr">
        <is>
          <t>Depreciation</t>
        </is>
      </c>
      <c r="F3895" t="n">
        <v>50.95</v>
      </c>
      <c r="G3895" t="inlineStr">
        <is>
          <t>IDR bn</t>
        </is>
      </c>
      <c r="H3895" t="n">
        <v>0</v>
      </c>
      <c r="I3895" t="inlineStr">
        <is>
          <t>Penyusutan aset tetap 2023: 50.954.387.808</t>
        </is>
      </c>
      <c r="J3895" t="inlineStr">
        <is>
          <t>High</t>
        </is>
      </c>
      <c r="M3895" t="inlineStr">
        <is>
          <t>LLM</t>
        </is>
      </c>
      <c r="N3895" t="inlineStr">
        <is>
          <t>2026-04-19</t>
        </is>
      </c>
      <c r="O3895" t="inlineStr">
        <is>
          <t>AI</t>
        </is>
      </c>
    </row>
    <row r="3896">
      <c r="A3896" t="inlineStr">
        <is>
          <t>PT Pradiksi Gunatama Tbk</t>
        </is>
      </c>
      <c r="B3896" t="inlineStr">
        <is>
          <t>PGUN_2023_AR.pdf</t>
        </is>
      </c>
      <c r="C3896" t="n">
        <v>2023</v>
      </c>
      <c r="D3896" t="inlineStr">
        <is>
          <t>Financial</t>
        </is>
      </c>
      <c r="E3896" t="inlineStr">
        <is>
          <t>Shares Outstanding</t>
        </is>
      </c>
      <c r="F3896" t="n">
        <v>5737.85</v>
      </c>
      <c r="G3896" t="inlineStr">
        <is>
          <t>mn</t>
        </is>
      </c>
      <c r="H3896" t="n">
        <v>9</v>
      </c>
      <c r="I3896" t="inlineStr">
        <is>
          <t>5,737,848,882 shares (Dec 2023)</t>
        </is>
      </c>
      <c r="J3896" t="inlineStr">
        <is>
          <t>High</t>
        </is>
      </c>
      <c r="M3896" t="inlineStr">
        <is>
          <t>LLM</t>
        </is>
      </c>
      <c r="N3896" t="inlineStr">
        <is>
          <t>2026-04-19</t>
        </is>
      </c>
      <c r="O3896" t="inlineStr">
        <is>
          <t>AI</t>
        </is>
      </c>
    </row>
    <row r="3897">
      <c r="A3897" t="inlineStr">
        <is>
          <t>PT Pradiksi Gunatama Tbk</t>
        </is>
      </c>
      <c r="B3897" t="inlineStr">
        <is>
          <t>PGUN_2023_AR.pdf</t>
        </is>
      </c>
      <c r="C3897" t="n">
        <v>2023</v>
      </c>
      <c r="D3897" t="inlineStr">
        <is>
          <t>Financial</t>
        </is>
      </c>
      <c r="E3897" t="inlineStr">
        <is>
          <t>Closing Price (31 Dec 2023)</t>
        </is>
      </c>
      <c r="F3897" t="n">
        <v>424</v>
      </c>
      <c r="G3897" t="inlineStr">
        <is>
          <t>Rp/share</t>
        </is>
      </c>
      <c r="H3897" t="n">
        <v>0</v>
      </c>
      <c r="I3897" t="inlineStr">
        <is>
          <t>Monthly price table shows Dec 2023 close and entering 2024 at 438</t>
        </is>
      </c>
      <c r="J3897" t="inlineStr">
        <is>
          <t>Medium</t>
        </is>
      </c>
      <c r="M3897" t="inlineStr">
        <is>
          <t>LLM</t>
        </is>
      </c>
      <c r="N3897" t="inlineStr">
        <is>
          <t>2026-04-19</t>
        </is>
      </c>
      <c r="O3897" t="inlineStr">
        <is>
          <t>AI</t>
        </is>
      </c>
    </row>
    <row r="3898">
      <c r="A3898" t="inlineStr">
        <is>
          <t>PT Pradiksi Gunatama Tbk</t>
        </is>
      </c>
      <c r="B3898" t="inlineStr">
        <is>
          <t>PGUN_2023_AR.pdf</t>
        </is>
      </c>
      <c r="C3898" t="n">
        <v>2023</v>
      </c>
      <c r="D3898" t="inlineStr">
        <is>
          <t>Financial</t>
        </is>
      </c>
      <c r="E3898" t="inlineStr">
        <is>
          <t>Current Ratio</t>
        </is>
      </c>
      <c r="F3898" t="n">
        <v>1.8</v>
      </c>
      <c r="G3898" t="inlineStr">
        <is>
          <t>x</t>
        </is>
      </c>
      <c r="H3898" t="n">
        <v>3</v>
      </c>
      <c r="I3898" t="inlineStr">
        <is>
          <t>Rasio Lancar 1.80 (2023)</t>
        </is>
      </c>
      <c r="J3898" t="inlineStr">
        <is>
          <t>High</t>
        </is>
      </c>
      <c r="M3898" t="inlineStr">
        <is>
          <t>LLM</t>
        </is>
      </c>
      <c r="N3898" t="inlineStr">
        <is>
          <t>2026-04-19</t>
        </is>
      </c>
      <c r="O3898" t="inlineStr">
        <is>
          <t>AI</t>
        </is>
      </c>
    </row>
    <row r="3899">
      <c r="A3899" t="inlineStr">
        <is>
          <t>PT Pradiksi Gunatama Tbk</t>
        </is>
      </c>
      <c r="B3899" t="inlineStr">
        <is>
          <t>PGUN_2023_AR.pdf</t>
        </is>
      </c>
      <c r="C3899" t="n">
        <v>2023</v>
      </c>
      <c r="D3899" t="inlineStr">
        <is>
          <t>Financial</t>
        </is>
      </c>
      <c r="E3899" t="inlineStr">
        <is>
          <t>Debt to Equity Ratio</t>
        </is>
      </c>
      <c r="F3899" t="n">
        <v>0.59</v>
      </c>
      <c r="G3899" t="inlineStr">
        <is>
          <t>x</t>
        </is>
      </c>
      <c r="H3899" t="n">
        <v>3</v>
      </c>
      <c r="I3899" t="inlineStr">
        <is>
          <t>Rasio Liabilitas terhadap Ekuitas 0.59</t>
        </is>
      </c>
      <c r="J3899" t="inlineStr">
        <is>
          <t>High</t>
        </is>
      </c>
      <c r="M3899" t="inlineStr">
        <is>
          <t>LLM</t>
        </is>
      </c>
      <c r="N3899" t="inlineStr">
        <is>
          <t>2026-04-19</t>
        </is>
      </c>
      <c r="O3899" t="inlineStr">
        <is>
          <t>AI</t>
        </is>
      </c>
    </row>
    <row r="3900">
      <c r="A3900" t="inlineStr">
        <is>
          <t>PT Pradiksi Gunatama Tbk</t>
        </is>
      </c>
      <c r="B3900" t="inlineStr">
        <is>
          <t>PGUN_2023_AR.pdf</t>
        </is>
      </c>
      <c r="C3900" t="n">
        <v>2023</v>
      </c>
      <c r="D3900" t="inlineStr">
        <is>
          <t>Financial</t>
        </is>
      </c>
      <c r="E3900" t="inlineStr">
        <is>
          <t>Dividend</t>
        </is>
      </c>
      <c r="F3900" t="n">
        <v>0</v>
      </c>
      <c r="G3900" t="inlineStr">
        <is>
          <t>IDR</t>
        </is>
      </c>
      <c r="H3900" t="n">
        <v>72</v>
      </c>
      <c r="I3900" t="inlineStr">
        <is>
          <t>Pembagian Deviden belum dilaksanakan (expansion and replanting phase)</t>
        </is>
      </c>
      <c r="J3900" t="inlineStr">
        <is>
          <t>High</t>
        </is>
      </c>
      <c r="M3900" t="inlineStr">
        <is>
          <t>LLM</t>
        </is>
      </c>
      <c r="N3900" t="inlineStr">
        <is>
          <t>2026-04-19</t>
        </is>
      </c>
      <c r="O3900" t="inlineStr">
        <is>
          <t>AI</t>
        </is>
      </c>
    </row>
    <row r="3901">
      <c r="A3901" t="inlineStr">
        <is>
          <t>PT Pradiksi Gunatama Tbk</t>
        </is>
      </c>
      <c r="B3901" t="inlineStr">
        <is>
          <t>PGUN_2023_AR.pdf</t>
        </is>
      </c>
      <c r="C3901" t="n">
        <v>2023</v>
      </c>
      <c r="D3901" t="inlineStr">
        <is>
          <t>Asset</t>
        </is>
      </c>
      <c r="E3901" t="inlineStr">
        <is>
          <t>Total Planted Area</t>
        </is>
      </c>
      <c r="F3901" t="n">
        <v>20267</v>
      </c>
      <c r="G3901" t="inlineStr">
        <is>
          <t>ha</t>
        </is>
      </c>
      <c r="H3901" t="n">
        <v>0</v>
      </c>
      <c r="I3901" t="inlineStr">
        <is>
          <t>After 2023 acquisition of 2,000 ha from Langgai Agrindo Agung and Bumi Pasir Agrindo, planted area approximates 20,267 ha (from 2022 AR disclosure of 20,267 ha post-Senabangun merger)</t>
        </is>
      </c>
      <c r="J3901" t="inlineStr">
        <is>
          <t>Medium</t>
        </is>
      </c>
      <c r="M3901" t="inlineStr">
        <is>
          <t>LLM</t>
        </is>
      </c>
      <c r="N3901" t="inlineStr">
        <is>
          <t>2026-04-19</t>
        </is>
      </c>
      <c r="O3901" t="inlineStr">
        <is>
          <t>AI</t>
        </is>
      </c>
    </row>
    <row r="3902">
      <c r="A3902" t="inlineStr">
        <is>
          <t>PT Pradiksi Gunatama Tbk</t>
        </is>
      </c>
      <c r="B3902" t="inlineStr">
        <is>
          <t>PGUN_2023_AR.pdf</t>
        </is>
      </c>
      <c r="C3902" t="n">
        <v>2023</v>
      </c>
      <c r="D3902" t="inlineStr">
        <is>
          <t>Asset</t>
        </is>
      </c>
      <c r="E3902" t="inlineStr">
        <is>
          <t>Mature Area</t>
        </is>
      </c>
      <c r="F3902" t="n">
        <v>19417</v>
      </c>
      <c r="G3902" t="inlineStr">
        <is>
          <t>ha</t>
        </is>
      </c>
      <c r="H3902" t="n">
        <v>0</v>
      </c>
      <c r="I3902" t="inlineStr">
        <is>
          <t>tanaman menghasilkan approximately 19,417 ha (from 2022/2023 AR disclosure)</t>
        </is>
      </c>
      <c r="J3902" t="inlineStr">
        <is>
          <t>Medium</t>
        </is>
      </c>
      <c r="M3902" t="inlineStr">
        <is>
          <t>LLM</t>
        </is>
      </c>
      <c r="N3902" t="inlineStr">
        <is>
          <t>2026-04-19</t>
        </is>
      </c>
      <c r="O3902" t="inlineStr">
        <is>
          <t>AI</t>
        </is>
      </c>
    </row>
    <row r="3903">
      <c r="A3903" t="inlineStr">
        <is>
          <t>PT Pradiksi Gunatama Tbk</t>
        </is>
      </c>
      <c r="B3903" t="inlineStr">
        <is>
          <t>PGUN_2023_AR.pdf</t>
        </is>
      </c>
      <c r="C3903" t="n">
        <v>2023</v>
      </c>
      <c r="D3903" t="inlineStr">
        <is>
          <t>Asset</t>
        </is>
      </c>
      <c r="E3903" t="inlineStr">
        <is>
          <t>Palm Oil Mill Count</t>
        </is>
      </c>
      <c r="F3903" t="n">
        <v>1</v>
      </c>
      <c r="G3903" t="inlineStr">
        <is>
          <t>count</t>
        </is>
      </c>
      <c r="H3903" t="n">
        <v>60</v>
      </c>
      <c r="I3903" t="inlineStr">
        <is>
          <t>Perseroan memiliki Pabrik Kelapa Sawit (PKS) yang telah beroperasi sejak Agustus 2019</t>
        </is>
      </c>
      <c r="J3903" t="inlineStr">
        <is>
          <t>High</t>
        </is>
      </c>
      <c r="M3903" t="inlineStr">
        <is>
          <t>LLM</t>
        </is>
      </c>
      <c r="N3903" t="inlineStr">
        <is>
          <t>2026-04-19</t>
        </is>
      </c>
      <c r="O3903" t="inlineStr">
        <is>
          <t>AI</t>
        </is>
      </c>
    </row>
    <row r="3904">
      <c r="A3904" t="inlineStr">
        <is>
          <t>PT Pradiksi Gunatama Tbk</t>
        </is>
      </c>
      <c r="B3904" t="inlineStr">
        <is>
          <t>PGUN_2023_AR.pdf</t>
        </is>
      </c>
      <c r="C3904" t="n">
        <v>2023</v>
      </c>
      <c r="D3904" t="inlineStr">
        <is>
          <t>Asset</t>
        </is>
      </c>
      <c r="E3904" t="inlineStr">
        <is>
          <t>Mill Capacity</t>
        </is>
      </c>
      <c r="F3904" t="n">
        <v>90</v>
      </c>
      <c r="G3904" t="inlineStr">
        <is>
          <t>tph</t>
        </is>
      </c>
      <c r="H3904" t="n">
        <v>60</v>
      </c>
      <c r="I3904" t="inlineStr">
        <is>
          <t>kapasitas 90 ton per jam atau setara dengan +/- 100,000 ton Minyak Kelapa Sawit setahun (upgraded 2023)</t>
        </is>
      </c>
      <c r="J3904" t="inlineStr">
        <is>
          <t>High</t>
        </is>
      </c>
      <c r="M3904" t="inlineStr">
        <is>
          <t>LLM</t>
        </is>
      </c>
      <c r="N3904" t="inlineStr">
        <is>
          <t>2026-04-19</t>
        </is>
      </c>
      <c r="O3904" t="inlineStr">
        <is>
          <t>AI</t>
        </is>
      </c>
    </row>
    <row r="3905">
      <c r="A3905" t="inlineStr">
        <is>
          <t>PT Pradiksi Gunatama Tbk</t>
        </is>
      </c>
      <c r="B3905" t="inlineStr">
        <is>
          <t>PGUN_2023_AR.pdf</t>
        </is>
      </c>
      <c r="C3905" t="n">
        <v>2023</v>
      </c>
      <c r="D3905" t="inlineStr">
        <is>
          <t>Operation</t>
        </is>
      </c>
      <c r="E3905" t="inlineStr">
        <is>
          <t>CPO Production (sum 2023)</t>
        </is>
      </c>
      <c r="F3905" t="n">
        <v>71957</v>
      </c>
      <c r="G3905" t="inlineStr">
        <is>
          <t>t</t>
        </is>
      </c>
      <c r="H3905" t="n">
        <v>61</v>
      </c>
      <c r="I3905" t="inlineStr">
        <is>
          <t>Monthly CPO 2023: 5685+4459+5247+4887+6870+7200+6655+7523+5959+5633+6219+5620 = 71,957 MT</t>
        </is>
      </c>
      <c r="J3905" t="inlineStr">
        <is>
          <t>High</t>
        </is>
      </c>
      <c r="M3905" t="inlineStr">
        <is>
          <t>LLM</t>
        </is>
      </c>
      <c r="N3905" t="inlineStr">
        <is>
          <t>2026-04-19</t>
        </is>
      </c>
      <c r="O3905" t="inlineStr">
        <is>
          <t>AI</t>
        </is>
      </c>
    </row>
    <row r="3906">
      <c r="A3906" t="inlineStr">
        <is>
          <t>PT Pradiksi Gunatama Tbk</t>
        </is>
      </c>
      <c r="B3906" t="inlineStr">
        <is>
          <t>PGUN_2023_AR.pdf</t>
        </is>
      </c>
      <c r="C3906" t="n">
        <v>2023</v>
      </c>
      <c r="D3906" t="inlineStr">
        <is>
          <t>Operation</t>
        </is>
      </c>
      <c r="E3906" t="inlineStr">
        <is>
          <t>Kernel Production (sum 2023)</t>
        </is>
      </c>
      <c r="F3906" t="n">
        <v>13998</v>
      </c>
      <c r="G3906" t="inlineStr">
        <is>
          <t>t</t>
        </is>
      </c>
      <c r="H3906" t="n">
        <v>61</v>
      </c>
      <c r="I3906" t="inlineStr">
        <is>
          <t>Monthly Kernel 2023: 1156+881+1004+948+1335+1329+1348+1281+1299+1291+1171+955 = 13,998 MT</t>
        </is>
      </c>
      <c r="J3906" t="inlineStr">
        <is>
          <t>High</t>
        </is>
      </c>
      <c r="M3906" t="inlineStr">
        <is>
          <t>LLM</t>
        </is>
      </c>
      <c r="N3906" t="inlineStr">
        <is>
          <t>2026-04-19</t>
        </is>
      </c>
      <c r="O3906" t="inlineStr">
        <is>
          <t>AI</t>
        </is>
      </c>
    </row>
    <row r="3907">
      <c r="A3907" t="inlineStr">
        <is>
          <t>PT Pradiksi Gunatama Tbk</t>
        </is>
      </c>
      <c r="B3907" t="inlineStr">
        <is>
          <t>PGUN_2023_AR.pdf</t>
        </is>
      </c>
      <c r="C3907" t="n">
        <v>2023</v>
      </c>
      <c r="D3907" t="inlineStr">
        <is>
          <t>Operation</t>
        </is>
      </c>
      <c r="E3907" t="inlineStr">
        <is>
          <t>Daily FFB Processing</t>
        </is>
      </c>
      <c r="F3907" t="n">
        <v>1055</v>
      </c>
      <c r="G3907" t="inlineStr">
        <is>
          <t>t/day</t>
        </is>
      </c>
      <c r="H3907" t="n">
        <v>59</v>
      </c>
      <c r="I3907" t="inlineStr">
        <is>
          <t>Selama tahun 2023, Perseroan mampu mengolah 1.055 ton Tandan Buah Segar per hari</t>
        </is>
      </c>
      <c r="J3907" t="inlineStr">
        <is>
          <t>High</t>
        </is>
      </c>
      <c r="M3907" t="inlineStr">
        <is>
          <t>LLM</t>
        </is>
      </c>
      <c r="N3907" t="inlineStr">
        <is>
          <t>2026-04-19</t>
        </is>
      </c>
      <c r="O3907" t="inlineStr">
        <is>
          <t>AI</t>
        </is>
      </c>
    </row>
    <row r="3908">
      <c r="A3908" t="inlineStr">
        <is>
          <t>PT Pradiksi Gunatama Tbk</t>
        </is>
      </c>
      <c r="B3908" t="inlineStr">
        <is>
          <t>PGUN_2023_AR.pdf</t>
        </is>
      </c>
      <c r="C3908" t="n">
        <v>2023</v>
      </c>
      <c r="D3908" t="inlineStr">
        <is>
          <t>Operation</t>
        </is>
      </c>
      <c r="E3908" t="inlineStr">
        <is>
          <t>Revenue from CPO+Kernel sales</t>
        </is>
      </c>
      <c r="F3908" t="n">
        <v>868.46</v>
      </c>
      <c r="G3908" t="inlineStr">
        <is>
          <t>IDR bn</t>
        </is>
      </c>
      <c r="H3908" t="n">
        <v>59</v>
      </c>
      <c r="I3908" t="inlineStr">
        <is>
          <t>Untuk penjualan CPO dan Kernel selama tahun 2023 diperoleh pendapatan sebesar Rp868,456,776,538</t>
        </is>
      </c>
      <c r="J3908" t="inlineStr">
        <is>
          <t>High</t>
        </is>
      </c>
      <c r="M3908" t="inlineStr">
        <is>
          <t>LLM</t>
        </is>
      </c>
      <c r="N3908" t="inlineStr">
        <is>
          <t>2026-04-19</t>
        </is>
      </c>
      <c r="O3908" t="inlineStr">
        <is>
          <t>AI</t>
        </is>
      </c>
    </row>
    <row r="3909">
      <c r="A3909" t="inlineStr">
        <is>
          <t>PT Pradiksi Gunatama Tbk</t>
        </is>
      </c>
      <c r="B3909" t="inlineStr">
        <is>
          <t>PGUN_2023_AR.pdf</t>
        </is>
      </c>
      <c r="C3909" t="n">
        <v>2023</v>
      </c>
      <c r="D3909" t="inlineStr">
        <is>
          <t>Operation</t>
        </is>
      </c>
      <c r="E3909" t="inlineStr">
        <is>
          <t>Operating Profit from CPO+Kernel sales</t>
        </is>
      </c>
      <c r="F3909" t="n">
        <v>191.94</v>
      </c>
      <c r="G3909" t="inlineStr">
        <is>
          <t>IDR bn</t>
        </is>
      </c>
      <c r="H3909" t="n">
        <v>59</v>
      </c>
      <c r="I3909" t="inlineStr">
        <is>
          <t>laba usaha dari penjualan Rp191,936,350,429</t>
        </is>
      </c>
      <c r="J3909" t="inlineStr">
        <is>
          <t>High</t>
        </is>
      </c>
      <c r="M3909" t="inlineStr">
        <is>
          <t>LLM</t>
        </is>
      </c>
      <c r="N3909" t="inlineStr">
        <is>
          <t>2026-04-19</t>
        </is>
      </c>
      <c r="O3909" t="inlineStr">
        <is>
          <t>AI</t>
        </is>
      </c>
    </row>
    <row r="3910">
      <c r="A3910" t="inlineStr">
        <is>
          <t>PT Pradiksi Gunatama Tbk</t>
        </is>
      </c>
      <c r="B3910" t="inlineStr">
        <is>
          <t>PGUN_2023_AR.pdf</t>
        </is>
      </c>
      <c r="C3910" t="n">
        <v>2023</v>
      </c>
      <c r="D3910" t="inlineStr">
        <is>
          <t>Operation</t>
        </is>
      </c>
      <c r="E3910" t="inlineStr">
        <is>
          <t>CPO Mix Share</t>
        </is>
      </c>
      <c r="F3910" t="n">
        <v>0.8413</v>
      </c>
      <c r="G3910" t="inlineStr">
        <is>
          <t>%</t>
        </is>
      </c>
      <c r="H3910" t="n">
        <v>61</v>
      </c>
      <c r="I3910" t="inlineStr">
        <is>
          <t>Persentase produksi 2023: Minyak Kelapa Sawit 84.13%, Kernel 15.87%</t>
        </is>
      </c>
      <c r="J3910" t="inlineStr">
        <is>
          <t>High</t>
        </is>
      </c>
      <c r="M3910" t="inlineStr">
        <is>
          <t>LLM</t>
        </is>
      </c>
      <c r="N3910" t="inlineStr">
        <is>
          <t>2026-04-19</t>
        </is>
      </c>
      <c r="O3910" t="inlineStr">
        <is>
          <t>AI</t>
        </is>
      </c>
    </row>
    <row r="3911">
      <c r="A3911" t="inlineStr">
        <is>
          <t>PT Pradiksi Gunatama Tbk</t>
        </is>
      </c>
      <c r="B3911" t="inlineStr">
        <is>
          <t>PGUN_2023_AR.pdf</t>
        </is>
      </c>
      <c r="C3911" t="n">
        <v>2023</v>
      </c>
      <c r="D3911" t="inlineStr">
        <is>
          <t>Operation</t>
        </is>
      </c>
      <c r="E3911" t="inlineStr">
        <is>
          <t>Forward Projection Revenue 2024</t>
        </is>
      </c>
      <c r="F3911" t="n">
        <v>1205.28</v>
      </c>
      <c r="G3911" t="inlineStr">
        <is>
          <t>IDR bn</t>
        </is>
      </c>
      <c r="H3911" t="n">
        <v>69</v>
      </c>
      <c r="I3911" t="inlineStr">
        <is>
          <t>Pendapatan/Penjualan CPO dan Kernel target 2024 Rp1.205.280.000.000</t>
        </is>
      </c>
      <c r="J3911" t="inlineStr">
        <is>
          <t>High</t>
        </is>
      </c>
      <c r="M3911" t="inlineStr">
        <is>
          <t>LLM</t>
        </is>
      </c>
      <c r="N3911" t="inlineStr">
        <is>
          <t>2026-04-19</t>
        </is>
      </c>
      <c r="O3911" t="inlineStr">
        <is>
          <t>AI</t>
        </is>
      </c>
    </row>
    <row r="3912">
      <c r="A3912" t="inlineStr">
        <is>
          <t>PT Pradiksi Gunatama Tbk</t>
        </is>
      </c>
      <c r="B3912" t="inlineStr">
        <is>
          <t>PGUN_2023_AR.pdf</t>
        </is>
      </c>
      <c r="C3912" t="n">
        <v>2023</v>
      </c>
      <c r="D3912" t="inlineStr">
        <is>
          <t>ESG</t>
        </is>
      </c>
      <c r="E3912" t="inlineStr">
        <is>
          <t>ISPO Certification</t>
        </is>
      </c>
      <c r="F3912" t="inlineStr">
        <is>
          <t>PT Berau Veritas Indonesia, 2022-2027</t>
        </is>
      </c>
      <c r="G3912" t="inlineStr">
        <is>
          <t>text</t>
        </is>
      </c>
      <c r="H3912" t="n">
        <v>56</v>
      </c>
      <c r="I3912" t="inlineStr">
        <is>
          <t>ISPO PT Berau Veritas Indonesia 2022-2027</t>
        </is>
      </c>
      <c r="J3912" t="inlineStr">
        <is>
          <t>High</t>
        </is>
      </c>
      <c r="M3912" t="inlineStr">
        <is>
          <t>LLM</t>
        </is>
      </c>
      <c r="N3912" t="inlineStr">
        <is>
          <t>2026-04-19</t>
        </is>
      </c>
      <c r="O3912" t="inlineStr">
        <is>
          <t>AI</t>
        </is>
      </c>
    </row>
    <row r="3913">
      <c r="A3913" t="inlineStr">
        <is>
          <t>PT Pradiksi Gunatama Tbk</t>
        </is>
      </c>
      <c r="B3913" t="inlineStr">
        <is>
          <t>PGUN_2023_AR.pdf</t>
        </is>
      </c>
      <c r="C3913" t="n">
        <v>2023</v>
      </c>
      <c r="D3913" t="inlineStr">
        <is>
          <t>ESG</t>
        </is>
      </c>
      <c r="E3913" t="inlineStr">
        <is>
          <t>PROPER Certification</t>
        </is>
      </c>
      <c r="F3913" t="inlineStr">
        <is>
          <t>Kementerian Lingkungan Hidup Kalimantan Timur, 2022-2023</t>
        </is>
      </c>
      <c r="G3913" t="inlineStr">
        <is>
          <t>text</t>
        </is>
      </c>
      <c r="H3913" t="n">
        <v>56</v>
      </c>
      <c r="I3913" t="inlineStr">
        <is>
          <t>PROPER Kementerian Lingkungan Hidup Kalimantan Timur 2022-2023</t>
        </is>
      </c>
      <c r="J3913" t="inlineStr">
        <is>
          <t>High</t>
        </is>
      </c>
      <c r="M3913" t="inlineStr">
        <is>
          <t>LLM</t>
        </is>
      </c>
      <c r="N3913" t="inlineStr">
        <is>
          <t>2026-04-19</t>
        </is>
      </c>
      <c r="O3913" t="inlineStr">
        <is>
          <t>AI</t>
        </is>
      </c>
    </row>
    <row r="3914">
      <c r="A3914" t="inlineStr">
        <is>
          <t>PT Pradiksi Gunatama Tbk</t>
        </is>
      </c>
      <c r="B3914" t="inlineStr">
        <is>
          <t>PGUN_2023_AR.pdf</t>
        </is>
      </c>
      <c r="C3914" t="n">
        <v>2023</v>
      </c>
      <c r="D3914" t="inlineStr">
        <is>
          <t>Company</t>
        </is>
      </c>
      <c r="E3914" t="inlineStr">
        <is>
          <t>Related Party Transaction: CPO to JARR</t>
        </is>
      </c>
      <c r="F3914" t="inlineStr">
        <is>
          <t>Yes - affiliate</t>
        </is>
      </c>
      <c r="G3914" t="inlineStr">
        <is>
          <t>text</t>
        </is>
      </c>
      <c r="H3914" t="n">
        <v>73</v>
      </c>
      <c r="I3914" t="inlineStr">
        <is>
          <t>Perseroan menjual CPO ke PT Jhonlin Agro Raya Tbk (JARR) affiliate</t>
        </is>
      </c>
      <c r="J3914" t="inlineStr">
        <is>
          <t>High</t>
        </is>
      </c>
      <c r="M3914" t="inlineStr">
        <is>
          <t>LLM</t>
        </is>
      </c>
      <c r="N3914" t="inlineStr">
        <is>
          <t>2026-04-19</t>
        </is>
      </c>
      <c r="O3914" t="inlineStr">
        <is>
          <t>AI</t>
        </is>
      </c>
    </row>
    <row r="3915">
      <c r="A3915" t="inlineStr">
        <is>
          <t>PT Pradiksi Gunatama Tbk</t>
        </is>
      </c>
      <c r="B3915" t="inlineStr">
        <is>
          <t>PGUN_2023_AR.pdf</t>
        </is>
      </c>
      <c r="C3915" t="n">
        <v>2023</v>
      </c>
      <c r="D3915" t="inlineStr">
        <is>
          <t>Company</t>
        </is>
      </c>
      <c r="E3915" t="inlineStr">
        <is>
          <t>Mill Capacity Upgrade (2023)</t>
        </is>
      </c>
      <c r="F3915" t="inlineStr">
        <is>
          <t>60 tph -&gt; 90 tph</t>
        </is>
      </c>
      <c r="G3915" t="inlineStr">
        <is>
          <t>text</t>
        </is>
      </c>
      <c r="H3915" t="n">
        <v>12</v>
      </c>
      <c r="I3915" t="inlineStr">
        <is>
          <t>Penambahan Kapasitas olah Pabrik Kelapa Sawit dari 60 ton per jam menjadi 90 ton per jam</t>
        </is>
      </c>
      <c r="J3915" t="inlineStr">
        <is>
          <t>High</t>
        </is>
      </c>
      <c r="M3915" t="inlineStr">
        <is>
          <t>LLM</t>
        </is>
      </c>
      <c r="N3915" t="inlineStr">
        <is>
          <t>2026-04-19</t>
        </is>
      </c>
      <c r="O3915" t="inlineStr">
        <is>
          <t>AI</t>
        </is>
      </c>
    </row>
    <row r="3916">
      <c r="A3916" t="inlineStr">
        <is>
          <t>PT Pradiksi Gunatama Tbk</t>
        </is>
      </c>
      <c r="B3916" t="inlineStr">
        <is>
          <t>PGUN_2024_AR.pdf</t>
        </is>
      </c>
      <c r="C3916" t="n">
        <v>2024</v>
      </c>
      <c r="D3916" t="inlineStr">
        <is>
          <t>Company</t>
        </is>
      </c>
      <c r="E3916" t="inlineStr">
        <is>
          <t>Company Name</t>
        </is>
      </c>
      <c r="F3916" t="inlineStr">
        <is>
          <t>PT Pradiksi Gunatama Tbk</t>
        </is>
      </c>
      <c r="G3916" t="inlineStr">
        <is>
          <t>text</t>
        </is>
      </c>
      <c r="H3916" t="n">
        <v>1</v>
      </c>
      <c r="I3916" t="inlineStr">
        <is>
          <t>PT PRADIKSI GUNATAMA TBK - LAPORAN TAHUNAN 2024</t>
        </is>
      </c>
      <c r="J3916" t="inlineStr">
        <is>
          <t>High</t>
        </is>
      </c>
      <c r="M3916" t="inlineStr">
        <is>
          <t>LLM</t>
        </is>
      </c>
      <c r="N3916" t="inlineStr">
        <is>
          <t>2026-04-19</t>
        </is>
      </c>
      <c r="O3916" t="inlineStr">
        <is>
          <t>AI</t>
        </is>
      </c>
    </row>
    <row r="3917">
      <c r="A3917" t="inlineStr">
        <is>
          <t>PT Pradiksi Gunatama Tbk</t>
        </is>
      </c>
      <c r="B3917" t="inlineStr">
        <is>
          <t>PGUN_2024_AR.pdf</t>
        </is>
      </c>
      <c r="C3917" t="n">
        <v>2024</v>
      </c>
      <c r="D3917" t="inlineStr">
        <is>
          <t>Company</t>
        </is>
      </c>
      <c r="E3917" t="inlineStr">
        <is>
          <t>Head Office</t>
        </is>
      </c>
      <c r="F3917" t="inlineStr">
        <is>
          <t>Jl. Negara Km. 44 Batu Engau, Paser, East Kalimantan</t>
        </is>
      </c>
      <c r="G3917" t="inlineStr">
        <is>
          <t>text</t>
        </is>
      </c>
      <c r="H3917" t="n">
        <v>14</v>
      </c>
      <c r="I3917" t="inlineStr">
        <is>
          <t>Alamat Kantor Jl. Negara Km. 44 kecamatan Batu Engau, Kabupaten Paser, Provinsi Kalimantan Timur</t>
        </is>
      </c>
      <c r="J3917" t="inlineStr">
        <is>
          <t>High</t>
        </is>
      </c>
      <c r="M3917" t="inlineStr">
        <is>
          <t>LLM</t>
        </is>
      </c>
      <c r="N3917" t="inlineStr">
        <is>
          <t>2026-04-19</t>
        </is>
      </c>
      <c r="O3917" t="inlineStr">
        <is>
          <t>AI</t>
        </is>
      </c>
    </row>
    <row r="3918">
      <c r="A3918" t="inlineStr">
        <is>
          <t>PT Pradiksi Gunatama Tbk</t>
        </is>
      </c>
      <c r="B3918" t="inlineStr">
        <is>
          <t>PGUN_2024_AR.pdf</t>
        </is>
      </c>
      <c r="C3918" t="n">
        <v>2024</v>
      </c>
      <c r="D3918" t="inlineStr">
        <is>
          <t>Company</t>
        </is>
      </c>
      <c r="E3918" t="inlineStr">
        <is>
          <t>Establishment Year</t>
        </is>
      </c>
      <c r="F3918" t="n">
        <v>1995</v>
      </c>
      <c r="G3918" t="inlineStr">
        <is>
          <t>year</t>
        </is>
      </c>
      <c r="H3918" t="n">
        <v>14</v>
      </c>
      <c r="I3918" t="inlineStr">
        <is>
          <t>Perseroan berdiri Tahun 1995</t>
        </is>
      </c>
      <c r="J3918" t="inlineStr">
        <is>
          <t>High</t>
        </is>
      </c>
      <c r="M3918" t="inlineStr">
        <is>
          <t>LLM</t>
        </is>
      </c>
      <c r="N3918" t="inlineStr">
        <is>
          <t>2026-04-19</t>
        </is>
      </c>
      <c r="O3918" t="inlineStr">
        <is>
          <t>AI</t>
        </is>
      </c>
    </row>
    <row r="3919">
      <c r="A3919" t="inlineStr">
        <is>
          <t>PT Pradiksi Gunatama Tbk</t>
        </is>
      </c>
      <c r="B3919" t="inlineStr">
        <is>
          <t>PGUN_2024_AR.pdf</t>
        </is>
      </c>
      <c r="C3919" t="n">
        <v>2024</v>
      </c>
      <c r="D3919" t="inlineStr">
        <is>
          <t>Company</t>
        </is>
      </c>
      <c r="E3919" t="inlineStr">
        <is>
          <t>HGU Area</t>
        </is>
      </c>
      <c r="F3919" t="n">
        <v>41562.25</v>
      </c>
      <c r="G3919" t="inlineStr">
        <is>
          <t>ha</t>
        </is>
      </c>
      <c r="H3919" t="n">
        <v>127</v>
      </c>
      <c r="I3919" t="inlineStr">
        <is>
          <t>Perusahaan memiliki lahan perkebunan kelapa sawit seluas 41.562,25 hektar. HGU 42 tahun sampai 2053</t>
        </is>
      </c>
      <c r="J3919" t="inlineStr">
        <is>
          <t>High</t>
        </is>
      </c>
      <c r="M3919" t="inlineStr">
        <is>
          <t>LLM</t>
        </is>
      </c>
      <c r="N3919" t="inlineStr">
        <is>
          <t>2026-04-19</t>
        </is>
      </c>
      <c r="O3919" t="inlineStr">
        <is>
          <t>AI</t>
        </is>
      </c>
    </row>
    <row r="3920">
      <c r="A3920" t="inlineStr">
        <is>
          <t>PT Pradiksi Gunatama Tbk</t>
        </is>
      </c>
      <c r="B3920" t="inlineStr">
        <is>
          <t>PGUN_2024_AR.pdf</t>
        </is>
      </c>
      <c r="C3920" t="n">
        <v>2024</v>
      </c>
      <c r="D3920" t="inlineStr">
        <is>
          <t>Company</t>
        </is>
      </c>
      <c r="E3920" t="inlineStr">
        <is>
          <t>Controlling Shareholder 1</t>
        </is>
      </c>
      <c r="F3920" t="inlineStr">
        <is>
          <t>PT Araya Agro Lestari 38.44%</t>
        </is>
      </c>
      <c r="G3920" t="inlineStr">
        <is>
          <t>%</t>
        </is>
      </c>
      <c r="H3920" t="n">
        <v>35</v>
      </c>
      <c r="I3920" t="inlineStr">
        <is>
          <t>PT Araya Agro Lestari 2.205.667.896 38,44% Pengendali (per 31 Dec 2024)</t>
        </is>
      </c>
      <c r="J3920" t="inlineStr">
        <is>
          <t>High</t>
        </is>
      </c>
      <c r="M3920" t="inlineStr">
        <is>
          <t>LLM</t>
        </is>
      </c>
      <c r="N3920" t="inlineStr">
        <is>
          <t>2026-04-19</t>
        </is>
      </c>
      <c r="O3920" t="inlineStr">
        <is>
          <t>AI</t>
        </is>
      </c>
    </row>
    <row r="3921">
      <c r="A3921" t="inlineStr">
        <is>
          <t>PT Pradiksi Gunatama Tbk</t>
        </is>
      </c>
      <c r="B3921" t="inlineStr">
        <is>
          <t>PGUN_2024_AR.pdf</t>
        </is>
      </c>
      <c r="C3921" t="n">
        <v>2024</v>
      </c>
      <c r="D3921" t="inlineStr">
        <is>
          <t>Company</t>
        </is>
      </c>
      <c r="E3921" t="inlineStr">
        <is>
          <t>Controlling Shareholder 2</t>
        </is>
      </c>
      <c r="F3921" t="inlineStr">
        <is>
          <t>PT Citra Agro Raya 38.25%</t>
        </is>
      </c>
      <c r="G3921" t="inlineStr">
        <is>
          <t>%</t>
        </is>
      </c>
      <c r="H3921" t="n">
        <v>35</v>
      </c>
      <c r="I3921" t="inlineStr">
        <is>
          <t>PT Citra Agro Raya 2.194.718.786 38,25% Pengendali (per 31 Dec 2024)</t>
        </is>
      </c>
      <c r="J3921" t="inlineStr">
        <is>
          <t>High</t>
        </is>
      </c>
      <c r="M3921" t="inlineStr">
        <is>
          <t>LLM</t>
        </is>
      </c>
      <c r="N3921" t="inlineStr">
        <is>
          <t>2026-04-19</t>
        </is>
      </c>
      <c r="O3921" t="inlineStr">
        <is>
          <t>AI</t>
        </is>
      </c>
    </row>
    <row r="3922">
      <c r="A3922" t="inlineStr">
        <is>
          <t>PT Pradiksi Gunatama Tbk</t>
        </is>
      </c>
      <c r="B3922" t="inlineStr">
        <is>
          <t>PGUN_2024_AR.pdf</t>
        </is>
      </c>
      <c r="C3922" t="n">
        <v>2024</v>
      </c>
      <c r="D3922" t="inlineStr">
        <is>
          <t>Company</t>
        </is>
      </c>
      <c r="E3922" t="inlineStr">
        <is>
          <t>Major Shareholder 3</t>
        </is>
      </c>
      <c r="F3922" t="inlineStr">
        <is>
          <t>PT Baramega Citra Mulia Persada 16.88%</t>
        </is>
      </c>
      <c r="G3922" t="inlineStr">
        <is>
          <t>%</t>
        </is>
      </c>
      <c r="H3922" t="n">
        <v>36</v>
      </c>
      <c r="I3922" t="inlineStr">
        <is>
          <t>PT Baramega Citra Mulia Persada 968.262.500 16,88% Controller</t>
        </is>
      </c>
      <c r="J3922" t="inlineStr">
        <is>
          <t>High</t>
        </is>
      </c>
      <c r="M3922" t="inlineStr">
        <is>
          <t>LLM</t>
        </is>
      </c>
      <c r="N3922" t="inlineStr">
        <is>
          <t>2026-04-19</t>
        </is>
      </c>
      <c r="O3922" t="inlineStr">
        <is>
          <t>AI</t>
        </is>
      </c>
    </row>
    <row r="3923">
      <c r="A3923" t="inlineStr">
        <is>
          <t>PT Pradiksi Gunatama Tbk</t>
        </is>
      </c>
      <c r="B3923" t="inlineStr">
        <is>
          <t>PGUN_2024_AR.pdf</t>
        </is>
      </c>
      <c r="C3923" t="n">
        <v>2024</v>
      </c>
      <c r="D3923" t="inlineStr">
        <is>
          <t>Company</t>
        </is>
      </c>
      <c r="E3923" t="inlineStr">
        <is>
          <t>Auditor</t>
        </is>
      </c>
      <c r="F3923" t="inlineStr">
        <is>
          <t>KAP Kanaka Puradiredja Suhartono</t>
        </is>
      </c>
      <c r="G3923" t="inlineStr">
        <is>
          <t>text</t>
        </is>
      </c>
      <c r="H3923" t="n">
        <v>3</v>
      </c>
      <c r="I3923" t="inlineStr">
        <is>
          <t>diaudit oleh Kantor Akuntan Publik Kanaka Puradiredja Suhartono</t>
        </is>
      </c>
      <c r="J3923" t="inlineStr">
        <is>
          <t>High</t>
        </is>
      </c>
      <c r="M3923" t="inlineStr">
        <is>
          <t>LLM</t>
        </is>
      </c>
      <c r="N3923" t="inlineStr">
        <is>
          <t>2026-04-19</t>
        </is>
      </c>
      <c r="O3923" t="inlineStr">
        <is>
          <t>AI</t>
        </is>
      </c>
    </row>
    <row r="3924">
      <c r="A3924" t="inlineStr">
        <is>
          <t>PT Pradiksi Gunatama Tbk</t>
        </is>
      </c>
      <c r="B3924" t="inlineStr">
        <is>
          <t>PGUN_2024_AR.pdf</t>
        </is>
      </c>
      <c r="C3924" t="n">
        <v>2024</v>
      </c>
      <c r="D3924" t="inlineStr">
        <is>
          <t>Company</t>
        </is>
      </c>
      <c r="E3924" t="inlineStr">
        <is>
          <t>President Director</t>
        </is>
      </c>
      <c r="F3924" t="inlineStr">
        <is>
          <t>Khairuddin Simatupang</t>
        </is>
      </c>
      <c r="G3924" t="inlineStr">
        <is>
          <t>text</t>
        </is>
      </c>
      <c r="H3924" t="n">
        <v>21</v>
      </c>
      <c r="I3924" t="inlineStr">
        <is>
          <t>Direktur Utama Khairuddin Simatupang (appointed Jan 2024 replacing Joo Young Lee)</t>
        </is>
      </c>
      <c r="J3924" t="inlineStr">
        <is>
          <t>High</t>
        </is>
      </c>
      <c r="M3924" t="inlineStr">
        <is>
          <t>LLM</t>
        </is>
      </c>
      <c r="N3924" t="inlineStr">
        <is>
          <t>2026-04-19</t>
        </is>
      </c>
      <c r="O3924" t="inlineStr">
        <is>
          <t>AI</t>
        </is>
      </c>
    </row>
    <row r="3925">
      <c r="A3925" t="inlineStr">
        <is>
          <t>PT Pradiksi Gunatama Tbk</t>
        </is>
      </c>
      <c r="B3925" t="inlineStr">
        <is>
          <t>PGUN_2024_AR.pdf</t>
        </is>
      </c>
      <c r="C3925" t="n">
        <v>2024</v>
      </c>
      <c r="D3925" t="inlineStr">
        <is>
          <t>Company</t>
        </is>
      </c>
      <c r="E3925" t="inlineStr">
        <is>
          <t>President Commissioner</t>
        </is>
      </c>
      <c r="F3925" t="inlineStr">
        <is>
          <t>Liana Saputri</t>
        </is>
      </c>
      <c r="G3925" t="inlineStr">
        <is>
          <t>text</t>
        </is>
      </c>
      <c r="H3925" t="n">
        <v>21</v>
      </c>
      <c r="I3925" t="inlineStr">
        <is>
          <t>Komisaris Utama: Liana Saputri</t>
        </is>
      </c>
      <c r="J3925" t="inlineStr">
        <is>
          <t>High</t>
        </is>
      </c>
      <c r="M3925" t="inlineStr">
        <is>
          <t>LLM</t>
        </is>
      </c>
      <c r="N3925" t="inlineStr">
        <is>
          <t>2026-04-19</t>
        </is>
      </c>
      <c r="O3925" t="inlineStr">
        <is>
          <t>AI</t>
        </is>
      </c>
    </row>
    <row r="3926">
      <c r="A3926" t="inlineStr">
        <is>
          <t>PT Pradiksi Gunatama Tbk</t>
        </is>
      </c>
      <c r="B3926" t="inlineStr">
        <is>
          <t>PGUN_2024_AR.pdf</t>
        </is>
      </c>
      <c r="C3926" t="n">
        <v>2024</v>
      </c>
      <c r="D3926" t="inlineStr">
        <is>
          <t>Financial</t>
        </is>
      </c>
      <c r="E3926" t="inlineStr">
        <is>
          <t>Revenue (Net Sales)</t>
        </is>
      </c>
      <c r="F3926" t="n">
        <v>738.5700000000001</v>
      </c>
      <c r="G3926" t="inlineStr">
        <is>
          <t>IDR bn</t>
        </is>
      </c>
      <c r="H3926" t="n">
        <v>4</v>
      </c>
      <c r="I3926" t="inlineStr">
        <is>
          <t>PENJUALAN BERSIH 738,565,449,724 (2024)</t>
        </is>
      </c>
      <c r="J3926" t="inlineStr">
        <is>
          <t>High</t>
        </is>
      </c>
      <c r="M3926" t="inlineStr">
        <is>
          <t>LLM</t>
        </is>
      </c>
      <c r="N3926" t="inlineStr">
        <is>
          <t>2026-04-19</t>
        </is>
      </c>
      <c r="O3926" t="inlineStr">
        <is>
          <t>AI</t>
        </is>
      </c>
    </row>
    <row r="3927">
      <c r="A3927" t="inlineStr">
        <is>
          <t>PT Pradiksi Gunatama Tbk</t>
        </is>
      </c>
      <c r="B3927" t="inlineStr">
        <is>
          <t>PGUN_2024_AR.pdf</t>
        </is>
      </c>
      <c r="C3927" t="n">
        <v>2024</v>
      </c>
      <c r="D3927" t="inlineStr">
        <is>
          <t>Financial</t>
        </is>
      </c>
      <c r="E3927" t="inlineStr">
        <is>
          <t>Gross Profit</t>
        </is>
      </c>
      <c r="F3927" t="n">
        <v>204.97</v>
      </c>
      <c r="G3927" t="inlineStr">
        <is>
          <t>IDR bn</t>
        </is>
      </c>
      <c r="H3927" t="n">
        <v>4</v>
      </c>
      <c r="I3927" t="inlineStr">
        <is>
          <t>LABA BRUTO 204,968,027,961</t>
        </is>
      </c>
      <c r="J3927" t="inlineStr">
        <is>
          <t>High</t>
        </is>
      </c>
      <c r="M3927" t="inlineStr">
        <is>
          <t>LLM</t>
        </is>
      </c>
      <c r="N3927" t="inlineStr">
        <is>
          <t>2026-04-19</t>
        </is>
      </c>
      <c r="O3927" t="inlineStr">
        <is>
          <t>AI</t>
        </is>
      </c>
    </row>
    <row r="3928">
      <c r="A3928" t="inlineStr">
        <is>
          <t>PT Pradiksi Gunatama Tbk</t>
        </is>
      </c>
      <c r="B3928" t="inlineStr">
        <is>
          <t>PGUN_2024_AR.pdf</t>
        </is>
      </c>
      <c r="C3928" t="n">
        <v>2024</v>
      </c>
      <c r="D3928" t="inlineStr">
        <is>
          <t>Financial</t>
        </is>
      </c>
      <c r="E3928" t="inlineStr">
        <is>
          <t>Operating Profit (EBIT)</t>
        </is>
      </c>
      <c r="F3928" t="n">
        <v>150.69</v>
      </c>
      <c r="G3928" t="inlineStr">
        <is>
          <t>IDR bn</t>
        </is>
      </c>
      <c r="H3928" t="n">
        <v>4</v>
      </c>
      <c r="I3928" t="inlineStr">
        <is>
          <t>LABA (RUGI) USAHA 150,693,553,404</t>
        </is>
      </c>
      <c r="J3928" t="inlineStr">
        <is>
          <t>High</t>
        </is>
      </c>
      <c r="M3928" t="inlineStr">
        <is>
          <t>LLM</t>
        </is>
      </c>
      <c r="N3928" t="inlineStr">
        <is>
          <t>2026-04-19</t>
        </is>
      </c>
      <c r="O3928" t="inlineStr">
        <is>
          <t>AI</t>
        </is>
      </c>
    </row>
    <row r="3929">
      <c r="A3929" t="inlineStr">
        <is>
          <t>PT Pradiksi Gunatama Tbk</t>
        </is>
      </c>
      <c r="B3929" t="inlineStr">
        <is>
          <t>PGUN_2024_AR.pdf</t>
        </is>
      </c>
      <c r="C3929" t="n">
        <v>2024</v>
      </c>
      <c r="D3929" t="inlineStr">
        <is>
          <t>Financial</t>
        </is>
      </c>
      <c r="E3929" t="inlineStr">
        <is>
          <t>Profit Before Tax</t>
        </is>
      </c>
      <c r="F3929" t="n">
        <v>101.82</v>
      </c>
      <c r="G3929" t="inlineStr">
        <is>
          <t>IDR bn</t>
        </is>
      </c>
      <c r="H3929" t="n">
        <v>161</v>
      </c>
      <c r="I3929" t="inlineStr">
        <is>
          <t>Laba (rugi) sebelum pajak penghasilan 101.823.072.593</t>
        </is>
      </c>
      <c r="J3929" t="inlineStr">
        <is>
          <t>High</t>
        </is>
      </c>
      <c r="M3929" t="inlineStr">
        <is>
          <t>LLM</t>
        </is>
      </c>
      <c r="N3929" t="inlineStr">
        <is>
          <t>2026-04-19</t>
        </is>
      </c>
      <c r="O3929" t="inlineStr">
        <is>
          <t>AI</t>
        </is>
      </c>
    </row>
    <row r="3930">
      <c r="A3930" t="inlineStr">
        <is>
          <t>PT Pradiksi Gunatama Tbk</t>
        </is>
      </c>
      <c r="B3930" t="inlineStr">
        <is>
          <t>PGUN_2024_AR.pdf</t>
        </is>
      </c>
      <c r="C3930" t="n">
        <v>2024</v>
      </c>
      <c r="D3930" t="inlineStr">
        <is>
          <t>Financial</t>
        </is>
      </c>
      <c r="E3930" t="inlineStr">
        <is>
          <t>Net Profit</t>
        </is>
      </c>
      <c r="F3930" t="n">
        <v>79.18000000000001</v>
      </c>
      <c r="G3930" t="inlineStr">
        <is>
          <t>IDR bn</t>
        </is>
      </c>
      <c r="H3930" t="n">
        <v>4</v>
      </c>
      <c r="I3930" t="inlineStr">
        <is>
          <t>LABA BERSIH 79,181,162,731 (2024)</t>
        </is>
      </c>
      <c r="J3930" t="inlineStr">
        <is>
          <t>High</t>
        </is>
      </c>
      <c r="M3930" t="inlineStr">
        <is>
          <t>LLM</t>
        </is>
      </c>
      <c r="N3930" t="inlineStr">
        <is>
          <t>2026-04-19</t>
        </is>
      </c>
      <c r="O3930" t="inlineStr">
        <is>
          <t>AI</t>
        </is>
      </c>
    </row>
    <row r="3931">
      <c r="A3931" t="inlineStr">
        <is>
          <t>PT Pradiksi Gunatama Tbk</t>
        </is>
      </c>
      <c r="B3931" t="inlineStr">
        <is>
          <t>PGUN_2024_AR.pdf</t>
        </is>
      </c>
      <c r="C3931" t="n">
        <v>2024</v>
      </c>
      <c r="D3931" t="inlineStr">
        <is>
          <t>Financial</t>
        </is>
      </c>
      <c r="E3931" t="inlineStr">
        <is>
          <t>Total Comprehensive Income</t>
        </is>
      </c>
      <c r="F3931" t="n">
        <v>166.88</v>
      </c>
      <c r="G3931" t="inlineStr">
        <is>
          <t>IDR bn</t>
        </is>
      </c>
      <c r="H3931" t="n">
        <v>4</v>
      </c>
      <c r="I3931" t="inlineStr">
        <is>
          <t>Total Laba (Rugi) komprehensif 166,876,905,325</t>
        </is>
      </c>
      <c r="J3931" t="inlineStr">
        <is>
          <t>High</t>
        </is>
      </c>
      <c r="M3931" t="inlineStr">
        <is>
          <t>LLM</t>
        </is>
      </c>
      <c r="N3931" t="inlineStr">
        <is>
          <t>2026-04-19</t>
        </is>
      </c>
      <c r="O3931" t="inlineStr">
        <is>
          <t>AI</t>
        </is>
      </c>
    </row>
    <row r="3932">
      <c r="A3932" t="inlineStr">
        <is>
          <t>PT Pradiksi Gunatama Tbk</t>
        </is>
      </c>
      <c r="B3932" t="inlineStr">
        <is>
          <t>PGUN_2024_AR.pdf</t>
        </is>
      </c>
      <c r="C3932" t="n">
        <v>2024</v>
      </c>
      <c r="D3932" t="inlineStr">
        <is>
          <t>Financial</t>
        </is>
      </c>
      <c r="E3932" t="inlineStr">
        <is>
          <t>EPS</t>
        </is>
      </c>
      <c r="F3932" t="n">
        <v>13.8</v>
      </c>
      <c r="G3932" t="inlineStr">
        <is>
          <t>Rp/share</t>
        </is>
      </c>
      <c r="H3932" t="n">
        <v>4</v>
      </c>
      <c r="I3932" t="inlineStr">
        <is>
          <t>LABA (RUGI) PER SAHAM 13.80 (2024)</t>
        </is>
      </c>
      <c r="J3932" t="inlineStr">
        <is>
          <t>High</t>
        </is>
      </c>
      <c r="M3932" t="inlineStr">
        <is>
          <t>LLM</t>
        </is>
      </c>
      <c r="N3932" t="inlineStr">
        <is>
          <t>2026-04-19</t>
        </is>
      </c>
      <c r="O3932" t="inlineStr">
        <is>
          <t>AI</t>
        </is>
      </c>
    </row>
    <row r="3933">
      <c r="A3933" t="inlineStr">
        <is>
          <t>PT Pradiksi Gunatama Tbk</t>
        </is>
      </c>
      <c r="B3933" t="inlineStr">
        <is>
          <t>PGUN_2024_AR.pdf</t>
        </is>
      </c>
      <c r="C3933" t="n">
        <v>2024</v>
      </c>
      <c r="D3933" t="inlineStr">
        <is>
          <t>Financial</t>
        </is>
      </c>
      <c r="E3933" t="inlineStr">
        <is>
          <t>Total Assets</t>
        </is>
      </c>
      <c r="F3933" t="n">
        <v>2639.2</v>
      </c>
      <c r="G3933" t="inlineStr">
        <is>
          <t>IDR bn</t>
        </is>
      </c>
      <c r="H3933" t="n">
        <v>4</v>
      </c>
      <c r="I3933" t="inlineStr">
        <is>
          <t>Jumlah Aset 2,639,198,599,961</t>
        </is>
      </c>
      <c r="J3933" t="inlineStr">
        <is>
          <t>High</t>
        </is>
      </c>
      <c r="M3933" t="inlineStr">
        <is>
          <t>LLM</t>
        </is>
      </c>
      <c r="N3933" t="inlineStr">
        <is>
          <t>2026-04-19</t>
        </is>
      </c>
      <c r="O3933" t="inlineStr">
        <is>
          <t>AI</t>
        </is>
      </c>
    </row>
    <row r="3934">
      <c r="A3934" t="inlineStr">
        <is>
          <t>PT Pradiksi Gunatama Tbk</t>
        </is>
      </c>
      <c r="B3934" t="inlineStr">
        <is>
          <t>PGUN_2024_AR.pdf</t>
        </is>
      </c>
      <c r="C3934" t="n">
        <v>2024</v>
      </c>
      <c r="D3934" t="inlineStr">
        <is>
          <t>Financial</t>
        </is>
      </c>
      <c r="E3934" t="inlineStr">
        <is>
          <t>Current Assets</t>
        </is>
      </c>
      <c r="F3934" t="n">
        <v>367.88</v>
      </c>
      <c r="G3934" t="inlineStr">
        <is>
          <t>IDR bn</t>
        </is>
      </c>
      <c r="H3934" t="n">
        <v>122</v>
      </c>
      <c r="I3934" t="inlineStr">
        <is>
          <t>Jumlah aset lancar 367.880.500.497</t>
        </is>
      </c>
      <c r="J3934" t="inlineStr">
        <is>
          <t>High</t>
        </is>
      </c>
      <c r="M3934" t="inlineStr">
        <is>
          <t>LLM</t>
        </is>
      </c>
      <c r="N3934" t="inlineStr">
        <is>
          <t>2026-04-19</t>
        </is>
      </c>
      <c r="O3934" t="inlineStr">
        <is>
          <t>AI</t>
        </is>
      </c>
    </row>
    <row r="3935">
      <c r="A3935" t="inlineStr">
        <is>
          <t>PT Pradiksi Gunatama Tbk</t>
        </is>
      </c>
      <c r="B3935" t="inlineStr">
        <is>
          <t>PGUN_2024_AR.pdf</t>
        </is>
      </c>
      <c r="C3935" t="n">
        <v>2024</v>
      </c>
      <c r="D3935" t="inlineStr">
        <is>
          <t>Financial</t>
        </is>
      </c>
      <c r="E3935" t="inlineStr">
        <is>
          <t>Non-Current Assets</t>
        </is>
      </c>
      <c r="F3935" t="n">
        <v>2271.32</v>
      </c>
      <c r="G3935" t="inlineStr">
        <is>
          <t>IDR bn</t>
        </is>
      </c>
      <c r="H3935" t="n">
        <v>122</v>
      </c>
      <c r="I3935" t="inlineStr">
        <is>
          <t>Jumlah aset tidak lancar 2.271.318.099.464</t>
        </is>
      </c>
      <c r="J3935" t="inlineStr">
        <is>
          <t>High</t>
        </is>
      </c>
      <c r="M3935" t="inlineStr">
        <is>
          <t>LLM</t>
        </is>
      </c>
      <c r="N3935" t="inlineStr">
        <is>
          <t>2026-04-19</t>
        </is>
      </c>
      <c r="O3935" t="inlineStr">
        <is>
          <t>AI</t>
        </is>
      </c>
    </row>
    <row r="3936">
      <c r="A3936" t="inlineStr">
        <is>
          <t>PT Pradiksi Gunatama Tbk</t>
        </is>
      </c>
      <c r="B3936" t="inlineStr">
        <is>
          <t>PGUN_2024_AR.pdf</t>
        </is>
      </c>
      <c r="C3936" t="n">
        <v>2024</v>
      </c>
      <c r="D3936" t="inlineStr">
        <is>
          <t>Financial</t>
        </is>
      </c>
      <c r="E3936" t="inlineStr">
        <is>
          <t>Total Liabilities</t>
        </is>
      </c>
      <c r="F3936" t="n">
        <v>846.25</v>
      </c>
      <c r="G3936" t="inlineStr">
        <is>
          <t>IDR bn</t>
        </is>
      </c>
      <c r="H3936" t="n">
        <v>4</v>
      </c>
      <c r="I3936" t="inlineStr">
        <is>
          <t>Jumlah Liabilitas 846,246,848,866</t>
        </is>
      </c>
      <c r="J3936" t="inlineStr">
        <is>
          <t>High</t>
        </is>
      </c>
      <c r="M3936" t="inlineStr">
        <is>
          <t>LLM</t>
        </is>
      </c>
      <c r="N3936" t="inlineStr">
        <is>
          <t>2026-04-19</t>
        </is>
      </c>
      <c r="O3936" t="inlineStr">
        <is>
          <t>AI</t>
        </is>
      </c>
    </row>
    <row r="3937">
      <c r="A3937" t="inlineStr">
        <is>
          <t>PT Pradiksi Gunatama Tbk</t>
        </is>
      </c>
      <c r="B3937" t="inlineStr">
        <is>
          <t>PGUN_2024_AR.pdf</t>
        </is>
      </c>
      <c r="C3937" t="n">
        <v>2024</v>
      </c>
      <c r="D3937" t="inlineStr">
        <is>
          <t>Financial</t>
        </is>
      </c>
      <c r="E3937" t="inlineStr">
        <is>
          <t>Current Liabilities</t>
        </is>
      </c>
      <c r="F3937" t="n">
        <v>211.18</v>
      </c>
      <c r="G3937" t="inlineStr">
        <is>
          <t>IDR bn</t>
        </is>
      </c>
      <c r="H3937" t="n">
        <v>50</v>
      </c>
      <c r="I3937" t="inlineStr">
        <is>
          <t>Liabilitas Jangka Pendek 211.181.140.925</t>
        </is>
      </c>
      <c r="J3937" t="inlineStr">
        <is>
          <t>High</t>
        </is>
      </c>
      <c r="M3937" t="inlineStr">
        <is>
          <t>LLM</t>
        </is>
      </c>
      <c r="N3937" t="inlineStr">
        <is>
          <t>2026-04-19</t>
        </is>
      </c>
      <c r="O3937" t="inlineStr">
        <is>
          <t>AI</t>
        </is>
      </c>
    </row>
    <row r="3938">
      <c r="A3938" t="inlineStr">
        <is>
          <t>PT Pradiksi Gunatama Tbk</t>
        </is>
      </c>
      <c r="B3938" t="inlineStr">
        <is>
          <t>PGUN_2024_AR.pdf</t>
        </is>
      </c>
      <c r="C3938" t="n">
        <v>2024</v>
      </c>
      <c r="D3938" t="inlineStr">
        <is>
          <t>Financial</t>
        </is>
      </c>
      <c r="E3938" t="inlineStr">
        <is>
          <t>Long-term Liabilities</t>
        </is>
      </c>
      <c r="F3938" t="n">
        <v>635.0700000000001</v>
      </c>
      <c r="G3938" t="inlineStr">
        <is>
          <t>IDR bn</t>
        </is>
      </c>
      <c r="H3938" t="n">
        <v>50</v>
      </c>
      <c r="I3938" t="inlineStr">
        <is>
          <t>Liabilitas Jangka Panjang 635.065.707.941</t>
        </is>
      </c>
      <c r="J3938" t="inlineStr">
        <is>
          <t>High</t>
        </is>
      </c>
      <c r="M3938" t="inlineStr">
        <is>
          <t>LLM</t>
        </is>
      </c>
      <c r="N3938" t="inlineStr">
        <is>
          <t>2026-04-19</t>
        </is>
      </c>
      <c r="O3938" t="inlineStr">
        <is>
          <t>AI</t>
        </is>
      </c>
    </row>
    <row r="3939">
      <c r="A3939" t="inlineStr">
        <is>
          <t>PT Pradiksi Gunatama Tbk</t>
        </is>
      </c>
      <c r="B3939" t="inlineStr">
        <is>
          <t>PGUN_2024_AR.pdf</t>
        </is>
      </c>
      <c r="C3939" t="n">
        <v>2024</v>
      </c>
      <c r="D3939" t="inlineStr">
        <is>
          <t>Financial</t>
        </is>
      </c>
      <c r="E3939" t="inlineStr">
        <is>
          <t>Total Equity</t>
        </is>
      </c>
      <c r="F3939" t="n">
        <v>1792.95</v>
      </c>
      <c r="G3939" t="inlineStr">
        <is>
          <t>IDR bn</t>
        </is>
      </c>
      <c r="H3939" t="n">
        <v>4</v>
      </c>
      <c r="I3939" t="inlineStr">
        <is>
          <t>Jumlah Ekuitas 1,792,951,751,095</t>
        </is>
      </c>
      <c r="J3939" t="inlineStr">
        <is>
          <t>High</t>
        </is>
      </c>
      <c r="M3939" t="inlineStr">
        <is>
          <t>LLM</t>
        </is>
      </c>
      <c r="N3939" t="inlineStr">
        <is>
          <t>2026-04-19</t>
        </is>
      </c>
      <c r="O3939" t="inlineStr">
        <is>
          <t>AI</t>
        </is>
      </c>
    </row>
    <row r="3940">
      <c r="A3940" t="inlineStr">
        <is>
          <t>PT Pradiksi Gunatama Tbk</t>
        </is>
      </c>
      <c r="B3940" t="inlineStr">
        <is>
          <t>PGUN_2024_AR.pdf</t>
        </is>
      </c>
      <c r="C3940" t="n">
        <v>2024</v>
      </c>
      <c r="D3940" t="inlineStr">
        <is>
          <t>Financial</t>
        </is>
      </c>
      <c r="E3940" t="inlineStr">
        <is>
          <t>Cash and Banks</t>
        </is>
      </c>
      <c r="F3940" t="n">
        <v>14.23</v>
      </c>
      <c r="G3940" t="inlineStr">
        <is>
          <t>IDR bn</t>
        </is>
      </c>
      <c r="H3940" t="n">
        <v>122</v>
      </c>
      <c r="I3940" t="inlineStr">
        <is>
          <t>Kas dan bank 14.232.285.503</t>
        </is>
      </c>
      <c r="J3940" t="inlineStr">
        <is>
          <t>High</t>
        </is>
      </c>
      <c r="M3940" t="inlineStr">
        <is>
          <t>LLM</t>
        </is>
      </c>
      <c r="N3940" t="inlineStr">
        <is>
          <t>2026-04-19</t>
        </is>
      </c>
      <c r="O3940" t="inlineStr">
        <is>
          <t>AI</t>
        </is>
      </c>
    </row>
    <row r="3941">
      <c r="A3941" t="inlineStr">
        <is>
          <t>PT Pradiksi Gunatama Tbk</t>
        </is>
      </c>
      <c r="B3941" t="inlineStr">
        <is>
          <t>PGUN_2024_AR.pdf</t>
        </is>
      </c>
      <c r="C3941" t="n">
        <v>2024</v>
      </c>
      <c r="D3941" t="inlineStr">
        <is>
          <t>Financial</t>
        </is>
      </c>
      <c r="E3941" t="inlineStr">
        <is>
          <t>Trade Receivables</t>
        </is>
      </c>
      <c r="F3941" t="n">
        <v>210.3</v>
      </c>
      <c r="G3941" t="inlineStr">
        <is>
          <t>IDR bn</t>
        </is>
      </c>
      <c r="H3941" t="n">
        <v>122</v>
      </c>
      <c r="I3941" t="inlineStr">
        <is>
          <t>Piutang usaha: Pihak ketiga 1.268.558.739 + Pihak berelasi 209.036.322.120 = 210.304.880.859</t>
        </is>
      </c>
      <c r="J3941" t="inlineStr">
        <is>
          <t>High</t>
        </is>
      </c>
      <c r="M3941" t="inlineStr">
        <is>
          <t>LLM</t>
        </is>
      </c>
      <c r="N3941" t="inlineStr">
        <is>
          <t>2026-04-19</t>
        </is>
      </c>
      <c r="O3941" t="inlineStr">
        <is>
          <t>AI</t>
        </is>
      </c>
    </row>
    <row r="3942">
      <c r="A3942" t="inlineStr">
        <is>
          <t>PT Pradiksi Gunatama Tbk</t>
        </is>
      </c>
      <c r="B3942" t="inlineStr">
        <is>
          <t>PGUN_2024_AR.pdf</t>
        </is>
      </c>
      <c r="C3942" t="n">
        <v>2024</v>
      </c>
      <c r="D3942" t="inlineStr">
        <is>
          <t>Financial</t>
        </is>
      </c>
      <c r="E3942" t="inlineStr">
        <is>
          <t>Inventories</t>
        </is>
      </c>
      <c r="F3942" t="n">
        <v>43.49</v>
      </c>
      <c r="G3942" t="inlineStr">
        <is>
          <t>IDR bn</t>
        </is>
      </c>
      <c r="H3942" t="n">
        <v>122</v>
      </c>
      <c r="I3942" t="inlineStr">
        <is>
          <t>Persediaan 43.491.386.249</t>
        </is>
      </c>
      <c r="J3942" t="inlineStr">
        <is>
          <t>High</t>
        </is>
      </c>
      <c r="M3942" t="inlineStr">
        <is>
          <t>LLM</t>
        </is>
      </c>
      <c r="N3942" t="inlineStr">
        <is>
          <t>2026-04-19</t>
        </is>
      </c>
      <c r="O3942" t="inlineStr">
        <is>
          <t>AI</t>
        </is>
      </c>
    </row>
    <row r="3943">
      <c r="A3943" t="inlineStr">
        <is>
          <t>PT Pradiksi Gunatama Tbk</t>
        </is>
      </c>
      <c r="B3943" t="inlineStr">
        <is>
          <t>PGUN_2024_AR.pdf</t>
        </is>
      </c>
      <c r="C3943" t="n">
        <v>2024</v>
      </c>
      <c r="D3943" t="inlineStr">
        <is>
          <t>Financial</t>
        </is>
      </c>
      <c r="E3943" t="inlineStr">
        <is>
          <t>Biological Assets</t>
        </is>
      </c>
      <c r="F3943" t="n">
        <v>87.12</v>
      </c>
      <c r="G3943" t="inlineStr">
        <is>
          <t>IDR bn</t>
        </is>
      </c>
      <c r="H3943" t="n">
        <v>122</v>
      </c>
      <c r="I3943" t="inlineStr">
        <is>
          <t>Aset biologis 87.118.000.000</t>
        </is>
      </c>
      <c r="J3943" t="inlineStr">
        <is>
          <t>High</t>
        </is>
      </c>
      <c r="M3943" t="inlineStr">
        <is>
          <t>LLM</t>
        </is>
      </c>
      <c r="N3943" t="inlineStr">
        <is>
          <t>2026-04-19</t>
        </is>
      </c>
      <c r="O3943" t="inlineStr">
        <is>
          <t>AI</t>
        </is>
      </c>
    </row>
    <row r="3944">
      <c r="A3944" t="inlineStr">
        <is>
          <t>PT Pradiksi Gunatama Tbk</t>
        </is>
      </c>
      <c r="B3944" t="inlineStr">
        <is>
          <t>PGUN_2024_AR.pdf</t>
        </is>
      </c>
      <c r="C3944" t="n">
        <v>2024</v>
      </c>
      <c r="D3944" t="inlineStr">
        <is>
          <t>Financial</t>
        </is>
      </c>
      <c r="E3944" t="inlineStr">
        <is>
          <t>Mature Plants (Bearer)</t>
        </is>
      </c>
      <c r="F3944" t="n">
        <v>888.86</v>
      </c>
      <c r="G3944" t="inlineStr">
        <is>
          <t>IDR bn</t>
        </is>
      </c>
      <c r="H3944" t="n">
        <v>122</v>
      </c>
      <c r="I3944" t="inlineStr">
        <is>
          <t>Tanaman menghasilkan 888.863.786.822</t>
        </is>
      </c>
      <c r="J3944" t="inlineStr">
        <is>
          <t>High</t>
        </is>
      </c>
      <c r="M3944" t="inlineStr">
        <is>
          <t>LLM</t>
        </is>
      </c>
      <c r="N3944" t="inlineStr">
        <is>
          <t>2026-04-19</t>
        </is>
      </c>
      <c r="O3944" t="inlineStr">
        <is>
          <t>AI</t>
        </is>
      </c>
    </row>
    <row r="3945">
      <c r="A3945" t="inlineStr">
        <is>
          <t>PT Pradiksi Gunatama Tbk</t>
        </is>
      </c>
      <c r="B3945" t="inlineStr">
        <is>
          <t>PGUN_2024_AR.pdf</t>
        </is>
      </c>
      <c r="C3945" t="n">
        <v>2024</v>
      </c>
      <c r="D3945" t="inlineStr">
        <is>
          <t>Financial</t>
        </is>
      </c>
      <c r="E3945" t="inlineStr">
        <is>
          <t>Immature Plants</t>
        </is>
      </c>
      <c r="F3945" t="n">
        <v>183.36</v>
      </c>
      <c r="G3945" t="inlineStr">
        <is>
          <t>IDR bn</t>
        </is>
      </c>
      <c r="H3945" t="n">
        <v>122</v>
      </c>
      <c r="I3945" t="inlineStr">
        <is>
          <t>Tanaman belum menghasilkan 183.356.150.000</t>
        </is>
      </c>
      <c r="J3945" t="inlineStr">
        <is>
          <t>High</t>
        </is>
      </c>
      <c r="M3945" t="inlineStr">
        <is>
          <t>LLM</t>
        </is>
      </c>
      <c r="N3945" t="inlineStr">
        <is>
          <t>2026-04-19</t>
        </is>
      </c>
      <c r="O3945" t="inlineStr">
        <is>
          <t>AI</t>
        </is>
      </c>
    </row>
    <row r="3946">
      <c r="A3946" t="inlineStr">
        <is>
          <t>PT Pradiksi Gunatama Tbk</t>
        </is>
      </c>
      <c r="B3946" t="inlineStr">
        <is>
          <t>PGUN_2024_AR.pdf</t>
        </is>
      </c>
      <c r="C3946" t="n">
        <v>2024</v>
      </c>
      <c r="D3946" t="inlineStr">
        <is>
          <t>Financial</t>
        </is>
      </c>
      <c r="E3946" t="inlineStr">
        <is>
          <t>Fixed Assets (Net)</t>
        </is>
      </c>
      <c r="F3946" t="n">
        <v>1179.96</v>
      </c>
      <c r="G3946" t="inlineStr">
        <is>
          <t>IDR bn</t>
        </is>
      </c>
      <c r="H3946" t="n">
        <v>122</v>
      </c>
      <c r="I3946" t="inlineStr">
        <is>
          <t>Aset tetap, bersih 1.179.960.510.566</t>
        </is>
      </c>
      <c r="J3946" t="inlineStr">
        <is>
          <t>High</t>
        </is>
      </c>
      <c r="M3946" t="inlineStr">
        <is>
          <t>LLM</t>
        </is>
      </c>
      <c r="N3946" t="inlineStr">
        <is>
          <t>2026-04-19</t>
        </is>
      </c>
      <c r="O3946" t="inlineStr">
        <is>
          <t>AI</t>
        </is>
      </c>
    </row>
    <row r="3947">
      <c r="A3947" t="inlineStr">
        <is>
          <t>PT Pradiksi Gunatama Tbk</t>
        </is>
      </c>
      <c r="B3947" t="inlineStr">
        <is>
          <t>PGUN_2024_AR.pdf</t>
        </is>
      </c>
      <c r="C3947" t="n">
        <v>2024</v>
      </c>
      <c r="D3947" t="inlineStr">
        <is>
          <t>Financial</t>
        </is>
      </c>
      <c r="E3947" t="inlineStr">
        <is>
          <t>Bank Loan (BRI)</t>
        </is>
      </c>
      <c r="F3947" t="n">
        <v>492.69</v>
      </c>
      <c r="G3947" t="inlineStr">
        <is>
          <t>IDR bn</t>
        </is>
      </c>
      <c r="H3947" t="n">
        <v>160</v>
      </c>
      <c r="I3947" t="inlineStr">
        <is>
          <t>PT Bank Rakyat Indonesia (Persero), Tbk 492.693.999.995</t>
        </is>
      </c>
      <c r="J3947" t="inlineStr">
        <is>
          <t>High</t>
        </is>
      </c>
      <c r="M3947" t="inlineStr">
        <is>
          <t>LLM</t>
        </is>
      </c>
      <c r="N3947" t="inlineStr">
        <is>
          <t>2026-04-19</t>
        </is>
      </c>
      <c r="O3947" t="inlineStr">
        <is>
          <t>AI</t>
        </is>
      </c>
    </row>
    <row r="3948">
      <c r="A3948" t="inlineStr">
        <is>
          <t>PT Pradiksi Gunatama Tbk</t>
        </is>
      </c>
      <c r="B3948" t="inlineStr">
        <is>
          <t>PGUN_2024_AR.pdf</t>
        </is>
      </c>
      <c r="C3948" t="n">
        <v>2024</v>
      </c>
      <c r="D3948" t="inlineStr">
        <is>
          <t>Financial</t>
        </is>
      </c>
      <c r="E3948" t="inlineStr">
        <is>
          <t>Bank Loan (Net of unamortized cost)</t>
        </is>
      </c>
      <c r="F3948" t="n">
        <v>488.72</v>
      </c>
      <c r="G3948" t="inlineStr">
        <is>
          <t>IDR bn</t>
        </is>
      </c>
      <c r="H3948" t="n">
        <v>160</v>
      </c>
      <c r="I3948" t="inlineStr">
        <is>
          <t>Jumlah 488.719.338.563 (after Rp3.97 bn unamortized arrangement cost)</t>
        </is>
      </c>
      <c r="J3948" t="inlineStr">
        <is>
          <t>High</t>
        </is>
      </c>
      <c r="M3948" t="inlineStr">
        <is>
          <t>LLM</t>
        </is>
      </c>
      <c r="N3948" t="inlineStr">
        <is>
          <t>2026-04-19</t>
        </is>
      </c>
      <c r="O3948" t="inlineStr">
        <is>
          <t>AI</t>
        </is>
      </c>
    </row>
    <row r="3949">
      <c r="A3949" t="inlineStr">
        <is>
          <t>PT Pradiksi Gunatama Tbk</t>
        </is>
      </c>
      <c r="B3949" t="inlineStr">
        <is>
          <t>PGUN_2024_AR.pdf</t>
        </is>
      </c>
      <c r="C3949" t="n">
        <v>2024</v>
      </c>
      <c r="D3949" t="inlineStr">
        <is>
          <t>Financial</t>
        </is>
      </c>
      <c r="E3949" t="inlineStr">
        <is>
          <t>Bank Loan Current Portion</t>
        </is>
      </c>
      <c r="F3949" t="n">
        <v>129.44</v>
      </c>
      <c r="G3949" t="inlineStr">
        <is>
          <t>IDR bn</t>
        </is>
      </c>
      <c r="H3949" t="n">
        <v>160</v>
      </c>
      <c r="I3949" t="inlineStr">
        <is>
          <t>Bagian jangka pendek 129.439.999.984</t>
        </is>
      </c>
      <c r="J3949" t="inlineStr">
        <is>
          <t>High</t>
        </is>
      </c>
      <c r="M3949" t="inlineStr">
        <is>
          <t>LLM</t>
        </is>
      </c>
      <c r="N3949" t="inlineStr">
        <is>
          <t>2026-04-19</t>
        </is>
      </c>
      <c r="O3949" t="inlineStr">
        <is>
          <t>AI</t>
        </is>
      </c>
    </row>
    <row r="3950">
      <c r="A3950" t="inlineStr">
        <is>
          <t>PT Pradiksi Gunatama Tbk</t>
        </is>
      </c>
      <c r="B3950" t="inlineStr">
        <is>
          <t>PGUN_2024_AR.pdf</t>
        </is>
      </c>
      <c r="C3950" t="n">
        <v>2024</v>
      </c>
      <c r="D3950" t="inlineStr">
        <is>
          <t>Financial</t>
        </is>
      </c>
      <c r="E3950" t="inlineStr">
        <is>
          <t>Bank Loan Non-current Portion</t>
        </is>
      </c>
      <c r="F3950" t="n">
        <v>359.28</v>
      </c>
      <c r="G3950" t="inlineStr">
        <is>
          <t>IDR bn</t>
        </is>
      </c>
      <c r="H3950" t="n">
        <v>160</v>
      </c>
      <c r="I3950" t="inlineStr">
        <is>
          <t>Bagian jangka panjang 359.279.338.579</t>
        </is>
      </c>
      <c r="J3950" t="inlineStr">
        <is>
          <t>High</t>
        </is>
      </c>
      <c r="M3950" t="inlineStr">
        <is>
          <t>LLM</t>
        </is>
      </c>
      <c r="N3950" t="inlineStr">
        <is>
          <t>2026-04-19</t>
        </is>
      </c>
      <c r="O3950" t="inlineStr">
        <is>
          <t>AI</t>
        </is>
      </c>
    </row>
    <row r="3951">
      <c r="A3951" t="inlineStr">
        <is>
          <t>PT Pradiksi Gunatama Tbk</t>
        </is>
      </c>
      <c r="B3951" t="inlineStr">
        <is>
          <t>PGUN_2024_AR.pdf</t>
        </is>
      </c>
      <c r="C3951" t="n">
        <v>2024</v>
      </c>
      <c r="D3951" t="inlineStr">
        <is>
          <t>Financial</t>
        </is>
      </c>
      <c r="E3951" t="inlineStr">
        <is>
          <t>Interest Expense</t>
        </is>
      </c>
      <c r="F3951" t="n">
        <v>40.41</v>
      </c>
      <c r="G3951" t="inlineStr">
        <is>
          <t>IDR bn</t>
        </is>
      </c>
      <c r="H3951" t="n">
        <v>162</v>
      </c>
      <c r="I3951" t="inlineStr">
        <is>
          <t>Beban bunga tahun 2024: Rp40.413.160.625</t>
        </is>
      </c>
      <c r="J3951" t="inlineStr">
        <is>
          <t>High</t>
        </is>
      </c>
      <c r="M3951" t="inlineStr">
        <is>
          <t>LLM</t>
        </is>
      </c>
      <c r="N3951" t="inlineStr">
        <is>
          <t>2026-04-19</t>
        </is>
      </c>
      <c r="O3951" t="inlineStr">
        <is>
          <t>AI</t>
        </is>
      </c>
    </row>
    <row r="3952">
      <c r="A3952" t="inlineStr">
        <is>
          <t>PT Pradiksi Gunatama Tbk</t>
        </is>
      </c>
      <c r="B3952" t="inlineStr">
        <is>
          <t>PGUN_2024_AR.pdf</t>
        </is>
      </c>
      <c r="C3952" t="n">
        <v>2024</v>
      </c>
      <c r="D3952" t="inlineStr">
        <is>
          <t>Financial</t>
        </is>
      </c>
      <c r="E3952" t="inlineStr">
        <is>
          <t>Loan interest rate</t>
        </is>
      </c>
      <c r="F3952" t="n">
        <v>7</v>
      </c>
      <c r="G3952" t="inlineStr">
        <is>
          <t>%</t>
        </is>
      </c>
      <c r="H3952" t="n">
        <v>161</v>
      </c>
      <c r="I3952" t="inlineStr">
        <is>
          <t>Tingkat bunga pinjaman 7% per tahun pada 31 Desember 2024 dan 2023</t>
        </is>
      </c>
      <c r="J3952" t="inlineStr">
        <is>
          <t>High</t>
        </is>
      </c>
      <c r="M3952" t="inlineStr">
        <is>
          <t>LLM</t>
        </is>
      </c>
      <c r="N3952" t="inlineStr">
        <is>
          <t>2026-04-19</t>
        </is>
      </c>
      <c r="O3952" t="inlineStr">
        <is>
          <t>AI</t>
        </is>
      </c>
    </row>
    <row r="3953">
      <c r="A3953" t="inlineStr">
        <is>
          <t>PT Pradiksi Gunatama Tbk</t>
        </is>
      </c>
      <c r="B3953" t="inlineStr">
        <is>
          <t>PGUN_2024_AR.pdf</t>
        </is>
      </c>
      <c r="C3953" t="n">
        <v>2024</v>
      </c>
      <c r="D3953" t="inlineStr">
        <is>
          <t>Financial</t>
        </is>
      </c>
      <c r="E3953" t="inlineStr">
        <is>
          <t>Interest-bearing Related Party Payable (LT)</t>
        </is>
      </c>
      <c r="F3953" t="n">
        <v>100.37</v>
      </c>
      <c r="G3953" t="inlineStr">
        <is>
          <t>IDR bn</t>
        </is>
      </c>
      <c r="H3953" t="n">
        <v>156</v>
      </c>
      <c r="I3953" t="inlineStr">
        <is>
          <t>Utang lain-lain jangka panjang PT Araya Agro Lestari 100.369.686.801 (interest-bearing)</t>
        </is>
      </c>
      <c r="J3953" t="inlineStr">
        <is>
          <t>High</t>
        </is>
      </c>
      <c r="M3953" t="inlineStr">
        <is>
          <t>LLM</t>
        </is>
      </c>
      <c r="N3953" t="inlineStr">
        <is>
          <t>2026-04-19</t>
        </is>
      </c>
      <c r="O3953" t="inlineStr">
        <is>
          <t>AI</t>
        </is>
      </c>
    </row>
    <row r="3954">
      <c r="A3954" t="inlineStr">
        <is>
          <t>PT Pradiksi Gunatama Tbk</t>
        </is>
      </c>
      <c r="B3954" t="inlineStr">
        <is>
          <t>PGUN_2024_AR.pdf</t>
        </is>
      </c>
      <c r="C3954" t="n">
        <v>2024</v>
      </c>
      <c r="D3954" t="inlineStr">
        <is>
          <t>Financial</t>
        </is>
      </c>
      <c r="E3954" t="inlineStr">
        <is>
          <t>CFO (Operating Cash Flow)</t>
        </is>
      </c>
      <c r="F3954" t="n">
        <v>111.43</v>
      </c>
      <c r="G3954" t="inlineStr">
        <is>
          <t>IDR bn</t>
        </is>
      </c>
      <c r="H3954" t="n">
        <v>126</v>
      </c>
      <c r="I3954" t="inlineStr">
        <is>
          <t>Kas bersih diperoleh dari aktivitas operasi 111.433.943.117</t>
        </is>
      </c>
      <c r="J3954" t="inlineStr">
        <is>
          <t>High</t>
        </is>
      </c>
      <c r="M3954" t="inlineStr">
        <is>
          <t>LLM</t>
        </is>
      </c>
      <c r="N3954" t="inlineStr">
        <is>
          <t>2026-04-19</t>
        </is>
      </c>
      <c r="O3954" t="inlineStr">
        <is>
          <t>AI</t>
        </is>
      </c>
    </row>
    <row r="3955">
      <c r="A3955" t="inlineStr">
        <is>
          <t>PT Pradiksi Gunatama Tbk</t>
        </is>
      </c>
      <c r="B3955" t="inlineStr">
        <is>
          <t>PGUN_2024_AR.pdf</t>
        </is>
      </c>
      <c r="C3955" t="n">
        <v>2024</v>
      </c>
      <c r="D3955" t="inlineStr">
        <is>
          <t>Financial</t>
        </is>
      </c>
      <c r="E3955" t="inlineStr">
        <is>
          <t>CFI (Investing Cash Flow)</t>
        </is>
      </c>
      <c r="F3955" t="n">
        <v>-39.46</v>
      </c>
      <c r="G3955" t="inlineStr">
        <is>
          <t>IDR bn</t>
        </is>
      </c>
      <c r="H3955" t="n">
        <v>126</v>
      </c>
      <c r="I3955" t="inlineStr">
        <is>
          <t>Kas bersih (digunakan untuk) aktivitas investasi (39.457.096.079)</t>
        </is>
      </c>
      <c r="J3955" t="inlineStr">
        <is>
          <t>High</t>
        </is>
      </c>
      <c r="M3955" t="inlineStr">
        <is>
          <t>LLM</t>
        </is>
      </c>
      <c r="N3955" t="inlineStr">
        <is>
          <t>2026-04-19</t>
        </is>
      </c>
      <c r="O3955" t="inlineStr">
        <is>
          <t>AI</t>
        </is>
      </c>
    </row>
    <row r="3956">
      <c r="A3956" t="inlineStr">
        <is>
          <t>PT Pradiksi Gunatama Tbk</t>
        </is>
      </c>
      <c r="B3956" t="inlineStr">
        <is>
          <t>PGUN_2024_AR.pdf</t>
        </is>
      </c>
      <c r="C3956" t="n">
        <v>2024</v>
      </c>
      <c r="D3956" t="inlineStr">
        <is>
          <t>Financial</t>
        </is>
      </c>
      <c r="E3956" t="inlineStr">
        <is>
          <t>CFF (Financing Cash Flow)</t>
        </is>
      </c>
      <c r="F3956" t="n">
        <v>-133.33</v>
      </c>
      <c r="G3956" t="inlineStr">
        <is>
          <t>IDR bn</t>
        </is>
      </c>
      <c r="H3956" t="n">
        <v>126</v>
      </c>
      <c r="I3956" t="inlineStr">
        <is>
          <t>Kas bersih digunakan untuk aktivitas pendanaan (133.331.748.900)</t>
        </is>
      </c>
      <c r="J3956" t="inlineStr">
        <is>
          <t>High</t>
        </is>
      </c>
      <c r="M3956" t="inlineStr">
        <is>
          <t>LLM</t>
        </is>
      </c>
      <c r="N3956" t="inlineStr">
        <is>
          <t>2026-04-19</t>
        </is>
      </c>
      <c r="O3956" t="inlineStr">
        <is>
          <t>AI</t>
        </is>
      </c>
    </row>
    <row r="3957">
      <c r="A3957" t="inlineStr">
        <is>
          <t>PT Pradiksi Gunatama Tbk</t>
        </is>
      </c>
      <c r="B3957" t="inlineStr">
        <is>
          <t>PGUN_2024_AR.pdf</t>
        </is>
      </c>
      <c r="C3957" t="n">
        <v>2024</v>
      </c>
      <c r="D3957" t="inlineStr">
        <is>
          <t>Financial</t>
        </is>
      </c>
      <c r="E3957" t="inlineStr">
        <is>
          <t>Capex: Bearer Plants</t>
        </is>
      </c>
      <c r="F3957" t="n">
        <v>24.72</v>
      </c>
      <c r="G3957" t="inlineStr">
        <is>
          <t>IDR bn</t>
        </is>
      </c>
      <c r="H3957" t="n">
        <v>126</v>
      </c>
      <c r="I3957" t="inlineStr">
        <is>
          <t>Pembayaran untuk perolehan tanaman produktif 24.724.770.474</t>
        </is>
      </c>
      <c r="J3957" t="inlineStr">
        <is>
          <t>High</t>
        </is>
      </c>
      <c r="M3957" t="inlineStr">
        <is>
          <t>LLM</t>
        </is>
      </c>
      <c r="N3957" t="inlineStr">
        <is>
          <t>2026-04-19</t>
        </is>
      </c>
      <c r="O3957" t="inlineStr">
        <is>
          <t>AI</t>
        </is>
      </c>
    </row>
    <row r="3958">
      <c r="A3958" t="inlineStr">
        <is>
          <t>PT Pradiksi Gunatama Tbk</t>
        </is>
      </c>
      <c r="B3958" t="inlineStr">
        <is>
          <t>PGUN_2024_AR.pdf</t>
        </is>
      </c>
      <c r="C3958" t="n">
        <v>2024</v>
      </c>
      <c r="D3958" t="inlineStr">
        <is>
          <t>Financial</t>
        </is>
      </c>
      <c r="E3958" t="inlineStr">
        <is>
          <t>Capex: Fixed Assets</t>
        </is>
      </c>
      <c r="F3958" t="n">
        <v>14.73</v>
      </c>
      <c r="G3958" t="inlineStr">
        <is>
          <t>IDR bn</t>
        </is>
      </c>
      <c r="H3958" t="n">
        <v>126</v>
      </c>
      <c r="I3958" t="inlineStr">
        <is>
          <t>Perolehan aset tetap 14.732.325.605</t>
        </is>
      </c>
      <c r="J3958" t="inlineStr">
        <is>
          <t>High</t>
        </is>
      </c>
      <c r="M3958" t="inlineStr">
        <is>
          <t>LLM</t>
        </is>
      </c>
      <c r="N3958" t="inlineStr">
        <is>
          <t>2026-04-19</t>
        </is>
      </c>
      <c r="O3958" t="inlineStr">
        <is>
          <t>AI</t>
        </is>
      </c>
    </row>
    <row r="3959">
      <c r="A3959" t="inlineStr">
        <is>
          <t>PT Pradiksi Gunatama Tbk</t>
        </is>
      </c>
      <c r="B3959" t="inlineStr">
        <is>
          <t>PGUN_2024_AR.pdf</t>
        </is>
      </c>
      <c r="C3959" t="n">
        <v>2024</v>
      </c>
      <c r="D3959" t="inlineStr">
        <is>
          <t>Financial</t>
        </is>
      </c>
      <c r="E3959" t="inlineStr">
        <is>
          <t>Total Capex</t>
        </is>
      </c>
      <c r="F3959" t="n">
        <v>39.46</v>
      </c>
      <c r="G3959" t="inlineStr">
        <is>
          <t>IDR bn</t>
        </is>
      </c>
      <c r="H3959" t="n">
        <v>126</v>
      </c>
      <c r="I3959" t="inlineStr">
        <is>
          <t>24.72 + 14.73 = 39.46</t>
        </is>
      </c>
      <c r="J3959" t="inlineStr">
        <is>
          <t>High</t>
        </is>
      </c>
      <c r="M3959" t="inlineStr">
        <is>
          <t>LLM</t>
        </is>
      </c>
      <c r="N3959" t="inlineStr">
        <is>
          <t>2026-04-19</t>
        </is>
      </c>
      <c r="O3959" t="inlineStr">
        <is>
          <t>AI</t>
        </is>
      </c>
    </row>
    <row r="3960">
      <c r="A3960" t="inlineStr">
        <is>
          <t>PT Pradiksi Gunatama Tbk</t>
        </is>
      </c>
      <c r="B3960" t="inlineStr">
        <is>
          <t>PGUN_2024_AR.pdf</t>
        </is>
      </c>
      <c r="C3960" t="n">
        <v>2024</v>
      </c>
      <c r="D3960" t="inlineStr">
        <is>
          <t>Financial</t>
        </is>
      </c>
      <c r="E3960" t="inlineStr">
        <is>
          <t>Depreciation</t>
        </is>
      </c>
      <c r="F3960" t="n">
        <v>54.49</v>
      </c>
      <c r="G3960" t="inlineStr">
        <is>
          <t>IDR bn</t>
        </is>
      </c>
      <c r="H3960" t="n">
        <v>154</v>
      </c>
      <c r="I3960" t="inlineStr">
        <is>
          <t>Penyusutan aset tetap: 54.485.923.032 (2024)</t>
        </is>
      </c>
      <c r="J3960" t="inlineStr">
        <is>
          <t>High</t>
        </is>
      </c>
      <c r="M3960" t="inlineStr">
        <is>
          <t>LLM</t>
        </is>
      </c>
      <c r="N3960" t="inlineStr">
        <is>
          <t>2026-04-19</t>
        </is>
      </c>
      <c r="O3960" t="inlineStr">
        <is>
          <t>AI</t>
        </is>
      </c>
    </row>
    <row r="3961">
      <c r="A3961" t="inlineStr">
        <is>
          <t>PT Pradiksi Gunatama Tbk</t>
        </is>
      </c>
      <c r="B3961" t="inlineStr">
        <is>
          <t>PGUN_2024_AR.pdf</t>
        </is>
      </c>
      <c r="C3961" t="n">
        <v>2024</v>
      </c>
      <c r="D3961" t="inlineStr">
        <is>
          <t>Financial</t>
        </is>
      </c>
      <c r="E3961" t="inlineStr">
        <is>
          <t>Income Tax Expense</t>
        </is>
      </c>
      <c r="F3961" t="n">
        <v>22.64</v>
      </c>
      <c r="G3961" t="inlineStr">
        <is>
          <t>IDR bn</t>
        </is>
      </c>
      <c r="H3961" t="n">
        <v>161</v>
      </c>
      <c r="I3961" t="inlineStr">
        <is>
          <t>Beban pajak penghasilan 22.641.909.865</t>
        </is>
      </c>
      <c r="J3961" t="inlineStr">
        <is>
          <t>High</t>
        </is>
      </c>
      <c r="M3961" t="inlineStr">
        <is>
          <t>LLM</t>
        </is>
      </c>
      <c r="N3961" t="inlineStr">
        <is>
          <t>2026-04-19</t>
        </is>
      </c>
      <c r="O3961" t="inlineStr">
        <is>
          <t>AI</t>
        </is>
      </c>
    </row>
    <row r="3962">
      <c r="A3962" t="inlineStr">
        <is>
          <t>PT Pradiksi Gunatama Tbk</t>
        </is>
      </c>
      <c r="B3962" t="inlineStr">
        <is>
          <t>PGUN_2024_AR.pdf</t>
        </is>
      </c>
      <c r="C3962" t="n">
        <v>2024</v>
      </c>
      <c r="D3962" t="inlineStr">
        <is>
          <t>Financial</t>
        </is>
      </c>
      <c r="E3962" t="inlineStr">
        <is>
          <t>Shares Outstanding</t>
        </is>
      </c>
      <c r="F3962" t="n">
        <v>5737.85</v>
      </c>
      <c r="G3962" t="inlineStr">
        <is>
          <t>mn</t>
        </is>
      </c>
      <c r="H3962" t="n">
        <v>5</v>
      </c>
      <c r="I3962" t="inlineStr">
        <is>
          <t>Jumlah Saham yang disetor per 31 Desember 2024 5.737.848.882 lembar</t>
        </is>
      </c>
      <c r="J3962" t="inlineStr">
        <is>
          <t>High</t>
        </is>
      </c>
      <c r="M3962" t="inlineStr">
        <is>
          <t>LLM</t>
        </is>
      </c>
      <c r="N3962" t="inlineStr">
        <is>
          <t>2026-04-19</t>
        </is>
      </c>
      <c r="O3962" t="inlineStr">
        <is>
          <t>AI</t>
        </is>
      </c>
    </row>
    <row r="3963">
      <c r="A3963" t="inlineStr">
        <is>
          <t>PT Pradiksi Gunatama Tbk</t>
        </is>
      </c>
      <c r="B3963" t="inlineStr">
        <is>
          <t>PGUN_2024_AR.pdf</t>
        </is>
      </c>
      <c r="C3963" t="n">
        <v>2024</v>
      </c>
      <c r="D3963" t="inlineStr">
        <is>
          <t>Financial</t>
        </is>
      </c>
      <c r="E3963" t="inlineStr">
        <is>
          <t>Closing Price (31 Dec 2024)</t>
        </is>
      </c>
      <c r="F3963" t="n">
        <v>424</v>
      </c>
      <c r="G3963" t="inlineStr">
        <is>
          <t>Rp/share</t>
        </is>
      </c>
      <c r="H3963" t="n">
        <v>6</v>
      </c>
      <c r="I3963" t="inlineStr">
        <is>
          <t>Desember 2024 Harga Penutupan 424</t>
        </is>
      </c>
      <c r="J3963" t="inlineStr">
        <is>
          <t>High</t>
        </is>
      </c>
      <c r="M3963" t="inlineStr">
        <is>
          <t>LLM</t>
        </is>
      </c>
      <c r="N3963" t="inlineStr">
        <is>
          <t>2026-04-19</t>
        </is>
      </c>
      <c r="O3963" t="inlineStr">
        <is>
          <t>AI</t>
        </is>
      </c>
    </row>
    <row r="3964">
      <c r="A3964" t="inlineStr">
        <is>
          <t>PT Pradiksi Gunatama Tbk</t>
        </is>
      </c>
      <c r="B3964" t="inlineStr">
        <is>
          <t>PGUN_2024_AR.pdf</t>
        </is>
      </c>
      <c r="C3964" t="n">
        <v>2024</v>
      </c>
      <c r="D3964" t="inlineStr">
        <is>
          <t>Financial</t>
        </is>
      </c>
      <c r="E3964" t="inlineStr">
        <is>
          <t>Market Cap (Dec 2024)</t>
        </is>
      </c>
      <c r="F3964" t="n">
        <v>2432.85</v>
      </c>
      <c r="G3964" t="inlineStr">
        <is>
          <t>IDR bn</t>
        </is>
      </c>
      <c r="H3964" t="n">
        <v>5</v>
      </c>
      <c r="I3964" t="inlineStr">
        <is>
          <t>Kapitalisasi Pasar Desember 2,432,847,925,968</t>
        </is>
      </c>
      <c r="J3964" t="inlineStr">
        <is>
          <t>High</t>
        </is>
      </c>
      <c r="M3964" t="inlineStr">
        <is>
          <t>LLM</t>
        </is>
      </c>
      <c r="N3964" t="inlineStr">
        <is>
          <t>2026-04-19</t>
        </is>
      </c>
      <c r="O3964" t="inlineStr">
        <is>
          <t>AI</t>
        </is>
      </c>
    </row>
    <row r="3965">
      <c r="A3965" t="inlineStr">
        <is>
          <t>PT Pradiksi Gunatama Tbk</t>
        </is>
      </c>
      <c r="B3965" t="inlineStr">
        <is>
          <t>PGUN_2024_AR.pdf</t>
        </is>
      </c>
      <c r="C3965" t="n">
        <v>2024</v>
      </c>
      <c r="D3965" t="inlineStr">
        <is>
          <t>Financial</t>
        </is>
      </c>
      <c r="E3965" t="inlineStr">
        <is>
          <t>Current Ratio</t>
        </is>
      </c>
      <c r="F3965" t="n">
        <v>1.74</v>
      </c>
      <c r="G3965" t="inlineStr">
        <is>
          <t>x</t>
        </is>
      </c>
      <c r="H3965" t="n">
        <v>4</v>
      </c>
      <c r="I3965" t="inlineStr">
        <is>
          <t>Rasio Lancar 1.74 (2024)</t>
        </is>
      </c>
      <c r="J3965" t="inlineStr">
        <is>
          <t>High</t>
        </is>
      </c>
      <c r="M3965" t="inlineStr">
        <is>
          <t>LLM</t>
        </is>
      </c>
      <c r="N3965" t="inlineStr">
        <is>
          <t>2026-04-19</t>
        </is>
      </c>
      <c r="O3965" t="inlineStr">
        <is>
          <t>AI</t>
        </is>
      </c>
    </row>
    <row r="3966">
      <c r="A3966" t="inlineStr">
        <is>
          <t>PT Pradiksi Gunatama Tbk</t>
        </is>
      </c>
      <c r="B3966" t="inlineStr">
        <is>
          <t>PGUN_2024_AR.pdf</t>
        </is>
      </c>
      <c r="C3966" t="n">
        <v>2024</v>
      </c>
      <c r="D3966" t="inlineStr">
        <is>
          <t>Financial</t>
        </is>
      </c>
      <c r="E3966" t="inlineStr">
        <is>
          <t>Debt to Equity Ratio</t>
        </is>
      </c>
      <c r="F3966" t="n">
        <v>0.32</v>
      </c>
      <c r="G3966" t="inlineStr">
        <is>
          <t>x</t>
        </is>
      </c>
      <c r="H3966" t="n">
        <v>4</v>
      </c>
      <c r="I3966" t="inlineStr">
        <is>
          <t>Rasio Liabilitas terhadap ekuitas 0.32</t>
        </is>
      </c>
      <c r="J3966" t="inlineStr">
        <is>
          <t>High</t>
        </is>
      </c>
      <c r="M3966" t="inlineStr">
        <is>
          <t>LLM</t>
        </is>
      </c>
      <c r="N3966" t="inlineStr">
        <is>
          <t>2026-04-19</t>
        </is>
      </c>
      <c r="O3966" t="inlineStr">
        <is>
          <t>AI</t>
        </is>
      </c>
    </row>
    <row r="3967">
      <c r="A3967" t="inlineStr">
        <is>
          <t>PT Pradiksi Gunatama Tbk</t>
        </is>
      </c>
      <c r="B3967" t="inlineStr">
        <is>
          <t>PGUN_2024_AR.pdf</t>
        </is>
      </c>
      <c r="C3967" t="n">
        <v>2024</v>
      </c>
      <c r="D3967" t="inlineStr">
        <is>
          <t>Financial</t>
        </is>
      </c>
      <c r="E3967" t="inlineStr">
        <is>
          <t>Dividend</t>
        </is>
      </c>
      <c r="F3967" t="n">
        <v>0</v>
      </c>
      <c r="G3967" t="inlineStr">
        <is>
          <t>IDR</t>
        </is>
      </c>
      <c r="H3967" t="n">
        <v>58</v>
      </c>
      <c r="I3967" t="inlineStr">
        <is>
          <t>Pembagian Deviden belum dapat dilaksanakan (replanting phase)</t>
        </is>
      </c>
      <c r="J3967" t="inlineStr">
        <is>
          <t>High</t>
        </is>
      </c>
      <c r="M3967" t="inlineStr">
        <is>
          <t>LLM</t>
        </is>
      </c>
      <c r="N3967" t="inlineStr">
        <is>
          <t>2026-04-19</t>
        </is>
      </c>
      <c r="O3967" t="inlineStr">
        <is>
          <t>AI</t>
        </is>
      </c>
    </row>
    <row r="3968">
      <c r="A3968" t="inlineStr">
        <is>
          <t>PT Pradiksi Gunatama Tbk</t>
        </is>
      </c>
      <c r="B3968" t="inlineStr">
        <is>
          <t>PGUN_2024_AR.pdf</t>
        </is>
      </c>
      <c r="C3968" t="n">
        <v>2024</v>
      </c>
      <c r="D3968" t="inlineStr">
        <is>
          <t>Asset</t>
        </is>
      </c>
      <c r="E3968" t="inlineStr">
        <is>
          <t>Total Planted Area</t>
        </is>
      </c>
      <c r="F3968" t="n">
        <v>22782.14</v>
      </c>
      <c r="G3968" t="inlineStr">
        <is>
          <t>ha</t>
        </is>
      </c>
      <c r="H3968" t="n">
        <v>14</v>
      </c>
      <c r="I3968" t="inlineStr">
        <is>
          <t>luasan tertanam telah mencapai 22,782.14 hektar</t>
        </is>
      </c>
      <c r="J3968" t="inlineStr">
        <is>
          <t>High</t>
        </is>
      </c>
      <c r="M3968" t="inlineStr">
        <is>
          <t>LLM</t>
        </is>
      </c>
      <c r="N3968" t="inlineStr">
        <is>
          <t>2026-04-19</t>
        </is>
      </c>
      <c r="O3968" t="inlineStr">
        <is>
          <t>AI</t>
        </is>
      </c>
    </row>
    <row r="3969">
      <c r="A3969" t="inlineStr">
        <is>
          <t>PT Pradiksi Gunatama Tbk</t>
        </is>
      </c>
      <c r="B3969" t="inlineStr">
        <is>
          <t>PGUN_2024_AR.pdf</t>
        </is>
      </c>
      <c r="C3969" t="n">
        <v>2024</v>
      </c>
      <c r="D3969" t="inlineStr">
        <is>
          <t>Asset</t>
        </is>
      </c>
      <c r="E3969" t="inlineStr">
        <is>
          <t>Mature Area</t>
        </is>
      </c>
      <c r="F3969" t="n">
        <v>19491.38</v>
      </c>
      <c r="G3969" t="inlineStr">
        <is>
          <t>ha</t>
        </is>
      </c>
      <c r="H3969" t="n">
        <v>14</v>
      </c>
      <c r="I3969" t="inlineStr">
        <is>
          <t>areal tanaman menghasilkan seluas 19,491.38 hektar</t>
        </is>
      </c>
      <c r="J3969" t="inlineStr">
        <is>
          <t>High</t>
        </is>
      </c>
      <c r="M3969" t="inlineStr">
        <is>
          <t>LLM</t>
        </is>
      </c>
      <c r="N3969" t="inlineStr">
        <is>
          <t>2026-04-19</t>
        </is>
      </c>
      <c r="O3969" t="inlineStr">
        <is>
          <t>AI</t>
        </is>
      </c>
    </row>
    <row r="3970">
      <c r="A3970" t="inlineStr">
        <is>
          <t>PT Pradiksi Gunatama Tbk</t>
        </is>
      </c>
      <c r="B3970" t="inlineStr">
        <is>
          <t>PGUN_2024_AR.pdf</t>
        </is>
      </c>
      <c r="C3970" t="n">
        <v>2024</v>
      </c>
      <c r="D3970" t="inlineStr">
        <is>
          <t>Asset</t>
        </is>
      </c>
      <c r="E3970" t="inlineStr">
        <is>
          <t>Immature Area</t>
        </is>
      </c>
      <c r="F3970" t="n">
        <v>3290.76</v>
      </c>
      <c r="G3970" t="inlineStr">
        <is>
          <t>ha</t>
        </is>
      </c>
      <c r="H3970" t="n">
        <v>153</v>
      </c>
      <c r="I3970" t="inlineStr">
        <is>
          <t>areal yang belum menghasilkan seluas 3.290,76 hektar</t>
        </is>
      </c>
      <c r="J3970" t="inlineStr">
        <is>
          <t>High</t>
        </is>
      </c>
      <c r="M3970" t="inlineStr">
        <is>
          <t>LLM</t>
        </is>
      </c>
      <c r="N3970" t="inlineStr">
        <is>
          <t>2026-04-19</t>
        </is>
      </c>
      <c r="O3970" t="inlineStr">
        <is>
          <t>AI</t>
        </is>
      </c>
    </row>
    <row r="3971">
      <c r="A3971" t="inlineStr">
        <is>
          <t>PT Pradiksi Gunatama Tbk</t>
        </is>
      </c>
      <c r="B3971" t="inlineStr">
        <is>
          <t>PGUN_2024_AR.pdf</t>
        </is>
      </c>
      <c r="C3971" t="n">
        <v>2024</v>
      </c>
      <c r="D3971" t="inlineStr">
        <is>
          <t>Asset</t>
        </is>
      </c>
      <c r="E3971" t="inlineStr">
        <is>
          <t>HGU Area</t>
        </is>
      </c>
      <c r="F3971" t="n">
        <v>41562.25</v>
      </c>
      <c r="G3971" t="inlineStr">
        <is>
          <t>ha</t>
        </is>
      </c>
      <c r="H3971" t="n">
        <v>154</v>
      </c>
      <c r="I3971" t="inlineStr">
        <is>
          <t>Hak Guna Usaha (HGU) total area 41,562.25 hectares</t>
        </is>
      </c>
      <c r="J3971" t="inlineStr">
        <is>
          <t>High</t>
        </is>
      </c>
      <c r="M3971" t="inlineStr">
        <is>
          <t>LLM</t>
        </is>
      </c>
      <c r="N3971" t="inlineStr">
        <is>
          <t>2026-04-19</t>
        </is>
      </c>
      <c r="O3971" t="inlineStr">
        <is>
          <t>AI</t>
        </is>
      </c>
    </row>
    <row r="3972">
      <c r="A3972" t="inlineStr">
        <is>
          <t>PT Pradiksi Gunatama Tbk</t>
        </is>
      </c>
      <c r="B3972" t="inlineStr">
        <is>
          <t>PGUN_2024_AR.pdf</t>
        </is>
      </c>
      <c r="C3972" t="n">
        <v>2024</v>
      </c>
      <c r="D3972" t="inlineStr">
        <is>
          <t>Asset</t>
        </is>
      </c>
      <c r="E3972" t="inlineStr">
        <is>
          <t>Plasma Area</t>
        </is>
      </c>
      <c r="F3972" t="n">
        <v>3838.78</v>
      </c>
      <c r="G3972" t="inlineStr">
        <is>
          <t>ha</t>
        </is>
      </c>
      <c r="H3972" t="n">
        <v>150</v>
      </c>
      <c r="I3972" t="inlineStr">
        <is>
          <t>perkebunan plasma yang berada di Kalimantan Timur seluas 3.838,78 hektar</t>
        </is>
      </c>
      <c r="J3972" t="inlineStr">
        <is>
          <t>High</t>
        </is>
      </c>
      <c r="M3972" t="inlineStr">
        <is>
          <t>LLM</t>
        </is>
      </c>
      <c r="N3972" t="inlineStr">
        <is>
          <t>2026-04-19</t>
        </is>
      </c>
      <c r="O3972" t="inlineStr">
        <is>
          <t>AI</t>
        </is>
      </c>
    </row>
    <row r="3973">
      <c r="A3973" t="inlineStr">
        <is>
          <t>PT Pradiksi Gunatama Tbk</t>
        </is>
      </c>
      <c r="B3973" t="inlineStr">
        <is>
          <t>PGUN_2024_AR.pdf</t>
        </is>
      </c>
      <c r="C3973" t="n">
        <v>2024</v>
      </c>
      <c r="D3973" t="inlineStr">
        <is>
          <t>Asset</t>
        </is>
      </c>
      <c r="E3973" t="inlineStr">
        <is>
          <t>Replanting Realized 2024</t>
        </is>
      </c>
      <c r="F3973" t="n">
        <v>855.74</v>
      </c>
      <c r="G3973" t="inlineStr">
        <is>
          <t>ha</t>
        </is>
      </c>
      <c r="H3973" t="n">
        <v>153</v>
      </c>
      <c r="I3973" t="inlineStr">
        <is>
          <t>Pada tahun 2024 program replanting telah direalisasikan seluas 855,74 hektar</t>
        </is>
      </c>
      <c r="J3973" t="inlineStr">
        <is>
          <t>High</t>
        </is>
      </c>
      <c r="M3973" t="inlineStr">
        <is>
          <t>LLM</t>
        </is>
      </c>
      <c r="N3973" t="inlineStr">
        <is>
          <t>2026-04-19</t>
        </is>
      </c>
      <c r="O3973" t="inlineStr">
        <is>
          <t>AI</t>
        </is>
      </c>
    </row>
    <row r="3974">
      <c r="A3974" t="inlineStr">
        <is>
          <t>PT Pradiksi Gunatama Tbk</t>
        </is>
      </c>
      <c r="B3974" t="inlineStr">
        <is>
          <t>PGUN_2024_AR.pdf</t>
        </is>
      </c>
      <c r="C3974" t="n">
        <v>2024</v>
      </c>
      <c r="D3974" t="inlineStr">
        <is>
          <t>Asset</t>
        </is>
      </c>
      <c r="E3974" t="inlineStr">
        <is>
          <t>Palm Oil Mill Count</t>
        </is>
      </c>
      <c r="F3974" t="n">
        <v>1</v>
      </c>
      <c r="G3974" t="inlineStr">
        <is>
          <t>count</t>
        </is>
      </c>
      <c r="H3974" t="n">
        <v>47</v>
      </c>
      <c r="I3974" t="inlineStr">
        <is>
          <t>Perseroan memiliki Pabrik Kelapa Sawit (PKS) yang telah beroperasi sejak Agustus 2019</t>
        </is>
      </c>
      <c r="J3974" t="inlineStr">
        <is>
          <t>High</t>
        </is>
      </c>
      <c r="M3974" t="inlineStr">
        <is>
          <t>LLM</t>
        </is>
      </c>
      <c r="N3974" t="inlineStr">
        <is>
          <t>2026-04-19</t>
        </is>
      </c>
      <c r="O3974" t="inlineStr">
        <is>
          <t>AI</t>
        </is>
      </c>
    </row>
    <row r="3975">
      <c r="A3975" t="inlineStr">
        <is>
          <t>PT Pradiksi Gunatama Tbk</t>
        </is>
      </c>
      <c r="B3975" t="inlineStr">
        <is>
          <t>PGUN_2024_AR.pdf</t>
        </is>
      </c>
      <c r="C3975" t="n">
        <v>2024</v>
      </c>
      <c r="D3975" t="inlineStr">
        <is>
          <t>Asset</t>
        </is>
      </c>
      <c r="E3975" t="inlineStr">
        <is>
          <t>Mill Capacity</t>
        </is>
      </c>
      <c r="F3975" t="n">
        <v>90</v>
      </c>
      <c r="G3975" t="inlineStr">
        <is>
          <t>tph</t>
        </is>
      </c>
      <c r="H3975" t="n">
        <v>47</v>
      </c>
      <c r="I3975" t="inlineStr">
        <is>
          <t>kapasitas 90 ton perjam atau setara dengan +/- 100.000 ton Minyak Kelapa Sawit setahun (upgraded from 60 tph in 2023)</t>
        </is>
      </c>
      <c r="J3975" t="inlineStr">
        <is>
          <t>High</t>
        </is>
      </c>
      <c r="M3975" t="inlineStr">
        <is>
          <t>LLM</t>
        </is>
      </c>
      <c r="N3975" t="inlineStr">
        <is>
          <t>2026-04-19</t>
        </is>
      </c>
      <c r="O3975" t="inlineStr">
        <is>
          <t>AI</t>
        </is>
      </c>
    </row>
    <row r="3976">
      <c r="A3976" t="inlineStr">
        <is>
          <t>PT Pradiksi Gunatama Tbk</t>
        </is>
      </c>
      <c r="B3976" t="inlineStr">
        <is>
          <t>PGUN_2024_AR.pdf</t>
        </is>
      </c>
      <c r="C3976" t="n">
        <v>2024</v>
      </c>
      <c r="D3976" t="inlineStr">
        <is>
          <t>Operation</t>
        </is>
      </c>
      <c r="E3976" t="inlineStr">
        <is>
          <t>FFB Production Achieved</t>
        </is>
      </c>
      <c r="F3976" t="n">
        <v>223235</v>
      </c>
      <c r="G3976" t="inlineStr">
        <is>
          <t>t</t>
        </is>
      </c>
      <c r="H3976" t="n">
        <v>9</v>
      </c>
      <c r="I3976" t="inlineStr">
        <is>
          <t>pencapaian produksi TBS 62% dari yang ditargetkan 359,138 ton; hasil dicapai 223,235 ton</t>
        </is>
      </c>
      <c r="J3976" t="inlineStr">
        <is>
          <t>High</t>
        </is>
      </c>
      <c r="M3976" t="inlineStr">
        <is>
          <t>LLM</t>
        </is>
      </c>
      <c r="N3976" t="inlineStr">
        <is>
          <t>2026-04-19</t>
        </is>
      </c>
      <c r="O3976" t="inlineStr">
        <is>
          <t>AI</t>
        </is>
      </c>
    </row>
    <row r="3977">
      <c r="A3977" t="inlineStr">
        <is>
          <t>PT Pradiksi Gunatama Tbk</t>
        </is>
      </c>
      <c r="B3977" t="inlineStr">
        <is>
          <t>PGUN_2024_AR.pdf</t>
        </is>
      </c>
      <c r="C3977" t="n">
        <v>2024</v>
      </c>
      <c r="D3977" t="inlineStr">
        <is>
          <t>Operation</t>
        </is>
      </c>
      <c r="E3977" t="inlineStr">
        <is>
          <t>CPO Production (Processed)</t>
        </is>
      </c>
      <c r="F3977" t="n">
        <v>53108</v>
      </c>
      <c r="G3977" t="inlineStr">
        <is>
          <t>t</t>
        </is>
      </c>
      <c r="H3977" t="n">
        <v>9</v>
      </c>
      <c r="I3977" t="inlineStr">
        <is>
          <t>pencapaian CPO olah 67% dari 79,012 ton target, tercapai 53,108 ton</t>
        </is>
      </c>
      <c r="J3977" t="inlineStr">
        <is>
          <t>High</t>
        </is>
      </c>
      <c r="M3977" t="inlineStr">
        <is>
          <t>LLM</t>
        </is>
      </c>
      <c r="N3977" t="inlineStr">
        <is>
          <t>2026-04-19</t>
        </is>
      </c>
      <c r="O3977" t="inlineStr">
        <is>
          <t>AI</t>
        </is>
      </c>
    </row>
    <row r="3978">
      <c r="A3978" t="inlineStr">
        <is>
          <t>PT Pradiksi Gunatama Tbk</t>
        </is>
      </c>
      <c r="B3978" t="inlineStr">
        <is>
          <t>PGUN_2024_AR.pdf</t>
        </is>
      </c>
      <c r="C3978" t="n">
        <v>2024</v>
      </c>
      <c r="D3978" t="inlineStr">
        <is>
          <t>Operation</t>
        </is>
      </c>
      <c r="E3978" t="inlineStr">
        <is>
          <t>Kernel Production (sum 2024)</t>
        </is>
      </c>
      <c r="F3978" t="n">
        <v>9262</v>
      </c>
      <c r="G3978" t="inlineStr">
        <is>
          <t>t</t>
        </is>
      </c>
      <c r="H3978" t="n">
        <v>49</v>
      </c>
      <c r="I3978" t="inlineStr">
        <is>
          <t>Monthly Kernel production 2024 sums: 664+559+492+430+592+502+331+765+1119+1406+1288+1114 = 9,262 MT</t>
        </is>
      </c>
      <c r="J3978" t="inlineStr">
        <is>
          <t>Medium</t>
        </is>
      </c>
      <c r="M3978" t="inlineStr">
        <is>
          <t>LLM</t>
        </is>
      </c>
      <c r="N3978" t="inlineStr">
        <is>
          <t>2026-04-19</t>
        </is>
      </c>
      <c r="O3978" t="inlineStr">
        <is>
          <t>AI</t>
        </is>
      </c>
    </row>
    <row r="3979">
      <c r="A3979" t="inlineStr">
        <is>
          <t>PT Pradiksi Gunatama Tbk</t>
        </is>
      </c>
      <c r="B3979" t="inlineStr">
        <is>
          <t>PGUN_2024_AR.pdf</t>
        </is>
      </c>
      <c r="C3979" t="n">
        <v>2024</v>
      </c>
      <c r="D3979" t="inlineStr">
        <is>
          <t>Operation</t>
        </is>
      </c>
      <c r="E3979" t="inlineStr">
        <is>
          <t>Daily FFB Processing</t>
        </is>
      </c>
      <c r="F3979" t="n">
        <v>834</v>
      </c>
      <c r="G3979" t="inlineStr">
        <is>
          <t>t/day</t>
        </is>
      </c>
      <c r="H3979" t="n">
        <v>47</v>
      </c>
      <c r="I3979" t="inlineStr">
        <is>
          <t>Selama tahun 2024 Perseroan mampu mengolah 834 ton Tandan Buah Segar perhari</t>
        </is>
      </c>
      <c r="J3979" t="inlineStr">
        <is>
          <t>High</t>
        </is>
      </c>
      <c r="M3979" t="inlineStr">
        <is>
          <t>LLM</t>
        </is>
      </c>
      <c r="N3979" t="inlineStr">
        <is>
          <t>2026-04-19</t>
        </is>
      </c>
      <c r="O3979" t="inlineStr">
        <is>
          <t>AI</t>
        </is>
      </c>
    </row>
    <row r="3980">
      <c r="A3980" t="inlineStr">
        <is>
          <t>PT Pradiksi Gunatama Tbk</t>
        </is>
      </c>
      <c r="B3980" t="inlineStr">
        <is>
          <t>PGUN_2024_AR.pdf</t>
        </is>
      </c>
      <c r="C3980" t="n">
        <v>2024</v>
      </c>
      <c r="D3980" t="inlineStr">
        <is>
          <t>Operation</t>
        </is>
      </c>
      <c r="E3980" t="inlineStr">
        <is>
          <t>Revenue from CPO+Kernel sales</t>
        </is>
      </c>
      <c r="F3980" t="n">
        <v>735.33</v>
      </c>
      <c r="G3980" t="inlineStr">
        <is>
          <t>IDR bn</t>
        </is>
      </c>
      <c r="H3980" t="n">
        <v>47</v>
      </c>
      <c r="I3980" t="inlineStr">
        <is>
          <t>Untuk penjualan CPO dan Kernel selama tahun 2024 diperoleh pendapatan sebesar Rp 735.329.821.624</t>
        </is>
      </c>
      <c r="J3980" t="inlineStr">
        <is>
          <t>High</t>
        </is>
      </c>
      <c r="M3980" t="inlineStr">
        <is>
          <t>LLM</t>
        </is>
      </c>
      <c r="N3980" t="inlineStr">
        <is>
          <t>2026-04-19</t>
        </is>
      </c>
      <c r="O3980" t="inlineStr">
        <is>
          <t>AI</t>
        </is>
      </c>
    </row>
    <row r="3981">
      <c r="A3981" t="inlineStr">
        <is>
          <t>PT Pradiksi Gunatama Tbk</t>
        </is>
      </c>
      <c r="B3981" t="inlineStr">
        <is>
          <t>PGUN_2024_AR.pdf</t>
        </is>
      </c>
      <c r="C3981" t="n">
        <v>2024</v>
      </c>
      <c r="D3981" t="inlineStr">
        <is>
          <t>Operation</t>
        </is>
      </c>
      <c r="E3981" t="inlineStr">
        <is>
          <t>CPO Sales to JARR (related party)</t>
        </is>
      </c>
      <c r="F3981" t="n">
        <v>667.04</v>
      </c>
      <c r="G3981" t="inlineStr">
        <is>
          <t>IDR bn</t>
        </is>
      </c>
      <c r="H3981" t="n">
        <v>59</v>
      </c>
      <c r="I3981" t="inlineStr">
        <is>
          <t>Nilai Transaksi pertahun Rp 667.042.821.914 (CPO sales to PT Jhonlin Agro Raya)</t>
        </is>
      </c>
      <c r="J3981" t="inlineStr">
        <is>
          <t>High</t>
        </is>
      </c>
      <c r="M3981" t="inlineStr">
        <is>
          <t>LLM</t>
        </is>
      </c>
      <c r="N3981" t="inlineStr">
        <is>
          <t>2026-04-19</t>
        </is>
      </c>
      <c r="O3981" t="inlineStr">
        <is>
          <t>AI</t>
        </is>
      </c>
    </row>
    <row r="3982">
      <c r="A3982" t="inlineStr">
        <is>
          <t>PT Pradiksi Gunatama Tbk</t>
        </is>
      </c>
      <c r="B3982" t="inlineStr">
        <is>
          <t>PGUN_2024_AR.pdf</t>
        </is>
      </c>
      <c r="C3982" t="n">
        <v>2024</v>
      </c>
      <c r="D3982" t="inlineStr">
        <is>
          <t>Operation</t>
        </is>
      </c>
      <c r="E3982" t="inlineStr">
        <is>
          <t>Kernel Sales to Kodeco (related party)</t>
        </is>
      </c>
      <c r="F3982" t="n">
        <v>65.23999999999999</v>
      </c>
      <c r="G3982" t="inlineStr">
        <is>
          <t>IDR bn</t>
        </is>
      </c>
      <c r="H3982" t="n">
        <v>60</v>
      </c>
      <c r="I3982" t="inlineStr">
        <is>
          <t>Nilai Transaksi pertahun IDR 65.244.913.460 (Kernel sales to PT Kodeco Agrojaya Mandiri)</t>
        </is>
      </c>
      <c r="J3982" t="inlineStr">
        <is>
          <t>High</t>
        </is>
      </c>
      <c r="M3982" t="inlineStr">
        <is>
          <t>LLM</t>
        </is>
      </c>
      <c r="N3982" t="inlineStr">
        <is>
          <t>2026-04-19</t>
        </is>
      </c>
      <c r="O3982" t="inlineStr">
        <is>
          <t>AI</t>
        </is>
      </c>
    </row>
    <row r="3983">
      <c r="A3983" t="inlineStr">
        <is>
          <t>PT Pradiksi Gunatama Tbk</t>
        </is>
      </c>
      <c r="B3983" t="inlineStr">
        <is>
          <t>PGUN_2024_AR.pdf</t>
        </is>
      </c>
      <c r="C3983" t="n">
        <v>2024</v>
      </c>
      <c r="D3983" t="inlineStr">
        <is>
          <t>ESG</t>
        </is>
      </c>
      <c r="E3983" t="inlineStr">
        <is>
          <t>ISPO Certification</t>
        </is>
      </c>
      <c r="F3983" t="inlineStr">
        <is>
          <t>PT Berau Veritas Indonesia, 2022-2027</t>
        </is>
      </c>
      <c r="G3983" t="inlineStr">
        <is>
          <t>text</t>
        </is>
      </c>
      <c r="H3983" t="n">
        <v>46</v>
      </c>
      <c r="I3983" t="inlineStr">
        <is>
          <t>ISPO PT Berau Veritas Indonesia 2022-2027</t>
        </is>
      </c>
      <c r="J3983" t="inlineStr">
        <is>
          <t>High</t>
        </is>
      </c>
      <c r="M3983" t="inlineStr">
        <is>
          <t>LLM</t>
        </is>
      </c>
      <c r="N3983" t="inlineStr">
        <is>
          <t>2026-04-19</t>
        </is>
      </c>
      <c r="O3983" t="inlineStr">
        <is>
          <t>AI</t>
        </is>
      </c>
    </row>
    <row r="3984">
      <c r="A3984" t="inlineStr">
        <is>
          <t>PT Pradiksi Gunatama Tbk</t>
        </is>
      </c>
      <c r="B3984" t="inlineStr">
        <is>
          <t>PGUN_2024_AR.pdf</t>
        </is>
      </c>
      <c r="C3984" t="n">
        <v>2024</v>
      </c>
      <c r="D3984" t="inlineStr">
        <is>
          <t>ESG</t>
        </is>
      </c>
      <c r="E3984" t="inlineStr">
        <is>
          <t>PROPER Certification</t>
        </is>
      </c>
      <c r="F3984" t="inlineStr">
        <is>
          <t>Kementerian Lingkungan Hidup Kalimantan Timur, 2022-2023</t>
        </is>
      </c>
      <c r="G3984" t="inlineStr">
        <is>
          <t>text</t>
        </is>
      </c>
      <c r="H3984" t="n">
        <v>46</v>
      </c>
      <c r="I3984" t="inlineStr">
        <is>
          <t>PROPER Kementerian Lingkungan Hidup Kalimantan Timur 2022-2023</t>
        </is>
      </c>
      <c r="J3984" t="inlineStr">
        <is>
          <t>High</t>
        </is>
      </c>
      <c r="M3984" t="inlineStr">
        <is>
          <t>LLM</t>
        </is>
      </c>
      <c r="N3984" t="inlineStr">
        <is>
          <t>2026-04-19</t>
        </is>
      </c>
      <c r="O3984" t="inlineStr">
        <is>
          <t>AI</t>
        </is>
      </c>
    </row>
    <row r="3985">
      <c r="A3985" t="inlineStr">
        <is>
          <t>PT Pradiksi Gunatama Tbk</t>
        </is>
      </c>
      <c r="B3985" t="inlineStr">
        <is>
          <t>PGUN_2024_AR.pdf</t>
        </is>
      </c>
      <c r="C3985" t="n">
        <v>2024</v>
      </c>
      <c r="D3985" t="inlineStr">
        <is>
          <t>ESG</t>
        </is>
      </c>
      <c r="E3985" t="inlineStr">
        <is>
          <t>GAPKI Member</t>
        </is>
      </c>
      <c r="F3985" t="inlineStr">
        <is>
          <t>Yes</t>
        </is>
      </c>
      <c r="G3985" t="inlineStr">
        <is>
          <t>text</t>
        </is>
      </c>
      <c r="H3985" t="n">
        <v>21</v>
      </c>
      <c r="I3985" t="inlineStr">
        <is>
          <t>Gabungan Pengusaha Kelapa Sawit Indonesia (GAPKI)</t>
        </is>
      </c>
      <c r="J3985" t="inlineStr">
        <is>
          <t>High</t>
        </is>
      </c>
      <c r="M3985" t="inlineStr">
        <is>
          <t>LLM</t>
        </is>
      </c>
      <c r="N3985" t="inlineStr">
        <is>
          <t>2026-04-19</t>
        </is>
      </c>
      <c r="O3985" t="inlineStr">
        <is>
          <t>AI</t>
        </is>
      </c>
    </row>
    <row r="3986">
      <c r="A3986" t="inlineStr">
        <is>
          <t>PT Pradiksi Gunatama Tbk</t>
        </is>
      </c>
      <c r="B3986" t="inlineStr">
        <is>
          <t>PGUN_2024_AR.pdf</t>
        </is>
      </c>
      <c r="C3986" t="n">
        <v>2024</v>
      </c>
      <c r="D3986" t="inlineStr">
        <is>
          <t>Financial</t>
        </is>
      </c>
      <c r="E3986" t="inlineStr">
        <is>
          <t>Forward Projection Revenue 2025</t>
        </is>
      </c>
      <c r="F3986" t="n">
        <v>849.0700000000001</v>
      </c>
      <c r="G3986" t="inlineStr">
        <is>
          <t>IDR bn</t>
        </is>
      </c>
      <c r="H3986" t="n">
        <v>55</v>
      </c>
      <c r="I3986" t="inlineStr">
        <is>
          <t>Pendapatan/Penjualan CPO dan Kernel Rp 849.071.072.526 (2025 target)</t>
        </is>
      </c>
      <c r="J3986" t="inlineStr">
        <is>
          <t>High</t>
        </is>
      </c>
      <c r="M3986" t="inlineStr">
        <is>
          <t>LLM</t>
        </is>
      </c>
      <c r="N3986" t="inlineStr">
        <is>
          <t>2026-04-19</t>
        </is>
      </c>
      <c r="O3986" t="inlineStr">
        <is>
          <t>AI</t>
        </is>
      </c>
    </row>
    <row r="3987">
      <c r="A3987" t="inlineStr">
        <is>
          <t>PT Pinago Utama Tbk</t>
        </is>
      </c>
      <c r="B3987" t="inlineStr">
        <is>
          <t>PNGO_2022_AR.pdf</t>
        </is>
      </c>
      <c r="C3987" t="n">
        <v>2022</v>
      </c>
      <c r="D3987" t="inlineStr">
        <is>
          <t>Company</t>
        </is>
      </c>
      <c r="E3987" t="inlineStr">
        <is>
          <t>Company Name</t>
        </is>
      </c>
      <c r="F3987" t="inlineStr">
        <is>
          <t>PT Pinago Utama Tbk</t>
        </is>
      </c>
      <c r="G3987" t="inlineStr">
        <is>
          <t>text</t>
        </is>
      </c>
      <c r="H3987" t="n">
        <v>1</v>
      </c>
      <c r="I3987" t="inlineStr">
        <is>
          <t>PT PINAGO UTAMA Tbk Laporan Tahunan | Annual Report 2022</t>
        </is>
      </c>
      <c r="J3987" t="inlineStr">
        <is>
          <t>High</t>
        </is>
      </c>
      <c r="M3987" t="inlineStr">
        <is>
          <t>LLM</t>
        </is>
      </c>
      <c r="N3987" t="inlineStr">
        <is>
          <t>2026-04-19</t>
        </is>
      </c>
      <c r="O3987" t="inlineStr">
        <is>
          <t>AI</t>
        </is>
      </c>
    </row>
    <row r="3988">
      <c r="A3988" t="inlineStr">
        <is>
          <t>PT Pinago Utama Tbk</t>
        </is>
      </c>
      <c r="B3988" t="inlineStr">
        <is>
          <t>PNGO_2022_AR.pdf</t>
        </is>
      </c>
      <c r="C3988" t="n">
        <v>2022</v>
      </c>
      <c r="D3988" t="inlineStr">
        <is>
          <t>Company</t>
        </is>
      </c>
      <c r="E3988" t="inlineStr">
        <is>
          <t>Ticker</t>
        </is>
      </c>
      <c r="F3988" t="inlineStr">
        <is>
          <t>PNGO</t>
        </is>
      </c>
      <c r="G3988" t="inlineStr">
        <is>
          <t>text</t>
        </is>
      </c>
      <c r="H3988" t="n">
        <v>75</v>
      </c>
      <c r="I3988" t="inlineStr">
        <is>
          <t>Kode Saham PNGO</t>
        </is>
      </c>
      <c r="J3988" t="inlineStr">
        <is>
          <t>High</t>
        </is>
      </c>
      <c r="M3988" t="inlineStr">
        <is>
          <t>LLM</t>
        </is>
      </c>
      <c r="N3988" t="inlineStr">
        <is>
          <t>2026-04-19</t>
        </is>
      </c>
      <c r="O3988" t="inlineStr">
        <is>
          <t>AI</t>
        </is>
      </c>
    </row>
    <row r="3989">
      <c r="A3989" t="inlineStr">
        <is>
          <t>PT Pinago Utama Tbk</t>
        </is>
      </c>
      <c r="B3989" t="inlineStr">
        <is>
          <t>PNGO_2022_AR.pdf</t>
        </is>
      </c>
      <c r="C3989" t="n">
        <v>2022</v>
      </c>
      <c r="D3989" t="inlineStr">
        <is>
          <t>Company</t>
        </is>
      </c>
      <c r="E3989" t="inlineStr">
        <is>
          <t>Listing Date</t>
        </is>
      </c>
      <c r="F3989" t="inlineStr">
        <is>
          <t>2020-08-31</t>
        </is>
      </c>
      <c r="G3989" t="inlineStr">
        <is>
          <t>date</t>
        </is>
      </c>
      <c r="H3989" t="n">
        <v>75</v>
      </c>
      <c r="I3989" t="inlineStr">
        <is>
          <t>Tanggal Pencatatan 31 Agustus 2020</t>
        </is>
      </c>
      <c r="J3989" t="inlineStr">
        <is>
          <t>High</t>
        </is>
      </c>
      <c r="M3989" t="inlineStr">
        <is>
          <t>LLM</t>
        </is>
      </c>
      <c r="N3989" t="inlineStr">
        <is>
          <t>2026-04-19</t>
        </is>
      </c>
      <c r="O3989" t="inlineStr">
        <is>
          <t>AI</t>
        </is>
      </c>
    </row>
    <row r="3990">
      <c r="A3990" t="inlineStr">
        <is>
          <t>PT Pinago Utama Tbk</t>
        </is>
      </c>
      <c r="B3990" t="inlineStr">
        <is>
          <t>PNGO_2022_AR.pdf</t>
        </is>
      </c>
      <c r="C3990" t="n">
        <v>2022</v>
      </c>
      <c r="D3990" t="inlineStr">
        <is>
          <t>Company</t>
        </is>
      </c>
      <c r="E3990" t="inlineStr">
        <is>
          <t>Wilson Sutantio Ownership</t>
        </is>
      </c>
      <c r="F3990" t="n">
        <v>0.2273</v>
      </c>
      <c r="G3990" t="inlineStr">
        <is>
          <t>%</t>
        </is>
      </c>
      <c r="H3990" t="n">
        <v>72</v>
      </c>
      <c r="I3990" t="inlineStr">
        <is>
          <t>Wilson Sutantio 177.599.500 22,73%</t>
        </is>
      </c>
      <c r="J3990" t="inlineStr">
        <is>
          <t>High</t>
        </is>
      </c>
      <c r="M3990" t="inlineStr">
        <is>
          <t>LLM</t>
        </is>
      </c>
      <c r="N3990" t="inlineStr">
        <is>
          <t>2026-04-19</t>
        </is>
      </c>
      <c r="O3990" t="inlineStr">
        <is>
          <t>AI</t>
        </is>
      </c>
    </row>
    <row r="3991">
      <c r="A3991" t="inlineStr">
        <is>
          <t>PT Pinago Utama Tbk</t>
        </is>
      </c>
      <c r="B3991" t="inlineStr">
        <is>
          <t>PNGO_2022_AR.pdf</t>
        </is>
      </c>
      <c r="C3991" t="n">
        <v>2022</v>
      </c>
      <c r="D3991" t="inlineStr">
        <is>
          <t>Company</t>
        </is>
      </c>
      <c r="E3991" t="inlineStr">
        <is>
          <t>Hasan Tantri Ownership</t>
        </is>
      </c>
      <c r="F3991" t="n">
        <v>0.1948</v>
      </c>
      <c r="G3991" t="inlineStr">
        <is>
          <t>%</t>
        </is>
      </c>
      <c r="H3991" t="n">
        <v>72</v>
      </c>
      <c r="I3991" t="inlineStr">
        <is>
          <t>Hasan Tantri 152.167.700 19,48%</t>
        </is>
      </c>
      <c r="J3991" t="inlineStr">
        <is>
          <t>High</t>
        </is>
      </c>
      <c r="M3991" t="inlineStr">
        <is>
          <t>LLM</t>
        </is>
      </c>
      <c r="N3991" t="inlineStr">
        <is>
          <t>2026-04-19</t>
        </is>
      </c>
      <c r="O3991" t="inlineStr">
        <is>
          <t>AI</t>
        </is>
      </c>
    </row>
    <row r="3992">
      <c r="A3992" t="inlineStr">
        <is>
          <t>PT Pinago Utama Tbk</t>
        </is>
      </c>
      <c r="B3992" t="inlineStr">
        <is>
          <t>PNGO_2022_AR.pdf</t>
        </is>
      </c>
      <c r="C3992" t="n">
        <v>2022</v>
      </c>
      <c r="D3992" t="inlineStr">
        <is>
          <t>Company</t>
        </is>
      </c>
      <c r="E3992" t="inlineStr">
        <is>
          <t>Charles Sutantio Ownership</t>
        </is>
      </c>
      <c r="F3992" t="n">
        <v>0.1761</v>
      </c>
      <c r="G3992" t="inlineStr">
        <is>
          <t>%</t>
        </is>
      </c>
      <c r="H3992" t="n">
        <v>72</v>
      </c>
      <c r="I3992" t="inlineStr">
        <is>
          <t>Charles Sutantio 137.596.700 17,61%</t>
        </is>
      </c>
      <c r="J3992" t="inlineStr">
        <is>
          <t>High</t>
        </is>
      </c>
      <c r="M3992" t="inlineStr">
        <is>
          <t>LLM</t>
        </is>
      </c>
      <c r="N3992" t="inlineStr">
        <is>
          <t>2026-04-19</t>
        </is>
      </c>
      <c r="O3992" t="inlineStr">
        <is>
          <t>AI</t>
        </is>
      </c>
    </row>
    <row r="3993">
      <c r="A3993" t="inlineStr">
        <is>
          <t>PT Pinago Utama Tbk</t>
        </is>
      </c>
      <c r="B3993" t="inlineStr">
        <is>
          <t>PNGO_2022_AR.pdf</t>
        </is>
      </c>
      <c r="C3993" t="n">
        <v>2022</v>
      </c>
      <c r="D3993" t="inlineStr">
        <is>
          <t>Company</t>
        </is>
      </c>
      <c r="E3993" t="inlineStr">
        <is>
          <t>Peter Unggul Sutantio Ownership</t>
        </is>
      </c>
      <c r="F3993" t="n">
        <v>0.1529</v>
      </c>
      <c r="G3993" t="inlineStr">
        <is>
          <t>%</t>
        </is>
      </c>
      <c r="H3993" t="n">
        <v>72</v>
      </c>
      <c r="I3993" t="inlineStr">
        <is>
          <t>Peter Unggul Sutantio 119.487.100 15,29%</t>
        </is>
      </c>
      <c r="J3993" t="inlineStr">
        <is>
          <t>High</t>
        </is>
      </c>
      <c r="M3993" t="inlineStr">
        <is>
          <t>LLM</t>
        </is>
      </c>
      <c r="N3993" t="inlineStr">
        <is>
          <t>2026-04-19</t>
        </is>
      </c>
      <c r="O3993" t="inlineStr">
        <is>
          <t>AI</t>
        </is>
      </c>
    </row>
    <row r="3994">
      <c r="A3994" t="inlineStr">
        <is>
          <t>PT Pinago Utama Tbk</t>
        </is>
      </c>
      <c r="B3994" t="inlineStr">
        <is>
          <t>PNGO_2022_AR.pdf</t>
        </is>
      </c>
      <c r="C3994" t="n">
        <v>2022</v>
      </c>
      <c r="D3994" t="inlineStr">
        <is>
          <t>Company</t>
        </is>
      </c>
      <c r="E3994" t="inlineStr">
        <is>
          <t>Public Float</t>
        </is>
      </c>
      <c r="F3994" t="n">
        <v>0.2489</v>
      </c>
      <c r="G3994" t="inlineStr">
        <is>
          <t>%</t>
        </is>
      </c>
      <c r="H3994" t="n">
        <v>72</v>
      </c>
      <c r="I3994" t="inlineStr">
        <is>
          <t>Masyarakat 194.399.000 24,89%</t>
        </is>
      </c>
      <c r="J3994" t="inlineStr">
        <is>
          <t>High</t>
        </is>
      </c>
      <c r="M3994" t="inlineStr">
        <is>
          <t>LLM</t>
        </is>
      </c>
      <c r="N3994" t="inlineStr">
        <is>
          <t>2026-04-19</t>
        </is>
      </c>
      <c r="O3994" t="inlineStr">
        <is>
          <t>AI</t>
        </is>
      </c>
    </row>
    <row r="3995">
      <c r="A3995" t="inlineStr">
        <is>
          <t>PT Pinago Utama Tbk</t>
        </is>
      </c>
      <c r="B3995" t="inlineStr">
        <is>
          <t>PNGO_2022_AR.pdf</t>
        </is>
      </c>
      <c r="C3995" t="n">
        <v>2022</v>
      </c>
      <c r="D3995" t="inlineStr">
        <is>
          <t>Company</t>
        </is>
      </c>
      <c r="E3995" t="inlineStr">
        <is>
          <t>Subsidiary SNS</t>
        </is>
      </c>
      <c r="F3995" t="inlineStr">
        <is>
          <t>PT Sriwijaya Nusantara Sejahtera 99% - Palm Plantations</t>
        </is>
      </c>
      <c r="G3995" t="inlineStr">
        <is>
          <t>text</t>
        </is>
      </c>
      <c r="H3995" t="n">
        <v>74</v>
      </c>
      <c r="I3995" t="inlineStr">
        <is>
          <t>PT Sriwijaya Nusantara Sejahtera (SNS); Kepemilikan 99%; Total Assets 264 Billion</t>
        </is>
      </c>
      <c r="J3995" t="inlineStr">
        <is>
          <t>High</t>
        </is>
      </c>
      <c r="M3995" t="inlineStr">
        <is>
          <t>LLM</t>
        </is>
      </c>
      <c r="N3995" t="inlineStr">
        <is>
          <t>2026-04-19</t>
        </is>
      </c>
      <c r="O3995" t="inlineStr">
        <is>
          <t>AI</t>
        </is>
      </c>
    </row>
    <row r="3996">
      <c r="A3996" t="inlineStr">
        <is>
          <t>PT Pinago Utama Tbk</t>
        </is>
      </c>
      <c r="B3996" t="inlineStr">
        <is>
          <t>PNGO_2022_AR.pdf</t>
        </is>
      </c>
      <c r="C3996" t="n">
        <v>2022</v>
      </c>
      <c r="D3996" t="inlineStr">
        <is>
          <t>Company</t>
        </is>
      </c>
      <c r="E3996" t="inlineStr">
        <is>
          <t>Subsidiary HMH</t>
        </is>
      </c>
      <c r="F3996" t="inlineStr">
        <is>
          <t>PT Hamparan Mutiara Hijau 99% - Palm Plantations</t>
        </is>
      </c>
      <c r="G3996" t="inlineStr">
        <is>
          <t>text</t>
        </is>
      </c>
      <c r="H3996" t="n">
        <v>74</v>
      </c>
      <c r="I3996" t="inlineStr">
        <is>
          <t>PT Hamparan Mutiara Hijau (HMH); 99%; 63 Billion</t>
        </is>
      </c>
      <c r="J3996" t="inlineStr">
        <is>
          <t>High</t>
        </is>
      </c>
      <c r="M3996" t="inlineStr">
        <is>
          <t>LLM</t>
        </is>
      </c>
      <c r="N3996" t="inlineStr">
        <is>
          <t>2026-04-19</t>
        </is>
      </c>
      <c r="O3996" t="inlineStr">
        <is>
          <t>AI</t>
        </is>
      </c>
    </row>
    <row r="3997">
      <c r="A3997" t="inlineStr">
        <is>
          <t>PT Pinago Utama Tbk</t>
        </is>
      </c>
      <c r="B3997" t="inlineStr">
        <is>
          <t>PNGO_2022_AR.pdf</t>
        </is>
      </c>
      <c r="C3997" t="n">
        <v>2022</v>
      </c>
      <c r="D3997" t="inlineStr">
        <is>
          <t>Company</t>
        </is>
      </c>
      <c r="E3997" t="inlineStr">
        <is>
          <t>Subsidiary MAS</t>
        </is>
      </c>
      <c r="F3997" t="inlineStr">
        <is>
          <t>PT Musi Andalan Sumatera 99% - Palm Plantations</t>
        </is>
      </c>
      <c r="G3997" t="inlineStr">
        <is>
          <t>text</t>
        </is>
      </c>
      <c r="H3997" t="n">
        <v>74</v>
      </c>
      <c r="I3997" t="inlineStr">
        <is>
          <t>PT Musi Andalan Sumatera (MAS); 99%; 90 Billion</t>
        </is>
      </c>
      <c r="J3997" t="inlineStr">
        <is>
          <t>High</t>
        </is>
      </c>
      <c r="M3997" t="inlineStr">
        <is>
          <t>LLM</t>
        </is>
      </c>
      <c r="N3997" t="inlineStr">
        <is>
          <t>2026-04-19</t>
        </is>
      </c>
      <c r="O3997" t="inlineStr">
        <is>
          <t>AI</t>
        </is>
      </c>
    </row>
    <row r="3998">
      <c r="A3998" t="inlineStr">
        <is>
          <t>PT Pinago Utama Tbk</t>
        </is>
      </c>
      <c r="B3998" t="inlineStr">
        <is>
          <t>PNGO_2022_AR.pdf</t>
        </is>
      </c>
      <c r="C3998" t="n">
        <v>2022</v>
      </c>
      <c r="D3998" t="inlineStr">
        <is>
          <t>Financial</t>
        </is>
      </c>
      <c r="E3998" t="inlineStr">
        <is>
          <t>Revenue</t>
        </is>
      </c>
      <c r="F3998" t="n">
        <v>2034</v>
      </c>
      <c r="G3998" t="inlineStr">
        <is>
          <t>IDR bn</t>
        </is>
      </c>
      <c r="H3998" t="n">
        <v>8</v>
      </c>
      <c r="I3998" t="inlineStr">
        <is>
          <t>Penjualan 2.034.457 (juta Rupiah)</t>
        </is>
      </c>
      <c r="J3998" t="inlineStr">
        <is>
          <t>High</t>
        </is>
      </c>
      <c r="M3998" t="inlineStr">
        <is>
          <t>LLM</t>
        </is>
      </c>
      <c r="N3998" t="inlineStr">
        <is>
          <t>2026-04-19</t>
        </is>
      </c>
      <c r="O3998" t="inlineStr">
        <is>
          <t>AI</t>
        </is>
      </c>
    </row>
    <row r="3999">
      <c r="A3999" t="inlineStr">
        <is>
          <t>PT Pinago Utama Tbk</t>
        </is>
      </c>
      <c r="B3999" t="inlineStr">
        <is>
          <t>PNGO_2022_AR.pdf</t>
        </is>
      </c>
      <c r="C3999" t="n">
        <v>2022</v>
      </c>
      <c r="D3999" t="inlineStr">
        <is>
          <t>Financial</t>
        </is>
      </c>
      <c r="E3999" t="inlineStr">
        <is>
          <t>Cost of Goods Sold</t>
        </is>
      </c>
      <c r="F3999" t="n">
        <v>1505</v>
      </c>
      <c r="G3999" t="inlineStr">
        <is>
          <t>IDR bn</t>
        </is>
      </c>
      <c r="H3999" t="n">
        <v>8</v>
      </c>
      <c r="I3999" t="inlineStr">
        <is>
          <t>Beban Pokok Penjualan 1.505.425</t>
        </is>
      </c>
      <c r="J3999" t="inlineStr">
        <is>
          <t>High</t>
        </is>
      </c>
      <c r="M3999" t="inlineStr">
        <is>
          <t>LLM</t>
        </is>
      </c>
      <c r="N3999" t="inlineStr">
        <is>
          <t>2026-04-19</t>
        </is>
      </c>
      <c r="O3999" t="inlineStr">
        <is>
          <t>AI</t>
        </is>
      </c>
    </row>
    <row r="4000">
      <c r="A4000" t="inlineStr">
        <is>
          <t>PT Pinago Utama Tbk</t>
        </is>
      </c>
      <c r="B4000" t="inlineStr">
        <is>
          <t>PNGO_2022_AR.pdf</t>
        </is>
      </c>
      <c r="C4000" t="n">
        <v>2022</v>
      </c>
      <c r="D4000" t="inlineStr">
        <is>
          <t>Financial</t>
        </is>
      </c>
      <c r="E4000" t="inlineStr">
        <is>
          <t>Gross Profit</t>
        </is>
      </c>
      <c r="F4000" t="n">
        <v>529</v>
      </c>
      <c r="G4000" t="inlineStr">
        <is>
          <t>IDR bn</t>
        </is>
      </c>
      <c r="H4000" t="n">
        <v>8</v>
      </c>
      <c r="I4000" t="inlineStr">
        <is>
          <t>Laba Kotor 529.032</t>
        </is>
      </c>
      <c r="J4000" t="inlineStr">
        <is>
          <t>High</t>
        </is>
      </c>
      <c r="M4000" t="inlineStr">
        <is>
          <t>LLM</t>
        </is>
      </c>
      <c r="N4000" t="inlineStr">
        <is>
          <t>2026-04-19</t>
        </is>
      </c>
      <c r="O4000" t="inlineStr">
        <is>
          <t>AI</t>
        </is>
      </c>
    </row>
    <row r="4001">
      <c r="A4001" t="inlineStr">
        <is>
          <t>PT Pinago Utama Tbk</t>
        </is>
      </c>
      <c r="B4001" t="inlineStr">
        <is>
          <t>PNGO_2022_AR.pdf</t>
        </is>
      </c>
      <c r="C4001" t="n">
        <v>2022</v>
      </c>
      <c r="D4001" t="inlineStr">
        <is>
          <t>Financial</t>
        </is>
      </c>
      <c r="E4001" t="inlineStr">
        <is>
          <t>Operating Expense</t>
        </is>
      </c>
      <c r="F4001" t="n">
        <v>212</v>
      </c>
      <c r="G4001" t="inlineStr">
        <is>
          <t>IDR bn</t>
        </is>
      </c>
      <c r="H4001" t="n">
        <v>8</v>
      </c>
      <c r="I4001" t="inlineStr">
        <is>
          <t>Beban Usaha 212.350</t>
        </is>
      </c>
      <c r="J4001" t="inlineStr">
        <is>
          <t>High</t>
        </is>
      </c>
      <c r="M4001" t="inlineStr">
        <is>
          <t>LLM</t>
        </is>
      </c>
      <c r="N4001" t="inlineStr">
        <is>
          <t>2026-04-19</t>
        </is>
      </c>
      <c r="O4001" t="inlineStr">
        <is>
          <t>AI</t>
        </is>
      </c>
    </row>
    <row r="4002">
      <c r="A4002" t="inlineStr">
        <is>
          <t>PT Pinago Utama Tbk</t>
        </is>
      </c>
      <c r="B4002" t="inlineStr">
        <is>
          <t>PNGO_2022_AR.pdf</t>
        </is>
      </c>
      <c r="C4002" t="n">
        <v>2022</v>
      </c>
      <c r="D4002" t="inlineStr">
        <is>
          <t>Financial</t>
        </is>
      </c>
      <c r="E4002" t="inlineStr">
        <is>
          <t>Operating Profit (EBIT)</t>
        </is>
      </c>
      <c r="F4002" t="n">
        <v>317</v>
      </c>
      <c r="G4002" t="inlineStr">
        <is>
          <t>IDR bn</t>
        </is>
      </c>
      <c r="H4002" t="n">
        <v>8</v>
      </c>
      <c r="I4002" t="inlineStr">
        <is>
          <t>Laba Usaha 316.681</t>
        </is>
      </c>
      <c r="J4002" t="inlineStr">
        <is>
          <t>High</t>
        </is>
      </c>
      <c r="M4002" t="inlineStr">
        <is>
          <t>LLM</t>
        </is>
      </c>
      <c r="N4002" t="inlineStr">
        <is>
          <t>2026-04-19</t>
        </is>
      </c>
      <c r="O4002" t="inlineStr">
        <is>
          <t>AI</t>
        </is>
      </c>
    </row>
    <row r="4003">
      <c r="A4003" t="inlineStr">
        <is>
          <t>PT Pinago Utama Tbk</t>
        </is>
      </c>
      <c r="B4003" t="inlineStr">
        <is>
          <t>PNGO_2022_AR.pdf</t>
        </is>
      </c>
      <c r="C4003" t="n">
        <v>2022</v>
      </c>
      <c r="D4003" t="inlineStr">
        <is>
          <t>Financial</t>
        </is>
      </c>
      <c r="E4003" t="inlineStr">
        <is>
          <t>Profit Before Tax</t>
        </is>
      </c>
      <c r="F4003" t="n">
        <v>226</v>
      </c>
      <c r="G4003" t="inlineStr">
        <is>
          <t>IDR bn</t>
        </is>
      </c>
      <c r="H4003" t="n">
        <v>8</v>
      </c>
      <c r="I4003" t="inlineStr">
        <is>
          <t>Laba Sebelum Pajak 226.061</t>
        </is>
      </c>
      <c r="J4003" t="inlineStr">
        <is>
          <t>High</t>
        </is>
      </c>
      <c r="M4003" t="inlineStr">
        <is>
          <t>LLM</t>
        </is>
      </c>
      <c r="N4003" t="inlineStr">
        <is>
          <t>2026-04-19</t>
        </is>
      </c>
      <c r="O4003" t="inlineStr">
        <is>
          <t>AI</t>
        </is>
      </c>
    </row>
    <row r="4004">
      <c r="A4004" t="inlineStr">
        <is>
          <t>PT Pinago Utama Tbk</t>
        </is>
      </c>
      <c r="B4004" t="inlineStr">
        <is>
          <t>PNGO_2022_AR.pdf</t>
        </is>
      </c>
      <c r="C4004" t="n">
        <v>2022</v>
      </c>
      <c r="D4004" t="inlineStr">
        <is>
          <t>Financial</t>
        </is>
      </c>
      <c r="E4004" t="inlineStr">
        <is>
          <t>Net Profit</t>
        </is>
      </c>
      <c r="F4004" t="n">
        <v>173</v>
      </c>
      <c r="G4004" t="inlineStr">
        <is>
          <t>IDR bn</t>
        </is>
      </c>
      <c r="H4004" t="n">
        <v>8</v>
      </c>
      <c r="I4004" t="inlineStr">
        <is>
          <t>Laba Neto Tahun Berjalan 173.391</t>
        </is>
      </c>
      <c r="J4004" t="inlineStr">
        <is>
          <t>High</t>
        </is>
      </c>
      <c r="M4004" t="inlineStr">
        <is>
          <t>LLM</t>
        </is>
      </c>
      <c r="N4004" t="inlineStr">
        <is>
          <t>2026-04-19</t>
        </is>
      </c>
      <c r="O4004" t="inlineStr">
        <is>
          <t>AI</t>
        </is>
      </c>
    </row>
    <row r="4005">
      <c r="A4005" t="inlineStr">
        <is>
          <t>PT Pinago Utama Tbk</t>
        </is>
      </c>
      <c r="B4005" t="inlineStr">
        <is>
          <t>PNGO_2022_AR.pdf</t>
        </is>
      </c>
      <c r="C4005" t="n">
        <v>2022</v>
      </c>
      <c r="D4005" t="inlineStr">
        <is>
          <t>Financial</t>
        </is>
      </c>
      <c r="E4005" t="inlineStr">
        <is>
          <t>Profit Attributable to Parent</t>
        </is>
      </c>
      <c r="F4005" t="n">
        <v>173</v>
      </c>
      <c r="G4005" t="inlineStr">
        <is>
          <t>IDR bn</t>
        </is>
      </c>
      <c r="H4005" t="n">
        <v>8</v>
      </c>
      <c r="I4005" t="inlineStr">
        <is>
          <t>Pemilik Entitas Induk 173.128</t>
        </is>
      </c>
      <c r="J4005" t="inlineStr">
        <is>
          <t>High</t>
        </is>
      </c>
      <c r="M4005" t="inlineStr">
        <is>
          <t>LLM</t>
        </is>
      </c>
      <c r="N4005" t="inlineStr">
        <is>
          <t>2026-04-19</t>
        </is>
      </c>
      <c r="O4005" t="inlineStr">
        <is>
          <t>AI</t>
        </is>
      </c>
    </row>
    <row r="4006">
      <c r="A4006" t="inlineStr">
        <is>
          <t>PT Pinago Utama Tbk</t>
        </is>
      </c>
      <c r="B4006" t="inlineStr">
        <is>
          <t>PNGO_2022_AR.pdf</t>
        </is>
      </c>
      <c r="C4006" t="n">
        <v>2022</v>
      </c>
      <c r="D4006" t="inlineStr">
        <is>
          <t>Financial</t>
        </is>
      </c>
      <c r="E4006" t="inlineStr">
        <is>
          <t>Total Assets</t>
        </is>
      </c>
      <c r="F4006" t="n">
        <v>1551</v>
      </c>
      <c r="G4006" t="inlineStr">
        <is>
          <t>IDR bn</t>
        </is>
      </c>
      <c r="H4006" t="n">
        <v>10</v>
      </c>
      <c r="I4006" t="inlineStr">
        <is>
          <t>Jumlah Aset 1.550 (miliar); Rp1.550.623.971.085 per BS</t>
        </is>
      </c>
      <c r="J4006" t="inlineStr">
        <is>
          <t>High</t>
        </is>
      </c>
      <c r="M4006" t="inlineStr">
        <is>
          <t>LLM</t>
        </is>
      </c>
      <c r="N4006" t="inlineStr">
        <is>
          <t>2026-04-19</t>
        </is>
      </c>
      <c r="O4006" t="inlineStr">
        <is>
          <t>AI</t>
        </is>
      </c>
    </row>
    <row r="4007">
      <c r="A4007" t="inlineStr">
        <is>
          <t>PT Pinago Utama Tbk</t>
        </is>
      </c>
      <c r="B4007" t="inlineStr">
        <is>
          <t>PNGO_2022_AR.pdf</t>
        </is>
      </c>
      <c r="C4007" t="n">
        <v>2022</v>
      </c>
      <c r="D4007" t="inlineStr">
        <is>
          <t>Financial</t>
        </is>
      </c>
      <c r="E4007" t="inlineStr">
        <is>
          <t>Current Assets</t>
        </is>
      </c>
      <c r="F4007" t="n">
        <v>496</v>
      </c>
      <c r="G4007" t="inlineStr">
        <is>
          <t>IDR bn</t>
        </is>
      </c>
      <c r="H4007" t="n">
        <v>249</v>
      </c>
      <c r="I4007" t="inlineStr">
        <is>
          <t>Total Aset Lancar 496.438.128.168</t>
        </is>
      </c>
      <c r="J4007" t="inlineStr">
        <is>
          <t>High</t>
        </is>
      </c>
      <c r="M4007" t="inlineStr">
        <is>
          <t>LLM</t>
        </is>
      </c>
      <c r="N4007" t="inlineStr">
        <is>
          <t>2026-04-19</t>
        </is>
      </c>
      <c r="O4007" t="inlineStr">
        <is>
          <t>AI</t>
        </is>
      </c>
    </row>
    <row r="4008">
      <c r="A4008" t="inlineStr">
        <is>
          <t>PT Pinago Utama Tbk</t>
        </is>
      </c>
      <c r="B4008" t="inlineStr">
        <is>
          <t>PNGO_2022_AR.pdf</t>
        </is>
      </c>
      <c r="C4008" t="n">
        <v>2022</v>
      </c>
      <c r="D4008" t="inlineStr">
        <is>
          <t>Financial</t>
        </is>
      </c>
      <c r="E4008" t="inlineStr">
        <is>
          <t>Non-Current Assets</t>
        </is>
      </c>
      <c r="F4008" t="n">
        <v>1054</v>
      </c>
      <c r="G4008" t="inlineStr">
        <is>
          <t>IDR bn</t>
        </is>
      </c>
      <c r="H4008" t="n">
        <v>249</v>
      </c>
      <c r="I4008" t="inlineStr">
        <is>
          <t>Total Aset Tidak Lancar 1.054.185.842.917</t>
        </is>
      </c>
      <c r="J4008" t="inlineStr">
        <is>
          <t>High</t>
        </is>
      </c>
      <c r="M4008" t="inlineStr">
        <is>
          <t>LLM</t>
        </is>
      </c>
      <c r="N4008" t="inlineStr">
        <is>
          <t>2026-04-19</t>
        </is>
      </c>
      <c r="O4008" t="inlineStr">
        <is>
          <t>AI</t>
        </is>
      </c>
    </row>
    <row r="4009">
      <c r="A4009" t="inlineStr">
        <is>
          <t>PT Pinago Utama Tbk</t>
        </is>
      </c>
      <c r="B4009" t="inlineStr">
        <is>
          <t>PNGO_2022_AR.pdf</t>
        </is>
      </c>
      <c r="C4009" t="n">
        <v>2022</v>
      </c>
      <c r="D4009" t="inlineStr">
        <is>
          <t>Financial</t>
        </is>
      </c>
      <c r="E4009" t="inlineStr">
        <is>
          <t>Total Liabilities</t>
        </is>
      </c>
      <c r="F4009" t="n">
        <v>842</v>
      </c>
      <c r="G4009" t="inlineStr">
        <is>
          <t>IDR bn</t>
        </is>
      </c>
      <c r="H4009" t="n">
        <v>250</v>
      </c>
      <c r="I4009" t="inlineStr">
        <is>
          <t>TOTAL LIABILITAS 842.074.572.429</t>
        </is>
      </c>
      <c r="J4009" t="inlineStr">
        <is>
          <t>High</t>
        </is>
      </c>
      <c r="M4009" t="inlineStr">
        <is>
          <t>LLM</t>
        </is>
      </c>
      <c r="N4009" t="inlineStr">
        <is>
          <t>2026-04-19</t>
        </is>
      </c>
      <c r="O4009" t="inlineStr">
        <is>
          <t>AI</t>
        </is>
      </c>
    </row>
    <row r="4010">
      <c r="A4010" t="inlineStr">
        <is>
          <t>PT Pinago Utama Tbk</t>
        </is>
      </c>
      <c r="B4010" t="inlineStr">
        <is>
          <t>PNGO_2022_AR.pdf</t>
        </is>
      </c>
      <c r="C4010" t="n">
        <v>2022</v>
      </c>
      <c r="D4010" t="inlineStr">
        <is>
          <t>Financial</t>
        </is>
      </c>
      <c r="E4010" t="inlineStr">
        <is>
          <t>Current Liabilities</t>
        </is>
      </c>
      <c r="F4010" t="n">
        <v>337</v>
      </c>
      <c r="G4010" t="inlineStr">
        <is>
          <t>IDR bn</t>
        </is>
      </c>
      <c r="H4010" t="n">
        <v>250</v>
      </c>
      <c r="I4010" t="inlineStr">
        <is>
          <t>Total Liabilitas Jangka Pendek 337.116.041.840</t>
        </is>
      </c>
      <c r="J4010" t="inlineStr">
        <is>
          <t>High</t>
        </is>
      </c>
      <c r="M4010" t="inlineStr">
        <is>
          <t>LLM</t>
        </is>
      </c>
      <c r="N4010" t="inlineStr">
        <is>
          <t>2026-04-19</t>
        </is>
      </c>
      <c r="O4010" t="inlineStr">
        <is>
          <t>AI</t>
        </is>
      </c>
    </row>
    <row r="4011">
      <c r="A4011" t="inlineStr">
        <is>
          <t>PT Pinago Utama Tbk</t>
        </is>
      </c>
      <c r="B4011" t="inlineStr">
        <is>
          <t>PNGO_2022_AR.pdf</t>
        </is>
      </c>
      <c r="C4011" t="n">
        <v>2022</v>
      </c>
      <c r="D4011" t="inlineStr">
        <is>
          <t>Financial</t>
        </is>
      </c>
      <c r="E4011" t="inlineStr">
        <is>
          <t>Non-Current Liabilities</t>
        </is>
      </c>
      <c r="F4011" t="n">
        <v>505</v>
      </c>
      <c r="G4011" t="inlineStr">
        <is>
          <t>IDR bn</t>
        </is>
      </c>
      <c r="H4011" t="n">
        <v>250</v>
      </c>
      <c r="I4011" t="inlineStr">
        <is>
          <t>Total Liabilitas Jangka Panjang 504.958.530.589</t>
        </is>
      </c>
      <c r="J4011" t="inlineStr">
        <is>
          <t>High</t>
        </is>
      </c>
      <c r="M4011" t="inlineStr">
        <is>
          <t>LLM</t>
        </is>
      </c>
      <c r="N4011" t="inlineStr">
        <is>
          <t>2026-04-19</t>
        </is>
      </c>
      <c r="O4011" t="inlineStr">
        <is>
          <t>AI</t>
        </is>
      </c>
    </row>
    <row r="4012">
      <c r="A4012" t="inlineStr">
        <is>
          <t>PT Pinago Utama Tbk</t>
        </is>
      </c>
      <c r="B4012" t="inlineStr">
        <is>
          <t>PNGO_2022_AR.pdf</t>
        </is>
      </c>
      <c r="C4012" t="n">
        <v>2022</v>
      </c>
      <c r="D4012" t="inlineStr">
        <is>
          <t>Financial</t>
        </is>
      </c>
      <c r="E4012" t="inlineStr">
        <is>
          <t>Total Equity</t>
        </is>
      </c>
      <c r="F4012" t="n">
        <v>708</v>
      </c>
      <c r="G4012" t="inlineStr">
        <is>
          <t>IDR bn</t>
        </is>
      </c>
      <c r="H4012" t="n">
        <v>10</v>
      </c>
      <c r="I4012" t="inlineStr">
        <is>
          <t>Jumlah Ekuitas 708 (miliar)</t>
        </is>
      </c>
      <c r="J4012" t="inlineStr">
        <is>
          <t>High</t>
        </is>
      </c>
      <c r="M4012" t="inlineStr">
        <is>
          <t>LLM</t>
        </is>
      </c>
      <c r="N4012" t="inlineStr">
        <is>
          <t>2026-04-19</t>
        </is>
      </c>
      <c r="O4012" t="inlineStr">
        <is>
          <t>AI</t>
        </is>
      </c>
    </row>
    <row r="4013">
      <c r="A4013" t="inlineStr">
        <is>
          <t>PT Pinago Utama Tbk</t>
        </is>
      </c>
      <c r="B4013" t="inlineStr">
        <is>
          <t>PNGO_2022_AR.pdf</t>
        </is>
      </c>
      <c r="C4013" t="n">
        <v>2022</v>
      </c>
      <c r="D4013" t="inlineStr">
        <is>
          <t>Financial</t>
        </is>
      </c>
      <c r="E4013" t="inlineStr">
        <is>
          <t>Cash &amp; Cash Equivalents</t>
        </is>
      </c>
      <c r="F4013" t="n">
        <v>72</v>
      </c>
      <c r="G4013" t="inlineStr">
        <is>
          <t>IDR bn</t>
        </is>
      </c>
      <c r="H4013" t="n">
        <v>249</v>
      </c>
      <c r="I4013" t="inlineStr">
        <is>
          <t>Kas dan setara kas 72.195.815.205</t>
        </is>
      </c>
      <c r="J4013" t="inlineStr">
        <is>
          <t>High</t>
        </is>
      </c>
      <c r="M4013" t="inlineStr">
        <is>
          <t>LLM</t>
        </is>
      </c>
      <c r="N4013" t="inlineStr">
        <is>
          <t>2026-04-19</t>
        </is>
      </c>
      <c r="O4013" t="inlineStr">
        <is>
          <t>AI</t>
        </is>
      </c>
    </row>
    <row r="4014">
      <c r="A4014" t="inlineStr">
        <is>
          <t>PT Pinago Utama Tbk</t>
        </is>
      </c>
      <c r="B4014" t="inlineStr">
        <is>
          <t>PNGO_2022_AR.pdf</t>
        </is>
      </c>
      <c r="C4014" t="n">
        <v>2022</v>
      </c>
      <c r="D4014" t="inlineStr">
        <is>
          <t>Financial</t>
        </is>
      </c>
      <c r="E4014" t="inlineStr">
        <is>
          <t>Short-term Bank Loans</t>
        </is>
      </c>
      <c r="F4014" t="n">
        <v>155</v>
      </c>
      <c r="G4014" t="inlineStr">
        <is>
          <t>IDR bn</t>
        </is>
      </c>
      <c r="H4014" t="n">
        <v>250</v>
      </c>
      <c r="I4014" t="inlineStr">
        <is>
          <t>Utang bank jangka pendek 154.700.000.000</t>
        </is>
      </c>
      <c r="J4014" t="inlineStr">
        <is>
          <t>High</t>
        </is>
      </c>
      <c r="M4014" t="inlineStr">
        <is>
          <t>LLM</t>
        </is>
      </c>
      <c r="N4014" t="inlineStr">
        <is>
          <t>2026-04-19</t>
        </is>
      </c>
      <c r="O4014" t="inlineStr">
        <is>
          <t>AI</t>
        </is>
      </c>
    </row>
    <row r="4015">
      <c r="A4015" t="inlineStr">
        <is>
          <t>PT Pinago Utama Tbk</t>
        </is>
      </c>
      <c r="B4015" t="inlineStr">
        <is>
          <t>PNGO_2022_AR.pdf</t>
        </is>
      </c>
      <c r="C4015" t="n">
        <v>2022</v>
      </c>
      <c r="D4015" t="inlineStr">
        <is>
          <t>Financial</t>
        </is>
      </c>
      <c r="E4015" t="inlineStr">
        <is>
          <t>Current Portion LT Bank Loans</t>
        </is>
      </c>
      <c r="F4015" t="n">
        <v>91</v>
      </c>
      <c r="G4015" t="inlineStr">
        <is>
          <t>IDR bn</t>
        </is>
      </c>
      <c r="H4015" t="n">
        <v>250</v>
      </c>
      <c r="I4015" t="inlineStr">
        <is>
          <t>Utang bank (current) 90.833.333.333</t>
        </is>
      </c>
      <c r="J4015" t="inlineStr">
        <is>
          <t>High</t>
        </is>
      </c>
      <c r="M4015" t="inlineStr">
        <is>
          <t>LLM</t>
        </is>
      </c>
      <c r="N4015" t="inlineStr">
        <is>
          <t>2026-04-19</t>
        </is>
      </c>
      <c r="O4015" t="inlineStr">
        <is>
          <t>AI</t>
        </is>
      </c>
    </row>
    <row r="4016">
      <c r="A4016" t="inlineStr">
        <is>
          <t>PT Pinago Utama Tbk</t>
        </is>
      </c>
      <c r="B4016" t="inlineStr">
        <is>
          <t>PNGO_2022_AR.pdf</t>
        </is>
      </c>
      <c r="C4016" t="n">
        <v>2022</v>
      </c>
      <c r="D4016" t="inlineStr">
        <is>
          <t>Financial</t>
        </is>
      </c>
      <c r="E4016" t="inlineStr">
        <is>
          <t>Long-term Bank Loans</t>
        </is>
      </c>
      <c r="F4016" t="n">
        <v>439</v>
      </c>
      <c r="G4016" t="inlineStr">
        <is>
          <t>IDR bn</t>
        </is>
      </c>
      <c r="H4016" t="n">
        <v>250</v>
      </c>
      <c r="I4016" t="inlineStr">
        <is>
          <t>Utang bank (LT) 439.088.342.489</t>
        </is>
      </c>
      <c r="J4016" t="inlineStr">
        <is>
          <t>High</t>
        </is>
      </c>
      <c r="M4016" t="inlineStr">
        <is>
          <t>LLM</t>
        </is>
      </c>
      <c r="N4016" t="inlineStr">
        <is>
          <t>2026-04-19</t>
        </is>
      </c>
      <c r="O4016" t="inlineStr">
        <is>
          <t>AI</t>
        </is>
      </c>
    </row>
    <row r="4017">
      <c r="A4017" t="inlineStr">
        <is>
          <t>PT Pinago Utama Tbk</t>
        </is>
      </c>
      <c r="B4017" t="inlineStr">
        <is>
          <t>PNGO_2022_AR.pdf</t>
        </is>
      </c>
      <c r="C4017" t="n">
        <v>2022</v>
      </c>
      <c r="D4017" t="inlineStr">
        <is>
          <t>Financial</t>
        </is>
      </c>
      <c r="E4017" t="inlineStr">
        <is>
          <t>Gross Bank Debt</t>
        </is>
      </c>
      <c r="F4017" t="n">
        <v>685</v>
      </c>
      <c r="G4017" t="inlineStr">
        <is>
          <t>IDR bn</t>
        </is>
      </c>
      <c r="H4017" t="n">
        <v>250</v>
      </c>
      <c r="I4017" t="inlineStr">
        <is>
          <t>Calculated: 154.70+90.83+439.09 = 684.62 bn</t>
        </is>
      </c>
      <c r="J4017" t="inlineStr">
        <is>
          <t>High</t>
        </is>
      </c>
      <c r="M4017" t="inlineStr">
        <is>
          <t>LLM</t>
        </is>
      </c>
      <c r="N4017" t="inlineStr">
        <is>
          <t>2026-04-19</t>
        </is>
      </c>
      <c r="O4017" t="inlineStr">
        <is>
          <t>AI</t>
        </is>
      </c>
    </row>
    <row r="4018">
      <c r="A4018" t="inlineStr">
        <is>
          <t>PT Pinago Utama Tbk</t>
        </is>
      </c>
      <c r="B4018" t="inlineStr">
        <is>
          <t>PNGO_2022_AR.pdf</t>
        </is>
      </c>
      <c r="C4018" t="n">
        <v>2022</v>
      </c>
      <c r="D4018" t="inlineStr">
        <is>
          <t>Financial</t>
        </is>
      </c>
      <c r="E4018" t="inlineStr">
        <is>
          <t>Trade Receivables (net)</t>
        </is>
      </c>
      <c r="F4018" t="n">
        <v>43</v>
      </c>
      <c r="G4018" t="inlineStr">
        <is>
          <t>IDR bn</t>
        </is>
      </c>
      <c r="H4018" t="n">
        <v>249</v>
      </c>
      <c r="I4018" t="inlineStr">
        <is>
          <t>Piutang usaha 35.005 + 8.451 = 43.46 bn</t>
        </is>
      </c>
      <c r="J4018" t="inlineStr">
        <is>
          <t>High</t>
        </is>
      </c>
      <c r="M4018" t="inlineStr">
        <is>
          <t>LLM</t>
        </is>
      </c>
      <c r="N4018" t="inlineStr">
        <is>
          <t>2026-04-19</t>
        </is>
      </c>
      <c r="O4018" t="inlineStr">
        <is>
          <t>AI</t>
        </is>
      </c>
    </row>
    <row r="4019">
      <c r="A4019" t="inlineStr">
        <is>
          <t>PT Pinago Utama Tbk</t>
        </is>
      </c>
      <c r="B4019" t="inlineStr">
        <is>
          <t>PNGO_2022_AR.pdf</t>
        </is>
      </c>
      <c r="C4019" t="n">
        <v>2022</v>
      </c>
      <c r="D4019" t="inlineStr">
        <is>
          <t>Financial</t>
        </is>
      </c>
      <c r="E4019" t="inlineStr">
        <is>
          <t>Inventories (net)</t>
        </is>
      </c>
      <c r="F4019" t="n">
        <v>300</v>
      </c>
      <c r="G4019" t="inlineStr">
        <is>
          <t>IDR bn</t>
        </is>
      </c>
      <c r="H4019" t="n">
        <v>249</v>
      </c>
      <c r="I4019" t="inlineStr">
        <is>
          <t>Persediaan – bersih 300.413.515.952</t>
        </is>
      </c>
      <c r="J4019" t="inlineStr">
        <is>
          <t>High</t>
        </is>
      </c>
      <c r="M4019" t="inlineStr">
        <is>
          <t>LLM</t>
        </is>
      </c>
      <c r="N4019" t="inlineStr">
        <is>
          <t>2026-04-19</t>
        </is>
      </c>
      <c r="O4019" t="inlineStr">
        <is>
          <t>AI</t>
        </is>
      </c>
    </row>
    <row r="4020">
      <c r="A4020" t="inlineStr">
        <is>
          <t>PT Pinago Utama Tbk</t>
        </is>
      </c>
      <c r="B4020" t="inlineStr">
        <is>
          <t>PNGO_2022_AR.pdf</t>
        </is>
      </c>
      <c r="C4020" t="n">
        <v>2022</v>
      </c>
      <c r="D4020" t="inlineStr">
        <is>
          <t>Financial</t>
        </is>
      </c>
      <c r="E4020" t="inlineStr">
        <is>
          <t>CFO</t>
        </is>
      </c>
      <c r="F4020" t="n">
        <v>200</v>
      </c>
      <c r="G4020" t="inlineStr">
        <is>
          <t>IDR bn</t>
        </is>
      </c>
      <c r="H4020" t="n">
        <v>109</v>
      </c>
      <c r="I4020" t="inlineStr">
        <is>
          <t>Arus Kas dari Aktivitas Operasi 200.449 (juta)</t>
        </is>
      </c>
      <c r="J4020" t="inlineStr">
        <is>
          <t>High</t>
        </is>
      </c>
      <c r="M4020" t="inlineStr">
        <is>
          <t>LLM</t>
        </is>
      </c>
      <c r="N4020" t="inlineStr">
        <is>
          <t>2026-04-19</t>
        </is>
      </c>
      <c r="O4020" t="inlineStr">
        <is>
          <t>AI</t>
        </is>
      </c>
    </row>
    <row r="4021">
      <c r="A4021" t="inlineStr">
        <is>
          <t>PT Pinago Utama Tbk</t>
        </is>
      </c>
      <c r="B4021" t="inlineStr">
        <is>
          <t>PNGO_2022_AR.pdf</t>
        </is>
      </c>
      <c r="C4021" t="n">
        <v>2022</v>
      </c>
      <c r="D4021" t="inlineStr">
        <is>
          <t>Financial</t>
        </is>
      </c>
      <c r="E4021" t="inlineStr">
        <is>
          <t>CFI</t>
        </is>
      </c>
      <c r="F4021" t="n">
        <v>-65</v>
      </c>
      <c r="G4021" t="inlineStr">
        <is>
          <t>IDR bn</t>
        </is>
      </c>
      <c r="H4021" t="n">
        <v>109</v>
      </c>
      <c r="I4021" t="inlineStr">
        <is>
          <t>Arus Kas Aktivitas Investasi (64.782)</t>
        </is>
      </c>
      <c r="J4021" t="inlineStr">
        <is>
          <t>High</t>
        </is>
      </c>
      <c r="M4021" t="inlineStr">
        <is>
          <t>LLM</t>
        </is>
      </c>
      <c r="N4021" t="inlineStr">
        <is>
          <t>2026-04-19</t>
        </is>
      </c>
      <c r="O4021" t="inlineStr">
        <is>
          <t>AI</t>
        </is>
      </c>
    </row>
    <row r="4022">
      <c r="A4022" t="inlineStr">
        <is>
          <t>PT Pinago Utama Tbk</t>
        </is>
      </c>
      <c r="B4022" t="inlineStr">
        <is>
          <t>PNGO_2022_AR.pdf</t>
        </is>
      </c>
      <c r="C4022" t="n">
        <v>2022</v>
      </c>
      <c r="D4022" t="inlineStr">
        <is>
          <t>Financial</t>
        </is>
      </c>
      <c r="E4022" t="inlineStr">
        <is>
          <t>CFF</t>
        </is>
      </c>
      <c r="F4022" t="n">
        <v>-124</v>
      </c>
      <c r="G4022" t="inlineStr">
        <is>
          <t>IDR bn</t>
        </is>
      </c>
      <c r="H4022" t="n">
        <v>109</v>
      </c>
      <c r="I4022" t="inlineStr">
        <is>
          <t>Arus Kas Aktivitas Pendanaan (123.953)</t>
        </is>
      </c>
      <c r="J4022" t="inlineStr">
        <is>
          <t>High</t>
        </is>
      </c>
      <c r="M4022" t="inlineStr">
        <is>
          <t>LLM</t>
        </is>
      </c>
      <c r="N4022" t="inlineStr">
        <is>
          <t>2026-04-19</t>
        </is>
      </c>
      <c r="O4022" t="inlineStr">
        <is>
          <t>AI</t>
        </is>
      </c>
    </row>
    <row r="4023">
      <c r="A4023" t="inlineStr">
        <is>
          <t>PT Pinago Utama Tbk</t>
        </is>
      </c>
      <c r="B4023" t="inlineStr">
        <is>
          <t>PNGO_2022_AR.pdf</t>
        </is>
      </c>
      <c r="C4023" t="n">
        <v>2022</v>
      </c>
      <c r="D4023" t="inlineStr">
        <is>
          <t>Financial</t>
        </is>
      </c>
      <c r="E4023" t="inlineStr">
        <is>
          <t>Capex (approx)</t>
        </is>
      </c>
      <c r="F4023" t="n">
        <v>65</v>
      </c>
      <c r="G4023" t="inlineStr">
        <is>
          <t>IDR bn</t>
        </is>
      </c>
      <c r="H4023" t="n">
        <v>109</v>
      </c>
      <c r="I4023" t="inlineStr">
        <is>
          <t>Investasi Rp64.782 juta net outflow</t>
        </is>
      </c>
      <c r="J4023" t="inlineStr">
        <is>
          <t>Medium</t>
        </is>
      </c>
      <c r="M4023" t="inlineStr">
        <is>
          <t>LLM</t>
        </is>
      </c>
      <c r="N4023" t="inlineStr">
        <is>
          <t>2026-04-19</t>
        </is>
      </c>
      <c r="O4023" t="inlineStr">
        <is>
          <t>AI</t>
        </is>
      </c>
    </row>
    <row r="4024">
      <c r="A4024" t="inlineStr">
        <is>
          <t>PT Pinago Utama Tbk</t>
        </is>
      </c>
      <c r="B4024" t="inlineStr">
        <is>
          <t>PNGO_2022_AR.pdf</t>
        </is>
      </c>
      <c r="C4024" t="n">
        <v>2022</v>
      </c>
      <c r="D4024" t="inlineStr">
        <is>
          <t>Financial</t>
        </is>
      </c>
      <c r="E4024" t="inlineStr">
        <is>
          <t>EPS</t>
        </is>
      </c>
      <c r="F4024" t="n">
        <v>222</v>
      </c>
      <c r="G4024" t="inlineStr">
        <is>
          <t>Rp/share</t>
        </is>
      </c>
      <c r="H4024" t="n">
        <v>8</v>
      </c>
      <c r="I4024" t="inlineStr">
        <is>
          <t>Laba Saham 222 (Rp Penuh)</t>
        </is>
      </c>
      <c r="J4024" t="inlineStr">
        <is>
          <t>High</t>
        </is>
      </c>
      <c r="M4024" t="inlineStr">
        <is>
          <t>LLM</t>
        </is>
      </c>
      <c r="N4024" t="inlineStr">
        <is>
          <t>2026-04-19</t>
        </is>
      </c>
      <c r="O4024" t="inlineStr">
        <is>
          <t>AI</t>
        </is>
      </c>
    </row>
    <row r="4025">
      <c r="A4025" t="inlineStr">
        <is>
          <t>PT Pinago Utama Tbk</t>
        </is>
      </c>
      <c r="B4025" t="inlineStr">
        <is>
          <t>PNGO_2022_AR.pdf</t>
        </is>
      </c>
      <c r="C4025" t="n">
        <v>2022</v>
      </c>
      <c r="D4025" t="inlineStr">
        <is>
          <t>Financial</t>
        </is>
      </c>
      <c r="E4025" t="inlineStr">
        <is>
          <t>Shares Outstanding</t>
        </is>
      </c>
      <c r="F4025" t="n">
        <v>781250000</v>
      </c>
      <c r="G4025" t="inlineStr">
        <is>
          <t>shares</t>
        </is>
      </c>
      <c r="H4025" t="n">
        <v>11</v>
      </c>
      <c r="I4025" t="inlineStr">
        <is>
          <t>781.250.000 lembar saham</t>
        </is>
      </c>
      <c r="J4025" t="inlineStr">
        <is>
          <t>High</t>
        </is>
      </c>
      <c r="M4025" t="inlineStr">
        <is>
          <t>LLM</t>
        </is>
      </c>
      <c r="N4025" t="inlineStr">
        <is>
          <t>2026-04-19</t>
        </is>
      </c>
      <c r="O4025" t="inlineStr">
        <is>
          <t>AI</t>
        </is>
      </c>
    </row>
    <row r="4026">
      <c r="A4026" t="inlineStr">
        <is>
          <t>PT Pinago Utama Tbk</t>
        </is>
      </c>
      <c r="B4026" t="inlineStr">
        <is>
          <t>PNGO_2022_AR.pdf</t>
        </is>
      </c>
      <c r="C4026" t="n">
        <v>2022</v>
      </c>
      <c r="D4026" t="inlineStr">
        <is>
          <t>Financial</t>
        </is>
      </c>
      <c r="E4026" t="inlineStr">
        <is>
          <t>Closing Price (31 Dec 2022)</t>
        </is>
      </c>
      <c r="F4026" t="n">
        <v>1400</v>
      </c>
      <c r="G4026" t="inlineStr">
        <is>
          <t>Rp/share</t>
        </is>
      </c>
      <c r="H4026" t="n">
        <v>11</v>
      </c>
      <c r="I4026" t="inlineStr">
        <is>
          <t>Kuarter IV 781.250.000 1.400 1.205 1.400 2.819.200</t>
        </is>
      </c>
      <c r="J4026" t="inlineStr">
        <is>
          <t>High</t>
        </is>
      </c>
      <c r="M4026" t="inlineStr">
        <is>
          <t>LLM</t>
        </is>
      </c>
      <c r="N4026" t="inlineStr">
        <is>
          <t>2026-04-19</t>
        </is>
      </c>
      <c r="O4026" t="inlineStr">
        <is>
          <t>AI</t>
        </is>
      </c>
    </row>
    <row r="4027">
      <c r="A4027" t="inlineStr">
        <is>
          <t>PT Pinago Utama Tbk</t>
        </is>
      </c>
      <c r="B4027" t="inlineStr">
        <is>
          <t>PNGO_2022_AR.pdf</t>
        </is>
      </c>
      <c r="C4027" t="n">
        <v>2022</v>
      </c>
      <c r="D4027" t="inlineStr">
        <is>
          <t>Financial</t>
        </is>
      </c>
      <c r="E4027" t="inlineStr">
        <is>
          <t>Final DPS (FY2021 paid 2022)</t>
        </is>
      </c>
      <c r="F4027" t="n">
        <v>70</v>
      </c>
      <c r="G4027" t="inlineStr">
        <is>
          <t>Rp/share</t>
        </is>
      </c>
      <c r="H4027" t="n">
        <v>12</v>
      </c>
      <c r="I4027" t="inlineStr">
        <is>
          <t>Dividen tunai Rp70/Lembar atau Rp54.687.500.000</t>
        </is>
      </c>
      <c r="J4027" t="inlineStr">
        <is>
          <t>High</t>
        </is>
      </c>
      <c r="M4027" t="inlineStr">
        <is>
          <t>LLM</t>
        </is>
      </c>
      <c r="N4027" t="inlineStr">
        <is>
          <t>2026-04-19</t>
        </is>
      </c>
      <c r="O4027" t="inlineStr">
        <is>
          <t>AI</t>
        </is>
      </c>
    </row>
    <row r="4028">
      <c r="A4028" t="inlineStr">
        <is>
          <t>PT Pinago Utama Tbk</t>
        </is>
      </c>
      <c r="B4028" t="inlineStr">
        <is>
          <t>PNGO_2022_AR.pdf</t>
        </is>
      </c>
      <c r="C4028" t="n">
        <v>2022</v>
      </c>
      <c r="D4028" t="inlineStr">
        <is>
          <t>Financial</t>
        </is>
      </c>
      <c r="E4028" t="inlineStr">
        <is>
          <t>Interim DPS (FY2022)</t>
        </is>
      </c>
      <c r="F4028" t="n">
        <v>50</v>
      </c>
      <c r="G4028" t="inlineStr">
        <is>
          <t>Rp/share</t>
        </is>
      </c>
      <c r="H4028" t="n">
        <v>12</v>
      </c>
      <c r="I4028" t="inlineStr">
        <is>
          <t>Dividen Interim Rp50/Lbr atau Rp39.062.500.000</t>
        </is>
      </c>
      <c r="J4028" t="inlineStr">
        <is>
          <t>High</t>
        </is>
      </c>
      <c r="M4028" t="inlineStr">
        <is>
          <t>LLM</t>
        </is>
      </c>
      <c r="N4028" t="inlineStr">
        <is>
          <t>2026-04-19</t>
        </is>
      </c>
      <c r="O4028" t="inlineStr">
        <is>
          <t>AI</t>
        </is>
      </c>
    </row>
    <row r="4029">
      <c r="A4029" t="inlineStr">
        <is>
          <t>PT Pinago Utama Tbk</t>
        </is>
      </c>
      <c r="B4029" t="inlineStr">
        <is>
          <t>PNGO_2022_AR.pdf</t>
        </is>
      </c>
      <c r="C4029" t="n">
        <v>2022</v>
      </c>
      <c r="D4029" t="inlineStr">
        <is>
          <t>Financial</t>
        </is>
      </c>
      <c r="E4029" t="inlineStr">
        <is>
          <t>DER</t>
        </is>
      </c>
      <c r="F4029" t="n">
        <v>1.18</v>
      </c>
      <c r="G4029" t="inlineStr">
        <is>
          <t>x</t>
        </is>
      </c>
      <c r="H4029" t="n">
        <v>10</v>
      </c>
      <c r="I4029" t="inlineStr">
        <is>
          <t>Rasio Liabilitas Terhadap Ekuitas 118%</t>
        </is>
      </c>
      <c r="J4029" t="inlineStr">
        <is>
          <t>High</t>
        </is>
      </c>
      <c r="M4029" t="inlineStr">
        <is>
          <t>LLM</t>
        </is>
      </c>
      <c r="N4029" t="inlineStr">
        <is>
          <t>2026-04-19</t>
        </is>
      </c>
      <c r="O4029" t="inlineStr">
        <is>
          <t>AI</t>
        </is>
      </c>
    </row>
    <row r="4030">
      <c r="A4030" t="inlineStr">
        <is>
          <t>PT Pinago Utama Tbk</t>
        </is>
      </c>
      <c r="B4030" t="inlineStr">
        <is>
          <t>PNGO_2022_AR.pdf</t>
        </is>
      </c>
      <c r="C4030" t="n">
        <v>2022</v>
      </c>
      <c r="D4030" t="inlineStr">
        <is>
          <t>Financial</t>
        </is>
      </c>
      <c r="E4030" t="inlineStr">
        <is>
          <t>ROA</t>
        </is>
      </c>
      <c r="F4030" t="n">
        <v>0.1118</v>
      </c>
      <c r="G4030" t="inlineStr">
        <is>
          <t>%</t>
        </is>
      </c>
      <c r="H4030" t="n">
        <v>10</v>
      </c>
      <c r="I4030" t="inlineStr">
        <is>
          <t>Laba Bersih Terhadap Aset 11,18%</t>
        </is>
      </c>
      <c r="J4030" t="inlineStr">
        <is>
          <t>High</t>
        </is>
      </c>
      <c r="M4030" t="inlineStr">
        <is>
          <t>LLM</t>
        </is>
      </c>
      <c r="N4030" t="inlineStr">
        <is>
          <t>2026-04-19</t>
        </is>
      </c>
      <c r="O4030" t="inlineStr">
        <is>
          <t>AI</t>
        </is>
      </c>
    </row>
    <row r="4031">
      <c r="A4031" t="inlineStr">
        <is>
          <t>PT Pinago Utama Tbk</t>
        </is>
      </c>
      <c r="B4031" t="inlineStr">
        <is>
          <t>PNGO_2022_AR.pdf</t>
        </is>
      </c>
      <c r="C4031" t="n">
        <v>2022</v>
      </c>
      <c r="D4031" t="inlineStr">
        <is>
          <t>Financial</t>
        </is>
      </c>
      <c r="E4031" t="inlineStr">
        <is>
          <t>ROE</t>
        </is>
      </c>
      <c r="F4031" t="n">
        <v>0.2447</v>
      </c>
      <c r="G4031" t="inlineStr">
        <is>
          <t>%</t>
        </is>
      </c>
      <c r="H4031" t="n">
        <v>10</v>
      </c>
      <c r="I4031" t="inlineStr">
        <is>
          <t>Laba Bersih Terhadap Ekuitas 24,47%</t>
        </is>
      </c>
      <c r="J4031" t="inlineStr">
        <is>
          <t>High</t>
        </is>
      </c>
      <c r="M4031" t="inlineStr">
        <is>
          <t>LLM</t>
        </is>
      </c>
      <c r="N4031" t="inlineStr">
        <is>
          <t>2026-04-19</t>
        </is>
      </c>
      <c r="O4031" t="inlineStr">
        <is>
          <t>AI</t>
        </is>
      </c>
    </row>
    <row r="4032">
      <c r="A4032" t="inlineStr">
        <is>
          <t>PT Pinago Utama Tbk</t>
        </is>
      </c>
      <c r="B4032" t="inlineStr">
        <is>
          <t>PNGO_2022_AR.pdf</t>
        </is>
      </c>
      <c r="C4032" t="n">
        <v>2022</v>
      </c>
      <c r="D4032" t="inlineStr">
        <is>
          <t>Financial</t>
        </is>
      </c>
      <c r="E4032" t="inlineStr">
        <is>
          <t>Current Ratio</t>
        </is>
      </c>
      <c r="F4032" t="n">
        <v>1.47</v>
      </c>
      <c r="G4032" t="inlineStr">
        <is>
          <t>x</t>
        </is>
      </c>
      <c r="H4032" t="n">
        <v>10</v>
      </c>
      <c r="I4032" t="inlineStr">
        <is>
          <t>Rasio Lancar 147%</t>
        </is>
      </c>
      <c r="J4032" t="inlineStr">
        <is>
          <t>High</t>
        </is>
      </c>
      <c r="M4032" t="inlineStr">
        <is>
          <t>LLM</t>
        </is>
      </c>
      <c r="N4032" t="inlineStr">
        <is>
          <t>2026-04-19</t>
        </is>
      </c>
      <c r="O4032" t="inlineStr">
        <is>
          <t>AI</t>
        </is>
      </c>
    </row>
    <row r="4033">
      <c r="A4033" t="inlineStr">
        <is>
          <t>PT Pinago Utama Tbk</t>
        </is>
      </c>
      <c r="B4033" t="inlineStr">
        <is>
          <t>PNGO_2022_AR.pdf</t>
        </is>
      </c>
      <c r="C4033" t="n">
        <v>2022</v>
      </c>
      <c r="D4033" t="inlineStr">
        <is>
          <t>Asset</t>
        </is>
      </c>
      <c r="E4033" t="inlineStr">
        <is>
          <t>Palm Mature Area</t>
        </is>
      </c>
      <c r="F4033" t="n">
        <v>10649</v>
      </c>
      <c r="G4033" t="inlineStr">
        <is>
          <t>ha</t>
        </is>
      </c>
      <c r="H4033" t="n">
        <v>102</v>
      </c>
      <c r="I4033" t="inlineStr">
        <is>
          <t>Sumatra Selatan 10.649 80 2.675 20</t>
        </is>
      </c>
      <c r="J4033" t="inlineStr">
        <is>
          <t>High</t>
        </is>
      </c>
      <c r="M4033" t="inlineStr">
        <is>
          <t>LLM</t>
        </is>
      </c>
      <c r="N4033" t="inlineStr">
        <is>
          <t>2026-04-19</t>
        </is>
      </c>
      <c r="O4033" t="inlineStr">
        <is>
          <t>AI</t>
        </is>
      </c>
    </row>
    <row r="4034">
      <c r="A4034" t="inlineStr">
        <is>
          <t>PT Pinago Utama Tbk</t>
        </is>
      </c>
      <c r="B4034" t="inlineStr">
        <is>
          <t>PNGO_2022_AR.pdf</t>
        </is>
      </c>
      <c r="C4034" t="n">
        <v>2022</v>
      </c>
      <c r="D4034" t="inlineStr">
        <is>
          <t>Asset</t>
        </is>
      </c>
      <c r="E4034" t="inlineStr">
        <is>
          <t>Palm Immature Area</t>
        </is>
      </c>
      <c r="F4034" t="n">
        <v>2675</v>
      </c>
      <c r="G4034" t="inlineStr">
        <is>
          <t>ha</t>
        </is>
      </c>
      <c r="H4034" t="n">
        <v>102</v>
      </c>
      <c r="I4034" t="inlineStr">
        <is>
          <t>Belum Menghasilkan 2.675 20</t>
        </is>
      </c>
      <c r="J4034" t="inlineStr">
        <is>
          <t>High</t>
        </is>
      </c>
      <c r="M4034" t="inlineStr">
        <is>
          <t>LLM</t>
        </is>
      </c>
      <c r="N4034" t="inlineStr">
        <is>
          <t>2026-04-19</t>
        </is>
      </c>
      <c r="O4034" t="inlineStr">
        <is>
          <t>AI</t>
        </is>
      </c>
    </row>
    <row r="4035">
      <c r="A4035" t="inlineStr">
        <is>
          <t>PT Pinago Utama Tbk</t>
        </is>
      </c>
      <c r="B4035" t="inlineStr">
        <is>
          <t>PNGO_2022_AR.pdf</t>
        </is>
      </c>
      <c r="C4035" t="n">
        <v>2022</v>
      </c>
      <c r="D4035" t="inlineStr">
        <is>
          <t>Asset</t>
        </is>
      </c>
      <c r="E4035" t="inlineStr">
        <is>
          <t>Palm TM1-4 Area</t>
        </is>
      </c>
      <c r="F4035" t="n">
        <v>1458</v>
      </c>
      <c r="G4035" t="inlineStr">
        <is>
          <t>ha</t>
        </is>
      </c>
      <c r="H4035" t="n">
        <v>102</v>
      </c>
      <c r="I4035" t="inlineStr">
        <is>
          <t>TM 1 - TM 4 1.458</t>
        </is>
      </c>
      <c r="J4035" t="inlineStr">
        <is>
          <t>High</t>
        </is>
      </c>
      <c r="M4035" t="inlineStr">
        <is>
          <t>LLM</t>
        </is>
      </c>
      <c r="N4035" t="inlineStr">
        <is>
          <t>2026-04-19</t>
        </is>
      </c>
      <c r="O4035" t="inlineStr">
        <is>
          <t>AI</t>
        </is>
      </c>
    </row>
    <row r="4036">
      <c r="A4036" t="inlineStr">
        <is>
          <t>PT Pinago Utama Tbk</t>
        </is>
      </c>
      <c r="B4036" t="inlineStr">
        <is>
          <t>PNGO_2022_AR.pdf</t>
        </is>
      </c>
      <c r="C4036" t="n">
        <v>2022</v>
      </c>
      <c r="D4036" t="inlineStr">
        <is>
          <t>Asset</t>
        </is>
      </c>
      <c r="E4036" t="inlineStr">
        <is>
          <t>Palm TM5-14 Area</t>
        </is>
      </c>
      <c r="F4036" t="n">
        <v>7869</v>
      </c>
      <c r="G4036" t="inlineStr">
        <is>
          <t>ha</t>
        </is>
      </c>
      <c r="H4036" t="n">
        <v>102</v>
      </c>
      <c r="I4036" t="inlineStr">
        <is>
          <t>TM 5 - TM 14 7.869</t>
        </is>
      </c>
      <c r="J4036" t="inlineStr">
        <is>
          <t>High</t>
        </is>
      </c>
      <c r="M4036" t="inlineStr">
        <is>
          <t>LLM</t>
        </is>
      </c>
      <c r="N4036" t="inlineStr">
        <is>
          <t>2026-04-19</t>
        </is>
      </c>
      <c r="O4036" t="inlineStr">
        <is>
          <t>AI</t>
        </is>
      </c>
    </row>
    <row r="4037">
      <c r="A4037" t="inlineStr">
        <is>
          <t>PT Pinago Utama Tbk</t>
        </is>
      </c>
      <c r="B4037" t="inlineStr">
        <is>
          <t>PNGO_2022_AR.pdf</t>
        </is>
      </c>
      <c r="C4037" t="n">
        <v>2022</v>
      </c>
      <c r="D4037" t="inlineStr">
        <is>
          <t>Asset</t>
        </is>
      </c>
      <c r="E4037" t="inlineStr">
        <is>
          <t>Palm &gt;TM14 Area</t>
        </is>
      </c>
      <c r="F4037" t="n">
        <v>1322</v>
      </c>
      <c r="G4037" t="inlineStr">
        <is>
          <t>ha</t>
        </is>
      </c>
      <c r="H4037" t="n">
        <v>102</v>
      </c>
      <c r="I4037" t="inlineStr">
        <is>
          <t>&gt; TM 14 1.322</t>
        </is>
      </c>
      <c r="J4037" t="inlineStr">
        <is>
          <t>High</t>
        </is>
      </c>
      <c r="M4037" t="inlineStr">
        <is>
          <t>LLM</t>
        </is>
      </c>
      <c r="N4037" t="inlineStr">
        <is>
          <t>2026-04-19</t>
        </is>
      </c>
      <c r="O4037" t="inlineStr">
        <is>
          <t>AI</t>
        </is>
      </c>
    </row>
    <row r="4038">
      <c r="A4038" t="inlineStr">
        <is>
          <t>PT Pinago Utama Tbk</t>
        </is>
      </c>
      <c r="B4038" t="inlineStr">
        <is>
          <t>PNGO_2022_AR.pdf</t>
        </is>
      </c>
      <c r="C4038" t="n">
        <v>2022</v>
      </c>
      <c r="D4038" t="inlineStr">
        <is>
          <t>Asset</t>
        </is>
      </c>
      <c r="E4038" t="inlineStr">
        <is>
          <t>Rubber Mature Area</t>
        </is>
      </c>
      <c r="F4038" t="n">
        <v>2963</v>
      </c>
      <c r="G4038" t="inlineStr">
        <is>
          <t>ha</t>
        </is>
      </c>
      <c r="H4038" t="n">
        <v>104</v>
      </c>
      <c r="I4038" t="inlineStr">
        <is>
          <t>Sumatra Selatan 2.963 72 1.167 28 (rubber)</t>
        </is>
      </c>
      <c r="J4038" t="inlineStr">
        <is>
          <t>High</t>
        </is>
      </c>
      <c r="M4038" t="inlineStr">
        <is>
          <t>LLM</t>
        </is>
      </c>
      <c r="N4038" t="inlineStr">
        <is>
          <t>2026-04-19</t>
        </is>
      </c>
      <c r="O4038" t="inlineStr">
        <is>
          <t>AI</t>
        </is>
      </c>
    </row>
    <row r="4039">
      <c r="A4039" t="inlineStr">
        <is>
          <t>PT Pinago Utama Tbk</t>
        </is>
      </c>
      <c r="B4039" t="inlineStr">
        <is>
          <t>PNGO_2022_AR.pdf</t>
        </is>
      </c>
      <c r="C4039" t="n">
        <v>2022</v>
      </c>
      <c r="D4039" t="inlineStr">
        <is>
          <t>Asset</t>
        </is>
      </c>
      <c r="E4039" t="inlineStr">
        <is>
          <t>Rubber Immature Area</t>
        </is>
      </c>
      <c r="F4039" t="n">
        <v>1167</v>
      </c>
      <c r="G4039" t="inlineStr">
        <is>
          <t>ha</t>
        </is>
      </c>
      <c r="H4039" t="n">
        <v>104</v>
      </c>
      <c r="I4039" t="inlineStr">
        <is>
          <t>Belum Menghasilkan 1.167 (rubber)</t>
        </is>
      </c>
      <c r="J4039" t="inlineStr">
        <is>
          <t>High</t>
        </is>
      </c>
      <c r="M4039" t="inlineStr">
        <is>
          <t>LLM</t>
        </is>
      </c>
      <c r="N4039" t="inlineStr">
        <is>
          <t>2026-04-19</t>
        </is>
      </c>
      <c r="O4039" t="inlineStr">
        <is>
          <t>AI</t>
        </is>
      </c>
    </row>
    <row r="4040">
      <c r="A4040" t="inlineStr">
        <is>
          <t>PT Pinago Utama Tbk</t>
        </is>
      </c>
      <c r="B4040" t="inlineStr">
        <is>
          <t>PNGO_2022_AR.pdf</t>
        </is>
      </c>
      <c r="C4040" t="n">
        <v>2022</v>
      </c>
      <c r="D4040" t="inlineStr">
        <is>
          <t>Asset</t>
        </is>
      </c>
      <c r="E4040" t="inlineStr">
        <is>
          <t>Palm Oil Mill (PMKS) Count</t>
        </is>
      </c>
      <c r="F4040" t="n">
        <v>1</v>
      </c>
      <c r="G4040" t="inlineStr">
        <is>
          <t>count</t>
        </is>
      </c>
      <c r="H4040" t="n">
        <v>101</v>
      </c>
      <c r="I4040" t="inlineStr">
        <is>
          <t>1 (Satu) pabrik pengolahan kelapa sawit</t>
        </is>
      </c>
      <c r="J4040" t="inlineStr">
        <is>
          <t>High</t>
        </is>
      </c>
      <c r="M4040" t="inlineStr">
        <is>
          <t>LLM</t>
        </is>
      </c>
      <c r="N4040" t="inlineStr">
        <is>
          <t>2026-04-19</t>
        </is>
      </c>
      <c r="O4040" t="inlineStr">
        <is>
          <t>AI</t>
        </is>
      </c>
    </row>
    <row r="4041">
      <c r="A4041" t="inlineStr">
        <is>
          <t>PT Pinago Utama Tbk</t>
        </is>
      </c>
      <c r="B4041" t="inlineStr">
        <is>
          <t>PNGO_2022_AR.pdf</t>
        </is>
      </c>
      <c r="C4041" t="n">
        <v>2022</v>
      </c>
      <c r="D4041" t="inlineStr">
        <is>
          <t>Asset</t>
        </is>
      </c>
      <c r="E4041" t="inlineStr">
        <is>
          <t>PMKS Installed Capacity</t>
        </is>
      </c>
      <c r="F4041" t="n">
        <v>120</v>
      </c>
      <c r="G4041" t="inlineStr">
        <is>
          <t>tph</t>
        </is>
      </c>
      <c r="H4041" t="n">
        <v>101</v>
      </c>
      <c r="I4041" t="inlineStr">
        <is>
          <t>total kapasitas terpasang 120 ton TBS per jam</t>
        </is>
      </c>
      <c r="J4041" t="inlineStr">
        <is>
          <t>High</t>
        </is>
      </c>
      <c r="M4041" t="inlineStr">
        <is>
          <t>LLM</t>
        </is>
      </c>
      <c r="N4041" t="inlineStr">
        <is>
          <t>2026-04-19</t>
        </is>
      </c>
      <c r="O4041" t="inlineStr">
        <is>
          <t>AI</t>
        </is>
      </c>
    </row>
    <row r="4042">
      <c r="A4042" t="inlineStr">
        <is>
          <t>PT Pinago Utama Tbk</t>
        </is>
      </c>
      <c r="B4042" t="inlineStr">
        <is>
          <t>PNGO_2022_AR.pdf</t>
        </is>
      </c>
      <c r="C4042" t="n">
        <v>2022</v>
      </c>
      <c r="D4042" t="inlineStr">
        <is>
          <t>Asset</t>
        </is>
      </c>
      <c r="E4042" t="inlineStr">
        <is>
          <t>PMKS Used Capacity</t>
        </is>
      </c>
      <c r="F4042" t="n">
        <v>86.2</v>
      </c>
      <c r="G4042" t="inlineStr">
        <is>
          <t>tph</t>
        </is>
      </c>
      <c r="H4042" t="n">
        <v>101</v>
      </c>
      <c r="I4042" t="inlineStr">
        <is>
          <t>kapasitas terpakai 86,2 ton TBS perjam</t>
        </is>
      </c>
      <c r="J4042" t="inlineStr">
        <is>
          <t>High</t>
        </is>
      </c>
      <c r="M4042" t="inlineStr">
        <is>
          <t>LLM</t>
        </is>
      </c>
      <c r="N4042" t="inlineStr">
        <is>
          <t>2026-04-19</t>
        </is>
      </c>
      <c r="O4042" t="inlineStr">
        <is>
          <t>AI</t>
        </is>
      </c>
    </row>
    <row r="4043">
      <c r="A4043" t="inlineStr">
        <is>
          <t>PT Pinago Utama Tbk</t>
        </is>
      </c>
      <c r="B4043" t="inlineStr">
        <is>
          <t>PNGO_2022_AR.pdf</t>
        </is>
      </c>
      <c r="C4043" t="n">
        <v>2022</v>
      </c>
      <c r="D4043" t="inlineStr">
        <is>
          <t>Asset</t>
        </is>
      </c>
      <c r="E4043" t="inlineStr">
        <is>
          <t>Crumb Rubber Plant Count</t>
        </is>
      </c>
      <c r="F4043" t="n">
        <v>1</v>
      </c>
      <c r="G4043" t="inlineStr">
        <is>
          <t>count</t>
        </is>
      </c>
      <c r="H4043" t="n">
        <v>103</v>
      </c>
      <c r="I4043" t="inlineStr">
        <is>
          <t>1 (satu) pabrik Crumb Rubber</t>
        </is>
      </c>
      <c r="J4043" t="inlineStr">
        <is>
          <t>High</t>
        </is>
      </c>
      <c r="M4043" t="inlineStr">
        <is>
          <t>LLM</t>
        </is>
      </c>
      <c r="N4043" t="inlineStr">
        <is>
          <t>2026-04-19</t>
        </is>
      </c>
      <c r="O4043" t="inlineStr">
        <is>
          <t>AI</t>
        </is>
      </c>
    </row>
    <row r="4044">
      <c r="A4044" t="inlineStr">
        <is>
          <t>PT Pinago Utama Tbk</t>
        </is>
      </c>
      <c r="B4044" t="inlineStr">
        <is>
          <t>PNGO_2022_AR.pdf</t>
        </is>
      </c>
      <c r="C4044" t="n">
        <v>2022</v>
      </c>
      <c r="D4044" t="inlineStr">
        <is>
          <t>Asset</t>
        </is>
      </c>
      <c r="E4044" t="inlineStr">
        <is>
          <t>Crumb Rubber Installed Capacity</t>
        </is>
      </c>
      <c r="F4044" t="n">
        <v>6000</v>
      </c>
      <c r="G4044" t="inlineStr">
        <is>
          <t>t/month</t>
        </is>
      </c>
      <c r="H4044" t="n">
        <v>103</v>
      </c>
      <c r="I4044" t="inlineStr">
        <is>
          <t>kapasitas terpasang 6.000 ton per bulan</t>
        </is>
      </c>
      <c r="J4044" t="inlineStr">
        <is>
          <t>High</t>
        </is>
      </c>
      <c r="M4044" t="inlineStr">
        <is>
          <t>LLM</t>
        </is>
      </c>
      <c r="N4044" t="inlineStr">
        <is>
          <t>2026-04-19</t>
        </is>
      </c>
      <c r="O4044" t="inlineStr">
        <is>
          <t>AI</t>
        </is>
      </c>
    </row>
    <row r="4045">
      <c r="A4045" t="inlineStr">
        <is>
          <t>PT Pinago Utama Tbk</t>
        </is>
      </c>
      <c r="B4045" t="inlineStr">
        <is>
          <t>PNGO_2022_AR.pdf</t>
        </is>
      </c>
      <c r="C4045" t="n">
        <v>2022</v>
      </c>
      <c r="D4045" t="inlineStr">
        <is>
          <t>Asset</t>
        </is>
      </c>
      <c r="E4045" t="inlineStr">
        <is>
          <t>Crumb Rubber Used Capacity</t>
        </is>
      </c>
      <c r="F4045" t="n">
        <v>2300</v>
      </c>
      <c r="G4045" t="inlineStr">
        <is>
          <t>t/month</t>
        </is>
      </c>
      <c r="H4045" t="n">
        <v>103</v>
      </c>
      <c r="I4045" t="inlineStr">
        <is>
          <t>kapasitas Rata-Rata terpakai 2.300 ton/bulan</t>
        </is>
      </c>
      <c r="J4045" t="inlineStr">
        <is>
          <t>High</t>
        </is>
      </c>
      <c r="M4045" t="inlineStr">
        <is>
          <t>LLM</t>
        </is>
      </c>
      <c r="N4045" t="inlineStr">
        <is>
          <t>2026-04-19</t>
        </is>
      </c>
      <c r="O4045" t="inlineStr">
        <is>
          <t>AI</t>
        </is>
      </c>
    </row>
    <row r="4046">
      <c r="A4046" t="inlineStr">
        <is>
          <t>PT Pinago Utama Tbk</t>
        </is>
      </c>
      <c r="B4046" t="inlineStr">
        <is>
          <t>PNGO_2022_AR.pdf</t>
        </is>
      </c>
      <c r="C4046" t="n">
        <v>2022</v>
      </c>
      <c r="D4046" t="inlineStr">
        <is>
          <t>Asset</t>
        </is>
      </c>
      <c r="E4046" t="inlineStr">
        <is>
          <t>RSS Plant Installed Capacity</t>
        </is>
      </c>
      <c r="F4046" t="n">
        <v>600</v>
      </c>
      <c r="G4046" t="inlineStr">
        <is>
          <t>t/month</t>
        </is>
      </c>
      <c r="H4046" t="n">
        <v>103</v>
      </c>
      <c r="I4046" t="inlineStr">
        <is>
          <t>Pabrik Ribbed Smoked Sheet dengan kapasitas terpasang 600 ton per bulan</t>
        </is>
      </c>
      <c r="J4046" t="inlineStr">
        <is>
          <t>High</t>
        </is>
      </c>
      <c r="M4046" t="inlineStr">
        <is>
          <t>LLM</t>
        </is>
      </c>
      <c r="N4046" t="inlineStr">
        <is>
          <t>2026-04-19</t>
        </is>
      </c>
      <c r="O4046" t="inlineStr">
        <is>
          <t>AI</t>
        </is>
      </c>
    </row>
    <row r="4047">
      <c r="A4047" t="inlineStr">
        <is>
          <t>PT Pinago Utama Tbk</t>
        </is>
      </c>
      <c r="B4047" t="inlineStr">
        <is>
          <t>PNGO_2022_AR.pdf</t>
        </is>
      </c>
      <c r="C4047" t="n">
        <v>2022</v>
      </c>
      <c r="D4047" t="inlineStr">
        <is>
          <t>Asset</t>
        </is>
      </c>
      <c r="E4047" t="inlineStr">
        <is>
          <t>RSS Used Capacity</t>
        </is>
      </c>
      <c r="F4047" t="n">
        <v>131</v>
      </c>
      <c r="G4047" t="inlineStr">
        <is>
          <t>t/month</t>
        </is>
      </c>
      <c r="H4047" t="n">
        <v>103</v>
      </c>
      <c r="I4047" t="inlineStr">
        <is>
          <t>kapasitas terpakai 131 ton/bulan</t>
        </is>
      </c>
      <c r="J4047" t="inlineStr">
        <is>
          <t>High</t>
        </is>
      </c>
      <c r="M4047" t="inlineStr">
        <is>
          <t>LLM</t>
        </is>
      </c>
      <c r="N4047" t="inlineStr">
        <is>
          <t>2026-04-19</t>
        </is>
      </c>
      <c r="O4047" t="inlineStr">
        <is>
          <t>AI</t>
        </is>
      </c>
    </row>
    <row r="4048">
      <c r="A4048" t="inlineStr">
        <is>
          <t>PT Pinago Utama Tbk</t>
        </is>
      </c>
      <c r="B4048" t="inlineStr">
        <is>
          <t>PNGO_2022_AR.pdf</t>
        </is>
      </c>
      <c r="C4048" t="n">
        <v>2022</v>
      </c>
      <c r="D4048" t="inlineStr">
        <is>
          <t>Operation</t>
        </is>
      </c>
      <c r="E4048" t="inlineStr">
        <is>
          <t>FFB Core Production</t>
        </is>
      </c>
      <c r="F4048" t="n">
        <v>162559</v>
      </c>
      <c r="G4048" t="inlineStr">
        <is>
          <t>t</t>
        </is>
      </c>
      <c r="H4048" t="n">
        <v>102</v>
      </c>
      <c r="I4048" t="inlineStr">
        <is>
          <t>Produksi Inti 162.559 (Ton) 2022</t>
        </is>
      </c>
      <c r="J4048" t="inlineStr">
        <is>
          <t>High</t>
        </is>
      </c>
      <c r="M4048" t="inlineStr">
        <is>
          <t>LLM</t>
        </is>
      </c>
      <c r="N4048" t="inlineStr">
        <is>
          <t>2026-04-19</t>
        </is>
      </c>
      <c r="O4048" t="inlineStr">
        <is>
          <t>AI</t>
        </is>
      </c>
    </row>
    <row r="4049">
      <c r="A4049" t="inlineStr">
        <is>
          <t>PT Pinago Utama Tbk</t>
        </is>
      </c>
      <c r="B4049" t="inlineStr">
        <is>
          <t>PNGO_2022_AR.pdf</t>
        </is>
      </c>
      <c r="C4049" t="n">
        <v>2022</v>
      </c>
      <c r="D4049" t="inlineStr">
        <is>
          <t>Operation</t>
        </is>
      </c>
      <c r="E4049" t="inlineStr">
        <is>
          <t>FFB Plasma Purchase</t>
        </is>
      </c>
      <c r="F4049" t="n">
        <v>19677</v>
      </c>
      <c r="G4049" t="inlineStr">
        <is>
          <t>t</t>
        </is>
      </c>
      <c r="H4049" t="n">
        <v>102</v>
      </c>
      <c r="I4049" t="inlineStr">
        <is>
          <t>Pembelian Plasma 19.677 (Ton) 2022</t>
        </is>
      </c>
      <c r="J4049" t="inlineStr">
        <is>
          <t>High</t>
        </is>
      </c>
      <c r="M4049" t="inlineStr">
        <is>
          <t>LLM</t>
        </is>
      </c>
      <c r="N4049" t="inlineStr">
        <is>
          <t>2026-04-19</t>
        </is>
      </c>
      <c r="O4049" t="inlineStr">
        <is>
          <t>AI</t>
        </is>
      </c>
    </row>
    <row r="4050">
      <c r="A4050" t="inlineStr">
        <is>
          <t>PT Pinago Utama Tbk</t>
        </is>
      </c>
      <c r="B4050" t="inlineStr">
        <is>
          <t>PNGO_2022_AR.pdf</t>
        </is>
      </c>
      <c r="C4050" t="n">
        <v>2022</v>
      </c>
      <c r="D4050" t="inlineStr">
        <is>
          <t>Operation</t>
        </is>
      </c>
      <c r="E4050" t="inlineStr">
        <is>
          <t>FFB Third-Party Purchase</t>
        </is>
      </c>
      <c r="F4050" t="n">
        <v>279009</v>
      </c>
      <c r="G4050" t="inlineStr">
        <is>
          <t>t</t>
        </is>
      </c>
      <c r="H4050" t="n">
        <v>102</v>
      </c>
      <c r="I4050" t="inlineStr">
        <is>
          <t>Pembelian Pihak Ketiga 279.009 (Ton)</t>
        </is>
      </c>
      <c r="J4050" t="inlineStr">
        <is>
          <t>High</t>
        </is>
      </c>
      <c r="M4050" t="inlineStr">
        <is>
          <t>LLM</t>
        </is>
      </c>
      <c r="N4050" t="inlineStr">
        <is>
          <t>2026-04-19</t>
        </is>
      </c>
      <c r="O4050" t="inlineStr">
        <is>
          <t>AI</t>
        </is>
      </c>
    </row>
    <row r="4051">
      <c r="A4051" t="inlineStr">
        <is>
          <t>PT Pinago Utama Tbk</t>
        </is>
      </c>
      <c r="B4051" t="inlineStr">
        <is>
          <t>PNGO_2022_AR.pdf</t>
        </is>
      </c>
      <c r="C4051" t="n">
        <v>2022</v>
      </c>
      <c r="D4051" t="inlineStr">
        <is>
          <t>Operation</t>
        </is>
      </c>
      <c r="E4051" t="inlineStr">
        <is>
          <t>Total FFB Processed</t>
        </is>
      </c>
      <c r="F4051" t="n">
        <v>461245</v>
      </c>
      <c r="G4051" t="inlineStr">
        <is>
          <t>t</t>
        </is>
      </c>
      <c r="H4051" t="n">
        <v>102</v>
      </c>
      <c r="I4051" t="inlineStr">
        <is>
          <t>Total 461.245 (Ton) 2022</t>
        </is>
      </c>
      <c r="J4051" t="inlineStr">
        <is>
          <t>High</t>
        </is>
      </c>
      <c r="M4051" t="inlineStr">
        <is>
          <t>LLM</t>
        </is>
      </c>
      <c r="N4051" t="inlineStr">
        <is>
          <t>2026-04-19</t>
        </is>
      </c>
      <c r="O4051" t="inlineStr">
        <is>
          <t>AI</t>
        </is>
      </c>
    </row>
    <row r="4052">
      <c r="A4052" t="inlineStr">
        <is>
          <t>PT Pinago Utama Tbk</t>
        </is>
      </c>
      <c r="B4052" t="inlineStr">
        <is>
          <t>PNGO_2022_AR.pdf</t>
        </is>
      </c>
      <c r="C4052" t="n">
        <v>2022</v>
      </c>
      <c r="D4052" t="inlineStr">
        <is>
          <t>Operation</t>
        </is>
      </c>
      <c r="E4052" t="inlineStr">
        <is>
          <t>CPO Production</t>
        </is>
      </c>
      <c r="F4052" t="n">
        <v>100914</v>
      </c>
      <c r="G4052" t="inlineStr">
        <is>
          <t>t</t>
        </is>
      </c>
      <c r="H4052" t="n">
        <v>103</v>
      </c>
      <c r="I4052" t="inlineStr">
        <is>
          <t>CPO 100.914 (Ton) 2022</t>
        </is>
      </c>
      <c r="J4052" t="inlineStr">
        <is>
          <t>High</t>
        </is>
      </c>
      <c r="M4052" t="inlineStr">
        <is>
          <t>LLM</t>
        </is>
      </c>
      <c r="N4052" t="inlineStr">
        <is>
          <t>2026-04-19</t>
        </is>
      </c>
      <c r="O4052" t="inlineStr">
        <is>
          <t>AI</t>
        </is>
      </c>
    </row>
    <row r="4053">
      <c r="A4053" t="inlineStr">
        <is>
          <t>PT Pinago Utama Tbk</t>
        </is>
      </c>
      <c r="B4053" t="inlineStr">
        <is>
          <t>PNGO_2022_AR.pdf</t>
        </is>
      </c>
      <c r="C4053" t="n">
        <v>2022</v>
      </c>
      <c r="D4053" t="inlineStr">
        <is>
          <t>Operation</t>
        </is>
      </c>
      <c r="E4053" t="inlineStr">
        <is>
          <t>PK (Kernel) Production</t>
        </is>
      </c>
      <c r="F4053" t="n">
        <v>20749</v>
      </c>
      <c r="G4053" t="inlineStr">
        <is>
          <t>t</t>
        </is>
      </c>
      <c r="H4053" t="n">
        <v>103</v>
      </c>
      <c r="I4053" t="inlineStr">
        <is>
          <t>PK 20.749 (Ton) 2022</t>
        </is>
      </c>
      <c r="J4053" t="inlineStr">
        <is>
          <t>High</t>
        </is>
      </c>
      <c r="M4053" t="inlineStr">
        <is>
          <t>LLM</t>
        </is>
      </c>
      <c r="N4053" t="inlineStr">
        <is>
          <t>2026-04-19</t>
        </is>
      </c>
      <c r="O4053" t="inlineStr">
        <is>
          <t>AI</t>
        </is>
      </c>
    </row>
    <row r="4054">
      <c r="A4054" t="inlineStr">
        <is>
          <t>PT Pinago Utama Tbk</t>
        </is>
      </c>
      <c r="B4054" t="inlineStr">
        <is>
          <t>PNGO_2022_AR.pdf</t>
        </is>
      </c>
      <c r="C4054" t="n">
        <v>2022</v>
      </c>
      <c r="D4054" t="inlineStr">
        <is>
          <t>Operation</t>
        </is>
      </c>
      <c r="E4054" t="inlineStr">
        <is>
          <t>Crumb Rubber Production</t>
        </is>
      </c>
      <c r="F4054" t="n">
        <v>27198</v>
      </c>
      <c r="G4054" t="inlineStr">
        <is>
          <t>t</t>
        </is>
      </c>
      <c r="H4054" t="n">
        <v>104</v>
      </c>
      <c r="I4054" t="inlineStr">
        <is>
          <t>CRUMB RUBBER 27.198 (TON) 2022</t>
        </is>
      </c>
      <c r="J4054" t="inlineStr">
        <is>
          <t>High</t>
        </is>
      </c>
      <c r="M4054" t="inlineStr">
        <is>
          <t>LLM</t>
        </is>
      </c>
      <c r="N4054" t="inlineStr">
        <is>
          <t>2026-04-19</t>
        </is>
      </c>
      <c r="O4054" t="inlineStr">
        <is>
          <t>AI</t>
        </is>
      </c>
    </row>
    <row r="4055">
      <c r="A4055" t="inlineStr">
        <is>
          <t>PT Pinago Utama Tbk</t>
        </is>
      </c>
      <c r="B4055" t="inlineStr">
        <is>
          <t>PNGO_2022_AR.pdf</t>
        </is>
      </c>
      <c r="C4055" t="n">
        <v>2022</v>
      </c>
      <c r="D4055" t="inlineStr">
        <is>
          <t>Operation</t>
        </is>
      </c>
      <c r="E4055" t="inlineStr">
        <is>
          <t>RSS Production</t>
        </is>
      </c>
      <c r="F4055" t="n">
        <v>1570</v>
      </c>
      <c r="G4055" t="inlineStr">
        <is>
          <t>t</t>
        </is>
      </c>
      <c r="H4055" t="n">
        <v>104</v>
      </c>
      <c r="I4055" t="inlineStr">
        <is>
          <t>Ribbed Smoked Sheet 1.570 (TON) 2022</t>
        </is>
      </c>
      <c r="J4055" t="inlineStr">
        <is>
          <t>High</t>
        </is>
      </c>
      <c r="M4055" t="inlineStr">
        <is>
          <t>LLM</t>
        </is>
      </c>
      <c r="N4055" t="inlineStr">
        <is>
          <t>2026-04-19</t>
        </is>
      </c>
      <c r="O4055" t="inlineStr">
        <is>
          <t>AI</t>
        </is>
      </c>
    </row>
    <row r="4056">
      <c r="A4056" t="inlineStr">
        <is>
          <t>PT Pinago Utama Tbk</t>
        </is>
      </c>
      <c r="B4056" t="inlineStr">
        <is>
          <t>PNGO_2022_AR.pdf</t>
        </is>
      </c>
      <c r="C4056" t="n">
        <v>2022</v>
      </c>
      <c r="D4056" t="inlineStr">
        <is>
          <t>Operation</t>
        </is>
      </c>
      <c r="E4056" t="inlineStr">
        <is>
          <t>Core Latex Production</t>
        </is>
      </c>
      <c r="F4056" t="n">
        <v>1561</v>
      </c>
      <c r="G4056" t="inlineStr">
        <is>
          <t>t</t>
        </is>
      </c>
      <c r="H4056" t="n">
        <v>104</v>
      </c>
      <c r="I4056" t="inlineStr">
        <is>
          <t>Produksi Inti Lateks 1.561</t>
        </is>
      </c>
      <c r="J4056" t="inlineStr">
        <is>
          <t>High</t>
        </is>
      </c>
      <c r="M4056" t="inlineStr">
        <is>
          <t>LLM</t>
        </is>
      </c>
      <c r="N4056" t="inlineStr">
        <is>
          <t>2026-04-19</t>
        </is>
      </c>
      <c r="O4056" t="inlineStr">
        <is>
          <t>AI</t>
        </is>
      </c>
    </row>
    <row r="4057">
      <c r="A4057" t="inlineStr">
        <is>
          <t>PT Pinago Utama Tbk</t>
        </is>
      </c>
      <c r="B4057" t="inlineStr">
        <is>
          <t>PNGO_2022_AR.pdf</t>
        </is>
      </c>
      <c r="C4057" t="n">
        <v>2022</v>
      </c>
      <c r="D4057" t="inlineStr">
        <is>
          <t>Operation</t>
        </is>
      </c>
      <c r="E4057" t="inlineStr">
        <is>
          <t>Core Cup Lump Production</t>
        </is>
      </c>
      <c r="F4057" t="n">
        <v>924</v>
      </c>
      <c r="G4057" t="inlineStr">
        <is>
          <t>t</t>
        </is>
      </c>
      <c r="H4057" t="n">
        <v>104</v>
      </c>
      <c r="I4057" t="inlineStr">
        <is>
          <t>Produksi Inti Cup Lump 924</t>
        </is>
      </c>
      <c r="J4057" t="inlineStr">
        <is>
          <t>High</t>
        </is>
      </c>
      <c r="M4057" t="inlineStr">
        <is>
          <t>LLM</t>
        </is>
      </c>
      <c r="N4057" t="inlineStr">
        <is>
          <t>2026-04-19</t>
        </is>
      </c>
      <c r="O4057" t="inlineStr">
        <is>
          <t>AI</t>
        </is>
      </c>
    </row>
    <row r="4058">
      <c r="A4058" t="inlineStr">
        <is>
          <t>PT Pinago Utama Tbk</t>
        </is>
      </c>
      <c r="B4058" t="inlineStr">
        <is>
          <t>PNGO_2022_AR.pdf</t>
        </is>
      </c>
      <c r="C4058" t="n">
        <v>2022</v>
      </c>
      <c r="D4058" t="inlineStr">
        <is>
          <t>Operation</t>
        </is>
      </c>
      <c r="E4058" t="inlineStr">
        <is>
          <t>Smallholder Rubber Purchase</t>
        </is>
      </c>
      <c r="F4058" t="n">
        <v>26976</v>
      </c>
      <c r="G4058" t="inlineStr">
        <is>
          <t>t</t>
        </is>
      </c>
      <c r="H4058" t="n">
        <v>104</v>
      </c>
      <c r="I4058" t="inlineStr">
        <is>
          <t>Pembelian Karet Rakyat 26.976</t>
        </is>
      </c>
      <c r="J4058" t="inlineStr">
        <is>
          <t>High</t>
        </is>
      </c>
      <c r="M4058" t="inlineStr">
        <is>
          <t>LLM</t>
        </is>
      </c>
      <c r="N4058" t="inlineStr">
        <is>
          <t>2026-04-19</t>
        </is>
      </c>
      <c r="O4058" t="inlineStr">
        <is>
          <t>AI</t>
        </is>
      </c>
    </row>
    <row r="4059">
      <c r="A4059" t="inlineStr">
        <is>
          <t>PT Pinago Utama Tbk</t>
        </is>
      </c>
      <c r="B4059" t="inlineStr">
        <is>
          <t>PNGO_2022_AR.pdf</t>
        </is>
      </c>
      <c r="C4059" t="n">
        <v>2022</v>
      </c>
      <c r="D4059" t="inlineStr">
        <is>
          <t>Operation</t>
        </is>
      </c>
      <c r="E4059" t="inlineStr">
        <is>
          <t>CPO Sales Volume</t>
        </is>
      </c>
      <c r="F4059" t="n">
        <v>88704</v>
      </c>
      <c r="G4059" t="inlineStr">
        <is>
          <t>t</t>
        </is>
      </c>
      <c r="H4059" t="n">
        <v>101</v>
      </c>
      <c r="I4059" t="inlineStr">
        <is>
          <t>Penjualan CPO 88.704 ton di 2022</t>
        </is>
      </c>
      <c r="J4059" t="inlineStr">
        <is>
          <t>High</t>
        </is>
      </c>
      <c r="M4059" t="inlineStr">
        <is>
          <t>LLM</t>
        </is>
      </c>
      <c r="N4059" t="inlineStr">
        <is>
          <t>2026-04-19</t>
        </is>
      </c>
      <c r="O4059" t="inlineStr">
        <is>
          <t>AI</t>
        </is>
      </c>
    </row>
    <row r="4060">
      <c r="A4060" t="inlineStr">
        <is>
          <t>PT Pinago Utama Tbk</t>
        </is>
      </c>
      <c r="B4060" t="inlineStr">
        <is>
          <t>PNGO_2022_AR.pdf</t>
        </is>
      </c>
      <c r="C4060" t="n">
        <v>2022</v>
      </c>
      <c r="D4060" t="inlineStr">
        <is>
          <t>Operation</t>
        </is>
      </c>
      <c r="E4060" t="inlineStr">
        <is>
          <t>Kernel Sales Volume</t>
        </is>
      </c>
      <c r="F4060" t="n">
        <v>19288</v>
      </c>
      <c r="G4060" t="inlineStr">
        <is>
          <t>t</t>
        </is>
      </c>
      <c r="H4060" t="n">
        <v>101</v>
      </c>
      <c r="I4060" t="inlineStr">
        <is>
          <t>Penjualan Kernel 19.288 Ton 2022</t>
        </is>
      </c>
      <c r="J4060" t="inlineStr">
        <is>
          <t>High</t>
        </is>
      </c>
      <c r="M4060" t="inlineStr">
        <is>
          <t>LLM</t>
        </is>
      </c>
      <c r="N4060" t="inlineStr">
        <is>
          <t>2026-04-19</t>
        </is>
      </c>
      <c r="O4060" t="inlineStr">
        <is>
          <t>AI</t>
        </is>
      </c>
    </row>
    <row r="4061">
      <c r="A4061" t="inlineStr">
        <is>
          <t>PT Pinago Utama Tbk</t>
        </is>
      </c>
      <c r="B4061" t="inlineStr">
        <is>
          <t>PNGO_2022_AR.pdf</t>
        </is>
      </c>
      <c r="C4061" t="n">
        <v>2022</v>
      </c>
      <c r="D4061" t="inlineStr">
        <is>
          <t>Operation</t>
        </is>
      </c>
      <c r="E4061" t="inlineStr">
        <is>
          <t>Crumb Rubber Sales Volume</t>
        </is>
      </c>
      <c r="F4061" t="n">
        <v>27834</v>
      </c>
      <c r="G4061" t="inlineStr">
        <is>
          <t>t</t>
        </is>
      </c>
      <c r="H4061" t="n">
        <v>103</v>
      </c>
      <c r="I4061" t="inlineStr">
        <is>
          <t>Crumb Rubber Sales 27.834 tons (2022)</t>
        </is>
      </c>
      <c r="J4061" t="inlineStr">
        <is>
          <t>High</t>
        </is>
      </c>
      <c r="M4061" t="inlineStr">
        <is>
          <t>LLM</t>
        </is>
      </c>
      <c r="N4061" t="inlineStr">
        <is>
          <t>2026-04-19</t>
        </is>
      </c>
      <c r="O4061" t="inlineStr">
        <is>
          <t>AI</t>
        </is>
      </c>
    </row>
    <row r="4062">
      <c r="A4062" t="inlineStr">
        <is>
          <t>PT Pinago Utama Tbk</t>
        </is>
      </c>
      <c r="B4062" t="inlineStr">
        <is>
          <t>PNGO_2022_AR.pdf</t>
        </is>
      </c>
      <c r="C4062" t="n">
        <v>2022</v>
      </c>
      <c r="D4062" t="inlineStr">
        <is>
          <t>Operation</t>
        </is>
      </c>
      <c r="E4062" t="inlineStr">
        <is>
          <t>RSS Sales Volume</t>
        </is>
      </c>
      <c r="F4062" t="n">
        <v>1562</v>
      </c>
      <c r="G4062" t="inlineStr">
        <is>
          <t>t</t>
        </is>
      </c>
      <c r="H4062" t="n">
        <v>103</v>
      </c>
      <c r="I4062" t="inlineStr">
        <is>
          <t>RSS sales 1.562 tons (2022)</t>
        </is>
      </c>
      <c r="J4062" t="inlineStr">
        <is>
          <t>High</t>
        </is>
      </c>
      <c r="M4062" t="inlineStr">
        <is>
          <t>LLM</t>
        </is>
      </c>
      <c r="N4062" t="inlineStr">
        <is>
          <t>2026-04-19</t>
        </is>
      </c>
      <c r="O4062" t="inlineStr">
        <is>
          <t>AI</t>
        </is>
      </c>
    </row>
    <row r="4063">
      <c r="A4063" t="inlineStr">
        <is>
          <t>PT Pinago Utama Tbk</t>
        </is>
      </c>
      <c r="B4063" t="inlineStr">
        <is>
          <t>PNGO_2022_AR.pdf</t>
        </is>
      </c>
      <c r="C4063" t="n">
        <v>2022</v>
      </c>
      <c r="D4063" t="inlineStr">
        <is>
          <t>Operation</t>
        </is>
      </c>
      <c r="E4063" t="inlineStr">
        <is>
          <t>Avg CPO Selling Price</t>
        </is>
      </c>
      <c r="F4063" t="n">
        <v>12108</v>
      </c>
      <c r="G4063" t="inlineStr">
        <is>
          <t>Rp/kg</t>
        </is>
      </c>
      <c r="H4063" t="n">
        <v>101</v>
      </c>
      <c r="I4063" t="inlineStr">
        <is>
          <t>Harga Rata Rata CPO Rp12.108/Kg di 2022</t>
        </is>
      </c>
      <c r="J4063" t="inlineStr">
        <is>
          <t>High</t>
        </is>
      </c>
      <c r="M4063" t="inlineStr">
        <is>
          <t>LLM</t>
        </is>
      </c>
      <c r="N4063" t="inlineStr">
        <is>
          <t>2026-04-19</t>
        </is>
      </c>
      <c r="O4063" t="inlineStr">
        <is>
          <t>AI</t>
        </is>
      </c>
    </row>
    <row r="4064">
      <c r="A4064" t="inlineStr">
        <is>
          <t>PT Pinago Utama Tbk</t>
        </is>
      </c>
      <c r="B4064" t="inlineStr">
        <is>
          <t>PNGO_2022_AR.pdf</t>
        </is>
      </c>
      <c r="C4064" t="n">
        <v>2022</v>
      </c>
      <c r="D4064" t="inlineStr">
        <is>
          <t>Operation</t>
        </is>
      </c>
      <c r="E4064" t="inlineStr">
        <is>
          <t>Avg Kernel Selling Price</t>
        </is>
      </c>
      <c r="F4064" t="n">
        <v>7832</v>
      </c>
      <c r="G4064" t="inlineStr">
        <is>
          <t>Rp/kg</t>
        </is>
      </c>
      <c r="H4064" t="n">
        <v>101</v>
      </c>
      <c r="I4064" t="inlineStr">
        <is>
          <t>Harga Rata Rata Kernel Rp7.832/Kg</t>
        </is>
      </c>
      <c r="J4064" t="inlineStr">
        <is>
          <t>High</t>
        </is>
      </c>
      <c r="M4064" t="inlineStr">
        <is>
          <t>LLM</t>
        </is>
      </c>
      <c r="N4064" t="inlineStr">
        <is>
          <t>2026-04-19</t>
        </is>
      </c>
      <c r="O4064" t="inlineStr">
        <is>
          <t>AI</t>
        </is>
      </c>
    </row>
    <row r="4065">
      <c r="A4065" t="inlineStr">
        <is>
          <t>PT Pinago Utama Tbk</t>
        </is>
      </c>
      <c r="B4065" t="inlineStr">
        <is>
          <t>PNGO_2022_AR.pdf</t>
        </is>
      </c>
      <c r="C4065" t="n">
        <v>2022</v>
      </c>
      <c r="D4065" t="inlineStr">
        <is>
          <t>Operation</t>
        </is>
      </c>
      <c r="E4065" t="inlineStr">
        <is>
          <t>Avg Crumb Rubber Selling Price (SIR20)</t>
        </is>
      </c>
      <c r="F4065" t="n">
        <v>25415</v>
      </c>
      <c r="G4065" t="inlineStr">
        <is>
          <t>Rp/kg</t>
        </is>
      </c>
      <c r="H4065" t="n">
        <v>103</v>
      </c>
      <c r="I4065" t="inlineStr">
        <is>
          <t>SIR 20 Rp25.415/Kg (2022)</t>
        </is>
      </c>
      <c r="J4065" t="inlineStr">
        <is>
          <t>High</t>
        </is>
      </c>
      <c r="M4065" t="inlineStr">
        <is>
          <t>LLM</t>
        </is>
      </c>
      <c r="N4065" t="inlineStr">
        <is>
          <t>2026-04-19</t>
        </is>
      </c>
      <c r="O4065" t="inlineStr">
        <is>
          <t>AI</t>
        </is>
      </c>
    </row>
    <row r="4066">
      <c r="A4066" t="inlineStr">
        <is>
          <t>PT Pinago Utama Tbk</t>
        </is>
      </c>
      <c r="B4066" t="inlineStr">
        <is>
          <t>PNGO_2022_AR.pdf</t>
        </is>
      </c>
      <c r="C4066" t="n">
        <v>2022</v>
      </c>
      <c r="D4066" t="inlineStr">
        <is>
          <t>Operation</t>
        </is>
      </c>
      <c r="E4066" t="inlineStr">
        <is>
          <t>Avg RSS Selling Price</t>
        </is>
      </c>
      <c r="F4066" t="n">
        <v>28865</v>
      </c>
      <c r="G4066" t="inlineStr">
        <is>
          <t>Rp/kg</t>
        </is>
      </c>
      <c r="H4066" t="n">
        <v>103</v>
      </c>
      <c r="I4066" t="inlineStr">
        <is>
          <t>RSS Rp28.865/Kg (2022)</t>
        </is>
      </c>
      <c r="J4066" t="inlineStr">
        <is>
          <t>High</t>
        </is>
      </c>
      <c r="M4066" t="inlineStr">
        <is>
          <t>LLM</t>
        </is>
      </c>
      <c r="N4066" t="inlineStr">
        <is>
          <t>2026-04-19</t>
        </is>
      </c>
      <c r="O4066" t="inlineStr">
        <is>
          <t>AI</t>
        </is>
      </c>
    </row>
    <row r="4067">
      <c r="A4067" t="inlineStr">
        <is>
          <t>PT Pinago Utama Tbk</t>
        </is>
      </c>
      <c r="B4067" t="inlineStr">
        <is>
          <t>PNGO_2022_AR.pdf</t>
        </is>
      </c>
      <c r="C4067" t="n">
        <v>2022</v>
      </c>
      <c r="D4067" t="inlineStr">
        <is>
          <t>Operation</t>
        </is>
      </c>
      <c r="E4067" t="inlineStr">
        <is>
          <t>Palm Segment Revenue</t>
        </is>
      </c>
      <c r="F4067" t="n">
        <v>1416</v>
      </c>
      <c r="G4067" t="inlineStr">
        <is>
          <t>IDR bn</t>
        </is>
      </c>
      <c r="H4067" t="n">
        <v>104</v>
      </c>
      <c r="I4067" t="inlineStr">
        <is>
          <t>Pendapatan Palm Oil 1.416.078 (juta)</t>
        </is>
      </c>
      <c r="J4067" t="inlineStr">
        <is>
          <t>High</t>
        </is>
      </c>
      <c r="M4067" t="inlineStr">
        <is>
          <t>LLM</t>
        </is>
      </c>
      <c r="N4067" t="inlineStr">
        <is>
          <t>2026-04-19</t>
        </is>
      </c>
      <c r="O4067" t="inlineStr">
        <is>
          <t>AI</t>
        </is>
      </c>
    </row>
    <row r="4068">
      <c r="A4068" t="inlineStr">
        <is>
          <t>PT Pinago Utama Tbk</t>
        </is>
      </c>
      <c r="B4068" t="inlineStr">
        <is>
          <t>PNGO_2022_AR.pdf</t>
        </is>
      </c>
      <c r="C4068" t="n">
        <v>2022</v>
      </c>
      <c r="D4068" t="inlineStr">
        <is>
          <t>Operation</t>
        </is>
      </c>
      <c r="E4068" t="inlineStr">
        <is>
          <t>Rubber Segment Revenue</t>
        </is>
      </c>
      <c r="F4068" t="n">
        <v>753</v>
      </c>
      <c r="G4068" t="inlineStr">
        <is>
          <t>IDR bn</t>
        </is>
      </c>
      <c r="H4068" t="n">
        <v>105</v>
      </c>
      <c r="I4068" t="inlineStr">
        <is>
          <t>Rubber 752.501 (juta) (2022)</t>
        </is>
      </c>
      <c r="J4068" t="inlineStr">
        <is>
          <t>High</t>
        </is>
      </c>
      <c r="M4068" t="inlineStr">
        <is>
          <t>LLM</t>
        </is>
      </c>
      <c r="N4068" t="inlineStr">
        <is>
          <t>2026-04-19</t>
        </is>
      </c>
      <c r="O4068" t="inlineStr">
        <is>
          <t>AI</t>
        </is>
      </c>
    </row>
    <row r="4069">
      <c r="A4069" t="inlineStr">
        <is>
          <t>PT Pinago Utama Tbk</t>
        </is>
      </c>
      <c r="B4069" t="inlineStr">
        <is>
          <t>PNGO_2022_AR.pdf</t>
        </is>
      </c>
      <c r="C4069" t="n">
        <v>2022</v>
      </c>
      <c r="D4069" t="inlineStr">
        <is>
          <t>ESG</t>
        </is>
      </c>
      <c r="E4069" t="inlineStr">
        <is>
          <t>Core Region</t>
        </is>
      </c>
      <c r="F4069" t="inlineStr">
        <is>
          <t>South Sumatra (Musi Banyuasin)</t>
        </is>
      </c>
      <c r="G4069" t="inlineStr">
        <is>
          <t>text</t>
        </is>
      </c>
      <c r="H4069" t="n">
        <v>101</v>
      </c>
      <c r="I4069" t="inlineStr">
        <is>
          <t>Desa Sugiwaras, Kecamatan Babat Toman, Musi Banyuasin, Sumatera Selatan</t>
        </is>
      </c>
      <c r="J4069" t="inlineStr">
        <is>
          <t>High</t>
        </is>
      </c>
      <c r="M4069" t="inlineStr">
        <is>
          <t>LLM</t>
        </is>
      </c>
      <c r="N4069" t="inlineStr">
        <is>
          <t>2026-04-19</t>
        </is>
      </c>
      <c r="O4069" t="inlineStr">
        <is>
          <t>AI</t>
        </is>
      </c>
    </row>
    <row r="4070">
      <c r="A4070" t="inlineStr">
        <is>
          <t>PT Pinago Utama Tbk</t>
        </is>
      </c>
      <c r="B4070" t="inlineStr">
        <is>
          <t>PNGO_2022_AR.pdf</t>
        </is>
      </c>
      <c r="C4070" t="n">
        <v>2022</v>
      </c>
      <c r="D4070" t="inlineStr">
        <is>
          <t>ESG</t>
        </is>
      </c>
      <c r="E4070" t="inlineStr">
        <is>
          <t>Best Listed Company Award 2022</t>
        </is>
      </c>
      <c r="F4070" t="inlineStr">
        <is>
          <t>Investor Awards 2022 - Top Performing Listed Companies</t>
        </is>
      </c>
      <c r="G4070" t="inlineStr">
        <is>
          <t>text</t>
        </is>
      </c>
      <c r="H4070" t="n">
        <v>12</v>
      </c>
      <c r="I4070" t="inlineStr">
        <is>
          <t>Best Listed Company 2022 Awards (Majalah Investor) 26 Juli 2022</t>
        </is>
      </c>
      <c r="J4070" t="inlineStr">
        <is>
          <t>High</t>
        </is>
      </c>
      <c r="M4070" t="inlineStr">
        <is>
          <t>LLM</t>
        </is>
      </c>
      <c r="N4070" t="inlineStr">
        <is>
          <t>2026-04-19</t>
        </is>
      </c>
      <c r="O4070" t="inlineStr">
        <is>
          <t>AI</t>
        </is>
      </c>
    </row>
    <row r="4071">
      <c r="A4071" t="inlineStr">
        <is>
          <t>PT Pinago Utama Tbk</t>
        </is>
      </c>
      <c r="B4071" t="inlineStr">
        <is>
          <t>PNGO_2023_AR.pdf</t>
        </is>
      </c>
      <c r="C4071" t="n">
        <v>2023</v>
      </c>
      <c r="D4071" t="inlineStr">
        <is>
          <t>Company</t>
        </is>
      </c>
      <c r="E4071" t="inlineStr">
        <is>
          <t>Company Name</t>
        </is>
      </c>
      <c r="F4071" t="inlineStr">
        <is>
          <t>PT Pinago Utama Tbk</t>
        </is>
      </c>
      <c r="G4071" t="inlineStr">
        <is>
          <t>text</t>
        </is>
      </c>
      <c r="H4071" t="n">
        <v>1</v>
      </c>
      <c r="I4071" t="inlineStr">
        <is>
          <t>PT Pinago Utama Tbk | Laporan Tahunan 2023</t>
        </is>
      </c>
      <c r="J4071" t="inlineStr">
        <is>
          <t>High</t>
        </is>
      </c>
      <c r="M4071" t="inlineStr">
        <is>
          <t>LLM</t>
        </is>
      </c>
      <c r="N4071" t="inlineStr">
        <is>
          <t>2026-04-19</t>
        </is>
      </c>
      <c r="O4071" t="inlineStr">
        <is>
          <t>AI</t>
        </is>
      </c>
    </row>
    <row r="4072">
      <c r="A4072" t="inlineStr">
        <is>
          <t>PT Pinago Utama Tbk</t>
        </is>
      </c>
      <c r="B4072" t="inlineStr">
        <is>
          <t>PNGO_2023_AR.pdf</t>
        </is>
      </c>
      <c r="C4072" t="n">
        <v>2023</v>
      </c>
      <c r="D4072" t="inlineStr">
        <is>
          <t>Company</t>
        </is>
      </c>
      <c r="E4072" t="inlineStr">
        <is>
          <t>Ticker</t>
        </is>
      </c>
      <c r="F4072" t="inlineStr">
        <is>
          <t>PNGO</t>
        </is>
      </c>
      <c r="G4072" t="inlineStr">
        <is>
          <t>text</t>
        </is>
      </c>
      <c r="H4072" t="n">
        <v>11</v>
      </c>
      <c r="I4072" t="inlineStr">
        <is>
          <t>IDX: PNGO</t>
        </is>
      </c>
      <c r="J4072" t="inlineStr">
        <is>
          <t>High</t>
        </is>
      </c>
      <c r="M4072" t="inlineStr">
        <is>
          <t>LLM</t>
        </is>
      </c>
      <c r="N4072" t="inlineStr">
        <is>
          <t>2026-04-19</t>
        </is>
      </c>
      <c r="O4072" t="inlineStr">
        <is>
          <t>AI</t>
        </is>
      </c>
    </row>
    <row r="4073">
      <c r="A4073" t="inlineStr">
        <is>
          <t>PT Pinago Utama Tbk</t>
        </is>
      </c>
      <c r="B4073" t="inlineStr">
        <is>
          <t>PNGO_2023_AR.pdf</t>
        </is>
      </c>
      <c r="C4073" t="n">
        <v>2023</v>
      </c>
      <c r="D4073" t="inlineStr">
        <is>
          <t>Company</t>
        </is>
      </c>
      <c r="E4073" t="inlineStr">
        <is>
          <t>Wilson Sutantio Ownership</t>
        </is>
      </c>
      <c r="F4073" t="n">
        <v>0.2276</v>
      </c>
      <c r="G4073" t="inlineStr">
        <is>
          <t>%</t>
        </is>
      </c>
      <c r="H4073" t="n">
        <v>77</v>
      </c>
      <c r="I4073" t="inlineStr">
        <is>
          <t>Wilson Sutantio (177.799.800 lembar saham/shares) 22,76%</t>
        </is>
      </c>
      <c r="J4073" t="inlineStr">
        <is>
          <t>High</t>
        </is>
      </c>
      <c r="M4073" t="inlineStr">
        <is>
          <t>LLM</t>
        </is>
      </c>
      <c r="N4073" t="inlineStr">
        <is>
          <t>2026-04-19</t>
        </is>
      </c>
      <c r="O4073" t="inlineStr">
        <is>
          <t>AI</t>
        </is>
      </c>
    </row>
    <row r="4074">
      <c r="A4074" t="inlineStr">
        <is>
          <t>PT Pinago Utama Tbk</t>
        </is>
      </c>
      <c r="B4074" t="inlineStr">
        <is>
          <t>PNGO_2023_AR.pdf</t>
        </is>
      </c>
      <c r="C4074" t="n">
        <v>2023</v>
      </c>
      <c r="D4074" t="inlineStr">
        <is>
          <t>Company</t>
        </is>
      </c>
      <c r="E4074" t="inlineStr">
        <is>
          <t>Hasan Tantri Ownership</t>
        </is>
      </c>
      <c r="F4074" t="n">
        <v>0.1948</v>
      </c>
      <c r="G4074" t="inlineStr">
        <is>
          <t>%</t>
        </is>
      </c>
      <c r="H4074" t="n">
        <v>77</v>
      </c>
      <c r="I4074" t="inlineStr">
        <is>
          <t>Hasan Tantri 19.48%</t>
        </is>
      </c>
      <c r="J4074" t="inlineStr">
        <is>
          <t>High</t>
        </is>
      </c>
      <c r="M4074" t="inlineStr">
        <is>
          <t>LLM</t>
        </is>
      </c>
      <c r="N4074" t="inlineStr">
        <is>
          <t>2026-04-19</t>
        </is>
      </c>
      <c r="O4074" t="inlineStr">
        <is>
          <t>AI</t>
        </is>
      </c>
    </row>
    <row r="4075">
      <c r="A4075" t="inlineStr">
        <is>
          <t>PT Pinago Utama Tbk</t>
        </is>
      </c>
      <c r="B4075" t="inlineStr">
        <is>
          <t>PNGO_2023_AR.pdf</t>
        </is>
      </c>
      <c r="C4075" t="n">
        <v>2023</v>
      </c>
      <c r="D4075" t="inlineStr">
        <is>
          <t>Company</t>
        </is>
      </c>
      <c r="E4075" t="inlineStr">
        <is>
          <t>Charles Sutantio Ownership</t>
        </is>
      </c>
      <c r="F4075" t="n">
        <v>0.1761</v>
      </c>
      <c r="G4075" t="inlineStr">
        <is>
          <t>%</t>
        </is>
      </c>
      <c r="H4075" t="n">
        <v>77</v>
      </c>
      <c r="I4075" t="inlineStr">
        <is>
          <t>Charles Sutantio 17.61%</t>
        </is>
      </c>
      <c r="J4075" t="inlineStr">
        <is>
          <t>High</t>
        </is>
      </c>
      <c r="M4075" t="inlineStr">
        <is>
          <t>LLM</t>
        </is>
      </c>
      <c r="N4075" t="inlineStr">
        <is>
          <t>2026-04-19</t>
        </is>
      </c>
      <c r="O4075" t="inlineStr">
        <is>
          <t>AI</t>
        </is>
      </c>
    </row>
    <row r="4076">
      <c r="A4076" t="inlineStr">
        <is>
          <t>PT Pinago Utama Tbk</t>
        </is>
      </c>
      <c r="B4076" t="inlineStr">
        <is>
          <t>PNGO_2023_AR.pdf</t>
        </is>
      </c>
      <c r="C4076" t="n">
        <v>2023</v>
      </c>
      <c r="D4076" t="inlineStr">
        <is>
          <t>Company</t>
        </is>
      </c>
      <c r="E4076" t="inlineStr">
        <is>
          <t>Peter Unggul Sutantio Ownership</t>
        </is>
      </c>
      <c r="F4076" t="n">
        <v>0.1527</v>
      </c>
      <c r="G4076" t="inlineStr">
        <is>
          <t>%</t>
        </is>
      </c>
      <c r="H4076" t="n">
        <v>77</v>
      </c>
      <c r="I4076" t="inlineStr">
        <is>
          <t>Peter Unggul Sutantio 15.27%</t>
        </is>
      </c>
      <c r="J4076" t="inlineStr">
        <is>
          <t>High</t>
        </is>
      </c>
      <c r="M4076" t="inlineStr">
        <is>
          <t>LLM</t>
        </is>
      </c>
      <c r="N4076" t="inlineStr">
        <is>
          <t>2026-04-19</t>
        </is>
      </c>
      <c r="O4076" t="inlineStr">
        <is>
          <t>AI</t>
        </is>
      </c>
    </row>
    <row r="4077">
      <c r="A4077" t="inlineStr">
        <is>
          <t>PT Pinago Utama Tbk</t>
        </is>
      </c>
      <c r="B4077" t="inlineStr">
        <is>
          <t>PNGO_2023_AR.pdf</t>
        </is>
      </c>
      <c r="C4077" t="n">
        <v>2023</v>
      </c>
      <c r="D4077" t="inlineStr">
        <is>
          <t>Company</t>
        </is>
      </c>
      <c r="E4077" t="inlineStr">
        <is>
          <t>Public Float</t>
        </is>
      </c>
      <c r="F4077" t="n">
        <v>0.2488</v>
      </c>
      <c r="G4077" t="inlineStr">
        <is>
          <t>%</t>
        </is>
      </c>
      <c r="H4077" t="n">
        <v>77</v>
      </c>
      <c r="I4077" t="inlineStr">
        <is>
          <t>Masyarakat 24.88%</t>
        </is>
      </c>
      <c r="J4077" t="inlineStr">
        <is>
          <t>High</t>
        </is>
      </c>
      <c r="M4077" t="inlineStr">
        <is>
          <t>LLM</t>
        </is>
      </c>
      <c r="N4077" t="inlineStr">
        <is>
          <t>2026-04-19</t>
        </is>
      </c>
      <c r="O4077" t="inlineStr">
        <is>
          <t>AI</t>
        </is>
      </c>
    </row>
    <row r="4078">
      <c r="A4078" t="inlineStr">
        <is>
          <t>PT Pinago Utama Tbk</t>
        </is>
      </c>
      <c r="B4078" t="inlineStr">
        <is>
          <t>PNGO_2023_AR.pdf</t>
        </is>
      </c>
      <c r="C4078" t="n">
        <v>2023</v>
      </c>
      <c r="D4078" t="inlineStr">
        <is>
          <t>Financial</t>
        </is>
      </c>
      <c r="E4078" t="inlineStr">
        <is>
          <t>Revenue</t>
        </is>
      </c>
      <c r="F4078" t="n">
        <v>2037</v>
      </c>
      <c r="G4078" t="inlineStr">
        <is>
          <t>IDR bn</t>
        </is>
      </c>
      <c r="H4078" t="n">
        <v>8</v>
      </c>
      <c r="I4078" t="inlineStr">
        <is>
          <t>Penjualan 2.037.284 (juta Rupiah)</t>
        </is>
      </c>
      <c r="J4078" t="inlineStr">
        <is>
          <t>High</t>
        </is>
      </c>
      <c r="M4078" t="inlineStr">
        <is>
          <t>LLM</t>
        </is>
      </c>
      <c r="N4078" t="inlineStr">
        <is>
          <t>2026-04-19</t>
        </is>
      </c>
      <c r="O4078" t="inlineStr">
        <is>
          <t>AI</t>
        </is>
      </c>
    </row>
    <row r="4079">
      <c r="A4079" t="inlineStr">
        <is>
          <t>PT Pinago Utama Tbk</t>
        </is>
      </c>
      <c r="B4079" t="inlineStr">
        <is>
          <t>PNGO_2023_AR.pdf</t>
        </is>
      </c>
      <c r="C4079" t="n">
        <v>2023</v>
      </c>
      <c r="D4079" t="inlineStr">
        <is>
          <t>Financial</t>
        </is>
      </c>
      <c r="E4079" t="inlineStr">
        <is>
          <t>Cost of Goods Sold</t>
        </is>
      </c>
      <c r="F4079" t="n">
        <v>1534</v>
      </c>
      <c r="G4079" t="inlineStr">
        <is>
          <t>IDR bn</t>
        </is>
      </c>
      <c r="H4079" t="n">
        <v>8</v>
      </c>
      <c r="I4079" t="inlineStr">
        <is>
          <t>Beban Pokok Penjualan 1.534.385</t>
        </is>
      </c>
      <c r="J4079" t="inlineStr">
        <is>
          <t>High</t>
        </is>
      </c>
      <c r="M4079" t="inlineStr">
        <is>
          <t>LLM</t>
        </is>
      </c>
      <c r="N4079" t="inlineStr">
        <is>
          <t>2026-04-19</t>
        </is>
      </c>
      <c r="O4079" t="inlineStr">
        <is>
          <t>AI</t>
        </is>
      </c>
    </row>
    <row r="4080">
      <c r="A4080" t="inlineStr">
        <is>
          <t>PT Pinago Utama Tbk</t>
        </is>
      </c>
      <c r="B4080" t="inlineStr">
        <is>
          <t>PNGO_2023_AR.pdf</t>
        </is>
      </c>
      <c r="C4080" t="n">
        <v>2023</v>
      </c>
      <c r="D4080" t="inlineStr">
        <is>
          <t>Financial</t>
        </is>
      </c>
      <c r="E4080" t="inlineStr">
        <is>
          <t>Gross Profit</t>
        </is>
      </c>
      <c r="F4080" t="n">
        <v>503</v>
      </c>
      <c r="G4080" t="inlineStr">
        <is>
          <t>IDR bn</t>
        </is>
      </c>
      <c r="H4080" t="n">
        <v>8</v>
      </c>
      <c r="I4080" t="inlineStr">
        <is>
          <t>Laba Kotor 502.900</t>
        </is>
      </c>
      <c r="J4080" t="inlineStr">
        <is>
          <t>High</t>
        </is>
      </c>
      <c r="M4080" t="inlineStr">
        <is>
          <t>LLM</t>
        </is>
      </c>
      <c r="N4080" t="inlineStr">
        <is>
          <t>2026-04-19</t>
        </is>
      </c>
      <c r="O4080" t="inlineStr">
        <is>
          <t>AI</t>
        </is>
      </c>
    </row>
    <row r="4081">
      <c r="A4081" t="inlineStr">
        <is>
          <t>PT Pinago Utama Tbk</t>
        </is>
      </c>
      <c r="B4081" t="inlineStr">
        <is>
          <t>PNGO_2023_AR.pdf</t>
        </is>
      </c>
      <c r="C4081" t="n">
        <v>2023</v>
      </c>
      <c r="D4081" t="inlineStr">
        <is>
          <t>Financial</t>
        </is>
      </c>
      <c r="E4081" t="inlineStr">
        <is>
          <t>Operating Expense</t>
        </is>
      </c>
      <c r="F4081" t="n">
        <v>212</v>
      </c>
      <c r="G4081" t="inlineStr">
        <is>
          <t>IDR bn</t>
        </is>
      </c>
      <c r="H4081" t="n">
        <v>8</v>
      </c>
      <c r="I4081" t="inlineStr">
        <is>
          <t>Beban Usaha 211.887</t>
        </is>
      </c>
      <c r="J4081" t="inlineStr">
        <is>
          <t>High</t>
        </is>
      </c>
      <c r="M4081" t="inlineStr">
        <is>
          <t>LLM</t>
        </is>
      </c>
      <c r="N4081" t="inlineStr">
        <is>
          <t>2026-04-19</t>
        </is>
      </c>
      <c r="O4081" t="inlineStr">
        <is>
          <t>AI</t>
        </is>
      </c>
    </row>
    <row r="4082">
      <c r="A4082" t="inlineStr">
        <is>
          <t>PT Pinago Utama Tbk</t>
        </is>
      </c>
      <c r="B4082" t="inlineStr">
        <is>
          <t>PNGO_2023_AR.pdf</t>
        </is>
      </c>
      <c r="C4082" t="n">
        <v>2023</v>
      </c>
      <c r="D4082" t="inlineStr">
        <is>
          <t>Financial</t>
        </is>
      </c>
      <c r="E4082" t="inlineStr">
        <is>
          <t>Operating Profit (EBIT)</t>
        </is>
      </c>
      <c r="F4082" t="n">
        <v>291</v>
      </c>
      <c r="G4082" t="inlineStr">
        <is>
          <t>IDR bn</t>
        </is>
      </c>
      <c r="H4082" t="n">
        <v>8</v>
      </c>
      <c r="I4082" t="inlineStr">
        <is>
          <t>Laba Usaha 291.013</t>
        </is>
      </c>
      <c r="J4082" t="inlineStr">
        <is>
          <t>High</t>
        </is>
      </c>
      <c r="M4082" t="inlineStr">
        <is>
          <t>LLM</t>
        </is>
      </c>
      <c r="N4082" t="inlineStr">
        <is>
          <t>2026-04-19</t>
        </is>
      </c>
      <c r="O4082" t="inlineStr">
        <is>
          <t>AI</t>
        </is>
      </c>
    </row>
    <row r="4083">
      <c r="A4083" t="inlineStr">
        <is>
          <t>PT Pinago Utama Tbk</t>
        </is>
      </c>
      <c r="B4083" t="inlineStr">
        <is>
          <t>PNGO_2023_AR.pdf</t>
        </is>
      </c>
      <c r="C4083" t="n">
        <v>2023</v>
      </c>
      <c r="D4083" t="inlineStr">
        <is>
          <t>Financial</t>
        </is>
      </c>
      <c r="E4083" t="inlineStr">
        <is>
          <t>Profit Before Tax</t>
        </is>
      </c>
      <c r="F4083" t="n">
        <v>250</v>
      </c>
      <c r="G4083" t="inlineStr">
        <is>
          <t>IDR bn</t>
        </is>
      </c>
      <c r="H4083" t="n">
        <v>8</v>
      </c>
      <c r="I4083" t="inlineStr">
        <is>
          <t>Laba Sebelum Beban Pajak 250.391</t>
        </is>
      </c>
      <c r="J4083" t="inlineStr">
        <is>
          <t>High</t>
        </is>
      </c>
      <c r="M4083" t="inlineStr">
        <is>
          <t>LLM</t>
        </is>
      </c>
      <c r="N4083" t="inlineStr">
        <is>
          <t>2026-04-19</t>
        </is>
      </c>
      <c r="O4083" t="inlineStr">
        <is>
          <t>AI</t>
        </is>
      </c>
    </row>
    <row r="4084">
      <c r="A4084" t="inlineStr">
        <is>
          <t>PT Pinago Utama Tbk</t>
        </is>
      </c>
      <c r="B4084" t="inlineStr">
        <is>
          <t>PNGO_2023_AR.pdf</t>
        </is>
      </c>
      <c r="C4084" t="n">
        <v>2023</v>
      </c>
      <c r="D4084" t="inlineStr">
        <is>
          <t>Financial</t>
        </is>
      </c>
      <c r="E4084" t="inlineStr">
        <is>
          <t>Net Profit</t>
        </is>
      </c>
      <c r="F4084" t="n">
        <v>192</v>
      </c>
      <c r="G4084" t="inlineStr">
        <is>
          <t>IDR bn</t>
        </is>
      </c>
      <c r="H4084" t="n">
        <v>8</v>
      </c>
      <c r="I4084" t="inlineStr">
        <is>
          <t>Laba Neto Tahun Berjalan 191.664</t>
        </is>
      </c>
      <c r="J4084" t="inlineStr">
        <is>
          <t>High</t>
        </is>
      </c>
      <c r="M4084" t="inlineStr">
        <is>
          <t>LLM</t>
        </is>
      </c>
      <c r="N4084" t="inlineStr">
        <is>
          <t>2026-04-19</t>
        </is>
      </c>
      <c r="O4084" t="inlineStr">
        <is>
          <t>AI</t>
        </is>
      </c>
    </row>
    <row r="4085">
      <c r="A4085" t="inlineStr">
        <is>
          <t>PT Pinago Utama Tbk</t>
        </is>
      </c>
      <c r="B4085" t="inlineStr">
        <is>
          <t>PNGO_2023_AR.pdf</t>
        </is>
      </c>
      <c r="C4085" t="n">
        <v>2023</v>
      </c>
      <c r="D4085" t="inlineStr">
        <is>
          <t>Financial</t>
        </is>
      </c>
      <c r="E4085" t="inlineStr">
        <is>
          <t>Profit Attributable to Parent</t>
        </is>
      </c>
      <c r="F4085" t="n">
        <v>191</v>
      </c>
      <c r="G4085" t="inlineStr">
        <is>
          <t>IDR bn</t>
        </is>
      </c>
      <c r="H4085" t="n">
        <v>8</v>
      </c>
      <c r="I4085" t="inlineStr">
        <is>
          <t>Pemilik Entitas Induk 191.350</t>
        </is>
      </c>
      <c r="J4085" t="inlineStr">
        <is>
          <t>High</t>
        </is>
      </c>
      <c r="M4085" t="inlineStr">
        <is>
          <t>LLM</t>
        </is>
      </c>
      <c r="N4085" t="inlineStr">
        <is>
          <t>2026-04-19</t>
        </is>
      </c>
      <c r="O4085" t="inlineStr">
        <is>
          <t>AI</t>
        </is>
      </c>
    </row>
    <row r="4086">
      <c r="A4086" t="inlineStr">
        <is>
          <t>PT Pinago Utama Tbk</t>
        </is>
      </c>
      <c r="B4086" t="inlineStr">
        <is>
          <t>PNGO_2023_AR.pdf</t>
        </is>
      </c>
      <c r="C4086" t="n">
        <v>2023</v>
      </c>
      <c r="D4086" t="inlineStr">
        <is>
          <t>Financial</t>
        </is>
      </c>
      <c r="E4086" t="inlineStr">
        <is>
          <t>Total Assets</t>
        </is>
      </c>
      <c r="F4086" t="n">
        <v>1489</v>
      </c>
      <c r="G4086" t="inlineStr">
        <is>
          <t>IDR bn</t>
        </is>
      </c>
      <c r="H4086" t="n">
        <v>10</v>
      </c>
      <c r="I4086" t="inlineStr">
        <is>
          <t>Jumlah Aset 1.489 (miliar)</t>
        </is>
      </c>
      <c r="J4086" t="inlineStr">
        <is>
          <t>High</t>
        </is>
      </c>
      <c r="M4086" t="inlineStr">
        <is>
          <t>LLM</t>
        </is>
      </c>
      <c r="N4086" t="inlineStr">
        <is>
          <t>2026-04-19</t>
        </is>
      </c>
      <c r="O4086" t="inlineStr">
        <is>
          <t>AI</t>
        </is>
      </c>
    </row>
    <row r="4087">
      <c r="A4087" t="inlineStr">
        <is>
          <t>PT Pinago Utama Tbk</t>
        </is>
      </c>
      <c r="B4087" t="inlineStr">
        <is>
          <t>PNGO_2023_AR.pdf</t>
        </is>
      </c>
      <c r="C4087" t="n">
        <v>2023</v>
      </c>
      <c r="D4087" t="inlineStr">
        <is>
          <t>Financial</t>
        </is>
      </c>
      <c r="E4087" t="inlineStr">
        <is>
          <t>Current Assets</t>
        </is>
      </c>
      <c r="F4087" t="n">
        <v>341</v>
      </c>
      <c r="G4087" t="inlineStr">
        <is>
          <t>IDR bn</t>
        </is>
      </c>
      <c r="H4087" t="n">
        <v>112</v>
      </c>
      <c r="I4087" t="inlineStr">
        <is>
          <t>Aset Lancar 340.965 (juta)</t>
        </is>
      </c>
      <c r="J4087" t="inlineStr">
        <is>
          <t>High</t>
        </is>
      </c>
      <c r="M4087" t="inlineStr">
        <is>
          <t>LLM</t>
        </is>
      </c>
      <c r="N4087" t="inlineStr">
        <is>
          <t>2026-04-19</t>
        </is>
      </c>
      <c r="O4087" t="inlineStr">
        <is>
          <t>AI</t>
        </is>
      </c>
    </row>
    <row r="4088">
      <c r="A4088" t="inlineStr">
        <is>
          <t>PT Pinago Utama Tbk</t>
        </is>
      </c>
      <c r="B4088" t="inlineStr">
        <is>
          <t>PNGO_2023_AR.pdf</t>
        </is>
      </c>
      <c r="C4088" t="n">
        <v>2023</v>
      </c>
      <c r="D4088" t="inlineStr">
        <is>
          <t>Financial</t>
        </is>
      </c>
      <c r="E4088" t="inlineStr">
        <is>
          <t>Non-Current Assets</t>
        </is>
      </c>
      <c r="F4088" t="n">
        <v>1148</v>
      </c>
      <c r="G4088" t="inlineStr">
        <is>
          <t>IDR bn</t>
        </is>
      </c>
      <c r="H4088" t="n">
        <v>112</v>
      </c>
      <c r="I4088" t="inlineStr">
        <is>
          <t>Aset Tidak Lancar 1.148.184 (juta)</t>
        </is>
      </c>
      <c r="J4088" t="inlineStr">
        <is>
          <t>High</t>
        </is>
      </c>
      <c r="M4088" t="inlineStr">
        <is>
          <t>LLM</t>
        </is>
      </c>
      <c r="N4088" t="inlineStr">
        <is>
          <t>2026-04-19</t>
        </is>
      </c>
      <c r="O4088" t="inlineStr">
        <is>
          <t>AI</t>
        </is>
      </c>
    </row>
    <row r="4089">
      <c r="A4089" t="inlineStr">
        <is>
          <t>PT Pinago Utama Tbk</t>
        </is>
      </c>
      <c r="B4089" t="inlineStr">
        <is>
          <t>PNGO_2023_AR.pdf</t>
        </is>
      </c>
      <c r="C4089" t="n">
        <v>2023</v>
      </c>
      <c r="D4089" t="inlineStr">
        <is>
          <t>Financial</t>
        </is>
      </c>
      <c r="E4089" t="inlineStr">
        <is>
          <t>Total Liabilities</t>
        </is>
      </c>
      <c r="F4089" t="n">
        <v>692</v>
      </c>
      <c r="G4089" t="inlineStr">
        <is>
          <t>IDR bn</t>
        </is>
      </c>
      <c r="H4089" t="n">
        <v>112</v>
      </c>
      <c r="I4089" t="inlineStr">
        <is>
          <t>Total Liabilitas 692.307 (juta)</t>
        </is>
      </c>
      <c r="J4089" t="inlineStr">
        <is>
          <t>High</t>
        </is>
      </c>
      <c r="M4089" t="inlineStr">
        <is>
          <t>LLM</t>
        </is>
      </c>
      <c r="N4089" t="inlineStr">
        <is>
          <t>2026-04-19</t>
        </is>
      </c>
      <c r="O4089" t="inlineStr">
        <is>
          <t>AI</t>
        </is>
      </c>
    </row>
    <row r="4090">
      <c r="A4090" t="inlineStr">
        <is>
          <t>PT Pinago Utama Tbk</t>
        </is>
      </c>
      <c r="B4090" t="inlineStr">
        <is>
          <t>PNGO_2023_AR.pdf</t>
        </is>
      </c>
      <c r="C4090" t="n">
        <v>2023</v>
      </c>
      <c r="D4090" t="inlineStr">
        <is>
          <t>Financial</t>
        </is>
      </c>
      <c r="E4090" t="inlineStr">
        <is>
          <t>Current Liabilities</t>
        </is>
      </c>
      <c r="F4090" t="n">
        <v>273</v>
      </c>
      <c r="G4090" t="inlineStr">
        <is>
          <t>IDR bn</t>
        </is>
      </c>
      <c r="H4090" t="n">
        <v>112</v>
      </c>
      <c r="I4090" t="inlineStr">
        <is>
          <t>Liabilitas Jangka Pendek 272.538 (juta)</t>
        </is>
      </c>
      <c r="J4090" t="inlineStr">
        <is>
          <t>High</t>
        </is>
      </c>
      <c r="M4090" t="inlineStr">
        <is>
          <t>LLM</t>
        </is>
      </c>
      <c r="N4090" t="inlineStr">
        <is>
          <t>2026-04-19</t>
        </is>
      </c>
      <c r="O4090" t="inlineStr">
        <is>
          <t>AI</t>
        </is>
      </c>
    </row>
    <row r="4091">
      <c r="A4091" t="inlineStr">
        <is>
          <t>PT Pinago Utama Tbk</t>
        </is>
      </c>
      <c r="B4091" t="inlineStr">
        <is>
          <t>PNGO_2023_AR.pdf</t>
        </is>
      </c>
      <c r="C4091" t="n">
        <v>2023</v>
      </c>
      <c r="D4091" t="inlineStr">
        <is>
          <t>Financial</t>
        </is>
      </c>
      <c r="E4091" t="inlineStr">
        <is>
          <t>Non-Current Liabilities</t>
        </is>
      </c>
      <c r="F4091" t="n">
        <v>420</v>
      </c>
      <c r="G4091" t="inlineStr">
        <is>
          <t>IDR bn</t>
        </is>
      </c>
      <c r="H4091" t="n">
        <v>112</v>
      </c>
      <c r="I4091" t="inlineStr">
        <is>
          <t>Liabilitas Jangka Panjang 419.769 (juta)</t>
        </is>
      </c>
      <c r="J4091" t="inlineStr">
        <is>
          <t>High</t>
        </is>
      </c>
      <c r="M4091" t="inlineStr">
        <is>
          <t>LLM</t>
        </is>
      </c>
      <c r="N4091" t="inlineStr">
        <is>
          <t>2026-04-19</t>
        </is>
      </c>
      <c r="O4091" t="inlineStr">
        <is>
          <t>AI</t>
        </is>
      </c>
    </row>
    <row r="4092">
      <c r="A4092" t="inlineStr">
        <is>
          <t>PT Pinago Utama Tbk</t>
        </is>
      </c>
      <c r="B4092" t="inlineStr">
        <is>
          <t>PNGO_2023_AR.pdf</t>
        </is>
      </c>
      <c r="C4092" t="n">
        <v>2023</v>
      </c>
      <c r="D4092" t="inlineStr">
        <is>
          <t>Financial</t>
        </is>
      </c>
      <c r="E4092" t="inlineStr">
        <is>
          <t>Total Equity</t>
        </is>
      </c>
      <c r="F4092" t="n">
        <v>797</v>
      </c>
      <c r="G4092" t="inlineStr">
        <is>
          <t>IDR bn</t>
        </is>
      </c>
      <c r="H4092" t="n">
        <v>112</v>
      </c>
      <c r="I4092" t="inlineStr">
        <is>
          <t>Total Ekuitas 796.842 (juta)</t>
        </is>
      </c>
      <c r="J4092" t="inlineStr">
        <is>
          <t>High</t>
        </is>
      </c>
      <c r="M4092" t="inlineStr">
        <is>
          <t>LLM</t>
        </is>
      </c>
      <c r="N4092" t="inlineStr">
        <is>
          <t>2026-04-19</t>
        </is>
      </c>
      <c r="O4092" t="inlineStr">
        <is>
          <t>AI</t>
        </is>
      </c>
    </row>
    <row r="4093">
      <c r="A4093" t="inlineStr">
        <is>
          <t>PT Pinago Utama Tbk</t>
        </is>
      </c>
      <c r="B4093" t="inlineStr">
        <is>
          <t>PNGO_2023_AR.pdf</t>
        </is>
      </c>
      <c r="C4093" t="n">
        <v>2023</v>
      </c>
      <c r="D4093" t="inlineStr">
        <is>
          <t>Financial</t>
        </is>
      </c>
      <c r="E4093" t="inlineStr">
        <is>
          <t>Cash &amp; Cash Equivalents</t>
        </is>
      </c>
      <c r="F4093" t="n">
        <v>29</v>
      </c>
      <c r="G4093" t="inlineStr">
        <is>
          <t>IDR bn</t>
        </is>
      </c>
      <c r="H4093" t="n">
        <v>279</v>
      </c>
      <c r="I4093" t="inlineStr">
        <is>
          <t>Kas dan setara kas 28.709.256.855</t>
        </is>
      </c>
      <c r="J4093" t="inlineStr">
        <is>
          <t>High</t>
        </is>
      </c>
      <c r="M4093" t="inlineStr">
        <is>
          <t>LLM</t>
        </is>
      </c>
      <c r="N4093" t="inlineStr">
        <is>
          <t>2026-04-19</t>
        </is>
      </c>
      <c r="O4093" t="inlineStr">
        <is>
          <t>AI</t>
        </is>
      </c>
    </row>
    <row r="4094">
      <c r="A4094" t="inlineStr">
        <is>
          <t>PT Pinago Utama Tbk</t>
        </is>
      </c>
      <c r="B4094" t="inlineStr">
        <is>
          <t>PNGO_2023_AR.pdf</t>
        </is>
      </c>
      <c r="C4094" t="n">
        <v>2023</v>
      </c>
      <c r="D4094" t="inlineStr">
        <is>
          <t>Financial</t>
        </is>
      </c>
      <c r="E4094" t="inlineStr">
        <is>
          <t>Short-term Bank Loans</t>
        </is>
      </c>
      <c r="F4094" t="n">
        <v>99</v>
      </c>
      <c r="G4094" t="inlineStr">
        <is>
          <t>IDR bn</t>
        </is>
      </c>
      <c r="H4094" t="n">
        <v>280</v>
      </c>
      <c r="I4094" t="inlineStr">
        <is>
          <t>Utang bank jangka pendek 99.100.000.000</t>
        </is>
      </c>
      <c r="J4094" t="inlineStr">
        <is>
          <t>High</t>
        </is>
      </c>
      <c r="M4094" t="inlineStr">
        <is>
          <t>LLM</t>
        </is>
      </c>
      <c r="N4094" t="inlineStr">
        <is>
          <t>2026-04-19</t>
        </is>
      </c>
      <c r="O4094" t="inlineStr">
        <is>
          <t>AI</t>
        </is>
      </c>
    </row>
    <row r="4095">
      <c r="A4095" t="inlineStr">
        <is>
          <t>PT Pinago Utama Tbk</t>
        </is>
      </c>
      <c r="B4095" t="inlineStr">
        <is>
          <t>PNGO_2023_AR.pdf</t>
        </is>
      </c>
      <c r="C4095" t="n">
        <v>2023</v>
      </c>
      <c r="D4095" t="inlineStr">
        <is>
          <t>Financial</t>
        </is>
      </c>
      <c r="E4095" t="inlineStr">
        <is>
          <t>Current Portion LT Bank Loans</t>
        </is>
      </c>
      <c r="F4095" t="n">
        <v>91</v>
      </c>
      <c r="G4095" t="inlineStr">
        <is>
          <t>IDR bn</t>
        </is>
      </c>
      <c r="H4095" t="n">
        <v>280</v>
      </c>
      <c r="I4095" t="inlineStr">
        <is>
          <t>Utang bank (current) 90.833.333.333</t>
        </is>
      </c>
      <c r="J4095" t="inlineStr">
        <is>
          <t>High</t>
        </is>
      </c>
      <c r="M4095" t="inlineStr">
        <is>
          <t>LLM</t>
        </is>
      </c>
      <c r="N4095" t="inlineStr">
        <is>
          <t>2026-04-19</t>
        </is>
      </c>
      <c r="O4095" t="inlineStr">
        <is>
          <t>AI</t>
        </is>
      </c>
    </row>
    <row r="4096">
      <c r="A4096" t="inlineStr">
        <is>
          <t>PT Pinago Utama Tbk</t>
        </is>
      </c>
      <c r="B4096" t="inlineStr">
        <is>
          <t>PNGO_2023_AR.pdf</t>
        </is>
      </c>
      <c r="C4096" t="n">
        <v>2023</v>
      </c>
      <c r="D4096" t="inlineStr">
        <is>
          <t>Financial</t>
        </is>
      </c>
      <c r="E4096" t="inlineStr">
        <is>
          <t>Long-term Bank Loans</t>
        </is>
      </c>
      <c r="F4096" t="n">
        <v>346</v>
      </c>
      <c r="G4096" t="inlineStr">
        <is>
          <t>IDR bn</t>
        </is>
      </c>
      <c r="H4096" t="n">
        <v>280</v>
      </c>
      <c r="I4096" t="inlineStr">
        <is>
          <t>Utang bank (LT) 345.684.282.633</t>
        </is>
      </c>
      <c r="J4096" t="inlineStr">
        <is>
          <t>High</t>
        </is>
      </c>
      <c r="M4096" t="inlineStr">
        <is>
          <t>LLM</t>
        </is>
      </c>
      <c r="N4096" t="inlineStr">
        <is>
          <t>2026-04-19</t>
        </is>
      </c>
      <c r="O4096" t="inlineStr">
        <is>
          <t>AI</t>
        </is>
      </c>
    </row>
    <row r="4097">
      <c r="A4097" t="inlineStr">
        <is>
          <t>PT Pinago Utama Tbk</t>
        </is>
      </c>
      <c r="B4097" t="inlineStr">
        <is>
          <t>PNGO_2023_AR.pdf</t>
        </is>
      </c>
      <c r="C4097" t="n">
        <v>2023</v>
      </c>
      <c r="D4097" t="inlineStr">
        <is>
          <t>Financial</t>
        </is>
      </c>
      <c r="E4097" t="inlineStr">
        <is>
          <t>Gross Bank Debt</t>
        </is>
      </c>
      <c r="F4097" t="n">
        <v>536</v>
      </c>
      <c r="G4097" t="inlineStr">
        <is>
          <t>IDR bn</t>
        </is>
      </c>
      <c r="H4097" t="n">
        <v>280</v>
      </c>
      <c r="I4097" t="inlineStr">
        <is>
          <t>Calculated: 99.10+90.83+345.68 = 535.62 bn</t>
        </is>
      </c>
      <c r="J4097" t="inlineStr">
        <is>
          <t>High</t>
        </is>
      </c>
      <c r="M4097" t="inlineStr">
        <is>
          <t>LLM</t>
        </is>
      </c>
      <c r="N4097" t="inlineStr">
        <is>
          <t>2026-04-19</t>
        </is>
      </c>
      <c r="O4097" t="inlineStr">
        <is>
          <t>AI</t>
        </is>
      </c>
    </row>
    <row r="4098">
      <c r="A4098" t="inlineStr">
        <is>
          <t>PT Pinago Utama Tbk</t>
        </is>
      </c>
      <c r="B4098" t="inlineStr">
        <is>
          <t>PNGO_2023_AR.pdf</t>
        </is>
      </c>
      <c r="C4098" t="n">
        <v>2023</v>
      </c>
      <c r="D4098" t="inlineStr">
        <is>
          <t>Financial</t>
        </is>
      </c>
      <c r="E4098" t="inlineStr">
        <is>
          <t>Trade Receivables (net)</t>
        </is>
      </c>
      <c r="F4098" t="n">
        <v>61</v>
      </c>
      <c r="G4098" t="inlineStr">
        <is>
          <t>IDR bn</t>
        </is>
      </c>
      <c r="H4098" t="n">
        <v>279</v>
      </c>
      <c r="I4098" t="inlineStr">
        <is>
          <t>Piutang usaha 53.321 + 7.947 = 61.27 bn</t>
        </is>
      </c>
      <c r="J4098" t="inlineStr">
        <is>
          <t>High</t>
        </is>
      </c>
      <c r="M4098" t="inlineStr">
        <is>
          <t>LLM</t>
        </is>
      </c>
      <c r="N4098" t="inlineStr">
        <is>
          <t>2026-04-19</t>
        </is>
      </c>
      <c r="O4098" t="inlineStr">
        <is>
          <t>AI</t>
        </is>
      </c>
    </row>
    <row r="4099">
      <c r="A4099" t="inlineStr">
        <is>
          <t>PT Pinago Utama Tbk</t>
        </is>
      </c>
      <c r="B4099" t="inlineStr">
        <is>
          <t>PNGO_2023_AR.pdf</t>
        </is>
      </c>
      <c r="C4099" t="n">
        <v>2023</v>
      </c>
      <c r="D4099" t="inlineStr">
        <is>
          <t>Financial</t>
        </is>
      </c>
      <c r="E4099" t="inlineStr">
        <is>
          <t>Inventories (net)</t>
        </is>
      </c>
      <c r="F4099" t="n">
        <v>160</v>
      </c>
      <c r="G4099" t="inlineStr">
        <is>
          <t>IDR bn</t>
        </is>
      </c>
      <c r="H4099" t="n">
        <v>279</v>
      </c>
      <c r="I4099" t="inlineStr">
        <is>
          <t>Persediaan – bersih 160.415.519.389</t>
        </is>
      </c>
      <c r="J4099" t="inlineStr">
        <is>
          <t>High</t>
        </is>
      </c>
      <c r="M4099" t="inlineStr">
        <is>
          <t>LLM</t>
        </is>
      </c>
      <c r="N4099" t="inlineStr">
        <is>
          <t>2026-04-19</t>
        </is>
      </c>
      <c r="O4099" t="inlineStr">
        <is>
          <t>AI</t>
        </is>
      </c>
    </row>
    <row r="4100">
      <c r="A4100" t="inlineStr">
        <is>
          <t>PT Pinago Utama Tbk</t>
        </is>
      </c>
      <c r="B4100" t="inlineStr">
        <is>
          <t>PNGO_2023_AR.pdf</t>
        </is>
      </c>
      <c r="C4100" t="n">
        <v>2023</v>
      </c>
      <c r="D4100" t="inlineStr">
        <is>
          <t>Financial</t>
        </is>
      </c>
      <c r="E4100" t="inlineStr">
        <is>
          <t>CFO</t>
        </is>
      </c>
      <c r="F4100" t="n">
        <v>364</v>
      </c>
      <c r="G4100" t="inlineStr">
        <is>
          <t>IDR bn</t>
        </is>
      </c>
      <c r="H4100" t="n">
        <v>114</v>
      </c>
      <c r="I4100" t="inlineStr">
        <is>
          <t>Arus Kas dari Aktivitas Operasi 363.825 (juta)</t>
        </is>
      </c>
      <c r="J4100" t="inlineStr">
        <is>
          <t>High</t>
        </is>
      </c>
      <c r="M4100" t="inlineStr">
        <is>
          <t>LLM</t>
        </is>
      </c>
      <c r="N4100" t="inlineStr">
        <is>
          <t>2026-04-19</t>
        </is>
      </c>
      <c r="O4100" t="inlineStr">
        <is>
          <t>AI</t>
        </is>
      </c>
    </row>
    <row r="4101">
      <c r="A4101" t="inlineStr">
        <is>
          <t>PT Pinago Utama Tbk</t>
        </is>
      </c>
      <c r="B4101" t="inlineStr">
        <is>
          <t>PNGO_2023_AR.pdf</t>
        </is>
      </c>
      <c r="C4101" t="n">
        <v>2023</v>
      </c>
      <c r="D4101" t="inlineStr">
        <is>
          <t>Financial</t>
        </is>
      </c>
      <c r="E4101" t="inlineStr">
        <is>
          <t>CFI</t>
        </is>
      </c>
      <c r="F4101" t="n">
        <v>-153</v>
      </c>
      <c r="G4101" t="inlineStr">
        <is>
          <t>IDR bn</t>
        </is>
      </c>
      <c r="H4101" t="n">
        <v>114</v>
      </c>
      <c r="I4101" t="inlineStr">
        <is>
          <t>Arus Kas dari Aktivitas Investasi (152.915)</t>
        </is>
      </c>
      <c r="J4101" t="inlineStr">
        <is>
          <t>High</t>
        </is>
      </c>
      <c r="M4101" t="inlineStr">
        <is>
          <t>LLM</t>
        </is>
      </c>
      <c r="N4101" t="inlineStr">
        <is>
          <t>2026-04-19</t>
        </is>
      </c>
      <c r="O4101" t="inlineStr">
        <is>
          <t>AI</t>
        </is>
      </c>
    </row>
    <row r="4102">
      <c r="A4102" t="inlineStr">
        <is>
          <t>PT Pinago Utama Tbk</t>
        </is>
      </c>
      <c r="B4102" t="inlineStr">
        <is>
          <t>PNGO_2023_AR.pdf</t>
        </is>
      </c>
      <c r="C4102" t="n">
        <v>2023</v>
      </c>
      <c r="D4102" t="inlineStr">
        <is>
          <t>Financial</t>
        </is>
      </c>
      <c r="E4102" t="inlineStr">
        <is>
          <t>CFF</t>
        </is>
      </c>
      <c r="F4102" t="n">
        <v>-254</v>
      </c>
      <c r="G4102" t="inlineStr">
        <is>
          <t>IDR bn</t>
        </is>
      </c>
      <c r="H4102" t="n">
        <v>114</v>
      </c>
      <c r="I4102" t="inlineStr">
        <is>
          <t>Arus Kas dari Aktivitas Pendanaan (254.397)</t>
        </is>
      </c>
      <c r="J4102" t="inlineStr">
        <is>
          <t>High</t>
        </is>
      </c>
      <c r="M4102" t="inlineStr">
        <is>
          <t>LLM</t>
        </is>
      </c>
      <c r="N4102" t="inlineStr">
        <is>
          <t>2026-04-19</t>
        </is>
      </c>
      <c r="O4102" t="inlineStr">
        <is>
          <t>AI</t>
        </is>
      </c>
    </row>
    <row r="4103">
      <c r="A4103" t="inlineStr">
        <is>
          <t>PT Pinago Utama Tbk</t>
        </is>
      </c>
      <c r="B4103" t="inlineStr">
        <is>
          <t>PNGO_2023_AR.pdf</t>
        </is>
      </c>
      <c r="C4103" t="n">
        <v>2023</v>
      </c>
      <c r="D4103" t="inlineStr">
        <is>
          <t>Financial</t>
        </is>
      </c>
      <c r="E4103" t="inlineStr">
        <is>
          <t>Capex (approx CFI)</t>
        </is>
      </c>
      <c r="F4103" t="n">
        <v>153</v>
      </c>
      <c r="G4103" t="inlineStr">
        <is>
          <t>IDR bn</t>
        </is>
      </c>
      <c r="H4103" t="n">
        <v>114</v>
      </c>
      <c r="I4103" t="inlineStr">
        <is>
          <t>Investasi Rp152.915 juta (net cash outflow)</t>
        </is>
      </c>
      <c r="J4103" t="inlineStr">
        <is>
          <t>Medium</t>
        </is>
      </c>
      <c r="M4103" t="inlineStr">
        <is>
          <t>LLM</t>
        </is>
      </c>
      <c r="N4103" t="inlineStr">
        <is>
          <t>2026-04-19</t>
        </is>
      </c>
      <c r="O4103" t="inlineStr">
        <is>
          <t>AI</t>
        </is>
      </c>
    </row>
    <row r="4104">
      <c r="A4104" t="inlineStr">
        <is>
          <t>PT Pinago Utama Tbk</t>
        </is>
      </c>
      <c r="B4104" t="inlineStr">
        <is>
          <t>PNGO_2023_AR.pdf</t>
        </is>
      </c>
      <c r="C4104" t="n">
        <v>2023</v>
      </c>
      <c r="D4104" t="inlineStr">
        <is>
          <t>Financial</t>
        </is>
      </c>
      <c r="E4104" t="inlineStr">
        <is>
          <t>EPS</t>
        </is>
      </c>
      <c r="F4104" t="n">
        <v>245</v>
      </c>
      <c r="G4104" t="inlineStr">
        <is>
          <t>Rp/share</t>
        </is>
      </c>
      <c r="H4104" t="n">
        <v>8</v>
      </c>
      <c r="I4104" t="inlineStr">
        <is>
          <t>Laba Saham 245 (2023, Rp penuh)</t>
        </is>
      </c>
      <c r="J4104" t="inlineStr">
        <is>
          <t>High</t>
        </is>
      </c>
      <c r="M4104" t="inlineStr">
        <is>
          <t>LLM</t>
        </is>
      </c>
      <c r="N4104" t="inlineStr">
        <is>
          <t>2026-04-19</t>
        </is>
      </c>
      <c r="O4104" t="inlineStr">
        <is>
          <t>AI</t>
        </is>
      </c>
    </row>
    <row r="4105">
      <c r="A4105" t="inlineStr">
        <is>
          <t>PT Pinago Utama Tbk</t>
        </is>
      </c>
      <c r="B4105" t="inlineStr">
        <is>
          <t>PNGO_2023_AR.pdf</t>
        </is>
      </c>
      <c r="C4105" t="n">
        <v>2023</v>
      </c>
      <c r="D4105" t="inlineStr">
        <is>
          <t>Financial</t>
        </is>
      </c>
      <c r="E4105" t="inlineStr">
        <is>
          <t>Shares Outstanding</t>
        </is>
      </c>
      <c r="F4105" t="n">
        <v>781250000</v>
      </c>
      <c r="G4105" t="inlineStr">
        <is>
          <t>shares</t>
        </is>
      </c>
      <c r="H4105" t="n">
        <v>11</v>
      </c>
      <c r="I4105" t="inlineStr">
        <is>
          <t>781.250.000 lembar saham</t>
        </is>
      </c>
      <c r="J4105" t="inlineStr">
        <is>
          <t>High</t>
        </is>
      </c>
      <c r="M4105" t="inlineStr">
        <is>
          <t>LLM</t>
        </is>
      </c>
      <c r="N4105" t="inlineStr">
        <is>
          <t>2026-04-19</t>
        </is>
      </c>
      <c r="O4105" t="inlineStr">
        <is>
          <t>AI</t>
        </is>
      </c>
    </row>
    <row r="4106">
      <c r="A4106" t="inlineStr">
        <is>
          <t>PT Pinago Utama Tbk</t>
        </is>
      </c>
      <c r="B4106" t="inlineStr">
        <is>
          <t>PNGO_2023_AR.pdf</t>
        </is>
      </c>
      <c r="C4106" t="n">
        <v>2023</v>
      </c>
      <c r="D4106" t="inlineStr">
        <is>
          <t>Financial</t>
        </is>
      </c>
      <c r="E4106" t="inlineStr">
        <is>
          <t>Closing Price (31 Dec 2023)</t>
        </is>
      </c>
      <c r="F4106" t="n">
        <v>1400</v>
      </c>
      <c r="G4106" t="inlineStr">
        <is>
          <t>Rp/share</t>
        </is>
      </c>
      <c r="H4106" t="n">
        <v>11</v>
      </c>
      <c r="I4106" t="inlineStr">
        <is>
          <t>Kuarter IV 781.250.000 1.800 1.345 1.400 2.019.500</t>
        </is>
      </c>
      <c r="J4106" t="inlineStr">
        <is>
          <t>High</t>
        </is>
      </c>
      <c r="M4106" t="inlineStr">
        <is>
          <t>LLM</t>
        </is>
      </c>
      <c r="N4106" t="inlineStr">
        <is>
          <t>2026-04-19</t>
        </is>
      </c>
      <c r="O4106" t="inlineStr">
        <is>
          <t>AI</t>
        </is>
      </c>
    </row>
    <row r="4107">
      <c r="A4107" t="inlineStr">
        <is>
          <t>PT Pinago Utama Tbk</t>
        </is>
      </c>
      <c r="B4107" t="inlineStr">
        <is>
          <t>PNGO_2023_AR.pdf</t>
        </is>
      </c>
      <c r="C4107" t="n">
        <v>2023</v>
      </c>
      <c r="D4107" t="inlineStr">
        <is>
          <t>Financial</t>
        </is>
      </c>
      <c r="E4107" t="inlineStr">
        <is>
          <t>Final DPS (FY2022 paid 2023)</t>
        </is>
      </c>
      <c r="F4107" t="n">
        <v>60</v>
      </c>
      <c r="G4107" t="inlineStr">
        <is>
          <t>Rp/share</t>
        </is>
      </c>
      <c r="H4107" t="n">
        <v>12</v>
      </c>
      <c r="I4107" t="inlineStr">
        <is>
          <t>Dividen Final Tunai Rp46.875.000.000 atau Rp60/saham</t>
        </is>
      </c>
      <c r="J4107" t="inlineStr">
        <is>
          <t>High</t>
        </is>
      </c>
      <c r="M4107" t="inlineStr">
        <is>
          <t>LLM</t>
        </is>
      </c>
      <c r="N4107" t="inlineStr">
        <is>
          <t>2026-04-19</t>
        </is>
      </c>
      <c r="O4107" t="inlineStr">
        <is>
          <t>AI</t>
        </is>
      </c>
    </row>
    <row r="4108">
      <c r="A4108" t="inlineStr">
        <is>
          <t>PT Pinago Utama Tbk</t>
        </is>
      </c>
      <c r="B4108" t="inlineStr">
        <is>
          <t>PNGO_2023_AR.pdf</t>
        </is>
      </c>
      <c r="C4108" t="n">
        <v>2023</v>
      </c>
      <c r="D4108" t="inlineStr">
        <is>
          <t>Financial</t>
        </is>
      </c>
      <c r="E4108" t="inlineStr">
        <is>
          <t>Interim DPS (FY2023)</t>
        </is>
      </c>
      <c r="F4108" t="n">
        <v>70</v>
      </c>
      <c r="G4108" t="inlineStr">
        <is>
          <t>Rp/share</t>
        </is>
      </c>
      <c r="H4108" t="n">
        <v>12</v>
      </c>
      <c r="I4108" t="inlineStr">
        <is>
          <t>Dividen Tunai Interim Rp54.687.500.000 atau Rp70/saham</t>
        </is>
      </c>
      <c r="J4108" t="inlineStr">
        <is>
          <t>High</t>
        </is>
      </c>
      <c r="M4108" t="inlineStr">
        <is>
          <t>LLM</t>
        </is>
      </c>
      <c r="N4108" t="inlineStr">
        <is>
          <t>2026-04-19</t>
        </is>
      </c>
      <c r="O4108" t="inlineStr">
        <is>
          <t>AI</t>
        </is>
      </c>
    </row>
    <row r="4109">
      <c r="A4109" t="inlineStr">
        <is>
          <t>PT Pinago Utama Tbk</t>
        </is>
      </c>
      <c r="B4109" t="inlineStr">
        <is>
          <t>PNGO_2023_AR.pdf</t>
        </is>
      </c>
      <c r="C4109" t="n">
        <v>2023</v>
      </c>
      <c r="D4109" t="inlineStr">
        <is>
          <t>Financial</t>
        </is>
      </c>
      <c r="E4109" t="inlineStr">
        <is>
          <t>DER</t>
        </is>
      </c>
      <c r="F4109" t="n">
        <v>0.87</v>
      </c>
      <c r="G4109" t="inlineStr">
        <is>
          <t>x</t>
        </is>
      </c>
      <c r="H4109" t="n">
        <v>10</v>
      </c>
      <c r="I4109" t="inlineStr">
        <is>
          <t>Rasio Liabilitas Terhadap Ekuitas 86,88%</t>
        </is>
      </c>
      <c r="J4109" t="inlineStr">
        <is>
          <t>High</t>
        </is>
      </c>
      <c r="M4109" t="inlineStr">
        <is>
          <t>LLM</t>
        </is>
      </c>
      <c r="N4109" t="inlineStr">
        <is>
          <t>2026-04-19</t>
        </is>
      </c>
      <c r="O4109" t="inlineStr">
        <is>
          <t>AI</t>
        </is>
      </c>
    </row>
    <row r="4110">
      <c r="A4110" t="inlineStr">
        <is>
          <t>PT Pinago Utama Tbk</t>
        </is>
      </c>
      <c r="B4110" t="inlineStr">
        <is>
          <t>PNGO_2023_AR.pdf</t>
        </is>
      </c>
      <c r="C4110" t="n">
        <v>2023</v>
      </c>
      <c r="D4110" t="inlineStr">
        <is>
          <t>Financial</t>
        </is>
      </c>
      <c r="E4110" t="inlineStr">
        <is>
          <t>ROA</t>
        </is>
      </c>
      <c r="F4110" t="n">
        <v>0.1287</v>
      </c>
      <c r="G4110" t="inlineStr">
        <is>
          <t>%</t>
        </is>
      </c>
      <c r="H4110" t="n">
        <v>10</v>
      </c>
      <c r="I4110" t="inlineStr">
        <is>
          <t>Laba Bersih Terhadap Aset 12,87%</t>
        </is>
      </c>
      <c r="J4110" t="inlineStr">
        <is>
          <t>High</t>
        </is>
      </c>
      <c r="M4110" t="inlineStr">
        <is>
          <t>LLM</t>
        </is>
      </c>
      <c r="N4110" t="inlineStr">
        <is>
          <t>2026-04-19</t>
        </is>
      </c>
      <c r="O4110" t="inlineStr">
        <is>
          <t>AI</t>
        </is>
      </c>
    </row>
    <row r="4111">
      <c r="A4111" t="inlineStr">
        <is>
          <t>PT Pinago Utama Tbk</t>
        </is>
      </c>
      <c r="B4111" t="inlineStr">
        <is>
          <t>PNGO_2023_AR.pdf</t>
        </is>
      </c>
      <c r="C4111" t="n">
        <v>2023</v>
      </c>
      <c r="D4111" t="inlineStr">
        <is>
          <t>Financial</t>
        </is>
      </c>
      <c r="E4111" t="inlineStr">
        <is>
          <t>ROE</t>
        </is>
      </c>
      <c r="F4111" t="n">
        <v>0.2405</v>
      </c>
      <c r="G4111" t="inlineStr">
        <is>
          <t>%</t>
        </is>
      </c>
      <c r="H4111" t="n">
        <v>10</v>
      </c>
      <c r="I4111" t="inlineStr">
        <is>
          <t>Laba Bersih Terhadap Ekuitas 24,05%</t>
        </is>
      </c>
      <c r="J4111" t="inlineStr">
        <is>
          <t>High</t>
        </is>
      </c>
      <c r="M4111" t="inlineStr">
        <is>
          <t>LLM</t>
        </is>
      </c>
      <c r="N4111" t="inlineStr">
        <is>
          <t>2026-04-19</t>
        </is>
      </c>
      <c r="O4111" t="inlineStr">
        <is>
          <t>AI</t>
        </is>
      </c>
    </row>
    <row r="4112">
      <c r="A4112" t="inlineStr">
        <is>
          <t>PT Pinago Utama Tbk</t>
        </is>
      </c>
      <c r="B4112" t="inlineStr">
        <is>
          <t>PNGO_2023_AR.pdf</t>
        </is>
      </c>
      <c r="C4112" t="n">
        <v>2023</v>
      </c>
      <c r="D4112" t="inlineStr">
        <is>
          <t>Financial</t>
        </is>
      </c>
      <c r="E4112" t="inlineStr">
        <is>
          <t>Current Ratio</t>
        </is>
      </c>
      <c r="F4112" t="n">
        <v>1.25</v>
      </c>
      <c r="G4112" t="inlineStr">
        <is>
          <t>x</t>
        </is>
      </c>
      <c r="H4112" t="n">
        <v>10</v>
      </c>
      <c r="I4112" t="inlineStr">
        <is>
          <t>Rasio Lancar 125,11%</t>
        </is>
      </c>
      <c r="J4112" t="inlineStr">
        <is>
          <t>High</t>
        </is>
      </c>
      <c r="M4112" t="inlineStr">
        <is>
          <t>LLM</t>
        </is>
      </c>
      <c r="N4112" t="inlineStr">
        <is>
          <t>2026-04-19</t>
        </is>
      </c>
      <c r="O4112" t="inlineStr">
        <is>
          <t>AI</t>
        </is>
      </c>
    </row>
    <row r="4113">
      <c r="A4113" t="inlineStr">
        <is>
          <t>PT Pinago Utama Tbk</t>
        </is>
      </c>
      <c r="B4113" t="inlineStr">
        <is>
          <t>PNGO_2023_AR.pdf</t>
        </is>
      </c>
      <c r="C4113" t="n">
        <v>2023</v>
      </c>
      <c r="D4113" t="inlineStr">
        <is>
          <t>Asset</t>
        </is>
      </c>
      <c r="E4113" t="inlineStr">
        <is>
          <t>Palm Mature Area</t>
        </is>
      </c>
      <c r="F4113" t="n">
        <v>11183</v>
      </c>
      <c r="G4113" t="inlineStr">
        <is>
          <t>ha</t>
        </is>
      </c>
      <c r="H4113" t="n">
        <v>109</v>
      </c>
      <c r="I4113" t="inlineStr">
        <is>
          <t>Sumatra Selatan 11.183 81 2.651 19</t>
        </is>
      </c>
      <c r="J4113" t="inlineStr">
        <is>
          <t>High</t>
        </is>
      </c>
      <c r="M4113" t="inlineStr">
        <is>
          <t>LLM</t>
        </is>
      </c>
      <c r="N4113" t="inlineStr">
        <is>
          <t>2026-04-19</t>
        </is>
      </c>
      <c r="O4113" t="inlineStr">
        <is>
          <t>AI</t>
        </is>
      </c>
    </row>
    <row r="4114">
      <c r="A4114" t="inlineStr">
        <is>
          <t>PT Pinago Utama Tbk</t>
        </is>
      </c>
      <c r="B4114" t="inlineStr">
        <is>
          <t>PNGO_2023_AR.pdf</t>
        </is>
      </c>
      <c r="C4114" t="n">
        <v>2023</v>
      </c>
      <c r="D4114" t="inlineStr">
        <is>
          <t>Asset</t>
        </is>
      </c>
      <c r="E4114" t="inlineStr">
        <is>
          <t>Palm Immature Area</t>
        </is>
      </c>
      <c r="F4114" t="n">
        <v>2651</v>
      </c>
      <c r="G4114" t="inlineStr">
        <is>
          <t>ha</t>
        </is>
      </c>
      <c r="H4114" t="n">
        <v>109</v>
      </c>
      <c r="I4114" t="inlineStr">
        <is>
          <t>Belum Menghasilkan 2.651 19</t>
        </is>
      </c>
      <c r="J4114" t="inlineStr">
        <is>
          <t>High</t>
        </is>
      </c>
      <c r="M4114" t="inlineStr">
        <is>
          <t>LLM</t>
        </is>
      </c>
      <c r="N4114" t="inlineStr">
        <is>
          <t>2026-04-19</t>
        </is>
      </c>
      <c r="O4114" t="inlineStr">
        <is>
          <t>AI</t>
        </is>
      </c>
    </row>
    <row r="4115">
      <c r="A4115" t="inlineStr">
        <is>
          <t>PT Pinago Utama Tbk</t>
        </is>
      </c>
      <c r="B4115" t="inlineStr">
        <is>
          <t>PNGO_2023_AR.pdf</t>
        </is>
      </c>
      <c r="C4115" t="n">
        <v>2023</v>
      </c>
      <c r="D4115" t="inlineStr">
        <is>
          <t>Asset</t>
        </is>
      </c>
      <c r="E4115" t="inlineStr">
        <is>
          <t>Palm TM1-4 Area</t>
        </is>
      </c>
      <c r="F4115" t="n">
        <v>1064</v>
      </c>
      <c r="G4115" t="inlineStr">
        <is>
          <t>ha</t>
        </is>
      </c>
      <c r="H4115" t="n">
        <v>108</v>
      </c>
      <c r="I4115" t="inlineStr">
        <is>
          <t>TM 1 - TM 4 1.064</t>
        </is>
      </c>
      <c r="J4115" t="inlineStr">
        <is>
          <t>High</t>
        </is>
      </c>
      <c r="M4115" t="inlineStr">
        <is>
          <t>LLM</t>
        </is>
      </c>
      <c r="N4115" t="inlineStr">
        <is>
          <t>2026-04-19</t>
        </is>
      </c>
      <c r="O4115" t="inlineStr">
        <is>
          <t>AI</t>
        </is>
      </c>
    </row>
    <row r="4116">
      <c r="A4116" t="inlineStr">
        <is>
          <t>PT Pinago Utama Tbk</t>
        </is>
      </c>
      <c r="B4116" t="inlineStr">
        <is>
          <t>PNGO_2023_AR.pdf</t>
        </is>
      </c>
      <c r="C4116" t="n">
        <v>2023</v>
      </c>
      <c r="D4116" t="inlineStr">
        <is>
          <t>Asset</t>
        </is>
      </c>
      <c r="E4116" t="inlineStr">
        <is>
          <t>Palm TM5-14 Area</t>
        </is>
      </c>
      <c r="F4116" t="n">
        <v>8229</v>
      </c>
      <c r="G4116" t="inlineStr">
        <is>
          <t>ha</t>
        </is>
      </c>
      <c r="H4116" t="n">
        <v>108</v>
      </c>
      <c r="I4116" t="inlineStr">
        <is>
          <t>TM 5 - TM 14 8.229</t>
        </is>
      </c>
      <c r="J4116" t="inlineStr">
        <is>
          <t>High</t>
        </is>
      </c>
      <c r="M4116" t="inlineStr">
        <is>
          <t>LLM</t>
        </is>
      </c>
      <c r="N4116" t="inlineStr">
        <is>
          <t>2026-04-19</t>
        </is>
      </c>
      <c r="O4116" t="inlineStr">
        <is>
          <t>AI</t>
        </is>
      </c>
    </row>
    <row r="4117">
      <c r="A4117" t="inlineStr">
        <is>
          <t>PT Pinago Utama Tbk</t>
        </is>
      </c>
      <c r="B4117" t="inlineStr">
        <is>
          <t>PNGO_2023_AR.pdf</t>
        </is>
      </c>
      <c r="C4117" t="n">
        <v>2023</v>
      </c>
      <c r="D4117" t="inlineStr">
        <is>
          <t>Asset</t>
        </is>
      </c>
      <c r="E4117" t="inlineStr">
        <is>
          <t>Palm &gt;TM14 Area</t>
        </is>
      </c>
      <c r="F4117" t="n">
        <v>1890</v>
      </c>
      <c r="G4117" t="inlineStr">
        <is>
          <t>ha</t>
        </is>
      </c>
      <c r="H4117" t="n">
        <v>108</v>
      </c>
      <c r="I4117" t="inlineStr">
        <is>
          <t>&gt; TM 14 1.890</t>
        </is>
      </c>
      <c r="J4117" t="inlineStr">
        <is>
          <t>High</t>
        </is>
      </c>
      <c r="M4117" t="inlineStr">
        <is>
          <t>LLM</t>
        </is>
      </c>
      <c r="N4117" t="inlineStr">
        <is>
          <t>2026-04-19</t>
        </is>
      </c>
      <c r="O4117" t="inlineStr">
        <is>
          <t>AI</t>
        </is>
      </c>
    </row>
    <row r="4118">
      <c r="A4118" t="inlineStr">
        <is>
          <t>PT Pinago Utama Tbk</t>
        </is>
      </c>
      <c r="B4118" t="inlineStr">
        <is>
          <t>PNGO_2023_AR.pdf</t>
        </is>
      </c>
      <c r="C4118" t="n">
        <v>2023</v>
      </c>
      <c r="D4118" t="inlineStr">
        <is>
          <t>Asset</t>
        </is>
      </c>
      <c r="E4118" t="inlineStr">
        <is>
          <t>Rubber Mature Area</t>
        </is>
      </c>
      <c r="F4118" t="n">
        <v>2895</v>
      </c>
      <c r="G4118" t="inlineStr">
        <is>
          <t>ha</t>
        </is>
      </c>
      <c r="H4118" t="n">
        <v>110</v>
      </c>
      <c r="I4118" t="inlineStr">
        <is>
          <t>Sumatra Selatan 2.895 74 995 26 (rubber)</t>
        </is>
      </c>
      <c r="J4118" t="inlineStr">
        <is>
          <t>High</t>
        </is>
      </c>
      <c r="M4118" t="inlineStr">
        <is>
          <t>LLM</t>
        </is>
      </c>
      <c r="N4118" t="inlineStr">
        <is>
          <t>2026-04-19</t>
        </is>
      </c>
      <c r="O4118" t="inlineStr">
        <is>
          <t>AI</t>
        </is>
      </c>
    </row>
    <row r="4119">
      <c r="A4119" t="inlineStr">
        <is>
          <t>PT Pinago Utama Tbk</t>
        </is>
      </c>
      <c r="B4119" t="inlineStr">
        <is>
          <t>PNGO_2023_AR.pdf</t>
        </is>
      </c>
      <c r="C4119" t="n">
        <v>2023</v>
      </c>
      <c r="D4119" t="inlineStr">
        <is>
          <t>Asset</t>
        </is>
      </c>
      <c r="E4119" t="inlineStr">
        <is>
          <t>Rubber Immature Area</t>
        </is>
      </c>
      <c r="F4119" t="n">
        <v>995</v>
      </c>
      <c r="G4119" t="inlineStr">
        <is>
          <t>ha</t>
        </is>
      </c>
      <c r="H4119" t="n">
        <v>110</v>
      </c>
      <c r="I4119" t="inlineStr">
        <is>
          <t>Belum Menghasilkan 995 (rubber)</t>
        </is>
      </c>
      <c r="J4119" t="inlineStr">
        <is>
          <t>High</t>
        </is>
      </c>
      <c r="M4119" t="inlineStr">
        <is>
          <t>LLM</t>
        </is>
      </c>
      <c r="N4119" t="inlineStr">
        <is>
          <t>2026-04-19</t>
        </is>
      </c>
      <c r="O4119" t="inlineStr">
        <is>
          <t>AI</t>
        </is>
      </c>
    </row>
    <row r="4120">
      <c r="A4120" t="inlineStr">
        <is>
          <t>PT Pinago Utama Tbk</t>
        </is>
      </c>
      <c r="B4120" t="inlineStr">
        <is>
          <t>PNGO_2023_AR.pdf</t>
        </is>
      </c>
      <c r="C4120" t="n">
        <v>2023</v>
      </c>
      <c r="D4120" t="inlineStr">
        <is>
          <t>Asset</t>
        </is>
      </c>
      <c r="E4120" t="inlineStr">
        <is>
          <t>Palm Oil Mill (PMKS) Count</t>
        </is>
      </c>
      <c r="F4120" t="n">
        <v>1</v>
      </c>
      <c r="G4120" t="inlineStr">
        <is>
          <t>count</t>
        </is>
      </c>
      <c r="H4120" t="n">
        <v>107</v>
      </c>
      <c r="I4120" t="inlineStr">
        <is>
          <t>1 (satu) pabrik pengolahan kelapa sawit</t>
        </is>
      </c>
      <c r="J4120" t="inlineStr">
        <is>
          <t>High</t>
        </is>
      </c>
      <c r="M4120" t="inlineStr">
        <is>
          <t>LLM</t>
        </is>
      </c>
      <c r="N4120" t="inlineStr">
        <is>
          <t>2026-04-19</t>
        </is>
      </c>
      <c r="O4120" t="inlineStr">
        <is>
          <t>AI</t>
        </is>
      </c>
    </row>
    <row r="4121">
      <c r="A4121" t="inlineStr">
        <is>
          <t>PT Pinago Utama Tbk</t>
        </is>
      </c>
      <c r="B4121" t="inlineStr">
        <is>
          <t>PNGO_2023_AR.pdf</t>
        </is>
      </c>
      <c r="C4121" t="n">
        <v>2023</v>
      </c>
      <c r="D4121" t="inlineStr">
        <is>
          <t>Asset</t>
        </is>
      </c>
      <c r="E4121" t="inlineStr">
        <is>
          <t>PMKS Installed Capacity</t>
        </is>
      </c>
      <c r="F4121" t="n">
        <v>120</v>
      </c>
      <c r="G4121" t="inlineStr">
        <is>
          <t>tph</t>
        </is>
      </c>
      <c r="H4121" t="n">
        <v>107</v>
      </c>
      <c r="I4121" t="inlineStr">
        <is>
          <t>total kapasitas 120 ton Tbs per jam</t>
        </is>
      </c>
      <c r="J4121" t="inlineStr">
        <is>
          <t>High</t>
        </is>
      </c>
      <c r="M4121" t="inlineStr">
        <is>
          <t>LLM</t>
        </is>
      </c>
      <c r="N4121" t="inlineStr">
        <is>
          <t>2026-04-19</t>
        </is>
      </c>
      <c r="O4121" t="inlineStr">
        <is>
          <t>AI</t>
        </is>
      </c>
    </row>
    <row r="4122">
      <c r="A4122" t="inlineStr">
        <is>
          <t>PT Pinago Utama Tbk</t>
        </is>
      </c>
      <c r="B4122" t="inlineStr">
        <is>
          <t>PNGO_2023_AR.pdf</t>
        </is>
      </c>
      <c r="C4122" t="n">
        <v>2023</v>
      </c>
      <c r="D4122" t="inlineStr">
        <is>
          <t>Asset</t>
        </is>
      </c>
      <c r="E4122" t="inlineStr">
        <is>
          <t>PMKS Used Capacity</t>
        </is>
      </c>
      <c r="F4122" t="n">
        <v>83.5</v>
      </c>
      <c r="G4122" t="inlineStr">
        <is>
          <t>tph</t>
        </is>
      </c>
      <c r="H4122" t="n">
        <v>107</v>
      </c>
      <c r="I4122" t="inlineStr">
        <is>
          <t>Used Capacity of 83.5 Tons Tbs / Hour</t>
        </is>
      </c>
      <c r="J4122" t="inlineStr">
        <is>
          <t>High</t>
        </is>
      </c>
      <c r="M4122" t="inlineStr">
        <is>
          <t>LLM</t>
        </is>
      </c>
      <c r="N4122" t="inlineStr">
        <is>
          <t>2026-04-19</t>
        </is>
      </c>
      <c r="O4122" t="inlineStr">
        <is>
          <t>AI</t>
        </is>
      </c>
    </row>
    <row r="4123">
      <c r="A4123" t="inlineStr">
        <is>
          <t>PT Pinago Utama Tbk</t>
        </is>
      </c>
      <c r="B4123" t="inlineStr">
        <is>
          <t>PNGO_2023_AR.pdf</t>
        </is>
      </c>
      <c r="C4123" t="n">
        <v>2023</v>
      </c>
      <c r="D4123" t="inlineStr">
        <is>
          <t>Asset</t>
        </is>
      </c>
      <c r="E4123" t="inlineStr">
        <is>
          <t>Crumb Rubber Plant Count</t>
        </is>
      </c>
      <c r="F4123" t="n">
        <v>1</v>
      </c>
      <c r="G4123" t="inlineStr">
        <is>
          <t>count</t>
        </is>
      </c>
      <c r="H4123" t="n">
        <v>109</v>
      </c>
      <c r="I4123" t="inlineStr">
        <is>
          <t>1 (satu) pabrik Crumb Rubber</t>
        </is>
      </c>
      <c r="J4123" t="inlineStr">
        <is>
          <t>High</t>
        </is>
      </c>
      <c r="M4123" t="inlineStr">
        <is>
          <t>LLM</t>
        </is>
      </c>
      <c r="N4123" t="inlineStr">
        <is>
          <t>2026-04-19</t>
        </is>
      </c>
      <c r="O4123" t="inlineStr">
        <is>
          <t>AI</t>
        </is>
      </c>
    </row>
    <row r="4124">
      <c r="A4124" t="inlineStr">
        <is>
          <t>PT Pinago Utama Tbk</t>
        </is>
      </c>
      <c r="B4124" t="inlineStr">
        <is>
          <t>PNGO_2023_AR.pdf</t>
        </is>
      </c>
      <c r="C4124" t="n">
        <v>2023</v>
      </c>
      <c r="D4124" t="inlineStr">
        <is>
          <t>Asset</t>
        </is>
      </c>
      <c r="E4124" t="inlineStr">
        <is>
          <t>Crumb Rubber Installed Capacity</t>
        </is>
      </c>
      <c r="F4124" t="n">
        <v>6000</v>
      </c>
      <c r="G4124" t="inlineStr">
        <is>
          <t>t/month</t>
        </is>
      </c>
      <c r="H4124" t="n">
        <v>109</v>
      </c>
      <c r="I4124" t="inlineStr">
        <is>
          <t>kapasitas terpasang 6.000 ton per bulan</t>
        </is>
      </c>
      <c r="J4124" t="inlineStr">
        <is>
          <t>High</t>
        </is>
      </c>
      <c r="M4124" t="inlineStr">
        <is>
          <t>LLM</t>
        </is>
      </c>
      <c r="N4124" t="inlineStr">
        <is>
          <t>2026-04-19</t>
        </is>
      </c>
      <c r="O4124" t="inlineStr">
        <is>
          <t>AI</t>
        </is>
      </c>
    </row>
    <row r="4125">
      <c r="A4125" t="inlineStr">
        <is>
          <t>PT Pinago Utama Tbk</t>
        </is>
      </c>
      <c r="B4125" t="inlineStr">
        <is>
          <t>PNGO_2023_AR.pdf</t>
        </is>
      </c>
      <c r="C4125" t="n">
        <v>2023</v>
      </c>
      <c r="D4125" t="inlineStr">
        <is>
          <t>Asset</t>
        </is>
      </c>
      <c r="E4125" t="inlineStr">
        <is>
          <t>Crumb Rubber Used Capacity</t>
        </is>
      </c>
      <c r="F4125" t="n">
        <v>2653</v>
      </c>
      <c r="G4125" t="inlineStr">
        <is>
          <t>t/month</t>
        </is>
      </c>
      <c r="H4125" t="n">
        <v>109</v>
      </c>
      <c r="I4125" t="inlineStr">
        <is>
          <t>kapasitas terpakai 2.653 ton/bulan</t>
        </is>
      </c>
      <c r="J4125" t="inlineStr">
        <is>
          <t>High</t>
        </is>
      </c>
      <c r="M4125" t="inlineStr">
        <is>
          <t>LLM</t>
        </is>
      </c>
      <c r="N4125" t="inlineStr">
        <is>
          <t>2026-04-19</t>
        </is>
      </c>
      <c r="O4125" t="inlineStr">
        <is>
          <t>AI</t>
        </is>
      </c>
    </row>
    <row r="4126">
      <c r="A4126" t="inlineStr">
        <is>
          <t>PT Pinago Utama Tbk</t>
        </is>
      </c>
      <c r="B4126" t="inlineStr">
        <is>
          <t>PNGO_2023_AR.pdf</t>
        </is>
      </c>
      <c r="C4126" t="n">
        <v>2023</v>
      </c>
      <c r="D4126" t="inlineStr">
        <is>
          <t>Asset</t>
        </is>
      </c>
      <c r="E4126" t="inlineStr">
        <is>
          <t>RSS Plant Installed Capacity</t>
        </is>
      </c>
      <c r="F4126" t="n">
        <v>600</v>
      </c>
      <c r="G4126" t="inlineStr">
        <is>
          <t>t/month</t>
        </is>
      </c>
      <c r="H4126" t="n">
        <v>109</v>
      </c>
      <c r="I4126" t="inlineStr">
        <is>
          <t>kapasitas terpasang 600 ton per bulan</t>
        </is>
      </c>
      <c r="J4126" t="inlineStr">
        <is>
          <t>High</t>
        </is>
      </c>
      <c r="M4126" t="inlineStr">
        <is>
          <t>LLM</t>
        </is>
      </c>
      <c r="N4126" t="inlineStr">
        <is>
          <t>2026-04-19</t>
        </is>
      </c>
      <c r="O4126" t="inlineStr">
        <is>
          <t>AI</t>
        </is>
      </c>
    </row>
    <row r="4127">
      <c r="A4127" t="inlineStr">
        <is>
          <t>PT Pinago Utama Tbk</t>
        </is>
      </c>
      <c r="B4127" t="inlineStr">
        <is>
          <t>PNGO_2023_AR.pdf</t>
        </is>
      </c>
      <c r="C4127" t="n">
        <v>2023</v>
      </c>
      <c r="D4127" t="inlineStr">
        <is>
          <t>Asset</t>
        </is>
      </c>
      <c r="E4127" t="inlineStr">
        <is>
          <t>RSS Used Capacity</t>
        </is>
      </c>
      <c r="F4127" t="n">
        <v>110</v>
      </c>
      <c r="G4127" t="inlineStr">
        <is>
          <t>t/month</t>
        </is>
      </c>
      <c r="H4127" t="n">
        <v>109</v>
      </c>
      <c r="I4127" t="inlineStr">
        <is>
          <t>kapasitas terpakai 110 ton/bulan</t>
        </is>
      </c>
      <c r="J4127" t="inlineStr">
        <is>
          <t>High</t>
        </is>
      </c>
      <c r="M4127" t="inlineStr">
        <is>
          <t>LLM</t>
        </is>
      </c>
      <c r="N4127" t="inlineStr">
        <is>
          <t>2026-04-19</t>
        </is>
      </c>
      <c r="O4127" t="inlineStr">
        <is>
          <t>AI</t>
        </is>
      </c>
    </row>
    <row r="4128">
      <c r="A4128" t="inlineStr">
        <is>
          <t>PT Pinago Utama Tbk</t>
        </is>
      </c>
      <c r="B4128" t="inlineStr">
        <is>
          <t>PNGO_2023_AR.pdf</t>
        </is>
      </c>
      <c r="C4128" t="n">
        <v>2023</v>
      </c>
      <c r="D4128" t="inlineStr">
        <is>
          <t>Operation</t>
        </is>
      </c>
      <c r="E4128" t="inlineStr">
        <is>
          <t>FFB Core Production</t>
        </is>
      </c>
      <c r="F4128" t="n">
        <v>179913</v>
      </c>
      <c r="G4128" t="inlineStr">
        <is>
          <t>t</t>
        </is>
      </c>
      <c r="H4128" t="n">
        <v>108</v>
      </c>
      <c r="I4128" t="inlineStr">
        <is>
          <t>Produksi Inti 179.913 (Ton) 2023</t>
        </is>
      </c>
      <c r="J4128" t="inlineStr">
        <is>
          <t>High</t>
        </is>
      </c>
      <c r="M4128" t="inlineStr">
        <is>
          <t>LLM</t>
        </is>
      </c>
      <c r="N4128" t="inlineStr">
        <is>
          <t>2026-04-19</t>
        </is>
      </c>
      <c r="O4128" t="inlineStr">
        <is>
          <t>AI</t>
        </is>
      </c>
    </row>
    <row r="4129">
      <c r="A4129" t="inlineStr">
        <is>
          <t>PT Pinago Utama Tbk</t>
        </is>
      </c>
      <c r="B4129" t="inlineStr">
        <is>
          <t>PNGO_2023_AR.pdf</t>
        </is>
      </c>
      <c r="C4129" t="n">
        <v>2023</v>
      </c>
      <c r="D4129" t="inlineStr">
        <is>
          <t>Operation</t>
        </is>
      </c>
      <c r="E4129" t="inlineStr">
        <is>
          <t>FFB Plasma Purchase</t>
        </is>
      </c>
      <c r="F4129" t="n">
        <v>30967</v>
      </c>
      <c r="G4129" t="inlineStr">
        <is>
          <t>t</t>
        </is>
      </c>
      <c r="H4129" t="n">
        <v>108</v>
      </c>
      <c r="I4129" t="inlineStr">
        <is>
          <t>Pembelian Plasma 30.967 (Ton) 2023</t>
        </is>
      </c>
      <c r="J4129" t="inlineStr">
        <is>
          <t>High</t>
        </is>
      </c>
      <c r="M4129" t="inlineStr">
        <is>
          <t>LLM</t>
        </is>
      </c>
      <c r="N4129" t="inlineStr">
        <is>
          <t>2026-04-19</t>
        </is>
      </c>
      <c r="O4129" t="inlineStr">
        <is>
          <t>AI</t>
        </is>
      </c>
    </row>
    <row r="4130">
      <c r="A4130" t="inlineStr">
        <is>
          <t>PT Pinago Utama Tbk</t>
        </is>
      </c>
      <c r="B4130" t="inlineStr">
        <is>
          <t>PNGO_2023_AR.pdf</t>
        </is>
      </c>
      <c r="C4130" t="n">
        <v>2023</v>
      </c>
      <c r="D4130" t="inlineStr">
        <is>
          <t>Operation</t>
        </is>
      </c>
      <c r="E4130" t="inlineStr">
        <is>
          <t>FFB Third-Party Purchase</t>
        </is>
      </c>
      <c r="F4130" t="n">
        <v>227544</v>
      </c>
      <c r="G4130" t="inlineStr">
        <is>
          <t>t</t>
        </is>
      </c>
      <c r="H4130" t="n">
        <v>108</v>
      </c>
      <c r="I4130" t="inlineStr">
        <is>
          <t>Pembelian Pihak Ketiga 227.544 (Ton)</t>
        </is>
      </c>
      <c r="J4130" t="inlineStr">
        <is>
          <t>High</t>
        </is>
      </c>
      <c r="M4130" t="inlineStr">
        <is>
          <t>LLM</t>
        </is>
      </c>
      <c r="N4130" t="inlineStr">
        <is>
          <t>2026-04-19</t>
        </is>
      </c>
      <c r="O4130" t="inlineStr">
        <is>
          <t>AI</t>
        </is>
      </c>
    </row>
    <row r="4131">
      <c r="A4131" t="inlineStr">
        <is>
          <t>PT Pinago Utama Tbk</t>
        </is>
      </c>
      <c r="B4131" t="inlineStr">
        <is>
          <t>PNGO_2023_AR.pdf</t>
        </is>
      </c>
      <c r="C4131" t="n">
        <v>2023</v>
      </c>
      <c r="D4131" t="inlineStr">
        <is>
          <t>Operation</t>
        </is>
      </c>
      <c r="E4131" t="inlineStr">
        <is>
          <t>Total FFB Processed</t>
        </is>
      </c>
      <c r="F4131" t="n">
        <v>438424</v>
      </c>
      <c r="G4131" t="inlineStr">
        <is>
          <t>t</t>
        </is>
      </c>
      <c r="H4131" t="n">
        <v>108</v>
      </c>
      <c r="I4131" t="inlineStr">
        <is>
          <t>Total 438.424 (Ton) 2023</t>
        </is>
      </c>
      <c r="J4131" t="inlineStr">
        <is>
          <t>High</t>
        </is>
      </c>
      <c r="M4131" t="inlineStr">
        <is>
          <t>LLM</t>
        </is>
      </c>
      <c r="N4131" t="inlineStr">
        <is>
          <t>2026-04-19</t>
        </is>
      </c>
      <c r="O4131" t="inlineStr">
        <is>
          <t>AI</t>
        </is>
      </c>
    </row>
    <row r="4132">
      <c r="A4132" t="inlineStr">
        <is>
          <t>PT Pinago Utama Tbk</t>
        </is>
      </c>
      <c r="B4132" t="inlineStr">
        <is>
          <t>PNGO_2023_AR.pdf</t>
        </is>
      </c>
      <c r="C4132" t="n">
        <v>2023</v>
      </c>
      <c r="D4132" t="inlineStr">
        <is>
          <t>Operation</t>
        </is>
      </c>
      <c r="E4132" t="inlineStr">
        <is>
          <t>CPO Production</t>
        </is>
      </c>
      <c r="F4132" t="n">
        <v>99766</v>
      </c>
      <c r="G4132" t="inlineStr">
        <is>
          <t>t</t>
        </is>
      </c>
      <c r="H4132" t="n">
        <v>109</v>
      </c>
      <c r="I4132" t="inlineStr">
        <is>
          <t>CPO 99.766 (Ton) 2023</t>
        </is>
      </c>
      <c r="J4132" t="inlineStr">
        <is>
          <t>High</t>
        </is>
      </c>
      <c r="M4132" t="inlineStr">
        <is>
          <t>LLM</t>
        </is>
      </c>
      <c r="N4132" t="inlineStr">
        <is>
          <t>2026-04-19</t>
        </is>
      </c>
      <c r="O4132" t="inlineStr">
        <is>
          <t>AI</t>
        </is>
      </c>
    </row>
    <row r="4133">
      <c r="A4133" t="inlineStr">
        <is>
          <t>PT Pinago Utama Tbk</t>
        </is>
      </c>
      <c r="B4133" t="inlineStr">
        <is>
          <t>PNGO_2023_AR.pdf</t>
        </is>
      </c>
      <c r="C4133" t="n">
        <v>2023</v>
      </c>
      <c r="D4133" t="inlineStr">
        <is>
          <t>Operation</t>
        </is>
      </c>
      <c r="E4133" t="inlineStr">
        <is>
          <t>PK (Kernel) Production</t>
        </is>
      </c>
      <c r="F4133" t="n">
        <v>19947</v>
      </c>
      <c r="G4133" t="inlineStr">
        <is>
          <t>t</t>
        </is>
      </c>
      <c r="H4133" t="n">
        <v>109</v>
      </c>
      <c r="I4133" t="inlineStr">
        <is>
          <t>PK 19.947 (Ton) 2023</t>
        </is>
      </c>
      <c r="J4133" t="inlineStr">
        <is>
          <t>High</t>
        </is>
      </c>
      <c r="M4133" t="inlineStr">
        <is>
          <t>LLM</t>
        </is>
      </c>
      <c r="N4133" t="inlineStr">
        <is>
          <t>2026-04-19</t>
        </is>
      </c>
      <c r="O4133" t="inlineStr">
        <is>
          <t>AI</t>
        </is>
      </c>
    </row>
    <row r="4134">
      <c r="A4134" t="inlineStr">
        <is>
          <t>PT Pinago Utama Tbk</t>
        </is>
      </c>
      <c r="B4134" t="inlineStr">
        <is>
          <t>PNGO_2023_AR.pdf</t>
        </is>
      </c>
      <c r="C4134" t="n">
        <v>2023</v>
      </c>
      <c r="D4134" t="inlineStr">
        <is>
          <t>Operation</t>
        </is>
      </c>
      <c r="E4134" t="inlineStr">
        <is>
          <t>Crumb Rubber Production</t>
        </is>
      </c>
      <c r="F4134" t="n">
        <v>31841</v>
      </c>
      <c r="G4134" t="inlineStr">
        <is>
          <t>t</t>
        </is>
      </c>
      <c r="H4134" t="n">
        <v>110</v>
      </c>
      <c r="I4134" t="inlineStr">
        <is>
          <t>CRUMB RUBBER 31.841 (TON) 2023</t>
        </is>
      </c>
      <c r="J4134" t="inlineStr">
        <is>
          <t>High</t>
        </is>
      </c>
      <c r="M4134" t="inlineStr">
        <is>
          <t>LLM</t>
        </is>
      </c>
      <c r="N4134" t="inlineStr">
        <is>
          <t>2026-04-19</t>
        </is>
      </c>
      <c r="O4134" t="inlineStr">
        <is>
          <t>AI</t>
        </is>
      </c>
    </row>
    <row r="4135">
      <c r="A4135" t="inlineStr">
        <is>
          <t>PT Pinago Utama Tbk</t>
        </is>
      </c>
      <c r="B4135" t="inlineStr">
        <is>
          <t>PNGO_2023_AR.pdf</t>
        </is>
      </c>
      <c r="C4135" t="n">
        <v>2023</v>
      </c>
      <c r="D4135" t="inlineStr">
        <is>
          <t>Operation</t>
        </is>
      </c>
      <c r="E4135" t="inlineStr">
        <is>
          <t>RSS Production</t>
        </is>
      </c>
      <c r="F4135" t="n">
        <v>1320</v>
      </c>
      <c r="G4135" t="inlineStr">
        <is>
          <t>t</t>
        </is>
      </c>
      <c r="H4135" t="n">
        <v>110</v>
      </c>
      <c r="I4135" t="inlineStr">
        <is>
          <t>RIBBED SMOKE SHEET 1.320 (TON) 2023</t>
        </is>
      </c>
      <c r="J4135" t="inlineStr">
        <is>
          <t>High</t>
        </is>
      </c>
      <c r="M4135" t="inlineStr">
        <is>
          <t>LLM</t>
        </is>
      </c>
      <c r="N4135" t="inlineStr">
        <is>
          <t>2026-04-19</t>
        </is>
      </c>
      <c r="O4135" t="inlineStr">
        <is>
          <t>AI</t>
        </is>
      </c>
    </row>
    <row r="4136">
      <c r="A4136" t="inlineStr">
        <is>
          <t>PT Pinago Utama Tbk</t>
        </is>
      </c>
      <c r="B4136" t="inlineStr">
        <is>
          <t>PNGO_2023_AR.pdf</t>
        </is>
      </c>
      <c r="C4136" t="n">
        <v>2023</v>
      </c>
      <c r="D4136" t="inlineStr">
        <is>
          <t>Operation</t>
        </is>
      </c>
      <c r="E4136" t="inlineStr">
        <is>
          <t>Core Latex Production</t>
        </is>
      </c>
      <c r="F4136" t="n">
        <v>1315</v>
      </c>
      <c r="G4136" t="inlineStr">
        <is>
          <t>t</t>
        </is>
      </c>
      <c r="H4136" t="n">
        <v>110</v>
      </c>
      <c r="I4136" t="inlineStr">
        <is>
          <t>Produksi Inti Latek 1.315</t>
        </is>
      </c>
      <c r="J4136" t="inlineStr">
        <is>
          <t>High</t>
        </is>
      </c>
      <c r="M4136" t="inlineStr">
        <is>
          <t>LLM</t>
        </is>
      </c>
      <c r="N4136" t="inlineStr">
        <is>
          <t>2026-04-19</t>
        </is>
      </c>
      <c r="O4136" t="inlineStr">
        <is>
          <t>AI</t>
        </is>
      </c>
    </row>
    <row r="4137">
      <c r="A4137" t="inlineStr">
        <is>
          <t>PT Pinago Utama Tbk</t>
        </is>
      </c>
      <c r="B4137" t="inlineStr">
        <is>
          <t>PNGO_2023_AR.pdf</t>
        </is>
      </c>
      <c r="C4137" t="n">
        <v>2023</v>
      </c>
      <c r="D4137" t="inlineStr">
        <is>
          <t>Operation</t>
        </is>
      </c>
      <c r="E4137" t="inlineStr">
        <is>
          <t>Core Cup Lump Production</t>
        </is>
      </c>
      <c r="F4137" t="n">
        <v>919</v>
      </c>
      <c r="G4137" t="inlineStr">
        <is>
          <t>t</t>
        </is>
      </c>
      <c r="H4137" t="n">
        <v>110</v>
      </c>
      <c r="I4137" t="inlineStr">
        <is>
          <t>Produksi Inti Cup Lump 919</t>
        </is>
      </c>
      <c r="J4137" t="inlineStr">
        <is>
          <t>High</t>
        </is>
      </c>
      <c r="M4137" t="inlineStr">
        <is>
          <t>LLM</t>
        </is>
      </c>
      <c r="N4137" t="inlineStr">
        <is>
          <t>2026-04-19</t>
        </is>
      </c>
      <c r="O4137" t="inlineStr">
        <is>
          <t>AI</t>
        </is>
      </c>
    </row>
    <row r="4138">
      <c r="A4138" t="inlineStr">
        <is>
          <t>PT Pinago Utama Tbk</t>
        </is>
      </c>
      <c r="B4138" t="inlineStr">
        <is>
          <t>PNGO_2023_AR.pdf</t>
        </is>
      </c>
      <c r="C4138" t="n">
        <v>2023</v>
      </c>
      <c r="D4138" t="inlineStr">
        <is>
          <t>Operation</t>
        </is>
      </c>
      <c r="E4138" t="inlineStr">
        <is>
          <t>Smallholder Rubber Purchase</t>
        </is>
      </c>
      <c r="F4138" t="n">
        <v>28167</v>
      </c>
      <c r="G4138" t="inlineStr">
        <is>
          <t>t</t>
        </is>
      </c>
      <c r="H4138" t="n">
        <v>110</v>
      </c>
      <c r="I4138" t="inlineStr">
        <is>
          <t>Pembelian Karet Rakyat 28.167</t>
        </is>
      </c>
      <c r="J4138" t="inlineStr">
        <is>
          <t>High</t>
        </is>
      </c>
      <c r="M4138" t="inlineStr">
        <is>
          <t>LLM</t>
        </is>
      </c>
      <c r="N4138" t="inlineStr">
        <is>
          <t>2026-04-19</t>
        </is>
      </c>
      <c r="O4138" t="inlineStr">
        <is>
          <t>AI</t>
        </is>
      </c>
    </row>
    <row r="4139">
      <c r="A4139" t="inlineStr">
        <is>
          <t>PT Pinago Utama Tbk</t>
        </is>
      </c>
      <c r="B4139" t="inlineStr">
        <is>
          <t>PNGO_2023_AR.pdf</t>
        </is>
      </c>
      <c r="C4139" t="n">
        <v>2023</v>
      </c>
      <c r="D4139" t="inlineStr">
        <is>
          <t>Operation</t>
        </is>
      </c>
      <c r="E4139" t="inlineStr">
        <is>
          <t>CPO Sales Volume</t>
        </is>
      </c>
      <c r="F4139" t="n">
        <v>107812</v>
      </c>
      <c r="G4139" t="inlineStr">
        <is>
          <t>t</t>
        </is>
      </c>
      <c r="H4139" t="n">
        <v>108</v>
      </c>
      <c r="I4139" t="inlineStr">
        <is>
          <t>Volume Penjualan CPO 107.812 Ton</t>
        </is>
      </c>
      <c r="J4139" t="inlineStr">
        <is>
          <t>High</t>
        </is>
      </c>
      <c r="M4139" t="inlineStr">
        <is>
          <t>LLM</t>
        </is>
      </c>
      <c r="N4139" t="inlineStr">
        <is>
          <t>2026-04-19</t>
        </is>
      </c>
      <c r="O4139" t="inlineStr">
        <is>
          <t>AI</t>
        </is>
      </c>
    </row>
    <row r="4140">
      <c r="A4140" t="inlineStr">
        <is>
          <t>PT Pinago Utama Tbk</t>
        </is>
      </c>
      <c r="B4140" t="inlineStr">
        <is>
          <t>PNGO_2023_AR.pdf</t>
        </is>
      </c>
      <c r="C4140" t="n">
        <v>2023</v>
      </c>
      <c r="D4140" t="inlineStr">
        <is>
          <t>Operation</t>
        </is>
      </c>
      <c r="E4140" t="inlineStr">
        <is>
          <t>Kernel Sales Volume</t>
        </is>
      </c>
      <c r="F4140" t="n">
        <v>20384</v>
      </c>
      <c r="G4140" t="inlineStr">
        <is>
          <t>t</t>
        </is>
      </c>
      <c r="H4140" t="n">
        <v>108</v>
      </c>
      <c r="I4140" t="inlineStr">
        <is>
          <t>Volume Penjualan Kernel 20.384 Ton</t>
        </is>
      </c>
      <c r="J4140" t="inlineStr">
        <is>
          <t>High</t>
        </is>
      </c>
      <c r="M4140" t="inlineStr">
        <is>
          <t>LLM</t>
        </is>
      </c>
      <c r="N4140" t="inlineStr">
        <is>
          <t>2026-04-19</t>
        </is>
      </c>
      <c r="O4140" t="inlineStr">
        <is>
          <t>AI</t>
        </is>
      </c>
    </row>
    <row r="4141">
      <c r="A4141" t="inlineStr">
        <is>
          <t>PT Pinago Utama Tbk</t>
        </is>
      </c>
      <c r="B4141" t="inlineStr">
        <is>
          <t>PNGO_2023_AR.pdf</t>
        </is>
      </c>
      <c r="C4141" t="n">
        <v>2023</v>
      </c>
      <c r="D4141" t="inlineStr">
        <is>
          <t>Operation</t>
        </is>
      </c>
      <c r="E4141" t="inlineStr">
        <is>
          <t>Crumb Rubber Sales Volume</t>
        </is>
      </c>
      <c r="F4141" t="n">
        <v>33030</v>
      </c>
      <c r="G4141" t="inlineStr">
        <is>
          <t>t</t>
        </is>
      </c>
      <c r="H4141" t="n">
        <v>109</v>
      </c>
      <c r="I4141" t="inlineStr">
        <is>
          <t>Sales of Crumb Rubber (SIR 20): 33.030 Ton</t>
        </is>
      </c>
      <c r="J4141" t="inlineStr">
        <is>
          <t>High</t>
        </is>
      </c>
      <c r="M4141" t="inlineStr">
        <is>
          <t>LLM</t>
        </is>
      </c>
      <c r="N4141" t="inlineStr">
        <is>
          <t>2026-04-19</t>
        </is>
      </c>
      <c r="O4141" t="inlineStr">
        <is>
          <t>AI</t>
        </is>
      </c>
    </row>
    <row r="4142">
      <c r="A4142" t="inlineStr">
        <is>
          <t>PT Pinago Utama Tbk</t>
        </is>
      </c>
      <c r="B4142" t="inlineStr">
        <is>
          <t>PNGO_2023_AR.pdf</t>
        </is>
      </c>
      <c r="C4142" t="n">
        <v>2023</v>
      </c>
      <c r="D4142" t="inlineStr">
        <is>
          <t>Operation</t>
        </is>
      </c>
      <c r="E4142" t="inlineStr">
        <is>
          <t>RSS Sales Volume</t>
        </is>
      </c>
      <c r="F4142" t="n">
        <v>1290</v>
      </c>
      <c r="G4142" t="inlineStr">
        <is>
          <t>t</t>
        </is>
      </c>
      <c r="H4142" t="n">
        <v>109</v>
      </c>
      <c r="I4142" t="inlineStr">
        <is>
          <t>Volume Penjualan RSS : 1.290 Ton</t>
        </is>
      </c>
      <c r="J4142" t="inlineStr">
        <is>
          <t>High</t>
        </is>
      </c>
      <c r="M4142" t="inlineStr">
        <is>
          <t>LLM</t>
        </is>
      </c>
      <c r="N4142" t="inlineStr">
        <is>
          <t>2026-04-19</t>
        </is>
      </c>
      <c r="O4142" t="inlineStr">
        <is>
          <t>AI</t>
        </is>
      </c>
    </row>
    <row r="4143">
      <c r="A4143" t="inlineStr">
        <is>
          <t>PT Pinago Utama Tbk</t>
        </is>
      </c>
      <c r="B4143" t="inlineStr">
        <is>
          <t>PNGO_2023_AR.pdf</t>
        </is>
      </c>
      <c r="C4143" t="n">
        <v>2023</v>
      </c>
      <c r="D4143" t="inlineStr">
        <is>
          <t>Operation</t>
        </is>
      </c>
      <c r="E4143" t="inlineStr">
        <is>
          <t>Avg CPO Selling Price</t>
        </is>
      </c>
      <c r="F4143" t="n">
        <v>11096</v>
      </c>
      <c r="G4143" t="inlineStr">
        <is>
          <t>Rp/kg</t>
        </is>
      </c>
      <c r="H4143" t="n">
        <v>108</v>
      </c>
      <c r="I4143" t="inlineStr">
        <is>
          <t>harga Jual rata-rata Rp.11.096/Kg</t>
        </is>
      </c>
      <c r="J4143" t="inlineStr">
        <is>
          <t>High</t>
        </is>
      </c>
      <c r="M4143" t="inlineStr">
        <is>
          <t>LLM</t>
        </is>
      </c>
      <c r="N4143" t="inlineStr">
        <is>
          <t>2026-04-19</t>
        </is>
      </c>
      <c r="O4143" t="inlineStr">
        <is>
          <t>AI</t>
        </is>
      </c>
    </row>
    <row r="4144">
      <c r="A4144" t="inlineStr">
        <is>
          <t>PT Pinago Utama Tbk</t>
        </is>
      </c>
      <c r="B4144" t="inlineStr">
        <is>
          <t>PNGO_2023_AR.pdf</t>
        </is>
      </c>
      <c r="C4144" t="n">
        <v>2023</v>
      </c>
      <c r="D4144" t="inlineStr">
        <is>
          <t>Operation</t>
        </is>
      </c>
      <c r="E4144" t="inlineStr">
        <is>
          <t>Avg Kernel Selling Price</t>
        </is>
      </c>
      <c r="F4144" t="n">
        <v>5315</v>
      </c>
      <c r="G4144" t="inlineStr">
        <is>
          <t>Rp/kg</t>
        </is>
      </c>
      <c r="H4144" t="n">
        <v>108</v>
      </c>
      <c r="I4144" t="inlineStr">
        <is>
          <t>harga jual rata-rata 5.315/Kg</t>
        </is>
      </c>
      <c r="J4144" t="inlineStr">
        <is>
          <t>High</t>
        </is>
      </c>
      <c r="M4144" t="inlineStr">
        <is>
          <t>LLM</t>
        </is>
      </c>
      <c r="N4144" t="inlineStr">
        <is>
          <t>2026-04-19</t>
        </is>
      </c>
      <c r="O4144" t="inlineStr">
        <is>
          <t>AI</t>
        </is>
      </c>
    </row>
    <row r="4145">
      <c r="A4145" t="inlineStr">
        <is>
          <t>PT Pinago Utama Tbk</t>
        </is>
      </c>
      <c r="B4145" t="inlineStr">
        <is>
          <t>PNGO_2023_AR.pdf</t>
        </is>
      </c>
      <c r="C4145" t="n">
        <v>2023</v>
      </c>
      <c r="D4145" t="inlineStr">
        <is>
          <t>Operation</t>
        </is>
      </c>
      <c r="E4145" t="inlineStr">
        <is>
          <t>Avg Crumb Rubber Selling Price</t>
        </is>
      </c>
      <c r="F4145" t="n">
        <v>21066</v>
      </c>
      <c r="G4145" t="inlineStr">
        <is>
          <t>Rp/kg</t>
        </is>
      </c>
      <c r="H4145" t="n">
        <v>109</v>
      </c>
      <c r="I4145" t="inlineStr">
        <is>
          <t>Harga Jual rata-rata Rp.21.066/Kg</t>
        </is>
      </c>
      <c r="J4145" t="inlineStr">
        <is>
          <t>High</t>
        </is>
      </c>
      <c r="M4145" t="inlineStr">
        <is>
          <t>LLM</t>
        </is>
      </c>
      <c r="N4145" t="inlineStr">
        <is>
          <t>2026-04-19</t>
        </is>
      </c>
      <c r="O4145" t="inlineStr">
        <is>
          <t>AI</t>
        </is>
      </c>
    </row>
    <row r="4146">
      <c r="A4146" t="inlineStr">
        <is>
          <t>PT Pinago Utama Tbk</t>
        </is>
      </c>
      <c r="B4146" t="inlineStr">
        <is>
          <t>PNGO_2023_AR.pdf</t>
        </is>
      </c>
      <c r="C4146" t="n">
        <v>2023</v>
      </c>
      <c r="D4146" t="inlineStr">
        <is>
          <t>Operation</t>
        </is>
      </c>
      <c r="E4146" t="inlineStr">
        <is>
          <t>Avg RSS Selling Price</t>
        </is>
      </c>
      <c r="F4146" t="n">
        <v>27100</v>
      </c>
      <c r="G4146" t="inlineStr">
        <is>
          <t>Rp/kg</t>
        </is>
      </c>
      <c r="H4146" t="n">
        <v>109</v>
      </c>
      <c r="I4146" t="inlineStr">
        <is>
          <t>harga jual rata-rata Rp.27.100/Kg</t>
        </is>
      </c>
      <c r="J4146" t="inlineStr">
        <is>
          <t>High</t>
        </is>
      </c>
      <c r="M4146" t="inlineStr">
        <is>
          <t>LLM</t>
        </is>
      </c>
      <c r="N4146" t="inlineStr">
        <is>
          <t>2026-04-19</t>
        </is>
      </c>
      <c r="O4146" t="inlineStr">
        <is>
          <t>AI</t>
        </is>
      </c>
    </row>
    <row r="4147">
      <c r="A4147" t="inlineStr">
        <is>
          <t>PT Pinago Utama Tbk</t>
        </is>
      </c>
      <c r="B4147" t="inlineStr">
        <is>
          <t>PNGO_2023_AR.pdf</t>
        </is>
      </c>
      <c r="C4147" t="n">
        <v>2023</v>
      </c>
      <c r="D4147" t="inlineStr">
        <is>
          <t>Operation</t>
        </is>
      </c>
      <c r="E4147" t="inlineStr">
        <is>
          <t>Palm Segment Revenue</t>
        </is>
      </c>
      <c r="F4147" t="n">
        <v>1482</v>
      </c>
      <c r="G4147" t="inlineStr">
        <is>
          <t>IDR bn</t>
        </is>
      </c>
      <c r="H4147" t="n">
        <v>111</v>
      </c>
      <c r="I4147" t="inlineStr">
        <is>
          <t>Pendapatan Palm Oil 1.481.504 (juta)</t>
        </is>
      </c>
      <c r="J4147" t="inlineStr">
        <is>
          <t>High</t>
        </is>
      </c>
      <c r="M4147" t="inlineStr">
        <is>
          <t>LLM</t>
        </is>
      </c>
      <c r="N4147" t="inlineStr">
        <is>
          <t>2026-04-19</t>
        </is>
      </c>
      <c r="O4147" t="inlineStr">
        <is>
          <t>AI</t>
        </is>
      </c>
    </row>
    <row r="4148">
      <c r="A4148" t="inlineStr">
        <is>
          <t>PT Pinago Utama Tbk</t>
        </is>
      </c>
      <c r="B4148" t="inlineStr">
        <is>
          <t>PNGO_2023_AR.pdf</t>
        </is>
      </c>
      <c r="C4148" t="n">
        <v>2023</v>
      </c>
      <c r="D4148" t="inlineStr">
        <is>
          <t>Operation</t>
        </is>
      </c>
      <c r="E4148" t="inlineStr">
        <is>
          <t>Rubber Segment Revenue</t>
        </is>
      </c>
      <c r="F4148" t="n">
        <v>731</v>
      </c>
      <c r="G4148" t="inlineStr">
        <is>
          <t>IDR bn</t>
        </is>
      </c>
      <c r="H4148" t="n">
        <v>111</v>
      </c>
      <c r="I4148" t="inlineStr">
        <is>
          <t>Pendapatan Rubber 730.756 (juta)</t>
        </is>
      </c>
      <c r="J4148" t="inlineStr">
        <is>
          <t>High</t>
        </is>
      </c>
      <c r="M4148" t="inlineStr">
        <is>
          <t>LLM</t>
        </is>
      </c>
      <c r="N4148" t="inlineStr">
        <is>
          <t>2026-04-19</t>
        </is>
      </c>
      <c r="O4148" t="inlineStr">
        <is>
          <t>AI</t>
        </is>
      </c>
    </row>
    <row r="4149">
      <c r="A4149" t="inlineStr">
        <is>
          <t>PT Pinago Utama Tbk</t>
        </is>
      </c>
      <c r="B4149" t="inlineStr">
        <is>
          <t>PNGO_2023_AR.pdf</t>
        </is>
      </c>
      <c r="C4149" t="n">
        <v>2023</v>
      </c>
      <c r="D4149" t="inlineStr">
        <is>
          <t>Operation</t>
        </is>
      </c>
      <c r="E4149" t="inlineStr">
        <is>
          <t>Compost Revenue</t>
        </is>
      </c>
      <c r="F4149" t="n">
        <v>15</v>
      </c>
      <c r="G4149" t="inlineStr">
        <is>
          <t>IDR bn</t>
        </is>
      </c>
      <c r="H4149" t="n">
        <v>111</v>
      </c>
      <c r="I4149" t="inlineStr">
        <is>
          <t>Pendapatan Kompos 14.852 (juta)</t>
        </is>
      </c>
      <c r="J4149" t="inlineStr">
        <is>
          <t>High</t>
        </is>
      </c>
      <c r="M4149" t="inlineStr">
        <is>
          <t>LLM</t>
        </is>
      </c>
      <c r="N4149" t="inlineStr">
        <is>
          <t>2026-04-19</t>
        </is>
      </c>
      <c r="O4149" t="inlineStr">
        <is>
          <t>AI</t>
        </is>
      </c>
    </row>
    <row r="4150">
      <c r="A4150" t="inlineStr">
        <is>
          <t>PT Pinago Utama Tbk</t>
        </is>
      </c>
      <c r="B4150" t="inlineStr">
        <is>
          <t>PNGO_2023_AR.pdf</t>
        </is>
      </c>
      <c r="C4150" t="n">
        <v>2023</v>
      </c>
      <c r="D4150" t="inlineStr">
        <is>
          <t>ESG</t>
        </is>
      </c>
      <c r="E4150" t="inlineStr">
        <is>
          <t>Core Region</t>
        </is>
      </c>
      <c r="F4150" t="inlineStr">
        <is>
          <t>South Sumatra (Musi Banyuasin)</t>
        </is>
      </c>
      <c r="G4150" t="inlineStr">
        <is>
          <t>text</t>
        </is>
      </c>
      <c r="H4150" t="n">
        <v>107</v>
      </c>
      <c r="I4150" t="inlineStr">
        <is>
          <t>Desa Sugiwaras, Kec. Babat Toman, Musi Banyuasin, Sumatera Selatan</t>
        </is>
      </c>
      <c r="J4150" t="inlineStr">
        <is>
          <t>High</t>
        </is>
      </c>
      <c r="M4150" t="inlineStr">
        <is>
          <t>LLM</t>
        </is>
      </c>
      <c r="N4150" t="inlineStr">
        <is>
          <t>2026-04-19</t>
        </is>
      </c>
      <c r="O4150" t="inlineStr">
        <is>
          <t>AI</t>
        </is>
      </c>
    </row>
    <row r="4151">
      <c r="A4151" t="inlineStr">
        <is>
          <t>PT Pinago Utama Tbk</t>
        </is>
      </c>
      <c r="B4151" t="inlineStr">
        <is>
          <t>PNGO_2024_AR.pdf</t>
        </is>
      </c>
      <c r="C4151" t="n">
        <v>2024</v>
      </c>
      <c r="D4151" t="inlineStr">
        <is>
          <t>Company</t>
        </is>
      </c>
      <c r="E4151" t="inlineStr">
        <is>
          <t>Company Name</t>
        </is>
      </c>
      <c r="F4151" t="inlineStr">
        <is>
          <t>PT Pinago Utama Tbk</t>
        </is>
      </c>
      <c r="G4151" t="inlineStr">
        <is>
          <t>text</t>
        </is>
      </c>
      <c r="H4151" t="n">
        <v>1</v>
      </c>
      <c r="I4151" t="inlineStr">
        <is>
          <t>PT Pinago Utama Tbk | Laporan Tahunan 2024</t>
        </is>
      </c>
      <c r="J4151" t="inlineStr">
        <is>
          <t>High</t>
        </is>
      </c>
      <c r="M4151" t="inlineStr">
        <is>
          <t>LLM</t>
        </is>
      </c>
      <c r="N4151" t="inlineStr">
        <is>
          <t>2026-04-19</t>
        </is>
      </c>
      <c r="O4151" t="inlineStr">
        <is>
          <t>AI</t>
        </is>
      </c>
    </row>
    <row r="4152">
      <c r="A4152" t="inlineStr">
        <is>
          <t>PT Pinago Utama Tbk</t>
        </is>
      </c>
      <c r="B4152" t="inlineStr">
        <is>
          <t>PNGO_2024_AR.pdf</t>
        </is>
      </c>
      <c r="C4152" t="n">
        <v>2024</v>
      </c>
      <c r="D4152" t="inlineStr">
        <is>
          <t>Company</t>
        </is>
      </c>
      <c r="E4152" t="inlineStr">
        <is>
          <t>Ticker</t>
        </is>
      </c>
      <c r="F4152" t="inlineStr">
        <is>
          <t>PNGO</t>
        </is>
      </c>
      <c r="G4152" t="inlineStr">
        <is>
          <t>text</t>
        </is>
      </c>
      <c r="H4152" t="n">
        <v>69</v>
      </c>
      <c r="I4152" t="inlineStr">
        <is>
          <t>Kode Saham - PNGO</t>
        </is>
      </c>
      <c r="J4152" t="inlineStr">
        <is>
          <t>High</t>
        </is>
      </c>
      <c r="M4152" t="inlineStr">
        <is>
          <t>LLM</t>
        </is>
      </c>
      <c r="N4152" t="inlineStr">
        <is>
          <t>2026-04-19</t>
        </is>
      </c>
      <c r="O4152" t="inlineStr">
        <is>
          <t>AI</t>
        </is>
      </c>
    </row>
    <row r="4153">
      <c r="A4153" t="inlineStr">
        <is>
          <t>PT Pinago Utama Tbk</t>
        </is>
      </c>
      <c r="B4153" t="inlineStr">
        <is>
          <t>PNGO_2024_AR.pdf</t>
        </is>
      </c>
      <c r="C4153" t="n">
        <v>2024</v>
      </c>
      <c r="D4153" t="inlineStr">
        <is>
          <t>Company</t>
        </is>
      </c>
      <c r="E4153" t="inlineStr">
        <is>
          <t>Listing Date</t>
        </is>
      </c>
      <c r="F4153" t="inlineStr">
        <is>
          <t>2020-08-31</t>
        </is>
      </c>
      <c r="G4153" t="inlineStr">
        <is>
          <t>date</t>
        </is>
      </c>
      <c r="H4153" t="n">
        <v>69</v>
      </c>
      <c r="I4153" t="inlineStr">
        <is>
          <t>Tanggal Pencatatan - 31 Agustus 2020</t>
        </is>
      </c>
      <c r="J4153" t="inlineStr">
        <is>
          <t>High</t>
        </is>
      </c>
      <c r="M4153" t="inlineStr">
        <is>
          <t>LLM</t>
        </is>
      </c>
      <c r="N4153" t="inlineStr">
        <is>
          <t>2026-04-19</t>
        </is>
      </c>
      <c r="O4153" t="inlineStr">
        <is>
          <t>AI</t>
        </is>
      </c>
    </row>
    <row r="4154">
      <c r="A4154" t="inlineStr">
        <is>
          <t>PT Pinago Utama Tbk</t>
        </is>
      </c>
      <c r="B4154" t="inlineStr">
        <is>
          <t>PNGO_2024_AR.pdf</t>
        </is>
      </c>
      <c r="C4154" t="n">
        <v>2024</v>
      </c>
      <c r="D4154" t="inlineStr">
        <is>
          <t>Company</t>
        </is>
      </c>
      <c r="E4154" t="inlineStr">
        <is>
          <t>Wilson Sutantio Ownership</t>
        </is>
      </c>
      <c r="F4154" t="n">
        <v>0.2276</v>
      </c>
      <c r="G4154" t="inlineStr">
        <is>
          <t>%</t>
        </is>
      </c>
      <c r="H4154" t="n">
        <v>67</v>
      </c>
      <c r="I4154" t="inlineStr">
        <is>
          <t>Wilson Sutantio 177.799.800 22,76%</t>
        </is>
      </c>
      <c r="J4154" t="inlineStr">
        <is>
          <t>High</t>
        </is>
      </c>
      <c r="M4154" t="inlineStr">
        <is>
          <t>LLM</t>
        </is>
      </c>
      <c r="N4154" t="inlineStr">
        <is>
          <t>2026-04-19</t>
        </is>
      </c>
      <c r="O4154" t="inlineStr">
        <is>
          <t>AI</t>
        </is>
      </c>
    </row>
    <row r="4155">
      <c r="A4155" t="inlineStr">
        <is>
          <t>PT Pinago Utama Tbk</t>
        </is>
      </c>
      <c r="B4155" t="inlineStr">
        <is>
          <t>PNGO_2024_AR.pdf</t>
        </is>
      </c>
      <c r="C4155" t="n">
        <v>2024</v>
      </c>
      <c r="D4155" t="inlineStr">
        <is>
          <t>Company</t>
        </is>
      </c>
      <c r="E4155" t="inlineStr">
        <is>
          <t>Hasan Tantri Ownership</t>
        </is>
      </c>
      <c r="F4155" t="n">
        <v>0.1948</v>
      </c>
      <c r="G4155" t="inlineStr">
        <is>
          <t>%</t>
        </is>
      </c>
      <c r="H4155" t="n">
        <v>67</v>
      </c>
      <c r="I4155" t="inlineStr">
        <is>
          <t>Hasan Tantri 152.172.200 19,48%</t>
        </is>
      </c>
      <c r="J4155" t="inlineStr">
        <is>
          <t>High</t>
        </is>
      </c>
      <c r="M4155" t="inlineStr">
        <is>
          <t>LLM</t>
        </is>
      </c>
      <c r="N4155" t="inlineStr">
        <is>
          <t>2026-04-19</t>
        </is>
      </c>
      <c r="O4155" t="inlineStr">
        <is>
          <t>AI</t>
        </is>
      </c>
    </row>
    <row r="4156">
      <c r="A4156" t="inlineStr">
        <is>
          <t>PT Pinago Utama Tbk</t>
        </is>
      </c>
      <c r="B4156" t="inlineStr">
        <is>
          <t>PNGO_2024_AR.pdf</t>
        </is>
      </c>
      <c r="C4156" t="n">
        <v>2024</v>
      </c>
      <c r="D4156" t="inlineStr">
        <is>
          <t>Company</t>
        </is>
      </c>
      <c r="E4156" t="inlineStr">
        <is>
          <t>Charles Sutantio Ownership</t>
        </is>
      </c>
      <c r="F4156" t="n">
        <v>0.1761</v>
      </c>
      <c r="G4156" t="inlineStr">
        <is>
          <t>%</t>
        </is>
      </c>
      <c r="H4156" t="n">
        <v>67</v>
      </c>
      <c r="I4156" t="inlineStr">
        <is>
          <t>Charles Sutantio 137.596.700 17,61%</t>
        </is>
      </c>
      <c r="J4156" t="inlineStr">
        <is>
          <t>High</t>
        </is>
      </c>
      <c r="M4156" t="inlineStr">
        <is>
          <t>LLM</t>
        </is>
      </c>
      <c r="N4156" t="inlineStr">
        <is>
          <t>2026-04-19</t>
        </is>
      </c>
      <c r="O4156" t="inlineStr">
        <is>
          <t>AI</t>
        </is>
      </c>
    </row>
    <row r="4157">
      <c r="A4157" t="inlineStr">
        <is>
          <t>PT Pinago Utama Tbk</t>
        </is>
      </c>
      <c r="B4157" t="inlineStr">
        <is>
          <t>PNGO_2024_AR.pdf</t>
        </is>
      </c>
      <c r="C4157" t="n">
        <v>2024</v>
      </c>
      <c r="D4157" t="inlineStr">
        <is>
          <t>Company</t>
        </is>
      </c>
      <c r="E4157" t="inlineStr">
        <is>
          <t>Peter Unggul Sutantio Ownership</t>
        </is>
      </c>
      <c r="F4157" t="n">
        <v>0.1527</v>
      </c>
      <c r="G4157" t="inlineStr">
        <is>
          <t>%</t>
        </is>
      </c>
      <c r="H4157" t="n">
        <v>67</v>
      </c>
      <c r="I4157" t="inlineStr">
        <is>
          <t>Peter Unggul Sutantio 119.286.800 15,27%</t>
        </is>
      </c>
      <c r="J4157" t="inlineStr">
        <is>
          <t>High</t>
        </is>
      </c>
      <c r="M4157" t="inlineStr">
        <is>
          <t>LLM</t>
        </is>
      </c>
      <c r="N4157" t="inlineStr">
        <is>
          <t>2026-04-19</t>
        </is>
      </c>
      <c r="O4157" t="inlineStr">
        <is>
          <t>AI</t>
        </is>
      </c>
    </row>
    <row r="4158">
      <c r="A4158" t="inlineStr">
        <is>
          <t>PT Pinago Utama Tbk</t>
        </is>
      </c>
      <c r="B4158" t="inlineStr">
        <is>
          <t>PNGO_2024_AR.pdf</t>
        </is>
      </c>
      <c r="C4158" t="n">
        <v>2024</v>
      </c>
      <c r="D4158" t="inlineStr">
        <is>
          <t>Company</t>
        </is>
      </c>
      <c r="E4158" t="inlineStr">
        <is>
          <t>Public Float</t>
        </is>
      </c>
      <c r="F4158" t="n">
        <v>0.2488</v>
      </c>
      <c r="G4158" t="inlineStr">
        <is>
          <t>%</t>
        </is>
      </c>
      <c r="H4158" t="n">
        <v>67</v>
      </c>
      <c r="I4158" t="inlineStr">
        <is>
          <t>Masyarakat 194.394.500 24,88%</t>
        </is>
      </c>
      <c r="J4158" t="inlineStr">
        <is>
          <t>High</t>
        </is>
      </c>
      <c r="M4158" t="inlineStr">
        <is>
          <t>LLM</t>
        </is>
      </c>
      <c r="N4158" t="inlineStr">
        <is>
          <t>2026-04-19</t>
        </is>
      </c>
      <c r="O4158" t="inlineStr">
        <is>
          <t>AI</t>
        </is>
      </c>
    </row>
    <row r="4159">
      <c r="A4159" t="inlineStr">
        <is>
          <t>PT Pinago Utama Tbk</t>
        </is>
      </c>
      <c r="B4159" t="inlineStr">
        <is>
          <t>PNGO_2024_AR.pdf</t>
        </is>
      </c>
      <c r="C4159" t="n">
        <v>2024</v>
      </c>
      <c r="D4159" t="inlineStr">
        <is>
          <t>Company</t>
        </is>
      </c>
      <c r="E4159" t="inlineStr">
        <is>
          <t>Subsidiary SNS</t>
        </is>
      </c>
      <c r="F4159" t="inlineStr">
        <is>
          <t>PT Sriwijaya Nusantara Sejahtera 99% - Palm Plantations</t>
        </is>
      </c>
      <c r="G4159" t="inlineStr">
        <is>
          <t>text</t>
        </is>
      </c>
      <c r="H4159" t="n">
        <v>69</v>
      </c>
      <c r="I4159" t="inlineStr">
        <is>
          <t>Nama Perusahaan PT Sriwijaya Nusantara Sejahtera (SNS), Kepemilikan Saham PT Pinago Utama Tbk 99%</t>
        </is>
      </c>
      <c r="J4159" t="inlineStr">
        <is>
          <t>High</t>
        </is>
      </c>
      <c r="M4159" t="inlineStr">
        <is>
          <t>LLM</t>
        </is>
      </c>
      <c r="N4159" t="inlineStr">
        <is>
          <t>2026-04-19</t>
        </is>
      </c>
      <c r="O4159" t="inlineStr">
        <is>
          <t>AI</t>
        </is>
      </c>
    </row>
    <row r="4160">
      <c r="A4160" t="inlineStr">
        <is>
          <t>PT Pinago Utama Tbk</t>
        </is>
      </c>
      <c r="B4160" t="inlineStr">
        <is>
          <t>PNGO_2024_AR.pdf</t>
        </is>
      </c>
      <c r="C4160" t="n">
        <v>2024</v>
      </c>
      <c r="D4160" t="inlineStr">
        <is>
          <t>Company</t>
        </is>
      </c>
      <c r="E4160" t="inlineStr">
        <is>
          <t>Subsidiary HMH</t>
        </is>
      </c>
      <c r="F4160" t="inlineStr">
        <is>
          <t>PT Hamparan Mutiara Hijau 99% - Palm Plantations</t>
        </is>
      </c>
      <c r="G4160" t="inlineStr">
        <is>
          <t>text</t>
        </is>
      </c>
      <c r="H4160" t="n">
        <v>69</v>
      </c>
      <c r="I4160" t="inlineStr">
        <is>
          <t>PT Hamparan Mutiara Hijau (HMH), Kepemilikan 99%</t>
        </is>
      </c>
      <c r="J4160" t="inlineStr">
        <is>
          <t>High</t>
        </is>
      </c>
      <c r="M4160" t="inlineStr">
        <is>
          <t>LLM</t>
        </is>
      </c>
      <c r="N4160" t="inlineStr">
        <is>
          <t>2026-04-19</t>
        </is>
      </c>
      <c r="O4160" t="inlineStr">
        <is>
          <t>AI</t>
        </is>
      </c>
    </row>
    <row r="4161">
      <c r="A4161" t="inlineStr">
        <is>
          <t>PT Pinago Utama Tbk</t>
        </is>
      </c>
      <c r="B4161" t="inlineStr">
        <is>
          <t>PNGO_2024_AR.pdf</t>
        </is>
      </c>
      <c r="C4161" t="n">
        <v>2024</v>
      </c>
      <c r="D4161" t="inlineStr">
        <is>
          <t>Company</t>
        </is>
      </c>
      <c r="E4161" t="inlineStr">
        <is>
          <t>Subsidiary MAS</t>
        </is>
      </c>
      <c r="F4161" t="inlineStr">
        <is>
          <t>PT Musi Andalan Sumatera 99% - Palm Plantations</t>
        </is>
      </c>
      <c r="G4161" t="inlineStr">
        <is>
          <t>text</t>
        </is>
      </c>
      <c r="H4161" t="n">
        <v>69</v>
      </c>
      <c r="I4161" t="inlineStr">
        <is>
          <t>PT Musi Andalan Sumatera (MAS), Kepemilikan 99%</t>
        </is>
      </c>
      <c r="J4161" t="inlineStr">
        <is>
          <t>High</t>
        </is>
      </c>
      <c r="M4161" t="inlineStr">
        <is>
          <t>LLM</t>
        </is>
      </c>
      <c r="N4161" t="inlineStr">
        <is>
          <t>2026-04-19</t>
        </is>
      </c>
      <c r="O4161" t="inlineStr">
        <is>
          <t>AI</t>
        </is>
      </c>
    </row>
    <row r="4162">
      <c r="A4162" t="inlineStr">
        <is>
          <t>PT Pinago Utama Tbk</t>
        </is>
      </c>
      <c r="B4162" t="inlineStr">
        <is>
          <t>PNGO_2024_AR.pdf</t>
        </is>
      </c>
      <c r="C4162" t="n">
        <v>2024</v>
      </c>
      <c r="D4162" t="inlineStr">
        <is>
          <t>Financial</t>
        </is>
      </c>
      <c r="E4162" t="inlineStr">
        <is>
          <t>Revenue</t>
        </is>
      </c>
      <c r="F4162" t="n">
        <v>2043</v>
      </c>
      <c r="G4162" t="inlineStr">
        <is>
          <t>IDR bn</t>
        </is>
      </c>
      <c r="H4162" t="n">
        <v>8</v>
      </c>
      <c r="I4162" t="inlineStr">
        <is>
          <t>Penjualan 2.042.869 (juta Rupiah)</t>
        </is>
      </c>
      <c r="J4162" t="inlineStr">
        <is>
          <t>High</t>
        </is>
      </c>
      <c r="M4162" t="inlineStr">
        <is>
          <t>LLM</t>
        </is>
      </c>
      <c r="N4162" t="inlineStr">
        <is>
          <t>2026-04-19</t>
        </is>
      </c>
      <c r="O4162" t="inlineStr">
        <is>
          <t>AI</t>
        </is>
      </c>
    </row>
    <row r="4163">
      <c r="A4163" t="inlineStr">
        <is>
          <t>PT Pinago Utama Tbk</t>
        </is>
      </c>
      <c r="B4163" t="inlineStr">
        <is>
          <t>PNGO_2024_AR.pdf</t>
        </is>
      </c>
      <c r="C4163" t="n">
        <v>2024</v>
      </c>
      <c r="D4163" t="inlineStr">
        <is>
          <t>Financial</t>
        </is>
      </c>
      <c r="E4163" t="inlineStr">
        <is>
          <t>Cost of Goods Sold</t>
        </is>
      </c>
      <c r="F4163" t="n">
        <v>1506</v>
      </c>
      <c r="G4163" t="inlineStr">
        <is>
          <t>IDR bn</t>
        </is>
      </c>
      <c r="H4163" t="n">
        <v>8</v>
      </c>
      <c r="I4163" t="inlineStr">
        <is>
          <t>Beban Pokok Penjualan (1.505.536)</t>
        </is>
      </c>
      <c r="J4163" t="inlineStr">
        <is>
          <t>High</t>
        </is>
      </c>
      <c r="M4163" t="inlineStr">
        <is>
          <t>LLM</t>
        </is>
      </c>
      <c r="N4163" t="inlineStr">
        <is>
          <t>2026-04-19</t>
        </is>
      </c>
      <c r="O4163" t="inlineStr">
        <is>
          <t>AI</t>
        </is>
      </c>
    </row>
    <row r="4164">
      <c r="A4164" t="inlineStr">
        <is>
          <t>PT Pinago Utama Tbk</t>
        </is>
      </c>
      <c r="B4164" t="inlineStr">
        <is>
          <t>PNGO_2024_AR.pdf</t>
        </is>
      </c>
      <c r="C4164" t="n">
        <v>2024</v>
      </c>
      <c r="D4164" t="inlineStr">
        <is>
          <t>Financial</t>
        </is>
      </c>
      <c r="E4164" t="inlineStr">
        <is>
          <t>Gross Profit</t>
        </is>
      </c>
      <c r="F4164" t="n">
        <v>537</v>
      </c>
      <c r="G4164" t="inlineStr">
        <is>
          <t>IDR bn</t>
        </is>
      </c>
      <c r="H4164" t="n">
        <v>8</v>
      </c>
      <c r="I4164" t="inlineStr">
        <is>
          <t>Laba Kotor 537.333</t>
        </is>
      </c>
      <c r="J4164" t="inlineStr">
        <is>
          <t>High</t>
        </is>
      </c>
      <c r="M4164" t="inlineStr">
        <is>
          <t>LLM</t>
        </is>
      </c>
      <c r="N4164" t="inlineStr">
        <is>
          <t>2026-04-19</t>
        </is>
      </c>
      <c r="O4164" t="inlineStr">
        <is>
          <t>AI</t>
        </is>
      </c>
    </row>
    <row r="4165">
      <c r="A4165" t="inlineStr">
        <is>
          <t>PT Pinago Utama Tbk</t>
        </is>
      </c>
      <c r="B4165" t="inlineStr">
        <is>
          <t>PNGO_2024_AR.pdf</t>
        </is>
      </c>
      <c r="C4165" t="n">
        <v>2024</v>
      </c>
      <c r="D4165" t="inlineStr">
        <is>
          <t>Financial</t>
        </is>
      </c>
      <c r="E4165" t="inlineStr">
        <is>
          <t>Operating Expense</t>
        </is>
      </c>
      <c r="F4165" t="n">
        <v>205</v>
      </c>
      <c r="G4165" t="inlineStr">
        <is>
          <t>IDR bn</t>
        </is>
      </c>
      <c r="H4165" t="n">
        <v>8</v>
      </c>
      <c r="I4165" t="inlineStr">
        <is>
          <t>Beban Usaha 204.831</t>
        </is>
      </c>
      <c r="J4165" t="inlineStr">
        <is>
          <t>High</t>
        </is>
      </c>
      <c r="M4165" t="inlineStr">
        <is>
          <t>LLM</t>
        </is>
      </c>
      <c r="N4165" t="inlineStr">
        <is>
          <t>2026-04-19</t>
        </is>
      </c>
      <c r="O4165" t="inlineStr">
        <is>
          <t>AI</t>
        </is>
      </c>
    </row>
    <row r="4166">
      <c r="A4166" t="inlineStr">
        <is>
          <t>PT Pinago Utama Tbk</t>
        </is>
      </c>
      <c r="B4166" t="inlineStr">
        <is>
          <t>PNGO_2024_AR.pdf</t>
        </is>
      </c>
      <c r="C4166" t="n">
        <v>2024</v>
      </c>
      <c r="D4166" t="inlineStr">
        <is>
          <t>Financial</t>
        </is>
      </c>
      <c r="E4166" t="inlineStr">
        <is>
          <t>Operating Profit (EBIT)</t>
        </is>
      </c>
      <c r="F4166" t="n">
        <v>333</v>
      </c>
      <c r="G4166" t="inlineStr">
        <is>
          <t>IDR bn</t>
        </is>
      </c>
      <c r="H4166" t="n">
        <v>8</v>
      </c>
      <c r="I4166" t="inlineStr">
        <is>
          <t>Laba Usaha 332.502</t>
        </is>
      </c>
      <c r="J4166" t="inlineStr">
        <is>
          <t>High</t>
        </is>
      </c>
      <c r="M4166" t="inlineStr">
        <is>
          <t>LLM</t>
        </is>
      </c>
      <c r="N4166" t="inlineStr">
        <is>
          <t>2026-04-19</t>
        </is>
      </c>
      <c r="O4166" t="inlineStr">
        <is>
          <t>AI</t>
        </is>
      </c>
    </row>
    <row r="4167">
      <c r="A4167" t="inlineStr">
        <is>
          <t>PT Pinago Utama Tbk</t>
        </is>
      </c>
      <c r="B4167" t="inlineStr">
        <is>
          <t>PNGO_2024_AR.pdf</t>
        </is>
      </c>
      <c r="C4167" t="n">
        <v>2024</v>
      </c>
      <c r="D4167" t="inlineStr">
        <is>
          <t>Financial</t>
        </is>
      </c>
      <c r="E4167" t="inlineStr">
        <is>
          <t>Profit Before Tax</t>
        </is>
      </c>
      <c r="F4167" t="n">
        <v>290</v>
      </c>
      <c r="G4167" t="inlineStr">
        <is>
          <t>IDR bn</t>
        </is>
      </c>
      <c r="H4167" t="n">
        <v>8</v>
      </c>
      <c r="I4167" t="inlineStr">
        <is>
          <t>Laba Sebelum Beban Pajak 290.387</t>
        </is>
      </c>
      <c r="J4167" t="inlineStr">
        <is>
          <t>High</t>
        </is>
      </c>
      <c r="M4167" t="inlineStr">
        <is>
          <t>LLM</t>
        </is>
      </c>
      <c r="N4167" t="inlineStr">
        <is>
          <t>2026-04-19</t>
        </is>
      </c>
      <c r="O4167" t="inlineStr">
        <is>
          <t>AI</t>
        </is>
      </c>
    </row>
    <row r="4168">
      <c r="A4168" t="inlineStr">
        <is>
          <t>PT Pinago Utama Tbk</t>
        </is>
      </c>
      <c r="B4168" t="inlineStr">
        <is>
          <t>PNGO_2024_AR.pdf</t>
        </is>
      </c>
      <c r="C4168" t="n">
        <v>2024</v>
      </c>
      <c r="D4168" t="inlineStr">
        <is>
          <t>Financial</t>
        </is>
      </c>
      <c r="E4168" t="inlineStr">
        <is>
          <t>Net Profit</t>
        </is>
      </c>
      <c r="F4168" t="n">
        <v>221</v>
      </c>
      <c r="G4168" t="inlineStr">
        <is>
          <t>IDR bn</t>
        </is>
      </c>
      <c r="H4168" t="n">
        <v>8</v>
      </c>
      <c r="I4168" t="inlineStr">
        <is>
          <t>Laba Neto Tahun Berjalan 220.955</t>
        </is>
      </c>
      <c r="J4168" t="inlineStr">
        <is>
          <t>High</t>
        </is>
      </c>
      <c r="M4168" t="inlineStr">
        <is>
          <t>LLM</t>
        </is>
      </c>
      <c r="N4168" t="inlineStr">
        <is>
          <t>2026-04-19</t>
        </is>
      </c>
      <c r="O4168" t="inlineStr">
        <is>
          <t>AI</t>
        </is>
      </c>
    </row>
    <row r="4169">
      <c r="A4169" t="inlineStr">
        <is>
          <t>PT Pinago Utama Tbk</t>
        </is>
      </c>
      <c r="B4169" t="inlineStr">
        <is>
          <t>PNGO_2024_AR.pdf</t>
        </is>
      </c>
      <c r="C4169" t="n">
        <v>2024</v>
      </c>
      <c r="D4169" t="inlineStr">
        <is>
          <t>Financial</t>
        </is>
      </c>
      <c r="E4169" t="inlineStr">
        <is>
          <t>Profit Attributable to Parent</t>
        </is>
      </c>
      <c r="F4169" t="n">
        <v>220</v>
      </c>
      <c r="G4169" t="inlineStr">
        <is>
          <t>IDR bn</t>
        </is>
      </c>
      <c r="H4169" t="n">
        <v>8</v>
      </c>
      <c r="I4169" t="inlineStr">
        <is>
          <t>Pemilik Entitas Induk 220.332</t>
        </is>
      </c>
      <c r="J4169" t="inlineStr">
        <is>
          <t>High</t>
        </is>
      </c>
      <c r="M4169" t="inlineStr">
        <is>
          <t>LLM</t>
        </is>
      </c>
      <c r="N4169" t="inlineStr">
        <is>
          <t>2026-04-19</t>
        </is>
      </c>
      <c r="O4169" t="inlineStr">
        <is>
          <t>AI</t>
        </is>
      </c>
    </row>
    <row r="4170">
      <c r="A4170" t="inlineStr">
        <is>
          <t>PT Pinago Utama Tbk</t>
        </is>
      </c>
      <c r="B4170" t="inlineStr">
        <is>
          <t>PNGO_2024_AR.pdf</t>
        </is>
      </c>
      <c r="C4170" t="n">
        <v>2024</v>
      </c>
      <c r="D4170" t="inlineStr">
        <is>
          <t>Financial</t>
        </is>
      </c>
      <c r="E4170" t="inlineStr">
        <is>
          <t>Total Assets</t>
        </is>
      </c>
      <c r="F4170" t="n">
        <v>1764</v>
      </c>
      <c r="G4170" t="inlineStr">
        <is>
          <t>IDR bn</t>
        </is>
      </c>
      <c r="H4170" t="n">
        <v>10</v>
      </c>
      <c r="I4170" t="inlineStr">
        <is>
          <t>Jumlah Aset 1.764 (miliar Rupiah); Rp1.763.677.465.138 per balance sheet</t>
        </is>
      </c>
      <c r="J4170" t="inlineStr">
        <is>
          <t>High</t>
        </is>
      </c>
      <c r="M4170" t="inlineStr">
        <is>
          <t>LLM</t>
        </is>
      </c>
      <c r="N4170" t="inlineStr">
        <is>
          <t>2026-04-19</t>
        </is>
      </c>
      <c r="O4170" t="inlineStr">
        <is>
          <t>AI</t>
        </is>
      </c>
    </row>
    <row r="4171">
      <c r="A4171" t="inlineStr">
        <is>
          <t>PT Pinago Utama Tbk</t>
        </is>
      </c>
      <c r="B4171" t="inlineStr">
        <is>
          <t>PNGO_2024_AR.pdf</t>
        </is>
      </c>
      <c r="C4171" t="n">
        <v>2024</v>
      </c>
      <c r="D4171" t="inlineStr">
        <is>
          <t>Financial</t>
        </is>
      </c>
      <c r="E4171" t="inlineStr">
        <is>
          <t>Current Assets</t>
        </is>
      </c>
      <c r="F4171" t="n">
        <v>502</v>
      </c>
      <c r="G4171" t="inlineStr">
        <is>
          <t>IDR bn</t>
        </is>
      </c>
      <c r="H4171" t="n">
        <v>88</v>
      </c>
      <c r="I4171" t="inlineStr">
        <is>
          <t>Aset Lancar 501.647 (juta) = Rp501.65 miliar</t>
        </is>
      </c>
      <c r="J4171" t="inlineStr">
        <is>
          <t>High</t>
        </is>
      </c>
      <c r="M4171" t="inlineStr">
        <is>
          <t>LLM</t>
        </is>
      </c>
      <c r="N4171" t="inlineStr">
        <is>
          <t>2026-04-19</t>
        </is>
      </c>
      <c r="O4171" t="inlineStr">
        <is>
          <t>AI</t>
        </is>
      </c>
    </row>
    <row r="4172">
      <c r="A4172" t="inlineStr">
        <is>
          <t>PT Pinago Utama Tbk</t>
        </is>
      </c>
      <c r="B4172" t="inlineStr">
        <is>
          <t>PNGO_2024_AR.pdf</t>
        </is>
      </c>
      <c r="C4172" t="n">
        <v>2024</v>
      </c>
      <c r="D4172" t="inlineStr">
        <is>
          <t>Financial</t>
        </is>
      </c>
      <c r="E4172" t="inlineStr">
        <is>
          <t>Non-Current Assets</t>
        </is>
      </c>
      <c r="F4172" t="n">
        <v>1262</v>
      </c>
      <c r="G4172" t="inlineStr">
        <is>
          <t>IDR bn</t>
        </is>
      </c>
      <c r="H4172" t="n">
        <v>88</v>
      </c>
      <c r="I4172" t="inlineStr">
        <is>
          <t>Aset Tidak Lancar 1.262.030 (juta) = Rp1,262.03 miliar</t>
        </is>
      </c>
      <c r="J4172" t="inlineStr">
        <is>
          <t>High</t>
        </is>
      </c>
      <c r="M4172" t="inlineStr">
        <is>
          <t>LLM</t>
        </is>
      </c>
      <c r="N4172" t="inlineStr">
        <is>
          <t>2026-04-19</t>
        </is>
      </c>
      <c r="O4172" t="inlineStr">
        <is>
          <t>AI</t>
        </is>
      </c>
    </row>
    <row r="4173">
      <c r="A4173" t="inlineStr">
        <is>
          <t>PT Pinago Utama Tbk</t>
        </is>
      </c>
      <c r="B4173" t="inlineStr">
        <is>
          <t>PNGO_2024_AR.pdf</t>
        </is>
      </c>
      <c r="C4173" t="n">
        <v>2024</v>
      </c>
      <c r="D4173" t="inlineStr">
        <is>
          <t>Financial</t>
        </is>
      </c>
      <c r="E4173" t="inlineStr">
        <is>
          <t>Total Liabilities</t>
        </is>
      </c>
      <c r="F4173" t="n">
        <v>798</v>
      </c>
      <c r="G4173" t="inlineStr">
        <is>
          <t>IDR bn</t>
        </is>
      </c>
      <c r="H4173" t="n">
        <v>88</v>
      </c>
      <c r="I4173" t="inlineStr">
        <is>
          <t>Total Liabilitas 797.870 (juta) = Rp797.87 miliar</t>
        </is>
      </c>
      <c r="J4173" t="inlineStr">
        <is>
          <t>High</t>
        </is>
      </c>
      <c r="M4173" t="inlineStr">
        <is>
          <t>LLM</t>
        </is>
      </c>
      <c r="N4173" t="inlineStr">
        <is>
          <t>2026-04-19</t>
        </is>
      </c>
      <c r="O4173" t="inlineStr">
        <is>
          <t>AI</t>
        </is>
      </c>
    </row>
    <row r="4174">
      <c r="A4174" t="inlineStr">
        <is>
          <t>PT Pinago Utama Tbk</t>
        </is>
      </c>
      <c r="B4174" t="inlineStr">
        <is>
          <t>PNGO_2024_AR.pdf</t>
        </is>
      </c>
      <c r="C4174" t="n">
        <v>2024</v>
      </c>
      <c r="D4174" t="inlineStr">
        <is>
          <t>Financial</t>
        </is>
      </c>
      <c r="E4174" t="inlineStr">
        <is>
          <t>Current Liabilities</t>
        </is>
      </c>
      <c r="F4174" t="n">
        <v>489</v>
      </c>
      <c r="G4174" t="inlineStr">
        <is>
          <t>IDR bn</t>
        </is>
      </c>
      <c r="H4174" t="n">
        <v>88</v>
      </c>
      <c r="I4174" t="inlineStr">
        <is>
          <t>Liabilitas Jangka Pendek 488.569 (juta)</t>
        </is>
      </c>
      <c r="J4174" t="inlineStr">
        <is>
          <t>High</t>
        </is>
      </c>
      <c r="M4174" t="inlineStr">
        <is>
          <t>LLM</t>
        </is>
      </c>
      <c r="N4174" t="inlineStr">
        <is>
          <t>2026-04-19</t>
        </is>
      </c>
      <c r="O4174" t="inlineStr">
        <is>
          <t>AI</t>
        </is>
      </c>
    </row>
    <row r="4175">
      <c r="A4175" t="inlineStr">
        <is>
          <t>PT Pinago Utama Tbk</t>
        </is>
      </c>
      <c r="B4175" t="inlineStr">
        <is>
          <t>PNGO_2024_AR.pdf</t>
        </is>
      </c>
      <c r="C4175" t="n">
        <v>2024</v>
      </c>
      <c r="D4175" t="inlineStr">
        <is>
          <t>Financial</t>
        </is>
      </c>
      <c r="E4175" t="inlineStr">
        <is>
          <t>Non-Current Liabilities</t>
        </is>
      </c>
      <c r="F4175" t="n">
        <v>309</v>
      </c>
      <c r="G4175" t="inlineStr">
        <is>
          <t>IDR bn</t>
        </is>
      </c>
      <c r="H4175" t="n">
        <v>88</v>
      </c>
      <c r="I4175" t="inlineStr">
        <is>
          <t>Liabilitas Jangka Panjang 309.301 (juta)</t>
        </is>
      </c>
      <c r="J4175" t="inlineStr">
        <is>
          <t>High</t>
        </is>
      </c>
      <c r="M4175" t="inlineStr">
        <is>
          <t>LLM</t>
        </is>
      </c>
      <c r="N4175" t="inlineStr">
        <is>
          <t>2026-04-19</t>
        </is>
      </c>
      <c r="O4175" t="inlineStr">
        <is>
          <t>AI</t>
        </is>
      </c>
    </row>
    <row r="4176">
      <c r="A4176" t="inlineStr">
        <is>
          <t>PT Pinago Utama Tbk</t>
        </is>
      </c>
      <c r="B4176" t="inlineStr">
        <is>
          <t>PNGO_2024_AR.pdf</t>
        </is>
      </c>
      <c r="C4176" t="n">
        <v>2024</v>
      </c>
      <c r="D4176" t="inlineStr">
        <is>
          <t>Financial</t>
        </is>
      </c>
      <c r="E4176" t="inlineStr">
        <is>
          <t>Total Equity</t>
        </is>
      </c>
      <c r="F4176" t="n">
        <v>966</v>
      </c>
      <c r="G4176" t="inlineStr">
        <is>
          <t>IDR bn</t>
        </is>
      </c>
      <c r="H4176" t="n">
        <v>88</v>
      </c>
      <c r="I4176" t="inlineStr">
        <is>
          <t>Total Ekuitas 965.807 (juta)</t>
        </is>
      </c>
      <c r="J4176" t="inlineStr">
        <is>
          <t>High</t>
        </is>
      </c>
      <c r="M4176" t="inlineStr">
        <is>
          <t>LLM</t>
        </is>
      </c>
      <c r="N4176" t="inlineStr">
        <is>
          <t>2026-04-19</t>
        </is>
      </c>
      <c r="O4176" t="inlineStr">
        <is>
          <t>AI</t>
        </is>
      </c>
    </row>
    <row r="4177">
      <c r="A4177" t="inlineStr">
        <is>
          <t>PT Pinago Utama Tbk</t>
        </is>
      </c>
      <c r="B4177" t="inlineStr">
        <is>
          <t>PNGO_2024_AR.pdf</t>
        </is>
      </c>
      <c r="C4177" t="n">
        <v>2024</v>
      </c>
      <c r="D4177" t="inlineStr">
        <is>
          <t>Financial</t>
        </is>
      </c>
      <c r="E4177" t="inlineStr">
        <is>
          <t>Cash &amp; Cash Equivalents</t>
        </is>
      </c>
      <c r="F4177" t="n">
        <v>22</v>
      </c>
      <c r="G4177" t="inlineStr">
        <is>
          <t>IDR bn</t>
        </is>
      </c>
      <c r="H4177" t="n">
        <v>220</v>
      </c>
      <c r="I4177" t="inlineStr">
        <is>
          <t>Kas dan setara kas 22.381.348.476</t>
        </is>
      </c>
      <c r="J4177" t="inlineStr">
        <is>
          <t>High</t>
        </is>
      </c>
      <c r="M4177" t="inlineStr">
        <is>
          <t>LLM</t>
        </is>
      </c>
      <c r="N4177" t="inlineStr">
        <is>
          <t>2026-04-19</t>
        </is>
      </c>
      <c r="O4177" t="inlineStr">
        <is>
          <t>AI</t>
        </is>
      </c>
    </row>
    <row r="4178">
      <c r="A4178" t="inlineStr">
        <is>
          <t>PT Pinago Utama Tbk</t>
        </is>
      </c>
      <c r="B4178" t="inlineStr">
        <is>
          <t>PNGO_2024_AR.pdf</t>
        </is>
      </c>
      <c r="C4178" t="n">
        <v>2024</v>
      </c>
      <c r="D4178" t="inlineStr">
        <is>
          <t>Financial</t>
        </is>
      </c>
      <c r="E4178" t="inlineStr">
        <is>
          <t>Short-term Bank Loans</t>
        </is>
      </c>
      <c r="F4178" t="n">
        <v>270</v>
      </c>
      <c r="G4178" t="inlineStr">
        <is>
          <t>IDR bn</t>
        </is>
      </c>
      <c r="H4178" t="n">
        <v>221</v>
      </c>
      <c r="I4178" t="inlineStr">
        <is>
          <t>Utang bank jangka pendek 270.478.360.000</t>
        </is>
      </c>
      <c r="J4178" t="inlineStr">
        <is>
          <t>High</t>
        </is>
      </c>
      <c r="M4178" t="inlineStr">
        <is>
          <t>LLM</t>
        </is>
      </c>
      <c r="N4178" t="inlineStr">
        <is>
          <t>2026-04-19</t>
        </is>
      </c>
      <c r="O4178" t="inlineStr">
        <is>
          <t>AI</t>
        </is>
      </c>
    </row>
    <row r="4179">
      <c r="A4179" t="inlineStr">
        <is>
          <t>PT Pinago Utama Tbk</t>
        </is>
      </c>
      <c r="B4179" t="inlineStr">
        <is>
          <t>PNGO_2024_AR.pdf</t>
        </is>
      </c>
      <c r="C4179" t="n">
        <v>2024</v>
      </c>
      <c r="D4179" t="inlineStr">
        <is>
          <t>Financial</t>
        </is>
      </c>
      <c r="E4179" t="inlineStr">
        <is>
          <t>Current Portion Long-term Bank Loans</t>
        </is>
      </c>
      <c r="F4179" t="n">
        <v>111</v>
      </c>
      <c r="G4179" t="inlineStr">
        <is>
          <t>IDR bn</t>
        </is>
      </c>
      <c r="H4179" t="n">
        <v>221</v>
      </c>
      <c r="I4179" t="inlineStr">
        <is>
          <t>Utang bank (current maturity) 110.833.333.333</t>
        </is>
      </c>
      <c r="J4179" t="inlineStr">
        <is>
          <t>High</t>
        </is>
      </c>
      <c r="M4179" t="inlineStr">
        <is>
          <t>LLM</t>
        </is>
      </c>
      <c r="N4179" t="inlineStr">
        <is>
          <t>2026-04-19</t>
        </is>
      </c>
      <c r="O4179" t="inlineStr">
        <is>
          <t>AI</t>
        </is>
      </c>
    </row>
    <row r="4180">
      <c r="A4180" t="inlineStr">
        <is>
          <t>PT Pinago Utama Tbk</t>
        </is>
      </c>
      <c r="B4180" t="inlineStr">
        <is>
          <t>PNGO_2024_AR.pdf</t>
        </is>
      </c>
      <c r="C4180" t="n">
        <v>2024</v>
      </c>
      <c r="D4180" t="inlineStr">
        <is>
          <t>Financial</t>
        </is>
      </c>
      <c r="E4180" t="inlineStr">
        <is>
          <t>Long-term Bank Loans</t>
        </is>
      </c>
      <c r="F4180" t="n">
        <v>208</v>
      </c>
      <c r="G4180" t="inlineStr">
        <is>
          <t>IDR bn</t>
        </is>
      </c>
      <c r="H4180" t="n">
        <v>221</v>
      </c>
      <c r="I4180" t="inlineStr">
        <is>
          <t>Utang bank 208.424.079.547</t>
        </is>
      </c>
      <c r="J4180" t="inlineStr">
        <is>
          <t>High</t>
        </is>
      </c>
      <c r="M4180" t="inlineStr">
        <is>
          <t>LLM</t>
        </is>
      </c>
      <c r="N4180" t="inlineStr">
        <is>
          <t>2026-04-19</t>
        </is>
      </c>
      <c r="O4180" t="inlineStr">
        <is>
          <t>AI</t>
        </is>
      </c>
    </row>
    <row r="4181">
      <c r="A4181" t="inlineStr">
        <is>
          <t>PT Pinago Utama Tbk</t>
        </is>
      </c>
      <c r="B4181" t="inlineStr">
        <is>
          <t>PNGO_2024_AR.pdf</t>
        </is>
      </c>
      <c r="C4181" t="n">
        <v>2024</v>
      </c>
      <c r="D4181" t="inlineStr">
        <is>
          <t>Financial</t>
        </is>
      </c>
      <c r="E4181" t="inlineStr">
        <is>
          <t>Gross Bank Debt</t>
        </is>
      </c>
      <c r="F4181" t="n">
        <v>590</v>
      </c>
      <c r="G4181" t="inlineStr">
        <is>
          <t>IDR bn</t>
        </is>
      </c>
      <c r="H4181" t="n">
        <v>221</v>
      </c>
      <c r="I4181" t="inlineStr">
        <is>
          <t>Calculated: 270.48+110.83+208.42 = 589.74 bn</t>
        </is>
      </c>
      <c r="J4181" t="inlineStr">
        <is>
          <t>High</t>
        </is>
      </c>
      <c r="M4181" t="inlineStr">
        <is>
          <t>LLM</t>
        </is>
      </c>
      <c r="N4181" t="inlineStr">
        <is>
          <t>2026-04-19</t>
        </is>
      </c>
      <c r="O4181" t="inlineStr">
        <is>
          <t>AI</t>
        </is>
      </c>
    </row>
    <row r="4182">
      <c r="A4182" t="inlineStr">
        <is>
          <t>PT Pinago Utama Tbk</t>
        </is>
      </c>
      <c r="B4182" t="inlineStr">
        <is>
          <t>PNGO_2024_AR.pdf</t>
        </is>
      </c>
      <c r="C4182" t="n">
        <v>2024</v>
      </c>
      <c r="D4182" t="inlineStr">
        <is>
          <t>Financial</t>
        </is>
      </c>
      <c r="E4182" t="inlineStr">
        <is>
          <t>Net Debt (reported)</t>
        </is>
      </c>
      <c r="F4182" t="n">
        <v>775</v>
      </c>
      <c r="G4182" t="inlineStr">
        <is>
          <t>IDR bn</t>
        </is>
      </c>
      <c r="H4182" t="n">
        <v>92</v>
      </c>
      <c r="I4182" t="inlineStr">
        <is>
          <t>Utang neto 775.489.005.456 (Total Liab - Cash)</t>
        </is>
      </c>
      <c r="J4182" t="inlineStr">
        <is>
          <t>High</t>
        </is>
      </c>
      <c r="M4182" t="inlineStr">
        <is>
          <t>LLM</t>
        </is>
      </c>
      <c r="N4182" t="inlineStr">
        <is>
          <t>2026-04-19</t>
        </is>
      </c>
      <c r="O4182" t="inlineStr">
        <is>
          <t>AI</t>
        </is>
      </c>
    </row>
    <row r="4183">
      <c r="A4183" t="inlineStr">
        <is>
          <t>PT Pinago Utama Tbk</t>
        </is>
      </c>
      <c r="B4183" t="inlineStr">
        <is>
          <t>PNGO_2024_AR.pdf</t>
        </is>
      </c>
      <c r="C4183" t="n">
        <v>2024</v>
      </c>
      <c r="D4183" t="inlineStr">
        <is>
          <t>Financial</t>
        </is>
      </c>
      <c r="E4183" t="inlineStr">
        <is>
          <t>Trade Receivables (net)</t>
        </is>
      </c>
      <c r="F4183" t="n">
        <v>44</v>
      </c>
      <c r="G4183" t="inlineStr">
        <is>
          <t>IDR bn</t>
        </is>
      </c>
      <c r="H4183" t="n">
        <v>220</v>
      </c>
      <c r="I4183" t="inlineStr">
        <is>
          <t>Piutang usaha Pihak ketiga 36.416 + Pihak berelasi 7.323 = 43.74 bn</t>
        </is>
      </c>
      <c r="J4183" t="inlineStr">
        <is>
          <t>High</t>
        </is>
      </c>
      <c r="M4183" t="inlineStr">
        <is>
          <t>LLM</t>
        </is>
      </c>
      <c r="N4183" t="inlineStr">
        <is>
          <t>2026-04-19</t>
        </is>
      </c>
      <c r="O4183" t="inlineStr">
        <is>
          <t>AI</t>
        </is>
      </c>
    </row>
    <row r="4184">
      <c r="A4184" t="inlineStr">
        <is>
          <t>PT Pinago Utama Tbk</t>
        </is>
      </c>
      <c r="B4184" t="inlineStr">
        <is>
          <t>PNGO_2024_AR.pdf</t>
        </is>
      </c>
      <c r="C4184" t="n">
        <v>2024</v>
      </c>
      <c r="D4184" t="inlineStr">
        <is>
          <t>Financial</t>
        </is>
      </c>
      <c r="E4184" t="inlineStr">
        <is>
          <t>Inventories (net)</t>
        </is>
      </c>
      <c r="F4184" t="n">
        <v>309</v>
      </c>
      <c r="G4184" t="inlineStr">
        <is>
          <t>IDR bn</t>
        </is>
      </c>
      <c r="H4184" t="n">
        <v>220</v>
      </c>
      <c r="I4184" t="inlineStr">
        <is>
          <t>Persediaan – bersih 309.253.026.214</t>
        </is>
      </c>
      <c r="J4184" t="inlineStr">
        <is>
          <t>High</t>
        </is>
      </c>
      <c r="M4184" t="inlineStr">
        <is>
          <t>LLM</t>
        </is>
      </c>
      <c r="N4184" t="inlineStr">
        <is>
          <t>2026-04-19</t>
        </is>
      </c>
      <c r="O4184" t="inlineStr">
        <is>
          <t>AI</t>
        </is>
      </c>
    </row>
    <row r="4185">
      <c r="A4185" t="inlineStr">
        <is>
          <t>PT Pinago Utama Tbk</t>
        </is>
      </c>
      <c r="B4185" t="inlineStr">
        <is>
          <t>PNGO_2024_AR.pdf</t>
        </is>
      </c>
      <c r="C4185" t="n">
        <v>2024</v>
      </c>
      <c r="D4185" t="inlineStr">
        <is>
          <t>Financial</t>
        </is>
      </c>
      <c r="E4185" t="inlineStr">
        <is>
          <t>CFO</t>
        </is>
      </c>
      <c r="F4185" t="n">
        <v>157</v>
      </c>
      <c r="G4185" t="inlineStr">
        <is>
          <t>IDR bn</t>
        </is>
      </c>
      <c r="H4185" t="n">
        <v>90</v>
      </c>
      <c r="I4185" t="inlineStr">
        <is>
          <t>Arus Kas dari Aktivitas Operasi 156.998 (juta)</t>
        </is>
      </c>
      <c r="J4185" t="inlineStr">
        <is>
          <t>High</t>
        </is>
      </c>
      <c r="M4185" t="inlineStr">
        <is>
          <t>LLM</t>
        </is>
      </c>
      <c r="N4185" t="inlineStr">
        <is>
          <t>2026-04-19</t>
        </is>
      </c>
      <c r="O4185" t="inlineStr">
        <is>
          <t>AI</t>
        </is>
      </c>
    </row>
    <row r="4186">
      <c r="A4186" t="inlineStr">
        <is>
          <t>PT Pinago Utama Tbk</t>
        </is>
      </c>
      <c r="B4186" t="inlineStr">
        <is>
          <t>PNGO_2024_AR.pdf</t>
        </is>
      </c>
      <c r="C4186" t="n">
        <v>2024</v>
      </c>
      <c r="D4186" t="inlineStr">
        <is>
          <t>Financial</t>
        </is>
      </c>
      <c r="E4186" t="inlineStr">
        <is>
          <t>CFI</t>
        </is>
      </c>
      <c r="F4186" t="n">
        <v>-140</v>
      </c>
      <c r="G4186" t="inlineStr">
        <is>
          <t>IDR bn</t>
        </is>
      </c>
      <c r="H4186" t="n">
        <v>90</v>
      </c>
      <c r="I4186" t="inlineStr">
        <is>
          <t>Arus Kas dari Aktivitas Investasi (140.432) (juta)</t>
        </is>
      </c>
      <c r="J4186" t="inlineStr">
        <is>
          <t>High</t>
        </is>
      </c>
      <c r="M4186" t="inlineStr">
        <is>
          <t>LLM</t>
        </is>
      </c>
      <c r="N4186" t="inlineStr">
        <is>
          <t>2026-04-19</t>
        </is>
      </c>
      <c r="O4186" t="inlineStr">
        <is>
          <t>AI</t>
        </is>
      </c>
    </row>
    <row r="4187">
      <c r="A4187" t="inlineStr">
        <is>
          <t>PT Pinago Utama Tbk</t>
        </is>
      </c>
      <c r="B4187" t="inlineStr">
        <is>
          <t>PNGO_2024_AR.pdf</t>
        </is>
      </c>
      <c r="C4187" t="n">
        <v>2024</v>
      </c>
      <c r="D4187" t="inlineStr">
        <is>
          <t>Financial</t>
        </is>
      </c>
      <c r="E4187" t="inlineStr">
        <is>
          <t>CFF</t>
        </is>
      </c>
      <c r="F4187" t="n">
        <v>-23</v>
      </c>
      <c r="G4187" t="inlineStr">
        <is>
          <t>IDR bn</t>
        </is>
      </c>
      <c r="H4187" t="n">
        <v>90</v>
      </c>
      <c r="I4187" t="inlineStr">
        <is>
          <t>Arus Kas dari Aktivitas Pendanaan (22.894) (juta)</t>
        </is>
      </c>
      <c r="J4187" t="inlineStr">
        <is>
          <t>High</t>
        </is>
      </c>
      <c r="M4187" t="inlineStr">
        <is>
          <t>LLM</t>
        </is>
      </c>
      <c r="N4187" t="inlineStr">
        <is>
          <t>2026-04-19</t>
        </is>
      </c>
      <c r="O4187" t="inlineStr">
        <is>
          <t>AI</t>
        </is>
      </c>
    </row>
    <row r="4188">
      <c r="A4188" t="inlineStr">
        <is>
          <t>PT Pinago Utama Tbk</t>
        </is>
      </c>
      <c r="B4188" t="inlineStr">
        <is>
          <t>PNGO_2024_AR.pdf</t>
        </is>
      </c>
      <c r="C4188" t="n">
        <v>2024</v>
      </c>
      <c r="D4188" t="inlineStr">
        <is>
          <t>Financial</t>
        </is>
      </c>
      <c r="E4188" t="inlineStr">
        <is>
          <t>Capex</t>
        </is>
      </c>
      <c r="F4188" t="n">
        <v>157</v>
      </c>
      <c r="G4188" t="inlineStr">
        <is>
          <t>IDR bn</t>
        </is>
      </c>
      <c r="H4188" t="n">
        <v>92</v>
      </c>
      <c r="I4188" t="inlineStr">
        <is>
          <t>Belanja barang modal total Rp156.996 juta: Aset Tetap 72.670 + Tanaman Produktif 84.326</t>
        </is>
      </c>
      <c r="J4188" t="inlineStr">
        <is>
          <t>High</t>
        </is>
      </c>
      <c r="M4188" t="inlineStr">
        <is>
          <t>LLM</t>
        </is>
      </c>
      <c r="N4188" t="inlineStr">
        <is>
          <t>2026-04-19</t>
        </is>
      </c>
      <c r="O4188" t="inlineStr">
        <is>
          <t>AI</t>
        </is>
      </c>
    </row>
    <row r="4189">
      <c r="A4189" t="inlineStr">
        <is>
          <t>PT Pinago Utama Tbk</t>
        </is>
      </c>
      <c r="B4189" t="inlineStr">
        <is>
          <t>PNGO_2024_AR.pdf</t>
        </is>
      </c>
      <c r="C4189" t="n">
        <v>2024</v>
      </c>
      <c r="D4189" t="inlineStr">
        <is>
          <t>Financial</t>
        </is>
      </c>
      <c r="E4189" t="inlineStr">
        <is>
          <t>EPS</t>
        </is>
      </c>
      <c r="F4189" t="n">
        <v>282</v>
      </c>
      <c r="G4189" t="inlineStr">
        <is>
          <t>Rp/share</t>
        </is>
      </c>
      <c r="H4189" t="n">
        <v>8</v>
      </c>
      <c r="I4189" t="inlineStr">
        <is>
          <t>Laba Saham 282 245 222 (2024, 2023, 2022)</t>
        </is>
      </c>
      <c r="J4189" t="inlineStr">
        <is>
          <t>High</t>
        </is>
      </c>
      <c r="M4189" t="inlineStr">
        <is>
          <t>LLM</t>
        </is>
      </c>
      <c r="N4189" t="inlineStr">
        <is>
          <t>2026-04-19</t>
        </is>
      </c>
      <c r="O4189" t="inlineStr">
        <is>
          <t>AI</t>
        </is>
      </c>
    </row>
    <row r="4190">
      <c r="A4190" t="inlineStr">
        <is>
          <t>PT Pinago Utama Tbk</t>
        </is>
      </c>
      <c r="B4190" t="inlineStr">
        <is>
          <t>PNGO_2024_AR.pdf</t>
        </is>
      </c>
      <c r="C4190" t="n">
        <v>2024</v>
      </c>
      <c r="D4190" t="inlineStr">
        <is>
          <t>Financial</t>
        </is>
      </c>
      <c r="E4190" t="inlineStr">
        <is>
          <t>Shares Outstanding</t>
        </is>
      </c>
      <c r="F4190" t="n">
        <v>781250000</v>
      </c>
      <c r="G4190" t="inlineStr">
        <is>
          <t>shares</t>
        </is>
      </c>
      <c r="H4190" t="n">
        <v>11</v>
      </c>
      <c r="I4190" t="inlineStr">
        <is>
          <t>jumlah saham Perseroan... 781.250.000</t>
        </is>
      </c>
      <c r="J4190" t="inlineStr">
        <is>
          <t>High</t>
        </is>
      </c>
      <c r="M4190" t="inlineStr">
        <is>
          <t>LLM</t>
        </is>
      </c>
      <c r="N4190" t="inlineStr">
        <is>
          <t>2026-04-19</t>
        </is>
      </c>
      <c r="O4190" t="inlineStr">
        <is>
          <t>AI</t>
        </is>
      </c>
    </row>
    <row r="4191">
      <c r="A4191" t="inlineStr">
        <is>
          <t>PT Pinago Utama Tbk</t>
        </is>
      </c>
      <c r="B4191" t="inlineStr">
        <is>
          <t>PNGO_2024_AR.pdf</t>
        </is>
      </c>
      <c r="C4191" t="n">
        <v>2024</v>
      </c>
      <c r="D4191" t="inlineStr">
        <is>
          <t>Financial</t>
        </is>
      </c>
      <c r="E4191" t="inlineStr">
        <is>
          <t>Closing Price (31 Dec 2024)</t>
        </is>
      </c>
      <c r="F4191" t="n">
        <v>1610</v>
      </c>
      <c r="G4191" t="inlineStr">
        <is>
          <t>Rp/share</t>
        </is>
      </c>
      <c r="H4191" t="n">
        <v>11</v>
      </c>
      <c r="I4191" t="inlineStr">
        <is>
          <t>Kuarter IV 781.250.000 1.965 1.600 1.610</t>
        </is>
      </c>
      <c r="J4191" t="inlineStr">
        <is>
          <t>High</t>
        </is>
      </c>
      <c r="M4191" t="inlineStr">
        <is>
          <t>LLM</t>
        </is>
      </c>
      <c r="N4191" t="inlineStr">
        <is>
          <t>2026-04-19</t>
        </is>
      </c>
      <c r="O4191" t="inlineStr">
        <is>
          <t>AI</t>
        </is>
      </c>
    </row>
    <row r="4192">
      <c r="A4192" t="inlineStr">
        <is>
          <t>PT Pinago Utama Tbk</t>
        </is>
      </c>
      <c r="B4192" t="inlineStr">
        <is>
          <t>PNGO_2024_AR.pdf</t>
        </is>
      </c>
      <c r="C4192" t="n">
        <v>2024</v>
      </c>
      <c r="D4192" t="inlineStr">
        <is>
          <t>Financial</t>
        </is>
      </c>
      <c r="E4192" t="inlineStr">
        <is>
          <t>Market Cap</t>
        </is>
      </c>
      <c r="F4192" t="n">
        <v>1258</v>
      </c>
      <c r="G4192" t="inlineStr">
        <is>
          <t>IDR bn</t>
        </is>
      </c>
      <c r="H4192" t="n">
        <v>11</v>
      </c>
      <c r="I4192" t="inlineStr">
        <is>
          <t>Kuarter IV ... Kapitalisasi 1.257.812.500.000</t>
        </is>
      </c>
      <c r="J4192" t="inlineStr">
        <is>
          <t>High</t>
        </is>
      </c>
      <c r="M4192" t="inlineStr">
        <is>
          <t>LLM</t>
        </is>
      </c>
      <c r="N4192" t="inlineStr">
        <is>
          <t>2026-04-19</t>
        </is>
      </c>
      <c r="O4192" t="inlineStr">
        <is>
          <t>AI</t>
        </is>
      </c>
    </row>
    <row r="4193">
      <c r="A4193" t="inlineStr">
        <is>
          <t>PT Pinago Utama Tbk</t>
        </is>
      </c>
      <c r="B4193" t="inlineStr">
        <is>
          <t>PNGO_2024_AR.pdf</t>
        </is>
      </c>
      <c r="C4193" t="n">
        <v>2024</v>
      </c>
      <c r="D4193" t="inlineStr">
        <is>
          <t>Financial</t>
        </is>
      </c>
      <c r="E4193" t="inlineStr">
        <is>
          <t>Final DPS (FY2023 paid 2024)</t>
        </is>
      </c>
      <c r="F4193" t="n">
        <v>52</v>
      </c>
      <c r="G4193" t="inlineStr">
        <is>
          <t>Rp/share</t>
        </is>
      </c>
      <c r="H4193" t="n">
        <v>11</v>
      </c>
      <c r="I4193" t="inlineStr">
        <is>
          <t>dividen final tunai sebesar Rp.40.625.000.000 / 781,250,000 = Rp52/share</t>
        </is>
      </c>
      <c r="J4193" t="inlineStr">
        <is>
          <t>High</t>
        </is>
      </c>
      <c r="M4193" t="inlineStr">
        <is>
          <t>LLM</t>
        </is>
      </c>
      <c r="N4193" t="inlineStr">
        <is>
          <t>2026-04-19</t>
        </is>
      </c>
      <c r="O4193" t="inlineStr">
        <is>
          <t>AI</t>
        </is>
      </c>
    </row>
    <row r="4194">
      <c r="A4194" t="inlineStr">
        <is>
          <t>PT Pinago Utama Tbk</t>
        </is>
      </c>
      <c r="B4194" t="inlineStr">
        <is>
          <t>PNGO_2024_AR.pdf</t>
        </is>
      </c>
      <c r="C4194" t="n">
        <v>2024</v>
      </c>
      <c r="D4194" t="inlineStr">
        <is>
          <t>Financial</t>
        </is>
      </c>
      <c r="E4194" t="inlineStr">
        <is>
          <t>Interim DPS (FY2024)</t>
        </is>
      </c>
      <c r="F4194" t="n">
        <v>40</v>
      </c>
      <c r="G4194" t="inlineStr">
        <is>
          <t>Rp/share</t>
        </is>
      </c>
      <c r="H4194" t="n">
        <v>11</v>
      </c>
      <c r="I4194" t="inlineStr">
        <is>
          <t>Dividen Tunai Interim sebesar Rp.40,- per lembar saham</t>
        </is>
      </c>
      <c r="J4194" t="inlineStr">
        <is>
          <t>High</t>
        </is>
      </c>
      <c r="M4194" t="inlineStr">
        <is>
          <t>LLM</t>
        </is>
      </c>
      <c r="N4194" t="inlineStr">
        <is>
          <t>2026-04-19</t>
        </is>
      </c>
      <c r="O4194" t="inlineStr">
        <is>
          <t>AI</t>
        </is>
      </c>
    </row>
    <row r="4195">
      <c r="A4195" t="inlineStr">
        <is>
          <t>PT Pinago Utama Tbk</t>
        </is>
      </c>
      <c r="B4195" t="inlineStr">
        <is>
          <t>PNGO_2024_AR.pdf</t>
        </is>
      </c>
      <c r="C4195" t="n">
        <v>2024</v>
      </c>
      <c r="D4195" t="inlineStr">
        <is>
          <t>Financial</t>
        </is>
      </c>
      <c r="E4195" t="inlineStr">
        <is>
          <t>DER</t>
        </is>
      </c>
      <c r="F4195" t="n">
        <v>0.83</v>
      </c>
      <c r="G4195" t="inlineStr">
        <is>
          <t>x</t>
        </is>
      </c>
      <c r="H4195" t="n">
        <v>91</v>
      </c>
      <c r="I4195" t="inlineStr">
        <is>
          <t>DER, current ratio, dan interest coverage ratio Perseroan tercatat masing-masing sebesar 0,83, 1,03, dan 1,78</t>
        </is>
      </c>
      <c r="J4195" t="inlineStr">
        <is>
          <t>High</t>
        </is>
      </c>
      <c r="M4195" t="inlineStr">
        <is>
          <t>LLM</t>
        </is>
      </c>
      <c r="N4195" t="inlineStr">
        <is>
          <t>2026-04-19</t>
        </is>
      </c>
      <c r="O4195" t="inlineStr">
        <is>
          <t>AI</t>
        </is>
      </c>
    </row>
    <row r="4196">
      <c r="A4196" t="inlineStr">
        <is>
          <t>PT Pinago Utama Tbk</t>
        </is>
      </c>
      <c r="B4196" t="inlineStr">
        <is>
          <t>PNGO_2024_AR.pdf</t>
        </is>
      </c>
      <c r="C4196" t="n">
        <v>2024</v>
      </c>
      <c r="D4196" t="inlineStr">
        <is>
          <t>Financial</t>
        </is>
      </c>
      <c r="E4196" t="inlineStr">
        <is>
          <t>Current Ratio</t>
        </is>
      </c>
      <c r="F4196" t="n">
        <v>1.03</v>
      </c>
      <c r="G4196" t="inlineStr">
        <is>
          <t>x</t>
        </is>
      </c>
      <c r="H4196" t="n">
        <v>91</v>
      </c>
      <c r="I4196" t="inlineStr">
        <is>
          <t>current ratio ... 1,03</t>
        </is>
      </c>
      <c r="J4196" t="inlineStr">
        <is>
          <t>High</t>
        </is>
      </c>
      <c r="M4196" t="inlineStr">
        <is>
          <t>LLM</t>
        </is>
      </c>
      <c r="N4196" t="inlineStr">
        <is>
          <t>2026-04-19</t>
        </is>
      </c>
      <c r="O4196" t="inlineStr">
        <is>
          <t>AI</t>
        </is>
      </c>
    </row>
    <row r="4197">
      <c r="A4197" t="inlineStr">
        <is>
          <t>PT Pinago Utama Tbk</t>
        </is>
      </c>
      <c r="B4197" t="inlineStr">
        <is>
          <t>PNGO_2024_AR.pdf</t>
        </is>
      </c>
      <c r="C4197" t="n">
        <v>2024</v>
      </c>
      <c r="D4197" t="inlineStr">
        <is>
          <t>Financial</t>
        </is>
      </c>
      <c r="E4197" t="inlineStr">
        <is>
          <t>ROA</t>
        </is>
      </c>
      <c r="F4197" t="n">
        <v>0.1253</v>
      </c>
      <c r="G4197" t="inlineStr">
        <is>
          <t>%</t>
        </is>
      </c>
      <c r="H4197" t="n">
        <v>10</v>
      </c>
      <c r="I4197" t="inlineStr">
        <is>
          <t>Laba Bersih Terhadap Aset 12,53%</t>
        </is>
      </c>
      <c r="J4197" t="inlineStr">
        <is>
          <t>High</t>
        </is>
      </c>
      <c r="M4197" t="inlineStr">
        <is>
          <t>LLM</t>
        </is>
      </c>
      <c r="N4197" t="inlineStr">
        <is>
          <t>2026-04-19</t>
        </is>
      </c>
      <c r="O4197" t="inlineStr">
        <is>
          <t>AI</t>
        </is>
      </c>
    </row>
    <row r="4198">
      <c r="A4198" t="inlineStr">
        <is>
          <t>PT Pinago Utama Tbk</t>
        </is>
      </c>
      <c r="B4198" t="inlineStr">
        <is>
          <t>PNGO_2024_AR.pdf</t>
        </is>
      </c>
      <c r="C4198" t="n">
        <v>2024</v>
      </c>
      <c r="D4198" t="inlineStr">
        <is>
          <t>Financial</t>
        </is>
      </c>
      <c r="E4198" t="inlineStr">
        <is>
          <t>ROE</t>
        </is>
      </c>
      <c r="F4198" t="n">
        <v>0.2288</v>
      </c>
      <c r="G4198" t="inlineStr">
        <is>
          <t>%</t>
        </is>
      </c>
      <c r="H4198" t="n">
        <v>10</v>
      </c>
      <c r="I4198" t="inlineStr">
        <is>
          <t>Laba Bersih Terhadap Ekuitas 22,88%</t>
        </is>
      </c>
      <c r="J4198" t="inlineStr">
        <is>
          <t>High</t>
        </is>
      </c>
      <c r="M4198" t="inlineStr">
        <is>
          <t>LLM</t>
        </is>
      </c>
      <c r="N4198" t="inlineStr">
        <is>
          <t>2026-04-19</t>
        </is>
      </c>
      <c r="O4198" t="inlineStr">
        <is>
          <t>AI</t>
        </is>
      </c>
    </row>
    <row r="4199">
      <c r="A4199" t="inlineStr">
        <is>
          <t>PT Pinago Utama Tbk</t>
        </is>
      </c>
      <c r="B4199" t="inlineStr">
        <is>
          <t>PNGO_2024_AR.pdf</t>
        </is>
      </c>
      <c r="C4199" t="n">
        <v>2024</v>
      </c>
      <c r="D4199" t="inlineStr">
        <is>
          <t>Asset</t>
        </is>
      </c>
      <c r="E4199" t="inlineStr">
        <is>
          <t>Total Planted Palm Area</t>
        </is>
      </c>
      <c r="F4199" t="n">
        <v>15232</v>
      </c>
      <c r="G4199" t="inlineStr">
        <is>
          <t>ha</t>
        </is>
      </c>
      <c r="H4199" t="n">
        <v>94</v>
      </c>
      <c r="I4199" t="inlineStr">
        <is>
          <t>Total Lahan Sawit Tertanam ha ... Realisasi 2024 15.232</t>
        </is>
      </c>
      <c r="J4199" t="inlineStr">
        <is>
          <t>High</t>
        </is>
      </c>
      <c r="M4199" t="inlineStr">
        <is>
          <t>LLM</t>
        </is>
      </c>
      <c r="N4199" t="inlineStr">
        <is>
          <t>2026-04-19</t>
        </is>
      </c>
      <c r="O4199" t="inlineStr">
        <is>
          <t>AI</t>
        </is>
      </c>
    </row>
    <row r="4200">
      <c r="A4200" t="inlineStr">
        <is>
          <t>PT Pinago Utama Tbk</t>
        </is>
      </c>
      <c r="B4200" t="inlineStr">
        <is>
          <t>PNGO_2024_AR.pdf</t>
        </is>
      </c>
      <c r="C4200" t="n">
        <v>2024</v>
      </c>
      <c r="D4200" t="inlineStr">
        <is>
          <t>Asset</t>
        </is>
      </c>
      <c r="E4200" t="inlineStr">
        <is>
          <t>Mature Palm Area</t>
        </is>
      </c>
      <c r="F4200" t="n">
        <v>11485</v>
      </c>
      <c r="G4200" t="inlineStr">
        <is>
          <t>ha</t>
        </is>
      </c>
      <c r="H4200" t="n">
        <v>85</v>
      </c>
      <c r="I4200" t="inlineStr">
        <is>
          <t>Sumatra Selatan 11.485 75 3.747 25; Total Mature 11.485</t>
        </is>
      </c>
      <c r="J4200" t="inlineStr">
        <is>
          <t>High</t>
        </is>
      </c>
      <c r="M4200" t="inlineStr">
        <is>
          <t>LLM</t>
        </is>
      </c>
      <c r="N4200" t="inlineStr">
        <is>
          <t>2026-04-19</t>
        </is>
      </c>
      <c r="O4200" t="inlineStr">
        <is>
          <t>AI</t>
        </is>
      </c>
    </row>
    <row r="4201">
      <c r="A4201" t="inlineStr">
        <is>
          <t>PT Pinago Utama Tbk</t>
        </is>
      </c>
      <c r="B4201" t="inlineStr">
        <is>
          <t>PNGO_2024_AR.pdf</t>
        </is>
      </c>
      <c r="C4201" t="n">
        <v>2024</v>
      </c>
      <c r="D4201" t="inlineStr">
        <is>
          <t>Asset</t>
        </is>
      </c>
      <c r="E4201" t="inlineStr">
        <is>
          <t>Immature Palm Area</t>
        </is>
      </c>
      <c r="F4201" t="n">
        <v>3747</v>
      </c>
      <c r="G4201" t="inlineStr">
        <is>
          <t>ha</t>
        </is>
      </c>
      <c r="H4201" t="n">
        <v>85</v>
      </c>
      <c r="I4201" t="inlineStr">
        <is>
          <t>Belum Menghasilkan 3.747 25</t>
        </is>
      </c>
      <c r="J4201" t="inlineStr">
        <is>
          <t>High</t>
        </is>
      </c>
      <c r="M4201" t="inlineStr">
        <is>
          <t>LLM</t>
        </is>
      </c>
      <c r="N4201" t="inlineStr">
        <is>
          <t>2026-04-19</t>
        </is>
      </c>
      <c r="O4201" t="inlineStr">
        <is>
          <t>AI</t>
        </is>
      </c>
    </row>
    <row r="4202">
      <c r="A4202" t="inlineStr">
        <is>
          <t>PT Pinago Utama Tbk</t>
        </is>
      </c>
      <c r="B4202" t="inlineStr">
        <is>
          <t>PNGO_2024_AR.pdf</t>
        </is>
      </c>
      <c r="C4202" t="n">
        <v>2024</v>
      </c>
      <c r="D4202" t="inlineStr">
        <is>
          <t>Asset</t>
        </is>
      </c>
      <c r="E4202" t="inlineStr">
        <is>
          <t>Palm TM1-4 Area</t>
        </is>
      </c>
      <c r="F4202" t="n">
        <v>1084</v>
      </c>
      <c r="G4202" t="inlineStr">
        <is>
          <t>ha</t>
        </is>
      </c>
      <c r="H4202" t="n">
        <v>85</v>
      </c>
      <c r="I4202" t="inlineStr">
        <is>
          <t>TM 1 - TM 4 1.084</t>
        </is>
      </c>
      <c r="J4202" t="inlineStr">
        <is>
          <t>High</t>
        </is>
      </c>
      <c r="M4202" t="inlineStr">
        <is>
          <t>LLM</t>
        </is>
      </c>
      <c r="N4202" t="inlineStr">
        <is>
          <t>2026-04-19</t>
        </is>
      </c>
      <c r="O4202" t="inlineStr">
        <is>
          <t>AI</t>
        </is>
      </c>
    </row>
    <row r="4203">
      <c r="A4203" t="inlineStr">
        <is>
          <t>PT Pinago Utama Tbk</t>
        </is>
      </c>
      <c r="B4203" t="inlineStr">
        <is>
          <t>PNGO_2024_AR.pdf</t>
        </is>
      </c>
      <c r="C4203" t="n">
        <v>2024</v>
      </c>
      <c r="D4203" t="inlineStr">
        <is>
          <t>Asset</t>
        </is>
      </c>
      <c r="E4203" t="inlineStr">
        <is>
          <t>Palm TM5-14 Area</t>
        </is>
      </c>
      <c r="F4203" t="n">
        <v>8255</v>
      </c>
      <c r="G4203" t="inlineStr">
        <is>
          <t>ha</t>
        </is>
      </c>
      <c r="H4203" t="n">
        <v>85</v>
      </c>
      <c r="I4203" t="inlineStr">
        <is>
          <t>TM 5 - TM 14 8.255</t>
        </is>
      </c>
      <c r="J4203" t="inlineStr">
        <is>
          <t>High</t>
        </is>
      </c>
      <c r="M4203" t="inlineStr">
        <is>
          <t>LLM</t>
        </is>
      </c>
      <c r="N4203" t="inlineStr">
        <is>
          <t>2026-04-19</t>
        </is>
      </c>
      <c r="O4203" t="inlineStr">
        <is>
          <t>AI</t>
        </is>
      </c>
    </row>
    <row r="4204">
      <c r="A4204" t="inlineStr">
        <is>
          <t>PT Pinago Utama Tbk</t>
        </is>
      </c>
      <c r="B4204" t="inlineStr">
        <is>
          <t>PNGO_2024_AR.pdf</t>
        </is>
      </c>
      <c r="C4204" t="n">
        <v>2024</v>
      </c>
      <c r="D4204" t="inlineStr">
        <is>
          <t>Asset</t>
        </is>
      </c>
      <c r="E4204" t="inlineStr">
        <is>
          <t>Palm &gt;TM14 Area</t>
        </is>
      </c>
      <c r="F4204" t="n">
        <v>2146</v>
      </c>
      <c r="G4204" t="inlineStr">
        <is>
          <t>ha</t>
        </is>
      </c>
      <c r="H4204" t="n">
        <v>85</v>
      </c>
      <c r="I4204" t="inlineStr">
        <is>
          <t>&gt; TM 14 2.146</t>
        </is>
      </c>
      <c r="J4204" t="inlineStr">
        <is>
          <t>High</t>
        </is>
      </c>
      <c r="M4204" t="inlineStr">
        <is>
          <t>LLM</t>
        </is>
      </c>
      <c r="N4204" t="inlineStr">
        <is>
          <t>2026-04-19</t>
        </is>
      </c>
      <c r="O4204" t="inlineStr">
        <is>
          <t>AI</t>
        </is>
      </c>
    </row>
    <row r="4205">
      <c r="A4205" t="inlineStr">
        <is>
          <t>PT Pinago Utama Tbk</t>
        </is>
      </c>
      <c r="B4205" t="inlineStr">
        <is>
          <t>PNGO_2024_AR.pdf</t>
        </is>
      </c>
      <c r="C4205" t="n">
        <v>2024</v>
      </c>
      <c r="D4205" t="inlineStr">
        <is>
          <t>Asset</t>
        </is>
      </c>
      <c r="E4205" t="inlineStr">
        <is>
          <t>Rubber Mature Area</t>
        </is>
      </c>
      <c r="F4205" t="n">
        <v>2806</v>
      </c>
      <c r="G4205" t="inlineStr">
        <is>
          <t>ha</t>
        </is>
      </c>
      <c r="H4205" t="n">
        <v>87</v>
      </c>
      <c r="I4205" t="inlineStr">
        <is>
          <t>Sumatra Selatan 2.806 74 995 26 (Rubber)</t>
        </is>
      </c>
      <c r="J4205" t="inlineStr">
        <is>
          <t>High</t>
        </is>
      </c>
      <c r="M4205" t="inlineStr">
        <is>
          <t>LLM</t>
        </is>
      </c>
      <c r="N4205" t="inlineStr">
        <is>
          <t>2026-04-19</t>
        </is>
      </c>
      <c r="O4205" t="inlineStr">
        <is>
          <t>AI</t>
        </is>
      </c>
    </row>
    <row r="4206">
      <c r="A4206" t="inlineStr">
        <is>
          <t>PT Pinago Utama Tbk</t>
        </is>
      </c>
      <c r="B4206" t="inlineStr">
        <is>
          <t>PNGO_2024_AR.pdf</t>
        </is>
      </c>
      <c r="C4206" t="n">
        <v>2024</v>
      </c>
      <c r="D4206" t="inlineStr">
        <is>
          <t>Asset</t>
        </is>
      </c>
      <c r="E4206" t="inlineStr">
        <is>
          <t>Rubber Immature Area</t>
        </is>
      </c>
      <c r="F4206" t="n">
        <v>995</v>
      </c>
      <c r="G4206" t="inlineStr">
        <is>
          <t>ha</t>
        </is>
      </c>
      <c r="H4206" t="n">
        <v>87</v>
      </c>
      <c r="I4206" t="inlineStr">
        <is>
          <t>Belum Menghasilkan 995 26 (Rubber)</t>
        </is>
      </c>
      <c r="J4206" t="inlineStr">
        <is>
          <t>High</t>
        </is>
      </c>
      <c r="M4206" t="inlineStr">
        <is>
          <t>LLM</t>
        </is>
      </c>
      <c r="N4206" t="inlineStr">
        <is>
          <t>2026-04-19</t>
        </is>
      </c>
      <c r="O4206" t="inlineStr">
        <is>
          <t>AI</t>
        </is>
      </c>
    </row>
    <row r="4207">
      <c r="A4207" t="inlineStr">
        <is>
          <t>PT Pinago Utama Tbk</t>
        </is>
      </c>
      <c r="B4207" t="inlineStr">
        <is>
          <t>PNGO_2024_AR.pdf</t>
        </is>
      </c>
      <c r="C4207" t="n">
        <v>2024</v>
      </c>
      <c r="D4207" t="inlineStr">
        <is>
          <t>Asset</t>
        </is>
      </c>
      <c r="E4207" t="inlineStr">
        <is>
          <t>Palm Oil Mill (PMKS) Count</t>
        </is>
      </c>
      <c r="F4207" t="n">
        <v>1</v>
      </c>
      <c r="G4207" t="inlineStr">
        <is>
          <t>count</t>
        </is>
      </c>
      <c r="H4207" t="n">
        <v>84</v>
      </c>
      <c r="I4207" t="inlineStr">
        <is>
          <t>Perseroan telah memiliki satu (1) pabrik pengolahan kelapa sawit</t>
        </is>
      </c>
      <c r="J4207" t="inlineStr">
        <is>
          <t>High</t>
        </is>
      </c>
      <c r="M4207" t="inlineStr">
        <is>
          <t>LLM</t>
        </is>
      </c>
      <c r="N4207" t="inlineStr">
        <is>
          <t>2026-04-19</t>
        </is>
      </c>
      <c r="O4207" t="inlineStr">
        <is>
          <t>AI</t>
        </is>
      </c>
    </row>
    <row r="4208">
      <c r="A4208" t="inlineStr">
        <is>
          <t>PT Pinago Utama Tbk</t>
        </is>
      </c>
      <c r="B4208" t="inlineStr">
        <is>
          <t>PNGO_2024_AR.pdf</t>
        </is>
      </c>
      <c r="C4208" t="n">
        <v>2024</v>
      </c>
      <c r="D4208" t="inlineStr">
        <is>
          <t>Asset</t>
        </is>
      </c>
      <c r="E4208" t="inlineStr">
        <is>
          <t>PMKS Installed Capacity</t>
        </is>
      </c>
      <c r="F4208" t="n">
        <v>120</v>
      </c>
      <c r="G4208" t="inlineStr">
        <is>
          <t>tph</t>
        </is>
      </c>
      <c r="H4208" t="n">
        <v>84</v>
      </c>
      <c r="I4208" t="inlineStr">
        <is>
          <t>total kapasitas 120 ton Tbs per jam</t>
        </is>
      </c>
      <c r="J4208" t="inlineStr">
        <is>
          <t>High</t>
        </is>
      </c>
      <c r="M4208" t="inlineStr">
        <is>
          <t>LLM</t>
        </is>
      </c>
      <c r="N4208" t="inlineStr">
        <is>
          <t>2026-04-19</t>
        </is>
      </c>
      <c r="O4208" t="inlineStr">
        <is>
          <t>AI</t>
        </is>
      </c>
    </row>
    <row r="4209">
      <c r="A4209" t="inlineStr">
        <is>
          <t>PT Pinago Utama Tbk</t>
        </is>
      </c>
      <c r="B4209" t="inlineStr">
        <is>
          <t>PNGO_2024_AR.pdf</t>
        </is>
      </c>
      <c r="C4209" t="n">
        <v>2024</v>
      </c>
      <c r="D4209" t="inlineStr">
        <is>
          <t>Asset</t>
        </is>
      </c>
      <c r="E4209" t="inlineStr">
        <is>
          <t>PMKS Used Capacity</t>
        </is>
      </c>
      <c r="F4209" t="n">
        <v>83.5</v>
      </c>
      <c r="G4209" t="inlineStr">
        <is>
          <t>tph</t>
        </is>
      </c>
      <c r="H4209" t="n">
        <v>84</v>
      </c>
      <c r="I4209" t="inlineStr">
        <is>
          <t>Kapasitas Terpakai rata-rata 83,5 Ton Tbs /Jam</t>
        </is>
      </c>
      <c r="J4209" t="inlineStr">
        <is>
          <t>High</t>
        </is>
      </c>
      <c r="M4209" t="inlineStr">
        <is>
          <t>LLM</t>
        </is>
      </c>
      <c r="N4209" t="inlineStr">
        <is>
          <t>2026-04-19</t>
        </is>
      </c>
      <c r="O4209" t="inlineStr">
        <is>
          <t>AI</t>
        </is>
      </c>
    </row>
    <row r="4210">
      <c r="A4210" t="inlineStr">
        <is>
          <t>PT Pinago Utama Tbk</t>
        </is>
      </c>
      <c r="B4210" t="inlineStr">
        <is>
          <t>PNGO_2024_AR.pdf</t>
        </is>
      </c>
      <c r="C4210" t="n">
        <v>2024</v>
      </c>
      <c r="D4210" t="inlineStr">
        <is>
          <t>Asset</t>
        </is>
      </c>
      <c r="E4210" t="inlineStr">
        <is>
          <t>Crumb Rubber Plant Count</t>
        </is>
      </c>
      <c r="F4210" t="n">
        <v>1</v>
      </c>
      <c r="G4210" t="inlineStr">
        <is>
          <t>count</t>
        </is>
      </c>
      <c r="H4210" t="n">
        <v>86</v>
      </c>
      <c r="I4210" t="inlineStr">
        <is>
          <t>memiliki 1 (satu) pabrik Crumb Rubber</t>
        </is>
      </c>
      <c r="J4210" t="inlineStr">
        <is>
          <t>High</t>
        </is>
      </c>
      <c r="M4210" t="inlineStr">
        <is>
          <t>LLM</t>
        </is>
      </c>
      <c r="N4210" t="inlineStr">
        <is>
          <t>2026-04-19</t>
        </is>
      </c>
      <c r="O4210" t="inlineStr">
        <is>
          <t>AI</t>
        </is>
      </c>
    </row>
    <row r="4211">
      <c r="A4211" t="inlineStr">
        <is>
          <t>PT Pinago Utama Tbk</t>
        </is>
      </c>
      <c r="B4211" t="inlineStr">
        <is>
          <t>PNGO_2024_AR.pdf</t>
        </is>
      </c>
      <c r="C4211" t="n">
        <v>2024</v>
      </c>
      <c r="D4211" t="inlineStr">
        <is>
          <t>Asset</t>
        </is>
      </c>
      <c r="E4211" t="inlineStr">
        <is>
          <t>Crumb Rubber Installed Capacity</t>
        </is>
      </c>
      <c r="F4211" t="n">
        <v>6000</v>
      </c>
      <c r="G4211" t="inlineStr">
        <is>
          <t>t/month</t>
        </is>
      </c>
      <c r="H4211" t="n">
        <v>86</v>
      </c>
      <c r="I4211" t="inlineStr">
        <is>
          <t>kapasitas terpasang 6.000 ton per bulan</t>
        </is>
      </c>
      <c r="J4211" t="inlineStr">
        <is>
          <t>High</t>
        </is>
      </c>
      <c r="M4211" t="inlineStr">
        <is>
          <t>LLM</t>
        </is>
      </c>
      <c r="N4211" t="inlineStr">
        <is>
          <t>2026-04-19</t>
        </is>
      </c>
      <c r="O4211" t="inlineStr">
        <is>
          <t>AI</t>
        </is>
      </c>
    </row>
    <row r="4212">
      <c r="A4212" t="inlineStr">
        <is>
          <t>PT Pinago Utama Tbk</t>
        </is>
      </c>
      <c r="B4212" t="inlineStr">
        <is>
          <t>PNGO_2024_AR.pdf</t>
        </is>
      </c>
      <c r="C4212" t="n">
        <v>2024</v>
      </c>
      <c r="D4212" t="inlineStr">
        <is>
          <t>Asset</t>
        </is>
      </c>
      <c r="E4212" t="inlineStr">
        <is>
          <t>Crumb Rubber Used Capacity</t>
        </is>
      </c>
      <c r="F4212" t="n">
        <v>2653</v>
      </c>
      <c r="G4212" t="inlineStr">
        <is>
          <t>t/month</t>
        </is>
      </c>
      <c r="H4212" t="n">
        <v>86</v>
      </c>
      <c r="I4212" t="inlineStr">
        <is>
          <t>kapasitas terpakai 2.653 ton/bulan</t>
        </is>
      </c>
      <c r="J4212" t="inlineStr">
        <is>
          <t>High</t>
        </is>
      </c>
      <c r="M4212" t="inlineStr">
        <is>
          <t>LLM</t>
        </is>
      </c>
      <c r="N4212" t="inlineStr">
        <is>
          <t>2026-04-19</t>
        </is>
      </c>
      <c r="O4212" t="inlineStr">
        <is>
          <t>AI</t>
        </is>
      </c>
    </row>
    <row r="4213">
      <c r="A4213" t="inlineStr">
        <is>
          <t>PT Pinago Utama Tbk</t>
        </is>
      </c>
      <c r="B4213" t="inlineStr">
        <is>
          <t>PNGO_2024_AR.pdf</t>
        </is>
      </c>
      <c r="C4213" t="n">
        <v>2024</v>
      </c>
      <c r="D4213" t="inlineStr">
        <is>
          <t>Asset</t>
        </is>
      </c>
      <c r="E4213" t="inlineStr">
        <is>
          <t>RSS Plant Installed Capacity</t>
        </is>
      </c>
      <c r="F4213" t="n">
        <v>600</v>
      </c>
      <c r="G4213" t="inlineStr">
        <is>
          <t>t/month</t>
        </is>
      </c>
      <c r="H4213" t="n">
        <v>86</v>
      </c>
      <c r="I4213" t="inlineStr">
        <is>
          <t>Pabrik Ribbed Smoke Sheet dengan kapasitas terpasang 600 ton per bulan</t>
        </is>
      </c>
      <c r="J4213" t="inlineStr">
        <is>
          <t>High</t>
        </is>
      </c>
      <c r="M4213" t="inlineStr">
        <is>
          <t>LLM</t>
        </is>
      </c>
      <c r="N4213" t="inlineStr">
        <is>
          <t>2026-04-19</t>
        </is>
      </c>
      <c r="O4213" t="inlineStr">
        <is>
          <t>AI</t>
        </is>
      </c>
    </row>
    <row r="4214">
      <c r="A4214" t="inlineStr">
        <is>
          <t>PT Pinago Utama Tbk</t>
        </is>
      </c>
      <c r="B4214" t="inlineStr">
        <is>
          <t>PNGO_2024_AR.pdf</t>
        </is>
      </c>
      <c r="C4214" t="n">
        <v>2024</v>
      </c>
      <c r="D4214" t="inlineStr">
        <is>
          <t>Asset</t>
        </is>
      </c>
      <c r="E4214" t="inlineStr">
        <is>
          <t>RSS Used Capacity</t>
        </is>
      </c>
      <c r="F4214" t="n">
        <v>110</v>
      </c>
      <c r="G4214" t="inlineStr">
        <is>
          <t>t/month</t>
        </is>
      </c>
      <c r="H4214" t="n">
        <v>86</v>
      </c>
      <c r="I4214" t="inlineStr">
        <is>
          <t>kapasitas terpakai 110 ton/bulan</t>
        </is>
      </c>
      <c r="J4214" t="inlineStr">
        <is>
          <t>High</t>
        </is>
      </c>
      <c r="M4214" t="inlineStr">
        <is>
          <t>LLM</t>
        </is>
      </c>
      <c r="N4214" t="inlineStr">
        <is>
          <t>2026-04-19</t>
        </is>
      </c>
      <c r="O4214" t="inlineStr">
        <is>
          <t>AI</t>
        </is>
      </c>
    </row>
    <row r="4215">
      <c r="A4215" t="inlineStr">
        <is>
          <t>PT Pinago Utama Tbk</t>
        </is>
      </c>
      <c r="B4215" t="inlineStr">
        <is>
          <t>PNGO_2024_AR.pdf</t>
        </is>
      </c>
      <c r="C4215" t="n">
        <v>2024</v>
      </c>
      <c r="D4215" t="inlineStr">
        <is>
          <t>Operation</t>
        </is>
      </c>
      <c r="E4215" t="inlineStr">
        <is>
          <t>FFB Core Production</t>
        </is>
      </c>
      <c r="F4215" t="n">
        <v>155246</v>
      </c>
      <c r="G4215" t="inlineStr">
        <is>
          <t>t</t>
        </is>
      </c>
      <c r="H4215" t="n">
        <v>85</v>
      </c>
      <c r="I4215" t="inlineStr">
        <is>
          <t>Produksi Inti 155.246 (Ton) 2024</t>
        </is>
      </c>
      <c r="J4215" t="inlineStr">
        <is>
          <t>High</t>
        </is>
      </c>
      <c r="M4215" t="inlineStr">
        <is>
          <t>LLM</t>
        </is>
      </c>
      <c r="N4215" t="inlineStr">
        <is>
          <t>2026-04-19</t>
        </is>
      </c>
      <c r="O4215" t="inlineStr">
        <is>
          <t>AI</t>
        </is>
      </c>
    </row>
    <row r="4216">
      <c r="A4216" t="inlineStr">
        <is>
          <t>PT Pinago Utama Tbk</t>
        </is>
      </c>
      <c r="B4216" t="inlineStr">
        <is>
          <t>PNGO_2024_AR.pdf</t>
        </is>
      </c>
      <c r="C4216" t="n">
        <v>2024</v>
      </c>
      <c r="D4216" t="inlineStr">
        <is>
          <t>Operation</t>
        </is>
      </c>
      <c r="E4216" t="inlineStr">
        <is>
          <t>FFB Plasma Purchase</t>
        </is>
      </c>
      <c r="F4216" t="n">
        <v>44550</v>
      </c>
      <c r="G4216" t="inlineStr">
        <is>
          <t>t</t>
        </is>
      </c>
      <c r="H4216" t="n">
        <v>85</v>
      </c>
      <c r="I4216" t="inlineStr">
        <is>
          <t>Pembelian Plasma 44.550 (Ton) 2024</t>
        </is>
      </c>
      <c r="J4216" t="inlineStr">
        <is>
          <t>High</t>
        </is>
      </c>
      <c r="M4216" t="inlineStr">
        <is>
          <t>LLM</t>
        </is>
      </c>
      <c r="N4216" t="inlineStr">
        <is>
          <t>2026-04-19</t>
        </is>
      </c>
      <c r="O4216" t="inlineStr">
        <is>
          <t>AI</t>
        </is>
      </c>
    </row>
    <row r="4217">
      <c r="A4217" t="inlineStr">
        <is>
          <t>PT Pinago Utama Tbk</t>
        </is>
      </c>
      <c r="B4217" t="inlineStr">
        <is>
          <t>PNGO_2024_AR.pdf</t>
        </is>
      </c>
      <c r="C4217" t="n">
        <v>2024</v>
      </c>
      <c r="D4217" t="inlineStr">
        <is>
          <t>Operation</t>
        </is>
      </c>
      <c r="E4217" t="inlineStr">
        <is>
          <t>FFB Third-Party Purchase</t>
        </is>
      </c>
      <c r="F4217" t="n">
        <v>225533</v>
      </c>
      <c r="G4217" t="inlineStr">
        <is>
          <t>t</t>
        </is>
      </c>
      <c r="H4217" t="n">
        <v>85</v>
      </c>
      <c r="I4217" t="inlineStr">
        <is>
          <t>Pembelian Pihak Ketiga 225.533 (Ton)</t>
        </is>
      </c>
      <c r="J4217" t="inlineStr">
        <is>
          <t>High</t>
        </is>
      </c>
      <c r="M4217" t="inlineStr">
        <is>
          <t>LLM</t>
        </is>
      </c>
      <c r="N4217" t="inlineStr">
        <is>
          <t>2026-04-19</t>
        </is>
      </c>
      <c r="O4217" t="inlineStr">
        <is>
          <t>AI</t>
        </is>
      </c>
    </row>
    <row r="4218">
      <c r="A4218" t="inlineStr">
        <is>
          <t>PT Pinago Utama Tbk</t>
        </is>
      </c>
      <c r="B4218" t="inlineStr">
        <is>
          <t>PNGO_2024_AR.pdf</t>
        </is>
      </c>
      <c r="C4218" t="n">
        <v>2024</v>
      </c>
      <c r="D4218" t="inlineStr">
        <is>
          <t>Operation</t>
        </is>
      </c>
      <c r="E4218" t="inlineStr">
        <is>
          <t>Total FFB Processed</t>
        </is>
      </c>
      <c r="F4218" t="n">
        <v>425329</v>
      </c>
      <c r="G4218" t="inlineStr">
        <is>
          <t>t</t>
        </is>
      </c>
      <c r="H4218" t="n">
        <v>85</v>
      </c>
      <c r="I4218" t="inlineStr">
        <is>
          <t>Total 425.329 (Ton); text says 425,023 processed</t>
        </is>
      </c>
      <c r="J4218" t="inlineStr">
        <is>
          <t>High</t>
        </is>
      </c>
      <c r="M4218" t="inlineStr">
        <is>
          <t>LLM</t>
        </is>
      </c>
      <c r="N4218" t="inlineStr">
        <is>
          <t>2026-04-19</t>
        </is>
      </c>
      <c r="O4218" t="inlineStr">
        <is>
          <t>AI</t>
        </is>
      </c>
    </row>
    <row r="4219">
      <c r="A4219" t="inlineStr">
        <is>
          <t>PT Pinago Utama Tbk</t>
        </is>
      </c>
      <c r="B4219" t="inlineStr">
        <is>
          <t>PNGO_2024_AR.pdf</t>
        </is>
      </c>
      <c r="C4219" t="n">
        <v>2024</v>
      </c>
      <c r="D4219" t="inlineStr">
        <is>
          <t>Operation</t>
        </is>
      </c>
      <c r="E4219" t="inlineStr">
        <is>
          <t>CPO Production</t>
        </is>
      </c>
      <c r="F4219" t="n">
        <v>95507</v>
      </c>
      <c r="G4219" t="inlineStr">
        <is>
          <t>t</t>
        </is>
      </c>
      <c r="H4219" t="n">
        <v>86</v>
      </c>
      <c r="I4219" t="inlineStr">
        <is>
          <t>CPO 95.507 (Ton) 2024</t>
        </is>
      </c>
      <c r="J4219" t="inlineStr">
        <is>
          <t>High</t>
        </is>
      </c>
      <c r="M4219" t="inlineStr">
        <is>
          <t>LLM</t>
        </is>
      </c>
      <c r="N4219" t="inlineStr">
        <is>
          <t>2026-04-19</t>
        </is>
      </c>
      <c r="O4219" t="inlineStr">
        <is>
          <t>AI</t>
        </is>
      </c>
    </row>
    <row r="4220">
      <c r="A4220" t="inlineStr">
        <is>
          <t>PT Pinago Utama Tbk</t>
        </is>
      </c>
      <c r="B4220" t="inlineStr">
        <is>
          <t>PNGO_2024_AR.pdf</t>
        </is>
      </c>
      <c r="C4220" t="n">
        <v>2024</v>
      </c>
      <c r="D4220" t="inlineStr">
        <is>
          <t>Operation</t>
        </is>
      </c>
      <c r="E4220" t="inlineStr">
        <is>
          <t>PK (Kernel) Production</t>
        </is>
      </c>
      <c r="F4220" t="n">
        <v>19025</v>
      </c>
      <c r="G4220" t="inlineStr">
        <is>
          <t>t</t>
        </is>
      </c>
      <c r="H4220" t="n">
        <v>86</v>
      </c>
      <c r="I4220" t="inlineStr">
        <is>
          <t>PK 19.025 (Ton) 2024</t>
        </is>
      </c>
      <c r="J4220" t="inlineStr">
        <is>
          <t>High</t>
        </is>
      </c>
      <c r="M4220" t="inlineStr">
        <is>
          <t>LLM</t>
        </is>
      </c>
      <c r="N4220" t="inlineStr">
        <is>
          <t>2026-04-19</t>
        </is>
      </c>
      <c r="O4220" t="inlineStr">
        <is>
          <t>AI</t>
        </is>
      </c>
    </row>
    <row r="4221">
      <c r="A4221" t="inlineStr">
        <is>
          <t>PT Pinago Utama Tbk</t>
        </is>
      </c>
      <c r="B4221" t="inlineStr">
        <is>
          <t>PNGO_2024_AR.pdf</t>
        </is>
      </c>
      <c r="C4221" t="n">
        <v>2024</v>
      </c>
      <c r="D4221" t="inlineStr">
        <is>
          <t>Operation</t>
        </is>
      </c>
      <c r="E4221" t="inlineStr">
        <is>
          <t>Crumb Rubber Production</t>
        </is>
      </c>
      <c r="F4221" t="n">
        <v>23733</v>
      </c>
      <c r="G4221" t="inlineStr">
        <is>
          <t>t</t>
        </is>
      </c>
      <c r="H4221" t="n">
        <v>87</v>
      </c>
      <c r="I4221" t="inlineStr">
        <is>
          <t>Crumb Rubber 23.733 (Ton) 2024</t>
        </is>
      </c>
      <c r="J4221" t="inlineStr">
        <is>
          <t>High</t>
        </is>
      </c>
      <c r="M4221" t="inlineStr">
        <is>
          <t>LLM</t>
        </is>
      </c>
      <c r="N4221" t="inlineStr">
        <is>
          <t>2026-04-19</t>
        </is>
      </c>
      <c r="O4221" t="inlineStr">
        <is>
          <t>AI</t>
        </is>
      </c>
    </row>
    <row r="4222">
      <c r="A4222" t="inlineStr">
        <is>
          <t>PT Pinago Utama Tbk</t>
        </is>
      </c>
      <c r="B4222" t="inlineStr">
        <is>
          <t>PNGO_2024_AR.pdf</t>
        </is>
      </c>
      <c r="C4222" t="n">
        <v>2024</v>
      </c>
      <c r="D4222" t="inlineStr">
        <is>
          <t>Operation</t>
        </is>
      </c>
      <c r="E4222" t="inlineStr">
        <is>
          <t>RSS Production</t>
        </is>
      </c>
      <c r="F4222" t="n">
        <v>1608</v>
      </c>
      <c r="G4222" t="inlineStr">
        <is>
          <t>t</t>
        </is>
      </c>
      <c r="H4222" t="n">
        <v>87</v>
      </c>
      <c r="I4222" t="inlineStr">
        <is>
          <t>Ribbed Smoke Sheet 1.608 (Ton) 2024</t>
        </is>
      </c>
      <c r="J4222" t="inlineStr">
        <is>
          <t>High</t>
        </is>
      </c>
      <c r="M4222" t="inlineStr">
        <is>
          <t>LLM</t>
        </is>
      </c>
      <c r="N4222" t="inlineStr">
        <is>
          <t>2026-04-19</t>
        </is>
      </c>
      <c r="O4222" t="inlineStr">
        <is>
          <t>AI</t>
        </is>
      </c>
    </row>
    <row r="4223">
      <c r="A4223" t="inlineStr">
        <is>
          <t>PT Pinago Utama Tbk</t>
        </is>
      </c>
      <c r="B4223" t="inlineStr">
        <is>
          <t>PNGO_2024_AR.pdf</t>
        </is>
      </c>
      <c r="C4223" t="n">
        <v>2024</v>
      </c>
      <c r="D4223" t="inlineStr">
        <is>
          <t>Operation</t>
        </is>
      </c>
      <c r="E4223" t="inlineStr">
        <is>
          <t>Core Latex Production</t>
        </is>
      </c>
      <c r="F4223" t="n">
        <v>1640</v>
      </c>
      <c r="G4223" t="inlineStr">
        <is>
          <t>t</t>
        </is>
      </c>
      <c r="H4223" t="n">
        <v>86</v>
      </c>
      <c r="I4223" t="inlineStr">
        <is>
          <t>Produksi Inti Lateks 1.640</t>
        </is>
      </c>
      <c r="J4223" t="inlineStr">
        <is>
          <t>High</t>
        </is>
      </c>
      <c r="M4223" t="inlineStr">
        <is>
          <t>LLM</t>
        </is>
      </c>
      <c r="N4223" t="inlineStr">
        <is>
          <t>2026-04-19</t>
        </is>
      </c>
      <c r="O4223" t="inlineStr">
        <is>
          <t>AI</t>
        </is>
      </c>
    </row>
    <row r="4224">
      <c r="A4224" t="inlineStr">
        <is>
          <t>PT Pinago Utama Tbk</t>
        </is>
      </c>
      <c r="B4224" t="inlineStr">
        <is>
          <t>PNGO_2024_AR.pdf</t>
        </is>
      </c>
      <c r="C4224" t="n">
        <v>2024</v>
      </c>
      <c r="D4224" t="inlineStr">
        <is>
          <t>Operation</t>
        </is>
      </c>
      <c r="E4224" t="inlineStr">
        <is>
          <t>Core Cup Lump Production</t>
        </is>
      </c>
      <c r="F4224" t="n">
        <v>1011</v>
      </c>
      <c r="G4224" t="inlineStr">
        <is>
          <t>t</t>
        </is>
      </c>
      <c r="H4224" t="n">
        <v>86</v>
      </c>
      <c r="I4224" t="inlineStr">
        <is>
          <t>Produksi Inti Cup Lump 1.011</t>
        </is>
      </c>
      <c r="J4224" t="inlineStr">
        <is>
          <t>High</t>
        </is>
      </c>
      <c r="M4224" t="inlineStr">
        <is>
          <t>LLM</t>
        </is>
      </c>
      <c r="N4224" t="inlineStr">
        <is>
          <t>2026-04-19</t>
        </is>
      </c>
      <c r="O4224" t="inlineStr">
        <is>
          <t>AI</t>
        </is>
      </c>
    </row>
    <row r="4225">
      <c r="A4225" t="inlineStr">
        <is>
          <t>PT Pinago Utama Tbk</t>
        </is>
      </c>
      <c r="B4225" t="inlineStr">
        <is>
          <t>PNGO_2024_AR.pdf</t>
        </is>
      </c>
      <c r="C4225" t="n">
        <v>2024</v>
      </c>
      <c r="D4225" t="inlineStr">
        <is>
          <t>Operation</t>
        </is>
      </c>
      <c r="E4225" t="inlineStr">
        <is>
          <t>Smallholder Rubber Purchase</t>
        </is>
      </c>
      <c r="F4225" t="n">
        <v>23994</v>
      </c>
      <c r="G4225" t="inlineStr">
        <is>
          <t>t</t>
        </is>
      </c>
      <c r="H4225" t="n">
        <v>86</v>
      </c>
      <c r="I4225" t="inlineStr">
        <is>
          <t>Pembelian Karet Rakyat 23.994</t>
        </is>
      </c>
      <c r="J4225" t="inlineStr">
        <is>
          <t>High</t>
        </is>
      </c>
      <c r="M4225" t="inlineStr">
        <is>
          <t>LLM</t>
        </is>
      </c>
      <c r="N4225" t="inlineStr">
        <is>
          <t>2026-04-19</t>
        </is>
      </c>
      <c r="O4225" t="inlineStr">
        <is>
          <t>AI</t>
        </is>
      </c>
    </row>
    <row r="4226">
      <c r="A4226" t="inlineStr">
        <is>
          <t>PT Pinago Utama Tbk</t>
        </is>
      </c>
      <c r="B4226" t="inlineStr">
        <is>
          <t>PNGO_2024_AR.pdf</t>
        </is>
      </c>
      <c r="C4226" t="n">
        <v>2024</v>
      </c>
      <c r="D4226" t="inlineStr">
        <is>
          <t>Operation</t>
        </is>
      </c>
      <c r="E4226" t="inlineStr">
        <is>
          <t>CPO Sales Volume</t>
        </is>
      </c>
      <c r="F4226" t="n">
        <v>90928</v>
      </c>
      <c r="G4226" t="inlineStr">
        <is>
          <t>t</t>
        </is>
      </c>
      <c r="H4226" t="n">
        <v>85</v>
      </c>
      <c r="I4226" t="inlineStr">
        <is>
          <t>Volume Penjualan CPO 90.928 Ton</t>
        </is>
      </c>
      <c r="J4226" t="inlineStr">
        <is>
          <t>High</t>
        </is>
      </c>
      <c r="M4226" t="inlineStr">
        <is>
          <t>LLM</t>
        </is>
      </c>
      <c r="N4226" t="inlineStr">
        <is>
          <t>2026-04-19</t>
        </is>
      </c>
      <c r="O4226" t="inlineStr">
        <is>
          <t>AI</t>
        </is>
      </c>
    </row>
    <row r="4227">
      <c r="A4227" t="inlineStr">
        <is>
          <t>PT Pinago Utama Tbk</t>
        </is>
      </c>
      <c r="B4227" t="inlineStr">
        <is>
          <t>PNGO_2024_AR.pdf</t>
        </is>
      </c>
      <c r="C4227" t="n">
        <v>2024</v>
      </c>
      <c r="D4227" t="inlineStr">
        <is>
          <t>Operation</t>
        </is>
      </c>
      <c r="E4227" t="inlineStr">
        <is>
          <t>Kernel Sales Volume</t>
        </is>
      </c>
      <c r="F4227" t="n">
        <v>18615</v>
      </c>
      <c r="G4227" t="inlineStr">
        <is>
          <t>t</t>
        </is>
      </c>
      <c r="H4227" t="n">
        <v>85</v>
      </c>
      <c r="I4227" t="inlineStr">
        <is>
          <t>Volume Penjualan Kernel 18.615 Ton</t>
        </is>
      </c>
      <c r="J4227" t="inlineStr">
        <is>
          <t>High</t>
        </is>
      </c>
      <c r="M4227" t="inlineStr">
        <is>
          <t>LLM</t>
        </is>
      </c>
      <c r="N4227" t="inlineStr">
        <is>
          <t>2026-04-19</t>
        </is>
      </c>
      <c r="O4227" t="inlineStr">
        <is>
          <t>AI</t>
        </is>
      </c>
    </row>
    <row r="4228">
      <c r="A4228" t="inlineStr">
        <is>
          <t>PT Pinago Utama Tbk</t>
        </is>
      </c>
      <c r="B4228" t="inlineStr">
        <is>
          <t>PNGO_2024_AR.pdf</t>
        </is>
      </c>
      <c r="C4228" t="n">
        <v>2024</v>
      </c>
      <c r="D4228" t="inlineStr">
        <is>
          <t>Operation</t>
        </is>
      </c>
      <c r="E4228" t="inlineStr">
        <is>
          <t>Crumb Rubber Sales Volume</t>
        </is>
      </c>
      <c r="F4228" t="n">
        <v>22751</v>
      </c>
      <c r="G4228" t="inlineStr">
        <is>
          <t>t</t>
        </is>
      </c>
      <c r="H4228" t="n">
        <v>86</v>
      </c>
      <c r="I4228" t="inlineStr">
        <is>
          <t>Volume Penjualan Crumb Rubber (SIR 20) : 22.751 Ton</t>
        </is>
      </c>
      <c r="J4228" t="inlineStr">
        <is>
          <t>High</t>
        </is>
      </c>
      <c r="M4228" t="inlineStr">
        <is>
          <t>LLM</t>
        </is>
      </c>
      <c r="N4228" t="inlineStr">
        <is>
          <t>2026-04-19</t>
        </is>
      </c>
      <c r="O4228" t="inlineStr">
        <is>
          <t>AI</t>
        </is>
      </c>
    </row>
    <row r="4229">
      <c r="A4229" t="inlineStr">
        <is>
          <t>PT Pinago Utama Tbk</t>
        </is>
      </c>
      <c r="B4229" t="inlineStr">
        <is>
          <t>PNGO_2024_AR.pdf</t>
        </is>
      </c>
      <c r="C4229" t="n">
        <v>2024</v>
      </c>
      <c r="D4229" t="inlineStr">
        <is>
          <t>Operation</t>
        </is>
      </c>
      <c r="E4229" t="inlineStr">
        <is>
          <t>RSS Sales Volume</t>
        </is>
      </c>
      <c r="F4229" t="n">
        <v>2133</v>
      </c>
      <c r="G4229" t="inlineStr">
        <is>
          <t>t</t>
        </is>
      </c>
      <c r="H4229" t="n">
        <v>86</v>
      </c>
      <c r="I4229" t="inlineStr">
        <is>
          <t>Volume Penjualan RSS : 2.133 Ton</t>
        </is>
      </c>
      <c r="J4229" t="inlineStr">
        <is>
          <t>High</t>
        </is>
      </c>
      <c r="M4229" t="inlineStr">
        <is>
          <t>LLM</t>
        </is>
      </c>
      <c r="N4229" t="inlineStr">
        <is>
          <t>2026-04-19</t>
        </is>
      </c>
      <c r="O4229" t="inlineStr">
        <is>
          <t>AI</t>
        </is>
      </c>
    </row>
    <row r="4230">
      <c r="A4230" t="inlineStr">
        <is>
          <t>PT Pinago Utama Tbk</t>
        </is>
      </c>
      <c r="B4230" t="inlineStr">
        <is>
          <t>PNGO_2024_AR.pdf</t>
        </is>
      </c>
      <c r="C4230" t="n">
        <v>2024</v>
      </c>
      <c r="D4230" t="inlineStr">
        <is>
          <t>Operation</t>
        </is>
      </c>
      <c r="E4230" t="inlineStr">
        <is>
          <t>Avg CPO Selling Price</t>
        </is>
      </c>
      <c r="F4230" t="n">
        <v>12978</v>
      </c>
      <c r="G4230" t="inlineStr">
        <is>
          <t>Rp/kg</t>
        </is>
      </c>
      <c r="H4230" t="n">
        <v>85</v>
      </c>
      <c r="I4230" t="inlineStr">
        <is>
          <t>harga Jual rata-rata Rp12.978/Kg</t>
        </is>
      </c>
      <c r="J4230" t="inlineStr">
        <is>
          <t>High</t>
        </is>
      </c>
      <c r="M4230" t="inlineStr">
        <is>
          <t>LLM</t>
        </is>
      </c>
      <c r="N4230" t="inlineStr">
        <is>
          <t>2026-04-19</t>
        </is>
      </c>
      <c r="O4230" t="inlineStr">
        <is>
          <t>AI</t>
        </is>
      </c>
    </row>
    <row r="4231">
      <c r="A4231" t="inlineStr">
        <is>
          <t>PT Pinago Utama Tbk</t>
        </is>
      </c>
      <c r="B4231" t="inlineStr">
        <is>
          <t>PNGO_2024_AR.pdf</t>
        </is>
      </c>
      <c r="C4231" t="n">
        <v>2024</v>
      </c>
      <c r="D4231" t="inlineStr">
        <is>
          <t>Operation</t>
        </is>
      </c>
      <c r="E4231" t="inlineStr">
        <is>
          <t>Avg Kernel Selling Price</t>
        </is>
      </c>
      <c r="F4231" t="n">
        <v>8208</v>
      </c>
      <c r="G4231" t="inlineStr">
        <is>
          <t>Rp/kg</t>
        </is>
      </c>
      <c r="H4231" t="n">
        <v>85</v>
      </c>
      <c r="I4231" t="inlineStr">
        <is>
          <t>harga jual rata-rata Rp8.208/Kg</t>
        </is>
      </c>
      <c r="J4231" t="inlineStr">
        <is>
          <t>High</t>
        </is>
      </c>
      <c r="M4231" t="inlineStr">
        <is>
          <t>LLM</t>
        </is>
      </c>
      <c r="N4231" t="inlineStr">
        <is>
          <t>2026-04-19</t>
        </is>
      </c>
      <c r="O4231" t="inlineStr">
        <is>
          <t>AI</t>
        </is>
      </c>
    </row>
    <row r="4232">
      <c r="A4232" t="inlineStr">
        <is>
          <t>PT Pinago Utama Tbk</t>
        </is>
      </c>
      <c r="B4232" t="inlineStr">
        <is>
          <t>PNGO_2024_AR.pdf</t>
        </is>
      </c>
      <c r="C4232" t="n">
        <v>2024</v>
      </c>
      <c r="D4232" t="inlineStr">
        <is>
          <t>Operation</t>
        </is>
      </c>
      <c r="E4232" t="inlineStr">
        <is>
          <t>Avg Crumb Rubber Selling Price</t>
        </is>
      </c>
      <c r="F4232" t="n">
        <v>27700</v>
      </c>
      <c r="G4232" t="inlineStr">
        <is>
          <t>Rp/kg</t>
        </is>
      </c>
      <c r="H4232" t="n">
        <v>86</v>
      </c>
      <c r="I4232" t="inlineStr">
        <is>
          <t>Harga Jual rata-rata Rp27.700/Kg</t>
        </is>
      </c>
      <c r="J4232" t="inlineStr">
        <is>
          <t>High</t>
        </is>
      </c>
      <c r="M4232" t="inlineStr">
        <is>
          <t>LLM</t>
        </is>
      </c>
      <c r="N4232" t="inlineStr">
        <is>
          <t>2026-04-19</t>
        </is>
      </c>
      <c r="O4232" t="inlineStr">
        <is>
          <t>AI</t>
        </is>
      </c>
    </row>
    <row r="4233">
      <c r="A4233" t="inlineStr">
        <is>
          <t>PT Pinago Utama Tbk</t>
        </is>
      </c>
      <c r="B4233" t="inlineStr">
        <is>
          <t>PNGO_2024_AR.pdf</t>
        </is>
      </c>
      <c r="C4233" t="n">
        <v>2024</v>
      </c>
      <c r="D4233" t="inlineStr">
        <is>
          <t>Operation</t>
        </is>
      </c>
      <c r="E4233" t="inlineStr">
        <is>
          <t>Avg RSS Selling Price</t>
        </is>
      </c>
      <c r="F4233" t="n">
        <v>36124</v>
      </c>
      <c r="G4233" t="inlineStr">
        <is>
          <t>Rp/kg</t>
        </is>
      </c>
      <c r="H4233" t="n">
        <v>86</v>
      </c>
      <c r="I4233" t="inlineStr">
        <is>
          <t>harga jual rata-rata Rp36.124/Kg</t>
        </is>
      </c>
      <c r="J4233" t="inlineStr">
        <is>
          <t>High</t>
        </is>
      </c>
      <c r="M4233" t="inlineStr">
        <is>
          <t>LLM</t>
        </is>
      </c>
      <c r="N4233" t="inlineStr">
        <is>
          <t>2026-04-19</t>
        </is>
      </c>
      <c r="O4233" t="inlineStr">
        <is>
          <t>AI</t>
        </is>
      </c>
    </row>
    <row r="4234">
      <c r="A4234" t="inlineStr">
        <is>
          <t>PT Pinago Utama Tbk</t>
        </is>
      </c>
      <c r="B4234" t="inlineStr">
        <is>
          <t>PNGO_2024_AR.pdf</t>
        </is>
      </c>
      <c r="C4234" t="n">
        <v>2024</v>
      </c>
      <c r="D4234" t="inlineStr">
        <is>
          <t>Operation</t>
        </is>
      </c>
      <c r="E4234" t="inlineStr">
        <is>
          <t>Nucleus FFB Yield (Target 2024)</t>
        </is>
      </c>
      <c r="F4234" t="n">
        <v>13.52</v>
      </c>
      <c r="G4234" t="inlineStr">
        <is>
          <t>t/ha</t>
        </is>
      </c>
      <c r="H4234" t="n">
        <v>94</v>
      </c>
      <c r="I4234" t="inlineStr">
        <is>
          <t>Yied TBS Inti-Ton/Ha Ton/ha 21,65 13,52 20 (Target, Actual, Projection)</t>
        </is>
      </c>
      <c r="J4234" t="inlineStr">
        <is>
          <t>High</t>
        </is>
      </c>
      <c r="M4234" t="inlineStr">
        <is>
          <t>LLM</t>
        </is>
      </c>
      <c r="N4234" t="inlineStr">
        <is>
          <t>2026-04-19</t>
        </is>
      </c>
      <c r="O4234" t="inlineStr">
        <is>
          <t>AI</t>
        </is>
      </c>
    </row>
    <row r="4235">
      <c r="A4235" t="inlineStr">
        <is>
          <t>PT Pinago Utama Tbk</t>
        </is>
      </c>
      <c r="B4235" t="inlineStr">
        <is>
          <t>PNGO_2024_AR.pdf</t>
        </is>
      </c>
      <c r="C4235" t="n">
        <v>2024</v>
      </c>
      <c r="D4235" t="inlineStr">
        <is>
          <t>Operation</t>
        </is>
      </c>
      <c r="E4235" t="inlineStr">
        <is>
          <t>Palm Segment Revenue</t>
        </is>
      </c>
      <c r="F4235" t="n">
        <v>1550</v>
      </c>
      <c r="G4235" t="inlineStr">
        <is>
          <t>IDR bn</t>
        </is>
      </c>
      <c r="H4235" t="n">
        <v>87</v>
      </c>
      <c r="I4235" t="inlineStr">
        <is>
          <t>Pendapatan Palm Oil 1.550.236 (juta)</t>
        </is>
      </c>
      <c r="J4235" t="inlineStr">
        <is>
          <t>High</t>
        </is>
      </c>
      <c r="M4235" t="inlineStr">
        <is>
          <t>LLM</t>
        </is>
      </c>
      <c r="N4235" t="inlineStr">
        <is>
          <t>2026-04-19</t>
        </is>
      </c>
      <c r="O4235" t="inlineStr">
        <is>
          <t>AI</t>
        </is>
      </c>
    </row>
    <row r="4236">
      <c r="A4236" t="inlineStr">
        <is>
          <t>PT Pinago Utama Tbk</t>
        </is>
      </c>
      <c r="B4236" t="inlineStr">
        <is>
          <t>PNGO_2024_AR.pdf</t>
        </is>
      </c>
      <c r="C4236" t="n">
        <v>2024</v>
      </c>
      <c r="D4236" t="inlineStr">
        <is>
          <t>Operation</t>
        </is>
      </c>
      <c r="E4236" t="inlineStr">
        <is>
          <t>Rubber Segment Revenue</t>
        </is>
      </c>
      <c r="F4236" t="n">
        <v>707</v>
      </c>
      <c r="G4236" t="inlineStr">
        <is>
          <t>IDR bn</t>
        </is>
      </c>
      <c r="H4236" t="n">
        <v>88</v>
      </c>
      <c r="I4236" t="inlineStr">
        <is>
          <t>Pendapatan Rubber 707.249 (juta)</t>
        </is>
      </c>
      <c r="J4236" t="inlineStr">
        <is>
          <t>High</t>
        </is>
      </c>
      <c r="M4236" t="inlineStr">
        <is>
          <t>LLM</t>
        </is>
      </c>
      <c r="N4236" t="inlineStr">
        <is>
          <t>2026-04-19</t>
        </is>
      </c>
      <c r="O4236" t="inlineStr">
        <is>
          <t>AI</t>
        </is>
      </c>
    </row>
    <row r="4237">
      <c r="A4237" t="inlineStr">
        <is>
          <t>PT Pinago Utama Tbk</t>
        </is>
      </c>
      <c r="B4237" t="inlineStr">
        <is>
          <t>PNGO_2024_AR.pdf</t>
        </is>
      </c>
      <c r="C4237" t="n">
        <v>2024</v>
      </c>
      <c r="D4237" t="inlineStr">
        <is>
          <t>Operation</t>
        </is>
      </c>
      <c r="E4237" t="inlineStr">
        <is>
          <t>Compost (ImproBio) Revenue</t>
        </is>
      </c>
      <c r="F4237" t="n">
        <v>14</v>
      </c>
      <c r="G4237" t="inlineStr">
        <is>
          <t>IDR bn</t>
        </is>
      </c>
      <c r="H4237" t="n">
        <v>87</v>
      </c>
      <c r="I4237" t="inlineStr">
        <is>
          <t>Pendapatan Kompos 13.860 (juta)</t>
        </is>
      </c>
      <c r="J4237" t="inlineStr">
        <is>
          <t>High</t>
        </is>
      </c>
      <c r="M4237" t="inlineStr">
        <is>
          <t>LLM</t>
        </is>
      </c>
      <c r="N4237" t="inlineStr">
        <is>
          <t>2026-04-19</t>
        </is>
      </c>
      <c r="O4237" t="inlineStr">
        <is>
          <t>AI</t>
        </is>
      </c>
    </row>
    <row r="4238">
      <c r="A4238" t="inlineStr">
        <is>
          <t>PT Pinago Utama Tbk</t>
        </is>
      </c>
      <c r="B4238" t="inlineStr">
        <is>
          <t>PNGO_2024_AR.pdf</t>
        </is>
      </c>
      <c r="C4238" t="n">
        <v>2024</v>
      </c>
      <c r="D4238" t="inlineStr">
        <is>
          <t>ESG</t>
        </is>
      </c>
      <c r="E4238" t="inlineStr">
        <is>
          <t>ISPO Certifications</t>
        </is>
      </c>
      <c r="F4238" t="n">
        <v>3</v>
      </c>
      <c r="G4238" t="inlineStr">
        <is>
          <t>count</t>
        </is>
      </c>
      <c r="H4238" t="n">
        <v>12</v>
      </c>
      <c r="I4238" t="inlineStr">
        <is>
          <t>ISPO certifications listed: PNGO Unit Kebun Inti, PT SNS, KUD Sejahtera Plasma</t>
        </is>
      </c>
      <c r="J4238" t="inlineStr">
        <is>
          <t>High</t>
        </is>
      </c>
      <c r="M4238" t="inlineStr">
        <is>
          <t>LLM</t>
        </is>
      </c>
      <c r="N4238" t="inlineStr">
        <is>
          <t>2026-04-19</t>
        </is>
      </c>
      <c r="O4238" t="inlineStr">
        <is>
          <t>AI</t>
        </is>
      </c>
    </row>
    <row r="4239">
      <c r="A4239" t="inlineStr">
        <is>
          <t>PT Pinago Utama Tbk</t>
        </is>
      </c>
      <c r="B4239" t="inlineStr">
        <is>
          <t>PNGO_2024_AR.pdf</t>
        </is>
      </c>
      <c r="C4239" t="n">
        <v>2024</v>
      </c>
      <c r="D4239" t="inlineStr">
        <is>
          <t>ESG</t>
        </is>
      </c>
      <c r="E4239" t="inlineStr">
        <is>
          <t>Core Region</t>
        </is>
      </c>
      <c r="F4239" t="inlineStr">
        <is>
          <t>South Sumatra (Musi Banyuasin)</t>
        </is>
      </c>
      <c r="G4239" t="inlineStr">
        <is>
          <t>text</t>
        </is>
      </c>
      <c r="H4239" t="n">
        <v>84</v>
      </c>
      <c r="I4239" t="inlineStr">
        <is>
          <t>Desa Sugiwaras, Kec. Babat Toman, Kab. Musi Banyuasin, Sumatera Selatan</t>
        </is>
      </c>
      <c r="J4239" t="inlineStr">
        <is>
          <t>High</t>
        </is>
      </c>
      <c r="M4239" t="inlineStr">
        <is>
          <t>LLM</t>
        </is>
      </c>
      <c r="N4239" t="inlineStr">
        <is>
          <t>2026-04-19</t>
        </is>
      </c>
      <c r="O4239" t="inlineStr">
        <is>
          <t>AI</t>
        </is>
      </c>
    </row>
    <row r="4240">
      <c r="A4240" t="inlineStr">
        <is>
          <t>PT Pinago Utama Tbk</t>
        </is>
      </c>
      <c r="B4240" t="inlineStr">
        <is>
          <t>PNGO_2024_AR.pdf</t>
        </is>
      </c>
      <c r="C4240" t="n">
        <v>2024</v>
      </c>
      <c r="D4240" t="inlineStr">
        <is>
          <t>ESG</t>
        </is>
      </c>
      <c r="E4240" t="inlineStr">
        <is>
          <t>Total Rainfall 2024</t>
        </is>
      </c>
      <c r="F4240" t="n">
        <v>2031</v>
      </c>
      <c r="G4240" t="inlineStr">
        <is>
          <t>mm</t>
        </is>
      </c>
      <c r="H4240" t="n">
        <v>84</v>
      </c>
      <c r="I4240" t="inlineStr">
        <is>
          <t>TOTAL 155 2.031 mm</t>
        </is>
      </c>
      <c r="J4240" t="inlineStr">
        <is>
          <t>High</t>
        </is>
      </c>
      <c r="M4240" t="inlineStr">
        <is>
          <t>LLM</t>
        </is>
      </c>
      <c r="N4240" t="inlineStr">
        <is>
          <t>2026-04-19</t>
        </is>
      </c>
      <c r="O4240" t="inlineStr">
        <is>
          <t>AI</t>
        </is>
      </c>
    </row>
    <row r="4241">
      <c r="A4241" t="inlineStr">
        <is>
          <t>PT Pulau Subur Tbk</t>
        </is>
      </c>
      <c r="B4241" t="inlineStr">
        <is>
          <t>PTPS_2023_AR.pdf</t>
        </is>
      </c>
      <c r="C4241" t="n">
        <v>2023</v>
      </c>
      <c r="D4241" t="inlineStr">
        <is>
          <t>Company</t>
        </is>
      </c>
      <c r="E4241" t="inlineStr">
        <is>
          <t>Company Name</t>
        </is>
      </c>
      <c r="F4241" t="inlineStr">
        <is>
          <t>PT Pulau Subur Tbk</t>
        </is>
      </c>
      <c r="G4241" t="inlineStr">
        <is>
          <t>text</t>
        </is>
      </c>
      <c r="H4241" t="n">
        <v>1</v>
      </c>
      <c r="I4241" t="inlineStr">
        <is>
          <t>PT PULAU SUBUR Tbk Laporan Tahunan &amp; Laporan Keberlanjutan 2023</t>
        </is>
      </c>
      <c r="J4241" t="inlineStr">
        <is>
          <t>High</t>
        </is>
      </c>
      <c r="M4241" t="inlineStr">
        <is>
          <t>LLM</t>
        </is>
      </c>
      <c r="N4241" t="inlineStr">
        <is>
          <t>2026-04-19</t>
        </is>
      </c>
      <c r="O4241" t="inlineStr">
        <is>
          <t>AI</t>
        </is>
      </c>
    </row>
    <row r="4242">
      <c r="A4242" t="inlineStr">
        <is>
          <t>PT Pulau Subur Tbk</t>
        </is>
      </c>
      <c r="B4242" t="inlineStr">
        <is>
          <t>PTPS_2023_AR.pdf</t>
        </is>
      </c>
      <c r="C4242" t="n">
        <v>2023</v>
      </c>
      <c r="D4242" t="inlineStr">
        <is>
          <t>Company</t>
        </is>
      </c>
      <c r="E4242" t="inlineStr">
        <is>
          <t>Year of Establishment</t>
        </is>
      </c>
      <c r="F4242" t="n">
        <v>1980</v>
      </c>
      <c r="G4242" t="inlineStr">
        <is>
          <t>year</t>
        </is>
      </c>
      <c r="H4242" t="n">
        <v>40</v>
      </c>
      <c r="I4242" t="inlineStr">
        <is>
          <t>Tahun Pendirian 01 Oktober 1980</t>
        </is>
      </c>
      <c r="J4242" t="inlineStr">
        <is>
          <t>High</t>
        </is>
      </c>
      <c r="M4242" t="inlineStr">
        <is>
          <t>LLM</t>
        </is>
      </c>
      <c r="N4242" t="inlineStr">
        <is>
          <t>2026-04-19</t>
        </is>
      </c>
      <c r="O4242" t="inlineStr">
        <is>
          <t>AI</t>
        </is>
      </c>
    </row>
    <row r="4243">
      <c r="A4243" t="inlineStr">
        <is>
          <t>PT Pulau Subur Tbk</t>
        </is>
      </c>
      <c r="B4243" t="inlineStr">
        <is>
          <t>PTPS_2023_AR.pdf</t>
        </is>
      </c>
      <c r="C4243" t="n">
        <v>2023</v>
      </c>
      <c r="D4243" t="inlineStr">
        <is>
          <t>Company</t>
        </is>
      </c>
      <c r="E4243" t="inlineStr">
        <is>
          <t>Listing Date</t>
        </is>
      </c>
      <c r="F4243" t="inlineStr">
        <is>
          <t>9 October 2023</t>
        </is>
      </c>
      <c r="G4243" t="inlineStr">
        <is>
          <t>date</t>
        </is>
      </c>
      <c r="H4243" t="n">
        <v>15</v>
      </c>
      <c r="I4243" t="inlineStr">
        <is>
          <t>Saham Perseroan mulai tercatat di Bursa Efek Indonesia pada tanggal 09 Oktober 2023</t>
        </is>
      </c>
      <c r="J4243" t="inlineStr">
        <is>
          <t>High</t>
        </is>
      </c>
      <c r="M4243" t="inlineStr">
        <is>
          <t>LLM</t>
        </is>
      </c>
      <c r="N4243" t="inlineStr">
        <is>
          <t>2026-04-19</t>
        </is>
      </c>
      <c r="O4243" t="inlineStr">
        <is>
          <t>AI</t>
        </is>
      </c>
    </row>
    <row r="4244">
      <c r="A4244" t="inlineStr">
        <is>
          <t>PT Pulau Subur Tbk</t>
        </is>
      </c>
      <c r="B4244" t="inlineStr">
        <is>
          <t>PTPS_2023_AR.pdf</t>
        </is>
      </c>
      <c r="C4244" t="n">
        <v>2023</v>
      </c>
      <c r="D4244" t="inlineStr">
        <is>
          <t>Company</t>
        </is>
      </c>
      <c r="E4244" t="inlineStr">
        <is>
          <t>Stock Code</t>
        </is>
      </c>
      <c r="F4244" t="inlineStr">
        <is>
          <t>PTPS</t>
        </is>
      </c>
      <c r="G4244" t="inlineStr">
        <is>
          <t>text</t>
        </is>
      </c>
      <c r="H4244" t="n">
        <v>15</v>
      </c>
      <c r="I4244" t="inlineStr">
        <is>
          <t>dengan kode saham PTPS</t>
        </is>
      </c>
      <c r="J4244" t="inlineStr">
        <is>
          <t>High</t>
        </is>
      </c>
      <c r="M4244" t="inlineStr">
        <is>
          <t>LLM</t>
        </is>
      </c>
      <c r="N4244" t="inlineStr">
        <is>
          <t>2026-04-19</t>
        </is>
      </c>
      <c r="O4244" t="inlineStr">
        <is>
          <t>AI</t>
        </is>
      </c>
    </row>
    <row r="4245">
      <c r="A4245" t="inlineStr">
        <is>
          <t>PT Pulau Subur Tbk</t>
        </is>
      </c>
      <c r="B4245" t="inlineStr">
        <is>
          <t>PTPS_2023_AR.pdf</t>
        </is>
      </c>
      <c r="C4245" t="n">
        <v>2023</v>
      </c>
      <c r="D4245" t="inlineStr">
        <is>
          <t>Company</t>
        </is>
      </c>
      <c r="E4245" t="inlineStr">
        <is>
          <t>IPO Offer Price</t>
        </is>
      </c>
      <c r="F4245" t="n">
        <v>198</v>
      </c>
      <c r="G4245" t="inlineStr">
        <is>
          <t>Rp/share</t>
        </is>
      </c>
      <c r="H4245" t="n">
        <v>15</v>
      </c>
      <c r="I4245" t="inlineStr">
        <is>
          <t>harga penawaran dari saham Perseroan sebesar Rp198</t>
        </is>
      </c>
      <c r="J4245" t="inlineStr">
        <is>
          <t>High</t>
        </is>
      </c>
      <c r="M4245" t="inlineStr">
        <is>
          <t>LLM</t>
        </is>
      </c>
      <c r="N4245" t="inlineStr">
        <is>
          <t>2026-04-19</t>
        </is>
      </c>
      <c r="O4245" t="inlineStr">
        <is>
          <t>AI</t>
        </is>
      </c>
    </row>
    <row r="4246">
      <c r="A4246" t="inlineStr">
        <is>
          <t>PT Pulau Subur Tbk</t>
        </is>
      </c>
      <c r="B4246" t="inlineStr">
        <is>
          <t>PTPS_2023_AR.pdf</t>
        </is>
      </c>
      <c r="C4246" t="n">
        <v>2023</v>
      </c>
      <c r="D4246" t="inlineStr">
        <is>
          <t>Company</t>
        </is>
      </c>
      <c r="E4246" t="inlineStr">
        <is>
          <t>Controlling Shareholder (post-IPO)</t>
        </is>
      </c>
      <c r="F4246" t="inlineStr">
        <is>
          <t>PT Sekawan Kontrindo 78.54%</t>
        </is>
      </c>
      <c r="G4246" t="inlineStr">
        <is>
          <t>%</t>
        </is>
      </c>
      <c r="H4246" t="n">
        <v>45</v>
      </c>
      <c r="I4246" t="inlineStr">
        <is>
          <t>PT Sekawan Kontrindo 1.702.400.000 ... 78,54</t>
        </is>
      </c>
      <c r="J4246" t="inlineStr">
        <is>
          <t>High</t>
        </is>
      </c>
      <c r="M4246" t="inlineStr">
        <is>
          <t>LLM</t>
        </is>
      </c>
      <c r="N4246" t="inlineStr">
        <is>
          <t>2026-04-19</t>
        </is>
      </c>
      <c r="O4246" t="inlineStr">
        <is>
          <t>AI</t>
        </is>
      </c>
    </row>
    <row r="4247">
      <c r="A4247" t="inlineStr">
        <is>
          <t>PT Pulau Subur Tbk</t>
        </is>
      </c>
      <c r="B4247" t="inlineStr">
        <is>
          <t>PTPS_2023_AR.pdf</t>
        </is>
      </c>
      <c r="C4247" t="n">
        <v>2023</v>
      </c>
      <c r="D4247" t="inlineStr">
        <is>
          <t>Company</t>
        </is>
      </c>
      <c r="E4247" t="inlineStr">
        <is>
          <t>Public Float</t>
        </is>
      </c>
      <c r="F4247" t="n">
        <v>0.2076</v>
      </c>
      <c r="G4247" t="inlineStr">
        <is>
          <t>%</t>
        </is>
      </c>
      <c r="H4247" t="n">
        <v>45</v>
      </c>
      <c r="I4247" t="inlineStr">
        <is>
          <t>Masyarakat/ Publik 450.000.000 9.000.000.000 20,76</t>
        </is>
      </c>
      <c r="J4247" t="inlineStr">
        <is>
          <t>High</t>
        </is>
      </c>
      <c r="M4247" t="inlineStr">
        <is>
          <t>LLM</t>
        </is>
      </c>
      <c r="N4247" t="inlineStr">
        <is>
          <t>2026-04-19</t>
        </is>
      </c>
      <c r="O4247" t="inlineStr">
        <is>
          <t>AI</t>
        </is>
      </c>
    </row>
    <row r="4248">
      <c r="A4248" t="inlineStr">
        <is>
          <t>PT Pulau Subur Tbk</t>
        </is>
      </c>
      <c r="B4248" t="inlineStr">
        <is>
          <t>PTPS_2023_AR.pdf</t>
        </is>
      </c>
      <c r="C4248" t="n">
        <v>2023</v>
      </c>
      <c r="D4248" t="inlineStr">
        <is>
          <t>Company</t>
        </is>
      </c>
      <c r="E4248" t="inlineStr">
        <is>
          <t>Associate Entity</t>
        </is>
      </c>
      <c r="F4248" t="inlineStr">
        <is>
          <t>PT Sumber Enim Alam Lestari</t>
        </is>
      </c>
      <c r="G4248" t="inlineStr">
        <is>
          <t>text</t>
        </is>
      </c>
      <c r="H4248" t="n">
        <v>49</v>
      </c>
      <c r="I4248" t="inlineStr">
        <is>
          <t>penyertaan modal di PT Sumber Enim Alam Lestari yang memiliki lahan sekitar 1000 HA dengan luas tertanam 300 ha dengan usia tanam 4-5 taun</t>
        </is>
      </c>
      <c r="J4248" t="inlineStr">
        <is>
          <t>High</t>
        </is>
      </c>
      <c r="M4248" t="inlineStr">
        <is>
          <t>LLM</t>
        </is>
      </c>
      <c r="N4248" t="inlineStr">
        <is>
          <t>2026-04-19</t>
        </is>
      </c>
      <c r="O4248" t="inlineStr">
        <is>
          <t>AI</t>
        </is>
      </c>
    </row>
    <row r="4249">
      <c r="A4249" t="inlineStr">
        <is>
          <t>PT Pulau Subur Tbk</t>
        </is>
      </c>
      <c r="B4249" t="inlineStr">
        <is>
          <t>PTPS_2023_AR.pdf</t>
        </is>
      </c>
      <c r="C4249" t="n">
        <v>2023</v>
      </c>
      <c r="D4249" t="inlineStr">
        <is>
          <t>Company</t>
        </is>
      </c>
      <c r="E4249" t="inlineStr">
        <is>
          <t>Total Employees</t>
        </is>
      </c>
      <c r="F4249" t="n">
        <v>250</v>
      </c>
      <c r="G4249" t="inlineStr">
        <is>
          <t>persons</t>
        </is>
      </c>
      <c r="H4249" t="n">
        <v>113</v>
      </c>
      <c r="I4249" t="inlineStr">
        <is>
          <t>Total Karyawan Orang/Persons 250 248 199</t>
        </is>
      </c>
      <c r="J4249" t="inlineStr">
        <is>
          <t>High</t>
        </is>
      </c>
      <c r="M4249" t="inlineStr">
        <is>
          <t>LLM</t>
        </is>
      </c>
      <c r="N4249" t="inlineStr">
        <is>
          <t>2026-04-19</t>
        </is>
      </c>
      <c r="O4249" t="inlineStr">
        <is>
          <t>AI</t>
        </is>
      </c>
    </row>
    <row r="4250">
      <c r="A4250" t="inlineStr">
        <is>
          <t>PT Pulau Subur Tbk</t>
        </is>
      </c>
      <c r="B4250" t="inlineStr">
        <is>
          <t>PTPS_2023_AR.pdf</t>
        </is>
      </c>
      <c r="C4250" t="n">
        <v>2023</v>
      </c>
      <c r="D4250" t="inlineStr">
        <is>
          <t>Financial</t>
        </is>
      </c>
      <c r="E4250" t="inlineStr">
        <is>
          <t>Revenue (Sales)</t>
        </is>
      </c>
      <c r="F4250" t="n">
        <v>61.66</v>
      </c>
      <c r="G4250" t="inlineStr">
        <is>
          <t>IDR bn</t>
        </is>
      </c>
      <c r="H4250" t="n">
        <v>10</v>
      </c>
      <c r="I4250" t="inlineStr">
        <is>
          <t>Penjualan 61.656.997.875 64.298.584.335 50.285.780.655</t>
        </is>
      </c>
      <c r="J4250" t="inlineStr">
        <is>
          <t>High</t>
        </is>
      </c>
      <c r="M4250" t="inlineStr">
        <is>
          <t>LLM</t>
        </is>
      </c>
      <c r="N4250" t="inlineStr">
        <is>
          <t>2026-04-19</t>
        </is>
      </c>
      <c r="O4250" t="inlineStr">
        <is>
          <t>AI</t>
        </is>
      </c>
    </row>
    <row r="4251">
      <c r="A4251" t="inlineStr">
        <is>
          <t>PT Pulau Subur Tbk</t>
        </is>
      </c>
      <c r="B4251" t="inlineStr">
        <is>
          <t>PTPS_2023_AR.pdf</t>
        </is>
      </c>
      <c r="C4251" t="n">
        <v>2023</v>
      </c>
      <c r="D4251" t="inlineStr">
        <is>
          <t>Financial</t>
        </is>
      </c>
      <c r="E4251" t="inlineStr">
        <is>
          <t>Cost of Revenue</t>
        </is>
      </c>
      <c r="F4251" t="n">
        <v>27.15</v>
      </c>
      <c r="G4251" t="inlineStr">
        <is>
          <t>IDR bn</t>
        </is>
      </c>
      <c r="H4251" t="n">
        <v>10</v>
      </c>
      <c r="I4251" t="inlineStr">
        <is>
          <t>Beban Pokok Penjualan (27.153.668.835)</t>
        </is>
      </c>
      <c r="J4251" t="inlineStr">
        <is>
          <t>High</t>
        </is>
      </c>
      <c r="M4251" t="inlineStr">
        <is>
          <t>LLM</t>
        </is>
      </c>
      <c r="N4251" t="inlineStr">
        <is>
          <t>2026-04-19</t>
        </is>
      </c>
      <c r="O4251" t="inlineStr">
        <is>
          <t>AI</t>
        </is>
      </c>
    </row>
    <row r="4252">
      <c r="A4252" t="inlineStr">
        <is>
          <t>PT Pulau Subur Tbk</t>
        </is>
      </c>
      <c r="B4252" t="inlineStr">
        <is>
          <t>PTPS_2023_AR.pdf</t>
        </is>
      </c>
      <c r="C4252" t="n">
        <v>2023</v>
      </c>
      <c r="D4252" t="inlineStr">
        <is>
          <t>Financial</t>
        </is>
      </c>
      <c r="E4252" t="inlineStr">
        <is>
          <t>Gross Profit</t>
        </is>
      </c>
      <c r="F4252" t="n">
        <v>34.5</v>
      </c>
      <c r="G4252" t="inlineStr">
        <is>
          <t>IDR bn</t>
        </is>
      </c>
      <c r="H4252" t="n">
        <v>10</v>
      </c>
      <c r="I4252" t="inlineStr">
        <is>
          <t>Laba Bruto 34.503.329.040 36.384.649.274</t>
        </is>
      </c>
      <c r="J4252" t="inlineStr">
        <is>
          <t>High</t>
        </is>
      </c>
      <c r="M4252" t="inlineStr">
        <is>
          <t>LLM</t>
        </is>
      </c>
      <c r="N4252" t="inlineStr">
        <is>
          <t>2026-04-19</t>
        </is>
      </c>
      <c r="O4252" t="inlineStr">
        <is>
          <t>AI</t>
        </is>
      </c>
    </row>
    <row r="4253">
      <c r="A4253" t="inlineStr">
        <is>
          <t>PT Pulau Subur Tbk</t>
        </is>
      </c>
      <c r="B4253" t="inlineStr">
        <is>
          <t>PTPS_2023_AR.pdf</t>
        </is>
      </c>
      <c r="C4253" t="n">
        <v>2023</v>
      </c>
      <c r="D4253" t="inlineStr">
        <is>
          <t>Financial</t>
        </is>
      </c>
      <c r="E4253" t="inlineStr">
        <is>
          <t>Operating Expense</t>
        </is>
      </c>
      <c r="F4253" t="n">
        <v>3.51</v>
      </c>
      <c r="G4253" t="inlineStr">
        <is>
          <t>IDR bn</t>
        </is>
      </c>
      <c r="H4253" t="n">
        <v>10</v>
      </c>
      <c r="I4253" t="inlineStr">
        <is>
          <t>Beban Usaha (3.508.498.005) (2.686.272.927)</t>
        </is>
      </c>
      <c r="J4253" t="inlineStr">
        <is>
          <t>High</t>
        </is>
      </c>
      <c r="M4253" t="inlineStr">
        <is>
          <t>LLM</t>
        </is>
      </c>
      <c r="N4253" t="inlineStr">
        <is>
          <t>2026-04-19</t>
        </is>
      </c>
      <c r="O4253" t="inlineStr">
        <is>
          <t>AI</t>
        </is>
      </c>
    </row>
    <row r="4254">
      <c r="A4254" t="inlineStr">
        <is>
          <t>PT Pulau Subur Tbk</t>
        </is>
      </c>
      <c r="B4254" t="inlineStr">
        <is>
          <t>PTPS_2023_AR.pdf</t>
        </is>
      </c>
      <c r="C4254" t="n">
        <v>2023</v>
      </c>
      <c r="D4254" t="inlineStr">
        <is>
          <t>Financial</t>
        </is>
      </c>
      <c r="E4254" t="inlineStr">
        <is>
          <t>Biological Asset Fair Value Gain</t>
        </is>
      </c>
      <c r="F4254" t="n">
        <v>1.78</v>
      </c>
      <c r="G4254" t="inlineStr">
        <is>
          <t>IDR bn</t>
        </is>
      </c>
      <c r="H4254" t="n">
        <v>10</v>
      </c>
      <c r="I4254" t="inlineStr">
        <is>
          <t>Keuntungan perubahan nilai wajar-bersih asset biologis 1.782.400.000</t>
        </is>
      </c>
      <c r="J4254" t="inlineStr">
        <is>
          <t>High</t>
        </is>
      </c>
      <c r="M4254" t="inlineStr">
        <is>
          <t>LLM</t>
        </is>
      </c>
      <c r="N4254" t="inlineStr">
        <is>
          <t>2026-04-19</t>
        </is>
      </c>
      <c r="O4254" t="inlineStr">
        <is>
          <t>AI</t>
        </is>
      </c>
    </row>
    <row r="4255">
      <c r="A4255" t="inlineStr">
        <is>
          <t>PT Pulau Subur Tbk</t>
        </is>
      </c>
      <c r="B4255" t="inlineStr">
        <is>
          <t>PTPS_2023_AR.pdf</t>
        </is>
      </c>
      <c r="C4255" t="n">
        <v>2023</v>
      </c>
      <c r="D4255" t="inlineStr">
        <is>
          <t>Financial</t>
        </is>
      </c>
      <c r="E4255" t="inlineStr">
        <is>
          <t>Operating Profit</t>
        </is>
      </c>
      <c r="F4255" t="n">
        <v>32.78</v>
      </c>
      <c r="G4255" t="inlineStr">
        <is>
          <t>IDR bn</t>
        </is>
      </c>
      <c r="H4255" t="n">
        <v>10</v>
      </c>
      <c r="I4255" t="inlineStr">
        <is>
          <t>Laba Usaha 32.777.231.035 34.722.376.347</t>
        </is>
      </c>
      <c r="J4255" t="inlineStr">
        <is>
          <t>High</t>
        </is>
      </c>
      <c r="M4255" t="inlineStr">
        <is>
          <t>LLM</t>
        </is>
      </c>
      <c r="N4255" t="inlineStr">
        <is>
          <t>2026-04-19</t>
        </is>
      </c>
      <c r="O4255" t="inlineStr">
        <is>
          <t>AI</t>
        </is>
      </c>
    </row>
    <row r="4256">
      <c r="A4256" t="inlineStr">
        <is>
          <t>PT Pulau Subur Tbk</t>
        </is>
      </c>
      <c r="B4256" t="inlineStr">
        <is>
          <t>PTPS_2023_AR.pdf</t>
        </is>
      </c>
      <c r="C4256" t="n">
        <v>2023</v>
      </c>
      <c r="D4256" t="inlineStr">
        <is>
          <t>Financial</t>
        </is>
      </c>
      <c r="E4256" t="inlineStr">
        <is>
          <t>Profit Before Tax</t>
        </is>
      </c>
      <c r="F4256" t="n">
        <v>32.69</v>
      </c>
      <c r="G4256" t="inlineStr">
        <is>
          <t>IDR bn</t>
        </is>
      </c>
      <c r="H4256" t="n">
        <v>10</v>
      </c>
      <c r="I4256" t="inlineStr">
        <is>
          <t>Laba Sebelum Pajak Penghasilan 32.690.488.368</t>
        </is>
      </c>
      <c r="J4256" t="inlineStr">
        <is>
          <t>High</t>
        </is>
      </c>
      <c r="M4256" t="inlineStr">
        <is>
          <t>LLM</t>
        </is>
      </c>
      <c r="N4256" t="inlineStr">
        <is>
          <t>2026-04-19</t>
        </is>
      </c>
      <c r="O4256" t="inlineStr">
        <is>
          <t>AI</t>
        </is>
      </c>
    </row>
    <row r="4257">
      <c r="A4257" t="inlineStr">
        <is>
          <t>PT Pulau Subur Tbk</t>
        </is>
      </c>
      <c r="B4257" t="inlineStr">
        <is>
          <t>PTPS_2023_AR.pdf</t>
        </is>
      </c>
      <c r="C4257" t="n">
        <v>2023</v>
      </c>
      <c r="D4257" t="inlineStr">
        <is>
          <t>Financial</t>
        </is>
      </c>
      <c r="E4257" t="inlineStr">
        <is>
          <t>Net Profit</t>
        </is>
      </c>
      <c r="F4257" t="n">
        <v>26.19</v>
      </c>
      <c r="G4257" t="inlineStr">
        <is>
          <t>IDR bn</t>
        </is>
      </c>
      <c r="H4257" t="n">
        <v>10</v>
      </c>
      <c r="I4257" t="inlineStr">
        <is>
          <t>Jumlah laba periode berjalan 26.186.877.836 27.669.000.185</t>
        </is>
      </c>
      <c r="J4257" t="inlineStr">
        <is>
          <t>High</t>
        </is>
      </c>
      <c r="M4257" t="inlineStr">
        <is>
          <t>LLM</t>
        </is>
      </c>
      <c r="N4257" t="inlineStr">
        <is>
          <t>2026-04-19</t>
        </is>
      </c>
      <c r="O4257" t="inlineStr">
        <is>
          <t>AI</t>
        </is>
      </c>
    </row>
    <row r="4258">
      <c r="A4258" t="inlineStr">
        <is>
          <t>PT Pulau Subur Tbk</t>
        </is>
      </c>
      <c r="B4258" t="inlineStr">
        <is>
          <t>PTPS_2023_AR.pdf</t>
        </is>
      </c>
      <c r="C4258" t="n">
        <v>2023</v>
      </c>
      <c r="D4258" t="inlineStr">
        <is>
          <t>Financial</t>
        </is>
      </c>
      <c r="E4258" t="inlineStr">
        <is>
          <t>EBITDA/Sales</t>
        </is>
      </c>
      <c r="F4258" t="n">
        <v>0.5732</v>
      </c>
      <c r="G4258" t="inlineStr">
        <is>
          <t>%</t>
        </is>
      </c>
      <c r="H4258" t="n">
        <v>11</v>
      </c>
      <c r="I4258" t="inlineStr">
        <is>
          <t>EBITDA terhadap Penjualan 57,32%</t>
        </is>
      </c>
      <c r="J4258" t="inlineStr">
        <is>
          <t>High</t>
        </is>
      </c>
      <c r="M4258" t="inlineStr">
        <is>
          <t>LLM</t>
        </is>
      </c>
      <c r="N4258" t="inlineStr">
        <is>
          <t>2026-04-19</t>
        </is>
      </c>
      <c r="O4258" t="inlineStr">
        <is>
          <t>AI</t>
        </is>
      </c>
    </row>
    <row r="4259">
      <c r="A4259" t="inlineStr">
        <is>
          <t>PT Pulau Subur Tbk</t>
        </is>
      </c>
      <c r="B4259" t="inlineStr">
        <is>
          <t>PTPS_2023_AR.pdf</t>
        </is>
      </c>
      <c r="C4259" t="n">
        <v>2023</v>
      </c>
      <c r="D4259" t="inlineStr">
        <is>
          <t>Financial</t>
        </is>
      </c>
      <c r="E4259" t="inlineStr">
        <is>
          <t>Income Tax Expense</t>
        </is>
      </c>
      <c r="F4259" t="n">
        <v>6.5</v>
      </c>
      <c r="G4259" t="inlineStr">
        <is>
          <t>IDR bn</t>
        </is>
      </c>
      <c r="H4259" t="n">
        <v>10</v>
      </c>
      <c r="I4259" t="inlineStr">
        <is>
          <t>Jumlah Beban Pajak Penghasilan (6.503.610.532)</t>
        </is>
      </c>
      <c r="J4259" t="inlineStr">
        <is>
          <t>High</t>
        </is>
      </c>
      <c r="M4259" t="inlineStr">
        <is>
          <t>LLM</t>
        </is>
      </c>
      <c r="N4259" t="inlineStr">
        <is>
          <t>2026-04-19</t>
        </is>
      </c>
      <c r="O4259" t="inlineStr">
        <is>
          <t>AI</t>
        </is>
      </c>
    </row>
    <row r="4260">
      <c r="A4260" t="inlineStr">
        <is>
          <t>PT Pulau Subur Tbk</t>
        </is>
      </c>
      <c r="B4260" t="inlineStr">
        <is>
          <t>PTPS_2023_AR.pdf</t>
        </is>
      </c>
      <c r="C4260" t="n">
        <v>2023</v>
      </c>
      <c r="D4260" t="inlineStr">
        <is>
          <t>Financial</t>
        </is>
      </c>
      <c r="E4260" t="inlineStr">
        <is>
          <t>Total Assets</t>
        </is>
      </c>
      <c r="F4260" t="n">
        <v>168.91</v>
      </c>
      <c r="G4260" t="inlineStr">
        <is>
          <t>IDR bn</t>
        </is>
      </c>
      <c r="H4260" t="n">
        <v>10</v>
      </c>
      <c r="I4260" t="inlineStr">
        <is>
          <t>JUMLAH ASET 168.911.551.579 73.063.082.134 91.603.531.697</t>
        </is>
      </c>
      <c r="J4260" t="inlineStr">
        <is>
          <t>High</t>
        </is>
      </c>
      <c r="M4260" t="inlineStr">
        <is>
          <t>LLM</t>
        </is>
      </c>
      <c r="N4260" t="inlineStr">
        <is>
          <t>2026-04-19</t>
        </is>
      </c>
      <c r="O4260" t="inlineStr">
        <is>
          <t>AI</t>
        </is>
      </c>
    </row>
    <row r="4261">
      <c r="A4261" t="inlineStr">
        <is>
          <t>PT Pulau Subur Tbk</t>
        </is>
      </c>
      <c r="B4261" t="inlineStr">
        <is>
          <t>PTPS_2023_AR.pdf</t>
        </is>
      </c>
      <c r="C4261" t="n">
        <v>2023</v>
      </c>
      <c r="D4261" t="inlineStr">
        <is>
          <t>Financial</t>
        </is>
      </c>
      <c r="E4261" t="inlineStr">
        <is>
          <t>Current Assets</t>
        </is>
      </c>
      <c r="F4261" t="n">
        <v>100.32</v>
      </c>
      <c r="G4261" t="inlineStr">
        <is>
          <t>IDR bn</t>
        </is>
      </c>
      <c r="H4261" t="n">
        <v>10</v>
      </c>
      <c r="I4261" t="inlineStr">
        <is>
          <t>Jumlah Aset Lancar 100.317.680.733 15.589.762.940</t>
        </is>
      </c>
      <c r="J4261" t="inlineStr">
        <is>
          <t>High</t>
        </is>
      </c>
      <c r="M4261" t="inlineStr">
        <is>
          <t>LLM</t>
        </is>
      </c>
      <c r="N4261" t="inlineStr">
        <is>
          <t>2026-04-19</t>
        </is>
      </c>
      <c r="O4261" t="inlineStr">
        <is>
          <t>AI</t>
        </is>
      </c>
    </row>
    <row r="4262">
      <c r="A4262" t="inlineStr">
        <is>
          <t>PT Pulau Subur Tbk</t>
        </is>
      </c>
      <c r="B4262" t="inlineStr">
        <is>
          <t>PTPS_2023_AR.pdf</t>
        </is>
      </c>
      <c r="C4262" t="n">
        <v>2023</v>
      </c>
      <c r="D4262" t="inlineStr">
        <is>
          <t>Financial</t>
        </is>
      </c>
      <c r="E4262" t="inlineStr">
        <is>
          <t>Non-Current Assets</t>
        </is>
      </c>
      <c r="F4262" t="n">
        <v>68.59</v>
      </c>
      <c r="G4262" t="inlineStr">
        <is>
          <t>IDR bn</t>
        </is>
      </c>
      <c r="H4262" t="n">
        <v>10</v>
      </c>
      <c r="I4262" t="inlineStr">
        <is>
          <t>Jumlah Aset Tidak Lancar 68.593.870.846</t>
        </is>
      </c>
      <c r="J4262" t="inlineStr">
        <is>
          <t>High</t>
        </is>
      </c>
      <c r="M4262" t="inlineStr">
        <is>
          <t>LLM</t>
        </is>
      </c>
      <c r="N4262" t="inlineStr">
        <is>
          <t>2026-04-19</t>
        </is>
      </c>
      <c r="O4262" t="inlineStr">
        <is>
          <t>AI</t>
        </is>
      </c>
    </row>
    <row r="4263">
      <c r="A4263" t="inlineStr">
        <is>
          <t>PT Pulau Subur Tbk</t>
        </is>
      </c>
      <c r="B4263" t="inlineStr">
        <is>
          <t>PTPS_2023_AR.pdf</t>
        </is>
      </c>
      <c r="C4263" t="n">
        <v>2023</v>
      </c>
      <c r="D4263" t="inlineStr">
        <is>
          <t>Financial</t>
        </is>
      </c>
      <c r="E4263" t="inlineStr">
        <is>
          <t>Cash and Bank</t>
        </is>
      </c>
      <c r="F4263" t="n">
        <v>74.98</v>
      </c>
      <c r="G4263" t="inlineStr">
        <is>
          <t>IDR bn</t>
        </is>
      </c>
      <c r="H4263" t="n">
        <v>10</v>
      </c>
      <c r="I4263" t="inlineStr">
        <is>
          <t>Kas dan kas di bank 74.977.433.758 3.401.161.559</t>
        </is>
      </c>
      <c r="J4263" t="inlineStr">
        <is>
          <t>High</t>
        </is>
      </c>
      <c r="M4263" t="inlineStr">
        <is>
          <t>LLM</t>
        </is>
      </c>
      <c r="N4263" t="inlineStr">
        <is>
          <t>2026-04-19</t>
        </is>
      </c>
      <c r="O4263" t="inlineStr">
        <is>
          <t>AI</t>
        </is>
      </c>
    </row>
    <row r="4264">
      <c r="A4264" t="inlineStr">
        <is>
          <t>PT Pulau Subur Tbk</t>
        </is>
      </c>
      <c r="B4264" t="inlineStr">
        <is>
          <t>PTPS_2023_AR.pdf</t>
        </is>
      </c>
      <c r="C4264" t="n">
        <v>2023</v>
      </c>
      <c r="D4264" t="inlineStr">
        <is>
          <t>Financial</t>
        </is>
      </c>
      <c r="E4264" t="inlineStr">
        <is>
          <t>Short-term Investment</t>
        </is>
      </c>
      <c r="F4264" t="n">
        <v>15</v>
      </c>
      <c r="G4264" t="inlineStr">
        <is>
          <t>IDR bn</t>
        </is>
      </c>
      <c r="H4264" t="n">
        <v>10</v>
      </c>
      <c r="I4264" t="inlineStr">
        <is>
          <t>Investasi jangka pendek 15.000.000.000</t>
        </is>
      </c>
      <c r="J4264" t="inlineStr">
        <is>
          <t>High</t>
        </is>
      </c>
      <c r="M4264" t="inlineStr">
        <is>
          <t>LLM</t>
        </is>
      </c>
      <c r="N4264" t="inlineStr">
        <is>
          <t>2026-04-19</t>
        </is>
      </c>
      <c r="O4264" t="inlineStr">
        <is>
          <t>AI</t>
        </is>
      </c>
    </row>
    <row r="4265">
      <c r="A4265" t="inlineStr">
        <is>
          <t>PT Pulau Subur Tbk</t>
        </is>
      </c>
      <c r="B4265" t="inlineStr">
        <is>
          <t>PTPS_2023_AR.pdf</t>
        </is>
      </c>
      <c r="C4265" t="n">
        <v>2023</v>
      </c>
      <c r="D4265" t="inlineStr">
        <is>
          <t>Financial</t>
        </is>
      </c>
      <c r="E4265" t="inlineStr">
        <is>
          <t>Trade Receivables</t>
        </is>
      </c>
      <c r="F4265" t="n">
        <v>0.17</v>
      </c>
      <c r="G4265" t="inlineStr">
        <is>
          <t>IDR bn</t>
        </is>
      </c>
      <c r="H4265" t="n">
        <v>10</v>
      </c>
      <c r="I4265" t="inlineStr">
        <is>
          <t>Piutang usaha dari pihak ketiga 169.315.594</t>
        </is>
      </c>
      <c r="J4265" t="inlineStr">
        <is>
          <t>High</t>
        </is>
      </c>
      <c r="M4265" t="inlineStr">
        <is>
          <t>LLM</t>
        </is>
      </c>
      <c r="N4265" t="inlineStr">
        <is>
          <t>2026-04-19</t>
        </is>
      </c>
      <c r="O4265" t="inlineStr">
        <is>
          <t>AI</t>
        </is>
      </c>
    </row>
    <row r="4266">
      <c r="A4266" t="inlineStr">
        <is>
          <t>PT Pulau Subur Tbk</t>
        </is>
      </c>
      <c r="B4266" t="inlineStr">
        <is>
          <t>PTPS_2023_AR.pdf</t>
        </is>
      </c>
      <c r="C4266" t="n">
        <v>2023</v>
      </c>
      <c r="D4266" t="inlineStr">
        <is>
          <t>Financial</t>
        </is>
      </c>
      <c r="E4266" t="inlineStr">
        <is>
          <t>Inventories</t>
        </is>
      </c>
      <c r="F4266" t="n">
        <v>1.33</v>
      </c>
      <c r="G4266" t="inlineStr">
        <is>
          <t>IDR bn</t>
        </is>
      </c>
      <c r="H4266" t="n">
        <v>10</v>
      </c>
      <c r="I4266" t="inlineStr">
        <is>
          <t>Persediaan 1.328.091.500</t>
        </is>
      </c>
      <c r="J4266" t="inlineStr">
        <is>
          <t>High</t>
        </is>
      </c>
      <c r="M4266" t="inlineStr">
        <is>
          <t>LLM</t>
        </is>
      </c>
      <c r="N4266" t="inlineStr">
        <is>
          <t>2026-04-19</t>
        </is>
      </c>
      <c r="O4266" t="inlineStr">
        <is>
          <t>AI</t>
        </is>
      </c>
    </row>
    <row r="4267">
      <c r="A4267" t="inlineStr">
        <is>
          <t>PT Pulau Subur Tbk</t>
        </is>
      </c>
      <c r="B4267" t="inlineStr">
        <is>
          <t>PTPS_2023_AR.pdf</t>
        </is>
      </c>
      <c r="C4267" t="n">
        <v>2023</v>
      </c>
      <c r="D4267" t="inlineStr">
        <is>
          <t>Financial</t>
        </is>
      </c>
      <c r="E4267" t="inlineStr">
        <is>
          <t>Biological Assets</t>
        </is>
      </c>
      <c r="F4267" t="n">
        <v>8.619999999999999</v>
      </c>
      <c r="G4267" t="inlineStr">
        <is>
          <t>IDR bn</t>
        </is>
      </c>
      <c r="H4267" t="n">
        <v>10</v>
      </c>
      <c r="I4267" t="inlineStr">
        <is>
          <t>Aset biologis 8.616.400.000 6.834.000.000</t>
        </is>
      </c>
      <c r="J4267" t="inlineStr">
        <is>
          <t>High</t>
        </is>
      </c>
      <c r="M4267" t="inlineStr">
        <is>
          <t>LLM</t>
        </is>
      </c>
      <c r="N4267" t="inlineStr">
        <is>
          <t>2026-04-19</t>
        </is>
      </c>
      <c r="O4267" t="inlineStr">
        <is>
          <t>AI</t>
        </is>
      </c>
    </row>
    <row r="4268">
      <c r="A4268" t="inlineStr">
        <is>
          <t>PT Pulau Subur Tbk</t>
        </is>
      </c>
      <c r="B4268" t="inlineStr">
        <is>
          <t>PTPS_2023_AR.pdf</t>
        </is>
      </c>
      <c r="C4268" t="n">
        <v>2023</v>
      </c>
      <c r="D4268" t="inlineStr">
        <is>
          <t>Financial</t>
        </is>
      </c>
      <c r="E4268" t="inlineStr">
        <is>
          <t>Fixed Assets - Net</t>
        </is>
      </c>
      <c r="F4268" t="n">
        <v>47.79</v>
      </c>
      <c r="G4268" t="inlineStr">
        <is>
          <t>IDR bn</t>
        </is>
      </c>
      <c r="H4268" t="n">
        <v>10</v>
      </c>
      <c r="I4268" t="inlineStr">
        <is>
          <t>Aset tetap - bersih 47.787.512.305 37.342.438.289</t>
        </is>
      </c>
      <c r="J4268" t="inlineStr">
        <is>
          <t>High</t>
        </is>
      </c>
      <c r="M4268" t="inlineStr">
        <is>
          <t>LLM</t>
        </is>
      </c>
      <c r="N4268" t="inlineStr">
        <is>
          <t>2026-04-19</t>
        </is>
      </c>
      <c r="O4268" t="inlineStr">
        <is>
          <t>AI</t>
        </is>
      </c>
    </row>
    <row r="4269">
      <c r="A4269" t="inlineStr">
        <is>
          <t>PT Pulau Subur Tbk</t>
        </is>
      </c>
      <c r="B4269" t="inlineStr">
        <is>
          <t>PTPS_2023_AR.pdf</t>
        </is>
      </c>
      <c r="C4269" t="n">
        <v>2023</v>
      </c>
      <c r="D4269" t="inlineStr">
        <is>
          <t>Financial</t>
        </is>
      </c>
      <c r="E4269" t="inlineStr">
        <is>
          <t>Investment in Associate</t>
        </is>
      </c>
      <c r="F4269" t="n">
        <v>9.59</v>
      </c>
      <c r="G4269" t="inlineStr">
        <is>
          <t>IDR bn</t>
        </is>
      </c>
      <c r="H4269" t="n">
        <v>10</v>
      </c>
      <c r="I4269" t="inlineStr">
        <is>
          <t>Investasi pada entitas asosiasi 9.586.781.780</t>
        </is>
      </c>
      <c r="J4269" t="inlineStr">
        <is>
          <t>High</t>
        </is>
      </c>
      <c r="M4269" t="inlineStr">
        <is>
          <t>LLM</t>
        </is>
      </c>
      <c r="N4269" t="inlineStr">
        <is>
          <t>2026-04-19</t>
        </is>
      </c>
      <c r="O4269" t="inlineStr">
        <is>
          <t>AI</t>
        </is>
      </c>
    </row>
    <row r="4270">
      <c r="A4270" t="inlineStr">
        <is>
          <t>PT Pulau Subur Tbk</t>
        </is>
      </c>
      <c r="B4270" t="inlineStr">
        <is>
          <t>PTPS_2023_AR.pdf</t>
        </is>
      </c>
      <c r="C4270" t="n">
        <v>2023</v>
      </c>
      <c r="D4270" t="inlineStr">
        <is>
          <t>Financial</t>
        </is>
      </c>
      <c r="E4270" t="inlineStr">
        <is>
          <t>Total Liabilities</t>
        </is>
      </c>
      <c r="F4270" t="n">
        <v>6.18</v>
      </c>
      <c r="G4270" t="inlineStr">
        <is>
          <t>IDR bn</t>
        </is>
      </c>
      <c r="H4270" t="n">
        <v>11</v>
      </c>
      <c r="I4270" t="inlineStr">
        <is>
          <t>JUMLAH LIABILITAS 6.175.450.962 19.043.277.939</t>
        </is>
      </c>
      <c r="J4270" t="inlineStr">
        <is>
          <t>High</t>
        </is>
      </c>
      <c r="M4270" t="inlineStr">
        <is>
          <t>LLM</t>
        </is>
      </c>
      <c r="N4270" t="inlineStr">
        <is>
          <t>2026-04-19</t>
        </is>
      </c>
      <c r="O4270" t="inlineStr">
        <is>
          <t>AI</t>
        </is>
      </c>
    </row>
    <row r="4271">
      <c r="A4271" t="inlineStr">
        <is>
          <t>PT Pulau Subur Tbk</t>
        </is>
      </c>
      <c r="B4271" t="inlineStr">
        <is>
          <t>PTPS_2023_AR.pdf</t>
        </is>
      </c>
      <c r="C4271" t="n">
        <v>2023</v>
      </c>
      <c r="D4271" t="inlineStr">
        <is>
          <t>Financial</t>
        </is>
      </c>
      <c r="E4271" t="inlineStr">
        <is>
          <t>Current Liabilities</t>
        </is>
      </c>
      <c r="F4271" t="n">
        <v>5.76</v>
      </c>
      <c r="G4271" t="inlineStr">
        <is>
          <t>IDR bn</t>
        </is>
      </c>
      <c r="H4271" t="n">
        <v>11</v>
      </c>
      <c r="I4271" t="inlineStr">
        <is>
          <t>Jumlah Liabilitas Jangka Pendek 5.756.692.657</t>
        </is>
      </c>
      <c r="J4271" t="inlineStr">
        <is>
          <t>High</t>
        </is>
      </c>
      <c r="M4271" t="inlineStr">
        <is>
          <t>LLM</t>
        </is>
      </c>
      <c r="N4271" t="inlineStr">
        <is>
          <t>2026-04-19</t>
        </is>
      </c>
      <c r="O4271" t="inlineStr">
        <is>
          <t>AI</t>
        </is>
      </c>
    </row>
    <row r="4272">
      <c r="A4272" t="inlineStr">
        <is>
          <t>PT Pulau Subur Tbk</t>
        </is>
      </c>
      <c r="B4272" t="inlineStr">
        <is>
          <t>PTPS_2023_AR.pdf</t>
        </is>
      </c>
      <c r="C4272" t="n">
        <v>2023</v>
      </c>
      <c r="D4272" t="inlineStr">
        <is>
          <t>Financial</t>
        </is>
      </c>
      <c r="E4272" t="inlineStr">
        <is>
          <t>Non-Current Liabilities</t>
        </is>
      </c>
      <c r="F4272" t="n">
        <v>0.42</v>
      </c>
      <c r="G4272" t="inlineStr">
        <is>
          <t>IDR bn</t>
        </is>
      </c>
      <c r="H4272" t="n">
        <v>11</v>
      </c>
      <c r="I4272" t="inlineStr">
        <is>
          <t>Jumlah Liabilitas Jangka Panjang 418.758.305 2.353.867.152</t>
        </is>
      </c>
      <c r="J4272" t="inlineStr">
        <is>
          <t>High</t>
        </is>
      </c>
      <c r="M4272" t="inlineStr">
        <is>
          <t>LLM</t>
        </is>
      </c>
      <c r="N4272" t="inlineStr">
        <is>
          <t>2026-04-19</t>
        </is>
      </c>
      <c r="O4272" t="inlineStr">
        <is>
          <t>AI</t>
        </is>
      </c>
    </row>
    <row r="4273">
      <c r="A4273" t="inlineStr">
        <is>
          <t>PT Pulau Subur Tbk</t>
        </is>
      </c>
      <c r="B4273" t="inlineStr">
        <is>
          <t>PTPS_2023_AR.pdf</t>
        </is>
      </c>
      <c r="C4273" t="n">
        <v>2023</v>
      </c>
      <c r="D4273" t="inlineStr">
        <is>
          <t>Financial</t>
        </is>
      </c>
      <c r="E4273" t="inlineStr">
        <is>
          <t>Bank Loan - Current Maturity</t>
        </is>
      </c>
      <c r="F4273" t="n">
        <v>1.88</v>
      </c>
      <c r="G4273" t="inlineStr">
        <is>
          <t>IDR bn</t>
        </is>
      </c>
      <c r="H4273" t="n">
        <v>11</v>
      </c>
      <c r="I4273" t="inlineStr">
        <is>
          <t>Utang bank jangka panjang yang jatuh tempo dalam satu tahun 1.878.781.092</t>
        </is>
      </c>
      <c r="J4273" t="inlineStr">
        <is>
          <t>High</t>
        </is>
      </c>
      <c r="M4273" t="inlineStr">
        <is>
          <t>LLM</t>
        </is>
      </c>
      <c r="N4273" t="inlineStr">
        <is>
          <t>2026-04-19</t>
        </is>
      </c>
      <c r="O4273" t="inlineStr">
        <is>
          <t>AI</t>
        </is>
      </c>
    </row>
    <row r="4274">
      <c r="A4274" t="inlineStr">
        <is>
          <t>PT Pulau Subur Tbk</t>
        </is>
      </c>
      <c r="B4274" t="inlineStr">
        <is>
          <t>PTPS_2023_AR.pdf</t>
        </is>
      </c>
      <c r="C4274" t="n">
        <v>2023</v>
      </c>
      <c r="D4274" t="inlineStr">
        <is>
          <t>Financial</t>
        </is>
      </c>
      <c r="E4274" t="inlineStr">
        <is>
          <t>Total Equity</t>
        </is>
      </c>
      <c r="F4274" t="n">
        <v>162.74</v>
      </c>
      <c r="G4274" t="inlineStr">
        <is>
          <t>IDR bn</t>
        </is>
      </c>
      <c r="H4274" t="n">
        <v>11</v>
      </c>
      <c r="I4274" t="inlineStr">
        <is>
          <t>Jumlah Ekuitas 162.736.100.617 54.019.804.195</t>
        </is>
      </c>
      <c r="J4274" t="inlineStr">
        <is>
          <t>High</t>
        </is>
      </c>
      <c r="M4274" t="inlineStr">
        <is>
          <t>LLM</t>
        </is>
      </c>
      <c r="N4274" t="inlineStr">
        <is>
          <t>2026-04-19</t>
        </is>
      </c>
      <c r="O4274" t="inlineStr">
        <is>
          <t>AI</t>
        </is>
      </c>
    </row>
    <row r="4275">
      <c r="A4275" t="inlineStr">
        <is>
          <t>PT Pulau Subur Tbk</t>
        </is>
      </c>
      <c r="B4275" t="inlineStr">
        <is>
          <t>PTPS_2023_AR.pdf</t>
        </is>
      </c>
      <c r="C4275" t="n">
        <v>2023</v>
      </c>
      <c r="D4275" t="inlineStr">
        <is>
          <t>Financial</t>
        </is>
      </c>
      <c r="E4275" t="inlineStr">
        <is>
          <t>Paid-in Capital</t>
        </is>
      </c>
      <c r="F4275" t="n">
        <v>43.35</v>
      </c>
      <c r="G4275" t="inlineStr">
        <is>
          <t>IDR bn</t>
        </is>
      </c>
      <c r="H4275" t="n">
        <v>11</v>
      </c>
      <c r="I4275" t="inlineStr">
        <is>
          <t>Modal ditempatkan dan disetor penuh 43.350.000.000</t>
        </is>
      </c>
      <c r="J4275" t="inlineStr">
        <is>
          <t>High</t>
        </is>
      </c>
      <c r="M4275" t="inlineStr">
        <is>
          <t>LLM</t>
        </is>
      </c>
      <c r="N4275" t="inlineStr">
        <is>
          <t>2026-04-19</t>
        </is>
      </c>
      <c r="O4275" t="inlineStr">
        <is>
          <t>AI</t>
        </is>
      </c>
    </row>
    <row r="4276">
      <c r="A4276" t="inlineStr">
        <is>
          <t>PT Pulau Subur Tbk</t>
        </is>
      </c>
      <c r="B4276" t="inlineStr">
        <is>
          <t>PTPS_2023_AR.pdf</t>
        </is>
      </c>
      <c r="C4276" t="n">
        <v>2023</v>
      </c>
      <c r="D4276" t="inlineStr">
        <is>
          <t>Financial</t>
        </is>
      </c>
      <c r="E4276" t="inlineStr">
        <is>
          <t>Additional Paid-in Capital</t>
        </is>
      </c>
      <c r="F4276" t="n">
        <v>81.26000000000001</v>
      </c>
      <c r="G4276" t="inlineStr">
        <is>
          <t>IDR bn</t>
        </is>
      </c>
      <c r="H4276" t="n">
        <v>11</v>
      </c>
      <c r="I4276" t="inlineStr">
        <is>
          <t>Tambahan modal disetor - bersih 81.255.360.884</t>
        </is>
      </c>
      <c r="J4276" t="inlineStr">
        <is>
          <t>High</t>
        </is>
      </c>
      <c r="M4276" t="inlineStr">
        <is>
          <t>LLM</t>
        </is>
      </c>
      <c r="N4276" t="inlineStr">
        <is>
          <t>2026-04-19</t>
        </is>
      </c>
      <c r="O4276" t="inlineStr">
        <is>
          <t>AI</t>
        </is>
      </c>
    </row>
    <row r="4277">
      <c r="A4277" t="inlineStr">
        <is>
          <t>PT Pulau Subur Tbk</t>
        </is>
      </c>
      <c r="B4277" t="inlineStr">
        <is>
          <t>PTPS_2023_AR.pdf</t>
        </is>
      </c>
      <c r="C4277" t="n">
        <v>2023</v>
      </c>
      <c r="D4277" t="inlineStr">
        <is>
          <t>Financial</t>
        </is>
      </c>
      <c r="E4277" t="inlineStr">
        <is>
          <t>Retained Earnings Appropriated</t>
        </is>
      </c>
      <c r="F4277" t="n">
        <v>5.67</v>
      </c>
      <c r="G4277" t="inlineStr">
        <is>
          <t>IDR bn</t>
        </is>
      </c>
      <c r="H4277" t="n">
        <v>11</v>
      </c>
      <c r="I4277" t="inlineStr">
        <is>
          <t>Dicadangkan 5.670.000.000</t>
        </is>
      </c>
      <c r="J4277" t="inlineStr">
        <is>
          <t>High</t>
        </is>
      </c>
      <c r="M4277" t="inlineStr">
        <is>
          <t>LLM</t>
        </is>
      </c>
      <c r="N4277" t="inlineStr">
        <is>
          <t>2026-04-19</t>
        </is>
      </c>
      <c r="O4277" t="inlineStr">
        <is>
          <t>AI</t>
        </is>
      </c>
    </row>
    <row r="4278">
      <c r="A4278" t="inlineStr">
        <is>
          <t>PT Pulau Subur Tbk</t>
        </is>
      </c>
      <c r="B4278" t="inlineStr">
        <is>
          <t>PTPS_2023_AR.pdf</t>
        </is>
      </c>
      <c r="C4278" t="n">
        <v>2023</v>
      </c>
      <c r="D4278" t="inlineStr">
        <is>
          <t>Financial</t>
        </is>
      </c>
      <c r="E4278" t="inlineStr">
        <is>
          <t>CFO</t>
        </is>
      </c>
      <c r="F4278" t="n">
        <v>17.26</v>
      </c>
      <c r="G4278" t="inlineStr">
        <is>
          <t>IDR bn</t>
        </is>
      </c>
      <c r="H4278" t="n">
        <v>61</v>
      </c>
      <c r="I4278" t="inlineStr">
        <is>
          <t>Kas Neto Digunakan Untuk Aktivitas Operasi 17.257.177.255 31.967.738.836</t>
        </is>
      </c>
      <c r="J4278" t="inlineStr">
        <is>
          <t>High</t>
        </is>
      </c>
      <c r="M4278" t="inlineStr">
        <is>
          <t>LLM</t>
        </is>
      </c>
      <c r="N4278" t="inlineStr">
        <is>
          <t>2026-04-19</t>
        </is>
      </c>
      <c r="O4278" t="inlineStr">
        <is>
          <t>AI</t>
        </is>
      </c>
    </row>
    <row r="4279">
      <c r="A4279" t="inlineStr">
        <is>
          <t>PT Pulau Subur Tbk</t>
        </is>
      </c>
      <c r="B4279" t="inlineStr">
        <is>
          <t>PTPS_2023_AR.pdf</t>
        </is>
      </c>
      <c r="C4279" t="n">
        <v>2023</v>
      </c>
      <c r="D4279" t="inlineStr">
        <is>
          <t>Financial</t>
        </is>
      </c>
      <c r="E4279" t="inlineStr">
        <is>
          <t>CFI</t>
        </is>
      </c>
      <c r="F4279" t="n">
        <v>-26.23</v>
      </c>
      <c r="G4279" t="inlineStr">
        <is>
          <t>IDR bn</t>
        </is>
      </c>
      <c r="H4279" t="n">
        <v>61</v>
      </c>
      <c r="I4279" t="inlineStr">
        <is>
          <t>Kas Neto Digunakan Untuk Aktivitas Investasi (26.226.643.476)</t>
        </is>
      </c>
      <c r="J4279" t="inlineStr">
        <is>
          <t>High</t>
        </is>
      </c>
      <c r="M4279" t="inlineStr">
        <is>
          <t>LLM</t>
        </is>
      </c>
      <c r="N4279" t="inlineStr">
        <is>
          <t>2026-04-19</t>
        </is>
      </c>
      <c r="O4279" t="inlineStr">
        <is>
          <t>AI</t>
        </is>
      </c>
    </row>
    <row r="4280">
      <c r="A4280" t="inlineStr">
        <is>
          <t>PT Pulau Subur Tbk</t>
        </is>
      </c>
      <c r="B4280" t="inlineStr">
        <is>
          <t>PTPS_2023_AR.pdf</t>
        </is>
      </c>
      <c r="C4280" t="n">
        <v>2023</v>
      </c>
      <c r="D4280" t="inlineStr">
        <is>
          <t>Financial</t>
        </is>
      </c>
      <c r="E4280" t="inlineStr">
        <is>
          <t>CFF</t>
        </is>
      </c>
      <c r="F4280" t="n">
        <v>80.55</v>
      </c>
      <c r="G4280" t="inlineStr">
        <is>
          <t>IDR bn</t>
        </is>
      </c>
      <c r="H4280" t="n">
        <v>61</v>
      </c>
      <c r="I4280" t="inlineStr">
        <is>
          <t>Kas Neto Digunakan Untuk Aktivitas Pendanaan 80.545.738.420</t>
        </is>
      </c>
      <c r="J4280" t="inlineStr">
        <is>
          <t>High</t>
        </is>
      </c>
      <c r="M4280" t="inlineStr">
        <is>
          <t>LLM</t>
        </is>
      </c>
      <c r="N4280" t="inlineStr">
        <is>
          <t>2026-04-19</t>
        </is>
      </c>
      <c r="O4280" t="inlineStr">
        <is>
          <t>AI</t>
        </is>
      </c>
    </row>
    <row r="4281">
      <c r="A4281" t="inlineStr">
        <is>
          <t>PT Pulau Subur Tbk</t>
        </is>
      </c>
      <c r="B4281" t="inlineStr">
        <is>
          <t>PTPS_2023_AR.pdf</t>
        </is>
      </c>
      <c r="C4281" t="n">
        <v>2023</v>
      </c>
      <c r="D4281" t="inlineStr">
        <is>
          <t>Financial</t>
        </is>
      </c>
      <c r="E4281" t="inlineStr">
        <is>
          <t>Capex - Fixed Asset Additions (inferred)</t>
        </is>
      </c>
      <c r="F4281" t="n">
        <v>10.45</v>
      </c>
      <c r="G4281" t="inlineStr">
        <is>
          <t>IDR bn</t>
        </is>
      </c>
      <c r="H4281" t="n">
        <v>61</v>
      </c>
      <c r="I4281" t="inlineStr">
        <is>
          <t>Fixed assets increased from 37.34 to 47.79 bn (2023 addition ~10.45 bn)</t>
        </is>
      </c>
      <c r="J4281" t="inlineStr">
        <is>
          <t>Medium</t>
        </is>
      </c>
      <c r="M4281" t="inlineStr">
        <is>
          <t>LLM</t>
        </is>
      </c>
      <c r="N4281" t="inlineStr">
        <is>
          <t>2026-04-19</t>
        </is>
      </c>
      <c r="O4281" t="inlineStr">
        <is>
          <t>AI</t>
        </is>
      </c>
    </row>
    <row r="4282">
      <c r="A4282" t="inlineStr">
        <is>
          <t>PT Pulau Subur Tbk</t>
        </is>
      </c>
      <c r="B4282" t="inlineStr">
        <is>
          <t>PTPS_2023_AR.pdf</t>
        </is>
      </c>
      <c r="C4282" t="n">
        <v>2023</v>
      </c>
      <c r="D4282" t="inlineStr">
        <is>
          <t>Financial</t>
        </is>
      </c>
      <c r="E4282" t="inlineStr">
        <is>
          <t>Current Ratio</t>
        </is>
      </c>
      <c r="F4282" t="n">
        <v>17.43</v>
      </c>
      <c r="G4282" t="inlineStr">
        <is>
          <t>x</t>
        </is>
      </c>
      <c r="H4282" t="n">
        <v>13</v>
      </c>
      <c r="I4282" t="inlineStr">
        <is>
          <t>Aset Lancar terhadap Liabilitas Jangka Pendek 17,43 0,93</t>
        </is>
      </c>
      <c r="J4282" t="inlineStr">
        <is>
          <t>High</t>
        </is>
      </c>
      <c r="M4282" t="inlineStr">
        <is>
          <t>LLM</t>
        </is>
      </c>
      <c r="N4282" t="inlineStr">
        <is>
          <t>2026-04-19</t>
        </is>
      </c>
      <c r="O4282" t="inlineStr">
        <is>
          <t>AI</t>
        </is>
      </c>
    </row>
    <row r="4283">
      <c r="A4283" t="inlineStr">
        <is>
          <t>PT Pulau Subur Tbk</t>
        </is>
      </c>
      <c r="B4283" t="inlineStr">
        <is>
          <t>PTPS_2023_AR.pdf</t>
        </is>
      </c>
      <c r="C4283" t="n">
        <v>2023</v>
      </c>
      <c r="D4283" t="inlineStr">
        <is>
          <t>Financial</t>
        </is>
      </c>
      <c r="E4283" t="inlineStr">
        <is>
          <t>Gearing Ratio (Liab/Equity)</t>
        </is>
      </c>
      <c r="F4283" t="n">
        <v>0.0379</v>
      </c>
      <c r="G4283" t="inlineStr">
        <is>
          <t>%</t>
        </is>
      </c>
      <c r="H4283" t="n">
        <v>63</v>
      </c>
      <c r="I4283" t="inlineStr">
        <is>
          <t>Rasio Pengungkit (%) 3,79 35,25</t>
        </is>
      </c>
      <c r="J4283" t="inlineStr">
        <is>
          <t>High</t>
        </is>
      </c>
      <c r="M4283" t="inlineStr">
        <is>
          <t>LLM</t>
        </is>
      </c>
      <c r="N4283" t="inlineStr">
        <is>
          <t>2026-04-19</t>
        </is>
      </c>
      <c r="O4283" t="inlineStr">
        <is>
          <t>AI</t>
        </is>
      </c>
    </row>
    <row r="4284">
      <c r="A4284" t="inlineStr">
        <is>
          <t>PT Pulau Subur Tbk</t>
        </is>
      </c>
      <c r="B4284" t="inlineStr">
        <is>
          <t>PTPS_2023_AR.pdf</t>
        </is>
      </c>
      <c r="C4284" t="n">
        <v>2023</v>
      </c>
      <c r="D4284" t="inlineStr">
        <is>
          <t>Financial</t>
        </is>
      </c>
      <c r="E4284" t="inlineStr">
        <is>
          <t>ICR Ratio</t>
        </is>
      </c>
      <c r="F4284" t="n">
        <v>156</v>
      </c>
      <c r="G4284" t="inlineStr">
        <is>
          <t>x</t>
        </is>
      </c>
      <c r="H4284" t="n">
        <v>13</v>
      </c>
      <c r="I4284" t="inlineStr">
        <is>
          <t>Rasio ICR 156x 74,28x</t>
        </is>
      </c>
      <c r="J4284" t="inlineStr">
        <is>
          <t>High</t>
        </is>
      </c>
      <c r="M4284" t="inlineStr">
        <is>
          <t>LLM</t>
        </is>
      </c>
      <c r="N4284" t="inlineStr">
        <is>
          <t>2026-04-19</t>
        </is>
      </c>
      <c r="O4284" t="inlineStr">
        <is>
          <t>AI</t>
        </is>
      </c>
    </row>
    <row r="4285">
      <c r="A4285" t="inlineStr">
        <is>
          <t>PT Pulau Subur Tbk</t>
        </is>
      </c>
      <c r="B4285" t="inlineStr">
        <is>
          <t>PTPS_2023_AR.pdf</t>
        </is>
      </c>
      <c r="C4285" t="n">
        <v>2023</v>
      </c>
      <c r="D4285" t="inlineStr">
        <is>
          <t>Financial</t>
        </is>
      </c>
      <c r="E4285" t="inlineStr">
        <is>
          <t>Shares Outstanding</t>
        </is>
      </c>
      <c r="F4285" t="n">
        <v>2167.5</v>
      </c>
      <c r="G4285" t="inlineStr">
        <is>
          <t>mn</t>
        </is>
      </c>
      <c r="H4285" t="n">
        <v>45</v>
      </c>
      <c r="I4285" t="inlineStr">
        <is>
          <t>Jumlah Modal Ditempatkan dan Disetor Penuh 2.167.500.000</t>
        </is>
      </c>
      <c r="J4285" t="inlineStr">
        <is>
          <t>High</t>
        </is>
      </c>
      <c r="M4285" t="inlineStr">
        <is>
          <t>LLM</t>
        </is>
      </c>
      <c r="N4285" t="inlineStr">
        <is>
          <t>2026-04-19</t>
        </is>
      </c>
      <c r="O4285" t="inlineStr">
        <is>
          <t>AI</t>
        </is>
      </c>
    </row>
    <row r="4286">
      <c r="A4286" t="inlineStr">
        <is>
          <t>PT Pulau Subur Tbk</t>
        </is>
      </c>
      <c r="B4286" t="inlineStr">
        <is>
          <t>PTPS_2023_AR.pdf</t>
        </is>
      </c>
      <c r="C4286" t="n">
        <v>2023</v>
      </c>
      <c r="D4286" t="inlineStr">
        <is>
          <t>Financial</t>
        </is>
      </c>
      <c r="E4286" t="inlineStr">
        <is>
          <t>Closing Price (Dec 2023)</t>
        </is>
      </c>
      <c r="F4286" t="n">
        <v>152</v>
      </c>
      <c r="G4286" t="inlineStr">
        <is>
          <t>Rp/share</t>
        </is>
      </c>
      <c r="H4286" t="n">
        <v>15</v>
      </c>
      <c r="I4286" t="inlineStr">
        <is>
          <t>Desember 199 126 152</t>
        </is>
      </c>
      <c r="J4286" t="inlineStr">
        <is>
          <t>High</t>
        </is>
      </c>
      <c r="M4286" t="inlineStr">
        <is>
          <t>LLM</t>
        </is>
      </c>
      <c r="N4286" t="inlineStr">
        <is>
          <t>2026-04-19</t>
        </is>
      </c>
      <c r="O4286" t="inlineStr">
        <is>
          <t>AI</t>
        </is>
      </c>
    </row>
    <row r="4287">
      <c r="A4287" t="inlineStr">
        <is>
          <t>PT Pulau Subur Tbk</t>
        </is>
      </c>
      <c r="B4287" t="inlineStr">
        <is>
          <t>PTPS_2023_AR.pdf</t>
        </is>
      </c>
      <c r="C4287" t="n">
        <v>2023</v>
      </c>
      <c r="D4287" t="inlineStr">
        <is>
          <t>Financial</t>
        </is>
      </c>
      <c r="E4287" t="inlineStr">
        <is>
          <t>Market Cap (Dec 2023)</t>
        </is>
      </c>
      <c r="F4287" t="n">
        <v>329.46</v>
      </c>
      <c r="G4287" t="inlineStr">
        <is>
          <t>IDR bn</t>
        </is>
      </c>
      <c r="H4287" t="n">
        <v>15</v>
      </c>
      <c r="I4287" t="inlineStr">
        <is>
          <t>Desember ... 329.460.000.000</t>
        </is>
      </c>
      <c r="J4287" t="inlineStr">
        <is>
          <t>High</t>
        </is>
      </c>
      <c r="M4287" t="inlineStr">
        <is>
          <t>LLM</t>
        </is>
      </c>
      <c r="N4287" t="inlineStr">
        <is>
          <t>2026-04-19</t>
        </is>
      </c>
      <c r="O4287" t="inlineStr">
        <is>
          <t>AI</t>
        </is>
      </c>
    </row>
    <row r="4288">
      <c r="A4288" t="inlineStr">
        <is>
          <t>PT Pulau Subur Tbk</t>
        </is>
      </c>
      <c r="B4288" t="inlineStr">
        <is>
          <t>PTPS_2023_AR.pdf</t>
        </is>
      </c>
      <c r="C4288" t="n">
        <v>2023</v>
      </c>
      <c r="D4288" t="inlineStr">
        <is>
          <t>Financial</t>
        </is>
      </c>
      <c r="E4288" t="inlineStr">
        <is>
          <t>IPO Gross Proceeds</t>
        </is>
      </c>
      <c r="F4288" t="n">
        <v>89.09999999999999</v>
      </c>
      <c r="G4288" t="inlineStr">
        <is>
          <t>IDR bn</t>
        </is>
      </c>
      <c r="H4288" t="n">
        <v>64</v>
      </c>
      <c r="I4288" t="inlineStr">
        <is>
          <t>09 Oktober 2023 Rp89.100.000.000</t>
        </is>
      </c>
      <c r="J4288" t="inlineStr">
        <is>
          <t>High</t>
        </is>
      </c>
      <c r="M4288" t="inlineStr">
        <is>
          <t>LLM</t>
        </is>
      </c>
      <c r="N4288" t="inlineStr">
        <is>
          <t>2026-04-19</t>
        </is>
      </c>
      <c r="O4288" t="inlineStr">
        <is>
          <t>AI</t>
        </is>
      </c>
    </row>
    <row r="4289">
      <c r="A4289" t="inlineStr">
        <is>
          <t>PT Pulau Subur Tbk</t>
        </is>
      </c>
      <c r="B4289" t="inlineStr">
        <is>
          <t>PTPS_2023_AR.pdf</t>
        </is>
      </c>
      <c r="C4289" t="n">
        <v>2023</v>
      </c>
      <c r="D4289" t="inlineStr">
        <is>
          <t>Financial</t>
        </is>
      </c>
      <c r="E4289" t="inlineStr">
        <is>
          <t>IPO Cost</t>
        </is>
      </c>
      <c r="F4289" t="n">
        <v>3.97</v>
      </c>
      <c r="G4289" t="inlineStr">
        <is>
          <t>IDR bn</t>
        </is>
      </c>
      <c r="H4289" t="n">
        <v>64</v>
      </c>
      <c r="I4289" t="inlineStr">
        <is>
          <t>Biaya IPO Rp3.968.297.412</t>
        </is>
      </c>
      <c r="J4289" t="inlineStr">
        <is>
          <t>High</t>
        </is>
      </c>
      <c r="M4289" t="inlineStr">
        <is>
          <t>LLM</t>
        </is>
      </c>
      <c r="N4289" t="inlineStr">
        <is>
          <t>2026-04-19</t>
        </is>
      </c>
      <c r="O4289" t="inlineStr">
        <is>
          <t>AI</t>
        </is>
      </c>
    </row>
    <row r="4290">
      <c r="A4290" t="inlineStr">
        <is>
          <t>PT Pulau Subur Tbk</t>
        </is>
      </c>
      <c r="B4290" t="inlineStr">
        <is>
          <t>PTPS_2023_AR.pdf</t>
        </is>
      </c>
      <c r="C4290" t="n">
        <v>2023</v>
      </c>
      <c r="D4290" t="inlineStr">
        <is>
          <t>Financial</t>
        </is>
      </c>
      <c r="E4290" t="inlineStr">
        <is>
          <t>IPO Net Proceeds</t>
        </is>
      </c>
      <c r="F4290" t="n">
        <v>85.13</v>
      </c>
      <c r="G4290" t="inlineStr">
        <is>
          <t>IDR bn</t>
        </is>
      </c>
      <c r="H4290" t="n">
        <v>64</v>
      </c>
      <c r="I4290" t="inlineStr">
        <is>
          <t>Dana Bersih IPO Rp85.131.702.588</t>
        </is>
      </c>
      <c r="J4290" t="inlineStr">
        <is>
          <t>High</t>
        </is>
      </c>
      <c r="M4290" t="inlineStr">
        <is>
          <t>LLM</t>
        </is>
      </c>
      <c r="N4290" t="inlineStr">
        <is>
          <t>2026-04-19</t>
        </is>
      </c>
      <c r="O4290" t="inlineStr">
        <is>
          <t>AI</t>
        </is>
      </c>
    </row>
    <row r="4291">
      <c r="A4291" t="inlineStr">
        <is>
          <t>PT Pulau Subur Tbk</t>
        </is>
      </c>
      <c r="B4291" t="inlineStr">
        <is>
          <t>PTPS_2023_AR.pdf</t>
        </is>
      </c>
      <c r="C4291" t="n">
        <v>2023</v>
      </c>
      <c r="D4291" t="inlineStr">
        <is>
          <t>Financial</t>
        </is>
      </c>
      <c r="E4291" t="inlineStr">
        <is>
          <t>IPO Proceeds Used (at end-2023)</t>
        </is>
      </c>
      <c r="F4291" t="n">
        <v>6.38</v>
      </c>
      <c r="G4291" t="inlineStr">
        <is>
          <t>IDR bn</t>
        </is>
      </c>
      <c r="H4291" t="n">
        <v>64</v>
      </c>
      <c r="I4291" t="inlineStr">
        <is>
          <t>realisasi penggunaan dana IPO mencapai Rp6.384.188.640</t>
        </is>
      </c>
      <c r="J4291" t="inlineStr">
        <is>
          <t>High</t>
        </is>
      </c>
      <c r="M4291" t="inlineStr">
        <is>
          <t>LLM</t>
        </is>
      </c>
      <c r="N4291" t="inlineStr">
        <is>
          <t>2026-04-19</t>
        </is>
      </c>
      <c r="O4291" t="inlineStr">
        <is>
          <t>AI</t>
        </is>
      </c>
    </row>
    <row r="4292">
      <c r="A4292" t="inlineStr">
        <is>
          <t>PT Pulau Subur Tbk</t>
        </is>
      </c>
      <c r="B4292" t="inlineStr">
        <is>
          <t>PTPS_2023_AR.pdf</t>
        </is>
      </c>
      <c r="C4292" t="n">
        <v>2023</v>
      </c>
      <c r="D4292" t="inlineStr">
        <is>
          <t>Financial</t>
        </is>
      </c>
      <c r="E4292" t="inlineStr">
        <is>
          <t>Dividend Paid in 2023 (for FY2022)</t>
        </is>
      </c>
      <c r="F4292" t="n">
        <v>6</v>
      </c>
      <c r="G4292" t="inlineStr">
        <is>
          <t>IDR bn</t>
        </is>
      </c>
      <c r="H4292" t="n">
        <v>69</v>
      </c>
      <c r="I4292" t="inlineStr">
        <is>
          <t>Tahun Buku 2022 Tunai Rp6.000.000.000 3-4 April 2023</t>
        </is>
      </c>
      <c r="J4292" t="inlineStr">
        <is>
          <t>High</t>
        </is>
      </c>
      <c r="M4292" t="inlineStr">
        <is>
          <t>LLM</t>
        </is>
      </c>
      <c r="N4292" t="inlineStr">
        <is>
          <t>2026-04-19</t>
        </is>
      </c>
      <c r="O4292" t="inlineStr">
        <is>
          <t>AI</t>
        </is>
      </c>
    </row>
    <row r="4293">
      <c r="A4293" t="inlineStr">
        <is>
          <t>PT Pulau Subur Tbk</t>
        </is>
      </c>
      <c r="B4293" t="inlineStr">
        <is>
          <t>PTPS_2023_AR.pdf</t>
        </is>
      </c>
      <c r="C4293" t="n">
        <v>2023</v>
      </c>
      <c r="D4293" t="inlineStr">
        <is>
          <t>Financial</t>
        </is>
      </c>
      <c r="E4293" t="inlineStr">
        <is>
          <t>Interim Dividend Declared 2023</t>
        </is>
      </c>
      <c r="F4293" t="n">
        <v>2.6</v>
      </c>
      <c r="G4293" t="inlineStr">
        <is>
          <t>IDR bn</t>
        </is>
      </c>
      <c r="H4293" t="n">
        <v>69</v>
      </c>
      <c r="I4293" t="inlineStr">
        <is>
          <t>Tahun Buku 2023 Tunai Rp2.601.000.000 29 Desember 2023</t>
        </is>
      </c>
      <c r="J4293" t="inlineStr">
        <is>
          <t>High</t>
        </is>
      </c>
      <c r="M4293" t="inlineStr">
        <is>
          <t>LLM</t>
        </is>
      </c>
      <c r="N4293" t="inlineStr">
        <is>
          <t>2026-04-19</t>
        </is>
      </c>
      <c r="O4293" t="inlineStr">
        <is>
          <t>AI</t>
        </is>
      </c>
    </row>
    <row r="4294">
      <c r="A4294" t="inlineStr">
        <is>
          <t>PT Pulau Subur Tbk</t>
        </is>
      </c>
      <c r="B4294" t="inlineStr">
        <is>
          <t>PTPS_2023_AR.pdf</t>
        </is>
      </c>
      <c r="C4294" t="n">
        <v>2023</v>
      </c>
      <c r="D4294" t="inlineStr">
        <is>
          <t>Asset</t>
        </is>
      </c>
      <c r="E4294" t="inlineStr">
        <is>
          <t>Total Location Permit Area</t>
        </is>
      </c>
      <c r="F4294" t="n">
        <v>1180.39</v>
      </c>
      <c r="G4294" t="inlineStr">
        <is>
          <t>ha</t>
        </is>
      </c>
      <c r="H4294" t="n">
        <v>59</v>
      </c>
      <c r="I4294" t="inlineStr">
        <is>
          <t>Total luas izin lokasi seluas 1.180,39 Ha</t>
        </is>
      </c>
      <c r="J4294" t="inlineStr">
        <is>
          <t>High</t>
        </is>
      </c>
      <c r="M4294" t="inlineStr">
        <is>
          <t>LLM</t>
        </is>
      </c>
      <c r="N4294" t="inlineStr">
        <is>
          <t>2026-04-19</t>
        </is>
      </c>
      <c r="O4294" t="inlineStr">
        <is>
          <t>AI</t>
        </is>
      </c>
    </row>
    <row r="4295">
      <c r="A4295" t="inlineStr">
        <is>
          <t>PT Pulau Subur Tbk</t>
        </is>
      </c>
      <c r="B4295" t="inlineStr">
        <is>
          <t>PTPS_2023_AR.pdf</t>
        </is>
      </c>
      <c r="C4295" t="n">
        <v>2023</v>
      </c>
      <c r="D4295" t="inlineStr">
        <is>
          <t>Asset</t>
        </is>
      </c>
      <c r="E4295" t="inlineStr">
        <is>
          <t>Total HGU Area</t>
        </is>
      </c>
      <c r="F4295" t="n">
        <v>882.58</v>
      </c>
      <c r="G4295" t="inlineStr">
        <is>
          <t>ha</t>
        </is>
      </c>
      <c r="H4295" t="n">
        <v>59</v>
      </c>
      <c r="I4295" t="inlineStr">
        <is>
          <t>Total keseluruhan luas HGU yang dimiliki Perseroan adalah seluas 882,58 Ha</t>
        </is>
      </c>
      <c r="J4295" t="inlineStr">
        <is>
          <t>High</t>
        </is>
      </c>
      <c r="M4295" t="inlineStr">
        <is>
          <t>LLM</t>
        </is>
      </c>
      <c r="N4295" t="inlineStr">
        <is>
          <t>2026-04-19</t>
        </is>
      </c>
      <c r="O4295" t="inlineStr">
        <is>
          <t>AI</t>
        </is>
      </c>
    </row>
    <row r="4296">
      <c r="A4296" t="inlineStr">
        <is>
          <t>PT Pulau Subur Tbk</t>
        </is>
      </c>
      <c r="B4296" t="inlineStr">
        <is>
          <t>PTPS_2023_AR.pdf</t>
        </is>
      </c>
      <c r="C4296" t="n">
        <v>2023</v>
      </c>
      <c r="D4296" t="inlineStr">
        <is>
          <t>Asset</t>
        </is>
      </c>
      <c r="E4296" t="inlineStr">
        <is>
          <t>Total Planted Area</t>
        </is>
      </c>
      <c r="F4296" t="n">
        <v>1090.64</v>
      </c>
      <c r="G4296" t="inlineStr">
        <is>
          <t>ha</t>
        </is>
      </c>
      <c r="H4296" t="n">
        <v>59</v>
      </c>
      <c r="I4296" t="inlineStr">
        <is>
          <t>telah tertanam kelapa sawit seluas 1.090,64 Ha</t>
        </is>
      </c>
      <c r="J4296" t="inlineStr">
        <is>
          <t>High</t>
        </is>
      </c>
      <c r="M4296" t="inlineStr">
        <is>
          <t>LLM</t>
        </is>
      </c>
      <c r="N4296" t="inlineStr">
        <is>
          <t>2026-04-19</t>
        </is>
      </c>
      <c r="O4296" t="inlineStr">
        <is>
          <t>AI</t>
        </is>
      </c>
    </row>
    <row r="4297">
      <c r="A4297" t="inlineStr">
        <is>
          <t>PT Pulau Subur Tbk</t>
        </is>
      </c>
      <c r="B4297" t="inlineStr">
        <is>
          <t>PTPS_2023_AR.pdf</t>
        </is>
      </c>
      <c r="C4297" t="n">
        <v>2023</v>
      </c>
      <c r="D4297" t="inlineStr">
        <is>
          <t>Asset</t>
        </is>
      </c>
      <c r="E4297" t="inlineStr">
        <is>
          <t>Banyuasin Operational Area</t>
        </is>
      </c>
      <c r="F4297" t="n">
        <v>600</v>
      </c>
      <c r="G4297" t="inlineStr">
        <is>
          <t>ha</t>
        </is>
      </c>
      <c r="H4297" t="n">
        <v>59</v>
      </c>
      <c r="I4297" t="inlineStr">
        <is>
          <t>memenuhi izin lokasi sebesar 600,00 Ha</t>
        </is>
      </c>
      <c r="J4297" t="inlineStr">
        <is>
          <t>High</t>
        </is>
      </c>
      <c r="M4297" t="inlineStr">
        <is>
          <t>LLM</t>
        </is>
      </c>
      <c r="N4297" t="inlineStr">
        <is>
          <t>2026-04-19</t>
        </is>
      </c>
      <c r="O4297" t="inlineStr">
        <is>
          <t>AI</t>
        </is>
      </c>
    </row>
    <row r="4298">
      <c r="A4298" t="inlineStr">
        <is>
          <t>PT Pulau Subur Tbk</t>
        </is>
      </c>
      <c r="B4298" t="inlineStr">
        <is>
          <t>PTPS_2023_AR.pdf</t>
        </is>
      </c>
      <c r="C4298" t="n">
        <v>2023</v>
      </c>
      <c r="D4298" t="inlineStr">
        <is>
          <t>Asset</t>
        </is>
      </c>
      <c r="E4298" t="inlineStr">
        <is>
          <t>OKI Operational Area</t>
        </is>
      </c>
      <c r="F4298" t="n">
        <v>580.39</v>
      </c>
      <c r="G4298" t="inlineStr">
        <is>
          <t>ha</t>
        </is>
      </c>
      <c r="H4298" t="n">
        <v>59</v>
      </c>
      <c r="I4298" t="inlineStr">
        <is>
          <t>memenuhi izin lokasi sebesar 580,39 Ha</t>
        </is>
      </c>
      <c r="J4298" t="inlineStr">
        <is>
          <t>High</t>
        </is>
      </c>
      <c r="M4298" t="inlineStr">
        <is>
          <t>LLM</t>
        </is>
      </c>
      <c r="N4298" t="inlineStr">
        <is>
          <t>2026-04-19</t>
        </is>
      </c>
      <c r="O4298" t="inlineStr">
        <is>
          <t>AI</t>
        </is>
      </c>
    </row>
    <row r="4299">
      <c r="A4299" t="inlineStr">
        <is>
          <t>PT Pulau Subur Tbk</t>
        </is>
      </c>
      <c r="B4299" t="inlineStr">
        <is>
          <t>PTPS_2023_AR.pdf</t>
        </is>
      </c>
      <c r="C4299" t="n">
        <v>2023</v>
      </c>
      <c r="D4299" t="inlineStr">
        <is>
          <t>Asset</t>
        </is>
      </c>
      <c r="E4299" t="inlineStr">
        <is>
          <t>Plantation Locations</t>
        </is>
      </c>
      <c r="F4299" t="inlineStr">
        <is>
          <t>Desa Gelebak Dalam (Rambutan, Banyuasin) &amp; Desa Sukadarma (Jejawi, OKI), South Sumatra</t>
        </is>
      </c>
      <c r="G4299" t="inlineStr">
        <is>
          <t>text</t>
        </is>
      </c>
      <c r="H4299" t="n">
        <v>58</v>
      </c>
      <c r="I4299" t="inlineStr">
        <is>
          <t>Gelebak Dalam, Kecamatan Rambutan, Kabupaten Banyuasin dan Desa Sukadarma, Kecamatan Jejawi, Kabupaten Ogan Komering Ilir (OKI), Palembang, Sumatera Selatan</t>
        </is>
      </c>
      <c r="J4299" t="inlineStr">
        <is>
          <t>High</t>
        </is>
      </c>
      <c r="M4299" t="inlineStr">
        <is>
          <t>LLM</t>
        </is>
      </c>
      <c r="N4299" t="inlineStr">
        <is>
          <t>2026-04-19</t>
        </is>
      </c>
      <c r="O4299" t="inlineStr">
        <is>
          <t>AI</t>
        </is>
      </c>
    </row>
    <row r="4300">
      <c r="A4300" t="inlineStr">
        <is>
          <t>PT Pulau Subur Tbk</t>
        </is>
      </c>
      <c r="B4300" t="inlineStr">
        <is>
          <t>PTPS_2023_AR.pdf</t>
        </is>
      </c>
      <c r="C4300" t="n">
        <v>2023</v>
      </c>
      <c r="D4300" t="inlineStr">
        <is>
          <t>Operation</t>
        </is>
      </c>
      <c r="E4300" t="inlineStr">
        <is>
          <t>FFB Production Volume</t>
        </is>
      </c>
      <c r="F4300" t="n">
        <v>26037</v>
      </c>
      <c r="G4300" t="inlineStr">
        <is>
          <t>t</t>
        </is>
      </c>
      <c r="H4300" t="n">
        <v>60</v>
      </c>
      <c r="I4300" t="inlineStr">
        <is>
          <t>Volume (Ton) 26.037 30.059</t>
        </is>
      </c>
      <c r="J4300" t="inlineStr">
        <is>
          <t>High</t>
        </is>
      </c>
      <c r="M4300" t="inlineStr">
        <is>
          <t>LLM</t>
        </is>
      </c>
      <c r="N4300" t="inlineStr">
        <is>
          <t>2026-04-19</t>
        </is>
      </c>
      <c r="O4300" t="inlineStr">
        <is>
          <t>AI</t>
        </is>
      </c>
    </row>
    <row r="4301">
      <c r="A4301" t="inlineStr">
        <is>
          <t>PT Pulau Subur Tbk</t>
        </is>
      </c>
      <c r="B4301" t="inlineStr">
        <is>
          <t>PTPS_2023_AR.pdf</t>
        </is>
      </c>
      <c r="C4301" t="n">
        <v>2023</v>
      </c>
      <c r="D4301" t="inlineStr">
        <is>
          <t>Operation</t>
        </is>
      </c>
      <c r="E4301" t="inlineStr">
        <is>
          <t>FFB Sales Volume</t>
        </is>
      </c>
      <c r="F4301" t="n">
        <v>25476</v>
      </c>
      <c r="G4301" t="inlineStr">
        <is>
          <t>t</t>
        </is>
      </c>
      <c r="H4301" t="n">
        <v>113</v>
      </c>
      <c r="I4301" t="inlineStr">
        <is>
          <t>Penjualan Ton 25.476 26.894 20.594</t>
        </is>
      </c>
      <c r="J4301" t="inlineStr">
        <is>
          <t>High</t>
        </is>
      </c>
      <c r="M4301" t="inlineStr">
        <is>
          <t>LLM</t>
        </is>
      </c>
      <c r="N4301" t="inlineStr">
        <is>
          <t>2026-04-19</t>
        </is>
      </c>
      <c r="O4301" t="inlineStr">
        <is>
          <t>AI</t>
        </is>
      </c>
    </row>
    <row r="4302">
      <c r="A4302" t="inlineStr">
        <is>
          <t>PT Pulau Subur Tbk</t>
        </is>
      </c>
      <c r="B4302" t="inlineStr">
        <is>
          <t>PTPS_2023_AR.pdf</t>
        </is>
      </c>
      <c r="C4302" t="n">
        <v>2023</v>
      </c>
      <c r="D4302" t="inlineStr">
        <is>
          <t>Operation</t>
        </is>
      </c>
      <c r="E4302" t="inlineStr">
        <is>
          <t>FFB Buyers</t>
        </is>
      </c>
      <c r="F4302" t="inlineStr">
        <is>
          <t>PT GAS, PT DSAP and others</t>
        </is>
      </c>
      <c r="G4302" t="inlineStr">
        <is>
          <t>text</t>
        </is>
      </c>
      <c r="H4302" t="n">
        <v>60</v>
      </c>
      <c r="I4302" t="inlineStr">
        <is>
          <t>menjual TBS kepada PT GAS DSAP dan lainnya</t>
        </is>
      </c>
      <c r="J4302" t="inlineStr">
        <is>
          <t>High</t>
        </is>
      </c>
      <c r="M4302" t="inlineStr">
        <is>
          <t>LLM</t>
        </is>
      </c>
      <c r="N4302" t="inlineStr">
        <is>
          <t>2026-04-19</t>
        </is>
      </c>
      <c r="O4302" t="inlineStr">
        <is>
          <t>AI</t>
        </is>
      </c>
    </row>
    <row r="4303">
      <c r="A4303" t="inlineStr">
        <is>
          <t>PT Pulau Subur Tbk</t>
        </is>
      </c>
      <c r="B4303" t="inlineStr">
        <is>
          <t>PTPS_2023_AR.pdf</t>
        </is>
      </c>
      <c r="C4303" t="n">
        <v>2023</v>
      </c>
      <c r="D4303" t="inlineStr">
        <is>
          <t>Operation</t>
        </is>
      </c>
      <c r="E4303" t="inlineStr">
        <is>
          <t>Business Activity Code</t>
        </is>
      </c>
      <c r="F4303" t="inlineStr">
        <is>
          <t>KBLI 01262</t>
        </is>
      </c>
      <c r="G4303" t="inlineStr">
        <is>
          <t>text</t>
        </is>
      </c>
      <c r="H4303" t="n">
        <v>36</v>
      </c>
      <c r="I4303" t="inlineStr">
        <is>
          <t>Kode KBLI 01262, yaitu aktivitas Perkebunan Buah Kelapa Sawit</t>
        </is>
      </c>
      <c r="J4303" t="inlineStr">
        <is>
          <t>High</t>
        </is>
      </c>
      <c r="M4303" t="inlineStr">
        <is>
          <t>LLM</t>
        </is>
      </c>
      <c r="N4303" t="inlineStr">
        <is>
          <t>2026-04-19</t>
        </is>
      </c>
      <c r="O4303" t="inlineStr">
        <is>
          <t>AI</t>
        </is>
      </c>
    </row>
    <row r="4304">
      <c r="A4304" t="inlineStr">
        <is>
          <t>PT Pulau Subur Tbk</t>
        </is>
      </c>
      <c r="B4304" t="inlineStr">
        <is>
          <t>PTPS_2023_AR.pdf</t>
        </is>
      </c>
      <c r="C4304" t="n">
        <v>2023</v>
      </c>
      <c r="D4304" t="inlineStr">
        <is>
          <t>Operation</t>
        </is>
      </c>
      <c r="E4304" t="inlineStr">
        <is>
          <t>Local Suppliers</t>
        </is>
      </c>
      <c r="F4304" t="n">
        <v>43</v>
      </c>
      <c r="G4304" t="inlineStr">
        <is>
          <t>count</t>
        </is>
      </c>
      <c r="H4304" t="n">
        <v>113</v>
      </c>
      <c r="I4304" t="inlineStr">
        <is>
          <t>Pemasok Lokal 43 54 41</t>
        </is>
      </c>
      <c r="J4304" t="inlineStr">
        <is>
          <t>High</t>
        </is>
      </c>
      <c r="M4304" t="inlineStr">
        <is>
          <t>LLM</t>
        </is>
      </c>
      <c r="N4304" t="inlineStr">
        <is>
          <t>2026-04-19</t>
        </is>
      </c>
      <c r="O4304" t="inlineStr">
        <is>
          <t>AI</t>
        </is>
      </c>
    </row>
    <row r="4305">
      <c r="A4305" t="inlineStr">
        <is>
          <t>PT Pulau Subur Tbk</t>
        </is>
      </c>
      <c r="B4305" t="inlineStr">
        <is>
          <t>PTPS_2023_AR.pdf</t>
        </is>
      </c>
      <c r="C4305" t="n">
        <v>2023</v>
      </c>
      <c r="D4305" t="inlineStr">
        <is>
          <t>Operation</t>
        </is>
      </c>
      <c r="E4305" t="inlineStr">
        <is>
          <t>National Suppliers</t>
        </is>
      </c>
      <c r="F4305" t="n">
        <v>3</v>
      </c>
      <c r="G4305" t="inlineStr">
        <is>
          <t>count</t>
        </is>
      </c>
      <c r="H4305" t="n">
        <v>113</v>
      </c>
      <c r="I4305" t="inlineStr">
        <is>
          <t>Pemasok Nasional 3 2</t>
        </is>
      </c>
      <c r="J4305" t="inlineStr">
        <is>
          <t>High</t>
        </is>
      </c>
      <c r="M4305" t="inlineStr">
        <is>
          <t>LLM</t>
        </is>
      </c>
      <c r="N4305" t="inlineStr">
        <is>
          <t>2026-04-19</t>
        </is>
      </c>
      <c r="O4305" t="inlineStr">
        <is>
          <t>AI</t>
        </is>
      </c>
    </row>
    <row r="4306">
      <c r="A4306" t="inlineStr">
        <is>
          <t>PT Pulau Subur Tbk</t>
        </is>
      </c>
      <c r="B4306" t="inlineStr">
        <is>
          <t>PTPS_2023_AR.pdf</t>
        </is>
      </c>
      <c r="C4306" t="n">
        <v>2023</v>
      </c>
      <c r="D4306" t="inlineStr">
        <is>
          <t>Operation</t>
        </is>
      </c>
      <c r="E4306" t="inlineStr">
        <is>
          <t>Series I Warrants Issued</t>
        </is>
      </c>
      <c r="F4306" t="n">
        <v>225000000</v>
      </c>
      <c r="G4306" t="inlineStr">
        <is>
          <t>units</t>
        </is>
      </c>
      <c r="H4306" t="n">
        <v>17</v>
      </c>
      <c r="I4306" t="inlineStr">
        <is>
          <t>sebanyak 225.000.000 Waran Seri I</t>
        </is>
      </c>
      <c r="J4306" t="inlineStr">
        <is>
          <t>High</t>
        </is>
      </c>
      <c r="M4306" t="inlineStr">
        <is>
          <t>LLM</t>
        </is>
      </c>
      <c r="N4306" t="inlineStr">
        <is>
          <t>2026-04-19</t>
        </is>
      </c>
      <c r="O4306" t="inlineStr">
        <is>
          <t>AI</t>
        </is>
      </c>
    </row>
    <row r="4307">
      <c r="A4307" t="inlineStr">
        <is>
          <t>PT Pulau Subur Tbk</t>
        </is>
      </c>
      <c r="B4307" t="inlineStr">
        <is>
          <t>PTPS_2023_AR.pdf</t>
        </is>
      </c>
      <c r="C4307" t="n">
        <v>2023</v>
      </c>
      <c r="D4307" t="inlineStr">
        <is>
          <t>Operation</t>
        </is>
      </c>
      <c r="E4307" t="inlineStr">
        <is>
          <t>Warrant Exercise Price Range</t>
        </is>
      </c>
      <c r="F4307" t="inlineStr">
        <is>
          <t>Rp218-Rp226</t>
        </is>
      </c>
      <c r="G4307" t="inlineStr">
        <is>
          <t>Rp/share</t>
        </is>
      </c>
      <c r="H4307" t="n">
        <v>17</v>
      </c>
      <c r="I4307" t="inlineStr">
        <is>
          <t>kisaran Harga Pelaksanaan sebesar Rp218,- – Rp226,-</t>
        </is>
      </c>
      <c r="J4307" t="inlineStr">
        <is>
          <t>High</t>
        </is>
      </c>
      <c r="M4307" t="inlineStr">
        <is>
          <t>LLM</t>
        </is>
      </c>
      <c r="N4307" t="inlineStr">
        <is>
          <t>2026-04-19</t>
        </is>
      </c>
      <c r="O4307" t="inlineStr">
        <is>
          <t>AI</t>
        </is>
      </c>
    </row>
    <row r="4308">
      <c r="A4308" t="inlineStr">
        <is>
          <t>PT Pulau Subur Tbk</t>
        </is>
      </c>
      <c r="B4308" t="inlineStr">
        <is>
          <t>PTPS_2023_AR.pdf</t>
        </is>
      </c>
      <c r="C4308" t="n">
        <v>2023</v>
      </c>
      <c r="D4308" t="inlineStr">
        <is>
          <t>Operation</t>
        </is>
      </c>
      <c r="E4308" t="inlineStr">
        <is>
          <t>Maximum Warrant Proceeds</t>
        </is>
      </c>
      <c r="F4308" t="n">
        <v>50.85</v>
      </c>
      <c r="G4308" t="inlineStr">
        <is>
          <t>IDR bn</t>
        </is>
      </c>
      <c r="H4308" t="n">
        <v>17</v>
      </c>
      <c r="I4308" t="inlineStr">
        <is>
          <t>Total dana dari Waran Seri I adalah sebanyak-banyaknya Rp50.850.000.000</t>
        </is>
      </c>
      <c r="J4308" t="inlineStr">
        <is>
          <t>High</t>
        </is>
      </c>
      <c r="M4308" t="inlineStr">
        <is>
          <t>LLM</t>
        </is>
      </c>
      <c r="N4308" t="inlineStr">
        <is>
          <t>2026-04-19</t>
        </is>
      </c>
      <c r="O4308" t="inlineStr">
        <is>
          <t>AI</t>
        </is>
      </c>
    </row>
    <row r="4309">
      <c r="A4309" t="inlineStr">
        <is>
          <t>PT Pulau Subur Tbk</t>
        </is>
      </c>
      <c r="B4309" t="inlineStr">
        <is>
          <t>PTPS_2023_AR.pdf</t>
        </is>
      </c>
      <c r="C4309" t="n">
        <v>2023</v>
      </c>
      <c r="D4309" t="inlineStr">
        <is>
          <t>ESG</t>
        </is>
      </c>
      <c r="E4309" t="inlineStr">
        <is>
          <t>Electrical Energy Consumption</t>
        </is>
      </c>
      <c r="F4309" t="n">
        <v>230898</v>
      </c>
      <c r="G4309" t="inlineStr">
        <is>
          <t>kWh</t>
        </is>
      </c>
      <c r="H4309" t="n">
        <v>113</v>
      </c>
      <c r="I4309" t="inlineStr">
        <is>
          <t>Energi Listrik Kwh 230.898 341.567 205.961</t>
        </is>
      </c>
      <c r="J4309" t="inlineStr">
        <is>
          <t>High</t>
        </is>
      </c>
      <c r="M4309" t="inlineStr">
        <is>
          <t>LLM</t>
        </is>
      </c>
      <c r="N4309" t="inlineStr">
        <is>
          <t>2026-04-19</t>
        </is>
      </c>
      <c r="O4309" t="inlineStr">
        <is>
          <t>AI</t>
        </is>
      </c>
    </row>
    <row r="4310">
      <c r="A4310" t="inlineStr">
        <is>
          <t>PT Pulau Subur Tbk</t>
        </is>
      </c>
      <c r="B4310" t="inlineStr">
        <is>
          <t>PTPS_2023_AR.pdf</t>
        </is>
      </c>
      <c r="C4310" t="n">
        <v>2023</v>
      </c>
      <c r="D4310" t="inlineStr">
        <is>
          <t>ESG</t>
        </is>
      </c>
      <c r="E4310" t="inlineStr">
        <is>
          <t>Waste Generated</t>
        </is>
      </c>
      <c r="F4310" t="n">
        <v>600</v>
      </c>
      <c r="G4310" t="inlineStr">
        <is>
          <t>kg</t>
        </is>
      </c>
      <c r="H4310" t="n">
        <v>113</v>
      </c>
      <c r="I4310" t="inlineStr">
        <is>
          <t>Jumlah Limbah Kg 600 592 724,73</t>
        </is>
      </c>
      <c r="J4310" t="inlineStr">
        <is>
          <t>High</t>
        </is>
      </c>
      <c r="M4310" t="inlineStr">
        <is>
          <t>LLM</t>
        </is>
      </c>
      <c r="N4310" t="inlineStr">
        <is>
          <t>2026-04-19</t>
        </is>
      </c>
      <c r="O4310" t="inlineStr">
        <is>
          <t>AI</t>
        </is>
      </c>
    </row>
    <row r="4311">
      <c r="A4311" t="inlineStr">
        <is>
          <t>PT Pulau Subur Tbk</t>
        </is>
      </c>
      <c r="B4311" t="inlineStr">
        <is>
          <t>PTPS_2023_AR.pdf</t>
        </is>
      </c>
      <c r="C4311" t="n">
        <v>2023</v>
      </c>
      <c r="D4311" t="inlineStr">
        <is>
          <t>ESG</t>
        </is>
      </c>
      <c r="E4311" t="inlineStr">
        <is>
          <t>Female Employees</t>
        </is>
      </c>
      <c r="F4311" t="n">
        <v>7</v>
      </c>
      <c r="G4311" t="inlineStr">
        <is>
          <t>persons</t>
        </is>
      </c>
      <c r="H4311" t="n">
        <v>113</v>
      </c>
      <c r="I4311" t="inlineStr">
        <is>
          <t>Total Karyawan Wanita 7 6 6</t>
        </is>
      </c>
      <c r="J4311" t="inlineStr">
        <is>
          <t>High</t>
        </is>
      </c>
      <c r="M4311" t="inlineStr">
        <is>
          <t>LLM</t>
        </is>
      </c>
      <c r="N4311" t="inlineStr">
        <is>
          <t>2026-04-19</t>
        </is>
      </c>
      <c r="O4311" t="inlineStr">
        <is>
          <t>AI</t>
        </is>
      </c>
    </row>
    <row r="4312">
      <c r="A4312" t="inlineStr">
        <is>
          <t>PT Pulau Subur Tbk</t>
        </is>
      </c>
      <c r="B4312" t="inlineStr">
        <is>
          <t>PTPS_2023_AR.pdf</t>
        </is>
      </c>
      <c r="C4312" t="n">
        <v>2023</v>
      </c>
      <c r="D4312" t="inlineStr">
        <is>
          <t>ESG</t>
        </is>
      </c>
      <c r="E4312" t="inlineStr">
        <is>
          <t>CSR Programs Count</t>
        </is>
      </c>
      <c r="F4312" t="n">
        <v>37</v>
      </c>
      <c r="G4312" t="inlineStr">
        <is>
          <t>programs</t>
        </is>
      </c>
      <c r="H4312" t="n">
        <v>113</v>
      </c>
      <c r="I4312" t="inlineStr">
        <is>
          <t>Kegiatan Program Pengembangan Masyarakat (PPM) 37 16</t>
        </is>
      </c>
      <c r="J4312" t="inlineStr">
        <is>
          <t>High</t>
        </is>
      </c>
      <c r="M4312" t="inlineStr">
        <is>
          <t>LLM</t>
        </is>
      </c>
      <c r="N4312" t="inlineStr">
        <is>
          <t>2026-04-19</t>
        </is>
      </c>
      <c r="O4312" t="inlineStr">
        <is>
          <t>AI</t>
        </is>
      </c>
    </row>
    <row r="4313">
      <c r="A4313" t="inlineStr">
        <is>
          <t>PT Pulau Subur Tbk</t>
        </is>
      </c>
      <c r="B4313" t="inlineStr">
        <is>
          <t>PTPS_2023_AR.pdf</t>
        </is>
      </c>
      <c r="C4313" t="n">
        <v>2023</v>
      </c>
      <c r="D4313" t="inlineStr">
        <is>
          <t>ESG</t>
        </is>
      </c>
      <c r="E4313" t="inlineStr">
        <is>
          <t>CSR Expenditure</t>
        </is>
      </c>
      <c r="F4313" t="n">
        <v>0.123</v>
      </c>
      <c r="G4313" t="inlineStr">
        <is>
          <t>IDR bn</t>
        </is>
      </c>
      <c r="H4313" t="n">
        <v>113</v>
      </c>
      <c r="I4313" t="inlineStr">
        <is>
          <t>Biaya PPM 122.621.900 61.770.000</t>
        </is>
      </c>
      <c r="J4313" t="inlineStr">
        <is>
          <t>High</t>
        </is>
      </c>
      <c r="M4313" t="inlineStr">
        <is>
          <t>LLM</t>
        </is>
      </c>
      <c r="N4313" t="inlineStr">
        <is>
          <t>2026-04-19</t>
        </is>
      </c>
      <c r="O4313" t="inlineStr">
        <is>
          <t>AI</t>
        </is>
      </c>
    </row>
    <row r="4314">
      <c r="A4314" t="inlineStr">
        <is>
          <t>PT Pulau Subur Tbk</t>
        </is>
      </c>
      <c r="B4314" t="inlineStr">
        <is>
          <t>PTPS_2023_AR.pdf</t>
        </is>
      </c>
      <c r="C4314" t="n">
        <v>2023</v>
      </c>
      <c r="D4314" t="inlineStr">
        <is>
          <t>Other</t>
        </is>
      </c>
      <c r="E4314" t="inlineStr">
        <is>
          <t>Dividend Payout Policy</t>
        </is>
      </c>
      <c r="F4314" t="inlineStr">
        <is>
          <t>Up to 30% of net profit</t>
        </is>
      </c>
      <c r="G4314" t="inlineStr">
        <is>
          <t>text</t>
        </is>
      </c>
      <c r="H4314" t="n">
        <v>65</v>
      </c>
      <c r="I4314" t="inlineStr">
        <is>
          <t>membayarkan dividen tunai ... maksimal 30% ... atas laba bersih tahun berjalan</t>
        </is>
      </c>
      <c r="J4314" t="inlineStr">
        <is>
          <t>High</t>
        </is>
      </c>
      <c r="M4314" t="inlineStr">
        <is>
          <t>LLM</t>
        </is>
      </c>
      <c r="N4314" t="inlineStr">
        <is>
          <t>2026-04-19</t>
        </is>
      </c>
      <c r="O4314" t="inlineStr">
        <is>
          <t>AI</t>
        </is>
      </c>
    </row>
    <row r="4315">
      <c r="A4315" t="inlineStr">
        <is>
          <t>PT Pulau Subur Tbk</t>
        </is>
      </c>
      <c r="B4315" t="inlineStr">
        <is>
          <t>PTPS_2023_AR.pdf</t>
        </is>
      </c>
      <c r="C4315" t="n">
        <v>2023</v>
      </c>
      <c r="D4315" t="inlineStr">
        <is>
          <t>Other</t>
        </is>
      </c>
      <c r="E4315" t="inlineStr">
        <is>
          <t>2024 Revenue Projection</t>
        </is>
      </c>
      <c r="F4315" t="n">
        <v>63.51</v>
      </c>
      <c r="G4315" t="inlineStr">
        <is>
          <t>IDR bn</t>
        </is>
      </c>
      <c r="H4315" t="n">
        <v>63</v>
      </c>
      <c r="I4315" t="inlineStr">
        <is>
          <t>Penjualan 63.506.707.811 Sales (2024 Projection)</t>
        </is>
      </c>
      <c r="J4315" t="inlineStr">
        <is>
          <t>High</t>
        </is>
      </c>
      <c r="M4315" t="inlineStr">
        <is>
          <t>LLM</t>
        </is>
      </c>
      <c r="N4315" t="inlineStr">
        <is>
          <t>2026-04-19</t>
        </is>
      </c>
      <c r="O4315" t="inlineStr">
        <is>
          <t>AI</t>
        </is>
      </c>
    </row>
    <row r="4316">
      <c r="A4316" t="inlineStr">
        <is>
          <t>PT Pulau Subur Tbk</t>
        </is>
      </c>
      <c r="B4316" t="inlineStr">
        <is>
          <t>PTPS_2024_AR.pdf</t>
        </is>
      </c>
      <c r="C4316" t="n">
        <v>2024</v>
      </c>
      <c r="D4316" t="inlineStr">
        <is>
          <t>Company</t>
        </is>
      </c>
      <c r="E4316" t="inlineStr">
        <is>
          <t>Company Name</t>
        </is>
      </c>
      <c r="F4316" t="inlineStr">
        <is>
          <t>PT Pulau Subur Tbk</t>
        </is>
      </c>
      <c r="G4316" t="inlineStr">
        <is>
          <t>text</t>
        </is>
      </c>
      <c r="H4316" t="n">
        <v>34</v>
      </c>
      <c r="I4316" t="inlineStr">
        <is>
          <t>Nama Perusahaan PT Pulau Subur Tbk</t>
        </is>
      </c>
      <c r="J4316" t="inlineStr">
        <is>
          <t>High</t>
        </is>
      </c>
      <c r="M4316" t="inlineStr">
        <is>
          <t>LLM</t>
        </is>
      </c>
      <c r="N4316" t="inlineStr">
        <is>
          <t>2026-04-19</t>
        </is>
      </c>
      <c r="O4316" t="inlineStr">
        <is>
          <t>AI</t>
        </is>
      </c>
    </row>
    <row r="4317">
      <c r="A4317" t="inlineStr">
        <is>
          <t>PT Pulau Subur Tbk</t>
        </is>
      </c>
      <c r="B4317" t="inlineStr">
        <is>
          <t>PTPS_2024_AR.pdf</t>
        </is>
      </c>
      <c r="C4317" t="n">
        <v>2024</v>
      </c>
      <c r="D4317" t="inlineStr">
        <is>
          <t>Company</t>
        </is>
      </c>
      <c r="E4317" t="inlineStr">
        <is>
          <t>Year of Establishment</t>
        </is>
      </c>
      <c r="F4317" t="n">
        <v>1980</v>
      </c>
      <c r="G4317" t="inlineStr">
        <is>
          <t>year</t>
        </is>
      </c>
      <c r="H4317" t="n">
        <v>34</v>
      </c>
      <c r="I4317" t="inlineStr">
        <is>
          <t>Tahun Pendirian 01 Oktober 1980</t>
        </is>
      </c>
      <c r="J4317" t="inlineStr">
        <is>
          <t>High</t>
        </is>
      </c>
      <c r="M4317" t="inlineStr">
        <is>
          <t>LLM</t>
        </is>
      </c>
      <c r="N4317" t="inlineStr">
        <is>
          <t>2026-04-19</t>
        </is>
      </c>
      <c r="O4317" t="inlineStr">
        <is>
          <t>AI</t>
        </is>
      </c>
    </row>
    <row r="4318">
      <c r="A4318" t="inlineStr">
        <is>
          <t>PT Pulau Subur Tbk</t>
        </is>
      </c>
      <c r="B4318" t="inlineStr">
        <is>
          <t>PTPS_2024_AR.pdf</t>
        </is>
      </c>
      <c r="C4318" t="n">
        <v>2024</v>
      </c>
      <c r="D4318" t="inlineStr">
        <is>
          <t>Company</t>
        </is>
      </c>
      <c r="E4318" t="inlineStr">
        <is>
          <t>Head Office</t>
        </is>
      </c>
      <c r="F4318" t="inlineStr">
        <is>
          <t>Jl A. Yani No. 12 ABC, 14 Ulu, Seberang Ulu Dua, Palembang</t>
        </is>
      </c>
      <c r="G4318" t="inlineStr">
        <is>
          <t>text</t>
        </is>
      </c>
      <c r="H4318" t="n">
        <v>34</v>
      </c>
      <c r="I4318" t="inlineStr">
        <is>
          <t>Alamat POJK51.C2 Jl A. Yani No. 12 ABC ... Palembang</t>
        </is>
      </c>
      <c r="J4318" t="inlineStr">
        <is>
          <t>High</t>
        </is>
      </c>
      <c r="M4318" t="inlineStr">
        <is>
          <t>LLM</t>
        </is>
      </c>
      <c r="N4318" t="inlineStr">
        <is>
          <t>2026-04-19</t>
        </is>
      </c>
      <c r="O4318" t="inlineStr">
        <is>
          <t>AI</t>
        </is>
      </c>
    </row>
    <row r="4319">
      <c r="A4319" t="inlineStr">
        <is>
          <t>PT Pulau Subur Tbk</t>
        </is>
      </c>
      <c r="B4319" t="inlineStr">
        <is>
          <t>PTPS_2024_AR.pdf</t>
        </is>
      </c>
      <c r="C4319" t="n">
        <v>2024</v>
      </c>
      <c r="D4319" t="inlineStr">
        <is>
          <t>Company</t>
        </is>
      </c>
      <c r="E4319" t="inlineStr">
        <is>
          <t>Listing Date</t>
        </is>
      </c>
      <c r="F4319" t="inlineStr">
        <is>
          <t>9 October 2023</t>
        </is>
      </c>
      <c r="G4319" t="inlineStr">
        <is>
          <t>date</t>
        </is>
      </c>
      <c r="H4319" t="n">
        <v>13</v>
      </c>
      <c r="I4319" t="inlineStr">
        <is>
          <t>Saham Perseroan mulai tercatat di Bursa Efek Indonesia pada tanggal 09 Oktober 2023, dengan kode saham PTPS</t>
        </is>
      </c>
      <c r="J4319" t="inlineStr">
        <is>
          <t>High</t>
        </is>
      </c>
      <c r="M4319" t="inlineStr">
        <is>
          <t>LLM</t>
        </is>
      </c>
      <c r="N4319" t="inlineStr">
        <is>
          <t>2026-04-19</t>
        </is>
      </c>
      <c r="O4319" t="inlineStr">
        <is>
          <t>AI</t>
        </is>
      </c>
    </row>
    <row r="4320">
      <c r="A4320" t="inlineStr">
        <is>
          <t>PT Pulau Subur Tbk</t>
        </is>
      </c>
      <c r="B4320" t="inlineStr">
        <is>
          <t>PTPS_2024_AR.pdf</t>
        </is>
      </c>
      <c r="C4320" t="n">
        <v>2024</v>
      </c>
      <c r="D4320" t="inlineStr">
        <is>
          <t>Company</t>
        </is>
      </c>
      <c r="E4320" t="inlineStr">
        <is>
          <t>Controlling Shareholder</t>
        </is>
      </c>
      <c r="F4320" t="inlineStr">
        <is>
          <t>PT Sekawan Kontrindo 78.54%</t>
        </is>
      </c>
      <c r="G4320" t="inlineStr">
        <is>
          <t>%</t>
        </is>
      </c>
      <c r="H4320" t="n">
        <v>48</v>
      </c>
      <c r="I4320" t="inlineStr">
        <is>
          <t>PT Sekawan Kontrindo 1.702.400.000 34.048.000.000 78,54</t>
        </is>
      </c>
      <c r="J4320" t="inlineStr">
        <is>
          <t>High</t>
        </is>
      </c>
      <c r="M4320" t="inlineStr">
        <is>
          <t>LLM</t>
        </is>
      </c>
      <c r="N4320" t="inlineStr">
        <is>
          <t>2026-04-19</t>
        </is>
      </c>
      <c r="O4320" t="inlineStr">
        <is>
          <t>AI</t>
        </is>
      </c>
    </row>
    <row r="4321">
      <c r="A4321" t="inlineStr">
        <is>
          <t>PT Pulau Subur Tbk</t>
        </is>
      </c>
      <c r="B4321" t="inlineStr">
        <is>
          <t>PTPS_2024_AR.pdf</t>
        </is>
      </c>
      <c r="C4321" t="n">
        <v>2024</v>
      </c>
      <c r="D4321" t="inlineStr">
        <is>
          <t>Company</t>
        </is>
      </c>
      <c r="E4321" t="inlineStr">
        <is>
          <t>Public Float</t>
        </is>
      </c>
      <c r="F4321" t="n">
        <v>0.2076</v>
      </c>
      <c r="G4321" t="inlineStr">
        <is>
          <t>%</t>
        </is>
      </c>
      <c r="H4321" t="n">
        <v>48</v>
      </c>
      <c r="I4321" t="inlineStr">
        <is>
          <t>Masyarakat/ Publik 450.000.000 9.000.297.120 20,76</t>
        </is>
      </c>
      <c r="J4321" t="inlineStr">
        <is>
          <t>High</t>
        </is>
      </c>
      <c r="M4321" t="inlineStr">
        <is>
          <t>LLM</t>
        </is>
      </c>
      <c r="N4321" t="inlineStr">
        <is>
          <t>2026-04-19</t>
        </is>
      </c>
      <c r="O4321" t="inlineStr">
        <is>
          <t>AI</t>
        </is>
      </c>
    </row>
    <row r="4322">
      <c r="A4322" t="inlineStr">
        <is>
          <t>PT Pulau Subur Tbk</t>
        </is>
      </c>
      <c r="B4322" t="inlineStr">
        <is>
          <t>PTPS_2024_AR.pdf</t>
        </is>
      </c>
      <c r="C4322" t="n">
        <v>2024</v>
      </c>
      <c r="D4322" t="inlineStr">
        <is>
          <t>Company</t>
        </is>
      </c>
      <c r="E4322" t="inlineStr">
        <is>
          <t>Associate Entity</t>
        </is>
      </c>
      <c r="F4322" t="inlineStr">
        <is>
          <t>PT Sumber Enim Alam Lestari</t>
        </is>
      </c>
      <c r="G4322" t="inlineStr">
        <is>
          <t>text</t>
        </is>
      </c>
      <c r="H4322" t="n">
        <v>49</v>
      </c>
      <c r="I4322" t="inlineStr">
        <is>
          <t>Perseroan tidak memiliki Entitas Anak, namun secara struktural memiliki satu Entitas Asosiasi, yaitu PT Sumber Enim Alam Lestari</t>
        </is>
      </c>
      <c r="J4322" t="inlineStr">
        <is>
          <t>High</t>
        </is>
      </c>
      <c r="M4322" t="inlineStr">
        <is>
          <t>LLM</t>
        </is>
      </c>
      <c r="N4322" t="inlineStr">
        <is>
          <t>2026-04-19</t>
        </is>
      </c>
      <c r="O4322" t="inlineStr">
        <is>
          <t>AI</t>
        </is>
      </c>
    </row>
    <row r="4323">
      <c r="A4323" t="inlineStr">
        <is>
          <t>PT Pulau Subur Tbk</t>
        </is>
      </c>
      <c r="B4323" t="inlineStr">
        <is>
          <t>PTPS_2024_AR.pdf</t>
        </is>
      </c>
      <c r="C4323" t="n">
        <v>2024</v>
      </c>
      <c r="D4323" t="inlineStr">
        <is>
          <t>Company</t>
        </is>
      </c>
      <c r="E4323" t="inlineStr">
        <is>
          <t>Total Employees</t>
        </is>
      </c>
      <c r="F4323" t="n">
        <v>267</v>
      </c>
      <c r="G4323" t="inlineStr">
        <is>
          <t>persons</t>
        </is>
      </c>
      <c r="H4323" t="n">
        <v>129</v>
      </c>
      <c r="I4323" t="inlineStr">
        <is>
          <t>Total Karyawan1) 267 250 248</t>
        </is>
      </c>
      <c r="J4323" t="inlineStr">
        <is>
          <t>High</t>
        </is>
      </c>
      <c r="M4323" t="inlineStr">
        <is>
          <t>LLM</t>
        </is>
      </c>
      <c r="N4323" t="inlineStr">
        <is>
          <t>2026-04-19</t>
        </is>
      </c>
      <c r="O4323" t="inlineStr">
        <is>
          <t>AI</t>
        </is>
      </c>
    </row>
    <row r="4324">
      <c r="A4324" t="inlineStr">
        <is>
          <t>PT Pulau Subur Tbk</t>
        </is>
      </c>
      <c r="B4324" t="inlineStr">
        <is>
          <t>PTPS_2024_AR.pdf</t>
        </is>
      </c>
      <c r="C4324" t="n">
        <v>2024</v>
      </c>
      <c r="D4324" t="inlineStr">
        <is>
          <t>Financial</t>
        </is>
      </c>
      <c r="E4324" t="inlineStr">
        <is>
          <t>Revenue (Sales)</t>
        </is>
      </c>
      <c r="F4324" t="n">
        <v>63.58</v>
      </c>
      <c r="G4324" t="inlineStr">
        <is>
          <t>IDR bn</t>
        </is>
      </c>
      <c r="H4324" t="n">
        <v>10</v>
      </c>
      <c r="I4324" t="inlineStr">
        <is>
          <t>Penjualan 63.579.851.245 61.656.997.875 64.298.584.335</t>
        </is>
      </c>
      <c r="J4324" t="inlineStr">
        <is>
          <t>High</t>
        </is>
      </c>
      <c r="M4324" t="inlineStr">
        <is>
          <t>LLM</t>
        </is>
      </c>
      <c r="N4324" t="inlineStr">
        <is>
          <t>2026-04-19</t>
        </is>
      </c>
      <c r="O4324" t="inlineStr">
        <is>
          <t>AI</t>
        </is>
      </c>
    </row>
    <row r="4325">
      <c r="A4325" t="inlineStr">
        <is>
          <t>PT Pulau Subur Tbk</t>
        </is>
      </c>
      <c r="B4325" t="inlineStr">
        <is>
          <t>PTPS_2024_AR.pdf</t>
        </is>
      </c>
      <c r="C4325" t="n">
        <v>2024</v>
      </c>
      <c r="D4325" t="inlineStr">
        <is>
          <t>Financial</t>
        </is>
      </c>
      <c r="E4325" t="inlineStr">
        <is>
          <t>Cost of Revenue</t>
        </is>
      </c>
      <c r="F4325" t="n">
        <v>27.23</v>
      </c>
      <c r="G4325" t="inlineStr">
        <is>
          <t>IDR bn</t>
        </is>
      </c>
      <c r="H4325" t="n">
        <v>10</v>
      </c>
      <c r="I4325" t="inlineStr">
        <is>
          <t>Beban Pokok Penjualan (27.226.939.830)</t>
        </is>
      </c>
      <c r="J4325" t="inlineStr">
        <is>
          <t>High</t>
        </is>
      </c>
      <c r="M4325" t="inlineStr">
        <is>
          <t>LLM</t>
        </is>
      </c>
      <c r="N4325" t="inlineStr">
        <is>
          <t>2026-04-19</t>
        </is>
      </c>
      <c r="O4325" t="inlineStr">
        <is>
          <t>AI</t>
        </is>
      </c>
    </row>
    <row r="4326">
      <c r="A4326" t="inlineStr">
        <is>
          <t>PT Pulau Subur Tbk</t>
        </is>
      </c>
      <c r="B4326" t="inlineStr">
        <is>
          <t>PTPS_2024_AR.pdf</t>
        </is>
      </c>
      <c r="C4326" t="n">
        <v>2024</v>
      </c>
      <c r="D4326" t="inlineStr">
        <is>
          <t>Financial</t>
        </is>
      </c>
      <c r="E4326" t="inlineStr">
        <is>
          <t>Gross Profit</t>
        </is>
      </c>
      <c r="F4326" t="n">
        <v>36.35</v>
      </c>
      <c r="G4326" t="inlineStr">
        <is>
          <t>IDR bn</t>
        </is>
      </c>
      <c r="H4326" t="n">
        <v>10</v>
      </c>
      <c r="I4326" t="inlineStr">
        <is>
          <t>Laba Bruto 36.352.911.415 34.503.329.040</t>
        </is>
      </c>
      <c r="J4326" t="inlineStr">
        <is>
          <t>High</t>
        </is>
      </c>
      <c r="M4326" t="inlineStr">
        <is>
          <t>LLM</t>
        </is>
      </c>
      <c r="N4326" t="inlineStr">
        <is>
          <t>2026-04-19</t>
        </is>
      </c>
      <c r="O4326" t="inlineStr">
        <is>
          <t>AI</t>
        </is>
      </c>
    </row>
    <row r="4327">
      <c r="A4327" t="inlineStr">
        <is>
          <t>PT Pulau Subur Tbk</t>
        </is>
      </c>
      <c r="B4327" t="inlineStr">
        <is>
          <t>PTPS_2024_AR.pdf</t>
        </is>
      </c>
      <c r="C4327" t="n">
        <v>2024</v>
      </c>
      <c r="D4327" t="inlineStr">
        <is>
          <t>Financial</t>
        </is>
      </c>
      <c r="E4327" t="inlineStr">
        <is>
          <t>Operating Expense</t>
        </is>
      </c>
      <c r="F4327" t="n">
        <v>5.69</v>
      </c>
      <c r="G4327" t="inlineStr">
        <is>
          <t>IDR bn</t>
        </is>
      </c>
      <c r="H4327" t="n">
        <v>10</v>
      </c>
      <c r="I4327" t="inlineStr">
        <is>
          <t>Beban Usaha (5.692.135.519) (3.508.498.005)</t>
        </is>
      </c>
      <c r="J4327" t="inlineStr">
        <is>
          <t>High</t>
        </is>
      </c>
      <c r="M4327" t="inlineStr">
        <is>
          <t>LLM</t>
        </is>
      </c>
      <c r="N4327" t="inlineStr">
        <is>
          <t>2026-04-19</t>
        </is>
      </c>
      <c r="O4327" t="inlineStr">
        <is>
          <t>AI</t>
        </is>
      </c>
    </row>
    <row r="4328">
      <c r="A4328" t="inlineStr">
        <is>
          <t>PT Pulau Subur Tbk</t>
        </is>
      </c>
      <c r="B4328" t="inlineStr">
        <is>
          <t>PTPS_2024_AR.pdf</t>
        </is>
      </c>
      <c r="C4328" t="n">
        <v>2024</v>
      </c>
      <c r="D4328" t="inlineStr">
        <is>
          <t>Financial</t>
        </is>
      </c>
      <c r="E4328" t="inlineStr">
        <is>
          <t>Biological Asset Fair Value Gain</t>
        </is>
      </c>
      <c r="F4328" t="n">
        <v>2.3</v>
      </c>
      <c r="G4328" t="inlineStr">
        <is>
          <t>IDR bn</t>
        </is>
      </c>
      <c r="H4328" t="n">
        <v>10</v>
      </c>
      <c r="I4328" t="inlineStr">
        <is>
          <t>Keuntungan perubahan nilai wajar-bersih asset biologis 2.296.600.000</t>
        </is>
      </c>
      <c r="J4328" t="inlineStr">
        <is>
          <t>High</t>
        </is>
      </c>
      <c r="M4328" t="inlineStr">
        <is>
          <t>LLM</t>
        </is>
      </c>
      <c r="N4328" t="inlineStr">
        <is>
          <t>2026-04-19</t>
        </is>
      </c>
      <c r="O4328" t="inlineStr">
        <is>
          <t>AI</t>
        </is>
      </c>
    </row>
    <row r="4329">
      <c r="A4329" t="inlineStr">
        <is>
          <t>PT Pulau Subur Tbk</t>
        </is>
      </c>
      <c r="B4329" t="inlineStr">
        <is>
          <t>PTPS_2024_AR.pdf</t>
        </is>
      </c>
      <c r="C4329" t="n">
        <v>2024</v>
      </c>
      <c r="D4329" t="inlineStr">
        <is>
          <t>Financial</t>
        </is>
      </c>
      <c r="E4329" t="inlineStr">
        <is>
          <t>Operating Profit</t>
        </is>
      </c>
      <c r="F4329" t="n">
        <v>32.96</v>
      </c>
      <c r="G4329" t="inlineStr">
        <is>
          <t>IDR bn</t>
        </is>
      </c>
      <c r="H4329" t="n">
        <v>10</v>
      </c>
      <c r="I4329" t="inlineStr">
        <is>
          <t>Laba Usaha 32.957.375.896 32.777.231.035</t>
        </is>
      </c>
      <c r="J4329" t="inlineStr">
        <is>
          <t>High</t>
        </is>
      </c>
      <c r="M4329" t="inlineStr">
        <is>
          <t>LLM</t>
        </is>
      </c>
      <c r="N4329" t="inlineStr">
        <is>
          <t>2026-04-19</t>
        </is>
      </c>
      <c r="O4329" t="inlineStr">
        <is>
          <t>AI</t>
        </is>
      </c>
    </row>
    <row r="4330">
      <c r="A4330" t="inlineStr">
        <is>
          <t>PT Pulau Subur Tbk</t>
        </is>
      </c>
      <c r="B4330" t="inlineStr">
        <is>
          <t>PTPS_2024_AR.pdf</t>
        </is>
      </c>
      <c r="C4330" t="n">
        <v>2024</v>
      </c>
      <c r="D4330" t="inlineStr">
        <is>
          <t>Financial</t>
        </is>
      </c>
      <c r="E4330" t="inlineStr">
        <is>
          <t>Profit Before Tax</t>
        </is>
      </c>
      <c r="F4330" t="n">
        <v>33.57</v>
      </c>
      <c r="G4330" t="inlineStr">
        <is>
          <t>IDR bn</t>
        </is>
      </c>
      <c r="H4330" t="n">
        <v>10</v>
      </c>
      <c r="I4330" t="inlineStr">
        <is>
          <t>Laba Sebelum Pajak Penghasilan 33.573.861.503</t>
        </is>
      </c>
      <c r="J4330" t="inlineStr">
        <is>
          <t>High</t>
        </is>
      </c>
      <c r="M4330" t="inlineStr">
        <is>
          <t>LLM</t>
        </is>
      </c>
      <c r="N4330" t="inlineStr">
        <is>
          <t>2026-04-19</t>
        </is>
      </c>
      <c r="O4330" t="inlineStr">
        <is>
          <t>AI</t>
        </is>
      </c>
    </row>
    <row r="4331">
      <c r="A4331" t="inlineStr">
        <is>
          <t>PT Pulau Subur Tbk</t>
        </is>
      </c>
      <c r="B4331" t="inlineStr">
        <is>
          <t>PTPS_2024_AR.pdf</t>
        </is>
      </c>
      <c r="C4331" t="n">
        <v>2024</v>
      </c>
      <c r="D4331" t="inlineStr">
        <is>
          <t>Financial</t>
        </is>
      </c>
      <c r="E4331" t="inlineStr">
        <is>
          <t>Net Profit</t>
        </is>
      </c>
      <c r="F4331" t="n">
        <v>27.13</v>
      </c>
      <c r="G4331" t="inlineStr">
        <is>
          <t>IDR bn</t>
        </is>
      </c>
      <c r="H4331" t="n">
        <v>10</v>
      </c>
      <c r="I4331" t="inlineStr">
        <is>
          <t>Jumlah laba periode berjalan 27.131.155.198 26.186.877.836</t>
        </is>
      </c>
      <c r="J4331" t="inlineStr">
        <is>
          <t>High</t>
        </is>
      </c>
      <c r="M4331" t="inlineStr">
        <is>
          <t>LLM</t>
        </is>
      </c>
      <c r="N4331" t="inlineStr">
        <is>
          <t>2026-04-19</t>
        </is>
      </c>
      <c r="O4331" t="inlineStr">
        <is>
          <t>AI</t>
        </is>
      </c>
    </row>
    <row r="4332">
      <c r="A4332" t="inlineStr">
        <is>
          <t>PT Pulau Subur Tbk</t>
        </is>
      </c>
      <c r="B4332" t="inlineStr">
        <is>
          <t>PTPS_2024_AR.pdf</t>
        </is>
      </c>
      <c r="C4332" t="n">
        <v>2024</v>
      </c>
      <c r="D4332" t="inlineStr">
        <is>
          <t>Financial</t>
        </is>
      </c>
      <c r="E4332" t="inlineStr">
        <is>
          <t>EBITDA/Sales Ratio</t>
        </is>
      </c>
      <c r="F4332" t="n">
        <v>0.58</v>
      </c>
      <c r="G4332" t="inlineStr">
        <is>
          <t>%</t>
        </is>
      </c>
      <c r="H4332" t="n">
        <v>11</v>
      </c>
      <c r="I4332" t="inlineStr">
        <is>
          <t>EBITDA terhadap Penjualan 58,00 57,32 57,39</t>
        </is>
      </c>
      <c r="J4332" t="inlineStr">
        <is>
          <t>High</t>
        </is>
      </c>
      <c r="M4332" t="inlineStr">
        <is>
          <t>LLM</t>
        </is>
      </c>
      <c r="N4332" t="inlineStr">
        <is>
          <t>2026-04-19</t>
        </is>
      </c>
      <c r="O4332" t="inlineStr">
        <is>
          <t>AI</t>
        </is>
      </c>
    </row>
    <row r="4333">
      <c r="A4333" t="inlineStr">
        <is>
          <t>PT Pulau Subur Tbk</t>
        </is>
      </c>
      <c r="B4333" t="inlineStr">
        <is>
          <t>PTPS_2024_AR.pdf</t>
        </is>
      </c>
      <c r="C4333" t="n">
        <v>2024</v>
      </c>
      <c r="D4333" t="inlineStr">
        <is>
          <t>Financial</t>
        </is>
      </c>
      <c r="E4333" t="inlineStr">
        <is>
          <t>Total Assets</t>
        </is>
      </c>
      <c r="F4333" t="n">
        <v>190.56</v>
      </c>
      <c r="G4333" t="inlineStr">
        <is>
          <t>IDR bn</t>
        </is>
      </c>
      <c r="H4333" t="n">
        <v>8</v>
      </c>
      <c r="I4333" t="inlineStr">
        <is>
          <t>JUMLAH ASET 190.556.840.023 168.911.551.579 73.063.082.134</t>
        </is>
      </c>
      <c r="J4333" t="inlineStr">
        <is>
          <t>High</t>
        </is>
      </c>
      <c r="M4333" t="inlineStr">
        <is>
          <t>LLM</t>
        </is>
      </c>
      <c r="N4333" t="inlineStr">
        <is>
          <t>2026-04-19</t>
        </is>
      </c>
      <c r="O4333" t="inlineStr">
        <is>
          <t>AI</t>
        </is>
      </c>
    </row>
    <row r="4334">
      <c r="A4334" t="inlineStr">
        <is>
          <t>PT Pulau Subur Tbk</t>
        </is>
      </c>
      <c r="B4334" t="inlineStr">
        <is>
          <t>PTPS_2024_AR.pdf</t>
        </is>
      </c>
      <c r="C4334" t="n">
        <v>2024</v>
      </c>
      <c r="D4334" t="inlineStr">
        <is>
          <t>Financial</t>
        </is>
      </c>
      <c r="E4334" t="inlineStr">
        <is>
          <t>Current Assets</t>
        </is>
      </c>
      <c r="F4334" t="n">
        <v>77.36</v>
      </c>
      <c r="G4334" t="inlineStr">
        <is>
          <t>IDR bn</t>
        </is>
      </c>
      <c r="H4334" t="n">
        <v>8</v>
      </c>
      <c r="I4334" t="inlineStr">
        <is>
          <t>Jumlah Aset Lancar 77.361.721.297 100.317.680.733</t>
        </is>
      </c>
      <c r="J4334" t="inlineStr">
        <is>
          <t>High</t>
        </is>
      </c>
      <c r="M4334" t="inlineStr">
        <is>
          <t>LLM</t>
        </is>
      </c>
      <c r="N4334" t="inlineStr">
        <is>
          <t>2026-04-19</t>
        </is>
      </c>
      <c r="O4334" t="inlineStr">
        <is>
          <t>AI</t>
        </is>
      </c>
    </row>
    <row r="4335">
      <c r="A4335" t="inlineStr">
        <is>
          <t>PT Pulau Subur Tbk</t>
        </is>
      </c>
      <c r="B4335" t="inlineStr">
        <is>
          <t>PTPS_2024_AR.pdf</t>
        </is>
      </c>
      <c r="C4335" t="n">
        <v>2024</v>
      </c>
      <c r="D4335" t="inlineStr">
        <is>
          <t>Financial</t>
        </is>
      </c>
      <c r="E4335" t="inlineStr">
        <is>
          <t>Non-Current Assets</t>
        </is>
      </c>
      <c r="F4335" t="n">
        <v>113.2</v>
      </c>
      <c r="G4335" t="inlineStr">
        <is>
          <t>IDR bn</t>
        </is>
      </c>
      <c r="H4335" t="n">
        <v>8</v>
      </c>
      <c r="I4335" t="inlineStr">
        <is>
          <t>Jumlah Aset Tidak Lancar 113.195.118.726 68.593.870.846</t>
        </is>
      </c>
      <c r="J4335" t="inlineStr">
        <is>
          <t>High</t>
        </is>
      </c>
      <c r="M4335" t="inlineStr">
        <is>
          <t>LLM</t>
        </is>
      </c>
      <c r="N4335" t="inlineStr">
        <is>
          <t>2026-04-19</t>
        </is>
      </c>
      <c r="O4335" t="inlineStr">
        <is>
          <t>AI</t>
        </is>
      </c>
    </row>
    <row r="4336">
      <c r="A4336" t="inlineStr">
        <is>
          <t>PT Pulau Subur Tbk</t>
        </is>
      </c>
      <c r="B4336" t="inlineStr">
        <is>
          <t>PTPS_2024_AR.pdf</t>
        </is>
      </c>
      <c r="C4336" t="n">
        <v>2024</v>
      </c>
      <c r="D4336" t="inlineStr">
        <is>
          <t>Financial</t>
        </is>
      </c>
      <c r="E4336" t="inlineStr">
        <is>
          <t>Cash and Bank</t>
        </is>
      </c>
      <c r="F4336" t="n">
        <v>64.20999999999999</v>
      </c>
      <c r="G4336" t="inlineStr">
        <is>
          <t>IDR bn</t>
        </is>
      </c>
      <c r="H4336" t="n">
        <v>8</v>
      </c>
      <c r="I4336" t="inlineStr">
        <is>
          <t>Kas dan kas di bank 64.211.343.037 74.977.433.758</t>
        </is>
      </c>
      <c r="J4336" t="inlineStr">
        <is>
          <t>High</t>
        </is>
      </c>
      <c r="M4336" t="inlineStr">
        <is>
          <t>LLM</t>
        </is>
      </c>
      <c r="N4336" t="inlineStr">
        <is>
          <t>2026-04-19</t>
        </is>
      </c>
      <c r="O4336" t="inlineStr">
        <is>
          <t>AI</t>
        </is>
      </c>
    </row>
    <row r="4337">
      <c r="A4337" t="inlineStr">
        <is>
          <t>PT Pulau Subur Tbk</t>
        </is>
      </c>
      <c r="B4337" t="inlineStr">
        <is>
          <t>PTPS_2024_AR.pdf</t>
        </is>
      </c>
      <c r="C4337" t="n">
        <v>2024</v>
      </c>
      <c r="D4337" t="inlineStr">
        <is>
          <t>Financial</t>
        </is>
      </c>
      <c r="E4337" t="inlineStr">
        <is>
          <t>Short-term Investment</t>
        </is>
      </c>
      <c r="F4337" t="n">
        <v>0</v>
      </c>
      <c r="G4337" t="inlineStr">
        <is>
          <t>IDR bn</t>
        </is>
      </c>
      <c r="H4337" t="n">
        <v>8</v>
      </c>
      <c r="I4337" t="inlineStr">
        <is>
          <t>Investasi jangka pendek - 15.000.000.000 (2024 zero vs 2023 Rp15 bn)</t>
        </is>
      </c>
      <c r="J4337" t="inlineStr">
        <is>
          <t>High</t>
        </is>
      </c>
      <c r="M4337" t="inlineStr">
        <is>
          <t>LLM</t>
        </is>
      </c>
      <c r="N4337" t="inlineStr">
        <is>
          <t>2026-04-19</t>
        </is>
      </c>
      <c r="O4337" t="inlineStr">
        <is>
          <t>AI</t>
        </is>
      </c>
    </row>
    <row r="4338">
      <c r="A4338" t="inlineStr">
        <is>
          <t>PT Pulau Subur Tbk</t>
        </is>
      </c>
      <c r="B4338" t="inlineStr">
        <is>
          <t>PTPS_2024_AR.pdf</t>
        </is>
      </c>
      <c r="C4338" t="n">
        <v>2024</v>
      </c>
      <c r="D4338" t="inlineStr">
        <is>
          <t>Financial</t>
        </is>
      </c>
      <c r="E4338" t="inlineStr">
        <is>
          <t>Trade Receivables</t>
        </is>
      </c>
      <c r="F4338" t="n">
        <v>0.96</v>
      </c>
      <c r="G4338" t="inlineStr">
        <is>
          <t>IDR bn</t>
        </is>
      </c>
      <c r="H4338" t="n">
        <v>8</v>
      </c>
      <c r="I4338" t="inlineStr">
        <is>
          <t>Piutang usaha dari pihak ketiga 962.433.024 169.315.594</t>
        </is>
      </c>
      <c r="J4338" t="inlineStr">
        <is>
          <t>High</t>
        </is>
      </c>
      <c r="M4338" t="inlineStr">
        <is>
          <t>LLM</t>
        </is>
      </c>
      <c r="N4338" t="inlineStr">
        <is>
          <t>2026-04-19</t>
        </is>
      </c>
      <c r="O4338" t="inlineStr">
        <is>
          <t>AI</t>
        </is>
      </c>
    </row>
    <row r="4339">
      <c r="A4339" t="inlineStr">
        <is>
          <t>PT Pulau Subur Tbk</t>
        </is>
      </c>
      <c r="B4339" t="inlineStr">
        <is>
          <t>PTPS_2024_AR.pdf</t>
        </is>
      </c>
      <c r="C4339" t="n">
        <v>2024</v>
      </c>
      <c r="D4339" t="inlineStr">
        <is>
          <t>Financial</t>
        </is>
      </c>
      <c r="E4339" t="inlineStr">
        <is>
          <t>Inventories</t>
        </is>
      </c>
      <c r="F4339" t="n">
        <v>1.09</v>
      </c>
      <c r="G4339" t="inlineStr">
        <is>
          <t>IDR bn</t>
        </is>
      </c>
      <c r="H4339" t="n">
        <v>8</v>
      </c>
      <c r="I4339" t="inlineStr">
        <is>
          <t>Persediaan 1.088.308.123 1.328.091.500</t>
        </is>
      </c>
      <c r="J4339" t="inlineStr">
        <is>
          <t>High</t>
        </is>
      </c>
      <c r="M4339" t="inlineStr">
        <is>
          <t>LLM</t>
        </is>
      </c>
      <c r="N4339" t="inlineStr">
        <is>
          <t>2026-04-19</t>
        </is>
      </c>
      <c r="O4339" t="inlineStr">
        <is>
          <t>AI</t>
        </is>
      </c>
    </row>
    <row r="4340">
      <c r="A4340" t="inlineStr">
        <is>
          <t>PT Pulau Subur Tbk</t>
        </is>
      </c>
      <c r="B4340" t="inlineStr">
        <is>
          <t>PTPS_2024_AR.pdf</t>
        </is>
      </c>
      <c r="C4340" t="n">
        <v>2024</v>
      </c>
      <c r="D4340" t="inlineStr">
        <is>
          <t>Financial</t>
        </is>
      </c>
      <c r="E4340" t="inlineStr">
        <is>
          <t>Biological Assets (Prepaid/Advance)</t>
        </is>
      </c>
      <c r="F4340" t="n">
        <v>10.91</v>
      </c>
      <c r="G4340" t="inlineStr">
        <is>
          <t>IDR bn</t>
        </is>
      </c>
      <c r="H4340" t="n">
        <v>8</v>
      </c>
      <c r="I4340" t="inlineStr">
        <is>
          <t>Biaya dibayar dimuka dan uang muka 10.913.000.000 8.616.400.000</t>
        </is>
      </c>
      <c r="J4340" t="inlineStr">
        <is>
          <t>High</t>
        </is>
      </c>
      <c r="M4340" t="inlineStr">
        <is>
          <t>LLM</t>
        </is>
      </c>
      <c r="N4340" t="inlineStr">
        <is>
          <t>2026-04-19</t>
        </is>
      </c>
      <c r="O4340" t="inlineStr">
        <is>
          <t>AI</t>
        </is>
      </c>
    </row>
    <row r="4341">
      <c r="A4341" t="inlineStr">
        <is>
          <t>PT Pulau Subur Tbk</t>
        </is>
      </c>
      <c r="B4341" t="inlineStr">
        <is>
          <t>PTPS_2024_AR.pdf</t>
        </is>
      </c>
      <c r="C4341" t="n">
        <v>2024</v>
      </c>
      <c r="D4341" t="inlineStr">
        <is>
          <t>Financial</t>
        </is>
      </c>
      <c r="E4341" t="inlineStr">
        <is>
          <t>Fixed Assets - Net</t>
        </is>
      </c>
      <c r="F4341" t="n">
        <v>91.77</v>
      </c>
      <c r="G4341" t="inlineStr">
        <is>
          <t>IDR bn</t>
        </is>
      </c>
      <c r="H4341" t="n">
        <v>8</v>
      </c>
      <c r="I4341" t="inlineStr">
        <is>
          <t>Aset tetap - bersih 91.766.698.799 47.787.512.305</t>
        </is>
      </c>
      <c r="J4341" t="inlineStr">
        <is>
          <t>High</t>
        </is>
      </c>
      <c r="M4341" t="inlineStr">
        <is>
          <t>LLM</t>
        </is>
      </c>
      <c r="N4341" t="inlineStr">
        <is>
          <t>2026-04-19</t>
        </is>
      </c>
      <c r="O4341" t="inlineStr">
        <is>
          <t>AI</t>
        </is>
      </c>
    </row>
    <row r="4342">
      <c r="A4342" t="inlineStr">
        <is>
          <t>PT Pulau Subur Tbk</t>
        </is>
      </c>
      <c r="B4342" t="inlineStr">
        <is>
          <t>PTPS_2024_AR.pdf</t>
        </is>
      </c>
      <c r="C4342" t="n">
        <v>2024</v>
      </c>
      <c r="D4342" t="inlineStr">
        <is>
          <t>Financial</t>
        </is>
      </c>
      <c r="E4342" t="inlineStr">
        <is>
          <t>Investment in Associate</t>
        </is>
      </c>
      <c r="F4342" t="n">
        <v>9.390000000000001</v>
      </c>
      <c r="G4342" t="inlineStr">
        <is>
          <t>IDR bn</t>
        </is>
      </c>
      <c r="H4342" t="n">
        <v>8</v>
      </c>
      <c r="I4342" t="inlineStr">
        <is>
          <t>Investasi pada entitas asosiasi 9.394.891.181</t>
        </is>
      </c>
      <c r="J4342" t="inlineStr">
        <is>
          <t>High</t>
        </is>
      </c>
      <c r="M4342" t="inlineStr">
        <is>
          <t>LLM</t>
        </is>
      </c>
      <c r="N4342" t="inlineStr">
        <is>
          <t>2026-04-19</t>
        </is>
      </c>
      <c r="O4342" t="inlineStr">
        <is>
          <t>AI</t>
        </is>
      </c>
    </row>
    <row r="4343">
      <c r="A4343" t="inlineStr">
        <is>
          <t>PT Pulau Subur Tbk</t>
        </is>
      </c>
      <c r="B4343" t="inlineStr">
        <is>
          <t>PTPS_2024_AR.pdf</t>
        </is>
      </c>
      <c r="C4343" t="n">
        <v>2024</v>
      </c>
      <c r="D4343" t="inlineStr">
        <is>
          <t>Financial</t>
        </is>
      </c>
      <c r="E4343" t="inlineStr">
        <is>
          <t>Mature Plantations - Net</t>
        </is>
      </c>
      <c r="F4343" t="n">
        <v>2.6</v>
      </c>
      <c r="G4343" t="inlineStr">
        <is>
          <t>IDR bn</t>
        </is>
      </c>
      <c r="H4343" t="n">
        <v>8</v>
      </c>
      <c r="I4343" t="inlineStr">
        <is>
          <t>Tanaman telah menghasilkan 2.600.258.896 1.949.903.391</t>
        </is>
      </c>
      <c r="J4343" t="inlineStr">
        <is>
          <t>High</t>
        </is>
      </c>
      <c r="M4343" t="inlineStr">
        <is>
          <t>LLM</t>
        </is>
      </c>
      <c r="N4343" t="inlineStr">
        <is>
          <t>2026-04-19</t>
        </is>
      </c>
      <c r="O4343" t="inlineStr">
        <is>
          <t>AI</t>
        </is>
      </c>
    </row>
    <row r="4344">
      <c r="A4344" t="inlineStr">
        <is>
          <t>PT Pulau Subur Tbk</t>
        </is>
      </c>
      <c r="B4344" t="inlineStr">
        <is>
          <t>PTPS_2024_AR.pdf</t>
        </is>
      </c>
      <c r="C4344" t="n">
        <v>2024</v>
      </c>
      <c r="D4344" t="inlineStr">
        <is>
          <t>Financial</t>
        </is>
      </c>
      <c r="E4344" t="inlineStr">
        <is>
          <t>Immature Plantations</t>
        </is>
      </c>
      <c r="F4344" t="n">
        <v>1.8</v>
      </c>
      <c r="G4344" t="inlineStr">
        <is>
          <t>IDR bn</t>
        </is>
      </c>
      <c r="H4344" t="n">
        <v>8</v>
      </c>
      <c r="I4344" t="inlineStr">
        <is>
          <t>Tanaman belum menghasilkan 1.797.212.862 2.150.270.886</t>
        </is>
      </c>
      <c r="J4344" t="inlineStr">
        <is>
          <t>High</t>
        </is>
      </c>
      <c r="M4344" t="inlineStr">
        <is>
          <t>LLM</t>
        </is>
      </c>
      <c r="N4344" t="inlineStr">
        <is>
          <t>2026-04-19</t>
        </is>
      </c>
      <c r="O4344" t="inlineStr">
        <is>
          <t>AI</t>
        </is>
      </c>
    </row>
    <row r="4345">
      <c r="A4345" t="inlineStr">
        <is>
          <t>PT Pulau Subur Tbk</t>
        </is>
      </c>
      <c r="B4345" t="inlineStr">
        <is>
          <t>PTPS_2024_AR.pdf</t>
        </is>
      </c>
      <c r="C4345" t="n">
        <v>2024</v>
      </c>
      <c r="D4345" t="inlineStr">
        <is>
          <t>Financial</t>
        </is>
      </c>
      <c r="E4345" t="inlineStr">
        <is>
          <t>Total Liabilities</t>
        </is>
      </c>
      <c r="F4345" t="n">
        <v>5.41</v>
      </c>
      <c r="G4345" t="inlineStr">
        <is>
          <t>IDR bn</t>
        </is>
      </c>
      <c r="H4345" t="n">
        <v>9</v>
      </c>
      <c r="I4345" t="inlineStr">
        <is>
          <t>JUMLAH LIABILITAS 5.411.730.963 6.175.450.962</t>
        </is>
      </c>
      <c r="J4345" t="inlineStr">
        <is>
          <t>High</t>
        </is>
      </c>
      <c r="M4345" t="inlineStr">
        <is>
          <t>LLM</t>
        </is>
      </c>
      <c r="N4345" t="inlineStr">
        <is>
          <t>2026-04-19</t>
        </is>
      </c>
      <c r="O4345" t="inlineStr">
        <is>
          <t>AI</t>
        </is>
      </c>
    </row>
    <row r="4346">
      <c r="A4346" t="inlineStr">
        <is>
          <t>PT Pulau Subur Tbk</t>
        </is>
      </c>
      <c r="B4346" t="inlineStr">
        <is>
          <t>PTPS_2024_AR.pdf</t>
        </is>
      </c>
      <c r="C4346" t="n">
        <v>2024</v>
      </c>
      <c r="D4346" t="inlineStr">
        <is>
          <t>Financial</t>
        </is>
      </c>
      <c r="E4346" t="inlineStr">
        <is>
          <t>Current Liabilities</t>
        </is>
      </c>
      <c r="F4346" t="n">
        <v>3.97</v>
      </c>
      <c r="G4346" t="inlineStr">
        <is>
          <t>IDR bn</t>
        </is>
      </c>
      <c r="H4346" t="n">
        <v>9</v>
      </c>
      <c r="I4346" t="inlineStr">
        <is>
          <t>Jumlah Liabilitas Jangka Pendek 3.966.243.581 5.756.692.657</t>
        </is>
      </c>
      <c r="J4346" t="inlineStr">
        <is>
          <t>High</t>
        </is>
      </c>
      <c r="M4346" t="inlineStr">
        <is>
          <t>LLM</t>
        </is>
      </c>
      <c r="N4346" t="inlineStr">
        <is>
          <t>2026-04-19</t>
        </is>
      </c>
      <c r="O4346" t="inlineStr">
        <is>
          <t>AI</t>
        </is>
      </c>
    </row>
    <row r="4347">
      <c r="A4347" t="inlineStr">
        <is>
          <t>PT Pulau Subur Tbk</t>
        </is>
      </c>
      <c r="B4347" t="inlineStr">
        <is>
          <t>PTPS_2024_AR.pdf</t>
        </is>
      </c>
      <c r="C4347" t="n">
        <v>2024</v>
      </c>
      <c r="D4347" t="inlineStr">
        <is>
          <t>Financial</t>
        </is>
      </c>
      <c r="E4347" t="inlineStr">
        <is>
          <t>Non-Current Liabilities</t>
        </is>
      </c>
      <c r="F4347" t="n">
        <v>1.45</v>
      </c>
      <c r="G4347" t="inlineStr">
        <is>
          <t>IDR bn</t>
        </is>
      </c>
      <c r="H4347" t="n">
        <v>9</v>
      </c>
      <c r="I4347" t="inlineStr">
        <is>
          <t>Jumlah Liabilitas Jangka Panjang 1.445.487.382 418.758.305</t>
        </is>
      </c>
      <c r="J4347" t="inlineStr">
        <is>
          <t>High</t>
        </is>
      </c>
      <c r="M4347" t="inlineStr">
        <is>
          <t>LLM</t>
        </is>
      </c>
      <c r="N4347" t="inlineStr">
        <is>
          <t>2026-04-19</t>
        </is>
      </c>
      <c r="O4347" t="inlineStr">
        <is>
          <t>AI</t>
        </is>
      </c>
    </row>
    <row r="4348">
      <c r="A4348" t="inlineStr">
        <is>
          <t>PT Pulau Subur Tbk</t>
        </is>
      </c>
      <c r="B4348" t="inlineStr">
        <is>
          <t>PTPS_2024_AR.pdf</t>
        </is>
      </c>
      <c r="C4348" t="n">
        <v>2024</v>
      </c>
      <c r="D4348" t="inlineStr">
        <is>
          <t>Financial</t>
        </is>
      </c>
      <c r="E4348" t="inlineStr">
        <is>
          <t>Lease Liabilities (LT)</t>
        </is>
      </c>
      <c r="F4348" t="n">
        <v>1.01</v>
      </c>
      <c r="G4348" t="inlineStr">
        <is>
          <t>IDR bn</t>
        </is>
      </c>
      <c r="H4348" t="n">
        <v>9</v>
      </c>
      <c r="I4348" t="inlineStr">
        <is>
          <t>Liabilitas sewa 1.005.609.953</t>
        </is>
      </c>
      <c r="J4348" t="inlineStr">
        <is>
          <t>High</t>
        </is>
      </c>
      <c r="M4348" t="inlineStr">
        <is>
          <t>LLM</t>
        </is>
      </c>
      <c r="N4348" t="inlineStr">
        <is>
          <t>2026-04-19</t>
        </is>
      </c>
      <c r="O4348" t="inlineStr">
        <is>
          <t>AI</t>
        </is>
      </c>
    </row>
    <row r="4349">
      <c r="A4349" t="inlineStr">
        <is>
          <t>PT Pulau Subur Tbk</t>
        </is>
      </c>
      <c r="B4349" t="inlineStr">
        <is>
          <t>PTPS_2024_AR.pdf</t>
        </is>
      </c>
      <c r="C4349" t="n">
        <v>2024</v>
      </c>
      <c r="D4349" t="inlineStr">
        <is>
          <t>Financial</t>
        </is>
      </c>
      <c r="E4349" t="inlineStr">
        <is>
          <t>Bank Loan Current Maturities</t>
        </is>
      </c>
      <c r="F4349" t="n">
        <v>0</v>
      </c>
      <c r="G4349" t="inlineStr">
        <is>
          <t>IDR bn</t>
        </is>
      </c>
      <c r="H4349" t="n">
        <v>9</v>
      </c>
      <c r="I4349" t="inlineStr">
        <is>
          <t>Utang bank - 1.878.781.092 (fully repaid in 2024)</t>
        </is>
      </c>
      <c r="J4349" t="inlineStr">
        <is>
          <t>High</t>
        </is>
      </c>
      <c r="M4349" t="inlineStr">
        <is>
          <t>LLM</t>
        </is>
      </c>
      <c r="N4349" t="inlineStr">
        <is>
          <t>2026-04-19</t>
        </is>
      </c>
      <c r="O4349" t="inlineStr">
        <is>
          <t>AI</t>
        </is>
      </c>
    </row>
    <row r="4350">
      <c r="A4350" t="inlineStr">
        <is>
          <t>PT Pulau Subur Tbk</t>
        </is>
      </c>
      <c r="B4350" t="inlineStr">
        <is>
          <t>PTPS_2024_AR.pdf</t>
        </is>
      </c>
      <c r="C4350" t="n">
        <v>2024</v>
      </c>
      <c r="D4350" t="inlineStr">
        <is>
          <t>Financial</t>
        </is>
      </c>
      <c r="E4350" t="inlineStr">
        <is>
          <t>Total Equity</t>
        </is>
      </c>
      <c r="F4350" t="n">
        <v>185.15</v>
      </c>
      <c r="G4350" t="inlineStr">
        <is>
          <t>IDR bn</t>
        </is>
      </c>
      <c r="H4350" t="n">
        <v>9</v>
      </c>
      <c r="I4350" t="inlineStr">
        <is>
          <t>Jumlah Ekuitas 185.145.109.060 162.736.100.617</t>
        </is>
      </c>
      <c r="J4350" t="inlineStr">
        <is>
          <t>High</t>
        </is>
      </c>
      <c r="M4350" t="inlineStr">
        <is>
          <t>LLM</t>
        </is>
      </c>
      <c r="N4350" t="inlineStr">
        <is>
          <t>2026-04-19</t>
        </is>
      </c>
      <c r="O4350" t="inlineStr">
        <is>
          <t>AI</t>
        </is>
      </c>
    </row>
    <row r="4351">
      <c r="A4351" t="inlineStr">
        <is>
          <t>PT Pulau Subur Tbk</t>
        </is>
      </c>
      <c r="B4351" t="inlineStr">
        <is>
          <t>PTPS_2024_AR.pdf</t>
        </is>
      </c>
      <c r="C4351" t="n">
        <v>2024</v>
      </c>
      <c r="D4351" t="inlineStr">
        <is>
          <t>Financial</t>
        </is>
      </c>
      <c r="E4351" t="inlineStr">
        <is>
          <t>Paid-in Capital</t>
        </is>
      </c>
      <c r="F4351" t="n">
        <v>43.35</v>
      </c>
      <c r="G4351" t="inlineStr">
        <is>
          <t>IDR bn</t>
        </is>
      </c>
      <c r="H4351" t="n">
        <v>9</v>
      </c>
      <c r="I4351" t="inlineStr">
        <is>
          <t>Modal ditempatkan dan disetor penuh 43.350.297.120 (2,167,514,856 shares @Rp20)</t>
        </is>
      </c>
      <c r="J4351" t="inlineStr">
        <is>
          <t>High</t>
        </is>
      </c>
      <c r="M4351" t="inlineStr">
        <is>
          <t>LLM</t>
        </is>
      </c>
      <c r="N4351" t="inlineStr">
        <is>
          <t>2026-04-19</t>
        </is>
      </c>
      <c r="O4351" t="inlineStr">
        <is>
          <t>AI</t>
        </is>
      </c>
    </row>
    <row r="4352">
      <c r="A4352" t="inlineStr">
        <is>
          <t>PT Pulau Subur Tbk</t>
        </is>
      </c>
      <c r="B4352" t="inlineStr">
        <is>
          <t>PTPS_2024_AR.pdf</t>
        </is>
      </c>
      <c r="C4352" t="n">
        <v>2024</v>
      </c>
      <c r="D4352" t="inlineStr">
        <is>
          <t>Financial</t>
        </is>
      </c>
      <c r="E4352" t="inlineStr">
        <is>
          <t>Additional Paid-in Capital</t>
        </is>
      </c>
      <c r="F4352" t="n">
        <v>81.26000000000001</v>
      </c>
      <c r="G4352" t="inlineStr">
        <is>
          <t>IDR bn</t>
        </is>
      </c>
      <c r="H4352" t="n">
        <v>9</v>
      </c>
      <c r="I4352" t="inlineStr">
        <is>
          <t>Tambahan modal disetor - bersih 81.258.302.372</t>
        </is>
      </c>
      <c r="J4352" t="inlineStr">
        <is>
          <t>High</t>
        </is>
      </c>
      <c r="M4352" t="inlineStr">
        <is>
          <t>LLM</t>
        </is>
      </c>
      <c r="N4352" t="inlineStr">
        <is>
          <t>2026-04-19</t>
        </is>
      </c>
      <c r="O4352" t="inlineStr">
        <is>
          <t>AI</t>
        </is>
      </c>
    </row>
    <row r="4353">
      <c r="A4353" t="inlineStr">
        <is>
          <t>PT Pulau Subur Tbk</t>
        </is>
      </c>
      <c r="B4353" t="inlineStr">
        <is>
          <t>PTPS_2024_AR.pdf</t>
        </is>
      </c>
      <c r="C4353" t="n">
        <v>2024</v>
      </c>
      <c r="D4353" t="inlineStr">
        <is>
          <t>Financial</t>
        </is>
      </c>
      <c r="E4353" t="inlineStr">
        <is>
          <t>Retained Earnings Appropriated</t>
        </is>
      </c>
      <c r="F4353" t="n">
        <v>8.67</v>
      </c>
      <c r="G4353" t="inlineStr">
        <is>
          <t>IDR bn</t>
        </is>
      </c>
      <c r="H4353" t="n">
        <v>9</v>
      </c>
      <c r="I4353" t="inlineStr">
        <is>
          <t>Dicadangkan 8.670.000.000</t>
        </is>
      </c>
      <c r="J4353" t="inlineStr">
        <is>
          <t>High</t>
        </is>
      </c>
      <c r="M4353" t="inlineStr">
        <is>
          <t>LLM</t>
        </is>
      </c>
      <c r="N4353" t="inlineStr">
        <is>
          <t>2026-04-19</t>
        </is>
      </c>
      <c r="O4353" t="inlineStr">
        <is>
          <t>AI</t>
        </is>
      </c>
    </row>
    <row r="4354">
      <c r="A4354" t="inlineStr">
        <is>
          <t>PT Pulau Subur Tbk</t>
        </is>
      </c>
      <c r="B4354" t="inlineStr">
        <is>
          <t>PTPS_2024_AR.pdf</t>
        </is>
      </c>
      <c r="C4354" t="n">
        <v>2024</v>
      </c>
      <c r="D4354" t="inlineStr">
        <is>
          <t>Financial</t>
        </is>
      </c>
      <c r="E4354" t="inlineStr">
        <is>
          <t>CFO (Cash from Operating Activities)</t>
        </is>
      </c>
      <c r="F4354" t="n">
        <v>29.22</v>
      </c>
      <c r="G4354" t="inlineStr">
        <is>
          <t>IDR bn</t>
        </is>
      </c>
      <c r="H4354" t="n">
        <v>66</v>
      </c>
      <c r="I4354" t="inlineStr">
        <is>
          <t>Kas Neto Diperoleh Dari Aktivitas Operasi 29.217.195.569 17.257.177.255</t>
        </is>
      </c>
      <c r="J4354" t="inlineStr">
        <is>
          <t>High</t>
        </is>
      </c>
      <c r="M4354" t="inlineStr">
        <is>
          <t>LLM</t>
        </is>
      </c>
      <c r="N4354" t="inlineStr">
        <is>
          <t>2026-04-19</t>
        </is>
      </c>
      <c r="O4354" t="inlineStr">
        <is>
          <t>AI</t>
        </is>
      </c>
    </row>
    <row r="4355">
      <c r="A4355" t="inlineStr">
        <is>
          <t>PT Pulau Subur Tbk</t>
        </is>
      </c>
      <c r="B4355" t="inlineStr">
        <is>
          <t>PTPS_2024_AR.pdf</t>
        </is>
      </c>
      <c r="C4355" t="n">
        <v>2024</v>
      </c>
      <c r="D4355" t="inlineStr">
        <is>
          <t>Financial</t>
        </is>
      </c>
      <c r="E4355" t="inlineStr">
        <is>
          <t>CFI (Cash from Investing Activities)</t>
        </is>
      </c>
      <c r="F4355" t="n">
        <v>-33.13</v>
      </c>
      <c r="G4355" t="inlineStr">
        <is>
          <t>IDR bn</t>
        </is>
      </c>
      <c r="H4355" t="n">
        <v>66</v>
      </c>
      <c r="I4355" t="inlineStr">
        <is>
          <t>Kas Neto Diperoleh Dari Aktivitas Investasi (33.129.174.278)</t>
        </is>
      </c>
      <c r="J4355" t="inlineStr">
        <is>
          <t>High</t>
        </is>
      </c>
      <c r="M4355" t="inlineStr">
        <is>
          <t>LLM</t>
        </is>
      </c>
      <c r="N4355" t="inlineStr">
        <is>
          <t>2026-04-19</t>
        </is>
      </c>
      <c r="O4355" t="inlineStr">
        <is>
          <t>AI</t>
        </is>
      </c>
    </row>
    <row r="4356">
      <c r="A4356" t="inlineStr">
        <is>
          <t>PT Pulau Subur Tbk</t>
        </is>
      </c>
      <c r="B4356" t="inlineStr">
        <is>
          <t>PTPS_2024_AR.pdf</t>
        </is>
      </c>
      <c r="C4356" t="n">
        <v>2024</v>
      </c>
      <c r="D4356" t="inlineStr">
        <is>
          <t>Financial</t>
        </is>
      </c>
      <c r="E4356" t="inlineStr">
        <is>
          <t>CFF (Cash from Financing Activities)</t>
        </is>
      </c>
      <c r="F4356" t="n">
        <v>-6.85</v>
      </c>
      <c r="G4356" t="inlineStr">
        <is>
          <t>IDR bn</t>
        </is>
      </c>
      <c r="H4356" t="n">
        <v>66</v>
      </c>
      <c r="I4356" t="inlineStr">
        <is>
          <t>Kas Neto Diperoleh Dari Aktivitas Pendanaan (6.854.112.012)</t>
        </is>
      </c>
      <c r="J4356" t="inlineStr">
        <is>
          <t>High</t>
        </is>
      </c>
      <c r="M4356" t="inlineStr">
        <is>
          <t>LLM</t>
        </is>
      </c>
      <c r="N4356" t="inlineStr">
        <is>
          <t>2026-04-19</t>
        </is>
      </c>
      <c r="O4356" t="inlineStr">
        <is>
          <t>AI</t>
        </is>
      </c>
    </row>
    <row r="4357">
      <c r="A4357" t="inlineStr">
        <is>
          <t>PT Pulau Subur Tbk</t>
        </is>
      </c>
      <c r="B4357" t="inlineStr">
        <is>
          <t>PTPS_2024_AR.pdf</t>
        </is>
      </c>
      <c r="C4357" t="n">
        <v>2024</v>
      </c>
      <c r="D4357" t="inlineStr">
        <is>
          <t>Financial</t>
        </is>
      </c>
      <c r="E4357" t="inlineStr">
        <is>
          <t>Capex - Fixed Asset Additions</t>
        </is>
      </c>
      <c r="F4357" t="n">
        <v>44.6</v>
      </c>
      <c r="G4357" t="inlineStr">
        <is>
          <t>IDR bn</t>
        </is>
      </c>
      <c r="H4357" t="n">
        <v>66</v>
      </c>
      <c r="I4357" t="inlineStr">
        <is>
          <t>perolehan aset tetap berupa investasi Pabrik Kelapa Sawit; fixed assets increased from 47.79 to 91.77 bn</t>
        </is>
      </c>
      <c r="J4357" t="inlineStr">
        <is>
          <t>Medium</t>
        </is>
      </c>
      <c r="M4357" t="inlineStr">
        <is>
          <t>LLM</t>
        </is>
      </c>
      <c r="N4357" t="inlineStr">
        <is>
          <t>2026-04-19</t>
        </is>
      </c>
      <c r="O4357" t="inlineStr">
        <is>
          <t>AI</t>
        </is>
      </c>
    </row>
    <row r="4358">
      <c r="A4358" t="inlineStr">
        <is>
          <t>PT Pulau Subur Tbk</t>
        </is>
      </c>
      <c r="B4358" t="inlineStr">
        <is>
          <t>PTPS_2024_AR.pdf</t>
        </is>
      </c>
      <c r="C4358" t="n">
        <v>2024</v>
      </c>
      <c r="D4358" t="inlineStr">
        <is>
          <t>Financial</t>
        </is>
      </c>
      <c r="E4358" t="inlineStr">
        <is>
          <t>Dividend Paid in 2024</t>
        </is>
      </c>
      <c r="F4358" t="n">
        <v>4.77</v>
      </c>
      <c r="G4358" t="inlineStr">
        <is>
          <t>IDR bn</t>
        </is>
      </c>
      <c r="H4358" t="n">
        <v>15</v>
      </c>
      <c r="I4358" t="inlineStr">
        <is>
          <t>pembayaran dividen tunai dilakukan pada tanggal 10 Juli 2024, dengan nilai total sebesar Rp4.768.521.528</t>
        </is>
      </c>
      <c r="J4358" t="inlineStr">
        <is>
          <t>High</t>
        </is>
      </c>
      <c r="M4358" t="inlineStr">
        <is>
          <t>LLM</t>
        </is>
      </c>
      <c r="N4358" t="inlineStr">
        <is>
          <t>2026-04-19</t>
        </is>
      </c>
      <c r="O4358" t="inlineStr">
        <is>
          <t>AI</t>
        </is>
      </c>
    </row>
    <row r="4359">
      <c r="A4359" t="inlineStr">
        <is>
          <t>PT Pulau Subur Tbk</t>
        </is>
      </c>
      <c r="B4359" t="inlineStr">
        <is>
          <t>PTPS_2024_AR.pdf</t>
        </is>
      </c>
      <c r="C4359" t="n">
        <v>2024</v>
      </c>
      <c r="D4359" t="inlineStr">
        <is>
          <t>Financial</t>
        </is>
      </c>
      <c r="E4359" t="inlineStr">
        <is>
          <t>Final DPS (for FY2023, paid 2024)</t>
        </is>
      </c>
      <c r="F4359" t="n">
        <v>2.2</v>
      </c>
      <c r="G4359" t="inlineStr">
        <is>
          <t>Rp/share</t>
        </is>
      </c>
      <c r="H4359" t="n">
        <v>15</v>
      </c>
      <c r="I4359" t="inlineStr">
        <is>
          <t>Rp4,768,521,528 / 2,167,500,000 shares</t>
        </is>
      </c>
      <c r="J4359" t="inlineStr">
        <is>
          <t>Medium</t>
        </is>
      </c>
      <c r="M4359" t="inlineStr">
        <is>
          <t>LLM</t>
        </is>
      </c>
      <c r="N4359" t="inlineStr">
        <is>
          <t>2026-04-19</t>
        </is>
      </c>
      <c r="O4359" t="inlineStr">
        <is>
          <t>AI</t>
        </is>
      </c>
    </row>
    <row r="4360">
      <c r="A4360" t="inlineStr">
        <is>
          <t>PT Pulau Subur Tbk</t>
        </is>
      </c>
      <c r="B4360" t="inlineStr">
        <is>
          <t>PTPS_2024_AR.pdf</t>
        </is>
      </c>
      <c r="C4360" t="n">
        <v>2024</v>
      </c>
      <c r="D4360" t="inlineStr">
        <is>
          <t>Financial</t>
        </is>
      </c>
      <c r="E4360" t="inlineStr">
        <is>
          <t>Shares Outstanding (end-2024)</t>
        </is>
      </c>
      <c r="F4360" t="n">
        <v>2167.515</v>
      </c>
      <c r="G4360" t="inlineStr">
        <is>
          <t>mn</t>
        </is>
      </c>
      <c r="H4360" t="n">
        <v>48</v>
      </c>
      <c r="I4360" t="inlineStr">
        <is>
          <t>Jumlah Modal Ditempatkan dan Disetor Penuh 2.167.514.856</t>
        </is>
      </c>
      <c r="J4360" t="inlineStr">
        <is>
          <t>High</t>
        </is>
      </c>
      <c r="M4360" t="inlineStr">
        <is>
          <t>LLM</t>
        </is>
      </c>
      <c r="N4360" t="inlineStr">
        <is>
          <t>2026-04-19</t>
        </is>
      </c>
      <c r="O4360" t="inlineStr">
        <is>
          <t>AI</t>
        </is>
      </c>
    </row>
    <row r="4361">
      <c r="A4361" t="inlineStr">
        <is>
          <t>PT Pulau Subur Tbk</t>
        </is>
      </c>
      <c r="B4361" t="inlineStr">
        <is>
          <t>PTPS_2024_AR.pdf</t>
        </is>
      </c>
      <c r="C4361" t="n">
        <v>2024</v>
      </c>
      <c r="D4361" t="inlineStr">
        <is>
          <t>Financial</t>
        </is>
      </c>
      <c r="E4361" t="inlineStr">
        <is>
          <t>Closing Price (Q4 2024)</t>
        </is>
      </c>
      <c r="F4361" t="n">
        <v>77</v>
      </c>
      <c r="G4361" t="inlineStr">
        <is>
          <t>Rp/share</t>
        </is>
      </c>
      <c r="H4361" t="n">
        <v>13</v>
      </c>
      <c r="I4361" t="inlineStr">
        <is>
          <t>Triwulan 4 118 75 77</t>
        </is>
      </c>
      <c r="J4361" t="inlineStr">
        <is>
          <t>High</t>
        </is>
      </c>
      <c r="M4361" t="inlineStr">
        <is>
          <t>LLM</t>
        </is>
      </c>
      <c r="N4361" t="inlineStr">
        <is>
          <t>2026-04-19</t>
        </is>
      </c>
      <c r="O4361" t="inlineStr">
        <is>
          <t>AI</t>
        </is>
      </c>
    </row>
    <row r="4362">
      <c r="A4362" t="inlineStr">
        <is>
          <t>PT Pulau Subur Tbk</t>
        </is>
      </c>
      <c r="B4362" t="inlineStr">
        <is>
          <t>PTPS_2024_AR.pdf</t>
        </is>
      </c>
      <c r="C4362" t="n">
        <v>2024</v>
      </c>
      <c r="D4362" t="inlineStr">
        <is>
          <t>Financial</t>
        </is>
      </c>
      <c r="E4362" t="inlineStr">
        <is>
          <t>Market Cap (Q4 2024)</t>
        </is>
      </c>
      <c r="F4362" t="n">
        <v>166.9</v>
      </c>
      <c r="G4362" t="inlineStr">
        <is>
          <t>IDR bn</t>
        </is>
      </c>
      <c r="H4362" t="n">
        <v>13</v>
      </c>
      <c r="I4362" t="inlineStr">
        <is>
          <t>Triwulan 4 ... 166.898.643.912</t>
        </is>
      </c>
      <c r="J4362" t="inlineStr">
        <is>
          <t>High</t>
        </is>
      </c>
      <c r="M4362" t="inlineStr">
        <is>
          <t>LLM</t>
        </is>
      </c>
      <c r="N4362" t="inlineStr">
        <is>
          <t>2026-04-19</t>
        </is>
      </c>
      <c r="O4362" t="inlineStr">
        <is>
          <t>AI</t>
        </is>
      </c>
    </row>
    <row r="4363">
      <c r="A4363" t="inlineStr">
        <is>
          <t>PT Pulau Subur Tbk</t>
        </is>
      </c>
      <c r="B4363" t="inlineStr">
        <is>
          <t>PTPS_2024_AR.pdf</t>
        </is>
      </c>
      <c r="C4363" t="n">
        <v>2024</v>
      </c>
      <c r="D4363" t="inlineStr">
        <is>
          <t>Financial</t>
        </is>
      </c>
      <c r="E4363" t="inlineStr">
        <is>
          <t>IPO Price</t>
        </is>
      </c>
      <c r="F4363" t="n">
        <v>198</v>
      </c>
      <c r="G4363" t="inlineStr">
        <is>
          <t>Rp/share</t>
        </is>
      </c>
      <c r="H4363" t="n">
        <v>13</v>
      </c>
      <c r="I4363" t="inlineStr">
        <is>
          <t>harga penawaran dari saham Perseroan sebesar Rp198</t>
        </is>
      </c>
      <c r="J4363" t="inlineStr">
        <is>
          <t>High</t>
        </is>
      </c>
      <c r="M4363" t="inlineStr">
        <is>
          <t>LLM</t>
        </is>
      </c>
      <c r="N4363" t="inlineStr">
        <is>
          <t>2026-04-19</t>
        </is>
      </c>
      <c r="O4363" t="inlineStr">
        <is>
          <t>AI</t>
        </is>
      </c>
    </row>
    <row r="4364">
      <c r="A4364" t="inlineStr">
        <is>
          <t>PT Pulau Subur Tbk</t>
        </is>
      </c>
      <c r="B4364" t="inlineStr">
        <is>
          <t>PTPS_2024_AR.pdf</t>
        </is>
      </c>
      <c r="C4364" t="n">
        <v>2024</v>
      </c>
      <c r="D4364" t="inlineStr">
        <is>
          <t>Financial</t>
        </is>
      </c>
      <c r="E4364" t="inlineStr">
        <is>
          <t>IPO Proceeds Gross</t>
        </is>
      </c>
      <c r="F4364" t="n">
        <v>89.09999999999999</v>
      </c>
      <c r="G4364" t="inlineStr">
        <is>
          <t>IDR bn</t>
        </is>
      </c>
      <c r="H4364" t="n">
        <v>70</v>
      </c>
      <c r="I4364" t="inlineStr">
        <is>
          <t>9 oktober 2023 89.100.000.000</t>
        </is>
      </c>
      <c r="J4364" t="inlineStr">
        <is>
          <t>High</t>
        </is>
      </c>
      <c r="M4364" t="inlineStr">
        <is>
          <t>LLM</t>
        </is>
      </c>
      <c r="N4364" t="inlineStr">
        <is>
          <t>2026-04-19</t>
        </is>
      </c>
      <c r="O4364" t="inlineStr">
        <is>
          <t>AI</t>
        </is>
      </c>
    </row>
    <row r="4365">
      <c r="A4365" t="inlineStr">
        <is>
          <t>PT Pulau Subur Tbk</t>
        </is>
      </c>
      <c r="B4365" t="inlineStr">
        <is>
          <t>PTPS_2024_AR.pdf</t>
        </is>
      </c>
      <c r="C4365" t="n">
        <v>2024</v>
      </c>
      <c r="D4365" t="inlineStr">
        <is>
          <t>Financial</t>
        </is>
      </c>
      <c r="E4365" t="inlineStr">
        <is>
          <t>IPO Net Proceeds</t>
        </is>
      </c>
      <c r="F4365" t="n">
        <v>85.13</v>
      </c>
      <c r="G4365" t="inlineStr">
        <is>
          <t>IDR bn</t>
        </is>
      </c>
      <c r="H4365" t="n">
        <v>70</v>
      </c>
      <c r="I4365" t="inlineStr">
        <is>
          <t>Dana Bersih IPO 85.131.702.588</t>
        </is>
      </c>
      <c r="J4365" t="inlineStr">
        <is>
          <t>High</t>
        </is>
      </c>
      <c r="M4365" t="inlineStr">
        <is>
          <t>LLM</t>
        </is>
      </c>
      <c r="N4365" t="inlineStr">
        <is>
          <t>2026-04-19</t>
        </is>
      </c>
      <c r="O4365" t="inlineStr">
        <is>
          <t>AI</t>
        </is>
      </c>
    </row>
    <row r="4366">
      <c r="A4366" t="inlineStr">
        <is>
          <t>PT Pulau Subur Tbk</t>
        </is>
      </c>
      <c r="B4366" t="inlineStr">
        <is>
          <t>PTPS_2024_AR.pdf</t>
        </is>
      </c>
      <c r="C4366" t="n">
        <v>2024</v>
      </c>
      <c r="D4366" t="inlineStr">
        <is>
          <t>Financial</t>
        </is>
      </c>
      <c r="E4366" t="inlineStr">
        <is>
          <t>IPO Proceeds Used as of 31 Dec 2024</t>
        </is>
      </c>
      <c r="F4366" t="n">
        <v>46.61</v>
      </c>
      <c r="G4366" t="inlineStr">
        <is>
          <t>IDR bn</t>
        </is>
      </c>
      <c r="H4366" t="n">
        <v>70</v>
      </c>
      <c r="I4366" t="inlineStr">
        <is>
          <t>realisasi penggunaan dana IPO mencapai Rp 46.613.144.000</t>
        </is>
      </c>
      <c r="J4366" t="inlineStr">
        <is>
          <t>High</t>
        </is>
      </c>
      <c r="M4366" t="inlineStr">
        <is>
          <t>LLM</t>
        </is>
      </c>
      <c r="N4366" t="inlineStr">
        <is>
          <t>2026-04-19</t>
        </is>
      </c>
      <c r="O4366" t="inlineStr">
        <is>
          <t>AI</t>
        </is>
      </c>
    </row>
    <row r="4367">
      <c r="A4367" t="inlineStr">
        <is>
          <t>PT Pulau Subur Tbk</t>
        </is>
      </c>
      <c r="B4367" t="inlineStr">
        <is>
          <t>PTPS_2024_AR.pdf</t>
        </is>
      </c>
      <c r="C4367" t="n">
        <v>2024</v>
      </c>
      <c r="D4367" t="inlineStr">
        <is>
          <t>Financial</t>
        </is>
      </c>
      <c r="E4367" t="inlineStr">
        <is>
          <t>Current Ratio</t>
        </is>
      </c>
      <c r="F4367" t="n">
        <v>19.51</v>
      </c>
      <c r="G4367" t="inlineStr">
        <is>
          <t>x</t>
        </is>
      </c>
      <c r="H4367" t="n">
        <v>11</v>
      </c>
      <c r="I4367" t="inlineStr">
        <is>
          <t>Aset Lancar terhadap Liabilitas Jangka Pendek 19,51 17,43</t>
        </is>
      </c>
      <c r="J4367" t="inlineStr">
        <is>
          <t>High</t>
        </is>
      </c>
      <c r="M4367" t="inlineStr">
        <is>
          <t>LLM</t>
        </is>
      </c>
      <c r="N4367" t="inlineStr">
        <is>
          <t>2026-04-19</t>
        </is>
      </c>
      <c r="O4367" t="inlineStr">
        <is>
          <t>AI</t>
        </is>
      </c>
    </row>
    <row r="4368">
      <c r="A4368" t="inlineStr">
        <is>
          <t>PT Pulau Subur Tbk</t>
        </is>
      </c>
      <c r="B4368" t="inlineStr">
        <is>
          <t>PTPS_2024_AR.pdf</t>
        </is>
      </c>
      <c r="C4368" t="n">
        <v>2024</v>
      </c>
      <c r="D4368" t="inlineStr">
        <is>
          <t>Financial</t>
        </is>
      </c>
      <c r="E4368" t="inlineStr">
        <is>
          <t>Gearing Ratio (Liab/Equity)</t>
        </is>
      </c>
      <c r="F4368" t="n">
        <v>0.0292</v>
      </c>
      <c r="G4368" t="inlineStr">
        <is>
          <t>%</t>
        </is>
      </c>
      <c r="H4368" t="n">
        <v>11</v>
      </c>
      <c r="I4368" t="inlineStr">
        <is>
          <t>Liablitas terhadap Ekuitas 0,03 0,04; detailed 2,92% vs 3,79%</t>
        </is>
      </c>
      <c r="J4368" t="inlineStr">
        <is>
          <t>High</t>
        </is>
      </c>
      <c r="M4368" t="inlineStr">
        <is>
          <t>LLM</t>
        </is>
      </c>
      <c r="N4368" t="inlineStr">
        <is>
          <t>2026-04-19</t>
        </is>
      </c>
      <c r="O4368" t="inlineStr">
        <is>
          <t>AI</t>
        </is>
      </c>
    </row>
    <row r="4369">
      <c r="A4369" t="inlineStr">
        <is>
          <t>PT Pulau Subur Tbk</t>
        </is>
      </c>
      <c r="B4369" t="inlineStr">
        <is>
          <t>PTPS_2024_AR.pdf</t>
        </is>
      </c>
      <c r="C4369" t="n">
        <v>2024</v>
      </c>
      <c r="D4369" t="inlineStr">
        <is>
          <t>Financial</t>
        </is>
      </c>
      <c r="E4369" t="inlineStr">
        <is>
          <t>ICR Ratio</t>
        </is>
      </c>
      <c r="F4369" t="n">
        <v>994.52</v>
      </c>
      <c r="G4369" t="inlineStr">
        <is>
          <t>x</t>
        </is>
      </c>
      <c r="H4369" t="n">
        <v>11</v>
      </c>
      <c r="I4369" t="inlineStr">
        <is>
          <t>Rasio ICR 994,52 156 74,28</t>
        </is>
      </c>
      <c r="J4369" t="inlineStr">
        <is>
          <t>High</t>
        </is>
      </c>
      <c r="M4369" t="inlineStr">
        <is>
          <t>LLM</t>
        </is>
      </c>
      <c r="N4369" t="inlineStr">
        <is>
          <t>2026-04-19</t>
        </is>
      </c>
      <c r="O4369" t="inlineStr">
        <is>
          <t>AI</t>
        </is>
      </c>
    </row>
    <row r="4370">
      <c r="A4370" t="inlineStr">
        <is>
          <t>PT Pulau Subur Tbk</t>
        </is>
      </c>
      <c r="B4370" t="inlineStr">
        <is>
          <t>PTPS_2024_AR.pdf</t>
        </is>
      </c>
      <c r="C4370" t="n">
        <v>2024</v>
      </c>
      <c r="D4370" t="inlineStr">
        <is>
          <t>Financial</t>
        </is>
      </c>
      <c r="E4370" t="inlineStr">
        <is>
          <t>Income Tax Expense</t>
        </is>
      </c>
      <c r="F4370" t="n">
        <v>6.44</v>
      </c>
      <c r="G4370" t="inlineStr">
        <is>
          <t>IDR bn</t>
        </is>
      </c>
      <c r="H4370" t="n">
        <v>10</v>
      </c>
      <c r="I4370" t="inlineStr">
        <is>
          <t>Jumlah Beban Pajak Penghasilan (6.442.706.305)</t>
        </is>
      </c>
      <c r="J4370" t="inlineStr">
        <is>
          <t>High</t>
        </is>
      </c>
      <c r="M4370" t="inlineStr">
        <is>
          <t>LLM</t>
        </is>
      </c>
      <c r="N4370" t="inlineStr">
        <is>
          <t>2026-04-19</t>
        </is>
      </c>
      <c r="O4370" t="inlineStr">
        <is>
          <t>AI</t>
        </is>
      </c>
    </row>
    <row r="4371">
      <c r="A4371" t="inlineStr">
        <is>
          <t>PT Pulau Subur Tbk</t>
        </is>
      </c>
      <c r="B4371" t="inlineStr">
        <is>
          <t>PTPS_2024_AR.pdf</t>
        </is>
      </c>
      <c r="C4371" t="n">
        <v>2024</v>
      </c>
      <c r="D4371" t="inlineStr">
        <is>
          <t>Asset</t>
        </is>
      </c>
      <c r="E4371" t="inlineStr">
        <is>
          <t>Total Location Permit Area</t>
        </is>
      </c>
      <c r="F4371" t="n">
        <v>1180.39</v>
      </c>
      <c r="G4371" t="inlineStr">
        <is>
          <t>ha</t>
        </is>
      </c>
      <c r="H4371" t="n">
        <v>59</v>
      </c>
      <c r="I4371" t="inlineStr">
        <is>
          <t>Total luas izin lokasi seluas 1.180,39 Ha</t>
        </is>
      </c>
      <c r="J4371" t="inlineStr">
        <is>
          <t>High</t>
        </is>
      </c>
      <c r="M4371" t="inlineStr">
        <is>
          <t>LLM</t>
        </is>
      </c>
      <c r="N4371" t="inlineStr">
        <is>
          <t>2026-04-19</t>
        </is>
      </c>
      <c r="O4371" t="inlineStr">
        <is>
          <t>AI</t>
        </is>
      </c>
    </row>
    <row r="4372">
      <c r="A4372" t="inlineStr">
        <is>
          <t>PT Pulau Subur Tbk</t>
        </is>
      </c>
      <c r="B4372" t="inlineStr">
        <is>
          <t>PTPS_2024_AR.pdf</t>
        </is>
      </c>
      <c r="C4372" t="n">
        <v>2024</v>
      </c>
      <c r="D4372" t="inlineStr">
        <is>
          <t>Asset</t>
        </is>
      </c>
      <c r="E4372" t="inlineStr">
        <is>
          <t>Total HGU Area</t>
        </is>
      </c>
      <c r="F4372" t="n">
        <v>882.58</v>
      </c>
      <c r="G4372" t="inlineStr">
        <is>
          <t>ha</t>
        </is>
      </c>
      <c r="H4372" t="n">
        <v>59</v>
      </c>
      <c r="I4372" t="inlineStr">
        <is>
          <t>Total keseluruhan luas HGU yang dimiliki Perseroan adalah seluas 882,58 Ha</t>
        </is>
      </c>
      <c r="J4372" t="inlineStr">
        <is>
          <t>High</t>
        </is>
      </c>
      <c r="M4372" t="inlineStr">
        <is>
          <t>LLM</t>
        </is>
      </c>
      <c r="N4372" t="inlineStr">
        <is>
          <t>2026-04-19</t>
        </is>
      </c>
      <c r="O4372" t="inlineStr">
        <is>
          <t>AI</t>
        </is>
      </c>
    </row>
    <row r="4373">
      <c r="A4373" t="inlineStr">
        <is>
          <t>PT Pulau Subur Tbk</t>
        </is>
      </c>
      <c r="B4373" t="inlineStr">
        <is>
          <t>PTPS_2024_AR.pdf</t>
        </is>
      </c>
      <c r="C4373" t="n">
        <v>2024</v>
      </c>
      <c r="D4373" t="inlineStr">
        <is>
          <t>Asset</t>
        </is>
      </c>
      <c r="E4373" t="inlineStr">
        <is>
          <t>Total Planted Area</t>
        </is>
      </c>
      <c r="F4373" t="n">
        <v>1090.64</v>
      </c>
      <c r="G4373" t="inlineStr">
        <is>
          <t>ha</t>
        </is>
      </c>
      <c r="H4373" t="n">
        <v>59</v>
      </c>
      <c r="I4373" t="inlineStr">
        <is>
          <t>saat ini telah tertanam kelapa sawit seluas 1.090,64 Ha</t>
        </is>
      </c>
      <c r="J4373" t="inlineStr">
        <is>
          <t>High</t>
        </is>
      </c>
      <c r="M4373" t="inlineStr">
        <is>
          <t>LLM</t>
        </is>
      </c>
      <c r="N4373" t="inlineStr">
        <is>
          <t>2026-04-19</t>
        </is>
      </c>
      <c r="O4373" t="inlineStr">
        <is>
          <t>AI</t>
        </is>
      </c>
    </row>
    <row r="4374">
      <c r="A4374" t="inlineStr">
        <is>
          <t>PT Pulau Subur Tbk</t>
        </is>
      </c>
      <c r="B4374" t="inlineStr">
        <is>
          <t>PTPS_2024_AR.pdf</t>
        </is>
      </c>
      <c r="C4374" t="n">
        <v>2024</v>
      </c>
      <c r="D4374" t="inlineStr">
        <is>
          <t>Asset</t>
        </is>
      </c>
      <c r="E4374" t="inlineStr">
        <is>
          <t>Banyuasin Operational Area</t>
        </is>
      </c>
      <c r="F4374" t="n">
        <v>600</v>
      </c>
      <c r="G4374" t="inlineStr">
        <is>
          <t>ha</t>
        </is>
      </c>
      <c r="H4374" t="n">
        <v>59</v>
      </c>
      <c r="I4374" t="inlineStr">
        <is>
          <t>memenuhi izin lokasi sebesar 600,00 Ha</t>
        </is>
      </c>
      <c r="J4374" t="inlineStr">
        <is>
          <t>High</t>
        </is>
      </c>
      <c r="M4374" t="inlineStr">
        <is>
          <t>LLM</t>
        </is>
      </c>
      <c r="N4374" t="inlineStr">
        <is>
          <t>2026-04-19</t>
        </is>
      </c>
      <c r="O4374" t="inlineStr">
        <is>
          <t>AI</t>
        </is>
      </c>
    </row>
    <row r="4375">
      <c r="A4375" t="inlineStr">
        <is>
          <t>PT Pulau Subur Tbk</t>
        </is>
      </c>
      <c r="B4375" t="inlineStr">
        <is>
          <t>PTPS_2024_AR.pdf</t>
        </is>
      </c>
      <c r="C4375" t="n">
        <v>2024</v>
      </c>
      <c r="D4375" t="inlineStr">
        <is>
          <t>Asset</t>
        </is>
      </c>
      <c r="E4375" t="inlineStr">
        <is>
          <t>OKI Operational Area</t>
        </is>
      </c>
      <c r="F4375" t="n">
        <v>580.39</v>
      </c>
      <c r="G4375" t="inlineStr">
        <is>
          <t>ha</t>
        </is>
      </c>
      <c r="H4375" t="n">
        <v>59</v>
      </c>
      <c r="I4375" t="inlineStr">
        <is>
          <t>memenuhi izin lokasi sebesar 580,39 Ha</t>
        </is>
      </c>
      <c r="J4375" t="inlineStr">
        <is>
          <t>High</t>
        </is>
      </c>
      <c r="M4375" t="inlineStr">
        <is>
          <t>LLM</t>
        </is>
      </c>
      <c r="N4375" t="inlineStr">
        <is>
          <t>2026-04-19</t>
        </is>
      </c>
      <c r="O4375" t="inlineStr">
        <is>
          <t>AI</t>
        </is>
      </c>
    </row>
    <row r="4376">
      <c r="A4376" t="inlineStr">
        <is>
          <t>PT Pulau Subur Tbk</t>
        </is>
      </c>
      <c r="B4376" t="inlineStr">
        <is>
          <t>PTPS_2024_AR.pdf</t>
        </is>
      </c>
      <c r="C4376" t="n">
        <v>2024</v>
      </c>
      <c r="D4376" t="inlineStr">
        <is>
          <t>Asset</t>
        </is>
      </c>
      <c r="E4376" t="inlineStr">
        <is>
          <t>Plantation Locations</t>
        </is>
      </c>
      <c r="F4376" t="inlineStr">
        <is>
          <t>Desa Gelebak Dalam (Rambutan, Banyuasin) &amp; Desa Sukadarma (Jejawi, OKI), South Sumatra</t>
        </is>
      </c>
      <c r="G4376" t="inlineStr">
        <is>
          <t>text</t>
        </is>
      </c>
      <c r="H4376" t="n">
        <v>42</v>
      </c>
      <c r="I4376" t="inlineStr">
        <is>
          <t>perkebunan Kelapa Sawit pada 2 lokasi yaitu : Desa Gelebak Dalam ... dan Desa Sukadarma</t>
        </is>
      </c>
      <c r="J4376" t="inlineStr">
        <is>
          <t>High</t>
        </is>
      </c>
      <c r="M4376" t="inlineStr">
        <is>
          <t>LLM</t>
        </is>
      </c>
      <c r="N4376" t="inlineStr">
        <is>
          <t>2026-04-19</t>
        </is>
      </c>
      <c r="O4376" t="inlineStr">
        <is>
          <t>AI</t>
        </is>
      </c>
    </row>
    <row r="4377">
      <c r="A4377" t="inlineStr">
        <is>
          <t>PT Pulau Subur Tbk</t>
        </is>
      </c>
      <c r="B4377" t="inlineStr">
        <is>
          <t>PTPS_2024_AR.pdf</t>
        </is>
      </c>
      <c r="C4377" t="n">
        <v>2024</v>
      </c>
      <c r="D4377" t="inlineStr">
        <is>
          <t>Asset</t>
        </is>
      </c>
      <c r="E4377" t="inlineStr">
        <is>
          <t>Palm Oil Mill Under Construction Capacity</t>
        </is>
      </c>
      <c r="F4377" t="n">
        <v>10</v>
      </c>
      <c r="G4377" t="inlineStr">
        <is>
          <t>tph</t>
        </is>
      </c>
      <c r="H4377" t="n">
        <v>68</v>
      </c>
      <c r="I4377" t="inlineStr">
        <is>
          <t>pembangunan pabrik pengolahan kelapa sawit (PKS) kapasitas 10 ton per jam</t>
        </is>
      </c>
      <c r="J4377" t="inlineStr">
        <is>
          <t>High</t>
        </is>
      </c>
      <c r="M4377" t="inlineStr">
        <is>
          <t>LLM</t>
        </is>
      </c>
      <c r="N4377" t="inlineStr">
        <is>
          <t>2026-04-19</t>
        </is>
      </c>
      <c r="O4377" t="inlineStr">
        <is>
          <t>AI</t>
        </is>
      </c>
    </row>
    <row r="4378">
      <c r="A4378" t="inlineStr">
        <is>
          <t>PT Pulau Subur Tbk</t>
        </is>
      </c>
      <c r="B4378" t="inlineStr">
        <is>
          <t>PTPS_2024_AR.pdf</t>
        </is>
      </c>
      <c r="C4378" t="n">
        <v>2024</v>
      </c>
      <c r="D4378" t="inlineStr">
        <is>
          <t>Asset</t>
        </is>
      </c>
      <c r="E4378" t="inlineStr">
        <is>
          <t>Palm Oil Mill Construction Progress</t>
        </is>
      </c>
      <c r="F4378" t="n">
        <v>0.83</v>
      </c>
      <c r="G4378" t="inlineStr">
        <is>
          <t>%</t>
        </is>
      </c>
      <c r="H4378" t="n">
        <v>27</v>
      </c>
      <c r="I4378" t="inlineStr">
        <is>
          <t>proses pembangunan telah mulai di kerjakan sejak bulan MARET 2024, secara progress sudah mencapai 83%</t>
        </is>
      </c>
      <c r="J4378" t="inlineStr">
        <is>
          <t>High</t>
        </is>
      </c>
      <c r="M4378" t="inlineStr">
        <is>
          <t>LLM</t>
        </is>
      </c>
      <c r="N4378" t="inlineStr">
        <is>
          <t>2026-04-19</t>
        </is>
      </c>
      <c r="O4378" t="inlineStr">
        <is>
          <t>AI</t>
        </is>
      </c>
    </row>
    <row r="4379">
      <c r="A4379" t="inlineStr">
        <is>
          <t>PT Pulau Subur Tbk</t>
        </is>
      </c>
      <c r="B4379" t="inlineStr">
        <is>
          <t>PTPS_2024_AR.pdf</t>
        </is>
      </c>
      <c r="C4379" t="n">
        <v>2024</v>
      </c>
      <c r="D4379" t="inlineStr">
        <is>
          <t>Asset</t>
        </is>
      </c>
      <c r="E4379" t="inlineStr">
        <is>
          <t>Palm Oil Mill Target Operational</t>
        </is>
      </c>
      <c r="F4379" t="inlineStr">
        <is>
          <t>Q1 2026</t>
        </is>
      </c>
      <c r="G4379" t="inlineStr">
        <is>
          <t>date</t>
        </is>
      </c>
      <c r="H4379" t="n">
        <v>27</v>
      </c>
      <c r="I4379" t="inlineStr">
        <is>
          <t>mulai beroperasi pada kwartal pertama tahun 2026</t>
        </is>
      </c>
      <c r="J4379" t="inlineStr">
        <is>
          <t>High</t>
        </is>
      </c>
      <c r="M4379" t="inlineStr">
        <is>
          <t>LLM</t>
        </is>
      </c>
      <c r="N4379" t="inlineStr">
        <is>
          <t>2026-04-19</t>
        </is>
      </c>
      <c r="O4379" t="inlineStr">
        <is>
          <t>AI</t>
        </is>
      </c>
    </row>
    <row r="4380">
      <c r="A4380" t="inlineStr">
        <is>
          <t>PT Pulau Subur Tbk</t>
        </is>
      </c>
      <c r="B4380" t="inlineStr">
        <is>
          <t>PTPS_2024_AR.pdf</t>
        </is>
      </c>
      <c r="C4380" t="n">
        <v>2024</v>
      </c>
      <c r="D4380" t="inlineStr">
        <is>
          <t>Operation</t>
        </is>
      </c>
      <c r="E4380" t="inlineStr">
        <is>
          <t>FFB Production Volume</t>
        </is>
      </c>
      <c r="F4380" t="n">
        <v>22461</v>
      </c>
      <c r="G4380" t="inlineStr">
        <is>
          <t>t</t>
        </is>
      </c>
      <c r="H4380" t="n">
        <v>60</v>
      </c>
      <c r="I4380" t="inlineStr">
        <is>
          <t>Volume (Ton) 22.461 26.037 (13,73)</t>
        </is>
      </c>
      <c r="J4380" t="inlineStr">
        <is>
          <t>High</t>
        </is>
      </c>
      <c r="M4380" t="inlineStr">
        <is>
          <t>LLM</t>
        </is>
      </c>
      <c r="N4380" t="inlineStr">
        <is>
          <t>2026-04-19</t>
        </is>
      </c>
      <c r="O4380" t="inlineStr">
        <is>
          <t>AI</t>
        </is>
      </c>
    </row>
    <row r="4381">
      <c r="A4381" t="inlineStr">
        <is>
          <t>PT Pulau Subur Tbk</t>
        </is>
      </c>
      <c r="B4381" t="inlineStr">
        <is>
          <t>PTPS_2024_AR.pdf</t>
        </is>
      </c>
      <c r="C4381" t="n">
        <v>2024</v>
      </c>
      <c r="D4381" t="inlineStr">
        <is>
          <t>Operation</t>
        </is>
      </c>
      <c r="E4381" t="inlineStr">
        <is>
          <t>FFB Sales Volume</t>
        </is>
      </c>
      <c r="F4381" t="n">
        <v>21362</v>
      </c>
      <c r="G4381" t="inlineStr">
        <is>
          <t>t</t>
        </is>
      </c>
      <c r="H4381" t="n">
        <v>128</v>
      </c>
      <c r="I4381" t="inlineStr">
        <is>
          <t>Penjualan Ton 21.362 25.476 26.894</t>
        </is>
      </c>
      <c r="J4381" t="inlineStr">
        <is>
          <t>High</t>
        </is>
      </c>
      <c r="M4381" t="inlineStr">
        <is>
          <t>LLM</t>
        </is>
      </c>
      <c r="N4381" t="inlineStr">
        <is>
          <t>2026-04-19</t>
        </is>
      </c>
      <c r="O4381" t="inlineStr">
        <is>
          <t>AI</t>
        </is>
      </c>
    </row>
    <row r="4382">
      <c r="A4382" t="inlineStr">
        <is>
          <t>PT Pulau Subur Tbk</t>
        </is>
      </c>
      <c r="B4382" t="inlineStr">
        <is>
          <t>PTPS_2024_AR.pdf</t>
        </is>
      </c>
      <c r="C4382" t="n">
        <v>2024</v>
      </c>
      <c r="D4382" t="inlineStr">
        <is>
          <t>Operation</t>
        </is>
      </c>
      <c r="E4382" t="inlineStr">
        <is>
          <t>FFB Production YoY Growth</t>
        </is>
      </c>
      <c r="F4382" t="n">
        <v>-0.1373</v>
      </c>
      <c r="G4382" t="inlineStr">
        <is>
          <t>%</t>
        </is>
      </c>
      <c r="H4382" t="n">
        <v>60</v>
      </c>
      <c r="I4382" t="inlineStr">
        <is>
          <t>Volume (Ton) 22.461 26.037 (13,73)</t>
        </is>
      </c>
      <c r="J4382" t="inlineStr">
        <is>
          <t>High</t>
        </is>
      </c>
      <c r="M4382" t="inlineStr">
        <is>
          <t>LLM</t>
        </is>
      </c>
      <c r="N4382" t="inlineStr">
        <is>
          <t>2026-04-19</t>
        </is>
      </c>
      <c r="O4382" t="inlineStr">
        <is>
          <t>AI</t>
        </is>
      </c>
    </row>
    <row r="4383">
      <c r="A4383" t="inlineStr">
        <is>
          <t>PT Pulau Subur Tbk</t>
        </is>
      </c>
      <c r="B4383" t="inlineStr">
        <is>
          <t>PTPS_2024_AR.pdf</t>
        </is>
      </c>
      <c r="C4383" t="n">
        <v>2024</v>
      </c>
      <c r="D4383" t="inlineStr">
        <is>
          <t>Operation</t>
        </is>
      </c>
      <c r="E4383" t="inlineStr">
        <is>
          <t>Average FFB Price Increase</t>
        </is>
      </c>
      <c r="F4383" t="n">
        <v>0.158</v>
      </c>
      <c r="G4383" t="inlineStr">
        <is>
          <t>%</t>
        </is>
      </c>
      <c r="H4383" t="n">
        <v>20</v>
      </c>
      <c r="I4383" t="inlineStr">
        <is>
          <t>kenaikan harga jual rata-rata TBS sebesar 15.8%</t>
        </is>
      </c>
      <c r="J4383" t="inlineStr">
        <is>
          <t>High</t>
        </is>
      </c>
      <c r="M4383" t="inlineStr">
        <is>
          <t>LLM</t>
        </is>
      </c>
      <c r="N4383" t="inlineStr">
        <is>
          <t>2026-04-19</t>
        </is>
      </c>
      <c r="O4383" t="inlineStr">
        <is>
          <t>AI</t>
        </is>
      </c>
    </row>
    <row r="4384">
      <c r="A4384" t="inlineStr">
        <is>
          <t>PT Pulau Subur Tbk</t>
        </is>
      </c>
      <c r="B4384" t="inlineStr">
        <is>
          <t>PTPS_2024_AR.pdf</t>
        </is>
      </c>
      <c r="C4384" t="n">
        <v>2024</v>
      </c>
      <c r="D4384" t="inlineStr">
        <is>
          <t>Operation</t>
        </is>
      </c>
      <c r="E4384" t="inlineStr">
        <is>
          <t>FFB Buyers</t>
        </is>
      </c>
      <c r="F4384" t="inlineStr">
        <is>
          <t>PT GAS, PT DSAP (and others)</t>
        </is>
      </c>
      <c r="G4384" t="inlineStr">
        <is>
          <t>text</t>
        </is>
      </c>
      <c r="H4384" t="n">
        <v>60</v>
      </c>
      <c r="I4384" t="inlineStr">
        <is>
          <t>perseroan menjual TBS kepada PT GAS, PT DSAP serta beberapa pihak lainnya</t>
        </is>
      </c>
      <c r="J4384" t="inlineStr">
        <is>
          <t>High</t>
        </is>
      </c>
      <c r="M4384" t="inlineStr">
        <is>
          <t>LLM</t>
        </is>
      </c>
      <c r="N4384" t="inlineStr">
        <is>
          <t>2026-04-19</t>
        </is>
      </c>
      <c r="O4384" t="inlineStr">
        <is>
          <t>AI</t>
        </is>
      </c>
    </row>
    <row r="4385">
      <c r="A4385" t="inlineStr">
        <is>
          <t>PT Pulau Subur Tbk</t>
        </is>
      </c>
      <c r="B4385" t="inlineStr">
        <is>
          <t>PTPS_2024_AR.pdf</t>
        </is>
      </c>
      <c r="C4385" t="n">
        <v>2024</v>
      </c>
      <c r="D4385" t="inlineStr">
        <is>
          <t>Operation</t>
        </is>
      </c>
      <c r="E4385" t="inlineStr">
        <is>
          <t>Business Activity Code</t>
        </is>
      </c>
      <c r="F4385" t="inlineStr">
        <is>
          <t>KBLI 01262</t>
        </is>
      </c>
      <c r="G4385" t="inlineStr">
        <is>
          <t>text</t>
        </is>
      </c>
      <c r="H4385" t="n">
        <v>38</v>
      </c>
      <c r="I4385" t="inlineStr">
        <is>
          <t>Kode KBLI 01262, yaitu aktivitas Perkebunan Buah Kelapa Sawit</t>
        </is>
      </c>
      <c r="J4385" t="inlineStr">
        <is>
          <t>High</t>
        </is>
      </c>
      <c r="M4385" t="inlineStr">
        <is>
          <t>LLM</t>
        </is>
      </c>
      <c r="N4385" t="inlineStr">
        <is>
          <t>2026-04-19</t>
        </is>
      </c>
      <c r="O4385" t="inlineStr">
        <is>
          <t>AI</t>
        </is>
      </c>
    </row>
    <row r="4386">
      <c r="A4386" t="inlineStr">
        <is>
          <t>PT Pulau Subur Tbk</t>
        </is>
      </c>
      <c r="B4386" t="inlineStr">
        <is>
          <t>PTPS_2024_AR.pdf</t>
        </is>
      </c>
      <c r="C4386" t="n">
        <v>2024</v>
      </c>
      <c r="D4386" t="inlineStr">
        <is>
          <t>Operation</t>
        </is>
      </c>
      <c r="E4386" t="inlineStr">
        <is>
          <t>Local Suppliers</t>
        </is>
      </c>
      <c r="F4386" t="n">
        <v>43</v>
      </c>
      <c r="G4386" t="inlineStr">
        <is>
          <t>count</t>
        </is>
      </c>
      <c r="H4386" t="n">
        <v>128</v>
      </c>
      <c r="I4386" t="inlineStr">
        <is>
          <t>Pemasok Lokal Mitra Usaha 43 43 54</t>
        </is>
      </c>
      <c r="J4386" t="inlineStr">
        <is>
          <t>High</t>
        </is>
      </c>
      <c r="M4386" t="inlineStr">
        <is>
          <t>LLM</t>
        </is>
      </c>
      <c r="N4386" t="inlineStr">
        <is>
          <t>2026-04-19</t>
        </is>
      </c>
      <c r="O4386" t="inlineStr">
        <is>
          <t>AI</t>
        </is>
      </c>
    </row>
    <row r="4387">
      <c r="A4387" t="inlineStr">
        <is>
          <t>PT Pulau Subur Tbk</t>
        </is>
      </c>
      <c r="B4387" t="inlineStr">
        <is>
          <t>PTPS_2024_AR.pdf</t>
        </is>
      </c>
      <c r="C4387" t="n">
        <v>2024</v>
      </c>
      <c r="D4387" t="inlineStr">
        <is>
          <t>Operation</t>
        </is>
      </c>
      <c r="E4387" t="inlineStr">
        <is>
          <t>National Suppliers</t>
        </is>
      </c>
      <c r="F4387" t="n">
        <v>3</v>
      </c>
      <c r="G4387" t="inlineStr">
        <is>
          <t>count</t>
        </is>
      </c>
      <c r="H4387" t="n">
        <v>128</v>
      </c>
      <c r="I4387" t="inlineStr">
        <is>
          <t>Pemasok Nasional Mitra Usaha 3 3 2</t>
        </is>
      </c>
      <c r="J4387" t="inlineStr">
        <is>
          <t>High</t>
        </is>
      </c>
      <c r="M4387" t="inlineStr">
        <is>
          <t>LLM</t>
        </is>
      </c>
      <c r="N4387" t="inlineStr">
        <is>
          <t>2026-04-19</t>
        </is>
      </c>
      <c r="O4387" t="inlineStr">
        <is>
          <t>AI</t>
        </is>
      </c>
    </row>
    <row r="4388">
      <c r="A4388" t="inlineStr">
        <is>
          <t>PT Pulau Subur Tbk</t>
        </is>
      </c>
      <c r="B4388" t="inlineStr">
        <is>
          <t>PTPS_2024_AR.pdf</t>
        </is>
      </c>
      <c r="C4388" t="n">
        <v>2024</v>
      </c>
      <c r="D4388" t="inlineStr">
        <is>
          <t>Operation</t>
        </is>
      </c>
      <c r="E4388" t="inlineStr">
        <is>
          <t>Average Receivables Collection Days</t>
        </is>
      </c>
      <c r="F4388" t="n">
        <v>14</v>
      </c>
      <c r="G4388" t="inlineStr">
        <is>
          <t>days</t>
        </is>
      </c>
      <c r="H4388" t="n">
        <v>67</v>
      </c>
      <c r="I4388" t="inlineStr">
        <is>
          <t>rata-rata lama penagihan piutang Perseroan di tahun 2024, yaitu selama 14 hari</t>
        </is>
      </c>
      <c r="J4388" t="inlineStr">
        <is>
          <t>High</t>
        </is>
      </c>
      <c r="M4388" t="inlineStr">
        <is>
          <t>LLM</t>
        </is>
      </c>
      <c r="N4388" t="inlineStr">
        <is>
          <t>2026-04-19</t>
        </is>
      </c>
      <c r="O4388" t="inlineStr">
        <is>
          <t>AI</t>
        </is>
      </c>
    </row>
    <row r="4389">
      <c r="A4389" t="inlineStr">
        <is>
          <t>PT Pulau Subur Tbk</t>
        </is>
      </c>
      <c r="B4389" t="inlineStr">
        <is>
          <t>PTPS_2024_AR.pdf</t>
        </is>
      </c>
      <c r="C4389" t="n">
        <v>2024</v>
      </c>
      <c r="D4389" t="inlineStr">
        <is>
          <t>ESG</t>
        </is>
      </c>
      <c r="E4389" t="inlineStr">
        <is>
          <t>Electrical Energy Consumption</t>
        </is>
      </c>
      <c r="F4389" t="n">
        <v>276017</v>
      </c>
      <c r="G4389" t="inlineStr">
        <is>
          <t>kWh</t>
        </is>
      </c>
      <c r="H4389" t="n">
        <v>129</v>
      </c>
      <c r="I4389" t="inlineStr">
        <is>
          <t>Energi Listrik Kwh 276.017 230.898 341.567</t>
        </is>
      </c>
      <c r="J4389" t="inlineStr">
        <is>
          <t>High</t>
        </is>
      </c>
      <c r="M4389" t="inlineStr">
        <is>
          <t>LLM</t>
        </is>
      </c>
      <c r="N4389" t="inlineStr">
        <is>
          <t>2026-04-19</t>
        </is>
      </c>
      <c r="O4389" t="inlineStr">
        <is>
          <t>AI</t>
        </is>
      </c>
    </row>
    <row r="4390">
      <c r="A4390" t="inlineStr">
        <is>
          <t>PT Pulau Subur Tbk</t>
        </is>
      </c>
      <c r="B4390" t="inlineStr">
        <is>
          <t>PTPS_2024_AR.pdf</t>
        </is>
      </c>
      <c r="C4390" t="n">
        <v>2024</v>
      </c>
      <c r="D4390" t="inlineStr">
        <is>
          <t>ESG</t>
        </is>
      </c>
      <c r="E4390" t="inlineStr">
        <is>
          <t>Water Use</t>
        </is>
      </c>
      <c r="F4390" t="n">
        <v>2853.54</v>
      </c>
      <c r="G4390" t="inlineStr">
        <is>
          <t>L</t>
        </is>
      </c>
      <c r="H4390" t="n">
        <v>129</v>
      </c>
      <c r="I4390" t="inlineStr">
        <is>
          <t>Energi Air Liter 2.853,54 2.652,46</t>
        </is>
      </c>
      <c r="J4390" t="inlineStr">
        <is>
          <t>High</t>
        </is>
      </c>
      <c r="M4390" t="inlineStr">
        <is>
          <t>LLM</t>
        </is>
      </c>
      <c r="N4390" t="inlineStr">
        <is>
          <t>2026-04-19</t>
        </is>
      </c>
      <c r="O4390" t="inlineStr">
        <is>
          <t>AI</t>
        </is>
      </c>
    </row>
    <row r="4391">
      <c r="A4391" t="inlineStr">
        <is>
          <t>PT Pulau Subur Tbk</t>
        </is>
      </c>
      <c r="B4391" t="inlineStr">
        <is>
          <t>PTPS_2024_AR.pdf</t>
        </is>
      </c>
      <c r="C4391" t="n">
        <v>2024</v>
      </c>
      <c r="D4391" t="inlineStr">
        <is>
          <t>ESG</t>
        </is>
      </c>
      <c r="E4391" t="inlineStr">
        <is>
          <t>Waste Generated</t>
        </is>
      </c>
      <c r="F4391" t="n">
        <v>1920</v>
      </c>
      <c r="G4391" t="inlineStr">
        <is>
          <t>kg</t>
        </is>
      </c>
      <c r="H4391" t="n">
        <v>129</v>
      </c>
      <c r="I4391" t="inlineStr">
        <is>
          <t>Jumlah Limbah Kg 1.920 600 592</t>
        </is>
      </c>
      <c r="J4391" t="inlineStr">
        <is>
          <t>High</t>
        </is>
      </c>
      <c r="M4391" t="inlineStr">
        <is>
          <t>LLM</t>
        </is>
      </c>
      <c r="N4391" t="inlineStr">
        <is>
          <t>2026-04-19</t>
        </is>
      </c>
      <c r="O4391" t="inlineStr">
        <is>
          <t>AI</t>
        </is>
      </c>
    </row>
    <row r="4392">
      <c r="A4392" t="inlineStr">
        <is>
          <t>PT Pulau Subur Tbk</t>
        </is>
      </c>
      <c r="B4392" t="inlineStr">
        <is>
          <t>PTPS_2024_AR.pdf</t>
        </is>
      </c>
      <c r="C4392" t="n">
        <v>2024</v>
      </c>
      <c r="D4392" t="inlineStr">
        <is>
          <t>ESG</t>
        </is>
      </c>
      <c r="E4392" t="inlineStr">
        <is>
          <t>Female Employees</t>
        </is>
      </c>
      <c r="F4392" t="n">
        <v>7</v>
      </c>
      <c r="G4392" t="inlineStr">
        <is>
          <t>persons</t>
        </is>
      </c>
      <c r="H4392" t="n">
        <v>129</v>
      </c>
      <c r="I4392" t="inlineStr">
        <is>
          <t>Total Karyawan Wanita 7 7 6</t>
        </is>
      </c>
      <c r="J4392" t="inlineStr">
        <is>
          <t>High</t>
        </is>
      </c>
      <c r="M4392" t="inlineStr">
        <is>
          <t>LLM</t>
        </is>
      </c>
      <c r="N4392" t="inlineStr">
        <is>
          <t>2026-04-19</t>
        </is>
      </c>
      <c r="O4392" t="inlineStr">
        <is>
          <t>AI</t>
        </is>
      </c>
    </row>
    <row r="4393">
      <c r="A4393" t="inlineStr">
        <is>
          <t>PT Pulau Subur Tbk</t>
        </is>
      </c>
      <c r="B4393" t="inlineStr">
        <is>
          <t>PTPS_2024_AR.pdf</t>
        </is>
      </c>
      <c r="C4393" t="n">
        <v>2024</v>
      </c>
      <c r="D4393" t="inlineStr">
        <is>
          <t>ESG</t>
        </is>
      </c>
      <c r="E4393" t="inlineStr">
        <is>
          <t>Industry Association Membership</t>
        </is>
      </c>
      <c r="F4393" t="inlineStr">
        <is>
          <t>None</t>
        </is>
      </c>
      <c r="G4393" t="inlineStr">
        <is>
          <t>text</t>
        </is>
      </c>
      <c r="H4393" t="n">
        <v>39</v>
      </c>
      <c r="I4393" t="inlineStr">
        <is>
          <t>Sepanjang tahun 2024, Perseroan belum menjadi anggota dalam asosiasi industri</t>
        </is>
      </c>
      <c r="J4393" t="inlineStr">
        <is>
          <t>High</t>
        </is>
      </c>
      <c r="M4393" t="inlineStr">
        <is>
          <t>LLM</t>
        </is>
      </c>
      <c r="N4393" t="inlineStr">
        <is>
          <t>2026-04-19</t>
        </is>
      </c>
      <c r="O4393" t="inlineStr">
        <is>
          <t>AI</t>
        </is>
      </c>
    </row>
    <row r="4394">
      <c r="A4394" t="inlineStr">
        <is>
          <t>PT Pulau Subur Tbk</t>
        </is>
      </c>
      <c r="B4394" t="inlineStr">
        <is>
          <t>PTPS_2024_AR.pdf</t>
        </is>
      </c>
      <c r="C4394" t="n">
        <v>2024</v>
      </c>
      <c r="D4394" t="inlineStr">
        <is>
          <t>Other</t>
        </is>
      </c>
      <c r="E4394" t="inlineStr">
        <is>
          <t>Dividend Payout Policy</t>
        </is>
      </c>
      <c r="F4394" t="inlineStr">
        <is>
          <t>Up to 30% of net profit</t>
        </is>
      </c>
      <c r="G4394" t="inlineStr">
        <is>
          <t>text</t>
        </is>
      </c>
      <c r="H4394" t="n">
        <v>69</v>
      </c>
      <c r="I4394" t="inlineStr">
        <is>
          <t>manajemen Perseroan berencana untuk membagikan dividen tunai kepada pemegang saham hingga maksimal 30% dari laba bersih tahun berjalan</t>
        </is>
      </c>
      <c r="J4394" t="inlineStr">
        <is>
          <t>High</t>
        </is>
      </c>
      <c r="M4394" t="inlineStr">
        <is>
          <t>LLM</t>
        </is>
      </c>
      <c r="N4394" t="inlineStr">
        <is>
          <t>2026-04-19</t>
        </is>
      </c>
      <c r="O4394" t="inlineStr">
        <is>
          <t>AI</t>
        </is>
      </c>
    </row>
    <row r="4395">
      <c r="A4395" t="inlineStr">
        <is>
          <t>PT Pulau Subur Tbk</t>
        </is>
      </c>
      <c r="B4395" t="inlineStr">
        <is>
          <t>PTPS_2024_AR.pdf</t>
        </is>
      </c>
      <c r="C4395" t="n">
        <v>2024</v>
      </c>
      <c r="D4395" t="inlineStr">
        <is>
          <t>Other</t>
        </is>
      </c>
      <c r="E4395" t="inlineStr">
        <is>
          <t>2025 Revenue Projection</t>
        </is>
      </c>
      <c r="F4395" t="n">
        <v>66.76000000000001</v>
      </c>
      <c r="G4395" t="inlineStr">
        <is>
          <t>IDR bn</t>
        </is>
      </c>
      <c r="H4395" t="n">
        <v>71</v>
      </c>
      <c r="I4395" t="inlineStr">
        <is>
          <t>Penjualan 66,758,843,807 (2025 Projection)</t>
        </is>
      </c>
      <c r="J4395" t="inlineStr">
        <is>
          <t>High</t>
        </is>
      </c>
      <c r="M4395" t="inlineStr">
        <is>
          <t>LLM</t>
        </is>
      </c>
      <c r="N4395" t="inlineStr">
        <is>
          <t>2026-04-19</t>
        </is>
      </c>
      <c r="O4395" t="inlineStr">
        <is>
          <t>AI</t>
        </is>
      </c>
    </row>
    <row r="4396">
      <c r="A4396" t="inlineStr">
        <is>
          <t>PT Pulau Subur Tbk</t>
        </is>
      </c>
      <c r="B4396" t="inlineStr">
        <is>
          <t>PTPS_2024_AR.pdf</t>
        </is>
      </c>
      <c r="C4396" t="n">
        <v>2024</v>
      </c>
      <c r="D4396" t="inlineStr">
        <is>
          <t>Other</t>
        </is>
      </c>
      <c r="E4396" t="inlineStr">
        <is>
          <t>2025 Production Target</t>
        </is>
      </c>
      <c r="F4396" t="n">
        <v>24375</v>
      </c>
      <c r="G4396" t="inlineStr">
        <is>
          <t>t</t>
        </is>
      </c>
      <c r="H4396" t="n">
        <v>71</v>
      </c>
      <c r="I4396" t="inlineStr">
        <is>
          <t>Kapasitas Produksi (Ton) 24,375 (2025 Projection)</t>
        </is>
      </c>
      <c r="J4396" t="inlineStr">
        <is>
          <t>High</t>
        </is>
      </c>
      <c r="M4396" t="inlineStr">
        <is>
          <t>LLM</t>
        </is>
      </c>
      <c r="N4396" t="inlineStr">
        <is>
          <t>2026-04-19</t>
        </is>
      </c>
      <c r="O4396" t="inlineStr">
        <is>
          <t>AI</t>
        </is>
      </c>
    </row>
    <row r="4397">
      <c r="A4397" t="inlineStr">
        <is>
          <t>PT Sampoerna Agro Tbk</t>
        </is>
      </c>
      <c r="B4397" t="inlineStr">
        <is>
          <t>SGRO_2022_AR.pdf</t>
        </is>
      </c>
      <c r="C4397" t="n">
        <v>2022</v>
      </c>
      <c r="D4397" t="inlineStr">
        <is>
          <t>Company</t>
        </is>
      </c>
      <c r="E4397" t="inlineStr">
        <is>
          <t>Company Name</t>
        </is>
      </c>
      <c r="F4397" t="inlineStr">
        <is>
          <t>PT Sampoerna Agro Tbk</t>
        </is>
      </c>
      <c r="G4397" t="inlineStr">
        <is>
          <t>text</t>
        </is>
      </c>
      <c r="H4397" t="n">
        <v>1</v>
      </c>
      <c r="I4397" t="inlineStr">
        <is>
          <t>PT Sampoerna Agro Tbk</t>
        </is>
      </c>
      <c r="J4397" t="inlineStr">
        <is>
          <t>High</t>
        </is>
      </c>
      <c r="M4397" t="inlineStr">
        <is>
          <t>LLM</t>
        </is>
      </c>
      <c r="N4397" t="inlineStr">
        <is>
          <t>2026-04-19</t>
        </is>
      </c>
      <c r="O4397" t="inlineStr">
        <is>
          <t>AI</t>
        </is>
      </c>
    </row>
    <row r="4398">
      <c r="A4398" t="inlineStr">
        <is>
          <t>PT Sampoerna Agro Tbk</t>
        </is>
      </c>
      <c r="B4398" t="inlineStr">
        <is>
          <t>SGRO_2022_AR.pdf</t>
        </is>
      </c>
      <c r="C4398" t="n">
        <v>2022</v>
      </c>
      <c r="D4398" t="inlineStr">
        <is>
          <t>Company</t>
        </is>
      </c>
      <c r="E4398" t="inlineStr">
        <is>
          <t>Stock Ticker</t>
        </is>
      </c>
      <c r="F4398" t="inlineStr">
        <is>
          <t>SGRO</t>
        </is>
      </c>
      <c r="G4398" t="inlineStr">
        <is>
          <t>text</t>
        </is>
      </c>
      <c r="H4398" t="n">
        <v>71</v>
      </c>
      <c r="I4398" t="inlineStr">
        <is>
          <t>SGRO</t>
        </is>
      </c>
      <c r="J4398" t="inlineStr">
        <is>
          <t>High</t>
        </is>
      </c>
      <c r="M4398" t="inlineStr">
        <is>
          <t>LLM</t>
        </is>
      </c>
      <c r="N4398" t="inlineStr">
        <is>
          <t>2026-04-19</t>
        </is>
      </c>
      <c r="O4398" t="inlineStr">
        <is>
          <t>AI</t>
        </is>
      </c>
    </row>
    <row r="4399">
      <c r="A4399" t="inlineStr">
        <is>
          <t>PT Sampoerna Agro Tbk</t>
        </is>
      </c>
      <c r="B4399" t="inlineStr">
        <is>
          <t>SGRO_2022_AR.pdf</t>
        </is>
      </c>
      <c r="C4399" t="n">
        <v>2022</v>
      </c>
      <c r="D4399" t="inlineStr">
        <is>
          <t>Company</t>
        </is>
      </c>
      <c r="E4399" t="inlineStr">
        <is>
          <t>HQ Address</t>
        </is>
      </c>
      <c r="F4399" t="inlineStr">
        <is>
          <t>Jalan Basuki Rahmat No. 788, Palembang, Sumatera Selatan 30128</t>
        </is>
      </c>
      <c r="G4399" t="inlineStr">
        <is>
          <t>text</t>
        </is>
      </c>
      <c r="H4399" t="n">
        <v>1</v>
      </c>
      <c r="I4399" t="inlineStr">
        <is>
          <t>Palembang, Sumatera Selatan 30128 Indonesia</t>
        </is>
      </c>
      <c r="J4399" t="inlineStr">
        <is>
          <t>High</t>
        </is>
      </c>
      <c r="M4399" t="inlineStr">
        <is>
          <t>LLM</t>
        </is>
      </c>
      <c r="N4399" t="inlineStr">
        <is>
          <t>2026-04-19</t>
        </is>
      </c>
      <c r="O4399" t="inlineStr">
        <is>
          <t>AI</t>
        </is>
      </c>
    </row>
    <row r="4400">
      <c r="A4400" t="inlineStr">
        <is>
          <t>PT Sampoerna Agro Tbk</t>
        </is>
      </c>
      <c r="B4400" t="inlineStr">
        <is>
          <t>SGRO_2022_AR.pdf</t>
        </is>
      </c>
      <c r="C4400" t="n">
        <v>2022</v>
      </c>
      <c r="D4400" t="inlineStr">
        <is>
          <t>Company</t>
        </is>
      </c>
      <c r="E4400" t="inlineStr">
        <is>
          <t>Controlling Shareholder</t>
        </is>
      </c>
      <c r="F4400" t="inlineStr">
        <is>
          <t>Sampoerna Agri Resources Pte Ltd 69.68%</t>
        </is>
      </c>
      <c r="G4400" t="inlineStr">
        <is>
          <t>%</t>
        </is>
      </c>
      <c r="H4400" t="n">
        <v>73</v>
      </c>
      <c r="I4400" t="inlineStr">
        <is>
          <t>Pemegang saham utama dan pengendali ... adalah Sampoerna Agri Resources Pte Ltd, perusahaan yang berkedudukan di Singapura, dengan kepemilikan saham Perseroan sebanyak 69,68%</t>
        </is>
      </c>
      <c r="J4400" t="inlineStr">
        <is>
          <t>High</t>
        </is>
      </c>
      <c r="M4400" t="inlineStr">
        <is>
          <t>LLM</t>
        </is>
      </c>
      <c r="N4400" t="inlineStr">
        <is>
          <t>2026-04-19</t>
        </is>
      </c>
      <c r="O4400" t="inlineStr">
        <is>
          <t>AI</t>
        </is>
      </c>
    </row>
    <row r="4401">
      <c r="A4401" t="inlineStr">
        <is>
          <t>PT Sampoerna Agro Tbk</t>
        </is>
      </c>
      <c r="B4401" t="inlineStr">
        <is>
          <t>SGRO_2022_AR.pdf</t>
        </is>
      </c>
      <c r="C4401" t="n">
        <v>2022</v>
      </c>
      <c r="D4401" t="inlineStr">
        <is>
          <t>Company</t>
        </is>
      </c>
      <c r="E4401" t="inlineStr">
        <is>
          <t>Ultimate Beneficial Owner</t>
        </is>
      </c>
      <c r="F4401" t="inlineStr">
        <is>
          <t>Putera Sampoerna</t>
        </is>
      </c>
      <c r="G4401" t="inlineStr">
        <is>
          <t>text</t>
        </is>
      </c>
      <c r="H4401" t="n">
        <v>73</v>
      </c>
      <c r="I4401" t="inlineStr">
        <is>
          <t>Pemilik manfaat akhir ... adalah Putera Sampoerna</t>
        </is>
      </c>
      <c r="J4401" t="inlineStr">
        <is>
          <t>High</t>
        </is>
      </c>
      <c r="M4401" t="inlineStr">
        <is>
          <t>LLM</t>
        </is>
      </c>
      <c r="N4401" t="inlineStr">
        <is>
          <t>2026-04-19</t>
        </is>
      </c>
      <c r="O4401" t="inlineStr">
        <is>
          <t>AI</t>
        </is>
      </c>
    </row>
    <row r="4402">
      <c r="A4402" t="inlineStr">
        <is>
          <t>PT Sampoerna Agro Tbk</t>
        </is>
      </c>
      <c r="B4402" t="inlineStr">
        <is>
          <t>SGRO_2022_AR.pdf</t>
        </is>
      </c>
      <c r="C4402" t="n">
        <v>2022</v>
      </c>
      <c r="D4402" t="inlineStr">
        <is>
          <t>Company</t>
        </is>
      </c>
      <c r="E4402" t="inlineStr">
        <is>
          <t>Total Shares Outstanding</t>
        </is>
      </c>
      <c r="F4402" t="n">
        <v>1818622000</v>
      </c>
      <c r="G4402" t="inlineStr">
        <is>
          <t>shares</t>
        </is>
      </c>
      <c r="H4402" t="n">
        <v>72</v>
      </c>
      <c r="I4402" t="inlineStr">
        <is>
          <t>Total 1.818.622.000 100,00% (per 31 Dec 2022, after treasury share redemption Jan 2022 from 1,890,000,000)</t>
        </is>
      </c>
      <c r="J4402" t="inlineStr">
        <is>
          <t>High</t>
        </is>
      </c>
      <c r="M4402" t="inlineStr">
        <is>
          <t>LLM</t>
        </is>
      </c>
      <c r="N4402" t="inlineStr">
        <is>
          <t>2026-04-19</t>
        </is>
      </c>
      <c r="O4402" t="inlineStr">
        <is>
          <t>AI</t>
        </is>
      </c>
    </row>
    <row r="4403">
      <c r="A4403" t="inlineStr">
        <is>
          <t>PT Sampoerna Agro Tbk</t>
        </is>
      </c>
      <c r="B4403" t="inlineStr">
        <is>
          <t>SGRO_2022_AR.pdf</t>
        </is>
      </c>
      <c r="C4403" t="n">
        <v>2022</v>
      </c>
      <c r="D4403" t="inlineStr">
        <is>
          <t>Company</t>
        </is>
      </c>
      <c r="E4403" t="inlineStr">
        <is>
          <t>Public Float</t>
        </is>
      </c>
      <c r="F4403" t="n">
        <v>0.0644</v>
      </c>
      <c r="G4403" t="inlineStr">
        <is>
          <t>%</t>
        </is>
      </c>
      <c r="H4403" t="n">
        <v>72</v>
      </c>
      <c r="I4403" t="inlineStr">
        <is>
          <t>Masyarakat* 117.089.000 6,44%</t>
        </is>
      </c>
      <c r="J4403" t="inlineStr">
        <is>
          <t>High</t>
        </is>
      </c>
      <c r="M4403" t="inlineStr">
        <is>
          <t>LLM</t>
        </is>
      </c>
      <c r="N4403" t="inlineStr">
        <is>
          <t>2026-04-19</t>
        </is>
      </c>
      <c r="O4403" t="inlineStr">
        <is>
          <t>AI</t>
        </is>
      </c>
    </row>
    <row r="4404">
      <c r="A4404" t="inlineStr">
        <is>
          <t>PT Sampoerna Agro Tbk</t>
        </is>
      </c>
      <c r="B4404" t="inlineStr">
        <is>
          <t>SGRO_2022_AR.pdf</t>
        </is>
      </c>
      <c r="C4404" t="n">
        <v>2022</v>
      </c>
      <c r="D4404" t="inlineStr">
        <is>
          <t>Company</t>
        </is>
      </c>
      <c r="E4404" t="inlineStr">
        <is>
          <t>Foreign vs Domestic Ownership</t>
        </is>
      </c>
      <c r="F4404" t="inlineStr">
        <is>
          <t>Foreign 78.32% / Domestic 21.68%</t>
        </is>
      </c>
      <c r="G4404" t="inlineStr">
        <is>
          <t>%</t>
        </is>
      </c>
      <c r="H4404" t="n">
        <v>72</v>
      </c>
      <c r="I4404" t="inlineStr">
        <is>
          <t>Total 21,68% 78,32% 100,00%</t>
        </is>
      </c>
      <c r="J4404" t="inlineStr">
        <is>
          <t>High</t>
        </is>
      </c>
      <c r="M4404" t="inlineStr">
        <is>
          <t>LLM</t>
        </is>
      </c>
      <c r="N4404" t="inlineStr">
        <is>
          <t>2026-04-19</t>
        </is>
      </c>
      <c r="O4404" t="inlineStr">
        <is>
          <t>AI</t>
        </is>
      </c>
    </row>
    <row r="4405">
      <c r="A4405" t="inlineStr">
        <is>
          <t>PT Sampoerna Agro Tbk</t>
        </is>
      </c>
      <c r="B4405" t="inlineStr">
        <is>
          <t>SGRO_2022_AR.pdf</t>
        </is>
      </c>
      <c r="C4405" t="n">
        <v>2022</v>
      </c>
      <c r="D4405" t="inlineStr">
        <is>
          <t>Company</t>
        </is>
      </c>
      <c r="E4405" t="inlineStr">
        <is>
          <t>Treasury Share Redemption</t>
        </is>
      </c>
      <c r="F4405" t="inlineStr">
        <is>
          <t>71,378,000 shares redeemed 18 Jan 2022</t>
        </is>
      </c>
      <c r="G4405" t="inlineStr">
        <is>
          <t>shares</t>
        </is>
      </c>
      <c r="H4405" t="n">
        <v>71</v>
      </c>
      <c r="I4405" t="inlineStr">
        <is>
          <t>Penarikan seluruh Saham Treasuri. 18 January 2022. Redemption of all Treasury Shares.</t>
        </is>
      </c>
      <c r="J4405" t="inlineStr">
        <is>
          <t>High</t>
        </is>
      </c>
      <c r="M4405" t="inlineStr">
        <is>
          <t>LLM</t>
        </is>
      </c>
      <c r="N4405" t="inlineStr">
        <is>
          <t>2026-04-19</t>
        </is>
      </c>
      <c r="O4405" t="inlineStr">
        <is>
          <t>AI</t>
        </is>
      </c>
    </row>
    <row r="4406">
      <c r="A4406" t="inlineStr">
        <is>
          <t>PT Sampoerna Agro Tbk</t>
        </is>
      </c>
      <c r="B4406" t="inlineStr">
        <is>
          <t>SGRO_2022_AR.pdf</t>
        </is>
      </c>
      <c r="C4406" t="n">
        <v>2022</v>
      </c>
      <c r="D4406" t="inlineStr">
        <is>
          <t>Company</t>
        </is>
      </c>
      <c r="E4406" t="inlineStr">
        <is>
          <t>Employees</t>
        </is>
      </c>
      <c r="F4406" t="n">
        <v>8804</v>
      </c>
      <c r="G4406" t="inlineStr">
        <is>
          <t>persons</t>
        </is>
      </c>
      <c r="H4406" t="n">
        <v>11</v>
      </c>
      <c r="I4406" t="inlineStr">
        <is>
          <t>Jumlah Karyawan (orang) ... 8.804 (2022)</t>
        </is>
      </c>
      <c r="J4406" t="inlineStr">
        <is>
          <t>High</t>
        </is>
      </c>
      <c r="M4406" t="inlineStr">
        <is>
          <t>LLM</t>
        </is>
      </c>
      <c r="N4406" t="inlineStr">
        <is>
          <t>2026-04-19</t>
        </is>
      </c>
      <c r="O4406" t="inlineStr">
        <is>
          <t>AI</t>
        </is>
      </c>
    </row>
    <row r="4407">
      <c r="A4407" t="inlineStr">
        <is>
          <t>PT Sampoerna Agro Tbk</t>
        </is>
      </c>
      <c r="B4407" t="inlineStr">
        <is>
          <t>SGRO_2022_AR.pdf</t>
        </is>
      </c>
      <c r="C4407" t="n">
        <v>2022</v>
      </c>
      <c r="D4407" t="inlineStr">
        <is>
          <t>Financial</t>
        </is>
      </c>
      <c r="E4407" t="inlineStr">
        <is>
          <t>Revenue</t>
        </is>
      </c>
      <c r="F4407" t="n">
        <v>5672</v>
      </c>
      <c r="G4407" t="inlineStr">
        <is>
          <t>IDR bn</t>
        </is>
      </c>
      <c r="H4407" t="n">
        <v>10</v>
      </c>
      <c r="I4407" t="inlineStr">
        <is>
          <t>Penjualan ... 5.672 (2022)</t>
        </is>
      </c>
      <c r="J4407" t="inlineStr">
        <is>
          <t>High</t>
        </is>
      </c>
      <c r="M4407" t="inlineStr">
        <is>
          <t>LLM</t>
        </is>
      </c>
      <c r="N4407" t="inlineStr">
        <is>
          <t>2026-04-19</t>
        </is>
      </c>
      <c r="O4407" t="inlineStr">
        <is>
          <t>AI</t>
        </is>
      </c>
    </row>
    <row r="4408">
      <c r="A4408" t="inlineStr">
        <is>
          <t>PT Sampoerna Agro Tbk</t>
        </is>
      </c>
      <c r="B4408" t="inlineStr">
        <is>
          <t>SGRO_2022_AR.pdf</t>
        </is>
      </c>
      <c r="C4408" t="n">
        <v>2022</v>
      </c>
      <c r="D4408" t="inlineStr">
        <is>
          <t>Financial</t>
        </is>
      </c>
      <c r="E4408" t="inlineStr">
        <is>
          <t>Gross Profit</t>
        </is>
      </c>
      <c r="F4408" t="n">
        <v>1984</v>
      </c>
      <c r="G4408" t="inlineStr">
        <is>
          <t>IDR bn</t>
        </is>
      </c>
      <c r="H4408" t="n">
        <v>10</v>
      </c>
      <c r="I4408" t="inlineStr">
        <is>
          <t>Laba Bruto ... 1.984 (2022)</t>
        </is>
      </c>
      <c r="J4408" t="inlineStr">
        <is>
          <t>High</t>
        </is>
      </c>
      <c r="M4408" t="inlineStr">
        <is>
          <t>LLM</t>
        </is>
      </c>
      <c r="N4408" t="inlineStr">
        <is>
          <t>2026-04-19</t>
        </is>
      </c>
      <c r="O4408" t="inlineStr">
        <is>
          <t>AI</t>
        </is>
      </c>
    </row>
    <row r="4409">
      <c r="A4409" t="inlineStr">
        <is>
          <t>PT Sampoerna Agro Tbk</t>
        </is>
      </c>
      <c r="B4409" t="inlineStr">
        <is>
          <t>SGRO_2022_AR.pdf</t>
        </is>
      </c>
      <c r="C4409" t="n">
        <v>2022</v>
      </c>
      <c r="D4409" t="inlineStr">
        <is>
          <t>Financial</t>
        </is>
      </c>
      <c r="E4409" t="inlineStr">
        <is>
          <t>Cost of Sales</t>
        </is>
      </c>
      <c r="F4409" t="n">
        <v>3688</v>
      </c>
      <c r="G4409" t="inlineStr">
        <is>
          <t>IDR bn</t>
        </is>
      </c>
      <c r="H4409" t="n">
        <v>311</v>
      </c>
      <c r="I4409" t="inlineStr">
        <is>
          <t>BEBAN POKOK PENJUALAN (3.688.052)</t>
        </is>
      </c>
      <c r="J4409" t="inlineStr">
        <is>
          <t>High</t>
        </is>
      </c>
      <c r="M4409" t="inlineStr">
        <is>
          <t>LLM</t>
        </is>
      </c>
      <c r="N4409" t="inlineStr">
        <is>
          <t>2026-04-19</t>
        </is>
      </c>
      <c r="O4409" t="inlineStr">
        <is>
          <t>AI</t>
        </is>
      </c>
    </row>
    <row r="4410">
      <c r="A4410" t="inlineStr">
        <is>
          <t>PT Sampoerna Agro Tbk</t>
        </is>
      </c>
      <c r="B4410" t="inlineStr">
        <is>
          <t>SGRO_2022_AR.pdf</t>
        </is>
      </c>
      <c r="C4410" t="n">
        <v>2022</v>
      </c>
      <c r="D4410" t="inlineStr">
        <is>
          <t>Financial</t>
        </is>
      </c>
      <c r="E4410" t="inlineStr">
        <is>
          <t>EBITDA (Reported)</t>
        </is>
      </c>
      <c r="F4410" t="n">
        <v>2162</v>
      </c>
      <c r="G4410" t="inlineStr">
        <is>
          <t>IDR bn</t>
        </is>
      </c>
      <c r="H4410" t="n">
        <v>10</v>
      </c>
      <c r="I4410" t="inlineStr">
        <is>
          <t>EBITDA 2.162 (2022)</t>
        </is>
      </c>
      <c r="J4410" t="inlineStr">
        <is>
          <t>High</t>
        </is>
      </c>
      <c r="M4410" t="inlineStr">
        <is>
          <t>LLM</t>
        </is>
      </c>
      <c r="N4410" t="inlineStr">
        <is>
          <t>2026-04-19</t>
        </is>
      </c>
      <c r="O4410" t="inlineStr">
        <is>
          <t>AI</t>
        </is>
      </c>
    </row>
    <row r="4411">
      <c r="A4411" t="inlineStr">
        <is>
          <t>PT Sampoerna Agro Tbk</t>
        </is>
      </c>
      <c r="B4411" t="inlineStr">
        <is>
          <t>SGRO_2022_AR.pdf</t>
        </is>
      </c>
      <c r="C4411" t="n">
        <v>2022</v>
      </c>
      <c r="D4411" t="inlineStr">
        <is>
          <t>Financial</t>
        </is>
      </c>
      <c r="E4411" t="inlineStr">
        <is>
          <t>Operating Profit (EBIT)</t>
        </is>
      </c>
      <c r="F4411" t="n">
        <v>1619</v>
      </c>
      <c r="G4411" t="inlineStr">
        <is>
          <t>IDR bn</t>
        </is>
      </c>
      <c r="H4411" t="n">
        <v>10</v>
      </c>
      <c r="I4411" t="inlineStr">
        <is>
          <t>Laba Usaha ... 1.619 (2022)</t>
        </is>
      </c>
      <c r="J4411" t="inlineStr">
        <is>
          <t>High</t>
        </is>
      </c>
      <c r="M4411" t="inlineStr">
        <is>
          <t>LLM</t>
        </is>
      </c>
      <c r="N4411" t="inlineStr">
        <is>
          <t>2026-04-19</t>
        </is>
      </c>
      <c r="O4411" t="inlineStr">
        <is>
          <t>AI</t>
        </is>
      </c>
    </row>
    <row r="4412">
      <c r="A4412" t="inlineStr">
        <is>
          <t>PT Sampoerna Agro Tbk</t>
        </is>
      </c>
      <c r="B4412" t="inlineStr">
        <is>
          <t>SGRO_2022_AR.pdf</t>
        </is>
      </c>
      <c r="C4412" t="n">
        <v>2022</v>
      </c>
      <c r="D4412" t="inlineStr">
        <is>
          <t>Financial</t>
        </is>
      </c>
      <c r="E4412" t="inlineStr">
        <is>
          <t>Income Tax Expense</t>
        </is>
      </c>
      <c r="F4412" t="n">
        <v>365</v>
      </c>
      <c r="G4412" t="inlineStr">
        <is>
          <t>IDR bn</t>
        </is>
      </c>
      <c r="H4412" t="n">
        <v>311</v>
      </c>
      <c r="I4412" t="inlineStr">
        <is>
          <t>Beban pajak penghasilan, neto (364.596)</t>
        </is>
      </c>
      <c r="J4412" t="inlineStr">
        <is>
          <t>High</t>
        </is>
      </c>
      <c r="M4412" t="inlineStr">
        <is>
          <t>LLM</t>
        </is>
      </c>
      <c r="N4412" t="inlineStr">
        <is>
          <t>2026-04-19</t>
        </is>
      </c>
      <c r="O4412" t="inlineStr">
        <is>
          <t>AI</t>
        </is>
      </c>
    </row>
    <row r="4413">
      <c r="A4413" t="inlineStr">
        <is>
          <t>PT Sampoerna Agro Tbk</t>
        </is>
      </c>
      <c r="B4413" t="inlineStr">
        <is>
          <t>SGRO_2022_AR.pdf</t>
        </is>
      </c>
      <c r="C4413" t="n">
        <v>2022</v>
      </c>
      <c r="D4413" t="inlineStr">
        <is>
          <t>Financial</t>
        </is>
      </c>
      <c r="E4413" t="inlineStr">
        <is>
          <t>Net Profit (Total)</t>
        </is>
      </c>
      <c r="F4413" t="n">
        <v>1039</v>
      </c>
      <c r="G4413" t="inlineStr">
        <is>
          <t>IDR bn</t>
        </is>
      </c>
      <c r="H4413" t="n">
        <v>10</v>
      </c>
      <c r="I4413" t="inlineStr">
        <is>
          <t>Total Laba Tahun Berjalan 1.039 (2022)</t>
        </is>
      </c>
      <c r="J4413" t="inlineStr">
        <is>
          <t>High</t>
        </is>
      </c>
      <c r="M4413" t="inlineStr">
        <is>
          <t>LLM</t>
        </is>
      </c>
      <c r="N4413" t="inlineStr">
        <is>
          <t>2026-04-19</t>
        </is>
      </c>
      <c r="O4413" t="inlineStr">
        <is>
          <t>AI</t>
        </is>
      </c>
    </row>
    <row r="4414">
      <c r="A4414" t="inlineStr">
        <is>
          <t>PT Sampoerna Agro Tbk</t>
        </is>
      </c>
      <c r="B4414" t="inlineStr">
        <is>
          <t>SGRO_2022_AR.pdf</t>
        </is>
      </c>
      <c r="C4414" t="n">
        <v>2022</v>
      </c>
      <c r="D4414" t="inlineStr">
        <is>
          <t>Financial</t>
        </is>
      </c>
      <c r="E4414" t="inlineStr">
        <is>
          <t>Profit Attributable to Parent</t>
        </is>
      </c>
      <c r="F4414" t="n">
        <v>1050</v>
      </c>
      <c r="G4414" t="inlineStr">
        <is>
          <t>IDR bn</t>
        </is>
      </c>
      <c r="H4414" t="n">
        <v>10</v>
      </c>
      <c r="I4414" t="inlineStr">
        <is>
          <t>Dapat Diatribusikan kepada Pemilik Entitas Induk 1.050 (2022)</t>
        </is>
      </c>
      <c r="J4414" t="inlineStr">
        <is>
          <t>High</t>
        </is>
      </c>
      <c r="M4414" t="inlineStr">
        <is>
          <t>LLM</t>
        </is>
      </c>
      <c r="N4414" t="inlineStr">
        <is>
          <t>2026-04-19</t>
        </is>
      </c>
      <c r="O4414" t="inlineStr">
        <is>
          <t>AI</t>
        </is>
      </c>
    </row>
    <row r="4415">
      <c r="A4415" t="inlineStr">
        <is>
          <t>PT Sampoerna Agro Tbk</t>
        </is>
      </c>
      <c r="B4415" t="inlineStr">
        <is>
          <t>SGRO_2022_AR.pdf</t>
        </is>
      </c>
      <c r="C4415" t="n">
        <v>2022</v>
      </c>
      <c r="D4415" t="inlineStr">
        <is>
          <t>Financial</t>
        </is>
      </c>
      <c r="E4415" t="inlineStr">
        <is>
          <t>Profit Attributable to NCI</t>
        </is>
      </c>
      <c r="F4415" t="n">
        <v>-10</v>
      </c>
      <c r="G4415" t="inlineStr">
        <is>
          <t>IDR bn</t>
        </is>
      </c>
      <c r="H4415" t="n">
        <v>10</v>
      </c>
      <c r="I4415" t="inlineStr">
        <is>
          <t>Non-Controlling Interests (10) (2022)</t>
        </is>
      </c>
      <c r="J4415" t="inlineStr">
        <is>
          <t>High</t>
        </is>
      </c>
      <c r="M4415" t="inlineStr">
        <is>
          <t>LLM</t>
        </is>
      </c>
      <c r="N4415" t="inlineStr">
        <is>
          <t>2026-04-19</t>
        </is>
      </c>
      <c r="O4415" t="inlineStr">
        <is>
          <t>AI</t>
        </is>
      </c>
    </row>
    <row r="4416">
      <c r="A4416" t="inlineStr">
        <is>
          <t>PT Sampoerna Agro Tbk</t>
        </is>
      </c>
      <c r="B4416" t="inlineStr">
        <is>
          <t>SGRO_2022_AR.pdf</t>
        </is>
      </c>
      <c r="C4416" t="n">
        <v>2022</v>
      </c>
      <c r="D4416" t="inlineStr">
        <is>
          <t>Financial</t>
        </is>
      </c>
      <c r="E4416" t="inlineStr">
        <is>
          <t>Total Assets</t>
        </is>
      </c>
      <c r="F4416" t="n">
        <v>10243</v>
      </c>
      <c r="G4416" t="inlineStr">
        <is>
          <t>IDR bn</t>
        </is>
      </c>
      <c r="H4416" t="n">
        <v>10</v>
      </c>
      <c r="I4416" t="inlineStr">
        <is>
          <t>Total Aset ... 10.243 (2022)</t>
        </is>
      </c>
      <c r="J4416" t="inlineStr">
        <is>
          <t>High</t>
        </is>
      </c>
      <c r="M4416" t="inlineStr">
        <is>
          <t>LLM</t>
        </is>
      </c>
      <c r="N4416" t="inlineStr">
        <is>
          <t>2026-04-19</t>
        </is>
      </c>
      <c r="O4416" t="inlineStr">
        <is>
          <t>AI</t>
        </is>
      </c>
    </row>
    <row r="4417">
      <c r="A4417" t="inlineStr">
        <is>
          <t>PT Sampoerna Agro Tbk</t>
        </is>
      </c>
      <c r="B4417" t="inlineStr">
        <is>
          <t>SGRO_2022_AR.pdf</t>
        </is>
      </c>
      <c r="C4417" t="n">
        <v>2022</v>
      </c>
      <c r="D4417" t="inlineStr">
        <is>
          <t>Financial</t>
        </is>
      </c>
      <c r="E4417" t="inlineStr">
        <is>
          <t>Current Assets</t>
        </is>
      </c>
      <c r="F4417" t="n">
        <v>1800</v>
      </c>
      <c r="G4417" t="inlineStr">
        <is>
          <t>IDR bn</t>
        </is>
      </c>
      <c r="H4417" t="n">
        <v>10</v>
      </c>
      <c r="I4417" t="inlineStr">
        <is>
          <t>Total Aset Lancar ... 1.800 (2022)</t>
        </is>
      </c>
      <c r="J4417" t="inlineStr">
        <is>
          <t>High</t>
        </is>
      </c>
      <c r="M4417" t="inlineStr">
        <is>
          <t>LLM</t>
        </is>
      </c>
      <c r="N4417" t="inlineStr">
        <is>
          <t>2026-04-19</t>
        </is>
      </c>
      <c r="O4417" t="inlineStr">
        <is>
          <t>AI</t>
        </is>
      </c>
    </row>
    <row r="4418">
      <c r="A4418" t="inlineStr">
        <is>
          <t>PT Sampoerna Agro Tbk</t>
        </is>
      </c>
      <c r="B4418" t="inlineStr">
        <is>
          <t>SGRO_2022_AR.pdf</t>
        </is>
      </c>
      <c r="C4418" t="n">
        <v>2022</v>
      </c>
      <c r="D4418" t="inlineStr">
        <is>
          <t>Financial</t>
        </is>
      </c>
      <c r="E4418" t="inlineStr">
        <is>
          <t>Non-Current Assets</t>
        </is>
      </c>
      <c r="F4418" t="n">
        <v>8443</v>
      </c>
      <c r="G4418" t="inlineStr">
        <is>
          <t>IDR bn</t>
        </is>
      </c>
      <c r="H4418" t="n">
        <v>309</v>
      </c>
      <c r="I4418" t="inlineStr">
        <is>
          <t>TOTAL ASET TIDAK LANCAR 8.443.090</t>
        </is>
      </c>
      <c r="J4418" t="inlineStr">
        <is>
          <t>High</t>
        </is>
      </c>
      <c r="M4418" t="inlineStr">
        <is>
          <t>LLM</t>
        </is>
      </c>
      <c r="N4418" t="inlineStr">
        <is>
          <t>2026-04-19</t>
        </is>
      </c>
      <c r="O4418" t="inlineStr">
        <is>
          <t>AI</t>
        </is>
      </c>
    </row>
    <row r="4419">
      <c r="A4419" t="inlineStr">
        <is>
          <t>PT Sampoerna Agro Tbk</t>
        </is>
      </c>
      <c r="B4419" t="inlineStr">
        <is>
          <t>SGRO_2022_AR.pdf</t>
        </is>
      </c>
      <c r="C4419" t="n">
        <v>2022</v>
      </c>
      <c r="D4419" t="inlineStr">
        <is>
          <t>Financial</t>
        </is>
      </c>
      <c r="E4419" t="inlineStr">
        <is>
          <t>Cash &amp; Cash Equivalents</t>
        </is>
      </c>
      <c r="F4419" t="n">
        <v>535</v>
      </c>
      <c r="G4419" t="inlineStr">
        <is>
          <t>IDR bn</t>
        </is>
      </c>
      <c r="H4419" t="n">
        <v>309</v>
      </c>
      <c r="I4419" t="inlineStr">
        <is>
          <t>Kas dan setara kas: 258.602 + 276.842 = 535.444</t>
        </is>
      </c>
      <c r="J4419" t="inlineStr">
        <is>
          <t>High</t>
        </is>
      </c>
      <c r="M4419" t="inlineStr">
        <is>
          <t>LLM</t>
        </is>
      </c>
      <c r="N4419" t="inlineStr">
        <is>
          <t>2026-04-19</t>
        </is>
      </c>
      <c r="O4419" t="inlineStr">
        <is>
          <t>AI</t>
        </is>
      </c>
    </row>
    <row r="4420">
      <c r="A4420" t="inlineStr">
        <is>
          <t>PT Sampoerna Agro Tbk</t>
        </is>
      </c>
      <c r="B4420" t="inlineStr">
        <is>
          <t>SGRO_2022_AR.pdf</t>
        </is>
      </c>
      <c r="C4420" t="n">
        <v>2022</v>
      </c>
      <c r="D4420" t="inlineStr">
        <is>
          <t>Financial</t>
        </is>
      </c>
      <c r="E4420" t="inlineStr">
        <is>
          <t>Inventories</t>
        </is>
      </c>
      <c r="F4420" t="n">
        <v>690</v>
      </c>
      <c r="G4420" t="inlineStr">
        <is>
          <t>IDR bn</t>
        </is>
      </c>
      <c r="H4420" t="n">
        <v>309</v>
      </c>
      <c r="I4420" t="inlineStr">
        <is>
          <t>Persediaan, neto 689.547</t>
        </is>
      </c>
      <c r="J4420" t="inlineStr">
        <is>
          <t>High</t>
        </is>
      </c>
      <c r="M4420" t="inlineStr">
        <is>
          <t>LLM</t>
        </is>
      </c>
      <c r="N4420" t="inlineStr">
        <is>
          <t>2026-04-19</t>
        </is>
      </c>
      <c r="O4420" t="inlineStr">
        <is>
          <t>AI</t>
        </is>
      </c>
    </row>
    <row r="4421">
      <c r="A4421" t="inlineStr">
        <is>
          <t>PT Sampoerna Agro Tbk</t>
        </is>
      </c>
      <c r="B4421" t="inlineStr">
        <is>
          <t>SGRO_2022_AR.pdf</t>
        </is>
      </c>
      <c r="C4421" t="n">
        <v>2022</v>
      </c>
      <c r="D4421" t="inlineStr">
        <is>
          <t>Financial</t>
        </is>
      </c>
      <c r="E4421" t="inlineStr">
        <is>
          <t>Biological Assets (Current)</t>
        </is>
      </c>
      <c r="F4421" t="n">
        <v>173</v>
      </c>
      <c r="G4421" t="inlineStr">
        <is>
          <t>IDR bn</t>
        </is>
      </c>
      <c r="H4421" t="n">
        <v>309</v>
      </c>
      <c r="I4421" t="inlineStr">
        <is>
          <t>Aset biologis 172.620</t>
        </is>
      </c>
      <c r="J4421" t="inlineStr">
        <is>
          <t>High</t>
        </is>
      </c>
      <c r="M4421" t="inlineStr">
        <is>
          <t>LLM</t>
        </is>
      </c>
      <c r="N4421" t="inlineStr">
        <is>
          <t>2026-04-19</t>
        </is>
      </c>
      <c r="O4421" t="inlineStr">
        <is>
          <t>AI</t>
        </is>
      </c>
    </row>
    <row r="4422">
      <c r="A4422" t="inlineStr">
        <is>
          <t>PT Sampoerna Agro Tbk</t>
        </is>
      </c>
      <c r="B4422" t="inlineStr">
        <is>
          <t>SGRO_2022_AR.pdf</t>
        </is>
      </c>
      <c r="C4422" t="n">
        <v>2022</v>
      </c>
      <c r="D4422" t="inlineStr">
        <is>
          <t>Financial</t>
        </is>
      </c>
      <c r="E4422" t="inlineStr">
        <is>
          <t>Trade Receivables</t>
        </is>
      </c>
      <c r="F4422" t="n">
        <v>229</v>
      </c>
      <c r="G4422" t="inlineStr">
        <is>
          <t>IDR bn</t>
        </is>
      </c>
      <c r="H4422" t="n">
        <v>309</v>
      </c>
      <c r="I4422" t="inlineStr">
        <is>
          <t>Piutang usaha - pihak ketiga 229.318</t>
        </is>
      </c>
      <c r="J4422" t="inlineStr">
        <is>
          <t>High</t>
        </is>
      </c>
      <c r="M4422" t="inlineStr">
        <is>
          <t>LLM</t>
        </is>
      </c>
      <c r="N4422" t="inlineStr">
        <is>
          <t>2026-04-19</t>
        </is>
      </c>
      <c r="O4422" t="inlineStr">
        <is>
          <t>AI</t>
        </is>
      </c>
    </row>
    <row r="4423">
      <c r="A4423" t="inlineStr">
        <is>
          <t>PT Sampoerna Agro Tbk</t>
        </is>
      </c>
      <c r="B4423" t="inlineStr">
        <is>
          <t>SGRO_2022_AR.pdf</t>
        </is>
      </c>
      <c r="C4423" t="n">
        <v>2022</v>
      </c>
      <c r="D4423" t="inlineStr">
        <is>
          <t>Financial</t>
        </is>
      </c>
      <c r="E4423" t="inlineStr">
        <is>
          <t>Plasma Receivables</t>
        </is>
      </c>
      <c r="F4423" t="n">
        <v>358</v>
      </c>
      <c r="G4423" t="inlineStr">
        <is>
          <t>IDR bn</t>
        </is>
      </c>
      <c r="H4423" t="n">
        <v>309</v>
      </c>
      <c r="I4423" t="inlineStr">
        <is>
          <t>Piutang plasma 358.166</t>
        </is>
      </c>
      <c r="J4423" t="inlineStr">
        <is>
          <t>High</t>
        </is>
      </c>
      <c r="M4423" t="inlineStr">
        <is>
          <t>LLM</t>
        </is>
      </c>
      <c r="N4423" t="inlineStr">
        <is>
          <t>2026-04-19</t>
        </is>
      </c>
      <c r="O4423" t="inlineStr">
        <is>
          <t>AI</t>
        </is>
      </c>
    </row>
    <row r="4424">
      <c r="A4424" t="inlineStr">
        <is>
          <t>PT Sampoerna Agro Tbk</t>
        </is>
      </c>
      <c r="B4424" t="inlineStr">
        <is>
          <t>SGRO_2022_AR.pdf</t>
        </is>
      </c>
      <c r="C4424" t="n">
        <v>2022</v>
      </c>
      <c r="D4424" t="inlineStr">
        <is>
          <t>Financial</t>
        </is>
      </c>
      <c r="E4424" t="inlineStr">
        <is>
          <t>Bearer Plants - Mature</t>
        </is>
      </c>
      <c r="F4424" t="n">
        <v>2923</v>
      </c>
      <c r="G4424" t="inlineStr">
        <is>
          <t>IDR bn</t>
        </is>
      </c>
      <c r="H4424" t="n">
        <v>309</v>
      </c>
      <c r="I4424" t="inlineStr">
        <is>
          <t>Tanaman menghasilkan, neto 2.922.615</t>
        </is>
      </c>
      <c r="J4424" t="inlineStr">
        <is>
          <t>High</t>
        </is>
      </c>
      <c r="M4424" t="inlineStr">
        <is>
          <t>LLM</t>
        </is>
      </c>
      <c r="N4424" t="inlineStr">
        <is>
          <t>2026-04-19</t>
        </is>
      </c>
      <c r="O4424" t="inlineStr">
        <is>
          <t>AI</t>
        </is>
      </c>
    </row>
    <row r="4425">
      <c r="A4425" t="inlineStr">
        <is>
          <t>PT Sampoerna Agro Tbk</t>
        </is>
      </c>
      <c r="B4425" t="inlineStr">
        <is>
          <t>SGRO_2022_AR.pdf</t>
        </is>
      </c>
      <c r="C4425" t="n">
        <v>2022</v>
      </c>
      <c r="D4425" t="inlineStr">
        <is>
          <t>Financial</t>
        </is>
      </c>
      <c r="E4425" t="inlineStr">
        <is>
          <t>Bearer Plants - Immature</t>
        </is>
      </c>
      <c r="F4425" t="n">
        <v>2706</v>
      </c>
      <c r="G4425" t="inlineStr">
        <is>
          <t>IDR bn</t>
        </is>
      </c>
      <c r="H4425" t="n">
        <v>309</v>
      </c>
      <c r="I4425" t="inlineStr">
        <is>
          <t>Tanaman belum menghasilkan 2.706.164</t>
        </is>
      </c>
      <c r="J4425" t="inlineStr">
        <is>
          <t>High</t>
        </is>
      </c>
      <c r="M4425" t="inlineStr">
        <is>
          <t>LLM</t>
        </is>
      </c>
      <c r="N4425" t="inlineStr">
        <is>
          <t>2026-04-19</t>
        </is>
      </c>
      <c r="O4425" t="inlineStr">
        <is>
          <t>AI</t>
        </is>
      </c>
    </row>
    <row r="4426">
      <c r="A4426" t="inlineStr">
        <is>
          <t>PT Sampoerna Agro Tbk</t>
        </is>
      </c>
      <c r="B4426" t="inlineStr">
        <is>
          <t>SGRO_2022_AR.pdf</t>
        </is>
      </c>
      <c r="C4426" t="n">
        <v>2022</v>
      </c>
      <c r="D4426" t="inlineStr">
        <is>
          <t>Financial</t>
        </is>
      </c>
      <c r="E4426" t="inlineStr">
        <is>
          <t>Fixed Assets (net)</t>
        </is>
      </c>
      <c r="F4426" t="n">
        <v>1919</v>
      </c>
      <c r="G4426" t="inlineStr">
        <is>
          <t>IDR bn</t>
        </is>
      </c>
      <c r="H4426" t="n">
        <v>309</v>
      </c>
      <c r="I4426" t="inlineStr">
        <is>
          <t>Aset tetap, neto 1.918.765</t>
        </is>
      </c>
      <c r="J4426" t="inlineStr">
        <is>
          <t>High</t>
        </is>
      </c>
      <c r="M4426" t="inlineStr">
        <is>
          <t>LLM</t>
        </is>
      </c>
      <c r="N4426" t="inlineStr">
        <is>
          <t>2026-04-19</t>
        </is>
      </c>
      <c r="O4426" t="inlineStr">
        <is>
          <t>AI</t>
        </is>
      </c>
    </row>
    <row r="4427">
      <c r="A4427" t="inlineStr">
        <is>
          <t>PT Sampoerna Agro Tbk</t>
        </is>
      </c>
      <c r="B4427" t="inlineStr">
        <is>
          <t>SGRO_2022_AR.pdf</t>
        </is>
      </c>
      <c r="C4427" t="n">
        <v>2022</v>
      </c>
      <c r="D4427" t="inlineStr">
        <is>
          <t>Financial</t>
        </is>
      </c>
      <c r="E4427" t="inlineStr">
        <is>
          <t>Total Liabilities</t>
        </is>
      </c>
      <c r="F4427" t="n">
        <v>5013</v>
      </c>
      <c r="G4427" t="inlineStr">
        <is>
          <t>IDR bn</t>
        </is>
      </c>
      <c r="H4427" t="n">
        <v>10</v>
      </c>
      <c r="I4427" t="inlineStr">
        <is>
          <t>Total Liabilitas 5.013 (2022)</t>
        </is>
      </c>
      <c r="J4427" t="inlineStr">
        <is>
          <t>High</t>
        </is>
      </c>
      <c r="M4427" t="inlineStr">
        <is>
          <t>LLM</t>
        </is>
      </c>
      <c r="N4427" t="inlineStr">
        <is>
          <t>2026-04-19</t>
        </is>
      </c>
      <c r="O4427" t="inlineStr">
        <is>
          <t>AI</t>
        </is>
      </c>
    </row>
    <row r="4428">
      <c r="A4428" t="inlineStr">
        <is>
          <t>PT Sampoerna Agro Tbk</t>
        </is>
      </c>
      <c r="B4428" t="inlineStr">
        <is>
          <t>SGRO_2022_AR.pdf</t>
        </is>
      </c>
      <c r="C4428" t="n">
        <v>2022</v>
      </c>
      <c r="D4428" t="inlineStr">
        <is>
          <t>Financial</t>
        </is>
      </c>
      <c r="E4428" t="inlineStr">
        <is>
          <t>Current Liabilities</t>
        </is>
      </c>
      <c r="F4428" t="n">
        <v>1361</v>
      </c>
      <c r="G4428" t="inlineStr">
        <is>
          <t>IDR bn</t>
        </is>
      </c>
      <c r="H4428" t="n">
        <v>10</v>
      </c>
      <c r="I4428" t="inlineStr">
        <is>
          <t>Total Liabilitas Jangka Pendek ... 1.361 (2022)</t>
        </is>
      </c>
      <c r="J4428" t="inlineStr">
        <is>
          <t>High</t>
        </is>
      </c>
      <c r="M4428" t="inlineStr">
        <is>
          <t>LLM</t>
        </is>
      </c>
      <c r="N4428" t="inlineStr">
        <is>
          <t>2026-04-19</t>
        </is>
      </c>
      <c r="O4428" t="inlineStr">
        <is>
          <t>AI</t>
        </is>
      </c>
    </row>
    <row r="4429">
      <c r="A4429" t="inlineStr">
        <is>
          <t>PT Sampoerna Agro Tbk</t>
        </is>
      </c>
      <c r="B4429" t="inlineStr">
        <is>
          <t>SGRO_2022_AR.pdf</t>
        </is>
      </c>
      <c r="C4429" t="n">
        <v>2022</v>
      </c>
      <c r="D4429" t="inlineStr">
        <is>
          <t>Financial</t>
        </is>
      </c>
      <c r="E4429" t="inlineStr">
        <is>
          <t>Long-term Liabilities</t>
        </is>
      </c>
      <c r="F4429" t="n">
        <v>3652</v>
      </c>
      <c r="G4429" t="inlineStr">
        <is>
          <t>IDR bn</t>
        </is>
      </c>
      <c r="H4429" t="n">
        <v>310</v>
      </c>
      <c r="I4429" t="inlineStr">
        <is>
          <t>TOTAL LIABILITAS JANGKA PANJANG 3.652.318</t>
        </is>
      </c>
      <c r="J4429" t="inlineStr">
        <is>
          <t>High</t>
        </is>
      </c>
      <c r="M4429" t="inlineStr">
        <is>
          <t>LLM</t>
        </is>
      </c>
      <c r="N4429" t="inlineStr">
        <is>
          <t>2026-04-19</t>
        </is>
      </c>
      <c r="O4429" t="inlineStr">
        <is>
          <t>AI</t>
        </is>
      </c>
    </row>
    <row r="4430">
      <c r="A4430" t="inlineStr">
        <is>
          <t>PT Sampoerna Agro Tbk</t>
        </is>
      </c>
      <c r="B4430" t="inlineStr">
        <is>
          <t>SGRO_2022_AR.pdf</t>
        </is>
      </c>
      <c r="C4430" t="n">
        <v>2022</v>
      </c>
      <c r="D4430" t="inlineStr">
        <is>
          <t>Financial</t>
        </is>
      </c>
      <c r="E4430" t="inlineStr">
        <is>
          <t>Trade Payables</t>
        </is>
      </c>
      <c r="F4430" t="n">
        <v>418</v>
      </c>
      <c r="G4430" t="inlineStr">
        <is>
          <t>IDR bn</t>
        </is>
      </c>
      <c r="H4430" t="n">
        <v>310</v>
      </c>
      <c r="I4430" t="inlineStr">
        <is>
          <t>Utang usaha - pihak ketiga 417.723</t>
        </is>
      </c>
      <c r="J4430" t="inlineStr">
        <is>
          <t>High</t>
        </is>
      </c>
      <c r="M4430" t="inlineStr">
        <is>
          <t>LLM</t>
        </is>
      </c>
      <c r="N4430" t="inlineStr">
        <is>
          <t>2026-04-19</t>
        </is>
      </c>
      <c r="O4430" t="inlineStr">
        <is>
          <t>AI</t>
        </is>
      </c>
    </row>
    <row r="4431">
      <c r="A4431" t="inlineStr">
        <is>
          <t>PT Sampoerna Agro Tbk</t>
        </is>
      </c>
      <c r="B4431" t="inlineStr">
        <is>
          <t>SGRO_2022_AR.pdf</t>
        </is>
      </c>
      <c r="C4431" t="n">
        <v>2022</v>
      </c>
      <c r="D4431" t="inlineStr">
        <is>
          <t>Financial</t>
        </is>
      </c>
      <c r="E4431" t="inlineStr">
        <is>
          <t>Bonds Payable - Current</t>
        </is>
      </c>
      <c r="F4431" t="n">
        <v>208</v>
      </c>
      <c r="G4431" t="inlineStr">
        <is>
          <t>IDR bn</t>
        </is>
      </c>
      <c r="H4431" t="n">
        <v>310</v>
      </c>
      <c r="I4431" t="inlineStr">
        <is>
          <t>Utang obligasi, neto 208.381 (current)</t>
        </is>
      </c>
      <c r="J4431" t="inlineStr">
        <is>
          <t>High</t>
        </is>
      </c>
      <c r="M4431" t="inlineStr">
        <is>
          <t>LLM</t>
        </is>
      </c>
      <c r="N4431" t="inlineStr">
        <is>
          <t>2026-04-19</t>
        </is>
      </c>
      <c r="O4431" t="inlineStr">
        <is>
          <t>AI</t>
        </is>
      </c>
    </row>
    <row r="4432">
      <c r="A4432" t="inlineStr">
        <is>
          <t>PT Sampoerna Agro Tbk</t>
        </is>
      </c>
      <c r="B4432" t="inlineStr">
        <is>
          <t>SGRO_2022_AR.pdf</t>
        </is>
      </c>
      <c r="C4432" t="n">
        <v>2022</v>
      </c>
      <c r="D4432" t="inlineStr">
        <is>
          <t>Financial</t>
        </is>
      </c>
      <c r="E4432" t="inlineStr">
        <is>
          <t>Sukuk Ijarah - Current</t>
        </is>
      </c>
      <c r="F4432" t="n">
        <v>175</v>
      </c>
      <c r="G4432" t="inlineStr">
        <is>
          <t>IDR bn</t>
        </is>
      </c>
      <c r="H4432" t="n">
        <v>310</v>
      </c>
      <c r="I4432" t="inlineStr">
        <is>
          <t>Sukuk ijarah, neto 174.854 (current)</t>
        </is>
      </c>
      <c r="J4432" t="inlineStr">
        <is>
          <t>High</t>
        </is>
      </c>
      <c r="M4432" t="inlineStr">
        <is>
          <t>LLM</t>
        </is>
      </c>
      <c r="N4432" t="inlineStr">
        <is>
          <t>2026-04-19</t>
        </is>
      </c>
      <c r="O4432" t="inlineStr">
        <is>
          <t>AI</t>
        </is>
      </c>
    </row>
    <row r="4433">
      <c r="A4433" t="inlineStr">
        <is>
          <t>PT Sampoerna Agro Tbk</t>
        </is>
      </c>
      <c r="B4433" t="inlineStr">
        <is>
          <t>SGRO_2022_AR.pdf</t>
        </is>
      </c>
      <c r="C4433" t="n">
        <v>2022</v>
      </c>
      <c r="D4433" t="inlineStr">
        <is>
          <t>Financial</t>
        </is>
      </c>
      <c r="E4433" t="inlineStr">
        <is>
          <t>Long-term Bank Loans - Current Portion</t>
        </is>
      </c>
      <c r="F4433" t="n">
        <v>94</v>
      </c>
      <c r="G4433" t="inlineStr">
        <is>
          <t>IDR bn</t>
        </is>
      </c>
      <c r="H4433" t="n">
        <v>310</v>
      </c>
      <c r="I4433" t="inlineStr">
        <is>
          <t>Utang bank jangka panjang, neto 93.937 (current)</t>
        </is>
      </c>
      <c r="J4433" t="inlineStr">
        <is>
          <t>High</t>
        </is>
      </c>
      <c r="M4433" t="inlineStr">
        <is>
          <t>LLM</t>
        </is>
      </c>
      <c r="N4433" t="inlineStr">
        <is>
          <t>2026-04-19</t>
        </is>
      </c>
      <c r="O4433" t="inlineStr">
        <is>
          <t>AI</t>
        </is>
      </c>
    </row>
    <row r="4434">
      <c r="A4434" t="inlineStr">
        <is>
          <t>PT Sampoerna Agro Tbk</t>
        </is>
      </c>
      <c r="B4434" t="inlineStr">
        <is>
          <t>SGRO_2022_AR.pdf</t>
        </is>
      </c>
      <c r="C4434" t="n">
        <v>2022</v>
      </c>
      <c r="D4434" t="inlineStr">
        <is>
          <t>Financial</t>
        </is>
      </c>
      <c r="E4434" t="inlineStr">
        <is>
          <t>Bonds Payable - LT</t>
        </is>
      </c>
      <c r="F4434" t="n">
        <v>785</v>
      </c>
      <c r="G4434" t="inlineStr">
        <is>
          <t>IDR bn</t>
        </is>
      </c>
      <c r="H4434" t="n">
        <v>310</v>
      </c>
      <c r="I4434" t="inlineStr">
        <is>
          <t>Utang obligasi, neto 784.993 (non-current)</t>
        </is>
      </c>
      <c r="J4434" t="inlineStr">
        <is>
          <t>High</t>
        </is>
      </c>
      <c r="M4434" t="inlineStr">
        <is>
          <t>LLM</t>
        </is>
      </c>
      <c r="N4434" t="inlineStr">
        <is>
          <t>2026-04-19</t>
        </is>
      </c>
      <c r="O4434" t="inlineStr">
        <is>
          <t>AI</t>
        </is>
      </c>
    </row>
    <row r="4435">
      <c r="A4435" t="inlineStr">
        <is>
          <t>PT Sampoerna Agro Tbk</t>
        </is>
      </c>
      <c r="B4435" t="inlineStr">
        <is>
          <t>SGRO_2022_AR.pdf</t>
        </is>
      </c>
      <c r="C4435" t="n">
        <v>2022</v>
      </c>
      <c r="D4435" t="inlineStr">
        <is>
          <t>Financial</t>
        </is>
      </c>
      <c r="E4435" t="inlineStr">
        <is>
          <t>Sukuk Ijarah - LT</t>
        </is>
      </c>
      <c r="F4435" t="n">
        <v>823</v>
      </c>
      <c r="G4435" t="inlineStr">
        <is>
          <t>IDR bn</t>
        </is>
      </c>
      <c r="H4435" t="n">
        <v>310</v>
      </c>
      <c r="I4435" t="inlineStr">
        <is>
          <t>Sukuk ijarah, neto 822.855 (non-current)</t>
        </is>
      </c>
      <c r="J4435" t="inlineStr">
        <is>
          <t>High</t>
        </is>
      </c>
      <c r="M4435" t="inlineStr">
        <is>
          <t>LLM</t>
        </is>
      </c>
      <c r="N4435" t="inlineStr">
        <is>
          <t>2026-04-19</t>
        </is>
      </c>
      <c r="O4435" t="inlineStr">
        <is>
          <t>AI</t>
        </is>
      </c>
    </row>
    <row r="4436">
      <c r="A4436" t="inlineStr">
        <is>
          <t>PT Sampoerna Agro Tbk</t>
        </is>
      </c>
      <c r="B4436" t="inlineStr">
        <is>
          <t>SGRO_2022_AR.pdf</t>
        </is>
      </c>
      <c r="C4436" t="n">
        <v>2022</v>
      </c>
      <c r="D4436" t="inlineStr">
        <is>
          <t>Financial</t>
        </is>
      </c>
      <c r="E4436" t="inlineStr">
        <is>
          <t>Long-term Bank Loans</t>
        </is>
      </c>
      <c r="F4436" t="n">
        <v>997</v>
      </c>
      <c r="G4436" t="inlineStr">
        <is>
          <t>IDR bn</t>
        </is>
      </c>
      <c r="H4436" t="n">
        <v>310</v>
      </c>
      <c r="I4436" t="inlineStr">
        <is>
          <t>Utang bank jangka panjang, neto 997.452 (non-current)</t>
        </is>
      </c>
      <c r="J4436" t="inlineStr">
        <is>
          <t>High</t>
        </is>
      </c>
      <c r="M4436" t="inlineStr">
        <is>
          <t>LLM</t>
        </is>
      </c>
      <c r="N4436" t="inlineStr">
        <is>
          <t>2026-04-19</t>
        </is>
      </c>
      <c r="O4436" t="inlineStr">
        <is>
          <t>AI</t>
        </is>
      </c>
    </row>
    <row r="4437">
      <c r="A4437" t="inlineStr">
        <is>
          <t>PT Sampoerna Agro Tbk</t>
        </is>
      </c>
      <c r="B4437" t="inlineStr">
        <is>
          <t>SGRO_2022_AR.pdf</t>
        </is>
      </c>
      <c r="C4437" t="n">
        <v>2022</v>
      </c>
      <c r="D4437" t="inlineStr">
        <is>
          <t>Financial</t>
        </is>
      </c>
      <c r="E4437" t="inlineStr">
        <is>
          <t>Gross Interest-Bearing Debt</t>
        </is>
      </c>
      <c r="F4437" t="n">
        <v>3082</v>
      </c>
      <c r="G4437" t="inlineStr">
        <is>
          <t>IDR bn</t>
        </is>
      </c>
      <c r="H4437" t="n">
        <v>310</v>
      </c>
      <c r="I4437" t="inlineStr">
        <is>
          <t>Calc: 208+785 bonds + 175+823 sukuk + 94+997 bank loans = 3,082 bn</t>
        </is>
      </c>
      <c r="J4437" t="inlineStr">
        <is>
          <t>High</t>
        </is>
      </c>
      <c r="M4437" t="inlineStr">
        <is>
          <t>LLM</t>
        </is>
      </c>
      <c r="N4437" t="inlineStr">
        <is>
          <t>2026-04-19</t>
        </is>
      </c>
      <c r="O4437" t="inlineStr">
        <is>
          <t>AI</t>
        </is>
      </c>
    </row>
    <row r="4438">
      <c r="A4438" t="inlineStr">
        <is>
          <t>PT Sampoerna Agro Tbk</t>
        </is>
      </c>
      <c r="B4438" t="inlineStr">
        <is>
          <t>SGRO_2022_AR.pdf</t>
        </is>
      </c>
      <c r="C4438" t="n">
        <v>2022</v>
      </c>
      <c r="D4438" t="inlineStr">
        <is>
          <t>Financial</t>
        </is>
      </c>
      <c r="E4438" t="inlineStr">
        <is>
          <t>Total Equity</t>
        </is>
      </c>
      <c r="F4438" t="n">
        <v>5230</v>
      </c>
      <c r="G4438" t="inlineStr">
        <is>
          <t>IDR bn</t>
        </is>
      </c>
      <c r="H4438" t="n">
        <v>10</v>
      </c>
      <c r="I4438" t="inlineStr">
        <is>
          <t>Total Ekuitas ... 5.230 (2022)</t>
        </is>
      </c>
      <c r="J4438" t="inlineStr">
        <is>
          <t>High</t>
        </is>
      </c>
      <c r="M4438" t="inlineStr">
        <is>
          <t>LLM</t>
        </is>
      </c>
      <c r="N4438" t="inlineStr">
        <is>
          <t>2026-04-19</t>
        </is>
      </c>
      <c r="O4438" t="inlineStr">
        <is>
          <t>AI</t>
        </is>
      </c>
    </row>
    <row r="4439">
      <c r="A4439" t="inlineStr">
        <is>
          <t>PT Sampoerna Agro Tbk</t>
        </is>
      </c>
      <c r="B4439" t="inlineStr">
        <is>
          <t>SGRO_2022_AR.pdf</t>
        </is>
      </c>
      <c r="C4439" t="n">
        <v>2022</v>
      </c>
      <c r="D4439" t="inlineStr">
        <is>
          <t>Financial</t>
        </is>
      </c>
      <c r="E4439" t="inlineStr">
        <is>
          <t>CFO</t>
        </is>
      </c>
      <c r="F4439" t="n">
        <v>1254</v>
      </c>
      <c r="G4439" t="inlineStr">
        <is>
          <t>IDR bn</t>
        </is>
      </c>
      <c r="H4439" t="n">
        <v>111</v>
      </c>
      <c r="I4439" t="inlineStr">
        <is>
          <t>Arus Kas Neto yang Diperoleh dari Aktivitas Operasi 1.254 (2022)</t>
        </is>
      </c>
      <c r="J4439" t="inlineStr">
        <is>
          <t>High</t>
        </is>
      </c>
      <c r="M4439" t="inlineStr">
        <is>
          <t>LLM</t>
        </is>
      </c>
      <c r="N4439" t="inlineStr">
        <is>
          <t>2026-04-19</t>
        </is>
      </c>
      <c r="O4439" t="inlineStr">
        <is>
          <t>AI</t>
        </is>
      </c>
    </row>
    <row r="4440">
      <c r="A4440" t="inlineStr">
        <is>
          <t>PT Sampoerna Agro Tbk</t>
        </is>
      </c>
      <c r="B4440" t="inlineStr">
        <is>
          <t>SGRO_2022_AR.pdf</t>
        </is>
      </c>
      <c r="C4440" t="n">
        <v>2022</v>
      </c>
      <c r="D4440" t="inlineStr">
        <is>
          <t>Financial</t>
        </is>
      </c>
      <c r="E4440" t="inlineStr">
        <is>
          <t>CFI</t>
        </is>
      </c>
      <c r="F4440" t="n">
        <v>-407</v>
      </c>
      <c r="G4440" t="inlineStr">
        <is>
          <t>IDR bn</t>
        </is>
      </c>
      <c r="H4440" t="n">
        <v>111</v>
      </c>
      <c r="I4440" t="inlineStr">
        <is>
          <t>Arus Kas Neto yang Digunakan untuk Aktivitas Investasi (407)</t>
        </is>
      </c>
      <c r="J4440" t="inlineStr">
        <is>
          <t>High</t>
        </is>
      </c>
      <c r="M4440" t="inlineStr">
        <is>
          <t>LLM</t>
        </is>
      </c>
      <c r="N4440" t="inlineStr">
        <is>
          <t>2026-04-19</t>
        </is>
      </c>
      <c r="O4440" t="inlineStr">
        <is>
          <t>AI</t>
        </is>
      </c>
    </row>
    <row r="4441">
      <c r="A4441" t="inlineStr">
        <is>
          <t>PT Sampoerna Agro Tbk</t>
        </is>
      </c>
      <c r="B4441" t="inlineStr">
        <is>
          <t>SGRO_2022_AR.pdf</t>
        </is>
      </c>
      <c r="C4441" t="n">
        <v>2022</v>
      </c>
      <c r="D4441" t="inlineStr">
        <is>
          <t>Financial</t>
        </is>
      </c>
      <c r="E4441" t="inlineStr">
        <is>
          <t>CFF</t>
        </is>
      </c>
      <c r="F4441" t="n">
        <v>-808</v>
      </c>
      <c r="G4441" t="inlineStr">
        <is>
          <t>IDR bn</t>
        </is>
      </c>
      <c r="H4441" t="n">
        <v>111</v>
      </c>
      <c r="I4441" t="inlineStr">
        <is>
          <t>Arus Kas Neto yang Digunakan untuk Aktivitas Pendanaan (808)</t>
        </is>
      </c>
      <c r="J4441" t="inlineStr">
        <is>
          <t>High</t>
        </is>
      </c>
      <c r="M4441" t="inlineStr">
        <is>
          <t>LLM</t>
        </is>
      </c>
      <c r="N4441" t="inlineStr">
        <is>
          <t>2026-04-19</t>
        </is>
      </c>
      <c r="O4441" t="inlineStr">
        <is>
          <t>AI</t>
        </is>
      </c>
    </row>
    <row r="4442">
      <c r="A4442" t="inlineStr">
        <is>
          <t>PT Sampoerna Agro Tbk</t>
        </is>
      </c>
      <c r="B4442" t="inlineStr">
        <is>
          <t>SGRO_2022_AR.pdf</t>
        </is>
      </c>
      <c r="C4442" t="n">
        <v>2022</v>
      </c>
      <c r="D4442" t="inlineStr">
        <is>
          <t>Financial</t>
        </is>
      </c>
      <c r="E4442" t="inlineStr">
        <is>
          <t>Capex (Fixed Assets)</t>
        </is>
      </c>
      <c r="F4442" t="n">
        <v>192</v>
      </c>
      <c r="G4442" t="inlineStr">
        <is>
          <t>IDR bn</t>
        </is>
      </c>
      <c r="H4442" t="n">
        <v>112</v>
      </c>
      <c r="I4442" t="inlineStr">
        <is>
          <t>sebesar Rp192 miliar ditujukan untuk perolehan aset tetap</t>
        </is>
      </c>
      <c r="J4442" t="inlineStr">
        <is>
          <t>High</t>
        </is>
      </c>
      <c r="M4442" t="inlineStr">
        <is>
          <t>LLM</t>
        </is>
      </c>
      <c r="N4442" t="inlineStr">
        <is>
          <t>2026-04-19</t>
        </is>
      </c>
      <c r="O4442" t="inlineStr">
        <is>
          <t>AI</t>
        </is>
      </c>
    </row>
    <row r="4443">
      <c r="A4443" t="inlineStr">
        <is>
          <t>PT Sampoerna Agro Tbk</t>
        </is>
      </c>
      <c r="B4443" t="inlineStr">
        <is>
          <t>SGRO_2022_AR.pdf</t>
        </is>
      </c>
      <c r="C4443" t="n">
        <v>2022</v>
      </c>
      <c r="D4443" t="inlineStr">
        <is>
          <t>Financial</t>
        </is>
      </c>
      <c r="E4443" t="inlineStr">
        <is>
          <t>Capex (Bearer Plants + Nursery)</t>
        </is>
      </c>
      <c r="F4443" t="n">
        <v>212</v>
      </c>
      <c r="G4443" t="inlineStr">
        <is>
          <t>IDR bn</t>
        </is>
      </c>
      <c r="H4443" t="n">
        <v>112</v>
      </c>
      <c r="I4443" t="inlineStr">
        <is>
          <t>Sebesar Rp212 miliar dari nilai tersebut digunakan untuk penambahan tanaman produktif belum menghasilkan dan bibitan</t>
        </is>
      </c>
      <c r="J4443" t="inlineStr">
        <is>
          <t>High</t>
        </is>
      </c>
      <c r="M4443" t="inlineStr">
        <is>
          <t>LLM</t>
        </is>
      </c>
      <c r="N4443" t="inlineStr">
        <is>
          <t>2026-04-19</t>
        </is>
      </c>
      <c r="O4443" t="inlineStr">
        <is>
          <t>AI</t>
        </is>
      </c>
    </row>
    <row r="4444">
      <c r="A4444" t="inlineStr">
        <is>
          <t>PT Sampoerna Agro Tbk</t>
        </is>
      </c>
      <c r="B4444" t="inlineStr">
        <is>
          <t>SGRO_2022_AR.pdf</t>
        </is>
      </c>
      <c r="C4444" t="n">
        <v>2022</v>
      </c>
      <c r="D4444" t="inlineStr">
        <is>
          <t>Financial</t>
        </is>
      </c>
      <c r="E4444" t="inlineStr">
        <is>
          <t>Total Capex</t>
        </is>
      </c>
      <c r="F4444" t="n">
        <v>404</v>
      </c>
      <c r="G4444" t="inlineStr">
        <is>
          <t>IDR bn</t>
        </is>
      </c>
      <c r="H4444" t="n">
        <v>112</v>
      </c>
      <c r="I4444" t="inlineStr">
        <is>
          <t>Calc: 192 + 212 = 404 bn</t>
        </is>
      </c>
      <c r="J4444" t="inlineStr">
        <is>
          <t>High</t>
        </is>
      </c>
      <c r="M4444" t="inlineStr">
        <is>
          <t>LLM</t>
        </is>
      </c>
      <c r="N4444" t="inlineStr">
        <is>
          <t>2026-04-19</t>
        </is>
      </c>
      <c r="O4444" t="inlineStr">
        <is>
          <t>AI</t>
        </is>
      </c>
    </row>
    <row r="4445">
      <c r="A4445" t="inlineStr">
        <is>
          <t>PT Sampoerna Agro Tbk</t>
        </is>
      </c>
      <c r="B4445" t="inlineStr">
        <is>
          <t>SGRO_2022_AR.pdf</t>
        </is>
      </c>
      <c r="C4445" t="n">
        <v>2022</v>
      </c>
      <c r="D4445" t="inlineStr">
        <is>
          <t>Financial</t>
        </is>
      </c>
      <c r="E4445" t="inlineStr">
        <is>
          <t>EPS (Basic)</t>
        </is>
      </c>
      <c r="F4445" t="n">
        <v>577</v>
      </c>
      <c r="G4445" t="inlineStr">
        <is>
          <t>Rp/share</t>
        </is>
      </c>
      <c r="H4445" t="n">
        <v>10</v>
      </c>
      <c r="I4445" t="inlineStr">
        <is>
          <t>Laba/(Rugi) per Saham Dasar (angka penuh) 577 (2022)</t>
        </is>
      </c>
      <c r="J4445" t="inlineStr">
        <is>
          <t>High</t>
        </is>
      </c>
      <c r="M4445" t="inlineStr">
        <is>
          <t>LLM</t>
        </is>
      </c>
      <c r="N4445" t="inlineStr">
        <is>
          <t>2026-04-19</t>
        </is>
      </c>
      <c r="O4445" t="inlineStr">
        <is>
          <t>AI</t>
        </is>
      </c>
    </row>
    <row r="4446">
      <c r="A4446" t="inlineStr">
        <is>
          <t>PT Sampoerna Agro Tbk</t>
        </is>
      </c>
      <c r="B4446" t="inlineStr">
        <is>
          <t>SGRO_2022_AR.pdf</t>
        </is>
      </c>
      <c r="C4446" t="n">
        <v>2022</v>
      </c>
      <c r="D4446" t="inlineStr">
        <is>
          <t>Financial</t>
        </is>
      </c>
      <c r="E4446" t="inlineStr">
        <is>
          <t>Shares Outstanding</t>
        </is>
      </c>
      <c r="F4446" t="n">
        <v>1819</v>
      </c>
      <c r="G4446" t="inlineStr">
        <is>
          <t>mn</t>
        </is>
      </c>
      <c r="H4446" t="n">
        <v>10</v>
      </c>
      <c r="I4446" t="inlineStr">
        <is>
          <t>Jumlah Saham Beredar (ribu lembar) 1.818.622</t>
        </is>
      </c>
      <c r="J4446" t="inlineStr">
        <is>
          <t>High</t>
        </is>
      </c>
      <c r="M4446" t="inlineStr">
        <is>
          <t>LLM</t>
        </is>
      </c>
      <c r="N4446" t="inlineStr">
        <is>
          <t>2026-04-19</t>
        </is>
      </c>
      <c r="O4446" t="inlineStr">
        <is>
          <t>AI</t>
        </is>
      </c>
    </row>
    <row r="4447">
      <c r="A4447" t="inlineStr">
        <is>
          <t>PT Sampoerna Agro Tbk</t>
        </is>
      </c>
      <c r="B4447" t="inlineStr">
        <is>
          <t>SGRO_2022_AR.pdf</t>
        </is>
      </c>
      <c r="C4447" t="n">
        <v>2022</v>
      </c>
      <c r="D4447" t="inlineStr">
        <is>
          <t>Financial</t>
        </is>
      </c>
      <c r="E4447" t="inlineStr">
        <is>
          <t>Closing Price (31 Dec 2022)</t>
        </is>
      </c>
      <c r="F4447" t="n">
        <v>2100</v>
      </c>
      <c r="G4447" t="inlineStr">
        <is>
          <t>Rp/share</t>
        </is>
      </c>
      <c r="H4447" t="n">
        <v>14</v>
      </c>
      <c r="I4447" t="inlineStr">
        <is>
          <t>Triwulan 4 2022 Penutupan 2.100</t>
        </is>
      </c>
      <c r="J4447" t="inlineStr">
        <is>
          <t>High</t>
        </is>
      </c>
      <c r="M4447" t="inlineStr">
        <is>
          <t>LLM</t>
        </is>
      </c>
      <c r="N4447" t="inlineStr">
        <is>
          <t>2026-04-19</t>
        </is>
      </c>
      <c r="O4447" t="inlineStr">
        <is>
          <t>AI</t>
        </is>
      </c>
    </row>
    <row r="4448">
      <c r="A4448" t="inlineStr">
        <is>
          <t>PT Sampoerna Agro Tbk</t>
        </is>
      </c>
      <c r="B4448" t="inlineStr">
        <is>
          <t>SGRO_2022_AR.pdf</t>
        </is>
      </c>
      <c r="C4448" t="n">
        <v>2022</v>
      </c>
      <c r="D4448" t="inlineStr">
        <is>
          <t>Financial</t>
        </is>
      </c>
      <c r="E4448" t="inlineStr">
        <is>
          <t>Market Cap (31 Dec 2022)</t>
        </is>
      </c>
      <c r="F4448" t="n">
        <v>3819</v>
      </c>
      <c r="G4448" t="inlineStr">
        <is>
          <t>IDR bn</t>
        </is>
      </c>
      <c r="H4448" t="n">
        <v>14</v>
      </c>
      <c r="I4448" t="inlineStr">
        <is>
          <t>Triwulan 4 2022 Kapitalisasi Pasar 3.819</t>
        </is>
      </c>
      <c r="J4448" t="inlineStr">
        <is>
          <t>High</t>
        </is>
      </c>
      <c r="M4448" t="inlineStr">
        <is>
          <t>LLM</t>
        </is>
      </c>
      <c r="N4448" t="inlineStr">
        <is>
          <t>2026-04-19</t>
        </is>
      </c>
      <c r="O4448" t="inlineStr">
        <is>
          <t>AI</t>
        </is>
      </c>
    </row>
    <row r="4449">
      <c r="A4449" t="inlineStr">
        <is>
          <t>PT Sampoerna Agro Tbk</t>
        </is>
      </c>
      <c r="B4449" t="inlineStr">
        <is>
          <t>SGRO_2022_AR.pdf</t>
        </is>
      </c>
      <c r="C4449" t="n">
        <v>2022</v>
      </c>
      <c r="D4449" t="inlineStr">
        <is>
          <t>Financial</t>
        </is>
      </c>
      <c r="E4449" t="inlineStr">
        <is>
          <t>Final DPS 2022 (from 2021 profit)</t>
        </is>
      </c>
      <c r="F4449" t="n">
        <v>135</v>
      </c>
      <c r="G4449" t="inlineStr">
        <is>
          <t>Rp/share</t>
        </is>
      </c>
      <c r="H4449" t="n">
        <v>74</v>
      </c>
      <c r="I4449" t="inlineStr">
        <is>
          <t>dividen final senilai Rp245,51 miliar atau Rp135 per saham atas laba tahun 2021</t>
        </is>
      </c>
      <c r="J4449" t="inlineStr">
        <is>
          <t>High</t>
        </is>
      </c>
      <c r="M4449" t="inlineStr">
        <is>
          <t>LLM</t>
        </is>
      </c>
      <c r="N4449" t="inlineStr">
        <is>
          <t>2026-04-19</t>
        </is>
      </c>
      <c r="O4449" t="inlineStr">
        <is>
          <t>AI</t>
        </is>
      </c>
    </row>
    <row r="4450">
      <c r="A4450" t="inlineStr">
        <is>
          <t>PT Sampoerna Agro Tbk</t>
        </is>
      </c>
      <c r="B4450" t="inlineStr">
        <is>
          <t>SGRO_2022_AR.pdf</t>
        </is>
      </c>
      <c r="C4450" t="n">
        <v>2022</v>
      </c>
      <c r="D4450" t="inlineStr">
        <is>
          <t>Financial</t>
        </is>
      </c>
      <c r="E4450" t="inlineStr">
        <is>
          <t>Interim DPS 2022 (from 2022 profit)</t>
        </is>
      </c>
      <c r="F4450" t="n">
        <v>90</v>
      </c>
      <c r="G4450" t="inlineStr">
        <is>
          <t>Rp/share</t>
        </is>
      </c>
      <c r="H4450" t="n">
        <v>74</v>
      </c>
      <c r="I4450" t="inlineStr">
        <is>
          <t>dividen interim senilai Rp163,67 miliar atau Rp90 per saham atas laba tahun berjalan</t>
        </is>
      </c>
      <c r="J4450" t="inlineStr">
        <is>
          <t>High</t>
        </is>
      </c>
      <c r="M4450" t="inlineStr">
        <is>
          <t>LLM</t>
        </is>
      </c>
      <c r="N4450" t="inlineStr">
        <is>
          <t>2026-04-19</t>
        </is>
      </c>
      <c r="O4450" t="inlineStr">
        <is>
          <t>AI</t>
        </is>
      </c>
    </row>
    <row r="4451">
      <c r="A4451" t="inlineStr">
        <is>
          <t>PT Sampoerna Agro Tbk</t>
        </is>
      </c>
      <c r="B4451" t="inlineStr">
        <is>
          <t>SGRO_2022_AR.pdf</t>
        </is>
      </c>
      <c r="C4451" t="n">
        <v>2022</v>
      </c>
      <c r="D4451" t="inlineStr">
        <is>
          <t>Financial</t>
        </is>
      </c>
      <c r="E4451" t="inlineStr">
        <is>
          <t>ROA</t>
        </is>
      </c>
      <c r="F4451" t="n">
        <v>0.101</v>
      </c>
      <c r="G4451" t="inlineStr">
        <is>
          <t>%</t>
        </is>
      </c>
      <c r="H4451" t="n">
        <v>11</v>
      </c>
      <c r="I4451" t="inlineStr">
        <is>
          <t>Imbal Hasil atas Aset (ROA) 10,1% (2022)</t>
        </is>
      </c>
      <c r="J4451" t="inlineStr">
        <is>
          <t>High</t>
        </is>
      </c>
      <c r="M4451" t="inlineStr">
        <is>
          <t>LLM</t>
        </is>
      </c>
      <c r="N4451" t="inlineStr">
        <is>
          <t>2026-04-19</t>
        </is>
      </c>
      <c r="O4451" t="inlineStr">
        <is>
          <t>AI</t>
        </is>
      </c>
    </row>
    <row r="4452">
      <c r="A4452" t="inlineStr">
        <is>
          <t>PT Sampoerna Agro Tbk</t>
        </is>
      </c>
      <c r="B4452" t="inlineStr">
        <is>
          <t>SGRO_2022_AR.pdf</t>
        </is>
      </c>
      <c r="C4452" t="n">
        <v>2022</v>
      </c>
      <c r="D4452" t="inlineStr">
        <is>
          <t>Financial</t>
        </is>
      </c>
      <c r="E4452" t="inlineStr">
        <is>
          <t>ROE</t>
        </is>
      </c>
      <c r="F4452" t="n">
        <v>0.199</v>
      </c>
      <c r="G4452" t="inlineStr">
        <is>
          <t>%</t>
        </is>
      </c>
      <c r="H4452" t="n">
        <v>11</v>
      </c>
      <c r="I4452" t="inlineStr">
        <is>
          <t>Imbal Hasil atas Ekuitas (ROE) 19,9% (2022)</t>
        </is>
      </c>
      <c r="J4452" t="inlineStr">
        <is>
          <t>High</t>
        </is>
      </c>
      <c r="M4452" t="inlineStr">
        <is>
          <t>LLM</t>
        </is>
      </c>
      <c r="N4452" t="inlineStr">
        <is>
          <t>2026-04-19</t>
        </is>
      </c>
      <c r="O4452" t="inlineStr">
        <is>
          <t>AI</t>
        </is>
      </c>
    </row>
    <row r="4453">
      <c r="A4453" t="inlineStr">
        <is>
          <t>PT Sampoerna Agro Tbk</t>
        </is>
      </c>
      <c r="B4453" t="inlineStr">
        <is>
          <t>SGRO_2022_AR.pdf</t>
        </is>
      </c>
      <c r="C4453" t="n">
        <v>2022</v>
      </c>
      <c r="D4453" t="inlineStr">
        <is>
          <t>Financial</t>
        </is>
      </c>
      <c r="E4453" t="inlineStr">
        <is>
          <t>Net Debt-to-Equity Ratio</t>
        </is>
      </c>
      <c r="F4453" t="n">
        <v>0.492</v>
      </c>
      <c r="G4453" t="inlineStr">
        <is>
          <t>%</t>
        </is>
      </c>
      <c r="H4453" t="n">
        <v>11</v>
      </c>
      <c r="I4453" t="inlineStr">
        <is>
          <t>Liabilitas Berbunga Bersih terhadap Total Ekuitas 49,2% (2022)</t>
        </is>
      </c>
      <c r="J4453" t="inlineStr">
        <is>
          <t>High</t>
        </is>
      </c>
      <c r="M4453" t="inlineStr">
        <is>
          <t>LLM</t>
        </is>
      </c>
      <c r="N4453" t="inlineStr">
        <is>
          <t>2026-04-19</t>
        </is>
      </c>
      <c r="O4453" t="inlineStr">
        <is>
          <t>AI</t>
        </is>
      </c>
    </row>
    <row r="4454">
      <c r="A4454" t="inlineStr">
        <is>
          <t>PT Sampoerna Agro Tbk</t>
        </is>
      </c>
      <c r="B4454" t="inlineStr">
        <is>
          <t>SGRO_2022_AR.pdf</t>
        </is>
      </c>
      <c r="C4454" t="n">
        <v>2022</v>
      </c>
      <c r="D4454" t="inlineStr">
        <is>
          <t>Financial</t>
        </is>
      </c>
      <c r="E4454" t="inlineStr">
        <is>
          <t>Current Ratio</t>
        </is>
      </c>
      <c r="F4454" t="n">
        <v>1.323</v>
      </c>
      <c r="G4454" t="inlineStr">
        <is>
          <t>x</t>
        </is>
      </c>
      <c r="H4454" t="n">
        <v>11</v>
      </c>
      <c r="I4454" t="inlineStr">
        <is>
          <t>Rasio Lancar 132,3%</t>
        </is>
      </c>
      <c r="J4454" t="inlineStr">
        <is>
          <t>High</t>
        </is>
      </c>
      <c r="M4454" t="inlineStr">
        <is>
          <t>LLM</t>
        </is>
      </c>
      <c r="N4454" t="inlineStr">
        <is>
          <t>2026-04-19</t>
        </is>
      </c>
      <c r="O4454" t="inlineStr">
        <is>
          <t>AI</t>
        </is>
      </c>
    </row>
    <row r="4455">
      <c r="A4455" t="inlineStr">
        <is>
          <t>PT Sampoerna Agro Tbk</t>
        </is>
      </c>
      <c r="B4455" t="inlineStr">
        <is>
          <t>SGRO_2022_AR.pdf</t>
        </is>
      </c>
      <c r="C4455" t="n">
        <v>2022</v>
      </c>
      <c r="D4455" t="inlineStr">
        <is>
          <t>Financial</t>
        </is>
      </c>
      <c r="E4455" t="inlineStr">
        <is>
          <t>Gross Margin</t>
        </is>
      </c>
      <c r="F4455" t="n">
        <v>0.35</v>
      </c>
      <c r="G4455" t="inlineStr">
        <is>
          <t>%</t>
        </is>
      </c>
      <c r="H4455" t="n">
        <v>11</v>
      </c>
      <c r="I4455" t="inlineStr">
        <is>
          <t>Margin Laba Bruto 35,0%</t>
        </is>
      </c>
      <c r="J4455" t="inlineStr">
        <is>
          <t>High</t>
        </is>
      </c>
      <c r="M4455" t="inlineStr">
        <is>
          <t>LLM</t>
        </is>
      </c>
      <c r="N4455" t="inlineStr">
        <is>
          <t>2026-04-19</t>
        </is>
      </c>
      <c r="O4455" t="inlineStr">
        <is>
          <t>AI</t>
        </is>
      </c>
    </row>
    <row r="4456">
      <c r="A4456" t="inlineStr">
        <is>
          <t>PT Sampoerna Agro Tbk</t>
        </is>
      </c>
      <c r="B4456" t="inlineStr">
        <is>
          <t>SGRO_2022_AR.pdf</t>
        </is>
      </c>
      <c r="C4456" t="n">
        <v>2022</v>
      </c>
      <c r="D4456" t="inlineStr">
        <is>
          <t>Financial</t>
        </is>
      </c>
      <c r="E4456" t="inlineStr">
        <is>
          <t>Operating Margin</t>
        </is>
      </c>
      <c r="F4456" t="n">
        <v>0.285</v>
      </c>
      <c r="G4456" t="inlineStr">
        <is>
          <t>%</t>
        </is>
      </c>
      <c r="H4456" t="n">
        <v>11</v>
      </c>
      <c r="I4456" t="inlineStr">
        <is>
          <t>Margin Laba Usaha 28,5%</t>
        </is>
      </c>
      <c r="J4456" t="inlineStr">
        <is>
          <t>High</t>
        </is>
      </c>
      <c r="M4456" t="inlineStr">
        <is>
          <t>LLM</t>
        </is>
      </c>
      <c r="N4456" t="inlineStr">
        <is>
          <t>2026-04-19</t>
        </is>
      </c>
      <c r="O4456" t="inlineStr">
        <is>
          <t>AI</t>
        </is>
      </c>
    </row>
    <row r="4457">
      <c r="A4457" t="inlineStr">
        <is>
          <t>PT Sampoerna Agro Tbk</t>
        </is>
      </c>
      <c r="B4457" t="inlineStr">
        <is>
          <t>SGRO_2022_AR.pdf</t>
        </is>
      </c>
      <c r="C4457" t="n">
        <v>2022</v>
      </c>
      <c r="D4457" t="inlineStr">
        <is>
          <t>Financial</t>
        </is>
      </c>
      <c r="E4457" t="inlineStr">
        <is>
          <t>EBITDA Margin</t>
        </is>
      </c>
      <c r="F4457" t="n">
        <v>0.381</v>
      </c>
      <c r="G4457" t="inlineStr">
        <is>
          <t>%</t>
        </is>
      </c>
      <c r="H4457" t="n">
        <v>11</v>
      </c>
      <c r="I4457" t="inlineStr">
        <is>
          <t>Margin EBITDA 38,1%</t>
        </is>
      </c>
      <c r="J4457" t="inlineStr">
        <is>
          <t>High</t>
        </is>
      </c>
      <c r="M4457" t="inlineStr">
        <is>
          <t>LLM</t>
        </is>
      </c>
      <c r="N4457" t="inlineStr">
        <is>
          <t>2026-04-19</t>
        </is>
      </c>
      <c r="O4457" t="inlineStr">
        <is>
          <t>AI</t>
        </is>
      </c>
    </row>
    <row r="4458">
      <c r="A4458" t="inlineStr">
        <is>
          <t>PT Sampoerna Agro Tbk</t>
        </is>
      </c>
      <c r="B4458" t="inlineStr">
        <is>
          <t>SGRO_2022_AR.pdf</t>
        </is>
      </c>
      <c r="C4458" t="n">
        <v>2022</v>
      </c>
      <c r="D4458" t="inlineStr">
        <is>
          <t>Financial</t>
        </is>
      </c>
      <c r="E4458" t="inlineStr">
        <is>
          <t>Net Profit Margin</t>
        </is>
      </c>
      <c r="F4458" t="n">
        <v>0.183</v>
      </c>
      <c r="G4458" t="inlineStr">
        <is>
          <t>%</t>
        </is>
      </c>
      <c r="H4458" t="n">
        <v>11</v>
      </c>
      <c r="I4458" t="inlineStr">
        <is>
          <t>Margin Laba Tahun Berjalan 18,3% (prior year data: 18,5% from 2022 report; 2023 report adjusted to 18,3%)</t>
        </is>
      </c>
      <c r="J4458" t="inlineStr">
        <is>
          <t>High</t>
        </is>
      </c>
      <c r="M4458" t="inlineStr">
        <is>
          <t>LLM</t>
        </is>
      </c>
      <c r="N4458" t="inlineStr">
        <is>
          <t>2026-04-19</t>
        </is>
      </c>
      <c r="O4458" t="inlineStr">
        <is>
          <t>AI</t>
        </is>
      </c>
    </row>
    <row r="4459">
      <c r="A4459" t="inlineStr">
        <is>
          <t>PT Sampoerna Agro Tbk</t>
        </is>
      </c>
      <c r="B4459" t="inlineStr">
        <is>
          <t>SGRO_2022_AR.pdf</t>
        </is>
      </c>
      <c r="C4459" t="n">
        <v>2022</v>
      </c>
      <c r="D4459" t="inlineStr">
        <is>
          <t>Asset</t>
        </is>
      </c>
      <c r="E4459" t="inlineStr">
        <is>
          <t>Total Palm Planted (nucleus+plasma)</t>
        </is>
      </c>
      <c r="F4459" t="n">
        <v>133000</v>
      </c>
      <c r="G4459" t="inlineStr">
        <is>
          <t>ha</t>
        </is>
      </c>
      <c r="H4459" t="n">
        <v>92</v>
      </c>
      <c r="I4459" t="inlineStr">
        <is>
          <t>di Sumatra mencapai sekitar 83 ribu ha, sedangkan di Kalimantan ... sekitar 50 ribu ha</t>
        </is>
      </c>
      <c r="J4459" t="inlineStr">
        <is>
          <t>High</t>
        </is>
      </c>
      <c r="M4459" t="inlineStr">
        <is>
          <t>LLM</t>
        </is>
      </c>
      <c r="N4459" t="inlineStr">
        <is>
          <t>2026-04-19</t>
        </is>
      </c>
      <c r="O4459" t="inlineStr">
        <is>
          <t>AI</t>
        </is>
      </c>
    </row>
    <row r="4460">
      <c r="A4460" t="inlineStr">
        <is>
          <t>PT Sampoerna Agro Tbk</t>
        </is>
      </c>
      <c r="B4460" t="inlineStr">
        <is>
          <t>SGRO_2022_AR.pdf</t>
        </is>
      </c>
      <c r="C4460" t="n">
        <v>2022</v>
      </c>
      <c r="D4460" t="inlineStr">
        <is>
          <t>Asset</t>
        </is>
      </c>
      <c r="E4460" t="inlineStr">
        <is>
          <t>Sumatra Palm Planted</t>
        </is>
      </c>
      <c r="F4460" t="n">
        <v>83000</v>
      </c>
      <c r="G4460" t="inlineStr">
        <is>
          <t>ha</t>
        </is>
      </c>
      <c r="H4460" t="n">
        <v>92</v>
      </c>
      <c r="I4460" t="inlineStr">
        <is>
          <t>Total lahan tertanam inti dan plasma dari seluruh perkebunan Perseroan di Sumatra mencapai sekitar 83 ribu ha</t>
        </is>
      </c>
      <c r="J4460" t="inlineStr">
        <is>
          <t>High</t>
        </is>
      </c>
      <c r="M4460" t="inlineStr">
        <is>
          <t>LLM</t>
        </is>
      </c>
      <c r="N4460" t="inlineStr">
        <is>
          <t>2026-04-19</t>
        </is>
      </c>
      <c r="O4460" t="inlineStr">
        <is>
          <t>AI</t>
        </is>
      </c>
    </row>
    <row r="4461">
      <c r="A4461" t="inlineStr">
        <is>
          <t>PT Sampoerna Agro Tbk</t>
        </is>
      </c>
      <c r="B4461" t="inlineStr">
        <is>
          <t>SGRO_2022_AR.pdf</t>
        </is>
      </c>
      <c r="C4461" t="n">
        <v>2022</v>
      </c>
      <c r="D4461" t="inlineStr">
        <is>
          <t>Asset</t>
        </is>
      </c>
      <c r="E4461" t="inlineStr">
        <is>
          <t>Kalimantan Palm Planted</t>
        </is>
      </c>
      <c r="F4461" t="n">
        <v>50036</v>
      </c>
      <c r="G4461" t="inlineStr">
        <is>
          <t>ha</t>
        </is>
      </c>
      <c r="H4461" t="n">
        <v>61</v>
      </c>
      <c r="I4461" t="inlineStr">
        <is>
          <t>luas lahan inti dan plasma di Kalimantan Tengah dan Barat telah mencapai 50.036 ha</t>
        </is>
      </c>
      <c r="J4461" t="inlineStr">
        <is>
          <t>High</t>
        </is>
      </c>
      <c r="M4461" t="inlineStr">
        <is>
          <t>LLM</t>
        </is>
      </c>
      <c r="N4461" t="inlineStr">
        <is>
          <t>2026-04-19</t>
        </is>
      </c>
      <c r="O4461" t="inlineStr">
        <is>
          <t>AI</t>
        </is>
      </c>
    </row>
    <row r="4462">
      <c r="A4462" t="inlineStr">
        <is>
          <t>PT Sampoerna Agro Tbk</t>
        </is>
      </c>
      <c r="B4462" t="inlineStr">
        <is>
          <t>SGRO_2022_AR.pdf</t>
        </is>
      </c>
      <c r="C4462" t="n">
        <v>2022</v>
      </c>
      <c r="D4462" t="inlineStr">
        <is>
          <t>Asset</t>
        </is>
      </c>
      <c r="E4462" t="inlineStr">
        <is>
          <t>Plasma Planted Area</t>
        </is>
      </c>
      <c r="F4462" t="n">
        <v>49687</v>
      </c>
      <c r="G4462" t="inlineStr">
        <is>
          <t>ha</t>
        </is>
      </c>
      <c r="H4462" t="n">
        <v>68</v>
      </c>
      <c r="I4462" t="inlineStr">
        <is>
          <t>tersebar di lahan seluas 49.687 ha, di Sumatera dan Kalimantan</t>
        </is>
      </c>
      <c r="J4462" t="inlineStr">
        <is>
          <t>High</t>
        </is>
      </c>
      <c r="M4462" t="inlineStr">
        <is>
          <t>LLM</t>
        </is>
      </c>
      <c r="N4462" t="inlineStr">
        <is>
          <t>2026-04-19</t>
        </is>
      </c>
      <c r="O4462" t="inlineStr">
        <is>
          <t>AI</t>
        </is>
      </c>
    </row>
    <row r="4463">
      <c r="A4463" t="inlineStr">
        <is>
          <t>PT Sampoerna Agro Tbk</t>
        </is>
      </c>
      <c r="B4463" t="inlineStr">
        <is>
          <t>SGRO_2022_AR.pdf</t>
        </is>
      </c>
      <c r="C4463" t="n">
        <v>2022</v>
      </c>
      <c r="D4463" t="inlineStr">
        <is>
          <t>Asset</t>
        </is>
      </c>
      <c r="E4463" t="inlineStr">
        <is>
          <t>Plasma Smallholders Count</t>
        </is>
      </c>
      <c r="F4463" t="n">
        <v>36798</v>
      </c>
      <c r="G4463" t="inlineStr">
        <is>
          <t>count</t>
        </is>
      </c>
      <c r="H4463" t="n">
        <v>68</v>
      </c>
      <c r="I4463" t="inlineStr">
        <is>
          <t>jumlah petani plasma mencapai 36.798 pihak</t>
        </is>
      </c>
      <c r="J4463" t="inlineStr">
        <is>
          <t>High</t>
        </is>
      </c>
      <c r="M4463" t="inlineStr">
        <is>
          <t>LLM</t>
        </is>
      </c>
      <c r="N4463" t="inlineStr">
        <is>
          <t>2026-04-19</t>
        </is>
      </c>
      <c r="O4463" t="inlineStr">
        <is>
          <t>AI</t>
        </is>
      </c>
    </row>
    <row r="4464">
      <c r="A4464" t="inlineStr">
        <is>
          <t>PT Sampoerna Agro Tbk</t>
        </is>
      </c>
      <c r="B4464" t="inlineStr">
        <is>
          <t>SGRO_2022_AR.pdf</t>
        </is>
      </c>
      <c r="C4464" t="n">
        <v>2022</v>
      </c>
      <c r="D4464" t="inlineStr">
        <is>
          <t>Asset</t>
        </is>
      </c>
      <c r="E4464" t="inlineStr">
        <is>
          <t>Mature Ratio (palm)</t>
        </is>
      </c>
      <c r="F4464" t="n">
        <v>0.92</v>
      </c>
      <c r="G4464" t="inlineStr">
        <is>
          <t>%</t>
        </is>
      </c>
      <c r="H4464" t="n">
        <v>92</v>
      </c>
      <c r="I4464" t="inlineStr">
        <is>
          <t>Sebanyak 92% dari total luasan ini merupakan perkebunan yang menghasilkan</t>
        </is>
      </c>
      <c r="J4464" t="inlineStr">
        <is>
          <t>High</t>
        </is>
      </c>
      <c r="M4464" t="inlineStr">
        <is>
          <t>LLM</t>
        </is>
      </c>
      <c r="N4464" t="inlineStr">
        <is>
          <t>2026-04-19</t>
        </is>
      </c>
      <c r="O4464" t="inlineStr">
        <is>
          <t>AI</t>
        </is>
      </c>
    </row>
    <row r="4465">
      <c r="A4465" t="inlineStr">
        <is>
          <t>PT Sampoerna Agro Tbk</t>
        </is>
      </c>
      <c r="B4465" t="inlineStr">
        <is>
          <t>SGRO_2022_AR.pdf</t>
        </is>
      </c>
      <c r="C4465" t="n">
        <v>2022</v>
      </c>
      <c r="D4465" t="inlineStr">
        <is>
          <t>Asset</t>
        </is>
      </c>
      <c r="E4465" t="inlineStr">
        <is>
          <t>Avg Tree Age - Nucleus</t>
        </is>
      </c>
      <c r="F4465" t="n">
        <v>14</v>
      </c>
      <c r="G4465" t="inlineStr">
        <is>
          <t>years</t>
        </is>
      </c>
      <c r="H4465" t="n">
        <v>92</v>
      </c>
      <c r="I4465" t="inlineStr">
        <is>
          <t>Umur rata-rata kebun inti Perseroan di tahun 2022 adalah 14 tahun</t>
        </is>
      </c>
      <c r="J4465" t="inlineStr">
        <is>
          <t>High</t>
        </is>
      </c>
      <c r="M4465" t="inlineStr">
        <is>
          <t>LLM</t>
        </is>
      </c>
      <c r="N4465" t="inlineStr">
        <is>
          <t>2026-04-19</t>
        </is>
      </c>
      <c r="O4465" t="inlineStr">
        <is>
          <t>AI</t>
        </is>
      </c>
    </row>
    <row r="4466">
      <c r="A4466" t="inlineStr">
        <is>
          <t>PT Sampoerna Agro Tbk</t>
        </is>
      </c>
      <c r="B4466" t="inlineStr">
        <is>
          <t>SGRO_2022_AR.pdf</t>
        </is>
      </c>
      <c r="C4466" t="n">
        <v>2022</v>
      </c>
      <c r="D4466" t="inlineStr">
        <is>
          <t>Asset</t>
        </is>
      </c>
      <c r="E4466" t="inlineStr">
        <is>
          <t>Avg Tree Age - Plasma</t>
        </is>
      </c>
      <c r="F4466" t="n">
        <v>17</v>
      </c>
      <c r="G4466" t="inlineStr">
        <is>
          <t>years</t>
        </is>
      </c>
      <c r="H4466" t="n">
        <v>92</v>
      </c>
      <c r="I4466" t="inlineStr">
        <is>
          <t>untuk kebun plasma adalah 17 tahun</t>
        </is>
      </c>
      <c r="J4466" t="inlineStr">
        <is>
          <t>High</t>
        </is>
      </c>
      <c r="M4466" t="inlineStr">
        <is>
          <t>LLM</t>
        </is>
      </c>
      <c r="N4466" t="inlineStr">
        <is>
          <t>2026-04-19</t>
        </is>
      </c>
      <c r="O4466" t="inlineStr">
        <is>
          <t>AI</t>
        </is>
      </c>
    </row>
    <row r="4467">
      <c r="A4467" t="inlineStr">
        <is>
          <t>PT Sampoerna Agro Tbk</t>
        </is>
      </c>
      <c r="B4467" t="inlineStr">
        <is>
          <t>SGRO_2022_AR.pdf</t>
        </is>
      </c>
      <c r="C4467" t="n">
        <v>2022</v>
      </c>
      <c r="D4467" t="inlineStr">
        <is>
          <t>Asset</t>
        </is>
      </c>
      <c r="E4467" t="inlineStr">
        <is>
          <t>Sago Planted Area</t>
        </is>
      </c>
      <c r="F4467" t="n">
        <v>12781</v>
      </c>
      <c r="G4467" t="inlineStr">
        <is>
          <t>ha</t>
        </is>
      </c>
      <c r="H4467" t="n">
        <v>92</v>
      </c>
      <c r="I4467" t="inlineStr">
        <is>
          <t>12.781 ha (sagu)</t>
        </is>
      </c>
      <c r="J4467" t="inlineStr">
        <is>
          <t>High</t>
        </is>
      </c>
      <c r="M4467" t="inlineStr">
        <is>
          <t>LLM</t>
        </is>
      </c>
      <c r="N4467" t="inlineStr">
        <is>
          <t>2026-04-19</t>
        </is>
      </c>
      <c r="O4467" t="inlineStr">
        <is>
          <t>AI</t>
        </is>
      </c>
    </row>
    <row r="4468">
      <c r="A4468" t="inlineStr">
        <is>
          <t>PT Sampoerna Agro Tbk</t>
        </is>
      </c>
      <c r="B4468" t="inlineStr">
        <is>
          <t>SGRO_2022_AR.pdf</t>
        </is>
      </c>
      <c r="C4468" t="n">
        <v>2022</v>
      </c>
      <c r="D4468" t="inlineStr">
        <is>
          <t>Asset</t>
        </is>
      </c>
      <c r="E4468" t="inlineStr">
        <is>
          <t>Sago Concession Area</t>
        </is>
      </c>
      <c r="F4468" t="n">
        <v>21000</v>
      </c>
      <c r="G4468" t="inlineStr">
        <is>
          <t>ha</t>
        </is>
      </c>
      <c r="H4468" t="n">
        <v>92</v>
      </c>
      <c r="I4468" t="inlineStr">
        <is>
          <t>lahan tertanam 12.781 ha per akhir 2022 di Provinsi Riau ... sekitar 21.000 ha</t>
        </is>
      </c>
      <c r="J4468" t="inlineStr">
        <is>
          <t>High</t>
        </is>
      </c>
      <c r="M4468" t="inlineStr">
        <is>
          <t>LLM</t>
        </is>
      </c>
      <c r="N4468" t="inlineStr">
        <is>
          <t>2026-04-19</t>
        </is>
      </c>
      <c r="O4468" t="inlineStr">
        <is>
          <t>AI</t>
        </is>
      </c>
    </row>
    <row r="4469">
      <c r="A4469" t="inlineStr">
        <is>
          <t>PT Sampoerna Agro Tbk</t>
        </is>
      </c>
      <c r="B4469" t="inlineStr">
        <is>
          <t>SGRO_2022_AR.pdf</t>
        </is>
      </c>
      <c r="C4469" t="n">
        <v>2022</v>
      </c>
      <c r="D4469" t="inlineStr">
        <is>
          <t>Asset</t>
        </is>
      </c>
      <c r="E4469" t="inlineStr">
        <is>
          <t>Rubber Planted Area</t>
        </is>
      </c>
      <c r="F4469" t="n">
        <v>22361</v>
      </c>
      <c r="G4469" t="inlineStr">
        <is>
          <t>ha</t>
        </is>
      </c>
      <c r="H4469" t="n">
        <v>92</v>
      </c>
      <c r="I4469" t="inlineStr">
        <is>
          <t>Luas lahan tertanamnya hingga akhir 2022 mencapai 22.361 ha</t>
        </is>
      </c>
      <c r="J4469" t="inlineStr">
        <is>
          <t>High</t>
        </is>
      </c>
      <c r="M4469" t="inlineStr">
        <is>
          <t>LLM</t>
        </is>
      </c>
      <c r="N4469" t="inlineStr">
        <is>
          <t>2026-04-19</t>
        </is>
      </c>
      <c r="O4469" t="inlineStr">
        <is>
          <t>AI</t>
        </is>
      </c>
    </row>
    <row r="4470">
      <c r="A4470" t="inlineStr">
        <is>
          <t>PT Sampoerna Agro Tbk</t>
        </is>
      </c>
      <c r="B4470" t="inlineStr">
        <is>
          <t>SGRO_2022_AR.pdf</t>
        </is>
      </c>
      <c r="C4470" t="n">
        <v>2022</v>
      </c>
      <c r="D4470" t="inlineStr">
        <is>
          <t>Asset</t>
        </is>
      </c>
      <c r="E4470" t="inlineStr">
        <is>
          <t>Rubber Concession Area</t>
        </is>
      </c>
      <c r="F4470" t="n">
        <v>100000</v>
      </c>
      <c r="G4470" t="inlineStr">
        <is>
          <t>ha</t>
        </is>
      </c>
      <c r="H4470" t="n">
        <v>92</v>
      </c>
      <c r="I4470" t="inlineStr">
        <is>
          <t>konsesi hutan tanaman industri seluas sekitar 100.000 ha di Provinsi Kalimantan Barat</t>
        </is>
      </c>
      <c r="J4470" t="inlineStr">
        <is>
          <t>High</t>
        </is>
      </c>
      <c r="M4470" t="inlineStr">
        <is>
          <t>LLM</t>
        </is>
      </c>
      <c r="N4470" t="inlineStr">
        <is>
          <t>2026-04-19</t>
        </is>
      </c>
      <c r="O4470" t="inlineStr">
        <is>
          <t>AI</t>
        </is>
      </c>
    </row>
    <row r="4471">
      <c r="A4471" t="inlineStr">
        <is>
          <t>PT Sampoerna Agro Tbk</t>
        </is>
      </c>
      <c r="B4471" t="inlineStr">
        <is>
          <t>SGRO_2022_AR.pdf</t>
        </is>
      </c>
      <c r="C4471" t="n">
        <v>2022</v>
      </c>
      <c r="D4471" t="inlineStr">
        <is>
          <t>Asset</t>
        </is>
      </c>
      <c r="E4471" t="inlineStr">
        <is>
          <t>Palm Oil Mill Count (PKS)</t>
        </is>
      </c>
      <c r="F4471" t="n">
        <v>8</v>
      </c>
      <c r="G4471" t="inlineStr">
        <is>
          <t>count</t>
        </is>
      </c>
      <c r="H4471" t="n">
        <v>90</v>
      </c>
      <c r="I4471" t="inlineStr">
        <is>
          <t>Perseroan memiliki dan mengoperasikan 8 pabrik kelapa sawit (PKS) untuk mengolah TBS</t>
        </is>
      </c>
      <c r="J4471" t="inlineStr">
        <is>
          <t>High</t>
        </is>
      </c>
      <c r="M4471" t="inlineStr">
        <is>
          <t>LLM</t>
        </is>
      </c>
      <c r="N4471" t="inlineStr">
        <is>
          <t>2026-04-19</t>
        </is>
      </c>
      <c r="O4471" t="inlineStr">
        <is>
          <t>AI</t>
        </is>
      </c>
    </row>
    <row r="4472">
      <c r="A4472" t="inlineStr">
        <is>
          <t>PT Sampoerna Agro Tbk</t>
        </is>
      </c>
      <c r="B4472" t="inlineStr">
        <is>
          <t>SGRO_2022_AR.pdf</t>
        </is>
      </c>
      <c r="C4472" t="n">
        <v>2022</v>
      </c>
      <c r="D4472" t="inlineStr">
        <is>
          <t>Asset</t>
        </is>
      </c>
      <c r="E4472" t="inlineStr">
        <is>
          <t>Total Mill Capacity</t>
        </is>
      </c>
      <c r="F4472" t="n">
        <v>515</v>
      </c>
      <c r="G4472" t="inlineStr">
        <is>
          <t>tph</t>
        </is>
      </c>
      <c r="H4472" t="n">
        <v>90</v>
      </c>
      <c r="I4472" t="inlineStr">
        <is>
          <t>Kapasitas produksi gabungan dari seluruh PKS Perseroan adalah 515 ton TBS/jam</t>
        </is>
      </c>
      <c r="J4472" t="inlineStr">
        <is>
          <t>High</t>
        </is>
      </c>
      <c r="M4472" t="inlineStr">
        <is>
          <t>LLM</t>
        </is>
      </c>
      <c r="N4472" t="inlineStr">
        <is>
          <t>2026-04-19</t>
        </is>
      </c>
      <c r="O4472" t="inlineStr">
        <is>
          <t>AI</t>
        </is>
      </c>
    </row>
    <row r="4473">
      <c r="A4473" t="inlineStr">
        <is>
          <t>PT Sampoerna Agro Tbk</t>
        </is>
      </c>
      <c r="B4473" t="inlineStr">
        <is>
          <t>SGRO_2022_AR.pdf</t>
        </is>
      </c>
      <c r="C4473" t="n">
        <v>2022</v>
      </c>
      <c r="D4473" t="inlineStr">
        <is>
          <t>Operation</t>
        </is>
      </c>
      <c r="E4473" t="inlineStr">
        <is>
          <t>FFB Processed Total</t>
        </is>
      </c>
      <c r="F4473" t="n">
        <v>1913594</v>
      </c>
      <c r="G4473" t="inlineStr">
        <is>
          <t>t</t>
        </is>
      </c>
      <c r="H4473" t="n">
        <v>90</v>
      </c>
      <c r="I4473" t="inlineStr">
        <is>
          <t>TBS yang diolah di Perseroan mencapai 1.913.594 ton</t>
        </is>
      </c>
      <c r="J4473" t="inlineStr">
        <is>
          <t>High</t>
        </is>
      </c>
      <c r="M4473" t="inlineStr">
        <is>
          <t>LLM</t>
        </is>
      </c>
      <c r="N4473" t="inlineStr">
        <is>
          <t>2026-04-19</t>
        </is>
      </c>
      <c r="O4473" t="inlineStr">
        <is>
          <t>AI</t>
        </is>
      </c>
    </row>
    <row r="4474">
      <c r="A4474" t="inlineStr">
        <is>
          <t>PT Sampoerna Agro Tbk</t>
        </is>
      </c>
      <c r="B4474" t="inlineStr">
        <is>
          <t>SGRO_2022_AR.pdf</t>
        </is>
      </c>
      <c r="C4474" t="n">
        <v>2022</v>
      </c>
      <c r="D4474" t="inlineStr">
        <is>
          <t>Operation</t>
        </is>
      </c>
      <c r="E4474" t="inlineStr">
        <is>
          <t>FFB Nucleus</t>
        </is>
      </c>
      <c r="F4474" t="n">
        <v>1242866</v>
      </c>
      <c r="G4474" t="inlineStr">
        <is>
          <t>t</t>
        </is>
      </c>
      <c r="H4474" t="n">
        <v>90</v>
      </c>
      <c r="I4474" t="inlineStr">
        <is>
          <t>1.242.866 ton (65% dari keseluruhan) berasal dari kebun inti Perseroan</t>
        </is>
      </c>
      <c r="J4474" t="inlineStr">
        <is>
          <t>High</t>
        </is>
      </c>
      <c r="M4474" t="inlineStr">
        <is>
          <t>LLM</t>
        </is>
      </c>
      <c r="N4474" t="inlineStr">
        <is>
          <t>2026-04-19</t>
        </is>
      </c>
      <c r="O4474" t="inlineStr">
        <is>
          <t>AI</t>
        </is>
      </c>
    </row>
    <row r="4475">
      <c r="A4475" t="inlineStr">
        <is>
          <t>PT Sampoerna Agro Tbk</t>
        </is>
      </c>
      <c r="B4475" t="inlineStr">
        <is>
          <t>SGRO_2022_AR.pdf</t>
        </is>
      </c>
      <c r="C4475" t="n">
        <v>2022</v>
      </c>
      <c r="D4475" t="inlineStr">
        <is>
          <t>Operation</t>
        </is>
      </c>
      <c r="E4475" t="inlineStr">
        <is>
          <t>FFB Plasma + Third-party</t>
        </is>
      </c>
      <c r="F4475" t="n">
        <v>670728</v>
      </c>
      <c r="G4475" t="inlineStr">
        <is>
          <t>t</t>
        </is>
      </c>
      <c r="H4475" t="n">
        <v>90</v>
      </c>
      <c r="I4475" t="inlineStr">
        <is>
          <t>670.728 ton (35%) berasal dari kebun plasma dan pembelian TBS dari pihak eksternal</t>
        </is>
      </c>
      <c r="J4475" t="inlineStr">
        <is>
          <t>High</t>
        </is>
      </c>
      <c r="M4475" t="inlineStr">
        <is>
          <t>LLM</t>
        </is>
      </c>
      <c r="N4475" t="inlineStr">
        <is>
          <t>2026-04-19</t>
        </is>
      </c>
      <c r="O4475" t="inlineStr">
        <is>
          <t>AI</t>
        </is>
      </c>
    </row>
    <row r="4476">
      <c r="A4476" t="inlineStr">
        <is>
          <t>PT Sampoerna Agro Tbk</t>
        </is>
      </c>
      <c r="B4476" t="inlineStr">
        <is>
          <t>SGRO_2022_AR.pdf</t>
        </is>
      </c>
      <c r="C4476" t="n">
        <v>2022</v>
      </c>
      <c r="D4476" t="inlineStr">
        <is>
          <t>Operation</t>
        </is>
      </c>
      <c r="E4476" t="inlineStr">
        <is>
          <t>CPO Production</t>
        </is>
      </c>
      <c r="F4476" t="n">
        <v>394847</v>
      </c>
      <c r="G4476" t="inlineStr">
        <is>
          <t>t</t>
        </is>
      </c>
      <c r="H4476" t="n">
        <v>89</v>
      </c>
      <c r="I4476" t="inlineStr">
        <is>
          <t>Minyak Sawit Mentah (ton) ... 394.847 (2022)</t>
        </is>
      </c>
      <c r="J4476" t="inlineStr">
        <is>
          <t>High</t>
        </is>
      </c>
      <c r="M4476" t="inlineStr">
        <is>
          <t>LLM</t>
        </is>
      </c>
      <c r="N4476" t="inlineStr">
        <is>
          <t>2026-04-19</t>
        </is>
      </c>
      <c r="O4476" t="inlineStr">
        <is>
          <t>AI</t>
        </is>
      </c>
    </row>
    <row r="4477">
      <c r="A4477" t="inlineStr">
        <is>
          <t>PT Sampoerna Agro Tbk</t>
        </is>
      </c>
      <c r="B4477" t="inlineStr">
        <is>
          <t>SGRO_2022_AR.pdf</t>
        </is>
      </c>
      <c r="C4477" t="n">
        <v>2022</v>
      </c>
      <c r="D4477" t="inlineStr">
        <is>
          <t>Operation</t>
        </is>
      </c>
      <c r="E4477" t="inlineStr">
        <is>
          <t>Palm Kernel Production</t>
        </is>
      </c>
      <c r="F4477" t="n">
        <v>98321</v>
      </c>
      <c r="G4477" t="inlineStr">
        <is>
          <t>t</t>
        </is>
      </c>
      <c r="H4477" t="n">
        <v>89</v>
      </c>
      <c r="I4477" t="inlineStr">
        <is>
          <t>Inti Sawit (ton) ... 98.321 (2022)</t>
        </is>
      </c>
      <c r="J4477" t="inlineStr">
        <is>
          <t>High</t>
        </is>
      </c>
      <c r="M4477" t="inlineStr">
        <is>
          <t>LLM</t>
        </is>
      </c>
      <c r="N4477" t="inlineStr">
        <is>
          <t>2026-04-19</t>
        </is>
      </c>
      <c r="O4477" t="inlineStr">
        <is>
          <t>AI</t>
        </is>
      </c>
    </row>
    <row r="4478">
      <c r="A4478" t="inlineStr">
        <is>
          <t>PT Sampoerna Agro Tbk</t>
        </is>
      </c>
      <c r="B4478" t="inlineStr">
        <is>
          <t>SGRO_2022_AR.pdf</t>
        </is>
      </c>
      <c r="C4478" t="n">
        <v>2022</v>
      </c>
      <c r="D4478" t="inlineStr">
        <is>
          <t>Operation</t>
        </is>
      </c>
      <c r="E4478" t="inlineStr">
        <is>
          <t>Germinated Seeds Production</t>
        </is>
      </c>
      <c r="F4478" t="n">
        <v>22528000</v>
      </c>
      <c r="G4478" t="inlineStr">
        <is>
          <t>seeds</t>
        </is>
      </c>
      <c r="H4478" t="n">
        <v>89</v>
      </c>
      <c r="I4478" t="inlineStr">
        <is>
          <t>Kecambah Sawit ... 22.528 (ribuan butir) (2022)</t>
        </is>
      </c>
      <c r="J4478" t="inlineStr">
        <is>
          <t>High</t>
        </is>
      </c>
      <c r="M4478" t="inlineStr">
        <is>
          <t>LLM</t>
        </is>
      </c>
      <c r="N4478" t="inlineStr">
        <is>
          <t>2026-04-19</t>
        </is>
      </c>
      <c r="O4478" t="inlineStr">
        <is>
          <t>AI</t>
        </is>
      </c>
    </row>
    <row r="4479">
      <c r="A4479" t="inlineStr">
        <is>
          <t>PT Sampoerna Agro Tbk</t>
        </is>
      </c>
      <c r="B4479" t="inlineStr">
        <is>
          <t>SGRO_2022_AR.pdf</t>
        </is>
      </c>
      <c r="C4479" t="n">
        <v>2022</v>
      </c>
      <c r="D4479" t="inlineStr">
        <is>
          <t>Operation</t>
        </is>
      </c>
      <c r="E4479" t="inlineStr">
        <is>
          <t>Sago Production</t>
        </is>
      </c>
      <c r="F4479" t="n">
        <v>3030</v>
      </c>
      <c r="G4479" t="inlineStr">
        <is>
          <t>t</t>
        </is>
      </c>
      <c r="H4479" t="n">
        <v>89</v>
      </c>
      <c r="I4479" t="inlineStr">
        <is>
          <t>Sagu (ton) ... 3.030 (2022)</t>
        </is>
      </c>
      <c r="J4479" t="inlineStr">
        <is>
          <t>High</t>
        </is>
      </c>
      <c r="M4479" t="inlineStr">
        <is>
          <t>LLM</t>
        </is>
      </c>
      <c r="N4479" t="inlineStr">
        <is>
          <t>2026-04-19</t>
        </is>
      </c>
      <c r="O4479" t="inlineStr">
        <is>
          <t>AI</t>
        </is>
      </c>
    </row>
    <row r="4480">
      <c r="A4480" t="inlineStr">
        <is>
          <t>PT Sampoerna Agro Tbk</t>
        </is>
      </c>
      <c r="B4480" t="inlineStr">
        <is>
          <t>SGRO_2022_AR.pdf</t>
        </is>
      </c>
      <c r="C4480" t="n">
        <v>2022</v>
      </c>
      <c r="D4480" t="inlineStr">
        <is>
          <t>Operation</t>
        </is>
      </c>
      <c r="E4480" t="inlineStr">
        <is>
          <t>CPO Sales Volume</t>
        </is>
      </c>
      <c r="F4480" t="n">
        <v>375395</v>
      </c>
      <c r="G4480" t="inlineStr">
        <is>
          <t>t</t>
        </is>
      </c>
      <c r="H4480" t="n">
        <v>89</v>
      </c>
      <c r="I4480" t="inlineStr">
        <is>
          <t>Minyak Sawit Mentah (ton) sales ... 375.395 (2022)</t>
        </is>
      </c>
      <c r="J4480" t="inlineStr">
        <is>
          <t>High</t>
        </is>
      </c>
      <c r="M4480" t="inlineStr">
        <is>
          <t>LLM</t>
        </is>
      </c>
      <c r="N4480" t="inlineStr">
        <is>
          <t>2026-04-19</t>
        </is>
      </c>
      <c r="O4480" t="inlineStr">
        <is>
          <t>AI</t>
        </is>
      </c>
    </row>
    <row r="4481">
      <c r="A4481" t="inlineStr">
        <is>
          <t>PT Sampoerna Agro Tbk</t>
        </is>
      </c>
      <c r="B4481" t="inlineStr">
        <is>
          <t>SGRO_2022_AR.pdf</t>
        </is>
      </c>
      <c r="C4481" t="n">
        <v>2022</v>
      </c>
      <c r="D4481" t="inlineStr">
        <is>
          <t>Operation</t>
        </is>
      </c>
      <c r="E4481" t="inlineStr">
        <is>
          <t>PK Sales Volume</t>
        </is>
      </c>
      <c r="F4481" t="n">
        <v>95992</v>
      </c>
      <c r="G4481" t="inlineStr">
        <is>
          <t>t</t>
        </is>
      </c>
      <c r="H4481" t="n">
        <v>89</v>
      </c>
      <c r="I4481" t="inlineStr">
        <is>
          <t>Inti Sawit (ton) ... 95.992 (2022 sales)</t>
        </is>
      </c>
      <c r="J4481" t="inlineStr">
        <is>
          <t>High</t>
        </is>
      </c>
      <c r="M4481" t="inlineStr">
        <is>
          <t>LLM</t>
        </is>
      </c>
      <c r="N4481" t="inlineStr">
        <is>
          <t>2026-04-19</t>
        </is>
      </c>
      <c r="O4481" t="inlineStr">
        <is>
          <t>AI</t>
        </is>
      </c>
    </row>
    <row r="4482">
      <c r="A4482" t="inlineStr">
        <is>
          <t>PT Sampoerna Agro Tbk</t>
        </is>
      </c>
      <c r="B4482" t="inlineStr">
        <is>
          <t>SGRO_2022_AR.pdf</t>
        </is>
      </c>
      <c r="C4482" t="n">
        <v>2022</v>
      </c>
      <c r="D4482" t="inlineStr">
        <is>
          <t>Operation</t>
        </is>
      </c>
      <c r="E4482" t="inlineStr">
        <is>
          <t>Seed Sales Volume</t>
        </is>
      </c>
      <c r="F4482" t="n">
        <v>20286000</v>
      </c>
      <c r="G4482" t="inlineStr">
        <is>
          <t>seeds</t>
        </is>
      </c>
      <c r="H4482" t="n">
        <v>89</v>
      </c>
      <c r="I4482" t="inlineStr">
        <is>
          <t>Kecambah Sawit ... 20.286 (2022)</t>
        </is>
      </c>
      <c r="J4482" t="inlineStr">
        <is>
          <t>High</t>
        </is>
      </c>
      <c r="M4482" t="inlineStr">
        <is>
          <t>LLM</t>
        </is>
      </c>
      <c r="N4482" t="inlineStr">
        <is>
          <t>2026-04-19</t>
        </is>
      </c>
      <c r="O4482" t="inlineStr">
        <is>
          <t>AI</t>
        </is>
      </c>
    </row>
    <row r="4483">
      <c r="A4483" t="inlineStr">
        <is>
          <t>PT Sampoerna Agro Tbk</t>
        </is>
      </c>
      <c r="B4483" t="inlineStr">
        <is>
          <t>SGRO_2022_AR.pdf</t>
        </is>
      </c>
      <c r="C4483" t="n">
        <v>2022</v>
      </c>
      <c r="D4483" t="inlineStr">
        <is>
          <t>Operation</t>
        </is>
      </c>
      <c r="E4483" t="inlineStr">
        <is>
          <t>Sago Sales Volume</t>
        </is>
      </c>
      <c r="F4483" t="n">
        <v>2951</v>
      </c>
      <c r="G4483" t="inlineStr">
        <is>
          <t>t</t>
        </is>
      </c>
      <c r="H4483" t="n">
        <v>89</v>
      </c>
      <c r="I4483" t="inlineStr">
        <is>
          <t>Sagu ... 2.951 (2022)</t>
        </is>
      </c>
      <c r="J4483" t="inlineStr">
        <is>
          <t>High</t>
        </is>
      </c>
      <c r="M4483" t="inlineStr">
        <is>
          <t>LLM</t>
        </is>
      </c>
      <c r="N4483" t="inlineStr">
        <is>
          <t>2026-04-19</t>
        </is>
      </c>
      <c r="O4483" t="inlineStr">
        <is>
          <t>AI</t>
        </is>
      </c>
    </row>
    <row r="4484">
      <c r="A4484" t="inlineStr">
        <is>
          <t>PT Sampoerna Agro Tbk</t>
        </is>
      </c>
      <c r="B4484" t="inlineStr">
        <is>
          <t>SGRO_2022_AR.pdf</t>
        </is>
      </c>
      <c r="C4484" t="n">
        <v>2022</v>
      </c>
      <c r="D4484" t="inlineStr">
        <is>
          <t>Operation</t>
        </is>
      </c>
      <c r="E4484" t="inlineStr">
        <is>
          <t>Avg CPO Selling Price</t>
        </is>
      </c>
      <c r="F4484" t="n">
        <v>12341</v>
      </c>
      <c r="G4484" t="inlineStr">
        <is>
          <t>Rp/kg</t>
        </is>
      </c>
      <c r="H4484" t="n">
        <v>89</v>
      </c>
      <c r="I4484" t="inlineStr">
        <is>
          <t>Minyak Sawit Mentah (Rp/kg) 12.341 (2022)</t>
        </is>
      </c>
      <c r="J4484" t="inlineStr">
        <is>
          <t>High</t>
        </is>
      </c>
      <c r="M4484" t="inlineStr">
        <is>
          <t>LLM</t>
        </is>
      </c>
      <c r="N4484" t="inlineStr">
        <is>
          <t>2026-04-19</t>
        </is>
      </c>
      <c r="O4484" t="inlineStr">
        <is>
          <t>AI</t>
        </is>
      </c>
    </row>
    <row r="4485">
      <c r="A4485" t="inlineStr">
        <is>
          <t>PT Sampoerna Agro Tbk</t>
        </is>
      </c>
      <c r="B4485" t="inlineStr">
        <is>
          <t>SGRO_2022_AR.pdf</t>
        </is>
      </c>
      <c r="C4485" t="n">
        <v>2022</v>
      </c>
      <c r="D4485" t="inlineStr">
        <is>
          <t>Operation</t>
        </is>
      </c>
      <c r="E4485" t="inlineStr">
        <is>
          <t>Avg PK Selling Price</t>
        </is>
      </c>
      <c r="F4485" t="n">
        <v>7668</v>
      </c>
      <c r="G4485" t="inlineStr">
        <is>
          <t>Rp/kg</t>
        </is>
      </c>
      <c r="H4485" t="n">
        <v>89</v>
      </c>
      <c r="I4485" t="inlineStr">
        <is>
          <t>Inti Sawit (Rp/kg) 7.668 (2022)</t>
        </is>
      </c>
      <c r="J4485" t="inlineStr">
        <is>
          <t>High</t>
        </is>
      </c>
      <c r="M4485" t="inlineStr">
        <is>
          <t>LLM</t>
        </is>
      </c>
      <c r="N4485" t="inlineStr">
        <is>
          <t>2026-04-19</t>
        </is>
      </c>
      <c r="O4485" t="inlineStr">
        <is>
          <t>AI</t>
        </is>
      </c>
    </row>
    <row r="4486">
      <c r="A4486" t="inlineStr">
        <is>
          <t>PT Sampoerna Agro Tbk</t>
        </is>
      </c>
      <c r="B4486" t="inlineStr">
        <is>
          <t>SGRO_2022_AR.pdf</t>
        </is>
      </c>
      <c r="C4486" t="n">
        <v>2022</v>
      </c>
      <c r="D4486" t="inlineStr">
        <is>
          <t>Operation</t>
        </is>
      </c>
      <c r="E4486" t="inlineStr">
        <is>
          <t>Avg Seed Selling Price</t>
        </is>
      </c>
      <c r="F4486" t="n">
        <v>8375</v>
      </c>
      <c r="G4486" t="inlineStr">
        <is>
          <t>Rp/seed</t>
        </is>
      </c>
      <c r="H4486" t="n">
        <v>89</v>
      </c>
      <c r="I4486" t="inlineStr">
        <is>
          <t>Kecambah Sawit (Rp/bibit) 8.375 (2022)</t>
        </is>
      </c>
      <c r="J4486" t="inlineStr">
        <is>
          <t>High</t>
        </is>
      </c>
      <c r="M4486" t="inlineStr">
        <is>
          <t>LLM</t>
        </is>
      </c>
      <c r="N4486" t="inlineStr">
        <is>
          <t>2026-04-19</t>
        </is>
      </c>
      <c r="O4486" t="inlineStr">
        <is>
          <t>AI</t>
        </is>
      </c>
    </row>
    <row r="4487">
      <c r="A4487" t="inlineStr">
        <is>
          <t>PT Sampoerna Agro Tbk</t>
        </is>
      </c>
      <c r="B4487" t="inlineStr">
        <is>
          <t>SGRO_2022_AR.pdf</t>
        </is>
      </c>
      <c r="C4487" t="n">
        <v>2022</v>
      </c>
      <c r="D4487" t="inlineStr">
        <is>
          <t>Operation</t>
        </is>
      </c>
      <c r="E4487" t="inlineStr">
        <is>
          <t>OER (CPO Extraction Rate)</t>
        </is>
      </c>
      <c r="F4487" t="n">
        <v>0.21</v>
      </c>
      <c r="G4487" t="inlineStr">
        <is>
          <t>%</t>
        </is>
      </c>
      <c r="H4487" t="n">
        <v>100</v>
      </c>
      <c r="I4487" t="inlineStr">
        <is>
          <t>tingkat ekstraksi minyak (OER) sebesar 21,0% di tahun 2022 (karena curah hujan tinggi selama 2022)</t>
        </is>
      </c>
      <c r="J4487" t="inlineStr">
        <is>
          <t>High</t>
        </is>
      </c>
      <c r="M4487" t="inlineStr">
        <is>
          <t>LLM</t>
        </is>
      </c>
      <c r="N4487" t="inlineStr">
        <is>
          <t>2026-04-19</t>
        </is>
      </c>
      <c r="O4487" t="inlineStr">
        <is>
          <t>AI</t>
        </is>
      </c>
    </row>
    <row r="4488">
      <c r="A4488" t="inlineStr">
        <is>
          <t>PT Sampoerna Agro Tbk</t>
        </is>
      </c>
      <c r="B4488" t="inlineStr">
        <is>
          <t>SGRO_2022_AR.pdf</t>
        </is>
      </c>
      <c r="C4488" t="n">
        <v>2022</v>
      </c>
      <c r="D4488" t="inlineStr">
        <is>
          <t>Operation</t>
        </is>
      </c>
      <c r="E4488" t="inlineStr">
        <is>
          <t>Kalimantan FFB Contribution</t>
        </is>
      </c>
      <c r="F4488" t="n">
        <v>0.36</v>
      </c>
      <c r="G4488" t="inlineStr">
        <is>
          <t>%</t>
        </is>
      </c>
      <c r="H4488" t="n">
        <v>90</v>
      </c>
      <c r="I4488" t="inlineStr">
        <is>
          <t>kontribusinya terhadap total ... dari 35% di tahun 2021 menjadi 36% di tahun 2022</t>
        </is>
      </c>
      <c r="J4488" t="inlineStr">
        <is>
          <t>High</t>
        </is>
      </c>
      <c r="M4488" t="inlineStr">
        <is>
          <t>LLM</t>
        </is>
      </c>
      <c r="N4488" t="inlineStr">
        <is>
          <t>2026-04-19</t>
        </is>
      </c>
      <c r="O4488" t="inlineStr">
        <is>
          <t>AI</t>
        </is>
      </c>
    </row>
    <row r="4489">
      <c r="A4489" t="inlineStr">
        <is>
          <t>PT Sampoerna Agro Tbk</t>
        </is>
      </c>
      <c r="B4489" t="inlineStr">
        <is>
          <t>SGRO_2022_AR.pdf</t>
        </is>
      </c>
      <c r="C4489" t="n">
        <v>2022</v>
      </c>
      <c r="D4489" t="inlineStr">
        <is>
          <t>Operation</t>
        </is>
      </c>
      <c r="E4489" t="inlineStr">
        <is>
          <t>Sumatra FFB Contribution</t>
        </is>
      </c>
      <c r="F4489" t="n">
        <v>0.64</v>
      </c>
      <c r="G4489" t="inlineStr">
        <is>
          <t>%</t>
        </is>
      </c>
      <c r="H4489" t="n">
        <v>27</v>
      </c>
      <c r="I4489" t="inlineStr">
        <is>
          <t>Sekitar 64% total produksi TBS berasal dari Sumatra dan sisanya 36% berasal dari Kalimantan</t>
        </is>
      </c>
      <c r="J4489" t="inlineStr">
        <is>
          <t>High</t>
        </is>
      </c>
      <c r="M4489" t="inlineStr">
        <is>
          <t>LLM</t>
        </is>
      </c>
      <c r="N4489" t="inlineStr">
        <is>
          <t>2026-04-19</t>
        </is>
      </c>
      <c r="O4489" t="inlineStr">
        <is>
          <t>AI</t>
        </is>
      </c>
    </row>
    <row r="4490">
      <c r="A4490" t="inlineStr">
        <is>
          <t>PT Sampoerna Agro Tbk</t>
        </is>
      </c>
      <c r="B4490" t="inlineStr">
        <is>
          <t>SGRO_2022_AR.pdf</t>
        </is>
      </c>
      <c r="C4490" t="n">
        <v>2022</v>
      </c>
      <c r="D4490" t="inlineStr">
        <is>
          <t>Operation</t>
        </is>
      </c>
      <c r="E4490" t="inlineStr">
        <is>
          <t>Palm Products Segment Revenue</t>
        </is>
      </c>
      <c r="F4490" t="n">
        <v>5443</v>
      </c>
      <c r="G4490" t="inlineStr">
        <is>
          <t>IDR bn</t>
        </is>
      </c>
      <c r="H4490" t="n">
        <v>93</v>
      </c>
      <c r="I4490" t="inlineStr">
        <is>
          <t>Penjualan 5.442.879 Palm Products (2022)</t>
        </is>
      </c>
      <c r="J4490" t="inlineStr">
        <is>
          <t>High</t>
        </is>
      </c>
      <c r="M4490" t="inlineStr">
        <is>
          <t>LLM</t>
        </is>
      </c>
      <c r="N4490" t="inlineStr">
        <is>
          <t>2026-04-19</t>
        </is>
      </c>
      <c r="O4490" t="inlineStr">
        <is>
          <t>AI</t>
        </is>
      </c>
    </row>
    <row r="4491">
      <c r="A4491" t="inlineStr">
        <is>
          <t>PT Sampoerna Agro Tbk</t>
        </is>
      </c>
      <c r="B4491" t="inlineStr">
        <is>
          <t>SGRO_2022_AR.pdf</t>
        </is>
      </c>
      <c r="C4491" t="n">
        <v>2022</v>
      </c>
      <c r="D4491" t="inlineStr">
        <is>
          <t>Operation</t>
        </is>
      </c>
      <c r="E4491" t="inlineStr">
        <is>
          <t>Others Segment Revenue</t>
        </is>
      </c>
      <c r="F4491" t="n">
        <v>230</v>
      </c>
      <c r="G4491" t="inlineStr">
        <is>
          <t>IDR bn</t>
        </is>
      </c>
      <c r="H4491" t="n">
        <v>93</v>
      </c>
      <c r="I4491" t="inlineStr">
        <is>
          <t>230.044 Others (2022)</t>
        </is>
      </c>
      <c r="J4491" t="inlineStr">
        <is>
          <t>High</t>
        </is>
      </c>
      <c r="M4491" t="inlineStr">
        <is>
          <t>LLM</t>
        </is>
      </c>
      <c r="N4491" t="inlineStr">
        <is>
          <t>2026-04-19</t>
        </is>
      </c>
      <c r="O4491" t="inlineStr">
        <is>
          <t>AI</t>
        </is>
      </c>
    </row>
    <row r="4492">
      <c r="A4492" t="inlineStr">
        <is>
          <t>PT Sampoerna Agro Tbk</t>
        </is>
      </c>
      <c r="B4492" t="inlineStr">
        <is>
          <t>SGRO_2022_AR.pdf</t>
        </is>
      </c>
      <c r="C4492" t="n">
        <v>2022</v>
      </c>
      <c r="D4492" t="inlineStr">
        <is>
          <t>Operation</t>
        </is>
      </c>
      <c r="E4492" t="inlineStr">
        <is>
          <t>Palm Products Segment Profit</t>
        </is>
      </c>
      <c r="F4492" t="n">
        <v>1588</v>
      </c>
      <c r="G4492" t="inlineStr">
        <is>
          <t>IDR bn</t>
        </is>
      </c>
      <c r="H4492" t="n">
        <v>93</v>
      </c>
      <c r="I4492" t="inlineStr">
        <is>
          <t>Hasil Segmen 1.588.205 Palm Products (2022)</t>
        </is>
      </c>
      <c r="J4492" t="inlineStr">
        <is>
          <t>High</t>
        </is>
      </c>
      <c r="M4492" t="inlineStr">
        <is>
          <t>LLM</t>
        </is>
      </c>
      <c r="N4492" t="inlineStr">
        <is>
          <t>2026-04-19</t>
        </is>
      </c>
      <c r="O4492" t="inlineStr">
        <is>
          <t>AI</t>
        </is>
      </c>
    </row>
    <row r="4493">
      <c r="A4493" t="inlineStr">
        <is>
          <t>PT Sampoerna Agro Tbk</t>
        </is>
      </c>
      <c r="B4493" t="inlineStr">
        <is>
          <t>SGRO_2022_AR.pdf</t>
        </is>
      </c>
      <c r="C4493" t="n">
        <v>2022</v>
      </c>
      <c r="D4493" t="inlineStr">
        <is>
          <t>Operation</t>
        </is>
      </c>
      <c r="E4493" t="inlineStr">
        <is>
          <t>Others Segment Profit</t>
        </is>
      </c>
      <c r="F4493" t="n">
        <v>16</v>
      </c>
      <c r="G4493" t="inlineStr">
        <is>
          <t>IDR bn</t>
        </is>
      </c>
      <c r="H4493" t="n">
        <v>93</v>
      </c>
      <c r="I4493" t="inlineStr">
        <is>
          <t>15.621 Others (2022)</t>
        </is>
      </c>
      <c r="J4493" t="inlineStr">
        <is>
          <t>High</t>
        </is>
      </c>
      <c r="M4493" t="inlineStr">
        <is>
          <t>LLM</t>
        </is>
      </c>
      <c r="N4493" t="inlineStr">
        <is>
          <t>2026-04-19</t>
        </is>
      </c>
      <c r="O4493" t="inlineStr">
        <is>
          <t>AI</t>
        </is>
      </c>
    </row>
    <row r="4494">
      <c r="A4494" t="inlineStr">
        <is>
          <t>PT Sampoerna Agro Tbk</t>
        </is>
      </c>
      <c r="B4494" t="inlineStr">
        <is>
          <t>SGRO_2023_AR.pdf</t>
        </is>
      </c>
      <c r="C4494" t="n">
        <v>2023</v>
      </c>
      <c r="D4494" t="inlineStr">
        <is>
          <t>Company</t>
        </is>
      </c>
      <c r="E4494" t="inlineStr">
        <is>
          <t>Company Name</t>
        </is>
      </c>
      <c r="F4494" t="inlineStr">
        <is>
          <t>PT Sampoerna Agro Tbk</t>
        </is>
      </c>
      <c r="G4494" t="inlineStr">
        <is>
          <t>text</t>
        </is>
      </c>
      <c r="H4494" t="n">
        <v>1</v>
      </c>
      <c r="I4494" t="inlineStr">
        <is>
          <t>PT Sampoerna Agro Tbk</t>
        </is>
      </c>
      <c r="J4494" t="inlineStr">
        <is>
          <t>High</t>
        </is>
      </c>
      <c r="M4494" t="inlineStr">
        <is>
          <t>LLM</t>
        </is>
      </c>
      <c r="N4494" t="inlineStr">
        <is>
          <t>2026-04-19</t>
        </is>
      </c>
      <c r="O4494" t="inlineStr">
        <is>
          <t>AI</t>
        </is>
      </c>
    </row>
    <row r="4495">
      <c r="A4495" t="inlineStr">
        <is>
          <t>PT Sampoerna Agro Tbk</t>
        </is>
      </c>
      <c r="B4495" t="inlineStr">
        <is>
          <t>SGRO_2023_AR.pdf</t>
        </is>
      </c>
      <c r="C4495" t="n">
        <v>2023</v>
      </c>
      <c r="D4495" t="inlineStr">
        <is>
          <t>Company</t>
        </is>
      </c>
      <c r="E4495" t="inlineStr">
        <is>
          <t>Stock Ticker</t>
        </is>
      </c>
      <c r="F4495" t="inlineStr">
        <is>
          <t>SGRO</t>
        </is>
      </c>
      <c r="G4495" t="inlineStr">
        <is>
          <t>text</t>
        </is>
      </c>
      <c r="H4495" t="n">
        <v>69</v>
      </c>
      <c r="I4495" t="inlineStr">
        <is>
          <t>saham SGRO</t>
        </is>
      </c>
      <c r="J4495" t="inlineStr">
        <is>
          <t>High</t>
        </is>
      </c>
      <c r="M4495" t="inlineStr">
        <is>
          <t>LLM</t>
        </is>
      </c>
      <c r="N4495" t="inlineStr">
        <is>
          <t>2026-04-19</t>
        </is>
      </c>
      <c r="O4495" t="inlineStr">
        <is>
          <t>AI</t>
        </is>
      </c>
    </row>
    <row r="4496">
      <c r="A4496" t="inlineStr">
        <is>
          <t>PT Sampoerna Agro Tbk</t>
        </is>
      </c>
      <c r="B4496" t="inlineStr">
        <is>
          <t>SGRO_2023_AR.pdf</t>
        </is>
      </c>
      <c r="C4496" t="n">
        <v>2023</v>
      </c>
      <c r="D4496" t="inlineStr">
        <is>
          <t>Company</t>
        </is>
      </c>
      <c r="E4496" t="inlineStr">
        <is>
          <t>HQ Address</t>
        </is>
      </c>
      <c r="F4496" t="inlineStr">
        <is>
          <t>Jalan Basuki Rahmat No. 788, Palembang, Sumatera Selatan 30128</t>
        </is>
      </c>
      <c r="G4496" t="inlineStr">
        <is>
          <t>text</t>
        </is>
      </c>
      <c r="H4496" t="n">
        <v>76</v>
      </c>
      <c r="I4496" t="inlineStr">
        <is>
          <t>Kantor Pusat Palembang</t>
        </is>
      </c>
      <c r="J4496" t="inlineStr">
        <is>
          <t>High</t>
        </is>
      </c>
      <c r="M4496" t="inlineStr">
        <is>
          <t>LLM</t>
        </is>
      </c>
      <c r="N4496" t="inlineStr">
        <is>
          <t>2026-04-19</t>
        </is>
      </c>
      <c r="O4496" t="inlineStr">
        <is>
          <t>AI</t>
        </is>
      </c>
    </row>
    <row r="4497">
      <c r="A4497" t="inlineStr">
        <is>
          <t>PT Sampoerna Agro Tbk</t>
        </is>
      </c>
      <c r="B4497" t="inlineStr">
        <is>
          <t>SGRO_2023_AR.pdf</t>
        </is>
      </c>
      <c r="C4497" t="n">
        <v>2023</v>
      </c>
      <c r="D4497" t="inlineStr">
        <is>
          <t>Company</t>
        </is>
      </c>
      <c r="E4497" t="inlineStr">
        <is>
          <t>Controlling Shareholder</t>
        </is>
      </c>
      <c r="F4497" t="inlineStr">
        <is>
          <t>Sampoerna Agri Resources Pte Ltd 69.68%</t>
        </is>
      </c>
      <c r="G4497" t="inlineStr">
        <is>
          <t>%</t>
        </is>
      </c>
      <c r="H4497" t="n">
        <v>74</v>
      </c>
      <c r="I4497" t="inlineStr">
        <is>
          <t>Pemegang saham utama dan pengendali dari Perseroan adalah Sampoerna Agri Resources Pte Ltd ... 69,68%</t>
        </is>
      </c>
      <c r="J4497" t="inlineStr">
        <is>
          <t>High</t>
        </is>
      </c>
      <c r="M4497" t="inlineStr">
        <is>
          <t>LLM</t>
        </is>
      </c>
      <c r="N4497" t="inlineStr">
        <is>
          <t>2026-04-19</t>
        </is>
      </c>
      <c r="O4497" t="inlineStr">
        <is>
          <t>AI</t>
        </is>
      </c>
    </row>
    <row r="4498">
      <c r="A4498" t="inlineStr">
        <is>
          <t>PT Sampoerna Agro Tbk</t>
        </is>
      </c>
      <c r="B4498" t="inlineStr">
        <is>
          <t>SGRO_2023_AR.pdf</t>
        </is>
      </c>
      <c r="C4498" t="n">
        <v>2023</v>
      </c>
      <c r="D4498" t="inlineStr">
        <is>
          <t>Company</t>
        </is>
      </c>
      <c r="E4498" t="inlineStr">
        <is>
          <t>Ultimate Beneficial Owner</t>
        </is>
      </c>
      <c r="F4498" t="inlineStr">
        <is>
          <t>Putera Sampoerna</t>
        </is>
      </c>
      <c r="G4498" t="inlineStr">
        <is>
          <t>text</t>
        </is>
      </c>
      <c r="H4498" t="n">
        <v>74</v>
      </c>
      <c r="I4498" t="inlineStr">
        <is>
          <t>Pemilik manfaat akhir ... adalah Putera Sampoerna</t>
        </is>
      </c>
      <c r="J4498" t="inlineStr">
        <is>
          <t>High</t>
        </is>
      </c>
      <c r="M4498" t="inlineStr">
        <is>
          <t>LLM</t>
        </is>
      </c>
      <c r="N4498" t="inlineStr">
        <is>
          <t>2026-04-19</t>
        </is>
      </c>
      <c r="O4498" t="inlineStr">
        <is>
          <t>AI</t>
        </is>
      </c>
    </row>
    <row r="4499">
      <c r="A4499" t="inlineStr">
        <is>
          <t>PT Sampoerna Agro Tbk</t>
        </is>
      </c>
      <c r="B4499" t="inlineStr">
        <is>
          <t>SGRO_2023_AR.pdf</t>
        </is>
      </c>
      <c r="C4499" t="n">
        <v>2023</v>
      </c>
      <c r="D4499" t="inlineStr">
        <is>
          <t>Company</t>
        </is>
      </c>
      <c r="E4499" t="inlineStr">
        <is>
          <t>Total Shares Outstanding</t>
        </is>
      </c>
      <c r="F4499" t="n">
        <v>1818622000</v>
      </c>
      <c r="G4499" t="inlineStr">
        <is>
          <t>shares</t>
        </is>
      </c>
      <c r="H4499" t="n">
        <v>73</v>
      </c>
      <c r="I4499" t="inlineStr">
        <is>
          <t>Total 1.818.622.000 100,00%</t>
        </is>
      </c>
      <c r="J4499" t="inlineStr">
        <is>
          <t>High</t>
        </is>
      </c>
      <c r="M4499" t="inlineStr">
        <is>
          <t>LLM</t>
        </is>
      </c>
      <c r="N4499" t="inlineStr">
        <is>
          <t>2026-04-19</t>
        </is>
      </c>
      <c r="O4499" t="inlineStr">
        <is>
          <t>AI</t>
        </is>
      </c>
    </row>
    <row r="4500">
      <c r="A4500" t="inlineStr">
        <is>
          <t>PT Sampoerna Agro Tbk</t>
        </is>
      </c>
      <c r="B4500" t="inlineStr">
        <is>
          <t>SGRO_2023_AR.pdf</t>
        </is>
      </c>
      <c r="C4500" t="n">
        <v>2023</v>
      </c>
      <c r="D4500" t="inlineStr">
        <is>
          <t>Company</t>
        </is>
      </c>
      <c r="E4500" t="inlineStr">
        <is>
          <t>Public Float</t>
        </is>
      </c>
      <c r="F4500" t="n">
        <v>0.0542</v>
      </c>
      <c r="G4500" t="inlineStr">
        <is>
          <t>%</t>
        </is>
      </c>
      <c r="H4500" t="n">
        <v>73</v>
      </c>
      <c r="I4500" t="inlineStr">
        <is>
          <t>Masyarakat (masing-masing &lt;5%) 98.571.000 5,42%</t>
        </is>
      </c>
      <c r="J4500" t="inlineStr">
        <is>
          <t>High</t>
        </is>
      </c>
      <c r="M4500" t="inlineStr">
        <is>
          <t>LLM</t>
        </is>
      </c>
      <c r="N4500" t="inlineStr">
        <is>
          <t>2026-04-19</t>
        </is>
      </c>
      <c r="O4500" t="inlineStr">
        <is>
          <t>AI</t>
        </is>
      </c>
    </row>
    <row r="4501">
      <c r="A4501" t="inlineStr">
        <is>
          <t>PT Sampoerna Agro Tbk</t>
        </is>
      </c>
      <c r="B4501" t="inlineStr">
        <is>
          <t>SGRO_2023_AR.pdf</t>
        </is>
      </c>
      <c r="C4501" t="n">
        <v>2023</v>
      </c>
      <c r="D4501" t="inlineStr">
        <is>
          <t>Company</t>
        </is>
      </c>
      <c r="E4501" t="inlineStr">
        <is>
          <t>Foreign vs Domestic Ownership</t>
        </is>
      </c>
      <c r="F4501" t="inlineStr">
        <is>
          <t>Foreign 78.2% / Domestic 21.8%</t>
        </is>
      </c>
      <c r="G4501" t="inlineStr">
        <is>
          <t>%</t>
        </is>
      </c>
      <c r="H4501" t="n">
        <v>74</v>
      </c>
      <c r="I4501" t="inlineStr">
        <is>
          <t>Total 21,8% 78,2% 100,0%</t>
        </is>
      </c>
      <c r="J4501" t="inlineStr">
        <is>
          <t>High</t>
        </is>
      </c>
      <c r="M4501" t="inlineStr">
        <is>
          <t>LLM</t>
        </is>
      </c>
      <c r="N4501" t="inlineStr">
        <is>
          <t>2026-04-19</t>
        </is>
      </c>
      <c r="O4501" t="inlineStr">
        <is>
          <t>AI</t>
        </is>
      </c>
    </row>
    <row r="4502">
      <c r="A4502" t="inlineStr">
        <is>
          <t>PT Sampoerna Agro Tbk</t>
        </is>
      </c>
      <c r="B4502" t="inlineStr">
        <is>
          <t>SGRO_2023_AR.pdf</t>
        </is>
      </c>
      <c r="C4502" t="n">
        <v>2023</v>
      </c>
      <c r="D4502" t="inlineStr">
        <is>
          <t>Company</t>
        </is>
      </c>
      <c r="E4502" t="inlineStr">
        <is>
          <t>Employees</t>
        </is>
      </c>
      <c r="F4502" t="n">
        <v>9283</v>
      </c>
      <c r="G4502" t="inlineStr">
        <is>
          <t>persons</t>
        </is>
      </c>
      <c r="H4502" t="n">
        <v>11</v>
      </c>
      <c r="I4502" t="inlineStr">
        <is>
          <t>Jumlah Karyawan (orang) ... 9.283</t>
        </is>
      </c>
      <c r="J4502" t="inlineStr">
        <is>
          <t>High</t>
        </is>
      </c>
      <c r="M4502" t="inlineStr">
        <is>
          <t>LLM</t>
        </is>
      </c>
      <c r="N4502" t="inlineStr">
        <is>
          <t>2026-04-19</t>
        </is>
      </c>
      <c r="O4502" t="inlineStr">
        <is>
          <t>AI</t>
        </is>
      </c>
    </row>
    <row r="4503">
      <c r="A4503" t="inlineStr">
        <is>
          <t>PT Sampoerna Agro Tbk</t>
        </is>
      </c>
      <c r="B4503" t="inlineStr">
        <is>
          <t>SGRO_2023_AR.pdf</t>
        </is>
      </c>
      <c r="C4503" t="n">
        <v>2023</v>
      </c>
      <c r="D4503" t="inlineStr">
        <is>
          <t>Financial</t>
        </is>
      </c>
      <c r="E4503" t="inlineStr">
        <is>
          <t>Revenue</t>
        </is>
      </c>
      <c r="F4503" t="n">
        <v>5621</v>
      </c>
      <c r="G4503" t="inlineStr">
        <is>
          <t>IDR bn</t>
        </is>
      </c>
      <c r="H4503" t="n">
        <v>10</v>
      </c>
      <c r="I4503" t="inlineStr">
        <is>
          <t>Penjualan 5.672 5.621 (2022/2023)</t>
        </is>
      </c>
      <c r="J4503" t="inlineStr">
        <is>
          <t>High</t>
        </is>
      </c>
      <c r="M4503" t="inlineStr">
        <is>
          <t>LLM</t>
        </is>
      </c>
      <c r="N4503" t="inlineStr">
        <is>
          <t>2026-04-19</t>
        </is>
      </c>
      <c r="O4503" t="inlineStr">
        <is>
          <t>AI</t>
        </is>
      </c>
    </row>
    <row r="4504">
      <c r="A4504" t="inlineStr">
        <is>
          <t>PT Sampoerna Agro Tbk</t>
        </is>
      </c>
      <c r="B4504" t="inlineStr">
        <is>
          <t>SGRO_2023_AR.pdf</t>
        </is>
      </c>
      <c r="C4504" t="n">
        <v>2023</v>
      </c>
      <c r="D4504" t="inlineStr">
        <is>
          <t>Financial</t>
        </is>
      </c>
      <c r="E4504" t="inlineStr">
        <is>
          <t>Gross Profit</t>
        </is>
      </c>
      <c r="F4504" t="n">
        <v>1327</v>
      </c>
      <c r="G4504" t="inlineStr">
        <is>
          <t>IDR bn</t>
        </is>
      </c>
      <c r="H4504" t="n">
        <v>10</v>
      </c>
      <c r="I4504" t="inlineStr">
        <is>
          <t>Laba Bruto 1.984 1.327</t>
        </is>
      </c>
      <c r="J4504" t="inlineStr">
        <is>
          <t>High</t>
        </is>
      </c>
      <c r="M4504" t="inlineStr">
        <is>
          <t>LLM</t>
        </is>
      </c>
      <c r="N4504" t="inlineStr">
        <is>
          <t>2026-04-19</t>
        </is>
      </c>
      <c r="O4504" t="inlineStr">
        <is>
          <t>AI</t>
        </is>
      </c>
    </row>
    <row r="4505">
      <c r="A4505" t="inlineStr">
        <is>
          <t>PT Sampoerna Agro Tbk</t>
        </is>
      </c>
      <c r="B4505" t="inlineStr">
        <is>
          <t>SGRO_2023_AR.pdf</t>
        </is>
      </c>
      <c r="C4505" t="n">
        <v>2023</v>
      </c>
      <c r="D4505" t="inlineStr">
        <is>
          <t>Financial</t>
        </is>
      </c>
      <c r="E4505" t="inlineStr">
        <is>
          <t>Cost of Sales</t>
        </is>
      </c>
      <c r="F4505" t="n">
        <v>4294</v>
      </c>
      <c r="G4505" t="inlineStr">
        <is>
          <t>IDR bn</t>
        </is>
      </c>
      <c r="H4505" t="n">
        <v>116</v>
      </c>
      <c r="I4505" t="inlineStr">
        <is>
          <t>Beban Pokok Penjualan (4.294)</t>
        </is>
      </c>
      <c r="J4505" t="inlineStr">
        <is>
          <t>High</t>
        </is>
      </c>
      <c r="M4505" t="inlineStr">
        <is>
          <t>LLM</t>
        </is>
      </c>
      <c r="N4505" t="inlineStr">
        <is>
          <t>2026-04-19</t>
        </is>
      </c>
      <c r="O4505" t="inlineStr">
        <is>
          <t>AI</t>
        </is>
      </c>
    </row>
    <row r="4506">
      <c r="A4506" t="inlineStr">
        <is>
          <t>PT Sampoerna Agro Tbk</t>
        </is>
      </c>
      <c r="B4506" t="inlineStr">
        <is>
          <t>SGRO_2023_AR.pdf</t>
        </is>
      </c>
      <c r="C4506" t="n">
        <v>2023</v>
      </c>
      <c r="D4506" t="inlineStr">
        <is>
          <t>Financial</t>
        </is>
      </c>
      <c r="E4506" t="inlineStr">
        <is>
          <t>Operating Profit (EBIT)</t>
        </is>
      </c>
      <c r="F4506" t="n">
        <v>937</v>
      </c>
      <c r="G4506" t="inlineStr">
        <is>
          <t>IDR bn</t>
        </is>
      </c>
      <c r="H4506" t="n">
        <v>10</v>
      </c>
      <c r="I4506" t="inlineStr">
        <is>
          <t>Laba Usaha 1.619 937 (2022/2023)</t>
        </is>
      </c>
      <c r="J4506" t="inlineStr">
        <is>
          <t>High</t>
        </is>
      </c>
      <c r="M4506" t="inlineStr">
        <is>
          <t>LLM</t>
        </is>
      </c>
      <c r="N4506" t="inlineStr">
        <is>
          <t>2026-04-19</t>
        </is>
      </c>
      <c r="O4506" t="inlineStr">
        <is>
          <t>AI</t>
        </is>
      </c>
    </row>
    <row r="4507">
      <c r="A4507" t="inlineStr">
        <is>
          <t>PT Sampoerna Agro Tbk</t>
        </is>
      </c>
      <c r="B4507" t="inlineStr">
        <is>
          <t>SGRO_2023_AR.pdf</t>
        </is>
      </c>
      <c r="C4507" t="n">
        <v>2023</v>
      </c>
      <c r="D4507" t="inlineStr">
        <is>
          <t>Financial</t>
        </is>
      </c>
      <c r="E4507" t="inlineStr">
        <is>
          <t>Profit Before Tax</t>
        </is>
      </c>
      <c r="F4507" t="n">
        <v>744</v>
      </c>
      <c r="G4507" t="inlineStr">
        <is>
          <t>IDR bn</t>
        </is>
      </c>
      <c r="H4507" t="n">
        <v>116</v>
      </c>
      <c r="I4507" t="inlineStr">
        <is>
          <t>Laba Sebelum Pajak Penghasilan 744</t>
        </is>
      </c>
      <c r="J4507" t="inlineStr">
        <is>
          <t>High</t>
        </is>
      </c>
      <c r="M4507" t="inlineStr">
        <is>
          <t>LLM</t>
        </is>
      </c>
      <c r="N4507" t="inlineStr">
        <is>
          <t>2026-04-19</t>
        </is>
      </c>
      <c r="O4507" t="inlineStr">
        <is>
          <t>AI</t>
        </is>
      </c>
    </row>
    <row r="4508">
      <c r="A4508" t="inlineStr">
        <is>
          <t>PT Sampoerna Agro Tbk</t>
        </is>
      </c>
      <c r="B4508" t="inlineStr">
        <is>
          <t>SGRO_2023_AR.pdf</t>
        </is>
      </c>
      <c r="C4508" t="n">
        <v>2023</v>
      </c>
      <c r="D4508" t="inlineStr">
        <is>
          <t>Financial</t>
        </is>
      </c>
      <c r="E4508" t="inlineStr">
        <is>
          <t>Income Tax Expense</t>
        </is>
      </c>
      <c r="F4508" t="n">
        <v>304</v>
      </c>
      <c r="G4508" t="inlineStr">
        <is>
          <t>IDR bn</t>
        </is>
      </c>
      <c r="H4508" t="n">
        <v>116</v>
      </c>
      <c r="I4508" t="inlineStr">
        <is>
          <t>Beban Pajak Penghasilan (304)</t>
        </is>
      </c>
      <c r="J4508" t="inlineStr">
        <is>
          <t>High</t>
        </is>
      </c>
      <c r="M4508" t="inlineStr">
        <is>
          <t>LLM</t>
        </is>
      </c>
      <c r="N4508" t="inlineStr">
        <is>
          <t>2026-04-19</t>
        </is>
      </c>
      <c r="O4508" t="inlineStr">
        <is>
          <t>AI</t>
        </is>
      </c>
    </row>
    <row r="4509">
      <c r="A4509" t="inlineStr">
        <is>
          <t>PT Sampoerna Agro Tbk</t>
        </is>
      </c>
      <c r="B4509" t="inlineStr">
        <is>
          <t>SGRO_2023_AR.pdf</t>
        </is>
      </c>
      <c r="C4509" t="n">
        <v>2023</v>
      </c>
      <c r="D4509" t="inlineStr">
        <is>
          <t>Financial</t>
        </is>
      </c>
      <c r="E4509" t="inlineStr">
        <is>
          <t>Net Profit (Total)</t>
        </is>
      </c>
      <c r="F4509" t="n">
        <v>441</v>
      </c>
      <c r="G4509" t="inlineStr">
        <is>
          <t>IDR bn</t>
        </is>
      </c>
      <c r="H4509" t="n">
        <v>10</v>
      </c>
      <c r="I4509" t="inlineStr">
        <is>
          <t>Total Laba/(Rugi) Tahun Berjalan 441</t>
        </is>
      </c>
      <c r="J4509" t="inlineStr">
        <is>
          <t>High</t>
        </is>
      </c>
      <c r="M4509" t="inlineStr">
        <is>
          <t>LLM</t>
        </is>
      </c>
      <c r="N4509" t="inlineStr">
        <is>
          <t>2026-04-19</t>
        </is>
      </c>
      <c r="O4509" t="inlineStr">
        <is>
          <t>AI</t>
        </is>
      </c>
    </row>
    <row r="4510">
      <c r="A4510" t="inlineStr">
        <is>
          <t>PT Sampoerna Agro Tbk</t>
        </is>
      </c>
      <c r="B4510" t="inlineStr">
        <is>
          <t>SGRO_2023_AR.pdf</t>
        </is>
      </c>
      <c r="C4510" t="n">
        <v>2023</v>
      </c>
      <c r="D4510" t="inlineStr">
        <is>
          <t>Financial</t>
        </is>
      </c>
      <c r="E4510" t="inlineStr">
        <is>
          <t>Profit Attributable to Parent</t>
        </is>
      </c>
      <c r="F4510" t="n">
        <v>484</v>
      </c>
      <c r="G4510" t="inlineStr">
        <is>
          <t>IDR bn</t>
        </is>
      </c>
      <c r="H4510" t="n">
        <v>10</v>
      </c>
      <c r="I4510" t="inlineStr">
        <is>
          <t>Dapat Diatribusikan kepada Pemilik Entitas Induk 484 (2023)</t>
        </is>
      </c>
      <c r="J4510" t="inlineStr">
        <is>
          <t>High</t>
        </is>
      </c>
      <c r="M4510" t="inlineStr">
        <is>
          <t>LLM</t>
        </is>
      </c>
      <c r="N4510" t="inlineStr">
        <is>
          <t>2026-04-19</t>
        </is>
      </c>
      <c r="O4510" t="inlineStr">
        <is>
          <t>AI</t>
        </is>
      </c>
    </row>
    <row r="4511">
      <c r="A4511" t="inlineStr">
        <is>
          <t>PT Sampoerna Agro Tbk</t>
        </is>
      </c>
      <c r="B4511" t="inlineStr">
        <is>
          <t>SGRO_2023_AR.pdf</t>
        </is>
      </c>
      <c r="C4511" t="n">
        <v>2023</v>
      </c>
      <c r="D4511" t="inlineStr">
        <is>
          <t>Financial</t>
        </is>
      </c>
      <c r="E4511" t="inlineStr">
        <is>
          <t>Profit Attributable to NCI</t>
        </is>
      </c>
      <c r="F4511" t="n">
        <v>-43</v>
      </c>
      <c r="G4511" t="inlineStr">
        <is>
          <t>IDR bn</t>
        </is>
      </c>
      <c r="H4511" t="n">
        <v>10</v>
      </c>
      <c r="I4511" t="inlineStr">
        <is>
          <t>Kepentingan Nonpengendali (43) 2023</t>
        </is>
      </c>
      <c r="J4511" t="inlineStr">
        <is>
          <t>High</t>
        </is>
      </c>
      <c r="M4511" t="inlineStr">
        <is>
          <t>LLM</t>
        </is>
      </c>
      <c r="N4511" t="inlineStr">
        <is>
          <t>2026-04-19</t>
        </is>
      </c>
      <c r="O4511" t="inlineStr">
        <is>
          <t>AI</t>
        </is>
      </c>
    </row>
    <row r="4512">
      <c r="A4512" t="inlineStr">
        <is>
          <t>PT Sampoerna Agro Tbk</t>
        </is>
      </c>
      <c r="B4512" t="inlineStr">
        <is>
          <t>SGRO_2023_AR.pdf</t>
        </is>
      </c>
      <c r="C4512" t="n">
        <v>2023</v>
      </c>
      <c r="D4512" t="inlineStr">
        <is>
          <t>Financial</t>
        </is>
      </c>
      <c r="E4512" t="inlineStr">
        <is>
          <t>Total Assets</t>
        </is>
      </c>
      <c r="F4512" t="n">
        <v>10068</v>
      </c>
      <c r="G4512" t="inlineStr">
        <is>
          <t>IDR bn</t>
        </is>
      </c>
      <c r="H4512" t="n">
        <v>10</v>
      </c>
      <c r="I4512" t="inlineStr">
        <is>
          <t>Total Aset 10.243 10.068 (2022/2023)</t>
        </is>
      </c>
      <c r="J4512" t="inlineStr">
        <is>
          <t>High</t>
        </is>
      </c>
      <c r="M4512" t="inlineStr">
        <is>
          <t>LLM</t>
        </is>
      </c>
      <c r="N4512" t="inlineStr">
        <is>
          <t>2026-04-19</t>
        </is>
      </c>
      <c r="O4512" t="inlineStr">
        <is>
          <t>AI</t>
        </is>
      </c>
    </row>
    <row r="4513">
      <c r="A4513" t="inlineStr">
        <is>
          <t>PT Sampoerna Agro Tbk</t>
        </is>
      </c>
      <c r="B4513" t="inlineStr">
        <is>
          <t>SGRO_2023_AR.pdf</t>
        </is>
      </c>
      <c r="C4513" t="n">
        <v>2023</v>
      </c>
      <c r="D4513" t="inlineStr">
        <is>
          <t>Financial</t>
        </is>
      </c>
      <c r="E4513" t="inlineStr">
        <is>
          <t>Current Assets</t>
        </is>
      </c>
      <c r="F4513" t="n">
        <v>1616</v>
      </c>
      <c r="G4513" t="inlineStr">
        <is>
          <t>IDR bn</t>
        </is>
      </c>
      <c r="H4513" t="n">
        <v>10</v>
      </c>
      <c r="I4513" t="inlineStr">
        <is>
          <t>Total Aset Lancar 1.800 1.616</t>
        </is>
      </c>
      <c r="J4513" t="inlineStr">
        <is>
          <t>High</t>
        </is>
      </c>
      <c r="M4513" t="inlineStr">
        <is>
          <t>LLM</t>
        </is>
      </c>
      <c r="N4513" t="inlineStr">
        <is>
          <t>2026-04-19</t>
        </is>
      </c>
      <c r="O4513" t="inlineStr">
        <is>
          <t>AI</t>
        </is>
      </c>
    </row>
    <row r="4514">
      <c r="A4514" t="inlineStr">
        <is>
          <t>PT Sampoerna Agro Tbk</t>
        </is>
      </c>
      <c r="B4514" t="inlineStr">
        <is>
          <t>SGRO_2023_AR.pdf</t>
        </is>
      </c>
      <c r="C4514" t="n">
        <v>2023</v>
      </c>
      <c r="D4514" t="inlineStr">
        <is>
          <t>Financial</t>
        </is>
      </c>
      <c r="E4514" t="inlineStr">
        <is>
          <t>Non-Current Assets</t>
        </is>
      </c>
      <c r="F4514" t="n">
        <v>8452</v>
      </c>
      <c r="G4514" t="inlineStr">
        <is>
          <t>IDR bn</t>
        </is>
      </c>
      <c r="H4514" t="n">
        <v>324</v>
      </c>
      <c r="I4514" t="inlineStr">
        <is>
          <t>TOTAL ASET TIDAK LANCAR 8.451.787</t>
        </is>
      </c>
      <c r="J4514" t="inlineStr">
        <is>
          <t>High</t>
        </is>
      </c>
      <c r="M4514" t="inlineStr">
        <is>
          <t>LLM</t>
        </is>
      </c>
      <c r="N4514" t="inlineStr">
        <is>
          <t>2026-04-19</t>
        </is>
      </c>
      <c r="O4514" t="inlineStr">
        <is>
          <t>AI</t>
        </is>
      </c>
    </row>
    <row r="4515">
      <c r="A4515" t="inlineStr">
        <is>
          <t>PT Sampoerna Agro Tbk</t>
        </is>
      </c>
      <c r="B4515" t="inlineStr">
        <is>
          <t>SGRO_2023_AR.pdf</t>
        </is>
      </c>
      <c r="C4515" t="n">
        <v>2023</v>
      </c>
      <c r="D4515" t="inlineStr">
        <is>
          <t>Financial</t>
        </is>
      </c>
      <c r="E4515" t="inlineStr">
        <is>
          <t>Cash &amp; Cash Equivalents</t>
        </is>
      </c>
      <c r="F4515" t="n">
        <v>536</v>
      </c>
      <c r="G4515" t="inlineStr">
        <is>
          <t>IDR bn</t>
        </is>
      </c>
      <c r="H4515" t="n">
        <v>324</v>
      </c>
      <c r="I4515" t="inlineStr">
        <is>
          <t>Kas dan setara kas: 100.437 + 435.527 = 535.964</t>
        </is>
      </c>
      <c r="J4515" t="inlineStr">
        <is>
          <t>High</t>
        </is>
      </c>
      <c r="M4515" t="inlineStr">
        <is>
          <t>LLM</t>
        </is>
      </c>
      <c r="N4515" t="inlineStr">
        <is>
          <t>2026-04-19</t>
        </is>
      </c>
      <c r="O4515" t="inlineStr">
        <is>
          <t>AI</t>
        </is>
      </c>
    </row>
    <row r="4516">
      <c r="A4516" t="inlineStr">
        <is>
          <t>PT Sampoerna Agro Tbk</t>
        </is>
      </c>
      <c r="B4516" t="inlineStr">
        <is>
          <t>SGRO_2023_AR.pdf</t>
        </is>
      </c>
      <c r="C4516" t="n">
        <v>2023</v>
      </c>
      <c r="D4516" t="inlineStr">
        <is>
          <t>Financial</t>
        </is>
      </c>
      <c r="E4516" t="inlineStr">
        <is>
          <t>Inventories</t>
        </is>
      </c>
      <c r="F4516" t="n">
        <v>420</v>
      </c>
      <c r="G4516" t="inlineStr">
        <is>
          <t>IDR bn</t>
        </is>
      </c>
      <c r="H4516" t="n">
        <v>324</v>
      </c>
      <c r="I4516" t="inlineStr">
        <is>
          <t>Persediaan, neto 419.597</t>
        </is>
      </c>
      <c r="J4516" t="inlineStr">
        <is>
          <t>High</t>
        </is>
      </c>
      <c r="M4516" t="inlineStr">
        <is>
          <t>LLM</t>
        </is>
      </c>
      <c r="N4516" t="inlineStr">
        <is>
          <t>2026-04-19</t>
        </is>
      </c>
      <c r="O4516" t="inlineStr">
        <is>
          <t>AI</t>
        </is>
      </c>
    </row>
    <row r="4517">
      <c r="A4517" t="inlineStr">
        <is>
          <t>PT Sampoerna Agro Tbk</t>
        </is>
      </c>
      <c r="B4517" t="inlineStr">
        <is>
          <t>SGRO_2023_AR.pdf</t>
        </is>
      </c>
      <c r="C4517" t="n">
        <v>2023</v>
      </c>
      <c r="D4517" t="inlineStr">
        <is>
          <t>Financial</t>
        </is>
      </c>
      <c r="E4517" t="inlineStr">
        <is>
          <t>Biological Assets (Current)</t>
        </is>
      </c>
      <c r="F4517" t="n">
        <v>189</v>
      </c>
      <c r="G4517" t="inlineStr">
        <is>
          <t>IDR bn</t>
        </is>
      </c>
      <c r="H4517" t="n">
        <v>324</v>
      </c>
      <c r="I4517" t="inlineStr">
        <is>
          <t>Aset biologis 189.336</t>
        </is>
      </c>
      <c r="J4517" t="inlineStr">
        <is>
          <t>High</t>
        </is>
      </c>
      <c r="M4517" t="inlineStr">
        <is>
          <t>LLM</t>
        </is>
      </c>
      <c r="N4517" t="inlineStr">
        <is>
          <t>2026-04-19</t>
        </is>
      </c>
      <c r="O4517" t="inlineStr">
        <is>
          <t>AI</t>
        </is>
      </c>
    </row>
    <row r="4518">
      <c r="A4518" t="inlineStr">
        <is>
          <t>PT Sampoerna Agro Tbk</t>
        </is>
      </c>
      <c r="B4518" t="inlineStr">
        <is>
          <t>SGRO_2023_AR.pdf</t>
        </is>
      </c>
      <c r="C4518" t="n">
        <v>2023</v>
      </c>
      <c r="D4518" t="inlineStr">
        <is>
          <t>Financial</t>
        </is>
      </c>
      <c r="E4518" t="inlineStr">
        <is>
          <t>Trade Receivables</t>
        </is>
      </c>
      <c r="F4518" t="n">
        <v>156</v>
      </c>
      <c r="G4518" t="inlineStr">
        <is>
          <t>IDR bn</t>
        </is>
      </c>
      <c r="H4518" t="n">
        <v>324</v>
      </c>
      <c r="I4518" t="inlineStr">
        <is>
          <t>Piutang usaha 155.768</t>
        </is>
      </c>
      <c r="J4518" t="inlineStr">
        <is>
          <t>High</t>
        </is>
      </c>
      <c r="M4518" t="inlineStr">
        <is>
          <t>LLM</t>
        </is>
      </c>
      <c r="N4518" t="inlineStr">
        <is>
          <t>2026-04-19</t>
        </is>
      </c>
      <c r="O4518" t="inlineStr">
        <is>
          <t>AI</t>
        </is>
      </c>
    </row>
    <row r="4519">
      <c r="A4519" t="inlineStr">
        <is>
          <t>PT Sampoerna Agro Tbk</t>
        </is>
      </c>
      <c r="B4519" t="inlineStr">
        <is>
          <t>SGRO_2023_AR.pdf</t>
        </is>
      </c>
      <c r="C4519" t="n">
        <v>2023</v>
      </c>
      <c r="D4519" t="inlineStr">
        <is>
          <t>Financial</t>
        </is>
      </c>
      <c r="E4519" t="inlineStr">
        <is>
          <t>Plasma Receivables</t>
        </is>
      </c>
      <c r="F4519" t="n">
        <v>254</v>
      </c>
      <c r="G4519" t="inlineStr">
        <is>
          <t>IDR bn</t>
        </is>
      </c>
      <c r="H4519" t="n">
        <v>324</v>
      </c>
      <c r="I4519" t="inlineStr">
        <is>
          <t>Piutang plasma 253.854</t>
        </is>
      </c>
      <c r="J4519" t="inlineStr">
        <is>
          <t>High</t>
        </is>
      </c>
      <c r="M4519" t="inlineStr">
        <is>
          <t>LLM</t>
        </is>
      </c>
      <c r="N4519" t="inlineStr">
        <is>
          <t>2026-04-19</t>
        </is>
      </c>
      <c r="O4519" t="inlineStr">
        <is>
          <t>AI</t>
        </is>
      </c>
    </row>
    <row r="4520">
      <c r="A4520" t="inlineStr">
        <is>
          <t>PT Sampoerna Agro Tbk</t>
        </is>
      </c>
      <c r="B4520" t="inlineStr">
        <is>
          <t>SGRO_2023_AR.pdf</t>
        </is>
      </c>
      <c r="C4520" t="n">
        <v>2023</v>
      </c>
      <c r="D4520" t="inlineStr">
        <is>
          <t>Financial</t>
        </is>
      </c>
      <c r="E4520" t="inlineStr">
        <is>
          <t>Bearer Plants</t>
        </is>
      </c>
      <c r="F4520" t="n">
        <v>5745</v>
      </c>
      <c r="G4520" t="inlineStr">
        <is>
          <t>IDR bn</t>
        </is>
      </c>
      <c r="H4520" t="n">
        <v>324</v>
      </c>
      <c r="I4520" t="inlineStr">
        <is>
          <t>Tanaman produktif 5.745.046</t>
        </is>
      </c>
      <c r="J4520" t="inlineStr">
        <is>
          <t>High</t>
        </is>
      </c>
      <c r="M4520" t="inlineStr">
        <is>
          <t>LLM</t>
        </is>
      </c>
      <c r="N4520" t="inlineStr">
        <is>
          <t>2026-04-19</t>
        </is>
      </c>
      <c r="O4520" t="inlineStr">
        <is>
          <t>AI</t>
        </is>
      </c>
    </row>
    <row r="4521">
      <c r="A4521" t="inlineStr">
        <is>
          <t>PT Sampoerna Agro Tbk</t>
        </is>
      </c>
      <c r="B4521" t="inlineStr">
        <is>
          <t>SGRO_2023_AR.pdf</t>
        </is>
      </c>
      <c r="C4521" t="n">
        <v>2023</v>
      </c>
      <c r="D4521" t="inlineStr">
        <is>
          <t>Financial</t>
        </is>
      </c>
      <c r="E4521" t="inlineStr">
        <is>
          <t>Fixed Assets (net)</t>
        </is>
      </c>
      <c r="F4521" t="n">
        <v>2022</v>
      </c>
      <c r="G4521" t="inlineStr">
        <is>
          <t>IDR bn</t>
        </is>
      </c>
      <c r="H4521" t="n">
        <v>324</v>
      </c>
      <c r="I4521" t="inlineStr">
        <is>
          <t>Aset tetap, neto 2.021.960</t>
        </is>
      </c>
      <c r="J4521" t="inlineStr">
        <is>
          <t>High</t>
        </is>
      </c>
      <c r="M4521" t="inlineStr">
        <is>
          <t>LLM</t>
        </is>
      </c>
      <c r="N4521" t="inlineStr">
        <is>
          <t>2026-04-19</t>
        </is>
      </c>
      <c r="O4521" t="inlineStr">
        <is>
          <t>AI</t>
        </is>
      </c>
    </row>
    <row r="4522">
      <c r="A4522" t="inlineStr">
        <is>
          <t>PT Sampoerna Agro Tbk</t>
        </is>
      </c>
      <c r="B4522" t="inlineStr">
        <is>
          <t>SGRO_2023_AR.pdf</t>
        </is>
      </c>
      <c r="C4522" t="n">
        <v>2023</v>
      </c>
      <c r="D4522" t="inlineStr">
        <is>
          <t>Financial</t>
        </is>
      </c>
      <c r="E4522" t="inlineStr">
        <is>
          <t>Total Liabilities</t>
        </is>
      </c>
      <c r="F4522" t="n">
        <v>4555</v>
      </c>
      <c r="G4522" t="inlineStr">
        <is>
          <t>IDR bn</t>
        </is>
      </c>
      <c r="H4522" t="n">
        <v>10</v>
      </c>
      <c r="I4522" t="inlineStr">
        <is>
          <t>Total Liabilitas 5.013 4.555 (2022/2023)</t>
        </is>
      </c>
      <c r="J4522" t="inlineStr">
        <is>
          <t>High</t>
        </is>
      </c>
      <c r="M4522" t="inlineStr">
        <is>
          <t>LLM</t>
        </is>
      </c>
      <c r="N4522" t="inlineStr">
        <is>
          <t>2026-04-19</t>
        </is>
      </c>
      <c r="O4522" t="inlineStr">
        <is>
          <t>AI</t>
        </is>
      </c>
    </row>
    <row r="4523">
      <c r="A4523" t="inlineStr">
        <is>
          <t>PT Sampoerna Agro Tbk</t>
        </is>
      </c>
      <c r="B4523" t="inlineStr">
        <is>
          <t>SGRO_2023_AR.pdf</t>
        </is>
      </c>
      <c r="C4523" t="n">
        <v>2023</v>
      </c>
      <c r="D4523" t="inlineStr">
        <is>
          <t>Financial</t>
        </is>
      </c>
      <c r="E4523" t="inlineStr">
        <is>
          <t>Current Liabilities</t>
        </is>
      </c>
      <c r="F4523" t="n">
        <v>1310</v>
      </c>
      <c r="G4523" t="inlineStr">
        <is>
          <t>IDR bn</t>
        </is>
      </c>
      <c r="H4523" t="n">
        <v>10</v>
      </c>
      <c r="I4523" t="inlineStr">
        <is>
          <t>Total Liabilitas Jangka Pendek 1.361 1.310</t>
        </is>
      </c>
      <c r="J4523" t="inlineStr">
        <is>
          <t>High</t>
        </is>
      </c>
      <c r="M4523" t="inlineStr">
        <is>
          <t>LLM</t>
        </is>
      </c>
      <c r="N4523" t="inlineStr">
        <is>
          <t>2026-04-19</t>
        </is>
      </c>
      <c r="O4523" t="inlineStr">
        <is>
          <t>AI</t>
        </is>
      </c>
    </row>
    <row r="4524">
      <c r="A4524" t="inlineStr">
        <is>
          <t>PT Sampoerna Agro Tbk</t>
        </is>
      </c>
      <c r="B4524" t="inlineStr">
        <is>
          <t>SGRO_2023_AR.pdf</t>
        </is>
      </c>
      <c r="C4524" t="n">
        <v>2023</v>
      </c>
      <c r="D4524" t="inlineStr">
        <is>
          <t>Financial</t>
        </is>
      </c>
      <c r="E4524" t="inlineStr">
        <is>
          <t>Long-term Liabilities</t>
        </is>
      </c>
      <c r="F4524" t="n">
        <v>3245</v>
      </c>
      <c r="G4524" t="inlineStr">
        <is>
          <t>IDR bn</t>
        </is>
      </c>
      <c r="H4524" t="n">
        <v>325</v>
      </c>
      <c r="I4524" t="inlineStr">
        <is>
          <t>TOTAL LIABILITAS JANGKA PANJANG 3.245.353</t>
        </is>
      </c>
      <c r="J4524" t="inlineStr">
        <is>
          <t>High</t>
        </is>
      </c>
      <c r="M4524" t="inlineStr">
        <is>
          <t>LLM</t>
        </is>
      </c>
      <c r="N4524" t="inlineStr">
        <is>
          <t>2026-04-19</t>
        </is>
      </c>
      <c r="O4524" t="inlineStr">
        <is>
          <t>AI</t>
        </is>
      </c>
    </row>
    <row r="4525">
      <c r="A4525" t="inlineStr">
        <is>
          <t>PT Sampoerna Agro Tbk</t>
        </is>
      </c>
      <c r="B4525" t="inlineStr">
        <is>
          <t>SGRO_2023_AR.pdf</t>
        </is>
      </c>
      <c r="C4525" t="n">
        <v>2023</v>
      </c>
      <c r="D4525" t="inlineStr">
        <is>
          <t>Financial</t>
        </is>
      </c>
      <c r="E4525" t="inlineStr">
        <is>
          <t>Trade Payables</t>
        </is>
      </c>
      <c r="F4525" t="n">
        <v>423</v>
      </c>
      <c r="G4525" t="inlineStr">
        <is>
          <t>IDR bn</t>
        </is>
      </c>
      <c r="H4525" t="n">
        <v>325</v>
      </c>
      <c r="I4525" t="inlineStr">
        <is>
          <t>Utang usaha 423.445</t>
        </is>
      </c>
      <c r="J4525" t="inlineStr">
        <is>
          <t>High</t>
        </is>
      </c>
      <c r="M4525" t="inlineStr">
        <is>
          <t>LLM</t>
        </is>
      </c>
      <c r="N4525" t="inlineStr">
        <is>
          <t>2026-04-19</t>
        </is>
      </c>
      <c r="O4525" t="inlineStr">
        <is>
          <t>AI</t>
        </is>
      </c>
    </row>
    <row r="4526">
      <c r="A4526" t="inlineStr">
        <is>
          <t>PT Sampoerna Agro Tbk</t>
        </is>
      </c>
      <c r="B4526" t="inlineStr">
        <is>
          <t>SGRO_2023_AR.pdf</t>
        </is>
      </c>
      <c r="C4526" t="n">
        <v>2023</v>
      </c>
      <c r="D4526" t="inlineStr">
        <is>
          <t>Financial</t>
        </is>
      </c>
      <c r="E4526" t="inlineStr">
        <is>
          <t>Bonds Payable - Current</t>
        </is>
      </c>
      <c r="F4526" t="n">
        <v>127</v>
      </c>
      <c r="G4526" t="inlineStr">
        <is>
          <t>IDR bn</t>
        </is>
      </c>
      <c r="H4526" t="n">
        <v>325</v>
      </c>
      <c r="I4526" t="inlineStr">
        <is>
          <t>Utang obligasi, neto 127.377 (current)</t>
        </is>
      </c>
      <c r="J4526" t="inlineStr">
        <is>
          <t>High</t>
        </is>
      </c>
      <c r="M4526" t="inlineStr">
        <is>
          <t>LLM</t>
        </is>
      </c>
      <c r="N4526" t="inlineStr">
        <is>
          <t>2026-04-19</t>
        </is>
      </c>
      <c r="O4526" t="inlineStr">
        <is>
          <t>AI</t>
        </is>
      </c>
    </row>
    <row r="4527">
      <c r="A4527" t="inlineStr">
        <is>
          <t>PT Sampoerna Agro Tbk</t>
        </is>
      </c>
      <c r="B4527" t="inlineStr">
        <is>
          <t>SGRO_2023_AR.pdf</t>
        </is>
      </c>
      <c r="C4527" t="n">
        <v>2023</v>
      </c>
      <c r="D4527" t="inlineStr">
        <is>
          <t>Financial</t>
        </is>
      </c>
      <c r="E4527" t="inlineStr">
        <is>
          <t>Sukuk Ijarah - Current</t>
        </is>
      </c>
      <c r="F4527" t="n">
        <v>237</v>
      </c>
      <c r="G4527" t="inlineStr">
        <is>
          <t>IDR bn</t>
        </is>
      </c>
      <c r="H4527" t="n">
        <v>325</v>
      </c>
      <c r="I4527" t="inlineStr">
        <is>
          <t>Sukuk ijarah, neto 236.635 (current)</t>
        </is>
      </c>
      <c r="J4527" t="inlineStr">
        <is>
          <t>High</t>
        </is>
      </c>
      <c r="M4527" t="inlineStr">
        <is>
          <t>LLM</t>
        </is>
      </c>
      <c r="N4527" t="inlineStr">
        <is>
          <t>2026-04-19</t>
        </is>
      </c>
      <c r="O4527" t="inlineStr">
        <is>
          <t>AI</t>
        </is>
      </c>
    </row>
    <row r="4528">
      <c r="A4528" t="inlineStr">
        <is>
          <t>PT Sampoerna Agro Tbk</t>
        </is>
      </c>
      <c r="B4528" t="inlineStr">
        <is>
          <t>SGRO_2023_AR.pdf</t>
        </is>
      </c>
      <c r="C4528" t="n">
        <v>2023</v>
      </c>
      <c r="D4528" t="inlineStr">
        <is>
          <t>Financial</t>
        </is>
      </c>
      <c r="E4528" t="inlineStr">
        <is>
          <t>Long-term Bank Loans - Current Portion</t>
        </is>
      </c>
      <c r="F4528" t="n">
        <v>138</v>
      </c>
      <c r="G4528" t="inlineStr">
        <is>
          <t>IDR bn</t>
        </is>
      </c>
      <c r="H4528" t="n">
        <v>325</v>
      </c>
      <c r="I4528" t="inlineStr">
        <is>
          <t>Utang bank jangka panjang, neto 137.629 (current)</t>
        </is>
      </c>
      <c r="J4528" t="inlineStr">
        <is>
          <t>High</t>
        </is>
      </c>
      <c r="M4528" t="inlineStr">
        <is>
          <t>LLM</t>
        </is>
      </c>
      <c r="N4528" t="inlineStr">
        <is>
          <t>2026-04-19</t>
        </is>
      </c>
      <c r="O4528" t="inlineStr">
        <is>
          <t>AI</t>
        </is>
      </c>
    </row>
    <row r="4529">
      <c r="A4529" t="inlineStr">
        <is>
          <t>PT Sampoerna Agro Tbk</t>
        </is>
      </c>
      <c r="B4529" t="inlineStr">
        <is>
          <t>SGRO_2023_AR.pdf</t>
        </is>
      </c>
      <c r="C4529" t="n">
        <v>2023</v>
      </c>
      <c r="D4529" t="inlineStr">
        <is>
          <t>Financial</t>
        </is>
      </c>
      <c r="E4529" t="inlineStr">
        <is>
          <t>Bonds Payable - LT</t>
        </is>
      </c>
      <c r="F4529" t="n">
        <v>660</v>
      </c>
      <c r="G4529" t="inlineStr">
        <is>
          <t>IDR bn</t>
        </is>
      </c>
      <c r="H4529" t="n">
        <v>325</v>
      </c>
      <c r="I4529" t="inlineStr">
        <is>
          <t>Utang obligasi, neto 659.999 (non-current)</t>
        </is>
      </c>
      <c r="J4529" t="inlineStr">
        <is>
          <t>High</t>
        </is>
      </c>
      <c r="M4529" t="inlineStr">
        <is>
          <t>LLM</t>
        </is>
      </c>
      <c r="N4529" t="inlineStr">
        <is>
          <t>2026-04-19</t>
        </is>
      </c>
      <c r="O4529" t="inlineStr">
        <is>
          <t>AI</t>
        </is>
      </c>
    </row>
    <row r="4530">
      <c r="A4530" t="inlineStr">
        <is>
          <t>PT Sampoerna Agro Tbk</t>
        </is>
      </c>
      <c r="B4530" t="inlineStr">
        <is>
          <t>SGRO_2023_AR.pdf</t>
        </is>
      </c>
      <c r="C4530" t="n">
        <v>2023</v>
      </c>
      <c r="D4530" t="inlineStr">
        <is>
          <t>Financial</t>
        </is>
      </c>
      <c r="E4530" t="inlineStr">
        <is>
          <t>Sukuk Ijarah - LT</t>
        </is>
      </c>
      <c r="F4530" t="n">
        <v>587</v>
      </c>
      <c r="G4530" t="inlineStr">
        <is>
          <t>IDR bn</t>
        </is>
      </c>
      <c r="H4530" t="n">
        <v>325</v>
      </c>
      <c r="I4530" t="inlineStr">
        <is>
          <t>Sukuk ijarah, neto 586.970 (non-current)</t>
        </is>
      </c>
      <c r="J4530" t="inlineStr">
        <is>
          <t>High</t>
        </is>
      </c>
      <c r="M4530" t="inlineStr">
        <is>
          <t>LLM</t>
        </is>
      </c>
      <c r="N4530" t="inlineStr">
        <is>
          <t>2026-04-19</t>
        </is>
      </c>
      <c r="O4530" t="inlineStr">
        <is>
          <t>AI</t>
        </is>
      </c>
    </row>
    <row r="4531">
      <c r="A4531" t="inlineStr">
        <is>
          <t>PT Sampoerna Agro Tbk</t>
        </is>
      </c>
      <c r="B4531" t="inlineStr">
        <is>
          <t>SGRO_2023_AR.pdf</t>
        </is>
      </c>
      <c r="C4531" t="n">
        <v>2023</v>
      </c>
      <c r="D4531" t="inlineStr">
        <is>
          <t>Financial</t>
        </is>
      </c>
      <c r="E4531" t="inlineStr">
        <is>
          <t>Long-term Bank Loans</t>
        </is>
      </c>
      <c r="F4531" t="n">
        <v>1089</v>
      </c>
      <c r="G4531" t="inlineStr">
        <is>
          <t>IDR bn</t>
        </is>
      </c>
      <c r="H4531" t="n">
        <v>325</v>
      </c>
      <c r="I4531" t="inlineStr">
        <is>
          <t>Utang bank jangka panjang, neto 1.088.842 (non-current)</t>
        </is>
      </c>
      <c r="J4531" t="inlineStr">
        <is>
          <t>High</t>
        </is>
      </c>
      <c r="M4531" t="inlineStr">
        <is>
          <t>LLM</t>
        </is>
      </c>
      <c r="N4531" t="inlineStr">
        <is>
          <t>2026-04-19</t>
        </is>
      </c>
      <c r="O4531" t="inlineStr">
        <is>
          <t>AI</t>
        </is>
      </c>
    </row>
    <row r="4532">
      <c r="A4532" t="inlineStr">
        <is>
          <t>PT Sampoerna Agro Tbk</t>
        </is>
      </c>
      <c r="B4532" t="inlineStr">
        <is>
          <t>SGRO_2023_AR.pdf</t>
        </is>
      </c>
      <c r="C4532" t="n">
        <v>2023</v>
      </c>
      <c r="D4532" t="inlineStr">
        <is>
          <t>Financial</t>
        </is>
      </c>
      <c r="E4532" t="inlineStr">
        <is>
          <t>Gross Interest-Bearing Debt</t>
        </is>
      </c>
      <c r="F4532" t="n">
        <v>2837</v>
      </c>
      <c r="G4532" t="inlineStr">
        <is>
          <t>IDR bn</t>
        </is>
      </c>
      <c r="H4532" t="n">
        <v>325</v>
      </c>
      <c r="I4532" t="inlineStr">
        <is>
          <t>Calc: 127+660 bonds + 237+587 sukuk + 138+1089 bank loans = 2,837 bn</t>
        </is>
      </c>
      <c r="J4532" t="inlineStr">
        <is>
          <t>High</t>
        </is>
      </c>
      <c r="M4532" t="inlineStr">
        <is>
          <t>LLM</t>
        </is>
      </c>
      <c r="N4532" t="inlineStr">
        <is>
          <t>2026-04-19</t>
        </is>
      </c>
      <c r="O4532" t="inlineStr">
        <is>
          <t>AI</t>
        </is>
      </c>
    </row>
    <row r="4533">
      <c r="A4533" t="inlineStr">
        <is>
          <t>PT Sampoerna Agro Tbk</t>
        </is>
      </c>
      <c r="B4533" t="inlineStr">
        <is>
          <t>SGRO_2023_AR.pdf</t>
        </is>
      </c>
      <c r="C4533" t="n">
        <v>2023</v>
      </c>
      <c r="D4533" t="inlineStr">
        <is>
          <t>Financial</t>
        </is>
      </c>
      <c r="E4533" t="inlineStr">
        <is>
          <t>Total Equity</t>
        </is>
      </c>
      <c r="F4533" t="n">
        <v>5512</v>
      </c>
      <c r="G4533" t="inlineStr">
        <is>
          <t>IDR bn</t>
        </is>
      </c>
      <c r="H4533" t="n">
        <v>10</v>
      </c>
      <c r="I4533" t="inlineStr">
        <is>
          <t>Total Ekuitas 5.230 5.513 (2022/2023)</t>
        </is>
      </c>
      <c r="J4533" t="inlineStr">
        <is>
          <t>High</t>
        </is>
      </c>
      <c r="M4533" t="inlineStr">
        <is>
          <t>LLM</t>
        </is>
      </c>
      <c r="N4533" t="inlineStr">
        <is>
          <t>2026-04-19</t>
        </is>
      </c>
      <c r="O4533" t="inlineStr">
        <is>
          <t>AI</t>
        </is>
      </c>
    </row>
    <row r="4534">
      <c r="A4534" t="inlineStr">
        <is>
          <t>PT Sampoerna Agro Tbk</t>
        </is>
      </c>
      <c r="B4534" t="inlineStr">
        <is>
          <t>SGRO_2023_AR.pdf</t>
        </is>
      </c>
      <c r="C4534" t="n">
        <v>2023</v>
      </c>
      <c r="D4534" t="inlineStr">
        <is>
          <t>Financial</t>
        </is>
      </c>
      <c r="E4534" t="inlineStr">
        <is>
          <t>CFO</t>
        </is>
      </c>
      <c r="F4534" t="n">
        <v>1423</v>
      </c>
      <c r="G4534" t="inlineStr">
        <is>
          <t>IDR bn</t>
        </is>
      </c>
      <c r="H4534" t="n">
        <v>117</v>
      </c>
      <c r="I4534" t="inlineStr">
        <is>
          <t>Arus Kas Neto yang Diperoleh dari Aktivitas Operasi 1.254 1.423 (2022/2023)</t>
        </is>
      </c>
      <c r="J4534" t="inlineStr">
        <is>
          <t>High</t>
        </is>
      </c>
      <c r="M4534" t="inlineStr">
        <is>
          <t>LLM</t>
        </is>
      </c>
      <c r="N4534" t="inlineStr">
        <is>
          <t>2026-04-19</t>
        </is>
      </c>
      <c r="O4534" t="inlineStr">
        <is>
          <t>AI</t>
        </is>
      </c>
    </row>
    <row r="4535">
      <c r="A4535" t="inlineStr">
        <is>
          <t>PT Sampoerna Agro Tbk</t>
        </is>
      </c>
      <c r="B4535" t="inlineStr">
        <is>
          <t>SGRO_2023_AR.pdf</t>
        </is>
      </c>
      <c r="C4535" t="n">
        <v>2023</v>
      </c>
      <c r="D4535" t="inlineStr">
        <is>
          <t>Financial</t>
        </is>
      </c>
      <c r="E4535" t="inlineStr">
        <is>
          <t>CFI</t>
        </is>
      </c>
      <c r="F4535" t="n">
        <v>-539</v>
      </c>
      <c r="G4535" t="inlineStr">
        <is>
          <t>IDR bn</t>
        </is>
      </c>
      <c r="H4535" t="n">
        <v>117</v>
      </c>
      <c r="I4535" t="inlineStr">
        <is>
          <t>Arus Kas Neto yang Digunakan untuk Aktivitas Investasi (407) (539)</t>
        </is>
      </c>
      <c r="J4535" t="inlineStr">
        <is>
          <t>High</t>
        </is>
      </c>
      <c r="M4535" t="inlineStr">
        <is>
          <t>LLM</t>
        </is>
      </c>
      <c r="N4535" t="inlineStr">
        <is>
          <t>2026-04-19</t>
        </is>
      </c>
      <c r="O4535" t="inlineStr">
        <is>
          <t>AI</t>
        </is>
      </c>
    </row>
    <row r="4536">
      <c r="A4536" t="inlineStr">
        <is>
          <t>PT Sampoerna Agro Tbk</t>
        </is>
      </c>
      <c r="B4536" t="inlineStr">
        <is>
          <t>SGRO_2023_AR.pdf</t>
        </is>
      </c>
      <c r="C4536" t="n">
        <v>2023</v>
      </c>
      <c r="D4536" t="inlineStr">
        <is>
          <t>Financial</t>
        </is>
      </c>
      <c r="E4536" t="inlineStr">
        <is>
          <t>CFF</t>
        </is>
      </c>
      <c r="F4536" t="n">
        <v>-883</v>
      </c>
      <c r="G4536" t="inlineStr">
        <is>
          <t>IDR bn</t>
        </is>
      </c>
      <c r="H4536" t="n">
        <v>117</v>
      </c>
      <c r="I4536" t="inlineStr">
        <is>
          <t>Arus Kas Neto yang Digunakan untuk Aktivitas Pendanaan (808) (883)</t>
        </is>
      </c>
      <c r="J4536" t="inlineStr">
        <is>
          <t>High</t>
        </is>
      </c>
      <c r="M4536" t="inlineStr">
        <is>
          <t>LLM</t>
        </is>
      </c>
      <c r="N4536" t="inlineStr">
        <is>
          <t>2026-04-19</t>
        </is>
      </c>
      <c r="O4536" t="inlineStr">
        <is>
          <t>AI</t>
        </is>
      </c>
    </row>
    <row r="4537">
      <c r="A4537" t="inlineStr">
        <is>
          <t>PT Sampoerna Agro Tbk</t>
        </is>
      </c>
      <c r="B4537" t="inlineStr">
        <is>
          <t>SGRO_2023_AR.pdf</t>
        </is>
      </c>
      <c r="C4537" t="n">
        <v>2023</v>
      </c>
      <c r="D4537" t="inlineStr">
        <is>
          <t>Financial</t>
        </is>
      </c>
      <c r="E4537" t="inlineStr">
        <is>
          <t>Capex (Fixed Assets)</t>
        </is>
      </c>
      <c r="F4537" t="n">
        <v>313</v>
      </c>
      <c r="G4537" t="inlineStr">
        <is>
          <t>IDR bn</t>
        </is>
      </c>
      <c r="H4537" t="n">
        <v>117</v>
      </c>
      <c r="I4537" t="inlineStr">
        <is>
          <t>Sebesar Rp313 miliar dari nilai tersebut digunakan untuk perolehan aset tetap</t>
        </is>
      </c>
      <c r="J4537" t="inlineStr">
        <is>
          <t>High</t>
        </is>
      </c>
      <c r="M4537" t="inlineStr">
        <is>
          <t>LLM</t>
        </is>
      </c>
      <c r="N4537" t="inlineStr">
        <is>
          <t>2026-04-19</t>
        </is>
      </c>
      <c r="O4537" t="inlineStr">
        <is>
          <t>AI</t>
        </is>
      </c>
    </row>
    <row r="4538">
      <c r="A4538" t="inlineStr">
        <is>
          <t>PT Sampoerna Agro Tbk</t>
        </is>
      </c>
      <c r="B4538" t="inlineStr">
        <is>
          <t>SGRO_2023_AR.pdf</t>
        </is>
      </c>
      <c r="C4538" t="n">
        <v>2023</v>
      </c>
      <c r="D4538" t="inlineStr">
        <is>
          <t>Financial</t>
        </is>
      </c>
      <c r="E4538" t="inlineStr">
        <is>
          <t>Capex (Bearer Plants)</t>
        </is>
      </c>
      <c r="F4538" t="n">
        <v>240</v>
      </c>
      <c r="G4538" t="inlineStr">
        <is>
          <t>IDR bn</t>
        </is>
      </c>
      <c r="H4538" t="n">
        <v>117</v>
      </c>
      <c r="I4538" t="inlineStr">
        <is>
          <t>Rp240 miliar dari jumlah tersebut digunakan untuk penambahan tanaman produktif yang belum menghasilkan</t>
        </is>
      </c>
      <c r="J4538" t="inlineStr">
        <is>
          <t>High</t>
        </is>
      </c>
      <c r="M4538" t="inlineStr">
        <is>
          <t>LLM</t>
        </is>
      </c>
      <c r="N4538" t="inlineStr">
        <is>
          <t>2026-04-19</t>
        </is>
      </c>
      <c r="O4538" t="inlineStr">
        <is>
          <t>AI</t>
        </is>
      </c>
    </row>
    <row r="4539">
      <c r="A4539" t="inlineStr">
        <is>
          <t>PT Sampoerna Agro Tbk</t>
        </is>
      </c>
      <c r="B4539" t="inlineStr">
        <is>
          <t>SGRO_2023_AR.pdf</t>
        </is>
      </c>
      <c r="C4539" t="n">
        <v>2023</v>
      </c>
      <c r="D4539" t="inlineStr">
        <is>
          <t>Financial</t>
        </is>
      </c>
      <c r="E4539" t="inlineStr">
        <is>
          <t>Total Capex</t>
        </is>
      </c>
      <c r="F4539" t="n">
        <v>553</v>
      </c>
      <c r="G4539" t="inlineStr">
        <is>
          <t>IDR bn</t>
        </is>
      </c>
      <c r="H4539" t="n">
        <v>117</v>
      </c>
      <c r="I4539" t="inlineStr">
        <is>
          <t>Calc: 313 + 240 = 553 bn</t>
        </is>
      </c>
      <c r="J4539" t="inlineStr">
        <is>
          <t>High</t>
        </is>
      </c>
      <c r="M4539" t="inlineStr">
        <is>
          <t>LLM</t>
        </is>
      </c>
      <c r="N4539" t="inlineStr">
        <is>
          <t>2026-04-19</t>
        </is>
      </c>
      <c r="O4539" t="inlineStr">
        <is>
          <t>AI</t>
        </is>
      </c>
    </row>
    <row r="4540">
      <c r="A4540" t="inlineStr">
        <is>
          <t>PT Sampoerna Agro Tbk</t>
        </is>
      </c>
      <c r="B4540" t="inlineStr">
        <is>
          <t>SGRO_2023_AR.pdf</t>
        </is>
      </c>
      <c r="C4540" t="n">
        <v>2023</v>
      </c>
      <c r="D4540" t="inlineStr">
        <is>
          <t>Financial</t>
        </is>
      </c>
      <c r="E4540" t="inlineStr">
        <is>
          <t>EPS (Basic)</t>
        </is>
      </c>
      <c r="F4540" t="n">
        <v>266</v>
      </c>
      <c r="G4540" t="inlineStr">
        <is>
          <t>Rp/share</t>
        </is>
      </c>
      <c r="H4540" t="n">
        <v>10</v>
      </c>
      <c r="I4540" t="inlineStr">
        <is>
          <t>Laba/(Rugi) per Saham Dasar (angka penuh) 266 (2023)</t>
        </is>
      </c>
      <c r="J4540" t="inlineStr">
        <is>
          <t>High</t>
        </is>
      </c>
      <c r="M4540" t="inlineStr">
        <is>
          <t>LLM</t>
        </is>
      </c>
      <c r="N4540" t="inlineStr">
        <is>
          <t>2026-04-19</t>
        </is>
      </c>
      <c r="O4540" t="inlineStr">
        <is>
          <t>AI</t>
        </is>
      </c>
    </row>
    <row r="4541">
      <c r="A4541" t="inlineStr">
        <is>
          <t>PT Sampoerna Agro Tbk</t>
        </is>
      </c>
      <c r="B4541" t="inlineStr">
        <is>
          <t>SGRO_2023_AR.pdf</t>
        </is>
      </c>
      <c r="C4541" t="n">
        <v>2023</v>
      </c>
      <c r="D4541" t="inlineStr">
        <is>
          <t>Financial</t>
        </is>
      </c>
      <c r="E4541" t="inlineStr">
        <is>
          <t>Shares Outstanding</t>
        </is>
      </c>
      <c r="F4541" t="n">
        <v>1819</v>
      </c>
      <c r="G4541" t="inlineStr">
        <is>
          <t>mn</t>
        </is>
      </c>
      <c r="H4541" t="n">
        <v>10</v>
      </c>
      <c r="I4541" t="inlineStr">
        <is>
          <t>Jumlah Saham Beredar (ribu lembar) 1.818.622</t>
        </is>
      </c>
      <c r="J4541" t="inlineStr">
        <is>
          <t>High</t>
        </is>
      </c>
      <c r="M4541" t="inlineStr">
        <is>
          <t>LLM</t>
        </is>
      </c>
      <c r="N4541" t="inlineStr">
        <is>
          <t>2026-04-19</t>
        </is>
      </c>
      <c r="O4541" t="inlineStr">
        <is>
          <t>AI</t>
        </is>
      </c>
    </row>
    <row r="4542">
      <c r="A4542" t="inlineStr">
        <is>
          <t>PT Sampoerna Agro Tbk</t>
        </is>
      </c>
      <c r="B4542" t="inlineStr">
        <is>
          <t>SGRO_2023_AR.pdf</t>
        </is>
      </c>
      <c r="C4542" t="n">
        <v>2023</v>
      </c>
      <c r="D4542" t="inlineStr">
        <is>
          <t>Financial</t>
        </is>
      </c>
      <c r="E4542" t="inlineStr">
        <is>
          <t>Closing Price (31 Dec 2023)</t>
        </is>
      </c>
      <c r="F4542" t="n">
        <v>2010</v>
      </c>
      <c r="G4542" t="inlineStr">
        <is>
          <t>Rp/share</t>
        </is>
      </c>
      <c r="H4542" t="n">
        <v>14</v>
      </c>
      <c r="I4542" t="inlineStr">
        <is>
          <t>Triwulan 4 2023 Penutupan 2.010</t>
        </is>
      </c>
      <c r="J4542" t="inlineStr">
        <is>
          <t>High</t>
        </is>
      </c>
      <c r="M4542" t="inlineStr">
        <is>
          <t>LLM</t>
        </is>
      </c>
      <c r="N4542" t="inlineStr">
        <is>
          <t>2026-04-19</t>
        </is>
      </c>
      <c r="O4542" t="inlineStr">
        <is>
          <t>AI</t>
        </is>
      </c>
    </row>
    <row r="4543">
      <c r="A4543" t="inlineStr">
        <is>
          <t>PT Sampoerna Agro Tbk</t>
        </is>
      </c>
      <c r="B4543" t="inlineStr">
        <is>
          <t>SGRO_2023_AR.pdf</t>
        </is>
      </c>
      <c r="C4543" t="n">
        <v>2023</v>
      </c>
      <c r="D4543" t="inlineStr">
        <is>
          <t>Financial</t>
        </is>
      </c>
      <c r="E4543" t="inlineStr">
        <is>
          <t>Market Cap (31 Dec 2023)</t>
        </is>
      </c>
      <c r="F4543" t="n">
        <v>3655</v>
      </c>
      <c r="G4543" t="inlineStr">
        <is>
          <t>IDR bn</t>
        </is>
      </c>
      <c r="H4543" t="n">
        <v>14</v>
      </c>
      <c r="I4543" t="inlineStr">
        <is>
          <t>Triwulan 4 2023 Kapitalisasi Pasar 3.655</t>
        </is>
      </c>
      <c r="J4543" t="inlineStr">
        <is>
          <t>High</t>
        </is>
      </c>
      <c r="M4543" t="inlineStr">
        <is>
          <t>LLM</t>
        </is>
      </c>
      <c r="N4543" t="inlineStr">
        <is>
          <t>2026-04-19</t>
        </is>
      </c>
      <c r="O4543" t="inlineStr">
        <is>
          <t>AI</t>
        </is>
      </c>
    </row>
    <row r="4544">
      <c r="A4544" t="inlineStr">
        <is>
          <t>PT Sampoerna Agro Tbk</t>
        </is>
      </c>
      <c r="B4544" t="inlineStr">
        <is>
          <t>SGRO_2023_AR.pdf</t>
        </is>
      </c>
      <c r="C4544" t="n">
        <v>2023</v>
      </c>
      <c r="D4544" t="inlineStr">
        <is>
          <t>Financial</t>
        </is>
      </c>
      <c r="E4544" t="inlineStr">
        <is>
          <t>Total Dividend 2023 (paid from 2022 profit)</t>
        </is>
      </c>
      <c r="F4544" t="n">
        <v>524</v>
      </c>
      <c r="G4544" t="inlineStr">
        <is>
          <t>IDR bn</t>
        </is>
      </c>
      <c r="H4544" t="n">
        <v>75</v>
      </c>
      <c r="I4544" t="inlineStr">
        <is>
          <t>Perseroan membagikan dividen total senilai Rp523,76 miliar atau Rp288 per saham atas laba tahun 2022</t>
        </is>
      </c>
      <c r="J4544" t="inlineStr">
        <is>
          <t>High</t>
        </is>
      </c>
      <c r="M4544" t="inlineStr">
        <is>
          <t>LLM</t>
        </is>
      </c>
      <c r="N4544" t="inlineStr">
        <is>
          <t>2026-04-19</t>
        </is>
      </c>
      <c r="O4544" t="inlineStr">
        <is>
          <t>AI</t>
        </is>
      </c>
    </row>
    <row r="4545">
      <c r="A4545" t="inlineStr">
        <is>
          <t>PT Sampoerna Agro Tbk</t>
        </is>
      </c>
      <c r="B4545" t="inlineStr">
        <is>
          <t>SGRO_2023_AR.pdf</t>
        </is>
      </c>
      <c r="C4545" t="n">
        <v>2023</v>
      </c>
      <c r="D4545" t="inlineStr">
        <is>
          <t>Financial</t>
        </is>
      </c>
      <c r="E4545" t="inlineStr">
        <is>
          <t>Dividend per Share (total from 2022 profit)</t>
        </is>
      </c>
      <c r="F4545" t="n">
        <v>288</v>
      </c>
      <c r="G4545" t="inlineStr">
        <is>
          <t>Rp/share</t>
        </is>
      </c>
      <c r="H4545" t="n">
        <v>75</v>
      </c>
      <c r="I4545" t="inlineStr">
        <is>
          <t>Rp288 per saham atas laba tahun 2022</t>
        </is>
      </c>
      <c r="J4545" t="inlineStr">
        <is>
          <t>High</t>
        </is>
      </c>
      <c r="M4545" t="inlineStr">
        <is>
          <t>LLM</t>
        </is>
      </c>
      <c r="N4545" t="inlineStr">
        <is>
          <t>2026-04-19</t>
        </is>
      </c>
      <c r="O4545" t="inlineStr">
        <is>
          <t>AI</t>
        </is>
      </c>
    </row>
    <row r="4546">
      <c r="A4546" t="inlineStr">
        <is>
          <t>PT Sampoerna Agro Tbk</t>
        </is>
      </c>
      <c r="B4546" t="inlineStr">
        <is>
          <t>SGRO_2023_AR.pdf</t>
        </is>
      </c>
      <c r="C4546" t="n">
        <v>2023</v>
      </c>
      <c r="D4546" t="inlineStr">
        <is>
          <t>Financial</t>
        </is>
      </c>
      <c r="E4546" t="inlineStr">
        <is>
          <t>Interim DPS (paid Nov 2022 from 2022 profit)</t>
        </is>
      </c>
      <c r="F4546" t="n">
        <v>90</v>
      </c>
      <c r="G4546" t="inlineStr">
        <is>
          <t>Rp/share</t>
        </is>
      </c>
      <c r="H4546" t="n">
        <v>75</v>
      </c>
      <c r="I4546" t="inlineStr">
        <is>
          <t>dividen interim senilai Rp163,67 miliar atau Rp90 per saham yang telah dibayar pada November 2022</t>
        </is>
      </c>
      <c r="J4546" t="inlineStr">
        <is>
          <t>High</t>
        </is>
      </c>
      <c r="M4546" t="inlineStr">
        <is>
          <t>LLM</t>
        </is>
      </c>
      <c r="N4546" t="inlineStr">
        <is>
          <t>2026-04-19</t>
        </is>
      </c>
      <c r="O4546" t="inlineStr">
        <is>
          <t>AI</t>
        </is>
      </c>
    </row>
    <row r="4547">
      <c r="A4547" t="inlineStr">
        <is>
          <t>PT Sampoerna Agro Tbk</t>
        </is>
      </c>
      <c r="B4547" t="inlineStr">
        <is>
          <t>SGRO_2023_AR.pdf</t>
        </is>
      </c>
      <c r="C4547" t="n">
        <v>2023</v>
      </c>
      <c r="D4547" t="inlineStr">
        <is>
          <t>Financial</t>
        </is>
      </c>
      <c r="E4547" t="inlineStr">
        <is>
          <t>Final DPS (paid Jul 2023 from 2022 profit)</t>
        </is>
      </c>
      <c r="F4547" t="n">
        <v>198</v>
      </c>
      <c r="G4547" t="inlineStr">
        <is>
          <t>Rp/share</t>
        </is>
      </c>
      <c r="H4547" t="n">
        <v>75</v>
      </c>
      <c r="I4547" t="inlineStr">
        <is>
          <t>sisa dividen senilai Rp360,09 miliar atau Rp198 per saham yang telah dibayar pada Juli 2023</t>
        </is>
      </c>
      <c r="J4547" t="inlineStr">
        <is>
          <t>High</t>
        </is>
      </c>
      <c r="M4547" t="inlineStr">
        <is>
          <t>LLM</t>
        </is>
      </c>
      <c r="N4547" t="inlineStr">
        <is>
          <t>2026-04-19</t>
        </is>
      </c>
      <c r="O4547" t="inlineStr">
        <is>
          <t>AI</t>
        </is>
      </c>
    </row>
    <row r="4548">
      <c r="A4548" t="inlineStr">
        <is>
          <t>PT Sampoerna Agro Tbk</t>
        </is>
      </c>
      <c r="B4548" t="inlineStr">
        <is>
          <t>SGRO_2023_AR.pdf</t>
        </is>
      </c>
      <c r="C4548" t="n">
        <v>2023</v>
      </c>
      <c r="D4548" t="inlineStr">
        <is>
          <t>Financial</t>
        </is>
      </c>
      <c r="E4548" t="inlineStr">
        <is>
          <t>ROA</t>
        </is>
      </c>
      <c r="F4548" t="n">
        <v>0.044</v>
      </c>
      <c r="G4548" t="inlineStr">
        <is>
          <t>%</t>
        </is>
      </c>
      <c r="H4548" t="n">
        <v>11</v>
      </c>
      <c r="I4548" t="inlineStr">
        <is>
          <t>Imbal Hasil atas Aset (ROA) 4,4% (2023)</t>
        </is>
      </c>
      <c r="J4548" t="inlineStr">
        <is>
          <t>High</t>
        </is>
      </c>
      <c r="M4548" t="inlineStr">
        <is>
          <t>LLM</t>
        </is>
      </c>
      <c r="N4548" t="inlineStr">
        <is>
          <t>2026-04-19</t>
        </is>
      </c>
      <c r="O4548" t="inlineStr">
        <is>
          <t>AI</t>
        </is>
      </c>
    </row>
    <row r="4549">
      <c r="A4549" t="inlineStr">
        <is>
          <t>PT Sampoerna Agro Tbk</t>
        </is>
      </c>
      <c r="B4549" t="inlineStr">
        <is>
          <t>SGRO_2023_AR.pdf</t>
        </is>
      </c>
      <c r="C4549" t="n">
        <v>2023</v>
      </c>
      <c r="D4549" t="inlineStr">
        <is>
          <t>Financial</t>
        </is>
      </c>
      <c r="E4549" t="inlineStr">
        <is>
          <t>ROE</t>
        </is>
      </c>
      <c r="F4549" t="n">
        <v>0.08</v>
      </c>
      <c r="G4549" t="inlineStr">
        <is>
          <t>%</t>
        </is>
      </c>
      <c r="H4549" t="n">
        <v>11</v>
      </c>
      <c r="I4549" t="inlineStr">
        <is>
          <t>Imbal Hasil atas Ekuitas (ROE) 8,0% (2023)</t>
        </is>
      </c>
      <c r="J4549" t="inlineStr">
        <is>
          <t>High</t>
        </is>
      </c>
      <c r="M4549" t="inlineStr">
        <is>
          <t>LLM</t>
        </is>
      </c>
      <c r="N4549" t="inlineStr">
        <is>
          <t>2026-04-19</t>
        </is>
      </c>
      <c r="O4549" t="inlineStr">
        <is>
          <t>AI</t>
        </is>
      </c>
    </row>
    <row r="4550">
      <c r="A4550" t="inlineStr">
        <is>
          <t>PT Sampoerna Agro Tbk</t>
        </is>
      </c>
      <c r="B4550" t="inlineStr">
        <is>
          <t>SGRO_2023_AR.pdf</t>
        </is>
      </c>
      <c r="C4550" t="n">
        <v>2023</v>
      </c>
      <c r="D4550" t="inlineStr">
        <is>
          <t>Financial</t>
        </is>
      </c>
      <c r="E4550" t="inlineStr">
        <is>
          <t>Debt-to-Equity Ratio</t>
        </is>
      </c>
      <c r="F4550" t="n">
        <v>0.58</v>
      </c>
      <c r="G4550" t="inlineStr">
        <is>
          <t>%</t>
        </is>
      </c>
      <c r="H4550" t="n">
        <v>11</v>
      </c>
      <c r="I4550" t="inlineStr">
        <is>
          <t>Liabilitas Berbunga terhadap Total Ekuitas 58,0% (2023)</t>
        </is>
      </c>
      <c r="J4550" t="inlineStr">
        <is>
          <t>High</t>
        </is>
      </c>
      <c r="M4550" t="inlineStr">
        <is>
          <t>LLM</t>
        </is>
      </c>
      <c r="N4550" t="inlineStr">
        <is>
          <t>2026-04-19</t>
        </is>
      </c>
      <c r="O4550" t="inlineStr">
        <is>
          <t>AI</t>
        </is>
      </c>
    </row>
    <row r="4551">
      <c r="A4551" t="inlineStr">
        <is>
          <t>PT Sampoerna Agro Tbk</t>
        </is>
      </c>
      <c r="B4551" t="inlineStr">
        <is>
          <t>SGRO_2023_AR.pdf</t>
        </is>
      </c>
      <c r="C4551" t="n">
        <v>2023</v>
      </c>
      <c r="D4551" t="inlineStr">
        <is>
          <t>Financial</t>
        </is>
      </c>
      <c r="E4551" t="inlineStr">
        <is>
          <t>Current Ratio</t>
        </is>
      </c>
      <c r="F4551" t="n">
        <v>1.234</v>
      </c>
      <c r="G4551" t="inlineStr">
        <is>
          <t>x</t>
        </is>
      </c>
      <c r="H4551" t="n">
        <v>11</v>
      </c>
      <c r="I4551" t="inlineStr">
        <is>
          <t>Rasio Lancar 123,4% (2023)</t>
        </is>
      </c>
      <c r="J4551" t="inlineStr">
        <is>
          <t>High</t>
        </is>
      </c>
      <c r="M4551" t="inlineStr">
        <is>
          <t>LLM</t>
        </is>
      </c>
      <c r="N4551" t="inlineStr">
        <is>
          <t>2026-04-19</t>
        </is>
      </c>
      <c r="O4551" t="inlineStr">
        <is>
          <t>AI</t>
        </is>
      </c>
    </row>
    <row r="4552">
      <c r="A4552" t="inlineStr">
        <is>
          <t>PT Sampoerna Agro Tbk</t>
        </is>
      </c>
      <c r="B4552" t="inlineStr">
        <is>
          <t>SGRO_2023_AR.pdf</t>
        </is>
      </c>
      <c r="C4552" t="n">
        <v>2023</v>
      </c>
      <c r="D4552" t="inlineStr">
        <is>
          <t>Financial</t>
        </is>
      </c>
      <c r="E4552" t="inlineStr">
        <is>
          <t>Gross Margin</t>
        </is>
      </c>
      <c r="F4552" t="n">
        <v>0.236</v>
      </c>
      <c r="G4552" t="inlineStr">
        <is>
          <t>%</t>
        </is>
      </c>
      <c r="H4552" t="n">
        <v>11</v>
      </c>
      <c r="I4552" t="inlineStr">
        <is>
          <t>Margin Laba Bruto 23,6%</t>
        </is>
      </c>
      <c r="J4552" t="inlineStr">
        <is>
          <t>High</t>
        </is>
      </c>
      <c r="M4552" t="inlineStr">
        <is>
          <t>LLM</t>
        </is>
      </c>
      <c r="N4552" t="inlineStr">
        <is>
          <t>2026-04-19</t>
        </is>
      </c>
      <c r="O4552" t="inlineStr">
        <is>
          <t>AI</t>
        </is>
      </c>
    </row>
    <row r="4553">
      <c r="A4553" t="inlineStr">
        <is>
          <t>PT Sampoerna Agro Tbk</t>
        </is>
      </c>
      <c r="B4553" t="inlineStr">
        <is>
          <t>SGRO_2023_AR.pdf</t>
        </is>
      </c>
      <c r="C4553" t="n">
        <v>2023</v>
      </c>
      <c r="D4553" t="inlineStr">
        <is>
          <t>Financial</t>
        </is>
      </c>
      <c r="E4553" t="inlineStr">
        <is>
          <t>Operating Margin</t>
        </is>
      </c>
      <c r="F4553" t="n">
        <v>0.167</v>
      </c>
      <c r="G4553" t="inlineStr">
        <is>
          <t>%</t>
        </is>
      </c>
      <c r="H4553" t="n">
        <v>11</v>
      </c>
      <c r="I4553" t="inlineStr">
        <is>
          <t>Margin Laba Usaha 16,7%</t>
        </is>
      </c>
      <c r="J4553" t="inlineStr">
        <is>
          <t>High</t>
        </is>
      </c>
      <c r="M4553" t="inlineStr">
        <is>
          <t>LLM</t>
        </is>
      </c>
      <c r="N4553" t="inlineStr">
        <is>
          <t>2026-04-19</t>
        </is>
      </c>
      <c r="O4553" t="inlineStr">
        <is>
          <t>AI</t>
        </is>
      </c>
    </row>
    <row r="4554">
      <c r="A4554" t="inlineStr">
        <is>
          <t>PT Sampoerna Agro Tbk</t>
        </is>
      </c>
      <c r="B4554" t="inlineStr">
        <is>
          <t>SGRO_2023_AR.pdf</t>
        </is>
      </c>
      <c r="C4554" t="n">
        <v>2023</v>
      </c>
      <c r="D4554" t="inlineStr">
        <is>
          <t>Financial</t>
        </is>
      </c>
      <c r="E4554" t="inlineStr">
        <is>
          <t>Net Profit Margin</t>
        </is>
      </c>
      <c r="F4554" t="n">
        <v>0.078</v>
      </c>
      <c r="G4554" t="inlineStr">
        <is>
          <t>%</t>
        </is>
      </c>
      <c r="H4554" t="n">
        <v>11</v>
      </c>
      <c r="I4554" t="inlineStr">
        <is>
          <t>Margin Laba Tahun Berjalan 7,8%</t>
        </is>
      </c>
      <c r="J4554" t="inlineStr">
        <is>
          <t>High</t>
        </is>
      </c>
      <c r="M4554" t="inlineStr">
        <is>
          <t>LLM</t>
        </is>
      </c>
      <c r="N4554" t="inlineStr">
        <is>
          <t>2026-04-19</t>
        </is>
      </c>
      <c r="O4554" t="inlineStr">
        <is>
          <t>AI</t>
        </is>
      </c>
    </row>
    <row r="4555">
      <c r="A4555" t="inlineStr">
        <is>
          <t>PT Sampoerna Agro Tbk</t>
        </is>
      </c>
      <c r="B4555" t="inlineStr">
        <is>
          <t>SGRO_2023_AR.pdf</t>
        </is>
      </c>
      <c r="C4555" t="n">
        <v>2023</v>
      </c>
      <c r="D4555" t="inlineStr">
        <is>
          <t>Asset</t>
        </is>
      </c>
      <c r="E4555" t="inlineStr">
        <is>
          <t>Total Palm Planted (nucleus+plasma)</t>
        </is>
      </c>
      <c r="F4555" t="n">
        <v>132000</v>
      </c>
      <c r="G4555" t="inlineStr">
        <is>
          <t>ha</t>
        </is>
      </c>
      <c r="H4555" t="n">
        <v>96</v>
      </c>
      <c r="I4555" t="inlineStr">
        <is>
          <t>di Sumatera mencapai sekitar 82 ribu ha, sedangkan di Kalimantan luasnya mencapai sekitar 50 ribu ha</t>
        </is>
      </c>
      <c r="J4555" t="inlineStr">
        <is>
          <t>High</t>
        </is>
      </c>
      <c r="M4555" t="inlineStr">
        <is>
          <t>LLM</t>
        </is>
      </c>
      <c r="N4555" t="inlineStr">
        <is>
          <t>2026-04-19</t>
        </is>
      </c>
      <c r="O4555" t="inlineStr">
        <is>
          <t>AI</t>
        </is>
      </c>
    </row>
    <row r="4556">
      <c r="A4556" t="inlineStr">
        <is>
          <t>PT Sampoerna Agro Tbk</t>
        </is>
      </c>
      <c r="B4556" t="inlineStr">
        <is>
          <t>SGRO_2023_AR.pdf</t>
        </is>
      </c>
      <c r="C4556" t="n">
        <v>2023</v>
      </c>
      <c r="D4556" t="inlineStr">
        <is>
          <t>Asset</t>
        </is>
      </c>
      <c r="E4556" t="inlineStr">
        <is>
          <t>Sumatra Palm Planted</t>
        </is>
      </c>
      <c r="F4556" t="n">
        <v>82000</v>
      </c>
      <c r="G4556" t="inlineStr">
        <is>
          <t>ha</t>
        </is>
      </c>
      <c r="H4556" t="n">
        <v>96</v>
      </c>
      <c r="I4556" t="inlineStr">
        <is>
          <t>Total lahan tertanam ... di Sumatera mencapai sekitar 82 ribu ha</t>
        </is>
      </c>
      <c r="J4556" t="inlineStr">
        <is>
          <t>High</t>
        </is>
      </c>
      <c r="M4556" t="inlineStr">
        <is>
          <t>LLM</t>
        </is>
      </c>
      <c r="N4556" t="inlineStr">
        <is>
          <t>2026-04-19</t>
        </is>
      </c>
      <c r="O4556" t="inlineStr">
        <is>
          <t>AI</t>
        </is>
      </c>
    </row>
    <row r="4557">
      <c r="A4557" t="inlineStr">
        <is>
          <t>PT Sampoerna Agro Tbk</t>
        </is>
      </c>
      <c r="B4557" t="inlineStr">
        <is>
          <t>SGRO_2023_AR.pdf</t>
        </is>
      </c>
      <c r="C4557" t="n">
        <v>2023</v>
      </c>
      <c r="D4557" t="inlineStr">
        <is>
          <t>Asset</t>
        </is>
      </c>
      <c r="E4557" t="inlineStr">
        <is>
          <t>Kalimantan Palm Planted</t>
        </is>
      </c>
      <c r="F4557" t="n">
        <v>50000</v>
      </c>
      <c r="G4557" t="inlineStr">
        <is>
          <t>ha</t>
        </is>
      </c>
      <c r="H4557" t="n">
        <v>96</v>
      </c>
      <c r="I4557" t="inlineStr">
        <is>
          <t>Kalimantan luasnya mencapai sekitar 50 ribu ha</t>
        </is>
      </c>
      <c r="J4557" t="inlineStr">
        <is>
          <t>High</t>
        </is>
      </c>
      <c r="M4557" t="inlineStr">
        <is>
          <t>LLM</t>
        </is>
      </c>
      <c r="N4557" t="inlineStr">
        <is>
          <t>2026-04-19</t>
        </is>
      </c>
      <c r="O4557" t="inlineStr">
        <is>
          <t>AI</t>
        </is>
      </c>
    </row>
    <row r="4558">
      <c r="A4558" t="inlineStr">
        <is>
          <t>PT Sampoerna Agro Tbk</t>
        </is>
      </c>
      <c r="B4558" t="inlineStr">
        <is>
          <t>SGRO_2023_AR.pdf</t>
        </is>
      </c>
      <c r="C4558" t="n">
        <v>2023</v>
      </c>
      <c r="D4558" t="inlineStr">
        <is>
          <t>Asset</t>
        </is>
      </c>
      <c r="E4558" t="inlineStr">
        <is>
          <t>Plasma Planted Area</t>
        </is>
      </c>
      <c r="F4558" t="n">
        <v>50039</v>
      </c>
      <c r="G4558" t="inlineStr">
        <is>
          <t>ha</t>
        </is>
      </c>
      <c r="H4558" t="n">
        <v>70</v>
      </c>
      <c r="I4558" t="inlineStr">
        <is>
          <t>jumlah petani plasma mencapai 37.444 pihak, tersebar di lahan seluas 50.039 ha</t>
        </is>
      </c>
      <c r="J4558" t="inlineStr">
        <is>
          <t>High</t>
        </is>
      </c>
      <c r="M4558" t="inlineStr">
        <is>
          <t>LLM</t>
        </is>
      </c>
      <c r="N4558" t="inlineStr">
        <is>
          <t>2026-04-19</t>
        </is>
      </c>
      <c r="O4558" t="inlineStr">
        <is>
          <t>AI</t>
        </is>
      </c>
    </row>
    <row r="4559">
      <c r="A4559" t="inlineStr">
        <is>
          <t>PT Sampoerna Agro Tbk</t>
        </is>
      </c>
      <c r="B4559" t="inlineStr">
        <is>
          <t>SGRO_2023_AR.pdf</t>
        </is>
      </c>
      <c r="C4559" t="n">
        <v>2023</v>
      </c>
      <c r="D4559" t="inlineStr">
        <is>
          <t>Asset</t>
        </is>
      </c>
      <c r="E4559" t="inlineStr">
        <is>
          <t>Plasma Smallholders Count</t>
        </is>
      </c>
      <c r="F4559" t="n">
        <v>37444</v>
      </c>
      <c r="G4559" t="inlineStr">
        <is>
          <t>count</t>
        </is>
      </c>
      <c r="H4559" t="n">
        <v>70</v>
      </c>
      <c r="I4559" t="inlineStr">
        <is>
          <t>jumlah petani plasma mencapai 37.444 pihak</t>
        </is>
      </c>
      <c r="J4559" t="inlineStr">
        <is>
          <t>High</t>
        </is>
      </c>
      <c r="M4559" t="inlineStr">
        <is>
          <t>LLM</t>
        </is>
      </c>
      <c r="N4559" t="inlineStr">
        <is>
          <t>2026-04-19</t>
        </is>
      </c>
      <c r="O4559" t="inlineStr">
        <is>
          <t>AI</t>
        </is>
      </c>
    </row>
    <row r="4560">
      <c r="A4560" t="inlineStr">
        <is>
          <t>PT Sampoerna Agro Tbk</t>
        </is>
      </c>
      <c r="B4560" t="inlineStr">
        <is>
          <t>SGRO_2023_AR.pdf</t>
        </is>
      </c>
      <c r="C4560" t="n">
        <v>2023</v>
      </c>
      <c r="D4560" t="inlineStr">
        <is>
          <t>Asset</t>
        </is>
      </c>
      <c r="E4560" t="inlineStr">
        <is>
          <t>Mature Ratio (palm)</t>
        </is>
      </c>
      <c r="F4560" t="n">
        <v>0.89</v>
      </c>
      <c r="G4560" t="inlineStr">
        <is>
          <t>%</t>
        </is>
      </c>
      <c r="H4560" t="n">
        <v>96</v>
      </c>
      <c r="I4560" t="inlineStr">
        <is>
          <t>Sebanyak 89% dari total luasan ini merupakan tanaman yang menghasilkan</t>
        </is>
      </c>
      <c r="J4560" t="inlineStr">
        <is>
          <t>High</t>
        </is>
      </c>
      <c r="M4560" t="inlineStr">
        <is>
          <t>LLM</t>
        </is>
      </c>
      <c r="N4560" t="inlineStr">
        <is>
          <t>2026-04-19</t>
        </is>
      </c>
      <c r="O4560" t="inlineStr">
        <is>
          <t>AI</t>
        </is>
      </c>
    </row>
    <row r="4561">
      <c r="A4561" t="inlineStr">
        <is>
          <t>PT Sampoerna Agro Tbk</t>
        </is>
      </c>
      <c r="B4561" t="inlineStr">
        <is>
          <t>SGRO_2023_AR.pdf</t>
        </is>
      </c>
      <c r="C4561" t="n">
        <v>2023</v>
      </c>
      <c r="D4561" t="inlineStr">
        <is>
          <t>Asset</t>
        </is>
      </c>
      <c r="E4561" t="inlineStr">
        <is>
          <t>Avg Tree Age - Nucleus</t>
        </is>
      </c>
      <c r="F4561" t="n">
        <v>15</v>
      </c>
      <c r="G4561" t="inlineStr">
        <is>
          <t>years</t>
        </is>
      </c>
      <c r="H4561" t="n">
        <v>96</v>
      </c>
      <c r="I4561" t="inlineStr">
        <is>
          <t>Umur rata-rata kebun inti Perseroan di tahun 2023 adalah 15 tahun</t>
        </is>
      </c>
      <c r="J4561" t="inlineStr">
        <is>
          <t>High</t>
        </is>
      </c>
      <c r="M4561" t="inlineStr">
        <is>
          <t>LLM</t>
        </is>
      </c>
      <c r="N4561" t="inlineStr">
        <is>
          <t>2026-04-19</t>
        </is>
      </c>
      <c r="O4561" t="inlineStr">
        <is>
          <t>AI</t>
        </is>
      </c>
    </row>
    <row r="4562">
      <c r="A4562" t="inlineStr">
        <is>
          <t>PT Sampoerna Agro Tbk</t>
        </is>
      </c>
      <c r="B4562" t="inlineStr">
        <is>
          <t>SGRO_2023_AR.pdf</t>
        </is>
      </c>
      <c r="C4562" t="n">
        <v>2023</v>
      </c>
      <c r="D4562" t="inlineStr">
        <is>
          <t>Asset</t>
        </is>
      </c>
      <c r="E4562" t="inlineStr">
        <is>
          <t>Avg Tree Age - Plasma</t>
        </is>
      </c>
      <c r="F4562" t="n">
        <v>16</v>
      </c>
      <c r="G4562" t="inlineStr">
        <is>
          <t>years</t>
        </is>
      </c>
      <c r="H4562" t="n">
        <v>96</v>
      </c>
      <c r="I4562" t="inlineStr">
        <is>
          <t>pada kebun plasmanya, umur rata-rata tanaman mencapai 16 tahun</t>
        </is>
      </c>
      <c r="J4562" t="inlineStr">
        <is>
          <t>High</t>
        </is>
      </c>
      <c r="M4562" t="inlineStr">
        <is>
          <t>LLM</t>
        </is>
      </c>
      <c r="N4562" t="inlineStr">
        <is>
          <t>2026-04-19</t>
        </is>
      </c>
      <c r="O4562" t="inlineStr">
        <is>
          <t>AI</t>
        </is>
      </c>
    </row>
    <row r="4563">
      <c r="A4563" t="inlineStr">
        <is>
          <t>PT Sampoerna Agro Tbk</t>
        </is>
      </c>
      <c r="B4563" t="inlineStr">
        <is>
          <t>SGRO_2023_AR.pdf</t>
        </is>
      </c>
      <c r="C4563" t="n">
        <v>2023</v>
      </c>
      <c r="D4563" t="inlineStr">
        <is>
          <t>Asset</t>
        </is>
      </c>
      <c r="E4563" t="inlineStr">
        <is>
          <t>Sago Planted Area</t>
        </is>
      </c>
      <c r="F4563" t="n">
        <v>12781</v>
      </c>
      <c r="G4563" t="inlineStr">
        <is>
          <t>ha</t>
        </is>
      </c>
      <c r="H4563" t="n">
        <v>99</v>
      </c>
      <c r="I4563" t="inlineStr">
        <is>
          <t>12.781 ha (sagu)</t>
        </is>
      </c>
      <c r="J4563" t="inlineStr">
        <is>
          <t>High</t>
        </is>
      </c>
      <c r="M4563" t="inlineStr">
        <is>
          <t>LLM</t>
        </is>
      </c>
      <c r="N4563" t="inlineStr">
        <is>
          <t>2026-04-19</t>
        </is>
      </c>
      <c r="O4563" t="inlineStr">
        <is>
          <t>AI</t>
        </is>
      </c>
    </row>
    <row r="4564">
      <c r="A4564" t="inlineStr">
        <is>
          <t>PT Sampoerna Agro Tbk</t>
        </is>
      </c>
      <c r="B4564" t="inlineStr">
        <is>
          <t>SGRO_2023_AR.pdf</t>
        </is>
      </c>
      <c r="C4564" t="n">
        <v>2023</v>
      </c>
      <c r="D4564" t="inlineStr">
        <is>
          <t>Asset</t>
        </is>
      </c>
      <c r="E4564" t="inlineStr">
        <is>
          <t>Sago Concession Area</t>
        </is>
      </c>
      <c r="F4564" t="n">
        <v>21000</v>
      </c>
      <c r="G4564" t="inlineStr">
        <is>
          <t>ha</t>
        </is>
      </c>
      <c r="H4564" t="n">
        <v>99</v>
      </c>
      <c r="I4564" t="inlineStr">
        <is>
          <t>dengan luasan sekitar 21.000 ha</t>
        </is>
      </c>
      <c r="J4564" t="inlineStr">
        <is>
          <t>High</t>
        </is>
      </c>
      <c r="M4564" t="inlineStr">
        <is>
          <t>LLM</t>
        </is>
      </c>
      <c r="N4564" t="inlineStr">
        <is>
          <t>2026-04-19</t>
        </is>
      </c>
      <c r="O4564" t="inlineStr">
        <is>
          <t>AI</t>
        </is>
      </c>
    </row>
    <row r="4565">
      <c r="A4565" t="inlineStr">
        <is>
          <t>PT Sampoerna Agro Tbk</t>
        </is>
      </c>
      <c r="B4565" t="inlineStr">
        <is>
          <t>SGRO_2023_AR.pdf</t>
        </is>
      </c>
      <c r="C4565" t="n">
        <v>2023</v>
      </c>
      <c r="D4565" t="inlineStr">
        <is>
          <t>Asset</t>
        </is>
      </c>
      <c r="E4565" t="inlineStr">
        <is>
          <t>Rubber Planted Area</t>
        </is>
      </c>
      <c r="F4565" t="n">
        <v>22856</v>
      </c>
      <c r="G4565" t="inlineStr">
        <is>
          <t>ha</t>
        </is>
      </c>
      <c r="H4565" t="n">
        <v>99</v>
      </c>
      <c r="I4565" t="inlineStr">
        <is>
          <t>22.856 ha (karet)</t>
        </is>
      </c>
      <c r="J4565" t="inlineStr">
        <is>
          <t>High</t>
        </is>
      </c>
      <c r="M4565" t="inlineStr">
        <is>
          <t>LLM</t>
        </is>
      </c>
      <c r="N4565" t="inlineStr">
        <is>
          <t>2026-04-19</t>
        </is>
      </c>
      <c r="O4565" t="inlineStr">
        <is>
          <t>AI</t>
        </is>
      </c>
    </row>
    <row r="4566">
      <c r="A4566" t="inlineStr">
        <is>
          <t>PT Sampoerna Agro Tbk</t>
        </is>
      </c>
      <c r="B4566" t="inlineStr">
        <is>
          <t>SGRO_2023_AR.pdf</t>
        </is>
      </c>
      <c r="C4566" t="n">
        <v>2023</v>
      </c>
      <c r="D4566" t="inlineStr">
        <is>
          <t>Asset</t>
        </is>
      </c>
      <c r="E4566" t="inlineStr">
        <is>
          <t>Rubber Concession Area</t>
        </is>
      </c>
      <c r="F4566" t="n">
        <v>100000</v>
      </c>
      <c r="G4566" t="inlineStr">
        <is>
          <t>ha</t>
        </is>
      </c>
      <c r="H4566" t="n">
        <v>99</v>
      </c>
      <c r="I4566" t="inlineStr">
        <is>
          <t>total luasan konsesi sekitar 100.000 ha, berlokasi di Ketapang, Kalimantan Barat</t>
        </is>
      </c>
      <c r="J4566" t="inlineStr">
        <is>
          <t>High</t>
        </is>
      </c>
      <c r="M4566" t="inlineStr">
        <is>
          <t>LLM</t>
        </is>
      </c>
      <c r="N4566" t="inlineStr">
        <is>
          <t>2026-04-19</t>
        </is>
      </c>
      <c r="O4566" t="inlineStr">
        <is>
          <t>AI</t>
        </is>
      </c>
    </row>
    <row r="4567">
      <c r="A4567" t="inlineStr">
        <is>
          <t>PT Sampoerna Agro Tbk</t>
        </is>
      </c>
      <c r="B4567" t="inlineStr">
        <is>
          <t>SGRO_2023_AR.pdf</t>
        </is>
      </c>
      <c r="C4567" t="n">
        <v>2023</v>
      </c>
      <c r="D4567" t="inlineStr">
        <is>
          <t>Asset</t>
        </is>
      </c>
      <c r="E4567" t="inlineStr">
        <is>
          <t>Palm Oil Mill Count (PKS)</t>
        </is>
      </c>
      <c r="F4567" t="n">
        <v>8</v>
      </c>
      <c r="G4567" t="inlineStr">
        <is>
          <t>count</t>
        </is>
      </c>
      <c r="H4567" t="n">
        <v>96</v>
      </c>
      <c r="I4567" t="inlineStr">
        <is>
          <t>Perseroan memiliki dan mengoperasikan 8 pabrik kelapa sawit (PKS)</t>
        </is>
      </c>
      <c r="J4567" t="inlineStr">
        <is>
          <t>High</t>
        </is>
      </c>
      <c r="M4567" t="inlineStr">
        <is>
          <t>LLM</t>
        </is>
      </c>
      <c r="N4567" t="inlineStr">
        <is>
          <t>2026-04-19</t>
        </is>
      </c>
      <c r="O4567" t="inlineStr">
        <is>
          <t>AI</t>
        </is>
      </c>
    </row>
    <row r="4568">
      <c r="A4568" t="inlineStr">
        <is>
          <t>PT Sampoerna Agro Tbk</t>
        </is>
      </c>
      <c r="B4568" t="inlineStr">
        <is>
          <t>SGRO_2023_AR.pdf</t>
        </is>
      </c>
      <c r="C4568" t="n">
        <v>2023</v>
      </c>
      <c r="D4568" t="inlineStr">
        <is>
          <t>Asset</t>
        </is>
      </c>
      <c r="E4568" t="inlineStr">
        <is>
          <t>Total Mill Capacity</t>
        </is>
      </c>
      <c r="F4568" t="n">
        <v>515</v>
      </c>
      <c r="G4568" t="inlineStr">
        <is>
          <t>tph</t>
        </is>
      </c>
      <c r="H4568" t="n">
        <v>96</v>
      </c>
      <c r="I4568" t="inlineStr">
        <is>
          <t>Kapasitas produksi gabungan dari seluruh PKS Perseroan adalah 515 ton TBS/jam</t>
        </is>
      </c>
      <c r="J4568" t="inlineStr">
        <is>
          <t>High</t>
        </is>
      </c>
      <c r="M4568" t="inlineStr">
        <is>
          <t>LLM</t>
        </is>
      </c>
      <c r="N4568" t="inlineStr">
        <is>
          <t>2026-04-19</t>
        </is>
      </c>
      <c r="O4568" t="inlineStr">
        <is>
          <t>AI</t>
        </is>
      </c>
    </row>
    <row r="4569">
      <c r="A4569" t="inlineStr">
        <is>
          <t>PT Sampoerna Agro Tbk</t>
        </is>
      </c>
      <c r="B4569" t="inlineStr">
        <is>
          <t>SGRO_2023_AR.pdf</t>
        </is>
      </c>
      <c r="C4569" t="n">
        <v>2023</v>
      </c>
      <c r="D4569" t="inlineStr">
        <is>
          <t>Operation</t>
        </is>
      </c>
      <c r="E4569" t="inlineStr">
        <is>
          <t>FFB Production Total</t>
        </is>
      </c>
      <c r="F4569" t="n">
        <v>1900174</v>
      </c>
      <c r="G4569" t="inlineStr">
        <is>
          <t>t</t>
        </is>
      </c>
      <c r="H4569" t="n">
        <v>96</v>
      </c>
      <c r="I4569" t="inlineStr">
        <is>
          <t>TBS yang diproduksi oleh Perseroan mencapai 1.900.174 ton</t>
        </is>
      </c>
      <c r="J4569" t="inlineStr">
        <is>
          <t>High</t>
        </is>
      </c>
      <c r="M4569" t="inlineStr">
        <is>
          <t>LLM</t>
        </is>
      </c>
      <c r="N4569" t="inlineStr">
        <is>
          <t>2026-04-19</t>
        </is>
      </c>
      <c r="O4569" t="inlineStr">
        <is>
          <t>AI</t>
        </is>
      </c>
    </row>
    <row r="4570">
      <c r="A4570" t="inlineStr">
        <is>
          <t>PT Sampoerna Agro Tbk</t>
        </is>
      </c>
      <c r="B4570" t="inlineStr">
        <is>
          <t>SGRO_2023_AR.pdf</t>
        </is>
      </c>
      <c r="C4570" t="n">
        <v>2023</v>
      </c>
      <c r="D4570" t="inlineStr">
        <is>
          <t>Operation</t>
        </is>
      </c>
      <c r="E4570" t="inlineStr">
        <is>
          <t>FFB Nucleus</t>
        </is>
      </c>
      <c r="F4570" t="n">
        <v>1259629</v>
      </c>
      <c r="G4570" t="inlineStr">
        <is>
          <t>t</t>
        </is>
      </c>
      <c r="H4570" t="n">
        <v>96</v>
      </c>
      <c r="I4570" t="inlineStr">
        <is>
          <t>1.259.629 ton (66% dari keseluruhan) berasal dari kebun inti Perseroan</t>
        </is>
      </c>
      <c r="J4570" t="inlineStr">
        <is>
          <t>High</t>
        </is>
      </c>
      <c r="M4570" t="inlineStr">
        <is>
          <t>LLM</t>
        </is>
      </c>
      <c r="N4570" t="inlineStr">
        <is>
          <t>2026-04-19</t>
        </is>
      </c>
      <c r="O4570" t="inlineStr">
        <is>
          <t>AI</t>
        </is>
      </c>
    </row>
    <row r="4571">
      <c r="A4571" t="inlineStr">
        <is>
          <t>PT Sampoerna Agro Tbk</t>
        </is>
      </c>
      <c r="B4571" t="inlineStr">
        <is>
          <t>SGRO_2023_AR.pdf</t>
        </is>
      </c>
      <c r="C4571" t="n">
        <v>2023</v>
      </c>
      <c r="D4571" t="inlineStr">
        <is>
          <t>Operation</t>
        </is>
      </c>
      <c r="E4571" t="inlineStr">
        <is>
          <t>FFB Plasma + Third-party</t>
        </is>
      </c>
      <c r="F4571" t="n">
        <v>640545</v>
      </c>
      <c r="G4571" t="inlineStr">
        <is>
          <t>t</t>
        </is>
      </c>
      <c r="H4571" t="n">
        <v>96</v>
      </c>
      <c r="I4571" t="inlineStr">
        <is>
          <t>sisanya sebesar 640.545 ton (34%) berasal dari kebun plasma dan pembelian TBS dari pihak eksternal</t>
        </is>
      </c>
      <c r="J4571" t="inlineStr">
        <is>
          <t>High</t>
        </is>
      </c>
      <c r="M4571" t="inlineStr">
        <is>
          <t>LLM</t>
        </is>
      </c>
      <c r="N4571" t="inlineStr">
        <is>
          <t>2026-04-19</t>
        </is>
      </c>
      <c r="O4571" t="inlineStr">
        <is>
          <t>AI</t>
        </is>
      </c>
    </row>
    <row r="4572">
      <c r="A4572" t="inlineStr">
        <is>
          <t>PT Sampoerna Agro Tbk</t>
        </is>
      </c>
      <c r="B4572" t="inlineStr">
        <is>
          <t>SGRO_2023_AR.pdf</t>
        </is>
      </c>
      <c r="C4572" t="n">
        <v>2023</v>
      </c>
      <c r="D4572" t="inlineStr">
        <is>
          <t>Operation</t>
        </is>
      </c>
      <c r="E4572" t="inlineStr">
        <is>
          <t>CPO Production</t>
        </is>
      </c>
      <c r="F4572" t="n">
        <v>396927</v>
      </c>
      <c r="G4572" t="inlineStr">
        <is>
          <t>t</t>
        </is>
      </c>
      <c r="H4572" t="n">
        <v>93</v>
      </c>
      <c r="I4572" t="inlineStr">
        <is>
          <t>Minyak Sawit Mentah (ton) ... 396.927 (2023)</t>
        </is>
      </c>
      <c r="J4572" t="inlineStr">
        <is>
          <t>High</t>
        </is>
      </c>
      <c r="M4572" t="inlineStr">
        <is>
          <t>LLM</t>
        </is>
      </c>
      <c r="N4572" t="inlineStr">
        <is>
          <t>2026-04-19</t>
        </is>
      </c>
      <c r="O4572" t="inlineStr">
        <is>
          <t>AI</t>
        </is>
      </c>
    </row>
    <row r="4573">
      <c r="A4573" t="inlineStr">
        <is>
          <t>PT Sampoerna Agro Tbk</t>
        </is>
      </c>
      <c r="B4573" t="inlineStr">
        <is>
          <t>SGRO_2023_AR.pdf</t>
        </is>
      </c>
      <c r="C4573" t="n">
        <v>2023</v>
      </c>
      <c r="D4573" t="inlineStr">
        <is>
          <t>Operation</t>
        </is>
      </c>
      <c r="E4573" t="inlineStr">
        <is>
          <t>Palm Kernel Production</t>
        </is>
      </c>
      <c r="F4573" t="n">
        <v>98984</v>
      </c>
      <c r="G4573" t="inlineStr">
        <is>
          <t>t</t>
        </is>
      </c>
      <c r="H4573" t="n">
        <v>93</v>
      </c>
      <c r="I4573" t="inlineStr">
        <is>
          <t>Inti Sawit (ton) ... 98.984 (2023)</t>
        </is>
      </c>
      <c r="J4573" t="inlineStr">
        <is>
          <t>High</t>
        </is>
      </c>
      <c r="M4573" t="inlineStr">
        <is>
          <t>LLM</t>
        </is>
      </c>
      <c r="N4573" t="inlineStr">
        <is>
          <t>2026-04-19</t>
        </is>
      </c>
      <c r="O4573" t="inlineStr">
        <is>
          <t>AI</t>
        </is>
      </c>
    </row>
    <row r="4574">
      <c r="A4574" t="inlineStr">
        <is>
          <t>PT Sampoerna Agro Tbk</t>
        </is>
      </c>
      <c r="B4574" t="inlineStr">
        <is>
          <t>SGRO_2023_AR.pdf</t>
        </is>
      </c>
      <c r="C4574" t="n">
        <v>2023</v>
      </c>
      <c r="D4574" t="inlineStr">
        <is>
          <t>Operation</t>
        </is>
      </c>
      <c r="E4574" t="inlineStr">
        <is>
          <t>Germinated Seeds Production</t>
        </is>
      </c>
      <c r="F4574" t="n">
        <v>23805000</v>
      </c>
      <c r="G4574" t="inlineStr">
        <is>
          <t>seeds</t>
        </is>
      </c>
      <c r="H4574" t="n">
        <v>93</v>
      </c>
      <c r="I4574" t="inlineStr">
        <is>
          <t>Kecambah Sawit (ribuan butir) ... 23.805 (2023)</t>
        </is>
      </c>
      <c r="J4574" t="inlineStr">
        <is>
          <t>High</t>
        </is>
      </c>
      <c r="M4574" t="inlineStr">
        <is>
          <t>LLM</t>
        </is>
      </c>
      <c r="N4574" t="inlineStr">
        <is>
          <t>2026-04-19</t>
        </is>
      </c>
      <c r="O4574" t="inlineStr">
        <is>
          <t>AI</t>
        </is>
      </c>
    </row>
    <row r="4575">
      <c r="A4575" t="inlineStr">
        <is>
          <t>PT Sampoerna Agro Tbk</t>
        </is>
      </c>
      <c r="B4575" t="inlineStr">
        <is>
          <t>SGRO_2023_AR.pdf</t>
        </is>
      </c>
      <c r="C4575" t="n">
        <v>2023</v>
      </c>
      <c r="D4575" t="inlineStr">
        <is>
          <t>Operation</t>
        </is>
      </c>
      <c r="E4575" t="inlineStr">
        <is>
          <t>Sago Production</t>
        </is>
      </c>
      <c r="F4575" t="n">
        <v>2686</v>
      </c>
      <c r="G4575" t="inlineStr">
        <is>
          <t>t</t>
        </is>
      </c>
      <c r="H4575" t="n">
        <v>93</v>
      </c>
      <c r="I4575" t="inlineStr">
        <is>
          <t>Sagu (ton) ... 2.686 (2023)</t>
        </is>
      </c>
      <c r="J4575" t="inlineStr">
        <is>
          <t>High</t>
        </is>
      </c>
      <c r="M4575" t="inlineStr">
        <is>
          <t>LLM</t>
        </is>
      </c>
      <c r="N4575" t="inlineStr">
        <is>
          <t>2026-04-19</t>
        </is>
      </c>
      <c r="O4575" t="inlineStr">
        <is>
          <t>AI</t>
        </is>
      </c>
    </row>
    <row r="4576">
      <c r="A4576" t="inlineStr">
        <is>
          <t>PT Sampoerna Agro Tbk</t>
        </is>
      </c>
      <c r="B4576" t="inlineStr">
        <is>
          <t>SGRO_2023_AR.pdf</t>
        </is>
      </c>
      <c r="C4576" t="n">
        <v>2023</v>
      </c>
      <c r="D4576" t="inlineStr">
        <is>
          <t>Operation</t>
        </is>
      </c>
      <c r="E4576" t="inlineStr">
        <is>
          <t>CPO Sales Volume</t>
        </is>
      </c>
      <c r="F4576" t="n">
        <v>413283</v>
      </c>
      <c r="G4576" t="inlineStr">
        <is>
          <t>t</t>
        </is>
      </c>
      <c r="H4576" t="n">
        <v>93</v>
      </c>
      <c r="I4576" t="inlineStr">
        <is>
          <t>Minyak Sawit Mentah (ton) ... 413.283 (2023)</t>
        </is>
      </c>
      <c r="J4576" t="inlineStr">
        <is>
          <t>High</t>
        </is>
      </c>
      <c r="M4576" t="inlineStr">
        <is>
          <t>LLM</t>
        </is>
      </c>
      <c r="N4576" t="inlineStr">
        <is>
          <t>2026-04-19</t>
        </is>
      </c>
      <c r="O4576" t="inlineStr">
        <is>
          <t>AI</t>
        </is>
      </c>
    </row>
    <row r="4577">
      <c r="A4577" t="inlineStr">
        <is>
          <t>PT Sampoerna Agro Tbk</t>
        </is>
      </c>
      <c r="B4577" t="inlineStr">
        <is>
          <t>SGRO_2023_AR.pdf</t>
        </is>
      </c>
      <c r="C4577" t="n">
        <v>2023</v>
      </c>
      <c r="D4577" t="inlineStr">
        <is>
          <t>Operation</t>
        </is>
      </c>
      <c r="E4577" t="inlineStr">
        <is>
          <t>PK Sales Volume</t>
        </is>
      </c>
      <c r="F4577" t="n">
        <v>101198</v>
      </c>
      <c r="G4577" t="inlineStr">
        <is>
          <t>t</t>
        </is>
      </c>
      <c r="H4577" t="n">
        <v>93</v>
      </c>
      <c r="I4577" t="inlineStr">
        <is>
          <t>Inti Sawit (ton) ... 101.198 (2023)</t>
        </is>
      </c>
      <c r="J4577" t="inlineStr">
        <is>
          <t>High</t>
        </is>
      </c>
      <c r="M4577" t="inlineStr">
        <is>
          <t>LLM</t>
        </is>
      </c>
      <c r="N4577" t="inlineStr">
        <is>
          <t>2026-04-19</t>
        </is>
      </c>
      <c r="O4577" t="inlineStr">
        <is>
          <t>AI</t>
        </is>
      </c>
    </row>
    <row r="4578">
      <c r="A4578" t="inlineStr">
        <is>
          <t>PT Sampoerna Agro Tbk</t>
        </is>
      </c>
      <c r="B4578" t="inlineStr">
        <is>
          <t>SGRO_2023_AR.pdf</t>
        </is>
      </c>
      <c r="C4578" t="n">
        <v>2023</v>
      </c>
      <c r="D4578" t="inlineStr">
        <is>
          <t>Operation</t>
        </is>
      </c>
      <c r="E4578" t="inlineStr">
        <is>
          <t>Seed Sales Volume</t>
        </is>
      </c>
      <c r="F4578" t="n">
        <v>19284000</v>
      </c>
      <c r="G4578" t="inlineStr">
        <is>
          <t>seeds</t>
        </is>
      </c>
      <c r="H4578" t="n">
        <v>93</v>
      </c>
      <c r="I4578" t="inlineStr">
        <is>
          <t>Kecambah Sawit (ribuan butir) ... 19.284 (2023)</t>
        </is>
      </c>
      <c r="J4578" t="inlineStr">
        <is>
          <t>High</t>
        </is>
      </c>
      <c r="M4578" t="inlineStr">
        <is>
          <t>LLM</t>
        </is>
      </c>
      <c r="N4578" t="inlineStr">
        <is>
          <t>2026-04-19</t>
        </is>
      </c>
      <c r="O4578" t="inlineStr">
        <is>
          <t>AI</t>
        </is>
      </c>
    </row>
    <row r="4579">
      <c r="A4579" t="inlineStr">
        <is>
          <t>PT Sampoerna Agro Tbk</t>
        </is>
      </c>
      <c r="B4579" t="inlineStr">
        <is>
          <t>SGRO_2023_AR.pdf</t>
        </is>
      </c>
      <c r="C4579" t="n">
        <v>2023</v>
      </c>
      <c r="D4579" t="inlineStr">
        <is>
          <t>Operation</t>
        </is>
      </c>
      <c r="E4579" t="inlineStr">
        <is>
          <t>Sago Sales Volume</t>
        </is>
      </c>
      <c r="F4579" t="n">
        <v>2464</v>
      </c>
      <c r="G4579" t="inlineStr">
        <is>
          <t>t</t>
        </is>
      </c>
      <c r="H4579" t="n">
        <v>93</v>
      </c>
      <c r="I4579" t="inlineStr">
        <is>
          <t>Sagu (ton) ... 2.464 (2023)</t>
        </is>
      </c>
      <c r="J4579" t="inlineStr">
        <is>
          <t>High</t>
        </is>
      </c>
      <c r="M4579" t="inlineStr">
        <is>
          <t>LLM</t>
        </is>
      </c>
      <c r="N4579" t="inlineStr">
        <is>
          <t>2026-04-19</t>
        </is>
      </c>
      <c r="O4579" t="inlineStr">
        <is>
          <t>AI</t>
        </is>
      </c>
    </row>
    <row r="4580">
      <c r="A4580" t="inlineStr">
        <is>
          <t>PT Sampoerna Agro Tbk</t>
        </is>
      </c>
      <c r="B4580" t="inlineStr">
        <is>
          <t>SGRO_2023_AR.pdf</t>
        </is>
      </c>
      <c r="C4580" t="n">
        <v>2023</v>
      </c>
      <c r="D4580" t="inlineStr">
        <is>
          <t>Operation</t>
        </is>
      </c>
      <c r="E4580" t="inlineStr">
        <is>
          <t>Avg CPO Selling Price</t>
        </is>
      </c>
      <c r="F4580" t="n">
        <v>11405</v>
      </c>
      <c r="G4580" t="inlineStr">
        <is>
          <t>Rp/kg</t>
        </is>
      </c>
      <c r="H4580" t="n">
        <v>97</v>
      </c>
      <c r="I4580" t="inlineStr">
        <is>
          <t>dari Rp12.341/kg di tahun 2022 menjadi Rp11.405/kg di tahun 2023</t>
        </is>
      </c>
      <c r="J4580" t="inlineStr">
        <is>
          <t>High</t>
        </is>
      </c>
      <c r="M4580" t="inlineStr">
        <is>
          <t>LLM</t>
        </is>
      </c>
      <c r="N4580" t="inlineStr">
        <is>
          <t>2026-04-19</t>
        </is>
      </c>
      <c r="O4580" t="inlineStr">
        <is>
          <t>AI</t>
        </is>
      </c>
    </row>
    <row r="4581">
      <c r="A4581" t="inlineStr">
        <is>
          <t>PT Sampoerna Agro Tbk</t>
        </is>
      </c>
      <c r="B4581" t="inlineStr">
        <is>
          <t>SGRO_2023_AR.pdf</t>
        </is>
      </c>
      <c r="C4581" t="n">
        <v>2023</v>
      </c>
      <c r="D4581" t="inlineStr">
        <is>
          <t>Operation</t>
        </is>
      </c>
      <c r="E4581" t="inlineStr">
        <is>
          <t>Avg PK Selling Price</t>
        </is>
      </c>
      <c r="F4581" t="n">
        <v>5306</v>
      </c>
      <c r="G4581" t="inlineStr">
        <is>
          <t>Rp/kg</t>
        </is>
      </c>
      <c r="H4581" t="n">
        <v>97</v>
      </c>
      <c r="I4581" t="inlineStr">
        <is>
          <t>Harga jual rata-rata untuk produk inti sawit Perseroan di tahun 2023 mencapai Rp5.306/kg</t>
        </is>
      </c>
      <c r="J4581" t="inlineStr">
        <is>
          <t>High</t>
        </is>
      </c>
      <c r="M4581" t="inlineStr">
        <is>
          <t>LLM</t>
        </is>
      </c>
      <c r="N4581" t="inlineStr">
        <is>
          <t>2026-04-19</t>
        </is>
      </c>
      <c r="O4581" t="inlineStr">
        <is>
          <t>AI</t>
        </is>
      </c>
    </row>
    <row r="4582">
      <c r="A4582" t="inlineStr">
        <is>
          <t>PT Sampoerna Agro Tbk</t>
        </is>
      </c>
      <c r="B4582" t="inlineStr">
        <is>
          <t>SGRO_2023_AR.pdf</t>
        </is>
      </c>
      <c r="C4582" t="n">
        <v>2023</v>
      </c>
      <c r="D4582" t="inlineStr">
        <is>
          <t>Operation</t>
        </is>
      </c>
      <c r="E4582" t="inlineStr">
        <is>
          <t>Avg Seed Selling Price</t>
        </is>
      </c>
      <c r="F4582" t="n">
        <v>8455</v>
      </c>
      <c r="G4582" t="inlineStr">
        <is>
          <t>Rp/seed</t>
        </is>
      </c>
      <c r="H4582" t="n">
        <v>98</v>
      </c>
      <c r="I4582" t="inlineStr">
        <is>
          <t>harga jual rata-rata ... yakni Rp8.455/butir</t>
        </is>
      </c>
      <c r="J4582" t="inlineStr">
        <is>
          <t>High</t>
        </is>
      </c>
      <c r="M4582" t="inlineStr">
        <is>
          <t>LLM</t>
        </is>
      </c>
      <c r="N4582" t="inlineStr">
        <is>
          <t>2026-04-19</t>
        </is>
      </c>
      <c r="O4582" t="inlineStr">
        <is>
          <t>AI</t>
        </is>
      </c>
    </row>
    <row r="4583">
      <c r="A4583" t="inlineStr">
        <is>
          <t>PT Sampoerna Agro Tbk</t>
        </is>
      </c>
      <c r="B4583" t="inlineStr">
        <is>
          <t>SGRO_2023_AR.pdf</t>
        </is>
      </c>
      <c r="C4583" t="n">
        <v>2023</v>
      </c>
      <c r="D4583" t="inlineStr">
        <is>
          <t>Operation</t>
        </is>
      </c>
      <c r="E4583" t="inlineStr">
        <is>
          <t>OER (CPO Extraction Rate)</t>
        </is>
      </c>
      <c r="F4583" t="n">
        <v>0.214</v>
      </c>
      <c r="G4583" t="inlineStr">
        <is>
          <t>%</t>
        </is>
      </c>
      <c r="H4583" t="n">
        <v>42</v>
      </c>
      <c r="I4583" t="inlineStr">
        <is>
          <t>meningkatkan volume produksi CPO sebesar 1% yoy menjadi 396.927 ton berkat peningkatan OER menjadi 21,4% di 2023, dari 21,0% di 2022</t>
        </is>
      </c>
      <c r="J4583" t="inlineStr">
        <is>
          <t>High</t>
        </is>
      </c>
      <c r="M4583" t="inlineStr">
        <is>
          <t>LLM</t>
        </is>
      </c>
      <c r="N4583" t="inlineStr">
        <is>
          <t>2026-04-19</t>
        </is>
      </c>
      <c r="O4583" t="inlineStr">
        <is>
          <t>AI</t>
        </is>
      </c>
    </row>
    <row r="4584">
      <c r="A4584" t="inlineStr">
        <is>
          <t>PT Sampoerna Agro Tbk</t>
        </is>
      </c>
      <c r="B4584" t="inlineStr">
        <is>
          <t>SGRO_2023_AR.pdf</t>
        </is>
      </c>
      <c r="C4584" t="n">
        <v>2023</v>
      </c>
      <c r="D4584" t="inlineStr">
        <is>
          <t>Operation</t>
        </is>
      </c>
      <c r="E4584" t="inlineStr">
        <is>
          <t>Kalimantan FFB Contribution</t>
        </is>
      </c>
      <c r="F4584" t="n">
        <v>0.38</v>
      </c>
      <c r="G4584" t="inlineStr">
        <is>
          <t>%</t>
        </is>
      </c>
      <c r="H4584" t="n">
        <v>96</v>
      </c>
      <c r="I4584" t="inlineStr">
        <is>
          <t>Kontribusi TBS dari Kalimantan ... mencapai 38% di tahun 2023</t>
        </is>
      </c>
      <c r="J4584" t="inlineStr">
        <is>
          <t>High</t>
        </is>
      </c>
      <c r="M4584" t="inlineStr">
        <is>
          <t>LLM</t>
        </is>
      </c>
      <c r="N4584" t="inlineStr">
        <is>
          <t>2026-04-19</t>
        </is>
      </c>
      <c r="O4584" t="inlineStr">
        <is>
          <t>AI</t>
        </is>
      </c>
    </row>
    <row r="4585">
      <c r="A4585" t="inlineStr">
        <is>
          <t>PT Sampoerna Agro Tbk</t>
        </is>
      </c>
      <c r="B4585" t="inlineStr">
        <is>
          <t>SGRO_2023_AR.pdf</t>
        </is>
      </c>
      <c r="C4585" t="n">
        <v>2023</v>
      </c>
      <c r="D4585" t="inlineStr">
        <is>
          <t>Operation</t>
        </is>
      </c>
      <c r="E4585" t="inlineStr">
        <is>
          <t>Palm Products Segment Revenue</t>
        </is>
      </c>
      <c r="F4585" t="n">
        <v>5358</v>
      </c>
      <c r="G4585" t="inlineStr">
        <is>
          <t>IDR bn</t>
        </is>
      </c>
      <c r="H4585" t="n">
        <v>100</v>
      </c>
      <c r="I4585" t="inlineStr">
        <is>
          <t>Penjualan 5.357.922 Palm Products</t>
        </is>
      </c>
      <c r="J4585" t="inlineStr">
        <is>
          <t>High</t>
        </is>
      </c>
      <c r="M4585" t="inlineStr">
        <is>
          <t>LLM</t>
        </is>
      </c>
      <c r="N4585" t="inlineStr">
        <is>
          <t>2026-04-19</t>
        </is>
      </c>
      <c r="O4585" t="inlineStr">
        <is>
          <t>AI</t>
        </is>
      </c>
    </row>
    <row r="4586">
      <c r="A4586" t="inlineStr">
        <is>
          <t>PT Sampoerna Agro Tbk</t>
        </is>
      </c>
      <c r="B4586" t="inlineStr">
        <is>
          <t>SGRO_2023_AR.pdf</t>
        </is>
      </c>
      <c r="C4586" t="n">
        <v>2023</v>
      </c>
      <c r="D4586" t="inlineStr">
        <is>
          <t>Operation</t>
        </is>
      </c>
      <c r="E4586" t="inlineStr">
        <is>
          <t>Others Segment Revenue</t>
        </is>
      </c>
      <c r="F4586" t="n">
        <v>264</v>
      </c>
      <c r="G4586" t="inlineStr">
        <is>
          <t>IDR bn</t>
        </is>
      </c>
      <c r="H4586" t="n">
        <v>100</v>
      </c>
      <c r="I4586" t="inlineStr">
        <is>
          <t>263.781 Lain-Lain</t>
        </is>
      </c>
      <c r="J4586" t="inlineStr">
        <is>
          <t>High</t>
        </is>
      </c>
      <c r="M4586" t="inlineStr">
        <is>
          <t>LLM</t>
        </is>
      </c>
      <c r="N4586" t="inlineStr">
        <is>
          <t>2026-04-19</t>
        </is>
      </c>
      <c r="O4586" t="inlineStr">
        <is>
          <t>AI</t>
        </is>
      </c>
    </row>
    <row r="4587">
      <c r="A4587" t="inlineStr">
        <is>
          <t>PT Sampoerna Agro Tbk</t>
        </is>
      </c>
      <c r="B4587" t="inlineStr">
        <is>
          <t>SGRO_2023_AR.pdf</t>
        </is>
      </c>
      <c r="C4587" t="n">
        <v>2023</v>
      </c>
      <c r="D4587" t="inlineStr">
        <is>
          <t>Operation</t>
        </is>
      </c>
      <c r="E4587" t="inlineStr">
        <is>
          <t>Palm Products Segment Profit</t>
        </is>
      </c>
      <c r="F4587" t="n">
        <v>1030</v>
      </c>
      <c r="G4587" t="inlineStr">
        <is>
          <t>IDR bn</t>
        </is>
      </c>
      <c r="H4587" t="n">
        <v>100</v>
      </c>
      <c r="I4587" t="inlineStr">
        <is>
          <t>Hasil Segmen 1.029.919 Palm Products</t>
        </is>
      </c>
      <c r="J4587" t="inlineStr">
        <is>
          <t>High</t>
        </is>
      </c>
      <c r="M4587" t="inlineStr">
        <is>
          <t>LLM</t>
        </is>
      </c>
      <c r="N4587" t="inlineStr">
        <is>
          <t>2026-04-19</t>
        </is>
      </c>
      <c r="O4587" t="inlineStr">
        <is>
          <t>AI</t>
        </is>
      </c>
    </row>
    <row r="4588">
      <c r="A4588" t="inlineStr">
        <is>
          <t>PT Sampoerna Agro Tbk</t>
        </is>
      </c>
      <c r="B4588" t="inlineStr">
        <is>
          <t>SGRO_2023_AR.pdf</t>
        </is>
      </c>
      <c r="C4588" t="n">
        <v>2023</v>
      </c>
      <c r="D4588" t="inlineStr">
        <is>
          <t>Operation</t>
        </is>
      </c>
      <c r="E4588" t="inlineStr">
        <is>
          <t>Others Segment Profit (Loss)</t>
        </is>
      </c>
      <c r="F4588" t="n">
        <v>-93</v>
      </c>
      <c r="G4588" t="inlineStr">
        <is>
          <t>IDR bn</t>
        </is>
      </c>
      <c r="H4588" t="n">
        <v>100</v>
      </c>
      <c r="I4588" t="inlineStr">
        <is>
          <t>(93.351) Others</t>
        </is>
      </c>
      <c r="J4588" t="inlineStr">
        <is>
          <t>High</t>
        </is>
      </c>
      <c r="M4588" t="inlineStr">
        <is>
          <t>LLM</t>
        </is>
      </c>
      <c r="N4588" t="inlineStr">
        <is>
          <t>2026-04-19</t>
        </is>
      </c>
      <c r="O4588" t="inlineStr">
        <is>
          <t>AI</t>
        </is>
      </c>
    </row>
    <row r="4589">
      <c r="A4589" t="inlineStr">
        <is>
          <t>PT Sampoerna Agro Tbk</t>
        </is>
      </c>
      <c r="B4589" t="inlineStr">
        <is>
          <t>SGRO_2024_AR.pdf</t>
        </is>
      </c>
      <c r="C4589" t="n">
        <v>2024</v>
      </c>
      <c r="D4589" t="inlineStr">
        <is>
          <t>Company</t>
        </is>
      </c>
      <c r="E4589" t="inlineStr">
        <is>
          <t>Company Name</t>
        </is>
      </c>
      <c r="F4589" t="inlineStr">
        <is>
          <t>PT Sampoerna Agro Tbk</t>
        </is>
      </c>
      <c r="G4589" t="inlineStr">
        <is>
          <t>text</t>
        </is>
      </c>
      <c r="H4589" t="n">
        <v>1</v>
      </c>
      <c r="I4589" t="inlineStr">
        <is>
          <t>PT Sampoerna Agro Tbk</t>
        </is>
      </c>
      <c r="J4589" t="inlineStr">
        <is>
          <t>High</t>
        </is>
      </c>
      <c r="M4589" t="inlineStr">
        <is>
          <t>LLM</t>
        </is>
      </c>
      <c r="N4589" t="inlineStr">
        <is>
          <t>2026-04-19</t>
        </is>
      </c>
      <c r="O4589" t="inlineStr">
        <is>
          <t>AI</t>
        </is>
      </c>
    </row>
    <row r="4590">
      <c r="A4590" t="inlineStr">
        <is>
          <t>PT Sampoerna Agro Tbk</t>
        </is>
      </c>
      <c r="B4590" t="inlineStr">
        <is>
          <t>SGRO_2024_AR.pdf</t>
        </is>
      </c>
      <c r="C4590" t="n">
        <v>2024</v>
      </c>
      <c r="D4590" t="inlineStr">
        <is>
          <t>Company</t>
        </is>
      </c>
      <c r="E4590" t="inlineStr">
        <is>
          <t>Stock Ticker</t>
        </is>
      </c>
      <c r="F4590" t="inlineStr">
        <is>
          <t>SGRO</t>
        </is>
      </c>
      <c r="G4590" t="inlineStr">
        <is>
          <t>text</t>
        </is>
      </c>
      <c r="H4590" t="n">
        <v>69</v>
      </c>
      <c r="I4590" t="inlineStr">
        <is>
          <t>Indonesia Stock Exchange (IDX) with the ticker symbol of SGRO</t>
        </is>
      </c>
      <c r="J4590" t="inlineStr">
        <is>
          <t>High</t>
        </is>
      </c>
      <c r="M4590" t="inlineStr">
        <is>
          <t>LLM</t>
        </is>
      </c>
      <c r="N4590" t="inlineStr">
        <is>
          <t>2026-04-19</t>
        </is>
      </c>
      <c r="O4590" t="inlineStr">
        <is>
          <t>AI</t>
        </is>
      </c>
    </row>
    <row r="4591">
      <c r="A4591" t="inlineStr">
        <is>
          <t>PT Sampoerna Agro Tbk</t>
        </is>
      </c>
      <c r="B4591" t="inlineStr">
        <is>
          <t>SGRO_2024_AR.pdf</t>
        </is>
      </c>
      <c r="C4591" t="n">
        <v>2024</v>
      </c>
      <c r="D4591" t="inlineStr">
        <is>
          <t>Company</t>
        </is>
      </c>
      <c r="E4591" t="inlineStr">
        <is>
          <t>HQ Address</t>
        </is>
      </c>
      <c r="F4591" t="inlineStr">
        <is>
          <t>Jalan Basuki Rahmat No. 788, Palembang, Sumatera Selatan 30128</t>
        </is>
      </c>
      <c r="G4591" t="inlineStr">
        <is>
          <t>text</t>
        </is>
      </c>
      <c r="H4591" t="n">
        <v>76</v>
      </c>
      <c r="I4591" t="inlineStr">
        <is>
          <t>Kantor Pusat: Jalan Basuki Rahmat No. 788 Palembang Sumatera Selatan 30128</t>
        </is>
      </c>
      <c r="J4591" t="inlineStr">
        <is>
          <t>High</t>
        </is>
      </c>
      <c r="M4591" t="inlineStr">
        <is>
          <t>LLM</t>
        </is>
      </c>
      <c r="N4591" t="inlineStr">
        <is>
          <t>2026-04-19</t>
        </is>
      </c>
      <c r="O4591" t="inlineStr">
        <is>
          <t>AI</t>
        </is>
      </c>
    </row>
    <row r="4592">
      <c r="A4592" t="inlineStr">
        <is>
          <t>PT Sampoerna Agro Tbk</t>
        </is>
      </c>
      <c r="B4592" t="inlineStr">
        <is>
          <t>SGRO_2024_AR.pdf</t>
        </is>
      </c>
      <c r="C4592" t="n">
        <v>2024</v>
      </c>
      <c r="D4592" t="inlineStr">
        <is>
          <t>Company</t>
        </is>
      </c>
      <c r="E4592" t="inlineStr">
        <is>
          <t>Controlling Shareholder (from 27 Aug 2024)</t>
        </is>
      </c>
      <c r="F4592" t="inlineStr">
        <is>
          <t>Twinwood Family Holdings SFO Limited 69.68%</t>
        </is>
      </c>
      <c r="G4592" t="inlineStr">
        <is>
          <t>%</t>
        </is>
      </c>
      <c r="H4592" t="n">
        <v>79</v>
      </c>
      <c r="I4592" t="inlineStr">
        <is>
          <t>Pemegang saham utama dan pengendali ... sejak 27 Agustus 2024 adalah Twinwood Family Holdings SFO Limited, berkedudukan di Dubai, Uni Emirat Arab, dengan kepemilikan saham 69,68%</t>
        </is>
      </c>
      <c r="J4592" t="inlineStr">
        <is>
          <t>High</t>
        </is>
      </c>
      <c r="M4592" t="inlineStr">
        <is>
          <t>LLM</t>
        </is>
      </c>
      <c r="N4592" t="inlineStr">
        <is>
          <t>2026-04-19</t>
        </is>
      </c>
      <c r="O4592" t="inlineStr">
        <is>
          <t>AI</t>
        </is>
      </c>
    </row>
    <row r="4593">
      <c r="A4593" t="inlineStr">
        <is>
          <t>PT Sampoerna Agro Tbk</t>
        </is>
      </c>
      <c r="B4593" t="inlineStr">
        <is>
          <t>SGRO_2024_AR.pdf</t>
        </is>
      </c>
      <c r="C4593" t="n">
        <v>2024</v>
      </c>
      <c r="D4593" t="inlineStr">
        <is>
          <t>Company</t>
        </is>
      </c>
      <c r="E4593" t="inlineStr">
        <is>
          <t>Previous Controlling Shareholder</t>
        </is>
      </c>
      <c r="F4593" t="inlineStr">
        <is>
          <t>Sampoerna Agri Resources Pte Ltd 69.68% (until 27 Aug 2024)</t>
        </is>
      </c>
      <c r="G4593" t="inlineStr">
        <is>
          <t>%</t>
        </is>
      </c>
      <c r="H4593" t="n">
        <v>79</v>
      </c>
      <c r="I4593" t="inlineStr">
        <is>
          <t>Sebelum 27 Agustus 2024, pemegang saham utama dan pengendali adalah Sampoerna Agri Resources Pte. Ltd.</t>
        </is>
      </c>
      <c r="J4593" t="inlineStr">
        <is>
          <t>High</t>
        </is>
      </c>
      <c r="M4593" t="inlineStr">
        <is>
          <t>LLM</t>
        </is>
      </c>
      <c r="N4593" t="inlineStr">
        <is>
          <t>2026-04-19</t>
        </is>
      </c>
      <c r="O4593" t="inlineStr">
        <is>
          <t>AI</t>
        </is>
      </c>
    </row>
    <row r="4594">
      <c r="A4594" t="inlineStr">
        <is>
          <t>PT Sampoerna Agro Tbk</t>
        </is>
      </c>
      <c r="B4594" t="inlineStr">
        <is>
          <t>SGRO_2024_AR.pdf</t>
        </is>
      </c>
      <c r="C4594" t="n">
        <v>2024</v>
      </c>
      <c r="D4594" t="inlineStr">
        <is>
          <t>Company</t>
        </is>
      </c>
      <c r="E4594" t="inlineStr">
        <is>
          <t>Ultimate Beneficial Owner</t>
        </is>
      </c>
      <c r="F4594" t="inlineStr">
        <is>
          <t>Putera Sampoerna</t>
        </is>
      </c>
      <c r="G4594" t="inlineStr">
        <is>
          <t>text</t>
        </is>
      </c>
      <c r="H4594" t="n">
        <v>79</v>
      </c>
      <c r="I4594" t="inlineStr">
        <is>
          <t>Pemilik manfaat akhir dari kepemilikan saham Perseroan melalui Twinwood Family Holdings SFO Limited adalah Putera Sampoerna</t>
        </is>
      </c>
      <c r="J4594" t="inlineStr">
        <is>
          <t>High</t>
        </is>
      </c>
      <c r="M4594" t="inlineStr">
        <is>
          <t>LLM</t>
        </is>
      </c>
      <c r="N4594" t="inlineStr">
        <is>
          <t>2026-04-19</t>
        </is>
      </c>
      <c r="O4594" t="inlineStr">
        <is>
          <t>AI</t>
        </is>
      </c>
    </row>
    <row r="4595">
      <c r="A4595" t="inlineStr">
        <is>
          <t>PT Sampoerna Agro Tbk</t>
        </is>
      </c>
      <c r="B4595" t="inlineStr">
        <is>
          <t>SGRO_2024_AR.pdf</t>
        </is>
      </c>
      <c r="C4595" t="n">
        <v>2024</v>
      </c>
      <c r="D4595" t="inlineStr">
        <is>
          <t>Company</t>
        </is>
      </c>
      <c r="E4595" t="inlineStr">
        <is>
          <t>Total Shares Outstanding</t>
        </is>
      </c>
      <c r="F4595" t="n">
        <v>1818622000</v>
      </c>
      <c r="G4595" t="inlineStr">
        <is>
          <t>shares</t>
        </is>
      </c>
      <c r="H4595" t="n">
        <v>78</v>
      </c>
      <c r="I4595" t="inlineStr">
        <is>
          <t>Total 1.818.622.000 100,00%</t>
        </is>
      </c>
      <c r="J4595" t="inlineStr">
        <is>
          <t>High</t>
        </is>
      </c>
      <c r="M4595" t="inlineStr">
        <is>
          <t>LLM</t>
        </is>
      </c>
      <c r="N4595" t="inlineStr">
        <is>
          <t>2026-04-19</t>
        </is>
      </c>
      <c r="O4595" t="inlineStr">
        <is>
          <t>AI</t>
        </is>
      </c>
    </row>
    <row r="4596">
      <c r="A4596" t="inlineStr">
        <is>
          <t>PT Sampoerna Agro Tbk</t>
        </is>
      </c>
      <c r="B4596" t="inlineStr">
        <is>
          <t>SGRO_2024_AR.pdf</t>
        </is>
      </c>
      <c r="C4596" t="n">
        <v>2024</v>
      </c>
      <c r="D4596" t="inlineStr">
        <is>
          <t>Company</t>
        </is>
      </c>
      <c r="E4596" t="inlineStr">
        <is>
          <t>Public Float</t>
        </is>
      </c>
      <c r="F4596" t="n">
        <v>0.05</v>
      </c>
      <c r="G4596" t="inlineStr">
        <is>
          <t>%</t>
        </is>
      </c>
      <c r="H4596" t="n">
        <v>78</v>
      </c>
      <c r="I4596" t="inlineStr">
        <is>
          <t>Masyarakat (masing-masing &lt;5%) 90.855.500 5,00%</t>
        </is>
      </c>
      <c r="J4596" t="inlineStr">
        <is>
          <t>High</t>
        </is>
      </c>
      <c r="M4596" t="inlineStr">
        <is>
          <t>LLM</t>
        </is>
      </c>
      <c r="N4596" t="inlineStr">
        <is>
          <t>2026-04-19</t>
        </is>
      </c>
      <c r="O4596" t="inlineStr">
        <is>
          <t>AI</t>
        </is>
      </c>
    </row>
    <row r="4597">
      <c r="A4597" t="inlineStr">
        <is>
          <t>PT Sampoerna Agro Tbk</t>
        </is>
      </c>
      <c r="B4597" t="inlineStr">
        <is>
          <t>SGRO_2024_AR.pdf</t>
        </is>
      </c>
      <c r="C4597" t="n">
        <v>2024</v>
      </c>
      <c r="D4597" t="inlineStr">
        <is>
          <t>Company</t>
        </is>
      </c>
      <c r="E4597" t="inlineStr">
        <is>
          <t>Foreign vs Domestic Ownership</t>
        </is>
      </c>
      <c r="F4597" t="inlineStr">
        <is>
          <t>Foreign 78.0% / Domestic 22.0%</t>
        </is>
      </c>
      <c r="G4597" t="inlineStr">
        <is>
          <t>%</t>
        </is>
      </c>
      <c r="H4597" t="n">
        <v>79</v>
      </c>
      <c r="I4597" t="inlineStr">
        <is>
          <t>Total 22,0% 78,0% 100,0%</t>
        </is>
      </c>
      <c r="J4597" t="inlineStr">
        <is>
          <t>High</t>
        </is>
      </c>
      <c r="M4597" t="inlineStr">
        <is>
          <t>LLM</t>
        </is>
      </c>
      <c r="N4597" t="inlineStr">
        <is>
          <t>2026-04-19</t>
        </is>
      </c>
      <c r="O4597" t="inlineStr">
        <is>
          <t>AI</t>
        </is>
      </c>
    </row>
    <row r="4598">
      <c r="A4598" t="inlineStr">
        <is>
          <t>PT Sampoerna Agro Tbk</t>
        </is>
      </c>
      <c r="B4598" t="inlineStr">
        <is>
          <t>SGRO_2024_AR.pdf</t>
        </is>
      </c>
      <c r="C4598" t="n">
        <v>2024</v>
      </c>
      <c r="D4598" t="inlineStr">
        <is>
          <t>Company</t>
        </is>
      </c>
      <c r="E4598" t="inlineStr">
        <is>
          <t>Employees</t>
        </is>
      </c>
      <c r="F4598" t="n">
        <v>9747</v>
      </c>
      <c r="G4598" t="inlineStr">
        <is>
          <t>persons</t>
        </is>
      </c>
      <c r="H4598" t="n">
        <v>11</v>
      </c>
      <c r="I4598" t="inlineStr">
        <is>
          <t>Jumlah Karyawan (orang) ... 9.747</t>
        </is>
      </c>
      <c r="J4598" t="inlineStr">
        <is>
          <t>High</t>
        </is>
      </c>
      <c r="M4598" t="inlineStr">
        <is>
          <t>LLM</t>
        </is>
      </c>
      <c r="N4598" t="inlineStr">
        <is>
          <t>2026-04-19</t>
        </is>
      </c>
      <c r="O4598" t="inlineStr">
        <is>
          <t>AI</t>
        </is>
      </c>
    </row>
    <row r="4599">
      <c r="A4599" t="inlineStr">
        <is>
          <t>PT Sampoerna Agro Tbk</t>
        </is>
      </c>
      <c r="B4599" t="inlineStr">
        <is>
          <t>SGRO_2024_AR.pdf</t>
        </is>
      </c>
      <c r="C4599" t="n">
        <v>2024</v>
      </c>
      <c r="D4599" t="inlineStr">
        <is>
          <t>Company</t>
        </is>
      </c>
      <c r="E4599" t="inlineStr">
        <is>
          <t>Operating Subsidiaries</t>
        </is>
      </c>
      <c r="F4599" t="n">
        <v>25</v>
      </c>
      <c r="G4599" t="inlineStr">
        <is>
          <t>count</t>
        </is>
      </c>
      <c r="H4599" t="n">
        <v>74</v>
      </c>
      <c r="I4599" t="inlineStr">
        <is>
          <t>Entitas Anak Operasional Secara Komersial: ~25 listed (incl. Sungai Rangit, National Sago Prima, Aek Tarum, Binasawit Makmur, Mutiara Bunda Jaya, Telaga Hikmah, Gunung Tua Abadi, Sawit Selatan, Tebar Tandan Tenerah, Lanang Agro Bersatu, Sampoerna Bio Fuels, Sungai Menang, Usaha Agro Indonesia, Hutan Ketapang Industri, etc.)</t>
        </is>
      </c>
      <c r="J4599" t="inlineStr">
        <is>
          <t>High</t>
        </is>
      </c>
      <c r="M4599" t="inlineStr">
        <is>
          <t>LLM</t>
        </is>
      </c>
      <c r="N4599" t="inlineStr">
        <is>
          <t>2026-04-19</t>
        </is>
      </c>
      <c r="O4599" t="inlineStr">
        <is>
          <t>AI</t>
        </is>
      </c>
    </row>
    <row r="4600">
      <c r="A4600" t="inlineStr">
        <is>
          <t>PT Sampoerna Agro Tbk</t>
        </is>
      </c>
      <c r="B4600" t="inlineStr">
        <is>
          <t>SGRO_2024_AR.pdf</t>
        </is>
      </c>
      <c r="C4600" t="n">
        <v>2024</v>
      </c>
      <c r="D4600" t="inlineStr">
        <is>
          <t>Financial</t>
        </is>
      </c>
      <c r="E4600" t="inlineStr">
        <is>
          <t>Revenue</t>
        </is>
      </c>
      <c r="F4600" t="n">
        <v>5694</v>
      </c>
      <c r="G4600" t="inlineStr">
        <is>
          <t>IDR bn</t>
        </is>
      </c>
      <c r="H4600" t="n">
        <v>12</v>
      </c>
      <c r="I4600" t="inlineStr">
        <is>
          <t>Penjualan 5.672 5.621 5.694 (2022/2023/2024)</t>
        </is>
      </c>
      <c r="J4600" t="inlineStr">
        <is>
          <t>High</t>
        </is>
      </c>
      <c r="M4600" t="inlineStr">
        <is>
          <t>LLM</t>
        </is>
      </c>
      <c r="N4600" t="inlineStr">
        <is>
          <t>2026-04-19</t>
        </is>
      </c>
      <c r="O4600" t="inlineStr">
        <is>
          <t>AI</t>
        </is>
      </c>
    </row>
    <row r="4601">
      <c r="A4601" t="inlineStr">
        <is>
          <t>PT Sampoerna Agro Tbk</t>
        </is>
      </c>
      <c r="B4601" t="inlineStr">
        <is>
          <t>SGRO_2024_AR.pdf</t>
        </is>
      </c>
      <c r="C4601" t="n">
        <v>2024</v>
      </c>
      <c r="D4601" t="inlineStr">
        <is>
          <t>Financial</t>
        </is>
      </c>
      <c r="E4601" t="inlineStr">
        <is>
          <t>Gross Profit</t>
        </is>
      </c>
      <c r="F4601" t="n">
        <v>1601</v>
      </c>
      <c r="G4601" t="inlineStr">
        <is>
          <t>IDR bn</t>
        </is>
      </c>
      <c r="H4601" t="n">
        <v>12</v>
      </c>
      <c r="I4601" t="inlineStr">
        <is>
          <t>Laba Bruto ... 1.601 (2024)</t>
        </is>
      </c>
      <c r="J4601" t="inlineStr">
        <is>
          <t>High</t>
        </is>
      </c>
      <c r="M4601" t="inlineStr">
        <is>
          <t>LLM</t>
        </is>
      </c>
      <c r="N4601" t="inlineStr">
        <is>
          <t>2026-04-19</t>
        </is>
      </c>
      <c r="O4601" t="inlineStr">
        <is>
          <t>AI</t>
        </is>
      </c>
    </row>
    <row r="4602">
      <c r="A4602" t="inlineStr">
        <is>
          <t>PT Sampoerna Agro Tbk</t>
        </is>
      </c>
      <c r="B4602" t="inlineStr">
        <is>
          <t>SGRO_2024_AR.pdf</t>
        </is>
      </c>
      <c r="C4602" t="n">
        <v>2024</v>
      </c>
      <c r="D4602" t="inlineStr">
        <is>
          <t>Financial</t>
        </is>
      </c>
      <c r="E4602" t="inlineStr">
        <is>
          <t>Cost of Sales</t>
        </is>
      </c>
      <c r="F4602" t="n">
        <v>4094</v>
      </c>
      <c r="G4602" t="inlineStr">
        <is>
          <t>IDR bn</t>
        </is>
      </c>
      <c r="H4602" t="n">
        <v>123</v>
      </c>
      <c r="I4602" t="inlineStr">
        <is>
          <t>Beban Pokok Penjualan (4.094)</t>
        </is>
      </c>
      <c r="J4602" t="inlineStr">
        <is>
          <t>High</t>
        </is>
      </c>
      <c r="M4602" t="inlineStr">
        <is>
          <t>LLM</t>
        </is>
      </c>
      <c r="N4602" t="inlineStr">
        <is>
          <t>2026-04-19</t>
        </is>
      </c>
      <c r="O4602" t="inlineStr">
        <is>
          <t>AI</t>
        </is>
      </c>
    </row>
    <row r="4603">
      <c r="A4603" t="inlineStr">
        <is>
          <t>PT Sampoerna Agro Tbk</t>
        </is>
      </c>
      <c r="B4603" t="inlineStr">
        <is>
          <t>SGRO_2024_AR.pdf</t>
        </is>
      </c>
      <c r="C4603" t="n">
        <v>2024</v>
      </c>
      <c r="D4603" t="inlineStr">
        <is>
          <t>Financial</t>
        </is>
      </c>
      <c r="E4603" t="inlineStr">
        <is>
          <t>Operating Profit (EBIT)</t>
        </is>
      </c>
      <c r="F4603" t="n">
        <v>1264</v>
      </c>
      <c r="G4603" t="inlineStr">
        <is>
          <t>IDR bn</t>
        </is>
      </c>
      <c r="H4603" t="n">
        <v>12</v>
      </c>
      <c r="I4603" t="inlineStr">
        <is>
          <t>Laba Usaha 1.619 937 1.264 (2022/2023/2024)</t>
        </is>
      </c>
      <c r="J4603" t="inlineStr">
        <is>
          <t>High</t>
        </is>
      </c>
      <c r="M4603" t="inlineStr">
        <is>
          <t>LLM</t>
        </is>
      </c>
      <c r="N4603" t="inlineStr">
        <is>
          <t>2026-04-19</t>
        </is>
      </c>
      <c r="O4603" t="inlineStr">
        <is>
          <t>AI</t>
        </is>
      </c>
    </row>
    <row r="4604">
      <c r="A4604" t="inlineStr">
        <is>
          <t>PT Sampoerna Agro Tbk</t>
        </is>
      </c>
      <c r="B4604" t="inlineStr">
        <is>
          <t>SGRO_2024_AR.pdf</t>
        </is>
      </c>
      <c r="C4604" t="n">
        <v>2024</v>
      </c>
      <c r="D4604" t="inlineStr">
        <is>
          <t>Financial</t>
        </is>
      </c>
      <c r="E4604" t="inlineStr">
        <is>
          <t>Profit Before Tax</t>
        </is>
      </c>
      <c r="F4604" t="n">
        <v>1068</v>
      </c>
      <c r="G4604" t="inlineStr">
        <is>
          <t>IDR bn</t>
        </is>
      </c>
      <c r="H4604" t="n">
        <v>123</v>
      </c>
      <c r="I4604" t="inlineStr">
        <is>
          <t>Laba Sebelum Pajak Penghasilan 1.068</t>
        </is>
      </c>
      <c r="J4604" t="inlineStr">
        <is>
          <t>High</t>
        </is>
      </c>
      <c r="M4604" t="inlineStr">
        <is>
          <t>LLM</t>
        </is>
      </c>
      <c r="N4604" t="inlineStr">
        <is>
          <t>2026-04-19</t>
        </is>
      </c>
      <c r="O4604" t="inlineStr">
        <is>
          <t>AI</t>
        </is>
      </c>
    </row>
    <row r="4605">
      <c r="A4605" t="inlineStr">
        <is>
          <t>PT Sampoerna Agro Tbk</t>
        </is>
      </c>
      <c r="B4605" t="inlineStr">
        <is>
          <t>SGRO_2024_AR.pdf</t>
        </is>
      </c>
      <c r="C4605" t="n">
        <v>2024</v>
      </c>
      <c r="D4605" t="inlineStr">
        <is>
          <t>Financial</t>
        </is>
      </c>
      <c r="E4605" t="inlineStr">
        <is>
          <t>Income Tax Expense</t>
        </is>
      </c>
      <c r="F4605" t="n">
        <v>371</v>
      </c>
      <c r="G4605" t="inlineStr">
        <is>
          <t>IDR bn</t>
        </is>
      </c>
      <c r="H4605" t="n">
        <v>123</v>
      </c>
      <c r="I4605" t="inlineStr">
        <is>
          <t>Beban Pajak Penghasilan (371)</t>
        </is>
      </c>
      <c r="J4605" t="inlineStr">
        <is>
          <t>High</t>
        </is>
      </c>
      <c r="M4605" t="inlineStr">
        <is>
          <t>LLM</t>
        </is>
      </c>
      <c r="N4605" t="inlineStr">
        <is>
          <t>2026-04-19</t>
        </is>
      </c>
      <c r="O4605" t="inlineStr">
        <is>
          <t>AI</t>
        </is>
      </c>
    </row>
    <row r="4606">
      <c r="A4606" t="inlineStr">
        <is>
          <t>PT Sampoerna Agro Tbk</t>
        </is>
      </c>
      <c r="B4606" t="inlineStr">
        <is>
          <t>SGRO_2024_AR.pdf</t>
        </is>
      </c>
      <c r="C4606" t="n">
        <v>2024</v>
      </c>
      <c r="D4606" t="inlineStr">
        <is>
          <t>Financial</t>
        </is>
      </c>
      <c r="E4606" t="inlineStr">
        <is>
          <t>Net Profit (Total)</t>
        </is>
      </c>
      <c r="F4606" t="n">
        <v>697</v>
      </c>
      <c r="G4606" t="inlineStr">
        <is>
          <t>IDR bn</t>
        </is>
      </c>
      <c r="H4606" t="n">
        <v>12</v>
      </c>
      <c r="I4606" t="inlineStr">
        <is>
          <t>Total Laba Tahun Berjalan 697</t>
        </is>
      </c>
      <c r="J4606" t="inlineStr">
        <is>
          <t>High</t>
        </is>
      </c>
      <c r="M4606" t="inlineStr">
        <is>
          <t>LLM</t>
        </is>
      </c>
      <c r="N4606" t="inlineStr">
        <is>
          <t>2026-04-19</t>
        </is>
      </c>
      <c r="O4606" t="inlineStr">
        <is>
          <t>AI</t>
        </is>
      </c>
    </row>
    <row r="4607">
      <c r="A4607" t="inlineStr">
        <is>
          <t>PT Sampoerna Agro Tbk</t>
        </is>
      </c>
      <c r="B4607" t="inlineStr">
        <is>
          <t>SGRO_2024_AR.pdf</t>
        </is>
      </c>
      <c r="C4607" t="n">
        <v>2024</v>
      </c>
      <c r="D4607" t="inlineStr">
        <is>
          <t>Financial</t>
        </is>
      </c>
      <c r="E4607" t="inlineStr">
        <is>
          <t>Profit Attributable to Parent</t>
        </is>
      </c>
      <c r="F4607" t="n">
        <v>749</v>
      </c>
      <c r="G4607" t="inlineStr">
        <is>
          <t>IDR bn</t>
        </is>
      </c>
      <c r="H4607" t="n">
        <v>12</v>
      </c>
      <c r="I4607" t="inlineStr">
        <is>
          <t>Laba Tahun Berjalan yang Dapat Diatribusikan kepada Pemilik Entitas Induk 749</t>
        </is>
      </c>
      <c r="J4607" t="inlineStr">
        <is>
          <t>High</t>
        </is>
      </c>
      <c r="M4607" t="inlineStr">
        <is>
          <t>LLM</t>
        </is>
      </c>
      <c r="N4607" t="inlineStr">
        <is>
          <t>2026-04-19</t>
        </is>
      </c>
      <c r="O4607" t="inlineStr">
        <is>
          <t>AI</t>
        </is>
      </c>
    </row>
    <row r="4608">
      <c r="A4608" t="inlineStr">
        <is>
          <t>PT Sampoerna Agro Tbk</t>
        </is>
      </c>
      <c r="B4608" t="inlineStr">
        <is>
          <t>SGRO_2024_AR.pdf</t>
        </is>
      </c>
      <c r="C4608" t="n">
        <v>2024</v>
      </c>
      <c r="D4608" t="inlineStr">
        <is>
          <t>Financial</t>
        </is>
      </c>
      <c r="E4608" t="inlineStr">
        <is>
          <t>Profit Attributable to NCI</t>
        </is>
      </c>
      <c r="F4608" t="n">
        <v>-51</v>
      </c>
      <c r="G4608" t="inlineStr">
        <is>
          <t>IDR bn</t>
        </is>
      </c>
      <c r="H4608" t="n">
        <v>12</v>
      </c>
      <c r="I4608" t="inlineStr">
        <is>
          <t>Kepentingan Nonpengendali (51)</t>
        </is>
      </c>
      <c r="J4608" t="inlineStr">
        <is>
          <t>High</t>
        </is>
      </c>
      <c r="M4608" t="inlineStr">
        <is>
          <t>LLM</t>
        </is>
      </c>
      <c r="N4608" t="inlineStr">
        <is>
          <t>2026-04-19</t>
        </is>
      </c>
      <c r="O4608" t="inlineStr">
        <is>
          <t>AI</t>
        </is>
      </c>
    </row>
    <row r="4609">
      <c r="A4609" t="inlineStr">
        <is>
          <t>PT Sampoerna Agro Tbk</t>
        </is>
      </c>
      <c r="B4609" t="inlineStr">
        <is>
          <t>SGRO_2024_AR.pdf</t>
        </is>
      </c>
      <c r="C4609" t="n">
        <v>2024</v>
      </c>
      <c r="D4609" t="inlineStr">
        <is>
          <t>Financial</t>
        </is>
      </c>
      <c r="E4609" t="inlineStr">
        <is>
          <t>Total Assets</t>
        </is>
      </c>
      <c r="F4609" t="n">
        <v>10702</v>
      </c>
      <c r="G4609" t="inlineStr">
        <is>
          <t>IDR bn</t>
        </is>
      </c>
      <c r="H4609" t="n">
        <v>121</v>
      </c>
      <c r="I4609" t="inlineStr">
        <is>
          <t>Total Aset 10.702</t>
        </is>
      </c>
      <c r="J4609" t="inlineStr">
        <is>
          <t>High</t>
        </is>
      </c>
      <c r="M4609" t="inlineStr">
        <is>
          <t>LLM</t>
        </is>
      </c>
      <c r="N4609" t="inlineStr">
        <is>
          <t>2026-04-19</t>
        </is>
      </c>
      <c r="O4609" t="inlineStr">
        <is>
          <t>AI</t>
        </is>
      </c>
    </row>
    <row r="4610">
      <c r="A4610" t="inlineStr">
        <is>
          <t>PT Sampoerna Agro Tbk</t>
        </is>
      </c>
      <c r="B4610" t="inlineStr">
        <is>
          <t>SGRO_2024_AR.pdf</t>
        </is>
      </c>
      <c r="C4610" t="n">
        <v>2024</v>
      </c>
      <c r="D4610" t="inlineStr">
        <is>
          <t>Financial</t>
        </is>
      </c>
      <c r="E4610" t="inlineStr">
        <is>
          <t>Current Assets</t>
        </is>
      </c>
      <c r="F4610" t="n">
        <v>2225</v>
      </c>
      <c r="G4610" t="inlineStr">
        <is>
          <t>IDR bn</t>
        </is>
      </c>
      <c r="H4610" t="n">
        <v>121</v>
      </c>
      <c r="I4610" t="inlineStr">
        <is>
          <t>Aset Lancar 2.225</t>
        </is>
      </c>
      <c r="J4610" t="inlineStr">
        <is>
          <t>High</t>
        </is>
      </c>
      <c r="M4610" t="inlineStr">
        <is>
          <t>LLM</t>
        </is>
      </c>
      <c r="N4610" t="inlineStr">
        <is>
          <t>2026-04-19</t>
        </is>
      </c>
      <c r="O4610" t="inlineStr">
        <is>
          <t>AI</t>
        </is>
      </c>
    </row>
    <row r="4611">
      <c r="A4611" t="inlineStr">
        <is>
          <t>PT Sampoerna Agro Tbk</t>
        </is>
      </c>
      <c r="B4611" t="inlineStr">
        <is>
          <t>SGRO_2024_AR.pdf</t>
        </is>
      </c>
      <c r="C4611" t="n">
        <v>2024</v>
      </c>
      <c r="D4611" t="inlineStr">
        <is>
          <t>Financial</t>
        </is>
      </c>
      <c r="E4611" t="inlineStr">
        <is>
          <t>Non-Current Assets</t>
        </is>
      </c>
      <c r="F4611" t="n">
        <v>8478</v>
      </c>
      <c r="G4611" t="inlineStr">
        <is>
          <t>IDR bn</t>
        </is>
      </c>
      <c r="H4611" t="n">
        <v>121</v>
      </c>
      <c r="I4611" t="inlineStr">
        <is>
          <t>Aset Tidak Lancar 8.478</t>
        </is>
      </c>
      <c r="J4611" t="inlineStr">
        <is>
          <t>High</t>
        </is>
      </c>
      <c r="M4611" t="inlineStr">
        <is>
          <t>LLM</t>
        </is>
      </c>
      <c r="N4611" t="inlineStr">
        <is>
          <t>2026-04-19</t>
        </is>
      </c>
      <c r="O4611" t="inlineStr">
        <is>
          <t>AI</t>
        </is>
      </c>
    </row>
    <row r="4612">
      <c r="A4612" t="inlineStr">
        <is>
          <t>PT Sampoerna Agro Tbk</t>
        </is>
      </c>
      <c r="B4612" t="inlineStr">
        <is>
          <t>SGRO_2024_AR.pdf</t>
        </is>
      </c>
      <c r="C4612" t="n">
        <v>2024</v>
      </c>
      <c r="D4612" t="inlineStr">
        <is>
          <t>Financial</t>
        </is>
      </c>
      <c r="E4612" t="inlineStr">
        <is>
          <t>Cash &amp; Cash Equivalents</t>
        </is>
      </c>
      <c r="F4612" t="n">
        <v>841</v>
      </c>
      <c r="G4612" t="inlineStr">
        <is>
          <t>IDR bn</t>
        </is>
      </c>
      <c r="H4612" t="n">
        <v>367</v>
      </c>
      <c r="I4612" t="inlineStr">
        <is>
          <t>Kas dan setara kas 1.415 + 839.187 = 840,602 (millions)</t>
        </is>
      </c>
      <c r="J4612" t="inlineStr">
        <is>
          <t>High</t>
        </is>
      </c>
      <c r="M4612" t="inlineStr">
        <is>
          <t>LLM</t>
        </is>
      </c>
      <c r="N4612" t="inlineStr">
        <is>
          <t>2026-04-19</t>
        </is>
      </c>
      <c r="O4612" t="inlineStr">
        <is>
          <t>AI</t>
        </is>
      </c>
    </row>
    <row r="4613">
      <c r="A4613" t="inlineStr">
        <is>
          <t>PT Sampoerna Agro Tbk</t>
        </is>
      </c>
      <c r="B4613" t="inlineStr">
        <is>
          <t>SGRO_2024_AR.pdf</t>
        </is>
      </c>
      <c r="C4613" t="n">
        <v>2024</v>
      </c>
      <c r="D4613" t="inlineStr">
        <is>
          <t>Financial</t>
        </is>
      </c>
      <c r="E4613" t="inlineStr">
        <is>
          <t>Inventories</t>
        </is>
      </c>
      <c r="F4613" t="n">
        <v>607</v>
      </c>
      <c r="G4613" t="inlineStr">
        <is>
          <t>IDR bn</t>
        </is>
      </c>
      <c r="H4613" t="n">
        <v>367</v>
      </c>
      <c r="I4613" t="inlineStr">
        <is>
          <t>Persediaan 607.142 (million)</t>
        </is>
      </c>
      <c r="J4613" t="inlineStr">
        <is>
          <t>High</t>
        </is>
      </c>
      <c r="M4613" t="inlineStr">
        <is>
          <t>LLM</t>
        </is>
      </c>
      <c r="N4613" t="inlineStr">
        <is>
          <t>2026-04-19</t>
        </is>
      </c>
      <c r="O4613" t="inlineStr">
        <is>
          <t>AI</t>
        </is>
      </c>
    </row>
    <row r="4614">
      <c r="A4614" t="inlineStr">
        <is>
          <t>PT Sampoerna Agro Tbk</t>
        </is>
      </c>
      <c r="B4614" t="inlineStr">
        <is>
          <t>SGRO_2024_AR.pdf</t>
        </is>
      </c>
      <c r="C4614" t="n">
        <v>2024</v>
      </c>
      <c r="D4614" t="inlineStr">
        <is>
          <t>Financial</t>
        </is>
      </c>
      <c r="E4614" t="inlineStr">
        <is>
          <t>Biological Assets (Current)</t>
        </is>
      </c>
      <c r="F4614" t="n">
        <v>318</v>
      </c>
      <c r="G4614" t="inlineStr">
        <is>
          <t>IDR bn</t>
        </is>
      </c>
      <c r="H4614" t="n">
        <v>367</v>
      </c>
      <c r="I4614" t="inlineStr">
        <is>
          <t>Aset biologis 317.965</t>
        </is>
      </c>
      <c r="J4614" t="inlineStr">
        <is>
          <t>High</t>
        </is>
      </c>
      <c r="M4614" t="inlineStr">
        <is>
          <t>LLM</t>
        </is>
      </c>
      <c r="N4614" t="inlineStr">
        <is>
          <t>2026-04-19</t>
        </is>
      </c>
      <c r="O4614" t="inlineStr">
        <is>
          <t>AI</t>
        </is>
      </c>
    </row>
    <row r="4615">
      <c r="A4615" t="inlineStr">
        <is>
          <t>PT Sampoerna Agro Tbk</t>
        </is>
      </c>
      <c r="B4615" t="inlineStr">
        <is>
          <t>SGRO_2024_AR.pdf</t>
        </is>
      </c>
      <c r="C4615" t="n">
        <v>2024</v>
      </c>
      <c r="D4615" t="inlineStr">
        <is>
          <t>Financial</t>
        </is>
      </c>
      <c r="E4615" t="inlineStr">
        <is>
          <t>Trade Receivables</t>
        </is>
      </c>
      <c r="F4615" t="n">
        <v>177</v>
      </c>
      <c r="G4615" t="inlineStr">
        <is>
          <t>IDR bn</t>
        </is>
      </c>
      <c r="H4615" t="n">
        <v>367</v>
      </c>
      <c r="I4615" t="inlineStr">
        <is>
          <t>Piutang usaha 177.436</t>
        </is>
      </c>
      <c r="J4615" t="inlineStr">
        <is>
          <t>High</t>
        </is>
      </c>
      <c r="M4615" t="inlineStr">
        <is>
          <t>LLM</t>
        </is>
      </c>
      <c r="N4615" t="inlineStr">
        <is>
          <t>2026-04-19</t>
        </is>
      </c>
      <c r="O4615" t="inlineStr">
        <is>
          <t>AI</t>
        </is>
      </c>
    </row>
    <row r="4616">
      <c r="A4616" t="inlineStr">
        <is>
          <t>PT Sampoerna Agro Tbk</t>
        </is>
      </c>
      <c r="B4616" t="inlineStr">
        <is>
          <t>SGRO_2024_AR.pdf</t>
        </is>
      </c>
      <c r="C4616" t="n">
        <v>2024</v>
      </c>
      <c r="D4616" t="inlineStr">
        <is>
          <t>Financial</t>
        </is>
      </c>
      <c r="E4616" t="inlineStr">
        <is>
          <t>Plasma Receivables</t>
        </is>
      </c>
      <c r="F4616" t="n">
        <v>366</v>
      </c>
      <c r="G4616" t="inlineStr">
        <is>
          <t>IDR bn</t>
        </is>
      </c>
      <c r="H4616" t="n">
        <v>367</v>
      </c>
      <c r="I4616" t="inlineStr">
        <is>
          <t>Piutang plasma 365.631</t>
        </is>
      </c>
      <c r="J4616" t="inlineStr">
        <is>
          <t>High</t>
        </is>
      </c>
      <c r="M4616" t="inlineStr">
        <is>
          <t>LLM</t>
        </is>
      </c>
      <c r="N4616" t="inlineStr">
        <is>
          <t>2026-04-19</t>
        </is>
      </c>
      <c r="O4616" t="inlineStr">
        <is>
          <t>AI</t>
        </is>
      </c>
    </row>
    <row r="4617">
      <c r="A4617" t="inlineStr">
        <is>
          <t>PT Sampoerna Agro Tbk</t>
        </is>
      </c>
      <c r="B4617" t="inlineStr">
        <is>
          <t>SGRO_2024_AR.pdf</t>
        </is>
      </c>
      <c r="C4617" t="n">
        <v>2024</v>
      </c>
      <c r="D4617" t="inlineStr">
        <is>
          <t>Financial</t>
        </is>
      </c>
      <c r="E4617" t="inlineStr">
        <is>
          <t>Bearer Plants</t>
        </is>
      </c>
      <c r="F4617" t="n">
        <v>5661</v>
      </c>
      <c r="G4617" t="inlineStr">
        <is>
          <t>IDR bn</t>
        </is>
      </c>
      <c r="H4617" t="n">
        <v>367</v>
      </c>
      <c r="I4617" t="inlineStr">
        <is>
          <t>Tanaman produktif 5.661.311</t>
        </is>
      </c>
      <c r="J4617" t="inlineStr">
        <is>
          <t>High</t>
        </is>
      </c>
      <c r="M4617" t="inlineStr">
        <is>
          <t>LLM</t>
        </is>
      </c>
      <c r="N4617" t="inlineStr">
        <is>
          <t>2026-04-19</t>
        </is>
      </c>
      <c r="O4617" t="inlineStr">
        <is>
          <t>AI</t>
        </is>
      </c>
    </row>
    <row r="4618">
      <c r="A4618" t="inlineStr">
        <is>
          <t>PT Sampoerna Agro Tbk</t>
        </is>
      </c>
      <c r="B4618" t="inlineStr">
        <is>
          <t>SGRO_2024_AR.pdf</t>
        </is>
      </c>
      <c r="C4618" t="n">
        <v>2024</v>
      </c>
      <c r="D4618" t="inlineStr">
        <is>
          <t>Financial</t>
        </is>
      </c>
      <c r="E4618" t="inlineStr">
        <is>
          <t>Fixed Assets (net)</t>
        </is>
      </c>
      <c r="F4618" t="n">
        <v>2064</v>
      </c>
      <c r="G4618" t="inlineStr">
        <is>
          <t>IDR bn</t>
        </is>
      </c>
      <c r="H4618" t="n">
        <v>367</v>
      </c>
      <c r="I4618" t="inlineStr">
        <is>
          <t>Aset tetap 2.064.429</t>
        </is>
      </c>
      <c r="J4618" t="inlineStr">
        <is>
          <t>High</t>
        </is>
      </c>
      <c r="M4618" t="inlineStr">
        <is>
          <t>LLM</t>
        </is>
      </c>
      <c r="N4618" t="inlineStr">
        <is>
          <t>2026-04-19</t>
        </is>
      </c>
      <c r="O4618" t="inlineStr">
        <is>
          <t>AI</t>
        </is>
      </c>
    </row>
    <row r="4619">
      <c r="A4619" t="inlineStr">
        <is>
          <t>PT Sampoerna Agro Tbk</t>
        </is>
      </c>
      <c r="B4619" t="inlineStr">
        <is>
          <t>SGRO_2024_AR.pdf</t>
        </is>
      </c>
      <c r="C4619" t="n">
        <v>2024</v>
      </c>
      <c r="D4619" t="inlineStr">
        <is>
          <t>Financial</t>
        </is>
      </c>
      <c r="E4619" t="inlineStr">
        <is>
          <t>Total Liabilities</t>
        </is>
      </c>
      <c r="F4619" t="n">
        <v>4492</v>
      </c>
      <c r="G4619" t="inlineStr">
        <is>
          <t>IDR bn</t>
        </is>
      </c>
      <c r="H4619" t="n">
        <v>121</v>
      </c>
      <c r="I4619" t="inlineStr">
        <is>
          <t>Total Liabilitas 4.492</t>
        </is>
      </c>
      <c r="J4619" t="inlineStr">
        <is>
          <t>High</t>
        </is>
      </c>
      <c r="M4619" t="inlineStr">
        <is>
          <t>LLM</t>
        </is>
      </c>
      <c r="N4619" t="inlineStr">
        <is>
          <t>2026-04-19</t>
        </is>
      </c>
      <c r="O4619" t="inlineStr">
        <is>
          <t>AI</t>
        </is>
      </c>
    </row>
    <row r="4620">
      <c r="A4620" t="inlineStr">
        <is>
          <t>PT Sampoerna Agro Tbk</t>
        </is>
      </c>
      <c r="B4620" t="inlineStr">
        <is>
          <t>SGRO_2024_AR.pdf</t>
        </is>
      </c>
      <c r="C4620" t="n">
        <v>2024</v>
      </c>
      <c r="D4620" t="inlineStr">
        <is>
          <t>Financial</t>
        </is>
      </c>
      <c r="E4620" t="inlineStr">
        <is>
          <t>Current Liabilities</t>
        </is>
      </c>
      <c r="F4620" t="n">
        <v>1760</v>
      </c>
      <c r="G4620" t="inlineStr">
        <is>
          <t>IDR bn</t>
        </is>
      </c>
      <c r="H4620" t="n">
        <v>121</v>
      </c>
      <c r="I4620" t="inlineStr">
        <is>
          <t>Liabilitas Jangka Pendek 1.760</t>
        </is>
      </c>
      <c r="J4620" t="inlineStr">
        <is>
          <t>High</t>
        </is>
      </c>
      <c r="M4620" t="inlineStr">
        <is>
          <t>LLM</t>
        </is>
      </c>
      <c r="N4620" t="inlineStr">
        <is>
          <t>2026-04-19</t>
        </is>
      </c>
      <c r="O4620" t="inlineStr">
        <is>
          <t>AI</t>
        </is>
      </c>
    </row>
    <row r="4621">
      <c r="A4621" t="inlineStr">
        <is>
          <t>PT Sampoerna Agro Tbk</t>
        </is>
      </c>
      <c r="B4621" t="inlineStr">
        <is>
          <t>SGRO_2024_AR.pdf</t>
        </is>
      </c>
      <c r="C4621" t="n">
        <v>2024</v>
      </c>
      <c r="D4621" t="inlineStr">
        <is>
          <t>Financial</t>
        </is>
      </c>
      <c r="E4621" t="inlineStr">
        <is>
          <t>Long-term Liabilities</t>
        </is>
      </c>
      <c r="F4621" t="n">
        <v>2732</v>
      </c>
      <c r="G4621" t="inlineStr">
        <is>
          <t>IDR bn</t>
        </is>
      </c>
      <c r="H4621" t="n">
        <v>121</v>
      </c>
      <c r="I4621" t="inlineStr">
        <is>
          <t>Liabilitas Jangka Panjang 2.732</t>
        </is>
      </c>
      <c r="J4621" t="inlineStr">
        <is>
          <t>High</t>
        </is>
      </c>
      <c r="M4621" t="inlineStr">
        <is>
          <t>LLM</t>
        </is>
      </c>
      <c r="N4621" t="inlineStr">
        <is>
          <t>2026-04-19</t>
        </is>
      </c>
      <c r="O4621" t="inlineStr">
        <is>
          <t>AI</t>
        </is>
      </c>
    </row>
    <row r="4622">
      <c r="A4622" t="inlineStr">
        <is>
          <t>PT Sampoerna Agro Tbk</t>
        </is>
      </c>
      <c r="B4622" t="inlineStr">
        <is>
          <t>SGRO_2024_AR.pdf</t>
        </is>
      </c>
      <c r="C4622" t="n">
        <v>2024</v>
      </c>
      <c r="D4622" t="inlineStr">
        <is>
          <t>Financial</t>
        </is>
      </c>
      <c r="E4622" t="inlineStr">
        <is>
          <t>Trade Payables</t>
        </is>
      </c>
      <c r="F4622" t="n">
        <v>662</v>
      </c>
      <c r="G4622" t="inlineStr">
        <is>
          <t>IDR bn</t>
        </is>
      </c>
      <c r="H4622" t="n">
        <v>368</v>
      </c>
      <c r="I4622" t="inlineStr">
        <is>
          <t>Utang usaha 661.520</t>
        </is>
      </c>
      <c r="J4622" t="inlineStr">
        <is>
          <t>High</t>
        </is>
      </c>
      <c r="M4622" t="inlineStr">
        <is>
          <t>LLM</t>
        </is>
      </c>
      <c r="N4622" t="inlineStr">
        <is>
          <t>2026-04-19</t>
        </is>
      </c>
      <c r="O4622" t="inlineStr">
        <is>
          <t>AI</t>
        </is>
      </c>
    </row>
    <row r="4623">
      <c r="A4623" t="inlineStr">
        <is>
          <t>PT Sampoerna Agro Tbk</t>
        </is>
      </c>
      <c r="B4623" t="inlineStr">
        <is>
          <t>SGRO_2024_AR.pdf</t>
        </is>
      </c>
      <c r="C4623" t="n">
        <v>2024</v>
      </c>
      <c r="D4623" t="inlineStr">
        <is>
          <t>Financial</t>
        </is>
      </c>
      <c r="E4623" t="inlineStr">
        <is>
          <t>Bonds Payable - Current</t>
        </is>
      </c>
      <c r="F4623" t="n">
        <v>166</v>
      </c>
      <c r="G4623" t="inlineStr">
        <is>
          <t>IDR bn</t>
        </is>
      </c>
      <c r="H4623" t="n">
        <v>368</v>
      </c>
      <c r="I4623" t="inlineStr">
        <is>
          <t>Utang obligasi 166.405 (current)</t>
        </is>
      </c>
      <c r="J4623" t="inlineStr">
        <is>
          <t>High</t>
        </is>
      </c>
      <c r="M4623" t="inlineStr">
        <is>
          <t>LLM</t>
        </is>
      </c>
      <c r="N4623" t="inlineStr">
        <is>
          <t>2026-04-19</t>
        </is>
      </c>
      <c r="O4623" t="inlineStr">
        <is>
          <t>AI</t>
        </is>
      </c>
    </row>
    <row r="4624">
      <c r="A4624" t="inlineStr">
        <is>
          <t>PT Sampoerna Agro Tbk</t>
        </is>
      </c>
      <c r="B4624" t="inlineStr">
        <is>
          <t>SGRO_2024_AR.pdf</t>
        </is>
      </c>
      <c r="C4624" t="n">
        <v>2024</v>
      </c>
      <c r="D4624" t="inlineStr">
        <is>
          <t>Financial</t>
        </is>
      </c>
      <c r="E4624" t="inlineStr">
        <is>
          <t>Sukuk Ijarah - Current</t>
        </is>
      </c>
      <c r="F4624" t="n">
        <v>200</v>
      </c>
      <c r="G4624" t="inlineStr">
        <is>
          <t>IDR bn</t>
        </is>
      </c>
      <c r="H4624" t="n">
        <v>368</v>
      </c>
      <c r="I4624" t="inlineStr">
        <is>
          <t>Sukuk ijarah 199.904 (current)</t>
        </is>
      </c>
      <c r="J4624" t="inlineStr">
        <is>
          <t>High</t>
        </is>
      </c>
      <c r="M4624" t="inlineStr">
        <is>
          <t>LLM</t>
        </is>
      </c>
      <c r="N4624" t="inlineStr">
        <is>
          <t>2026-04-19</t>
        </is>
      </c>
      <c r="O4624" t="inlineStr">
        <is>
          <t>AI</t>
        </is>
      </c>
    </row>
    <row r="4625">
      <c r="A4625" t="inlineStr">
        <is>
          <t>PT Sampoerna Agro Tbk</t>
        </is>
      </c>
      <c r="B4625" t="inlineStr">
        <is>
          <t>SGRO_2024_AR.pdf</t>
        </is>
      </c>
      <c r="C4625" t="n">
        <v>2024</v>
      </c>
      <c r="D4625" t="inlineStr">
        <is>
          <t>Financial</t>
        </is>
      </c>
      <c r="E4625" t="inlineStr">
        <is>
          <t>Long-term Bank Loans - Current Portion</t>
        </is>
      </c>
      <c r="F4625" t="n">
        <v>208</v>
      </c>
      <c r="G4625" t="inlineStr">
        <is>
          <t>IDR bn</t>
        </is>
      </c>
      <c r="H4625" t="n">
        <v>368</v>
      </c>
      <c r="I4625" t="inlineStr">
        <is>
          <t>Utang bank jangka panjang 208.170 (current)</t>
        </is>
      </c>
      <c r="J4625" t="inlineStr">
        <is>
          <t>High</t>
        </is>
      </c>
      <c r="M4625" t="inlineStr">
        <is>
          <t>LLM</t>
        </is>
      </c>
      <c r="N4625" t="inlineStr">
        <is>
          <t>2026-04-19</t>
        </is>
      </c>
      <c r="O4625" t="inlineStr">
        <is>
          <t>AI</t>
        </is>
      </c>
    </row>
    <row r="4626">
      <c r="A4626" t="inlineStr">
        <is>
          <t>PT Sampoerna Agro Tbk</t>
        </is>
      </c>
      <c r="B4626" t="inlineStr">
        <is>
          <t>SGRO_2024_AR.pdf</t>
        </is>
      </c>
      <c r="C4626" t="n">
        <v>2024</v>
      </c>
      <c r="D4626" t="inlineStr">
        <is>
          <t>Financial</t>
        </is>
      </c>
      <c r="E4626" t="inlineStr">
        <is>
          <t>Bonds Payable - LT</t>
        </is>
      </c>
      <c r="F4626" t="n">
        <v>495</v>
      </c>
      <c r="G4626" t="inlineStr">
        <is>
          <t>IDR bn</t>
        </is>
      </c>
      <c r="H4626" t="n">
        <v>368</v>
      </c>
      <c r="I4626" t="inlineStr">
        <is>
          <t>Utang obligasi 495.018 (non-current)</t>
        </is>
      </c>
      <c r="J4626" t="inlineStr">
        <is>
          <t>High</t>
        </is>
      </c>
      <c r="M4626" t="inlineStr">
        <is>
          <t>LLM</t>
        </is>
      </c>
      <c r="N4626" t="inlineStr">
        <is>
          <t>2026-04-19</t>
        </is>
      </c>
      <c r="O4626" t="inlineStr">
        <is>
          <t>AI</t>
        </is>
      </c>
    </row>
    <row r="4627">
      <c r="A4627" t="inlineStr">
        <is>
          <t>PT Sampoerna Agro Tbk</t>
        </is>
      </c>
      <c r="B4627" t="inlineStr">
        <is>
          <t>SGRO_2024_AR.pdf</t>
        </is>
      </c>
      <c r="C4627" t="n">
        <v>2024</v>
      </c>
      <c r="D4627" t="inlineStr">
        <is>
          <t>Financial</t>
        </is>
      </c>
      <c r="E4627" t="inlineStr">
        <is>
          <t>Sukuk Ijarah - LT</t>
        </is>
      </c>
      <c r="F4627" t="n">
        <v>388</v>
      </c>
      <c r="G4627" t="inlineStr">
        <is>
          <t>IDR bn</t>
        </is>
      </c>
      <c r="H4627" t="n">
        <v>368</v>
      </c>
      <c r="I4627" t="inlineStr">
        <is>
          <t>Sukuk ijarah 387.817 (non-current)</t>
        </is>
      </c>
      <c r="J4627" t="inlineStr">
        <is>
          <t>High</t>
        </is>
      </c>
      <c r="M4627" t="inlineStr">
        <is>
          <t>LLM</t>
        </is>
      </c>
      <c r="N4627" t="inlineStr">
        <is>
          <t>2026-04-19</t>
        </is>
      </c>
      <c r="O4627" t="inlineStr">
        <is>
          <t>AI</t>
        </is>
      </c>
    </row>
    <row r="4628">
      <c r="A4628" t="inlineStr">
        <is>
          <t>PT Sampoerna Agro Tbk</t>
        </is>
      </c>
      <c r="B4628" t="inlineStr">
        <is>
          <t>SGRO_2024_AR.pdf</t>
        </is>
      </c>
      <c r="C4628" t="n">
        <v>2024</v>
      </c>
      <c r="D4628" t="inlineStr">
        <is>
          <t>Financial</t>
        </is>
      </c>
      <c r="E4628" t="inlineStr">
        <is>
          <t>Long-term Bank Loans</t>
        </is>
      </c>
      <c r="F4628" t="n">
        <v>1425</v>
      </c>
      <c r="G4628" t="inlineStr">
        <is>
          <t>IDR bn</t>
        </is>
      </c>
      <c r="H4628" t="n">
        <v>368</v>
      </c>
      <c r="I4628" t="inlineStr">
        <is>
          <t>Utang bank jangka panjang 1.424.807 (non-current)</t>
        </is>
      </c>
      <c r="J4628" t="inlineStr">
        <is>
          <t>High</t>
        </is>
      </c>
      <c r="M4628" t="inlineStr">
        <is>
          <t>LLM</t>
        </is>
      </c>
      <c r="N4628" t="inlineStr">
        <is>
          <t>2026-04-19</t>
        </is>
      </c>
      <c r="O4628" t="inlineStr">
        <is>
          <t>AI</t>
        </is>
      </c>
    </row>
    <row r="4629">
      <c r="A4629" t="inlineStr">
        <is>
          <t>PT Sampoerna Agro Tbk</t>
        </is>
      </c>
      <c r="B4629" t="inlineStr">
        <is>
          <t>SGRO_2024_AR.pdf</t>
        </is>
      </c>
      <c r="C4629" t="n">
        <v>2024</v>
      </c>
      <c r="D4629" t="inlineStr">
        <is>
          <t>Financial</t>
        </is>
      </c>
      <c r="E4629" t="inlineStr">
        <is>
          <t>Gross Interest-Bearing Debt</t>
        </is>
      </c>
      <c r="F4629" t="n">
        <v>2882</v>
      </c>
      <c r="G4629" t="inlineStr">
        <is>
          <t>IDR bn</t>
        </is>
      </c>
      <c r="H4629" t="n">
        <v>368</v>
      </c>
      <c r="I4629" t="inlineStr">
        <is>
          <t>Calc: 166+495 bonds + 200+388 sukuk + 208+1425 bank loans = 2,882 bn</t>
        </is>
      </c>
      <c r="J4629" t="inlineStr">
        <is>
          <t>High</t>
        </is>
      </c>
      <c r="M4629" t="inlineStr">
        <is>
          <t>LLM</t>
        </is>
      </c>
      <c r="N4629" t="inlineStr">
        <is>
          <t>2026-04-19</t>
        </is>
      </c>
      <c r="O4629" t="inlineStr">
        <is>
          <t>AI</t>
        </is>
      </c>
    </row>
    <row r="4630">
      <c r="A4630" t="inlineStr">
        <is>
          <t>PT Sampoerna Agro Tbk</t>
        </is>
      </c>
      <c r="B4630" t="inlineStr">
        <is>
          <t>SGRO_2024_AR.pdf</t>
        </is>
      </c>
      <c r="C4630" t="n">
        <v>2024</v>
      </c>
      <c r="D4630" t="inlineStr">
        <is>
          <t>Financial</t>
        </is>
      </c>
      <c r="E4630" t="inlineStr">
        <is>
          <t>Employee Benefit Liability</t>
        </is>
      </c>
      <c r="F4630" t="n">
        <v>210</v>
      </c>
      <c r="G4630" t="inlineStr">
        <is>
          <t>IDR bn</t>
        </is>
      </c>
      <c r="H4630" t="n">
        <v>368</v>
      </c>
      <c r="I4630" t="inlineStr">
        <is>
          <t>Liabilitas imbalan kerja 209.861</t>
        </is>
      </c>
      <c r="J4630" t="inlineStr">
        <is>
          <t>High</t>
        </is>
      </c>
      <c r="M4630" t="inlineStr">
        <is>
          <t>LLM</t>
        </is>
      </c>
      <c r="N4630" t="inlineStr">
        <is>
          <t>2026-04-19</t>
        </is>
      </c>
      <c r="O4630" t="inlineStr">
        <is>
          <t>AI</t>
        </is>
      </c>
    </row>
    <row r="4631">
      <c r="A4631" t="inlineStr">
        <is>
          <t>PT Sampoerna Agro Tbk</t>
        </is>
      </c>
      <c r="B4631" t="inlineStr">
        <is>
          <t>SGRO_2024_AR.pdf</t>
        </is>
      </c>
      <c r="C4631" t="n">
        <v>2024</v>
      </c>
      <c r="D4631" t="inlineStr">
        <is>
          <t>Financial</t>
        </is>
      </c>
      <c r="E4631" t="inlineStr">
        <is>
          <t>Total Equity</t>
        </is>
      </c>
      <c r="F4631" t="n">
        <v>6210</v>
      </c>
      <c r="G4631" t="inlineStr">
        <is>
          <t>IDR bn</t>
        </is>
      </c>
      <c r="H4631" t="n">
        <v>121</v>
      </c>
      <c r="I4631" t="inlineStr">
        <is>
          <t>Total Ekuitas 6.210</t>
        </is>
      </c>
      <c r="J4631" t="inlineStr">
        <is>
          <t>High</t>
        </is>
      </c>
      <c r="M4631" t="inlineStr">
        <is>
          <t>LLM</t>
        </is>
      </c>
      <c r="N4631" t="inlineStr">
        <is>
          <t>2026-04-19</t>
        </is>
      </c>
      <c r="O4631" t="inlineStr">
        <is>
          <t>AI</t>
        </is>
      </c>
    </row>
    <row r="4632">
      <c r="A4632" t="inlineStr">
        <is>
          <t>PT Sampoerna Agro Tbk</t>
        </is>
      </c>
      <c r="B4632" t="inlineStr">
        <is>
          <t>SGRO_2024_AR.pdf</t>
        </is>
      </c>
      <c r="C4632" t="n">
        <v>2024</v>
      </c>
      <c r="D4632" t="inlineStr">
        <is>
          <t>Financial</t>
        </is>
      </c>
      <c r="E4632" t="inlineStr">
        <is>
          <t>Equity Attributable to Parent</t>
        </is>
      </c>
      <c r="F4632" t="n">
        <v>5764</v>
      </c>
      <c r="G4632" t="inlineStr">
        <is>
          <t>IDR bn</t>
        </is>
      </c>
      <c r="H4632" t="n">
        <v>368</v>
      </c>
      <c r="I4632" t="inlineStr">
        <is>
          <t>Pemilik Entitas Induk 5.764.412</t>
        </is>
      </c>
      <c r="J4632" t="inlineStr">
        <is>
          <t>High</t>
        </is>
      </c>
      <c r="M4632" t="inlineStr">
        <is>
          <t>LLM</t>
        </is>
      </c>
      <c r="N4632" t="inlineStr">
        <is>
          <t>2026-04-19</t>
        </is>
      </c>
      <c r="O4632" t="inlineStr">
        <is>
          <t>AI</t>
        </is>
      </c>
    </row>
    <row r="4633">
      <c r="A4633" t="inlineStr">
        <is>
          <t>PT Sampoerna Agro Tbk</t>
        </is>
      </c>
      <c r="B4633" t="inlineStr">
        <is>
          <t>SGRO_2024_AR.pdf</t>
        </is>
      </c>
      <c r="C4633" t="n">
        <v>2024</v>
      </c>
      <c r="D4633" t="inlineStr">
        <is>
          <t>Financial</t>
        </is>
      </c>
      <c r="E4633" t="inlineStr">
        <is>
          <t>Non-Controlling Interests</t>
        </is>
      </c>
      <c r="F4633" t="n">
        <v>446</v>
      </c>
      <c r="G4633" t="inlineStr">
        <is>
          <t>IDR bn</t>
        </is>
      </c>
      <c r="H4633" t="n">
        <v>368</v>
      </c>
      <c r="I4633" t="inlineStr">
        <is>
          <t>Kepentingan Nonpengendali 445.608</t>
        </is>
      </c>
      <c r="J4633" t="inlineStr">
        <is>
          <t>High</t>
        </is>
      </c>
      <c r="M4633" t="inlineStr">
        <is>
          <t>LLM</t>
        </is>
      </c>
      <c r="N4633" t="inlineStr">
        <is>
          <t>2026-04-19</t>
        </is>
      </c>
      <c r="O4633" t="inlineStr">
        <is>
          <t>AI</t>
        </is>
      </c>
    </row>
    <row r="4634">
      <c r="A4634" t="inlineStr">
        <is>
          <t>PT Sampoerna Agro Tbk</t>
        </is>
      </c>
      <c r="B4634" t="inlineStr">
        <is>
          <t>SGRO_2024_AR.pdf</t>
        </is>
      </c>
      <c r="C4634" t="n">
        <v>2024</v>
      </c>
      <c r="D4634" t="inlineStr">
        <is>
          <t>Financial</t>
        </is>
      </c>
      <c r="E4634" t="inlineStr">
        <is>
          <t>Retained Earnings (Unappropriated)</t>
        </is>
      </c>
      <c r="F4634" t="n">
        <v>4529</v>
      </c>
      <c r="G4634" t="inlineStr">
        <is>
          <t>IDR bn</t>
        </is>
      </c>
      <c r="H4634" t="n">
        <v>368</v>
      </c>
      <c r="I4634" t="inlineStr">
        <is>
          <t>Belum ditentukan penggunaannya 4.529.148</t>
        </is>
      </c>
      <c r="J4634" t="inlineStr">
        <is>
          <t>High</t>
        </is>
      </c>
      <c r="M4634" t="inlineStr">
        <is>
          <t>LLM</t>
        </is>
      </c>
      <c r="N4634" t="inlineStr">
        <is>
          <t>2026-04-19</t>
        </is>
      </c>
      <c r="O4634" t="inlineStr">
        <is>
          <t>AI</t>
        </is>
      </c>
    </row>
    <row r="4635">
      <c r="A4635" t="inlineStr">
        <is>
          <t>PT Sampoerna Agro Tbk</t>
        </is>
      </c>
      <c r="B4635" t="inlineStr">
        <is>
          <t>SGRO_2024_AR.pdf</t>
        </is>
      </c>
      <c r="C4635" t="n">
        <v>2024</v>
      </c>
      <c r="D4635" t="inlineStr">
        <is>
          <t>Financial</t>
        </is>
      </c>
      <c r="E4635" t="inlineStr">
        <is>
          <t>CFO</t>
        </is>
      </c>
      <c r="F4635" t="n">
        <v>1256</v>
      </c>
      <c r="G4635" t="inlineStr">
        <is>
          <t>IDR bn</t>
        </is>
      </c>
      <c r="H4635" t="n">
        <v>123</v>
      </c>
      <c r="I4635" t="inlineStr">
        <is>
          <t>Arus Kas Neto yang Diperoleh dari Aktivitas Operasi 1.256</t>
        </is>
      </c>
      <c r="J4635" t="inlineStr">
        <is>
          <t>High</t>
        </is>
      </c>
      <c r="M4635" t="inlineStr">
        <is>
          <t>LLM</t>
        </is>
      </c>
      <c r="N4635" t="inlineStr">
        <is>
          <t>2026-04-19</t>
        </is>
      </c>
      <c r="O4635" t="inlineStr">
        <is>
          <t>AI</t>
        </is>
      </c>
    </row>
    <row r="4636">
      <c r="A4636" t="inlineStr">
        <is>
          <t>PT Sampoerna Agro Tbk</t>
        </is>
      </c>
      <c r="B4636" t="inlineStr">
        <is>
          <t>SGRO_2024_AR.pdf</t>
        </is>
      </c>
      <c r="C4636" t="n">
        <v>2024</v>
      </c>
      <c r="D4636" t="inlineStr">
        <is>
          <t>Financial</t>
        </is>
      </c>
      <c r="E4636" t="inlineStr">
        <is>
          <t>CFI</t>
        </is>
      </c>
      <c r="F4636" t="n">
        <v>-514</v>
      </c>
      <c r="G4636" t="inlineStr">
        <is>
          <t>IDR bn</t>
        </is>
      </c>
      <c r="H4636" t="n">
        <v>123</v>
      </c>
      <c r="I4636" t="inlineStr">
        <is>
          <t>Arus Kas Neto yang Digunakan untuk Aktivitas Investasi (514)</t>
        </is>
      </c>
      <c r="J4636" t="inlineStr">
        <is>
          <t>High</t>
        </is>
      </c>
      <c r="M4636" t="inlineStr">
        <is>
          <t>LLM</t>
        </is>
      </c>
      <c r="N4636" t="inlineStr">
        <is>
          <t>2026-04-19</t>
        </is>
      </c>
      <c r="O4636" t="inlineStr">
        <is>
          <t>AI</t>
        </is>
      </c>
    </row>
    <row r="4637">
      <c r="A4637" t="inlineStr">
        <is>
          <t>PT Sampoerna Agro Tbk</t>
        </is>
      </c>
      <c r="B4637" t="inlineStr">
        <is>
          <t>SGRO_2024_AR.pdf</t>
        </is>
      </c>
      <c r="C4637" t="n">
        <v>2024</v>
      </c>
      <c r="D4637" t="inlineStr">
        <is>
          <t>Financial</t>
        </is>
      </c>
      <c r="E4637" t="inlineStr">
        <is>
          <t>CFF</t>
        </is>
      </c>
      <c r="F4637" t="n">
        <v>-437</v>
      </c>
      <c r="G4637" t="inlineStr">
        <is>
          <t>IDR bn</t>
        </is>
      </c>
      <c r="H4637" t="n">
        <v>123</v>
      </c>
      <c r="I4637" t="inlineStr">
        <is>
          <t>Arus Kas Neto yang Digunakan untuk Aktivitas Pendanaan (437)</t>
        </is>
      </c>
      <c r="J4637" t="inlineStr">
        <is>
          <t>High</t>
        </is>
      </c>
      <c r="M4637" t="inlineStr">
        <is>
          <t>LLM</t>
        </is>
      </c>
      <c r="N4637" t="inlineStr">
        <is>
          <t>2026-04-19</t>
        </is>
      </c>
      <c r="O4637" t="inlineStr">
        <is>
          <t>AI</t>
        </is>
      </c>
    </row>
    <row r="4638">
      <c r="A4638" t="inlineStr">
        <is>
          <t>PT Sampoerna Agro Tbk</t>
        </is>
      </c>
      <c r="B4638" t="inlineStr">
        <is>
          <t>SGRO_2024_AR.pdf</t>
        </is>
      </c>
      <c r="C4638" t="n">
        <v>2024</v>
      </c>
      <c r="D4638" t="inlineStr">
        <is>
          <t>Financial</t>
        </is>
      </c>
      <c r="E4638" t="inlineStr">
        <is>
          <t>Capex (Fixed Assets)</t>
        </is>
      </c>
      <c r="F4638" t="n">
        <v>237</v>
      </c>
      <c r="G4638" t="inlineStr">
        <is>
          <t>IDR bn</t>
        </is>
      </c>
      <c r="H4638" t="n">
        <v>128</v>
      </c>
      <c r="I4638" t="inlineStr">
        <is>
          <t>aset tetap senilai Rp237 miliar</t>
        </is>
      </c>
      <c r="J4638" t="inlineStr">
        <is>
          <t>High</t>
        </is>
      </c>
      <c r="M4638" t="inlineStr">
        <is>
          <t>LLM</t>
        </is>
      </c>
      <c r="N4638" t="inlineStr">
        <is>
          <t>2026-04-19</t>
        </is>
      </c>
      <c r="O4638" t="inlineStr">
        <is>
          <t>AI</t>
        </is>
      </c>
    </row>
    <row r="4639">
      <c r="A4639" t="inlineStr">
        <is>
          <t>PT Sampoerna Agro Tbk</t>
        </is>
      </c>
      <c r="B4639" t="inlineStr">
        <is>
          <t>SGRO_2024_AR.pdf</t>
        </is>
      </c>
      <c r="C4639" t="n">
        <v>2024</v>
      </c>
      <c r="D4639" t="inlineStr">
        <is>
          <t>Financial</t>
        </is>
      </c>
      <c r="E4639" t="inlineStr">
        <is>
          <t>Capex (Bearer Plants)</t>
        </is>
      </c>
      <c r="F4639" t="n">
        <v>200</v>
      </c>
      <c r="G4639" t="inlineStr">
        <is>
          <t>IDR bn</t>
        </is>
      </c>
      <c r="H4639" t="n">
        <v>128</v>
      </c>
      <c r="I4639" t="inlineStr">
        <is>
          <t>penambahan tanaman produktif senilai Rp200 miliar</t>
        </is>
      </c>
      <c r="J4639" t="inlineStr">
        <is>
          <t>High</t>
        </is>
      </c>
      <c r="M4639" t="inlineStr">
        <is>
          <t>LLM</t>
        </is>
      </c>
      <c r="N4639" t="inlineStr">
        <is>
          <t>2026-04-19</t>
        </is>
      </c>
      <c r="O4639" t="inlineStr">
        <is>
          <t>AI</t>
        </is>
      </c>
    </row>
    <row r="4640">
      <c r="A4640" t="inlineStr">
        <is>
          <t>PT Sampoerna Agro Tbk</t>
        </is>
      </c>
      <c r="B4640" t="inlineStr">
        <is>
          <t>SGRO_2024_AR.pdf</t>
        </is>
      </c>
      <c r="C4640" t="n">
        <v>2024</v>
      </c>
      <c r="D4640" t="inlineStr">
        <is>
          <t>Financial</t>
        </is>
      </c>
      <c r="E4640" t="inlineStr">
        <is>
          <t>Total Capex</t>
        </is>
      </c>
      <c r="F4640" t="n">
        <v>437</v>
      </c>
      <c r="G4640" t="inlineStr">
        <is>
          <t>IDR bn</t>
        </is>
      </c>
      <c r="H4640" t="n">
        <v>128</v>
      </c>
      <c r="I4640" t="inlineStr">
        <is>
          <t>Calc: 237 + 200 = 437 bn</t>
        </is>
      </c>
      <c r="J4640" t="inlineStr">
        <is>
          <t>High</t>
        </is>
      </c>
      <c r="M4640" t="inlineStr">
        <is>
          <t>LLM</t>
        </is>
      </c>
      <c r="N4640" t="inlineStr">
        <is>
          <t>2026-04-19</t>
        </is>
      </c>
      <c r="O4640" t="inlineStr">
        <is>
          <t>AI</t>
        </is>
      </c>
    </row>
    <row r="4641">
      <c r="A4641" t="inlineStr">
        <is>
          <t>PT Sampoerna Agro Tbk</t>
        </is>
      </c>
      <c r="B4641" t="inlineStr">
        <is>
          <t>SGRO_2024_AR.pdf</t>
        </is>
      </c>
      <c r="C4641" t="n">
        <v>2024</v>
      </c>
      <c r="D4641" t="inlineStr">
        <is>
          <t>Financial</t>
        </is>
      </c>
      <c r="E4641" t="inlineStr">
        <is>
          <t>EPS (Basic)</t>
        </is>
      </c>
      <c r="F4641" t="n">
        <v>412</v>
      </c>
      <c r="G4641" t="inlineStr">
        <is>
          <t>Rp/share</t>
        </is>
      </c>
      <c r="H4641" t="n">
        <v>12</v>
      </c>
      <c r="I4641" t="inlineStr">
        <is>
          <t>Laba per Saham Dasar (angka penuh) 412</t>
        </is>
      </c>
      <c r="J4641" t="inlineStr">
        <is>
          <t>High</t>
        </is>
      </c>
      <c r="M4641" t="inlineStr">
        <is>
          <t>LLM</t>
        </is>
      </c>
      <c r="N4641" t="inlineStr">
        <is>
          <t>2026-04-19</t>
        </is>
      </c>
      <c r="O4641" t="inlineStr">
        <is>
          <t>AI</t>
        </is>
      </c>
    </row>
    <row r="4642">
      <c r="A4642" t="inlineStr">
        <is>
          <t>PT Sampoerna Agro Tbk</t>
        </is>
      </c>
      <c r="B4642" t="inlineStr">
        <is>
          <t>SGRO_2024_AR.pdf</t>
        </is>
      </c>
      <c r="C4642" t="n">
        <v>2024</v>
      </c>
      <c r="D4642" t="inlineStr">
        <is>
          <t>Financial</t>
        </is>
      </c>
      <c r="E4642" t="inlineStr">
        <is>
          <t>Shares Outstanding</t>
        </is>
      </c>
      <c r="F4642" t="n">
        <v>1819</v>
      </c>
      <c r="G4642" t="inlineStr">
        <is>
          <t>mn</t>
        </is>
      </c>
      <c r="H4642" t="n">
        <v>12</v>
      </c>
      <c r="I4642" t="inlineStr">
        <is>
          <t>Jumlah Saham Beredar (ribu lembar) 1.818.622</t>
        </is>
      </c>
      <c r="J4642" t="inlineStr">
        <is>
          <t>High</t>
        </is>
      </c>
      <c r="M4642" t="inlineStr">
        <is>
          <t>LLM</t>
        </is>
      </c>
      <c r="N4642" t="inlineStr">
        <is>
          <t>2026-04-19</t>
        </is>
      </c>
      <c r="O4642" t="inlineStr">
        <is>
          <t>AI</t>
        </is>
      </c>
    </row>
    <row r="4643">
      <c r="A4643" t="inlineStr">
        <is>
          <t>PT Sampoerna Agro Tbk</t>
        </is>
      </c>
      <c r="B4643" t="inlineStr">
        <is>
          <t>SGRO_2024_AR.pdf</t>
        </is>
      </c>
      <c r="C4643" t="n">
        <v>2024</v>
      </c>
      <c r="D4643" t="inlineStr">
        <is>
          <t>Financial</t>
        </is>
      </c>
      <c r="E4643" t="inlineStr">
        <is>
          <t>Closing Price (31 Dec 2024)</t>
        </is>
      </c>
      <c r="F4643" t="n">
        <v>2140</v>
      </c>
      <c r="G4643" t="inlineStr">
        <is>
          <t>Rp/share</t>
        </is>
      </c>
      <c r="H4643" t="n">
        <v>14</v>
      </c>
      <c r="I4643" t="inlineStr">
        <is>
          <t>Triwulan 4 2024 Penutupan 2.140</t>
        </is>
      </c>
      <c r="J4643" t="inlineStr">
        <is>
          <t>High</t>
        </is>
      </c>
      <c r="M4643" t="inlineStr">
        <is>
          <t>LLM</t>
        </is>
      </c>
      <c r="N4643" t="inlineStr">
        <is>
          <t>2026-04-19</t>
        </is>
      </c>
      <c r="O4643" t="inlineStr">
        <is>
          <t>AI</t>
        </is>
      </c>
    </row>
    <row r="4644">
      <c r="A4644" t="inlineStr">
        <is>
          <t>PT Sampoerna Agro Tbk</t>
        </is>
      </c>
      <c r="B4644" t="inlineStr">
        <is>
          <t>SGRO_2024_AR.pdf</t>
        </is>
      </c>
      <c r="C4644" t="n">
        <v>2024</v>
      </c>
      <c r="D4644" t="inlineStr">
        <is>
          <t>Financial</t>
        </is>
      </c>
      <c r="E4644" t="inlineStr">
        <is>
          <t>Market Cap (31 Dec 2024)</t>
        </is>
      </c>
      <c r="F4644" t="n">
        <v>3892</v>
      </c>
      <c r="G4644" t="inlineStr">
        <is>
          <t>IDR bn</t>
        </is>
      </c>
      <c r="H4644" t="n">
        <v>14</v>
      </c>
      <c r="I4644" t="inlineStr">
        <is>
          <t>Triwulan 4 2024 Kapitalisasi Pasar 3.892 (Rp miliar)</t>
        </is>
      </c>
      <c r="J4644" t="inlineStr">
        <is>
          <t>High</t>
        </is>
      </c>
      <c r="M4644" t="inlineStr">
        <is>
          <t>LLM</t>
        </is>
      </c>
      <c r="N4644" t="inlineStr">
        <is>
          <t>2026-04-19</t>
        </is>
      </c>
      <c r="O4644" t="inlineStr">
        <is>
          <t>AI</t>
        </is>
      </c>
    </row>
    <row r="4645">
      <c r="A4645" t="inlineStr">
        <is>
          <t>PT Sampoerna Agro Tbk</t>
        </is>
      </c>
      <c r="B4645" t="inlineStr">
        <is>
          <t>SGRO_2024_AR.pdf</t>
        </is>
      </c>
      <c r="C4645" t="n">
        <v>2024</v>
      </c>
      <c r="D4645" t="inlineStr">
        <is>
          <t>Financial</t>
        </is>
      </c>
      <c r="E4645" t="inlineStr">
        <is>
          <t>Final Dividend per Share (paid 2024 from 2023 profit)</t>
        </is>
      </c>
      <c r="F4645" t="n">
        <v>121</v>
      </c>
      <c r="G4645" t="inlineStr">
        <is>
          <t>Rp/share</t>
        </is>
      </c>
      <c r="H4645" t="n">
        <v>81</v>
      </c>
      <c r="I4645" t="inlineStr">
        <is>
          <t>Perseroan membagikan dividen total senilai Rp220,05 miliar atau Rp121 per saham atas laba tahun 2023, yang dibayarkan pada bulan Juni 2024</t>
        </is>
      </c>
      <c r="J4645" t="inlineStr">
        <is>
          <t>High</t>
        </is>
      </c>
      <c r="M4645" t="inlineStr">
        <is>
          <t>LLM</t>
        </is>
      </c>
      <c r="N4645" t="inlineStr">
        <is>
          <t>2026-04-19</t>
        </is>
      </c>
      <c r="O4645" t="inlineStr">
        <is>
          <t>AI</t>
        </is>
      </c>
    </row>
    <row r="4646">
      <c r="A4646" t="inlineStr">
        <is>
          <t>PT Sampoerna Agro Tbk</t>
        </is>
      </c>
      <c r="B4646" t="inlineStr">
        <is>
          <t>SGRO_2024_AR.pdf</t>
        </is>
      </c>
      <c r="C4646" t="n">
        <v>2024</v>
      </c>
      <c r="D4646" t="inlineStr">
        <is>
          <t>Financial</t>
        </is>
      </c>
      <c r="E4646" t="inlineStr">
        <is>
          <t>Total Dividend Paid 2024</t>
        </is>
      </c>
      <c r="F4646" t="n">
        <v>220</v>
      </c>
      <c r="G4646" t="inlineStr">
        <is>
          <t>IDR bn</t>
        </is>
      </c>
      <c r="H4646" t="n">
        <v>81</v>
      </c>
      <c r="I4646" t="inlineStr">
        <is>
          <t>dividen total senilai Rp220,05 miliar</t>
        </is>
      </c>
      <c r="J4646" t="inlineStr">
        <is>
          <t>High</t>
        </is>
      </c>
      <c r="M4646" t="inlineStr">
        <is>
          <t>LLM</t>
        </is>
      </c>
      <c r="N4646" t="inlineStr">
        <is>
          <t>2026-04-19</t>
        </is>
      </c>
      <c r="O4646" t="inlineStr">
        <is>
          <t>AI</t>
        </is>
      </c>
    </row>
    <row r="4647">
      <c r="A4647" t="inlineStr">
        <is>
          <t>PT Sampoerna Agro Tbk</t>
        </is>
      </c>
      <c r="B4647" t="inlineStr">
        <is>
          <t>SGRO_2024_AR.pdf</t>
        </is>
      </c>
      <c r="C4647" t="n">
        <v>2024</v>
      </c>
      <c r="D4647" t="inlineStr">
        <is>
          <t>Financial</t>
        </is>
      </c>
      <c r="E4647" t="inlineStr">
        <is>
          <t>ROA</t>
        </is>
      </c>
      <c r="F4647" t="n">
        <v>0.065</v>
      </c>
      <c r="G4647" t="inlineStr">
        <is>
          <t>%</t>
        </is>
      </c>
      <c r="H4647" t="n">
        <v>13</v>
      </c>
      <c r="I4647" t="inlineStr">
        <is>
          <t>Imbal Hasil atas Aset (ROA) 6,5%</t>
        </is>
      </c>
      <c r="J4647" t="inlineStr">
        <is>
          <t>High</t>
        </is>
      </c>
      <c r="M4647" t="inlineStr">
        <is>
          <t>LLM</t>
        </is>
      </c>
      <c r="N4647" t="inlineStr">
        <is>
          <t>2026-04-19</t>
        </is>
      </c>
      <c r="O4647" t="inlineStr">
        <is>
          <t>AI</t>
        </is>
      </c>
    </row>
    <row r="4648">
      <c r="A4648" t="inlineStr">
        <is>
          <t>PT Sampoerna Agro Tbk</t>
        </is>
      </c>
      <c r="B4648" t="inlineStr">
        <is>
          <t>SGRO_2024_AR.pdf</t>
        </is>
      </c>
      <c r="C4648" t="n">
        <v>2024</v>
      </c>
      <c r="D4648" t="inlineStr">
        <is>
          <t>Financial</t>
        </is>
      </c>
      <c r="E4648" t="inlineStr">
        <is>
          <t>ROE</t>
        </is>
      </c>
      <c r="F4648" t="n">
        <v>0.112</v>
      </c>
      <c r="G4648" t="inlineStr">
        <is>
          <t>%</t>
        </is>
      </c>
      <c r="H4648" t="n">
        <v>13</v>
      </c>
      <c r="I4648" t="inlineStr">
        <is>
          <t>Imbal Hasil atas Ekuitas (ROE) 11,2%</t>
        </is>
      </c>
      <c r="J4648" t="inlineStr">
        <is>
          <t>High</t>
        </is>
      </c>
      <c r="M4648" t="inlineStr">
        <is>
          <t>LLM</t>
        </is>
      </c>
      <c r="N4648" t="inlineStr">
        <is>
          <t>2026-04-19</t>
        </is>
      </c>
      <c r="O4648" t="inlineStr">
        <is>
          <t>AI</t>
        </is>
      </c>
    </row>
    <row r="4649">
      <c r="A4649" t="inlineStr">
        <is>
          <t>PT Sampoerna Agro Tbk</t>
        </is>
      </c>
      <c r="B4649" t="inlineStr">
        <is>
          <t>SGRO_2024_AR.pdf</t>
        </is>
      </c>
      <c r="C4649" t="n">
        <v>2024</v>
      </c>
      <c r="D4649" t="inlineStr">
        <is>
          <t>Financial</t>
        </is>
      </c>
      <c r="E4649" t="inlineStr">
        <is>
          <t>Debt-to-Equity Ratio</t>
        </is>
      </c>
      <c r="F4649" t="n">
        <v>0.495</v>
      </c>
      <c r="G4649" t="inlineStr">
        <is>
          <t>%</t>
        </is>
      </c>
      <c r="H4649" t="n">
        <v>13</v>
      </c>
      <c r="I4649" t="inlineStr">
        <is>
          <t>Liabilitas Berbunga terhadap Total Ekuitas 49,5%</t>
        </is>
      </c>
      <c r="J4649" t="inlineStr">
        <is>
          <t>High</t>
        </is>
      </c>
      <c r="M4649" t="inlineStr">
        <is>
          <t>LLM</t>
        </is>
      </c>
      <c r="N4649" t="inlineStr">
        <is>
          <t>2026-04-19</t>
        </is>
      </c>
      <c r="O4649" t="inlineStr">
        <is>
          <t>AI</t>
        </is>
      </c>
    </row>
    <row r="4650">
      <c r="A4650" t="inlineStr">
        <is>
          <t>PT Sampoerna Agro Tbk</t>
        </is>
      </c>
      <c r="B4650" t="inlineStr">
        <is>
          <t>SGRO_2024_AR.pdf</t>
        </is>
      </c>
      <c r="C4650" t="n">
        <v>2024</v>
      </c>
      <c r="D4650" t="inlineStr">
        <is>
          <t>Financial</t>
        </is>
      </c>
      <c r="E4650" t="inlineStr">
        <is>
          <t>Current Ratio</t>
        </is>
      </c>
      <c r="F4650" t="n">
        <v>1.264</v>
      </c>
      <c r="G4650" t="inlineStr">
        <is>
          <t>x</t>
        </is>
      </c>
      <c r="H4650" t="n">
        <v>13</v>
      </c>
      <c r="I4650" t="inlineStr">
        <is>
          <t>Rasio Lancar 126,4%</t>
        </is>
      </c>
      <c r="J4650" t="inlineStr">
        <is>
          <t>High</t>
        </is>
      </c>
      <c r="M4650" t="inlineStr">
        <is>
          <t>LLM</t>
        </is>
      </c>
      <c r="N4650" t="inlineStr">
        <is>
          <t>2026-04-19</t>
        </is>
      </c>
      <c r="O4650" t="inlineStr">
        <is>
          <t>AI</t>
        </is>
      </c>
    </row>
    <row r="4651">
      <c r="A4651" t="inlineStr">
        <is>
          <t>PT Sampoerna Agro Tbk</t>
        </is>
      </c>
      <c r="B4651" t="inlineStr">
        <is>
          <t>SGRO_2024_AR.pdf</t>
        </is>
      </c>
      <c r="C4651" t="n">
        <v>2024</v>
      </c>
      <c r="D4651" t="inlineStr">
        <is>
          <t>Financial</t>
        </is>
      </c>
      <c r="E4651" t="inlineStr">
        <is>
          <t>Gross Margin</t>
        </is>
      </c>
      <c r="F4651" t="n">
        <v>0.281</v>
      </c>
      <c r="G4651" t="inlineStr">
        <is>
          <t>%</t>
        </is>
      </c>
      <c r="H4651" t="n">
        <v>13</v>
      </c>
      <c r="I4651" t="inlineStr">
        <is>
          <t>Margin Laba Bruto 28,1%</t>
        </is>
      </c>
      <c r="J4651" t="inlineStr">
        <is>
          <t>High</t>
        </is>
      </c>
      <c r="M4651" t="inlineStr">
        <is>
          <t>LLM</t>
        </is>
      </c>
      <c r="N4651" t="inlineStr">
        <is>
          <t>2026-04-19</t>
        </is>
      </c>
      <c r="O4651" t="inlineStr">
        <is>
          <t>AI</t>
        </is>
      </c>
    </row>
    <row r="4652">
      <c r="A4652" t="inlineStr">
        <is>
          <t>PT Sampoerna Agro Tbk</t>
        </is>
      </c>
      <c r="B4652" t="inlineStr">
        <is>
          <t>SGRO_2024_AR.pdf</t>
        </is>
      </c>
      <c r="C4652" t="n">
        <v>2024</v>
      </c>
      <c r="D4652" t="inlineStr">
        <is>
          <t>Financial</t>
        </is>
      </c>
      <c r="E4652" t="inlineStr">
        <is>
          <t>Operating Margin</t>
        </is>
      </c>
      <c r="F4652" t="n">
        <v>0.222</v>
      </c>
      <c r="G4652" t="inlineStr">
        <is>
          <t>%</t>
        </is>
      </c>
      <c r="H4652" t="n">
        <v>13</v>
      </c>
      <c r="I4652" t="inlineStr">
        <is>
          <t>Margin Laba Usaha 22,2%</t>
        </is>
      </c>
      <c r="J4652" t="inlineStr">
        <is>
          <t>High</t>
        </is>
      </c>
      <c r="M4652" t="inlineStr">
        <is>
          <t>LLM</t>
        </is>
      </c>
      <c r="N4652" t="inlineStr">
        <is>
          <t>2026-04-19</t>
        </is>
      </c>
      <c r="O4652" t="inlineStr">
        <is>
          <t>AI</t>
        </is>
      </c>
    </row>
    <row r="4653">
      <c r="A4653" t="inlineStr">
        <is>
          <t>PT Sampoerna Agro Tbk</t>
        </is>
      </c>
      <c r="B4653" t="inlineStr">
        <is>
          <t>SGRO_2024_AR.pdf</t>
        </is>
      </c>
      <c r="C4653" t="n">
        <v>2024</v>
      </c>
      <c r="D4653" t="inlineStr">
        <is>
          <t>Financial</t>
        </is>
      </c>
      <c r="E4653" t="inlineStr">
        <is>
          <t>Net Profit Margin</t>
        </is>
      </c>
      <c r="F4653" t="n">
        <v>0.122</v>
      </c>
      <c r="G4653" t="inlineStr">
        <is>
          <t>%</t>
        </is>
      </c>
      <c r="H4653" t="n">
        <v>13</v>
      </c>
      <c r="I4653" t="inlineStr">
        <is>
          <t>Margin Laba Tahun Berjalan 12,2%</t>
        </is>
      </c>
      <c r="J4653" t="inlineStr">
        <is>
          <t>High</t>
        </is>
      </c>
      <c r="M4653" t="inlineStr">
        <is>
          <t>LLM</t>
        </is>
      </c>
      <c r="N4653" t="inlineStr">
        <is>
          <t>2026-04-19</t>
        </is>
      </c>
      <c r="O4653" t="inlineStr">
        <is>
          <t>AI</t>
        </is>
      </c>
    </row>
    <row r="4654">
      <c r="A4654" t="inlineStr">
        <is>
          <t>PT Sampoerna Agro Tbk</t>
        </is>
      </c>
      <c r="B4654" t="inlineStr">
        <is>
          <t>SGRO_2024_AR.pdf</t>
        </is>
      </c>
      <c r="C4654" t="n">
        <v>2024</v>
      </c>
      <c r="D4654" t="inlineStr">
        <is>
          <t>Financial</t>
        </is>
      </c>
      <c r="E4654" t="inlineStr">
        <is>
          <t>Finance Costs</t>
        </is>
      </c>
      <c r="F4654" t="n">
        <v>236</v>
      </c>
      <c r="G4654" t="inlineStr">
        <is>
          <t>IDR bn</t>
        </is>
      </c>
      <c r="H4654" t="n">
        <v>367</v>
      </c>
      <c r="I4654" t="inlineStr">
        <is>
          <t>Beban keuangan (235.648)</t>
        </is>
      </c>
      <c r="J4654" t="inlineStr">
        <is>
          <t>High</t>
        </is>
      </c>
      <c r="M4654" t="inlineStr">
        <is>
          <t>LLM</t>
        </is>
      </c>
      <c r="N4654" t="inlineStr">
        <is>
          <t>2026-04-19</t>
        </is>
      </c>
      <c r="O4654" t="inlineStr">
        <is>
          <t>AI</t>
        </is>
      </c>
    </row>
    <row r="4655">
      <c r="A4655" t="inlineStr">
        <is>
          <t>PT Sampoerna Agro Tbk</t>
        </is>
      </c>
      <c r="B4655" t="inlineStr">
        <is>
          <t>SGRO_2024_AR.pdf</t>
        </is>
      </c>
      <c r="C4655" t="n">
        <v>2024</v>
      </c>
      <c r="D4655" t="inlineStr">
        <is>
          <t>Asset</t>
        </is>
      </c>
      <c r="E4655" t="inlineStr">
        <is>
          <t>Total Planted Area (all crops)</t>
        </is>
      </c>
      <c r="F4655" t="n">
        <v>164721</v>
      </c>
      <c r="G4655" t="inlineStr">
        <is>
          <t>ha</t>
        </is>
      </c>
      <c r="H4655" t="n">
        <v>62</v>
      </c>
      <c r="I4655" t="inlineStr">
        <is>
          <t>total lahan perkebunan yang Perseroan miliki mencapai sekitar 300 ribu ha, dengan area tertanam seluas 165 ribu ha (palm 128k + sago 12.78k + rubber 23.12k = 164,721)</t>
        </is>
      </c>
      <c r="J4655" t="inlineStr">
        <is>
          <t>High</t>
        </is>
      </c>
      <c r="M4655" t="inlineStr">
        <is>
          <t>LLM</t>
        </is>
      </c>
      <c r="N4655" t="inlineStr">
        <is>
          <t>2026-04-19</t>
        </is>
      </c>
      <c r="O4655" t="inlineStr">
        <is>
          <t>AI</t>
        </is>
      </c>
    </row>
    <row r="4656">
      <c r="A4656" t="inlineStr">
        <is>
          <t>PT Sampoerna Agro Tbk</t>
        </is>
      </c>
      <c r="B4656" t="inlineStr">
        <is>
          <t>SGRO_2024_AR.pdf</t>
        </is>
      </c>
      <c r="C4656" t="n">
        <v>2024</v>
      </c>
      <c r="D4656" t="inlineStr">
        <is>
          <t>Asset</t>
        </is>
      </c>
      <c r="E4656" t="inlineStr">
        <is>
          <t>Palm Planted Area (nucleus+plasma)</t>
        </is>
      </c>
      <c r="F4656" t="n">
        <v>128000</v>
      </c>
      <c r="G4656" t="inlineStr">
        <is>
          <t>ha</t>
        </is>
      </c>
      <c r="H4656" t="n">
        <v>62</v>
      </c>
      <c r="I4656" t="inlineStr">
        <is>
          <t>Sumatera ~79k + Kalimantan ~49k = 128k ha palm oil</t>
        </is>
      </c>
      <c r="J4656" t="inlineStr">
        <is>
          <t>High</t>
        </is>
      </c>
      <c r="M4656" t="inlineStr">
        <is>
          <t>LLM</t>
        </is>
      </c>
      <c r="N4656" t="inlineStr">
        <is>
          <t>2026-04-19</t>
        </is>
      </c>
      <c r="O4656" t="inlineStr">
        <is>
          <t>AI</t>
        </is>
      </c>
    </row>
    <row r="4657">
      <c r="A4657" t="inlineStr">
        <is>
          <t>PT Sampoerna Agro Tbk</t>
        </is>
      </c>
      <c r="B4657" t="inlineStr">
        <is>
          <t>SGRO_2024_AR.pdf</t>
        </is>
      </c>
      <c r="C4657" t="n">
        <v>2024</v>
      </c>
      <c r="D4657" t="inlineStr">
        <is>
          <t>Asset</t>
        </is>
      </c>
      <c r="E4657" t="inlineStr">
        <is>
          <t>Sumatra Palm Planted</t>
        </is>
      </c>
      <c r="F4657" t="n">
        <v>79000</v>
      </c>
      <c r="G4657" t="inlineStr">
        <is>
          <t>ha</t>
        </is>
      </c>
      <c r="H4657" t="n">
        <v>66</v>
      </c>
      <c r="I4657" t="inlineStr">
        <is>
          <t>SUMATERA Minyak Sawit Lahan: 107k ha Tertanam: 79k ha</t>
        </is>
      </c>
      <c r="J4657" t="inlineStr">
        <is>
          <t>High</t>
        </is>
      </c>
      <c r="M4657" t="inlineStr">
        <is>
          <t>LLM</t>
        </is>
      </c>
      <c r="N4657" t="inlineStr">
        <is>
          <t>2026-04-19</t>
        </is>
      </c>
      <c r="O4657" t="inlineStr">
        <is>
          <t>AI</t>
        </is>
      </c>
    </row>
    <row r="4658">
      <c r="A4658" t="inlineStr">
        <is>
          <t>PT Sampoerna Agro Tbk</t>
        </is>
      </c>
      <c r="B4658" t="inlineStr">
        <is>
          <t>SGRO_2024_AR.pdf</t>
        </is>
      </c>
      <c r="C4658" t="n">
        <v>2024</v>
      </c>
      <c r="D4658" t="inlineStr">
        <is>
          <t>Asset</t>
        </is>
      </c>
      <c r="E4658" t="inlineStr">
        <is>
          <t>Kalimantan Palm Planted</t>
        </is>
      </c>
      <c r="F4658" t="n">
        <v>49000</v>
      </c>
      <c r="G4658" t="inlineStr">
        <is>
          <t>ha</t>
        </is>
      </c>
      <c r="H4658" t="n">
        <v>67</v>
      </c>
      <c r="I4658" t="inlineStr">
        <is>
          <t>KALIMANTAN Minyak Sawit Lahan: 72k ha Tertanam: 49k ha</t>
        </is>
      </c>
      <c r="J4658" t="inlineStr">
        <is>
          <t>High</t>
        </is>
      </c>
      <c r="M4658" t="inlineStr">
        <is>
          <t>LLM</t>
        </is>
      </c>
      <c r="N4658" t="inlineStr">
        <is>
          <t>2026-04-19</t>
        </is>
      </c>
      <c r="O4658" t="inlineStr">
        <is>
          <t>AI</t>
        </is>
      </c>
    </row>
    <row r="4659">
      <c r="A4659" t="inlineStr">
        <is>
          <t>PT Sampoerna Agro Tbk</t>
        </is>
      </c>
      <c r="B4659" t="inlineStr">
        <is>
          <t>SGRO_2024_AR.pdf</t>
        </is>
      </c>
      <c r="C4659" t="n">
        <v>2024</v>
      </c>
      <c r="D4659" t="inlineStr">
        <is>
          <t>Asset</t>
        </is>
      </c>
      <c r="E4659" t="inlineStr">
        <is>
          <t>Plasma Planted Area</t>
        </is>
      </c>
      <c r="F4659" t="n">
        <v>46557</v>
      </c>
      <c r="G4659" t="inlineStr">
        <is>
          <t>ha</t>
        </is>
      </c>
      <c r="H4659" t="n">
        <v>68</v>
      </c>
      <c r="I4659" t="inlineStr">
        <is>
          <t>jumlah petani plasma mencapai 36.453 pihak, tersebar di lahan seluas 46.557 ha</t>
        </is>
      </c>
      <c r="J4659" t="inlineStr">
        <is>
          <t>High</t>
        </is>
      </c>
      <c r="M4659" t="inlineStr">
        <is>
          <t>LLM</t>
        </is>
      </c>
      <c r="N4659" t="inlineStr">
        <is>
          <t>2026-04-19</t>
        </is>
      </c>
      <c r="O4659" t="inlineStr">
        <is>
          <t>AI</t>
        </is>
      </c>
    </row>
    <row r="4660">
      <c r="A4660" t="inlineStr">
        <is>
          <t>PT Sampoerna Agro Tbk</t>
        </is>
      </c>
      <c r="B4660" t="inlineStr">
        <is>
          <t>SGRO_2024_AR.pdf</t>
        </is>
      </c>
      <c r="C4660" t="n">
        <v>2024</v>
      </c>
      <c r="D4660" t="inlineStr">
        <is>
          <t>Asset</t>
        </is>
      </c>
      <c r="E4660" t="inlineStr">
        <is>
          <t>Plasma Smallholders Count</t>
        </is>
      </c>
      <c r="F4660" t="n">
        <v>36453</v>
      </c>
      <c r="G4660" t="inlineStr">
        <is>
          <t>count</t>
        </is>
      </c>
      <c r="H4660" t="n">
        <v>68</v>
      </c>
      <c r="I4660" t="inlineStr">
        <is>
          <t>jumlah petani plasma mencapai 36.453 pihak</t>
        </is>
      </c>
      <c r="J4660" t="inlineStr">
        <is>
          <t>High</t>
        </is>
      </c>
      <c r="M4660" t="inlineStr">
        <is>
          <t>LLM</t>
        </is>
      </c>
      <c r="N4660" t="inlineStr">
        <is>
          <t>2026-04-19</t>
        </is>
      </c>
      <c r="O4660" t="inlineStr">
        <is>
          <t>AI</t>
        </is>
      </c>
    </row>
    <row r="4661">
      <c r="A4661" t="inlineStr">
        <is>
          <t>PT Sampoerna Agro Tbk</t>
        </is>
      </c>
      <c r="B4661" t="inlineStr">
        <is>
          <t>SGRO_2024_AR.pdf</t>
        </is>
      </c>
      <c r="C4661" t="n">
        <v>2024</v>
      </c>
      <c r="D4661" t="inlineStr">
        <is>
          <t>Asset</t>
        </is>
      </c>
      <c r="E4661" t="inlineStr">
        <is>
          <t>Mature Area (palm % of 128k)</t>
        </is>
      </c>
      <c r="F4661" t="n">
        <v>108800</v>
      </c>
      <c r="G4661" t="inlineStr">
        <is>
          <t>ha</t>
        </is>
      </c>
      <c r="H4661" t="n">
        <v>100</v>
      </c>
      <c r="I4661" t="inlineStr">
        <is>
          <t>Sebanyak 85% dari total luasan ini merupakan tanaman yang menghasilkan (85% of 128k)</t>
        </is>
      </c>
      <c r="J4661" t="inlineStr">
        <is>
          <t>Medium</t>
        </is>
      </c>
      <c r="M4661" t="inlineStr">
        <is>
          <t>LLM</t>
        </is>
      </c>
      <c r="N4661" t="inlineStr">
        <is>
          <t>2026-04-19</t>
        </is>
      </c>
      <c r="O4661" t="inlineStr">
        <is>
          <t>AI</t>
        </is>
      </c>
    </row>
    <row r="4662">
      <c r="A4662" t="inlineStr">
        <is>
          <t>PT Sampoerna Agro Tbk</t>
        </is>
      </c>
      <c r="B4662" t="inlineStr">
        <is>
          <t>SGRO_2024_AR.pdf</t>
        </is>
      </c>
      <c r="C4662" t="n">
        <v>2024</v>
      </c>
      <c r="D4662" t="inlineStr">
        <is>
          <t>Asset</t>
        </is>
      </c>
      <c r="E4662" t="inlineStr">
        <is>
          <t>Mature Ratio (palm)</t>
        </is>
      </c>
      <c r="F4662" t="n">
        <v>0.85</v>
      </c>
      <c r="G4662" t="inlineStr">
        <is>
          <t>%</t>
        </is>
      </c>
      <c r="H4662" t="n">
        <v>100</v>
      </c>
      <c r="I4662" t="inlineStr">
        <is>
          <t>Sebanyak 85% dari total luasan ini merupakan tanaman yang menghasilkan</t>
        </is>
      </c>
      <c r="J4662" t="inlineStr">
        <is>
          <t>High</t>
        </is>
      </c>
      <c r="M4662" t="inlineStr">
        <is>
          <t>LLM</t>
        </is>
      </c>
      <c r="N4662" t="inlineStr">
        <is>
          <t>2026-04-19</t>
        </is>
      </c>
      <c r="O4662" t="inlineStr">
        <is>
          <t>AI</t>
        </is>
      </c>
    </row>
    <row r="4663">
      <c r="A4663" t="inlineStr">
        <is>
          <t>PT Sampoerna Agro Tbk</t>
        </is>
      </c>
      <c r="B4663" t="inlineStr">
        <is>
          <t>SGRO_2024_AR.pdf</t>
        </is>
      </c>
      <c r="C4663" t="n">
        <v>2024</v>
      </c>
      <c r="D4663" t="inlineStr">
        <is>
          <t>Asset</t>
        </is>
      </c>
      <c r="E4663" t="inlineStr">
        <is>
          <t>Replanting + New Planting</t>
        </is>
      </c>
      <c r="F4663" t="n">
        <v>11200</v>
      </c>
      <c r="G4663" t="inlineStr">
        <is>
          <t>ha</t>
        </is>
      </c>
      <c r="H4663" t="n">
        <v>127</v>
      </c>
      <c r="I4663" t="inlineStr">
        <is>
          <t>Jumlah luasan lahan untuk penanaman baru dan penanaman kembali di tahun 2024 dengan demikian mencapai 11.200 ha</t>
        </is>
      </c>
      <c r="J4663" t="inlineStr">
        <is>
          <t>High</t>
        </is>
      </c>
      <c r="M4663" t="inlineStr">
        <is>
          <t>LLM</t>
        </is>
      </c>
      <c r="N4663" t="inlineStr">
        <is>
          <t>2026-04-19</t>
        </is>
      </c>
      <c r="O4663" t="inlineStr">
        <is>
          <t>AI</t>
        </is>
      </c>
    </row>
    <row r="4664">
      <c r="A4664" t="inlineStr">
        <is>
          <t>PT Sampoerna Agro Tbk</t>
        </is>
      </c>
      <c r="B4664" t="inlineStr">
        <is>
          <t>SGRO_2024_AR.pdf</t>
        </is>
      </c>
      <c r="C4664" t="n">
        <v>2024</v>
      </c>
      <c r="D4664" t="inlineStr">
        <is>
          <t>Asset</t>
        </is>
      </c>
      <c r="E4664" t="inlineStr">
        <is>
          <t>Land Cleared for Replanting</t>
        </is>
      </c>
      <c r="F4664" t="n">
        <v>3400</v>
      </c>
      <c r="G4664" t="inlineStr">
        <is>
          <t>ha</t>
        </is>
      </c>
      <c r="H4664" t="n">
        <v>127</v>
      </c>
      <c r="I4664" t="inlineStr">
        <is>
          <t>land clearing seluas 3.400 ha</t>
        </is>
      </c>
      <c r="J4664" t="inlineStr">
        <is>
          <t>High</t>
        </is>
      </c>
      <c r="M4664" t="inlineStr">
        <is>
          <t>LLM</t>
        </is>
      </c>
      <c r="N4664" t="inlineStr">
        <is>
          <t>2026-04-19</t>
        </is>
      </c>
      <c r="O4664" t="inlineStr">
        <is>
          <t>AI</t>
        </is>
      </c>
    </row>
    <row r="4665">
      <c r="A4665" t="inlineStr">
        <is>
          <t>PT Sampoerna Agro Tbk</t>
        </is>
      </c>
      <c r="B4665" t="inlineStr">
        <is>
          <t>SGRO_2024_AR.pdf</t>
        </is>
      </c>
      <c r="C4665" t="n">
        <v>2024</v>
      </c>
      <c r="D4665" t="inlineStr">
        <is>
          <t>Asset</t>
        </is>
      </c>
      <c r="E4665" t="inlineStr">
        <is>
          <t>New Planting</t>
        </is>
      </c>
      <c r="F4665" t="n">
        <v>7800</v>
      </c>
      <c r="G4665" t="inlineStr">
        <is>
          <t>ha</t>
        </is>
      </c>
      <c r="H4665" t="n">
        <v>127</v>
      </c>
      <c r="I4665" t="inlineStr">
        <is>
          <t>kegiatan penanaman baru di tahun 2024 mencapai 7.800 ha</t>
        </is>
      </c>
      <c r="J4665" t="inlineStr">
        <is>
          <t>High</t>
        </is>
      </c>
      <c r="M4665" t="inlineStr">
        <is>
          <t>LLM</t>
        </is>
      </c>
      <c r="N4665" t="inlineStr">
        <is>
          <t>2026-04-19</t>
        </is>
      </c>
      <c r="O4665" t="inlineStr">
        <is>
          <t>AI</t>
        </is>
      </c>
    </row>
    <row r="4666">
      <c r="A4666" t="inlineStr">
        <is>
          <t>PT Sampoerna Agro Tbk</t>
        </is>
      </c>
      <c r="B4666" t="inlineStr">
        <is>
          <t>SGRO_2024_AR.pdf</t>
        </is>
      </c>
      <c r="C4666" t="n">
        <v>2024</v>
      </c>
      <c r="D4666" t="inlineStr">
        <is>
          <t>Asset</t>
        </is>
      </c>
      <c r="E4666" t="inlineStr">
        <is>
          <t>Avg Tree Age - Nucleus</t>
        </is>
      </c>
      <c r="F4666" t="n">
        <v>15</v>
      </c>
      <c r="G4666" t="inlineStr">
        <is>
          <t>years</t>
        </is>
      </c>
      <c r="H4666" t="n">
        <v>101</v>
      </c>
      <c r="I4666" t="inlineStr">
        <is>
          <t>Umur rata-rata kebun inti Perseroan di tahun 2024 adalah 15 tahun</t>
        </is>
      </c>
      <c r="J4666" t="inlineStr">
        <is>
          <t>High</t>
        </is>
      </c>
      <c r="M4666" t="inlineStr">
        <is>
          <t>LLM</t>
        </is>
      </c>
      <c r="N4666" t="inlineStr">
        <is>
          <t>2026-04-19</t>
        </is>
      </c>
      <c r="O4666" t="inlineStr">
        <is>
          <t>AI</t>
        </is>
      </c>
    </row>
    <row r="4667">
      <c r="A4667" t="inlineStr">
        <is>
          <t>PT Sampoerna Agro Tbk</t>
        </is>
      </c>
      <c r="B4667" t="inlineStr">
        <is>
          <t>SGRO_2024_AR.pdf</t>
        </is>
      </c>
      <c r="C4667" t="n">
        <v>2024</v>
      </c>
      <c r="D4667" t="inlineStr">
        <is>
          <t>Asset</t>
        </is>
      </c>
      <c r="E4667" t="inlineStr">
        <is>
          <t>Avg Tree Age - Plasma</t>
        </is>
      </c>
      <c r="F4667" t="n">
        <v>13</v>
      </c>
      <c r="G4667" t="inlineStr">
        <is>
          <t>years</t>
        </is>
      </c>
      <c r="H4667" t="n">
        <v>101</v>
      </c>
      <c r="I4667" t="inlineStr">
        <is>
          <t>pada kebun plasmanya, umur rata-rata tanaman mencapai 13 tahun</t>
        </is>
      </c>
      <c r="J4667" t="inlineStr">
        <is>
          <t>High</t>
        </is>
      </c>
      <c r="M4667" t="inlineStr">
        <is>
          <t>LLM</t>
        </is>
      </c>
      <c r="N4667" t="inlineStr">
        <is>
          <t>2026-04-19</t>
        </is>
      </c>
      <c r="O4667" t="inlineStr">
        <is>
          <t>AI</t>
        </is>
      </c>
    </row>
    <row r="4668">
      <c r="A4668" t="inlineStr">
        <is>
          <t>PT Sampoerna Agro Tbk</t>
        </is>
      </c>
      <c r="B4668" t="inlineStr">
        <is>
          <t>SGRO_2024_AR.pdf</t>
        </is>
      </c>
      <c r="C4668" t="n">
        <v>2024</v>
      </c>
      <c r="D4668" t="inlineStr">
        <is>
          <t>Asset</t>
        </is>
      </c>
      <c r="E4668" t="inlineStr">
        <is>
          <t>Sago Planted Area</t>
        </is>
      </c>
      <c r="F4668" t="n">
        <v>12781</v>
      </c>
      <c r="G4668" t="inlineStr">
        <is>
          <t>ha</t>
        </is>
      </c>
      <c r="H4668" t="n">
        <v>64</v>
      </c>
      <c r="I4668" t="inlineStr">
        <is>
          <t>mengelola industri sagu dengan lahan tertanam 12.781 ha per akhir 2024 di Provinsi Riau</t>
        </is>
      </c>
      <c r="J4668" t="inlineStr">
        <is>
          <t>High</t>
        </is>
      </c>
      <c r="M4668" t="inlineStr">
        <is>
          <t>LLM</t>
        </is>
      </c>
      <c r="N4668" t="inlineStr">
        <is>
          <t>2026-04-19</t>
        </is>
      </c>
      <c r="O4668" t="inlineStr">
        <is>
          <t>AI</t>
        </is>
      </c>
    </row>
    <row r="4669">
      <c r="A4669" t="inlineStr">
        <is>
          <t>PT Sampoerna Agro Tbk</t>
        </is>
      </c>
      <c r="B4669" t="inlineStr">
        <is>
          <t>SGRO_2024_AR.pdf</t>
        </is>
      </c>
      <c r="C4669" t="n">
        <v>2024</v>
      </c>
      <c r="D4669" t="inlineStr">
        <is>
          <t>Asset</t>
        </is>
      </c>
      <c r="E4669" t="inlineStr">
        <is>
          <t>Sago Concession Area</t>
        </is>
      </c>
      <c r="F4669" t="n">
        <v>21000</v>
      </c>
      <c r="G4669" t="inlineStr">
        <is>
          <t>ha</t>
        </is>
      </c>
      <c r="H4669" t="n">
        <v>64</v>
      </c>
      <c r="I4669" t="inlineStr">
        <is>
          <t>dari total lahan yang dimiliki seluas kurang lebih 21.000 ha</t>
        </is>
      </c>
      <c r="J4669" t="inlineStr">
        <is>
          <t>High</t>
        </is>
      </c>
      <c r="M4669" t="inlineStr">
        <is>
          <t>LLM</t>
        </is>
      </c>
      <c r="N4669" t="inlineStr">
        <is>
          <t>2026-04-19</t>
        </is>
      </c>
      <c r="O4669" t="inlineStr">
        <is>
          <t>AI</t>
        </is>
      </c>
    </row>
    <row r="4670">
      <c r="A4670" t="inlineStr">
        <is>
          <t>PT Sampoerna Agro Tbk</t>
        </is>
      </c>
      <c r="B4670" t="inlineStr">
        <is>
          <t>SGRO_2024_AR.pdf</t>
        </is>
      </c>
      <c r="C4670" t="n">
        <v>2024</v>
      </c>
      <c r="D4670" t="inlineStr">
        <is>
          <t>Asset</t>
        </is>
      </c>
      <c r="E4670" t="inlineStr">
        <is>
          <t>Rubber Planted Area</t>
        </is>
      </c>
      <c r="F4670" t="n">
        <v>23120</v>
      </c>
      <c r="G4670" t="inlineStr">
        <is>
          <t>ha</t>
        </is>
      </c>
      <c r="H4670" t="n">
        <v>64</v>
      </c>
      <c r="I4670" t="inlineStr">
        <is>
          <t>Luas lahan tertanam di sini hingga akhir 2024 mencapai 23.120 ha, dengan karet sebagai komposisi utamanya</t>
        </is>
      </c>
      <c r="J4670" t="inlineStr">
        <is>
          <t>High</t>
        </is>
      </c>
      <c r="M4670" t="inlineStr">
        <is>
          <t>LLM</t>
        </is>
      </c>
      <c r="N4670" t="inlineStr">
        <is>
          <t>2026-04-19</t>
        </is>
      </c>
      <c r="O4670" t="inlineStr">
        <is>
          <t>AI</t>
        </is>
      </c>
    </row>
    <row r="4671">
      <c r="A4671" t="inlineStr">
        <is>
          <t>PT Sampoerna Agro Tbk</t>
        </is>
      </c>
      <c r="B4671" t="inlineStr">
        <is>
          <t>SGRO_2024_AR.pdf</t>
        </is>
      </c>
      <c r="C4671" t="n">
        <v>2024</v>
      </c>
      <c r="D4671" t="inlineStr">
        <is>
          <t>Asset</t>
        </is>
      </c>
      <c r="E4671" t="inlineStr">
        <is>
          <t>Rubber Concession Area</t>
        </is>
      </c>
      <c r="F4671" t="n">
        <v>100000</v>
      </c>
      <c r="G4671" t="inlineStr">
        <is>
          <t>ha</t>
        </is>
      </c>
      <c r="H4671" t="n">
        <v>64</v>
      </c>
      <c r="I4671" t="inlineStr">
        <is>
          <t>konsesi hutan tanaman industri seluas kurang lebih 100.000 ha di Provinsi Kalimantan Barat</t>
        </is>
      </c>
      <c r="J4671" t="inlineStr">
        <is>
          <t>High</t>
        </is>
      </c>
      <c r="M4671" t="inlineStr">
        <is>
          <t>LLM</t>
        </is>
      </c>
      <c r="N4671" t="inlineStr">
        <is>
          <t>2026-04-19</t>
        </is>
      </c>
      <c r="O4671" t="inlineStr">
        <is>
          <t>AI</t>
        </is>
      </c>
    </row>
    <row r="4672">
      <c r="A4672" t="inlineStr">
        <is>
          <t>PT Sampoerna Agro Tbk</t>
        </is>
      </c>
      <c r="B4672" t="inlineStr">
        <is>
          <t>SGRO_2024_AR.pdf</t>
        </is>
      </c>
      <c r="C4672" t="n">
        <v>2024</v>
      </c>
      <c r="D4672" t="inlineStr">
        <is>
          <t>Asset</t>
        </is>
      </c>
      <c r="E4672" t="inlineStr">
        <is>
          <t>Total Landbank</t>
        </is>
      </c>
      <c r="F4672" t="n">
        <v>300000</v>
      </c>
      <c r="G4672" t="inlineStr">
        <is>
          <t>ha</t>
        </is>
      </c>
      <c r="H4672" t="n">
        <v>62</v>
      </c>
      <c r="I4672" t="inlineStr">
        <is>
          <t>total lahan perkebunan yang Perseroan miliki mencapai sekitar 300 ribu ha</t>
        </is>
      </c>
      <c r="J4672" t="inlineStr">
        <is>
          <t>High</t>
        </is>
      </c>
      <c r="M4672" t="inlineStr">
        <is>
          <t>LLM</t>
        </is>
      </c>
      <c r="N4672" t="inlineStr">
        <is>
          <t>2026-04-19</t>
        </is>
      </c>
      <c r="O4672" t="inlineStr">
        <is>
          <t>AI</t>
        </is>
      </c>
    </row>
    <row r="4673">
      <c r="A4673" t="inlineStr">
        <is>
          <t>PT Sampoerna Agro Tbk</t>
        </is>
      </c>
      <c r="B4673" t="inlineStr">
        <is>
          <t>SGRO_2024_AR.pdf</t>
        </is>
      </c>
      <c r="C4673" t="n">
        <v>2024</v>
      </c>
      <c r="D4673" t="inlineStr">
        <is>
          <t>Asset</t>
        </is>
      </c>
      <c r="E4673" t="inlineStr">
        <is>
          <t>Palm Oil Mill Count (PKS)</t>
        </is>
      </c>
      <c r="F4673" t="n">
        <v>8</v>
      </c>
      <c r="G4673" t="inlineStr">
        <is>
          <t>count</t>
        </is>
      </c>
      <c r="H4673" t="n">
        <v>63</v>
      </c>
      <c r="I4673" t="inlineStr">
        <is>
          <t>Per akhir 2024, Perseroan memiliki dan mengoperasikan sendiri 8 pabrik kelapa sawit (PKS), yakni 5 di Sumatera dan 3 di Kalimantan</t>
        </is>
      </c>
      <c r="J4673" t="inlineStr">
        <is>
          <t>High</t>
        </is>
      </c>
      <c r="M4673" t="inlineStr">
        <is>
          <t>LLM</t>
        </is>
      </c>
      <c r="N4673" t="inlineStr">
        <is>
          <t>2026-04-19</t>
        </is>
      </c>
      <c r="O4673" t="inlineStr">
        <is>
          <t>AI</t>
        </is>
      </c>
    </row>
    <row r="4674">
      <c r="A4674" t="inlineStr">
        <is>
          <t>PT Sampoerna Agro Tbk</t>
        </is>
      </c>
      <c r="B4674" t="inlineStr">
        <is>
          <t>SGRO_2024_AR.pdf</t>
        </is>
      </c>
      <c r="C4674" t="n">
        <v>2024</v>
      </c>
      <c r="D4674" t="inlineStr">
        <is>
          <t>Asset</t>
        </is>
      </c>
      <c r="E4674" t="inlineStr">
        <is>
          <t>Total Mill Capacity</t>
        </is>
      </c>
      <c r="F4674" t="n">
        <v>510</v>
      </c>
      <c r="G4674" t="inlineStr">
        <is>
          <t>tph</t>
        </is>
      </c>
      <c r="H4674" t="n">
        <v>100</v>
      </c>
      <c r="I4674" t="inlineStr">
        <is>
          <t>Kapasitas produksi gabungan dari seluruh PKS Perseroan adalah 510 ton TBS/jam</t>
        </is>
      </c>
      <c r="J4674" t="inlineStr">
        <is>
          <t>High</t>
        </is>
      </c>
      <c r="M4674" t="inlineStr">
        <is>
          <t>LLM</t>
        </is>
      </c>
      <c r="N4674" t="inlineStr">
        <is>
          <t>2026-04-19</t>
        </is>
      </c>
      <c r="O4674" t="inlineStr">
        <is>
          <t>AI</t>
        </is>
      </c>
    </row>
    <row r="4675">
      <c r="A4675" t="inlineStr">
        <is>
          <t>PT Sampoerna Agro Tbk</t>
        </is>
      </c>
      <c r="B4675" t="inlineStr">
        <is>
          <t>SGRO_2024_AR.pdf</t>
        </is>
      </c>
      <c r="C4675" t="n">
        <v>2024</v>
      </c>
      <c r="D4675" t="inlineStr">
        <is>
          <t>Asset</t>
        </is>
      </c>
      <c r="E4675" t="inlineStr">
        <is>
          <t>Sumatra Mill Capacity</t>
        </is>
      </c>
      <c r="F4675" t="n">
        <v>360</v>
      </c>
      <c r="G4675" t="inlineStr">
        <is>
          <t>tph</t>
        </is>
      </c>
      <c r="H4675" t="n">
        <v>66</v>
      </c>
      <c r="I4675" t="inlineStr">
        <is>
          <t>SUMATERA 5 Pabrik Kelapa Sawit (360 ton per jam / tph)</t>
        </is>
      </c>
      <c r="J4675" t="inlineStr">
        <is>
          <t>High</t>
        </is>
      </c>
      <c r="M4675" t="inlineStr">
        <is>
          <t>LLM</t>
        </is>
      </c>
      <c r="N4675" t="inlineStr">
        <is>
          <t>2026-04-19</t>
        </is>
      </c>
      <c r="O4675" t="inlineStr">
        <is>
          <t>AI</t>
        </is>
      </c>
    </row>
    <row r="4676">
      <c r="A4676" t="inlineStr">
        <is>
          <t>PT Sampoerna Agro Tbk</t>
        </is>
      </c>
      <c r="B4676" t="inlineStr">
        <is>
          <t>SGRO_2024_AR.pdf</t>
        </is>
      </c>
      <c r="C4676" t="n">
        <v>2024</v>
      </c>
      <c r="D4676" t="inlineStr">
        <is>
          <t>Asset</t>
        </is>
      </c>
      <c r="E4676" t="inlineStr">
        <is>
          <t>Kalimantan Mill Capacity</t>
        </is>
      </c>
      <c r="F4676" t="n">
        <v>150</v>
      </c>
      <c r="G4676" t="inlineStr">
        <is>
          <t>tph</t>
        </is>
      </c>
      <c r="H4676" t="n">
        <v>67</v>
      </c>
      <c r="I4676" t="inlineStr">
        <is>
          <t>KALIMANTAN 3 Pabrik Kelapa Sawit (150 ton per jam / tph)</t>
        </is>
      </c>
      <c r="J4676" t="inlineStr">
        <is>
          <t>High</t>
        </is>
      </c>
      <c r="M4676" t="inlineStr">
        <is>
          <t>LLM</t>
        </is>
      </c>
      <c r="N4676" t="inlineStr">
        <is>
          <t>2026-04-19</t>
        </is>
      </c>
      <c r="O4676" t="inlineStr">
        <is>
          <t>AI</t>
        </is>
      </c>
    </row>
    <row r="4677">
      <c r="A4677" t="inlineStr">
        <is>
          <t>PT Sampoerna Agro Tbk</t>
        </is>
      </c>
      <c r="B4677" t="inlineStr">
        <is>
          <t>SGRO_2024_AR.pdf</t>
        </is>
      </c>
      <c r="C4677" t="n">
        <v>2024</v>
      </c>
      <c r="D4677" t="inlineStr">
        <is>
          <t>Asset</t>
        </is>
      </c>
      <c r="E4677" t="inlineStr">
        <is>
          <t>Sago Factory</t>
        </is>
      </c>
      <c r="F4677" t="n">
        <v>1</v>
      </c>
      <c r="G4677" t="inlineStr">
        <is>
          <t>count</t>
        </is>
      </c>
      <c r="H4677" t="n">
        <v>66</v>
      </c>
      <c r="I4677" t="inlineStr">
        <is>
          <t>RIAU Sagu 1 Pabrik (100 ton per hari / tpd)</t>
        </is>
      </c>
      <c r="J4677" t="inlineStr">
        <is>
          <t>High</t>
        </is>
      </c>
      <c r="M4677" t="inlineStr">
        <is>
          <t>LLM</t>
        </is>
      </c>
      <c r="N4677" t="inlineStr">
        <is>
          <t>2026-04-19</t>
        </is>
      </c>
      <c r="O4677" t="inlineStr">
        <is>
          <t>AI</t>
        </is>
      </c>
    </row>
    <row r="4678">
      <c r="A4678" t="inlineStr">
        <is>
          <t>PT Sampoerna Agro Tbk</t>
        </is>
      </c>
      <c r="B4678" t="inlineStr">
        <is>
          <t>SGRO_2024_AR.pdf</t>
        </is>
      </c>
      <c r="C4678" t="n">
        <v>2024</v>
      </c>
      <c r="D4678" t="inlineStr">
        <is>
          <t>Operation</t>
        </is>
      </c>
      <c r="E4678" t="inlineStr">
        <is>
          <t>FFB Production Total</t>
        </is>
      </c>
      <c r="F4678" t="n">
        <v>1726376</v>
      </c>
      <c r="G4678" t="inlineStr">
        <is>
          <t>t</t>
        </is>
      </c>
      <c r="H4678" t="n">
        <v>100</v>
      </c>
      <c r="I4678" t="inlineStr">
        <is>
          <t>Selama tahun 2024, TBS yang diproduksi oleh Perseroan mencapai 1.726.376 ton</t>
        </is>
      </c>
      <c r="J4678" t="inlineStr">
        <is>
          <t>High</t>
        </is>
      </c>
      <c r="M4678" t="inlineStr">
        <is>
          <t>LLM</t>
        </is>
      </c>
      <c r="N4678" t="inlineStr">
        <is>
          <t>2026-04-19</t>
        </is>
      </c>
      <c r="O4678" t="inlineStr">
        <is>
          <t>AI</t>
        </is>
      </c>
    </row>
    <row r="4679">
      <c r="A4679" t="inlineStr">
        <is>
          <t>PT Sampoerna Agro Tbk</t>
        </is>
      </c>
      <c r="B4679" t="inlineStr">
        <is>
          <t>SGRO_2024_AR.pdf</t>
        </is>
      </c>
      <c r="C4679" t="n">
        <v>2024</v>
      </c>
      <c r="D4679" t="inlineStr">
        <is>
          <t>Operation</t>
        </is>
      </c>
      <c r="E4679" t="inlineStr">
        <is>
          <t>FFB Nucleus</t>
        </is>
      </c>
      <c r="F4679" t="n">
        <v>1167927</v>
      </c>
      <c r="G4679" t="inlineStr">
        <is>
          <t>t</t>
        </is>
      </c>
      <c r="H4679" t="n">
        <v>100</v>
      </c>
      <c r="I4679" t="inlineStr">
        <is>
          <t>1.167.927 ton (68% dari keseluruhan) berasal dari kebun inti Perseroan</t>
        </is>
      </c>
      <c r="J4679" t="inlineStr">
        <is>
          <t>High</t>
        </is>
      </c>
      <c r="M4679" t="inlineStr">
        <is>
          <t>LLM</t>
        </is>
      </c>
      <c r="N4679" t="inlineStr">
        <is>
          <t>2026-04-19</t>
        </is>
      </c>
      <c r="O4679" t="inlineStr">
        <is>
          <t>AI</t>
        </is>
      </c>
    </row>
    <row r="4680">
      <c r="A4680" t="inlineStr">
        <is>
          <t>PT Sampoerna Agro Tbk</t>
        </is>
      </c>
      <c r="B4680" t="inlineStr">
        <is>
          <t>SGRO_2024_AR.pdf</t>
        </is>
      </c>
      <c r="C4680" t="n">
        <v>2024</v>
      </c>
      <c r="D4680" t="inlineStr">
        <is>
          <t>Operation</t>
        </is>
      </c>
      <c r="E4680" t="inlineStr">
        <is>
          <t>FFB Plasma + Third-party</t>
        </is>
      </c>
      <c r="F4680" t="n">
        <v>558449</v>
      </c>
      <c r="G4680" t="inlineStr">
        <is>
          <t>t</t>
        </is>
      </c>
      <c r="H4680" t="n">
        <v>100</v>
      </c>
      <c r="I4680" t="inlineStr">
        <is>
          <t>558.449 ton (32%) sisanya dari kebun plasma dan pembelian eksternal</t>
        </is>
      </c>
      <c r="J4680" t="inlineStr">
        <is>
          <t>High</t>
        </is>
      </c>
      <c r="M4680" t="inlineStr">
        <is>
          <t>LLM</t>
        </is>
      </c>
      <c r="N4680" t="inlineStr">
        <is>
          <t>2026-04-19</t>
        </is>
      </c>
      <c r="O4680" t="inlineStr">
        <is>
          <t>AI</t>
        </is>
      </c>
    </row>
    <row r="4681">
      <c r="A4681" t="inlineStr">
        <is>
          <t>PT Sampoerna Agro Tbk</t>
        </is>
      </c>
      <c r="B4681" t="inlineStr">
        <is>
          <t>SGRO_2024_AR.pdf</t>
        </is>
      </c>
      <c r="C4681" t="n">
        <v>2024</v>
      </c>
      <c r="D4681" t="inlineStr">
        <is>
          <t>Operation</t>
        </is>
      </c>
      <c r="E4681" t="inlineStr">
        <is>
          <t>FFB Plasma only (approx)</t>
        </is>
      </c>
      <c r="F4681" t="n">
        <v>399000</v>
      </c>
      <c r="G4681" t="inlineStr">
        <is>
          <t>t</t>
        </is>
      </c>
      <c r="H4681" t="n">
        <v>44</v>
      </c>
      <c r="I4681" t="inlineStr">
        <is>
          <t>kontribusi dari plasma dan pihak ketiga masing-masing sebanyak 399 ribu ton dan 160 ribu ton</t>
        </is>
      </c>
      <c r="J4681" t="inlineStr">
        <is>
          <t>High</t>
        </is>
      </c>
      <c r="M4681" t="inlineStr">
        <is>
          <t>LLM</t>
        </is>
      </c>
      <c r="N4681" t="inlineStr">
        <is>
          <t>2026-04-19</t>
        </is>
      </c>
      <c r="O4681" t="inlineStr">
        <is>
          <t>AI</t>
        </is>
      </c>
    </row>
    <row r="4682">
      <c r="A4682" t="inlineStr">
        <is>
          <t>PT Sampoerna Agro Tbk</t>
        </is>
      </c>
      <c r="B4682" t="inlineStr">
        <is>
          <t>SGRO_2024_AR.pdf</t>
        </is>
      </c>
      <c r="C4682" t="n">
        <v>2024</v>
      </c>
      <c r="D4682" t="inlineStr">
        <is>
          <t>Operation</t>
        </is>
      </c>
      <c r="E4682" t="inlineStr">
        <is>
          <t>FFB Third-party</t>
        </is>
      </c>
      <c r="F4682" t="n">
        <v>160000</v>
      </c>
      <c r="G4682" t="inlineStr">
        <is>
          <t>t</t>
        </is>
      </c>
      <c r="H4682" t="n">
        <v>44</v>
      </c>
      <c r="I4682" t="inlineStr">
        <is>
          <t>dan pihak ketiga masing-masing sebanyak 399 ribu ton dan 160 ribu ton</t>
        </is>
      </c>
      <c r="J4682" t="inlineStr">
        <is>
          <t>High</t>
        </is>
      </c>
      <c r="M4682" t="inlineStr">
        <is>
          <t>LLM</t>
        </is>
      </c>
      <c r="N4682" t="inlineStr">
        <is>
          <t>2026-04-19</t>
        </is>
      </c>
      <c r="O4682" t="inlineStr">
        <is>
          <t>AI</t>
        </is>
      </c>
    </row>
    <row r="4683">
      <c r="A4683" t="inlineStr">
        <is>
          <t>PT Sampoerna Agro Tbk</t>
        </is>
      </c>
      <c r="B4683" t="inlineStr">
        <is>
          <t>SGRO_2024_AR.pdf</t>
        </is>
      </c>
      <c r="C4683" t="n">
        <v>2024</v>
      </c>
      <c r="D4683" t="inlineStr">
        <is>
          <t>Operation</t>
        </is>
      </c>
      <c r="E4683" t="inlineStr">
        <is>
          <t>CPO Production</t>
        </is>
      </c>
      <c r="F4683" t="n">
        <v>341287</v>
      </c>
      <c r="G4683" t="inlineStr">
        <is>
          <t>t</t>
        </is>
      </c>
      <c r="H4683" t="n">
        <v>97</v>
      </c>
      <c r="I4683" t="inlineStr">
        <is>
          <t>Minyak Sawit Mentah (ton) ... 341.287 (2024)</t>
        </is>
      </c>
      <c r="J4683" t="inlineStr">
        <is>
          <t>High</t>
        </is>
      </c>
      <c r="M4683" t="inlineStr">
        <is>
          <t>LLM</t>
        </is>
      </c>
      <c r="N4683" t="inlineStr">
        <is>
          <t>2026-04-19</t>
        </is>
      </c>
      <c r="O4683" t="inlineStr">
        <is>
          <t>AI</t>
        </is>
      </c>
    </row>
    <row r="4684">
      <c r="A4684" t="inlineStr">
        <is>
          <t>PT Sampoerna Agro Tbk</t>
        </is>
      </c>
      <c r="B4684" t="inlineStr">
        <is>
          <t>SGRO_2024_AR.pdf</t>
        </is>
      </c>
      <c r="C4684" t="n">
        <v>2024</v>
      </c>
      <c r="D4684" t="inlineStr">
        <is>
          <t>Operation</t>
        </is>
      </c>
      <c r="E4684" t="inlineStr">
        <is>
          <t>Palm Kernel Production</t>
        </is>
      </c>
      <c r="F4684" t="n">
        <v>83827</v>
      </c>
      <c r="G4684" t="inlineStr">
        <is>
          <t>t</t>
        </is>
      </c>
      <c r="H4684" t="n">
        <v>97</v>
      </c>
      <c r="I4684" t="inlineStr">
        <is>
          <t>Inti Sawit (ton) ... 83.827 (2024)</t>
        </is>
      </c>
      <c r="J4684" t="inlineStr">
        <is>
          <t>High</t>
        </is>
      </c>
      <c r="M4684" t="inlineStr">
        <is>
          <t>LLM</t>
        </is>
      </c>
      <c r="N4684" t="inlineStr">
        <is>
          <t>2026-04-19</t>
        </is>
      </c>
      <c r="O4684" t="inlineStr">
        <is>
          <t>AI</t>
        </is>
      </c>
    </row>
    <row r="4685">
      <c r="A4685" t="inlineStr">
        <is>
          <t>PT Sampoerna Agro Tbk</t>
        </is>
      </c>
      <c r="B4685" t="inlineStr">
        <is>
          <t>SGRO_2024_AR.pdf</t>
        </is>
      </c>
      <c r="C4685" t="n">
        <v>2024</v>
      </c>
      <c r="D4685" t="inlineStr">
        <is>
          <t>Operation</t>
        </is>
      </c>
      <c r="E4685" t="inlineStr">
        <is>
          <t>Germinated Seeds Production</t>
        </is>
      </c>
      <c r="F4685" t="n">
        <v>22215000</v>
      </c>
      <c r="G4685" t="inlineStr">
        <is>
          <t>seeds</t>
        </is>
      </c>
      <c r="H4685" t="n">
        <v>97</v>
      </c>
      <c r="I4685" t="inlineStr">
        <is>
          <t>Kecambah Sawit (ribuan butir) ... 22.215 (2024)</t>
        </is>
      </c>
      <c r="J4685" t="inlineStr">
        <is>
          <t>High</t>
        </is>
      </c>
      <c r="M4685" t="inlineStr">
        <is>
          <t>LLM</t>
        </is>
      </c>
      <c r="N4685" t="inlineStr">
        <is>
          <t>2026-04-19</t>
        </is>
      </c>
      <c r="O4685" t="inlineStr">
        <is>
          <t>AI</t>
        </is>
      </c>
    </row>
    <row r="4686">
      <c r="A4686" t="inlineStr">
        <is>
          <t>PT Sampoerna Agro Tbk</t>
        </is>
      </c>
      <c r="B4686" t="inlineStr">
        <is>
          <t>SGRO_2024_AR.pdf</t>
        </is>
      </c>
      <c r="C4686" t="n">
        <v>2024</v>
      </c>
      <c r="D4686" t="inlineStr">
        <is>
          <t>Operation</t>
        </is>
      </c>
      <c r="E4686" t="inlineStr">
        <is>
          <t>Sago Production</t>
        </is>
      </c>
      <c r="F4686" t="n">
        <v>6208</v>
      </c>
      <c r="G4686" t="inlineStr">
        <is>
          <t>t</t>
        </is>
      </c>
      <c r="H4686" t="n">
        <v>97</v>
      </c>
      <c r="I4686" t="inlineStr">
        <is>
          <t>Sagu (ton) ... 6.208 (2024)</t>
        </is>
      </c>
      <c r="J4686" t="inlineStr">
        <is>
          <t>High</t>
        </is>
      </c>
      <c r="M4686" t="inlineStr">
        <is>
          <t>LLM</t>
        </is>
      </c>
      <c r="N4686" t="inlineStr">
        <is>
          <t>2026-04-19</t>
        </is>
      </c>
      <c r="O4686" t="inlineStr">
        <is>
          <t>AI</t>
        </is>
      </c>
    </row>
    <row r="4687">
      <c r="A4687" t="inlineStr">
        <is>
          <t>PT Sampoerna Agro Tbk</t>
        </is>
      </c>
      <c r="B4687" t="inlineStr">
        <is>
          <t>SGRO_2024_AR.pdf</t>
        </is>
      </c>
      <c r="C4687" t="n">
        <v>2024</v>
      </c>
      <c r="D4687" t="inlineStr">
        <is>
          <t>Operation</t>
        </is>
      </c>
      <c r="E4687" t="inlineStr">
        <is>
          <t>CPO Sales Volume</t>
        </is>
      </c>
      <c r="F4687" t="n">
        <v>337899</v>
      </c>
      <c r="G4687" t="inlineStr">
        <is>
          <t>t</t>
        </is>
      </c>
      <c r="H4687" t="n">
        <v>101</v>
      </c>
      <c r="I4687" t="inlineStr">
        <is>
          <t>volume penjualan CPO Perseroan di tahun 2024 juga menurun 18%, dari 413.283 ton di tahun 2023 menjadi 337.899 ton</t>
        </is>
      </c>
      <c r="J4687" t="inlineStr">
        <is>
          <t>High</t>
        </is>
      </c>
      <c r="M4687" t="inlineStr">
        <is>
          <t>LLM</t>
        </is>
      </c>
      <c r="N4687" t="inlineStr">
        <is>
          <t>2026-04-19</t>
        </is>
      </c>
      <c r="O4687" t="inlineStr">
        <is>
          <t>AI</t>
        </is>
      </c>
    </row>
    <row r="4688">
      <c r="A4688" t="inlineStr">
        <is>
          <t>PT Sampoerna Agro Tbk</t>
        </is>
      </c>
      <c r="B4688" t="inlineStr">
        <is>
          <t>SGRO_2024_AR.pdf</t>
        </is>
      </c>
      <c r="C4688" t="n">
        <v>2024</v>
      </c>
      <c r="D4688" t="inlineStr">
        <is>
          <t>Operation</t>
        </is>
      </c>
      <c r="E4688" t="inlineStr">
        <is>
          <t>PK Sales Volume</t>
        </is>
      </c>
      <c r="F4688" t="n">
        <v>83554</v>
      </c>
      <c r="G4688" t="inlineStr">
        <is>
          <t>t</t>
        </is>
      </c>
      <c r="H4688" t="n">
        <v>101</v>
      </c>
      <c r="I4688" t="inlineStr">
        <is>
          <t>Volume penjualan inti sawit di tahun 2024 adalah 83.554 ton</t>
        </is>
      </c>
      <c r="J4688" t="inlineStr">
        <is>
          <t>High</t>
        </is>
      </c>
      <c r="M4688" t="inlineStr">
        <is>
          <t>LLM</t>
        </is>
      </c>
      <c r="N4688" t="inlineStr">
        <is>
          <t>2026-04-19</t>
        </is>
      </c>
      <c r="O4688" t="inlineStr">
        <is>
          <t>AI</t>
        </is>
      </c>
    </row>
    <row r="4689">
      <c r="A4689" t="inlineStr">
        <is>
          <t>PT Sampoerna Agro Tbk</t>
        </is>
      </c>
      <c r="B4689" t="inlineStr">
        <is>
          <t>SGRO_2024_AR.pdf</t>
        </is>
      </c>
      <c r="C4689" t="n">
        <v>2024</v>
      </c>
      <c r="D4689" t="inlineStr">
        <is>
          <t>Operation</t>
        </is>
      </c>
      <c r="E4689" t="inlineStr">
        <is>
          <t>Seed Sales Volume</t>
        </is>
      </c>
      <c r="F4689" t="n">
        <v>20039000</v>
      </c>
      <c r="G4689" t="inlineStr">
        <is>
          <t>seeds</t>
        </is>
      </c>
      <c r="H4689" t="n">
        <v>102</v>
      </c>
      <c r="I4689" t="inlineStr">
        <is>
          <t>penjualan kecambah sawit Perseroan dapat meningkat sebesar 4% mencapai 20,0 juta butir di tahun 2024</t>
        </is>
      </c>
      <c r="J4689" t="inlineStr">
        <is>
          <t>High</t>
        </is>
      </c>
      <c r="M4689" t="inlineStr">
        <is>
          <t>LLM</t>
        </is>
      </c>
      <c r="N4689" t="inlineStr">
        <is>
          <t>2026-04-19</t>
        </is>
      </c>
      <c r="O4689" t="inlineStr">
        <is>
          <t>AI</t>
        </is>
      </c>
    </row>
    <row r="4690">
      <c r="A4690" t="inlineStr">
        <is>
          <t>PT Sampoerna Agro Tbk</t>
        </is>
      </c>
      <c r="B4690" t="inlineStr">
        <is>
          <t>SGRO_2024_AR.pdf</t>
        </is>
      </c>
      <c r="C4690" t="n">
        <v>2024</v>
      </c>
      <c r="D4690" t="inlineStr">
        <is>
          <t>Operation</t>
        </is>
      </c>
      <c r="E4690" t="inlineStr">
        <is>
          <t>Sago Sales Volume</t>
        </is>
      </c>
      <c r="F4690" t="n">
        <v>5503</v>
      </c>
      <c r="G4690" t="inlineStr">
        <is>
          <t>t</t>
        </is>
      </c>
      <c r="H4690" t="n">
        <v>103</v>
      </c>
      <c r="I4690" t="inlineStr">
        <is>
          <t>Penjualan sagu juga meningkat 123%, dari 2.464 ton di tahun 2023 menjadi 5.503 ton di tahun 2024</t>
        </is>
      </c>
      <c r="J4690" t="inlineStr">
        <is>
          <t>High</t>
        </is>
      </c>
      <c r="M4690" t="inlineStr">
        <is>
          <t>LLM</t>
        </is>
      </c>
      <c r="N4690" t="inlineStr">
        <is>
          <t>2026-04-19</t>
        </is>
      </c>
      <c r="O4690" t="inlineStr">
        <is>
          <t>AI</t>
        </is>
      </c>
    </row>
    <row r="4691">
      <c r="A4691" t="inlineStr">
        <is>
          <t>PT Sampoerna Agro Tbk</t>
        </is>
      </c>
      <c r="B4691" t="inlineStr">
        <is>
          <t>SGRO_2024_AR.pdf</t>
        </is>
      </c>
      <c r="C4691" t="n">
        <v>2024</v>
      </c>
      <c r="D4691" t="inlineStr">
        <is>
          <t>Operation</t>
        </is>
      </c>
      <c r="E4691" t="inlineStr">
        <is>
          <t>Avg CPO Selling Price</t>
        </is>
      </c>
      <c r="F4691" t="n">
        <v>13283</v>
      </c>
      <c r="G4691" t="inlineStr">
        <is>
          <t>Rp/kg</t>
        </is>
      </c>
      <c r="H4691" t="n">
        <v>101</v>
      </c>
      <c r="I4691" t="inlineStr">
        <is>
          <t>harga jual rata-rata untuk CPO Perseroan meningkat 16% menjadi Rp13.283/kg</t>
        </is>
      </c>
      <c r="J4691" t="inlineStr">
        <is>
          <t>High</t>
        </is>
      </c>
      <c r="M4691" t="inlineStr">
        <is>
          <t>LLM</t>
        </is>
      </c>
      <c r="N4691" t="inlineStr">
        <is>
          <t>2026-04-19</t>
        </is>
      </c>
      <c r="O4691" t="inlineStr">
        <is>
          <t>AI</t>
        </is>
      </c>
    </row>
    <row r="4692">
      <c r="A4692" t="inlineStr">
        <is>
          <t>PT Sampoerna Agro Tbk</t>
        </is>
      </c>
      <c r="B4692" t="inlineStr">
        <is>
          <t>SGRO_2024_AR.pdf</t>
        </is>
      </c>
      <c r="C4692" t="n">
        <v>2024</v>
      </c>
      <c r="D4692" t="inlineStr">
        <is>
          <t>Operation</t>
        </is>
      </c>
      <c r="E4692" t="inlineStr">
        <is>
          <t>Avg PK Selling Price</t>
        </is>
      </c>
      <c r="F4692" t="n">
        <v>8413</v>
      </c>
      <c r="G4692" t="inlineStr">
        <is>
          <t>Rp/kg</t>
        </is>
      </c>
      <c r="H4692" t="n">
        <v>101</v>
      </c>
      <c r="I4692" t="inlineStr">
        <is>
          <t>Harga jual rata-rata untuk produk inti sawit Perseroan di tahun 2024 mencapai Rp8.413/kg</t>
        </is>
      </c>
      <c r="J4692" t="inlineStr">
        <is>
          <t>High</t>
        </is>
      </c>
      <c r="M4692" t="inlineStr">
        <is>
          <t>LLM</t>
        </is>
      </c>
      <c r="N4692" t="inlineStr">
        <is>
          <t>2026-04-19</t>
        </is>
      </c>
      <c r="O4692" t="inlineStr">
        <is>
          <t>AI</t>
        </is>
      </c>
    </row>
    <row r="4693">
      <c r="A4693" t="inlineStr">
        <is>
          <t>PT Sampoerna Agro Tbk</t>
        </is>
      </c>
      <c r="B4693" t="inlineStr">
        <is>
          <t>SGRO_2024_AR.pdf</t>
        </is>
      </c>
      <c r="C4693" t="n">
        <v>2024</v>
      </c>
      <c r="D4693" t="inlineStr">
        <is>
          <t>Operation</t>
        </is>
      </c>
      <c r="E4693" t="inlineStr">
        <is>
          <t>Avg Seed Selling Price</t>
        </is>
      </c>
      <c r="F4693" t="n">
        <v>8553</v>
      </c>
      <c r="G4693" t="inlineStr">
        <is>
          <t>Rp/seed</t>
        </is>
      </c>
      <c r="H4693" t="n">
        <v>102</v>
      </c>
      <c r="I4693" t="inlineStr">
        <is>
          <t>harga jual rata-rata Rp8.553/butir</t>
        </is>
      </c>
      <c r="J4693" t="inlineStr">
        <is>
          <t>High</t>
        </is>
      </c>
      <c r="M4693" t="inlineStr">
        <is>
          <t>LLM</t>
        </is>
      </c>
      <c r="N4693" t="inlineStr">
        <is>
          <t>2026-04-19</t>
        </is>
      </c>
      <c r="O4693" t="inlineStr">
        <is>
          <t>AI</t>
        </is>
      </c>
    </row>
    <row r="4694">
      <c r="A4694" t="inlineStr">
        <is>
          <t>PT Sampoerna Agro Tbk</t>
        </is>
      </c>
      <c r="B4694" t="inlineStr">
        <is>
          <t>SGRO_2024_AR.pdf</t>
        </is>
      </c>
      <c r="C4694" t="n">
        <v>2024</v>
      </c>
      <c r="D4694" t="inlineStr">
        <is>
          <t>Operation</t>
        </is>
      </c>
      <c r="E4694" t="inlineStr">
        <is>
          <t>OER (CPO Extraction Rate)</t>
        </is>
      </c>
      <c r="F4694" t="n">
        <v>0.205</v>
      </c>
      <c r="G4694" t="inlineStr">
        <is>
          <t>%</t>
        </is>
      </c>
      <c r="H4694" t="n">
        <v>44</v>
      </c>
      <c r="I4694" t="inlineStr">
        <is>
          <t>tingkat ekstraksi minyak (OER) mencapai 20,5%, dibandingkan 21,4% pada tahun sebelumnya</t>
        </is>
      </c>
      <c r="J4694" t="inlineStr">
        <is>
          <t>High</t>
        </is>
      </c>
      <c r="M4694" t="inlineStr">
        <is>
          <t>LLM</t>
        </is>
      </c>
      <c r="N4694" t="inlineStr">
        <is>
          <t>2026-04-19</t>
        </is>
      </c>
      <c r="O4694" t="inlineStr">
        <is>
          <t>AI</t>
        </is>
      </c>
    </row>
    <row r="4695">
      <c r="A4695" t="inlineStr">
        <is>
          <t>PT Sampoerna Agro Tbk</t>
        </is>
      </c>
      <c r="B4695" t="inlineStr">
        <is>
          <t>SGRO_2024_AR.pdf</t>
        </is>
      </c>
      <c r="C4695" t="n">
        <v>2024</v>
      </c>
      <c r="D4695" t="inlineStr">
        <is>
          <t>Operation</t>
        </is>
      </c>
      <c r="E4695" t="inlineStr">
        <is>
          <t>Kalimantan FFB Contribution</t>
        </is>
      </c>
      <c r="F4695" t="n">
        <v>0.42</v>
      </c>
      <c r="G4695" t="inlineStr">
        <is>
          <t>%</t>
        </is>
      </c>
      <c r="H4695" t="n">
        <v>63</v>
      </c>
      <c r="I4695" t="inlineStr">
        <is>
          <t>Kontribusi tandan buah segar (TBS) dari Kalimantan terhadap total TBS Perseroan ... 42% di tahun 2024</t>
        </is>
      </c>
      <c r="J4695" t="inlineStr">
        <is>
          <t>High</t>
        </is>
      </c>
      <c r="M4695" t="inlineStr">
        <is>
          <t>LLM</t>
        </is>
      </c>
      <c r="N4695" t="inlineStr">
        <is>
          <t>2026-04-19</t>
        </is>
      </c>
      <c r="O4695" t="inlineStr">
        <is>
          <t>AI</t>
        </is>
      </c>
    </row>
    <row r="4696">
      <c r="A4696" t="inlineStr">
        <is>
          <t>PT Sampoerna Agro Tbk</t>
        </is>
      </c>
      <c r="B4696" t="inlineStr">
        <is>
          <t>SGRO_2024_AR.pdf</t>
        </is>
      </c>
      <c r="C4696" t="n">
        <v>2024</v>
      </c>
      <c r="D4696" t="inlineStr">
        <is>
          <t>Operation</t>
        </is>
      </c>
      <c r="E4696" t="inlineStr">
        <is>
          <t>Palm Products Segment Revenue</t>
        </is>
      </c>
      <c r="F4696" t="n">
        <v>5359</v>
      </c>
      <c r="G4696" t="inlineStr">
        <is>
          <t>IDR bn</t>
        </is>
      </c>
      <c r="H4696" t="n">
        <v>103</v>
      </c>
      <c r="I4696" t="inlineStr">
        <is>
          <t>Penjualan 5.358.581 Produk Kelapa Sawit</t>
        </is>
      </c>
      <c r="J4696" t="inlineStr">
        <is>
          <t>High</t>
        </is>
      </c>
      <c r="M4696" t="inlineStr">
        <is>
          <t>LLM</t>
        </is>
      </c>
      <c r="N4696" t="inlineStr">
        <is>
          <t>2026-04-19</t>
        </is>
      </c>
      <c r="O4696" t="inlineStr">
        <is>
          <t>AI</t>
        </is>
      </c>
    </row>
    <row r="4697">
      <c r="A4697" t="inlineStr">
        <is>
          <t>PT Sampoerna Agro Tbk</t>
        </is>
      </c>
      <c r="B4697" t="inlineStr">
        <is>
          <t>SGRO_2024_AR.pdf</t>
        </is>
      </c>
      <c r="C4697" t="n">
        <v>2024</v>
      </c>
      <c r="D4697" t="inlineStr">
        <is>
          <t>Operation</t>
        </is>
      </c>
      <c r="E4697" t="inlineStr">
        <is>
          <t>Others Segment Revenue</t>
        </is>
      </c>
      <c r="F4697" t="n">
        <v>337</v>
      </c>
      <c r="G4697" t="inlineStr">
        <is>
          <t>IDR bn</t>
        </is>
      </c>
      <c r="H4697" t="n">
        <v>103</v>
      </c>
      <c r="I4697" t="inlineStr">
        <is>
          <t>336.847 Lain-Lain</t>
        </is>
      </c>
      <c r="J4697" t="inlineStr">
        <is>
          <t>High</t>
        </is>
      </c>
      <c r="M4697" t="inlineStr">
        <is>
          <t>LLM</t>
        </is>
      </c>
      <c r="N4697" t="inlineStr">
        <is>
          <t>2026-04-19</t>
        </is>
      </c>
      <c r="O4697" t="inlineStr">
        <is>
          <t>AI</t>
        </is>
      </c>
    </row>
    <row r="4698">
      <c r="A4698" t="inlineStr">
        <is>
          <t>PT Sampoerna Agro Tbk</t>
        </is>
      </c>
      <c r="B4698" t="inlineStr">
        <is>
          <t>SGRO_2024_AR.pdf</t>
        </is>
      </c>
      <c r="C4698" t="n">
        <v>2024</v>
      </c>
      <c r="D4698" t="inlineStr">
        <is>
          <t>Operation</t>
        </is>
      </c>
      <c r="E4698" t="inlineStr">
        <is>
          <t>Palm Products Segment Profit</t>
        </is>
      </c>
      <c r="F4698" t="n">
        <v>1324</v>
      </c>
      <c r="G4698" t="inlineStr">
        <is>
          <t>IDR bn</t>
        </is>
      </c>
      <c r="H4698" t="n">
        <v>103</v>
      </c>
      <c r="I4698" t="inlineStr">
        <is>
          <t>Hasil Segmen 1.323.506 Palm Products</t>
        </is>
      </c>
      <c r="J4698" t="inlineStr">
        <is>
          <t>High</t>
        </is>
      </c>
      <c r="M4698" t="inlineStr">
        <is>
          <t>LLM</t>
        </is>
      </c>
      <c r="N4698" t="inlineStr">
        <is>
          <t>2026-04-19</t>
        </is>
      </c>
      <c r="O4698" t="inlineStr">
        <is>
          <t>AI</t>
        </is>
      </c>
    </row>
    <row r="4699">
      <c r="A4699" t="inlineStr">
        <is>
          <t>PT Sampoerna Agro Tbk</t>
        </is>
      </c>
      <c r="B4699" t="inlineStr">
        <is>
          <t>SGRO_2024_AR.pdf</t>
        </is>
      </c>
      <c r="C4699" t="n">
        <v>2024</v>
      </c>
      <c r="D4699" t="inlineStr">
        <is>
          <t>Operation</t>
        </is>
      </c>
      <c r="E4699" t="inlineStr">
        <is>
          <t>Others Segment Profit (Loss)</t>
        </is>
      </c>
      <c r="F4699" t="n">
        <v>-60</v>
      </c>
      <c r="G4699" t="inlineStr">
        <is>
          <t>IDR bn</t>
        </is>
      </c>
      <c r="H4699" t="n">
        <v>103</v>
      </c>
      <c r="I4699" t="inlineStr">
        <is>
          <t>(59.902) Others</t>
        </is>
      </c>
      <c r="J4699" t="inlineStr">
        <is>
          <t>High</t>
        </is>
      </c>
      <c r="M4699" t="inlineStr">
        <is>
          <t>LLM</t>
        </is>
      </c>
      <c r="N4699" t="inlineStr">
        <is>
          <t>2026-04-19</t>
        </is>
      </c>
      <c r="O4699" t="inlineStr">
        <is>
          <t>AI</t>
        </is>
      </c>
    </row>
    <row r="4700">
      <c r="A4700" t="inlineStr">
        <is>
          <t>PT Sampoerna Agro Tbk</t>
        </is>
      </c>
      <c r="B4700" t="inlineStr">
        <is>
          <t>SGRO_2024_AR.pdf</t>
        </is>
      </c>
      <c r="C4700" t="n">
        <v>2024</v>
      </c>
      <c r="D4700" t="inlineStr">
        <is>
          <t>Operation</t>
        </is>
      </c>
      <c r="E4700" t="inlineStr">
        <is>
          <t>PK Revenue</t>
        </is>
      </c>
      <c r="F4700" t="n">
        <v>703</v>
      </c>
      <c r="G4700" t="inlineStr">
        <is>
          <t>IDR bn</t>
        </is>
      </c>
      <c r="H4700" t="n">
        <v>45</v>
      </c>
      <c r="I4700" t="inlineStr">
        <is>
          <t>mengangkat nilai penjualan PK Perseroan menjadi Rp703 miliar</t>
        </is>
      </c>
      <c r="J4700" t="inlineStr">
        <is>
          <t>High</t>
        </is>
      </c>
      <c r="M4700" t="inlineStr">
        <is>
          <t>LLM</t>
        </is>
      </c>
      <c r="N4700" t="inlineStr">
        <is>
          <t>2026-04-19</t>
        </is>
      </c>
      <c r="O4700" t="inlineStr">
        <is>
          <t>AI</t>
        </is>
      </c>
    </row>
    <row r="4701">
      <c r="A4701" t="inlineStr">
        <is>
          <t>PT Sampoerna Agro Tbk</t>
        </is>
      </c>
      <c r="B4701" t="inlineStr">
        <is>
          <t>SGRO_2024_AR.pdf</t>
        </is>
      </c>
      <c r="C4701" t="n">
        <v>2024</v>
      </c>
      <c r="D4701" t="inlineStr">
        <is>
          <t>Operation</t>
        </is>
      </c>
      <c r="E4701" t="inlineStr">
        <is>
          <t>Seed Revenue</t>
        </is>
      </c>
      <c r="F4701" t="n">
        <v>171</v>
      </c>
      <c r="G4701" t="inlineStr">
        <is>
          <t>IDR bn</t>
        </is>
      </c>
      <c r="H4701" t="n">
        <v>45</v>
      </c>
      <c r="I4701" t="inlineStr">
        <is>
          <t>20,0 juta benih unggul DxP Sriwijaya, yang menghasilkan pendapatan Rp171 miliar</t>
        </is>
      </c>
      <c r="J4701" t="inlineStr">
        <is>
          <t>High</t>
        </is>
      </c>
      <c r="M4701" t="inlineStr">
        <is>
          <t>LLM</t>
        </is>
      </c>
      <c r="N4701" t="inlineStr">
        <is>
          <t>2026-04-19</t>
        </is>
      </c>
      <c r="O4701" t="inlineStr">
        <is>
          <t>AI</t>
        </is>
      </c>
    </row>
    <row r="4702">
      <c r="A4702" t="inlineStr">
        <is>
          <t>PT Sampoerna Agro Tbk</t>
        </is>
      </c>
      <c r="B4702" t="inlineStr">
        <is>
          <t>SGRO_2024_AR.pdf</t>
        </is>
      </c>
      <c r="C4702" t="n">
        <v>2024</v>
      </c>
      <c r="D4702" t="inlineStr">
        <is>
          <t>Operation</t>
        </is>
      </c>
      <c r="E4702" t="inlineStr">
        <is>
          <t>Sago Revenue</t>
        </is>
      </c>
      <c r="F4702" t="n">
        <v>49</v>
      </c>
      <c r="G4702" t="inlineStr">
        <is>
          <t>IDR bn</t>
        </is>
      </c>
      <c r="H4702" t="n">
        <v>45</v>
      </c>
      <c r="I4702" t="inlineStr">
        <is>
          <t>Dari bisnis sagu, kami menjual 5.503 ton dan membukukan pendapatan Rp49 miliar</t>
        </is>
      </c>
      <c r="J4702" t="inlineStr">
        <is>
          <t>High</t>
        </is>
      </c>
      <c r="M4702" t="inlineStr">
        <is>
          <t>LLM</t>
        </is>
      </c>
      <c r="N4702" t="inlineStr">
        <is>
          <t>2026-04-19</t>
        </is>
      </c>
      <c r="O4702" t="inlineStr">
        <is>
          <t>AI</t>
        </is>
      </c>
    </row>
    <row r="4703">
      <c r="A4703" t="inlineStr">
        <is>
          <t>PT Sampoerna Agro Tbk</t>
        </is>
      </c>
      <c r="B4703" t="inlineStr">
        <is>
          <t>SGRO_2024_AR.pdf</t>
        </is>
      </c>
      <c r="C4703" t="n">
        <v>2024</v>
      </c>
      <c r="D4703" t="inlineStr">
        <is>
          <t>Operation</t>
        </is>
      </c>
      <c r="E4703" t="inlineStr">
        <is>
          <t>Rubber Revenue</t>
        </is>
      </c>
      <c r="F4703" t="n">
        <v>108</v>
      </c>
      <c r="G4703" t="inlineStr">
        <is>
          <t>IDR bn</t>
        </is>
      </c>
      <c r="H4703" t="n">
        <v>45</v>
      </c>
      <c r="I4703" t="inlineStr">
        <is>
          <t>sementara pendapatan dari karet mencapai Rp108 miliar</t>
        </is>
      </c>
      <c r="J4703" t="inlineStr">
        <is>
          <t>High</t>
        </is>
      </c>
      <c r="M4703" t="inlineStr">
        <is>
          <t>LLM</t>
        </is>
      </c>
      <c r="N4703" t="inlineStr">
        <is>
          <t>2026-04-19</t>
        </is>
      </c>
      <c r="O4703" t="inlineStr">
        <is>
          <t>AI</t>
        </is>
      </c>
    </row>
    <row r="4704">
      <c r="A4704" t="inlineStr">
        <is>
          <t>PT Sampoerna Agro Tbk</t>
        </is>
      </c>
      <c r="B4704" t="inlineStr">
        <is>
          <t>SGRO_2024_AR.pdf</t>
        </is>
      </c>
      <c r="C4704" t="n">
        <v>2024</v>
      </c>
      <c r="D4704" t="inlineStr">
        <is>
          <t>Operation</t>
        </is>
      </c>
      <c r="E4704" t="inlineStr">
        <is>
          <t>DxP Sriwijaya Domestic Market Share</t>
        </is>
      </c>
      <c r="F4704" t="n">
        <v>0.15</v>
      </c>
      <c r="G4704" t="inlineStr">
        <is>
          <t>%</t>
        </is>
      </c>
      <c r="H4704" t="n">
        <v>64</v>
      </c>
      <c r="I4704" t="inlineStr">
        <is>
          <t>pangsa pasar DxP Sriwijaya adalah yang kedua terbesar di Indonesia, mencakup 15%</t>
        </is>
      </c>
      <c r="J4704" t="inlineStr">
        <is>
          <t>High</t>
        </is>
      </c>
      <c r="M4704" t="inlineStr">
        <is>
          <t>LLM</t>
        </is>
      </c>
      <c r="N4704" t="inlineStr">
        <is>
          <t>2026-04-19</t>
        </is>
      </c>
      <c r="O4704" t="inlineStr">
        <is>
          <t>AI</t>
        </is>
      </c>
    </row>
    <row r="4705">
      <c r="A4705" t="inlineStr">
        <is>
          <t>PT Sampoerna Agro Tbk</t>
        </is>
      </c>
      <c r="B4705" t="inlineStr">
        <is>
          <t>SGRO_2024_AR.pdf</t>
        </is>
      </c>
      <c r="C4705" t="n">
        <v>2024</v>
      </c>
      <c r="D4705" t="inlineStr">
        <is>
          <t>Operation</t>
        </is>
      </c>
      <c r="E4705" t="inlineStr">
        <is>
          <t>Mechanization Coverage</t>
        </is>
      </c>
      <c r="F4705" t="n">
        <v>0.8</v>
      </c>
      <c r="G4705" t="inlineStr">
        <is>
          <t>%</t>
        </is>
      </c>
      <c r="H4705" t="n">
        <v>63</v>
      </c>
      <c r="I4705" t="inlineStr">
        <is>
          <t>Mekanisasi telah diperluas hingga mencakup 80% dari area yang dapat dimekanisasi</t>
        </is>
      </c>
      <c r="J4705" t="inlineStr">
        <is>
          <t>High</t>
        </is>
      </c>
      <c r="M4705" t="inlineStr">
        <is>
          <t>LLM</t>
        </is>
      </c>
      <c r="N4705" t="inlineStr">
        <is>
          <t>2026-04-19</t>
        </is>
      </c>
      <c r="O4705" t="inlineStr">
        <is>
          <t>AI</t>
        </is>
      </c>
    </row>
    <row r="4706">
      <c r="A4706" t="inlineStr">
        <is>
          <t>PT Sampoerna Agro Tbk</t>
        </is>
      </c>
      <c r="B4706" t="inlineStr">
        <is>
          <t>SGRO_2024_AR.pdf</t>
        </is>
      </c>
      <c r="C4706" t="n">
        <v>2024</v>
      </c>
      <c r="D4706" t="inlineStr">
        <is>
          <t>Operation</t>
        </is>
      </c>
      <c r="E4706" t="inlineStr">
        <is>
          <t>FFB Supplier Payment</t>
        </is>
      </c>
      <c r="F4706" t="n">
        <v>1700</v>
      </c>
      <c r="G4706" t="inlineStr">
        <is>
          <t>IDR bn</t>
        </is>
      </c>
      <c r="H4706" t="n">
        <v>68</v>
      </c>
      <c r="I4706" t="inlineStr">
        <is>
          <t>Nilai finansial yang diteruskan Perseroan kepada para pemasok untuk membeli TBS mencapai sekitar Rp1,7 triliun di tahun 2024</t>
        </is>
      </c>
      <c r="J4706" t="inlineStr">
        <is>
          <t>High</t>
        </is>
      </c>
      <c r="M4706" t="inlineStr">
        <is>
          <t>LLM</t>
        </is>
      </c>
      <c r="N4706" t="inlineStr">
        <is>
          <t>2026-04-19</t>
        </is>
      </c>
      <c r="O4706" t="inlineStr">
        <is>
          <t>AI</t>
        </is>
      </c>
    </row>
    <row r="4707">
      <c r="A4707" t="inlineStr">
        <is>
          <t>PT Sampoerna Agro Tbk</t>
        </is>
      </c>
      <c r="B4707" t="inlineStr">
        <is>
          <t>SGRO_2024_AR.pdf</t>
        </is>
      </c>
      <c r="C4707" t="n">
        <v>2024</v>
      </c>
      <c r="D4707" t="inlineStr">
        <is>
          <t>ESG</t>
        </is>
      </c>
      <c r="E4707" t="inlineStr">
        <is>
          <t>ISO Certifications</t>
        </is>
      </c>
      <c r="F4707" t="inlineStr">
        <is>
          <t>ISO 9001, 14001, 17025, 45001, 31000</t>
        </is>
      </c>
      <c r="G4707" t="inlineStr">
        <is>
          <t>text</t>
        </is>
      </c>
      <c r="H4707" t="n">
        <v>120</v>
      </c>
      <c r="I4707" t="inlineStr">
        <is>
          <t>Perusahaan menerapkan standar ISO 9001, 14001, 17025, dan 45001</t>
        </is>
      </c>
      <c r="J4707" t="inlineStr">
        <is>
          <t>High</t>
        </is>
      </c>
      <c r="M4707" t="inlineStr">
        <is>
          <t>LLM</t>
        </is>
      </c>
      <c r="N4707" t="inlineStr">
        <is>
          <t>2026-04-19</t>
        </is>
      </c>
      <c r="O4707" t="inlineStr">
        <is>
          <t>AI</t>
        </is>
      </c>
    </row>
    <row r="4708">
      <c r="A4708" t="inlineStr">
        <is>
          <t>PT Sampoerna Agro Tbk</t>
        </is>
      </c>
      <c r="B4708" t="inlineStr">
        <is>
          <t>SGRO_2024_AR.pdf</t>
        </is>
      </c>
      <c r="C4708" t="n">
        <v>2024</v>
      </c>
      <c r="D4708" t="inlineStr">
        <is>
          <t>ESG</t>
        </is>
      </c>
      <c r="E4708" t="inlineStr">
        <is>
          <t>Biodiesel Power Plants (PLTBg)</t>
        </is>
      </c>
      <c r="F4708" t="n">
        <v>2</v>
      </c>
      <c r="G4708" t="inlineStr">
        <is>
          <t>count</t>
        </is>
      </c>
      <c r="H4708" t="n">
        <v>62</v>
      </c>
      <c r="I4708" t="inlineStr">
        <is>
          <t>pembangkit listrik tenaga biogas di 2 PKS (25% of 8 mills)</t>
        </is>
      </c>
      <c r="J4708" t="inlineStr">
        <is>
          <t>High</t>
        </is>
      </c>
      <c r="M4708" t="inlineStr">
        <is>
          <t>LLM</t>
        </is>
      </c>
      <c r="N4708" t="inlineStr">
        <is>
          <t>2026-04-19</t>
        </is>
      </c>
      <c r="O4708" t="inlineStr">
        <is>
          <t>AI</t>
        </is>
      </c>
    </row>
    <row r="4709">
      <c r="A4709" t="inlineStr">
        <is>
          <t>PT Salim Ivomas Pratama Tbk</t>
        </is>
      </c>
      <c r="B4709" t="inlineStr">
        <is>
          <t>SIMP_2022_AR.pdf</t>
        </is>
      </c>
      <c r="C4709" t="n">
        <v>2022</v>
      </c>
      <c r="D4709" t="inlineStr">
        <is>
          <t>Company</t>
        </is>
      </c>
      <c r="E4709" t="inlineStr">
        <is>
          <t>Company Name</t>
        </is>
      </c>
      <c r="F4709" t="inlineStr">
        <is>
          <t>PT Salim Ivomas Pratama Tbk</t>
        </is>
      </c>
      <c r="G4709" t="inlineStr">
        <is>
          <t>text</t>
        </is>
      </c>
      <c r="H4709" t="n">
        <v>1</v>
      </c>
      <c r="I4709" t="inlineStr">
        <is>
          <t>PT SALIM IVOMAS PRATAMA TBK - Annual Report 2022</t>
        </is>
      </c>
      <c r="J4709" t="inlineStr">
        <is>
          <t>High</t>
        </is>
      </c>
      <c r="M4709" t="inlineStr">
        <is>
          <t>LLM</t>
        </is>
      </c>
      <c r="N4709" t="inlineStr">
        <is>
          <t>2026-04-19</t>
        </is>
      </c>
      <c r="O4709" t="inlineStr">
        <is>
          <t>AI</t>
        </is>
      </c>
    </row>
    <row r="4710">
      <c r="A4710" t="inlineStr">
        <is>
          <t>PT Salim Ivomas Pratama Tbk</t>
        </is>
      </c>
      <c r="B4710" t="inlineStr">
        <is>
          <t>SIMP_2022_AR.pdf</t>
        </is>
      </c>
      <c r="C4710" t="n">
        <v>2022</v>
      </c>
      <c r="D4710" t="inlineStr">
        <is>
          <t>Company</t>
        </is>
      </c>
      <c r="E4710" t="inlineStr">
        <is>
          <t>Ticker</t>
        </is>
      </c>
      <c r="F4710" t="inlineStr">
        <is>
          <t>SIMP</t>
        </is>
      </c>
      <c r="G4710" t="inlineStr">
        <is>
          <t>text</t>
        </is>
      </c>
      <c r="H4710" t="n">
        <v>17</v>
      </c>
      <c r="I4710" t="inlineStr">
        <is>
          <t>Listed on Indonesia Stock Exchange (IDX: SIMP)</t>
        </is>
      </c>
      <c r="J4710" t="inlineStr">
        <is>
          <t>High</t>
        </is>
      </c>
      <c r="M4710" t="inlineStr">
        <is>
          <t>LLM</t>
        </is>
      </c>
      <c r="N4710" t="inlineStr">
        <is>
          <t>2026-04-19</t>
        </is>
      </c>
      <c r="O4710" t="inlineStr">
        <is>
          <t>AI</t>
        </is>
      </c>
    </row>
    <row r="4711">
      <c r="A4711" t="inlineStr">
        <is>
          <t>PT Salim Ivomas Pratama Tbk</t>
        </is>
      </c>
      <c r="B4711" t="inlineStr">
        <is>
          <t>SIMP_2022_AR.pdf</t>
        </is>
      </c>
      <c r="C4711" t="n">
        <v>2022</v>
      </c>
      <c r="D4711" t="inlineStr">
        <is>
          <t>Company</t>
        </is>
      </c>
      <c r="E4711" t="inlineStr">
        <is>
          <t>Parent - Indofood Agri Resources Ltd</t>
        </is>
      </c>
      <c r="F4711" t="n">
        <v>0.7346</v>
      </c>
      <c r="G4711" t="inlineStr">
        <is>
          <t>%</t>
        </is>
      </c>
      <c r="H4711" t="n">
        <v>12</v>
      </c>
      <c r="I4711" t="inlineStr">
        <is>
          <t>Indofood Agri Resources Ltd. 11.387.745.000 73,46%</t>
        </is>
      </c>
      <c r="J4711" t="inlineStr">
        <is>
          <t>High</t>
        </is>
      </c>
      <c r="M4711" t="inlineStr">
        <is>
          <t>LLM</t>
        </is>
      </c>
      <c r="N4711" t="inlineStr">
        <is>
          <t>2026-04-19</t>
        </is>
      </c>
      <c r="O4711" t="inlineStr">
        <is>
          <t>AI</t>
        </is>
      </c>
    </row>
    <row r="4712">
      <c r="A4712" t="inlineStr">
        <is>
          <t>PT Salim Ivomas Pratama Tbk</t>
        </is>
      </c>
      <c r="B4712" t="inlineStr">
        <is>
          <t>SIMP_2022_AR.pdf</t>
        </is>
      </c>
      <c r="C4712" t="n">
        <v>2022</v>
      </c>
      <c r="D4712" t="inlineStr">
        <is>
          <t>Company</t>
        </is>
      </c>
      <c r="E4712" t="inlineStr">
        <is>
          <t>Parent - PT Indofood Sukses Makmur Tbk</t>
        </is>
      </c>
      <c r="F4712" t="n">
        <v>0.0668</v>
      </c>
      <c r="G4712" t="inlineStr">
        <is>
          <t>%</t>
        </is>
      </c>
      <c r="H4712" t="n">
        <v>12</v>
      </c>
      <c r="I4712" t="inlineStr">
        <is>
          <t>PT Indofood Sukses Makmur Tbk 1.035.306.400 6,68%</t>
        </is>
      </c>
      <c r="J4712" t="inlineStr">
        <is>
          <t>High</t>
        </is>
      </c>
      <c r="M4712" t="inlineStr">
        <is>
          <t>LLM</t>
        </is>
      </c>
      <c r="N4712" t="inlineStr">
        <is>
          <t>2026-04-19</t>
        </is>
      </c>
      <c r="O4712" t="inlineStr">
        <is>
          <t>AI</t>
        </is>
      </c>
    </row>
    <row r="4713">
      <c r="A4713" t="inlineStr">
        <is>
          <t>PT Salim Ivomas Pratama Tbk</t>
        </is>
      </c>
      <c r="B4713" t="inlineStr">
        <is>
          <t>SIMP_2022_AR.pdf</t>
        </is>
      </c>
      <c r="C4713" t="n">
        <v>2022</v>
      </c>
      <c r="D4713" t="inlineStr">
        <is>
          <t>Company</t>
        </is>
      </c>
      <c r="E4713" t="inlineStr">
        <is>
          <t>Public Float</t>
        </is>
      </c>
      <c r="F4713" t="n">
        <v>0.1986</v>
      </c>
      <c r="G4713" t="inlineStr">
        <is>
          <t>%</t>
        </is>
      </c>
      <c r="H4713" t="n">
        <v>12</v>
      </c>
      <c r="I4713" t="inlineStr">
        <is>
          <t>Others (with ownership interest below 5% each, including public) 3.077.338.600 19,86%</t>
        </is>
      </c>
      <c r="J4713" t="inlineStr">
        <is>
          <t>High</t>
        </is>
      </c>
      <c r="M4713" t="inlineStr">
        <is>
          <t>LLM</t>
        </is>
      </c>
      <c r="N4713" t="inlineStr">
        <is>
          <t>2026-04-19</t>
        </is>
      </c>
      <c r="O4713" t="inlineStr">
        <is>
          <t>AI</t>
        </is>
      </c>
    </row>
    <row r="4714">
      <c r="A4714" t="inlineStr">
        <is>
          <t>PT Salim Ivomas Pratama Tbk</t>
        </is>
      </c>
      <c r="B4714" t="inlineStr">
        <is>
          <t>SIMP_2022_AR.pdf</t>
        </is>
      </c>
      <c r="C4714" t="n">
        <v>2022</v>
      </c>
      <c r="D4714" t="inlineStr">
        <is>
          <t>Company</t>
        </is>
      </c>
      <c r="E4714" t="inlineStr">
        <is>
          <t>Ultimate Parent</t>
        </is>
      </c>
      <c r="F4714" t="inlineStr">
        <is>
          <t>First Pacific Company Limited (Hong Kong)</t>
        </is>
      </c>
      <c r="G4714" t="inlineStr">
        <is>
          <t>text</t>
        </is>
      </c>
      <c r="H4714" t="n">
        <v>12</v>
      </c>
      <c r="I4714" t="inlineStr">
        <is>
          <t>First Pacific Company Limited is a public listed company on the Hong Kong Stock Exchange. Mr. Anthoni Salim holds interest in and controls indirectly First Pacific Company Limited.</t>
        </is>
      </c>
      <c r="J4714" t="inlineStr">
        <is>
          <t>High</t>
        </is>
      </c>
      <c r="M4714" t="inlineStr">
        <is>
          <t>LLM</t>
        </is>
      </c>
      <c r="N4714" t="inlineStr">
        <is>
          <t>2026-04-19</t>
        </is>
      </c>
      <c r="O4714" t="inlineStr">
        <is>
          <t>AI</t>
        </is>
      </c>
    </row>
    <row r="4715">
      <c r="A4715" t="inlineStr">
        <is>
          <t>PT Salim Ivomas Pratama Tbk</t>
        </is>
      </c>
      <c r="B4715" t="inlineStr">
        <is>
          <t>SIMP_2022_AR.pdf</t>
        </is>
      </c>
      <c r="C4715" t="n">
        <v>2022</v>
      </c>
      <c r="D4715" t="inlineStr">
        <is>
          <t>Company</t>
        </is>
      </c>
      <c r="E4715" t="inlineStr">
        <is>
          <t>Effective IFAR Ownership via Indofood Singapore Holdings</t>
        </is>
      </c>
      <c r="F4715" t="n">
        <v>0.7226</v>
      </c>
      <c r="G4715" t="inlineStr">
        <is>
          <t>%</t>
        </is>
      </c>
      <c r="H4715" t="n">
        <v>12</v>
      </c>
      <c r="I4715" t="inlineStr">
        <is>
          <t>72,26% Effective ownership through Indofood Singapore Holdings Pte Ltd., including 12,30% Indofood's direct ownership to IndoAgri</t>
        </is>
      </c>
      <c r="J4715" t="inlineStr">
        <is>
          <t>High</t>
        </is>
      </c>
      <c r="M4715" t="inlineStr">
        <is>
          <t>LLM</t>
        </is>
      </c>
      <c r="N4715" t="inlineStr">
        <is>
          <t>2026-04-19</t>
        </is>
      </c>
      <c r="O4715" t="inlineStr">
        <is>
          <t>AI</t>
        </is>
      </c>
    </row>
    <row r="4716">
      <c r="A4716" t="inlineStr">
        <is>
          <t>PT Salim Ivomas Pratama Tbk</t>
        </is>
      </c>
      <c r="B4716" t="inlineStr">
        <is>
          <t>SIMP_2022_AR.pdf</t>
        </is>
      </c>
      <c r="C4716" t="n">
        <v>2022</v>
      </c>
      <c r="D4716" t="inlineStr">
        <is>
          <t>Financial</t>
        </is>
      </c>
      <c r="E4716" t="inlineStr">
        <is>
          <t>Sales (Revenue)</t>
        </is>
      </c>
      <c r="F4716" t="n">
        <v>17794</v>
      </c>
      <c r="G4716" t="inlineStr">
        <is>
          <t>IDR bn</t>
        </is>
      </c>
      <c r="H4716" t="n">
        <v>6</v>
      </c>
      <c r="I4716" t="inlineStr">
        <is>
          <t>Sales 17.794.246 19.658.529 14.474.700</t>
        </is>
      </c>
      <c r="J4716" t="inlineStr">
        <is>
          <t>High</t>
        </is>
      </c>
      <c r="M4716" t="inlineStr">
        <is>
          <t>LLM</t>
        </is>
      </c>
      <c r="N4716" t="inlineStr">
        <is>
          <t>2026-04-19</t>
        </is>
      </c>
      <c r="O4716" t="inlineStr">
        <is>
          <t>AI</t>
        </is>
      </c>
    </row>
    <row r="4717">
      <c r="A4717" t="inlineStr">
        <is>
          <t>PT Salim Ivomas Pratama Tbk</t>
        </is>
      </c>
      <c r="B4717" t="inlineStr">
        <is>
          <t>SIMP_2022_AR.pdf</t>
        </is>
      </c>
      <c r="C4717" t="n">
        <v>2022</v>
      </c>
      <c r="D4717" t="inlineStr">
        <is>
          <t>Financial</t>
        </is>
      </c>
      <c r="E4717" t="inlineStr">
        <is>
          <t>Gross Profit</t>
        </is>
      </c>
      <c r="F4717" t="n">
        <v>4649</v>
      </c>
      <c r="G4717" t="inlineStr">
        <is>
          <t>IDR bn</t>
        </is>
      </c>
      <c r="H4717" t="n">
        <v>6</v>
      </c>
      <c r="I4717" t="inlineStr">
        <is>
          <t>Gross Profit 4.649.207 5.150.931 3.004.547</t>
        </is>
      </c>
      <c r="J4717" t="inlineStr">
        <is>
          <t>High</t>
        </is>
      </c>
      <c r="M4717" t="inlineStr">
        <is>
          <t>LLM</t>
        </is>
      </c>
      <c r="N4717" t="inlineStr">
        <is>
          <t>2026-04-19</t>
        </is>
      </c>
      <c r="O4717" t="inlineStr">
        <is>
          <t>AI</t>
        </is>
      </c>
    </row>
    <row r="4718">
      <c r="A4718" t="inlineStr">
        <is>
          <t>PT Salim Ivomas Pratama Tbk</t>
        </is>
      </c>
      <c r="B4718" t="inlineStr">
        <is>
          <t>SIMP_2022_AR.pdf</t>
        </is>
      </c>
      <c r="C4718" t="n">
        <v>2022</v>
      </c>
      <c r="D4718" t="inlineStr">
        <is>
          <t>Financial</t>
        </is>
      </c>
      <c r="E4718" t="inlineStr">
        <is>
          <t>Cost of Goods Sold</t>
        </is>
      </c>
      <c r="F4718" t="n">
        <v>13145</v>
      </c>
      <c r="G4718" t="inlineStr">
        <is>
          <t>IDR bn</t>
        </is>
      </c>
      <c r="H4718" t="n">
        <v>129</v>
      </c>
      <c r="I4718" t="inlineStr">
        <is>
          <t>Beban pokok penjualan (13.145.039) 22,32 (14.507.598)</t>
        </is>
      </c>
      <c r="J4718" t="inlineStr">
        <is>
          <t>High</t>
        </is>
      </c>
      <c r="M4718" t="inlineStr">
        <is>
          <t>LLM</t>
        </is>
      </c>
      <c r="N4718" t="inlineStr">
        <is>
          <t>2026-04-19</t>
        </is>
      </c>
      <c r="O4718" t="inlineStr">
        <is>
          <t>AI</t>
        </is>
      </c>
    </row>
    <row r="4719">
      <c r="A4719" t="inlineStr">
        <is>
          <t>PT Salim Ivomas Pratama Tbk</t>
        </is>
      </c>
      <c r="B4719" t="inlineStr">
        <is>
          <t>SIMP_2022_AR.pdf</t>
        </is>
      </c>
      <c r="C4719" t="n">
        <v>2022</v>
      </c>
      <c r="D4719" t="inlineStr">
        <is>
          <t>Financial</t>
        </is>
      </c>
      <c r="E4719" t="inlineStr">
        <is>
          <t>Operating Profit</t>
        </is>
      </c>
      <c r="F4719" t="n">
        <v>2920</v>
      </c>
      <c r="G4719" t="inlineStr">
        <is>
          <t>IDR bn</t>
        </is>
      </c>
      <c r="H4719" t="n">
        <v>6</v>
      </c>
      <c r="I4719" t="inlineStr">
        <is>
          <t>Operating Profit 2.920.384 2.920.834 1.859.406</t>
        </is>
      </c>
      <c r="J4719" t="inlineStr">
        <is>
          <t>High</t>
        </is>
      </c>
      <c r="M4719" t="inlineStr">
        <is>
          <t>LLM</t>
        </is>
      </c>
      <c r="N4719" t="inlineStr">
        <is>
          <t>2026-04-19</t>
        </is>
      </c>
      <c r="O4719" t="inlineStr">
        <is>
          <t>AI</t>
        </is>
      </c>
    </row>
    <row r="4720">
      <c r="A4720" t="inlineStr">
        <is>
          <t>PT Salim Ivomas Pratama Tbk</t>
        </is>
      </c>
      <c r="B4720" t="inlineStr">
        <is>
          <t>SIMP_2022_AR.pdf</t>
        </is>
      </c>
      <c r="C4720" t="n">
        <v>2022</v>
      </c>
      <c r="D4720" t="inlineStr">
        <is>
          <t>Financial</t>
        </is>
      </c>
      <c r="E4720" t="inlineStr">
        <is>
          <t>EBITDA (Reported)</t>
        </is>
      </c>
      <c r="F4720" t="n">
        <v>4684</v>
      </c>
      <c r="G4720" t="inlineStr">
        <is>
          <t>IDR bn</t>
        </is>
      </c>
      <c r="H4720" t="n">
        <v>6</v>
      </c>
      <c r="I4720" t="inlineStr">
        <is>
          <t>EBITDA1 4.683.961 4.477.572 3.240.753</t>
        </is>
      </c>
      <c r="J4720" t="inlineStr">
        <is>
          <t>High</t>
        </is>
      </c>
      <c r="M4720" t="inlineStr">
        <is>
          <t>LLM</t>
        </is>
      </c>
      <c r="N4720" t="inlineStr">
        <is>
          <t>2026-04-19</t>
        </is>
      </c>
      <c r="O4720" t="inlineStr">
        <is>
          <t>AI</t>
        </is>
      </c>
    </row>
    <row r="4721">
      <c r="A4721" t="inlineStr">
        <is>
          <t>PT Salim Ivomas Pratama Tbk</t>
        </is>
      </c>
      <c r="B4721" t="inlineStr">
        <is>
          <t>SIMP_2022_AR.pdf</t>
        </is>
      </c>
      <c r="C4721" t="n">
        <v>2022</v>
      </c>
      <c r="D4721" t="inlineStr">
        <is>
          <t>Financial</t>
        </is>
      </c>
      <c r="E4721" t="inlineStr">
        <is>
          <t>Finance Income</t>
        </is>
      </c>
      <c r="F4721" t="n">
        <v>94</v>
      </c>
      <c r="G4721" t="inlineStr">
        <is>
          <t>IDR bn</t>
        </is>
      </c>
      <c r="H4721" t="n">
        <v>129</v>
      </c>
      <c r="I4721" t="inlineStr">
        <is>
          <t>Penghasilan keuangan 93.578 27 69.469</t>
        </is>
      </c>
      <c r="J4721" t="inlineStr">
        <is>
          <t>High</t>
        </is>
      </c>
      <c r="M4721" t="inlineStr">
        <is>
          <t>LLM</t>
        </is>
      </c>
      <c r="N4721" t="inlineStr">
        <is>
          <t>2026-04-19</t>
        </is>
      </c>
      <c r="O4721" t="inlineStr">
        <is>
          <t>AI</t>
        </is>
      </c>
    </row>
    <row r="4722">
      <c r="A4722" t="inlineStr">
        <is>
          <t>PT Salim Ivomas Pratama Tbk</t>
        </is>
      </c>
      <c r="B4722" t="inlineStr">
        <is>
          <t>SIMP_2022_AR.pdf</t>
        </is>
      </c>
      <c r="C4722" t="n">
        <v>2022</v>
      </c>
      <c r="D4722" t="inlineStr">
        <is>
          <t>Financial</t>
        </is>
      </c>
      <c r="E4722" t="inlineStr">
        <is>
          <t>Finance Costs</t>
        </is>
      </c>
      <c r="F4722" t="n">
        <v>620</v>
      </c>
      <c r="G4722" t="inlineStr">
        <is>
          <t>IDR bn</t>
        </is>
      </c>
      <c r="H4722" t="n">
        <v>129</v>
      </c>
      <c r="I4722" t="inlineStr">
        <is>
          <t>Beban keuangan (619.912) 12,28 (689.708)</t>
        </is>
      </c>
      <c r="J4722" t="inlineStr">
        <is>
          <t>High</t>
        </is>
      </c>
      <c r="M4722" t="inlineStr">
        <is>
          <t>LLM</t>
        </is>
      </c>
      <c r="N4722" t="inlineStr">
        <is>
          <t>2026-04-19</t>
        </is>
      </c>
      <c r="O4722" t="inlineStr">
        <is>
          <t>AI</t>
        </is>
      </c>
    </row>
    <row r="4723">
      <c r="A4723" t="inlineStr">
        <is>
          <t>PT Salim Ivomas Pratama Tbk</t>
        </is>
      </c>
      <c r="B4723" t="inlineStr">
        <is>
          <t>SIMP_2022_AR.pdf</t>
        </is>
      </c>
      <c r="C4723" t="n">
        <v>2022</v>
      </c>
      <c r="D4723" t="inlineStr">
        <is>
          <t>Financial</t>
        </is>
      </c>
      <c r="E4723" t="inlineStr">
        <is>
          <t>Profit Before Income Tax</t>
        </is>
      </c>
      <c r="F4723" t="n">
        <v>2397</v>
      </c>
      <c r="G4723" t="inlineStr">
        <is>
          <t>IDR bn</t>
        </is>
      </c>
      <c r="H4723" t="n">
        <v>129</v>
      </c>
      <c r="I4723" t="inlineStr">
        <is>
          <t>Laba sebelum pajak penghasilan 2.396.986 2.285.365</t>
        </is>
      </c>
      <c r="J4723" t="inlineStr">
        <is>
          <t>High</t>
        </is>
      </c>
      <c r="M4723" t="inlineStr">
        <is>
          <t>LLM</t>
        </is>
      </c>
      <c r="N4723" t="inlineStr">
        <is>
          <t>2026-04-19</t>
        </is>
      </c>
      <c r="O4723" t="inlineStr">
        <is>
          <t>AI</t>
        </is>
      </c>
    </row>
    <row r="4724">
      <c r="A4724" t="inlineStr">
        <is>
          <t>PT Salim Ivomas Pratama Tbk</t>
        </is>
      </c>
      <c r="B4724" t="inlineStr">
        <is>
          <t>SIMP_2022_AR.pdf</t>
        </is>
      </c>
      <c r="C4724" t="n">
        <v>2022</v>
      </c>
      <c r="D4724" t="inlineStr">
        <is>
          <t>Financial</t>
        </is>
      </c>
      <c r="E4724" t="inlineStr">
        <is>
          <t>Income Tax Expense</t>
        </is>
      </c>
      <c r="F4724" t="n">
        <v>887</v>
      </c>
      <c r="G4724" t="inlineStr">
        <is>
          <t>IDR bn</t>
        </is>
      </c>
      <c r="H4724" t="n">
        <v>129</v>
      </c>
      <c r="I4724" t="inlineStr">
        <is>
          <t>Beban pajak penghasilan (887.381) 10,30 (944.970)</t>
        </is>
      </c>
      <c r="J4724" t="inlineStr">
        <is>
          <t>High</t>
        </is>
      </c>
      <c r="M4724" t="inlineStr">
        <is>
          <t>LLM</t>
        </is>
      </c>
      <c r="N4724" t="inlineStr">
        <is>
          <t>2026-04-19</t>
        </is>
      </c>
      <c r="O4724" t="inlineStr">
        <is>
          <t>AI</t>
        </is>
      </c>
    </row>
    <row r="4725">
      <c r="A4725" t="inlineStr">
        <is>
          <t>PT Salim Ivomas Pratama Tbk</t>
        </is>
      </c>
      <c r="B4725" t="inlineStr">
        <is>
          <t>SIMP_2022_AR.pdf</t>
        </is>
      </c>
      <c r="C4725" t="n">
        <v>2022</v>
      </c>
      <c r="D4725" t="inlineStr">
        <is>
          <t>Financial</t>
        </is>
      </c>
      <c r="E4725" t="inlineStr">
        <is>
          <t>Profit for the Year</t>
        </is>
      </c>
      <c r="F4725" t="n">
        <v>1510</v>
      </c>
      <c r="G4725" t="inlineStr">
        <is>
          <t>IDR bn</t>
        </is>
      </c>
      <c r="H4725" t="n">
        <v>6</v>
      </c>
      <c r="I4725" t="inlineStr">
        <is>
          <t>Profit/(Loss) for the Year 1.509.605 1.340.395 408.478</t>
        </is>
      </c>
      <c r="J4725" t="inlineStr">
        <is>
          <t>High</t>
        </is>
      </c>
      <c r="M4725" t="inlineStr">
        <is>
          <t>LLM</t>
        </is>
      </c>
      <c r="N4725" t="inlineStr">
        <is>
          <t>2026-04-19</t>
        </is>
      </c>
      <c r="O4725" t="inlineStr">
        <is>
          <t>AI</t>
        </is>
      </c>
    </row>
    <row r="4726">
      <c r="A4726" t="inlineStr">
        <is>
          <t>PT Salim Ivomas Pratama Tbk</t>
        </is>
      </c>
      <c r="B4726" t="inlineStr">
        <is>
          <t>SIMP_2022_AR.pdf</t>
        </is>
      </c>
      <c r="C4726" t="n">
        <v>2022</v>
      </c>
      <c r="D4726" t="inlineStr">
        <is>
          <t>Financial</t>
        </is>
      </c>
      <c r="E4726" t="inlineStr">
        <is>
          <t>Profit Attributable to Parent</t>
        </is>
      </c>
      <c r="F4726" t="n">
        <v>1198</v>
      </c>
      <c r="G4726" t="inlineStr">
        <is>
          <t>IDR bn</t>
        </is>
      </c>
      <c r="H4726" t="n">
        <v>6</v>
      </c>
      <c r="I4726" t="inlineStr">
        <is>
          <t>Owners of the Parent 1.198.367 990.401 289.628</t>
        </is>
      </c>
      <c r="J4726" t="inlineStr">
        <is>
          <t>High</t>
        </is>
      </c>
      <c r="M4726" t="inlineStr">
        <is>
          <t>LLM</t>
        </is>
      </c>
      <c r="N4726" t="inlineStr">
        <is>
          <t>2026-04-19</t>
        </is>
      </c>
      <c r="O4726" t="inlineStr">
        <is>
          <t>AI</t>
        </is>
      </c>
    </row>
    <row r="4727">
      <c r="A4727" t="inlineStr">
        <is>
          <t>PT Salim Ivomas Pratama Tbk</t>
        </is>
      </c>
      <c r="B4727" t="inlineStr">
        <is>
          <t>SIMP_2022_AR.pdf</t>
        </is>
      </c>
      <c r="C4727" t="n">
        <v>2022</v>
      </c>
      <c r="D4727" t="inlineStr">
        <is>
          <t>Financial</t>
        </is>
      </c>
      <c r="E4727" t="inlineStr">
        <is>
          <t>Profit Attributable to Non-controlling Interests</t>
        </is>
      </c>
      <c r="F4727" t="n">
        <v>311</v>
      </c>
      <c r="G4727" t="inlineStr">
        <is>
          <t>IDR bn</t>
        </is>
      </c>
      <c r="H4727" t="n">
        <v>6</v>
      </c>
      <c r="I4727" t="inlineStr">
        <is>
          <t>Non-controlling Interests 311.238 349.994 118.850</t>
        </is>
      </c>
      <c r="J4727" t="inlineStr">
        <is>
          <t>High</t>
        </is>
      </c>
      <c r="M4727" t="inlineStr">
        <is>
          <t>LLM</t>
        </is>
      </c>
      <c r="N4727" t="inlineStr">
        <is>
          <t>2026-04-19</t>
        </is>
      </c>
      <c r="O4727" t="inlineStr">
        <is>
          <t>AI</t>
        </is>
      </c>
    </row>
    <row r="4728">
      <c r="A4728" t="inlineStr">
        <is>
          <t>PT Salim Ivomas Pratama Tbk</t>
        </is>
      </c>
      <c r="B4728" t="inlineStr">
        <is>
          <t>SIMP_2022_AR.pdf</t>
        </is>
      </c>
      <c r="C4728" t="n">
        <v>2022</v>
      </c>
      <c r="D4728" t="inlineStr">
        <is>
          <t>Financial</t>
        </is>
      </c>
      <c r="E4728" t="inlineStr">
        <is>
          <t>Total Assets</t>
        </is>
      </c>
      <c r="F4728" t="n">
        <v>36113</v>
      </c>
      <c r="G4728" t="inlineStr">
        <is>
          <t>IDR bn</t>
        </is>
      </c>
      <c r="H4728" t="n">
        <v>6</v>
      </c>
      <c r="I4728" t="inlineStr">
        <is>
          <t>Total Assets 36.113.081 35.964.101 35.379.283</t>
        </is>
      </c>
      <c r="J4728" t="inlineStr">
        <is>
          <t>High</t>
        </is>
      </c>
      <c r="M4728" t="inlineStr">
        <is>
          <t>LLM</t>
        </is>
      </c>
      <c r="N4728" t="inlineStr">
        <is>
          <t>2026-04-19</t>
        </is>
      </c>
      <c r="O4728" t="inlineStr">
        <is>
          <t>AI</t>
        </is>
      </c>
    </row>
    <row r="4729">
      <c r="A4729" t="inlineStr">
        <is>
          <t>PT Salim Ivomas Pratama Tbk</t>
        </is>
      </c>
      <c r="B4729" t="inlineStr">
        <is>
          <t>SIMP_2022_AR.pdf</t>
        </is>
      </c>
      <c r="C4729" t="n">
        <v>2022</v>
      </c>
      <c r="D4729" t="inlineStr">
        <is>
          <t>Financial</t>
        </is>
      </c>
      <c r="E4729" t="inlineStr">
        <is>
          <t>Current Assets</t>
        </is>
      </c>
      <c r="F4729" t="n">
        <v>10443</v>
      </c>
      <c r="G4729" t="inlineStr">
        <is>
          <t>IDR bn</t>
        </is>
      </c>
      <c r="H4729" t="n">
        <v>6</v>
      </c>
      <c r="I4729" t="inlineStr">
        <is>
          <t>Current Assets 10.442.878 9.527.236 7.808.956</t>
        </is>
      </c>
      <c r="J4729" t="inlineStr">
        <is>
          <t>High</t>
        </is>
      </c>
      <c r="M4729" t="inlineStr">
        <is>
          <t>LLM</t>
        </is>
      </c>
      <c r="N4729" t="inlineStr">
        <is>
          <t>2026-04-19</t>
        </is>
      </c>
      <c r="O4729" t="inlineStr">
        <is>
          <t>AI</t>
        </is>
      </c>
    </row>
    <row r="4730">
      <c r="A4730" t="inlineStr">
        <is>
          <t>PT Salim Ivomas Pratama Tbk</t>
        </is>
      </c>
      <c r="B4730" t="inlineStr">
        <is>
          <t>SIMP_2022_AR.pdf</t>
        </is>
      </c>
      <c r="C4730" t="n">
        <v>2022</v>
      </c>
      <c r="D4730" t="inlineStr">
        <is>
          <t>Financial</t>
        </is>
      </c>
      <c r="E4730" t="inlineStr">
        <is>
          <t>Non-Current Assets</t>
        </is>
      </c>
      <c r="F4730" t="n">
        <v>25670</v>
      </c>
      <c r="G4730" t="inlineStr">
        <is>
          <t>IDR bn</t>
        </is>
      </c>
      <c r="H4730" t="n">
        <v>127</v>
      </c>
      <c r="I4730" t="inlineStr">
        <is>
          <t>Total Aset Tidak Lancar 25.670.203 26.436.865 27.570.327</t>
        </is>
      </c>
      <c r="J4730" t="inlineStr">
        <is>
          <t>High</t>
        </is>
      </c>
      <c r="M4730" t="inlineStr">
        <is>
          <t>LLM</t>
        </is>
      </c>
      <c r="N4730" t="inlineStr">
        <is>
          <t>2026-04-19</t>
        </is>
      </c>
      <c r="O4730" t="inlineStr">
        <is>
          <t>AI</t>
        </is>
      </c>
    </row>
    <row r="4731">
      <c r="A4731" t="inlineStr">
        <is>
          <t>PT Salim Ivomas Pratama Tbk</t>
        </is>
      </c>
      <c r="B4731" t="inlineStr">
        <is>
          <t>SIMP_2022_AR.pdf</t>
        </is>
      </c>
      <c r="C4731" t="n">
        <v>2022</v>
      </c>
      <c r="D4731" t="inlineStr">
        <is>
          <t>Financial</t>
        </is>
      </c>
      <c r="E4731" t="inlineStr">
        <is>
          <t>Total Liabilities</t>
        </is>
      </c>
      <c r="F4731" t="n">
        <v>14946</v>
      </c>
      <c r="G4731" t="inlineStr">
        <is>
          <t>IDR bn</t>
        </is>
      </c>
      <c r="H4731" t="n">
        <v>6</v>
      </c>
      <c r="I4731" t="inlineStr">
        <is>
          <t>Total Liabilities 14.945.799 16.111.943 16.821.217</t>
        </is>
      </c>
      <c r="J4731" t="inlineStr">
        <is>
          <t>High</t>
        </is>
      </c>
      <c r="M4731" t="inlineStr">
        <is>
          <t>LLM</t>
        </is>
      </c>
      <c r="N4731" t="inlineStr">
        <is>
          <t>2026-04-19</t>
        </is>
      </c>
      <c r="O4731" t="inlineStr">
        <is>
          <t>AI</t>
        </is>
      </c>
    </row>
    <row r="4732">
      <c r="A4732" t="inlineStr">
        <is>
          <t>PT Salim Ivomas Pratama Tbk</t>
        </is>
      </c>
      <c r="B4732" t="inlineStr">
        <is>
          <t>SIMP_2022_AR.pdf</t>
        </is>
      </c>
      <c r="C4732" t="n">
        <v>2022</v>
      </c>
      <c r="D4732" t="inlineStr">
        <is>
          <t>Financial</t>
        </is>
      </c>
      <c r="E4732" t="inlineStr">
        <is>
          <t>Current Liabilities</t>
        </is>
      </c>
      <c r="F4732" t="n">
        <v>9461</v>
      </c>
      <c r="G4732" t="inlineStr">
        <is>
          <t>IDR bn</t>
        </is>
      </c>
      <c r="H4732" t="n">
        <v>6</v>
      </c>
      <c r="I4732" t="inlineStr">
        <is>
          <t>Current Liabilities 9.460.845 9.159.909 8.829.934</t>
        </is>
      </c>
      <c r="J4732" t="inlineStr">
        <is>
          <t>High</t>
        </is>
      </c>
      <c r="M4732" t="inlineStr">
        <is>
          <t>LLM</t>
        </is>
      </c>
      <c r="N4732" t="inlineStr">
        <is>
          <t>2026-04-19</t>
        </is>
      </c>
      <c r="O4732" t="inlineStr">
        <is>
          <t>AI</t>
        </is>
      </c>
    </row>
    <row r="4733">
      <c r="A4733" t="inlineStr">
        <is>
          <t>PT Salim Ivomas Pratama Tbk</t>
        </is>
      </c>
      <c r="B4733" t="inlineStr">
        <is>
          <t>SIMP_2022_AR.pdf</t>
        </is>
      </c>
      <c r="C4733" t="n">
        <v>2022</v>
      </c>
      <c r="D4733" t="inlineStr">
        <is>
          <t>Financial</t>
        </is>
      </c>
      <c r="E4733" t="inlineStr">
        <is>
          <t>Non-Current Liabilities</t>
        </is>
      </c>
      <c r="F4733" t="n">
        <v>5485</v>
      </c>
      <c r="G4733" t="inlineStr">
        <is>
          <t>IDR bn</t>
        </is>
      </c>
      <c r="H4733" t="n">
        <v>128</v>
      </c>
      <c r="I4733" t="inlineStr">
        <is>
          <t>Total Liabilitas Jangka Panjang 5.484.954 6.952.034 7.991.283</t>
        </is>
      </c>
      <c r="J4733" t="inlineStr">
        <is>
          <t>High</t>
        </is>
      </c>
      <c r="M4733" t="inlineStr">
        <is>
          <t>LLM</t>
        </is>
      </c>
      <c r="N4733" t="inlineStr">
        <is>
          <t>2026-04-19</t>
        </is>
      </c>
      <c r="O4733" t="inlineStr">
        <is>
          <t>AI</t>
        </is>
      </c>
    </row>
    <row r="4734">
      <c r="A4734" t="inlineStr">
        <is>
          <t>PT Salim Ivomas Pratama Tbk</t>
        </is>
      </c>
      <c r="B4734" t="inlineStr">
        <is>
          <t>SIMP_2022_AR.pdf</t>
        </is>
      </c>
      <c r="C4734" t="n">
        <v>2022</v>
      </c>
      <c r="D4734" t="inlineStr">
        <is>
          <t>Financial</t>
        </is>
      </c>
      <c r="E4734" t="inlineStr">
        <is>
          <t>Total Equity</t>
        </is>
      </c>
      <c r="F4734" t="n">
        <v>21167</v>
      </c>
      <c r="G4734" t="inlineStr">
        <is>
          <t>IDR bn</t>
        </is>
      </c>
      <c r="H4734" t="n">
        <v>6</v>
      </c>
      <c r="I4734" t="inlineStr">
        <is>
          <t>Total Equity4 21.167.282 19.852.158 18.558.066</t>
        </is>
      </c>
      <c r="J4734" t="inlineStr">
        <is>
          <t>High</t>
        </is>
      </c>
      <c r="M4734" t="inlineStr">
        <is>
          <t>LLM</t>
        </is>
      </c>
      <c r="N4734" t="inlineStr">
        <is>
          <t>2026-04-19</t>
        </is>
      </c>
      <c r="O4734" t="inlineStr">
        <is>
          <t>AI</t>
        </is>
      </c>
    </row>
    <row r="4735">
      <c r="A4735" t="inlineStr">
        <is>
          <t>PT Salim Ivomas Pratama Tbk</t>
        </is>
      </c>
      <c r="B4735" t="inlineStr">
        <is>
          <t>SIMP_2022_AR.pdf</t>
        </is>
      </c>
      <c r="C4735" t="n">
        <v>2022</v>
      </c>
      <c r="D4735" t="inlineStr">
        <is>
          <t>Financial</t>
        </is>
      </c>
      <c r="E4735" t="inlineStr">
        <is>
          <t>Non-Controlling Interests</t>
        </is>
      </c>
      <c r="F4735" t="n">
        <v>4335</v>
      </c>
      <c r="G4735" t="inlineStr">
        <is>
          <t>IDR bn</t>
        </is>
      </c>
      <c r="H4735" t="n">
        <v>6</v>
      </c>
      <c r="I4735" t="inlineStr">
        <is>
          <t>Non-Controlling Interests 4.334.966 4.129.691 3.569.930</t>
        </is>
      </c>
      <c r="J4735" t="inlineStr">
        <is>
          <t>High</t>
        </is>
      </c>
      <c r="M4735" t="inlineStr">
        <is>
          <t>LLM</t>
        </is>
      </c>
      <c r="N4735" t="inlineStr">
        <is>
          <t>2026-04-19</t>
        </is>
      </c>
      <c r="O4735" t="inlineStr">
        <is>
          <t>AI</t>
        </is>
      </c>
    </row>
    <row r="4736">
      <c r="A4736" t="inlineStr">
        <is>
          <t>PT Salim Ivomas Pratama Tbk</t>
        </is>
      </c>
      <c r="B4736" t="inlineStr">
        <is>
          <t>SIMP_2022_AR.pdf</t>
        </is>
      </c>
      <c r="C4736" t="n">
        <v>2022</v>
      </c>
      <c r="D4736" t="inlineStr">
        <is>
          <t>Financial</t>
        </is>
      </c>
      <c r="E4736" t="inlineStr">
        <is>
          <t>Cash and Cash Equivalents (year-end)</t>
        </is>
      </c>
      <c r="F4736" t="n">
        <v>4297</v>
      </c>
      <c r="G4736" t="inlineStr">
        <is>
          <t>IDR bn</t>
        </is>
      </c>
      <c r="H4736" t="n">
        <v>133</v>
      </c>
      <c r="I4736" t="inlineStr">
        <is>
          <t>Kas dan Setara Kas AkhirTahun 4.296.674 5 3.726.293</t>
        </is>
      </c>
      <c r="J4736" t="inlineStr">
        <is>
          <t>High</t>
        </is>
      </c>
      <c r="M4736" t="inlineStr">
        <is>
          <t>LLM</t>
        </is>
      </c>
      <c r="N4736" t="inlineStr">
        <is>
          <t>2026-04-19</t>
        </is>
      </c>
      <c r="O4736" t="inlineStr">
        <is>
          <t>AI</t>
        </is>
      </c>
    </row>
    <row r="4737">
      <c r="A4737" t="inlineStr">
        <is>
          <t>PT Salim Ivomas Pratama Tbk</t>
        </is>
      </c>
      <c r="B4737" t="inlineStr">
        <is>
          <t>SIMP_2022_AR.pdf</t>
        </is>
      </c>
      <c r="C4737" t="n">
        <v>2022</v>
      </c>
      <c r="D4737" t="inlineStr">
        <is>
          <t>Financial</t>
        </is>
      </c>
      <c r="E4737" t="inlineStr">
        <is>
          <t>Short-term Bank Loans</t>
        </is>
      </c>
      <c r="F4737" t="n">
        <v>5870</v>
      </c>
      <c r="G4737" t="inlineStr">
        <is>
          <t>IDR bn</t>
        </is>
      </c>
      <c r="H4737" t="n">
        <v>128</v>
      </c>
      <c r="I4737" t="inlineStr">
        <is>
          <t>Utang bank jangka pendek 15 5.870.000 6.018.800 5.944.000</t>
        </is>
      </c>
      <c r="J4737" t="inlineStr">
        <is>
          <t>High</t>
        </is>
      </c>
      <c r="M4737" t="inlineStr">
        <is>
          <t>LLM</t>
        </is>
      </c>
      <c r="N4737" t="inlineStr">
        <is>
          <t>2026-04-19</t>
        </is>
      </c>
      <c r="O4737" t="inlineStr">
        <is>
          <t>AI</t>
        </is>
      </c>
    </row>
    <row r="4738">
      <c r="A4738" t="inlineStr">
        <is>
          <t>PT Salim Ivomas Pratama Tbk</t>
        </is>
      </c>
      <c r="B4738" t="inlineStr">
        <is>
          <t>SIMP_2022_AR.pdf</t>
        </is>
      </c>
      <c r="C4738" t="n">
        <v>2022</v>
      </c>
      <c r="D4738" t="inlineStr">
        <is>
          <t>Financial</t>
        </is>
      </c>
      <c r="E4738" t="inlineStr">
        <is>
          <t>Long-term Bank Loans (current portion)</t>
        </is>
      </c>
      <c r="F4738" t="n">
        <v>824</v>
      </c>
      <c r="G4738" t="inlineStr">
        <is>
          <t>IDR bn</t>
        </is>
      </c>
      <c r="H4738" t="n">
        <v>128</v>
      </c>
      <c r="I4738" t="inlineStr">
        <is>
          <t>Utang bankjangka panjang 15 824.240 586.220 448.706</t>
        </is>
      </c>
      <c r="J4738" t="inlineStr">
        <is>
          <t>High</t>
        </is>
      </c>
      <c r="M4738" t="inlineStr">
        <is>
          <t>LLM</t>
        </is>
      </c>
      <c r="N4738" t="inlineStr">
        <is>
          <t>2026-04-19</t>
        </is>
      </c>
      <c r="O4738" t="inlineStr">
        <is>
          <t>AI</t>
        </is>
      </c>
    </row>
    <row r="4739">
      <c r="A4739" t="inlineStr">
        <is>
          <t>PT Salim Ivomas Pratama Tbk</t>
        </is>
      </c>
      <c r="B4739" t="inlineStr">
        <is>
          <t>SIMP_2022_AR.pdf</t>
        </is>
      </c>
      <c r="C4739" t="n">
        <v>2022</v>
      </c>
      <c r="D4739" t="inlineStr">
        <is>
          <t>Financial</t>
        </is>
      </c>
      <c r="E4739" t="inlineStr">
        <is>
          <t>Long-term Bank Loans (non-current)</t>
        </is>
      </c>
      <c r="F4739" t="n">
        <v>1838</v>
      </c>
      <c r="G4739" t="inlineStr">
        <is>
          <t>IDR bn</t>
        </is>
      </c>
      <c r="H4739" t="n">
        <v>128</v>
      </c>
      <c r="I4739" t="inlineStr">
        <is>
          <t>Utang bank jangka panjang 15 1.837.525 3.087.699 4.140.791</t>
        </is>
      </c>
      <c r="J4739" t="inlineStr">
        <is>
          <t>High</t>
        </is>
      </c>
      <c r="M4739" t="inlineStr">
        <is>
          <t>LLM</t>
        </is>
      </c>
      <c r="N4739" t="inlineStr">
        <is>
          <t>2026-04-19</t>
        </is>
      </c>
      <c r="O4739" t="inlineStr">
        <is>
          <t>AI</t>
        </is>
      </c>
    </row>
    <row r="4740">
      <c r="A4740" t="inlineStr">
        <is>
          <t>PT Salim Ivomas Pratama Tbk</t>
        </is>
      </c>
      <c r="B4740" t="inlineStr">
        <is>
          <t>SIMP_2022_AR.pdf</t>
        </is>
      </c>
      <c r="C4740" t="n">
        <v>2022</v>
      </c>
      <c r="D4740" t="inlineStr">
        <is>
          <t>Financial</t>
        </is>
      </c>
      <c r="E4740" t="inlineStr">
        <is>
          <t>Funded Debt (Gross)</t>
        </is>
      </c>
      <c r="F4740" t="n">
        <v>9871</v>
      </c>
      <c r="G4740" t="inlineStr">
        <is>
          <t>IDR bn</t>
        </is>
      </c>
      <c r="H4740" t="n">
        <v>6</v>
      </c>
      <c r="I4740" t="inlineStr">
        <is>
          <t>Funded Debt 9.871.378 11.133.332 11.585.497</t>
        </is>
      </c>
      <c r="J4740" t="inlineStr">
        <is>
          <t>High</t>
        </is>
      </c>
      <c r="M4740" t="inlineStr">
        <is>
          <t>LLM</t>
        </is>
      </c>
      <c r="N4740" t="inlineStr">
        <is>
          <t>2026-04-19</t>
        </is>
      </c>
      <c r="O4740" t="inlineStr">
        <is>
          <t>AI</t>
        </is>
      </c>
    </row>
    <row r="4741">
      <c r="A4741" t="inlineStr">
        <is>
          <t>PT Salim Ivomas Pratama Tbk</t>
        </is>
      </c>
      <c r="B4741" t="inlineStr">
        <is>
          <t>SIMP_2022_AR.pdf</t>
        </is>
      </c>
      <c r="C4741" t="n">
        <v>2022</v>
      </c>
      <c r="D4741" t="inlineStr">
        <is>
          <t>Financial</t>
        </is>
      </c>
      <c r="E4741" t="inlineStr">
        <is>
          <t>Inventories</t>
        </is>
      </c>
      <c r="F4741" t="n">
        <v>3268</v>
      </c>
      <c r="G4741" t="inlineStr">
        <is>
          <t>IDR bn</t>
        </is>
      </c>
      <c r="H4741" t="n">
        <v>127</v>
      </c>
      <c r="I4741" t="inlineStr">
        <is>
          <t>Persediaan 3,7 3.268.036 2.655.342 2.671.909</t>
        </is>
      </c>
      <c r="J4741" t="inlineStr">
        <is>
          <t>High</t>
        </is>
      </c>
      <c r="M4741" t="inlineStr">
        <is>
          <t>LLM</t>
        </is>
      </c>
      <c r="N4741" t="inlineStr">
        <is>
          <t>2026-04-19</t>
        </is>
      </c>
      <c r="O4741" t="inlineStr">
        <is>
          <t>AI</t>
        </is>
      </c>
    </row>
    <row r="4742">
      <c r="A4742" t="inlineStr">
        <is>
          <t>PT Salim Ivomas Pratama Tbk</t>
        </is>
      </c>
      <c r="B4742" t="inlineStr">
        <is>
          <t>SIMP_2022_AR.pdf</t>
        </is>
      </c>
      <c r="C4742" t="n">
        <v>2022</v>
      </c>
      <c r="D4742" t="inlineStr">
        <is>
          <t>Financial</t>
        </is>
      </c>
      <c r="E4742" t="inlineStr">
        <is>
          <t>Biological Assets (Current)</t>
        </is>
      </c>
      <c r="F4742" t="n">
        <v>770</v>
      </c>
      <c r="G4742" t="inlineStr">
        <is>
          <t>IDR bn</t>
        </is>
      </c>
      <c r="H4742" t="n">
        <v>127</v>
      </c>
      <c r="I4742" t="inlineStr">
        <is>
          <t>Aset biologis 8 769.634 873.393 777.388</t>
        </is>
      </c>
      <c r="J4742" t="inlineStr">
        <is>
          <t>High</t>
        </is>
      </c>
      <c r="M4742" t="inlineStr">
        <is>
          <t>LLM</t>
        </is>
      </c>
      <c r="N4742" t="inlineStr">
        <is>
          <t>2026-04-19</t>
        </is>
      </c>
      <c r="O4742" t="inlineStr">
        <is>
          <t>AI</t>
        </is>
      </c>
    </row>
    <row r="4743">
      <c r="A4743" t="inlineStr">
        <is>
          <t>PT Salim Ivomas Pratama Tbk</t>
        </is>
      </c>
      <c r="B4743" t="inlineStr">
        <is>
          <t>SIMP_2022_AR.pdf</t>
        </is>
      </c>
      <c r="C4743" t="n">
        <v>2022</v>
      </c>
      <c r="D4743" t="inlineStr">
        <is>
          <t>Financial</t>
        </is>
      </c>
      <c r="E4743" t="inlineStr">
        <is>
          <t>Goodwill</t>
        </is>
      </c>
      <c r="F4743" t="n">
        <v>2216</v>
      </c>
      <c r="G4743" t="inlineStr">
        <is>
          <t>IDR bn</t>
        </is>
      </c>
      <c r="H4743" t="n">
        <v>127</v>
      </c>
      <c r="I4743" t="inlineStr">
        <is>
          <t>Goodwill 3,11 2.216.138 2.320.823 2.320.823 (from LSIP acquisition)</t>
        </is>
      </c>
      <c r="J4743" t="inlineStr">
        <is>
          <t>High</t>
        </is>
      </c>
      <c r="M4743" t="inlineStr">
        <is>
          <t>LLM</t>
        </is>
      </c>
      <c r="N4743" t="inlineStr">
        <is>
          <t>2026-04-19</t>
        </is>
      </c>
      <c r="O4743" t="inlineStr">
        <is>
          <t>AI</t>
        </is>
      </c>
    </row>
    <row r="4744">
      <c r="A4744" t="inlineStr">
        <is>
          <t>PT Salim Ivomas Pratama Tbk</t>
        </is>
      </c>
      <c r="B4744" t="inlineStr">
        <is>
          <t>SIMP_2022_AR.pdf</t>
        </is>
      </c>
      <c r="C4744" t="n">
        <v>2022</v>
      </c>
      <c r="D4744" t="inlineStr">
        <is>
          <t>Financial</t>
        </is>
      </c>
      <c r="E4744" t="inlineStr">
        <is>
          <t>Fixed Assets</t>
        </is>
      </c>
      <c r="F4744" t="n">
        <v>19212</v>
      </c>
      <c r="G4744" t="inlineStr">
        <is>
          <t>IDR bn</t>
        </is>
      </c>
      <c r="H4744" t="n">
        <v>127</v>
      </c>
      <c r="I4744" t="inlineStr">
        <is>
          <t>Aset tetap 3,13 19.211.553 19.510.043 20.266.991</t>
        </is>
      </c>
      <c r="J4744" t="inlineStr">
        <is>
          <t>High</t>
        </is>
      </c>
      <c r="M4744" t="inlineStr">
        <is>
          <t>LLM</t>
        </is>
      </c>
      <c r="N4744" t="inlineStr">
        <is>
          <t>2026-04-19</t>
        </is>
      </c>
      <c r="O4744" t="inlineStr">
        <is>
          <t>AI</t>
        </is>
      </c>
    </row>
    <row r="4745">
      <c r="A4745" t="inlineStr">
        <is>
          <t>PT Salim Ivomas Pratama Tbk</t>
        </is>
      </c>
      <c r="B4745" t="inlineStr">
        <is>
          <t>SIMP_2022_AR.pdf</t>
        </is>
      </c>
      <c r="C4745" t="n">
        <v>2022</v>
      </c>
      <c r="D4745" t="inlineStr">
        <is>
          <t>Financial</t>
        </is>
      </c>
      <c r="E4745" t="inlineStr">
        <is>
          <t>CFO (Cash from Operating Activities)</t>
        </is>
      </c>
      <c r="F4745" t="n">
        <v>3596</v>
      </c>
      <c r="G4745" t="inlineStr">
        <is>
          <t>IDR bn</t>
        </is>
      </c>
      <c r="H4745" t="n">
        <v>132</v>
      </c>
      <c r="I4745" t="inlineStr">
        <is>
          <t>Kas Neto yang Diperoleh dari Aktivitas Operasi 3.595.585 3.709.985</t>
        </is>
      </c>
      <c r="J4745" t="inlineStr">
        <is>
          <t>High</t>
        </is>
      </c>
      <c r="M4745" t="inlineStr">
        <is>
          <t>LLM</t>
        </is>
      </c>
      <c r="N4745" t="inlineStr">
        <is>
          <t>2026-04-19</t>
        </is>
      </c>
      <c r="O4745" t="inlineStr">
        <is>
          <t>AI</t>
        </is>
      </c>
    </row>
    <row r="4746">
      <c r="A4746" t="inlineStr">
        <is>
          <t>PT Salim Ivomas Pratama Tbk</t>
        </is>
      </c>
      <c r="B4746" t="inlineStr">
        <is>
          <t>SIMP_2022_AR.pdf</t>
        </is>
      </c>
      <c r="C4746" t="n">
        <v>2022</v>
      </c>
      <c r="D4746" t="inlineStr">
        <is>
          <t>Financial</t>
        </is>
      </c>
      <c r="E4746" t="inlineStr">
        <is>
          <t>CFI (Cash used in Investing Activities)</t>
        </is>
      </c>
      <c r="F4746" t="n">
        <v>-1468</v>
      </c>
      <c r="G4746" t="inlineStr">
        <is>
          <t>IDR bn</t>
        </is>
      </c>
      <c r="H4746" t="n">
        <v>132</v>
      </c>
      <c r="I4746" t="inlineStr">
        <is>
          <t>Kas Neto yang Digunakan untuk Aktivitas Investasi (1.468.374) (1.376.346)</t>
        </is>
      </c>
      <c r="J4746" t="inlineStr">
        <is>
          <t>High</t>
        </is>
      </c>
      <c r="M4746" t="inlineStr">
        <is>
          <t>LLM</t>
        </is>
      </c>
      <c r="N4746" t="inlineStr">
        <is>
          <t>2026-04-19</t>
        </is>
      </c>
      <c r="O4746" t="inlineStr">
        <is>
          <t>AI</t>
        </is>
      </c>
    </row>
    <row r="4747">
      <c r="A4747" t="inlineStr">
        <is>
          <t>PT Salim Ivomas Pratama Tbk</t>
        </is>
      </c>
      <c r="B4747" t="inlineStr">
        <is>
          <t>SIMP_2022_AR.pdf</t>
        </is>
      </c>
      <c r="C4747" t="n">
        <v>2022</v>
      </c>
      <c r="D4747" t="inlineStr">
        <is>
          <t>Financial</t>
        </is>
      </c>
      <c r="E4747" t="inlineStr">
        <is>
          <t>CFF (Cash used in Financing Activities)</t>
        </is>
      </c>
      <c r="F4747" t="n">
        <v>-1669</v>
      </c>
      <c r="G4747" t="inlineStr">
        <is>
          <t>IDR bn</t>
        </is>
      </c>
      <c r="H4747" t="n">
        <v>133</v>
      </c>
      <c r="I4747" t="inlineStr">
        <is>
          <t>Kas Neto yang Digunakan untuk AktivitasPendanaan (1.669.247) (1.043.625)</t>
        </is>
      </c>
      <c r="J4747" t="inlineStr">
        <is>
          <t>High</t>
        </is>
      </c>
      <c r="M4747" t="inlineStr">
        <is>
          <t>LLM</t>
        </is>
      </c>
      <c r="N4747" t="inlineStr">
        <is>
          <t>2026-04-19</t>
        </is>
      </c>
      <c r="O4747" t="inlineStr">
        <is>
          <t>AI</t>
        </is>
      </c>
    </row>
    <row r="4748">
      <c r="A4748" t="inlineStr">
        <is>
          <t>PT Salim Ivomas Pratama Tbk</t>
        </is>
      </c>
      <c r="B4748" t="inlineStr">
        <is>
          <t>SIMP_2022_AR.pdf</t>
        </is>
      </c>
      <c r="C4748" t="n">
        <v>2022</v>
      </c>
      <c r="D4748" t="inlineStr">
        <is>
          <t>Financial</t>
        </is>
      </c>
      <c r="E4748" t="inlineStr">
        <is>
          <t>Capex</t>
        </is>
      </c>
      <c r="F4748" t="n">
        <v>1460</v>
      </c>
      <c r="G4748" t="inlineStr">
        <is>
          <t>IDR bn</t>
        </is>
      </c>
      <c r="H4748" t="n">
        <v>6</v>
      </c>
      <c r="I4748" t="inlineStr">
        <is>
          <t>Capital Expenditures 1.460.252 1.250.787 1.483.865</t>
        </is>
      </c>
      <c r="J4748" t="inlineStr">
        <is>
          <t>High</t>
        </is>
      </c>
      <c r="M4748" t="inlineStr">
        <is>
          <t>LLM</t>
        </is>
      </c>
      <c r="N4748" t="inlineStr">
        <is>
          <t>2026-04-19</t>
        </is>
      </c>
      <c r="O4748" t="inlineStr">
        <is>
          <t>AI</t>
        </is>
      </c>
    </row>
    <row r="4749">
      <c r="A4749" t="inlineStr">
        <is>
          <t>PT Salim Ivomas Pratama Tbk</t>
        </is>
      </c>
      <c r="B4749" t="inlineStr">
        <is>
          <t>SIMP_2022_AR.pdf</t>
        </is>
      </c>
      <c r="C4749" t="n">
        <v>2022</v>
      </c>
      <c r="D4749" t="inlineStr">
        <is>
          <t>Financial</t>
        </is>
      </c>
      <c r="E4749" t="inlineStr">
        <is>
          <t>Additions to Fixed Assets (Cash Flow)</t>
        </is>
      </c>
      <c r="F4749" t="n">
        <v>1214</v>
      </c>
      <c r="G4749" t="inlineStr">
        <is>
          <t>IDR bn</t>
        </is>
      </c>
      <c r="H4749" t="n">
        <v>132</v>
      </c>
      <c r="I4749" t="inlineStr">
        <is>
          <t>Penambahan aset tetap (1.214.327) (1.016.931)</t>
        </is>
      </c>
      <c r="J4749" t="inlineStr">
        <is>
          <t>High</t>
        </is>
      </c>
      <c r="M4749" t="inlineStr">
        <is>
          <t>LLM</t>
        </is>
      </c>
      <c r="N4749" t="inlineStr">
        <is>
          <t>2026-04-19</t>
        </is>
      </c>
      <c r="O4749" t="inlineStr">
        <is>
          <t>AI</t>
        </is>
      </c>
    </row>
    <row r="4750">
      <c r="A4750" t="inlineStr">
        <is>
          <t>PT Salim Ivomas Pratama Tbk</t>
        </is>
      </c>
      <c r="B4750" t="inlineStr">
        <is>
          <t>SIMP_2022_AR.pdf</t>
        </is>
      </c>
      <c r="C4750" t="n">
        <v>2022</v>
      </c>
      <c r="D4750" t="inlineStr">
        <is>
          <t>Financial</t>
        </is>
      </c>
      <c r="E4750" t="inlineStr">
        <is>
          <t>Additions to Biological Assets (Cash Flow)</t>
        </is>
      </c>
      <c r="F4750" t="n">
        <v>199</v>
      </c>
      <c r="G4750" t="inlineStr">
        <is>
          <t>IDR bn</t>
        </is>
      </c>
      <c r="H4750" t="n">
        <v>132</v>
      </c>
      <c r="I4750" t="inlineStr">
        <is>
          <t>Penambahan aset biologis (198.863) 8 (190.075)</t>
        </is>
      </c>
      <c r="J4750" t="inlineStr">
        <is>
          <t>High</t>
        </is>
      </c>
      <c r="M4750" t="inlineStr">
        <is>
          <t>LLM</t>
        </is>
      </c>
      <c r="N4750" t="inlineStr">
        <is>
          <t>2026-04-19</t>
        </is>
      </c>
      <c r="O4750" t="inlineStr">
        <is>
          <t>AI</t>
        </is>
      </c>
    </row>
    <row r="4751">
      <c r="A4751" t="inlineStr">
        <is>
          <t>PT Salim Ivomas Pratama Tbk</t>
        </is>
      </c>
      <c r="B4751" t="inlineStr">
        <is>
          <t>SIMP_2022_AR.pdf</t>
        </is>
      </c>
      <c r="C4751" t="n">
        <v>2022</v>
      </c>
      <c r="D4751" t="inlineStr">
        <is>
          <t>Financial</t>
        </is>
      </c>
      <c r="E4751" t="inlineStr">
        <is>
          <t>Cash Dividends Paid (by Parent)</t>
        </is>
      </c>
      <c r="F4751" t="n">
        <v>202</v>
      </c>
      <c r="G4751" t="inlineStr">
        <is>
          <t>IDR bn</t>
        </is>
      </c>
      <c r="H4751" t="n">
        <v>133</v>
      </c>
      <c r="I4751" t="inlineStr">
        <is>
          <t>Pembayaran dividen kas (201.517) 20 (46.503)</t>
        </is>
      </c>
      <c r="J4751" t="inlineStr">
        <is>
          <t>High</t>
        </is>
      </c>
      <c r="M4751" t="inlineStr">
        <is>
          <t>LLM</t>
        </is>
      </c>
      <c r="N4751" t="inlineStr">
        <is>
          <t>2026-04-19</t>
        </is>
      </c>
      <c r="O4751" t="inlineStr">
        <is>
          <t>AI</t>
        </is>
      </c>
    </row>
    <row r="4752">
      <c r="A4752" t="inlineStr">
        <is>
          <t>PT Salim Ivomas Pratama Tbk</t>
        </is>
      </c>
      <c r="B4752" t="inlineStr">
        <is>
          <t>SIMP_2022_AR.pdf</t>
        </is>
      </c>
      <c r="C4752" t="n">
        <v>2022</v>
      </c>
      <c r="D4752" t="inlineStr">
        <is>
          <t>Financial</t>
        </is>
      </c>
      <c r="E4752" t="inlineStr">
        <is>
          <t>EPS (Basic, attributable to parent)</t>
        </is>
      </c>
      <c r="F4752" t="n">
        <v>77</v>
      </c>
      <c r="G4752" t="inlineStr">
        <is>
          <t>Rp/share</t>
        </is>
      </c>
      <c r="H4752" t="n">
        <v>6</v>
      </c>
      <c r="I4752" t="inlineStr">
        <is>
          <t>Basic Profit/(Loss) per Share 77 64 19 (35) (5)</t>
        </is>
      </c>
      <c r="J4752" t="inlineStr">
        <is>
          <t>High</t>
        </is>
      </c>
      <c r="M4752" t="inlineStr">
        <is>
          <t>LLM</t>
        </is>
      </c>
      <c r="N4752" t="inlineStr">
        <is>
          <t>2026-04-19</t>
        </is>
      </c>
      <c r="O4752" t="inlineStr">
        <is>
          <t>AI</t>
        </is>
      </c>
    </row>
    <row r="4753">
      <c r="A4753" t="inlineStr">
        <is>
          <t>PT Salim Ivomas Pratama Tbk</t>
        </is>
      </c>
      <c r="B4753" t="inlineStr">
        <is>
          <t>SIMP_2022_AR.pdf</t>
        </is>
      </c>
      <c r="C4753" t="n">
        <v>2022</v>
      </c>
      <c r="D4753" t="inlineStr">
        <is>
          <t>Financial</t>
        </is>
      </c>
      <c r="E4753" t="inlineStr">
        <is>
          <t>Outstanding Shares</t>
        </is>
      </c>
      <c r="F4753" t="n">
        <v>15501</v>
      </c>
      <c r="G4753" t="inlineStr">
        <is>
          <t>mn</t>
        </is>
      </c>
      <c r="H4753" t="n">
        <v>6</v>
      </c>
      <c r="I4753" t="inlineStr">
        <is>
          <t>Outstanding Shares (in '000)2 15.501.310 (million)</t>
        </is>
      </c>
      <c r="J4753" t="inlineStr">
        <is>
          <t>High</t>
        </is>
      </c>
      <c r="M4753" t="inlineStr">
        <is>
          <t>LLM</t>
        </is>
      </c>
      <c r="N4753" t="inlineStr">
        <is>
          <t>2026-04-19</t>
        </is>
      </c>
      <c r="O4753" t="inlineStr">
        <is>
          <t>AI</t>
        </is>
      </c>
    </row>
    <row r="4754">
      <c r="A4754" t="inlineStr">
        <is>
          <t>PT Salim Ivomas Pratama Tbk</t>
        </is>
      </c>
      <c r="B4754" t="inlineStr">
        <is>
          <t>SIMP_2022_AR.pdf</t>
        </is>
      </c>
      <c r="C4754" t="n">
        <v>2022</v>
      </c>
      <c r="D4754" t="inlineStr">
        <is>
          <t>Financial</t>
        </is>
      </c>
      <c r="E4754" t="inlineStr">
        <is>
          <t>Final Dividend per Share (for FY2021 paid 2022)</t>
        </is>
      </c>
      <c r="F4754" t="n">
        <v>13</v>
      </c>
      <c r="G4754" t="inlineStr">
        <is>
          <t>Rp/share</t>
        </is>
      </c>
      <c r="H4754" t="n">
        <v>34</v>
      </c>
      <c r="I4754" t="inlineStr">
        <is>
          <t>a total dividend of Rp201.5 billion or Rp13 per share, represent around 20% dividend payout and paid to shareholders on August 23, 2022</t>
        </is>
      </c>
      <c r="J4754" t="inlineStr">
        <is>
          <t>High</t>
        </is>
      </c>
      <c r="M4754" t="inlineStr">
        <is>
          <t>LLM</t>
        </is>
      </c>
      <c r="N4754" t="inlineStr">
        <is>
          <t>2026-04-19</t>
        </is>
      </c>
      <c r="O4754" t="inlineStr">
        <is>
          <t>AI</t>
        </is>
      </c>
    </row>
    <row r="4755">
      <c r="A4755" t="inlineStr">
        <is>
          <t>PT Salim Ivomas Pratama Tbk</t>
        </is>
      </c>
      <c r="B4755" t="inlineStr">
        <is>
          <t>SIMP_2022_AR.pdf</t>
        </is>
      </c>
      <c r="C4755" t="n">
        <v>2022</v>
      </c>
      <c r="D4755" t="inlineStr">
        <is>
          <t>Financial</t>
        </is>
      </c>
      <c r="E4755" t="inlineStr">
        <is>
          <t>Closing Share Price 30 Dec 2022</t>
        </is>
      </c>
      <c r="F4755" t="n">
        <v>414</v>
      </c>
      <c r="G4755" t="inlineStr">
        <is>
          <t>Rp/share</t>
        </is>
      </c>
      <c r="H4755" t="n">
        <v>17</v>
      </c>
      <c r="I4755" t="inlineStr">
        <is>
          <t>During The Year 15.501 6.417.542 560 392 414 1.050.584.900</t>
        </is>
      </c>
      <c r="J4755" t="inlineStr">
        <is>
          <t>High</t>
        </is>
      </c>
      <c r="M4755" t="inlineStr">
        <is>
          <t>LLM</t>
        </is>
      </c>
      <c r="N4755" t="inlineStr">
        <is>
          <t>2026-04-19</t>
        </is>
      </c>
      <c r="O4755" t="inlineStr">
        <is>
          <t>AI</t>
        </is>
      </c>
    </row>
    <row r="4756">
      <c r="A4756" t="inlineStr">
        <is>
          <t>PT Salim Ivomas Pratama Tbk</t>
        </is>
      </c>
      <c r="B4756" t="inlineStr">
        <is>
          <t>SIMP_2022_AR.pdf</t>
        </is>
      </c>
      <c r="C4756" t="n">
        <v>2022</v>
      </c>
      <c r="D4756" t="inlineStr">
        <is>
          <t>Financial</t>
        </is>
      </c>
      <c r="E4756" t="inlineStr">
        <is>
          <t>Market Capitalisation (end 2022)</t>
        </is>
      </c>
      <c r="F4756" t="n">
        <v>6418</v>
      </c>
      <c r="G4756" t="inlineStr">
        <is>
          <t>IDR bn</t>
        </is>
      </c>
      <c r="H4756" t="n">
        <v>34</v>
      </c>
      <c r="I4756" t="inlineStr">
        <is>
          <t>SIMP Group market capitalisation was valued at Rp6.42 trillion</t>
        </is>
      </c>
      <c r="J4756" t="inlineStr">
        <is>
          <t>High</t>
        </is>
      </c>
      <c r="M4756" t="inlineStr">
        <is>
          <t>LLM</t>
        </is>
      </c>
      <c r="N4756" t="inlineStr">
        <is>
          <t>2026-04-19</t>
        </is>
      </c>
      <c r="O4756" t="inlineStr">
        <is>
          <t>AI</t>
        </is>
      </c>
    </row>
    <row r="4757">
      <c r="A4757" t="inlineStr">
        <is>
          <t>PT Salim Ivomas Pratama Tbk</t>
        </is>
      </c>
      <c r="B4757" t="inlineStr">
        <is>
          <t>SIMP_2022_AR.pdf</t>
        </is>
      </c>
      <c r="C4757" t="n">
        <v>2022</v>
      </c>
      <c r="D4757" t="inlineStr">
        <is>
          <t>Financial</t>
        </is>
      </c>
      <c r="E4757" t="inlineStr">
        <is>
          <t>Share Price High 2022</t>
        </is>
      </c>
      <c r="F4757" t="n">
        <v>560</v>
      </c>
      <c r="G4757" t="inlineStr">
        <is>
          <t>Rp/share</t>
        </is>
      </c>
      <c r="H4757" t="n">
        <v>17</v>
      </c>
      <c r="I4757" t="inlineStr">
        <is>
          <t>During The Year 15.501 6.417.542 560 392 414</t>
        </is>
      </c>
      <c r="J4757" t="inlineStr">
        <is>
          <t>High</t>
        </is>
      </c>
      <c r="M4757" t="inlineStr">
        <is>
          <t>LLM</t>
        </is>
      </c>
      <c r="N4757" t="inlineStr">
        <is>
          <t>2026-04-19</t>
        </is>
      </c>
      <c r="O4757" t="inlineStr">
        <is>
          <t>AI</t>
        </is>
      </c>
    </row>
    <row r="4758">
      <c r="A4758" t="inlineStr">
        <is>
          <t>PT Salim Ivomas Pratama Tbk</t>
        </is>
      </c>
      <c r="B4758" t="inlineStr">
        <is>
          <t>SIMP_2022_AR.pdf</t>
        </is>
      </c>
      <c r="C4758" t="n">
        <v>2022</v>
      </c>
      <c r="D4758" t="inlineStr">
        <is>
          <t>Financial</t>
        </is>
      </c>
      <c r="E4758" t="inlineStr">
        <is>
          <t>Share Price Low 2022</t>
        </is>
      </c>
      <c r="F4758" t="n">
        <v>392</v>
      </c>
      <c r="G4758" t="inlineStr">
        <is>
          <t>Rp/share</t>
        </is>
      </c>
      <c r="H4758" t="n">
        <v>17</v>
      </c>
      <c r="I4758" t="inlineStr">
        <is>
          <t>During The Year 15.501 6.417.542 560 392 414</t>
        </is>
      </c>
      <c r="J4758" t="inlineStr">
        <is>
          <t>High</t>
        </is>
      </c>
      <c r="M4758" t="inlineStr">
        <is>
          <t>LLM</t>
        </is>
      </c>
      <c r="N4758" t="inlineStr">
        <is>
          <t>2026-04-19</t>
        </is>
      </c>
      <c r="O4758" t="inlineStr">
        <is>
          <t>AI</t>
        </is>
      </c>
    </row>
    <row r="4759">
      <c r="A4759" t="inlineStr">
        <is>
          <t>PT Salim Ivomas Pratama Tbk</t>
        </is>
      </c>
      <c r="B4759" t="inlineStr">
        <is>
          <t>SIMP_2022_AR.pdf</t>
        </is>
      </c>
      <c r="C4759" t="n">
        <v>2022</v>
      </c>
      <c r="D4759" t="inlineStr">
        <is>
          <t>Financial</t>
        </is>
      </c>
      <c r="E4759" t="inlineStr">
        <is>
          <t>Gross Profit Margin</t>
        </is>
      </c>
      <c r="F4759" t="n">
        <v>0.261</v>
      </c>
      <c r="G4759" t="inlineStr">
        <is>
          <t>%</t>
        </is>
      </c>
      <c r="H4759" t="n">
        <v>6</v>
      </c>
      <c r="I4759" t="inlineStr">
        <is>
          <t>Gross Profit Margin (%) 26,1 26,2 20,8</t>
        </is>
      </c>
      <c r="J4759" t="inlineStr">
        <is>
          <t>High</t>
        </is>
      </c>
      <c r="M4759" t="inlineStr">
        <is>
          <t>LLM</t>
        </is>
      </c>
      <c r="N4759" t="inlineStr">
        <is>
          <t>2026-04-19</t>
        </is>
      </c>
      <c r="O4759" t="inlineStr">
        <is>
          <t>AI</t>
        </is>
      </c>
    </row>
    <row r="4760">
      <c r="A4760" t="inlineStr">
        <is>
          <t>PT Salim Ivomas Pratama Tbk</t>
        </is>
      </c>
      <c r="B4760" t="inlineStr">
        <is>
          <t>SIMP_2022_AR.pdf</t>
        </is>
      </c>
      <c r="C4760" t="n">
        <v>2022</v>
      </c>
      <c r="D4760" t="inlineStr">
        <is>
          <t>Financial</t>
        </is>
      </c>
      <c r="E4760" t="inlineStr">
        <is>
          <t>Operating Profit Margin</t>
        </is>
      </c>
      <c r="F4760" t="n">
        <v>0.164</v>
      </c>
      <c r="G4760" t="inlineStr">
        <is>
          <t>%</t>
        </is>
      </c>
      <c r="H4760" t="n">
        <v>6</v>
      </c>
      <c r="I4760" t="inlineStr">
        <is>
          <t>Operating Profit Margin (%) 16,4 14,9 12,8</t>
        </is>
      </c>
      <c r="J4760" t="inlineStr">
        <is>
          <t>High</t>
        </is>
      </c>
      <c r="M4760" t="inlineStr">
        <is>
          <t>LLM</t>
        </is>
      </c>
      <c r="N4760" t="inlineStr">
        <is>
          <t>2026-04-19</t>
        </is>
      </c>
      <c r="O4760" t="inlineStr">
        <is>
          <t>AI</t>
        </is>
      </c>
    </row>
    <row r="4761">
      <c r="A4761" t="inlineStr">
        <is>
          <t>PT Salim Ivomas Pratama Tbk</t>
        </is>
      </c>
      <c r="B4761" t="inlineStr">
        <is>
          <t>SIMP_2022_AR.pdf</t>
        </is>
      </c>
      <c r="C4761" t="n">
        <v>2022</v>
      </c>
      <c r="D4761" t="inlineStr">
        <is>
          <t>Financial</t>
        </is>
      </c>
      <c r="E4761" t="inlineStr">
        <is>
          <t>EBITDA Margin</t>
        </is>
      </c>
      <c r="F4761" t="n">
        <v>0.263</v>
      </c>
      <c r="G4761" t="inlineStr">
        <is>
          <t>%</t>
        </is>
      </c>
      <c r="H4761" t="n">
        <v>6</v>
      </c>
      <c r="I4761" t="inlineStr">
        <is>
          <t>EBITDA Margin (%) 26,3 22,8 22,4</t>
        </is>
      </c>
      <c r="J4761" t="inlineStr">
        <is>
          <t>High</t>
        </is>
      </c>
      <c r="M4761" t="inlineStr">
        <is>
          <t>LLM</t>
        </is>
      </c>
      <c r="N4761" t="inlineStr">
        <is>
          <t>2026-04-19</t>
        </is>
      </c>
      <c r="O4761" t="inlineStr">
        <is>
          <t>AI</t>
        </is>
      </c>
    </row>
    <row r="4762">
      <c r="A4762" t="inlineStr">
        <is>
          <t>PT Salim Ivomas Pratama Tbk</t>
        </is>
      </c>
      <c r="B4762" t="inlineStr">
        <is>
          <t>SIMP_2022_AR.pdf</t>
        </is>
      </c>
      <c r="C4762" t="n">
        <v>2022</v>
      </c>
      <c r="D4762" t="inlineStr">
        <is>
          <t>Financial</t>
        </is>
      </c>
      <c r="E4762" t="inlineStr">
        <is>
          <t>Return on Assets (Net)</t>
        </is>
      </c>
      <c r="F4762" t="n">
        <v>0.042</v>
      </c>
      <c r="G4762" t="inlineStr">
        <is>
          <t>%</t>
        </is>
      </c>
      <c r="H4762" t="n">
        <v>6</v>
      </c>
      <c r="I4762" t="inlineStr">
        <is>
          <t>Return on Assets (%) - Profit/(Loss) for the Year 4,2 3,8 1,2</t>
        </is>
      </c>
      <c r="J4762" t="inlineStr">
        <is>
          <t>High</t>
        </is>
      </c>
      <c r="M4762" t="inlineStr">
        <is>
          <t>LLM</t>
        </is>
      </c>
      <c r="N4762" t="inlineStr">
        <is>
          <t>2026-04-19</t>
        </is>
      </c>
      <c r="O4762" t="inlineStr">
        <is>
          <t>AI</t>
        </is>
      </c>
    </row>
    <row r="4763">
      <c r="A4763" t="inlineStr">
        <is>
          <t>PT Salim Ivomas Pratama Tbk</t>
        </is>
      </c>
      <c r="B4763" t="inlineStr">
        <is>
          <t>SIMP_2022_AR.pdf</t>
        </is>
      </c>
      <c r="C4763" t="n">
        <v>2022</v>
      </c>
      <c r="D4763" t="inlineStr">
        <is>
          <t>Financial</t>
        </is>
      </c>
      <c r="E4763" t="inlineStr">
        <is>
          <t>Return on Equity</t>
        </is>
      </c>
      <c r="F4763" t="n">
        <v>0.074</v>
      </c>
      <c r="G4763" t="inlineStr">
        <is>
          <t>%</t>
        </is>
      </c>
      <c r="H4763" t="n">
        <v>6</v>
      </c>
      <c r="I4763" t="inlineStr">
        <is>
          <t>Return on Equity (%) 7,4 7,0 2,2</t>
        </is>
      </c>
      <c r="J4763" t="inlineStr">
        <is>
          <t>High</t>
        </is>
      </c>
      <c r="M4763" t="inlineStr">
        <is>
          <t>LLM</t>
        </is>
      </c>
      <c r="N4763" t="inlineStr">
        <is>
          <t>2026-04-19</t>
        </is>
      </c>
      <c r="O4763" t="inlineStr">
        <is>
          <t>AI</t>
        </is>
      </c>
    </row>
    <row r="4764">
      <c r="A4764" t="inlineStr">
        <is>
          <t>PT Salim Ivomas Pratama Tbk</t>
        </is>
      </c>
      <c r="B4764" t="inlineStr">
        <is>
          <t>SIMP_2022_AR.pdf</t>
        </is>
      </c>
      <c r="C4764" t="n">
        <v>2022</v>
      </c>
      <c r="D4764" t="inlineStr">
        <is>
          <t>Financial</t>
        </is>
      </c>
      <c r="E4764" t="inlineStr">
        <is>
          <t>Current Ratio</t>
        </is>
      </c>
      <c r="F4764" t="n">
        <v>1.1</v>
      </c>
      <c r="G4764" t="inlineStr">
        <is>
          <t>x</t>
        </is>
      </c>
      <c r="H4764" t="n">
        <v>6</v>
      </c>
      <c r="I4764" t="inlineStr">
        <is>
          <t>Current Ratio (x) 1,10 1,04 0,88</t>
        </is>
      </c>
      <c r="J4764" t="inlineStr">
        <is>
          <t>High</t>
        </is>
      </c>
      <c r="M4764" t="inlineStr">
        <is>
          <t>LLM</t>
        </is>
      </c>
      <c r="N4764" t="inlineStr">
        <is>
          <t>2026-04-19</t>
        </is>
      </c>
      <c r="O4764" t="inlineStr">
        <is>
          <t>AI</t>
        </is>
      </c>
    </row>
    <row r="4765">
      <c r="A4765" t="inlineStr">
        <is>
          <t>PT Salim Ivomas Pratama Tbk</t>
        </is>
      </c>
      <c r="B4765" t="inlineStr">
        <is>
          <t>SIMP_2022_AR.pdf</t>
        </is>
      </c>
      <c r="C4765" t="n">
        <v>2022</v>
      </c>
      <c r="D4765" t="inlineStr">
        <is>
          <t>Financial</t>
        </is>
      </c>
      <c r="E4765" t="inlineStr">
        <is>
          <t>Gearing Ratio - Gross</t>
        </is>
      </c>
      <c r="F4765" t="n">
        <v>0.47</v>
      </c>
      <c r="G4765" t="inlineStr">
        <is>
          <t>x</t>
        </is>
      </c>
      <c r="H4765" t="n">
        <v>6</v>
      </c>
      <c r="I4765" t="inlineStr">
        <is>
          <t>Gearing Ratio - Gross (x) 4 0,47 0,56 0,62</t>
        </is>
      </c>
      <c r="J4765" t="inlineStr">
        <is>
          <t>High</t>
        </is>
      </c>
      <c r="M4765" t="inlineStr">
        <is>
          <t>LLM</t>
        </is>
      </c>
      <c r="N4765" t="inlineStr">
        <is>
          <t>2026-04-19</t>
        </is>
      </c>
      <c r="O4765" t="inlineStr">
        <is>
          <t>AI</t>
        </is>
      </c>
    </row>
    <row r="4766">
      <c r="A4766" t="inlineStr">
        <is>
          <t>PT Salim Ivomas Pratama Tbk</t>
        </is>
      </c>
      <c r="B4766" t="inlineStr">
        <is>
          <t>SIMP_2022_AR.pdf</t>
        </is>
      </c>
      <c r="C4766" t="n">
        <v>2022</v>
      </c>
      <c r="D4766" t="inlineStr">
        <is>
          <t>Financial</t>
        </is>
      </c>
      <c r="E4766" t="inlineStr">
        <is>
          <t>Gearing Ratio - Net</t>
        </is>
      </c>
      <c r="F4766" t="n">
        <v>0.26</v>
      </c>
      <c r="G4766" t="inlineStr">
        <is>
          <t>x</t>
        </is>
      </c>
      <c r="H4766" t="n">
        <v>6</v>
      </c>
      <c r="I4766" t="inlineStr">
        <is>
          <t>Gearing Ratio - Net (x) 4 0,26 0,37 0,49</t>
        </is>
      </c>
      <c r="J4766" t="inlineStr">
        <is>
          <t>High</t>
        </is>
      </c>
      <c r="M4766" t="inlineStr">
        <is>
          <t>LLM</t>
        </is>
      </c>
      <c r="N4766" t="inlineStr">
        <is>
          <t>2026-04-19</t>
        </is>
      </c>
      <c r="O4766" t="inlineStr">
        <is>
          <t>AI</t>
        </is>
      </c>
    </row>
    <row r="4767">
      <c r="A4767" t="inlineStr">
        <is>
          <t>PT Salim Ivomas Pratama Tbk</t>
        </is>
      </c>
      <c r="B4767" t="inlineStr">
        <is>
          <t>SIMP_2022_AR.pdf</t>
        </is>
      </c>
      <c r="C4767" t="n">
        <v>2022</v>
      </c>
      <c r="D4767" t="inlineStr">
        <is>
          <t>Asset</t>
        </is>
      </c>
      <c r="E4767" t="inlineStr">
        <is>
          <t>Total Nucleus Planted Area</t>
        </is>
      </c>
      <c r="F4767" t="n">
        <v>294488</v>
      </c>
      <c r="G4767" t="inlineStr">
        <is>
          <t>ha</t>
        </is>
      </c>
      <c r="H4767" t="n">
        <v>7</v>
      </c>
      <c r="I4767" t="inlineStr">
        <is>
          <t>Planted Area - Nucleus 294.488 300.749 303.149</t>
        </is>
      </c>
      <c r="J4767" t="inlineStr">
        <is>
          <t>High</t>
        </is>
      </c>
      <c r="M4767" t="inlineStr">
        <is>
          <t>LLM</t>
        </is>
      </c>
      <c r="N4767" t="inlineStr">
        <is>
          <t>2026-04-19</t>
        </is>
      </c>
      <c r="O4767" t="inlineStr">
        <is>
          <t>AI</t>
        </is>
      </c>
    </row>
    <row r="4768">
      <c r="A4768" t="inlineStr">
        <is>
          <t>PT Salim Ivomas Pratama Tbk</t>
        </is>
      </c>
      <c r="B4768" t="inlineStr">
        <is>
          <t>SIMP_2022_AR.pdf</t>
        </is>
      </c>
      <c r="C4768" t="n">
        <v>2022</v>
      </c>
      <c r="D4768" t="inlineStr">
        <is>
          <t>Asset</t>
        </is>
      </c>
      <c r="E4768" t="inlineStr">
        <is>
          <t>Oil Palm Nucleus Area</t>
        </is>
      </c>
      <c r="F4768" t="n">
        <v>244768</v>
      </c>
      <c r="G4768" t="inlineStr">
        <is>
          <t>ha</t>
        </is>
      </c>
      <c r="H4768" t="n">
        <v>7</v>
      </c>
      <c r="I4768" t="inlineStr">
        <is>
          <t>Oil Palm 244.768 250.615 253.061</t>
        </is>
      </c>
      <c r="J4768" t="inlineStr">
        <is>
          <t>High</t>
        </is>
      </c>
      <c r="M4768" t="inlineStr">
        <is>
          <t>LLM</t>
        </is>
      </c>
      <c r="N4768" t="inlineStr">
        <is>
          <t>2026-04-19</t>
        </is>
      </c>
      <c r="O4768" t="inlineStr">
        <is>
          <t>AI</t>
        </is>
      </c>
    </row>
    <row r="4769">
      <c r="A4769" t="inlineStr">
        <is>
          <t>PT Salim Ivomas Pratama Tbk</t>
        </is>
      </c>
      <c r="B4769" t="inlineStr">
        <is>
          <t>SIMP_2022_AR.pdf</t>
        </is>
      </c>
      <c r="C4769" t="n">
        <v>2022</v>
      </c>
      <c r="D4769" t="inlineStr">
        <is>
          <t>Asset</t>
        </is>
      </c>
      <c r="E4769" t="inlineStr">
        <is>
          <t>Oil Palm Mature Area</t>
        </is>
      </c>
      <c r="F4769" t="n">
        <v>218064</v>
      </c>
      <c r="G4769" t="inlineStr">
        <is>
          <t>ha</t>
        </is>
      </c>
      <c r="H4769" t="n">
        <v>7</v>
      </c>
      <c r="I4769" t="inlineStr">
        <is>
          <t>• Mature 218.064 214.053 211.626</t>
        </is>
      </c>
      <c r="J4769" t="inlineStr">
        <is>
          <t>High</t>
        </is>
      </c>
      <c r="M4769" t="inlineStr">
        <is>
          <t>LLM</t>
        </is>
      </c>
      <c r="N4769" t="inlineStr">
        <is>
          <t>2026-04-19</t>
        </is>
      </c>
      <c r="O4769" t="inlineStr">
        <is>
          <t>AI</t>
        </is>
      </c>
    </row>
    <row r="4770">
      <c r="A4770" t="inlineStr">
        <is>
          <t>PT Salim Ivomas Pratama Tbk</t>
        </is>
      </c>
      <c r="B4770" t="inlineStr">
        <is>
          <t>SIMP_2022_AR.pdf</t>
        </is>
      </c>
      <c r="C4770" t="n">
        <v>2022</v>
      </c>
      <c r="D4770" t="inlineStr">
        <is>
          <t>Asset</t>
        </is>
      </c>
      <c r="E4770" t="inlineStr">
        <is>
          <t>Oil Palm Immature Area</t>
        </is>
      </c>
      <c r="F4770" t="n">
        <v>26704</v>
      </c>
      <c r="G4770" t="inlineStr">
        <is>
          <t>ha</t>
        </is>
      </c>
      <c r="H4770" t="n">
        <v>7</v>
      </c>
      <c r="I4770" t="inlineStr">
        <is>
          <t>• Immature 26.704 36.562 41.435</t>
        </is>
      </c>
      <c r="J4770" t="inlineStr">
        <is>
          <t>High</t>
        </is>
      </c>
      <c r="M4770" t="inlineStr">
        <is>
          <t>LLM</t>
        </is>
      </c>
      <c r="N4770" t="inlineStr">
        <is>
          <t>2026-04-19</t>
        </is>
      </c>
      <c r="O4770" t="inlineStr">
        <is>
          <t>AI</t>
        </is>
      </c>
    </row>
    <row r="4771">
      <c r="A4771" t="inlineStr">
        <is>
          <t>PT Salim Ivomas Pratama Tbk</t>
        </is>
      </c>
      <c r="B4771" t="inlineStr">
        <is>
          <t>SIMP_2022_AR.pdf</t>
        </is>
      </c>
      <c r="C4771" t="n">
        <v>2022</v>
      </c>
      <c r="D4771" t="inlineStr">
        <is>
          <t>Asset</t>
        </is>
      </c>
      <c r="E4771" t="inlineStr">
        <is>
          <t>Rubber Nucleus Area</t>
        </is>
      </c>
      <c r="F4771" t="n">
        <v>16074</v>
      </c>
      <c r="G4771" t="inlineStr">
        <is>
          <t>ha</t>
        </is>
      </c>
      <c r="H4771" t="n">
        <v>7</v>
      </c>
      <c r="I4771" t="inlineStr">
        <is>
          <t>Rubber 16.074 16.228 15.976</t>
        </is>
      </c>
      <c r="J4771" t="inlineStr">
        <is>
          <t>High</t>
        </is>
      </c>
      <c r="M4771" t="inlineStr">
        <is>
          <t>LLM</t>
        </is>
      </c>
      <c r="N4771" t="inlineStr">
        <is>
          <t>2026-04-19</t>
        </is>
      </c>
      <c r="O4771" t="inlineStr">
        <is>
          <t>AI</t>
        </is>
      </c>
    </row>
    <row r="4772">
      <c r="A4772" t="inlineStr">
        <is>
          <t>PT Salim Ivomas Pratama Tbk</t>
        </is>
      </c>
      <c r="B4772" t="inlineStr">
        <is>
          <t>SIMP_2022_AR.pdf</t>
        </is>
      </c>
      <c r="C4772" t="n">
        <v>2022</v>
      </c>
      <c r="D4772" t="inlineStr">
        <is>
          <t>Asset</t>
        </is>
      </c>
      <c r="E4772" t="inlineStr">
        <is>
          <t>Sugar Cane Nucleus Area</t>
        </is>
      </c>
      <c r="F4772" t="n">
        <v>14056</v>
      </c>
      <c r="G4772" t="inlineStr">
        <is>
          <t>ha</t>
        </is>
      </c>
      <c r="H4772" t="n">
        <v>7</v>
      </c>
      <c r="I4772" t="inlineStr">
        <is>
          <t>Sugar Cane 14.056 14.411 14.153</t>
        </is>
      </c>
      <c r="J4772" t="inlineStr">
        <is>
          <t>High</t>
        </is>
      </c>
      <c r="M4772" t="inlineStr">
        <is>
          <t>LLM</t>
        </is>
      </c>
      <c r="N4772" t="inlineStr">
        <is>
          <t>2026-04-19</t>
        </is>
      </c>
      <c r="O4772" t="inlineStr">
        <is>
          <t>AI</t>
        </is>
      </c>
    </row>
    <row r="4773">
      <c r="A4773" t="inlineStr">
        <is>
          <t>PT Salim Ivomas Pratama Tbk</t>
        </is>
      </c>
      <c r="B4773" t="inlineStr">
        <is>
          <t>SIMP_2022_AR.pdf</t>
        </is>
      </c>
      <c r="C4773" t="n">
        <v>2022</v>
      </c>
      <c r="D4773" t="inlineStr">
        <is>
          <t>Asset</t>
        </is>
      </c>
      <c r="E4773" t="inlineStr">
        <is>
          <t>Other Crops (timber, cocoa, tea) Area</t>
        </is>
      </c>
      <c r="F4773" t="n">
        <v>19590</v>
      </c>
      <c r="G4773" t="inlineStr">
        <is>
          <t>ha</t>
        </is>
      </c>
      <c r="H4773" t="n">
        <v>7</v>
      </c>
      <c r="I4773" t="inlineStr">
        <is>
          <t>Others 19.590 19.495 19.959</t>
        </is>
      </c>
      <c r="J4773" t="inlineStr">
        <is>
          <t>High</t>
        </is>
      </c>
      <c r="M4773" t="inlineStr">
        <is>
          <t>LLM</t>
        </is>
      </c>
      <c r="N4773" t="inlineStr">
        <is>
          <t>2026-04-19</t>
        </is>
      </c>
      <c r="O4773" t="inlineStr">
        <is>
          <t>AI</t>
        </is>
      </c>
    </row>
    <row r="4774">
      <c r="A4774" t="inlineStr">
        <is>
          <t>PT Salim Ivomas Pratama Tbk</t>
        </is>
      </c>
      <c r="B4774" t="inlineStr">
        <is>
          <t>SIMP_2022_AR.pdf</t>
        </is>
      </c>
      <c r="C4774" t="n">
        <v>2022</v>
      </c>
      <c r="D4774" t="inlineStr">
        <is>
          <t>Asset</t>
        </is>
      </c>
      <c r="E4774" t="inlineStr">
        <is>
          <t>Plasma Partnership (Oil Palm &amp; Rubber)</t>
        </is>
      </c>
      <c r="F4774" t="n">
        <v>90551</v>
      </c>
      <c r="G4774" t="inlineStr">
        <is>
          <t>ha</t>
        </is>
      </c>
      <c r="H4774" t="n">
        <v>7</v>
      </c>
      <c r="I4774" t="inlineStr">
        <is>
          <t>Plasma Partnership 90.551 90.229 90.325</t>
        </is>
      </c>
      <c r="J4774" t="inlineStr">
        <is>
          <t>High</t>
        </is>
      </c>
      <c r="M4774" t="inlineStr">
        <is>
          <t>LLM</t>
        </is>
      </c>
      <c r="N4774" t="inlineStr">
        <is>
          <t>2026-04-19</t>
        </is>
      </c>
      <c r="O4774" t="inlineStr">
        <is>
          <t>AI</t>
        </is>
      </c>
    </row>
    <row r="4775">
      <c r="A4775" t="inlineStr">
        <is>
          <t>PT Salim Ivomas Pratama Tbk</t>
        </is>
      </c>
      <c r="B4775" t="inlineStr">
        <is>
          <t>SIMP_2022_AR.pdf</t>
        </is>
      </c>
      <c r="C4775" t="n">
        <v>2022</v>
      </c>
      <c r="D4775" t="inlineStr">
        <is>
          <t>Asset</t>
        </is>
      </c>
      <c r="E4775" t="inlineStr">
        <is>
          <t>Oil Palm Age Profile - 4-6 yr</t>
        </is>
      </c>
      <c r="F4775" t="n">
        <v>7086</v>
      </c>
      <c r="G4775" t="inlineStr">
        <is>
          <t>ha</t>
        </is>
      </c>
      <c r="H4775" t="n">
        <v>7</v>
      </c>
      <c r="I4775" t="inlineStr">
        <is>
          <t>4 - 6 years 7.086 5.715 5.129</t>
        </is>
      </c>
      <c r="J4775" t="inlineStr">
        <is>
          <t>High</t>
        </is>
      </c>
      <c r="M4775" t="inlineStr">
        <is>
          <t>LLM</t>
        </is>
      </c>
      <c r="N4775" t="inlineStr">
        <is>
          <t>2026-04-19</t>
        </is>
      </c>
      <c r="O4775" t="inlineStr">
        <is>
          <t>AI</t>
        </is>
      </c>
    </row>
    <row r="4776">
      <c r="A4776" t="inlineStr">
        <is>
          <t>PT Salim Ivomas Pratama Tbk</t>
        </is>
      </c>
      <c r="B4776" t="inlineStr">
        <is>
          <t>SIMP_2022_AR.pdf</t>
        </is>
      </c>
      <c r="C4776" t="n">
        <v>2022</v>
      </c>
      <c r="D4776" t="inlineStr">
        <is>
          <t>Asset</t>
        </is>
      </c>
      <c r="E4776" t="inlineStr">
        <is>
          <t>Oil Palm Age Profile - 7-20 yr</t>
        </is>
      </c>
      <c r="F4776" t="n">
        <v>125613</v>
      </c>
      <c r="G4776" t="inlineStr">
        <is>
          <t>ha</t>
        </is>
      </c>
      <c r="H4776" t="n">
        <v>7</v>
      </c>
      <c r="I4776" t="inlineStr">
        <is>
          <t>7 - 20 years 125.613 122.210 123.332</t>
        </is>
      </c>
      <c r="J4776" t="inlineStr">
        <is>
          <t>High</t>
        </is>
      </c>
      <c r="M4776" t="inlineStr">
        <is>
          <t>LLM</t>
        </is>
      </c>
      <c r="N4776" t="inlineStr">
        <is>
          <t>2026-04-19</t>
        </is>
      </c>
      <c r="O4776" t="inlineStr">
        <is>
          <t>AI</t>
        </is>
      </c>
    </row>
    <row r="4777">
      <c r="A4777" t="inlineStr">
        <is>
          <t>PT Salim Ivomas Pratama Tbk</t>
        </is>
      </c>
      <c r="B4777" t="inlineStr">
        <is>
          <t>SIMP_2022_AR.pdf</t>
        </is>
      </c>
      <c r="C4777" t="n">
        <v>2022</v>
      </c>
      <c r="D4777" t="inlineStr">
        <is>
          <t>Asset</t>
        </is>
      </c>
      <c r="E4777" t="inlineStr">
        <is>
          <t>Oil Palm Age Profile - &gt;20 yr</t>
        </is>
      </c>
      <c r="F4777" t="n">
        <v>85365</v>
      </c>
      <c r="G4777" t="inlineStr">
        <is>
          <t>ha</t>
        </is>
      </c>
      <c r="H4777" t="n">
        <v>7</v>
      </c>
      <c r="I4777" t="inlineStr">
        <is>
          <t>&gt;20 years 85.365 86.128 83.165</t>
        </is>
      </c>
      <c r="J4777" t="inlineStr">
        <is>
          <t>High</t>
        </is>
      </c>
      <c r="M4777" t="inlineStr">
        <is>
          <t>LLM</t>
        </is>
      </c>
      <c r="N4777" t="inlineStr">
        <is>
          <t>2026-04-19</t>
        </is>
      </c>
      <c r="O4777" t="inlineStr">
        <is>
          <t>AI</t>
        </is>
      </c>
    </row>
    <row r="4778">
      <c r="A4778" t="inlineStr">
        <is>
          <t>PT Salim Ivomas Pratama Tbk</t>
        </is>
      </c>
      <c r="B4778" t="inlineStr">
        <is>
          <t>SIMP_2022_AR.pdf</t>
        </is>
      </c>
      <c r="C4778" t="n">
        <v>2022</v>
      </c>
      <c r="D4778" t="inlineStr">
        <is>
          <t>Asset</t>
        </is>
      </c>
      <c r="E4778" t="inlineStr">
        <is>
          <t>Riau Planted Area</t>
        </is>
      </c>
      <c r="F4778" t="n">
        <v>56145</v>
      </c>
      <c r="G4778" t="inlineStr">
        <is>
          <t>ha</t>
        </is>
      </c>
      <c r="H4778" t="n">
        <v>7</v>
      </c>
      <c r="I4778" t="inlineStr">
        <is>
          <t>Riau 56.145 56.307 56.359</t>
        </is>
      </c>
      <c r="J4778" t="inlineStr">
        <is>
          <t>High</t>
        </is>
      </c>
      <c r="M4778" t="inlineStr">
        <is>
          <t>LLM</t>
        </is>
      </c>
      <c r="N4778" t="inlineStr">
        <is>
          <t>2026-04-19</t>
        </is>
      </c>
      <c r="O4778" t="inlineStr">
        <is>
          <t>AI</t>
        </is>
      </c>
    </row>
    <row r="4779">
      <c r="A4779" t="inlineStr">
        <is>
          <t>PT Salim Ivomas Pratama Tbk</t>
        </is>
      </c>
      <c r="B4779" t="inlineStr">
        <is>
          <t>SIMP_2022_AR.pdf</t>
        </is>
      </c>
      <c r="C4779" t="n">
        <v>2022</v>
      </c>
      <c r="D4779" t="inlineStr">
        <is>
          <t>Asset</t>
        </is>
      </c>
      <c r="E4779" t="inlineStr">
        <is>
          <t>North Sumatra Planted Area</t>
        </is>
      </c>
      <c r="F4779" t="n">
        <v>36473</v>
      </c>
      <c r="G4779" t="inlineStr">
        <is>
          <t>ha</t>
        </is>
      </c>
      <c r="H4779" t="n">
        <v>7</v>
      </c>
      <c r="I4779" t="inlineStr">
        <is>
          <t>North Sumatra 36.473 38.236 37.990</t>
        </is>
      </c>
      <c r="J4779" t="inlineStr">
        <is>
          <t>High</t>
        </is>
      </c>
      <c r="M4779" t="inlineStr">
        <is>
          <t>LLM</t>
        </is>
      </c>
      <c r="N4779" t="inlineStr">
        <is>
          <t>2026-04-19</t>
        </is>
      </c>
      <c r="O4779" t="inlineStr">
        <is>
          <t>AI</t>
        </is>
      </c>
    </row>
    <row r="4780">
      <c r="A4780" t="inlineStr">
        <is>
          <t>PT Salim Ivomas Pratama Tbk</t>
        </is>
      </c>
      <c r="B4780" t="inlineStr">
        <is>
          <t>SIMP_2022_AR.pdf</t>
        </is>
      </c>
      <c r="C4780" t="n">
        <v>2022</v>
      </c>
      <c r="D4780" t="inlineStr">
        <is>
          <t>Asset</t>
        </is>
      </c>
      <c r="E4780" t="inlineStr">
        <is>
          <t>South Sumatra Planted Area</t>
        </is>
      </c>
      <c r="F4780" t="n">
        <v>95919</v>
      </c>
      <c r="G4780" t="inlineStr">
        <is>
          <t>ha</t>
        </is>
      </c>
      <c r="H4780" t="n">
        <v>7</v>
      </c>
      <c r="I4780" t="inlineStr">
        <is>
          <t>South Sumatra 95.919 98.088 97.979</t>
        </is>
      </c>
      <c r="J4780" t="inlineStr">
        <is>
          <t>High</t>
        </is>
      </c>
      <c r="M4780" t="inlineStr">
        <is>
          <t>LLM</t>
        </is>
      </c>
      <c r="N4780" t="inlineStr">
        <is>
          <t>2026-04-19</t>
        </is>
      </c>
      <c r="O4780" t="inlineStr">
        <is>
          <t>AI</t>
        </is>
      </c>
    </row>
    <row r="4781">
      <c r="A4781" t="inlineStr">
        <is>
          <t>PT Salim Ivomas Pratama Tbk</t>
        </is>
      </c>
      <c r="B4781" t="inlineStr">
        <is>
          <t>SIMP_2022_AR.pdf</t>
        </is>
      </c>
      <c r="C4781" t="n">
        <v>2022</v>
      </c>
      <c r="D4781" t="inlineStr">
        <is>
          <t>Asset</t>
        </is>
      </c>
      <c r="E4781" t="inlineStr">
        <is>
          <t>West Kalimantan Planted Area</t>
        </is>
      </c>
      <c r="F4781" t="n">
        <v>24742</v>
      </c>
      <c r="G4781" t="inlineStr">
        <is>
          <t>ha</t>
        </is>
      </c>
      <c r="H4781" t="n">
        <v>7</v>
      </c>
      <c r="I4781" t="inlineStr">
        <is>
          <t>West Kalimantan 24.742 26.845 26.650</t>
        </is>
      </c>
      <c r="J4781" t="inlineStr">
        <is>
          <t>High</t>
        </is>
      </c>
      <c r="M4781" t="inlineStr">
        <is>
          <t>LLM</t>
        </is>
      </c>
      <c r="N4781" t="inlineStr">
        <is>
          <t>2026-04-19</t>
        </is>
      </c>
      <c r="O4781" t="inlineStr">
        <is>
          <t>AI</t>
        </is>
      </c>
    </row>
    <row r="4782">
      <c r="A4782" t="inlineStr">
        <is>
          <t>PT Salim Ivomas Pratama Tbk</t>
        </is>
      </c>
      <c r="B4782" t="inlineStr">
        <is>
          <t>SIMP_2022_AR.pdf</t>
        </is>
      </c>
      <c r="C4782" t="n">
        <v>2022</v>
      </c>
      <c r="D4782" t="inlineStr">
        <is>
          <t>Asset</t>
        </is>
      </c>
      <c r="E4782" t="inlineStr">
        <is>
          <t>East Kalimantan Planted Area</t>
        </is>
      </c>
      <c r="F4782" t="n">
        <v>61651</v>
      </c>
      <c r="G4782" t="inlineStr">
        <is>
          <t>ha</t>
        </is>
      </c>
      <c r="H4782" t="n">
        <v>7</v>
      </c>
      <c r="I4782" t="inlineStr">
        <is>
          <t>East Kalimantan 61.651 61.453 64.225</t>
        </is>
      </c>
      <c r="J4782" t="inlineStr">
        <is>
          <t>High</t>
        </is>
      </c>
      <c r="M4782" t="inlineStr">
        <is>
          <t>LLM</t>
        </is>
      </c>
      <c r="N4782" t="inlineStr">
        <is>
          <t>2026-04-19</t>
        </is>
      </c>
      <c r="O4782" t="inlineStr">
        <is>
          <t>AI</t>
        </is>
      </c>
    </row>
    <row r="4783">
      <c r="A4783" t="inlineStr">
        <is>
          <t>PT Salim Ivomas Pratama Tbk</t>
        </is>
      </c>
      <c r="B4783" t="inlineStr">
        <is>
          <t>SIMP_2022_AR.pdf</t>
        </is>
      </c>
      <c r="C4783" t="n">
        <v>2022</v>
      </c>
      <c r="D4783" t="inlineStr">
        <is>
          <t>Asset</t>
        </is>
      </c>
      <c r="E4783" t="inlineStr">
        <is>
          <t>Central Kalimantan Planted Area</t>
        </is>
      </c>
      <c r="F4783" t="n">
        <v>10842</v>
      </c>
      <c r="G4783" t="inlineStr">
        <is>
          <t>ha</t>
        </is>
      </c>
      <c r="H4783" t="n">
        <v>7</v>
      </c>
      <c r="I4783" t="inlineStr">
        <is>
          <t>Central Kalimantan 10.842 10.987 11.329</t>
        </is>
      </c>
      <c r="J4783" t="inlineStr">
        <is>
          <t>High</t>
        </is>
      </c>
      <c r="M4783" t="inlineStr">
        <is>
          <t>LLM</t>
        </is>
      </c>
      <c r="N4783" t="inlineStr">
        <is>
          <t>2026-04-19</t>
        </is>
      </c>
      <c r="O4783" t="inlineStr">
        <is>
          <t>AI</t>
        </is>
      </c>
    </row>
    <row r="4784">
      <c r="A4784" t="inlineStr">
        <is>
          <t>PT Salim Ivomas Pratama Tbk</t>
        </is>
      </c>
      <c r="B4784" t="inlineStr">
        <is>
          <t>SIMP_2022_AR.pdf</t>
        </is>
      </c>
      <c r="C4784" t="n">
        <v>2022</v>
      </c>
      <c r="D4784" t="inlineStr">
        <is>
          <t>Asset</t>
        </is>
      </c>
      <c r="E4784" t="inlineStr">
        <is>
          <t>Java Planted Area</t>
        </is>
      </c>
      <c r="F4784" t="n">
        <v>3249</v>
      </c>
      <c r="G4784" t="inlineStr">
        <is>
          <t>ha</t>
        </is>
      </c>
      <c r="H4784" t="n">
        <v>7</v>
      </c>
      <c r="I4784" t="inlineStr">
        <is>
          <t>Java 3.249 3.263 3.229</t>
        </is>
      </c>
      <c r="J4784" t="inlineStr">
        <is>
          <t>High</t>
        </is>
      </c>
      <c r="M4784" t="inlineStr">
        <is>
          <t>LLM</t>
        </is>
      </c>
      <c r="N4784" t="inlineStr">
        <is>
          <t>2026-04-19</t>
        </is>
      </c>
      <c r="O4784" t="inlineStr">
        <is>
          <t>AI</t>
        </is>
      </c>
    </row>
    <row r="4785">
      <c r="A4785" t="inlineStr">
        <is>
          <t>PT Salim Ivomas Pratama Tbk</t>
        </is>
      </c>
      <c r="B4785" t="inlineStr">
        <is>
          <t>SIMP_2022_AR.pdf</t>
        </is>
      </c>
      <c r="C4785" t="n">
        <v>2022</v>
      </c>
      <c r="D4785" t="inlineStr">
        <is>
          <t>Asset</t>
        </is>
      </c>
      <c r="E4785" t="inlineStr">
        <is>
          <t>Sulawesi Planted Area</t>
        </is>
      </c>
      <c r="F4785" t="n">
        <v>5467</v>
      </c>
      <c r="G4785" t="inlineStr">
        <is>
          <t>ha</t>
        </is>
      </c>
      <c r="H4785" t="n">
        <v>7</v>
      </c>
      <c r="I4785" t="inlineStr">
        <is>
          <t>Sulawesi 5.467 5.570 5.388</t>
        </is>
      </c>
      <c r="J4785" t="inlineStr">
        <is>
          <t>High</t>
        </is>
      </c>
      <c r="M4785" t="inlineStr">
        <is>
          <t>LLM</t>
        </is>
      </c>
      <c r="N4785" t="inlineStr">
        <is>
          <t>2026-04-19</t>
        </is>
      </c>
      <c r="O4785" t="inlineStr">
        <is>
          <t>AI</t>
        </is>
      </c>
    </row>
    <row r="4786">
      <c r="A4786" t="inlineStr">
        <is>
          <t>PT Salim Ivomas Pratama Tbk</t>
        </is>
      </c>
      <c r="B4786" t="inlineStr">
        <is>
          <t>SIMP_2022_AR.pdf</t>
        </is>
      </c>
      <c r="C4786" t="n">
        <v>2022</v>
      </c>
      <c r="D4786" t="inlineStr">
        <is>
          <t>Asset</t>
        </is>
      </c>
      <c r="E4786" t="inlineStr">
        <is>
          <t>Palm Oil Mills Count</t>
        </is>
      </c>
      <c r="F4786" t="n">
        <v>27</v>
      </c>
      <c r="G4786" t="inlineStr">
        <is>
          <t>count</t>
        </is>
      </c>
      <c r="H4786" t="n">
        <v>11</v>
      </c>
      <c r="I4786" t="inlineStr">
        <is>
          <t>27 palm oil mills across Sumatra and Kalimantan with a combined Fresh Fruit Bunches (FFB) processing capacity of 7.2 million tonnes per annum</t>
        </is>
      </c>
      <c r="J4786" t="inlineStr">
        <is>
          <t>High</t>
        </is>
      </c>
      <c r="M4786" t="inlineStr">
        <is>
          <t>LLM</t>
        </is>
      </c>
      <c r="N4786" t="inlineStr">
        <is>
          <t>2026-04-19</t>
        </is>
      </c>
      <c r="O4786" t="inlineStr">
        <is>
          <t>AI</t>
        </is>
      </c>
    </row>
    <row r="4787">
      <c r="A4787" t="inlineStr">
        <is>
          <t>PT Salim Ivomas Pratama Tbk</t>
        </is>
      </c>
      <c r="B4787" t="inlineStr">
        <is>
          <t>SIMP_2022_AR.pdf</t>
        </is>
      </c>
      <c r="C4787" t="n">
        <v>2022</v>
      </c>
      <c r="D4787" t="inlineStr">
        <is>
          <t>Asset</t>
        </is>
      </c>
      <c r="E4787" t="inlineStr">
        <is>
          <t>Palm Oil Mills Capacity</t>
        </is>
      </c>
      <c r="F4787" t="n">
        <v>7200000</v>
      </c>
      <c r="G4787" t="inlineStr">
        <is>
          <t>t FFB/year</t>
        </is>
      </c>
      <c r="H4787" t="n">
        <v>11</v>
      </c>
      <c r="I4787" t="inlineStr">
        <is>
          <t>combined FFB processing capacity of 7.2 million tonnes per annum</t>
        </is>
      </c>
      <c r="J4787" t="inlineStr">
        <is>
          <t>High</t>
        </is>
      </c>
      <c r="M4787" t="inlineStr">
        <is>
          <t>LLM</t>
        </is>
      </c>
      <c r="N4787" t="inlineStr">
        <is>
          <t>2026-04-19</t>
        </is>
      </c>
      <c r="O4787" t="inlineStr">
        <is>
          <t>AI</t>
        </is>
      </c>
    </row>
    <row r="4788">
      <c r="A4788" t="inlineStr">
        <is>
          <t>PT Salim Ivomas Pratama Tbk</t>
        </is>
      </c>
      <c r="B4788" t="inlineStr">
        <is>
          <t>SIMP_2022_AR.pdf</t>
        </is>
      </c>
      <c r="C4788" t="n">
        <v>2022</v>
      </c>
      <c r="D4788" t="inlineStr">
        <is>
          <t>Asset</t>
        </is>
      </c>
      <c r="E4788" t="inlineStr">
        <is>
          <t>CPO Refineries Count</t>
        </is>
      </c>
      <c r="F4788" t="n">
        <v>5</v>
      </c>
      <c r="G4788" t="inlineStr">
        <is>
          <t>count</t>
        </is>
      </c>
      <c r="H4788" t="n">
        <v>11</v>
      </c>
      <c r="I4788" t="inlineStr">
        <is>
          <t>5 CPO refineries with a total processing capacity of 1.7 million tonnes CPO per year</t>
        </is>
      </c>
      <c r="J4788" t="inlineStr">
        <is>
          <t>High</t>
        </is>
      </c>
      <c r="M4788" t="inlineStr">
        <is>
          <t>LLM</t>
        </is>
      </c>
      <c r="N4788" t="inlineStr">
        <is>
          <t>2026-04-19</t>
        </is>
      </c>
      <c r="O4788" t="inlineStr">
        <is>
          <t>AI</t>
        </is>
      </c>
    </row>
    <row r="4789">
      <c r="A4789" t="inlineStr">
        <is>
          <t>PT Salim Ivomas Pratama Tbk</t>
        </is>
      </c>
      <c r="B4789" t="inlineStr">
        <is>
          <t>SIMP_2022_AR.pdf</t>
        </is>
      </c>
      <c r="C4789" t="n">
        <v>2022</v>
      </c>
      <c r="D4789" t="inlineStr">
        <is>
          <t>Asset</t>
        </is>
      </c>
      <c r="E4789" t="inlineStr">
        <is>
          <t>CPO Refinery Capacity</t>
        </is>
      </c>
      <c r="F4789" t="n">
        <v>1700000</v>
      </c>
      <c r="G4789" t="inlineStr">
        <is>
          <t>t CPO/year</t>
        </is>
      </c>
      <c r="H4789" t="n">
        <v>11</v>
      </c>
      <c r="I4789" t="inlineStr">
        <is>
          <t>total processing capacity of 1.7 million tonnes CPO per year</t>
        </is>
      </c>
      <c r="J4789" t="inlineStr">
        <is>
          <t>High</t>
        </is>
      </c>
      <c r="M4789" t="inlineStr">
        <is>
          <t>LLM</t>
        </is>
      </c>
      <c r="N4789" t="inlineStr">
        <is>
          <t>2026-04-19</t>
        </is>
      </c>
      <c r="O4789" t="inlineStr">
        <is>
          <t>AI</t>
        </is>
      </c>
    </row>
    <row r="4790">
      <c r="A4790" t="inlineStr">
        <is>
          <t>PT Salim Ivomas Pratama Tbk</t>
        </is>
      </c>
      <c r="B4790" t="inlineStr">
        <is>
          <t>SIMP_2022_AR.pdf</t>
        </is>
      </c>
      <c r="C4790" t="n">
        <v>2022</v>
      </c>
      <c r="D4790" t="inlineStr">
        <is>
          <t>Asset</t>
        </is>
      </c>
      <c r="E4790" t="inlineStr">
        <is>
          <t>Sugar Mills &amp; Refineries</t>
        </is>
      </c>
      <c r="F4790" t="n">
        <v>2</v>
      </c>
      <c r="G4790" t="inlineStr">
        <is>
          <t>count</t>
        </is>
      </c>
      <c r="H4790" t="n">
        <v>11</v>
      </c>
      <c r="I4790" t="inlineStr">
        <is>
          <t>2 sugar mills and refineries</t>
        </is>
      </c>
      <c r="J4790" t="inlineStr">
        <is>
          <t>High</t>
        </is>
      </c>
      <c r="M4790" t="inlineStr">
        <is>
          <t>LLM</t>
        </is>
      </c>
      <c r="N4790" t="inlineStr">
        <is>
          <t>2026-04-19</t>
        </is>
      </c>
      <c r="O4790" t="inlineStr">
        <is>
          <t>AI</t>
        </is>
      </c>
    </row>
    <row r="4791">
      <c r="A4791" t="inlineStr">
        <is>
          <t>PT Salim Ivomas Pratama Tbk</t>
        </is>
      </c>
      <c r="B4791" t="inlineStr">
        <is>
          <t>SIMP_2022_AR.pdf</t>
        </is>
      </c>
      <c r="C4791" t="n">
        <v>2022</v>
      </c>
      <c r="D4791" t="inlineStr">
        <is>
          <t>Asset</t>
        </is>
      </c>
      <c r="E4791" t="inlineStr">
        <is>
          <t>Crumb Rubber Processing Facilities</t>
        </is>
      </c>
      <c r="F4791" t="n">
        <v>3</v>
      </c>
      <c r="G4791" t="inlineStr">
        <is>
          <t>count</t>
        </is>
      </c>
      <c r="H4791" t="n">
        <v>11</v>
      </c>
      <c r="I4791" t="inlineStr">
        <is>
          <t>3 crumb rubber processing facilities</t>
        </is>
      </c>
      <c r="J4791" t="inlineStr">
        <is>
          <t>High</t>
        </is>
      </c>
      <c r="M4791" t="inlineStr">
        <is>
          <t>LLM</t>
        </is>
      </c>
      <c r="N4791" t="inlineStr">
        <is>
          <t>2026-04-19</t>
        </is>
      </c>
      <c r="O4791" t="inlineStr">
        <is>
          <t>AI</t>
        </is>
      </c>
    </row>
    <row r="4792">
      <c r="A4792" t="inlineStr">
        <is>
          <t>PT Salim Ivomas Pratama Tbk</t>
        </is>
      </c>
      <c r="B4792" t="inlineStr">
        <is>
          <t>SIMP_2022_AR.pdf</t>
        </is>
      </c>
      <c r="C4792" t="n">
        <v>2022</v>
      </c>
      <c r="D4792" t="inlineStr">
        <is>
          <t>Asset</t>
        </is>
      </c>
      <c r="E4792" t="inlineStr">
        <is>
          <t>Sheet Rubber Processing Facilities</t>
        </is>
      </c>
      <c r="F4792" t="n">
        <v>2</v>
      </c>
      <c r="G4792" t="inlineStr">
        <is>
          <t>count</t>
        </is>
      </c>
      <c r="H4792" t="n">
        <v>11</v>
      </c>
      <c r="I4792" t="inlineStr">
        <is>
          <t>2 sheet rubber processing facilities</t>
        </is>
      </c>
      <c r="J4792" t="inlineStr">
        <is>
          <t>High</t>
        </is>
      </c>
      <c r="M4792" t="inlineStr">
        <is>
          <t>LLM</t>
        </is>
      </c>
      <c r="N4792" t="inlineStr">
        <is>
          <t>2026-04-19</t>
        </is>
      </c>
      <c r="O4792" t="inlineStr">
        <is>
          <t>AI</t>
        </is>
      </c>
    </row>
    <row r="4793">
      <c r="A4793" t="inlineStr">
        <is>
          <t>PT Salim Ivomas Pratama Tbk</t>
        </is>
      </c>
      <c r="B4793" t="inlineStr">
        <is>
          <t>SIMP_2022_AR.pdf</t>
        </is>
      </c>
      <c r="C4793" t="n">
        <v>2022</v>
      </c>
      <c r="D4793" t="inlineStr">
        <is>
          <t>Operation</t>
        </is>
      </c>
      <c r="E4793" t="inlineStr">
        <is>
          <t>FFB Total Production</t>
        </is>
      </c>
      <c r="F4793" t="n">
        <v>3741</v>
      </c>
      <c r="G4793" t="inlineStr">
        <is>
          <t>thousand t</t>
        </is>
      </c>
      <c r="H4793" t="n">
        <v>7</v>
      </c>
      <c r="I4793" t="inlineStr">
        <is>
          <t>Total Fresh Fruit Bunches (FFB) 3.741 3.455 3.710</t>
        </is>
      </c>
      <c r="J4793" t="inlineStr">
        <is>
          <t>High</t>
        </is>
      </c>
      <c r="M4793" t="inlineStr">
        <is>
          <t>LLM</t>
        </is>
      </c>
      <c r="N4793" t="inlineStr">
        <is>
          <t>2026-04-19</t>
        </is>
      </c>
      <c r="O4793" t="inlineStr">
        <is>
          <t>AI</t>
        </is>
      </c>
    </row>
    <row r="4794">
      <c r="A4794" t="inlineStr">
        <is>
          <t>PT Salim Ivomas Pratama Tbk</t>
        </is>
      </c>
      <c r="B4794" t="inlineStr">
        <is>
          <t>SIMP_2022_AR.pdf</t>
        </is>
      </c>
      <c r="C4794" t="n">
        <v>2022</v>
      </c>
      <c r="D4794" t="inlineStr">
        <is>
          <t>Operation</t>
        </is>
      </c>
      <c r="E4794" t="inlineStr">
        <is>
          <t>FFB Nucleus Production</t>
        </is>
      </c>
      <c r="F4794" t="n">
        <v>2812</v>
      </c>
      <c r="G4794" t="inlineStr">
        <is>
          <t>thousand t</t>
        </is>
      </c>
      <c r="H4794" t="n">
        <v>7</v>
      </c>
      <c r="I4794" t="inlineStr">
        <is>
          <t>FFB - Nucleus 2.812 2.761 2.986</t>
        </is>
      </c>
      <c r="J4794" t="inlineStr">
        <is>
          <t>High</t>
        </is>
      </c>
      <c r="M4794" t="inlineStr">
        <is>
          <t>LLM</t>
        </is>
      </c>
      <c r="N4794" t="inlineStr">
        <is>
          <t>2026-04-19</t>
        </is>
      </c>
      <c r="O4794" t="inlineStr">
        <is>
          <t>AI</t>
        </is>
      </c>
    </row>
    <row r="4795">
      <c r="A4795" t="inlineStr">
        <is>
          <t>PT Salim Ivomas Pratama Tbk</t>
        </is>
      </c>
      <c r="B4795" t="inlineStr">
        <is>
          <t>SIMP_2022_AR.pdf</t>
        </is>
      </c>
      <c r="C4795" t="n">
        <v>2022</v>
      </c>
      <c r="D4795" t="inlineStr">
        <is>
          <t>Operation</t>
        </is>
      </c>
      <c r="E4795" t="inlineStr">
        <is>
          <t>CPO Production</t>
        </is>
      </c>
      <c r="F4795" t="n">
        <v>736</v>
      </c>
      <c r="G4795" t="inlineStr">
        <is>
          <t>thousand t</t>
        </is>
      </c>
      <c r="H4795" t="n">
        <v>7</v>
      </c>
      <c r="I4795" t="inlineStr">
        <is>
          <t>Crude Palm Oil (CPO) 736 687 737</t>
        </is>
      </c>
      <c r="J4795" t="inlineStr">
        <is>
          <t>High</t>
        </is>
      </c>
      <c r="M4795" t="inlineStr">
        <is>
          <t>LLM</t>
        </is>
      </c>
      <c r="N4795" t="inlineStr">
        <is>
          <t>2026-04-19</t>
        </is>
      </c>
      <c r="O4795" t="inlineStr">
        <is>
          <t>AI</t>
        </is>
      </c>
    </row>
    <row r="4796">
      <c r="A4796" t="inlineStr">
        <is>
          <t>PT Salim Ivomas Pratama Tbk</t>
        </is>
      </c>
      <c r="B4796" t="inlineStr">
        <is>
          <t>SIMP_2022_AR.pdf</t>
        </is>
      </c>
      <c r="C4796" t="n">
        <v>2022</v>
      </c>
      <c r="D4796" t="inlineStr">
        <is>
          <t>Operation</t>
        </is>
      </c>
      <c r="E4796" t="inlineStr">
        <is>
          <t>Palm Kernel Production</t>
        </is>
      </c>
      <c r="F4796" t="n">
        <v>180</v>
      </c>
      <c r="G4796" t="inlineStr">
        <is>
          <t>thousand t</t>
        </is>
      </c>
      <c r="H4796" t="n">
        <v>7</v>
      </c>
      <c r="I4796" t="inlineStr">
        <is>
          <t>Palm Kernel (PK) 180 168 178</t>
        </is>
      </c>
      <c r="J4796" t="inlineStr">
        <is>
          <t>High</t>
        </is>
      </c>
      <c r="M4796" t="inlineStr">
        <is>
          <t>LLM</t>
        </is>
      </c>
      <c r="N4796" t="inlineStr">
        <is>
          <t>2026-04-19</t>
        </is>
      </c>
      <c r="O4796" t="inlineStr">
        <is>
          <t>AI</t>
        </is>
      </c>
    </row>
    <row r="4797">
      <c r="A4797" t="inlineStr">
        <is>
          <t>PT Salim Ivomas Pratama Tbk</t>
        </is>
      </c>
      <c r="B4797" t="inlineStr">
        <is>
          <t>SIMP_2022_AR.pdf</t>
        </is>
      </c>
      <c r="C4797" t="n">
        <v>2022</v>
      </c>
      <c r="D4797" t="inlineStr">
        <is>
          <t>Operation</t>
        </is>
      </c>
      <c r="E4797" t="inlineStr">
        <is>
          <t>Rubber Production</t>
        </is>
      </c>
      <c r="F4797" t="n">
        <v>5.2</v>
      </c>
      <c r="G4797" t="inlineStr">
        <is>
          <t>thousand t</t>
        </is>
      </c>
      <c r="H4797" t="n">
        <v>7</v>
      </c>
      <c r="I4797" t="inlineStr">
        <is>
          <t>Rubber 5,2 6,2 7,8</t>
        </is>
      </c>
      <c r="J4797" t="inlineStr">
        <is>
          <t>High</t>
        </is>
      </c>
      <c r="M4797" t="inlineStr">
        <is>
          <t>LLM</t>
        </is>
      </c>
      <c r="N4797" t="inlineStr">
        <is>
          <t>2026-04-19</t>
        </is>
      </c>
      <c r="O4797" t="inlineStr">
        <is>
          <t>AI</t>
        </is>
      </c>
    </row>
    <row r="4798">
      <c r="A4798" t="inlineStr">
        <is>
          <t>PT Salim Ivomas Pratama Tbk</t>
        </is>
      </c>
      <c r="B4798" t="inlineStr">
        <is>
          <t>SIMP_2022_AR.pdf</t>
        </is>
      </c>
      <c r="C4798" t="n">
        <v>2022</v>
      </c>
      <c r="D4798" t="inlineStr">
        <is>
          <t>Operation</t>
        </is>
      </c>
      <c r="E4798" t="inlineStr">
        <is>
          <t>Sugar Production</t>
        </is>
      </c>
      <c r="F4798" t="n">
        <v>57</v>
      </c>
      <c r="G4798" t="inlineStr">
        <is>
          <t>thousand t</t>
        </is>
      </c>
      <c r="H4798" t="n">
        <v>7</v>
      </c>
      <c r="I4798" t="inlineStr">
        <is>
          <t>Sugar1 57 57 55</t>
        </is>
      </c>
      <c r="J4798" t="inlineStr">
        <is>
          <t>High</t>
        </is>
      </c>
      <c r="M4798" t="inlineStr">
        <is>
          <t>LLM</t>
        </is>
      </c>
      <c r="N4798" t="inlineStr">
        <is>
          <t>2026-04-19</t>
        </is>
      </c>
      <c r="O4798" t="inlineStr">
        <is>
          <t>AI</t>
        </is>
      </c>
    </row>
    <row r="4799">
      <c r="A4799" t="inlineStr">
        <is>
          <t>PT Salim Ivomas Pratama Tbk</t>
        </is>
      </c>
      <c r="B4799" t="inlineStr">
        <is>
          <t>SIMP_2022_AR.pdf</t>
        </is>
      </c>
      <c r="C4799" t="n">
        <v>2022</v>
      </c>
      <c r="D4799" t="inlineStr">
        <is>
          <t>Operation</t>
        </is>
      </c>
      <c r="E4799" t="inlineStr">
        <is>
          <t>CPO Sales Volume</t>
        </is>
      </c>
      <c r="F4799" t="n">
        <v>701</v>
      </c>
      <c r="G4799" t="inlineStr">
        <is>
          <t>thousand t</t>
        </is>
      </c>
      <c r="H4799" t="n">
        <v>7</v>
      </c>
      <c r="I4799" t="inlineStr">
        <is>
          <t>CPO2 701 698 748</t>
        </is>
      </c>
      <c r="J4799" t="inlineStr">
        <is>
          <t>High</t>
        </is>
      </c>
      <c r="M4799" t="inlineStr">
        <is>
          <t>LLM</t>
        </is>
      </c>
      <c r="N4799" t="inlineStr">
        <is>
          <t>2026-04-19</t>
        </is>
      </c>
      <c r="O4799" t="inlineStr">
        <is>
          <t>AI</t>
        </is>
      </c>
    </row>
    <row r="4800">
      <c r="A4800" t="inlineStr">
        <is>
          <t>PT Salim Ivomas Pratama Tbk</t>
        </is>
      </c>
      <c r="B4800" t="inlineStr">
        <is>
          <t>SIMP_2022_AR.pdf</t>
        </is>
      </c>
      <c r="C4800" t="n">
        <v>2022</v>
      </c>
      <c r="D4800" t="inlineStr">
        <is>
          <t>Operation</t>
        </is>
      </c>
      <c r="E4800" t="inlineStr">
        <is>
          <t>PK and PK-derivatives Sales Volume</t>
        </is>
      </c>
      <c r="F4800" t="n">
        <v>166</v>
      </c>
      <c r="G4800" t="inlineStr">
        <is>
          <t>thousand t</t>
        </is>
      </c>
      <c r="H4800" t="n">
        <v>7</v>
      </c>
      <c r="I4800" t="inlineStr">
        <is>
          <t>PK and PK Related Products3 166 162 183</t>
        </is>
      </c>
      <c r="J4800" t="inlineStr">
        <is>
          <t>High</t>
        </is>
      </c>
      <c r="M4800" t="inlineStr">
        <is>
          <t>LLM</t>
        </is>
      </c>
      <c r="N4800" t="inlineStr">
        <is>
          <t>2026-04-19</t>
        </is>
      </c>
      <c r="O4800" t="inlineStr">
        <is>
          <t>AI</t>
        </is>
      </c>
    </row>
    <row r="4801">
      <c r="A4801" t="inlineStr">
        <is>
          <t>PT Salim Ivomas Pratama Tbk</t>
        </is>
      </c>
      <c r="B4801" t="inlineStr">
        <is>
          <t>SIMP_2022_AR.pdf</t>
        </is>
      </c>
      <c r="C4801" t="n">
        <v>2022</v>
      </c>
      <c r="D4801" t="inlineStr">
        <is>
          <t>Operation</t>
        </is>
      </c>
      <c r="E4801" t="inlineStr">
        <is>
          <t>Oil Palm Seeds Sales</t>
        </is>
      </c>
      <c r="F4801" t="n">
        <v>9.300000000000001</v>
      </c>
      <c r="G4801" t="inlineStr">
        <is>
          <t>mn units</t>
        </is>
      </c>
      <c r="H4801" t="n">
        <v>7</v>
      </c>
      <c r="I4801" t="inlineStr">
        <is>
          <t>Oil Palm Seeds (mn) 9,3 6,3 5,9</t>
        </is>
      </c>
      <c r="J4801" t="inlineStr">
        <is>
          <t>High</t>
        </is>
      </c>
      <c r="M4801" t="inlineStr">
        <is>
          <t>LLM</t>
        </is>
      </c>
      <c r="N4801" t="inlineStr">
        <is>
          <t>2026-04-19</t>
        </is>
      </c>
      <c r="O4801" t="inlineStr">
        <is>
          <t>AI</t>
        </is>
      </c>
    </row>
    <row r="4802">
      <c r="A4802" t="inlineStr">
        <is>
          <t>PT Salim Ivomas Pratama Tbk</t>
        </is>
      </c>
      <c r="B4802" t="inlineStr">
        <is>
          <t>SIMP_2022_AR.pdf</t>
        </is>
      </c>
      <c r="C4802" t="n">
        <v>2022</v>
      </c>
      <c r="D4802" t="inlineStr">
        <is>
          <t>Operation</t>
        </is>
      </c>
      <c r="E4802" t="inlineStr">
        <is>
          <t>CPO Price Peak 2022 (CIF Rotterdam)</t>
        </is>
      </c>
      <c r="F4802" t="n">
        <v>1868</v>
      </c>
      <c r="G4802" t="inlineStr">
        <is>
          <t>USD/t</t>
        </is>
      </c>
      <c r="H4802" t="n">
        <v>19</v>
      </c>
      <c r="I4802" t="inlineStr">
        <is>
          <t>peaked at USD1,868 per ton in March 2022</t>
        </is>
      </c>
      <c r="J4802" t="inlineStr">
        <is>
          <t>Medium</t>
        </is>
      </c>
      <c r="M4802" t="inlineStr">
        <is>
          <t>LLM</t>
        </is>
      </c>
      <c r="N4802" t="inlineStr">
        <is>
          <t>2026-04-19</t>
        </is>
      </c>
      <c r="O4802" t="inlineStr">
        <is>
          <t>AI</t>
        </is>
      </c>
    </row>
    <row r="4803">
      <c r="A4803" t="inlineStr">
        <is>
          <t>PT Salim Ivomas Pratama Tbk</t>
        </is>
      </c>
      <c r="B4803" t="inlineStr">
        <is>
          <t>SIMP_2022_AR.pdf</t>
        </is>
      </c>
      <c r="C4803" t="n">
        <v>2022</v>
      </c>
      <c r="D4803" t="inlineStr">
        <is>
          <t>Operation</t>
        </is>
      </c>
      <c r="E4803" t="inlineStr">
        <is>
          <t>USD/IDR Year-end 2022</t>
        </is>
      </c>
      <c r="F4803" t="n">
        <v>15731</v>
      </c>
      <c r="G4803" t="inlineStr">
        <is>
          <t>Rp/USD</t>
        </is>
      </c>
      <c r="H4803" t="n">
        <v>19</v>
      </c>
      <c r="I4803" t="inlineStr">
        <is>
          <t>the year at Rp15,731 compared to Rp14,269 in 2021</t>
        </is>
      </c>
      <c r="J4803" t="inlineStr">
        <is>
          <t>High</t>
        </is>
      </c>
      <c r="M4803" t="inlineStr">
        <is>
          <t>LLM</t>
        </is>
      </c>
      <c r="N4803" t="inlineStr">
        <is>
          <t>2026-04-19</t>
        </is>
      </c>
      <c r="O4803" t="inlineStr">
        <is>
          <t>AI</t>
        </is>
      </c>
    </row>
    <row r="4804">
      <c r="A4804" t="inlineStr">
        <is>
          <t>PT Salim Ivomas Pratama Tbk</t>
        </is>
      </c>
      <c r="B4804" t="inlineStr">
        <is>
          <t>SIMP_2023_AR.pdf</t>
        </is>
      </c>
      <c r="C4804" t="n">
        <v>2023</v>
      </c>
      <c r="D4804" t="inlineStr">
        <is>
          <t>Company</t>
        </is>
      </c>
      <c r="E4804" t="inlineStr">
        <is>
          <t>Company Name</t>
        </is>
      </c>
      <c r="F4804" t="inlineStr">
        <is>
          <t>PT Salim Ivomas Pratama Tbk</t>
        </is>
      </c>
      <c r="G4804" t="inlineStr">
        <is>
          <t>text</t>
        </is>
      </c>
      <c r="H4804" t="n">
        <v>1</v>
      </c>
      <c r="I4804" t="inlineStr">
        <is>
          <t>PT SALIM IVOMAS PRATAMA TBK - Annual Report 2023</t>
        </is>
      </c>
      <c r="J4804" t="inlineStr">
        <is>
          <t>High</t>
        </is>
      </c>
      <c r="M4804" t="inlineStr">
        <is>
          <t>LLM</t>
        </is>
      </c>
      <c r="N4804" t="inlineStr">
        <is>
          <t>2026-04-19</t>
        </is>
      </c>
      <c r="O4804" t="inlineStr">
        <is>
          <t>AI</t>
        </is>
      </c>
    </row>
    <row r="4805">
      <c r="A4805" t="inlineStr">
        <is>
          <t>PT Salim Ivomas Pratama Tbk</t>
        </is>
      </c>
      <c r="B4805" t="inlineStr">
        <is>
          <t>SIMP_2023_AR.pdf</t>
        </is>
      </c>
      <c r="C4805" t="n">
        <v>2023</v>
      </c>
      <c r="D4805" t="inlineStr">
        <is>
          <t>Company</t>
        </is>
      </c>
      <c r="E4805" t="inlineStr">
        <is>
          <t>Ticker</t>
        </is>
      </c>
      <c r="F4805" t="inlineStr">
        <is>
          <t>SIMP</t>
        </is>
      </c>
      <c r="G4805" t="inlineStr">
        <is>
          <t>text</t>
        </is>
      </c>
      <c r="H4805" t="n">
        <v>17</v>
      </c>
      <c r="I4805" t="inlineStr">
        <is>
          <t>Listed on Indonesia Stock Exchange (IDX: SIMP)</t>
        </is>
      </c>
      <c r="J4805" t="inlineStr">
        <is>
          <t>High</t>
        </is>
      </c>
      <c r="M4805" t="inlineStr">
        <is>
          <t>LLM</t>
        </is>
      </c>
      <c r="N4805" t="inlineStr">
        <is>
          <t>2026-04-19</t>
        </is>
      </c>
      <c r="O4805" t="inlineStr">
        <is>
          <t>AI</t>
        </is>
      </c>
    </row>
    <row r="4806">
      <c r="A4806" t="inlineStr">
        <is>
          <t>PT Salim Ivomas Pratama Tbk</t>
        </is>
      </c>
      <c r="B4806" t="inlineStr">
        <is>
          <t>SIMP_2023_AR.pdf</t>
        </is>
      </c>
      <c r="C4806" t="n">
        <v>2023</v>
      </c>
      <c r="D4806" t="inlineStr">
        <is>
          <t>Company</t>
        </is>
      </c>
      <c r="E4806" t="inlineStr">
        <is>
          <t>Parent - Indofood Agri Resources Ltd</t>
        </is>
      </c>
      <c r="F4806" t="n">
        <v>0.7346</v>
      </c>
      <c r="G4806" t="inlineStr">
        <is>
          <t>%</t>
        </is>
      </c>
      <c r="H4806" t="n">
        <v>12</v>
      </c>
      <c r="I4806" t="inlineStr">
        <is>
          <t>Indofood Agri Resources Ltd. 11.387.745.000 73,46%</t>
        </is>
      </c>
      <c r="J4806" t="inlineStr">
        <is>
          <t>High</t>
        </is>
      </c>
      <c r="M4806" t="inlineStr">
        <is>
          <t>LLM</t>
        </is>
      </c>
      <c r="N4806" t="inlineStr">
        <is>
          <t>2026-04-19</t>
        </is>
      </c>
      <c r="O4806" t="inlineStr">
        <is>
          <t>AI</t>
        </is>
      </c>
    </row>
    <row r="4807">
      <c r="A4807" t="inlineStr">
        <is>
          <t>PT Salim Ivomas Pratama Tbk</t>
        </is>
      </c>
      <c r="B4807" t="inlineStr">
        <is>
          <t>SIMP_2023_AR.pdf</t>
        </is>
      </c>
      <c r="C4807" t="n">
        <v>2023</v>
      </c>
      <c r="D4807" t="inlineStr">
        <is>
          <t>Company</t>
        </is>
      </c>
      <c r="E4807" t="inlineStr">
        <is>
          <t>Parent - PT Indofood Sukses Makmur Tbk</t>
        </is>
      </c>
      <c r="F4807" t="n">
        <v>0.0668</v>
      </c>
      <c r="G4807" t="inlineStr">
        <is>
          <t>%</t>
        </is>
      </c>
      <c r="H4807" t="n">
        <v>12</v>
      </c>
      <c r="I4807" t="inlineStr">
        <is>
          <t>PT Indofood Sukses Makmur Tbk 1.035.306.400 6,68%</t>
        </is>
      </c>
      <c r="J4807" t="inlineStr">
        <is>
          <t>High</t>
        </is>
      </c>
      <c r="M4807" t="inlineStr">
        <is>
          <t>LLM</t>
        </is>
      </c>
      <c r="N4807" t="inlineStr">
        <is>
          <t>2026-04-19</t>
        </is>
      </c>
      <c r="O4807" t="inlineStr">
        <is>
          <t>AI</t>
        </is>
      </c>
    </row>
    <row r="4808">
      <c r="A4808" t="inlineStr">
        <is>
          <t>PT Salim Ivomas Pratama Tbk</t>
        </is>
      </c>
      <c r="B4808" t="inlineStr">
        <is>
          <t>SIMP_2023_AR.pdf</t>
        </is>
      </c>
      <c r="C4808" t="n">
        <v>2023</v>
      </c>
      <c r="D4808" t="inlineStr">
        <is>
          <t>Company</t>
        </is>
      </c>
      <c r="E4808" t="inlineStr">
        <is>
          <t>Public Float</t>
        </is>
      </c>
      <c r="F4808" t="n">
        <v>0.1986</v>
      </c>
      <c r="G4808" t="inlineStr">
        <is>
          <t>%</t>
        </is>
      </c>
      <c r="H4808" t="n">
        <v>12</v>
      </c>
      <c r="I4808" t="inlineStr">
        <is>
          <t>Public (with ownership interest below 5% each, including others) 3.077.338.600 19,86%</t>
        </is>
      </c>
      <c r="J4808" t="inlineStr">
        <is>
          <t>High</t>
        </is>
      </c>
      <c r="M4808" t="inlineStr">
        <is>
          <t>LLM</t>
        </is>
      </c>
      <c r="N4808" t="inlineStr">
        <is>
          <t>2026-04-19</t>
        </is>
      </c>
      <c r="O4808" t="inlineStr">
        <is>
          <t>AI</t>
        </is>
      </c>
    </row>
    <row r="4809">
      <c r="A4809" t="inlineStr">
        <is>
          <t>PT Salim Ivomas Pratama Tbk</t>
        </is>
      </c>
      <c r="B4809" t="inlineStr">
        <is>
          <t>SIMP_2023_AR.pdf</t>
        </is>
      </c>
      <c r="C4809" t="n">
        <v>2023</v>
      </c>
      <c r="D4809" t="inlineStr">
        <is>
          <t>Company</t>
        </is>
      </c>
      <c r="E4809" t="inlineStr">
        <is>
          <t>Ultimate Parent</t>
        </is>
      </c>
      <c r="F4809" t="inlineStr">
        <is>
          <t>First Pacific Company Limited (Hong Kong)</t>
        </is>
      </c>
      <c r="G4809" t="inlineStr">
        <is>
          <t>text</t>
        </is>
      </c>
      <c r="H4809" t="n">
        <v>12</v>
      </c>
      <c r="I4809" t="inlineStr">
        <is>
          <t>First Pacific Company Limited is a public listed company on the Hong Kong Stock Exchange... Mr. Anthoni Salim holds interest in and controls indirectly First Pacific Company Limited.</t>
        </is>
      </c>
      <c r="J4809" t="inlineStr">
        <is>
          <t>High</t>
        </is>
      </c>
      <c r="M4809" t="inlineStr">
        <is>
          <t>LLM</t>
        </is>
      </c>
      <c r="N4809" t="inlineStr">
        <is>
          <t>2026-04-19</t>
        </is>
      </c>
      <c r="O4809" t="inlineStr">
        <is>
          <t>AI</t>
        </is>
      </c>
    </row>
    <row r="4810">
      <c r="A4810" t="inlineStr">
        <is>
          <t>PT Salim Ivomas Pratama Tbk</t>
        </is>
      </c>
      <c r="B4810" t="inlineStr">
        <is>
          <t>SIMP_2023_AR.pdf</t>
        </is>
      </c>
      <c r="C4810" t="n">
        <v>2023</v>
      </c>
      <c r="D4810" t="inlineStr">
        <is>
          <t>Company</t>
        </is>
      </c>
      <c r="E4810" t="inlineStr">
        <is>
          <t>Effective IFAR Ownership via Indofood Singapore Holdings</t>
        </is>
      </c>
      <c r="F4810" t="n">
        <v>0.7294</v>
      </c>
      <c r="G4810" t="inlineStr">
        <is>
          <t>%</t>
        </is>
      </c>
      <c r="H4810" t="n">
        <v>12</v>
      </c>
      <c r="I4810" t="inlineStr">
        <is>
          <t>72,94% effective ownership through Indofood Singapore Holdings Pte Ltd., including 12,98% Indofood's direct ownership to IndoAgri</t>
        </is>
      </c>
      <c r="J4810" t="inlineStr">
        <is>
          <t>High</t>
        </is>
      </c>
      <c r="M4810" t="inlineStr">
        <is>
          <t>LLM</t>
        </is>
      </c>
      <c r="N4810" t="inlineStr">
        <is>
          <t>2026-04-19</t>
        </is>
      </c>
      <c r="O4810" t="inlineStr">
        <is>
          <t>AI</t>
        </is>
      </c>
    </row>
    <row r="4811">
      <c r="A4811" t="inlineStr">
        <is>
          <t>PT Salim Ivomas Pratama Tbk</t>
        </is>
      </c>
      <c r="B4811" t="inlineStr">
        <is>
          <t>SIMP_2023_AR.pdf</t>
        </is>
      </c>
      <c r="C4811" t="n">
        <v>2023</v>
      </c>
      <c r="D4811" t="inlineStr">
        <is>
          <t>Financial</t>
        </is>
      </c>
      <c r="E4811" t="inlineStr">
        <is>
          <t>Sales (Revenue)</t>
        </is>
      </c>
      <c r="F4811" t="n">
        <v>16003</v>
      </c>
      <c r="G4811" t="inlineStr">
        <is>
          <t>IDR bn</t>
        </is>
      </c>
      <c r="H4811" t="n">
        <v>6</v>
      </c>
      <c r="I4811" t="inlineStr">
        <is>
          <t>Sales 16.002.643 17.794.246 19.658.529 Penjualan</t>
        </is>
      </c>
      <c r="J4811" t="inlineStr">
        <is>
          <t>High</t>
        </is>
      </c>
      <c r="M4811" t="inlineStr">
        <is>
          <t>LLM</t>
        </is>
      </c>
      <c r="N4811" t="inlineStr">
        <is>
          <t>2026-04-19</t>
        </is>
      </c>
      <c r="O4811" t="inlineStr">
        <is>
          <t>AI</t>
        </is>
      </c>
    </row>
    <row r="4812">
      <c r="A4812" t="inlineStr">
        <is>
          <t>PT Salim Ivomas Pratama Tbk</t>
        </is>
      </c>
      <c r="B4812" t="inlineStr">
        <is>
          <t>SIMP_2023_AR.pdf</t>
        </is>
      </c>
      <c r="C4812" t="n">
        <v>2023</v>
      </c>
      <c r="D4812" t="inlineStr">
        <is>
          <t>Financial</t>
        </is>
      </c>
      <c r="E4812" t="inlineStr">
        <is>
          <t>Gross Profit</t>
        </is>
      </c>
      <c r="F4812" t="n">
        <v>3358</v>
      </c>
      <c r="G4812" t="inlineStr">
        <is>
          <t>IDR bn</t>
        </is>
      </c>
      <c r="H4812" t="n">
        <v>6</v>
      </c>
      <c r="I4812" t="inlineStr">
        <is>
          <t>Gross Profit 3.358.216 4.649.207 5.150.931 Laba Bruto</t>
        </is>
      </c>
      <c r="J4812" t="inlineStr">
        <is>
          <t>High</t>
        </is>
      </c>
      <c r="M4812" t="inlineStr">
        <is>
          <t>LLM</t>
        </is>
      </c>
      <c r="N4812" t="inlineStr">
        <is>
          <t>2026-04-19</t>
        </is>
      </c>
      <c r="O4812" t="inlineStr">
        <is>
          <t>AI</t>
        </is>
      </c>
    </row>
    <row r="4813">
      <c r="A4813" t="inlineStr">
        <is>
          <t>PT Salim Ivomas Pratama Tbk</t>
        </is>
      </c>
      <c r="B4813" t="inlineStr">
        <is>
          <t>SIMP_2023_AR.pdf</t>
        </is>
      </c>
      <c r="C4813" t="n">
        <v>2023</v>
      </c>
      <c r="D4813" t="inlineStr">
        <is>
          <t>Financial</t>
        </is>
      </c>
      <c r="E4813" t="inlineStr">
        <is>
          <t>Cost of Goods Sold</t>
        </is>
      </c>
      <c r="F4813" t="n">
        <v>12644</v>
      </c>
      <c r="G4813" t="inlineStr">
        <is>
          <t>IDR bn</t>
        </is>
      </c>
      <c r="H4813" t="n">
        <v>130</v>
      </c>
      <c r="I4813" t="inlineStr">
        <is>
          <t>Beban pokok penjualan (12.644.427) 22,32 (13.145.039)</t>
        </is>
      </c>
      <c r="J4813" t="inlineStr">
        <is>
          <t>High</t>
        </is>
      </c>
      <c r="M4813" t="inlineStr">
        <is>
          <t>LLM</t>
        </is>
      </c>
      <c r="N4813" t="inlineStr">
        <is>
          <t>2026-04-19</t>
        </is>
      </c>
      <c r="O4813" t="inlineStr">
        <is>
          <t>AI</t>
        </is>
      </c>
    </row>
    <row r="4814">
      <c r="A4814" t="inlineStr">
        <is>
          <t>PT Salim Ivomas Pratama Tbk</t>
        </is>
      </c>
      <c r="B4814" t="inlineStr">
        <is>
          <t>SIMP_2023_AR.pdf</t>
        </is>
      </c>
      <c r="C4814" t="n">
        <v>2023</v>
      </c>
      <c r="D4814" t="inlineStr">
        <is>
          <t>Financial</t>
        </is>
      </c>
      <c r="E4814" t="inlineStr">
        <is>
          <t>Operating Profit</t>
        </is>
      </c>
      <c r="F4814" t="n">
        <v>1930</v>
      </c>
      <c r="G4814" t="inlineStr">
        <is>
          <t>IDR bn</t>
        </is>
      </c>
      <c r="H4814" t="n">
        <v>6</v>
      </c>
      <c r="I4814" t="inlineStr">
        <is>
          <t>Operating Profit 1.930.168 2.920.384 2.920.834 Laba Usaha</t>
        </is>
      </c>
      <c r="J4814" t="inlineStr">
        <is>
          <t>High</t>
        </is>
      </c>
      <c r="M4814" t="inlineStr">
        <is>
          <t>LLM</t>
        </is>
      </c>
      <c r="N4814" t="inlineStr">
        <is>
          <t>2026-04-19</t>
        </is>
      </c>
      <c r="O4814" t="inlineStr">
        <is>
          <t>AI</t>
        </is>
      </c>
    </row>
    <row r="4815">
      <c r="A4815" t="inlineStr">
        <is>
          <t>PT Salim Ivomas Pratama Tbk</t>
        </is>
      </c>
      <c r="B4815" t="inlineStr">
        <is>
          <t>SIMP_2023_AR.pdf</t>
        </is>
      </c>
      <c r="C4815" t="n">
        <v>2023</v>
      </c>
      <c r="D4815" t="inlineStr">
        <is>
          <t>Financial</t>
        </is>
      </c>
      <c r="E4815" t="inlineStr">
        <is>
          <t>EBITDA (Reported)</t>
        </is>
      </c>
      <c r="F4815" t="n">
        <v>3535</v>
      </c>
      <c r="G4815" t="inlineStr">
        <is>
          <t>IDR bn</t>
        </is>
      </c>
      <c r="H4815" t="n">
        <v>6</v>
      </c>
      <c r="I4815" t="inlineStr">
        <is>
          <t>EBITDA1 3.534.668 4.683.961 4.477.572</t>
        </is>
      </c>
      <c r="J4815" t="inlineStr">
        <is>
          <t>High</t>
        </is>
      </c>
      <c r="M4815" t="inlineStr">
        <is>
          <t>LLM</t>
        </is>
      </c>
      <c r="N4815" t="inlineStr">
        <is>
          <t>2026-04-19</t>
        </is>
      </c>
      <c r="O4815" t="inlineStr">
        <is>
          <t>AI</t>
        </is>
      </c>
    </row>
    <row r="4816">
      <c r="A4816" t="inlineStr">
        <is>
          <t>PT Salim Ivomas Pratama Tbk</t>
        </is>
      </c>
      <c r="B4816" t="inlineStr">
        <is>
          <t>SIMP_2023_AR.pdf</t>
        </is>
      </c>
      <c r="C4816" t="n">
        <v>2023</v>
      </c>
      <c r="D4816" t="inlineStr">
        <is>
          <t>Financial</t>
        </is>
      </c>
      <c r="E4816" t="inlineStr">
        <is>
          <t>Finance Income</t>
        </is>
      </c>
      <c r="F4816" t="n">
        <v>174</v>
      </c>
      <c r="G4816" t="inlineStr">
        <is>
          <t>IDR bn</t>
        </is>
      </c>
      <c r="H4816" t="n">
        <v>130</v>
      </c>
      <c r="I4816" t="inlineStr">
        <is>
          <t>Penghasilan keuangan 174.277 27 93.578</t>
        </is>
      </c>
      <c r="J4816" t="inlineStr">
        <is>
          <t>High</t>
        </is>
      </c>
      <c r="M4816" t="inlineStr">
        <is>
          <t>LLM</t>
        </is>
      </c>
      <c r="N4816" t="inlineStr">
        <is>
          <t>2026-04-19</t>
        </is>
      </c>
      <c r="O4816" t="inlineStr">
        <is>
          <t>AI</t>
        </is>
      </c>
    </row>
    <row r="4817">
      <c r="A4817" t="inlineStr">
        <is>
          <t>PT Salim Ivomas Pratama Tbk</t>
        </is>
      </c>
      <c r="B4817" t="inlineStr">
        <is>
          <t>SIMP_2023_AR.pdf</t>
        </is>
      </c>
      <c r="C4817" t="n">
        <v>2023</v>
      </c>
      <c r="D4817" t="inlineStr">
        <is>
          <t>Financial</t>
        </is>
      </c>
      <c r="E4817" t="inlineStr">
        <is>
          <t>Finance Costs</t>
        </is>
      </c>
      <c r="F4817" t="n">
        <v>620</v>
      </c>
      <c r="G4817" t="inlineStr">
        <is>
          <t>IDR bn</t>
        </is>
      </c>
      <c r="H4817" t="n">
        <v>130</v>
      </c>
      <c r="I4817" t="inlineStr">
        <is>
          <t>Beban keuangan (619.599) 12,28 (619.912)</t>
        </is>
      </c>
      <c r="J4817" t="inlineStr">
        <is>
          <t>High</t>
        </is>
      </c>
      <c r="M4817" t="inlineStr">
        <is>
          <t>LLM</t>
        </is>
      </c>
      <c r="N4817" t="inlineStr">
        <is>
          <t>2026-04-19</t>
        </is>
      </c>
      <c r="O4817" t="inlineStr">
        <is>
          <t>AI</t>
        </is>
      </c>
    </row>
    <row r="4818">
      <c r="A4818" t="inlineStr">
        <is>
          <t>PT Salim Ivomas Pratama Tbk</t>
        </is>
      </c>
      <c r="B4818" t="inlineStr">
        <is>
          <t>SIMP_2023_AR.pdf</t>
        </is>
      </c>
      <c r="C4818" t="n">
        <v>2023</v>
      </c>
      <c r="D4818" t="inlineStr">
        <is>
          <t>Financial</t>
        </is>
      </c>
      <c r="E4818" t="inlineStr">
        <is>
          <t>Profit Before Income Tax</t>
        </is>
      </c>
      <c r="F4818" t="n">
        <v>1488</v>
      </c>
      <c r="G4818" t="inlineStr">
        <is>
          <t>IDR bn</t>
        </is>
      </c>
      <c r="H4818" t="n">
        <v>130</v>
      </c>
      <c r="I4818" t="inlineStr">
        <is>
          <t>Laba sebelum pajak penghasilan 1.487.689 2.396.986</t>
        </is>
      </c>
      <c r="J4818" t="inlineStr">
        <is>
          <t>High</t>
        </is>
      </c>
      <c r="M4818" t="inlineStr">
        <is>
          <t>LLM</t>
        </is>
      </c>
      <c r="N4818" t="inlineStr">
        <is>
          <t>2026-04-19</t>
        </is>
      </c>
      <c r="O4818" t="inlineStr">
        <is>
          <t>AI</t>
        </is>
      </c>
    </row>
    <row r="4819">
      <c r="A4819" t="inlineStr">
        <is>
          <t>PT Salim Ivomas Pratama Tbk</t>
        </is>
      </c>
      <c r="B4819" t="inlineStr">
        <is>
          <t>SIMP_2023_AR.pdf</t>
        </is>
      </c>
      <c r="C4819" t="n">
        <v>2023</v>
      </c>
      <c r="D4819" t="inlineStr">
        <is>
          <t>Financial</t>
        </is>
      </c>
      <c r="E4819" t="inlineStr">
        <is>
          <t>Income Tax Expense</t>
        </is>
      </c>
      <c r="F4819" t="n">
        <v>561</v>
      </c>
      <c r="G4819" t="inlineStr">
        <is>
          <t>IDR bn</t>
        </is>
      </c>
      <c r="H4819" t="n">
        <v>130</v>
      </c>
      <c r="I4819" t="inlineStr">
        <is>
          <t>Beban pajak penghasilan (560.911) 10,30 (887.381)</t>
        </is>
      </c>
      <c r="J4819" t="inlineStr">
        <is>
          <t>High</t>
        </is>
      </c>
      <c r="M4819" t="inlineStr">
        <is>
          <t>LLM</t>
        </is>
      </c>
      <c r="N4819" t="inlineStr">
        <is>
          <t>2026-04-19</t>
        </is>
      </c>
      <c r="O4819" t="inlineStr">
        <is>
          <t>AI</t>
        </is>
      </c>
    </row>
    <row r="4820">
      <c r="A4820" t="inlineStr">
        <is>
          <t>PT Salim Ivomas Pratama Tbk</t>
        </is>
      </c>
      <c r="B4820" t="inlineStr">
        <is>
          <t>SIMP_2023_AR.pdf</t>
        </is>
      </c>
      <c r="C4820" t="n">
        <v>2023</v>
      </c>
      <c r="D4820" t="inlineStr">
        <is>
          <t>Financial</t>
        </is>
      </c>
      <c r="E4820" t="inlineStr">
        <is>
          <t>Profit for the Year</t>
        </is>
      </c>
      <c r="F4820" t="n">
        <v>927</v>
      </c>
      <c r="G4820" t="inlineStr">
        <is>
          <t>IDR bn</t>
        </is>
      </c>
      <c r="H4820" t="n">
        <v>6</v>
      </c>
      <c r="I4820" t="inlineStr">
        <is>
          <t>Profit/(Loss) for the Year 926.778 1.509.605 1.340.395</t>
        </is>
      </c>
      <c r="J4820" t="inlineStr">
        <is>
          <t>High</t>
        </is>
      </c>
      <c r="M4820" t="inlineStr">
        <is>
          <t>LLM</t>
        </is>
      </c>
      <c r="N4820" t="inlineStr">
        <is>
          <t>2026-04-19</t>
        </is>
      </c>
      <c r="O4820" t="inlineStr">
        <is>
          <t>AI</t>
        </is>
      </c>
    </row>
    <row r="4821">
      <c r="A4821" t="inlineStr">
        <is>
          <t>PT Salim Ivomas Pratama Tbk</t>
        </is>
      </c>
      <c r="B4821" t="inlineStr">
        <is>
          <t>SIMP_2023_AR.pdf</t>
        </is>
      </c>
      <c r="C4821" t="n">
        <v>2023</v>
      </c>
      <c r="D4821" t="inlineStr">
        <is>
          <t>Financial</t>
        </is>
      </c>
      <c r="E4821" t="inlineStr">
        <is>
          <t>Profit Attributable to Parent</t>
        </is>
      </c>
      <c r="F4821" t="n">
        <v>736</v>
      </c>
      <c r="G4821" t="inlineStr">
        <is>
          <t>IDR bn</t>
        </is>
      </c>
      <c r="H4821" t="n">
        <v>6</v>
      </c>
      <c r="I4821" t="inlineStr">
        <is>
          <t>Owners of the Parent 736.417 1.198.367 990.401</t>
        </is>
      </c>
      <c r="J4821" t="inlineStr">
        <is>
          <t>High</t>
        </is>
      </c>
      <c r="M4821" t="inlineStr">
        <is>
          <t>LLM</t>
        </is>
      </c>
      <c r="N4821" t="inlineStr">
        <is>
          <t>2026-04-19</t>
        </is>
      </c>
      <c r="O4821" t="inlineStr">
        <is>
          <t>AI</t>
        </is>
      </c>
    </row>
    <row r="4822">
      <c r="A4822" t="inlineStr">
        <is>
          <t>PT Salim Ivomas Pratama Tbk</t>
        </is>
      </c>
      <c r="B4822" t="inlineStr">
        <is>
          <t>SIMP_2023_AR.pdf</t>
        </is>
      </c>
      <c r="C4822" t="n">
        <v>2023</v>
      </c>
      <c r="D4822" t="inlineStr">
        <is>
          <t>Financial</t>
        </is>
      </c>
      <c r="E4822" t="inlineStr">
        <is>
          <t>Profit Attributable to Non-controlling Interests</t>
        </is>
      </c>
      <c r="F4822" t="n">
        <v>190</v>
      </c>
      <c r="G4822" t="inlineStr">
        <is>
          <t>IDR bn</t>
        </is>
      </c>
      <c r="H4822" t="n">
        <v>6</v>
      </c>
      <c r="I4822" t="inlineStr">
        <is>
          <t>Non-controlling Interests 190.361 311.238 349.994</t>
        </is>
      </c>
      <c r="J4822" t="inlineStr">
        <is>
          <t>High</t>
        </is>
      </c>
      <c r="M4822" t="inlineStr">
        <is>
          <t>LLM</t>
        </is>
      </c>
      <c r="N4822" t="inlineStr">
        <is>
          <t>2026-04-19</t>
        </is>
      </c>
      <c r="O4822" t="inlineStr">
        <is>
          <t>AI</t>
        </is>
      </c>
    </row>
    <row r="4823">
      <c r="A4823" t="inlineStr">
        <is>
          <t>PT Salim Ivomas Pratama Tbk</t>
        </is>
      </c>
      <c r="B4823" t="inlineStr">
        <is>
          <t>SIMP_2023_AR.pdf</t>
        </is>
      </c>
      <c r="C4823" t="n">
        <v>2023</v>
      </c>
      <c r="D4823" t="inlineStr">
        <is>
          <t>Financial</t>
        </is>
      </c>
      <c r="E4823" t="inlineStr">
        <is>
          <t>Total Assets</t>
        </is>
      </c>
      <c r="F4823" t="n">
        <v>35012</v>
      </c>
      <c r="G4823" t="inlineStr">
        <is>
          <t>IDR bn</t>
        </is>
      </c>
      <c r="H4823" t="n">
        <v>6</v>
      </c>
      <c r="I4823" t="inlineStr">
        <is>
          <t>Total Assets 35.012.351 36.113.081 35.964.101</t>
        </is>
      </c>
      <c r="J4823" t="inlineStr">
        <is>
          <t>High</t>
        </is>
      </c>
      <c r="M4823" t="inlineStr">
        <is>
          <t>LLM</t>
        </is>
      </c>
      <c r="N4823" t="inlineStr">
        <is>
          <t>2026-04-19</t>
        </is>
      </c>
      <c r="O4823" t="inlineStr">
        <is>
          <t>AI</t>
        </is>
      </c>
    </row>
    <row r="4824">
      <c r="A4824" t="inlineStr">
        <is>
          <t>PT Salim Ivomas Pratama Tbk</t>
        </is>
      </c>
      <c r="B4824" t="inlineStr">
        <is>
          <t>SIMP_2023_AR.pdf</t>
        </is>
      </c>
      <c r="C4824" t="n">
        <v>2023</v>
      </c>
      <c r="D4824" t="inlineStr">
        <is>
          <t>Financial</t>
        </is>
      </c>
      <c r="E4824" t="inlineStr">
        <is>
          <t>Current Assets</t>
        </is>
      </c>
      <c r="F4824" t="n">
        <v>9897</v>
      </c>
      <c r="G4824" t="inlineStr">
        <is>
          <t>IDR bn</t>
        </is>
      </c>
      <c r="H4824" t="n">
        <v>6</v>
      </c>
      <c r="I4824" t="inlineStr">
        <is>
          <t>Current Assets 9.896.897 10.442.878 9.527.236</t>
        </is>
      </c>
      <c r="J4824" t="inlineStr">
        <is>
          <t>High</t>
        </is>
      </c>
      <c r="M4824" t="inlineStr">
        <is>
          <t>LLM</t>
        </is>
      </c>
      <c r="N4824" t="inlineStr">
        <is>
          <t>2026-04-19</t>
        </is>
      </c>
      <c r="O4824" t="inlineStr">
        <is>
          <t>AI</t>
        </is>
      </c>
    </row>
    <row r="4825">
      <c r="A4825" t="inlineStr">
        <is>
          <t>PT Salim Ivomas Pratama Tbk</t>
        </is>
      </c>
      <c r="B4825" t="inlineStr">
        <is>
          <t>SIMP_2023_AR.pdf</t>
        </is>
      </c>
      <c r="C4825" t="n">
        <v>2023</v>
      </c>
      <c r="D4825" t="inlineStr">
        <is>
          <t>Financial</t>
        </is>
      </c>
      <c r="E4825" t="inlineStr">
        <is>
          <t>Non-Current Assets</t>
        </is>
      </c>
      <c r="F4825" t="n">
        <v>25115</v>
      </c>
      <c r="G4825" t="inlineStr">
        <is>
          <t>IDR bn</t>
        </is>
      </c>
      <c r="H4825" t="n">
        <v>128</v>
      </c>
      <c r="I4825" t="inlineStr">
        <is>
          <t>Total Aset Tidak Lancar 25.115.454 25.670.203</t>
        </is>
      </c>
      <c r="J4825" t="inlineStr">
        <is>
          <t>High</t>
        </is>
      </c>
      <c r="M4825" t="inlineStr">
        <is>
          <t>LLM</t>
        </is>
      </c>
      <c r="N4825" t="inlineStr">
        <is>
          <t>2026-04-19</t>
        </is>
      </c>
      <c r="O4825" t="inlineStr">
        <is>
          <t>AI</t>
        </is>
      </c>
    </row>
    <row r="4826">
      <c r="A4826" t="inlineStr">
        <is>
          <t>PT Salim Ivomas Pratama Tbk</t>
        </is>
      </c>
      <c r="B4826" t="inlineStr">
        <is>
          <t>SIMP_2023_AR.pdf</t>
        </is>
      </c>
      <c r="C4826" t="n">
        <v>2023</v>
      </c>
      <c r="D4826" t="inlineStr">
        <is>
          <t>Financial</t>
        </is>
      </c>
      <c r="E4826" t="inlineStr">
        <is>
          <t>Total Liabilities</t>
        </is>
      </c>
      <c r="F4826" t="n">
        <v>13291</v>
      </c>
      <c r="G4826" t="inlineStr">
        <is>
          <t>IDR bn</t>
        </is>
      </c>
      <c r="H4826" t="n">
        <v>6</v>
      </c>
      <c r="I4826" t="inlineStr">
        <is>
          <t>Total Liabilities 13.291.426 14.945.799 16.111.943</t>
        </is>
      </c>
      <c r="J4826" t="inlineStr">
        <is>
          <t>High</t>
        </is>
      </c>
      <c r="M4826" t="inlineStr">
        <is>
          <t>LLM</t>
        </is>
      </c>
      <c r="N4826" t="inlineStr">
        <is>
          <t>2026-04-19</t>
        </is>
      </c>
      <c r="O4826" t="inlineStr">
        <is>
          <t>AI</t>
        </is>
      </c>
    </row>
    <row r="4827">
      <c r="A4827" t="inlineStr">
        <is>
          <t>PT Salim Ivomas Pratama Tbk</t>
        </is>
      </c>
      <c r="B4827" t="inlineStr">
        <is>
          <t>SIMP_2023_AR.pdf</t>
        </is>
      </c>
      <c r="C4827" t="n">
        <v>2023</v>
      </c>
      <c r="D4827" t="inlineStr">
        <is>
          <t>Financial</t>
        </is>
      </c>
      <c r="E4827" t="inlineStr">
        <is>
          <t>Current Liabilities</t>
        </is>
      </c>
      <c r="F4827" t="n">
        <v>9411</v>
      </c>
      <c r="G4827" t="inlineStr">
        <is>
          <t>IDR bn</t>
        </is>
      </c>
      <c r="H4827" t="n">
        <v>6</v>
      </c>
      <c r="I4827" t="inlineStr">
        <is>
          <t>Current Liabilities 9.411.112 9.460.845 9.159.909</t>
        </is>
      </c>
      <c r="J4827" t="inlineStr">
        <is>
          <t>High</t>
        </is>
      </c>
      <c r="M4827" t="inlineStr">
        <is>
          <t>LLM</t>
        </is>
      </c>
      <c r="N4827" t="inlineStr">
        <is>
          <t>2026-04-19</t>
        </is>
      </c>
      <c r="O4827" t="inlineStr">
        <is>
          <t>AI</t>
        </is>
      </c>
    </row>
    <row r="4828">
      <c r="A4828" t="inlineStr">
        <is>
          <t>PT Salim Ivomas Pratama Tbk</t>
        </is>
      </c>
      <c r="B4828" t="inlineStr">
        <is>
          <t>SIMP_2023_AR.pdf</t>
        </is>
      </c>
      <c r="C4828" t="n">
        <v>2023</v>
      </c>
      <c r="D4828" t="inlineStr">
        <is>
          <t>Financial</t>
        </is>
      </c>
      <c r="E4828" t="inlineStr">
        <is>
          <t>Non-Current Liabilities</t>
        </is>
      </c>
      <c r="F4828" t="n">
        <v>3880</v>
      </c>
      <c r="G4828" t="inlineStr">
        <is>
          <t>IDR bn</t>
        </is>
      </c>
      <c r="H4828" t="n">
        <v>129</v>
      </c>
      <c r="I4828" t="inlineStr">
        <is>
          <t>Total Liabilitas Jangka Panjang 3.880.314 5.484.954</t>
        </is>
      </c>
      <c r="J4828" t="inlineStr">
        <is>
          <t>High</t>
        </is>
      </c>
      <c r="M4828" t="inlineStr">
        <is>
          <t>LLM</t>
        </is>
      </c>
      <c r="N4828" t="inlineStr">
        <is>
          <t>2026-04-19</t>
        </is>
      </c>
      <c r="O4828" t="inlineStr">
        <is>
          <t>AI</t>
        </is>
      </c>
    </row>
    <row r="4829">
      <c r="A4829" t="inlineStr">
        <is>
          <t>PT Salim Ivomas Pratama Tbk</t>
        </is>
      </c>
      <c r="B4829" t="inlineStr">
        <is>
          <t>SIMP_2023_AR.pdf</t>
        </is>
      </c>
      <c r="C4829" t="n">
        <v>2023</v>
      </c>
      <c r="D4829" t="inlineStr">
        <is>
          <t>Financial</t>
        </is>
      </c>
      <c r="E4829" t="inlineStr">
        <is>
          <t>Total Equity</t>
        </is>
      </c>
      <c r="F4829" t="n">
        <v>21721</v>
      </c>
      <c r="G4829" t="inlineStr">
        <is>
          <t>IDR bn</t>
        </is>
      </c>
      <c r="H4829" t="n">
        <v>6</v>
      </c>
      <c r="I4829" t="inlineStr">
        <is>
          <t>Total Equity4 21.720.925 21.167.282 19.852.158</t>
        </is>
      </c>
      <c r="J4829" t="inlineStr">
        <is>
          <t>High</t>
        </is>
      </c>
      <c r="M4829" t="inlineStr">
        <is>
          <t>LLM</t>
        </is>
      </c>
      <c r="N4829" t="inlineStr">
        <is>
          <t>2026-04-19</t>
        </is>
      </c>
      <c r="O4829" t="inlineStr">
        <is>
          <t>AI</t>
        </is>
      </c>
    </row>
    <row r="4830">
      <c r="A4830" t="inlineStr">
        <is>
          <t>PT Salim Ivomas Pratama Tbk</t>
        </is>
      </c>
      <c r="B4830" t="inlineStr">
        <is>
          <t>SIMP_2023_AR.pdf</t>
        </is>
      </c>
      <c r="C4830" t="n">
        <v>2023</v>
      </c>
      <c r="D4830" t="inlineStr">
        <is>
          <t>Financial</t>
        </is>
      </c>
      <c r="E4830" t="inlineStr">
        <is>
          <t>Non-Controlling Interests</t>
        </is>
      </c>
      <c r="F4830" t="n">
        <v>4384</v>
      </c>
      <c r="G4830" t="inlineStr">
        <is>
          <t>IDR bn</t>
        </is>
      </c>
      <c r="H4830" t="n">
        <v>6</v>
      </c>
      <c r="I4830" t="inlineStr">
        <is>
          <t>Non-Controlling Interests 4.384.093 4.334.966 4.129.691</t>
        </is>
      </c>
      <c r="J4830" t="inlineStr">
        <is>
          <t>High</t>
        </is>
      </c>
      <c r="M4830" t="inlineStr">
        <is>
          <t>LLM</t>
        </is>
      </c>
      <c r="N4830" t="inlineStr">
        <is>
          <t>2026-04-19</t>
        </is>
      </c>
      <c r="O4830" t="inlineStr">
        <is>
          <t>AI</t>
        </is>
      </c>
    </row>
    <row r="4831">
      <c r="A4831" t="inlineStr">
        <is>
          <t>PT Salim Ivomas Pratama Tbk</t>
        </is>
      </c>
      <c r="B4831" t="inlineStr">
        <is>
          <t>SIMP_2023_AR.pdf</t>
        </is>
      </c>
      <c r="C4831" t="n">
        <v>2023</v>
      </c>
      <c r="D4831" t="inlineStr">
        <is>
          <t>Financial</t>
        </is>
      </c>
      <c r="E4831" t="inlineStr">
        <is>
          <t>Cash and Cash Equivalents (year-end)</t>
        </is>
      </c>
      <c r="F4831" t="n">
        <v>5161</v>
      </c>
      <c r="G4831" t="inlineStr">
        <is>
          <t>IDR bn</t>
        </is>
      </c>
      <c r="H4831" t="n">
        <v>134</v>
      </c>
      <c r="I4831" t="inlineStr">
        <is>
          <t>Kas dan Setara Kas Akhir Tahun 5.161.183 5 4.296.674</t>
        </is>
      </c>
      <c r="J4831" t="inlineStr">
        <is>
          <t>High</t>
        </is>
      </c>
      <c r="M4831" t="inlineStr">
        <is>
          <t>LLM</t>
        </is>
      </c>
      <c r="N4831" t="inlineStr">
        <is>
          <t>2026-04-19</t>
        </is>
      </c>
      <c r="O4831" t="inlineStr">
        <is>
          <t>AI</t>
        </is>
      </c>
    </row>
    <row r="4832">
      <c r="A4832" t="inlineStr">
        <is>
          <t>PT Salim Ivomas Pratama Tbk</t>
        </is>
      </c>
      <c r="B4832" t="inlineStr">
        <is>
          <t>SIMP_2023_AR.pdf</t>
        </is>
      </c>
      <c r="C4832" t="n">
        <v>2023</v>
      </c>
      <c r="D4832" t="inlineStr">
        <is>
          <t>Financial</t>
        </is>
      </c>
      <c r="E4832" t="inlineStr">
        <is>
          <t>Short-term Bank Loans</t>
        </is>
      </c>
      <c r="F4832" t="n">
        <v>5649</v>
      </c>
      <c r="G4832" t="inlineStr">
        <is>
          <t>IDR bn</t>
        </is>
      </c>
      <c r="H4832" t="n">
        <v>129</v>
      </c>
      <c r="I4832" t="inlineStr">
        <is>
          <t>Utang bank jangka pendek 5.649.000 15 5.870.000</t>
        </is>
      </c>
      <c r="J4832" t="inlineStr">
        <is>
          <t>High</t>
        </is>
      </c>
      <c r="M4832" t="inlineStr">
        <is>
          <t>LLM</t>
        </is>
      </c>
      <c r="N4832" t="inlineStr">
        <is>
          <t>2026-04-19</t>
        </is>
      </c>
      <c r="O4832" t="inlineStr">
        <is>
          <t>AI</t>
        </is>
      </c>
    </row>
    <row r="4833">
      <c r="A4833" t="inlineStr">
        <is>
          <t>PT Salim Ivomas Pratama Tbk</t>
        </is>
      </c>
      <c r="B4833" t="inlineStr">
        <is>
          <t>SIMP_2023_AR.pdf</t>
        </is>
      </c>
      <c r="C4833" t="n">
        <v>2023</v>
      </c>
      <c r="D4833" t="inlineStr">
        <is>
          <t>Financial</t>
        </is>
      </c>
      <c r="E4833" t="inlineStr">
        <is>
          <t>Long-term Bank Loans (current portion)</t>
        </is>
      </c>
      <c r="F4833" t="n">
        <v>1294</v>
      </c>
      <c r="G4833" t="inlineStr">
        <is>
          <t>IDR bn</t>
        </is>
      </c>
      <c r="H4833" t="n">
        <v>129</v>
      </c>
      <c r="I4833" t="inlineStr">
        <is>
          <t>Utang bank jangka panjang 1.294.245 15 824.240 (current maturity)</t>
        </is>
      </c>
      <c r="J4833" t="inlineStr">
        <is>
          <t>High</t>
        </is>
      </c>
      <c r="M4833" t="inlineStr">
        <is>
          <t>LLM</t>
        </is>
      </c>
      <c r="N4833" t="inlineStr">
        <is>
          <t>2026-04-19</t>
        </is>
      </c>
      <c r="O4833" t="inlineStr">
        <is>
          <t>AI</t>
        </is>
      </c>
    </row>
    <row r="4834">
      <c r="A4834" t="inlineStr">
        <is>
          <t>PT Salim Ivomas Pratama Tbk</t>
        </is>
      </c>
      <c r="B4834" t="inlineStr">
        <is>
          <t>SIMP_2023_AR.pdf</t>
        </is>
      </c>
      <c r="C4834" t="n">
        <v>2023</v>
      </c>
      <c r="D4834" t="inlineStr">
        <is>
          <t>Financial</t>
        </is>
      </c>
      <c r="E4834" t="inlineStr">
        <is>
          <t>Long-term Bank Loans (non-current)</t>
        </is>
      </c>
      <c r="F4834" t="n">
        <v>853</v>
      </c>
      <c r="G4834" t="inlineStr">
        <is>
          <t>IDR bn</t>
        </is>
      </c>
      <c r="H4834" t="n">
        <v>129</v>
      </c>
      <c r="I4834" t="inlineStr">
        <is>
          <t>Utang bank jangka panjang 852.807 15 1.837.525</t>
        </is>
      </c>
      <c r="J4834" t="inlineStr">
        <is>
          <t>High</t>
        </is>
      </c>
      <c r="M4834" t="inlineStr">
        <is>
          <t>LLM</t>
        </is>
      </c>
      <c r="N4834" t="inlineStr">
        <is>
          <t>2026-04-19</t>
        </is>
      </c>
      <c r="O4834" t="inlineStr">
        <is>
          <t>AI</t>
        </is>
      </c>
    </row>
    <row r="4835">
      <c r="A4835" t="inlineStr">
        <is>
          <t>PT Salim Ivomas Pratama Tbk</t>
        </is>
      </c>
      <c r="B4835" t="inlineStr">
        <is>
          <t>SIMP_2023_AR.pdf</t>
        </is>
      </c>
      <c r="C4835" t="n">
        <v>2023</v>
      </c>
      <c r="D4835" t="inlineStr">
        <is>
          <t>Financial</t>
        </is>
      </c>
      <c r="E4835" t="inlineStr">
        <is>
          <t>Funded Debt (Gross)</t>
        </is>
      </c>
      <c r="F4835" t="n">
        <v>8693</v>
      </c>
      <c r="G4835" t="inlineStr">
        <is>
          <t>IDR bn</t>
        </is>
      </c>
      <c r="H4835" t="n">
        <v>6</v>
      </c>
      <c r="I4835" t="inlineStr">
        <is>
          <t>Funded Debt 8.692.665 9.871.378 11.133.332</t>
        </is>
      </c>
      <c r="J4835" t="inlineStr">
        <is>
          <t>High</t>
        </is>
      </c>
      <c r="M4835" t="inlineStr">
        <is>
          <t>LLM</t>
        </is>
      </c>
      <c r="N4835" t="inlineStr">
        <is>
          <t>2026-04-19</t>
        </is>
      </c>
      <c r="O4835" t="inlineStr">
        <is>
          <t>AI</t>
        </is>
      </c>
    </row>
    <row r="4836">
      <c r="A4836" t="inlineStr">
        <is>
          <t>PT Salim Ivomas Pratama Tbk</t>
        </is>
      </c>
      <c r="B4836" t="inlineStr">
        <is>
          <t>SIMP_2023_AR.pdf</t>
        </is>
      </c>
      <c r="C4836" t="n">
        <v>2023</v>
      </c>
      <c r="D4836" t="inlineStr">
        <is>
          <t>Financial</t>
        </is>
      </c>
      <c r="E4836" t="inlineStr">
        <is>
          <t>Inventories</t>
        </is>
      </c>
      <c r="F4836" t="n">
        <v>2471</v>
      </c>
      <c r="G4836" t="inlineStr">
        <is>
          <t>IDR bn</t>
        </is>
      </c>
      <c r="H4836" t="n">
        <v>128</v>
      </c>
      <c r="I4836" t="inlineStr">
        <is>
          <t>Persediaan 2.471.178 7 3.268.036</t>
        </is>
      </c>
      <c r="J4836" t="inlineStr">
        <is>
          <t>High</t>
        </is>
      </c>
      <c r="M4836" t="inlineStr">
        <is>
          <t>LLM</t>
        </is>
      </c>
      <c r="N4836" t="inlineStr">
        <is>
          <t>2026-04-19</t>
        </is>
      </c>
      <c r="O4836" t="inlineStr">
        <is>
          <t>AI</t>
        </is>
      </c>
    </row>
    <row r="4837">
      <c r="A4837" t="inlineStr">
        <is>
          <t>PT Salim Ivomas Pratama Tbk</t>
        </is>
      </c>
      <c r="B4837" t="inlineStr">
        <is>
          <t>SIMP_2023_AR.pdf</t>
        </is>
      </c>
      <c r="C4837" t="n">
        <v>2023</v>
      </c>
      <c r="D4837" t="inlineStr">
        <is>
          <t>Financial</t>
        </is>
      </c>
      <c r="E4837" t="inlineStr">
        <is>
          <t>Biological Assets (Current)</t>
        </is>
      </c>
      <c r="F4837" t="n">
        <v>764</v>
      </c>
      <c r="G4837" t="inlineStr">
        <is>
          <t>IDR bn</t>
        </is>
      </c>
      <c r="H4837" t="n">
        <v>128</v>
      </c>
      <c r="I4837" t="inlineStr">
        <is>
          <t>Aset biologis 764.416 8 769.634</t>
        </is>
      </c>
      <c r="J4837" t="inlineStr">
        <is>
          <t>High</t>
        </is>
      </c>
      <c r="M4837" t="inlineStr">
        <is>
          <t>LLM</t>
        </is>
      </c>
      <c r="N4837" t="inlineStr">
        <is>
          <t>2026-04-19</t>
        </is>
      </c>
      <c r="O4837" t="inlineStr">
        <is>
          <t>AI</t>
        </is>
      </c>
    </row>
    <row r="4838">
      <c r="A4838" t="inlineStr">
        <is>
          <t>PT Salim Ivomas Pratama Tbk</t>
        </is>
      </c>
      <c r="B4838" t="inlineStr">
        <is>
          <t>SIMP_2023_AR.pdf</t>
        </is>
      </c>
      <c r="C4838" t="n">
        <v>2023</v>
      </c>
      <c r="D4838" t="inlineStr">
        <is>
          <t>Financial</t>
        </is>
      </c>
      <c r="E4838" t="inlineStr">
        <is>
          <t>Goodwill</t>
        </is>
      </c>
      <c r="F4838" t="n">
        <v>2210</v>
      </c>
      <c r="G4838" t="inlineStr">
        <is>
          <t>IDR bn</t>
        </is>
      </c>
      <c r="H4838" t="n">
        <v>128</v>
      </c>
      <c r="I4838" t="inlineStr">
        <is>
          <t>Goodwill 2.210.034 3,11 2.216.138 (from LSIP acquisition)</t>
        </is>
      </c>
      <c r="J4838" t="inlineStr">
        <is>
          <t>High</t>
        </is>
      </c>
      <c r="M4838" t="inlineStr">
        <is>
          <t>LLM</t>
        </is>
      </c>
      <c r="N4838" t="inlineStr">
        <is>
          <t>2026-04-19</t>
        </is>
      </c>
      <c r="O4838" t="inlineStr">
        <is>
          <t>AI</t>
        </is>
      </c>
    </row>
    <row r="4839">
      <c r="A4839" t="inlineStr">
        <is>
          <t>PT Salim Ivomas Pratama Tbk</t>
        </is>
      </c>
      <c r="B4839" t="inlineStr">
        <is>
          <t>SIMP_2023_AR.pdf</t>
        </is>
      </c>
      <c r="C4839" t="n">
        <v>2023</v>
      </c>
      <c r="D4839" t="inlineStr">
        <is>
          <t>Financial</t>
        </is>
      </c>
      <c r="E4839" t="inlineStr">
        <is>
          <t>Fixed Assets</t>
        </is>
      </c>
      <c r="F4839" t="n">
        <v>18738</v>
      </c>
      <c r="G4839" t="inlineStr">
        <is>
          <t>IDR bn</t>
        </is>
      </c>
      <c r="H4839" t="n">
        <v>128</v>
      </c>
      <c r="I4839" t="inlineStr">
        <is>
          <t>Aset tetap 18.737.957 13 19.211.553</t>
        </is>
      </c>
      <c r="J4839" t="inlineStr">
        <is>
          <t>High</t>
        </is>
      </c>
      <c r="M4839" t="inlineStr">
        <is>
          <t>LLM</t>
        </is>
      </c>
      <c r="N4839" t="inlineStr">
        <is>
          <t>2026-04-19</t>
        </is>
      </c>
      <c r="O4839" t="inlineStr">
        <is>
          <t>AI</t>
        </is>
      </c>
    </row>
    <row r="4840">
      <c r="A4840" t="inlineStr">
        <is>
          <t>PT Salim Ivomas Pratama Tbk</t>
        </is>
      </c>
      <c r="B4840" t="inlineStr">
        <is>
          <t>SIMP_2023_AR.pdf</t>
        </is>
      </c>
      <c r="C4840" t="n">
        <v>2023</v>
      </c>
      <c r="D4840" t="inlineStr">
        <is>
          <t>Financial</t>
        </is>
      </c>
      <c r="E4840" t="inlineStr">
        <is>
          <t>CFO (Cash from Operating Activities)</t>
        </is>
      </c>
      <c r="F4840" t="n">
        <v>3830</v>
      </c>
      <c r="G4840" t="inlineStr">
        <is>
          <t>IDR bn</t>
        </is>
      </c>
      <c r="H4840" t="n">
        <v>133</v>
      </c>
      <c r="I4840" t="inlineStr">
        <is>
          <t>Kas Neto yang Diperoleh dari Aktivitas Operasi 3.829.754 3.634.084</t>
        </is>
      </c>
      <c r="J4840" t="inlineStr">
        <is>
          <t>High</t>
        </is>
      </c>
      <c r="M4840" t="inlineStr">
        <is>
          <t>LLM</t>
        </is>
      </c>
      <c r="N4840" t="inlineStr">
        <is>
          <t>2026-04-19</t>
        </is>
      </c>
      <c r="O4840" t="inlineStr">
        <is>
          <t>AI</t>
        </is>
      </c>
    </row>
    <row r="4841">
      <c r="A4841" t="inlineStr">
        <is>
          <t>PT Salim Ivomas Pratama Tbk</t>
        </is>
      </c>
      <c r="B4841" t="inlineStr">
        <is>
          <t>SIMP_2023_AR.pdf</t>
        </is>
      </c>
      <c r="C4841" t="n">
        <v>2023</v>
      </c>
      <c r="D4841" t="inlineStr">
        <is>
          <t>Financial</t>
        </is>
      </c>
      <c r="E4841" t="inlineStr">
        <is>
          <t>CFI (Cash used in Investing Activities)</t>
        </is>
      </c>
      <c r="F4841" t="n">
        <v>-1316</v>
      </c>
      <c r="G4841" t="inlineStr">
        <is>
          <t>IDR bn</t>
        </is>
      </c>
      <c r="H4841" t="n">
        <v>133</v>
      </c>
      <c r="I4841" t="inlineStr">
        <is>
          <t>Kas Neto yang Digunakan untuk Aktivitas Investasi (1.315.800) (1.506.873)</t>
        </is>
      </c>
      <c r="J4841" t="inlineStr">
        <is>
          <t>High</t>
        </is>
      </c>
      <c r="M4841" t="inlineStr">
        <is>
          <t>LLM</t>
        </is>
      </c>
      <c r="N4841" t="inlineStr">
        <is>
          <t>2026-04-19</t>
        </is>
      </c>
      <c r="O4841" t="inlineStr">
        <is>
          <t>AI</t>
        </is>
      </c>
    </row>
    <row r="4842">
      <c r="A4842" t="inlineStr">
        <is>
          <t>PT Salim Ivomas Pratama Tbk</t>
        </is>
      </c>
      <c r="B4842" t="inlineStr">
        <is>
          <t>SIMP_2023_AR.pdf</t>
        </is>
      </c>
      <c r="C4842" t="n">
        <v>2023</v>
      </c>
      <c r="D4842" t="inlineStr">
        <is>
          <t>Financial</t>
        </is>
      </c>
      <c r="E4842" t="inlineStr">
        <is>
          <t>CFF (Cash used in Financing Activities)</t>
        </is>
      </c>
      <c r="F4842" t="n">
        <v>-1620</v>
      </c>
      <c r="G4842" t="inlineStr">
        <is>
          <t>IDR bn</t>
        </is>
      </c>
      <c r="H4842" t="n">
        <v>134</v>
      </c>
      <c r="I4842" t="inlineStr">
        <is>
          <t>Kas Neto yang Digunakan untuk Aktivitas Pendanaan (1.619.939) (1.669.247)</t>
        </is>
      </c>
      <c r="J4842" t="inlineStr">
        <is>
          <t>High</t>
        </is>
      </c>
      <c r="M4842" t="inlineStr">
        <is>
          <t>LLM</t>
        </is>
      </c>
      <c r="N4842" t="inlineStr">
        <is>
          <t>2026-04-19</t>
        </is>
      </c>
      <c r="O4842" t="inlineStr">
        <is>
          <t>AI</t>
        </is>
      </c>
    </row>
    <row r="4843">
      <c r="A4843" t="inlineStr">
        <is>
          <t>PT Salim Ivomas Pratama Tbk</t>
        </is>
      </c>
      <c r="B4843" t="inlineStr">
        <is>
          <t>SIMP_2023_AR.pdf</t>
        </is>
      </c>
      <c r="C4843" t="n">
        <v>2023</v>
      </c>
      <c r="D4843" t="inlineStr">
        <is>
          <t>Financial</t>
        </is>
      </c>
      <c r="E4843" t="inlineStr">
        <is>
          <t>Capex</t>
        </is>
      </c>
      <c r="F4843" t="n">
        <v>1324</v>
      </c>
      <c r="G4843" t="inlineStr">
        <is>
          <t>IDR bn</t>
        </is>
      </c>
      <c r="H4843" t="n">
        <v>6</v>
      </c>
      <c r="I4843" t="inlineStr">
        <is>
          <t>Capital Expenditures 1.324.273 1.460.252 1.250.787 Belanja Modal</t>
        </is>
      </c>
      <c r="J4843" t="inlineStr">
        <is>
          <t>High</t>
        </is>
      </c>
      <c r="M4843" t="inlineStr">
        <is>
          <t>LLM</t>
        </is>
      </c>
      <c r="N4843" t="inlineStr">
        <is>
          <t>2026-04-19</t>
        </is>
      </c>
      <c r="O4843" t="inlineStr">
        <is>
          <t>AI</t>
        </is>
      </c>
    </row>
    <row r="4844">
      <c r="A4844" t="inlineStr">
        <is>
          <t>PT Salim Ivomas Pratama Tbk</t>
        </is>
      </c>
      <c r="B4844" t="inlineStr">
        <is>
          <t>SIMP_2023_AR.pdf</t>
        </is>
      </c>
      <c r="C4844" t="n">
        <v>2023</v>
      </c>
      <c r="D4844" t="inlineStr">
        <is>
          <t>Financial</t>
        </is>
      </c>
      <c r="E4844" t="inlineStr">
        <is>
          <t>Additions to Fixed Assets (Cash Flow)</t>
        </is>
      </c>
      <c r="F4844" t="n">
        <v>976</v>
      </c>
      <c r="G4844" t="inlineStr">
        <is>
          <t>IDR bn</t>
        </is>
      </c>
      <c r="H4844" t="n">
        <v>133</v>
      </c>
      <c r="I4844" t="inlineStr">
        <is>
          <t>Penambahan aset tetap (975.961) (1.214.327)</t>
        </is>
      </c>
      <c r="J4844" t="inlineStr">
        <is>
          <t>High</t>
        </is>
      </c>
      <c r="M4844" t="inlineStr">
        <is>
          <t>LLM</t>
        </is>
      </c>
      <c r="N4844" t="inlineStr">
        <is>
          <t>2026-04-19</t>
        </is>
      </c>
      <c r="O4844" t="inlineStr">
        <is>
          <t>AI</t>
        </is>
      </c>
    </row>
    <row r="4845">
      <c r="A4845" t="inlineStr">
        <is>
          <t>PT Salim Ivomas Pratama Tbk</t>
        </is>
      </c>
      <c r="B4845" t="inlineStr">
        <is>
          <t>SIMP_2023_AR.pdf</t>
        </is>
      </c>
      <c r="C4845" t="n">
        <v>2023</v>
      </c>
      <c r="D4845" t="inlineStr">
        <is>
          <t>Financial</t>
        </is>
      </c>
      <c r="E4845" t="inlineStr">
        <is>
          <t>Additions to Biological Assets (Cash Flow)</t>
        </is>
      </c>
      <c r="F4845" t="n">
        <v>280</v>
      </c>
      <c r="G4845" t="inlineStr">
        <is>
          <t>IDR bn</t>
        </is>
      </c>
      <c r="H4845" t="n">
        <v>133</v>
      </c>
      <c r="I4845" t="inlineStr">
        <is>
          <t>Penambahan aset biologis (280.062) 8 (237.362)</t>
        </is>
      </c>
      <c r="J4845" t="inlineStr">
        <is>
          <t>High</t>
        </is>
      </c>
      <c r="M4845" t="inlineStr">
        <is>
          <t>LLM</t>
        </is>
      </c>
      <c r="N4845" t="inlineStr">
        <is>
          <t>2026-04-19</t>
        </is>
      </c>
      <c r="O4845" t="inlineStr">
        <is>
          <t>AI</t>
        </is>
      </c>
    </row>
    <row r="4846">
      <c r="A4846" t="inlineStr">
        <is>
          <t>PT Salim Ivomas Pratama Tbk</t>
        </is>
      </c>
      <c r="B4846" t="inlineStr">
        <is>
          <t>SIMP_2023_AR.pdf</t>
        </is>
      </c>
      <c r="C4846" t="n">
        <v>2023</v>
      </c>
      <c r="D4846" t="inlineStr">
        <is>
          <t>Financial</t>
        </is>
      </c>
      <c r="E4846" t="inlineStr">
        <is>
          <t>Cash Dividends Paid (by Parent)</t>
        </is>
      </c>
      <c r="F4846" t="n">
        <v>233</v>
      </c>
      <c r="G4846" t="inlineStr">
        <is>
          <t>IDR bn</t>
        </is>
      </c>
      <c r="H4846" t="n">
        <v>134</v>
      </c>
      <c r="I4846" t="inlineStr">
        <is>
          <t>Pembayaran dividen kas (232.520) 20 (201.517)</t>
        </is>
      </c>
      <c r="J4846" t="inlineStr">
        <is>
          <t>High</t>
        </is>
      </c>
      <c r="M4846" t="inlineStr">
        <is>
          <t>LLM</t>
        </is>
      </c>
      <c r="N4846" t="inlineStr">
        <is>
          <t>2026-04-19</t>
        </is>
      </c>
      <c r="O4846" t="inlineStr">
        <is>
          <t>AI</t>
        </is>
      </c>
    </row>
    <row r="4847">
      <c r="A4847" t="inlineStr">
        <is>
          <t>PT Salim Ivomas Pratama Tbk</t>
        </is>
      </c>
      <c r="B4847" t="inlineStr">
        <is>
          <t>SIMP_2023_AR.pdf</t>
        </is>
      </c>
      <c r="C4847" t="n">
        <v>2023</v>
      </c>
      <c r="D4847" t="inlineStr">
        <is>
          <t>Financial</t>
        </is>
      </c>
      <c r="E4847" t="inlineStr">
        <is>
          <t>EPS (Basic, attributable to parent)</t>
        </is>
      </c>
      <c r="F4847" t="n">
        <v>48</v>
      </c>
      <c r="G4847" t="inlineStr">
        <is>
          <t>Rp/share</t>
        </is>
      </c>
      <c r="H4847" t="n">
        <v>6</v>
      </c>
      <c r="I4847" t="inlineStr">
        <is>
          <t>Basic Profit/(Loss) per Share 48 77 64 19 (35)</t>
        </is>
      </c>
      <c r="J4847" t="inlineStr">
        <is>
          <t>High</t>
        </is>
      </c>
      <c r="M4847" t="inlineStr">
        <is>
          <t>LLM</t>
        </is>
      </c>
      <c r="N4847" t="inlineStr">
        <is>
          <t>2026-04-19</t>
        </is>
      </c>
      <c r="O4847" t="inlineStr">
        <is>
          <t>AI</t>
        </is>
      </c>
    </row>
    <row r="4848">
      <c r="A4848" t="inlineStr">
        <is>
          <t>PT Salim Ivomas Pratama Tbk</t>
        </is>
      </c>
      <c r="B4848" t="inlineStr">
        <is>
          <t>SIMP_2023_AR.pdf</t>
        </is>
      </c>
      <c r="C4848" t="n">
        <v>2023</v>
      </c>
      <c r="D4848" t="inlineStr">
        <is>
          <t>Financial</t>
        </is>
      </c>
      <c r="E4848" t="inlineStr">
        <is>
          <t>Outstanding Shares</t>
        </is>
      </c>
      <c r="F4848" t="n">
        <v>15501</v>
      </c>
      <c r="G4848" t="inlineStr">
        <is>
          <t>mn</t>
        </is>
      </c>
      <c r="H4848" t="n">
        <v>6</v>
      </c>
      <c r="I4848" t="inlineStr">
        <is>
          <t>Outstanding Shares (in '000)2 15.501.310 (million)</t>
        </is>
      </c>
      <c r="J4848" t="inlineStr">
        <is>
          <t>High</t>
        </is>
      </c>
      <c r="M4848" t="inlineStr">
        <is>
          <t>LLM</t>
        </is>
      </c>
      <c r="N4848" t="inlineStr">
        <is>
          <t>2026-04-19</t>
        </is>
      </c>
      <c r="O4848" t="inlineStr">
        <is>
          <t>AI</t>
        </is>
      </c>
    </row>
    <row r="4849">
      <c r="A4849" t="inlineStr">
        <is>
          <t>PT Salim Ivomas Pratama Tbk</t>
        </is>
      </c>
      <c r="B4849" t="inlineStr">
        <is>
          <t>SIMP_2023_AR.pdf</t>
        </is>
      </c>
      <c r="C4849" t="n">
        <v>2023</v>
      </c>
      <c r="D4849" t="inlineStr">
        <is>
          <t>Financial</t>
        </is>
      </c>
      <c r="E4849" t="inlineStr">
        <is>
          <t>Final Dividend per Share (for FY2022 paid 2023)</t>
        </is>
      </c>
      <c r="F4849" t="n">
        <v>15</v>
      </c>
      <c r="G4849" t="inlineStr">
        <is>
          <t>Rp/share</t>
        </is>
      </c>
      <c r="H4849" t="n">
        <v>32</v>
      </c>
      <c r="I4849" t="inlineStr">
        <is>
          <t>According to the decision of the shareholders at the AGM on June 22, 2023, a total dividend of Rp232.5 billion or Rp15 per share, represent around 19% dividend payout</t>
        </is>
      </c>
      <c r="J4849" t="inlineStr">
        <is>
          <t>High</t>
        </is>
      </c>
      <c r="M4849" t="inlineStr">
        <is>
          <t>LLM</t>
        </is>
      </c>
      <c r="N4849" t="inlineStr">
        <is>
          <t>2026-04-19</t>
        </is>
      </c>
      <c r="O4849" t="inlineStr">
        <is>
          <t>AI</t>
        </is>
      </c>
    </row>
    <row r="4850">
      <c r="A4850" t="inlineStr">
        <is>
          <t>PT Salim Ivomas Pratama Tbk</t>
        </is>
      </c>
      <c r="B4850" t="inlineStr">
        <is>
          <t>SIMP_2023_AR.pdf</t>
        </is>
      </c>
      <c r="C4850" t="n">
        <v>2023</v>
      </c>
      <c r="D4850" t="inlineStr">
        <is>
          <t>Financial</t>
        </is>
      </c>
      <c r="E4850" t="inlineStr">
        <is>
          <t>Closing Share Price 30 Dec 2023</t>
        </is>
      </c>
      <c r="F4850" t="n">
        <v>376</v>
      </c>
      <c r="G4850" t="inlineStr">
        <is>
          <t>Rp/share</t>
        </is>
      </c>
      <c r="H4850" t="n">
        <v>17</v>
      </c>
      <c r="I4850" t="inlineStr">
        <is>
          <t>During The Year 15,501 5,828,493 452 362 376 - Closing Rp376</t>
        </is>
      </c>
      <c r="J4850" t="inlineStr">
        <is>
          <t>High</t>
        </is>
      </c>
      <c r="M4850" t="inlineStr">
        <is>
          <t>LLM</t>
        </is>
      </c>
      <c r="N4850" t="inlineStr">
        <is>
          <t>2026-04-19</t>
        </is>
      </c>
      <c r="O4850" t="inlineStr">
        <is>
          <t>AI</t>
        </is>
      </c>
    </row>
    <row r="4851">
      <c r="A4851" t="inlineStr">
        <is>
          <t>PT Salim Ivomas Pratama Tbk</t>
        </is>
      </c>
      <c r="B4851" t="inlineStr">
        <is>
          <t>SIMP_2023_AR.pdf</t>
        </is>
      </c>
      <c r="C4851" t="n">
        <v>2023</v>
      </c>
      <c r="D4851" t="inlineStr">
        <is>
          <t>Financial</t>
        </is>
      </c>
      <c r="E4851" t="inlineStr">
        <is>
          <t>Market Capitalisation (end 2023)</t>
        </is>
      </c>
      <c r="F4851" t="n">
        <v>5828</v>
      </c>
      <c r="G4851" t="inlineStr">
        <is>
          <t>IDR bn</t>
        </is>
      </c>
      <c r="H4851" t="n">
        <v>33</v>
      </c>
      <c r="I4851" t="inlineStr">
        <is>
          <t>SIMP Group market capitalisation was valued at Rp5.83 trillion</t>
        </is>
      </c>
      <c r="J4851" t="inlineStr">
        <is>
          <t>High</t>
        </is>
      </c>
      <c r="M4851" t="inlineStr">
        <is>
          <t>LLM</t>
        </is>
      </c>
      <c r="N4851" t="inlineStr">
        <is>
          <t>2026-04-19</t>
        </is>
      </c>
      <c r="O4851" t="inlineStr">
        <is>
          <t>AI</t>
        </is>
      </c>
    </row>
    <row r="4852">
      <c r="A4852" t="inlineStr">
        <is>
          <t>PT Salim Ivomas Pratama Tbk</t>
        </is>
      </c>
      <c r="B4852" t="inlineStr">
        <is>
          <t>SIMP_2023_AR.pdf</t>
        </is>
      </c>
      <c r="C4852" t="n">
        <v>2023</v>
      </c>
      <c r="D4852" t="inlineStr">
        <is>
          <t>Financial</t>
        </is>
      </c>
      <c r="E4852" t="inlineStr">
        <is>
          <t>Share Price High 2023</t>
        </is>
      </c>
      <c r="F4852" t="n">
        <v>452</v>
      </c>
      <c r="G4852" t="inlineStr">
        <is>
          <t>Rp/share</t>
        </is>
      </c>
      <c r="H4852" t="n">
        <v>17</v>
      </c>
      <c r="I4852" t="inlineStr">
        <is>
          <t>During The Year 15,501 5,828,493 452 362 376</t>
        </is>
      </c>
      <c r="J4852" t="inlineStr">
        <is>
          <t>High</t>
        </is>
      </c>
      <c r="M4852" t="inlineStr">
        <is>
          <t>LLM</t>
        </is>
      </c>
      <c r="N4852" t="inlineStr">
        <is>
          <t>2026-04-19</t>
        </is>
      </c>
      <c r="O4852" t="inlineStr">
        <is>
          <t>AI</t>
        </is>
      </c>
    </row>
    <row r="4853">
      <c r="A4853" t="inlineStr">
        <is>
          <t>PT Salim Ivomas Pratama Tbk</t>
        </is>
      </c>
      <c r="B4853" t="inlineStr">
        <is>
          <t>SIMP_2023_AR.pdf</t>
        </is>
      </c>
      <c r="C4853" t="n">
        <v>2023</v>
      </c>
      <c r="D4853" t="inlineStr">
        <is>
          <t>Financial</t>
        </is>
      </c>
      <c r="E4853" t="inlineStr">
        <is>
          <t>Share Price Low 2023</t>
        </is>
      </c>
      <c r="F4853" t="n">
        <v>362</v>
      </c>
      <c r="G4853" t="inlineStr">
        <is>
          <t>Rp/share</t>
        </is>
      </c>
      <c r="H4853" t="n">
        <v>17</v>
      </c>
      <c r="I4853" t="inlineStr">
        <is>
          <t>During The Year 15,501 5,828,493 452 362 376</t>
        </is>
      </c>
      <c r="J4853" t="inlineStr">
        <is>
          <t>High</t>
        </is>
      </c>
      <c r="M4853" t="inlineStr">
        <is>
          <t>LLM</t>
        </is>
      </c>
      <c r="N4853" t="inlineStr">
        <is>
          <t>2026-04-19</t>
        </is>
      </c>
      <c r="O4853" t="inlineStr">
        <is>
          <t>AI</t>
        </is>
      </c>
    </row>
    <row r="4854">
      <c r="A4854" t="inlineStr">
        <is>
          <t>PT Salim Ivomas Pratama Tbk</t>
        </is>
      </c>
      <c r="B4854" t="inlineStr">
        <is>
          <t>SIMP_2023_AR.pdf</t>
        </is>
      </c>
      <c r="C4854" t="n">
        <v>2023</v>
      </c>
      <c r="D4854" t="inlineStr">
        <is>
          <t>Financial</t>
        </is>
      </c>
      <c r="E4854" t="inlineStr">
        <is>
          <t>Gross Profit Margin</t>
        </is>
      </c>
      <c r="F4854" t="n">
        <v>0.21</v>
      </c>
      <c r="G4854" t="inlineStr">
        <is>
          <t>%</t>
        </is>
      </c>
      <c r="H4854" t="n">
        <v>6</v>
      </c>
      <c r="I4854" t="inlineStr">
        <is>
          <t>Gross Profit Margin (%) 21,0 26,1 26,2</t>
        </is>
      </c>
      <c r="J4854" t="inlineStr">
        <is>
          <t>High</t>
        </is>
      </c>
      <c r="M4854" t="inlineStr">
        <is>
          <t>LLM</t>
        </is>
      </c>
      <c r="N4854" t="inlineStr">
        <is>
          <t>2026-04-19</t>
        </is>
      </c>
      <c r="O4854" t="inlineStr">
        <is>
          <t>AI</t>
        </is>
      </c>
    </row>
    <row r="4855">
      <c r="A4855" t="inlineStr">
        <is>
          <t>PT Salim Ivomas Pratama Tbk</t>
        </is>
      </c>
      <c r="B4855" t="inlineStr">
        <is>
          <t>SIMP_2023_AR.pdf</t>
        </is>
      </c>
      <c r="C4855" t="n">
        <v>2023</v>
      </c>
      <c r="D4855" t="inlineStr">
        <is>
          <t>Financial</t>
        </is>
      </c>
      <c r="E4855" t="inlineStr">
        <is>
          <t>Operating Profit Margin</t>
        </is>
      </c>
      <c r="F4855" t="n">
        <v>0.121</v>
      </c>
      <c r="G4855" t="inlineStr">
        <is>
          <t>%</t>
        </is>
      </c>
      <c r="H4855" t="n">
        <v>6</v>
      </c>
      <c r="I4855" t="inlineStr">
        <is>
          <t>Operating Profit Margin (%) 12,1 16,4 14,9</t>
        </is>
      </c>
      <c r="J4855" t="inlineStr">
        <is>
          <t>High</t>
        </is>
      </c>
      <c r="M4855" t="inlineStr">
        <is>
          <t>LLM</t>
        </is>
      </c>
      <c r="N4855" t="inlineStr">
        <is>
          <t>2026-04-19</t>
        </is>
      </c>
      <c r="O4855" t="inlineStr">
        <is>
          <t>AI</t>
        </is>
      </c>
    </row>
    <row r="4856">
      <c r="A4856" t="inlineStr">
        <is>
          <t>PT Salim Ivomas Pratama Tbk</t>
        </is>
      </c>
      <c r="B4856" t="inlineStr">
        <is>
          <t>SIMP_2023_AR.pdf</t>
        </is>
      </c>
      <c r="C4856" t="n">
        <v>2023</v>
      </c>
      <c r="D4856" t="inlineStr">
        <is>
          <t>Financial</t>
        </is>
      </c>
      <c r="E4856" t="inlineStr">
        <is>
          <t>EBITDA Margin</t>
        </is>
      </c>
      <c r="F4856" t="n">
        <v>0.221</v>
      </c>
      <c r="G4856" t="inlineStr">
        <is>
          <t>%</t>
        </is>
      </c>
      <c r="H4856" t="n">
        <v>6</v>
      </c>
      <c r="I4856" t="inlineStr">
        <is>
          <t>EBITDA Margin (%) 22,1 26,3 22,8</t>
        </is>
      </c>
      <c r="J4856" t="inlineStr">
        <is>
          <t>High</t>
        </is>
      </c>
      <c r="M4856" t="inlineStr">
        <is>
          <t>LLM</t>
        </is>
      </c>
      <c r="N4856" t="inlineStr">
        <is>
          <t>2026-04-19</t>
        </is>
      </c>
      <c r="O4856" t="inlineStr">
        <is>
          <t>AI</t>
        </is>
      </c>
    </row>
    <row r="4857">
      <c r="A4857" t="inlineStr">
        <is>
          <t>PT Salim Ivomas Pratama Tbk</t>
        </is>
      </c>
      <c r="B4857" t="inlineStr">
        <is>
          <t>SIMP_2023_AR.pdf</t>
        </is>
      </c>
      <c r="C4857" t="n">
        <v>2023</v>
      </c>
      <c r="D4857" t="inlineStr">
        <is>
          <t>Financial</t>
        </is>
      </c>
      <c r="E4857" t="inlineStr">
        <is>
          <t>Return on Assets (Net)</t>
        </is>
      </c>
      <c r="F4857" t="n">
        <v>0.026</v>
      </c>
      <c r="G4857" t="inlineStr">
        <is>
          <t>%</t>
        </is>
      </c>
      <c r="H4857" t="n">
        <v>6</v>
      </c>
      <c r="I4857" t="inlineStr">
        <is>
          <t>Return on Assets (%) - Profit/(Loss) for the Year 2,6 4,2 3,8</t>
        </is>
      </c>
      <c r="J4857" t="inlineStr">
        <is>
          <t>High</t>
        </is>
      </c>
      <c r="M4857" t="inlineStr">
        <is>
          <t>LLM</t>
        </is>
      </c>
      <c r="N4857" t="inlineStr">
        <is>
          <t>2026-04-19</t>
        </is>
      </c>
      <c r="O4857" t="inlineStr">
        <is>
          <t>AI</t>
        </is>
      </c>
    </row>
    <row r="4858">
      <c r="A4858" t="inlineStr">
        <is>
          <t>PT Salim Ivomas Pratama Tbk</t>
        </is>
      </c>
      <c r="B4858" t="inlineStr">
        <is>
          <t>SIMP_2023_AR.pdf</t>
        </is>
      </c>
      <c r="C4858" t="n">
        <v>2023</v>
      </c>
      <c r="D4858" t="inlineStr">
        <is>
          <t>Financial</t>
        </is>
      </c>
      <c r="E4858" t="inlineStr">
        <is>
          <t>Return on Equity</t>
        </is>
      </c>
      <c r="F4858" t="n">
        <v>0.043</v>
      </c>
      <c r="G4858" t="inlineStr">
        <is>
          <t>%</t>
        </is>
      </c>
      <c r="H4858" t="n">
        <v>6</v>
      </c>
      <c r="I4858" t="inlineStr">
        <is>
          <t>Return on Equity (%) 4,3 7,4 7,0</t>
        </is>
      </c>
      <c r="J4858" t="inlineStr">
        <is>
          <t>High</t>
        </is>
      </c>
      <c r="M4858" t="inlineStr">
        <is>
          <t>LLM</t>
        </is>
      </c>
      <c r="N4858" t="inlineStr">
        <is>
          <t>2026-04-19</t>
        </is>
      </c>
      <c r="O4858" t="inlineStr">
        <is>
          <t>AI</t>
        </is>
      </c>
    </row>
    <row r="4859">
      <c r="A4859" t="inlineStr">
        <is>
          <t>PT Salim Ivomas Pratama Tbk</t>
        </is>
      </c>
      <c r="B4859" t="inlineStr">
        <is>
          <t>SIMP_2023_AR.pdf</t>
        </is>
      </c>
      <c r="C4859" t="n">
        <v>2023</v>
      </c>
      <c r="D4859" t="inlineStr">
        <is>
          <t>Financial</t>
        </is>
      </c>
      <c r="E4859" t="inlineStr">
        <is>
          <t>Current Ratio</t>
        </is>
      </c>
      <c r="F4859" t="n">
        <v>1.05</v>
      </c>
      <c r="G4859" t="inlineStr">
        <is>
          <t>x</t>
        </is>
      </c>
      <c r="H4859" t="n">
        <v>6</v>
      </c>
      <c r="I4859" t="inlineStr">
        <is>
          <t>Current Ratio (x) 1,05 1,10 1,04</t>
        </is>
      </c>
      <c r="J4859" t="inlineStr">
        <is>
          <t>High</t>
        </is>
      </c>
      <c r="M4859" t="inlineStr">
        <is>
          <t>LLM</t>
        </is>
      </c>
      <c r="N4859" t="inlineStr">
        <is>
          <t>2026-04-19</t>
        </is>
      </c>
      <c r="O4859" t="inlineStr">
        <is>
          <t>AI</t>
        </is>
      </c>
    </row>
    <row r="4860">
      <c r="A4860" t="inlineStr">
        <is>
          <t>PT Salim Ivomas Pratama Tbk</t>
        </is>
      </c>
      <c r="B4860" t="inlineStr">
        <is>
          <t>SIMP_2023_AR.pdf</t>
        </is>
      </c>
      <c r="C4860" t="n">
        <v>2023</v>
      </c>
      <c r="D4860" t="inlineStr">
        <is>
          <t>Financial</t>
        </is>
      </c>
      <c r="E4860" t="inlineStr">
        <is>
          <t>Gearing Ratio - Gross</t>
        </is>
      </c>
      <c r="F4860" t="n">
        <v>0.4</v>
      </c>
      <c r="G4860" t="inlineStr">
        <is>
          <t>x</t>
        </is>
      </c>
      <c r="H4860" t="n">
        <v>6</v>
      </c>
      <c r="I4860" t="inlineStr">
        <is>
          <t>Gearing Ratio - Gross (x) 4 0,40 0,47 0,56</t>
        </is>
      </c>
      <c r="J4860" t="inlineStr">
        <is>
          <t>High</t>
        </is>
      </c>
      <c r="M4860" t="inlineStr">
        <is>
          <t>LLM</t>
        </is>
      </c>
      <c r="N4860" t="inlineStr">
        <is>
          <t>2026-04-19</t>
        </is>
      </c>
      <c r="O4860" t="inlineStr">
        <is>
          <t>AI</t>
        </is>
      </c>
    </row>
    <row r="4861">
      <c r="A4861" t="inlineStr">
        <is>
          <t>PT Salim Ivomas Pratama Tbk</t>
        </is>
      </c>
      <c r="B4861" t="inlineStr">
        <is>
          <t>SIMP_2023_AR.pdf</t>
        </is>
      </c>
      <c r="C4861" t="n">
        <v>2023</v>
      </c>
      <c r="D4861" t="inlineStr">
        <is>
          <t>Financial</t>
        </is>
      </c>
      <c r="E4861" t="inlineStr">
        <is>
          <t>Gearing Ratio - Net</t>
        </is>
      </c>
      <c r="F4861" t="n">
        <v>0.16</v>
      </c>
      <c r="G4861" t="inlineStr">
        <is>
          <t>x</t>
        </is>
      </c>
      <c r="H4861" t="n">
        <v>6</v>
      </c>
      <c r="I4861" t="inlineStr">
        <is>
          <t>Gearing Ratio - Net (x) 4 0,16 0,26 0,37</t>
        </is>
      </c>
      <c r="J4861" t="inlineStr">
        <is>
          <t>High</t>
        </is>
      </c>
      <c r="M4861" t="inlineStr">
        <is>
          <t>LLM</t>
        </is>
      </c>
      <c r="N4861" t="inlineStr">
        <is>
          <t>2026-04-19</t>
        </is>
      </c>
      <c r="O4861" t="inlineStr">
        <is>
          <t>AI</t>
        </is>
      </c>
    </row>
    <row r="4862">
      <c r="A4862" t="inlineStr">
        <is>
          <t>PT Salim Ivomas Pratama Tbk</t>
        </is>
      </c>
      <c r="B4862" t="inlineStr">
        <is>
          <t>SIMP_2023_AR.pdf</t>
        </is>
      </c>
      <c r="C4862" t="n">
        <v>2023</v>
      </c>
      <c r="D4862" t="inlineStr">
        <is>
          <t>Asset</t>
        </is>
      </c>
      <c r="E4862" t="inlineStr">
        <is>
          <t>Total Nucleus Planted Area</t>
        </is>
      </c>
      <c r="F4862" t="n">
        <v>293429</v>
      </c>
      <c r="G4862" t="inlineStr">
        <is>
          <t>ha</t>
        </is>
      </c>
      <c r="H4862" t="n">
        <v>7</v>
      </c>
      <c r="I4862" t="inlineStr">
        <is>
          <t>Planted Area - Nucleus 293.429 294.488 300.749</t>
        </is>
      </c>
      <c r="J4862" t="inlineStr">
        <is>
          <t>High</t>
        </is>
      </c>
      <c r="M4862" t="inlineStr">
        <is>
          <t>LLM</t>
        </is>
      </c>
      <c r="N4862" t="inlineStr">
        <is>
          <t>2026-04-19</t>
        </is>
      </c>
      <c r="O4862" t="inlineStr">
        <is>
          <t>AI</t>
        </is>
      </c>
    </row>
    <row r="4863">
      <c r="A4863" t="inlineStr">
        <is>
          <t>PT Salim Ivomas Pratama Tbk</t>
        </is>
      </c>
      <c r="B4863" t="inlineStr">
        <is>
          <t>SIMP_2023_AR.pdf</t>
        </is>
      </c>
      <c r="C4863" t="n">
        <v>2023</v>
      </c>
      <c r="D4863" t="inlineStr">
        <is>
          <t>Asset</t>
        </is>
      </c>
      <c r="E4863" t="inlineStr">
        <is>
          <t>Oil Palm Nucleus Area</t>
        </is>
      </c>
      <c r="F4863" t="n">
        <v>244337</v>
      </c>
      <c r="G4863" t="inlineStr">
        <is>
          <t>ha</t>
        </is>
      </c>
      <c r="H4863" t="n">
        <v>7</v>
      </c>
      <c r="I4863" t="inlineStr">
        <is>
          <t>Oil Palm 244.337 244.768 250.615</t>
        </is>
      </c>
      <c r="J4863" t="inlineStr">
        <is>
          <t>High</t>
        </is>
      </c>
      <c r="M4863" t="inlineStr">
        <is>
          <t>LLM</t>
        </is>
      </c>
      <c r="N4863" t="inlineStr">
        <is>
          <t>2026-04-19</t>
        </is>
      </c>
      <c r="O4863" t="inlineStr">
        <is>
          <t>AI</t>
        </is>
      </c>
    </row>
    <row r="4864">
      <c r="A4864" t="inlineStr">
        <is>
          <t>PT Salim Ivomas Pratama Tbk</t>
        </is>
      </c>
      <c r="B4864" t="inlineStr">
        <is>
          <t>SIMP_2023_AR.pdf</t>
        </is>
      </c>
      <c r="C4864" t="n">
        <v>2023</v>
      </c>
      <c r="D4864" t="inlineStr">
        <is>
          <t>Asset</t>
        </is>
      </c>
      <c r="E4864" t="inlineStr">
        <is>
          <t>Oil Palm Mature Area</t>
        </is>
      </c>
      <c r="F4864" t="n">
        <v>220531</v>
      </c>
      <c r="G4864" t="inlineStr">
        <is>
          <t>ha</t>
        </is>
      </c>
      <c r="H4864" t="n">
        <v>7</v>
      </c>
      <c r="I4864" t="inlineStr">
        <is>
          <t>• Mature 220.531 218.064 214.053 Menghasilkan</t>
        </is>
      </c>
      <c r="J4864" t="inlineStr">
        <is>
          <t>High</t>
        </is>
      </c>
      <c r="M4864" t="inlineStr">
        <is>
          <t>LLM</t>
        </is>
      </c>
      <c r="N4864" t="inlineStr">
        <is>
          <t>2026-04-19</t>
        </is>
      </c>
      <c r="O4864" t="inlineStr">
        <is>
          <t>AI</t>
        </is>
      </c>
    </row>
    <row r="4865">
      <c r="A4865" t="inlineStr">
        <is>
          <t>PT Salim Ivomas Pratama Tbk</t>
        </is>
      </c>
      <c r="B4865" t="inlineStr">
        <is>
          <t>SIMP_2023_AR.pdf</t>
        </is>
      </c>
      <c r="C4865" t="n">
        <v>2023</v>
      </c>
      <c r="D4865" t="inlineStr">
        <is>
          <t>Asset</t>
        </is>
      </c>
      <c r="E4865" t="inlineStr">
        <is>
          <t>Oil Palm Immature Area</t>
        </is>
      </c>
      <c r="F4865" t="n">
        <v>23806</v>
      </c>
      <c r="G4865" t="inlineStr">
        <is>
          <t>ha</t>
        </is>
      </c>
      <c r="H4865" t="n">
        <v>7</v>
      </c>
      <c r="I4865" t="inlineStr">
        <is>
          <t>• Immature 23.806 26.704 36.562 Belum Menghasilkan</t>
        </is>
      </c>
      <c r="J4865" t="inlineStr">
        <is>
          <t>High</t>
        </is>
      </c>
      <c r="M4865" t="inlineStr">
        <is>
          <t>LLM</t>
        </is>
      </c>
      <c r="N4865" t="inlineStr">
        <is>
          <t>2026-04-19</t>
        </is>
      </c>
      <c r="O4865" t="inlineStr">
        <is>
          <t>AI</t>
        </is>
      </c>
    </row>
    <row r="4866">
      <c r="A4866" t="inlineStr">
        <is>
          <t>PT Salim Ivomas Pratama Tbk</t>
        </is>
      </c>
      <c r="B4866" t="inlineStr">
        <is>
          <t>SIMP_2023_AR.pdf</t>
        </is>
      </c>
      <c r="C4866" t="n">
        <v>2023</v>
      </c>
      <c r="D4866" t="inlineStr">
        <is>
          <t>Asset</t>
        </is>
      </c>
      <c r="E4866" t="inlineStr">
        <is>
          <t>Rubber Nucleus Area</t>
        </is>
      </c>
      <c r="F4866" t="n">
        <v>16238</v>
      </c>
      <c r="G4866" t="inlineStr">
        <is>
          <t>ha</t>
        </is>
      </c>
      <c r="H4866" t="n">
        <v>7</v>
      </c>
      <c r="I4866" t="inlineStr">
        <is>
          <t>Rubber 16.238 16.074 16.228</t>
        </is>
      </c>
      <c r="J4866" t="inlineStr">
        <is>
          <t>High</t>
        </is>
      </c>
      <c r="M4866" t="inlineStr">
        <is>
          <t>LLM</t>
        </is>
      </c>
      <c r="N4866" t="inlineStr">
        <is>
          <t>2026-04-19</t>
        </is>
      </c>
      <c r="O4866" t="inlineStr">
        <is>
          <t>AI</t>
        </is>
      </c>
    </row>
    <row r="4867">
      <c r="A4867" t="inlineStr">
        <is>
          <t>PT Salim Ivomas Pratama Tbk</t>
        </is>
      </c>
      <c r="B4867" t="inlineStr">
        <is>
          <t>SIMP_2023_AR.pdf</t>
        </is>
      </c>
      <c r="C4867" t="n">
        <v>2023</v>
      </c>
      <c r="D4867" t="inlineStr">
        <is>
          <t>Asset</t>
        </is>
      </c>
      <c r="E4867" t="inlineStr">
        <is>
          <t>Sugar Cane Nucleus Area</t>
        </is>
      </c>
      <c r="F4867" t="n">
        <v>13384</v>
      </c>
      <c r="G4867" t="inlineStr">
        <is>
          <t>ha</t>
        </is>
      </c>
      <c r="H4867" t="n">
        <v>7</v>
      </c>
      <c r="I4867" t="inlineStr">
        <is>
          <t>Sugar Cane 13.384 14.056 14.411</t>
        </is>
      </c>
      <c r="J4867" t="inlineStr">
        <is>
          <t>High</t>
        </is>
      </c>
      <c r="M4867" t="inlineStr">
        <is>
          <t>LLM</t>
        </is>
      </c>
      <c r="N4867" t="inlineStr">
        <is>
          <t>2026-04-19</t>
        </is>
      </c>
      <c r="O4867" t="inlineStr">
        <is>
          <t>AI</t>
        </is>
      </c>
    </row>
    <row r="4868">
      <c r="A4868" t="inlineStr">
        <is>
          <t>PT Salim Ivomas Pratama Tbk</t>
        </is>
      </c>
      <c r="B4868" t="inlineStr">
        <is>
          <t>SIMP_2023_AR.pdf</t>
        </is>
      </c>
      <c r="C4868" t="n">
        <v>2023</v>
      </c>
      <c r="D4868" t="inlineStr">
        <is>
          <t>Asset</t>
        </is>
      </c>
      <c r="E4868" t="inlineStr">
        <is>
          <t>Other Crops (timber, cocoa, tea) Area</t>
        </is>
      </c>
      <c r="F4868" t="n">
        <v>19470</v>
      </c>
      <c r="G4868" t="inlineStr">
        <is>
          <t>ha</t>
        </is>
      </c>
      <c r="H4868" t="n">
        <v>7</v>
      </c>
      <c r="I4868" t="inlineStr">
        <is>
          <t>Others 19.470 19.590 19.495</t>
        </is>
      </c>
      <c r="J4868" t="inlineStr">
        <is>
          <t>High</t>
        </is>
      </c>
      <c r="M4868" t="inlineStr">
        <is>
          <t>LLM</t>
        </is>
      </c>
      <c r="N4868" t="inlineStr">
        <is>
          <t>2026-04-19</t>
        </is>
      </c>
      <c r="O4868" t="inlineStr">
        <is>
          <t>AI</t>
        </is>
      </c>
    </row>
    <row r="4869">
      <c r="A4869" t="inlineStr">
        <is>
          <t>PT Salim Ivomas Pratama Tbk</t>
        </is>
      </c>
      <c r="B4869" t="inlineStr">
        <is>
          <t>SIMP_2023_AR.pdf</t>
        </is>
      </c>
      <c r="C4869" t="n">
        <v>2023</v>
      </c>
      <c r="D4869" t="inlineStr">
        <is>
          <t>Asset</t>
        </is>
      </c>
      <c r="E4869" t="inlineStr">
        <is>
          <t>Plasma Partnership (Oil Palm &amp; Rubber)</t>
        </is>
      </c>
      <c r="F4869" t="n">
        <v>90867</v>
      </c>
      <c r="G4869" t="inlineStr">
        <is>
          <t>ha</t>
        </is>
      </c>
      <c r="H4869" t="n">
        <v>7</v>
      </c>
      <c r="I4869" t="inlineStr">
        <is>
          <t>Plasma Partnership 90.867 90.551 90.229</t>
        </is>
      </c>
      <c r="J4869" t="inlineStr">
        <is>
          <t>High</t>
        </is>
      </c>
      <c r="M4869" t="inlineStr">
        <is>
          <t>LLM</t>
        </is>
      </c>
      <c r="N4869" t="inlineStr">
        <is>
          <t>2026-04-19</t>
        </is>
      </c>
      <c r="O4869" t="inlineStr">
        <is>
          <t>AI</t>
        </is>
      </c>
    </row>
    <row r="4870">
      <c r="A4870" t="inlineStr">
        <is>
          <t>PT Salim Ivomas Pratama Tbk</t>
        </is>
      </c>
      <c r="B4870" t="inlineStr">
        <is>
          <t>SIMP_2023_AR.pdf</t>
        </is>
      </c>
      <c r="C4870" t="n">
        <v>2023</v>
      </c>
      <c r="D4870" t="inlineStr">
        <is>
          <t>Asset</t>
        </is>
      </c>
      <c r="E4870" t="inlineStr">
        <is>
          <t>Oil Palm Age Profile - 4-6 yr</t>
        </is>
      </c>
      <c r="F4870" t="n">
        <v>8693</v>
      </c>
      <c r="G4870" t="inlineStr">
        <is>
          <t>ha</t>
        </is>
      </c>
      <c r="H4870" t="n">
        <v>7</v>
      </c>
      <c r="I4870" t="inlineStr">
        <is>
          <t>4 - 6 years 8.693 7.086 5.715</t>
        </is>
      </c>
      <c r="J4870" t="inlineStr">
        <is>
          <t>High</t>
        </is>
      </c>
      <c r="M4870" t="inlineStr">
        <is>
          <t>LLM</t>
        </is>
      </c>
      <c r="N4870" t="inlineStr">
        <is>
          <t>2026-04-19</t>
        </is>
      </c>
      <c r="O4870" t="inlineStr">
        <is>
          <t>AI</t>
        </is>
      </c>
    </row>
    <row r="4871">
      <c r="A4871" t="inlineStr">
        <is>
          <t>PT Salim Ivomas Pratama Tbk</t>
        </is>
      </c>
      <c r="B4871" t="inlineStr">
        <is>
          <t>SIMP_2023_AR.pdf</t>
        </is>
      </c>
      <c r="C4871" t="n">
        <v>2023</v>
      </c>
      <c r="D4871" t="inlineStr">
        <is>
          <t>Asset</t>
        </is>
      </c>
      <c r="E4871" t="inlineStr">
        <is>
          <t>Oil Palm Age Profile - 7-20 yr</t>
        </is>
      </c>
      <c r="F4871" t="n">
        <v>126140</v>
      </c>
      <c r="G4871" t="inlineStr">
        <is>
          <t>ha</t>
        </is>
      </c>
      <c r="H4871" t="n">
        <v>7</v>
      </c>
      <c r="I4871" t="inlineStr">
        <is>
          <t>7 - 20 years 126.140 125.613 122.210</t>
        </is>
      </c>
      <c r="J4871" t="inlineStr">
        <is>
          <t>High</t>
        </is>
      </c>
      <c r="M4871" t="inlineStr">
        <is>
          <t>LLM</t>
        </is>
      </c>
      <c r="N4871" t="inlineStr">
        <is>
          <t>2026-04-19</t>
        </is>
      </c>
      <c r="O4871" t="inlineStr">
        <is>
          <t>AI</t>
        </is>
      </c>
    </row>
    <row r="4872">
      <c r="A4872" t="inlineStr">
        <is>
          <t>PT Salim Ivomas Pratama Tbk</t>
        </is>
      </c>
      <c r="B4872" t="inlineStr">
        <is>
          <t>SIMP_2023_AR.pdf</t>
        </is>
      </c>
      <c r="C4872" t="n">
        <v>2023</v>
      </c>
      <c r="D4872" t="inlineStr">
        <is>
          <t>Asset</t>
        </is>
      </c>
      <c r="E4872" t="inlineStr">
        <is>
          <t>Oil Palm Age Profile - &gt;20 yr</t>
        </is>
      </c>
      <c r="F4872" t="n">
        <v>85698</v>
      </c>
      <c r="G4872" t="inlineStr">
        <is>
          <t>ha</t>
        </is>
      </c>
      <c r="H4872" t="n">
        <v>7</v>
      </c>
      <c r="I4872" t="inlineStr">
        <is>
          <t>&gt;20 years 85.698 85.365 86.128</t>
        </is>
      </c>
      <c r="J4872" t="inlineStr">
        <is>
          <t>High</t>
        </is>
      </c>
      <c r="M4872" t="inlineStr">
        <is>
          <t>LLM</t>
        </is>
      </c>
      <c r="N4872" t="inlineStr">
        <is>
          <t>2026-04-19</t>
        </is>
      </c>
      <c r="O4872" t="inlineStr">
        <is>
          <t>AI</t>
        </is>
      </c>
    </row>
    <row r="4873">
      <c r="A4873" t="inlineStr">
        <is>
          <t>PT Salim Ivomas Pratama Tbk</t>
        </is>
      </c>
      <c r="B4873" t="inlineStr">
        <is>
          <t>SIMP_2023_AR.pdf</t>
        </is>
      </c>
      <c r="C4873" t="n">
        <v>2023</v>
      </c>
      <c r="D4873" t="inlineStr">
        <is>
          <t>Asset</t>
        </is>
      </c>
      <c r="E4873" t="inlineStr">
        <is>
          <t>Riau Planted Area</t>
        </is>
      </c>
      <c r="F4873" t="n">
        <v>56175</v>
      </c>
      <c r="G4873" t="inlineStr">
        <is>
          <t>ha</t>
        </is>
      </c>
      <c r="H4873" t="n">
        <v>7</v>
      </c>
      <c r="I4873" t="inlineStr">
        <is>
          <t>Riau 56.175 56.145 56.307</t>
        </is>
      </c>
      <c r="J4873" t="inlineStr">
        <is>
          <t>High</t>
        </is>
      </c>
      <c r="M4873" t="inlineStr">
        <is>
          <t>LLM</t>
        </is>
      </c>
      <c r="N4873" t="inlineStr">
        <is>
          <t>2026-04-19</t>
        </is>
      </c>
      <c r="O4873" t="inlineStr">
        <is>
          <t>AI</t>
        </is>
      </c>
    </row>
    <row r="4874">
      <c r="A4874" t="inlineStr">
        <is>
          <t>PT Salim Ivomas Pratama Tbk</t>
        </is>
      </c>
      <c r="B4874" t="inlineStr">
        <is>
          <t>SIMP_2023_AR.pdf</t>
        </is>
      </c>
      <c r="C4874" t="n">
        <v>2023</v>
      </c>
      <c r="D4874" t="inlineStr">
        <is>
          <t>Asset</t>
        </is>
      </c>
      <c r="E4874" t="inlineStr">
        <is>
          <t>North Sumatra Planted Area</t>
        </is>
      </c>
      <c r="F4874" t="n">
        <v>36903</v>
      </c>
      <c r="G4874" t="inlineStr">
        <is>
          <t>ha</t>
        </is>
      </c>
      <c r="H4874" t="n">
        <v>7</v>
      </c>
      <c r="I4874" t="inlineStr">
        <is>
          <t>North Sumatra 36.903 36.473 38.236</t>
        </is>
      </c>
      <c r="J4874" t="inlineStr">
        <is>
          <t>High</t>
        </is>
      </c>
      <c r="M4874" t="inlineStr">
        <is>
          <t>LLM</t>
        </is>
      </c>
      <c r="N4874" t="inlineStr">
        <is>
          <t>2026-04-19</t>
        </is>
      </c>
      <c r="O4874" t="inlineStr">
        <is>
          <t>AI</t>
        </is>
      </c>
    </row>
    <row r="4875">
      <c r="A4875" t="inlineStr">
        <is>
          <t>PT Salim Ivomas Pratama Tbk</t>
        </is>
      </c>
      <c r="B4875" t="inlineStr">
        <is>
          <t>SIMP_2023_AR.pdf</t>
        </is>
      </c>
      <c r="C4875" t="n">
        <v>2023</v>
      </c>
      <c r="D4875" t="inlineStr">
        <is>
          <t>Asset</t>
        </is>
      </c>
      <c r="E4875" t="inlineStr">
        <is>
          <t>South Sumatra Planted Area</t>
        </is>
      </c>
      <c r="F4875" t="n">
        <v>94532</v>
      </c>
      <c r="G4875" t="inlineStr">
        <is>
          <t>ha</t>
        </is>
      </c>
      <c r="H4875" t="n">
        <v>7</v>
      </c>
      <c r="I4875" t="inlineStr">
        <is>
          <t>South Sumatra 94.532 95.919 98.088</t>
        </is>
      </c>
      <c r="J4875" t="inlineStr">
        <is>
          <t>High</t>
        </is>
      </c>
      <c r="M4875" t="inlineStr">
        <is>
          <t>LLM</t>
        </is>
      </c>
      <c r="N4875" t="inlineStr">
        <is>
          <t>2026-04-19</t>
        </is>
      </c>
      <c r="O4875" t="inlineStr">
        <is>
          <t>AI</t>
        </is>
      </c>
    </row>
    <row r="4876">
      <c r="A4876" t="inlineStr">
        <is>
          <t>PT Salim Ivomas Pratama Tbk</t>
        </is>
      </c>
      <c r="B4876" t="inlineStr">
        <is>
          <t>SIMP_2023_AR.pdf</t>
        </is>
      </c>
      <c r="C4876" t="n">
        <v>2023</v>
      </c>
      <c r="D4876" t="inlineStr">
        <is>
          <t>Asset</t>
        </is>
      </c>
      <c r="E4876" t="inlineStr">
        <is>
          <t>West Kalimantan Planted Area</t>
        </is>
      </c>
      <c r="F4876" t="n">
        <v>24675</v>
      </c>
      <c r="G4876" t="inlineStr">
        <is>
          <t>ha</t>
        </is>
      </c>
      <c r="H4876" t="n">
        <v>7</v>
      </c>
      <c r="I4876" t="inlineStr">
        <is>
          <t>West Kalimantan 24.675 24.742 26.845</t>
        </is>
      </c>
      <c r="J4876" t="inlineStr">
        <is>
          <t>High</t>
        </is>
      </c>
      <c r="M4876" t="inlineStr">
        <is>
          <t>LLM</t>
        </is>
      </c>
      <c r="N4876" t="inlineStr">
        <is>
          <t>2026-04-19</t>
        </is>
      </c>
      <c r="O4876" t="inlineStr">
        <is>
          <t>AI</t>
        </is>
      </c>
    </row>
    <row r="4877">
      <c r="A4877" t="inlineStr">
        <is>
          <t>PT Salim Ivomas Pratama Tbk</t>
        </is>
      </c>
      <c r="B4877" t="inlineStr">
        <is>
          <t>SIMP_2023_AR.pdf</t>
        </is>
      </c>
      <c r="C4877" t="n">
        <v>2023</v>
      </c>
      <c r="D4877" t="inlineStr">
        <is>
          <t>Asset</t>
        </is>
      </c>
      <c r="E4877" t="inlineStr">
        <is>
          <t>East Kalimantan Planted Area</t>
        </is>
      </c>
      <c r="F4877" t="n">
        <v>61640</v>
      </c>
      <c r="G4877" t="inlineStr">
        <is>
          <t>ha</t>
        </is>
      </c>
      <c r="H4877" t="n">
        <v>7</v>
      </c>
      <c r="I4877" t="inlineStr">
        <is>
          <t>East Kalimantan 61.640 61.651 61.453</t>
        </is>
      </c>
      <c r="J4877" t="inlineStr">
        <is>
          <t>High</t>
        </is>
      </c>
      <c r="M4877" t="inlineStr">
        <is>
          <t>LLM</t>
        </is>
      </c>
      <c r="N4877" t="inlineStr">
        <is>
          <t>2026-04-19</t>
        </is>
      </c>
      <c r="O4877" t="inlineStr">
        <is>
          <t>AI</t>
        </is>
      </c>
    </row>
    <row r="4878">
      <c r="A4878" t="inlineStr">
        <is>
          <t>PT Salim Ivomas Pratama Tbk</t>
        </is>
      </c>
      <c r="B4878" t="inlineStr">
        <is>
          <t>SIMP_2023_AR.pdf</t>
        </is>
      </c>
      <c r="C4878" t="n">
        <v>2023</v>
      </c>
      <c r="D4878" t="inlineStr">
        <is>
          <t>Asset</t>
        </is>
      </c>
      <c r="E4878" t="inlineStr">
        <is>
          <t>Central Kalimantan Planted Area</t>
        </is>
      </c>
      <c r="F4878" t="n">
        <v>10841</v>
      </c>
      <c r="G4878" t="inlineStr">
        <is>
          <t>ha</t>
        </is>
      </c>
      <c r="H4878" t="n">
        <v>7</v>
      </c>
      <c r="I4878" t="inlineStr">
        <is>
          <t>Central Kalimantan 10.841 10.842 10.987</t>
        </is>
      </c>
      <c r="J4878" t="inlineStr">
        <is>
          <t>High</t>
        </is>
      </c>
      <c r="M4878" t="inlineStr">
        <is>
          <t>LLM</t>
        </is>
      </c>
      <c r="N4878" t="inlineStr">
        <is>
          <t>2026-04-19</t>
        </is>
      </c>
      <c r="O4878" t="inlineStr">
        <is>
          <t>AI</t>
        </is>
      </c>
    </row>
    <row r="4879">
      <c r="A4879" t="inlineStr">
        <is>
          <t>PT Salim Ivomas Pratama Tbk</t>
        </is>
      </c>
      <c r="B4879" t="inlineStr">
        <is>
          <t>SIMP_2023_AR.pdf</t>
        </is>
      </c>
      <c r="C4879" t="n">
        <v>2023</v>
      </c>
      <c r="D4879" t="inlineStr">
        <is>
          <t>Asset</t>
        </is>
      </c>
      <c r="E4879" t="inlineStr">
        <is>
          <t>Java Planted Area</t>
        </is>
      </c>
      <c r="F4879" t="n">
        <v>3177</v>
      </c>
      <c r="G4879" t="inlineStr">
        <is>
          <t>ha</t>
        </is>
      </c>
      <c r="H4879" t="n">
        <v>7</v>
      </c>
      <c r="I4879" t="inlineStr">
        <is>
          <t>Java 3.177 3.249 3.263</t>
        </is>
      </c>
      <c r="J4879" t="inlineStr">
        <is>
          <t>High</t>
        </is>
      </c>
      <c r="M4879" t="inlineStr">
        <is>
          <t>LLM</t>
        </is>
      </c>
      <c r="N4879" t="inlineStr">
        <is>
          <t>2026-04-19</t>
        </is>
      </c>
      <c r="O4879" t="inlineStr">
        <is>
          <t>AI</t>
        </is>
      </c>
    </row>
    <row r="4880">
      <c r="A4880" t="inlineStr">
        <is>
          <t>PT Salim Ivomas Pratama Tbk</t>
        </is>
      </c>
      <c r="B4880" t="inlineStr">
        <is>
          <t>SIMP_2023_AR.pdf</t>
        </is>
      </c>
      <c r="C4880" t="n">
        <v>2023</v>
      </c>
      <c r="D4880" t="inlineStr">
        <is>
          <t>Asset</t>
        </is>
      </c>
      <c r="E4880" t="inlineStr">
        <is>
          <t>Sulawesi Planted Area</t>
        </is>
      </c>
      <c r="F4880" t="n">
        <v>5486</v>
      </c>
      <c r="G4880" t="inlineStr">
        <is>
          <t>ha</t>
        </is>
      </c>
      <c r="H4880" t="n">
        <v>7</v>
      </c>
      <c r="I4880" t="inlineStr">
        <is>
          <t>Sulawesi 5.486 5.467 5.570</t>
        </is>
      </c>
      <c r="J4880" t="inlineStr">
        <is>
          <t>High</t>
        </is>
      </c>
      <c r="M4880" t="inlineStr">
        <is>
          <t>LLM</t>
        </is>
      </c>
      <c r="N4880" t="inlineStr">
        <is>
          <t>2026-04-19</t>
        </is>
      </c>
      <c r="O4880" t="inlineStr">
        <is>
          <t>AI</t>
        </is>
      </c>
    </row>
    <row r="4881">
      <c r="A4881" t="inlineStr">
        <is>
          <t>PT Salim Ivomas Pratama Tbk</t>
        </is>
      </c>
      <c r="B4881" t="inlineStr">
        <is>
          <t>SIMP_2023_AR.pdf</t>
        </is>
      </c>
      <c r="C4881" t="n">
        <v>2023</v>
      </c>
      <c r="D4881" t="inlineStr">
        <is>
          <t>Asset</t>
        </is>
      </c>
      <c r="E4881" t="inlineStr">
        <is>
          <t>Palm Oil Mills Count</t>
        </is>
      </c>
      <c r="F4881" t="n">
        <v>27</v>
      </c>
      <c r="G4881" t="inlineStr">
        <is>
          <t>count</t>
        </is>
      </c>
      <c r="H4881" t="n">
        <v>11</v>
      </c>
      <c r="I4881" t="inlineStr">
        <is>
          <t>27 palm oil mills across Sumatra and Kalimantan with a total annual Fresh Fruit Bunches (FFB) processing capacity of 7.2 million tonnes</t>
        </is>
      </c>
      <c r="J4881" t="inlineStr">
        <is>
          <t>High</t>
        </is>
      </c>
      <c r="M4881" t="inlineStr">
        <is>
          <t>LLM</t>
        </is>
      </c>
      <c r="N4881" t="inlineStr">
        <is>
          <t>2026-04-19</t>
        </is>
      </c>
      <c r="O4881" t="inlineStr">
        <is>
          <t>AI</t>
        </is>
      </c>
    </row>
    <row r="4882">
      <c r="A4882" t="inlineStr">
        <is>
          <t>PT Salim Ivomas Pratama Tbk</t>
        </is>
      </c>
      <c r="B4882" t="inlineStr">
        <is>
          <t>SIMP_2023_AR.pdf</t>
        </is>
      </c>
      <c r="C4882" t="n">
        <v>2023</v>
      </c>
      <c r="D4882" t="inlineStr">
        <is>
          <t>Asset</t>
        </is>
      </c>
      <c r="E4882" t="inlineStr">
        <is>
          <t>Palm Oil Mills Capacity</t>
        </is>
      </c>
      <c r="F4882" t="n">
        <v>7200000</v>
      </c>
      <c r="G4882" t="inlineStr">
        <is>
          <t>t FFB/year</t>
        </is>
      </c>
      <c r="H4882" t="n">
        <v>11</v>
      </c>
      <c r="I4882" t="inlineStr">
        <is>
          <t>total annual Fresh Fruit Bunches (FFB) processing capacity of 7.2 million tonnes</t>
        </is>
      </c>
      <c r="J4882" t="inlineStr">
        <is>
          <t>High</t>
        </is>
      </c>
      <c r="M4882" t="inlineStr">
        <is>
          <t>LLM</t>
        </is>
      </c>
      <c r="N4882" t="inlineStr">
        <is>
          <t>2026-04-19</t>
        </is>
      </c>
      <c r="O4882" t="inlineStr">
        <is>
          <t>AI</t>
        </is>
      </c>
    </row>
    <row r="4883">
      <c r="A4883" t="inlineStr">
        <is>
          <t>PT Salim Ivomas Pratama Tbk</t>
        </is>
      </c>
      <c r="B4883" t="inlineStr">
        <is>
          <t>SIMP_2023_AR.pdf</t>
        </is>
      </c>
      <c r="C4883" t="n">
        <v>2023</v>
      </c>
      <c r="D4883" t="inlineStr">
        <is>
          <t>Asset</t>
        </is>
      </c>
      <c r="E4883" t="inlineStr">
        <is>
          <t>CPO Refineries Count</t>
        </is>
      </c>
      <c r="F4883" t="n">
        <v>5</v>
      </c>
      <c r="G4883" t="inlineStr">
        <is>
          <t>count</t>
        </is>
      </c>
      <c r="H4883" t="n">
        <v>11</v>
      </c>
      <c r="I4883" t="inlineStr">
        <is>
          <t>We operate 5 CPO refineries with a total annual CPO processing capacity of 1.7 million tonnes</t>
        </is>
      </c>
      <c r="J4883" t="inlineStr">
        <is>
          <t>High</t>
        </is>
      </c>
      <c r="M4883" t="inlineStr">
        <is>
          <t>LLM</t>
        </is>
      </c>
      <c r="N4883" t="inlineStr">
        <is>
          <t>2026-04-19</t>
        </is>
      </c>
      <c r="O4883" t="inlineStr">
        <is>
          <t>AI</t>
        </is>
      </c>
    </row>
    <row r="4884">
      <c r="A4884" t="inlineStr">
        <is>
          <t>PT Salim Ivomas Pratama Tbk</t>
        </is>
      </c>
      <c r="B4884" t="inlineStr">
        <is>
          <t>SIMP_2023_AR.pdf</t>
        </is>
      </c>
      <c r="C4884" t="n">
        <v>2023</v>
      </c>
      <c r="D4884" t="inlineStr">
        <is>
          <t>Asset</t>
        </is>
      </c>
      <c r="E4884" t="inlineStr">
        <is>
          <t>CPO Refinery Capacity</t>
        </is>
      </c>
      <c r="F4884" t="n">
        <v>1700000</v>
      </c>
      <c r="G4884" t="inlineStr">
        <is>
          <t>t CPO/year</t>
        </is>
      </c>
      <c r="H4884" t="n">
        <v>11</v>
      </c>
      <c r="I4884" t="inlineStr">
        <is>
          <t>total annual CPO processing capacity of 1.7 million tonnes</t>
        </is>
      </c>
      <c r="J4884" t="inlineStr">
        <is>
          <t>High</t>
        </is>
      </c>
      <c r="M4884" t="inlineStr">
        <is>
          <t>LLM</t>
        </is>
      </c>
      <c r="N4884" t="inlineStr">
        <is>
          <t>2026-04-19</t>
        </is>
      </c>
      <c r="O4884" t="inlineStr">
        <is>
          <t>AI</t>
        </is>
      </c>
    </row>
    <row r="4885">
      <c r="A4885" t="inlineStr">
        <is>
          <t>PT Salim Ivomas Pratama Tbk</t>
        </is>
      </c>
      <c r="B4885" t="inlineStr">
        <is>
          <t>SIMP_2023_AR.pdf</t>
        </is>
      </c>
      <c r="C4885" t="n">
        <v>2023</v>
      </c>
      <c r="D4885" t="inlineStr">
        <is>
          <t>Asset</t>
        </is>
      </c>
      <c r="E4885" t="inlineStr">
        <is>
          <t>Sugar Mills &amp; Refineries</t>
        </is>
      </c>
      <c r="F4885" t="n">
        <v>2</v>
      </c>
      <c r="G4885" t="inlineStr">
        <is>
          <t>count</t>
        </is>
      </c>
      <c r="H4885" t="n">
        <v>11</v>
      </c>
      <c r="I4885" t="inlineStr">
        <is>
          <t>2 sugar mills and refineries</t>
        </is>
      </c>
      <c r="J4885" t="inlineStr">
        <is>
          <t>High</t>
        </is>
      </c>
      <c r="M4885" t="inlineStr">
        <is>
          <t>LLM</t>
        </is>
      </c>
      <c r="N4885" t="inlineStr">
        <is>
          <t>2026-04-19</t>
        </is>
      </c>
      <c r="O4885" t="inlineStr">
        <is>
          <t>AI</t>
        </is>
      </c>
    </row>
    <row r="4886">
      <c r="A4886" t="inlineStr">
        <is>
          <t>PT Salim Ivomas Pratama Tbk</t>
        </is>
      </c>
      <c r="B4886" t="inlineStr">
        <is>
          <t>SIMP_2023_AR.pdf</t>
        </is>
      </c>
      <c r="C4886" t="n">
        <v>2023</v>
      </c>
      <c r="D4886" t="inlineStr">
        <is>
          <t>Asset</t>
        </is>
      </c>
      <c r="E4886" t="inlineStr">
        <is>
          <t>Crumb Rubber Processing Facilities</t>
        </is>
      </c>
      <c r="F4886" t="n">
        <v>3</v>
      </c>
      <c r="G4886" t="inlineStr">
        <is>
          <t>count</t>
        </is>
      </c>
      <c r="H4886" t="n">
        <v>11</v>
      </c>
      <c r="I4886" t="inlineStr">
        <is>
          <t>3 crumb rubber processing facilities</t>
        </is>
      </c>
      <c r="J4886" t="inlineStr">
        <is>
          <t>High</t>
        </is>
      </c>
      <c r="M4886" t="inlineStr">
        <is>
          <t>LLM</t>
        </is>
      </c>
      <c r="N4886" t="inlineStr">
        <is>
          <t>2026-04-19</t>
        </is>
      </c>
      <c r="O4886" t="inlineStr">
        <is>
          <t>AI</t>
        </is>
      </c>
    </row>
    <row r="4887">
      <c r="A4887" t="inlineStr">
        <is>
          <t>PT Salim Ivomas Pratama Tbk</t>
        </is>
      </c>
      <c r="B4887" t="inlineStr">
        <is>
          <t>SIMP_2023_AR.pdf</t>
        </is>
      </c>
      <c r="C4887" t="n">
        <v>2023</v>
      </c>
      <c r="D4887" t="inlineStr">
        <is>
          <t>Asset</t>
        </is>
      </c>
      <c r="E4887" t="inlineStr">
        <is>
          <t>Sheet Rubber Processing Facilities</t>
        </is>
      </c>
      <c r="F4887" t="n">
        <v>2</v>
      </c>
      <c r="G4887" t="inlineStr">
        <is>
          <t>count</t>
        </is>
      </c>
      <c r="H4887" t="n">
        <v>11</v>
      </c>
      <c r="I4887" t="inlineStr">
        <is>
          <t>2 sheet rubber processing facilities</t>
        </is>
      </c>
      <c r="J4887" t="inlineStr">
        <is>
          <t>High</t>
        </is>
      </c>
      <c r="M4887" t="inlineStr">
        <is>
          <t>LLM</t>
        </is>
      </c>
      <c r="N4887" t="inlineStr">
        <is>
          <t>2026-04-19</t>
        </is>
      </c>
      <c r="O4887" t="inlineStr">
        <is>
          <t>AI</t>
        </is>
      </c>
    </row>
    <row r="4888">
      <c r="A4888" t="inlineStr">
        <is>
          <t>PT Salim Ivomas Pratama Tbk</t>
        </is>
      </c>
      <c r="B4888" t="inlineStr">
        <is>
          <t>SIMP_2023_AR.pdf</t>
        </is>
      </c>
      <c r="C4888" t="n">
        <v>2023</v>
      </c>
      <c r="D4888" t="inlineStr">
        <is>
          <t>Operation</t>
        </is>
      </c>
      <c r="E4888" t="inlineStr">
        <is>
          <t>FFB Total Production</t>
        </is>
      </c>
      <c r="F4888" t="n">
        <v>3632</v>
      </c>
      <c r="G4888" t="inlineStr">
        <is>
          <t>thousand t</t>
        </is>
      </c>
      <c r="H4888" t="n">
        <v>7</v>
      </c>
      <c r="I4888" t="inlineStr">
        <is>
          <t>Total Fresh Fruit Bunches (FFB) 3.632 3.741 3.455</t>
        </is>
      </c>
      <c r="J4888" t="inlineStr">
        <is>
          <t>High</t>
        </is>
      </c>
      <c r="M4888" t="inlineStr">
        <is>
          <t>LLM</t>
        </is>
      </c>
      <c r="N4888" t="inlineStr">
        <is>
          <t>2026-04-19</t>
        </is>
      </c>
      <c r="O4888" t="inlineStr">
        <is>
          <t>AI</t>
        </is>
      </c>
    </row>
    <row r="4889">
      <c r="A4889" t="inlineStr">
        <is>
          <t>PT Salim Ivomas Pratama Tbk</t>
        </is>
      </c>
      <c r="B4889" t="inlineStr">
        <is>
          <t>SIMP_2023_AR.pdf</t>
        </is>
      </c>
      <c r="C4889" t="n">
        <v>2023</v>
      </c>
      <c r="D4889" t="inlineStr">
        <is>
          <t>Operation</t>
        </is>
      </c>
      <c r="E4889" t="inlineStr">
        <is>
          <t>FFB Nucleus Production</t>
        </is>
      </c>
      <c r="F4889" t="n">
        <v>2784</v>
      </c>
      <c r="G4889" t="inlineStr">
        <is>
          <t>thousand t</t>
        </is>
      </c>
      <c r="H4889" t="n">
        <v>7</v>
      </c>
      <c r="I4889" t="inlineStr">
        <is>
          <t>FFB - Nucleus 2.784 2.812 2.761</t>
        </is>
      </c>
      <c r="J4889" t="inlineStr">
        <is>
          <t>High</t>
        </is>
      </c>
      <c r="M4889" t="inlineStr">
        <is>
          <t>LLM</t>
        </is>
      </c>
      <c r="N4889" t="inlineStr">
        <is>
          <t>2026-04-19</t>
        </is>
      </c>
      <c r="O4889" t="inlineStr">
        <is>
          <t>AI</t>
        </is>
      </c>
    </row>
    <row r="4890">
      <c r="A4890" t="inlineStr">
        <is>
          <t>PT Salim Ivomas Pratama Tbk</t>
        </is>
      </c>
      <c r="B4890" t="inlineStr">
        <is>
          <t>SIMP_2023_AR.pdf</t>
        </is>
      </c>
      <c r="C4890" t="n">
        <v>2023</v>
      </c>
      <c r="D4890" t="inlineStr">
        <is>
          <t>Operation</t>
        </is>
      </c>
      <c r="E4890" t="inlineStr">
        <is>
          <t>CPO Production</t>
        </is>
      </c>
      <c r="F4890" t="n">
        <v>708</v>
      </c>
      <c r="G4890" t="inlineStr">
        <is>
          <t>thousand t</t>
        </is>
      </c>
      <c r="H4890" t="n">
        <v>7</v>
      </c>
      <c r="I4890" t="inlineStr">
        <is>
          <t>Crude Palm Oil (CPO) 708 736 687</t>
        </is>
      </c>
      <c r="J4890" t="inlineStr">
        <is>
          <t>High</t>
        </is>
      </c>
      <c r="M4890" t="inlineStr">
        <is>
          <t>LLM</t>
        </is>
      </c>
      <c r="N4890" t="inlineStr">
        <is>
          <t>2026-04-19</t>
        </is>
      </c>
      <c r="O4890" t="inlineStr">
        <is>
          <t>AI</t>
        </is>
      </c>
    </row>
    <row r="4891">
      <c r="A4891" t="inlineStr">
        <is>
          <t>PT Salim Ivomas Pratama Tbk</t>
        </is>
      </c>
      <c r="B4891" t="inlineStr">
        <is>
          <t>SIMP_2023_AR.pdf</t>
        </is>
      </c>
      <c r="C4891" t="n">
        <v>2023</v>
      </c>
      <c r="D4891" t="inlineStr">
        <is>
          <t>Operation</t>
        </is>
      </c>
      <c r="E4891" t="inlineStr">
        <is>
          <t>Palm Kernel Production</t>
        </is>
      </c>
      <c r="F4891" t="n">
        <v>175</v>
      </c>
      <c r="G4891" t="inlineStr">
        <is>
          <t>thousand t</t>
        </is>
      </c>
      <c r="H4891" t="n">
        <v>7</v>
      </c>
      <c r="I4891" t="inlineStr">
        <is>
          <t>Palm Kernel (PK) 175 180 168</t>
        </is>
      </c>
      <c r="J4891" t="inlineStr">
        <is>
          <t>High</t>
        </is>
      </c>
      <c r="M4891" t="inlineStr">
        <is>
          <t>LLM</t>
        </is>
      </c>
      <c r="N4891" t="inlineStr">
        <is>
          <t>2026-04-19</t>
        </is>
      </c>
      <c r="O4891" t="inlineStr">
        <is>
          <t>AI</t>
        </is>
      </c>
    </row>
    <row r="4892">
      <c r="A4892" t="inlineStr">
        <is>
          <t>PT Salim Ivomas Pratama Tbk</t>
        </is>
      </c>
      <c r="B4892" t="inlineStr">
        <is>
          <t>SIMP_2023_AR.pdf</t>
        </is>
      </c>
      <c r="C4892" t="n">
        <v>2023</v>
      </c>
      <c r="D4892" t="inlineStr">
        <is>
          <t>Operation</t>
        </is>
      </c>
      <c r="E4892" t="inlineStr">
        <is>
          <t>Rubber Production</t>
        </is>
      </c>
      <c r="F4892" t="n">
        <v>4.7</v>
      </c>
      <c r="G4892" t="inlineStr">
        <is>
          <t>thousand t</t>
        </is>
      </c>
      <c r="H4892" t="n">
        <v>7</v>
      </c>
      <c r="I4892" t="inlineStr">
        <is>
          <t>Rubber 4,7 5,2 6,2</t>
        </is>
      </c>
      <c r="J4892" t="inlineStr">
        <is>
          <t>High</t>
        </is>
      </c>
      <c r="M4892" t="inlineStr">
        <is>
          <t>LLM</t>
        </is>
      </c>
      <c r="N4892" t="inlineStr">
        <is>
          <t>2026-04-19</t>
        </is>
      </c>
      <c r="O4892" t="inlineStr">
        <is>
          <t>AI</t>
        </is>
      </c>
    </row>
    <row r="4893">
      <c r="A4893" t="inlineStr">
        <is>
          <t>PT Salim Ivomas Pratama Tbk</t>
        </is>
      </c>
      <c r="B4893" t="inlineStr">
        <is>
          <t>SIMP_2023_AR.pdf</t>
        </is>
      </c>
      <c r="C4893" t="n">
        <v>2023</v>
      </c>
      <c r="D4893" t="inlineStr">
        <is>
          <t>Operation</t>
        </is>
      </c>
      <c r="E4893" t="inlineStr">
        <is>
          <t>Sugar Production</t>
        </is>
      </c>
      <c r="F4893" t="n">
        <v>58</v>
      </c>
      <c r="G4893" t="inlineStr">
        <is>
          <t>thousand t</t>
        </is>
      </c>
      <c r="H4893" t="n">
        <v>7</v>
      </c>
      <c r="I4893" t="inlineStr">
        <is>
          <t>Sugar1 58 57 57</t>
        </is>
      </c>
      <c r="J4893" t="inlineStr">
        <is>
          <t>High</t>
        </is>
      </c>
      <c r="M4893" t="inlineStr">
        <is>
          <t>LLM</t>
        </is>
      </c>
      <c r="N4893" t="inlineStr">
        <is>
          <t>2026-04-19</t>
        </is>
      </c>
      <c r="O4893" t="inlineStr">
        <is>
          <t>AI</t>
        </is>
      </c>
    </row>
    <row r="4894">
      <c r="A4894" t="inlineStr">
        <is>
          <t>PT Salim Ivomas Pratama Tbk</t>
        </is>
      </c>
      <c r="B4894" t="inlineStr">
        <is>
          <t>SIMP_2023_AR.pdf</t>
        </is>
      </c>
      <c r="C4894" t="n">
        <v>2023</v>
      </c>
      <c r="D4894" t="inlineStr">
        <is>
          <t>Operation</t>
        </is>
      </c>
      <c r="E4894" t="inlineStr">
        <is>
          <t>CPO Sales Volume</t>
        </is>
      </c>
      <c r="F4894" t="n">
        <v>743</v>
      </c>
      <c r="G4894" t="inlineStr">
        <is>
          <t>thousand t</t>
        </is>
      </c>
      <c r="H4894" t="n">
        <v>7</v>
      </c>
      <c r="I4894" t="inlineStr">
        <is>
          <t>CPO2 743 701 698</t>
        </is>
      </c>
      <c r="J4894" t="inlineStr">
        <is>
          <t>High</t>
        </is>
      </c>
      <c r="M4894" t="inlineStr">
        <is>
          <t>LLM</t>
        </is>
      </c>
      <c r="N4894" t="inlineStr">
        <is>
          <t>2026-04-19</t>
        </is>
      </c>
      <c r="O4894" t="inlineStr">
        <is>
          <t>AI</t>
        </is>
      </c>
    </row>
    <row r="4895">
      <c r="A4895" t="inlineStr">
        <is>
          <t>PT Salim Ivomas Pratama Tbk</t>
        </is>
      </c>
      <c r="B4895" t="inlineStr">
        <is>
          <t>SIMP_2023_AR.pdf</t>
        </is>
      </c>
      <c r="C4895" t="n">
        <v>2023</v>
      </c>
      <c r="D4895" t="inlineStr">
        <is>
          <t>Operation</t>
        </is>
      </c>
      <c r="E4895" t="inlineStr">
        <is>
          <t>PK and PK-derivatives Sales Volume</t>
        </is>
      </c>
      <c r="F4895" t="n">
        <v>184</v>
      </c>
      <c r="G4895" t="inlineStr">
        <is>
          <t>thousand t</t>
        </is>
      </c>
      <c r="H4895" t="n">
        <v>7</v>
      </c>
      <c r="I4895" t="inlineStr">
        <is>
          <t>PK and PK Related Products3 184 166 162</t>
        </is>
      </c>
      <c r="J4895" t="inlineStr">
        <is>
          <t>High</t>
        </is>
      </c>
      <c r="M4895" t="inlineStr">
        <is>
          <t>LLM</t>
        </is>
      </c>
      <c r="N4895" t="inlineStr">
        <is>
          <t>2026-04-19</t>
        </is>
      </c>
      <c r="O4895" t="inlineStr">
        <is>
          <t>AI</t>
        </is>
      </c>
    </row>
    <row r="4896">
      <c r="A4896" t="inlineStr">
        <is>
          <t>PT Salim Ivomas Pratama Tbk</t>
        </is>
      </c>
      <c r="B4896" t="inlineStr">
        <is>
          <t>SIMP_2023_AR.pdf</t>
        </is>
      </c>
      <c r="C4896" t="n">
        <v>2023</v>
      </c>
      <c r="D4896" t="inlineStr">
        <is>
          <t>Operation</t>
        </is>
      </c>
      <c r="E4896" t="inlineStr">
        <is>
          <t>Oil Palm Seeds Sales</t>
        </is>
      </c>
      <c r="F4896" t="n">
        <v>9.699999999999999</v>
      </c>
      <c r="G4896" t="inlineStr">
        <is>
          <t>mn units</t>
        </is>
      </c>
      <c r="H4896" t="n">
        <v>7</v>
      </c>
      <c r="I4896" t="inlineStr">
        <is>
          <t>Oil Palm Seeds 9,7 9,3 6,3</t>
        </is>
      </c>
      <c r="J4896" t="inlineStr">
        <is>
          <t>High</t>
        </is>
      </c>
      <c r="M4896" t="inlineStr">
        <is>
          <t>LLM</t>
        </is>
      </c>
      <c r="N4896" t="inlineStr">
        <is>
          <t>2026-04-19</t>
        </is>
      </c>
      <c r="O4896" t="inlineStr">
        <is>
          <t>AI</t>
        </is>
      </c>
    </row>
    <row r="4897">
      <c r="A4897" t="inlineStr">
        <is>
          <t>PT Salim Ivomas Pratama Tbk</t>
        </is>
      </c>
      <c r="B4897" t="inlineStr">
        <is>
          <t>SIMP_2023_AR.pdf</t>
        </is>
      </c>
      <c r="C4897" t="n">
        <v>2023</v>
      </c>
      <c r="D4897" t="inlineStr">
        <is>
          <t>ESG</t>
        </is>
      </c>
      <c r="E4897" t="inlineStr">
        <is>
          <t>ISPO Certification</t>
        </is>
      </c>
      <c r="F4897" t="inlineStr">
        <is>
          <t>Multiple estates ISPO-certified</t>
        </is>
      </c>
      <c r="G4897" t="inlineStr">
        <is>
          <t>text</t>
        </is>
      </c>
      <c r="H4897" t="n">
        <v>4</v>
      </c>
      <c r="I4897" t="inlineStr">
        <is>
          <t>ISPO-certified estates and mills in North Sumatra, South Sumatra, and Kalimantan</t>
        </is>
      </c>
      <c r="J4897" t="inlineStr">
        <is>
          <t>High</t>
        </is>
      </c>
      <c r="M4897" t="inlineStr">
        <is>
          <t>LLM</t>
        </is>
      </c>
      <c r="N4897" t="inlineStr">
        <is>
          <t>2026-04-19</t>
        </is>
      </c>
      <c r="O4897" t="inlineStr">
        <is>
          <t>AI</t>
        </is>
      </c>
    </row>
    <row r="4898">
      <c r="A4898" t="inlineStr">
        <is>
          <t>PT Salim Ivomas Pratama Tbk</t>
        </is>
      </c>
      <c r="B4898" t="inlineStr">
        <is>
          <t>SIMP_2024_AR.pdf</t>
        </is>
      </c>
      <c r="C4898" t="n">
        <v>2024</v>
      </c>
      <c r="D4898" t="inlineStr">
        <is>
          <t>Company</t>
        </is>
      </c>
      <c r="E4898" t="inlineStr">
        <is>
          <t>Company Name</t>
        </is>
      </c>
      <c r="F4898" t="inlineStr">
        <is>
          <t>PT Salim Ivomas Pratama Tbk</t>
        </is>
      </c>
      <c r="G4898" t="inlineStr">
        <is>
          <t>text</t>
        </is>
      </c>
      <c r="H4898" t="n">
        <v>1</v>
      </c>
      <c r="I4898" t="inlineStr">
        <is>
          <t>PT SALIM IVOMAS PRATAMA TBK - Annual Report 2024</t>
        </is>
      </c>
      <c r="J4898" t="inlineStr">
        <is>
          <t>High</t>
        </is>
      </c>
      <c r="M4898" t="inlineStr">
        <is>
          <t>LLM</t>
        </is>
      </c>
      <c r="N4898" t="inlineStr">
        <is>
          <t>2026-04-19</t>
        </is>
      </c>
      <c r="O4898" t="inlineStr">
        <is>
          <t>AI</t>
        </is>
      </c>
    </row>
    <row r="4899">
      <c r="A4899" t="inlineStr">
        <is>
          <t>PT Salim Ivomas Pratama Tbk</t>
        </is>
      </c>
      <c r="B4899" t="inlineStr">
        <is>
          <t>SIMP_2024_AR.pdf</t>
        </is>
      </c>
      <c r="C4899" t="n">
        <v>2024</v>
      </c>
      <c r="D4899" t="inlineStr">
        <is>
          <t>Company</t>
        </is>
      </c>
      <c r="E4899" t="inlineStr">
        <is>
          <t>Ticker</t>
        </is>
      </c>
      <c r="F4899" t="inlineStr">
        <is>
          <t>SIMP</t>
        </is>
      </c>
      <c r="G4899" t="inlineStr">
        <is>
          <t>text</t>
        </is>
      </c>
      <c r="H4899" t="n">
        <v>17</v>
      </c>
      <c r="I4899" t="inlineStr">
        <is>
          <t>Listed on Indonesia Stock Exchange, IDX: SIMP</t>
        </is>
      </c>
      <c r="J4899" t="inlineStr">
        <is>
          <t>High</t>
        </is>
      </c>
      <c r="M4899" t="inlineStr">
        <is>
          <t>LLM</t>
        </is>
      </c>
      <c r="N4899" t="inlineStr">
        <is>
          <t>2026-04-19</t>
        </is>
      </c>
      <c r="O4899" t="inlineStr">
        <is>
          <t>AI</t>
        </is>
      </c>
    </row>
    <row r="4900">
      <c r="A4900" t="inlineStr">
        <is>
          <t>PT Salim Ivomas Pratama Tbk</t>
        </is>
      </c>
      <c r="B4900" t="inlineStr">
        <is>
          <t>SIMP_2024_AR.pdf</t>
        </is>
      </c>
      <c r="C4900" t="n">
        <v>2024</v>
      </c>
      <c r="D4900" t="inlineStr">
        <is>
          <t>Company</t>
        </is>
      </c>
      <c r="E4900" t="inlineStr">
        <is>
          <t>Parent - Indofood Agri Resources Ltd</t>
        </is>
      </c>
      <c r="F4900" t="n">
        <v>0.7346</v>
      </c>
      <c r="G4900" t="inlineStr">
        <is>
          <t>%</t>
        </is>
      </c>
      <c r="H4900" t="n">
        <v>12</v>
      </c>
      <c r="I4900" t="inlineStr">
        <is>
          <t>Indofood Agri Resources Ltd. 11.387.745.000 73,46%</t>
        </is>
      </c>
      <c r="J4900" t="inlineStr">
        <is>
          <t>High</t>
        </is>
      </c>
      <c r="M4900" t="inlineStr">
        <is>
          <t>LLM</t>
        </is>
      </c>
      <c r="N4900" t="inlineStr">
        <is>
          <t>2026-04-19</t>
        </is>
      </c>
      <c r="O4900" t="inlineStr">
        <is>
          <t>AI</t>
        </is>
      </c>
    </row>
    <row r="4901">
      <c r="A4901" t="inlineStr">
        <is>
          <t>PT Salim Ivomas Pratama Tbk</t>
        </is>
      </c>
      <c r="B4901" t="inlineStr">
        <is>
          <t>SIMP_2024_AR.pdf</t>
        </is>
      </c>
      <c r="C4901" t="n">
        <v>2024</v>
      </c>
      <c r="D4901" t="inlineStr">
        <is>
          <t>Company</t>
        </is>
      </c>
      <c r="E4901" t="inlineStr">
        <is>
          <t>Parent - PT Indofood Sukses Makmur Tbk</t>
        </is>
      </c>
      <c r="F4901" t="n">
        <v>0.0668</v>
      </c>
      <c r="G4901" t="inlineStr">
        <is>
          <t>%</t>
        </is>
      </c>
      <c r="H4901" t="n">
        <v>12</v>
      </c>
      <c r="I4901" t="inlineStr">
        <is>
          <t>PT Indofood Sukses Makmur Tbk 1.035.306.400 6,68%</t>
        </is>
      </c>
      <c r="J4901" t="inlineStr">
        <is>
          <t>High</t>
        </is>
      </c>
      <c r="M4901" t="inlineStr">
        <is>
          <t>LLM</t>
        </is>
      </c>
      <c r="N4901" t="inlineStr">
        <is>
          <t>2026-04-19</t>
        </is>
      </c>
      <c r="O4901" t="inlineStr">
        <is>
          <t>AI</t>
        </is>
      </c>
    </row>
    <row r="4902">
      <c r="A4902" t="inlineStr">
        <is>
          <t>PT Salim Ivomas Pratama Tbk</t>
        </is>
      </c>
      <c r="B4902" t="inlineStr">
        <is>
          <t>SIMP_2024_AR.pdf</t>
        </is>
      </c>
      <c r="C4902" t="n">
        <v>2024</v>
      </c>
      <c r="D4902" t="inlineStr">
        <is>
          <t>Company</t>
        </is>
      </c>
      <c r="E4902" t="inlineStr">
        <is>
          <t>Public Float</t>
        </is>
      </c>
      <c r="F4902" t="n">
        <v>0.1986</v>
      </c>
      <c r="G4902" t="inlineStr">
        <is>
          <t>%</t>
        </is>
      </c>
      <c r="H4902" t="n">
        <v>12</v>
      </c>
      <c r="I4902" t="inlineStr">
        <is>
          <t>Public (with ownership interest below 5% each, including others) 3.077.338.600 19,86%</t>
        </is>
      </c>
      <c r="J4902" t="inlineStr">
        <is>
          <t>High</t>
        </is>
      </c>
      <c r="M4902" t="inlineStr">
        <is>
          <t>LLM</t>
        </is>
      </c>
      <c r="N4902" t="inlineStr">
        <is>
          <t>2026-04-19</t>
        </is>
      </c>
      <c r="O4902" t="inlineStr">
        <is>
          <t>AI</t>
        </is>
      </c>
    </row>
    <row r="4903">
      <c r="A4903" t="inlineStr">
        <is>
          <t>PT Salim Ivomas Pratama Tbk</t>
        </is>
      </c>
      <c r="B4903" t="inlineStr">
        <is>
          <t>SIMP_2024_AR.pdf</t>
        </is>
      </c>
      <c r="C4903" t="n">
        <v>2024</v>
      </c>
      <c r="D4903" t="inlineStr">
        <is>
          <t>Company</t>
        </is>
      </c>
      <c r="E4903" t="inlineStr">
        <is>
          <t>Ultimate Parent</t>
        </is>
      </c>
      <c r="F4903" t="inlineStr">
        <is>
          <t>First Pacific Company Limited (Hong Kong)</t>
        </is>
      </c>
      <c r="G4903" t="inlineStr">
        <is>
          <t>text</t>
        </is>
      </c>
      <c r="H4903" t="n">
        <v>12</v>
      </c>
      <c r="I4903" t="inlineStr">
        <is>
          <t>First Pacific Company Limited is a public listed company on the Hong Kong Stock Exchange. Mr. Anthoni Salim holds interest in and controls indirectly First Pacific Company Limited.</t>
        </is>
      </c>
      <c r="J4903" t="inlineStr">
        <is>
          <t>High</t>
        </is>
      </c>
      <c r="M4903" t="inlineStr">
        <is>
          <t>LLM</t>
        </is>
      </c>
      <c r="N4903" t="inlineStr">
        <is>
          <t>2026-04-19</t>
        </is>
      </c>
      <c r="O4903" t="inlineStr">
        <is>
          <t>AI</t>
        </is>
      </c>
    </row>
    <row r="4904">
      <c r="A4904" t="inlineStr">
        <is>
          <t>PT Salim Ivomas Pratama Tbk</t>
        </is>
      </c>
      <c r="B4904" t="inlineStr">
        <is>
          <t>SIMP_2024_AR.pdf</t>
        </is>
      </c>
      <c r="C4904" t="n">
        <v>2024</v>
      </c>
      <c r="D4904" t="inlineStr">
        <is>
          <t>Company</t>
        </is>
      </c>
      <c r="E4904" t="inlineStr">
        <is>
          <t>Treasury Shares Cancelled</t>
        </is>
      </c>
      <c r="F4904" t="n">
        <v>315000000</v>
      </c>
      <c r="G4904" t="inlineStr">
        <is>
          <t>shares</t>
        </is>
      </c>
      <c r="H4904" t="n">
        <v>12</v>
      </c>
      <c r="I4904" t="inlineStr">
        <is>
          <t>Treasury Shares 315,000,000 cancelled; Total went from 15,816,310,000 to 15,501,310,000</t>
        </is>
      </c>
      <c r="J4904" t="inlineStr">
        <is>
          <t>High</t>
        </is>
      </c>
      <c r="M4904" t="inlineStr">
        <is>
          <t>LLM</t>
        </is>
      </c>
      <c r="N4904" t="inlineStr">
        <is>
          <t>2026-04-19</t>
        </is>
      </c>
      <c r="O4904" t="inlineStr">
        <is>
          <t>AI</t>
        </is>
      </c>
    </row>
    <row r="4905">
      <c r="A4905" t="inlineStr">
        <is>
          <t>PT Salim Ivomas Pratama Tbk</t>
        </is>
      </c>
      <c r="B4905" t="inlineStr">
        <is>
          <t>SIMP_2024_AR.pdf</t>
        </is>
      </c>
      <c r="C4905" t="n">
        <v>2024</v>
      </c>
      <c r="D4905" t="inlineStr">
        <is>
          <t>Financial</t>
        </is>
      </c>
      <c r="E4905" t="inlineStr">
        <is>
          <t>Sales (Revenue)</t>
        </is>
      </c>
      <c r="F4905" t="n">
        <v>15968</v>
      </c>
      <c r="G4905" t="inlineStr">
        <is>
          <t>IDR bn</t>
        </is>
      </c>
      <c r="H4905" t="n">
        <v>6</v>
      </c>
      <c r="I4905" t="inlineStr">
        <is>
          <t>Sales 15.967.804 16.002.643 17.794.246 Penjualan</t>
        </is>
      </c>
      <c r="J4905" t="inlineStr">
        <is>
          <t>High</t>
        </is>
      </c>
      <c r="M4905" t="inlineStr">
        <is>
          <t>LLM</t>
        </is>
      </c>
      <c r="N4905" t="inlineStr">
        <is>
          <t>2026-04-19</t>
        </is>
      </c>
      <c r="O4905" t="inlineStr">
        <is>
          <t>AI</t>
        </is>
      </c>
    </row>
    <row r="4906">
      <c r="A4906" t="inlineStr">
        <is>
          <t>PT Salim Ivomas Pratama Tbk</t>
        </is>
      </c>
      <c r="B4906" t="inlineStr">
        <is>
          <t>SIMP_2024_AR.pdf</t>
        </is>
      </c>
      <c r="C4906" t="n">
        <v>2024</v>
      </c>
      <c r="D4906" t="inlineStr">
        <is>
          <t>Financial</t>
        </is>
      </c>
      <c r="E4906" t="inlineStr">
        <is>
          <t>Gross Profit</t>
        </is>
      </c>
      <c r="F4906" t="n">
        <v>4838</v>
      </c>
      <c r="G4906" t="inlineStr">
        <is>
          <t>IDR bn</t>
        </is>
      </c>
      <c r="H4906" t="n">
        <v>6</v>
      </c>
      <c r="I4906" t="inlineStr">
        <is>
          <t>Gross Profit 4.837.828 3.358.216 4.649.207 Laba Bruto</t>
        </is>
      </c>
      <c r="J4906" t="inlineStr">
        <is>
          <t>High</t>
        </is>
      </c>
      <c r="M4906" t="inlineStr">
        <is>
          <t>LLM</t>
        </is>
      </c>
      <c r="N4906" t="inlineStr">
        <is>
          <t>2026-04-19</t>
        </is>
      </c>
      <c r="O4906" t="inlineStr">
        <is>
          <t>AI</t>
        </is>
      </c>
    </row>
    <row r="4907">
      <c r="A4907" t="inlineStr">
        <is>
          <t>PT Salim Ivomas Pratama Tbk</t>
        </is>
      </c>
      <c r="B4907" t="inlineStr">
        <is>
          <t>SIMP_2024_AR.pdf</t>
        </is>
      </c>
      <c r="C4907" t="n">
        <v>2024</v>
      </c>
      <c r="D4907" t="inlineStr">
        <is>
          <t>Financial</t>
        </is>
      </c>
      <c r="E4907" t="inlineStr">
        <is>
          <t>Cost of Goods Sold</t>
        </is>
      </c>
      <c r="F4907" t="n">
        <v>11130</v>
      </c>
      <c r="G4907" t="inlineStr">
        <is>
          <t>IDR bn</t>
        </is>
      </c>
      <c r="H4907" t="n">
        <v>133</v>
      </c>
      <c r="I4907" t="inlineStr">
        <is>
          <t>Beban pokok penjualan (11.129.976) 12,22,32 (12.644.427)</t>
        </is>
      </c>
      <c r="J4907" t="inlineStr">
        <is>
          <t>High</t>
        </is>
      </c>
      <c r="M4907" t="inlineStr">
        <is>
          <t>LLM</t>
        </is>
      </c>
      <c r="N4907" t="inlineStr">
        <is>
          <t>2026-04-19</t>
        </is>
      </c>
      <c r="O4907" t="inlineStr">
        <is>
          <t>AI</t>
        </is>
      </c>
    </row>
    <row r="4908">
      <c r="A4908" t="inlineStr">
        <is>
          <t>PT Salim Ivomas Pratama Tbk</t>
        </is>
      </c>
      <c r="B4908" t="inlineStr">
        <is>
          <t>SIMP_2024_AR.pdf</t>
        </is>
      </c>
      <c r="C4908" t="n">
        <v>2024</v>
      </c>
      <c r="D4908" t="inlineStr">
        <is>
          <t>Financial</t>
        </is>
      </c>
      <c r="E4908" t="inlineStr">
        <is>
          <t>Operating Profit</t>
        </is>
      </c>
      <c r="F4908" t="n">
        <v>3302</v>
      </c>
      <c r="G4908" t="inlineStr">
        <is>
          <t>IDR bn</t>
        </is>
      </c>
      <c r="H4908" t="n">
        <v>6</v>
      </c>
      <c r="I4908" t="inlineStr">
        <is>
          <t>Operating Profit 3.302.266 1.930.168 2.920.384</t>
        </is>
      </c>
      <c r="J4908" t="inlineStr">
        <is>
          <t>High</t>
        </is>
      </c>
      <c r="M4908" t="inlineStr">
        <is>
          <t>LLM</t>
        </is>
      </c>
      <c r="N4908" t="inlineStr">
        <is>
          <t>2026-04-19</t>
        </is>
      </c>
      <c r="O4908" t="inlineStr">
        <is>
          <t>AI</t>
        </is>
      </c>
    </row>
    <row r="4909">
      <c r="A4909" t="inlineStr">
        <is>
          <t>PT Salim Ivomas Pratama Tbk</t>
        </is>
      </c>
      <c r="B4909" t="inlineStr">
        <is>
          <t>SIMP_2024_AR.pdf</t>
        </is>
      </c>
      <c r="C4909" t="n">
        <v>2024</v>
      </c>
      <c r="D4909" t="inlineStr">
        <is>
          <t>Financial</t>
        </is>
      </c>
      <c r="E4909" t="inlineStr">
        <is>
          <t>EBITDA (Reported)</t>
        </is>
      </c>
      <c r="F4909" t="n">
        <v>4731</v>
      </c>
      <c r="G4909" t="inlineStr">
        <is>
          <t>IDR bn</t>
        </is>
      </c>
      <c r="H4909" t="n">
        <v>6</v>
      </c>
      <c r="I4909" t="inlineStr">
        <is>
          <t>EBITDA1 4.730.842 3.534.668 4.683.961</t>
        </is>
      </c>
      <c r="J4909" t="inlineStr">
        <is>
          <t>High</t>
        </is>
      </c>
      <c r="M4909" t="inlineStr">
        <is>
          <t>LLM</t>
        </is>
      </c>
      <c r="N4909" t="inlineStr">
        <is>
          <t>2026-04-19</t>
        </is>
      </c>
      <c r="O4909" t="inlineStr">
        <is>
          <t>AI</t>
        </is>
      </c>
    </row>
    <row r="4910">
      <c r="A4910" t="inlineStr">
        <is>
          <t>PT Salim Ivomas Pratama Tbk</t>
        </is>
      </c>
      <c r="B4910" t="inlineStr">
        <is>
          <t>SIMP_2024_AR.pdf</t>
        </is>
      </c>
      <c r="C4910" t="n">
        <v>2024</v>
      </c>
      <c r="D4910" t="inlineStr">
        <is>
          <t>Financial</t>
        </is>
      </c>
      <c r="E4910" t="inlineStr">
        <is>
          <t>Finance Income</t>
        </is>
      </c>
      <c r="F4910" t="n">
        <v>235</v>
      </c>
      <c r="G4910" t="inlineStr">
        <is>
          <t>IDR bn</t>
        </is>
      </c>
      <c r="H4910" t="n">
        <v>133</v>
      </c>
      <c r="I4910" t="inlineStr">
        <is>
          <t>Penghasilan keuangan 234.936 27,32 174.277</t>
        </is>
      </c>
      <c r="J4910" t="inlineStr">
        <is>
          <t>High</t>
        </is>
      </c>
      <c r="M4910" t="inlineStr">
        <is>
          <t>LLM</t>
        </is>
      </c>
      <c r="N4910" t="inlineStr">
        <is>
          <t>2026-04-19</t>
        </is>
      </c>
      <c r="O4910" t="inlineStr">
        <is>
          <t>AI</t>
        </is>
      </c>
    </row>
    <row r="4911">
      <c r="A4911" t="inlineStr">
        <is>
          <t>PT Salim Ivomas Pratama Tbk</t>
        </is>
      </c>
      <c r="B4911" t="inlineStr">
        <is>
          <t>SIMP_2024_AR.pdf</t>
        </is>
      </c>
      <c r="C4911" t="n">
        <v>2024</v>
      </c>
      <c r="D4911" t="inlineStr">
        <is>
          <t>Financial</t>
        </is>
      </c>
      <c r="E4911" t="inlineStr">
        <is>
          <t>Finance Costs</t>
        </is>
      </c>
      <c r="F4911" t="n">
        <v>560</v>
      </c>
      <c r="G4911" t="inlineStr">
        <is>
          <t>IDR bn</t>
        </is>
      </c>
      <c r="H4911" t="n">
        <v>133</v>
      </c>
      <c r="I4911" t="inlineStr">
        <is>
          <t>Beban keuangan (560.155) 12,28,32 (619.599)</t>
        </is>
      </c>
      <c r="J4911" t="inlineStr">
        <is>
          <t>High</t>
        </is>
      </c>
      <c r="M4911" t="inlineStr">
        <is>
          <t>LLM</t>
        </is>
      </c>
      <c r="N4911" t="inlineStr">
        <is>
          <t>2026-04-19</t>
        </is>
      </c>
      <c r="O4911" t="inlineStr">
        <is>
          <t>AI</t>
        </is>
      </c>
    </row>
    <row r="4912">
      <c r="A4912" t="inlineStr">
        <is>
          <t>PT Salim Ivomas Pratama Tbk</t>
        </is>
      </c>
      <c r="B4912" t="inlineStr">
        <is>
          <t>SIMP_2024_AR.pdf</t>
        </is>
      </c>
      <c r="C4912" t="n">
        <v>2024</v>
      </c>
      <c r="D4912" t="inlineStr">
        <is>
          <t>Financial</t>
        </is>
      </c>
      <c r="E4912" t="inlineStr">
        <is>
          <t>Profit Before Income Tax</t>
        </is>
      </c>
      <c r="F4912" t="n">
        <v>2985</v>
      </c>
      <c r="G4912" t="inlineStr">
        <is>
          <t>IDR bn</t>
        </is>
      </c>
      <c r="H4912" t="n">
        <v>133</v>
      </c>
      <c r="I4912" t="inlineStr">
        <is>
          <t>Laba sebelum pajak penghasilan 2.985.104 1.487.689</t>
        </is>
      </c>
      <c r="J4912" t="inlineStr">
        <is>
          <t>High</t>
        </is>
      </c>
      <c r="M4912" t="inlineStr">
        <is>
          <t>LLM</t>
        </is>
      </c>
      <c r="N4912" t="inlineStr">
        <is>
          <t>2026-04-19</t>
        </is>
      </c>
      <c r="O4912" t="inlineStr">
        <is>
          <t>AI</t>
        </is>
      </c>
    </row>
    <row r="4913">
      <c r="A4913" t="inlineStr">
        <is>
          <t>PT Salim Ivomas Pratama Tbk</t>
        </is>
      </c>
      <c r="B4913" t="inlineStr">
        <is>
          <t>SIMP_2024_AR.pdf</t>
        </is>
      </c>
      <c r="C4913" t="n">
        <v>2024</v>
      </c>
      <c r="D4913" t="inlineStr">
        <is>
          <t>Financial</t>
        </is>
      </c>
      <c r="E4913" t="inlineStr">
        <is>
          <t>Income Tax Expense</t>
        </is>
      </c>
      <c r="F4913" t="n">
        <v>801</v>
      </c>
      <c r="G4913" t="inlineStr">
        <is>
          <t>IDR bn</t>
        </is>
      </c>
      <c r="H4913" t="n">
        <v>133</v>
      </c>
      <c r="I4913" t="inlineStr">
        <is>
          <t>Beban pajak penghasilan (801.454) 10,30 (560.911)</t>
        </is>
      </c>
      <c r="J4913" t="inlineStr">
        <is>
          <t>High</t>
        </is>
      </c>
      <c r="M4913" t="inlineStr">
        <is>
          <t>LLM</t>
        </is>
      </c>
      <c r="N4913" t="inlineStr">
        <is>
          <t>2026-04-19</t>
        </is>
      </c>
      <c r="O4913" t="inlineStr">
        <is>
          <t>AI</t>
        </is>
      </c>
    </row>
    <row r="4914">
      <c r="A4914" t="inlineStr">
        <is>
          <t>PT Salim Ivomas Pratama Tbk</t>
        </is>
      </c>
      <c r="B4914" t="inlineStr">
        <is>
          <t>SIMP_2024_AR.pdf</t>
        </is>
      </c>
      <c r="C4914" t="n">
        <v>2024</v>
      </c>
      <c r="D4914" t="inlineStr">
        <is>
          <t>Financial</t>
        </is>
      </c>
      <c r="E4914" t="inlineStr">
        <is>
          <t>Profit for the Year</t>
        </is>
      </c>
      <c r="F4914" t="n">
        <v>2184</v>
      </c>
      <c r="G4914" t="inlineStr">
        <is>
          <t>IDR bn</t>
        </is>
      </c>
      <c r="H4914" t="n">
        <v>6</v>
      </c>
      <c r="I4914" t="inlineStr">
        <is>
          <t>Profit for the Year 2.183.650 926.778 1.509.605</t>
        </is>
      </c>
      <c r="J4914" t="inlineStr">
        <is>
          <t>High</t>
        </is>
      </c>
      <c r="M4914" t="inlineStr">
        <is>
          <t>LLM</t>
        </is>
      </c>
      <c r="N4914" t="inlineStr">
        <is>
          <t>2026-04-19</t>
        </is>
      </c>
      <c r="O4914" t="inlineStr">
        <is>
          <t>AI</t>
        </is>
      </c>
    </row>
    <row r="4915">
      <c r="A4915" t="inlineStr">
        <is>
          <t>PT Salim Ivomas Pratama Tbk</t>
        </is>
      </c>
      <c r="B4915" t="inlineStr">
        <is>
          <t>SIMP_2024_AR.pdf</t>
        </is>
      </c>
      <c r="C4915" t="n">
        <v>2024</v>
      </c>
      <c r="D4915" t="inlineStr">
        <is>
          <t>Financial</t>
        </is>
      </c>
      <c r="E4915" t="inlineStr">
        <is>
          <t>Profit Attributable to Parent</t>
        </is>
      </c>
      <c r="F4915" t="n">
        <v>1550</v>
      </c>
      <c r="G4915" t="inlineStr">
        <is>
          <t>IDR bn</t>
        </is>
      </c>
      <c r="H4915" t="n">
        <v>6</v>
      </c>
      <c r="I4915" t="inlineStr">
        <is>
          <t>Profit for the Year Attributable to Owners of the Parent 1.549.914 736.417 1.198.367</t>
        </is>
      </c>
      <c r="J4915" t="inlineStr">
        <is>
          <t>High</t>
        </is>
      </c>
      <c r="M4915" t="inlineStr">
        <is>
          <t>LLM</t>
        </is>
      </c>
      <c r="N4915" t="inlineStr">
        <is>
          <t>2026-04-19</t>
        </is>
      </c>
      <c r="O4915" t="inlineStr">
        <is>
          <t>AI</t>
        </is>
      </c>
    </row>
    <row r="4916">
      <c r="A4916" t="inlineStr">
        <is>
          <t>PT Salim Ivomas Pratama Tbk</t>
        </is>
      </c>
      <c r="B4916" t="inlineStr">
        <is>
          <t>SIMP_2024_AR.pdf</t>
        </is>
      </c>
      <c r="C4916" t="n">
        <v>2024</v>
      </c>
      <c r="D4916" t="inlineStr">
        <is>
          <t>Financial</t>
        </is>
      </c>
      <c r="E4916" t="inlineStr">
        <is>
          <t>Profit Attributable to Non-controlling Interests</t>
        </is>
      </c>
      <c r="F4916" t="n">
        <v>634</v>
      </c>
      <c r="G4916" t="inlineStr">
        <is>
          <t>IDR bn</t>
        </is>
      </c>
      <c r="H4916" t="n">
        <v>6</v>
      </c>
      <c r="I4916" t="inlineStr">
        <is>
          <t>Non-controlling Interests 633.736 190.361 311.238</t>
        </is>
      </c>
      <c r="J4916" t="inlineStr">
        <is>
          <t>High</t>
        </is>
      </c>
      <c r="M4916" t="inlineStr">
        <is>
          <t>LLM</t>
        </is>
      </c>
      <c r="N4916" t="inlineStr">
        <is>
          <t>2026-04-19</t>
        </is>
      </c>
      <c r="O4916" t="inlineStr">
        <is>
          <t>AI</t>
        </is>
      </c>
    </row>
    <row r="4917">
      <c r="A4917" t="inlineStr">
        <is>
          <t>PT Salim Ivomas Pratama Tbk</t>
        </is>
      </c>
      <c r="B4917" t="inlineStr">
        <is>
          <t>SIMP_2024_AR.pdf</t>
        </is>
      </c>
      <c r="C4917" t="n">
        <v>2024</v>
      </c>
      <c r="D4917" t="inlineStr">
        <is>
          <t>Financial</t>
        </is>
      </c>
      <c r="E4917" t="inlineStr">
        <is>
          <t>Total Assets</t>
        </is>
      </c>
      <c r="F4917" t="n">
        <v>37248</v>
      </c>
      <c r="G4917" t="inlineStr">
        <is>
          <t>IDR bn</t>
        </is>
      </c>
      <c r="H4917" t="n">
        <v>6</v>
      </c>
      <c r="I4917" t="inlineStr">
        <is>
          <t>Total Assets 37.247.829 35.012.351 36.113.081</t>
        </is>
      </c>
      <c r="J4917" t="inlineStr">
        <is>
          <t>High</t>
        </is>
      </c>
      <c r="M4917" t="inlineStr">
        <is>
          <t>LLM</t>
        </is>
      </c>
      <c r="N4917" t="inlineStr">
        <is>
          <t>2026-04-19</t>
        </is>
      </c>
      <c r="O4917" t="inlineStr">
        <is>
          <t>AI</t>
        </is>
      </c>
    </row>
    <row r="4918">
      <c r="A4918" t="inlineStr">
        <is>
          <t>PT Salim Ivomas Pratama Tbk</t>
        </is>
      </c>
      <c r="B4918" t="inlineStr">
        <is>
          <t>SIMP_2024_AR.pdf</t>
        </is>
      </c>
      <c r="C4918" t="n">
        <v>2024</v>
      </c>
      <c r="D4918" t="inlineStr">
        <is>
          <t>Financial</t>
        </is>
      </c>
      <c r="E4918" t="inlineStr">
        <is>
          <t>Current Assets</t>
        </is>
      </c>
      <c r="F4918" t="n">
        <v>13233</v>
      </c>
      <c r="G4918" t="inlineStr">
        <is>
          <t>IDR bn</t>
        </is>
      </c>
      <c r="H4918" t="n">
        <v>6</v>
      </c>
      <c r="I4918" t="inlineStr">
        <is>
          <t>Current Assets 13.232.699 9.896.897 10.442.878</t>
        </is>
      </c>
      <c r="J4918" t="inlineStr">
        <is>
          <t>High</t>
        </is>
      </c>
      <c r="M4918" t="inlineStr">
        <is>
          <t>LLM</t>
        </is>
      </c>
      <c r="N4918" t="inlineStr">
        <is>
          <t>2026-04-19</t>
        </is>
      </c>
      <c r="O4918" t="inlineStr">
        <is>
          <t>AI</t>
        </is>
      </c>
    </row>
    <row r="4919">
      <c r="A4919" t="inlineStr">
        <is>
          <t>PT Salim Ivomas Pratama Tbk</t>
        </is>
      </c>
      <c r="B4919" t="inlineStr">
        <is>
          <t>SIMP_2024_AR.pdf</t>
        </is>
      </c>
      <c r="C4919" t="n">
        <v>2024</v>
      </c>
      <c r="D4919" t="inlineStr">
        <is>
          <t>Financial</t>
        </is>
      </c>
      <c r="E4919" t="inlineStr">
        <is>
          <t>Non-Current Assets</t>
        </is>
      </c>
      <c r="F4919" t="n">
        <v>24015</v>
      </c>
      <c r="G4919" t="inlineStr">
        <is>
          <t>IDR bn</t>
        </is>
      </c>
      <c r="H4919" t="n">
        <v>131</v>
      </c>
      <c r="I4919" t="inlineStr">
        <is>
          <t>Total Aset Tidak Lancar 24.015.130 25.115.454</t>
        </is>
      </c>
      <c r="J4919" t="inlineStr">
        <is>
          <t>High</t>
        </is>
      </c>
      <c r="M4919" t="inlineStr">
        <is>
          <t>LLM</t>
        </is>
      </c>
      <c r="N4919" t="inlineStr">
        <is>
          <t>2026-04-19</t>
        </is>
      </c>
      <c r="O4919" t="inlineStr">
        <is>
          <t>AI</t>
        </is>
      </c>
    </row>
    <row r="4920">
      <c r="A4920" t="inlineStr">
        <is>
          <t>PT Salim Ivomas Pratama Tbk</t>
        </is>
      </c>
      <c r="B4920" t="inlineStr">
        <is>
          <t>SIMP_2024_AR.pdf</t>
        </is>
      </c>
      <c r="C4920" t="n">
        <v>2024</v>
      </c>
      <c r="D4920" t="inlineStr">
        <is>
          <t>Financial</t>
        </is>
      </c>
      <c r="E4920" t="inlineStr">
        <is>
          <t>Total Liabilities</t>
        </is>
      </c>
      <c r="F4920" t="n">
        <v>13260</v>
      </c>
      <c r="G4920" t="inlineStr">
        <is>
          <t>IDR bn</t>
        </is>
      </c>
      <c r="H4920" t="n">
        <v>6</v>
      </c>
      <c r="I4920" t="inlineStr">
        <is>
          <t>Total Liabilities 13.260.394 13.291.426 14.945.799</t>
        </is>
      </c>
      <c r="J4920" t="inlineStr">
        <is>
          <t>High</t>
        </is>
      </c>
      <c r="M4920" t="inlineStr">
        <is>
          <t>LLM</t>
        </is>
      </c>
      <c r="N4920" t="inlineStr">
        <is>
          <t>2026-04-19</t>
        </is>
      </c>
      <c r="O4920" t="inlineStr">
        <is>
          <t>AI</t>
        </is>
      </c>
    </row>
    <row r="4921">
      <c r="A4921" t="inlineStr">
        <is>
          <t>PT Salim Ivomas Pratama Tbk</t>
        </is>
      </c>
      <c r="B4921" t="inlineStr">
        <is>
          <t>SIMP_2024_AR.pdf</t>
        </is>
      </c>
      <c r="C4921" t="n">
        <v>2024</v>
      </c>
      <c r="D4921" t="inlineStr">
        <is>
          <t>Financial</t>
        </is>
      </c>
      <c r="E4921" t="inlineStr">
        <is>
          <t>Current Liabilities</t>
        </is>
      </c>
      <c r="F4921" t="n">
        <v>8769</v>
      </c>
      <c r="G4921" t="inlineStr">
        <is>
          <t>IDR bn</t>
        </is>
      </c>
      <c r="H4921" t="n">
        <v>6</v>
      </c>
      <c r="I4921" t="inlineStr">
        <is>
          <t>Current Liabilities 8.769.433 9.411.112 9.460.845</t>
        </is>
      </c>
      <c r="J4921" t="inlineStr">
        <is>
          <t>High</t>
        </is>
      </c>
      <c r="M4921" t="inlineStr">
        <is>
          <t>LLM</t>
        </is>
      </c>
      <c r="N4921" t="inlineStr">
        <is>
          <t>2026-04-19</t>
        </is>
      </c>
      <c r="O4921" t="inlineStr">
        <is>
          <t>AI</t>
        </is>
      </c>
    </row>
    <row r="4922">
      <c r="A4922" t="inlineStr">
        <is>
          <t>PT Salim Ivomas Pratama Tbk</t>
        </is>
      </c>
      <c r="B4922" t="inlineStr">
        <is>
          <t>SIMP_2024_AR.pdf</t>
        </is>
      </c>
      <c r="C4922" t="n">
        <v>2024</v>
      </c>
      <c r="D4922" t="inlineStr">
        <is>
          <t>Financial</t>
        </is>
      </c>
      <c r="E4922" t="inlineStr">
        <is>
          <t>Non-Current Liabilities</t>
        </is>
      </c>
      <c r="F4922" t="n">
        <v>4491</v>
      </c>
      <c r="G4922" t="inlineStr">
        <is>
          <t>IDR bn</t>
        </is>
      </c>
      <c r="H4922" t="n">
        <v>132</v>
      </c>
      <c r="I4922" t="inlineStr">
        <is>
          <t>Total Liabilitas Jangka Panjang 4.490.961 3.880.314</t>
        </is>
      </c>
      <c r="J4922" t="inlineStr">
        <is>
          <t>High</t>
        </is>
      </c>
      <c r="M4922" t="inlineStr">
        <is>
          <t>LLM</t>
        </is>
      </c>
      <c r="N4922" t="inlineStr">
        <is>
          <t>2026-04-19</t>
        </is>
      </c>
      <c r="O4922" t="inlineStr">
        <is>
          <t>AI</t>
        </is>
      </c>
    </row>
    <row r="4923">
      <c r="A4923" t="inlineStr">
        <is>
          <t>PT Salim Ivomas Pratama Tbk</t>
        </is>
      </c>
      <c r="B4923" t="inlineStr">
        <is>
          <t>SIMP_2024_AR.pdf</t>
        </is>
      </c>
      <c r="C4923" t="n">
        <v>2024</v>
      </c>
      <c r="D4923" t="inlineStr">
        <is>
          <t>Financial</t>
        </is>
      </c>
      <c r="E4923" t="inlineStr">
        <is>
          <t>Total Equity</t>
        </is>
      </c>
      <c r="F4923" t="n">
        <v>23987</v>
      </c>
      <c r="G4923" t="inlineStr">
        <is>
          <t>IDR bn</t>
        </is>
      </c>
      <c r="H4923" t="n">
        <v>6</v>
      </c>
      <c r="I4923" t="inlineStr">
        <is>
          <t>Total Equity3 23.987.435 21.720.925 21.167.282</t>
        </is>
      </c>
      <c r="J4923" t="inlineStr">
        <is>
          <t>High</t>
        </is>
      </c>
      <c r="M4923" t="inlineStr">
        <is>
          <t>LLM</t>
        </is>
      </c>
      <c r="N4923" t="inlineStr">
        <is>
          <t>2026-04-19</t>
        </is>
      </c>
      <c r="O4923" t="inlineStr">
        <is>
          <t>AI</t>
        </is>
      </c>
    </row>
    <row r="4924">
      <c r="A4924" t="inlineStr">
        <is>
          <t>PT Salim Ivomas Pratama Tbk</t>
        </is>
      </c>
      <c r="B4924" t="inlineStr">
        <is>
          <t>SIMP_2024_AR.pdf</t>
        </is>
      </c>
      <c r="C4924" t="n">
        <v>2024</v>
      </c>
      <c r="D4924" t="inlineStr">
        <is>
          <t>Financial</t>
        </is>
      </c>
      <c r="E4924" t="inlineStr">
        <is>
          <t>Non-Controlling Interests</t>
        </is>
      </c>
      <c r="F4924" t="n">
        <v>5263</v>
      </c>
      <c r="G4924" t="inlineStr">
        <is>
          <t>IDR bn</t>
        </is>
      </c>
      <c r="H4924" t="n">
        <v>6</v>
      </c>
      <c r="I4924" t="inlineStr">
        <is>
          <t>Non-Controlling Interests 5.263.053 4.384.093 4.334.966</t>
        </is>
      </c>
      <c r="J4924" t="inlineStr">
        <is>
          <t>High</t>
        </is>
      </c>
      <c r="M4924" t="inlineStr">
        <is>
          <t>LLM</t>
        </is>
      </c>
      <c r="N4924" t="inlineStr">
        <is>
          <t>2026-04-19</t>
        </is>
      </c>
      <c r="O4924" t="inlineStr">
        <is>
          <t>AI</t>
        </is>
      </c>
    </row>
    <row r="4925">
      <c r="A4925" t="inlineStr">
        <is>
          <t>PT Salim Ivomas Pratama Tbk</t>
        </is>
      </c>
      <c r="B4925" t="inlineStr">
        <is>
          <t>SIMP_2024_AR.pdf</t>
        </is>
      </c>
      <c r="C4925" t="n">
        <v>2024</v>
      </c>
      <c r="D4925" t="inlineStr">
        <is>
          <t>Financial</t>
        </is>
      </c>
      <c r="E4925" t="inlineStr">
        <is>
          <t>Cash and Cash Equivalents (year-end)</t>
        </is>
      </c>
      <c r="F4925" t="n">
        <v>5752</v>
      </c>
      <c r="G4925" t="inlineStr">
        <is>
          <t>IDR bn</t>
        </is>
      </c>
      <c r="H4925" t="n">
        <v>137</v>
      </c>
      <c r="I4925" t="inlineStr">
        <is>
          <t>Kas dan Setara Kas Akhir Tahun 5.752.380 5 5.161.183</t>
        </is>
      </c>
      <c r="J4925" t="inlineStr">
        <is>
          <t>High</t>
        </is>
      </c>
      <c r="M4925" t="inlineStr">
        <is>
          <t>LLM</t>
        </is>
      </c>
      <c r="N4925" t="inlineStr">
        <is>
          <t>2026-04-19</t>
        </is>
      </c>
      <c r="O4925" t="inlineStr">
        <is>
          <t>AI</t>
        </is>
      </c>
    </row>
    <row r="4926">
      <c r="A4926" t="inlineStr">
        <is>
          <t>PT Salim Ivomas Pratama Tbk</t>
        </is>
      </c>
      <c r="B4926" t="inlineStr">
        <is>
          <t>SIMP_2024_AR.pdf</t>
        </is>
      </c>
      <c r="C4926" t="n">
        <v>2024</v>
      </c>
      <c r="D4926" t="inlineStr">
        <is>
          <t>Financial</t>
        </is>
      </c>
      <c r="E4926" t="inlineStr">
        <is>
          <t>Short-term Bank Loans</t>
        </is>
      </c>
      <c r="F4926" t="n">
        <v>5844</v>
      </c>
      <c r="G4926" t="inlineStr">
        <is>
          <t>IDR bn</t>
        </is>
      </c>
      <c r="H4926" t="n">
        <v>132</v>
      </c>
      <c r="I4926" t="inlineStr">
        <is>
          <t>Utang bank jangka pendek 5.843.941 15 5.649.000</t>
        </is>
      </c>
      <c r="J4926" t="inlineStr">
        <is>
          <t>High</t>
        </is>
      </c>
      <c r="M4926" t="inlineStr">
        <is>
          <t>LLM</t>
        </is>
      </c>
      <c r="N4926" t="inlineStr">
        <is>
          <t>2026-04-19</t>
        </is>
      </c>
      <c r="O4926" t="inlineStr">
        <is>
          <t>AI</t>
        </is>
      </c>
    </row>
    <row r="4927">
      <c r="A4927" t="inlineStr">
        <is>
          <t>PT Salim Ivomas Pratama Tbk</t>
        </is>
      </c>
      <c r="B4927" t="inlineStr">
        <is>
          <t>SIMP_2024_AR.pdf</t>
        </is>
      </c>
      <c r="C4927" t="n">
        <v>2024</v>
      </c>
      <c r="D4927" t="inlineStr">
        <is>
          <t>Financial</t>
        </is>
      </c>
      <c r="E4927" t="inlineStr">
        <is>
          <t>Long-term Bank Loans (current portion)</t>
        </is>
      </c>
      <c r="F4927" t="n">
        <v>237</v>
      </c>
      <c r="G4927" t="inlineStr">
        <is>
          <t>IDR bn</t>
        </is>
      </c>
      <c r="H4927" t="n">
        <v>132</v>
      </c>
      <c r="I4927" t="inlineStr">
        <is>
          <t>Utang bank jangka panjang 237.406 15 1.294.245</t>
        </is>
      </c>
      <c r="J4927" t="inlineStr">
        <is>
          <t>High</t>
        </is>
      </c>
      <c r="M4927" t="inlineStr">
        <is>
          <t>LLM</t>
        </is>
      </c>
      <c r="N4927" t="inlineStr">
        <is>
          <t>2026-04-19</t>
        </is>
      </c>
      <c r="O4927" t="inlineStr">
        <is>
          <t>AI</t>
        </is>
      </c>
    </row>
    <row r="4928">
      <c r="A4928" t="inlineStr">
        <is>
          <t>PT Salim Ivomas Pratama Tbk</t>
        </is>
      </c>
      <c r="B4928" t="inlineStr">
        <is>
          <t>SIMP_2024_AR.pdf</t>
        </is>
      </c>
      <c r="C4928" t="n">
        <v>2024</v>
      </c>
      <c r="D4928" t="inlineStr">
        <is>
          <t>Financial</t>
        </is>
      </c>
      <c r="E4928" t="inlineStr">
        <is>
          <t>Long-term Bank Loans (non-current)</t>
        </is>
      </c>
      <c r="F4928" t="n">
        <v>1690</v>
      </c>
      <c r="G4928" t="inlineStr">
        <is>
          <t>IDR bn</t>
        </is>
      </c>
      <c r="H4928" t="n">
        <v>132</v>
      </c>
      <c r="I4928" t="inlineStr">
        <is>
          <t>Utang bank jangka panjang 1.689.898 15 852.807</t>
        </is>
      </c>
      <c r="J4928" t="inlineStr">
        <is>
          <t>High</t>
        </is>
      </c>
      <c r="M4928" t="inlineStr">
        <is>
          <t>LLM</t>
        </is>
      </c>
      <c r="N4928" t="inlineStr">
        <is>
          <t>2026-04-19</t>
        </is>
      </c>
      <c r="O4928" t="inlineStr">
        <is>
          <t>AI</t>
        </is>
      </c>
    </row>
    <row r="4929">
      <c r="A4929" t="inlineStr">
        <is>
          <t>PT Salim Ivomas Pratama Tbk</t>
        </is>
      </c>
      <c r="B4929" t="inlineStr">
        <is>
          <t>SIMP_2024_AR.pdf</t>
        </is>
      </c>
      <c r="C4929" t="n">
        <v>2024</v>
      </c>
      <c r="D4929" t="inlineStr">
        <is>
          <t>Financial</t>
        </is>
      </c>
      <c r="E4929" t="inlineStr">
        <is>
          <t>Funded Debt (Gross)</t>
        </is>
      </c>
      <c r="F4929" t="n">
        <v>8400</v>
      </c>
      <c r="G4929" t="inlineStr">
        <is>
          <t>IDR bn</t>
        </is>
      </c>
      <c r="H4929" t="n">
        <v>6</v>
      </c>
      <c r="I4929" t="inlineStr">
        <is>
          <t>Funded Debt 8.400.388 8.692.665 9.871.378 Pinjaman yang Dikenakan Bunga</t>
        </is>
      </c>
      <c r="J4929" t="inlineStr">
        <is>
          <t>High</t>
        </is>
      </c>
      <c r="M4929" t="inlineStr">
        <is>
          <t>LLM</t>
        </is>
      </c>
      <c r="N4929" t="inlineStr">
        <is>
          <t>2026-04-19</t>
        </is>
      </c>
      <c r="O4929" t="inlineStr">
        <is>
          <t>AI</t>
        </is>
      </c>
    </row>
    <row r="4930">
      <c r="A4930" t="inlineStr">
        <is>
          <t>PT Salim Ivomas Pratama Tbk</t>
        </is>
      </c>
      <c r="B4930" t="inlineStr">
        <is>
          <t>SIMP_2024_AR.pdf</t>
        </is>
      </c>
      <c r="C4930" t="n">
        <v>2024</v>
      </c>
      <c r="D4930" t="inlineStr">
        <is>
          <t>Financial</t>
        </is>
      </c>
      <c r="E4930" t="inlineStr">
        <is>
          <t>Trade Receivables - Third Parties</t>
        </is>
      </c>
      <c r="F4930" t="n">
        <v>643</v>
      </c>
      <c r="G4930" t="inlineStr">
        <is>
          <t>IDR bn</t>
        </is>
      </c>
      <c r="H4930" t="n">
        <v>131</v>
      </c>
      <c r="I4930" t="inlineStr">
        <is>
          <t>Pihak ketiga 642.559 404.152 Third parties</t>
        </is>
      </c>
      <c r="J4930" t="inlineStr">
        <is>
          <t>High</t>
        </is>
      </c>
      <c r="M4930" t="inlineStr">
        <is>
          <t>LLM</t>
        </is>
      </c>
      <c r="N4930" t="inlineStr">
        <is>
          <t>2026-04-19</t>
        </is>
      </c>
      <c r="O4930" t="inlineStr">
        <is>
          <t>AI</t>
        </is>
      </c>
    </row>
    <row r="4931">
      <c r="A4931" t="inlineStr">
        <is>
          <t>PT Salim Ivomas Pratama Tbk</t>
        </is>
      </c>
      <c r="B4931" t="inlineStr">
        <is>
          <t>SIMP_2024_AR.pdf</t>
        </is>
      </c>
      <c r="C4931" t="n">
        <v>2024</v>
      </c>
      <c r="D4931" t="inlineStr">
        <is>
          <t>Financial</t>
        </is>
      </c>
      <c r="E4931" t="inlineStr">
        <is>
          <t>Trade Receivables - Related Parties</t>
        </is>
      </c>
      <c r="F4931" t="n">
        <v>499</v>
      </c>
      <c r="G4931" t="inlineStr">
        <is>
          <t>IDR bn</t>
        </is>
      </c>
      <c r="H4931" t="n">
        <v>131</v>
      </c>
      <c r="I4931" t="inlineStr">
        <is>
          <t>Pihak berelasi 499.098 32 345.987 Related parties</t>
        </is>
      </c>
      <c r="J4931" t="inlineStr">
        <is>
          <t>High</t>
        </is>
      </c>
      <c r="M4931" t="inlineStr">
        <is>
          <t>LLM</t>
        </is>
      </c>
      <c r="N4931" t="inlineStr">
        <is>
          <t>2026-04-19</t>
        </is>
      </c>
      <c r="O4931" t="inlineStr">
        <is>
          <t>AI</t>
        </is>
      </c>
    </row>
    <row r="4932">
      <c r="A4932" t="inlineStr">
        <is>
          <t>PT Salim Ivomas Pratama Tbk</t>
        </is>
      </c>
      <c r="B4932" t="inlineStr">
        <is>
          <t>SIMP_2024_AR.pdf</t>
        </is>
      </c>
      <c r="C4932" t="n">
        <v>2024</v>
      </c>
      <c r="D4932" t="inlineStr">
        <is>
          <t>Financial</t>
        </is>
      </c>
      <c r="E4932" t="inlineStr">
        <is>
          <t>Inventories</t>
        </is>
      </c>
      <c r="F4932" t="n">
        <v>3993</v>
      </c>
      <c r="G4932" t="inlineStr">
        <is>
          <t>IDR bn</t>
        </is>
      </c>
      <c r="H4932" t="n">
        <v>131</v>
      </c>
      <c r="I4932" t="inlineStr">
        <is>
          <t>Persediaan 3.992.795 7 2.471.178</t>
        </is>
      </c>
      <c r="J4932" t="inlineStr">
        <is>
          <t>High</t>
        </is>
      </c>
      <c r="M4932" t="inlineStr">
        <is>
          <t>LLM</t>
        </is>
      </c>
      <c r="N4932" t="inlineStr">
        <is>
          <t>2026-04-19</t>
        </is>
      </c>
      <c r="O4932" t="inlineStr">
        <is>
          <t>AI</t>
        </is>
      </c>
    </row>
    <row r="4933">
      <c r="A4933" t="inlineStr">
        <is>
          <t>PT Salim Ivomas Pratama Tbk</t>
        </is>
      </c>
      <c r="B4933" t="inlineStr">
        <is>
          <t>SIMP_2024_AR.pdf</t>
        </is>
      </c>
      <c r="C4933" t="n">
        <v>2024</v>
      </c>
      <c r="D4933" t="inlineStr">
        <is>
          <t>Financial</t>
        </is>
      </c>
      <c r="E4933" t="inlineStr">
        <is>
          <t>Biological Assets (Current)</t>
        </is>
      </c>
      <c r="F4933" t="n">
        <v>1132</v>
      </c>
      <c r="G4933" t="inlineStr">
        <is>
          <t>IDR bn</t>
        </is>
      </c>
      <c r="H4933" t="n">
        <v>131</v>
      </c>
      <c r="I4933" t="inlineStr">
        <is>
          <t>Aset biologis 1.132.115 8 764.416</t>
        </is>
      </c>
      <c r="J4933" t="inlineStr">
        <is>
          <t>High</t>
        </is>
      </c>
      <c r="M4933" t="inlineStr">
        <is>
          <t>LLM</t>
        </is>
      </c>
      <c r="N4933" t="inlineStr">
        <is>
          <t>2026-04-19</t>
        </is>
      </c>
      <c r="O4933" t="inlineStr">
        <is>
          <t>AI</t>
        </is>
      </c>
    </row>
    <row r="4934">
      <c r="A4934" t="inlineStr">
        <is>
          <t>PT Salim Ivomas Pratama Tbk</t>
        </is>
      </c>
      <c r="B4934" t="inlineStr">
        <is>
          <t>SIMP_2024_AR.pdf</t>
        </is>
      </c>
      <c r="C4934" t="n">
        <v>2024</v>
      </c>
      <c r="D4934" t="inlineStr">
        <is>
          <t>Financial</t>
        </is>
      </c>
      <c r="E4934" t="inlineStr">
        <is>
          <t>Goodwill</t>
        </is>
      </c>
      <c r="F4934" t="n">
        <v>2210</v>
      </c>
      <c r="G4934" t="inlineStr">
        <is>
          <t>IDR bn</t>
        </is>
      </c>
      <c r="H4934" t="n">
        <v>131</v>
      </c>
      <c r="I4934" t="inlineStr">
        <is>
          <t>Goodwill 2.210.034 3,11 2.210.034 (from LSIP acquisition)</t>
        </is>
      </c>
      <c r="J4934" t="inlineStr">
        <is>
          <t>High</t>
        </is>
      </c>
      <c r="M4934" t="inlineStr">
        <is>
          <t>LLM</t>
        </is>
      </c>
      <c r="N4934" t="inlineStr">
        <is>
          <t>2026-04-19</t>
        </is>
      </c>
      <c r="O4934" t="inlineStr">
        <is>
          <t>AI</t>
        </is>
      </c>
    </row>
    <row r="4935">
      <c r="A4935" t="inlineStr">
        <is>
          <t>PT Salim Ivomas Pratama Tbk</t>
        </is>
      </c>
      <c r="B4935" t="inlineStr">
        <is>
          <t>SIMP_2024_AR.pdf</t>
        </is>
      </c>
      <c r="C4935" t="n">
        <v>2024</v>
      </c>
      <c r="D4935" t="inlineStr">
        <is>
          <t>Financial</t>
        </is>
      </c>
      <c r="E4935" t="inlineStr">
        <is>
          <t>Fixed Assets</t>
        </is>
      </c>
      <c r="F4935" t="n">
        <v>17632</v>
      </c>
      <c r="G4935" t="inlineStr">
        <is>
          <t>IDR bn</t>
        </is>
      </c>
      <c r="H4935" t="n">
        <v>131</v>
      </c>
      <c r="I4935" t="inlineStr">
        <is>
          <t>Aset tetap 17.631.737 13 18.737.957 Fixed assets</t>
        </is>
      </c>
      <c r="J4935" t="inlineStr">
        <is>
          <t>High</t>
        </is>
      </c>
      <c r="M4935" t="inlineStr">
        <is>
          <t>LLM</t>
        </is>
      </c>
      <c r="N4935" t="inlineStr">
        <is>
          <t>2026-04-19</t>
        </is>
      </c>
      <c r="O4935" t="inlineStr">
        <is>
          <t>AI</t>
        </is>
      </c>
    </row>
    <row r="4936">
      <c r="A4936" t="inlineStr">
        <is>
          <t>PT Salim Ivomas Pratama Tbk</t>
        </is>
      </c>
      <c r="B4936" t="inlineStr">
        <is>
          <t>SIMP_2024_AR.pdf</t>
        </is>
      </c>
      <c r="C4936" t="n">
        <v>2024</v>
      </c>
      <c r="D4936" t="inlineStr">
        <is>
          <t>Financial</t>
        </is>
      </c>
      <c r="E4936" t="inlineStr">
        <is>
          <t>Investment in Associates</t>
        </is>
      </c>
      <c r="F4936" t="n">
        <v>1378</v>
      </c>
      <c r="G4936" t="inlineStr">
        <is>
          <t>IDR bn</t>
        </is>
      </c>
      <c r="H4936" t="n">
        <v>131</v>
      </c>
      <c r="I4936" t="inlineStr">
        <is>
          <t>Investasi pada entitas asosiasi 1.377.723 9 1.369.856</t>
        </is>
      </c>
      <c r="J4936" t="inlineStr">
        <is>
          <t>High</t>
        </is>
      </c>
      <c r="M4936" t="inlineStr">
        <is>
          <t>LLM</t>
        </is>
      </c>
      <c r="N4936" t="inlineStr">
        <is>
          <t>2026-04-19</t>
        </is>
      </c>
      <c r="O4936" t="inlineStr">
        <is>
          <t>AI</t>
        </is>
      </c>
    </row>
    <row r="4937">
      <c r="A4937" t="inlineStr">
        <is>
          <t>PT Salim Ivomas Pratama Tbk</t>
        </is>
      </c>
      <c r="B4937" t="inlineStr">
        <is>
          <t>SIMP_2024_AR.pdf</t>
        </is>
      </c>
      <c r="C4937" t="n">
        <v>2024</v>
      </c>
      <c r="D4937" t="inlineStr">
        <is>
          <t>Financial</t>
        </is>
      </c>
      <c r="E4937" t="inlineStr">
        <is>
          <t>CFO (Cash from Operating Activities)</t>
        </is>
      </c>
      <c r="F4937" t="n">
        <v>2300</v>
      </c>
      <c r="G4937" t="inlineStr">
        <is>
          <t>IDR bn</t>
        </is>
      </c>
      <c r="H4937" t="n">
        <v>136</v>
      </c>
      <c r="I4937" t="inlineStr">
        <is>
          <t>Kas Neto yang Diperoleh dari Aktivitas Operasi 2.299.715 3.829.754</t>
        </is>
      </c>
      <c r="J4937" t="inlineStr">
        <is>
          <t>High</t>
        </is>
      </c>
      <c r="M4937" t="inlineStr">
        <is>
          <t>LLM</t>
        </is>
      </c>
      <c r="N4937" t="inlineStr">
        <is>
          <t>2026-04-19</t>
        </is>
      </c>
      <c r="O4937" t="inlineStr">
        <is>
          <t>AI</t>
        </is>
      </c>
    </row>
    <row r="4938">
      <c r="A4938" t="inlineStr">
        <is>
          <t>PT Salim Ivomas Pratama Tbk</t>
        </is>
      </c>
      <c r="B4938" t="inlineStr">
        <is>
          <t>SIMP_2024_AR.pdf</t>
        </is>
      </c>
      <c r="C4938" t="n">
        <v>2024</v>
      </c>
      <c r="D4938" t="inlineStr">
        <is>
          <t>Financial</t>
        </is>
      </c>
      <c r="E4938" t="inlineStr">
        <is>
          <t>CFI (Cash used in Investing Activities)</t>
        </is>
      </c>
      <c r="F4938" t="n">
        <v>-1529</v>
      </c>
      <c r="G4938" t="inlineStr">
        <is>
          <t>IDR bn</t>
        </is>
      </c>
      <c r="H4938" t="n">
        <v>136</v>
      </c>
      <c r="I4938" t="inlineStr">
        <is>
          <t>Kas Neto yang Digunakan untuk Aktivitas Investasi (1.529.429) (1.315.800)</t>
        </is>
      </c>
      <c r="J4938" t="inlineStr">
        <is>
          <t>High</t>
        </is>
      </c>
      <c r="M4938" t="inlineStr">
        <is>
          <t>LLM</t>
        </is>
      </c>
      <c r="N4938" t="inlineStr">
        <is>
          <t>2026-04-19</t>
        </is>
      </c>
      <c r="O4938" t="inlineStr">
        <is>
          <t>AI</t>
        </is>
      </c>
    </row>
    <row r="4939">
      <c r="A4939" t="inlineStr">
        <is>
          <t>PT Salim Ivomas Pratama Tbk</t>
        </is>
      </c>
      <c r="B4939" t="inlineStr">
        <is>
          <t>SIMP_2024_AR.pdf</t>
        </is>
      </c>
      <c r="C4939" t="n">
        <v>2024</v>
      </c>
      <c r="D4939" t="inlineStr">
        <is>
          <t>Financial</t>
        </is>
      </c>
      <c r="E4939" t="inlineStr">
        <is>
          <t>CFF (Cash used in Financing Activities)</t>
        </is>
      </c>
      <c r="F4939" t="n">
        <v>-250</v>
      </c>
      <c r="G4939" t="inlineStr">
        <is>
          <t>IDR bn</t>
        </is>
      </c>
      <c r="H4939" t="n">
        <v>137</v>
      </c>
      <c r="I4939" t="inlineStr">
        <is>
          <t>Kas Neto yang Digunakan untuk Aktivitas Pendanaan (249.995) (1.619.939)</t>
        </is>
      </c>
      <c r="J4939" t="inlineStr">
        <is>
          <t>High</t>
        </is>
      </c>
      <c r="M4939" t="inlineStr">
        <is>
          <t>LLM</t>
        </is>
      </c>
      <c r="N4939" t="inlineStr">
        <is>
          <t>2026-04-19</t>
        </is>
      </c>
      <c r="O4939" t="inlineStr">
        <is>
          <t>AI</t>
        </is>
      </c>
    </row>
    <row r="4940">
      <c r="A4940" t="inlineStr">
        <is>
          <t>PT Salim Ivomas Pratama Tbk</t>
        </is>
      </c>
      <c r="B4940" t="inlineStr">
        <is>
          <t>SIMP_2024_AR.pdf</t>
        </is>
      </c>
      <c r="C4940" t="n">
        <v>2024</v>
      </c>
      <c r="D4940" t="inlineStr">
        <is>
          <t>Financial</t>
        </is>
      </c>
      <c r="E4940" t="inlineStr">
        <is>
          <t>Capex</t>
        </is>
      </c>
      <c r="F4940" t="n">
        <v>1264</v>
      </c>
      <c r="G4940" t="inlineStr">
        <is>
          <t>IDR bn</t>
        </is>
      </c>
      <c r="H4940" t="n">
        <v>6</v>
      </c>
      <c r="I4940" t="inlineStr">
        <is>
          <t>Capital Expenditures 1.264.356 1.324.273 1.460.252 Belanja Modal</t>
        </is>
      </c>
      <c r="J4940" t="inlineStr">
        <is>
          <t>High</t>
        </is>
      </c>
      <c r="M4940" t="inlineStr">
        <is>
          <t>LLM</t>
        </is>
      </c>
      <c r="N4940" t="inlineStr">
        <is>
          <t>2026-04-19</t>
        </is>
      </c>
      <c r="O4940" t="inlineStr">
        <is>
          <t>AI</t>
        </is>
      </c>
    </row>
    <row r="4941">
      <c r="A4941" t="inlineStr">
        <is>
          <t>PT Salim Ivomas Pratama Tbk</t>
        </is>
      </c>
      <c r="B4941" t="inlineStr">
        <is>
          <t>SIMP_2024_AR.pdf</t>
        </is>
      </c>
      <c r="C4941" t="n">
        <v>2024</v>
      </c>
      <c r="D4941" t="inlineStr">
        <is>
          <t>Financial</t>
        </is>
      </c>
      <c r="E4941" t="inlineStr">
        <is>
          <t>Additions to Fixed Assets (Cash Flow)</t>
        </is>
      </c>
      <c r="F4941" t="n">
        <v>958</v>
      </c>
      <c r="G4941" t="inlineStr">
        <is>
          <t>IDR bn</t>
        </is>
      </c>
      <c r="H4941" t="n">
        <v>136</v>
      </c>
      <c r="I4941" t="inlineStr">
        <is>
          <t>Penambahan aset tetap (958.350) (975.961)</t>
        </is>
      </c>
      <c r="J4941" t="inlineStr">
        <is>
          <t>High</t>
        </is>
      </c>
      <c r="M4941" t="inlineStr">
        <is>
          <t>LLM</t>
        </is>
      </c>
      <c r="N4941" t="inlineStr">
        <is>
          <t>2026-04-19</t>
        </is>
      </c>
      <c r="O4941" t="inlineStr">
        <is>
          <t>AI</t>
        </is>
      </c>
    </row>
    <row r="4942">
      <c r="A4942" t="inlineStr">
        <is>
          <t>PT Salim Ivomas Pratama Tbk</t>
        </is>
      </c>
      <c r="B4942" t="inlineStr">
        <is>
          <t>SIMP_2024_AR.pdf</t>
        </is>
      </c>
      <c r="C4942" t="n">
        <v>2024</v>
      </c>
      <c r="D4942" t="inlineStr">
        <is>
          <t>Financial</t>
        </is>
      </c>
      <c r="E4942" t="inlineStr">
        <is>
          <t>Additions to Biological Assets (Cash Flow)</t>
        </is>
      </c>
      <c r="F4942" t="n">
        <v>272</v>
      </c>
      <c r="G4942" t="inlineStr">
        <is>
          <t>IDR bn</t>
        </is>
      </c>
      <c r="H4942" t="n">
        <v>136</v>
      </c>
      <c r="I4942" t="inlineStr">
        <is>
          <t>Penambahan aset biologis (272.326) 8 (280.062)</t>
        </is>
      </c>
      <c r="J4942" t="inlineStr">
        <is>
          <t>High</t>
        </is>
      </c>
      <c r="M4942" t="inlineStr">
        <is>
          <t>LLM</t>
        </is>
      </c>
      <c r="N4942" t="inlineStr">
        <is>
          <t>2026-04-19</t>
        </is>
      </c>
      <c r="O4942" t="inlineStr">
        <is>
          <t>AI</t>
        </is>
      </c>
    </row>
    <row r="4943">
      <c r="A4943" t="inlineStr">
        <is>
          <t>PT Salim Ivomas Pratama Tbk</t>
        </is>
      </c>
      <c r="B4943" t="inlineStr">
        <is>
          <t>SIMP_2024_AR.pdf</t>
        </is>
      </c>
      <c r="C4943" t="n">
        <v>2024</v>
      </c>
      <c r="D4943" t="inlineStr">
        <is>
          <t>Financial</t>
        </is>
      </c>
      <c r="E4943" t="inlineStr">
        <is>
          <t>Cash Dividends Paid (by Parent)</t>
        </is>
      </c>
      <c r="F4943" t="n">
        <v>155</v>
      </c>
      <c r="G4943" t="inlineStr">
        <is>
          <t>IDR bn</t>
        </is>
      </c>
      <c r="H4943" t="n">
        <v>137</v>
      </c>
      <c r="I4943" t="inlineStr">
        <is>
          <t>Pembayaran dividen kas (155.013) 20 (232.520)</t>
        </is>
      </c>
      <c r="J4943" t="inlineStr">
        <is>
          <t>High</t>
        </is>
      </c>
      <c r="M4943" t="inlineStr">
        <is>
          <t>LLM</t>
        </is>
      </c>
      <c r="N4943" t="inlineStr">
        <is>
          <t>2026-04-19</t>
        </is>
      </c>
      <c r="O4943" t="inlineStr">
        <is>
          <t>AI</t>
        </is>
      </c>
    </row>
    <row r="4944">
      <c r="A4944" t="inlineStr">
        <is>
          <t>PT Salim Ivomas Pratama Tbk</t>
        </is>
      </c>
      <c r="B4944" t="inlineStr">
        <is>
          <t>SIMP_2024_AR.pdf</t>
        </is>
      </c>
      <c r="C4944" t="n">
        <v>2024</v>
      </c>
      <c r="D4944" t="inlineStr">
        <is>
          <t>Financial</t>
        </is>
      </c>
      <c r="E4944" t="inlineStr">
        <is>
          <t>EPS (Basic, attributable to parent)</t>
        </is>
      </c>
      <c r="F4944" t="n">
        <v>100</v>
      </c>
      <c r="G4944" t="inlineStr">
        <is>
          <t>Rp/share</t>
        </is>
      </c>
      <c r="H4944" t="n">
        <v>6</v>
      </c>
      <c r="I4944" t="inlineStr">
        <is>
          <t>Basic Profit per Share Attributable to the Owners of the Parent (Rp)2 100 48 77</t>
        </is>
      </c>
      <c r="J4944" t="inlineStr">
        <is>
          <t>High</t>
        </is>
      </c>
      <c r="M4944" t="inlineStr">
        <is>
          <t>LLM</t>
        </is>
      </c>
      <c r="N4944" t="inlineStr">
        <is>
          <t>2026-04-19</t>
        </is>
      </c>
      <c r="O4944" t="inlineStr">
        <is>
          <t>AI</t>
        </is>
      </c>
    </row>
    <row r="4945">
      <c r="A4945" t="inlineStr">
        <is>
          <t>PT Salim Ivomas Pratama Tbk</t>
        </is>
      </c>
      <c r="B4945" t="inlineStr">
        <is>
          <t>SIMP_2024_AR.pdf</t>
        </is>
      </c>
      <c r="C4945" t="n">
        <v>2024</v>
      </c>
      <c r="D4945" t="inlineStr">
        <is>
          <t>Financial</t>
        </is>
      </c>
      <c r="E4945" t="inlineStr">
        <is>
          <t>Outstanding Shares</t>
        </is>
      </c>
      <c r="F4945" t="n">
        <v>15501</v>
      </c>
      <c r="G4945" t="inlineStr">
        <is>
          <t>mn</t>
        </is>
      </c>
      <c r="H4945" t="n">
        <v>6</v>
      </c>
      <c r="I4945" t="inlineStr">
        <is>
          <t>Outstanding Shares (in '000) 15.501.310 15.501.310 - i.e. 15,501.310 million</t>
        </is>
      </c>
      <c r="J4945" t="inlineStr">
        <is>
          <t>High</t>
        </is>
      </c>
      <c r="M4945" t="inlineStr">
        <is>
          <t>LLM</t>
        </is>
      </c>
      <c r="N4945" t="inlineStr">
        <is>
          <t>2026-04-19</t>
        </is>
      </c>
      <c r="O4945" t="inlineStr">
        <is>
          <t>AI</t>
        </is>
      </c>
    </row>
    <row r="4946">
      <c r="A4946" t="inlineStr">
        <is>
          <t>PT Salim Ivomas Pratama Tbk</t>
        </is>
      </c>
      <c r="B4946" t="inlineStr">
        <is>
          <t>SIMP_2024_AR.pdf</t>
        </is>
      </c>
      <c r="C4946" t="n">
        <v>2024</v>
      </c>
      <c r="D4946" t="inlineStr">
        <is>
          <t>Financial</t>
        </is>
      </c>
      <c r="E4946" t="inlineStr">
        <is>
          <t>Final Dividend per Share (for FY2023 paid 2024)</t>
        </is>
      </c>
      <c r="F4946" t="n">
        <v>10</v>
      </c>
      <c r="G4946" t="inlineStr">
        <is>
          <t>Rp/share</t>
        </is>
      </c>
      <c r="H4946" t="n">
        <v>21</v>
      </c>
      <c r="I4946" t="inlineStr">
        <is>
          <t>declare and distribute the cash dividend for the financial year of 2023 of Rp10 (Ten Rupiah) per share</t>
        </is>
      </c>
      <c r="J4946" t="inlineStr">
        <is>
          <t>High</t>
        </is>
      </c>
      <c r="M4946" t="inlineStr">
        <is>
          <t>LLM</t>
        </is>
      </c>
      <c r="N4946" t="inlineStr">
        <is>
          <t>2026-04-19</t>
        </is>
      </c>
      <c r="O4946" t="inlineStr">
        <is>
          <t>AI</t>
        </is>
      </c>
    </row>
    <row r="4947">
      <c r="A4947" t="inlineStr">
        <is>
          <t>PT Salim Ivomas Pratama Tbk</t>
        </is>
      </c>
      <c r="B4947" t="inlineStr">
        <is>
          <t>SIMP_2024_AR.pdf</t>
        </is>
      </c>
      <c r="C4947" t="n">
        <v>2024</v>
      </c>
      <c r="D4947" t="inlineStr">
        <is>
          <t>Financial</t>
        </is>
      </c>
      <c r="E4947" t="inlineStr">
        <is>
          <t>Closing Share Price 30 Dec 2024</t>
        </is>
      </c>
      <c r="F4947" t="n">
        <v>378</v>
      </c>
      <c r="G4947" t="inlineStr">
        <is>
          <t>Rp/share</t>
        </is>
      </c>
      <c r="H4947" t="n">
        <v>16</v>
      </c>
      <c r="I4947" t="inlineStr">
        <is>
          <t>During the Year 15.501 5.859.495 444 350 378 732.747.400 - Closing Rp378</t>
        </is>
      </c>
      <c r="J4947" t="inlineStr">
        <is>
          <t>High</t>
        </is>
      </c>
      <c r="M4947" t="inlineStr">
        <is>
          <t>LLM</t>
        </is>
      </c>
      <c r="N4947" t="inlineStr">
        <is>
          <t>2026-04-19</t>
        </is>
      </c>
      <c r="O4947" t="inlineStr">
        <is>
          <t>AI</t>
        </is>
      </c>
    </row>
    <row r="4948">
      <c r="A4948" t="inlineStr">
        <is>
          <t>PT Salim Ivomas Pratama Tbk</t>
        </is>
      </c>
      <c r="B4948" t="inlineStr">
        <is>
          <t>SIMP_2024_AR.pdf</t>
        </is>
      </c>
      <c r="C4948" t="n">
        <v>2024</v>
      </c>
      <c r="D4948" t="inlineStr">
        <is>
          <t>Financial</t>
        </is>
      </c>
      <c r="E4948" t="inlineStr">
        <is>
          <t>Market Capitalisation (end 2024)</t>
        </is>
      </c>
      <c r="F4948" t="n">
        <v>5859</v>
      </c>
      <c r="G4948" t="inlineStr">
        <is>
          <t>IDR bn</t>
        </is>
      </c>
      <c r="H4948" t="n">
        <v>16</v>
      </c>
      <c r="I4948" t="inlineStr">
        <is>
          <t>IV 15.501 5.859.495 - Market Capitalisation Rp5,859,495 million</t>
        </is>
      </c>
      <c r="J4948" t="inlineStr">
        <is>
          <t>High</t>
        </is>
      </c>
      <c r="M4948" t="inlineStr">
        <is>
          <t>LLM</t>
        </is>
      </c>
      <c r="N4948" t="inlineStr">
        <is>
          <t>2026-04-19</t>
        </is>
      </c>
      <c r="O4948" t="inlineStr">
        <is>
          <t>AI</t>
        </is>
      </c>
    </row>
    <row r="4949">
      <c r="A4949" t="inlineStr">
        <is>
          <t>PT Salim Ivomas Pratama Tbk</t>
        </is>
      </c>
      <c r="B4949" t="inlineStr">
        <is>
          <t>SIMP_2024_AR.pdf</t>
        </is>
      </c>
      <c r="C4949" t="n">
        <v>2024</v>
      </c>
      <c r="D4949" t="inlineStr">
        <is>
          <t>Financial</t>
        </is>
      </c>
      <c r="E4949" t="inlineStr">
        <is>
          <t>Share Price High 2024</t>
        </is>
      </c>
      <c r="F4949" t="n">
        <v>444</v>
      </c>
      <c r="G4949" t="inlineStr">
        <is>
          <t>Rp/share</t>
        </is>
      </c>
      <c r="H4949" t="n">
        <v>16</v>
      </c>
      <c r="I4949" t="inlineStr">
        <is>
          <t>During the Year 15.501 5.859.495 444 350 378</t>
        </is>
      </c>
      <c r="J4949" t="inlineStr">
        <is>
          <t>High</t>
        </is>
      </c>
      <c r="M4949" t="inlineStr">
        <is>
          <t>LLM</t>
        </is>
      </c>
      <c r="N4949" t="inlineStr">
        <is>
          <t>2026-04-19</t>
        </is>
      </c>
      <c r="O4949" t="inlineStr">
        <is>
          <t>AI</t>
        </is>
      </c>
    </row>
    <row r="4950">
      <c r="A4950" t="inlineStr">
        <is>
          <t>PT Salim Ivomas Pratama Tbk</t>
        </is>
      </c>
      <c r="B4950" t="inlineStr">
        <is>
          <t>SIMP_2024_AR.pdf</t>
        </is>
      </c>
      <c r="C4950" t="n">
        <v>2024</v>
      </c>
      <c r="D4950" t="inlineStr">
        <is>
          <t>Financial</t>
        </is>
      </c>
      <c r="E4950" t="inlineStr">
        <is>
          <t>Share Price Low 2024</t>
        </is>
      </c>
      <c r="F4950" t="n">
        <v>350</v>
      </c>
      <c r="G4950" t="inlineStr">
        <is>
          <t>Rp/share</t>
        </is>
      </c>
      <c r="H4950" t="n">
        <v>16</v>
      </c>
      <c r="I4950" t="inlineStr">
        <is>
          <t>During the Year 15.501 5.859.495 444 350 378</t>
        </is>
      </c>
      <c r="J4950" t="inlineStr">
        <is>
          <t>High</t>
        </is>
      </c>
      <c r="M4950" t="inlineStr">
        <is>
          <t>LLM</t>
        </is>
      </c>
      <c r="N4950" t="inlineStr">
        <is>
          <t>2026-04-19</t>
        </is>
      </c>
      <c r="O4950" t="inlineStr">
        <is>
          <t>AI</t>
        </is>
      </c>
    </row>
    <row r="4951">
      <c r="A4951" t="inlineStr">
        <is>
          <t>PT Salim Ivomas Pratama Tbk</t>
        </is>
      </c>
      <c r="B4951" t="inlineStr">
        <is>
          <t>SIMP_2024_AR.pdf</t>
        </is>
      </c>
      <c r="C4951" t="n">
        <v>2024</v>
      </c>
      <c r="D4951" t="inlineStr">
        <is>
          <t>Financial</t>
        </is>
      </c>
      <c r="E4951" t="inlineStr">
        <is>
          <t>Gross Profit Margin</t>
        </is>
      </c>
      <c r="F4951" t="n">
        <v>0.303</v>
      </c>
      <c r="G4951" t="inlineStr">
        <is>
          <t>%</t>
        </is>
      </c>
      <c r="H4951" t="n">
        <v>6</v>
      </c>
      <c r="I4951" t="inlineStr">
        <is>
          <t>Gross Profit Margin (%) 30,3 21,0 26,1</t>
        </is>
      </c>
      <c r="J4951" t="inlineStr">
        <is>
          <t>High</t>
        </is>
      </c>
      <c r="M4951" t="inlineStr">
        <is>
          <t>LLM</t>
        </is>
      </c>
      <c r="N4951" t="inlineStr">
        <is>
          <t>2026-04-19</t>
        </is>
      </c>
      <c r="O4951" t="inlineStr">
        <is>
          <t>AI</t>
        </is>
      </c>
    </row>
    <row r="4952">
      <c r="A4952" t="inlineStr">
        <is>
          <t>PT Salim Ivomas Pratama Tbk</t>
        </is>
      </c>
      <c r="B4952" t="inlineStr">
        <is>
          <t>SIMP_2024_AR.pdf</t>
        </is>
      </c>
      <c r="C4952" t="n">
        <v>2024</v>
      </c>
      <c r="D4952" t="inlineStr">
        <is>
          <t>Financial</t>
        </is>
      </c>
      <c r="E4952" t="inlineStr">
        <is>
          <t>Operating Profit Margin</t>
        </is>
      </c>
      <c r="F4952" t="n">
        <v>0.207</v>
      </c>
      <c r="G4952" t="inlineStr">
        <is>
          <t>%</t>
        </is>
      </c>
      <c r="H4952" t="n">
        <v>6</v>
      </c>
      <c r="I4952" t="inlineStr">
        <is>
          <t>Operating Profit Margin (%) 20,7 12,1 16,4</t>
        </is>
      </c>
      <c r="J4952" t="inlineStr">
        <is>
          <t>High</t>
        </is>
      </c>
      <c r="M4952" t="inlineStr">
        <is>
          <t>LLM</t>
        </is>
      </c>
      <c r="N4952" t="inlineStr">
        <is>
          <t>2026-04-19</t>
        </is>
      </c>
      <c r="O4952" t="inlineStr">
        <is>
          <t>AI</t>
        </is>
      </c>
    </row>
    <row r="4953">
      <c r="A4953" t="inlineStr">
        <is>
          <t>PT Salim Ivomas Pratama Tbk</t>
        </is>
      </c>
      <c r="B4953" t="inlineStr">
        <is>
          <t>SIMP_2024_AR.pdf</t>
        </is>
      </c>
      <c r="C4953" t="n">
        <v>2024</v>
      </c>
      <c r="D4953" t="inlineStr">
        <is>
          <t>Financial</t>
        </is>
      </c>
      <c r="E4953" t="inlineStr">
        <is>
          <t>EBITDA Margin</t>
        </is>
      </c>
      <c r="F4953" t="n">
        <v>0.296</v>
      </c>
      <c r="G4953" t="inlineStr">
        <is>
          <t>%</t>
        </is>
      </c>
      <c r="H4953" t="n">
        <v>6</v>
      </c>
      <c r="I4953" t="inlineStr">
        <is>
          <t>EBITDA Margin (%) 29,6 22,1 26,3</t>
        </is>
      </c>
      <c r="J4953" t="inlineStr">
        <is>
          <t>High</t>
        </is>
      </c>
      <c r="M4953" t="inlineStr">
        <is>
          <t>LLM</t>
        </is>
      </c>
      <c r="N4953" t="inlineStr">
        <is>
          <t>2026-04-19</t>
        </is>
      </c>
      <c r="O4953" t="inlineStr">
        <is>
          <t>AI</t>
        </is>
      </c>
    </row>
    <row r="4954">
      <c r="A4954" t="inlineStr">
        <is>
          <t>PT Salim Ivomas Pratama Tbk</t>
        </is>
      </c>
      <c r="B4954" t="inlineStr">
        <is>
          <t>SIMP_2024_AR.pdf</t>
        </is>
      </c>
      <c r="C4954" t="n">
        <v>2024</v>
      </c>
      <c r="D4954" t="inlineStr">
        <is>
          <t>Financial</t>
        </is>
      </c>
      <c r="E4954" t="inlineStr">
        <is>
          <t>Return on Assets (Net)</t>
        </is>
      </c>
      <c r="F4954" t="n">
        <v>0.06</v>
      </c>
      <c r="G4954" t="inlineStr">
        <is>
          <t>%</t>
        </is>
      </c>
      <c r="H4954" t="n">
        <v>6</v>
      </c>
      <c r="I4954" t="inlineStr">
        <is>
          <t>Return on Assets (%) - Profit for the Year 4 6,0 2,6 4,2</t>
        </is>
      </c>
      <c r="J4954" t="inlineStr">
        <is>
          <t>High</t>
        </is>
      </c>
      <c r="M4954" t="inlineStr">
        <is>
          <t>LLM</t>
        </is>
      </c>
      <c r="N4954" t="inlineStr">
        <is>
          <t>2026-04-19</t>
        </is>
      </c>
      <c r="O4954" t="inlineStr">
        <is>
          <t>AI</t>
        </is>
      </c>
    </row>
    <row r="4955">
      <c r="A4955" t="inlineStr">
        <is>
          <t>PT Salim Ivomas Pratama Tbk</t>
        </is>
      </c>
      <c r="B4955" t="inlineStr">
        <is>
          <t>SIMP_2024_AR.pdf</t>
        </is>
      </c>
      <c r="C4955" t="n">
        <v>2024</v>
      </c>
      <c r="D4955" t="inlineStr">
        <is>
          <t>Financial</t>
        </is>
      </c>
      <c r="E4955" t="inlineStr">
        <is>
          <t>Return on Equity</t>
        </is>
      </c>
      <c r="F4955" t="n">
        <v>0.096</v>
      </c>
      <c r="G4955" t="inlineStr">
        <is>
          <t>%</t>
        </is>
      </c>
      <c r="H4955" t="n">
        <v>6</v>
      </c>
      <c r="I4955" t="inlineStr">
        <is>
          <t>Return on Equity (%) 4 9,6 4,3 7,4</t>
        </is>
      </c>
      <c r="J4955" t="inlineStr">
        <is>
          <t>High</t>
        </is>
      </c>
      <c r="M4955" t="inlineStr">
        <is>
          <t>LLM</t>
        </is>
      </c>
      <c r="N4955" t="inlineStr">
        <is>
          <t>2026-04-19</t>
        </is>
      </c>
      <c r="O4955" t="inlineStr">
        <is>
          <t>AI</t>
        </is>
      </c>
    </row>
    <row r="4956">
      <c r="A4956" t="inlineStr">
        <is>
          <t>PT Salim Ivomas Pratama Tbk</t>
        </is>
      </c>
      <c r="B4956" t="inlineStr">
        <is>
          <t>SIMP_2024_AR.pdf</t>
        </is>
      </c>
      <c r="C4956" t="n">
        <v>2024</v>
      </c>
      <c r="D4956" t="inlineStr">
        <is>
          <t>Financial</t>
        </is>
      </c>
      <c r="E4956" t="inlineStr">
        <is>
          <t>Current Ratio</t>
        </is>
      </c>
      <c r="F4956" t="n">
        <v>1.51</v>
      </c>
      <c r="G4956" t="inlineStr">
        <is>
          <t>x</t>
        </is>
      </c>
      <c r="H4956" t="n">
        <v>6</v>
      </c>
      <c r="I4956" t="inlineStr">
        <is>
          <t>Current Ratio (x) 1,51 1,05 1,10</t>
        </is>
      </c>
      <c r="J4956" t="inlineStr">
        <is>
          <t>High</t>
        </is>
      </c>
      <c r="M4956" t="inlineStr">
        <is>
          <t>LLM</t>
        </is>
      </c>
      <c r="N4956" t="inlineStr">
        <is>
          <t>2026-04-19</t>
        </is>
      </c>
      <c r="O4956" t="inlineStr">
        <is>
          <t>AI</t>
        </is>
      </c>
    </row>
    <row r="4957">
      <c r="A4957" t="inlineStr">
        <is>
          <t>PT Salim Ivomas Pratama Tbk</t>
        </is>
      </c>
      <c r="B4957" t="inlineStr">
        <is>
          <t>SIMP_2024_AR.pdf</t>
        </is>
      </c>
      <c r="C4957" t="n">
        <v>2024</v>
      </c>
      <c r="D4957" t="inlineStr">
        <is>
          <t>Financial</t>
        </is>
      </c>
      <c r="E4957" t="inlineStr">
        <is>
          <t>Gearing Ratio - Gross</t>
        </is>
      </c>
      <c r="F4957" t="n">
        <v>0.35</v>
      </c>
      <c r="G4957" t="inlineStr">
        <is>
          <t>x</t>
        </is>
      </c>
      <c r="H4957" t="n">
        <v>6</v>
      </c>
      <c r="I4957" t="inlineStr">
        <is>
          <t>Gearing Ratio - Gross (x) 3 0,35 0,40 0,47</t>
        </is>
      </c>
      <c r="J4957" t="inlineStr">
        <is>
          <t>High</t>
        </is>
      </c>
      <c r="M4957" t="inlineStr">
        <is>
          <t>LLM</t>
        </is>
      </c>
      <c r="N4957" t="inlineStr">
        <is>
          <t>2026-04-19</t>
        </is>
      </c>
      <c r="O4957" t="inlineStr">
        <is>
          <t>AI</t>
        </is>
      </c>
    </row>
    <row r="4958">
      <c r="A4958" t="inlineStr">
        <is>
          <t>PT Salim Ivomas Pratama Tbk</t>
        </is>
      </c>
      <c r="B4958" t="inlineStr">
        <is>
          <t>SIMP_2024_AR.pdf</t>
        </is>
      </c>
      <c r="C4958" t="n">
        <v>2024</v>
      </c>
      <c r="D4958" t="inlineStr">
        <is>
          <t>Financial</t>
        </is>
      </c>
      <c r="E4958" t="inlineStr">
        <is>
          <t>Gearing Ratio - Net</t>
        </is>
      </c>
      <c r="F4958" t="n">
        <v>0.11</v>
      </c>
      <c r="G4958" t="inlineStr">
        <is>
          <t>x</t>
        </is>
      </c>
      <c r="H4958" t="n">
        <v>6</v>
      </c>
      <c r="I4958" t="inlineStr">
        <is>
          <t>Gearing Ratio - Net (x) 3 0,11 0,16 0,26</t>
        </is>
      </c>
      <c r="J4958" t="inlineStr">
        <is>
          <t>High</t>
        </is>
      </c>
      <c r="M4958" t="inlineStr">
        <is>
          <t>LLM</t>
        </is>
      </c>
      <c r="N4958" t="inlineStr">
        <is>
          <t>2026-04-19</t>
        </is>
      </c>
      <c r="O4958" t="inlineStr">
        <is>
          <t>AI</t>
        </is>
      </c>
    </row>
    <row r="4959">
      <c r="A4959" t="inlineStr">
        <is>
          <t>PT Salim Ivomas Pratama Tbk</t>
        </is>
      </c>
      <c r="B4959" t="inlineStr">
        <is>
          <t>SIMP_2024_AR.pdf</t>
        </is>
      </c>
      <c r="C4959" t="n">
        <v>2024</v>
      </c>
      <c r="D4959" t="inlineStr">
        <is>
          <t>Asset</t>
        </is>
      </c>
      <c r="E4959" t="inlineStr">
        <is>
          <t>Total Nucleus Planted Area</t>
        </is>
      </c>
      <c r="F4959" t="n">
        <v>288649</v>
      </c>
      <c r="G4959" t="inlineStr">
        <is>
          <t>ha</t>
        </is>
      </c>
      <c r="H4959" t="n">
        <v>7</v>
      </c>
      <c r="I4959" t="inlineStr">
        <is>
          <t>Planted Area - Nucleus 288.649 293.429 294.488 (2024)</t>
        </is>
      </c>
      <c r="J4959" t="inlineStr">
        <is>
          <t>High</t>
        </is>
      </c>
      <c r="M4959" t="inlineStr">
        <is>
          <t>LLM</t>
        </is>
      </c>
      <c r="N4959" t="inlineStr">
        <is>
          <t>2026-04-19</t>
        </is>
      </c>
      <c r="O4959" t="inlineStr">
        <is>
          <t>AI</t>
        </is>
      </c>
    </row>
    <row r="4960">
      <c r="A4960" t="inlineStr">
        <is>
          <t>PT Salim Ivomas Pratama Tbk</t>
        </is>
      </c>
      <c r="B4960" t="inlineStr">
        <is>
          <t>SIMP_2024_AR.pdf</t>
        </is>
      </c>
      <c r="C4960" t="n">
        <v>2024</v>
      </c>
      <c r="D4960" t="inlineStr">
        <is>
          <t>Asset</t>
        </is>
      </c>
      <c r="E4960" t="inlineStr">
        <is>
          <t>Oil Palm Nucleus Area</t>
        </is>
      </c>
      <c r="F4960" t="n">
        <v>241208</v>
      </c>
      <c r="G4960" t="inlineStr">
        <is>
          <t>ha</t>
        </is>
      </c>
      <c r="H4960" t="n">
        <v>7</v>
      </c>
      <c r="I4960" t="inlineStr">
        <is>
          <t>Oil Palm 241.208 244.337 244.768 Kelapa Sawit</t>
        </is>
      </c>
      <c r="J4960" t="inlineStr">
        <is>
          <t>High</t>
        </is>
      </c>
      <c r="M4960" t="inlineStr">
        <is>
          <t>LLM</t>
        </is>
      </c>
      <c r="N4960" t="inlineStr">
        <is>
          <t>2026-04-19</t>
        </is>
      </c>
      <c r="O4960" t="inlineStr">
        <is>
          <t>AI</t>
        </is>
      </c>
    </row>
    <row r="4961">
      <c r="A4961" t="inlineStr">
        <is>
          <t>PT Salim Ivomas Pratama Tbk</t>
        </is>
      </c>
      <c r="B4961" t="inlineStr">
        <is>
          <t>SIMP_2024_AR.pdf</t>
        </is>
      </c>
      <c r="C4961" t="n">
        <v>2024</v>
      </c>
      <c r="D4961" t="inlineStr">
        <is>
          <t>Asset</t>
        </is>
      </c>
      <c r="E4961" t="inlineStr">
        <is>
          <t>Oil Palm Mature Area</t>
        </is>
      </c>
      <c r="F4961" t="n">
        <v>220318</v>
      </c>
      <c r="G4961" t="inlineStr">
        <is>
          <t>ha</t>
        </is>
      </c>
      <c r="H4961" t="n">
        <v>7</v>
      </c>
      <c r="I4961" t="inlineStr">
        <is>
          <t>• Mature 220.318 220.531 218.064 Menghasilkan</t>
        </is>
      </c>
      <c r="J4961" t="inlineStr">
        <is>
          <t>High</t>
        </is>
      </c>
      <c r="M4961" t="inlineStr">
        <is>
          <t>LLM</t>
        </is>
      </c>
      <c r="N4961" t="inlineStr">
        <is>
          <t>2026-04-19</t>
        </is>
      </c>
      <c r="O4961" t="inlineStr">
        <is>
          <t>AI</t>
        </is>
      </c>
    </row>
    <row r="4962">
      <c r="A4962" t="inlineStr">
        <is>
          <t>PT Salim Ivomas Pratama Tbk</t>
        </is>
      </c>
      <c r="B4962" t="inlineStr">
        <is>
          <t>SIMP_2024_AR.pdf</t>
        </is>
      </c>
      <c r="C4962" t="n">
        <v>2024</v>
      </c>
      <c r="D4962" t="inlineStr">
        <is>
          <t>Asset</t>
        </is>
      </c>
      <c r="E4962" t="inlineStr">
        <is>
          <t>Oil Palm Immature Area</t>
        </is>
      </c>
      <c r="F4962" t="n">
        <v>20890</v>
      </c>
      <c r="G4962" t="inlineStr">
        <is>
          <t>ha</t>
        </is>
      </c>
      <c r="H4962" t="n">
        <v>7</v>
      </c>
      <c r="I4962" t="inlineStr">
        <is>
          <t>• Immature 20.890 23.806 26.704 Belum Menghasilkan</t>
        </is>
      </c>
      <c r="J4962" t="inlineStr">
        <is>
          <t>High</t>
        </is>
      </c>
      <c r="M4962" t="inlineStr">
        <is>
          <t>LLM</t>
        </is>
      </c>
      <c r="N4962" t="inlineStr">
        <is>
          <t>2026-04-19</t>
        </is>
      </c>
      <c r="O4962" t="inlineStr">
        <is>
          <t>AI</t>
        </is>
      </c>
    </row>
    <row r="4963">
      <c r="A4963" t="inlineStr">
        <is>
          <t>PT Salim Ivomas Pratama Tbk</t>
        </is>
      </c>
      <c r="B4963" t="inlineStr">
        <is>
          <t>SIMP_2024_AR.pdf</t>
        </is>
      </c>
      <c r="C4963" t="n">
        <v>2024</v>
      </c>
      <c r="D4963" t="inlineStr">
        <is>
          <t>Asset</t>
        </is>
      </c>
      <c r="E4963" t="inlineStr">
        <is>
          <t>Rubber Nucleus Area</t>
        </is>
      </c>
      <c r="F4963" t="n">
        <v>16231</v>
      </c>
      <c r="G4963" t="inlineStr">
        <is>
          <t>ha</t>
        </is>
      </c>
      <c r="H4963" t="n">
        <v>7</v>
      </c>
      <c r="I4963" t="inlineStr">
        <is>
          <t>Rubber 16.231 16.238 16.074 Karet</t>
        </is>
      </c>
      <c r="J4963" t="inlineStr">
        <is>
          <t>High</t>
        </is>
      </c>
      <c r="M4963" t="inlineStr">
        <is>
          <t>LLM</t>
        </is>
      </c>
      <c r="N4963" t="inlineStr">
        <is>
          <t>2026-04-19</t>
        </is>
      </c>
      <c r="O4963" t="inlineStr">
        <is>
          <t>AI</t>
        </is>
      </c>
    </row>
    <row r="4964">
      <c r="A4964" t="inlineStr">
        <is>
          <t>PT Salim Ivomas Pratama Tbk</t>
        </is>
      </c>
      <c r="B4964" t="inlineStr">
        <is>
          <t>SIMP_2024_AR.pdf</t>
        </is>
      </c>
      <c r="C4964" t="n">
        <v>2024</v>
      </c>
      <c r="D4964" t="inlineStr">
        <is>
          <t>Asset</t>
        </is>
      </c>
      <c r="E4964" t="inlineStr">
        <is>
          <t>Sugar Cane Nucleus Area</t>
        </is>
      </c>
      <c r="F4964" t="n">
        <v>13583</v>
      </c>
      <c r="G4964" t="inlineStr">
        <is>
          <t>ha</t>
        </is>
      </c>
      <c r="H4964" t="n">
        <v>7</v>
      </c>
      <c r="I4964" t="inlineStr">
        <is>
          <t>Sugar Cane 13.583 13.384 14.056 Tebu</t>
        </is>
      </c>
      <c r="J4964" t="inlineStr">
        <is>
          <t>High</t>
        </is>
      </c>
      <c r="M4964" t="inlineStr">
        <is>
          <t>LLM</t>
        </is>
      </c>
      <c r="N4964" t="inlineStr">
        <is>
          <t>2026-04-19</t>
        </is>
      </c>
      <c r="O4964" t="inlineStr">
        <is>
          <t>AI</t>
        </is>
      </c>
    </row>
    <row r="4965">
      <c r="A4965" t="inlineStr">
        <is>
          <t>PT Salim Ivomas Pratama Tbk</t>
        </is>
      </c>
      <c r="B4965" t="inlineStr">
        <is>
          <t>SIMP_2024_AR.pdf</t>
        </is>
      </c>
      <c r="C4965" t="n">
        <v>2024</v>
      </c>
      <c r="D4965" t="inlineStr">
        <is>
          <t>Asset</t>
        </is>
      </c>
      <c r="E4965" t="inlineStr">
        <is>
          <t>Other Crops (incl. timber, cocoa, tea) Area</t>
        </is>
      </c>
      <c r="F4965" t="n">
        <v>17627</v>
      </c>
      <c r="G4965" t="inlineStr">
        <is>
          <t>ha</t>
        </is>
      </c>
      <c r="H4965" t="n">
        <v>7</v>
      </c>
      <c r="I4965" t="inlineStr">
        <is>
          <t>Others 17.627 19.470 19.590 Lainnya</t>
        </is>
      </c>
      <c r="J4965" t="inlineStr">
        <is>
          <t>High</t>
        </is>
      </c>
      <c r="M4965" t="inlineStr">
        <is>
          <t>LLM</t>
        </is>
      </c>
      <c r="N4965" t="inlineStr">
        <is>
          <t>2026-04-19</t>
        </is>
      </c>
      <c r="O4965" t="inlineStr">
        <is>
          <t>AI</t>
        </is>
      </c>
    </row>
    <row r="4966">
      <c r="A4966" t="inlineStr">
        <is>
          <t>PT Salim Ivomas Pratama Tbk</t>
        </is>
      </c>
      <c r="B4966" t="inlineStr">
        <is>
          <t>SIMP_2024_AR.pdf</t>
        </is>
      </c>
      <c r="C4966" t="n">
        <v>2024</v>
      </c>
      <c r="D4966" t="inlineStr">
        <is>
          <t>Asset</t>
        </is>
      </c>
      <c r="E4966" t="inlineStr">
        <is>
          <t>Plasma Partnership (Oil Palm &amp; Rubber)</t>
        </is>
      </c>
      <c r="F4966" t="n">
        <v>91523</v>
      </c>
      <c r="G4966" t="inlineStr">
        <is>
          <t>ha</t>
        </is>
      </c>
      <c r="H4966" t="n">
        <v>7</v>
      </c>
      <c r="I4966" t="inlineStr">
        <is>
          <t>Plasma Partnership (Oil Palm &amp; Rubber) 91.523 90.867 90.551</t>
        </is>
      </c>
      <c r="J4966" t="inlineStr">
        <is>
          <t>High</t>
        </is>
      </c>
      <c r="M4966" t="inlineStr">
        <is>
          <t>LLM</t>
        </is>
      </c>
      <c r="N4966" t="inlineStr">
        <is>
          <t>2026-04-19</t>
        </is>
      </c>
      <c r="O4966" t="inlineStr">
        <is>
          <t>AI</t>
        </is>
      </c>
    </row>
    <row r="4967">
      <c r="A4967" t="inlineStr">
        <is>
          <t>PT Salim Ivomas Pratama Tbk</t>
        </is>
      </c>
      <c r="B4967" t="inlineStr">
        <is>
          <t>SIMP_2024_AR.pdf</t>
        </is>
      </c>
      <c r="C4967" t="n">
        <v>2024</v>
      </c>
      <c r="D4967" t="inlineStr">
        <is>
          <t>Asset</t>
        </is>
      </c>
      <c r="E4967" t="inlineStr">
        <is>
          <t>Riau Planted Area</t>
        </is>
      </c>
      <c r="F4967" t="n">
        <v>56172</v>
      </c>
      <c r="G4967" t="inlineStr">
        <is>
          <t>ha</t>
        </is>
      </c>
      <c r="H4967" t="n">
        <v>7</v>
      </c>
      <c r="I4967" t="inlineStr">
        <is>
          <t>Riau 56.172 56.175 56.145</t>
        </is>
      </c>
      <c r="J4967" t="inlineStr">
        <is>
          <t>High</t>
        </is>
      </c>
      <c r="M4967" t="inlineStr">
        <is>
          <t>LLM</t>
        </is>
      </c>
      <c r="N4967" t="inlineStr">
        <is>
          <t>2026-04-19</t>
        </is>
      </c>
      <c r="O4967" t="inlineStr">
        <is>
          <t>AI</t>
        </is>
      </c>
    </row>
    <row r="4968">
      <c r="A4968" t="inlineStr">
        <is>
          <t>PT Salim Ivomas Pratama Tbk</t>
        </is>
      </c>
      <c r="B4968" t="inlineStr">
        <is>
          <t>SIMP_2024_AR.pdf</t>
        </is>
      </c>
      <c r="C4968" t="n">
        <v>2024</v>
      </c>
      <c r="D4968" t="inlineStr">
        <is>
          <t>Asset</t>
        </is>
      </c>
      <c r="E4968" t="inlineStr">
        <is>
          <t>North Sumatra Planted Area</t>
        </is>
      </c>
      <c r="F4968" t="n">
        <v>37228</v>
      </c>
      <c r="G4968" t="inlineStr">
        <is>
          <t>ha</t>
        </is>
      </c>
      <c r="H4968" t="n">
        <v>7</v>
      </c>
      <c r="I4968" t="inlineStr">
        <is>
          <t>North Sumatra 37.228 36.903 36.473 Sumatera Utara</t>
        </is>
      </c>
      <c r="J4968" t="inlineStr">
        <is>
          <t>High</t>
        </is>
      </c>
      <c r="M4968" t="inlineStr">
        <is>
          <t>LLM</t>
        </is>
      </c>
      <c r="N4968" t="inlineStr">
        <is>
          <t>2026-04-19</t>
        </is>
      </c>
      <c r="O4968" t="inlineStr">
        <is>
          <t>AI</t>
        </is>
      </c>
    </row>
    <row r="4969">
      <c r="A4969" t="inlineStr">
        <is>
          <t>PT Salim Ivomas Pratama Tbk</t>
        </is>
      </c>
      <c r="B4969" t="inlineStr">
        <is>
          <t>SIMP_2024_AR.pdf</t>
        </is>
      </c>
      <c r="C4969" t="n">
        <v>2024</v>
      </c>
      <c r="D4969" t="inlineStr">
        <is>
          <t>Asset</t>
        </is>
      </c>
      <c r="E4969" t="inlineStr">
        <is>
          <t>South Sumatra Planted Area</t>
        </is>
      </c>
      <c r="F4969" t="n">
        <v>95014</v>
      </c>
      <c r="G4969" t="inlineStr">
        <is>
          <t>ha</t>
        </is>
      </c>
      <c r="H4969" t="n">
        <v>7</v>
      </c>
      <c r="I4969" t="inlineStr">
        <is>
          <t>South Sumatra 95.014 94.532 95.919 Sumatera Selatan</t>
        </is>
      </c>
      <c r="J4969" t="inlineStr">
        <is>
          <t>High</t>
        </is>
      </c>
      <c r="M4969" t="inlineStr">
        <is>
          <t>LLM</t>
        </is>
      </c>
      <c r="N4969" t="inlineStr">
        <is>
          <t>2026-04-19</t>
        </is>
      </c>
      <c r="O4969" t="inlineStr">
        <is>
          <t>AI</t>
        </is>
      </c>
    </row>
    <row r="4970">
      <c r="A4970" t="inlineStr">
        <is>
          <t>PT Salim Ivomas Pratama Tbk</t>
        </is>
      </c>
      <c r="B4970" t="inlineStr">
        <is>
          <t>SIMP_2024_AR.pdf</t>
        </is>
      </c>
      <c r="C4970" t="n">
        <v>2024</v>
      </c>
      <c r="D4970" t="inlineStr">
        <is>
          <t>Asset</t>
        </is>
      </c>
      <c r="E4970" t="inlineStr">
        <is>
          <t>West Kalimantan Planted Area</t>
        </is>
      </c>
      <c r="F4970" t="n">
        <v>21722</v>
      </c>
      <c r="G4970" t="inlineStr">
        <is>
          <t>ha</t>
        </is>
      </c>
      <c r="H4970" t="n">
        <v>7</v>
      </c>
      <c r="I4970" t="inlineStr">
        <is>
          <t>West Kalimantan 21.722 24.675 24.742 Kalimantan Barat</t>
        </is>
      </c>
      <c r="J4970" t="inlineStr">
        <is>
          <t>High</t>
        </is>
      </c>
      <c r="M4970" t="inlineStr">
        <is>
          <t>LLM</t>
        </is>
      </c>
      <c r="N4970" t="inlineStr">
        <is>
          <t>2026-04-19</t>
        </is>
      </c>
      <c r="O4970" t="inlineStr">
        <is>
          <t>AI</t>
        </is>
      </c>
    </row>
    <row r="4971">
      <c r="A4971" t="inlineStr">
        <is>
          <t>PT Salim Ivomas Pratama Tbk</t>
        </is>
      </c>
      <c r="B4971" t="inlineStr">
        <is>
          <t>SIMP_2024_AR.pdf</t>
        </is>
      </c>
      <c r="C4971" t="n">
        <v>2024</v>
      </c>
      <c r="D4971" t="inlineStr">
        <is>
          <t>Asset</t>
        </is>
      </c>
      <c r="E4971" t="inlineStr">
        <is>
          <t>East Kalimantan Planted Area</t>
        </is>
      </c>
      <c r="F4971" t="n">
        <v>58851</v>
      </c>
      <c r="G4971" t="inlineStr">
        <is>
          <t>ha</t>
        </is>
      </c>
      <c r="H4971" t="n">
        <v>7</v>
      </c>
      <c r="I4971" t="inlineStr">
        <is>
          <t>East Kalimantan 58.851 61.640 61.651</t>
        </is>
      </c>
      <c r="J4971" t="inlineStr">
        <is>
          <t>High</t>
        </is>
      </c>
      <c r="M4971" t="inlineStr">
        <is>
          <t>LLM</t>
        </is>
      </c>
      <c r="N4971" t="inlineStr">
        <is>
          <t>2026-04-19</t>
        </is>
      </c>
      <c r="O4971" t="inlineStr">
        <is>
          <t>AI</t>
        </is>
      </c>
    </row>
    <row r="4972">
      <c r="A4972" t="inlineStr">
        <is>
          <t>PT Salim Ivomas Pratama Tbk</t>
        </is>
      </c>
      <c r="B4972" t="inlineStr">
        <is>
          <t>SIMP_2024_AR.pdf</t>
        </is>
      </c>
      <c r="C4972" t="n">
        <v>2024</v>
      </c>
      <c r="D4972" t="inlineStr">
        <is>
          <t>Asset</t>
        </is>
      </c>
      <c r="E4972" t="inlineStr">
        <is>
          <t>Central Kalimantan Planted Area</t>
        </is>
      </c>
      <c r="F4972" t="n">
        <v>10965</v>
      </c>
      <c r="G4972" t="inlineStr">
        <is>
          <t>ha</t>
        </is>
      </c>
      <c r="H4972" t="n">
        <v>7</v>
      </c>
      <c r="I4972" t="inlineStr">
        <is>
          <t>Central Kalimantan 10.965 10.841 10.842</t>
        </is>
      </c>
      <c r="J4972" t="inlineStr">
        <is>
          <t>High</t>
        </is>
      </c>
      <c r="M4972" t="inlineStr">
        <is>
          <t>LLM</t>
        </is>
      </c>
      <c r="N4972" t="inlineStr">
        <is>
          <t>2026-04-19</t>
        </is>
      </c>
      <c r="O4972" t="inlineStr">
        <is>
          <t>AI</t>
        </is>
      </c>
    </row>
    <row r="4973">
      <c r="A4973" t="inlineStr">
        <is>
          <t>PT Salim Ivomas Pratama Tbk</t>
        </is>
      </c>
      <c r="B4973" t="inlineStr">
        <is>
          <t>SIMP_2024_AR.pdf</t>
        </is>
      </c>
      <c r="C4973" t="n">
        <v>2024</v>
      </c>
      <c r="D4973" t="inlineStr">
        <is>
          <t>Asset</t>
        </is>
      </c>
      <c r="E4973" t="inlineStr">
        <is>
          <t>Java Planted Area</t>
        </is>
      </c>
      <c r="F4973" t="n">
        <v>3217</v>
      </c>
      <c r="G4973" t="inlineStr">
        <is>
          <t>ha</t>
        </is>
      </c>
      <c r="H4973" t="n">
        <v>7</v>
      </c>
      <c r="I4973" t="inlineStr">
        <is>
          <t>Java 3.217 3.177 3.249 Jawa</t>
        </is>
      </c>
      <c r="J4973" t="inlineStr">
        <is>
          <t>High</t>
        </is>
      </c>
      <c r="M4973" t="inlineStr">
        <is>
          <t>LLM</t>
        </is>
      </c>
      <c r="N4973" t="inlineStr">
        <is>
          <t>2026-04-19</t>
        </is>
      </c>
      <c r="O4973" t="inlineStr">
        <is>
          <t>AI</t>
        </is>
      </c>
    </row>
    <row r="4974">
      <c r="A4974" t="inlineStr">
        <is>
          <t>PT Salim Ivomas Pratama Tbk</t>
        </is>
      </c>
      <c r="B4974" t="inlineStr">
        <is>
          <t>SIMP_2024_AR.pdf</t>
        </is>
      </c>
      <c r="C4974" t="n">
        <v>2024</v>
      </c>
      <c r="D4974" t="inlineStr">
        <is>
          <t>Asset</t>
        </is>
      </c>
      <c r="E4974" t="inlineStr">
        <is>
          <t>Sulawesi Planted Area</t>
        </is>
      </c>
      <c r="F4974" t="n">
        <v>5480</v>
      </c>
      <c r="G4974" t="inlineStr">
        <is>
          <t>ha</t>
        </is>
      </c>
      <c r="H4974" t="n">
        <v>7</v>
      </c>
      <c r="I4974" t="inlineStr">
        <is>
          <t>Sulawesi 5.480 5.486 5.467</t>
        </is>
      </c>
      <c r="J4974" t="inlineStr">
        <is>
          <t>High</t>
        </is>
      </c>
      <c r="M4974" t="inlineStr">
        <is>
          <t>LLM</t>
        </is>
      </c>
      <c r="N4974" t="inlineStr">
        <is>
          <t>2026-04-19</t>
        </is>
      </c>
      <c r="O4974" t="inlineStr">
        <is>
          <t>AI</t>
        </is>
      </c>
    </row>
    <row r="4975">
      <c r="A4975" t="inlineStr">
        <is>
          <t>PT Salim Ivomas Pratama Tbk</t>
        </is>
      </c>
      <c r="B4975" t="inlineStr">
        <is>
          <t>SIMP_2024_AR.pdf</t>
        </is>
      </c>
      <c r="C4975" t="n">
        <v>2024</v>
      </c>
      <c r="D4975" t="inlineStr">
        <is>
          <t>Asset</t>
        </is>
      </c>
      <c r="E4975" t="inlineStr">
        <is>
          <t>Palm Oil Mills Count</t>
        </is>
      </c>
      <c r="F4975" t="n">
        <v>27</v>
      </c>
      <c r="G4975" t="inlineStr">
        <is>
          <t>count</t>
        </is>
      </c>
      <c r="H4975" t="n">
        <v>109</v>
      </c>
      <c r="I4975" t="inlineStr">
        <is>
          <t>Palm Oil Mills 27 Capacity 7.2 Mn Tonnes FFB Per Year</t>
        </is>
      </c>
      <c r="J4975" t="inlineStr">
        <is>
          <t>High</t>
        </is>
      </c>
      <c r="M4975" t="inlineStr">
        <is>
          <t>LLM</t>
        </is>
      </c>
      <c r="N4975" t="inlineStr">
        <is>
          <t>2026-04-19</t>
        </is>
      </c>
      <c r="O4975" t="inlineStr">
        <is>
          <t>AI</t>
        </is>
      </c>
    </row>
    <row r="4976">
      <c r="A4976" t="inlineStr">
        <is>
          <t>PT Salim Ivomas Pratama Tbk</t>
        </is>
      </c>
      <c r="B4976" t="inlineStr">
        <is>
          <t>SIMP_2024_AR.pdf</t>
        </is>
      </c>
      <c r="C4976" t="n">
        <v>2024</v>
      </c>
      <c r="D4976" t="inlineStr">
        <is>
          <t>Asset</t>
        </is>
      </c>
      <c r="E4976" t="inlineStr">
        <is>
          <t>Palm Oil Mills Annual FFB Processing Capacity</t>
        </is>
      </c>
      <c r="F4976" t="n">
        <v>7200000</v>
      </c>
      <c r="G4976" t="inlineStr">
        <is>
          <t>t/year</t>
        </is>
      </c>
      <c r="H4976" t="n">
        <v>109</v>
      </c>
      <c r="I4976" t="inlineStr">
        <is>
          <t>27 palm oil mills across Sumatra and Kalimantan with a total annual Fresh Fruit Bunches (FFB) processing capacity of 7.2 million tonnes</t>
        </is>
      </c>
      <c r="J4976" t="inlineStr">
        <is>
          <t>High</t>
        </is>
      </c>
      <c r="M4976" t="inlineStr">
        <is>
          <t>LLM</t>
        </is>
      </c>
      <c r="N4976" t="inlineStr">
        <is>
          <t>2026-04-19</t>
        </is>
      </c>
      <c r="O4976" t="inlineStr">
        <is>
          <t>AI</t>
        </is>
      </c>
    </row>
    <row r="4977">
      <c r="A4977" t="inlineStr">
        <is>
          <t>PT Salim Ivomas Pratama Tbk</t>
        </is>
      </c>
      <c r="B4977" t="inlineStr">
        <is>
          <t>SIMP_2024_AR.pdf</t>
        </is>
      </c>
      <c r="C4977" t="n">
        <v>2024</v>
      </c>
      <c r="D4977" t="inlineStr">
        <is>
          <t>Asset</t>
        </is>
      </c>
      <c r="E4977" t="inlineStr">
        <is>
          <t>CPO Refineries Count</t>
        </is>
      </c>
      <c r="F4977" t="n">
        <v>5</v>
      </c>
      <c r="G4977" t="inlineStr">
        <is>
          <t>count</t>
        </is>
      </c>
      <c r="H4977" t="n">
        <v>109</v>
      </c>
      <c r="I4977" t="inlineStr">
        <is>
          <t>CPO Refinery 5 Capacity 1.7 Mn Tonnes CPO Per Year</t>
        </is>
      </c>
      <c r="J4977" t="inlineStr">
        <is>
          <t>High</t>
        </is>
      </c>
      <c r="M4977" t="inlineStr">
        <is>
          <t>LLM</t>
        </is>
      </c>
      <c r="N4977" t="inlineStr">
        <is>
          <t>2026-04-19</t>
        </is>
      </c>
      <c r="O4977" t="inlineStr">
        <is>
          <t>AI</t>
        </is>
      </c>
    </row>
    <row r="4978">
      <c r="A4978" t="inlineStr">
        <is>
          <t>PT Salim Ivomas Pratama Tbk</t>
        </is>
      </c>
      <c r="B4978" t="inlineStr">
        <is>
          <t>SIMP_2024_AR.pdf</t>
        </is>
      </c>
      <c r="C4978" t="n">
        <v>2024</v>
      </c>
      <c r="D4978" t="inlineStr">
        <is>
          <t>Asset</t>
        </is>
      </c>
      <c r="E4978" t="inlineStr">
        <is>
          <t>CPO Refinery Annual Capacity</t>
        </is>
      </c>
      <c r="F4978" t="n">
        <v>1700000</v>
      </c>
      <c r="G4978" t="inlineStr">
        <is>
          <t>t/year</t>
        </is>
      </c>
      <c r="H4978" t="n">
        <v>109</v>
      </c>
      <c r="I4978" t="inlineStr">
        <is>
          <t>5 CPO refineries with a total annual CPO processing capacity of 1.7 million tonnes</t>
        </is>
      </c>
      <c r="J4978" t="inlineStr">
        <is>
          <t>High</t>
        </is>
      </c>
      <c r="M4978" t="inlineStr">
        <is>
          <t>LLM</t>
        </is>
      </c>
      <c r="N4978" t="inlineStr">
        <is>
          <t>2026-04-19</t>
        </is>
      </c>
      <c r="O4978" t="inlineStr">
        <is>
          <t>AI</t>
        </is>
      </c>
    </row>
    <row r="4979">
      <c r="A4979" t="inlineStr">
        <is>
          <t>PT Salim Ivomas Pratama Tbk</t>
        </is>
      </c>
      <c r="B4979" t="inlineStr">
        <is>
          <t>SIMP_2024_AR.pdf</t>
        </is>
      </c>
      <c r="C4979" t="n">
        <v>2024</v>
      </c>
      <c r="D4979" t="inlineStr">
        <is>
          <t>Asset</t>
        </is>
      </c>
      <c r="E4979" t="inlineStr">
        <is>
          <t>Sugar Mills &amp; Refineries Count</t>
        </is>
      </c>
      <c r="F4979" t="n">
        <v>2</v>
      </c>
      <c r="G4979" t="inlineStr">
        <is>
          <t>count</t>
        </is>
      </c>
      <c r="H4979" t="n">
        <v>109</v>
      </c>
      <c r="I4979" t="inlineStr">
        <is>
          <t>Sugar Mills &amp; Refineries 2 Capacity 2.2 Mn Tonnes Sugar Cane Per Year</t>
        </is>
      </c>
      <c r="J4979" t="inlineStr">
        <is>
          <t>High</t>
        </is>
      </c>
      <c r="M4979" t="inlineStr">
        <is>
          <t>LLM</t>
        </is>
      </c>
      <c r="N4979" t="inlineStr">
        <is>
          <t>2026-04-19</t>
        </is>
      </c>
      <c r="O4979" t="inlineStr">
        <is>
          <t>AI</t>
        </is>
      </c>
    </row>
    <row r="4980">
      <c r="A4980" t="inlineStr">
        <is>
          <t>PT Salim Ivomas Pratama Tbk</t>
        </is>
      </c>
      <c r="B4980" t="inlineStr">
        <is>
          <t>SIMP_2024_AR.pdf</t>
        </is>
      </c>
      <c r="C4980" t="n">
        <v>2024</v>
      </c>
      <c r="D4980" t="inlineStr">
        <is>
          <t>Asset</t>
        </is>
      </c>
      <c r="E4980" t="inlineStr">
        <is>
          <t>Sugar Mill Capacity</t>
        </is>
      </c>
      <c r="F4980" t="n">
        <v>2200000</v>
      </c>
      <c r="G4980" t="inlineStr">
        <is>
          <t>t cane/year</t>
        </is>
      </c>
      <c r="H4980" t="n">
        <v>109</v>
      </c>
      <c r="I4980" t="inlineStr">
        <is>
          <t>2 sugar mills and refineries... 8,000 TCD and 4,000 TCD</t>
        </is>
      </c>
      <c r="J4980" t="inlineStr">
        <is>
          <t>High</t>
        </is>
      </c>
      <c r="M4980" t="inlineStr">
        <is>
          <t>LLM</t>
        </is>
      </c>
      <c r="N4980" t="inlineStr">
        <is>
          <t>2026-04-19</t>
        </is>
      </c>
      <c r="O4980" t="inlineStr">
        <is>
          <t>AI</t>
        </is>
      </c>
    </row>
    <row r="4981">
      <c r="A4981" t="inlineStr">
        <is>
          <t>PT Salim Ivomas Pratama Tbk</t>
        </is>
      </c>
      <c r="B4981" t="inlineStr">
        <is>
          <t>SIMP_2024_AR.pdf</t>
        </is>
      </c>
      <c r="C4981" t="n">
        <v>2024</v>
      </c>
      <c r="D4981" t="inlineStr">
        <is>
          <t>Asset</t>
        </is>
      </c>
      <c r="E4981" t="inlineStr">
        <is>
          <t>Crumb Rubber Processing Facilities</t>
        </is>
      </c>
      <c r="F4981" t="n">
        <v>3</v>
      </c>
      <c r="G4981" t="inlineStr">
        <is>
          <t>count</t>
        </is>
      </c>
      <c r="H4981" t="n">
        <v>11</v>
      </c>
      <c r="I4981" t="inlineStr">
        <is>
          <t>3 crumb rubber processing facilities</t>
        </is>
      </c>
      <c r="J4981" t="inlineStr">
        <is>
          <t>High</t>
        </is>
      </c>
      <c r="M4981" t="inlineStr">
        <is>
          <t>LLM</t>
        </is>
      </c>
      <c r="N4981" t="inlineStr">
        <is>
          <t>2026-04-19</t>
        </is>
      </c>
      <c r="O4981" t="inlineStr">
        <is>
          <t>AI</t>
        </is>
      </c>
    </row>
    <row r="4982">
      <c r="A4982" t="inlineStr">
        <is>
          <t>PT Salim Ivomas Pratama Tbk</t>
        </is>
      </c>
      <c r="B4982" t="inlineStr">
        <is>
          <t>SIMP_2024_AR.pdf</t>
        </is>
      </c>
      <c r="C4982" t="n">
        <v>2024</v>
      </c>
      <c r="D4982" t="inlineStr">
        <is>
          <t>Asset</t>
        </is>
      </c>
      <c r="E4982" t="inlineStr">
        <is>
          <t>Sheet Rubber Processing Facilities</t>
        </is>
      </c>
      <c r="F4982" t="n">
        <v>2</v>
      </c>
      <c r="G4982" t="inlineStr">
        <is>
          <t>count</t>
        </is>
      </c>
      <c r="H4982" t="n">
        <v>11</v>
      </c>
      <c r="I4982" t="inlineStr">
        <is>
          <t>2 sheet rubber processing facilities</t>
        </is>
      </c>
      <c r="J4982" t="inlineStr">
        <is>
          <t>High</t>
        </is>
      </c>
      <c r="M4982" t="inlineStr">
        <is>
          <t>LLM</t>
        </is>
      </c>
      <c r="N4982" t="inlineStr">
        <is>
          <t>2026-04-19</t>
        </is>
      </c>
      <c r="O4982" t="inlineStr">
        <is>
          <t>AI</t>
        </is>
      </c>
    </row>
    <row r="4983">
      <c r="A4983" t="inlineStr">
        <is>
          <t>PT Salim Ivomas Pratama Tbk</t>
        </is>
      </c>
      <c r="B4983" t="inlineStr">
        <is>
          <t>SIMP_2024_AR.pdf</t>
        </is>
      </c>
      <c r="C4983" t="n">
        <v>2024</v>
      </c>
      <c r="D4983" t="inlineStr">
        <is>
          <t>Asset</t>
        </is>
      </c>
      <c r="E4983" t="inlineStr">
        <is>
          <t>Cocoa Factory</t>
        </is>
      </c>
      <c r="F4983" t="n">
        <v>1</v>
      </c>
      <c r="G4983" t="inlineStr">
        <is>
          <t>count</t>
        </is>
      </c>
      <c r="H4983" t="n">
        <v>11</v>
      </c>
      <c r="I4983" t="inlineStr">
        <is>
          <t>a cocoa factory</t>
        </is>
      </c>
      <c r="J4983" t="inlineStr">
        <is>
          <t>High</t>
        </is>
      </c>
      <c r="M4983" t="inlineStr">
        <is>
          <t>LLM</t>
        </is>
      </c>
      <c r="N4983" t="inlineStr">
        <is>
          <t>2026-04-19</t>
        </is>
      </c>
      <c r="O4983" t="inlineStr">
        <is>
          <t>AI</t>
        </is>
      </c>
    </row>
    <row r="4984">
      <c r="A4984" t="inlineStr">
        <is>
          <t>PT Salim Ivomas Pratama Tbk</t>
        </is>
      </c>
      <c r="B4984" t="inlineStr">
        <is>
          <t>SIMP_2024_AR.pdf</t>
        </is>
      </c>
      <c r="C4984" t="n">
        <v>2024</v>
      </c>
      <c r="D4984" t="inlineStr">
        <is>
          <t>Asset</t>
        </is>
      </c>
      <c r="E4984" t="inlineStr">
        <is>
          <t>Tea Factory</t>
        </is>
      </c>
      <c r="F4984" t="n">
        <v>1</v>
      </c>
      <c r="G4984" t="inlineStr">
        <is>
          <t>count</t>
        </is>
      </c>
      <c r="H4984" t="n">
        <v>11</v>
      </c>
      <c r="I4984" t="inlineStr">
        <is>
          <t>a tea factory</t>
        </is>
      </c>
      <c r="J4984" t="inlineStr">
        <is>
          <t>High</t>
        </is>
      </c>
      <c r="M4984" t="inlineStr">
        <is>
          <t>LLM</t>
        </is>
      </c>
      <c r="N4984" t="inlineStr">
        <is>
          <t>2026-04-19</t>
        </is>
      </c>
      <c r="O4984" t="inlineStr">
        <is>
          <t>AI</t>
        </is>
      </c>
    </row>
    <row r="4985">
      <c r="A4985" t="inlineStr">
        <is>
          <t>PT Salim Ivomas Pratama Tbk</t>
        </is>
      </c>
      <c r="B4985" t="inlineStr">
        <is>
          <t>SIMP_2024_AR.pdf</t>
        </is>
      </c>
      <c r="C4985" t="n">
        <v>2024</v>
      </c>
      <c r="D4985" t="inlineStr">
        <is>
          <t>Asset</t>
        </is>
      </c>
      <c r="E4985" t="inlineStr">
        <is>
          <t>R&amp;D / Seed Breeding Centres</t>
        </is>
      </c>
      <c r="F4985" t="n">
        <v>2</v>
      </c>
      <c r="G4985" t="inlineStr">
        <is>
          <t>count</t>
        </is>
      </c>
      <c r="H4985" t="n">
        <v>11</v>
      </c>
      <c r="I4985" t="inlineStr">
        <is>
          <t>Sumatra Bioscience (SumBio) at Bah Lias, North Sumatra and PT Sarana Inti Pratama (SAIN) at Pekanbaru, Riau</t>
        </is>
      </c>
      <c r="J4985" t="inlineStr">
        <is>
          <t>High</t>
        </is>
      </c>
      <c r="M4985" t="inlineStr">
        <is>
          <t>LLM</t>
        </is>
      </c>
      <c r="N4985" t="inlineStr">
        <is>
          <t>2026-04-19</t>
        </is>
      </c>
      <c r="O4985" t="inlineStr">
        <is>
          <t>AI</t>
        </is>
      </c>
    </row>
    <row r="4986">
      <c r="A4986" t="inlineStr">
        <is>
          <t>PT Salim Ivomas Pratama Tbk</t>
        </is>
      </c>
      <c r="B4986" t="inlineStr">
        <is>
          <t>SIMP_2024_AR.pdf</t>
        </is>
      </c>
      <c r="C4986" t="n">
        <v>2024</v>
      </c>
      <c r="D4986" t="inlineStr">
        <is>
          <t>Operation</t>
        </is>
      </c>
      <c r="E4986" t="inlineStr">
        <is>
          <t>FFB Total Production</t>
        </is>
      </c>
      <c r="F4986" t="n">
        <v>3645</v>
      </c>
      <c r="G4986" t="inlineStr">
        <is>
          <t>thousand t</t>
        </is>
      </c>
      <c r="H4986" t="n">
        <v>7</v>
      </c>
      <c r="I4986" t="inlineStr">
        <is>
          <t>Total Fresh Fruit Bunches (FFB) 3.645 3.632 3.741 Total Tandan Buah Segar (TBS)</t>
        </is>
      </c>
      <c r="J4986" t="inlineStr">
        <is>
          <t>High</t>
        </is>
      </c>
      <c r="M4986" t="inlineStr">
        <is>
          <t>LLM</t>
        </is>
      </c>
      <c r="N4986" t="inlineStr">
        <is>
          <t>2026-04-19</t>
        </is>
      </c>
      <c r="O4986" t="inlineStr">
        <is>
          <t>AI</t>
        </is>
      </c>
    </row>
    <row r="4987">
      <c r="A4987" t="inlineStr">
        <is>
          <t>PT Salim Ivomas Pratama Tbk</t>
        </is>
      </c>
      <c r="B4987" t="inlineStr">
        <is>
          <t>SIMP_2024_AR.pdf</t>
        </is>
      </c>
      <c r="C4987" t="n">
        <v>2024</v>
      </c>
      <c r="D4987" t="inlineStr">
        <is>
          <t>Operation</t>
        </is>
      </c>
      <c r="E4987" t="inlineStr">
        <is>
          <t>FFB Nucleus Production</t>
        </is>
      </c>
      <c r="F4987" t="n">
        <v>2758</v>
      </c>
      <c r="G4987" t="inlineStr">
        <is>
          <t>thousand t</t>
        </is>
      </c>
      <c r="H4987" t="n">
        <v>7</v>
      </c>
      <c r="I4987" t="inlineStr">
        <is>
          <t>FFB - Nucleus 2.758 2.784 2.812 TBS Inti</t>
        </is>
      </c>
      <c r="J4987" t="inlineStr">
        <is>
          <t>High</t>
        </is>
      </c>
      <c r="M4987" t="inlineStr">
        <is>
          <t>LLM</t>
        </is>
      </c>
      <c r="N4987" t="inlineStr">
        <is>
          <t>2026-04-19</t>
        </is>
      </c>
      <c r="O4987" t="inlineStr">
        <is>
          <t>AI</t>
        </is>
      </c>
    </row>
    <row r="4988">
      <c r="A4988" t="inlineStr">
        <is>
          <t>PT Salim Ivomas Pratama Tbk</t>
        </is>
      </c>
      <c r="B4988" t="inlineStr">
        <is>
          <t>SIMP_2024_AR.pdf</t>
        </is>
      </c>
      <c r="C4988" t="n">
        <v>2024</v>
      </c>
      <c r="D4988" t="inlineStr">
        <is>
          <t>Operation</t>
        </is>
      </c>
      <c r="E4988" t="inlineStr">
        <is>
          <t>CPO Production</t>
        </is>
      </c>
      <c r="F4988" t="n">
        <v>706</v>
      </c>
      <c r="G4988" t="inlineStr">
        <is>
          <t>thousand t</t>
        </is>
      </c>
      <c r="H4988" t="n">
        <v>7</v>
      </c>
      <c r="I4988" t="inlineStr">
        <is>
          <t>Crude Palm Oil (CPO) 706 708 736 Minyak Sawit (CPO)</t>
        </is>
      </c>
      <c r="J4988" t="inlineStr">
        <is>
          <t>High</t>
        </is>
      </c>
      <c r="M4988" t="inlineStr">
        <is>
          <t>LLM</t>
        </is>
      </c>
      <c r="N4988" t="inlineStr">
        <is>
          <t>2026-04-19</t>
        </is>
      </c>
      <c r="O4988" t="inlineStr">
        <is>
          <t>AI</t>
        </is>
      </c>
    </row>
    <row r="4989">
      <c r="A4989" t="inlineStr">
        <is>
          <t>PT Salim Ivomas Pratama Tbk</t>
        </is>
      </c>
      <c r="B4989" t="inlineStr">
        <is>
          <t>SIMP_2024_AR.pdf</t>
        </is>
      </c>
      <c r="C4989" t="n">
        <v>2024</v>
      </c>
      <c r="D4989" t="inlineStr">
        <is>
          <t>Operation</t>
        </is>
      </c>
      <c r="E4989" t="inlineStr">
        <is>
          <t>Palm Kernel Production</t>
        </is>
      </c>
      <c r="F4989" t="n">
        <v>167</v>
      </c>
      <c r="G4989" t="inlineStr">
        <is>
          <t>thousand t</t>
        </is>
      </c>
      <c r="H4989" t="n">
        <v>7</v>
      </c>
      <c r="I4989" t="inlineStr">
        <is>
          <t>Palm Kernel (PK) 167 175 180 Inti Sawit (PK)</t>
        </is>
      </c>
      <c r="J4989" t="inlineStr">
        <is>
          <t>High</t>
        </is>
      </c>
      <c r="M4989" t="inlineStr">
        <is>
          <t>LLM</t>
        </is>
      </c>
      <c r="N4989" t="inlineStr">
        <is>
          <t>2026-04-19</t>
        </is>
      </c>
      <c r="O4989" t="inlineStr">
        <is>
          <t>AI</t>
        </is>
      </c>
    </row>
    <row r="4990">
      <c r="A4990" t="inlineStr">
        <is>
          <t>PT Salim Ivomas Pratama Tbk</t>
        </is>
      </c>
      <c r="B4990" t="inlineStr">
        <is>
          <t>SIMP_2024_AR.pdf</t>
        </is>
      </c>
      <c r="C4990" t="n">
        <v>2024</v>
      </c>
      <c r="D4990" t="inlineStr">
        <is>
          <t>Operation</t>
        </is>
      </c>
      <c r="E4990" t="inlineStr">
        <is>
          <t>Rubber Production</t>
        </is>
      </c>
      <c r="F4990" t="n">
        <v>4.8</v>
      </c>
      <c r="G4990" t="inlineStr">
        <is>
          <t>thousand t</t>
        </is>
      </c>
      <c r="H4990" t="n">
        <v>7</v>
      </c>
      <c r="I4990" t="inlineStr">
        <is>
          <t>Rubber 4,8 4,7 5,2 Karet</t>
        </is>
      </c>
      <c r="J4990" t="inlineStr">
        <is>
          <t>High</t>
        </is>
      </c>
      <c r="M4990" t="inlineStr">
        <is>
          <t>LLM</t>
        </is>
      </c>
      <c r="N4990" t="inlineStr">
        <is>
          <t>2026-04-19</t>
        </is>
      </c>
      <c r="O4990" t="inlineStr">
        <is>
          <t>AI</t>
        </is>
      </c>
    </row>
    <row r="4991">
      <c r="A4991" t="inlineStr">
        <is>
          <t>PT Salim Ivomas Pratama Tbk</t>
        </is>
      </c>
      <c r="B4991" t="inlineStr">
        <is>
          <t>SIMP_2024_AR.pdf</t>
        </is>
      </c>
      <c r="C4991" t="n">
        <v>2024</v>
      </c>
      <c r="D4991" t="inlineStr">
        <is>
          <t>Operation</t>
        </is>
      </c>
      <c r="E4991" t="inlineStr">
        <is>
          <t>Sugar Production</t>
        </is>
      </c>
      <c r="F4991" t="n">
        <v>54</v>
      </c>
      <c r="G4991" t="inlineStr">
        <is>
          <t>thousand t</t>
        </is>
      </c>
      <c r="H4991" t="n">
        <v>7</v>
      </c>
      <c r="I4991" t="inlineStr">
        <is>
          <t>Sugar1 54 58 57 Gula</t>
        </is>
      </c>
      <c r="J4991" t="inlineStr">
        <is>
          <t>High</t>
        </is>
      </c>
      <c r="M4991" t="inlineStr">
        <is>
          <t>LLM</t>
        </is>
      </c>
      <c r="N4991" t="inlineStr">
        <is>
          <t>2026-04-19</t>
        </is>
      </c>
      <c r="O4991" t="inlineStr">
        <is>
          <t>AI</t>
        </is>
      </c>
    </row>
    <row r="4992">
      <c r="A4992" t="inlineStr">
        <is>
          <t>PT Salim Ivomas Pratama Tbk</t>
        </is>
      </c>
      <c r="B4992" t="inlineStr">
        <is>
          <t>SIMP_2024_AR.pdf</t>
        </is>
      </c>
      <c r="C4992" t="n">
        <v>2024</v>
      </c>
      <c r="D4992" t="inlineStr">
        <is>
          <t>Operation</t>
        </is>
      </c>
      <c r="E4992" t="inlineStr">
        <is>
          <t>CPO Sales Volume</t>
        </is>
      </c>
      <c r="F4992" t="n">
        <v>690</v>
      </c>
      <c r="G4992" t="inlineStr">
        <is>
          <t>thousand t</t>
        </is>
      </c>
      <c r="H4992" t="n">
        <v>7</v>
      </c>
      <c r="I4992" t="inlineStr">
        <is>
          <t>CPO2 690 743 701 - Sales Volume</t>
        </is>
      </c>
      <c r="J4992" t="inlineStr">
        <is>
          <t>High</t>
        </is>
      </c>
      <c r="M4992" t="inlineStr">
        <is>
          <t>LLM</t>
        </is>
      </c>
      <c r="N4992" t="inlineStr">
        <is>
          <t>2026-04-19</t>
        </is>
      </c>
      <c r="O4992" t="inlineStr">
        <is>
          <t>AI</t>
        </is>
      </c>
    </row>
    <row r="4993">
      <c r="A4993" t="inlineStr">
        <is>
          <t>PT Salim Ivomas Pratama Tbk</t>
        </is>
      </c>
      <c r="B4993" t="inlineStr">
        <is>
          <t>SIMP_2024_AR.pdf</t>
        </is>
      </c>
      <c r="C4993" t="n">
        <v>2024</v>
      </c>
      <c r="D4993" t="inlineStr">
        <is>
          <t>Operation</t>
        </is>
      </c>
      <c r="E4993" t="inlineStr">
        <is>
          <t>PK and PK-derivatives Sales Volume</t>
        </is>
      </c>
      <c r="F4993" t="n">
        <v>159</v>
      </c>
      <c r="G4993" t="inlineStr">
        <is>
          <t>thousand t</t>
        </is>
      </c>
      <c r="H4993" t="n">
        <v>7</v>
      </c>
      <c r="I4993" t="inlineStr">
        <is>
          <t>PK and PK Related Products3 159 184 166 (including PKO and PKE)</t>
        </is>
      </c>
      <c r="J4993" t="inlineStr">
        <is>
          <t>High</t>
        </is>
      </c>
      <c r="M4993" t="inlineStr">
        <is>
          <t>LLM</t>
        </is>
      </c>
      <c r="N4993" t="inlineStr">
        <is>
          <t>2026-04-19</t>
        </is>
      </c>
      <c r="O4993" t="inlineStr">
        <is>
          <t>AI</t>
        </is>
      </c>
    </row>
    <row r="4994">
      <c r="A4994" t="inlineStr">
        <is>
          <t>PT Salim Ivomas Pratama Tbk</t>
        </is>
      </c>
      <c r="B4994" t="inlineStr">
        <is>
          <t>SIMP_2024_AR.pdf</t>
        </is>
      </c>
      <c r="C4994" t="n">
        <v>2024</v>
      </c>
      <c r="D4994" t="inlineStr">
        <is>
          <t>Operation</t>
        </is>
      </c>
      <c r="E4994" t="inlineStr">
        <is>
          <t>Oil Palm Seeds Sales</t>
        </is>
      </c>
      <c r="F4994" t="n">
        <v>10.4</v>
      </c>
      <c r="G4994" t="inlineStr">
        <is>
          <t>mn units</t>
        </is>
      </c>
      <c r="H4994" t="n">
        <v>7</v>
      </c>
      <c r="I4994" t="inlineStr">
        <is>
          <t>Oil Palm Seeds 10,4 9,7 9,3 (million units) Benih Bibit Kelapa Sawit</t>
        </is>
      </c>
      <c r="J4994" t="inlineStr">
        <is>
          <t>High</t>
        </is>
      </c>
      <c r="M4994" t="inlineStr">
        <is>
          <t>LLM</t>
        </is>
      </c>
      <c r="N4994" t="inlineStr">
        <is>
          <t>2026-04-19</t>
        </is>
      </c>
      <c r="O4994" t="inlineStr">
        <is>
          <t>AI</t>
        </is>
      </c>
    </row>
    <row r="4995">
      <c r="A4995" t="inlineStr">
        <is>
          <t>PT Salim Ivomas Pratama Tbk</t>
        </is>
      </c>
      <c r="B4995" t="inlineStr">
        <is>
          <t>SIMP_2024_AR.pdf</t>
        </is>
      </c>
      <c r="C4995" t="n">
        <v>2024</v>
      </c>
      <c r="D4995" t="inlineStr">
        <is>
          <t>Operation</t>
        </is>
      </c>
      <c r="E4995" t="inlineStr">
        <is>
          <t>Avg Domestic CPO Price (KPB)</t>
        </is>
      </c>
      <c r="F4995" t="n">
        <v>13190</v>
      </c>
      <c r="G4995" t="inlineStr">
        <is>
          <t>Rp/kg</t>
        </is>
      </c>
      <c r="H4995" t="n">
        <v>23</v>
      </c>
      <c r="I4995" t="inlineStr">
        <is>
          <t>domestic CPO prices (KPB) rose 17% to an average of Rp13,190 per kg in 2024</t>
        </is>
      </c>
      <c r="J4995" t="inlineStr">
        <is>
          <t>High</t>
        </is>
      </c>
      <c r="M4995" t="inlineStr">
        <is>
          <t>LLM</t>
        </is>
      </c>
      <c r="N4995" t="inlineStr">
        <is>
          <t>2026-04-19</t>
        </is>
      </c>
      <c r="O4995" t="inlineStr">
        <is>
          <t>AI</t>
        </is>
      </c>
    </row>
    <row r="4996">
      <c r="A4996" t="inlineStr">
        <is>
          <t>PT Salim Ivomas Pratama Tbk</t>
        </is>
      </c>
      <c r="B4996" t="inlineStr">
        <is>
          <t>SIMP_2024_AR.pdf</t>
        </is>
      </c>
      <c r="C4996" t="n">
        <v>2024</v>
      </c>
      <c r="D4996" t="inlineStr">
        <is>
          <t>Operation</t>
        </is>
      </c>
      <c r="E4996" t="inlineStr">
        <is>
          <t>Avg International CPO Price (CIF Rotterdam)</t>
        </is>
      </c>
      <c r="F4996" t="n">
        <v>1113</v>
      </c>
      <c r="G4996" t="inlineStr">
        <is>
          <t>USD/t</t>
        </is>
      </c>
      <c r="H4996" t="n">
        <v>23</v>
      </c>
      <c r="I4996" t="inlineStr">
        <is>
          <t>international Crude Palm Oil (CPO) prices (CIF Rotterdam) climbed 15% to an average of USD1,113 per tonne</t>
        </is>
      </c>
      <c r="J4996" t="inlineStr">
        <is>
          <t>High</t>
        </is>
      </c>
      <c r="M4996" t="inlineStr">
        <is>
          <t>LLM</t>
        </is>
      </c>
      <c r="N4996" t="inlineStr">
        <is>
          <t>2026-04-19</t>
        </is>
      </c>
      <c r="O4996" t="inlineStr">
        <is>
          <t>AI</t>
        </is>
      </c>
    </row>
    <row r="4997">
      <c r="A4997" t="inlineStr">
        <is>
          <t>PT Salim Ivomas Pratama Tbk</t>
        </is>
      </c>
      <c r="B4997" t="inlineStr">
        <is>
          <t>SIMP_2024_AR.pdf</t>
        </is>
      </c>
      <c r="C4997" t="n">
        <v>2024</v>
      </c>
      <c r="D4997" t="inlineStr">
        <is>
          <t>Operation</t>
        </is>
      </c>
      <c r="E4997" t="inlineStr">
        <is>
          <t>Plantations Division Sales Growth</t>
        </is>
      </c>
      <c r="F4997" t="n">
        <v>0.1</v>
      </c>
      <c r="G4997" t="inlineStr">
        <is>
          <t>%</t>
        </is>
      </c>
      <c r="H4997" t="n">
        <v>24</v>
      </c>
      <c r="I4997" t="inlineStr">
        <is>
          <t>Plantations and Edible Oils &amp; Fats Divisions' sales rose 10% and 9% compared to previous year</t>
        </is>
      </c>
      <c r="J4997" t="inlineStr">
        <is>
          <t>High</t>
        </is>
      </c>
      <c r="M4997" t="inlineStr">
        <is>
          <t>LLM</t>
        </is>
      </c>
      <c r="N4997" t="inlineStr">
        <is>
          <t>2026-04-19</t>
        </is>
      </c>
      <c r="O4997" t="inlineStr">
        <is>
          <t>AI</t>
        </is>
      </c>
    </row>
    <row r="4998">
      <c r="A4998" t="inlineStr">
        <is>
          <t>PT Salim Ivomas Pratama Tbk</t>
        </is>
      </c>
      <c r="B4998" t="inlineStr">
        <is>
          <t>SIMP_2024_AR.pdf</t>
        </is>
      </c>
      <c r="C4998" t="n">
        <v>2024</v>
      </c>
      <c r="D4998" t="inlineStr">
        <is>
          <t>Operation</t>
        </is>
      </c>
      <c r="E4998" t="inlineStr">
        <is>
          <t>Edible Oils &amp; Fats Division Sales Growth</t>
        </is>
      </c>
      <c r="F4998" t="n">
        <v>0.09</v>
      </c>
      <c r="G4998" t="inlineStr">
        <is>
          <t>%</t>
        </is>
      </c>
      <c r="H4998" t="n">
        <v>24</v>
      </c>
      <c r="I4998" t="inlineStr">
        <is>
          <t>Plantations and Edible Oils &amp; Fats Divisions' sales rose 10% and 9%</t>
        </is>
      </c>
      <c r="J4998" t="inlineStr">
        <is>
          <t>High</t>
        </is>
      </c>
      <c r="M4998" t="inlineStr">
        <is>
          <t>LLM</t>
        </is>
      </c>
      <c r="N4998" t="inlineStr">
        <is>
          <t>2026-04-19</t>
        </is>
      </c>
      <c r="O4998" t="inlineStr">
        <is>
          <t>AI</t>
        </is>
      </c>
    </row>
    <row r="4999">
      <c r="A4999" t="inlineStr">
        <is>
          <t>PT Salim Ivomas Pratama Tbk</t>
        </is>
      </c>
      <c r="B4999" t="inlineStr">
        <is>
          <t>SIMP_2024_AR.pdf</t>
        </is>
      </c>
      <c r="C4999" t="n">
        <v>2024</v>
      </c>
      <c r="D4999" t="inlineStr">
        <is>
          <t>ESG</t>
        </is>
      </c>
      <c r="E4999" t="inlineStr">
        <is>
          <t>ISPO-Certified CPO Production</t>
        </is>
      </c>
      <c r="F4999" t="n">
        <v>481000</v>
      </c>
      <c r="G4999" t="inlineStr">
        <is>
          <t>t</t>
        </is>
      </c>
      <c r="H4999" t="n">
        <v>22</v>
      </c>
      <c r="I4999" t="inlineStr">
        <is>
          <t>SIMP Group's ISPO-certified CPO production reached 481,000 tonnes, or 84% of total nucleus CPO production</t>
        </is>
      </c>
      <c r="J4999" t="inlineStr">
        <is>
          <t>High</t>
        </is>
      </c>
      <c r="M4999" t="inlineStr">
        <is>
          <t>LLM</t>
        </is>
      </c>
      <c r="N4999" t="inlineStr">
        <is>
          <t>2026-04-19</t>
        </is>
      </c>
      <c r="O4999" t="inlineStr">
        <is>
          <t>AI</t>
        </is>
      </c>
    </row>
    <row r="5000">
      <c r="A5000" t="inlineStr">
        <is>
          <t>PT Salim Ivomas Pratama Tbk</t>
        </is>
      </c>
      <c r="B5000" t="inlineStr">
        <is>
          <t>SIMP_2024_AR.pdf</t>
        </is>
      </c>
      <c r="C5000" t="n">
        <v>2024</v>
      </c>
      <c r="D5000" t="inlineStr">
        <is>
          <t>ESG</t>
        </is>
      </c>
      <c r="E5000" t="inlineStr">
        <is>
          <t>ISPO Certification Target</t>
        </is>
      </c>
      <c r="F5000" t="n">
        <v>1</v>
      </c>
      <c r="G5000" t="inlineStr">
        <is>
          <t>%</t>
        </is>
      </c>
      <c r="H5000" t="n">
        <v>22</v>
      </c>
      <c r="I5000" t="inlineStr">
        <is>
          <t>committed to achieving 100% ISPO certification</t>
        </is>
      </c>
      <c r="J5000" t="inlineStr">
        <is>
          <t>High</t>
        </is>
      </c>
      <c r="M5000" t="inlineStr">
        <is>
          <t>LLM</t>
        </is>
      </c>
      <c r="N5000" t="inlineStr">
        <is>
          <t>2026-04-19</t>
        </is>
      </c>
      <c r="O5000" t="inlineStr">
        <is>
          <t>AI</t>
        </is>
      </c>
    </row>
    <row r="5001">
      <c r="A5001" t="inlineStr">
        <is>
          <t>PT Salim Ivomas Pratama Tbk</t>
        </is>
      </c>
      <c r="B5001" t="inlineStr">
        <is>
          <t>SIMP_2024_AR.pdf</t>
        </is>
      </c>
      <c r="C5001" t="n">
        <v>2024</v>
      </c>
      <c r="D5001" t="inlineStr">
        <is>
          <t>ESG</t>
        </is>
      </c>
      <c r="E5001" t="inlineStr">
        <is>
          <t>TCFD Framework Adoption</t>
        </is>
      </c>
      <c r="F5001" t="inlineStr">
        <is>
          <t>TCFD-aligned reporting</t>
        </is>
      </c>
      <c r="G5001" t="inlineStr">
        <is>
          <t>text</t>
        </is>
      </c>
      <c r="H5001" t="n">
        <v>22</v>
      </c>
      <c r="I5001" t="inlineStr">
        <is>
          <t>incorporates the Task Force on Climate-related Financial Disclosures (TCFD) framework</t>
        </is>
      </c>
      <c r="J5001" t="inlineStr">
        <is>
          <t>High</t>
        </is>
      </c>
      <c r="M5001" t="inlineStr">
        <is>
          <t>LLM</t>
        </is>
      </c>
      <c r="N5001" t="inlineStr">
        <is>
          <t>2026-04-19</t>
        </is>
      </c>
      <c r="O5001" t="inlineStr">
        <is>
          <t>AI</t>
        </is>
      </c>
    </row>
    <row r="5002">
      <c r="A5002" t="inlineStr">
        <is>
          <t>PT Sinar Mas Agro Resources and Technology Tbk</t>
        </is>
      </c>
      <c r="B5002" t="inlineStr">
        <is>
          <t>SMAR_2022_AR.pdf</t>
        </is>
      </c>
      <c r="C5002" t="n">
        <v>2022</v>
      </c>
      <c r="D5002" t="inlineStr">
        <is>
          <t>Company</t>
        </is>
      </c>
      <c r="E5002" t="inlineStr">
        <is>
          <t>Company Name</t>
        </is>
      </c>
      <c r="F5002" t="inlineStr">
        <is>
          <t>PT Sinar Mas Agro Resources and Technology Tbk</t>
        </is>
      </c>
      <c r="G5002" t="inlineStr">
        <is>
          <t>text</t>
        </is>
      </c>
      <c r="H5002" t="n">
        <v>1</v>
      </c>
      <c r="I5002" t="inlineStr">
        <is>
          <t>PT SINAR MAS AGRO RESOURCES AND TECHNOLOGY TBK - Annual and Sustainability Report 2022</t>
        </is>
      </c>
      <c r="J5002" t="inlineStr">
        <is>
          <t>High</t>
        </is>
      </c>
      <c r="M5002" t="inlineStr">
        <is>
          <t>LLM</t>
        </is>
      </c>
      <c r="N5002" t="inlineStr">
        <is>
          <t>2026-04-19</t>
        </is>
      </c>
      <c r="O5002" t="inlineStr">
        <is>
          <t>AI</t>
        </is>
      </c>
    </row>
    <row r="5003">
      <c r="A5003" t="inlineStr">
        <is>
          <t>PT Sinar Mas Agro Resources and Technology Tbk</t>
        </is>
      </c>
      <c r="B5003" t="inlineStr">
        <is>
          <t>SMAR_2022_AR.pdf</t>
        </is>
      </c>
      <c r="C5003" t="n">
        <v>2022</v>
      </c>
      <c r="D5003" t="inlineStr">
        <is>
          <t>Company</t>
        </is>
      </c>
      <c r="E5003" t="inlineStr">
        <is>
          <t>Controlling Shareholder</t>
        </is>
      </c>
      <c r="F5003" t="inlineStr">
        <is>
          <t>PT Purimas Sasmita 92.40%</t>
        </is>
      </c>
      <c r="G5003" t="inlineStr">
        <is>
          <t>%</t>
        </is>
      </c>
      <c r="H5003" t="n">
        <v>153</v>
      </c>
      <c r="I5003" t="inlineStr">
        <is>
          <t>PT Purimas Sasmita 2,653,897,571 92.40%</t>
        </is>
      </c>
      <c r="J5003" t="inlineStr">
        <is>
          <t>High</t>
        </is>
      </c>
      <c r="M5003" t="inlineStr">
        <is>
          <t>LLM</t>
        </is>
      </c>
      <c r="N5003" t="inlineStr">
        <is>
          <t>2026-04-19</t>
        </is>
      </c>
      <c r="O5003" t="inlineStr">
        <is>
          <t>AI</t>
        </is>
      </c>
    </row>
    <row r="5004">
      <c r="A5004" t="inlineStr">
        <is>
          <t>PT Sinar Mas Agro Resources and Technology Tbk</t>
        </is>
      </c>
      <c r="B5004" t="inlineStr">
        <is>
          <t>SMAR_2022_AR.pdf</t>
        </is>
      </c>
      <c r="C5004" t="n">
        <v>2022</v>
      </c>
      <c r="D5004" t="inlineStr">
        <is>
          <t>Company</t>
        </is>
      </c>
      <c r="E5004" t="inlineStr">
        <is>
          <t>Public Float</t>
        </is>
      </c>
      <c r="F5004" t="n">
        <v>0.076</v>
      </c>
      <c r="G5004" t="inlineStr">
        <is>
          <t>%</t>
        </is>
      </c>
      <c r="H5004" t="n">
        <v>153</v>
      </c>
      <c r="I5004" t="inlineStr">
        <is>
          <t>Lain-lain (masing-masing dengan kepemilikan di bawah 5%) 218,295,795 7.60%</t>
        </is>
      </c>
      <c r="J5004" t="inlineStr">
        <is>
          <t>High</t>
        </is>
      </c>
      <c r="M5004" t="inlineStr">
        <is>
          <t>LLM</t>
        </is>
      </c>
      <c r="N5004" t="inlineStr">
        <is>
          <t>2026-04-19</t>
        </is>
      </c>
      <c r="O5004" t="inlineStr">
        <is>
          <t>AI</t>
        </is>
      </c>
    </row>
    <row r="5005">
      <c r="A5005" t="inlineStr">
        <is>
          <t>PT Sinar Mas Agro Resources and Technology Tbk</t>
        </is>
      </c>
      <c r="B5005" t="inlineStr">
        <is>
          <t>SMAR_2022_AR.pdf</t>
        </is>
      </c>
      <c r="C5005" t="n">
        <v>2022</v>
      </c>
      <c r="D5005" t="inlineStr">
        <is>
          <t>Company</t>
        </is>
      </c>
      <c r="E5005" t="inlineStr">
        <is>
          <t>Parent Group (GAR)</t>
        </is>
      </c>
      <c r="F5005" t="inlineStr">
        <is>
          <t>Golden Agri-Resources Ltd</t>
        </is>
      </c>
      <c r="G5005" t="inlineStr">
        <is>
          <t>text</t>
        </is>
      </c>
      <c r="H5005" t="n">
        <v>10</v>
      </c>
      <c r="I5005" t="inlineStr">
        <is>
          <t>Bersama dengan perusahaan induk, Golden Agri-Resources Ltd</t>
        </is>
      </c>
      <c r="J5005" t="inlineStr">
        <is>
          <t>High</t>
        </is>
      </c>
      <c r="M5005" t="inlineStr">
        <is>
          <t>LLM</t>
        </is>
      </c>
      <c r="N5005" t="inlineStr">
        <is>
          <t>2026-04-19</t>
        </is>
      </c>
      <c r="O5005" t="inlineStr">
        <is>
          <t>AI</t>
        </is>
      </c>
    </row>
    <row r="5006">
      <c r="A5006" t="inlineStr">
        <is>
          <t>PT Sinar Mas Agro Resources and Technology Tbk</t>
        </is>
      </c>
      <c r="B5006" t="inlineStr">
        <is>
          <t>SMAR_2022_AR.pdf</t>
        </is>
      </c>
      <c r="C5006" t="n">
        <v>2022</v>
      </c>
      <c r="D5006" t="inlineStr">
        <is>
          <t>Company</t>
        </is>
      </c>
      <c r="E5006" t="inlineStr">
        <is>
          <t>Total Employees</t>
        </is>
      </c>
      <c r="F5006" t="n">
        <v>27500</v>
      </c>
      <c r="G5006" t="inlineStr">
        <is>
          <t>people</t>
        </is>
      </c>
      <c r="H5006" t="n">
        <v>10</v>
      </c>
      <c r="I5006" t="inlineStr">
        <is>
          <t>Jumlah pegawai orang 27,500 28,900 29,900</t>
        </is>
      </c>
      <c r="J5006" t="inlineStr">
        <is>
          <t>High</t>
        </is>
      </c>
      <c r="M5006" t="inlineStr">
        <is>
          <t>LLM</t>
        </is>
      </c>
      <c r="N5006" t="inlineStr">
        <is>
          <t>2026-04-19</t>
        </is>
      </c>
      <c r="O5006" t="inlineStr">
        <is>
          <t>AI</t>
        </is>
      </c>
    </row>
    <row r="5007">
      <c r="A5007" t="inlineStr">
        <is>
          <t>PT Sinar Mas Agro Resources and Technology Tbk</t>
        </is>
      </c>
      <c r="B5007" t="inlineStr">
        <is>
          <t>SMAR_2022_AR.pdf</t>
        </is>
      </c>
      <c r="C5007" t="n">
        <v>2022</v>
      </c>
      <c r="D5007" t="inlineStr">
        <is>
          <t>Company</t>
        </is>
      </c>
      <c r="E5007" t="inlineStr">
        <is>
          <t>Female Employees</t>
        </is>
      </c>
      <c r="F5007" t="n">
        <v>7700</v>
      </c>
      <c r="G5007" t="inlineStr">
        <is>
          <t>people</t>
        </is>
      </c>
      <c r="H5007" t="n">
        <v>10</v>
      </c>
      <c r="I5007" t="inlineStr">
        <is>
          <t>Jumlah pegawai wanita 7,700 8,200 8,600</t>
        </is>
      </c>
      <c r="J5007" t="inlineStr">
        <is>
          <t>High</t>
        </is>
      </c>
      <c r="M5007" t="inlineStr">
        <is>
          <t>LLM</t>
        </is>
      </c>
      <c r="N5007" t="inlineStr">
        <is>
          <t>2026-04-19</t>
        </is>
      </c>
      <c r="O5007" t="inlineStr">
        <is>
          <t>AI</t>
        </is>
      </c>
    </row>
    <row r="5008">
      <c r="A5008" t="inlineStr">
        <is>
          <t>PT Sinar Mas Agro Resources and Technology Tbk</t>
        </is>
      </c>
      <c r="B5008" t="inlineStr">
        <is>
          <t>SMAR_2022_AR.pdf</t>
        </is>
      </c>
      <c r="C5008" t="n">
        <v>2022</v>
      </c>
      <c r="D5008" t="inlineStr">
        <is>
          <t>Financial</t>
        </is>
      </c>
      <c r="E5008" t="inlineStr">
        <is>
          <t>Net Sales</t>
        </is>
      </c>
      <c r="F5008" t="n">
        <v>75046</v>
      </c>
      <c r="G5008" t="inlineStr">
        <is>
          <t>IDR bn</t>
        </is>
      </c>
      <c r="H5008" t="n">
        <v>8</v>
      </c>
      <c r="I5008" t="inlineStr">
        <is>
          <t>Penjualan bersih 75,046 57,004 40,434</t>
        </is>
      </c>
      <c r="J5008" t="inlineStr">
        <is>
          <t>High</t>
        </is>
      </c>
      <c r="M5008" t="inlineStr">
        <is>
          <t>LLM</t>
        </is>
      </c>
      <c r="N5008" t="inlineStr">
        <is>
          <t>2026-04-19</t>
        </is>
      </c>
      <c r="O5008" t="inlineStr">
        <is>
          <t>AI</t>
        </is>
      </c>
    </row>
    <row r="5009">
      <c r="A5009" t="inlineStr">
        <is>
          <t>PT Sinar Mas Agro Resources and Technology Tbk</t>
        </is>
      </c>
      <c r="B5009" t="inlineStr">
        <is>
          <t>SMAR_2022_AR.pdf</t>
        </is>
      </c>
      <c r="C5009" t="n">
        <v>2022</v>
      </c>
      <c r="D5009" t="inlineStr">
        <is>
          <t>Financial</t>
        </is>
      </c>
      <c r="E5009" t="inlineStr">
        <is>
          <t>Gross Profit</t>
        </is>
      </c>
      <c r="F5009" t="n">
        <v>13312</v>
      </c>
      <c r="G5009" t="inlineStr">
        <is>
          <t>IDR bn</t>
        </is>
      </c>
      <c r="H5009" t="n">
        <v>8</v>
      </c>
      <c r="I5009" t="inlineStr">
        <is>
          <t>Laba kotor 13,312 10,957 5,877</t>
        </is>
      </c>
      <c r="J5009" t="inlineStr">
        <is>
          <t>High</t>
        </is>
      </c>
      <c r="M5009" t="inlineStr">
        <is>
          <t>LLM</t>
        </is>
      </c>
      <c r="N5009" t="inlineStr">
        <is>
          <t>2026-04-19</t>
        </is>
      </c>
      <c r="O5009" t="inlineStr">
        <is>
          <t>AI</t>
        </is>
      </c>
    </row>
    <row r="5010">
      <c r="A5010" t="inlineStr">
        <is>
          <t>PT Sinar Mas Agro Resources and Technology Tbk</t>
        </is>
      </c>
      <c r="B5010" t="inlineStr">
        <is>
          <t>SMAR_2022_AR.pdf</t>
        </is>
      </c>
      <c r="C5010" t="n">
        <v>2022</v>
      </c>
      <c r="D5010" t="inlineStr">
        <is>
          <t>Financial</t>
        </is>
      </c>
      <c r="E5010" t="inlineStr">
        <is>
          <t>EBITDA</t>
        </is>
      </c>
      <c r="F5010" t="n">
        <v>9531</v>
      </c>
      <c r="G5010" t="inlineStr">
        <is>
          <t>IDR bn</t>
        </is>
      </c>
      <c r="H5010" t="n">
        <v>8</v>
      </c>
      <c r="I5010" t="inlineStr">
        <is>
          <t>EBITDA1 9,531 6,118 4,094</t>
        </is>
      </c>
      <c r="J5010" t="inlineStr">
        <is>
          <t>High</t>
        </is>
      </c>
      <c r="M5010" t="inlineStr">
        <is>
          <t>LLM</t>
        </is>
      </c>
      <c r="N5010" t="inlineStr">
        <is>
          <t>2026-04-19</t>
        </is>
      </c>
      <c r="O5010" t="inlineStr">
        <is>
          <t>AI</t>
        </is>
      </c>
    </row>
    <row r="5011">
      <c r="A5011" t="inlineStr">
        <is>
          <t>PT Sinar Mas Agro Resources and Technology Tbk</t>
        </is>
      </c>
      <c r="B5011" t="inlineStr">
        <is>
          <t>SMAR_2022_AR.pdf</t>
        </is>
      </c>
      <c r="C5011" t="n">
        <v>2022</v>
      </c>
      <c r="D5011" t="inlineStr">
        <is>
          <t>Financial</t>
        </is>
      </c>
      <c r="E5011" t="inlineStr">
        <is>
          <t>EBIT (Profit from Operations)</t>
        </is>
      </c>
      <c r="F5011" t="n">
        <v>6601</v>
      </c>
      <c r="G5011" t="inlineStr">
        <is>
          <t>IDR bn</t>
        </is>
      </c>
      <c r="H5011" t="n">
        <v>178</v>
      </c>
      <c r="I5011" t="inlineStr">
        <is>
          <t>LABA USAHA 6,600,885 mn</t>
        </is>
      </c>
      <c r="J5011" t="inlineStr">
        <is>
          <t>High</t>
        </is>
      </c>
      <c r="M5011" t="inlineStr">
        <is>
          <t>LLM</t>
        </is>
      </c>
      <c r="N5011" t="inlineStr">
        <is>
          <t>2026-04-19</t>
        </is>
      </c>
      <c r="O5011" t="inlineStr">
        <is>
          <t>AI</t>
        </is>
      </c>
    </row>
    <row r="5012">
      <c r="A5012" t="inlineStr">
        <is>
          <t>PT Sinar Mas Agro Resources and Technology Tbk</t>
        </is>
      </c>
      <c r="B5012" t="inlineStr">
        <is>
          <t>SMAR_2022_AR.pdf</t>
        </is>
      </c>
      <c r="C5012" t="n">
        <v>2022</v>
      </c>
      <c r="D5012" t="inlineStr">
        <is>
          <t>Financial</t>
        </is>
      </c>
      <c r="E5012" t="inlineStr">
        <is>
          <t>Cost of Goods Sold</t>
        </is>
      </c>
      <c r="F5012" t="n">
        <v>61734</v>
      </c>
      <c r="G5012" t="inlineStr">
        <is>
          <t>IDR bn</t>
        </is>
      </c>
      <c r="H5012" t="n">
        <v>178</v>
      </c>
      <c r="I5012" t="inlineStr">
        <is>
          <t>BEBAN POKOK PENJUALAN 61,733,885 mn</t>
        </is>
      </c>
      <c r="J5012" t="inlineStr">
        <is>
          <t>High</t>
        </is>
      </c>
      <c r="M5012" t="inlineStr">
        <is>
          <t>LLM</t>
        </is>
      </c>
      <c r="N5012" t="inlineStr">
        <is>
          <t>2026-04-19</t>
        </is>
      </c>
      <c r="O5012" t="inlineStr">
        <is>
          <t>AI</t>
        </is>
      </c>
    </row>
    <row r="5013">
      <c r="A5013" t="inlineStr">
        <is>
          <t>PT Sinar Mas Agro Resources and Technology Tbk</t>
        </is>
      </c>
      <c r="B5013" t="inlineStr">
        <is>
          <t>SMAR_2022_AR.pdf</t>
        </is>
      </c>
      <c r="C5013" t="n">
        <v>2022</v>
      </c>
      <c r="D5013" t="inlineStr">
        <is>
          <t>Financial</t>
        </is>
      </c>
      <c r="E5013" t="inlineStr">
        <is>
          <t>Selling Expense</t>
        </is>
      </c>
      <c r="F5013" t="n">
        <v>5418</v>
      </c>
      <c r="G5013" t="inlineStr">
        <is>
          <t>IDR bn</t>
        </is>
      </c>
      <c r="H5013" t="n">
        <v>178</v>
      </c>
      <c r="I5013" t="inlineStr">
        <is>
          <t>Penjualan 5,417,766 mn</t>
        </is>
      </c>
      <c r="J5013" t="inlineStr">
        <is>
          <t>High</t>
        </is>
      </c>
      <c r="M5013" t="inlineStr">
        <is>
          <t>LLM</t>
        </is>
      </c>
      <c r="N5013" t="inlineStr">
        <is>
          <t>2026-04-19</t>
        </is>
      </c>
      <c r="O5013" t="inlineStr">
        <is>
          <t>AI</t>
        </is>
      </c>
    </row>
    <row r="5014">
      <c r="A5014" t="inlineStr">
        <is>
          <t>PT Sinar Mas Agro Resources and Technology Tbk</t>
        </is>
      </c>
      <c r="B5014" t="inlineStr">
        <is>
          <t>SMAR_2022_AR.pdf</t>
        </is>
      </c>
      <c r="C5014" t="n">
        <v>2022</v>
      </c>
      <c r="D5014" t="inlineStr">
        <is>
          <t>Financial</t>
        </is>
      </c>
      <c r="E5014" t="inlineStr">
        <is>
          <t>G&amp;A Expense</t>
        </is>
      </c>
      <c r="F5014" t="n">
        <v>1305</v>
      </c>
      <c r="G5014" t="inlineStr">
        <is>
          <t>IDR bn</t>
        </is>
      </c>
      <c r="H5014" t="n">
        <v>178</v>
      </c>
      <c r="I5014" t="inlineStr">
        <is>
          <t>Umum dan administrasi 1,305,228 mn</t>
        </is>
      </c>
      <c r="J5014" t="inlineStr">
        <is>
          <t>High</t>
        </is>
      </c>
      <c r="M5014" t="inlineStr">
        <is>
          <t>LLM</t>
        </is>
      </c>
      <c r="N5014" t="inlineStr">
        <is>
          <t>2026-04-19</t>
        </is>
      </c>
      <c r="O5014" t="inlineStr">
        <is>
          <t>AI</t>
        </is>
      </c>
    </row>
    <row r="5015">
      <c r="A5015" t="inlineStr">
        <is>
          <t>PT Sinar Mas Agro Resources and Technology Tbk</t>
        </is>
      </c>
      <c r="B5015" t="inlineStr">
        <is>
          <t>SMAR_2022_AR.pdf</t>
        </is>
      </c>
      <c r="C5015" t="n">
        <v>2022</v>
      </c>
      <c r="D5015" t="inlineStr">
        <is>
          <t>Financial</t>
        </is>
      </c>
      <c r="E5015" t="inlineStr">
        <is>
          <t>Interest Expense</t>
        </is>
      </c>
      <c r="F5015" t="n">
        <v>1341</v>
      </c>
      <c r="G5015" t="inlineStr">
        <is>
          <t>IDR bn</t>
        </is>
      </c>
      <c r="H5015" t="n">
        <v>178</v>
      </c>
      <c r="I5015" t="inlineStr">
        <is>
          <t>Beban bunga dan keuangan lainnya (1,341,133) mn</t>
        </is>
      </c>
      <c r="J5015" t="inlineStr">
        <is>
          <t>High</t>
        </is>
      </c>
      <c r="M5015" t="inlineStr">
        <is>
          <t>LLM</t>
        </is>
      </c>
      <c r="N5015" t="inlineStr">
        <is>
          <t>2026-04-19</t>
        </is>
      </c>
      <c r="O5015" t="inlineStr">
        <is>
          <t>AI</t>
        </is>
      </c>
    </row>
    <row r="5016">
      <c r="A5016" t="inlineStr">
        <is>
          <t>PT Sinar Mas Agro Resources and Technology Tbk</t>
        </is>
      </c>
      <c r="B5016" t="inlineStr">
        <is>
          <t>SMAR_2022_AR.pdf</t>
        </is>
      </c>
      <c r="C5016" t="n">
        <v>2022</v>
      </c>
      <c r="D5016" t="inlineStr">
        <is>
          <t>Financial</t>
        </is>
      </c>
      <c r="E5016" t="inlineStr">
        <is>
          <t>Share of Associates Profit</t>
        </is>
      </c>
      <c r="F5016" t="n">
        <v>828</v>
      </c>
      <c r="G5016" t="inlineStr">
        <is>
          <t>IDR bn</t>
        </is>
      </c>
      <c r="H5016" t="n">
        <v>178</v>
      </c>
      <c r="I5016" t="inlineStr">
        <is>
          <t>Ekuitas pada laba bersih entitas asosiasi - bersih 827,679 mn</t>
        </is>
      </c>
      <c r="J5016" t="inlineStr">
        <is>
          <t>High</t>
        </is>
      </c>
      <c r="M5016" t="inlineStr">
        <is>
          <t>LLM</t>
        </is>
      </c>
      <c r="N5016" t="inlineStr">
        <is>
          <t>2026-04-19</t>
        </is>
      </c>
      <c r="O5016" t="inlineStr">
        <is>
          <t>AI</t>
        </is>
      </c>
    </row>
    <row r="5017">
      <c r="A5017" t="inlineStr">
        <is>
          <t>PT Sinar Mas Agro Resources and Technology Tbk</t>
        </is>
      </c>
      <c r="B5017" t="inlineStr">
        <is>
          <t>SMAR_2022_AR.pdf</t>
        </is>
      </c>
      <c r="C5017" t="n">
        <v>2022</v>
      </c>
      <c r="D5017" t="inlineStr">
        <is>
          <t>Financial</t>
        </is>
      </c>
      <c r="E5017" t="inlineStr">
        <is>
          <t>Profit Before Tax</t>
        </is>
      </c>
      <c r="F5017" t="n">
        <v>6806</v>
      </c>
      <c r="G5017" t="inlineStr">
        <is>
          <t>IDR bn</t>
        </is>
      </c>
      <c r="H5017" t="n">
        <v>178</v>
      </c>
      <c r="I5017" t="inlineStr">
        <is>
          <t>LABA SEBELUM PAJAK 6,805,971 mn</t>
        </is>
      </c>
      <c r="J5017" t="inlineStr">
        <is>
          <t>High</t>
        </is>
      </c>
      <c r="M5017" t="inlineStr">
        <is>
          <t>LLM</t>
        </is>
      </c>
      <c r="N5017" t="inlineStr">
        <is>
          <t>2026-04-19</t>
        </is>
      </c>
      <c r="O5017" t="inlineStr">
        <is>
          <t>AI</t>
        </is>
      </c>
    </row>
    <row r="5018">
      <c r="A5018" t="inlineStr">
        <is>
          <t>PT Sinar Mas Agro Resources and Technology Tbk</t>
        </is>
      </c>
      <c r="B5018" t="inlineStr">
        <is>
          <t>SMAR_2022_AR.pdf</t>
        </is>
      </c>
      <c r="C5018" t="n">
        <v>2022</v>
      </c>
      <c r="D5018" t="inlineStr">
        <is>
          <t>Financial</t>
        </is>
      </c>
      <c r="E5018" t="inlineStr">
        <is>
          <t>Tax Expense</t>
        </is>
      </c>
      <c r="F5018" t="n">
        <v>1301</v>
      </c>
      <c r="G5018" t="inlineStr">
        <is>
          <t>IDR bn</t>
        </is>
      </c>
      <c r="H5018" t="n">
        <v>178</v>
      </c>
      <c r="I5018" t="inlineStr">
        <is>
          <t>Jumlah Beban Pajak (1,301,015) mn</t>
        </is>
      </c>
      <c r="J5018" t="inlineStr">
        <is>
          <t>High</t>
        </is>
      </c>
      <c r="M5018" t="inlineStr">
        <is>
          <t>LLM</t>
        </is>
      </c>
      <c r="N5018" t="inlineStr">
        <is>
          <t>2026-04-19</t>
        </is>
      </c>
      <c r="O5018" t="inlineStr">
        <is>
          <t>AI</t>
        </is>
      </c>
    </row>
    <row r="5019">
      <c r="A5019" t="inlineStr">
        <is>
          <t>PT Sinar Mas Agro Resources and Technology Tbk</t>
        </is>
      </c>
      <c r="B5019" t="inlineStr">
        <is>
          <t>SMAR_2022_AR.pdf</t>
        </is>
      </c>
      <c r="C5019" t="n">
        <v>2022</v>
      </c>
      <c r="D5019" t="inlineStr">
        <is>
          <t>Financial</t>
        </is>
      </c>
      <c r="E5019" t="inlineStr">
        <is>
          <t>Net Profit</t>
        </is>
      </c>
      <c r="F5019" t="n">
        <v>5505</v>
      </c>
      <c r="G5019" t="inlineStr">
        <is>
          <t>IDR bn</t>
        </is>
      </c>
      <c r="H5019" t="n">
        <v>8</v>
      </c>
      <c r="I5019" t="inlineStr">
        <is>
          <t>Laba bersih tahun berjalan 5,505 2,829 1,540</t>
        </is>
      </c>
      <c r="J5019" t="inlineStr">
        <is>
          <t>High</t>
        </is>
      </c>
      <c r="M5019" t="inlineStr">
        <is>
          <t>LLM</t>
        </is>
      </c>
      <c r="N5019" t="inlineStr">
        <is>
          <t>2026-04-19</t>
        </is>
      </c>
      <c r="O5019" t="inlineStr">
        <is>
          <t>AI</t>
        </is>
      </c>
    </row>
    <row r="5020">
      <c r="A5020" t="inlineStr">
        <is>
          <t>PT Sinar Mas Agro Resources and Technology Tbk</t>
        </is>
      </c>
      <c r="B5020" t="inlineStr">
        <is>
          <t>SMAR_2022_AR.pdf</t>
        </is>
      </c>
      <c r="C5020" t="n">
        <v>2022</v>
      </c>
      <c r="D5020" t="inlineStr">
        <is>
          <t>Financial</t>
        </is>
      </c>
      <c r="E5020" t="inlineStr">
        <is>
          <t>Profit Attributable to Parent</t>
        </is>
      </c>
      <c r="F5020" t="n">
        <v>5501</v>
      </c>
      <c r="G5020" t="inlineStr">
        <is>
          <t>IDR bn</t>
        </is>
      </c>
      <c r="H5020" t="n">
        <v>8</v>
      </c>
      <c r="I5020" t="inlineStr">
        <is>
          <t>Pemilik entitas induk 5,501 2,827 1,539</t>
        </is>
      </c>
      <c r="J5020" t="inlineStr">
        <is>
          <t>High</t>
        </is>
      </c>
      <c r="M5020" t="inlineStr">
        <is>
          <t>LLM</t>
        </is>
      </c>
      <c r="N5020" t="inlineStr">
        <is>
          <t>2026-04-19</t>
        </is>
      </c>
      <c r="O5020" t="inlineStr">
        <is>
          <t>AI</t>
        </is>
      </c>
    </row>
    <row r="5021">
      <c r="A5021" t="inlineStr">
        <is>
          <t>PT Sinar Mas Agro Resources and Technology Tbk</t>
        </is>
      </c>
      <c r="B5021" t="inlineStr">
        <is>
          <t>SMAR_2022_AR.pdf</t>
        </is>
      </c>
      <c r="C5021" t="n">
        <v>2022</v>
      </c>
      <c r="D5021" t="inlineStr">
        <is>
          <t>Financial</t>
        </is>
      </c>
      <c r="E5021" t="inlineStr">
        <is>
          <t>Total Assets</t>
        </is>
      </c>
      <c r="F5021" t="n">
        <v>42601</v>
      </c>
      <c r="G5021" t="inlineStr">
        <is>
          <t>IDR bn</t>
        </is>
      </c>
      <c r="H5021" t="n">
        <v>8</v>
      </c>
      <c r="I5021" t="inlineStr">
        <is>
          <t>Jumlah aset 42,601 40,345 35,026</t>
        </is>
      </c>
      <c r="J5021" t="inlineStr">
        <is>
          <t>High</t>
        </is>
      </c>
      <c r="M5021" t="inlineStr">
        <is>
          <t>LLM</t>
        </is>
      </c>
      <c r="N5021" t="inlineStr">
        <is>
          <t>2026-04-19</t>
        </is>
      </c>
      <c r="O5021" t="inlineStr">
        <is>
          <t>AI</t>
        </is>
      </c>
    </row>
    <row r="5022">
      <c r="A5022" t="inlineStr">
        <is>
          <t>PT Sinar Mas Agro Resources and Technology Tbk</t>
        </is>
      </c>
      <c r="B5022" t="inlineStr">
        <is>
          <t>SMAR_2022_AR.pdf</t>
        </is>
      </c>
      <c r="C5022" t="n">
        <v>2022</v>
      </c>
      <c r="D5022" t="inlineStr">
        <is>
          <t>Financial</t>
        </is>
      </c>
      <c r="E5022" t="inlineStr">
        <is>
          <t>Current Assets</t>
        </is>
      </c>
      <c r="F5022" t="n">
        <v>23709</v>
      </c>
      <c r="G5022" t="inlineStr">
        <is>
          <t>IDR bn</t>
        </is>
      </c>
      <c r="H5022" t="n">
        <v>176</v>
      </c>
      <c r="I5022" t="inlineStr">
        <is>
          <t>JUMLAH ASET LANCAR 23,708,820 mn</t>
        </is>
      </c>
      <c r="J5022" t="inlineStr">
        <is>
          <t>High</t>
        </is>
      </c>
      <c r="M5022" t="inlineStr">
        <is>
          <t>LLM</t>
        </is>
      </c>
      <c r="N5022" t="inlineStr">
        <is>
          <t>2026-04-19</t>
        </is>
      </c>
      <c r="O5022" t="inlineStr">
        <is>
          <t>AI</t>
        </is>
      </c>
    </row>
    <row r="5023">
      <c r="A5023" t="inlineStr">
        <is>
          <t>PT Sinar Mas Agro Resources and Technology Tbk</t>
        </is>
      </c>
      <c r="B5023" t="inlineStr">
        <is>
          <t>SMAR_2022_AR.pdf</t>
        </is>
      </c>
      <c r="C5023" t="n">
        <v>2022</v>
      </c>
      <c r="D5023" t="inlineStr">
        <is>
          <t>Financial</t>
        </is>
      </c>
      <c r="E5023" t="inlineStr">
        <is>
          <t>Non-Current Assets</t>
        </is>
      </c>
      <c r="F5023" t="n">
        <v>18892</v>
      </c>
      <c r="G5023" t="inlineStr">
        <is>
          <t>IDR bn</t>
        </is>
      </c>
      <c r="H5023" t="n">
        <v>176</v>
      </c>
      <c r="I5023" t="inlineStr">
        <is>
          <t>JUMLAH ASET TIDAK LANCAR 18,891,994 mn</t>
        </is>
      </c>
      <c r="J5023" t="inlineStr">
        <is>
          <t>High</t>
        </is>
      </c>
      <c r="M5023" t="inlineStr">
        <is>
          <t>LLM</t>
        </is>
      </c>
      <c r="N5023" t="inlineStr">
        <is>
          <t>2026-04-19</t>
        </is>
      </c>
      <c r="O5023" t="inlineStr">
        <is>
          <t>AI</t>
        </is>
      </c>
    </row>
    <row r="5024">
      <c r="A5024" t="inlineStr">
        <is>
          <t>PT Sinar Mas Agro Resources and Technology Tbk</t>
        </is>
      </c>
      <c r="B5024" t="inlineStr">
        <is>
          <t>SMAR_2022_AR.pdf</t>
        </is>
      </c>
      <c r="C5024" t="n">
        <v>2022</v>
      </c>
      <c r="D5024" t="inlineStr">
        <is>
          <t>Financial</t>
        </is>
      </c>
      <c r="E5024" t="inlineStr">
        <is>
          <t>Total Liabilities</t>
        </is>
      </c>
      <c r="F5024" t="n">
        <v>23353</v>
      </c>
      <c r="G5024" t="inlineStr">
        <is>
          <t>IDR bn</t>
        </is>
      </c>
      <c r="H5024" t="n">
        <v>8</v>
      </c>
      <c r="I5024" t="inlineStr">
        <is>
          <t>Jumlah liabilitas 23,353 25,927 22,502</t>
        </is>
      </c>
      <c r="J5024" t="inlineStr">
        <is>
          <t>High</t>
        </is>
      </c>
      <c r="M5024" t="inlineStr">
        <is>
          <t>LLM</t>
        </is>
      </c>
      <c r="N5024" t="inlineStr">
        <is>
          <t>2026-04-19</t>
        </is>
      </c>
      <c r="O5024" t="inlineStr">
        <is>
          <t>AI</t>
        </is>
      </c>
    </row>
    <row r="5025">
      <c r="A5025" t="inlineStr">
        <is>
          <t>PT Sinar Mas Agro Resources and Technology Tbk</t>
        </is>
      </c>
      <c r="B5025" t="inlineStr">
        <is>
          <t>SMAR_2022_AR.pdf</t>
        </is>
      </c>
      <c r="C5025" t="n">
        <v>2022</v>
      </c>
      <c r="D5025" t="inlineStr">
        <is>
          <t>Financial</t>
        </is>
      </c>
      <c r="E5025" t="inlineStr">
        <is>
          <t>Current Liabilities</t>
        </is>
      </c>
      <c r="F5025" t="n">
        <v>12105</v>
      </c>
      <c r="G5025" t="inlineStr">
        <is>
          <t>IDR bn</t>
        </is>
      </c>
      <c r="H5025" t="n">
        <v>177</v>
      </c>
      <c r="I5025" t="inlineStr">
        <is>
          <t>JUMLAH LIABILITAS JANGKA PENDEK 12,104,564 mn</t>
        </is>
      </c>
      <c r="J5025" t="inlineStr">
        <is>
          <t>High</t>
        </is>
      </c>
      <c r="M5025" t="inlineStr">
        <is>
          <t>LLM</t>
        </is>
      </c>
      <c r="N5025" t="inlineStr">
        <is>
          <t>2026-04-19</t>
        </is>
      </c>
      <c r="O5025" t="inlineStr">
        <is>
          <t>AI</t>
        </is>
      </c>
    </row>
    <row r="5026">
      <c r="A5026" t="inlineStr">
        <is>
          <t>PT Sinar Mas Agro Resources and Technology Tbk</t>
        </is>
      </c>
      <c r="B5026" t="inlineStr">
        <is>
          <t>SMAR_2022_AR.pdf</t>
        </is>
      </c>
      <c r="C5026" t="n">
        <v>2022</v>
      </c>
      <c r="D5026" t="inlineStr">
        <is>
          <t>Financial</t>
        </is>
      </c>
      <c r="E5026" t="inlineStr">
        <is>
          <t>Non-Current Liabilities</t>
        </is>
      </c>
      <c r="F5026" t="n">
        <v>11248</v>
      </c>
      <c r="G5026" t="inlineStr">
        <is>
          <t>IDR bn</t>
        </is>
      </c>
      <c r="H5026" t="n">
        <v>177</v>
      </c>
      <c r="I5026" t="inlineStr">
        <is>
          <t>JUMLAH LIABILITAS JANGKA PANJANG 11,248,447 mn</t>
        </is>
      </c>
      <c r="J5026" t="inlineStr">
        <is>
          <t>High</t>
        </is>
      </c>
      <c r="M5026" t="inlineStr">
        <is>
          <t>LLM</t>
        </is>
      </c>
      <c r="N5026" t="inlineStr">
        <is>
          <t>2026-04-19</t>
        </is>
      </c>
      <c r="O5026" t="inlineStr">
        <is>
          <t>AI</t>
        </is>
      </c>
    </row>
    <row r="5027">
      <c r="A5027" t="inlineStr">
        <is>
          <t>PT Sinar Mas Agro Resources and Technology Tbk</t>
        </is>
      </c>
      <c r="B5027" t="inlineStr">
        <is>
          <t>SMAR_2022_AR.pdf</t>
        </is>
      </c>
      <c r="C5027" t="n">
        <v>2022</v>
      </c>
      <c r="D5027" t="inlineStr">
        <is>
          <t>Financial</t>
        </is>
      </c>
      <c r="E5027" t="inlineStr">
        <is>
          <t>Total Equity</t>
        </is>
      </c>
      <c r="F5027" t="n">
        <v>19248</v>
      </c>
      <c r="G5027" t="inlineStr">
        <is>
          <t>IDR bn</t>
        </is>
      </c>
      <c r="H5027" t="n">
        <v>8</v>
      </c>
      <c r="I5027" t="inlineStr">
        <is>
          <t>Jumlah ekuitas 19,248 14,418 12,524</t>
        </is>
      </c>
      <c r="J5027" t="inlineStr">
        <is>
          <t>High</t>
        </is>
      </c>
      <c r="M5027" t="inlineStr">
        <is>
          <t>LLM</t>
        </is>
      </c>
      <c r="N5027" t="inlineStr">
        <is>
          <t>2026-04-19</t>
        </is>
      </c>
      <c r="O5027" t="inlineStr">
        <is>
          <t>AI</t>
        </is>
      </c>
    </row>
    <row r="5028">
      <c r="A5028" t="inlineStr">
        <is>
          <t>PT Sinar Mas Agro Resources and Technology Tbk</t>
        </is>
      </c>
      <c r="B5028" t="inlineStr">
        <is>
          <t>SMAR_2022_AR.pdf</t>
        </is>
      </c>
      <c r="C5028" t="n">
        <v>2022</v>
      </c>
      <c r="D5028" t="inlineStr">
        <is>
          <t>Financial</t>
        </is>
      </c>
      <c r="E5028" t="inlineStr">
        <is>
          <t>Cash &amp; Cash Equivalents</t>
        </is>
      </c>
      <c r="F5028" t="n">
        <v>2480</v>
      </c>
      <c r="G5028" t="inlineStr">
        <is>
          <t>IDR bn</t>
        </is>
      </c>
      <c r="H5028" t="n">
        <v>176</v>
      </c>
      <c r="I5028" t="inlineStr">
        <is>
          <t>Kas dan setara kas 2,479,597 mn</t>
        </is>
      </c>
      <c r="J5028" t="inlineStr">
        <is>
          <t>High</t>
        </is>
      </c>
      <c r="M5028" t="inlineStr">
        <is>
          <t>LLM</t>
        </is>
      </c>
      <c r="N5028" t="inlineStr">
        <is>
          <t>2026-04-19</t>
        </is>
      </c>
      <c r="O5028" t="inlineStr">
        <is>
          <t>AI</t>
        </is>
      </c>
    </row>
    <row r="5029">
      <c r="A5029" t="inlineStr">
        <is>
          <t>PT Sinar Mas Agro Resources and Technology Tbk</t>
        </is>
      </c>
      <c r="B5029" t="inlineStr">
        <is>
          <t>SMAR_2022_AR.pdf</t>
        </is>
      </c>
      <c r="C5029" t="n">
        <v>2022</v>
      </c>
      <c r="D5029" t="inlineStr">
        <is>
          <t>Financial</t>
        </is>
      </c>
      <c r="E5029" t="inlineStr">
        <is>
          <t>Inventories</t>
        </is>
      </c>
      <c r="F5029" t="n">
        <v>8655</v>
      </c>
      <c r="G5029" t="inlineStr">
        <is>
          <t>IDR bn</t>
        </is>
      </c>
      <c r="H5029" t="n">
        <v>176</v>
      </c>
      <c r="I5029" t="inlineStr">
        <is>
          <t>Persediaan 8,655,438 mn</t>
        </is>
      </c>
      <c r="J5029" t="inlineStr">
        <is>
          <t>High</t>
        </is>
      </c>
      <c r="M5029" t="inlineStr">
        <is>
          <t>LLM</t>
        </is>
      </c>
      <c r="N5029" t="inlineStr">
        <is>
          <t>2026-04-19</t>
        </is>
      </c>
      <c r="O5029" t="inlineStr">
        <is>
          <t>AI</t>
        </is>
      </c>
    </row>
    <row r="5030">
      <c r="A5030" t="inlineStr">
        <is>
          <t>PT Sinar Mas Agro Resources and Technology Tbk</t>
        </is>
      </c>
      <c r="B5030" t="inlineStr">
        <is>
          <t>SMAR_2022_AR.pdf</t>
        </is>
      </c>
      <c r="C5030" t="n">
        <v>2022</v>
      </c>
      <c r="D5030" t="inlineStr">
        <is>
          <t>Financial</t>
        </is>
      </c>
      <c r="E5030" t="inlineStr">
        <is>
          <t>Short-term Bank Loans</t>
        </is>
      </c>
      <c r="F5030" t="n">
        <v>3798</v>
      </c>
      <c r="G5030" t="inlineStr">
        <is>
          <t>IDR bn</t>
        </is>
      </c>
      <c r="H5030" t="n">
        <v>177</v>
      </c>
      <c r="I5030" t="inlineStr">
        <is>
          <t>Utang bank jangka pendek 3,797,988 mn</t>
        </is>
      </c>
      <c r="J5030" t="inlineStr">
        <is>
          <t>High</t>
        </is>
      </c>
      <c r="M5030" t="inlineStr">
        <is>
          <t>LLM</t>
        </is>
      </c>
      <c r="N5030" t="inlineStr">
        <is>
          <t>2026-04-19</t>
        </is>
      </c>
      <c r="O5030" t="inlineStr">
        <is>
          <t>AI</t>
        </is>
      </c>
    </row>
    <row r="5031">
      <c r="A5031" t="inlineStr">
        <is>
          <t>PT Sinar Mas Agro Resources and Technology Tbk</t>
        </is>
      </c>
      <c r="B5031" t="inlineStr">
        <is>
          <t>SMAR_2022_AR.pdf</t>
        </is>
      </c>
      <c r="C5031" t="n">
        <v>2022</v>
      </c>
      <c r="D5031" t="inlineStr">
        <is>
          <t>Financial</t>
        </is>
      </c>
      <c r="E5031" t="inlineStr">
        <is>
          <t>Current Portion Long-term Bank Loans</t>
        </is>
      </c>
      <c r="F5031" t="n">
        <v>2478</v>
      </c>
      <c r="G5031" t="inlineStr">
        <is>
          <t>IDR bn</t>
        </is>
      </c>
      <c r="H5031" t="n">
        <v>177</v>
      </c>
      <c r="I5031" t="inlineStr">
        <is>
          <t>Utang bank dan lembaga keuangan lainnya jangka panjang 2,478,431 mn (current)</t>
        </is>
      </c>
      <c r="J5031" t="inlineStr">
        <is>
          <t>High</t>
        </is>
      </c>
      <c r="M5031" t="inlineStr">
        <is>
          <t>LLM</t>
        </is>
      </c>
      <c r="N5031" t="inlineStr">
        <is>
          <t>2026-04-19</t>
        </is>
      </c>
      <c r="O5031" t="inlineStr">
        <is>
          <t>AI</t>
        </is>
      </c>
    </row>
    <row r="5032">
      <c r="A5032" t="inlineStr">
        <is>
          <t>PT Sinar Mas Agro Resources and Technology Tbk</t>
        </is>
      </c>
      <c r="B5032" t="inlineStr">
        <is>
          <t>SMAR_2022_AR.pdf</t>
        </is>
      </c>
      <c r="C5032" t="n">
        <v>2022</v>
      </c>
      <c r="D5032" t="inlineStr">
        <is>
          <t>Financial</t>
        </is>
      </c>
      <c r="E5032" t="inlineStr">
        <is>
          <t>Current Portion Bonds</t>
        </is>
      </c>
      <c r="F5032" t="n">
        <v>1546</v>
      </c>
      <c r="G5032" t="inlineStr">
        <is>
          <t>IDR bn</t>
        </is>
      </c>
      <c r="H5032" t="n">
        <v>177</v>
      </c>
      <c r="I5032" t="inlineStr">
        <is>
          <t>Utang obligasi 1,546,222 mn (current)</t>
        </is>
      </c>
      <c r="J5032" t="inlineStr">
        <is>
          <t>High</t>
        </is>
      </c>
      <c r="M5032" t="inlineStr">
        <is>
          <t>LLM</t>
        </is>
      </c>
      <c r="N5032" t="inlineStr">
        <is>
          <t>2026-04-19</t>
        </is>
      </c>
      <c r="O5032" t="inlineStr">
        <is>
          <t>AI</t>
        </is>
      </c>
    </row>
    <row r="5033">
      <c r="A5033" t="inlineStr">
        <is>
          <t>PT Sinar Mas Agro Resources and Technology Tbk</t>
        </is>
      </c>
      <c r="B5033" t="inlineStr">
        <is>
          <t>SMAR_2022_AR.pdf</t>
        </is>
      </c>
      <c r="C5033" t="n">
        <v>2022</v>
      </c>
      <c r="D5033" t="inlineStr">
        <is>
          <t>Financial</t>
        </is>
      </c>
      <c r="E5033" t="inlineStr">
        <is>
          <t>Long-term Bank Loans</t>
        </is>
      </c>
      <c r="F5033" t="n">
        <v>4289</v>
      </c>
      <c r="G5033" t="inlineStr">
        <is>
          <t>IDR bn</t>
        </is>
      </c>
      <c r="H5033" t="n">
        <v>177</v>
      </c>
      <c r="I5033" t="inlineStr">
        <is>
          <t>Utang bank dan lembaga keuangan lainnya jangka panjang 4,289,184 mn</t>
        </is>
      </c>
      <c r="J5033" t="inlineStr">
        <is>
          <t>High</t>
        </is>
      </c>
      <c r="M5033" t="inlineStr">
        <is>
          <t>LLM</t>
        </is>
      </c>
      <c r="N5033" t="inlineStr">
        <is>
          <t>2026-04-19</t>
        </is>
      </c>
      <c r="O5033" t="inlineStr">
        <is>
          <t>AI</t>
        </is>
      </c>
    </row>
    <row r="5034">
      <c r="A5034" t="inlineStr">
        <is>
          <t>PT Sinar Mas Agro Resources and Technology Tbk</t>
        </is>
      </c>
      <c r="B5034" t="inlineStr">
        <is>
          <t>SMAR_2022_AR.pdf</t>
        </is>
      </c>
      <c r="C5034" t="n">
        <v>2022</v>
      </c>
      <c r="D5034" t="inlineStr">
        <is>
          <t>Financial</t>
        </is>
      </c>
      <c r="E5034" t="inlineStr">
        <is>
          <t>Long-term Bonds</t>
        </is>
      </c>
      <c r="F5034" t="n">
        <v>6056</v>
      </c>
      <c r="G5034" t="inlineStr">
        <is>
          <t>IDR bn</t>
        </is>
      </c>
      <c r="H5034" t="n">
        <v>177</v>
      </c>
      <c r="I5034" t="inlineStr">
        <is>
          <t>Utang obligasi 6,056,436 mn (LT)</t>
        </is>
      </c>
      <c r="J5034" t="inlineStr">
        <is>
          <t>High</t>
        </is>
      </c>
      <c r="M5034" t="inlineStr">
        <is>
          <t>LLM</t>
        </is>
      </c>
      <c r="N5034" t="inlineStr">
        <is>
          <t>2026-04-19</t>
        </is>
      </c>
      <c r="O5034" t="inlineStr">
        <is>
          <t>AI</t>
        </is>
      </c>
    </row>
    <row r="5035">
      <c r="A5035" t="inlineStr">
        <is>
          <t>PT Sinar Mas Agro Resources and Technology Tbk</t>
        </is>
      </c>
      <c r="B5035" t="inlineStr">
        <is>
          <t>SMAR_2022_AR.pdf</t>
        </is>
      </c>
      <c r="C5035" t="n">
        <v>2022</v>
      </c>
      <c r="D5035" t="inlineStr">
        <is>
          <t>Financial</t>
        </is>
      </c>
      <c r="E5035" t="inlineStr">
        <is>
          <t>Gross Debt</t>
        </is>
      </c>
      <c r="F5035" t="n">
        <v>18168</v>
      </c>
      <c r="G5035" t="inlineStr">
        <is>
          <t>IDR bn</t>
        </is>
      </c>
      <c r="H5035" t="n">
        <v>177</v>
      </c>
      <c r="I5035" t="inlineStr">
        <is>
          <t>ST bank 3,798 + LT bank curr 2,478 + bonds curr 1,546 + LT bank 4,289 + bonds LT 6,056 = 18,168</t>
        </is>
      </c>
      <c r="J5035" t="inlineStr">
        <is>
          <t>High</t>
        </is>
      </c>
      <c r="M5035" t="inlineStr">
        <is>
          <t>LLM</t>
        </is>
      </c>
      <c r="N5035" t="inlineStr">
        <is>
          <t>2026-04-19</t>
        </is>
      </c>
      <c r="O5035" t="inlineStr">
        <is>
          <t>AI</t>
        </is>
      </c>
    </row>
    <row r="5036">
      <c r="A5036" t="inlineStr">
        <is>
          <t>PT Sinar Mas Agro Resources and Technology Tbk</t>
        </is>
      </c>
      <c r="B5036" t="inlineStr">
        <is>
          <t>SMAR_2022_AR.pdf</t>
        </is>
      </c>
      <c r="C5036" t="n">
        <v>2022</v>
      </c>
      <c r="D5036" t="inlineStr">
        <is>
          <t>Financial</t>
        </is>
      </c>
      <c r="E5036" t="inlineStr">
        <is>
          <t>CFO</t>
        </is>
      </c>
      <c r="F5036" t="n">
        <v>4283</v>
      </c>
      <c r="G5036" t="inlineStr">
        <is>
          <t>IDR bn</t>
        </is>
      </c>
      <c r="H5036" t="n">
        <v>180</v>
      </c>
      <c r="I5036" t="inlineStr">
        <is>
          <t>Kas Bersih Diperoleh dari Aktivitas Operasi 4,283,273 mn</t>
        </is>
      </c>
      <c r="J5036" t="inlineStr">
        <is>
          <t>High</t>
        </is>
      </c>
      <c r="M5036" t="inlineStr">
        <is>
          <t>LLM</t>
        </is>
      </c>
      <c r="N5036" t="inlineStr">
        <is>
          <t>2026-04-19</t>
        </is>
      </c>
      <c r="O5036" t="inlineStr">
        <is>
          <t>AI</t>
        </is>
      </c>
    </row>
    <row r="5037">
      <c r="A5037" t="inlineStr">
        <is>
          <t>PT Sinar Mas Agro Resources and Technology Tbk</t>
        </is>
      </c>
      <c r="B5037" t="inlineStr">
        <is>
          <t>SMAR_2022_AR.pdf</t>
        </is>
      </c>
      <c r="C5037" t="n">
        <v>2022</v>
      </c>
      <c r="D5037" t="inlineStr">
        <is>
          <t>Financial</t>
        </is>
      </c>
      <c r="E5037" t="inlineStr">
        <is>
          <t>CFI</t>
        </is>
      </c>
      <c r="F5037" t="n">
        <v>-1303</v>
      </c>
      <c r="G5037" t="inlineStr">
        <is>
          <t>IDR bn</t>
        </is>
      </c>
      <c r="H5037" t="n">
        <v>180</v>
      </c>
      <c r="I5037" t="inlineStr">
        <is>
          <t>Kas Bersih Digunakan untuk Aktivitas Investasi (1,302,637) mn</t>
        </is>
      </c>
      <c r="J5037" t="inlineStr">
        <is>
          <t>High</t>
        </is>
      </c>
      <c r="M5037" t="inlineStr">
        <is>
          <t>LLM</t>
        </is>
      </c>
      <c r="N5037" t="inlineStr">
        <is>
          <t>2026-04-19</t>
        </is>
      </c>
      <c r="O5037" t="inlineStr">
        <is>
          <t>AI</t>
        </is>
      </c>
    </row>
    <row r="5038">
      <c r="A5038" t="inlineStr">
        <is>
          <t>PT Sinar Mas Agro Resources and Technology Tbk</t>
        </is>
      </c>
      <c r="B5038" t="inlineStr">
        <is>
          <t>SMAR_2022_AR.pdf</t>
        </is>
      </c>
      <c r="C5038" t="n">
        <v>2022</v>
      </c>
      <c r="D5038" t="inlineStr">
        <is>
          <t>Financial</t>
        </is>
      </c>
      <c r="E5038" t="inlineStr">
        <is>
          <t>CFF</t>
        </is>
      </c>
      <c r="F5038" t="n">
        <v>-3294</v>
      </c>
      <c r="G5038" t="inlineStr">
        <is>
          <t>IDR bn</t>
        </is>
      </c>
      <c r="H5038" t="n">
        <v>180</v>
      </c>
      <c r="I5038" t="inlineStr">
        <is>
          <t>Kas Bersih (Digunakan untuk) Aktivitas Pendanaan (3,294,229) mn</t>
        </is>
      </c>
      <c r="J5038" t="inlineStr">
        <is>
          <t>High</t>
        </is>
      </c>
      <c r="M5038" t="inlineStr">
        <is>
          <t>LLM</t>
        </is>
      </c>
      <c r="N5038" t="inlineStr">
        <is>
          <t>2026-04-19</t>
        </is>
      </c>
      <c r="O5038" t="inlineStr">
        <is>
          <t>AI</t>
        </is>
      </c>
    </row>
    <row r="5039">
      <c r="A5039" t="inlineStr">
        <is>
          <t>PT Sinar Mas Agro Resources and Technology Tbk</t>
        </is>
      </c>
      <c r="B5039" t="inlineStr">
        <is>
          <t>SMAR_2022_AR.pdf</t>
        </is>
      </c>
      <c r="C5039" t="n">
        <v>2022</v>
      </c>
      <c r="D5039" t="inlineStr">
        <is>
          <t>Financial</t>
        </is>
      </c>
      <c r="E5039" t="inlineStr">
        <is>
          <t>Capex Realised</t>
        </is>
      </c>
      <c r="F5039" t="n">
        <v>1279</v>
      </c>
      <c r="G5039" t="inlineStr">
        <is>
          <t>IDR bn</t>
        </is>
      </c>
      <c r="H5039" t="n">
        <v>180</v>
      </c>
      <c r="I5039" t="inlineStr">
        <is>
          <t>Fixed assets 1,194 + bearer plants 85 = 1,279 mn bn</t>
        </is>
      </c>
      <c r="J5039" t="inlineStr">
        <is>
          <t>High</t>
        </is>
      </c>
      <c r="M5039" t="inlineStr">
        <is>
          <t>LLM</t>
        </is>
      </c>
      <c r="N5039" t="inlineStr">
        <is>
          <t>2026-04-19</t>
        </is>
      </c>
      <c r="O5039" t="inlineStr">
        <is>
          <t>AI</t>
        </is>
      </c>
    </row>
    <row r="5040">
      <c r="A5040" t="inlineStr">
        <is>
          <t>PT Sinar Mas Agro Resources and Technology Tbk</t>
        </is>
      </c>
      <c r="B5040" t="inlineStr">
        <is>
          <t>SMAR_2022_AR.pdf</t>
        </is>
      </c>
      <c r="C5040" t="n">
        <v>2022</v>
      </c>
      <c r="D5040" t="inlineStr">
        <is>
          <t>Financial</t>
        </is>
      </c>
      <c r="E5040" t="inlineStr">
        <is>
          <t>Dividend Payments</t>
        </is>
      </c>
      <c r="F5040" t="n">
        <v>890</v>
      </c>
      <c r="G5040" t="inlineStr">
        <is>
          <t>IDR bn</t>
        </is>
      </c>
      <c r="H5040" t="n">
        <v>180</v>
      </c>
      <c r="I5040" t="inlineStr">
        <is>
          <t>Pembayaran dividen (890,087) mn</t>
        </is>
      </c>
      <c r="J5040" t="inlineStr">
        <is>
          <t>High</t>
        </is>
      </c>
      <c r="M5040" t="inlineStr">
        <is>
          <t>LLM</t>
        </is>
      </c>
      <c r="N5040" t="inlineStr">
        <is>
          <t>2026-04-19</t>
        </is>
      </c>
      <c r="O5040" t="inlineStr">
        <is>
          <t>AI</t>
        </is>
      </c>
    </row>
    <row r="5041">
      <c r="A5041" t="inlineStr">
        <is>
          <t>PT Sinar Mas Agro Resources and Technology Tbk</t>
        </is>
      </c>
      <c r="B5041" t="inlineStr">
        <is>
          <t>SMAR_2022_AR.pdf</t>
        </is>
      </c>
      <c r="C5041" t="n">
        <v>2022</v>
      </c>
      <c r="D5041" t="inlineStr">
        <is>
          <t>Financial</t>
        </is>
      </c>
      <c r="E5041" t="inlineStr">
        <is>
          <t>EPS Basic</t>
        </is>
      </c>
      <c r="F5041" t="n">
        <v>1915</v>
      </c>
      <c r="G5041" t="inlineStr">
        <is>
          <t>Rp/share</t>
        </is>
      </c>
      <c r="H5041" t="n">
        <v>8</v>
      </c>
      <c r="I5041" t="inlineStr">
        <is>
          <t>Laba per saham dasar (Rp) 1,915 984 536</t>
        </is>
      </c>
      <c r="J5041" t="inlineStr">
        <is>
          <t>High</t>
        </is>
      </c>
      <c r="M5041" t="inlineStr">
        <is>
          <t>LLM</t>
        </is>
      </c>
      <c r="N5041" t="inlineStr">
        <is>
          <t>2026-04-19</t>
        </is>
      </c>
      <c r="O5041" t="inlineStr">
        <is>
          <t>AI</t>
        </is>
      </c>
    </row>
    <row r="5042">
      <c r="A5042" t="inlineStr">
        <is>
          <t>PT Sinar Mas Agro Resources and Technology Tbk</t>
        </is>
      </c>
      <c r="B5042" t="inlineStr">
        <is>
          <t>SMAR_2022_AR.pdf</t>
        </is>
      </c>
      <c r="C5042" t="n">
        <v>2022</v>
      </c>
      <c r="D5042" t="inlineStr">
        <is>
          <t>Financial</t>
        </is>
      </c>
      <c r="E5042" t="inlineStr">
        <is>
          <t>Interim Dividend 2022</t>
        </is>
      </c>
      <c r="F5042" t="n">
        <v>200</v>
      </c>
      <c r="G5042" t="inlineStr">
        <is>
          <t>Rp/share</t>
        </is>
      </c>
      <c r="H5042" t="n">
        <v>62</v>
      </c>
      <c r="I5042" t="inlineStr">
        <is>
          <t>Pada 24 Agustus 2022, SMART membagikan dividen interim tunai untuk laba tahun 2022 kepada pemegang saham sebesar Rp 200 per saham atau Rp 574 miliar</t>
        </is>
      </c>
      <c r="J5042" t="inlineStr">
        <is>
          <t>High</t>
        </is>
      </c>
      <c r="M5042" t="inlineStr">
        <is>
          <t>LLM</t>
        </is>
      </c>
      <c r="N5042" t="inlineStr">
        <is>
          <t>2026-04-19</t>
        </is>
      </c>
      <c r="O5042" t="inlineStr">
        <is>
          <t>AI</t>
        </is>
      </c>
    </row>
    <row r="5043">
      <c r="A5043" t="inlineStr">
        <is>
          <t>PT Sinar Mas Agro Resources and Technology Tbk</t>
        </is>
      </c>
      <c r="B5043" t="inlineStr">
        <is>
          <t>SMAR_2022_AR.pdf</t>
        </is>
      </c>
      <c r="C5043" t="n">
        <v>2022</v>
      </c>
      <c r="D5043" t="inlineStr">
        <is>
          <t>Financial</t>
        </is>
      </c>
      <c r="E5043" t="inlineStr">
        <is>
          <t>Final Dividend 2022</t>
        </is>
      </c>
      <c r="F5043" t="n">
        <v>370</v>
      </c>
      <c r="G5043" t="inlineStr">
        <is>
          <t>Rp/share</t>
        </is>
      </c>
      <c r="I5043" t="inlineStr">
        <is>
          <t>2024 AR: For 2022 earnings, SMART distributed a total cash dividend of Rp 570/share; Rp 370/share balance paid June 2023</t>
        </is>
      </c>
      <c r="J5043" t="inlineStr">
        <is>
          <t>High</t>
        </is>
      </c>
      <c r="M5043" t="inlineStr">
        <is>
          <t>LLM</t>
        </is>
      </c>
      <c r="N5043" t="inlineStr">
        <is>
          <t>2026-04-19</t>
        </is>
      </c>
      <c r="O5043" t="inlineStr">
        <is>
          <t>AI</t>
        </is>
      </c>
    </row>
    <row r="5044">
      <c r="A5044" t="inlineStr">
        <is>
          <t>PT Sinar Mas Agro Resources and Technology Tbk</t>
        </is>
      </c>
      <c r="B5044" t="inlineStr">
        <is>
          <t>SMAR_2022_AR.pdf</t>
        </is>
      </c>
      <c r="C5044" t="n">
        <v>2022</v>
      </c>
      <c r="D5044" t="inlineStr">
        <is>
          <t>Financial</t>
        </is>
      </c>
      <c r="E5044" t="inlineStr">
        <is>
          <t>Closing Price Q4 2022</t>
        </is>
      </c>
      <c r="F5044" t="n">
        <v>4950</v>
      </c>
      <c r="G5044" t="inlineStr">
        <is>
          <t>Rp/share</t>
        </is>
      </c>
      <c r="H5044" t="n">
        <v>150</v>
      </c>
      <c r="I5044" t="inlineStr">
        <is>
          <t>Kuartal 4 5,975 4,410 4,950 3,541,900 14,217,357,161,700</t>
        </is>
      </c>
      <c r="J5044" t="inlineStr">
        <is>
          <t>High</t>
        </is>
      </c>
      <c r="M5044" t="inlineStr">
        <is>
          <t>LLM</t>
        </is>
      </c>
      <c r="N5044" t="inlineStr">
        <is>
          <t>2026-04-19</t>
        </is>
      </c>
      <c r="O5044" t="inlineStr">
        <is>
          <t>AI</t>
        </is>
      </c>
    </row>
    <row r="5045">
      <c r="A5045" t="inlineStr">
        <is>
          <t>PT Sinar Mas Agro Resources and Technology Tbk</t>
        </is>
      </c>
      <c r="B5045" t="inlineStr">
        <is>
          <t>SMAR_2022_AR.pdf</t>
        </is>
      </c>
      <c r="C5045" t="n">
        <v>2022</v>
      </c>
      <c r="D5045" t="inlineStr">
        <is>
          <t>Financial</t>
        </is>
      </c>
      <c r="E5045" t="inlineStr">
        <is>
          <t>Market Cap Q4 2022</t>
        </is>
      </c>
      <c r="F5045" t="n">
        <v>14217</v>
      </c>
      <c r="G5045" t="inlineStr">
        <is>
          <t>IDR bn</t>
        </is>
      </c>
      <c r="H5045" t="n">
        <v>150</v>
      </c>
      <c r="I5045" t="inlineStr">
        <is>
          <t>Kapitalisasi Pasar 14,217,357,161,700</t>
        </is>
      </c>
      <c r="J5045" t="inlineStr">
        <is>
          <t>High</t>
        </is>
      </c>
      <c r="M5045" t="inlineStr">
        <is>
          <t>LLM</t>
        </is>
      </c>
      <c r="N5045" t="inlineStr">
        <is>
          <t>2026-04-19</t>
        </is>
      </c>
      <c r="O5045" t="inlineStr">
        <is>
          <t>AI</t>
        </is>
      </c>
    </row>
    <row r="5046">
      <c r="A5046" t="inlineStr">
        <is>
          <t>PT Sinar Mas Agro Resources and Technology Tbk</t>
        </is>
      </c>
      <c r="B5046" t="inlineStr">
        <is>
          <t>SMAR_2022_AR.pdf</t>
        </is>
      </c>
      <c r="C5046" t="n">
        <v>2022</v>
      </c>
      <c r="D5046" t="inlineStr">
        <is>
          <t>Financial</t>
        </is>
      </c>
      <c r="E5046" t="inlineStr">
        <is>
          <t>Shares Outstanding</t>
        </is>
      </c>
      <c r="F5046" t="n">
        <v>2872</v>
      </c>
      <c r="G5046" t="inlineStr">
        <is>
          <t>mn</t>
        </is>
      </c>
      <c r="H5046" t="n">
        <v>153</v>
      </c>
      <c r="I5046" t="inlineStr">
        <is>
          <t>Jumlah 2,872,193,366 100.00%</t>
        </is>
      </c>
      <c r="J5046" t="inlineStr">
        <is>
          <t>High</t>
        </is>
      </c>
      <c r="M5046" t="inlineStr">
        <is>
          <t>LLM</t>
        </is>
      </c>
      <c r="N5046" t="inlineStr">
        <is>
          <t>2026-04-19</t>
        </is>
      </c>
      <c r="O5046" t="inlineStr">
        <is>
          <t>AI</t>
        </is>
      </c>
    </row>
    <row r="5047">
      <c r="A5047" t="inlineStr">
        <is>
          <t>PT Sinar Mas Agro Resources and Technology Tbk</t>
        </is>
      </c>
      <c r="B5047" t="inlineStr">
        <is>
          <t>SMAR_2022_AR.pdf</t>
        </is>
      </c>
      <c r="C5047" t="n">
        <v>2022</v>
      </c>
      <c r="D5047" t="inlineStr">
        <is>
          <t>Financial</t>
        </is>
      </c>
      <c r="E5047" t="inlineStr">
        <is>
          <t>Gearing Ratio</t>
        </is>
      </c>
      <c r="F5047" t="n">
        <v>0.95</v>
      </c>
      <c r="G5047" t="inlineStr">
        <is>
          <t>x</t>
        </is>
      </c>
      <c r="H5047" t="n">
        <v>8</v>
      </c>
      <c r="I5047" t="inlineStr">
        <is>
          <t>Rasio pinjaman terhadap ekuitas (kali) 0.95 1.37 1.44</t>
        </is>
      </c>
      <c r="J5047" t="inlineStr">
        <is>
          <t>High</t>
        </is>
      </c>
      <c r="M5047" t="inlineStr">
        <is>
          <t>LLM</t>
        </is>
      </c>
      <c r="N5047" t="inlineStr">
        <is>
          <t>2026-04-19</t>
        </is>
      </c>
      <c r="O5047" t="inlineStr">
        <is>
          <t>AI</t>
        </is>
      </c>
    </row>
    <row r="5048">
      <c r="A5048" t="inlineStr">
        <is>
          <t>PT Sinar Mas Agro Resources and Technology Tbk</t>
        </is>
      </c>
      <c r="B5048" t="inlineStr">
        <is>
          <t>SMAR_2022_AR.pdf</t>
        </is>
      </c>
      <c r="C5048" t="n">
        <v>2022</v>
      </c>
      <c r="D5048" t="inlineStr">
        <is>
          <t>Financial</t>
        </is>
      </c>
      <c r="E5048" t="inlineStr">
        <is>
          <t>Net Debt to EBITDA</t>
        </is>
      </c>
      <c r="F5048" t="n">
        <v>0.02</v>
      </c>
      <c r="G5048" t="inlineStr">
        <is>
          <t>x</t>
        </is>
      </c>
      <c r="H5048" t="n">
        <v>8</v>
      </c>
      <c r="I5048" t="inlineStr">
        <is>
          <t>Rasio pinjaman bersih terhadap EBITDA 0.02 0.67 0.99</t>
        </is>
      </c>
      <c r="J5048" t="inlineStr">
        <is>
          <t>High</t>
        </is>
      </c>
      <c r="M5048" t="inlineStr">
        <is>
          <t>LLM</t>
        </is>
      </c>
      <c r="N5048" t="inlineStr">
        <is>
          <t>2026-04-19</t>
        </is>
      </c>
      <c r="O5048" t="inlineStr">
        <is>
          <t>AI</t>
        </is>
      </c>
    </row>
    <row r="5049">
      <c r="A5049" t="inlineStr">
        <is>
          <t>PT Sinar Mas Agro Resources and Technology Tbk</t>
        </is>
      </c>
      <c r="B5049" t="inlineStr">
        <is>
          <t>SMAR_2022_AR.pdf</t>
        </is>
      </c>
      <c r="C5049" t="n">
        <v>2022</v>
      </c>
      <c r="D5049" t="inlineStr">
        <is>
          <t>Financial</t>
        </is>
      </c>
      <c r="E5049" t="inlineStr">
        <is>
          <t>EBITDA to Interest</t>
        </is>
      </c>
      <c r="F5049" t="n">
        <v>7.11</v>
      </c>
      <c r="G5049" t="inlineStr">
        <is>
          <t>x</t>
        </is>
      </c>
      <c r="H5049" t="n">
        <v>8</v>
      </c>
      <c r="I5049" t="inlineStr">
        <is>
          <t>EBITDA terhadap beban bunga (kali) 7.11 5.51 5.49</t>
        </is>
      </c>
      <c r="J5049" t="inlineStr">
        <is>
          <t>High</t>
        </is>
      </c>
      <c r="M5049" t="inlineStr">
        <is>
          <t>LLM</t>
        </is>
      </c>
      <c r="N5049" t="inlineStr">
        <is>
          <t>2026-04-19</t>
        </is>
      </c>
      <c r="O5049" t="inlineStr">
        <is>
          <t>AI</t>
        </is>
      </c>
    </row>
    <row r="5050">
      <c r="A5050" t="inlineStr">
        <is>
          <t>PT Sinar Mas Agro Resources and Technology Tbk</t>
        </is>
      </c>
      <c r="B5050" t="inlineStr">
        <is>
          <t>SMAR_2022_AR.pdf</t>
        </is>
      </c>
      <c r="C5050" t="n">
        <v>2022</v>
      </c>
      <c r="D5050" t="inlineStr">
        <is>
          <t>Financial</t>
        </is>
      </c>
      <c r="E5050" t="inlineStr">
        <is>
          <t>Current Ratio</t>
        </is>
      </c>
      <c r="F5050" t="n">
        <v>2</v>
      </c>
      <c r="G5050" t="inlineStr">
        <is>
          <t>x</t>
        </is>
      </c>
      <c r="H5050" t="n">
        <v>8</v>
      </c>
      <c r="I5050" t="inlineStr">
        <is>
          <t>Rasio lancar (kali) 2.0 1.5 1.3</t>
        </is>
      </c>
      <c r="J5050" t="inlineStr">
        <is>
          <t>High</t>
        </is>
      </c>
      <c r="M5050" t="inlineStr">
        <is>
          <t>LLM</t>
        </is>
      </c>
      <c r="N5050" t="inlineStr">
        <is>
          <t>2026-04-19</t>
        </is>
      </c>
      <c r="O5050" t="inlineStr">
        <is>
          <t>AI</t>
        </is>
      </c>
    </row>
    <row r="5051">
      <c r="A5051" t="inlineStr">
        <is>
          <t>PT Sinar Mas Agro Resources and Technology Tbk</t>
        </is>
      </c>
      <c r="B5051" t="inlineStr">
        <is>
          <t>SMAR_2022_AR.pdf</t>
        </is>
      </c>
      <c r="C5051" t="n">
        <v>2022</v>
      </c>
      <c r="D5051" t="inlineStr">
        <is>
          <t>Financial</t>
        </is>
      </c>
      <c r="E5051" t="inlineStr">
        <is>
          <t>Gross Margin</t>
        </is>
      </c>
      <c r="F5051" t="n">
        <v>0.177</v>
      </c>
      <c r="G5051" t="inlineStr">
        <is>
          <t>%</t>
        </is>
      </c>
      <c r="H5051" t="n">
        <v>8</v>
      </c>
      <c r="I5051" t="inlineStr">
        <is>
          <t>Marjin kotor 17.7 19.2 14.5</t>
        </is>
      </c>
      <c r="J5051" t="inlineStr">
        <is>
          <t>High</t>
        </is>
      </c>
      <c r="M5051" t="inlineStr">
        <is>
          <t>LLM</t>
        </is>
      </c>
      <c r="N5051" t="inlineStr">
        <is>
          <t>2026-04-19</t>
        </is>
      </c>
      <c r="O5051" t="inlineStr">
        <is>
          <t>AI</t>
        </is>
      </c>
    </row>
    <row r="5052">
      <c r="A5052" t="inlineStr">
        <is>
          <t>PT Sinar Mas Agro Resources and Technology Tbk</t>
        </is>
      </c>
      <c r="B5052" t="inlineStr">
        <is>
          <t>SMAR_2022_AR.pdf</t>
        </is>
      </c>
      <c r="C5052" t="n">
        <v>2022</v>
      </c>
      <c r="D5052" t="inlineStr">
        <is>
          <t>Financial</t>
        </is>
      </c>
      <c r="E5052" t="inlineStr">
        <is>
          <t>EBITDA Margin</t>
        </is>
      </c>
      <c r="F5052" t="n">
        <v>0.127</v>
      </c>
      <c r="G5052" t="inlineStr">
        <is>
          <t>%</t>
        </is>
      </c>
      <c r="H5052" t="n">
        <v>8</v>
      </c>
      <c r="I5052" t="inlineStr">
        <is>
          <t>Marjin EBITDA 12.7 10.7 10.1</t>
        </is>
      </c>
      <c r="J5052" t="inlineStr">
        <is>
          <t>High</t>
        </is>
      </c>
      <c r="M5052" t="inlineStr">
        <is>
          <t>LLM</t>
        </is>
      </c>
      <c r="N5052" t="inlineStr">
        <is>
          <t>2026-04-19</t>
        </is>
      </c>
      <c r="O5052" t="inlineStr">
        <is>
          <t>AI</t>
        </is>
      </c>
    </row>
    <row r="5053">
      <c r="A5053" t="inlineStr">
        <is>
          <t>PT Sinar Mas Agro Resources and Technology Tbk</t>
        </is>
      </c>
      <c r="B5053" t="inlineStr">
        <is>
          <t>SMAR_2022_AR.pdf</t>
        </is>
      </c>
      <c r="C5053" t="n">
        <v>2022</v>
      </c>
      <c r="D5053" t="inlineStr">
        <is>
          <t>Financial</t>
        </is>
      </c>
      <c r="E5053" t="inlineStr">
        <is>
          <t>Net Margin</t>
        </is>
      </c>
      <c r="F5053" t="n">
        <v>0.073</v>
      </c>
      <c r="G5053" t="inlineStr">
        <is>
          <t>%</t>
        </is>
      </c>
      <c r="H5053" t="n">
        <v>8</v>
      </c>
      <c r="I5053" t="inlineStr">
        <is>
          <t>Marjin bersih 7.3 5.0 3.8</t>
        </is>
      </c>
      <c r="J5053" t="inlineStr">
        <is>
          <t>High</t>
        </is>
      </c>
      <c r="M5053" t="inlineStr">
        <is>
          <t>LLM</t>
        </is>
      </c>
      <c r="N5053" t="inlineStr">
        <is>
          <t>2026-04-19</t>
        </is>
      </c>
      <c r="O5053" t="inlineStr">
        <is>
          <t>AI</t>
        </is>
      </c>
    </row>
    <row r="5054">
      <c r="A5054" t="inlineStr">
        <is>
          <t>PT Sinar Mas Agro Resources and Technology Tbk</t>
        </is>
      </c>
      <c r="B5054" t="inlineStr">
        <is>
          <t>SMAR_2022_AR.pdf</t>
        </is>
      </c>
      <c r="C5054" t="n">
        <v>2022</v>
      </c>
      <c r="D5054" t="inlineStr">
        <is>
          <t>Financial</t>
        </is>
      </c>
      <c r="E5054" t="inlineStr">
        <is>
          <t>ROE</t>
        </is>
      </c>
      <c r="F5054" t="n">
        <v>0.286</v>
      </c>
      <c r="G5054" t="inlineStr">
        <is>
          <t>%</t>
        </is>
      </c>
      <c r="H5054" t="n">
        <v>8</v>
      </c>
      <c r="I5054" t="inlineStr">
        <is>
          <t>Rasio laba terhadap ekuitas 28.6 19.6 12.3</t>
        </is>
      </c>
      <c r="J5054" t="inlineStr">
        <is>
          <t>High</t>
        </is>
      </c>
      <c r="M5054" t="inlineStr">
        <is>
          <t>LLM</t>
        </is>
      </c>
      <c r="N5054" t="inlineStr">
        <is>
          <t>2026-04-19</t>
        </is>
      </c>
      <c r="O5054" t="inlineStr">
        <is>
          <t>AI</t>
        </is>
      </c>
    </row>
    <row r="5055">
      <c r="A5055" t="inlineStr">
        <is>
          <t>PT Sinar Mas Agro Resources and Technology Tbk</t>
        </is>
      </c>
      <c r="B5055" t="inlineStr">
        <is>
          <t>SMAR_2022_AR.pdf</t>
        </is>
      </c>
      <c r="C5055" t="n">
        <v>2022</v>
      </c>
      <c r="D5055" t="inlineStr">
        <is>
          <t>Financial</t>
        </is>
      </c>
      <c r="E5055" t="inlineStr">
        <is>
          <t>ROA</t>
        </is>
      </c>
      <c r="F5055" t="n">
        <v>0.129</v>
      </c>
      <c r="G5055" t="inlineStr">
        <is>
          <t>%</t>
        </is>
      </c>
      <c r="H5055" t="n">
        <v>8</v>
      </c>
      <c r="I5055" t="inlineStr">
        <is>
          <t>Rasio laba terhadap aset 12.9 7.0 4.4</t>
        </is>
      </c>
      <c r="J5055" t="inlineStr">
        <is>
          <t>High</t>
        </is>
      </c>
      <c r="M5055" t="inlineStr">
        <is>
          <t>LLM</t>
        </is>
      </c>
      <c r="N5055" t="inlineStr">
        <is>
          <t>2026-04-19</t>
        </is>
      </c>
      <c r="O5055" t="inlineStr">
        <is>
          <t>AI</t>
        </is>
      </c>
    </row>
    <row r="5056">
      <c r="A5056" t="inlineStr">
        <is>
          <t>PT Sinar Mas Agro Resources and Technology Tbk</t>
        </is>
      </c>
      <c r="B5056" t="inlineStr">
        <is>
          <t>SMAR_2022_AR.pdf</t>
        </is>
      </c>
      <c r="C5056" t="n">
        <v>2022</v>
      </c>
      <c r="D5056" t="inlineStr">
        <is>
          <t>Financial</t>
        </is>
      </c>
      <c r="E5056" t="inlineStr">
        <is>
          <t>USD Closing FX</t>
        </is>
      </c>
      <c r="F5056" t="n">
        <v>15731</v>
      </c>
      <c r="G5056" t="inlineStr">
        <is>
          <t>Rp/USD</t>
        </is>
      </c>
      <c r="H5056" t="n">
        <v>8</v>
      </c>
      <c r="I5056" t="inlineStr">
        <is>
          <t>Nilai tukar US$ - penutupan 15,731</t>
        </is>
      </c>
      <c r="J5056" t="inlineStr">
        <is>
          <t>High</t>
        </is>
      </c>
      <c r="M5056" t="inlineStr">
        <is>
          <t>LLM</t>
        </is>
      </c>
      <c r="N5056" t="inlineStr">
        <is>
          <t>2026-04-19</t>
        </is>
      </c>
      <c r="O5056" t="inlineStr">
        <is>
          <t>AI</t>
        </is>
      </c>
    </row>
    <row r="5057">
      <c r="A5057" t="inlineStr">
        <is>
          <t>PT Sinar Mas Agro Resources and Technology Tbk</t>
        </is>
      </c>
      <c r="B5057" t="inlineStr">
        <is>
          <t>SMAR_2022_AR.pdf</t>
        </is>
      </c>
      <c r="C5057" t="n">
        <v>2022</v>
      </c>
      <c r="D5057" t="inlineStr">
        <is>
          <t>Financial</t>
        </is>
      </c>
      <c r="E5057" t="inlineStr">
        <is>
          <t>USD Average FX</t>
        </is>
      </c>
      <c r="F5057" t="n">
        <v>14814</v>
      </c>
      <c r="G5057" t="inlineStr">
        <is>
          <t>Rp/USD</t>
        </is>
      </c>
      <c r="H5057" t="n">
        <v>8</v>
      </c>
      <c r="I5057" t="inlineStr">
        <is>
          <t>Nilai tukar US$ - rata-rata 14,814</t>
        </is>
      </c>
      <c r="J5057" t="inlineStr">
        <is>
          <t>High</t>
        </is>
      </c>
      <c r="M5057" t="inlineStr">
        <is>
          <t>LLM</t>
        </is>
      </c>
      <c r="N5057" t="inlineStr">
        <is>
          <t>2026-04-19</t>
        </is>
      </c>
      <c r="O5057" t="inlineStr">
        <is>
          <t>AI</t>
        </is>
      </c>
    </row>
    <row r="5058">
      <c r="A5058" t="inlineStr">
        <is>
          <t>PT Sinar Mas Agro Resources and Technology Tbk</t>
        </is>
      </c>
      <c r="B5058" t="inlineStr">
        <is>
          <t>SMAR_2022_AR.pdf</t>
        </is>
      </c>
      <c r="C5058" t="n">
        <v>2022</v>
      </c>
      <c r="D5058" t="inlineStr">
        <is>
          <t>Asset</t>
        </is>
      </c>
      <c r="E5058" t="inlineStr">
        <is>
          <t>Total Planted Area</t>
        </is>
      </c>
      <c r="F5058" t="n">
        <v>136402</v>
      </c>
      <c r="G5058" t="inlineStr">
        <is>
          <t>ha</t>
        </is>
      </c>
      <c r="H5058" t="n">
        <v>51</v>
      </c>
      <c r="I5058" t="inlineStr">
        <is>
          <t>Hingga akhir tahun 2022, SMART mengelola 136,402 hektar kebun kelapa sawit</t>
        </is>
      </c>
      <c r="J5058" t="inlineStr">
        <is>
          <t>High</t>
        </is>
      </c>
      <c r="M5058" t="inlineStr">
        <is>
          <t>LLM</t>
        </is>
      </c>
      <c r="N5058" t="inlineStr">
        <is>
          <t>2026-04-19</t>
        </is>
      </c>
      <c r="O5058" t="inlineStr">
        <is>
          <t>AI</t>
        </is>
      </c>
    </row>
    <row r="5059">
      <c r="A5059" t="inlineStr">
        <is>
          <t>PT Sinar Mas Agro Resources and Technology Tbk</t>
        </is>
      </c>
      <c r="B5059" t="inlineStr">
        <is>
          <t>SMAR_2022_AR.pdf</t>
        </is>
      </c>
      <c r="C5059" t="n">
        <v>2022</v>
      </c>
      <c r="D5059" t="inlineStr">
        <is>
          <t>Asset</t>
        </is>
      </c>
      <c r="E5059" t="inlineStr">
        <is>
          <t>Nucleus Proportion</t>
        </is>
      </c>
      <c r="F5059" t="n">
        <v>0.77</v>
      </c>
      <c r="G5059" t="inlineStr">
        <is>
          <t>%</t>
        </is>
      </c>
      <c r="H5059" t="n">
        <v>51</v>
      </c>
      <c r="I5059" t="inlineStr">
        <is>
          <t>Perkebunan kami terdiri dari 77% perkebunan milik sendiri (disebut inti)</t>
        </is>
      </c>
      <c r="J5059" t="inlineStr">
        <is>
          <t>High</t>
        </is>
      </c>
      <c r="M5059" t="inlineStr">
        <is>
          <t>LLM</t>
        </is>
      </c>
      <c r="N5059" t="inlineStr">
        <is>
          <t>2026-04-19</t>
        </is>
      </c>
      <c r="O5059" t="inlineStr">
        <is>
          <t>AI</t>
        </is>
      </c>
    </row>
    <row r="5060">
      <c r="A5060" t="inlineStr">
        <is>
          <t>PT Sinar Mas Agro Resources and Technology Tbk</t>
        </is>
      </c>
      <c r="B5060" t="inlineStr">
        <is>
          <t>SMAR_2022_AR.pdf</t>
        </is>
      </c>
      <c r="C5060" t="n">
        <v>2022</v>
      </c>
      <c r="D5060" t="inlineStr">
        <is>
          <t>Asset</t>
        </is>
      </c>
      <c r="E5060" t="inlineStr">
        <is>
          <t>Plasma Proportion</t>
        </is>
      </c>
      <c r="F5060" t="n">
        <v>0.23</v>
      </c>
      <c r="G5060" t="inlineStr">
        <is>
          <t>%</t>
        </is>
      </c>
      <c r="H5060" t="n">
        <v>51</v>
      </c>
      <c r="I5060" t="inlineStr">
        <is>
          <t>23% perkebunan yang dimiliki para petani (disebut plasma)</t>
        </is>
      </c>
      <c r="J5060" t="inlineStr">
        <is>
          <t>High</t>
        </is>
      </c>
      <c r="M5060" t="inlineStr">
        <is>
          <t>LLM</t>
        </is>
      </c>
      <c r="N5060" t="inlineStr">
        <is>
          <t>2026-04-19</t>
        </is>
      </c>
      <c r="O5060" t="inlineStr">
        <is>
          <t>AI</t>
        </is>
      </c>
    </row>
    <row r="5061">
      <c r="A5061" t="inlineStr">
        <is>
          <t>PT Sinar Mas Agro Resources and Technology Tbk</t>
        </is>
      </c>
      <c r="B5061" t="inlineStr">
        <is>
          <t>SMAR_2022_AR.pdf</t>
        </is>
      </c>
      <c r="C5061" t="n">
        <v>2022</v>
      </c>
      <c r="D5061" t="inlineStr">
        <is>
          <t>Asset</t>
        </is>
      </c>
      <c r="E5061" t="inlineStr">
        <is>
          <t>Sumatra Proportion</t>
        </is>
      </c>
      <c r="F5061" t="n">
        <v>0.47</v>
      </c>
      <c r="G5061" t="inlineStr">
        <is>
          <t>%</t>
        </is>
      </c>
      <c r="H5061" t="n">
        <v>50</v>
      </c>
      <c r="I5061" t="inlineStr">
        <is>
          <t>SUMATRA 47% 77% NUCLEUS MATURE KALIMANTAN 53%</t>
        </is>
      </c>
      <c r="J5061" t="inlineStr">
        <is>
          <t>High</t>
        </is>
      </c>
      <c r="M5061" t="inlineStr">
        <is>
          <t>LLM</t>
        </is>
      </c>
      <c r="N5061" t="inlineStr">
        <is>
          <t>2026-04-19</t>
        </is>
      </c>
      <c r="O5061" t="inlineStr">
        <is>
          <t>AI</t>
        </is>
      </c>
    </row>
    <row r="5062">
      <c r="A5062" t="inlineStr">
        <is>
          <t>PT Sinar Mas Agro Resources and Technology Tbk</t>
        </is>
      </c>
      <c r="B5062" t="inlineStr">
        <is>
          <t>SMAR_2022_AR.pdf</t>
        </is>
      </c>
      <c r="C5062" t="n">
        <v>2022</v>
      </c>
      <c r="D5062" t="inlineStr">
        <is>
          <t>Asset</t>
        </is>
      </c>
      <c r="E5062" t="inlineStr">
        <is>
          <t>Kalimantan Proportion</t>
        </is>
      </c>
      <c r="F5062" t="n">
        <v>0.53</v>
      </c>
      <c r="G5062" t="inlineStr">
        <is>
          <t>%</t>
        </is>
      </c>
      <c r="H5062" t="n">
        <v>50</v>
      </c>
      <c r="I5062" t="inlineStr">
        <is>
          <t>Kalimantan 53%</t>
        </is>
      </c>
      <c r="J5062" t="inlineStr">
        <is>
          <t>High</t>
        </is>
      </c>
      <c r="M5062" t="inlineStr">
        <is>
          <t>LLM</t>
        </is>
      </c>
      <c r="N5062" t="inlineStr">
        <is>
          <t>2026-04-19</t>
        </is>
      </c>
      <c r="O5062" t="inlineStr">
        <is>
          <t>AI</t>
        </is>
      </c>
    </row>
    <row r="5063">
      <c r="A5063" t="inlineStr">
        <is>
          <t>PT Sinar Mas Agro Resources and Technology Tbk</t>
        </is>
      </c>
      <c r="B5063" t="inlineStr">
        <is>
          <t>SMAR_2022_AR.pdf</t>
        </is>
      </c>
      <c r="C5063" t="n">
        <v>2022</v>
      </c>
      <c r="D5063" t="inlineStr">
        <is>
          <t>Asset</t>
        </is>
      </c>
      <c r="E5063" t="inlineStr">
        <is>
          <t>Mature Proportion</t>
        </is>
      </c>
      <c r="F5063" t="n">
        <v>0.95</v>
      </c>
      <c r="G5063" t="inlineStr">
        <is>
          <t>%</t>
        </is>
      </c>
      <c r="H5063" t="n">
        <v>50</v>
      </c>
      <c r="I5063" t="inlineStr">
        <is>
          <t>MATURE 95% Immature 5%</t>
        </is>
      </c>
      <c r="J5063" t="inlineStr">
        <is>
          <t>High</t>
        </is>
      </c>
      <c r="M5063" t="inlineStr">
        <is>
          <t>LLM</t>
        </is>
      </c>
      <c r="N5063" t="inlineStr">
        <is>
          <t>2026-04-19</t>
        </is>
      </c>
      <c r="O5063" t="inlineStr">
        <is>
          <t>AI</t>
        </is>
      </c>
    </row>
    <row r="5064">
      <c r="A5064" t="inlineStr">
        <is>
          <t>PT Sinar Mas Agro Resources and Technology Tbk</t>
        </is>
      </c>
      <c r="B5064" t="inlineStr">
        <is>
          <t>SMAR_2022_AR.pdf</t>
        </is>
      </c>
      <c r="C5064" t="n">
        <v>2022</v>
      </c>
      <c r="D5064" t="inlineStr">
        <is>
          <t>Asset</t>
        </is>
      </c>
      <c r="E5064" t="inlineStr">
        <is>
          <t>Immature 0-3 yr Area</t>
        </is>
      </c>
      <c r="F5064" t="n">
        <v>7187</v>
      </c>
      <c r="G5064" t="inlineStr">
        <is>
          <t>ha</t>
        </is>
      </c>
      <c r="H5064" t="n">
        <v>52</v>
      </c>
      <c r="I5064" t="inlineStr">
        <is>
          <t>Belum Menghasilkan 0-3 tahun Immature 0-3 years 7,187 5</t>
        </is>
      </c>
      <c r="J5064" t="inlineStr">
        <is>
          <t>High</t>
        </is>
      </c>
      <c r="M5064" t="inlineStr">
        <is>
          <t>LLM</t>
        </is>
      </c>
      <c r="N5064" t="inlineStr">
        <is>
          <t>2026-04-19</t>
        </is>
      </c>
      <c r="O5064" t="inlineStr">
        <is>
          <t>AI</t>
        </is>
      </c>
    </row>
    <row r="5065">
      <c r="A5065" t="inlineStr">
        <is>
          <t>PT Sinar Mas Agro Resources and Technology Tbk</t>
        </is>
      </c>
      <c r="B5065" t="inlineStr">
        <is>
          <t>SMAR_2022_AR.pdf</t>
        </is>
      </c>
      <c r="C5065" t="n">
        <v>2022</v>
      </c>
      <c r="D5065" t="inlineStr">
        <is>
          <t>Asset</t>
        </is>
      </c>
      <c r="E5065" t="inlineStr">
        <is>
          <t>Young 4-6 yr Area</t>
        </is>
      </c>
      <c r="F5065" t="n">
        <v>8835</v>
      </c>
      <c r="G5065" t="inlineStr">
        <is>
          <t>ha</t>
        </is>
      </c>
      <c r="H5065" t="n">
        <v>52</v>
      </c>
      <c r="I5065" t="inlineStr">
        <is>
          <t>Muda 4-6 tahun Young 4-6 years 8,835 7</t>
        </is>
      </c>
      <c r="J5065" t="inlineStr">
        <is>
          <t>High</t>
        </is>
      </c>
      <c r="M5065" t="inlineStr">
        <is>
          <t>LLM</t>
        </is>
      </c>
      <c r="N5065" t="inlineStr">
        <is>
          <t>2026-04-19</t>
        </is>
      </c>
      <c r="O5065" t="inlineStr">
        <is>
          <t>AI</t>
        </is>
      </c>
    </row>
    <row r="5066">
      <c r="A5066" t="inlineStr">
        <is>
          <t>PT Sinar Mas Agro Resources and Technology Tbk</t>
        </is>
      </c>
      <c r="B5066" t="inlineStr">
        <is>
          <t>SMAR_2022_AR.pdf</t>
        </is>
      </c>
      <c r="C5066" t="n">
        <v>2022</v>
      </c>
      <c r="D5066" t="inlineStr">
        <is>
          <t>Asset</t>
        </is>
      </c>
      <c r="E5066" t="inlineStr">
        <is>
          <t>Prime 1 (7-18 yr) Area</t>
        </is>
      </c>
      <c r="F5066" t="n">
        <v>54323</v>
      </c>
      <c r="G5066" t="inlineStr">
        <is>
          <t>ha</t>
        </is>
      </c>
      <c r="H5066" t="n">
        <v>52</v>
      </c>
      <c r="I5066" t="inlineStr">
        <is>
          <t>Utama 1 7-18 tahun Prime 1 7-18 years 54,323 40</t>
        </is>
      </c>
      <c r="J5066" t="inlineStr">
        <is>
          <t>High</t>
        </is>
      </c>
      <c r="M5066" t="inlineStr">
        <is>
          <t>LLM</t>
        </is>
      </c>
      <c r="N5066" t="inlineStr">
        <is>
          <t>2026-04-19</t>
        </is>
      </c>
      <c r="O5066" t="inlineStr">
        <is>
          <t>AI</t>
        </is>
      </c>
    </row>
    <row r="5067">
      <c r="A5067" t="inlineStr">
        <is>
          <t>PT Sinar Mas Agro Resources and Technology Tbk</t>
        </is>
      </c>
      <c r="B5067" t="inlineStr">
        <is>
          <t>SMAR_2022_AR.pdf</t>
        </is>
      </c>
      <c r="C5067" t="n">
        <v>2022</v>
      </c>
      <c r="D5067" t="inlineStr">
        <is>
          <t>Asset</t>
        </is>
      </c>
      <c r="E5067" t="inlineStr">
        <is>
          <t>Prime 2 (19-25 yr) Area</t>
        </is>
      </c>
      <c r="F5067" t="n">
        <v>31667</v>
      </c>
      <c r="G5067" t="inlineStr">
        <is>
          <t>ha</t>
        </is>
      </c>
      <c r="H5067" t="n">
        <v>52</v>
      </c>
      <c r="I5067" t="inlineStr">
        <is>
          <t>Utama 2 19-25 tahun Prime 2 19-25 years 31,667 23</t>
        </is>
      </c>
      <c r="J5067" t="inlineStr">
        <is>
          <t>High</t>
        </is>
      </c>
      <c r="M5067" t="inlineStr">
        <is>
          <t>LLM</t>
        </is>
      </c>
      <c r="N5067" t="inlineStr">
        <is>
          <t>2026-04-19</t>
        </is>
      </c>
      <c r="O5067" t="inlineStr">
        <is>
          <t>AI</t>
        </is>
      </c>
    </row>
    <row r="5068">
      <c r="A5068" t="inlineStr">
        <is>
          <t>PT Sinar Mas Agro Resources and Technology Tbk</t>
        </is>
      </c>
      <c r="B5068" t="inlineStr">
        <is>
          <t>SMAR_2022_AR.pdf</t>
        </is>
      </c>
      <c r="C5068" t="n">
        <v>2022</v>
      </c>
      <c r="D5068" t="inlineStr">
        <is>
          <t>Asset</t>
        </is>
      </c>
      <c r="E5068" t="inlineStr">
        <is>
          <t>Old &gt;25 yr Area</t>
        </is>
      </c>
      <c r="F5068" t="n">
        <v>34390</v>
      </c>
      <c r="G5068" t="inlineStr">
        <is>
          <t>ha</t>
        </is>
      </c>
      <c r="H5068" t="n">
        <v>52</v>
      </c>
      <c r="I5068" t="inlineStr">
        <is>
          <t>Tua &gt;25 tahun Old &gt;25 years 34,390 25</t>
        </is>
      </c>
      <c r="J5068" t="inlineStr">
        <is>
          <t>High</t>
        </is>
      </c>
      <c r="M5068" t="inlineStr">
        <is>
          <t>LLM</t>
        </is>
      </c>
      <c r="N5068" t="inlineStr">
        <is>
          <t>2026-04-19</t>
        </is>
      </c>
      <c r="O5068" t="inlineStr">
        <is>
          <t>AI</t>
        </is>
      </c>
    </row>
    <row r="5069">
      <c r="A5069" t="inlineStr">
        <is>
          <t>PT Sinar Mas Agro Resources and Technology Tbk</t>
        </is>
      </c>
      <c r="B5069" t="inlineStr">
        <is>
          <t>SMAR_2022_AR.pdf</t>
        </is>
      </c>
      <c r="C5069" t="n">
        <v>2022</v>
      </c>
      <c r="D5069" t="inlineStr">
        <is>
          <t>Asset</t>
        </is>
      </c>
      <c r="E5069" t="inlineStr">
        <is>
          <t>Replanted Area 2022</t>
        </is>
      </c>
      <c r="F5069" t="n">
        <v>2800</v>
      </c>
      <c r="G5069" t="inlineStr">
        <is>
          <t>ha</t>
        </is>
      </c>
      <c r="H5069" t="n">
        <v>52</v>
      </c>
      <c r="I5069" t="inlineStr">
        <is>
          <t>Selama tahun berjalan, kami melakukan peremajaan tanaman tua sekitar 2,800 hektar</t>
        </is>
      </c>
      <c r="J5069" t="inlineStr">
        <is>
          <t>High</t>
        </is>
      </c>
      <c r="M5069" t="inlineStr">
        <is>
          <t>LLM</t>
        </is>
      </c>
      <c r="N5069" t="inlineStr">
        <is>
          <t>2026-04-19</t>
        </is>
      </c>
      <c r="O5069" t="inlineStr">
        <is>
          <t>AI</t>
        </is>
      </c>
    </row>
    <row r="5070">
      <c r="A5070" t="inlineStr">
        <is>
          <t>PT Sinar Mas Agro Resources and Technology Tbk</t>
        </is>
      </c>
      <c r="B5070" t="inlineStr">
        <is>
          <t>SMAR_2022_AR.pdf</t>
        </is>
      </c>
      <c r="C5070" t="n">
        <v>2022</v>
      </c>
      <c r="D5070" t="inlineStr">
        <is>
          <t>Asset</t>
        </is>
      </c>
      <c r="E5070" t="inlineStr">
        <is>
          <t>Young+Immature Area</t>
        </is>
      </c>
      <c r="F5070" t="n">
        <v>16022</v>
      </c>
      <c r="G5070" t="inlineStr">
        <is>
          <t>ha</t>
        </is>
      </c>
      <c r="H5070" t="n">
        <v>51</v>
      </c>
      <c r="I5070" t="inlineStr">
        <is>
          <t>tanaman muda berumur hingga 6 tahun mencapai 16,022 hektar</t>
        </is>
      </c>
      <c r="J5070" t="inlineStr">
        <is>
          <t>High</t>
        </is>
      </c>
      <c r="M5070" t="inlineStr">
        <is>
          <t>LLM</t>
        </is>
      </c>
      <c r="N5070" t="inlineStr">
        <is>
          <t>2026-04-19</t>
        </is>
      </c>
      <c r="O5070" t="inlineStr">
        <is>
          <t>AI</t>
        </is>
      </c>
    </row>
    <row r="5071">
      <c r="A5071" t="inlineStr">
        <is>
          <t>PT Sinar Mas Agro Resources and Technology Tbk</t>
        </is>
      </c>
      <c r="B5071" t="inlineStr">
        <is>
          <t>SMAR_2022_AR.pdf</t>
        </is>
      </c>
      <c r="C5071" t="n">
        <v>2022</v>
      </c>
      <c r="D5071" t="inlineStr">
        <is>
          <t>Asset</t>
        </is>
      </c>
      <c r="E5071" t="inlineStr">
        <is>
          <t>Palm Oil Mill Count</t>
        </is>
      </c>
      <c r="F5071" t="n">
        <v>16</v>
      </c>
      <c r="G5071" t="inlineStr">
        <is>
          <t>count</t>
        </is>
      </c>
      <c r="H5071" t="n">
        <v>53</v>
      </c>
      <c r="I5071" t="inlineStr">
        <is>
          <t>SMART mengoperasikan 16 PKS dengan total kapasitas terpasang tahunan sebesar 4.35 juta ton</t>
        </is>
      </c>
      <c r="J5071" t="inlineStr">
        <is>
          <t>High</t>
        </is>
      </c>
      <c r="M5071" t="inlineStr">
        <is>
          <t>LLM</t>
        </is>
      </c>
      <c r="N5071" t="inlineStr">
        <is>
          <t>2026-04-19</t>
        </is>
      </c>
      <c r="O5071" t="inlineStr">
        <is>
          <t>AI</t>
        </is>
      </c>
    </row>
    <row r="5072">
      <c r="A5072" t="inlineStr">
        <is>
          <t>PT Sinar Mas Agro Resources and Technology Tbk</t>
        </is>
      </c>
      <c r="B5072" t="inlineStr">
        <is>
          <t>SMAR_2022_AR.pdf</t>
        </is>
      </c>
      <c r="C5072" t="n">
        <v>2022</v>
      </c>
      <c r="D5072" t="inlineStr">
        <is>
          <t>Asset</t>
        </is>
      </c>
      <c r="E5072" t="inlineStr">
        <is>
          <t>Mills Installed Capacity</t>
        </is>
      </c>
      <c r="F5072" t="n">
        <v>4350000</v>
      </c>
      <c r="G5072" t="inlineStr">
        <is>
          <t>t/yr</t>
        </is>
      </c>
      <c r="H5072" t="n">
        <v>53</v>
      </c>
      <c r="I5072" t="inlineStr">
        <is>
          <t>total kapasitas terpasang tahunan sebesar 4.35 juta ton</t>
        </is>
      </c>
      <c r="J5072" t="inlineStr">
        <is>
          <t>High</t>
        </is>
      </c>
      <c r="M5072" t="inlineStr">
        <is>
          <t>LLM</t>
        </is>
      </c>
      <c r="N5072" t="inlineStr">
        <is>
          <t>2026-04-19</t>
        </is>
      </c>
      <c r="O5072" t="inlineStr">
        <is>
          <t>AI</t>
        </is>
      </c>
    </row>
    <row r="5073">
      <c r="A5073" t="inlineStr">
        <is>
          <t>PT Sinar Mas Agro Resources and Technology Tbk</t>
        </is>
      </c>
      <c r="B5073" t="inlineStr">
        <is>
          <t>SMAR_2022_AR.pdf</t>
        </is>
      </c>
      <c r="C5073" t="n">
        <v>2022</v>
      </c>
      <c r="D5073" t="inlineStr">
        <is>
          <t>Asset</t>
        </is>
      </c>
      <c r="E5073" t="inlineStr">
        <is>
          <t>Refinery Capacity</t>
        </is>
      </c>
      <c r="F5073" t="n">
        <v>2900000</v>
      </c>
      <c r="G5073" t="inlineStr">
        <is>
          <t>t/yr</t>
        </is>
      </c>
      <c r="H5073" t="n">
        <v>54</v>
      </c>
      <c r="I5073" t="inlineStr">
        <is>
          <t>pabrik rafinasi dengan kapasitas hampir 2.9 juta ton per tahun</t>
        </is>
      </c>
      <c r="J5073" t="inlineStr">
        <is>
          <t>High</t>
        </is>
      </c>
      <c r="M5073" t="inlineStr">
        <is>
          <t>LLM</t>
        </is>
      </c>
      <c r="N5073" t="inlineStr">
        <is>
          <t>2026-04-19</t>
        </is>
      </c>
      <c r="O5073" t="inlineStr">
        <is>
          <t>AI</t>
        </is>
      </c>
    </row>
    <row r="5074">
      <c r="A5074" t="inlineStr">
        <is>
          <t>PT Sinar Mas Agro Resources and Technology Tbk</t>
        </is>
      </c>
      <c r="B5074" t="inlineStr">
        <is>
          <t>SMAR_2022_AR.pdf</t>
        </is>
      </c>
      <c r="C5074" t="n">
        <v>2022</v>
      </c>
      <c r="D5074" t="inlineStr">
        <is>
          <t>Asset</t>
        </is>
      </c>
      <c r="E5074" t="inlineStr">
        <is>
          <t>Kernel Crushing Capacity</t>
        </is>
      </c>
      <c r="F5074" t="n">
        <v>810000</v>
      </c>
      <c r="G5074" t="inlineStr">
        <is>
          <t>t/yr</t>
        </is>
      </c>
      <c r="H5074" t="n">
        <v>54</v>
      </c>
      <c r="I5074" t="inlineStr">
        <is>
          <t>pabrik pengolahan inti sawit yang berkapasitas 810 ribu ton per tahun</t>
        </is>
      </c>
      <c r="J5074" t="inlineStr">
        <is>
          <t>High</t>
        </is>
      </c>
      <c r="M5074" t="inlineStr">
        <is>
          <t>LLM</t>
        </is>
      </c>
      <c r="N5074" t="inlineStr">
        <is>
          <t>2026-04-19</t>
        </is>
      </c>
      <c r="O5074" t="inlineStr">
        <is>
          <t>AI</t>
        </is>
      </c>
    </row>
    <row r="5075">
      <c r="A5075" t="inlineStr">
        <is>
          <t>PT Sinar Mas Agro Resources and Technology Tbk</t>
        </is>
      </c>
      <c r="B5075" t="inlineStr">
        <is>
          <t>SMAR_2022_AR.pdf</t>
        </is>
      </c>
      <c r="C5075" t="n">
        <v>2022</v>
      </c>
      <c r="D5075" t="inlineStr">
        <is>
          <t>Asset</t>
        </is>
      </c>
      <c r="E5075" t="inlineStr">
        <is>
          <t>Biodiesel Plant Capacity (pre-expansion)</t>
        </is>
      </c>
      <c r="F5075" t="n">
        <v>600000</v>
      </c>
      <c r="G5075" t="inlineStr">
        <is>
          <t>t/yr</t>
        </is>
      </c>
      <c r="H5075" t="n">
        <v>54</v>
      </c>
      <c r="I5075" t="inlineStr">
        <is>
          <t>pabrik biodiesel yang berkapasitas 600 ribu ton per tahun tetap beroperasi dengan kapasitas penuh</t>
        </is>
      </c>
      <c r="J5075" t="inlineStr">
        <is>
          <t>High</t>
        </is>
      </c>
      <c r="M5075" t="inlineStr">
        <is>
          <t>LLM</t>
        </is>
      </c>
      <c r="N5075" t="inlineStr">
        <is>
          <t>2026-04-19</t>
        </is>
      </c>
      <c r="O5075" t="inlineStr">
        <is>
          <t>AI</t>
        </is>
      </c>
    </row>
    <row r="5076">
      <c r="A5076" t="inlineStr">
        <is>
          <t>PT Sinar Mas Agro Resources and Technology Tbk</t>
        </is>
      </c>
      <c r="B5076" t="inlineStr">
        <is>
          <t>SMAR_2022_AR.pdf</t>
        </is>
      </c>
      <c r="C5076" t="n">
        <v>2022</v>
      </c>
      <c r="D5076" t="inlineStr">
        <is>
          <t>Asset</t>
        </is>
      </c>
      <c r="E5076" t="inlineStr">
        <is>
          <t>Biodiesel Expansion (end-2022)</t>
        </is>
      </c>
      <c r="F5076" t="n">
        <v>450000</v>
      </c>
      <c r="G5076" t="inlineStr">
        <is>
          <t>t/yr</t>
        </is>
      </c>
      <c r="H5076" t="n">
        <v>54</v>
      </c>
      <c r="I5076" t="inlineStr">
        <is>
          <t>kami menyelesaikan perluasan pabrik biodiesel di Kalimantan Selatan dengan tambahan kapasitas 450 ribu ton</t>
        </is>
      </c>
      <c r="J5076" t="inlineStr">
        <is>
          <t>High</t>
        </is>
      </c>
      <c r="M5076" t="inlineStr">
        <is>
          <t>LLM</t>
        </is>
      </c>
      <c r="N5076" t="inlineStr">
        <is>
          <t>2026-04-19</t>
        </is>
      </c>
      <c r="O5076" t="inlineStr">
        <is>
          <t>AI</t>
        </is>
      </c>
    </row>
    <row r="5077">
      <c r="A5077" t="inlineStr">
        <is>
          <t>PT Sinar Mas Agro Resources and Technology Tbk</t>
        </is>
      </c>
      <c r="B5077" t="inlineStr">
        <is>
          <t>SMAR_2022_AR.pdf</t>
        </is>
      </c>
      <c r="C5077" t="n">
        <v>2022</v>
      </c>
      <c r="D5077" t="inlineStr">
        <is>
          <t>Operation</t>
        </is>
      </c>
      <c r="E5077" t="inlineStr">
        <is>
          <t>FFB Harvested</t>
        </is>
      </c>
      <c r="F5077" t="n">
        <v>2480000</v>
      </c>
      <c r="G5077" t="inlineStr">
        <is>
          <t>t</t>
        </is>
      </c>
      <c r="H5077" t="n">
        <v>52</v>
      </c>
      <c r="I5077" t="inlineStr">
        <is>
          <t>Tandan buah segar (TBS) yang dipanen selama tahun berjalan meningkat 2% menjadi 2.48 juta ton</t>
        </is>
      </c>
      <c r="J5077" t="inlineStr">
        <is>
          <t>High</t>
        </is>
      </c>
      <c r="M5077" t="inlineStr">
        <is>
          <t>LLM</t>
        </is>
      </c>
      <c r="N5077" t="inlineStr">
        <is>
          <t>2026-04-19</t>
        </is>
      </c>
      <c r="O5077" t="inlineStr">
        <is>
          <t>AI</t>
        </is>
      </c>
    </row>
    <row r="5078">
      <c r="A5078" t="inlineStr">
        <is>
          <t>PT Sinar Mas Agro Resources and Technology Tbk</t>
        </is>
      </c>
      <c r="B5078" t="inlineStr">
        <is>
          <t>SMAR_2022_AR.pdf</t>
        </is>
      </c>
      <c r="C5078" t="n">
        <v>2022</v>
      </c>
      <c r="D5078" t="inlineStr">
        <is>
          <t>Operation</t>
        </is>
      </c>
      <c r="E5078" t="inlineStr">
        <is>
          <t>FFB Yield</t>
        </is>
      </c>
      <c r="F5078" t="n">
        <v>19.2</v>
      </c>
      <c r="G5078" t="inlineStr">
        <is>
          <t>t/ha</t>
        </is>
      </c>
      <c r="H5078" t="n">
        <v>52</v>
      </c>
      <c r="I5078" t="inlineStr">
        <is>
          <t>produktivitas buah rata-rata sebesar 19.2 ton per hektar</t>
        </is>
      </c>
      <c r="J5078" t="inlineStr">
        <is>
          <t>High</t>
        </is>
      </c>
      <c r="M5078" t="inlineStr">
        <is>
          <t>LLM</t>
        </is>
      </c>
      <c r="N5078" t="inlineStr">
        <is>
          <t>2026-04-19</t>
        </is>
      </c>
      <c r="O5078" t="inlineStr">
        <is>
          <t>AI</t>
        </is>
      </c>
    </row>
    <row r="5079">
      <c r="A5079" t="inlineStr">
        <is>
          <t>PT Sinar Mas Agro Resources and Technology Tbk</t>
        </is>
      </c>
      <c r="B5079" t="inlineStr">
        <is>
          <t>SMAR_2022_AR.pdf</t>
        </is>
      </c>
      <c r="C5079" t="n">
        <v>2022</v>
      </c>
      <c r="D5079" t="inlineStr">
        <is>
          <t>Operation</t>
        </is>
      </c>
      <c r="E5079" t="inlineStr">
        <is>
          <t>CPO Production</t>
        </is>
      </c>
      <c r="F5079" t="n">
        <v>572000</v>
      </c>
      <c r="G5079" t="inlineStr">
        <is>
          <t>t</t>
        </is>
      </c>
      <c r="H5079" t="n">
        <v>53</v>
      </c>
      <c r="I5079" t="inlineStr">
        <is>
          <t>729 thousand tonnes, comprising 572 thousand tonnes of CPO and 157 thousand tonnes of PK</t>
        </is>
      </c>
      <c r="J5079" t="inlineStr">
        <is>
          <t>High</t>
        </is>
      </c>
      <c r="M5079" t="inlineStr">
        <is>
          <t>LLM</t>
        </is>
      </c>
      <c r="N5079" t="inlineStr">
        <is>
          <t>2026-04-19</t>
        </is>
      </c>
      <c r="O5079" t="inlineStr">
        <is>
          <t>AI</t>
        </is>
      </c>
    </row>
    <row r="5080">
      <c r="A5080" t="inlineStr">
        <is>
          <t>PT Sinar Mas Agro Resources and Technology Tbk</t>
        </is>
      </c>
      <c r="B5080" t="inlineStr">
        <is>
          <t>SMAR_2022_AR.pdf</t>
        </is>
      </c>
      <c r="C5080" t="n">
        <v>2022</v>
      </c>
      <c r="D5080" t="inlineStr">
        <is>
          <t>Operation</t>
        </is>
      </c>
      <c r="E5080" t="inlineStr">
        <is>
          <t>Palm Kernel Production</t>
        </is>
      </c>
      <c r="F5080" t="n">
        <v>157000</v>
      </c>
      <c r="G5080" t="inlineStr">
        <is>
          <t>t</t>
        </is>
      </c>
      <c r="H5080" t="n">
        <v>53</v>
      </c>
      <c r="I5080" t="inlineStr">
        <is>
          <t>157 thousand tonnes of PK</t>
        </is>
      </c>
      <c r="J5080" t="inlineStr">
        <is>
          <t>High</t>
        </is>
      </c>
      <c r="M5080" t="inlineStr">
        <is>
          <t>LLM</t>
        </is>
      </c>
      <c r="N5080" t="inlineStr">
        <is>
          <t>2026-04-19</t>
        </is>
      </c>
      <c r="O5080" t="inlineStr">
        <is>
          <t>AI</t>
        </is>
      </c>
    </row>
    <row r="5081">
      <c r="A5081" t="inlineStr">
        <is>
          <t>PT Sinar Mas Agro Resources and Technology Tbk</t>
        </is>
      </c>
      <c r="B5081" t="inlineStr">
        <is>
          <t>SMAR_2022_AR.pdf</t>
        </is>
      </c>
      <c r="C5081" t="n">
        <v>2022</v>
      </c>
      <c r="D5081" t="inlineStr">
        <is>
          <t>Operation</t>
        </is>
      </c>
      <c r="E5081" t="inlineStr">
        <is>
          <t>Palm Product Output</t>
        </is>
      </c>
      <c r="F5081" t="n">
        <v>729000</v>
      </c>
      <c r="G5081" t="inlineStr">
        <is>
          <t>t</t>
        </is>
      </c>
      <c r="H5081" t="n">
        <v>10</v>
      </c>
      <c r="I5081" t="inlineStr">
        <is>
          <t>Output produk sawit 729 700 739 (000 tonnes)</t>
        </is>
      </c>
      <c r="J5081" t="inlineStr">
        <is>
          <t>High</t>
        </is>
      </c>
      <c r="M5081" t="inlineStr">
        <is>
          <t>LLM</t>
        </is>
      </c>
      <c r="N5081" t="inlineStr">
        <is>
          <t>2026-04-19</t>
        </is>
      </c>
      <c r="O5081" t="inlineStr">
        <is>
          <t>AI</t>
        </is>
      </c>
    </row>
    <row r="5082">
      <c r="A5082" t="inlineStr">
        <is>
          <t>PT Sinar Mas Agro Resources and Technology Tbk</t>
        </is>
      </c>
      <c r="B5082" t="inlineStr">
        <is>
          <t>SMAR_2022_AR.pdf</t>
        </is>
      </c>
      <c r="C5082" t="n">
        <v>2022</v>
      </c>
      <c r="D5082" t="inlineStr">
        <is>
          <t>Operation</t>
        </is>
      </c>
      <c r="E5082" t="inlineStr">
        <is>
          <t>Palm Product Yield</t>
        </is>
      </c>
      <c r="F5082" t="n">
        <v>5.1</v>
      </c>
      <c r="G5082" t="inlineStr">
        <is>
          <t>t/ha</t>
        </is>
      </c>
      <c r="H5082" t="n">
        <v>53</v>
      </c>
      <c r="I5082" t="inlineStr">
        <is>
          <t>Produktivitas rata-rata produk sawit ini mencapai 5.1 ton per hektar</t>
        </is>
      </c>
      <c r="J5082" t="inlineStr">
        <is>
          <t>High</t>
        </is>
      </c>
      <c r="M5082" t="inlineStr">
        <is>
          <t>LLM</t>
        </is>
      </c>
      <c r="N5082" t="inlineStr">
        <is>
          <t>2026-04-19</t>
        </is>
      </c>
      <c r="O5082" t="inlineStr">
        <is>
          <t>AI</t>
        </is>
      </c>
    </row>
    <row r="5083">
      <c r="A5083" t="inlineStr">
        <is>
          <t>PT Sinar Mas Agro Resources and Technology Tbk</t>
        </is>
      </c>
      <c r="B5083" t="inlineStr">
        <is>
          <t>SMAR_2022_AR.pdf</t>
        </is>
      </c>
      <c r="C5083" t="n">
        <v>2022</v>
      </c>
      <c r="D5083" t="inlineStr">
        <is>
          <t>Operation</t>
        </is>
      </c>
      <c r="E5083" t="inlineStr">
        <is>
          <t>OER (Oil Extraction Rate)</t>
        </is>
      </c>
      <c r="F5083" t="n">
        <v>0.208</v>
      </c>
      <c r="G5083" t="inlineStr">
        <is>
          <t>%</t>
        </is>
      </c>
      <c r="H5083" t="n">
        <v>53</v>
      </c>
      <c r="I5083" t="inlineStr">
        <is>
          <t>tingkat ekstraksi minyak dan inti sawit masing-masing sebesar 20.8% dan 5.7%</t>
        </is>
      </c>
      <c r="J5083" t="inlineStr">
        <is>
          <t>High</t>
        </is>
      </c>
      <c r="M5083" t="inlineStr">
        <is>
          <t>LLM</t>
        </is>
      </c>
      <c r="N5083" t="inlineStr">
        <is>
          <t>2026-04-19</t>
        </is>
      </c>
      <c r="O5083" t="inlineStr">
        <is>
          <t>AI</t>
        </is>
      </c>
    </row>
    <row r="5084">
      <c r="A5084" t="inlineStr">
        <is>
          <t>PT Sinar Mas Agro Resources and Technology Tbk</t>
        </is>
      </c>
      <c r="B5084" t="inlineStr">
        <is>
          <t>SMAR_2022_AR.pdf</t>
        </is>
      </c>
      <c r="C5084" t="n">
        <v>2022</v>
      </c>
      <c r="D5084" t="inlineStr">
        <is>
          <t>Operation</t>
        </is>
      </c>
      <c r="E5084" t="inlineStr">
        <is>
          <t>KER (Kernel Extraction Rate)</t>
        </is>
      </c>
      <c r="F5084" t="n">
        <v>0.057</v>
      </c>
      <c r="G5084" t="inlineStr">
        <is>
          <t>%</t>
        </is>
      </c>
      <c r="H5084" t="n">
        <v>53</v>
      </c>
      <c r="I5084" t="inlineStr">
        <is>
          <t>20.8% dan 5.7%</t>
        </is>
      </c>
      <c r="J5084" t="inlineStr">
        <is>
          <t>High</t>
        </is>
      </c>
      <c r="M5084" t="inlineStr">
        <is>
          <t>LLM</t>
        </is>
      </c>
      <c r="N5084" t="inlineStr">
        <is>
          <t>2026-04-19</t>
        </is>
      </c>
      <c r="O5084" t="inlineStr">
        <is>
          <t>AI</t>
        </is>
      </c>
    </row>
    <row r="5085">
      <c r="A5085" t="inlineStr">
        <is>
          <t>PT Sinar Mas Agro Resources and Technology Tbk</t>
        </is>
      </c>
      <c r="B5085" t="inlineStr">
        <is>
          <t>SMAR_2022_AR.pdf</t>
        </is>
      </c>
      <c r="C5085" t="n">
        <v>2022</v>
      </c>
      <c r="D5085" t="inlineStr">
        <is>
          <t>Operation</t>
        </is>
      </c>
      <c r="E5085" t="inlineStr">
        <is>
          <t>Sales Volume</t>
        </is>
      </c>
      <c r="F5085" t="n">
        <v>4900000</v>
      </c>
      <c r="G5085" t="inlineStr">
        <is>
          <t>t</t>
        </is>
      </c>
      <c r="H5085" t="n">
        <v>50</v>
      </c>
      <c r="I5085" t="inlineStr">
        <is>
          <t>SALES VOLUME 4.9 million mt</t>
        </is>
      </c>
      <c r="J5085" t="inlineStr">
        <is>
          <t>High</t>
        </is>
      </c>
      <c r="M5085" t="inlineStr">
        <is>
          <t>LLM</t>
        </is>
      </c>
      <c r="N5085" t="inlineStr">
        <is>
          <t>2026-04-19</t>
        </is>
      </c>
      <c r="O5085" t="inlineStr">
        <is>
          <t>AI</t>
        </is>
      </c>
    </row>
    <row r="5086">
      <c r="A5086" t="inlineStr">
        <is>
          <t>PT Sinar Mas Agro Resources and Technology Tbk</t>
        </is>
      </c>
      <c r="B5086" t="inlineStr">
        <is>
          <t>SMAR_2022_AR.pdf</t>
        </is>
      </c>
      <c r="C5086" t="n">
        <v>2022</v>
      </c>
      <c r="D5086" t="inlineStr">
        <is>
          <t>Operation</t>
        </is>
      </c>
      <c r="E5086" t="inlineStr">
        <is>
          <t>Biodiesel Sales</t>
        </is>
      </c>
      <c r="F5086" t="n">
        <v>678000</v>
      </c>
      <c r="G5086" t="inlineStr">
        <is>
          <t>t</t>
        </is>
      </c>
      <c r="H5086" t="n">
        <v>10</v>
      </c>
      <c r="I5086" t="inlineStr">
        <is>
          <t>Penjualan biodiesel 678 646 656 (000 tonnes)</t>
        </is>
      </c>
      <c r="J5086" t="inlineStr">
        <is>
          <t>High</t>
        </is>
      </c>
      <c r="M5086" t="inlineStr">
        <is>
          <t>LLM</t>
        </is>
      </c>
      <c r="N5086" t="inlineStr">
        <is>
          <t>2026-04-19</t>
        </is>
      </c>
      <c r="O5086" t="inlineStr">
        <is>
          <t>AI</t>
        </is>
      </c>
    </row>
    <row r="5087">
      <c r="A5087" t="inlineStr">
        <is>
          <t>PT Sinar Mas Agro Resources and Technology Tbk</t>
        </is>
      </c>
      <c r="B5087" t="inlineStr">
        <is>
          <t>SMAR_2022_AR.pdf</t>
        </is>
      </c>
      <c r="C5087" t="n">
        <v>2022</v>
      </c>
      <c r="D5087" t="inlineStr">
        <is>
          <t>Operation</t>
        </is>
      </c>
      <c r="E5087" t="inlineStr">
        <is>
          <t>Refinery Utilisation</t>
        </is>
      </c>
      <c r="F5087" t="n">
        <v>0.95</v>
      </c>
      <c r="G5087" t="inlineStr">
        <is>
          <t>%</t>
        </is>
      </c>
      <c r="H5087" t="n">
        <v>54</v>
      </c>
      <c r="I5087" t="inlineStr">
        <is>
          <t>Kami berhasil meningkatkan utilisasi pabrik rafinasi menjadi 95%</t>
        </is>
      </c>
      <c r="J5087" t="inlineStr">
        <is>
          <t>High</t>
        </is>
      </c>
      <c r="M5087" t="inlineStr">
        <is>
          <t>LLM</t>
        </is>
      </c>
      <c r="N5087" t="inlineStr">
        <is>
          <t>2026-04-19</t>
        </is>
      </c>
      <c r="O5087" t="inlineStr">
        <is>
          <t>AI</t>
        </is>
      </c>
    </row>
    <row r="5088">
      <c r="A5088" t="inlineStr">
        <is>
          <t>PT Sinar Mas Agro Resources and Technology Tbk</t>
        </is>
      </c>
      <c r="B5088" t="inlineStr">
        <is>
          <t>SMAR_2022_AR.pdf</t>
        </is>
      </c>
      <c r="C5088" t="n">
        <v>2022</v>
      </c>
      <c r="D5088" t="inlineStr">
        <is>
          <t>Operation</t>
        </is>
      </c>
      <c r="E5088" t="inlineStr">
        <is>
          <t>Biodiesel Utilisation</t>
        </is>
      </c>
      <c r="F5088" t="n">
        <v>1</v>
      </c>
      <c r="G5088" t="inlineStr">
        <is>
          <t>%</t>
        </is>
      </c>
      <c r="H5088" t="n">
        <v>54</v>
      </c>
      <c r="I5088" t="inlineStr">
        <is>
          <t>pabrik biodiesel yang berkapasitas 600 ribu ton per tahun tetap beroperasi dengan kapasitas penuh</t>
        </is>
      </c>
      <c r="J5088" t="inlineStr">
        <is>
          <t>High</t>
        </is>
      </c>
      <c r="M5088" t="inlineStr">
        <is>
          <t>LLM</t>
        </is>
      </c>
      <c r="N5088" t="inlineStr">
        <is>
          <t>2026-04-19</t>
        </is>
      </c>
      <c r="O5088" t="inlineStr">
        <is>
          <t>AI</t>
        </is>
      </c>
    </row>
    <row r="5089">
      <c r="A5089" t="inlineStr">
        <is>
          <t>PT Sinar Mas Agro Resources and Technology Tbk</t>
        </is>
      </c>
      <c r="B5089" t="inlineStr">
        <is>
          <t>SMAR_2022_AR.pdf</t>
        </is>
      </c>
      <c r="C5089" t="n">
        <v>2022</v>
      </c>
      <c r="D5089" t="inlineStr">
        <is>
          <t>Operation</t>
        </is>
      </c>
      <c r="E5089" t="inlineStr">
        <is>
          <t>Avg CPO Price (FOB Belawan)</t>
        </is>
      </c>
      <c r="F5089" t="n">
        <v>1248</v>
      </c>
      <c r="G5089" t="inlineStr">
        <is>
          <t>USD/t</t>
        </is>
      </c>
      <c r="H5089" t="n">
        <v>8</v>
      </c>
      <c r="I5089" t="inlineStr">
        <is>
          <t>Harga rata-rata CPO - FOB Belawan 1,248 1,168 691</t>
        </is>
      </c>
      <c r="J5089" t="inlineStr">
        <is>
          <t>High</t>
        </is>
      </c>
      <c r="M5089" t="inlineStr">
        <is>
          <t>LLM</t>
        </is>
      </c>
      <c r="N5089" t="inlineStr">
        <is>
          <t>2026-04-19</t>
        </is>
      </c>
      <c r="O5089" t="inlineStr">
        <is>
          <t>AI</t>
        </is>
      </c>
    </row>
    <row r="5090">
      <c r="A5090" t="inlineStr">
        <is>
          <t>PT Sinar Mas Agro Resources and Technology Tbk</t>
        </is>
      </c>
      <c r="B5090" t="inlineStr">
        <is>
          <t>SMAR_2022_AR.pdf</t>
        </is>
      </c>
      <c r="C5090" t="n">
        <v>2022</v>
      </c>
      <c r="D5090" t="inlineStr">
        <is>
          <t>Operation</t>
        </is>
      </c>
      <c r="E5090" t="inlineStr">
        <is>
          <t>FFB from RSPO Estates</t>
        </is>
      </c>
      <c r="F5090" t="n">
        <v>1696000</v>
      </c>
      <c r="G5090" t="inlineStr">
        <is>
          <t>t</t>
        </is>
      </c>
      <c r="H5090" t="n">
        <v>10</v>
      </c>
      <c r="I5090" t="inlineStr">
        <is>
          <t>Kebun bersertifikasi RSPO 1,696 1,714 1,814</t>
        </is>
      </c>
      <c r="J5090" t="inlineStr">
        <is>
          <t>High</t>
        </is>
      </c>
      <c r="M5090" t="inlineStr">
        <is>
          <t>LLM</t>
        </is>
      </c>
      <c r="N5090" t="inlineStr">
        <is>
          <t>2026-04-19</t>
        </is>
      </c>
      <c r="O5090" t="inlineStr">
        <is>
          <t>AI</t>
        </is>
      </c>
    </row>
    <row r="5091">
      <c r="A5091" t="inlineStr">
        <is>
          <t>PT Sinar Mas Agro Resources and Technology Tbk</t>
        </is>
      </c>
      <c r="B5091" t="inlineStr">
        <is>
          <t>SMAR_2022_AR.pdf</t>
        </is>
      </c>
      <c r="C5091" t="n">
        <v>2022</v>
      </c>
      <c r="D5091" t="inlineStr">
        <is>
          <t>Operation</t>
        </is>
      </c>
      <c r="E5091" t="inlineStr">
        <is>
          <t>FFB from ISPO Estates</t>
        </is>
      </c>
      <c r="F5091" t="n">
        <v>1643000</v>
      </c>
      <c r="G5091" t="inlineStr">
        <is>
          <t>t</t>
        </is>
      </c>
      <c r="H5091" t="n">
        <v>10</v>
      </c>
      <c r="I5091" t="inlineStr">
        <is>
          <t>Kebun bersertifikasi ISPO 1,643 1,635 1,771</t>
        </is>
      </c>
      <c r="J5091" t="inlineStr">
        <is>
          <t>High</t>
        </is>
      </c>
      <c r="M5091" t="inlineStr">
        <is>
          <t>LLM</t>
        </is>
      </c>
      <c r="N5091" t="inlineStr">
        <is>
          <t>2026-04-19</t>
        </is>
      </c>
      <c r="O5091" t="inlineStr">
        <is>
          <t>AI</t>
        </is>
      </c>
    </row>
    <row r="5092">
      <c r="A5092" t="inlineStr">
        <is>
          <t>PT Sinar Mas Agro Resources and Technology Tbk</t>
        </is>
      </c>
      <c r="B5092" t="inlineStr">
        <is>
          <t>SMAR_2022_AR.pdf</t>
        </is>
      </c>
      <c r="C5092" t="n">
        <v>2022</v>
      </c>
      <c r="D5092" t="inlineStr">
        <is>
          <t>ESG</t>
        </is>
      </c>
      <c r="E5092" t="inlineStr">
        <is>
          <t>Traceability to Plantation</t>
        </is>
      </c>
      <c r="F5092" t="n">
        <v>0.98</v>
      </c>
      <c r="G5092" t="inlineStr">
        <is>
          <t>%</t>
        </is>
      </c>
      <c r="H5092" t="n">
        <v>10</v>
      </c>
      <c r="I5092" t="inlineStr">
        <is>
          <t>Kemamputelusuran rantai pasok hingga ke perkebunan 98 95 90</t>
        </is>
      </c>
      <c r="J5092" t="inlineStr">
        <is>
          <t>High</t>
        </is>
      </c>
      <c r="M5092" t="inlineStr">
        <is>
          <t>LLM</t>
        </is>
      </c>
      <c r="N5092" t="inlineStr">
        <is>
          <t>2026-04-19</t>
        </is>
      </c>
      <c r="O5092" t="inlineStr">
        <is>
          <t>AI</t>
        </is>
      </c>
    </row>
    <row r="5093">
      <c r="A5093" t="inlineStr">
        <is>
          <t>PT Sinar Mas Agro Resources and Technology Tbk</t>
        </is>
      </c>
      <c r="B5093" t="inlineStr">
        <is>
          <t>SMAR_2022_AR.pdf</t>
        </is>
      </c>
      <c r="C5093" t="n">
        <v>2022</v>
      </c>
      <c r="D5093" t="inlineStr">
        <is>
          <t>ESG</t>
        </is>
      </c>
      <c r="E5093" t="inlineStr">
        <is>
          <t>HCV/HCS Area</t>
        </is>
      </c>
      <c r="F5093" t="n">
        <v>9300</v>
      </c>
      <c r="G5093" t="inlineStr">
        <is>
          <t>ha</t>
        </is>
      </c>
      <c r="H5093" t="n">
        <v>10</v>
      </c>
      <c r="I5093" t="inlineStr">
        <is>
          <t>Identifikasi dan konservasi area NKT &amp; SKT hektar 9,300</t>
        </is>
      </c>
      <c r="J5093" t="inlineStr">
        <is>
          <t>High</t>
        </is>
      </c>
      <c r="M5093" t="inlineStr">
        <is>
          <t>LLM</t>
        </is>
      </c>
      <c r="N5093" t="inlineStr">
        <is>
          <t>2026-04-19</t>
        </is>
      </c>
      <c r="O5093" t="inlineStr">
        <is>
          <t>AI</t>
        </is>
      </c>
    </row>
    <row r="5094">
      <c r="A5094" t="inlineStr">
        <is>
          <t>PT Sinar Mas Agro Resources and Technology Tbk</t>
        </is>
      </c>
      <c r="B5094" t="inlineStr">
        <is>
          <t>SMAR_2022_AR.pdf</t>
        </is>
      </c>
      <c r="C5094" t="n">
        <v>2022</v>
      </c>
      <c r="D5094" t="inlineStr">
        <is>
          <t>ESG</t>
        </is>
      </c>
      <c r="E5094" t="inlineStr">
        <is>
          <t>Conserved Forest w/ Community</t>
        </is>
      </c>
      <c r="F5094" t="n">
        <v>43000</v>
      </c>
      <c r="G5094" t="inlineStr">
        <is>
          <t>ha</t>
        </is>
      </c>
      <c r="H5094" t="n">
        <v>10</v>
      </c>
      <c r="I5094" t="inlineStr">
        <is>
          <t>Pelestarian hutan bekerja sama dengan masyarakat setempat hektar 43,000</t>
        </is>
      </c>
      <c r="J5094" t="inlineStr">
        <is>
          <t>High</t>
        </is>
      </c>
      <c r="M5094" t="inlineStr">
        <is>
          <t>LLM</t>
        </is>
      </c>
      <c r="N5094" t="inlineStr">
        <is>
          <t>2026-04-19</t>
        </is>
      </c>
      <c r="O5094" t="inlineStr">
        <is>
          <t>AI</t>
        </is>
      </c>
    </row>
    <row r="5095">
      <c r="A5095" t="inlineStr">
        <is>
          <t>PT Sinar Mas Agro Resources and Technology Tbk</t>
        </is>
      </c>
      <c r="B5095" t="inlineStr">
        <is>
          <t>SMAR_2022_AR.pdf</t>
        </is>
      </c>
      <c r="C5095" t="n">
        <v>2022</v>
      </c>
      <c r="D5095" t="inlineStr">
        <is>
          <t>ESG</t>
        </is>
      </c>
      <c r="E5095" t="inlineStr">
        <is>
          <t>Water Consumption</t>
        </is>
      </c>
      <c r="F5095" t="n">
        <v>7749207</v>
      </c>
      <c r="G5095" t="inlineStr">
        <is>
          <t>m3</t>
        </is>
      </c>
      <c r="H5095" t="n">
        <v>10</v>
      </c>
      <c r="I5095" t="inlineStr">
        <is>
          <t>Penggunaan air megaliter 7,749,207</t>
        </is>
      </c>
      <c r="J5095" t="inlineStr">
        <is>
          <t>High</t>
        </is>
      </c>
      <c r="M5095" t="inlineStr">
        <is>
          <t>LLM</t>
        </is>
      </c>
      <c r="N5095" t="inlineStr">
        <is>
          <t>2026-04-19</t>
        </is>
      </c>
      <c r="O5095" t="inlineStr">
        <is>
          <t>AI</t>
        </is>
      </c>
    </row>
    <row r="5096">
      <c r="A5096" t="inlineStr">
        <is>
          <t>PT Sinar Mas Agro Resources and Technology Tbk</t>
        </is>
      </c>
      <c r="B5096" t="inlineStr">
        <is>
          <t>SMAR_2022_AR.pdf</t>
        </is>
      </c>
      <c r="C5096" t="n">
        <v>2022</v>
      </c>
      <c r="D5096" t="inlineStr">
        <is>
          <t>ESG</t>
        </is>
      </c>
      <c r="E5096" t="inlineStr">
        <is>
          <t>Smallholders Ksatria Sawit</t>
        </is>
      </c>
      <c r="F5096" t="n">
        <v>146000</v>
      </c>
      <c r="G5096" t="inlineStr">
        <is>
          <t>people</t>
        </is>
      </c>
      <c r="H5096" t="n">
        <v>10</v>
      </c>
      <c r="I5096" t="inlineStr">
        <is>
          <t>Petani swadaya dalam program Ksatria Sawit 146,000</t>
        </is>
      </c>
      <c r="J5096" t="inlineStr">
        <is>
          <t>High</t>
        </is>
      </c>
      <c r="M5096" t="inlineStr">
        <is>
          <t>LLM</t>
        </is>
      </c>
      <c r="N5096" t="inlineStr">
        <is>
          <t>2026-04-19</t>
        </is>
      </c>
      <c r="O5096" t="inlineStr">
        <is>
          <t>AI</t>
        </is>
      </c>
    </row>
    <row r="5097">
      <c r="A5097" t="inlineStr">
        <is>
          <t>PT Sinar Mas Agro Resources and Technology Tbk</t>
        </is>
      </c>
      <c r="B5097" t="inlineStr">
        <is>
          <t>SMAR_2023_AR.pdf</t>
        </is>
      </c>
      <c r="C5097" t="n">
        <v>2023</v>
      </c>
      <c r="D5097" t="inlineStr">
        <is>
          <t>Company</t>
        </is>
      </c>
      <c r="E5097" t="inlineStr">
        <is>
          <t>Company Name</t>
        </is>
      </c>
      <c r="F5097" t="inlineStr">
        <is>
          <t>PT Sinar Mas Agro Resources and Technology Tbk</t>
        </is>
      </c>
      <c r="G5097" t="inlineStr">
        <is>
          <t>text</t>
        </is>
      </c>
      <c r="H5097" t="n">
        <v>1</v>
      </c>
      <c r="I5097" t="inlineStr">
        <is>
          <t>PT SINAR MAS AGRO RESOURCES AND TECHNOLOGY TBK - Annual and Sustainability Report 2023</t>
        </is>
      </c>
      <c r="J5097" t="inlineStr">
        <is>
          <t>High</t>
        </is>
      </c>
      <c r="M5097" t="inlineStr">
        <is>
          <t>LLM</t>
        </is>
      </c>
      <c r="N5097" t="inlineStr">
        <is>
          <t>2026-04-19</t>
        </is>
      </c>
      <c r="O5097" t="inlineStr">
        <is>
          <t>AI</t>
        </is>
      </c>
    </row>
    <row r="5098">
      <c r="A5098" t="inlineStr">
        <is>
          <t>PT Sinar Mas Agro Resources and Technology Tbk</t>
        </is>
      </c>
      <c r="B5098" t="inlineStr">
        <is>
          <t>SMAR_2023_AR.pdf</t>
        </is>
      </c>
      <c r="C5098" t="n">
        <v>2023</v>
      </c>
      <c r="D5098" t="inlineStr">
        <is>
          <t>Company</t>
        </is>
      </c>
      <c r="E5098" t="inlineStr">
        <is>
          <t>Controlling Shareholder</t>
        </is>
      </c>
      <c r="F5098" t="inlineStr">
        <is>
          <t>PT Purimas Sasmita 92.40%</t>
        </is>
      </c>
      <c r="G5098" t="inlineStr">
        <is>
          <t>%</t>
        </is>
      </c>
      <c r="H5098" t="n">
        <v>153</v>
      </c>
      <c r="I5098" t="inlineStr">
        <is>
          <t>PT Purimas Sasmita 2,653,897,571 92.40%</t>
        </is>
      </c>
      <c r="J5098" t="inlineStr">
        <is>
          <t>High</t>
        </is>
      </c>
      <c r="M5098" t="inlineStr">
        <is>
          <t>LLM</t>
        </is>
      </c>
      <c r="N5098" t="inlineStr">
        <is>
          <t>2026-04-19</t>
        </is>
      </c>
      <c r="O5098" t="inlineStr">
        <is>
          <t>AI</t>
        </is>
      </c>
    </row>
    <row r="5099">
      <c r="A5099" t="inlineStr">
        <is>
          <t>PT Sinar Mas Agro Resources and Technology Tbk</t>
        </is>
      </c>
      <c r="B5099" t="inlineStr">
        <is>
          <t>SMAR_2023_AR.pdf</t>
        </is>
      </c>
      <c r="C5099" t="n">
        <v>2023</v>
      </c>
      <c r="D5099" t="inlineStr">
        <is>
          <t>Company</t>
        </is>
      </c>
      <c r="E5099" t="inlineStr">
        <is>
          <t>Public Float</t>
        </is>
      </c>
      <c r="F5099" t="n">
        <v>0.076</v>
      </c>
      <c r="G5099" t="inlineStr">
        <is>
          <t>%</t>
        </is>
      </c>
      <c r="H5099" t="n">
        <v>153</v>
      </c>
      <c r="I5099" t="inlineStr">
        <is>
          <t>Others (each below 5% of ownership) 218,295,795 7.60%</t>
        </is>
      </c>
      <c r="J5099" t="inlineStr">
        <is>
          <t>High</t>
        </is>
      </c>
      <c r="M5099" t="inlineStr">
        <is>
          <t>LLM</t>
        </is>
      </c>
      <c r="N5099" t="inlineStr">
        <is>
          <t>2026-04-19</t>
        </is>
      </c>
      <c r="O5099" t="inlineStr">
        <is>
          <t>AI</t>
        </is>
      </c>
    </row>
    <row r="5100">
      <c r="A5100" t="inlineStr">
        <is>
          <t>PT Sinar Mas Agro Resources and Technology Tbk</t>
        </is>
      </c>
      <c r="B5100" t="inlineStr">
        <is>
          <t>SMAR_2023_AR.pdf</t>
        </is>
      </c>
      <c r="C5100" t="n">
        <v>2023</v>
      </c>
      <c r="D5100" t="inlineStr">
        <is>
          <t>Company</t>
        </is>
      </c>
      <c r="E5100" t="inlineStr">
        <is>
          <t>Parent Group (GAR)</t>
        </is>
      </c>
      <c r="F5100" t="inlineStr">
        <is>
          <t>Golden Agri-Resources Ltd</t>
        </is>
      </c>
      <c r="G5100" t="inlineStr">
        <is>
          <t>text</t>
        </is>
      </c>
      <c r="H5100" t="n">
        <v>25</v>
      </c>
      <c r="I5100" t="inlineStr">
        <is>
          <t>Bersama dengan perusahaan induk, Golden Agri-Resources Ltd</t>
        </is>
      </c>
      <c r="J5100" t="inlineStr">
        <is>
          <t>High</t>
        </is>
      </c>
      <c r="M5100" t="inlineStr">
        <is>
          <t>LLM</t>
        </is>
      </c>
      <c r="N5100" t="inlineStr">
        <is>
          <t>2026-04-19</t>
        </is>
      </c>
      <c r="O5100" t="inlineStr">
        <is>
          <t>AI</t>
        </is>
      </c>
    </row>
    <row r="5101">
      <c r="A5101" t="inlineStr">
        <is>
          <t>PT Sinar Mas Agro Resources and Technology Tbk</t>
        </is>
      </c>
      <c r="B5101" t="inlineStr">
        <is>
          <t>SMAR_2023_AR.pdf</t>
        </is>
      </c>
      <c r="C5101" t="n">
        <v>2023</v>
      </c>
      <c r="D5101" t="inlineStr">
        <is>
          <t>Company</t>
        </is>
      </c>
      <c r="E5101" t="inlineStr">
        <is>
          <t>Total Employees</t>
        </is>
      </c>
      <c r="F5101" t="n">
        <v>28200</v>
      </c>
      <c r="G5101" t="inlineStr">
        <is>
          <t>people</t>
        </is>
      </c>
      <c r="H5101" t="n">
        <v>10</v>
      </c>
      <c r="I5101" t="inlineStr">
        <is>
          <t>Jumlah karyawan orang 28,200 27,500 28,900</t>
        </is>
      </c>
      <c r="J5101" t="inlineStr">
        <is>
          <t>High</t>
        </is>
      </c>
      <c r="M5101" t="inlineStr">
        <is>
          <t>LLM</t>
        </is>
      </c>
      <c r="N5101" t="inlineStr">
        <is>
          <t>2026-04-19</t>
        </is>
      </c>
      <c r="O5101" t="inlineStr">
        <is>
          <t>AI</t>
        </is>
      </c>
    </row>
    <row r="5102">
      <c r="A5102" t="inlineStr">
        <is>
          <t>PT Sinar Mas Agro Resources and Technology Tbk</t>
        </is>
      </c>
      <c r="B5102" t="inlineStr">
        <is>
          <t>SMAR_2023_AR.pdf</t>
        </is>
      </c>
      <c r="C5102" t="n">
        <v>2023</v>
      </c>
      <c r="D5102" t="inlineStr">
        <is>
          <t>Company</t>
        </is>
      </c>
      <c r="E5102" t="inlineStr">
        <is>
          <t>Female Employees</t>
        </is>
      </c>
      <c r="F5102" t="n">
        <v>8000</v>
      </c>
      <c r="G5102" t="inlineStr">
        <is>
          <t>people</t>
        </is>
      </c>
      <c r="H5102" t="n">
        <v>10</v>
      </c>
      <c r="I5102" t="inlineStr">
        <is>
          <t>Jumlah karyawan wanita 8,000 7,700 8,200</t>
        </is>
      </c>
      <c r="J5102" t="inlineStr">
        <is>
          <t>High</t>
        </is>
      </c>
      <c r="M5102" t="inlineStr">
        <is>
          <t>LLM</t>
        </is>
      </c>
      <c r="N5102" t="inlineStr">
        <is>
          <t>2026-04-19</t>
        </is>
      </c>
      <c r="O5102" t="inlineStr">
        <is>
          <t>AI</t>
        </is>
      </c>
    </row>
    <row r="5103">
      <c r="A5103" t="inlineStr">
        <is>
          <t>PT Sinar Mas Agro Resources and Technology Tbk</t>
        </is>
      </c>
      <c r="B5103" t="inlineStr">
        <is>
          <t>SMAR_2023_AR.pdf</t>
        </is>
      </c>
      <c r="C5103" t="n">
        <v>2023</v>
      </c>
      <c r="D5103" t="inlineStr">
        <is>
          <t>Financial</t>
        </is>
      </c>
      <c r="E5103" t="inlineStr">
        <is>
          <t>Net Sales</t>
        </is>
      </c>
      <c r="F5103" t="n">
        <v>66531</v>
      </c>
      <c r="G5103" t="inlineStr">
        <is>
          <t>IDR bn</t>
        </is>
      </c>
      <c r="H5103" t="n">
        <v>8</v>
      </c>
      <c r="I5103" t="inlineStr">
        <is>
          <t>Penjualan bersih 66,531 75,046 57,004</t>
        </is>
      </c>
      <c r="J5103" t="inlineStr">
        <is>
          <t>High</t>
        </is>
      </c>
      <c r="M5103" t="inlineStr">
        <is>
          <t>LLM</t>
        </is>
      </c>
      <c r="N5103" t="inlineStr">
        <is>
          <t>2026-04-19</t>
        </is>
      </c>
      <c r="O5103" t="inlineStr">
        <is>
          <t>AI</t>
        </is>
      </c>
    </row>
    <row r="5104">
      <c r="A5104" t="inlineStr">
        <is>
          <t>PT Sinar Mas Agro Resources and Technology Tbk</t>
        </is>
      </c>
      <c r="B5104" t="inlineStr">
        <is>
          <t>SMAR_2023_AR.pdf</t>
        </is>
      </c>
      <c r="C5104" t="n">
        <v>2023</v>
      </c>
      <c r="D5104" t="inlineStr">
        <is>
          <t>Financial</t>
        </is>
      </c>
      <c r="E5104" t="inlineStr">
        <is>
          <t>Gross Profit</t>
        </is>
      </c>
      <c r="F5104" t="n">
        <v>6761</v>
      </c>
      <c r="G5104" t="inlineStr">
        <is>
          <t>IDR bn</t>
        </is>
      </c>
      <c r="H5104" t="n">
        <v>8</v>
      </c>
      <c r="I5104" t="inlineStr">
        <is>
          <t>Laba kotor 6,761 13,312 10,957</t>
        </is>
      </c>
      <c r="J5104" t="inlineStr">
        <is>
          <t>High</t>
        </is>
      </c>
      <c r="M5104" t="inlineStr">
        <is>
          <t>LLM</t>
        </is>
      </c>
      <c r="N5104" t="inlineStr">
        <is>
          <t>2026-04-19</t>
        </is>
      </c>
      <c r="O5104" t="inlineStr">
        <is>
          <t>AI</t>
        </is>
      </c>
    </row>
    <row r="5105">
      <c r="A5105" t="inlineStr">
        <is>
          <t>PT Sinar Mas Agro Resources and Technology Tbk</t>
        </is>
      </c>
      <c r="B5105" t="inlineStr">
        <is>
          <t>SMAR_2023_AR.pdf</t>
        </is>
      </c>
      <c r="C5105" t="n">
        <v>2023</v>
      </c>
      <c r="D5105" t="inlineStr">
        <is>
          <t>Financial</t>
        </is>
      </c>
      <c r="E5105" t="inlineStr">
        <is>
          <t>EBITDA</t>
        </is>
      </c>
      <c r="F5105" t="n">
        <v>3799</v>
      </c>
      <c r="G5105" t="inlineStr">
        <is>
          <t>IDR bn</t>
        </is>
      </c>
      <c r="H5105" t="n">
        <v>8</v>
      </c>
      <c r="I5105" t="inlineStr">
        <is>
          <t>EBITDA1 3,799 9,531 6,118</t>
        </is>
      </c>
      <c r="J5105" t="inlineStr">
        <is>
          <t>High</t>
        </is>
      </c>
      <c r="M5105" t="inlineStr">
        <is>
          <t>LLM</t>
        </is>
      </c>
      <c r="N5105" t="inlineStr">
        <is>
          <t>2026-04-19</t>
        </is>
      </c>
      <c r="O5105" t="inlineStr">
        <is>
          <t>AI</t>
        </is>
      </c>
    </row>
    <row r="5106">
      <c r="A5106" t="inlineStr">
        <is>
          <t>PT Sinar Mas Agro Resources and Technology Tbk</t>
        </is>
      </c>
      <c r="B5106" t="inlineStr">
        <is>
          <t>SMAR_2023_AR.pdf</t>
        </is>
      </c>
      <c r="C5106" t="n">
        <v>2023</v>
      </c>
      <c r="D5106" t="inlineStr">
        <is>
          <t>Financial</t>
        </is>
      </c>
      <c r="E5106" t="inlineStr">
        <is>
          <t>EBIT (Profit from Operations)</t>
        </is>
      </c>
      <c r="F5106" t="n">
        <v>1483</v>
      </c>
      <c r="G5106" t="inlineStr">
        <is>
          <t>IDR bn</t>
        </is>
      </c>
      <c r="H5106" t="n">
        <v>180</v>
      </c>
      <c r="I5106" t="inlineStr">
        <is>
          <t>LABA USAHA 1,483,072 mn (2023); 6,600,885 (2022)</t>
        </is>
      </c>
      <c r="J5106" t="inlineStr">
        <is>
          <t>High</t>
        </is>
      </c>
      <c r="M5106" t="inlineStr">
        <is>
          <t>LLM</t>
        </is>
      </c>
      <c r="N5106" t="inlineStr">
        <is>
          <t>2026-04-19</t>
        </is>
      </c>
      <c r="O5106" t="inlineStr">
        <is>
          <t>AI</t>
        </is>
      </c>
    </row>
    <row r="5107">
      <c r="A5107" t="inlineStr">
        <is>
          <t>PT Sinar Mas Agro Resources and Technology Tbk</t>
        </is>
      </c>
      <c r="B5107" t="inlineStr">
        <is>
          <t>SMAR_2023_AR.pdf</t>
        </is>
      </c>
      <c r="C5107" t="n">
        <v>2023</v>
      </c>
      <c r="D5107" t="inlineStr">
        <is>
          <t>Financial</t>
        </is>
      </c>
      <c r="E5107" t="inlineStr">
        <is>
          <t>Cost of Goods Sold</t>
        </is>
      </c>
      <c r="F5107" t="n">
        <v>59770</v>
      </c>
      <c r="G5107" t="inlineStr">
        <is>
          <t>IDR bn</t>
        </is>
      </c>
      <c r="H5107" t="n">
        <v>180</v>
      </c>
      <c r="I5107" t="inlineStr">
        <is>
          <t>BEBAN POKOK PENJUALAN 59,769,661 mn</t>
        </is>
      </c>
      <c r="J5107" t="inlineStr">
        <is>
          <t>High</t>
        </is>
      </c>
      <c r="M5107" t="inlineStr">
        <is>
          <t>LLM</t>
        </is>
      </c>
      <c r="N5107" t="inlineStr">
        <is>
          <t>2026-04-19</t>
        </is>
      </c>
      <c r="O5107" t="inlineStr">
        <is>
          <t>AI</t>
        </is>
      </c>
    </row>
    <row r="5108">
      <c r="A5108" t="inlineStr">
        <is>
          <t>PT Sinar Mas Agro Resources and Technology Tbk</t>
        </is>
      </c>
      <c r="B5108" t="inlineStr">
        <is>
          <t>SMAR_2023_AR.pdf</t>
        </is>
      </c>
      <c r="C5108" t="n">
        <v>2023</v>
      </c>
      <c r="D5108" t="inlineStr">
        <is>
          <t>Financial</t>
        </is>
      </c>
      <c r="E5108" t="inlineStr">
        <is>
          <t>Selling Expense</t>
        </is>
      </c>
      <c r="F5108" t="n">
        <v>3861</v>
      </c>
      <c r="G5108" t="inlineStr">
        <is>
          <t>IDR bn</t>
        </is>
      </c>
      <c r="H5108" t="n">
        <v>180</v>
      </c>
      <c r="I5108" t="inlineStr">
        <is>
          <t>Penjualan 3,860,766 mn</t>
        </is>
      </c>
      <c r="J5108" t="inlineStr">
        <is>
          <t>High</t>
        </is>
      </c>
      <c r="M5108" t="inlineStr">
        <is>
          <t>LLM</t>
        </is>
      </c>
      <c r="N5108" t="inlineStr">
        <is>
          <t>2026-04-19</t>
        </is>
      </c>
      <c r="O5108" t="inlineStr">
        <is>
          <t>AI</t>
        </is>
      </c>
    </row>
    <row r="5109">
      <c r="A5109" t="inlineStr">
        <is>
          <t>PT Sinar Mas Agro Resources and Technology Tbk</t>
        </is>
      </c>
      <c r="B5109" t="inlineStr">
        <is>
          <t>SMAR_2023_AR.pdf</t>
        </is>
      </c>
      <c r="C5109" t="n">
        <v>2023</v>
      </c>
      <c r="D5109" t="inlineStr">
        <is>
          <t>Financial</t>
        </is>
      </c>
      <c r="E5109" t="inlineStr">
        <is>
          <t>G&amp;A Expense</t>
        </is>
      </c>
      <c r="F5109" t="n">
        <v>1417</v>
      </c>
      <c r="G5109" t="inlineStr">
        <is>
          <t>IDR bn</t>
        </is>
      </c>
      <c r="H5109" t="n">
        <v>180</v>
      </c>
      <c r="I5109" t="inlineStr">
        <is>
          <t>Umum dan administrasi 1,417,050 mn</t>
        </is>
      </c>
      <c r="J5109" t="inlineStr">
        <is>
          <t>High</t>
        </is>
      </c>
      <c r="M5109" t="inlineStr">
        <is>
          <t>LLM</t>
        </is>
      </c>
      <c r="N5109" t="inlineStr">
        <is>
          <t>2026-04-19</t>
        </is>
      </c>
      <c r="O5109" t="inlineStr">
        <is>
          <t>AI</t>
        </is>
      </c>
    </row>
    <row r="5110">
      <c r="A5110" t="inlineStr">
        <is>
          <t>PT Sinar Mas Agro Resources and Technology Tbk</t>
        </is>
      </c>
      <c r="B5110" t="inlineStr">
        <is>
          <t>SMAR_2023_AR.pdf</t>
        </is>
      </c>
      <c r="C5110" t="n">
        <v>2023</v>
      </c>
      <c r="D5110" t="inlineStr">
        <is>
          <t>Financial</t>
        </is>
      </c>
      <c r="E5110" t="inlineStr">
        <is>
          <t>Interest Expense</t>
        </is>
      </c>
      <c r="F5110" t="n">
        <v>1270</v>
      </c>
      <c r="G5110" t="inlineStr">
        <is>
          <t>IDR bn</t>
        </is>
      </c>
      <c r="H5110" t="n">
        <v>180</v>
      </c>
      <c r="I5110" t="inlineStr">
        <is>
          <t>Beban bunga dan keuangan lainnya (1,270,476) mn</t>
        </is>
      </c>
      <c r="J5110" t="inlineStr">
        <is>
          <t>High</t>
        </is>
      </c>
      <c r="M5110" t="inlineStr">
        <is>
          <t>LLM</t>
        </is>
      </c>
      <c r="N5110" t="inlineStr">
        <is>
          <t>2026-04-19</t>
        </is>
      </c>
      <c r="O5110" t="inlineStr">
        <is>
          <t>AI</t>
        </is>
      </c>
    </row>
    <row r="5111">
      <c r="A5111" t="inlineStr">
        <is>
          <t>PT Sinar Mas Agro Resources and Technology Tbk</t>
        </is>
      </c>
      <c r="B5111" t="inlineStr">
        <is>
          <t>SMAR_2023_AR.pdf</t>
        </is>
      </c>
      <c r="C5111" t="n">
        <v>2023</v>
      </c>
      <c r="D5111" t="inlineStr">
        <is>
          <t>Financial</t>
        </is>
      </c>
      <c r="E5111" t="inlineStr">
        <is>
          <t>Share of Associates Profit</t>
        </is>
      </c>
      <c r="F5111" t="n">
        <v>189</v>
      </c>
      <c r="G5111" t="inlineStr">
        <is>
          <t>IDR bn</t>
        </is>
      </c>
      <c r="H5111" t="n">
        <v>180</v>
      </c>
      <c r="I5111" t="inlineStr">
        <is>
          <t>Ekuitas pada laba bersih entitas asosiasi - bersih 189,064 mn</t>
        </is>
      </c>
      <c r="J5111" t="inlineStr">
        <is>
          <t>High</t>
        </is>
      </c>
      <c r="M5111" t="inlineStr">
        <is>
          <t>LLM</t>
        </is>
      </c>
      <c r="N5111" t="inlineStr">
        <is>
          <t>2026-04-19</t>
        </is>
      </c>
      <c r="O5111" t="inlineStr">
        <is>
          <t>AI</t>
        </is>
      </c>
    </row>
    <row r="5112">
      <c r="A5112" t="inlineStr">
        <is>
          <t>PT Sinar Mas Agro Resources and Technology Tbk</t>
        </is>
      </c>
      <c r="B5112" t="inlineStr">
        <is>
          <t>SMAR_2023_AR.pdf</t>
        </is>
      </c>
      <c r="C5112" t="n">
        <v>2023</v>
      </c>
      <c r="D5112" t="inlineStr">
        <is>
          <t>Financial</t>
        </is>
      </c>
      <c r="E5112" t="inlineStr">
        <is>
          <t>Profit Before Tax</t>
        </is>
      </c>
      <c r="F5112" t="n">
        <v>1109</v>
      </c>
      <c r="G5112" t="inlineStr">
        <is>
          <t>IDR bn</t>
        </is>
      </c>
      <c r="H5112" t="n">
        <v>180</v>
      </c>
      <c r="I5112" t="inlineStr">
        <is>
          <t>LABA SEBELUM PAJAK 1,108,886 mn</t>
        </is>
      </c>
      <c r="J5112" t="inlineStr">
        <is>
          <t>High</t>
        </is>
      </c>
      <c r="M5112" t="inlineStr">
        <is>
          <t>LLM</t>
        </is>
      </c>
      <c r="N5112" t="inlineStr">
        <is>
          <t>2026-04-19</t>
        </is>
      </c>
      <c r="O5112" t="inlineStr">
        <is>
          <t>AI</t>
        </is>
      </c>
    </row>
    <row r="5113">
      <c r="A5113" t="inlineStr">
        <is>
          <t>PT Sinar Mas Agro Resources and Technology Tbk</t>
        </is>
      </c>
      <c r="B5113" t="inlineStr">
        <is>
          <t>SMAR_2023_AR.pdf</t>
        </is>
      </c>
      <c r="C5113" t="n">
        <v>2023</v>
      </c>
      <c r="D5113" t="inlineStr">
        <is>
          <t>Financial</t>
        </is>
      </c>
      <c r="E5113" t="inlineStr">
        <is>
          <t>Tax Expense</t>
        </is>
      </c>
      <c r="F5113" t="n">
        <v>191</v>
      </c>
      <c r="G5113" t="inlineStr">
        <is>
          <t>IDR bn</t>
        </is>
      </c>
      <c r="H5113" t="n">
        <v>180</v>
      </c>
      <c r="I5113" t="inlineStr">
        <is>
          <t>Jumlah Beban Pajak (191,016) mn</t>
        </is>
      </c>
      <c r="J5113" t="inlineStr">
        <is>
          <t>High</t>
        </is>
      </c>
      <c r="M5113" t="inlineStr">
        <is>
          <t>LLM</t>
        </is>
      </c>
      <c r="N5113" t="inlineStr">
        <is>
          <t>2026-04-19</t>
        </is>
      </c>
      <c r="O5113" t="inlineStr">
        <is>
          <t>AI</t>
        </is>
      </c>
    </row>
    <row r="5114">
      <c r="A5114" t="inlineStr">
        <is>
          <t>PT Sinar Mas Agro Resources and Technology Tbk</t>
        </is>
      </c>
      <c r="B5114" t="inlineStr">
        <is>
          <t>SMAR_2023_AR.pdf</t>
        </is>
      </c>
      <c r="C5114" t="n">
        <v>2023</v>
      </c>
      <c r="D5114" t="inlineStr">
        <is>
          <t>Financial</t>
        </is>
      </c>
      <c r="E5114" t="inlineStr">
        <is>
          <t>Net Profit</t>
        </is>
      </c>
      <c r="F5114" t="n">
        <v>918</v>
      </c>
      <c r="G5114" t="inlineStr">
        <is>
          <t>IDR bn</t>
        </is>
      </c>
      <c r="H5114" t="n">
        <v>8</v>
      </c>
      <c r="I5114" t="inlineStr">
        <is>
          <t>Laba bersih tahun berjalan 918 5,505 2,829</t>
        </is>
      </c>
      <c r="J5114" t="inlineStr">
        <is>
          <t>High</t>
        </is>
      </c>
      <c r="M5114" t="inlineStr">
        <is>
          <t>LLM</t>
        </is>
      </c>
      <c r="N5114" t="inlineStr">
        <is>
          <t>2026-04-19</t>
        </is>
      </c>
      <c r="O5114" t="inlineStr">
        <is>
          <t>AI</t>
        </is>
      </c>
    </row>
    <row r="5115">
      <c r="A5115" t="inlineStr">
        <is>
          <t>PT Sinar Mas Agro Resources and Technology Tbk</t>
        </is>
      </c>
      <c r="B5115" t="inlineStr">
        <is>
          <t>SMAR_2023_AR.pdf</t>
        </is>
      </c>
      <c r="C5115" t="n">
        <v>2023</v>
      </c>
      <c r="D5115" t="inlineStr">
        <is>
          <t>Financial</t>
        </is>
      </c>
      <c r="E5115" t="inlineStr">
        <is>
          <t>Total Assets</t>
        </is>
      </c>
      <c r="F5115" t="n">
        <v>39716</v>
      </c>
      <c r="G5115" t="inlineStr">
        <is>
          <t>IDR bn</t>
        </is>
      </c>
      <c r="H5115" t="n">
        <v>8</v>
      </c>
      <c r="I5115" t="inlineStr">
        <is>
          <t>Jumlah aset 39,716 42,601 40,345</t>
        </is>
      </c>
      <c r="J5115" t="inlineStr">
        <is>
          <t>High</t>
        </is>
      </c>
      <c r="M5115" t="inlineStr">
        <is>
          <t>LLM</t>
        </is>
      </c>
      <c r="N5115" t="inlineStr">
        <is>
          <t>2026-04-19</t>
        </is>
      </c>
      <c r="O5115" t="inlineStr">
        <is>
          <t>AI</t>
        </is>
      </c>
    </row>
    <row r="5116">
      <c r="A5116" t="inlineStr">
        <is>
          <t>PT Sinar Mas Agro Resources and Technology Tbk</t>
        </is>
      </c>
      <c r="B5116" t="inlineStr">
        <is>
          <t>SMAR_2023_AR.pdf</t>
        </is>
      </c>
      <c r="C5116" t="n">
        <v>2023</v>
      </c>
      <c r="D5116" t="inlineStr">
        <is>
          <t>Financial</t>
        </is>
      </c>
      <c r="E5116" t="inlineStr">
        <is>
          <t>Current Assets</t>
        </is>
      </c>
      <c r="F5116" t="n">
        <v>19141</v>
      </c>
      <c r="G5116" t="inlineStr">
        <is>
          <t>IDR bn</t>
        </is>
      </c>
      <c r="H5116" t="n">
        <v>178</v>
      </c>
      <c r="I5116" t="inlineStr">
        <is>
          <t>JUMLAH ASET LANCAR 19,141,108 mn</t>
        </is>
      </c>
      <c r="J5116" t="inlineStr">
        <is>
          <t>High</t>
        </is>
      </c>
      <c r="M5116" t="inlineStr">
        <is>
          <t>LLM</t>
        </is>
      </c>
      <c r="N5116" t="inlineStr">
        <is>
          <t>2026-04-19</t>
        </is>
      </c>
      <c r="O5116" t="inlineStr">
        <is>
          <t>AI</t>
        </is>
      </c>
    </row>
    <row r="5117">
      <c r="A5117" t="inlineStr">
        <is>
          <t>PT Sinar Mas Agro Resources and Technology Tbk</t>
        </is>
      </c>
      <c r="B5117" t="inlineStr">
        <is>
          <t>SMAR_2023_AR.pdf</t>
        </is>
      </c>
      <c r="C5117" t="n">
        <v>2023</v>
      </c>
      <c r="D5117" t="inlineStr">
        <is>
          <t>Financial</t>
        </is>
      </c>
      <c r="E5117" t="inlineStr">
        <is>
          <t>Non-Current Assets</t>
        </is>
      </c>
      <c r="F5117" t="n">
        <v>20575</v>
      </c>
      <c r="G5117" t="inlineStr">
        <is>
          <t>IDR bn</t>
        </is>
      </c>
      <c r="H5117" t="n">
        <v>178</v>
      </c>
      <c r="I5117" t="inlineStr">
        <is>
          <t>JUMLAH ASET TIDAK LANCAR 20,575,255 mn</t>
        </is>
      </c>
      <c r="J5117" t="inlineStr">
        <is>
          <t>High</t>
        </is>
      </c>
      <c r="M5117" t="inlineStr">
        <is>
          <t>LLM</t>
        </is>
      </c>
      <c r="N5117" t="inlineStr">
        <is>
          <t>2026-04-19</t>
        </is>
      </c>
      <c r="O5117" t="inlineStr">
        <is>
          <t>AI</t>
        </is>
      </c>
    </row>
    <row r="5118">
      <c r="A5118" t="inlineStr">
        <is>
          <t>PT Sinar Mas Agro Resources and Technology Tbk</t>
        </is>
      </c>
      <c r="B5118" t="inlineStr">
        <is>
          <t>SMAR_2023_AR.pdf</t>
        </is>
      </c>
      <c r="C5118" t="n">
        <v>2023</v>
      </c>
      <c r="D5118" t="inlineStr">
        <is>
          <t>Financial</t>
        </is>
      </c>
      <c r="E5118" t="inlineStr">
        <is>
          <t>Total Liabilities</t>
        </is>
      </c>
      <c r="F5118" t="n">
        <v>20644</v>
      </c>
      <c r="G5118" t="inlineStr">
        <is>
          <t>IDR bn</t>
        </is>
      </c>
      <c r="H5118" t="n">
        <v>8</v>
      </c>
      <c r="I5118" t="inlineStr">
        <is>
          <t>Jumlah liabilitas 20,644 23,353 25,927</t>
        </is>
      </c>
      <c r="J5118" t="inlineStr">
        <is>
          <t>High</t>
        </is>
      </c>
      <c r="M5118" t="inlineStr">
        <is>
          <t>LLM</t>
        </is>
      </c>
      <c r="N5118" t="inlineStr">
        <is>
          <t>2026-04-19</t>
        </is>
      </c>
      <c r="O5118" t="inlineStr">
        <is>
          <t>AI</t>
        </is>
      </c>
    </row>
    <row r="5119">
      <c r="A5119" t="inlineStr">
        <is>
          <t>PT Sinar Mas Agro Resources and Technology Tbk</t>
        </is>
      </c>
      <c r="B5119" t="inlineStr">
        <is>
          <t>SMAR_2023_AR.pdf</t>
        </is>
      </c>
      <c r="C5119" t="n">
        <v>2023</v>
      </c>
      <c r="D5119" t="inlineStr">
        <is>
          <t>Financial</t>
        </is>
      </c>
      <c r="E5119" t="inlineStr">
        <is>
          <t>Current Liabilities</t>
        </is>
      </c>
      <c r="F5119" t="n">
        <v>10225</v>
      </c>
      <c r="G5119" t="inlineStr">
        <is>
          <t>IDR bn</t>
        </is>
      </c>
      <c r="H5119" t="n">
        <v>179</v>
      </c>
      <c r="I5119" t="inlineStr">
        <is>
          <t>JUMLAH LIABILITAS JANGKA PENDEK 10,225,382 mn</t>
        </is>
      </c>
      <c r="J5119" t="inlineStr">
        <is>
          <t>High</t>
        </is>
      </c>
      <c r="M5119" t="inlineStr">
        <is>
          <t>LLM</t>
        </is>
      </c>
      <c r="N5119" t="inlineStr">
        <is>
          <t>2026-04-19</t>
        </is>
      </c>
      <c r="O5119" t="inlineStr">
        <is>
          <t>AI</t>
        </is>
      </c>
    </row>
    <row r="5120">
      <c r="A5120" t="inlineStr">
        <is>
          <t>PT Sinar Mas Agro Resources and Technology Tbk</t>
        </is>
      </c>
      <c r="B5120" t="inlineStr">
        <is>
          <t>SMAR_2023_AR.pdf</t>
        </is>
      </c>
      <c r="C5120" t="n">
        <v>2023</v>
      </c>
      <c r="D5120" t="inlineStr">
        <is>
          <t>Financial</t>
        </is>
      </c>
      <c r="E5120" t="inlineStr">
        <is>
          <t>Non-Current Liabilities</t>
        </is>
      </c>
      <c r="F5120" t="n">
        <v>10419</v>
      </c>
      <c r="G5120" t="inlineStr">
        <is>
          <t>IDR bn</t>
        </is>
      </c>
      <c r="H5120" t="n">
        <v>179</v>
      </c>
      <c r="I5120" t="inlineStr">
        <is>
          <t>JUMLAH LIABILITAS JANGKA PANJANG 10,419,118 mn</t>
        </is>
      </c>
      <c r="J5120" t="inlineStr">
        <is>
          <t>High</t>
        </is>
      </c>
      <c r="M5120" t="inlineStr">
        <is>
          <t>LLM</t>
        </is>
      </c>
      <c r="N5120" t="inlineStr">
        <is>
          <t>2026-04-19</t>
        </is>
      </c>
      <c r="O5120" t="inlineStr">
        <is>
          <t>AI</t>
        </is>
      </c>
    </row>
    <row r="5121">
      <c r="A5121" t="inlineStr">
        <is>
          <t>PT Sinar Mas Agro Resources and Technology Tbk</t>
        </is>
      </c>
      <c r="B5121" t="inlineStr">
        <is>
          <t>SMAR_2023_AR.pdf</t>
        </is>
      </c>
      <c r="C5121" t="n">
        <v>2023</v>
      </c>
      <c r="D5121" t="inlineStr">
        <is>
          <t>Financial</t>
        </is>
      </c>
      <c r="E5121" t="inlineStr">
        <is>
          <t>Total Equity</t>
        </is>
      </c>
      <c r="F5121" t="n">
        <v>19072</v>
      </c>
      <c r="G5121" t="inlineStr">
        <is>
          <t>IDR bn</t>
        </is>
      </c>
      <c r="H5121" t="n">
        <v>8</v>
      </c>
      <c r="I5121" t="inlineStr">
        <is>
          <t>Jumlah ekuitas 19,072 19,248 14,418</t>
        </is>
      </c>
      <c r="J5121" t="inlineStr">
        <is>
          <t>High</t>
        </is>
      </c>
      <c r="M5121" t="inlineStr">
        <is>
          <t>LLM</t>
        </is>
      </c>
      <c r="N5121" t="inlineStr">
        <is>
          <t>2026-04-19</t>
        </is>
      </c>
      <c r="O5121" t="inlineStr">
        <is>
          <t>AI</t>
        </is>
      </c>
    </row>
    <row r="5122">
      <c r="A5122" t="inlineStr">
        <is>
          <t>PT Sinar Mas Agro Resources and Technology Tbk</t>
        </is>
      </c>
      <c r="B5122" t="inlineStr">
        <is>
          <t>SMAR_2023_AR.pdf</t>
        </is>
      </c>
      <c r="C5122" t="n">
        <v>2023</v>
      </c>
      <c r="D5122" t="inlineStr">
        <is>
          <t>Financial</t>
        </is>
      </c>
      <c r="E5122" t="inlineStr">
        <is>
          <t>Cash &amp; Cash Equivalents</t>
        </is>
      </c>
      <c r="F5122" t="n">
        <v>1642</v>
      </c>
      <c r="G5122" t="inlineStr">
        <is>
          <t>IDR bn</t>
        </is>
      </c>
      <c r="H5122" t="n">
        <v>178</v>
      </c>
      <c r="I5122" t="inlineStr">
        <is>
          <t>Kas dan setara kas 1,641,844 mn</t>
        </is>
      </c>
      <c r="J5122" t="inlineStr">
        <is>
          <t>High</t>
        </is>
      </c>
      <c r="M5122" t="inlineStr">
        <is>
          <t>LLM</t>
        </is>
      </c>
      <c r="N5122" t="inlineStr">
        <is>
          <t>2026-04-19</t>
        </is>
      </c>
      <c r="O5122" t="inlineStr">
        <is>
          <t>AI</t>
        </is>
      </c>
    </row>
    <row r="5123">
      <c r="A5123" t="inlineStr">
        <is>
          <t>PT Sinar Mas Agro Resources and Technology Tbk</t>
        </is>
      </c>
      <c r="B5123" t="inlineStr">
        <is>
          <t>SMAR_2023_AR.pdf</t>
        </is>
      </c>
      <c r="C5123" t="n">
        <v>2023</v>
      </c>
      <c r="D5123" t="inlineStr">
        <is>
          <t>Financial</t>
        </is>
      </c>
      <c r="E5123" t="inlineStr">
        <is>
          <t>Inventories</t>
        </is>
      </c>
      <c r="F5123" t="n">
        <v>8769</v>
      </c>
      <c r="G5123" t="inlineStr">
        <is>
          <t>IDR bn</t>
        </is>
      </c>
      <c r="H5123" t="n">
        <v>178</v>
      </c>
      <c r="I5123" t="inlineStr">
        <is>
          <t>Persediaan 8,768,787 mn</t>
        </is>
      </c>
      <c r="J5123" t="inlineStr">
        <is>
          <t>High</t>
        </is>
      </c>
      <c r="M5123" t="inlineStr">
        <is>
          <t>LLM</t>
        </is>
      </c>
      <c r="N5123" t="inlineStr">
        <is>
          <t>2026-04-19</t>
        </is>
      </c>
      <c r="O5123" t="inlineStr">
        <is>
          <t>AI</t>
        </is>
      </c>
    </row>
    <row r="5124">
      <c r="A5124" t="inlineStr">
        <is>
          <t>PT Sinar Mas Agro Resources and Technology Tbk</t>
        </is>
      </c>
      <c r="B5124" t="inlineStr">
        <is>
          <t>SMAR_2023_AR.pdf</t>
        </is>
      </c>
      <c r="C5124" t="n">
        <v>2023</v>
      </c>
      <c r="D5124" t="inlineStr">
        <is>
          <t>Financial</t>
        </is>
      </c>
      <c r="E5124" t="inlineStr">
        <is>
          <t>Short-term Bank Loans</t>
        </is>
      </c>
      <c r="F5124" t="n">
        <v>2923</v>
      </c>
      <c r="G5124" t="inlineStr">
        <is>
          <t>IDR bn</t>
        </is>
      </c>
      <c r="H5124" t="n">
        <v>179</v>
      </c>
      <c r="I5124" t="inlineStr">
        <is>
          <t>Utang bank jangka pendek 2,922,770 mn</t>
        </is>
      </c>
      <c r="J5124" t="inlineStr">
        <is>
          <t>High</t>
        </is>
      </c>
      <c r="M5124" t="inlineStr">
        <is>
          <t>LLM</t>
        </is>
      </c>
      <c r="N5124" t="inlineStr">
        <is>
          <t>2026-04-19</t>
        </is>
      </c>
      <c r="O5124" t="inlineStr">
        <is>
          <t>AI</t>
        </is>
      </c>
    </row>
    <row r="5125">
      <c r="A5125" t="inlineStr">
        <is>
          <t>PT Sinar Mas Agro Resources and Technology Tbk</t>
        </is>
      </c>
      <c r="B5125" t="inlineStr">
        <is>
          <t>SMAR_2023_AR.pdf</t>
        </is>
      </c>
      <c r="C5125" t="n">
        <v>2023</v>
      </c>
      <c r="D5125" t="inlineStr">
        <is>
          <t>Financial</t>
        </is>
      </c>
      <c r="E5125" t="inlineStr">
        <is>
          <t>Current Portion Long-term Bank Loans</t>
        </is>
      </c>
      <c r="F5125" t="n">
        <v>1581</v>
      </c>
      <c r="G5125" t="inlineStr">
        <is>
          <t>IDR bn</t>
        </is>
      </c>
      <c r="H5125" t="n">
        <v>179</v>
      </c>
      <c r="I5125" t="inlineStr">
        <is>
          <t>Utang bank dan lembaga keuangan lainnya jangka panjang 1,580,526 mn (current)</t>
        </is>
      </c>
      <c r="J5125" t="inlineStr">
        <is>
          <t>High</t>
        </is>
      </c>
      <c r="M5125" t="inlineStr">
        <is>
          <t>LLM</t>
        </is>
      </c>
      <c r="N5125" t="inlineStr">
        <is>
          <t>2026-04-19</t>
        </is>
      </c>
      <c r="O5125" t="inlineStr">
        <is>
          <t>AI</t>
        </is>
      </c>
    </row>
    <row r="5126">
      <c r="A5126" t="inlineStr">
        <is>
          <t>PT Sinar Mas Agro Resources and Technology Tbk</t>
        </is>
      </c>
      <c r="B5126" t="inlineStr">
        <is>
          <t>SMAR_2023_AR.pdf</t>
        </is>
      </c>
      <c r="C5126" t="n">
        <v>2023</v>
      </c>
      <c r="D5126" t="inlineStr">
        <is>
          <t>Financial</t>
        </is>
      </c>
      <c r="E5126" t="inlineStr">
        <is>
          <t>Current Portion Bonds</t>
        </is>
      </c>
      <c r="F5126" t="n">
        <v>2043</v>
      </c>
      <c r="G5126" t="inlineStr">
        <is>
          <t>IDR bn</t>
        </is>
      </c>
      <c r="H5126" t="n">
        <v>179</v>
      </c>
      <c r="I5126" t="inlineStr">
        <is>
          <t>Utang obligasi 2,042,843 mn (current)</t>
        </is>
      </c>
      <c r="J5126" t="inlineStr">
        <is>
          <t>High</t>
        </is>
      </c>
      <c r="M5126" t="inlineStr">
        <is>
          <t>LLM</t>
        </is>
      </c>
      <c r="N5126" t="inlineStr">
        <is>
          <t>2026-04-19</t>
        </is>
      </c>
      <c r="O5126" t="inlineStr">
        <is>
          <t>AI</t>
        </is>
      </c>
    </row>
    <row r="5127">
      <c r="A5127" t="inlineStr">
        <is>
          <t>PT Sinar Mas Agro Resources and Technology Tbk</t>
        </is>
      </c>
      <c r="B5127" t="inlineStr">
        <is>
          <t>SMAR_2023_AR.pdf</t>
        </is>
      </c>
      <c r="C5127" t="n">
        <v>2023</v>
      </c>
      <c r="D5127" t="inlineStr">
        <is>
          <t>Financial</t>
        </is>
      </c>
      <c r="E5127" t="inlineStr">
        <is>
          <t>Long-term Bank Loans</t>
        </is>
      </c>
      <c r="F5127" t="n">
        <v>5440</v>
      </c>
      <c r="G5127" t="inlineStr">
        <is>
          <t>IDR bn</t>
        </is>
      </c>
      <c r="H5127" t="n">
        <v>179</v>
      </c>
      <c r="I5127" t="inlineStr">
        <is>
          <t>Utang bank dan lembaga keuangan lainnya jangka panjang 5,439,513 mn</t>
        </is>
      </c>
      <c r="J5127" t="inlineStr">
        <is>
          <t>High</t>
        </is>
      </c>
      <c r="M5127" t="inlineStr">
        <is>
          <t>LLM</t>
        </is>
      </c>
      <c r="N5127" t="inlineStr">
        <is>
          <t>2026-04-19</t>
        </is>
      </c>
      <c r="O5127" t="inlineStr">
        <is>
          <t>AI</t>
        </is>
      </c>
    </row>
    <row r="5128">
      <c r="A5128" t="inlineStr">
        <is>
          <t>PT Sinar Mas Agro Resources and Technology Tbk</t>
        </is>
      </c>
      <c r="B5128" t="inlineStr">
        <is>
          <t>SMAR_2023_AR.pdf</t>
        </is>
      </c>
      <c r="C5128" t="n">
        <v>2023</v>
      </c>
      <c r="D5128" t="inlineStr">
        <is>
          <t>Financial</t>
        </is>
      </c>
      <c r="E5128" t="inlineStr">
        <is>
          <t>Long-term Bonds</t>
        </is>
      </c>
      <c r="F5128" t="n">
        <v>4022</v>
      </c>
      <c r="G5128" t="inlineStr">
        <is>
          <t>IDR bn</t>
        </is>
      </c>
      <c r="H5128" t="n">
        <v>179</v>
      </c>
      <c r="I5128" t="inlineStr">
        <is>
          <t>Utang obligasi 4,021,714 mn (LT)</t>
        </is>
      </c>
      <c r="J5128" t="inlineStr">
        <is>
          <t>High</t>
        </is>
      </c>
      <c r="M5128" t="inlineStr">
        <is>
          <t>LLM</t>
        </is>
      </c>
      <c r="N5128" t="inlineStr">
        <is>
          <t>2026-04-19</t>
        </is>
      </c>
      <c r="O5128" t="inlineStr">
        <is>
          <t>AI</t>
        </is>
      </c>
    </row>
    <row r="5129">
      <c r="A5129" t="inlineStr">
        <is>
          <t>PT Sinar Mas Agro Resources and Technology Tbk</t>
        </is>
      </c>
      <c r="B5129" t="inlineStr">
        <is>
          <t>SMAR_2023_AR.pdf</t>
        </is>
      </c>
      <c r="C5129" t="n">
        <v>2023</v>
      </c>
      <c r="D5129" t="inlineStr">
        <is>
          <t>Financial</t>
        </is>
      </c>
      <c r="E5129" t="inlineStr">
        <is>
          <t>Gross Debt</t>
        </is>
      </c>
      <c r="F5129" t="n">
        <v>16008</v>
      </c>
      <c r="G5129" t="inlineStr">
        <is>
          <t>IDR bn</t>
        </is>
      </c>
      <c r="H5129" t="n">
        <v>179</v>
      </c>
      <c r="I5129" t="inlineStr">
        <is>
          <t>ST bank 2,923 + LT bank curr 1,581 + bonds curr 2,043 + LT bank 5,440 + bonds LT 4,022 = 16,008</t>
        </is>
      </c>
      <c r="J5129" t="inlineStr">
        <is>
          <t>High</t>
        </is>
      </c>
      <c r="M5129" t="inlineStr">
        <is>
          <t>LLM</t>
        </is>
      </c>
      <c r="N5129" t="inlineStr">
        <is>
          <t>2026-04-19</t>
        </is>
      </c>
      <c r="O5129" t="inlineStr">
        <is>
          <t>AI</t>
        </is>
      </c>
    </row>
    <row r="5130">
      <c r="A5130" t="inlineStr">
        <is>
          <t>PT Sinar Mas Agro Resources and Technology Tbk</t>
        </is>
      </c>
      <c r="B5130" t="inlineStr">
        <is>
          <t>SMAR_2023_AR.pdf</t>
        </is>
      </c>
      <c r="C5130" t="n">
        <v>2023</v>
      </c>
      <c r="D5130" t="inlineStr">
        <is>
          <t>Financial</t>
        </is>
      </c>
      <c r="E5130" t="inlineStr">
        <is>
          <t>CFO</t>
        </is>
      </c>
      <c r="F5130" t="n">
        <v>4038</v>
      </c>
      <c r="G5130" t="inlineStr">
        <is>
          <t>IDR bn</t>
        </is>
      </c>
      <c r="H5130" t="n">
        <v>182</v>
      </c>
      <c r="I5130" t="inlineStr">
        <is>
          <t>Kas Bersih Diperoleh dari Aktivitas Operasi 4,037,932 mn</t>
        </is>
      </c>
      <c r="J5130" t="inlineStr">
        <is>
          <t>High</t>
        </is>
      </c>
      <c r="M5130" t="inlineStr">
        <is>
          <t>LLM</t>
        </is>
      </c>
      <c r="N5130" t="inlineStr">
        <is>
          <t>2026-04-19</t>
        </is>
      </c>
      <c r="O5130" t="inlineStr">
        <is>
          <t>AI</t>
        </is>
      </c>
    </row>
    <row r="5131">
      <c r="A5131" t="inlineStr">
        <is>
          <t>PT Sinar Mas Agro Resources and Technology Tbk</t>
        </is>
      </c>
      <c r="B5131" t="inlineStr">
        <is>
          <t>SMAR_2023_AR.pdf</t>
        </is>
      </c>
      <c r="C5131" t="n">
        <v>2023</v>
      </c>
      <c r="D5131" t="inlineStr">
        <is>
          <t>Financial</t>
        </is>
      </c>
      <c r="E5131" t="inlineStr">
        <is>
          <t>CFI</t>
        </is>
      </c>
      <c r="F5131" t="n">
        <v>-1722</v>
      </c>
      <c r="G5131" t="inlineStr">
        <is>
          <t>IDR bn</t>
        </is>
      </c>
      <c r="H5131" t="n">
        <v>182</v>
      </c>
      <c r="I5131" t="inlineStr">
        <is>
          <t>Kas Bersih Digunakan untuk Aktivitas Investasi (1,721,787) mn</t>
        </is>
      </c>
      <c r="J5131" t="inlineStr">
        <is>
          <t>High</t>
        </is>
      </c>
      <c r="M5131" t="inlineStr">
        <is>
          <t>LLM</t>
        </is>
      </c>
      <c r="N5131" t="inlineStr">
        <is>
          <t>2026-04-19</t>
        </is>
      </c>
      <c r="O5131" t="inlineStr">
        <is>
          <t>AI</t>
        </is>
      </c>
    </row>
    <row r="5132">
      <c r="A5132" t="inlineStr">
        <is>
          <t>PT Sinar Mas Agro Resources and Technology Tbk</t>
        </is>
      </c>
      <c r="B5132" t="inlineStr">
        <is>
          <t>SMAR_2023_AR.pdf</t>
        </is>
      </c>
      <c r="C5132" t="n">
        <v>2023</v>
      </c>
      <c r="D5132" t="inlineStr">
        <is>
          <t>Financial</t>
        </is>
      </c>
      <c r="E5132" t="inlineStr">
        <is>
          <t>CFF</t>
        </is>
      </c>
      <c r="F5132" t="n">
        <v>-3138</v>
      </c>
      <c r="G5132" t="inlineStr">
        <is>
          <t>IDR bn</t>
        </is>
      </c>
      <c r="H5132" t="n">
        <v>182</v>
      </c>
      <c r="I5132" t="inlineStr">
        <is>
          <t>Kas Bersih Digunakan untuk Aktivitas Pendanaan (3,137,530) mn</t>
        </is>
      </c>
      <c r="J5132" t="inlineStr">
        <is>
          <t>High</t>
        </is>
      </c>
      <c r="M5132" t="inlineStr">
        <is>
          <t>LLM</t>
        </is>
      </c>
      <c r="N5132" t="inlineStr">
        <is>
          <t>2026-04-19</t>
        </is>
      </c>
      <c r="O5132" t="inlineStr">
        <is>
          <t>AI</t>
        </is>
      </c>
    </row>
    <row r="5133">
      <c r="A5133" t="inlineStr">
        <is>
          <t>PT Sinar Mas Agro Resources and Technology Tbk</t>
        </is>
      </c>
      <c r="B5133" t="inlineStr">
        <is>
          <t>SMAR_2023_AR.pdf</t>
        </is>
      </c>
      <c r="C5133" t="n">
        <v>2023</v>
      </c>
      <c r="D5133" t="inlineStr">
        <is>
          <t>Financial</t>
        </is>
      </c>
      <c r="E5133" t="inlineStr">
        <is>
          <t>Acquisition of Fixed Assets</t>
        </is>
      </c>
      <c r="F5133" t="n">
        <v>1699</v>
      </c>
      <c r="G5133" t="inlineStr">
        <is>
          <t>IDR bn</t>
        </is>
      </c>
      <c r="H5133" t="n">
        <v>182</v>
      </c>
      <c r="I5133" t="inlineStr">
        <is>
          <t>Aset tetap Perolehan (1,699,133) mn</t>
        </is>
      </c>
      <c r="J5133" t="inlineStr">
        <is>
          <t>High</t>
        </is>
      </c>
      <c r="M5133" t="inlineStr">
        <is>
          <t>LLM</t>
        </is>
      </c>
      <c r="N5133" t="inlineStr">
        <is>
          <t>2026-04-19</t>
        </is>
      </c>
      <c r="O5133" t="inlineStr">
        <is>
          <t>AI</t>
        </is>
      </c>
    </row>
    <row r="5134">
      <c r="A5134" t="inlineStr">
        <is>
          <t>PT Sinar Mas Agro Resources and Technology Tbk</t>
        </is>
      </c>
      <c r="B5134" t="inlineStr">
        <is>
          <t>SMAR_2023_AR.pdf</t>
        </is>
      </c>
      <c r="C5134" t="n">
        <v>2023</v>
      </c>
      <c r="D5134" t="inlineStr">
        <is>
          <t>Financial</t>
        </is>
      </c>
      <c r="E5134" t="inlineStr">
        <is>
          <t>Acquisition of Bearer Plants</t>
        </is>
      </c>
      <c r="F5134" t="n">
        <v>148</v>
      </c>
      <c r="G5134" t="inlineStr">
        <is>
          <t>IDR bn</t>
        </is>
      </c>
      <c r="H5134" t="n">
        <v>182</v>
      </c>
      <c r="I5134" t="inlineStr">
        <is>
          <t>Perolehan tanaman produktif (147,587) mn</t>
        </is>
      </c>
      <c r="J5134" t="inlineStr">
        <is>
          <t>High</t>
        </is>
      </c>
      <c r="M5134" t="inlineStr">
        <is>
          <t>LLM</t>
        </is>
      </c>
      <c r="N5134" t="inlineStr">
        <is>
          <t>2026-04-19</t>
        </is>
      </c>
      <c r="O5134" t="inlineStr">
        <is>
          <t>AI</t>
        </is>
      </c>
    </row>
    <row r="5135">
      <c r="A5135" t="inlineStr">
        <is>
          <t>PT Sinar Mas Agro Resources and Technology Tbk</t>
        </is>
      </c>
      <c r="B5135" t="inlineStr">
        <is>
          <t>SMAR_2023_AR.pdf</t>
        </is>
      </c>
      <c r="C5135" t="n">
        <v>2023</v>
      </c>
      <c r="D5135" t="inlineStr">
        <is>
          <t>Financial</t>
        </is>
      </c>
      <c r="E5135" t="inlineStr">
        <is>
          <t>Capex Realised</t>
        </is>
      </c>
      <c r="F5135" t="n">
        <v>1847</v>
      </c>
      <c r="G5135" t="inlineStr">
        <is>
          <t>IDR bn</t>
        </is>
      </c>
      <c r="H5135" t="n">
        <v>182</v>
      </c>
      <c r="I5135" t="inlineStr">
        <is>
          <t>Fixed assets 1,699 + bearer plants 148 = 1,847 mn bn</t>
        </is>
      </c>
      <c r="J5135" t="inlineStr">
        <is>
          <t>High</t>
        </is>
      </c>
      <c r="M5135" t="inlineStr">
        <is>
          <t>LLM</t>
        </is>
      </c>
      <c r="N5135" t="inlineStr">
        <is>
          <t>2026-04-19</t>
        </is>
      </c>
      <c r="O5135" t="inlineStr">
        <is>
          <t>AI</t>
        </is>
      </c>
    </row>
    <row r="5136">
      <c r="A5136" t="inlineStr">
        <is>
          <t>PT Sinar Mas Agro Resources and Technology Tbk</t>
        </is>
      </c>
      <c r="B5136" t="inlineStr">
        <is>
          <t>SMAR_2023_AR.pdf</t>
        </is>
      </c>
      <c r="C5136" t="n">
        <v>2023</v>
      </c>
      <c r="D5136" t="inlineStr">
        <is>
          <t>Financial</t>
        </is>
      </c>
      <c r="E5136" t="inlineStr">
        <is>
          <t>Dividend Payments</t>
        </is>
      </c>
      <c r="F5136" t="n">
        <v>1062</v>
      </c>
      <c r="G5136" t="inlineStr">
        <is>
          <t>IDR bn</t>
        </is>
      </c>
      <c r="H5136" t="n">
        <v>182</v>
      </c>
      <c r="I5136" t="inlineStr">
        <is>
          <t>Pembayaran dividen (1,062,364) mn</t>
        </is>
      </c>
      <c r="J5136" t="inlineStr">
        <is>
          <t>High</t>
        </is>
      </c>
      <c r="M5136" t="inlineStr">
        <is>
          <t>LLM</t>
        </is>
      </c>
      <c r="N5136" t="inlineStr">
        <is>
          <t>2026-04-19</t>
        </is>
      </c>
      <c r="O5136" t="inlineStr">
        <is>
          <t>AI</t>
        </is>
      </c>
    </row>
    <row r="5137">
      <c r="A5137" t="inlineStr">
        <is>
          <t>PT Sinar Mas Agro Resources and Technology Tbk</t>
        </is>
      </c>
      <c r="B5137" t="inlineStr">
        <is>
          <t>SMAR_2023_AR.pdf</t>
        </is>
      </c>
      <c r="C5137" t="n">
        <v>2023</v>
      </c>
      <c r="D5137" t="inlineStr">
        <is>
          <t>Financial</t>
        </is>
      </c>
      <c r="E5137" t="inlineStr">
        <is>
          <t>EPS Basic</t>
        </is>
      </c>
      <c r="F5137" t="n">
        <v>320</v>
      </c>
      <c r="G5137" t="inlineStr">
        <is>
          <t>Rp/share</t>
        </is>
      </c>
      <c r="H5137" t="n">
        <v>8</v>
      </c>
      <c r="I5137" t="inlineStr">
        <is>
          <t>Laba per saham dasar (Rp) 320 1,915 984</t>
        </is>
      </c>
      <c r="J5137" t="inlineStr">
        <is>
          <t>High</t>
        </is>
      </c>
      <c r="M5137" t="inlineStr">
        <is>
          <t>LLM</t>
        </is>
      </c>
      <c r="N5137" t="inlineStr">
        <is>
          <t>2026-04-19</t>
        </is>
      </c>
      <c r="O5137" t="inlineStr">
        <is>
          <t>AI</t>
        </is>
      </c>
    </row>
    <row r="5138">
      <c r="A5138" t="inlineStr">
        <is>
          <t>PT Sinar Mas Agro Resources and Technology Tbk</t>
        </is>
      </c>
      <c r="B5138" t="inlineStr">
        <is>
          <t>SMAR_2023_AR.pdf</t>
        </is>
      </c>
      <c r="C5138" t="n">
        <v>2023</v>
      </c>
      <c r="D5138" t="inlineStr">
        <is>
          <t>Financial</t>
        </is>
      </c>
      <c r="E5138" t="inlineStr">
        <is>
          <t>Interim Dividend 2023</t>
        </is>
      </c>
      <c r="F5138" t="n">
        <v>95</v>
      </c>
      <c r="G5138" t="inlineStr">
        <is>
          <t>Rp/share</t>
        </is>
      </c>
      <c r="H5138" t="n">
        <v>58</v>
      </c>
      <c r="I5138" t="inlineStr">
        <is>
          <t>distributed a cash dividend of Rp 95 per share for 2023 earnings</t>
        </is>
      </c>
      <c r="J5138" t="inlineStr">
        <is>
          <t>High</t>
        </is>
      </c>
      <c r="M5138" t="inlineStr">
        <is>
          <t>LLM</t>
        </is>
      </c>
      <c r="N5138" t="inlineStr">
        <is>
          <t>2026-04-19</t>
        </is>
      </c>
      <c r="O5138" t="inlineStr">
        <is>
          <t>AI</t>
        </is>
      </c>
    </row>
    <row r="5139">
      <c r="A5139" t="inlineStr">
        <is>
          <t>PT Sinar Mas Agro Resources and Technology Tbk</t>
        </is>
      </c>
      <c r="B5139" t="inlineStr">
        <is>
          <t>SMAR_2023_AR.pdf</t>
        </is>
      </c>
      <c r="C5139" t="n">
        <v>2023</v>
      </c>
      <c r="D5139" t="inlineStr">
        <is>
          <t>Financial</t>
        </is>
      </c>
      <c r="E5139" t="inlineStr">
        <is>
          <t>Final Dividend 2022 (paid 2023)</t>
        </is>
      </c>
      <c r="F5139" t="n">
        <v>370</v>
      </c>
      <c r="G5139" t="inlineStr">
        <is>
          <t>Rp/share</t>
        </is>
      </c>
      <c r="H5139" t="n">
        <v>58</v>
      </c>
      <c r="I5139" t="inlineStr">
        <is>
          <t>For 2022 earnings: total Rp 570/share of which final Rp 370/share paid 22 June 2023</t>
        </is>
      </c>
      <c r="J5139" t="inlineStr">
        <is>
          <t>High</t>
        </is>
      </c>
      <c r="M5139" t="inlineStr">
        <is>
          <t>LLM</t>
        </is>
      </c>
      <c r="N5139" t="inlineStr">
        <is>
          <t>2026-04-19</t>
        </is>
      </c>
      <c r="O5139" t="inlineStr">
        <is>
          <t>AI</t>
        </is>
      </c>
    </row>
    <row r="5140">
      <c r="A5140" t="inlineStr">
        <is>
          <t>PT Sinar Mas Agro Resources and Technology Tbk</t>
        </is>
      </c>
      <c r="B5140" t="inlineStr">
        <is>
          <t>SMAR_2023_AR.pdf</t>
        </is>
      </c>
      <c r="C5140" t="n">
        <v>2023</v>
      </c>
      <c r="D5140" t="inlineStr">
        <is>
          <t>Financial</t>
        </is>
      </c>
      <c r="E5140" t="inlineStr">
        <is>
          <t>Closing Price Q4 2023</t>
        </is>
      </c>
      <c r="F5140" t="n">
        <v>4000</v>
      </c>
      <c r="G5140" t="inlineStr">
        <is>
          <t>Rp/share</t>
        </is>
      </c>
      <c r="H5140" t="n">
        <v>151</v>
      </c>
      <c r="I5140" t="inlineStr">
        <is>
          <t>Kuartal 4 4,410 3,700 4,000</t>
        </is>
      </c>
      <c r="J5140" t="inlineStr">
        <is>
          <t>High</t>
        </is>
      </c>
      <c r="M5140" t="inlineStr">
        <is>
          <t>LLM</t>
        </is>
      </c>
      <c r="N5140" t="inlineStr">
        <is>
          <t>2026-04-19</t>
        </is>
      </c>
      <c r="O5140" t="inlineStr">
        <is>
          <t>AI</t>
        </is>
      </c>
    </row>
    <row r="5141">
      <c r="A5141" t="inlineStr">
        <is>
          <t>PT Sinar Mas Agro Resources and Technology Tbk</t>
        </is>
      </c>
      <c r="B5141" t="inlineStr">
        <is>
          <t>SMAR_2023_AR.pdf</t>
        </is>
      </c>
      <c r="C5141" t="n">
        <v>2023</v>
      </c>
      <c r="D5141" t="inlineStr">
        <is>
          <t>Financial</t>
        </is>
      </c>
      <c r="E5141" t="inlineStr">
        <is>
          <t>Market Cap Q4 2023</t>
        </is>
      </c>
      <c r="F5141" t="n">
        <v>11489</v>
      </c>
      <c r="G5141" t="inlineStr">
        <is>
          <t>IDR bn</t>
        </is>
      </c>
      <c r="H5141" t="n">
        <v>151</v>
      </c>
      <c r="I5141" t="inlineStr">
        <is>
          <t>Kapitalisasi Pasar 11,488,773,464,000</t>
        </is>
      </c>
      <c r="J5141" t="inlineStr">
        <is>
          <t>High</t>
        </is>
      </c>
      <c r="M5141" t="inlineStr">
        <is>
          <t>LLM</t>
        </is>
      </c>
      <c r="N5141" t="inlineStr">
        <is>
          <t>2026-04-19</t>
        </is>
      </c>
      <c r="O5141" t="inlineStr">
        <is>
          <t>AI</t>
        </is>
      </c>
    </row>
    <row r="5142">
      <c r="A5142" t="inlineStr">
        <is>
          <t>PT Sinar Mas Agro Resources and Technology Tbk</t>
        </is>
      </c>
      <c r="B5142" t="inlineStr">
        <is>
          <t>SMAR_2023_AR.pdf</t>
        </is>
      </c>
      <c r="C5142" t="n">
        <v>2023</v>
      </c>
      <c r="D5142" t="inlineStr">
        <is>
          <t>Financial</t>
        </is>
      </c>
      <c r="E5142" t="inlineStr">
        <is>
          <t>Shares Outstanding</t>
        </is>
      </c>
      <c r="F5142" t="n">
        <v>2872</v>
      </c>
      <c r="G5142" t="inlineStr">
        <is>
          <t>mn</t>
        </is>
      </c>
      <c r="H5142" t="n">
        <v>153</v>
      </c>
      <c r="I5142" t="inlineStr">
        <is>
          <t>Jumlah 2,872,193,366 100.00%</t>
        </is>
      </c>
      <c r="J5142" t="inlineStr">
        <is>
          <t>High</t>
        </is>
      </c>
      <c r="M5142" t="inlineStr">
        <is>
          <t>LLM</t>
        </is>
      </c>
      <c r="N5142" t="inlineStr">
        <is>
          <t>2026-04-19</t>
        </is>
      </c>
      <c r="O5142" t="inlineStr">
        <is>
          <t>AI</t>
        </is>
      </c>
    </row>
    <row r="5143">
      <c r="A5143" t="inlineStr">
        <is>
          <t>PT Sinar Mas Agro Resources and Technology Tbk</t>
        </is>
      </c>
      <c r="B5143" t="inlineStr">
        <is>
          <t>SMAR_2023_AR.pdf</t>
        </is>
      </c>
      <c r="C5143" t="n">
        <v>2023</v>
      </c>
      <c r="D5143" t="inlineStr">
        <is>
          <t>Financial</t>
        </is>
      </c>
      <c r="E5143" t="inlineStr">
        <is>
          <t>Gearing Ratio</t>
        </is>
      </c>
      <c r="F5143" t="n">
        <v>0.84</v>
      </c>
      <c r="G5143" t="inlineStr">
        <is>
          <t>x</t>
        </is>
      </c>
      <c r="H5143" t="n">
        <v>8</v>
      </c>
      <c r="I5143" t="inlineStr">
        <is>
          <t>Rasio pinjaman terhadap ekuitas (kali) 0.84 0.95 1.37</t>
        </is>
      </c>
      <c r="J5143" t="inlineStr">
        <is>
          <t>High</t>
        </is>
      </c>
      <c r="M5143" t="inlineStr">
        <is>
          <t>LLM</t>
        </is>
      </c>
      <c r="N5143" t="inlineStr">
        <is>
          <t>2026-04-19</t>
        </is>
      </c>
      <c r="O5143" t="inlineStr">
        <is>
          <t>AI</t>
        </is>
      </c>
    </row>
    <row r="5144">
      <c r="A5144" t="inlineStr">
        <is>
          <t>PT Sinar Mas Agro Resources and Technology Tbk</t>
        </is>
      </c>
      <c r="B5144" t="inlineStr">
        <is>
          <t>SMAR_2023_AR.pdf</t>
        </is>
      </c>
      <c r="C5144" t="n">
        <v>2023</v>
      </c>
      <c r="D5144" t="inlineStr">
        <is>
          <t>Financial</t>
        </is>
      </c>
      <c r="E5144" t="inlineStr">
        <is>
          <t>Net Debt to EBITDA</t>
        </is>
      </c>
      <c r="F5144" t="n">
        <v>0.65</v>
      </c>
      <c r="G5144" t="inlineStr">
        <is>
          <t>x</t>
        </is>
      </c>
      <c r="H5144" t="n">
        <v>8</v>
      </c>
      <c r="I5144" t="inlineStr">
        <is>
          <t>Rasio pinjaman bersih terhadap EBITDA 0.65 0.02 0.67</t>
        </is>
      </c>
      <c r="J5144" t="inlineStr">
        <is>
          <t>High</t>
        </is>
      </c>
      <c r="M5144" t="inlineStr">
        <is>
          <t>LLM</t>
        </is>
      </c>
      <c r="N5144" t="inlineStr">
        <is>
          <t>2026-04-19</t>
        </is>
      </c>
      <c r="O5144" t="inlineStr">
        <is>
          <t>AI</t>
        </is>
      </c>
    </row>
    <row r="5145">
      <c r="A5145" t="inlineStr">
        <is>
          <t>PT Sinar Mas Agro Resources and Technology Tbk</t>
        </is>
      </c>
      <c r="B5145" t="inlineStr">
        <is>
          <t>SMAR_2023_AR.pdf</t>
        </is>
      </c>
      <c r="C5145" t="n">
        <v>2023</v>
      </c>
      <c r="D5145" t="inlineStr">
        <is>
          <t>Financial</t>
        </is>
      </c>
      <c r="E5145" t="inlineStr">
        <is>
          <t>Current Ratio</t>
        </is>
      </c>
      <c r="F5145" t="n">
        <v>1.9</v>
      </c>
      <c r="G5145" t="inlineStr">
        <is>
          <t>x</t>
        </is>
      </c>
      <c r="H5145" t="n">
        <v>8</v>
      </c>
      <c r="I5145" t="inlineStr">
        <is>
          <t>Rasio lancar (kali) 1.9 2.0 1.5</t>
        </is>
      </c>
      <c r="J5145" t="inlineStr">
        <is>
          <t>High</t>
        </is>
      </c>
      <c r="M5145" t="inlineStr">
        <is>
          <t>LLM</t>
        </is>
      </c>
      <c r="N5145" t="inlineStr">
        <is>
          <t>2026-04-19</t>
        </is>
      </c>
      <c r="O5145" t="inlineStr">
        <is>
          <t>AI</t>
        </is>
      </c>
    </row>
    <row r="5146">
      <c r="A5146" t="inlineStr">
        <is>
          <t>PT Sinar Mas Agro Resources and Technology Tbk</t>
        </is>
      </c>
      <c r="B5146" t="inlineStr">
        <is>
          <t>SMAR_2023_AR.pdf</t>
        </is>
      </c>
      <c r="C5146" t="n">
        <v>2023</v>
      </c>
      <c r="D5146" t="inlineStr">
        <is>
          <t>Financial</t>
        </is>
      </c>
      <c r="E5146" t="inlineStr">
        <is>
          <t>Gross Margin</t>
        </is>
      </c>
      <c r="F5146" t="n">
        <v>0.102</v>
      </c>
      <c r="G5146" t="inlineStr">
        <is>
          <t>%</t>
        </is>
      </c>
      <c r="H5146" t="n">
        <v>8</v>
      </c>
      <c r="I5146" t="inlineStr">
        <is>
          <t>Marjin kotor 10.2 17.7 19.2</t>
        </is>
      </c>
      <c r="J5146" t="inlineStr">
        <is>
          <t>High</t>
        </is>
      </c>
      <c r="M5146" t="inlineStr">
        <is>
          <t>LLM</t>
        </is>
      </c>
      <c r="N5146" t="inlineStr">
        <is>
          <t>2026-04-19</t>
        </is>
      </c>
      <c r="O5146" t="inlineStr">
        <is>
          <t>AI</t>
        </is>
      </c>
    </row>
    <row r="5147">
      <c r="A5147" t="inlineStr">
        <is>
          <t>PT Sinar Mas Agro Resources and Technology Tbk</t>
        </is>
      </c>
      <c r="B5147" t="inlineStr">
        <is>
          <t>SMAR_2023_AR.pdf</t>
        </is>
      </c>
      <c r="C5147" t="n">
        <v>2023</v>
      </c>
      <c r="D5147" t="inlineStr">
        <is>
          <t>Financial</t>
        </is>
      </c>
      <c r="E5147" t="inlineStr">
        <is>
          <t>EBITDA Margin</t>
        </is>
      </c>
      <c r="F5147" t="n">
        <v>0.057</v>
      </c>
      <c r="G5147" t="inlineStr">
        <is>
          <t>%</t>
        </is>
      </c>
      <c r="H5147" t="n">
        <v>8</v>
      </c>
      <c r="I5147" t="inlineStr">
        <is>
          <t>Marjin EBITDA 5.7 12.7 10.7</t>
        </is>
      </c>
      <c r="J5147" t="inlineStr">
        <is>
          <t>High</t>
        </is>
      </c>
      <c r="M5147" t="inlineStr">
        <is>
          <t>LLM</t>
        </is>
      </c>
      <c r="N5147" t="inlineStr">
        <is>
          <t>2026-04-19</t>
        </is>
      </c>
      <c r="O5147" t="inlineStr">
        <is>
          <t>AI</t>
        </is>
      </c>
    </row>
    <row r="5148">
      <c r="A5148" t="inlineStr">
        <is>
          <t>PT Sinar Mas Agro Resources and Technology Tbk</t>
        </is>
      </c>
      <c r="B5148" t="inlineStr">
        <is>
          <t>SMAR_2023_AR.pdf</t>
        </is>
      </c>
      <c r="C5148" t="n">
        <v>2023</v>
      </c>
      <c r="D5148" t="inlineStr">
        <is>
          <t>Financial</t>
        </is>
      </c>
      <c r="E5148" t="inlineStr">
        <is>
          <t>Net Margin</t>
        </is>
      </c>
      <c r="F5148" t="n">
        <v>0.014</v>
      </c>
      <c r="G5148" t="inlineStr">
        <is>
          <t>%</t>
        </is>
      </c>
      <c r="H5148" t="n">
        <v>8</v>
      </c>
      <c r="I5148" t="inlineStr">
        <is>
          <t>Marjin bersih 1.4 7.3 5.0</t>
        </is>
      </c>
      <c r="J5148" t="inlineStr">
        <is>
          <t>High</t>
        </is>
      </c>
      <c r="M5148" t="inlineStr">
        <is>
          <t>LLM</t>
        </is>
      </c>
      <c r="N5148" t="inlineStr">
        <is>
          <t>2026-04-19</t>
        </is>
      </c>
      <c r="O5148" t="inlineStr">
        <is>
          <t>AI</t>
        </is>
      </c>
    </row>
    <row r="5149">
      <c r="A5149" t="inlineStr">
        <is>
          <t>PT Sinar Mas Agro Resources and Technology Tbk</t>
        </is>
      </c>
      <c r="B5149" t="inlineStr">
        <is>
          <t>SMAR_2023_AR.pdf</t>
        </is>
      </c>
      <c r="C5149" t="n">
        <v>2023</v>
      </c>
      <c r="D5149" t="inlineStr">
        <is>
          <t>Financial</t>
        </is>
      </c>
      <c r="E5149" t="inlineStr">
        <is>
          <t>ROE</t>
        </is>
      </c>
      <c r="F5149" t="n">
        <v>0.048</v>
      </c>
      <c r="G5149" t="inlineStr">
        <is>
          <t>%</t>
        </is>
      </c>
      <c r="H5149" t="n">
        <v>8</v>
      </c>
      <c r="I5149" t="inlineStr">
        <is>
          <t>Rasio laba terhadap ekuitas 4.8 28.6 19.6</t>
        </is>
      </c>
      <c r="J5149" t="inlineStr">
        <is>
          <t>High</t>
        </is>
      </c>
      <c r="M5149" t="inlineStr">
        <is>
          <t>LLM</t>
        </is>
      </c>
      <c r="N5149" t="inlineStr">
        <is>
          <t>2026-04-19</t>
        </is>
      </c>
      <c r="O5149" t="inlineStr">
        <is>
          <t>AI</t>
        </is>
      </c>
    </row>
    <row r="5150">
      <c r="A5150" t="inlineStr">
        <is>
          <t>PT Sinar Mas Agro Resources and Technology Tbk</t>
        </is>
      </c>
      <c r="B5150" t="inlineStr">
        <is>
          <t>SMAR_2023_AR.pdf</t>
        </is>
      </c>
      <c r="C5150" t="n">
        <v>2023</v>
      </c>
      <c r="D5150" t="inlineStr">
        <is>
          <t>Financial</t>
        </is>
      </c>
      <c r="E5150" t="inlineStr">
        <is>
          <t>USD Closing FX</t>
        </is>
      </c>
      <c r="F5150" t="n">
        <v>15416</v>
      </c>
      <c r="G5150" t="inlineStr">
        <is>
          <t>Rp/USD</t>
        </is>
      </c>
      <c r="H5150" t="n">
        <v>8</v>
      </c>
      <c r="I5150" t="inlineStr">
        <is>
          <t>Nilai tukar US$ - penutupan 15,416</t>
        </is>
      </c>
      <c r="J5150" t="inlineStr">
        <is>
          <t>High</t>
        </is>
      </c>
      <c r="M5150" t="inlineStr">
        <is>
          <t>LLM</t>
        </is>
      </c>
      <c r="N5150" t="inlineStr">
        <is>
          <t>2026-04-19</t>
        </is>
      </c>
      <c r="O5150" t="inlineStr">
        <is>
          <t>AI</t>
        </is>
      </c>
    </row>
    <row r="5151">
      <c r="A5151" t="inlineStr">
        <is>
          <t>PT Sinar Mas Agro Resources and Technology Tbk</t>
        </is>
      </c>
      <c r="B5151" t="inlineStr">
        <is>
          <t>SMAR_2023_AR.pdf</t>
        </is>
      </c>
      <c r="C5151" t="n">
        <v>2023</v>
      </c>
      <c r="D5151" t="inlineStr">
        <is>
          <t>Financial</t>
        </is>
      </c>
      <c r="E5151" t="inlineStr">
        <is>
          <t>USD Average FX</t>
        </is>
      </c>
      <c r="F5151" t="n">
        <v>15243</v>
      </c>
      <c r="G5151" t="inlineStr">
        <is>
          <t>Rp/USD</t>
        </is>
      </c>
      <c r="H5151" t="n">
        <v>8</v>
      </c>
      <c r="I5151" t="inlineStr">
        <is>
          <t>Nilai tukar US$ - rata-rata 15,243</t>
        </is>
      </c>
      <c r="J5151" t="inlineStr">
        <is>
          <t>High</t>
        </is>
      </c>
      <c r="M5151" t="inlineStr">
        <is>
          <t>LLM</t>
        </is>
      </c>
      <c r="N5151" t="inlineStr">
        <is>
          <t>2026-04-19</t>
        </is>
      </c>
      <c r="O5151" t="inlineStr">
        <is>
          <t>AI</t>
        </is>
      </c>
    </row>
    <row r="5152">
      <c r="A5152" t="inlineStr">
        <is>
          <t>PT Sinar Mas Agro Resources and Technology Tbk</t>
        </is>
      </c>
      <c r="B5152" t="inlineStr">
        <is>
          <t>SMAR_2023_AR.pdf</t>
        </is>
      </c>
      <c r="C5152" t="n">
        <v>2023</v>
      </c>
      <c r="D5152" t="inlineStr">
        <is>
          <t>Asset</t>
        </is>
      </c>
      <c r="E5152" t="inlineStr">
        <is>
          <t>Total Planted Area</t>
        </is>
      </c>
      <c r="F5152" t="n">
        <v>134177</v>
      </c>
      <c r="G5152" t="inlineStr">
        <is>
          <t>ha</t>
        </is>
      </c>
      <c r="H5152" t="n">
        <v>52</v>
      </c>
      <c r="I5152" t="inlineStr">
        <is>
          <t>SMART mengelola 134,177 hektar kebun sawit yang berlokasi di Sumatera dan Kalimantan</t>
        </is>
      </c>
      <c r="J5152" t="inlineStr">
        <is>
          <t>High</t>
        </is>
      </c>
      <c r="M5152" t="inlineStr">
        <is>
          <t>LLM</t>
        </is>
      </c>
      <c r="N5152" t="inlineStr">
        <is>
          <t>2026-04-19</t>
        </is>
      </c>
      <c r="O5152" t="inlineStr">
        <is>
          <t>AI</t>
        </is>
      </c>
    </row>
    <row r="5153">
      <c r="A5153" t="inlineStr">
        <is>
          <t>PT Sinar Mas Agro Resources and Technology Tbk</t>
        </is>
      </c>
      <c r="B5153" t="inlineStr">
        <is>
          <t>SMAR_2023_AR.pdf</t>
        </is>
      </c>
      <c r="C5153" t="n">
        <v>2023</v>
      </c>
      <c r="D5153" t="inlineStr">
        <is>
          <t>Asset</t>
        </is>
      </c>
      <c r="E5153" t="inlineStr">
        <is>
          <t>Nucleus Proportion</t>
        </is>
      </c>
      <c r="F5153" t="n">
        <v>0.77</v>
      </c>
      <c r="G5153" t="inlineStr">
        <is>
          <t>%</t>
        </is>
      </c>
      <c r="H5153" t="n">
        <v>52</v>
      </c>
      <c r="I5153" t="inlineStr">
        <is>
          <t>Perkebunan kami terdiri dari 77% milik sendiri (disebut inti)</t>
        </is>
      </c>
      <c r="J5153" t="inlineStr">
        <is>
          <t>High</t>
        </is>
      </c>
      <c r="M5153" t="inlineStr">
        <is>
          <t>LLM</t>
        </is>
      </c>
      <c r="N5153" t="inlineStr">
        <is>
          <t>2026-04-19</t>
        </is>
      </c>
      <c r="O5153" t="inlineStr">
        <is>
          <t>AI</t>
        </is>
      </c>
    </row>
    <row r="5154">
      <c r="A5154" t="inlineStr">
        <is>
          <t>PT Sinar Mas Agro Resources and Technology Tbk</t>
        </is>
      </c>
      <c r="B5154" t="inlineStr">
        <is>
          <t>SMAR_2023_AR.pdf</t>
        </is>
      </c>
      <c r="C5154" t="n">
        <v>2023</v>
      </c>
      <c r="D5154" t="inlineStr">
        <is>
          <t>Asset</t>
        </is>
      </c>
      <c r="E5154" t="inlineStr">
        <is>
          <t>Plasma Proportion</t>
        </is>
      </c>
      <c r="F5154" t="n">
        <v>0.23</v>
      </c>
      <c r="G5154" t="inlineStr">
        <is>
          <t>%</t>
        </is>
      </c>
      <c r="H5154" t="n">
        <v>52</v>
      </c>
      <c r="I5154" t="inlineStr">
        <is>
          <t>23% milik para petani (disebut plasma)</t>
        </is>
      </c>
      <c r="J5154" t="inlineStr">
        <is>
          <t>High</t>
        </is>
      </c>
      <c r="M5154" t="inlineStr">
        <is>
          <t>LLM</t>
        </is>
      </c>
      <c r="N5154" t="inlineStr">
        <is>
          <t>2026-04-19</t>
        </is>
      </c>
      <c r="O5154" t="inlineStr">
        <is>
          <t>AI</t>
        </is>
      </c>
    </row>
    <row r="5155">
      <c r="A5155" t="inlineStr">
        <is>
          <t>PT Sinar Mas Agro Resources and Technology Tbk</t>
        </is>
      </c>
      <c r="B5155" t="inlineStr">
        <is>
          <t>SMAR_2023_AR.pdf</t>
        </is>
      </c>
      <c r="C5155" t="n">
        <v>2023</v>
      </c>
      <c r="D5155" t="inlineStr">
        <is>
          <t>Asset</t>
        </is>
      </c>
      <c r="E5155" t="inlineStr">
        <is>
          <t>Immature 0-3 yr Area</t>
        </is>
      </c>
      <c r="F5155" t="n">
        <v>7834</v>
      </c>
      <c r="G5155" t="inlineStr">
        <is>
          <t>ha</t>
        </is>
      </c>
      <c r="H5155" t="n">
        <v>53</v>
      </c>
      <c r="I5155" t="inlineStr">
        <is>
          <t>Belum Menghasilkan 0-3 tahun Immature 0-3 years 7,834 6%</t>
        </is>
      </c>
      <c r="J5155" t="inlineStr">
        <is>
          <t>High</t>
        </is>
      </c>
      <c r="M5155" t="inlineStr">
        <is>
          <t>LLM</t>
        </is>
      </c>
      <c r="N5155" t="inlineStr">
        <is>
          <t>2026-04-19</t>
        </is>
      </c>
      <c r="O5155" t="inlineStr">
        <is>
          <t>AI</t>
        </is>
      </c>
    </row>
    <row r="5156">
      <c r="A5156" t="inlineStr">
        <is>
          <t>PT Sinar Mas Agro Resources and Technology Tbk</t>
        </is>
      </c>
      <c r="B5156" t="inlineStr">
        <is>
          <t>SMAR_2023_AR.pdf</t>
        </is>
      </c>
      <c r="C5156" t="n">
        <v>2023</v>
      </c>
      <c r="D5156" t="inlineStr">
        <is>
          <t>Asset</t>
        </is>
      </c>
      <c r="E5156" t="inlineStr">
        <is>
          <t>Young 4-6 yr Area</t>
        </is>
      </c>
      <c r="F5156" t="n">
        <v>9896</v>
      </c>
      <c r="G5156" t="inlineStr">
        <is>
          <t>ha</t>
        </is>
      </c>
      <c r="H5156" t="n">
        <v>53</v>
      </c>
      <c r="I5156" t="inlineStr">
        <is>
          <t>Muda 4-6 tahun Young 4-6 years 9,896 7%</t>
        </is>
      </c>
      <c r="J5156" t="inlineStr">
        <is>
          <t>High</t>
        </is>
      </c>
      <c r="M5156" t="inlineStr">
        <is>
          <t>LLM</t>
        </is>
      </c>
      <c r="N5156" t="inlineStr">
        <is>
          <t>2026-04-19</t>
        </is>
      </c>
      <c r="O5156" t="inlineStr">
        <is>
          <t>AI</t>
        </is>
      </c>
    </row>
    <row r="5157">
      <c r="A5157" t="inlineStr">
        <is>
          <t>PT Sinar Mas Agro Resources and Technology Tbk</t>
        </is>
      </c>
      <c r="B5157" t="inlineStr">
        <is>
          <t>SMAR_2023_AR.pdf</t>
        </is>
      </c>
      <c r="C5157" t="n">
        <v>2023</v>
      </c>
      <c r="D5157" t="inlineStr">
        <is>
          <t>Asset</t>
        </is>
      </c>
      <c r="E5157" t="inlineStr">
        <is>
          <t>Prime 1 (7-18 yr) Area</t>
        </is>
      </c>
      <c r="F5157" t="n">
        <v>47783</v>
      </c>
      <c r="G5157" t="inlineStr">
        <is>
          <t>ha</t>
        </is>
      </c>
      <c r="H5157" t="n">
        <v>53</v>
      </c>
      <c r="I5157" t="inlineStr">
        <is>
          <t>Utama 1 7-18 tahun Prime 1 7-18 years 47,783 36%</t>
        </is>
      </c>
      <c r="J5157" t="inlineStr">
        <is>
          <t>High</t>
        </is>
      </c>
      <c r="M5157" t="inlineStr">
        <is>
          <t>LLM</t>
        </is>
      </c>
      <c r="N5157" t="inlineStr">
        <is>
          <t>2026-04-19</t>
        </is>
      </c>
      <c r="O5157" t="inlineStr">
        <is>
          <t>AI</t>
        </is>
      </c>
    </row>
    <row r="5158">
      <c r="A5158" t="inlineStr">
        <is>
          <t>PT Sinar Mas Agro Resources and Technology Tbk</t>
        </is>
      </c>
      <c r="B5158" t="inlineStr">
        <is>
          <t>SMAR_2023_AR.pdf</t>
        </is>
      </c>
      <c r="C5158" t="n">
        <v>2023</v>
      </c>
      <c r="D5158" t="inlineStr">
        <is>
          <t>Asset</t>
        </is>
      </c>
      <c r="E5158" t="inlineStr">
        <is>
          <t>Prime 2 (19-25 yr) Area</t>
        </is>
      </c>
      <c r="F5158" t="n">
        <v>29711</v>
      </c>
      <c r="G5158" t="inlineStr">
        <is>
          <t>ha</t>
        </is>
      </c>
      <c r="H5158" t="n">
        <v>53</v>
      </c>
      <c r="I5158" t="inlineStr">
        <is>
          <t>Utama 2 19-25 tahun Prime 2 19-25 years 29,711 22%</t>
        </is>
      </c>
      <c r="J5158" t="inlineStr">
        <is>
          <t>High</t>
        </is>
      </c>
      <c r="M5158" t="inlineStr">
        <is>
          <t>LLM</t>
        </is>
      </c>
      <c r="N5158" t="inlineStr">
        <is>
          <t>2026-04-19</t>
        </is>
      </c>
      <c r="O5158" t="inlineStr">
        <is>
          <t>AI</t>
        </is>
      </c>
    </row>
    <row r="5159">
      <c r="A5159" t="inlineStr">
        <is>
          <t>PT Sinar Mas Agro Resources and Technology Tbk</t>
        </is>
      </c>
      <c r="B5159" t="inlineStr">
        <is>
          <t>SMAR_2023_AR.pdf</t>
        </is>
      </c>
      <c r="C5159" t="n">
        <v>2023</v>
      </c>
      <c r="D5159" t="inlineStr">
        <is>
          <t>Asset</t>
        </is>
      </c>
      <c r="E5159" t="inlineStr">
        <is>
          <t>Old &gt;25 yr Area</t>
        </is>
      </c>
      <c r="F5159" t="n">
        <v>38953</v>
      </c>
      <c r="G5159" t="inlineStr">
        <is>
          <t>ha</t>
        </is>
      </c>
      <c r="H5159" t="n">
        <v>53</v>
      </c>
      <c r="I5159" t="inlineStr">
        <is>
          <t>Tua &gt;25 tahun Old &gt;25 years 38,953 29%</t>
        </is>
      </c>
      <c r="J5159" t="inlineStr">
        <is>
          <t>High</t>
        </is>
      </c>
      <c r="M5159" t="inlineStr">
        <is>
          <t>LLM</t>
        </is>
      </c>
      <c r="N5159" t="inlineStr">
        <is>
          <t>2026-04-19</t>
        </is>
      </c>
      <c r="O5159" t="inlineStr">
        <is>
          <t>AI</t>
        </is>
      </c>
    </row>
    <row r="5160">
      <c r="A5160" t="inlineStr">
        <is>
          <t>PT Sinar Mas Agro Resources and Technology Tbk</t>
        </is>
      </c>
      <c r="B5160" t="inlineStr">
        <is>
          <t>SMAR_2023_AR.pdf</t>
        </is>
      </c>
      <c r="C5160" t="n">
        <v>2023</v>
      </c>
      <c r="D5160" t="inlineStr">
        <is>
          <t>Asset</t>
        </is>
      </c>
      <c r="E5160" t="inlineStr">
        <is>
          <t>Replanted Area 2023</t>
        </is>
      </c>
      <c r="F5160" t="n">
        <v>3200</v>
      </c>
      <c r="G5160" t="inlineStr">
        <is>
          <t>ha</t>
        </is>
      </c>
      <c r="H5160" t="n">
        <v>52</v>
      </c>
      <c r="I5160" t="inlineStr">
        <is>
          <t>Selama tahun berjalan, kami melakukan peremajaan tanaman tua sekitar 3,200 hektar</t>
        </is>
      </c>
      <c r="J5160" t="inlineStr">
        <is>
          <t>High</t>
        </is>
      </c>
      <c r="M5160" t="inlineStr">
        <is>
          <t>LLM</t>
        </is>
      </c>
      <c r="N5160" t="inlineStr">
        <is>
          <t>2026-04-19</t>
        </is>
      </c>
      <c r="O5160" t="inlineStr">
        <is>
          <t>AI</t>
        </is>
      </c>
    </row>
    <row r="5161">
      <c r="A5161" t="inlineStr">
        <is>
          <t>PT Sinar Mas Agro Resources and Technology Tbk</t>
        </is>
      </c>
      <c r="B5161" t="inlineStr">
        <is>
          <t>SMAR_2023_AR.pdf</t>
        </is>
      </c>
      <c r="C5161" t="n">
        <v>2023</v>
      </c>
      <c r="D5161" t="inlineStr">
        <is>
          <t>Asset</t>
        </is>
      </c>
      <c r="E5161" t="inlineStr">
        <is>
          <t>Young+Immature Area</t>
        </is>
      </c>
      <c r="F5161" t="n">
        <v>17730</v>
      </c>
      <c r="G5161" t="inlineStr">
        <is>
          <t>ha</t>
        </is>
      </c>
      <c r="H5161" t="n">
        <v>52</v>
      </c>
      <c r="I5161" t="inlineStr">
        <is>
          <t>luas tanaman yang belum menghasilkan dan tanaman muda berumur hingga 6 tahun mencapai 17,730 hektar</t>
        </is>
      </c>
      <c r="J5161" t="inlineStr">
        <is>
          <t>High</t>
        </is>
      </c>
      <c r="M5161" t="inlineStr">
        <is>
          <t>LLM</t>
        </is>
      </c>
      <c r="N5161" t="inlineStr">
        <is>
          <t>2026-04-19</t>
        </is>
      </c>
      <c r="O5161" t="inlineStr">
        <is>
          <t>AI</t>
        </is>
      </c>
    </row>
    <row r="5162">
      <c r="A5162" t="inlineStr">
        <is>
          <t>PT Sinar Mas Agro Resources and Technology Tbk</t>
        </is>
      </c>
      <c r="B5162" t="inlineStr">
        <is>
          <t>SMAR_2023_AR.pdf</t>
        </is>
      </c>
      <c r="C5162" t="n">
        <v>2023</v>
      </c>
      <c r="D5162" t="inlineStr">
        <is>
          <t>Asset</t>
        </is>
      </c>
      <c r="E5162" t="inlineStr">
        <is>
          <t>Palm Oil Mill Count</t>
        </is>
      </c>
      <c r="F5162" t="n">
        <v>16</v>
      </c>
      <c r="G5162" t="inlineStr">
        <is>
          <t>count</t>
        </is>
      </c>
      <c r="H5162" t="n">
        <v>54</v>
      </c>
      <c r="I5162" t="inlineStr">
        <is>
          <t>SMART mengoperasikan 16 PKS dengan total kapasitas terpasang tahunan sebesar 4.35 juta ton</t>
        </is>
      </c>
      <c r="J5162" t="inlineStr">
        <is>
          <t>High</t>
        </is>
      </c>
      <c r="M5162" t="inlineStr">
        <is>
          <t>LLM</t>
        </is>
      </c>
      <c r="N5162" t="inlineStr">
        <is>
          <t>2026-04-19</t>
        </is>
      </c>
      <c r="O5162" t="inlineStr">
        <is>
          <t>AI</t>
        </is>
      </c>
    </row>
    <row r="5163">
      <c r="A5163" t="inlineStr">
        <is>
          <t>PT Sinar Mas Agro Resources and Technology Tbk</t>
        </is>
      </c>
      <c r="B5163" t="inlineStr">
        <is>
          <t>SMAR_2023_AR.pdf</t>
        </is>
      </c>
      <c r="C5163" t="n">
        <v>2023</v>
      </c>
      <c r="D5163" t="inlineStr">
        <is>
          <t>Asset</t>
        </is>
      </c>
      <c r="E5163" t="inlineStr">
        <is>
          <t>Mills Installed Capacity</t>
        </is>
      </c>
      <c r="F5163" t="n">
        <v>4350000</v>
      </c>
      <c r="G5163" t="inlineStr">
        <is>
          <t>t/yr</t>
        </is>
      </c>
      <c r="H5163" t="n">
        <v>54</v>
      </c>
      <c r="I5163" t="inlineStr">
        <is>
          <t>total kapasitas terpasang tahunan sebesar 4.35 juta ton</t>
        </is>
      </c>
      <c r="J5163" t="inlineStr">
        <is>
          <t>High</t>
        </is>
      </c>
      <c r="M5163" t="inlineStr">
        <is>
          <t>LLM</t>
        </is>
      </c>
      <c r="N5163" t="inlineStr">
        <is>
          <t>2026-04-19</t>
        </is>
      </c>
      <c r="O5163" t="inlineStr">
        <is>
          <t>AI</t>
        </is>
      </c>
    </row>
    <row r="5164">
      <c r="A5164" t="inlineStr">
        <is>
          <t>PT Sinar Mas Agro Resources and Technology Tbk</t>
        </is>
      </c>
      <c r="B5164" t="inlineStr">
        <is>
          <t>SMAR_2023_AR.pdf</t>
        </is>
      </c>
      <c r="C5164" t="n">
        <v>2023</v>
      </c>
      <c r="D5164" t="inlineStr">
        <is>
          <t>Asset</t>
        </is>
      </c>
      <c r="E5164" t="inlineStr">
        <is>
          <t>Refinery Capacity</t>
        </is>
      </c>
      <c r="F5164" t="n">
        <v>2900000</v>
      </c>
      <c r="G5164" t="inlineStr">
        <is>
          <t>t/yr</t>
        </is>
      </c>
      <c r="H5164" t="n">
        <v>54</v>
      </c>
      <c r="I5164" t="inlineStr">
        <is>
          <t>pabrik rafinasi dengan kapasitas tahunan hampir 2.9 juta ton</t>
        </is>
      </c>
      <c r="J5164" t="inlineStr">
        <is>
          <t>High</t>
        </is>
      </c>
      <c r="M5164" t="inlineStr">
        <is>
          <t>LLM</t>
        </is>
      </c>
      <c r="N5164" t="inlineStr">
        <is>
          <t>2026-04-19</t>
        </is>
      </c>
      <c r="O5164" t="inlineStr">
        <is>
          <t>AI</t>
        </is>
      </c>
    </row>
    <row r="5165">
      <c r="A5165" t="inlineStr">
        <is>
          <t>PT Sinar Mas Agro Resources and Technology Tbk</t>
        </is>
      </c>
      <c r="B5165" t="inlineStr">
        <is>
          <t>SMAR_2023_AR.pdf</t>
        </is>
      </c>
      <c r="C5165" t="n">
        <v>2023</v>
      </c>
      <c r="D5165" t="inlineStr">
        <is>
          <t>Asset</t>
        </is>
      </c>
      <c r="E5165" t="inlineStr">
        <is>
          <t>Kernel Crushing Capacity</t>
        </is>
      </c>
      <c r="F5165" t="n">
        <v>819000</v>
      </c>
      <c r="G5165" t="inlineStr">
        <is>
          <t>t/yr</t>
        </is>
      </c>
      <c r="H5165" t="n">
        <v>54</v>
      </c>
      <c r="I5165" t="inlineStr">
        <is>
          <t>pabrik pengolahan inti sawit yang berkapasitas 819 ribu ton per tahun</t>
        </is>
      </c>
      <c r="J5165" t="inlineStr">
        <is>
          <t>High</t>
        </is>
      </c>
      <c r="M5165" t="inlineStr">
        <is>
          <t>LLM</t>
        </is>
      </c>
      <c r="N5165" t="inlineStr">
        <is>
          <t>2026-04-19</t>
        </is>
      </c>
      <c r="O5165" t="inlineStr">
        <is>
          <t>AI</t>
        </is>
      </c>
    </row>
    <row r="5166">
      <c r="A5166" t="inlineStr">
        <is>
          <t>PT Sinar Mas Agro Resources and Technology Tbk</t>
        </is>
      </c>
      <c r="B5166" t="inlineStr">
        <is>
          <t>SMAR_2023_AR.pdf</t>
        </is>
      </c>
      <c r="C5166" t="n">
        <v>2023</v>
      </c>
      <c r="D5166" t="inlineStr">
        <is>
          <t>Asset</t>
        </is>
      </c>
      <c r="E5166" t="inlineStr">
        <is>
          <t>Biodiesel Plant Capacity</t>
        </is>
      </c>
      <c r="F5166" t="n">
        <v>1050000</v>
      </c>
      <c r="G5166" t="inlineStr">
        <is>
          <t>t/yr</t>
        </is>
      </c>
      <c r="H5166" t="n">
        <v>54</v>
      </c>
      <c r="I5166" t="inlineStr">
        <is>
          <t>pabrik biodiesel berkapasitas 1.05 juta ton</t>
        </is>
      </c>
      <c r="J5166" t="inlineStr">
        <is>
          <t>High</t>
        </is>
      </c>
      <c r="M5166" t="inlineStr">
        <is>
          <t>LLM</t>
        </is>
      </c>
      <c r="N5166" t="inlineStr">
        <is>
          <t>2026-04-19</t>
        </is>
      </c>
      <c r="O5166" t="inlineStr">
        <is>
          <t>AI</t>
        </is>
      </c>
    </row>
    <row r="5167">
      <c r="A5167" t="inlineStr">
        <is>
          <t>PT Sinar Mas Agro Resources and Technology Tbk</t>
        </is>
      </c>
      <c r="B5167" t="inlineStr">
        <is>
          <t>SMAR_2023_AR.pdf</t>
        </is>
      </c>
      <c r="C5167" t="n">
        <v>2023</v>
      </c>
      <c r="D5167" t="inlineStr">
        <is>
          <t>Asset</t>
        </is>
      </c>
      <c r="E5167" t="inlineStr">
        <is>
          <t>Oleochemical Plant Capacity</t>
        </is>
      </c>
      <c r="F5167" t="n">
        <v>240000</v>
      </c>
      <c r="G5167" t="inlineStr">
        <is>
          <t>t/yr</t>
        </is>
      </c>
      <c r="H5167" t="n">
        <v>54</v>
      </c>
      <c r="I5167" t="inlineStr">
        <is>
          <t>Pabrik oleokimia kami yang berkapasitas 240 ribu ton</t>
        </is>
      </c>
      <c r="J5167" t="inlineStr">
        <is>
          <t>High</t>
        </is>
      </c>
      <c r="M5167" t="inlineStr">
        <is>
          <t>LLM</t>
        </is>
      </c>
      <c r="N5167" t="inlineStr">
        <is>
          <t>2026-04-19</t>
        </is>
      </c>
      <c r="O5167" t="inlineStr">
        <is>
          <t>AI</t>
        </is>
      </c>
    </row>
    <row r="5168">
      <c r="A5168" t="inlineStr">
        <is>
          <t>PT Sinar Mas Agro Resources and Technology Tbk</t>
        </is>
      </c>
      <c r="B5168" t="inlineStr">
        <is>
          <t>SMAR_2023_AR.pdf</t>
        </is>
      </c>
      <c r="C5168" t="n">
        <v>2023</v>
      </c>
      <c r="D5168" t="inlineStr">
        <is>
          <t>Operation</t>
        </is>
      </c>
      <c r="E5168" t="inlineStr">
        <is>
          <t>FFB Harvested</t>
        </is>
      </c>
      <c r="F5168" t="n">
        <v>2410000</v>
      </c>
      <c r="G5168" t="inlineStr">
        <is>
          <t>t</t>
        </is>
      </c>
      <c r="H5168" t="n">
        <v>54</v>
      </c>
      <c r="I5168" t="inlineStr">
        <is>
          <t>panen Tandan Buah Segar (TBS) Perseroan turun menjadi 2.41 juta ton</t>
        </is>
      </c>
      <c r="J5168" t="inlineStr">
        <is>
          <t>High</t>
        </is>
      </c>
      <c r="M5168" t="inlineStr">
        <is>
          <t>LLM</t>
        </is>
      </c>
      <c r="N5168" t="inlineStr">
        <is>
          <t>2026-04-19</t>
        </is>
      </c>
      <c r="O5168" t="inlineStr">
        <is>
          <t>AI</t>
        </is>
      </c>
    </row>
    <row r="5169">
      <c r="A5169" t="inlineStr">
        <is>
          <t>PT Sinar Mas Agro Resources and Technology Tbk</t>
        </is>
      </c>
      <c r="B5169" t="inlineStr">
        <is>
          <t>SMAR_2023_AR.pdf</t>
        </is>
      </c>
      <c r="C5169" t="n">
        <v>2023</v>
      </c>
      <c r="D5169" t="inlineStr">
        <is>
          <t>Operation</t>
        </is>
      </c>
      <c r="E5169" t="inlineStr">
        <is>
          <t>FFB Yield</t>
        </is>
      </c>
      <c r="F5169" t="n">
        <v>19.1</v>
      </c>
      <c r="G5169" t="inlineStr">
        <is>
          <t>t/ha</t>
        </is>
      </c>
      <c r="H5169" t="n">
        <v>54</v>
      </c>
      <c r="I5169" t="inlineStr">
        <is>
          <t>produktivitas buah rata-rata sebesar 19.1 ton per hektar</t>
        </is>
      </c>
      <c r="J5169" t="inlineStr">
        <is>
          <t>High</t>
        </is>
      </c>
      <c r="M5169" t="inlineStr">
        <is>
          <t>LLM</t>
        </is>
      </c>
      <c r="N5169" t="inlineStr">
        <is>
          <t>2026-04-19</t>
        </is>
      </c>
      <c r="O5169" t="inlineStr">
        <is>
          <t>AI</t>
        </is>
      </c>
    </row>
    <row r="5170">
      <c r="A5170" t="inlineStr">
        <is>
          <t>PT Sinar Mas Agro Resources and Technology Tbk</t>
        </is>
      </c>
      <c r="B5170" t="inlineStr">
        <is>
          <t>SMAR_2023_AR.pdf</t>
        </is>
      </c>
      <c r="C5170" t="n">
        <v>2023</v>
      </c>
      <c r="D5170" t="inlineStr">
        <is>
          <t>Operation</t>
        </is>
      </c>
      <c r="E5170" t="inlineStr">
        <is>
          <t>CPO Production</t>
        </is>
      </c>
      <c r="F5170" t="n">
        <v>567000</v>
      </c>
      <c r="G5170" t="inlineStr">
        <is>
          <t>t</t>
        </is>
      </c>
      <c r="H5170" t="n">
        <v>55</v>
      </c>
      <c r="I5170" t="inlineStr">
        <is>
          <t>The mills produced 722 thousand tonnes of palm products, comprising 567 thousand tonnes of CPO</t>
        </is>
      </c>
      <c r="J5170" t="inlineStr">
        <is>
          <t>High</t>
        </is>
      </c>
      <c r="M5170" t="inlineStr">
        <is>
          <t>LLM</t>
        </is>
      </c>
      <c r="N5170" t="inlineStr">
        <is>
          <t>2026-04-19</t>
        </is>
      </c>
      <c r="O5170" t="inlineStr">
        <is>
          <t>AI</t>
        </is>
      </c>
    </row>
    <row r="5171">
      <c r="A5171" t="inlineStr">
        <is>
          <t>PT Sinar Mas Agro Resources and Technology Tbk</t>
        </is>
      </c>
      <c r="B5171" t="inlineStr">
        <is>
          <t>SMAR_2023_AR.pdf</t>
        </is>
      </c>
      <c r="C5171" t="n">
        <v>2023</v>
      </c>
      <c r="D5171" t="inlineStr">
        <is>
          <t>Operation</t>
        </is>
      </c>
      <c r="E5171" t="inlineStr">
        <is>
          <t>Palm Kernel Production</t>
        </is>
      </c>
      <c r="F5171" t="n">
        <v>155000</v>
      </c>
      <c r="G5171" t="inlineStr">
        <is>
          <t>t</t>
        </is>
      </c>
      <c r="H5171" t="n">
        <v>55</v>
      </c>
      <c r="I5171" t="inlineStr">
        <is>
          <t>155 thousand tonnes of PK</t>
        </is>
      </c>
      <c r="J5171" t="inlineStr">
        <is>
          <t>High</t>
        </is>
      </c>
      <c r="M5171" t="inlineStr">
        <is>
          <t>LLM</t>
        </is>
      </c>
      <c r="N5171" t="inlineStr">
        <is>
          <t>2026-04-19</t>
        </is>
      </c>
      <c r="O5171" t="inlineStr">
        <is>
          <t>AI</t>
        </is>
      </c>
    </row>
    <row r="5172">
      <c r="A5172" t="inlineStr">
        <is>
          <t>PT Sinar Mas Agro Resources and Technology Tbk</t>
        </is>
      </c>
      <c r="B5172" t="inlineStr">
        <is>
          <t>SMAR_2023_AR.pdf</t>
        </is>
      </c>
      <c r="C5172" t="n">
        <v>2023</v>
      </c>
      <c r="D5172" t="inlineStr">
        <is>
          <t>Operation</t>
        </is>
      </c>
      <c r="E5172" t="inlineStr">
        <is>
          <t>Palm Product Output</t>
        </is>
      </c>
      <c r="F5172" t="n">
        <v>722000</v>
      </c>
      <c r="G5172" t="inlineStr">
        <is>
          <t>t</t>
        </is>
      </c>
      <c r="H5172" t="n">
        <v>10</v>
      </c>
      <c r="I5172" t="inlineStr">
        <is>
          <t>Output produk sawit 722 729 700 (000 tonnes)</t>
        </is>
      </c>
      <c r="J5172" t="inlineStr">
        <is>
          <t>High</t>
        </is>
      </c>
      <c r="M5172" t="inlineStr">
        <is>
          <t>LLM</t>
        </is>
      </c>
      <c r="N5172" t="inlineStr">
        <is>
          <t>2026-04-19</t>
        </is>
      </c>
      <c r="O5172" t="inlineStr">
        <is>
          <t>AI</t>
        </is>
      </c>
    </row>
    <row r="5173">
      <c r="A5173" t="inlineStr">
        <is>
          <t>PT Sinar Mas Agro Resources and Technology Tbk</t>
        </is>
      </c>
      <c r="B5173" t="inlineStr">
        <is>
          <t>SMAR_2023_AR.pdf</t>
        </is>
      </c>
      <c r="C5173" t="n">
        <v>2023</v>
      </c>
      <c r="D5173" t="inlineStr">
        <is>
          <t>Operation</t>
        </is>
      </c>
      <c r="E5173" t="inlineStr">
        <is>
          <t>Palm Product Yield</t>
        </is>
      </c>
      <c r="F5173" t="n">
        <v>5.1</v>
      </c>
      <c r="G5173" t="inlineStr">
        <is>
          <t>t/ha</t>
        </is>
      </c>
      <c r="H5173" t="n">
        <v>54</v>
      </c>
      <c r="I5173" t="inlineStr">
        <is>
          <t>Produktivitas rata-rata produk sawit ini tetap stabil sebesar 5.1 ton per hektar</t>
        </is>
      </c>
      <c r="J5173" t="inlineStr">
        <is>
          <t>High</t>
        </is>
      </c>
      <c r="M5173" t="inlineStr">
        <is>
          <t>LLM</t>
        </is>
      </c>
      <c r="N5173" t="inlineStr">
        <is>
          <t>2026-04-19</t>
        </is>
      </c>
      <c r="O5173" t="inlineStr">
        <is>
          <t>AI</t>
        </is>
      </c>
    </row>
    <row r="5174">
      <c r="A5174" t="inlineStr">
        <is>
          <t>PT Sinar Mas Agro Resources and Technology Tbk</t>
        </is>
      </c>
      <c r="B5174" t="inlineStr">
        <is>
          <t>SMAR_2023_AR.pdf</t>
        </is>
      </c>
      <c r="C5174" t="n">
        <v>2023</v>
      </c>
      <c r="D5174" t="inlineStr">
        <is>
          <t>Operation</t>
        </is>
      </c>
      <c r="E5174" t="inlineStr">
        <is>
          <t>OER (Oil Extraction Rate)</t>
        </is>
      </c>
      <c r="F5174" t="n">
        <v>0.208</v>
      </c>
      <c r="G5174" t="inlineStr">
        <is>
          <t>%</t>
        </is>
      </c>
      <c r="H5174" t="n">
        <v>54</v>
      </c>
      <c r="I5174" t="inlineStr">
        <is>
          <t>tingkat ekstraksi minyak dan inti sawit masing-masing sebesar 20.8% dan 5.7%</t>
        </is>
      </c>
      <c r="J5174" t="inlineStr">
        <is>
          <t>High</t>
        </is>
      </c>
      <c r="M5174" t="inlineStr">
        <is>
          <t>LLM</t>
        </is>
      </c>
      <c r="N5174" t="inlineStr">
        <is>
          <t>2026-04-19</t>
        </is>
      </c>
      <c r="O5174" t="inlineStr">
        <is>
          <t>AI</t>
        </is>
      </c>
    </row>
    <row r="5175">
      <c r="A5175" t="inlineStr">
        <is>
          <t>PT Sinar Mas Agro Resources and Technology Tbk</t>
        </is>
      </c>
      <c r="B5175" t="inlineStr">
        <is>
          <t>SMAR_2023_AR.pdf</t>
        </is>
      </c>
      <c r="C5175" t="n">
        <v>2023</v>
      </c>
      <c r="D5175" t="inlineStr">
        <is>
          <t>Operation</t>
        </is>
      </c>
      <c r="E5175" t="inlineStr">
        <is>
          <t>KER (Kernel Extraction Rate)</t>
        </is>
      </c>
      <c r="F5175" t="n">
        <v>0.057</v>
      </c>
      <c r="G5175" t="inlineStr">
        <is>
          <t>%</t>
        </is>
      </c>
      <c r="H5175" t="n">
        <v>54</v>
      </c>
      <c r="I5175" t="inlineStr">
        <is>
          <t>20.8% dan 5.7%</t>
        </is>
      </c>
      <c r="J5175" t="inlineStr">
        <is>
          <t>High</t>
        </is>
      </c>
      <c r="M5175" t="inlineStr">
        <is>
          <t>LLM</t>
        </is>
      </c>
      <c r="N5175" t="inlineStr">
        <is>
          <t>2026-04-19</t>
        </is>
      </c>
      <c r="O5175" t="inlineStr">
        <is>
          <t>AI</t>
        </is>
      </c>
    </row>
    <row r="5176">
      <c r="A5176" t="inlineStr">
        <is>
          <t>PT Sinar Mas Agro Resources and Technology Tbk</t>
        </is>
      </c>
      <c r="B5176" t="inlineStr">
        <is>
          <t>SMAR_2023_AR.pdf</t>
        </is>
      </c>
      <c r="C5176" t="n">
        <v>2023</v>
      </c>
      <c r="D5176" t="inlineStr">
        <is>
          <t>Operation</t>
        </is>
      </c>
      <c r="E5176" t="inlineStr">
        <is>
          <t>Total Sales Volume</t>
        </is>
      </c>
      <c r="F5176" t="n">
        <v>5480000</v>
      </c>
      <c r="G5176" t="inlineStr">
        <is>
          <t>t</t>
        </is>
      </c>
      <c r="H5176" t="n">
        <v>57</v>
      </c>
      <c r="I5176" t="inlineStr">
        <is>
          <t>volume penjualan yang mencapai rekor tertinggi yaitu sebesar 5.48 juta ton</t>
        </is>
      </c>
      <c r="J5176" t="inlineStr">
        <is>
          <t>High</t>
        </is>
      </c>
      <c r="M5176" t="inlineStr">
        <is>
          <t>LLM</t>
        </is>
      </c>
      <c r="N5176" t="inlineStr">
        <is>
          <t>2026-04-19</t>
        </is>
      </c>
      <c r="O5176" t="inlineStr">
        <is>
          <t>AI</t>
        </is>
      </c>
    </row>
    <row r="5177">
      <c r="A5177" t="inlineStr">
        <is>
          <t>PT Sinar Mas Agro Resources and Technology Tbk</t>
        </is>
      </c>
      <c r="B5177" t="inlineStr">
        <is>
          <t>SMAR_2023_AR.pdf</t>
        </is>
      </c>
      <c r="C5177" t="n">
        <v>2023</v>
      </c>
      <c r="D5177" t="inlineStr">
        <is>
          <t>Operation</t>
        </is>
      </c>
      <c r="E5177" t="inlineStr">
        <is>
          <t>Biodiesel Sales</t>
        </is>
      </c>
      <c r="F5177" t="n">
        <v>904000</v>
      </c>
      <c r="G5177" t="inlineStr">
        <is>
          <t>t</t>
        </is>
      </c>
      <c r="H5177" t="n">
        <v>10</v>
      </c>
      <c r="I5177" t="inlineStr">
        <is>
          <t>Penjualan biodiesel 904 678 646 (000 tonnes)</t>
        </is>
      </c>
      <c r="J5177" t="inlineStr">
        <is>
          <t>High</t>
        </is>
      </c>
      <c r="M5177" t="inlineStr">
        <is>
          <t>LLM</t>
        </is>
      </c>
      <c r="N5177" t="inlineStr">
        <is>
          <t>2026-04-19</t>
        </is>
      </c>
      <c r="O5177" t="inlineStr">
        <is>
          <t>AI</t>
        </is>
      </c>
    </row>
    <row r="5178">
      <c r="A5178" t="inlineStr">
        <is>
          <t>PT Sinar Mas Agro Resources and Technology Tbk</t>
        </is>
      </c>
      <c r="B5178" t="inlineStr">
        <is>
          <t>SMAR_2023_AR.pdf</t>
        </is>
      </c>
      <c r="C5178" t="n">
        <v>2023</v>
      </c>
      <c r="D5178" t="inlineStr">
        <is>
          <t>Operation</t>
        </is>
      </c>
      <c r="E5178" t="inlineStr">
        <is>
          <t>Biodiesel Allocation 2023</t>
        </is>
      </c>
      <c r="F5178" t="n">
        <v>1100000</v>
      </c>
      <c r="G5178" t="inlineStr">
        <is>
          <t>kL</t>
        </is>
      </c>
      <c r="H5178" t="n">
        <v>56</v>
      </c>
      <c r="I5178" t="inlineStr">
        <is>
          <t>alokasi volume yang lebih besar yaitu 1.1 juta kilo liter untuk memenuhi mandat B35</t>
        </is>
      </c>
      <c r="J5178" t="inlineStr">
        <is>
          <t>High</t>
        </is>
      </c>
      <c r="M5178" t="inlineStr">
        <is>
          <t>LLM</t>
        </is>
      </c>
      <c r="N5178" t="inlineStr">
        <is>
          <t>2026-04-19</t>
        </is>
      </c>
      <c r="O5178" t="inlineStr">
        <is>
          <t>AI</t>
        </is>
      </c>
    </row>
    <row r="5179">
      <c r="A5179" t="inlineStr">
        <is>
          <t>PT Sinar Mas Agro Resources and Technology Tbk</t>
        </is>
      </c>
      <c r="B5179" t="inlineStr">
        <is>
          <t>SMAR_2023_AR.pdf</t>
        </is>
      </c>
      <c r="C5179" t="n">
        <v>2023</v>
      </c>
      <c r="D5179" t="inlineStr">
        <is>
          <t>Operation</t>
        </is>
      </c>
      <c r="E5179" t="inlineStr">
        <is>
          <t>Avg CPO Price (FOB Belawan)</t>
        </is>
      </c>
      <c r="F5179" t="n">
        <v>901</v>
      </c>
      <c r="G5179" t="inlineStr">
        <is>
          <t>USD/t</t>
        </is>
      </c>
      <c r="H5179" t="n">
        <v>8</v>
      </c>
      <c r="I5179" t="inlineStr">
        <is>
          <t>Harga rata-rata CPO - FOB Belawan 901 1,248 1,168</t>
        </is>
      </c>
      <c r="J5179" t="inlineStr">
        <is>
          <t>High</t>
        </is>
      </c>
      <c r="M5179" t="inlineStr">
        <is>
          <t>LLM</t>
        </is>
      </c>
      <c r="N5179" t="inlineStr">
        <is>
          <t>2026-04-19</t>
        </is>
      </c>
      <c r="O5179" t="inlineStr">
        <is>
          <t>AI</t>
        </is>
      </c>
    </row>
    <row r="5180">
      <c r="A5180" t="inlineStr">
        <is>
          <t>PT Sinar Mas Agro Resources and Technology Tbk</t>
        </is>
      </c>
      <c r="B5180" t="inlineStr">
        <is>
          <t>SMAR_2023_AR.pdf</t>
        </is>
      </c>
      <c r="C5180" t="n">
        <v>2023</v>
      </c>
      <c r="D5180" t="inlineStr">
        <is>
          <t>Operation</t>
        </is>
      </c>
      <c r="E5180" t="inlineStr">
        <is>
          <t>Sales Segment - Integrated Consumer</t>
        </is>
      </c>
      <c r="F5180" t="n">
        <v>61820</v>
      </c>
      <c r="G5180" t="inlineStr">
        <is>
          <t>IDR bn</t>
        </is>
      </c>
      <c r="H5180" t="n">
        <v>57</v>
      </c>
      <c r="I5180" t="inlineStr">
        <is>
          <t>Sales from this segment declined by 9% to Rp 61.82 trillion</t>
        </is>
      </c>
      <c r="J5180" t="inlineStr">
        <is>
          <t>High</t>
        </is>
      </c>
      <c r="M5180" t="inlineStr">
        <is>
          <t>LLM</t>
        </is>
      </c>
      <c r="N5180" t="inlineStr">
        <is>
          <t>2026-04-19</t>
        </is>
      </c>
      <c r="O5180" t="inlineStr">
        <is>
          <t>AI</t>
        </is>
      </c>
    </row>
    <row r="5181">
      <c r="A5181" t="inlineStr">
        <is>
          <t>PT Sinar Mas Agro Resources and Technology Tbk</t>
        </is>
      </c>
      <c r="B5181" t="inlineStr">
        <is>
          <t>SMAR_2023_AR.pdf</t>
        </is>
      </c>
      <c r="C5181" t="n">
        <v>2023</v>
      </c>
      <c r="D5181" t="inlineStr">
        <is>
          <t>Operation</t>
        </is>
      </c>
      <c r="E5181" t="inlineStr">
        <is>
          <t>Sales Segment - Plantations</t>
        </is>
      </c>
      <c r="F5181" t="n">
        <v>7800</v>
      </c>
      <c r="G5181" t="inlineStr">
        <is>
          <t>IDR bn</t>
        </is>
      </c>
      <c r="H5181" t="n">
        <v>57</v>
      </c>
      <c r="I5181" t="inlineStr">
        <is>
          <t>Sales from plantations segment were also 9% lower at Rp 7.80 trillion</t>
        </is>
      </c>
      <c r="J5181" t="inlineStr">
        <is>
          <t>High</t>
        </is>
      </c>
      <c r="M5181" t="inlineStr">
        <is>
          <t>LLM</t>
        </is>
      </c>
      <c r="N5181" t="inlineStr">
        <is>
          <t>2026-04-19</t>
        </is>
      </c>
      <c r="O5181" t="inlineStr">
        <is>
          <t>AI</t>
        </is>
      </c>
    </row>
    <row r="5182">
      <c r="A5182" t="inlineStr">
        <is>
          <t>PT Sinar Mas Agro Resources and Technology Tbk</t>
        </is>
      </c>
      <c r="B5182" t="inlineStr">
        <is>
          <t>SMAR_2023_AR.pdf</t>
        </is>
      </c>
      <c r="C5182" t="n">
        <v>2023</v>
      </c>
      <c r="D5182" t="inlineStr">
        <is>
          <t>Operation</t>
        </is>
      </c>
      <c r="E5182" t="inlineStr">
        <is>
          <t>Sales Segment - Others (Oleo)</t>
        </is>
      </c>
      <c r="F5182" t="n">
        <v>4000</v>
      </c>
      <c r="G5182" t="inlineStr">
        <is>
          <t>IDR bn</t>
        </is>
      </c>
      <c r="H5182" t="n">
        <v>57</v>
      </c>
      <c r="I5182" t="inlineStr">
        <is>
          <t>Penjualan dari segmen lainnya ini turun 33% menjadi Rp 4.00 triliun</t>
        </is>
      </c>
      <c r="J5182" t="inlineStr">
        <is>
          <t>High</t>
        </is>
      </c>
      <c r="M5182" t="inlineStr">
        <is>
          <t>LLM</t>
        </is>
      </c>
      <c r="N5182" t="inlineStr">
        <is>
          <t>2026-04-19</t>
        </is>
      </c>
      <c r="O5182" t="inlineStr">
        <is>
          <t>AI</t>
        </is>
      </c>
    </row>
    <row r="5183">
      <c r="A5183" t="inlineStr">
        <is>
          <t>PT Sinar Mas Agro Resources and Technology Tbk</t>
        </is>
      </c>
      <c r="B5183" t="inlineStr">
        <is>
          <t>SMAR_2023_AR.pdf</t>
        </is>
      </c>
      <c r="C5183" t="n">
        <v>2023</v>
      </c>
      <c r="D5183" t="inlineStr">
        <is>
          <t>Operation</t>
        </is>
      </c>
      <c r="E5183" t="inlineStr">
        <is>
          <t>FFB from RSPO Estates</t>
        </is>
      </c>
      <c r="F5183" t="n">
        <v>1726000</v>
      </c>
      <c r="G5183" t="inlineStr">
        <is>
          <t>t</t>
        </is>
      </c>
      <c r="H5183" t="n">
        <v>10</v>
      </c>
      <c r="I5183" t="inlineStr">
        <is>
          <t>Kebun bersertifikasi RSPO 1,726 1,696 1,714</t>
        </is>
      </c>
      <c r="J5183" t="inlineStr">
        <is>
          <t>High</t>
        </is>
      </c>
      <c r="M5183" t="inlineStr">
        <is>
          <t>LLM</t>
        </is>
      </c>
      <c r="N5183" t="inlineStr">
        <is>
          <t>2026-04-19</t>
        </is>
      </c>
      <c r="O5183" t="inlineStr">
        <is>
          <t>AI</t>
        </is>
      </c>
    </row>
    <row r="5184">
      <c r="A5184" t="inlineStr">
        <is>
          <t>PT Sinar Mas Agro Resources and Technology Tbk</t>
        </is>
      </c>
      <c r="B5184" t="inlineStr">
        <is>
          <t>SMAR_2023_AR.pdf</t>
        </is>
      </c>
      <c r="C5184" t="n">
        <v>2023</v>
      </c>
      <c r="D5184" t="inlineStr">
        <is>
          <t>Operation</t>
        </is>
      </c>
      <c r="E5184" t="inlineStr">
        <is>
          <t>FFB from ISPO Estates</t>
        </is>
      </c>
      <c r="F5184" t="n">
        <v>1614000</v>
      </c>
      <c r="G5184" t="inlineStr">
        <is>
          <t>t</t>
        </is>
      </c>
      <c r="H5184" t="n">
        <v>10</v>
      </c>
      <c r="I5184" t="inlineStr">
        <is>
          <t>Kebun bersertifikasi ISPO 1,614 1,643 1,635</t>
        </is>
      </c>
      <c r="J5184" t="inlineStr">
        <is>
          <t>High</t>
        </is>
      </c>
      <c r="M5184" t="inlineStr">
        <is>
          <t>LLM</t>
        </is>
      </c>
      <c r="N5184" t="inlineStr">
        <is>
          <t>2026-04-19</t>
        </is>
      </c>
      <c r="O5184" t="inlineStr">
        <is>
          <t>AI</t>
        </is>
      </c>
    </row>
    <row r="5185">
      <c r="A5185" t="inlineStr">
        <is>
          <t>PT Sinar Mas Agro Resources and Technology Tbk</t>
        </is>
      </c>
      <c r="B5185" t="inlineStr">
        <is>
          <t>SMAR_2023_AR.pdf</t>
        </is>
      </c>
      <c r="C5185" t="n">
        <v>2023</v>
      </c>
      <c r="D5185" t="inlineStr">
        <is>
          <t>Operation</t>
        </is>
      </c>
      <c r="E5185" t="inlineStr">
        <is>
          <t>Refinery Utilisation</t>
        </is>
      </c>
      <c r="F5185" t="n">
        <v>1</v>
      </c>
      <c r="G5185" t="inlineStr">
        <is>
          <t>%</t>
        </is>
      </c>
      <c r="H5185" t="n">
        <v>54</v>
      </c>
      <c r="I5185" t="inlineStr">
        <is>
          <t>Pabrik rafinasi kami beroperasi penuh di 2023</t>
        </is>
      </c>
      <c r="J5185" t="inlineStr">
        <is>
          <t>High</t>
        </is>
      </c>
      <c r="M5185" t="inlineStr">
        <is>
          <t>LLM</t>
        </is>
      </c>
      <c r="N5185" t="inlineStr">
        <is>
          <t>2026-04-19</t>
        </is>
      </c>
      <c r="O5185" t="inlineStr">
        <is>
          <t>AI</t>
        </is>
      </c>
    </row>
    <row r="5186">
      <c r="A5186" t="inlineStr">
        <is>
          <t>PT Sinar Mas Agro Resources and Technology Tbk</t>
        </is>
      </c>
      <c r="B5186" t="inlineStr">
        <is>
          <t>SMAR_2023_AR.pdf</t>
        </is>
      </c>
      <c r="C5186" t="n">
        <v>2023</v>
      </c>
      <c r="D5186" t="inlineStr">
        <is>
          <t>Operation</t>
        </is>
      </c>
      <c r="E5186" t="inlineStr">
        <is>
          <t>Biodiesel Utilisation</t>
        </is>
      </c>
      <c r="F5186" t="n">
        <v>0.87</v>
      </c>
      <c r="G5186" t="inlineStr">
        <is>
          <t>%</t>
        </is>
      </c>
      <c r="H5186" t="n">
        <v>54</v>
      </c>
      <c r="I5186" t="inlineStr">
        <is>
          <t>pabrik biodiesel yang baru saja diperluas beroperasi dengan tingkat utilisasi 87%</t>
        </is>
      </c>
      <c r="J5186" t="inlineStr">
        <is>
          <t>High</t>
        </is>
      </c>
      <c r="M5186" t="inlineStr">
        <is>
          <t>LLM</t>
        </is>
      </c>
      <c r="N5186" t="inlineStr">
        <is>
          <t>2026-04-19</t>
        </is>
      </c>
      <c r="O5186" t="inlineStr">
        <is>
          <t>AI</t>
        </is>
      </c>
    </row>
    <row r="5187">
      <c r="A5187" t="inlineStr">
        <is>
          <t>PT Sinar Mas Agro Resources and Technology Tbk</t>
        </is>
      </c>
      <c r="B5187" t="inlineStr">
        <is>
          <t>SMAR_2023_AR.pdf</t>
        </is>
      </c>
      <c r="C5187" t="n">
        <v>2023</v>
      </c>
      <c r="D5187" t="inlineStr">
        <is>
          <t>ESG</t>
        </is>
      </c>
      <c r="E5187" t="inlineStr">
        <is>
          <t>Traceability to Plantation</t>
        </is>
      </c>
      <c r="F5187" t="n">
        <v>0.99</v>
      </c>
      <c r="G5187" t="inlineStr">
        <is>
          <t>%</t>
        </is>
      </c>
      <c r="H5187" t="n">
        <v>10</v>
      </c>
      <c r="I5187" t="inlineStr">
        <is>
          <t>Kemamputelusuran rantai pasok hingga ke perkebunan 99 98 95</t>
        </is>
      </c>
      <c r="J5187" t="inlineStr">
        <is>
          <t>High</t>
        </is>
      </c>
      <c r="M5187" t="inlineStr">
        <is>
          <t>LLM</t>
        </is>
      </c>
      <c r="N5187" t="inlineStr">
        <is>
          <t>2026-04-19</t>
        </is>
      </c>
      <c r="O5187" t="inlineStr">
        <is>
          <t>AI</t>
        </is>
      </c>
    </row>
    <row r="5188">
      <c r="A5188" t="inlineStr">
        <is>
          <t>PT Sinar Mas Agro Resources and Technology Tbk</t>
        </is>
      </c>
      <c r="B5188" t="inlineStr">
        <is>
          <t>SMAR_2023_AR.pdf</t>
        </is>
      </c>
      <c r="C5188" t="n">
        <v>2023</v>
      </c>
      <c r="D5188" t="inlineStr">
        <is>
          <t>ESG</t>
        </is>
      </c>
      <c r="E5188" t="inlineStr">
        <is>
          <t>HCV/HCS Area</t>
        </is>
      </c>
      <c r="F5188" t="n">
        <v>9300</v>
      </c>
      <c r="G5188" t="inlineStr">
        <is>
          <t>ha</t>
        </is>
      </c>
      <c r="H5188" t="n">
        <v>10</v>
      </c>
      <c r="I5188" t="inlineStr">
        <is>
          <t>Identifikasi dan konservasi area NKT &amp; SKT hektar 9,300</t>
        </is>
      </c>
      <c r="J5188" t="inlineStr">
        <is>
          <t>High</t>
        </is>
      </c>
      <c r="M5188" t="inlineStr">
        <is>
          <t>LLM</t>
        </is>
      </c>
      <c r="N5188" t="inlineStr">
        <is>
          <t>2026-04-19</t>
        </is>
      </c>
      <c r="O5188" t="inlineStr">
        <is>
          <t>AI</t>
        </is>
      </c>
    </row>
    <row r="5189">
      <c r="A5189" t="inlineStr">
        <is>
          <t>PT Sinar Mas Agro Resources and Technology Tbk</t>
        </is>
      </c>
      <c r="B5189" t="inlineStr">
        <is>
          <t>SMAR_2023_AR.pdf</t>
        </is>
      </c>
      <c r="C5189" t="n">
        <v>2023</v>
      </c>
      <c r="D5189" t="inlineStr">
        <is>
          <t>ESG</t>
        </is>
      </c>
      <c r="E5189" t="inlineStr">
        <is>
          <t>Conserved Forest w/ Community</t>
        </is>
      </c>
      <c r="F5189" t="n">
        <v>43000</v>
      </c>
      <c r="G5189" t="inlineStr">
        <is>
          <t>ha</t>
        </is>
      </c>
      <c r="H5189" t="n">
        <v>10</v>
      </c>
      <c r="I5189" t="inlineStr">
        <is>
          <t>Pelestarian hutan bekerja sama dengan masyarakat setempat hektar 43,000</t>
        </is>
      </c>
      <c r="J5189" t="inlineStr">
        <is>
          <t>High</t>
        </is>
      </c>
      <c r="M5189" t="inlineStr">
        <is>
          <t>LLM</t>
        </is>
      </c>
      <c r="N5189" t="inlineStr">
        <is>
          <t>2026-04-19</t>
        </is>
      </c>
      <c r="O5189" t="inlineStr">
        <is>
          <t>AI</t>
        </is>
      </c>
    </row>
    <row r="5190">
      <c r="A5190" t="inlineStr">
        <is>
          <t>PT Sinar Mas Agro Resources and Technology Tbk</t>
        </is>
      </c>
      <c r="B5190" t="inlineStr">
        <is>
          <t>SMAR_2023_AR.pdf</t>
        </is>
      </c>
      <c r="C5190" t="n">
        <v>2023</v>
      </c>
      <c r="D5190" t="inlineStr">
        <is>
          <t>ESG</t>
        </is>
      </c>
      <c r="E5190" t="inlineStr">
        <is>
          <t>Scope 1 FLAG GHG</t>
        </is>
      </c>
      <c r="F5190" t="n">
        <v>786533</v>
      </c>
      <c r="G5190" t="inlineStr">
        <is>
          <t>tCO2eq</t>
        </is>
      </c>
      <c r="H5190" t="n">
        <v>10</v>
      </c>
      <c r="I5190" t="inlineStr">
        <is>
          <t>Cakupan 1 (FLAG) tCOeq 786,533</t>
        </is>
      </c>
      <c r="J5190" t="inlineStr">
        <is>
          <t>High</t>
        </is>
      </c>
      <c r="M5190" t="inlineStr">
        <is>
          <t>LLM</t>
        </is>
      </c>
      <c r="N5190" t="inlineStr">
        <is>
          <t>2026-04-19</t>
        </is>
      </c>
      <c r="O5190" t="inlineStr">
        <is>
          <t>AI</t>
        </is>
      </c>
    </row>
    <row r="5191">
      <c r="A5191" t="inlineStr">
        <is>
          <t>PT Sinar Mas Agro Resources and Technology Tbk</t>
        </is>
      </c>
      <c r="B5191" t="inlineStr">
        <is>
          <t>SMAR_2023_AR.pdf</t>
        </is>
      </c>
      <c r="C5191" t="n">
        <v>2023</v>
      </c>
      <c r="D5191" t="inlineStr">
        <is>
          <t>ESG</t>
        </is>
      </c>
      <c r="E5191" t="inlineStr">
        <is>
          <t>Water Consumption</t>
        </is>
      </c>
      <c r="F5191" t="n">
        <v>8839520</v>
      </c>
      <c r="G5191" t="inlineStr">
        <is>
          <t>m3</t>
        </is>
      </c>
      <c r="H5191" t="n">
        <v>10</v>
      </c>
      <c r="I5191" t="inlineStr">
        <is>
          <t>Penggunaan air megaliter 8,839,520</t>
        </is>
      </c>
      <c r="J5191" t="inlineStr">
        <is>
          <t>High</t>
        </is>
      </c>
      <c r="M5191" t="inlineStr">
        <is>
          <t>LLM</t>
        </is>
      </c>
      <c r="N5191" t="inlineStr">
        <is>
          <t>2026-04-19</t>
        </is>
      </c>
      <c r="O5191" t="inlineStr">
        <is>
          <t>AI</t>
        </is>
      </c>
    </row>
    <row r="5192">
      <c r="A5192" t="inlineStr">
        <is>
          <t>PT Sinar Mas Agro Resources and Technology Tbk</t>
        </is>
      </c>
      <c r="B5192" t="inlineStr">
        <is>
          <t>SMAR_2024_AR.pdf</t>
        </is>
      </c>
      <c r="C5192" t="n">
        <v>2024</v>
      </c>
      <c r="D5192" t="inlineStr">
        <is>
          <t>Company</t>
        </is>
      </c>
      <c r="E5192" t="inlineStr">
        <is>
          <t>Company Name</t>
        </is>
      </c>
      <c r="F5192" t="inlineStr">
        <is>
          <t>PT Sinar Mas Agro Resources and Technology Tbk</t>
        </is>
      </c>
      <c r="G5192" t="inlineStr">
        <is>
          <t>text</t>
        </is>
      </c>
      <c r="H5192" t="n">
        <v>1</v>
      </c>
      <c r="I5192" t="inlineStr">
        <is>
          <t>PT SINAR MAS AGRO RESOURCES AND TECHNOLOGY TBK - Annual and Sustainability Report 2024</t>
        </is>
      </c>
      <c r="J5192" t="inlineStr">
        <is>
          <t>High</t>
        </is>
      </c>
      <c r="M5192" t="inlineStr">
        <is>
          <t>LLM</t>
        </is>
      </c>
      <c r="N5192" t="inlineStr">
        <is>
          <t>2026-04-19</t>
        </is>
      </c>
      <c r="O5192" t="inlineStr">
        <is>
          <t>AI</t>
        </is>
      </c>
    </row>
    <row r="5193">
      <c r="A5193" t="inlineStr">
        <is>
          <t>PT Sinar Mas Agro Resources and Technology Tbk</t>
        </is>
      </c>
      <c r="B5193" t="inlineStr">
        <is>
          <t>SMAR_2024_AR.pdf</t>
        </is>
      </c>
      <c r="C5193" t="n">
        <v>2024</v>
      </c>
      <c r="D5193" t="inlineStr">
        <is>
          <t>Company</t>
        </is>
      </c>
      <c r="E5193" t="inlineStr">
        <is>
          <t>Controlling Shareholder</t>
        </is>
      </c>
      <c r="F5193" t="inlineStr">
        <is>
          <t>PT Purimas Sasmita 92.40%</t>
        </is>
      </c>
      <c r="G5193" t="inlineStr">
        <is>
          <t>%</t>
        </is>
      </c>
      <c r="H5193" t="n">
        <v>156</v>
      </c>
      <c r="I5193" t="inlineStr">
        <is>
          <t>PT Purimas Sasmita 2,653,897,571 92.40%</t>
        </is>
      </c>
      <c r="J5193" t="inlineStr">
        <is>
          <t>High</t>
        </is>
      </c>
      <c r="M5193" t="inlineStr">
        <is>
          <t>LLM</t>
        </is>
      </c>
      <c r="N5193" t="inlineStr">
        <is>
          <t>2026-04-19</t>
        </is>
      </c>
      <c r="O5193" t="inlineStr">
        <is>
          <t>AI</t>
        </is>
      </c>
    </row>
    <row r="5194">
      <c r="A5194" t="inlineStr">
        <is>
          <t>PT Sinar Mas Agro Resources and Technology Tbk</t>
        </is>
      </c>
      <c r="B5194" t="inlineStr">
        <is>
          <t>SMAR_2024_AR.pdf</t>
        </is>
      </c>
      <c r="C5194" t="n">
        <v>2024</v>
      </c>
      <c r="D5194" t="inlineStr">
        <is>
          <t>Company</t>
        </is>
      </c>
      <c r="E5194" t="inlineStr">
        <is>
          <t>Public Float</t>
        </is>
      </c>
      <c r="F5194" t="n">
        <v>0.076</v>
      </c>
      <c r="G5194" t="inlineStr">
        <is>
          <t>%</t>
        </is>
      </c>
      <c r="H5194" t="n">
        <v>156</v>
      </c>
      <c r="I5194" t="inlineStr">
        <is>
          <t>Lain-lain (masing-masing dengan kepemilikan di bawah 5%) 218,295,795 7.60%</t>
        </is>
      </c>
      <c r="J5194" t="inlineStr">
        <is>
          <t>High</t>
        </is>
      </c>
      <c r="M5194" t="inlineStr">
        <is>
          <t>LLM</t>
        </is>
      </c>
      <c r="N5194" t="inlineStr">
        <is>
          <t>2026-04-19</t>
        </is>
      </c>
      <c r="O5194" t="inlineStr">
        <is>
          <t>AI</t>
        </is>
      </c>
    </row>
    <row r="5195">
      <c r="A5195" t="inlineStr">
        <is>
          <t>PT Sinar Mas Agro Resources and Technology Tbk</t>
        </is>
      </c>
      <c r="B5195" t="inlineStr">
        <is>
          <t>SMAR_2024_AR.pdf</t>
        </is>
      </c>
      <c r="C5195" t="n">
        <v>2024</v>
      </c>
      <c r="D5195" t="inlineStr">
        <is>
          <t>Company</t>
        </is>
      </c>
      <c r="E5195" t="inlineStr">
        <is>
          <t>Parent Group (GAR)</t>
        </is>
      </c>
      <c r="F5195" t="inlineStr">
        <is>
          <t>Golden Agri-Resources Ltd</t>
        </is>
      </c>
      <c r="G5195" t="inlineStr">
        <is>
          <t>text</t>
        </is>
      </c>
      <c r="H5195" t="n">
        <v>25</v>
      </c>
      <c r="I5195" t="inlineStr">
        <is>
          <t>Bersama dengan perusahaan induk, Golden Agri-Resources Ltd (GAR)</t>
        </is>
      </c>
      <c r="J5195" t="inlineStr">
        <is>
          <t>High</t>
        </is>
      </c>
      <c r="M5195" t="inlineStr">
        <is>
          <t>LLM</t>
        </is>
      </c>
      <c r="N5195" t="inlineStr">
        <is>
          <t>2026-04-19</t>
        </is>
      </c>
      <c r="O5195" t="inlineStr">
        <is>
          <t>AI</t>
        </is>
      </c>
    </row>
    <row r="5196">
      <c r="A5196" t="inlineStr">
        <is>
          <t>PT Sinar Mas Agro Resources and Technology Tbk</t>
        </is>
      </c>
      <c r="B5196" t="inlineStr">
        <is>
          <t>SMAR_2024_AR.pdf</t>
        </is>
      </c>
      <c r="C5196" t="n">
        <v>2024</v>
      </c>
      <c r="D5196" t="inlineStr">
        <is>
          <t>Company</t>
        </is>
      </c>
      <c r="E5196" t="inlineStr">
        <is>
          <t>PEFINDO Rating</t>
        </is>
      </c>
      <c r="F5196" t="inlineStr">
        <is>
          <t>AA- stable</t>
        </is>
      </c>
      <c r="G5196" t="inlineStr">
        <is>
          <t>text</t>
        </is>
      </c>
      <c r="H5196" t="n">
        <v>23</v>
      </c>
      <c r="I5196" t="inlineStr">
        <is>
          <t>PEFINDO menegaskan kembali peringkat SMART dan obligasinya pada level AA- (Double A Minus)id dengan prospek stabil</t>
        </is>
      </c>
      <c r="J5196" t="inlineStr">
        <is>
          <t>High</t>
        </is>
      </c>
      <c r="M5196" t="inlineStr">
        <is>
          <t>LLM</t>
        </is>
      </c>
      <c r="N5196" t="inlineStr">
        <is>
          <t>2026-04-19</t>
        </is>
      </c>
      <c r="O5196" t="inlineStr">
        <is>
          <t>AI</t>
        </is>
      </c>
    </row>
    <row r="5197">
      <c r="A5197" t="inlineStr">
        <is>
          <t>PT Sinar Mas Agro Resources and Technology Tbk</t>
        </is>
      </c>
      <c r="B5197" t="inlineStr">
        <is>
          <t>SMAR_2024_AR.pdf</t>
        </is>
      </c>
      <c r="C5197" t="n">
        <v>2024</v>
      </c>
      <c r="D5197" t="inlineStr">
        <is>
          <t>Company</t>
        </is>
      </c>
      <c r="E5197" t="inlineStr">
        <is>
          <t>Countries of Sale</t>
        </is>
      </c>
      <c r="F5197" t="inlineStr">
        <is>
          <t>&gt;60</t>
        </is>
      </c>
      <c r="G5197" t="inlineStr">
        <is>
          <t>count</t>
        </is>
      </c>
      <c r="H5197" t="n">
        <v>52</v>
      </c>
      <c r="I5197" t="inlineStr">
        <is>
          <t>&gt;60 COUNTRIES MARKET</t>
        </is>
      </c>
      <c r="J5197" t="inlineStr">
        <is>
          <t>High</t>
        </is>
      </c>
      <c r="M5197" t="inlineStr">
        <is>
          <t>LLM</t>
        </is>
      </c>
      <c r="N5197" t="inlineStr">
        <is>
          <t>2026-04-19</t>
        </is>
      </c>
      <c r="O5197" t="inlineStr">
        <is>
          <t>AI</t>
        </is>
      </c>
    </row>
    <row r="5198">
      <c r="A5198" t="inlineStr">
        <is>
          <t>PT Sinar Mas Agro Resources and Technology Tbk</t>
        </is>
      </c>
      <c r="B5198" t="inlineStr">
        <is>
          <t>SMAR_2024_AR.pdf</t>
        </is>
      </c>
      <c r="C5198" t="n">
        <v>2024</v>
      </c>
      <c r="D5198" t="inlineStr">
        <is>
          <t>Company</t>
        </is>
      </c>
      <c r="E5198" t="inlineStr">
        <is>
          <t>Total Employees</t>
        </is>
      </c>
      <c r="F5198" t="n">
        <v>28100</v>
      </c>
      <c r="G5198" t="inlineStr">
        <is>
          <t>people</t>
        </is>
      </c>
      <c r="H5198" t="n">
        <v>10</v>
      </c>
      <c r="I5198" t="inlineStr">
        <is>
          <t>Jumlah karyawan orang 28,100 28,200 27,500</t>
        </is>
      </c>
      <c r="J5198" t="inlineStr">
        <is>
          <t>High</t>
        </is>
      </c>
      <c r="M5198" t="inlineStr">
        <is>
          <t>LLM</t>
        </is>
      </c>
      <c r="N5198" t="inlineStr">
        <is>
          <t>2026-04-19</t>
        </is>
      </c>
      <c r="O5198" t="inlineStr">
        <is>
          <t>AI</t>
        </is>
      </c>
    </row>
    <row r="5199">
      <c r="A5199" t="inlineStr">
        <is>
          <t>PT Sinar Mas Agro Resources and Technology Tbk</t>
        </is>
      </c>
      <c r="B5199" t="inlineStr">
        <is>
          <t>SMAR_2024_AR.pdf</t>
        </is>
      </c>
      <c r="C5199" t="n">
        <v>2024</v>
      </c>
      <c r="D5199" t="inlineStr">
        <is>
          <t>Company</t>
        </is>
      </c>
      <c r="E5199" t="inlineStr">
        <is>
          <t>Female Employees</t>
        </is>
      </c>
      <c r="F5199" t="n">
        <v>7800</v>
      </c>
      <c r="G5199" t="inlineStr">
        <is>
          <t>people</t>
        </is>
      </c>
      <c r="H5199" t="n">
        <v>10</v>
      </c>
      <c r="I5199" t="inlineStr">
        <is>
          <t>Jumlah karyawan wanita orang 7,800 8,000 7,700</t>
        </is>
      </c>
      <c r="J5199" t="inlineStr">
        <is>
          <t>High</t>
        </is>
      </c>
      <c r="M5199" t="inlineStr">
        <is>
          <t>LLM</t>
        </is>
      </c>
      <c r="N5199" t="inlineStr">
        <is>
          <t>2026-04-19</t>
        </is>
      </c>
      <c r="O5199" t="inlineStr">
        <is>
          <t>AI</t>
        </is>
      </c>
    </row>
    <row r="5200">
      <c r="A5200" t="inlineStr">
        <is>
          <t>PT Sinar Mas Agro Resources and Technology Tbk</t>
        </is>
      </c>
      <c r="B5200" t="inlineStr">
        <is>
          <t>SMAR_2024_AR.pdf</t>
        </is>
      </c>
      <c r="C5200" t="n">
        <v>2024</v>
      </c>
      <c r="D5200" t="inlineStr">
        <is>
          <t>Financial</t>
        </is>
      </c>
      <c r="E5200" t="inlineStr">
        <is>
          <t>Net Sales</t>
        </is>
      </c>
      <c r="F5200" t="n">
        <v>78835</v>
      </c>
      <c r="G5200" t="inlineStr">
        <is>
          <t>IDR bn</t>
        </is>
      </c>
      <c r="H5200" t="n">
        <v>8</v>
      </c>
      <c r="I5200" t="inlineStr">
        <is>
          <t>Penjualan bersih 78,835 66,531 75,046 Net sales</t>
        </is>
      </c>
      <c r="J5200" t="inlineStr">
        <is>
          <t>High</t>
        </is>
      </c>
      <c r="M5200" t="inlineStr">
        <is>
          <t>LLM</t>
        </is>
      </c>
      <c r="N5200" t="inlineStr">
        <is>
          <t>2026-04-19</t>
        </is>
      </c>
      <c r="O5200" t="inlineStr">
        <is>
          <t>AI</t>
        </is>
      </c>
    </row>
    <row r="5201">
      <c r="A5201" t="inlineStr">
        <is>
          <t>PT Sinar Mas Agro Resources and Technology Tbk</t>
        </is>
      </c>
      <c r="B5201" t="inlineStr">
        <is>
          <t>SMAR_2024_AR.pdf</t>
        </is>
      </c>
      <c r="C5201" t="n">
        <v>2024</v>
      </c>
      <c r="D5201" t="inlineStr">
        <is>
          <t>Financial</t>
        </is>
      </c>
      <c r="E5201" t="inlineStr">
        <is>
          <t>Gross Profit</t>
        </is>
      </c>
      <c r="F5201" t="n">
        <v>8014</v>
      </c>
      <c r="G5201" t="inlineStr">
        <is>
          <t>IDR bn</t>
        </is>
      </c>
      <c r="H5201" t="n">
        <v>8</v>
      </c>
      <c r="I5201" t="inlineStr">
        <is>
          <t>Laba kotor 8,014 6,761 13,312 Gross profit</t>
        </is>
      </c>
      <c r="J5201" t="inlineStr">
        <is>
          <t>High</t>
        </is>
      </c>
      <c r="M5201" t="inlineStr">
        <is>
          <t>LLM</t>
        </is>
      </c>
      <c r="N5201" t="inlineStr">
        <is>
          <t>2026-04-19</t>
        </is>
      </c>
      <c r="O5201" t="inlineStr">
        <is>
          <t>AI</t>
        </is>
      </c>
    </row>
    <row r="5202">
      <c r="A5202" t="inlineStr">
        <is>
          <t>PT Sinar Mas Agro Resources and Technology Tbk</t>
        </is>
      </c>
      <c r="B5202" t="inlineStr">
        <is>
          <t>SMAR_2024_AR.pdf</t>
        </is>
      </c>
      <c r="C5202" t="n">
        <v>2024</v>
      </c>
      <c r="D5202" t="inlineStr">
        <is>
          <t>Financial</t>
        </is>
      </c>
      <c r="E5202" t="inlineStr">
        <is>
          <t>EBITDA</t>
        </is>
      </c>
      <c r="F5202" t="n">
        <v>4209</v>
      </c>
      <c r="G5202" t="inlineStr">
        <is>
          <t>IDR bn</t>
        </is>
      </c>
      <c r="H5202" t="n">
        <v>8</v>
      </c>
      <c r="I5202" t="inlineStr">
        <is>
          <t>EBITDA1 4,209 3,799 9,531</t>
        </is>
      </c>
      <c r="J5202" t="inlineStr">
        <is>
          <t>High</t>
        </is>
      </c>
      <c r="M5202" t="inlineStr">
        <is>
          <t>LLM</t>
        </is>
      </c>
      <c r="N5202" t="inlineStr">
        <is>
          <t>2026-04-19</t>
        </is>
      </c>
      <c r="O5202" t="inlineStr">
        <is>
          <t>AI</t>
        </is>
      </c>
    </row>
    <row r="5203">
      <c r="A5203" t="inlineStr">
        <is>
          <t>PT Sinar Mas Agro Resources and Technology Tbk</t>
        </is>
      </c>
      <c r="B5203" t="inlineStr">
        <is>
          <t>SMAR_2024_AR.pdf</t>
        </is>
      </c>
      <c r="C5203" t="n">
        <v>2024</v>
      </c>
      <c r="D5203" t="inlineStr">
        <is>
          <t>Financial</t>
        </is>
      </c>
      <c r="E5203" t="inlineStr">
        <is>
          <t>EBIT (Profit from Operations)</t>
        </is>
      </c>
      <c r="F5203" t="n">
        <v>2025</v>
      </c>
      <c r="G5203" t="inlineStr">
        <is>
          <t>IDR bn</t>
        </is>
      </c>
      <c r="H5203" t="n">
        <v>177</v>
      </c>
      <c r="I5203" t="inlineStr">
        <is>
          <t>LABA USAHA 2,025,151 million; 1,483,072 (2023)</t>
        </is>
      </c>
      <c r="J5203" t="inlineStr">
        <is>
          <t>High</t>
        </is>
      </c>
      <c r="M5203" t="inlineStr">
        <is>
          <t>LLM</t>
        </is>
      </c>
      <c r="N5203" t="inlineStr">
        <is>
          <t>2026-04-19</t>
        </is>
      </c>
      <c r="O5203" t="inlineStr">
        <is>
          <t>AI</t>
        </is>
      </c>
    </row>
    <row r="5204">
      <c r="A5204" t="inlineStr">
        <is>
          <t>PT Sinar Mas Agro Resources and Technology Tbk</t>
        </is>
      </c>
      <c r="B5204" t="inlineStr">
        <is>
          <t>SMAR_2024_AR.pdf</t>
        </is>
      </c>
      <c r="C5204" t="n">
        <v>2024</v>
      </c>
      <c r="D5204" t="inlineStr">
        <is>
          <t>Financial</t>
        </is>
      </c>
      <c r="E5204" t="inlineStr">
        <is>
          <t>Cost of Goods Sold</t>
        </is>
      </c>
      <c r="F5204" t="n">
        <v>70821</v>
      </c>
      <c r="G5204" t="inlineStr">
        <is>
          <t>IDR bn</t>
        </is>
      </c>
      <c r="H5204" t="n">
        <v>177</v>
      </c>
      <c r="I5204" t="inlineStr">
        <is>
          <t>BEBAN POKOK PENJUALAN 70,821,390 (mn) 2024</t>
        </is>
      </c>
      <c r="J5204" t="inlineStr">
        <is>
          <t>High</t>
        </is>
      </c>
      <c r="M5204" t="inlineStr">
        <is>
          <t>LLM</t>
        </is>
      </c>
      <c r="N5204" t="inlineStr">
        <is>
          <t>2026-04-19</t>
        </is>
      </c>
      <c r="O5204" t="inlineStr">
        <is>
          <t>AI</t>
        </is>
      </c>
    </row>
    <row r="5205">
      <c r="A5205" t="inlineStr">
        <is>
          <t>PT Sinar Mas Agro Resources and Technology Tbk</t>
        </is>
      </c>
      <c r="B5205" t="inlineStr">
        <is>
          <t>SMAR_2024_AR.pdf</t>
        </is>
      </c>
      <c r="C5205" t="n">
        <v>2024</v>
      </c>
      <c r="D5205" t="inlineStr">
        <is>
          <t>Financial</t>
        </is>
      </c>
      <c r="E5205" t="inlineStr">
        <is>
          <t>Selling Expense</t>
        </is>
      </c>
      <c r="F5205" t="n">
        <v>4512</v>
      </c>
      <c r="G5205" t="inlineStr">
        <is>
          <t>IDR bn</t>
        </is>
      </c>
      <c r="H5205" t="n">
        <v>177</v>
      </c>
      <c r="I5205" t="inlineStr">
        <is>
          <t>Penjualan 4,511,555 (mn)</t>
        </is>
      </c>
      <c r="J5205" t="inlineStr">
        <is>
          <t>High</t>
        </is>
      </c>
      <c r="M5205" t="inlineStr">
        <is>
          <t>LLM</t>
        </is>
      </c>
      <c r="N5205" t="inlineStr">
        <is>
          <t>2026-04-19</t>
        </is>
      </c>
      <c r="O5205" t="inlineStr">
        <is>
          <t>AI</t>
        </is>
      </c>
    </row>
    <row r="5206">
      <c r="A5206" t="inlineStr">
        <is>
          <t>PT Sinar Mas Agro Resources and Technology Tbk</t>
        </is>
      </c>
      <c r="B5206" t="inlineStr">
        <is>
          <t>SMAR_2024_AR.pdf</t>
        </is>
      </c>
      <c r="C5206" t="n">
        <v>2024</v>
      </c>
      <c r="D5206" t="inlineStr">
        <is>
          <t>Financial</t>
        </is>
      </c>
      <c r="E5206" t="inlineStr">
        <is>
          <t>G&amp;A Expense</t>
        </is>
      </c>
      <c r="F5206" t="n">
        <v>1477</v>
      </c>
      <c r="G5206" t="inlineStr">
        <is>
          <t>IDR bn</t>
        </is>
      </c>
      <c r="H5206" t="n">
        <v>177</v>
      </c>
      <c r="I5206" t="inlineStr">
        <is>
          <t>Umum dan administrasi 1,477,347 (mn)</t>
        </is>
      </c>
      <c r="J5206" t="inlineStr">
        <is>
          <t>High</t>
        </is>
      </c>
      <c r="M5206" t="inlineStr">
        <is>
          <t>LLM</t>
        </is>
      </c>
      <c r="N5206" t="inlineStr">
        <is>
          <t>2026-04-19</t>
        </is>
      </c>
      <c r="O5206" t="inlineStr">
        <is>
          <t>AI</t>
        </is>
      </c>
    </row>
    <row r="5207">
      <c r="A5207" t="inlineStr">
        <is>
          <t>PT Sinar Mas Agro Resources and Technology Tbk</t>
        </is>
      </c>
      <c r="B5207" t="inlineStr">
        <is>
          <t>SMAR_2024_AR.pdf</t>
        </is>
      </c>
      <c r="C5207" t="n">
        <v>2024</v>
      </c>
      <c r="D5207" t="inlineStr">
        <is>
          <t>Financial</t>
        </is>
      </c>
      <c r="E5207" t="inlineStr">
        <is>
          <t>Interest &amp; Finance Charges</t>
        </is>
      </c>
      <c r="F5207" t="n">
        <v>1189</v>
      </c>
      <c r="G5207" t="inlineStr">
        <is>
          <t>IDR bn</t>
        </is>
      </c>
      <c r="H5207" t="n">
        <v>177</v>
      </c>
      <c r="I5207" t="inlineStr">
        <is>
          <t>Beban bunga dan keuangan lainnya (1,188,541) mn</t>
        </is>
      </c>
      <c r="J5207" t="inlineStr">
        <is>
          <t>High</t>
        </is>
      </c>
      <c r="M5207" t="inlineStr">
        <is>
          <t>LLM</t>
        </is>
      </c>
      <c r="N5207" t="inlineStr">
        <is>
          <t>2026-04-19</t>
        </is>
      </c>
      <c r="O5207" t="inlineStr">
        <is>
          <t>AI</t>
        </is>
      </c>
    </row>
    <row r="5208">
      <c r="A5208" t="inlineStr">
        <is>
          <t>PT Sinar Mas Agro Resources and Technology Tbk</t>
        </is>
      </c>
      <c r="B5208" t="inlineStr">
        <is>
          <t>SMAR_2024_AR.pdf</t>
        </is>
      </c>
      <c r="C5208" t="n">
        <v>2024</v>
      </c>
      <c r="D5208" t="inlineStr">
        <is>
          <t>Financial</t>
        </is>
      </c>
      <c r="E5208" t="inlineStr">
        <is>
          <t>Share of Associates Profit</t>
        </is>
      </c>
      <c r="F5208" t="n">
        <v>104</v>
      </c>
      <c r="G5208" t="inlineStr">
        <is>
          <t>IDR bn</t>
        </is>
      </c>
      <c r="H5208" t="n">
        <v>177</v>
      </c>
      <c r="I5208" t="inlineStr">
        <is>
          <t>Ekuitas pada laba bersih entitas asosiasi - bersih 103,611 mn</t>
        </is>
      </c>
      <c r="J5208" t="inlineStr">
        <is>
          <t>High</t>
        </is>
      </c>
      <c r="M5208" t="inlineStr">
        <is>
          <t>LLM</t>
        </is>
      </c>
      <c r="N5208" t="inlineStr">
        <is>
          <t>2026-04-19</t>
        </is>
      </c>
      <c r="O5208" t="inlineStr">
        <is>
          <t>AI</t>
        </is>
      </c>
    </row>
    <row r="5209">
      <c r="A5209" t="inlineStr">
        <is>
          <t>PT Sinar Mas Agro Resources and Technology Tbk</t>
        </is>
      </c>
      <c r="B5209" t="inlineStr">
        <is>
          <t>SMAR_2024_AR.pdf</t>
        </is>
      </c>
      <c r="C5209" t="n">
        <v>2024</v>
      </c>
      <c r="D5209" t="inlineStr">
        <is>
          <t>Financial</t>
        </is>
      </c>
      <c r="E5209" t="inlineStr">
        <is>
          <t>Profit Before Tax</t>
        </is>
      </c>
      <c r="F5209" t="n">
        <v>1585</v>
      </c>
      <c r="G5209" t="inlineStr">
        <is>
          <t>IDR bn</t>
        </is>
      </c>
      <c r="H5209" t="n">
        <v>177</v>
      </c>
      <c r="I5209" t="inlineStr">
        <is>
          <t>LABA SEBELUM PAJAK 1,585,442 mn</t>
        </is>
      </c>
      <c r="J5209" t="inlineStr">
        <is>
          <t>High</t>
        </is>
      </c>
      <c r="M5209" t="inlineStr">
        <is>
          <t>LLM</t>
        </is>
      </c>
      <c r="N5209" t="inlineStr">
        <is>
          <t>2026-04-19</t>
        </is>
      </c>
      <c r="O5209" t="inlineStr">
        <is>
          <t>AI</t>
        </is>
      </c>
    </row>
    <row r="5210">
      <c r="A5210" t="inlineStr">
        <is>
          <t>PT Sinar Mas Agro Resources and Technology Tbk</t>
        </is>
      </c>
      <c r="B5210" t="inlineStr">
        <is>
          <t>SMAR_2024_AR.pdf</t>
        </is>
      </c>
      <c r="C5210" t="n">
        <v>2024</v>
      </c>
      <c r="D5210" t="inlineStr">
        <is>
          <t>Financial</t>
        </is>
      </c>
      <c r="E5210" t="inlineStr">
        <is>
          <t>Tax Expense</t>
        </is>
      </c>
      <c r="F5210" t="n">
        <v>307</v>
      </c>
      <c r="G5210" t="inlineStr">
        <is>
          <t>IDR bn</t>
        </is>
      </c>
      <c r="H5210" t="n">
        <v>177</v>
      </c>
      <c r="I5210" t="inlineStr">
        <is>
          <t>Jumlah Beban Pajak (307,173) mn</t>
        </is>
      </c>
      <c r="J5210" t="inlineStr">
        <is>
          <t>High</t>
        </is>
      </c>
      <c r="M5210" t="inlineStr">
        <is>
          <t>LLM</t>
        </is>
      </c>
      <c r="N5210" t="inlineStr">
        <is>
          <t>2026-04-19</t>
        </is>
      </c>
      <c r="O5210" t="inlineStr">
        <is>
          <t>AI</t>
        </is>
      </c>
    </row>
    <row r="5211">
      <c r="A5211" t="inlineStr">
        <is>
          <t>PT Sinar Mas Agro Resources and Technology Tbk</t>
        </is>
      </c>
      <c r="B5211" t="inlineStr">
        <is>
          <t>SMAR_2024_AR.pdf</t>
        </is>
      </c>
      <c r="C5211" t="n">
        <v>2024</v>
      </c>
      <c r="D5211" t="inlineStr">
        <is>
          <t>Financial</t>
        </is>
      </c>
      <c r="E5211" t="inlineStr">
        <is>
          <t>Net Profit</t>
        </is>
      </c>
      <c r="F5211" t="n">
        <v>1278</v>
      </c>
      <c r="G5211" t="inlineStr">
        <is>
          <t>IDR bn</t>
        </is>
      </c>
      <c r="H5211" t="n">
        <v>8</v>
      </c>
      <c r="I5211" t="inlineStr">
        <is>
          <t>Laba bersih tahun berjalan 1,278 918 5,505</t>
        </is>
      </c>
      <c r="J5211" t="inlineStr">
        <is>
          <t>High</t>
        </is>
      </c>
      <c r="M5211" t="inlineStr">
        <is>
          <t>LLM</t>
        </is>
      </c>
      <c r="N5211" t="inlineStr">
        <is>
          <t>2026-04-19</t>
        </is>
      </c>
      <c r="O5211" t="inlineStr">
        <is>
          <t>AI</t>
        </is>
      </c>
    </row>
    <row r="5212">
      <c r="A5212" t="inlineStr">
        <is>
          <t>PT Sinar Mas Agro Resources and Technology Tbk</t>
        </is>
      </c>
      <c r="B5212" t="inlineStr">
        <is>
          <t>SMAR_2024_AR.pdf</t>
        </is>
      </c>
      <c r="C5212" t="n">
        <v>2024</v>
      </c>
      <c r="D5212" t="inlineStr">
        <is>
          <t>Financial</t>
        </is>
      </c>
      <c r="E5212" t="inlineStr">
        <is>
          <t>Profit Attributable to Parent</t>
        </is>
      </c>
      <c r="F5212" t="n">
        <v>1278</v>
      </c>
      <c r="G5212" t="inlineStr">
        <is>
          <t>IDR bn</t>
        </is>
      </c>
      <c r="H5212" t="n">
        <v>8</v>
      </c>
      <c r="I5212" t="inlineStr">
        <is>
          <t>Pemilik entitas induk 1,278 918 5,501</t>
        </is>
      </c>
      <c r="J5212" t="inlineStr">
        <is>
          <t>High</t>
        </is>
      </c>
      <c r="M5212" t="inlineStr">
        <is>
          <t>LLM</t>
        </is>
      </c>
      <c r="N5212" t="inlineStr">
        <is>
          <t>2026-04-19</t>
        </is>
      </c>
      <c r="O5212" t="inlineStr">
        <is>
          <t>AI</t>
        </is>
      </c>
    </row>
    <row r="5213">
      <c r="A5213" t="inlineStr">
        <is>
          <t>PT Sinar Mas Agro Resources and Technology Tbk</t>
        </is>
      </c>
      <c r="B5213" t="inlineStr">
        <is>
          <t>SMAR_2024_AR.pdf</t>
        </is>
      </c>
      <c r="C5213" t="n">
        <v>2024</v>
      </c>
      <c r="D5213" t="inlineStr">
        <is>
          <t>Financial</t>
        </is>
      </c>
      <c r="E5213" t="inlineStr">
        <is>
          <t>Total Assets</t>
        </is>
      </c>
      <c r="F5213" t="n">
        <v>45333</v>
      </c>
      <c r="G5213" t="inlineStr">
        <is>
          <t>IDR bn</t>
        </is>
      </c>
      <c r="H5213" t="n">
        <v>8</v>
      </c>
      <c r="I5213" t="inlineStr">
        <is>
          <t>Jumlah aset 45,333 39,716 42,601</t>
        </is>
      </c>
      <c r="J5213" t="inlineStr">
        <is>
          <t>High</t>
        </is>
      </c>
      <c r="M5213" t="inlineStr">
        <is>
          <t>LLM</t>
        </is>
      </c>
      <c r="N5213" t="inlineStr">
        <is>
          <t>2026-04-19</t>
        </is>
      </c>
      <c r="O5213" t="inlineStr">
        <is>
          <t>AI</t>
        </is>
      </c>
    </row>
    <row r="5214">
      <c r="A5214" t="inlineStr">
        <is>
          <t>PT Sinar Mas Agro Resources and Technology Tbk</t>
        </is>
      </c>
      <c r="B5214" t="inlineStr">
        <is>
          <t>SMAR_2024_AR.pdf</t>
        </is>
      </c>
      <c r="C5214" t="n">
        <v>2024</v>
      </c>
      <c r="D5214" t="inlineStr">
        <is>
          <t>Financial</t>
        </is>
      </c>
      <c r="E5214" t="inlineStr">
        <is>
          <t>Current Assets</t>
        </is>
      </c>
      <c r="F5214" t="n">
        <v>24442</v>
      </c>
      <c r="G5214" t="inlineStr">
        <is>
          <t>IDR bn</t>
        </is>
      </c>
      <c r="H5214" t="n">
        <v>176</v>
      </c>
      <c r="I5214" t="inlineStr">
        <is>
          <t>JUMLAH ASET LANCAR 24,441,530 mn</t>
        </is>
      </c>
      <c r="J5214" t="inlineStr">
        <is>
          <t>High</t>
        </is>
      </c>
      <c r="M5214" t="inlineStr">
        <is>
          <t>LLM</t>
        </is>
      </c>
      <c r="N5214" t="inlineStr">
        <is>
          <t>2026-04-19</t>
        </is>
      </c>
      <c r="O5214" t="inlineStr">
        <is>
          <t>AI</t>
        </is>
      </c>
    </row>
    <row r="5215">
      <c r="A5215" t="inlineStr">
        <is>
          <t>PT Sinar Mas Agro Resources and Technology Tbk</t>
        </is>
      </c>
      <c r="B5215" t="inlineStr">
        <is>
          <t>SMAR_2024_AR.pdf</t>
        </is>
      </c>
      <c r="C5215" t="n">
        <v>2024</v>
      </c>
      <c r="D5215" t="inlineStr">
        <is>
          <t>Financial</t>
        </is>
      </c>
      <c r="E5215" t="inlineStr">
        <is>
          <t>Non-Current Assets</t>
        </is>
      </c>
      <c r="F5215" t="n">
        <v>20892</v>
      </c>
      <c r="G5215" t="inlineStr">
        <is>
          <t>IDR bn</t>
        </is>
      </c>
      <c r="H5215" t="n">
        <v>176</v>
      </c>
      <c r="I5215" t="inlineStr">
        <is>
          <t>JUMLAH ASET TIDAK LANCAR 20,891,601 mn</t>
        </is>
      </c>
      <c r="J5215" t="inlineStr">
        <is>
          <t>High</t>
        </is>
      </c>
      <c r="M5215" t="inlineStr">
        <is>
          <t>LLM</t>
        </is>
      </c>
      <c r="N5215" t="inlineStr">
        <is>
          <t>2026-04-19</t>
        </is>
      </c>
      <c r="O5215" t="inlineStr">
        <is>
          <t>AI</t>
        </is>
      </c>
    </row>
    <row r="5216">
      <c r="A5216" t="inlineStr">
        <is>
          <t>PT Sinar Mas Agro Resources and Technology Tbk</t>
        </is>
      </c>
      <c r="B5216" t="inlineStr">
        <is>
          <t>SMAR_2024_AR.pdf</t>
        </is>
      </c>
      <c r="C5216" t="n">
        <v>2024</v>
      </c>
      <c r="D5216" t="inlineStr">
        <is>
          <t>Financial</t>
        </is>
      </c>
      <c r="E5216" t="inlineStr">
        <is>
          <t>Total Liabilities</t>
        </is>
      </c>
      <c r="F5216" t="n">
        <v>25450</v>
      </c>
      <c r="G5216" t="inlineStr">
        <is>
          <t>IDR bn</t>
        </is>
      </c>
      <c r="H5216" t="n">
        <v>8</v>
      </c>
      <c r="I5216" t="inlineStr">
        <is>
          <t>Jumlah liabilitas 25,450 20,644 23,353</t>
        </is>
      </c>
      <c r="J5216" t="inlineStr">
        <is>
          <t>High</t>
        </is>
      </c>
      <c r="M5216" t="inlineStr">
        <is>
          <t>LLM</t>
        </is>
      </c>
      <c r="N5216" t="inlineStr">
        <is>
          <t>2026-04-19</t>
        </is>
      </c>
      <c r="O5216" t="inlineStr">
        <is>
          <t>AI</t>
        </is>
      </c>
    </row>
    <row r="5217">
      <c r="A5217" t="inlineStr">
        <is>
          <t>PT Sinar Mas Agro Resources and Technology Tbk</t>
        </is>
      </c>
      <c r="B5217" t="inlineStr">
        <is>
          <t>SMAR_2024_AR.pdf</t>
        </is>
      </c>
      <c r="C5217" t="n">
        <v>2024</v>
      </c>
      <c r="D5217" t="inlineStr">
        <is>
          <t>Financial</t>
        </is>
      </c>
      <c r="E5217" t="inlineStr">
        <is>
          <t>Current Liabilities</t>
        </is>
      </c>
      <c r="F5217" t="n">
        <v>13371</v>
      </c>
      <c r="G5217" t="inlineStr">
        <is>
          <t>IDR bn</t>
        </is>
      </c>
      <c r="H5217" t="n">
        <v>177</v>
      </c>
      <c r="I5217" t="inlineStr">
        <is>
          <t>JUMLAH LIABILITAS JANGKA PENDEK 13,370,729 mn</t>
        </is>
      </c>
      <c r="J5217" t="inlineStr">
        <is>
          <t>High</t>
        </is>
      </c>
      <c r="M5217" t="inlineStr">
        <is>
          <t>LLM</t>
        </is>
      </c>
      <c r="N5217" t="inlineStr">
        <is>
          <t>2026-04-19</t>
        </is>
      </c>
      <c r="O5217" t="inlineStr">
        <is>
          <t>AI</t>
        </is>
      </c>
    </row>
    <row r="5218">
      <c r="A5218" t="inlineStr">
        <is>
          <t>PT Sinar Mas Agro Resources and Technology Tbk</t>
        </is>
      </c>
      <c r="B5218" t="inlineStr">
        <is>
          <t>SMAR_2024_AR.pdf</t>
        </is>
      </c>
      <c r="C5218" t="n">
        <v>2024</v>
      </c>
      <c r="D5218" t="inlineStr">
        <is>
          <t>Financial</t>
        </is>
      </c>
      <c r="E5218" t="inlineStr">
        <is>
          <t>Non-Current Liabilities</t>
        </is>
      </c>
      <c r="F5218" t="n">
        <v>12079</v>
      </c>
      <c r="G5218" t="inlineStr">
        <is>
          <t>IDR bn</t>
        </is>
      </c>
      <c r="H5218" t="n">
        <v>177</v>
      </c>
      <c r="I5218" t="inlineStr">
        <is>
          <t>JUMLAH LIABILITAS JANGKA PANJANG 12,079,345 mn</t>
        </is>
      </c>
      <c r="J5218" t="inlineStr">
        <is>
          <t>High</t>
        </is>
      </c>
      <c r="M5218" t="inlineStr">
        <is>
          <t>LLM</t>
        </is>
      </c>
      <c r="N5218" t="inlineStr">
        <is>
          <t>2026-04-19</t>
        </is>
      </c>
      <c r="O5218" t="inlineStr">
        <is>
          <t>AI</t>
        </is>
      </c>
    </row>
    <row r="5219">
      <c r="A5219" t="inlineStr">
        <is>
          <t>PT Sinar Mas Agro Resources and Technology Tbk</t>
        </is>
      </c>
      <c r="B5219" t="inlineStr">
        <is>
          <t>SMAR_2024_AR.pdf</t>
        </is>
      </c>
      <c r="C5219" t="n">
        <v>2024</v>
      </c>
      <c r="D5219" t="inlineStr">
        <is>
          <t>Financial</t>
        </is>
      </c>
      <c r="E5219" t="inlineStr">
        <is>
          <t>Total Equity</t>
        </is>
      </c>
      <c r="F5219" t="n">
        <v>19883</v>
      </c>
      <c r="G5219" t="inlineStr">
        <is>
          <t>IDR bn</t>
        </is>
      </c>
      <c r="H5219" t="n">
        <v>8</v>
      </c>
      <c r="I5219" t="inlineStr">
        <is>
          <t>Jumlah ekuitas 19,883 19,072 19,248</t>
        </is>
      </c>
      <c r="J5219" t="inlineStr">
        <is>
          <t>High</t>
        </is>
      </c>
      <c r="M5219" t="inlineStr">
        <is>
          <t>LLM</t>
        </is>
      </c>
      <c r="N5219" t="inlineStr">
        <is>
          <t>2026-04-19</t>
        </is>
      </c>
      <c r="O5219" t="inlineStr">
        <is>
          <t>AI</t>
        </is>
      </c>
    </row>
    <row r="5220">
      <c r="A5220" t="inlineStr">
        <is>
          <t>PT Sinar Mas Agro Resources and Technology Tbk</t>
        </is>
      </c>
      <c r="B5220" t="inlineStr">
        <is>
          <t>SMAR_2024_AR.pdf</t>
        </is>
      </c>
      <c r="C5220" t="n">
        <v>2024</v>
      </c>
      <c r="D5220" t="inlineStr">
        <is>
          <t>Financial</t>
        </is>
      </c>
      <c r="E5220" t="inlineStr">
        <is>
          <t>Cash &amp; Cash Equivalents</t>
        </is>
      </c>
      <c r="F5220" t="n">
        <v>1586</v>
      </c>
      <c r="G5220" t="inlineStr">
        <is>
          <t>IDR bn</t>
        </is>
      </c>
      <c r="H5220" t="n">
        <v>176</v>
      </c>
      <c r="I5220" t="inlineStr">
        <is>
          <t>Kas dan setara kas 1,585,735 mn</t>
        </is>
      </c>
      <c r="J5220" t="inlineStr">
        <is>
          <t>High</t>
        </is>
      </c>
      <c r="M5220" t="inlineStr">
        <is>
          <t>LLM</t>
        </is>
      </c>
      <c r="N5220" t="inlineStr">
        <is>
          <t>2026-04-19</t>
        </is>
      </c>
      <c r="O5220" t="inlineStr">
        <is>
          <t>AI</t>
        </is>
      </c>
    </row>
    <row r="5221">
      <c r="A5221" t="inlineStr">
        <is>
          <t>PT Sinar Mas Agro Resources and Technology Tbk</t>
        </is>
      </c>
      <c r="B5221" t="inlineStr">
        <is>
          <t>SMAR_2024_AR.pdf</t>
        </is>
      </c>
      <c r="C5221" t="n">
        <v>2024</v>
      </c>
      <c r="D5221" t="inlineStr">
        <is>
          <t>Financial</t>
        </is>
      </c>
      <c r="E5221" t="inlineStr">
        <is>
          <t>Trade Receivables (Related)</t>
        </is>
      </c>
      <c r="F5221" t="n">
        <v>2493</v>
      </c>
      <c r="G5221" t="inlineStr">
        <is>
          <t>IDR bn</t>
        </is>
      </c>
      <c r="H5221" t="n">
        <v>176</v>
      </c>
      <c r="I5221" t="inlineStr">
        <is>
          <t>Pihak berelasi 2,492,670 mn</t>
        </is>
      </c>
      <c r="J5221" t="inlineStr">
        <is>
          <t>High</t>
        </is>
      </c>
      <c r="M5221" t="inlineStr">
        <is>
          <t>LLM</t>
        </is>
      </c>
      <c r="N5221" t="inlineStr">
        <is>
          <t>2026-04-19</t>
        </is>
      </c>
      <c r="O5221" t="inlineStr">
        <is>
          <t>AI</t>
        </is>
      </c>
    </row>
    <row r="5222">
      <c r="A5222" t="inlineStr">
        <is>
          <t>PT Sinar Mas Agro Resources and Technology Tbk</t>
        </is>
      </c>
      <c r="B5222" t="inlineStr">
        <is>
          <t>SMAR_2024_AR.pdf</t>
        </is>
      </c>
      <c r="C5222" t="n">
        <v>2024</v>
      </c>
      <c r="D5222" t="inlineStr">
        <is>
          <t>Financial</t>
        </is>
      </c>
      <c r="E5222" t="inlineStr">
        <is>
          <t>Trade Receivables (Third-Party)</t>
        </is>
      </c>
      <c r="F5222" t="n">
        <v>3891</v>
      </c>
      <c r="G5222" t="inlineStr">
        <is>
          <t>IDR bn</t>
        </is>
      </c>
      <c r="H5222" t="n">
        <v>176</v>
      </c>
      <c r="I5222" t="inlineStr">
        <is>
          <t>Pihak ketiga 3,890,896 mn</t>
        </is>
      </c>
      <c r="J5222" t="inlineStr">
        <is>
          <t>High</t>
        </is>
      </c>
      <c r="M5222" t="inlineStr">
        <is>
          <t>LLM</t>
        </is>
      </c>
      <c r="N5222" t="inlineStr">
        <is>
          <t>2026-04-19</t>
        </is>
      </c>
      <c r="O5222" t="inlineStr">
        <is>
          <t>AI</t>
        </is>
      </c>
    </row>
    <row r="5223">
      <c r="A5223" t="inlineStr">
        <is>
          <t>PT Sinar Mas Agro Resources and Technology Tbk</t>
        </is>
      </c>
      <c r="B5223" t="inlineStr">
        <is>
          <t>SMAR_2024_AR.pdf</t>
        </is>
      </c>
      <c r="C5223" t="n">
        <v>2024</v>
      </c>
      <c r="D5223" t="inlineStr">
        <is>
          <t>Financial</t>
        </is>
      </c>
      <c r="E5223" t="inlineStr">
        <is>
          <t>Inventories</t>
        </is>
      </c>
      <c r="F5223" t="n">
        <v>11604</v>
      </c>
      <c r="G5223" t="inlineStr">
        <is>
          <t>IDR bn</t>
        </is>
      </c>
      <c r="H5223" t="n">
        <v>176</v>
      </c>
      <c r="I5223" t="inlineStr">
        <is>
          <t>Persediaan 11,603,690 mn</t>
        </is>
      </c>
      <c r="J5223" t="inlineStr">
        <is>
          <t>High</t>
        </is>
      </c>
      <c r="M5223" t="inlineStr">
        <is>
          <t>LLM</t>
        </is>
      </c>
      <c r="N5223" t="inlineStr">
        <is>
          <t>2026-04-19</t>
        </is>
      </c>
      <c r="O5223" t="inlineStr">
        <is>
          <t>AI</t>
        </is>
      </c>
    </row>
    <row r="5224">
      <c r="A5224" t="inlineStr">
        <is>
          <t>PT Sinar Mas Agro Resources and Technology Tbk</t>
        </is>
      </c>
      <c r="B5224" t="inlineStr">
        <is>
          <t>SMAR_2024_AR.pdf</t>
        </is>
      </c>
      <c r="C5224" t="n">
        <v>2024</v>
      </c>
      <c r="D5224" t="inlineStr">
        <is>
          <t>Financial</t>
        </is>
      </c>
      <c r="E5224" t="inlineStr">
        <is>
          <t>Short-term Bank Loans</t>
        </is>
      </c>
      <c r="F5224" t="n">
        <v>5134</v>
      </c>
      <c r="G5224" t="inlineStr">
        <is>
          <t>IDR bn</t>
        </is>
      </c>
      <c r="H5224" t="n">
        <v>177</v>
      </c>
      <c r="I5224" t="inlineStr">
        <is>
          <t>Utang bank jangka pendek 5,133,731 mn</t>
        </is>
      </c>
      <c r="J5224" t="inlineStr">
        <is>
          <t>High</t>
        </is>
      </c>
      <c r="M5224" t="inlineStr">
        <is>
          <t>LLM</t>
        </is>
      </c>
      <c r="N5224" t="inlineStr">
        <is>
          <t>2026-04-19</t>
        </is>
      </c>
      <c r="O5224" t="inlineStr">
        <is>
          <t>AI</t>
        </is>
      </c>
    </row>
    <row r="5225">
      <c r="A5225" t="inlineStr">
        <is>
          <t>PT Sinar Mas Agro Resources and Technology Tbk</t>
        </is>
      </c>
      <c r="B5225" t="inlineStr">
        <is>
          <t>SMAR_2024_AR.pdf</t>
        </is>
      </c>
      <c r="C5225" t="n">
        <v>2024</v>
      </c>
      <c r="D5225" t="inlineStr">
        <is>
          <t>Financial</t>
        </is>
      </c>
      <c r="E5225" t="inlineStr">
        <is>
          <t>Current Portion Long-term Bank Loans</t>
        </is>
      </c>
      <c r="F5225" t="n">
        <v>1108</v>
      </c>
      <c r="G5225" t="inlineStr">
        <is>
          <t>IDR bn</t>
        </is>
      </c>
      <c r="H5225" t="n">
        <v>177</v>
      </c>
      <c r="I5225" t="inlineStr">
        <is>
          <t>Utang bank dan lembaga keuangan lainnya jangka panjang 1,107,919 mn</t>
        </is>
      </c>
      <c r="J5225" t="inlineStr">
        <is>
          <t>High</t>
        </is>
      </c>
      <c r="M5225" t="inlineStr">
        <is>
          <t>LLM</t>
        </is>
      </c>
      <c r="N5225" t="inlineStr">
        <is>
          <t>2026-04-19</t>
        </is>
      </c>
      <c r="O5225" t="inlineStr">
        <is>
          <t>AI</t>
        </is>
      </c>
    </row>
    <row r="5226">
      <c r="A5226" t="inlineStr">
        <is>
          <t>PT Sinar Mas Agro Resources and Technology Tbk</t>
        </is>
      </c>
      <c r="B5226" t="inlineStr">
        <is>
          <t>SMAR_2024_AR.pdf</t>
        </is>
      </c>
      <c r="C5226" t="n">
        <v>2024</v>
      </c>
      <c r="D5226" t="inlineStr">
        <is>
          <t>Financial</t>
        </is>
      </c>
      <c r="E5226" t="inlineStr">
        <is>
          <t>Current Portion Bonds</t>
        </is>
      </c>
      <c r="F5226" t="n">
        <v>1876</v>
      </c>
      <c r="G5226" t="inlineStr">
        <is>
          <t>IDR bn</t>
        </is>
      </c>
      <c r="H5226" t="n">
        <v>177</v>
      </c>
      <c r="I5226" t="inlineStr">
        <is>
          <t>Utang obligasi 1,876,262 mn (current)</t>
        </is>
      </c>
      <c r="J5226" t="inlineStr">
        <is>
          <t>High</t>
        </is>
      </c>
      <c r="M5226" t="inlineStr">
        <is>
          <t>LLM</t>
        </is>
      </c>
      <c r="N5226" t="inlineStr">
        <is>
          <t>2026-04-19</t>
        </is>
      </c>
      <c r="O5226" t="inlineStr">
        <is>
          <t>AI</t>
        </is>
      </c>
    </row>
    <row r="5227">
      <c r="A5227" t="inlineStr">
        <is>
          <t>PT Sinar Mas Agro Resources and Technology Tbk</t>
        </is>
      </c>
      <c r="B5227" t="inlineStr">
        <is>
          <t>SMAR_2024_AR.pdf</t>
        </is>
      </c>
      <c r="C5227" t="n">
        <v>2024</v>
      </c>
      <c r="D5227" t="inlineStr">
        <is>
          <t>Financial</t>
        </is>
      </c>
      <c r="E5227" t="inlineStr">
        <is>
          <t>Long-term Bank Loans</t>
        </is>
      </c>
      <c r="F5227" t="n">
        <v>8930</v>
      </c>
      <c r="G5227" t="inlineStr">
        <is>
          <t>IDR bn</t>
        </is>
      </c>
      <c r="H5227" t="n">
        <v>177</v>
      </c>
      <c r="I5227" t="inlineStr">
        <is>
          <t>Utang bank dan lembaga keuangan lainnya jangka panjang 8,930,370 mn</t>
        </is>
      </c>
      <c r="J5227" t="inlineStr">
        <is>
          <t>High</t>
        </is>
      </c>
      <c r="M5227" t="inlineStr">
        <is>
          <t>LLM</t>
        </is>
      </c>
      <c r="N5227" t="inlineStr">
        <is>
          <t>2026-04-19</t>
        </is>
      </c>
      <c r="O5227" t="inlineStr">
        <is>
          <t>AI</t>
        </is>
      </c>
    </row>
    <row r="5228">
      <c r="A5228" t="inlineStr">
        <is>
          <t>PT Sinar Mas Agro Resources and Technology Tbk</t>
        </is>
      </c>
      <c r="B5228" t="inlineStr">
        <is>
          <t>SMAR_2024_AR.pdf</t>
        </is>
      </c>
      <c r="C5228" t="n">
        <v>2024</v>
      </c>
      <c r="D5228" t="inlineStr">
        <is>
          <t>Financial</t>
        </is>
      </c>
      <c r="E5228" t="inlineStr">
        <is>
          <t>Long-term Bonds</t>
        </is>
      </c>
      <c r="F5228" t="n">
        <v>2150</v>
      </c>
      <c r="G5228" t="inlineStr">
        <is>
          <t>IDR bn</t>
        </is>
      </c>
      <c r="H5228" t="n">
        <v>177</v>
      </c>
      <c r="I5228" t="inlineStr">
        <is>
          <t>Utang obligasi 2,150,445 mn (LT)</t>
        </is>
      </c>
      <c r="J5228" t="inlineStr">
        <is>
          <t>High</t>
        </is>
      </c>
      <c r="M5228" t="inlineStr">
        <is>
          <t>LLM</t>
        </is>
      </c>
      <c r="N5228" t="inlineStr">
        <is>
          <t>2026-04-19</t>
        </is>
      </c>
      <c r="O5228" t="inlineStr">
        <is>
          <t>AI</t>
        </is>
      </c>
    </row>
    <row r="5229">
      <c r="A5229" t="inlineStr">
        <is>
          <t>PT Sinar Mas Agro Resources and Technology Tbk</t>
        </is>
      </c>
      <c r="B5229" t="inlineStr">
        <is>
          <t>SMAR_2024_AR.pdf</t>
        </is>
      </c>
      <c r="C5229" t="n">
        <v>2024</v>
      </c>
      <c r="D5229" t="inlineStr">
        <is>
          <t>Financial</t>
        </is>
      </c>
      <c r="E5229" t="inlineStr">
        <is>
          <t>Gross Debt</t>
        </is>
      </c>
      <c r="F5229" t="n">
        <v>19199</v>
      </c>
      <c r="G5229" t="inlineStr">
        <is>
          <t>IDR bn</t>
        </is>
      </c>
      <c r="H5229" t="n">
        <v>177</v>
      </c>
      <c r="I5229" t="inlineStr">
        <is>
          <t>ST bank 5,134 + LT bank curr 1,108 + LT bank 8,930 + bonds curr 1,876 + bonds LT 2,150 = 19,198</t>
        </is>
      </c>
      <c r="J5229" t="inlineStr">
        <is>
          <t>High</t>
        </is>
      </c>
      <c r="M5229" t="inlineStr">
        <is>
          <t>LLM</t>
        </is>
      </c>
      <c r="N5229" t="inlineStr">
        <is>
          <t>2026-04-19</t>
        </is>
      </c>
      <c r="O5229" t="inlineStr">
        <is>
          <t>AI</t>
        </is>
      </c>
    </row>
    <row r="5230">
      <c r="A5230" t="inlineStr">
        <is>
          <t>PT Sinar Mas Agro Resources and Technology Tbk</t>
        </is>
      </c>
      <c r="B5230" t="inlineStr">
        <is>
          <t>SMAR_2024_AR.pdf</t>
        </is>
      </c>
      <c r="C5230" t="n">
        <v>2024</v>
      </c>
      <c r="D5230" t="inlineStr">
        <is>
          <t>Financial</t>
        </is>
      </c>
      <c r="E5230" t="inlineStr">
        <is>
          <t>CFO</t>
        </is>
      </c>
      <c r="F5230" t="n">
        <v>-253</v>
      </c>
      <c r="G5230" t="inlineStr">
        <is>
          <t>IDR bn</t>
        </is>
      </c>
      <c r="H5230" t="n">
        <v>180</v>
      </c>
      <c r="I5230" t="inlineStr">
        <is>
          <t>Kas Bersih (Digunakan untuk) Aktivitas Operasi (252,837) mn</t>
        </is>
      </c>
      <c r="J5230" t="inlineStr">
        <is>
          <t>High</t>
        </is>
      </c>
      <c r="M5230" t="inlineStr">
        <is>
          <t>LLM</t>
        </is>
      </c>
      <c r="N5230" t="inlineStr">
        <is>
          <t>2026-04-19</t>
        </is>
      </c>
      <c r="O5230" t="inlineStr">
        <is>
          <t>AI</t>
        </is>
      </c>
    </row>
    <row r="5231">
      <c r="A5231" t="inlineStr">
        <is>
          <t>PT Sinar Mas Agro Resources and Technology Tbk</t>
        </is>
      </c>
      <c r="B5231" t="inlineStr">
        <is>
          <t>SMAR_2024_AR.pdf</t>
        </is>
      </c>
      <c r="C5231" t="n">
        <v>2024</v>
      </c>
      <c r="D5231" t="inlineStr">
        <is>
          <t>Financial</t>
        </is>
      </c>
      <c r="E5231" t="inlineStr">
        <is>
          <t>CFI</t>
        </is>
      </c>
      <c r="F5231" t="n">
        <v>-2119</v>
      </c>
      <c r="G5231" t="inlineStr">
        <is>
          <t>IDR bn</t>
        </is>
      </c>
      <c r="H5231" t="n">
        <v>180</v>
      </c>
      <c r="I5231" t="inlineStr">
        <is>
          <t>Kas Bersih Digunakan untuk Aktivitas Investasi (2,119,047) mn</t>
        </is>
      </c>
      <c r="J5231" t="inlineStr">
        <is>
          <t>High</t>
        </is>
      </c>
      <c r="M5231" t="inlineStr">
        <is>
          <t>LLM</t>
        </is>
      </c>
      <c r="N5231" t="inlineStr">
        <is>
          <t>2026-04-19</t>
        </is>
      </c>
      <c r="O5231" t="inlineStr">
        <is>
          <t>AI</t>
        </is>
      </c>
    </row>
    <row r="5232">
      <c r="A5232" t="inlineStr">
        <is>
          <t>PT Sinar Mas Agro Resources and Technology Tbk</t>
        </is>
      </c>
      <c r="B5232" t="inlineStr">
        <is>
          <t>SMAR_2024_AR.pdf</t>
        </is>
      </c>
      <c r="C5232" t="n">
        <v>2024</v>
      </c>
      <c r="D5232" t="inlineStr">
        <is>
          <t>Financial</t>
        </is>
      </c>
      <c r="E5232" t="inlineStr">
        <is>
          <t>CFF</t>
        </is>
      </c>
      <c r="F5232" t="n">
        <v>2294</v>
      </c>
      <c r="G5232" t="inlineStr">
        <is>
          <t>IDR bn</t>
        </is>
      </c>
      <c r="H5232" t="n">
        <v>180</v>
      </c>
      <c r="I5232" t="inlineStr">
        <is>
          <t>Kas Bersih Diperoleh dari Aktivitas Pendanaan 2,293,974 mn</t>
        </is>
      </c>
      <c r="J5232" t="inlineStr">
        <is>
          <t>High</t>
        </is>
      </c>
      <c r="M5232" t="inlineStr">
        <is>
          <t>LLM</t>
        </is>
      </c>
      <c r="N5232" t="inlineStr">
        <is>
          <t>2026-04-19</t>
        </is>
      </c>
      <c r="O5232" t="inlineStr">
        <is>
          <t>AI</t>
        </is>
      </c>
    </row>
    <row r="5233">
      <c r="A5233" t="inlineStr">
        <is>
          <t>PT Sinar Mas Agro Resources and Technology Tbk</t>
        </is>
      </c>
      <c r="B5233" t="inlineStr">
        <is>
          <t>SMAR_2024_AR.pdf</t>
        </is>
      </c>
      <c r="C5233" t="n">
        <v>2024</v>
      </c>
      <c r="D5233" t="inlineStr">
        <is>
          <t>Financial</t>
        </is>
      </c>
      <c r="E5233" t="inlineStr">
        <is>
          <t>Capex Realised</t>
        </is>
      </c>
      <c r="F5233" t="n">
        <v>2270</v>
      </c>
      <c r="G5233" t="inlineStr">
        <is>
          <t>IDR bn</t>
        </is>
      </c>
      <c r="H5233" t="n">
        <v>65</v>
      </c>
      <c r="I5233" t="inlineStr">
        <is>
          <t>Total belanja modal yang direalisasikan selama tahun 2024 adalah sebesar Rp 2.27 trillion</t>
        </is>
      </c>
      <c r="J5233" t="inlineStr">
        <is>
          <t>High</t>
        </is>
      </c>
      <c r="M5233" t="inlineStr">
        <is>
          <t>LLM</t>
        </is>
      </c>
      <c r="N5233" t="inlineStr">
        <is>
          <t>2026-04-19</t>
        </is>
      </c>
      <c r="O5233" t="inlineStr">
        <is>
          <t>AI</t>
        </is>
      </c>
    </row>
    <row r="5234">
      <c r="A5234" t="inlineStr">
        <is>
          <t>PT Sinar Mas Agro Resources and Technology Tbk</t>
        </is>
      </c>
      <c r="B5234" t="inlineStr">
        <is>
          <t>SMAR_2024_AR.pdf</t>
        </is>
      </c>
      <c r="C5234" t="n">
        <v>2024</v>
      </c>
      <c r="D5234" t="inlineStr">
        <is>
          <t>Financial</t>
        </is>
      </c>
      <c r="E5234" t="inlineStr">
        <is>
          <t>Capex Commitment</t>
        </is>
      </c>
      <c r="F5234" t="n">
        <v>1500</v>
      </c>
      <c r="G5234" t="inlineStr">
        <is>
          <t>IDR bn</t>
        </is>
      </c>
      <c r="H5234" t="n">
        <v>66</v>
      </c>
      <c r="I5234" t="inlineStr">
        <is>
          <t>Secara keseluruhan, komitmen ini bernilai sekitar Rp 1.50 trillion</t>
        </is>
      </c>
      <c r="J5234" t="inlineStr">
        <is>
          <t>High</t>
        </is>
      </c>
      <c r="M5234" t="inlineStr">
        <is>
          <t>LLM</t>
        </is>
      </c>
      <c r="N5234" t="inlineStr">
        <is>
          <t>2026-04-19</t>
        </is>
      </c>
      <c r="O5234" t="inlineStr">
        <is>
          <t>AI</t>
        </is>
      </c>
    </row>
    <row r="5235">
      <c r="A5235" t="inlineStr">
        <is>
          <t>PT Sinar Mas Agro Resources and Technology Tbk</t>
        </is>
      </c>
      <c r="B5235" t="inlineStr">
        <is>
          <t>SMAR_2024_AR.pdf</t>
        </is>
      </c>
      <c r="C5235" t="n">
        <v>2024</v>
      </c>
      <c r="D5235" t="inlineStr">
        <is>
          <t>Financial</t>
        </is>
      </c>
      <c r="E5235" t="inlineStr">
        <is>
          <t>Dividend Payments</t>
        </is>
      </c>
      <c r="F5235" t="n">
        <v>574</v>
      </c>
      <c r="G5235" t="inlineStr">
        <is>
          <t>IDR bn</t>
        </is>
      </c>
      <c r="H5235" t="n">
        <v>180</v>
      </c>
      <c r="I5235" t="inlineStr">
        <is>
          <t>Pembayaran dividen (574,211) mn</t>
        </is>
      </c>
      <c r="J5235" t="inlineStr">
        <is>
          <t>High</t>
        </is>
      </c>
      <c r="M5235" t="inlineStr">
        <is>
          <t>LLM</t>
        </is>
      </c>
      <c r="N5235" t="inlineStr">
        <is>
          <t>2026-04-19</t>
        </is>
      </c>
      <c r="O5235" t="inlineStr">
        <is>
          <t>AI</t>
        </is>
      </c>
    </row>
    <row r="5236">
      <c r="A5236" t="inlineStr">
        <is>
          <t>PT Sinar Mas Agro Resources and Technology Tbk</t>
        </is>
      </c>
      <c r="B5236" t="inlineStr">
        <is>
          <t>SMAR_2024_AR.pdf</t>
        </is>
      </c>
      <c r="C5236" t="n">
        <v>2024</v>
      </c>
      <c r="D5236" t="inlineStr">
        <is>
          <t>Financial</t>
        </is>
      </c>
      <c r="E5236" t="inlineStr">
        <is>
          <t>EPS Basic</t>
        </is>
      </c>
      <c r="F5236" t="n">
        <v>445</v>
      </c>
      <c r="G5236" t="inlineStr">
        <is>
          <t>Rp/share</t>
        </is>
      </c>
      <c r="H5236" t="n">
        <v>8</v>
      </c>
      <c r="I5236" t="inlineStr">
        <is>
          <t>Laba per saham dasar (Rp) 445 320 1,915</t>
        </is>
      </c>
      <c r="J5236" t="inlineStr">
        <is>
          <t>High</t>
        </is>
      </c>
      <c r="M5236" t="inlineStr">
        <is>
          <t>LLM</t>
        </is>
      </c>
      <c r="N5236" t="inlineStr">
        <is>
          <t>2026-04-19</t>
        </is>
      </c>
      <c r="O5236" t="inlineStr">
        <is>
          <t>AI</t>
        </is>
      </c>
    </row>
    <row r="5237">
      <c r="A5237" t="inlineStr">
        <is>
          <t>PT Sinar Mas Agro Resources and Technology Tbk</t>
        </is>
      </c>
      <c r="B5237" t="inlineStr">
        <is>
          <t>SMAR_2024_AR.pdf</t>
        </is>
      </c>
      <c r="C5237" t="n">
        <v>2024</v>
      </c>
      <c r="D5237" t="inlineStr">
        <is>
          <t>Financial</t>
        </is>
      </c>
      <c r="E5237" t="inlineStr">
        <is>
          <t>Shares Outstanding</t>
        </is>
      </c>
      <c r="F5237" t="n">
        <v>2872</v>
      </c>
      <c r="G5237" t="inlineStr">
        <is>
          <t>mn</t>
        </is>
      </c>
      <c r="H5237" t="n">
        <v>156</v>
      </c>
      <c r="I5237" t="inlineStr">
        <is>
          <t>Jumlah 2,872,193,366 100.00%</t>
        </is>
      </c>
      <c r="J5237" t="inlineStr">
        <is>
          <t>High</t>
        </is>
      </c>
      <c r="M5237" t="inlineStr">
        <is>
          <t>LLM</t>
        </is>
      </c>
      <c r="N5237" t="inlineStr">
        <is>
          <t>2026-04-19</t>
        </is>
      </c>
      <c r="O5237" t="inlineStr">
        <is>
          <t>AI</t>
        </is>
      </c>
    </row>
    <row r="5238">
      <c r="A5238" t="inlineStr">
        <is>
          <t>PT Sinar Mas Agro Resources and Technology Tbk</t>
        </is>
      </c>
      <c r="B5238" t="inlineStr">
        <is>
          <t>SMAR_2024_AR.pdf</t>
        </is>
      </c>
      <c r="C5238" t="n">
        <v>2024</v>
      </c>
      <c r="D5238" t="inlineStr">
        <is>
          <t>Financial</t>
        </is>
      </c>
      <c r="E5238" t="inlineStr">
        <is>
          <t>Interim Dividend 2024</t>
        </is>
      </c>
      <c r="F5238" t="n">
        <v>105</v>
      </c>
      <c r="G5238" t="inlineStr">
        <is>
          <t>Rp/share</t>
        </is>
      </c>
      <c r="H5238" t="n">
        <v>59</v>
      </c>
      <c r="I5238" t="inlineStr">
        <is>
          <t>dividen interim secara tunai atas laba tahun 2024 sebesar Rp 105 per saham atau sejumlah Rp 302 miliar</t>
        </is>
      </c>
      <c r="J5238" t="inlineStr">
        <is>
          <t>High</t>
        </is>
      </c>
      <c r="M5238" t="inlineStr">
        <is>
          <t>LLM</t>
        </is>
      </c>
      <c r="N5238" t="inlineStr">
        <is>
          <t>2026-04-19</t>
        </is>
      </c>
      <c r="O5238" t="inlineStr">
        <is>
          <t>AI</t>
        </is>
      </c>
    </row>
    <row r="5239">
      <c r="A5239" t="inlineStr">
        <is>
          <t>PT Sinar Mas Agro Resources and Technology Tbk</t>
        </is>
      </c>
      <c r="B5239" t="inlineStr">
        <is>
          <t>SMAR_2024_AR.pdf</t>
        </is>
      </c>
      <c r="C5239" t="n">
        <v>2024</v>
      </c>
      <c r="D5239" t="inlineStr">
        <is>
          <t>Financial</t>
        </is>
      </c>
      <c r="E5239" t="inlineStr">
        <is>
          <t>Closing Price Q4 2024</t>
        </is>
      </c>
      <c r="F5239" t="n">
        <v>3650</v>
      </c>
      <c r="G5239" t="inlineStr">
        <is>
          <t>Rp/share</t>
        </is>
      </c>
      <c r="H5239" t="n">
        <v>155</v>
      </c>
      <c r="I5239" t="inlineStr">
        <is>
          <t>Kuartal 4 4,490 3,400 3,650 3,867,300 10,483,505,785,900</t>
        </is>
      </c>
      <c r="J5239" t="inlineStr">
        <is>
          <t>High</t>
        </is>
      </c>
      <c r="M5239" t="inlineStr">
        <is>
          <t>LLM</t>
        </is>
      </c>
      <c r="N5239" t="inlineStr">
        <is>
          <t>2026-04-19</t>
        </is>
      </c>
      <c r="O5239" t="inlineStr">
        <is>
          <t>AI</t>
        </is>
      </c>
    </row>
    <row r="5240">
      <c r="A5240" t="inlineStr">
        <is>
          <t>PT Sinar Mas Agro Resources and Technology Tbk</t>
        </is>
      </c>
      <c r="B5240" t="inlineStr">
        <is>
          <t>SMAR_2024_AR.pdf</t>
        </is>
      </c>
      <c r="C5240" t="n">
        <v>2024</v>
      </c>
      <c r="D5240" t="inlineStr">
        <is>
          <t>Financial</t>
        </is>
      </c>
      <c r="E5240" t="inlineStr">
        <is>
          <t>Market Cap (Q4 2024)</t>
        </is>
      </c>
      <c r="F5240" t="n">
        <v>10484</v>
      </c>
      <c r="G5240" t="inlineStr">
        <is>
          <t>IDR bn</t>
        </is>
      </c>
      <c r="H5240" t="n">
        <v>155</v>
      </c>
      <c r="I5240" t="inlineStr">
        <is>
          <t>Kapitalisasi Pasar Rp 10,483,505,785,900</t>
        </is>
      </c>
      <c r="J5240" t="inlineStr">
        <is>
          <t>High</t>
        </is>
      </c>
      <c r="M5240" t="inlineStr">
        <is>
          <t>LLM</t>
        </is>
      </c>
      <c r="N5240" t="inlineStr">
        <is>
          <t>2026-04-19</t>
        </is>
      </c>
      <c r="O5240" t="inlineStr">
        <is>
          <t>AI</t>
        </is>
      </c>
    </row>
    <row r="5241">
      <c r="A5241" t="inlineStr">
        <is>
          <t>PT Sinar Mas Agro Resources and Technology Tbk</t>
        </is>
      </c>
      <c r="B5241" t="inlineStr">
        <is>
          <t>SMAR_2024_AR.pdf</t>
        </is>
      </c>
      <c r="C5241" t="n">
        <v>2024</v>
      </c>
      <c r="D5241" t="inlineStr">
        <is>
          <t>Financial</t>
        </is>
      </c>
      <c r="E5241" t="inlineStr">
        <is>
          <t>Gearing Ratio (Debt/Equity)</t>
        </is>
      </c>
      <c r="F5241" t="n">
        <v>0.97</v>
      </c>
      <c r="G5241" t="inlineStr">
        <is>
          <t>x</t>
        </is>
      </c>
      <c r="H5241" t="n">
        <v>60</v>
      </c>
      <c r="I5241" t="inlineStr">
        <is>
          <t>rasio utang terhadap ekuitas Perseroan tetap sehat yaitu 0.97 kali per tanggal 31 Desember 2024</t>
        </is>
      </c>
      <c r="J5241" t="inlineStr">
        <is>
          <t>High</t>
        </is>
      </c>
      <c r="M5241" t="inlineStr">
        <is>
          <t>LLM</t>
        </is>
      </c>
      <c r="N5241" t="inlineStr">
        <is>
          <t>2026-04-19</t>
        </is>
      </c>
      <c r="O5241" t="inlineStr">
        <is>
          <t>AI</t>
        </is>
      </c>
    </row>
    <row r="5242">
      <c r="A5242" t="inlineStr">
        <is>
          <t>PT Sinar Mas Agro Resources and Technology Tbk</t>
        </is>
      </c>
      <c r="B5242" t="inlineStr">
        <is>
          <t>SMAR_2024_AR.pdf</t>
        </is>
      </c>
      <c r="C5242" t="n">
        <v>2024</v>
      </c>
      <c r="D5242" t="inlineStr">
        <is>
          <t>Financial</t>
        </is>
      </c>
      <c r="E5242" t="inlineStr">
        <is>
          <t>Current Ratio</t>
        </is>
      </c>
      <c r="F5242" t="n">
        <v>1.8</v>
      </c>
      <c r="G5242" t="inlineStr">
        <is>
          <t>x</t>
        </is>
      </c>
      <c r="H5242" t="n">
        <v>8</v>
      </c>
      <c r="I5242" t="inlineStr">
        <is>
          <t>Rasio lancar (kali) 1.8 1.9 2.0</t>
        </is>
      </c>
      <c r="J5242" t="inlineStr">
        <is>
          <t>High</t>
        </is>
      </c>
      <c r="M5242" t="inlineStr">
        <is>
          <t>LLM</t>
        </is>
      </c>
      <c r="N5242" t="inlineStr">
        <is>
          <t>2026-04-19</t>
        </is>
      </c>
      <c r="O5242" t="inlineStr">
        <is>
          <t>AI</t>
        </is>
      </c>
    </row>
    <row r="5243">
      <c r="A5243" t="inlineStr">
        <is>
          <t>PT Sinar Mas Agro Resources and Technology Tbk</t>
        </is>
      </c>
      <c r="B5243" t="inlineStr">
        <is>
          <t>SMAR_2024_AR.pdf</t>
        </is>
      </c>
      <c r="C5243" t="n">
        <v>2024</v>
      </c>
      <c r="D5243" t="inlineStr">
        <is>
          <t>Financial</t>
        </is>
      </c>
      <c r="E5243" t="inlineStr">
        <is>
          <t>Net Debt to EBITDA</t>
        </is>
      </c>
      <c r="F5243" t="n">
        <v>0.59</v>
      </c>
      <c r="G5243" t="inlineStr">
        <is>
          <t>x</t>
        </is>
      </c>
      <c r="H5243" t="n">
        <v>8</v>
      </c>
      <c r="I5243" t="inlineStr">
        <is>
          <t>Rasio pinjaman bersih terhadap EBITDA (kali)3 0.59 0.65 0.02</t>
        </is>
      </c>
      <c r="J5243" t="inlineStr">
        <is>
          <t>High</t>
        </is>
      </c>
      <c r="M5243" t="inlineStr">
        <is>
          <t>LLM</t>
        </is>
      </c>
      <c r="N5243" t="inlineStr">
        <is>
          <t>2026-04-19</t>
        </is>
      </c>
      <c r="O5243" t="inlineStr">
        <is>
          <t>AI</t>
        </is>
      </c>
    </row>
    <row r="5244">
      <c r="A5244" t="inlineStr">
        <is>
          <t>PT Sinar Mas Agro Resources and Technology Tbk</t>
        </is>
      </c>
      <c r="B5244" t="inlineStr">
        <is>
          <t>SMAR_2024_AR.pdf</t>
        </is>
      </c>
      <c r="C5244" t="n">
        <v>2024</v>
      </c>
      <c r="D5244" t="inlineStr">
        <is>
          <t>Financial</t>
        </is>
      </c>
      <c r="E5244" t="inlineStr">
        <is>
          <t>EBITDA to Interest</t>
        </is>
      </c>
      <c r="F5244" t="n">
        <v>3.54</v>
      </c>
      <c r="G5244" t="inlineStr">
        <is>
          <t>x</t>
        </is>
      </c>
      <c r="H5244" t="n">
        <v>8</v>
      </c>
      <c r="I5244" t="inlineStr">
        <is>
          <t>EBITDA terhadap beban bunga (kali) 3.54 2.99 7.11</t>
        </is>
      </c>
      <c r="J5244" t="inlineStr">
        <is>
          <t>High</t>
        </is>
      </c>
      <c r="M5244" t="inlineStr">
        <is>
          <t>LLM</t>
        </is>
      </c>
      <c r="N5244" t="inlineStr">
        <is>
          <t>2026-04-19</t>
        </is>
      </c>
      <c r="O5244" t="inlineStr">
        <is>
          <t>AI</t>
        </is>
      </c>
    </row>
    <row r="5245">
      <c r="A5245" t="inlineStr">
        <is>
          <t>PT Sinar Mas Agro Resources and Technology Tbk</t>
        </is>
      </c>
      <c r="B5245" t="inlineStr">
        <is>
          <t>SMAR_2024_AR.pdf</t>
        </is>
      </c>
      <c r="C5245" t="n">
        <v>2024</v>
      </c>
      <c r="D5245" t="inlineStr">
        <is>
          <t>Financial</t>
        </is>
      </c>
      <c r="E5245" t="inlineStr">
        <is>
          <t>Gross Margin</t>
        </is>
      </c>
      <c r="F5245" t="n">
        <v>0.102</v>
      </c>
      <c r="G5245" t="inlineStr">
        <is>
          <t>%</t>
        </is>
      </c>
      <c r="H5245" t="n">
        <v>8</v>
      </c>
      <c r="I5245" t="inlineStr">
        <is>
          <t>Marjin kotor 10.2 10.2 17.7</t>
        </is>
      </c>
      <c r="J5245" t="inlineStr">
        <is>
          <t>High</t>
        </is>
      </c>
      <c r="M5245" t="inlineStr">
        <is>
          <t>LLM</t>
        </is>
      </c>
      <c r="N5245" t="inlineStr">
        <is>
          <t>2026-04-19</t>
        </is>
      </c>
      <c r="O5245" t="inlineStr">
        <is>
          <t>AI</t>
        </is>
      </c>
    </row>
    <row r="5246">
      <c r="A5246" t="inlineStr">
        <is>
          <t>PT Sinar Mas Agro Resources and Technology Tbk</t>
        </is>
      </c>
      <c r="B5246" t="inlineStr">
        <is>
          <t>SMAR_2024_AR.pdf</t>
        </is>
      </c>
      <c r="C5246" t="n">
        <v>2024</v>
      </c>
      <c r="D5246" t="inlineStr">
        <is>
          <t>Financial</t>
        </is>
      </c>
      <c r="E5246" t="inlineStr">
        <is>
          <t>EBITDA Margin</t>
        </is>
      </c>
      <c r="F5246" t="n">
        <v>0.053</v>
      </c>
      <c r="G5246" t="inlineStr">
        <is>
          <t>%</t>
        </is>
      </c>
      <c r="H5246" t="n">
        <v>8</v>
      </c>
      <c r="I5246" t="inlineStr">
        <is>
          <t>Marjin EBITDA1 5.3 5.7 12.7</t>
        </is>
      </c>
      <c r="J5246" t="inlineStr">
        <is>
          <t>High</t>
        </is>
      </c>
      <c r="M5246" t="inlineStr">
        <is>
          <t>LLM</t>
        </is>
      </c>
      <c r="N5246" t="inlineStr">
        <is>
          <t>2026-04-19</t>
        </is>
      </c>
      <c r="O5246" t="inlineStr">
        <is>
          <t>AI</t>
        </is>
      </c>
    </row>
    <row r="5247">
      <c r="A5247" t="inlineStr">
        <is>
          <t>PT Sinar Mas Agro Resources and Technology Tbk</t>
        </is>
      </c>
      <c r="B5247" t="inlineStr">
        <is>
          <t>SMAR_2024_AR.pdf</t>
        </is>
      </c>
      <c r="C5247" t="n">
        <v>2024</v>
      </c>
      <c r="D5247" t="inlineStr">
        <is>
          <t>Financial</t>
        </is>
      </c>
      <c r="E5247" t="inlineStr">
        <is>
          <t>Net Margin</t>
        </is>
      </c>
      <c r="F5247" t="n">
        <v>0.016</v>
      </c>
      <c r="G5247" t="inlineStr">
        <is>
          <t>%</t>
        </is>
      </c>
      <c r="H5247" t="n">
        <v>8</v>
      </c>
      <c r="I5247" t="inlineStr">
        <is>
          <t>Marjin bersih 1.6 1.4 7.3</t>
        </is>
      </c>
      <c r="J5247" t="inlineStr">
        <is>
          <t>High</t>
        </is>
      </c>
      <c r="M5247" t="inlineStr">
        <is>
          <t>LLM</t>
        </is>
      </c>
      <c r="N5247" t="inlineStr">
        <is>
          <t>2026-04-19</t>
        </is>
      </c>
      <c r="O5247" t="inlineStr">
        <is>
          <t>AI</t>
        </is>
      </c>
    </row>
    <row r="5248">
      <c r="A5248" t="inlineStr">
        <is>
          <t>PT Sinar Mas Agro Resources and Technology Tbk</t>
        </is>
      </c>
      <c r="B5248" t="inlineStr">
        <is>
          <t>SMAR_2024_AR.pdf</t>
        </is>
      </c>
      <c r="C5248" t="n">
        <v>2024</v>
      </c>
      <c r="D5248" t="inlineStr">
        <is>
          <t>Financial</t>
        </is>
      </c>
      <c r="E5248" t="inlineStr">
        <is>
          <t>ROE</t>
        </is>
      </c>
      <c r="F5248" t="n">
        <v>0.064</v>
      </c>
      <c r="G5248" t="inlineStr">
        <is>
          <t>%</t>
        </is>
      </c>
      <c r="H5248" t="n">
        <v>8</v>
      </c>
      <c r="I5248" t="inlineStr">
        <is>
          <t>Rasio laba2 terhadap ekuitas2 6.4 4.8 28.6</t>
        </is>
      </c>
      <c r="J5248" t="inlineStr">
        <is>
          <t>High</t>
        </is>
      </c>
      <c r="M5248" t="inlineStr">
        <is>
          <t>LLM</t>
        </is>
      </c>
      <c r="N5248" t="inlineStr">
        <is>
          <t>2026-04-19</t>
        </is>
      </c>
      <c r="O5248" t="inlineStr">
        <is>
          <t>AI</t>
        </is>
      </c>
    </row>
    <row r="5249">
      <c r="A5249" t="inlineStr">
        <is>
          <t>PT Sinar Mas Agro Resources and Technology Tbk</t>
        </is>
      </c>
      <c r="B5249" t="inlineStr">
        <is>
          <t>SMAR_2024_AR.pdf</t>
        </is>
      </c>
      <c r="C5249" t="n">
        <v>2024</v>
      </c>
      <c r="D5249" t="inlineStr">
        <is>
          <t>Financial</t>
        </is>
      </c>
      <c r="E5249" t="inlineStr">
        <is>
          <t>ROA</t>
        </is>
      </c>
      <c r="F5249" t="n">
        <v>0.028</v>
      </c>
      <c r="G5249" t="inlineStr">
        <is>
          <t>%</t>
        </is>
      </c>
      <c r="H5249" t="n">
        <v>8</v>
      </c>
      <c r="I5249" t="inlineStr">
        <is>
          <t>Rasio laba2 terhadap aset 2.8 2.3 12.9</t>
        </is>
      </c>
      <c r="J5249" t="inlineStr">
        <is>
          <t>High</t>
        </is>
      </c>
      <c r="M5249" t="inlineStr">
        <is>
          <t>LLM</t>
        </is>
      </c>
      <c r="N5249" t="inlineStr">
        <is>
          <t>2026-04-19</t>
        </is>
      </c>
      <c r="O5249" t="inlineStr">
        <is>
          <t>AI</t>
        </is>
      </c>
    </row>
    <row r="5250">
      <c r="A5250" t="inlineStr">
        <is>
          <t>PT Sinar Mas Agro Resources and Technology Tbk</t>
        </is>
      </c>
      <c r="B5250" t="inlineStr">
        <is>
          <t>SMAR_2024_AR.pdf</t>
        </is>
      </c>
      <c r="C5250" t="n">
        <v>2024</v>
      </c>
      <c r="D5250" t="inlineStr">
        <is>
          <t>Financial</t>
        </is>
      </c>
      <c r="E5250" t="inlineStr">
        <is>
          <t>USD Closing FX</t>
        </is>
      </c>
      <c r="F5250" t="n">
        <v>16162</v>
      </c>
      <c r="G5250" t="inlineStr">
        <is>
          <t>Rp/USD</t>
        </is>
      </c>
      <c r="H5250" t="n">
        <v>8</v>
      </c>
      <c r="I5250" t="inlineStr">
        <is>
          <t>Nilai tukar US$ - penutupan (Rp per US$ 1) 16,162</t>
        </is>
      </c>
      <c r="J5250" t="inlineStr">
        <is>
          <t>High</t>
        </is>
      </c>
      <c r="M5250" t="inlineStr">
        <is>
          <t>LLM</t>
        </is>
      </c>
      <c r="N5250" t="inlineStr">
        <is>
          <t>2026-04-19</t>
        </is>
      </c>
      <c r="O5250" t="inlineStr">
        <is>
          <t>AI</t>
        </is>
      </c>
    </row>
    <row r="5251">
      <c r="A5251" t="inlineStr">
        <is>
          <t>PT Sinar Mas Agro Resources and Technology Tbk</t>
        </is>
      </c>
      <c r="B5251" t="inlineStr">
        <is>
          <t>SMAR_2024_AR.pdf</t>
        </is>
      </c>
      <c r="C5251" t="n">
        <v>2024</v>
      </c>
      <c r="D5251" t="inlineStr">
        <is>
          <t>Financial</t>
        </is>
      </c>
      <c r="E5251" t="inlineStr">
        <is>
          <t>USD Average FX</t>
        </is>
      </c>
      <c r="F5251" t="n">
        <v>15827</v>
      </c>
      <c r="G5251" t="inlineStr">
        <is>
          <t>Rp/USD</t>
        </is>
      </c>
      <c r="H5251" t="n">
        <v>8</v>
      </c>
      <c r="I5251" t="inlineStr">
        <is>
          <t>Nilai tukar US$ - rata-rata 15,827</t>
        </is>
      </c>
      <c r="J5251" t="inlineStr">
        <is>
          <t>High</t>
        </is>
      </c>
      <c r="M5251" t="inlineStr">
        <is>
          <t>LLM</t>
        </is>
      </c>
      <c r="N5251" t="inlineStr">
        <is>
          <t>2026-04-19</t>
        </is>
      </c>
      <c r="O5251" t="inlineStr">
        <is>
          <t>AI</t>
        </is>
      </c>
    </row>
    <row r="5252">
      <c r="A5252" t="inlineStr">
        <is>
          <t>PT Sinar Mas Agro Resources and Technology Tbk</t>
        </is>
      </c>
      <c r="B5252" t="inlineStr">
        <is>
          <t>SMAR_2024_AR.pdf</t>
        </is>
      </c>
      <c r="C5252" t="n">
        <v>2024</v>
      </c>
      <c r="D5252" t="inlineStr">
        <is>
          <t>Asset</t>
        </is>
      </c>
      <c r="E5252" t="inlineStr">
        <is>
          <t>Total Planted Area</t>
        </is>
      </c>
      <c r="F5252" t="n">
        <v>136587</v>
      </c>
      <c r="G5252" t="inlineStr">
        <is>
          <t>ha</t>
        </is>
      </c>
      <c r="H5252" t="n">
        <v>51</v>
      </c>
      <c r="I5252" t="inlineStr">
        <is>
          <t>SMART mengelola 136,587 hektar kebun sawit yang berlokasi di Sumatera dan Kalimantan</t>
        </is>
      </c>
      <c r="J5252" t="inlineStr">
        <is>
          <t>High</t>
        </is>
      </c>
      <c r="M5252" t="inlineStr">
        <is>
          <t>LLM</t>
        </is>
      </c>
      <c r="N5252" t="inlineStr">
        <is>
          <t>2026-04-19</t>
        </is>
      </c>
      <c r="O5252" t="inlineStr">
        <is>
          <t>AI</t>
        </is>
      </c>
    </row>
    <row r="5253">
      <c r="A5253" t="inlineStr">
        <is>
          <t>PT Sinar Mas Agro Resources and Technology Tbk</t>
        </is>
      </c>
      <c r="B5253" t="inlineStr">
        <is>
          <t>SMAR_2024_AR.pdf</t>
        </is>
      </c>
      <c r="C5253" t="n">
        <v>2024</v>
      </c>
      <c r="D5253" t="inlineStr">
        <is>
          <t>Asset</t>
        </is>
      </c>
      <c r="E5253" t="inlineStr">
        <is>
          <t>Nucleus Proportion</t>
        </is>
      </c>
      <c r="F5253" t="n">
        <v>0.77</v>
      </c>
      <c r="G5253" t="inlineStr">
        <is>
          <t>%</t>
        </is>
      </c>
      <c r="H5253" t="n">
        <v>51</v>
      </c>
      <c r="I5253" t="inlineStr">
        <is>
          <t>Perkebunan kami terdiri dari 77% milik sendiri (disebut inti)</t>
        </is>
      </c>
      <c r="J5253" t="inlineStr">
        <is>
          <t>High</t>
        </is>
      </c>
      <c r="M5253" t="inlineStr">
        <is>
          <t>LLM</t>
        </is>
      </c>
      <c r="N5253" t="inlineStr">
        <is>
          <t>2026-04-19</t>
        </is>
      </c>
      <c r="O5253" t="inlineStr">
        <is>
          <t>AI</t>
        </is>
      </c>
    </row>
    <row r="5254">
      <c r="A5254" t="inlineStr">
        <is>
          <t>PT Sinar Mas Agro Resources and Technology Tbk</t>
        </is>
      </c>
      <c r="B5254" t="inlineStr">
        <is>
          <t>SMAR_2024_AR.pdf</t>
        </is>
      </c>
      <c r="C5254" t="n">
        <v>2024</v>
      </c>
      <c r="D5254" t="inlineStr">
        <is>
          <t>Asset</t>
        </is>
      </c>
      <c r="E5254" t="inlineStr">
        <is>
          <t>Plasma Proportion</t>
        </is>
      </c>
      <c r="F5254" t="n">
        <v>0.23</v>
      </c>
      <c r="G5254" t="inlineStr">
        <is>
          <t>%</t>
        </is>
      </c>
      <c r="H5254" t="n">
        <v>51</v>
      </c>
      <c r="I5254" t="inlineStr">
        <is>
          <t>23% milik para petani (disebut plasma)</t>
        </is>
      </c>
      <c r="J5254" t="inlineStr">
        <is>
          <t>High</t>
        </is>
      </c>
      <c r="M5254" t="inlineStr">
        <is>
          <t>LLM</t>
        </is>
      </c>
      <c r="N5254" t="inlineStr">
        <is>
          <t>2026-04-19</t>
        </is>
      </c>
      <c r="O5254" t="inlineStr">
        <is>
          <t>AI</t>
        </is>
      </c>
    </row>
    <row r="5255">
      <c r="A5255" t="inlineStr">
        <is>
          <t>PT Sinar Mas Agro Resources and Technology Tbk</t>
        </is>
      </c>
      <c r="B5255" t="inlineStr">
        <is>
          <t>SMAR_2024_AR.pdf</t>
        </is>
      </c>
      <c r="C5255" t="n">
        <v>2024</v>
      </c>
      <c r="D5255" t="inlineStr">
        <is>
          <t>Asset</t>
        </is>
      </c>
      <c r="E5255" t="inlineStr">
        <is>
          <t>Sumatra Proportion</t>
        </is>
      </c>
      <c r="F5255" t="n">
        <v>0.46</v>
      </c>
      <c r="G5255" t="inlineStr">
        <is>
          <t>%</t>
        </is>
      </c>
      <c r="H5255" t="n">
        <v>50</v>
      </c>
      <c r="I5255" t="inlineStr">
        <is>
          <t>REGION Sumatra 46% Kalimantan 54%</t>
        </is>
      </c>
      <c r="J5255" t="inlineStr">
        <is>
          <t>High</t>
        </is>
      </c>
      <c r="M5255" t="inlineStr">
        <is>
          <t>LLM</t>
        </is>
      </c>
      <c r="N5255" t="inlineStr">
        <is>
          <t>2026-04-19</t>
        </is>
      </c>
      <c r="O5255" t="inlineStr">
        <is>
          <t>AI</t>
        </is>
      </c>
    </row>
    <row r="5256">
      <c r="A5256" t="inlineStr">
        <is>
          <t>PT Sinar Mas Agro Resources and Technology Tbk</t>
        </is>
      </c>
      <c r="B5256" t="inlineStr">
        <is>
          <t>SMAR_2024_AR.pdf</t>
        </is>
      </c>
      <c r="C5256" t="n">
        <v>2024</v>
      </c>
      <c r="D5256" t="inlineStr">
        <is>
          <t>Asset</t>
        </is>
      </c>
      <c r="E5256" t="inlineStr">
        <is>
          <t>Kalimantan Proportion</t>
        </is>
      </c>
      <c r="F5256" t="n">
        <v>0.54</v>
      </c>
      <c r="G5256" t="inlineStr">
        <is>
          <t>%</t>
        </is>
      </c>
      <c r="H5256" t="n">
        <v>50</v>
      </c>
      <c r="I5256" t="inlineStr">
        <is>
          <t>Kalimantan 54%</t>
        </is>
      </c>
      <c r="J5256" t="inlineStr">
        <is>
          <t>High</t>
        </is>
      </c>
      <c r="M5256" t="inlineStr">
        <is>
          <t>LLM</t>
        </is>
      </c>
      <c r="N5256" t="inlineStr">
        <is>
          <t>2026-04-19</t>
        </is>
      </c>
      <c r="O5256" t="inlineStr">
        <is>
          <t>AI</t>
        </is>
      </c>
    </row>
    <row r="5257">
      <c r="A5257" t="inlineStr">
        <is>
          <t>PT Sinar Mas Agro Resources and Technology Tbk</t>
        </is>
      </c>
      <c r="B5257" t="inlineStr">
        <is>
          <t>SMAR_2024_AR.pdf</t>
        </is>
      </c>
      <c r="C5257" t="n">
        <v>2024</v>
      </c>
      <c r="D5257" t="inlineStr">
        <is>
          <t>Asset</t>
        </is>
      </c>
      <c r="E5257" t="inlineStr">
        <is>
          <t>Mature Proportion</t>
        </is>
      </c>
      <c r="F5257" t="n">
        <v>0.9</v>
      </c>
      <c r="G5257" t="inlineStr">
        <is>
          <t>%</t>
        </is>
      </c>
      <c r="H5257" t="n">
        <v>50</v>
      </c>
      <c r="I5257" t="inlineStr">
        <is>
          <t>Mature 90% Immature 10%</t>
        </is>
      </c>
      <c r="J5257" t="inlineStr">
        <is>
          <t>High</t>
        </is>
      </c>
      <c r="M5257" t="inlineStr">
        <is>
          <t>LLM</t>
        </is>
      </c>
      <c r="N5257" t="inlineStr">
        <is>
          <t>2026-04-19</t>
        </is>
      </c>
      <c r="O5257" t="inlineStr">
        <is>
          <t>AI</t>
        </is>
      </c>
    </row>
    <row r="5258">
      <c r="A5258" t="inlineStr">
        <is>
          <t>PT Sinar Mas Agro Resources and Technology Tbk</t>
        </is>
      </c>
      <c r="B5258" t="inlineStr">
        <is>
          <t>SMAR_2024_AR.pdf</t>
        </is>
      </c>
      <c r="C5258" t="n">
        <v>2024</v>
      </c>
      <c r="D5258" t="inlineStr">
        <is>
          <t>Asset</t>
        </is>
      </c>
      <c r="E5258" t="inlineStr">
        <is>
          <t>Immature 0-3 yr Area</t>
        </is>
      </c>
      <c r="F5258" t="n">
        <v>13227</v>
      </c>
      <c r="G5258" t="inlineStr">
        <is>
          <t>ha</t>
        </is>
      </c>
      <c r="H5258" t="n">
        <v>52</v>
      </c>
      <c r="I5258" t="inlineStr">
        <is>
          <t>Belum Menghasilkan 0-3 tahun 13,227 10</t>
        </is>
      </c>
      <c r="J5258" t="inlineStr">
        <is>
          <t>High</t>
        </is>
      </c>
      <c r="M5258" t="inlineStr">
        <is>
          <t>LLM</t>
        </is>
      </c>
      <c r="N5258" t="inlineStr">
        <is>
          <t>2026-04-19</t>
        </is>
      </c>
      <c r="O5258" t="inlineStr">
        <is>
          <t>AI</t>
        </is>
      </c>
    </row>
    <row r="5259">
      <c r="A5259" t="inlineStr">
        <is>
          <t>PT Sinar Mas Agro Resources and Technology Tbk</t>
        </is>
      </c>
      <c r="B5259" t="inlineStr">
        <is>
          <t>SMAR_2024_AR.pdf</t>
        </is>
      </c>
      <c r="C5259" t="n">
        <v>2024</v>
      </c>
      <c r="D5259" t="inlineStr">
        <is>
          <t>Asset</t>
        </is>
      </c>
      <c r="E5259" t="inlineStr">
        <is>
          <t>Young 4-6 yr Area</t>
        </is>
      </c>
      <c r="F5259" t="n">
        <v>10114</v>
      </c>
      <c r="G5259" t="inlineStr">
        <is>
          <t>ha</t>
        </is>
      </c>
      <c r="H5259" t="n">
        <v>52</v>
      </c>
      <c r="I5259" t="inlineStr">
        <is>
          <t>Muda 4-6 tahun 10,114 7</t>
        </is>
      </c>
      <c r="J5259" t="inlineStr">
        <is>
          <t>High</t>
        </is>
      </c>
      <c r="M5259" t="inlineStr">
        <is>
          <t>LLM</t>
        </is>
      </c>
      <c r="N5259" t="inlineStr">
        <is>
          <t>2026-04-19</t>
        </is>
      </c>
      <c r="O5259" t="inlineStr">
        <is>
          <t>AI</t>
        </is>
      </c>
    </row>
    <row r="5260">
      <c r="A5260" t="inlineStr">
        <is>
          <t>PT Sinar Mas Agro Resources and Technology Tbk</t>
        </is>
      </c>
      <c r="B5260" t="inlineStr">
        <is>
          <t>SMAR_2024_AR.pdf</t>
        </is>
      </c>
      <c r="C5260" t="n">
        <v>2024</v>
      </c>
      <c r="D5260" t="inlineStr">
        <is>
          <t>Asset</t>
        </is>
      </c>
      <c r="E5260" t="inlineStr">
        <is>
          <t>Prime 1 (7-18 yr) Area</t>
        </is>
      </c>
      <c r="F5260" t="n">
        <v>36346</v>
      </c>
      <c r="G5260" t="inlineStr">
        <is>
          <t>ha</t>
        </is>
      </c>
      <c r="H5260" t="n">
        <v>52</v>
      </c>
      <c r="I5260" t="inlineStr">
        <is>
          <t>Utama 1 7-18 tahun 36,346 27</t>
        </is>
      </c>
      <c r="J5260" t="inlineStr">
        <is>
          <t>High</t>
        </is>
      </c>
      <c r="M5260" t="inlineStr">
        <is>
          <t>LLM</t>
        </is>
      </c>
      <c r="N5260" t="inlineStr">
        <is>
          <t>2026-04-19</t>
        </is>
      </c>
      <c r="O5260" t="inlineStr">
        <is>
          <t>AI</t>
        </is>
      </c>
    </row>
    <row r="5261">
      <c r="A5261" t="inlineStr">
        <is>
          <t>PT Sinar Mas Agro Resources and Technology Tbk</t>
        </is>
      </c>
      <c r="B5261" t="inlineStr">
        <is>
          <t>SMAR_2024_AR.pdf</t>
        </is>
      </c>
      <c r="C5261" t="n">
        <v>2024</v>
      </c>
      <c r="D5261" t="inlineStr">
        <is>
          <t>Asset</t>
        </is>
      </c>
      <c r="E5261" t="inlineStr">
        <is>
          <t>Prime 2 (19-25 yr) Area</t>
        </is>
      </c>
      <c r="F5261" t="n">
        <v>35235</v>
      </c>
      <c r="G5261" t="inlineStr">
        <is>
          <t>ha</t>
        </is>
      </c>
      <c r="H5261" t="n">
        <v>52</v>
      </c>
      <c r="I5261" t="inlineStr">
        <is>
          <t>Utama 2 19-25 tahun 35,235 26</t>
        </is>
      </c>
      <c r="J5261" t="inlineStr">
        <is>
          <t>High</t>
        </is>
      </c>
      <c r="M5261" t="inlineStr">
        <is>
          <t>LLM</t>
        </is>
      </c>
      <c r="N5261" t="inlineStr">
        <is>
          <t>2026-04-19</t>
        </is>
      </c>
      <c r="O5261" t="inlineStr">
        <is>
          <t>AI</t>
        </is>
      </c>
    </row>
    <row r="5262">
      <c r="A5262" t="inlineStr">
        <is>
          <t>PT Sinar Mas Agro Resources and Technology Tbk</t>
        </is>
      </c>
      <c r="B5262" t="inlineStr">
        <is>
          <t>SMAR_2024_AR.pdf</t>
        </is>
      </c>
      <c r="C5262" t="n">
        <v>2024</v>
      </c>
      <c r="D5262" t="inlineStr">
        <is>
          <t>Asset</t>
        </is>
      </c>
      <c r="E5262" t="inlineStr">
        <is>
          <t>Old &gt;25 yr Area</t>
        </is>
      </c>
      <c r="F5262" t="n">
        <v>41665</v>
      </c>
      <c r="G5262" t="inlineStr">
        <is>
          <t>ha</t>
        </is>
      </c>
      <c r="H5262" t="n">
        <v>52</v>
      </c>
      <c r="I5262" t="inlineStr">
        <is>
          <t>Tua &gt;25 tahun 41,665 30</t>
        </is>
      </c>
      <c r="J5262" t="inlineStr">
        <is>
          <t>High</t>
        </is>
      </c>
      <c r="M5262" t="inlineStr">
        <is>
          <t>LLM</t>
        </is>
      </c>
      <c r="N5262" t="inlineStr">
        <is>
          <t>2026-04-19</t>
        </is>
      </c>
      <c r="O5262" t="inlineStr">
        <is>
          <t>AI</t>
        </is>
      </c>
    </row>
    <row r="5263">
      <c r="A5263" t="inlineStr">
        <is>
          <t>PT Sinar Mas Agro Resources and Technology Tbk</t>
        </is>
      </c>
      <c r="B5263" t="inlineStr">
        <is>
          <t>SMAR_2024_AR.pdf</t>
        </is>
      </c>
      <c r="C5263" t="n">
        <v>2024</v>
      </c>
      <c r="D5263" t="inlineStr">
        <is>
          <t>Asset</t>
        </is>
      </c>
      <c r="E5263" t="inlineStr">
        <is>
          <t>Replanted Area 2024</t>
        </is>
      </c>
      <c r="F5263" t="n">
        <v>7900</v>
      </c>
      <c r="G5263" t="inlineStr">
        <is>
          <t>ha</t>
        </is>
      </c>
      <c r="H5263" t="n">
        <v>51</v>
      </c>
      <c r="I5263" t="inlineStr">
        <is>
          <t>kami melakukan peremajaan tanaman tua sekitar 7,900 hektar, lebih dari dua kali lipat dari tahun sebelumnya</t>
        </is>
      </c>
      <c r="J5263" t="inlineStr">
        <is>
          <t>High</t>
        </is>
      </c>
      <c r="M5263" t="inlineStr">
        <is>
          <t>LLM</t>
        </is>
      </c>
      <c r="N5263" t="inlineStr">
        <is>
          <t>2026-04-19</t>
        </is>
      </c>
      <c r="O5263" t="inlineStr">
        <is>
          <t>AI</t>
        </is>
      </c>
    </row>
    <row r="5264">
      <c r="A5264" t="inlineStr">
        <is>
          <t>PT Sinar Mas Agro Resources and Technology Tbk</t>
        </is>
      </c>
      <c r="B5264" t="inlineStr">
        <is>
          <t>SMAR_2024_AR.pdf</t>
        </is>
      </c>
      <c r="C5264" t="n">
        <v>2024</v>
      </c>
      <c r="D5264" t="inlineStr">
        <is>
          <t>Asset</t>
        </is>
      </c>
      <c r="E5264" t="inlineStr">
        <is>
          <t>Palm Oil Mill Count</t>
        </is>
      </c>
      <c r="F5264" t="n">
        <v>16</v>
      </c>
      <c r="G5264" t="inlineStr">
        <is>
          <t>count</t>
        </is>
      </c>
      <c r="H5264" t="n">
        <v>53</v>
      </c>
      <c r="I5264" t="inlineStr">
        <is>
          <t>SMART mengoperasikan 16 PKS dengan total kapasitas terpasang tahunan sebesar 4.35 juta ton (prior-year consistent)</t>
        </is>
      </c>
      <c r="J5264" t="inlineStr">
        <is>
          <t>Medium</t>
        </is>
      </c>
      <c r="M5264" t="inlineStr">
        <is>
          <t>LLM</t>
        </is>
      </c>
      <c r="N5264" t="inlineStr">
        <is>
          <t>2026-04-19</t>
        </is>
      </c>
      <c r="O5264" t="inlineStr">
        <is>
          <t>AI</t>
        </is>
      </c>
    </row>
    <row r="5265">
      <c r="A5265" t="inlineStr">
        <is>
          <t>PT Sinar Mas Agro Resources and Technology Tbk</t>
        </is>
      </c>
      <c r="B5265" t="inlineStr">
        <is>
          <t>SMAR_2024_AR.pdf</t>
        </is>
      </c>
      <c r="C5265" t="n">
        <v>2024</v>
      </c>
      <c r="D5265" t="inlineStr">
        <is>
          <t>Asset</t>
        </is>
      </c>
      <c r="E5265" t="inlineStr">
        <is>
          <t>Mills Installed Capacity</t>
        </is>
      </c>
      <c r="F5265" t="n">
        <v>4350000</v>
      </c>
      <c r="G5265" t="inlineStr">
        <is>
          <t>t/yr</t>
        </is>
      </c>
      <c r="H5265" t="n">
        <v>53</v>
      </c>
      <c r="I5265" t="inlineStr">
        <is>
          <t>total kapasitas terpasang tahunan sebesar 4.35 juta ton</t>
        </is>
      </c>
      <c r="J5265" t="inlineStr">
        <is>
          <t>High</t>
        </is>
      </c>
      <c r="M5265" t="inlineStr">
        <is>
          <t>LLM</t>
        </is>
      </c>
      <c r="N5265" t="inlineStr">
        <is>
          <t>2026-04-19</t>
        </is>
      </c>
      <c r="O5265" t="inlineStr">
        <is>
          <t>AI</t>
        </is>
      </c>
    </row>
    <row r="5266">
      <c r="A5266" t="inlineStr">
        <is>
          <t>PT Sinar Mas Agro Resources and Technology Tbk</t>
        </is>
      </c>
      <c r="B5266" t="inlineStr">
        <is>
          <t>SMAR_2024_AR.pdf</t>
        </is>
      </c>
      <c r="C5266" t="n">
        <v>2024</v>
      </c>
      <c r="D5266" t="inlineStr">
        <is>
          <t>Asset</t>
        </is>
      </c>
      <c r="E5266" t="inlineStr">
        <is>
          <t>Refinery Capacity</t>
        </is>
      </c>
      <c r="F5266" t="n">
        <v>2880000</v>
      </c>
      <c r="G5266" t="inlineStr">
        <is>
          <t>t/yr</t>
        </is>
      </c>
      <c r="H5266" t="n">
        <v>54</v>
      </c>
      <c r="I5266" t="inlineStr">
        <is>
          <t>pabrik rafinasi dengan kapasitas tahunan sebesar 2.88 juta ton</t>
        </is>
      </c>
      <c r="J5266" t="inlineStr">
        <is>
          <t>High</t>
        </is>
      </c>
      <c r="M5266" t="inlineStr">
        <is>
          <t>LLM</t>
        </is>
      </c>
      <c r="N5266" t="inlineStr">
        <is>
          <t>2026-04-19</t>
        </is>
      </c>
      <c r="O5266" t="inlineStr">
        <is>
          <t>AI</t>
        </is>
      </c>
    </row>
    <row r="5267">
      <c r="A5267" t="inlineStr">
        <is>
          <t>PT Sinar Mas Agro Resources and Technology Tbk</t>
        </is>
      </c>
      <c r="B5267" t="inlineStr">
        <is>
          <t>SMAR_2024_AR.pdf</t>
        </is>
      </c>
      <c r="C5267" t="n">
        <v>2024</v>
      </c>
      <c r="D5267" t="inlineStr">
        <is>
          <t>Asset</t>
        </is>
      </c>
      <c r="E5267" t="inlineStr">
        <is>
          <t>Kernel Crushing Capacity</t>
        </is>
      </c>
      <c r="F5267" t="n">
        <v>879000</v>
      </c>
      <c r="G5267" t="inlineStr">
        <is>
          <t>t/yr</t>
        </is>
      </c>
      <c r="H5267" t="n">
        <v>54</v>
      </c>
      <c r="I5267" t="inlineStr">
        <is>
          <t>pabrik pengolahan inti sawit yang berkapasitas 879,000 ton per tahun</t>
        </is>
      </c>
      <c r="J5267" t="inlineStr">
        <is>
          <t>High</t>
        </is>
      </c>
      <c r="M5267" t="inlineStr">
        <is>
          <t>LLM</t>
        </is>
      </c>
      <c r="N5267" t="inlineStr">
        <is>
          <t>2026-04-19</t>
        </is>
      </c>
      <c r="O5267" t="inlineStr">
        <is>
          <t>AI</t>
        </is>
      </c>
    </row>
    <row r="5268">
      <c r="A5268" t="inlineStr">
        <is>
          <t>PT Sinar Mas Agro Resources and Technology Tbk</t>
        </is>
      </c>
      <c r="B5268" t="inlineStr">
        <is>
          <t>SMAR_2024_AR.pdf</t>
        </is>
      </c>
      <c r="C5268" t="n">
        <v>2024</v>
      </c>
      <c r="D5268" t="inlineStr">
        <is>
          <t>Asset</t>
        </is>
      </c>
      <c r="E5268" t="inlineStr">
        <is>
          <t>Biodiesel Plant Capacity</t>
        </is>
      </c>
      <c r="F5268" t="n">
        <v>1050000</v>
      </c>
      <c r="G5268" t="inlineStr">
        <is>
          <t>t/yr</t>
        </is>
      </c>
      <c r="H5268" t="n">
        <v>54</v>
      </c>
      <c r="I5268" t="inlineStr">
        <is>
          <t>pabrik biodiesel berkapasitas 1.05 juta ton</t>
        </is>
      </c>
      <c r="J5268" t="inlineStr">
        <is>
          <t>High</t>
        </is>
      </c>
      <c r="M5268" t="inlineStr">
        <is>
          <t>LLM</t>
        </is>
      </c>
      <c r="N5268" t="inlineStr">
        <is>
          <t>2026-04-19</t>
        </is>
      </c>
      <c r="O5268" t="inlineStr">
        <is>
          <t>AI</t>
        </is>
      </c>
    </row>
    <row r="5269">
      <c r="A5269" t="inlineStr">
        <is>
          <t>PT Sinar Mas Agro Resources and Technology Tbk</t>
        </is>
      </c>
      <c r="B5269" t="inlineStr">
        <is>
          <t>SMAR_2024_AR.pdf</t>
        </is>
      </c>
      <c r="C5269" t="n">
        <v>2024</v>
      </c>
      <c r="D5269" t="inlineStr">
        <is>
          <t>Asset</t>
        </is>
      </c>
      <c r="E5269" t="inlineStr">
        <is>
          <t>Oleochemical Plant Capacity</t>
        </is>
      </c>
      <c r="F5269" t="n">
        <v>240000</v>
      </c>
      <c r="G5269" t="inlineStr">
        <is>
          <t>t/yr</t>
        </is>
      </c>
      <c r="H5269" t="n">
        <v>54</v>
      </c>
      <c r="I5269" t="inlineStr">
        <is>
          <t>Pabrik oleokimia kami yang berkapasitas 240,000 ton memproduksi asam lemak (fatty acids) dan gliserin</t>
        </is>
      </c>
      <c r="J5269" t="inlineStr">
        <is>
          <t>High</t>
        </is>
      </c>
      <c r="M5269" t="inlineStr">
        <is>
          <t>LLM</t>
        </is>
      </c>
      <c r="N5269" t="inlineStr">
        <is>
          <t>2026-04-19</t>
        </is>
      </c>
      <c r="O5269" t="inlineStr">
        <is>
          <t>AI</t>
        </is>
      </c>
    </row>
    <row r="5270">
      <c r="A5270" t="inlineStr">
        <is>
          <t>PT Sinar Mas Agro Resources and Technology Tbk</t>
        </is>
      </c>
      <c r="B5270" t="inlineStr">
        <is>
          <t>SMAR_2024_AR.pdf</t>
        </is>
      </c>
      <c r="C5270" t="n">
        <v>2024</v>
      </c>
      <c r="D5270" t="inlineStr">
        <is>
          <t>Asset</t>
        </is>
      </c>
      <c r="E5270" t="inlineStr">
        <is>
          <t>Bearer Plants (Mature, net)</t>
        </is>
      </c>
      <c r="F5270" t="n">
        <v>1115</v>
      </c>
      <c r="G5270" t="inlineStr">
        <is>
          <t>IDR bn</t>
        </is>
      </c>
      <c r="H5270" t="n">
        <v>176</v>
      </c>
      <c r="I5270" t="inlineStr">
        <is>
          <t>Tanaman telah menghasilkan 1,114,533 mn</t>
        </is>
      </c>
      <c r="J5270" t="inlineStr">
        <is>
          <t>High</t>
        </is>
      </c>
      <c r="M5270" t="inlineStr">
        <is>
          <t>LLM</t>
        </is>
      </c>
      <c r="N5270" t="inlineStr">
        <is>
          <t>2026-04-19</t>
        </is>
      </c>
      <c r="O5270" t="inlineStr">
        <is>
          <t>AI</t>
        </is>
      </c>
    </row>
    <row r="5271">
      <c r="A5271" t="inlineStr">
        <is>
          <t>PT Sinar Mas Agro Resources and Technology Tbk</t>
        </is>
      </c>
      <c r="B5271" t="inlineStr">
        <is>
          <t>SMAR_2024_AR.pdf</t>
        </is>
      </c>
      <c r="C5271" t="n">
        <v>2024</v>
      </c>
      <c r="D5271" t="inlineStr">
        <is>
          <t>Asset</t>
        </is>
      </c>
      <c r="E5271" t="inlineStr">
        <is>
          <t>Bearer Plants (Immature)</t>
        </is>
      </c>
      <c r="F5271" t="n">
        <v>578</v>
      </c>
      <c r="G5271" t="inlineStr">
        <is>
          <t>IDR bn</t>
        </is>
      </c>
      <c r="H5271" t="n">
        <v>176</v>
      </c>
      <c r="I5271" t="inlineStr">
        <is>
          <t>Tanaman belum menghasilkan 577,899 mn</t>
        </is>
      </c>
      <c r="J5271" t="inlineStr">
        <is>
          <t>High</t>
        </is>
      </c>
      <c r="M5271" t="inlineStr">
        <is>
          <t>LLM</t>
        </is>
      </c>
      <c r="N5271" t="inlineStr">
        <is>
          <t>2026-04-19</t>
        </is>
      </c>
      <c r="O5271" t="inlineStr">
        <is>
          <t>AI</t>
        </is>
      </c>
    </row>
    <row r="5272">
      <c r="A5272" t="inlineStr">
        <is>
          <t>PT Sinar Mas Agro Resources and Technology Tbk</t>
        </is>
      </c>
      <c r="B5272" t="inlineStr">
        <is>
          <t>SMAR_2024_AR.pdf</t>
        </is>
      </c>
      <c r="C5272" t="n">
        <v>2024</v>
      </c>
      <c r="D5272" t="inlineStr">
        <is>
          <t>Asset</t>
        </is>
      </c>
      <c r="E5272" t="inlineStr">
        <is>
          <t>Fixed Assets (net)</t>
        </is>
      </c>
      <c r="F5272" t="n">
        <v>13706</v>
      </c>
      <c r="G5272" t="inlineStr">
        <is>
          <t>IDR bn</t>
        </is>
      </c>
      <c r="H5272" t="n">
        <v>176</v>
      </c>
      <c r="I5272" t="inlineStr">
        <is>
          <t>Aset tetap 13,705,671 mn</t>
        </is>
      </c>
      <c r="J5272" t="inlineStr">
        <is>
          <t>High</t>
        </is>
      </c>
      <c r="M5272" t="inlineStr">
        <is>
          <t>LLM</t>
        </is>
      </c>
      <c r="N5272" t="inlineStr">
        <is>
          <t>2026-04-19</t>
        </is>
      </c>
      <c r="O5272" t="inlineStr">
        <is>
          <t>AI</t>
        </is>
      </c>
    </row>
    <row r="5273">
      <c r="A5273" t="inlineStr">
        <is>
          <t>PT Sinar Mas Agro Resources and Technology Tbk</t>
        </is>
      </c>
      <c r="B5273" t="inlineStr">
        <is>
          <t>SMAR_2024_AR.pdf</t>
        </is>
      </c>
      <c r="C5273" t="n">
        <v>2024</v>
      </c>
      <c r="D5273" t="inlineStr">
        <is>
          <t>Operation</t>
        </is>
      </c>
      <c r="E5273" t="inlineStr">
        <is>
          <t>FFB Harvested</t>
        </is>
      </c>
      <c r="F5273" t="n">
        <v>2242000</v>
      </c>
      <c r="G5273" t="inlineStr">
        <is>
          <t>t</t>
        </is>
      </c>
      <c r="H5273" t="n">
        <v>52</v>
      </c>
      <c r="I5273" t="inlineStr">
        <is>
          <t>Tandan Buah Segar (TBS) yang dipanen pada tahun berjalan turun menjadi 2.24 juta ton</t>
        </is>
      </c>
      <c r="J5273" t="inlineStr">
        <is>
          <t>High</t>
        </is>
      </c>
      <c r="M5273" t="inlineStr">
        <is>
          <t>LLM</t>
        </is>
      </c>
      <c r="N5273" t="inlineStr">
        <is>
          <t>2026-04-19</t>
        </is>
      </c>
      <c r="O5273" t="inlineStr">
        <is>
          <t>AI</t>
        </is>
      </c>
    </row>
    <row r="5274">
      <c r="A5274" t="inlineStr">
        <is>
          <t>PT Sinar Mas Agro Resources and Technology Tbk</t>
        </is>
      </c>
      <c r="B5274" t="inlineStr">
        <is>
          <t>SMAR_2024_AR.pdf</t>
        </is>
      </c>
      <c r="C5274" t="n">
        <v>2024</v>
      </c>
      <c r="D5274" t="inlineStr">
        <is>
          <t>Operation</t>
        </is>
      </c>
      <c r="E5274" t="inlineStr">
        <is>
          <t>FFB Yield</t>
        </is>
      </c>
      <c r="F5274" t="n">
        <v>18.2</v>
      </c>
      <c r="G5274" t="inlineStr">
        <is>
          <t>t/ha</t>
        </is>
      </c>
      <c r="H5274" t="n">
        <v>52</v>
      </c>
      <c r="I5274" t="inlineStr">
        <is>
          <t>produktivitas rata-rata sebesar 18.2 ton per hektar</t>
        </is>
      </c>
      <c r="J5274" t="inlineStr">
        <is>
          <t>High</t>
        </is>
      </c>
      <c r="M5274" t="inlineStr">
        <is>
          <t>LLM</t>
        </is>
      </c>
      <c r="N5274" t="inlineStr">
        <is>
          <t>2026-04-19</t>
        </is>
      </c>
      <c r="O5274" t="inlineStr">
        <is>
          <t>AI</t>
        </is>
      </c>
    </row>
    <row r="5275">
      <c r="A5275" t="inlineStr">
        <is>
          <t>PT Sinar Mas Agro Resources and Technology Tbk</t>
        </is>
      </c>
      <c r="B5275" t="inlineStr">
        <is>
          <t>SMAR_2024_AR.pdf</t>
        </is>
      </c>
      <c r="C5275" t="n">
        <v>2024</v>
      </c>
      <c r="D5275" t="inlineStr">
        <is>
          <t>Operation</t>
        </is>
      </c>
      <c r="E5275" t="inlineStr">
        <is>
          <t>CPO Production</t>
        </is>
      </c>
      <c r="F5275" t="n">
        <v>532000</v>
      </c>
      <c r="G5275" t="inlineStr">
        <is>
          <t>t</t>
        </is>
      </c>
      <c r="H5275" t="n">
        <v>53</v>
      </c>
      <c r="I5275" t="inlineStr">
        <is>
          <t>PKS memproduksi 532,000 ton CPO dan 145,000 ton PK</t>
        </is>
      </c>
      <c r="J5275" t="inlineStr">
        <is>
          <t>High</t>
        </is>
      </c>
      <c r="M5275" t="inlineStr">
        <is>
          <t>LLM</t>
        </is>
      </c>
      <c r="N5275" t="inlineStr">
        <is>
          <t>2026-04-19</t>
        </is>
      </c>
      <c r="O5275" t="inlineStr">
        <is>
          <t>AI</t>
        </is>
      </c>
    </row>
    <row r="5276">
      <c r="A5276" t="inlineStr">
        <is>
          <t>PT Sinar Mas Agro Resources and Technology Tbk</t>
        </is>
      </c>
      <c r="B5276" t="inlineStr">
        <is>
          <t>SMAR_2024_AR.pdf</t>
        </is>
      </c>
      <c r="C5276" t="n">
        <v>2024</v>
      </c>
      <c r="D5276" t="inlineStr">
        <is>
          <t>Operation</t>
        </is>
      </c>
      <c r="E5276" t="inlineStr">
        <is>
          <t>Palm Kernel Production</t>
        </is>
      </c>
      <c r="F5276" t="n">
        <v>145000</v>
      </c>
      <c r="G5276" t="inlineStr">
        <is>
          <t>t</t>
        </is>
      </c>
      <c r="H5276" t="n">
        <v>53</v>
      </c>
      <c r="I5276" t="inlineStr">
        <is>
          <t>PKS memproduksi 532,000 ton CPO dan 145,000 ton PK</t>
        </is>
      </c>
      <c r="J5276" t="inlineStr">
        <is>
          <t>High</t>
        </is>
      </c>
      <c r="M5276" t="inlineStr">
        <is>
          <t>LLM</t>
        </is>
      </c>
      <c r="N5276" t="inlineStr">
        <is>
          <t>2026-04-19</t>
        </is>
      </c>
      <c r="O5276" t="inlineStr">
        <is>
          <t>AI</t>
        </is>
      </c>
    </row>
    <row r="5277">
      <c r="A5277" t="inlineStr">
        <is>
          <t>PT Sinar Mas Agro Resources and Technology Tbk</t>
        </is>
      </c>
      <c r="B5277" t="inlineStr">
        <is>
          <t>SMAR_2024_AR.pdf</t>
        </is>
      </c>
      <c r="C5277" t="n">
        <v>2024</v>
      </c>
      <c r="D5277" t="inlineStr">
        <is>
          <t>Operation</t>
        </is>
      </c>
      <c r="E5277" t="inlineStr">
        <is>
          <t>Palm Product Output</t>
        </is>
      </c>
      <c r="F5277" t="n">
        <v>677000</v>
      </c>
      <c r="G5277" t="inlineStr">
        <is>
          <t>t</t>
        </is>
      </c>
      <c r="H5277" t="n">
        <v>10</v>
      </c>
      <c r="I5277" t="inlineStr">
        <is>
          <t>Output produk sawit 677 722 729 (000 tonnes)</t>
        </is>
      </c>
      <c r="J5277" t="inlineStr">
        <is>
          <t>High</t>
        </is>
      </c>
      <c r="M5277" t="inlineStr">
        <is>
          <t>LLM</t>
        </is>
      </c>
      <c r="N5277" t="inlineStr">
        <is>
          <t>2026-04-19</t>
        </is>
      </c>
      <c r="O5277" t="inlineStr">
        <is>
          <t>AI</t>
        </is>
      </c>
    </row>
    <row r="5278">
      <c r="A5278" t="inlineStr">
        <is>
          <t>PT Sinar Mas Agro Resources and Technology Tbk</t>
        </is>
      </c>
      <c r="B5278" t="inlineStr">
        <is>
          <t>SMAR_2024_AR.pdf</t>
        </is>
      </c>
      <c r="C5278" t="n">
        <v>2024</v>
      </c>
      <c r="D5278" t="inlineStr">
        <is>
          <t>Operation</t>
        </is>
      </c>
      <c r="E5278" t="inlineStr">
        <is>
          <t>Palm Product Yield</t>
        </is>
      </c>
      <c r="F5278" t="n">
        <v>4.7</v>
      </c>
      <c r="G5278" t="inlineStr">
        <is>
          <t>t/ha</t>
        </is>
      </c>
      <c r="H5278" t="n">
        <v>53</v>
      </c>
      <c r="I5278" t="inlineStr">
        <is>
          <t>Produktivitas rata-rata produk sawit menurun menjadi 4.7 ton per hektar</t>
        </is>
      </c>
      <c r="J5278" t="inlineStr">
        <is>
          <t>High</t>
        </is>
      </c>
      <c r="M5278" t="inlineStr">
        <is>
          <t>LLM</t>
        </is>
      </c>
      <c r="N5278" t="inlineStr">
        <is>
          <t>2026-04-19</t>
        </is>
      </c>
      <c r="O5278" t="inlineStr">
        <is>
          <t>AI</t>
        </is>
      </c>
    </row>
    <row r="5279">
      <c r="A5279" t="inlineStr">
        <is>
          <t>PT Sinar Mas Agro Resources and Technology Tbk</t>
        </is>
      </c>
      <c r="B5279" t="inlineStr">
        <is>
          <t>SMAR_2024_AR.pdf</t>
        </is>
      </c>
      <c r="C5279" t="n">
        <v>2024</v>
      </c>
      <c r="D5279" t="inlineStr">
        <is>
          <t>Operation</t>
        </is>
      </c>
      <c r="E5279" t="inlineStr">
        <is>
          <t>OER (Oil Extraction Rate)</t>
        </is>
      </c>
      <c r="F5279" t="n">
        <v>0.203</v>
      </c>
      <c r="G5279" t="inlineStr">
        <is>
          <t>%</t>
        </is>
      </c>
      <c r="H5279" t="n">
        <v>53</v>
      </c>
      <c r="I5279" t="inlineStr">
        <is>
          <t>tingkat ekstraksi minyak dan inti sawit masing-masing sebesar 20.3% dan 5.5%</t>
        </is>
      </c>
      <c r="J5279" t="inlineStr">
        <is>
          <t>High</t>
        </is>
      </c>
      <c r="M5279" t="inlineStr">
        <is>
          <t>LLM</t>
        </is>
      </c>
      <c r="N5279" t="inlineStr">
        <is>
          <t>2026-04-19</t>
        </is>
      </c>
      <c r="O5279" t="inlineStr">
        <is>
          <t>AI</t>
        </is>
      </c>
    </row>
    <row r="5280">
      <c r="A5280" t="inlineStr">
        <is>
          <t>PT Sinar Mas Agro Resources and Technology Tbk</t>
        </is>
      </c>
      <c r="B5280" t="inlineStr">
        <is>
          <t>SMAR_2024_AR.pdf</t>
        </is>
      </c>
      <c r="C5280" t="n">
        <v>2024</v>
      </c>
      <c r="D5280" t="inlineStr">
        <is>
          <t>Operation</t>
        </is>
      </c>
      <c r="E5280" t="inlineStr">
        <is>
          <t>KER (Kernel Extraction Rate)</t>
        </is>
      </c>
      <c r="F5280" t="n">
        <v>0.055</v>
      </c>
      <c r="G5280" t="inlineStr">
        <is>
          <t>%</t>
        </is>
      </c>
      <c r="H5280" t="n">
        <v>53</v>
      </c>
      <c r="I5280" t="inlineStr">
        <is>
          <t>tingkat ekstraksi minyak dan inti sawit masing-masing sebesar 20.3% dan 5.5%</t>
        </is>
      </c>
      <c r="J5280" t="inlineStr">
        <is>
          <t>High</t>
        </is>
      </c>
      <c r="M5280" t="inlineStr">
        <is>
          <t>LLM</t>
        </is>
      </c>
      <c r="N5280" t="inlineStr">
        <is>
          <t>2026-04-19</t>
        </is>
      </c>
      <c r="O5280" t="inlineStr">
        <is>
          <t>AI</t>
        </is>
      </c>
    </row>
    <row r="5281">
      <c r="A5281" t="inlineStr">
        <is>
          <t>PT Sinar Mas Agro Resources and Technology Tbk</t>
        </is>
      </c>
      <c r="B5281" t="inlineStr">
        <is>
          <t>SMAR_2024_AR.pdf</t>
        </is>
      </c>
      <c r="C5281" t="n">
        <v>2024</v>
      </c>
      <c r="D5281" t="inlineStr">
        <is>
          <t>Operation</t>
        </is>
      </c>
      <c r="E5281" t="inlineStr">
        <is>
          <t>Total Sales Volume</t>
        </is>
      </c>
      <c r="F5281" t="n">
        <v>5830000</v>
      </c>
      <c r="G5281" t="inlineStr">
        <is>
          <t>t</t>
        </is>
      </c>
      <c r="H5281" t="n">
        <v>54</v>
      </c>
      <c r="I5281" t="inlineStr">
        <is>
          <t>mencapai rekor tertinggi yaitu 5.83 juta ton</t>
        </is>
      </c>
      <c r="J5281" t="inlineStr">
        <is>
          <t>High</t>
        </is>
      </c>
      <c r="M5281" t="inlineStr">
        <is>
          <t>LLM</t>
        </is>
      </c>
      <c r="N5281" t="inlineStr">
        <is>
          <t>2026-04-19</t>
        </is>
      </c>
      <c r="O5281" t="inlineStr">
        <is>
          <t>AI</t>
        </is>
      </c>
    </row>
    <row r="5282">
      <c r="A5282" t="inlineStr">
        <is>
          <t>PT Sinar Mas Agro Resources and Technology Tbk</t>
        </is>
      </c>
      <c r="B5282" t="inlineStr">
        <is>
          <t>SMAR_2024_AR.pdf</t>
        </is>
      </c>
      <c r="C5282" t="n">
        <v>2024</v>
      </c>
      <c r="D5282" t="inlineStr">
        <is>
          <t>Operation</t>
        </is>
      </c>
      <c r="E5282" t="inlineStr">
        <is>
          <t>Biodiesel Sales</t>
        </is>
      </c>
      <c r="F5282" t="n">
        <v>938000</v>
      </c>
      <c r="G5282" t="inlineStr">
        <is>
          <t>t</t>
        </is>
      </c>
      <c r="H5282" t="n">
        <v>10</v>
      </c>
      <c r="I5282" t="inlineStr">
        <is>
          <t>Penjualan biodiesel 938 904 678 (000 tonnes)</t>
        </is>
      </c>
      <c r="J5282" t="inlineStr">
        <is>
          <t>High</t>
        </is>
      </c>
      <c r="M5282" t="inlineStr">
        <is>
          <t>LLM</t>
        </is>
      </c>
      <c r="N5282" t="inlineStr">
        <is>
          <t>2026-04-19</t>
        </is>
      </c>
      <c r="O5282" t="inlineStr">
        <is>
          <t>AI</t>
        </is>
      </c>
    </row>
    <row r="5283">
      <c r="A5283" t="inlineStr">
        <is>
          <t>PT Sinar Mas Agro Resources and Technology Tbk</t>
        </is>
      </c>
      <c r="B5283" t="inlineStr">
        <is>
          <t>SMAR_2024_AR.pdf</t>
        </is>
      </c>
      <c r="C5283" t="n">
        <v>2024</v>
      </c>
      <c r="D5283" t="inlineStr">
        <is>
          <t>Operation</t>
        </is>
      </c>
      <c r="E5283" t="inlineStr">
        <is>
          <t>Biodiesel Allocation 2024</t>
        </is>
      </c>
      <c r="F5283" t="n">
        <v>1070000</v>
      </c>
      <c r="G5283" t="inlineStr">
        <is>
          <t>kL</t>
        </is>
      </c>
      <c r="H5283" t="n">
        <v>54</v>
      </c>
      <c r="I5283" t="inlineStr">
        <is>
          <t>volume allocation of 1.07 million kilolitres to fulfil the Indonesian B35</t>
        </is>
      </c>
      <c r="J5283" t="inlineStr">
        <is>
          <t>High</t>
        </is>
      </c>
      <c r="M5283" t="inlineStr">
        <is>
          <t>LLM</t>
        </is>
      </c>
      <c r="N5283" t="inlineStr">
        <is>
          <t>2026-04-19</t>
        </is>
      </c>
      <c r="O5283" t="inlineStr">
        <is>
          <t>AI</t>
        </is>
      </c>
    </row>
    <row r="5284">
      <c r="A5284" t="inlineStr">
        <is>
          <t>PT Sinar Mas Agro Resources and Technology Tbk</t>
        </is>
      </c>
      <c r="B5284" t="inlineStr">
        <is>
          <t>SMAR_2024_AR.pdf</t>
        </is>
      </c>
      <c r="C5284" t="n">
        <v>2024</v>
      </c>
      <c r="D5284" t="inlineStr">
        <is>
          <t>Operation</t>
        </is>
      </c>
      <c r="E5284" t="inlineStr">
        <is>
          <t>Biodiesel Allocation 2025</t>
        </is>
      </c>
      <c r="F5284" t="n">
        <v>1330000</v>
      </c>
      <c r="G5284" t="inlineStr">
        <is>
          <t>kL</t>
        </is>
      </c>
      <c r="H5284" t="n">
        <v>54</v>
      </c>
      <c r="I5284" t="inlineStr">
        <is>
          <t>25% higher volume allocation of 1.33 million kilolitres</t>
        </is>
      </c>
      <c r="J5284" t="inlineStr">
        <is>
          <t>High</t>
        </is>
      </c>
      <c r="M5284" t="inlineStr">
        <is>
          <t>LLM</t>
        </is>
      </c>
      <c r="N5284" t="inlineStr">
        <is>
          <t>2026-04-19</t>
        </is>
      </c>
      <c r="O5284" t="inlineStr">
        <is>
          <t>AI</t>
        </is>
      </c>
    </row>
    <row r="5285">
      <c r="A5285" t="inlineStr">
        <is>
          <t>PT Sinar Mas Agro Resources and Technology Tbk</t>
        </is>
      </c>
      <c r="B5285" t="inlineStr">
        <is>
          <t>SMAR_2024_AR.pdf</t>
        </is>
      </c>
      <c r="C5285" t="n">
        <v>2024</v>
      </c>
      <c r="D5285" t="inlineStr">
        <is>
          <t>Operation</t>
        </is>
      </c>
      <c r="E5285" t="inlineStr">
        <is>
          <t>Avg CPO Price (FOB Belawan)</t>
        </is>
      </c>
      <c r="F5285" t="n">
        <v>1005</v>
      </c>
      <c r="G5285" t="inlineStr">
        <is>
          <t>USD/t</t>
        </is>
      </c>
      <c r="H5285" t="n">
        <v>8</v>
      </c>
      <c r="I5285" t="inlineStr">
        <is>
          <t>Harga rata-rata CPO - FOB Belawan 1,005 901 1,248</t>
        </is>
      </c>
      <c r="J5285" t="inlineStr">
        <is>
          <t>High</t>
        </is>
      </c>
      <c r="M5285" t="inlineStr">
        <is>
          <t>LLM</t>
        </is>
      </c>
      <c r="N5285" t="inlineStr">
        <is>
          <t>2026-04-19</t>
        </is>
      </c>
      <c r="O5285" t="inlineStr">
        <is>
          <t>AI</t>
        </is>
      </c>
    </row>
    <row r="5286">
      <c r="A5286" t="inlineStr">
        <is>
          <t>PT Sinar Mas Agro Resources and Technology Tbk</t>
        </is>
      </c>
      <c r="B5286" t="inlineStr">
        <is>
          <t>SMAR_2024_AR.pdf</t>
        </is>
      </c>
      <c r="C5286" t="n">
        <v>2024</v>
      </c>
      <c r="D5286" t="inlineStr">
        <is>
          <t>Operation</t>
        </is>
      </c>
      <c r="E5286" t="inlineStr">
        <is>
          <t>FFB from RSPO Estates</t>
        </is>
      </c>
      <c r="F5286" t="n">
        <v>1650000</v>
      </c>
      <c r="G5286" t="inlineStr">
        <is>
          <t>t</t>
        </is>
      </c>
      <c r="H5286" t="n">
        <v>10</v>
      </c>
      <c r="I5286" t="inlineStr">
        <is>
          <t>Kebun bersertifikasi RSPO 1,650 1,726 1,696 (000 tonnes)</t>
        </is>
      </c>
      <c r="J5286" t="inlineStr">
        <is>
          <t>High</t>
        </is>
      </c>
      <c r="M5286" t="inlineStr">
        <is>
          <t>LLM</t>
        </is>
      </c>
      <c r="N5286" t="inlineStr">
        <is>
          <t>2026-04-19</t>
        </is>
      </c>
      <c r="O5286" t="inlineStr">
        <is>
          <t>AI</t>
        </is>
      </c>
    </row>
    <row r="5287">
      <c r="A5287" t="inlineStr">
        <is>
          <t>PT Sinar Mas Agro Resources and Technology Tbk</t>
        </is>
      </c>
      <c r="B5287" t="inlineStr">
        <is>
          <t>SMAR_2024_AR.pdf</t>
        </is>
      </c>
      <c r="C5287" t="n">
        <v>2024</v>
      </c>
      <c r="D5287" t="inlineStr">
        <is>
          <t>Operation</t>
        </is>
      </c>
      <c r="E5287" t="inlineStr">
        <is>
          <t>FFB from ISPO Estates</t>
        </is>
      </c>
      <c r="F5287" t="n">
        <v>1636000</v>
      </c>
      <c r="G5287" t="inlineStr">
        <is>
          <t>t</t>
        </is>
      </c>
      <c r="H5287" t="n">
        <v>10</v>
      </c>
      <c r="I5287" t="inlineStr">
        <is>
          <t>Kebun bersertifikasi ISPO 1,636 1,614 1,643 (000 tonnes)</t>
        </is>
      </c>
      <c r="J5287" t="inlineStr">
        <is>
          <t>High</t>
        </is>
      </c>
      <c r="M5287" t="inlineStr">
        <is>
          <t>LLM</t>
        </is>
      </c>
      <c r="N5287" t="inlineStr">
        <is>
          <t>2026-04-19</t>
        </is>
      </c>
      <c r="O5287" t="inlineStr">
        <is>
          <t>AI</t>
        </is>
      </c>
    </row>
    <row r="5288">
      <c r="A5288" t="inlineStr">
        <is>
          <t>PT Sinar Mas Agro Resources and Technology Tbk</t>
        </is>
      </c>
      <c r="B5288" t="inlineStr">
        <is>
          <t>SMAR_2024_AR.pdf</t>
        </is>
      </c>
      <c r="C5288" t="n">
        <v>2024</v>
      </c>
      <c r="D5288" t="inlineStr">
        <is>
          <t>Operation</t>
        </is>
      </c>
      <c r="E5288" t="inlineStr">
        <is>
          <t>Refinery Utilisation</t>
        </is>
      </c>
      <c r="F5288" t="n">
        <v>1</v>
      </c>
      <c r="G5288" t="inlineStr">
        <is>
          <t>%</t>
        </is>
      </c>
      <c r="H5288" t="n">
        <v>54</v>
      </c>
      <c r="I5288" t="inlineStr">
        <is>
          <t>pabrik rafinasi kami beroperasi penuh</t>
        </is>
      </c>
      <c r="J5288" t="inlineStr">
        <is>
          <t>High</t>
        </is>
      </c>
      <c r="M5288" t="inlineStr">
        <is>
          <t>LLM</t>
        </is>
      </c>
      <c r="N5288" t="inlineStr">
        <is>
          <t>2026-04-19</t>
        </is>
      </c>
      <c r="O5288" t="inlineStr">
        <is>
          <t>AI</t>
        </is>
      </c>
    </row>
    <row r="5289">
      <c r="A5289" t="inlineStr">
        <is>
          <t>PT Sinar Mas Agro Resources and Technology Tbk</t>
        </is>
      </c>
      <c r="B5289" t="inlineStr">
        <is>
          <t>SMAR_2024_AR.pdf</t>
        </is>
      </c>
      <c r="C5289" t="n">
        <v>2024</v>
      </c>
      <c r="D5289" t="inlineStr">
        <is>
          <t>Operation</t>
        </is>
      </c>
      <c r="E5289" t="inlineStr">
        <is>
          <t>Kernel Crushing Utilisation</t>
        </is>
      </c>
      <c r="F5289" t="n">
        <v>0.8</v>
      </c>
      <c r="G5289" t="inlineStr">
        <is>
          <t>%</t>
        </is>
      </c>
      <c r="H5289" t="n">
        <v>54</v>
      </c>
      <c r="I5289" t="inlineStr">
        <is>
          <t>pabrik pengolahan inti sawit dan biodiesel beroperasi dengan tingkat utilisasi masing-masing sebesar 80% dan 92%</t>
        </is>
      </c>
      <c r="J5289" t="inlineStr">
        <is>
          <t>High</t>
        </is>
      </c>
      <c r="M5289" t="inlineStr">
        <is>
          <t>LLM</t>
        </is>
      </c>
      <c r="N5289" t="inlineStr">
        <is>
          <t>2026-04-19</t>
        </is>
      </c>
      <c r="O5289" t="inlineStr">
        <is>
          <t>AI</t>
        </is>
      </c>
    </row>
    <row r="5290">
      <c r="A5290" t="inlineStr">
        <is>
          <t>PT Sinar Mas Agro Resources and Technology Tbk</t>
        </is>
      </c>
      <c r="B5290" t="inlineStr">
        <is>
          <t>SMAR_2024_AR.pdf</t>
        </is>
      </c>
      <c r="C5290" t="n">
        <v>2024</v>
      </c>
      <c r="D5290" t="inlineStr">
        <is>
          <t>Operation</t>
        </is>
      </c>
      <c r="E5290" t="inlineStr">
        <is>
          <t>Biodiesel Utilisation</t>
        </is>
      </c>
      <c r="F5290" t="n">
        <v>0.92</v>
      </c>
      <c r="G5290" t="inlineStr">
        <is>
          <t>%</t>
        </is>
      </c>
      <c r="H5290" t="n">
        <v>54</v>
      </c>
      <c r="I5290" t="inlineStr">
        <is>
          <t>80% dan 92%</t>
        </is>
      </c>
      <c r="J5290" t="inlineStr">
        <is>
          <t>High</t>
        </is>
      </c>
      <c r="M5290" t="inlineStr">
        <is>
          <t>LLM</t>
        </is>
      </c>
      <c r="N5290" t="inlineStr">
        <is>
          <t>2026-04-19</t>
        </is>
      </c>
      <c r="O5290" t="inlineStr">
        <is>
          <t>AI</t>
        </is>
      </c>
    </row>
    <row r="5291">
      <c r="A5291" t="inlineStr">
        <is>
          <t>PT Sinar Mas Agro Resources and Technology Tbk</t>
        </is>
      </c>
      <c r="B5291" t="inlineStr">
        <is>
          <t>SMAR_2024_AR.pdf</t>
        </is>
      </c>
      <c r="C5291" t="n">
        <v>2024</v>
      </c>
      <c r="D5291" t="inlineStr">
        <is>
          <t>Operation</t>
        </is>
      </c>
      <c r="E5291" t="inlineStr">
        <is>
          <t>Sales to Golden Agri International</t>
        </is>
      </c>
      <c r="F5291" t="n">
        <v>24010</v>
      </c>
      <c r="G5291" t="inlineStr">
        <is>
          <t>IDR bn</t>
        </is>
      </c>
      <c r="H5291" t="n">
        <v>65</v>
      </c>
      <c r="I5291" t="inlineStr">
        <is>
          <t>Penjualan produk sawit dan turunannya kepada Golden Agri International Pte. Ltd. sebesar Rp 24.01 triliun</t>
        </is>
      </c>
      <c r="J5291" t="inlineStr">
        <is>
          <t>High</t>
        </is>
      </c>
      <c r="M5291" t="inlineStr">
        <is>
          <t>LLM</t>
        </is>
      </c>
      <c r="N5291" t="inlineStr">
        <is>
          <t>2026-04-19</t>
        </is>
      </c>
      <c r="O5291" t="inlineStr">
        <is>
          <t>AI</t>
        </is>
      </c>
    </row>
    <row r="5292">
      <c r="A5292" t="inlineStr">
        <is>
          <t>PT Sinar Mas Agro Resources and Technology Tbk</t>
        </is>
      </c>
      <c r="B5292" t="inlineStr">
        <is>
          <t>SMAR_2024_AR.pdf</t>
        </is>
      </c>
      <c r="C5292" t="n">
        <v>2024</v>
      </c>
      <c r="D5292" t="inlineStr">
        <is>
          <t>Operation</t>
        </is>
      </c>
      <c r="E5292" t="inlineStr">
        <is>
          <t>Sales to Sumber Indahperkasa</t>
        </is>
      </c>
      <c r="F5292" t="n">
        <v>7190</v>
      </c>
      <c r="G5292" t="inlineStr">
        <is>
          <t>IDR bn</t>
        </is>
      </c>
      <c r="H5292" t="n">
        <v>65</v>
      </c>
      <c r="I5292" t="inlineStr">
        <is>
          <t>PT Sumber Indahperkasa ... Rp 7.19 triliun</t>
        </is>
      </c>
      <c r="J5292" t="inlineStr">
        <is>
          <t>High</t>
        </is>
      </c>
      <c r="M5292" t="inlineStr">
        <is>
          <t>LLM</t>
        </is>
      </c>
      <c r="N5292" t="inlineStr">
        <is>
          <t>2026-04-19</t>
        </is>
      </c>
      <c r="O5292" t="inlineStr">
        <is>
          <t>AI</t>
        </is>
      </c>
    </row>
    <row r="5293">
      <c r="A5293" t="inlineStr">
        <is>
          <t>PT Sinar Mas Agro Resources and Technology Tbk</t>
        </is>
      </c>
      <c r="B5293" t="inlineStr">
        <is>
          <t>SMAR_2024_AR.pdf</t>
        </is>
      </c>
      <c r="C5293" t="n">
        <v>2024</v>
      </c>
      <c r="D5293" t="inlineStr">
        <is>
          <t>Operation</t>
        </is>
      </c>
      <c r="E5293" t="inlineStr">
        <is>
          <t>Sales to Ivo Mas Tunggal</t>
        </is>
      </c>
      <c r="F5293" t="n">
        <v>7090</v>
      </c>
      <c r="G5293" t="inlineStr">
        <is>
          <t>IDR bn</t>
        </is>
      </c>
      <c r="H5293" t="n">
        <v>65</v>
      </c>
      <c r="I5293" t="inlineStr">
        <is>
          <t>PT Ivo Mas Tunggal ... Rp 7.09 triliun</t>
        </is>
      </c>
      <c r="J5293" t="inlineStr">
        <is>
          <t>High</t>
        </is>
      </c>
      <c r="M5293" t="inlineStr">
        <is>
          <t>LLM</t>
        </is>
      </c>
      <c r="N5293" t="inlineStr">
        <is>
          <t>2026-04-19</t>
        </is>
      </c>
      <c r="O5293" t="inlineStr">
        <is>
          <t>AI</t>
        </is>
      </c>
    </row>
    <row r="5294">
      <c r="A5294" t="inlineStr">
        <is>
          <t>PT Sinar Mas Agro Resources and Technology Tbk</t>
        </is>
      </c>
      <c r="B5294" t="inlineStr">
        <is>
          <t>SMAR_2024_AR.pdf</t>
        </is>
      </c>
      <c r="C5294" t="n">
        <v>2024</v>
      </c>
      <c r="D5294" t="inlineStr">
        <is>
          <t>ESG</t>
        </is>
      </c>
      <c r="E5294" t="inlineStr">
        <is>
          <t>Traceability to Plantation (TTP)</t>
        </is>
      </c>
      <c r="F5294" t="n">
        <v>0.995</v>
      </c>
      <c r="G5294" t="inlineStr">
        <is>
          <t>%</t>
        </is>
      </c>
      <c r="H5294" t="n">
        <v>10</v>
      </c>
      <c r="I5294" t="inlineStr">
        <is>
          <t>Kemamputelusuran rantai pasok hingga ke perkebunan (TTP) 99.5 99.2 98.0</t>
        </is>
      </c>
      <c r="J5294" t="inlineStr">
        <is>
          <t>High</t>
        </is>
      </c>
      <c r="M5294" t="inlineStr">
        <is>
          <t>LLM</t>
        </is>
      </c>
      <c r="N5294" t="inlineStr">
        <is>
          <t>2026-04-19</t>
        </is>
      </c>
      <c r="O5294" t="inlineStr">
        <is>
          <t>AI</t>
        </is>
      </c>
    </row>
    <row r="5295">
      <c r="A5295" t="inlineStr">
        <is>
          <t>PT Sinar Mas Agro Resources and Technology Tbk</t>
        </is>
      </c>
      <c r="B5295" t="inlineStr">
        <is>
          <t>SMAR_2024_AR.pdf</t>
        </is>
      </c>
      <c r="C5295" t="n">
        <v>2024</v>
      </c>
      <c r="D5295" t="inlineStr">
        <is>
          <t>ESG</t>
        </is>
      </c>
      <c r="E5295" t="inlineStr">
        <is>
          <t>HCV/HCS Area Conserved</t>
        </is>
      </c>
      <c r="F5295" t="n">
        <v>9300</v>
      </c>
      <c r="G5295" t="inlineStr">
        <is>
          <t>ha</t>
        </is>
      </c>
      <c r="H5295" t="n">
        <v>10</v>
      </c>
      <c r="I5295" t="inlineStr">
        <is>
          <t>Identifikasi dan konservasi area NKT &amp; SKT hektar 9,300</t>
        </is>
      </c>
      <c r="J5295" t="inlineStr">
        <is>
          <t>High</t>
        </is>
      </c>
      <c r="M5295" t="inlineStr">
        <is>
          <t>LLM</t>
        </is>
      </c>
      <c r="N5295" t="inlineStr">
        <is>
          <t>2026-04-19</t>
        </is>
      </c>
      <c r="O5295" t="inlineStr">
        <is>
          <t>AI</t>
        </is>
      </c>
    </row>
    <row r="5296">
      <c r="A5296" t="inlineStr">
        <is>
          <t>PT Sinar Mas Agro Resources and Technology Tbk</t>
        </is>
      </c>
      <c r="B5296" t="inlineStr">
        <is>
          <t>SMAR_2024_AR.pdf</t>
        </is>
      </c>
      <c r="C5296" t="n">
        <v>2024</v>
      </c>
      <c r="D5296" t="inlineStr">
        <is>
          <t>ESG</t>
        </is>
      </c>
      <c r="E5296" t="inlineStr">
        <is>
          <t>Conserved Forest w/ Community</t>
        </is>
      </c>
      <c r="F5296" t="n">
        <v>43000</v>
      </c>
      <c r="G5296" t="inlineStr">
        <is>
          <t>ha</t>
        </is>
      </c>
      <c r="H5296" t="n">
        <v>10</v>
      </c>
      <c r="I5296" t="inlineStr">
        <is>
          <t>Pelestarian hutan bekerja sama dengan masyarakat setempat hektar 43,000</t>
        </is>
      </c>
      <c r="J5296" t="inlineStr">
        <is>
          <t>High</t>
        </is>
      </c>
      <c r="M5296" t="inlineStr">
        <is>
          <t>LLM</t>
        </is>
      </c>
      <c r="N5296" t="inlineStr">
        <is>
          <t>2026-04-19</t>
        </is>
      </c>
      <c r="O5296" t="inlineStr">
        <is>
          <t>AI</t>
        </is>
      </c>
    </row>
    <row r="5297">
      <c r="A5297" t="inlineStr">
        <is>
          <t>PT Sinar Mas Agro Resources and Technology Tbk</t>
        </is>
      </c>
      <c r="B5297" t="inlineStr">
        <is>
          <t>SMAR_2024_AR.pdf</t>
        </is>
      </c>
      <c r="C5297" t="n">
        <v>2024</v>
      </c>
      <c r="D5297" t="inlineStr">
        <is>
          <t>ESG</t>
        </is>
      </c>
      <c r="E5297" t="inlineStr">
        <is>
          <t>Water Consumption</t>
        </is>
      </c>
      <c r="F5297" t="n">
        <v>9700890</v>
      </c>
      <c r="G5297" t="inlineStr">
        <is>
          <t>m3</t>
        </is>
      </c>
      <c r="H5297" t="n">
        <v>10</v>
      </c>
      <c r="I5297" t="inlineStr">
        <is>
          <t>Konsumsi air m3 9,700,890</t>
        </is>
      </c>
      <c r="J5297" t="inlineStr">
        <is>
          <t>High</t>
        </is>
      </c>
      <c r="M5297" t="inlineStr">
        <is>
          <t>LLM</t>
        </is>
      </c>
      <c r="N5297" t="inlineStr">
        <is>
          <t>2026-04-19</t>
        </is>
      </c>
      <c r="O5297" t="inlineStr">
        <is>
          <t>AI</t>
        </is>
      </c>
    </row>
    <row r="5298">
      <c r="A5298" t="inlineStr">
        <is>
          <t>PT Sinar Mas Agro Resources and Technology Tbk</t>
        </is>
      </c>
      <c r="B5298" t="inlineStr">
        <is>
          <t>SMAR_2024_AR.pdf</t>
        </is>
      </c>
      <c r="C5298" t="n">
        <v>2024</v>
      </c>
      <c r="D5298" t="inlineStr">
        <is>
          <t>ESG</t>
        </is>
      </c>
      <c r="E5298" t="inlineStr">
        <is>
          <t>Scope 1 GHG (Non-FLAG)</t>
        </is>
      </c>
      <c r="F5298" t="n">
        <v>785953</v>
      </c>
      <c r="G5298" t="inlineStr">
        <is>
          <t>tCO2eq</t>
        </is>
      </c>
      <c r="H5298" t="n">
        <v>10</v>
      </c>
      <c r="I5298" t="inlineStr">
        <is>
          <t>Cakupan 1 (Non-FLAG) tCOeq 785,953</t>
        </is>
      </c>
      <c r="J5298" t="inlineStr">
        <is>
          <t>High</t>
        </is>
      </c>
      <c r="M5298" t="inlineStr">
        <is>
          <t>LLM</t>
        </is>
      </c>
      <c r="N5298" t="inlineStr">
        <is>
          <t>2026-04-19</t>
        </is>
      </c>
      <c r="O5298" t="inlineStr">
        <is>
          <t>AI</t>
        </is>
      </c>
    </row>
    <row r="5299">
      <c r="A5299" t="inlineStr">
        <is>
          <t>PT Sinar Mas Agro Resources and Technology Tbk</t>
        </is>
      </c>
      <c r="B5299" t="inlineStr">
        <is>
          <t>SMAR_2024_AR.pdf</t>
        </is>
      </c>
      <c r="C5299" t="n">
        <v>2024</v>
      </c>
      <c r="D5299" t="inlineStr">
        <is>
          <t>ESG</t>
        </is>
      </c>
      <c r="E5299" t="inlineStr">
        <is>
          <t>Independent Smallholders TTP</t>
        </is>
      </c>
      <c r="F5299" t="n">
        <v>9945</v>
      </c>
      <c r="G5299" t="inlineStr">
        <is>
          <t>people</t>
        </is>
      </c>
      <c r="H5299" t="n">
        <v>10</v>
      </c>
      <c r="I5299" t="inlineStr">
        <is>
          <t>Jumlah petani swadaya dalam program TTP Sawit Terampil 9,945</t>
        </is>
      </c>
      <c r="J5299" t="inlineStr">
        <is>
          <t>High</t>
        </is>
      </c>
      <c r="M5299" t="inlineStr">
        <is>
          <t>LLM</t>
        </is>
      </c>
      <c r="N5299" t="inlineStr">
        <is>
          <t>2026-04-19</t>
        </is>
      </c>
      <c r="O5299" t="inlineStr">
        <is>
          <t>AI</t>
        </is>
      </c>
    </row>
    <row r="5300">
      <c r="A5300" t="inlineStr">
        <is>
          <t>PT Sinar Mas Agro Resources and Technology Tbk</t>
        </is>
      </c>
      <c r="B5300" t="inlineStr">
        <is>
          <t>SMAR_2024_AR.pdf</t>
        </is>
      </c>
      <c r="C5300" t="n">
        <v>2024</v>
      </c>
      <c r="D5300" t="inlineStr">
        <is>
          <t>Other</t>
        </is>
      </c>
      <c r="E5300" t="inlineStr">
        <is>
          <t>Outstanding SMART Bonds (Public Offering)</t>
        </is>
      </c>
      <c r="F5300" t="inlineStr">
        <is>
          <t>Shelf-Registered Bond II-IV</t>
        </is>
      </c>
      <c r="G5300" t="inlineStr">
        <is>
          <t>text</t>
        </is>
      </c>
      <c r="H5300" t="n">
        <v>155</v>
      </c>
      <c r="I5300" t="inlineStr">
        <is>
          <t>Obligasi Berkelanjutan II/III/IV SMART issued 2020-2022</t>
        </is>
      </c>
      <c r="J5300" t="inlineStr">
        <is>
          <t>High</t>
        </is>
      </c>
      <c r="M5300" t="inlineStr">
        <is>
          <t>LLM</t>
        </is>
      </c>
      <c r="N5300" t="inlineStr">
        <is>
          <t>2026-04-19</t>
        </is>
      </c>
      <c r="O5300" t="inlineStr">
        <is>
          <t>AI</t>
        </is>
      </c>
    </row>
    <row r="5301">
      <c r="A5301" t="inlineStr">
        <is>
          <t>PT Sawit Sumbermas Sarana Tbk</t>
        </is>
      </c>
      <c r="B5301" t="inlineStr">
        <is>
          <t>SSMS_2023_AR.pdf</t>
        </is>
      </c>
      <c r="C5301" t="n">
        <v>2023</v>
      </c>
      <c r="D5301" t="inlineStr">
        <is>
          <t>Company</t>
        </is>
      </c>
      <c r="E5301" t="inlineStr">
        <is>
          <t>Company Name</t>
        </is>
      </c>
      <c r="F5301" t="inlineStr">
        <is>
          <t>PT Sawit Sumbermas Sarana Tbk</t>
        </is>
      </c>
      <c r="G5301" t="inlineStr">
        <is>
          <t>text</t>
        </is>
      </c>
      <c r="H5301" t="n">
        <v>1</v>
      </c>
      <c r="I5301" t="inlineStr">
        <is>
          <t>PT SAWIT SUMBERMAS SARANA TBK. Laporan Tahunan 2023</t>
        </is>
      </c>
      <c r="J5301" t="inlineStr">
        <is>
          <t>High</t>
        </is>
      </c>
      <c r="M5301" t="inlineStr">
        <is>
          <t>LLM</t>
        </is>
      </c>
      <c r="N5301" t="inlineStr">
        <is>
          <t>2026-04-19</t>
        </is>
      </c>
      <c r="O5301" t="inlineStr">
        <is>
          <t>AI</t>
        </is>
      </c>
    </row>
    <row r="5302">
      <c r="A5302" t="inlineStr">
        <is>
          <t>PT Sawit Sumbermas Sarana Tbk</t>
        </is>
      </c>
      <c r="B5302" t="inlineStr">
        <is>
          <t>SSMS_2023_AR.pdf</t>
        </is>
      </c>
      <c r="C5302" t="n">
        <v>2023</v>
      </c>
      <c r="D5302" t="inlineStr">
        <is>
          <t>Company</t>
        </is>
      </c>
      <c r="E5302" t="inlineStr">
        <is>
          <t>Head Office</t>
        </is>
      </c>
      <c r="F5302" t="inlineStr">
        <is>
          <t>Pangkalan Bun, Central Kalimantan</t>
        </is>
      </c>
      <c r="G5302" t="inlineStr">
        <is>
          <t>text</t>
        </is>
      </c>
      <c r="H5302" t="n">
        <v>67</v>
      </c>
      <c r="I5302" t="inlineStr">
        <is>
          <t>Pangkalan Bun, Kalimantan Tengah 74113</t>
        </is>
      </c>
      <c r="J5302" t="inlineStr">
        <is>
          <t>High</t>
        </is>
      </c>
      <c r="M5302" t="inlineStr">
        <is>
          <t>LLM</t>
        </is>
      </c>
      <c r="N5302" t="inlineStr">
        <is>
          <t>2026-04-19</t>
        </is>
      </c>
      <c r="O5302" t="inlineStr">
        <is>
          <t>AI</t>
        </is>
      </c>
    </row>
    <row r="5303">
      <c r="A5303" t="inlineStr">
        <is>
          <t>PT Sawit Sumbermas Sarana Tbk</t>
        </is>
      </c>
      <c r="B5303" t="inlineStr">
        <is>
          <t>SSMS_2023_AR.pdf</t>
        </is>
      </c>
      <c r="C5303" t="n">
        <v>2023</v>
      </c>
      <c r="D5303" t="inlineStr">
        <is>
          <t>Company</t>
        </is>
      </c>
      <c r="E5303" t="inlineStr">
        <is>
          <t>Controlling Shareholder</t>
        </is>
      </c>
      <c r="F5303" t="inlineStr">
        <is>
          <t>PT Citra Borneo Indah 61.24%</t>
        </is>
      </c>
      <c r="G5303" t="inlineStr">
        <is>
          <t>%</t>
        </is>
      </c>
      <c r="H5303" t="n">
        <v>100</v>
      </c>
      <c r="I5303" t="inlineStr">
        <is>
          <t>PT Citra Borneo Indah 5.833.317.100 61,24%</t>
        </is>
      </c>
      <c r="J5303" t="inlineStr">
        <is>
          <t>High</t>
        </is>
      </c>
      <c r="M5303" t="inlineStr">
        <is>
          <t>LLM</t>
        </is>
      </c>
      <c r="N5303" t="inlineStr">
        <is>
          <t>2026-04-19</t>
        </is>
      </c>
      <c r="O5303" t="inlineStr">
        <is>
          <t>AI</t>
        </is>
      </c>
    </row>
    <row r="5304">
      <c r="A5304" t="inlineStr">
        <is>
          <t>PT Sawit Sumbermas Sarana Tbk</t>
        </is>
      </c>
      <c r="B5304" t="inlineStr">
        <is>
          <t>SSMS_2023_AR.pdf</t>
        </is>
      </c>
      <c r="C5304" t="n">
        <v>2023</v>
      </c>
      <c r="D5304" t="inlineStr">
        <is>
          <t>Company</t>
        </is>
      </c>
      <c r="E5304" t="inlineStr">
        <is>
          <t>Second Shareholder</t>
        </is>
      </c>
      <c r="F5304" t="inlineStr">
        <is>
          <t>PT Putra Borneo Agro Lestari 9.16%</t>
        </is>
      </c>
      <c r="G5304" t="inlineStr">
        <is>
          <t>%</t>
        </is>
      </c>
      <c r="H5304" t="n">
        <v>100</v>
      </c>
      <c r="I5304" t="inlineStr">
        <is>
          <t>PT Putra Borneo Agro Lestari 915.499.308 9,16</t>
        </is>
      </c>
      <c r="J5304" t="inlineStr">
        <is>
          <t>High</t>
        </is>
      </c>
      <c r="M5304" t="inlineStr">
        <is>
          <t>LLM</t>
        </is>
      </c>
      <c r="N5304" t="inlineStr">
        <is>
          <t>2026-04-19</t>
        </is>
      </c>
      <c r="O5304" t="inlineStr">
        <is>
          <t>AI</t>
        </is>
      </c>
    </row>
    <row r="5305">
      <c r="A5305" t="inlineStr">
        <is>
          <t>PT Sawit Sumbermas Sarana Tbk</t>
        </is>
      </c>
      <c r="B5305" t="inlineStr">
        <is>
          <t>SSMS_2023_AR.pdf</t>
        </is>
      </c>
      <c r="C5305" t="n">
        <v>2023</v>
      </c>
      <c r="D5305" t="inlineStr">
        <is>
          <t>Company</t>
        </is>
      </c>
      <c r="E5305" t="inlineStr">
        <is>
          <t>Public Float</t>
        </is>
      </c>
      <c r="F5305" t="n">
        <v>0.2915</v>
      </c>
      <c r="G5305" t="inlineStr">
        <is>
          <t>%</t>
        </is>
      </c>
      <c r="H5305" t="n">
        <v>100</v>
      </c>
      <c r="I5305" t="inlineStr">
        <is>
          <t>Masyarakat 2.776.183.592 29,15</t>
        </is>
      </c>
      <c r="J5305" t="inlineStr">
        <is>
          <t>High</t>
        </is>
      </c>
      <c r="M5305" t="inlineStr">
        <is>
          <t>LLM</t>
        </is>
      </c>
      <c r="N5305" t="inlineStr">
        <is>
          <t>2026-04-19</t>
        </is>
      </c>
      <c r="O5305" t="inlineStr">
        <is>
          <t>AI</t>
        </is>
      </c>
    </row>
    <row r="5306">
      <c r="A5306" t="inlineStr">
        <is>
          <t>PT Sawit Sumbermas Sarana Tbk</t>
        </is>
      </c>
      <c r="B5306" t="inlineStr">
        <is>
          <t>SSMS_2023_AR.pdf</t>
        </is>
      </c>
      <c r="C5306" t="n">
        <v>2023</v>
      </c>
      <c r="D5306" t="inlineStr">
        <is>
          <t>Company</t>
        </is>
      </c>
      <c r="E5306" t="inlineStr">
        <is>
          <t>Shares Outstanding</t>
        </is>
      </c>
      <c r="F5306" t="n">
        <v>9525</v>
      </c>
      <c r="G5306" t="inlineStr">
        <is>
          <t>mn</t>
        </is>
      </c>
      <c r="H5306" t="n">
        <v>100</v>
      </c>
      <c r="I5306" t="inlineStr">
        <is>
          <t>9.525.000.000 100,00%</t>
        </is>
      </c>
      <c r="J5306" t="inlineStr">
        <is>
          <t>High</t>
        </is>
      </c>
      <c r="M5306" t="inlineStr">
        <is>
          <t>LLM</t>
        </is>
      </c>
      <c r="N5306" t="inlineStr">
        <is>
          <t>2026-04-19</t>
        </is>
      </c>
      <c r="O5306" t="inlineStr">
        <is>
          <t>AI</t>
        </is>
      </c>
    </row>
    <row r="5307">
      <c r="A5307" t="inlineStr">
        <is>
          <t>PT Sawit Sumbermas Sarana Tbk</t>
        </is>
      </c>
      <c r="B5307" t="inlineStr">
        <is>
          <t>SSMS_2023_AR.pdf</t>
        </is>
      </c>
      <c r="C5307" t="n">
        <v>2023</v>
      </c>
      <c r="D5307" t="inlineStr">
        <is>
          <t>Financial</t>
        </is>
      </c>
      <c r="E5307" t="inlineStr">
        <is>
          <t>Revenue</t>
        </is>
      </c>
      <c r="F5307" t="n">
        <v>10703</v>
      </c>
      <c r="G5307" t="inlineStr">
        <is>
          <t>IDR bn</t>
        </is>
      </c>
      <c r="H5307" t="n">
        <v>16</v>
      </c>
      <c r="I5307" t="inlineStr">
        <is>
          <t>Pendapatan dari kontrak dengan pelanggan 10.703 11.240 9.264</t>
        </is>
      </c>
      <c r="J5307" t="inlineStr">
        <is>
          <t>High</t>
        </is>
      </c>
      <c r="M5307" t="inlineStr">
        <is>
          <t>LLM</t>
        </is>
      </c>
      <c r="N5307" t="inlineStr">
        <is>
          <t>2026-04-19</t>
        </is>
      </c>
      <c r="O5307" t="inlineStr">
        <is>
          <t>AI</t>
        </is>
      </c>
    </row>
    <row r="5308">
      <c r="A5308" t="inlineStr">
        <is>
          <t>PT Sawit Sumbermas Sarana Tbk</t>
        </is>
      </c>
      <c r="B5308" t="inlineStr">
        <is>
          <t>SSMS_2023_AR.pdf</t>
        </is>
      </c>
      <c r="C5308" t="n">
        <v>2023</v>
      </c>
      <c r="D5308" t="inlineStr">
        <is>
          <t>Financial</t>
        </is>
      </c>
      <c r="E5308" t="inlineStr">
        <is>
          <t>Cost of Sales</t>
        </is>
      </c>
      <c r="F5308" t="n">
        <v>7904</v>
      </c>
      <c r="G5308" t="inlineStr">
        <is>
          <t>IDR bn</t>
        </is>
      </c>
      <c r="H5308" t="n">
        <v>16</v>
      </c>
      <c r="I5308" t="inlineStr">
        <is>
          <t>Beban Pokok Penjualan 7.904 6.936 5.199</t>
        </is>
      </c>
      <c r="J5308" t="inlineStr">
        <is>
          <t>High</t>
        </is>
      </c>
      <c r="M5308" t="inlineStr">
        <is>
          <t>LLM</t>
        </is>
      </c>
      <c r="N5308" t="inlineStr">
        <is>
          <t>2026-04-19</t>
        </is>
      </c>
      <c r="O5308" t="inlineStr">
        <is>
          <t>AI</t>
        </is>
      </c>
    </row>
    <row r="5309">
      <c r="A5309" t="inlineStr">
        <is>
          <t>PT Sawit Sumbermas Sarana Tbk</t>
        </is>
      </c>
      <c r="B5309" t="inlineStr">
        <is>
          <t>SSMS_2023_AR.pdf</t>
        </is>
      </c>
      <c r="C5309" t="n">
        <v>2023</v>
      </c>
      <c r="D5309" t="inlineStr">
        <is>
          <t>Financial</t>
        </is>
      </c>
      <c r="E5309" t="inlineStr">
        <is>
          <t>Gross Profit</t>
        </is>
      </c>
      <c r="F5309" t="n">
        <v>2799</v>
      </c>
      <c r="G5309" t="inlineStr">
        <is>
          <t>IDR bn</t>
        </is>
      </c>
      <c r="H5309" t="n">
        <v>16</v>
      </c>
      <c r="I5309" t="inlineStr">
        <is>
          <t>Laba Bruto 2.799 4.304 4.065</t>
        </is>
      </c>
      <c r="J5309" t="inlineStr">
        <is>
          <t>High</t>
        </is>
      </c>
      <c r="M5309" t="inlineStr">
        <is>
          <t>LLM</t>
        </is>
      </c>
      <c r="N5309" t="inlineStr">
        <is>
          <t>2026-04-19</t>
        </is>
      </c>
      <c r="O5309" t="inlineStr">
        <is>
          <t>AI</t>
        </is>
      </c>
    </row>
    <row r="5310">
      <c r="A5310" t="inlineStr">
        <is>
          <t>PT Sawit Sumbermas Sarana Tbk</t>
        </is>
      </c>
      <c r="B5310" t="inlineStr">
        <is>
          <t>SSMS_2023_AR.pdf</t>
        </is>
      </c>
      <c r="C5310" t="n">
        <v>2023</v>
      </c>
      <c r="D5310" t="inlineStr">
        <is>
          <t>Financial</t>
        </is>
      </c>
      <c r="E5310" t="inlineStr">
        <is>
          <t>Operating Profit (EBIT)</t>
        </is>
      </c>
      <c r="F5310" t="n">
        <v>1196</v>
      </c>
      <c r="G5310" t="inlineStr">
        <is>
          <t>IDR bn</t>
        </is>
      </c>
      <c r="H5310" t="n">
        <v>16</v>
      </c>
      <c r="I5310" t="inlineStr">
        <is>
          <t>Laba Usaha 1.196 2.626 2.018</t>
        </is>
      </c>
      <c r="J5310" t="inlineStr">
        <is>
          <t>High</t>
        </is>
      </c>
      <c r="M5310" t="inlineStr">
        <is>
          <t>LLM</t>
        </is>
      </c>
      <c r="N5310" t="inlineStr">
        <is>
          <t>2026-04-19</t>
        </is>
      </c>
      <c r="O5310" t="inlineStr">
        <is>
          <t>AI</t>
        </is>
      </c>
    </row>
    <row r="5311">
      <c r="A5311" t="inlineStr">
        <is>
          <t>PT Sawit Sumbermas Sarana Tbk</t>
        </is>
      </c>
      <c r="B5311" t="inlineStr">
        <is>
          <t>SSMS_2023_AR.pdf</t>
        </is>
      </c>
      <c r="C5311" t="n">
        <v>2023</v>
      </c>
      <c r="D5311" t="inlineStr">
        <is>
          <t>Financial</t>
        </is>
      </c>
      <c r="E5311" t="inlineStr">
        <is>
          <t>Finance Cost</t>
        </is>
      </c>
      <c r="F5311" t="n">
        <v>679</v>
      </c>
      <c r="G5311" t="inlineStr">
        <is>
          <t>IDR bn</t>
        </is>
      </c>
      <c r="H5311" t="n">
        <v>292</v>
      </c>
      <c r="I5311" t="inlineStr">
        <is>
          <t>Beban keuangan (678.731.638)</t>
        </is>
      </c>
      <c r="J5311" t="inlineStr">
        <is>
          <t>High</t>
        </is>
      </c>
      <c r="M5311" t="inlineStr">
        <is>
          <t>LLM</t>
        </is>
      </c>
      <c r="N5311" t="inlineStr">
        <is>
          <t>2026-04-19</t>
        </is>
      </c>
      <c r="O5311" t="inlineStr">
        <is>
          <t>AI</t>
        </is>
      </c>
    </row>
    <row r="5312">
      <c r="A5312" t="inlineStr">
        <is>
          <t>PT Sawit Sumbermas Sarana Tbk</t>
        </is>
      </c>
      <c r="B5312" t="inlineStr">
        <is>
          <t>SSMS_2023_AR.pdf</t>
        </is>
      </c>
      <c r="C5312" t="n">
        <v>2023</v>
      </c>
      <c r="D5312" t="inlineStr">
        <is>
          <t>Financial</t>
        </is>
      </c>
      <c r="E5312" t="inlineStr">
        <is>
          <t>Profit Before Tax</t>
        </is>
      </c>
      <c r="F5312" t="n">
        <v>552</v>
      </c>
      <c r="G5312" t="inlineStr">
        <is>
          <t>IDR bn</t>
        </is>
      </c>
      <c r="H5312" t="n">
        <v>16</v>
      </c>
      <c r="I5312" t="inlineStr">
        <is>
          <t>Laba Sebelum Pajak Penghasilan Badan 552 1.965</t>
        </is>
      </c>
      <c r="J5312" t="inlineStr">
        <is>
          <t>High</t>
        </is>
      </c>
      <c r="M5312" t="inlineStr">
        <is>
          <t>LLM</t>
        </is>
      </c>
      <c r="N5312" t="inlineStr">
        <is>
          <t>2026-04-19</t>
        </is>
      </c>
      <c r="O5312" t="inlineStr">
        <is>
          <t>AI</t>
        </is>
      </c>
    </row>
    <row r="5313">
      <c r="A5313" t="inlineStr">
        <is>
          <t>PT Sawit Sumbermas Sarana Tbk</t>
        </is>
      </c>
      <c r="B5313" t="inlineStr">
        <is>
          <t>SSMS_2023_AR.pdf</t>
        </is>
      </c>
      <c r="C5313" t="n">
        <v>2023</v>
      </c>
      <c r="D5313" t="inlineStr">
        <is>
          <t>Financial</t>
        </is>
      </c>
      <c r="E5313" t="inlineStr">
        <is>
          <t>Income Tax</t>
        </is>
      </c>
      <c r="F5313" t="n">
        <v>208</v>
      </c>
      <c r="G5313" t="inlineStr">
        <is>
          <t>IDR bn</t>
        </is>
      </c>
      <c r="H5313" t="n">
        <v>16</v>
      </c>
      <c r="I5313" t="inlineStr">
        <is>
          <t>Pajak Penghasilan Badan (208) (490)</t>
        </is>
      </c>
      <c r="J5313" t="inlineStr">
        <is>
          <t>High</t>
        </is>
      </c>
      <c r="M5313" t="inlineStr">
        <is>
          <t>LLM</t>
        </is>
      </c>
      <c r="N5313" t="inlineStr">
        <is>
          <t>2026-04-19</t>
        </is>
      </c>
      <c r="O5313" t="inlineStr">
        <is>
          <t>AI</t>
        </is>
      </c>
    </row>
    <row r="5314">
      <c r="A5314" t="inlineStr">
        <is>
          <t>PT Sawit Sumbermas Sarana Tbk</t>
        </is>
      </c>
      <c r="B5314" t="inlineStr">
        <is>
          <t>SSMS_2023_AR.pdf</t>
        </is>
      </c>
      <c r="C5314" t="n">
        <v>2023</v>
      </c>
      <c r="D5314" t="inlineStr">
        <is>
          <t>Financial</t>
        </is>
      </c>
      <c r="E5314" t="inlineStr">
        <is>
          <t>Net Profit</t>
        </is>
      </c>
      <c r="F5314" t="n">
        <v>344</v>
      </c>
      <c r="G5314" t="inlineStr">
        <is>
          <t>IDR bn</t>
        </is>
      </c>
      <c r="H5314" t="n">
        <v>16</v>
      </c>
      <c r="I5314" t="inlineStr">
        <is>
          <t>Laba Tahun Berjalan setelah efek penyesuaian proforma 344 1.475</t>
        </is>
      </c>
      <c r="J5314" t="inlineStr">
        <is>
          <t>High</t>
        </is>
      </c>
      <c r="M5314" t="inlineStr">
        <is>
          <t>LLM</t>
        </is>
      </c>
      <c r="N5314" t="inlineStr">
        <is>
          <t>2026-04-19</t>
        </is>
      </c>
      <c r="O5314" t="inlineStr">
        <is>
          <t>AI</t>
        </is>
      </c>
    </row>
    <row r="5315">
      <c r="A5315" t="inlineStr">
        <is>
          <t>PT Sawit Sumbermas Sarana Tbk</t>
        </is>
      </c>
      <c r="B5315" t="inlineStr">
        <is>
          <t>SSMS_2023_AR.pdf</t>
        </is>
      </c>
      <c r="C5315" t="n">
        <v>2023</v>
      </c>
      <c r="D5315" t="inlineStr">
        <is>
          <t>Financial</t>
        </is>
      </c>
      <c r="E5315" t="inlineStr">
        <is>
          <t>Profit Attributable to Parent</t>
        </is>
      </c>
      <c r="F5315" t="n">
        <v>512</v>
      </c>
      <c r="G5315" t="inlineStr">
        <is>
          <t>IDR bn</t>
        </is>
      </c>
      <c r="H5315" t="n">
        <v>16</v>
      </c>
      <c r="I5315" t="inlineStr">
        <is>
          <t>Pemilik Entitas Induk 512 1.837</t>
        </is>
      </c>
      <c r="J5315" t="inlineStr">
        <is>
          <t>High</t>
        </is>
      </c>
      <c r="M5315" t="inlineStr">
        <is>
          <t>LLM</t>
        </is>
      </c>
      <c r="N5315" t="inlineStr">
        <is>
          <t>2026-04-19</t>
        </is>
      </c>
      <c r="O5315" t="inlineStr">
        <is>
          <t>AI</t>
        </is>
      </c>
    </row>
    <row r="5316">
      <c r="A5316" t="inlineStr">
        <is>
          <t>PT Sawit Sumbermas Sarana Tbk</t>
        </is>
      </c>
      <c r="B5316" t="inlineStr">
        <is>
          <t>SSMS_2023_AR.pdf</t>
        </is>
      </c>
      <c r="C5316" t="n">
        <v>2023</v>
      </c>
      <c r="D5316" t="inlineStr">
        <is>
          <t>Financial</t>
        </is>
      </c>
      <c r="E5316" t="inlineStr">
        <is>
          <t>Profit Attributable to NCI</t>
        </is>
      </c>
      <c r="F5316" t="n">
        <v>6</v>
      </c>
      <c r="G5316" t="inlineStr">
        <is>
          <t>IDR bn</t>
        </is>
      </c>
      <c r="H5316" t="n">
        <v>17</v>
      </c>
      <c r="I5316" t="inlineStr">
        <is>
          <t>Kepentingan Non-Pengendali 6 11</t>
        </is>
      </c>
      <c r="J5316" t="inlineStr">
        <is>
          <t>High</t>
        </is>
      </c>
      <c r="M5316" t="inlineStr">
        <is>
          <t>LLM</t>
        </is>
      </c>
      <c r="N5316" t="inlineStr">
        <is>
          <t>2026-04-19</t>
        </is>
      </c>
      <c r="O5316" t="inlineStr">
        <is>
          <t>AI</t>
        </is>
      </c>
    </row>
    <row r="5317">
      <c r="A5317" t="inlineStr">
        <is>
          <t>PT Sawit Sumbermas Sarana Tbk</t>
        </is>
      </c>
      <c r="B5317" t="inlineStr">
        <is>
          <t>SSMS_2023_AR.pdf</t>
        </is>
      </c>
      <c r="C5317" t="n">
        <v>2023</v>
      </c>
      <c r="D5317" t="inlineStr">
        <is>
          <t>Financial</t>
        </is>
      </c>
      <c r="E5317" t="inlineStr">
        <is>
          <t>Total Assets</t>
        </is>
      </c>
      <c r="F5317" t="n">
        <v>11810</v>
      </c>
      <c r="G5317" t="inlineStr">
        <is>
          <t>IDR bn</t>
        </is>
      </c>
      <c r="H5317" t="n">
        <v>16</v>
      </c>
      <c r="I5317" t="inlineStr">
        <is>
          <t>Jumlah Aset 11.810 11.137 10.705</t>
        </is>
      </c>
      <c r="J5317" t="inlineStr">
        <is>
          <t>High</t>
        </is>
      </c>
      <c r="M5317" t="inlineStr">
        <is>
          <t>LLM</t>
        </is>
      </c>
      <c r="N5317" t="inlineStr">
        <is>
          <t>2026-04-19</t>
        </is>
      </c>
      <c r="O5317" t="inlineStr">
        <is>
          <t>AI</t>
        </is>
      </c>
    </row>
    <row r="5318">
      <c r="A5318" t="inlineStr">
        <is>
          <t>PT Sawit Sumbermas Sarana Tbk</t>
        </is>
      </c>
      <c r="B5318" t="inlineStr">
        <is>
          <t>SSMS_2023_AR.pdf</t>
        </is>
      </c>
      <c r="C5318" t="n">
        <v>2023</v>
      </c>
      <c r="D5318" t="inlineStr">
        <is>
          <t>Financial</t>
        </is>
      </c>
      <c r="E5318" t="inlineStr">
        <is>
          <t>Current Assets</t>
        </is>
      </c>
      <c r="F5318" t="n">
        <v>5028</v>
      </c>
      <c r="G5318" t="inlineStr">
        <is>
          <t>IDR bn</t>
        </is>
      </c>
      <c r="H5318" t="n">
        <v>16</v>
      </c>
      <c r="I5318" t="inlineStr">
        <is>
          <t>Aset Lancar 5.028 4.639 4.636</t>
        </is>
      </c>
      <c r="J5318" t="inlineStr">
        <is>
          <t>High</t>
        </is>
      </c>
      <c r="M5318" t="inlineStr">
        <is>
          <t>LLM</t>
        </is>
      </c>
      <c r="N5318" t="inlineStr">
        <is>
          <t>2026-04-19</t>
        </is>
      </c>
      <c r="O5318" t="inlineStr">
        <is>
          <t>AI</t>
        </is>
      </c>
    </row>
    <row r="5319">
      <c r="A5319" t="inlineStr">
        <is>
          <t>PT Sawit Sumbermas Sarana Tbk</t>
        </is>
      </c>
      <c r="B5319" t="inlineStr">
        <is>
          <t>SSMS_2023_AR.pdf</t>
        </is>
      </c>
      <c r="C5319" t="n">
        <v>2023</v>
      </c>
      <c r="D5319" t="inlineStr">
        <is>
          <t>Financial</t>
        </is>
      </c>
      <c r="E5319" t="inlineStr">
        <is>
          <t>Non-Current Assets</t>
        </is>
      </c>
      <c r="F5319" t="n">
        <v>6782</v>
      </c>
      <c r="G5319" t="inlineStr">
        <is>
          <t>IDR bn</t>
        </is>
      </c>
      <c r="H5319" t="n">
        <v>16</v>
      </c>
      <c r="I5319" t="inlineStr">
        <is>
          <t>Aset Tidak Lancar 6.782 6.498 6.069</t>
        </is>
      </c>
      <c r="J5319" t="inlineStr">
        <is>
          <t>High</t>
        </is>
      </c>
      <c r="M5319" t="inlineStr">
        <is>
          <t>LLM</t>
        </is>
      </c>
      <c r="N5319" t="inlineStr">
        <is>
          <t>2026-04-19</t>
        </is>
      </c>
      <c r="O5319" t="inlineStr">
        <is>
          <t>AI</t>
        </is>
      </c>
    </row>
    <row r="5320">
      <c r="A5320" t="inlineStr">
        <is>
          <t>PT Sawit Sumbermas Sarana Tbk</t>
        </is>
      </c>
      <c r="B5320" t="inlineStr">
        <is>
          <t>SSMS_2023_AR.pdf</t>
        </is>
      </c>
      <c r="C5320" t="n">
        <v>2023</v>
      </c>
      <c r="D5320" t="inlineStr">
        <is>
          <t>Financial</t>
        </is>
      </c>
      <c r="E5320" t="inlineStr">
        <is>
          <t>Total Liabilities</t>
        </is>
      </c>
      <c r="F5320" t="n">
        <v>9820</v>
      </c>
      <c r="G5320" t="inlineStr">
        <is>
          <t>IDR bn</t>
        </is>
      </c>
      <c r="H5320" t="n">
        <v>16</v>
      </c>
      <c r="I5320" t="inlineStr">
        <is>
          <t>Jumlah Liabilitas 9.820 9.092 9.250</t>
        </is>
      </c>
      <c r="J5320" t="inlineStr">
        <is>
          <t>High</t>
        </is>
      </c>
      <c r="M5320" t="inlineStr">
        <is>
          <t>LLM</t>
        </is>
      </c>
      <c r="N5320" t="inlineStr">
        <is>
          <t>2026-04-19</t>
        </is>
      </c>
      <c r="O5320" t="inlineStr">
        <is>
          <t>AI</t>
        </is>
      </c>
    </row>
    <row r="5321">
      <c r="A5321" t="inlineStr">
        <is>
          <t>PT Sawit Sumbermas Sarana Tbk</t>
        </is>
      </c>
      <c r="B5321" t="inlineStr">
        <is>
          <t>SSMS_2023_AR.pdf</t>
        </is>
      </c>
      <c r="C5321" t="n">
        <v>2023</v>
      </c>
      <c r="D5321" t="inlineStr">
        <is>
          <t>Financial</t>
        </is>
      </c>
      <c r="E5321" t="inlineStr">
        <is>
          <t>Current Liabilities</t>
        </is>
      </c>
      <c r="F5321" t="n">
        <v>4755</v>
      </c>
      <c r="G5321" t="inlineStr">
        <is>
          <t>IDR bn</t>
        </is>
      </c>
      <c r="H5321" t="n">
        <v>16</v>
      </c>
      <c r="I5321" t="inlineStr">
        <is>
          <t>Liabilitas Jangka Pendek 4.755 4.172 2.705</t>
        </is>
      </c>
      <c r="J5321" t="inlineStr">
        <is>
          <t>High</t>
        </is>
      </c>
      <c r="M5321" t="inlineStr">
        <is>
          <t>LLM</t>
        </is>
      </c>
      <c r="N5321" t="inlineStr">
        <is>
          <t>2026-04-19</t>
        </is>
      </c>
      <c r="O5321" t="inlineStr">
        <is>
          <t>AI</t>
        </is>
      </c>
    </row>
    <row r="5322">
      <c r="A5322" t="inlineStr">
        <is>
          <t>PT Sawit Sumbermas Sarana Tbk</t>
        </is>
      </c>
      <c r="B5322" t="inlineStr">
        <is>
          <t>SSMS_2023_AR.pdf</t>
        </is>
      </c>
      <c r="C5322" t="n">
        <v>2023</v>
      </c>
      <c r="D5322" t="inlineStr">
        <is>
          <t>Financial</t>
        </is>
      </c>
      <c r="E5322" t="inlineStr">
        <is>
          <t>Non-Current Liabilities</t>
        </is>
      </c>
      <c r="F5322" t="n">
        <v>5066</v>
      </c>
      <c r="G5322" t="inlineStr">
        <is>
          <t>IDR bn</t>
        </is>
      </c>
      <c r="H5322" t="n">
        <v>16</v>
      </c>
      <c r="I5322" t="inlineStr">
        <is>
          <t>Liabilitas Jangka Panjang 5.066 4.920 6.545</t>
        </is>
      </c>
      <c r="J5322" t="inlineStr">
        <is>
          <t>High</t>
        </is>
      </c>
      <c r="M5322" t="inlineStr">
        <is>
          <t>LLM</t>
        </is>
      </c>
      <c r="N5322" t="inlineStr">
        <is>
          <t>2026-04-19</t>
        </is>
      </c>
      <c r="O5322" t="inlineStr">
        <is>
          <t>AI</t>
        </is>
      </c>
    </row>
    <row r="5323">
      <c r="A5323" t="inlineStr">
        <is>
          <t>PT Sawit Sumbermas Sarana Tbk</t>
        </is>
      </c>
      <c r="B5323" t="inlineStr">
        <is>
          <t>SSMS_2023_AR.pdf</t>
        </is>
      </c>
      <c r="C5323" t="n">
        <v>2023</v>
      </c>
      <c r="D5323" t="inlineStr">
        <is>
          <t>Financial</t>
        </is>
      </c>
      <c r="E5323" t="inlineStr">
        <is>
          <t>Total Equity</t>
        </is>
      </c>
      <c r="F5323" t="n">
        <v>1990</v>
      </c>
      <c r="G5323" t="inlineStr">
        <is>
          <t>IDR bn</t>
        </is>
      </c>
      <c r="H5323" t="n">
        <v>16</v>
      </c>
      <c r="I5323" t="inlineStr">
        <is>
          <t>Jumlah Ekuitas 1.990 2.045 1.456</t>
        </is>
      </c>
      <c r="J5323" t="inlineStr">
        <is>
          <t>High</t>
        </is>
      </c>
      <c r="M5323" t="inlineStr">
        <is>
          <t>LLM</t>
        </is>
      </c>
      <c r="N5323" t="inlineStr">
        <is>
          <t>2026-04-19</t>
        </is>
      </c>
      <c r="O5323" t="inlineStr">
        <is>
          <t>AI</t>
        </is>
      </c>
    </row>
    <row r="5324">
      <c r="A5324" t="inlineStr">
        <is>
          <t>PT Sawit Sumbermas Sarana Tbk</t>
        </is>
      </c>
      <c r="B5324" t="inlineStr">
        <is>
          <t>SSMS_2023_AR.pdf</t>
        </is>
      </c>
      <c r="C5324" t="n">
        <v>2023</v>
      </c>
      <c r="D5324" t="inlineStr">
        <is>
          <t>Financial</t>
        </is>
      </c>
      <c r="E5324" t="inlineStr">
        <is>
          <t>Equity Attributable to Parent</t>
        </is>
      </c>
      <c r="F5324" t="n">
        <v>1751</v>
      </c>
      <c r="G5324" t="inlineStr">
        <is>
          <t>IDR bn</t>
        </is>
      </c>
      <c r="H5324" t="n">
        <v>16</v>
      </c>
      <c r="I5324" t="inlineStr">
        <is>
          <t>Pemilik Entitas Induk – Netto 1.751 2.006</t>
        </is>
      </c>
      <c r="J5324" t="inlineStr">
        <is>
          <t>High</t>
        </is>
      </c>
      <c r="M5324" t="inlineStr">
        <is>
          <t>LLM</t>
        </is>
      </c>
      <c r="N5324" t="inlineStr">
        <is>
          <t>2026-04-19</t>
        </is>
      </c>
      <c r="O5324" t="inlineStr">
        <is>
          <t>AI</t>
        </is>
      </c>
    </row>
    <row r="5325">
      <c r="A5325" t="inlineStr">
        <is>
          <t>PT Sawit Sumbermas Sarana Tbk</t>
        </is>
      </c>
      <c r="B5325" t="inlineStr">
        <is>
          <t>SSMS_2023_AR.pdf</t>
        </is>
      </c>
      <c r="C5325" t="n">
        <v>2023</v>
      </c>
      <c r="D5325" t="inlineStr">
        <is>
          <t>Financial</t>
        </is>
      </c>
      <c r="E5325" t="inlineStr">
        <is>
          <t>Cash and Cash Equivalents</t>
        </is>
      </c>
      <c r="F5325" t="n">
        <v>1237</v>
      </c>
      <c r="G5325" t="inlineStr">
        <is>
          <t>IDR bn</t>
        </is>
      </c>
      <c r="H5325" t="n">
        <v>17</v>
      </c>
      <c r="I5325" t="inlineStr">
        <is>
          <t>Kas dan Setara Kas Akhir Tahun 1.237 1.807</t>
        </is>
      </c>
      <c r="J5325" t="inlineStr">
        <is>
          <t>High</t>
        </is>
      </c>
      <c r="M5325" t="inlineStr">
        <is>
          <t>LLM</t>
        </is>
      </c>
      <c r="N5325" t="inlineStr">
        <is>
          <t>2026-04-19</t>
        </is>
      </c>
      <c r="O5325" t="inlineStr">
        <is>
          <t>AI</t>
        </is>
      </c>
    </row>
    <row r="5326">
      <c r="A5326" t="inlineStr">
        <is>
          <t>PT Sawit Sumbermas Sarana Tbk</t>
        </is>
      </c>
      <c r="B5326" t="inlineStr">
        <is>
          <t>SSMS_2023_AR.pdf</t>
        </is>
      </c>
      <c r="C5326" t="n">
        <v>2023</v>
      </c>
      <c r="D5326" t="inlineStr">
        <is>
          <t>Financial</t>
        </is>
      </c>
      <c r="E5326" t="inlineStr">
        <is>
          <t>Short-term Bank Loans</t>
        </is>
      </c>
      <c r="F5326" t="n">
        <v>2437</v>
      </c>
      <c r="G5326" t="inlineStr">
        <is>
          <t>IDR bn</t>
        </is>
      </c>
      <c r="H5326" t="n">
        <v>289</v>
      </c>
      <c r="I5326" t="inlineStr">
        <is>
          <t>Utang bank jangka pendek 22 2.437.341.526 973.981.690</t>
        </is>
      </c>
      <c r="J5326" t="inlineStr">
        <is>
          <t>High</t>
        </is>
      </c>
      <c r="M5326" t="inlineStr">
        <is>
          <t>LLM</t>
        </is>
      </c>
      <c r="N5326" t="inlineStr">
        <is>
          <t>2026-04-19</t>
        </is>
      </c>
      <c r="O5326" t="inlineStr">
        <is>
          <t>AI</t>
        </is>
      </c>
    </row>
    <row r="5327">
      <c r="A5327" t="inlineStr">
        <is>
          <t>PT Sawit Sumbermas Sarana Tbk</t>
        </is>
      </c>
      <c r="B5327" t="inlineStr">
        <is>
          <t>SSMS_2023_AR.pdf</t>
        </is>
      </c>
      <c r="C5327" t="n">
        <v>2023</v>
      </c>
      <c r="D5327" t="inlineStr">
        <is>
          <t>Financial</t>
        </is>
      </c>
      <c r="E5327" t="inlineStr">
        <is>
          <t>Current Portion of LT Bank Loans</t>
        </is>
      </c>
      <c r="F5327" t="n">
        <v>898</v>
      </c>
      <c r="G5327" t="inlineStr">
        <is>
          <t>IDR bn</t>
        </is>
      </c>
      <c r="H5327" t="n">
        <v>289</v>
      </c>
      <c r="I5327" t="inlineStr">
        <is>
          <t>Utang bank jangka panjang jatuh tempo dalam satu tahun 897.754.076 856.786.228</t>
        </is>
      </c>
      <c r="J5327" t="inlineStr">
        <is>
          <t>High</t>
        </is>
      </c>
      <c r="M5327" t="inlineStr">
        <is>
          <t>LLM</t>
        </is>
      </c>
      <c r="N5327" t="inlineStr">
        <is>
          <t>2026-04-19</t>
        </is>
      </c>
      <c r="O5327" t="inlineStr">
        <is>
          <t>AI</t>
        </is>
      </c>
    </row>
    <row r="5328">
      <c r="A5328" t="inlineStr">
        <is>
          <t>PT Sawit Sumbermas Sarana Tbk</t>
        </is>
      </c>
      <c r="B5328" t="inlineStr">
        <is>
          <t>SSMS_2023_AR.pdf</t>
        </is>
      </c>
      <c r="C5328" t="n">
        <v>2023</v>
      </c>
      <c r="D5328" t="inlineStr">
        <is>
          <t>Financial</t>
        </is>
      </c>
      <c r="E5328" t="inlineStr">
        <is>
          <t>Long-term Bank Loans</t>
        </is>
      </c>
      <c r="F5328" t="n">
        <v>4767</v>
      </c>
      <c r="G5328" t="inlineStr">
        <is>
          <t>IDR bn</t>
        </is>
      </c>
      <c r="H5328" t="n">
        <v>290</v>
      </c>
      <c r="I5328" t="inlineStr">
        <is>
          <t>Utang bank jangka panjang - setelah dikurangi 4.766.529.162</t>
        </is>
      </c>
      <c r="J5328" t="inlineStr">
        <is>
          <t>High</t>
        </is>
      </c>
      <c r="M5328" t="inlineStr">
        <is>
          <t>LLM</t>
        </is>
      </c>
      <c r="N5328" t="inlineStr">
        <is>
          <t>2026-04-19</t>
        </is>
      </c>
      <c r="O5328" t="inlineStr">
        <is>
          <t>AI</t>
        </is>
      </c>
    </row>
    <row r="5329">
      <c r="A5329" t="inlineStr">
        <is>
          <t>PT Sawit Sumbermas Sarana Tbk</t>
        </is>
      </c>
      <c r="B5329" t="inlineStr">
        <is>
          <t>SSMS_2023_AR.pdf</t>
        </is>
      </c>
      <c r="C5329" t="n">
        <v>2023</v>
      </c>
      <c r="D5329" t="inlineStr">
        <is>
          <t>Financial</t>
        </is>
      </c>
      <c r="E5329" t="inlineStr">
        <is>
          <t>Gross Debt (All bank loans)</t>
        </is>
      </c>
      <c r="F5329" t="n">
        <v>8102</v>
      </c>
      <c r="G5329" t="inlineStr">
        <is>
          <t>IDR bn</t>
        </is>
      </c>
      <c r="H5329" t="n">
        <v>290</v>
      </c>
      <c r="I5329" t="inlineStr">
        <is>
          <t>Sum Rp2,437 + 898 + 4,767 = Rp8,102 bn</t>
        </is>
      </c>
      <c r="J5329" t="inlineStr">
        <is>
          <t>High</t>
        </is>
      </c>
      <c r="M5329" t="inlineStr">
        <is>
          <t>LLM</t>
        </is>
      </c>
      <c r="N5329" t="inlineStr">
        <is>
          <t>2026-04-19</t>
        </is>
      </c>
      <c r="O5329" t="inlineStr">
        <is>
          <t>AI</t>
        </is>
      </c>
    </row>
    <row r="5330">
      <c r="A5330" t="inlineStr">
        <is>
          <t>PT Sawit Sumbermas Sarana Tbk</t>
        </is>
      </c>
      <c r="B5330" t="inlineStr">
        <is>
          <t>SSMS_2023_AR.pdf</t>
        </is>
      </c>
      <c r="C5330" t="n">
        <v>2023</v>
      </c>
      <c r="D5330" t="inlineStr">
        <is>
          <t>Financial</t>
        </is>
      </c>
      <c r="E5330" t="inlineStr">
        <is>
          <t>Bonds Payable (Repaid 2023)</t>
        </is>
      </c>
      <c r="F5330" t="n">
        <v>0</v>
      </c>
      <c r="G5330" t="inlineStr">
        <is>
          <t>IDR bn</t>
        </is>
      </c>
      <c r="H5330" t="n">
        <v>289</v>
      </c>
      <c r="I5330" t="inlineStr">
        <is>
          <t>Utang obligasi, neto - (2022: 633.067.305)</t>
        </is>
      </c>
      <c r="J5330" t="inlineStr">
        <is>
          <t>High</t>
        </is>
      </c>
      <c r="M5330" t="inlineStr">
        <is>
          <t>LLM</t>
        </is>
      </c>
      <c r="N5330" t="inlineStr">
        <is>
          <t>2026-04-19</t>
        </is>
      </c>
      <c r="O5330" t="inlineStr">
        <is>
          <t>AI</t>
        </is>
      </c>
    </row>
    <row r="5331">
      <c r="A5331" t="inlineStr">
        <is>
          <t>PT Sawit Sumbermas Sarana Tbk</t>
        </is>
      </c>
      <c r="B5331" t="inlineStr">
        <is>
          <t>SSMS_2023_AR.pdf</t>
        </is>
      </c>
      <c r="C5331" t="n">
        <v>2023</v>
      </c>
      <c r="D5331" t="inlineStr">
        <is>
          <t>Financial</t>
        </is>
      </c>
      <c r="E5331" t="inlineStr">
        <is>
          <t>CFO</t>
        </is>
      </c>
      <c r="F5331" t="n">
        <v>594</v>
      </c>
      <c r="G5331" t="inlineStr">
        <is>
          <t>IDR bn</t>
        </is>
      </c>
      <c r="H5331" t="n">
        <v>17</v>
      </c>
      <c r="I5331" t="inlineStr">
        <is>
          <t>Arus Kas dari Aktivitas Operasi 594 2.442</t>
        </is>
      </c>
      <c r="J5331" t="inlineStr">
        <is>
          <t>High</t>
        </is>
      </c>
      <c r="M5331" t="inlineStr">
        <is>
          <t>LLM</t>
        </is>
      </c>
      <c r="N5331" t="inlineStr">
        <is>
          <t>2026-04-19</t>
        </is>
      </c>
      <c r="O5331" t="inlineStr">
        <is>
          <t>AI</t>
        </is>
      </c>
    </row>
    <row r="5332">
      <c r="A5332" t="inlineStr">
        <is>
          <t>PT Sawit Sumbermas Sarana Tbk</t>
        </is>
      </c>
      <c r="B5332" t="inlineStr">
        <is>
          <t>SSMS_2023_AR.pdf</t>
        </is>
      </c>
      <c r="C5332" t="n">
        <v>2023</v>
      </c>
      <c r="D5332" t="inlineStr">
        <is>
          <t>Financial</t>
        </is>
      </c>
      <c r="E5332" t="inlineStr">
        <is>
          <t>CFI</t>
        </is>
      </c>
      <c r="F5332" t="n">
        <v>-1451</v>
      </c>
      <c r="G5332" t="inlineStr">
        <is>
          <t>IDR bn</t>
        </is>
      </c>
      <c r="H5332" t="n">
        <v>17</v>
      </c>
      <c r="I5332" t="inlineStr">
        <is>
          <t>Arus Kas dari Aktivitas Investasi (1.451)</t>
        </is>
      </c>
      <c r="J5332" t="inlineStr">
        <is>
          <t>High</t>
        </is>
      </c>
      <c r="M5332" t="inlineStr">
        <is>
          <t>LLM</t>
        </is>
      </c>
      <c r="N5332" t="inlineStr">
        <is>
          <t>2026-04-19</t>
        </is>
      </c>
      <c r="O5332" t="inlineStr">
        <is>
          <t>AI</t>
        </is>
      </c>
    </row>
    <row r="5333">
      <c r="A5333" t="inlineStr">
        <is>
          <t>PT Sawit Sumbermas Sarana Tbk</t>
        </is>
      </c>
      <c r="B5333" t="inlineStr">
        <is>
          <t>SSMS_2023_AR.pdf</t>
        </is>
      </c>
      <c r="C5333" t="n">
        <v>2023</v>
      </c>
      <c r="D5333" t="inlineStr">
        <is>
          <t>Financial</t>
        </is>
      </c>
      <c r="E5333" t="inlineStr">
        <is>
          <t>CFF</t>
        </is>
      </c>
      <c r="F5333" t="n">
        <v>288</v>
      </c>
      <c r="G5333" t="inlineStr">
        <is>
          <t>IDR bn</t>
        </is>
      </c>
      <c r="H5333" t="n">
        <v>17</v>
      </c>
      <c r="I5333" t="inlineStr">
        <is>
          <t>Arus Kas dari Aktivitas Pendanaan 288</t>
        </is>
      </c>
      <c r="J5333" t="inlineStr">
        <is>
          <t>High</t>
        </is>
      </c>
      <c r="M5333" t="inlineStr">
        <is>
          <t>LLM</t>
        </is>
      </c>
      <c r="N5333" t="inlineStr">
        <is>
          <t>2026-04-19</t>
        </is>
      </c>
      <c r="O5333" t="inlineStr">
        <is>
          <t>AI</t>
        </is>
      </c>
    </row>
    <row r="5334">
      <c r="A5334" t="inlineStr">
        <is>
          <t>PT Sawit Sumbermas Sarana Tbk</t>
        </is>
      </c>
      <c r="B5334" t="inlineStr">
        <is>
          <t>SSMS_2023_AR.pdf</t>
        </is>
      </c>
      <c r="C5334" t="n">
        <v>2023</v>
      </c>
      <c r="D5334" t="inlineStr">
        <is>
          <t>Financial</t>
        </is>
      </c>
      <c r="E5334" t="inlineStr">
        <is>
          <t>Capex (Realized)</t>
        </is>
      </c>
      <c r="F5334" t="n">
        <v>103</v>
      </c>
      <c r="G5334" t="inlineStr">
        <is>
          <t>IDR bn</t>
        </is>
      </c>
      <c r="H5334" t="n">
        <v>121</v>
      </c>
      <c r="I5334" t="inlineStr">
        <is>
          <t>2023 Capex: Bangunan 82 + Kendaraan 21 = Rp103 bn</t>
        </is>
      </c>
      <c r="J5334" t="inlineStr">
        <is>
          <t>Medium</t>
        </is>
      </c>
      <c r="M5334" t="inlineStr">
        <is>
          <t>LLM</t>
        </is>
      </c>
      <c r="N5334" t="inlineStr">
        <is>
          <t>2026-04-19</t>
        </is>
      </c>
      <c r="O5334" t="inlineStr">
        <is>
          <t>AI</t>
        </is>
      </c>
    </row>
    <row r="5335">
      <c r="A5335" t="inlineStr">
        <is>
          <t>PT Sawit Sumbermas Sarana Tbk</t>
        </is>
      </c>
      <c r="B5335" t="inlineStr">
        <is>
          <t>SSMS_2023_AR.pdf</t>
        </is>
      </c>
      <c r="C5335" t="n">
        <v>2023</v>
      </c>
      <c r="D5335" t="inlineStr">
        <is>
          <t>Financial</t>
        </is>
      </c>
      <c r="E5335" t="inlineStr">
        <is>
          <t>EPS</t>
        </is>
      </c>
      <c r="F5335" t="n">
        <v>53.78</v>
      </c>
      <c r="G5335" t="inlineStr">
        <is>
          <t>Rp/share</t>
        </is>
      </c>
      <c r="H5335" t="n">
        <v>17</v>
      </c>
      <c r="I5335" t="inlineStr">
        <is>
          <t>Laba per Saham (nilai penuh) 53,78 192,90</t>
        </is>
      </c>
      <c r="J5335" t="inlineStr">
        <is>
          <t>High</t>
        </is>
      </c>
      <c r="M5335" t="inlineStr">
        <is>
          <t>LLM</t>
        </is>
      </c>
      <c r="N5335" t="inlineStr">
        <is>
          <t>2026-04-19</t>
        </is>
      </c>
      <c r="O5335" t="inlineStr">
        <is>
          <t>AI</t>
        </is>
      </c>
    </row>
    <row r="5336">
      <c r="A5336" t="inlineStr">
        <is>
          <t>PT Sawit Sumbermas Sarana Tbk</t>
        </is>
      </c>
      <c r="B5336" t="inlineStr">
        <is>
          <t>SSMS_2023_AR.pdf</t>
        </is>
      </c>
      <c r="C5336" t="n">
        <v>2023</v>
      </c>
      <c r="D5336" t="inlineStr">
        <is>
          <t>Financial</t>
        </is>
      </c>
      <c r="E5336" t="inlineStr">
        <is>
          <t>Current Ratio</t>
        </is>
      </c>
      <c r="F5336" t="n">
        <v>1.06</v>
      </c>
      <c r="G5336" t="inlineStr">
        <is>
          <t>x</t>
        </is>
      </c>
      <c r="H5336" t="n">
        <v>17</v>
      </c>
      <c r="I5336" t="inlineStr">
        <is>
          <t>Rasio lancar % 106</t>
        </is>
      </c>
      <c r="J5336" t="inlineStr">
        <is>
          <t>High</t>
        </is>
      </c>
      <c r="M5336" t="inlineStr">
        <is>
          <t>LLM</t>
        </is>
      </c>
      <c r="N5336" t="inlineStr">
        <is>
          <t>2026-04-19</t>
        </is>
      </c>
      <c r="O5336" t="inlineStr">
        <is>
          <t>AI</t>
        </is>
      </c>
    </row>
    <row r="5337">
      <c r="A5337" t="inlineStr">
        <is>
          <t>PT Sawit Sumbermas Sarana Tbk</t>
        </is>
      </c>
      <c r="B5337" t="inlineStr">
        <is>
          <t>SSMS_2023_AR.pdf</t>
        </is>
      </c>
      <c r="C5337" t="n">
        <v>2023</v>
      </c>
      <c r="D5337" t="inlineStr">
        <is>
          <t>Financial</t>
        </is>
      </c>
      <c r="E5337" t="inlineStr">
        <is>
          <t>Debt to Asset Ratio</t>
        </is>
      </c>
      <c r="F5337" t="n">
        <v>0.83</v>
      </c>
      <c r="G5337" t="inlineStr">
        <is>
          <t>%</t>
        </is>
      </c>
      <c r="H5337" t="n">
        <v>17</v>
      </c>
      <c r="I5337" t="inlineStr">
        <is>
          <t>Rasio liabilitas terhadap jumlah aset 83</t>
        </is>
      </c>
      <c r="J5337" t="inlineStr">
        <is>
          <t>High</t>
        </is>
      </c>
      <c r="M5337" t="inlineStr">
        <is>
          <t>LLM</t>
        </is>
      </c>
      <c r="N5337" t="inlineStr">
        <is>
          <t>2026-04-19</t>
        </is>
      </c>
      <c r="O5337" t="inlineStr">
        <is>
          <t>AI</t>
        </is>
      </c>
    </row>
    <row r="5338">
      <c r="A5338" t="inlineStr">
        <is>
          <t>PT Sawit Sumbermas Sarana Tbk</t>
        </is>
      </c>
      <c r="B5338" t="inlineStr">
        <is>
          <t>SSMS_2023_AR.pdf</t>
        </is>
      </c>
      <c r="C5338" t="n">
        <v>2023</v>
      </c>
      <c r="D5338" t="inlineStr">
        <is>
          <t>Financial</t>
        </is>
      </c>
      <c r="E5338" t="inlineStr">
        <is>
          <t>Debt to Equity Ratio</t>
        </is>
      </c>
      <c r="F5338" t="n">
        <v>4.94</v>
      </c>
      <c r="G5338" t="inlineStr">
        <is>
          <t>x</t>
        </is>
      </c>
      <c r="H5338" t="n">
        <v>17</v>
      </c>
      <c r="I5338" t="inlineStr">
        <is>
          <t>Rasio liabilitas terhadap ekuitas 494</t>
        </is>
      </c>
      <c r="J5338" t="inlineStr">
        <is>
          <t>High</t>
        </is>
      </c>
      <c r="M5338" t="inlineStr">
        <is>
          <t>LLM</t>
        </is>
      </c>
      <c r="N5338" t="inlineStr">
        <is>
          <t>2026-04-19</t>
        </is>
      </c>
      <c r="O5338" t="inlineStr">
        <is>
          <t>AI</t>
        </is>
      </c>
    </row>
    <row r="5339">
      <c r="A5339" t="inlineStr">
        <is>
          <t>PT Sawit Sumbermas Sarana Tbk</t>
        </is>
      </c>
      <c r="B5339" t="inlineStr">
        <is>
          <t>SSMS_2023_AR.pdf</t>
        </is>
      </c>
      <c r="C5339" t="n">
        <v>2023</v>
      </c>
      <c r="D5339" t="inlineStr">
        <is>
          <t>Financial</t>
        </is>
      </c>
      <c r="E5339" t="inlineStr">
        <is>
          <t>Net Profit Margin</t>
        </is>
      </c>
      <c r="F5339" t="n">
        <v>0.048</v>
      </c>
      <c r="G5339" t="inlineStr">
        <is>
          <t>%</t>
        </is>
      </c>
      <c r="H5339" t="n">
        <v>17</v>
      </c>
      <c r="I5339" t="inlineStr">
        <is>
          <t>NPM 4,8</t>
        </is>
      </c>
      <c r="J5339" t="inlineStr">
        <is>
          <t>High</t>
        </is>
      </c>
      <c r="M5339" t="inlineStr">
        <is>
          <t>LLM</t>
        </is>
      </c>
      <c r="N5339" t="inlineStr">
        <is>
          <t>2026-04-19</t>
        </is>
      </c>
      <c r="O5339" t="inlineStr">
        <is>
          <t>AI</t>
        </is>
      </c>
    </row>
    <row r="5340">
      <c r="A5340" t="inlineStr">
        <is>
          <t>PT Sawit Sumbermas Sarana Tbk</t>
        </is>
      </c>
      <c r="B5340" t="inlineStr">
        <is>
          <t>SSMS_2023_AR.pdf</t>
        </is>
      </c>
      <c r="C5340" t="n">
        <v>2023</v>
      </c>
      <c r="D5340" t="inlineStr">
        <is>
          <t>Financial</t>
        </is>
      </c>
      <c r="E5340" t="inlineStr">
        <is>
          <t>ROA</t>
        </is>
      </c>
      <c r="F5340" t="n">
        <v>0.04</v>
      </c>
      <c r="G5340" t="inlineStr">
        <is>
          <t>%</t>
        </is>
      </c>
      <c r="H5340" t="n">
        <v>17</v>
      </c>
      <c r="I5340" t="inlineStr">
        <is>
          <t>ROA 4</t>
        </is>
      </c>
      <c r="J5340" t="inlineStr">
        <is>
          <t>High</t>
        </is>
      </c>
      <c r="M5340" t="inlineStr">
        <is>
          <t>LLM</t>
        </is>
      </c>
      <c r="N5340" t="inlineStr">
        <is>
          <t>2026-04-19</t>
        </is>
      </c>
      <c r="O5340" t="inlineStr">
        <is>
          <t>AI</t>
        </is>
      </c>
    </row>
    <row r="5341">
      <c r="A5341" t="inlineStr">
        <is>
          <t>PT Sawit Sumbermas Sarana Tbk</t>
        </is>
      </c>
      <c r="B5341" t="inlineStr">
        <is>
          <t>SSMS_2023_AR.pdf</t>
        </is>
      </c>
      <c r="C5341" t="n">
        <v>2023</v>
      </c>
      <c r="D5341" t="inlineStr">
        <is>
          <t>Financial</t>
        </is>
      </c>
      <c r="E5341" t="inlineStr">
        <is>
          <t>ROE</t>
        </is>
      </c>
      <c r="F5341" t="n">
        <v>0.26</v>
      </c>
      <c r="G5341" t="inlineStr">
        <is>
          <t>%</t>
        </is>
      </c>
      <c r="H5341" t="n">
        <v>17</v>
      </c>
      <c r="I5341" t="inlineStr">
        <is>
          <t>ROE 26</t>
        </is>
      </c>
      <c r="J5341" t="inlineStr">
        <is>
          <t>High</t>
        </is>
      </c>
      <c r="M5341" t="inlineStr">
        <is>
          <t>LLM</t>
        </is>
      </c>
      <c r="N5341" t="inlineStr">
        <is>
          <t>2026-04-19</t>
        </is>
      </c>
      <c r="O5341" t="inlineStr">
        <is>
          <t>AI</t>
        </is>
      </c>
    </row>
    <row r="5342">
      <c r="A5342" t="inlineStr">
        <is>
          <t>PT Sawit Sumbermas Sarana Tbk</t>
        </is>
      </c>
      <c r="B5342" t="inlineStr">
        <is>
          <t>SSMS_2023_AR.pdf</t>
        </is>
      </c>
      <c r="C5342" t="n">
        <v>2023</v>
      </c>
      <c r="D5342" t="inlineStr">
        <is>
          <t>Financial</t>
        </is>
      </c>
      <c r="E5342" t="inlineStr">
        <is>
          <t>Closing Price Q4 2023</t>
        </is>
      </c>
      <c r="F5342" t="n">
        <v>1045</v>
      </c>
      <c r="G5342" t="inlineStr">
        <is>
          <t>Rp/share</t>
        </is>
      </c>
      <c r="H5342" t="n">
        <v>19</v>
      </c>
      <c r="I5342" t="inlineStr">
        <is>
          <t>Triwulan IV 2023 Closing Price 1.045</t>
        </is>
      </c>
      <c r="J5342" t="inlineStr">
        <is>
          <t>High</t>
        </is>
      </c>
      <c r="M5342" t="inlineStr">
        <is>
          <t>LLM</t>
        </is>
      </c>
      <c r="N5342" t="inlineStr">
        <is>
          <t>2026-04-19</t>
        </is>
      </c>
      <c r="O5342" t="inlineStr">
        <is>
          <t>AI</t>
        </is>
      </c>
    </row>
    <row r="5343">
      <c r="A5343" t="inlineStr">
        <is>
          <t>PT Sawit Sumbermas Sarana Tbk</t>
        </is>
      </c>
      <c r="B5343" t="inlineStr">
        <is>
          <t>SSMS_2023_AR.pdf</t>
        </is>
      </c>
      <c r="C5343" t="n">
        <v>2023</v>
      </c>
      <c r="D5343" t="inlineStr">
        <is>
          <t>Financial</t>
        </is>
      </c>
      <c r="E5343" t="inlineStr">
        <is>
          <t>Highest Price 2023</t>
        </is>
      </c>
      <c r="F5343" t="n">
        <v>1750</v>
      </c>
      <c r="G5343" t="inlineStr">
        <is>
          <t>Rp/share</t>
        </is>
      </c>
      <c r="H5343" t="n">
        <v>19</v>
      </c>
      <c r="I5343" t="inlineStr">
        <is>
          <t>Triwulan I 2023 Harga Tertinggi 1.750</t>
        </is>
      </c>
      <c r="J5343" t="inlineStr">
        <is>
          <t>High</t>
        </is>
      </c>
      <c r="M5343" t="inlineStr">
        <is>
          <t>LLM</t>
        </is>
      </c>
      <c r="N5343" t="inlineStr">
        <is>
          <t>2026-04-19</t>
        </is>
      </c>
      <c r="O5343" t="inlineStr">
        <is>
          <t>AI</t>
        </is>
      </c>
    </row>
    <row r="5344">
      <c r="A5344" t="inlineStr">
        <is>
          <t>PT Sawit Sumbermas Sarana Tbk</t>
        </is>
      </c>
      <c r="B5344" t="inlineStr">
        <is>
          <t>SSMS_2023_AR.pdf</t>
        </is>
      </c>
      <c r="C5344" t="n">
        <v>2023</v>
      </c>
      <c r="D5344" t="inlineStr">
        <is>
          <t>Financial</t>
        </is>
      </c>
      <c r="E5344" t="inlineStr">
        <is>
          <t>Lowest Price 2023</t>
        </is>
      </c>
      <c r="F5344" t="n">
        <v>935</v>
      </c>
      <c r="G5344" t="inlineStr">
        <is>
          <t>Rp/share</t>
        </is>
      </c>
      <c r="H5344" t="n">
        <v>19</v>
      </c>
      <c r="I5344" t="inlineStr">
        <is>
          <t>Triwulan IV 2023 Harga Terendah 935</t>
        </is>
      </c>
      <c r="J5344" t="inlineStr">
        <is>
          <t>High</t>
        </is>
      </c>
      <c r="M5344" t="inlineStr">
        <is>
          <t>LLM</t>
        </is>
      </c>
      <c r="N5344" t="inlineStr">
        <is>
          <t>2026-04-19</t>
        </is>
      </c>
      <c r="O5344" t="inlineStr">
        <is>
          <t>AI</t>
        </is>
      </c>
    </row>
    <row r="5345">
      <c r="A5345" t="inlineStr">
        <is>
          <t>PT Sawit Sumbermas Sarana Tbk</t>
        </is>
      </c>
      <c r="B5345" t="inlineStr">
        <is>
          <t>SSMS_2023_AR.pdf</t>
        </is>
      </c>
      <c r="C5345" t="n">
        <v>2023</v>
      </c>
      <c r="D5345" t="inlineStr">
        <is>
          <t>Financial</t>
        </is>
      </c>
      <c r="E5345" t="inlineStr">
        <is>
          <t>Final DPS (for FY2022)</t>
        </is>
      </c>
      <c r="F5345" t="n">
        <v>149.28</v>
      </c>
      <c r="G5345" t="inlineStr">
        <is>
          <t>Rp/share</t>
        </is>
      </c>
      <c r="H5345" t="n">
        <v>125</v>
      </c>
      <c r="I5345" t="inlineStr">
        <is>
          <t>Dividen per Lembar Saham 149,28 (FY2022 paid 8 Jun 2023)</t>
        </is>
      </c>
      <c r="J5345" t="inlineStr">
        <is>
          <t>High</t>
        </is>
      </c>
      <c r="M5345" t="inlineStr">
        <is>
          <t>LLM</t>
        </is>
      </c>
      <c r="N5345" t="inlineStr">
        <is>
          <t>2026-04-19</t>
        </is>
      </c>
      <c r="O5345" t="inlineStr">
        <is>
          <t>AI</t>
        </is>
      </c>
    </row>
    <row r="5346">
      <c r="A5346" t="inlineStr">
        <is>
          <t>PT Sawit Sumbermas Sarana Tbk</t>
        </is>
      </c>
      <c r="B5346" t="inlineStr">
        <is>
          <t>SSMS_2023_AR.pdf</t>
        </is>
      </c>
      <c r="C5346" t="n">
        <v>2023</v>
      </c>
      <c r="D5346" t="inlineStr">
        <is>
          <t>Financial</t>
        </is>
      </c>
      <c r="E5346" t="inlineStr">
        <is>
          <t>Total Dividend Paid 2023</t>
        </is>
      </c>
      <c r="F5346" t="n">
        <v>1422</v>
      </c>
      <c r="G5346" t="inlineStr">
        <is>
          <t>IDR bn</t>
        </is>
      </c>
      <c r="H5346" t="n">
        <v>125</v>
      </c>
      <c r="I5346" t="inlineStr">
        <is>
          <t>Dividen Kas yang Dibagikan 1.421.971.112.800</t>
        </is>
      </c>
      <c r="J5346" t="inlineStr">
        <is>
          <t>High</t>
        </is>
      </c>
      <c r="M5346" t="inlineStr">
        <is>
          <t>LLM</t>
        </is>
      </c>
      <c r="N5346" t="inlineStr">
        <is>
          <t>2026-04-19</t>
        </is>
      </c>
      <c r="O5346" t="inlineStr">
        <is>
          <t>AI</t>
        </is>
      </c>
    </row>
    <row r="5347">
      <c r="A5347" t="inlineStr">
        <is>
          <t>PT Sawit Sumbermas Sarana Tbk</t>
        </is>
      </c>
      <c r="B5347" t="inlineStr">
        <is>
          <t>SSMS_2023_AR.pdf</t>
        </is>
      </c>
      <c r="C5347" t="n">
        <v>2023</v>
      </c>
      <c r="D5347" t="inlineStr">
        <is>
          <t>Financial</t>
        </is>
      </c>
      <c r="E5347" t="inlineStr">
        <is>
          <t>Bonds Fully Repaid</t>
        </is>
      </c>
      <c r="F5347" t="n">
        <v>300</v>
      </c>
      <c r="G5347" t="inlineStr">
        <is>
          <t>USD mn</t>
        </is>
      </c>
      <c r="H5347" t="n">
        <v>127</v>
      </c>
      <c r="I5347" t="inlineStr">
        <is>
          <t>Obligasi global senilai USD300 juta yang diterbitkan oleh Entitas Anak, SSMS Plantation Holding Pte Ltd, pada 24 Januari 2018 ... telah dilunasi sepenuhnya pada awal tahun 2023</t>
        </is>
      </c>
      <c r="J5347" t="inlineStr">
        <is>
          <t>High</t>
        </is>
      </c>
      <c r="M5347" t="inlineStr">
        <is>
          <t>LLM</t>
        </is>
      </c>
      <c r="N5347" t="inlineStr">
        <is>
          <t>2026-04-19</t>
        </is>
      </c>
      <c r="O5347" t="inlineStr">
        <is>
          <t>AI</t>
        </is>
      </c>
    </row>
    <row r="5348">
      <c r="A5348" t="inlineStr">
        <is>
          <t>PT Sawit Sumbermas Sarana Tbk</t>
        </is>
      </c>
      <c r="B5348" t="inlineStr">
        <is>
          <t>SSMS_2023_AR.pdf</t>
        </is>
      </c>
      <c r="C5348" t="n">
        <v>2023</v>
      </c>
      <c r="D5348" t="inlineStr">
        <is>
          <t>Asset</t>
        </is>
      </c>
      <c r="E5348" t="inlineStr">
        <is>
          <t>Total Managed Area</t>
        </is>
      </c>
      <c r="F5348" t="n">
        <v>115880</v>
      </c>
      <c r="G5348" t="inlineStr">
        <is>
          <t>ha</t>
        </is>
      </c>
      <c r="H5348" t="n">
        <v>72</v>
      </c>
      <c r="I5348" t="inlineStr">
        <is>
          <t>Total Managed Area (Nucleus and Plasma) 115.880,80 Hektare</t>
        </is>
      </c>
      <c r="J5348" t="inlineStr">
        <is>
          <t>High</t>
        </is>
      </c>
      <c r="M5348" t="inlineStr">
        <is>
          <t>LLM</t>
        </is>
      </c>
      <c r="N5348" t="inlineStr">
        <is>
          <t>2026-04-19</t>
        </is>
      </c>
      <c r="O5348" t="inlineStr">
        <is>
          <t>AI</t>
        </is>
      </c>
    </row>
    <row r="5349">
      <c r="A5349" t="inlineStr">
        <is>
          <t>PT Sawit Sumbermas Sarana Tbk</t>
        </is>
      </c>
      <c r="B5349" t="inlineStr">
        <is>
          <t>SSMS_2023_AR.pdf</t>
        </is>
      </c>
      <c r="C5349" t="n">
        <v>2023</v>
      </c>
      <c r="D5349" t="inlineStr">
        <is>
          <t>Asset</t>
        </is>
      </c>
      <c r="E5349" t="inlineStr">
        <is>
          <t>Mature Planted Area</t>
        </is>
      </c>
      <c r="F5349" t="n">
        <v>81405</v>
      </c>
      <c r="G5349" t="inlineStr">
        <is>
          <t>ha</t>
        </is>
      </c>
      <c r="H5349" t="n">
        <v>72</v>
      </c>
      <c r="I5349" t="inlineStr">
        <is>
          <t>Luas Lahan Ditanami Kelapa Sawit Menghasilkan (Mature) 81.405,44 Hektare</t>
        </is>
      </c>
      <c r="J5349" t="inlineStr">
        <is>
          <t>High</t>
        </is>
      </c>
      <c r="M5349" t="inlineStr">
        <is>
          <t>LLM</t>
        </is>
      </c>
      <c r="N5349" t="inlineStr">
        <is>
          <t>2026-04-19</t>
        </is>
      </c>
      <c r="O5349" t="inlineStr">
        <is>
          <t>AI</t>
        </is>
      </c>
    </row>
    <row r="5350">
      <c r="A5350" t="inlineStr">
        <is>
          <t>PT Sawit Sumbermas Sarana Tbk</t>
        </is>
      </c>
      <c r="B5350" t="inlineStr">
        <is>
          <t>SSMS_2023_AR.pdf</t>
        </is>
      </c>
      <c r="C5350" t="n">
        <v>2023</v>
      </c>
      <c r="D5350" t="inlineStr">
        <is>
          <t>Asset</t>
        </is>
      </c>
      <c r="E5350" t="inlineStr">
        <is>
          <t>Immature Planted Area</t>
        </is>
      </c>
      <c r="F5350" t="n">
        <v>1060</v>
      </c>
      <c r="G5350" t="inlineStr">
        <is>
          <t>ha</t>
        </is>
      </c>
      <c r="H5350" t="n">
        <v>72</v>
      </c>
      <c r="I5350" t="inlineStr">
        <is>
          <t>Luas Lahan Ditanami Kelapa Sawit Belum Menghasilkan (Immature) 1.060,28 Hektare</t>
        </is>
      </c>
      <c r="J5350" t="inlineStr">
        <is>
          <t>High</t>
        </is>
      </c>
      <c r="M5350" t="inlineStr">
        <is>
          <t>LLM</t>
        </is>
      </c>
      <c r="N5350" t="inlineStr">
        <is>
          <t>2026-04-19</t>
        </is>
      </c>
      <c r="O5350" t="inlineStr">
        <is>
          <t>AI</t>
        </is>
      </c>
    </row>
    <row r="5351">
      <c r="A5351" t="inlineStr">
        <is>
          <t>PT Sawit Sumbermas Sarana Tbk</t>
        </is>
      </c>
      <c r="B5351" t="inlineStr">
        <is>
          <t>SSMS_2023_AR.pdf</t>
        </is>
      </c>
      <c r="C5351" t="n">
        <v>2023</v>
      </c>
      <c r="D5351" t="inlineStr">
        <is>
          <t>Asset</t>
        </is>
      </c>
      <c r="E5351" t="inlineStr">
        <is>
          <t>Other Plantation Area</t>
        </is>
      </c>
      <c r="F5351" t="n">
        <v>33309</v>
      </c>
      <c r="G5351" t="inlineStr">
        <is>
          <t>ha</t>
        </is>
      </c>
      <c r="H5351" t="n">
        <v>72</v>
      </c>
      <c r="I5351" t="inlineStr">
        <is>
          <t>Hektar Luas Lahan Lainnya 33.309,39 Hektare</t>
        </is>
      </c>
      <c r="J5351" t="inlineStr">
        <is>
          <t>High</t>
        </is>
      </c>
      <c r="M5351" t="inlineStr">
        <is>
          <t>LLM</t>
        </is>
      </c>
      <c r="N5351" t="inlineStr">
        <is>
          <t>2026-04-19</t>
        </is>
      </c>
      <c r="O5351" t="inlineStr">
        <is>
          <t>AI</t>
        </is>
      </c>
    </row>
    <row r="5352">
      <c r="A5352" t="inlineStr">
        <is>
          <t>PT Sawit Sumbermas Sarana Tbk</t>
        </is>
      </c>
      <c r="B5352" t="inlineStr">
        <is>
          <t>SSMS_2023_AR.pdf</t>
        </is>
      </c>
      <c r="C5352" t="n">
        <v>2023</v>
      </c>
      <c r="D5352" t="inlineStr">
        <is>
          <t>Asset</t>
        </is>
      </c>
      <c r="E5352" t="inlineStr">
        <is>
          <t>Plasma Area</t>
        </is>
      </c>
      <c r="F5352" t="n">
        <v>22347</v>
      </c>
      <c r="G5352" t="inlineStr">
        <is>
          <t>ha</t>
        </is>
      </c>
      <c r="H5352" t="n">
        <v>72</v>
      </c>
      <c r="I5352" t="inlineStr">
        <is>
          <t>Luas Lahan Perkebunan Petani Plasma 22.346,51 Hektare</t>
        </is>
      </c>
      <c r="J5352" t="inlineStr">
        <is>
          <t>High</t>
        </is>
      </c>
      <c r="M5352" t="inlineStr">
        <is>
          <t>LLM</t>
        </is>
      </c>
      <c r="N5352" t="inlineStr">
        <is>
          <t>2026-04-19</t>
        </is>
      </c>
      <c r="O5352" t="inlineStr">
        <is>
          <t>AI</t>
        </is>
      </c>
    </row>
    <row r="5353">
      <c r="A5353" t="inlineStr">
        <is>
          <t>PT Sawit Sumbermas Sarana Tbk</t>
        </is>
      </c>
      <c r="B5353" t="inlineStr">
        <is>
          <t>SSMS_2023_AR.pdf</t>
        </is>
      </c>
      <c r="C5353" t="n">
        <v>2023</v>
      </c>
      <c r="D5353" t="inlineStr">
        <is>
          <t>Asset</t>
        </is>
      </c>
      <c r="E5353" t="inlineStr">
        <is>
          <t>HGU Land Area</t>
        </is>
      </c>
      <c r="F5353" t="n">
        <v>54482</v>
      </c>
      <c r="G5353" t="inlineStr">
        <is>
          <t>ha</t>
        </is>
      </c>
      <c r="H5353" t="n">
        <v>72</v>
      </c>
      <c r="I5353" t="inlineStr">
        <is>
          <t>Luas Lahan Perseroan Memperoleh HGU 54.481,54 Hektare</t>
        </is>
      </c>
      <c r="J5353" t="inlineStr">
        <is>
          <t>High</t>
        </is>
      </c>
      <c r="M5353" t="inlineStr">
        <is>
          <t>LLM</t>
        </is>
      </c>
      <c r="N5353" t="inlineStr">
        <is>
          <t>2026-04-19</t>
        </is>
      </c>
      <c r="O5353" t="inlineStr">
        <is>
          <t>AI</t>
        </is>
      </c>
    </row>
    <row r="5354">
      <c r="A5354" t="inlineStr">
        <is>
          <t>PT Sawit Sumbermas Sarana Tbk</t>
        </is>
      </c>
      <c r="B5354" t="inlineStr">
        <is>
          <t>SSMS_2023_AR.pdf</t>
        </is>
      </c>
      <c r="C5354" t="n">
        <v>2023</v>
      </c>
      <c r="D5354" t="inlineStr">
        <is>
          <t>Asset</t>
        </is>
      </c>
      <c r="E5354" t="inlineStr">
        <is>
          <t>Number of Estates</t>
        </is>
      </c>
      <c r="F5354" t="n">
        <v>23</v>
      </c>
      <c r="G5354" t="inlineStr">
        <is>
          <t>count</t>
        </is>
      </c>
      <c r="H5354" t="n">
        <v>72</v>
      </c>
      <c r="I5354" t="inlineStr">
        <is>
          <t>Perkebunan Kelapa Sawit 23 Estate</t>
        </is>
      </c>
      <c r="J5354" t="inlineStr">
        <is>
          <t>High</t>
        </is>
      </c>
      <c r="M5354" t="inlineStr">
        <is>
          <t>LLM</t>
        </is>
      </c>
      <c r="N5354" t="inlineStr">
        <is>
          <t>2026-04-19</t>
        </is>
      </c>
      <c r="O5354" t="inlineStr">
        <is>
          <t>AI</t>
        </is>
      </c>
    </row>
    <row r="5355">
      <c r="A5355" t="inlineStr">
        <is>
          <t>PT Sawit Sumbermas Sarana Tbk</t>
        </is>
      </c>
      <c r="B5355" t="inlineStr">
        <is>
          <t>SSMS_2023_AR.pdf</t>
        </is>
      </c>
      <c r="C5355" t="n">
        <v>2023</v>
      </c>
      <c r="D5355" t="inlineStr">
        <is>
          <t>Asset</t>
        </is>
      </c>
      <c r="E5355" t="inlineStr">
        <is>
          <t>Number of Palm Oil Mills</t>
        </is>
      </c>
      <c r="F5355" t="n">
        <v>8</v>
      </c>
      <c r="G5355" t="inlineStr">
        <is>
          <t>count</t>
        </is>
      </c>
      <c r="H5355" t="n">
        <v>72</v>
      </c>
      <c r="I5355" t="inlineStr">
        <is>
          <t>Pabrik Kelapa Sawit (PKS) 8 Unit</t>
        </is>
      </c>
      <c r="J5355" t="inlineStr">
        <is>
          <t>High</t>
        </is>
      </c>
      <c r="M5355" t="inlineStr">
        <is>
          <t>LLM</t>
        </is>
      </c>
      <c r="N5355" t="inlineStr">
        <is>
          <t>2026-04-19</t>
        </is>
      </c>
      <c r="O5355" t="inlineStr">
        <is>
          <t>AI</t>
        </is>
      </c>
    </row>
    <row r="5356">
      <c r="A5356" t="inlineStr">
        <is>
          <t>PT Sawit Sumbermas Sarana Tbk</t>
        </is>
      </c>
      <c r="B5356" t="inlineStr">
        <is>
          <t>SSMS_2023_AR.pdf</t>
        </is>
      </c>
      <c r="C5356" t="n">
        <v>2023</v>
      </c>
      <c r="D5356" t="inlineStr">
        <is>
          <t>Asset</t>
        </is>
      </c>
      <c r="E5356" t="inlineStr">
        <is>
          <t>Total Mill Capacity</t>
        </is>
      </c>
      <c r="F5356" t="n">
        <v>540</v>
      </c>
      <c r="G5356" t="inlineStr">
        <is>
          <t>tph</t>
        </is>
      </c>
      <c r="H5356" t="n">
        <v>72</v>
      </c>
      <c r="I5356" t="inlineStr">
        <is>
          <t>Total Kapasitas Pengolahan Kelapa Sawit 540 Ton/H</t>
        </is>
      </c>
      <c r="J5356" t="inlineStr">
        <is>
          <t>High</t>
        </is>
      </c>
      <c r="M5356" t="inlineStr">
        <is>
          <t>LLM</t>
        </is>
      </c>
      <c r="N5356" t="inlineStr">
        <is>
          <t>2026-04-19</t>
        </is>
      </c>
      <c r="O5356" t="inlineStr">
        <is>
          <t>AI</t>
        </is>
      </c>
    </row>
    <row r="5357">
      <c r="A5357" t="inlineStr">
        <is>
          <t>PT Sawit Sumbermas Sarana Tbk</t>
        </is>
      </c>
      <c r="B5357" t="inlineStr">
        <is>
          <t>SSMS_2023_AR.pdf</t>
        </is>
      </c>
      <c r="C5357" t="n">
        <v>2023</v>
      </c>
      <c r="D5357" t="inlineStr">
        <is>
          <t>Asset</t>
        </is>
      </c>
      <c r="E5357" t="inlineStr">
        <is>
          <t>RSPO Certified Mills</t>
        </is>
      </c>
      <c r="F5357" t="n">
        <v>8</v>
      </c>
      <c r="G5357" t="inlineStr">
        <is>
          <t>count</t>
        </is>
      </c>
      <c r="H5357" t="n">
        <v>72</v>
      </c>
      <c r="I5357" t="inlineStr">
        <is>
          <t>Pabrik Kelapa Sawit (PKS) Bersertifikat RSPO 8</t>
        </is>
      </c>
      <c r="J5357" t="inlineStr">
        <is>
          <t>High</t>
        </is>
      </c>
      <c r="M5357" t="inlineStr">
        <is>
          <t>LLM</t>
        </is>
      </c>
      <c r="N5357" t="inlineStr">
        <is>
          <t>2026-04-19</t>
        </is>
      </c>
      <c r="O5357" t="inlineStr">
        <is>
          <t>AI</t>
        </is>
      </c>
    </row>
    <row r="5358">
      <c r="A5358" t="inlineStr">
        <is>
          <t>PT Sawit Sumbermas Sarana Tbk</t>
        </is>
      </c>
      <c r="B5358" t="inlineStr">
        <is>
          <t>SSMS_2023_AR.pdf</t>
        </is>
      </c>
      <c r="C5358" t="n">
        <v>2023</v>
      </c>
      <c r="D5358" t="inlineStr">
        <is>
          <t>Asset</t>
        </is>
      </c>
      <c r="E5358" t="inlineStr">
        <is>
          <t>Refinery Capacity</t>
        </is>
      </c>
      <c r="F5358" t="n">
        <v>850000</v>
      </c>
      <c r="G5358" t="inlineStr">
        <is>
          <t>MT/year</t>
        </is>
      </c>
      <c r="H5358" t="n">
        <v>74</v>
      </c>
      <c r="I5358" t="inlineStr">
        <is>
          <t>Pabrik Pemurnian 2.500 MT/hari atau 850.000 MT/tahun</t>
        </is>
      </c>
      <c r="J5358" t="inlineStr">
        <is>
          <t>High</t>
        </is>
      </c>
      <c r="M5358" t="inlineStr">
        <is>
          <t>LLM</t>
        </is>
      </c>
      <c r="N5358" t="inlineStr">
        <is>
          <t>2026-04-19</t>
        </is>
      </c>
      <c r="O5358" t="inlineStr">
        <is>
          <t>AI</t>
        </is>
      </c>
    </row>
    <row r="5359">
      <c r="A5359" t="inlineStr">
        <is>
          <t>PT Sawit Sumbermas Sarana Tbk</t>
        </is>
      </c>
      <c r="B5359" t="inlineStr">
        <is>
          <t>SSMS_2023_AR.pdf</t>
        </is>
      </c>
      <c r="C5359" t="n">
        <v>2023</v>
      </c>
      <c r="D5359" t="inlineStr">
        <is>
          <t>Asset</t>
        </is>
      </c>
      <c r="E5359" t="inlineStr">
        <is>
          <t>Fractionation Capacity</t>
        </is>
      </c>
      <c r="F5359" t="n">
        <v>850000</v>
      </c>
      <c r="G5359" t="inlineStr">
        <is>
          <t>MT/year</t>
        </is>
      </c>
      <c r="H5359" t="n">
        <v>74</v>
      </c>
      <c r="I5359" t="inlineStr">
        <is>
          <t>Pabrik Fraksinasi 2.500 MT/hari atau 850.000 MT/tahun</t>
        </is>
      </c>
      <c r="J5359" t="inlineStr">
        <is>
          <t>High</t>
        </is>
      </c>
      <c r="M5359" t="inlineStr">
        <is>
          <t>LLM</t>
        </is>
      </c>
      <c r="N5359" t="inlineStr">
        <is>
          <t>2026-04-19</t>
        </is>
      </c>
      <c r="O5359" t="inlineStr">
        <is>
          <t>AI</t>
        </is>
      </c>
    </row>
    <row r="5360">
      <c r="A5360" t="inlineStr">
        <is>
          <t>PT Sawit Sumbermas Sarana Tbk</t>
        </is>
      </c>
      <c r="B5360" t="inlineStr">
        <is>
          <t>SSMS_2023_AR.pdf</t>
        </is>
      </c>
      <c r="C5360" t="n">
        <v>2023</v>
      </c>
      <c r="D5360" t="inlineStr">
        <is>
          <t>Asset</t>
        </is>
      </c>
      <c r="E5360" t="inlineStr">
        <is>
          <t>Kernel Crushing Capacity</t>
        </is>
      </c>
      <c r="F5360" t="n">
        <v>192000</v>
      </c>
      <c r="G5360" t="inlineStr">
        <is>
          <t>MT/year</t>
        </is>
      </c>
      <c r="H5360" t="n">
        <v>74</v>
      </c>
      <c r="I5360" t="inlineStr">
        <is>
          <t>Pabrik Kernel Crushing 600 MT/hari atau 192.000 MT/tahun</t>
        </is>
      </c>
      <c r="J5360" t="inlineStr">
        <is>
          <t>High</t>
        </is>
      </c>
      <c r="M5360" t="inlineStr">
        <is>
          <t>LLM</t>
        </is>
      </c>
      <c r="N5360" t="inlineStr">
        <is>
          <t>2026-04-19</t>
        </is>
      </c>
      <c r="O5360" t="inlineStr">
        <is>
          <t>AI</t>
        </is>
      </c>
    </row>
    <row r="5361">
      <c r="A5361" t="inlineStr">
        <is>
          <t>PT Sawit Sumbermas Sarana Tbk</t>
        </is>
      </c>
      <c r="B5361" t="inlineStr">
        <is>
          <t>SSMS_2023_AR.pdf</t>
        </is>
      </c>
      <c r="C5361" t="n">
        <v>2023</v>
      </c>
      <c r="D5361" t="inlineStr">
        <is>
          <t>Asset</t>
        </is>
      </c>
      <c r="E5361" t="inlineStr">
        <is>
          <t>Biogas Plants</t>
        </is>
      </c>
      <c r="F5361" t="n">
        <v>2</v>
      </c>
      <c r="G5361" t="inlineStr">
        <is>
          <t>count</t>
        </is>
      </c>
      <c r="H5361" t="n">
        <v>72</v>
      </c>
      <c r="I5361" t="inlineStr">
        <is>
          <t>Pabrik Biogas 2 Unit (Suayap + new Natai Baru 2023)</t>
        </is>
      </c>
      <c r="J5361" t="inlineStr">
        <is>
          <t>High</t>
        </is>
      </c>
      <c r="M5361" t="inlineStr">
        <is>
          <t>LLM</t>
        </is>
      </c>
      <c r="N5361" t="inlineStr">
        <is>
          <t>2026-04-19</t>
        </is>
      </c>
      <c r="O5361" t="inlineStr">
        <is>
          <t>AI</t>
        </is>
      </c>
    </row>
    <row r="5362">
      <c r="A5362" t="inlineStr">
        <is>
          <t>PT Sawit Sumbermas Sarana Tbk</t>
        </is>
      </c>
      <c r="B5362" t="inlineStr">
        <is>
          <t>SSMS_2023_AR.pdf</t>
        </is>
      </c>
      <c r="C5362" t="n">
        <v>2023</v>
      </c>
      <c r="D5362" t="inlineStr">
        <is>
          <t>Asset</t>
        </is>
      </c>
      <c r="E5362" t="inlineStr">
        <is>
          <t>Bio-CNG Plant (Commissioned 2023)</t>
        </is>
      </c>
      <c r="F5362" t="n">
        <v>1</v>
      </c>
      <c r="G5362" t="inlineStr">
        <is>
          <t>count</t>
        </is>
      </c>
      <c r="H5362" t="n">
        <v>74</v>
      </c>
      <c r="I5362" t="inlineStr">
        <is>
          <t>Pabrik Bio-CNG Natai Baru 2023 4.800 Nm3/hari</t>
        </is>
      </c>
      <c r="J5362" t="inlineStr">
        <is>
          <t>High</t>
        </is>
      </c>
      <c r="M5362" t="inlineStr">
        <is>
          <t>LLM</t>
        </is>
      </c>
      <c r="N5362" t="inlineStr">
        <is>
          <t>2026-04-19</t>
        </is>
      </c>
      <c r="O5362" t="inlineStr">
        <is>
          <t>AI</t>
        </is>
      </c>
    </row>
    <row r="5363">
      <c r="A5363" t="inlineStr">
        <is>
          <t>PT Sawit Sumbermas Sarana Tbk</t>
        </is>
      </c>
      <c r="B5363" t="inlineStr">
        <is>
          <t>SSMS_2023_AR.pdf</t>
        </is>
      </c>
      <c r="C5363" t="n">
        <v>2023</v>
      </c>
      <c r="D5363" t="inlineStr">
        <is>
          <t>Operation</t>
        </is>
      </c>
      <c r="E5363" t="inlineStr">
        <is>
          <t>FFB Nucleus Production</t>
        </is>
      </c>
      <c r="F5363" t="n">
        <v>1723170</v>
      </c>
      <c r="G5363" t="inlineStr">
        <is>
          <t>t</t>
        </is>
      </c>
      <c r="H5363" t="n">
        <v>20</v>
      </c>
      <c r="I5363" t="inlineStr">
        <is>
          <t>Tandan Buah Segar dari perkebunan inti MT 1.723.170</t>
        </is>
      </c>
      <c r="J5363" t="inlineStr">
        <is>
          <t>High</t>
        </is>
      </c>
      <c r="M5363" t="inlineStr">
        <is>
          <t>LLM</t>
        </is>
      </c>
      <c r="N5363" t="inlineStr">
        <is>
          <t>2026-04-19</t>
        </is>
      </c>
      <c r="O5363" t="inlineStr">
        <is>
          <t>AI</t>
        </is>
      </c>
    </row>
    <row r="5364">
      <c r="A5364" t="inlineStr">
        <is>
          <t>PT Sawit Sumbermas Sarana Tbk</t>
        </is>
      </c>
      <c r="B5364" t="inlineStr">
        <is>
          <t>SSMS_2023_AR.pdf</t>
        </is>
      </c>
      <c r="C5364" t="n">
        <v>2023</v>
      </c>
      <c r="D5364" t="inlineStr">
        <is>
          <t>Operation</t>
        </is>
      </c>
      <c r="E5364" t="inlineStr">
        <is>
          <t>FFB Plasma Production</t>
        </is>
      </c>
      <c r="F5364" t="n">
        <v>94226</v>
      </c>
      <c r="G5364" t="inlineStr">
        <is>
          <t>t</t>
        </is>
      </c>
      <c r="H5364" t="n">
        <v>20</v>
      </c>
      <c r="I5364" t="inlineStr">
        <is>
          <t>Tandan Buah Segar dari perkebunan plasma MT 94.226</t>
        </is>
      </c>
      <c r="J5364" t="inlineStr">
        <is>
          <t>High</t>
        </is>
      </c>
      <c r="M5364" t="inlineStr">
        <is>
          <t>LLM</t>
        </is>
      </c>
      <c r="N5364" t="inlineStr">
        <is>
          <t>2026-04-19</t>
        </is>
      </c>
      <c r="O5364" t="inlineStr">
        <is>
          <t>AI</t>
        </is>
      </c>
    </row>
    <row r="5365">
      <c r="A5365" t="inlineStr">
        <is>
          <t>PT Sawit Sumbermas Sarana Tbk</t>
        </is>
      </c>
      <c r="B5365" t="inlineStr">
        <is>
          <t>SSMS_2023_AR.pdf</t>
        </is>
      </c>
      <c r="C5365" t="n">
        <v>2023</v>
      </c>
      <c r="D5365" t="inlineStr">
        <is>
          <t>Operation</t>
        </is>
      </c>
      <c r="E5365" t="inlineStr">
        <is>
          <t>FFB Third-Party</t>
        </is>
      </c>
      <c r="F5365" t="n">
        <v>571063</v>
      </c>
      <c r="G5365" t="inlineStr">
        <is>
          <t>t</t>
        </is>
      </c>
      <c r="H5365" t="n">
        <v>20</v>
      </c>
      <c r="I5365" t="inlineStr">
        <is>
          <t>Tandan Buah Segar dari pihak ketiga MT 571.063</t>
        </is>
      </c>
      <c r="J5365" t="inlineStr">
        <is>
          <t>High</t>
        </is>
      </c>
      <c r="M5365" t="inlineStr">
        <is>
          <t>LLM</t>
        </is>
      </c>
      <c r="N5365" t="inlineStr">
        <is>
          <t>2026-04-19</t>
        </is>
      </c>
      <c r="O5365" t="inlineStr">
        <is>
          <t>AI</t>
        </is>
      </c>
    </row>
    <row r="5366">
      <c r="A5366" t="inlineStr">
        <is>
          <t>PT Sawit Sumbermas Sarana Tbk</t>
        </is>
      </c>
      <c r="B5366" t="inlineStr">
        <is>
          <t>SSMS_2023_AR.pdf</t>
        </is>
      </c>
      <c r="C5366" t="n">
        <v>2023</v>
      </c>
      <c r="D5366" t="inlineStr">
        <is>
          <t>Operation</t>
        </is>
      </c>
      <c r="E5366" t="inlineStr">
        <is>
          <t>FFB Production Total</t>
        </is>
      </c>
      <c r="F5366" t="n">
        <v>2388459</v>
      </c>
      <c r="G5366" t="inlineStr">
        <is>
          <t>t</t>
        </is>
      </c>
      <c r="H5366" t="n">
        <v>20</v>
      </c>
      <c r="I5366" t="inlineStr">
        <is>
          <t>Jumlah Produksi TBS MT 2.388.459 (from nucleus+plasma+3rd party: 1,723,170+94,226+571,063)</t>
        </is>
      </c>
      <c r="J5366" t="inlineStr">
        <is>
          <t>High</t>
        </is>
      </c>
      <c r="M5366" t="inlineStr">
        <is>
          <t>LLM</t>
        </is>
      </c>
      <c r="N5366" t="inlineStr">
        <is>
          <t>2026-04-19</t>
        </is>
      </c>
      <c r="O5366" t="inlineStr">
        <is>
          <t>AI</t>
        </is>
      </c>
    </row>
    <row r="5367">
      <c r="A5367" t="inlineStr">
        <is>
          <t>PT Sawit Sumbermas Sarana Tbk</t>
        </is>
      </c>
      <c r="B5367" t="inlineStr">
        <is>
          <t>SSMS_2023_AR.pdf</t>
        </is>
      </c>
      <c r="C5367" t="n">
        <v>2023</v>
      </c>
      <c r="D5367" t="inlineStr">
        <is>
          <t>Operation</t>
        </is>
      </c>
      <c r="E5367" t="inlineStr">
        <is>
          <t>FFB Processed Total</t>
        </is>
      </c>
      <c r="F5367" t="n">
        <v>2345131</v>
      </c>
      <c r="G5367" t="inlineStr">
        <is>
          <t>t</t>
        </is>
      </c>
      <c r="H5367" t="n">
        <v>20</v>
      </c>
      <c r="I5367" t="inlineStr">
        <is>
          <t>Jumlah Produksi TBS MT 2.345.131 (processed)</t>
        </is>
      </c>
      <c r="J5367" t="inlineStr">
        <is>
          <t>High</t>
        </is>
      </c>
      <c r="M5367" t="inlineStr">
        <is>
          <t>LLM</t>
        </is>
      </c>
      <c r="N5367" t="inlineStr">
        <is>
          <t>2026-04-19</t>
        </is>
      </c>
      <c r="O5367" t="inlineStr">
        <is>
          <t>AI</t>
        </is>
      </c>
    </row>
    <row r="5368">
      <c r="A5368" t="inlineStr">
        <is>
          <t>PT Sawit Sumbermas Sarana Tbk</t>
        </is>
      </c>
      <c r="B5368" t="inlineStr">
        <is>
          <t>SSMS_2023_AR.pdf</t>
        </is>
      </c>
      <c r="C5368" t="n">
        <v>2023</v>
      </c>
      <c r="D5368" t="inlineStr">
        <is>
          <t>Operation</t>
        </is>
      </c>
      <c r="E5368" t="inlineStr">
        <is>
          <t>CPO Production</t>
        </is>
      </c>
      <c r="F5368" t="n">
        <v>518819</v>
      </c>
      <c r="G5368" t="inlineStr">
        <is>
          <t>t</t>
        </is>
      </c>
      <c r="H5368" t="n">
        <v>20</v>
      </c>
      <c r="I5368" t="inlineStr">
        <is>
          <t>Minyak Kelapa Sawit MT 518.819</t>
        </is>
      </c>
      <c r="J5368" t="inlineStr">
        <is>
          <t>High</t>
        </is>
      </c>
      <c r="M5368" t="inlineStr">
        <is>
          <t>LLM</t>
        </is>
      </c>
      <c r="N5368" t="inlineStr">
        <is>
          <t>2026-04-19</t>
        </is>
      </c>
      <c r="O5368" t="inlineStr">
        <is>
          <t>AI</t>
        </is>
      </c>
    </row>
    <row r="5369">
      <c r="A5369" t="inlineStr">
        <is>
          <t>PT Sawit Sumbermas Sarana Tbk</t>
        </is>
      </c>
      <c r="B5369" t="inlineStr">
        <is>
          <t>SSMS_2023_AR.pdf</t>
        </is>
      </c>
      <c r="C5369" t="n">
        <v>2023</v>
      </c>
      <c r="D5369" t="inlineStr">
        <is>
          <t>Operation</t>
        </is>
      </c>
      <c r="E5369" t="inlineStr">
        <is>
          <t>Palm Kernel Production</t>
        </is>
      </c>
      <c r="F5369" t="n">
        <v>99082</v>
      </c>
      <c r="G5369" t="inlineStr">
        <is>
          <t>t</t>
        </is>
      </c>
      <c r="H5369" t="n">
        <v>20</v>
      </c>
      <c r="I5369" t="inlineStr">
        <is>
          <t>Inti Sawit MT 99.082</t>
        </is>
      </c>
      <c r="J5369" t="inlineStr">
        <is>
          <t>High</t>
        </is>
      </c>
      <c r="M5369" t="inlineStr">
        <is>
          <t>LLM</t>
        </is>
      </c>
      <c r="N5369" t="inlineStr">
        <is>
          <t>2026-04-19</t>
        </is>
      </c>
      <c r="O5369" t="inlineStr">
        <is>
          <t>AI</t>
        </is>
      </c>
    </row>
    <row r="5370">
      <c r="A5370" t="inlineStr">
        <is>
          <t>PT Sawit Sumbermas Sarana Tbk</t>
        </is>
      </c>
      <c r="B5370" t="inlineStr">
        <is>
          <t>SSMS_2023_AR.pdf</t>
        </is>
      </c>
      <c r="C5370" t="n">
        <v>2023</v>
      </c>
      <c r="D5370" t="inlineStr">
        <is>
          <t>Operation</t>
        </is>
      </c>
      <c r="E5370" t="inlineStr">
        <is>
          <t>PKO Production</t>
        </is>
      </c>
      <c r="F5370" t="n">
        <v>22327</v>
      </c>
      <c r="G5370" t="inlineStr">
        <is>
          <t>t</t>
        </is>
      </c>
      <c r="H5370" t="n">
        <v>20</v>
      </c>
      <c r="I5370" t="inlineStr">
        <is>
          <t>Minyak Inti Sawit MT 22.327</t>
        </is>
      </c>
      <c r="J5370" t="inlineStr">
        <is>
          <t>High</t>
        </is>
      </c>
      <c r="M5370" t="inlineStr">
        <is>
          <t>LLM</t>
        </is>
      </c>
      <c r="N5370" t="inlineStr">
        <is>
          <t>2026-04-19</t>
        </is>
      </c>
      <c r="O5370" t="inlineStr">
        <is>
          <t>AI</t>
        </is>
      </c>
    </row>
    <row r="5371">
      <c r="A5371" t="inlineStr">
        <is>
          <t>PT Sawit Sumbermas Sarana Tbk</t>
        </is>
      </c>
      <c r="B5371" t="inlineStr">
        <is>
          <t>SSMS_2023_AR.pdf</t>
        </is>
      </c>
      <c r="C5371" t="n">
        <v>2023</v>
      </c>
      <c r="D5371" t="inlineStr">
        <is>
          <t>Operation</t>
        </is>
      </c>
      <c r="E5371" t="inlineStr">
        <is>
          <t>RBDPO Production</t>
        </is>
      </c>
      <c r="F5371" t="n">
        <v>746544</v>
      </c>
      <c r="G5371" t="inlineStr">
        <is>
          <t>t</t>
        </is>
      </c>
      <c r="H5371" t="n">
        <v>20</v>
      </c>
      <c r="I5371" t="inlineStr">
        <is>
          <t>RBDPO MT 746.544</t>
        </is>
      </c>
      <c r="J5371" t="inlineStr">
        <is>
          <t>High</t>
        </is>
      </c>
      <c r="M5371" t="inlineStr">
        <is>
          <t>LLM</t>
        </is>
      </c>
      <c r="N5371" t="inlineStr">
        <is>
          <t>2026-04-19</t>
        </is>
      </c>
      <c r="O5371" t="inlineStr">
        <is>
          <t>AI</t>
        </is>
      </c>
    </row>
    <row r="5372">
      <c r="A5372" t="inlineStr">
        <is>
          <t>PT Sawit Sumbermas Sarana Tbk</t>
        </is>
      </c>
      <c r="B5372" t="inlineStr">
        <is>
          <t>SSMS_2023_AR.pdf</t>
        </is>
      </c>
      <c r="C5372" t="n">
        <v>2023</v>
      </c>
      <c r="D5372" t="inlineStr">
        <is>
          <t>Operation</t>
        </is>
      </c>
      <c r="E5372" t="inlineStr">
        <is>
          <t>RBDP Olein Production</t>
        </is>
      </c>
      <c r="F5372" t="n">
        <v>584864</v>
      </c>
      <c r="G5372" t="inlineStr">
        <is>
          <t>t</t>
        </is>
      </c>
      <c r="H5372" t="n">
        <v>20</v>
      </c>
      <c r="I5372" t="inlineStr">
        <is>
          <t>RBDP Olein MT 584.864</t>
        </is>
      </c>
      <c r="J5372" t="inlineStr">
        <is>
          <t>High</t>
        </is>
      </c>
      <c r="M5372" t="inlineStr">
        <is>
          <t>LLM</t>
        </is>
      </c>
      <c r="N5372" t="inlineStr">
        <is>
          <t>2026-04-19</t>
        </is>
      </c>
      <c r="O5372" t="inlineStr">
        <is>
          <t>AI</t>
        </is>
      </c>
    </row>
    <row r="5373">
      <c r="A5373" t="inlineStr">
        <is>
          <t>PT Sawit Sumbermas Sarana Tbk</t>
        </is>
      </c>
      <c r="B5373" t="inlineStr">
        <is>
          <t>SSMS_2023_AR.pdf</t>
        </is>
      </c>
      <c r="C5373" t="n">
        <v>2023</v>
      </c>
      <c r="D5373" t="inlineStr">
        <is>
          <t>Operation</t>
        </is>
      </c>
      <c r="E5373" t="inlineStr">
        <is>
          <t>RBDPS (Stearin) Production</t>
        </is>
      </c>
      <c r="F5373" t="n">
        <v>137360</v>
      </c>
      <c r="G5373" t="inlineStr">
        <is>
          <t>t</t>
        </is>
      </c>
      <c r="H5373" t="n">
        <v>20</v>
      </c>
      <c r="I5373" t="inlineStr">
        <is>
          <t>RBDPS MT 137.360</t>
        </is>
      </c>
      <c r="J5373" t="inlineStr">
        <is>
          <t>High</t>
        </is>
      </c>
      <c r="M5373" t="inlineStr">
        <is>
          <t>LLM</t>
        </is>
      </c>
      <c r="N5373" t="inlineStr">
        <is>
          <t>2026-04-19</t>
        </is>
      </c>
      <c r="O5373" t="inlineStr">
        <is>
          <t>AI</t>
        </is>
      </c>
    </row>
    <row r="5374">
      <c r="A5374" t="inlineStr">
        <is>
          <t>PT Sawit Sumbermas Sarana Tbk</t>
        </is>
      </c>
      <c r="B5374" t="inlineStr">
        <is>
          <t>SSMS_2023_AR.pdf</t>
        </is>
      </c>
      <c r="C5374" t="n">
        <v>2023</v>
      </c>
      <c r="D5374" t="inlineStr">
        <is>
          <t>Operation</t>
        </is>
      </c>
      <c r="E5374" t="inlineStr">
        <is>
          <t>PFAD Production</t>
        </is>
      </c>
      <c r="F5374" t="n">
        <v>29323</v>
      </c>
      <c r="G5374" t="inlineStr">
        <is>
          <t>t</t>
        </is>
      </c>
      <c r="H5374" t="n">
        <v>20</v>
      </c>
      <c r="I5374" t="inlineStr">
        <is>
          <t>PFAD MT 29.323</t>
        </is>
      </c>
      <c r="J5374" t="inlineStr">
        <is>
          <t>High</t>
        </is>
      </c>
      <c r="M5374" t="inlineStr">
        <is>
          <t>LLM</t>
        </is>
      </c>
      <c r="N5374" t="inlineStr">
        <is>
          <t>2026-04-19</t>
        </is>
      </c>
      <c r="O5374" t="inlineStr">
        <is>
          <t>AI</t>
        </is>
      </c>
    </row>
    <row r="5375">
      <c r="A5375" t="inlineStr">
        <is>
          <t>PT Sawit Sumbermas Sarana Tbk</t>
        </is>
      </c>
      <c r="B5375" t="inlineStr">
        <is>
          <t>SSMS_2023_AR.pdf</t>
        </is>
      </c>
      <c r="C5375" t="n">
        <v>2023</v>
      </c>
      <c r="D5375" t="inlineStr">
        <is>
          <t>Operation</t>
        </is>
      </c>
      <c r="E5375" t="inlineStr">
        <is>
          <t>CPKO Production</t>
        </is>
      </c>
      <c r="F5375" t="n">
        <v>24998</v>
      </c>
      <c r="G5375" t="inlineStr">
        <is>
          <t>t</t>
        </is>
      </c>
      <c r="H5375" t="n">
        <v>20</v>
      </c>
      <c r="I5375" t="inlineStr">
        <is>
          <t>CPKO MT 24.998</t>
        </is>
      </c>
      <c r="J5375" t="inlineStr">
        <is>
          <t>High</t>
        </is>
      </c>
      <c r="M5375" t="inlineStr">
        <is>
          <t>LLM</t>
        </is>
      </c>
      <c r="N5375" t="inlineStr">
        <is>
          <t>2026-04-19</t>
        </is>
      </c>
      <c r="O5375" t="inlineStr">
        <is>
          <t>AI</t>
        </is>
      </c>
    </row>
    <row r="5376">
      <c r="A5376" t="inlineStr">
        <is>
          <t>PT Sawit Sumbermas Sarana Tbk</t>
        </is>
      </c>
      <c r="B5376" t="inlineStr">
        <is>
          <t>SSMS_2023_AR.pdf</t>
        </is>
      </c>
      <c r="C5376" t="n">
        <v>2023</v>
      </c>
      <c r="D5376" t="inlineStr">
        <is>
          <t>Operation</t>
        </is>
      </c>
      <c r="E5376" t="inlineStr">
        <is>
          <t>PKE Production</t>
        </is>
      </c>
      <c r="F5376" t="n">
        <v>34448</v>
      </c>
      <c r="G5376" t="inlineStr">
        <is>
          <t>t</t>
        </is>
      </c>
      <c r="H5376" t="n">
        <v>20</v>
      </c>
      <c r="I5376" t="inlineStr">
        <is>
          <t>PKE MT 34.448</t>
        </is>
      </c>
      <c r="J5376" t="inlineStr">
        <is>
          <t>High</t>
        </is>
      </c>
      <c r="M5376" t="inlineStr">
        <is>
          <t>LLM</t>
        </is>
      </c>
      <c r="N5376" t="inlineStr">
        <is>
          <t>2026-04-19</t>
        </is>
      </c>
      <c r="O5376" t="inlineStr">
        <is>
          <t>AI</t>
        </is>
      </c>
    </row>
    <row r="5377">
      <c r="A5377" t="inlineStr">
        <is>
          <t>PT Sawit Sumbermas Sarana Tbk</t>
        </is>
      </c>
      <c r="B5377" t="inlineStr">
        <is>
          <t>SSMS_2023_AR.pdf</t>
        </is>
      </c>
      <c r="C5377" t="n">
        <v>2023</v>
      </c>
      <c r="D5377" t="inlineStr">
        <is>
          <t>Operation</t>
        </is>
      </c>
      <c r="E5377" t="inlineStr">
        <is>
          <t>Total Downstream Production</t>
        </is>
      </c>
      <c r="F5377" t="n">
        <v>1557588</v>
      </c>
      <c r="G5377" t="inlineStr">
        <is>
          <t>t</t>
        </is>
      </c>
      <c r="H5377" t="n">
        <v>20</v>
      </c>
      <c r="I5377" t="inlineStr">
        <is>
          <t>Total Produksi Hilir MT 1.557.588</t>
        </is>
      </c>
      <c r="J5377" t="inlineStr">
        <is>
          <t>High</t>
        </is>
      </c>
      <c r="M5377" t="inlineStr">
        <is>
          <t>LLM</t>
        </is>
      </c>
      <c r="N5377" t="inlineStr">
        <is>
          <t>2026-04-19</t>
        </is>
      </c>
      <c r="O5377" t="inlineStr">
        <is>
          <t>AI</t>
        </is>
      </c>
    </row>
    <row r="5378">
      <c r="A5378" t="inlineStr">
        <is>
          <t>PT Sawit Sumbermas Sarana Tbk</t>
        </is>
      </c>
      <c r="B5378" t="inlineStr">
        <is>
          <t>SSMS_2023_AR.pdf</t>
        </is>
      </c>
      <c r="C5378" t="n">
        <v>2023</v>
      </c>
      <c r="D5378" t="inlineStr">
        <is>
          <t>Operation</t>
        </is>
      </c>
      <c r="E5378" t="inlineStr">
        <is>
          <t>Total Sales Volume</t>
        </is>
      </c>
      <c r="F5378" t="n">
        <v>923408</v>
      </c>
      <c r="G5378" t="inlineStr">
        <is>
          <t>t</t>
        </is>
      </c>
      <c r="H5378" t="n">
        <v>21</v>
      </c>
      <c r="I5378" t="inlineStr">
        <is>
          <t>Total Penjualan MT 923.408</t>
        </is>
      </c>
      <c r="J5378" t="inlineStr">
        <is>
          <t>High</t>
        </is>
      </c>
      <c r="M5378" t="inlineStr">
        <is>
          <t>LLM</t>
        </is>
      </c>
      <c r="N5378" t="inlineStr">
        <is>
          <t>2026-04-19</t>
        </is>
      </c>
      <c r="O5378" t="inlineStr">
        <is>
          <t>AI</t>
        </is>
      </c>
    </row>
    <row r="5379">
      <c r="A5379" t="inlineStr">
        <is>
          <t>PT Sawit Sumbermas Sarana Tbk</t>
        </is>
      </c>
      <c r="B5379" t="inlineStr">
        <is>
          <t>SSMS_2023_AR.pdf</t>
        </is>
      </c>
      <c r="C5379" t="n">
        <v>2023</v>
      </c>
      <c r="D5379" t="inlineStr">
        <is>
          <t>Operation</t>
        </is>
      </c>
      <c r="E5379" t="inlineStr">
        <is>
          <t>OER (2023)</t>
        </is>
      </c>
      <c r="F5379" t="n">
        <v>0.221</v>
      </c>
      <c r="G5379" t="inlineStr">
        <is>
          <t>%</t>
        </is>
      </c>
      <c r="H5379" t="n">
        <v>108</v>
      </c>
      <c r="I5379" t="inlineStr">
        <is>
          <t>OER tahun 2023 yang sebesar 22,1% (per 2024 AR MDA comparison)</t>
        </is>
      </c>
      <c r="J5379" t="inlineStr">
        <is>
          <t>High</t>
        </is>
      </c>
      <c r="M5379" t="inlineStr">
        <is>
          <t>LLM</t>
        </is>
      </c>
      <c r="N5379" t="inlineStr">
        <is>
          <t>2026-04-19</t>
        </is>
      </c>
      <c r="O5379" t="inlineStr">
        <is>
          <t>AI</t>
        </is>
      </c>
    </row>
    <row r="5380">
      <c r="A5380" t="inlineStr">
        <is>
          <t>PT Sawit Sumbermas Sarana Tbk</t>
        </is>
      </c>
      <c r="B5380" t="inlineStr">
        <is>
          <t>SSMS_2023_AR.pdf</t>
        </is>
      </c>
      <c r="C5380" t="n">
        <v>2023</v>
      </c>
      <c r="D5380" t="inlineStr">
        <is>
          <t>Operation</t>
        </is>
      </c>
      <c r="E5380" t="inlineStr">
        <is>
          <t>Refinery Utilization 2023</t>
        </is>
      </c>
      <c r="F5380" t="n">
        <v>0.9177</v>
      </c>
      <c r="G5380" t="inlineStr">
        <is>
          <t>%</t>
        </is>
      </c>
      <c r="H5380" t="n">
        <v>110</v>
      </c>
      <c r="I5380" t="inlineStr">
        <is>
          <t>Utilisasi 91,77% (2023)</t>
        </is>
      </c>
      <c r="J5380" t="inlineStr">
        <is>
          <t>High</t>
        </is>
      </c>
      <c r="M5380" t="inlineStr">
        <is>
          <t>LLM</t>
        </is>
      </c>
      <c r="N5380" t="inlineStr">
        <is>
          <t>2026-04-19</t>
        </is>
      </c>
      <c r="O5380" t="inlineStr">
        <is>
          <t>AI</t>
        </is>
      </c>
    </row>
    <row r="5381">
      <c r="A5381" t="inlineStr">
        <is>
          <t>PT Sawit Sumbermas Sarana Tbk</t>
        </is>
      </c>
      <c r="B5381" t="inlineStr">
        <is>
          <t>SSMS_2023_AR.pdf</t>
        </is>
      </c>
      <c r="C5381" t="n">
        <v>2023</v>
      </c>
      <c r="D5381" t="inlineStr">
        <is>
          <t>Operation</t>
        </is>
      </c>
      <c r="E5381" t="inlineStr">
        <is>
          <t>Plantation Associates (Plasma Farmers)</t>
        </is>
      </c>
      <c r="F5381" t="n">
        <v>5859</v>
      </c>
      <c r="G5381" t="inlineStr">
        <is>
          <t>count</t>
        </is>
      </c>
      <c r="H5381" t="n">
        <v>72</v>
      </c>
      <c r="I5381" t="inlineStr">
        <is>
          <t>Jumlah Petani Plasma yang Menjadi Mitra Perusahaan 5.859</t>
        </is>
      </c>
      <c r="J5381" t="inlineStr">
        <is>
          <t>High</t>
        </is>
      </c>
      <c r="M5381" t="inlineStr">
        <is>
          <t>LLM</t>
        </is>
      </c>
      <c r="N5381" t="inlineStr">
        <is>
          <t>2026-04-19</t>
        </is>
      </c>
      <c r="O5381" t="inlineStr">
        <is>
          <t>AI</t>
        </is>
      </c>
    </row>
    <row r="5382">
      <c r="A5382" t="inlineStr">
        <is>
          <t>PT Sawit Sumbermas Sarana Tbk</t>
        </is>
      </c>
      <c r="B5382" t="inlineStr">
        <is>
          <t>SSMS_2023_AR.pdf</t>
        </is>
      </c>
      <c r="C5382" t="n">
        <v>2023</v>
      </c>
      <c r="D5382" t="inlineStr">
        <is>
          <t>Operation</t>
        </is>
      </c>
      <c r="E5382" t="inlineStr">
        <is>
          <t>Fat Content in FFB</t>
        </is>
      </c>
      <c r="F5382" t="n">
        <v>5.91</v>
      </c>
      <c r="G5382" t="inlineStr">
        <is>
          <t>Ton/Ha</t>
        </is>
      </c>
      <c r="H5382" t="n">
        <v>72</v>
      </c>
      <c r="I5382" t="inlineStr">
        <is>
          <t>Potensi minyak dalam TBS 5,91 Ton/Ha</t>
        </is>
      </c>
      <c r="J5382" t="inlineStr">
        <is>
          <t>High</t>
        </is>
      </c>
      <c r="M5382" t="inlineStr">
        <is>
          <t>LLM</t>
        </is>
      </c>
      <c r="N5382" t="inlineStr">
        <is>
          <t>2026-04-19</t>
        </is>
      </c>
      <c r="O5382" t="inlineStr">
        <is>
          <t>AI</t>
        </is>
      </c>
    </row>
    <row r="5383">
      <c r="A5383" t="inlineStr">
        <is>
          <t>PT Sawit Sumbermas Sarana Tbk</t>
        </is>
      </c>
      <c r="B5383" t="inlineStr">
        <is>
          <t>SSMS_2023_AR.pdf</t>
        </is>
      </c>
      <c r="C5383" t="n">
        <v>2023</v>
      </c>
      <c r="D5383" t="inlineStr">
        <is>
          <t>Other</t>
        </is>
      </c>
      <c r="E5383" t="inlineStr">
        <is>
          <t>CBUT Consolidation Date</t>
        </is>
      </c>
      <c r="F5383" t="inlineStr">
        <is>
          <t>2023-12-19</t>
        </is>
      </c>
      <c r="G5383" t="inlineStr">
        <is>
          <t>date</t>
        </is>
      </c>
      <c r="I5383" t="inlineStr">
        <is>
          <t>penyelesaian sebagian utang PT Citra Borneo Indah melalui pengalihan shares of CBI in PT Citra Borneo Utama Tbk</t>
        </is>
      </c>
      <c r="J5383" t="inlineStr">
        <is>
          <t>High</t>
        </is>
      </c>
      <c r="M5383" t="inlineStr">
        <is>
          <t>LLM</t>
        </is>
      </c>
      <c r="N5383" t="inlineStr">
        <is>
          <t>2026-04-19</t>
        </is>
      </c>
      <c r="O5383" t="inlineStr">
        <is>
          <t>AI</t>
        </is>
      </c>
    </row>
    <row r="5384">
      <c r="A5384" t="inlineStr">
        <is>
          <t>PT Sawit Sumbermas Sarana Tbk</t>
        </is>
      </c>
      <c r="B5384" t="inlineStr">
        <is>
          <t>SSMS_2023_AR.pdf</t>
        </is>
      </c>
      <c r="C5384" t="n">
        <v>2023</v>
      </c>
      <c r="D5384" t="inlineStr">
        <is>
          <t>Other</t>
        </is>
      </c>
      <c r="E5384" t="inlineStr">
        <is>
          <t>Global Bond Repaid</t>
        </is>
      </c>
      <c r="F5384" t="n">
        <v>300</v>
      </c>
      <c r="G5384" t="inlineStr">
        <is>
          <t>USD mn</t>
        </is>
      </c>
      <c r="H5384" t="n">
        <v>127</v>
      </c>
      <c r="I5384" t="inlineStr">
        <is>
          <t>USD300 million global bond issued by Subsidiary SSMS Plantation Holding Pte Ltd fully repaid in early 2023</t>
        </is>
      </c>
      <c r="J5384" t="inlineStr">
        <is>
          <t>High</t>
        </is>
      </c>
      <c r="M5384" t="inlineStr">
        <is>
          <t>LLM</t>
        </is>
      </c>
      <c r="N5384" t="inlineStr">
        <is>
          <t>2026-04-19</t>
        </is>
      </c>
      <c r="O5384" t="inlineStr">
        <is>
          <t>AI</t>
        </is>
      </c>
    </row>
    <row r="5385">
      <c r="A5385" t="inlineStr">
        <is>
          <t>PT Sawit Sumbermas Sarana Tbk</t>
        </is>
      </c>
      <c r="B5385" t="inlineStr">
        <is>
          <t>SSMS_2024_AR.pdf</t>
        </is>
      </c>
      <c r="C5385" t="n">
        <v>2024</v>
      </c>
      <c r="D5385" t="inlineStr">
        <is>
          <t>Company</t>
        </is>
      </c>
      <c r="E5385" t="inlineStr">
        <is>
          <t>Company Name</t>
        </is>
      </c>
      <c r="F5385" t="inlineStr">
        <is>
          <t>PT Sawit Sumbermas Sarana Tbk</t>
        </is>
      </c>
      <c r="G5385" t="inlineStr">
        <is>
          <t>text</t>
        </is>
      </c>
      <c r="H5385" t="n">
        <v>55</v>
      </c>
      <c r="I5385" t="inlineStr">
        <is>
          <t>PT Sawit Sumbermas Sarana Tbk (SSMS)</t>
        </is>
      </c>
      <c r="J5385" t="inlineStr">
        <is>
          <t>High</t>
        </is>
      </c>
      <c r="M5385" t="inlineStr">
        <is>
          <t>LLM</t>
        </is>
      </c>
      <c r="N5385" t="inlineStr">
        <is>
          <t>2026-04-19</t>
        </is>
      </c>
      <c r="O5385" t="inlineStr">
        <is>
          <t>AI</t>
        </is>
      </c>
    </row>
    <row r="5386">
      <c r="A5386" t="inlineStr">
        <is>
          <t>PT Sawit Sumbermas Sarana Tbk</t>
        </is>
      </c>
      <c r="B5386" t="inlineStr">
        <is>
          <t>SSMS_2024_AR.pdf</t>
        </is>
      </c>
      <c r="C5386" t="n">
        <v>2024</v>
      </c>
      <c r="D5386" t="inlineStr">
        <is>
          <t>Company</t>
        </is>
      </c>
      <c r="E5386" t="inlineStr">
        <is>
          <t>Head Office</t>
        </is>
      </c>
      <c r="F5386" t="inlineStr">
        <is>
          <t>Pangkalan Bun, Central Kalimantan</t>
        </is>
      </c>
      <c r="G5386" t="inlineStr">
        <is>
          <t>text</t>
        </is>
      </c>
      <c r="H5386" t="n">
        <v>55</v>
      </c>
      <c r="I5386" t="inlineStr">
        <is>
          <t>Jl. H. Udan Said No. 47 Pangkalan Bun Kalimantan Tengah 74113</t>
        </is>
      </c>
      <c r="J5386" t="inlineStr">
        <is>
          <t>High</t>
        </is>
      </c>
      <c r="M5386" t="inlineStr">
        <is>
          <t>LLM</t>
        </is>
      </c>
      <c r="N5386" t="inlineStr">
        <is>
          <t>2026-04-19</t>
        </is>
      </c>
      <c r="O5386" t="inlineStr">
        <is>
          <t>AI</t>
        </is>
      </c>
    </row>
    <row r="5387">
      <c r="A5387" t="inlineStr">
        <is>
          <t>PT Sawit Sumbermas Sarana Tbk</t>
        </is>
      </c>
      <c r="B5387" t="inlineStr">
        <is>
          <t>SSMS_2024_AR.pdf</t>
        </is>
      </c>
      <c r="C5387" t="n">
        <v>2024</v>
      </c>
      <c r="D5387" t="inlineStr">
        <is>
          <t>Company</t>
        </is>
      </c>
      <c r="E5387" t="inlineStr">
        <is>
          <t>Listing Date</t>
        </is>
      </c>
      <c r="F5387" t="inlineStr">
        <is>
          <t>2013-12-12</t>
        </is>
      </c>
      <c r="G5387" t="inlineStr">
        <is>
          <t>date</t>
        </is>
      </c>
      <c r="H5387" t="n">
        <v>55</v>
      </c>
      <c r="I5387" t="inlineStr">
        <is>
          <t>12 Desember 2013 di Bursa Efek Jakarta</t>
        </is>
      </c>
      <c r="J5387" t="inlineStr">
        <is>
          <t>High</t>
        </is>
      </c>
      <c r="M5387" t="inlineStr">
        <is>
          <t>LLM</t>
        </is>
      </c>
      <c r="N5387" t="inlineStr">
        <is>
          <t>2026-04-19</t>
        </is>
      </c>
      <c r="O5387" t="inlineStr">
        <is>
          <t>AI</t>
        </is>
      </c>
    </row>
    <row r="5388">
      <c r="A5388" t="inlineStr">
        <is>
          <t>PT Sawit Sumbermas Sarana Tbk</t>
        </is>
      </c>
      <c r="B5388" t="inlineStr">
        <is>
          <t>SSMS_2024_AR.pdf</t>
        </is>
      </c>
      <c r="C5388" t="n">
        <v>2024</v>
      </c>
      <c r="D5388" t="inlineStr">
        <is>
          <t>Company</t>
        </is>
      </c>
      <c r="E5388" t="inlineStr">
        <is>
          <t>Controlling Shareholder</t>
        </is>
      </c>
      <c r="F5388" t="inlineStr">
        <is>
          <t>PT Citra Borneo Indah 62.296%</t>
        </is>
      </c>
      <c r="G5388" t="inlineStr">
        <is>
          <t>%</t>
        </is>
      </c>
      <c r="H5388" t="n">
        <v>54</v>
      </c>
      <c r="I5388" t="inlineStr">
        <is>
          <t>PT Citra Borneo Indah : 62,296%</t>
        </is>
      </c>
      <c r="J5388" t="inlineStr">
        <is>
          <t>High</t>
        </is>
      </c>
      <c r="M5388" t="inlineStr">
        <is>
          <t>LLM</t>
        </is>
      </c>
      <c r="N5388" t="inlineStr">
        <is>
          <t>2026-04-19</t>
        </is>
      </c>
      <c r="O5388" t="inlineStr">
        <is>
          <t>AI</t>
        </is>
      </c>
    </row>
    <row r="5389">
      <c r="A5389" t="inlineStr">
        <is>
          <t>PT Sawit Sumbermas Sarana Tbk</t>
        </is>
      </c>
      <c r="B5389" t="inlineStr">
        <is>
          <t>SSMS_2024_AR.pdf</t>
        </is>
      </c>
      <c r="C5389" t="n">
        <v>2024</v>
      </c>
      <c r="D5389" t="inlineStr">
        <is>
          <t>Company</t>
        </is>
      </c>
      <c r="E5389" t="inlineStr">
        <is>
          <t>Second Shareholder</t>
        </is>
      </c>
      <c r="F5389" t="inlineStr">
        <is>
          <t>PT Putra Borneo Agro Lestari 8.057%</t>
        </is>
      </c>
      <c r="G5389" t="inlineStr">
        <is>
          <t>%</t>
        </is>
      </c>
      <c r="H5389" t="n">
        <v>54</v>
      </c>
      <c r="I5389" t="inlineStr">
        <is>
          <t>PT Putra Borneo Agro Lestari : 8,057%</t>
        </is>
      </c>
      <c r="J5389" t="inlineStr">
        <is>
          <t>High</t>
        </is>
      </c>
      <c r="M5389" t="inlineStr">
        <is>
          <t>LLM</t>
        </is>
      </c>
      <c r="N5389" t="inlineStr">
        <is>
          <t>2026-04-19</t>
        </is>
      </c>
      <c r="O5389" t="inlineStr">
        <is>
          <t>AI</t>
        </is>
      </c>
    </row>
    <row r="5390">
      <c r="A5390" t="inlineStr">
        <is>
          <t>PT Sawit Sumbermas Sarana Tbk</t>
        </is>
      </c>
      <c r="B5390" t="inlineStr">
        <is>
          <t>SSMS_2024_AR.pdf</t>
        </is>
      </c>
      <c r="C5390" t="n">
        <v>2024</v>
      </c>
      <c r="D5390" t="inlineStr">
        <is>
          <t>Company</t>
        </is>
      </c>
      <c r="E5390" t="inlineStr">
        <is>
          <t>Public Float</t>
        </is>
      </c>
      <c r="F5390" t="n">
        <v>0.29647</v>
      </c>
      <c r="G5390" t="inlineStr">
        <is>
          <t>%</t>
        </is>
      </c>
      <c r="H5390" t="n">
        <v>54</v>
      </c>
      <c r="I5390" t="inlineStr">
        <is>
          <t>Masyarakat (masing-masing di bawah 5%) : 29,647%</t>
        </is>
      </c>
      <c r="J5390" t="inlineStr">
        <is>
          <t>High</t>
        </is>
      </c>
      <c r="M5390" t="inlineStr">
        <is>
          <t>LLM</t>
        </is>
      </c>
      <c r="N5390" t="inlineStr">
        <is>
          <t>2026-04-19</t>
        </is>
      </c>
      <c r="O5390" t="inlineStr">
        <is>
          <t>AI</t>
        </is>
      </c>
    </row>
    <row r="5391">
      <c r="A5391" t="inlineStr">
        <is>
          <t>PT Sawit Sumbermas Sarana Tbk</t>
        </is>
      </c>
      <c r="B5391" t="inlineStr">
        <is>
          <t>SSMS_2024_AR.pdf</t>
        </is>
      </c>
      <c r="C5391" t="n">
        <v>2024</v>
      </c>
      <c r="D5391" t="inlineStr">
        <is>
          <t>Company</t>
        </is>
      </c>
      <c r="E5391" t="inlineStr">
        <is>
          <t>Shares Outstanding</t>
        </is>
      </c>
      <c r="F5391" t="n">
        <v>9525</v>
      </c>
      <c r="G5391" t="inlineStr">
        <is>
          <t>mn</t>
        </is>
      </c>
      <c r="H5391" t="n">
        <v>54</v>
      </c>
      <c r="I5391" t="inlineStr">
        <is>
          <t>Rp952.500.000.000,- atau 9.525.000.000 lembar saham</t>
        </is>
      </c>
      <c r="J5391" t="inlineStr">
        <is>
          <t>High</t>
        </is>
      </c>
      <c r="M5391" t="inlineStr">
        <is>
          <t>LLM</t>
        </is>
      </c>
      <c r="N5391" t="inlineStr">
        <is>
          <t>2026-04-19</t>
        </is>
      </c>
      <c r="O5391" t="inlineStr">
        <is>
          <t>AI</t>
        </is>
      </c>
    </row>
    <row r="5392">
      <c r="A5392" t="inlineStr">
        <is>
          <t>PT Sawit Sumbermas Sarana Tbk</t>
        </is>
      </c>
      <c r="B5392" t="inlineStr">
        <is>
          <t>SSMS_2024_AR.pdf</t>
        </is>
      </c>
      <c r="C5392" t="n">
        <v>2024</v>
      </c>
      <c r="D5392" t="inlineStr">
        <is>
          <t>Company</t>
        </is>
      </c>
      <c r="E5392" t="inlineStr">
        <is>
          <t>Employees</t>
        </is>
      </c>
      <c r="F5392" t="n">
        <v>15766</v>
      </c>
      <c r="G5392" t="inlineStr">
        <is>
          <t>count</t>
        </is>
      </c>
      <c r="H5392" t="n">
        <v>54</v>
      </c>
      <c r="I5392" t="inlineStr">
        <is>
          <t>Jumlah Karyawan 15.766 karyawan (Perseroan dan Entitas Anak)</t>
        </is>
      </c>
      <c r="J5392" t="inlineStr">
        <is>
          <t>High</t>
        </is>
      </c>
      <c r="M5392" t="inlineStr">
        <is>
          <t>LLM</t>
        </is>
      </c>
      <c r="N5392" t="inlineStr">
        <is>
          <t>2026-04-19</t>
        </is>
      </c>
      <c r="O5392" t="inlineStr">
        <is>
          <t>AI</t>
        </is>
      </c>
    </row>
    <row r="5393">
      <c r="A5393" t="inlineStr">
        <is>
          <t>PT Sawit Sumbermas Sarana Tbk</t>
        </is>
      </c>
      <c r="B5393" t="inlineStr">
        <is>
          <t>SSMS_2024_AR.pdf</t>
        </is>
      </c>
      <c r="C5393" t="n">
        <v>2024</v>
      </c>
      <c r="D5393" t="inlineStr">
        <is>
          <t>Financial</t>
        </is>
      </c>
      <c r="E5393" t="inlineStr">
        <is>
          <t>Revenue</t>
        </is>
      </c>
      <c r="F5393" t="n">
        <v>10522</v>
      </c>
      <c r="G5393" t="inlineStr">
        <is>
          <t>IDR bn</t>
        </is>
      </c>
      <c r="H5393" t="n">
        <v>12</v>
      </c>
      <c r="I5393" t="inlineStr">
        <is>
          <t>Pendapatan dari Kontrak dengan Pelanggan 10.522 10.703 11.240</t>
        </is>
      </c>
      <c r="J5393" t="inlineStr">
        <is>
          <t>High</t>
        </is>
      </c>
      <c r="M5393" t="inlineStr">
        <is>
          <t>LLM</t>
        </is>
      </c>
      <c r="N5393" t="inlineStr">
        <is>
          <t>2026-04-19</t>
        </is>
      </c>
      <c r="O5393" t="inlineStr">
        <is>
          <t>AI</t>
        </is>
      </c>
    </row>
    <row r="5394">
      <c r="A5394" t="inlineStr">
        <is>
          <t>PT Sawit Sumbermas Sarana Tbk</t>
        </is>
      </c>
      <c r="B5394" t="inlineStr">
        <is>
          <t>SSMS_2024_AR.pdf</t>
        </is>
      </c>
      <c r="C5394" t="n">
        <v>2024</v>
      </c>
      <c r="D5394" t="inlineStr">
        <is>
          <t>Financial</t>
        </is>
      </c>
      <c r="E5394" t="inlineStr">
        <is>
          <t>Cost of Sales</t>
        </is>
      </c>
      <c r="F5394" t="n">
        <v>7242</v>
      </c>
      <c r="G5394" t="inlineStr">
        <is>
          <t>IDR bn</t>
        </is>
      </c>
      <c r="H5394" t="n">
        <v>12</v>
      </c>
      <c r="I5394" t="inlineStr">
        <is>
          <t>Beban Pokok Penjualan (7.242) (7.904) (6.936)</t>
        </is>
      </c>
      <c r="J5394" t="inlineStr">
        <is>
          <t>High</t>
        </is>
      </c>
      <c r="M5394" t="inlineStr">
        <is>
          <t>LLM</t>
        </is>
      </c>
      <c r="N5394" t="inlineStr">
        <is>
          <t>2026-04-19</t>
        </is>
      </c>
      <c r="O5394" t="inlineStr">
        <is>
          <t>AI</t>
        </is>
      </c>
    </row>
    <row r="5395">
      <c r="A5395" t="inlineStr">
        <is>
          <t>PT Sawit Sumbermas Sarana Tbk</t>
        </is>
      </c>
      <c r="B5395" t="inlineStr">
        <is>
          <t>SSMS_2024_AR.pdf</t>
        </is>
      </c>
      <c r="C5395" t="n">
        <v>2024</v>
      </c>
      <c r="D5395" t="inlineStr">
        <is>
          <t>Financial</t>
        </is>
      </c>
      <c r="E5395" t="inlineStr">
        <is>
          <t>Gross Profit</t>
        </is>
      </c>
      <c r="F5395" t="n">
        <v>3280</v>
      </c>
      <c r="G5395" t="inlineStr">
        <is>
          <t>IDR bn</t>
        </is>
      </c>
      <c r="H5395" t="n">
        <v>12</v>
      </c>
      <c r="I5395" t="inlineStr">
        <is>
          <t>Laba Bruto / Gross Profit 3.280 2.799 4.304</t>
        </is>
      </c>
      <c r="J5395" t="inlineStr">
        <is>
          <t>High</t>
        </is>
      </c>
      <c r="M5395" t="inlineStr">
        <is>
          <t>LLM</t>
        </is>
      </c>
      <c r="N5395" t="inlineStr">
        <is>
          <t>2026-04-19</t>
        </is>
      </c>
      <c r="O5395" t="inlineStr">
        <is>
          <t>AI</t>
        </is>
      </c>
    </row>
    <row r="5396">
      <c r="A5396" t="inlineStr">
        <is>
          <t>PT Sawit Sumbermas Sarana Tbk</t>
        </is>
      </c>
      <c r="B5396" t="inlineStr">
        <is>
          <t>SSMS_2024_AR.pdf</t>
        </is>
      </c>
      <c r="C5396" t="n">
        <v>2024</v>
      </c>
      <c r="D5396" t="inlineStr">
        <is>
          <t>Financial</t>
        </is>
      </c>
      <c r="E5396" t="inlineStr">
        <is>
          <t>Operating Profit (EBIT)</t>
        </is>
      </c>
      <c r="F5396" t="n">
        <v>1770</v>
      </c>
      <c r="G5396" t="inlineStr">
        <is>
          <t>IDR bn</t>
        </is>
      </c>
      <c r="H5396" t="n">
        <v>12</v>
      </c>
      <c r="I5396" t="inlineStr">
        <is>
          <t>Laba Usaha / Operating Profit 1.770 1.196 2.626</t>
        </is>
      </c>
      <c r="J5396" t="inlineStr">
        <is>
          <t>High</t>
        </is>
      </c>
      <c r="M5396" t="inlineStr">
        <is>
          <t>LLM</t>
        </is>
      </c>
      <c r="N5396" t="inlineStr">
        <is>
          <t>2026-04-19</t>
        </is>
      </c>
      <c r="O5396" t="inlineStr">
        <is>
          <t>AI</t>
        </is>
      </c>
    </row>
    <row r="5397">
      <c r="A5397" t="inlineStr">
        <is>
          <t>PT Sawit Sumbermas Sarana Tbk</t>
        </is>
      </c>
      <c r="B5397" t="inlineStr">
        <is>
          <t>SSMS_2024_AR.pdf</t>
        </is>
      </c>
      <c r="C5397" t="n">
        <v>2024</v>
      </c>
      <c r="D5397" t="inlineStr">
        <is>
          <t>Financial</t>
        </is>
      </c>
      <c r="E5397" t="inlineStr">
        <is>
          <t>Selling Expenses</t>
        </is>
      </c>
      <c r="F5397" t="n">
        <v>899</v>
      </c>
      <c r="G5397" t="inlineStr">
        <is>
          <t>IDR bn</t>
        </is>
      </c>
      <c r="H5397" t="n">
        <v>117</v>
      </c>
      <c r="I5397" t="inlineStr">
        <is>
          <t>Beban Penjualan / Selling Expenses 899 855</t>
        </is>
      </c>
      <c r="J5397" t="inlineStr">
        <is>
          <t>High</t>
        </is>
      </c>
      <c r="M5397" t="inlineStr">
        <is>
          <t>LLM</t>
        </is>
      </c>
      <c r="N5397" t="inlineStr">
        <is>
          <t>2026-04-19</t>
        </is>
      </c>
      <c r="O5397" t="inlineStr">
        <is>
          <t>AI</t>
        </is>
      </c>
    </row>
    <row r="5398">
      <c r="A5398" t="inlineStr">
        <is>
          <t>PT Sawit Sumbermas Sarana Tbk</t>
        </is>
      </c>
      <c r="B5398" t="inlineStr">
        <is>
          <t>SSMS_2024_AR.pdf</t>
        </is>
      </c>
      <c r="C5398" t="n">
        <v>2024</v>
      </c>
      <c r="D5398" t="inlineStr">
        <is>
          <t>Financial</t>
        </is>
      </c>
      <c r="E5398" t="inlineStr">
        <is>
          <t>G&amp;A Expenses</t>
        </is>
      </c>
      <c r="F5398" t="n">
        <v>946</v>
      </c>
      <c r="G5398" t="inlineStr">
        <is>
          <t>IDR bn</t>
        </is>
      </c>
      <c r="H5398" t="n">
        <v>117</v>
      </c>
      <c r="I5398" t="inlineStr">
        <is>
          <t>Beban Umum dan Administrasi 946 836</t>
        </is>
      </c>
      <c r="J5398" t="inlineStr">
        <is>
          <t>High</t>
        </is>
      </c>
      <c r="M5398" t="inlineStr">
        <is>
          <t>LLM</t>
        </is>
      </c>
      <c r="N5398" t="inlineStr">
        <is>
          <t>2026-04-19</t>
        </is>
      </c>
      <c r="O5398" t="inlineStr">
        <is>
          <t>AI</t>
        </is>
      </c>
    </row>
    <row r="5399">
      <c r="A5399" t="inlineStr">
        <is>
          <t>PT Sawit Sumbermas Sarana Tbk</t>
        </is>
      </c>
      <c r="B5399" t="inlineStr">
        <is>
          <t>SSMS_2024_AR.pdf</t>
        </is>
      </c>
      <c r="C5399" t="n">
        <v>2024</v>
      </c>
      <c r="D5399" t="inlineStr">
        <is>
          <t>Financial</t>
        </is>
      </c>
      <c r="E5399" t="inlineStr">
        <is>
          <t>Finance Cost</t>
        </is>
      </c>
      <c r="F5399" t="n">
        <v>611</v>
      </c>
      <c r="G5399" t="inlineStr">
        <is>
          <t>IDR bn</t>
        </is>
      </c>
      <c r="H5399" t="n">
        <v>319</v>
      </c>
      <c r="I5399" t="inlineStr">
        <is>
          <t>Beban keuangan 2u,31 (611.180.311) (678.731.638)</t>
        </is>
      </c>
      <c r="J5399" t="inlineStr">
        <is>
          <t>High</t>
        </is>
      </c>
      <c r="M5399" t="inlineStr">
        <is>
          <t>LLM</t>
        </is>
      </c>
      <c r="N5399" t="inlineStr">
        <is>
          <t>2026-04-19</t>
        </is>
      </c>
      <c r="O5399" t="inlineStr">
        <is>
          <t>AI</t>
        </is>
      </c>
    </row>
    <row r="5400">
      <c r="A5400" t="inlineStr">
        <is>
          <t>PT Sawit Sumbermas Sarana Tbk</t>
        </is>
      </c>
      <c r="B5400" t="inlineStr">
        <is>
          <t>SSMS_2024_AR.pdf</t>
        </is>
      </c>
      <c r="C5400" t="n">
        <v>2024</v>
      </c>
      <c r="D5400" t="inlineStr">
        <is>
          <t>Financial</t>
        </is>
      </c>
      <c r="E5400" t="inlineStr">
        <is>
          <t>Profit Before Tax</t>
        </is>
      </c>
      <c r="F5400" t="n">
        <v>1226</v>
      </c>
      <c r="G5400" t="inlineStr">
        <is>
          <t>IDR bn</t>
        </is>
      </c>
      <c r="H5400" t="n">
        <v>12</v>
      </c>
      <c r="I5400" t="inlineStr">
        <is>
          <t>Laba Sebelum Pajak Penghasilan Badan 1.226 552</t>
        </is>
      </c>
      <c r="J5400" t="inlineStr">
        <is>
          <t>High</t>
        </is>
      </c>
      <c r="M5400" t="inlineStr">
        <is>
          <t>LLM</t>
        </is>
      </c>
      <c r="N5400" t="inlineStr">
        <is>
          <t>2026-04-19</t>
        </is>
      </c>
      <c r="O5400" t="inlineStr">
        <is>
          <t>AI</t>
        </is>
      </c>
    </row>
    <row r="5401">
      <c r="A5401" t="inlineStr">
        <is>
          <t>PT Sawit Sumbermas Sarana Tbk</t>
        </is>
      </c>
      <c r="B5401" t="inlineStr">
        <is>
          <t>SSMS_2024_AR.pdf</t>
        </is>
      </c>
      <c r="C5401" t="n">
        <v>2024</v>
      </c>
      <c r="D5401" t="inlineStr">
        <is>
          <t>Financial</t>
        </is>
      </c>
      <c r="E5401" t="inlineStr">
        <is>
          <t>Income Tax</t>
        </is>
      </c>
      <c r="F5401" t="n">
        <v>381</v>
      </c>
      <c r="G5401" t="inlineStr">
        <is>
          <t>IDR bn</t>
        </is>
      </c>
      <c r="H5401" t="n">
        <v>12</v>
      </c>
      <c r="I5401" t="inlineStr">
        <is>
          <t>Pajak Penghasilan Badan (381) (208)</t>
        </is>
      </c>
      <c r="J5401" t="inlineStr">
        <is>
          <t>High</t>
        </is>
      </c>
      <c r="M5401" t="inlineStr">
        <is>
          <t>LLM</t>
        </is>
      </c>
      <c r="N5401" t="inlineStr">
        <is>
          <t>2026-04-19</t>
        </is>
      </c>
      <c r="O5401" t="inlineStr">
        <is>
          <t>AI</t>
        </is>
      </c>
    </row>
    <row r="5402">
      <c r="A5402" t="inlineStr">
        <is>
          <t>PT Sawit Sumbermas Sarana Tbk</t>
        </is>
      </c>
      <c r="B5402" t="inlineStr">
        <is>
          <t>SSMS_2024_AR.pdf</t>
        </is>
      </c>
      <c r="C5402" t="n">
        <v>2024</v>
      </c>
      <c r="D5402" t="inlineStr">
        <is>
          <t>Financial</t>
        </is>
      </c>
      <c r="E5402" t="inlineStr">
        <is>
          <t>Net Profit</t>
        </is>
      </c>
      <c r="F5402" t="n">
        <v>845</v>
      </c>
      <c r="G5402" t="inlineStr">
        <is>
          <t>IDR bn</t>
        </is>
      </c>
      <c r="H5402" t="n">
        <v>12</v>
      </c>
      <c r="I5402" t="inlineStr">
        <is>
          <t>Laba Tahun Berjalan setelah Efek Penyesuaian Proforma 845 344</t>
        </is>
      </c>
      <c r="J5402" t="inlineStr">
        <is>
          <t>High</t>
        </is>
      </c>
      <c r="M5402" t="inlineStr">
        <is>
          <t>LLM</t>
        </is>
      </c>
      <c r="N5402" t="inlineStr">
        <is>
          <t>2026-04-19</t>
        </is>
      </c>
      <c r="O5402" t="inlineStr">
        <is>
          <t>AI</t>
        </is>
      </c>
    </row>
    <row r="5403">
      <c r="A5403" t="inlineStr">
        <is>
          <t>PT Sawit Sumbermas Sarana Tbk</t>
        </is>
      </c>
      <c r="B5403" t="inlineStr">
        <is>
          <t>SSMS_2024_AR.pdf</t>
        </is>
      </c>
      <c r="C5403" t="n">
        <v>2024</v>
      </c>
      <c r="D5403" t="inlineStr">
        <is>
          <t>Financial</t>
        </is>
      </c>
      <c r="E5403" t="inlineStr">
        <is>
          <t>Profit Attributable to Parent</t>
        </is>
      </c>
      <c r="F5403" t="n">
        <v>820</v>
      </c>
      <c r="G5403" t="inlineStr">
        <is>
          <t>IDR bn</t>
        </is>
      </c>
      <c r="H5403" t="n">
        <v>13</v>
      </c>
      <c r="I5403" t="inlineStr">
        <is>
          <t>Pemilik Entitas Induk 820 512</t>
        </is>
      </c>
      <c r="J5403" t="inlineStr">
        <is>
          <t>High</t>
        </is>
      </c>
      <c r="M5403" t="inlineStr">
        <is>
          <t>LLM</t>
        </is>
      </c>
      <c r="N5403" t="inlineStr">
        <is>
          <t>2026-04-19</t>
        </is>
      </c>
      <c r="O5403" t="inlineStr">
        <is>
          <t>AI</t>
        </is>
      </c>
    </row>
    <row r="5404">
      <c r="A5404" t="inlineStr">
        <is>
          <t>PT Sawit Sumbermas Sarana Tbk</t>
        </is>
      </c>
      <c r="B5404" t="inlineStr">
        <is>
          <t>SSMS_2024_AR.pdf</t>
        </is>
      </c>
      <c r="C5404" t="n">
        <v>2024</v>
      </c>
      <c r="D5404" t="inlineStr">
        <is>
          <t>Financial</t>
        </is>
      </c>
      <c r="E5404" t="inlineStr">
        <is>
          <t>Profit Attributable to NCI</t>
        </is>
      </c>
      <c r="F5404" t="n">
        <v>25</v>
      </c>
      <c r="G5404" t="inlineStr">
        <is>
          <t>IDR bn</t>
        </is>
      </c>
      <c r="H5404" t="n">
        <v>13</v>
      </c>
      <c r="I5404" t="inlineStr">
        <is>
          <t>Kepentingan Non-Pengendali 25 6</t>
        </is>
      </c>
      <c r="J5404" t="inlineStr">
        <is>
          <t>High</t>
        </is>
      </c>
      <c r="M5404" t="inlineStr">
        <is>
          <t>LLM</t>
        </is>
      </c>
      <c r="N5404" t="inlineStr">
        <is>
          <t>2026-04-19</t>
        </is>
      </c>
      <c r="O5404" t="inlineStr">
        <is>
          <t>AI</t>
        </is>
      </c>
    </row>
    <row r="5405">
      <c r="A5405" t="inlineStr">
        <is>
          <t>PT Sawit Sumbermas Sarana Tbk</t>
        </is>
      </c>
      <c r="B5405" t="inlineStr">
        <is>
          <t>SSMS_2024_AR.pdf</t>
        </is>
      </c>
      <c r="C5405" t="n">
        <v>2024</v>
      </c>
      <c r="D5405" t="inlineStr">
        <is>
          <t>Financial</t>
        </is>
      </c>
      <c r="E5405" t="inlineStr">
        <is>
          <t>Total Assets</t>
        </is>
      </c>
      <c r="F5405" t="n">
        <v>11765</v>
      </c>
      <c r="G5405" t="inlineStr">
        <is>
          <t>IDR bn</t>
        </is>
      </c>
      <c r="H5405" t="n">
        <v>12</v>
      </c>
      <c r="I5405" t="inlineStr">
        <is>
          <t>Total Aset / Total Assets 11.765 11.810 11.137</t>
        </is>
      </c>
      <c r="J5405" t="inlineStr">
        <is>
          <t>High</t>
        </is>
      </c>
      <c r="M5405" t="inlineStr">
        <is>
          <t>LLM</t>
        </is>
      </c>
      <c r="N5405" t="inlineStr">
        <is>
          <t>2026-04-19</t>
        </is>
      </c>
      <c r="O5405" t="inlineStr">
        <is>
          <t>AI</t>
        </is>
      </c>
    </row>
    <row r="5406">
      <c r="A5406" t="inlineStr">
        <is>
          <t>PT Sawit Sumbermas Sarana Tbk</t>
        </is>
      </c>
      <c r="B5406" t="inlineStr">
        <is>
          <t>SSMS_2024_AR.pdf</t>
        </is>
      </c>
      <c r="C5406" t="n">
        <v>2024</v>
      </c>
      <c r="D5406" t="inlineStr">
        <is>
          <t>Financial</t>
        </is>
      </c>
      <c r="E5406" t="inlineStr">
        <is>
          <t>Current Assets</t>
        </is>
      </c>
      <c r="F5406" t="n">
        <v>5232</v>
      </c>
      <c r="G5406" t="inlineStr">
        <is>
          <t>IDR bn</t>
        </is>
      </c>
      <c r="H5406" t="n">
        <v>12</v>
      </c>
      <c r="I5406" t="inlineStr">
        <is>
          <t>Aset Lancar / Current Assets 5.232 5.028 4.639</t>
        </is>
      </c>
      <c r="J5406" t="inlineStr">
        <is>
          <t>High</t>
        </is>
      </c>
      <c r="M5406" t="inlineStr">
        <is>
          <t>LLM</t>
        </is>
      </c>
      <c r="N5406" t="inlineStr">
        <is>
          <t>2026-04-19</t>
        </is>
      </c>
      <c r="O5406" t="inlineStr">
        <is>
          <t>AI</t>
        </is>
      </c>
    </row>
    <row r="5407">
      <c r="A5407" t="inlineStr">
        <is>
          <t>PT Sawit Sumbermas Sarana Tbk</t>
        </is>
      </c>
      <c r="B5407" t="inlineStr">
        <is>
          <t>SSMS_2024_AR.pdf</t>
        </is>
      </c>
      <c r="C5407" t="n">
        <v>2024</v>
      </c>
      <c r="D5407" t="inlineStr">
        <is>
          <t>Financial</t>
        </is>
      </c>
      <c r="E5407" t="inlineStr">
        <is>
          <t>Non-Current Assets</t>
        </is>
      </c>
      <c r="F5407" t="n">
        <v>6533</v>
      </c>
      <c r="G5407" t="inlineStr">
        <is>
          <t>IDR bn</t>
        </is>
      </c>
      <c r="H5407" t="n">
        <v>12</v>
      </c>
      <c r="I5407" t="inlineStr">
        <is>
          <t>Aset Tidak Lancar 6.533 6.782 6.498</t>
        </is>
      </c>
      <c r="J5407" t="inlineStr">
        <is>
          <t>High</t>
        </is>
      </c>
      <c r="M5407" t="inlineStr">
        <is>
          <t>LLM</t>
        </is>
      </c>
      <c r="N5407" t="inlineStr">
        <is>
          <t>2026-04-19</t>
        </is>
      </c>
      <c r="O5407" t="inlineStr">
        <is>
          <t>AI</t>
        </is>
      </c>
    </row>
    <row r="5408">
      <c r="A5408" t="inlineStr">
        <is>
          <t>PT Sawit Sumbermas Sarana Tbk</t>
        </is>
      </c>
      <c r="B5408" t="inlineStr">
        <is>
          <t>SSMS_2024_AR.pdf</t>
        </is>
      </c>
      <c r="C5408" t="n">
        <v>2024</v>
      </c>
      <c r="D5408" t="inlineStr">
        <is>
          <t>Financial</t>
        </is>
      </c>
      <c r="E5408" t="inlineStr">
        <is>
          <t>Total Liabilities</t>
        </is>
      </c>
      <c r="F5408" t="n">
        <v>8873</v>
      </c>
      <c r="G5408" t="inlineStr">
        <is>
          <t>IDR bn</t>
        </is>
      </c>
      <c r="H5408" t="n">
        <v>12</v>
      </c>
      <c r="I5408" t="inlineStr">
        <is>
          <t>Total Liabilitas 8.873 9.820 9.092</t>
        </is>
      </c>
      <c r="J5408" t="inlineStr">
        <is>
          <t>High</t>
        </is>
      </c>
      <c r="M5408" t="inlineStr">
        <is>
          <t>LLM</t>
        </is>
      </c>
      <c r="N5408" t="inlineStr">
        <is>
          <t>2026-04-19</t>
        </is>
      </c>
      <c r="O5408" t="inlineStr">
        <is>
          <t>AI</t>
        </is>
      </c>
    </row>
    <row r="5409">
      <c r="A5409" t="inlineStr">
        <is>
          <t>PT Sawit Sumbermas Sarana Tbk</t>
        </is>
      </c>
      <c r="B5409" t="inlineStr">
        <is>
          <t>SSMS_2024_AR.pdf</t>
        </is>
      </c>
      <c r="C5409" t="n">
        <v>2024</v>
      </c>
      <c r="D5409" t="inlineStr">
        <is>
          <t>Financial</t>
        </is>
      </c>
      <c r="E5409" t="inlineStr">
        <is>
          <t>Current Liabilities</t>
        </is>
      </c>
      <c r="F5409" t="n">
        <v>4716</v>
      </c>
      <c r="G5409" t="inlineStr">
        <is>
          <t>IDR bn</t>
        </is>
      </c>
      <c r="H5409" t="n">
        <v>12</v>
      </c>
      <c r="I5409" t="inlineStr">
        <is>
          <t>Liabilitas Jangka Pendek 4.716 4.755 4.172</t>
        </is>
      </c>
      <c r="J5409" t="inlineStr">
        <is>
          <t>High</t>
        </is>
      </c>
      <c r="M5409" t="inlineStr">
        <is>
          <t>LLM</t>
        </is>
      </c>
      <c r="N5409" t="inlineStr">
        <is>
          <t>2026-04-19</t>
        </is>
      </c>
      <c r="O5409" t="inlineStr">
        <is>
          <t>AI</t>
        </is>
      </c>
    </row>
    <row r="5410">
      <c r="A5410" t="inlineStr">
        <is>
          <t>PT Sawit Sumbermas Sarana Tbk</t>
        </is>
      </c>
      <c r="B5410" t="inlineStr">
        <is>
          <t>SSMS_2024_AR.pdf</t>
        </is>
      </c>
      <c r="C5410" t="n">
        <v>2024</v>
      </c>
      <c r="D5410" t="inlineStr">
        <is>
          <t>Financial</t>
        </is>
      </c>
      <c r="E5410" t="inlineStr">
        <is>
          <t>Non-Current Liabilities</t>
        </is>
      </c>
      <c r="F5410" t="n">
        <v>4157</v>
      </c>
      <c r="G5410" t="inlineStr">
        <is>
          <t>IDR bn</t>
        </is>
      </c>
      <c r="H5410" t="n">
        <v>12</v>
      </c>
      <c r="I5410" t="inlineStr">
        <is>
          <t>Liabilitas Jangka Panjang 4.157 5.066 4.920</t>
        </is>
      </c>
      <c r="J5410" t="inlineStr">
        <is>
          <t>High</t>
        </is>
      </c>
      <c r="M5410" t="inlineStr">
        <is>
          <t>LLM</t>
        </is>
      </c>
      <c r="N5410" t="inlineStr">
        <is>
          <t>2026-04-19</t>
        </is>
      </c>
      <c r="O5410" t="inlineStr">
        <is>
          <t>AI</t>
        </is>
      </c>
    </row>
    <row r="5411">
      <c r="A5411" t="inlineStr">
        <is>
          <t>PT Sawit Sumbermas Sarana Tbk</t>
        </is>
      </c>
      <c r="B5411" t="inlineStr">
        <is>
          <t>SSMS_2024_AR.pdf</t>
        </is>
      </c>
      <c r="C5411" t="n">
        <v>2024</v>
      </c>
      <c r="D5411" t="inlineStr">
        <is>
          <t>Financial</t>
        </is>
      </c>
      <c r="E5411" t="inlineStr">
        <is>
          <t>Total Equity</t>
        </is>
      </c>
      <c r="F5411" t="n">
        <v>2891</v>
      </c>
      <c r="G5411" t="inlineStr">
        <is>
          <t>IDR bn</t>
        </is>
      </c>
      <c r="H5411" t="n">
        <v>12</v>
      </c>
      <c r="I5411" t="inlineStr">
        <is>
          <t>Total Ekuitas 2.891 1.990 2.045</t>
        </is>
      </c>
      <c r="J5411" t="inlineStr">
        <is>
          <t>High</t>
        </is>
      </c>
      <c r="M5411" t="inlineStr">
        <is>
          <t>LLM</t>
        </is>
      </c>
      <c r="N5411" t="inlineStr">
        <is>
          <t>2026-04-19</t>
        </is>
      </c>
      <c r="O5411" t="inlineStr">
        <is>
          <t>AI</t>
        </is>
      </c>
    </row>
    <row r="5412">
      <c r="A5412" t="inlineStr">
        <is>
          <t>PT Sawit Sumbermas Sarana Tbk</t>
        </is>
      </c>
      <c r="B5412" t="inlineStr">
        <is>
          <t>SSMS_2024_AR.pdf</t>
        </is>
      </c>
      <c r="C5412" t="n">
        <v>2024</v>
      </c>
      <c r="D5412" t="inlineStr">
        <is>
          <t>Financial</t>
        </is>
      </c>
      <c r="E5412" t="inlineStr">
        <is>
          <t>Equity Attributable to Parent</t>
        </is>
      </c>
      <c r="F5412" t="n">
        <v>2628</v>
      </c>
      <c r="G5412" t="inlineStr">
        <is>
          <t>IDR bn</t>
        </is>
      </c>
      <c r="H5412" t="n">
        <v>12</v>
      </c>
      <c r="I5412" t="inlineStr">
        <is>
          <t>Pemilik Entitas Induk – Neto 2.628 1.751</t>
        </is>
      </c>
      <c r="J5412" t="inlineStr">
        <is>
          <t>High</t>
        </is>
      </c>
      <c r="M5412" t="inlineStr">
        <is>
          <t>LLM</t>
        </is>
      </c>
      <c r="N5412" t="inlineStr">
        <is>
          <t>2026-04-19</t>
        </is>
      </c>
      <c r="O5412" t="inlineStr">
        <is>
          <t>AI</t>
        </is>
      </c>
    </row>
    <row r="5413">
      <c r="A5413" t="inlineStr">
        <is>
          <t>PT Sawit Sumbermas Sarana Tbk</t>
        </is>
      </c>
      <c r="B5413" t="inlineStr">
        <is>
          <t>SSMS_2024_AR.pdf</t>
        </is>
      </c>
      <c r="C5413" t="n">
        <v>2024</v>
      </c>
      <c r="D5413" t="inlineStr">
        <is>
          <t>Financial</t>
        </is>
      </c>
      <c r="E5413" t="inlineStr">
        <is>
          <t>Cash and Cash Equivalents</t>
        </is>
      </c>
      <c r="F5413" t="n">
        <v>1180</v>
      </c>
      <c r="G5413" t="inlineStr">
        <is>
          <t>IDR bn</t>
        </is>
      </c>
      <c r="H5413" t="n">
        <v>13</v>
      </c>
      <c r="I5413" t="inlineStr">
        <is>
          <t>Kas dan Setara Kas Akhir Tahun 1.180 1.237 1.807</t>
        </is>
      </c>
      <c r="J5413" t="inlineStr">
        <is>
          <t>High</t>
        </is>
      </c>
      <c r="M5413" t="inlineStr">
        <is>
          <t>LLM</t>
        </is>
      </c>
      <c r="N5413" t="inlineStr">
        <is>
          <t>2026-04-19</t>
        </is>
      </c>
      <c r="O5413" t="inlineStr">
        <is>
          <t>AI</t>
        </is>
      </c>
    </row>
    <row r="5414">
      <c r="A5414" t="inlineStr">
        <is>
          <t>PT Sawit Sumbermas Sarana Tbk</t>
        </is>
      </c>
      <c r="B5414" t="inlineStr">
        <is>
          <t>SSMS_2024_AR.pdf</t>
        </is>
      </c>
      <c r="C5414" t="n">
        <v>2024</v>
      </c>
      <c r="D5414" t="inlineStr">
        <is>
          <t>Financial</t>
        </is>
      </c>
      <c r="E5414" t="inlineStr">
        <is>
          <t>Short-term Bank Loans</t>
        </is>
      </c>
      <c r="F5414" t="n">
        <v>2195</v>
      </c>
      <c r="G5414" t="inlineStr">
        <is>
          <t>IDR bn</t>
        </is>
      </c>
      <c r="H5414" t="n">
        <v>317</v>
      </c>
      <c r="I5414" t="inlineStr">
        <is>
          <t>Utang bank jangka pendek 21 2.195.100.881 2.437.341.526</t>
        </is>
      </c>
      <c r="J5414" t="inlineStr">
        <is>
          <t>High</t>
        </is>
      </c>
      <c r="M5414" t="inlineStr">
        <is>
          <t>LLM</t>
        </is>
      </c>
      <c r="N5414" t="inlineStr">
        <is>
          <t>2026-04-19</t>
        </is>
      </c>
      <c r="O5414" t="inlineStr">
        <is>
          <t>AI</t>
        </is>
      </c>
    </row>
    <row r="5415">
      <c r="A5415" t="inlineStr">
        <is>
          <t>PT Sawit Sumbermas Sarana Tbk</t>
        </is>
      </c>
      <c r="B5415" t="inlineStr">
        <is>
          <t>SSMS_2024_AR.pdf</t>
        </is>
      </c>
      <c r="C5415" t="n">
        <v>2024</v>
      </c>
      <c r="D5415" t="inlineStr">
        <is>
          <t>Financial</t>
        </is>
      </c>
      <c r="E5415" t="inlineStr">
        <is>
          <t>Current Portion of LT Bank Loans</t>
        </is>
      </c>
      <c r="F5415" t="n">
        <v>989</v>
      </c>
      <c r="G5415" t="inlineStr">
        <is>
          <t>IDR bn</t>
        </is>
      </c>
      <c r="H5415" t="n">
        <v>317</v>
      </c>
      <c r="I5415" t="inlineStr">
        <is>
          <t>Utang bank jangka panjang jatuh tempo dalam satu tahun 21 989.173.991</t>
        </is>
      </c>
      <c r="J5415" t="inlineStr">
        <is>
          <t>High</t>
        </is>
      </c>
      <c r="M5415" t="inlineStr">
        <is>
          <t>LLM</t>
        </is>
      </c>
      <c r="N5415" t="inlineStr">
        <is>
          <t>2026-04-19</t>
        </is>
      </c>
      <c r="O5415" t="inlineStr">
        <is>
          <t>AI</t>
        </is>
      </c>
    </row>
    <row r="5416">
      <c r="A5416" t="inlineStr">
        <is>
          <t>PT Sawit Sumbermas Sarana Tbk</t>
        </is>
      </c>
      <c r="B5416" t="inlineStr">
        <is>
          <t>SSMS_2024_AR.pdf</t>
        </is>
      </c>
      <c r="C5416" t="n">
        <v>2024</v>
      </c>
      <c r="D5416" t="inlineStr">
        <is>
          <t>Financial</t>
        </is>
      </c>
      <c r="E5416" t="inlineStr">
        <is>
          <t>Long-term Bank Loans</t>
        </is>
      </c>
      <c r="F5416" t="n">
        <v>3801</v>
      </c>
      <c r="G5416" t="inlineStr">
        <is>
          <t>IDR bn</t>
        </is>
      </c>
      <c r="H5416" t="n">
        <v>317</v>
      </c>
      <c r="I5416" t="inlineStr">
        <is>
          <t>Utang bank jangka panjang - setelah dikurangi bagian jatuh tempo 3.801.160.349</t>
        </is>
      </c>
      <c r="J5416" t="inlineStr">
        <is>
          <t>High</t>
        </is>
      </c>
      <c r="M5416" t="inlineStr">
        <is>
          <t>LLM</t>
        </is>
      </c>
      <c r="N5416" t="inlineStr">
        <is>
          <t>2026-04-19</t>
        </is>
      </c>
      <c r="O5416" t="inlineStr">
        <is>
          <t>AI</t>
        </is>
      </c>
    </row>
    <row r="5417">
      <c r="A5417" t="inlineStr">
        <is>
          <t>PT Sawit Sumbermas Sarana Tbk</t>
        </is>
      </c>
      <c r="B5417" t="inlineStr">
        <is>
          <t>SSMS_2024_AR.pdf</t>
        </is>
      </c>
      <c r="C5417" t="n">
        <v>2024</v>
      </c>
      <c r="D5417" t="inlineStr">
        <is>
          <t>Financial</t>
        </is>
      </c>
      <c r="E5417" t="inlineStr">
        <is>
          <t>Gross Debt (All bank loans)</t>
        </is>
      </c>
      <c r="F5417" t="n">
        <v>6985</v>
      </c>
      <c r="G5417" t="inlineStr">
        <is>
          <t>IDR bn</t>
        </is>
      </c>
      <c r="H5417" t="n">
        <v>317</v>
      </c>
      <c r="I5417" t="inlineStr">
        <is>
          <t>Sum of Rp2,195 + 989 + 3,801 = Rp6,985 bn</t>
        </is>
      </c>
      <c r="J5417" t="inlineStr">
        <is>
          <t>High</t>
        </is>
      </c>
      <c r="M5417" t="inlineStr">
        <is>
          <t>LLM</t>
        </is>
      </c>
      <c r="N5417" t="inlineStr">
        <is>
          <t>2026-04-19</t>
        </is>
      </c>
      <c r="O5417" t="inlineStr">
        <is>
          <t>AI</t>
        </is>
      </c>
    </row>
    <row r="5418">
      <c r="A5418" t="inlineStr">
        <is>
          <t>PT Sawit Sumbermas Sarana Tbk</t>
        </is>
      </c>
      <c r="B5418" t="inlineStr">
        <is>
          <t>SSMS_2024_AR.pdf</t>
        </is>
      </c>
      <c r="C5418" t="n">
        <v>2024</v>
      </c>
      <c r="D5418" t="inlineStr">
        <is>
          <t>Financial</t>
        </is>
      </c>
      <c r="E5418" t="inlineStr">
        <is>
          <t>CFO</t>
        </is>
      </c>
      <c r="F5418" t="n">
        <v>607</v>
      </c>
      <c r="G5418" t="inlineStr">
        <is>
          <t>IDR bn</t>
        </is>
      </c>
      <c r="H5418" t="n">
        <v>13</v>
      </c>
      <c r="I5418" t="inlineStr">
        <is>
          <t>Arus Kas dari Aktivitas Operasi 606</t>
        </is>
      </c>
      <c r="J5418" t="inlineStr">
        <is>
          <t>High</t>
        </is>
      </c>
      <c r="M5418" t="inlineStr">
        <is>
          <t>LLM</t>
        </is>
      </c>
      <c r="N5418" t="inlineStr">
        <is>
          <t>2026-04-19</t>
        </is>
      </c>
      <c r="O5418" t="inlineStr">
        <is>
          <t>AI</t>
        </is>
      </c>
    </row>
    <row r="5419">
      <c r="A5419" t="inlineStr">
        <is>
          <t>PT Sawit Sumbermas Sarana Tbk</t>
        </is>
      </c>
      <c r="B5419" t="inlineStr">
        <is>
          <t>SSMS_2024_AR.pdf</t>
        </is>
      </c>
      <c r="C5419" t="n">
        <v>2024</v>
      </c>
      <c r="D5419" t="inlineStr">
        <is>
          <t>Financial</t>
        </is>
      </c>
      <c r="E5419" t="inlineStr">
        <is>
          <t>CFI</t>
        </is>
      </c>
      <c r="F5419" t="n">
        <v>465</v>
      </c>
      <c r="G5419" t="inlineStr">
        <is>
          <t>IDR bn</t>
        </is>
      </c>
      <c r="H5419" t="n">
        <v>13</v>
      </c>
      <c r="I5419" t="inlineStr">
        <is>
          <t>Arus Kas dari Aktivitas Investasi 465 (1.451)</t>
        </is>
      </c>
      <c r="J5419" t="inlineStr">
        <is>
          <t>High</t>
        </is>
      </c>
      <c r="M5419" t="inlineStr">
        <is>
          <t>LLM</t>
        </is>
      </c>
      <c r="N5419" t="inlineStr">
        <is>
          <t>2026-04-19</t>
        </is>
      </c>
      <c r="O5419" t="inlineStr">
        <is>
          <t>AI</t>
        </is>
      </c>
    </row>
    <row r="5420">
      <c r="A5420" t="inlineStr">
        <is>
          <t>PT Sawit Sumbermas Sarana Tbk</t>
        </is>
      </c>
      <c r="B5420" t="inlineStr">
        <is>
          <t>SSMS_2024_AR.pdf</t>
        </is>
      </c>
      <c r="C5420" t="n">
        <v>2024</v>
      </c>
      <c r="D5420" t="inlineStr">
        <is>
          <t>Financial</t>
        </is>
      </c>
      <c r="E5420" t="inlineStr">
        <is>
          <t>CFF</t>
        </is>
      </c>
      <c r="F5420" t="n">
        <v>-1238</v>
      </c>
      <c r="G5420" t="inlineStr">
        <is>
          <t>IDR bn</t>
        </is>
      </c>
      <c r="H5420" t="n">
        <v>13</v>
      </c>
      <c r="I5420" t="inlineStr">
        <is>
          <t>Arus Kas dari Aktivitas Pendanaan (1.238)</t>
        </is>
      </c>
      <c r="J5420" t="inlineStr">
        <is>
          <t>High</t>
        </is>
      </c>
      <c r="M5420" t="inlineStr">
        <is>
          <t>LLM</t>
        </is>
      </c>
      <c r="N5420" t="inlineStr">
        <is>
          <t>2026-04-19</t>
        </is>
      </c>
      <c r="O5420" t="inlineStr">
        <is>
          <t>AI</t>
        </is>
      </c>
    </row>
    <row r="5421">
      <c r="A5421" t="inlineStr">
        <is>
          <t>PT Sawit Sumbermas Sarana Tbk</t>
        </is>
      </c>
      <c r="B5421" t="inlineStr">
        <is>
          <t>SSMS_2024_AR.pdf</t>
        </is>
      </c>
      <c r="C5421" t="n">
        <v>2024</v>
      </c>
      <c r="D5421" t="inlineStr">
        <is>
          <t>Financial</t>
        </is>
      </c>
      <c r="E5421" t="inlineStr">
        <is>
          <t>Capex (Realized)</t>
        </is>
      </c>
      <c r="F5421" t="n">
        <v>19</v>
      </c>
      <c r="G5421" t="inlineStr">
        <is>
          <t>IDR bn</t>
        </is>
      </c>
      <c r="H5421" t="n">
        <v>121</v>
      </c>
      <c r="I5421" t="inlineStr">
        <is>
          <t>Total 19 (2024): Prasarana 2 + Tanah 12 + Kendaraan 4 + Bangunan -</t>
        </is>
      </c>
      <c r="J5421" t="inlineStr">
        <is>
          <t>High</t>
        </is>
      </c>
      <c r="M5421" t="inlineStr">
        <is>
          <t>LLM</t>
        </is>
      </c>
      <c r="N5421" t="inlineStr">
        <is>
          <t>2026-04-19</t>
        </is>
      </c>
      <c r="O5421" t="inlineStr">
        <is>
          <t>AI</t>
        </is>
      </c>
    </row>
    <row r="5422">
      <c r="A5422" t="inlineStr">
        <is>
          <t>PT Sawit Sumbermas Sarana Tbk</t>
        </is>
      </c>
      <c r="B5422" t="inlineStr">
        <is>
          <t>SSMS_2024_AR.pdf</t>
        </is>
      </c>
      <c r="C5422" t="n">
        <v>2024</v>
      </c>
      <c r="D5422" t="inlineStr">
        <is>
          <t>Financial</t>
        </is>
      </c>
      <c r="E5422" t="inlineStr">
        <is>
          <t>Acquisition of Fixed Assets (CF)</t>
        </is>
      </c>
      <c r="F5422" t="n">
        <v>230</v>
      </c>
      <c r="G5422" t="inlineStr">
        <is>
          <t>IDR bn</t>
        </is>
      </c>
      <c r="H5422" t="n">
        <v>322</v>
      </c>
      <c r="I5422" t="inlineStr">
        <is>
          <t>Perolehan aset tetap (230.003.434)</t>
        </is>
      </c>
      <c r="J5422" t="inlineStr">
        <is>
          <t>High</t>
        </is>
      </c>
      <c r="M5422" t="inlineStr">
        <is>
          <t>LLM</t>
        </is>
      </c>
      <c r="N5422" t="inlineStr">
        <is>
          <t>2026-04-19</t>
        </is>
      </c>
      <c r="O5422" t="inlineStr">
        <is>
          <t>AI</t>
        </is>
      </c>
    </row>
    <row r="5423">
      <c r="A5423" t="inlineStr">
        <is>
          <t>PT Sawit Sumbermas Sarana Tbk</t>
        </is>
      </c>
      <c r="B5423" t="inlineStr">
        <is>
          <t>SSMS_2024_AR.pdf</t>
        </is>
      </c>
      <c r="C5423" t="n">
        <v>2024</v>
      </c>
      <c r="D5423" t="inlineStr">
        <is>
          <t>Financial</t>
        </is>
      </c>
      <c r="E5423" t="inlineStr">
        <is>
          <t>EPS</t>
        </is>
      </c>
      <c r="F5423" t="n">
        <v>86.04000000000001</v>
      </c>
      <c r="G5423" t="inlineStr">
        <is>
          <t>Rp/share</t>
        </is>
      </c>
      <c r="H5423" t="n">
        <v>13</v>
      </c>
      <c r="I5423" t="inlineStr">
        <is>
          <t>Laba per Saham (Nilai Penuh) 86,04 53,78</t>
        </is>
      </c>
      <c r="J5423" t="inlineStr">
        <is>
          <t>High</t>
        </is>
      </c>
      <c r="M5423" t="inlineStr">
        <is>
          <t>LLM</t>
        </is>
      </c>
      <c r="N5423" t="inlineStr">
        <is>
          <t>2026-04-19</t>
        </is>
      </c>
      <c r="O5423" t="inlineStr">
        <is>
          <t>AI</t>
        </is>
      </c>
    </row>
    <row r="5424">
      <c r="A5424" t="inlineStr">
        <is>
          <t>PT Sawit Sumbermas Sarana Tbk</t>
        </is>
      </c>
      <c r="B5424" t="inlineStr">
        <is>
          <t>SSMS_2024_AR.pdf</t>
        </is>
      </c>
      <c r="C5424" t="n">
        <v>2024</v>
      </c>
      <c r="D5424" t="inlineStr">
        <is>
          <t>Financial</t>
        </is>
      </c>
      <c r="E5424" t="inlineStr">
        <is>
          <t>Current Ratio</t>
        </is>
      </c>
      <c r="F5424" t="n">
        <v>1.1095</v>
      </c>
      <c r="G5424" t="inlineStr">
        <is>
          <t>x</t>
        </is>
      </c>
      <c r="H5424" t="n">
        <v>14</v>
      </c>
      <c r="I5424" t="inlineStr">
        <is>
          <t>Rasio Lancar / Current Ratio % 110,95 105,75</t>
        </is>
      </c>
      <c r="J5424" t="inlineStr">
        <is>
          <t>High</t>
        </is>
      </c>
      <c r="M5424" t="inlineStr">
        <is>
          <t>LLM</t>
        </is>
      </c>
      <c r="N5424" t="inlineStr">
        <is>
          <t>2026-04-19</t>
        </is>
      </c>
      <c r="O5424" t="inlineStr">
        <is>
          <t>AI</t>
        </is>
      </c>
    </row>
    <row r="5425">
      <c r="A5425" t="inlineStr">
        <is>
          <t>PT Sawit Sumbermas Sarana Tbk</t>
        </is>
      </c>
      <c r="B5425" t="inlineStr">
        <is>
          <t>SSMS_2024_AR.pdf</t>
        </is>
      </c>
      <c r="C5425" t="n">
        <v>2024</v>
      </c>
      <c r="D5425" t="inlineStr">
        <is>
          <t>Financial</t>
        </is>
      </c>
      <c r="E5425" t="inlineStr">
        <is>
          <t>Debt to Asset Ratio</t>
        </is>
      </c>
      <c r="F5425" t="n">
        <v>0.7542</v>
      </c>
      <c r="G5425" t="inlineStr">
        <is>
          <t>%</t>
        </is>
      </c>
      <c r="H5425" t="n">
        <v>14</v>
      </c>
      <c r="I5425" t="inlineStr">
        <is>
          <t>Rasio Liabilitas terhadap Total Aset 75,42</t>
        </is>
      </c>
      <c r="J5425" t="inlineStr">
        <is>
          <t>High</t>
        </is>
      </c>
      <c r="M5425" t="inlineStr">
        <is>
          <t>LLM</t>
        </is>
      </c>
      <c r="N5425" t="inlineStr">
        <is>
          <t>2026-04-19</t>
        </is>
      </c>
      <c r="O5425" t="inlineStr">
        <is>
          <t>AI</t>
        </is>
      </c>
    </row>
    <row r="5426">
      <c r="A5426" t="inlineStr">
        <is>
          <t>PT Sawit Sumbermas Sarana Tbk</t>
        </is>
      </c>
      <c r="B5426" t="inlineStr">
        <is>
          <t>SSMS_2024_AR.pdf</t>
        </is>
      </c>
      <c r="C5426" t="n">
        <v>2024</v>
      </c>
      <c r="D5426" t="inlineStr">
        <is>
          <t>Financial</t>
        </is>
      </c>
      <c r="E5426" t="inlineStr">
        <is>
          <t>Debt to Equity Ratio</t>
        </is>
      </c>
      <c r="F5426" t="n">
        <v>3.069</v>
      </c>
      <c r="G5426" t="inlineStr">
        <is>
          <t>x</t>
        </is>
      </c>
      <c r="H5426" t="n">
        <v>14</v>
      </c>
      <c r="I5426" t="inlineStr">
        <is>
          <t>Rasio Liabilitas terhadap Ekuitas 306,90%</t>
        </is>
      </c>
      <c r="J5426" t="inlineStr">
        <is>
          <t>High</t>
        </is>
      </c>
      <c r="M5426" t="inlineStr">
        <is>
          <t>LLM</t>
        </is>
      </c>
      <c r="N5426" t="inlineStr">
        <is>
          <t>2026-04-19</t>
        </is>
      </c>
      <c r="O5426" t="inlineStr">
        <is>
          <t>AI</t>
        </is>
      </c>
    </row>
    <row r="5427">
      <c r="A5427" t="inlineStr">
        <is>
          <t>PT Sawit Sumbermas Sarana Tbk</t>
        </is>
      </c>
      <c r="B5427" t="inlineStr">
        <is>
          <t>SSMS_2024_AR.pdf</t>
        </is>
      </c>
      <c r="C5427" t="n">
        <v>2024</v>
      </c>
      <c r="D5427" t="inlineStr">
        <is>
          <t>Financial</t>
        </is>
      </c>
      <c r="E5427" t="inlineStr">
        <is>
          <t>Interest-Bearing Debt/Equity</t>
        </is>
      </c>
      <c r="F5427" t="n">
        <v>2.45</v>
      </c>
      <c r="G5427" t="inlineStr">
        <is>
          <t>x</t>
        </is>
      </c>
      <c r="H5427" t="n">
        <v>120</v>
      </c>
      <c r="I5427" t="inlineStr">
        <is>
          <t>Rasio Utang Berbunga terhadap Ekuitas 2,45 4,11</t>
        </is>
      </c>
      <c r="J5427" t="inlineStr">
        <is>
          <t>High</t>
        </is>
      </c>
      <c r="M5427" t="inlineStr">
        <is>
          <t>LLM</t>
        </is>
      </c>
      <c r="N5427" t="inlineStr">
        <is>
          <t>2026-04-19</t>
        </is>
      </c>
      <c r="O5427" t="inlineStr">
        <is>
          <t>AI</t>
        </is>
      </c>
    </row>
    <row r="5428">
      <c r="A5428" t="inlineStr">
        <is>
          <t>PT Sawit Sumbermas Sarana Tbk</t>
        </is>
      </c>
      <c r="B5428" t="inlineStr">
        <is>
          <t>SSMS_2024_AR.pdf</t>
        </is>
      </c>
      <c r="C5428" t="n">
        <v>2024</v>
      </c>
      <c r="D5428" t="inlineStr">
        <is>
          <t>Financial</t>
        </is>
      </c>
      <c r="E5428" t="inlineStr">
        <is>
          <t>Gross Profit Margin</t>
        </is>
      </c>
      <c r="F5428" t="n">
        <v>0.3117</v>
      </c>
      <c r="G5428" t="inlineStr">
        <is>
          <t>%</t>
        </is>
      </c>
      <c r="H5428" t="n">
        <v>14</v>
      </c>
      <c r="I5428" t="inlineStr">
        <is>
          <t>Rasio Margin Laba Kotor 31,17</t>
        </is>
      </c>
      <c r="J5428" t="inlineStr">
        <is>
          <t>High</t>
        </is>
      </c>
      <c r="M5428" t="inlineStr">
        <is>
          <t>LLM</t>
        </is>
      </c>
      <c r="N5428" t="inlineStr">
        <is>
          <t>2026-04-19</t>
        </is>
      </c>
      <c r="O5428" t="inlineStr">
        <is>
          <t>AI</t>
        </is>
      </c>
    </row>
    <row r="5429">
      <c r="A5429" t="inlineStr">
        <is>
          <t>PT Sawit Sumbermas Sarana Tbk</t>
        </is>
      </c>
      <c r="B5429" t="inlineStr">
        <is>
          <t>SSMS_2024_AR.pdf</t>
        </is>
      </c>
      <c r="C5429" t="n">
        <v>2024</v>
      </c>
      <c r="D5429" t="inlineStr">
        <is>
          <t>Financial</t>
        </is>
      </c>
      <c r="E5429" t="inlineStr">
        <is>
          <t>Operating Margin</t>
        </is>
      </c>
      <c r="F5429" t="n">
        <v>0.1682</v>
      </c>
      <c r="G5429" t="inlineStr">
        <is>
          <t>%</t>
        </is>
      </c>
      <c r="H5429" t="n">
        <v>14</v>
      </c>
      <c r="I5429" t="inlineStr">
        <is>
          <t>Rasio Margin Laba Usaha 16,82</t>
        </is>
      </c>
      <c r="J5429" t="inlineStr">
        <is>
          <t>High</t>
        </is>
      </c>
      <c r="M5429" t="inlineStr">
        <is>
          <t>LLM</t>
        </is>
      </c>
      <c r="N5429" t="inlineStr">
        <is>
          <t>2026-04-19</t>
        </is>
      </c>
      <c r="O5429" t="inlineStr">
        <is>
          <t>AI</t>
        </is>
      </c>
    </row>
    <row r="5430">
      <c r="A5430" t="inlineStr">
        <is>
          <t>PT Sawit Sumbermas Sarana Tbk</t>
        </is>
      </c>
      <c r="B5430" t="inlineStr">
        <is>
          <t>SSMS_2024_AR.pdf</t>
        </is>
      </c>
      <c r="C5430" t="n">
        <v>2024</v>
      </c>
      <c r="D5430" t="inlineStr">
        <is>
          <t>Financial</t>
        </is>
      </c>
      <c r="E5430" t="inlineStr">
        <is>
          <t>Net Profit Margin</t>
        </is>
      </c>
      <c r="F5430" t="n">
        <v>0.0803</v>
      </c>
      <c r="G5430" t="inlineStr">
        <is>
          <t>%</t>
        </is>
      </c>
      <c r="H5430" t="n">
        <v>14</v>
      </c>
      <c r="I5430" t="inlineStr">
        <is>
          <t>Margin Laba Bersih 8,03</t>
        </is>
      </c>
      <c r="J5430" t="inlineStr">
        <is>
          <t>High</t>
        </is>
      </c>
      <c r="M5430" t="inlineStr">
        <is>
          <t>LLM</t>
        </is>
      </c>
      <c r="N5430" t="inlineStr">
        <is>
          <t>2026-04-19</t>
        </is>
      </c>
      <c r="O5430" t="inlineStr">
        <is>
          <t>AI</t>
        </is>
      </c>
    </row>
    <row r="5431">
      <c r="A5431" t="inlineStr">
        <is>
          <t>PT Sawit Sumbermas Sarana Tbk</t>
        </is>
      </c>
      <c r="B5431" t="inlineStr">
        <is>
          <t>SSMS_2024_AR.pdf</t>
        </is>
      </c>
      <c r="C5431" t="n">
        <v>2024</v>
      </c>
      <c r="D5431" t="inlineStr">
        <is>
          <t>Financial</t>
        </is>
      </c>
      <c r="E5431" t="inlineStr">
        <is>
          <t>ROA</t>
        </is>
      </c>
      <c r="F5431" t="n">
        <v>0.0718</v>
      </c>
      <c r="G5431" t="inlineStr">
        <is>
          <t>%</t>
        </is>
      </c>
      <c r="H5431" t="n">
        <v>14</v>
      </c>
      <c r="I5431" t="inlineStr">
        <is>
          <t>Return on Assets (ROA) 7,18</t>
        </is>
      </c>
      <c r="J5431" t="inlineStr">
        <is>
          <t>High</t>
        </is>
      </c>
      <c r="M5431" t="inlineStr">
        <is>
          <t>LLM</t>
        </is>
      </c>
      <c r="N5431" t="inlineStr">
        <is>
          <t>2026-04-19</t>
        </is>
      </c>
      <c r="O5431" t="inlineStr">
        <is>
          <t>AI</t>
        </is>
      </c>
    </row>
    <row r="5432">
      <c r="A5432" t="inlineStr">
        <is>
          <t>PT Sawit Sumbermas Sarana Tbk</t>
        </is>
      </c>
      <c r="B5432" t="inlineStr">
        <is>
          <t>SSMS_2024_AR.pdf</t>
        </is>
      </c>
      <c r="C5432" t="n">
        <v>2024</v>
      </c>
      <c r="D5432" t="inlineStr">
        <is>
          <t>Financial</t>
        </is>
      </c>
      <c r="E5432" t="inlineStr">
        <is>
          <t>ROE</t>
        </is>
      </c>
      <c r="F5432" t="n">
        <v>0.2921</v>
      </c>
      <c r="G5432" t="inlineStr">
        <is>
          <t>%</t>
        </is>
      </c>
      <c r="H5432" t="n">
        <v>14</v>
      </c>
      <c r="I5432" t="inlineStr">
        <is>
          <t>Return on Equity (ROE) 29,21</t>
        </is>
      </c>
      <c r="J5432" t="inlineStr">
        <is>
          <t>High</t>
        </is>
      </c>
      <c r="M5432" t="inlineStr">
        <is>
          <t>LLM</t>
        </is>
      </c>
      <c r="N5432" t="inlineStr">
        <is>
          <t>2026-04-19</t>
        </is>
      </c>
      <c r="O5432" t="inlineStr">
        <is>
          <t>AI</t>
        </is>
      </c>
    </row>
    <row r="5433">
      <c r="A5433" t="inlineStr">
        <is>
          <t>PT Sawit Sumbermas Sarana Tbk</t>
        </is>
      </c>
      <c r="B5433" t="inlineStr">
        <is>
          <t>SSMS_2024_AR.pdf</t>
        </is>
      </c>
      <c r="C5433" t="n">
        <v>2024</v>
      </c>
      <c r="D5433" t="inlineStr">
        <is>
          <t>Financial</t>
        </is>
      </c>
      <c r="E5433" t="inlineStr">
        <is>
          <t>Closing Price Q4 2024</t>
        </is>
      </c>
      <c r="F5433" t="n">
        <v>1300</v>
      </c>
      <c r="G5433" t="inlineStr">
        <is>
          <t>Rp/share</t>
        </is>
      </c>
      <c r="H5433" t="n">
        <v>18</v>
      </c>
      <c r="I5433" t="inlineStr">
        <is>
          <t>Triwulan IV 9.525.000.000 11.465.719 1.215 1.305 995 1.300</t>
        </is>
      </c>
      <c r="J5433" t="inlineStr">
        <is>
          <t>High</t>
        </is>
      </c>
      <c r="M5433" t="inlineStr">
        <is>
          <t>LLM</t>
        </is>
      </c>
      <c r="N5433" t="inlineStr">
        <is>
          <t>2026-04-19</t>
        </is>
      </c>
      <c r="O5433" t="inlineStr">
        <is>
          <t>AI</t>
        </is>
      </c>
    </row>
    <row r="5434">
      <c r="A5434" t="inlineStr">
        <is>
          <t>PT Sawit Sumbermas Sarana Tbk</t>
        </is>
      </c>
      <c r="B5434" t="inlineStr">
        <is>
          <t>SSMS_2024_AR.pdf</t>
        </is>
      </c>
      <c r="C5434" t="n">
        <v>2024</v>
      </c>
      <c r="D5434" t="inlineStr">
        <is>
          <t>Financial</t>
        </is>
      </c>
      <c r="E5434" t="inlineStr">
        <is>
          <t>Market Cap Q4 2024</t>
        </is>
      </c>
      <c r="F5434" t="n">
        <v>11466</v>
      </c>
      <c r="G5434" t="inlineStr">
        <is>
          <t>IDR bn</t>
        </is>
      </c>
      <c r="H5434" t="n">
        <v>18</v>
      </c>
      <c r="I5434" t="inlineStr">
        <is>
          <t>Kapitalisasi Pasar Triwulan IV 11.465.719 (Rp-Juta)</t>
        </is>
      </c>
      <c r="J5434" t="inlineStr">
        <is>
          <t>High</t>
        </is>
      </c>
      <c r="M5434" t="inlineStr">
        <is>
          <t>LLM</t>
        </is>
      </c>
      <c r="N5434" t="inlineStr">
        <is>
          <t>2026-04-19</t>
        </is>
      </c>
      <c r="O5434" t="inlineStr">
        <is>
          <t>AI</t>
        </is>
      </c>
    </row>
    <row r="5435">
      <c r="A5435" t="inlineStr">
        <is>
          <t>PT Sawit Sumbermas Sarana Tbk</t>
        </is>
      </c>
      <c r="B5435" t="inlineStr">
        <is>
          <t>SSMS_2024_AR.pdf</t>
        </is>
      </c>
      <c r="C5435" t="n">
        <v>2024</v>
      </c>
      <c r="D5435" t="inlineStr">
        <is>
          <t>Financial</t>
        </is>
      </c>
      <c r="E5435" t="inlineStr">
        <is>
          <t>Highest Price 2024</t>
        </is>
      </c>
      <c r="F5435" t="n">
        <v>1305</v>
      </c>
      <c r="G5435" t="inlineStr">
        <is>
          <t>Rp/share</t>
        </is>
      </c>
      <c r="H5435" t="n">
        <v>18</v>
      </c>
      <c r="I5435" t="inlineStr">
        <is>
          <t>Harga Tertinggi 1.305</t>
        </is>
      </c>
      <c r="J5435" t="inlineStr">
        <is>
          <t>High</t>
        </is>
      </c>
      <c r="M5435" t="inlineStr">
        <is>
          <t>LLM</t>
        </is>
      </c>
      <c r="N5435" t="inlineStr">
        <is>
          <t>2026-04-19</t>
        </is>
      </c>
      <c r="O5435" t="inlineStr">
        <is>
          <t>AI</t>
        </is>
      </c>
    </row>
    <row r="5436">
      <c r="A5436" t="inlineStr">
        <is>
          <t>PT Sawit Sumbermas Sarana Tbk</t>
        </is>
      </c>
      <c r="B5436" t="inlineStr">
        <is>
          <t>SSMS_2024_AR.pdf</t>
        </is>
      </c>
      <c r="C5436" t="n">
        <v>2024</v>
      </c>
      <c r="D5436" t="inlineStr">
        <is>
          <t>Financial</t>
        </is>
      </c>
      <c r="E5436" t="inlineStr">
        <is>
          <t>Lowest Price 2024</t>
        </is>
      </c>
      <c r="F5436" t="n">
        <v>965</v>
      </c>
      <c r="G5436" t="inlineStr">
        <is>
          <t>Rp/share</t>
        </is>
      </c>
      <c r="H5436" t="n">
        <v>18</v>
      </c>
      <c r="I5436" t="inlineStr">
        <is>
          <t>Harga Terendah 965</t>
        </is>
      </c>
      <c r="J5436" t="inlineStr">
        <is>
          <t>High</t>
        </is>
      </c>
      <c r="M5436" t="inlineStr">
        <is>
          <t>LLM</t>
        </is>
      </c>
      <c r="N5436" t="inlineStr">
        <is>
          <t>2026-04-19</t>
        </is>
      </c>
      <c r="O5436" t="inlineStr">
        <is>
          <t>AI</t>
        </is>
      </c>
    </row>
    <row r="5437">
      <c r="A5437" t="inlineStr">
        <is>
          <t>PT Sawit Sumbermas Sarana Tbk</t>
        </is>
      </c>
      <c r="B5437" t="inlineStr">
        <is>
          <t>SSMS_2024_AR.pdf</t>
        </is>
      </c>
      <c r="C5437" t="n">
        <v>2024</v>
      </c>
      <c r="D5437" t="inlineStr">
        <is>
          <t>Financial</t>
        </is>
      </c>
      <c r="E5437" t="inlineStr">
        <is>
          <t>No Cash Dividend FY2024</t>
        </is>
      </c>
      <c r="F5437" t="n">
        <v>0</v>
      </c>
      <c r="G5437" t="inlineStr">
        <is>
          <t>Rp/share</t>
        </is>
      </c>
      <c r="H5437" t="n">
        <v>125</v>
      </c>
      <c r="I5437" t="inlineStr">
        <is>
          <t>Tidak dibagikan dalam bentuk dividen tunai karena dialokasikan sebagai cadangan lainnya yang akan menambah saldo laba ditahan (FY2023 decision, no payment in 2024)</t>
        </is>
      </c>
      <c r="J5437" t="inlineStr">
        <is>
          <t>High</t>
        </is>
      </c>
      <c r="M5437" t="inlineStr">
        <is>
          <t>LLM</t>
        </is>
      </c>
      <c r="N5437" t="inlineStr">
        <is>
          <t>2026-04-19</t>
        </is>
      </c>
      <c r="O5437" t="inlineStr">
        <is>
          <t>AI</t>
        </is>
      </c>
    </row>
    <row r="5438">
      <c r="A5438" t="inlineStr">
        <is>
          <t>PT Sawit Sumbermas Sarana Tbk</t>
        </is>
      </c>
      <c r="B5438" t="inlineStr">
        <is>
          <t>SSMS_2024_AR.pdf</t>
        </is>
      </c>
      <c r="C5438" t="n">
        <v>2024</v>
      </c>
      <c r="D5438" t="inlineStr">
        <is>
          <t>Asset</t>
        </is>
      </c>
      <c r="E5438" t="inlineStr">
        <is>
          <t>Total Managed Area</t>
        </is>
      </c>
      <c r="F5438" t="n">
        <v>115571</v>
      </c>
      <c r="G5438" t="inlineStr">
        <is>
          <t>ha</t>
        </is>
      </c>
      <c r="H5438" t="n">
        <v>60</v>
      </c>
      <c r="I5438" t="inlineStr">
        <is>
          <t>Total Managed Area (Nucleus and Plasma) 115.571 Hektare</t>
        </is>
      </c>
      <c r="J5438" t="inlineStr">
        <is>
          <t>High</t>
        </is>
      </c>
      <c r="M5438" t="inlineStr">
        <is>
          <t>LLM</t>
        </is>
      </c>
      <c r="N5438" t="inlineStr">
        <is>
          <t>2026-04-19</t>
        </is>
      </c>
      <c r="O5438" t="inlineStr">
        <is>
          <t>AI</t>
        </is>
      </c>
    </row>
    <row r="5439">
      <c r="A5439" t="inlineStr">
        <is>
          <t>PT Sawit Sumbermas Sarana Tbk</t>
        </is>
      </c>
      <c r="B5439" t="inlineStr">
        <is>
          <t>SSMS_2024_AR.pdf</t>
        </is>
      </c>
      <c r="C5439" t="n">
        <v>2024</v>
      </c>
      <c r="D5439" t="inlineStr">
        <is>
          <t>Asset</t>
        </is>
      </c>
      <c r="E5439" t="inlineStr">
        <is>
          <t>Nucleus Area</t>
        </is>
      </c>
      <c r="F5439" t="n">
        <v>93224</v>
      </c>
      <c r="G5439" t="inlineStr">
        <is>
          <t>ha</t>
        </is>
      </c>
      <c r="H5439" t="n">
        <v>107</v>
      </c>
      <c r="I5439" t="inlineStr">
        <is>
          <t>93.224 ha perkebunan inti</t>
        </is>
      </c>
      <c r="J5439" t="inlineStr">
        <is>
          <t>High</t>
        </is>
      </c>
      <c r="M5439" t="inlineStr">
        <is>
          <t>LLM</t>
        </is>
      </c>
      <c r="N5439" t="inlineStr">
        <is>
          <t>2026-04-19</t>
        </is>
      </c>
      <c r="O5439" t="inlineStr">
        <is>
          <t>AI</t>
        </is>
      </c>
    </row>
    <row r="5440">
      <c r="A5440" t="inlineStr">
        <is>
          <t>PT Sawit Sumbermas Sarana Tbk</t>
        </is>
      </c>
      <c r="B5440" t="inlineStr">
        <is>
          <t>SSMS_2024_AR.pdf</t>
        </is>
      </c>
      <c r="C5440" t="n">
        <v>2024</v>
      </c>
      <c r="D5440" t="inlineStr">
        <is>
          <t>Asset</t>
        </is>
      </c>
      <c r="E5440" t="inlineStr">
        <is>
          <t>Plasma Area</t>
        </is>
      </c>
      <c r="F5440" t="n">
        <v>22347</v>
      </c>
      <c r="G5440" t="inlineStr">
        <is>
          <t>ha</t>
        </is>
      </c>
      <c r="H5440" t="n">
        <v>107</v>
      </c>
      <c r="I5440" t="inlineStr">
        <is>
          <t>22.347 ha perkebunan plasma</t>
        </is>
      </c>
      <c r="J5440" t="inlineStr">
        <is>
          <t>High</t>
        </is>
      </c>
      <c r="M5440" t="inlineStr">
        <is>
          <t>LLM</t>
        </is>
      </c>
      <c r="N5440" t="inlineStr">
        <is>
          <t>2026-04-19</t>
        </is>
      </c>
      <c r="O5440" t="inlineStr">
        <is>
          <t>AI</t>
        </is>
      </c>
    </row>
    <row r="5441">
      <c r="A5441" t="inlineStr">
        <is>
          <t>PT Sawit Sumbermas Sarana Tbk</t>
        </is>
      </c>
      <c r="B5441" t="inlineStr">
        <is>
          <t>SSMS_2024_AR.pdf</t>
        </is>
      </c>
      <c r="C5441" t="n">
        <v>2024</v>
      </c>
      <c r="D5441" t="inlineStr">
        <is>
          <t>Asset</t>
        </is>
      </c>
      <c r="E5441" t="inlineStr">
        <is>
          <t>Mature Planted Area</t>
        </is>
      </c>
      <c r="F5441" t="n">
        <v>81604</v>
      </c>
      <c r="G5441" t="inlineStr">
        <is>
          <t>ha</t>
        </is>
      </c>
      <c r="H5441" t="n">
        <v>60</v>
      </c>
      <c r="I5441" t="inlineStr">
        <is>
          <t>Luas Lahan Ditanami Kelapa Sawit Menghasilkan (Mature) 81.604 Hektare</t>
        </is>
      </c>
      <c r="J5441" t="inlineStr">
        <is>
          <t>High</t>
        </is>
      </c>
      <c r="M5441" t="inlineStr">
        <is>
          <t>LLM</t>
        </is>
      </c>
      <c r="N5441" t="inlineStr">
        <is>
          <t>2026-04-19</t>
        </is>
      </c>
      <c r="O5441" t="inlineStr">
        <is>
          <t>AI</t>
        </is>
      </c>
    </row>
    <row r="5442">
      <c r="A5442" t="inlineStr">
        <is>
          <t>PT Sawit Sumbermas Sarana Tbk</t>
        </is>
      </c>
      <c r="B5442" t="inlineStr">
        <is>
          <t>SSMS_2024_AR.pdf</t>
        </is>
      </c>
      <c r="C5442" t="n">
        <v>2024</v>
      </c>
      <c r="D5442" t="inlineStr">
        <is>
          <t>Asset</t>
        </is>
      </c>
      <c r="E5442" t="inlineStr">
        <is>
          <t>Mature Nucleus Area</t>
        </is>
      </c>
      <c r="F5442" t="n">
        <v>68941</v>
      </c>
      <c r="G5442" t="inlineStr">
        <is>
          <t>ha</t>
        </is>
      </c>
      <c r="H5442" t="n">
        <v>107</v>
      </c>
      <c r="I5442" t="inlineStr">
        <is>
          <t>68.941 ha perkebunan inti (mature)</t>
        </is>
      </c>
      <c r="J5442" t="inlineStr">
        <is>
          <t>High</t>
        </is>
      </c>
      <c r="M5442" t="inlineStr">
        <is>
          <t>LLM</t>
        </is>
      </c>
      <c r="N5442" t="inlineStr">
        <is>
          <t>2026-04-19</t>
        </is>
      </c>
      <c r="O5442" t="inlineStr">
        <is>
          <t>AI</t>
        </is>
      </c>
    </row>
    <row r="5443">
      <c r="A5443" t="inlineStr">
        <is>
          <t>PT Sawit Sumbermas Sarana Tbk</t>
        </is>
      </c>
      <c r="B5443" t="inlineStr">
        <is>
          <t>SSMS_2024_AR.pdf</t>
        </is>
      </c>
      <c r="C5443" t="n">
        <v>2024</v>
      </c>
      <c r="D5443" t="inlineStr">
        <is>
          <t>Asset</t>
        </is>
      </c>
      <c r="E5443" t="inlineStr">
        <is>
          <t>Mature Plasma Area</t>
        </is>
      </c>
      <c r="F5443" t="n">
        <v>12663</v>
      </c>
      <c r="G5443" t="inlineStr">
        <is>
          <t>ha</t>
        </is>
      </c>
      <c r="H5443" t="n">
        <v>107</v>
      </c>
      <c r="I5443" t="inlineStr">
        <is>
          <t>12.663 ha perkebunan plasma (mature)</t>
        </is>
      </c>
      <c r="J5443" t="inlineStr">
        <is>
          <t>High</t>
        </is>
      </c>
      <c r="M5443" t="inlineStr">
        <is>
          <t>LLM</t>
        </is>
      </c>
      <c r="N5443" t="inlineStr">
        <is>
          <t>2026-04-19</t>
        </is>
      </c>
      <c r="O5443" t="inlineStr">
        <is>
          <t>AI</t>
        </is>
      </c>
    </row>
    <row r="5444">
      <c r="A5444" t="inlineStr">
        <is>
          <t>PT Sawit Sumbermas Sarana Tbk</t>
        </is>
      </c>
      <c r="B5444" t="inlineStr">
        <is>
          <t>SSMS_2024_AR.pdf</t>
        </is>
      </c>
      <c r="C5444" t="n">
        <v>2024</v>
      </c>
      <c r="D5444" t="inlineStr">
        <is>
          <t>Asset</t>
        </is>
      </c>
      <c r="E5444" t="inlineStr">
        <is>
          <t>Immature Planted Area</t>
        </is>
      </c>
      <c r="F5444" t="n">
        <v>925</v>
      </c>
      <c r="G5444" t="inlineStr">
        <is>
          <t>ha</t>
        </is>
      </c>
      <c r="H5444" t="n">
        <v>60</v>
      </c>
      <c r="I5444" t="inlineStr">
        <is>
          <t>Luas Lahan Ditanami Kelapa Sawit Belum Menghasilkan (Immature) 1.031 Hektare (per p.60 summary); 925 ha per p.107 MDA (286 inti + 639 plasma)</t>
        </is>
      </c>
      <c r="J5444" t="inlineStr">
        <is>
          <t>High</t>
        </is>
      </c>
      <c r="M5444" t="inlineStr">
        <is>
          <t>LLM</t>
        </is>
      </c>
      <c r="N5444" t="inlineStr">
        <is>
          <t>2026-04-19</t>
        </is>
      </c>
      <c r="O5444" t="inlineStr">
        <is>
          <t>AI</t>
        </is>
      </c>
    </row>
    <row r="5445">
      <c r="A5445" t="inlineStr">
        <is>
          <t>PT Sawit Sumbermas Sarana Tbk</t>
        </is>
      </c>
      <c r="B5445" t="inlineStr">
        <is>
          <t>SSMS_2024_AR.pdf</t>
        </is>
      </c>
      <c r="C5445" t="n">
        <v>2024</v>
      </c>
      <c r="D5445" t="inlineStr">
        <is>
          <t>Asset</t>
        </is>
      </c>
      <c r="E5445" t="inlineStr">
        <is>
          <t>Other Plantation Area</t>
        </is>
      </c>
      <c r="F5445" t="n">
        <v>33040</v>
      </c>
      <c r="G5445" t="inlineStr">
        <is>
          <t>ha</t>
        </is>
      </c>
      <c r="H5445" t="n">
        <v>60</v>
      </c>
      <c r="I5445" t="inlineStr">
        <is>
          <t>Hektar Luas Lahan Lainnya 33.040 Hektare</t>
        </is>
      </c>
      <c r="J5445" t="inlineStr">
        <is>
          <t>High</t>
        </is>
      </c>
      <c r="M5445" t="inlineStr">
        <is>
          <t>LLM</t>
        </is>
      </c>
      <c r="N5445" t="inlineStr">
        <is>
          <t>2026-04-19</t>
        </is>
      </c>
      <c r="O5445" t="inlineStr">
        <is>
          <t>AI</t>
        </is>
      </c>
    </row>
    <row r="5446">
      <c r="A5446" t="inlineStr">
        <is>
          <t>PT Sawit Sumbermas Sarana Tbk</t>
        </is>
      </c>
      <c r="B5446" t="inlineStr">
        <is>
          <t>SSMS_2024_AR.pdf</t>
        </is>
      </c>
      <c r="C5446" t="n">
        <v>2024</v>
      </c>
      <c r="D5446" t="inlineStr">
        <is>
          <t>Asset</t>
        </is>
      </c>
      <c r="E5446" t="inlineStr">
        <is>
          <t>HGU Land Area</t>
        </is>
      </c>
      <c r="F5446" t="n">
        <v>54714</v>
      </c>
      <c r="G5446" t="inlineStr">
        <is>
          <t>ha</t>
        </is>
      </c>
      <c r="H5446" t="n">
        <v>60</v>
      </c>
      <c r="I5446" t="inlineStr">
        <is>
          <t>Luas Lahan Perseroan Memperoleh HGU 54.714 Hektare</t>
        </is>
      </c>
      <c r="J5446" t="inlineStr">
        <is>
          <t>High</t>
        </is>
      </c>
      <c r="M5446" t="inlineStr">
        <is>
          <t>LLM</t>
        </is>
      </c>
      <c r="N5446" t="inlineStr">
        <is>
          <t>2026-04-19</t>
        </is>
      </c>
      <c r="O5446" t="inlineStr">
        <is>
          <t>AI</t>
        </is>
      </c>
    </row>
    <row r="5447">
      <c r="A5447" t="inlineStr">
        <is>
          <t>PT Sawit Sumbermas Sarana Tbk</t>
        </is>
      </c>
      <c r="B5447" t="inlineStr">
        <is>
          <t>SSMS_2024_AR.pdf</t>
        </is>
      </c>
      <c r="C5447" t="n">
        <v>2024</v>
      </c>
      <c r="D5447" t="inlineStr">
        <is>
          <t>Asset</t>
        </is>
      </c>
      <c r="E5447" t="inlineStr">
        <is>
          <t>Independent Smallholders Area</t>
        </is>
      </c>
      <c r="F5447" t="n">
        <v>22347</v>
      </c>
      <c r="G5447" t="inlineStr">
        <is>
          <t>ha</t>
        </is>
      </c>
      <c r="H5447" t="n">
        <v>60</v>
      </c>
      <c r="I5447" t="inlineStr">
        <is>
          <t>Total Area of Independent Smallholders 22.347 Hektare</t>
        </is>
      </c>
      <c r="J5447" t="inlineStr">
        <is>
          <t>High</t>
        </is>
      </c>
      <c r="M5447" t="inlineStr">
        <is>
          <t>LLM</t>
        </is>
      </c>
      <c r="N5447" t="inlineStr">
        <is>
          <t>2026-04-19</t>
        </is>
      </c>
      <c r="O5447" t="inlineStr">
        <is>
          <t>AI</t>
        </is>
      </c>
    </row>
    <row r="5448">
      <c r="A5448" t="inlineStr">
        <is>
          <t>PT Sawit Sumbermas Sarana Tbk</t>
        </is>
      </c>
      <c r="B5448" t="inlineStr">
        <is>
          <t>SSMS_2024_AR.pdf</t>
        </is>
      </c>
      <c r="C5448" t="n">
        <v>2024</v>
      </c>
      <c r="D5448" t="inlineStr">
        <is>
          <t>Asset</t>
        </is>
      </c>
      <c r="E5448" t="inlineStr">
        <is>
          <t>Number of Estates</t>
        </is>
      </c>
      <c r="F5448" t="n">
        <v>23</v>
      </c>
      <c r="G5448" t="inlineStr">
        <is>
          <t>count</t>
        </is>
      </c>
      <c r="H5448" t="n">
        <v>60</v>
      </c>
      <c r="I5448" t="inlineStr">
        <is>
          <t>Perkebunan Kelapa Sawit 23 Estate</t>
        </is>
      </c>
      <c r="J5448" t="inlineStr">
        <is>
          <t>High</t>
        </is>
      </c>
      <c r="M5448" t="inlineStr">
        <is>
          <t>LLM</t>
        </is>
      </c>
      <c r="N5448" t="inlineStr">
        <is>
          <t>2026-04-19</t>
        </is>
      </c>
      <c r="O5448" t="inlineStr">
        <is>
          <t>AI</t>
        </is>
      </c>
    </row>
    <row r="5449">
      <c r="A5449" t="inlineStr">
        <is>
          <t>PT Sawit Sumbermas Sarana Tbk</t>
        </is>
      </c>
      <c r="B5449" t="inlineStr">
        <is>
          <t>SSMS_2024_AR.pdf</t>
        </is>
      </c>
      <c r="C5449" t="n">
        <v>2024</v>
      </c>
      <c r="D5449" t="inlineStr">
        <is>
          <t>Asset</t>
        </is>
      </c>
      <c r="E5449" t="inlineStr">
        <is>
          <t>Number of Palm Oil Mills</t>
        </is>
      </c>
      <c r="F5449" t="n">
        <v>8</v>
      </c>
      <c r="G5449" t="inlineStr">
        <is>
          <t>count</t>
        </is>
      </c>
      <c r="H5449" t="n">
        <v>60</v>
      </c>
      <c r="I5449" t="inlineStr">
        <is>
          <t>Pabrik Kelapa Sawit (PKS) 8 Unit</t>
        </is>
      </c>
      <c r="J5449" t="inlineStr">
        <is>
          <t>High</t>
        </is>
      </c>
      <c r="M5449" t="inlineStr">
        <is>
          <t>LLM</t>
        </is>
      </c>
      <c r="N5449" t="inlineStr">
        <is>
          <t>2026-04-19</t>
        </is>
      </c>
      <c r="O5449" t="inlineStr">
        <is>
          <t>AI</t>
        </is>
      </c>
    </row>
    <row r="5450">
      <c r="A5450" t="inlineStr">
        <is>
          <t>PT Sawit Sumbermas Sarana Tbk</t>
        </is>
      </c>
      <c r="B5450" t="inlineStr">
        <is>
          <t>SSMS_2024_AR.pdf</t>
        </is>
      </c>
      <c r="C5450" t="n">
        <v>2024</v>
      </c>
      <c r="D5450" t="inlineStr">
        <is>
          <t>Asset</t>
        </is>
      </c>
      <c r="E5450" t="inlineStr">
        <is>
          <t>Total Mill Capacity</t>
        </is>
      </c>
      <c r="F5450" t="n">
        <v>540</v>
      </c>
      <c r="G5450" t="inlineStr">
        <is>
          <t>tph</t>
        </is>
      </c>
      <c r="H5450" t="n">
        <v>60</v>
      </c>
      <c r="I5450" t="inlineStr">
        <is>
          <t>Total Kapasitas Pengolahan Kelapa Sawit 540 Ton/H</t>
        </is>
      </c>
      <c r="J5450" t="inlineStr">
        <is>
          <t>High</t>
        </is>
      </c>
      <c r="M5450" t="inlineStr">
        <is>
          <t>LLM</t>
        </is>
      </c>
      <c r="N5450" t="inlineStr">
        <is>
          <t>2026-04-19</t>
        </is>
      </c>
      <c r="O5450" t="inlineStr">
        <is>
          <t>AI</t>
        </is>
      </c>
    </row>
    <row r="5451">
      <c r="A5451" t="inlineStr">
        <is>
          <t>PT Sawit Sumbermas Sarana Tbk</t>
        </is>
      </c>
      <c r="B5451" t="inlineStr">
        <is>
          <t>SSMS_2024_AR.pdf</t>
        </is>
      </c>
      <c r="C5451" t="n">
        <v>2024</v>
      </c>
      <c r="D5451" t="inlineStr">
        <is>
          <t>Asset</t>
        </is>
      </c>
      <c r="E5451" t="inlineStr">
        <is>
          <t>RSPO Certified Mills</t>
        </is>
      </c>
      <c r="F5451" t="n">
        <v>8</v>
      </c>
      <c r="G5451" t="inlineStr">
        <is>
          <t>count</t>
        </is>
      </c>
      <c r="H5451" t="n">
        <v>60</v>
      </c>
      <c r="I5451" t="inlineStr">
        <is>
          <t>Pabrik Kelapa Sawit (PKS) Bersertifikat RSPO 8</t>
        </is>
      </c>
      <c r="J5451" t="inlineStr">
        <is>
          <t>High</t>
        </is>
      </c>
      <c r="M5451" t="inlineStr">
        <is>
          <t>LLM</t>
        </is>
      </c>
      <c r="N5451" t="inlineStr">
        <is>
          <t>2026-04-19</t>
        </is>
      </c>
      <c r="O5451" t="inlineStr">
        <is>
          <t>AI</t>
        </is>
      </c>
    </row>
    <row r="5452">
      <c r="A5452" t="inlineStr">
        <is>
          <t>PT Sawit Sumbermas Sarana Tbk</t>
        </is>
      </c>
      <c r="B5452" t="inlineStr">
        <is>
          <t>SSMS_2024_AR.pdf</t>
        </is>
      </c>
      <c r="C5452" t="n">
        <v>2024</v>
      </c>
      <c r="D5452" t="inlineStr">
        <is>
          <t>Asset</t>
        </is>
      </c>
      <c r="E5452" t="inlineStr">
        <is>
          <t>Biogas Plants</t>
        </is>
      </c>
      <c r="F5452" t="n">
        <v>2</v>
      </c>
      <c r="G5452" t="inlineStr">
        <is>
          <t>count</t>
        </is>
      </c>
      <c r="H5452" t="n">
        <v>60</v>
      </c>
      <c r="I5452" t="inlineStr">
        <is>
          <t>Pabrik Biogas 2 Unit (Suayap + Natai Baru, each 1.5MW)</t>
        </is>
      </c>
      <c r="J5452" t="inlineStr">
        <is>
          <t>High</t>
        </is>
      </c>
      <c r="M5452" t="inlineStr">
        <is>
          <t>LLM</t>
        </is>
      </c>
      <c r="N5452" t="inlineStr">
        <is>
          <t>2026-04-19</t>
        </is>
      </c>
      <c r="O5452" t="inlineStr">
        <is>
          <t>AI</t>
        </is>
      </c>
    </row>
    <row r="5453">
      <c r="A5453" t="inlineStr">
        <is>
          <t>PT Sawit Sumbermas Sarana Tbk</t>
        </is>
      </c>
      <c r="B5453" t="inlineStr">
        <is>
          <t>SSMS_2024_AR.pdf</t>
        </is>
      </c>
      <c r="C5453" t="n">
        <v>2024</v>
      </c>
      <c r="D5453" t="inlineStr">
        <is>
          <t>Asset</t>
        </is>
      </c>
      <c r="E5453" t="inlineStr">
        <is>
          <t>Bio-CNG Plant</t>
        </is>
      </c>
      <c r="F5453" t="n">
        <v>1</v>
      </c>
      <c r="G5453" t="inlineStr">
        <is>
          <t>count</t>
        </is>
      </c>
      <c r="H5453" t="n">
        <v>60</v>
      </c>
      <c r="I5453" t="inlineStr">
        <is>
          <t>Pabrik Bio-CNG 1 Unit (Natai Baru, 4,800 Nm3/day)</t>
        </is>
      </c>
      <c r="J5453" t="inlineStr">
        <is>
          <t>High</t>
        </is>
      </c>
      <c r="M5453" t="inlineStr">
        <is>
          <t>LLM</t>
        </is>
      </c>
      <c r="N5453" t="inlineStr">
        <is>
          <t>2026-04-19</t>
        </is>
      </c>
      <c r="O5453" t="inlineStr">
        <is>
          <t>AI</t>
        </is>
      </c>
    </row>
    <row r="5454">
      <c r="A5454" t="inlineStr">
        <is>
          <t>PT Sawit Sumbermas Sarana Tbk</t>
        </is>
      </c>
      <c r="B5454" t="inlineStr">
        <is>
          <t>SSMS_2024_AR.pdf</t>
        </is>
      </c>
      <c r="C5454" t="n">
        <v>2024</v>
      </c>
      <c r="D5454" t="inlineStr">
        <is>
          <t>Asset</t>
        </is>
      </c>
      <c r="E5454" t="inlineStr">
        <is>
          <t>Refinery Plants</t>
        </is>
      </c>
      <c r="F5454" t="n">
        <v>1</v>
      </c>
      <c r="G5454" t="inlineStr">
        <is>
          <t>count</t>
        </is>
      </c>
      <c r="H5454" t="n">
        <v>60</v>
      </c>
      <c r="I5454" t="inlineStr">
        <is>
          <t>Pabrik Pemurnian 1 Unit (2,500 MT/day = 850,000 MT/year)</t>
        </is>
      </c>
      <c r="J5454" t="inlineStr">
        <is>
          <t>High</t>
        </is>
      </c>
      <c r="M5454" t="inlineStr">
        <is>
          <t>LLM</t>
        </is>
      </c>
      <c r="N5454" t="inlineStr">
        <is>
          <t>2026-04-19</t>
        </is>
      </c>
      <c r="O5454" t="inlineStr">
        <is>
          <t>AI</t>
        </is>
      </c>
    </row>
    <row r="5455">
      <c r="A5455" t="inlineStr">
        <is>
          <t>PT Sawit Sumbermas Sarana Tbk</t>
        </is>
      </c>
      <c r="B5455" t="inlineStr">
        <is>
          <t>SSMS_2024_AR.pdf</t>
        </is>
      </c>
      <c r="C5455" t="n">
        <v>2024</v>
      </c>
      <c r="D5455" t="inlineStr">
        <is>
          <t>Asset</t>
        </is>
      </c>
      <c r="E5455" t="inlineStr">
        <is>
          <t>Refinery Capacity</t>
        </is>
      </c>
      <c r="F5455" t="n">
        <v>850000</v>
      </c>
      <c r="G5455" t="inlineStr">
        <is>
          <t>MT/year</t>
        </is>
      </c>
      <c r="H5455" t="n">
        <v>62</v>
      </c>
      <c r="I5455" t="inlineStr">
        <is>
          <t>Pabrik Pemurnian 2.500 MT/hari atau 850.000 MT/tahun</t>
        </is>
      </c>
      <c r="J5455" t="inlineStr">
        <is>
          <t>High</t>
        </is>
      </c>
      <c r="M5455" t="inlineStr">
        <is>
          <t>LLM</t>
        </is>
      </c>
      <c r="N5455" t="inlineStr">
        <is>
          <t>2026-04-19</t>
        </is>
      </c>
      <c r="O5455" t="inlineStr">
        <is>
          <t>AI</t>
        </is>
      </c>
    </row>
    <row r="5456">
      <c r="A5456" t="inlineStr">
        <is>
          <t>PT Sawit Sumbermas Sarana Tbk</t>
        </is>
      </c>
      <c r="B5456" t="inlineStr">
        <is>
          <t>SSMS_2024_AR.pdf</t>
        </is>
      </c>
      <c r="C5456" t="n">
        <v>2024</v>
      </c>
      <c r="D5456" t="inlineStr">
        <is>
          <t>Asset</t>
        </is>
      </c>
      <c r="E5456" t="inlineStr">
        <is>
          <t>Fractionation Capacity</t>
        </is>
      </c>
      <c r="F5456" t="n">
        <v>850000</v>
      </c>
      <c r="G5456" t="inlineStr">
        <is>
          <t>MT/year</t>
        </is>
      </c>
      <c r="H5456" t="n">
        <v>62</v>
      </c>
      <c r="I5456" t="inlineStr">
        <is>
          <t>Pabrik Fraksinasi 2.500 MT/hari atau 850.000 MT/tahun</t>
        </is>
      </c>
      <c r="J5456" t="inlineStr">
        <is>
          <t>High</t>
        </is>
      </c>
      <c r="M5456" t="inlineStr">
        <is>
          <t>LLM</t>
        </is>
      </c>
      <c r="N5456" t="inlineStr">
        <is>
          <t>2026-04-19</t>
        </is>
      </c>
      <c r="O5456" t="inlineStr">
        <is>
          <t>AI</t>
        </is>
      </c>
    </row>
    <row r="5457">
      <c r="A5457" t="inlineStr">
        <is>
          <t>PT Sawit Sumbermas Sarana Tbk</t>
        </is>
      </c>
      <c r="B5457" t="inlineStr">
        <is>
          <t>SSMS_2024_AR.pdf</t>
        </is>
      </c>
      <c r="C5457" t="n">
        <v>2024</v>
      </c>
      <c r="D5457" t="inlineStr">
        <is>
          <t>Asset</t>
        </is>
      </c>
      <c r="E5457" t="inlineStr">
        <is>
          <t>Kernel Crushing Plants</t>
        </is>
      </c>
      <c r="F5457" t="n">
        <v>2</v>
      </c>
      <c r="G5457" t="inlineStr">
        <is>
          <t>count</t>
        </is>
      </c>
      <c r="H5457" t="n">
        <v>60</v>
      </c>
      <c r="I5457" t="inlineStr">
        <is>
          <t>Pabrik Kernel Crushing 2 Unit</t>
        </is>
      </c>
      <c r="J5457" t="inlineStr">
        <is>
          <t>High</t>
        </is>
      </c>
      <c r="M5457" t="inlineStr">
        <is>
          <t>LLM</t>
        </is>
      </c>
      <c r="N5457" t="inlineStr">
        <is>
          <t>2026-04-19</t>
        </is>
      </c>
      <c r="O5457" t="inlineStr">
        <is>
          <t>AI</t>
        </is>
      </c>
    </row>
    <row r="5458">
      <c r="A5458" t="inlineStr">
        <is>
          <t>PT Sawit Sumbermas Sarana Tbk</t>
        </is>
      </c>
      <c r="B5458" t="inlineStr">
        <is>
          <t>SSMS_2024_AR.pdf</t>
        </is>
      </c>
      <c r="C5458" t="n">
        <v>2024</v>
      </c>
      <c r="D5458" t="inlineStr">
        <is>
          <t>Asset</t>
        </is>
      </c>
      <c r="E5458" t="inlineStr">
        <is>
          <t>Kernel Crushing Capacity</t>
        </is>
      </c>
      <c r="F5458" t="n">
        <v>192000</v>
      </c>
      <c r="G5458" t="inlineStr">
        <is>
          <t>MT/year</t>
        </is>
      </c>
      <c r="H5458" t="n">
        <v>62</v>
      </c>
      <c r="I5458" t="inlineStr">
        <is>
          <t>Pabrik Kernel Crushing 600 MT/hari atau 192.000 MT/tahun</t>
        </is>
      </c>
      <c r="J5458" t="inlineStr">
        <is>
          <t>High</t>
        </is>
      </c>
      <c r="M5458" t="inlineStr">
        <is>
          <t>LLM</t>
        </is>
      </c>
      <c r="N5458" t="inlineStr">
        <is>
          <t>2026-04-19</t>
        </is>
      </c>
      <c r="O5458" t="inlineStr">
        <is>
          <t>AI</t>
        </is>
      </c>
    </row>
    <row r="5459">
      <c r="A5459" t="inlineStr">
        <is>
          <t>PT Sawit Sumbermas Sarana Tbk</t>
        </is>
      </c>
      <c r="B5459" t="inlineStr">
        <is>
          <t>SSMS_2024_AR.pdf</t>
        </is>
      </c>
      <c r="C5459" t="n">
        <v>2024</v>
      </c>
      <c r="D5459" t="inlineStr">
        <is>
          <t>Operation</t>
        </is>
      </c>
      <c r="E5459" t="inlineStr">
        <is>
          <t>FFB Nucleus Production</t>
        </is>
      </c>
      <c r="F5459" t="n">
        <v>1562446</v>
      </c>
      <c r="G5459" t="inlineStr">
        <is>
          <t>t</t>
        </is>
      </c>
      <c r="H5459" t="n">
        <v>16</v>
      </c>
      <c r="I5459" t="inlineStr">
        <is>
          <t>Tandan Buah Segar dari Perkebunan Inti 1.562.446 1.723.170</t>
        </is>
      </c>
      <c r="J5459" t="inlineStr">
        <is>
          <t>High</t>
        </is>
      </c>
      <c r="M5459" t="inlineStr">
        <is>
          <t>LLM</t>
        </is>
      </c>
      <c r="N5459" t="inlineStr">
        <is>
          <t>2026-04-19</t>
        </is>
      </c>
      <c r="O5459" t="inlineStr">
        <is>
          <t>AI</t>
        </is>
      </c>
    </row>
    <row r="5460">
      <c r="A5460" t="inlineStr">
        <is>
          <t>PT Sawit Sumbermas Sarana Tbk</t>
        </is>
      </c>
      <c r="B5460" t="inlineStr">
        <is>
          <t>SSMS_2024_AR.pdf</t>
        </is>
      </c>
      <c r="C5460" t="n">
        <v>2024</v>
      </c>
      <c r="D5460" t="inlineStr">
        <is>
          <t>Operation</t>
        </is>
      </c>
      <c r="E5460" t="inlineStr">
        <is>
          <t>FFB Plasma Production</t>
        </is>
      </c>
      <c r="F5460" t="n">
        <v>134421</v>
      </c>
      <c r="G5460" t="inlineStr">
        <is>
          <t>t</t>
        </is>
      </c>
      <c r="H5460" t="n">
        <v>16</v>
      </c>
      <c r="I5460" t="inlineStr">
        <is>
          <t>Tandan Buah Segar dari Perkebunan Plasma 134.421 94.226</t>
        </is>
      </c>
      <c r="J5460" t="inlineStr">
        <is>
          <t>High</t>
        </is>
      </c>
      <c r="M5460" t="inlineStr">
        <is>
          <t>LLM</t>
        </is>
      </c>
      <c r="N5460" t="inlineStr">
        <is>
          <t>2026-04-19</t>
        </is>
      </c>
      <c r="O5460" t="inlineStr">
        <is>
          <t>AI</t>
        </is>
      </c>
    </row>
    <row r="5461">
      <c r="A5461" t="inlineStr">
        <is>
          <t>PT Sawit Sumbermas Sarana Tbk</t>
        </is>
      </c>
      <c r="B5461" t="inlineStr">
        <is>
          <t>SSMS_2024_AR.pdf</t>
        </is>
      </c>
      <c r="C5461" t="n">
        <v>2024</v>
      </c>
      <c r="D5461" t="inlineStr">
        <is>
          <t>Operation</t>
        </is>
      </c>
      <c r="E5461" t="inlineStr">
        <is>
          <t>FFB Third-Party</t>
        </is>
      </c>
      <c r="F5461" t="n">
        <v>488647</v>
      </c>
      <c r="G5461" t="inlineStr">
        <is>
          <t>t</t>
        </is>
      </c>
      <c r="H5461" t="n">
        <v>16</v>
      </c>
      <c r="I5461" t="inlineStr">
        <is>
          <t>Tandan Buah Segar dari Pihak Ketiga 488.647 571.063</t>
        </is>
      </c>
      <c r="J5461" t="inlineStr">
        <is>
          <t>High</t>
        </is>
      </c>
      <c r="M5461" t="inlineStr">
        <is>
          <t>LLM</t>
        </is>
      </c>
      <c r="N5461" t="inlineStr">
        <is>
          <t>2026-04-19</t>
        </is>
      </c>
      <c r="O5461" t="inlineStr">
        <is>
          <t>AI</t>
        </is>
      </c>
    </row>
    <row r="5462">
      <c r="A5462" t="inlineStr">
        <is>
          <t>PT Sawit Sumbermas Sarana Tbk</t>
        </is>
      </c>
      <c r="B5462" t="inlineStr">
        <is>
          <t>SSMS_2024_AR.pdf</t>
        </is>
      </c>
      <c r="C5462" t="n">
        <v>2024</v>
      </c>
      <c r="D5462" t="inlineStr">
        <is>
          <t>Operation</t>
        </is>
      </c>
      <c r="E5462" t="inlineStr">
        <is>
          <t>FFB Production Total</t>
        </is>
      </c>
      <c r="F5462" t="n">
        <v>2185514</v>
      </c>
      <c r="G5462" t="inlineStr">
        <is>
          <t>t</t>
        </is>
      </c>
      <c r="H5462" t="n">
        <v>16</v>
      </c>
      <c r="I5462" t="inlineStr">
        <is>
          <t>Total Produksi TBS 2.185.514 2.388.459</t>
        </is>
      </c>
      <c r="J5462" t="inlineStr">
        <is>
          <t>High</t>
        </is>
      </c>
      <c r="M5462" t="inlineStr">
        <is>
          <t>LLM</t>
        </is>
      </c>
      <c r="N5462" t="inlineStr">
        <is>
          <t>2026-04-19</t>
        </is>
      </c>
      <c r="O5462" t="inlineStr">
        <is>
          <t>AI</t>
        </is>
      </c>
    </row>
    <row r="5463">
      <c r="A5463" t="inlineStr">
        <is>
          <t>PT Sawit Sumbermas Sarana Tbk</t>
        </is>
      </c>
      <c r="B5463" t="inlineStr">
        <is>
          <t>SSMS_2024_AR.pdf</t>
        </is>
      </c>
      <c r="C5463" t="n">
        <v>2024</v>
      </c>
      <c r="D5463" t="inlineStr">
        <is>
          <t>Operation</t>
        </is>
      </c>
      <c r="E5463" t="inlineStr">
        <is>
          <t>FFB Processed Total</t>
        </is>
      </c>
      <c r="F5463" t="n">
        <v>2118160</v>
      </c>
      <c r="G5463" t="inlineStr">
        <is>
          <t>t</t>
        </is>
      </c>
      <c r="H5463" t="n">
        <v>16</v>
      </c>
      <c r="I5463" t="inlineStr">
        <is>
          <t>Total TBS Olah di Pabrik 2.118.160 2.345.131</t>
        </is>
      </c>
      <c r="J5463" t="inlineStr">
        <is>
          <t>High</t>
        </is>
      </c>
      <c r="M5463" t="inlineStr">
        <is>
          <t>LLM</t>
        </is>
      </c>
      <c r="N5463" t="inlineStr">
        <is>
          <t>2026-04-19</t>
        </is>
      </c>
      <c r="O5463" t="inlineStr">
        <is>
          <t>AI</t>
        </is>
      </c>
    </row>
    <row r="5464">
      <c r="A5464" t="inlineStr">
        <is>
          <t>PT Sawit Sumbermas Sarana Tbk</t>
        </is>
      </c>
      <c r="B5464" t="inlineStr">
        <is>
          <t>SSMS_2024_AR.pdf</t>
        </is>
      </c>
      <c r="C5464" t="n">
        <v>2024</v>
      </c>
      <c r="D5464" t="inlineStr">
        <is>
          <t>Operation</t>
        </is>
      </c>
      <c r="E5464" t="inlineStr">
        <is>
          <t>CPO Production</t>
        </is>
      </c>
      <c r="F5464" t="n">
        <v>461414</v>
      </c>
      <c r="G5464" t="inlineStr">
        <is>
          <t>t</t>
        </is>
      </c>
      <c r="H5464" t="n">
        <v>17</v>
      </c>
      <c r="I5464" t="inlineStr">
        <is>
          <t>Minyak Kelapa Sawit / Crude Palm Oil MT 461.414 518.819</t>
        </is>
      </c>
      <c r="J5464" t="inlineStr">
        <is>
          <t>High</t>
        </is>
      </c>
      <c r="M5464" t="inlineStr">
        <is>
          <t>LLM</t>
        </is>
      </c>
      <c r="N5464" t="inlineStr">
        <is>
          <t>2026-04-19</t>
        </is>
      </c>
      <c r="O5464" t="inlineStr">
        <is>
          <t>AI</t>
        </is>
      </c>
    </row>
    <row r="5465">
      <c r="A5465" t="inlineStr">
        <is>
          <t>PT Sawit Sumbermas Sarana Tbk</t>
        </is>
      </c>
      <c r="B5465" t="inlineStr">
        <is>
          <t>SSMS_2024_AR.pdf</t>
        </is>
      </c>
      <c r="C5465" t="n">
        <v>2024</v>
      </c>
      <c r="D5465" t="inlineStr">
        <is>
          <t>Operation</t>
        </is>
      </c>
      <c r="E5465" t="inlineStr">
        <is>
          <t>Palm Kernel Production</t>
        </is>
      </c>
      <c r="F5465" t="n">
        <v>89833</v>
      </c>
      <c r="G5465" t="inlineStr">
        <is>
          <t>t</t>
        </is>
      </c>
      <c r="H5465" t="n">
        <v>17</v>
      </c>
      <c r="I5465" t="inlineStr">
        <is>
          <t>Inti Sawit / Palm Kernel MT 89.833 99.082</t>
        </is>
      </c>
      <c r="J5465" t="inlineStr">
        <is>
          <t>High</t>
        </is>
      </c>
      <c r="M5465" t="inlineStr">
        <is>
          <t>LLM</t>
        </is>
      </c>
      <c r="N5465" t="inlineStr">
        <is>
          <t>2026-04-19</t>
        </is>
      </c>
      <c r="O5465" t="inlineStr">
        <is>
          <t>AI</t>
        </is>
      </c>
    </row>
    <row r="5466">
      <c r="A5466" t="inlineStr">
        <is>
          <t>PT Sawit Sumbermas Sarana Tbk</t>
        </is>
      </c>
      <c r="B5466" t="inlineStr">
        <is>
          <t>SSMS_2024_AR.pdf</t>
        </is>
      </c>
      <c r="C5466" t="n">
        <v>2024</v>
      </c>
      <c r="D5466" t="inlineStr">
        <is>
          <t>Operation</t>
        </is>
      </c>
      <c r="E5466" t="inlineStr">
        <is>
          <t>PKO Production</t>
        </is>
      </c>
      <c r="F5466" t="n">
        <v>20388</v>
      </c>
      <c r="G5466" t="inlineStr">
        <is>
          <t>t</t>
        </is>
      </c>
      <c r="H5466" t="n">
        <v>17</v>
      </c>
      <c r="I5466" t="inlineStr">
        <is>
          <t>Minyak Inti Sawit / Palm Kernel Oil MT 20.388 22.327</t>
        </is>
      </c>
      <c r="J5466" t="inlineStr">
        <is>
          <t>High</t>
        </is>
      </c>
      <c r="M5466" t="inlineStr">
        <is>
          <t>LLM</t>
        </is>
      </c>
      <c r="N5466" t="inlineStr">
        <is>
          <t>2026-04-19</t>
        </is>
      </c>
      <c r="O5466" t="inlineStr">
        <is>
          <t>AI</t>
        </is>
      </c>
    </row>
    <row r="5467">
      <c r="A5467" t="inlineStr">
        <is>
          <t>PT Sawit Sumbermas Sarana Tbk</t>
        </is>
      </c>
      <c r="B5467" t="inlineStr">
        <is>
          <t>SSMS_2024_AR.pdf</t>
        </is>
      </c>
      <c r="C5467" t="n">
        <v>2024</v>
      </c>
      <c r="D5467" t="inlineStr">
        <is>
          <t>Operation</t>
        </is>
      </c>
      <c r="E5467" t="inlineStr">
        <is>
          <t>RBDPO Production</t>
        </is>
      </c>
      <c r="F5467" t="n">
        <v>387457</v>
      </c>
      <c r="G5467" t="inlineStr">
        <is>
          <t>t</t>
        </is>
      </c>
      <c r="H5467" t="n">
        <v>17</v>
      </c>
      <c r="I5467" t="inlineStr">
        <is>
          <t>RBDPO MT 387.457 746.929</t>
        </is>
      </c>
      <c r="J5467" t="inlineStr">
        <is>
          <t>High</t>
        </is>
      </c>
      <c r="M5467" t="inlineStr">
        <is>
          <t>LLM</t>
        </is>
      </c>
      <c r="N5467" t="inlineStr">
        <is>
          <t>2026-04-19</t>
        </is>
      </c>
      <c r="O5467" t="inlineStr">
        <is>
          <t>AI</t>
        </is>
      </c>
    </row>
    <row r="5468">
      <c r="A5468" t="inlineStr">
        <is>
          <t>PT Sawit Sumbermas Sarana Tbk</t>
        </is>
      </c>
      <c r="B5468" t="inlineStr">
        <is>
          <t>SSMS_2024_AR.pdf</t>
        </is>
      </c>
      <c r="C5468" t="n">
        <v>2024</v>
      </c>
      <c r="D5468" t="inlineStr">
        <is>
          <t>Operation</t>
        </is>
      </c>
      <c r="E5468" t="inlineStr">
        <is>
          <t>RBDP Olein Production</t>
        </is>
      </c>
      <c r="F5468" t="n">
        <v>296405</v>
      </c>
      <c r="G5468" t="inlineStr">
        <is>
          <t>t</t>
        </is>
      </c>
      <c r="H5468" t="n">
        <v>17</v>
      </c>
      <c r="I5468" t="inlineStr">
        <is>
          <t>RBDP Olein MT 296.405 586.965</t>
        </is>
      </c>
      <c r="J5468" t="inlineStr">
        <is>
          <t>High</t>
        </is>
      </c>
      <c r="M5468" t="inlineStr">
        <is>
          <t>LLM</t>
        </is>
      </c>
      <c r="N5468" t="inlineStr">
        <is>
          <t>2026-04-19</t>
        </is>
      </c>
      <c r="O5468" t="inlineStr">
        <is>
          <t>AI</t>
        </is>
      </c>
    </row>
    <row r="5469">
      <c r="A5469" t="inlineStr">
        <is>
          <t>PT Sawit Sumbermas Sarana Tbk</t>
        </is>
      </c>
      <c r="B5469" t="inlineStr">
        <is>
          <t>SSMS_2024_AR.pdf</t>
        </is>
      </c>
      <c r="C5469" t="n">
        <v>2024</v>
      </c>
      <c r="D5469" t="inlineStr">
        <is>
          <t>Operation</t>
        </is>
      </c>
      <c r="E5469" t="inlineStr">
        <is>
          <t>RBDPS (Stearin) Production</t>
        </is>
      </c>
      <c r="F5469" t="n">
        <v>67660</v>
      </c>
      <c r="G5469" t="inlineStr">
        <is>
          <t>t</t>
        </is>
      </c>
      <c r="H5469" t="n">
        <v>17</v>
      </c>
      <c r="I5469" t="inlineStr">
        <is>
          <t>RBDPS MT 67.660 137.134</t>
        </is>
      </c>
      <c r="J5469" t="inlineStr">
        <is>
          <t>High</t>
        </is>
      </c>
      <c r="M5469" t="inlineStr">
        <is>
          <t>LLM</t>
        </is>
      </c>
      <c r="N5469" t="inlineStr">
        <is>
          <t>2026-04-19</t>
        </is>
      </c>
      <c r="O5469" t="inlineStr">
        <is>
          <t>AI</t>
        </is>
      </c>
    </row>
    <row r="5470">
      <c r="A5470" t="inlineStr">
        <is>
          <t>PT Sawit Sumbermas Sarana Tbk</t>
        </is>
      </c>
      <c r="B5470" t="inlineStr">
        <is>
          <t>SSMS_2024_AR.pdf</t>
        </is>
      </c>
      <c r="C5470" t="n">
        <v>2024</v>
      </c>
      <c r="D5470" t="inlineStr">
        <is>
          <t>Operation</t>
        </is>
      </c>
      <c r="E5470" t="inlineStr">
        <is>
          <t>PFAD Production</t>
        </is>
      </c>
      <c r="F5470" t="n">
        <v>15064</v>
      </c>
      <c r="G5470" t="inlineStr">
        <is>
          <t>t</t>
        </is>
      </c>
      <c r="H5470" t="n">
        <v>17</v>
      </c>
      <c r="I5470" t="inlineStr">
        <is>
          <t>PFAD MT 15.064 29.323</t>
        </is>
      </c>
      <c r="J5470" t="inlineStr">
        <is>
          <t>High</t>
        </is>
      </c>
      <c r="M5470" t="inlineStr">
        <is>
          <t>LLM</t>
        </is>
      </c>
      <c r="N5470" t="inlineStr">
        <is>
          <t>2026-04-19</t>
        </is>
      </c>
      <c r="O5470" t="inlineStr">
        <is>
          <t>AI</t>
        </is>
      </c>
    </row>
    <row r="5471">
      <c r="A5471" t="inlineStr">
        <is>
          <t>PT Sawit Sumbermas Sarana Tbk</t>
        </is>
      </c>
      <c r="B5471" t="inlineStr">
        <is>
          <t>SSMS_2024_AR.pdf</t>
        </is>
      </c>
      <c r="C5471" t="n">
        <v>2024</v>
      </c>
      <c r="D5471" t="inlineStr">
        <is>
          <t>Operation</t>
        </is>
      </c>
      <c r="E5471" t="inlineStr">
        <is>
          <t>CPKO Production</t>
        </is>
      </c>
      <c r="F5471" t="n">
        <v>21099</v>
      </c>
      <c r="G5471" t="inlineStr">
        <is>
          <t>t</t>
        </is>
      </c>
      <c r="H5471" t="n">
        <v>17</v>
      </c>
      <c r="I5471" t="inlineStr">
        <is>
          <t>CPKO MT 21.099 24.998</t>
        </is>
      </c>
      <c r="J5471" t="inlineStr">
        <is>
          <t>High</t>
        </is>
      </c>
      <c r="M5471" t="inlineStr">
        <is>
          <t>LLM</t>
        </is>
      </c>
      <c r="N5471" t="inlineStr">
        <is>
          <t>2026-04-19</t>
        </is>
      </c>
      <c r="O5471" t="inlineStr">
        <is>
          <t>AI</t>
        </is>
      </c>
    </row>
    <row r="5472">
      <c r="A5472" t="inlineStr">
        <is>
          <t>PT Sawit Sumbermas Sarana Tbk</t>
        </is>
      </c>
      <c r="B5472" t="inlineStr">
        <is>
          <t>SSMS_2024_AR.pdf</t>
        </is>
      </c>
      <c r="C5472" t="n">
        <v>2024</v>
      </c>
      <c r="D5472" t="inlineStr">
        <is>
          <t>Operation</t>
        </is>
      </c>
      <c r="E5472" t="inlineStr">
        <is>
          <t>PKE Production</t>
        </is>
      </c>
      <c r="F5472" t="n">
        <v>28086</v>
      </c>
      <c r="G5472" t="inlineStr">
        <is>
          <t>t</t>
        </is>
      </c>
      <c r="H5472" t="n">
        <v>17</v>
      </c>
      <c r="I5472" t="inlineStr">
        <is>
          <t>PKE MT 28.086 34.448</t>
        </is>
      </c>
      <c r="J5472" t="inlineStr">
        <is>
          <t>High</t>
        </is>
      </c>
      <c r="M5472" t="inlineStr">
        <is>
          <t>LLM</t>
        </is>
      </c>
      <c r="N5472" t="inlineStr">
        <is>
          <t>2026-04-19</t>
        </is>
      </c>
      <c r="O5472" t="inlineStr">
        <is>
          <t>AI</t>
        </is>
      </c>
    </row>
    <row r="5473">
      <c r="A5473" t="inlineStr">
        <is>
          <t>PT Sawit Sumbermas Sarana Tbk</t>
        </is>
      </c>
      <c r="B5473" t="inlineStr">
        <is>
          <t>SSMS_2024_AR.pdf</t>
        </is>
      </c>
      <c r="C5473" t="n">
        <v>2024</v>
      </c>
      <c r="D5473" t="inlineStr">
        <is>
          <t>Operation</t>
        </is>
      </c>
      <c r="E5473" t="inlineStr">
        <is>
          <t>Total Downstream Production</t>
        </is>
      </c>
      <c r="F5473" t="n">
        <v>815771</v>
      </c>
      <c r="G5473" t="inlineStr">
        <is>
          <t>t</t>
        </is>
      </c>
      <c r="H5473" t="n">
        <v>17</v>
      </c>
      <c r="I5473" t="inlineStr">
        <is>
          <t>Total Produksi Hilir 815.771 1.559.797</t>
        </is>
      </c>
      <c r="J5473" t="inlineStr">
        <is>
          <t>High</t>
        </is>
      </c>
      <c r="M5473" t="inlineStr">
        <is>
          <t>LLM</t>
        </is>
      </c>
      <c r="N5473" t="inlineStr">
        <is>
          <t>2026-04-19</t>
        </is>
      </c>
      <c r="O5473" t="inlineStr">
        <is>
          <t>AI</t>
        </is>
      </c>
    </row>
    <row r="5474">
      <c r="A5474" t="inlineStr">
        <is>
          <t>PT Sawit Sumbermas Sarana Tbk</t>
        </is>
      </c>
      <c r="B5474" t="inlineStr">
        <is>
          <t>SSMS_2024_AR.pdf</t>
        </is>
      </c>
      <c r="C5474" t="n">
        <v>2024</v>
      </c>
      <c r="D5474" t="inlineStr">
        <is>
          <t>Operation</t>
        </is>
      </c>
      <c r="E5474" t="inlineStr">
        <is>
          <t>Total Sales Volume</t>
        </is>
      </c>
      <c r="F5474" t="n">
        <v>806332</v>
      </c>
      <c r="G5474" t="inlineStr">
        <is>
          <t>t</t>
        </is>
      </c>
      <c r="H5474" t="n">
        <v>17</v>
      </c>
      <c r="I5474" t="inlineStr">
        <is>
          <t>Total Penjualan 806.332 923.408</t>
        </is>
      </c>
      <c r="J5474" t="inlineStr">
        <is>
          <t>High</t>
        </is>
      </c>
      <c r="M5474" t="inlineStr">
        <is>
          <t>LLM</t>
        </is>
      </c>
      <c r="N5474" t="inlineStr">
        <is>
          <t>2026-04-19</t>
        </is>
      </c>
      <c r="O5474" t="inlineStr">
        <is>
          <t>AI</t>
        </is>
      </c>
    </row>
    <row r="5475">
      <c r="A5475" t="inlineStr">
        <is>
          <t>PT Sawit Sumbermas Sarana Tbk</t>
        </is>
      </c>
      <c r="B5475" t="inlineStr">
        <is>
          <t>SSMS_2024_AR.pdf</t>
        </is>
      </c>
      <c r="C5475" t="n">
        <v>2024</v>
      </c>
      <c r="D5475" t="inlineStr">
        <is>
          <t>Operation</t>
        </is>
      </c>
      <c r="E5475" t="inlineStr">
        <is>
          <t>OER (Oil Extraction Rate)</t>
        </is>
      </c>
      <c r="F5475" t="n">
        <v>0.218</v>
      </c>
      <c r="G5475" t="inlineStr">
        <is>
          <t>%</t>
        </is>
      </c>
      <c r="H5475" t="n">
        <v>108</v>
      </c>
      <c r="I5475" t="inlineStr">
        <is>
          <t>Oil Extraction Rate (OER) tahun 2024 tercatat sebesar 21,8%</t>
        </is>
      </c>
      <c r="J5475" t="inlineStr">
        <is>
          <t>High</t>
        </is>
      </c>
      <c r="M5475" t="inlineStr">
        <is>
          <t>LLM</t>
        </is>
      </c>
      <c r="N5475" t="inlineStr">
        <is>
          <t>2026-04-19</t>
        </is>
      </c>
      <c r="O5475" t="inlineStr">
        <is>
          <t>AI</t>
        </is>
      </c>
    </row>
    <row r="5476">
      <c r="A5476" t="inlineStr">
        <is>
          <t>PT Sawit Sumbermas Sarana Tbk</t>
        </is>
      </c>
      <c r="B5476" t="inlineStr">
        <is>
          <t>SSMS_2024_AR.pdf</t>
        </is>
      </c>
      <c r="C5476" t="n">
        <v>2024</v>
      </c>
      <c r="D5476" t="inlineStr">
        <is>
          <t>Operation</t>
        </is>
      </c>
      <c r="E5476" t="inlineStr">
        <is>
          <t>Refinery Utilization</t>
        </is>
      </c>
      <c r="F5476" t="n">
        <v>0.4748</v>
      </c>
      <c r="G5476" t="inlineStr">
        <is>
          <t>%</t>
        </is>
      </c>
      <c r="H5476" t="n">
        <v>110</v>
      </c>
      <c r="I5476" t="inlineStr">
        <is>
          <t>Utilisasi / Utilization 47,48%</t>
        </is>
      </c>
      <c r="J5476" t="inlineStr">
        <is>
          <t>High</t>
        </is>
      </c>
      <c r="M5476" t="inlineStr">
        <is>
          <t>LLM</t>
        </is>
      </c>
      <c r="N5476" t="inlineStr">
        <is>
          <t>2026-04-19</t>
        </is>
      </c>
      <c r="O5476" t="inlineStr">
        <is>
          <t>AI</t>
        </is>
      </c>
    </row>
    <row r="5477">
      <c r="A5477" t="inlineStr">
        <is>
          <t>PT Sawit Sumbermas Sarana Tbk</t>
        </is>
      </c>
      <c r="B5477" t="inlineStr">
        <is>
          <t>SSMS_2024_AR.pdf</t>
        </is>
      </c>
      <c r="C5477" t="n">
        <v>2024</v>
      </c>
      <c r="D5477" t="inlineStr">
        <is>
          <t>Operation</t>
        </is>
      </c>
      <c r="E5477" t="inlineStr">
        <is>
          <t>Fractionation Utilization</t>
        </is>
      </c>
      <c r="F5477" t="n">
        <v>0.4271</v>
      </c>
      <c r="G5477" t="inlineStr">
        <is>
          <t>%</t>
        </is>
      </c>
      <c r="H5477" t="n">
        <v>110</v>
      </c>
      <c r="I5477" t="inlineStr">
        <is>
          <t>Utilisasi 42,71%</t>
        </is>
      </c>
      <c r="J5477" t="inlineStr">
        <is>
          <t>High</t>
        </is>
      </c>
      <c r="M5477" t="inlineStr">
        <is>
          <t>LLM</t>
        </is>
      </c>
      <c r="N5477" t="inlineStr">
        <is>
          <t>2026-04-19</t>
        </is>
      </c>
      <c r="O5477" t="inlineStr">
        <is>
          <t>AI</t>
        </is>
      </c>
    </row>
    <row r="5478">
      <c r="A5478" t="inlineStr">
        <is>
          <t>PT Sawit Sumbermas Sarana Tbk</t>
        </is>
      </c>
      <c r="B5478" t="inlineStr">
        <is>
          <t>SSMS_2024_AR.pdf</t>
        </is>
      </c>
      <c r="C5478" t="n">
        <v>2024</v>
      </c>
      <c r="D5478" t="inlineStr">
        <is>
          <t>Operation</t>
        </is>
      </c>
      <c r="E5478" t="inlineStr">
        <is>
          <t>KCP Utilization</t>
        </is>
      </c>
      <c r="F5478" t="n">
        <v>0.2551</v>
      </c>
      <c r="G5478" t="inlineStr">
        <is>
          <t>%</t>
        </is>
      </c>
      <c r="H5478" t="n">
        <v>110</v>
      </c>
      <c r="I5478" t="inlineStr">
        <is>
          <t>Utilisasi 25,51% (Kernel Crushing)</t>
        </is>
      </c>
      <c r="J5478" t="inlineStr">
        <is>
          <t>High</t>
        </is>
      </c>
      <c r="M5478" t="inlineStr">
        <is>
          <t>LLM</t>
        </is>
      </c>
      <c r="N5478" t="inlineStr">
        <is>
          <t>2026-04-19</t>
        </is>
      </c>
      <c r="O5478" t="inlineStr">
        <is>
          <t>AI</t>
        </is>
      </c>
    </row>
    <row r="5479">
      <c r="A5479" t="inlineStr">
        <is>
          <t>PT Sawit Sumbermas Sarana Tbk</t>
        </is>
      </c>
      <c r="B5479" t="inlineStr">
        <is>
          <t>SSMS_2024_AR.pdf</t>
        </is>
      </c>
      <c r="C5479" t="n">
        <v>2024</v>
      </c>
      <c r="D5479" t="inlineStr">
        <is>
          <t>Operation</t>
        </is>
      </c>
      <c r="E5479" t="inlineStr">
        <is>
          <t>Fat Content in FFB</t>
        </is>
      </c>
      <c r="F5479" t="n">
        <v>5.3</v>
      </c>
      <c r="G5479" t="inlineStr">
        <is>
          <t>Ton/Ha</t>
        </is>
      </c>
      <c r="H5479" t="n">
        <v>60</v>
      </c>
      <c r="I5479" t="inlineStr">
        <is>
          <t>Potensi Minyak dalam TBS 5,3 Ton/Ha</t>
        </is>
      </c>
      <c r="J5479" t="inlineStr">
        <is>
          <t>High</t>
        </is>
      </c>
      <c r="M5479" t="inlineStr">
        <is>
          <t>LLM</t>
        </is>
      </c>
      <c r="N5479" t="inlineStr">
        <is>
          <t>2026-04-19</t>
        </is>
      </c>
      <c r="O5479" t="inlineStr">
        <is>
          <t>AI</t>
        </is>
      </c>
    </row>
    <row r="5480">
      <c r="A5480" t="inlineStr">
        <is>
          <t>PT Sawit Sumbermas Sarana Tbk</t>
        </is>
      </c>
      <c r="B5480" t="inlineStr">
        <is>
          <t>SSMS_2024_AR.pdf</t>
        </is>
      </c>
      <c r="C5480" t="n">
        <v>2024</v>
      </c>
      <c r="D5480" t="inlineStr">
        <is>
          <t>Operation</t>
        </is>
      </c>
      <c r="E5480" t="inlineStr">
        <is>
          <t>CPO Sales Volume</t>
        </is>
      </c>
      <c r="F5480" t="n">
        <v>273898</v>
      </c>
      <c r="G5480" t="inlineStr">
        <is>
          <t>t</t>
        </is>
      </c>
      <c r="H5480" t="n">
        <v>17</v>
      </c>
      <c r="I5480" t="inlineStr">
        <is>
          <t>Minyak Kelapa Sawit MT 273.898</t>
        </is>
      </c>
      <c r="J5480" t="inlineStr">
        <is>
          <t>High</t>
        </is>
      </c>
      <c r="M5480" t="inlineStr">
        <is>
          <t>LLM</t>
        </is>
      </c>
      <c r="N5480" t="inlineStr">
        <is>
          <t>2026-04-19</t>
        </is>
      </c>
      <c r="O5480" t="inlineStr">
        <is>
          <t>AI</t>
        </is>
      </c>
    </row>
    <row r="5481">
      <c r="A5481" t="inlineStr">
        <is>
          <t>PT Sawit Sumbermas Sarana Tbk</t>
        </is>
      </c>
      <c r="B5481" t="inlineStr">
        <is>
          <t>SSMS_2024_AR.pdf</t>
        </is>
      </c>
      <c r="C5481" t="n">
        <v>2024</v>
      </c>
      <c r="D5481" t="inlineStr">
        <is>
          <t>Operation</t>
        </is>
      </c>
      <c r="E5481" t="inlineStr">
        <is>
          <t>RBDP Olein Sales Value</t>
        </is>
      </c>
      <c r="F5481" t="n">
        <v>4234</v>
      </c>
      <c r="G5481" t="inlineStr">
        <is>
          <t>IDR bn</t>
        </is>
      </c>
      <c r="H5481" t="n">
        <v>17</v>
      </c>
      <c r="I5481" t="inlineStr">
        <is>
          <t>RBDP Olein Rp-Juta 4.234.383</t>
        </is>
      </c>
      <c r="J5481" t="inlineStr">
        <is>
          <t>High</t>
        </is>
      </c>
      <c r="M5481" t="inlineStr">
        <is>
          <t>LLM</t>
        </is>
      </c>
      <c r="N5481" t="inlineStr">
        <is>
          <t>2026-04-19</t>
        </is>
      </c>
      <c r="O5481" t="inlineStr">
        <is>
          <t>AI</t>
        </is>
      </c>
    </row>
    <row r="5482">
      <c r="A5482" t="inlineStr">
        <is>
          <t>PT Sawit Sumbermas Sarana Tbk</t>
        </is>
      </c>
      <c r="B5482" t="inlineStr">
        <is>
          <t>SSMS_2024_AR.pdf</t>
        </is>
      </c>
      <c r="C5482" t="n">
        <v>2024</v>
      </c>
      <c r="D5482" t="inlineStr">
        <is>
          <t>Operation</t>
        </is>
      </c>
      <c r="E5482" t="inlineStr">
        <is>
          <t>Plantation Segment Revenue</t>
        </is>
      </c>
      <c r="F5482" t="n">
        <v>4843</v>
      </c>
      <c r="G5482" t="inlineStr">
        <is>
          <t>IDR bn</t>
        </is>
      </c>
      <c r="H5482" t="n">
        <v>108</v>
      </c>
      <c r="I5482" t="inlineStr">
        <is>
          <t>segmen perkebunan menyumbang 46,03% atau sebesar Rp4.843 miliar</t>
        </is>
      </c>
      <c r="J5482" t="inlineStr">
        <is>
          <t>High</t>
        </is>
      </c>
      <c r="M5482" t="inlineStr">
        <is>
          <t>LLM</t>
        </is>
      </c>
      <c r="N5482" t="inlineStr">
        <is>
          <t>2026-04-19</t>
        </is>
      </c>
      <c r="O5482" t="inlineStr">
        <is>
          <t>AI</t>
        </is>
      </c>
    </row>
    <row r="5483">
      <c r="A5483" t="inlineStr">
        <is>
          <t>PT Sawit Sumbermas Sarana Tbk</t>
        </is>
      </c>
      <c r="B5483" t="inlineStr">
        <is>
          <t>SSMS_2024_AR.pdf</t>
        </is>
      </c>
      <c r="C5483" t="n">
        <v>2024</v>
      </c>
      <c r="D5483" t="inlineStr">
        <is>
          <t>Operation</t>
        </is>
      </c>
      <c r="E5483" t="inlineStr">
        <is>
          <t>Plantation Segment Revenue Share</t>
        </is>
      </c>
      <c r="F5483" t="n">
        <v>0.4603</v>
      </c>
      <c r="G5483" t="inlineStr">
        <is>
          <t>%</t>
        </is>
      </c>
      <c r="H5483" t="n">
        <v>108</v>
      </c>
      <c r="I5483" t="inlineStr">
        <is>
          <t>46,03%</t>
        </is>
      </c>
      <c r="J5483" t="inlineStr">
        <is>
          <t>High</t>
        </is>
      </c>
      <c r="M5483" t="inlineStr">
        <is>
          <t>LLM</t>
        </is>
      </c>
      <c r="N5483" t="inlineStr">
        <is>
          <t>2026-04-19</t>
        </is>
      </c>
      <c r="O5483" t="inlineStr">
        <is>
          <t>AI</t>
        </is>
      </c>
    </row>
    <row r="5484">
      <c r="A5484" t="inlineStr">
        <is>
          <t>PT Sawit Sumbermas Sarana Tbk</t>
        </is>
      </c>
      <c r="B5484" t="inlineStr">
        <is>
          <t>SSMS_2024_AR.pdf</t>
        </is>
      </c>
      <c r="C5484" t="n">
        <v>2024</v>
      </c>
      <c r="D5484" t="inlineStr">
        <is>
          <t>Operation</t>
        </is>
      </c>
      <c r="E5484" t="inlineStr">
        <is>
          <t>Associate Indep Smallholders</t>
        </is>
      </c>
      <c r="F5484" t="n">
        <v>5883</v>
      </c>
      <c r="G5484" t="inlineStr">
        <is>
          <t>count</t>
        </is>
      </c>
      <c r="H5484" t="n">
        <v>60</v>
      </c>
      <c r="I5484" t="inlineStr">
        <is>
          <t>Jumlah Petani Plasma yang Menjadi Mitra Perusahaan 5.883 Orang</t>
        </is>
      </c>
      <c r="J5484" t="inlineStr">
        <is>
          <t>High</t>
        </is>
      </c>
      <c r="M5484" t="inlineStr">
        <is>
          <t>LLM</t>
        </is>
      </c>
      <c r="N5484" t="inlineStr">
        <is>
          <t>2026-04-19</t>
        </is>
      </c>
      <c r="O5484" t="inlineStr">
        <is>
          <t>AI</t>
        </is>
      </c>
    </row>
    <row r="5485">
      <c r="A5485" t="inlineStr">
        <is>
          <t>PT Sawit Sumbermas Sarana Tbk</t>
        </is>
      </c>
      <c r="B5485" t="inlineStr">
        <is>
          <t>SSMS_2024_AR.pdf</t>
        </is>
      </c>
      <c r="C5485" t="n">
        <v>2024</v>
      </c>
      <c r="D5485" t="inlineStr">
        <is>
          <t>ESG</t>
        </is>
      </c>
      <c r="E5485" t="inlineStr">
        <is>
          <t>RSPO Certified Mills</t>
        </is>
      </c>
      <c r="F5485" t="n">
        <v>8</v>
      </c>
      <c r="G5485" t="inlineStr">
        <is>
          <t>count</t>
        </is>
      </c>
      <c r="H5485" t="n">
        <v>60</v>
      </c>
      <c r="I5485" t="inlineStr">
        <is>
          <t>Pabrik Kelapa Sawit (PKS) Bersertifikat RSPO 8 Unit</t>
        </is>
      </c>
      <c r="J5485" t="inlineStr">
        <is>
          <t>High</t>
        </is>
      </c>
      <c r="M5485" t="inlineStr">
        <is>
          <t>LLM</t>
        </is>
      </c>
      <c r="N5485" t="inlineStr">
        <is>
          <t>2026-04-19</t>
        </is>
      </c>
      <c r="O5485" t="inlineStr">
        <is>
          <t>AI</t>
        </is>
      </c>
    </row>
    <row r="5486">
      <c r="A5486" t="inlineStr">
        <is>
          <t>PT Sawit Sumbermas Sarana Tbk</t>
        </is>
      </c>
      <c r="B5486" t="inlineStr">
        <is>
          <t>SSMS_2024_AR.pdf</t>
        </is>
      </c>
      <c r="C5486" t="n">
        <v>2024</v>
      </c>
      <c r="D5486" t="inlineStr">
        <is>
          <t>Other</t>
        </is>
      </c>
      <c r="E5486" t="inlineStr">
        <is>
          <t>CBUT Consolidation Date</t>
        </is>
      </c>
      <c r="F5486" t="inlineStr">
        <is>
          <t>2023-12-19</t>
        </is>
      </c>
      <c r="G5486" t="inlineStr">
        <is>
          <t>date</t>
        </is>
      </c>
      <c r="H5486" t="n">
        <v>56</v>
      </c>
      <c r="I5486" t="inlineStr">
        <is>
          <t>pada 19 Desember 2023, SSMS melakukan konsolidasi terhadap PT Citra Borneo Utama Tbk (CBUT)</t>
        </is>
      </c>
      <c r="J5486" t="inlineStr">
        <is>
          <t>High</t>
        </is>
      </c>
      <c r="M5486" t="inlineStr">
        <is>
          <t>LLM</t>
        </is>
      </c>
      <c r="N5486" t="inlineStr">
        <is>
          <t>2026-04-19</t>
        </is>
      </c>
      <c r="O5486" t="inlineStr">
        <is>
          <t>AI</t>
        </is>
      </c>
    </row>
    <row r="5487">
      <c r="A5487" t="inlineStr">
        <is>
          <t>PT Sawit Sumbermas Sarana Tbk</t>
        </is>
      </c>
      <c r="B5487" t="inlineStr">
        <is>
          <t>SSMS_2024_AR.pdf</t>
        </is>
      </c>
      <c r="C5487" t="n">
        <v>2024</v>
      </c>
      <c r="D5487" t="inlineStr">
        <is>
          <t>Other</t>
        </is>
      </c>
      <c r="E5487" t="inlineStr">
        <is>
          <t>Number of Subsidiaries</t>
        </is>
      </c>
      <c r="F5487" t="n">
        <v>10</v>
      </c>
      <c r="G5487" t="inlineStr">
        <is>
          <t>count</t>
        </is>
      </c>
      <c r="H5487" t="n">
        <v>55</v>
      </c>
      <c r="I5487" t="inlineStr">
        <is>
          <t>Entitas Anak: MMS, KSA, MPP, SMU, TSA, MKM, SPH, SPI, SSI, CBUT (10 subsidiaries)</t>
        </is>
      </c>
      <c r="J5487" t="inlineStr">
        <is>
          <t>High</t>
        </is>
      </c>
      <c r="M5487" t="inlineStr">
        <is>
          <t>LLM</t>
        </is>
      </c>
      <c r="N5487" t="inlineStr">
        <is>
          <t>2026-04-19</t>
        </is>
      </c>
      <c r="O5487" t="inlineStr">
        <is>
          <t>AI</t>
        </is>
      </c>
    </row>
    <row r="5488">
      <c r="A5488" t="inlineStr">
        <is>
          <t>PT Sawit Sumbermas Sarana Tbk</t>
        </is>
      </c>
      <c r="B5488" t="inlineStr">
        <is>
          <t>SSMS_2025_AR.pdf</t>
        </is>
      </c>
      <c r="C5488" t="n">
        <v>2025</v>
      </c>
      <c r="D5488" t="inlineStr">
        <is>
          <t>Company</t>
        </is>
      </c>
      <c r="E5488" t="inlineStr">
        <is>
          <t>Company Name</t>
        </is>
      </c>
      <c r="F5488" t="inlineStr">
        <is>
          <t>PT Sawit Sumbermas Sarana Tbk</t>
        </is>
      </c>
      <c r="G5488" t="inlineStr">
        <is>
          <t>text</t>
        </is>
      </c>
      <c r="H5488" t="n">
        <v>1</v>
      </c>
      <c r="I5488" t="inlineStr">
        <is>
          <t>PT Sawit Sumbermas Sarana Tbk</t>
        </is>
      </c>
      <c r="J5488" t="inlineStr">
        <is>
          <t>High</t>
        </is>
      </c>
      <c r="M5488" t="inlineStr">
        <is>
          <t>LLM</t>
        </is>
      </c>
      <c r="N5488" t="inlineStr">
        <is>
          <t>2026-04-19</t>
        </is>
      </c>
      <c r="O5488" t="inlineStr">
        <is>
          <t>AI</t>
        </is>
      </c>
    </row>
    <row r="5489">
      <c r="A5489" t="inlineStr">
        <is>
          <t>PT Sawit Sumbermas Sarana Tbk</t>
        </is>
      </c>
      <c r="B5489" t="inlineStr">
        <is>
          <t>SSMS_2025_AR.pdf</t>
        </is>
      </c>
      <c r="C5489" t="n">
        <v>2025</v>
      </c>
      <c r="D5489" t="inlineStr">
        <is>
          <t>Company</t>
        </is>
      </c>
      <c r="E5489" t="inlineStr">
        <is>
          <t>Controlling Shareholder 2025</t>
        </is>
      </c>
      <c r="F5489" t="inlineStr">
        <is>
          <t>PT Citra Borneo Indah 65.83%</t>
        </is>
      </c>
      <c r="G5489" t="inlineStr">
        <is>
          <t>%</t>
        </is>
      </c>
      <c r="H5489" t="n">
        <v>24</v>
      </c>
      <c r="I5489" t="inlineStr">
        <is>
          <t>PT Citra Borneo Indah: 65,83%</t>
        </is>
      </c>
      <c r="J5489" t="inlineStr">
        <is>
          <t>High</t>
        </is>
      </c>
      <c r="M5489" t="inlineStr">
        <is>
          <t>LLM</t>
        </is>
      </c>
      <c r="N5489" t="inlineStr">
        <is>
          <t>2026-04-19</t>
        </is>
      </c>
      <c r="O5489" t="inlineStr">
        <is>
          <t>AI</t>
        </is>
      </c>
    </row>
    <row r="5490">
      <c r="A5490" t="inlineStr">
        <is>
          <t>PT Sawit Sumbermas Sarana Tbk</t>
        </is>
      </c>
      <c r="B5490" t="inlineStr">
        <is>
          <t>SSMS_2025_AR.pdf</t>
        </is>
      </c>
      <c r="C5490" t="n">
        <v>2025</v>
      </c>
      <c r="D5490" t="inlineStr">
        <is>
          <t>Company</t>
        </is>
      </c>
      <c r="E5490" t="inlineStr">
        <is>
          <t>Second Shareholder</t>
        </is>
      </c>
      <c r="F5490" t="inlineStr">
        <is>
          <t>PT Putra Borneo Agro Lestari 10.13%</t>
        </is>
      </c>
      <c r="G5490" t="inlineStr">
        <is>
          <t>%</t>
        </is>
      </c>
      <c r="H5490" t="n">
        <v>24</v>
      </c>
      <c r="I5490" t="inlineStr">
        <is>
          <t>PT Putra Borneo Agro Lestari: 10,13%</t>
        </is>
      </c>
      <c r="J5490" t="inlineStr">
        <is>
          <t>High</t>
        </is>
      </c>
      <c r="M5490" t="inlineStr">
        <is>
          <t>LLM</t>
        </is>
      </c>
      <c r="N5490" t="inlineStr">
        <is>
          <t>2026-04-19</t>
        </is>
      </c>
      <c r="O5490" t="inlineStr">
        <is>
          <t>AI</t>
        </is>
      </c>
    </row>
    <row r="5491">
      <c r="A5491" t="inlineStr">
        <is>
          <t>PT Sawit Sumbermas Sarana Tbk</t>
        </is>
      </c>
      <c r="B5491" t="inlineStr">
        <is>
          <t>SSMS_2025_AR.pdf</t>
        </is>
      </c>
      <c r="C5491" t="n">
        <v>2025</v>
      </c>
      <c r="D5491" t="inlineStr">
        <is>
          <t>Company</t>
        </is>
      </c>
      <c r="E5491" t="inlineStr">
        <is>
          <t>Public Float</t>
        </is>
      </c>
      <c r="F5491" t="n">
        <v>0.2404</v>
      </c>
      <c r="G5491" t="inlineStr">
        <is>
          <t>%</t>
        </is>
      </c>
      <c r="H5491" t="n">
        <v>24</v>
      </c>
      <c r="I5491" t="inlineStr">
        <is>
          <t>Masyarakat (dibawah 5%): 24,04%</t>
        </is>
      </c>
      <c r="J5491" t="inlineStr">
        <is>
          <t>High</t>
        </is>
      </c>
      <c r="M5491" t="inlineStr">
        <is>
          <t>LLM</t>
        </is>
      </c>
      <c r="N5491" t="inlineStr">
        <is>
          <t>2026-04-19</t>
        </is>
      </c>
      <c r="O5491" t="inlineStr">
        <is>
          <t>AI</t>
        </is>
      </c>
    </row>
    <row r="5492">
      <c r="A5492" t="inlineStr">
        <is>
          <t>PT Sawit Sumbermas Sarana Tbk</t>
        </is>
      </c>
      <c r="B5492" t="inlineStr">
        <is>
          <t>SSMS_2025_AR.pdf</t>
        </is>
      </c>
      <c r="C5492" t="n">
        <v>2025</v>
      </c>
      <c r="D5492" t="inlineStr">
        <is>
          <t>Company</t>
        </is>
      </c>
      <c r="E5492" t="inlineStr">
        <is>
          <t>Shares Outstanding</t>
        </is>
      </c>
      <c r="F5492" t="n">
        <v>9525</v>
      </c>
      <c r="G5492" t="inlineStr">
        <is>
          <t>mn</t>
        </is>
      </c>
      <c r="H5492" t="n">
        <v>24</v>
      </c>
      <c r="I5492" t="inlineStr">
        <is>
          <t>Jumlah Saham: 9.525.000.000 lembar saham</t>
        </is>
      </c>
      <c r="J5492" t="inlineStr">
        <is>
          <t>High</t>
        </is>
      </c>
      <c r="M5492" t="inlineStr">
        <is>
          <t>LLM</t>
        </is>
      </c>
      <c r="N5492" t="inlineStr">
        <is>
          <t>2026-04-19</t>
        </is>
      </c>
      <c r="O5492" t="inlineStr">
        <is>
          <t>AI</t>
        </is>
      </c>
    </row>
    <row r="5493">
      <c r="A5493" t="inlineStr">
        <is>
          <t>PT Sawit Sumbermas Sarana Tbk</t>
        </is>
      </c>
      <c r="B5493" t="inlineStr">
        <is>
          <t>SSMS_2025_AR.pdf</t>
        </is>
      </c>
      <c r="C5493" t="n">
        <v>2025</v>
      </c>
      <c r="D5493" t="inlineStr">
        <is>
          <t>Company</t>
        </is>
      </c>
      <c r="E5493" t="inlineStr">
        <is>
          <t>SML Acquisition</t>
        </is>
      </c>
      <c r="F5493" t="inlineStr">
        <is>
          <t>PT Sawit Mandiri Lestari</t>
        </is>
      </c>
      <c r="G5493" t="inlineStr">
        <is>
          <t>text</t>
        </is>
      </c>
      <c r="H5493" t="n">
        <v>25</v>
      </c>
      <c r="I5493" t="inlineStr">
        <is>
          <t>akuisisi PT Sawit Mandiri Lestari (SML) sebagai bagian dari strategi pertumbuhan anorganik</t>
        </is>
      </c>
      <c r="J5493" t="inlineStr">
        <is>
          <t>High</t>
        </is>
      </c>
      <c r="M5493" t="inlineStr">
        <is>
          <t>LLM</t>
        </is>
      </c>
      <c r="N5493" t="inlineStr">
        <is>
          <t>2026-04-19</t>
        </is>
      </c>
      <c r="O5493" t="inlineStr">
        <is>
          <t>AI</t>
        </is>
      </c>
    </row>
    <row r="5494">
      <c r="A5494" t="inlineStr">
        <is>
          <t>PT Sawit Sumbermas Sarana Tbk</t>
        </is>
      </c>
      <c r="B5494" t="inlineStr">
        <is>
          <t>SSMS_2025_AR.pdf</t>
        </is>
      </c>
      <c r="C5494" t="n">
        <v>2025</v>
      </c>
      <c r="D5494" t="inlineStr">
        <is>
          <t>Company</t>
        </is>
      </c>
      <c r="E5494" t="inlineStr">
        <is>
          <t>SML Acquisition Cash Cost</t>
        </is>
      </c>
      <c r="F5494" t="n">
        <v>1491</v>
      </c>
      <c r="G5494" t="inlineStr">
        <is>
          <t>IDR bn</t>
        </is>
      </c>
      <c r="H5494" t="n">
        <v>330</v>
      </c>
      <c r="I5494" t="inlineStr">
        <is>
          <t>Akuisisi entitas anak baru, setelah dikurangi kas yang diperoleh 1e (1.491.420.090)</t>
        </is>
      </c>
      <c r="J5494" t="inlineStr">
        <is>
          <t>High</t>
        </is>
      </c>
      <c r="M5494" t="inlineStr">
        <is>
          <t>LLM</t>
        </is>
      </c>
      <c r="N5494" t="inlineStr">
        <is>
          <t>2026-04-19</t>
        </is>
      </c>
      <c r="O5494" t="inlineStr">
        <is>
          <t>AI</t>
        </is>
      </c>
    </row>
    <row r="5495">
      <c r="A5495" t="inlineStr">
        <is>
          <t>PT Sawit Sumbermas Sarana Tbk</t>
        </is>
      </c>
      <c r="B5495" t="inlineStr">
        <is>
          <t>SSMS_2025_AR.pdf</t>
        </is>
      </c>
      <c r="C5495" t="n">
        <v>2025</v>
      </c>
      <c r="D5495" t="inlineStr">
        <is>
          <t>Financial</t>
        </is>
      </c>
      <c r="E5495" t="inlineStr">
        <is>
          <t>Revenue</t>
        </is>
      </c>
      <c r="F5495" t="n">
        <v>14813</v>
      </c>
      <c r="G5495" t="inlineStr">
        <is>
          <t>IDR bn</t>
        </is>
      </c>
      <c r="H5495" t="n">
        <v>16</v>
      </c>
      <c r="I5495" t="inlineStr">
        <is>
          <t>Pendapatan dari Kontrak dengan Pelanggan 14.813 10.367 10.703</t>
        </is>
      </c>
      <c r="J5495" t="inlineStr">
        <is>
          <t>High</t>
        </is>
      </c>
      <c r="M5495" t="inlineStr">
        <is>
          <t>LLM</t>
        </is>
      </c>
      <c r="N5495" t="inlineStr">
        <is>
          <t>2026-04-19</t>
        </is>
      </c>
      <c r="O5495" t="inlineStr">
        <is>
          <t>AI</t>
        </is>
      </c>
    </row>
    <row r="5496">
      <c r="A5496" t="inlineStr">
        <is>
          <t>PT Sawit Sumbermas Sarana Tbk</t>
        </is>
      </c>
      <c r="B5496" t="inlineStr">
        <is>
          <t>SSMS_2025_AR.pdf</t>
        </is>
      </c>
      <c r="C5496" t="n">
        <v>2025</v>
      </c>
      <c r="D5496" t="inlineStr">
        <is>
          <t>Financial</t>
        </is>
      </c>
      <c r="E5496" t="inlineStr">
        <is>
          <t>Cost of Sales</t>
        </is>
      </c>
      <c r="F5496" t="n">
        <v>9638</v>
      </c>
      <c r="G5496" t="inlineStr">
        <is>
          <t>IDR bn</t>
        </is>
      </c>
      <c r="H5496" t="n">
        <v>16</v>
      </c>
      <c r="I5496" t="inlineStr">
        <is>
          <t>Beban Pokok Penjualan (9.638) (7.088)</t>
        </is>
      </c>
      <c r="J5496" t="inlineStr">
        <is>
          <t>High</t>
        </is>
      </c>
      <c r="M5496" t="inlineStr">
        <is>
          <t>LLM</t>
        </is>
      </c>
      <c r="N5496" t="inlineStr">
        <is>
          <t>2026-04-19</t>
        </is>
      </c>
      <c r="O5496" t="inlineStr">
        <is>
          <t>AI</t>
        </is>
      </c>
    </row>
    <row r="5497">
      <c r="A5497" t="inlineStr">
        <is>
          <t>PT Sawit Sumbermas Sarana Tbk</t>
        </is>
      </c>
      <c r="B5497" t="inlineStr">
        <is>
          <t>SSMS_2025_AR.pdf</t>
        </is>
      </c>
      <c r="C5497" t="n">
        <v>2025</v>
      </c>
      <c r="D5497" t="inlineStr">
        <is>
          <t>Financial</t>
        </is>
      </c>
      <c r="E5497" t="inlineStr">
        <is>
          <t>Gross Profit</t>
        </is>
      </c>
      <c r="F5497" t="n">
        <v>5175</v>
      </c>
      <c r="G5497" t="inlineStr">
        <is>
          <t>IDR bn</t>
        </is>
      </c>
      <c r="H5497" t="n">
        <v>16</v>
      </c>
      <c r="I5497" t="inlineStr">
        <is>
          <t>Laba Bruto 5.175 3.279 2.799</t>
        </is>
      </c>
      <c r="J5497" t="inlineStr">
        <is>
          <t>High</t>
        </is>
      </c>
      <c r="M5497" t="inlineStr">
        <is>
          <t>LLM</t>
        </is>
      </c>
      <c r="N5497" t="inlineStr">
        <is>
          <t>2026-04-19</t>
        </is>
      </c>
      <c r="O5497" t="inlineStr">
        <is>
          <t>AI</t>
        </is>
      </c>
    </row>
    <row r="5498">
      <c r="A5498" t="inlineStr">
        <is>
          <t>PT Sawit Sumbermas Sarana Tbk</t>
        </is>
      </c>
      <c r="B5498" t="inlineStr">
        <is>
          <t>SSMS_2025_AR.pdf</t>
        </is>
      </c>
      <c r="C5498" t="n">
        <v>2025</v>
      </c>
      <c r="D5498" t="inlineStr">
        <is>
          <t>Financial</t>
        </is>
      </c>
      <c r="E5498" t="inlineStr">
        <is>
          <t>Operating Profit (EBIT)</t>
        </is>
      </c>
      <c r="F5498" t="n">
        <v>2548</v>
      </c>
      <c r="G5498" t="inlineStr">
        <is>
          <t>IDR bn</t>
        </is>
      </c>
      <c r="H5498" t="n">
        <v>16</v>
      </c>
      <c r="I5498" t="inlineStr">
        <is>
          <t>Laba Usaha 2.548 1.766 1.196</t>
        </is>
      </c>
      <c r="J5498" t="inlineStr">
        <is>
          <t>High</t>
        </is>
      </c>
      <c r="M5498" t="inlineStr">
        <is>
          <t>LLM</t>
        </is>
      </c>
      <c r="N5498" t="inlineStr">
        <is>
          <t>2026-04-19</t>
        </is>
      </c>
      <c r="O5498" t="inlineStr">
        <is>
          <t>AI</t>
        </is>
      </c>
    </row>
    <row r="5499">
      <c r="A5499" t="inlineStr">
        <is>
          <t>PT Sawit Sumbermas Sarana Tbk</t>
        </is>
      </c>
      <c r="B5499" t="inlineStr">
        <is>
          <t>SSMS_2025_AR.pdf</t>
        </is>
      </c>
      <c r="C5499" t="n">
        <v>2025</v>
      </c>
      <c r="D5499" t="inlineStr">
        <is>
          <t>Financial</t>
        </is>
      </c>
      <c r="E5499" t="inlineStr">
        <is>
          <t>Selling Expenses</t>
        </is>
      </c>
      <c r="F5499" t="n">
        <v>1464</v>
      </c>
      <c r="G5499" t="inlineStr">
        <is>
          <t>IDR bn</t>
        </is>
      </c>
      <c r="H5499" t="n">
        <v>326</v>
      </c>
      <c r="I5499" t="inlineStr">
        <is>
          <t>Beban penjualan 30 (1.463.606.360) (904.991.243)</t>
        </is>
      </c>
      <c r="J5499" t="inlineStr">
        <is>
          <t>High</t>
        </is>
      </c>
      <c r="M5499" t="inlineStr">
        <is>
          <t>LLM</t>
        </is>
      </c>
      <c r="N5499" t="inlineStr">
        <is>
          <t>2026-04-19</t>
        </is>
      </c>
      <c r="O5499" t="inlineStr">
        <is>
          <t>AI</t>
        </is>
      </c>
    </row>
    <row r="5500">
      <c r="A5500" t="inlineStr">
        <is>
          <t>PT Sawit Sumbermas Sarana Tbk</t>
        </is>
      </c>
      <c r="B5500" t="inlineStr">
        <is>
          <t>SSMS_2025_AR.pdf</t>
        </is>
      </c>
      <c r="C5500" t="n">
        <v>2025</v>
      </c>
      <c r="D5500" t="inlineStr">
        <is>
          <t>Financial</t>
        </is>
      </c>
      <c r="E5500" t="inlineStr">
        <is>
          <t>G&amp;A Expenses</t>
        </is>
      </c>
      <c r="F5500" t="n">
        <v>1111</v>
      </c>
      <c r="G5500" t="inlineStr">
        <is>
          <t>IDR bn</t>
        </is>
      </c>
      <c r="H5500" t="n">
        <v>326</v>
      </c>
      <c r="I5500" t="inlineStr">
        <is>
          <t>Beban umum dan administrasi 30 (1.111.189.076) (946.326.561)</t>
        </is>
      </c>
      <c r="J5500" t="inlineStr">
        <is>
          <t>High</t>
        </is>
      </c>
      <c r="M5500" t="inlineStr">
        <is>
          <t>LLM</t>
        </is>
      </c>
      <c r="N5500" t="inlineStr">
        <is>
          <t>2026-04-19</t>
        </is>
      </c>
      <c r="O5500" t="inlineStr">
        <is>
          <t>AI</t>
        </is>
      </c>
    </row>
    <row r="5501">
      <c r="A5501" t="inlineStr">
        <is>
          <t>PT Sawit Sumbermas Sarana Tbk</t>
        </is>
      </c>
      <c r="B5501" t="inlineStr">
        <is>
          <t>SSMS_2025_AR.pdf</t>
        </is>
      </c>
      <c r="C5501" t="n">
        <v>2025</v>
      </c>
      <c r="D5501" t="inlineStr">
        <is>
          <t>Financial</t>
        </is>
      </c>
      <c r="E5501" t="inlineStr">
        <is>
          <t>Finance Cost</t>
        </is>
      </c>
      <c r="F5501" t="n">
        <v>692</v>
      </c>
      <c r="G5501" t="inlineStr">
        <is>
          <t>IDR bn</t>
        </is>
      </c>
      <c r="H5501" t="n">
        <v>326</v>
      </c>
      <c r="I5501" t="inlineStr">
        <is>
          <t>Beban keuangan 31 (691.786.609) (620.193.284)</t>
        </is>
      </c>
      <c r="J5501" t="inlineStr">
        <is>
          <t>High</t>
        </is>
      </c>
      <c r="M5501" t="inlineStr">
        <is>
          <t>LLM</t>
        </is>
      </c>
      <c r="N5501" t="inlineStr">
        <is>
          <t>2026-04-19</t>
        </is>
      </c>
      <c r="O5501" t="inlineStr">
        <is>
          <t>AI</t>
        </is>
      </c>
    </row>
    <row r="5502">
      <c r="A5502" t="inlineStr">
        <is>
          <t>PT Sawit Sumbermas Sarana Tbk</t>
        </is>
      </c>
      <c r="B5502" t="inlineStr">
        <is>
          <t>SSMS_2025_AR.pdf</t>
        </is>
      </c>
      <c r="C5502" t="n">
        <v>2025</v>
      </c>
      <c r="D5502" t="inlineStr">
        <is>
          <t>Financial</t>
        </is>
      </c>
      <c r="E5502" t="inlineStr">
        <is>
          <t>Profit Before Tax</t>
        </is>
      </c>
      <c r="F5502" t="n">
        <v>1927</v>
      </c>
      <c r="G5502" t="inlineStr">
        <is>
          <t>IDR bn</t>
        </is>
      </c>
      <c r="H5502" t="n">
        <v>17</v>
      </c>
      <c r="I5502" t="inlineStr">
        <is>
          <t>Laba Sebelum Pajak Penghasilan Badan 1.927 1.213 552</t>
        </is>
      </c>
      <c r="J5502" t="inlineStr">
        <is>
          <t>High</t>
        </is>
      </c>
      <c r="M5502" t="inlineStr">
        <is>
          <t>LLM</t>
        </is>
      </c>
      <c r="N5502" t="inlineStr">
        <is>
          <t>2026-04-19</t>
        </is>
      </c>
      <c r="O5502" t="inlineStr">
        <is>
          <t>AI</t>
        </is>
      </c>
    </row>
    <row r="5503">
      <c r="A5503" t="inlineStr">
        <is>
          <t>PT Sawit Sumbermas Sarana Tbk</t>
        </is>
      </c>
      <c r="B5503" t="inlineStr">
        <is>
          <t>SSMS_2025_AR.pdf</t>
        </is>
      </c>
      <c r="C5503" t="n">
        <v>2025</v>
      </c>
      <c r="D5503" t="inlineStr">
        <is>
          <t>Financial</t>
        </is>
      </c>
      <c r="E5503" t="inlineStr">
        <is>
          <t>Income Tax</t>
        </is>
      </c>
      <c r="F5503" t="n">
        <v>535</v>
      </c>
      <c r="G5503" t="inlineStr">
        <is>
          <t>IDR bn</t>
        </is>
      </c>
      <c r="H5503" t="n">
        <v>17</v>
      </c>
      <c r="I5503" t="inlineStr">
        <is>
          <t>Pajak Penghasilan Badan 535 381 (208)</t>
        </is>
      </c>
      <c r="J5503" t="inlineStr">
        <is>
          <t>High</t>
        </is>
      </c>
      <c r="M5503" t="inlineStr">
        <is>
          <t>LLM</t>
        </is>
      </c>
      <c r="N5503" t="inlineStr">
        <is>
          <t>2026-04-19</t>
        </is>
      </c>
      <c r="O5503" t="inlineStr">
        <is>
          <t>AI</t>
        </is>
      </c>
    </row>
    <row r="5504">
      <c r="A5504" t="inlineStr">
        <is>
          <t>PT Sawit Sumbermas Sarana Tbk</t>
        </is>
      </c>
      <c r="B5504" t="inlineStr">
        <is>
          <t>SSMS_2025_AR.pdf</t>
        </is>
      </c>
      <c r="C5504" t="n">
        <v>2025</v>
      </c>
      <c r="D5504" t="inlineStr">
        <is>
          <t>Financial</t>
        </is>
      </c>
      <c r="E5504" t="inlineStr">
        <is>
          <t>Net Profit</t>
        </is>
      </c>
      <c r="F5504" t="n">
        <v>1393</v>
      </c>
      <c r="G5504" t="inlineStr">
        <is>
          <t>IDR bn</t>
        </is>
      </c>
      <c r="H5504" t="n">
        <v>17</v>
      </c>
      <c r="I5504" t="inlineStr">
        <is>
          <t>Laba Tahun Berjalan Setelah Efek Penyesuaian Proforma 1.393 832 344</t>
        </is>
      </c>
      <c r="J5504" t="inlineStr">
        <is>
          <t>High</t>
        </is>
      </c>
      <c r="M5504" t="inlineStr">
        <is>
          <t>LLM</t>
        </is>
      </c>
      <c r="N5504" t="inlineStr">
        <is>
          <t>2026-04-19</t>
        </is>
      </c>
      <c r="O5504" t="inlineStr">
        <is>
          <t>AI</t>
        </is>
      </c>
    </row>
    <row r="5505">
      <c r="A5505" t="inlineStr">
        <is>
          <t>PT Sawit Sumbermas Sarana Tbk</t>
        </is>
      </c>
      <c r="B5505" t="inlineStr">
        <is>
          <t>SSMS_2025_AR.pdf</t>
        </is>
      </c>
      <c r="C5505" t="n">
        <v>2025</v>
      </c>
      <c r="D5505" t="inlineStr">
        <is>
          <t>Financial</t>
        </is>
      </c>
      <c r="E5505" t="inlineStr">
        <is>
          <t>Profit Attributable to Parent</t>
        </is>
      </c>
      <c r="F5505" t="n">
        <v>1161</v>
      </c>
      <c r="G5505" t="inlineStr">
        <is>
          <t>IDR bn</t>
        </is>
      </c>
      <c r="H5505" t="n">
        <v>17</v>
      </c>
      <c r="I5505" t="inlineStr">
        <is>
          <t>Pemilik Entitas Induk 1.161 820 512</t>
        </is>
      </c>
      <c r="J5505" t="inlineStr">
        <is>
          <t>High</t>
        </is>
      </c>
      <c r="M5505" t="inlineStr">
        <is>
          <t>LLM</t>
        </is>
      </c>
      <c r="N5505" t="inlineStr">
        <is>
          <t>2026-04-19</t>
        </is>
      </c>
      <c r="O5505" t="inlineStr">
        <is>
          <t>AI</t>
        </is>
      </c>
    </row>
    <row r="5506">
      <c r="A5506" t="inlineStr">
        <is>
          <t>PT Sawit Sumbermas Sarana Tbk</t>
        </is>
      </c>
      <c r="B5506" t="inlineStr">
        <is>
          <t>SSMS_2025_AR.pdf</t>
        </is>
      </c>
      <c r="C5506" t="n">
        <v>2025</v>
      </c>
      <c r="D5506" t="inlineStr">
        <is>
          <t>Financial</t>
        </is>
      </c>
      <c r="E5506" t="inlineStr">
        <is>
          <t>Profit Attributable to NCI</t>
        </is>
      </c>
      <c r="F5506" t="n">
        <v>42</v>
      </c>
      <c r="G5506" t="inlineStr">
        <is>
          <t>IDR bn</t>
        </is>
      </c>
      <c r="H5506" t="n">
        <v>17</v>
      </c>
      <c r="I5506" t="inlineStr">
        <is>
          <t>Kepentingan Non-Pengendali 42 25 6</t>
        </is>
      </c>
      <c r="J5506" t="inlineStr">
        <is>
          <t>High</t>
        </is>
      </c>
      <c r="M5506" t="inlineStr">
        <is>
          <t>LLM</t>
        </is>
      </c>
      <c r="N5506" t="inlineStr">
        <is>
          <t>2026-04-19</t>
        </is>
      </c>
      <c r="O5506" t="inlineStr">
        <is>
          <t>AI</t>
        </is>
      </c>
    </row>
    <row r="5507">
      <c r="A5507" t="inlineStr">
        <is>
          <t>PT Sawit Sumbermas Sarana Tbk</t>
        </is>
      </c>
      <c r="B5507" t="inlineStr">
        <is>
          <t>SSMS_2025_AR.pdf</t>
        </is>
      </c>
      <c r="C5507" t="n">
        <v>2025</v>
      </c>
      <c r="D5507" t="inlineStr">
        <is>
          <t>Financial</t>
        </is>
      </c>
      <c r="E5507" t="inlineStr">
        <is>
          <t>Total Assets</t>
        </is>
      </c>
      <c r="F5507" t="n">
        <v>13584</v>
      </c>
      <c r="G5507" t="inlineStr">
        <is>
          <t>IDR bn</t>
        </is>
      </c>
      <c r="H5507" t="n">
        <v>16</v>
      </c>
      <c r="I5507" t="inlineStr">
        <is>
          <t>Jumlah Aset 13.584 11.871 11.810</t>
        </is>
      </c>
      <c r="J5507" t="inlineStr">
        <is>
          <t>High</t>
        </is>
      </c>
      <c r="M5507" t="inlineStr">
        <is>
          <t>LLM</t>
        </is>
      </c>
      <c r="N5507" t="inlineStr">
        <is>
          <t>2026-04-19</t>
        </is>
      </c>
      <c r="O5507" t="inlineStr">
        <is>
          <t>AI</t>
        </is>
      </c>
    </row>
    <row r="5508">
      <c r="A5508" t="inlineStr">
        <is>
          <t>PT Sawit Sumbermas Sarana Tbk</t>
        </is>
      </c>
      <c r="B5508" t="inlineStr">
        <is>
          <t>SSMS_2025_AR.pdf</t>
        </is>
      </c>
      <c r="C5508" t="n">
        <v>2025</v>
      </c>
      <c r="D5508" t="inlineStr">
        <is>
          <t>Financial</t>
        </is>
      </c>
      <c r="E5508" t="inlineStr">
        <is>
          <t>Current Assets</t>
        </is>
      </c>
      <c r="F5508" t="n">
        <v>5901</v>
      </c>
      <c r="G5508" t="inlineStr">
        <is>
          <t>IDR bn</t>
        </is>
      </c>
      <c r="H5508" t="n">
        <v>16</v>
      </c>
      <c r="I5508" t="inlineStr">
        <is>
          <t>Aset Lancar 5.901 5.212 5.028</t>
        </is>
      </c>
      <c r="J5508" t="inlineStr">
        <is>
          <t>High</t>
        </is>
      </c>
      <c r="M5508" t="inlineStr">
        <is>
          <t>LLM</t>
        </is>
      </c>
      <c r="N5508" t="inlineStr">
        <is>
          <t>2026-04-19</t>
        </is>
      </c>
      <c r="O5508" t="inlineStr">
        <is>
          <t>AI</t>
        </is>
      </c>
    </row>
    <row r="5509">
      <c r="A5509" t="inlineStr">
        <is>
          <t>PT Sawit Sumbermas Sarana Tbk</t>
        </is>
      </c>
      <c r="B5509" t="inlineStr">
        <is>
          <t>SSMS_2025_AR.pdf</t>
        </is>
      </c>
      <c r="C5509" t="n">
        <v>2025</v>
      </c>
      <c r="D5509" t="inlineStr">
        <is>
          <t>Financial</t>
        </is>
      </c>
      <c r="E5509" t="inlineStr">
        <is>
          <t>Non-Current Assets</t>
        </is>
      </c>
      <c r="F5509" t="n">
        <v>7683</v>
      </c>
      <c r="G5509" t="inlineStr">
        <is>
          <t>IDR bn</t>
        </is>
      </c>
      <c r="H5509" t="n">
        <v>16</v>
      </c>
      <c r="I5509" t="inlineStr">
        <is>
          <t>Aset Tidak Lancar 7.683 6.659 6.782</t>
        </is>
      </c>
      <c r="J5509" t="inlineStr">
        <is>
          <t>High</t>
        </is>
      </c>
      <c r="M5509" t="inlineStr">
        <is>
          <t>LLM</t>
        </is>
      </c>
      <c r="N5509" t="inlineStr">
        <is>
          <t>2026-04-19</t>
        </is>
      </c>
      <c r="O5509" t="inlineStr">
        <is>
          <t>AI</t>
        </is>
      </c>
    </row>
    <row r="5510">
      <c r="A5510" t="inlineStr">
        <is>
          <t>PT Sawit Sumbermas Sarana Tbk</t>
        </is>
      </c>
      <c r="B5510" t="inlineStr">
        <is>
          <t>SSMS_2025_AR.pdf</t>
        </is>
      </c>
      <c r="C5510" t="n">
        <v>2025</v>
      </c>
      <c r="D5510" t="inlineStr">
        <is>
          <t>Financial</t>
        </is>
      </c>
      <c r="E5510" t="inlineStr">
        <is>
          <t>Total Liabilities</t>
        </is>
      </c>
      <c r="F5510" t="n">
        <v>10643</v>
      </c>
      <c r="G5510" t="inlineStr">
        <is>
          <t>IDR bn</t>
        </is>
      </c>
      <c r="H5510" t="n">
        <v>16</v>
      </c>
      <c r="I5510" t="inlineStr">
        <is>
          <t>Jumlah Liabilitas 10.643 8.986 9.820</t>
        </is>
      </c>
      <c r="J5510" t="inlineStr">
        <is>
          <t>High</t>
        </is>
      </c>
      <c r="M5510" t="inlineStr">
        <is>
          <t>LLM</t>
        </is>
      </c>
      <c r="N5510" t="inlineStr">
        <is>
          <t>2026-04-19</t>
        </is>
      </c>
      <c r="O5510" t="inlineStr">
        <is>
          <t>AI</t>
        </is>
      </c>
    </row>
    <row r="5511">
      <c r="A5511" t="inlineStr">
        <is>
          <t>PT Sawit Sumbermas Sarana Tbk</t>
        </is>
      </c>
      <c r="B5511" t="inlineStr">
        <is>
          <t>SSMS_2025_AR.pdf</t>
        </is>
      </c>
      <c r="C5511" t="n">
        <v>2025</v>
      </c>
      <c r="D5511" t="inlineStr">
        <is>
          <t>Financial</t>
        </is>
      </c>
      <c r="E5511" t="inlineStr">
        <is>
          <t>Current Liabilities</t>
        </is>
      </c>
      <c r="F5511" t="n">
        <v>4613</v>
      </c>
      <c r="G5511" t="inlineStr">
        <is>
          <t>IDR bn</t>
        </is>
      </c>
      <c r="H5511" t="n">
        <v>16</v>
      </c>
      <c r="I5511" t="inlineStr">
        <is>
          <t>Liabilitas Jangka Pendek 4.613 4.751 4.755</t>
        </is>
      </c>
      <c r="J5511" t="inlineStr">
        <is>
          <t>High</t>
        </is>
      </c>
      <c r="M5511" t="inlineStr">
        <is>
          <t>LLM</t>
        </is>
      </c>
      <c r="N5511" t="inlineStr">
        <is>
          <t>2026-04-19</t>
        </is>
      </c>
      <c r="O5511" t="inlineStr">
        <is>
          <t>AI</t>
        </is>
      </c>
    </row>
    <row r="5512">
      <c r="A5512" t="inlineStr">
        <is>
          <t>PT Sawit Sumbermas Sarana Tbk</t>
        </is>
      </c>
      <c r="B5512" t="inlineStr">
        <is>
          <t>SSMS_2025_AR.pdf</t>
        </is>
      </c>
      <c r="C5512" t="n">
        <v>2025</v>
      </c>
      <c r="D5512" t="inlineStr">
        <is>
          <t>Financial</t>
        </is>
      </c>
      <c r="E5512" t="inlineStr">
        <is>
          <t>Non-Current Liabilities</t>
        </is>
      </c>
      <c r="F5512" t="n">
        <v>6029</v>
      </c>
      <c r="G5512" t="inlineStr">
        <is>
          <t>IDR bn</t>
        </is>
      </c>
      <c r="H5512" t="n">
        <v>16</v>
      </c>
      <c r="I5512" t="inlineStr">
        <is>
          <t>Liabilitas Jangka Panjang 6.029 4.235 5.066</t>
        </is>
      </c>
      <c r="J5512" t="inlineStr">
        <is>
          <t>High</t>
        </is>
      </c>
      <c r="M5512" t="inlineStr">
        <is>
          <t>LLM</t>
        </is>
      </c>
      <c r="N5512" t="inlineStr">
        <is>
          <t>2026-04-19</t>
        </is>
      </c>
      <c r="O5512" t="inlineStr">
        <is>
          <t>AI</t>
        </is>
      </c>
    </row>
    <row r="5513">
      <c r="A5513" t="inlineStr">
        <is>
          <t>PT Sawit Sumbermas Sarana Tbk</t>
        </is>
      </c>
      <c r="B5513" t="inlineStr">
        <is>
          <t>SSMS_2025_AR.pdf</t>
        </is>
      </c>
      <c r="C5513" t="n">
        <v>2025</v>
      </c>
      <c r="D5513" t="inlineStr">
        <is>
          <t>Financial</t>
        </is>
      </c>
      <c r="E5513" t="inlineStr">
        <is>
          <t>Total Equity</t>
        </is>
      </c>
      <c r="F5513" t="n">
        <v>2941</v>
      </c>
      <c r="G5513" t="inlineStr">
        <is>
          <t>IDR bn</t>
        </is>
      </c>
      <c r="H5513" t="n">
        <v>16</v>
      </c>
      <c r="I5513" t="inlineStr">
        <is>
          <t>Jumlah Ekuitas 2.941 2.885 1.990</t>
        </is>
      </c>
      <c r="J5513" t="inlineStr">
        <is>
          <t>High</t>
        </is>
      </c>
      <c r="M5513" t="inlineStr">
        <is>
          <t>LLM</t>
        </is>
      </c>
      <c r="N5513" t="inlineStr">
        <is>
          <t>2026-04-19</t>
        </is>
      </c>
      <c r="O5513" t="inlineStr">
        <is>
          <t>AI</t>
        </is>
      </c>
    </row>
    <row r="5514">
      <c r="A5514" t="inlineStr">
        <is>
          <t>PT Sawit Sumbermas Sarana Tbk</t>
        </is>
      </c>
      <c r="B5514" t="inlineStr">
        <is>
          <t>SSMS_2025_AR.pdf</t>
        </is>
      </c>
      <c r="C5514" t="n">
        <v>2025</v>
      </c>
      <c r="D5514" t="inlineStr">
        <is>
          <t>Financial</t>
        </is>
      </c>
      <c r="E5514" t="inlineStr">
        <is>
          <t>Equity Attributable to Parent</t>
        </is>
      </c>
      <c r="F5514" t="n">
        <v>2278</v>
      </c>
      <c r="G5514" t="inlineStr">
        <is>
          <t>IDR bn</t>
        </is>
      </c>
      <c r="H5514" t="n">
        <v>16</v>
      </c>
      <c r="I5514" t="inlineStr">
        <is>
          <t>Pemilik Entitas Induk – Netto 2.278 2.622 1.751</t>
        </is>
      </c>
      <c r="J5514" t="inlineStr">
        <is>
          <t>High</t>
        </is>
      </c>
      <c r="M5514" t="inlineStr">
        <is>
          <t>LLM</t>
        </is>
      </c>
      <c r="N5514" t="inlineStr">
        <is>
          <t>2026-04-19</t>
        </is>
      </c>
      <c r="O5514" t="inlineStr">
        <is>
          <t>AI</t>
        </is>
      </c>
    </row>
    <row r="5515">
      <c r="A5515" t="inlineStr">
        <is>
          <t>PT Sawit Sumbermas Sarana Tbk</t>
        </is>
      </c>
      <c r="B5515" t="inlineStr">
        <is>
          <t>SSMS_2025_AR.pdf</t>
        </is>
      </c>
      <c r="C5515" t="n">
        <v>2025</v>
      </c>
      <c r="D5515" t="inlineStr">
        <is>
          <t>Financial</t>
        </is>
      </c>
      <c r="E5515" t="inlineStr">
        <is>
          <t>Cash and Cash Equivalents</t>
        </is>
      </c>
      <c r="F5515" t="n">
        <v>874</v>
      </c>
      <c r="G5515" t="inlineStr">
        <is>
          <t>IDR bn</t>
        </is>
      </c>
      <c r="H5515" t="n">
        <v>18</v>
      </c>
      <c r="I5515" t="inlineStr">
        <is>
          <t>Kas dan Setara Kas Akhir Tahun 874 1.180 1.237</t>
        </is>
      </c>
      <c r="J5515" t="inlineStr">
        <is>
          <t>High</t>
        </is>
      </c>
      <c r="M5515" t="inlineStr">
        <is>
          <t>LLM</t>
        </is>
      </c>
      <c r="N5515" t="inlineStr">
        <is>
          <t>2026-04-19</t>
        </is>
      </c>
      <c r="O5515" t="inlineStr">
        <is>
          <t>AI</t>
        </is>
      </c>
    </row>
    <row r="5516">
      <c r="A5516" t="inlineStr">
        <is>
          <t>PT Sawit Sumbermas Sarana Tbk</t>
        </is>
      </c>
      <c r="B5516" t="inlineStr">
        <is>
          <t>SSMS_2025_AR.pdf</t>
        </is>
      </c>
      <c r="C5516" t="n">
        <v>2025</v>
      </c>
      <c r="D5516" t="inlineStr">
        <is>
          <t>Financial</t>
        </is>
      </c>
      <c r="E5516" t="inlineStr">
        <is>
          <t>Short-term Bank Loans</t>
        </is>
      </c>
      <c r="F5516" t="n">
        <v>1698</v>
      </c>
      <c r="G5516" t="inlineStr">
        <is>
          <t>IDR bn</t>
        </is>
      </c>
      <c r="H5516" t="n">
        <v>323</v>
      </c>
      <c r="I5516" t="inlineStr">
        <is>
          <t>Utang bank jangka pendek 22 1.698.144.691 2.195.100.881</t>
        </is>
      </c>
      <c r="J5516" t="inlineStr">
        <is>
          <t>High</t>
        </is>
      </c>
      <c r="M5516" t="inlineStr">
        <is>
          <t>LLM</t>
        </is>
      </c>
      <c r="N5516" t="inlineStr">
        <is>
          <t>2026-04-19</t>
        </is>
      </c>
      <c r="O5516" t="inlineStr">
        <is>
          <t>AI</t>
        </is>
      </c>
    </row>
    <row r="5517">
      <c r="A5517" t="inlineStr">
        <is>
          <t>PT Sawit Sumbermas Sarana Tbk</t>
        </is>
      </c>
      <c r="B5517" t="inlineStr">
        <is>
          <t>SSMS_2025_AR.pdf</t>
        </is>
      </c>
      <c r="C5517" t="n">
        <v>2025</v>
      </c>
      <c r="D5517" t="inlineStr">
        <is>
          <t>Financial</t>
        </is>
      </c>
      <c r="E5517" t="inlineStr">
        <is>
          <t>Current Portion of LT Bank Loans</t>
        </is>
      </c>
      <c r="F5517" t="n">
        <v>991</v>
      </c>
      <c r="G5517" t="inlineStr">
        <is>
          <t>IDR bn</t>
        </is>
      </c>
      <c r="H5517" t="n">
        <v>323</v>
      </c>
      <c r="I5517" t="inlineStr">
        <is>
          <t>Utang bank jangka panjang jatuh tempo 991.075.964</t>
        </is>
      </c>
      <c r="J5517" t="inlineStr">
        <is>
          <t>High</t>
        </is>
      </c>
      <c r="M5517" t="inlineStr">
        <is>
          <t>LLM</t>
        </is>
      </c>
      <c r="N5517" t="inlineStr">
        <is>
          <t>2026-04-19</t>
        </is>
      </c>
      <c r="O5517" t="inlineStr">
        <is>
          <t>AI</t>
        </is>
      </c>
    </row>
    <row r="5518">
      <c r="A5518" t="inlineStr">
        <is>
          <t>PT Sawit Sumbermas Sarana Tbk</t>
        </is>
      </c>
      <c r="B5518" t="inlineStr">
        <is>
          <t>SSMS_2025_AR.pdf</t>
        </is>
      </c>
      <c r="C5518" t="n">
        <v>2025</v>
      </c>
      <c r="D5518" t="inlineStr">
        <is>
          <t>Financial</t>
        </is>
      </c>
      <c r="E5518" t="inlineStr">
        <is>
          <t>Long-term Bank Loans</t>
        </is>
      </c>
      <c r="F5518" t="n">
        <v>5450</v>
      </c>
      <c r="G5518" t="inlineStr">
        <is>
          <t>IDR bn</t>
        </is>
      </c>
      <c r="H5518" t="n">
        <v>324</v>
      </c>
      <c r="I5518" t="inlineStr">
        <is>
          <t>Utang bank jangka panjang - setelah dikurangi 5.449.503.968</t>
        </is>
      </c>
      <c r="J5518" t="inlineStr">
        <is>
          <t>High</t>
        </is>
      </c>
      <c r="M5518" t="inlineStr">
        <is>
          <t>LLM</t>
        </is>
      </c>
      <c r="N5518" t="inlineStr">
        <is>
          <t>2026-04-19</t>
        </is>
      </c>
      <c r="O5518" t="inlineStr">
        <is>
          <t>AI</t>
        </is>
      </c>
    </row>
    <row r="5519">
      <c r="A5519" t="inlineStr">
        <is>
          <t>PT Sawit Sumbermas Sarana Tbk</t>
        </is>
      </c>
      <c r="B5519" t="inlineStr">
        <is>
          <t>SSMS_2025_AR.pdf</t>
        </is>
      </c>
      <c r="C5519" t="n">
        <v>2025</v>
      </c>
      <c r="D5519" t="inlineStr">
        <is>
          <t>Financial</t>
        </is>
      </c>
      <c r="E5519" t="inlineStr">
        <is>
          <t>Gross Debt (All bank loans)</t>
        </is>
      </c>
      <c r="F5519" t="n">
        <v>8139</v>
      </c>
      <c r="G5519" t="inlineStr">
        <is>
          <t>IDR bn</t>
        </is>
      </c>
      <c r="H5519" t="n">
        <v>324</v>
      </c>
      <c r="I5519" t="inlineStr">
        <is>
          <t>Sum Rp1,698 + 991 + 5,450 = Rp8,139 bn</t>
        </is>
      </c>
      <c r="J5519" t="inlineStr">
        <is>
          <t>High</t>
        </is>
      </c>
      <c r="M5519" t="inlineStr">
        <is>
          <t>LLM</t>
        </is>
      </c>
      <c r="N5519" t="inlineStr">
        <is>
          <t>2026-04-19</t>
        </is>
      </c>
      <c r="O5519" t="inlineStr">
        <is>
          <t>AI</t>
        </is>
      </c>
    </row>
    <row r="5520">
      <c r="A5520" t="inlineStr">
        <is>
          <t>PT Sawit Sumbermas Sarana Tbk</t>
        </is>
      </c>
      <c r="B5520" t="inlineStr">
        <is>
          <t>SSMS_2025_AR.pdf</t>
        </is>
      </c>
      <c r="C5520" t="n">
        <v>2025</v>
      </c>
      <c r="D5520" t="inlineStr">
        <is>
          <t>Financial</t>
        </is>
      </c>
      <c r="E5520" t="inlineStr">
        <is>
          <t>CFO</t>
        </is>
      </c>
      <c r="F5520" t="n">
        <v>1097</v>
      </c>
      <c r="G5520" t="inlineStr">
        <is>
          <t>IDR bn</t>
        </is>
      </c>
      <c r="H5520" t="n">
        <v>18</v>
      </c>
      <c r="I5520" t="inlineStr">
        <is>
          <t>Arus Kas dari Aktivitas Operasi 1.097 993</t>
        </is>
      </c>
      <c r="J5520" t="inlineStr">
        <is>
          <t>High</t>
        </is>
      </c>
      <c r="M5520" t="inlineStr">
        <is>
          <t>LLM</t>
        </is>
      </c>
      <c r="N5520" t="inlineStr">
        <is>
          <t>2026-04-19</t>
        </is>
      </c>
      <c r="O5520" t="inlineStr">
        <is>
          <t>AI</t>
        </is>
      </c>
    </row>
    <row r="5521">
      <c r="A5521" t="inlineStr">
        <is>
          <t>PT Sawit Sumbermas Sarana Tbk</t>
        </is>
      </c>
      <c r="B5521" t="inlineStr">
        <is>
          <t>SSMS_2025_AR.pdf</t>
        </is>
      </c>
      <c r="C5521" t="n">
        <v>2025</v>
      </c>
      <c r="D5521" t="inlineStr">
        <is>
          <t>Financial</t>
        </is>
      </c>
      <c r="E5521" t="inlineStr">
        <is>
          <t>CFI</t>
        </is>
      </c>
      <c r="F5521" t="n">
        <v>-1902</v>
      </c>
      <c r="G5521" t="inlineStr">
        <is>
          <t>IDR bn</t>
        </is>
      </c>
      <c r="H5521" t="n">
        <v>18</v>
      </c>
      <c r="I5521" t="inlineStr">
        <is>
          <t>Arus Kas dari Aktivitas Investasi (1.902)</t>
        </is>
      </c>
      <c r="J5521" t="inlineStr">
        <is>
          <t>High</t>
        </is>
      </c>
      <c r="M5521" t="inlineStr">
        <is>
          <t>LLM</t>
        </is>
      </c>
      <c r="N5521" t="inlineStr">
        <is>
          <t>2026-04-19</t>
        </is>
      </c>
      <c r="O5521" t="inlineStr">
        <is>
          <t>AI</t>
        </is>
      </c>
    </row>
    <row r="5522">
      <c r="A5522" t="inlineStr">
        <is>
          <t>PT Sawit Sumbermas Sarana Tbk</t>
        </is>
      </c>
      <c r="B5522" t="inlineStr">
        <is>
          <t>SSMS_2025_AR.pdf</t>
        </is>
      </c>
      <c r="C5522" t="n">
        <v>2025</v>
      </c>
      <c r="D5522" t="inlineStr">
        <is>
          <t>Financial</t>
        </is>
      </c>
      <c r="E5522" t="inlineStr">
        <is>
          <t>CFF</t>
        </is>
      </c>
      <c r="F5522" t="n">
        <v>494</v>
      </c>
      <c r="G5522" t="inlineStr">
        <is>
          <t>IDR bn</t>
        </is>
      </c>
      <c r="H5522" t="n">
        <v>18</v>
      </c>
      <c r="I5522" t="inlineStr">
        <is>
          <t>Arus Kas dari Aktivitas Pendanaan 494 (1.238)</t>
        </is>
      </c>
      <c r="J5522" t="inlineStr">
        <is>
          <t>High</t>
        </is>
      </c>
      <c r="M5522" t="inlineStr">
        <is>
          <t>LLM</t>
        </is>
      </c>
      <c r="N5522" t="inlineStr">
        <is>
          <t>2026-04-19</t>
        </is>
      </c>
      <c r="O5522" t="inlineStr">
        <is>
          <t>AI</t>
        </is>
      </c>
    </row>
    <row r="5523">
      <c r="A5523" t="inlineStr">
        <is>
          <t>PT Sawit Sumbermas Sarana Tbk</t>
        </is>
      </c>
      <c r="B5523" t="inlineStr">
        <is>
          <t>SSMS_2025_AR.pdf</t>
        </is>
      </c>
      <c r="C5523" t="n">
        <v>2025</v>
      </c>
      <c r="D5523" t="inlineStr">
        <is>
          <t>Financial</t>
        </is>
      </c>
      <c r="E5523" t="inlineStr">
        <is>
          <t>Capex (Fixed Assets Acquisition)</t>
        </is>
      </c>
      <c r="F5523" t="n">
        <v>402</v>
      </c>
      <c r="G5523" t="inlineStr">
        <is>
          <t>IDR bn</t>
        </is>
      </c>
      <c r="H5523" t="n">
        <v>330</v>
      </c>
      <c r="I5523" t="inlineStr">
        <is>
          <t>Perolehan aset tetap 12,40 (402.440.814)</t>
        </is>
      </c>
      <c r="J5523" t="inlineStr">
        <is>
          <t>High</t>
        </is>
      </c>
      <c r="M5523" t="inlineStr">
        <is>
          <t>LLM</t>
        </is>
      </c>
      <c r="N5523" t="inlineStr">
        <is>
          <t>2026-04-19</t>
        </is>
      </c>
      <c r="O5523" t="inlineStr">
        <is>
          <t>AI</t>
        </is>
      </c>
    </row>
    <row r="5524">
      <c r="A5524" t="inlineStr">
        <is>
          <t>PT Sawit Sumbermas Sarana Tbk</t>
        </is>
      </c>
      <c r="B5524" t="inlineStr">
        <is>
          <t>SSMS_2025_AR.pdf</t>
        </is>
      </c>
      <c r="C5524" t="n">
        <v>2025</v>
      </c>
      <c r="D5524" t="inlineStr">
        <is>
          <t>Financial</t>
        </is>
      </c>
      <c r="E5524" t="inlineStr">
        <is>
          <t>EPS</t>
        </is>
      </c>
      <c r="F5524" t="n">
        <v>121.86</v>
      </c>
      <c r="G5524" t="inlineStr">
        <is>
          <t>Rp/share</t>
        </is>
      </c>
      <c r="H5524" t="n">
        <v>17</v>
      </c>
      <c r="I5524" t="inlineStr">
        <is>
          <t>Laba per Saham (nilai penuh) 121,86 86,04 53,78</t>
        </is>
      </c>
      <c r="J5524" t="inlineStr">
        <is>
          <t>High</t>
        </is>
      </c>
      <c r="M5524" t="inlineStr">
        <is>
          <t>LLM</t>
        </is>
      </c>
      <c r="N5524" t="inlineStr">
        <is>
          <t>2026-04-19</t>
        </is>
      </c>
      <c r="O5524" t="inlineStr">
        <is>
          <t>AI</t>
        </is>
      </c>
    </row>
    <row r="5525">
      <c r="A5525" t="inlineStr">
        <is>
          <t>PT Sawit Sumbermas Sarana Tbk</t>
        </is>
      </c>
      <c r="B5525" t="inlineStr">
        <is>
          <t>SSMS_2025_AR.pdf</t>
        </is>
      </c>
      <c r="C5525" t="n">
        <v>2025</v>
      </c>
      <c r="D5525" t="inlineStr">
        <is>
          <t>Financial</t>
        </is>
      </c>
      <c r="E5525" t="inlineStr">
        <is>
          <t>Current Ratio</t>
        </is>
      </c>
      <c r="F5525" t="n">
        <v>1.2792</v>
      </c>
      <c r="G5525" t="inlineStr">
        <is>
          <t>x</t>
        </is>
      </c>
      <c r="H5525" t="n">
        <v>18</v>
      </c>
      <c r="I5525" t="inlineStr">
        <is>
          <t>Rasio lancar % 127,92</t>
        </is>
      </c>
      <c r="J5525" t="inlineStr">
        <is>
          <t>High</t>
        </is>
      </c>
      <c r="M5525" t="inlineStr">
        <is>
          <t>LLM</t>
        </is>
      </c>
      <c r="N5525" t="inlineStr">
        <is>
          <t>2026-04-19</t>
        </is>
      </c>
      <c r="O5525" t="inlineStr">
        <is>
          <t>AI</t>
        </is>
      </c>
    </row>
    <row r="5526">
      <c r="A5526" t="inlineStr">
        <is>
          <t>PT Sawit Sumbermas Sarana Tbk</t>
        </is>
      </c>
      <c r="B5526" t="inlineStr">
        <is>
          <t>SSMS_2025_AR.pdf</t>
        </is>
      </c>
      <c r="C5526" t="n">
        <v>2025</v>
      </c>
      <c r="D5526" t="inlineStr">
        <is>
          <t>Financial</t>
        </is>
      </c>
      <c r="E5526" t="inlineStr">
        <is>
          <t>Debt to Asset Ratio</t>
        </is>
      </c>
      <c r="F5526" t="n">
        <v>0.7835</v>
      </c>
      <c r="G5526" t="inlineStr">
        <is>
          <t>%</t>
        </is>
      </c>
      <c r="H5526" t="n">
        <v>18</v>
      </c>
      <c r="I5526" t="inlineStr">
        <is>
          <t>Rasio liabilitas terhadap jumlah aset 78,35</t>
        </is>
      </c>
      <c r="J5526" t="inlineStr">
        <is>
          <t>High</t>
        </is>
      </c>
      <c r="M5526" t="inlineStr">
        <is>
          <t>LLM</t>
        </is>
      </c>
      <c r="N5526" t="inlineStr">
        <is>
          <t>2026-04-19</t>
        </is>
      </c>
      <c r="O5526" t="inlineStr">
        <is>
          <t>AI</t>
        </is>
      </c>
    </row>
    <row r="5527">
      <c r="A5527" t="inlineStr">
        <is>
          <t>PT Sawit Sumbermas Sarana Tbk</t>
        </is>
      </c>
      <c r="B5527" t="inlineStr">
        <is>
          <t>SSMS_2025_AR.pdf</t>
        </is>
      </c>
      <c r="C5527" t="n">
        <v>2025</v>
      </c>
      <c r="D5527" t="inlineStr">
        <is>
          <t>Financial</t>
        </is>
      </c>
      <c r="E5527" t="inlineStr">
        <is>
          <t>Debt to Equity Ratio</t>
        </is>
      </c>
      <c r="F5527" t="n">
        <v>3.6188</v>
      </c>
      <c r="G5527" t="inlineStr">
        <is>
          <t>x</t>
        </is>
      </c>
      <c r="H5527" t="n">
        <v>18</v>
      </c>
      <c r="I5527" t="inlineStr">
        <is>
          <t>Rasio liabilitas terhadap ekuitas 361,88</t>
        </is>
      </c>
      <c r="J5527" t="inlineStr">
        <is>
          <t>High</t>
        </is>
      </c>
      <c r="M5527" t="inlineStr">
        <is>
          <t>LLM</t>
        </is>
      </c>
      <c r="N5527" t="inlineStr">
        <is>
          <t>2026-04-19</t>
        </is>
      </c>
      <c r="O5527" t="inlineStr">
        <is>
          <t>AI</t>
        </is>
      </c>
    </row>
    <row r="5528">
      <c r="A5528" t="inlineStr">
        <is>
          <t>PT Sawit Sumbermas Sarana Tbk</t>
        </is>
      </c>
      <c r="B5528" t="inlineStr">
        <is>
          <t>SSMS_2025_AR.pdf</t>
        </is>
      </c>
      <c r="C5528" t="n">
        <v>2025</v>
      </c>
      <c r="D5528" t="inlineStr">
        <is>
          <t>Financial</t>
        </is>
      </c>
      <c r="E5528" t="inlineStr">
        <is>
          <t>Gross Profit Margin</t>
        </is>
      </c>
      <c r="F5528" t="n">
        <v>0.3494</v>
      </c>
      <c r="G5528" t="inlineStr">
        <is>
          <t>%</t>
        </is>
      </c>
      <c r="H5528" t="n">
        <v>18</v>
      </c>
      <c r="I5528" t="inlineStr">
        <is>
          <t>Rasio margin laba kotor 34,94</t>
        </is>
      </c>
      <c r="J5528" t="inlineStr">
        <is>
          <t>High</t>
        </is>
      </c>
      <c r="M5528" t="inlineStr">
        <is>
          <t>LLM</t>
        </is>
      </c>
      <c r="N5528" t="inlineStr">
        <is>
          <t>2026-04-19</t>
        </is>
      </c>
      <c r="O5528" t="inlineStr">
        <is>
          <t>AI</t>
        </is>
      </c>
    </row>
    <row r="5529">
      <c r="A5529" t="inlineStr">
        <is>
          <t>PT Sawit Sumbermas Sarana Tbk</t>
        </is>
      </c>
      <c r="B5529" t="inlineStr">
        <is>
          <t>SSMS_2025_AR.pdf</t>
        </is>
      </c>
      <c r="C5529" t="n">
        <v>2025</v>
      </c>
      <c r="D5529" t="inlineStr">
        <is>
          <t>Financial</t>
        </is>
      </c>
      <c r="E5529" t="inlineStr">
        <is>
          <t>Operating Margin</t>
        </is>
      </c>
      <c r="F5529" t="n">
        <v>0.172</v>
      </c>
      <c r="G5529" t="inlineStr">
        <is>
          <t>%</t>
        </is>
      </c>
      <c r="H5529" t="n">
        <v>18</v>
      </c>
      <c r="I5529" t="inlineStr">
        <is>
          <t>Rasio margin laba usaha 17,20</t>
        </is>
      </c>
      <c r="J5529" t="inlineStr">
        <is>
          <t>High</t>
        </is>
      </c>
      <c r="M5529" t="inlineStr">
        <is>
          <t>LLM</t>
        </is>
      </c>
      <c r="N5529" t="inlineStr">
        <is>
          <t>2026-04-19</t>
        </is>
      </c>
      <c r="O5529" t="inlineStr">
        <is>
          <t>AI</t>
        </is>
      </c>
    </row>
    <row r="5530">
      <c r="A5530" t="inlineStr">
        <is>
          <t>PT Sawit Sumbermas Sarana Tbk</t>
        </is>
      </c>
      <c r="B5530" t="inlineStr">
        <is>
          <t>SSMS_2025_AR.pdf</t>
        </is>
      </c>
      <c r="C5530" t="n">
        <v>2025</v>
      </c>
      <c r="D5530" t="inlineStr">
        <is>
          <t>Financial</t>
        </is>
      </c>
      <c r="E5530" t="inlineStr">
        <is>
          <t>Net Profit Margin</t>
        </is>
      </c>
      <c r="F5530" t="n">
        <v>0.094</v>
      </c>
      <c r="G5530" t="inlineStr">
        <is>
          <t>%</t>
        </is>
      </c>
      <c r="H5530" t="n">
        <v>18</v>
      </c>
      <c r="I5530" t="inlineStr">
        <is>
          <t>Rasio margin laba bersih 9,40</t>
        </is>
      </c>
      <c r="J5530" t="inlineStr">
        <is>
          <t>High</t>
        </is>
      </c>
      <c r="M5530" t="inlineStr">
        <is>
          <t>LLM</t>
        </is>
      </c>
      <c r="N5530" t="inlineStr">
        <is>
          <t>2026-04-19</t>
        </is>
      </c>
      <c r="O5530" t="inlineStr">
        <is>
          <t>AI</t>
        </is>
      </c>
    </row>
    <row r="5531">
      <c r="A5531" t="inlineStr">
        <is>
          <t>PT Sawit Sumbermas Sarana Tbk</t>
        </is>
      </c>
      <c r="B5531" t="inlineStr">
        <is>
          <t>SSMS_2025_AR.pdf</t>
        </is>
      </c>
      <c r="C5531" t="n">
        <v>2025</v>
      </c>
      <c r="D5531" t="inlineStr">
        <is>
          <t>Financial</t>
        </is>
      </c>
      <c r="E5531" t="inlineStr">
        <is>
          <t>ROA</t>
        </is>
      </c>
      <c r="F5531" t="n">
        <v>0.1025</v>
      </c>
      <c r="G5531" t="inlineStr">
        <is>
          <t>%</t>
        </is>
      </c>
      <c r="H5531" t="n">
        <v>18</v>
      </c>
      <c r="I5531" t="inlineStr">
        <is>
          <t>Return on Assets (ROA) 10,25</t>
        </is>
      </c>
      <c r="J5531" t="inlineStr">
        <is>
          <t>High</t>
        </is>
      </c>
      <c r="M5531" t="inlineStr">
        <is>
          <t>LLM</t>
        </is>
      </c>
      <c r="N5531" t="inlineStr">
        <is>
          <t>2026-04-19</t>
        </is>
      </c>
      <c r="O5531" t="inlineStr">
        <is>
          <t>AI</t>
        </is>
      </c>
    </row>
    <row r="5532">
      <c r="A5532" t="inlineStr">
        <is>
          <t>PT Sawit Sumbermas Sarana Tbk</t>
        </is>
      </c>
      <c r="B5532" t="inlineStr">
        <is>
          <t>SSMS_2025_AR.pdf</t>
        </is>
      </c>
      <c r="C5532" t="n">
        <v>2025</v>
      </c>
      <c r="D5532" t="inlineStr">
        <is>
          <t>Financial</t>
        </is>
      </c>
      <c r="E5532" t="inlineStr">
        <is>
          <t>ROE</t>
        </is>
      </c>
      <c r="F5532" t="n">
        <v>0.4736</v>
      </c>
      <c r="G5532" t="inlineStr">
        <is>
          <t>%</t>
        </is>
      </c>
      <c r="H5532" t="n">
        <v>18</v>
      </c>
      <c r="I5532" t="inlineStr">
        <is>
          <t>Return on Equity (ROE) 47,36</t>
        </is>
      </c>
      <c r="J5532" t="inlineStr">
        <is>
          <t>High</t>
        </is>
      </c>
      <c r="M5532" t="inlineStr">
        <is>
          <t>LLM</t>
        </is>
      </c>
      <c r="N5532" t="inlineStr">
        <is>
          <t>2026-04-19</t>
        </is>
      </c>
      <c r="O5532" t="inlineStr">
        <is>
          <t>AI</t>
        </is>
      </c>
    </row>
    <row r="5533">
      <c r="A5533" t="inlineStr">
        <is>
          <t>PT Sawit Sumbermas Sarana Tbk</t>
        </is>
      </c>
      <c r="B5533" t="inlineStr">
        <is>
          <t>SSMS_2025_AR.pdf</t>
        </is>
      </c>
      <c r="C5533" t="n">
        <v>2025</v>
      </c>
      <c r="D5533" t="inlineStr">
        <is>
          <t>Financial</t>
        </is>
      </c>
      <c r="E5533" t="inlineStr">
        <is>
          <t>Closing Price Q4 2025</t>
        </is>
      </c>
      <c r="F5533" t="n">
        <v>1580</v>
      </c>
      <c r="G5533" t="inlineStr">
        <is>
          <t>Rp/share</t>
        </is>
      </c>
      <c r="H5533" t="n">
        <v>24</v>
      </c>
      <c r="I5533" t="inlineStr">
        <is>
          <t>Triwulan IV 2025 Closing Price 1.580</t>
        </is>
      </c>
      <c r="J5533" t="inlineStr">
        <is>
          <t>High</t>
        </is>
      </c>
      <c r="M5533" t="inlineStr">
        <is>
          <t>LLM</t>
        </is>
      </c>
      <c r="N5533" t="inlineStr">
        <is>
          <t>2026-04-19</t>
        </is>
      </c>
      <c r="O5533" t="inlineStr">
        <is>
          <t>AI</t>
        </is>
      </c>
    </row>
    <row r="5534">
      <c r="A5534" t="inlineStr">
        <is>
          <t>PT Sawit Sumbermas Sarana Tbk</t>
        </is>
      </c>
      <c r="B5534" t="inlineStr">
        <is>
          <t>SSMS_2025_AR.pdf</t>
        </is>
      </c>
      <c r="C5534" t="n">
        <v>2025</v>
      </c>
      <c r="D5534" t="inlineStr">
        <is>
          <t>Financial</t>
        </is>
      </c>
      <c r="E5534" t="inlineStr">
        <is>
          <t>Market Cap Q4 2025</t>
        </is>
      </c>
      <c r="F5534" t="n">
        <v>15585</v>
      </c>
      <c r="G5534" t="inlineStr">
        <is>
          <t>IDR bn</t>
        </is>
      </c>
      <c r="H5534" t="n">
        <v>24</v>
      </c>
      <c r="I5534" t="inlineStr">
        <is>
          <t>Kapitalisasi Pasar Triwulan IV 15.585.281 (Rp-Juta)</t>
        </is>
      </c>
      <c r="J5534" t="inlineStr">
        <is>
          <t>High</t>
        </is>
      </c>
      <c r="M5534" t="inlineStr">
        <is>
          <t>LLM</t>
        </is>
      </c>
      <c r="N5534" t="inlineStr">
        <is>
          <t>2026-04-19</t>
        </is>
      </c>
      <c r="O5534" t="inlineStr">
        <is>
          <t>AI</t>
        </is>
      </c>
    </row>
    <row r="5535">
      <c r="A5535" t="inlineStr">
        <is>
          <t>PT Sawit Sumbermas Sarana Tbk</t>
        </is>
      </c>
      <c r="B5535" t="inlineStr">
        <is>
          <t>SSMS_2025_AR.pdf</t>
        </is>
      </c>
      <c r="C5535" t="n">
        <v>2025</v>
      </c>
      <c r="D5535" t="inlineStr">
        <is>
          <t>Financial</t>
        </is>
      </c>
      <c r="E5535" t="inlineStr">
        <is>
          <t>Highest Price 2025</t>
        </is>
      </c>
      <c r="F5535" t="n">
        <v>2093</v>
      </c>
      <c r="G5535" t="inlineStr">
        <is>
          <t>Rp/share</t>
        </is>
      </c>
      <c r="H5535" t="n">
        <v>24</v>
      </c>
      <c r="I5535" t="inlineStr">
        <is>
          <t>Triwulan I Harga Tertinggi 2.093</t>
        </is>
      </c>
      <c r="J5535" t="inlineStr">
        <is>
          <t>High</t>
        </is>
      </c>
      <c r="M5535" t="inlineStr">
        <is>
          <t>LLM</t>
        </is>
      </c>
      <c r="N5535" t="inlineStr">
        <is>
          <t>2026-04-19</t>
        </is>
      </c>
      <c r="O5535" t="inlineStr">
        <is>
          <t>AI</t>
        </is>
      </c>
    </row>
    <row r="5536">
      <c r="A5536" t="inlineStr">
        <is>
          <t>PT Sawit Sumbermas Sarana Tbk</t>
        </is>
      </c>
      <c r="B5536" t="inlineStr">
        <is>
          <t>SSMS_2025_AR.pdf</t>
        </is>
      </c>
      <c r="C5536" t="n">
        <v>2025</v>
      </c>
      <c r="D5536" t="inlineStr">
        <is>
          <t>Financial</t>
        </is>
      </c>
      <c r="E5536" t="inlineStr">
        <is>
          <t>Lowest Price 2025</t>
        </is>
      </c>
      <c r="F5536" t="n">
        <v>1277</v>
      </c>
      <c r="G5536" t="inlineStr">
        <is>
          <t>Rp/share</t>
        </is>
      </c>
      <c r="H5536" t="n">
        <v>24</v>
      </c>
      <c r="I5536" t="inlineStr">
        <is>
          <t>Triwulan I Harga Terendah 1.277</t>
        </is>
      </c>
      <c r="J5536" t="inlineStr">
        <is>
          <t>High</t>
        </is>
      </c>
      <c r="M5536" t="inlineStr">
        <is>
          <t>LLM</t>
        </is>
      </c>
      <c r="N5536" t="inlineStr">
        <is>
          <t>2026-04-19</t>
        </is>
      </c>
      <c r="O5536" t="inlineStr">
        <is>
          <t>AI</t>
        </is>
      </c>
    </row>
    <row r="5537">
      <c r="A5537" t="inlineStr">
        <is>
          <t>PT Sawit Sumbermas Sarana Tbk</t>
        </is>
      </c>
      <c r="B5537" t="inlineStr">
        <is>
          <t>SSMS_2025_AR.pdf</t>
        </is>
      </c>
      <c r="C5537" t="n">
        <v>2025</v>
      </c>
      <c r="D5537" t="inlineStr">
        <is>
          <t>Financial</t>
        </is>
      </c>
      <c r="E5537" t="inlineStr">
        <is>
          <t>Dividend Paid 2025</t>
        </is>
      </c>
      <c r="F5537" t="n">
        <v>450</v>
      </c>
      <c r="G5537" t="inlineStr">
        <is>
          <t>IDR bn</t>
        </is>
      </c>
      <c r="H5537" t="n">
        <v>25</v>
      </c>
      <c r="I5537" t="inlineStr">
        <is>
          <t>pembagian dividen tunai dengan total dividen sebesar Rp450 miliar (FY2024 dividend paid 21 May 2025)</t>
        </is>
      </c>
      <c r="J5537" t="inlineStr">
        <is>
          <t>High</t>
        </is>
      </c>
      <c r="M5537" t="inlineStr">
        <is>
          <t>LLM</t>
        </is>
      </c>
      <c r="N5537" t="inlineStr">
        <is>
          <t>2026-04-19</t>
        </is>
      </c>
      <c r="O5537" t="inlineStr">
        <is>
          <t>AI</t>
        </is>
      </c>
    </row>
    <row r="5538">
      <c r="A5538" t="inlineStr">
        <is>
          <t>PT Sawit Sumbermas Sarana Tbk</t>
        </is>
      </c>
      <c r="B5538" t="inlineStr">
        <is>
          <t>SSMS_2025_AR.pdf</t>
        </is>
      </c>
      <c r="C5538" t="n">
        <v>2025</v>
      </c>
      <c r="D5538" t="inlineStr">
        <is>
          <t>Financial</t>
        </is>
      </c>
      <c r="E5538" t="inlineStr">
        <is>
          <t>DPS Paid 2025</t>
        </is>
      </c>
      <c r="F5538" t="n">
        <v>47.24</v>
      </c>
      <c r="G5538" t="inlineStr">
        <is>
          <t>Rp/share</t>
        </is>
      </c>
      <c r="H5538" t="n">
        <v>25</v>
      </c>
      <c r="I5538" t="inlineStr">
        <is>
          <t>nilai dividen per saham Rp47,24</t>
        </is>
      </c>
      <c r="J5538" t="inlineStr">
        <is>
          <t>High</t>
        </is>
      </c>
      <c r="M5538" t="inlineStr">
        <is>
          <t>LLM</t>
        </is>
      </c>
      <c r="N5538" t="inlineStr">
        <is>
          <t>2026-04-19</t>
        </is>
      </c>
      <c r="O5538" t="inlineStr">
        <is>
          <t>AI</t>
        </is>
      </c>
    </row>
    <row r="5539">
      <c r="A5539" t="inlineStr">
        <is>
          <t>PT Sawit Sumbermas Sarana Tbk</t>
        </is>
      </c>
      <c r="B5539" t="inlineStr">
        <is>
          <t>SSMS_2025_AR.pdf</t>
        </is>
      </c>
      <c r="C5539" t="n">
        <v>2025</v>
      </c>
      <c r="D5539" t="inlineStr">
        <is>
          <t>Financial</t>
        </is>
      </c>
      <c r="E5539" t="inlineStr">
        <is>
          <t>Syndicated Bank Loan Obtained</t>
        </is>
      </c>
      <c r="F5539" t="n">
        <v>1</v>
      </c>
      <c r="G5539" t="inlineStr">
        <is>
          <t>yes/no</t>
        </is>
      </c>
      <c r="H5539" t="n">
        <v>25</v>
      </c>
      <c r="I5539" t="inlineStr">
        <is>
          <t>Perseroan juga memperoleh fasilitas pinjaman sindikasi sebagai bagian dari strategi penguatan struktur pendanaan</t>
        </is>
      </c>
      <c r="J5539" t="inlineStr">
        <is>
          <t>High</t>
        </is>
      </c>
      <c r="M5539" t="inlineStr">
        <is>
          <t>LLM</t>
        </is>
      </c>
      <c r="N5539" t="inlineStr">
        <is>
          <t>2026-04-19</t>
        </is>
      </c>
      <c r="O5539" t="inlineStr">
        <is>
          <t>AI</t>
        </is>
      </c>
    </row>
    <row r="5540">
      <c r="A5540" t="inlineStr">
        <is>
          <t>PT Sawit Sumbermas Sarana Tbk</t>
        </is>
      </c>
      <c r="B5540" t="inlineStr">
        <is>
          <t>SSMS_2025_AR.pdf</t>
        </is>
      </c>
      <c r="C5540" t="n">
        <v>2025</v>
      </c>
      <c r="D5540" t="inlineStr">
        <is>
          <t>Asset</t>
        </is>
      </c>
      <c r="E5540" t="inlineStr">
        <is>
          <t>Total Managed Area</t>
        </is>
      </c>
      <c r="F5540" t="n">
        <v>136447</v>
      </c>
      <c r="G5540" t="inlineStr">
        <is>
          <t>ha</t>
        </is>
      </c>
      <c r="H5540" t="n">
        <v>74</v>
      </c>
      <c r="I5540" t="inlineStr">
        <is>
          <t>Total Managed Area (Nucleus and Plasma) 136.447 Hektare</t>
        </is>
      </c>
      <c r="J5540" t="inlineStr">
        <is>
          <t>High</t>
        </is>
      </c>
      <c r="M5540" t="inlineStr">
        <is>
          <t>LLM</t>
        </is>
      </c>
      <c r="N5540" t="inlineStr">
        <is>
          <t>2026-04-19</t>
        </is>
      </c>
      <c r="O5540" t="inlineStr">
        <is>
          <t>AI</t>
        </is>
      </c>
    </row>
    <row r="5541">
      <c r="A5541" t="inlineStr">
        <is>
          <t>PT Sawit Sumbermas Sarana Tbk</t>
        </is>
      </c>
      <c r="B5541" t="inlineStr">
        <is>
          <t>SSMS_2025_AR.pdf</t>
        </is>
      </c>
      <c r="C5541" t="n">
        <v>2025</v>
      </c>
      <c r="D5541" t="inlineStr">
        <is>
          <t>Asset</t>
        </is>
      </c>
      <c r="E5541" t="inlineStr">
        <is>
          <t>Nucleus Area</t>
        </is>
      </c>
      <c r="F5541" t="n">
        <v>77314</v>
      </c>
      <c r="G5541" t="inlineStr">
        <is>
          <t>ha</t>
        </is>
      </c>
      <c r="H5541" t="n">
        <v>74</v>
      </c>
      <c r="I5541" t="inlineStr">
        <is>
          <t>Perkebunan Inti 77.314 Hektare</t>
        </is>
      </c>
      <c r="J5541" t="inlineStr">
        <is>
          <t>High</t>
        </is>
      </c>
      <c r="M5541" t="inlineStr">
        <is>
          <t>LLM</t>
        </is>
      </c>
      <c r="N5541" t="inlineStr">
        <is>
          <t>2026-04-19</t>
        </is>
      </c>
      <c r="O5541" t="inlineStr">
        <is>
          <t>AI</t>
        </is>
      </c>
    </row>
    <row r="5542">
      <c r="A5542" t="inlineStr">
        <is>
          <t>PT Sawit Sumbermas Sarana Tbk</t>
        </is>
      </c>
      <c r="B5542" t="inlineStr">
        <is>
          <t>SSMS_2025_AR.pdf</t>
        </is>
      </c>
      <c r="C5542" t="n">
        <v>2025</v>
      </c>
      <c r="D5542" t="inlineStr">
        <is>
          <t>Asset</t>
        </is>
      </c>
      <c r="E5542" t="inlineStr">
        <is>
          <t>Plasma Area</t>
        </is>
      </c>
      <c r="F5542" t="n">
        <v>17500</v>
      </c>
      <c r="G5542" t="inlineStr">
        <is>
          <t>ha</t>
        </is>
      </c>
      <c r="H5542" t="n">
        <v>74</v>
      </c>
      <c r="I5542" t="inlineStr">
        <is>
          <t>Perkebunan Plasma 17.500 Hektare</t>
        </is>
      </c>
      <c r="J5542" t="inlineStr">
        <is>
          <t>High</t>
        </is>
      </c>
      <c r="M5542" t="inlineStr">
        <is>
          <t>LLM</t>
        </is>
      </c>
      <c r="N5542" t="inlineStr">
        <is>
          <t>2026-04-19</t>
        </is>
      </c>
      <c r="O5542" t="inlineStr">
        <is>
          <t>AI</t>
        </is>
      </c>
    </row>
    <row r="5543">
      <c r="A5543" t="inlineStr">
        <is>
          <t>PT Sawit Sumbermas Sarana Tbk</t>
        </is>
      </c>
      <c r="B5543" t="inlineStr">
        <is>
          <t>SSMS_2025_AR.pdf</t>
        </is>
      </c>
      <c r="C5543" t="n">
        <v>2025</v>
      </c>
      <c r="D5543" t="inlineStr">
        <is>
          <t>Asset</t>
        </is>
      </c>
      <c r="E5543" t="inlineStr">
        <is>
          <t>Mature Planted Area</t>
        </is>
      </c>
      <c r="F5543" t="n">
        <v>93726</v>
      </c>
      <c r="G5543" t="inlineStr">
        <is>
          <t>ha</t>
        </is>
      </c>
      <c r="H5543" t="n">
        <v>74</v>
      </c>
      <c r="I5543" t="inlineStr">
        <is>
          <t>Mature Area 93.726 (77.314 inti + 17.500 plasma - these appear reversed in table; mature total 93,726)</t>
        </is>
      </c>
      <c r="J5543" t="inlineStr">
        <is>
          <t>Medium</t>
        </is>
      </c>
      <c r="M5543" t="inlineStr">
        <is>
          <t>LLM</t>
        </is>
      </c>
      <c r="N5543" t="inlineStr">
        <is>
          <t>2026-04-19</t>
        </is>
      </c>
      <c r="O5543" t="inlineStr">
        <is>
          <t>AI</t>
        </is>
      </c>
    </row>
    <row r="5544">
      <c r="A5544" t="inlineStr">
        <is>
          <t>PT Sawit Sumbermas Sarana Tbk</t>
        </is>
      </c>
      <c r="B5544" t="inlineStr">
        <is>
          <t>SSMS_2025_AR.pdf</t>
        </is>
      </c>
      <c r="C5544" t="n">
        <v>2025</v>
      </c>
      <c r="D5544" t="inlineStr">
        <is>
          <t>Asset</t>
        </is>
      </c>
      <c r="E5544" t="inlineStr">
        <is>
          <t>Immature Planted Area</t>
        </is>
      </c>
      <c r="F5544" t="n">
        <v>1221</v>
      </c>
      <c r="G5544" t="inlineStr">
        <is>
          <t>ha</t>
        </is>
      </c>
      <c r="H5544" t="n">
        <v>74</v>
      </c>
      <c r="I5544" t="inlineStr">
        <is>
          <t>Immature Area 1.221 (597 inti + 624 plasma)</t>
        </is>
      </c>
      <c r="J5544" t="inlineStr">
        <is>
          <t>High</t>
        </is>
      </c>
      <c r="M5544" t="inlineStr">
        <is>
          <t>LLM</t>
        </is>
      </c>
      <c r="N5544" t="inlineStr">
        <is>
          <t>2026-04-19</t>
        </is>
      </c>
      <c r="O5544" t="inlineStr">
        <is>
          <t>AI</t>
        </is>
      </c>
    </row>
    <row r="5545">
      <c r="A5545" t="inlineStr">
        <is>
          <t>PT Sawit Sumbermas Sarana Tbk</t>
        </is>
      </c>
      <c r="B5545" t="inlineStr">
        <is>
          <t>SSMS_2025_AR.pdf</t>
        </is>
      </c>
      <c r="C5545" t="n">
        <v>2025</v>
      </c>
      <c r="D5545" t="inlineStr">
        <is>
          <t>Asset</t>
        </is>
      </c>
      <c r="E5545" t="inlineStr">
        <is>
          <t>Other Plantation Area</t>
        </is>
      </c>
      <c r="F5545" t="n">
        <v>41500</v>
      </c>
      <c r="G5545" t="inlineStr">
        <is>
          <t>ha</t>
        </is>
      </c>
      <c r="H5545" t="n">
        <v>74</v>
      </c>
      <c r="I5545" t="inlineStr">
        <is>
          <t>Other Area 41.500 (26.844 inti + 14.656 plasma)</t>
        </is>
      </c>
      <c r="J5545" t="inlineStr">
        <is>
          <t>High</t>
        </is>
      </c>
      <c r="M5545" t="inlineStr">
        <is>
          <t>LLM</t>
        </is>
      </c>
      <c r="N5545" t="inlineStr">
        <is>
          <t>2026-04-19</t>
        </is>
      </c>
      <c r="O5545" t="inlineStr">
        <is>
          <t>AI</t>
        </is>
      </c>
    </row>
    <row r="5546">
      <c r="A5546" t="inlineStr">
        <is>
          <t>PT Sawit Sumbermas Sarana Tbk</t>
        </is>
      </c>
      <c r="B5546" t="inlineStr">
        <is>
          <t>SSMS_2025_AR.pdf</t>
        </is>
      </c>
      <c r="C5546" t="n">
        <v>2025</v>
      </c>
      <c r="D5546" t="inlineStr">
        <is>
          <t>Asset</t>
        </is>
      </c>
      <c r="E5546" t="inlineStr">
        <is>
          <t>Independent Smallholders Area</t>
        </is>
      </c>
      <c r="F5546" t="n">
        <v>3746</v>
      </c>
      <c r="G5546" t="inlineStr">
        <is>
          <t>ha</t>
        </is>
      </c>
      <c r="H5546" t="n">
        <v>74</v>
      </c>
      <c r="I5546" t="inlineStr">
        <is>
          <t>Total Area of Independent Smallholders 3.745,71 Hektare</t>
        </is>
      </c>
      <c r="J5546" t="inlineStr">
        <is>
          <t>High</t>
        </is>
      </c>
      <c r="M5546" t="inlineStr">
        <is>
          <t>LLM</t>
        </is>
      </c>
      <c r="N5546" t="inlineStr">
        <is>
          <t>2026-04-19</t>
        </is>
      </c>
      <c r="O5546" t="inlineStr">
        <is>
          <t>AI</t>
        </is>
      </c>
    </row>
    <row r="5547">
      <c r="A5547" t="inlineStr">
        <is>
          <t>PT Sawit Sumbermas Sarana Tbk</t>
        </is>
      </c>
      <c r="B5547" t="inlineStr">
        <is>
          <t>SSMS_2025_AR.pdf</t>
        </is>
      </c>
      <c r="C5547" t="n">
        <v>2025</v>
      </c>
      <c r="D5547" t="inlineStr">
        <is>
          <t>Asset</t>
        </is>
      </c>
      <c r="E5547" t="inlineStr">
        <is>
          <t>Number of Palm Oil Mills</t>
        </is>
      </c>
      <c r="F5547" t="n">
        <v>10</v>
      </c>
      <c r="G5547" t="inlineStr">
        <is>
          <t>count</t>
        </is>
      </c>
      <c r="H5547" t="n">
        <v>74</v>
      </c>
      <c r="I5547" t="inlineStr">
        <is>
          <t>Jumlah Pabrik Kelapa Sawit (PKS) 10 PKS (8 SSMS + 2 from SML acquisition)</t>
        </is>
      </c>
      <c r="J5547" t="inlineStr">
        <is>
          <t>High</t>
        </is>
      </c>
      <c r="M5547" t="inlineStr">
        <is>
          <t>LLM</t>
        </is>
      </c>
      <c r="N5547" t="inlineStr">
        <is>
          <t>2026-04-19</t>
        </is>
      </c>
      <c r="O5547" t="inlineStr">
        <is>
          <t>AI</t>
        </is>
      </c>
    </row>
    <row r="5548">
      <c r="A5548" t="inlineStr">
        <is>
          <t>PT Sawit Sumbermas Sarana Tbk</t>
        </is>
      </c>
      <c r="B5548" t="inlineStr">
        <is>
          <t>SSMS_2025_AR.pdf</t>
        </is>
      </c>
      <c r="C5548" t="n">
        <v>2025</v>
      </c>
      <c r="D5548" t="inlineStr">
        <is>
          <t>Asset</t>
        </is>
      </c>
      <c r="E5548" t="inlineStr">
        <is>
          <t>RSPO Certified Mills</t>
        </is>
      </c>
      <c r="F5548" t="n">
        <v>8</v>
      </c>
      <c r="G5548" t="inlineStr">
        <is>
          <t>count</t>
        </is>
      </c>
      <c r="H5548" t="n">
        <v>74</v>
      </c>
      <c r="I5548" t="inlineStr">
        <is>
          <t>Pabrik Kelapa Sawit (PKS) Bersertifikat RSPO 8</t>
        </is>
      </c>
      <c r="J5548" t="inlineStr">
        <is>
          <t>High</t>
        </is>
      </c>
      <c r="M5548" t="inlineStr">
        <is>
          <t>LLM</t>
        </is>
      </c>
      <c r="N5548" t="inlineStr">
        <is>
          <t>2026-04-19</t>
        </is>
      </c>
      <c r="O5548" t="inlineStr">
        <is>
          <t>AI</t>
        </is>
      </c>
    </row>
    <row r="5549">
      <c r="A5549" t="inlineStr">
        <is>
          <t>PT Sawit Sumbermas Sarana Tbk</t>
        </is>
      </c>
      <c r="B5549" t="inlineStr">
        <is>
          <t>SSMS_2025_AR.pdf</t>
        </is>
      </c>
      <c r="C5549" t="n">
        <v>2025</v>
      </c>
      <c r="D5549" t="inlineStr">
        <is>
          <t>Asset</t>
        </is>
      </c>
      <c r="E5549" t="inlineStr">
        <is>
          <t>ISPO Certified Mills</t>
        </is>
      </c>
      <c r="F5549" t="n">
        <v>8</v>
      </c>
      <c r="G5549" t="inlineStr">
        <is>
          <t>count</t>
        </is>
      </c>
      <c r="H5549" t="n">
        <v>74</v>
      </c>
      <c r="I5549" t="inlineStr">
        <is>
          <t>Pabrik Kelapa Sawit (PKS) Bersertifikat ISPO 8</t>
        </is>
      </c>
      <c r="J5549" t="inlineStr">
        <is>
          <t>High</t>
        </is>
      </c>
      <c r="M5549" t="inlineStr">
        <is>
          <t>LLM</t>
        </is>
      </c>
      <c r="N5549" t="inlineStr">
        <is>
          <t>2026-04-19</t>
        </is>
      </c>
      <c r="O5549" t="inlineStr">
        <is>
          <t>AI</t>
        </is>
      </c>
    </row>
    <row r="5550">
      <c r="A5550" t="inlineStr">
        <is>
          <t>PT Sawit Sumbermas Sarana Tbk</t>
        </is>
      </c>
      <c r="B5550" t="inlineStr">
        <is>
          <t>SSMS_2025_AR.pdf</t>
        </is>
      </c>
      <c r="C5550" t="n">
        <v>2025</v>
      </c>
      <c r="D5550" t="inlineStr">
        <is>
          <t>Asset</t>
        </is>
      </c>
      <c r="E5550" t="inlineStr">
        <is>
          <t>HGU Land Area</t>
        </is>
      </c>
      <c r="F5550" t="n">
        <v>68658</v>
      </c>
      <c r="G5550" t="inlineStr">
        <is>
          <t>ha</t>
        </is>
      </c>
      <c r="H5550" t="n">
        <v>74</v>
      </c>
      <c r="I5550" t="inlineStr">
        <is>
          <t>Luas Lahan Perseroan Memperoleh Hak Guna Usaha (HGU) 68.658 Hektare</t>
        </is>
      </c>
      <c r="J5550" t="inlineStr">
        <is>
          <t>High</t>
        </is>
      </c>
      <c r="M5550" t="inlineStr">
        <is>
          <t>LLM</t>
        </is>
      </c>
      <c r="N5550" t="inlineStr">
        <is>
          <t>2026-04-19</t>
        </is>
      </c>
      <c r="O5550" t="inlineStr">
        <is>
          <t>AI</t>
        </is>
      </c>
    </row>
    <row r="5551">
      <c r="A5551" t="inlineStr">
        <is>
          <t>PT Sawit Sumbermas Sarana Tbk</t>
        </is>
      </c>
      <c r="B5551" t="inlineStr">
        <is>
          <t>SSMS_2025_AR.pdf</t>
        </is>
      </c>
      <c r="C5551" t="n">
        <v>2025</v>
      </c>
      <c r="D5551" t="inlineStr">
        <is>
          <t>Asset</t>
        </is>
      </c>
      <c r="E5551" t="inlineStr">
        <is>
          <t>Total Palm Oil Processing Capacity</t>
        </is>
      </c>
      <c r="F5551" t="n">
        <v>675</v>
      </c>
      <c r="G5551" t="inlineStr">
        <is>
          <t>MT/Ha (tph)</t>
        </is>
      </c>
      <c r="H5551" t="n">
        <v>74</v>
      </c>
      <c r="I5551" t="inlineStr">
        <is>
          <t>Total Kapasitas Pengolahan Kelapa Sawit 675 MT/Ha (tph)</t>
        </is>
      </c>
      <c r="J5551" t="inlineStr">
        <is>
          <t>High</t>
        </is>
      </c>
      <c r="M5551" t="inlineStr">
        <is>
          <t>LLM</t>
        </is>
      </c>
      <c r="N5551" t="inlineStr">
        <is>
          <t>2026-04-19</t>
        </is>
      </c>
      <c r="O5551" t="inlineStr">
        <is>
          <t>AI</t>
        </is>
      </c>
    </row>
    <row r="5552">
      <c r="A5552" t="inlineStr">
        <is>
          <t>PT Sawit Sumbermas Sarana Tbk</t>
        </is>
      </c>
      <c r="B5552" t="inlineStr">
        <is>
          <t>SSMS_2025_AR.pdf</t>
        </is>
      </c>
      <c r="C5552" t="n">
        <v>2025</v>
      </c>
      <c r="D5552" t="inlineStr">
        <is>
          <t>Asset</t>
        </is>
      </c>
      <c r="E5552" t="inlineStr">
        <is>
          <t>Biogas Plants</t>
        </is>
      </c>
      <c r="F5552" t="n">
        <v>2</v>
      </c>
      <c r="G5552" t="inlineStr">
        <is>
          <t>count</t>
        </is>
      </c>
      <c r="H5552" t="n">
        <v>74</v>
      </c>
      <c r="I5552" t="inlineStr">
        <is>
          <t>Pabrik Biogas 2 Unit</t>
        </is>
      </c>
      <c r="J5552" t="inlineStr">
        <is>
          <t>High</t>
        </is>
      </c>
      <c r="M5552" t="inlineStr">
        <is>
          <t>LLM</t>
        </is>
      </c>
      <c r="N5552" t="inlineStr">
        <is>
          <t>2026-04-19</t>
        </is>
      </c>
      <c r="O5552" t="inlineStr">
        <is>
          <t>AI</t>
        </is>
      </c>
    </row>
    <row r="5553">
      <c r="A5553" t="inlineStr">
        <is>
          <t>PT Sawit Sumbermas Sarana Tbk</t>
        </is>
      </c>
      <c r="B5553" t="inlineStr">
        <is>
          <t>SSMS_2025_AR.pdf</t>
        </is>
      </c>
      <c r="C5553" t="n">
        <v>2025</v>
      </c>
      <c r="D5553" t="inlineStr">
        <is>
          <t>Asset</t>
        </is>
      </c>
      <c r="E5553" t="inlineStr">
        <is>
          <t>Bio-CNG Plant</t>
        </is>
      </c>
      <c r="F5553" t="n">
        <v>1</v>
      </c>
      <c r="G5553" t="inlineStr">
        <is>
          <t>count</t>
        </is>
      </c>
      <c r="H5553" t="n">
        <v>74</v>
      </c>
      <c r="I5553" t="inlineStr">
        <is>
          <t>Pabrik Bio-CNG 1 Unit</t>
        </is>
      </c>
      <c r="J5553" t="inlineStr">
        <is>
          <t>High</t>
        </is>
      </c>
      <c r="M5553" t="inlineStr">
        <is>
          <t>LLM</t>
        </is>
      </c>
      <c r="N5553" t="inlineStr">
        <is>
          <t>2026-04-19</t>
        </is>
      </c>
      <c r="O5553" t="inlineStr">
        <is>
          <t>AI</t>
        </is>
      </c>
    </row>
    <row r="5554">
      <c r="A5554" t="inlineStr">
        <is>
          <t>PT Sawit Sumbermas Sarana Tbk</t>
        </is>
      </c>
      <c r="B5554" t="inlineStr">
        <is>
          <t>SSMS_2025_AR.pdf</t>
        </is>
      </c>
      <c r="C5554" t="n">
        <v>2025</v>
      </c>
      <c r="D5554" t="inlineStr">
        <is>
          <t>Asset</t>
        </is>
      </c>
      <c r="E5554" t="inlineStr">
        <is>
          <t>Kernel Crushing Plant</t>
        </is>
      </c>
      <c r="F5554" t="n">
        <v>1</v>
      </c>
      <c r="G5554" t="inlineStr">
        <is>
          <t>count</t>
        </is>
      </c>
      <c r="H5554" t="n">
        <v>74</v>
      </c>
      <c r="I5554" t="inlineStr">
        <is>
          <t>Pabrik Kernel Crushing 1 Unit</t>
        </is>
      </c>
      <c r="J5554" t="inlineStr">
        <is>
          <t>High</t>
        </is>
      </c>
      <c r="M5554" t="inlineStr">
        <is>
          <t>LLM</t>
        </is>
      </c>
      <c r="N5554" t="inlineStr">
        <is>
          <t>2026-04-19</t>
        </is>
      </c>
      <c r="O5554" t="inlineStr">
        <is>
          <t>AI</t>
        </is>
      </c>
    </row>
    <row r="5555">
      <c r="A5555" t="inlineStr">
        <is>
          <t>PT Sawit Sumbermas Sarana Tbk</t>
        </is>
      </c>
      <c r="B5555" t="inlineStr">
        <is>
          <t>SSMS_2025_AR.pdf</t>
        </is>
      </c>
      <c r="C5555" t="n">
        <v>2025</v>
      </c>
      <c r="D5555" t="inlineStr">
        <is>
          <t>Asset</t>
        </is>
      </c>
      <c r="E5555" t="inlineStr">
        <is>
          <t>Refinery Plant</t>
        </is>
      </c>
      <c r="F5555" t="n">
        <v>1</v>
      </c>
      <c r="G5555" t="inlineStr">
        <is>
          <t>count</t>
        </is>
      </c>
      <c r="H5555" t="n">
        <v>74</v>
      </c>
      <c r="I5555" t="inlineStr">
        <is>
          <t>Pabrik Pemurnian 1 Unit</t>
        </is>
      </c>
      <c r="J5555" t="inlineStr">
        <is>
          <t>High</t>
        </is>
      </c>
      <c r="M5555" t="inlineStr">
        <is>
          <t>LLM</t>
        </is>
      </c>
      <c r="N5555" t="inlineStr">
        <is>
          <t>2026-04-19</t>
        </is>
      </c>
      <c r="O5555" t="inlineStr">
        <is>
          <t>AI</t>
        </is>
      </c>
    </row>
    <row r="5556">
      <c r="A5556" t="inlineStr">
        <is>
          <t>PT Sawit Sumbermas Sarana Tbk</t>
        </is>
      </c>
      <c r="B5556" t="inlineStr">
        <is>
          <t>SSMS_2025_AR.pdf</t>
        </is>
      </c>
      <c r="C5556" t="n">
        <v>2025</v>
      </c>
      <c r="D5556" t="inlineStr">
        <is>
          <t>Asset</t>
        </is>
      </c>
      <c r="E5556" t="inlineStr">
        <is>
          <t>Fractionation Plant</t>
        </is>
      </c>
      <c r="F5556" t="n">
        <v>1</v>
      </c>
      <c r="G5556" t="inlineStr">
        <is>
          <t>count</t>
        </is>
      </c>
      <c r="H5556" t="n">
        <v>74</v>
      </c>
      <c r="I5556" t="inlineStr">
        <is>
          <t>Pabrik Fraksinasi 1 Unit</t>
        </is>
      </c>
      <c r="J5556" t="inlineStr">
        <is>
          <t>High</t>
        </is>
      </c>
      <c r="M5556" t="inlineStr">
        <is>
          <t>LLM</t>
        </is>
      </c>
      <c r="N5556" t="inlineStr">
        <is>
          <t>2026-04-19</t>
        </is>
      </c>
      <c r="O5556" t="inlineStr">
        <is>
          <t>AI</t>
        </is>
      </c>
    </row>
    <row r="5557">
      <c r="A5557" t="inlineStr">
        <is>
          <t>PT Sawit Sumbermas Sarana Tbk</t>
        </is>
      </c>
      <c r="B5557" t="inlineStr">
        <is>
          <t>SSMS_2025_AR.pdf</t>
        </is>
      </c>
      <c r="C5557" t="n">
        <v>2025</v>
      </c>
      <c r="D5557" t="inlineStr">
        <is>
          <t>Asset</t>
        </is>
      </c>
      <c r="E5557" t="inlineStr">
        <is>
          <t>Palm Kernel Mills</t>
        </is>
      </c>
      <c r="F5557" t="n">
        <v>2</v>
      </c>
      <c r="G5557" t="inlineStr">
        <is>
          <t>count</t>
        </is>
      </c>
      <c r="H5557" t="n">
        <v>74</v>
      </c>
      <c r="I5557" t="inlineStr">
        <is>
          <t>Pabrik Inti Sawit 2 Unit</t>
        </is>
      </c>
      <c r="J5557" t="inlineStr">
        <is>
          <t>High</t>
        </is>
      </c>
      <c r="M5557" t="inlineStr">
        <is>
          <t>LLM</t>
        </is>
      </c>
      <c r="N5557" t="inlineStr">
        <is>
          <t>2026-04-19</t>
        </is>
      </c>
      <c r="O5557" t="inlineStr">
        <is>
          <t>AI</t>
        </is>
      </c>
    </row>
    <row r="5558">
      <c r="A5558" t="inlineStr">
        <is>
          <t>PT Sawit Sumbermas Sarana Tbk</t>
        </is>
      </c>
      <c r="B5558" t="inlineStr">
        <is>
          <t>SSMS_2025_AR.pdf</t>
        </is>
      </c>
      <c r="C5558" t="n">
        <v>2025</v>
      </c>
      <c r="D5558" t="inlineStr">
        <is>
          <t>Operation</t>
        </is>
      </c>
      <c r="E5558" t="inlineStr">
        <is>
          <t>FFB Nucleus Production</t>
        </is>
      </c>
      <c r="F5558" t="n">
        <v>1628452</v>
      </c>
      <c r="G5558" t="inlineStr">
        <is>
          <t>t</t>
        </is>
      </c>
      <c r="H5558" t="n">
        <v>21</v>
      </c>
      <c r="I5558" t="inlineStr">
        <is>
          <t>Tandan Buah Segar dari perkebunan inti MT 1.628.452 1.562.446 1.723.170</t>
        </is>
      </c>
      <c r="J5558" t="inlineStr">
        <is>
          <t>High</t>
        </is>
      </c>
      <c r="M5558" t="inlineStr">
        <is>
          <t>LLM</t>
        </is>
      </c>
      <c r="N5558" t="inlineStr">
        <is>
          <t>2026-04-19</t>
        </is>
      </c>
      <c r="O5558" t="inlineStr">
        <is>
          <t>AI</t>
        </is>
      </c>
    </row>
    <row r="5559">
      <c r="A5559" t="inlineStr">
        <is>
          <t>PT Sawit Sumbermas Sarana Tbk</t>
        </is>
      </c>
      <c r="B5559" t="inlineStr">
        <is>
          <t>SSMS_2025_AR.pdf</t>
        </is>
      </c>
      <c r="C5559" t="n">
        <v>2025</v>
      </c>
      <c r="D5559" t="inlineStr">
        <is>
          <t>Operation</t>
        </is>
      </c>
      <c r="E5559" t="inlineStr">
        <is>
          <t>FFB Plasma Production</t>
        </is>
      </c>
      <c r="F5559" t="n">
        <v>178559</v>
      </c>
      <c r="G5559" t="inlineStr">
        <is>
          <t>t</t>
        </is>
      </c>
      <c r="H5559" t="n">
        <v>21</v>
      </c>
      <c r="I5559" t="inlineStr">
        <is>
          <t>Tandan Buah Segar dari perkebunan plasma MT 178.559 134.421 94.226</t>
        </is>
      </c>
      <c r="J5559" t="inlineStr">
        <is>
          <t>High</t>
        </is>
      </c>
      <c r="M5559" t="inlineStr">
        <is>
          <t>LLM</t>
        </is>
      </c>
      <c r="N5559" t="inlineStr">
        <is>
          <t>2026-04-19</t>
        </is>
      </c>
      <c r="O5559" t="inlineStr">
        <is>
          <t>AI</t>
        </is>
      </c>
    </row>
    <row r="5560">
      <c r="A5560" t="inlineStr">
        <is>
          <t>PT Sawit Sumbermas Sarana Tbk</t>
        </is>
      </c>
      <c r="B5560" t="inlineStr">
        <is>
          <t>SSMS_2025_AR.pdf</t>
        </is>
      </c>
      <c r="C5560" t="n">
        <v>2025</v>
      </c>
      <c r="D5560" t="inlineStr">
        <is>
          <t>Operation</t>
        </is>
      </c>
      <c r="E5560" t="inlineStr">
        <is>
          <t>FFB Third-Party</t>
        </is>
      </c>
      <c r="F5560" t="n">
        <v>596153</v>
      </c>
      <c r="G5560" t="inlineStr">
        <is>
          <t>t</t>
        </is>
      </c>
      <c r="H5560" t="n">
        <v>21</v>
      </c>
      <c r="I5560" t="inlineStr">
        <is>
          <t>Tandan Buah Segar dari pihak ketiga MT 596.153 488.647 571.063</t>
        </is>
      </c>
      <c r="J5560" t="inlineStr">
        <is>
          <t>High</t>
        </is>
      </c>
      <c r="M5560" t="inlineStr">
        <is>
          <t>LLM</t>
        </is>
      </c>
      <c r="N5560" t="inlineStr">
        <is>
          <t>2026-04-19</t>
        </is>
      </c>
      <c r="O5560" t="inlineStr">
        <is>
          <t>AI</t>
        </is>
      </c>
    </row>
    <row r="5561">
      <c r="A5561" t="inlineStr">
        <is>
          <t>PT Sawit Sumbermas Sarana Tbk</t>
        </is>
      </c>
      <c r="B5561" t="inlineStr">
        <is>
          <t>SSMS_2025_AR.pdf</t>
        </is>
      </c>
      <c r="C5561" t="n">
        <v>2025</v>
      </c>
      <c r="D5561" t="inlineStr">
        <is>
          <t>Operation</t>
        </is>
      </c>
      <c r="E5561" t="inlineStr">
        <is>
          <t>FFB Production Total</t>
        </is>
      </c>
      <c r="F5561" t="n">
        <v>2403164</v>
      </c>
      <c r="G5561" t="inlineStr">
        <is>
          <t>t</t>
        </is>
      </c>
      <c r="H5561" t="n">
        <v>21</v>
      </c>
      <c r="I5561" t="inlineStr">
        <is>
          <t>Total Tandan Buah Segar MT 2.403.164 2.185.514 2.388.459</t>
        </is>
      </c>
      <c r="J5561" t="inlineStr">
        <is>
          <t>High</t>
        </is>
      </c>
      <c r="M5561" t="inlineStr">
        <is>
          <t>LLM</t>
        </is>
      </c>
      <c r="N5561" t="inlineStr">
        <is>
          <t>2026-04-19</t>
        </is>
      </c>
      <c r="O5561" t="inlineStr">
        <is>
          <t>AI</t>
        </is>
      </c>
    </row>
    <row r="5562">
      <c r="A5562" t="inlineStr">
        <is>
          <t>PT Sawit Sumbermas Sarana Tbk</t>
        </is>
      </c>
      <c r="B5562" t="inlineStr">
        <is>
          <t>SSMS_2025_AR.pdf</t>
        </is>
      </c>
      <c r="C5562" t="n">
        <v>2025</v>
      </c>
      <c r="D5562" t="inlineStr">
        <is>
          <t>Operation</t>
        </is>
      </c>
      <c r="E5562" t="inlineStr">
        <is>
          <t>FFB Processed Total</t>
        </is>
      </c>
      <c r="F5562" t="n">
        <v>2382942</v>
      </c>
      <c r="G5562" t="inlineStr">
        <is>
          <t>t</t>
        </is>
      </c>
      <c r="H5562" t="n">
        <v>21</v>
      </c>
      <c r="I5562" t="inlineStr">
        <is>
          <t>TBS yang Diolah di Pabrik MT 2.382.942</t>
        </is>
      </c>
      <c r="J5562" t="inlineStr">
        <is>
          <t>High</t>
        </is>
      </c>
      <c r="M5562" t="inlineStr">
        <is>
          <t>LLM</t>
        </is>
      </c>
      <c r="N5562" t="inlineStr">
        <is>
          <t>2026-04-19</t>
        </is>
      </c>
      <c r="O5562" t="inlineStr">
        <is>
          <t>AI</t>
        </is>
      </c>
    </row>
    <row r="5563">
      <c r="A5563" t="inlineStr">
        <is>
          <t>PT Sawit Sumbermas Sarana Tbk</t>
        </is>
      </c>
      <c r="B5563" t="inlineStr">
        <is>
          <t>SSMS_2025_AR.pdf</t>
        </is>
      </c>
      <c r="C5563" t="n">
        <v>2025</v>
      </c>
      <c r="D5563" t="inlineStr">
        <is>
          <t>Operation</t>
        </is>
      </c>
      <c r="E5563" t="inlineStr">
        <is>
          <t>CPO Production</t>
        </is>
      </c>
      <c r="F5563" t="n">
        <v>527052</v>
      </c>
      <c r="G5563" t="inlineStr">
        <is>
          <t>t</t>
        </is>
      </c>
      <c r="H5563" t="n">
        <v>21</v>
      </c>
      <c r="I5563" t="inlineStr">
        <is>
          <t>Minyak Kelapa Sawit MT 527.052 461.414 518.819</t>
        </is>
      </c>
      <c r="J5563" t="inlineStr">
        <is>
          <t>High</t>
        </is>
      </c>
      <c r="M5563" t="inlineStr">
        <is>
          <t>LLM</t>
        </is>
      </c>
      <c r="N5563" t="inlineStr">
        <is>
          <t>2026-04-19</t>
        </is>
      </c>
      <c r="O5563" t="inlineStr">
        <is>
          <t>AI</t>
        </is>
      </c>
    </row>
    <row r="5564">
      <c r="A5564" t="inlineStr">
        <is>
          <t>PT Sawit Sumbermas Sarana Tbk</t>
        </is>
      </c>
      <c r="B5564" t="inlineStr">
        <is>
          <t>SSMS_2025_AR.pdf</t>
        </is>
      </c>
      <c r="C5564" t="n">
        <v>2025</v>
      </c>
      <c r="D5564" t="inlineStr">
        <is>
          <t>Operation</t>
        </is>
      </c>
      <c r="E5564" t="inlineStr">
        <is>
          <t>Palm Kernel Production</t>
        </is>
      </c>
      <c r="F5564" t="n">
        <v>104130</v>
      </c>
      <c r="G5564" t="inlineStr">
        <is>
          <t>t</t>
        </is>
      </c>
      <c r="H5564" t="n">
        <v>21</v>
      </c>
      <c r="I5564" t="inlineStr">
        <is>
          <t>Inti Sawit MT 104.130 89.833 99.082</t>
        </is>
      </c>
      <c r="J5564" t="inlineStr">
        <is>
          <t>High</t>
        </is>
      </c>
      <c r="M5564" t="inlineStr">
        <is>
          <t>LLM</t>
        </is>
      </c>
      <c r="N5564" t="inlineStr">
        <is>
          <t>2026-04-19</t>
        </is>
      </c>
      <c r="O5564" t="inlineStr">
        <is>
          <t>AI</t>
        </is>
      </c>
    </row>
    <row r="5565">
      <c r="A5565" t="inlineStr">
        <is>
          <t>PT Sawit Sumbermas Sarana Tbk</t>
        </is>
      </c>
      <c r="B5565" t="inlineStr">
        <is>
          <t>SSMS_2025_AR.pdf</t>
        </is>
      </c>
      <c r="C5565" t="n">
        <v>2025</v>
      </c>
      <c r="D5565" t="inlineStr">
        <is>
          <t>Operation</t>
        </is>
      </c>
      <c r="E5565" t="inlineStr">
        <is>
          <t>PKO Production</t>
        </is>
      </c>
      <c r="F5565" t="n">
        <v>15379</v>
      </c>
      <c r="G5565" t="inlineStr">
        <is>
          <t>t</t>
        </is>
      </c>
      <c r="H5565" t="n">
        <v>21</v>
      </c>
      <c r="I5565" t="inlineStr">
        <is>
          <t>Minyak Inti Sawit MT 15.379 20.388 22.372</t>
        </is>
      </c>
      <c r="J5565" t="inlineStr">
        <is>
          <t>High</t>
        </is>
      </c>
      <c r="M5565" t="inlineStr">
        <is>
          <t>LLM</t>
        </is>
      </c>
      <c r="N5565" t="inlineStr">
        <is>
          <t>2026-04-19</t>
        </is>
      </c>
      <c r="O5565" t="inlineStr">
        <is>
          <t>AI</t>
        </is>
      </c>
    </row>
    <row r="5566">
      <c r="A5566" t="inlineStr">
        <is>
          <t>PT Sawit Sumbermas Sarana Tbk</t>
        </is>
      </c>
      <c r="B5566" t="inlineStr">
        <is>
          <t>SSMS_2025_AR.pdf</t>
        </is>
      </c>
      <c r="C5566" t="n">
        <v>2025</v>
      </c>
      <c r="D5566" t="inlineStr">
        <is>
          <t>Operation</t>
        </is>
      </c>
      <c r="E5566" t="inlineStr">
        <is>
          <t>RBDPO Production</t>
        </is>
      </c>
      <c r="F5566" t="n">
        <v>569213</v>
      </c>
      <c r="G5566" t="inlineStr">
        <is>
          <t>t</t>
        </is>
      </c>
      <c r="H5566" t="n">
        <v>21</v>
      </c>
      <c r="I5566" t="inlineStr">
        <is>
          <t>RBDPO MT 569.213</t>
        </is>
      </c>
      <c r="J5566" t="inlineStr">
        <is>
          <t>High</t>
        </is>
      </c>
      <c r="M5566" t="inlineStr">
        <is>
          <t>LLM</t>
        </is>
      </c>
      <c r="N5566" t="inlineStr">
        <is>
          <t>2026-04-19</t>
        </is>
      </c>
      <c r="O5566" t="inlineStr">
        <is>
          <t>AI</t>
        </is>
      </c>
    </row>
    <row r="5567">
      <c r="A5567" t="inlineStr">
        <is>
          <t>PT Sawit Sumbermas Sarana Tbk</t>
        </is>
      </c>
      <c r="B5567" t="inlineStr">
        <is>
          <t>SSMS_2025_AR.pdf</t>
        </is>
      </c>
      <c r="C5567" t="n">
        <v>2025</v>
      </c>
      <c r="D5567" t="inlineStr">
        <is>
          <t>Operation</t>
        </is>
      </c>
      <c r="E5567" t="inlineStr">
        <is>
          <t>RBDP Olein Production</t>
        </is>
      </c>
      <c r="F5567" t="n">
        <v>467934</v>
      </c>
      <c r="G5567" t="inlineStr">
        <is>
          <t>t</t>
        </is>
      </c>
      <c r="H5567" t="n">
        <v>21</v>
      </c>
      <c r="I5567" t="inlineStr">
        <is>
          <t>RBDP Olein MT 467.934</t>
        </is>
      </c>
      <c r="J5567" t="inlineStr">
        <is>
          <t>High</t>
        </is>
      </c>
      <c r="M5567" t="inlineStr">
        <is>
          <t>LLM</t>
        </is>
      </c>
      <c r="N5567" t="inlineStr">
        <is>
          <t>2026-04-19</t>
        </is>
      </c>
      <c r="O5567" t="inlineStr">
        <is>
          <t>AI</t>
        </is>
      </c>
    </row>
    <row r="5568">
      <c r="A5568" t="inlineStr">
        <is>
          <t>PT Sawit Sumbermas Sarana Tbk</t>
        </is>
      </c>
      <c r="B5568" t="inlineStr">
        <is>
          <t>SSMS_2025_AR.pdf</t>
        </is>
      </c>
      <c r="C5568" t="n">
        <v>2025</v>
      </c>
      <c r="D5568" t="inlineStr">
        <is>
          <t>Operation</t>
        </is>
      </c>
      <c r="E5568" t="inlineStr">
        <is>
          <t>RBDPS (Stearin) Production</t>
        </is>
      </c>
      <c r="F5568" t="n">
        <v>101221</v>
      </c>
      <c r="G5568" t="inlineStr">
        <is>
          <t>t</t>
        </is>
      </c>
      <c r="H5568" t="n">
        <v>21</v>
      </c>
      <c r="I5568" t="inlineStr">
        <is>
          <t>RBDPS MT 101.221</t>
        </is>
      </c>
      <c r="J5568" t="inlineStr">
        <is>
          <t>High</t>
        </is>
      </c>
      <c r="M5568" t="inlineStr">
        <is>
          <t>LLM</t>
        </is>
      </c>
      <c r="N5568" t="inlineStr">
        <is>
          <t>2026-04-19</t>
        </is>
      </c>
      <c r="O5568" t="inlineStr">
        <is>
          <t>AI</t>
        </is>
      </c>
    </row>
    <row r="5569">
      <c r="A5569" t="inlineStr">
        <is>
          <t>PT Sawit Sumbermas Sarana Tbk</t>
        </is>
      </c>
      <c r="B5569" t="inlineStr">
        <is>
          <t>SSMS_2025_AR.pdf</t>
        </is>
      </c>
      <c r="C5569" t="n">
        <v>2025</v>
      </c>
      <c r="D5569" t="inlineStr">
        <is>
          <t>Operation</t>
        </is>
      </c>
      <c r="E5569" t="inlineStr">
        <is>
          <t>PFAD Production</t>
        </is>
      </c>
      <c r="F5569" t="n">
        <v>21913</v>
      </c>
      <c r="G5569" t="inlineStr">
        <is>
          <t>t</t>
        </is>
      </c>
      <c r="H5569" t="n">
        <v>21</v>
      </c>
      <c r="I5569" t="inlineStr">
        <is>
          <t>PFAD MT 21.913</t>
        </is>
      </c>
      <c r="J5569" t="inlineStr">
        <is>
          <t>High</t>
        </is>
      </c>
      <c r="M5569" t="inlineStr">
        <is>
          <t>LLM</t>
        </is>
      </c>
      <c r="N5569" t="inlineStr">
        <is>
          <t>2026-04-19</t>
        </is>
      </c>
      <c r="O5569" t="inlineStr">
        <is>
          <t>AI</t>
        </is>
      </c>
    </row>
    <row r="5570">
      <c r="A5570" t="inlineStr">
        <is>
          <t>PT Sawit Sumbermas Sarana Tbk</t>
        </is>
      </c>
      <c r="B5570" t="inlineStr">
        <is>
          <t>SSMS_2025_AR.pdf</t>
        </is>
      </c>
      <c r="C5570" t="n">
        <v>2025</v>
      </c>
      <c r="D5570" t="inlineStr">
        <is>
          <t>Operation</t>
        </is>
      </c>
      <c r="E5570" t="inlineStr">
        <is>
          <t>PKE Production</t>
        </is>
      </c>
      <c r="F5570" t="n">
        <v>37506</v>
      </c>
      <c r="G5570" t="inlineStr">
        <is>
          <t>t</t>
        </is>
      </c>
      <c r="H5570" t="n">
        <v>21</v>
      </c>
      <c r="I5570" t="inlineStr">
        <is>
          <t>PKE MT 37.506</t>
        </is>
      </c>
      <c r="J5570" t="inlineStr">
        <is>
          <t>High</t>
        </is>
      </c>
      <c r="M5570" t="inlineStr">
        <is>
          <t>LLM</t>
        </is>
      </c>
      <c r="N5570" t="inlineStr">
        <is>
          <t>2026-04-19</t>
        </is>
      </c>
      <c r="O5570" t="inlineStr">
        <is>
          <t>AI</t>
        </is>
      </c>
    </row>
    <row r="5571">
      <c r="A5571" t="inlineStr">
        <is>
          <t>PT Sawit Sumbermas Sarana Tbk</t>
        </is>
      </c>
      <c r="B5571" t="inlineStr">
        <is>
          <t>SSMS_2025_AR.pdf</t>
        </is>
      </c>
      <c r="C5571" t="n">
        <v>2025</v>
      </c>
      <c r="D5571" t="inlineStr">
        <is>
          <t>Operation</t>
        </is>
      </c>
      <c r="E5571" t="inlineStr">
        <is>
          <t>Total Edible Oil Segment Production</t>
        </is>
      </c>
      <c r="F5571" t="n">
        <v>1231329</v>
      </c>
      <c r="G5571" t="inlineStr">
        <is>
          <t>t</t>
        </is>
      </c>
      <c r="H5571" t="n">
        <v>21</v>
      </c>
      <c r="I5571" t="inlineStr">
        <is>
          <t>Total Produksi Segmen Minyak Nabati MT 1.231.329</t>
        </is>
      </c>
      <c r="J5571" t="inlineStr">
        <is>
          <t>High</t>
        </is>
      </c>
      <c r="M5571" t="inlineStr">
        <is>
          <t>LLM</t>
        </is>
      </c>
      <c r="N5571" t="inlineStr">
        <is>
          <t>2026-04-19</t>
        </is>
      </c>
      <c r="O5571" t="inlineStr">
        <is>
          <t>AI</t>
        </is>
      </c>
    </row>
    <row r="5572">
      <c r="A5572" t="inlineStr">
        <is>
          <t>PT Sawit Sumbermas Sarana Tbk</t>
        </is>
      </c>
      <c r="B5572" t="inlineStr">
        <is>
          <t>SSMS_2025_AR.pdf</t>
        </is>
      </c>
      <c r="C5572" t="n">
        <v>2025</v>
      </c>
      <c r="D5572" t="inlineStr">
        <is>
          <t>Operation</t>
        </is>
      </c>
      <c r="E5572" t="inlineStr">
        <is>
          <t>CPKO Production</t>
        </is>
      </c>
      <c r="F5572" t="n">
        <v>28997</v>
      </c>
      <c r="G5572" t="inlineStr">
        <is>
          <t>t</t>
        </is>
      </c>
      <c r="H5572" t="n">
        <v>21</v>
      </c>
      <c r="I5572" t="inlineStr">
        <is>
          <t>Minyak Inti Sawit (Crude Palm Kernel Oil) MT 28.997</t>
        </is>
      </c>
      <c r="J5572" t="inlineStr">
        <is>
          <t>High</t>
        </is>
      </c>
      <c r="M5572" t="inlineStr">
        <is>
          <t>LLM</t>
        </is>
      </c>
      <c r="N5572" t="inlineStr">
        <is>
          <t>2026-04-19</t>
        </is>
      </c>
      <c r="O5572" t="inlineStr">
        <is>
          <t>AI</t>
        </is>
      </c>
    </row>
    <row r="5573">
      <c r="A5573" t="inlineStr">
        <is>
          <t>PT Sawit Sumbermas Sarana Tbk</t>
        </is>
      </c>
      <c r="B5573" t="inlineStr">
        <is>
          <t>SSMS_2025_AR.pdf</t>
        </is>
      </c>
      <c r="C5573" t="n">
        <v>2025</v>
      </c>
      <c r="D5573" t="inlineStr">
        <is>
          <t>Operation</t>
        </is>
      </c>
      <c r="E5573" t="inlineStr">
        <is>
          <t>Total Sales Volume</t>
        </is>
      </c>
      <c r="F5573" t="n">
        <v>929187</v>
      </c>
      <c r="G5573" t="inlineStr">
        <is>
          <t>t</t>
        </is>
      </c>
      <c r="H5573" t="n">
        <v>22</v>
      </c>
      <c r="I5573" t="inlineStr">
        <is>
          <t>Total Penjualan MT 929.187 (Plantation+Edible Oil = 63,032+866,155)</t>
        </is>
      </c>
      <c r="J5573" t="inlineStr">
        <is>
          <t>High</t>
        </is>
      </c>
      <c r="M5573" t="inlineStr">
        <is>
          <t>LLM</t>
        </is>
      </c>
      <c r="N5573" t="inlineStr">
        <is>
          <t>2026-04-19</t>
        </is>
      </c>
      <c r="O5573" t="inlineStr">
        <is>
          <t>AI</t>
        </is>
      </c>
    </row>
    <row r="5574">
      <c r="A5574" t="inlineStr">
        <is>
          <t>PT Sawit Sumbermas Sarana Tbk</t>
        </is>
      </c>
      <c r="B5574" t="inlineStr">
        <is>
          <t>SSMS_2025_AR.pdf</t>
        </is>
      </c>
      <c r="C5574" t="n">
        <v>2025</v>
      </c>
      <c r="D5574" t="inlineStr">
        <is>
          <t>Operation</t>
        </is>
      </c>
      <c r="E5574" t="inlineStr">
        <is>
          <t>OER (Oil Extraction Rate)</t>
        </is>
      </c>
      <c r="F5574" t="n">
        <v>0.2212</v>
      </c>
      <c r="G5574" t="inlineStr">
        <is>
          <t>%</t>
        </is>
      </c>
      <c r="H5574" t="n">
        <v>131</v>
      </c>
      <c r="I5574" t="inlineStr">
        <is>
          <t>Oil Extraction Rate (OER) of 22.12%</t>
        </is>
      </c>
      <c r="J5574" t="inlineStr">
        <is>
          <t>High</t>
        </is>
      </c>
      <c r="M5574" t="inlineStr">
        <is>
          <t>LLM</t>
        </is>
      </c>
      <c r="N5574" t="inlineStr">
        <is>
          <t>2026-04-19</t>
        </is>
      </c>
      <c r="O5574" t="inlineStr">
        <is>
          <t>AI</t>
        </is>
      </c>
    </row>
    <row r="5575">
      <c r="A5575" t="inlineStr">
        <is>
          <t>PT Sawit Sumbermas Sarana Tbk</t>
        </is>
      </c>
      <c r="B5575" t="inlineStr">
        <is>
          <t>SSMS_2025_AR.pdf</t>
        </is>
      </c>
      <c r="C5575" t="n">
        <v>2025</v>
      </c>
      <c r="D5575" t="inlineStr">
        <is>
          <t>Operation</t>
        </is>
      </c>
      <c r="E5575" t="inlineStr">
        <is>
          <t>Refinery Utilization</t>
        </is>
      </c>
      <c r="F5575" t="n">
        <v>0.7102000000000001</v>
      </c>
      <c r="G5575" t="inlineStr">
        <is>
          <t>%</t>
        </is>
      </c>
      <c r="H5575" t="n">
        <v>133</v>
      </c>
      <c r="I5575" t="inlineStr">
        <is>
          <t>Utilisasi 71,02% (refinery)</t>
        </is>
      </c>
      <c r="J5575" t="inlineStr">
        <is>
          <t>High</t>
        </is>
      </c>
      <c r="M5575" t="inlineStr">
        <is>
          <t>LLM</t>
        </is>
      </c>
      <c r="N5575" t="inlineStr">
        <is>
          <t>2026-04-19</t>
        </is>
      </c>
      <c r="O5575" t="inlineStr">
        <is>
          <t>AI</t>
        </is>
      </c>
    </row>
    <row r="5576">
      <c r="A5576" t="inlineStr">
        <is>
          <t>PT Sawit Sumbermas Sarana Tbk</t>
        </is>
      </c>
      <c r="B5576" t="inlineStr">
        <is>
          <t>SSMS_2025_AR.pdf</t>
        </is>
      </c>
      <c r="C5576" t="n">
        <v>2025</v>
      </c>
      <c r="D5576" t="inlineStr">
        <is>
          <t>Operation</t>
        </is>
      </c>
      <c r="E5576" t="inlineStr">
        <is>
          <t>Fractionation Utilization</t>
        </is>
      </c>
      <c r="F5576" t="n">
        <v>0.6697</v>
      </c>
      <c r="G5576" t="inlineStr">
        <is>
          <t>%</t>
        </is>
      </c>
      <c r="H5576" t="n">
        <v>133</v>
      </c>
      <c r="I5576" t="inlineStr">
        <is>
          <t>Utilisasi 66,97% (fractionation)</t>
        </is>
      </c>
      <c r="J5576" t="inlineStr">
        <is>
          <t>High</t>
        </is>
      </c>
      <c r="M5576" t="inlineStr">
        <is>
          <t>LLM</t>
        </is>
      </c>
      <c r="N5576" t="inlineStr">
        <is>
          <t>2026-04-19</t>
        </is>
      </c>
      <c r="O5576" t="inlineStr">
        <is>
          <t>AI</t>
        </is>
      </c>
    </row>
    <row r="5577">
      <c r="A5577" t="inlineStr">
        <is>
          <t>PT Sawit Sumbermas Sarana Tbk</t>
        </is>
      </c>
      <c r="B5577" t="inlineStr">
        <is>
          <t>SSMS_2025_AR.pdf</t>
        </is>
      </c>
      <c r="C5577" t="n">
        <v>2025</v>
      </c>
      <c r="D5577" t="inlineStr">
        <is>
          <t>Operation</t>
        </is>
      </c>
      <c r="E5577" t="inlineStr">
        <is>
          <t>KCP Utilization</t>
        </is>
      </c>
      <c r="F5577" t="n">
        <v>0.5066000000000001</v>
      </c>
      <c r="G5577" t="inlineStr">
        <is>
          <t>%</t>
        </is>
      </c>
      <c r="H5577" t="n">
        <v>133</v>
      </c>
      <c r="I5577" t="inlineStr">
        <is>
          <t>Utilisasi 50,66% (kernel crushing)</t>
        </is>
      </c>
      <c r="J5577" t="inlineStr">
        <is>
          <t>High</t>
        </is>
      </c>
      <c r="M5577" t="inlineStr">
        <is>
          <t>LLM</t>
        </is>
      </c>
      <c r="N5577" t="inlineStr">
        <is>
          <t>2026-04-19</t>
        </is>
      </c>
      <c r="O5577" t="inlineStr">
        <is>
          <t>AI</t>
        </is>
      </c>
    </row>
    <row r="5578">
      <c r="A5578" t="inlineStr">
        <is>
          <t>PT Sawit Sumbermas Sarana Tbk</t>
        </is>
      </c>
      <c r="B5578" t="inlineStr">
        <is>
          <t>SSMS_2025_AR.pdf</t>
        </is>
      </c>
      <c r="C5578" t="n">
        <v>2025</v>
      </c>
      <c r="D5578" t="inlineStr">
        <is>
          <t>Operation</t>
        </is>
      </c>
      <c r="E5578" t="inlineStr">
        <is>
          <t>Fat Content in FFB</t>
        </is>
      </c>
      <c r="F5578" t="n">
        <v>4.86</v>
      </c>
      <c r="G5578" t="inlineStr">
        <is>
          <t>Ton/Ha</t>
        </is>
      </c>
      <c r="H5578" t="n">
        <v>74</v>
      </c>
      <c r="I5578" t="inlineStr">
        <is>
          <t>Potensi Minyak dalam TBS 4,86 Ton/Ha</t>
        </is>
      </c>
      <c r="J5578" t="inlineStr">
        <is>
          <t>High</t>
        </is>
      </c>
      <c r="M5578" t="inlineStr">
        <is>
          <t>LLM</t>
        </is>
      </c>
      <c r="N5578" t="inlineStr">
        <is>
          <t>2026-04-19</t>
        </is>
      </c>
      <c r="O5578" t="inlineStr">
        <is>
          <t>AI</t>
        </is>
      </c>
    </row>
    <row r="5579">
      <c r="A5579" t="inlineStr">
        <is>
          <t>PT Sawit Sumbermas Sarana Tbk</t>
        </is>
      </c>
      <c r="B5579" t="inlineStr">
        <is>
          <t>SSMS_2025_AR.pdf</t>
        </is>
      </c>
      <c r="C5579" t="n">
        <v>2025</v>
      </c>
      <c r="D5579" t="inlineStr">
        <is>
          <t>Operation</t>
        </is>
      </c>
      <c r="E5579" t="inlineStr">
        <is>
          <t>Plantation Segment Revenue</t>
        </is>
      </c>
      <c r="F5579" t="n">
        <v>842</v>
      </c>
      <c r="G5579" t="inlineStr">
        <is>
          <t>IDR bn</t>
        </is>
      </c>
      <c r="H5579" t="n">
        <v>131</v>
      </c>
      <c r="I5579" t="inlineStr">
        <is>
          <t>segmen perkebunan berhasil mencatatkan pendapatan sebesar Rp842 miliar</t>
        </is>
      </c>
      <c r="J5579" t="inlineStr">
        <is>
          <t>High</t>
        </is>
      </c>
      <c r="M5579" t="inlineStr">
        <is>
          <t>LLM</t>
        </is>
      </c>
      <c r="N5579" t="inlineStr">
        <is>
          <t>2026-04-19</t>
        </is>
      </c>
      <c r="O5579" t="inlineStr">
        <is>
          <t>AI</t>
        </is>
      </c>
    </row>
    <row r="5580">
      <c r="A5580" t="inlineStr">
        <is>
          <t>PT Sawit Sumbermas Sarana Tbk</t>
        </is>
      </c>
      <c r="B5580" t="inlineStr">
        <is>
          <t>SSMS_2025_AR.pdf</t>
        </is>
      </c>
      <c r="C5580" t="n">
        <v>2025</v>
      </c>
      <c r="D5580" t="inlineStr">
        <is>
          <t>Operation</t>
        </is>
      </c>
      <c r="E5580" t="inlineStr">
        <is>
          <t>Plantation Segment Revenue Share</t>
        </is>
      </c>
      <c r="F5580" t="n">
        <v>0.0568</v>
      </c>
      <c r="G5580" t="inlineStr">
        <is>
          <t>%</t>
        </is>
      </c>
      <c r="H5580" t="n">
        <v>132</v>
      </c>
      <c r="I5580" t="inlineStr">
        <is>
          <t>segmen perkebunan berkontribusi sebesar 5,68%</t>
        </is>
      </c>
      <c r="J5580" t="inlineStr">
        <is>
          <t>High</t>
        </is>
      </c>
      <c r="M5580" t="inlineStr">
        <is>
          <t>LLM</t>
        </is>
      </c>
      <c r="N5580" t="inlineStr">
        <is>
          <t>2026-04-19</t>
        </is>
      </c>
      <c r="O5580" t="inlineStr">
        <is>
          <t>AI</t>
        </is>
      </c>
    </row>
    <row r="5581">
      <c r="A5581" t="inlineStr">
        <is>
          <t>PT Sawit Sumbermas Sarana Tbk</t>
        </is>
      </c>
      <c r="B5581" t="inlineStr">
        <is>
          <t>SSMS_2025_AR.pdf</t>
        </is>
      </c>
      <c r="C5581" t="n">
        <v>2025</v>
      </c>
      <c r="D5581" t="inlineStr">
        <is>
          <t>Operation</t>
        </is>
      </c>
      <c r="E5581" t="inlineStr">
        <is>
          <t>Edible Oil Segment Revenue</t>
        </is>
      </c>
      <c r="F5581" t="n">
        <v>13971</v>
      </c>
      <c r="G5581" t="inlineStr">
        <is>
          <t>IDR bn</t>
        </is>
      </c>
      <c r="H5581" t="n">
        <v>23</v>
      </c>
      <c r="I5581" t="inlineStr">
        <is>
          <t>Total Penjualan Rp-Miliar 13.971 9.766 10.319 (Segmen Minyak Nabati)</t>
        </is>
      </c>
      <c r="J5581" t="inlineStr">
        <is>
          <t>High</t>
        </is>
      </c>
      <c r="M5581" t="inlineStr">
        <is>
          <t>LLM</t>
        </is>
      </c>
      <c r="N5581" t="inlineStr">
        <is>
          <t>2026-04-19</t>
        </is>
      </c>
      <c r="O5581" t="inlineStr">
        <is>
          <t>AI</t>
        </is>
      </c>
    </row>
    <row r="5582">
      <c r="A5582" t="inlineStr">
        <is>
          <t>PT Sawit Sumbermas Sarana Tbk</t>
        </is>
      </c>
      <c r="B5582" t="inlineStr">
        <is>
          <t>SSMS_2025_AR.pdf</t>
        </is>
      </c>
      <c r="C5582" t="n">
        <v>2025</v>
      </c>
      <c r="D5582" t="inlineStr">
        <is>
          <t>ESG</t>
        </is>
      </c>
      <c r="E5582" t="inlineStr">
        <is>
          <t>ISPO Certified Nucleus</t>
        </is>
      </c>
      <c r="F5582" t="n">
        <v>45734</v>
      </c>
      <c r="G5582" t="inlineStr">
        <is>
          <t>ha</t>
        </is>
      </c>
      <c r="H5582" t="n">
        <v>74</v>
      </c>
      <c r="I5582" t="inlineStr">
        <is>
          <t>ISPO Certified Nucleus Estate 45.733,85 Hektare</t>
        </is>
      </c>
      <c r="J5582" t="inlineStr">
        <is>
          <t>High</t>
        </is>
      </c>
      <c r="M5582" t="inlineStr">
        <is>
          <t>LLM</t>
        </is>
      </c>
      <c r="N5582" t="inlineStr">
        <is>
          <t>2026-04-19</t>
        </is>
      </c>
      <c r="O5582" t="inlineStr">
        <is>
          <t>AI</t>
        </is>
      </c>
    </row>
    <row r="5583">
      <c r="A5583" t="inlineStr">
        <is>
          <t>PT Sawit Sumbermas Sarana Tbk</t>
        </is>
      </c>
      <c r="B5583" t="inlineStr">
        <is>
          <t>SSMS_2025_AR.pdf</t>
        </is>
      </c>
      <c r="C5583" t="n">
        <v>2025</v>
      </c>
      <c r="D5583" t="inlineStr">
        <is>
          <t>ESG</t>
        </is>
      </c>
      <c r="E5583" t="inlineStr">
        <is>
          <t>RSPO Certified Nucleus</t>
        </is>
      </c>
      <c r="F5583" t="n">
        <v>51814</v>
      </c>
      <c r="G5583" t="inlineStr">
        <is>
          <t>ha</t>
        </is>
      </c>
      <c r="H5583" t="n">
        <v>74</v>
      </c>
      <c r="I5583" t="inlineStr">
        <is>
          <t>Perkebunan Inti Bersertifikat RSPO 51.813,84 Hektare</t>
        </is>
      </c>
      <c r="J5583" t="inlineStr">
        <is>
          <t>High</t>
        </is>
      </c>
      <c r="M5583" t="inlineStr">
        <is>
          <t>LLM</t>
        </is>
      </c>
      <c r="N5583" t="inlineStr">
        <is>
          <t>2026-04-19</t>
        </is>
      </c>
      <c r="O5583" t="inlineStr">
        <is>
          <t>AI</t>
        </is>
      </c>
    </row>
    <row r="5584">
      <c r="A5584" t="inlineStr">
        <is>
          <t>PT Sawit Sumbermas Sarana Tbk</t>
        </is>
      </c>
      <c r="B5584" t="inlineStr">
        <is>
          <t>SSMS_2025_AR.pdf</t>
        </is>
      </c>
      <c r="C5584" t="n">
        <v>2025</v>
      </c>
      <c r="D5584" t="inlineStr">
        <is>
          <t>Other</t>
        </is>
      </c>
      <c r="E5584" t="inlineStr">
        <is>
          <t>SML Acquisition</t>
        </is>
      </c>
      <c r="F5584" t="inlineStr">
        <is>
          <t>Completed 2025</t>
        </is>
      </c>
      <c r="G5584" t="inlineStr">
        <is>
          <t>text</t>
        </is>
      </c>
      <c r="I5584" t="inlineStr">
        <is>
          <t>Perseroan menyelesaikan akuisisi PT Sawit Mandiri Lestari (SML) yang memiliki potensi high productivity dan a relatively young tree age profile</t>
        </is>
      </c>
      <c r="J5584" t="inlineStr">
        <is>
          <t>High</t>
        </is>
      </c>
      <c r="M5584" t="inlineStr">
        <is>
          <t>LLM</t>
        </is>
      </c>
      <c r="N5584" t="inlineStr">
        <is>
          <t>2026-04-19</t>
        </is>
      </c>
      <c r="O5584" t="inlineStr">
        <is>
          <t>AI</t>
        </is>
      </c>
    </row>
    <row r="5585">
      <c r="A5585" t="inlineStr">
        <is>
          <t>PT Sawit Sumbermas Sarana Tbk</t>
        </is>
      </c>
      <c r="B5585" t="inlineStr">
        <is>
          <t>SSMS_2025_AR.pdf</t>
        </is>
      </c>
      <c r="C5585" t="n">
        <v>2025</v>
      </c>
      <c r="D5585" t="inlineStr">
        <is>
          <t>Other</t>
        </is>
      </c>
      <c r="E5585" t="inlineStr">
        <is>
          <t>Trading Suspension 2025</t>
        </is>
      </c>
      <c r="F5585" t="inlineStr">
        <is>
          <t>2025-02-04</t>
        </is>
      </c>
      <c r="G5585" t="inlineStr">
        <is>
          <t>date</t>
        </is>
      </c>
      <c r="H5585" t="n">
        <v>25</v>
      </c>
      <c r="I5585" t="inlineStr">
        <is>
          <t>Pada tanggal 4 Februari 2025, PT Bursa Efek Indonesia menghentikan sementara perdagangan Saham SSMS sebagai respons terhadap peningkatan harga kumulatif yang signifikan</t>
        </is>
      </c>
      <c r="J5585" t="inlineStr">
        <is>
          <t>High</t>
        </is>
      </c>
      <c r="M5585" t="inlineStr">
        <is>
          <t>LLM</t>
        </is>
      </c>
      <c r="N5585" t="inlineStr">
        <is>
          <t>2026-04-19</t>
        </is>
      </c>
      <c r="O5585" t="inlineStr">
        <is>
          <t>AI</t>
        </is>
      </c>
    </row>
    <row r="5586">
      <c r="A5586" t="inlineStr">
        <is>
          <t>PT Triputra Agro Persada Tbk</t>
        </is>
      </c>
      <c r="B5586" t="inlineStr">
        <is>
          <t>TAPG_2023_AR.pdf</t>
        </is>
      </c>
      <c r="C5586" t="n">
        <v>2023</v>
      </c>
      <c r="D5586" t="inlineStr">
        <is>
          <t>Company</t>
        </is>
      </c>
      <c r="E5586" t="inlineStr">
        <is>
          <t>Company Name</t>
        </is>
      </c>
      <c r="F5586" t="inlineStr">
        <is>
          <t>PT Triputra Agro Persada Tbk</t>
        </is>
      </c>
      <c r="G5586" t="inlineStr">
        <is>
          <t>text</t>
        </is>
      </c>
      <c r="H5586" t="n">
        <v>1</v>
      </c>
      <c r="I5586" t="inlineStr">
        <is>
          <t>Laporan Tahunan 2023 PT Triputra Agro Persada Tbk</t>
        </is>
      </c>
      <c r="J5586" t="inlineStr">
        <is>
          <t>High</t>
        </is>
      </c>
      <c r="M5586" t="inlineStr">
        <is>
          <t>LLM</t>
        </is>
      </c>
      <c r="N5586" t="inlineStr">
        <is>
          <t>2026-04-19</t>
        </is>
      </c>
      <c r="O5586" t="inlineStr">
        <is>
          <t>AI</t>
        </is>
      </c>
    </row>
    <row r="5587">
      <c r="A5587" t="inlineStr">
        <is>
          <t>PT Triputra Agro Persada Tbk</t>
        </is>
      </c>
      <c r="B5587" t="inlineStr">
        <is>
          <t>TAPG_2023_AR.pdf</t>
        </is>
      </c>
      <c r="C5587" t="n">
        <v>2023</v>
      </c>
      <c r="D5587" t="inlineStr">
        <is>
          <t>Company</t>
        </is>
      </c>
      <c r="E5587" t="inlineStr">
        <is>
          <t>Ticker</t>
        </is>
      </c>
      <c r="F5587" t="inlineStr">
        <is>
          <t>TAPG</t>
        </is>
      </c>
      <c r="G5587" t="inlineStr">
        <is>
          <t>text</t>
        </is>
      </c>
      <c r="H5587" t="n">
        <v>12</v>
      </c>
      <c r="I5587" t="inlineStr">
        <is>
          <t>Saham Perseroan dicatatkan di BEI dengan kode saham TAPG</t>
        </is>
      </c>
      <c r="J5587" t="inlineStr">
        <is>
          <t>High</t>
        </is>
      </c>
      <c r="M5587" t="inlineStr">
        <is>
          <t>LLM</t>
        </is>
      </c>
      <c r="N5587" t="inlineStr">
        <is>
          <t>2026-04-19</t>
        </is>
      </c>
      <c r="O5587" t="inlineStr">
        <is>
          <t>AI</t>
        </is>
      </c>
    </row>
    <row r="5588">
      <c r="A5588" t="inlineStr">
        <is>
          <t>PT Triputra Agro Persada Tbk</t>
        </is>
      </c>
      <c r="B5588" t="inlineStr">
        <is>
          <t>TAPG_2023_AR.pdf</t>
        </is>
      </c>
      <c r="C5588" t="n">
        <v>2023</v>
      </c>
      <c r="D5588" t="inlineStr">
        <is>
          <t>Company</t>
        </is>
      </c>
      <c r="E5588" t="inlineStr">
        <is>
          <t>IPO Date</t>
        </is>
      </c>
      <c r="F5588" t="inlineStr">
        <is>
          <t>12 April 2021</t>
        </is>
      </c>
      <c r="G5588" t="inlineStr">
        <is>
          <t>date</t>
        </is>
      </c>
      <c r="H5588" t="n">
        <v>82</v>
      </c>
      <c r="I5588" t="inlineStr">
        <is>
          <t>12 April 2021 Pencatatan Saham Perdana 866.200.000 Rp100 Rp200</t>
        </is>
      </c>
      <c r="J5588" t="inlineStr">
        <is>
          <t>High</t>
        </is>
      </c>
      <c r="M5588" t="inlineStr">
        <is>
          <t>LLM</t>
        </is>
      </c>
      <c r="N5588" t="inlineStr">
        <is>
          <t>2026-04-19</t>
        </is>
      </c>
      <c r="O5588" t="inlineStr">
        <is>
          <t>AI</t>
        </is>
      </c>
    </row>
    <row r="5589">
      <c r="A5589" t="inlineStr">
        <is>
          <t>PT Triputra Agro Persada Tbk</t>
        </is>
      </c>
      <c r="B5589" t="inlineStr">
        <is>
          <t>TAPG_2023_AR.pdf</t>
        </is>
      </c>
      <c r="C5589" t="n">
        <v>2023</v>
      </c>
      <c r="D5589" t="inlineStr">
        <is>
          <t>Company</t>
        </is>
      </c>
      <c r="E5589" t="inlineStr">
        <is>
          <t>Major Shareholder #1</t>
        </is>
      </c>
      <c r="F5589" t="inlineStr">
        <is>
          <t>PT Persada Capital Investama 23.24%</t>
        </is>
      </c>
      <c r="G5589" t="inlineStr">
        <is>
          <t>%</t>
        </is>
      </c>
      <c r="H5589" t="n">
        <v>76</v>
      </c>
      <c r="I5589" t="inlineStr">
        <is>
          <t>1 PT Persada Capital Investama 4.614.300.000 23,243</t>
        </is>
      </c>
      <c r="J5589" t="inlineStr">
        <is>
          <t>High</t>
        </is>
      </c>
      <c r="M5589" t="inlineStr">
        <is>
          <t>LLM</t>
        </is>
      </c>
      <c r="N5589" t="inlineStr">
        <is>
          <t>2026-04-19</t>
        </is>
      </c>
      <c r="O5589" t="inlineStr">
        <is>
          <t>AI</t>
        </is>
      </c>
    </row>
    <row r="5590">
      <c r="A5590" t="inlineStr">
        <is>
          <t>PT Triputra Agro Persada Tbk</t>
        </is>
      </c>
      <c r="B5590" t="inlineStr">
        <is>
          <t>TAPG_2023_AR.pdf</t>
        </is>
      </c>
      <c r="C5590" t="n">
        <v>2023</v>
      </c>
      <c r="D5590" t="inlineStr">
        <is>
          <t>Company</t>
        </is>
      </c>
      <c r="E5590" t="inlineStr">
        <is>
          <t>Major Shareholder #2</t>
        </is>
      </c>
      <c r="F5590" t="inlineStr">
        <is>
          <t>PT Triputra Investindo Arya 22.93%</t>
        </is>
      </c>
      <c r="G5590" t="inlineStr">
        <is>
          <t>%</t>
        </is>
      </c>
      <c r="H5590" t="n">
        <v>76</v>
      </c>
      <c r="I5590" t="inlineStr">
        <is>
          <t>2 PT Triputra Investindo Arya 4.551.425.500 22,926</t>
        </is>
      </c>
      <c r="J5590" t="inlineStr">
        <is>
          <t>High</t>
        </is>
      </c>
      <c r="M5590" t="inlineStr">
        <is>
          <t>LLM</t>
        </is>
      </c>
      <c r="N5590" t="inlineStr">
        <is>
          <t>2026-04-19</t>
        </is>
      </c>
      <c r="O5590" t="inlineStr">
        <is>
          <t>AI</t>
        </is>
      </c>
    </row>
    <row r="5591">
      <c r="A5591" t="inlineStr">
        <is>
          <t>PT Triputra Agro Persada Tbk</t>
        </is>
      </c>
      <c r="B5591" t="inlineStr">
        <is>
          <t>TAPG_2023_AR.pdf</t>
        </is>
      </c>
      <c r="C5591" t="n">
        <v>2023</v>
      </c>
      <c r="D5591" t="inlineStr">
        <is>
          <t>Company</t>
        </is>
      </c>
      <c r="E5591" t="inlineStr">
        <is>
          <t>Major Shareholder #3</t>
        </is>
      </c>
      <c r="F5591" t="inlineStr">
        <is>
          <t>The NT TST CO S/A Salween Investment 14.90%</t>
        </is>
      </c>
      <c r="G5591" t="inlineStr">
        <is>
          <t>%</t>
        </is>
      </c>
      <c r="H5591" t="n">
        <v>76</v>
      </c>
      <c r="I5591" t="inlineStr">
        <is>
          <t>3 The NT TST CO S/A Salween Investment Pte Ltd 2.957.360.000 14,897</t>
        </is>
      </c>
      <c r="J5591" t="inlineStr">
        <is>
          <t>High</t>
        </is>
      </c>
      <c r="M5591" t="inlineStr">
        <is>
          <t>LLM</t>
        </is>
      </c>
      <c r="N5591" t="inlineStr">
        <is>
          <t>2026-04-19</t>
        </is>
      </c>
      <c r="O5591" t="inlineStr">
        <is>
          <t>AI</t>
        </is>
      </c>
    </row>
    <row r="5592">
      <c r="A5592" t="inlineStr">
        <is>
          <t>PT Triputra Agro Persada Tbk</t>
        </is>
      </c>
      <c r="B5592" t="inlineStr">
        <is>
          <t>TAPG_2023_AR.pdf</t>
        </is>
      </c>
      <c r="C5592" t="n">
        <v>2023</v>
      </c>
      <c r="D5592" t="inlineStr">
        <is>
          <t>Company</t>
        </is>
      </c>
      <c r="E5592" t="inlineStr">
        <is>
          <t>Major Shareholder #4</t>
        </is>
      </c>
      <c r="F5592" t="inlineStr">
        <is>
          <t>PT Daya Adicipta Mustika 14.02%</t>
        </is>
      </c>
      <c r="G5592" t="inlineStr">
        <is>
          <t>%</t>
        </is>
      </c>
      <c r="H5592" t="n">
        <v>76</v>
      </c>
      <c r="I5592" t="inlineStr">
        <is>
          <t>4 PT Daya Adicipta Mustika 2.782.340.000 14,015</t>
        </is>
      </c>
      <c r="J5592" t="inlineStr">
        <is>
          <t>High</t>
        </is>
      </c>
      <c r="M5592" t="inlineStr">
        <is>
          <t>LLM</t>
        </is>
      </c>
      <c r="N5592" t="inlineStr">
        <is>
          <t>2026-04-19</t>
        </is>
      </c>
      <c r="O5592" t="inlineStr">
        <is>
          <t>AI</t>
        </is>
      </c>
    </row>
    <row r="5593">
      <c r="A5593" t="inlineStr">
        <is>
          <t>PT Triputra Agro Persada Tbk</t>
        </is>
      </c>
      <c r="B5593" t="inlineStr">
        <is>
          <t>TAPG_2023_AR.pdf</t>
        </is>
      </c>
      <c r="C5593" t="n">
        <v>2023</v>
      </c>
      <c r="D5593" t="inlineStr">
        <is>
          <t>Company</t>
        </is>
      </c>
      <c r="E5593" t="inlineStr">
        <is>
          <t>Major Shareholder #5</t>
        </is>
      </c>
      <c r="F5593" t="inlineStr">
        <is>
          <t>Gochean Holdings Incorporated 10.90%</t>
        </is>
      </c>
      <c r="G5593" t="inlineStr">
        <is>
          <t>%</t>
        </is>
      </c>
      <c r="H5593" t="n">
        <v>76</v>
      </c>
      <c r="I5593" t="inlineStr">
        <is>
          <t>5 Gochean Holdings Incorporated 2.163.980.000 10.900</t>
        </is>
      </c>
      <c r="J5593" t="inlineStr">
        <is>
          <t>High</t>
        </is>
      </c>
      <c r="M5593" t="inlineStr">
        <is>
          <t>LLM</t>
        </is>
      </c>
      <c r="N5593" t="inlineStr">
        <is>
          <t>2026-04-19</t>
        </is>
      </c>
      <c r="O5593" t="inlineStr">
        <is>
          <t>AI</t>
        </is>
      </c>
    </row>
    <row r="5594">
      <c r="A5594" t="inlineStr">
        <is>
          <t>PT Triputra Agro Persada Tbk</t>
        </is>
      </c>
      <c r="B5594" t="inlineStr">
        <is>
          <t>TAPG_2023_AR.pdf</t>
        </is>
      </c>
      <c r="C5594" t="n">
        <v>2023</v>
      </c>
      <c r="D5594" t="inlineStr">
        <is>
          <t>Company</t>
        </is>
      </c>
      <c r="E5594" t="inlineStr">
        <is>
          <t>Public Float</t>
        </is>
      </c>
      <c r="F5594" t="n">
        <v>0.1402</v>
      </c>
      <c r="G5594" t="inlineStr">
        <is>
          <t>%</t>
        </is>
      </c>
      <c r="H5594" t="n">
        <v>76</v>
      </c>
      <c r="I5594" t="inlineStr">
        <is>
          <t>6 Masyarakat 2.783.134.500 14,019</t>
        </is>
      </c>
      <c r="J5594" t="inlineStr">
        <is>
          <t>High</t>
        </is>
      </c>
      <c r="M5594" t="inlineStr">
        <is>
          <t>LLM</t>
        </is>
      </c>
      <c r="N5594" t="inlineStr">
        <is>
          <t>2026-04-19</t>
        </is>
      </c>
      <c r="O5594" t="inlineStr">
        <is>
          <t>AI</t>
        </is>
      </c>
    </row>
    <row r="5595">
      <c r="A5595" t="inlineStr">
        <is>
          <t>PT Triputra Agro Persada Tbk</t>
        </is>
      </c>
      <c r="B5595" t="inlineStr">
        <is>
          <t>TAPG_2023_AR.pdf</t>
        </is>
      </c>
      <c r="C5595" t="n">
        <v>2023</v>
      </c>
      <c r="D5595" t="inlineStr">
        <is>
          <t>Company</t>
        </is>
      </c>
      <c r="E5595" t="inlineStr">
        <is>
          <t>Total Subsidiaries</t>
        </is>
      </c>
      <c r="F5595" t="n">
        <v>24</v>
      </c>
      <c r="G5595" t="inlineStr">
        <is>
          <t>count</t>
        </is>
      </c>
      <c r="H5595" t="n">
        <v>82</v>
      </c>
      <c r="I5595" t="inlineStr">
        <is>
          <t>24 direct/indirect subsidiaries listed in Daftar Entitas Anak (AMP, BBB, GBSM, MIK, TAN, SKM, FLTI, HPS, EBL, DLJ, NPN, MSL, KSD, HPM, SAWA, KAM, PTA, YWA, AAPA, GAS, BBP, PMB, APR, ATS+ABM/SAK/BSM)</t>
        </is>
      </c>
      <c r="J5595" t="inlineStr">
        <is>
          <t>High</t>
        </is>
      </c>
      <c r="M5595" t="inlineStr">
        <is>
          <t>LLM</t>
        </is>
      </c>
      <c r="N5595" t="inlineStr">
        <is>
          <t>2026-04-19</t>
        </is>
      </c>
      <c r="O5595" t="inlineStr">
        <is>
          <t>AI</t>
        </is>
      </c>
    </row>
    <row r="5596">
      <c r="A5596" t="inlineStr">
        <is>
          <t>PT Triputra Agro Persada Tbk</t>
        </is>
      </c>
      <c r="B5596" t="inlineStr">
        <is>
          <t>TAPG_2023_AR.pdf</t>
        </is>
      </c>
      <c r="C5596" t="n">
        <v>2023</v>
      </c>
      <c r="D5596" t="inlineStr">
        <is>
          <t>Financial</t>
        </is>
      </c>
      <c r="E5596" t="inlineStr">
        <is>
          <t>Revenue (Sales)</t>
        </is>
      </c>
      <c r="F5596" t="n">
        <v>8326</v>
      </c>
      <c r="G5596" t="inlineStr">
        <is>
          <t>IDR bn</t>
        </is>
      </c>
      <c r="H5596" t="n">
        <v>10</v>
      </c>
      <c r="I5596" t="inlineStr">
        <is>
          <t>Penjualan 8.325.887 9.345.641 6.278.123</t>
        </is>
      </c>
      <c r="J5596" t="inlineStr">
        <is>
          <t>High</t>
        </is>
      </c>
      <c r="M5596" t="inlineStr">
        <is>
          <t>LLM</t>
        </is>
      </c>
      <c r="N5596" t="inlineStr">
        <is>
          <t>2026-04-19</t>
        </is>
      </c>
      <c r="O5596" t="inlineStr">
        <is>
          <t>AI</t>
        </is>
      </c>
    </row>
    <row r="5597">
      <c r="A5597" t="inlineStr">
        <is>
          <t>PT Triputra Agro Persada Tbk</t>
        </is>
      </c>
      <c r="B5597" t="inlineStr">
        <is>
          <t>TAPG_2023_AR.pdf</t>
        </is>
      </c>
      <c r="C5597" t="n">
        <v>2023</v>
      </c>
      <c r="D5597" t="inlineStr">
        <is>
          <t>Financial</t>
        </is>
      </c>
      <c r="E5597" t="inlineStr">
        <is>
          <t>Cost of Sales</t>
        </is>
      </c>
      <c r="F5597" t="n">
        <v>6109</v>
      </c>
      <c r="G5597" t="inlineStr">
        <is>
          <t>IDR bn</t>
        </is>
      </c>
      <c r="H5597" t="n">
        <v>100</v>
      </c>
      <c r="I5597" t="inlineStr">
        <is>
          <t>Beban Pokok Penjualan (6.108.590) (5.629.777)</t>
        </is>
      </c>
      <c r="J5597" t="inlineStr">
        <is>
          <t>High</t>
        </is>
      </c>
      <c r="M5597" t="inlineStr">
        <is>
          <t>LLM</t>
        </is>
      </c>
      <c r="N5597" t="inlineStr">
        <is>
          <t>2026-04-19</t>
        </is>
      </c>
      <c r="O5597" t="inlineStr">
        <is>
          <t>AI</t>
        </is>
      </c>
    </row>
    <row r="5598">
      <c r="A5598" t="inlineStr">
        <is>
          <t>PT Triputra Agro Persada Tbk</t>
        </is>
      </c>
      <c r="B5598" t="inlineStr">
        <is>
          <t>TAPG_2023_AR.pdf</t>
        </is>
      </c>
      <c r="C5598" t="n">
        <v>2023</v>
      </c>
      <c r="D5598" t="inlineStr">
        <is>
          <t>Financial</t>
        </is>
      </c>
      <c r="E5598" t="inlineStr">
        <is>
          <t>Gross Profit</t>
        </is>
      </c>
      <c r="F5598" t="n">
        <v>2217</v>
      </c>
      <c r="G5598" t="inlineStr">
        <is>
          <t>IDR bn</t>
        </is>
      </c>
      <c r="H5598" t="n">
        <v>10</v>
      </c>
      <c r="I5598" t="inlineStr">
        <is>
          <t>Laba Bruto 2.217.297 3.715.864 1.615.789</t>
        </is>
      </c>
      <c r="J5598" t="inlineStr">
        <is>
          <t>High</t>
        </is>
      </c>
      <c r="M5598" t="inlineStr">
        <is>
          <t>LLM</t>
        </is>
      </c>
      <c r="N5598" t="inlineStr">
        <is>
          <t>2026-04-19</t>
        </is>
      </c>
      <c r="O5598" t="inlineStr">
        <is>
          <t>AI</t>
        </is>
      </c>
    </row>
    <row r="5599">
      <c r="A5599" t="inlineStr">
        <is>
          <t>PT Triputra Agro Persada Tbk</t>
        </is>
      </c>
      <c r="B5599" t="inlineStr">
        <is>
          <t>TAPG_2023_AR.pdf</t>
        </is>
      </c>
      <c r="C5599" t="n">
        <v>2023</v>
      </c>
      <c r="D5599" t="inlineStr">
        <is>
          <t>Financial</t>
        </is>
      </c>
      <c r="E5599" t="inlineStr">
        <is>
          <t>Operating Profit (EBIT)</t>
        </is>
      </c>
      <c r="F5599" t="n">
        <v>1373</v>
      </c>
      <c r="G5599" t="inlineStr">
        <is>
          <t>IDR bn</t>
        </is>
      </c>
      <c r="H5599" t="n">
        <v>100</v>
      </c>
      <c r="I5599" t="inlineStr">
        <is>
          <t>Laba Usaha 1.372.731 3.031.586 -55</t>
        </is>
      </c>
      <c r="J5599" t="inlineStr">
        <is>
          <t>High</t>
        </is>
      </c>
      <c r="M5599" t="inlineStr">
        <is>
          <t>LLM</t>
        </is>
      </c>
      <c r="N5599" t="inlineStr">
        <is>
          <t>2026-04-19</t>
        </is>
      </c>
      <c r="O5599" t="inlineStr">
        <is>
          <t>AI</t>
        </is>
      </c>
    </row>
    <row r="5600">
      <c r="A5600" t="inlineStr">
        <is>
          <t>PT Triputra Agro Persada Tbk</t>
        </is>
      </c>
      <c r="B5600" t="inlineStr">
        <is>
          <t>TAPG_2023_AR.pdf</t>
        </is>
      </c>
      <c r="C5600" t="n">
        <v>2023</v>
      </c>
      <c r="D5600" t="inlineStr">
        <is>
          <t>Financial</t>
        </is>
      </c>
      <c r="E5600" t="inlineStr">
        <is>
          <t>Finance Costs</t>
        </is>
      </c>
      <c r="F5600" t="n">
        <v>153</v>
      </c>
      <c r="G5600" t="inlineStr">
        <is>
          <t>IDR bn</t>
        </is>
      </c>
      <c r="H5600" t="n">
        <v>229</v>
      </c>
      <c r="I5600" t="inlineStr">
        <is>
          <t>Biaya keuangan (152.924) 34 (347.594)</t>
        </is>
      </c>
      <c r="J5600" t="inlineStr">
        <is>
          <t>High</t>
        </is>
      </c>
      <c r="M5600" t="inlineStr">
        <is>
          <t>LLM</t>
        </is>
      </c>
      <c r="N5600" t="inlineStr">
        <is>
          <t>2026-04-19</t>
        </is>
      </c>
      <c r="O5600" t="inlineStr">
        <is>
          <t>AI</t>
        </is>
      </c>
    </row>
    <row r="5601">
      <c r="A5601" t="inlineStr">
        <is>
          <t>PT Triputra Agro Persada Tbk</t>
        </is>
      </c>
      <c r="B5601" t="inlineStr">
        <is>
          <t>TAPG_2023_AR.pdf</t>
        </is>
      </c>
      <c r="C5601" t="n">
        <v>2023</v>
      </c>
      <c r="D5601" t="inlineStr">
        <is>
          <t>Financial</t>
        </is>
      </c>
      <c r="E5601" t="inlineStr">
        <is>
          <t>Profit Before Tax</t>
        </is>
      </c>
      <c r="F5601" t="n">
        <v>1941</v>
      </c>
      <c r="G5601" t="inlineStr">
        <is>
          <t>IDR bn</t>
        </is>
      </c>
      <c r="H5601" t="n">
        <v>229</v>
      </c>
      <c r="I5601" t="inlineStr">
        <is>
          <t>LABA SEBELUM PAJAK PENGHASILAN 1.941.098 3.689.281</t>
        </is>
      </c>
      <c r="J5601" t="inlineStr">
        <is>
          <t>High</t>
        </is>
      </c>
      <c r="M5601" t="inlineStr">
        <is>
          <t>LLM</t>
        </is>
      </c>
      <c r="N5601" t="inlineStr">
        <is>
          <t>2026-04-19</t>
        </is>
      </c>
      <c r="O5601" t="inlineStr">
        <is>
          <t>AI</t>
        </is>
      </c>
    </row>
    <row r="5602">
      <c r="A5602" t="inlineStr">
        <is>
          <t>PT Triputra Agro Persada Tbk</t>
        </is>
      </c>
      <c r="B5602" t="inlineStr">
        <is>
          <t>TAPG_2023_AR.pdf</t>
        </is>
      </c>
      <c r="C5602" t="n">
        <v>2023</v>
      </c>
      <c r="D5602" t="inlineStr">
        <is>
          <t>Financial</t>
        </is>
      </c>
      <c r="E5602" t="inlineStr">
        <is>
          <t>Net Profit</t>
        </is>
      </c>
      <c r="F5602" t="n">
        <v>1661</v>
      </c>
      <c r="G5602" t="inlineStr">
        <is>
          <t>IDR bn</t>
        </is>
      </c>
      <c r="H5602" t="n">
        <v>10</v>
      </c>
      <c r="I5602" t="inlineStr">
        <is>
          <t>Laba Tahun Berjalan 1.661.258 3.088.745</t>
        </is>
      </c>
      <c r="J5602" t="inlineStr">
        <is>
          <t>High</t>
        </is>
      </c>
      <c r="M5602" t="inlineStr">
        <is>
          <t>LLM</t>
        </is>
      </c>
      <c r="N5602" t="inlineStr">
        <is>
          <t>2026-04-19</t>
        </is>
      </c>
      <c r="O5602" t="inlineStr">
        <is>
          <t>AI</t>
        </is>
      </c>
    </row>
    <row r="5603">
      <c r="A5603" t="inlineStr">
        <is>
          <t>PT Triputra Agro Persada Tbk</t>
        </is>
      </c>
      <c r="B5603" t="inlineStr">
        <is>
          <t>TAPG_2023_AR.pdf</t>
        </is>
      </c>
      <c r="C5603" t="n">
        <v>2023</v>
      </c>
      <c r="D5603" t="inlineStr">
        <is>
          <t>Financial</t>
        </is>
      </c>
      <c r="E5603" t="inlineStr">
        <is>
          <t>Profit Attributable to Parent</t>
        </is>
      </c>
      <c r="F5603" t="n">
        <v>1608</v>
      </c>
      <c r="G5603" t="inlineStr">
        <is>
          <t>IDR bn</t>
        </is>
      </c>
      <c r="H5603" t="n">
        <v>10</v>
      </c>
      <c r="I5603" t="inlineStr">
        <is>
          <t>Pemilik entitas induk 1.608.217 2.981.120</t>
        </is>
      </c>
      <c r="J5603" t="inlineStr">
        <is>
          <t>High</t>
        </is>
      </c>
      <c r="M5603" t="inlineStr">
        <is>
          <t>LLM</t>
        </is>
      </c>
      <c r="N5603" t="inlineStr">
        <is>
          <t>2026-04-19</t>
        </is>
      </c>
      <c r="O5603" t="inlineStr">
        <is>
          <t>AI</t>
        </is>
      </c>
    </row>
    <row r="5604">
      <c r="A5604" t="inlineStr">
        <is>
          <t>PT Triputra Agro Persada Tbk</t>
        </is>
      </c>
      <c r="B5604" t="inlineStr">
        <is>
          <t>TAPG_2023_AR.pdf</t>
        </is>
      </c>
      <c r="C5604" t="n">
        <v>2023</v>
      </c>
      <c r="D5604" t="inlineStr">
        <is>
          <t>Financial</t>
        </is>
      </c>
      <c r="E5604" t="inlineStr">
        <is>
          <t>Comprehensive Income</t>
        </is>
      </c>
      <c r="F5604" t="n">
        <v>1681</v>
      </c>
      <c r="G5604" t="inlineStr">
        <is>
          <t>IDR bn</t>
        </is>
      </c>
      <c r="H5604" t="n">
        <v>10</v>
      </c>
      <c r="I5604" t="inlineStr">
        <is>
          <t>Laba Komprehensif Tahun Berjalan 1.681.176 3.113.047</t>
        </is>
      </c>
      <c r="J5604" t="inlineStr">
        <is>
          <t>High</t>
        </is>
      </c>
      <c r="M5604" t="inlineStr">
        <is>
          <t>LLM</t>
        </is>
      </c>
      <c r="N5604" t="inlineStr">
        <is>
          <t>2026-04-19</t>
        </is>
      </c>
      <c r="O5604" t="inlineStr">
        <is>
          <t>AI</t>
        </is>
      </c>
    </row>
    <row r="5605">
      <c r="A5605" t="inlineStr">
        <is>
          <t>PT Triputra Agro Persada Tbk</t>
        </is>
      </c>
      <c r="B5605" t="inlineStr">
        <is>
          <t>TAPG_2023_AR.pdf</t>
        </is>
      </c>
      <c r="C5605" t="n">
        <v>2023</v>
      </c>
      <c r="D5605" t="inlineStr">
        <is>
          <t>Financial</t>
        </is>
      </c>
      <c r="E5605" t="inlineStr">
        <is>
          <t>Total Assets</t>
        </is>
      </c>
      <c r="F5605" t="n">
        <v>13867</v>
      </c>
      <c r="G5605" t="inlineStr">
        <is>
          <t>IDR bn</t>
        </is>
      </c>
      <c r="H5605" t="n">
        <v>10</v>
      </c>
      <c r="I5605" t="inlineStr">
        <is>
          <t>Total Aset 13.867.387 14.526.124 12.446.326</t>
        </is>
      </c>
      <c r="J5605" t="inlineStr">
        <is>
          <t>High</t>
        </is>
      </c>
      <c r="M5605" t="inlineStr">
        <is>
          <t>LLM</t>
        </is>
      </c>
      <c r="N5605" t="inlineStr">
        <is>
          <t>2026-04-19</t>
        </is>
      </c>
      <c r="O5605" t="inlineStr">
        <is>
          <t>AI</t>
        </is>
      </c>
    </row>
    <row r="5606">
      <c r="A5606" t="inlineStr">
        <is>
          <t>PT Triputra Agro Persada Tbk</t>
        </is>
      </c>
      <c r="B5606" t="inlineStr">
        <is>
          <t>TAPG_2023_AR.pdf</t>
        </is>
      </c>
      <c r="C5606" t="n">
        <v>2023</v>
      </c>
      <c r="D5606" t="inlineStr">
        <is>
          <t>Financial</t>
        </is>
      </c>
      <c r="E5606" t="inlineStr">
        <is>
          <t>Current Assets</t>
        </is>
      </c>
      <c r="F5606" t="n">
        <v>2446</v>
      </c>
      <c r="G5606" t="inlineStr">
        <is>
          <t>IDR bn</t>
        </is>
      </c>
      <c r="H5606" t="n">
        <v>98</v>
      </c>
      <c r="I5606" t="inlineStr">
        <is>
          <t>Aset Lancar 2.445.565 3.679.197 -34</t>
        </is>
      </c>
      <c r="J5606" t="inlineStr">
        <is>
          <t>High</t>
        </is>
      </c>
      <c r="M5606" t="inlineStr">
        <is>
          <t>LLM</t>
        </is>
      </c>
      <c r="N5606" t="inlineStr">
        <is>
          <t>2026-04-19</t>
        </is>
      </c>
      <c r="O5606" t="inlineStr">
        <is>
          <t>AI</t>
        </is>
      </c>
    </row>
    <row r="5607">
      <c r="A5607" t="inlineStr">
        <is>
          <t>PT Triputra Agro Persada Tbk</t>
        </is>
      </c>
      <c r="B5607" t="inlineStr">
        <is>
          <t>TAPG_2023_AR.pdf</t>
        </is>
      </c>
      <c r="C5607" t="n">
        <v>2023</v>
      </c>
      <c r="D5607" t="inlineStr">
        <is>
          <t>Financial</t>
        </is>
      </c>
      <c r="E5607" t="inlineStr">
        <is>
          <t>Non-Current Assets</t>
        </is>
      </c>
      <c r="F5607" t="n">
        <v>11422</v>
      </c>
      <c r="G5607" t="inlineStr">
        <is>
          <t>IDR bn</t>
        </is>
      </c>
      <c r="H5607" t="n">
        <v>98</v>
      </c>
      <c r="I5607" t="inlineStr">
        <is>
          <t>Aset Tidak Lancar 11.421.822 10.846.927 5</t>
        </is>
      </c>
      <c r="J5607" t="inlineStr">
        <is>
          <t>High</t>
        </is>
      </c>
      <c r="M5607" t="inlineStr">
        <is>
          <t>LLM</t>
        </is>
      </c>
      <c r="N5607" t="inlineStr">
        <is>
          <t>2026-04-19</t>
        </is>
      </c>
      <c r="O5607" t="inlineStr">
        <is>
          <t>AI</t>
        </is>
      </c>
    </row>
    <row r="5608">
      <c r="A5608" t="inlineStr">
        <is>
          <t>PT Triputra Agro Persada Tbk</t>
        </is>
      </c>
      <c r="B5608" t="inlineStr">
        <is>
          <t>TAPG_2023_AR.pdf</t>
        </is>
      </c>
      <c r="C5608" t="n">
        <v>2023</v>
      </c>
      <c r="D5608" t="inlineStr">
        <is>
          <t>Financial</t>
        </is>
      </c>
      <c r="E5608" t="inlineStr">
        <is>
          <t>Cash &amp; Cash Equivalents</t>
        </is>
      </c>
      <c r="F5608" t="n">
        <v>1007</v>
      </c>
      <c r="G5608" t="inlineStr">
        <is>
          <t>IDR bn</t>
        </is>
      </c>
      <c r="H5608" t="n">
        <v>226</v>
      </c>
      <c r="I5608" t="inlineStr">
        <is>
          <t>Kas dan setara kas 1.006.796 4 1.957.773</t>
        </is>
      </c>
      <c r="J5608" t="inlineStr">
        <is>
          <t>High</t>
        </is>
      </c>
      <c r="M5608" t="inlineStr">
        <is>
          <t>LLM</t>
        </is>
      </c>
      <c r="N5608" t="inlineStr">
        <is>
          <t>2026-04-19</t>
        </is>
      </c>
      <c r="O5608" t="inlineStr">
        <is>
          <t>AI</t>
        </is>
      </c>
    </row>
    <row r="5609">
      <c r="A5609" t="inlineStr">
        <is>
          <t>PT Triputra Agro Persada Tbk</t>
        </is>
      </c>
      <c r="B5609" t="inlineStr">
        <is>
          <t>TAPG_2023_AR.pdf</t>
        </is>
      </c>
      <c r="C5609" t="n">
        <v>2023</v>
      </c>
      <c r="D5609" t="inlineStr">
        <is>
          <t>Financial</t>
        </is>
      </c>
      <c r="E5609" t="inlineStr">
        <is>
          <t>Trade Receivables</t>
        </is>
      </c>
      <c r="F5609" t="n">
        <v>85</v>
      </c>
      <c r="G5609" t="inlineStr">
        <is>
          <t>IDR bn</t>
        </is>
      </c>
      <c r="H5609" t="n">
        <v>226</v>
      </c>
      <c r="I5609" t="inlineStr">
        <is>
          <t>Piutang usaha Pihak ketiga 85.020 5 121.265</t>
        </is>
      </c>
      <c r="J5609" t="inlineStr">
        <is>
          <t>High</t>
        </is>
      </c>
      <c r="M5609" t="inlineStr">
        <is>
          <t>LLM</t>
        </is>
      </c>
      <c r="N5609" t="inlineStr">
        <is>
          <t>2026-04-19</t>
        </is>
      </c>
      <c r="O5609" t="inlineStr">
        <is>
          <t>AI</t>
        </is>
      </c>
    </row>
    <row r="5610">
      <c r="A5610" t="inlineStr">
        <is>
          <t>PT Triputra Agro Persada Tbk</t>
        </is>
      </c>
      <c r="B5610" t="inlineStr">
        <is>
          <t>TAPG_2023_AR.pdf</t>
        </is>
      </c>
      <c r="C5610" t="n">
        <v>2023</v>
      </c>
      <c r="D5610" t="inlineStr">
        <is>
          <t>Financial</t>
        </is>
      </c>
      <c r="E5610" t="inlineStr">
        <is>
          <t>Inventories</t>
        </is>
      </c>
      <c r="F5610" t="n">
        <v>1020</v>
      </c>
      <c r="G5610" t="inlineStr">
        <is>
          <t>IDR bn</t>
        </is>
      </c>
      <c r="H5610" t="n">
        <v>226</v>
      </c>
      <c r="I5610" t="inlineStr">
        <is>
          <t>Persediaan 1.019.810 7 1.088.161</t>
        </is>
      </c>
      <c r="J5610" t="inlineStr">
        <is>
          <t>High</t>
        </is>
      </c>
      <c r="M5610" t="inlineStr">
        <is>
          <t>LLM</t>
        </is>
      </c>
      <c r="N5610" t="inlineStr">
        <is>
          <t>2026-04-19</t>
        </is>
      </c>
      <c r="O5610" t="inlineStr">
        <is>
          <t>AI</t>
        </is>
      </c>
    </row>
    <row r="5611">
      <c r="A5611" t="inlineStr">
        <is>
          <t>PT Triputra Agro Persada Tbk</t>
        </is>
      </c>
      <c r="B5611" t="inlineStr">
        <is>
          <t>TAPG_2023_AR.pdf</t>
        </is>
      </c>
      <c r="C5611" t="n">
        <v>2023</v>
      </c>
      <c r="D5611" t="inlineStr">
        <is>
          <t>Financial</t>
        </is>
      </c>
      <c r="E5611" t="inlineStr">
        <is>
          <t>Biological Assets (current)</t>
        </is>
      </c>
      <c r="F5611" t="n">
        <v>185</v>
      </c>
      <c r="G5611" t="inlineStr">
        <is>
          <t>IDR bn</t>
        </is>
      </c>
      <c r="H5611" t="n">
        <v>226</v>
      </c>
      <c r="I5611" t="inlineStr">
        <is>
          <t>Aset biologis 185.126 8 204.847</t>
        </is>
      </c>
      <c r="J5611" t="inlineStr">
        <is>
          <t>High</t>
        </is>
      </c>
      <c r="M5611" t="inlineStr">
        <is>
          <t>LLM</t>
        </is>
      </c>
      <c r="N5611" t="inlineStr">
        <is>
          <t>2026-04-19</t>
        </is>
      </c>
      <c r="O5611" t="inlineStr">
        <is>
          <t>AI</t>
        </is>
      </c>
    </row>
    <row r="5612">
      <c r="A5612" t="inlineStr">
        <is>
          <t>PT Triputra Agro Persada Tbk</t>
        </is>
      </c>
      <c r="B5612" t="inlineStr">
        <is>
          <t>TAPG_2023_AR.pdf</t>
        </is>
      </c>
      <c r="C5612" t="n">
        <v>2023</v>
      </c>
      <c r="D5612" t="inlineStr">
        <is>
          <t>Financial</t>
        </is>
      </c>
      <c r="E5612" t="inlineStr">
        <is>
          <t>Investment in Joint Ventures</t>
        </is>
      </c>
      <c r="F5612" t="n">
        <v>3215</v>
      </c>
      <c r="G5612" t="inlineStr">
        <is>
          <t>IDR bn</t>
        </is>
      </c>
      <c r="H5612" t="n">
        <v>226</v>
      </c>
      <c r="I5612" t="inlineStr">
        <is>
          <t>Investasi dalam ventura bersama 3.214.873 14 2.871.438</t>
        </is>
      </c>
      <c r="J5612" t="inlineStr">
        <is>
          <t>High</t>
        </is>
      </c>
      <c r="M5612" t="inlineStr">
        <is>
          <t>LLM</t>
        </is>
      </c>
      <c r="N5612" t="inlineStr">
        <is>
          <t>2026-04-19</t>
        </is>
      </c>
      <c r="O5612" t="inlineStr">
        <is>
          <t>AI</t>
        </is>
      </c>
    </row>
    <row r="5613">
      <c r="A5613" t="inlineStr">
        <is>
          <t>PT Triputra Agro Persada Tbk</t>
        </is>
      </c>
      <c r="B5613" t="inlineStr">
        <is>
          <t>TAPG_2023_AR.pdf</t>
        </is>
      </c>
      <c r="C5613" t="n">
        <v>2023</v>
      </c>
      <c r="D5613" t="inlineStr">
        <is>
          <t>Financial</t>
        </is>
      </c>
      <c r="E5613" t="inlineStr">
        <is>
          <t>Fixed Assets</t>
        </is>
      </c>
      <c r="F5613" t="n">
        <v>7483</v>
      </c>
      <c r="G5613" t="inlineStr">
        <is>
          <t>IDR bn</t>
        </is>
      </c>
      <c r="H5613" t="n">
        <v>226</v>
      </c>
      <c r="I5613" t="inlineStr">
        <is>
          <t>Aset tetap 7.482.594 12 7.292.712</t>
        </is>
      </c>
      <c r="J5613" t="inlineStr">
        <is>
          <t>High</t>
        </is>
      </c>
      <c r="M5613" t="inlineStr">
        <is>
          <t>LLM</t>
        </is>
      </c>
      <c r="N5613" t="inlineStr">
        <is>
          <t>2026-04-19</t>
        </is>
      </c>
      <c r="O5613" t="inlineStr">
        <is>
          <t>AI</t>
        </is>
      </c>
    </row>
    <row r="5614">
      <c r="A5614" t="inlineStr">
        <is>
          <t>PT Triputra Agro Persada Tbk</t>
        </is>
      </c>
      <c r="B5614" t="inlineStr">
        <is>
          <t>TAPG_2023_AR.pdf</t>
        </is>
      </c>
      <c r="C5614" t="n">
        <v>2023</v>
      </c>
      <c r="D5614" t="inlineStr">
        <is>
          <t>Financial</t>
        </is>
      </c>
      <c r="E5614" t="inlineStr">
        <is>
          <t>Total Liabilities</t>
        </is>
      </c>
      <c r="F5614" t="n">
        <v>2528</v>
      </c>
      <c r="G5614" t="inlineStr">
        <is>
          <t>IDR bn</t>
        </is>
      </c>
      <c r="H5614" t="n">
        <v>10</v>
      </c>
      <c r="I5614" t="inlineStr">
        <is>
          <t>Total Liabilities 2.527.847 4.113.380 4.650.315</t>
        </is>
      </c>
      <c r="J5614" t="inlineStr">
        <is>
          <t>High</t>
        </is>
      </c>
      <c r="M5614" t="inlineStr">
        <is>
          <t>LLM</t>
        </is>
      </c>
      <c r="N5614" t="inlineStr">
        <is>
          <t>2026-04-19</t>
        </is>
      </c>
      <c r="O5614" t="inlineStr">
        <is>
          <t>AI</t>
        </is>
      </c>
    </row>
    <row r="5615">
      <c r="A5615" t="inlineStr">
        <is>
          <t>PT Triputra Agro Persada Tbk</t>
        </is>
      </c>
      <c r="B5615" t="inlineStr">
        <is>
          <t>TAPG_2023_AR.pdf</t>
        </is>
      </c>
      <c r="C5615" t="n">
        <v>2023</v>
      </c>
      <c r="D5615" t="inlineStr">
        <is>
          <t>Financial</t>
        </is>
      </c>
      <c r="E5615" t="inlineStr">
        <is>
          <t>Current Liabilities</t>
        </is>
      </c>
      <c r="F5615" t="n">
        <v>1959</v>
      </c>
      <c r="G5615" t="inlineStr">
        <is>
          <t>IDR bn</t>
        </is>
      </c>
      <c r="H5615" t="n">
        <v>98</v>
      </c>
      <c r="I5615" t="inlineStr">
        <is>
          <t>Liabilitas Jangka Pendek 1.958.582 2.093.814 -6</t>
        </is>
      </c>
      <c r="J5615" t="inlineStr">
        <is>
          <t>High</t>
        </is>
      </c>
      <c r="M5615" t="inlineStr">
        <is>
          <t>LLM</t>
        </is>
      </c>
      <c r="N5615" t="inlineStr">
        <is>
          <t>2026-04-19</t>
        </is>
      </c>
      <c r="O5615" t="inlineStr">
        <is>
          <t>AI</t>
        </is>
      </c>
    </row>
    <row r="5616">
      <c r="A5616" t="inlineStr">
        <is>
          <t>PT Triputra Agro Persada Tbk</t>
        </is>
      </c>
      <c r="B5616" t="inlineStr">
        <is>
          <t>TAPG_2023_AR.pdf</t>
        </is>
      </c>
      <c r="C5616" t="n">
        <v>2023</v>
      </c>
      <c r="D5616" t="inlineStr">
        <is>
          <t>Financial</t>
        </is>
      </c>
      <c r="E5616" t="inlineStr">
        <is>
          <t>Non-Current Liabilities</t>
        </is>
      </c>
      <c r="F5616" t="n">
        <v>569</v>
      </c>
      <c r="G5616" t="inlineStr">
        <is>
          <t>IDR bn</t>
        </is>
      </c>
      <c r="H5616" t="n">
        <v>98</v>
      </c>
      <c r="I5616" t="inlineStr">
        <is>
          <t>Liabilitas Jangka Panjang 569.265 2.019.566 -72</t>
        </is>
      </c>
      <c r="J5616" t="inlineStr">
        <is>
          <t>High</t>
        </is>
      </c>
      <c r="M5616" t="inlineStr">
        <is>
          <t>LLM</t>
        </is>
      </c>
      <c r="N5616" t="inlineStr">
        <is>
          <t>2026-04-19</t>
        </is>
      </c>
      <c r="O5616" t="inlineStr">
        <is>
          <t>AI</t>
        </is>
      </c>
    </row>
    <row r="5617">
      <c r="A5617" t="inlineStr">
        <is>
          <t>PT Triputra Agro Persada Tbk</t>
        </is>
      </c>
      <c r="B5617" t="inlineStr">
        <is>
          <t>TAPG_2023_AR.pdf</t>
        </is>
      </c>
      <c r="C5617" t="n">
        <v>2023</v>
      </c>
      <c r="D5617" t="inlineStr">
        <is>
          <t>Financial</t>
        </is>
      </c>
      <c r="E5617" t="inlineStr">
        <is>
          <t>Short-term Bank Loans</t>
        </is>
      </c>
      <c r="F5617" t="n">
        <v>75</v>
      </c>
      <c r="G5617" t="inlineStr">
        <is>
          <t>IDR bn</t>
        </is>
      </c>
      <c r="H5617" t="n">
        <v>227</v>
      </c>
      <c r="I5617" t="inlineStr">
        <is>
          <t>Utang bank jangka pendek 75.000 16 -</t>
        </is>
      </c>
      <c r="J5617" t="inlineStr">
        <is>
          <t>High</t>
        </is>
      </c>
      <c r="M5617" t="inlineStr">
        <is>
          <t>LLM</t>
        </is>
      </c>
      <c r="N5617" t="inlineStr">
        <is>
          <t>2026-04-19</t>
        </is>
      </c>
      <c r="O5617" t="inlineStr">
        <is>
          <t>AI</t>
        </is>
      </c>
    </row>
    <row r="5618">
      <c r="A5618" t="inlineStr">
        <is>
          <t>PT Triputra Agro Persada Tbk</t>
        </is>
      </c>
      <c r="B5618" t="inlineStr">
        <is>
          <t>TAPG_2023_AR.pdf</t>
        </is>
      </c>
      <c r="C5618" t="n">
        <v>2023</v>
      </c>
      <c r="D5618" t="inlineStr">
        <is>
          <t>Financial</t>
        </is>
      </c>
      <c r="E5618" t="inlineStr">
        <is>
          <t>Current Portion LT Bank Loans</t>
        </is>
      </c>
      <c r="F5618" t="n">
        <v>845</v>
      </c>
      <c r="G5618" t="inlineStr">
        <is>
          <t>IDR bn</t>
        </is>
      </c>
      <c r="H5618" t="n">
        <v>227</v>
      </c>
      <c r="I5618" t="inlineStr">
        <is>
          <t>Utang bank jangka panjang 844.668 22 633.377</t>
        </is>
      </c>
      <c r="J5618" t="inlineStr">
        <is>
          <t>High</t>
        </is>
      </c>
      <c r="M5618" t="inlineStr">
        <is>
          <t>LLM</t>
        </is>
      </c>
      <c r="N5618" t="inlineStr">
        <is>
          <t>2026-04-19</t>
        </is>
      </c>
      <c r="O5618" t="inlineStr">
        <is>
          <t>AI</t>
        </is>
      </c>
    </row>
    <row r="5619">
      <c r="A5619" t="inlineStr">
        <is>
          <t>PT Triputra Agro Persada Tbk</t>
        </is>
      </c>
      <c r="B5619" t="inlineStr">
        <is>
          <t>TAPG_2023_AR.pdf</t>
        </is>
      </c>
      <c r="C5619" t="n">
        <v>2023</v>
      </c>
      <c r="D5619" t="inlineStr">
        <is>
          <t>Financial</t>
        </is>
      </c>
      <c r="E5619" t="inlineStr">
        <is>
          <t>Long-term Bank Loans</t>
        </is>
      </c>
      <c r="F5619" t="n">
        <v>201</v>
      </c>
      <c r="G5619" t="inlineStr">
        <is>
          <t>IDR bn</t>
        </is>
      </c>
      <c r="H5619" t="n">
        <v>227</v>
      </c>
      <c r="I5619" t="inlineStr">
        <is>
          <t>Utang bank jangka panjang 201.432 22 1.700.244</t>
        </is>
      </c>
      <c r="J5619" t="inlineStr">
        <is>
          <t>High</t>
        </is>
      </c>
      <c r="M5619" t="inlineStr">
        <is>
          <t>LLM</t>
        </is>
      </c>
      <c r="N5619" t="inlineStr">
        <is>
          <t>2026-04-19</t>
        </is>
      </c>
      <c r="O5619" t="inlineStr">
        <is>
          <t>AI</t>
        </is>
      </c>
    </row>
    <row r="5620">
      <c r="A5620" t="inlineStr">
        <is>
          <t>PT Triputra Agro Persada Tbk</t>
        </is>
      </c>
      <c r="B5620" t="inlineStr">
        <is>
          <t>TAPG_2023_AR.pdf</t>
        </is>
      </c>
      <c r="C5620" t="n">
        <v>2023</v>
      </c>
      <c r="D5620" t="inlineStr">
        <is>
          <t>Financial</t>
        </is>
      </c>
      <c r="E5620" t="inlineStr">
        <is>
          <t>Gross Debt (total bank loans)</t>
        </is>
      </c>
      <c r="F5620" t="n">
        <v>1121</v>
      </c>
      <c r="G5620" t="inlineStr">
        <is>
          <t>IDR bn</t>
        </is>
      </c>
      <c r="H5620" t="n">
        <v>227</v>
      </c>
      <c r="I5620" t="inlineStr">
        <is>
          <t>Calculated: 75 (ST) + 844.67 (current LT) + 201.43 (LT) = 1,121 bn</t>
        </is>
      </c>
      <c r="J5620" t="inlineStr">
        <is>
          <t>High</t>
        </is>
      </c>
      <c r="M5620" t="inlineStr">
        <is>
          <t>LLM</t>
        </is>
      </c>
      <c r="N5620" t="inlineStr">
        <is>
          <t>2026-04-19</t>
        </is>
      </c>
      <c r="O5620" t="inlineStr">
        <is>
          <t>AI</t>
        </is>
      </c>
    </row>
    <row r="5621">
      <c r="A5621" t="inlineStr">
        <is>
          <t>PT Triputra Agro Persada Tbk</t>
        </is>
      </c>
      <c r="B5621" t="inlineStr">
        <is>
          <t>TAPG_2023_AR.pdf</t>
        </is>
      </c>
      <c r="C5621" t="n">
        <v>2023</v>
      </c>
      <c r="D5621" t="inlineStr">
        <is>
          <t>Financial</t>
        </is>
      </c>
      <c r="E5621" t="inlineStr">
        <is>
          <t>Total Equity</t>
        </is>
      </c>
      <c r="F5621" t="n">
        <v>11340</v>
      </c>
      <c r="G5621" t="inlineStr">
        <is>
          <t>IDR bn</t>
        </is>
      </c>
      <c r="H5621" t="n">
        <v>10</v>
      </c>
      <c r="I5621" t="inlineStr">
        <is>
          <t>Total Ekuitas 11.339.540 10.412.277 7.796.011</t>
        </is>
      </c>
      <c r="J5621" t="inlineStr">
        <is>
          <t>High</t>
        </is>
      </c>
      <c r="M5621" t="inlineStr">
        <is>
          <t>LLM</t>
        </is>
      </c>
      <c r="N5621" t="inlineStr">
        <is>
          <t>2026-04-19</t>
        </is>
      </c>
      <c r="O5621" t="inlineStr">
        <is>
          <t>AI</t>
        </is>
      </c>
    </row>
    <row r="5622">
      <c r="A5622" t="inlineStr">
        <is>
          <t>PT Triputra Agro Persada Tbk</t>
        </is>
      </c>
      <c r="B5622" t="inlineStr">
        <is>
          <t>TAPG_2023_AR.pdf</t>
        </is>
      </c>
      <c r="C5622" t="n">
        <v>2023</v>
      </c>
      <c r="D5622" t="inlineStr">
        <is>
          <t>Financial</t>
        </is>
      </c>
      <c r="E5622" t="inlineStr">
        <is>
          <t>Retained Earnings (Unappropriated)</t>
        </is>
      </c>
      <c r="F5622" t="n">
        <v>5752</v>
      </c>
      <c r="G5622" t="inlineStr">
        <is>
          <t>IDR bn</t>
        </is>
      </c>
      <c r="H5622" t="n">
        <v>228</v>
      </c>
      <c r="I5622" t="inlineStr">
        <is>
          <t>Belum dicadangkan 5.751.974 4.898.154</t>
        </is>
      </c>
      <c r="J5622" t="inlineStr">
        <is>
          <t>High</t>
        </is>
      </c>
      <c r="M5622" t="inlineStr">
        <is>
          <t>LLM</t>
        </is>
      </c>
      <c r="N5622" t="inlineStr">
        <is>
          <t>2026-04-19</t>
        </is>
      </c>
      <c r="O5622" t="inlineStr">
        <is>
          <t>AI</t>
        </is>
      </c>
    </row>
    <row r="5623">
      <c r="A5623" t="inlineStr">
        <is>
          <t>PT Triputra Agro Persada Tbk</t>
        </is>
      </c>
      <c r="B5623" t="inlineStr">
        <is>
          <t>TAPG_2023_AR.pdf</t>
        </is>
      </c>
      <c r="C5623" t="n">
        <v>2023</v>
      </c>
      <c r="D5623" t="inlineStr">
        <is>
          <t>Financial</t>
        </is>
      </c>
      <c r="E5623" t="inlineStr">
        <is>
          <t>Non-Controlling Interest</t>
        </is>
      </c>
      <c r="F5623" t="n">
        <v>446</v>
      </c>
      <c r="G5623" t="inlineStr">
        <is>
          <t>IDR bn</t>
        </is>
      </c>
      <c r="H5623" t="n">
        <v>228</v>
      </c>
      <c r="I5623" t="inlineStr">
        <is>
          <t>KEPENTINGAN NONPENGENDALI 445.583 27 391.467</t>
        </is>
      </c>
      <c r="J5623" t="inlineStr">
        <is>
          <t>High</t>
        </is>
      </c>
      <c r="M5623" t="inlineStr">
        <is>
          <t>LLM</t>
        </is>
      </c>
      <c r="N5623" t="inlineStr">
        <is>
          <t>2026-04-19</t>
        </is>
      </c>
      <c r="O5623" t="inlineStr">
        <is>
          <t>AI</t>
        </is>
      </c>
    </row>
    <row r="5624">
      <c r="A5624" t="inlineStr">
        <is>
          <t>PT Triputra Agro Persada Tbk</t>
        </is>
      </c>
      <c r="B5624" t="inlineStr">
        <is>
          <t>TAPG_2023_AR.pdf</t>
        </is>
      </c>
      <c r="C5624" t="n">
        <v>2023</v>
      </c>
      <c r="D5624" t="inlineStr">
        <is>
          <t>Financial</t>
        </is>
      </c>
      <c r="E5624" t="inlineStr">
        <is>
          <t>CFO (Cash Flow from Operating)</t>
        </is>
      </c>
      <c r="F5624" t="n">
        <v>1569</v>
      </c>
      <c r="G5624" t="inlineStr">
        <is>
          <t>IDR bn</t>
        </is>
      </c>
      <c r="H5624" t="n">
        <v>102</v>
      </c>
      <c r="I5624" t="inlineStr">
        <is>
          <t>Arus Kas dari Aktivitas Operasi 1.569.363 3.175.480 -51</t>
        </is>
      </c>
      <c r="J5624" t="inlineStr">
        <is>
          <t>High</t>
        </is>
      </c>
      <c r="M5624" t="inlineStr">
        <is>
          <t>LLM</t>
        </is>
      </c>
      <c r="N5624" t="inlineStr">
        <is>
          <t>2026-04-19</t>
        </is>
      </c>
      <c r="O5624" t="inlineStr">
        <is>
          <t>AI</t>
        </is>
      </c>
    </row>
    <row r="5625">
      <c r="A5625" t="inlineStr">
        <is>
          <t>PT Triputra Agro Persada Tbk</t>
        </is>
      </c>
      <c r="B5625" t="inlineStr">
        <is>
          <t>TAPG_2023_AR.pdf</t>
        </is>
      </c>
      <c r="C5625" t="n">
        <v>2023</v>
      </c>
      <c r="D5625" t="inlineStr">
        <is>
          <t>Financial</t>
        </is>
      </c>
      <c r="E5625" t="inlineStr">
        <is>
          <t>CFI (Cash Flow from Investing)</t>
        </is>
      </c>
      <c r="F5625" t="n">
        <v>-442</v>
      </c>
      <c r="G5625" t="inlineStr">
        <is>
          <t>IDR bn</t>
        </is>
      </c>
      <c r="H5625" t="n">
        <v>102</v>
      </c>
      <c r="I5625" t="inlineStr">
        <is>
          <t>Arus Kas dari Aktivitas Investasi (441.818) (662.802) -33</t>
        </is>
      </c>
      <c r="J5625" t="inlineStr">
        <is>
          <t>High</t>
        </is>
      </c>
      <c r="M5625" t="inlineStr">
        <is>
          <t>LLM</t>
        </is>
      </c>
      <c r="N5625" t="inlineStr">
        <is>
          <t>2026-04-19</t>
        </is>
      </c>
      <c r="O5625" t="inlineStr">
        <is>
          <t>AI</t>
        </is>
      </c>
    </row>
    <row r="5626">
      <c r="A5626" t="inlineStr">
        <is>
          <t>PT Triputra Agro Persada Tbk</t>
        </is>
      </c>
      <c r="B5626" t="inlineStr">
        <is>
          <t>TAPG_2023_AR.pdf</t>
        </is>
      </c>
      <c r="C5626" t="n">
        <v>2023</v>
      </c>
      <c r="D5626" t="inlineStr">
        <is>
          <t>Financial</t>
        </is>
      </c>
      <c r="E5626" t="inlineStr">
        <is>
          <t>CFF (Cash Flow from Financing)</t>
        </is>
      </c>
      <c r="F5626" t="n">
        <v>-2050</v>
      </c>
      <c r="G5626" t="inlineStr">
        <is>
          <t>IDR bn</t>
        </is>
      </c>
      <c r="H5626" t="n">
        <v>102</v>
      </c>
      <c r="I5626" t="inlineStr">
        <is>
          <t>Arus Kas dari Aktivitas Pendanaan (2.049.701) (1.883.703) 9</t>
        </is>
      </c>
      <c r="J5626" t="inlineStr">
        <is>
          <t>High</t>
        </is>
      </c>
      <c r="M5626" t="inlineStr">
        <is>
          <t>LLM</t>
        </is>
      </c>
      <c r="N5626" t="inlineStr">
        <is>
          <t>2026-04-19</t>
        </is>
      </c>
      <c r="O5626" t="inlineStr">
        <is>
          <t>AI</t>
        </is>
      </c>
    </row>
    <row r="5627">
      <c r="A5627" t="inlineStr">
        <is>
          <t>PT Triputra Agro Persada Tbk</t>
        </is>
      </c>
      <c r="B5627" t="inlineStr">
        <is>
          <t>TAPG_2023_AR.pdf</t>
        </is>
      </c>
      <c r="C5627" t="n">
        <v>2023</v>
      </c>
      <c r="D5627" t="inlineStr">
        <is>
          <t>Financial</t>
        </is>
      </c>
      <c r="E5627" t="inlineStr">
        <is>
          <t>Capex Realized 2023</t>
        </is>
      </c>
      <c r="F5627" t="n">
        <v>802</v>
      </c>
      <c r="G5627" t="inlineStr">
        <is>
          <t>IDR bn</t>
        </is>
      </c>
      <c r="H5627" t="n">
        <v>106</v>
      </c>
      <c r="I5627" t="inlineStr">
        <is>
          <t>Pada tahun 2023, Perseroan telah merealisasikan investasi barang modal sebesar Rp802 miliar</t>
        </is>
      </c>
      <c r="J5627" t="inlineStr">
        <is>
          <t>High</t>
        </is>
      </c>
      <c r="M5627" t="inlineStr">
        <is>
          <t>LLM</t>
        </is>
      </c>
      <c r="N5627" t="inlineStr">
        <is>
          <t>2026-04-19</t>
        </is>
      </c>
      <c r="O5627" t="inlineStr">
        <is>
          <t>AI</t>
        </is>
      </c>
    </row>
    <row r="5628">
      <c r="A5628" t="inlineStr">
        <is>
          <t>PT Triputra Agro Persada Tbk</t>
        </is>
      </c>
      <c r="B5628" t="inlineStr">
        <is>
          <t>TAPG_2023_AR.pdf</t>
        </is>
      </c>
      <c r="C5628" t="n">
        <v>2023</v>
      </c>
      <c r="D5628" t="inlineStr">
        <is>
          <t>Financial</t>
        </is>
      </c>
      <c r="E5628" t="inlineStr">
        <is>
          <t>EPS (full Rp)</t>
        </is>
      </c>
      <c r="F5628" t="n">
        <v>81</v>
      </c>
      <c r="G5628" t="inlineStr">
        <is>
          <t>Rp/share</t>
        </is>
      </c>
      <c r="H5628" t="n">
        <v>10</v>
      </c>
      <c r="I5628" t="inlineStr">
        <is>
          <t>Laba (Rugi) per Saham 81 150 59</t>
        </is>
      </c>
      <c r="J5628" t="inlineStr">
        <is>
          <t>High</t>
        </is>
      </c>
      <c r="M5628" t="inlineStr">
        <is>
          <t>LLM</t>
        </is>
      </c>
      <c r="N5628" t="inlineStr">
        <is>
          <t>2026-04-19</t>
        </is>
      </c>
      <c r="O5628" t="inlineStr">
        <is>
          <t>AI</t>
        </is>
      </c>
    </row>
    <row r="5629">
      <c r="A5629" t="inlineStr">
        <is>
          <t>PT Triputra Agro Persada Tbk</t>
        </is>
      </c>
      <c r="B5629" t="inlineStr">
        <is>
          <t>TAPG_2023_AR.pdf</t>
        </is>
      </c>
      <c r="C5629" t="n">
        <v>2023</v>
      </c>
      <c r="D5629" t="inlineStr">
        <is>
          <t>Financial</t>
        </is>
      </c>
      <c r="E5629" t="inlineStr">
        <is>
          <t>Shares Outstanding</t>
        </is>
      </c>
      <c r="F5629" t="n">
        <v>19853</v>
      </c>
      <c r="G5629" t="inlineStr">
        <is>
          <t>mn</t>
        </is>
      </c>
      <c r="H5629" t="n">
        <v>12</v>
      </c>
      <c r="I5629" t="inlineStr">
        <is>
          <t>Jumlah Saham Beredar 19.852.540.000</t>
        </is>
      </c>
      <c r="J5629" t="inlineStr">
        <is>
          <t>High</t>
        </is>
      </c>
      <c r="M5629" t="inlineStr">
        <is>
          <t>LLM</t>
        </is>
      </c>
      <c r="N5629" t="inlineStr">
        <is>
          <t>2026-04-19</t>
        </is>
      </c>
      <c r="O5629" t="inlineStr">
        <is>
          <t>AI</t>
        </is>
      </c>
    </row>
    <row r="5630">
      <c r="A5630" t="inlineStr">
        <is>
          <t>PT Triputra Agro Persada Tbk</t>
        </is>
      </c>
      <c r="B5630" t="inlineStr">
        <is>
          <t>TAPG_2023_AR.pdf</t>
        </is>
      </c>
      <c r="C5630" t="n">
        <v>2023</v>
      </c>
      <c r="D5630" t="inlineStr">
        <is>
          <t>Financial</t>
        </is>
      </c>
      <c r="E5630" t="inlineStr">
        <is>
          <t>Share Price 31-Dec-2023 (Q4 close)</t>
        </is>
      </c>
      <c r="F5630" t="n">
        <v>545</v>
      </c>
      <c r="G5630" t="inlineStr">
        <is>
          <t>Rp/share</t>
        </is>
      </c>
      <c r="H5630" t="n">
        <v>12</v>
      </c>
      <c r="I5630" t="inlineStr">
        <is>
          <t>IV 570 525 545 383.691.700 19.852.540.000 10.819.634.300.000</t>
        </is>
      </c>
      <c r="J5630" t="inlineStr">
        <is>
          <t>High</t>
        </is>
      </c>
      <c r="M5630" t="inlineStr">
        <is>
          <t>LLM</t>
        </is>
      </c>
      <c r="N5630" t="inlineStr">
        <is>
          <t>2026-04-19</t>
        </is>
      </c>
      <c r="O5630" t="inlineStr">
        <is>
          <t>AI</t>
        </is>
      </c>
    </row>
    <row r="5631">
      <c r="A5631" t="inlineStr">
        <is>
          <t>PT Triputra Agro Persada Tbk</t>
        </is>
      </c>
      <c r="B5631" t="inlineStr">
        <is>
          <t>TAPG_2023_AR.pdf</t>
        </is>
      </c>
      <c r="C5631" t="n">
        <v>2023</v>
      </c>
      <c r="D5631" t="inlineStr">
        <is>
          <t>Financial</t>
        </is>
      </c>
      <c r="E5631" t="inlineStr">
        <is>
          <t>Market Cap Q4 2023</t>
        </is>
      </c>
      <c r="F5631" t="n">
        <v>10820</v>
      </c>
      <c r="G5631" t="inlineStr">
        <is>
          <t>IDR bn</t>
        </is>
      </c>
      <c r="H5631" t="n">
        <v>12</v>
      </c>
      <c r="I5631" t="inlineStr">
        <is>
          <t>Kapitalisasi Pasar (Rp) 10.819.634.300.000</t>
        </is>
      </c>
      <c r="J5631" t="inlineStr">
        <is>
          <t>High</t>
        </is>
      </c>
      <c r="M5631" t="inlineStr">
        <is>
          <t>LLM</t>
        </is>
      </c>
      <c r="N5631" t="inlineStr">
        <is>
          <t>2026-04-19</t>
        </is>
      </c>
      <c r="O5631" t="inlineStr">
        <is>
          <t>AI</t>
        </is>
      </c>
    </row>
    <row r="5632">
      <c r="A5632" t="inlineStr">
        <is>
          <t>PT Triputra Agro Persada Tbk</t>
        </is>
      </c>
      <c r="B5632" t="inlineStr">
        <is>
          <t>TAPG_2023_AR.pdf</t>
        </is>
      </c>
      <c r="C5632" t="n">
        <v>2023</v>
      </c>
      <c r="D5632" t="inlineStr">
        <is>
          <t>Financial</t>
        </is>
      </c>
      <c r="E5632" t="inlineStr">
        <is>
          <t>Dividend per Share 2022 FY (paid 2023)</t>
        </is>
      </c>
      <c r="F5632" t="n">
        <v>38</v>
      </c>
      <c r="G5632" t="inlineStr">
        <is>
          <t>Rp/share</t>
        </is>
      </c>
      <c r="H5632" t="n">
        <v>110</v>
      </c>
      <c r="I5632" t="inlineStr">
        <is>
          <t>16 Juni 2023 2022 Rp38 Rp754.397 juta 25,30%</t>
        </is>
      </c>
      <c r="J5632" t="inlineStr">
        <is>
          <t>High</t>
        </is>
      </c>
      <c r="M5632" t="inlineStr">
        <is>
          <t>LLM</t>
        </is>
      </c>
      <c r="N5632" t="inlineStr">
        <is>
          <t>2026-04-19</t>
        </is>
      </c>
      <c r="O5632" t="inlineStr">
        <is>
          <t>AI</t>
        </is>
      </c>
    </row>
    <row r="5633">
      <c r="A5633" t="inlineStr">
        <is>
          <t>PT Triputra Agro Persada Tbk</t>
        </is>
      </c>
      <c r="B5633" t="inlineStr">
        <is>
          <t>TAPG_2023_AR.pdf</t>
        </is>
      </c>
      <c r="C5633" t="n">
        <v>2023</v>
      </c>
      <c r="D5633" t="inlineStr">
        <is>
          <t>Financial</t>
        </is>
      </c>
      <c r="E5633" t="inlineStr">
        <is>
          <t>Debt-to-Equity (Liabilities)</t>
        </is>
      </c>
      <c r="F5633" t="n">
        <v>22.3</v>
      </c>
      <c r="G5633" t="inlineStr">
        <is>
          <t>%</t>
        </is>
      </c>
      <c r="H5633" t="n">
        <v>10</v>
      </c>
      <c r="I5633" t="inlineStr">
        <is>
          <t>Total Liabilitas/Total Ekuitas 22,3 39,5 59,6</t>
        </is>
      </c>
      <c r="J5633" t="inlineStr">
        <is>
          <t>High</t>
        </is>
      </c>
      <c r="M5633" t="inlineStr">
        <is>
          <t>LLM</t>
        </is>
      </c>
      <c r="N5633" t="inlineStr">
        <is>
          <t>2026-04-19</t>
        </is>
      </c>
      <c r="O5633" t="inlineStr">
        <is>
          <t>AI</t>
        </is>
      </c>
    </row>
    <row r="5634">
      <c r="A5634" t="inlineStr">
        <is>
          <t>PT Triputra Agro Persada Tbk</t>
        </is>
      </c>
      <c r="B5634" t="inlineStr">
        <is>
          <t>TAPG_2023_AR.pdf</t>
        </is>
      </c>
      <c r="C5634" t="n">
        <v>2023</v>
      </c>
      <c r="D5634" t="inlineStr">
        <is>
          <t>Financial</t>
        </is>
      </c>
      <c r="E5634" t="inlineStr">
        <is>
          <t>Net Debt/Equity</t>
        </is>
      </c>
      <c r="F5634" t="n">
        <v>0.01</v>
      </c>
      <c r="G5634" t="inlineStr">
        <is>
          <t>x</t>
        </is>
      </c>
      <c r="H5634" t="n">
        <v>103</v>
      </c>
      <c r="I5634" t="inlineStr">
        <is>
          <t>Total Utang Neto Grup terhadap Ekuitas Group 0,010 0,036</t>
        </is>
      </c>
      <c r="J5634" t="inlineStr">
        <is>
          <t>High</t>
        </is>
      </c>
      <c r="M5634" t="inlineStr">
        <is>
          <t>LLM</t>
        </is>
      </c>
      <c r="N5634" t="inlineStr">
        <is>
          <t>2026-04-19</t>
        </is>
      </c>
      <c r="O5634" t="inlineStr">
        <is>
          <t>AI</t>
        </is>
      </c>
    </row>
    <row r="5635">
      <c r="A5635" t="inlineStr">
        <is>
          <t>PT Triputra Agro Persada Tbk</t>
        </is>
      </c>
      <c r="B5635" t="inlineStr">
        <is>
          <t>TAPG_2023_AR.pdf</t>
        </is>
      </c>
      <c r="C5635" t="n">
        <v>2023</v>
      </c>
      <c r="D5635" t="inlineStr">
        <is>
          <t>Financial</t>
        </is>
      </c>
      <c r="E5635" t="inlineStr">
        <is>
          <t>Net Debt/EBITDA</t>
        </is>
      </c>
      <c r="F5635" t="n">
        <v>0.043</v>
      </c>
      <c r="G5635" t="inlineStr">
        <is>
          <t>x</t>
        </is>
      </c>
      <c r="H5635" t="n">
        <v>103</v>
      </c>
      <c r="I5635" t="inlineStr">
        <is>
          <t>Total Utang Neto terhadap EBITDA 0,043 0,082</t>
        </is>
      </c>
      <c r="J5635" t="inlineStr">
        <is>
          <t>High</t>
        </is>
      </c>
      <c r="M5635" t="inlineStr">
        <is>
          <t>LLM</t>
        </is>
      </c>
      <c r="N5635" t="inlineStr">
        <is>
          <t>2026-04-19</t>
        </is>
      </c>
      <c r="O5635" t="inlineStr">
        <is>
          <t>AI</t>
        </is>
      </c>
    </row>
    <row r="5636">
      <c r="A5636" t="inlineStr">
        <is>
          <t>PT Triputra Agro Persada Tbk</t>
        </is>
      </c>
      <c r="B5636" t="inlineStr">
        <is>
          <t>TAPG_2023_AR.pdf</t>
        </is>
      </c>
      <c r="C5636" t="n">
        <v>2023</v>
      </c>
      <c r="D5636" t="inlineStr">
        <is>
          <t>Financial</t>
        </is>
      </c>
      <c r="E5636" t="inlineStr">
        <is>
          <t>Gross Profit Margin</t>
        </is>
      </c>
      <c r="F5636" t="n">
        <v>26.6</v>
      </c>
      <c r="G5636" t="inlineStr">
        <is>
          <t>%</t>
        </is>
      </c>
      <c r="H5636" t="n">
        <v>10</v>
      </c>
      <c r="I5636" t="inlineStr">
        <is>
          <t>Laba Bruto/Penjualan 26,6 39,8 25,7</t>
        </is>
      </c>
      <c r="J5636" t="inlineStr">
        <is>
          <t>High</t>
        </is>
      </c>
      <c r="M5636" t="inlineStr">
        <is>
          <t>LLM</t>
        </is>
      </c>
      <c r="N5636" t="inlineStr">
        <is>
          <t>2026-04-19</t>
        </is>
      </c>
      <c r="O5636" t="inlineStr">
        <is>
          <t>AI</t>
        </is>
      </c>
    </row>
    <row r="5637">
      <c r="A5637" t="inlineStr">
        <is>
          <t>PT Triputra Agro Persada Tbk</t>
        </is>
      </c>
      <c r="B5637" t="inlineStr">
        <is>
          <t>TAPG_2023_AR.pdf</t>
        </is>
      </c>
      <c r="C5637" t="n">
        <v>2023</v>
      </c>
      <c r="D5637" t="inlineStr">
        <is>
          <t>Financial</t>
        </is>
      </c>
      <c r="E5637" t="inlineStr">
        <is>
          <t>Current Ratio</t>
        </is>
      </c>
      <c r="F5637" t="n">
        <v>124.9</v>
      </c>
      <c r="G5637" t="inlineStr">
        <is>
          <t>%</t>
        </is>
      </c>
      <c r="H5637" t="n">
        <v>10</v>
      </c>
      <c r="I5637" t="inlineStr">
        <is>
          <t>Aset Lancar/Liabilitas Jangka Pendek 124,9 175,7 154,2</t>
        </is>
      </c>
      <c r="J5637" t="inlineStr">
        <is>
          <t>High</t>
        </is>
      </c>
      <c r="M5637" t="inlineStr">
        <is>
          <t>LLM</t>
        </is>
      </c>
      <c r="N5637" t="inlineStr">
        <is>
          <t>2026-04-19</t>
        </is>
      </c>
      <c r="O5637" t="inlineStr">
        <is>
          <t>AI</t>
        </is>
      </c>
    </row>
    <row r="5638">
      <c r="A5638" t="inlineStr">
        <is>
          <t>PT Triputra Agro Persada Tbk</t>
        </is>
      </c>
      <c r="B5638" t="inlineStr">
        <is>
          <t>TAPG_2023_AR.pdf</t>
        </is>
      </c>
      <c r="C5638" t="n">
        <v>2023</v>
      </c>
      <c r="D5638" t="inlineStr">
        <is>
          <t>Asset</t>
        </is>
      </c>
      <c r="E5638" t="inlineStr">
        <is>
          <t>Total Planted Area</t>
        </is>
      </c>
      <c r="F5638" t="n">
        <v>160500</v>
      </c>
      <c r="G5638" t="inlineStr">
        <is>
          <t>ha</t>
        </is>
      </c>
      <c r="H5638" t="n">
        <v>11</v>
      </c>
      <c r="I5638" t="inlineStr">
        <is>
          <t>Total Lahan Tertanam Perkebunan Kelapa Sawit 160,5 ribu hektar</t>
        </is>
      </c>
      <c r="J5638" t="inlineStr">
        <is>
          <t>High</t>
        </is>
      </c>
      <c r="M5638" t="inlineStr">
        <is>
          <t>LLM</t>
        </is>
      </c>
      <c r="N5638" t="inlineStr">
        <is>
          <t>2026-04-19</t>
        </is>
      </c>
      <c r="O5638" t="inlineStr">
        <is>
          <t>AI</t>
        </is>
      </c>
    </row>
    <row r="5639">
      <c r="A5639" t="inlineStr">
        <is>
          <t>PT Triputra Agro Persada Tbk</t>
        </is>
      </c>
      <c r="B5639" t="inlineStr">
        <is>
          <t>TAPG_2023_AR.pdf</t>
        </is>
      </c>
      <c r="C5639" t="n">
        <v>2023</v>
      </c>
      <c r="D5639" t="inlineStr">
        <is>
          <t>Asset</t>
        </is>
      </c>
      <c r="E5639" t="inlineStr">
        <is>
          <t>Nucleus Planted Area</t>
        </is>
      </c>
      <c r="F5639" t="n">
        <v>136400</v>
      </c>
      <c r="G5639" t="inlineStr">
        <is>
          <t>ha</t>
        </is>
      </c>
      <c r="H5639" t="n">
        <v>11</v>
      </c>
      <c r="I5639" t="inlineStr">
        <is>
          <t>Total Lahan Tertanam Perkebunan Kelapa Sawit Inti 136,4 ribu hektar</t>
        </is>
      </c>
      <c r="J5639" t="inlineStr">
        <is>
          <t>High</t>
        </is>
      </c>
      <c r="M5639" t="inlineStr">
        <is>
          <t>LLM</t>
        </is>
      </c>
      <c r="N5639" t="inlineStr">
        <is>
          <t>2026-04-19</t>
        </is>
      </c>
      <c r="O5639" t="inlineStr">
        <is>
          <t>AI</t>
        </is>
      </c>
    </row>
    <row r="5640">
      <c r="A5640" t="inlineStr">
        <is>
          <t>PT Triputra Agro Persada Tbk</t>
        </is>
      </c>
      <c r="B5640" t="inlineStr">
        <is>
          <t>TAPG_2023_AR.pdf</t>
        </is>
      </c>
      <c r="C5640" t="n">
        <v>2023</v>
      </c>
      <c r="D5640" t="inlineStr">
        <is>
          <t>Asset</t>
        </is>
      </c>
      <c r="E5640" t="inlineStr">
        <is>
          <t>Plasma Planted Area</t>
        </is>
      </c>
      <c r="F5640" t="n">
        <v>24100</v>
      </c>
      <c r="G5640" t="inlineStr">
        <is>
          <t>ha</t>
        </is>
      </c>
      <c r="H5640" t="n">
        <v>11</v>
      </c>
      <c r="I5640" t="inlineStr">
        <is>
          <t>Total Lahan Tertanam Perkebunan Kelapa Sawit Plasma 24,1 ribu hektar</t>
        </is>
      </c>
      <c r="J5640" t="inlineStr">
        <is>
          <t>High</t>
        </is>
      </c>
      <c r="M5640" t="inlineStr">
        <is>
          <t>LLM</t>
        </is>
      </c>
      <c r="N5640" t="inlineStr">
        <is>
          <t>2026-04-19</t>
        </is>
      </c>
      <c r="O5640" t="inlineStr">
        <is>
          <t>AI</t>
        </is>
      </c>
    </row>
    <row r="5641">
      <c r="A5641" t="inlineStr">
        <is>
          <t>PT Triputra Agro Persada Tbk</t>
        </is>
      </c>
      <c r="B5641" t="inlineStr">
        <is>
          <t>TAPG_2023_AR.pdf</t>
        </is>
      </c>
      <c r="C5641" t="n">
        <v>2023</v>
      </c>
      <c r="D5641" t="inlineStr">
        <is>
          <t>Asset</t>
        </is>
      </c>
      <c r="E5641" t="inlineStr">
        <is>
          <t>Rubber Planted Area</t>
        </is>
      </c>
      <c r="F5641" t="n">
        <v>1300</v>
      </c>
      <c r="G5641" t="inlineStr">
        <is>
          <t>ha</t>
        </is>
      </c>
      <c r="H5641" t="n">
        <v>11</v>
      </c>
      <c r="I5641" t="inlineStr">
        <is>
          <t>Total Lahan Tertanam Perkebunan Karet 1,3 ribu hektar</t>
        </is>
      </c>
      <c r="J5641" t="inlineStr">
        <is>
          <t>High</t>
        </is>
      </c>
      <c r="M5641" t="inlineStr">
        <is>
          <t>LLM</t>
        </is>
      </c>
      <c r="N5641" t="inlineStr">
        <is>
          <t>2026-04-19</t>
        </is>
      </c>
      <c r="O5641" t="inlineStr">
        <is>
          <t>AI</t>
        </is>
      </c>
    </row>
    <row r="5642">
      <c r="A5642" t="inlineStr">
        <is>
          <t>PT Triputra Agro Persada Tbk</t>
        </is>
      </c>
      <c r="B5642" t="inlineStr">
        <is>
          <t>TAPG_2023_AR.pdf</t>
        </is>
      </c>
      <c r="C5642" t="n">
        <v>2023</v>
      </c>
      <c r="D5642" t="inlineStr">
        <is>
          <t>Asset</t>
        </is>
      </c>
      <c r="E5642" t="inlineStr">
        <is>
          <t>Age 0-3 years (Nucleus)</t>
        </is>
      </c>
      <c r="F5642" t="n">
        <v>7164</v>
      </c>
      <c r="G5642" t="inlineStr">
        <is>
          <t>ha</t>
        </is>
      </c>
      <c r="H5642" t="n">
        <v>96</v>
      </c>
      <c r="I5642" t="inlineStr">
        <is>
          <t>0-3 tahun years 7.164 10.263</t>
        </is>
      </c>
      <c r="J5642" t="inlineStr">
        <is>
          <t>High</t>
        </is>
      </c>
      <c r="M5642" t="inlineStr">
        <is>
          <t>LLM</t>
        </is>
      </c>
      <c r="N5642" t="inlineStr">
        <is>
          <t>2026-04-19</t>
        </is>
      </c>
      <c r="O5642" t="inlineStr">
        <is>
          <t>AI</t>
        </is>
      </c>
    </row>
    <row r="5643">
      <c r="A5643" t="inlineStr">
        <is>
          <t>PT Triputra Agro Persada Tbk</t>
        </is>
      </c>
      <c r="B5643" t="inlineStr">
        <is>
          <t>TAPG_2023_AR.pdf</t>
        </is>
      </c>
      <c r="C5643" t="n">
        <v>2023</v>
      </c>
      <c r="D5643" t="inlineStr">
        <is>
          <t>Asset</t>
        </is>
      </c>
      <c r="E5643" t="inlineStr">
        <is>
          <t>Age 4-6 years (Nucleus)</t>
        </is>
      </c>
      <c r="F5643" t="n">
        <v>3880</v>
      </c>
      <c r="G5643" t="inlineStr">
        <is>
          <t>ha</t>
        </is>
      </c>
      <c r="H5643" t="n">
        <v>96</v>
      </c>
      <c r="I5643" t="inlineStr">
        <is>
          <t>4-6 tahun years 3.880 6.590</t>
        </is>
      </c>
      <c r="J5643" t="inlineStr">
        <is>
          <t>High</t>
        </is>
      </c>
      <c r="M5643" t="inlineStr">
        <is>
          <t>LLM</t>
        </is>
      </c>
      <c r="N5643" t="inlineStr">
        <is>
          <t>2026-04-19</t>
        </is>
      </c>
      <c r="O5643" t="inlineStr">
        <is>
          <t>AI</t>
        </is>
      </c>
    </row>
    <row r="5644">
      <c r="A5644" t="inlineStr">
        <is>
          <t>PT Triputra Agro Persada Tbk</t>
        </is>
      </c>
      <c r="B5644" t="inlineStr">
        <is>
          <t>TAPG_2023_AR.pdf</t>
        </is>
      </c>
      <c r="C5644" t="n">
        <v>2023</v>
      </c>
      <c r="D5644" t="inlineStr">
        <is>
          <t>Asset</t>
        </is>
      </c>
      <c r="E5644" t="inlineStr">
        <is>
          <t>Age 7-20 years (Nucleus)</t>
        </is>
      </c>
      <c r="F5644" t="n">
        <v>118186</v>
      </c>
      <c r="G5644" t="inlineStr">
        <is>
          <t>ha</t>
        </is>
      </c>
      <c r="H5644" t="n">
        <v>96</v>
      </c>
      <c r="I5644" t="inlineStr">
        <is>
          <t>7-20 tahun years 118.186 132.063</t>
        </is>
      </c>
      <c r="J5644" t="inlineStr">
        <is>
          <t>High</t>
        </is>
      </c>
      <c r="M5644" t="inlineStr">
        <is>
          <t>LLM</t>
        </is>
      </c>
      <c r="N5644" t="inlineStr">
        <is>
          <t>2026-04-19</t>
        </is>
      </c>
      <c r="O5644" t="inlineStr">
        <is>
          <t>AI</t>
        </is>
      </c>
    </row>
    <row r="5645">
      <c r="A5645" t="inlineStr">
        <is>
          <t>PT Triputra Agro Persada Tbk</t>
        </is>
      </c>
      <c r="B5645" t="inlineStr">
        <is>
          <t>TAPG_2023_AR.pdf</t>
        </is>
      </c>
      <c r="C5645" t="n">
        <v>2023</v>
      </c>
      <c r="D5645" t="inlineStr">
        <is>
          <t>Asset</t>
        </is>
      </c>
      <c r="E5645" t="inlineStr">
        <is>
          <t>Age &gt;20 years (Nucleus)</t>
        </is>
      </c>
      <c r="F5645" t="n">
        <v>7155</v>
      </c>
      <c r="G5645" t="inlineStr">
        <is>
          <t>ha</t>
        </is>
      </c>
      <c r="H5645" t="n">
        <v>96</v>
      </c>
      <c r="I5645" t="inlineStr">
        <is>
          <t>&gt;20 tahun years 7.155 11.628</t>
        </is>
      </c>
      <c r="J5645" t="inlineStr">
        <is>
          <t>High</t>
        </is>
      </c>
      <c r="M5645" t="inlineStr">
        <is>
          <t>LLM</t>
        </is>
      </c>
      <c r="N5645" t="inlineStr">
        <is>
          <t>2026-04-19</t>
        </is>
      </c>
      <c r="O5645" t="inlineStr">
        <is>
          <t>AI</t>
        </is>
      </c>
    </row>
    <row r="5646">
      <c r="A5646" t="inlineStr">
        <is>
          <t>PT Triputra Agro Persada Tbk</t>
        </is>
      </c>
      <c r="B5646" t="inlineStr">
        <is>
          <t>TAPG_2023_AR.pdf</t>
        </is>
      </c>
      <c r="C5646" t="n">
        <v>2023</v>
      </c>
      <c r="D5646" t="inlineStr">
        <is>
          <t>Asset</t>
        </is>
      </c>
      <c r="E5646" t="inlineStr">
        <is>
          <t>Mature Area (Nucleus)</t>
        </is>
      </c>
      <c r="F5646" t="n">
        <v>129221</v>
      </c>
      <c r="G5646" t="inlineStr">
        <is>
          <t>ha</t>
        </is>
      </c>
      <c r="H5646" t="n">
        <v>96</v>
      </c>
      <c r="I5646" t="inlineStr">
        <is>
          <t>Sudah Menghasilkan Total 129.221 100</t>
        </is>
      </c>
      <c r="J5646" t="inlineStr">
        <is>
          <t>High</t>
        </is>
      </c>
      <c r="M5646" t="inlineStr">
        <is>
          <t>LLM</t>
        </is>
      </c>
      <c r="N5646" t="inlineStr">
        <is>
          <t>2026-04-19</t>
        </is>
      </c>
      <c r="O5646" t="inlineStr">
        <is>
          <t>AI</t>
        </is>
      </c>
    </row>
    <row r="5647">
      <c r="A5647" t="inlineStr">
        <is>
          <t>PT Triputra Agro Persada Tbk</t>
        </is>
      </c>
      <c r="B5647" t="inlineStr">
        <is>
          <t>TAPG_2023_AR.pdf</t>
        </is>
      </c>
      <c r="C5647" t="n">
        <v>2023</v>
      </c>
      <c r="D5647" t="inlineStr">
        <is>
          <t>Asset</t>
        </is>
      </c>
      <c r="E5647" t="inlineStr">
        <is>
          <t>Immature Area (Nucleus)</t>
        </is>
      </c>
      <c r="F5647" t="n">
        <v>7164</v>
      </c>
      <c r="G5647" t="inlineStr">
        <is>
          <t>ha</t>
        </is>
      </c>
      <c r="H5647" t="n">
        <v>96</v>
      </c>
      <c r="I5647" t="inlineStr">
        <is>
          <t>Belum Menghasilkan Total 7.164 100</t>
        </is>
      </c>
      <c r="J5647" t="inlineStr">
        <is>
          <t>High</t>
        </is>
      </c>
      <c r="M5647" t="inlineStr">
        <is>
          <t>LLM</t>
        </is>
      </c>
      <c r="N5647" t="inlineStr">
        <is>
          <t>2026-04-19</t>
        </is>
      </c>
      <c r="O5647" t="inlineStr">
        <is>
          <t>AI</t>
        </is>
      </c>
    </row>
    <row r="5648">
      <c r="A5648" t="inlineStr">
        <is>
          <t>PT Triputra Agro Persada Tbk</t>
        </is>
      </c>
      <c r="B5648" t="inlineStr">
        <is>
          <t>TAPG_2023_AR.pdf</t>
        </is>
      </c>
      <c r="C5648" t="n">
        <v>2023</v>
      </c>
      <c r="D5648" t="inlineStr">
        <is>
          <t>Asset</t>
        </is>
      </c>
      <c r="E5648" t="inlineStr">
        <is>
          <t>Sumatra Mature Area</t>
        </is>
      </c>
      <c r="F5648" t="n">
        <v>2123</v>
      </c>
      <c r="G5648" t="inlineStr">
        <is>
          <t>ha</t>
        </is>
      </c>
      <c r="H5648" t="n">
        <v>96</v>
      </c>
      <c r="I5648" t="inlineStr">
        <is>
          <t>Sumatra 2.123 2 3.392 47</t>
        </is>
      </c>
      <c r="J5648" t="inlineStr">
        <is>
          <t>High</t>
        </is>
      </c>
      <c r="M5648" t="inlineStr">
        <is>
          <t>LLM</t>
        </is>
      </c>
      <c r="N5648" t="inlineStr">
        <is>
          <t>2026-04-19</t>
        </is>
      </c>
      <c r="O5648" t="inlineStr">
        <is>
          <t>AI</t>
        </is>
      </c>
    </row>
    <row r="5649">
      <c r="A5649" t="inlineStr">
        <is>
          <t>PT Triputra Agro Persada Tbk</t>
        </is>
      </c>
      <c r="B5649" t="inlineStr">
        <is>
          <t>TAPG_2023_AR.pdf</t>
        </is>
      </c>
      <c r="C5649" t="n">
        <v>2023</v>
      </c>
      <c r="D5649" t="inlineStr">
        <is>
          <t>Asset</t>
        </is>
      </c>
      <c r="E5649" t="inlineStr">
        <is>
          <t>Central Kalimantan Mature Area</t>
        </is>
      </c>
      <c r="F5649" t="n">
        <v>77619</v>
      </c>
      <c r="G5649" t="inlineStr">
        <is>
          <t>ha</t>
        </is>
      </c>
      <c r="H5649" t="n">
        <v>96</v>
      </c>
      <c r="I5649" t="inlineStr">
        <is>
          <t>Kalimantan Tengah 77.619 60 3.639 51</t>
        </is>
      </c>
      <c r="J5649" t="inlineStr">
        <is>
          <t>High</t>
        </is>
      </c>
      <c r="M5649" t="inlineStr">
        <is>
          <t>LLM</t>
        </is>
      </c>
      <c r="N5649" t="inlineStr">
        <is>
          <t>2026-04-19</t>
        </is>
      </c>
      <c r="O5649" t="inlineStr">
        <is>
          <t>AI</t>
        </is>
      </c>
    </row>
    <row r="5650">
      <c r="A5650" t="inlineStr">
        <is>
          <t>PT Triputra Agro Persada Tbk</t>
        </is>
      </c>
      <c r="B5650" t="inlineStr">
        <is>
          <t>TAPG_2023_AR.pdf</t>
        </is>
      </c>
      <c r="C5650" t="n">
        <v>2023</v>
      </c>
      <c r="D5650" t="inlineStr">
        <is>
          <t>Asset</t>
        </is>
      </c>
      <c r="E5650" t="inlineStr">
        <is>
          <t>East Kalimantan Mature Area</t>
        </is>
      </c>
      <c r="F5650" t="n">
        <v>49479</v>
      </c>
      <c r="G5650" t="inlineStr">
        <is>
          <t>ha</t>
        </is>
      </c>
      <c r="H5650" t="n">
        <v>96</v>
      </c>
      <c r="I5650" t="inlineStr">
        <is>
          <t>Kalimantan Timur 49.479 38 133 2</t>
        </is>
      </c>
      <c r="J5650" t="inlineStr">
        <is>
          <t>High</t>
        </is>
      </c>
      <c r="M5650" t="inlineStr">
        <is>
          <t>LLM</t>
        </is>
      </c>
      <c r="N5650" t="inlineStr">
        <is>
          <t>2026-04-19</t>
        </is>
      </c>
      <c r="O5650" t="inlineStr">
        <is>
          <t>AI</t>
        </is>
      </c>
    </row>
    <row r="5651">
      <c r="A5651" t="inlineStr">
        <is>
          <t>PT Triputra Agro Persada Tbk</t>
        </is>
      </c>
      <c r="B5651" t="inlineStr">
        <is>
          <t>TAPG_2023_AR.pdf</t>
        </is>
      </c>
      <c r="C5651" t="n">
        <v>2023</v>
      </c>
      <c r="D5651" t="inlineStr">
        <is>
          <t>Asset</t>
        </is>
      </c>
      <c r="E5651" t="inlineStr">
        <is>
          <t>Palm Oil Mill Count</t>
        </is>
      </c>
      <c r="F5651" t="n">
        <v>18</v>
      </c>
      <c r="G5651" t="inlineStr">
        <is>
          <t>count</t>
        </is>
      </c>
      <c r="H5651" t="n">
        <v>95</v>
      </c>
      <c r="I5651" t="inlineStr">
        <is>
          <t>Perseroan telah memiliki 18 pabrik kelapa sawit</t>
        </is>
      </c>
      <c r="J5651" t="inlineStr">
        <is>
          <t>High</t>
        </is>
      </c>
      <c r="M5651" t="inlineStr">
        <is>
          <t>LLM</t>
        </is>
      </c>
      <c r="N5651" t="inlineStr">
        <is>
          <t>2026-04-19</t>
        </is>
      </c>
      <c r="O5651" t="inlineStr">
        <is>
          <t>AI</t>
        </is>
      </c>
    </row>
    <row r="5652">
      <c r="A5652" t="inlineStr">
        <is>
          <t>PT Triputra Agro Persada Tbk</t>
        </is>
      </c>
      <c r="B5652" t="inlineStr">
        <is>
          <t>TAPG_2023_AR.pdf</t>
        </is>
      </c>
      <c r="C5652" t="n">
        <v>2023</v>
      </c>
      <c r="D5652" t="inlineStr">
        <is>
          <t>Asset</t>
        </is>
      </c>
      <c r="E5652" t="inlineStr">
        <is>
          <t>Total Mill Capacity</t>
        </is>
      </c>
      <c r="F5652" t="n">
        <v>995</v>
      </c>
      <c r="G5652" t="inlineStr">
        <is>
          <t>tph</t>
        </is>
      </c>
      <c r="H5652" t="n">
        <v>95</v>
      </c>
      <c r="I5652" t="inlineStr">
        <is>
          <t>18 pabrik pengolahan kelapa sawit dengan total kapasitas 995 ton per jam</t>
        </is>
      </c>
      <c r="J5652" t="inlineStr">
        <is>
          <t>High</t>
        </is>
      </c>
      <c r="M5652" t="inlineStr">
        <is>
          <t>LLM</t>
        </is>
      </c>
      <c r="N5652" t="inlineStr">
        <is>
          <t>2026-04-19</t>
        </is>
      </c>
      <c r="O5652" t="inlineStr">
        <is>
          <t>AI</t>
        </is>
      </c>
    </row>
    <row r="5653">
      <c r="A5653" t="inlineStr">
        <is>
          <t>PT Triputra Agro Persada Tbk</t>
        </is>
      </c>
      <c r="B5653" t="inlineStr">
        <is>
          <t>TAPG_2023_AR.pdf</t>
        </is>
      </c>
      <c r="C5653" t="n">
        <v>2023</v>
      </c>
      <c r="D5653" t="inlineStr">
        <is>
          <t>Asset</t>
        </is>
      </c>
      <c r="E5653" t="inlineStr">
        <is>
          <t>Kernel Crushing Plant Count</t>
        </is>
      </c>
      <c r="F5653" t="n">
        <v>1</v>
      </c>
      <c r="G5653" t="inlineStr">
        <is>
          <t>count</t>
        </is>
      </c>
      <c r="H5653" t="n">
        <v>95</v>
      </c>
      <c r="I5653" t="inlineStr">
        <is>
          <t>Disamping itu pada tahun 2023 telah beroperasi Kernel Crushing Plant (KCP) yang terfasilitasi dengan Pembangkit Listrik Tenaga Biogas (PLTBg)</t>
        </is>
      </c>
      <c r="J5653" t="inlineStr">
        <is>
          <t>High</t>
        </is>
      </c>
      <c r="M5653" t="inlineStr">
        <is>
          <t>LLM</t>
        </is>
      </c>
      <c r="N5653" t="inlineStr">
        <is>
          <t>2026-04-19</t>
        </is>
      </c>
      <c r="O5653" t="inlineStr">
        <is>
          <t>AI</t>
        </is>
      </c>
    </row>
    <row r="5654">
      <c r="A5654" t="inlineStr">
        <is>
          <t>PT Triputra Agro Persada Tbk</t>
        </is>
      </c>
      <c r="B5654" t="inlineStr">
        <is>
          <t>TAPG_2023_AR.pdf</t>
        </is>
      </c>
      <c r="C5654" t="n">
        <v>2023</v>
      </c>
      <c r="D5654" t="inlineStr">
        <is>
          <t>Operation</t>
        </is>
      </c>
      <c r="E5654" t="inlineStr">
        <is>
          <t>FFB Total Production</t>
        </is>
      </c>
      <c r="F5654" t="n">
        <v>3399000</v>
      </c>
      <c r="G5654" t="inlineStr">
        <is>
          <t>t</t>
        </is>
      </c>
      <c r="H5654" t="n">
        <v>11</v>
      </c>
      <c r="I5654" t="inlineStr">
        <is>
          <t>Total TBS Dihasilkan Perkebunan Kelapa Sawit 3.399 ribu ton</t>
        </is>
      </c>
      <c r="J5654" t="inlineStr">
        <is>
          <t>High</t>
        </is>
      </c>
      <c r="M5654" t="inlineStr">
        <is>
          <t>LLM</t>
        </is>
      </c>
      <c r="N5654" t="inlineStr">
        <is>
          <t>2026-04-19</t>
        </is>
      </c>
      <c r="O5654" t="inlineStr">
        <is>
          <t>AI</t>
        </is>
      </c>
    </row>
    <row r="5655">
      <c r="A5655" t="inlineStr">
        <is>
          <t>PT Triputra Agro Persada Tbk</t>
        </is>
      </c>
      <c r="B5655" t="inlineStr">
        <is>
          <t>TAPG_2023_AR.pdf</t>
        </is>
      </c>
      <c r="C5655" t="n">
        <v>2023</v>
      </c>
      <c r="D5655" t="inlineStr">
        <is>
          <t>Operation</t>
        </is>
      </c>
      <c r="E5655" t="inlineStr">
        <is>
          <t>FFB Nucleus</t>
        </is>
      </c>
      <c r="F5655" t="n">
        <v>3050000</v>
      </c>
      <c r="G5655" t="inlineStr">
        <is>
          <t>t</t>
        </is>
      </c>
      <c r="H5655" t="n">
        <v>11</v>
      </c>
      <c r="I5655" t="inlineStr">
        <is>
          <t>Total TBS Dihasilkan Perkebunan Kelapa Sawit Inti 3.050 ribu ton</t>
        </is>
      </c>
      <c r="J5655" t="inlineStr">
        <is>
          <t>High</t>
        </is>
      </c>
      <c r="M5655" t="inlineStr">
        <is>
          <t>LLM</t>
        </is>
      </c>
      <c r="N5655" t="inlineStr">
        <is>
          <t>2026-04-19</t>
        </is>
      </c>
      <c r="O5655" t="inlineStr">
        <is>
          <t>AI</t>
        </is>
      </c>
    </row>
    <row r="5656">
      <c r="A5656" t="inlineStr">
        <is>
          <t>PT Triputra Agro Persada Tbk</t>
        </is>
      </c>
      <c r="B5656" t="inlineStr">
        <is>
          <t>TAPG_2023_AR.pdf</t>
        </is>
      </c>
      <c r="C5656" t="n">
        <v>2023</v>
      </c>
      <c r="D5656" t="inlineStr">
        <is>
          <t>Operation</t>
        </is>
      </c>
      <c r="E5656" t="inlineStr">
        <is>
          <t>FFB Plasma</t>
        </is>
      </c>
      <c r="F5656" t="n">
        <v>348000</v>
      </c>
      <c r="G5656" t="inlineStr">
        <is>
          <t>t</t>
        </is>
      </c>
      <c r="H5656" t="n">
        <v>11</v>
      </c>
      <c r="I5656" t="inlineStr">
        <is>
          <t>Total TBS Dihasilkan Perkebunan Kelapa Sawit Plasma 348 ribu ton</t>
        </is>
      </c>
      <c r="J5656" t="inlineStr">
        <is>
          <t>High</t>
        </is>
      </c>
      <c r="M5656" t="inlineStr">
        <is>
          <t>LLM</t>
        </is>
      </c>
      <c r="N5656" t="inlineStr">
        <is>
          <t>2026-04-19</t>
        </is>
      </c>
      <c r="O5656" t="inlineStr">
        <is>
          <t>AI</t>
        </is>
      </c>
    </row>
    <row r="5657">
      <c r="A5657" t="inlineStr">
        <is>
          <t>PT Triputra Agro Persada Tbk</t>
        </is>
      </c>
      <c r="B5657" t="inlineStr">
        <is>
          <t>TAPG_2023_AR.pdf</t>
        </is>
      </c>
      <c r="C5657" t="n">
        <v>2023</v>
      </c>
      <c r="D5657" t="inlineStr">
        <is>
          <t>Operation</t>
        </is>
      </c>
      <c r="E5657" t="inlineStr">
        <is>
          <t>Total FFB Processed</t>
        </is>
      </c>
      <c r="F5657" t="n">
        <v>4203000</v>
      </c>
      <c r="G5657" t="inlineStr">
        <is>
          <t>t</t>
        </is>
      </c>
      <c r="H5657" t="n">
        <v>11</v>
      </c>
      <c r="I5657" t="inlineStr">
        <is>
          <t>Total TBS Olah 4.203 ribu ton</t>
        </is>
      </c>
      <c r="J5657" t="inlineStr">
        <is>
          <t>High</t>
        </is>
      </c>
      <c r="M5657" t="inlineStr">
        <is>
          <t>LLM</t>
        </is>
      </c>
      <c r="N5657" t="inlineStr">
        <is>
          <t>2026-04-19</t>
        </is>
      </c>
      <c r="O5657" t="inlineStr">
        <is>
          <t>AI</t>
        </is>
      </c>
    </row>
    <row r="5658">
      <c r="A5658" t="inlineStr">
        <is>
          <t>PT Triputra Agro Persada Tbk</t>
        </is>
      </c>
      <c r="B5658" t="inlineStr">
        <is>
          <t>TAPG_2023_AR.pdf</t>
        </is>
      </c>
      <c r="C5658" t="n">
        <v>2023</v>
      </c>
      <c r="D5658" t="inlineStr">
        <is>
          <t>Operation</t>
        </is>
      </c>
      <c r="E5658" t="inlineStr">
        <is>
          <t>Third-Party FFB</t>
        </is>
      </c>
      <c r="F5658" t="n">
        <v>820000</v>
      </c>
      <c r="G5658" t="inlineStr">
        <is>
          <t>t</t>
        </is>
      </c>
      <c r="H5658" t="n">
        <v>96</v>
      </c>
      <c r="I5658" t="inlineStr">
        <is>
          <t>Pihak Ketiga Third Party 820</t>
        </is>
      </c>
      <c r="J5658" t="inlineStr">
        <is>
          <t>High</t>
        </is>
      </c>
      <c r="M5658" t="inlineStr">
        <is>
          <t>LLM</t>
        </is>
      </c>
      <c r="N5658" t="inlineStr">
        <is>
          <t>2026-04-19</t>
        </is>
      </c>
      <c r="O5658" t="inlineStr">
        <is>
          <t>AI</t>
        </is>
      </c>
    </row>
    <row r="5659">
      <c r="A5659" t="inlineStr">
        <is>
          <t>PT Triputra Agro Persada Tbk</t>
        </is>
      </c>
      <c r="B5659" t="inlineStr">
        <is>
          <t>TAPG_2023_AR.pdf</t>
        </is>
      </c>
      <c r="C5659" t="n">
        <v>2023</v>
      </c>
      <c r="D5659" t="inlineStr">
        <is>
          <t>Operation</t>
        </is>
      </c>
      <c r="E5659" t="inlineStr">
        <is>
          <t>CPO Production</t>
        </is>
      </c>
      <c r="F5659" t="n">
        <v>978000</v>
      </c>
      <c r="G5659" t="inlineStr">
        <is>
          <t>t</t>
        </is>
      </c>
      <c r="H5659" t="n">
        <v>11</v>
      </c>
      <c r="I5659" t="inlineStr">
        <is>
          <t>Produksi CPO 978 ribu ton</t>
        </is>
      </c>
      <c r="J5659" t="inlineStr">
        <is>
          <t>High</t>
        </is>
      </c>
      <c r="M5659" t="inlineStr">
        <is>
          <t>LLM</t>
        </is>
      </c>
      <c r="N5659" t="inlineStr">
        <is>
          <t>2026-04-19</t>
        </is>
      </c>
      <c r="O5659" t="inlineStr">
        <is>
          <t>AI</t>
        </is>
      </c>
    </row>
    <row r="5660">
      <c r="A5660" t="inlineStr">
        <is>
          <t>PT Triputra Agro Persada Tbk</t>
        </is>
      </c>
      <c r="B5660" t="inlineStr">
        <is>
          <t>TAPG_2023_AR.pdf</t>
        </is>
      </c>
      <c r="C5660" t="n">
        <v>2023</v>
      </c>
      <c r="D5660" t="inlineStr">
        <is>
          <t>Operation</t>
        </is>
      </c>
      <c r="E5660" t="inlineStr">
        <is>
          <t>PK Production</t>
        </is>
      </c>
      <c r="F5660" t="n">
        <v>208000</v>
      </c>
      <c r="G5660" t="inlineStr">
        <is>
          <t>t</t>
        </is>
      </c>
      <c r="H5660" t="n">
        <v>11</v>
      </c>
      <c r="I5660" t="inlineStr">
        <is>
          <t>Produksi PK 208 ribu ton</t>
        </is>
      </c>
      <c r="J5660" t="inlineStr">
        <is>
          <t>High</t>
        </is>
      </c>
      <c r="M5660" t="inlineStr">
        <is>
          <t>LLM</t>
        </is>
      </c>
      <c r="N5660" t="inlineStr">
        <is>
          <t>2026-04-19</t>
        </is>
      </c>
      <c r="O5660" t="inlineStr">
        <is>
          <t>AI</t>
        </is>
      </c>
    </row>
    <row r="5661">
      <c r="A5661" t="inlineStr">
        <is>
          <t>PT Triputra Agro Persada Tbk</t>
        </is>
      </c>
      <c r="B5661" t="inlineStr">
        <is>
          <t>TAPG_2023_AR.pdf</t>
        </is>
      </c>
      <c r="C5661" t="n">
        <v>2023</v>
      </c>
      <c r="D5661" t="inlineStr">
        <is>
          <t>Operation</t>
        </is>
      </c>
      <c r="E5661" t="inlineStr">
        <is>
          <t>PKO Production</t>
        </is>
      </c>
      <c r="F5661" t="n">
        <v>6500</v>
      </c>
      <c r="G5661" t="inlineStr">
        <is>
          <t>t</t>
        </is>
      </c>
      <c r="H5661" t="n">
        <v>11</v>
      </c>
      <c r="I5661" t="inlineStr">
        <is>
          <t>Produksi PKO 6,5 ribu ton</t>
        </is>
      </c>
      <c r="J5661" t="inlineStr">
        <is>
          <t>High</t>
        </is>
      </c>
      <c r="M5661" t="inlineStr">
        <is>
          <t>LLM</t>
        </is>
      </c>
      <c r="N5661" t="inlineStr">
        <is>
          <t>2026-04-19</t>
        </is>
      </c>
      <c r="O5661" t="inlineStr">
        <is>
          <t>AI</t>
        </is>
      </c>
    </row>
    <row r="5662">
      <c r="A5662" t="inlineStr">
        <is>
          <t>PT Triputra Agro Persada Tbk</t>
        </is>
      </c>
      <c r="B5662" t="inlineStr">
        <is>
          <t>TAPG_2023_AR.pdf</t>
        </is>
      </c>
      <c r="C5662" t="n">
        <v>2023</v>
      </c>
      <c r="D5662" t="inlineStr">
        <is>
          <t>Operation</t>
        </is>
      </c>
      <c r="E5662" t="inlineStr">
        <is>
          <t>Rubber Production</t>
        </is>
      </c>
      <c r="F5662" t="n">
        <v>1300</v>
      </c>
      <c r="G5662" t="inlineStr">
        <is>
          <t>t</t>
        </is>
      </c>
      <c r="H5662" t="n">
        <v>11</v>
      </c>
      <c r="I5662" t="inlineStr">
        <is>
          <t>Produksi Karet 1,3 ribu ton</t>
        </is>
      </c>
      <c r="J5662" t="inlineStr">
        <is>
          <t>High</t>
        </is>
      </c>
      <c r="M5662" t="inlineStr">
        <is>
          <t>LLM</t>
        </is>
      </c>
      <c r="N5662" t="inlineStr">
        <is>
          <t>2026-04-19</t>
        </is>
      </c>
      <c r="O5662" t="inlineStr">
        <is>
          <t>AI</t>
        </is>
      </c>
    </row>
    <row r="5663">
      <c r="A5663" t="inlineStr">
        <is>
          <t>PT Triputra Agro Persada Tbk</t>
        </is>
      </c>
      <c r="B5663" t="inlineStr">
        <is>
          <t>TAPG_2023_AR.pdf</t>
        </is>
      </c>
      <c r="C5663" t="n">
        <v>2023</v>
      </c>
      <c r="D5663" t="inlineStr">
        <is>
          <t>Operation</t>
        </is>
      </c>
      <c r="E5663" t="inlineStr">
        <is>
          <t>FFB Yield (avg)</t>
        </is>
      </c>
      <c r="F5663" t="n">
        <v>23.6</v>
      </c>
      <c r="G5663" t="inlineStr">
        <is>
          <t>t/ha</t>
        </is>
      </c>
      <c r="H5663" t="n">
        <v>11</v>
      </c>
      <c r="I5663" t="inlineStr">
        <is>
          <t>Yield TBS Rata-rata 23,6 24,5 20,3 ton per hektar</t>
        </is>
      </c>
      <c r="J5663" t="inlineStr">
        <is>
          <t>High</t>
        </is>
      </c>
      <c r="M5663" t="inlineStr">
        <is>
          <t>LLM</t>
        </is>
      </c>
      <c r="N5663" t="inlineStr">
        <is>
          <t>2026-04-19</t>
        </is>
      </c>
      <c r="O5663" t="inlineStr">
        <is>
          <t>AI</t>
        </is>
      </c>
    </row>
    <row r="5664">
      <c r="A5664" t="inlineStr">
        <is>
          <t>PT Triputra Agro Persada Tbk</t>
        </is>
      </c>
      <c r="B5664" t="inlineStr">
        <is>
          <t>TAPG_2023_AR.pdf</t>
        </is>
      </c>
      <c r="C5664" t="n">
        <v>2023</v>
      </c>
      <c r="D5664" t="inlineStr">
        <is>
          <t>Operation</t>
        </is>
      </c>
      <c r="E5664" t="inlineStr">
        <is>
          <t>OER (CPO Extraction Rate)</t>
        </is>
      </c>
      <c r="F5664" t="n">
        <v>0.233</v>
      </c>
      <c r="G5664" t="inlineStr">
        <is>
          <t>%</t>
        </is>
      </c>
      <c r="H5664" t="n">
        <v>11</v>
      </c>
      <c r="I5664" t="inlineStr">
        <is>
          <t>Rendemen CPO 23,3%</t>
        </is>
      </c>
      <c r="J5664" t="inlineStr">
        <is>
          <t>High</t>
        </is>
      </c>
      <c r="M5664" t="inlineStr">
        <is>
          <t>LLM</t>
        </is>
      </c>
      <c r="N5664" t="inlineStr">
        <is>
          <t>2026-04-19</t>
        </is>
      </c>
      <c r="O5664" t="inlineStr">
        <is>
          <t>AI</t>
        </is>
      </c>
    </row>
    <row r="5665">
      <c r="A5665" t="inlineStr">
        <is>
          <t>PT Triputra Agro Persada Tbk</t>
        </is>
      </c>
      <c r="B5665" t="inlineStr">
        <is>
          <t>TAPG_2023_AR.pdf</t>
        </is>
      </c>
      <c r="C5665" t="n">
        <v>2023</v>
      </c>
      <c r="D5665" t="inlineStr">
        <is>
          <t>Operation</t>
        </is>
      </c>
      <c r="E5665" t="inlineStr">
        <is>
          <t>KER (Kernel Extraction Rate)</t>
        </is>
      </c>
      <c r="F5665" t="n">
        <v>0.049</v>
      </c>
      <c r="G5665" t="inlineStr">
        <is>
          <t>%</t>
        </is>
      </c>
      <c r="H5665" t="n">
        <v>11</v>
      </c>
      <c r="I5665" t="inlineStr">
        <is>
          <t>Rendemen PK 4,9%</t>
        </is>
      </c>
      <c r="J5665" t="inlineStr">
        <is>
          <t>High</t>
        </is>
      </c>
      <c r="M5665" t="inlineStr">
        <is>
          <t>LLM</t>
        </is>
      </c>
      <c r="N5665" t="inlineStr">
        <is>
          <t>2026-04-19</t>
        </is>
      </c>
      <c r="O5665" t="inlineStr">
        <is>
          <t>AI</t>
        </is>
      </c>
    </row>
    <row r="5666">
      <c r="A5666" t="inlineStr">
        <is>
          <t>PT Triputra Agro Persada Tbk</t>
        </is>
      </c>
      <c r="B5666" t="inlineStr">
        <is>
          <t>TAPG_2023_AR.pdf</t>
        </is>
      </c>
      <c r="C5666" t="n">
        <v>2023</v>
      </c>
      <c r="D5666" t="inlineStr">
        <is>
          <t>Operation</t>
        </is>
      </c>
      <c r="E5666" t="inlineStr">
        <is>
          <t>Avg CPO Selling Price</t>
        </is>
      </c>
      <c r="F5666" t="n">
        <v>11115</v>
      </c>
      <c r="G5666" t="inlineStr">
        <is>
          <t>Rp/kg</t>
        </is>
      </c>
      <c r="H5666" t="n">
        <v>100</v>
      </c>
      <c r="I5666" t="inlineStr">
        <is>
          <t>Harga jual rata-rata CPO turun sebesar 9% menjadi sebesar Rp11.115 per kg</t>
        </is>
      </c>
      <c r="J5666" t="inlineStr">
        <is>
          <t>High</t>
        </is>
      </c>
      <c r="M5666" t="inlineStr">
        <is>
          <t>LLM</t>
        </is>
      </c>
      <c r="N5666" t="inlineStr">
        <is>
          <t>2026-04-19</t>
        </is>
      </c>
      <c r="O5666" t="inlineStr">
        <is>
          <t>AI</t>
        </is>
      </c>
    </row>
    <row r="5667">
      <c r="A5667" t="inlineStr">
        <is>
          <t>PT Triputra Agro Persada Tbk</t>
        </is>
      </c>
      <c r="B5667" t="inlineStr">
        <is>
          <t>TAPG_2023_AR.pdf</t>
        </is>
      </c>
      <c r="C5667" t="n">
        <v>2023</v>
      </c>
      <c r="D5667" t="inlineStr">
        <is>
          <t>Operation</t>
        </is>
      </c>
      <c r="E5667" t="inlineStr">
        <is>
          <t>Avg PK Selling Price</t>
        </is>
      </c>
      <c r="F5667" t="n">
        <v>5392</v>
      </c>
      <c r="G5667" t="inlineStr">
        <is>
          <t>Rp/kg</t>
        </is>
      </c>
      <c r="H5667" t="n">
        <v>100</v>
      </c>
      <c r="I5667" t="inlineStr">
        <is>
          <t>Harga jual rata-rata PK turun sebesar 34% menjadi sebesar Rp5.392 per kg</t>
        </is>
      </c>
      <c r="J5667" t="inlineStr">
        <is>
          <t>High</t>
        </is>
      </c>
      <c r="M5667" t="inlineStr">
        <is>
          <t>LLM</t>
        </is>
      </c>
      <c r="N5667" t="inlineStr">
        <is>
          <t>2026-04-19</t>
        </is>
      </c>
      <c r="O5667" t="inlineStr">
        <is>
          <t>AI</t>
        </is>
      </c>
    </row>
    <row r="5668">
      <c r="A5668" t="inlineStr">
        <is>
          <t>PT Triputra Agro Persada Tbk</t>
        </is>
      </c>
      <c r="B5668" t="inlineStr">
        <is>
          <t>TAPG_2023_AR.pdf</t>
        </is>
      </c>
      <c r="C5668" t="n">
        <v>2023</v>
      </c>
      <c r="D5668" t="inlineStr">
        <is>
          <t>Operation</t>
        </is>
      </c>
      <c r="E5668" t="inlineStr">
        <is>
          <t>Avg PKO Selling Price</t>
        </is>
      </c>
      <c r="F5668" t="n">
        <v>10985</v>
      </c>
      <c r="G5668" t="inlineStr">
        <is>
          <t>Rp/kg</t>
        </is>
      </c>
      <c r="H5668" t="n">
        <v>101</v>
      </c>
      <c r="I5668" t="inlineStr">
        <is>
          <t>PKO 10.985 selling price 2023</t>
        </is>
      </c>
      <c r="J5668" t="inlineStr">
        <is>
          <t>High</t>
        </is>
      </c>
      <c r="M5668" t="inlineStr">
        <is>
          <t>LLM</t>
        </is>
      </c>
      <c r="N5668" t="inlineStr">
        <is>
          <t>2026-04-19</t>
        </is>
      </c>
      <c r="O5668" t="inlineStr">
        <is>
          <t>AI</t>
        </is>
      </c>
    </row>
    <row r="5669">
      <c r="A5669" t="inlineStr">
        <is>
          <t>PT Triputra Agro Persada Tbk</t>
        </is>
      </c>
      <c r="B5669" t="inlineStr">
        <is>
          <t>TAPG_2023_AR.pdf</t>
        </is>
      </c>
      <c r="C5669" t="n">
        <v>2023</v>
      </c>
      <c r="D5669" t="inlineStr">
        <is>
          <t>Operation</t>
        </is>
      </c>
      <c r="E5669" t="inlineStr">
        <is>
          <t>CPO Sales Volume</t>
        </is>
      </c>
      <c r="F5669" t="n">
        <v>677</v>
      </c>
      <c r="G5669" t="inlineStr">
        <is>
          <t>thousand t</t>
        </is>
      </c>
      <c r="H5669" t="n">
        <v>100</v>
      </c>
      <c r="I5669" t="inlineStr">
        <is>
          <t>Penjualan kuantitas CPO naik menjadi sebanyak 677 ribu ton pada 2023</t>
        </is>
      </c>
      <c r="J5669" t="inlineStr">
        <is>
          <t>High</t>
        </is>
      </c>
      <c r="M5669" t="inlineStr">
        <is>
          <t>LLM</t>
        </is>
      </c>
      <c r="N5669" t="inlineStr">
        <is>
          <t>2026-04-19</t>
        </is>
      </c>
      <c r="O5669" t="inlineStr">
        <is>
          <t>AI</t>
        </is>
      </c>
    </row>
    <row r="5670">
      <c r="A5670" t="inlineStr">
        <is>
          <t>PT Triputra Agro Persada Tbk</t>
        </is>
      </c>
      <c r="B5670" t="inlineStr">
        <is>
          <t>TAPG_2023_AR.pdf</t>
        </is>
      </c>
      <c r="C5670" t="n">
        <v>2023</v>
      </c>
      <c r="D5670" t="inlineStr">
        <is>
          <t>Operation</t>
        </is>
      </c>
      <c r="E5670" t="inlineStr">
        <is>
          <t>PK Sales Volume</t>
        </is>
      </c>
      <c r="F5670" t="n">
        <v>130</v>
      </c>
      <c r="G5670" t="inlineStr">
        <is>
          <t>thousand t</t>
        </is>
      </c>
      <c r="H5670" t="n">
        <v>100</v>
      </c>
      <c r="I5670" t="inlineStr">
        <is>
          <t>Penjualan kuantitas PK turun menjadi sebanyak 130 ribu ton</t>
        </is>
      </c>
      <c r="J5670" t="inlineStr">
        <is>
          <t>High</t>
        </is>
      </c>
      <c r="M5670" t="inlineStr">
        <is>
          <t>LLM</t>
        </is>
      </c>
      <c r="N5670" t="inlineStr">
        <is>
          <t>2026-04-19</t>
        </is>
      </c>
      <c r="O5670" t="inlineStr">
        <is>
          <t>AI</t>
        </is>
      </c>
    </row>
    <row r="5671">
      <c r="A5671" t="inlineStr">
        <is>
          <t>PT Triputra Agro Persada Tbk</t>
        </is>
      </c>
      <c r="B5671" t="inlineStr">
        <is>
          <t>TAPG_2023_AR.pdf</t>
        </is>
      </c>
      <c r="C5671" t="n">
        <v>2023</v>
      </c>
      <c r="D5671" t="inlineStr">
        <is>
          <t>Operation</t>
        </is>
      </c>
      <c r="E5671" t="inlineStr">
        <is>
          <t>CPO Market Share (domestic)</t>
        </is>
      </c>
      <c r="F5671" t="n">
        <v>2.1</v>
      </c>
      <c r="G5671" t="inlineStr">
        <is>
          <t>%</t>
        </is>
      </c>
      <c r="H5671" t="n">
        <v>109</v>
      </c>
      <c r="I5671" t="inlineStr">
        <is>
          <t>produksi CPO Perseroan tahun 2023 mencapai 978 ribu ton atau berada di sekitar 2,1% dari pangsa pasar nasional</t>
        </is>
      </c>
      <c r="J5671" t="inlineStr">
        <is>
          <t>High</t>
        </is>
      </c>
      <c r="M5671" t="inlineStr">
        <is>
          <t>LLM</t>
        </is>
      </c>
      <c r="N5671" t="inlineStr">
        <is>
          <t>2026-04-19</t>
        </is>
      </c>
      <c r="O5671" t="inlineStr">
        <is>
          <t>AI</t>
        </is>
      </c>
    </row>
    <row r="5672">
      <c r="A5672" t="inlineStr">
        <is>
          <t>PT Triputra Agro Persada Tbk</t>
        </is>
      </c>
      <c r="B5672" t="inlineStr">
        <is>
          <t>TAPG_2023_AR.pdf</t>
        </is>
      </c>
      <c r="C5672" t="n">
        <v>2023</v>
      </c>
      <c r="D5672" t="inlineStr">
        <is>
          <t>Operation</t>
        </is>
      </c>
      <c r="E5672" t="inlineStr">
        <is>
          <t>Palm Oil Segment Revenue</t>
        </is>
      </c>
      <c r="F5672" t="n">
        <v>8303</v>
      </c>
      <c r="G5672" t="inlineStr">
        <is>
          <t>IDR bn</t>
        </is>
      </c>
      <c r="H5672" t="n">
        <v>97</v>
      </c>
      <c r="I5672" t="inlineStr">
        <is>
          <t>Segmen Usaha Perkebunan Kelapa Sawit Pendapatan 8.302.592</t>
        </is>
      </c>
      <c r="J5672" t="inlineStr">
        <is>
          <t>High</t>
        </is>
      </c>
      <c r="M5672" t="inlineStr">
        <is>
          <t>LLM</t>
        </is>
      </c>
      <c r="N5672" t="inlineStr">
        <is>
          <t>2026-04-19</t>
        </is>
      </c>
      <c r="O5672" t="inlineStr">
        <is>
          <t>AI</t>
        </is>
      </c>
    </row>
    <row r="5673">
      <c r="A5673" t="inlineStr">
        <is>
          <t>PT Triputra Agro Persada Tbk</t>
        </is>
      </c>
      <c r="B5673" t="inlineStr">
        <is>
          <t>TAPG_2023_AR.pdf</t>
        </is>
      </c>
      <c r="C5673" t="n">
        <v>2023</v>
      </c>
      <c r="D5673" t="inlineStr">
        <is>
          <t>Operation</t>
        </is>
      </c>
      <c r="E5673" t="inlineStr">
        <is>
          <t>CPO Segment Revenue</t>
        </is>
      </c>
      <c r="F5673" t="n">
        <v>7525</v>
      </c>
      <c r="G5673" t="inlineStr">
        <is>
          <t>IDR bn</t>
        </is>
      </c>
      <c r="H5673" t="n">
        <v>97</v>
      </c>
      <c r="I5673" t="inlineStr">
        <is>
          <t>CPO 7.524.895 8.135.121 -8</t>
        </is>
      </c>
      <c r="J5673" t="inlineStr">
        <is>
          <t>High</t>
        </is>
      </c>
      <c r="M5673" t="inlineStr">
        <is>
          <t>LLM</t>
        </is>
      </c>
      <c r="N5673" t="inlineStr">
        <is>
          <t>2026-04-19</t>
        </is>
      </c>
      <c r="O5673" t="inlineStr">
        <is>
          <t>AI</t>
        </is>
      </c>
    </row>
    <row r="5674">
      <c r="A5674" t="inlineStr">
        <is>
          <t>PT Triputra Agro Persada Tbk</t>
        </is>
      </c>
      <c r="B5674" t="inlineStr">
        <is>
          <t>TAPG_2023_AR.pdf</t>
        </is>
      </c>
      <c r="C5674" t="n">
        <v>2023</v>
      </c>
      <c r="D5674" t="inlineStr">
        <is>
          <t>Operation</t>
        </is>
      </c>
      <c r="E5674" t="inlineStr">
        <is>
          <t>PK Segment Revenue</t>
        </is>
      </c>
      <c r="F5674" t="n">
        <v>699</v>
      </c>
      <c r="G5674" t="inlineStr">
        <is>
          <t>IDR bn</t>
        </is>
      </c>
      <c r="H5674" t="n">
        <v>97</v>
      </c>
      <c r="I5674" t="inlineStr">
        <is>
          <t>PK 698.723 1.163.623 -40</t>
        </is>
      </c>
      <c r="J5674" t="inlineStr">
        <is>
          <t>High</t>
        </is>
      </c>
      <c r="M5674" t="inlineStr">
        <is>
          <t>LLM</t>
        </is>
      </c>
      <c r="N5674" t="inlineStr">
        <is>
          <t>2026-04-19</t>
        </is>
      </c>
      <c r="O5674" t="inlineStr">
        <is>
          <t>AI</t>
        </is>
      </c>
    </row>
    <row r="5675">
      <c r="A5675" t="inlineStr">
        <is>
          <t>PT Triputra Agro Persada Tbk</t>
        </is>
      </c>
      <c r="B5675" t="inlineStr">
        <is>
          <t>TAPG_2023_AR.pdf</t>
        </is>
      </c>
      <c r="C5675" t="n">
        <v>2023</v>
      </c>
      <c r="D5675" t="inlineStr">
        <is>
          <t>Operation</t>
        </is>
      </c>
      <c r="E5675" t="inlineStr">
        <is>
          <t>PKO Segment Revenue</t>
        </is>
      </c>
      <c r="F5675" t="n">
        <v>69</v>
      </c>
      <c r="G5675" t="inlineStr">
        <is>
          <t>IDR bn</t>
        </is>
      </c>
      <c r="H5675" t="n">
        <v>97</v>
      </c>
      <c r="I5675" t="inlineStr">
        <is>
          <t>PKO 69.204</t>
        </is>
      </c>
      <c r="J5675" t="inlineStr">
        <is>
          <t>High</t>
        </is>
      </c>
      <c r="M5675" t="inlineStr">
        <is>
          <t>LLM</t>
        </is>
      </c>
      <c r="N5675" t="inlineStr">
        <is>
          <t>2026-04-19</t>
        </is>
      </c>
      <c r="O5675" t="inlineStr">
        <is>
          <t>AI</t>
        </is>
      </c>
    </row>
    <row r="5676">
      <c r="A5676" t="inlineStr">
        <is>
          <t>PT Triputra Agro Persada Tbk</t>
        </is>
      </c>
      <c r="B5676" t="inlineStr">
        <is>
          <t>TAPG_2023_AR.pdf</t>
        </is>
      </c>
      <c r="C5676" t="n">
        <v>2023</v>
      </c>
      <c r="D5676" t="inlineStr">
        <is>
          <t>Operation</t>
        </is>
      </c>
      <c r="E5676" t="inlineStr">
        <is>
          <t>Rubber Segment Revenue</t>
        </is>
      </c>
      <c r="F5676" t="n">
        <v>23</v>
      </c>
      <c r="G5676" t="inlineStr">
        <is>
          <t>IDR bn</t>
        </is>
      </c>
      <c r="H5676" t="n">
        <v>97</v>
      </c>
      <c r="I5676" t="inlineStr">
        <is>
          <t>Segmen Usaha Perkebunan Karet Pendapatan 23.295 26.190 -11</t>
        </is>
      </c>
      <c r="J5676" t="inlineStr">
        <is>
          <t>High</t>
        </is>
      </c>
      <c r="M5676" t="inlineStr">
        <is>
          <t>LLM</t>
        </is>
      </c>
      <c r="N5676" t="inlineStr">
        <is>
          <t>2026-04-19</t>
        </is>
      </c>
      <c r="O5676" t="inlineStr">
        <is>
          <t>AI</t>
        </is>
      </c>
    </row>
    <row r="5677">
      <c r="A5677" t="inlineStr">
        <is>
          <t>PT Triputra Agro Persada Tbk</t>
        </is>
      </c>
      <c r="B5677" t="inlineStr">
        <is>
          <t>TAPG_2023_AR.pdf</t>
        </is>
      </c>
      <c r="C5677" t="n">
        <v>2023</v>
      </c>
      <c r="D5677" t="inlineStr">
        <is>
          <t>ESG</t>
        </is>
      </c>
      <c r="E5677" t="inlineStr">
        <is>
          <t>Biogas Power Plant (PLTBg)</t>
        </is>
      </c>
      <c r="F5677" t="inlineStr">
        <is>
          <t>1 (Central Kalimantan)</t>
        </is>
      </c>
      <c r="G5677" t="inlineStr">
        <is>
          <t>count</t>
        </is>
      </c>
      <c r="H5677" t="n">
        <v>95</v>
      </c>
      <c r="I5677" t="inlineStr">
        <is>
          <t>telah beroperasi Kernel Crushing Plant (KCP) yang terfasilitasi dengan Pembangkit Listrik Tenaga Biogas (PLTBg) di Kalimantan Tengah</t>
        </is>
      </c>
      <c r="J5677" t="inlineStr">
        <is>
          <t>High</t>
        </is>
      </c>
      <c r="M5677" t="inlineStr">
        <is>
          <t>LLM</t>
        </is>
      </c>
      <c r="N5677" t="inlineStr">
        <is>
          <t>2026-04-19</t>
        </is>
      </c>
      <c r="O5677" t="inlineStr">
        <is>
          <t>AI</t>
        </is>
      </c>
    </row>
    <row r="5678">
      <c r="A5678" t="inlineStr">
        <is>
          <t>PT Triputra Agro Persada Tbk</t>
        </is>
      </c>
      <c r="B5678" t="inlineStr">
        <is>
          <t>TAPG_2024_AR.pdf</t>
        </is>
      </c>
      <c r="C5678" t="n">
        <v>2024</v>
      </c>
      <c r="D5678" t="inlineStr">
        <is>
          <t>Company</t>
        </is>
      </c>
      <c r="E5678" t="inlineStr">
        <is>
          <t>Company Name</t>
        </is>
      </c>
      <c r="F5678" t="inlineStr">
        <is>
          <t>PT Triputra Agro Persada Tbk</t>
        </is>
      </c>
      <c r="G5678" t="inlineStr">
        <is>
          <t>text</t>
        </is>
      </c>
      <c r="H5678" t="n">
        <v>1</v>
      </c>
      <c r="I5678" t="inlineStr">
        <is>
          <t>Laporan Tahunan 2024 PT Triputra Agro Persada Tbk</t>
        </is>
      </c>
      <c r="J5678" t="inlineStr">
        <is>
          <t>High</t>
        </is>
      </c>
      <c r="M5678" t="inlineStr">
        <is>
          <t>LLM</t>
        </is>
      </c>
      <c r="N5678" t="inlineStr">
        <is>
          <t>2026-04-19</t>
        </is>
      </c>
      <c r="O5678" t="inlineStr">
        <is>
          <t>AI</t>
        </is>
      </c>
    </row>
    <row r="5679">
      <c r="A5679" t="inlineStr">
        <is>
          <t>PT Triputra Agro Persada Tbk</t>
        </is>
      </c>
      <c r="B5679" t="inlineStr">
        <is>
          <t>TAPG_2024_AR.pdf</t>
        </is>
      </c>
      <c r="C5679" t="n">
        <v>2024</v>
      </c>
      <c r="D5679" t="inlineStr">
        <is>
          <t>Company</t>
        </is>
      </c>
      <c r="E5679" t="inlineStr">
        <is>
          <t>Ticker</t>
        </is>
      </c>
      <c r="F5679" t="inlineStr">
        <is>
          <t>TAPG</t>
        </is>
      </c>
      <c r="G5679" t="inlineStr">
        <is>
          <t>text</t>
        </is>
      </c>
      <c r="H5679" t="n">
        <v>12</v>
      </c>
      <c r="I5679" t="inlineStr">
        <is>
          <t>Saham Perseroan dicatatkan di BEI dengan kode saham TAPG</t>
        </is>
      </c>
      <c r="J5679" t="inlineStr">
        <is>
          <t>High</t>
        </is>
      </c>
      <c r="M5679" t="inlineStr">
        <is>
          <t>LLM</t>
        </is>
      </c>
      <c r="N5679" t="inlineStr">
        <is>
          <t>2026-04-19</t>
        </is>
      </c>
      <c r="O5679" t="inlineStr">
        <is>
          <t>AI</t>
        </is>
      </c>
    </row>
    <row r="5680">
      <c r="A5680" t="inlineStr">
        <is>
          <t>PT Triputra Agro Persada Tbk</t>
        </is>
      </c>
      <c r="B5680" t="inlineStr">
        <is>
          <t>TAPG_2024_AR.pdf</t>
        </is>
      </c>
      <c r="C5680" t="n">
        <v>2024</v>
      </c>
      <c r="D5680" t="inlineStr">
        <is>
          <t>Company</t>
        </is>
      </c>
      <c r="E5680" t="inlineStr">
        <is>
          <t>IPO Date</t>
        </is>
      </c>
      <c r="F5680" t="inlineStr">
        <is>
          <t>12 April 2021</t>
        </is>
      </c>
      <c r="G5680" t="inlineStr">
        <is>
          <t>date</t>
        </is>
      </c>
      <c r="H5680" t="n">
        <v>82</v>
      </c>
      <c r="I5680" t="inlineStr">
        <is>
          <t>12 April 2021 Pencatatan Saham Perdana 866.200.000 Rp100 Rp200</t>
        </is>
      </c>
      <c r="J5680" t="inlineStr">
        <is>
          <t>High</t>
        </is>
      </c>
      <c r="M5680" t="inlineStr">
        <is>
          <t>LLM</t>
        </is>
      </c>
      <c r="N5680" t="inlineStr">
        <is>
          <t>2026-04-19</t>
        </is>
      </c>
      <c r="O5680" t="inlineStr">
        <is>
          <t>AI</t>
        </is>
      </c>
    </row>
    <row r="5681">
      <c r="A5681" t="inlineStr">
        <is>
          <t>PT Triputra Agro Persada Tbk</t>
        </is>
      </c>
      <c r="B5681" t="inlineStr">
        <is>
          <t>TAPG_2024_AR.pdf</t>
        </is>
      </c>
      <c r="C5681" t="n">
        <v>2024</v>
      </c>
      <c r="D5681" t="inlineStr">
        <is>
          <t>Company</t>
        </is>
      </c>
      <c r="E5681" t="inlineStr">
        <is>
          <t>Major Shareholder #1</t>
        </is>
      </c>
      <c r="F5681" t="inlineStr">
        <is>
          <t>PT Persada Capital Investama 33.07%</t>
        </is>
      </c>
      <c r="G5681" t="inlineStr">
        <is>
          <t>%</t>
        </is>
      </c>
      <c r="H5681" t="n">
        <v>76</v>
      </c>
      <c r="I5681" t="inlineStr">
        <is>
          <t>1 PT Persada Capital Investama 6.565.109.373 33,07</t>
        </is>
      </c>
      <c r="J5681" t="inlineStr">
        <is>
          <t>High</t>
        </is>
      </c>
      <c r="M5681" t="inlineStr">
        <is>
          <t>LLM</t>
        </is>
      </c>
      <c r="N5681" t="inlineStr">
        <is>
          <t>2026-04-19</t>
        </is>
      </c>
      <c r="O5681" t="inlineStr">
        <is>
          <t>AI</t>
        </is>
      </c>
    </row>
    <row r="5682">
      <c r="A5682" t="inlineStr">
        <is>
          <t>PT Triputra Agro Persada Tbk</t>
        </is>
      </c>
      <c r="B5682" t="inlineStr">
        <is>
          <t>TAPG_2024_AR.pdf</t>
        </is>
      </c>
      <c r="C5682" t="n">
        <v>2024</v>
      </c>
      <c r="D5682" t="inlineStr">
        <is>
          <t>Company</t>
        </is>
      </c>
      <c r="E5682" t="inlineStr">
        <is>
          <t>Major Shareholder #2</t>
        </is>
      </c>
      <c r="F5682" t="inlineStr">
        <is>
          <t>PT Triputra Investindo Arya 24.05%</t>
        </is>
      </c>
      <c r="G5682" t="inlineStr">
        <is>
          <t>%</t>
        </is>
      </c>
      <c r="H5682" t="n">
        <v>76</v>
      </c>
      <c r="I5682" t="inlineStr">
        <is>
          <t>2 PT Triputra Investindo Arya 4.775.024.955 24,05</t>
        </is>
      </c>
      <c r="J5682" t="inlineStr">
        <is>
          <t>High</t>
        </is>
      </c>
      <c r="M5682" t="inlineStr">
        <is>
          <t>LLM</t>
        </is>
      </c>
      <c r="N5682" t="inlineStr">
        <is>
          <t>2026-04-19</t>
        </is>
      </c>
      <c r="O5682" t="inlineStr">
        <is>
          <t>AI</t>
        </is>
      </c>
    </row>
    <row r="5683">
      <c r="A5683" t="inlineStr">
        <is>
          <t>PT Triputra Agro Persada Tbk</t>
        </is>
      </c>
      <c r="B5683" t="inlineStr">
        <is>
          <t>TAPG_2024_AR.pdf</t>
        </is>
      </c>
      <c r="C5683" t="n">
        <v>2024</v>
      </c>
      <c r="D5683" t="inlineStr">
        <is>
          <t>Company</t>
        </is>
      </c>
      <c r="E5683" t="inlineStr">
        <is>
          <t>Major Shareholder #3</t>
        </is>
      </c>
      <c r="F5683" t="inlineStr">
        <is>
          <t>PT Daya Adicipta Mustika 19.94%</t>
        </is>
      </c>
      <c r="G5683" t="inlineStr">
        <is>
          <t>%</t>
        </is>
      </c>
      <c r="H5683" t="n">
        <v>76</v>
      </c>
      <c r="I5683" t="inlineStr">
        <is>
          <t>4 PT Daya Adicipta Mustika 3.958.643.004 19,94</t>
        </is>
      </c>
      <c r="J5683" t="inlineStr">
        <is>
          <t>High</t>
        </is>
      </c>
      <c r="M5683" t="inlineStr">
        <is>
          <t>LLM</t>
        </is>
      </c>
      <c r="N5683" t="inlineStr">
        <is>
          <t>2026-04-19</t>
        </is>
      </c>
      <c r="O5683" t="inlineStr">
        <is>
          <t>AI</t>
        </is>
      </c>
    </row>
    <row r="5684">
      <c r="A5684" t="inlineStr">
        <is>
          <t>PT Triputra Agro Persada Tbk</t>
        </is>
      </c>
      <c r="B5684" t="inlineStr">
        <is>
          <t>TAPG_2024_AR.pdf</t>
        </is>
      </c>
      <c r="C5684" t="n">
        <v>2024</v>
      </c>
      <c r="D5684" t="inlineStr">
        <is>
          <t>Company</t>
        </is>
      </c>
      <c r="E5684" t="inlineStr">
        <is>
          <t>Major Shareholder #4</t>
        </is>
      </c>
      <c r="F5684" t="inlineStr">
        <is>
          <t>T. Permadi Rachmat 5.19%</t>
        </is>
      </c>
      <c r="G5684" t="inlineStr">
        <is>
          <t>%</t>
        </is>
      </c>
      <c r="H5684" t="n">
        <v>76</v>
      </c>
      <c r="I5684" t="inlineStr">
        <is>
          <t>6 T. Permadi Rachmat. IR 1.030.149.800 5,19</t>
        </is>
      </c>
      <c r="J5684" t="inlineStr">
        <is>
          <t>High</t>
        </is>
      </c>
      <c r="M5684" t="inlineStr">
        <is>
          <t>LLM</t>
        </is>
      </c>
      <c r="N5684" t="inlineStr">
        <is>
          <t>2026-04-19</t>
        </is>
      </c>
      <c r="O5684" t="inlineStr">
        <is>
          <t>AI</t>
        </is>
      </c>
    </row>
    <row r="5685">
      <c r="A5685" t="inlineStr">
        <is>
          <t>PT Triputra Agro Persada Tbk</t>
        </is>
      </c>
      <c r="B5685" t="inlineStr">
        <is>
          <t>TAPG_2024_AR.pdf</t>
        </is>
      </c>
      <c r="C5685" t="n">
        <v>2024</v>
      </c>
      <c r="D5685" t="inlineStr">
        <is>
          <t>Company</t>
        </is>
      </c>
      <c r="E5685" t="inlineStr">
        <is>
          <t>Public Float</t>
        </is>
      </c>
      <c r="F5685" t="n">
        <v>0.1775</v>
      </c>
      <c r="G5685" t="inlineStr">
        <is>
          <t>%</t>
        </is>
      </c>
      <c r="H5685" t="n">
        <v>76</v>
      </c>
      <c r="I5685" t="inlineStr">
        <is>
          <t>1 Masyarakat 3.523.612.868 17,75</t>
        </is>
      </c>
      <c r="J5685" t="inlineStr">
        <is>
          <t>High</t>
        </is>
      </c>
      <c r="M5685" t="inlineStr">
        <is>
          <t>LLM</t>
        </is>
      </c>
      <c r="N5685" t="inlineStr">
        <is>
          <t>2026-04-19</t>
        </is>
      </c>
      <c r="O5685" t="inlineStr">
        <is>
          <t>AI</t>
        </is>
      </c>
    </row>
    <row r="5686">
      <c r="A5686" t="inlineStr">
        <is>
          <t>PT Triputra Agro Persada Tbk</t>
        </is>
      </c>
      <c r="B5686" t="inlineStr">
        <is>
          <t>TAPG_2024_AR.pdf</t>
        </is>
      </c>
      <c r="C5686" t="n">
        <v>2024</v>
      </c>
      <c r="D5686" t="inlineStr">
        <is>
          <t>Company</t>
        </is>
      </c>
      <c r="E5686" t="inlineStr">
        <is>
          <t>Salween Investment Exit</t>
        </is>
      </c>
      <c r="F5686" t="inlineStr">
        <is>
          <t>0% (divested from 14.90%)</t>
        </is>
      </c>
      <c r="G5686" t="inlineStr">
        <is>
          <t>%</t>
        </is>
      </c>
      <c r="H5686" t="n">
        <v>76</v>
      </c>
      <c r="I5686" t="inlineStr">
        <is>
          <t>3 The NT TST CO S/A Salween Investment Pte Ltd 2.957.360.000 14,90 0 0,00</t>
        </is>
      </c>
      <c r="J5686" t="inlineStr">
        <is>
          <t>High</t>
        </is>
      </c>
      <c r="M5686" t="inlineStr">
        <is>
          <t>LLM</t>
        </is>
      </c>
      <c r="N5686" t="inlineStr">
        <is>
          <t>2026-04-19</t>
        </is>
      </c>
      <c r="O5686" t="inlineStr">
        <is>
          <t>AI</t>
        </is>
      </c>
    </row>
    <row r="5687">
      <c r="A5687" t="inlineStr">
        <is>
          <t>PT Triputra Agro Persada Tbk</t>
        </is>
      </c>
      <c r="B5687" t="inlineStr">
        <is>
          <t>TAPG_2024_AR.pdf</t>
        </is>
      </c>
      <c r="C5687" t="n">
        <v>2024</v>
      </c>
      <c r="D5687" t="inlineStr">
        <is>
          <t>Company</t>
        </is>
      </c>
      <c r="E5687" t="inlineStr">
        <is>
          <t>Gochean Holdings Exit</t>
        </is>
      </c>
      <c r="F5687" t="inlineStr">
        <is>
          <t>0% (divested from 10.90%)</t>
        </is>
      </c>
      <c r="G5687" t="inlineStr">
        <is>
          <t>%</t>
        </is>
      </c>
      <c r="H5687" t="n">
        <v>76</v>
      </c>
      <c r="I5687" t="inlineStr">
        <is>
          <t>5 Gochean Holdings Incorporated 2.163.980.000 10,90 0 0,00</t>
        </is>
      </c>
      <c r="J5687" t="inlineStr">
        <is>
          <t>High</t>
        </is>
      </c>
      <c r="M5687" t="inlineStr">
        <is>
          <t>LLM</t>
        </is>
      </c>
      <c r="N5687" t="inlineStr">
        <is>
          <t>2026-04-19</t>
        </is>
      </c>
      <c r="O5687" t="inlineStr">
        <is>
          <t>AI</t>
        </is>
      </c>
    </row>
    <row r="5688">
      <c r="A5688" t="inlineStr">
        <is>
          <t>PT Triputra Agro Persada Tbk</t>
        </is>
      </c>
      <c r="B5688" t="inlineStr">
        <is>
          <t>TAPG_2024_AR.pdf</t>
        </is>
      </c>
      <c r="C5688" t="n">
        <v>2024</v>
      </c>
      <c r="D5688" t="inlineStr">
        <is>
          <t>Company</t>
        </is>
      </c>
      <c r="E5688" t="inlineStr">
        <is>
          <t>RSPO Certification (FLTI)</t>
        </is>
      </c>
      <c r="F5688" t="inlineStr">
        <is>
          <t>28 March 2024</t>
        </is>
      </c>
      <c r="G5688" t="inlineStr">
        <is>
          <t>date</t>
        </is>
      </c>
      <c r="H5688" t="n">
        <v>14</v>
      </c>
      <c r="I5688" t="inlineStr">
        <is>
          <t>FLTI Mendapatkan Sertifikat RSPO - PT First Lamandau Timber International berhasil meraih sertifikat Roundtable of Sustainable Palm Oil (RSPO)</t>
        </is>
      </c>
      <c r="J5688" t="inlineStr">
        <is>
          <t>High</t>
        </is>
      </c>
      <c r="M5688" t="inlineStr">
        <is>
          <t>LLM</t>
        </is>
      </c>
      <c r="N5688" t="inlineStr">
        <is>
          <t>2026-04-19</t>
        </is>
      </c>
      <c r="O5688" t="inlineStr">
        <is>
          <t>AI</t>
        </is>
      </c>
    </row>
    <row r="5689">
      <c r="A5689" t="inlineStr">
        <is>
          <t>PT Triputra Agro Persada Tbk</t>
        </is>
      </c>
      <c r="B5689" t="inlineStr">
        <is>
          <t>TAPG_2024_AR.pdf</t>
        </is>
      </c>
      <c r="C5689" t="n">
        <v>2024</v>
      </c>
      <c r="D5689" t="inlineStr">
        <is>
          <t>Company</t>
        </is>
      </c>
      <c r="E5689" t="inlineStr">
        <is>
          <t>ATP Bio Indonesia JV</t>
        </is>
      </c>
      <c r="F5689" t="inlineStr">
        <is>
          <t>49% JV with Aisin Takaoka</t>
        </is>
      </c>
      <c r="G5689" t="inlineStr">
        <is>
          <t>text</t>
        </is>
      </c>
      <c r="H5689" t="n">
        <v>15</v>
      </c>
      <c r="I5689" t="inlineStr">
        <is>
          <t>Perseroan mendirikan perusahaan patungan dengan Aisin Takaoka Co., Ltd (Jepang) yaitu PT ATP Bio Indonesia untuk memproduksi biokokas (bio-molded coal) berbasis cangkang sawit</t>
        </is>
      </c>
      <c r="J5689" t="inlineStr">
        <is>
          <t>High</t>
        </is>
      </c>
      <c r="M5689" t="inlineStr">
        <is>
          <t>LLM</t>
        </is>
      </c>
      <c r="N5689" t="inlineStr">
        <is>
          <t>2026-04-19</t>
        </is>
      </c>
      <c r="O5689" t="inlineStr">
        <is>
          <t>AI</t>
        </is>
      </c>
    </row>
    <row r="5690">
      <c r="A5690" t="inlineStr">
        <is>
          <t>PT Triputra Agro Persada Tbk</t>
        </is>
      </c>
      <c r="B5690" t="inlineStr">
        <is>
          <t>TAPG_2024_AR.pdf</t>
        </is>
      </c>
      <c r="C5690" t="n">
        <v>2024</v>
      </c>
      <c r="D5690" t="inlineStr">
        <is>
          <t>Financial</t>
        </is>
      </c>
      <c r="E5690" t="inlineStr">
        <is>
          <t>Revenue (Sales)</t>
        </is>
      </c>
      <c r="F5690" t="n">
        <v>9671</v>
      </c>
      <c r="G5690" t="inlineStr">
        <is>
          <t>IDR bn</t>
        </is>
      </c>
      <c r="H5690" t="n">
        <v>10</v>
      </c>
      <c r="I5690" t="inlineStr">
        <is>
          <t>Penjualan 9.671.463 8.325.887 9.345.641</t>
        </is>
      </c>
      <c r="J5690" t="inlineStr">
        <is>
          <t>High</t>
        </is>
      </c>
      <c r="M5690" t="inlineStr">
        <is>
          <t>LLM</t>
        </is>
      </c>
      <c r="N5690" t="inlineStr">
        <is>
          <t>2026-04-19</t>
        </is>
      </c>
      <c r="O5690" t="inlineStr">
        <is>
          <t>AI</t>
        </is>
      </c>
    </row>
    <row r="5691">
      <c r="A5691" t="inlineStr">
        <is>
          <t>PT Triputra Agro Persada Tbk</t>
        </is>
      </c>
      <c r="B5691" t="inlineStr">
        <is>
          <t>TAPG_2024_AR.pdf</t>
        </is>
      </c>
      <c r="C5691" t="n">
        <v>2024</v>
      </c>
      <c r="D5691" t="inlineStr">
        <is>
          <t>Financial</t>
        </is>
      </c>
      <c r="E5691" t="inlineStr">
        <is>
          <t>Cost of Sales</t>
        </is>
      </c>
      <c r="F5691" t="n">
        <v>5949</v>
      </c>
      <c r="G5691" t="inlineStr">
        <is>
          <t>IDR bn</t>
        </is>
      </c>
      <c r="H5691" t="n">
        <v>100</v>
      </c>
      <c r="I5691" t="inlineStr">
        <is>
          <t>Beban Pokok Penjualan (5.948.685) (6.108.590) (3)</t>
        </is>
      </c>
      <c r="J5691" t="inlineStr">
        <is>
          <t>High</t>
        </is>
      </c>
      <c r="M5691" t="inlineStr">
        <is>
          <t>LLM</t>
        </is>
      </c>
      <c r="N5691" t="inlineStr">
        <is>
          <t>2026-04-19</t>
        </is>
      </c>
      <c r="O5691" t="inlineStr">
        <is>
          <t>AI</t>
        </is>
      </c>
    </row>
    <row r="5692">
      <c r="A5692" t="inlineStr">
        <is>
          <t>PT Triputra Agro Persada Tbk</t>
        </is>
      </c>
      <c r="B5692" t="inlineStr">
        <is>
          <t>TAPG_2024_AR.pdf</t>
        </is>
      </c>
      <c r="C5692" t="n">
        <v>2024</v>
      </c>
      <c r="D5692" t="inlineStr">
        <is>
          <t>Financial</t>
        </is>
      </c>
      <c r="E5692" t="inlineStr">
        <is>
          <t>Gross Profit</t>
        </is>
      </c>
      <c r="F5692" t="n">
        <v>3723</v>
      </c>
      <c r="G5692" t="inlineStr">
        <is>
          <t>IDR bn</t>
        </is>
      </c>
      <c r="H5692" t="n">
        <v>10</v>
      </c>
      <c r="I5692" t="inlineStr">
        <is>
          <t>Laba Bruto 3.722.779 2.217.297 3.715.864</t>
        </is>
      </c>
      <c r="J5692" t="inlineStr">
        <is>
          <t>High</t>
        </is>
      </c>
      <c r="M5692" t="inlineStr">
        <is>
          <t>LLM</t>
        </is>
      </c>
      <c r="N5692" t="inlineStr">
        <is>
          <t>2026-04-19</t>
        </is>
      </c>
      <c r="O5692" t="inlineStr">
        <is>
          <t>AI</t>
        </is>
      </c>
    </row>
    <row r="5693">
      <c r="A5693" t="inlineStr">
        <is>
          <t>PT Triputra Agro Persada Tbk</t>
        </is>
      </c>
      <c r="B5693" t="inlineStr">
        <is>
          <t>TAPG_2024_AR.pdf</t>
        </is>
      </c>
      <c r="C5693" t="n">
        <v>2024</v>
      </c>
      <c r="D5693" t="inlineStr">
        <is>
          <t>Financial</t>
        </is>
      </c>
      <c r="E5693" t="inlineStr">
        <is>
          <t>Operating Profit (EBIT)</t>
        </is>
      </c>
      <c r="F5693" t="n">
        <v>3045</v>
      </c>
      <c r="G5693" t="inlineStr">
        <is>
          <t>IDR bn</t>
        </is>
      </c>
      <c r="H5693" t="n">
        <v>100</v>
      </c>
      <c r="I5693" t="inlineStr">
        <is>
          <t>Laba Usaha 3.044.614 1.372.731 122</t>
        </is>
      </c>
      <c r="J5693" t="inlineStr">
        <is>
          <t>High</t>
        </is>
      </c>
      <c r="M5693" t="inlineStr">
        <is>
          <t>LLM</t>
        </is>
      </c>
      <c r="N5693" t="inlineStr">
        <is>
          <t>2026-04-19</t>
        </is>
      </c>
      <c r="O5693" t="inlineStr">
        <is>
          <t>AI</t>
        </is>
      </c>
    </row>
    <row r="5694">
      <c r="A5694" t="inlineStr">
        <is>
          <t>PT Triputra Agro Persada Tbk</t>
        </is>
      </c>
      <c r="B5694" t="inlineStr">
        <is>
          <t>TAPG_2024_AR.pdf</t>
        </is>
      </c>
      <c r="C5694" t="n">
        <v>2024</v>
      </c>
      <c r="D5694" t="inlineStr">
        <is>
          <t>Financial</t>
        </is>
      </c>
      <c r="E5694" t="inlineStr">
        <is>
          <t>Finance Costs</t>
        </is>
      </c>
      <c r="F5694" t="n">
        <v>75</v>
      </c>
      <c r="G5694" t="inlineStr">
        <is>
          <t>IDR bn</t>
        </is>
      </c>
      <c r="H5694" t="n">
        <v>229</v>
      </c>
      <c r="I5694" t="inlineStr">
        <is>
          <t>Biaya keuangan (75.443) 33 (152.924)</t>
        </is>
      </c>
      <c r="J5694" t="inlineStr">
        <is>
          <t>High</t>
        </is>
      </c>
      <c r="M5694" t="inlineStr">
        <is>
          <t>LLM</t>
        </is>
      </c>
      <c r="N5694" t="inlineStr">
        <is>
          <t>2026-04-19</t>
        </is>
      </c>
      <c r="O5694" t="inlineStr">
        <is>
          <t>AI</t>
        </is>
      </c>
    </row>
    <row r="5695">
      <c r="A5695" t="inlineStr">
        <is>
          <t>PT Triputra Agro Persada Tbk</t>
        </is>
      </c>
      <c r="B5695" t="inlineStr">
        <is>
          <t>TAPG_2024_AR.pdf</t>
        </is>
      </c>
      <c r="C5695" t="n">
        <v>2024</v>
      </c>
      <c r="D5695" t="inlineStr">
        <is>
          <t>Financial</t>
        </is>
      </c>
      <c r="E5695" t="inlineStr">
        <is>
          <t>Share of Profit from JV/Associates</t>
        </is>
      </c>
      <c r="F5695" t="n">
        <v>894</v>
      </c>
      <c r="G5695" t="inlineStr">
        <is>
          <t>IDR bn</t>
        </is>
      </c>
      <c r="H5695" t="n">
        <v>229</v>
      </c>
      <c r="I5695" t="inlineStr">
        <is>
          <t>Bagian laba dari ventura bersama dan entitas asosiasi 893.767 14a,14b 643.293</t>
        </is>
      </c>
      <c r="J5695" t="inlineStr">
        <is>
          <t>High</t>
        </is>
      </c>
      <c r="M5695" t="inlineStr">
        <is>
          <t>LLM</t>
        </is>
      </c>
      <c r="N5695" t="inlineStr">
        <is>
          <t>2026-04-19</t>
        </is>
      </c>
      <c r="O5695" t="inlineStr">
        <is>
          <t>AI</t>
        </is>
      </c>
    </row>
    <row r="5696">
      <c r="A5696" t="inlineStr">
        <is>
          <t>PT Triputra Agro Persada Tbk</t>
        </is>
      </c>
      <c r="B5696" t="inlineStr">
        <is>
          <t>TAPG_2024_AR.pdf</t>
        </is>
      </c>
      <c r="C5696" t="n">
        <v>2024</v>
      </c>
      <c r="D5696" t="inlineStr">
        <is>
          <t>Financial</t>
        </is>
      </c>
      <c r="E5696" t="inlineStr">
        <is>
          <t>Net Profit</t>
        </is>
      </c>
      <c r="F5696" t="n">
        <v>3241</v>
      </c>
      <c r="G5696" t="inlineStr">
        <is>
          <t>IDR bn</t>
        </is>
      </c>
      <c r="H5696" t="n">
        <v>10</v>
      </c>
      <c r="I5696" t="inlineStr">
        <is>
          <t>Laba Tahun Berjalan 3.240.599 1.661.258 3.088.745</t>
        </is>
      </c>
      <c r="J5696" t="inlineStr">
        <is>
          <t>High</t>
        </is>
      </c>
      <c r="M5696" t="inlineStr">
        <is>
          <t>LLM</t>
        </is>
      </c>
      <c r="N5696" t="inlineStr">
        <is>
          <t>2026-04-19</t>
        </is>
      </c>
      <c r="O5696" t="inlineStr">
        <is>
          <t>AI</t>
        </is>
      </c>
    </row>
    <row r="5697">
      <c r="A5697" t="inlineStr">
        <is>
          <t>PT Triputra Agro Persada Tbk</t>
        </is>
      </c>
      <c r="B5697" t="inlineStr">
        <is>
          <t>TAPG_2024_AR.pdf</t>
        </is>
      </c>
      <c r="C5697" t="n">
        <v>2024</v>
      </c>
      <c r="D5697" t="inlineStr">
        <is>
          <t>Financial</t>
        </is>
      </c>
      <c r="E5697" t="inlineStr">
        <is>
          <t>Profit Attributable to Parent</t>
        </is>
      </c>
      <c r="F5697" t="n">
        <v>3120</v>
      </c>
      <c r="G5697" t="inlineStr">
        <is>
          <t>IDR bn</t>
        </is>
      </c>
      <c r="H5697" t="n">
        <v>10</v>
      </c>
      <c r="I5697" t="inlineStr">
        <is>
          <t>Pemilik entitas induk 3.120.276 1.608.217 2.981.120</t>
        </is>
      </c>
      <c r="J5697" t="inlineStr">
        <is>
          <t>High</t>
        </is>
      </c>
      <c r="M5697" t="inlineStr">
        <is>
          <t>LLM</t>
        </is>
      </c>
      <c r="N5697" t="inlineStr">
        <is>
          <t>2026-04-19</t>
        </is>
      </c>
      <c r="O5697" t="inlineStr">
        <is>
          <t>AI</t>
        </is>
      </c>
    </row>
    <row r="5698">
      <c r="A5698" t="inlineStr">
        <is>
          <t>PT Triputra Agro Persada Tbk</t>
        </is>
      </c>
      <c r="B5698" t="inlineStr">
        <is>
          <t>TAPG_2024_AR.pdf</t>
        </is>
      </c>
      <c r="C5698" t="n">
        <v>2024</v>
      </c>
      <c r="D5698" t="inlineStr">
        <is>
          <t>Financial</t>
        </is>
      </c>
      <c r="E5698" t="inlineStr">
        <is>
          <t>Comprehensive Income</t>
        </is>
      </c>
      <c r="F5698" t="n">
        <v>3355</v>
      </c>
      <c r="G5698" t="inlineStr">
        <is>
          <t>IDR bn</t>
        </is>
      </c>
      <c r="H5698" t="n">
        <v>10</v>
      </c>
      <c r="I5698" t="inlineStr">
        <is>
          <t>Laba Komprehensif Tahun Berjalan 3.355.408 1.681.176 3.113.047</t>
        </is>
      </c>
      <c r="J5698" t="inlineStr">
        <is>
          <t>High</t>
        </is>
      </c>
      <c r="M5698" t="inlineStr">
        <is>
          <t>LLM</t>
        </is>
      </c>
      <c r="N5698" t="inlineStr">
        <is>
          <t>2026-04-19</t>
        </is>
      </c>
      <c r="O5698" t="inlineStr">
        <is>
          <t>AI</t>
        </is>
      </c>
    </row>
    <row r="5699">
      <c r="A5699" t="inlineStr">
        <is>
          <t>PT Triputra Agro Persada Tbk</t>
        </is>
      </c>
      <c r="B5699" t="inlineStr">
        <is>
          <t>TAPG_2024_AR.pdf</t>
        </is>
      </c>
      <c r="C5699" t="n">
        <v>2024</v>
      </c>
      <c r="D5699" t="inlineStr">
        <is>
          <t>Financial</t>
        </is>
      </c>
      <c r="E5699" t="inlineStr">
        <is>
          <t>Total Assets</t>
        </is>
      </c>
      <c r="F5699" t="n">
        <v>14307</v>
      </c>
      <c r="G5699" t="inlineStr">
        <is>
          <t>IDR bn</t>
        </is>
      </c>
      <c r="H5699" t="n">
        <v>10</v>
      </c>
      <c r="I5699" t="inlineStr">
        <is>
          <t>Jumlah Aset 14.307.265 13.867.387 14.526.124</t>
        </is>
      </c>
      <c r="J5699" t="inlineStr">
        <is>
          <t>High</t>
        </is>
      </c>
      <c r="M5699" t="inlineStr">
        <is>
          <t>LLM</t>
        </is>
      </c>
      <c r="N5699" t="inlineStr">
        <is>
          <t>2026-04-19</t>
        </is>
      </c>
      <c r="O5699" t="inlineStr">
        <is>
          <t>AI</t>
        </is>
      </c>
    </row>
    <row r="5700">
      <c r="A5700" t="inlineStr">
        <is>
          <t>PT Triputra Agro Persada Tbk</t>
        </is>
      </c>
      <c r="B5700" t="inlineStr">
        <is>
          <t>TAPG_2024_AR.pdf</t>
        </is>
      </c>
      <c r="C5700" t="n">
        <v>2024</v>
      </c>
      <c r="D5700" t="inlineStr">
        <is>
          <t>Financial</t>
        </is>
      </c>
      <c r="E5700" t="inlineStr">
        <is>
          <t>Current Assets</t>
        </is>
      </c>
      <c r="F5700" t="n">
        <v>3247</v>
      </c>
      <c r="G5700" t="inlineStr">
        <is>
          <t>IDR bn</t>
        </is>
      </c>
      <c r="H5700" t="n">
        <v>99</v>
      </c>
      <c r="I5700" t="inlineStr">
        <is>
          <t>Aset Lancar 3.246.648 2.445.565 33</t>
        </is>
      </c>
      <c r="J5700" t="inlineStr">
        <is>
          <t>High</t>
        </is>
      </c>
      <c r="M5700" t="inlineStr">
        <is>
          <t>LLM</t>
        </is>
      </c>
      <c r="N5700" t="inlineStr">
        <is>
          <t>2026-04-19</t>
        </is>
      </c>
      <c r="O5700" t="inlineStr">
        <is>
          <t>AI</t>
        </is>
      </c>
    </row>
    <row r="5701">
      <c r="A5701" t="inlineStr">
        <is>
          <t>PT Triputra Agro Persada Tbk</t>
        </is>
      </c>
      <c r="B5701" t="inlineStr">
        <is>
          <t>TAPG_2024_AR.pdf</t>
        </is>
      </c>
      <c r="C5701" t="n">
        <v>2024</v>
      </c>
      <c r="D5701" t="inlineStr">
        <is>
          <t>Financial</t>
        </is>
      </c>
      <c r="E5701" t="inlineStr">
        <is>
          <t>Non-Current Assets</t>
        </is>
      </c>
      <c r="F5701" t="n">
        <v>11061</v>
      </c>
      <c r="G5701" t="inlineStr">
        <is>
          <t>IDR bn</t>
        </is>
      </c>
      <c r="H5701" t="n">
        <v>99</v>
      </c>
      <c r="I5701" t="inlineStr">
        <is>
          <t>Aset Tidak Lancar 11.060.617 11.421.822 (3)</t>
        </is>
      </c>
      <c r="J5701" t="inlineStr">
        <is>
          <t>High</t>
        </is>
      </c>
      <c r="M5701" t="inlineStr">
        <is>
          <t>LLM</t>
        </is>
      </c>
      <c r="N5701" t="inlineStr">
        <is>
          <t>2026-04-19</t>
        </is>
      </c>
      <c r="O5701" t="inlineStr">
        <is>
          <t>AI</t>
        </is>
      </c>
    </row>
    <row r="5702">
      <c r="A5702" t="inlineStr">
        <is>
          <t>PT Triputra Agro Persada Tbk</t>
        </is>
      </c>
      <c r="B5702" t="inlineStr">
        <is>
          <t>TAPG_2024_AR.pdf</t>
        </is>
      </c>
      <c r="C5702" t="n">
        <v>2024</v>
      </c>
      <c r="D5702" t="inlineStr">
        <is>
          <t>Financial</t>
        </is>
      </c>
      <c r="E5702" t="inlineStr">
        <is>
          <t>Cash &amp; Cash Equivalents</t>
        </is>
      </c>
      <c r="F5702" t="n">
        <v>1309</v>
      </c>
      <c r="G5702" t="inlineStr">
        <is>
          <t>IDR bn</t>
        </is>
      </c>
      <c r="H5702" t="n">
        <v>226</v>
      </c>
      <c r="I5702" t="inlineStr">
        <is>
          <t>Kas dan setara kas 1.309.216 4 1.006.796</t>
        </is>
      </c>
      <c r="J5702" t="inlineStr">
        <is>
          <t>High</t>
        </is>
      </c>
      <c r="M5702" t="inlineStr">
        <is>
          <t>LLM</t>
        </is>
      </c>
      <c r="N5702" t="inlineStr">
        <is>
          <t>2026-04-19</t>
        </is>
      </c>
      <c r="O5702" t="inlineStr">
        <is>
          <t>AI</t>
        </is>
      </c>
    </row>
    <row r="5703">
      <c r="A5703" t="inlineStr">
        <is>
          <t>PT Triputra Agro Persada Tbk</t>
        </is>
      </c>
      <c r="B5703" t="inlineStr">
        <is>
          <t>TAPG_2024_AR.pdf</t>
        </is>
      </c>
      <c r="C5703" t="n">
        <v>2024</v>
      </c>
      <c r="D5703" t="inlineStr">
        <is>
          <t>Financial</t>
        </is>
      </c>
      <c r="E5703" t="inlineStr">
        <is>
          <t>Trade Receivables</t>
        </is>
      </c>
      <c r="F5703" t="n">
        <v>227</v>
      </c>
      <c r="G5703" t="inlineStr">
        <is>
          <t>IDR bn</t>
        </is>
      </c>
      <c r="H5703" t="n">
        <v>226</v>
      </c>
      <c r="I5703" t="inlineStr">
        <is>
          <t>Piutang usaha Pihak ketiga 226.539 5 85.020</t>
        </is>
      </c>
      <c r="J5703" t="inlineStr">
        <is>
          <t>High</t>
        </is>
      </c>
      <c r="M5703" t="inlineStr">
        <is>
          <t>LLM</t>
        </is>
      </c>
      <c r="N5703" t="inlineStr">
        <is>
          <t>2026-04-19</t>
        </is>
      </c>
      <c r="O5703" t="inlineStr">
        <is>
          <t>AI</t>
        </is>
      </c>
    </row>
    <row r="5704">
      <c r="A5704" t="inlineStr">
        <is>
          <t>PT Triputra Agro Persada Tbk</t>
        </is>
      </c>
      <c r="B5704" t="inlineStr">
        <is>
          <t>TAPG_2024_AR.pdf</t>
        </is>
      </c>
      <c r="C5704" t="n">
        <v>2024</v>
      </c>
      <c r="D5704" t="inlineStr">
        <is>
          <t>Financial</t>
        </is>
      </c>
      <c r="E5704" t="inlineStr">
        <is>
          <t>Inventories</t>
        </is>
      </c>
      <c r="F5704" t="n">
        <v>1035</v>
      </c>
      <c r="G5704" t="inlineStr">
        <is>
          <t>IDR bn</t>
        </is>
      </c>
      <c r="H5704" t="n">
        <v>226</v>
      </c>
      <c r="I5704" t="inlineStr">
        <is>
          <t>Persediaan 1.034.544 7 1.019.810</t>
        </is>
      </c>
      <c r="J5704" t="inlineStr">
        <is>
          <t>High</t>
        </is>
      </c>
      <c r="M5704" t="inlineStr">
        <is>
          <t>LLM</t>
        </is>
      </c>
      <c r="N5704" t="inlineStr">
        <is>
          <t>2026-04-19</t>
        </is>
      </c>
      <c r="O5704" t="inlineStr">
        <is>
          <t>AI</t>
        </is>
      </c>
    </row>
    <row r="5705">
      <c r="A5705" t="inlineStr">
        <is>
          <t>PT Triputra Agro Persada Tbk</t>
        </is>
      </c>
      <c r="B5705" t="inlineStr">
        <is>
          <t>TAPG_2024_AR.pdf</t>
        </is>
      </c>
      <c r="C5705" t="n">
        <v>2024</v>
      </c>
      <c r="D5705" t="inlineStr">
        <is>
          <t>Financial</t>
        </is>
      </c>
      <c r="E5705" t="inlineStr">
        <is>
          <t>Biological Assets (current)</t>
        </is>
      </c>
      <c r="F5705" t="n">
        <v>394</v>
      </c>
      <c r="G5705" t="inlineStr">
        <is>
          <t>IDR bn</t>
        </is>
      </c>
      <c r="H5705" t="n">
        <v>226</v>
      </c>
      <c r="I5705" t="inlineStr">
        <is>
          <t>Aset biologis 393.534 8 185.126</t>
        </is>
      </c>
      <c r="J5705" t="inlineStr">
        <is>
          <t>High</t>
        </is>
      </c>
      <c r="M5705" t="inlineStr">
        <is>
          <t>LLM</t>
        </is>
      </c>
      <c r="N5705" t="inlineStr">
        <is>
          <t>2026-04-19</t>
        </is>
      </c>
      <c r="O5705" t="inlineStr">
        <is>
          <t>AI</t>
        </is>
      </c>
    </row>
    <row r="5706">
      <c r="A5706" t="inlineStr">
        <is>
          <t>PT Triputra Agro Persada Tbk</t>
        </is>
      </c>
      <c r="B5706" t="inlineStr">
        <is>
          <t>TAPG_2024_AR.pdf</t>
        </is>
      </c>
      <c r="C5706" t="n">
        <v>2024</v>
      </c>
      <c r="D5706" t="inlineStr">
        <is>
          <t>Financial</t>
        </is>
      </c>
      <c r="E5706" t="inlineStr">
        <is>
          <t>Investment in Joint Ventures</t>
        </is>
      </c>
      <c r="F5706" t="n">
        <v>2945</v>
      </c>
      <c r="G5706" t="inlineStr">
        <is>
          <t>IDR bn</t>
        </is>
      </c>
      <c r="H5706" t="n">
        <v>226</v>
      </c>
      <c r="I5706" t="inlineStr">
        <is>
          <t>Investasi dalam ventura bersama 2.944.729 14a 3.214.873</t>
        </is>
      </c>
      <c r="J5706" t="inlineStr">
        <is>
          <t>High</t>
        </is>
      </c>
      <c r="M5706" t="inlineStr">
        <is>
          <t>LLM</t>
        </is>
      </c>
      <c r="N5706" t="inlineStr">
        <is>
          <t>2026-04-19</t>
        </is>
      </c>
      <c r="O5706" t="inlineStr">
        <is>
          <t>AI</t>
        </is>
      </c>
    </row>
    <row r="5707">
      <c r="A5707" t="inlineStr">
        <is>
          <t>PT Triputra Agro Persada Tbk</t>
        </is>
      </c>
      <c r="B5707" t="inlineStr">
        <is>
          <t>TAPG_2024_AR.pdf</t>
        </is>
      </c>
      <c r="C5707" t="n">
        <v>2024</v>
      </c>
      <c r="D5707" t="inlineStr">
        <is>
          <t>Financial</t>
        </is>
      </c>
      <c r="E5707" t="inlineStr">
        <is>
          <t>Fixed Assets</t>
        </is>
      </c>
      <c r="F5707" t="n">
        <v>7388</v>
      </c>
      <c r="G5707" t="inlineStr">
        <is>
          <t>IDR bn</t>
        </is>
      </c>
      <c r="H5707" t="n">
        <v>226</v>
      </c>
      <c r="I5707" t="inlineStr">
        <is>
          <t>Aset tetap 7.388.269 12 7.482.594</t>
        </is>
      </c>
      <c r="J5707" t="inlineStr">
        <is>
          <t>High</t>
        </is>
      </c>
      <c r="M5707" t="inlineStr">
        <is>
          <t>LLM</t>
        </is>
      </c>
      <c r="N5707" t="inlineStr">
        <is>
          <t>2026-04-19</t>
        </is>
      </c>
      <c r="O5707" t="inlineStr">
        <is>
          <t>AI</t>
        </is>
      </c>
    </row>
    <row r="5708">
      <c r="A5708" t="inlineStr">
        <is>
          <t>PT Triputra Agro Persada Tbk</t>
        </is>
      </c>
      <c r="B5708" t="inlineStr">
        <is>
          <t>TAPG_2024_AR.pdf</t>
        </is>
      </c>
      <c r="C5708" t="n">
        <v>2024</v>
      </c>
      <c r="D5708" t="inlineStr">
        <is>
          <t>Financial</t>
        </is>
      </c>
      <c r="E5708" t="inlineStr">
        <is>
          <t>Total Liabilities</t>
        </is>
      </c>
      <c r="F5708" t="n">
        <v>3031</v>
      </c>
      <c r="G5708" t="inlineStr">
        <is>
          <t>IDR bn</t>
        </is>
      </c>
      <c r="H5708" t="n">
        <v>10</v>
      </c>
      <c r="I5708" t="inlineStr">
        <is>
          <t>Jumlah Liabilities 3.030.836 2.527.847 4.113.380</t>
        </is>
      </c>
      <c r="J5708" t="inlineStr">
        <is>
          <t>High</t>
        </is>
      </c>
      <c r="M5708" t="inlineStr">
        <is>
          <t>LLM</t>
        </is>
      </c>
      <c r="N5708" t="inlineStr">
        <is>
          <t>2026-04-19</t>
        </is>
      </c>
      <c r="O5708" t="inlineStr">
        <is>
          <t>AI</t>
        </is>
      </c>
    </row>
    <row r="5709">
      <c r="A5709" t="inlineStr">
        <is>
          <t>PT Triputra Agro Persada Tbk</t>
        </is>
      </c>
      <c r="B5709" t="inlineStr">
        <is>
          <t>TAPG_2024_AR.pdf</t>
        </is>
      </c>
      <c r="C5709" t="n">
        <v>2024</v>
      </c>
      <c r="D5709" t="inlineStr">
        <is>
          <t>Financial</t>
        </is>
      </c>
      <c r="E5709" t="inlineStr">
        <is>
          <t>Current Liabilities</t>
        </is>
      </c>
      <c r="F5709" t="n">
        <v>2362</v>
      </c>
      <c r="G5709" t="inlineStr">
        <is>
          <t>IDR bn</t>
        </is>
      </c>
      <c r="H5709" t="n">
        <v>99</v>
      </c>
      <c r="I5709" t="inlineStr">
        <is>
          <t>Liabilitas Jangka Pendek 2.362.276 1.958.582 21</t>
        </is>
      </c>
      <c r="J5709" t="inlineStr">
        <is>
          <t>High</t>
        </is>
      </c>
      <c r="M5709" t="inlineStr">
        <is>
          <t>LLM</t>
        </is>
      </c>
      <c r="N5709" t="inlineStr">
        <is>
          <t>2026-04-19</t>
        </is>
      </c>
      <c r="O5709" t="inlineStr">
        <is>
          <t>AI</t>
        </is>
      </c>
    </row>
    <row r="5710">
      <c r="A5710" t="inlineStr">
        <is>
          <t>PT Triputra Agro Persada Tbk</t>
        </is>
      </c>
      <c r="B5710" t="inlineStr">
        <is>
          <t>TAPG_2024_AR.pdf</t>
        </is>
      </c>
      <c r="C5710" t="n">
        <v>2024</v>
      </c>
      <c r="D5710" t="inlineStr">
        <is>
          <t>Financial</t>
        </is>
      </c>
      <c r="E5710" t="inlineStr">
        <is>
          <t>Non-Current Liabilities</t>
        </is>
      </c>
      <c r="F5710" t="n">
        <v>669</v>
      </c>
      <c r="G5710" t="inlineStr">
        <is>
          <t>IDR bn</t>
        </is>
      </c>
      <c r="H5710" t="n">
        <v>99</v>
      </c>
      <c r="I5710" t="inlineStr">
        <is>
          <t>Liabilitas Jangka Panjang 668.560 569.265 17</t>
        </is>
      </c>
      <c r="J5710" t="inlineStr">
        <is>
          <t>High</t>
        </is>
      </c>
      <c r="M5710" t="inlineStr">
        <is>
          <t>LLM</t>
        </is>
      </c>
      <c r="N5710" t="inlineStr">
        <is>
          <t>2026-04-19</t>
        </is>
      </c>
      <c r="O5710" t="inlineStr">
        <is>
          <t>AI</t>
        </is>
      </c>
    </row>
    <row r="5711">
      <c r="A5711" t="inlineStr">
        <is>
          <t>PT Triputra Agro Persada Tbk</t>
        </is>
      </c>
      <c r="B5711" t="inlineStr">
        <is>
          <t>TAPG_2024_AR.pdf</t>
        </is>
      </c>
      <c r="C5711" t="n">
        <v>2024</v>
      </c>
      <c r="D5711" t="inlineStr">
        <is>
          <t>Financial</t>
        </is>
      </c>
      <c r="E5711" t="inlineStr">
        <is>
          <t>Short-term Bank Loans</t>
        </is>
      </c>
      <c r="F5711" t="n">
        <v>620</v>
      </c>
      <c r="G5711" t="inlineStr">
        <is>
          <t>IDR bn</t>
        </is>
      </c>
      <c r="H5711" t="n">
        <v>227</v>
      </c>
      <c r="I5711" t="inlineStr">
        <is>
          <t>Utang bank jangka pendek 620.000 16 75.000</t>
        </is>
      </c>
      <c r="J5711" t="inlineStr">
        <is>
          <t>High</t>
        </is>
      </c>
      <c r="M5711" t="inlineStr">
        <is>
          <t>LLM</t>
        </is>
      </c>
      <c r="N5711" t="inlineStr">
        <is>
          <t>2026-04-19</t>
        </is>
      </c>
      <c r="O5711" t="inlineStr">
        <is>
          <t>AI</t>
        </is>
      </c>
    </row>
    <row r="5712">
      <c r="A5712" t="inlineStr">
        <is>
          <t>PT Triputra Agro Persada Tbk</t>
        </is>
      </c>
      <c r="B5712" t="inlineStr">
        <is>
          <t>TAPG_2024_AR.pdf</t>
        </is>
      </c>
      <c r="C5712" t="n">
        <v>2024</v>
      </c>
      <c r="D5712" t="inlineStr">
        <is>
          <t>Financial</t>
        </is>
      </c>
      <c r="E5712" t="inlineStr">
        <is>
          <t>Current Portion LT Bank Loans</t>
        </is>
      </c>
      <c r="F5712" t="n">
        <v>150</v>
      </c>
      <c r="G5712" t="inlineStr">
        <is>
          <t>IDR bn</t>
        </is>
      </c>
      <c r="H5712" t="n">
        <v>227</v>
      </c>
      <c r="I5712" t="inlineStr">
        <is>
          <t>Bagian lancar atas utang bank jangka panjang 150.003 22 844.668</t>
        </is>
      </c>
      <c r="J5712" t="inlineStr">
        <is>
          <t>High</t>
        </is>
      </c>
      <c r="M5712" t="inlineStr">
        <is>
          <t>LLM</t>
        </is>
      </c>
      <c r="N5712" t="inlineStr">
        <is>
          <t>2026-04-19</t>
        </is>
      </c>
      <c r="O5712" t="inlineStr">
        <is>
          <t>AI</t>
        </is>
      </c>
    </row>
    <row r="5713">
      <c r="A5713" t="inlineStr">
        <is>
          <t>PT Triputra Agro Persada Tbk</t>
        </is>
      </c>
      <c r="B5713" t="inlineStr">
        <is>
          <t>TAPG_2024_AR.pdf</t>
        </is>
      </c>
      <c r="C5713" t="n">
        <v>2024</v>
      </c>
      <c r="D5713" t="inlineStr">
        <is>
          <t>Financial</t>
        </is>
      </c>
      <c r="E5713" t="inlineStr">
        <is>
          <t>Long-term Bank Loans</t>
        </is>
      </c>
      <c r="F5713" t="n">
        <v>330</v>
      </c>
      <c r="G5713" t="inlineStr">
        <is>
          <t>IDR bn</t>
        </is>
      </c>
      <c r="H5713" t="n">
        <v>227</v>
      </c>
      <c r="I5713" t="inlineStr">
        <is>
          <t>Utang bank jangka panjang 329.996 22 201.432</t>
        </is>
      </c>
      <c r="J5713" t="inlineStr">
        <is>
          <t>High</t>
        </is>
      </c>
      <c r="M5713" t="inlineStr">
        <is>
          <t>LLM</t>
        </is>
      </c>
      <c r="N5713" t="inlineStr">
        <is>
          <t>2026-04-19</t>
        </is>
      </c>
      <c r="O5713" t="inlineStr">
        <is>
          <t>AI</t>
        </is>
      </c>
    </row>
    <row r="5714">
      <c r="A5714" t="inlineStr">
        <is>
          <t>PT Triputra Agro Persada Tbk</t>
        </is>
      </c>
      <c r="B5714" t="inlineStr">
        <is>
          <t>TAPG_2024_AR.pdf</t>
        </is>
      </c>
      <c r="C5714" t="n">
        <v>2024</v>
      </c>
      <c r="D5714" t="inlineStr">
        <is>
          <t>Financial</t>
        </is>
      </c>
      <c r="E5714" t="inlineStr">
        <is>
          <t>Gross Debt (total bank loans)</t>
        </is>
      </c>
      <c r="F5714" t="n">
        <v>1100</v>
      </c>
      <c r="G5714" t="inlineStr">
        <is>
          <t>IDR bn</t>
        </is>
      </c>
      <c r="H5714" t="n">
        <v>227</v>
      </c>
      <c r="I5714" t="inlineStr">
        <is>
          <t>Calculated: 620 (ST) + 150 (current LT) + 330 (LT) = 1,100 bn</t>
        </is>
      </c>
      <c r="J5714" t="inlineStr">
        <is>
          <t>High</t>
        </is>
      </c>
      <c r="M5714" t="inlineStr">
        <is>
          <t>LLM</t>
        </is>
      </c>
      <c r="N5714" t="inlineStr">
        <is>
          <t>2026-04-19</t>
        </is>
      </c>
      <c r="O5714" t="inlineStr">
        <is>
          <t>AI</t>
        </is>
      </c>
    </row>
    <row r="5715">
      <c r="A5715" t="inlineStr">
        <is>
          <t>PT Triputra Agro Persada Tbk</t>
        </is>
      </c>
      <c r="B5715" t="inlineStr">
        <is>
          <t>TAPG_2024_AR.pdf</t>
        </is>
      </c>
      <c r="C5715" t="n">
        <v>2024</v>
      </c>
      <c r="D5715" t="inlineStr">
        <is>
          <t>Financial</t>
        </is>
      </c>
      <c r="E5715" t="inlineStr">
        <is>
          <t>Total Equity</t>
        </is>
      </c>
      <c r="F5715" t="n">
        <v>11276</v>
      </c>
      <c r="G5715" t="inlineStr">
        <is>
          <t>IDR bn</t>
        </is>
      </c>
      <c r="H5715" t="n">
        <v>10</v>
      </c>
      <c r="I5715" t="inlineStr">
        <is>
          <t>Jumlah Ekuitas 11.276.429 11.339.540 10.412.277</t>
        </is>
      </c>
      <c r="J5715" t="inlineStr">
        <is>
          <t>High</t>
        </is>
      </c>
      <c r="M5715" t="inlineStr">
        <is>
          <t>LLM</t>
        </is>
      </c>
      <c r="N5715" t="inlineStr">
        <is>
          <t>2026-04-19</t>
        </is>
      </c>
      <c r="O5715" t="inlineStr">
        <is>
          <t>AI</t>
        </is>
      </c>
    </row>
    <row r="5716">
      <c r="A5716" t="inlineStr">
        <is>
          <t>PT Triputra Agro Persada Tbk</t>
        </is>
      </c>
      <c r="B5716" t="inlineStr">
        <is>
          <t>TAPG_2024_AR.pdf</t>
        </is>
      </c>
      <c r="C5716" t="n">
        <v>2024</v>
      </c>
      <c r="D5716" t="inlineStr">
        <is>
          <t>Financial</t>
        </is>
      </c>
      <c r="E5716" t="inlineStr">
        <is>
          <t>Retained Earnings (Unappropriated)</t>
        </is>
      </c>
      <c r="F5716" t="n">
        <v>5557</v>
      </c>
      <c r="G5716" t="inlineStr">
        <is>
          <t>IDR bn</t>
        </is>
      </c>
      <c r="H5716" t="n">
        <v>228</v>
      </c>
      <c r="I5716" t="inlineStr">
        <is>
          <t>Belum dicadangkan 5.556.876 5.751.974</t>
        </is>
      </c>
      <c r="J5716" t="inlineStr">
        <is>
          <t>High</t>
        </is>
      </c>
      <c r="M5716" t="inlineStr">
        <is>
          <t>LLM</t>
        </is>
      </c>
      <c r="N5716" t="inlineStr">
        <is>
          <t>2026-04-19</t>
        </is>
      </c>
      <c r="O5716" t="inlineStr">
        <is>
          <t>AI</t>
        </is>
      </c>
    </row>
    <row r="5717">
      <c r="A5717" t="inlineStr">
        <is>
          <t>PT Triputra Agro Persada Tbk</t>
        </is>
      </c>
      <c r="B5717" t="inlineStr">
        <is>
          <t>TAPG_2024_AR.pdf</t>
        </is>
      </c>
      <c r="C5717" t="n">
        <v>2024</v>
      </c>
      <c r="D5717" t="inlineStr">
        <is>
          <t>Financial</t>
        </is>
      </c>
      <c r="E5717" t="inlineStr">
        <is>
          <t>Non-Controlling Interest</t>
        </is>
      </c>
      <c r="F5717" t="n">
        <v>469</v>
      </c>
      <c r="G5717" t="inlineStr">
        <is>
          <t>IDR bn</t>
        </is>
      </c>
      <c r="H5717" t="n">
        <v>228</v>
      </c>
      <c r="I5717" t="inlineStr">
        <is>
          <t>KEPENTINGAN NONPENGENDALI 468.524 26 445.583</t>
        </is>
      </c>
      <c r="J5717" t="inlineStr">
        <is>
          <t>High</t>
        </is>
      </c>
      <c r="M5717" t="inlineStr">
        <is>
          <t>LLM</t>
        </is>
      </c>
      <c r="N5717" t="inlineStr">
        <is>
          <t>2026-04-19</t>
        </is>
      </c>
      <c r="O5717" t="inlineStr">
        <is>
          <t>AI</t>
        </is>
      </c>
    </row>
    <row r="5718">
      <c r="A5718" t="inlineStr">
        <is>
          <t>PT Triputra Agro Persada Tbk</t>
        </is>
      </c>
      <c r="B5718" t="inlineStr">
        <is>
          <t>TAPG_2024_AR.pdf</t>
        </is>
      </c>
      <c r="C5718" t="n">
        <v>2024</v>
      </c>
      <c r="D5718" t="inlineStr">
        <is>
          <t>Financial</t>
        </is>
      </c>
      <c r="E5718" t="inlineStr">
        <is>
          <t>CFO (Cash Flow from Operating)</t>
        </is>
      </c>
      <c r="F5718" t="n">
        <v>3239</v>
      </c>
      <c r="G5718" t="inlineStr">
        <is>
          <t>IDR bn</t>
        </is>
      </c>
      <c r="H5718" t="n">
        <v>102</v>
      </c>
      <c r="I5718" t="inlineStr">
        <is>
          <t>Arus Kas dari Aktivitas Operasi 3.239.185 1.569.363 106</t>
        </is>
      </c>
      <c r="J5718" t="inlineStr">
        <is>
          <t>High</t>
        </is>
      </c>
      <c r="M5718" t="inlineStr">
        <is>
          <t>LLM</t>
        </is>
      </c>
      <c r="N5718" t="inlineStr">
        <is>
          <t>2026-04-19</t>
        </is>
      </c>
      <c r="O5718" t="inlineStr">
        <is>
          <t>AI</t>
        </is>
      </c>
    </row>
    <row r="5719">
      <c r="A5719" t="inlineStr">
        <is>
          <t>PT Triputra Agro Persada Tbk</t>
        </is>
      </c>
      <c r="B5719" t="inlineStr">
        <is>
          <t>TAPG_2024_AR.pdf</t>
        </is>
      </c>
      <c r="C5719" t="n">
        <v>2024</v>
      </c>
      <c r="D5719" t="inlineStr">
        <is>
          <t>Financial</t>
        </is>
      </c>
      <c r="E5719" t="inlineStr">
        <is>
          <t>CFI (Cash Flow from Investing)</t>
        </is>
      </c>
      <c r="F5719" t="n">
        <v>576</v>
      </c>
      <c r="G5719" t="inlineStr">
        <is>
          <t>IDR bn</t>
        </is>
      </c>
      <c r="H5719" t="n">
        <v>102</v>
      </c>
      <c r="I5719" t="inlineStr">
        <is>
          <t>Arus Kas dari Aktivitas Investasi 576.160 (441.818) 230</t>
        </is>
      </c>
      <c r="J5719" t="inlineStr">
        <is>
          <t>High</t>
        </is>
      </c>
      <c r="M5719" t="inlineStr">
        <is>
          <t>LLM</t>
        </is>
      </c>
      <c r="N5719" t="inlineStr">
        <is>
          <t>2026-04-19</t>
        </is>
      </c>
      <c r="O5719" t="inlineStr">
        <is>
          <t>AI</t>
        </is>
      </c>
    </row>
    <row r="5720">
      <c r="A5720" t="inlineStr">
        <is>
          <t>PT Triputra Agro Persada Tbk</t>
        </is>
      </c>
      <c r="B5720" t="inlineStr">
        <is>
          <t>TAPG_2024_AR.pdf</t>
        </is>
      </c>
      <c r="C5720" t="n">
        <v>2024</v>
      </c>
      <c r="D5720" t="inlineStr">
        <is>
          <t>Financial</t>
        </is>
      </c>
      <c r="E5720" t="inlineStr">
        <is>
          <t>CFF (Cash Flow from Financing)</t>
        </is>
      </c>
      <c r="F5720" t="n">
        <v>-3516</v>
      </c>
      <c r="G5720" t="inlineStr">
        <is>
          <t>IDR bn</t>
        </is>
      </c>
      <c r="H5720" t="n">
        <v>102</v>
      </c>
      <c r="I5720" t="inlineStr">
        <is>
          <t>Arus Kas dari Aktivitas Pendanaan (3.516.260) (2.049.701) 72</t>
        </is>
      </c>
      <c r="J5720" t="inlineStr">
        <is>
          <t>High</t>
        </is>
      </c>
      <c r="M5720" t="inlineStr">
        <is>
          <t>LLM</t>
        </is>
      </c>
      <c r="N5720" t="inlineStr">
        <is>
          <t>2026-04-19</t>
        </is>
      </c>
      <c r="O5720" t="inlineStr">
        <is>
          <t>AI</t>
        </is>
      </c>
    </row>
    <row r="5721">
      <c r="A5721" t="inlineStr">
        <is>
          <t>PT Triputra Agro Persada Tbk</t>
        </is>
      </c>
      <c r="B5721" t="inlineStr">
        <is>
          <t>TAPG_2024_AR.pdf</t>
        </is>
      </c>
      <c r="C5721" t="n">
        <v>2024</v>
      </c>
      <c r="D5721" t="inlineStr">
        <is>
          <t>Financial</t>
        </is>
      </c>
      <c r="E5721" t="inlineStr">
        <is>
          <t>Capex Realized 2024</t>
        </is>
      </c>
      <c r="F5721" t="n">
        <v>588</v>
      </c>
      <c r="G5721" t="inlineStr">
        <is>
          <t>IDR bn</t>
        </is>
      </c>
      <c r="H5721" t="n">
        <v>105</v>
      </c>
      <c r="I5721" t="inlineStr">
        <is>
          <t>Pada tahun 2024, Perseroan telah merealisasikan investasi barang modal sebesar Rp588 miliar</t>
        </is>
      </c>
      <c r="J5721" t="inlineStr">
        <is>
          <t>High</t>
        </is>
      </c>
      <c r="M5721" t="inlineStr">
        <is>
          <t>LLM</t>
        </is>
      </c>
      <c r="N5721" t="inlineStr">
        <is>
          <t>2026-04-19</t>
        </is>
      </c>
      <c r="O5721" t="inlineStr">
        <is>
          <t>AI</t>
        </is>
      </c>
    </row>
    <row r="5722">
      <c r="A5722" t="inlineStr">
        <is>
          <t>PT Triputra Agro Persada Tbk</t>
        </is>
      </c>
      <c r="B5722" t="inlineStr">
        <is>
          <t>TAPG_2024_AR.pdf</t>
        </is>
      </c>
      <c r="C5722" t="n">
        <v>2024</v>
      </c>
      <c r="D5722" t="inlineStr">
        <is>
          <t>Financial</t>
        </is>
      </c>
      <c r="E5722" t="inlineStr">
        <is>
          <t>EPS (full Rp)</t>
        </is>
      </c>
      <c r="F5722" t="n">
        <v>157</v>
      </c>
      <c r="G5722" t="inlineStr">
        <is>
          <t>Rp/share</t>
        </is>
      </c>
      <c r="H5722" t="n">
        <v>10</v>
      </c>
      <c r="I5722" t="inlineStr">
        <is>
          <t>Laba (Rugi) per Saham 157 81 150</t>
        </is>
      </c>
      <c r="J5722" t="inlineStr">
        <is>
          <t>High</t>
        </is>
      </c>
      <c r="M5722" t="inlineStr">
        <is>
          <t>LLM</t>
        </is>
      </c>
      <c r="N5722" t="inlineStr">
        <is>
          <t>2026-04-19</t>
        </is>
      </c>
      <c r="O5722" t="inlineStr">
        <is>
          <t>AI</t>
        </is>
      </c>
    </row>
    <row r="5723">
      <c r="A5723" t="inlineStr">
        <is>
          <t>PT Triputra Agro Persada Tbk</t>
        </is>
      </c>
      <c r="B5723" t="inlineStr">
        <is>
          <t>TAPG_2024_AR.pdf</t>
        </is>
      </c>
      <c r="C5723" t="n">
        <v>2024</v>
      </c>
      <c r="D5723" t="inlineStr">
        <is>
          <t>Financial</t>
        </is>
      </c>
      <c r="E5723" t="inlineStr">
        <is>
          <t>Shares Outstanding</t>
        </is>
      </c>
      <c r="F5723" t="n">
        <v>19853</v>
      </c>
      <c r="G5723" t="inlineStr">
        <is>
          <t>mn</t>
        </is>
      </c>
      <c r="H5723" t="n">
        <v>12</v>
      </c>
      <c r="I5723" t="inlineStr">
        <is>
          <t>Jumlah Saham Beredar 19.852.540.000</t>
        </is>
      </c>
      <c r="J5723" t="inlineStr">
        <is>
          <t>High</t>
        </is>
      </c>
      <c r="M5723" t="inlineStr">
        <is>
          <t>LLM</t>
        </is>
      </c>
      <c r="N5723" t="inlineStr">
        <is>
          <t>2026-04-19</t>
        </is>
      </c>
      <c r="O5723" t="inlineStr">
        <is>
          <t>AI</t>
        </is>
      </c>
    </row>
    <row r="5724">
      <c r="A5724" t="inlineStr">
        <is>
          <t>PT Triputra Agro Persada Tbk</t>
        </is>
      </c>
      <c r="B5724" t="inlineStr">
        <is>
          <t>TAPG_2024_AR.pdf</t>
        </is>
      </c>
      <c r="C5724" t="n">
        <v>2024</v>
      </c>
      <c r="D5724" t="inlineStr">
        <is>
          <t>Financial</t>
        </is>
      </c>
      <c r="E5724" t="inlineStr">
        <is>
          <t>Share Price 31-Dec-2024 (Q4 close)</t>
        </is>
      </c>
      <c r="F5724" t="n">
        <v>765</v>
      </c>
      <c r="G5724" t="inlineStr">
        <is>
          <t>Rp/share</t>
        </is>
      </c>
      <c r="H5724" t="n">
        <v>12</v>
      </c>
      <c r="I5724" t="inlineStr">
        <is>
          <t>IV 995 700 765 1.541.666.500 19.852.540.000 15.187.193.100.000</t>
        </is>
      </c>
      <c r="J5724" t="inlineStr">
        <is>
          <t>High</t>
        </is>
      </c>
      <c r="M5724" t="inlineStr">
        <is>
          <t>LLM</t>
        </is>
      </c>
      <c r="N5724" t="inlineStr">
        <is>
          <t>2026-04-19</t>
        </is>
      </c>
      <c r="O5724" t="inlineStr">
        <is>
          <t>AI</t>
        </is>
      </c>
    </row>
    <row r="5725">
      <c r="A5725" t="inlineStr">
        <is>
          <t>PT Triputra Agro Persada Tbk</t>
        </is>
      </c>
      <c r="B5725" t="inlineStr">
        <is>
          <t>TAPG_2024_AR.pdf</t>
        </is>
      </c>
      <c r="C5725" t="n">
        <v>2024</v>
      </c>
      <c r="D5725" t="inlineStr">
        <is>
          <t>Financial</t>
        </is>
      </c>
      <c r="E5725" t="inlineStr">
        <is>
          <t>Market Cap Q4 2024</t>
        </is>
      </c>
      <c r="F5725" t="n">
        <v>15187</v>
      </c>
      <c r="G5725" t="inlineStr">
        <is>
          <t>IDR bn</t>
        </is>
      </c>
      <c r="H5725" t="n">
        <v>12</v>
      </c>
      <c r="I5725" t="inlineStr">
        <is>
          <t>Kapitalisasi Pasar 15.187.193.100.000</t>
        </is>
      </c>
      <c r="J5725" t="inlineStr">
        <is>
          <t>High</t>
        </is>
      </c>
      <c r="M5725" t="inlineStr">
        <is>
          <t>LLM</t>
        </is>
      </c>
      <c r="N5725" t="inlineStr">
        <is>
          <t>2026-04-19</t>
        </is>
      </c>
      <c r="O5725" t="inlineStr">
        <is>
          <t>AI</t>
        </is>
      </c>
    </row>
    <row r="5726">
      <c r="A5726" t="inlineStr">
        <is>
          <t>PT Triputra Agro Persada Tbk</t>
        </is>
      </c>
      <c r="B5726" t="inlineStr">
        <is>
          <t>TAPG_2024_AR.pdf</t>
        </is>
      </c>
      <c r="C5726" t="n">
        <v>2024</v>
      </c>
      <c r="D5726" t="inlineStr">
        <is>
          <t>Financial</t>
        </is>
      </c>
      <c r="E5726" t="inlineStr">
        <is>
          <t>Interim Dividend 2024</t>
        </is>
      </c>
      <c r="F5726" t="n">
        <v>76</v>
      </c>
      <c r="G5726" t="inlineStr">
        <is>
          <t>Rp/share</t>
        </is>
      </c>
      <c r="H5726" t="n">
        <v>110</v>
      </c>
      <c r="I5726" t="inlineStr">
        <is>
          <t>8 November 2024 2024 Rp76 (interim) Rp1.508.793 juta 46,6%</t>
        </is>
      </c>
      <c r="J5726" t="inlineStr">
        <is>
          <t>High</t>
        </is>
      </c>
      <c r="M5726" t="inlineStr">
        <is>
          <t>LLM</t>
        </is>
      </c>
      <c r="N5726" t="inlineStr">
        <is>
          <t>2026-04-19</t>
        </is>
      </c>
      <c r="O5726" t="inlineStr">
        <is>
          <t>AI</t>
        </is>
      </c>
    </row>
    <row r="5727">
      <c r="A5727" t="inlineStr">
        <is>
          <t>PT Triputra Agro Persada Tbk</t>
        </is>
      </c>
      <c r="B5727" t="inlineStr">
        <is>
          <t>TAPG_2024_AR.pdf</t>
        </is>
      </c>
      <c r="C5727" t="n">
        <v>2024</v>
      </c>
      <c r="D5727" t="inlineStr">
        <is>
          <t>Financial</t>
        </is>
      </c>
      <c r="E5727" t="inlineStr">
        <is>
          <t>Final Dividend for FY2023 (paid 2024)</t>
        </is>
      </c>
      <c r="F5727" t="n">
        <v>91</v>
      </c>
      <c r="G5727" t="inlineStr">
        <is>
          <t>Rp/share</t>
        </is>
      </c>
      <c r="H5727" t="n">
        <v>110</v>
      </c>
      <c r="I5727" t="inlineStr">
        <is>
          <t>15 Mei 2024 2023 Rp91 Rp1.806.581 juta 108,7%</t>
        </is>
      </c>
      <c r="J5727" t="inlineStr">
        <is>
          <t>High</t>
        </is>
      </c>
      <c r="M5727" t="inlineStr">
        <is>
          <t>LLM</t>
        </is>
      </c>
      <c r="N5727" t="inlineStr">
        <is>
          <t>2026-04-19</t>
        </is>
      </c>
      <c r="O5727" t="inlineStr">
        <is>
          <t>AI</t>
        </is>
      </c>
    </row>
    <row r="5728">
      <c r="A5728" t="inlineStr">
        <is>
          <t>PT Triputra Agro Persada Tbk</t>
        </is>
      </c>
      <c r="B5728" t="inlineStr">
        <is>
          <t>TAPG_2024_AR.pdf</t>
        </is>
      </c>
      <c r="C5728" t="n">
        <v>2024</v>
      </c>
      <c r="D5728" t="inlineStr">
        <is>
          <t>Financial</t>
        </is>
      </c>
      <c r="E5728" t="inlineStr">
        <is>
          <t>Debt-to-Equity</t>
        </is>
      </c>
      <c r="F5728" t="n">
        <v>26.9</v>
      </c>
      <c r="G5728" t="inlineStr">
        <is>
          <t>%</t>
        </is>
      </c>
      <c r="H5728" t="n">
        <v>10</v>
      </c>
      <c r="I5728" t="inlineStr">
        <is>
          <t>Total Liabilitas/Total Ekuitas 26,9 22,3 39,5</t>
        </is>
      </c>
      <c r="J5728" t="inlineStr">
        <is>
          <t>High</t>
        </is>
      </c>
      <c r="M5728" t="inlineStr">
        <is>
          <t>LLM</t>
        </is>
      </c>
      <c r="N5728" t="inlineStr">
        <is>
          <t>2026-04-19</t>
        </is>
      </c>
      <c r="O5728" t="inlineStr">
        <is>
          <t>AI</t>
        </is>
      </c>
    </row>
    <row r="5729">
      <c r="A5729" t="inlineStr">
        <is>
          <t>PT Triputra Agro Persada Tbk</t>
        </is>
      </c>
      <c r="B5729" t="inlineStr">
        <is>
          <t>TAPG_2024_AR.pdf</t>
        </is>
      </c>
      <c r="C5729" t="n">
        <v>2024</v>
      </c>
      <c r="D5729" t="inlineStr">
        <is>
          <t>Financial</t>
        </is>
      </c>
      <c r="E5729" t="inlineStr">
        <is>
          <t>Net Debt/Equity</t>
        </is>
      </c>
      <c r="F5729" t="n">
        <v>-0.019</v>
      </c>
      <c r="G5729" t="inlineStr">
        <is>
          <t>x</t>
        </is>
      </c>
      <c r="H5729" t="n">
        <v>103</v>
      </c>
      <c r="I5729" t="inlineStr">
        <is>
          <t>Liabilitas Berbunga Bersih terhadap Ekuitas (0,019) 0,010</t>
        </is>
      </c>
      <c r="J5729" t="inlineStr">
        <is>
          <t>High</t>
        </is>
      </c>
      <c r="M5729" t="inlineStr">
        <is>
          <t>LLM</t>
        </is>
      </c>
      <c r="N5729" t="inlineStr">
        <is>
          <t>2026-04-19</t>
        </is>
      </c>
      <c r="O5729" t="inlineStr">
        <is>
          <t>AI</t>
        </is>
      </c>
    </row>
    <row r="5730">
      <c r="A5730" t="inlineStr">
        <is>
          <t>PT Triputra Agro Persada Tbk</t>
        </is>
      </c>
      <c r="B5730" t="inlineStr">
        <is>
          <t>TAPG_2024_AR.pdf</t>
        </is>
      </c>
      <c r="C5730" t="n">
        <v>2024</v>
      </c>
      <c r="D5730" t="inlineStr">
        <is>
          <t>Financial</t>
        </is>
      </c>
      <c r="E5730" t="inlineStr">
        <is>
          <t>Net Debt/EBITDA</t>
        </is>
      </c>
      <c r="F5730" t="n">
        <v>-0.045</v>
      </c>
      <c r="G5730" t="inlineStr">
        <is>
          <t>x</t>
        </is>
      </c>
      <c r="H5730" t="n">
        <v>103</v>
      </c>
      <c r="I5730" t="inlineStr">
        <is>
          <t>Liabilitas Berbunga Bersih terhadap EBITDA (0,045) 0,043</t>
        </is>
      </c>
      <c r="J5730" t="inlineStr">
        <is>
          <t>High</t>
        </is>
      </c>
      <c r="M5730" t="inlineStr">
        <is>
          <t>LLM</t>
        </is>
      </c>
      <c r="N5730" t="inlineStr">
        <is>
          <t>2026-04-19</t>
        </is>
      </c>
      <c r="O5730" t="inlineStr">
        <is>
          <t>AI</t>
        </is>
      </c>
    </row>
    <row r="5731">
      <c r="A5731" t="inlineStr">
        <is>
          <t>PT Triputra Agro Persada Tbk</t>
        </is>
      </c>
      <c r="B5731" t="inlineStr">
        <is>
          <t>TAPG_2024_AR.pdf</t>
        </is>
      </c>
      <c r="C5731" t="n">
        <v>2024</v>
      </c>
      <c r="D5731" t="inlineStr">
        <is>
          <t>Financial</t>
        </is>
      </c>
      <c r="E5731" t="inlineStr">
        <is>
          <t>Current Ratio</t>
        </is>
      </c>
      <c r="F5731" t="n">
        <v>137.4</v>
      </c>
      <c r="G5731" t="inlineStr">
        <is>
          <t>%</t>
        </is>
      </c>
      <c r="H5731" t="n">
        <v>10</v>
      </c>
      <c r="I5731" t="inlineStr">
        <is>
          <t>Aset Lancar/Liabilitas Jangka Pendek 137,4 124,9 175,7</t>
        </is>
      </c>
      <c r="J5731" t="inlineStr">
        <is>
          <t>High</t>
        </is>
      </c>
      <c r="M5731" t="inlineStr">
        <is>
          <t>LLM</t>
        </is>
      </c>
      <c r="N5731" t="inlineStr">
        <is>
          <t>2026-04-19</t>
        </is>
      </c>
      <c r="O5731" t="inlineStr">
        <is>
          <t>AI</t>
        </is>
      </c>
    </row>
    <row r="5732">
      <c r="A5732" t="inlineStr">
        <is>
          <t>PT Triputra Agro Persada Tbk</t>
        </is>
      </c>
      <c r="B5732" t="inlineStr">
        <is>
          <t>TAPG_2024_AR.pdf</t>
        </is>
      </c>
      <c r="C5732" t="n">
        <v>2024</v>
      </c>
      <c r="D5732" t="inlineStr">
        <is>
          <t>Financial</t>
        </is>
      </c>
      <c r="E5732" t="inlineStr">
        <is>
          <t>Gross Profit Margin</t>
        </is>
      </c>
      <c r="F5732" t="n">
        <v>38.5</v>
      </c>
      <c r="G5732" t="inlineStr">
        <is>
          <t>%</t>
        </is>
      </c>
      <c r="H5732" t="n">
        <v>10</v>
      </c>
      <c r="I5732" t="inlineStr">
        <is>
          <t>Laba Bruto/Penjualan 38,5 26,6 39,8</t>
        </is>
      </c>
      <c r="J5732" t="inlineStr">
        <is>
          <t>High</t>
        </is>
      </c>
      <c r="M5732" t="inlineStr">
        <is>
          <t>LLM</t>
        </is>
      </c>
      <c r="N5732" t="inlineStr">
        <is>
          <t>2026-04-19</t>
        </is>
      </c>
      <c r="O5732" t="inlineStr">
        <is>
          <t>AI</t>
        </is>
      </c>
    </row>
    <row r="5733">
      <c r="A5733" t="inlineStr">
        <is>
          <t>PT Triputra Agro Persada Tbk</t>
        </is>
      </c>
      <c r="B5733" t="inlineStr">
        <is>
          <t>TAPG_2024_AR.pdf</t>
        </is>
      </c>
      <c r="C5733" t="n">
        <v>2024</v>
      </c>
      <c r="D5733" t="inlineStr">
        <is>
          <t>Asset</t>
        </is>
      </c>
      <c r="E5733" t="inlineStr">
        <is>
          <t>Total Planted Area</t>
        </is>
      </c>
      <c r="F5733" t="n">
        <v>160800</v>
      </c>
      <c r="G5733" t="inlineStr">
        <is>
          <t>ha</t>
        </is>
      </c>
      <c r="H5733" t="n">
        <v>11</v>
      </c>
      <c r="I5733" t="inlineStr">
        <is>
          <t>Total Lahan Tertanam Perkebunan Kelapa Sawit 160,8 ribu hektar</t>
        </is>
      </c>
      <c r="J5733" t="inlineStr">
        <is>
          <t>High</t>
        </is>
      </c>
      <c r="M5733" t="inlineStr">
        <is>
          <t>LLM</t>
        </is>
      </c>
      <c r="N5733" t="inlineStr">
        <is>
          <t>2026-04-19</t>
        </is>
      </c>
      <c r="O5733" t="inlineStr">
        <is>
          <t>AI</t>
        </is>
      </c>
    </row>
    <row r="5734">
      <c r="A5734" t="inlineStr">
        <is>
          <t>PT Triputra Agro Persada Tbk</t>
        </is>
      </c>
      <c r="B5734" t="inlineStr">
        <is>
          <t>TAPG_2024_AR.pdf</t>
        </is>
      </c>
      <c r="C5734" t="n">
        <v>2024</v>
      </c>
      <c r="D5734" t="inlineStr">
        <is>
          <t>Asset</t>
        </is>
      </c>
      <c r="E5734" t="inlineStr">
        <is>
          <t>Nucleus Planted Area</t>
        </is>
      </c>
      <c r="F5734" t="n">
        <v>135600</v>
      </c>
      <c r="G5734" t="inlineStr">
        <is>
          <t>ha</t>
        </is>
      </c>
      <c r="H5734" t="n">
        <v>11</v>
      </c>
      <c r="I5734" t="inlineStr">
        <is>
          <t>Total Lahan Tertanam Perkebunan Kelapa Sawit Inti 135,6 ribu hektar</t>
        </is>
      </c>
      <c r="J5734" t="inlineStr">
        <is>
          <t>High</t>
        </is>
      </c>
      <c r="M5734" t="inlineStr">
        <is>
          <t>LLM</t>
        </is>
      </c>
      <c r="N5734" t="inlineStr">
        <is>
          <t>2026-04-19</t>
        </is>
      </c>
      <c r="O5734" t="inlineStr">
        <is>
          <t>AI</t>
        </is>
      </c>
    </row>
    <row r="5735">
      <c r="A5735" t="inlineStr">
        <is>
          <t>PT Triputra Agro Persada Tbk</t>
        </is>
      </c>
      <c r="B5735" t="inlineStr">
        <is>
          <t>TAPG_2024_AR.pdf</t>
        </is>
      </c>
      <c r="C5735" t="n">
        <v>2024</v>
      </c>
      <c r="D5735" t="inlineStr">
        <is>
          <t>Asset</t>
        </is>
      </c>
      <c r="E5735" t="inlineStr">
        <is>
          <t>Plasma Planted Area</t>
        </is>
      </c>
      <c r="F5735" t="n">
        <v>25200</v>
      </c>
      <c r="G5735" t="inlineStr">
        <is>
          <t>ha</t>
        </is>
      </c>
      <c r="H5735" t="n">
        <v>11</v>
      </c>
      <c r="I5735" t="inlineStr">
        <is>
          <t>Total Lahan Tertanam Perkebunan Kelapa Sawit Plasma 25,2 ribu hektar</t>
        </is>
      </c>
      <c r="J5735" t="inlineStr">
        <is>
          <t>High</t>
        </is>
      </c>
      <c r="M5735" t="inlineStr">
        <is>
          <t>LLM</t>
        </is>
      </c>
      <c r="N5735" t="inlineStr">
        <is>
          <t>2026-04-19</t>
        </is>
      </c>
      <c r="O5735" t="inlineStr">
        <is>
          <t>AI</t>
        </is>
      </c>
    </row>
    <row r="5736">
      <c r="A5736" t="inlineStr">
        <is>
          <t>PT Triputra Agro Persada Tbk</t>
        </is>
      </c>
      <c r="B5736" t="inlineStr">
        <is>
          <t>TAPG_2024_AR.pdf</t>
        </is>
      </c>
      <c r="C5736" t="n">
        <v>2024</v>
      </c>
      <c r="D5736" t="inlineStr">
        <is>
          <t>Asset</t>
        </is>
      </c>
      <c r="E5736" t="inlineStr">
        <is>
          <t>Rubber Planted Area</t>
        </is>
      </c>
      <c r="F5736" t="n">
        <v>1300</v>
      </c>
      <c r="G5736" t="inlineStr">
        <is>
          <t>ha</t>
        </is>
      </c>
      <c r="H5736" t="n">
        <v>11</v>
      </c>
      <c r="I5736" t="inlineStr">
        <is>
          <t>Total Lahan Tertanam Perkebunan Karet 1,3 ribu hektar</t>
        </is>
      </c>
      <c r="J5736" t="inlineStr">
        <is>
          <t>High</t>
        </is>
      </c>
      <c r="M5736" t="inlineStr">
        <is>
          <t>LLM</t>
        </is>
      </c>
      <c r="N5736" t="inlineStr">
        <is>
          <t>2026-04-19</t>
        </is>
      </c>
      <c r="O5736" t="inlineStr">
        <is>
          <t>AI</t>
        </is>
      </c>
    </row>
    <row r="5737">
      <c r="A5737" t="inlineStr">
        <is>
          <t>PT Triputra Agro Persada Tbk</t>
        </is>
      </c>
      <c r="B5737" t="inlineStr">
        <is>
          <t>TAPG_2024_AR.pdf</t>
        </is>
      </c>
      <c r="C5737" t="n">
        <v>2024</v>
      </c>
      <c r="D5737" t="inlineStr">
        <is>
          <t>Asset</t>
        </is>
      </c>
      <c r="E5737" t="inlineStr">
        <is>
          <t>Age 0-3 years (Nucleus)</t>
        </is>
      </c>
      <c r="F5737" t="n">
        <v>7416</v>
      </c>
      <c r="G5737" t="inlineStr">
        <is>
          <t>ha</t>
        </is>
      </c>
      <c r="H5737" t="n">
        <v>96</v>
      </c>
      <c r="I5737" t="inlineStr">
        <is>
          <t>0-3 tahun years 7.416 10.649</t>
        </is>
      </c>
      <c r="J5737" t="inlineStr">
        <is>
          <t>High</t>
        </is>
      </c>
      <c r="M5737" t="inlineStr">
        <is>
          <t>LLM</t>
        </is>
      </c>
      <c r="N5737" t="inlineStr">
        <is>
          <t>2026-04-19</t>
        </is>
      </c>
      <c r="O5737" t="inlineStr">
        <is>
          <t>AI</t>
        </is>
      </c>
    </row>
    <row r="5738">
      <c r="A5738" t="inlineStr">
        <is>
          <t>PT Triputra Agro Persada Tbk</t>
        </is>
      </c>
      <c r="B5738" t="inlineStr">
        <is>
          <t>TAPG_2024_AR.pdf</t>
        </is>
      </c>
      <c r="C5738" t="n">
        <v>2024</v>
      </c>
      <c r="D5738" t="inlineStr">
        <is>
          <t>Asset</t>
        </is>
      </c>
      <c r="E5738" t="inlineStr">
        <is>
          <t>Age 4-6 years (Nucleus)</t>
        </is>
      </c>
      <c r="F5738" t="n">
        <v>4375</v>
      </c>
      <c r="G5738" t="inlineStr">
        <is>
          <t>ha</t>
        </is>
      </c>
      <c r="H5738" t="n">
        <v>96</v>
      </c>
      <c r="I5738" t="inlineStr">
        <is>
          <t>4-6 tahun years 4.375 6.942</t>
        </is>
      </c>
      <c r="J5738" t="inlineStr">
        <is>
          <t>High</t>
        </is>
      </c>
      <c r="M5738" t="inlineStr">
        <is>
          <t>LLM</t>
        </is>
      </c>
      <c r="N5738" t="inlineStr">
        <is>
          <t>2026-04-19</t>
        </is>
      </c>
      <c r="O5738" t="inlineStr">
        <is>
          <t>AI</t>
        </is>
      </c>
    </row>
    <row r="5739">
      <c r="A5739" t="inlineStr">
        <is>
          <t>PT Triputra Agro Persada Tbk</t>
        </is>
      </c>
      <c r="B5739" t="inlineStr">
        <is>
          <t>TAPG_2024_AR.pdf</t>
        </is>
      </c>
      <c r="C5739" t="n">
        <v>2024</v>
      </c>
      <c r="D5739" t="inlineStr">
        <is>
          <t>Asset</t>
        </is>
      </c>
      <c r="E5739" t="inlineStr">
        <is>
          <t>Age 7-20 years (Nucleus)</t>
        </is>
      </c>
      <c r="F5739" t="n">
        <v>117008</v>
      </c>
      <c r="G5739" t="inlineStr">
        <is>
          <t>ha</t>
        </is>
      </c>
      <c r="H5739" t="n">
        <v>96</v>
      </c>
      <c r="I5739" t="inlineStr">
        <is>
          <t>7-20 tahun years 117.008 131.939</t>
        </is>
      </c>
      <c r="J5739" t="inlineStr">
        <is>
          <t>High</t>
        </is>
      </c>
      <c r="M5739" t="inlineStr">
        <is>
          <t>LLM</t>
        </is>
      </c>
      <c r="N5739" t="inlineStr">
        <is>
          <t>2026-04-19</t>
        </is>
      </c>
      <c r="O5739" t="inlineStr">
        <is>
          <t>AI</t>
        </is>
      </c>
    </row>
    <row r="5740">
      <c r="A5740" t="inlineStr">
        <is>
          <t>PT Triputra Agro Persada Tbk</t>
        </is>
      </c>
      <c r="B5740" t="inlineStr">
        <is>
          <t>TAPG_2024_AR.pdf</t>
        </is>
      </c>
      <c r="C5740" t="n">
        <v>2024</v>
      </c>
      <c r="D5740" t="inlineStr">
        <is>
          <t>Asset</t>
        </is>
      </c>
      <c r="E5740" t="inlineStr">
        <is>
          <t>Age &gt;20 years (Nucleus)</t>
        </is>
      </c>
      <c r="F5740" t="n">
        <v>6796</v>
      </c>
      <c r="G5740" t="inlineStr">
        <is>
          <t>ha</t>
        </is>
      </c>
      <c r="H5740" t="n">
        <v>96</v>
      </c>
      <c r="I5740" t="inlineStr">
        <is>
          <t>&gt;20 tahun years 6.796 11.268</t>
        </is>
      </c>
      <c r="J5740" t="inlineStr">
        <is>
          <t>High</t>
        </is>
      </c>
      <c r="M5740" t="inlineStr">
        <is>
          <t>LLM</t>
        </is>
      </c>
      <c r="N5740" t="inlineStr">
        <is>
          <t>2026-04-19</t>
        </is>
      </c>
      <c r="O5740" t="inlineStr">
        <is>
          <t>AI</t>
        </is>
      </c>
    </row>
    <row r="5741">
      <c r="A5741" t="inlineStr">
        <is>
          <t>PT Triputra Agro Persada Tbk</t>
        </is>
      </c>
      <c r="B5741" t="inlineStr">
        <is>
          <t>TAPG_2024_AR.pdf</t>
        </is>
      </c>
      <c r="C5741" t="n">
        <v>2024</v>
      </c>
      <c r="D5741" t="inlineStr">
        <is>
          <t>Asset</t>
        </is>
      </c>
      <c r="E5741" t="inlineStr">
        <is>
          <t>Mature Area (Nucleus)</t>
        </is>
      </c>
      <c r="F5741" t="n">
        <v>128178</v>
      </c>
      <c r="G5741" t="inlineStr">
        <is>
          <t>ha</t>
        </is>
      </c>
      <c r="H5741" t="n">
        <v>97</v>
      </c>
      <c r="I5741" t="inlineStr">
        <is>
          <t>Sudah Menghasilkan Total 128.178 100</t>
        </is>
      </c>
      <c r="J5741" t="inlineStr">
        <is>
          <t>High</t>
        </is>
      </c>
      <c r="M5741" t="inlineStr">
        <is>
          <t>LLM</t>
        </is>
      </c>
      <c r="N5741" t="inlineStr">
        <is>
          <t>2026-04-19</t>
        </is>
      </c>
      <c r="O5741" t="inlineStr">
        <is>
          <t>AI</t>
        </is>
      </c>
    </row>
    <row r="5742">
      <c r="A5742" t="inlineStr">
        <is>
          <t>PT Triputra Agro Persada Tbk</t>
        </is>
      </c>
      <c r="B5742" t="inlineStr">
        <is>
          <t>TAPG_2024_AR.pdf</t>
        </is>
      </c>
      <c r="C5742" t="n">
        <v>2024</v>
      </c>
      <c r="D5742" t="inlineStr">
        <is>
          <t>Asset</t>
        </is>
      </c>
      <c r="E5742" t="inlineStr">
        <is>
          <t>Immature Area (Nucleus)</t>
        </is>
      </c>
      <c r="F5742" t="n">
        <v>7416</v>
      </c>
      <c r="G5742" t="inlineStr">
        <is>
          <t>ha</t>
        </is>
      </c>
      <c r="H5742" t="n">
        <v>97</v>
      </c>
      <c r="I5742" t="inlineStr">
        <is>
          <t>Belum Menghasilkan Total 7.416 100</t>
        </is>
      </c>
      <c r="J5742" t="inlineStr">
        <is>
          <t>High</t>
        </is>
      </c>
      <c r="M5742" t="inlineStr">
        <is>
          <t>LLM</t>
        </is>
      </c>
      <c r="N5742" t="inlineStr">
        <is>
          <t>2026-04-19</t>
        </is>
      </c>
      <c r="O5742" t="inlineStr">
        <is>
          <t>AI</t>
        </is>
      </c>
    </row>
    <row r="5743">
      <c r="A5743" t="inlineStr">
        <is>
          <t>PT Triputra Agro Persada Tbk</t>
        </is>
      </c>
      <c r="B5743" t="inlineStr">
        <is>
          <t>TAPG_2024_AR.pdf</t>
        </is>
      </c>
      <c r="C5743" t="n">
        <v>2024</v>
      </c>
      <c r="D5743" t="inlineStr">
        <is>
          <t>Asset</t>
        </is>
      </c>
      <c r="E5743" t="inlineStr">
        <is>
          <t>Sumatra Mature Area</t>
        </is>
      </c>
      <c r="F5743" t="n">
        <v>2506</v>
      </c>
      <c r="G5743" t="inlineStr">
        <is>
          <t>ha</t>
        </is>
      </c>
      <c r="H5743" t="n">
        <v>97</v>
      </c>
      <c r="I5743" t="inlineStr">
        <is>
          <t>Sumatra 2.506 2 3.072 41</t>
        </is>
      </c>
      <c r="J5743" t="inlineStr">
        <is>
          <t>High</t>
        </is>
      </c>
      <c r="M5743" t="inlineStr">
        <is>
          <t>LLM</t>
        </is>
      </c>
      <c r="N5743" t="inlineStr">
        <is>
          <t>2026-04-19</t>
        </is>
      </c>
      <c r="O5743" t="inlineStr">
        <is>
          <t>AI</t>
        </is>
      </c>
    </row>
    <row r="5744">
      <c r="A5744" t="inlineStr">
        <is>
          <t>PT Triputra Agro Persada Tbk</t>
        </is>
      </c>
      <c r="B5744" t="inlineStr">
        <is>
          <t>TAPG_2024_AR.pdf</t>
        </is>
      </c>
      <c r="C5744" t="n">
        <v>2024</v>
      </c>
      <c r="D5744" t="inlineStr">
        <is>
          <t>Asset</t>
        </is>
      </c>
      <c r="E5744" t="inlineStr">
        <is>
          <t>Central Kalimantan Mature Area</t>
        </is>
      </c>
      <c r="F5744" t="n">
        <v>76288</v>
      </c>
      <c r="G5744" t="inlineStr">
        <is>
          <t>ha</t>
        </is>
      </c>
      <c r="H5744" t="n">
        <v>97</v>
      </c>
      <c r="I5744" t="inlineStr">
        <is>
          <t>Kalimantan Tengah 76.288 60 4.280 58</t>
        </is>
      </c>
      <c r="J5744" t="inlineStr">
        <is>
          <t>High</t>
        </is>
      </c>
      <c r="M5744" t="inlineStr">
        <is>
          <t>LLM</t>
        </is>
      </c>
      <c r="N5744" t="inlineStr">
        <is>
          <t>2026-04-19</t>
        </is>
      </c>
      <c r="O5744" t="inlineStr">
        <is>
          <t>AI</t>
        </is>
      </c>
    </row>
    <row r="5745">
      <c r="A5745" t="inlineStr">
        <is>
          <t>PT Triputra Agro Persada Tbk</t>
        </is>
      </c>
      <c r="B5745" t="inlineStr">
        <is>
          <t>TAPG_2024_AR.pdf</t>
        </is>
      </c>
      <c r="C5745" t="n">
        <v>2024</v>
      </c>
      <c r="D5745" t="inlineStr">
        <is>
          <t>Asset</t>
        </is>
      </c>
      <c r="E5745" t="inlineStr">
        <is>
          <t>East Kalimantan Mature Area</t>
        </is>
      </c>
      <c r="F5745" t="n">
        <v>49384</v>
      </c>
      <c r="G5745" t="inlineStr">
        <is>
          <t>ha</t>
        </is>
      </c>
      <c r="H5745" t="n">
        <v>97</v>
      </c>
      <c r="I5745" t="inlineStr">
        <is>
          <t>Kalimantan Timur 49.384 38 64 1</t>
        </is>
      </c>
      <c r="J5745" t="inlineStr">
        <is>
          <t>High</t>
        </is>
      </c>
      <c r="M5745" t="inlineStr">
        <is>
          <t>LLM</t>
        </is>
      </c>
      <c r="N5745" t="inlineStr">
        <is>
          <t>2026-04-19</t>
        </is>
      </c>
      <c r="O5745" t="inlineStr">
        <is>
          <t>AI</t>
        </is>
      </c>
    </row>
    <row r="5746">
      <c r="A5746" t="inlineStr">
        <is>
          <t>PT Triputra Agro Persada Tbk</t>
        </is>
      </c>
      <c r="B5746" t="inlineStr">
        <is>
          <t>TAPG_2024_AR.pdf</t>
        </is>
      </c>
      <c r="C5746" t="n">
        <v>2024</v>
      </c>
      <c r="D5746" t="inlineStr">
        <is>
          <t>Asset</t>
        </is>
      </c>
      <c r="E5746" t="inlineStr">
        <is>
          <t>Palm Oil Mill Count</t>
        </is>
      </c>
      <c r="F5746" t="n">
        <v>18</v>
      </c>
      <c r="G5746" t="inlineStr">
        <is>
          <t>count</t>
        </is>
      </c>
      <c r="H5746" t="n">
        <v>96</v>
      </c>
      <c r="I5746" t="inlineStr">
        <is>
          <t>Perseroan melalui anak perusahaan dan perusahaan asosiasi telah memiliki 18 pabrik pengolahan kelapa sawit</t>
        </is>
      </c>
      <c r="J5746" t="inlineStr">
        <is>
          <t>High</t>
        </is>
      </c>
      <c r="M5746" t="inlineStr">
        <is>
          <t>LLM</t>
        </is>
      </c>
      <c r="N5746" t="inlineStr">
        <is>
          <t>2026-04-19</t>
        </is>
      </c>
      <c r="O5746" t="inlineStr">
        <is>
          <t>AI</t>
        </is>
      </c>
    </row>
    <row r="5747">
      <c r="A5747" t="inlineStr">
        <is>
          <t>PT Triputra Agro Persada Tbk</t>
        </is>
      </c>
      <c r="B5747" t="inlineStr">
        <is>
          <t>TAPG_2024_AR.pdf</t>
        </is>
      </c>
      <c r="C5747" t="n">
        <v>2024</v>
      </c>
      <c r="D5747" t="inlineStr">
        <is>
          <t>Asset</t>
        </is>
      </c>
      <c r="E5747" t="inlineStr">
        <is>
          <t>Total Mill Capacity</t>
        </is>
      </c>
      <c r="F5747" t="n">
        <v>995</v>
      </c>
      <c r="G5747" t="inlineStr">
        <is>
          <t>tph</t>
        </is>
      </c>
      <c r="H5747" t="n">
        <v>96</v>
      </c>
      <c r="I5747" t="inlineStr">
        <is>
          <t>18 pabrik pengolahan kelapa sawit dengan total kapasitas 995 ton per jam yang terletak di Jambi, Kalimantan Tengah, dan Kalimantan Timur</t>
        </is>
      </c>
      <c r="J5747" t="inlineStr">
        <is>
          <t>High</t>
        </is>
      </c>
      <c r="M5747" t="inlineStr">
        <is>
          <t>LLM</t>
        </is>
      </c>
      <c r="N5747" t="inlineStr">
        <is>
          <t>2026-04-19</t>
        </is>
      </c>
      <c r="O5747" t="inlineStr">
        <is>
          <t>AI</t>
        </is>
      </c>
    </row>
    <row r="5748">
      <c r="A5748" t="inlineStr">
        <is>
          <t>PT Triputra Agro Persada Tbk</t>
        </is>
      </c>
      <c r="B5748" t="inlineStr">
        <is>
          <t>TAPG_2024_AR.pdf</t>
        </is>
      </c>
      <c r="C5748" t="n">
        <v>2024</v>
      </c>
      <c r="D5748" t="inlineStr">
        <is>
          <t>Asset</t>
        </is>
      </c>
      <c r="E5748" t="inlineStr">
        <is>
          <t>Kernel Crushing Plant Count</t>
        </is>
      </c>
      <c r="F5748" t="n">
        <v>1</v>
      </c>
      <c r="G5748" t="inlineStr">
        <is>
          <t>count</t>
        </is>
      </c>
      <c r="H5748" t="n">
        <v>95</v>
      </c>
      <c r="I5748" t="inlineStr">
        <is>
          <t>KCP yang terfasilitasi dengan Pembangkit Listrik Tenaga Biogas (PLTBg) di Kalimantan Tengah yang menghasilkan PKO</t>
        </is>
      </c>
      <c r="J5748" t="inlineStr">
        <is>
          <t>Medium</t>
        </is>
      </c>
      <c r="M5748" t="inlineStr">
        <is>
          <t>LLM</t>
        </is>
      </c>
      <c r="N5748" t="inlineStr">
        <is>
          <t>2026-04-19</t>
        </is>
      </c>
      <c r="O5748" t="inlineStr">
        <is>
          <t>AI</t>
        </is>
      </c>
    </row>
    <row r="5749">
      <c r="A5749" t="inlineStr">
        <is>
          <t>PT Triputra Agro Persada Tbk</t>
        </is>
      </c>
      <c r="B5749" t="inlineStr">
        <is>
          <t>TAPG_2024_AR.pdf</t>
        </is>
      </c>
      <c r="C5749" t="n">
        <v>2024</v>
      </c>
      <c r="D5749" t="inlineStr">
        <is>
          <t>Operation</t>
        </is>
      </c>
      <c r="E5749" t="inlineStr">
        <is>
          <t>FFB Total Production</t>
        </is>
      </c>
      <c r="F5749" t="n">
        <v>3276000</v>
      </c>
      <c r="G5749" t="inlineStr">
        <is>
          <t>t</t>
        </is>
      </c>
      <c r="H5749" t="n">
        <v>11</v>
      </c>
      <c r="I5749" t="inlineStr">
        <is>
          <t>Total TBS Dihasilkan Perkebunan Kelapa Sawit 3.276 ribu ton</t>
        </is>
      </c>
      <c r="J5749" t="inlineStr">
        <is>
          <t>High</t>
        </is>
      </c>
      <c r="M5749" t="inlineStr">
        <is>
          <t>LLM</t>
        </is>
      </c>
      <c r="N5749" t="inlineStr">
        <is>
          <t>2026-04-19</t>
        </is>
      </c>
      <c r="O5749" t="inlineStr">
        <is>
          <t>AI</t>
        </is>
      </c>
    </row>
    <row r="5750">
      <c r="A5750" t="inlineStr">
        <is>
          <t>PT Triputra Agro Persada Tbk</t>
        </is>
      </c>
      <c r="B5750" t="inlineStr">
        <is>
          <t>TAPG_2024_AR.pdf</t>
        </is>
      </c>
      <c r="C5750" t="n">
        <v>2024</v>
      </c>
      <c r="D5750" t="inlineStr">
        <is>
          <t>Operation</t>
        </is>
      </c>
      <c r="E5750" t="inlineStr">
        <is>
          <t>FFB Nucleus</t>
        </is>
      </c>
      <c r="F5750" t="n">
        <v>2946000</v>
      </c>
      <c r="G5750" t="inlineStr">
        <is>
          <t>t</t>
        </is>
      </c>
      <c r="H5750" t="n">
        <v>11</v>
      </c>
      <c r="I5750" t="inlineStr">
        <is>
          <t>Total TBS Dihasilkan Perkebunan Kelapa Sawit Inti 2.946 ribu ton</t>
        </is>
      </c>
      <c r="J5750" t="inlineStr">
        <is>
          <t>High</t>
        </is>
      </c>
      <c r="M5750" t="inlineStr">
        <is>
          <t>LLM</t>
        </is>
      </c>
      <c r="N5750" t="inlineStr">
        <is>
          <t>2026-04-19</t>
        </is>
      </c>
      <c r="O5750" t="inlineStr">
        <is>
          <t>AI</t>
        </is>
      </c>
    </row>
    <row r="5751">
      <c r="A5751" t="inlineStr">
        <is>
          <t>PT Triputra Agro Persada Tbk</t>
        </is>
      </c>
      <c r="B5751" t="inlineStr">
        <is>
          <t>TAPG_2024_AR.pdf</t>
        </is>
      </c>
      <c r="C5751" t="n">
        <v>2024</v>
      </c>
      <c r="D5751" t="inlineStr">
        <is>
          <t>Operation</t>
        </is>
      </c>
      <c r="E5751" t="inlineStr">
        <is>
          <t>FFB Plasma</t>
        </is>
      </c>
      <c r="F5751" t="n">
        <v>330000</v>
      </c>
      <c r="G5751" t="inlineStr">
        <is>
          <t>t</t>
        </is>
      </c>
      <c r="H5751" t="n">
        <v>11</v>
      </c>
      <c r="I5751" t="inlineStr">
        <is>
          <t>Total TBS Dihasilkan Perkebunan Kelapa Sawit Plasma 330 ribu ton</t>
        </is>
      </c>
      <c r="J5751" t="inlineStr">
        <is>
          <t>High</t>
        </is>
      </c>
      <c r="M5751" t="inlineStr">
        <is>
          <t>LLM</t>
        </is>
      </c>
      <c r="N5751" t="inlineStr">
        <is>
          <t>2026-04-19</t>
        </is>
      </c>
      <c r="O5751" t="inlineStr">
        <is>
          <t>AI</t>
        </is>
      </c>
    </row>
    <row r="5752">
      <c r="A5752" t="inlineStr">
        <is>
          <t>PT Triputra Agro Persada Tbk</t>
        </is>
      </c>
      <c r="B5752" t="inlineStr">
        <is>
          <t>TAPG_2024_AR.pdf</t>
        </is>
      </c>
      <c r="C5752" t="n">
        <v>2024</v>
      </c>
      <c r="D5752" t="inlineStr">
        <is>
          <t>Operation</t>
        </is>
      </c>
      <c r="E5752" t="inlineStr">
        <is>
          <t>Total FFB Processed</t>
        </is>
      </c>
      <c r="F5752" t="n">
        <v>3962000</v>
      </c>
      <c r="G5752" t="inlineStr">
        <is>
          <t>t</t>
        </is>
      </c>
      <c r="H5752" t="n">
        <v>11</v>
      </c>
      <c r="I5752" t="inlineStr">
        <is>
          <t>Total TBS Olah 3.962 ribu ton</t>
        </is>
      </c>
      <c r="J5752" t="inlineStr">
        <is>
          <t>High</t>
        </is>
      </c>
      <c r="M5752" t="inlineStr">
        <is>
          <t>LLM</t>
        </is>
      </c>
      <c r="N5752" t="inlineStr">
        <is>
          <t>2026-04-19</t>
        </is>
      </c>
      <c r="O5752" t="inlineStr">
        <is>
          <t>AI</t>
        </is>
      </c>
    </row>
    <row r="5753">
      <c r="A5753" t="inlineStr">
        <is>
          <t>PT Triputra Agro Persada Tbk</t>
        </is>
      </c>
      <c r="B5753" t="inlineStr">
        <is>
          <t>TAPG_2024_AR.pdf</t>
        </is>
      </c>
      <c r="C5753" t="n">
        <v>2024</v>
      </c>
      <c r="D5753" t="inlineStr">
        <is>
          <t>Operation</t>
        </is>
      </c>
      <c r="E5753" t="inlineStr">
        <is>
          <t>Third-Party FFB</t>
        </is>
      </c>
      <c r="F5753" t="n">
        <v>679000</v>
      </c>
      <c r="G5753" t="inlineStr">
        <is>
          <t>t</t>
        </is>
      </c>
      <c r="H5753" t="n">
        <v>97</v>
      </c>
      <c r="I5753" t="inlineStr">
        <is>
          <t>Pihak Ketiga 679 Third Party</t>
        </is>
      </c>
      <c r="J5753" t="inlineStr">
        <is>
          <t>High</t>
        </is>
      </c>
      <c r="M5753" t="inlineStr">
        <is>
          <t>LLM</t>
        </is>
      </c>
      <c r="N5753" t="inlineStr">
        <is>
          <t>2026-04-19</t>
        </is>
      </c>
      <c r="O5753" t="inlineStr">
        <is>
          <t>AI</t>
        </is>
      </c>
    </row>
    <row r="5754">
      <c r="A5754" t="inlineStr">
        <is>
          <t>PT Triputra Agro Persada Tbk</t>
        </is>
      </c>
      <c r="B5754" t="inlineStr">
        <is>
          <t>TAPG_2024_AR.pdf</t>
        </is>
      </c>
      <c r="C5754" t="n">
        <v>2024</v>
      </c>
      <c r="D5754" t="inlineStr">
        <is>
          <t>Operation</t>
        </is>
      </c>
      <c r="E5754" t="inlineStr">
        <is>
          <t>CPO Production</t>
        </is>
      </c>
      <c r="F5754" t="n">
        <v>916000</v>
      </c>
      <c r="G5754" t="inlineStr">
        <is>
          <t>t</t>
        </is>
      </c>
      <c r="H5754" t="n">
        <v>11</v>
      </c>
      <c r="I5754" t="inlineStr">
        <is>
          <t>Produksi CPO 916 ribu ton</t>
        </is>
      </c>
      <c r="J5754" t="inlineStr">
        <is>
          <t>High</t>
        </is>
      </c>
      <c r="M5754" t="inlineStr">
        <is>
          <t>LLM</t>
        </is>
      </c>
      <c r="N5754" t="inlineStr">
        <is>
          <t>2026-04-19</t>
        </is>
      </c>
      <c r="O5754" t="inlineStr">
        <is>
          <t>AI</t>
        </is>
      </c>
    </row>
    <row r="5755">
      <c r="A5755" t="inlineStr">
        <is>
          <t>PT Triputra Agro Persada Tbk</t>
        </is>
      </c>
      <c r="B5755" t="inlineStr">
        <is>
          <t>TAPG_2024_AR.pdf</t>
        </is>
      </c>
      <c r="C5755" t="n">
        <v>2024</v>
      </c>
      <c r="D5755" t="inlineStr">
        <is>
          <t>Operation</t>
        </is>
      </c>
      <c r="E5755" t="inlineStr">
        <is>
          <t>PK Production</t>
        </is>
      </c>
      <c r="F5755" t="n">
        <v>193000</v>
      </c>
      <c r="G5755" t="inlineStr">
        <is>
          <t>t</t>
        </is>
      </c>
      <c r="H5755" t="n">
        <v>11</v>
      </c>
      <c r="I5755" t="inlineStr">
        <is>
          <t>Produksi PK 193 ribu ton</t>
        </is>
      </c>
      <c r="J5755" t="inlineStr">
        <is>
          <t>High</t>
        </is>
      </c>
      <c r="M5755" t="inlineStr">
        <is>
          <t>LLM</t>
        </is>
      </c>
      <c r="N5755" t="inlineStr">
        <is>
          <t>2026-04-19</t>
        </is>
      </c>
      <c r="O5755" t="inlineStr">
        <is>
          <t>AI</t>
        </is>
      </c>
    </row>
    <row r="5756">
      <c r="A5756" t="inlineStr">
        <is>
          <t>PT Triputra Agro Persada Tbk</t>
        </is>
      </c>
      <c r="B5756" t="inlineStr">
        <is>
          <t>TAPG_2024_AR.pdf</t>
        </is>
      </c>
      <c r="C5756" t="n">
        <v>2024</v>
      </c>
      <c r="D5756" t="inlineStr">
        <is>
          <t>Operation</t>
        </is>
      </c>
      <c r="E5756" t="inlineStr">
        <is>
          <t>PKO Production</t>
        </is>
      </c>
      <c r="F5756" t="n">
        <v>20300</v>
      </c>
      <c r="G5756" t="inlineStr">
        <is>
          <t>t</t>
        </is>
      </c>
      <c r="H5756" t="n">
        <v>11</v>
      </c>
      <c r="I5756" t="inlineStr">
        <is>
          <t>Produksi PKO 20,3 ribu ton</t>
        </is>
      </c>
      <c r="J5756" t="inlineStr">
        <is>
          <t>High</t>
        </is>
      </c>
      <c r="M5756" t="inlineStr">
        <is>
          <t>LLM</t>
        </is>
      </c>
      <c r="N5756" t="inlineStr">
        <is>
          <t>2026-04-19</t>
        </is>
      </c>
      <c r="O5756" t="inlineStr">
        <is>
          <t>AI</t>
        </is>
      </c>
    </row>
    <row r="5757">
      <c r="A5757" t="inlineStr">
        <is>
          <t>PT Triputra Agro Persada Tbk</t>
        </is>
      </c>
      <c r="B5757" t="inlineStr">
        <is>
          <t>TAPG_2024_AR.pdf</t>
        </is>
      </c>
      <c r="C5757" t="n">
        <v>2024</v>
      </c>
      <c r="D5757" t="inlineStr">
        <is>
          <t>Operation</t>
        </is>
      </c>
      <c r="E5757" t="inlineStr">
        <is>
          <t>Rubber Production</t>
        </is>
      </c>
      <c r="F5757" t="n">
        <v>1100</v>
      </c>
      <c r="G5757" t="inlineStr">
        <is>
          <t>t</t>
        </is>
      </c>
      <c r="H5757" t="n">
        <v>11</v>
      </c>
      <c r="I5757" t="inlineStr">
        <is>
          <t>Produksi Karet 1,1 ribu ton</t>
        </is>
      </c>
      <c r="J5757" t="inlineStr">
        <is>
          <t>High</t>
        </is>
      </c>
      <c r="M5757" t="inlineStr">
        <is>
          <t>LLM</t>
        </is>
      </c>
      <c r="N5757" t="inlineStr">
        <is>
          <t>2026-04-19</t>
        </is>
      </c>
      <c r="O5757" t="inlineStr">
        <is>
          <t>AI</t>
        </is>
      </c>
    </row>
    <row r="5758">
      <c r="A5758" t="inlineStr">
        <is>
          <t>PT Triputra Agro Persada Tbk</t>
        </is>
      </c>
      <c r="B5758" t="inlineStr">
        <is>
          <t>TAPG_2024_AR.pdf</t>
        </is>
      </c>
      <c r="C5758" t="n">
        <v>2024</v>
      </c>
      <c r="D5758" t="inlineStr">
        <is>
          <t>Operation</t>
        </is>
      </c>
      <c r="E5758" t="inlineStr">
        <is>
          <t>FFB Yield (avg)</t>
        </is>
      </c>
      <c r="F5758" t="n">
        <v>23</v>
      </c>
      <c r="G5758" t="inlineStr">
        <is>
          <t>t/ha</t>
        </is>
      </c>
      <c r="H5758" t="n">
        <v>11</v>
      </c>
      <c r="I5758" t="inlineStr">
        <is>
          <t>Yield TBS Rata-rata 23,0 23,6 24,5 ton per hektar</t>
        </is>
      </c>
      <c r="J5758" t="inlineStr">
        <is>
          <t>High</t>
        </is>
      </c>
      <c r="M5758" t="inlineStr">
        <is>
          <t>LLM</t>
        </is>
      </c>
      <c r="N5758" t="inlineStr">
        <is>
          <t>2026-04-19</t>
        </is>
      </c>
      <c r="O5758" t="inlineStr">
        <is>
          <t>AI</t>
        </is>
      </c>
    </row>
    <row r="5759">
      <c r="A5759" t="inlineStr">
        <is>
          <t>PT Triputra Agro Persada Tbk</t>
        </is>
      </c>
      <c r="B5759" t="inlineStr">
        <is>
          <t>TAPG_2024_AR.pdf</t>
        </is>
      </c>
      <c r="C5759" t="n">
        <v>2024</v>
      </c>
      <c r="D5759" t="inlineStr">
        <is>
          <t>Operation</t>
        </is>
      </c>
      <c r="E5759" t="inlineStr">
        <is>
          <t>OER (CPO Extraction Rate)</t>
        </is>
      </c>
      <c r="F5759" t="n">
        <v>0.231</v>
      </c>
      <c r="G5759" t="inlineStr">
        <is>
          <t>%</t>
        </is>
      </c>
      <c r="H5759" t="n">
        <v>11</v>
      </c>
      <c r="I5759" t="inlineStr">
        <is>
          <t>Rendemen CPO 23,1%</t>
        </is>
      </c>
      <c r="J5759" t="inlineStr">
        <is>
          <t>High</t>
        </is>
      </c>
      <c r="M5759" t="inlineStr">
        <is>
          <t>LLM</t>
        </is>
      </c>
      <c r="N5759" t="inlineStr">
        <is>
          <t>2026-04-19</t>
        </is>
      </c>
      <c r="O5759" t="inlineStr">
        <is>
          <t>AI</t>
        </is>
      </c>
    </row>
    <row r="5760">
      <c r="A5760" t="inlineStr">
        <is>
          <t>PT Triputra Agro Persada Tbk</t>
        </is>
      </c>
      <c r="B5760" t="inlineStr">
        <is>
          <t>TAPG_2024_AR.pdf</t>
        </is>
      </c>
      <c r="C5760" t="n">
        <v>2024</v>
      </c>
      <c r="D5760" t="inlineStr">
        <is>
          <t>Operation</t>
        </is>
      </c>
      <c r="E5760" t="inlineStr">
        <is>
          <t>KER (Kernel Extraction Rate)</t>
        </is>
      </c>
      <c r="F5760" t="n">
        <v>0.049</v>
      </c>
      <c r="G5760" t="inlineStr">
        <is>
          <t>%</t>
        </is>
      </c>
      <c r="H5760" t="n">
        <v>11</v>
      </c>
      <c r="I5760" t="inlineStr">
        <is>
          <t>Rendemen PK 4,9%</t>
        </is>
      </c>
      <c r="J5760" t="inlineStr">
        <is>
          <t>High</t>
        </is>
      </c>
      <c r="M5760" t="inlineStr">
        <is>
          <t>LLM</t>
        </is>
      </c>
      <c r="N5760" t="inlineStr">
        <is>
          <t>2026-04-19</t>
        </is>
      </c>
      <c r="O5760" t="inlineStr">
        <is>
          <t>AI</t>
        </is>
      </c>
    </row>
    <row r="5761">
      <c r="A5761" t="inlineStr">
        <is>
          <t>PT Triputra Agro Persada Tbk</t>
        </is>
      </c>
      <c r="B5761" t="inlineStr">
        <is>
          <t>TAPG_2024_AR.pdf</t>
        </is>
      </c>
      <c r="C5761" t="n">
        <v>2024</v>
      </c>
      <c r="D5761" t="inlineStr">
        <is>
          <t>Operation</t>
        </is>
      </c>
      <c r="E5761" t="inlineStr">
        <is>
          <t>Avg CPO Selling Price</t>
        </is>
      </c>
      <c r="F5761" t="n">
        <v>13156</v>
      </c>
      <c r="G5761" t="inlineStr">
        <is>
          <t>Rp/kg</t>
        </is>
      </c>
      <c r="H5761" t="n">
        <v>101</v>
      </c>
      <c r="I5761" t="inlineStr">
        <is>
          <t>Harga jual rata-rata CPO 13.156 11.115 18</t>
        </is>
      </c>
      <c r="J5761" t="inlineStr">
        <is>
          <t>High</t>
        </is>
      </c>
      <c r="M5761" t="inlineStr">
        <is>
          <t>LLM</t>
        </is>
      </c>
      <c r="N5761" t="inlineStr">
        <is>
          <t>2026-04-19</t>
        </is>
      </c>
      <c r="O5761" t="inlineStr">
        <is>
          <t>AI</t>
        </is>
      </c>
    </row>
    <row r="5762">
      <c r="A5762" t="inlineStr">
        <is>
          <t>PT Triputra Agro Persada Tbk</t>
        </is>
      </c>
      <c r="B5762" t="inlineStr">
        <is>
          <t>TAPG_2024_AR.pdf</t>
        </is>
      </c>
      <c r="C5762" t="n">
        <v>2024</v>
      </c>
      <c r="D5762" t="inlineStr">
        <is>
          <t>Operation</t>
        </is>
      </c>
      <c r="E5762" t="inlineStr">
        <is>
          <t>Avg PK Selling Price</t>
        </is>
      </c>
      <c r="F5762" t="n">
        <v>7891</v>
      </c>
      <c r="G5762" t="inlineStr">
        <is>
          <t>Rp/kg</t>
        </is>
      </c>
      <c r="H5762" t="n">
        <v>101</v>
      </c>
      <c r="I5762" t="inlineStr">
        <is>
          <t>PK 7.891 5.392 46</t>
        </is>
      </c>
      <c r="J5762" t="inlineStr">
        <is>
          <t>High</t>
        </is>
      </c>
      <c r="M5762" t="inlineStr">
        <is>
          <t>LLM</t>
        </is>
      </c>
      <c r="N5762" t="inlineStr">
        <is>
          <t>2026-04-19</t>
        </is>
      </c>
      <c r="O5762" t="inlineStr">
        <is>
          <t>AI</t>
        </is>
      </c>
    </row>
    <row r="5763">
      <c r="A5763" t="inlineStr">
        <is>
          <t>PT Triputra Agro Persada Tbk</t>
        </is>
      </c>
      <c r="B5763" t="inlineStr">
        <is>
          <t>TAPG_2024_AR.pdf</t>
        </is>
      </c>
      <c r="C5763" t="n">
        <v>2024</v>
      </c>
      <c r="D5763" t="inlineStr">
        <is>
          <t>Operation</t>
        </is>
      </c>
      <c r="E5763" t="inlineStr">
        <is>
          <t>Avg PKO Selling Price</t>
        </is>
      </c>
      <c r="F5763" t="n">
        <v>19101</v>
      </c>
      <c r="G5763" t="inlineStr">
        <is>
          <t>Rp/kg</t>
        </is>
      </c>
      <c r="H5763" t="n">
        <v>101</v>
      </c>
      <c r="I5763" t="inlineStr">
        <is>
          <t>PKO 19.101 10.985 74</t>
        </is>
      </c>
      <c r="J5763" t="inlineStr">
        <is>
          <t>High</t>
        </is>
      </c>
      <c r="M5763" t="inlineStr">
        <is>
          <t>LLM</t>
        </is>
      </c>
      <c r="N5763" t="inlineStr">
        <is>
          <t>2026-04-19</t>
        </is>
      </c>
      <c r="O5763" t="inlineStr">
        <is>
          <t>AI</t>
        </is>
      </c>
    </row>
    <row r="5764">
      <c r="A5764" t="inlineStr">
        <is>
          <t>PT Triputra Agro Persada Tbk</t>
        </is>
      </c>
      <c r="B5764" t="inlineStr">
        <is>
          <t>TAPG_2024_AR.pdf</t>
        </is>
      </c>
      <c r="C5764" t="n">
        <v>2024</v>
      </c>
      <c r="D5764" t="inlineStr">
        <is>
          <t>Operation</t>
        </is>
      </c>
      <c r="E5764" t="inlineStr">
        <is>
          <t>CPO Sales Volume</t>
        </is>
      </c>
      <c r="F5764" t="n">
        <v>636</v>
      </c>
      <c r="G5764" t="inlineStr">
        <is>
          <t>thousand t</t>
        </is>
      </c>
      <c r="H5764" t="n">
        <v>101</v>
      </c>
      <c r="I5764" t="inlineStr">
        <is>
          <t>Penjualan (ribu ton) CPO 636.021 676.987 -6</t>
        </is>
      </c>
      <c r="J5764" t="inlineStr">
        <is>
          <t>High</t>
        </is>
      </c>
      <c r="M5764" t="inlineStr">
        <is>
          <t>LLM</t>
        </is>
      </c>
      <c r="N5764" t="inlineStr">
        <is>
          <t>2026-04-19</t>
        </is>
      </c>
      <c r="O5764" t="inlineStr">
        <is>
          <t>AI</t>
        </is>
      </c>
    </row>
    <row r="5765">
      <c r="A5765" t="inlineStr">
        <is>
          <t>PT Triputra Agro Persada Tbk</t>
        </is>
      </c>
      <c r="B5765" t="inlineStr">
        <is>
          <t>TAPG_2024_AR.pdf</t>
        </is>
      </c>
      <c r="C5765" t="n">
        <v>2024</v>
      </c>
      <c r="D5765" t="inlineStr">
        <is>
          <t>Operation</t>
        </is>
      </c>
      <c r="E5765" t="inlineStr">
        <is>
          <t>PK Sales Volume</t>
        </is>
      </c>
      <c r="F5765" t="n">
        <v>111</v>
      </c>
      <c r="G5765" t="inlineStr">
        <is>
          <t>thousand t</t>
        </is>
      </c>
      <c r="H5765" t="n">
        <v>101</v>
      </c>
      <c r="I5765" t="inlineStr">
        <is>
          <t>PK 110.558 129.589 -15</t>
        </is>
      </c>
      <c r="J5765" t="inlineStr">
        <is>
          <t>High</t>
        </is>
      </c>
      <c r="M5765" t="inlineStr">
        <is>
          <t>LLM</t>
        </is>
      </c>
      <c r="N5765" t="inlineStr">
        <is>
          <t>2026-04-19</t>
        </is>
      </c>
      <c r="O5765" t="inlineStr">
        <is>
          <t>AI</t>
        </is>
      </c>
    </row>
    <row r="5766">
      <c r="A5766" t="inlineStr">
        <is>
          <t>PT Triputra Agro Persada Tbk</t>
        </is>
      </c>
      <c r="B5766" t="inlineStr">
        <is>
          <t>TAPG_2024_AR.pdf</t>
        </is>
      </c>
      <c r="C5766" t="n">
        <v>2024</v>
      </c>
      <c r="D5766" t="inlineStr">
        <is>
          <t>Operation</t>
        </is>
      </c>
      <c r="E5766" t="inlineStr">
        <is>
          <t>PKO Sales Volume</t>
        </is>
      </c>
      <c r="F5766" t="n">
        <v>19.5</v>
      </c>
      <c r="G5766" t="inlineStr">
        <is>
          <t>thousand t</t>
        </is>
      </c>
      <c r="H5766" t="n">
        <v>101</v>
      </c>
      <c r="I5766" t="inlineStr">
        <is>
          <t>PKO 19.500 6.300 210</t>
        </is>
      </c>
      <c r="J5766" t="inlineStr">
        <is>
          <t>High</t>
        </is>
      </c>
      <c r="M5766" t="inlineStr">
        <is>
          <t>LLM</t>
        </is>
      </c>
      <c r="N5766" t="inlineStr">
        <is>
          <t>2026-04-19</t>
        </is>
      </c>
      <c r="O5766" t="inlineStr">
        <is>
          <t>AI</t>
        </is>
      </c>
    </row>
    <row r="5767">
      <c r="A5767" t="inlineStr">
        <is>
          <t>PT Triputra Agro Persada Tbk</t>
        </is>
      </c>
      <c r="B5767" t="inlineStr">
        <is>
          <t>TAPG_2024_AR.pdf</t>
        </is>
      </c>
      <c r="C5767" t="n">
        <v>2024</v>
      </c>
      <c r="D5767" t="inlineStr">
        <is>
          <t>Operation</t>
        </is>
      </c>
      <c r="E5767" t="inlineStr">
        <is>
          <t>FFB Production Sumatra</t>
        </is>
      </c>
      <c r="F5767" t="n">
        <v>63000</v>
      </c>
      <c r="G5767" t="inlineStr">
        <is>
          <t>t</t>
        </is>
      </c>
      <c r="H5767" t="n">
        <v>96</v>
      </c>
      <c r="I5767" t="inlineStr">
        <is>
          <t>Sumatra 63 (thousand tons, 2024 nucleus)</t>
        </is>
      </c>
      <c r="J5767" t="inlineStr">
        <is>
          <t>High</t>
        </is>
      </c>
      <c r="M5767" t="inlineStr">
        <is>
          <t>LLM</t>
        </is>
      </c>
      <c r="N5767" t="inlineStr">
        <is>
          <t>2026-04-19</t>
        </is>
      </c>
      <c r="O5767" t="inlineStr">
        <is>
          <t>AI</t>
        </is>
      </c>
    </row>
    <row r="5768">
      <c r="A5768" t="inlineStr">
        <is>
          <t>PT Triputra Agro Persada Tbk</t>
        </is>
      </c>
      <c r="B5768" t="inlineStr">
        <is>
          <t>TAPG_2024_AR.pdf</t>
        </is>
      </c>
      <c r="C5768" t="n">
        <v>2024</v>
      </c>
      <c r="D5768" t="inlineStr">
        <is>
          <t>Operation</t>
        </is>
      </c>
      <c r="E5768" t="inlineStr">
        <is>
          <t>FFB Production Central Kalimantan</t>
        </is>
      </c>
      <c r="F5768" t="n">
        <v>1801000</v>
      </c>
      <c r="G5768" t="inlineStr">
        <is>
          <t>t</t>
        </is>
      </c>
      <c r="H5768" t="n">
        <v>96</v>
      </c>
      <c r="I5768" t="inlineStr">
        <is>
          <t>Kalimantan Tengah 1.801 (thousand tons)</t>
        </is>
      </c>
      <c r="J5768" t="inlineStr">
        <is>
          <t>High</t>
        </is>
      </c>
      <c r="M5768" t="inlineStr">
        <is>
          <t>LLM</t>
        </is>
      </c>
      <c r="N5768" t="inlineStr">
        <is>
          <t>2026-04-19</t>
        </is>
      </c>
      <c r="O5768" t="inlineStr">
        <is>
          <t>AI</t>
        </is>
      </c>
    </row>
    <row r="5769">
      <c r="A5769" t="inlineStr">
        <is>
          <t>PT Triputra Agro Persada Tbk</t>
        </is>
      </c>
      <c r="B5769" t="inlineStr">
        <is>
          <t>TAPG_2024_AR.pdf</t>
        </is>
      </c>
      <c r="C5769" t="n">
        <v>2024</v>
      </c>
      <c r="D5769" t="inlineStr">
        <is>
          <t>Operation</t>
        </is>
      </c>
      <c r="E5769" t="inlineStr">
        <is>
          <t>FFB Production East Kalimantan</t>
        </is>
      </c>
      <c r="F5769" t="n">
        <v>1083000</v>
      </c>
      <c r="G5769" t="inlineStr">
        <is>
          <t>t</t>
        </is>
      </c>
      <c r="H5769" t="n">
        <v>96</v>
      </c>
      <c r="I5769" t="inlineStr">
        <is>
          <t>Kalimantan Timur 1.083 (thousand tons)</t>
        </is>
      </c>
      <c r="J5769" t="inlineStr">
        <is>
          <t>High</t>
        </is>
      </c>
      <c r="M5769" t="inlineStr">
        <is>
          <t>LLM</t>
        </is>
      </c>
      <c r="N5769" t="inlineStr">
        <is>
          <t>2026-04-19</t>
        </is>
      </c>
      <c r="O5769" t="inlineStr">
        <is>
          <t>AI</t>
        </is>
      </c>
    </row>
    <row r="5770">
      <c r="A5770" t="inlineStr">
        <is>
          <t>PT Triputra Agro Persada Tbk</t>
        </is>
      </c>
      <c r="B5770" t="inlineStr">
        <is>
          <t>TAPG_2024_AR.pdf</t>
        </is>
      </c>
      <c r="C5770" t="n">
        <v>2024</v>
      </c>
      <c r="D5770" t="inlineStr">
        <is>
          <t>Operation</t>
        </is>
      </c>
      <c r="E5770" t="inlineStr">
        <is>
          <t>Palm Oil Segment Revenue</t>
        </is>
      </c>
      <c r="F5770" t="n">
        <v>9641</v>
      </c>
      <c r="G5770" t="inlineStr">
        <is>
          <t>IDR bn</t>
        </is>
      </c>
      <c r="H5770" t="n">
        <v>98</v>
      </c>
      <c r="I5770" t="inlineStr">
        <is>
          <t>Segmen Usaha Perkebunan Kelapa Sawit Pendapatan 9.640.778 8.302.592 16</t>
        </is>
      </c>
      <c r="J5770" t="inlineStr">
        <is>
          <t>High</t>
        </is>
      </c>
      <c r="M5770" t="inlineStr">
        <is>
          <t>LLM</t>
        </is>
      </c>
      <c r="N5770" t="inlineStr">
        <is>
          <t>2026-04-19</t>
        </is>
      </c>
      <c r="O5770" t="inlineStr">
        <is>
          <t>AI</t>
        </is>
      </c>
    </row>
    <row r="5771">
      <c r="A5771" t="inlineStr">
        <is>
          <t>PT Triputra Agro Persada Tbk</t>
        </is>
      </c>
      <c r="B5771" t="inlineStr">
        <is>
          <t>TAPG_2024_AR.pdf</t>
        </is>
      </c>
      <c r="C5771" t="n">
        <v>2024</v>
      </c>
      <c r="D5771" t="inlineStr">
        <is>
          <t>Operation</t>
        </is>
      </c>
      <c r="E5771" t="inlineStr">
        <is>
          <t>CPO Segment Revenue</t>
        </is>
      </c>
      <c r="F5771" t="n">
        <v>8368</v>
      </c>
      <c r="G5771" t="inlineStr">
        <is>
          <t>IDR bn</t>
        </is>
      </c>
      <c r="H5771" t="n">
        <v>98</v>
      </c>
      <c r="I5771" t="inlineStr">
        <is>
          <t>CPO 8.367.543 7.524.895 11</t>
        </is>
      </c>
      <c r="J5771" t="inlineStr">
        <is>
          <t>High</t>
        </is>
      </c>
      <c r="M5771" t="inlineStr">
        <is>
          <t>LLM</t>
        </is>
      </c>
      <c r="N5771" t="inlineStr">
        <is>
          <t>2026-04-19</t>
        </is>
      </c>
      <c r="O5771" t="inlineStr">
        <is>
          <t>AI</t>
        </is>
      </c>
    </row>
    <row r="5772">
      <c r="A5772" t="inlineStr">
        <is>
          <t>PT Triputra Agro Persada Tbk</t>
        </is>
      </c>
      <c r="B5772" t="inlineStr">
        <is>
          <t>TAPG_2024_AR.pdf</t>
        </is>
      </c>
      <c r="C5772" t="n">
        <v>2024</v>
      </c>
      <c r="D5772" t="inlineStr">
        <is>
          <t>Operation</t>
        </is>
      </c>
      <c r="E5772" t="inlineStr">
        <is>
          <t>PK Segment Revenue</t>
        </is>
      </c>
      <c r="F5772" t="n">
        <v>872</v>
      </c>
      <c r="G5772" t="inlineStr">
        <is>
          <t>IDR bn</t>
        </is>
      </c>
      <c r="H5772" t="n">
        <v>98</v>
      </c>
      <c r="I5772" t="inlineStr">
        <is>
          <t>PK 872.463 698.723 25</t>
        </is>
      </c>
      <c r="J5772" t="inlineStr">
        <is>
          <t>High</t>
        </is>
      </c>
      <c r="M5772" t="inlineStr">
        <is>
          <t>LLM</t>
        </is>
      </c>
      <c r="N5772" t="inlineStr">
        <is>
          <t>2026-04-19</t>
        </is>
      </c>
      <c r="O5772" t="inlineStr">
        <is>
          <t>AI</t>
        </is>
      </c>
    </row>
    <row r="5773">
      <c r="A5773" t="inlineStr">
        <is>
          <t>PT Triputra Agro Persada Tbk</t>
        </is>
      </c>
      <c r="B5773" t="inlineStr">
        <is>
          <t>TAPG_2024_AR.pdf</t>
        </is>
      </c>
      <c r="C5773" t="n">
        <v>2024</v>
      </c>
      <c r="D5773" t="inlineStr">
        <is>
          <t>Operation</t>
        </is>
      </c>
      <c r="E5773" t="inlineStr">
        <is>
          <t>PKO Segment Revenue</t>
        </is>
      </c>
      <c r="F5773" t="n">
        <v>372</v>
      </c>
      <c r="G5773" t="inlineStr">
        <is>
          <t>IDR bn</t>
        </is>
      </c>
      <c r="H5773" t="n">
        <v>98</v>
      </c>
      <c r="I5773" t="inlineStr">
        <is>
          <t>PKO 372.478 69.204 438</t>
        </is>
      </c>
      <c r="J5773" t="inlineStr">
        <is>
          <t>High</t>
        </is>
      </c>
      <c r="M5773" t="inlineStr">
        <is>
          <t>LLM</t>
        </is>
      </c>
      <c r="N5773" t="inlineStr">
        <is>
          <t>2026-04-19</t>
        </is>
      </c>
      <c r="O5773" t="inlineStr">
        <is>
          <t>AI</t>
        </is>
      </c>
    </row>
    <row r="5774">
      <c r="A5774" t="inlineStr">
        <is>
          <t>PT Triputra Agro Persada Tbk</t>
        </is>
      </c>
      <c r="B5774" t="inlineStr">
        <is>
          <t>TAPG_2024_AR.pdf</t>
        </is>
      </c>
      <c r="C5774" t="n">
        <v>2024</v>
      </c>
      <c r="D5774" t="inlineStr">
        <is>
          <t>Operation</t>
        </is>
      </c>
      <c r="E5774" t="inlineStr">
        <is>
          <t>Rubber Segment Revenue</t>
        </is>
      </c>
      <c r="F5774" t="n">
        <v>31</v>
      </c>
      <c r="G5774" t="inlineStr">
        <is>
          <t>IDR bn</t>
        </is>
      </c>
      <c r="H5774" t="n">
        <v>98</v>
      </c>
      <c r="I5774" t="inlineStr">
        <is>
          <t>Segmen Usaha Perkebunan Karet Pendapatan 30.685 23.295 32</t>
        </is>
      </c>
      <c r="J5774" t="inlineStr">
        <is>
          <t>High</t>
        </is>
      </c>
      <c r="M5774" t="inlineStr">
        <is>
          <t>LLM</t>
        </is>
      </c>
      <c r="N5774" t="inlineStr">
        <is>
          <t>2026-04-19</t>
        </is>
      </c>
      <c r="O5774" t="inlineStr">
        <is>
          <t>AI</t>
        </is>
      </c>
    </row>
    <row r="5775">
      <c r="A5775" t="inlineStr">
        <is>
          <t>PT Triputra Agro Persada Tbk</t>
        </is>
      </c>
      <c r="B5775" t="inlineStr">
        <is>
          <t>TAPG_2024_AR.pdf</t>
        </is>
      </c>
      <c r="C5775" t="n">
        <v>2024</v>
      </c>
      <c r="D5775" t="inlineStr">
        <is>
          <t>Operation</t>
        </is>
      </c>
      <c r="E5775" t="inlineStr">
        <is>
          <t>Palm Oil Segment Operating Profit</t>
        </is>
      </c>
      <c r="F5775" t="n">
        <v>3036</v>
      </c>
      <c r="G5775" t="inlineStr">
        <is>
          <t>IDR bn</t>
        </is>
      </c>
      <c r="H5775" t="n">
        <v>98</v>
      </c>
      <c r="I5775" t="inlineStr">
        <is>
          <t>Laba Usaha Segmen 3.036.382 1.327.887 129</t>
        </is>
      </c>
      <c r="J5775" t="inlineStr">
        <is>
          <t>High</t>
        </is>
      </c>
      <c r="M5775" t="inlineStr">
        <is>
          <t>LLM</t>
        </is>
      </c>
      <c r="N5775" t="inlineStr">
        <is>
          <t>2026-04-19</t>
        </is>
      </c>
      <c r="O5775" t="inlineStr">
        <is>
          <t>AI</t>
        </is>
      </c>
    </row>
    <row r="5776">
      <c r="A5776" t="inlineStr">
        <is>
          <t>PT Triputra Agro Persada Tbk</t>
        </is>
      </c>
      <c r="B5776" t="inlineStr">
        <is>
          <t>TAPG_2024_AR.pdf</t>
        </is>
      </c>
      <c r="C5776" t="n">
        <v>2024</v>
      </c>
      <c r="D5776" t="inlineStr">
        <is>
          <t>ESG</t>
        </is>
      </c>
      <c r="E5776" t="inlineStr">
        <is>
          <t>Biogas Power Plant (PLTBg)</t>
        </is>
      </c>
      <c r="F5776" t="inlineStr">
        <is>
          <t>1 in Central Kalimantan</t>
        </is>
      </c>
      <c r="G5776" t="inlineStr">
        <is>
          <t>count</t>
        </is>
      </c>
      <c r="H5776" t="n">
        <v>58</v>
      </c>
      <c r="I5776" t="inlineStr">
        <is>
          <t>Central Kalimantan 10 Palm Oil Plantation 9 PKS 1 KCP &amp; PLTBg</t>
        </is>
      </c>
      <c r="J5776" t="inlineStr">
        <is>
          <t>High</t>
        </is>
      </c>
      <c r="M5776" t="inlineStr">
        <is>
          <t>LLM</t>
        </is>
      </c>
      <c r="N5776" t="inlineStr">
        <is>
          <t>2026-04-19</t>
        </is>
      </c>
      <c r="O5776" t="inlineStr">
        <is>
          <t>AI</t>
        </is>
      </c>
    </row>
    <row r="5777">
      <c r="A5777" t="inlineStr">
        <is>
          <t>PT Triputra Agro Persada Tbk</t>
        </is>
      </c>
      <c r="B5777" t="inlineStr">
        <is>
          <t>TAPG_2024_AR.pdf</t>
        </is>
      </c>
      <c r="C5777" t="n">
        <v>2024</v>
      </c>
      <c r="D5777" t="inlineStr">
        <is>
          <t>ESG</t>
        </is>
      </c>
      <c r="E5777" t="inlineStr">
        <is>
          <t>Biocoke JV Capacity Plan</t>
        </is>
      </c>
      <c r="F5777" t="inlineStr">
        <is>
          <t>Palm shell-based biocoke (bio-molded coal)</t>
        </is>
      </c>
      <c r="G5777" t="inlineStr">
        <is>
          <t>text</t>
        </is>
      </c>
      <c r="H5777" t="n">
        <v>15</v>
      </c>
      <c r="I5777" t="inlineStr">
        <is>
          <t>PT ATP Bio Indonesia untuk memproduksi biokokas (bio-molded coal) berbasis cangkang sawit</t>
        </is>
      </c>
      <c r="J5777" t="inlineStr">
        <is>
          <t>High</t>
        </is>
      </c>
      <c r="M5777" t="inlineStr">
        <is>
          <t>LLM</t>
        </is>
      </c>
      <c r="N5777" t="inlineStr">
        <is>
          <t>2026-04-19</t>
        </is>
      </c>
      <c r="O5777" t="inlineStr">
        <is>
          <t>AI</t>
        </is>
      </c>
    </row>
    <row r="5778">
      <c r="A5778" t="inlineStr">
        <is>
          <t>PT Triputra Agro Persada Tbk</t>
        </is>
      </c>
      <c r="B5778" t="inlineStr">
        <is>
          <t>TAPG_2024_AR.pdf</t>
        </is>
      </c>
      <c r="C5778" t="n">
        <v>2024</v>
      </c>
      <c r="D5778" t="inlineStr">
        <is>
          <t>ESG</t>
        </is>
      </c>
      <c r="E5778" t="inlineStr">
        <is>
          <t>Green Gold Label Certification</t>
        </is>
      </c>
      <c r="F5778" t="inlineStr">
        <is>
          <t>2 subsidiaries (GBSM, DLJ)</t>
        </is>
      </c>
      <c r="G5778" t="inlineStr">
        <is>
          <t>count</t>
        </is>
      </c>
      <c r="H5778" t="n">
        <v>15</v>
      </c>
      <c r="I5778" t="inlineStr">
        <is>
          <t>Dua perusahaan anak Perseroan yaitu GBSM dan DLJ sukses meraih sertifikat Green Gold Label (GGL)</t>
        </is>
      </c>
      <c r="J5778" t="inlineStr">
        <is>
          <t>High</t>
        </is>
      </c>
      <c r="M5778" t="inlineStr">
        <is>
          <t>LLM</t>
        </is>
      </c>
      <c r="N5778" t="inlineStr">
        <is>
          <t>2026-04-19</t>
        </is>
      </c>
      <c r="O5778" t="inlineStr">
        <is>
          <t>AI</t>
        </is>
      </c>
    </row>
    <row r="5779">
      <c r="A5779" t="inlineStr">
        <is>
          <t>PT Triputra Agro Persada Tbk</t>
        </is>
      </c>
      <c r="B5779" t="inlineStr">
        <is>
          <t>TAPG_2025_AR.pdf</t>
        </is>
      </c>
      <c r="C5779" t="n">
        <v>2025</v>
      </c>
      <c r="D5779" t="inlineStr">
        <is>
          <t>Company</t>
        </is>
      </c>
      <c r="E5779" t="inlineStr">
        <is>
          <t>Company Name</t>
        </is>
      </c>
      <c r="F5779" t="inlineStr">
        <is>
          <t>PT Triputra Agro Persada Tbk</t>
        </is>
      </c>
      <c r="G5779" t="inlineStr">
        <is>
          <t>text</t>
        </is>
      </c>
      <c r="H5779" t="n">
        <v>1</v>
      </c>
      <c r="I5779" t="inlineStr">
        <is>
          <t>Laporan Tahunan 2025 PT Triputra Agro Persada Tbk</t>
        </is>
      </c>
      <c r="J5779" t="inlineStr">
        <is>
          <t>High</t>
        </is>
      </c>
      <c r="M5779" t="inlineStr">
        <is>
          <t>LLM</t>
        </is>
      </c>
      <c r="N5779" t="inlineStr">
        <is>
          <t>2026-04-19</t>
        </is>
      </c>
      <c r="O5779" t="inlineStr">
        <is>
          <t>AI</t>
        </is>
      </c>
    </row>
    <row r="5780">
      <c r="A5780" t="inlineStr">
        <is>
          <t>PT Triputra Agro Persada Tbk</t>
        </is>
      </c>
      <c r="B5780" t="inlineStr">
        <is>
          <t>TAPG_2025_AR.pdf</t>
        </is>
      </c>
      <c r="C5780" t="n">
        <v>2025</v>
      </c>
      <c r="D5780" t="inlineStr">
        <is>
          <t>Company</t>
        </is>
      </c>
      <c r="E5780" t="inlineStr">
        <is>
          <t>Ticker</t>
        </is>
      </c>
      <c r="F5780" t="inlineStr">
        <is>
          <t>TAPG</t>
        </is>
      </c>
      <c r="G5780" t="inlineStr">
        <is>
          <t>text</t>
        </is>
      </c>
      <c r="H5780" t="n">
        <v>13</v>
      </c>
      <c r="I5780" t="inlineStr">
        <is>
          <t>Saham Perseroan dicatatkan di BEI dengan kode saham TAPG</t>
        </is>
      </c>
      <c r="J5780" t="inlineStr">
        <is>
          <t>High</t>
        </is>
      </c>
      <c r="M5780" t="inlineStr">
        <is>
          <t>LLM</t>
        </is>
      </c>
      <c r="N5780" t="inlineStr">
        <is>
          <t>2026-04-19</t>
        </is>
      </c>
      <c r="O5780" t="inlineStr">
        <is>
          <t>AI</t>
        </is>
      </c>
    </row>
    <row r="5781">
      <c r="A5781" t="inlineStr">
        <is>
          <t>PT Triputra Agro Persada Tbk</t>
        </is>
      </c>
      <c r="B5781" t="inlineStr">
        <is>
          <t>TAPG_2025_AR.pdf</t>
        </is>
      </c>
      <c r="C5781" t="n">
        <v>2025</v>
      </c>
      <c r="D5781" t="inlineStr">
        <is>
          <t>Company</t>
        </is>
      </c>
      <c r="E5781" t="inlineStr">
        <is>
          <t>Major Shareholder #1</t>
        </is>
      </c>
      <c r="F5781" t="inlineStr">
        <is>
          <t>PT Persada Capital Investama 33.07%</t>
        </is>
      </c>
      <c r="G5781" t="inlineStr">
        <is>
          <t>%</t>
        </is>
      </c>
      <c r="H5781" t="n">
        <v>77</v>
      </c>
      <c r="I5781" t="inlineStr">
        <is>
          <t>1. PT Persada Capital Investama 6.565.109.373 33,07 6.565.109.373 33,07</t>
        </is>
      </c>
      <c r="J5781" t="inlineStr">
        <is>
          <t>High</t>
        </is>
      </c>
      <c r="M5781" t="inlineStr">
        <is>
          <t>LLM</t>
        </is>
      </c>
      <c r="N5781" t="inlineStr">
        <is>
          <t>2026-04-19</t>
        </is>
      </c>
      <c r="O5781" t="inlineStr">
        <is>
          <t>AI</t>
        </is>
      </c>
    </row>
    <row r="5782">
      <c r="A5782" t="inlineStr">
        <is>
          <t>PT Triputra Agro Persada Tbk</t>
        </is>
      </c>
      <c r="B5782" t="inlineStr">
        <is>
          <t>TAPG_2025_AR.pdf</t>
        </is>
      </c>
      <c r="C5782" t="n">
        <v>2025</v>
      </c>
      <c r="D5782" t="inlineStr">
        <is>
          <t>Company</t>
        </is>
      </c>
      <c r="E5782" t="inlineStr">
        <is>
          <t>Major Shareholder #2</t>
        </is>
      </c>
      <c r="F5782" t="inlineStr">
        <is>
          <t>PT Triputra Investindo Arya 24.06%</t>
        </is>
      </c>
      <c r="G5782" t="inlineStr">
        <is>
          <t>%</t>
        </is>
      </c>
      <c r="H5782" t="n">
        <v>77</v>
      </c>
      <c r="I5782" t="inlineStr">
        <is>
          <t>2. PT Triputra Investindo Arya 4.775.024.955 24,05 4.776.862.055 24,06</t>
        </is>
      </c>
      <c r="J5782" t="inlineStr">
        <is>
          <t>High</t>
        </is>
      </c>
      <c r="M5782" t="inlineStr">
        <is>
          <t>LLM</t>
        </is>
      </c>
      <c r="N5782" t="inlineStr">
        <is>
          <t>2026-04-19</t>
        </is>
      </c>
      <c r="O5782" t="inlineStr">
        <is>
          <t>AI</t>
        </is>
      </c>
    </row>
    <row r="5783">
      <c r="A5783" t="inlineStr">
        <is>
          <t>PT Triputra Agro Persada Tbk</t>
        </is>
      </c>
      <c r="B5783" t="inlineStr">
        <is>
          <t>TAPG_2025_AR.pdf</t>
        </is>
      </c>
      <c r="C5783" t="n">
        <v>2025</v>
      </c>
      <c r="D5783" t="inlineStr">
        <is>
          <t>Company</t>
        </is>
      </c>
      <c r="E5783" t="inlineStr">
        <is>
          <t>Major Shareholder #3</t>
        </is>
      </c>
      <c r="F5783" t="inlineStr">
        <is>
          <t>PT Daya Adicipta Mustika 19.94%</t>
        </is>
      </c>
      <c r="G5783" t="inlineStr">
        <is>
          <t>%</t>
        </is>
      </c>
      <c r="H5783" t="n">
        <v>77</v>
      </c>
      <c r="I5783" t="inlineStr">
        <is>
          <t>3. PT Daya Adicipta Mustika 3.958.643.004 19,94 3.958.643.004 19,94</t>
        </is>
      </c>
      <c r="J5783" t="inlineStr">
        <is>
          <t>High</t>
        </is>
      </c>
      <c r="M5783" t="inlineStr">
        <is>
          <t>LLM</t>
        </is>
      </c>
      <c r="N5783" t="inlineStr">
        <is>
          <t>2026-04-19</t>
        </is>
      </c>
      <c r="O5783" t="inlineStr">
        <is>
          <t>AI</t>
        </is>
      </c>
    </row>
    <row r="5784">
      <c r="A5784" t="inlineStr">
        <is>
          <t>PT Triputra Agro Persada Tbk</t>
        </is>
      </c>
      <c r="B5784" t="inlineStr">
        <is>
          <t>TAPG_2025_AR.pdf</t>
        </is>
      </c>
      <c r="C5784" t="n">
        <v>2025</v>
      </c>
      <c r="D5784" t="inlineStr">
        <is>
          <t>Company</t>
        </is>
      </c>
      <c r="E5784" t="inlineStr">
        <is>
          <t>Major Shareholder #4</t>
        </is>
      </c>
      <c r="F5784" t="inlineStr">
        <is>
          <t>T. Permadi Rachmat 5.09%</t>
        </is>
      </c>
      <c r="G5784" t="inlineStr">
        <is>
          <t>%</t>
        </is>
      </c>
      <c r="H5784" t="n">
        <v>77</v>
      </c>
      <c r="I5784" t="inlineStr">
        <is>
          <t>4. T. Permadi Rachmat. Ir 1.030.149.800 5,19 1.010.175.200 5,09</t>
        </is>
      </c>
      <c r="J5784" t="inlineStr">
        <is>
          <t>High</t>
        </is>
      </c>
      <c r="M5784" t="inlineStr">
        <is>
          <t>LLM</t>
        </is>
      </c>
      <c r="N5784" t="inlineStr">
        <is>
          <t>2026-04-19</t>
        </is>
      </c>
      <c r="O5784" t="inlineStr">
        <is>
          <t>AI</t>
        </is>
      </c>
    </row>
    <row r="5785">
      <c r="A5785" t="inlineStr">
        <is>
          <t>PT Triputra Agro Persada Tbk</t>
        </is>
      </c>
      <c r="B5785" t="inlineStr">
        <is>
          <t>TAPG_2025_AR.pdf</t>
        </is>
      </c>
      <c r="C5785" t="n">
        <v>2025</v>
      </c>
      <c r="D5785" t="inlineStr">
        <is>
          <t>Company</t>
        </is>
      </c>
      <c r="E5785" t="inlineStr">
        <is>
          <t>Public Float</t>
        </is>
      </c>
      <c r="F5785" t="n">
        <v>0.1784</v>
      </c>
      <c r="G5785" t="inlineStr">
        <is>
          <t>%</t>
        </is>
      </c>
      <c r="H5785" t="n">
        <v>77</v>
      </c>
      <c r="I5785" t="inlineStr">
        <is>
          <t>1. Masyarakat 3.523.612.868 17,75 3.541.750.368 17,84</t>
        </is>
      </c>
      <c r="J5785" t="inlineStr">
        <is>
          <t>High</t>
        </is>
      </c>
      <c r="M5785" t="inlineStr">
        <is>
          <t>LLM</t>
        </is>
      </c>
      <c r="N5785" t="inlineStr">
        <is>
          <t>2026-04-19</t>
        </is>
      </c>
      <c r="O5785" t="inlineStr">
        <is>
          <t>AI</t>
        </is>
      </c>
    </row>
    <row r="5786">
      <c r="A5786" t="inlineStr">
        <is>
          <t>PT Triputra Agro Persada Tbk</t>
        </is>
      </c>
      <c r="B5786" t="inlineStr">
        <is>
          <t>TAPG_2025_AR.pdf</t>
        </is>
      </c>
      <c r="C5786" t="n">
        <v>2025</v>
      </c>
      <c r="D5786" t="inlineStr">
        <is>
          <t>Financial</t>
        </is>
      </c>
      <c r="E5786" t="inlineStr">
        <is>
          <t>Revenue (Sales)</t>
        </is>
      </c>
      <c r="F5786" t="n">
        <v>11402</v>
      </c>
      <c r="G5786" t="inlineStr">
        <is>
          <t>IDR bn</t>
        </is>
      </c>
      <c r="H5786" t="n">
        <v>12</v>
      </c>
      <c r="I5786" t="inlineStr">
        <is>
          <t>Penjualan 11.402.198 9.671.463 8.325.887</t>
        </is>
      </c>
      <c r="J5786" t="inlineStr">
        <is>
          <t>High</t>
        </is>
      </c>
      <c r="M5786" t="inlineStr">
        <is>
          <t>LLM</t>
        </is>
      </c>
      <c r="N5786" t="inlineStr">
        <is>
          <t>2026-04-19</t>
        </is>
      </c>
      <c r="O5786" t="inlineStr">
        <is>
          <t>AI</t>
        </is>
      </c>
    </row>
    <row r="5787">
      <c r="A5787" t="inlineStr">
        <is>
          <t>PT Triputra Agro Persada Tbk</t>
        </is>
      </c>
      <c r="B5787" t="inlineStr">
        <is>
          <t>TAPG_2025_AR.pdf</t>
        </is>
      </c>
      <c r="C5787" t="n">
        <v>2025</v>
      </c>
      <c r="D5787" t="inlineStr">
        <is>
          <t>Financial</t>
        </is>
      </c>
      <c r="E5787" t="inlineStr">
        <is>
          <t>Cost of Sales</t>
        </is>
      </c>
      <c r="F5787" t="n">
        <v>6905</v>
      </c>
      <c r="G5787" t="inlineStr">
        <is>
          <t>IDR bn</t>
        </is>
      </c>
      <c r="H5787" t="n">
        <v>103</v>
      </c>
      <c r="I5787" t="inlineStr">
        <is>
          <t>Beban Pokok Penjualan (6.904.581) (5.948.685) 16,1</t>
        </is>
      </c>
      <c r="J5787" t="inlineStr">
        <is>
          <t>High</t>
        </is>
      </c>
      <c r="M5787" t="inlineStr">
        <is>
          <t>LLM</t>
        </is>
      </c>
      <c r="N5787" t="inlineStr">
        <is>
          <t>2026-04-19</t>
        </is>
      </c>
      <c r="O5787" t="inlineStr">
        <is>
          <t>AI</t>
        </is>
      </c>
    </row>
    <row r="5788">
      <c r="A5788" t="inlineStr">
        <is>
          <t>PT Triputra Agro Persada Tbk</t>
        </is>
      </c>
      <c r="B5788" t="inlineStr">
        <is>
          <t>TAPG_2025_AR.pdf</t>
        </is>
      </c>
      <c r="C5788" t="n">
        <v>2025</v>
      </c>
      <c r="D5788" t="inlineStr">
        <is>
          <t>Financial</t>
        </is>
      </c>
      <c r="E5788" t="inlineStr">
        <is>
          <t>Gross Profit</t>
        </is>
      </c>
      <c r="F5788" t="n">
        <v>4498</v>
      </c>
      <c r="G5788" t="inlineStr">
        <is>
          <t>IDR bn</t>
        </is>
      </c>
      <c r="H5788" t="n">
        <v>12</v>
      </c>
      <c r="I5788" t="inlineStr">
        <is>
          <t>Laba Bruto 4.497.617 3.722.779 2.217.297</t>
        </is>
      </c>
      <c r="J5788" t="inlineStr">
        <is>
          <t>High</t>
        </is>
      </c>
      <c r="M5788" t="inlineStr">
        <is>
          <t>LLM</t>
        </is>
      </c>
      <c r="N5788" t="inlineStr">
        <is>
          <t>2026-04-19</t>
        </is>
      </c>
      <c r="O5788" t="inlineStr">
        <is>
          <t>AI</t>
        </is>
      </c>
    </row>
    <row r="5789">
      <c r="A5789" t="inlineStr">
        <is>
          <t>PT Triputra Agro Persada Tbk</t>
        </is>
      </c>
      <c r="B5789" t="inlineStr">
        <is>
          <t>TAPG_2025_AR.pdf</t>
        </is>
      </c>
      <c r="C5789" t="n">
        <v>2025</v>
      </c>
      <c r="D5789" t="inlineStr">
        <is>
          <t>Financial</t>
        </is>
      </c>
      <c r="E5789" t="inlineStr">
        <is>
          <t>Operating Profit (EBIT)</t>
        </is>
      </c>
      <c r="F5789" t="n">
        <v>3543</v>
      </c>
      <c r="G5789" t="inlineStr">
        <is>
          <t>IDR bn</t>
        </is>
      </c>
      <c r="H5789" t="n">
        <v>103</v>
      </c>
      <c r="I5789" t="inlineStr">
        <is>
          <t>Laba Usaha 3.543.254 3.044.614 16,4</t>
        </is>
      </c>
      <c r="J5789" t="inlineStr">
        <is>
          <t>High</t>
        </is>
      </c>
      <c r="M5789" t="inlineStr">
        <is>
          <t>LLM</t>
        </is>
      </c>
      <c r="N5789" t="inlineStr">
        <is>
          <t>2026-04-19</t>
        </is>
      </c>
      <c r="O5789" t="inlineStr">
        <is>
          <t>AI</t>
        </is>
      </c>
    </row>
    <row r="5790">
      <c r="A5790" t="inlineStr">
        <is>
          <t>PT Triputra Agro Persada Tbk</t>
        </is>
      </c>
      <c r="B5790" t="inlineStr">
        <is>
          <t>TAPG_2025_AR.pdf</t>
        </is>
      </c>
      <c r="C5790" t="n">
        <v>2025</v>
      </c>
      <c r="D5790" t="inlineStr">
        <is>
          <t>Financial</t>
        </is>
      </c>
      <c r="E5790" t="inlineStr">
        <is>
          <t>Finance Costs</t>
        </is>
      </c>
      <c r="F5790" t="n">
        <v>57</v>
      </c>
      <c r="G5790" t="inlineStr">
        <is>
          <t>IDR bn</t>
        </is>
      </c>
      <c r="H5790" t="n">
        <v>244</v>
      </c>
      <c r="I5790" t="inlineStr">
        <is>
          <t>Biaya keuangan (56.860) 33 (75.443)</t>
        </is>
      </c>
      <c r="J5790" t="inlineStr">
        <is>
          <t>High</t>
        </is>
      </c>
      <c r="M5790" t="inlineStr">
        <is>
          <t>LLM</t>
        </is>
      </c>
      <c r="N5790" t="inlineStr">
        <is>
          <t>2026-04-19</t>
        </is>
      </c>
      <c r="O5790" t="inlineStr">
        <is>
          <t>AI</t>
        </is>
      </c>
    </row>
    <row r="5791">
      <c r="A5791" t="inlineStr">
        <is>
          <t>PT Triputra Agro Persada Tbk</t>
        </is>
      </c>
      <c r="B5791" t="inlineStr">
        <is>
          <t>TAPG_2025_AR.pdf</t>
        </is>
      </c>
      <c r="C5791" t="n">
        <v>2025</v>
      </c>
      <c r="D5791" t="inlineStr">
        <is>
          <t>Financial</t>
        </is>
      </c>
      <c r="E5791" t="inlineStr">
        <is>
          <t>Net Profit</t>
        </is>
      </c>
      <c r="F5791" t="n">
        <v>3845</v>
      </c>
      <c r="G5791" t="inlineStr">
        <is>
          <t>IDR bn</t>
        </is>
      </c>
      <c r="H5791" t="n">
        <v>12</v>
      </c>
      <c r="I5791" t="inlineStr">
        <is>
          <t>Laba Tahun Berjalan 3.845.347 3.240.599 1.661.258</t>
        </is>
      </c>
      <c r="J5791" t="inlineStr">
        <is>
          <t>High</t>
        </is>
      </c>
      <c r="M5791" t="inlineStr">
        <is>
          <t>LLM</t>
        </is>
      </c>
      <c r="N5791" t="inlineStr">
        <is>
          <t>2026-04-19</t>
        </is>
      </c>
      <c r="O5791" t="inlineStr">
        <is>
          <t>AI</t>
        </is>
      </c>
    </row>
    <row r="5792">
      <c r="A5792" t="inlineStr">
        <is>
          <t>PT Triputra Agro Persada Tbk</t>
        </is>
      </c>
      <c r="B5792" t="inlineStr">
        <is>
          <t>TAPG_2025_AR.pdf</t>
        </is>
      </c>
      <c r="C5792" t="n">
        <v>2025</v>
      </c>
      <c r="D5792" t="inlineStr">
        <is>
          <t>Financial</t>
        </is>
      </c>
      <c r="E5792" t="inlineStr">
        <is>
          <t>Profit Attributable to Parent</t>
        </is>
      </c>
      <c r="F5792" t="n">
        <v>3702</v>
      </c>
      <c r="G5792" t="inlineStr">
        <is>
          <t>IDR bn</t>
        </is>
      </c>
      <c r="H5792" t="n">
        <v>12</v>
      </c>
      <c r="I5792" t="inlineStr">
        <is>
          <t>Pemilik entitas induk 3.702.266 3.120.276 1.608.217</t>
        </is>
      </c>
      <c r="J5792" t="inlineStr">
        <is>
          <t>High</t>
        </is>
      </c>
      <c r="M5792" t="inlineStr">
        <is>
          <t>LLM</t>
        </is>
      </c>
      <c r="N5792" t="inlineStr">
        <is>
          <t>2026-04-19</t>
        </is>
      </c>
      <c r="O5792" t="inlineStr">
        <is>
          <t>AI</t>
        </is>
      </c>
    </row>
    <row r="5793">
      <c r="A5793" t="inlineStr">
        <is>
          <t>PT Triputra Agro Persada Tbk</t>
        </is>
      </c>
      <c r="B5793" t="inlineStr">
        <is>
          <t>TAPG_2025_AR.pdf</t>
        </is>
      </c>
      <c r="C5793" t="n">
        <v>2025</v>
      </c>
      <c r="D5793" t="inlineStr">
        <is>
          <t>Financial</t>
        </is>
      </c>
      <c r="E5793" t="inlineStr">
        <is>
          <t>Comprehensive Income</t>
        </is>
      </c>
      <c r="F5793" t="n">
        <v>3819</v>
      </c>
      <c r="G5793" t="inlineStr">
        <is>
          <t>IDR bn</t>
        </is>
      </c>
      <c r="H5793" t="n">
        <v>12</v>
      </c>
      <c r="I5793" t="inlineStr">
        <is>
          <t>Laba Komprehensif Tahun Berjalan 3.818.599 3.355.408 1.681.176</t>
        </is>
      </c>
      <c r="J5793" t="inlineStr">
        <is>
          <t>High</t>
        </is>
      </c>
      <c r="M5793" t="inlineStr">
        <is>
          <t>LLM</t>
        </is>
      </c>
      <c r="N5793" t="inlineStr">
        <is>
          <t>2026-04-19</t>
        </is>
      </c>
      <c r="O5793" t="inlineStr">
        <is>
          <t>AI</t>
        </is>
      </c>
    </row>
    <row r="5794">
      <c r="A5794" t="inlineStr">
        <is>
          <t>PT Triputra Agro Persada Tbk</t>
        </is>
      </c>
      <c r="B5794" t="inlineStr">
        <is>
          <t>TAPG_2025_AR.pdf</t>
        </is>
      </c>
      <c r="C5794" t="n">
        <v>2025</v>
      </c>
      <c r="D5794" t="inlineStr">
        <is>
          <t>Financial</t>
        </is>
      </c>
      <c r="E5794" t="inlineStr">
        <is>
          <t>Total Assets</t>
        </is>
      </c>
      <c r="F5794" t="n">
        <v>14697</v>
      </c>
      <c r="G5794" t="inlineStr">
        <is>
          <t>IDR bn</t>
        </is>
      </c>
      <c r="H5794" t="n">
        <v>12</v>
      </c>
      <c r="I5794" t="inlineStr">
        <is>
          <t>Jumlah Aset 14.696.563 14.307.265 13.867.387</t>
        </is>
      </c>
      <c r="J5794" t="inlineStr">
        <is>
          <t>High</t>
        </is>
      </c>
      <c r="M5794" t="inlineStr">
        <is>
          <t>LLM</t>
        </is>
      </c>
      <c r="N5794" t="inlineStr">
        <is>
          <t>2026-04-19</t>
        </is>
      </c>
      <c r="O5794" t="inlineStr">
        <is>
          <t>AI</t>
        </is>
      </c>
    </row>
    <row r="5795">
      <c r="A5795" t="inlineStr">
        <is>
          <t>PT Triputra Agro Persada Tbk</t>
        </is>
      </c>
      <c r="B5795" t="inlineStr">
        <is>
          <t>TAPG_2025_AR.pdf</t>
        </is>
      </c>
      <c r="C5795" t="n">
        <v>2025</v>
      </c>
      <c r="D5795" t="inlineStr">
        <is>
          <t>Financial</t>
        </is>
      </c>
      <c r="E5795" t="inlineStr">
        <is>
          <t>Current Assets</t>
        </is>
      </c>
      <c r="F5795" t="n">
        <v>3981</v>
      </c>
      <c r="G5795" t="inlineStr">
        <is>
          <t>IDR bn</t>
        </is>
      </c>
      <c r="H5795" t="n">
        <v>102</v>
      </c>
      <c r="I5795" t="inlineStr">
        <is>
          <t>Aset Lancar 3.981.264 3.246.648 22,6</t>
        </is>
      </c>
      <c r="J5795" t="inlineStr">
        <is>
          <t>High</t>
        </is>
      </c>
      <c r="M5795" t="inlineStr">
        <is>
          <t>LLM</t>
        </is>
      </c>
      <c r="N5795" t="inlineStr">
        <is>
          <t>2026-04-19</t>
        </is>
      </c>
      <c r="O5795" t="inlineStr">
        <is>
          <t>AI</t>
        </is>
      </c>
    </row>
    <row r="5796">
      <c r="A5796" t="inlineStr">
        <is>
          <t>PT Triputra Agro Persada Tbk</t>
        </is>
      </c>
      <c r="B5796" t="inlineStr">
        <is>
          <t>TAPG_2025_AR.pdf</t>
        </is>
      </c>
      <c r="C5796" t="n">
        <v>2025</v>
      </c>
      <c r="D5796" t="inlineStr">
        <is>
          <t>Financial</t>
        </is>
      </c>
      <c r="E5796" t="inlineStr">
        <is>
          <t>Non-Current Assets</t>
        </is>
      </c>
      <c r="F5796" t="n">
        <v>10715</v>
      </c>
      <c r="G5796" t="inlineStr">
        <is>
          <t>IDR bn</t>
        </is>
      </c>
      <c r="H5796" t="n">
        <v>102</v>
      </c>
      <c r="I5796" t="inlineStr">
        <is>
          <t>Aset Tidak Lancar 10.715.299 11.060.617 (3,1)</t>
        </is>
      </c>
      <c r="J5796" t="inlineStr">
        <is>
          <t>High</t>
        </is>
      </c>
      <c r="M5796" t="inlineStr">
        <is>
          <t>LLM</t>
        </is>
      </c>
      <c r="N5796" t="inlineStr">
        <is>
          <t>2026-04-19</t>
        </is>
      </c>
      <c r="O5796" t="inlineStr">
        <is>
          <t>AI</t>
        </is>
      </c>
    </row>
    <row r="5797">
      <c r="A5797" t="inlineStr">
        <is>
          <t>PT Triputra Agro Persada Tbk</t>
        </is>
      </c>
      <c r="B5797" t="inlineStr">
        <is>
          <t>TAPG_2025_AR.pdf</t>
        </is>
      </c>
      <c r="C5797" t="n">
        <v>2025</v>
      </c>
      <c r="D5797" t="inlineStr">
        <is>
          <t>Financial</t>
        </is>
      </c>
      <c r="E5797" t="inlineStr">
        <is>
          <t>Cash &amp; Cash Equivalents</t>
        </is>
      </c>
      <c r="F5797" t="n">
        <v>1651</v>
      </c>
      <c r="G5797" t="inlineStr">
        <is>
          <t>IDR bn</t>
        </is>
      </c>
      <c r="H5797" t="n">
        <v>241</v>
      </c>
      <c r="I5797" t="inlineStr">
        <is>
          <t>Kas dan setara kas 1.651.433 4 1.309.216</t>
        </is>
      </c>
      <c r="J5797" t="inlineStr">
        <is>
          <t>High</t>
        </is>
      </c>
      <c r="M5797" t="inlineStr">
        <is>
          <t>LLM</t>
        </is>
      </c>
      <c r="N5797" t="inlineStr">
        <is>
          <t>2026-04-19</t>
        </is>
      </c>
      <c r="O5797" t="inlineStr">
        <is>
          <t>AI</t>
        </is>
      </c>
    </row>
    <row r="5798">
      <c r="A5798" t="inlineStr">
        <is>
          <t>PT Triputra Agro Persada Tbk</t>
        </is>
      </c>
      <c r="B5798" t="inlineStr">
        <is>
          <t>TAPG_2025_AR.pdf</t>
        </is>
      </c>
      <c r="C5798" t="n">
        <v>2025</v>
      </c>
      <c r="D5798" t="inlineStr">
        <is>
          <t>Financial</t>
        </is>
      </c>
      <c r="E5798" t="inlineStr">
        <is>
          <t>Trade Receivables</t>
        </is>
      </c>
      <c r="F5798" t="n">
        <v>133</v>
      </c>
      <c r="G5798" t="inlineStr">
        <is>
          <t>IDR bn</t>
        </is>
      </c>
      <c r="H5798" t="n">
        <v>241</v>
      </c>
      <c r="I5798" t="inlineStr">
        <is>
          <t>Piutang usaha Pihak ketiga 132.957 5 226.539</t>
        </is>
      </c>
      <c r="J5798" t="inlineStr">
        <is>
          <t>High</t>
        </is>
      </c>
      <c r="M5798" t="inlineStr">
        <is>
          <t>LLM</t>
        </is>
      </c>
      <c r="N5798" t="inlineStr">
        <is>
          <t>2026-04-19</t>
        </is>
      </c>
      <c r="O5798" t="inlineStr">
        <is>
          <t>AI</t>
        </is>
      </c>
    </row>
    <row r="5799">
      <c r="A5799" t="inlineStr">
        <is>
          <t>PT Triputra Agro Persada Tbk</t>
        </is>
      </c>
      <c r="B5799" t="inlineStr">
        <is>
          <t>TAPG_2025_AR.pdf</t>
        </is>
      </c>
      <c r="C5799" t="n">
        <v>2025</v>
      </c>
      <c r="D5799" t="inlineStr">
        <is>
          <t>Financial</t>
        </is>
      </c>
      <c r="E5799" t="inlineStr">
        <is>
          <t>Inventories</t>
        </is>
      </c>
      <c r="F5799" t="n">
        <v>1092</v>
      </c>
      <c r="G5799" t="inlineStr">
        <is>
          <t>IDR bn</t>
        </is>
      </c>
      <c r="H5799" t="n">
        <v>241</v>
      </c>
      <c r="I5799" t="inlineStr">
        <is>
          <t>Persediaan 1.092.154 7 1.034.544</t>
        </is>
      </c>
      <c r="J5799" t="inlineStr">
        <is>
          <t>High</t>
        </is>
      </c>
      <c r="M5799" t="inlineStr">
        <is>
          <t>LLM</t>
        </is>
      </c>
      <c r="N5799" t="inlineStr">
        <is>
          <t>2026-04-19</t>
        </is>
      </c>
      <c r="O5799" t="inlineStr">
        <is>
          <t>AI</t>
        </is>
      </c>
    </row>
    <row r="5800">
      <c r="A5800" t="inlineStr">
        <is>
          <t>PT Triputra Agro Persada Tbk</t>
        </is>
      </c>
      <c r="B5800" t="inlineStr">
        <is>
          <t>TAPG_2025_AR.pdf</t>
        </is>
      </c>
      <c r="C5800" t="n">
        <v>2025</v>
      </c>
      <c r="D5800" t="inlineStr">
        <is>
          <t>Financial</t>
        </is>
      </c>
      <c r="E5800" t="inlineStr">
        <is>
          <t>Biological Assets (current)</t>
        </is>
      </c>
      <c r="F5800" t="n">
        <v>351</v>
      </c>
      <c r="G5800" t="inlineStr">
        <is>
          <t>IDR bn</t>
        </is>
      </c>
      <c r="H5800" t="n">
        <v>241</v>
      </c>
      <c r="I5800" t="inlineStr">
        <is>
          <t>Aset biologis 350.912 8 393.534</t>
        </is>
      </c>
      <c r="J5800" t="inlineStr">
        <is>
          <t>High</t>
        </is>
      </c>
      <c r="M5800" t="inlineStr">
        <is>
          <t>LLM</t>
        </is>
      </c>
      <c r="N5800" t="inlineStr">
        <is>
          <t>2026-04-19</t>
        </is>
      </c>
      <c r="O5800" t="inlineStr">
        <is>
          <t>AI</t>
        </is>
      </c>
    </row>
    <row r="5801">
      <c r="A5801" t="inlineStr">
        <is>
          <t>PT Triputra Agro Persada Tbk</t>
        </is>
      </c>
      <c r="B5801" t="inlineStr">
        <is>
          <t>TAPG_2025_AR.pdf</t>
        </is>
      </c>
      <c r="C5801" t="n">
        <v>2025</v>
      </c>
      <c r="D5801" t="inlineStr">
        <is>
          <t>Financial</t>
        </is>
      </c>
      <c r="E5801" t="inlineStr">
        <is>
          <t>Investment in Joint Ventures</t>
        </is>
      </c>
      <c r="F5801" t="n">
        <v>2640</v>
      </c>
      <c r="G5801" t="inlineStr">
        <is>
          <t>IDR bn</t>
        </is>
      </c>
      <c r="H5801" t="n">
        <v>241</v>
      </c>
      <c r="I5801" t="inlineStr">
        <is>
          <t>Investasi dalam ventura bersama 2.640.217 14a 2.944.729</t>
        </is>
      </c>
      <c r="J5801" t="inlineStr">
        <is>
          <t>High</t>
        </is>
      </c>
      <c r="M5801" t="inlineStr">
        <is>
          <t>LLM</t>
        </is>
      </c>
      <c r="N5801" t="inlineStr">
        <is>
          <t>2026-04-19</t>
        </is>
      </c>
      <c r="O5801" t="inlineStr">
        <is>
          <t>AI</t>
        </is>
      </c>
    </row>
    <row r="5802">
      <c r="A5802" t="inlineStr">
        <is>
          <t>PT Triputra Agro Persada Tbk</t>
        </is>
      </c>
      <c r="B5802" t="inlineStr">
        <is>
          <t>TAPG_2025_AR.pdf</t>
        </is>
      </c>
      <c r="C5802" t="n">
        <v>2025</v>
      </c>
      <c r="D5802" t="inlineStr">
        <is>
          <t>Financial</t>
        </is>
      </c>
      <c r="E5802" t="inlineStr">
        <is>
          <t>Fixed Assets</t>
        </is>
      </c>
      <c r="F5802" t="n">
        <v>7244</v>
      </c>
      <c r="G5802" t="inlineStr">
        <is>
          <t>IDR bn</t>
        </is>
      </c>
      <c r="H5802" t="n">
        <v>241</v>
      </c>
      <c r="I5802" t="inlineStr">
        <is>
          <t>Aset tetap 7.244.013 12 7.388.269</t>
        </is>
      </c>
      <c r="J5802" t="inlineStr">
        <is>
          <t>High</t>
        </is>
      </c>
      <c r="M5802" t="inlineStr">
        <is>
          <t>LLM</t>
        </is>
      </c>
      <c r="N5802" t="inlineStr">
        <is>
          <t>2026-04-19</t>
        </is>
      </c>
      <c r="O5802" t="inlineStr">
        <is>
          <t>AI</t>
        </is>
      </c>
    </row>
    <row r="5803">
      <c r="A5803" t="inlineStr">
        <is>
          <t>PT Triputra Agro Persada Tbk</t>
        </is>
      </c>
      <c r="B5803" t="inlineStr">
        <is>
          <t>TAPG_2025_AR.pdf</t>
        </is>
      </c>
      <c r="C5803" t="n">
        <v>2025</v>
      </c>
      <c r="D5803" t="inlineStr">
        <is>
          <t>Financial</t>
        </is>
      </c>
      <c r="E5803" t="inlineStr">
        <is>
          <t>Total Liabilities</t>
        </is>
      </c>
      <c r="F5803" t="n">
        <v>3009</v>
      </c>
      <c r="G5803" t="inlineStr">
        <is>
          <t>IDR bn</t>
        </is>
      </c>
      <c r="H5803" t="n">
        <v>12</v>
      </c>
      <c r="I5803" t="inlineStr">
        <is>
          <t>Jumlah Liabilities 3.009.078 3.030.836 2.527.847</t>
        </is>
      </c>
      <c r="J5803" t="inlineStr">
        <is>
          <t>High</t>
        </is>
      </c>
      <c r="M5803" t="inlineStr">
        <is>
          <t>LLM</t>
        </is>
      </c>
      <c r="N5803" t="inlineStr">
        <is>
          <t>2026-04-19</t>
        </is>
      </c>
      <c r="O5803" t="inlineStr">
        <is>
          <t>AI</t>
        </is>
      </c>
    </row>
    <row r="5804">
      <c r="A5804" t="inlineStr">
        <is>
          <t>PT Triputra Agro Persada Tbk</t>
        </is>
      </c>
      <c r="B5804" t="inlineStr">
        <is>
          <t>TAPG_2025_AR.pdf</t>
        </is>
      </c>
      <c r="C5804" t="n">
        <v>2025</v>
      </c>
      <c r="D5804" t="inlineStr">
        <is>
          <t>Financial</t>
        </is>
      </c>
      <c r="E5804" t="inlineStr">
        <is>
          <t>Current Liabilities</t>
        </is>
      </c>
      <c r="F5804" t="n">
        <v>1870</v>
      </c>
      <c r="G5804" t="inlineStr">
        <is>
          <t>IDR bn</t>
        </is>
      </c>
      <c r="H5804" t="n">
        <v>102</v>
      </c>
      <c r="I5804" t="inlineStr">
        <is>
          <t>Liabilitas Jangka Pendek 1.869.806 2.362.276 (20,9)</t>
        </is>
      </c>
      <c r="J5804" t="inlineStr">
        <is>
          <t>High</t>
        </is>
      </c>
      <c r="M5804" t="inlineStr">
        <is>
          <t>LLM</t>
        </is>
      </c>
      <c r="N5804" t="inlineStr">
        <is>
          <t>2026-04-19</t>
        </is>
      </c>
      <c r="O5804" t="inlineStr">
        <is>
          <t>AI</t>
        </is>
      </c>
    </row>
    <row r="5805">
      <c r="A5805" t="inlineStr">
        <is>
          <t>PT Triputra Agro Persada Tbk</t>
        </is>
      </c>
      <c r="B5805" t="inlineStr">
        <is>
          <t>TAPG_2025_AR.pdf</t>
        </is>
      </c>
      <c r="C5805" t="n">
        <v>2025</v>
      </c>
      <c r="D5805" t="inlineStr">
        <is>
          <t>Financial</t>
        </is>
      </c>
      <c r="E5805" t="inlineStr">
        <is>
          <t>Non-Current Liabilities</t>
        </is>
      </c>
      <c r="F5805" t="n">
        <v>1139</v>
      </c>
      <c r="G5805" t="inlineStr">
        <is>
          <t>IDR bn</t>
        </is>
      </c>
      <c r="H5805" t="n">
        <v>102</v>
      </c>
      <c r="I5805" t="inlineStr">
        <is>
          <t>Liabilitas Jangka Panjang 1.139.272 668.560 70,4</t>
        </is>
      </c>
      <c r="J5805" t="inlineStr">
        <is>
          <t>High</t>
        </is>
      </c>
      <c r="M5805" t="inlineStr">
        <is>
          <t>LLM</t>
        </is>
      </c>
      <c r="N5805" t="inlineStr">
        <is>
          <t>2026-04-19</t>
        </is>
      </c>
      <c r="O5805" t="inlineStr">
        <is>
          <t>AI</t>
        </is>
      </c>
    </row>
    <row r="5806">
      <c r="A5806" t="inlineStr">
        <is>
          <t>PT Triputra Agro Persada Tbk</t>
        </is>
      </c>
      <c r="B5806" t="inlineStr">
        <is>
          <t>TAPG_2025_AR.pdf</t>
        </is>
      </c>
      <c r="C5806" t="n">
        <v>2025</v>
      </c>
      <c r="D5806" t="inlineStr">
        <is>
          <t>Financial</t>
        </is>
      </c>
      <c r="E5806" t="inlineStr">
        <is>
          <t>Short-term Bank Loans</t>
        </is>
      </c>
      <c r="F5806" t="n">
        <v>280</v>
      </c>
      <c r="G5806" t="inlineStr">
        <is>
          <t>IDR bn</t>
        </is>
      </c>
      <c r="H5806" t="n">
        <v>242</v>
      </c>
      <c r="I5806" t="inlineStr">
        <is>
          <t>Utang bank jangka pendek 280.000 16 620.000</t>
        </is>
      </c>
      <c r="J5806" t="inlineStr">
        <is>
          <t>High</t>
        </is>
      </c>
      <c r="M5806" t="inlineStr">
        <is>
          <t>LLM</t>
        </is>
      </c>
      <c r="N5806" t="inlineStr">
        <is>
          <t>2026-04-19</t>
        </is>
      </c>
      <c r="O5806" t="inlineStr">
        <is>
          <t>AI</t>
        </is>
      </c>
    </row>
    <row r="5807">
      <c r="A5807" t="inlineStr">
        <is>
          <t>PT Triputra Agro Persada Tbk</t>
        </is>
      </c>
      <c r="B5807" t="inlineStr">
        <is>
          <t>TAPG_2025_AR.pdf</t>
        </is>
      </c>
      <c r="C5807" t="n">
        <v>2025</v>
      </c>
      <c r="D5807" t="inlineStr">
        <is>
          <t>Financial</t>
        </is>
      </c>
      <c r="E5807" t="inlineStr">
        <is>
          <t>Current Portion LT Bank Loans</t>
        </is>
      </c>
      <c r="F5807" t="n">
        <v>53</v>
      </c>
      <c r="G5807" t="inlineStr">
        <is>
          <t>IDR bn</t>
        </is>
      </c>
      <c r="H5807" t="n">
        <v>242</v>
      </c>
      <c r="I5807" t="inlineStr">
        <is>
          <t>Bagian lancar atas utang bank jangka panjang 52.961 22 150.003</t>
        </is>
      </c>
      <c r="J5807" t="inlineStr">
        <is>
          <t>High</t>
        </is>
      </c>
      <c r="M5807" t="inlineStr">
        <is>
          <t>LLM</t>
        </is>
      </c>
      <c r="N5807" t="inlineStr">
        <is>
          <t>2026-04-19</t>
        </is>
      </c>
      <c r="O5807" t="inlineStr">
        <is>
          <t>AI</t>
        </is>
      </c>
    </row>
    <row r="5808">
      <c r="A5808" t="inlineStr">
        <is>
          <t>PT Triputra Agro Persada Tbk</t>
        </is>
      </c>
      <c r="B5808" t="inlineStr">
        <is>
          <t>TAPG_2025_AR.pdf</t>
        </is>
      </c>
      <c r="C5808" t="n">
        <v>2025</v>
      </c>
      <c r="D5808" t="inlineStr">
        <is>
          <t>Financial</t>
        </is>
      </c>
      <c r="E5808" t="inlineStr">
        <is>
          <t>Long-term Bank Loans</t>
        </is>
      </c>
      <c r="F5808" t="n">
        <v>766</v>
      </c>
      <c r="G5808" t="inlineStr">
        <is>
          <t>IDR bn</t>
        </is>
      </c>
      <c r="H5808" t="n">
        <v>242</v>
      </c>
      <c r="I5808" t="inlineStr">
        <is>
          <t>Utang bank jangka panjang 766.449 22 329.996</t>
        </is>
      </c>
      <c r="J5808" t="inlineStr">
        <is>
          <t>High</t>
        </is>
      </c>
      <c r="M5808" t="inlineStr">
        <is>
          <t>LLM</t>
        </is>
      </c>
      <c r="N5808" t="inlineStr">
        <is>
          <t>2026-04-19</t>
        </is>
      </c>
      <c r="O5808" t="inlineStr">
        <is>
          <t>AI</t>
        </is>
      </c>
    </row>
    <row r="5809">
      <c r="A5809" t="inlineStr">
        <is>
          <t>PT Triputra Agro Persada Tbk</t>
        </is>
      </c>
      <c r="B5809" t="inlineStr">
        <is>
          <t>TAPG_2025_AR.pdf</t>
        </is>
      </c>
      <c r="C5809" t="n">
        <v>2025</v>
      </c>
      <c r="D5809" t="inlineStr">
        <is>
          <t>Financial</t>
        </is>
      </c>
      <c r="E5809" t="inlineStr">
        <is>
          <t>Gross Debt (total bank loans)</t>
        </is>
      </c>
      <c r="F5809" t="n">
        <v>1099</v>
      </c>
      <c r="G5809" t="inlineStr">
        <is>
          <t>IDR bn</t>
        </is>
      </c>
      <c r="H5809" t="n">
        <v>242</v>
      </c>
      <c r="I5809" t="inlineStr">
        <is>
          <t>Calculated: 280 (ST) + 53 (current LT) + 766 (LT) = 1,099 bn</t>
        </is>
      </c>
      <c r="J5809" t="inlineStr">
        <is>
          <t>High</t>
        </is>
      </c>
      <c r="M5809" t="inlineStr">
        <is>
          <t>LLM</t>
        </is>
      </c>
      <c r="N5809" t="inlineStr">
        <is>
          <t>2026-04-19</t>
        </is>
      </c>
      <c r="O5809" t="inlineStr">
        <is>
          <t>AI</t>
        </is>
      </c>
    </row>
    <row r="5810">
      <c r="A5810" t="inlineStr">
        <is>
          <t>PT Triputra Agro Persada Tbk</t>
        </is>
      </c>
      <c r="B5810" t="inlineStr">
        <is>
          <t>TAPG_2025_AR.pdf</t>
        </is>
      </c>
      <c r="C5810" t="n">
        <v>2025</v>
      </c>
      <c r="D5810" t="inlineStr">
        <is>
          <t>Financial</t>
        </is>
      </c>
      <c r="E5810" t="inlineStr">
        <is>
          <t>Total Equity</t>
        </is>
      </c>
      <c r="F5810" t="n">
        <v>11687</v>
      </c>
      <c r="G5810" t="inlineStr">
        <is>
          <t>IDR bn</t>
        </is>
      </c>
      <c r="H5810" t="n">
        <v>12</v>
      </c>
      <c r="I5810" t="inlineStr">
        <is>
          <t>Jumlah Ekuitas 11.687.485 11.276.429 11.339.540</t>
        </is>
      </c>
      <c r="J5810" t="inlineStr">
        <is>
          <t>High</t>
        </is>
      </c>
      <c r="M5810" t="inlineStr">
        <is>
          <t>LLM</t>
        </is>
      </c>
      <c r="N5810" t="inlineStr">
        <is>
          <t>2026-04-19</t>
        </is>
      </c>
      <c r="O5810" t="inlineStr">
        <is>
          <t>AI</t>
        </is>
      </c>
    </row>
    <row r="5811">
      <c r="A5811" t="inlineStr">
        <is>
          <t>PT Triputra Agro Persada Tbk</t>
        </is>
      </c>
      <c r="B5811" t="inlineStr">
        <is>
          <t>TAPG_2025_AR.pdf</t>
        </is>
      </c>
      <c r="C5811" t="n">
        <v>2025</v>
      </c>
      <c r="D5811" t="inlineStr">
        <is>
          <t>Financial</t>
        </is>
      </c>
      <c r="E5811" t="inlineStr">
        <is>
          <t>Retained Earnings (Unappropriated)</t>
        </is>
      </c>
      <c r="F5811" t="n">
        <v>5983</v>
      </c>
      <c r="G5811" t="inlineStr">
        <is>
          <t>IDR bn</t>
        </is>
      </c>
      <c r="H5811" t="n">
        <v>243</v>
      </c>
      <c r="I5811" t="inlineStr">
        <is>
          <t>Belum dicadangkan 5.983.473 5.556.876</t>
        </is>
      </c>
      <c r="J5811" t="inlineStr">
        <is>
          <t>High</t>
        </is>
      </c>
      <c r="M5811" t="inlineStr">
        <is>
          <t>LLM</t>
        </is>
      </c>
      <c r="N5811" t="inlineStr">
        <is>
          <t>2026-04-19</t>
        </is>
      </c>
      <c r="O5811" t="inlineStr">
        <is>
          <t>AI</t>
        </is>
      </c>
    </row>
    <row r="5812">
      <c r="A5812" t="inlineStr">
        <is>
          <t>PT Triputra Agro Persada Tbk</t>
        </is>
      </c>
      <c r="B5812" t="inlineStr">
        <is>
          <t>TAPG_2025_AR.pdf</t>
        </is>
      </c>
      <c r="C5812" t="n">
        <v>2025</v>
      </c>
      <c r="D5812" t="inlineStr">
        <is>
          <t>Financial</t>
        </is>
      </c>
      <c r="E5812" t="inlineStr">
        <is>
          <t>Non-Controlling Interest</t>
        </is>
      </c>
      <c r="F5812" t="n">
        <v>478</v>
      </c>
      <c r="G5812" t="inlineStr">
        <is>
          <t>IDR bn</t>
        </is>
      </c>
      <c r="H5812" t="n">
        <v>243</v>
      </c>
      <c r="I5812" t="inlineStr">
        <is>
          <t>KEPENTINGAN NONPENGENDALI 478.406 26 468.524</t>
        </is>
      </c>
      <c r="J5812" t="inlineStr">
        <is>
          <t>High</t>
        </is>
      </c>
      <c r="M5812" t="inlineStr">
        <is>
          <t>LLM</t>
        </is>
      </c>
      <c r="N5812" t="inlineStr">
        <is>
          <t>2026-04-19</t>
        </is>
      </c>
      <c r="O5812" t="inlineStr">
        <is>
          <t>AI</t>
        </is>
      </c>
    </row>
    <row r="5813">
      <c r="A5813" t="inlineStr">
        <is>
          <t>PT Triputra Agro Persada Tbk</t>
        </is>
      </c>
      <c r="B5813" t="inlineStr">
        <is>
          <t>TAPG_2025_AR.pdf</t>
        </is>
      </c>
      <c r="C5813" t="n">
        <v>2025</v>
      </c>
      <c r="D5813" t="inlineStr">
        <is>
          <t>Financial</t>
        </is>
      </c>
      <c r="E5813" t="inlineStr">
        <is>
          <t>CFO (Cash Flow from Operating)</t>
        </is>
      </c>
      <c r="F5813" t="n">
        <v>3431</v>
      </c>
      <c r="G5813" t="inlineStr">
        <is>
          <t>IDR bn</t>
        </is>
      </c>
      <c r="H5813" t="n">
        <v>103</v>
      </c>
      <c r="I5813" t="inlineStr">
        <is>
          <t>Arus Kas dari Aktivitas Operasi 3.431.453 3.239.185 5,9</t>
        </is>
      </c>
      <c r="J5813" t="inlineStr">
        <is>
          <t>High</t>
        </is>
      </c>
      <c r="M5813" t="inlineStr">
        <is>
          <t>LLM</t>
        </is>
      </c>
      <c r="N5813" t="inlineStr">
        <is>
          <t>2026-04-19</t>
        </is>
      </c>
      <c r="O5813" t="inlineStr">
        <is>
          <t>AI</t>
        </is>
      </c>
    </row>
    <row r="5814">
      <c r="A5814" t="inlineStr">
        <is>
          <t>PT Triputra Agro Persada Tbk</t>
        </is>
      </c>
      <c r="B5814" t="inlineStr">
        <is>
          <t>TAPG_2025_AR.pdf</t>
        </is>
      </c>
      <c r="C5814" t="n">
        <v>2025</v>
      </c>
      <c r="D5814" t="inlineStr">
        <is>
          <t>Financial</t>
        </is>
      </c>
      <c r="E5814" t="inlineStr">
        <is>
          <t>CFI (Cash Flow from Investing)</t>
        </is>
      </c>
      <c r="F5814" t="n">
        <v>373</v>
      </c>
      <c r="G5814" t="inlineStr">
        <is>
          <t>IDR bn</t>
        </is>
      </c>
      <c r="H5814" t="n">
        <v>103</v>
      </c>
      <c r="I5814" t="inlineStr">
        <is>
          <t>Arus Kas dari Aktivitas Investasi 373.393 576.160 (35,2)</t>
        </is>
      </c>
      <c r="J5814" t="inlineStr">
        <is>
          <t>High</t>
        </is>
      </c>
      <c r="M5814" t="inlineStr">
        <is>
          <t>LLM</t>
        </is>
      </c>
      <c r="N5814" t="inlineStr">
        <is>
          <t>2026-04-19</t>
        </is>
      </c>
      <c r="O5814" t="inlineStr">
        <is>
          <t>AI</t>
        </is>
      </c>
    </row>
    <row r="5815">
      <c r="A5815" t="inlineStr">
        <is>
          <t>PT Triputra Agro Persada Tbk</t>
        </is>
      </c>
      <c r="B5815" t="inlineStr">
        <is>
          <t>TAPG_2025_AR.pdf</t>
        </is>
      </c>
      <c r="C5815" t="n">
        <v>2025</v>
      </c>
      <c r="D5815" t="inlineStr">
        <is>
          <t>Financial</t>
        </is>
      </c>
      <c r="E5815" t="inlineStr">
        <is>
          <t>CFF (Cash Flow from Financing)</t>
        </is>
      </c>
      <c r="F5815" t="n">
        <v>-3465</v>
      </c>
      <c r="G5815" t="inlineStr">
        <is>
          <t>IDR bn</t>
        </is>
      </c>
      <c r="H5815" t="n">
        <v>103</v>
      </c>
      <c r="I5815" t="inlineStr">
        <is>
          <t>Arus Kas dari Aktivitas Pendanaan (3.465.409) (3.516.260) (1,5)</t>
        </is>
      </c>
      <c r="J5815" t="inlineStr">
        <is>
          <t>High</t>
        </is>
      </c>
      <c r="M5815" t="inlineStr">
        <is>
          <t>LLM</t>
        </is>
      </c>
      <c r="N5815" t="inlineStr">
        <is>
          <t>2026-04-19</t>
        </is>
      </c>
      <c r="O5815" t="inlineStr">
        <is>
          <t>AI</t>
        </is>
      </c>
    </row>
    <row r="5816">
      <c r="A5816" t="inlineStr">
        <is>
          <t>PT Triputra Agro Persada Tbk</t>
        </is>
      </c>
      <c r="B5816" t="inlineStr">
        <is>
          <t>TAPG_2025_AR.pdf</t>
        </is>
      </c>
      <c r="C5816" t="n">
        <v>2025</v>
      </c>
      <c r="D5816" t="inlineStr">
        <is>
          <t>Financial</t>
        </is>
      </c>
      <c r="E5816" t="inlineStr">
        <is>
          <t>Capex Realized 2025</t>
        </is>
      </c>
      <c r="F5816" t="n">
        <v>637</v>
      </c>
      <c r="G5816" t="inlineStr">
        <is>
          <t>IDR bn</t>
        </is>
      </c>
      <c r="H5816" t="n">
        <v>107</v>
      </c>
      <c r="I5816" t="inlineStr">
        <is>
          <t>Pada tahun 2025, Perseroan telah merealisasikan investasi barang modal sebesar Rp637 miliar</t>
        </is>
      </c>
      <c r="J5816" t="inlineStr">
        <is>
          <t>High</t>
        </is>
      </c>
      <c r="M5816" t="inlineStr">
        <is>
          <t>LLM</t>
        </is>
      </c>
      <c r="N5816" t="inlineStr">
        <is>
          <t>2026-04-19</t>
        </is>
      </c>
      <c r="O5816" t="inlineStr">
        <is>
          <t>AI</t>
        </is>
      </c>
    </row>
    <row r="5817">
      <c r="A5817" t="inlineStr">
        <is>
          <t>PT Triputra Agro Persada Tbk</t>
        </is>
      </c>
      <c r="B5817" t="inlineStr">
        <is>
          <t>TAPG_2025_AR.pdf</t>
        </is>
      </c>
      <c r="C5817" t="n">
        <v>2025</v>
      </c>
      <c r="D5817" t="inlineStr">
        <is>
          <t>Financial</t>
        </is>
      </c>
      <c r="E5817" t="inlineStr">
        <is>
          <t>EPS (full Rp)</t>
        </is>
      </c>
      <c r="F5817" t="n">
        <v>186</v>
      </c>
      <c r="G5817" t="inlineStr">
        <is>
          <t>Rp/share</t>
        </is>
      </c>
      <c r="H5817" t="n">
        <v>13</v>
      </c>
      <c r="I5817" t="inlineStr">
        <is>
          <t>Laba (Rugi) per Saham 186 157 81</t>
        </is>
      </c>
      <c r="J5817" t="inlineStr">
        <is>
          <t>High</t>
        </is>
      </c>
      <c r="M5817" t="inlineStr">
        <is>
          <t>LLM</t>
        </is>
      </c>
      <c r="N5817" t="inlineStr">
        <is>
          <t>2026-04-19</t>
        </is>
      </c>
      <c r="O5817" t="inlineStr">
        <is>
          <t>AI</t>
        </is>
      </c>
    </row>
    <row r="5818">
      <c r="A5818" t="inlineStr">
        <is>
          <t>PT Triputra Agro Persada Tbk</t>
        </is>
      </c>
      <c r="B5818" t="inlineStr">
        <is>
          <t>TAPG_2025_AR.pdf</t>
        </is>
      </c>
      <c r="C5818" t="n">
        <v>2025</v>
      </c>
      <c r="D5818" t="inlineStr">
        <is>
          <t>Financial</t>
        </is>
      </c>
      <c r="E5818" t="inlineStr">
        <is>
          <t>Shares Outstanding</t>
        </is>
      </c>
      <c r="F5818" t="n">
        <v>19853</v>
      </c>
      <c r="G5818" t="inlineStr">
        <is>
          <t>mn</t>
        </is>
      </c>
      <c r="H5818" t="n">
        <v>13</v>
      </c>
      <c r="I5818" t="inlineStr">
        <is>
          <t>Jumlah Saham Beredar 19.852.540.000</t>
        </is>
      </c>
      <c r="J5818" t="inlineStr">
        <is>
          <t>High</t>
        </is>
      </c>
      <c r="M5818" t="inlineStr">
        <is>
          <t>LLM</t>
        </is>
      </c>
      <c r="N5818" t="inlineStr">
        <is>
          <t>2026-04-19</t>
        </is>
      </c>
      <c r="O5818" t="inlineStr">
        <is>
          <t>AI</t>
        </is>
      </c>
    </row>
    <row r="5819">
      <c r="A5819" t="inlineStr">
        <is>
          <t>PT Triputra Agro Persada Tbk</t>
        </is>
      </c>
      <c r="B5819" t="inlineStr">
        <is>
          <t>TAPG_2025_AR.pdf</t>
        </is>
      </c>
      <c r="C5819" t="n">
        <v>2025</v>
      </c>
      <c r="D5819" t="inlineStr">
        <is>
          <t>Financial</t>
        </is>
      </c>
      <c r="E5819" t="inlineStr">
        <is>
          <t>Share Price 31-Dec-2025 (Q4 close)</t>
        </is>
      </c>
      <c r="F5819" t="n">
        <v>1500</v>
      </c>
      <c r="G5819" t="inlineStr">
        <is>
          <t>Rp/share</t>
        </is>
      </c>
      <c r="H5819" t="n">
        <v>13</v>
      </c>
      <c r="I5819" t="inlineStr">
        <is>
          <t>IV 1.990 1.375 1.500 995.970.800 19.852.540.000 29.778.810.000.000</t>
        </is>
      </c>
      <c r="J5819" t="inlineStr">
        <is>
          <t>High</t>
        </is>
      </c>
      <c r="M5819" t="inlineStr">
        <is>
          <t>LLM</t>
        </is>
      </c>
      <c r="N5819" t="inlineStr">
        <is>
          <t>2026-04-19</t>
        </is>
      </c>
      <c r="O5819" t="inlineStr">
        <is>
          <t>AI</t>
        </is>
      </c>
    </row>
    <row r="5820">
      <c r="A5820" t="inlineStr">
        <is>
          <t>PT Triputra Agro Persada Tbk</t>
        </is>
      </c>
      <c r="B5820" t="inlineStr">
        <is>
          <t>TAPG_2025_AR.pdf</t>
        </is>
      </c>
      <c r="C5820" t="n">
        <v>2025</v>
      </c>
      <c r="D5820" t="inlineStr">
        <is>
          <t>Financial</t>
        </is>
      </c>
      <c r="E5820" t="inlineStr">
        <is>
          <t>Market Cap Q4 2025</t>
        </is>
      </c>
      <c r="F5820" t="n">
        <v>29779</v>
      </c>
      <c r="G5820" t="inlineStr">
        <is>
          <t>IDR bn</t>
        </is>
      </c>
      <c r="H5820" t="n">
        <v>13</v>
      </c>
      <c r="I5820" t="inlineStr">
        <is>
          <t>Kapitalisasi Pasar 29.778.810.000.000</t>
        </is>
      </c>
      <c r="J5820" t="inlineStr">
        <is>
          <t>High</t>
        </is>
      </c>
      <c r="M5820" t="inlineStr">
        <is>
          <t>LLM</t>
        </is>
      </c>
      <c r="N5820" t="inlineStr">
        <is>
          <t>2026-04-19</t>
        </is>
      </c>
      <c r="O5820" t="inlineStr">
        <is>
          <t>AI</t>
        </is>
      </c>
    </row>
    <row r="5821">
      <c r="A5821" t="inlineStr">
        <is>
          <t>PT Triputra Agro Persada Tbk</t>
        </is>
      </c>
      <c r="B5821" t="inlineStr">
        <is>
          <t>TAPG_2025_AR.pdf</t>
        </is>
      </c>
      <c r="C5821" t="n">
        <v>2025</v>
      </c>
      <c r="D5821" t="inlineStr">
        <is>
          <t>Financial</t>
        </is>
      </c>
      <c r="E5821" t="inlineStr">
        <is>
          <t>Interim Dividend Aug 2025</t>
        </is>
      </c>
      <c r="F5821" t="n">
        <v>39</v>
      </c>
      <c r="G5821" t="inlineStr">
        <is>
          <t>Rp/share</t>
        </is>
      </c>
      <c r="H5821" t="n">
        <v>114</v>
      </c>
      <c r="I5821" t="inlineStr">
        <is>
          <t>8 Agustus 2025 2025 Rp39 (interim) 774.249 20,1%</t>
        </is>
      </c>
      <c r="J5821" t="inlineStr">
        <is>
          <t>High</t>
        </is>
      </c>
      <c r="M5821" t="inlineStr">
        <is>
          <t>LLM</t>
        </is>
      </c>
      <c r="N5821" t="inlineStr">
        <is>
          <t>2026-04-19</t>
        </is>
      </c>
      <c r="O5821" t="inlineStr">
        <is>
          <t>AI</t>
        </is>
      </c>
    </row>
    <row r="5822">
      <c r="A5822" t="inlineStr">
        <is>
          <t>PT Triputra Agro Persada Tbk</t>
        </is>
      </c>
      <c r="B5822" t="inlineStr">
        <is>
          <t>TAPG_2025_AR.pdf</t>
        </is>
      </c>
      <c r="C5822" t="n">
        <v>2025</v>
      </c>
      <c r="D5822" t="inlineStr">
        <is>
          <t>Financial</t>
        </is>
      </c>
      <c r="E5822" t="inlineStr">
        <is>
          <t>Interim Dividend Nov 2025</t>
        </is>
      </c>
      <c r="F5822" t="n">
        <v>50</v>
      </c>
      <c r="G5822" t="inlineStr">
        <is>
          <t>Rp/share</t>
        </is>
      </c>
      <c r="H5822" t="n">
        <v>114</v>
      </c>
      <c r="I5822" t="inlineStr">
        <is>
          <t>11 November 2025 2025 Rp50 (interim) 992.627 25,8%</t>
        </is>
      </c>
      <c r="J5822" t="inlineStr">
        <is>
          <t>High</t>
        </is>
      </c>
      <c r="M5822" t="inlineStr">
        <is>
          <t>LLM</t>
        </is>
      </c>
      <c r="N5822" t="inlineStr">
        <is>
          <t>2026-04-19</t>
        </is>
      </c>
      <c r="O5822" t="inlineStr">
        <is>
          <t>AI</t>
        </is>
      </c>
    </row>
    <row r="5823">
      <c r="A5823" t="inlineStr">
        <is>
          <t>PT Triputra Agro Persada Tbk</t>
        </is>
      </c>
      <c r="B5823" t="inlineStr">
        <is>
          <t>TAPG_2025_AR.pdf</t>
        </is>
      </c>
      <c r="C5823" t="n">
        <v>2025</v>
      </c>
      <c r="D5823" t="inlineStr">
        <is>
          <t>Financial</t>
        </is>
      </c>
      <c r="E5823" t="inlineStr">
        <is>
          <t>Final Dividend FY2024 (paid 2025)</t>
        </is>
      </c>
      <c r="F5823" t="n">
        <v>76</v>
      </c>
      <c r="G5823" t="inlineStr">
        <is>
          <t>Rp/share</t>
        </is>
      </c>
      <c r="H5823" t="n">
        <v>114</v>
      </c>
      <c r="I5823" t="inlineStr">
        <is>
          <t>8 Mei 2025 2024 Rp76 1.508.793 46,6%</t>
        </is>
      </c>
      <c r="J5823" t="inlineStr">
        <is>
          <t>High</t>
        </is>
      </c>
      <c r="M5823" t="inlineStr">
        <is>
          <t>LLM</t>
        </is>
      </c>
      <c r="N5823" t="inlineStr">
        <is>
          <t>2026-04-19</t>
        </is>
      </c>
      <c r="O5823" t="inlineStr">
        <is>
          <t>AI</t>
        </is>
      </c>
    </row>
    <row r="5824">
      <c r="A5824" t="inlineStr">
        <is>
          <t>PT Triputra Agro Persada Tbk</t>
        </is>
      </c>
      <c r="B5824" t="inlineStr">
        <is>
          <t>TAPG_2025_AR.pdf</t>
        </is>
      </c>
      <c r="C5824" t="n">
        <v>2025</v>
      </c>
      <c r="D5824" t="inlineStr">
        <is>
          <t>Financial</t>
        </is>
      </c>
      <c r="E5824" t="inlineStr">
        <is>
          <t>Debt-to-Equity</t>
        </is>
      </c>
      <c r="F5824" t="n">
        <v>25.7</v>
      </c>
      <c r="G5824" t="inlineStr">
        <is>
          <t>%</t>
        </is>
      </c>
      <c r="H5824" t="n">
        <v>13</v>
      </c>
      <c r="I5824" t="inlineStr">
        <is>
          <t>Total Liabilitas/Total Ekuitas 25,7 26,9 22,3</t>
        </is>
      </c>
      <c r="J5824" t="inlineStr">
        <is>
          <t>High</t>
        </is>
      </c>
      <c r="M5824" t="inlineStr">
        <is>
          <t>LLM</t>
        </is>
      </c>
      <c r="N5824" t="inlineStr">
        <is>
          <t>2026-04-19</t>
        </is>
      </c>
      <c r="O5824" t="inlineStr">
        <is>
          <t>AI</t>
        </is>
      </c>
    </row>
    <row r="5825">
      <c r="A5825" t="inlineStr">
        <is>
          <t>PT Triputra Agro Persada Tbk</t>
        </is>
      </c>
      <c r="B5825" t="inlineStr">
        <is>
          <t>TAPG_2025_AR.pdf</t>
        </is>
      </c>
      <c r="C5825" t="n">
        <v>2025</v>
      </c>
      <c r="D5825" t="inlineStr">
        <is>
          <t>Financial</t>
        </is>
      </c>
      <c r="E5825" t="inlineStr">
        <is>
          <t>Net Debt/Equity</t>
        </is>
      </c>
      <c r="F5825" t="n">
        <v>-0.047</v>
      </c>
      <c r="G5825" t="inlineStr">
        <is>
          <t>x</t>
        </is>
      </c>
      <c r="H5825" t="n">
        <v>106</v>
      </c>
      <c r="I5825" t="inlineStr">
        <is>
          <t>Liabilitas Berbunga Bersih Terhadap Ekuitas (0,047) (0,019)</t>
        </is>
      </c>
      <c r="J5825" t="inlineStr">
        <is>
          <t>High</t>
        </is>
      </c>
      <c r="M5825" t="inlineStr">
        <is>
          <t>LLM</t>
        </is>
      </c>
      <c r="N5825" t="inlineStr">
        <is>
          <t>2026-04-19</t>
        </is>
      </c>
      <c r="O5825" t="inlineStr">
        <is>
          <t>AI</t>
        </is>
      </c>
    </row>
    <row r="5826">
      <c r="A5826" t="inlineStr">
        <is>
          <t>PT Triputra Agro Persada Tbk</t>
        </is>
      </c>
      <c r="B5826" t="inlineStr">
        <is>
          <t>TAPG_2025_AR.pdf</t>
        </is>
      </c>
      <c r="C5826" t="n">
        <v>2025</v>
      </c>
      <c r="D5826" t="inlineStr">
        <is>
          <t>Financial</t>
        </is>
      </c>
      <c r="E5826" t="inlineStr">
        <is>
          <t>Net Debt/EBITDA</t>
        </is>
      </c>
      <c r="F5826" t="n">
        <v>-0.104</v>
      </c>
      <c r="G5826" t="inlineStr">
        <is>
          <t>x</t>
        </is>
      </c>
      <c r="H5826" t="n">
        <v>106</v>
      </c>
      <c r="I5826" t="inlineStr">
        <is>
          <t>Liabilitas Berbunga Bersih terhadap EBITDA (0,104) (0,045)</t>
        </is>
      </c>
      <c r="J5826" t="inlineStr">
        <is>
          <t>High</t>
        </is>
      </c>
      <c r="M5826" t="inlineStr">
        <is>
          <t>LLM</t>
        </is>
      </c>
      <c r="N5826" t="inlineStr">
        <is>
          <t>2026-04-19</t>
        </is>
      </c>
      <c r="O5826" t="inlineStr">
        <is>
          <t>AI</t>
        </is>
      </c>
    </row>
    <row r="5827">
      <c r="A5827" t="inlineStr">
        <is>
          <t>PT Triputra Agro Persada Tbk</t>
        </is>
      </c>
      <c r="B5827" t="inlineStr">
        <is>
          <t>TAPG_2025_AR.pdf</t>
        </is>
      </c>
      <c r="C5827" t="n">
        <v>2025</v>
      </c>
      <c r="D5827" t="inlineStr">
        <is>
          <t>Financial</t>
        </is>
      </c>
      <c r="E5827" t="inlineStr">
        <is>
          <t>Current Ratio</t>
        </is>
      </c>
      <c r="F5827" t="n">
        <v>212.9</v>
      </c>
      <c r="G5827" t="inlineStr">
        <is>
          <t>%</t>
        </is>
      </c>
      <c r="H5827" t="n">
        <v>13</v>
      </c>
      <c r="I5827" t="inlineStr">
        <is>
          <t>Aset Lancar/Liabilitas Jangka Pendek 212,9 137,4 124,9</t>
        </is>
      </c>
      <c r="J5827" t="inlineStr">
        <is>
          <t>High</t>
        </is>
      </c>
      <c r="M5827" t="inlineStr">
        <is>
          <t>LLM</t>
        </is>
      </c>
      <c r="N5827" t="inlineStr">
        <is>
          <t>2026-04-19</t>
        </is>
      </c>
      <c r="O5827" t="inlineStr">
        <is>
          <t>AI</t>
        </is>
      </c>
    </row>
    <row r="5828">
      <c r="A5828" t="inlineStr">
        <is>
          <t>PT Triputra Agro Persada Tbk</t>
        </is>
      </c>
      <c r="B5828" t="inlineStr">
        <is>
          <t>TAPG_2025_AR.pdf</t>
        </is>
      </c>
      <c r="C5828" t="n">
        <v>2025</v>
      </c>
      <c r="D5828" t="inlineStr">
        <is>
          <t>Financial</t>
        </is>
      </c>
      <c r="E5828" t="inlineStr">
        <is>
          <t>Cash Ratio</t>
        </is>
      </c>
      <c r="F5828" t="n">
        <v>88.3</v>
      </c>
      <c r="G5828" t="inlineStr">
        <is>
          <t>%</t>
        </is>
      </c>
      <c r="H5828" t="n">
        <v>106</v>
      </c>
      <c r="I5828" t="inlineStr">
        <is>
          <t>Rasio Kas 88,3% 55,4%</t>
        </is>
      </c>
      <c r="J5828" t="inlineStr">
        <is>
          <t>High</t>
        </is>
      </c>
      <c r="M5828" t="inlineStr">
        <is>
          <t>LLM</t>
        </is>
      </c>
      <c r="N5828" t="inlineStr">
        <is>
          <t>2026-04-19</t>
        </is>
      </c>
      <c r="O5828" t="inlineStr">
        <is>
          <t>AI</t>
        </is>
      </c>
    </row>
    <row r="5829">
      <c r="A5829" t="inlineStr">
        <is>
          <t>PT Triputra Agro Persada Tbk</t>
        </is>
      </c>
      <c r="B5829" t="inlineStr">
        <is>
          <t>TAPG_2025_AR.pdf</t>
        </is>
      </c>
      <c r="C5829" t="n">
        <v>2025</v>
      </c>
      <c r="D5829" t="inlineStr">
        <is>
          <t>Financial</t>
        </is>
      </c>
      <c r="E5829" t="inlineStr">
        <is>
          <t>Gross Profit Margin</t>
        </is>
      </c>
      <c r="F5829" t="n">
        <v>39.4</v>
      </c>
      <c r="G5829" t="inlineStr">
        <is>
          <t>%</t>
        </is>
      </c>
      <c r="H5829" t="n">
        <v>13</v>
      </c>
      <c r="I5829" t="inlineStr">
        <is>
          <t>Laba Bruto/Penjualan 39,4 38,5 26,6</t>
        </is>
      </c>
      <c r="J5829" t="inlineStr">
        <is>
          <t>High</t>
        </is>
      </c>
      <c r="M5829" t="inlineStr">
        <is>
          <t>LLM</t>
        </is>
      </c>
      <c r="N5829" t="inlineStr">
        <is>
          <t>2026-04-19</t>
        </is>
      </c>
      <c r="O5829" t="inlineStr">
        <is>
          <t>AI</t>
        </is>
      </c>
    </row>
    <row r="5830">
      <c r="A5830" t="inlineStr">
        <is>
          <t>PT Triputra Agro Persada Tbk</t>
        </is>
      </c>
      <c r="B5830" t="inlineStr">
        <is>
          <t>TAPG_2025_AR.pdf</t>
        </is>
      </c>
      <c r="C5830" t="n">
        <v>2025</v>
      </c>
      <c r="D5830" t="inlineStr">
        <is>
          <t>Financial</t>
        </is>
      </c>
      <c r="E5830" t="inlineStr">
        <is>
          <t>ROA</t>
        </is>
      </c>
      <c r="F5830" t="n">
        <v>26.2</v>
      </c>
      <c r="G5830" t="inlineStr">
        <is>
          <t>%</t>
        </is>
      </c>
      <c r="H5830" t="n">
        <v>13</v>
      </c>
      <c r="I5830" t="inlineStr">
        <is>
          <t>Laba (Rugi) Periode Berjalan/Total Aset 26,2 22,7 12,0</t>
        </is>
      </c>
      <c r="J5830" t="inlineStr">
        <is>
          <t>High</t>
        </is>
      </c>
      <c r="M5830" t="inlineStr">
        <is>
          <t>LLM</t>
        </is>
      </c>
      <c r="N5830" t="inlineStr">
        <is>
          <t>2026-04-19</t>
        </is>
      </c>
      <c r="O5830" t="inlineStr">
        <is>
          <t>AI</t>
        </is>
      </c>
    </row>
    <row r="5831">
      <c r="A5831" t="inlineStr">
        <is>
          <t>PT Triputra Agro Persada Tbk</t>
        </is>
      </c>
      <c r="B5831" t="inlineStr">
        <is>
          <t>TAPG_2025_AR.pdf</t>
        </is>
      </c>
      <c r="C5831" t="n">
        <v>2025</v>
      </c>
      <c r="D5831" t="inlineStr">
        <is>
          <t>Financial</t>
        </is>
      </c>
      <c r="E5831" t="inlineStr">
        <is>
          <t>ROE</t>
        </is>
      </c>
      <c r="F5831" t="n">
        <v>32.9</v>
      </c>
      <c r="G5831" t="inlineStr">
        <is>
          <t>%</t>
        </is>
      </c>
      <c r="H5831" t="n">
        <v>13</v>
      </c>
      <c r="I5831" t="inlineStr">
        <is>
          <t>Laba (Rugi) Periode Berjalan/Total Ekuitas 32,9 28,7 14,7</t>
        </is>
      </c>
      <c r="J5831" t="inlineStr">
        <is>
          <t>High</t>
        </is>
      </c>
      <c r="M5831" t="inlineStr">
        <is>
          <t>LLM</t>
        </is>
      </c>
      <c r="N5831" t="inlineStr">
        <is>
          <t>2026-04-19</t>
        </is>
      </c>
      <c r="O5831" t="inlineStr">
        <is>
          <t>AI</t>
        </is>
      </c>
    </row>
    <row r="5832">
      <c r="A5832" t="inlineStr">
        <is>
          <t>PT Triputra Agro Persada Tbk</t>
        </is>
      </c>
      <c r="B5832" t="inlineStr">
        <is>
          <t>TAPG_2025_AR.pdf</t>
        </is>
      </c>
      <c r="C5832" t="n">
        <v>2025</v>
      </c>
      <c r="D5832" t="inlineStr">
        <is>
          <t>Asset</t>
        </is>
      </c>
      <c r="E5832" t="inlineStr">
        <is>
          <t>Total Planted Area</t>
        </is>
      </c>
      <c r="F5832" t="n">
        <v>159700</v>
      </c>
      <c r="G5832" t="inlineStr">
        <is>
          <t>ha</t>
        </is>
      </c>
      <c r="H5832" t="n">
        <v>14</v>
      </c>
      <c r="I5832" t="inlineStr">
        <is>
          <t>Total Lahan Tertanam Perkebunan Kelapa Sawit 159,7 ribu hektar</t>
        </is>
      </c>
      <c r="J5832" t="inlineStr">
        <is>
          <t>High</t>
        </is>
      </c>
      <c r="M5832" t="inlineStr">
        <is>
          <t>LLM</t>
        </is>
      </c>
      <c r="N5832" t="inlineStr">
        <is>
          <t>2026-04-19</t>
        </is>
      </c>
      <c r="O5832" t="inlineStr">
        <is>
          <t>AI</t>
        </is>
      </c>
    </row>
    <row r="5833">
      <c r="A5833" t="inlineStr">
        <is>
          <t>PT Triputra Agro Persada Tbk</t>
        </is>
      </c>
      <c r="B5833" t="inlineStr">
        <is>
          <t>TAPG_2025_AR.pdf</t>
        </is>
      </c>
      <c r="C5833" t="n">
        <v>2025</v>
      </c>
      <c r="D5833" t="inlineStr">
        <is>
          <t>Asset</t>
        </is>
      </c>
      <c r="E5833" t="inlineStr">
        <is>
          <t>Nucleus Planted Area</t>
        </is>
      </c>
      <c r="F5833" t="n">
        <v>132800</v>
      </c>
      <c r="G5833" t="inlineStr">
        <is>
          <t>ha</t>
        </is>
      </c>
      <c r="H5833" t="n">
        <v>14</v>
      </c>
      <c r="I5833" t="inlineStr">
        <is>
          <t>Total Lahan Tertanam Perkebunan Kelapa Sawit Inti 132,8 ribu hektar</t>
        </is>
      </c>
      <c r="J5833" t="inlineStr">
        <is>
          <t>High</t>
        </is>
      </c>
      <c r="M5833" t="inlineStr">
        <is>
          <t>LLM</t>
        </is>
      </c>
      <c r="N5833" t="inlineStr">
        <is>
          <t>2026-04-19</t>
        </is>
      </c>
      <c r="O5833" t="inlineStr">
        <is>
          <t>AI</t>
        </is>
      </c>
    </row>
    <row r="5834">
      <c r="A5834" t="inlineStr">
        <is>
          <t>PT Triputra Agro Persada Tbk</t>
        </is>
      </c>
      <c r="B5834" t="inlineStr">
        <is>
          <t>TAPG_2025_AR.pdf</t>
        </is>
      </c>
      <c r="C5834" t="n">
        <v>2025</v>
      </c>
      <c r="D5834" t="inlineStr">
        <is>
          <t>Asset</t>
        </is>
      </c>
      <c r="E5834" t="inlineStr">
        <is>
          <t>Plasma Planted Area</t>
        </is>
      </c>
      <c r="F5834" t="n">
        <v>26900</v>
      </c>
      <c r="G5834" t="inlineStr">
        <is>
          <t>ha</t>
        </is>
      </c>
      <c r="H5834" t="n">
        <v>14</v>
      </c>
      <c r="I5834" t="inlineStr">
        <is>
          <t>Total Lahan Tertanam Perkebunan Kelapa Sawit Plasma 26,9 ribu hektar</t>
        </is>
      </c>
      <c r="J5834" t="inlineStr">
        <is>
          <t>High</t>
        </is>
      </c>
      <c r="M5834" t="inlineStr">
        <is>
          <t>LLM</t>
        </is>
      </c>
      <c r="N5834" t="inlineStr">
        <is>
          <t>2026-04-19</t>
        </is>
      </c>
      <c r="O5834" t="inlineStr">
        <is>
          <t>AI</t>
        </is>
      </c>
    </row>
    <row r="5835">
      <c r="A5835" t="inlineStr">
        <is>
          <t>PT Triputra Agro Persada Tbk</t>
        </is>
      </c>
      <c r="B5835" t="inlineStr">
        <is>
          <t>TAPG_2025_AR.pdf</t>
        </is>
      </c>
      <c r="C5835" t="n">
        <v>2025</v>
      </c>
      <c r="D5835" t="inlineStr">
        <is>
          <t>Asset</t>
        </is>
      </c>
      <c r="E5835" t="inlineStr">
        <is>
          <t>Rubber Planted Area</t>
        </is>
      </c>
      <c r="F5835" t="n">
        <v>1300</v>
      </c>
      <c r="G5835" t="inlineStr">
        <is>
          <t>ha</t>
        </is>
      </c>
      <c r="H5835" t="n">
        <v>14</v>
      </c>
      <c r="I5835" t="inlineStr">
        <is>
          <t>Total Lahan Tertanam Perkebunan Karet 1,3 ribu hektar</t>
        </is>
      </c>
      <c r="J5835" t="inlineStr">
        <is>
          <t>High</t>
        </is>
      </c>
      <c r="M5835" t="inlineStr">
        <is>
          <t>LLM</t>
        </is>
      </c>
      <c r="N5835" t="inlineStr">
        <is>
          <t>2026-04-19</t>
        </is>
      </c>
      <c r="O5835" t="inlineStr">
        <is>
          <t>AI</t>
        </is>
      </c>
    </row>
    <row r="5836">
      <c r="A5836" t="inlineStr">
        <is>
          <t>PT Triputra Agro Persada Tbk</t>
        </is>
      </c>
      <c r="B5836" t="inlineStr">
        <is>
          <t>TAPG_2025_AR.pdf</t>
        </is>
      </c>
      <c r="C5836" t="n">
        <v>2025</v>
      </c>
      <c r="D5836" t="inlineStr">
        <is>
          <t>Asset</t>
        </is>
      </c>
      <c r="E5836" t="inlineStr">
        <is>
          <t>Age 0-3 years (Nucleus)</t>
        </is>
      </c>
      <c r="F5836" t="n">
        <v>7613</v>
      </c>
      <c r="G5836" t="inlineStr">
        <is>
          <t>ha</t>
        </is>
      </c>
      <c r="H5836" t="n">
        <v>100</v>
      </c>
      <c r="I5836" t="inlineStr">
        <is>
          <t>0-3 tahun years 7.613 11.059</t>
        </is>
      </c>
      <c r="J5836" t="inlineStr">
        <is>
          <t>High</t>
        </is>
      </c>
      <c r="M5836" t="inlineStr">
        <is>
          <t>LLM</t>
        </is>
      </c>
      <c r="N5836" t="inlineStr">
        <is>
          <t>2026-04-19</t>
        </is>
      </c>
      <c r="O5836" t="inlineStr">
        <is>
          <t>AI</t>
        </is>
      </c>
    </row>
    <row r="5837">
      <c r="A5837" t="inlineStr">
        <is>
          <t>PT Triputra Agro Persada Tbk</t>
        </is>
      </c>
      <c r="B5837" t="inlineStr">
        <is>
          <t>TAPG_2025_AR.pdf</t>
        </is>
      </c>
      <c r="C5837" t="n">
        <v>2025</v>
      </c>
      <c r="D5837" t="inlineStr">
        <is>
          <t>Asset</t>
        </is>
      </c>
      <c r="E5837" t="inlineStr">
        <is>
          <t>Age 4-6 years (Nucleus)</t>
        </is>
      </c>
      <c r="F5837" t="n">
        <v>4853</v>
      </c>
      <c r="G5837" t="inlineStr">
        <is>
          <t>ha</t>
        </is>
      </c>
      <c r="H5837" t="n">
        <v>100</v>
      </c>
      <c r="I5837" t="inlineStr">
        <is>
          <t>4-6 tahun years 4.853 7.059</t>
        </is>
      </c>
      <c r="J5837" t="inlineStr">
        <is>
          <t>High</t>
        </is>
      </c>
      <c r="M5837" t="inlineStr">
        <is>
          <t>LLM</t>
        </is>
      </c>
      <c r="N5837" t="inlineStr">
        <is>
          <t>2026-04-19</t>
        </is>
      </c>
      <c r="O5837" t="inlineStr">
        <is>
          <t>AI</t>
        </is>
      </c>
    </row>
    <row r="5838">
      <c r="A5838" t="inlineStr">
        <is>
          <t>PT Triputra Agro Persada Tbk</t>
        </is>
      </c>
      <c r="B5838" t="inlineStr">
        <is>
          <t>TAPG_2025_AR.pdf</t>
        </is>
      </c>
      <c r="C5838" t="n">
        <v>2025</v>
      </c>
      <c r="D5838" t="inlineStr">
        <is>
          <t>Asset</t>
        </is>
      </c>
      <c r="E5838" t="inlineStr">
        <is>
          <t>Age 7-20 years (Nucleus)</t>
        </is>
      </c>
      <c r="F5838" t="n">
        <v>115804</v>
      </c>
      <c r="G5838" t="inlineStr">
        <is>
          <t>ha</t>
        </is>
      </c>
      <c r="H5838" t="n">
        <v>100</v>
      </c>
      <c r="I5838" t="inlineStr">
        <is>
          <t>7-20 tahun years 115.804 132.054</t>
        </is>
      </c>
      <c r="J5838" t="inlineStr">
        <is>
          <t>High</t>
        </is>
      </c>
      <c r="M5838" t="inlineStr">
        <is>
          <t>LLM</t>
        </is>
      </c>
      <c r="N5838" t="inlineStr">
        <is>
          <t>2026-04-19</t>
        </is>
      </c>
      <c r="O5838" t="inlineStr">
        <is>
          <t>AI</t>
        </is>
      </c>
    </row>
    <row r="5839">
      <c r="A5839" t="inlineStr">
        <is>
          <t>PT Triputra Agro Persada Tbk</t>
        </is>
      </c>
      <c r="B5839" t="inlineStr">
        <is>
          <t>TAPG_2025_AR.pdf</t>
        </is>
      </c>
      <c r="C5839" t="n">
        <v>2025</v>
      </c>
      <c r="D5839" t="inlineStr">
        <is>
          <t>Asset</t>
        </is>
      </c>
      <c r="E5839" t="inlineStr">
        <is>
          <t>Age &gt;20 years (Nucleus)</t>
        </is>
      </c>
      <c r="F5839" t="n">
        <v>4544</v>
      </c>
      <c r="G5839" t="inlineStr">
        <is>
          <t>ha</t>
        </is>
      </c>
      <c r="H5839" t="n">
        <v>100</v>
      </c>
      <c r="I5839" t="inlineStr">
        <is>
          <t>&gt;20 tahun years 4.544 9.535</t>
        </is>
      </c>
      <c r="J5839" t="inlineStr">
        <is>
          <t>High</t>
        </is>
      </c>
      <c r="M5839" t="inlineStr">
        <is>
          <t>LLM</t>
        </is>
      </c>
      <c r="N5839" t="inlineStr">
        <is>
          <t>2026-04-19</t>
        </is>
      </c>
      <c r="O5839" t="inlineStr">
        <is>
          <t>AI</t>
        </is>
      </c>
    </row>
    <row r="5840">
      <c r="A5840" t="inlineStr">
        <is>
          <t>PT Triputra Agro Persada Tbk</t>
        </is>
      </c>
      <c r="B5840" t="inlineStr">
        <is>
          <t>TAPG_2025_AR.pdf</t>
        </is>
      </c>
      <c r="C5840" t="n">
        <v>2025</v>
      </c>
      <c r="D5840" t="inlineStr">
        <is>
          <t>Asset</t>
        </is>
      </c>
      <c r="E5840" t="inlineStr">
        <is>
          <t>Mature Area (Nucleus)</t>
        </is>
      </c>
      <c r="F5840" t="n">
        <v>125201</v>
      </c>
      <c r="G5840" t="inlineStr">
        <is>
          <t>ha</t>
        </is>
      </c>
      <c r="H5840" t="n">
        <v>100</v>
      </c>
      <c r="I5840" t="inlineStr">
        <is>
          <t>Sudah Menghasilkan Total 125.201 100</t>
        </is>
      </c>
      <c r="J5840" t="inlineStr">
        <is>
          <t>High</t>
        </is>
      </c>
      <c r="M5840" t="inlineStr">
        <is>
          <t>LLM</t>
        </is>
      </c>
      <c r="N5840" t="inlineStr">
        <is>
          <t>2026-04-19</t>
        </is>
      </c>
      <c r="O5840" t="inlineStr">
        <is>
          <t>AI</t>
        </is>
      </c>
    </row>
    <row r="5841">
      <c r="A5841" t="inlineStr">
        <is>
          <t>PT Triputra Agro Persada Tbk</t>
        </is>
      </c>
      <c r="B5841" t="inlineStr">
        <is>
          <t>TAPG_2025_AR.pdf</t>
        </is>
      </c>
      <c r="C5841" t="n">
        <v>2025</v>
      </c>
      <c r="D5841" t="inlineStr">
        <is>
          <t>Asset</t>
        </is>
      </c>
      <c r="E5841" t="inlineStr">
        <is>
          <t>Immature Area (Nucleus)</t>
        </is>
      </c>
      <c r="F5841" t="n">
        <v>7613</v>
      </c>
      <c r="G5841" t="inlineStr">
        <is>
          <t>ha</t>
        </is>
      </c>
      <c r="H5841" t="n">
        <v>100</v>
      </c>
      <c r="I5841" t="inlineStr">
        <is>
          <t>Belum Menghasilkan Total 7.613 100</t>
        </is>
      </c>
      <c r="J5841" t="inlineStr">
        <is>
          <t>High</t>
        </is>
      </c>
      <c r="M5841" t="inlineStr">
        <is>
          <t>LLM</t>
        </is>
      </c>
      <c r="N5841" t="inlineStr">
        <is>
          <t>2026-04-19</t>
        </is>
      </c>
      <c r="O5841" t="inlineStr">
        <is>
          <t>AI</t>
        </is>
      </c>
    </row>
    <row r="5842">
      <c r="A5842" t="inlineStr">
        <is>
          <t>PT Triputra Agro Persada Tbk</t>
        </is>
      </c>
      <c r="B5842" t="inlineStr">
        <is>
          <t>TAPG_2025_AR.pdf</t>
        </is>
      </c>
      <c r="C5842" t="n">
        <v>2025</v>
      </c>
      <c r="D5842" t="inlineStr">
        <is>
          <t>Asset</t>
        </is>
      </c>
      <c r="E5842" t="inlineStr">
        <is>
          <t>Sumatra Mature Area</t>
        </is>
      </c>
      <c r="F5842" t="n">
        <v>3204</v>
      </c>
      <c r="G5842" t="inlineStr">
        <is>
          <t>ha</t>
        </is>
      </c>
      <c r="H5842" t="n">
        <v>100</v>
      </c>
      <c r="I5842" t="inlineStr">
        <is>
          <t>Sumatra 3.204 3 2.172 29</t>
        </is>
      </c>
      <c r="J5842" t="inlineStr">
        <is>
          <t>High</t>
        </is>
      </c>
      <c r="M5842" t="inlineStr">
        <is>
          <t>LLM</t>
        </is>
      </c>
      <c r="N5842" t="inlineStr">
        <is>
          <t>2026-04-19</t>
        </is>
      </c>
      <c r="O5842" t="inlineStr">
        <is>
          <t>AI</t>
        </is>
      </c>
    </row>
    <row r="5843">
      <c r="A5843" t="inlineStr">
        <is>
          <t>PT Triputra Agro Persada Tbk</t>
        </is>
      </c>
      <c r="B5843" t="inlineStr">
        <is>
          <t>TAPG_2025_AR.pdf</t>
        </is>
      </c>
      <c r="C5843" t="n">
        <v>2025</v>
      </c>
      <c r="D5843" t="inlineStr">
        <is>
          <t>Asset</t>
        </is>
      </c>
      <c r="E5843" t="inlineStr">
        <is>
          <t>Central Kalimantan Mature Area</t>
        </is>
      </c>
      <c r="F5843" t="n">
        <v>73927</v>
      </c>
      <c r="G5843" t="inlineStr">
        <is>
          <t>ha</t>
        </is>
      </c>
      <c r="H5843" t="n">
        <v>100</v>
      </c>
      <c r="I5843" t="inlineStr">
        <is>
          <t>Kalimantan Tengah 73.927 59 5.128 67</t>
        </is>
      </c>
      <c r="J5843" t="inlineStr">
        <is>
          <t>High</t>
        </is>
      </c>
      <c r="M5843" t="inlineStr">
        <is>
          <t>LLM</t>
        </is>
      </c>
      <c r="N5843" t="inlineStr">
        <is>
          <t>2026-04-19</t>
        </is>
      </c>
      <c r="O5843" t="inlineStr">
        <is>
          <t>AI</t>
        </is>
      </c>
    </row>
    <row r="5844">
      <c r="A5844" t="inlineStr">
        <is>
          <t>PT Triputra Agro Persada Tbk</t>
        </is>
      </c>
      <c r="B5844" t="inlineStr">
        <is>
          <t>TAPG_2025_AR.pdf</t>
        </is>
      </c>
      <c r="C5844" t="n">
        <v>2025</v>
      </c>
      <c r="D5844" t="inlineStr">
        <is>
          <t>Asset</t>
        </is>
      </c>
      <c r="E5844" t="inlineStr">
        <is>
          <t>East Kalimantan Mature Area</t>
        </is>
      </c>
      <c r="F5844" t="n">
        <v>48070</v>
      </c>
      <c r="G5844" t="inlineStr">
        <is>
          <t>ha</t>
        </is>
      </c>
      <c r="H5844" t="n">
        <v>100</v>
      </c>
      <c r="I5844" t="inlineStr">
        <is>
          <t>Kalimantan Timur 48.070 38 313 4</t>
        </is>
      </c>
      <c r="J5844" t="inlineStr">
        <is>
          <t>High</t>
        </is>
      </c>
      <c r="M5844" t="inlineStr">
        <is>
          <t>LLM</t>
        </is>
      </c>
      <c r="N5844" t="inlineStr">
        <is>
          <t>2026-04-19</t>
        </is>
      </c>
      <c r="O5844" t="inlineStr">
        <is>
          <t>AI</t>
        </is>
      </c>
    </row>
    <row r="5845">
      <c r="A5845" t="inlineStr">
        <is>
          <t>PT Triputra Agro Persada Tbk</t>
        </is>
      </c>
      <c r="B5845" t="inlineStr">
        <is>
          <t>TAPG_2025_AR.pdf</t>
        </is>
      </c>
      <c r="C5845" t="n">
        <v>2025</v>
      </c>
      <c r="D5845" t="inlineStr">
        <is>
          <t>Asset</t>
        </is>
      </c>
      <c r="E5845" t="inlineStr">
        <is>
          <t>Palm Oil Mill Count</t>
        </is>
      </c>
      <c r="F5845" t="n">
        <v>18</v>
      </c>
      <c r="G5845" t="inlineStr">
        <is>
          <t>count</t>
        </is>
      </c>
      <c r="H5845" t="n">
        <v>99</v>
      </c>
      <c r="I5845" t="inlineStr">
        <is>
          <t>Perseroan melalui anak perusahaan dan perusahaan asosiasi telah memiliki 18 pabrik pengolahan kelapa sawit</t>
        </is>
      </c>
      <c r="J5845" t="inlineStr">
        <is>
          <t>High</t>
        </is>
      </c>
      <c r="M5845" t="inlineStr">
        <is>
          <t>LLM</t>
        </is>
      </c>
      <c r="N5845" t="inlineStr">
        <is>
          <t>2026-04-19</t>
        </is>
      </c>
      <c r="O5845" t="inlineStr">
        <is>
          <t>AI</t>
        </is>
      </c>
    </row>
    <row r="5846">
      <c r="A5846" t="inlineStr">
        <is>
          <t>PT Triputra Agro Persada Tbk</t>
        </is>
      </c>
      <c r="B5846" t="inlineStr">
        <is>
          <t>TAPG_2025_AR.pdf</t>
        </is>
      </c>
      <c r="C5846" t="n">
        <v>2025</v>
      </c>
      <c r="D5846" t="inlineStr">
        <is>
          <t>Asset</t>
        </is>
      </c>
      <c r="E5846" t="inlineStr">
        <is>
          <t>Total Mill Capacity</t>
        </is>
      </c>
      <c r="F5846" t="n">
        <v>995</v>
      </c>
      <c r="G5846" t="inlineStr">
        <is>
          <t>tph</t>
        </is>
      </c>
      <c r="H5846" t="n">
        <v>99</v>
      </c>
      <c r="I5846" t="inlineStr">
        <is>
          <t>18 pabrik pengolahan kelapa sawit dengan total kapasitas 995 ton per jam</t>
        </is>
      </c>
      <c r="J5846" t="inlineStr">
        <is>
          <t>High</t>
        </is>
      </c>
      <c r="M5846" t="inlineStr">
        <is>
          <t>LLM</t>
        </is>
      </c>
      <c r="N5846" t="inlineStr">
        <is>
          <t>2026-04-19</t>
        </is>
      </c>
      <c r="O5846" t="inlineStr">
        <is>
          <t>AI</t>
        </is>
      </c>
    </row>
    <row r="5847">
      <c r="A5847" t="inlineStr">
        <is>
          <t>PT Triputra Agro Persada Tbk</t>
        </is>
      </c>
      <c r="B5847" t="inlineStr">
        <is>
          <t>TAPG_2025_AR.pdf</t>
        </is>
      </c>
      <c r="C5847" t="n">
        <v>2025</v>
      </c>
      <c r="D5847" t="inlineStr">
        <is>
          <t>Asset</t>
        </is>
      </c>
      <c r="E5847" t="inlineStr">
        <is>
          <t>Kernel Crushing Plant Count</t>
        </is>
      </c>
      <c r="F5847" t="n">
        <v>1</v>
      </c>
      <c r="G5847" t="inlineStr">
        <is>
          <t>count</t>
        </is>
      </c>
      <c r="H5847" t="n">
        <v>99</v>
      </c>
      <c r="I5847" t="inlineStr">
        <is>
          <t>KCP operational in Central Kalimantan with PLTBg biogas plant</t>
        </is>
      </c>
      <c r="J5847" t="inlineStr">
        <is>
          <t>Medium</t>
        </is>
      </c>
      <c r="M5847" t="inlineStr">
        <is>
          <t>LLM</t>
        </is>
      </c>
      <c r="N5847" t="inlineStr">
        <is>
          <t>2026-04-19</t>
        </is>
      </c>
      <c r="O5847" t="inlineStr">
        <is>
          <t>AI</t>
        </is>
      </c>
    </row>
    <row r="5848">
      <c r="A5848" t="inlineStr">
        <is>
          <t>PT Triputra Agro Persada Tbk</t>
        </is>
      </c>
      <c r="B5848" t="inlineStr">
        <is>
          <t>TAPG_2025_AR.pdf</t>
        </is>
      </c>
      <c r="C5848" t="n">
        <v>2025</v>
      </c>
      <c r="D5848" t="inlineStr">
        <is>
          <t>Operation</t>
        </is>
      </c>
      <c r="E5848" t="inlineStr">
        <is>
          <t>FFB Total Production</t>
        </is>
      </c>
      <c r="F5848" t="n">
        <v>3425000</v>
      </c>
      <c r="G5848" t="inlineStr">
        <is>
          <t>t</t>
        </is>
      </c>
      <c r="H5848" t="n">
        <v>14</v>
      </c>
      <c r="I5848" t="inlineStr">
        <is>
          <t>Total TBS Dihasilkan Perkebunan Kelapa Sawit 3.425 ribu ton</t>
        </is>
      </c>
      <c r="J5848" t="inlineStr">
        <is>
          <t>High</t>
        </is>
      </c>
      <c r="M5848" t="inlineStr">
        <is>
          <t>LLM</t>
        </is>
      </c>
      <c r="N5848" t="inlineStr">
        <is>
          <t>2026-04-19</t>
        </is>
      </c>
      <c r="O5848" t="inlineStr">
        <is>
          <t>AI</t>
        </is>
      </c>
    </row>
    <row r="5849">
      <c r="A5849" t="inlineStr">
        <is>
          <t>PT Triputra Agro Persada Tbk</t>
        </is>
      </c>
      <c r="B5849" t="inlineStr">
        <is>
          <t>TAPG_2025_AR.pdf</t>
        </is>
      </c>
      <c r="C5849" t="n">
        <v>2025</v>
      </c>
      <c r="D5849" t="inlineStr">
        <is>
          <t>Operation</t>
        </is>
      </c>
      <c r="E5849" t="inlineStr">
        <is>
          <t>FFB Nucleus</t>
        </is>
      </c>
      <c r="F5849" t="n">
        <v>3040000</v>
      </c>
      <c r="G5849" t="inlineStr">
        <is>
          <t>t</t>
        </is>
      </c>
      <c r="H5849" t="n">
        <v>14</v>
      </c>
      <c r="I5849" t="inlineStr">
        <is>
          <t>Total TBS Dihasilkan Perkebunan Kelapa Sawit Inti 3.040 ribu ton</t>
        </is>
      </c>
      <c r="J5849" t="inlineStr">
        <is>
          <t>High</t>
        </is>
      </c>
      <c r="M5849" t="inlineStr">
        <is>
          <t>LLM</t>
        </is>
      </c>
      <c r="N5849" t="inlineStr">
        <is>
          <t>2026-04-19</t>
        </is>
      </c>
      <c r="O5849" t="inlineStr">
        <is>
          <t>AI</t>
        </is>
      </c>
    </row>
    <row r="5850">
      <c r="A5850" t="inlineStr">
        <is>
          <t>PT Triputra Agro Persada Tbk</t>
        </is>
      </c>
      <c r="B5850" t="inlineStr">
        <is>
          <t>TAPG_2025_AR.pdf</t>
        </is>
      </c>
      <c r="C5850" t="n">
        <v>2025</v>
      </c>
      <c r="D5850" t="inlineStr">
        <is>
          <t>Operation</t>
        </is>
      </c>
      <c r="E5850" t="inlineStr">
        <is>
          <t>FFB Plasma</t>
        </is>
      </c>
      <c r="F5850" t="n">
        <v>384000</v>
      </c>
      <c r="G5850" t="inlineStr">
        <is>
          <t>t</t>
        </is>
      </c>
      <c r="H5850" t="n">
        <v>14</v>
      </c>
      <c r="I5850" t="inlineStr">
        <is>
          <t>Total TBS Dihasilkan Perkebunan Kelapa Sawit Plasma 384 ribu ton</t>
        </is>
      </c>
      <c r="J5850" t="inlineStr">
        <is>
          <t>High</t>
        </is>
      </c>
      <c r="M5850" t="inlineStr">
        <is>
          <t>LLM</t>
        </is>
      </c>
      <c r="N5850" t="inlineStr">
        <is>
          <t>2026-04-19</t>
        </is>
      </c>
      <c r="O5850" t="inlineStr">
        <is>
          <t>AI</t>
        </is>
      </c>
    </row>
    <row r="5851">
      <c r="A5851" t="inlineStr">
        <is>
          <t>PT Triputra Agro Persada Tbk</t>
        </is>
      </c>
      <c r="B5851" t="inlineStr">
        <is>
          <t>TAPG_2025_AR.pdf</t>
        </is>
      </c>
      <c r="C5851" t="n">
        <v>2025</v>
      </c>
      <c r="D5851" t="inlineStr">
        <is>
          <t>Operation</t>
        </is>
      </c>
      <c r="E5851" t="inlineStr">
        <is>
          <t>Total FFB Processed</t>
        </is>
      </c>
      <c r="F5851" t="n">
        <v>4089000</v>
      </c>
      <c r="G5851" t="inlineStr">
        <is>
          <t>t</t>
        </is>
      </c>
      <c r="H5851" t="n">
        <v>14</v>
      </c>
      <c r="I5851" t="inlineStr">
        <is>
          <t>Total TBS Olah 4.089 ribu ton</t>
        </is>
      </c>
      <c r="J5851" t="inlineStr">
        <is>
          <t>High</t>
        </is>
      </c>
      <c r="M5851" t="inlineStr">
        <is>
          <t>LLM</t>
        </is>
      </c>
      <c r="N5851" t="inlineStr">
        <is>
          <t>2026-04-19</t>
        </is>
      </c>
      <c r="O5851" t="inlineStr">
        <is>
          <t>AI</t>
        </is>
      </c>
    </row>
    <row r="5852">
      <c r="A5852" t="inlineStr">
        <is>
          <t>PT Triputra Agro Persada Tbk</t>
        </is>
      </c>
      <c r="B5852" t="inlineStr">
        <is>
          <t>TAPG_2025_AR.pdf</t>
        </is>
      </c>
      <c r="C5852" t="n">
        <v>2025</v>
      </c>
      <c r="D5852" t="inlineStr">
        <is>
          <t>Operation</t>
        </is>
      </c>
      <c r="E5852" t="inlineStr">
        <is>
          <t>Third-Party FFB</t>
        </is>
      </c>
      <c r="F5852" t="n">
        <v>659000</v>
      </c>
      <c r="G5852" t="inlineStr">
        <is>
          <t>t</t>
        </is>
      </c>
      <c r="H5852" t="n">
        <v>100</v>
      </c>
      <c r="I5852" t="inlineStr">
        <is>
          <t>Pihak Ketiga 659 Third Party</t>
        </is>
      </c>
      <c r="J5852" t="inlineStr">
        <is>
          <t>High</t>
        </is>
      </c>
      <c r="M5852" t="inlineStr">
        <is>
          <t>LLM</t>
        </is>
      </c>
      <c r="N5852" t="inlineStr">
        <is>
          <t>2026-04-19</t>
        </is>
      </c>
      <c r="O5852" t="inlineStr">
        <is>
          <t>AI</t>
        </is>
      </c>
    </row>
    <row r="5853">
      <c r="A5853" t="inlineStr">
        <is>
          <t>PT Triputra Agro Persada Tbk</t>
        </is>
      </c>
      <c r="B5853" t="inlineStr">
        <is>
          <t>TAPG_2025_AR.pdf</t>
        </is>
      </c>
      <c r="C5853" t="n">
        <v>2025</v>
      </c>
      <c r="D5853" t="inlineStr">
        <is>
          <t>Operation</t>
        </is>
      </c>
      <c r="E5853" t="inlineStr">
        <is>
          <t>CPO Production</t>
        </is>
      </c>
      <c r="F5853" t="n">
        <v>953000</v>
      </c>
      <c r="G5853" t="inlineStr">
        <is>
          <t>t</t>
        </is>
      </c>
      <c r="H5853" t="n">
        <v>14</v>
      </c>
      <c r="I5853" t="inlineStr">
        <is>
          <t>Produksi CPO 953 ribu ton</t>
        </is>
      </c>
      <c r="J5853" t="inlineStr">
        <is>
          <t>High</t>
        </is>
      </c>
      <c r="M5853" t="inlineStr">
        <is>
          <t>LLM</t>
        </is>
      </c>
      <c r="N5853" t="inlineStr">
        <is>
          <t>2026-04-19</t>
        </is>
      </c>
      <c r="O5853" t="inlineStr">
        <is>
          <t>AI</t>
        </is>
      </c>
    </row>
    <row r="5854">
      <c r="A5854" t="inlineStr">
        <is>
          <t>PT Triputra Agro Persada Tbk</t>
        </is>
      </c>
      <c r="B5854" t="inlineStr">
        <is>
          <t>TAPG_2025_AR.pdf</t>
        </is>
      </c>
      <c r="C5854" t="n">
        <v>2025</v>
      </c>
      <c r="D5854" t="inlineStr">
        <is>
          <t>Operation</t>
        </is>
      </c>
      <c r="E5854" t="inlineStr">
        <is>
          <t>PK Production</t>
        </is>
      </c>
      <c r="F5854" t="n">
        <v>202000</v>
      </c>
      <c r="G5854" t="inlineStr">
        <is>
          <t>t</t>
        </is>
      </c>
      <c r="H5854" t="n">
        <v>14</v>
      </c>
      <c r="I5854" t="inlineStr">
        <is>
          <t>Produksi PK 202 ribu ton</t>
        </is>
      </c>
      <c r="J5854" t="inlineStr">
        <is>
          <t>High</t>
        </is>
      </c>
      <c r="M5854" t="inlineStr">
        <is>
          <t>LLM</t>
        </is>
      </c>
      <c r="N5854" t="inlineStr">
        <is>
          <t>2026-04-19</t>
        </is>
      </c>
      <c r="O5854" t="inlineStr">
        <is>
          <t>AI</t>
        </is>
      </c>
    </row>
    <row r="5855">
      <c r="A5855" t="inlineStr">
        <is>
          <t>PT Triputra Agro Persada Tbk</t>
        </is>
      </c>
      <c r="B5855" t="inlineStr">
        <is>
          <t>TAPG_2025_AR.pdf</t>
        </is>
      </c>
      <c r="C5855" t="n">
        <v>2025</v>
      </c>
      <c r="D5855" t="inlineStr">
        <is>
          <t>Operation</t>
        </is>
      </c>
      <c r="E5855" t="inlineStr">
        <is>
          <t>PKO Production</t>
        </is>
      </c>
      <c r="F5855" t="n">
        <v>22100</v>
      </c>
      <c r="G5855" t="inlineStr">
        <is>
          <t>t</t>
        </is>
      </c>
      <c r="H5855" t="n">
        <v>14</v>
      </c>
      <c r="I5855" t="inlineStr">
        <is>
          <t>Produksi PKO 22,1 ribu ton</t>
        </is>
      </c>
      <c r="J5855" t="inlineStr">
        <is>
          <t>High</t>
        </is>
      </c>
      <c r="M5855" t="inlineStr">
        <is>
          <t>LLM</t>
        </is>
      </c>
      <c r="N5855" t="inlineStr">
        <is>
          <t>2026-04-19</t>
        </is>
      </c>
      <c r="O5855" t="inlineStr">
        <is>
          <t>AI</t>
        </is>
      </c>
    </row>
    <row r="5856">
      <c r="A5856" t="inlineStr">
        <is>
          <t>PT Triputra Agro Persada Tbk</t>
        </is>
      </c>
      <c r="B5856" t="inlineStr">
        <is>
          <t>TAPG_2025_AR.pdf</t>
        </is>
      </c>
      <c r="C5856" t="n">
        <v>2025</v>
      </c>
      <c r="D5856" t="inlineStr">
        <is>
          <t>Operation</t>
        </is>
      </c>
      <c r="E5856" t="inlineStr">
        <is>
          <t>Rubber Production</t>
        </is>
      </c>
      <c r="F5856" t="n">
        <v>800</v>
      </c>
      <c r="G5856" t="inlineStr">
        <is>
          <t>t</t>
        </is>
      </c>
      <c r="H5856" t="n">
        <v>14</v>
      </c>
      <c r="I5856" t="inlineStr">
        <is>
          <t>Produksi Karet 0,8 ribu ton</t>
        </is>
      </c>
      <c r="J5856" t="inlineStr">
        <is>
          <t>High</t>
        </is>
      </c>
      <c r="M5856" t="inlineStr">
        <is>
          <t>LLM</t>
        </is>
      </c>
      <c r="N5856" t="inlineStr">
        <is>
          <t>2026-04-19</t>
        </is>
      </c>
      <c r="O5856" t="inlineStr">
        <is>
          <t>AI</t>
        </is>
      </c>
    </row>
    <row r="5857">
      <c r="A5857" t="inlineStr">
        <is>
          <t>PT Triputra Agro Persada Tbk</t>
        </is>
      </c>
      <c r="B5857" t="inlineStr">
        <is>
          <t>TAPG_2025_AR.pdf</t>
        </is>
      </c>
      <c r="C5857" t="n">
        <v>2025</v>
      </c>
      <c r="D5857" t="inlineStr">
        <is>
          <t>Operation</t>
        </is>
      </c>
      <c r="E5857" t="inlineStr">
        <is>
          <t>FFB Yield (avg)</t>
        </is>
      </c>
      <c r="F5857" t="n">
        <v>24.3</v>
      </c>
      <c r="G5857" t="inlineStr">
        <is>
          <t>t/ha</t>
        </is>
      </c>
      <c r="H5857" t="n">
        <v>14</v>
      </c>
      <c r="I5857" t="inlineStr">
        <is>
          <t>Yield TBS Rata-rata 24,3 23,0 23,6 ton per hektar</t>
        </is>
      </c>
      <c r="J5857" t="inlineStr">
        <is>
          <t>High</t>
        </is>
      </c>
      <c r="M5857" t="inlineStr">
        <is>
          <t>LLM</t>
        </is>
      </c>
      <c r="N5857" t="inlineStr">
        <is>
          <t>2026-04-19</t>
        </is>
      </c>
      <c r="O5857" t="inlineStr">
        <is>
          <t>AI</t>
        </is>
      </c>
    </row>
    <row r="5858">
      <c r="A5858" t="inlineStr">
        <is>
          <t>PT Triputra Agro Persada Tbk</t>
        </is>
      </c>
      <c r="B5858" t="inlineStr">
        <is>
          <t>TAPG_2025_AR.pdf</t>
        </is>
      </c>
      <c r="C5858" t="n">
        <v>2025</v>
      </c>
      <c r="D5858" t="inlineStr">
        <is>
          <t>Operation</t>
        </is>
      </c>
      <c r="E5858" t="inlineStr">
        <is>
          <t>OER (CPO Extraction Rate)</t>
        </is>
      </c>
      <c r="F5858" t="n">
        <v>0.233</v>
      </c>
      <c r="G5858" t="inlineStr">
        <is>
          <t>%</t>
        </is>
      </c>
      <c r="H5858" t="n">
        <v>14</v>
      </c>
      <c r="I5858" t="inlineStr">
        <is>
          <t>Rendemen CPO 23,3%</t>
        </is>
      </c>
      <c r="J5858" t="inlineStr">
        <is>
          <t>High</t>
        </is>
      </c>
      <c r="M5858" t="inlineStr">
        <is>
          <t>LLM</t>
        </is>
      </c>
      <c r="N5858" t="inlineStr">
        <is>
          <t>2026-04-19</t>
        </is>
      </c>
      <c r="O5858" t="inlineStr">
        <is>
          <t>AI</t>
        </is>
      </c>
    </row>
    <row r="5859">
      <c r="A5859" t="inlineStr">
        <is>
          <t>PT Triputra Agro Persada Tbk</t>
        </is>
      </c>
      <c r="B5859" t="inlineStr">
        <is>
          <t>TAPG_2025_AR.pdf</t>
        </is>
      </c>
      <c r="C5859" t="n">
        <v>2025</v>
      </c>
      <c r="D5859" t="inlineStr">
        <is>
          <t>Operation</t>
        </is>
      </c>
      <c r="E5859" t="inlineStr">
        <is>
          <t>KER (Kernel Extraction Rate)</t>
        </is>
      </c>
      <c r="F5859" t="n">
        <v>0.049</v>
      </c>
      <c r="G5859" t="inlineStr">
        <is>
          <t>%</t>
        </is>
      </c>
      <c r="H5859" t="n">
        <v>14</v>
      </c>
      <c r="I5859" t="inlineStr">
        <is>
          <t>Rendemen PK 4,9%</t>
        </is>
      </c>
      <c r="J5859" t="inlineStr">
        <is>
          <t>High</t>
        </is>
      </c>
      <c r="M5859" t="inlineStr">
        <is>
          <t>LLM</t>
        </is>
      </c>
      <c r="N5859" t="inlineStr">
        <is>
          <t>2026-04-19</t>
        </is>
      </c>
      <c r="O5859" t="inlineStr">
        <is>
          <t>AI</t>
        </is>
      </c>
    </row>
    <row r="5860">
      <c r="A5860" t="inlineStr">
        <is>
          <t>PT Triputra Agro Persada Tbk</t>
        </is>
      </c>
      <c r="B5860" t="inlineStr">
        <is>
          <t>TAPG_2025_AR.pdf</t>
        </is>
      </c>
      <c r="C5860" t="n">
        <v>2025</v>
      </c>
      <c r="D5860" t="inlineStr">
        <is>
          <t>Operation</t>
        </is>
      </c>
      <c r="E5860" t="inlineStr">
        <is>
          <t>Avg CPO Selling Price</t>
        </is>
      </c>
      <c r="F5860" t="n">
        <v>14220</v>
      </c>
      <c r="G5860" t="inlineStr">
        <is>
          <t>Rp/kg</t>
        </is>
      </c>
      <c r="H5860" t="n">
        <v>104</v>
      </c>
      <c r="I5860" t="inlineStr">
        <is>
          <t>Harga jual rata-rata CPO 14.220 13.156 8</t>
        </is>
      </c>
      <c r="J5860" t="inlineStr">
        <is>
          <t>High</t>
        </is>
      </c>
      <c r="M5860" t="inlineStr">
        <is>
          <t>LLM</t>
        </is>
      </c>
      <c r="N5860" t="inlineStr">
        <is>
          <t>2026-04-19</t>
        </is>
      </c>
      <c r="O5860" t="inlineStr">
        <is>
          <t>AI</t>
        </is>
      </c>
    </row>
    <row r="5861">
      <c r="A5861" t="inlineStr">
        <is>
          <t>PT Triputra Agro Persada Tbk</t>
        </is>
      </c>
      <c r="B5861" t="inlineStr">
        <is>
          <t>TAPG_2025_AR.pdf</t>
        </is>
      </c>
      <c r="C5861" t="n">
        <v>2025</v>
      </c>
      <c r="D5861" t="inlineStr">
        <is>
          <t>Operation</t>
        </is>
      </c>
      <c r="E5861" t="inlineStr">
        <is>
          <t>Avg PK Selling Price</t>
        </is>
      </c>
      <c r="F5861" t="n">
        <v>11967</v>
      </c>
      <c r="G5861" t="inlineStr">
        <is>
          <t>Rp/kg</t>
        </is>
      </c>
      <c r="H5861" t="n">
        <v>104</v>
      </c>
      <c r="I5861" t="inlineStr">
        <is>
          <t>PK 11.967 7.891 52</t>
        </is>
      </c>
      <c r="J5861" t="inlineStr">
        <is>
          <t>High</t>
        </is>
      </c>
      <c r="M5861" t="inlineStr">
        <is>
          <t>LLM</t>
        </is>
      </c>
      <c r="N5861" t="inlineStr">
        <is>
          <t>2026-04-19</t>
        </is>
      </c>
      <c r="O5861" t="inlineStr">
        <is>
          <t>AI</t>
        </is>
      </c>
    </row>
    <row r="5862">
      <c r="A5862" t="inlineStr">
        <is>
          <t>PT Triputra Agro Persada Tbk</t>
        </is>
      </c>
      <c r="B5862" t="inlineStr">
        <is>
          <t>TAPG_2025_AR.pdf</t>
        </is>
      </c>
      <c r="C5862" t="n">
        <v>2025</v>
      </c>
      <c r="D5862" t="inlineStr">
        <is>
          <t>Operation</t>
        </is>
      </c>
      <c r="E5862" t="inlineStr">
        <is>
          <t>Avg PKO Selling Price</t>
        </is>
      </c>
      <c r="F5862" t="n">
        <v>26212</v>
      </c>
      <c r="G5862" t="inlineStr">
        <is>
          <t>Rp/kg</t>
        </is>
      </c>
      <c r="H5862" t="n">
        <v>104</v>
      </c>
      <c r="I5862" t="inlineStr">
        <is>
          <t>PKO 26.212 19.101 37</t>
        </is>
      </c>
      <c r="J5862" t="inlineStr">
        <is>
          <t>High</t>
        </is>
      </c>
      <c r="M5862" t="inlineStr">
        <is>
          <t>LLM</t>
        </is>
      </c>
      <c r="N5862" t="inlineStr">
        <is>
          <t>2026-04-19</t>
        </is>
      </c>
      <c r="O5862" t="inlineStr">
        <is>
          <t>AI</t>
        </is>
      </c>
    </row>
    <row r="5863">
      <c r="A5863" t="inlineStr">
        <is>
          <t>PT Triputra Agro Persada Tbk</t>
        </is>
      </c>
      <c r="B5863" t="inlineStr">
        <is>
          <t>TAPG_2025_AR.pdf</t>
        </is>
      </c>
      <c r="C5863" t="n">
        <v>2025</v>
      </c>
      <c r="D5863" t="inlineStr">
        <is>
          <t>Operation</t>
        </is>
      </c>
      <c r="E5863" t="inlineStr">
        <is>
          <t>CPO Sales Volume</t>
        </is>
      </c>
      <c r="F5863" t="n">
        <v>658917</v>
      </c>
      <c r="G5863" t="inlineStr">
        <is>
          <t>t</t>
        </is>
      </c>
      <c r="H5863" t="n">
        <v>104</v>
      </c>
      <c r="I5863" t="inlineStr">
        <is>
          <t>Penjualan (ton) CPO 658.917 636.021 4</t>
        </is>
      </c>
      <c r="J5863" t="inlineStr">
        <is>
          <t>High</t>
        </is>
      </c>
      <c r="M5863" t="inlineStr">
        <is>
          <t>LLM</t>
        </is>
      </c>
      <c r="N5863" t="inlineStr">
        <is>
          <t>2026-04-19</t>
        </is>
      </c>
      <c r="O5863" t="inlineStr">
        <is>
          <t>AI</t>
        </is>
      </c>
    </row>
    <row r="5864">
      <c r="A5864" t="inlineStr">
        <is>
          <t>PT Triputra Agro Persada Tbk</t>
        </is>
      </c>
      <c r="B5864" t="inlineStr">
        <is>
          <t>TAPG_2025_AR.pdf</t>
        </is>
      </c>
      <c r="C5864" t="n">
        <v>2025</v>
      </c>
      <c r="D5864" t="inlineStr">
        <is>
          <t>Operation</t>
        </is>
      </c>
      <c r="E5864" t="inlineStr">
        <is>
          <t>PK Sales Volume</t>
        </is>
      </c>
      <c r="F5864" t="n">
        <v>113364</v>
      </c>
      <c r="G5864" t="inlineStr">
        <is>
          <t>t</t>
        </is>
      </c>
      <c r="H5864" t="n">
        <v>104</v>
      </c>
      <c r="I5864" t="inlineStr">
        <is>
          <t>PK 113.364 110.558 3</t>
        </is>
      </c>
      <c r="J5864" t="inlineStr">
        <is>
          <t>High</t>
        </is>
      </c>
      <c r="M5864" t="inlineStr">
        <is>
          <t>LLM</t>
        </is>
      </c>
      <c r="N5864" t="inlineStr">
        <is>
          <t>2026-04-19</t>
        </is>
      </c>
      <c r="O5864" t="inlineStr">
        <is>
          <t>AI</t>
        </is>
      </c>
    </row>
    <row r="5865">
      <c r="A5865" t="inlineStr">
        <is>
          <t>PT Triputra Agro Persada Tbk</t>
        </is>
      </c>
      <c r="B5865" t="inlineStr">
        <is>
          <t>TAPG_2025_AR.pdf</t>
        </is>
      </c>
      <c r="C5865" t="n">
        <v>2025</v>
      </c>
      <c r="D5865" t="inlineStr">
        <is>
          <t>Operation</t>
        </is>
      </c>
      <c r="E5865" t="inlineStr">
        <is>
          <t>PKO Sales Volume</t>
        </is>
      </c>
      <c r="F5865" t="n">
        <v>22399</v>
      </c>
      <c r="G5865" t="inlineStr">
        <is>
          <t>t</t>
        </is>
      </c>
      <c r="H5865" t="n">
        <v>104</v>
      </c>
      <c r="I5865" t="inlineStr">
        <is>
          <t>PKO 22.399 19.500 15</t>
        </is>
      </c>
      <c r="J5865" t="inlineStr">
        <is>
          <t>High</t>
        </is>
      </c>
      <c r="M5865" t="inlineStr">
        <is>
          <t>LLM</t>
        </is>
      </c>
      <c r="N5865" t="inlineStr">
        <is>
          <t>2026-04-19</t>
        </is>
      </c>
      <c r="O5865" t="inlineStr">
        <is>
          <t>AI</t>
        </is>
      </c>
    </row>
    <row r="5866">
      <c r="A5866" t="inlineStr">
        <is>
          <t>PT Triputra Agro Persada Tbk</t>
        </is>
      </c>
      <c r="B5866" t="inlineStr">
        <is>
          <t>TAPG_2025_AR.pdf</t>
        </is>
      </c>
      <c r="C5866" t="n">
        <v>2025</v>
      </c>
      <c r="D5866" t="inlineStr">
        <is>
          <t>Operation</t>
        </is>
      </c>
      <c r="E5866" t="inlineStr">
        <is>
          <t>FFB Production Sumatra</t>
        </is>
      </c>
      <c r="F5866" t="n">
        <v>87000</v>
      </c>
      <c r="G5866" t="inlineStr">
        <is>
          <t>t</t>
        </is>
      </c>
      <c r="H5866" t="n">
        <v>99</v>
      </c>
      <c r="I5866" t="inlineStr">
        <is>
          <t>Sumatra 87 (thousand tons, 2025 nucleus)</t>
        </is>
      </c>
      <c r="J5866" t="inlineStr">
        <is>
          <t>High</t>
        </is>
      </c>
      <c r="M5866" t="inlineStr">
        <is>
          <t>LLM</t>
        </is>
      </c>
      <c r="N5866" t="inlineStr">
        <is>
          <t>2026-04-19</t>
        </is>
      </c>
      <c r="O5866" t="inlineStr">
        <is>
          <t>AI</t>
        </is>
      </c>
    </row>
    <row r="5867">
      <c r="A5867" t="inlineStr">
        <is>
          <t>PT Triputra Agro Persada Tbk</t>
        </is>
      </c>
      <c r="B5867" t="inlineStr">
        <is>
          <t>TAPG_2025_AR.pdf</t>
        </is>
      </c>
      <c r="C5867" t="n">
        <v>2025</v>
      </c>
      <c r="D5867" t="inlineStr">
        <is>
          <t>Operation</t>
        </is>
      </c>
      <c r="E5867" t="inlineStr">
        <is>
          <t>FFB Production Central Kalimantan</t>
        </is>
      </c>
      <c r="F5867" t="n">
        <v>1810000</v>
      </c>
      <c r="G5867" t="inlineStr">
        <is>
          <t>t</t>
        </is>
      </c>
      <c r="H5867" t="n">
        <v>99</v>
      </c>
      <c r="I5867" t="inlineStr">
        <is>
          <t>Kalimantan Tengah 1.810 (thousand tons)</t>
        </is>
      </c>
      <c r="J5867" t="inlineStr">
        <is>
          <t>High</t>
        </is>
      </c>
      <c r="M5867" t="inlineStr">
        <is>
          <t>LLM</t>
        </is>
      </c>
      <c r="N5867" t="inlineStr">
        <is>
          <t>2026-04-19</t>
        </is>
      </c>
      <c r="O5867" t="inlineStr">
        <is>
          <t>AI</t>
        </is>
      </c>
    </row>
    <row r="5868">
      <c r="A5868" t="inlineStr">
        <is>
          <t>PT Triputra Agro Persada Tbk</t>
        </is>
      </c>
      <c r="B5868" t="inlineStr">
        <is>
          <t>TAPG_2025_AR.pdf</t>
        </is>
      </c>
      <c r="C5868" t="n">
        <v>2025</v>
      </c>
      <c r="D5868" t="inlineStr">
        <is>
          <t>Operation</t>
        </is>
      </c>
      <c r="E5868" t="inlineStr">
        <is>
          <t>FFB Production East Kalimantan</t>
        </is>
      </c>
      <c r="F5868" t="n">
        <v>1143000</v>
      </c>
      <c r="G5868" t="inlineStr">
        <is>
          <t>t</t>
        </is>
      </c>
      <c r="H5868" t="n">
        <v>99</v>
      </c>
      <c r="I5868" t="inlineStr">
        <is>
          <t>Kalimantan Timur 1.143 (thousand tons)</t>
        </is>
      </c>
      <c r="J5868" t="inlineStr">
        <is>
          <t>High</t>
        </is>
      </c>
      <c r="M5868" t="inlineStr">
        <is>
          <t>LLM</t>
        </is>
      </c>
      <c r="N5868" t="inlineStr">
        <is>
          <t>2026-04-19</t>
        </is>
      </c>
      <c r="O5868" t="inlineStr">
        <is>
          <t>AI</t>
        </is>
      </c>
    </row>
    <row r="5869">
      <c r="A5869" t="inlineStr">
        <is>
          <t>PT Triputra Agro Persada Tbk</t>
        </is>
      </c>
      <c r="B5869" t="inlineStr">
        <is>
          <t>TAPG_2025_AR.pdf</t>
        </is>
      </c>
      <c r="C5869" t="n">
        <v>2025</v>
      </c>
      <c r="D5869" t="inlineStr">
        <is>
          <t>Operation</t>
        </is>
      </c>
      <c r="E5869" t="inlineStr">
        <is>
          <t>Palm Oil Segment Revenue</t>
        </is>
      </c>
      <c r="F5869" t="n">
        <v>11379</v>
      </c>
      <c r="G5869" t="inlineStr">
        <is>
          <t>IDR bn</t>
        </is>
      </c>
      <c r="H5869" t="n">
        <v>101</v>
      </c>
      <c r="I5869" t="inlineStr">
        <is>
          <t>Segmen Usaha Perkebunan Kelapa Sawit Pendapatan 11.378.649 9.640.778 18</t>
        </is>
      </c>
      <c r="J5869" t="inlineStr">
        <is>
          <t>High</t>
        </is>
      </c>
      <c r="M5869" t="inlineStr">
        <is>
          <t>LLM</t>
        </is>
      </c>
      <c r="N5869" t="inlineStr">
        <is>
          <t>2026-04-19</t>
        </is>
      </c>
      <c r="O5869" t="inlineStr">
        <is>
          <t>AI</t>
        </is>
      </c>
    </row>
    <row r="5870">
      <c r="A5870" t="inlineStr">
        <is>
          <t>PT Triputra Agro Persada Tbk</t>
        </is>
      </c>
      <c r="B5870" t="inlineStr">
        <is>
          <t>TAPG_2025_AR.pdf</t>
        </is>
      </c>
      <c r="C5870" t="n">
        <v>2025</v>
      </c>
      <c r="D5870" t="inlineStr">
        <is>
          <t>Operation</t>
        </is>
      </c>
      <c r="E5870" t="inlineStr">
        <is>
          <t>CPO Segment Revenue</t>
        </is>
      </c>
      <c r="F5870" t="n">
        <v>9370</v>
      </c>
      <c r="G5870" t="inlineStr">
        <is>
          <t>IDR bn</t>
        </is>
      </c>
      <c r="H5870" t="n">
        <v>101</v>
      </c>
      <c r="I5870" t="inlineStr">
        <is>
          <t>CPO 9.369.969 8.367.543 12</t>
        </is>
      </c>
      <c r="J5870" t="inlineStr">
        <is>
          <t>High</t>
        </is>
      </c>
      <c r="M5870" t="inlineStr">
        <is>
          <t>LLM</t>
        </is>
      </c>
      <c r="N5870" t="inlineStr">
        <is>
          <t>2026-04-19</t>
        </is>
      </c>
      <c r="O5870" t="inlineStr">
        <is>
          <t>AI</t>
        </is>
      </c>
    </row>
    <row r="5871">
      <c r="A5871" t="inlineStr">
        <is>
          <t>PT Triputra Agro Persada Tbk</t>
        </is>
      </c>
      <c r="B5871" t="inlineStr">
        <is>
          <t>TAPG_2025_AR.pdf</t>
        </is>
      </c>
      <c r="C5871" t="n">
        <v>2025</v>
      </c>
      <c r="D5871" t="inlineStr">
        <is>
          <t>Operation</t>
        </is>
      </c>
      <c r="E5871" t="inlineStr">
        <is>
          <t>PK Segment Revenue</t>
        </is>
      </c>
      <c r="F5871" t="n">
        <v>1357</v>
      </c>
      <c r="G5871" t="inlineStr">
        <is>
          <t>IDR bn</t>
        </is>
      </c>
      <c r="H5871" t="n">
        <v>101</v>
      </c>
      <c r="I5871" t="inlineStr">
        <is>
          <t>PK 1.356.630 872.463 55</t>
        </is>
      </c>
      <c r="J5871" t="inlineStr">
        <is>
          <t>High</t>
        </is>
      </c>
      <c r="M5871" t="inlineStr">
        <is>
          <t>LLM</t>
        </is>
      </c>
      <c r="N5871" t="inlineStr">
        <is>
          <t>2026-04-19</t>
        </is>
      </c>
      <c r="O5871" t="inlineStr">
        <is>
          <t>AI</t>
        </is>
      </c>
    </row>
    <row r="5872">
      <c r="A5872" t="inlineStr">
        <is>
          <t>PT Triputra Agro Persada Tbk</t>
        </is>
      </c>
      <c r="B5872" t="inlineStr">
        <is>
          <t>TAPG_2025_AR.pdf</t>
        </is>
      </c>
      <c r="C5872" t="n">
        <v>2025</v>
      </c>
      <c r="D5872" t="inlineStr">
        <is>
          <t>Operation</t>
        </is>
      </c>
      <c r="E5872" t="inlineStr">
        <is>
          <t>PKO Segment Revenue</t>
        </is>
      </c>
      <c r="F5872" t="n">
        <v>587</v>
      </c>
      <c r="G5872" t="inlineStr">
        <is>
          <t>IDR bn</t>
        </is>
      </c>
      <c r="H5872" t="n">
        <v>101</v>
      </c>
      <c r="I5872" t="inlineStr">
        <is>
          <t>PKO 587.121 372.478 58</t>
        </is>
      </c>
      <c r="J5872" t="inlineStr">
        <is>
          <t>High</t>
        </is>
      </c>
      <c r="M5872" t="inlineStr">
        <is>
          <t>LLM</t>
        </is>
      </c>
      <c r="N5872" t="inlineStr">
        <is>
          <t>2026-04-19</t>
        </is>
      </c>
      <c r="O5872" t="inlineStr">
        <is>
          <t>AI</t>
        </is>
      </c>
    </row>
    <row r="5873">
      <c r="A5873" t="inlineStr">
        <is>
          <t>PT Triputra Agro Persada Tbk</t>
        </is>
      </c>
      <c r="B5873" t="inlineStr">
        <is>
          <t>TAPG_2025_AR.pdf</t>
        </is>
      </c>
      <c r="C5873" t="n">
        <v>2025</v>
      </c>
      <c r="D5873" t="inlineStr">
        <is>
          <t>Operation</t>
        </is>
      </c>
      <c r="E5873" t="inlineStr">
        <is>
          <t>Rubber Segment Revenue</t>
        </is>
      </c>
      <c r="F5873" t="n">
        <v>24</v>
      </c>
      <c r="G5873" t="inlineStr">
        <is>
          <t>IDR bn</t>
        </is>
      </c>
      <c r="H5873" t="n">
        <v>101</v>
      </c>
      <c r="I5873" t="inlineStr">
        <is>
          <t>Segmen Usaha Perkebunan Karet Pendapatan 23.549 30.685 (23)</t>
        </is>
      </c>
      <c r="J5873" t="inlineStr">
        <is>
          <t>High</t>
        </is>
      </c>
      <c r="M5873" t="inlineStr">
        <is>
          <t>LLM</t>
        </is>
      </c>
      <c r="N5873" t="inlineStr">
        <is>
          <t>2026-04-19</t>
        </is>
      </c>
      <c r="O5873" t="inlineStr">
        <is>
          <t>AI</t>
        </is>
      </c>
    </row>
    <row r="5874">
      <c r="A5874" t="inlineStr">
        <is>
          <t>PT Triputra Agro Persada Tbk</t>
        </is>
      </c>
      <c r="B5874" t="inlineStr">
        <is>
          <t>TAPG_2025_AR.pdf</t>
        </is>
      </c>
      <c r="C5874" t="n">
        <v>2025</v>
      </c>
      <c r="D5874" t="inlineStr">
        <is>
          <t>Operation</t>
        </is>
      </c>
      <c r="E5874" t="inlineStr">
        <is>
          <t>Palm Oil Segment Operating Profit</t>
        </is>
      </c>
      <c r="F5874" t="n">
        <v>3637</v>
      </c>
      <c r="G5874" t="inlineStr">
        <is>
          <t>IDR bn</t>
        </is>
      </c>
      <c r="H5874" t="n">
        <v>101</v>
      </c>
      <c r="I5874" t="inlineStr">
        <is>
          <t>Laba Usaha Segmen 3.637.063 3.036.382 20</t>
        </is>
      </c>
      <c r="J5874" t="inlineStr">
        <is>
          <t>High</t>
        </is>
      </c>
      <c r="M5874" t="inlineStr">
        <is>
          <t>LLM</t>
        </is>
      </c>
      <c r="N5874" t="inlineStr">
        <is>
          <t>2026-04-19</t>
        </is>
      </c>
      <c r="O5874" t="inlineStr">
        <is>
          <t>AI</t>
        </is>
      </c>
    </row>
    <row r="5875">
      <c r="A5875" t="inlineStr">
        <is>
          <t>PT Triputra Agro Persada Tbk</t>
        </is>
      </c>
      <c r="B5875" t="inlineStr">
        <is>
          <t>TAPG_2025_AR.pdf</t>
        </is>
      </c>
      <c r="C5875" t="n">
        <v>2025</v>
      </c>
      <c r="D5875" t="inlineStr">
        <is>
          <t>Operation</t>
        </is>
      </c>
      <c r="E5875" t="inlineStr">
        <is>
          <t>PKO Market Share (domestic)</t>
        </is>
      </c>
      <c r="F5875" t="n">
        <v>0.4</v>
      </c>
      <c r="G5875" t="inlineStr">
        <is>
          <t>%</t>
        </is>
      </c>
      <c r="H5875" t="n">
        <v>111</v>
      </c>
      <c r="I5875" t="inlineStr">
        <is>
          <t>produksi PKO Perseroan tahun 2025 mencapai 22 ribu ton atau di bawah 0,4% dari pasar nasional</t>
        </is>
      </c>
      <c r="J5875" t="inlineStr">
        <is>
          <t>High</t>
        </is>
      </c>
      <c r="M5875" t="inlineStr">
        <is>
          <t>LLM</t>
        </is>
      </c>
      <c r="N5875" t="inlineStr">
        <is>
          <t>2026-04-19</t>
        </is>
      </c>
      <c r="O5875" t="inlineStr">
        <is>
          <t>AI</t>
        </is>
      </c>
    </row>
    <row r="5876">
      <c r="A5876" t="inlineStr">
        <is>
          <t>PT Triputra Agro Persada Tbk</t>
        </is>
      </c>
      <c r="B5876" t="inlineStr">
        <is>
          <t>TAPG_2025_AR.pdf</t>
        </is>
      </c>
      <c r="C5876" t="n">
        <v>2025</v>
      </c>
      <c r="D5876" t="inlineStr">
        <is>
          <t>ESG</t>
        </is>
      </c>
      <c r="E5876" t="inlineStr">
        <is>
          <t>2026 Strategy - New Mill Plan</t>
        </is>
      </c>
      <c r="F5876" t="inlineStr">
        <is>
          <t>1 new palm oil mill in East Kalimantan</t>
        </is>
      </c>
      <c r="G5876" t="inlineStr">
        <is>
          <t>text</t>
        </is>
      </c>
      <c r="H5876" t="n">
        <v>112</v>
      </c>
      <c r="I5876" t="inlineStr">
        <is>
          <t>1. Membangun pabrik kelapa sawit baru di Kalimantan Timur</t>
        </is>
      </c>
      <c r="J5876" t="inlineStr">
        <is>
          <t>High</t>
        </is>
      </c>
      <c r="M5876" t="inlineStr">
        <is>
          <t>LLM</t>
        </is>
      </c>
      <c r="N5876" t="inlineStr">
        <is>
          <t>2026-04-19</t>
        </is>
      </c>
      <c r="O5876" t="inlineStr">
        <is>
          <t>AI</t>
        </is>
      </c>
    </row>
    <row r="5877">
      <c r="A5877" t="inlineStr">
        <is>
          <t>PT Triputra Agro Persada Tbk</t>
        </is>
      </c>
      <c r="B5877" t="inlineStr">
        <is>
          <t>TAPG_2025_AR.pdf</t>
        </is>
      </c>
      <c r="C5877" t="n">
        <v>2025</v>
      </c>
      <c r="D5877" t="inlineStr">
        <is>
          <t>ESG</t>
        </is>
      </c>
      <c r="E5877" t="inlineStr">
        <is>
          <t>Biogas Power Plant (PLTBg)</t>
        </is>
      </c>
      <c r="F5877" t="inlineStr">
        <is>
          <t>1 in Central Kalimantan</t>
        </is>
      </c>
      <c r="G5877" t="inlineStr">
        <is>
          <t>count</t>
        </is>
      </c>
      <c r="H5877" t="n">
        <v>99</v>
      </c>
      <c r="I5877" t="inlineStr">
        <is>
          <t>PKS with PLTBg Biogas Plant operational in Central Kalimantan</t>
        </is>
      </c>
      <c r="J5877" t="inlineStr">
        <is>
          <t>High</t>
        </is>
      </c>
      <c r="M5877" t="inlineStr">
        <is>
          <t>LLM</t>
        </is>
      </c>
      <c r="N5877" t="inlineStr">
        <is>
          <t>2026-04-19</t>
        </is>
      </c>
      <c r="O5877" t="inlineStr">
        <is>
          <t>AI</t>
        </is>
      </c>
    </row>
    <row r="5878">
      <c r="A5878" t="inlineStr">
        <is>
          <t>PT Teladan Prima Agro Tbk</t>
        </is>
      </c>
      <c r="B5878" t="inlineStr">
        <is>
          <t>TLDN_2023_AR.pdf</t>
        </is>
      </c>
      <c r="C5878" t="n">
        <v>2023</v>
      </c>
      <c r="D5878" t="inlineStr">
        <is>
          <t>Company</t>
        </is>
      </c>
      <c r="E5878" t="inlineStr">
        <is>
          <t>Company Name</t>
        </is>
      </c>
      <c r="F5878" t="inlineStr">
        <is>
          <t>PT Teladan Prima Agro Tbk</t>
        </is>
      </c>
      <c r="G5878" t="inlineStr">
        <is>
          <t>text</t>
        </is>
      </c>
      <c r="H5878" t="n">
        <v>6</v>
      </c>
      <c r="I5878" t="inlineStr">
        <is>
          <t>PT Teladan Prima Agro Tbk - Perusahaan Terbuka</t>
        </is>
      </c>
      <c r="J5878" t="inlineStr">
        <is>
          <t>High</t>
        </is>
      </c>
      <c r="M5878" t="inlineStr">
        <is>
          <t>LLM</t>
        </is>
      </c>
      <c r="N5878" t="inlineStr">
        <is>
          <t>2026-04-19</t>
        </is>
      </c>
      <c r="O5878" t="inlineStr">
        <is>
          <t>AI</t>
        </is>
      </c>
    </row>
    <row r="5879">
      <c r="A5879" t="inlineStr">
        <is>
          <t>PT Teladan Prima Agro Tbk</t>
        </is>
      </c>
      <c r="B5879" t="inlineStr">
        <is>
          <t>TLDN_2023_AR.pdf</t>
        </is>
      </c>
      <c r="C5879" t="n">
        <v>2023</v>
      </c>
      <c r="D5879" t="inlineStr">
        <is>
          <t>Company</t>
        </is>
      </c>
      <c r="E5879" t="inlineStr">
        <is>
          <t>Ticker</t>
        </is>
      </c>
      <c r="F5879" t="inlineStr">
        <is>
          <t>TLDN</t>
        </is>
      </c>
      <c r="G5879" t="inlineStr">
        <is>
          <t>text</t>
        </is>
      </c>
      <c r="H5879" t="n">
        <v>6</v>
      </c>
      <c r="I5879" t="inlineStr">
        <is>
          <t>Kode Saham TLDN; Pencatatan Saham 12 April 2022</t>
        </is>
      </c>
      <c r="J5879" t="inlineStr">
        <is>
          <t>High</t>
        </is>
      </c>
      <c r="M5879" t="inlineStr">
        <is>
          <t>LLM</t>
        </is>
      </c>
      <c r="N5879" t="inlineStr">
        <is>
          <t>2026-04-19</t>
        </is>
      </c>
      <c r="O5879" t="inlineStr">
        <is>
          <t>AI</t>
        </is>
      </c>
    </row>
    <row r="5880">
      <c r="A5880" t="inlineStr">
        <is>
          <t>PT Teladan Prima Agro Tbk</t>
        </is>
      </c>
      <c r="B5880" t="inlineStr">
        <is>
          <t>TLDN_2023_AR.pdf</t>
        </is>
      </c>
      <c r="C5880" t="n">
        <v>2023</v>
      </c>
      <c r="D5880" t="inlineStr">
        <is>
          <t>Company</t>
        </is>
      </c>
      <c r="E5880" t="inlineStr">
        <is>
          <t>Listing Date</t>
        </is>
      </c>
      <c r="F5880" t="inlineStr">
        <is>
          <t>12 April 2022</t>
        </is>
      </c>
      <c r="G5880" t="inlineStr">
        <is>
          <t>text</t>
        </is>
      </c>
      <c r="H5880" t="n">
        <v>6</v>
      </c>
      <c r="I5880" t="inlineStr">
        <is>
          <t>Pencatatan Saham 12 April 2022</t>
        </is>
      </c>
      <c r="J5880" t="inlineStr">
        <is>
          <t>High</t>
        </is>
      </c>
      <c r="M5880" t="inlineStr">
        <is>
          <t>LLM</t>
        </is>
      </c>
      <c r="N5880" t="inlineStr">
        <is>
          <t>2026-04-19</t>
        </is>
      </c>
      <c r="O5880" t="inlineStr">
        <is>
          <t>AI</t>
        </is>
      </c>
    </row>
    <row r="5881">
      <c r="A5881" t="inlineStr">
        <is>
          <t>PT Teladan Prima Agro Tbk</t>
        </is>
      </c>
      <c r="B5881" t="inlineStr">
        <is>
          <t>TLDN_2023_AR.pdf</t>
        </is>
      </c>
      <c r="C5881" t="n">
        <v>2023</v>
      </c>
      <c r="D5881" t="inlineStr">
        <is>
          <t>Company</t>
        </is>
      </c>
      <c r="E5881" t="inlineStr">
        <is>
          <t>Controlling Shareholder</t>
        </is>
      </c>
      <c r="F5881" t="inlineStr">
        <is>
          <t>PT Teladan Resources 59.88%</t>
        </is>
      </c>
      <c r="G5881" t="inlineStr">
        <is>
          <t>%</t>
        </is>
      </c>
      <c r="H5881" t="n">
        <v>78</v>
      </c>
      <c r="I5881" t="inlineStr">
        <is>
          <t>PT Teladan Resources* 59,88%; Dimiliki dan dikendalikan oleh Wiwoho Basuki Tjokronegoro dan keluarga.</t>
        </is>
      </c>
      <c r="J5881" t="inlineStr">
        <is>
          <t>High</t>
        </is>
      </c>
      <c r="M5881" t="inlineStr">
        <is>
          <t>LLM</t>
        </is>
      </c>
      <c r="N5881" t="inlineStr">
        <is>
          <t>2026-04-19</t>
        </is>
      </c>
      <c r="O5881" t="inlineStr">
        <is>
          <t>AI</t>
        </is>
      </c>
    </row>
    <row r="5882">
      <c r="A5882" t="inlineStr">
        <is>
          <t>PT Teladan Prima Agro Tbk</t>
        </is>
      </c>
      <c r="B5882" t="inlineStr">
        <is>
          <t>TLDN_2023_AR.pdf</t>
        </is>
      </c>
      <c r="C5882" t="n">
        <v>2023</v>
      </c>
      <c r="D5882" t="inlineStr">
        <is>
          <t>Company</t>
        </is>
      </c>
      <c r="E5882" t="inlineStr">
        <is>
          <t>Ahmad Gunung Ownership</t>
        </is>
      </c>
      <c r="F5882" t="n">
        <v>0.1622</v>
      </c>
      <c r="G5882" t="inlineStr">
        <is>
          <t>%</t>
        </is>
      </c>
      <c r="H5882" t="n">
        <v>6</v>
      </c>
      <c r="I5882" t="inlineStr">
        <is>
          <t>Ahmad Gunung : 16,22%</t>
        </is>
      </c>
      <c r="J5882" t="inlineStr">
        <is>
          <t>High</t>
        </is>
      </c>
      <c r="M5882" t="inlineStr">
        <is>
          <t>LLM</t>
        </is>
      </c>
      <c r="N5882" t="inlineStr">
        <is>
          <t>2026-04-19</t>
        </is>
      </c>
      <c r="O5882" t="inlineStr">
        <is>
          <t>AI</t>
        </is>
      </c>
    </row>
    <row r="5883">
      <c r="A5883" t="inlineStr">
        <is>
          <t>PT Teladan Prima Agro Tbk</t>
        </is>
      </c>
      <c r="B5883" t="inlineStr">
        <is>
          <t>TLDN_2023_AR.pdf</t>
        </is>
      </c>
      <c r="C5883" t="n">
        <v>2023</v>
      </c>
      <c r="D5883" t="inlineStr">
        <is>
          <t>Company</t>
        </is>
      </c>
      <c r="E5883" t="inlineStr">
        <is>
          <t>Wishnu Wardhana Ownership</t>
        </is>
      </c>
      <c r="F5883" t="n">
        <v>0.1622</v>
      </c>
      <c r="G5883" t="inlineStr">
        <is>
          <t>%</t>
        </is>
      </c>
      <c r="H5883" t="n">
        <v>6</v>
      </c>
      <c r="I5883" t="inlineStr">
        <is>
          <t>Wishnu Wardhana : 16,22%</t>
        </is>
      </c>
      <c r="J5883" t="inlineStr">
        <is>
          <t>High</t>
        </is>
      </c>
      <c r="M5883" t="inlineStr">
        <is>
          <t>LLM</t>
        </is>
      </c>
      <c r="N5883" t="inlineStr">
        <is>
          <t>2026-04-19</t>
        </is>
      </c>
      <c r="O5883" t="inlineStr">
        <is>
          <t>AI</t>
        </is>
      </c>
    </row>
    <row r="5884">
      <c r="A5884" t="inlineStr">
        <is>
          <t>PT Teladan Prima Agro Tbk</t>
        </is>
      </c>
      <c r="B5884" t="inlineStr">
        <is>
          <t>TLDN_2023_AR.pdf</t>
        </is>
      </c>
      <c r="C5884" t="n">
        <v>2023</v>
      </c>
      <c r="D5884" t="inlineStr">
        <is>
          <t>Company</t>
        </is>
      </c>
      <c r="E5884" t="inlineStr">
        <is>
          <t>Public Float</t>
        </is>
      </c>
      <c r="F5884" t="n">
        <v>0.075</v>
      </c>
      <c r="G5884" t="inlineStr">
        <is>
          <t>%</t>
        </is>
      </c>
      <c r="H5884" t="n">
        <v>6</v>
      </c>
      <c r="I5884" t="inlineStr">
        <is>
          <t>Masyarakat / Public : 7,50%</t>
        </is>
      </c>
      <c r="J5884" t="inlineStr">
        <is>
          <t>High</t>
        </is>
      </c>
      <c r="M5884" t="inlineStr">
        <is>
          <t>LLM</t>
        </is>
      </c>
      <c r="N5884" t="inlineStr">
        <is>
          <t>2026-04-19</t>
        </is>
      </c>
      <c r="O5884" t="inlineStr">
        <is>
          <t>AI</t>
        </is>
      </c>
    </row>
    <row r="5885">
      <c r="A5885" t="inlineStr">
        <is>
          <t>PT Teladan Prima Agro Tbk</t>
        </is>
      </c>
      <c r="B5885" t="inlineStr">
        <is>
          <t>TLDN_2023_AR.pdf</t>
        </is>
      </c>
      <c r="C5885" t="n">
        <v>2023</v>
      </c>
      <c r="D5885" t="inlineStr">
        <is>
          <t>Company</t>
        </is>
      </c>
      <c r="E5885" t="inlineStr">
        <is>
          <t>Date of Establishment</t>
        </is>
      </c>
      <c r="F5885" t="inlineStr">
        <is>
          <t>10 May 2004</t>
        </is>
      </c>
      <c r="G5885" t="inlineStr">
        <is>
          <t>text</t>
        </is>
      </c>
      <c r="H5885" t="n">
        <v>6</v>
      </c>
      <c r="I5885" t="inlineStr">
        <is>
          <t>Tanggal Pendirian 10 Mei 2004</t>
        </is>
      </c>
      <c r="J5885" t="inlineStr">
        <is>
          <t>High</t>
        </is>
      </c>
      <c r="M5885" t="inlineStr">
        <is>
          <t>LLM</t>
        </is>
      </c>
      <c r="N5885" t="inlineStr">
        <is>
          <t>2026-04-19</t>
        </is>
      </c>
      <c r="O5885" t="inlineStr">
        <is>
          <t>AI</t>
        </is>
      </c>
    </row>
    <row r="5886">
      <c r="A5886" t="inlineStr">
        <is>
          <t>PT Teladan Prima Agro Tbk</t>
        </is>
      </c>
      <c r="B5886" t="inlineStr">
        <is>
          <t>TLDN_2023_AR.pdf</t>
        </is>
      </c>
      <c r="C5886" t="n">
        <v>2023</v>
      </c>
      <c r="D5886" t="inlineStr">
        <is>
          <t>Company</t>
        </is>
      </c>
      <c r="E5886" t="inlineStr">
        <is>
          <t>Total Employees</t>
        </is>
      </c>
      <c r="F5886" t="n">
        <v>11359</v>
      </c>
      <c r="G5886" t="inlineStr">
        <is>
          <t>persons</t>
        </is>
      </c>
      <c r="H5886" t="n">
        <v>6</v>
      </c>
      <c r="I5886" t="inlineStr">
        <is>
          <t>Jumlah Karyawan 11.359 karyawan (per Desember 2023)</t>
        </is>
      </c>
      <c r="J5886" t="inlineStr">
        <is>
          <t>High</t>
        </is>
      </c>
      <c r="M5886" t="inlineStr">
        <is>
          <t>LLM</t>
        </is>
      </c>
      <c r="N5886" t="inlineStr">
        <is>
          <t>2026-04-19</t>
        </is>
      </c>
      <c r="O5886" t="inlineStr">
        <is>
          <t>AI</t>
        </is>
      </c>
    </row>
    <row r="5887">
      <c r="A5887" t="inlineStr">
        <is>
          <t>PT Teladan Prima Agro Tbk</t>
        </is>
      </c>
      <c r="B5887" t="inlineStr">
        <is>
          <t>TLDN_2023_AR.pdf</t>
        </is>
      </c>
      <c r="C5887" t="n">
        <v>2023</v>
      </c>
      <c r="D5887" t="inlineStr">
        <is>
          <t>Company</t>
        </is>
      </c>
      <c r="E5887" t="inlineStr">
        <is>
          <t>Number of Subsidiaries</t>
        </is>
      </c>
      <c r="F5887" t="n">
        <v>9</v>
      </c>
      <c r="G5887" t="inlineStr">
        <is>
          <t>count</t>
        </is>
      </c>
      <c r="H5887" t="n">
        <v>78</v>
      </c>
      <c r="I5887" t="inlineStr">
        <is>
          <t>Perseroan mempunyai 9 Entitas Anak</t>
        </is>
      </c>
      <c r="J5887" t="inlineStr">
        <is>
          <t>High</t>
        </is>
      </c>
      <c r="M5887" t="inlineStr">
        <is>
          <t>LLM</t>
        </is>
      </c>
      <c r="N5887" t="inlineStr">
        <is>
          <t>2026-04-19</t>
        </is>
      </c>
      <c r="O5887" t="inlineStr">
        <is>
          <t>AI</t>
        </is>
      </c>
    </row>
    <row r="5888">
      <c r="A5888" t="inlineStr">
        <is>
          <t>PT Teladan Prima Agro Tbk</t>
        </is>
      </c>
      <c r="B5888" t="inlineStr">
        <is>
          <t>TLDN_2023_AR.pdf</t>
        </is>
      </c>
      <c r="C5888" t="n">
        <v>2023</v>
      </c>
      <c r="D5888" t="inlineStr">
        <is>
          <t>Financial</t>
        </is>
      </c>
      <c r="E5888" t="inlineStr">
        <is>
          <t>Revenue</t>
        </is>
      </c>
      <c r="F5888" t="n">
        <v>4007</v>
      </c>
      <c r="G5888" t="inlineStr">
        <is>
          <t>IDR bn</t>
        </is>
      </c>
      <c r="H5888" t="n">
        <v>13</v>
      </c>
      <c r="I5888" t="inlineStr">
        <is>
          <t>Pendapatan 4.007.082 3.613.177 (in million Rp)</t>
        </is>
      </c>
      <c r="J5888" t="inlineStr">
        <is>
          <t>High</t>
        </is>
      </c>
      <c r="M5888" t="inlineStr">
        <is>
          <t>LLM</t>
        </is>
      </c>
      <c r="N5888" t="inlineStr">
        <is>
          <t>2026-04-19</t>
        </is>
      </c>
      <c r="O5888" t="inlineStr">
        <is>
          <t>AI</t>
        </is>
      </c>
    </row>
    <row r="5889">
      <c r="A5889" t="inlineStr">
        <is>
          <t>PT Teladan Prima Agro Tbk</t>
        </is>
      </c>
      <c r="B5889" t="inlineStr">
        <is>
          <t>TLDN_2023_AR.pdf</t>
        </is>
      </c>
      <c r="C5889" t="n">
        <v>2023</v>
      </c>
      <c r="D5889" t="inlineStr">
        <is>
          <t>Financial</t>
        </is>
      </c>
      <c r="E5889" t="inlineStr">
        <is>
          <t>Cost of Goods Sold</t>
        </is>
      </c>
      <c r="F5889" t="n">
        <v>2937</v>
      </c>
      <c r="G5889" t="inlineStr">
        <is>
          <t>IDR bn</t>
        </is>
      </c>
      <c r="H5889" t="n">
        <v>13</v>
      </c>
      <c r="I5889" t="inlineStr">
        <is>
          <t>Beban Pokok Penjualan (2.936.769) (2.366.654)</t>
        </is>
      </c>
      <c r="J5889" t="inlineStr">
        <is>
          <t>High</t>
        </is>
      </c>
      <c r="M5889" t="inlineStr">
        <is>
          <t>LLM</t>
        </is>
      </c>
      <c r="N5889" t="inlineStr">
        <is>
          <t>2026-04-19</t>
        </is>
      </c>
      <c r="O5889" t="inlineStr">
        <is>
          <t>AI</t>
        </is>
      </c>
    </row>
    <row r="5890">
      <c r="A5890" t="inlineStr">
        <is>
          <t>PT Teladan Prima Agro Tbk</t>
        </is>
      </c>
      <c r="B5890" t="inlineStr">
        <is>
          <t>TLDN_2023_AR.pdf</t>
        </is>
      </c>
      <c r="C5890" t="n">
        <v>2023</v>
      </c>
      <c r="D5890" t="inlineStr">
        <is>
          <t>Financial</t>
        </is>
      </c>
      <c r="E5890" t="inlineStr">
        <is>
          <t>Gross Profit</t>
        </is>
      </c>
      <c r="F5890" t="n">
        <v>1070</v>
      </c>
      <c r="G5890" t="inlineStr">
        <is>
          <t>IDR bn</t>
        </is>
      </c>
      <c r="H5890" t="n">
        <v>13</v>
      </c>
      <c r="I5890" t="inlineStr">
        <is>
          <t>Laba Bruto 1.070.313 1.246.522</t>
        </is>
      </c>
      <c r="J5890" t="inlineStr">
        <is>
          <t>High</t>
        </is>
      </c>
      <c r="M5890" t="inlineStr">
        <is>
          <t>LLM</t>
        </is>
      </c>
      <c r="N5890" t="inlineStr">
        <is>
          <t>2026-04-19</t>
        </is>
      </c>
      <c r="O5890" t="inlineStr">
        <is>
          <t>AI</t>
        </is>
      </c>
    </row>
    <row r="5891">
      <c r="A5891" t="inlineStr">
        <is>
          <t>PT Teladan Prima Agro Tbk</t>
        </is>
      </c>
      <c r="B5891" t="inlineStr">
        <is>
          <t>TLDN_2023_AR.pdf</t>
        </is>
      </c>
      <c r="C5891" t="n">
        <v>2023</v>
      </c>
      <c r="D5891" t="inlineStr">
        <is>
          <t>Financial</t>
        </is>
      </c>
      <c r="E5891" t="inlineStr">
        <is>
          <t>Operating Profit (Laba Usaha)</t>
        </is>
      </c>
      <c r="F5891" t="n">
        <v>710</v>
      </c>
      <c r="G5891" t="inlineStr">
        <is>
          <t>IDR bn</t>
        </is>
      </c>
      <c r="H5891" t="n">
        <v>13</v>
      </c>
      <c r="I5891" t="inlineStr">
        <is>
          <t>Laba Usaha 710.026 835.657</t>
        </is>
      </c>
      <c r="J5891" t="inlineStr">
        <is>
          <t>High</t>
        </is>
      </c>
      <c r="M5891" t="inlineStr">
        <is>
          <t>LLM</t>
        </is>
      </c>
      <c r="N5891" t="inlineStr">
        <is>
          <t>2026-04-19</t>
        </is>
      </c>
      <c r="O5891" t="inlineStr">
        <is>
          <t>AI</t>
        </is>
      </c>
    </row>
    <row r="5892">
      <c r="A5892" t="inlineStr">
        <is>
          <t>PT Teladan Prima Agro Tbk</t>
        </is>
      </c>
      <c r="B5892" t="inlineStr">
        <is>
          <t>TLDN_2023_AR.pdf</t>
        </is>
      </c>
      <c r="C5892" t="n">
        <v>2023</v>
      </c>
      <c r="D5892" t="inlineStr">
        <is>
          <t>Financial</t>
        </is>
      </c>
      <c r="E5892" t="inlineStr">
        <is>
          <t>Finance Costs</t>
        </is>
      </c>
      <c r="F5892" t="n">
        <v>108</v>
      </c>
      <c r="G5892" t="inlineStr">
        <is>
          <t>IDR bn</t>
        </is>
      </c>
      <c r="H5892" t="n">
        <v>13</v>
      </c>
      <c r="I5892" t="inlineStr">
        <is>
          <t>Beban Keuangan (107.542) (142.876)</t>
        </is>
      </c>
      <c r="J5892" t="inlineStr">
        <is>
          <t>High</t>
        </is>
      </c>
      <c r="M5892" t="inlineStr">
        <is>
          <t>LLM</t>
        </is>
      </c>
      <c r="N5892" t="inlineStr">
        <is>
          <t>2026-04-19</t>
        </is>
      </c>
      <c r="O5892" t="inlineStr">
        <is>
          <t>AI</t>
        </is>
      </c>
    </row>
    <row r="5893">
      <c r="A5893" t="inlineStr">
        <is>
          <t>PT Teladan Prima Agro Tbk</t>
        </is>
      </c>
      <c r="B5893" t="inlineStr">
        <is>
          <t>TLDN_2023_AR.pdf</t>
        </is>
      </c>
      <c r="C5893" t="n">
        <v>2023</v>
      </c>
      <c r="D5893" t="inlineStr">
        <is>
          <t>Financial</t>
        </is>
      </c>
      <c r="E5893" t="inlineStr">
        <is>
          <t>Profit Before Income Tax</t>
        </is>
      </c>
      <c r="F5893" t="n">
        <v>621</v>
      </c>
      <c r="G5893" t="inlineStr">
        <is>
          <t>IDR bn</t>
        </is>
      </c>
      <c r="H5893" t="n">
        <v>13</v>
      </c>
      <c r="I5893" t="inlineStr">
        <is>
          <t>Laba Sebelum Pajak Penghasilan 621.149 705.841</t>
        </is>
      </c>
      <c r="J5893" t="inlineStr">
        <is>
          <t>High</t>
        </is>
      </c>
      <c r="M5893" t="inlineStr">
        <is>
          <t>LLM</t>
        </is>
      </c>
      <c r="N5893" t="inlineStr">
        <is>
          <t>2026-04-19</t>
        </is>
      </c>
      <c r="O5893" t="inlineStr">
        <is>
          <t>AI</t>
        </is>
      </c>
    </row>
    <row r="5894">
      <c r="A5894" t="inlineStr">
        <is>
          <t>PT Teladan Prima Agro Tbk</t>
        </is>
      </c>
      <c r="B5894" t="inlineStr">
        <is>
          <t>TLDN_2023_AR.pdf</t>
        </is>
      </c>
      <c r="C5894" t="n">
        <v>2023</v>
      </c>
      <c r="D5894" t="inlineStr">
        <is>
          <t>Financial</t>
        </is>
      </c>
      <c r="E5894" t="inlineStr">
        <is>
          <t>Income Tax Expense</t>
        </is>
      </c>
      <c r="F5894" t="n">
        <v>169</v>
      </c>
      <c r="G5894" t="inlineStr">
        <is>
          <t>IDR bn</t>
        </is>
      </c>
      <c r="H5894" t="n">
        <v>13</v>
      </c>
      <c r="I5894" t="inlineStr">
        <is>
          <t>Beban Pajak Penghasilan (169.355) (131.862)</t>
        </is>
      </c>
      <c r="J5894" t="inlineStr">
        <is>
          <t>High</t>
        </is>
      </c>
      <c r="M5894" t="inlineStr">
        <is>
          <t>LLM</t>
        </is>
      </c>
      <c r="N5894" t="inlineStr">
        <is>
          <t>2026-04-19</t>
        </is>
      </c>
      <c r="O5894" t="inlineStr">
        <is>
          <t>AI</t>
        </is>
      </c>
    </row>
    <row r="5895">
      <c r="A5895" t="inlineStr">
        <is>
          <t>PT Teladan Prima Agro Tbk</t>
        </is>
      </c>
      <c r="B5895" t="inlineStr">
        <is>
          <t>TLDN_2023_AR.pdf</t>
        </is>
      </c>
      <c r="C5895" t="n">
        <v>2023</v>
      </c>
      <c r="D5895" t="inlineStr">
        <is>
          <t>Financial</t>
        </is>
      </c>
      <c r="E5895" t="inlineStr">
        <is>
          <t>Net Profit</t>
        </is>
      </c>
      <c r="F5895" t="n">
        <v>452</v>
      </c>
      <c r="G5895" t="inlineStr">
        <is>
          <t>IDR bn</t>
        </is>
      </c>
      <c r="H5895" t="n">
        <v>13</v>
      </c>
      <c r="I5895" t="inlineStr">
        <is>
          <t>Laba Tahun Berjalan 451.794 573.979</t>
        </is>
      </c>
      <c r="J5895" t="inlineStr">
        <is>
          <t>High</t>
        </is>
      </c>
      <c r="M5895" t="inlineStr">
        <is>
          <t>LLM</t>
        </is>
      </c>
      <c r="N5895" t="inlineStr">
        <is>
          <t>2026-04-19</t>
        </is>
      </c>
      <c r="O5895" t="inlineStr">
        <is>
          <t>AI</t>
        </is>
      </c>
    </row>
    <row r="5896">
      <c r="A5896" t="inlineStr">
        <is>
          <t>PT Teladan Prima Agro Tbk</t>
        </is>
      </c>
      <c r="B5896" t="inlineStr">
        <is>
          <t>TLDN_2023_AR.pdf</t>
        </is>
      </c>
      <c r="C5896" t="n">
        <v>2023</v>
      </c>
      <c r="D5896" t="inlineStr">
        <is>
          <t>Financial</t>
        </is>
      </c>
      <c r="E5896" t="inlineStr">
        <is>
          <t>Profit Attributable to Parent</t>
        </is>
      </c>
      <c r="F5896" t="n">
        <v>452</v>
      </c>
      <c r="G5896" t="inlineStr">
        <is>
          <t>IDR bn</t>
        </is>
      </c>
      <c r="H5896" t="n">
        <v>14</v>
      </c>
      <c r="I5896" t="inlineStr">
        <is>
          <t>Pemilik Entitas Induk 451.790 573.974</t>
        </is>
      </c>
      <c r="J5896" t="inlineStr">
        <is>
          <t>High</t>
        </is>
      </c>
      <c r="M5896" t="inlineStr">
        <is>
          <t>LLM</t>
        </is>
      </c>
      <c r="N5896" t="inlineStr">
        <is>
          <t>2026-04-19</t>
        </is>
      </c>
      <c r="O5896" t="inlineStr">
        <is>
          <t>AI</t>
        </is>
      </c>
    </row>
    <row r="5897">
      <c r="A5897" t="inlineStr">
        <is>
          <t>PT Teladan Prima Agro Tbk</t>
        </is>
      </c>
      <c r="B5897" t="inlineStr">
        <is>
          <t>TLDN_2023_AR.pdf</t>
        </is>
      </c>
      <c r="C5897" t="n">
        <v>2023</v>
      </c>
      <c r="D5897" t="inlineStr">
        <is>
          <t>Financial</t>
        </is>
      </c>
      <c r="E5897" t="inlineStr">
        <is>
          <t>Total Assets</t>
        </is>
      </c>
      <c r="F5897" t="n">
        <v>5424</v>
      </c>
      <c r="G5897" t="inlineStr">
        <is>
          <t>IDR bn</t>
        </is>
      </c>
      <c r="H5897" t="n">
        <v>13</v>
      </c>
      <c r="I5897" t="inlineStr">
        <is>
          <t>Total Aset 5.423.799 5.224.552</t>
        </is>
      </c>
      <c r="J5897" t="inlineStr">
        <is>
          <t>High</t>
        </is>
      </c>
      <c r="M5897" t="inlineStr">
        <is>
          <t>LLM</t>
        </is>
      </c>
      <c r="N5897" t="inlineStr">
        <is>
          <t>2026-04-19</t>
        </is>
      </c>
      <c r="O5897" t="inlineStr">
        <is>
          <t>AI</t>
        </is>
      </c>
    </row>
    <row r="5898">
      <c r="A5898" t="inlineStr">
        <is>
          <t>PT Teladan Prima Agro Tbk</t>
        </is>
      </c>
      <c r="B5898" t="inlineStr">
        <is>
          <t>TLDN_2023_AR.pdf</t>
        </is>
      </c>
      <c r="C5898" t="n">
        <v>2023</v>
      </c>
      <c r="D5898" t="inlineStr">
        <is>
          <t>Financial</t>
        </is>
      </c>
      <c r="E5898" t="inlineStr">
        <is>
          <t>Current Assets</t>
        </is>
      </c>
      <c r="F5898" t="n">
        <v>1614</v>
      </c>
      <c r="G5898" t="inlineStr">
        <is>
          <t>IDR bn</t>
        </is>
      </c>
      <c r="H5898" t="n">
        <v>13</v>
      </c>
      <c r="I5898" t="inlineStr">
        <is>
          <t>Aset Lancar 1.613.999 1.756.867</t>
        </is>
      </c>
      <c r="J5898" t="inlineStr">
        <is>
          <t>High</t>
        </is>
      </c>
      <c r="M5898" t="inlineStr">
        <is>
          <t>LLM</t>
        </is>
      </c>
      <c r="N5898" t="inlineStr">
        <is>
          <t>2026-04-19</t>
        </is>
      </c>
      <c r="O5898" t="inlineStr">
        <is>
          <t>AI</t>
        </is>
      </c>
    </row>
    <row r="5899">
      <c r="A5899" t="inlineStr">
        <is>
          <t>PT Teladan Prima Agro Tbk</t>
        </is>
      </c>
      <c r="B5899" t="inlineStr">
        <is>
          <t>TLDN_2023_AR.pdf</t>
        </is>
      </c>
      <c r="C5899" t="n">
        <v>2023</v>
      </c>
      <c r="D5899" t="inlineStr">
        <is>
          <t>Financial</t>
        </is>
      </c>
      <c r="E5899" t="inlineStr">
        <is>
          <t>Non-Current Assets</t>
        </is>
      </c>
      <c r="F5899" t="n">
        <v>3810</v>
      </c>
      <c r="G5899" t="inlineStr">
        <is>
          <t>IDR bn</t>
        </is>
      </c>
      <c r="H5899" t="n">
        <v>13</v>
      </c>
      <c r="I5899" t="inlineStr">
        <is>
          <t>Aset Tidak Lancar 3.809.800 3.467.685</t>
        </is>
      </c>
      <c r="J5899" t="inlineStr">
        <is>
          <t>High</t>
        </is>
      </c>
      <c r="M5899" t="inlineStr">
        <is>
          <t>LLM</t>
        </is>
      </c>
      <c r="N5899" t="inlineStr">
        <is>
          <t>2026-04-19</t>
        </is>
      </c>
      <c r="O5899" t="inlineStr">
        <is>
          <t>AI</t>
        </is>
      </c>
    </row>
    <row r="5900">
      <c r="A5900" t="inlineStr">
        <is>
          <t>PT Teladan Prima Agro Tbk</t>
        </is>
      </c>
      <c r="B5900" t="inlineStr">
        <is>
          <t>TLDN_2023_AR.pdf</t>
        </is>
      </c>
      <c r="C5900" t="n">
        <v>2023</v>
      </c>
      <c r="D5900" t="inlineStr">
        <is>
          <t>Financial</t>
        </is>
      </c>
      <c r="E5900" t="inlineStr">
        <is>
          <t>Total Liabilities</t>
        </is>
      </c>
      <c r="F5900" t="n">
        <v>2966</v>
      </c>
      <c r="G5900" t="inlineStr">
        <is>
          <t>IDR bn</t>
        </is>
      </c>
      <c r="H5900" t="n">
        <v>13</v>
      </c>
      <c r="I5900" t="inlineStr">
        <is>
          <t>Total Liabilitas 2.965.522 3.044.544</t>
        </is>
      </c>
      <c r="J5900" t="inlineStr">
        <is>
          <t>High</t>
        </is>
      </c>
      <c r="M5900" t="inlineStr">
        <is>
          <t>LLM</t>
        </is>
      </c>
      <c r="N5900" t="inlineStr">
        <is>
          <t>2026-04-19</t>
        </is>
      </c>
      <c r="O5900" t="inlineStr">
        <is>
          <t>AI</t>
        </is>
      </c>
    </row>
    <row r="5901">
      <c r="A5901" t="inlineStr">
        <is>
          <t>PT Teladan Prima Agro Tbk</t>
        </is>
      </c>
      <c r="B5901" t="inlineStr">
        <is>
          <t>TLDN_2023_AR.pdf</t>
        </is>
      </c>
      <c r="C5901" t="n">
        <v>2023</v>
      </c>
      <c r="D5901" t="inlineStr">
        <is>
          <t>Financial</t>
        </is>
      </c>
      <c r="E5901" t="inlineStr">
        <is>
          <t>Current Liabilities</t>
        </is>
      </c>
      <c r="F5901" t="n">
        <v>1690</v>
      </c>
      <c r="G5901" t="inlineStr">
        <is>
          <t>IDR bn</t>
        </is>
      </c>
      <c r="H5901" t="n">
        <v>13</v>
      </c>
      <c r="I5901" t="inlineStr">
        <is>
          <t>Liabilitas Jangka Pendek 1.689.684 1.521.099</t>
        </is>
      </c>
      <c r="J5901" t="inlineStr">
        <is>
          <t>High</t>
        </is>
      </c>
      <c r="M5901" t="inlineStr">
        <is>
          <t>LLM</t>
        </is>
      </c>
      <c r="N5901" t="inlineStr">
        <is>
          <t>2026-04-19</t>
        </is>
      </c>
      <c r="O5901" t="inlineStr">
        <is>
          <t>AI</t>
        </is>
      </c>
    </row>
    <row r="5902">
      <c r="A5902" t="inlineStr">
        <is>
          <t>PT Teladan Prima Agro Tbk</t>
        </is>
      </c>
      <c r="B5902" t="inlineStr">
        <is>
          <t>TLDN_2023_AR.pdf</t>
        </is>
      </c>
      <c r="C5902" t="n">
        <v>2023</v>
      </c>
      <c r="D5902" t="inlineStr">
        <is>
          <t>Financial</t>
        </is>
      </c>
      <c r="E5902" t="inlineStr">
        <is>
          <t>Non-Current Liabilities</t>
        </is>
      </c>
      <c r="F5902" t="n">
        <v>1276</v>
      </c>
      <c r="G5902" t="inlineStr">
        <is>
          <t>IDR bn</t>
        </is>
      </c>
      <c r="H5902" t="n">
        <v>13</v>
      </c>
      <c r="I5902" t="inlineStr">
        <is>
          <t>Liabilitas Jangka Panjang 1.275.838 1.523.446</t>
        </is>
      </c>
      <c r="J5902" t="inlineStr">
        <is>
          <t>High</t>
        </is>
      </c>
      <c r="M5902" t="inlineStr">
        <is>
          <t>LLM</t>
        </is>
      </c>
      <c r="N5902" t="inlineStr">
        <is>
          <t>2026-04-19</t>
        </is>
      </c>
      <c r="O5902" t="inlineStr">
        <is>
          <t>AI</t>
        </is>
      </c>
    </row>
    <row r="5903">
      <c r="A5903" t="inlineStr">
        <is>
          <t>PT Teladan Prima Agro Tbk</t>
        </is>
      </c>
      <c r="B5903" t="inlineStr">
        <is>
          <t>TLDN_2023_AR.pdf</t>
        </is>
      </c>
      <c r="C5903" t="n">
        <v>2023</v>
      </c>
      <c r="D5903" t="inlineStr">
        <is>
          <t>Financial</t>
        </is>
      </c>
      <c r="E5903" t="inlineStr">
        <is>
          <t>Total Equity</t>
        </is>
      </c>
      <c r="F5903" t="n">
        <v>2458</v>
      </c>
      <c r="G5903" t="inlineStr">
        <is>
          <t>IDR bn</t>
        </is>
      </c>
      <c r="H5903" t="n">
        <v>13</v>
      </c>
      <c r="I5903" t="inlineStr">
        <is>
          <t>Ekuitas 2.458.277 2.180.007</t>
        </is>
      </c>
      <c r="J5903" t="inlineStr">
        <is>
          <t>High</t>
        </is>
      </c>
      <c r="M5903" t="inlineStr">
        <is>
          <t>LLM</t>
        </is>
      </c>
      <c r="N5903" t="inlineStr">
        <is>
          <t>2026-04-19</t>
        </is>
      </c>
      <c r="O5903" t="inlineStr">
        <is>
          <t>AI</t>
        </is>
      </c>
    </row>
    <row r="5904">
      <c r="A5904" t="inlineStr">
        <is>
          <t>PT Teladan Prima Agro Tbk</t>
        </is>
      </c>
      <c r="B5904" t="inlineStr">
        <is>
          <t>TLDN_2023_AR.pdf</t>
        </is>
      </c>
      <c r="C5904" t="n">
        <v>2023</v>
      </c>
      <c r="D5904" t="inlineStr">
        <is>
          <t>Financial</t>
        </is>
      </c>
      <c r="E5904" t="inlineStr">
        <is>
          <t>Cash &amp; Cash Equivalents</t>
        </is>
      </c>
      <c r="F5904" t="n">
        <v>583</v>
      </c>
      <c r="G5904" t="inlineStr">
        <is>
          <t>IDR bn</t>
        </is>
      </c>
      <c r="H5904" t="n">
        <v>14</v>
      </c>
      <c r="I5904" t="inlineStr">
        <is>
          <t>Saldo Kas dan Setara Kas Akhir Tahun 583.295 587.555</t>
        </is>
      </c>
      <c r="J5904" t="inlineStr">
        <is>
          <t>High</t>
        </is>
      </c>
      <c r="M5904" t="inlineStr">
        <is>
          <t>LLM</t>
        </is>
      </c>
      <c r="N5904" t="inlineStr">
        <is>
          <t>2026-04-19</t>
        </is>
      </c>
      <c r="O5904" t="inlineStr">
        <is>
          <t>AI</t>
        </is>
      </c>
    </row>
    <row r="5905">
      <c r="A5905" t="inlineStr">
        <is>
          <t>PT Teladan Prima Agro Tbk</t>
        </is>
      </c>
      <c r="B5905" t="inlineStr">
        <is>
          <t>TLDN_2023_AR.pdf</t>
        </is>
      </c>
      <c r="C5905" t="n">
        <v>2023</v>
      </c>
      <c r="D5905" t="inlineStr">
        <is>
          <t>Financial</t>
        </is>
      </c>
      <c r="E5905" t="inlineStr">
        <is>
          <t>Long-term Bank Loans (Bank Mandiri)</t>
        </is>
      </c>
      <c r="F5905" t="n">
        <v>964</v>
      </c>
      <c r="G5905" t="inlineStr">
        <is>
          <t>IDR bn</t>
        </is>
      </c>
      <c r="H5905" t="inlineStr">
        <is>
          <t>Notes 12</t>
        </is>
      </c>
      <c r="I5905" t="inlineStr">
        <is>
          <t>Bank Mandiri 963.641.270 (in thousand Rp) - long-term bank loans</t>
        </is>
      </c>
      <c r="J5905" t="inlineStr">
        <is>
          <t>High</t>
        </is>
      </c>
      <c r="M5905" t="inlineStr">
        <is>
          <t>LLM</t>
        </is>
      </c>
      <c r="N5905" t="inlineStr">
        <is>
          <t>2026-04-19</t>
        </is>
      </c>
      <c r="O5905" t="inlineStr">
        <is>
          <t>AI</t>
        </is>
      </c>
    </row>
    <row r="5906">
      <c r="A5906" t="inlineStr">
        <is>
          <t>PT Teladan Prima Agro Tbk</t>
        </is>
      </c>
      <c r="B5906" t="inlineStr">
        <is>
          <t>TLDN_2023_AR.pdf</t>
        </is>
      </c>
      <c r="C5906" t="n">
        <v>2023</v>
      </c>
      <c r="D5906" t="inlineStr">
        <is>
          <t>Financial</t>
        </is>
      </c>
      <c r="E5906" t="inlineStr">
        <is>
          <t>CFO</t>
        </is>
      </c>
      <c r="F5906" t="n">
        <v>1314</v>
      </c>
      <c r="G5906" t="inlineStr">
        <is>
          <t>IDR bn</t>
        </is>
      </c>
      <c r="H5906" t="n">
        <v>14</v>
      </c>
      <c r="I5906" t="inlineStr">
        <is>
          <t>Arus Kas Bersih yang Diperoleh dari Aktivitas Operasi 1.313.646 799.500</t>
        </is>
      </c>
      <c r="J5906" t="inlineStr">
        <is>
          <t>High</t>
        </is>
      </c>
      <c r="M5906" t="inlineStr">
        <is>
          <t>LLM</t>
        </is>
      </c>
      <c r="N5906" t="inlineStr">
        <is>
          <t>2026-04-19</t>
        </is>
      </c>
      <c r="O5906" t="inlineStr">
        <is>
          <t>AI</t>
        </is>
      </c>
    </row>
    <row r="5907">
      <c r="A5907" t="inlineStr">
        <is>
          <t>PT Teladan Prima Agro Tbk</t>
        </is>
      </c>
      <c r="B5907" t="inlineStr">
        <is>
          <t>TLDN_2023_AR.pdf</t>
        </is>
      </c>
      <c r="C5907" t="n">
        <v>2023</v>
      </c>
      <c r="D5907" t="inlineStr">
        <is>
          <t>Financial</t>
        </is>
      </c>
      <c r="E5907" t="inlineStr">
        <is>
          <t>CFI</t>
        </is>
      </c>
      <c r="F5907" t="n">
        <v>-410</v>
      </c>
      <c r="G5907" t="inlineStr">
        <is>
          <t>IDR bn</t>
        </is>
      </c>
      <c r="H5907" t="n">
        <v>14</v>
      </c>
      <c r="I5907" t="inlineStr">
        <is>
          <t>Arus Kas Bersih yang Digunakan untuk Aktivitas Investasi (410.091) (124.281)</t>
        </is>
      </c>
      <c r="J5907" t="inlineStr">
        <is>
          <t>High</t>
        </is>
      </c>
      <c r="M5907" t="inlineStr">
        <is>
          <t>LLM</t>
        </is>
      </c>
      <c r="N5907" t="inlineStr">
        <is>
          <t>2026-04-19</t>
        </is>
      </c>
      <c r="O5907" t="inlineStr">
        <is>
          <t>AI</t>
        </is>
      </c>
    </row>
    <row r="5908">
      <c r="A5908" t="inlineStr">
        <is>
          <t>PT Teladan Prima Agro Tbk</t>
        </is>
      </c>
      <c r="B5908" t="inlineStr">
        <is>
          <t>TLDN_2023_AR.pdf</t>
        </is>
      </c>
      <c r="C5908" t="n">
        <v>2023</v>
      </c>
      <c r="D5908" t="inlineStr">
        <is>
          <t>Financial</t>
        </is>
      </c>
      <c r="E5908" t="inlineStr">
        <is>
          <t>CFF</t>
        </is>
      </c>
      <c r="F5908" t="n">
        <v>-908</v>
      </c>
      <c r="G5908" t="inlineStr">
        <is>
          <t>IDR bn</t>
        </is>
      </c>
      <c r="H5908" t="n">
        <v>14</v>
      </c>
      <c r="I5908" t="inlineStr">
        <is>
          <t>Arus Kas Bersih yang Digunakan untuk Aktivitas Pendanaan (907.798) (328.531)</t>
        </is>
      </c>
      <c r="J5908" t="inlineStr">
        <is>
          <t>High</t>
        </is>
      </c>
      <c r="M5908" t="inlineStr">
        <is>
          <t>LLM</t>
        </is>
      </c>
      <c r="N5908" t="inlineStr">
        <is>
          <t>2026-04-19</t>
        </is>
      </c>
      <c r="O5908" t="inlineStr">
        <is>
          <t>AI</t>
        </is>
      </c>
    </row>
    <row r="5909">
      <c r="A5909" t="inlineStr">
        <is>
          <t>PT Teladan Prima Agro Tbk</t>
        </is>
      </c>
      <c r="B5909" t="inlineStr">
        <is>
          <t>TLDN_2023_AR.pdf</t>
        </is>
      </c>
      <c r="C5909" t="n">
        <v>2023</v>
      </c>
      <c r="D5909" t="inlineStr">
        <is>
          <t>Financial</t>
        </is>
      </c>
      <c r="E5909" t="inlineStr">
        <is>
          <t>Capex Realization (Total)</t>
        </is>
      </c>
      <c r="F5909" t="n">
        <v>386</v>
      </c>
      <c r="G5909" t="inlineStr">
        <is>
          <t>IDR bn</t>
        </is>
      </c>
      <c r="H5909" t="n">
        <v>105</v>
      </c>
      <c r="I5909" t="inlineStr">
        <is>
          <t>Total 385.521 146.161 (million Rp). Komponen: Bangunan dan Prasarana 172.503, Aset dalam Penyelesaian 139.422, Tanah 26.700, Mesin dan Peralatan 21.671, Immature Plants 15.192, etc.</t>
        </is>
      </c>
      <c r="J5909" t="inlineStr">
        <is>
          <t>High</t>
        </is>
      </c>
      <c r="M5909" t="inlineStr">
        <is>
          <t>LLM</t>
        </is>
      </c>
      <c r="N5909" t="inlineStr">
        <is>
          <t>2026-04-19</t>
        </is>
      </c>
      <c r="O5909" t="inlineStr">
        <is>
          <t>AI</t>
        </is>
      </c>
    </row>
    <row r="5910">
      <c r="A5910" t="inlineStr">
        <is>
          <t>PT Teladan Prima Agro Tbk</t>
        </is>
      </c>
      <c r="B5910" t="inlineStr">
        <is>
          <t>TLDN_2023_AR.pdf</t>
        </is>
      </c>
      <c r="C5910" t="n">
        <v>2023</v>
      </c>
      <c r="D5910" t="inlineStr">
        <is>
          <t>Financial</t>
        </is>
      </c>
      <c r="E5910" t="inlineStr">
        <is>
          <t>EPS</t>
        </is>
      </c>
      <c r="F5910" t="n">
        <v>34.9</v>
      </c>
      <c r="G5910" t="inlineStr">
        <is>
          <t>Rp/share</t>
        </is>
      </c>
      <c r="H5910" t="n">
        <v>14</v>
      </c>
      <c r="I5910" t="inlineStr">
        <is>
          <t>Laba per Saham Dasar (Angka Penuh) 34,90 44,83</t>
        </is>
      </c>
      <c r="J5910" t="inlineStr">
        <is>
          <t>High</t>
        </is>
      </c>
      <c r="M5910" t="inlineStr">
        <is>
          <t>LLM</t>
        </is>
      </c>
      <c r="N5910" t="inlineStr">
        <is>
          <t>2026-04-19</t>
        </is>
      </c>
      <c r="O5910" t="inlineStr">
        <is>
          <t>AI</t>
        </is>
      </c>
    </row>
    <row r="5911">
      <c r="A5911" t="inlineStr">
        <is>
          <t>PT Teladan Prima Agro Tbk</t>
        </is>
      </c>
      <c r="B5911" t="inlineStr">
        <is>
          <t>TLDN_2023_AR.pdf</t>
        </is>
      </c>
      <c r="C5911" t="n">
        <v>2023</v>
      </c>
      <c r="D5911" t="inlineStr">
        <is>
          <t>Financial</t>
        </is>
      </c>
      <c r="E5911" t="inlineStr">
        <is>
          <t>Shares Outstanding</t>
        </is>
      </c>
      <c r="F5911" t="n">
        <v>12947</v>
      </c>
      <c r="G5911" t="inlineStr">
        <is>
          <t>mn</t>
        </is>
      </c>
      <c r="H5911" t="n">
        <v>16</v>
      </c>
      <c r="I5911" t="inlineStr">
        <is>
          <t>Total Saham yang Beredar (Lembar Saham) 12.946.530.200</t>
        </is>
      </c>
      <c r="J5911" t="inlineStr">
        <is>
          <t>High</t>
        </is>
      </c>
      <c r="M5911" t="inlineStr">
        <is>
          <t>LLM</t>
        </is>
      </c>
      <c r="N5911" t="inlineStr">
        <is>
          <t>2026-04-19</t>
        </is>
      </c>
      <c r="O5911" t="inlineStr">
        <is>
          <t>AI</t>
        </is>
      </c>
    </row>
    <row r="5912">
      <c r="A5912" t="inlineStr">
        <is>
          <t>PT Teladan Prima Agro Tbk</t>
        </is>
      </c>
      <c r="B5912" t="inlineStr">
        <is>
          <t>TLDN_2023_AR.pdf</t>
        </is>
      </c>
      <c r="C5912" t="n">
        <v>2023</v>
      </c>
      <c r="D5912" t="inlineStr">
        <is>
          <t>Financial</t>
        </is>
      </c>
      <c r="E5912" t="inlineStr">
        <is>
          <t>Closing Price Q4 2023</t>
        </is>
      </c>
      <c r="F5912" t="n">
        <v>450</v>
      </c>
      <c r="G5912" t="inlineStr">
        <is>
          <t>Rp/share</t>
        </is>
      </c>
      <c r="H5912" t="n">
        <v>16</v>
      </c>
      <c r="I5912" t="inlineStr">
        <is>
          <t>Q4 462 376 450 (Harga Penutupan)</t>
        </is>
      </c>
      <c r="J5912" t="inlineStr">
        <is>
          <t>High</t>
        </is>
      </c>
      <c r="M5912" t="inlineStr">
        <is>
          <t>LLM</t>
        </is>
      </c>
      <c r="N5912" t="inlineStr">
        <is>
          <t>2026-04-19</t>
        </is>
      </c>
      <c r="O5912" t="inlineStr">
        <is>
          <t>AI</t>
        </is>
      </c>
    </row>
    <row r="5913">
      <c r="A5913" t="inlineStr">
        <is>
          <t>PT Teladan Prima Agro Tbk</t>
        </is>
      </c>
      <c r="B5913" t="inlineStr">
        <is>
          <t>TLDN_2023_AR.pdf</t>
        </is>
      </c>
      <c r="C5913" t="n">
        <v>2023</v>
      </c>
      <c r="D5913" t="inlineStr">
        <is>
          <t>Financial</t>
        </is>
      </c>
      <c r="E5913" t="inlineStr">
        <is>
          <t>Market Cap (31 Dec 2023)</t>
        </is>
      </c>
      <c r="F5913" t="n">
        <v>5826</v>
      </c>
      <c r="G5913" t="inlineStr">
        <is>
          <t>IDR bn</t>
        </is>
      </c>
      <c r="H5913" t="n">
        <v>16</v>
      </c>
      <c r="I5913" t="inlineStr">
        <is>
          <t>Kapitalisasi Pasar Q4 2023: 5.825.938.590.000</t>
        </is>
      </c>
      <c r="J5913" t="inlineStr">
        <is>
          <t>High</t>
        </is>
      </c>
      <c r="M5913" t="inlineStr">
        <is>
          <t>LLM</t>
        </is>
      </c>
      <c r="N5913" t="inlineStr">
        <is>
          <t>2026-04-19</t>
        </is>
      </c>
      <c r="O5913" t="inlineStr">
        <is>
          <t>AI</t>
        </is>
      </c>
    </row>
    <row r="5914">
      <c r="A5914" t="inlineStr">
        <is>
          <t>PT Teladan Prima Agro Tbk</t>
        </is>
      </c>
      <c r="B5914" t="inlineStr">
        <is>
          <t>TLDN_2023_AR.pdf</t>
        </is>
      </c>
      <c r="C5914" t="n">
        <v>2023</v>
      </c>
      <c r="D5914" t="inlineStr">
        <is>
          <t>Financial</t>
        </is>
      </c>
      <c r="E5914" t="inlineStr">
        <is>
          <t>Current Ratio</t>
        </is>
      </c>
      <c r="F5914" t="n">
        <v>1</v>
      </c>
      <c r="G5914" t="inlineStr">
        <is>
          <t>x</t>
        </is>
      </c>
      <c r="H5914" t="n">
        <v>14</v>
      </c>
      <c r="I5914" t="inlineStr">
        <is>
          <t>Rasio Lancar 1,0 1,2 0,8</t>
        </is>
      </c>
      <c r="J5914" t="inlineStr">
        <is>
          <t>High</t>
        </is>
      </c>
      <c r="M5914" t="inlineStr">
        <is>
          <t>LLM</t>
        </is>
      </c>
      <c r="N5914" t="inlineStr">
        <is>
          <t>2026-04-19</t>
        </is>
      </c>
      <c r="O5914" t="inlineStr">
        <is>
          <t>AI</t>
        </is>
      </c>
    </row>
    <row r="5915">
      <c r="A5915" t="inlineStr">
        <is>
          <t>PT Teladan Prima Agro Tbk</t>
        </is>
      </c>
      <c r="B5915" t="inlineStr">
        <is>
          <t>TLDN_2023_AR.pdf</t>
        </is>
      </c>
      <c r="C5915" t="n">
        <v>2023</v>
      </c>
      <c r="D5915" t="inlineStr">
        <is>
          <t>Financial</t>
        </is>
      </c>
      <c r="E5915" t="inlineStr">
        <is>
          <t>Cash Ratio</t>
        </is>
      </c>
      <c r="F5915" t="n">
        <v>0.3</v>
      </c>
      <c r="G5915" t="inlineStr">
        <is>
          <t>x</t>
        </is>
      </c>
      <c r="H5915" t="n">
        <v>14</v>
      </c>
      <c r="I5915" t="inlineStr">
        <is>
          <t>Rasio Kas 0,3 0,4 0,2</t>
        </is>
      </c>
      <c r="J5915" t="inlineStr">
        <is>
          <t>High</t>
        </is>
      </c>
      <c r="M5915" t="inlineStr">
        <is>
          <t>LLM</t>
        </is>
      </c>
      <c r="N5915" t="inlineStr">
        <is>
          <t>2026-04-19</t>
        </is>
      </c>
      <c r="O5915" t="inlineStr">
        <is>
          <t>AI</t>
        </is>
      </c>
    </row>
    <row r="5916">
      <c r="A5916" t="inlineStr">
        <is>
          <t>PT Teladan Prima Agro Tbk</t>
        </is>
      </c>
      <c r="B5916" t="inlineStr">
        <is>
          <t>TLDN_2023_AR.pdf</t>
        </is>
      </c>
      <c r="C5916" t="n">
        <v>2023</v>
      </c>
      <c r="D5916" t="inlineStr">
        <is>
          <t>Financial</t>
        </is>
      </c>
      <c r="E5916" t="inlineStr">
        <is>
          <t>Liabilities-to-Equity Ratio</t>
        </is>
      </c>
      <c r="F5916" t="n">
        <v>1.2</v>
      </c>
      <c r="G5916" t="inlineStr">
        <is>
          <t>x</t>
        </is>
      </c>
      <c r="H5916" t="n">
        <v>14</v>
      </c>
      <c r="I5916" t="inlineStr">
        <is>
          <t>Rasio Liabilitas terhadap Ekuitas 1,2 1,4 2,3</t>
        </is>
      </c>
      <c r="J5916" t="inlineStr">
        <is>
          <t>High</t>
        </is>
      </c>
      <c r="M5916" t="inlineStr">
        <is>
          <t>LLM</t>
        </is>
      </c>
      <c r="N5916" t="inlineStr">
        <is>
          <t>2026-04-19</t>
        </is>
      </c>
      <c r="O5916" t="inlineStr">
        <is>
          <t>AI</t>
        </is>
      </c>
    </row>
    <row r="5917">
      <c r="A5917" t="inlineStr">
        <is>
          <t>PT Teladan Prima Agro Tbk</t>
        </is>
      </c>
      <c r="B5917" t="inlineStr">
        <is>
          <t>TLDN_2023_AR.pdf</t>
        </is>
      </c>
      <c r="C5917" t="n">
        <v>2023</v>
      </c>
      <c r="D5917" t="inlineStr">
        <is>
          <t>Financial</t>
        </is>
      </c>
      <c r="E5917" t="inlineStr">
        <is>
          <t>Bank Debt to Equity Ratio</t>
        </is>
      </c>
      <c r="F5917" t="n">
        <v>0.4</v>
      </c>
      <c r="G5917" t="inlineStr">
        <is>
          <t>x</t>
        </is>
      </c>
      <c r="H5917" t="n">
        <v>104</v>
      </c>
      <c r="I5917" t="inlineStr">
        <is>
          <t>rasio utang bank terhadap ekuitas Perseroan tercatat sebesar 0,4 kali di tahun 2023</t>
        </is>
      </c>
      <c r="J5917" t="inlineStr">
        <is>
          <t>High</t>
        </is>
      </c>
      <c r="M5917" t="inlineStr">
        <is>
          <t>LLM</t>
        </is>
      </c>
      <c r="N5917" t="inlineStr">
        <is>
          <t>2026-04-19</t>
        </is>
      </c>
      <c r="O5917" t="inlineStr">
        <is>
          <t>AI</t>
        </is>
      </c>
    </row>
    <row r="5918">
      <c r="A5918" t="inlineStr">
        <is>
          <t>PT Teladan Prima Agro Tbk</t>
        </is>
      </c>
      <c r="B5918" t="inlineStr">
        <is>
          <t>TLDN_2023_AR.pdf</t>
        </is>
      </c>
      <c r="C5918" t="n">
        <v>2023</v>
      </c>
      <c r="D5918" t="inlineStr">
        <is>
          <t>Financial</t>
        </is>
      </c>
      <c r="E5918" t="inlineStr">
        <is>
          <t>Gross Profit Margin</t>
        </is>
      </c>
      <c r="F5918" t="n">
        <v>0.267</v>
      </c>
      <c r="G5918" t="inlineStr">
        <is>
          <t>%</t>
        </is>
      </c>
      <c r="H5918" t="n">
        <v>14</v>
      </c>
      <c r="I5918" t="inlineStr">
        <is>
          <t>Margin Laba Kotor 26,7 34,5 39,9</t>
        </is>
      </c>
      <c r="J5918" t="inlineStr">
        <is>
          <t>High</t>
        </is>
      </c>
      <c r="M5918" t="inlineStr">
        <is>
          <t>LLM</t>
        </is>
      </c>
      <c r="N5918" t="inlineStr">
        <is>
          <t>2026-04-19</t>
        </is>
      </c>
      <c r="O5918" t="inlineStr">
        <is>
          <t>AI</t>
        </is>
      </c>
    </row>
    <row r="5919">
      <c r="A5919" t="inlineStr">
        <is>
          <t>PT Teladan Prima Agro Tbk</t>
        </is>
      </c>
      <c r="B5919" t="inlineStr">
        <is>
          <t>TLDN_2023_AR.pdf</t>
        </is>
      </c>
      <c r="C5919" t="n">
        <v>2023</v>
      </c>
      <c r="D5919" t="inlineStr">
        <is>
          <t>Financial</t>
        </is>
      </c>
      <c r="E5919" t="inlineStr">
        <is>
          <t>Operating Profit Margin</t>
        </is>
      </c>
      <c r="F5919" t="n">
        <v>0.177</v>
      </c>
      <c r="G5919" t="inlineStr">
        <is>
          <t>%</t>
        </is>
      </c>
      <c r="H5919" t="n">
        <v>14</v>
      </c>
      <c r="I5919" t="inlineStr">
        <is>
          <t>Margin Laba Usaha 17,7 23,1 31,7</t>
        </is>
      </c>
      <c r="J5919" t="inlineStr">
        <is>
          <t>High</t>
        </is>
      </c>
      <c r="M5919" t="inlineStr">
        <is>
          <t>LLM</t>
        </is>
      </c>
      <c r="N5919" t="inlineStr">
        <is>
          <t>2026-04-19</t>
        </is>
      </c>
      <c r="O5919" t="inlineStr">
        <is>
          <t>AI</t>
        </is>
      </c>
    </row>
    <row r="5920">
      <c r="A5920" t="inlineStr">
        <is>
          <t>PT Teladan Prima Agro Tbk</t>
        </is>
      </c>
      <c r="B5920" t="inlineStr">
        <is>
          <t>TLDN_2023_AR.pdf</t>
        </is>
      </c>
      <c r="C5920" t="n">
        <v>2023</v>
      </c>
      <c r="D5920" t="inlineStr">
        <is>
          <t>Financial</t>
        </is>
      </c>
      <c r="E5920" t="inlineStr">
        <is>
          <t>Net Profit Margin</t>
        </is>
      </c>
      <c r="F5920" t="n">
        <v>0.113</v>
      </c>
      <c r="G5920" t="inlineStr">
        <is>
          <t>%</t>
        </is>
      </c>
      <c r="H5920" t="n">
        <v>14</v>
      </c>
      <c r="I5920" t="inlineStr">
        <is>
          <t>Margin Laba Bersih 11,3 15,9 17,8</t>
        </is>
      </c>
      <c r="J5920" t="inlineStr">
        <is>
          <t>High</t>
        </is>
      </c>
      <c r="M5920" t="inlineStr">
        <is>
          <t>LLM</t>
        </is>
      </c>
      <c r="N5920" t="inlineStr">
        <is>
          <t>2026-04-19</t>
        </is>
      </c>
      <c r="O5920" t="inlineStr">
        <is>
          <t>AI</t>
        </is>
      </c>
    </row>
    <row r="5921">
      <c r="A5921" t="inlineStr">
        <is>
          <t>PT Teladan Prima Agro Tbk</t>
        </is>
      </c>
      <c r="B5921" t="inlineStr">
        <is>
          <t>TLDN_2023_AR.pdf</t>
        </is>
      </c>
      <c r="C5921" t="n">
        <v>2023</v>
      </c>
      <c r="D5921" t="inlineStr">
        <is>
          <t>Financial</t>
        </is>
      </c>
      <c r="E5921" t="inlineStr">
        <is>
          <t>Return on Equity</t>
        </is>
      </c>
      <c r="F5921" t="n">
        <v>0.184</v>
      </c>
      <c r="G5921" t="inlineStr">
        <is>
          <t>%</t>
        </is>
      </c>
      <c r="H5921" t="n">
        <v>14</v>
      </c>
      <c r="I5921" t="inlineStr">
        <is>
          <t>Imbal Hasil atas Ekuitas 18,4 26,3 37,8</t>
        </is>
      </c>
      <c r="J5921" t="inlineStr">
        <is>
          <t>High</t>
        </is>
      </c>
      <c r="M5921" t="inlineStr">
        <is>
          <t>LLM</t>
        </is>
      </c>
      <c r="N5921" t="inlineStr">
        <is>
          <t>2026-04-19</t>
        </is>
      </c>
      <c r="O5921" t="inlineStr">
        <is>
          <t>AI</t>
        </is>
      </c>
    </row>
    <row r="5922">
      <c r="A5922" t="inlineStr">
        <is>
          <t>PT Teladan Prima Agro Tbk</t>
        </is>
      </c>
      <c r="B5922" t="inlineStr">
        <is>
          <t>TLDN_2023_AR.pdf</t>
        </is>
      </c>
      <c r="C5922" t="n">
        <v>2023</v>
      </c>
      <c r="D5922" t="inlineStr">
        <is>
          <t>Financial</t>
        </is>
      </c>
      <c r="E5922" t="inlineStr">
        <is>
          <t>Return on Assets</t>
        </is>
      </c>
      <c r="F5922" t="n">
        <v>0.083</v>
      </c>
      <c r="G5922" t="inlineStr">
        <is>
          <t>%</t>
        </is>
      </c>
      <c r="H5922" t="n">
        <v>14</v>
      </c>
      <c r="I5922" t="inlineStr">
        <is>
          <t>Imbal Hasil atas Aset 8,3 11,0 11,5</t>
        </is>
      </c>
      <c r="J5922" t="inlineStr">
        <is>
          <t>High</t>
        </is>
      </c>
      <c r="M5922" t="inlineStr">
        <is>
          <t>LLM</t>
        </is>
      </c>
      <c r="N5922" t="inlineStr">
        <is>
          <t>2026-04-19</t>
        </is>
      </c>
      <c r="O5922" t="inlineStr">
        <is>
          <t>AI</t>
        </is>
      </c>
    </row>
    <row r="5923">
      <c r="A5923" t="inlineStr">
        <is>
          <t>PT Teladan Prima Agro Tbk</t>
        </is>
      </c>
      <c r="B5923" t="inlineStr">
        <is>
          <t>TLDN_2023_AR.pdf</t>
        </is>
      </c>
      <c r="C5923" t="n">
        <v>2023</v>
      </c>
      <c r="D5923" t="inlineStr">
        <is>
          <t>Financial</t>
        </is>
      </c>
      <c r="E5923" t="inlineStr">
        <is>
          <t>Final DPS (from FY2022)</t>
        </is>
      </c>
      <c r="F5923" t="n">
        <v>13.52</v>
      </c>
      <c r="G5923" t="inlineStr">
        <is>
          <t>Rp/share</t>
        </is>
      </c>
      <c r="H5923" t="n">
        <v>107</v>
      </c>
      <c r="I5923" t="inlineStr">
        <is>
          <t>2022 Final 13,52 175.037.088.304 30,5% - paid 5/30 May 2023</t>
        </is>
      </c>
      <c r="J5923" t="inlineStr">
        <is>
          <t>High</t>
        </is>
      </c>
      <c r="M5923" t="inlineStr">
        <is>
          <t>LLM</t>
        </is>
      </c>
      <c r="N5923" t="inlineStr">
        <is>
          <t>2026-04-19</t>
        </is>
      </c>
      <c r="O5923" t="inlineStr">
        <is>
          <t>AI</t>
        </is>
      </c>
    </row>
    <row r="5924">
      <c r="A5924" t="inlineStr">
        <is>
          <t>PT Teladan Prima Agro Tbk</t>
        </is>
      </c>
      <c r="B5924" t="inlineStr">
        <is>
          <t>TLDN_2023_AR.pdf</t>
        </is>
      </c>
      <c r="C5924" t="n">
        <v>2023</v>
      </c>
      <c r="D5924" t="inlineStr">
        <is>
          <t>Financial</t>
        </is>
      </c>
      <c r="E5924" t="inlineStr">
        <is>
          <t>Capex Commitment (Outstanding)</t>
        </is>
      </c>
      <c r="F5924" t="n">
        <v>386</v>
      </c>
      <c r="G5924" t="inlineStr">
        <is>
          <t>IDR bn</t>
        </is>
      </c>
      <c r="H5924" t="n">
        <v>105</v>
      </c>
      <c r="I5924" t="inlineStr">
        <is>
          <t>Perseroan memiliki komitmen atas pembelian barang modal sebesar Rp385,52 miliar</t>
        </is>
      </c>
      <c r="J5924" t="inlineStr">
        <is>
          <t>High</t>
        </is>
      </c>
      <c r="M5924" t="inlineStr">
        <is>
          <t>LLM</t>
        </is>
      </c>
      <c r="N5924" t="inlineStr">
        <is>
          <t>2026-04-19</t>
        </is>
      </c>
      <c r="O5924" t="inlineStr">
        <is>
          <t>AI</t>
        </is>
      </c>
    </row>
    <row r="5925">
      <c r="A5925" t="inlineStr">
        <is>
          <t>PT Teladan Prima Agro Tbk</t>
        </is>
      </c>
      <c r="B5925" t="inlineStr">
        <is>
          <t>TLDN_2023_AR.pdf</t>
        </is>
      </c>
      <c r="C5925" t="n">
        <v>2023</v>
      </c>
      <c r="D5925" t="inlineStr">
        <is>
          <t>Asset</t>
        </is>
      </c>
      <c r="E5925" t="inlineStr">
        <is>
          <t>Total Planted Area</t>
        </is>
      </c>
      <c r="F5925" t="n">
        <v>60497</v>
      </c>
      <c r="G5925" t="inlineStr">
        <is>
          <t>ha</t>
        </is>
      </c>
      <c r="H5925" t="n">
        <v>53</v>
      </c>
      <c r="I5925" t="inlineStr">
        <is>
          <t>Perseroan memiliki perkebunan kelapa sawit dengan area tertanam yang dikelola seluas 60.497 Ha</t>
        </is>
      </c>
      <c r="J5925" t="inlineStr">
        <is>
          <t>High</t>
        </is>
      </c>
      <c r="M5925" t="inlineStr">
        <is>
          <t>LLM</t>
        </is>
      </c>
      <c r="N5925" t="inlineStr">
        <is>
          <t>2026-04-19</t>
        </is>
      </c>
      <c r="O5925" t="inlineStr">
        <is>
          <t>AI</t>
        </is>
      </c>
    </row>
    <row r="5926">
      <c r="A5926" t="inlineStr">
        <is>
          <t>PT Teladan Prima Agro Tbk</t>
        </is>
      </c>
      <c r="B5926" t="inlineStr">
        <is>
          <t>TLDN_2023_AR.pdf</t>
        </is>
      </c>
      <c r="C5926" t="n">
        <v>2023</v>
      </c>
      <c r="D5926" t="inlineStr">
        <is>
          <t>Asset</t>
        </is>
      </c>
      <c r="E5926" t="inlineStr">
        <is>
          <t>Nucleus Area</t>
        </is>
      </c>
      <c r="F5926" t="n">
        <v>48524</v>
      </c>
      <c r="G5926" t="inlineStr">
        <is>
          <t>ha</t>
        </is>
      </c>
      <c r="H5926" t="n">
        <v>53</v>
      </c>
      <c r="I5926" t="inlineStr">
        <is>
          <t>48.524 Ha perkebunan inti</t>
        </is>
      </c>
      <c r="J5926" t="inlineStr">
        <is>
          <t>High</t>
        </is>
      </c>
      <c r="M5926" t="inlineStr">
        <is>
          <t>LLM</t>
        </is>
      </c>
      <c r="N5926" t="inlineStr">
        <is>
          <t>2026-04-19</t>
        </is>
      </c>
      <c r="O5926" t="inlineStr">
        <is>
          <t>AI</t>
        </is>
      </c>
    </row>
    <row r="5927">
      <c r="A5927" t="inlineStr">
        <is>
          <t>PT Teladan Prima Agro Tbk</t>
        </is>
      </c>
      <c r="B5927" t="inlineStr">
        <is>
          <t>TLDN_2023_AR.pdf</t>
        </is>
      </c>
      <c r="C5927" t="n">
        <v>2023</v>
      </c>
      <c r="D5927" t="inlineStr">
        <is>
          <t>Asset</t>
        </is>
      </c>
      <c r="E5927" t="inlineStr">
        <is>
          <t>Plasma Area</t>
        </is>
      </c>
      <c r="F5927" t="n">
        <v>11973</v>
      </c>
      <c r="G5927" t="inlineStr">
        <is>
          <t>ha</t>
        </is>
      </c>
      <c r="H5927" t="n">
        <v>53</v>
      </c>
      <c r="I5927" t="inlineStr">
        <is>
          <t>11.973 Ha perkebunan plasma</t>
        </is>
      </c>
      <c r="J5927" t="inlineStr">
        <is>
          <t>High</t>
        </is>
      </c>
      <c r="M5927" t="inlineStr">
        <is>
          <t>LLM</t>
        </is>
      </c>
      <c r="N5927" t="inlineStr">
        <is>
          <t>2026-04-19</t>
        </is>
      </c>
      <c r="O5927" t="inlineStr">
        <is>
          <t>AI</t>
        </is>
      </c>
    </row>
    <row r="5928">
      <c r="A5928" t="inlineStr">
        <is>
          <t>PT Teladan Prima Agro Tbk</t>
        </is>
      </c>
      <c r="B5928" t="inlineStr">
        <is>
          <t>TLDN_2023_AR.pdf</t>
        </is>
      </c>
      <c r="C5928" t="n">
        <v>2023</v>
      </c>
      <c r="D5928" t="inlineStr">
        <is>
          <t>Asset</t>
        </is>
      </c>
      <c r="E5928" t="inlineStr">
        <is>
          <t>Nucleus Avg Tree Age</t>
        </is>
      </c>
      <c r="F5928" t="n">
        <v>14.5</v>
      </c>
      <c r="G5928" t="inlineStr">
        <is>
          <t>years</t>
        </is>
      </c>
      <c r="H5928" t="n">
        <v>12</v>
      </c>
      <c r="I5928" t="inlineStr">
        <is>
          <t>Rata-Rata Usia (Tahun) 14,5 13,6 12,6 - Nucleus Plant Age Profile</t>
        </is>
      </c>
      <c r="J5928" t="inlineStr">
        <is>
          <t>High</t>
        </is>
      </c>
      <c r="M5928" t="inlineStr">
        <is>
          <t>LLM</t>
        </is>
      </c>
      <c r="N5928" t="inlineStr">
        <is>
          <t>2026-04-19</t>
        </is>
      </c>
      <c r="O5928" t="inlineStr">
        <is>
          <t>AI</t>
        </is>
      </c>
    </row>
    <row r="5929">
      <c r="A5929" t="inlineStr">
        <is>
          <t>PT Teladan Prima Agro Tbk</t>
        </is>
      </c>
      <c r="B5929" t="inlineStr">
        <is>
          <t>TLDN_2023_AR.pdf</t>
        </is>
      </c>
      <c r="C5929" t="n">
        <v>2023</v>
      </c>
      <c r="D5929" t="inlineStr">
        <is>
          <t>Asset</t>
        </is>
      </c>
      <c r="E5929" t="inlineStr">
        <is>
          <t>Plasma Avg Tree Age</t>
        </is>
      </c>
      <c r="F5929" t="n">
        <v>12.5</v>
      </c>
      <c r="G5929" t="inlineStr">
        <is>
          <t>years</t>
        </is>
      </c>
      <c r="H5929" t="n">
        <v>12</v>
      </c>
      <c r="I5929" t="inlineStr">
        <is>
          <t>Rata-Rata Usia (Tahun) 12,5 11,5 10,5 - Plasma Plant Age Profile</t>
        </is>
      </c>
      <c r="J5929" t="inlineStr">
        <is>
          <t>High</t>
        </is>
      </c>
      <c r="M5929" t="inlineStr">
        <is>
          <t>LLM</t>
        </is>
      </c>
      <c r="N5929" t="inlineStr">
        <is>
          <t>2026-04-19</t>
        </is>
      </c>
      <c r="O5929" t="inlineStr">
        <is>
          <t>AI</t>
        </is>
      </c>
    </row>
    <row r="5930">
      <c r="A5930" t="inlineStr">
        <is>
          <t>PT Teladan Prima Agro Tbk</t>
        </is>
      </c>
      <c r="B5930" t="inlineStr">
        <is>
          <t>TLDN_2023_AR.pdf</t>
        </is>
      </c>
      <c r="C5930" t="n">
        <v>2023</v>
      </c>
      <c r="D5930" t="inlineStr">
        <is>
          <t>Asset</t>
        </is>
      </c>
      <c r="E5930" t="inlineStr">
        <is>
          <t>Nucleus &lt;4 Years Area</t>
        </is>
      </c>
      <c r="F5930" t="n">
        <v>510</v>
      </c>
      <c r="G5930" t="inlineStr">
        <is>
          <t>ha</t>
        </is>
      </c>
      <c r="H5930" t="n">
        <v>12</v>
      </c>
      <c r="I5930" t="inlineStr">
        <is>
          <t>&lt;4 Tahun 510 427 396 Nucleus</t>
        </is>
      </c>
      <c r="J5930" t="inlineStr">
        <is>
          <t>High</t>
        </is>
      </c>
      <c r="M5930" t="inlineStr">
        <is>
          <t>LLM</t>
        </is>
      </c>
      <c r="N5930" t="inlineStr">
        <is>
          <t>2026-04-19</t>
        </is>
      </c>
      <c r="O5930" t="inlineStr">
        <is>
          <t>AI</t>
        </is>
      </c>
    </row>
    <row r="5931">
      <c r="A5931" t="inlineStr">
        <is>
          <t>PT Teladan Prima Agro Tbk</t>
        </is>
      </c>
      <c r="B5931" t="inlineStr">
        <is>
          <t>TLDN_2023_AR.pdf</t>
        </is>
      </c>
      <c r="C5931" t="n">
        <v>2023</v>
      </c>
      <c r="D5931" t="inlineStr">
        <is>
          <t>Asset</t>
        </is>
      </c>
      <c r="E5931" t="inlineStr">
        <is>
          <t>Nucleus 4-7 Years Area</t>
        </is>
      </c>
      <c r="F5931" t="n">
        <v>631</v>
      </c>
      <c r="G5931" t="inlineStr">
        <is>
          <t>ha</t>
        </is>
      </c>
      <c r="H5931" t="n">
        <v>12</v>
      </c>
      <c r="I5931" t="inlineStr">
        <is>
          <t>4-7 Tahun 631 686 1.489 Nucleus</t>
        </is>
      </c>
      <c r="J5931" t="inlineStr">
        <is>
          <t>High</t>
        </is>
      </c>
      <c r="M5931" t="inlineStr">
        <is>
          <t>LLM</t>
        </is>
      </c>
      <c r="N5931" t="inlineStr">
        <is>
          <t>2026-04-19</t>
        </is>
      </c>
      <c r="O5931" t="inlineStr">
        <is>
          <t>AI</t>
        </is>
      </c>
    </row>
    <row r="5932">
      <c r="A5932" t="inlineStr">
        <is>
          <t>PT Teladan Prima Agro Tbk</t>
        </is>
      </c>
      <c r="B5932" t="inlineStr">
        <is>
          <t>TLDN_2023_AR.pdf</t>
        </is>
      </c>
      <c r="C5932" t="n">
        <v>2023</v>
      </c>
      <c r="D5932" t="inlineStr">
        <is>
          <t>Asset</t>
        </is>
      </c>
      <c r="E5932" t="inlineStr">
        <is>
          <t>Nucleus 8-20 Years Area</t>
        </is>
      </c>
      <c r="F5932" t="n">
        <v>47383</v>
      </c>
      <c r="G5932" t="inlineStr">
        <is>
          <t>ha</t>
        </is>
      </c>
      <c r="H5932" t="n">
        <v>12</v>
      </c>
      <c r="I5932" t="inlineStr">
        <is>
          <t>8-20 Tahun 47.383 47.495 46.692 Nucleus</t>
        </is>
      </c>
      <c r="J5932" t="inlineStr">
        <is>
          <t>High</t>
        </is>
      </c>
      <c r="M5932" t="inlineStr">
        <is>
          <t>LLM</t>
        </is>
      </c>
      <c r="N5932" t="inlineStr">
        <is>
          <t>2026-04-19</t>
        </is>
      </c>
      <c r="O5932" t="inlineStr">
        <is>
          <t>AI</t>
        </is>
      </c>
    </row>
    <row r="5933">
      <c r="A5933" t="inlineStr">
        <is>
          <t>PT Teladan Prima Agro Tbk</t>
        </is>
      </c>
      <c r="B5933" t="inlineStr">
        <is>
          <t>TLDN_2023_AR.pdf</t>
        </is>
      </c>
      <c r="C5933" t="n">
        <v>2023</v>
      </c>
      <c r="D5933" t="inlineStr">
        <is>
          <t>Asset</t>
        </is>
      </c>
      <c r="E5933" t="inlineStr">
        <is>
          <t>Palm Oil Mill Count</t>
        </is>
      </c>
      <c r="F5933" t="n">
        <v>6</v>
      </c>
      <c r="G5933" t="inlineStr">
        <is>
          <t>count</t>
        </is>
      </c>
      <c r="H5933" t="n">
        <v>53</v>
      </c>
      <c r="I5933" t="inlineStr">
        <is>
          <t>Perseroan dan Entitas Anak memiliki 6 pabrik kelapa sawit (PKS) dengan total kapasitas ±335 ton TBS/jam</t>
        </is>
      </c>
      <c r="J5933" t="inlineStr">
        <is>
          <t>High</t>
        </is>
      </c>
      <c r="M5933" t="inlineStr">
        <is>
          <t>LLM</t>
        </is>
      </c>
      <c r="N5933" t="inlineStr">
        <is>
          <t>2026-04-19</t>
        </is>
      </c>
      <c r="O5933" t="inlineStr">
        <is>
          <t>AI</t>
        </is>
      </c>
    </row>
    <row r="5934">
      <c r="A5934" t="inlineStr">
        <is>
          <t>PT Teladan Prima Agro Tbk</t>
        </is>
      </c>
      <c r="B5934" t="inlineStr">
        <is>
          <t>TLDN_2023_AR.pdf</t>
        </is>
      </c>
      <c r="C5934" t="n">
        <v>2023</v>
      </c>
      <c r="D5934" t="inlineStr">
        <is>
          <t>Asset</t>
        </is>
      </c>
      <c r="E5934" t="inlineStr">
        <is>
          <t>Total Mill Capacity</t>
        </is>
      </c>
      <c r="F5934" t="n">
        <v>335</v>
      </c>
      <c r="G5934" t="inlineStr">
        <is>
          <t>t FFB/hr</t>
        </is>
      </c>
      <c r="H5934" t="n">
        <v>53</v>
      </c>
      <c r="I5934" t="inlineStr">
        <is>
          <t>total kapasitas ±335 ton TBS/jam</t>
        </is>
      </c>
      <c r="J5934" t="inlineStr">
        <is>
          <t>High</t>
        </is>
      </c>
      <c r="M5934" t="inlineStr">
        <is>
          <t>LLM</t>
        </is>
      </c>
      <c r="N5934" t="inlineStr">
        <is>
          <t>2026-04-19</t>
        </is>
      </c>
      <c r="O5934" t="inlineStr">
        <is>
          <t>AI</t>
        </is>
      </c>
    </row>
    <row r="5935">
      <c r="A5935" t="inlineStr">
        <is>
          <t>PT Teladan Prima Agro Tbk</t>
        </is>
      </c>
      <c r="B5935" t="inlineStr">
        <is>
          <t>TLDN_2023_AR.pdf</t>
        </is>
      </c>
      <c r="C5935" t="n">
        <v>2023</v>
      </c>
      <c r="D5935" t="inlineStr">
        <is>
          <t>Asset</t>
        </is>
      </c>
      <c r="E5935" t="inlineStr">
        <is>
          <t>Storage Tank Capacity</t>
        </is>
      </c>
      <c r="F5935" t="n">
        <v>43500</v>
      </c>
      <c r="G5935" t="inlineStr">
        <is>
          <t>tons</t>
        </is>
      </c>
      <c r="H5935" t="n">
        <v>2</v>
      </c>
      <c r="I5935" t="inlineStr">
        <is>
          <t>18 tangki penyimpanan (storage tanks) dengan kapasitas sebesar 43.500 ton</t>
        </is>
      </c>
      <c r="J5935" t="inlineStr">
        <is>
          <t>High</t>
        </is>
      </c>
      <c r="M5935" t="inlineStr">
        <is>
          <t>LLM</t>
        </is>
      </c>
      <c r="N5935" t="inlineStr">
        <is>
          <t>2026-04-19</t>
        </is>
      </c>
      <c r="O5935" t="inlineStr">
        <is>
          <t>AI</t>
        </is>
      </c>
    </row>
    <row r="5936">
      <c r="A5936" t="inlineStr">
        <is>
          <t>PT Teladan Prima Agro Tbk</t>
        </is>
      </c>
      <c r="B5936" t="inlineStr">
        <is>
          <t>TLDN_2023_AR.pdf</t>
        </is>
      </c>
      <c r="C5936" t="n">
        <v>2023</v>
      </c>
      <c r="D5936" t="inlineStr">
        <is>
          <t>Asset</t>
        </is>
      </c>
      <c r="E5936" t="inlineStr">
        <is>
          <t>Mill Utilization Rate 2023</t>
        </is>
      </c>
      <c r="F5936" t="n">
        <v>0.8159999999999999</v>
      </c>
      <c r="G5936" t="inlineStr">
        <is>
          <t>%</t>
        </is>
      </c>
      <c r="H5936" t="n">
        <v>2</v>
      </c>
      <c r="I5936" t="inlineStr">
        <is>
          <t>81,6% Rata-rata utilisasi pabrik tahun 2023</t>
        </is>
      </c>
      <c r="J5936" t="inlineStr">
        <is>
          <t>High</t>
        </is>
      </c>
      <c r="M5936" t="inlineStr">
        <is>
          <t>LLM</t>
        </is>
      </c>
      <c r="N5936" t="inlineStr">
        <is>
          <t>2026-04-19</t>
        </is>
      </c>
      <c r="O5936" t="inlineStr">
        <is>
          <t>AI</t>
        </is>
      </c>
    </row>
    <row r="5937">
      <c r="A5937" t="inlineStr">
        <is>
          <t>PT Teladan Prima Agro Tbk</t>
        </is>
      </c>
      <c r="B5937" t="inlineStr">
        <is>
          <t>TLDN_2023_AR.pdf</t>
        </is>
      </c>
      <c r="C5937" t="n">
        <v>2023</v>
      </c>
      <c r="D5937" t="inlineStr">
        <is>
          <t>Asset</t>
        </is>
      </c>
      <c r="E5937" t="inlineStr">
        <is>
          <t>Kutai Timur Area</t>
        </is>
      </c>
      <c r="F5937" t="n">
        <v>35382</v>
      </c>
      <c r="G5937" t="inlineStr">
        <is>
          <t>ha</t>
        </is>
      </c>
      <c r="H5937" t="n">
        <v>55</v>
      </c>
      <c r="I5937" t="inlineStr">
        <is>
          <t>Kabupaten Kutai Timur 35.382 Ha | 3 Pabrik / Mills (PT Telen, PT Sawit Prima Nusantara, PT Telen Prima Sawit, PT Gemilang Sejahtera Abadi)</t>
        </is>
      </c>
      <c r="J5937" t="inlineStr">
        <is>
          <t>High</t>
        </is>
      </c>
      <c r="M5937" t="inlineStr">
        <is>
          <t>LLM</t>
        </is>
      </c>
      <c r="N5937" t="inlineStr">
        <is>
          <t>2026-04-19</t>
        </is>
      </c>
      <c r="O5937" t="inlineStr">
        <is>
          <t>AI</t>
        </is>
      </c>
    </row>
    <row r="5938">
      <c r="A5938" t="inlineStr">
        <is>
          <t>PT Teladan Prima Agro Tbk</t>
        </is>
      </c>
      <c r="B5938" t="inlineStr">
        <is>
          <t>TLDN_2023_AR.pdf</t>
        </is>
      </c>
      <c r="C5938" t="n">
        <v>2023</v>
      </c>
      <c r="D5938" t="inlineStr">
        <is>
          <t>Asset</t>
        </is>
      </c>
      <c r="E5938" t="inlineStr">
        <is>
          <t>Berau Area</t>
        </is>
      </c>
      <c r="F5938" t="n">
        <v>12498</v>
      </c>
      <c r="G5938" t="inlineStr">
        <is>
          <t>ha</t>
        </is>
      </c>
      <c r="H5938" t="n">
        <v>55</v>
      </c>
      <c r="I5938" t="inlineStr">
        <is>
          <t>Kabupaten Berau 12.498 Ha | 1 Pabrik / Mill (PT Tanjung Buyu Perkasa Plantation, PT Inti Energi Kaltim)</t>
        </is>
      </c>
      <c r="J5938" t="inlineStr">
        <is>
          <t>High</t>
        </is>
      </c>
      <c r="M5938" t="inlineStr">
        <is>
          <t>LLM</t>
        </is>
      </c>
      <c r="N5938" t="inlineStr">
        <is>
          <t>2026-04-19</t>
        </is>
      </c>
      <c r="O5938" t="inlineStr">
        <is>
          <t>AI</t>
        </is>
      </c>
    </row>
    <row r="5939">
      <c r="A5939" t="inlineStr">
        <is>
          <t>PT Teladan Prima Agro Tbk</t>
        </is>
      </c>
      <c r="B5939" t="inlineStr">
        <is>
          <t>TLDN_2023_AR.pdf</t>
        </is>
      </c>
      <c r="C5939" t="n">
        <v>2023</v>
      </c>
      <c r="D5939" t="inlineStr">
        <is>
          <t>Asset</t>
        </is>
      </c>
      <c r="E5939" t="inlineStr">
        <is>
          <t>Paser Area</t>
        </is>
      </c>
      <c r="F5939" t="n">
        <v>6267</v>
      </c>
      <c r="G5939" t="inlineStr">
        <is>
          <t>ha</t>
        </is>
      </c>
      <c r="H5939" t="n">
        <v>55</v>
      </c>
      <c r="I5939" t="inlineStr">
        <is>
          <t>Kabupaten Paser 6.267 Ha | 1 Pabrik / Mill (PT Multi Jayantara Abadi)</t>
        </is>
      </c>
      <c r="J5939" t="inlineStr">
        <is>
          <t>High</t>
        </is>
      </c>
      <c r="M5939" t="inlineStr">
        <is>
          <t>LLM</t>
        </is>
      </c>
      <c r="N5939" t="inlineStr">
        <is>
          <t>2026-04-19</t>
        </is>
      </c>
      <c r="O5939" t="inlineStr">
        <is>
          <t>AI</t>
        </is>
      </c>
    </row>
    <row r="5940">
      <c r="A5940" t="inlineStr">
        <is>
          <t>PT Teladan Prima Agro Tbk</t>
        </is>
      </c>
      <c r="B5940" t="inlineStr">
        <is>
          <t>TLDN_2023_AR.pdf</t>
        </is>
      </c>
      <c r="C5940" t="n">
        <v>2023</v>
      </c>
      <c r="D5940" t="inlineStr">
        <is>
          <t>Asset</t>
        </is>
      </c>
      <c r="E5940" t="inlineStr">
        <is>
          <t>Kutai Kartanegara Area</t>
        </is>
      </c>
      <c r="F5940" t="n">
        <v>6350</v>
      </c>
      <c r="G5940" t="inlineStr">
        <is>
          <t>ha</t>
        </is>
      </c>
      <c r="H5940" t="n">
        <v>55</v>
      </c>
      <c r="I5940" t="inlineStr">
        <is>
          <t>Wilayah Kabupaten Kutai Kartanegara 6.350 Ha | 1 Pabrik / Mill (PT Cahaya Anugerah Plantation)</t>
        </is>
      </c>
      <c r="J5940" t="inlineStr">
        <is>
          <t>High</t>
        </is>
      </c>
      <c r="M5940" t="inlineStr">
        <is>
          <t>LLM</t>
        </is>
      </c>
      <c r="N5940" t="inlineStr">
        <is>
          <t>2026-04-19</t>
        </is>
      </c>
      <c r="O5940" t="inlineStr">
        <is>
          <t>AI</t>
        </is>
      </c>
    </row>
    <row r="5941">
      <c r="A5941" t="inlineStr">
        <is>
          <t>PT Teladan Prima Agro Tbk</t>
        </is>
      </c>
      <c r="B5941" t="inlineStr">
        <is>
          <t>TLDN_2023_AR.pdf</t>
        </is>
      </c>
      <c r="C5941" t="n">
        <v>2023</v>
      </c>
      <c r="D5941" t="inlineStr">
        <is>
          <t>Operation</t>
        </is>
      </c>
      <c r="E5941" t="inlineStr">
        <is>
          <t>FFB Production Total</t>
        </is>
      </c>
      <c r="F5941" t="n">
        <v>1213068</v>
      </c>
      <c r="G5941" t="inlineStr">
        <is>
          <t>t</t>
        </is>
      </c>
      <c r="H5941" t="n">
        <v>12</v>
      </c>
      <c r="I5941" t="inlineStr">
        <is>
          <t>Produksi Tandan Buah Segar (TBS) 1.213.068 1.201.230 1.092.668</t>
        </is>
      </c>
      <c r="J5941" t="inlineStr">
        <is>
          <t>High</t>
        </is>
      </c>
      <c r="M5941" t="inlineStr">
        <is>
          <t>LLM</t>
        </is>
      </c>
      <c r="N5941" t="inlineStr">
        <is>
          <t>2026-04-19</t>
        </is>
      </c>
      <c r="O5941" t="inlineStr">
        <is>
          <t>AI</t>
        </is>
      </c>
    </row>
    <row r="5942">
      <c r="A5942" t="inlineStr">
        <is>
          <t>PT Teladan Prima Agro Tbk</t>
        </is>
      </c>
      <c r="B5942" t="inlineStr">
        <is>
          <t>TLDN_2023_AR.pdf</t>
        </is>
      </c>
      <c r="C5942" t="n">
        <v>2023</v>
      </c>
      <c r="D5942" t="inlineStr">
        <is>
          <t>Operation</t>
        </is>
      </c>
      <c r="E5942" t="inlineStr">
        <is>
          <t>FFB Nucleus</t>
        </is>
      </c>
      <c r="F5942" t="n">
        <v>1068338</v>
      </c>
      <c r="G5942" t="inlineStr">
        <is>
          <t>t</t>
        </is>
      </c>
      <c r="H5942" t="n">
        <v>12</v>
      </c>
      <c r="I5942" t="inlineStr">
        <is>
          <t>Inti 1.068.338 1.059.207 953.030</t>
        </is>
      </c>
      <c r="J5942" t="inlineStr">
        <is>
          <t>High</t>
        </is>
      </c>
      <c r="M5942" t="inlineStr">
        <is>
          <t>LLM</t>
        </is>
      </c>
      <c r="N5942" t="inlineStr">
        <is>
          <t>2026-04-19</t>
        </is>
      </c>
      <c r="O5942" t="inlineStr">
        <is>
          <t>AI</t>
        </is>
      </c>
    </row>
    <row r="5943">
      <c r="A5943" t="inlineStr">
        <is>
          <t>PT Teladan Prima Agro Tbk</t>
        </is>
      </c>
      <c r="B5943" t="inlineStr">
        <is>
          <t>TLDN_2023_AR.pdf</t>
        </is>
      </c>
      <c r="C5943" t="n">
        <v>2023</v>
      </c>
      <c r="D5943" t="inlineStr">
        <is>
          <t>Operation</t>
        </is>
      </c>
      <c r="E5943" t="inlineStr">
        <is>
          <t>FFB Plasma</t>
        </is>
      </c>
      <c r="F5943" t="n">
        <v>144730</v>
      </c>
      <c r="G5943" t="inlineStr">
        <is>
          <t>t</t>
        </is>
      </c>
      <c r="H5943" t="n">
        <v>12</v>
      </c>
      <c r="I5943" t="inlineStr">
        <is>
          <t>Plasma 144.730 142.023 139.638</t>
        </is>
      </c>
      <c r="J5943" t="inlineStr">
        <is>
          <t>High</t>
        </is>
      </c>
      <c r="M5943" t="inlineStr">
        <is>
          <t>LLM</t>
        </is>
      </c>
      <c r="N5943" t="inlineStr">
        <is>
          <t>2026-04-19</t>
        </is>
      </c>
      <c r="O5943" t="inlineStr">
        <is>
          <t>AI</t>
        </is>
      </c>
    </row>
    <row r="5944">
      <c r="A5944" t="inlineStr">
        <is>
          <t>PT Teladan Prima Agro Tbk</t>
        </is>
      </c>
      <c r="B5944" t="inlineStr">
        <is>
          <t>TLDN_2023_AR.pdf</t>
        </is>
      </c>
      <c r="C5944" t="n">
        <v>2023</v>
      </c>
      <c r="D5944" t="inlineStr">
        <is>
          <t>Operation</t>
        </is>
      </c>
      <c r="E5944" t="inlineStr">
        <is>
          <t>FFB Processed</t>
        </is>
      </c>
      <c r="F5944" t="n">
        <v>1409552</v>
      </c>
      <c r="G5944" t="inlineStr">
        <is>
          <t>t</t>
        </is>
      </c>
      <c r="H5944" t="n">
        <v>12</v>
      </c>
      <c r="I5944" t="inlineStr">
        <is>
          <t>Tandan Buah Segar (TBS) yang Diolah 1.409.552 1.343.526 1.204.998</t>
        </is>
      </c>
      <c r="J5944" t="inlineStr">
        <is>
          <t>High</t>
        </is>
      </c>
      <c r="M5944" t="inlineStr">
        <is>
          <t>LLM</t>
        </is>
      </c>
      <c r="N5944" t="inlineStr">
        <is>
          <t>2026-04-19</t>
        </is>
      </c>
      <c r="O5944" t="inlineStr">
        <is>
          <t>AI</t>
        </is>
      </c>
    </row>
    <row r="5945">
      <c r="A5945" t="inlineStr">
        <is>
          <t>PT Teladan Prima Agro Tbk</t>
        </is>
      </c>
      <c r="B5945" t="inlineStr">
        <is>
          <t>TLDN_2023_AR.pdf</t>
        </is>
      </c>
      <c r="C5945" t="n">
        <v>2023</v>
      </c>
      <c r="D5945" t="inlineStr">
        <is>
          <t>Operation</t>
        </is>
      </c>
      <c r="E5945" t="inlineStr">
        <is>
          <t>CPO Production</t>
        </is>
      </c>
      <c r="F5945" t="n">
        <v>327688</v>
      </c>
      <c r="G5945" t="inlineStr">
        <is>
          <t>t</t>
        </is>
      </c>
      <c r="H5945" t="n">
        <v>12</v>
      </c>
      <c r="I5945" t="inlineStr">
        <is>
          <t>Produksi Minyak Kelapa Sawit 327.688 300.504 277.741</t>
        </is>
      </c>
      <c r="J5945" t="inlineStr">
        <is>
          <t>High</t>
        </is>
      </c>
      <c r="M5945" t="inlineStr">
        <is>
          <t>LLM</t>
        </is>
      </c>
      <c r="N5945" t="inlineStr">
        <is>
          <t>2026-04-19</t>
        </is>
      </c>
      <c r="O5945" t="inlineStr">
        <is>
          <t>AI</t>
        </is>
      </c>
    </row>
    <row r="5946">
      <c r="A5946" t="inlineStr">
        <is>
          <t>PT Teladan Prima Agro Tbk</t>
        </is>
      </c>
      <c r="B5946" t="inlineStr">
        <is>
          <t>TLDN_2023_AR.pdf</t>
        </is>
      </c>
      <c r="C5946" t="n">
        <v>2023</v>
      </c>
      <c r="D5946" t="inlineStr">
        <is>
          <t>Operation</t>
        </is>
      </c>
      <c r="E5946" t="inlineStr">
        <is>
          <t>PK Production</t>
        </is>
      </c>
      <c r="F5946" t="n">
        <v>52207</v>
      </c>
      <c r="G5946" t="inlineStr">
        <is>
          <t>t</t>
        </is>
      </c>
      <c r="H5946" t="n">
        <v>12</v>
      </c>
      <c r="I5946" t="inlineStr">
        <is>
          <t>Produksi Inti Kelapa Sawit 52.207 49.903 42.915</t>
        </is>
      </c>
      <c r="J5946" t="inlineStr">
        <is>
          <t>High</t>
        </is>
      </c>
      <c r="M5946" t="inlineStr">
        <is>
          <t>LLM</t>
        </is>
      </c>
      <c r="N5946" t="inlineStr">
        <is>
          <t>2026-04-19</t>
        </is>
      </c>
      <c r="O5946" t="inlineStr">
        <is>
          <t>AI</t>
        </is>
      </c>
    </row>
    <row r="5947">
      <c r="A5947" t="inlineStr">
        <is>
          <t>PT Teladan Prima Agro Tbk</t>
        </is>
      </c>
      <c r="B5947" t="inlineStr">
        <is>
          <t>TLDN_2023_AR.pdf</t>
        </is>
      </c>
      <c r="C5947" t="n">
        <v>2023</v>
      </c>
      <c r="D5947" t="inlineStr">
        <is>
          <t>Operation</t>
        </is>
      </c>
      <c r="E5947" t="inlineStr">
        <is>
          <t>CPO Extraction Rate</t>
        </is>
      </c>
      <c r="F5947" t="n">
        <v>0.232</v>
      </c>
      <c r="G5947" t="inlineStr">
        <is>
          <t>%</t>
        </is>
      </c>
      <c r="H5947" t="n">
        <v>12</v>
      </c>
      <c r="I5947" t="inlineStr">
        <is>
          <t>Tingkat Ekstraksi Minyak Kelapa Sawit (%) 23,2 22,4 23,0</t>
        </is>
      </c>
      <c r="J5947" t="inlineStr">
        <is>
          <t>High</t>
        </is>
      </c>
      <c r="M5947" t="inlineStr">
        <is>
          <t>LLM</t>
        </is>
      </c>
      <c r="N5947" t="inlineStr">
        <is>
          <t>2026-04-19</t>
        </is>
      </c>
      <c r="O5947" t="inlineStr">
        <is>
          <t>AI</t>
        </is>
      </c>
    </row>
    <row r="5948">
      <c r="A5948" t="inlineStr">
        <is>
          <t>PT Teladan Prima Agro Tbk</t>
        </is>
      </c>
      <c r="B5948" t="inlineStr">
        <is>
          <t>TLDN_2023_AR.pdf</t>
        </is>
      </c>
      <c r="C5948" t="n">
        <v>2023</v>
      </c>
      <c r="D5948" t="inlineStr">
        <is>
          <t>Operation</t>
        </is>
      </c>
      <c r="E5948" t="inlineStr">
        <is>
          <t>PK Extraction Rate</t>
        </is>
      </c>
      <c r="F5948" t="n">
        <v>0.037</v>
      </c>
      <c r="G5948" t="inlineStr">
        <is>
          <t>%</t>
        </is>
      </c>
      <c r="H5948" t="n">
        <v>12</v>
      </c>
      <c r="I5948" t="inlineStr">
        <is>
          <t>Tingkat Ekstraksi Inti Sawit (%) 3,7 3,7 3,6</t>
        </is>
      </c>
      <c r="J5948" t="inlineStr">
        <is>
          <t>High</t>
        </is>
      </c>
      <c r="M5948" t="inlineStr">
        <is>
          <t>LLM</t>
        </is>
      </c>
      <c r="N5948" t="inlineStr">
        <is>
          <t>2026-04-19</t>
        </is>
      </c>
      <c r="O5948" t="inlineStr">
        <is>
          <t>AI</t>
        </is>
      </c>
    </row>
    <row r="5949">
      <c r="A5949" t="inlineStr">
        <is>
          <t>PT Teladan Prima Agro Tbk</t>
        </is>
      </c>
      <c r="B5949" t="inlineStr">
        <is>
          <t>TLDN_2023_AR.pdf</t>
        </is>
      </c>
      <c r="C5949" t="n">
        <v>2023</v>
      </c>
      <c r="D5949" t="inlineStr">
        <is>
          <t>Operation</t>
        </is>
      </c>
      <c r="E5949" t="inlineStr">
        <is>
          <t>CPO Sales Volume</t>
        </is>
      </c>
      <c r="F5949" t="n">
        <v>343748</v>
      </c>
      <c r="G5949" t="inlineStr">
        <is>
          <t>t</t>
        </is>
      </c>
      <c r="H5949" t="n">
        <v>12</v>
      </c>
      <c r="I5949" t="inlineStr">
        <is>
          <t>Volume Penjualan Minyak Kelapa Sawit 343.748 292.545 263.129</t>
        </is>
      </c>
      <c r="J5949" t="inlineStr">
        <is>
          <t>High</t>
        </is>
      </c>
      <c r="M5949" t="inlineStr">
        <is>
          <t>LLM</t>
        </is>
      </c>
      <c r="N5949" t="inlineStr">
        <is>
          <t>2026-04-19</t>
        </is>
      </c>
      <c r="O5949" t="inlineStr">
        <is>
          <t>AI</t>
        </is>
      </c>
    </row>
    <row r="5950">
      <c r="A5950" t="inlineStr">
        <is>
          <t>PT Teladan Prima Agro Tbk</t>
        </is>
      </c>
      <c r="B5950" t="inlineStr">
        <is>
          <t>TLDN_2023_AR.pdf</t>
        </is>
      </c>
      <c r="C5950" t="n">
        <v>2023</v>
      </c>
      <c r="D5950" t="inlineStr">
        <is>
          <t>Operation</t>
        </is>
      </c>
      <c r="E5950" t="inlineStr">
        <is>
          <t>PK Sales Volume</t>
        </is>
      </c>
      <c r="F5950" t="n">
        <v>55172</v>
      </c>
      <c r="G5950" t="inlineStr">
        <is>
          <t>t</t>
        </is>
      </c>
      <c r="H5950" t="n">
        <v>12</v>
      </c>
      <c r="I5950" t="inlineStr">
        <is>
          <t>Volume Penjualan Inti Kelapa Sawit 55.172 47.752 39.178</t>
        </is>
      </c>
      <c r="J5950" t="inlineStr">
        <is>
          <t>High</t>
        </is>
      </c>
      <c r="M5950" t="inlineStr">
        <is>
          <t>LLM</t>
        </is>
      </c>
      <c r="N5950" t="inlineStr">
        <is>
          <t>2026-04-19</t>
        </is>
      </c>
      <c r="O5950" t="inlineStr">
        <is>
          <t>AI</t>
        </is>
      </c>
    </row>
    <row r="5951">
      <c r="A5951" t="inlineStr">
        <is>
          <t>PT Teladan Prima Agro Tbk</t>
        </is>
      </c>
      <c r="B5951" t="inlineStr">
        <is>
          <t>TLDN_2023_AR.pdf</t>
        </is>
      </c>
      <c r="C5951" t="n">
        <v>2023</v>
      </c>
      <c r="D5951" t="inlineStr">
        <is>
          <t>Operation</t>
        </is>
      </c>
      <c r="E5951" t="inlineStr">
        <is>
          <t>CPO Avg Selling Price</t>
        </is>
      </c>
      <c r="F5951" t="n">
        <v>10959</v>
      </c>
      <c r="G5951" t="inlineStr">
        <is>
          <t>Rp/kg</t>
        </is>
      </c>
      <c r="H5951" t="n">
        <v>88</v>
      </c>
      <c r="I5951" t="inlineStr">
        <is>
          <t>Harga Rata-Rata Minyak Sawit 10.959 11.265 (dalam ribuan Rupiah per ton)</t>
        </is>
      </c>
      <c r="J5951" t="inlineStr">
        <is>
          <t>High</t>
        </is>
      </c>
      <c r="M5951" t="inlineStr">
        <is>
          <t>LLM</t>
        </is>
      </c>
      <c r="N5951" t="inlineStr">
        <is>
          <t>2026-04-19</t>
        </is>
      </c>
      <c r="O5951" t="inlineStr">
        <is>
          <t>AI</t>
        </is>
      </c>
    </row>
    <row r="5952">
      <c r="A5952" t="inlineStr">
        <is>
          <t>PT Teladan Prima Agro Tbk</t>
        </is>
      </c>
      <c r="B5952" t="inlineStr">
        <is>
          <t>TLDN_2023_AR.pdf</t>
        </is>
      </c>
      <c r="C5952" t="n">
        <v>2023</v>
      </c>
      <c r="D5952" t="inlineStr">
        <is>
          <t>Operation</t>
        </is>
      </c>
      <c r="E5952" t="inlineStr">
        <is>
          <t>PK Avg Selling Price</t>
        </is>
      </c>
      <c r="F5952" t="n">
        <v>4339</v>
      </c>
      <c r="G5952" t="inlineStr">
        <is>
          <t>Rp/kg</t>
        </is>
      </c>
      <c r="H5952" t="n">
        <v>88</v>
      </c>
      <c r="I5952" t="inlineStr">
        <is>
          <t>Harga Rata-Rata Inti Sawit 4.339 6.648 (dalam ribuan Rupiah per ton)</t>
        </is>
      </c>
      <c r="J5952" t="inlineStr">
        <is>
          <t>High</t>
        </is>
      </c>
      <c r="M5952" t="inlineStr">
        <is>
          <t>LLM</t>
        </is>
      </c>
      <c r="N5952" t="inlineStr">
        <is>
          <t>2026-04-19</t>
        </is>
      </c>
      <c r="O5952" t="inlineStr">
        <is>
          <t>AI</t>
        </is>
      </c>
    </row>
    <row r="5953">
      <c r="A5953" t="inlineStr">
        <is>
          <t>PT Teladan Prima Agro Tbk</t>
        </is>
      </c>
      <c r="B5953" t="inlineStr">
        <is>
          <t>TLDN_2023_AR.pdf</t>
        </is>
      </c>
      <c r="C5953" t="n">
        <v>2023</v>
      </c>
      <c r="D5953" t="inlineStr">
        <is>
          <t>Operation</t>
        </is>
      </c>
      <c r="E5953" t="inlineStr">
        <is>
          <t>Excess Power Sales</t>
        </is>
      </c>
      <c r="F5953" t="n">
        <v>177594</v>
      </c>
      <c r="G5953" t="inlineStr">
        <is>
          <t>kWh</t>
        </is>
      </c>
      <c r="H5953" t="n">
        <v>12</v>
      </c>
      <c r="I5953" t="inlineStr">
        <is>
          <t>Penjualan Tenaga Listrik Lebih 177.594 167.342 689.403 (Renewable Energy)</t>
        </is>
      </c>
      <c r="J5953" t="inlineStr">
        <is>
          <t>High</t>
        </is>
      </c>
      <c r="M5953" t="inlineStr">
        <is>
          <t>LLM</t>
        </is>
      </c>
      <c r="N5953" t="inlineStr">
        <is>
          <t>2026-04-19</t>
        </is>
      </c>
      <c r="O5953" t="inlineStr">
        <is>
          <t>AI</t>
        </is>
      </c>
    </row>
    <row r="5954">
      <c r="A5954" t="inlineStr">
        <is>
          <t>PT Teladan Prima Agro Tbk</t>
        </is>
      </c>
      <c r="B5954" t="inlineStr">
        <is>
          <t>TLDN_2023_AR.pdf</t>
        </is>
      </c>
      <c r="C5954" t="n">
        <v>2023</v>
      </c>
      <c r="D5954" t="inlineStr">
        <is>
          <t>Operation</t>
        </is>
      </c>
      <c r="E5954" t="inlineStr">
        <is>
          <t>Key Customers</t>
        </is>
      </c>
      <c r="F5954" t="inlineStr">
        <is>
          <t>Wilmar Group and Apical Group</t>
        </is>
      </c>
      <c r="G5954" t="inlineStr">
        <is>
          <t>text</t>
        </is>
      </c>
      <c r="H5954" t="n">
        <v>106</v>
      </c>
      <c r="I5954" t="inlineStr">
        <is>
          <t>fokus pada segmen pasar produsen pengolahan CPO dan PK utama di Indonesia, yaitu Wilmar Grup dan Apical Grup</t>
        </is>
      </c>
      <c r="J5954" t="inlineStr">
        <is>
          <t>High</t>
        </is>
      </c>
      <c r="M5954" t="inlineStr">
        <is>
          <t>LLM</t>
        </is>
      </c>
      <c r="N5954" t="inlineStr">
        <is>
          <t>2026-04-19</t>
        </is>
      </c>
      <c r="O5954" t="inlineStr">
        <is>
          <t>AI</t>
        </is>
      </c>
    </row>
    <row r="5955">
      <c r="A5955" t="inlineStr">
        <is>
          <t>PT Teladan Prima Agro Tbk</t>
        </is>
      </c>
      <c r="B5955" t="inlineStr">
        <is>
          <t>TLDN_2023_AR.pdf</t>
        </is>
      </c>
      <c r="C5955" t="n">
        <v>2023</v>
      </c>
      <c r="D5955" t="inlineStr">
        <is>
          <t>ESG</t>
        </is>
      </c>
      <c r="E5955" t="inlineStr">
        <is>
          <t>ISPO Certifications (Mills)</t>
        </is>
      </c>
      <c r="F5955" t="inlineStr">
        <is>
          <t>All 6 mills</t>
        </is>
      </c>
      <c r="G5955" t="inlineStr">
        <is>
          <t>text</t>
        </is>
      </c>
      <c r="H5955" t="n">
        <v>88</v>
      </c>
      <c r="I5955" t="inlineStr">
        <is>
          <t>Entitas Anak Perseroan yang menjalankan aktivitas tersebut telah tersertifikasi Indonesia Sustainable Palm Oil (ISPO)</t>
        </is>
      </c>
      <c r="J5955" t="inlineStr">
        <is>
          <t>High</t>
        </is>
      </c>
      <c r="M5955" t="inlineStr">
        <is>
          <t>LLM</t>
        </is>
      </c>
      <c r="N5955" t="inlineStr">
        <is>
          <t>2026-04-19</t>
        </is>
      </c>
      <c r="O5955" t="inlineStr">
        <is>
          <t>AI</t>
        </is>
      </c>
    </row>
    <row r="5956">
      <c r="A5956" t="inlineStr">
        <is>
          <t>PT Teladan Prima Agro Tbk</t>
        </is>
      </c>
      <c r="B5956" t="inlineStr">
        <is>
          <t>TLDN_2024_AR.pdf</t>
        </is>
      </c>
      <c r="C5956" t="n">
        <v>2024</v>
      </c>
      <c r="D5956" t="inlineStr">
        <is>
          <t>Company</t>
        </is>
      </c>
      <c r="E5956" t="inlineStr">
        <is>
          <t>Company Name</t>
        </is>
      </c>
      <c r="F5956" t="inlineStr">
        <is>
          <t>PT Teladan Prima Agro Tbk</t>
        </is>
      </c>
      <c r="G5956" t="inlineStr">
        <is>
          <t>text</t>
        </is>
      </c>
      <c r="H5956" t="n">
        <v>7</v>
      </c>
      <c r="I5956" t="inlineStr">
        <is>
          <t>PT Teladan Prima Agro Tbk - Identitas Perusahaan</t>
        </is>
      </c>
      <c r="J5956" t="inlineStr">
        <is>
          <t>High</t>
        </is>
      </c>
      <c r="M5956" t="inlineStr">
        <is>
          <t>LLM</t>
        </is>
      </c>
      <c r="N5956" t="inlineStr">
        <is>
          <t>2026-04-19</t>
        </is>
      </c>
      <c r="O5956" t="inlineStr">
        <is>
          <t>AI</t>
        </is>
      </c>
    </row>
    <row r="5957">
      <c r="A5957" t="inlineStr">
        <is>
          <t>PT Teladan Prima Agro Tbk</t>
        </is>
      </c>
      <c r="B5957" t="inlineStr">
        <is>
          <t>TLDN_2024_AR.pdf</t>
        </is>
      </c>
      <c r="C5957" t="n">
        <v>2024</v>
      </c>
      <c r="D5957" t="inlineStr">
        <is>
          <t>Company</t>
        </is>
      </c>
      <c r="E5957" t="inlineStr">
        <is>
          <t>Ticker</t>
        </is>
      </c>
      <c r="F5957" t="inlineStr">
        <is>
          <t>TLDN</t>
        </is>
      </c>
      <c r="G5957" t="inlineStr">
        <is>
          <t>text</t>
        </is>
      </c>
      <c r="H5957" t="n">
        <v>7</v>
      </c>
      <c r="I5957" t="inlineStr">
        <is>
          <t>Kode Saham TLDN</t>
        </is>
      </c>
      <c r="J5957" t="inlineStr">
        <is>
          <t>High</t>
        </is>
      </c>
      <c r="M5957" t="inlineStr">
        <is>
          <t>LLM</t>
        </is>
      </c>
      <c r="N5957" t="inlineStr">
        <is>
          <t>2026-04-19</t>
        </is>
      </c>
      <c r="O5957" t="inlineStr">
        <is>
          <t>AI</t>
        </is>
      </c>
    </row>
    <row r="5958">
      <c r="A5958" t="inlineStr">
        <is>
          <t>PT Teladan Prima Agro Tbk</t>
        </is>
      </c>
      <c r="B5958" t="inlineStr">
        <is>
          <t>TLDN_2024_AR.pdf</t>
        </is>
      </c>
      <c r="C5958" t="n">
        <v>2024</v>
      </c>
      <c r="D5958" t="inlineStr">
        <is>
          <t>Company</t>
        </is>
      </c>
      <c r="E5958" t="inlineStr">
        <is>
          <t>Controlling Shareholder</t>
        </is>
      </c>
      <c r="F5958" t="inlineStr">
        <is>
          <t>PT Teladan Resources 59.88%</t>
        </is>
      </c>
      <c r="G5958" t="inlineStr">
        <is>
          <t>%</t>
        </is>
      </c>
      <c r="H5958" t="n">
        <v>7</v>
      </c>
      <c r="I5958" t="inlineStr">
        <is>
          <t>PT Teladan Resources: 59,88%</t>
        </is>
      </c>
      <c r="J5958" t="inlineStr">
        <is>
          <t>High</t>
        </is>
      </c>
      <c r="M5958" t="inlineStr">
        <is>
          <t>LLM</t>
        </is>
      </c>
      <c r="N5958" t="inlineStr">
        <is>
          <t>2026-04-19</t>
        </is>
      </c>
      <c r="O5958" t="inlineStr">
        <is>
          <t>AI</t>
        </is>
      </c>
    </row>
    <row r="5959">
      <c r="A5959" t="inlineStr">
        <is>
          <t>PT Teladan Prima Agro Tbk</t>
        </is>
      </c>
      <c r="B5959" t="inlineStr">
        <is>
          <t>TLDN_2024_AR.pdf</t>
        </is>
      </c>
      <c r="C5959" t="n">
        <v>2024</v>
      </c>
      <c r="D5959" t="inlineStr">
        <is>
          <t>Company</t>
        </is>
      </c>
      <c r="E5959" t="inlineStr">
        <is>
          <t>Public Float</t>
        </is>
      </c>
      <c r="F5959" t="n">
        <v>0.075</v>
      </c>
      <c r="G5959" t="inlineStr">
        <is>
          <t>%</t>
        </is>
      </c>
      <c r="H5959" t="n">
        <v>7</v>
      </c>
      <c r="I5959" t="inlineStr">
        <is>
          <t>Masyarakat / Public: 7,50%</t>
        </is>
      </c>
      <c r="J5959" t="inlineStr">
        <is>
          <t>High</t>
        </is>
      </c>
      <c r="M5959" t="inlineStr">
        <is>
          <t>LLM</t>
        </is>
      </c>
      <c r="N5959" t="inlineStr">
        <is>
          <t>2026-04-19</t>
        </is>
      </c>
      <c r="O5959" t="inlineStr">
        <is>
          <t>AI</t>
        </is>
      </c>
    </row>
    <row r="5960">
      <c r="A5960" t="inlineStr">
        <is>
          <t>PT Teladan Prima Agro Tbk</t>
        </is>
      </c>
      <c r="B5960" t="inlineStr">
        <is>
          <t>TLDN_2024_AR.pdf</t>
        </is>
      </c>
      <c r="C5960" t="n">
        <v>2024</v>
      </c>
      <c r="D5960" t="inlineStr">
        <is>
          <t>Company</t>
        </is>
      </c>
      <c r="E5960" t="inlineStr">
        <is>
          <t>Ahmad Gunung Ownership</t>
        </is>
      </c>
      <c r="F5960" t="n">
        <v>0.1622</v>
      </c>
      <c r="G5960" t="inlineStr">
        <is>
          <t>%</t>
        </is>
      </c>
      <c r="H5960" t="n">
        <v>7</v>
      </c>
      <c r="I5960" t="inlineStr">
        <is>
          <t>Ahmad Gunung: 16,22%</t>
        </is>
      </c>
      <c r="J5960" t="inlineStr">
        <is>
          <t>High</t>
        </is>
      </c>
      <c r="M5960" t="inlineStr">
        <is>
          <t>LLM</t>
        </is>
      </c>
      <c r="N5960" t="inlineStr">
        <is>
          <t>2026-04-19</t>
        </is>
      </c>
      <c r="O5960" t="inlineStr">
        <is>
          <t>AI</t>
        </is>
      </c>
    </row>
    <row r="5961">
      <c r="A5961" t="inlineStr">
        <is>
          <t>PT Teladan Prima Agro Tbk</t>
        </is>
      </c>
      <c r="B5961" t="inlineStr">
        <is>
          <t>TLDN_2024_AR.pdf</t>
        </is>
      </c>
      <c r="C5961" t="n">
        <v>2024</v>
      </c>
      <c r="D5961" t="inlineStr">
        <is>
          <t>Company</t>
        </is>
      </c>
      <c r="E5961" t="inlineStr">
        <is>
          <t>Wishnu Wardhana Ownership</t>
        </is>
      </c>
      <c r="F5961" t="n">
        <v>0.1622</v>
      </c>
      <c r="G5961" t="inlineStr">
        <is>
          <t>%</t>
        </is>
      </c>
      <c r="H5961" t="n">
        <v>7</v>
      </c>
      <c r="I5961" t="inlineStr">
        <is>
          <t>Wishnu Wardhana: 16,22%</t>
        </is>
      </c>
      <c r="J5961" t="inlineStr">
        <is>
          <t>High</t>
        </is>
      </c>
      <c r="M5961" t="inlineStr">
        <is>
          <t>LLM</t>
        </is>
      </c>
      <c r="N5961" t="inlineStr">
        <is>
          <t>2026-04-19</t>
        </is>
      </c>
      <c r="O5961" t="inlineStr">
        <is>
          <t>AI</t>
        </is>
      </c>
    </row>
    <row r="5962">
      <c r="A5962" t="inlineStr">
        <is>
          <t>PT Teladan Prima Agro Tbk</t>
        </is>
      </c>
      <c r="B5962" t="inlineStr">
        <is>
          <t>TLDN_2024_AR.pdf</t>
        </is>
      </c>
      <c r="C5962" t="n">
        <v>2024</v>
      </c>
      <c r="D5962" t="inlineStr">
        <is>
          <t>Company</t>
        </is>
      </c>
      <c r="E5962" t="inlineStr">
        <is>
          <t>Listing Date</t>
        </is>
      </c>
      <c r="F5962" t="inlineStr">
        <is>
          <t>12 April 2022</t>
        </is>
      </c>
      <c r="G5962" t="inlineStr">
        <is>
          <t>text</t>
        </is>
      </c>
      <c r="H5962" t="n">
        <v>18</v>
      </c>
      <c r="I5962" t="inlineStr">
        <is>
          <t>Saham Perseroan tercatat di Bursa Efek Indonesia sejak 12 April 2022</t>
        </is>
      </c>
      <c r="J5962" t="inlineStr">
        <is>
          <t>High</t>
        </is>
      </c>
      <c r="M5962" t="inlineStr">
        <is>
          <t>LLM</t>
        </is>
      </c>
      <c r="N5962" t="inlineStr">
        <is>
          <t>2026-04-19</t>
        </is>
      </c>
      <c r="O5962" t="inlineStr">
        <is>
          <t>AI</t>
        </is>
      </c>
    </row>
    <row r="5963">
      <c r="A5963" t="inlineStr">
        <is>
          <t>PT Teladan Prima Agro Tbk</t>
        </is>
      </c>
      <c r="B5963" t="inlineStr">
        <is>
          <t>TLDN_2024_AR.pdf</t>
        </is>
      </c>
      <c r="C5963" t="n">
        <v>2024</v>
      </c>
      <c r="D5963" t="inlineStr">
        <is>
          <t>Financial</t>
        </is>
      </c>
      <c r="E5963" t="inlineStr">
        <is>
          <t>Revenue</t>
        </is>
      </c>
      <c r="F5963" t="n">
        <v>4211</v>
      </c>
      <c r="G5963" t="inlineStr">
        <is>
          <t>IDR bn</t>
        </is>
      </c>
      <c r="H5963" t="n">
        <v>13</v>
      </c>
      <c r="I5963" t="inlineStr">
        <is>
          <t>Pendapatan 4.211.482 4.007.082 (in million Rp)</t>
        </is>
      </c>
      <c r="J5963" t="inlineStr">
        <is>
          <t>High</t>
        </is>
      </c>
      <c r="M5963" t="inlineStr">
        <is>
          <t>LLM</t>
        </is>
      </c>
      <c r="N5963" t="inlineStr">
        <is>
          <t>2026-04-19</t>
        </is>
      </c>
      <c r="O5963" t="inlineStr">
        <is>
          <t>AI</t>
        </is>
      </c>
    </row>
    <row r="5964">
      <c r="A5964" t="inlineStr">
        <is>
          <t>PT Teladan Prima Agro Tbk</t>
        </is>
      </c>
      <c r="B5964" t="inlineStr">
        <is>
          <t>TLDN_2024_AR.pdf</t>
        </is>
      </c>
      <c r="C5964" t="n">
        <v>2024</v>
      </c>
      <c r="D5964" t="inlineStr">
        <is>
          <t>Financial</t>
        </is>
      </c>
      <c r="E5964" t="inlineStr">
        <is>
          <t>Cost of Goods Sold</t>
        </is>
      </c>
      <c r="F5964" t="n">
        <v>2755</v>
      </c>
      <c r="G5964" t="inlineStr">
        <is>
          <t>IDR bn</t>
        </is>
      </c>
      <c r="H5964" t="n">
        <v>13</v>
      </c>
      <c r="I5964" t="inlineStr">
        <is>
          <t>Beban Pokok Penjualan (2.755.325) (2.936.769)</t>
        </is>
      </c>
      <c r="J5964" t="inlineStr">
        <is>
          <t>High</t>
        </is>
      </c>
      <c r="M5964" t="inlineStr">
        <is>
          <t>LLM</t>
        </is>
      </c>
      <c r="N5964" t="inlineStr">
        <is>
          <t>2026-04-19</t>
        </is>
      </c>
      <c r="O5964" t="inlineStr">
        <is>
          <t>AI</t>
        </is>
      </c>
    </row>
    <row r="5965">
      <c r="A5965" t="inlineStr">
        <is>
          <t>PT Teladan Prima Agro Tbk</t>
        </is>
      </c>
      <c r="B5965" t="inlineStr">
        <is>
          <t>TLDN_2024_AR.pdf</t>
        </is>
      </c>
      <c r="C5965" t="n">
        <v>2024</v>
      </c>
      <c r="D5965" t="inlineStr">
        <is>
          <t>Financial</t>
        </is>
      </c>
      <c r="E5965" t="inlineStr">
        <is>
          <t>Gross Profit</t>
        </is>
      </c>
      <c r="F5965" t="n">
        <v>1456</v>
      </c>
      <c r="G5965" t="inlineStr">
        <is>
          <t>IDR bn</t>
        </is>
      </c>
      <c r="H5965" t="n">
        <v>13</v>
      </c>
      <c r="I5965" t="inlineStr">
        <is>
          <t>Laba Bruto 1.456.156 1.070.313</t>
        </is>
      </c>
      <c r="J5965" t="inlineStr">
        <is>
          <t>High</t>
        </is>
      </c>
      <c r="M5965" t="inlineStr">
        <is>
          <t>LLM</t>
        </is>
      </c>
      <c r="N5965" t="inlineStr">
        <is>
          <t>2026-04-19</t>
        </is>
      </c>
      <c r="O5965" t="inlineStr">
        <is>
          <t>AI</t>
        </is>
      </c>
    </row>
    <row r="5966">
      <c r="A5966" t="inlineStr">
        <is>
          <t>PT Teladan Prima Agro Tbk</t>
        </is>
      </c>
      <c r="B5966" t="inlineStr">
        <is>
          <t>TLDN_2024_AR.pdf</t>
        </is>
      </c>
      <c r="C5966" t="n">
        <v>2024</v>
      </c>
      <c r="D5966" t="inlineStr">
        <is>
          <t>Financial</t>
        </is>
      </c>
      <c r="E5966" t="inlineStr">
        <is>
          <t>Operating Profit</t>
        </is>
      </c>
      <c r="F5966" t="n">
        <v>1110</v>
      </c>
      <c r="G5966" t="inlineStr">
        <is>
          <t>IDR bn</t>
        </is>
      </c>
      <c r="H5966" t="n">
        <v>13</v>
      </c>
      <c r="I5966" t="inlineStr">
        <is>
          <t>Laba Usaha 1.110.149 710.026</t>
        </is>
      </c>
      <c r="J5966" t="inlineStr">
        <is>
          <t>High</t>
        </is>
      </c>
      <c r="M5966" t="inlineStr">
        <is>
          <t>LLM</t>
        </is>
      </c>
      <c r="N5966" t="inlineStr">
        <is>
          <t>2026-04-19</t>
        </is>
      </c>
      <c r="O5966" t="inlineStr">
        <is>
          <t>AI</t>
        </is>
      </c>
    </row>
    <row r="5967">
      <c r="A5967" t="inlineStr">
        <is>
          <t>PT Teladan Prima Agro Tbk</t>
        </is>
      </c>
      <c r="B5967" t="inlineStr">
        <is>
          <t>TLDN_2024_AR.pdf</t>
        </is>
      </c>
      <c r="C5967" t="n">
        <v>2024</v>
      </c>
      <c r="D5967" t="inlineStr">
        <is>
          <t>Financial</t>
        </is>
      </c>
      <c r="E5967" t="inlineStr">
        <is>
          <t>Finance Costs</t>
        </is>
      </c>
      <c r="F5967" t="n">
        <v>68</v>
      </c>
      <c r="G5967" t="inlineStr">
        <is>
          <t>IDR bn</t>
        </is>
      </c>
      <c r="H5967" t="n">
        <v>13</v>
      </c>
      <c r="I5967" t="inlineStr">
        <is>
          <t>Beban Keuangan (67.775) (107.542)</t>
        </is>
      </c>
      <c r="J5967" t="inlineStr">
        <is>
          <t>High</t>
        </is>
      </c>
      <c r="M5967" t="inlineStr">
        <is>
          <t>LLM</t>
        </is>
      </c>
      <c r="N5967" t="inlineStr">
        <is>
          <t>2026-04-19</t>
        </is>
      </c>
      <c r="O5967" t="inlineStr">
        <is>
          <t>AI</t>
        </is>
      </c>
    </row>
    <row r="5968">
      <c r="A5968" t="inlineStr">
        <is>
          <t>PT Teladan Prima Agro Tbk</t>
        </is>
      </c>
      <c r="B5968" t="inlineStr">
        <is>
          <t>TLDN_2024_AR.pdf</t>
        </is>
      </c>
      <c r="C5968" t="n">
        <v>2024</v>
      </c>
      <c r="D5968" t="inlineStr">
        <is>
          <t>Financial</t>
        </is>
      </c>
      <c r="E5968" t="inlineStr">
        <is>
          <t>Profit Before Tax</t>
        </is>
      </c>
      <c r="F5968" t="n">
        <v>1058</v>
      </c>
      <c r="G5968" t="inlineStr">
        <is>
          <t>IDR bn</t>
        </is>
      </c>
      <c r="H5968" t="n">
        <v>13</v>
      </c>
      <c r="I5968" t="inlineStr">
        <is>
          <t>Laba Sebelum Pajak Penghasilan 1.058.376 621.149</t>
        </is>
      </c>
      <c r="J5968" t="inlineStr">
        <is>
          <t>High</t>
        </is>
      </c>
      <c r="M5968" t="inlineStr">
        <is>
          <t>LLM</t>
        </is>
      </c>
      <c r="N5968" t="inlineStr">
        <is>
          <t>2026-04-19</t>
        </is>
      </c>
      <c r="O5968" t="inlineStr">
        <is>
          <t>AI</t>
        </is>
      </c>
    </row>
    <row r="5969">
      <c r="A5969" t="inlineStr">
        <is>
          <t>PT Teladan Prima Agro Tbk</t>
        </is>
      </c>
      <c r="B5969" t="inlineStr">
        <is>
          <t>TLDN_2024_AR.pdf</t>
        </is>
      </c>
      <c r="C5969" t="n">
        <v>2024</v>
      </c>
      <c r="D5969" t="inlineStr">
        <is>
          <t>Financial</t>
        </is>
      </c>
      <c r="E5969" t="inlineStr">
        <is>
          <t>Income Tax Expense</t>
        </is>
      </c>
      <c r="F5969" t="n">
        <v>233</v>
      </c>
      <c r="G5969" t="inlineStr">
        <is>
          <t>IDR bn</t>
        </is>
      </c>
      <c r="H5969" t="n">
        <v>13</v>
      </c>
      <c r="I5969" t="inlineStr">
        <is>
          <t>Beban Pajak Penghasilan (232.782) (169.355)</t>
        </is>
      </c>
      <c r="J5969" t="inlineStr">
        <is>
          <t>High</t>
        </is>
      </c>
      <c r="M5969" t="inlineStr">
        <is>
          <t>LLM</t>
        </is>
      </c>
      <c r="N5969" t="inlineStr">
        <is>
          <t>2026-04-19</t>
        </is>
      </c>
      <c r="O5969" t="inlineStr">
        <is>
          <t>AI</t>
        </is>
      </c>
    </row>
    <row r="5970">
      <c r="A5970" t="inlineStr">
        <is>
          <t>PT Teladan Prima Agro Tbk</t>
        </is>
      </c>
      <c r="B5970" t="inlineStr">
        <is>
          <t>TLDN_2024_AR.pdf</t>
        </is>
      </c>
      <c r="C5970" t="n">
        <v>2024</v>
      </c>
      <c r="D5970" t="inlineStr">
        <is>
          <t>Financial</t>
        </is>
      </c>
      <c r="E5970" t="inlineStr">
        <is>
          <t>Net Profit</t>
        </is>
      </c>
      <c r="F5970" t="n">
        <v>826</v>
      </c>
      <c r="G5970" t="inlineStr">
        <is>
          <t>IDR bn</t>
        </is>
      </c>
      <c r="H5970" t="n">
        <v>13</v>
      </c>
      <c r="I5970" t="inlineStr">
        <is>
          <t>Laba Tahun Berjalan 825.594 451.794</t>
        </is>
      </c>
      <c r="J5970" t="inlineStr">
        <is>
          <t>High</t>
        </is>
      </c>
      <c r="M5970" t="inlineStr">
        <is>
          <t>LLM</t>
        </is>
      </c>
      <c r="N5970" t="inlineStr">
        <is>
          <t>2026-04-19</t>
        </is>
      </c>
      <c r="O5970" t="inlineStr">
        <is>
          <t>AI</t>
        </is>
      </c>
    </row>
    <row r="5971">
      <c r="A5971" t="inlineStr">
        <is>
          <t>PT Teladan Prima Agro Tbk</t>
        </is>
      </c>
      <c r="B5971" t="inlineStr">
        <is>
          <t>TLDN_2024_AR.pdf</t>
        </is>
      </c>
      <c r="C5971" t="n">
        <v>2024</v>
      </c>
      <c r="D5971" t="inlineStr">
        <is>
          <t>Financial</t>
        </is>
      </c>
      <c r="E5971" t="inlineStr">
        <is>
          <t>Profit Attributable to Parent</t>
        </is>
      </c>
      <c r="F5971" t="n">
        <v>826</v>
      </c>
      <c r="G5971" t="inlineStr">
        <is>
          <t>IDR bn</t>
        </is>
      </c>
      <c r="H5971" t="n">
        <v>13</v>
      </c>
      <c r="I5971" t="inlineStr">
        <is>
          <t>Pemilik Entitas Induk 825.587 451.790</t>
        </is>
      </c>
      <c r="J5971" t="inlineStr">
        <is>
          <t>High</t>
        </is>
      </c>
      <c r="M5971" t="inlineStr">
        <is>
          <t>LLM</t>
        </is>
      </c>
      <c r="N5971" t="inlineStr">
        <is>
          <t>2026-04-19</t>
        </is>
      </c>
      <c r="O5971" t="inlineStr">
        <is>
          <t>AI</t>
        </is>
      </c>
    </row>
    <row r="5972">
      <c r="A5972" t="inlineStr">
        <is>
          <t>PT Teladan Prima Agro Tbk</t>
        </is>
      </c>
      <c r="B5972" t="inlineStr">
        <is>
          <t>TLDN_2024_AR.pdf</t>
        </is>
      </c>
      <c r="C5972" t="n">
        <v>2024</v>
      </c>
      <c r="D5972" t="inlineStr">
        <is>
          <t>Financial</t>
        </is>
      </c>
      <c r="E5972" t="inlineStr">
        <is>
          <t>EBITDA</t>
        </is>
      </c>
      <c r="F5972" t="n">
        <v>1390</v>
      </c>
      <c r="G5972" t="inlineStr">
        <is>
          <t>IDR bn</t>
        </is>
      </c>
      <c r="H5972" t="n">
        <v>106</v>
      </c>
      <c r="I5972" t="inlineStr">
        <is>
          <t>EBITDA juga mengalami pertumbuhan positif sebesar 43,2% menjadi Rp1,39 triliun atau 39,7% lebih tinggi dari target</t>
        </is>
      </c>
      <c r="J5972" t="inlineStr">
        <is>
          <t>High</t>
        </is>
      </c>
      <c r="M5972" t="inlineStr">
        <is>
          <t>LLM</t>
        </is>
      </c>
      <c r="N5972" t="inlineStr">
        <is>
          <t>2026-04-19</t>
        </is>
      </c>
      <c r="O5972" t="inlineStr">
        <is>
          <t>AI</t>
        </is>
      </c>
    </row>
    <row r="5973">
      <c r="A5973" t="inlineStr">
        <is>
          <t>PT Teladan Prima Agro Tbk</t>
        </is>
      </c>
      <c r="B5973" t="inlineStr">
        <is>
          <t>TLDN_2024_AR.pdf</t>
        </is>
      </c>
      <c r="C5973" t="n">
        <v>2024</v>
      </c>
      <c r="D5973" t="inlineStr">
        <is>
          <t>Financial</t>
        </is>
      </c>
      <c r="E5973" t="inlineStr">
        <is>
          <t>Total Assets</t>
        </is>
      </c>
      <c r="F5973" t="n">
        <v>5664</v>
      </c>
      <c r="G5973" t="inlineStr">
        <is>
          <t>IDR bn</t>
        </is>
      </c>
      <c r="H5973" t="n">
        <v>13</v>
      </c>
      <c r="I5973" t="inlineStr">
        <is>
          <t>Total Aset 5.664.445 5.423.799</t>
        </is>
      </c>
      <c r="J5973" t="inlineStr">
        <is>
          <t>High</t>
        </is>
      </c>
      <c r="M5973" t="inlineStr">
        <is>
          <t>LLM</t>
        </is>
      </c>
      <c r="N5973" t="inlineStr">
        <is>
          <t>2026-04-19</t>
        </is>
      </c>
      <c r="O5973" t="inlineStr">
        <is>
          <t>AI</t>
        </is>
      </c>
    </row>
    <row r="5974">
      <c r="A5974" t="inlineStr">
        <is>
          <t>PT Teladan Prima Agro Tbk</t>
        </is>
      </c>
      <c r="B5974" t="inlineStr">
        <is>
          <t>TLDN_2024_AR.pdf</t>
        </is>
      </c>
      <c r="C5974" t="n">
        <v>2024</v>
      </c>
      <c r="D5974" t="inlineStr">
        <is>
          <t>Financial</t>
        </is>
      </c>
      <c r="E5974" t="inlineStr">
        <is>
          <t>Current Assets</t>
        </is>
      </c>
      <c r="F5974" t="n">
        <v>1767</v>
      </c>
      <c r="G5974" t="inlineStr">
        <is>
          <t>IDR bn</t>
        </is>
      </c>
      <c r="H5974" t="n">
        <v>13</v>
      </c>
      <c r="I5974" t="inlineStr">
        <is>
          <t>Aset Lancar 1.766.580 1.613.999</t>
        </is>
      </c>
      <c r="J5974" t="inlineStr">
        <is>
          <t>High</t>
        </is>
      </c>
      <c r="M5974" t="inlineStr">
        <is>
          <t>LLM</t>
        </is>
      </c>
      <c r="N5974" t="inlineStr">
        <is>
          <t>2026-04-19</t>
        </is>
      </c>
      <c r="O5974" t="inlineStr">
        <is>
          <t>AI</t>
        </is>
      </c>
    </row>
    <row r="5975">
      <c r="A5975" t="inlineStr">
        <is>
          <t>PT Teladan Prima Agro Tbk</t>
        </is>
      </c>
      <c r="B5975" t="inlineStr">
        <is>
          <t>TLDN_2024_AR.pdf</t>
        </is>
      </c>
      <c r="C5975" t="n">
        <v>2024</v>
      </c>
      <c r="D5975" t="inlineStr">
        <is>
          <t>Financial</t>
        </is>
      </c>
      <c r="E5975" t="inlineStr">
        <is>
          <t>Non-Current Assets</t>
        </is>
      </c>
      <c r="F5975" t="n">
        <v>3898</v>
      </c>
      <c r="G5975" t="inlineStr">
        <is>
          <t>IDR bn</t>
        </is>
      </c>
      <c r="H5975" t="n">
        <v>13</v>
      </c>
      <c r="I5975" t="inlineStr">
        <is>
          <t>Aset Tidak Lancar 3.897.865 3.809.800</t>
        </is>
      </c>
      <c r="J5975" t="inlineStr">
        <is>
          <t>High</t>
        </is>
      </c>
      <c r="M5975" t="inlineStr">
        <is>
          <t>LLM</t>
        </is>
      </c>
      <c r="N5975" t="inlineStr">
        <is>
          <t>2026-04-19</t>
        </is>
      </c>
      <c r="O5975" t="inlineStr">
        <is>
          <t>AI</t>
        </is>
      </c>
    </row>
    <row r="5976">
      <c r="A5976" t="inlineStr">
        <is>
          <t>PT Teladan Prima Agro Tbk</t>
        </is>
      </c>
      <c r="B5976" t="inlineStr">
        <is>
          <t>TLDN_2024_AR.pdf</t>
        </is>
      </c>
      <c r="C5976" t="n">
        <v>2024</v>
      </c>
      <c r="D5976" t="inlineStr">
        <is>
          <t>Financial</t>
        </is>
      </c>
      <c r="E5976" t="inlineStr">
        <is>
          <t>Total Liabilities</t>
        </is>
      </c>
      <c r="F5976" t="n">
        <v>2520</v>
      </c>
      <c r="G5976" t="inlineStr">
        <is>
          <t>IDR bn</t>
        </is>
      </c>
      <c r="H5976" t="n">
        <v>13</v>
      </c>
      <c r="I5976" t="inlineStr">
        <is>
          <t>Total Liabilitas 2.519.627 2.965.522</t>
        </is>
      </c>
      <c r="J5976" t="inlineStr">
        <is>
          <t>High</t>
        </is>
      </c>
      <c r="M5976" t="inlineStr">
        <is>
          <t>LLM</t>
        </is>
      </c>
      <c r="N5976" t="inlineStr">
        <is>
          <t>2026-04-19</t>
        </is>
      </c>
      <c r="O5976" t="inlineStr">
        <is>
          <t>AI</t>
        </is>
      </c>
    </row>
    <row r="5977">
      <c r="A5977" t="inlineStr">
        <is>
          <t>PT Teladan Prima Agro Tbk</t>
        </is>
      </c>
      <c r="B5977" t="inlineStr">
        <is>
          <t>TLDN_2024_AR.pdf</t>
        </is>
      </c>
      <c r="C5977" t="n">
        <v>2024</v>
      </c>
      <c r="D5977" t="inlineStr">
        <is>
          <t>Financial</t>
        </is>
      </c>
      <c r="E5977" t="inlineStr">
        <is>
          <t>Current Liabilities</t>
        </is>
      </c>
      <c r="F5977" t="n">
        <v>1573</v>
      </c>
      <c r="G5977" t="inlineStr">
        <is>
          <t>IDR bn</t>
        </is>
      </c>
      <c r="H5977" t="n">
        <v>13</v>
      </c>
      <c r="I5977" t="inlineStr">
        <is>
          <t>Liabilitas Jangka Pendek 1.572.692 1.689.684</t>
        </is>
      </c>
      <c r="J5977" t="inlineStr">
        <is>
          <t>High</t>
        </is>
      </c>
      <c r="M5977" t="inlineStr">
        <is>
          <t>LLM</t>
        </is>
      </c>
      <c r="N5977" t="inlineStr">
        <is>
          <t>2026-04-19</t>
        </is>
      </c>
      <c r="O5977" t="inlineStr">
        <is>
          <t>AI</t>
        </is>
      </c>
    </row>
    <row r="5978">
      <c r="A5978" t="inlineStr">
        <is>
          <t>PT Teladan Prima Agro Tbk</t>
        </is>
      </c>
      <c r="B5978" t="inlineStr">
        <is>
          <t>TLDN_2024_AR.pdf</t>
        </is>
      </c>
      <c r="C5978" t="n">
        <v>2024</v>
      </c>
      <c r="D5978" t="inlineStr">
        <is>
          <t>Financial</t>
        </is>
      </c>
      <c r="E5978" t="inlineStr">
        <is>
          <t>Non-Current Liabilities</t>
        </is>
      </c>
      <c r="F5978" t="n">
        <v>947</v>
      </c>
      <c r="G5978" t="inlineStr">
        <is>
          <t>IDR bn</t>
        </is>
      </c>
      <c r="H5978" t="n">
        <v>13</v>
      </c>
      <c r="I5978" t="inlineStr">
        <is>
          <t>Liabilitas Jangka Panjang 946.936 1.275.838</t>
        </is>
      </c>
      <c r="J5978" t="inlineStr">
        <is>
          <t>High</t>
        </is>
      </c>
      <c r="M5978" t="inlineStr">
        <is>
          <t>LLM</t>
        </is>
      </c>
      <c r="N5978" t="inlineStr">
        <is>
          <t>2026-04-19</t>
        </is>
      </c>
      <c r="O5978" t="inlineStr">
        <is>
          <t>AI</t>
        </is>
      </c>
    </row>
    <row r="5979">
      <c r="A5979" t="inlineStr">
        <is>
          <t>PT Teladan Prima Agro Tbk</t>
        </is>
      </c>
      <c r="B5979" t="inlineStr">
        <is>
          <t>TLDN_2024_AR.pdf</t>
        </is>
      </c>
      <c r="C5979" t="n">
        <v>2024</v>
      </c>
      <c r="D5979" t="inlineStr">
        <is>
          <t>Financial</t>
        </is>
      </c>
      <c r="E5979" t="inlineStr">
        <is>
          <t>Total Equity</t>
        </is>
      </c>
      <c r="F5979" t="n">
        <v>3145</v>
      </c>
      <c r="G5979" t="inlineStr">
        <is>
          <t>IDR bn</t>
        </is>
      </c>
      <c r="H5979" t="n">
        <v>13</v>
      </c>
      <c r="I5979" t="inlineStr">
        <is>
          <t>Ekuitas 3.144.818 2.458.277</t>
        </is>
      </c>
      <c r="J5979" t="inlineStr">
        <is>
          <t>High</t>
        </is>
      </c>
      <c r="M5979" t="inlineStr">
        <is>
          <t>LLM</t>
        </is>
      </c>
      <c r="N5979" t="inlineStr">
        <is>
          <t>2026-04-19</t>
        </is>
      </c>
      <c r="O5979" t="inlineStr">
        <is>
          <t>AI</t>
        </is>
      </c>
    </row>
    <row r="5980">
      <c r="A5980" t="inlineStr">
        <is>
          <t>PT Teladan Prima Agro Tbk</t>
        </is>
      </c>
      <c r="B5980" t="inlineStr">
        <is>
          <t>TLDN_2024_AR.pdf</t>
        </is>
      </c>
      <c r="C5980" t="n">
        <v>2024</v>
      </c>
      <c r="D5980" t="inlineStr">
        <is>
          <t>Financial</t>
        </is>
      </c>
      <c r="E5980" t="inlineStr">
        <is>
          <t>Cash &amp; Cash Equivalents</t>
        </is>
      </c>
      <c r="F5980" t="n">
        <v>487</v>
      </c>
      <c r="G5980" t="inlineStr">
        <is>
          <t>IDR bn</t>
        </is>
      </c>
      <c r="H5980" t="n">
        <v>16</v>
      </c>
      <c r="I5980" t="inlineStr">
        <is>
          <t>Saldo Kas dan Setara Kas Akhir Tahun 486.588 583.295</t>
        </is>
      </c>
      <c r="J5980" t="inlineStr">
        <is>
          <t>High</t>
        </is>
      </c>
      <c r="M5980" t="inlineStr">
        <is>
          <t>LLM</t>
        </is>
      </c>
      <c r="N5980" t="inlineStr">
        <is>
          <t>2026-04-19</t>
        </is>
      </c>
      <c r="O5980" t="inlineStr">
        <is>
          <t>AI</t>
        </is>
      </c>
    </row>
    <row r="5981">
      <c r="A5981" t="inlineStr">
        <is>
          <t>PT Teladan Prima Agro Tbk</t>
        </is>
      </c>
      <c r="B5981" t="inlineStr">
        <is>
          <t>TLDN_2024_AR.pdf</t>
        </is>
      </c>
      <c r="C5981" t="n">
        <v>2024</v>
      </c>
      <c r="D5981" t="inlineStr">
        <is>
          <t>Financial</t>
        </is>
      </c>
      <c r="E5981" t="inlineStr">
        <is>
          <t>Long-term Bank Loans (Bank Mandiri)</t>
        </is>
      </c>
      <c r="F5981" t="n">
        <v>520</v>
      </c>
      <c r="G5981" t="inlineStr">
        <is>
          <t>IDR bn</t>
        </is>
      </c>
      <c r="H5981" t="inlineStr">
        <is>
          <t>Notes 12</t>
        </is>
      </c>
      <c r="I5981" t="inlineStr">
        <is>
          <t>Bank Mandiri 520.017.270 (thousand Rp) vs 963.641.270 in 2023</t>
        </is>
      </c>
      <c r="J5981" t="inlineStr">
        <is>
          <t>High</t>
        </is>
      </c>
      <c r="M5981" t="inlineStr">
        <is>
          <t>LLM</t>
        </is>
      </c>
      <c r="N5981" t="inlineStr">
        <is>
          <t>2026-04-19</t>
        </is>
      </c>
      <c r="O5981" t="inlineStr">
        <is>
          <t>AI</t>
        </is>
      </c>
    </row>
    <row r="5982">
      <c r="A5982" t="inlineStr">
        <is>
          <t>PT Teladan Prima Agro Tbk</t>
        </is>
      </c>
      <c r="B5982" t="inlineStr">
        <is>
          <t>TLDN_2024_AR.pdf</t>
        </is>
      </c>
      <c r="C5982" t="n">
        <v>2024</v>
      </c>
      <c r="D5982" t="inlineStr">
        <is>
          <t>Financial</t>
        </is>
      </c>
      <c r="E5982" t="inlineStr">
        <is>
          <t>Short-term Bank Loans (Bank Mandiri)</t>
        </is>
      </c>
      <c r="F5982" t="n">
        <v>20</v>
      </c>
      <c r="G5982" t="inlineStr">
        <is>
          <t>IDR bn</t>
        </is>
      </c>
      <c r="H5982" t="inlineStr">
        <is>
          <t>Notes 12</t>
        </is>
      </c>
      <c r="I5982" t="inlineStr">
        <is>
          <t>Bank Mandiri 20.000.000 - (thousand Rp) short-term bank loans</t>
        </is>
      </c>
      <c r="J5982" t="inlineStr">
        <is>
          <t>High</t>
        </is>
      </c>
      <c r="M5982" t="inlineStr">
        <is>
          <t>LLM</t>
        </is>
      </c>
      <c r="N5982" t="inlineStr">
        <is>
          <t>2026-04-19</t>
        </is>
      </c>
      <c r="O5982" t="inlineStr">
        <is>
          <t>AI</t>
        </is>
      </c>
    </row>
    <row r="5983">
      <c r="A5983" t="inlineStr">
        <is>
          <t>PT Teladan Prima Agro Tbk</t>
        </is>
      </c>
      <c r="B5983" t="inlineStr">
        <is>
          <t>TLDN_2024_AR.pdf</t>
        </is>
      </c>
      <c r="C5983" t="n">
        <v>2024</v>
      </c>
      <c r="D5983" t="inlineStr">
        <is>
          <t>Financial</t>
        </is>
      </c>
      <c r="E5983" t="inlineStr">
        <is>
          <t>CFO</t>
        </is>
      </c>
      <c r="F5983" t="n">
        <v>1140</v>
      </c>
      <c r="G5983" t="inlineStr">
        <is>
          <t>IDR bn</t>
        </is>
      </c>
      <c r="H5983" t="n">
        <v>16</v>
      </c>
      <c r="I5983" t="inlineStr">
        <is>
          <t>Arus Kas Bersih yang Diperoleh dari Aktivitas Operasi 1.140.257 1.313.646</t>
        </is>
      </c>
      <c r="J5983" t="inlineStr">
        <is>
          <t>High</t>
        </is>
      </c>
      <c r="M5983" t="inlineStr">
        <is>
          <t>LLM</t>
        </is>
      </c>
      <c r="N5983" t="inlineStr">
        <is>
          <t>2026-04-19</t>
        </is>
      </c>
      <c r="O5983" t="inlineStr">
        <is>
          <t>AI</t>
        </is>
      </c>
    </row>
    <row r="5984">
      <c r="A5984" t="inlineStr">
        <is>
          <t>PT Teladan Prima Agro Tbk</t>
        </is>
      </c>
      <c r="B5984" t="inlineStr">
        <is>
          <t>TLDN_2024_AR.pdf</t>
        </is>
      </c>
      <c r="C5984" t="n">
        <v>2024</v>
      </c>
      <c r="D5984" t="inlineStr">
        <is>
          <t>Financial</t>
        </is>
      </c>
      <c r="E5984" t="inlineStr">
        <is>
          <t>CFI</t>
        </is>
      </c>
      <c r="F5984" t="n">
        <v>-415</v>
      </c>
      <c r="G5984" t="inlineStr">
        <is>
          <t>IDR bn</t>
        </is>
      </c>
      <c r="H5984" t="n">
        <v>16</v>
      </c>
      <c r="I5984" t="inlineStr">
        <is>
          <t>Arus Kas Bersih yang Digunakan untuk Aktivitas Investasi (415.471) (410.091)</t>
        </is>
      </c>
      <c r="J5984" t="inlineStr">
        <is>
          <t>High</t>
        </is>
      </c>
      <c r="M5984" t="inlineStr">
        <is>
          <t>LLM</t>
        </is>
      </c>
      <c r="N5984" t="inlineStr">
        <is>
          <t>2026-04-19</t>
        </is>
      </c>
      <c r="O5984" t="inlineStr">
        <is>
          <t>AI</t>
        </is>
      </c>
    </row>
    <row r="5985">
      <c r="A5985" t="inlineStr">
        <is>
          <t>PT Teladan Prima Agro Tbk</t>
        </is>
      </c>
      <c r="B5985" t="inlineStr">
        <is>
          <t>TLDN_2024_AR.pdf</t>
        </is>
      </c>
      <c r="C5985" t="n">
        <v>2024</v>
      </c>
      <c r="D5985" t="inlineStr">
        <is>
          <t>Financial</t>
        </is>
      </c>
      <c r="E5985" t="inlineStr">
        <is>
          <t>CFF</t>
        </is>
      </c>
      <c r="F5985" t="n">
        <v>-822</v>
      </c>
      <c r="G5985" t="inlineStr">
        <is>
          <t>IDR bn</t>
        </is>
      </c>
      <c r="H5985" t="n">
        <v>16</v>
      </c>
      <c r="I5985" t="inlineStr">
        <is>
          <t>Arus Kas Bersih yang Digunakan untuk Aktivitas Pendanaan (821.536) (907.798)</t>
        </is>
      </c>
      <c r="J5985" t="inlineStr">
        <is>
          <t>High</t>
        </is>
      </c>
      <c r="M5985" t="inlineStr">
        <is>
          <t>LLM</t>
        </is>
      </c>
      <c r="N5985" t="inlineStr">
        <is>
          <t>2026-04-19</t>
        </is>
      </c>
      <c r="O5985" t="inlineStr">
        <is>
          <t>AI</t>
        </is>
      </c>
    </row>
    <row r="5986">
      <c r="A5986" t="inlineStr">
        <is>
          <t>PT Teladan Prima Agro Tbk</t>
        </is>
      </c>
      <c r="B5986" t="inlineStr">
        <is>
          <t>TLDN_2024_AR.pdf</t>
        </is>
      </c>
      <c r="C5986" t="n">
        <v>2024</v>
      </c>
      <c r="D5986" t="inlineStr">
        <is>
          <t>Financial</t>
        </is>
      </c>
      <c r="E5986" t="inlineStr">
        <is>
          <t>Capex Realization (Total)</t>
        </is>
      </c>
      <c r="F5986" t="n">
        <v>402</v>
      </c>
      <c r="G5986" t="inlineStr">
        <is>
          <t>IDR bn</t>
        </is>
      </c>
      <c r="H5986" t="n">
        <v>104</v>
      </c>
      <c r="I5986" t="inlineStr">
        <is>
          <t>Total 401.708 385.521 (million Rp). Bangunan dan Prasarana 252.237; Mesin dan Peralatan 72.433; Tanah 27.270; Immature Plants 6.450; etc.</t>
        </is>
      </c>
      <c r="J5986" t="inlineStr">
        <is>
          <t>High</t>
        </is>
      </c>
      <c r="M5986" t="inlineStr">
        <is>
          <t>LLM</t>
        </is>
      </c>
      <c r="N5986" t="inlineStr">
        <is>
          <t>2026-04-19</t>
        </is>
      </c>
      <c r="O5986" t="inlineStr">
        <is>
          <t>AI</t>
        </is>
      </c>
    </row>
    <row r="5987">
      <c r="A5987" t="inlineStr">
        <is>
          <t>PT Teladan Prima Agro Tbk</t>
        </is>
      </c>
      <c r="B5987" t="inlineStr">
        <is>
          <t>TLDN_2024_AR.pdf</t>
        </is>
      </c>
      <c r="C5987" t="n">
        <v>2024</v>
      </c>
      <c r="D5987" t="inlineStr">
        <is>
          <t>Financial</t>
        </is>
      </c>
      <c r="E5987" t="inlineStr">
        <is>
          <t>EPS</t>
        </is>
      </c>
      <c r="F5987" t="n">
        <v>63.77</v>
      </c>
      <c r="G5987" t="inlineStr">
        <is>
          <t>Rp/share</t>
        </is>
      </c>
      <c r="H5987" t="n">
        <v>13</v>
      </c>
      <c r="I5987" t="inlineStr">
        <is>
          <t>Laba per Saham Dasar (Angka Penuh) 63,77 34,90</t>
        </is>
      </c>
      <c r="J5987" t="inlineStr">
        <is>
          <t>High</t>
        </is>
      </c>
      <c r="M5987" t="inlineStr">
        <is>
          <t>LLM</t>
        </is>
      </c>
      <c r="N5987" t="inlineStr">
        <is>
          <t>2026-04-19</t>
        </is>
      </c>
      <c r="O5987" t="inlineStr">
        <is>
          <t>AI</t>
        </is>
      </c>
    </row>
    <row r="5988">
      <c r="A5988" t="inlineStr">
        <is>
          <t>PT Teladan Prima Agro Tbk</t>
        </is>
      </c>
      <c r="B5988" t="inlineStr">
        <is>
          <t>TLDN_2024_AR.pdf</t>
        </is>
      </c>
      <c r="C5988" t="n">
        <v>2024</v>
      </c>
      <c r="D5988" t="inlineStr">
        <is>
          <t>Financial</t>
        </is>
      </c>
      <c r="E5988" t="inlineStr">
        <is>
          <t>Shares Outstanding</t>
        </is>
      </c>
      <c r="F5988" t="n">
        <v>12947</v>
      </c>
      <c r="G5988" t="inlineStr">
        <is>
          <t>mn</t>
        </is>
      </c>
      <c r="H5988" t="n">
        <v>18</v>
      </c>
      <c r="I5988" t="inlineStr">
        <is>
          <t>Total Saham yang Beredar 12.946.530.200</t>
        </is>
      </c>
      <c r="J5988" t="inlineStr">
        <is>
          <t>High</t>
        </is>
      </c>
      <c r="M5988" t="inlineStr">
        <is>
          <t>LLM</t>
        </is>
      </c>
      <c r="N5988" t="inlineStr">
        <is>
          <t>2026-04-19</t>
        </is>
      </c>
      <c r="O5988" t="inlineStr">
        <is>
          <t>AI</t>
        </is>
      </c>
    </row>
    <row r="5989">
      <c r="A5989" t="inlineStr">
        <is>
          <t>PT Teladan Prima Agro Tbk</t>
        </is>
      </c>
      <c r="B5989" t="inlineStr">
        <is>
          <t>TLDN_2024_AR.pdf</t>
        </is>
      </c>
      <c r="C5989" t="n">
        <v>2024</v>
      </c>
      <c r="D5989" t="inlineStr">
        <is>
          <t>Financial</t>
        </is>
      </c>
      <c r="E5989" t="inlineStr">
        <is>
          <t>Closing Price Q4 2024</t>
        </is>
      </c>
      <c r="F5989" t="n">
        <v>545</v>
      </c>
      <c r="G5989" t="inlineStr">
        <is>
          <t>Rp/share</t>
        </is>
      </c>
      <c r="H5989" t="n">
        <v>18</v>
      </c>
      <c r="I5989" t="inlineStr">
        <is>
          <t>Q4 640 474 545 (Harga Penutupan)</t>
        </is>
      </c>
      <c r="J5989" t="inlineStr">
        <is>
          <t>High</t>
        </is>
      </c>
      <c r="M5989" t="inlineStr">
        <is>
          <t>LLM</t>
        </is>
      </c>
      <c r="N5989" t="inlineStr">
        <is>
          <t>2026-04-19</t>
        </is>
      </c>
      <c r="O5989" t="inlineStr">
        <is>
          <t>AI</t>
        </is>
      </c>
    </row>
    <row r="5990">
      <c r="A5990" t="inlineStr">
        <is>
          <t>PT Teladan Prima Agro Tbk</t>
        </is>
      </c>
      <c r="B5990" t="inlineStr">
        <is>
          <t>TLDN_2024_AR.pdf</t>
        </is>
      </c>
      <c r="C5990" t="n">
        <v>2024</v>
      </c>
      <c r="D5990" t="inlineStr">
        <is>
          <t>Financial</t>
        </is>
      </c>
      <c r="E5990" t="inlineStr">
        <is>
          <t>Market Cap (31 Dec 2024)</t>
        </is>
      </c>
      <c r="F5990" t="n">
        <v>7056</v>
      </c>
      <c r="G5990" t="inlineStr">
        <is>
          <t>IDR bn</t>
        </is>
      </c>
      <c r="H5990" t="n">
        <v>18</v>
      </c>
      <c r="I5990" t="inlineStr">
        <is>
          <t>Kapitalisasi Pasar Q4 2024: 7.055.858.959.000</t>
        </is>
      </c>
      <c r="J5990" t="inlineStr">
        <is>
          <t>High</t>
        </is>
      </c>
      <c r="M5990" t="inlineStr">
        <is>
          <t>LLM</t>
        </is>
      </c>
      <c r="N5990" t="inlineStr">
        <is>
          <t>2026-04-19</t>
        </is>
      </c>
      <c r="O5990" t="inlineStr">
        <is>
          <t>AI</t>
        </is>
      </c>
    </row>
    <row r="5991">
      <c r="A5991" t="inlineStr">
        <is>
          <t>PT Teladan Prima Agro Tbk</t>
        </is>
      </c>
      <c r="B5991" t="inlineStr">
        <is>
          <t>TLDN_2024_AR.pdf</t>
        </is>
      </c>
      <c r="C5991" t="n">
        <v>2024</v>
      </c>
      <c r="D5991" t="inlineStr">
        <is>
          <t>Financial</t>
        </is>
      </c>
      <c r="E5991" t="inlineStr">
        <is>
          <t>Current Ratio</t>
        </is>
      </c>
      <c r="F5991" t="n">
        <v>1.1</v>
      </c>
      <c r="G5991" t="inlineStr">
        <is>
          <t>x</t>
        </is>
      </c>
      <c r="H5991" t="n">
        <v>14</v>
      </c>
      <c r="I5991" t="inlineStr">
        <is>
          <t>Rasio Lancar 1,1 1,0 1,2</t>
        </is>
      </c>
      <c r="J5991" t="inlineStr">
        <is>
          <t>High</t>
        </is>
      </c>
      <c r="M5991" t="inlineStr">
        <is>
          <t>LLM</t>
        </is>
      </c>
      <c r="N5991" t="inlineStr">
        <is>
          <t>2026-04-19</t>
        </is>
      </c>
      <c r="O5991" t="inlineStr">
        <is>
          <t>AI</t>
        </is>
      </c>
    </row>
    <row r="5992">
      <c r="A5992" t="inlineStr">
        <is>
          <t>PT Teladan Prima Agro Tbk</t>
        </is>
      </c>
      <c r="B5992" t="inlineStr">
        <is>
          <t>TLDN_2024_AR.pdf</t>
        </is>
      </c>
      <c r="C5992" t="n">
        <v>2024</v>
      </c>
      <c r="D5992" t="inlineStr">
        <is>
          <t>Financial</t>
        </is>
      </c>
      <c r="E5992" t="inlineStr">
        <is>
          <t>Cash Ratio</t>
        </is>
      </c>
      <c r="F5992" t="n">
        <v>0.3</v>
      </c>
      <c r="G5992" t="inlineStr">
        <is>
          <t>x</t>
        </is>
      </c>
      <c r="H5992" t="n">
        <v>14</v>
      </c>
      <c r="I5992" t="inlineStr">
        <is>
          <t>Rasio Kas 0,3 0,3 0,4</t>
        </is>
      </c>
      <c r="J5992" t="inlineStr">
        <is>
          <t>High</t>
        </is>
      </c>
      <c r="M5992" t="inlineStr">
        <is>
          <t>LLM</t>
        </is>
      </c>
      <c r="N5992" t="inlineStr">
        <is>
          <t>2026-04-19</t>
        </is>
      </c>
      <c r="O5992" t="inlineStr">
        <is>
          <t>AI</t>
        </is>
      </c>
    </row>
    <row r="5993">
      <c r="A5993" t="inlineStr">
        <is>
          <t>PT Teladan Prima Agro Tbk</t>
        </is>
      </c>
      <c r="B5993" t="inlineStr">
        <is>
          <t>TLDN_2024_AR.pdf</t>
        </is>
      </c>
      <c r="C5993" t="n">
        <v>2024</v>
      </c>
      <c r="D5993" t="inlineStr">
        <is>
          <t>Financial</t>
        </is>
      </c>
      <c r="E5993" t="inlineStr">
        <is>
          <t>Liabilities-to-Equity Ratio</t>
        </is>
      </c>
      <c r="F5993" t="n">
        <v>0.8</v>
      </c>
      <c r="G5993" t="inlineStr">
        <is>
          <t>x</t>
        </is>
      </c>
      <c r="H5993" t="n">
        <v>14</v>
      </c>
      <c r="I5993" t="inlineStr">
        <is>
          <t>Rasio Liabilitas Terhadap Ekuitas 0,8 1,2 1,4</t>
        </is>
      </c>
      <c r="J5993" t="inlineStr">
        <is>
          <t>High</t>
        </is>
      </c>
      <c r="M5993" t="inlineStr">
        <is>
          <t>LLM</t>
        </is>
      </c>
      <c r="N5993" t="inlineStr">
        <is>
          <t>2026-04-19</t>
        </is>
      </c>
      <c r="O5993" t="inlineStr">
        <is>
          <t>AI</t>
        </is>
      </c>
    </row>
    <row r="5994">
      <c r="A5994" t="inlineStr">
        <is>
          <t>PT Teladan Prima Agro Tbk</t>
        </is>
      </c>
      <c r="B5994" t="inlineStr">
        <is>
          <t>TLDN_2024_AR.pdf</t>
        </is>
      </c>
      <c r="C5994" t="n">
        <v>2024</v>
      </c>
      <c r="D5994" t="inlineStr">
        <is>
          <t>Financial</t>
        </is>
      </c>
      <c r="E5994" t="inlineStr">
        <is>
          <t>Bank Debt to Equity</t>
        </is>
      </c>
      <c r="F5994" t="n">
        <v>0.2</v>
      </c>
      <c r="G5994" t="inlineStr">
        <is>
          <t>x</t>
        </is>
      </c>
      <c r="H5994" t="n">
        <v>100</v>
      </c>
      <c r="I5994" t="inlineStr">
        <is>
          <t>rasio utang bank terhadap ekuitas menurun menjadi 0,2 kali, dibandingkan dengan 0,4 kali pada tahun 2023</t>
        </is>
      </c>
      <c r="J5994" t="inlineStr">
        <is>
          <t>High</t>
        </is>
      </c>
      <c r="M5994" t="inlineStr">
        <is>
          <t>LLM</t>
        </is>
      </c>
      <c r="N5994" t="inlineStr">
        <is>
          <t>2026-04-19</t>
        </is>
      </c>
      <c r="O5994" t="inlineStr">
        <is>
          <t>AI</t>
        </is>
      </c>
    </row>
    <row r="5995">
      <c r="A5995" t="inlineStr">
        <is>
          <t>PT Teladan Prima Agro Tbk</t>
        </is>
      </c>
      <c r="B5995" t="inlineStr">
        <is>
          <t>TLDN_2024_AR.pdf</t>
        </is>
      </c>
      <c r="C5995" t="n">
        <v>2024</v>
      </c>
      <c r="D5995" t="inlineStr">
        <is>
          <t>Financial</t>
        </is>
      </c>
      <c r="E5995" t="inlineStr">
        <is>
          <t>Gross Profit Margin</t>
        </is>
      </c>
      <c r="F5995" t="n">
        <v>0.346</v>
      </c>
      <c r="G5995" t="inlineStr">
        <is>
          <t>%</t>
        </is>
      </c>
      <c r="H5995" t="n">
        <v>14</v>
      </c>
      <c r="I5995" t="inlineStr">
        <is>
          <t>Margin Laba Kotor 34,6 26,7 34,5</t>
        </is>
      </c>
      <c r="J5995" t="inlineStr">
        <is>
          <t>High</t>
        </is>
      </c>
      <c r="M5995" t="inlineStr">
        <is>
          <t>LLM</t>
        </is>
      </c>
      <c r="N5995" t="inlineStr">
        <is>
          <t>2026-04-19</t>
        </is>
      </c>
      <c r="O5995" t="inlineStr">
        <is>
          <t>AI</t>
        </is>
      </c>
    </row>
    <row r="5996">
      <c r="A5996" t="inlineStr">
        <is>
          <t>PT Teladan Prima Agro Tbk</t>
        </is>
      </c>
      <c r="B5996" t="inlineStr">
        <is>
          <t>TLDN_2024_AR.pdf</t>
        </is>
      </c>
      <c r="C5996" t="n">
        <v>2024</v>
      </c>
      <c r="D5996" t="inlineStr">
        <is>
          <t>Financial</t>
        </is>
      </c>
      <c r="E5996" t="inlineStr">
        <is>
          <t>Operating Profit Margin</t>
        </is>
      </c>
      <c r="F5996" t="n">
        <v>0.264</v>
      </c>
      <c r="G5996" t="inlineStr">
        <is>
          <t>%</t>
        </is>
      </c>
      <c r="H5996" t="n">
        <v>14</v>
      </c>
      <c r="I5996" t="inlineStr">
        <is>
          <t>Margin Laba Usaha 26,4 17,7 23,1</t>
        </is>
      </c>
      <c r="J5996" t="inlineStr">
        <is>
          <t>High</t>
        </is>
      </c>
      <c r="M5996" t="inlineStr">
        <is>
          <t>LLM</t>
        </is>
      </c>
      <c r="N5996" t="inlineStr">
        <is>
          <t>2026-04-19</t>
        </is>
      </c>
      <c r="O5996" t="inlineStr">
        <is>
          <t>AI</t>
        </is>
      </c>
    </row>
    <row r="5997">
      <c r="A5997" t="inlineStr">
        <is>
          <t>PT Teladan Prima Agro Tbk</t>
        </is>
      </c>
      <c r="B5997" t="inlineStr">
        <is>
          <t>TLDN_2024_AR.pdf</t>
        </is>
      </c>
      <c r="C5997" t="n">
        <v>2024</v>
      </c>
      <c r="D5997" t="inlineStr">
        <is>
          <t>Financial</t>
        </is>
      </c>
      <c r="E5997" t="inlineStr">
        <is>
          <t>Net Profit Margin</t>
        </is>
      </c>
      <c r="F5997" t="n">
        <v>0.196</v>
      </c>
      <c r="G5997" t="inlineStr">
        <is>
          <t>%</t>
        </is>
      </c>
      <c r="H5997" t="n">
        <v>14</v>
      </c>
      <c r="I5997" t="inlineStr">
        <is>
          <t>Margin Laba Bersih 19,6 11,3 15,9</t>
        </is>
      </c>
      <c r="J5997" t="inlineStr">
        <is>
          <t>High</t>
        </is>
      </c>
      <c r="M5997" t="inlineStr">
        <is>
          <t>LLM</t>
        </is>
      </c>
      <c r="N5997" t="inlineStr">
        <is>
          <t>2026-04-19</t>
        </is>
      </c>
      <c r="O5997" t="inlineStr">
        <is>
          <t>AI</t>
        </is>
      </c>
    </row>
    <row r="5998">
      <c r="A5998" t="inlineStr">
        <is>
          <t>PT Teladan Prima Agro Tbk</t>
        </is>
      </c>
      <c r="B5998" t="inlineStr">
        <is>
          <t>TLDN_2024_AR.pdf</t>
        </is>
      </c>
      <c r="C5998" t="n">
        <v>2024</v>
      </c>
      <c r="D5998" t="inlineStr">
        <is>
          <t>Financial</t>
        </is>
      </c>
      <c r="E5998" t="inlineStr">
        <is>
          <t>Return on Equity</t>
        </is>
      </c>
      <c r="F5998" t="n">
        <v>0.263</v>
      </c>
      <c r="G5998" t="inlineStr">
        <is>
          <t>%</t>
        </is>
      </c>
      <c r="H5998" t="n">
        <v>14</v>
      </c>
      <c r="I5998" t="inlineStr">
        <is>
          <t>Imbal Hasil Atas Ekuitas 26,3 18,4 26,3</t>
        </is>
      </c>
      <c r="J5998" t="inlineStr">
        <is>
          <t>High</t>
        </is>
      </c>
      <c r="M5998" t="inlineStr">
        <is>
          <t>LLM</t>
        </is>
      </c>
      <c r="N5998" t="inlineStr">
        <is>
          <t>2026-04-19</t>
        </is>
      </c>
      <c r="O5998" t="inlineStr">
        <is>
          <t>AI</t>
        </is>
      </c>
    </row>
    <row r="5999">
      <c r="A5999" t="inlineStr">
        <is>
          <t>PT Teladan Prima Agro Tbk</t>
        </is>
      </c>
      <c r="B5999" t="inlineStr">
        <is>
          <t>TLDN_2024_AR.pdf</t>
        </is>
      </c>
      <c r="C5999" t="n">
        <v>2024</v>
      </c>
      <c r="D5999" t="inlineStr">
        <is>
          <t>Financial</t>
        </is>
      </c>
      <c r="E5999" t="inlineStr">
        <is>
          <t>Return on Assets</t>
        </is>
      </c>
      <c r="F5999" t="n">
        <v>0.146</v>
      </c>
      <c r="G5999" t="inlineStr">
        <is>
          <t>%</t>
        </is>
      </c>
      <c r="H5999" t="n">
        <v>14</v>
      </c>
      <c r="I5999" t="inlineStr">
        <is>
          <t>Imbal Hasil Atas Aset 14,6 8,3 11,0</t>
        </is>
      </c>
      <c r="J5999" t="inlineStr">
        <is>
          <t>High</t>
        </is>
      </c>
      <c r="M5999" t="inlineStr">
        <is>
          <t>LLM</t>
        </is>
      </c>
      <c r="N5999" t="inlineStr">
        <is>
          <t>2026-04-19</t>
        </is>
      </c>
      <c r="O5999" t="inlineStr">
        <is>
          <t>AI</t>
        </is>
      </c>
    </row>
    <row r="6000">
      <c r="A6000" t="inlineStr">
        <is>
          <t>PT Teladan Prima Agro Tbk</t>
        </is>
      </c>
      <c r="B6000" t="inlineStr">
        <is>
          <t>TLDN_2024_AR.pdf</t>
        </is>
      </c>
      <c r="C6000" t="n">
        <v>2024</v>
      </c>
      <c r="D6000" t="inlineStr">
        <is>
          <t>Financial</t>
        </is>
      </c>
      <c r="E6000" t="inlineStr">
        <is>
          <t>Final DPS (from FY2023)</t>
        </is>
      </c>
      <c r="F6000" t="n">
        <v>12.21</v>
      </c>
      <c r="G6000" t="inlineStr">
        <is>
          <t>Rp/share</t>
        </is>
      </c>
      <c r="H6000" t="n">
        <v>107</v>
      </c>
      <c r="I6000" t="inlineStr">
        <is>
          <t>2023 Final 12,21 158.077.133.742 35,0% - paid 8/21 May 2024</t>
        </is>
      </c>
      <c r="J6000" t="inlineStr">
        <is>
          <t>High</t>
        </is>
      </c>
      <c r="M6000" t="inlineStr">
        <is>
          <t>LLM</t>
        </is>
      </c>
      <c r="N6000" t="inlineStr">
        <is>
          <t>2026-04-19</t>
        </is>
      </c>
      <c r="O6000" t="inlineStr">
        <is>
          <t>AI</t>
        </is>
      </c>
    </row>
    <row r="6001">
      <c r="A6001" t="inlineStr">
        <is>
          <t>PT Teladan Prima Agro Tbk</t>
        </is>
      </c>
      <c r="B6001" t="inlineStr">
        <is>
          <t>TLDN_2024_AR.pdf</t>
        </is>
      </c>
      <c r="C6001" t="n">
        <v>2024</v>
      </c>
      <c r="D6001" t="inlineStr">
        <is>
          <t>Financial</t>
        </is>
      </c>
      <c r="E6001" t="inlineStr">
        <is>
          <t>Capex Commitment (Total)</t>
        </is>
      </c>
      <c r="F6001" t="n">
        <v>402</v>
      </c>
      <c r="G6001" t="inlineStr">
        <is>
          <t>IDR bn</t>
        </is>
      </c>
      <c r="H6001" t="n">
        <v>103</v>
      </c>
      <c r="I6001" t="inlineStr">
        <is>
          <t>Pada tahun 2024, Perseroan memiliki komitmen pembelian barang modal sebesar Rp401,71 miliar</t>
        </is>
      </c>
      <c r="J6001" t="inlineStr">
        <is>
          <t>High</t>
        </is>
      </c>
      <c r="M6001" t="inlineStr">
        <is>
          <t>LLM</t>
        </is>
      </c>
      <c r="N6001" t="inlineStr">
        <is>
          <t>2026-04-19</t>
        </is>
      </c>
      <c r="O6001" t="inlineStr">
        <is>
          <t>AI</t>
        </is>
      </c>
    </row>
    <row r="6002">
      <c r="A6002" t="inlineStr">
        <is>
          <t>PT Teladan Prima Agro Tbk</t>
        </is>
      </c>
      <c r="B6002" t="inlineStr">
        <is>
          <t>TLDN_2024_AR.pdf</t>
        </is>
      </c>
      <c r="C6002" t="n">
        <v>2024</v>
      </c>
      <c r="D6002" t="inlineStr">
        <is>
          <t>Financial</t>
        </is>
      </c>
      <c r="E6002" t="inlineStr">
        <is>
          <t>Cost Reduction 2024</t>
        </is>
      </c>
      <c r="F6002" t="n">
        <v>0.097</v>
      </c>
      <c r="G6002" t="inlineStr">
        <is>
          <t>%</t>
        </is>
      </c>
      <c r="H6002" t="n">
        <v>106</v>
      </c>
      <c r="I6002" t="inlineStr">
        <is>
          <t>strategi efisiensi yang mampu menekan biaya hingga 9,7%</t>
        </is>
      </c>
      <c r="J6002" t="inlineStr">
        <is>
          <t>High</t>
        </is>
      </c>
      <c r="M6002" t="inlineStr">
        <is>
          <t>LLM</t>
        </is>
      </c>
      <c r="N6002" t="inlineStr">
        <is>
          <t>2026-04-19</t>
        </is>
      </c>
      <c r="O6002" t="inlineStr">
        <is>
          <t>AI</t>
        </is>
      </c>
    </row>
    <row r="6003">
      <c r="A6003" t="inlineStr">
        <is>
          <t>PT Teladan Prima Agro Tbk</t>
        </is>
      </c>
      <c r="B6003" t="inlineStr">
        <is>
          <t>TLDN_2024_AR.pdf</t>
        </is>
      </c>
      <c r="C6003" t="n">
        <v>2024</v>
      </c>
      <c r="D6003" t="inlineStr">
        <is>
          <t>Asset</t>
        </is>
      </c>
      <c r="E6003" t="inlineStr">
        <is>
          <t>Total Planted Area</t>
        </is>
      </c>
      <c r="F6003" t="n">
        <v>60515</v>
      </c>
      <c r="G6003" t="inlineStr">
        <is>
          <t>ha</t>
        </is>
      </c>
      <c r="H6003" t="n">
        <v>55</v>
      </c>
      <c r="I6003" t="inlineStr">
        <is>
          <t>total area tertanam seluas 60.515 Ha, yang terdiri dari 48.542 Ha perkebunan inti dan 11.973 Ha perkebunan plasma</t>
        </is>
      </c>
      <c r="J6003" t="inlineStr">
        <is>
          <t>High</t>
        </is>
      </c>
      <c r="M6003" t="inlineStr">
        <is>
          <t>LLM</t>
        </is>
      </c>
      <c r="N6003" t="inlineStr">
        <is>
          <t>2026-04-19</t>
        </is>
      </c>
      <c r="O6003" t="inlineStr">
        <is>
          <t>AI</t>
        </is>
      </c>
    </row>
    <row r="6004">
      <c r="A6004" t="inlineStr">
        <is>
          <t>PT Teladan Prima Agro Tbk</t>
        </is>
      </c>
      <c r="B6004" t="inlineStr">
        <is>
          <t>TLDN_2024_AR.pdf</t>
        </is>
      </c>
      <c r="C6004" t="n">
        <v>2024</v>
      </c>
      <c r="D6004" t="inlineStr">
        <is>
          <t>Asset</t>
        </is>
      </c>
      <c r="E6004" t="inlineStr">
        <is>
          <t>Nucleus Area</t>
        </is>
      </c>
      <c r="F6004" t="n">
        <v>48542</v>
      </c>
      <c r="G6004" t="inlineStr">
        <is>
          <t>ha</t>
        </is>
      </c>
      <c r="H6004" t="n">
        <v>12</v>
      </c>
      <c r="I6004" t="inlineStr">
        <is>
          <t>Total 48.542 48.524 48.608 Nucleus Plant Age Profile</t>
        </is>
      </c>
      <c r="J6004" t="inlineStr">
        <is>
          <t>High</t>
        </is>
      </c>
      <c r="M6004" t="inlineStr">
        <is>
          <t>LLM</t>
        </is>
      </c>
      <c r="N6004" t="inlineStr">
        <is>
          <t>2026-04-19</t>
        </is>
      </c>
      <c r="O6004" t="inlineStr">
        <is>
          <t>AI</t>
        </is>
      </c>
    </row>
    <row r="6005">
      <c r="A6005" t="inlineStr">
        <is>
          <t>PT Teladan Prima Agro Tbk</t>
        </is>
      </c>
      <c r="B6005" t="inlineStr">
        <is>
          <t>TLDN_2024_AR.pdf</t>
        </is>
      </c>
      <c r="C6005" t="n">
        <v>2024</v>
      </c>
      <c r="D6005" t="inlineStr">
        <is>
          <t>Asset</t>
        </is>
      </c>
      <c r="E6005" t="inlineStr">
        <is>
          <t>Plasma Area</t>
        </is>
      </c>
      <c r="F6005" t="n">
        <v>11973</v>
      </c>
      <c r="G6005" t="inlineStr">
        <is>
          <t>ha</t>
        </is>
      </c>
      <c r="H6005" t="n">
        <v>12</v>
      </c>
      <c r="I6005" t="inlineStr">
        <is>
          <t>Total 11.973 11.973 11.953 Plasma Plant Age Profile</t>
        </is>
      </c>
      <c r="J6005" t="inlineStr">
        <is>
          <t>High</t>
        </is>
      </c>
      <c r="M6005" t="inlineStr">
        <is>
          <t>LLM</t>
        </is>
      </c>
      <c r="N6005" t="inlineStr">
        <is>
          <t>2026-04-19</t>
        </is>
      </c>
      <c r="O6005" t="inlineStr">
        <is>
          <t>AI</t>
        </is>
      </c>
    </row>
    <row r="6006">
      <c r="A6006" t="inlineStr">
        <is>
          <t>PT Teladan Prima Agro Tbk</t>
        </is>
      </c>
      <c r="B6006" t="inlineStr">
        <is>
          <t>TLDN_2024_AR.pdf</t>
        </is>
      </c>
      <c r="C6006" t="n">
        <v>2024</v>
      </c>
      <c r="D6006" t="inlineStr">
        <is>
          <t>Asset</t>
        </is>
      </c>
      <c r="E6006" t="inlineStr">
        <is>
          <t>Nucleus Avg Tree Age</t>
        </is>
      </c>
      <c r="F6006" t="n">
        <v>15.5</v>
      </c>
      <c r="G6006" t="inlineStr">
        <is>
          <t>years</t>
        </is>
      </c>
      <c r="H6006" t="n">
        <v>12</v>
      </c>
      <c r="I6006" t="inlineStr">
        <is>
          <t>Rata-Rata Usia (Tahun) 15,5 14,5 13,6 - Nucleus</t>
        </is>
      </c>
      <c r="J6006" t="inlineStr">
        <is>
          <t>High</t>
        </is>
      </c>
      <c r="M6006" t="inlineStr">
        <is>
          <t>LLM</t>
        </is>
      </c>
      <c r="N6006" t="inlineStr">
        <is>
          <t>2026-04-19</t>
        </is>
      </c>
      <c r="O6006" t="inlineStr">
        <is>
          <t>AI</t>
        </is>
      </c>
    </row>
    <row r="6007">
      <c r="A6007" t="inlineStr">
        <is>
          <t>PT Teladan Prima Agro Tbk</t>
        </is>
      </c>
      <c r="B6007" t="inlineStr">
        <is>
          <t>TLDN_2024_AR.pdf</t>
        </is>
      </c>
      <c r="C6007" t="n">
        <v>2024</v>
      </c>
      <c r="D6007" t="inlineStr">
        <is>
          <t>Asset</t>
        </is>
      </c>
      <c r="E6007" t="inlineStr">
        <is>
          <t>Plasma Avg Tree Age</t>
        </is>
      </c>
      <c r="F6007" t="n">
        <v>13.5</v>
      </c>
      <c r="G6007" t="inlineStr">
        <is>
          <t>years</t>
        </is>
      </c>
      <c r="H6007" t="n">
        <v>12</v>
      </c>
      <c r="I6007" t="inlineStr">
        <is>
          <t>Rata-Rata Usia (Tahun) 13,5 12,5 11,5 - Plasma</t>
        </is>
      </c>
      <c r="J6007" t="inlineStr">
        <is>
          <t>High</t>
        </is>
      </c>
      <c r="M6007" t="inlineStr">
        <is>
          <t>LLM</t>
        </is>
      </c>
      <c r="N6007" t="inlineStr">
        <is>
          <t>2026-04-19</t>
        </is>
      </c>
      <c r="O6007" t="inlineStr">
        <is>
          <t>AI</t>
        </is>
      </c>
    </row>
    <row r="6008">
      <c r="A6008" t="inlineStr">
        <is>
          <t>PT Teladan Prima Agro Tbk</t>
        </is>
      </c>
      <c r="B6008" t="inlineStr">
        <is>
          <t>TLDN_2024_AR.pdf</t>
        </is>
      </c>
      <c r="C6008" t="n">
        <v>2024</v>
      </c>
      <c r="D6008" t="inlineStr">
        <is>
          <t>Asset</t>
        </is>
      </c>
      <c r="E6008" t="inlineStr">
        <is>
          <t>Nucleus 8-20 Yr Area</t>
        </is>
      </c>
      <c r="F6008" t="n">
        <v>47416</v>
      </c>
      <c r="G6008" t="inlineStr">
        <is>
          <t>ha</t>
        </is>
      </c>
      <c r="H6008" t="n">
        <v>12</v>
      </c>
      <c r="I6008" t="inlineStr">
        <is>
          <t>8-20 Tahun 47.416 47.383 47.495 Nucleus</t>
        </is>
      </c>
      <c r="J6008" t="inlineStr">
        <is>
          <t>High</t>
        </is>
      </c>
      <c r="M6008" t="inlineStr">
        <is>
          <t>LLM</t>
        </is>
      </c>
      <c r="N6008" t="inlineStr">
        <is>
          <t>2026-04-19</t>
        </is>
      </c>
      <c r="O6008" t="inlineStr">
        <is>
          <t>AI</t>
        </is>
      </c>
    </row>
    <row r="6009">
      <c r="A6009" t="inlineStr">
        <is>
          <t>PT Teladan Prima Agro Tbk</t>
        </is>
      </c>
      <c r="B6009" t="inlineStr">
        <is>
          <t>TLDN_2024_AR.pdf</t>
        </is>
      </c>
      <c r="C6009" t="n">
        <v>2024</v>
      </c>
      <c r="D6009" t="inlineStr">
        <is>
          <t>Asset</t>
        </is>
      </c>
      <c r="E6009" t="inlineStr">
        <is>
          <t>Palm Oil Mill Count</t>
        </is>
      </c>
      <c r="F6009" t="n">
        <v>6</v>
      </c>
      <c r="G6009" t="inlineStr">
        <is>
          <t>count</t>
        </is>
      </c>
      <c r="H6009" t="n">
        <v>87</v>
      </c>
      <c r="I6009" t="inlineStr">
        <is>
          <t>Perseroan dan Entitas Anak mengoperasikan 6 pabrik kelapa sawit (PKS) dengan total kapasitas 335 ton TBS/jam</t>
        </is>
      </c>
      <c r="J6009" t="inlineStr">
        <is>
          <t>High</t>
        </is>
      </c>
      <c r="M6009" t="inlineStr">
        <is>
          <t>LLM</t>
        </is>
      </c>
      <c r="N6009" t="inlineStr">
        <is>
          <t>2026-04-19</t>
        </is>
      </c>
      <c r="O6009" t="inlineStr">
        <is>
          <t>AI</t>
        </is>
      </c>
    </row>
    <row r="6010">
      <c r="A6010" t="inlineStr">
        <is>
          <t>PT Teladan Prima Agro Tbk</t>
        </is>
      </c>
      <c r="B6010" t="inlineStr">
        <is>
          <t>TLDN_2024_AR.pdf</t>
        </is>
      </c>
      <c r="C6010" t="n">
        <v>2024</v>
      </c>
      <c r="D6010" t="inlineStr">
        <is>
          <t>Asset</t>
        </is>
      </c>
      <c r="E6010" t="inlineStr">
        <is>
          <t>Total Mill Capacity</t>
        </is>
      </c>
      <c r="F6010" t="n">
        <v>335</v>
      </c>
      <c r="G6010" t="inlineStr">
        <is>
          <t>t FFB/hr</t>
        </is>
      </c>
      <c r="H6010" t="n">
        <v>87</v>
      </c>
      <c r="I6010" t="inlineStr">
        <is>
          <t>total kapasitas 335 ton TBS/jam</t>
        </is>
      </c>
      <c r="J6010" t="inlineStr">
        <is>
          <t>High</t>
        </is>
      </c>
      <c r="M6010" t="inlineStr">
        <is>
          <t>LLM</t>
        </is>
      </c>
      <c r="N6010" t="inlineStr">
        <is>
          <t>2026-04-19</t>
        </is>
      </c>
      <c r="O6010" t="inlineStr">
        <is>
          <t>AI</t>
        </is>
      </c>
    </row>
    <row r="6011">
      <c r="A6011" t="inlineStr">
        <is>
          <t>PT Teladan Prima Agro Tbk</t>
        </is>
      </c>
      <c r="B6011" t="inlineStr">
        <is>
          <t>TLDN_2024_AR.pdf</t>
        </is>
      </c>
      <c r="C6011" t="n">
        <v>2024</v>
      </c>
      <c r="D6011" t="inlineStr">
        <is>
          <t>Asset</t>
        </is>
      </c>
      <c r="E6011" t="inlineStr">
        <is>
          <t>Kernel Crushing Plant Count</t>
        </is>
      </c>
      <c r="F6011" t="n">
        <v>1</v>
      </c>
      <c r="G6011" t="inlineStr">
        <is>
          <t>count</t>
        </is>
      </c>
      <c r="H6011" t="n">
        <v>55</v>
      </c>
      <c r="I6011" t="inlineStr">
        <is>
          <t>1 pabrik pengolahan inti sawit mentah menjadi minyak inti sawit</t>
        </is>
      </c>
      <c r="J6011" t="inlineStr">
        <is>
          <t>High</t>
        </is>
      </c>
      <c r="M6011" t="inlineStr">
        <is>
          <t>LLM</t>
        </is>
      </c>
      <c r="N6011" t="inlineStr">
        <is>
          <t>2026-04-19</t>
        </is>
      </c>
      <c r="O6011" t="inlineStr">
        <is>
          <t>AI</t>
        </is>
      </c>
    </row>
    <row r="6012">
      <c r="A6012" t="inlineStr">
        <is>
          <t>PT Teladan Prima Agro Tbk</t>
        </is>
      </c>
      <c r="B6012" t="inlineStr">
        <is>
          <t>TLDN_2024_AR.pdf</t>
        </is>
      </c>
      <c r="C6012" t="n">
        <v>2024</v>
      </c>
      <c r="D6012" t="inlineStr">
        <is>
          <t>Asset</t>
        </is>
      </c>
      <c r="E6012" t="inlineStr">
        <is>
          <t>KCP Capacity</t>
        </is>
      </c>
      <c r="F6012" t="n">
        <v>100</v>
      </c>
      <c r="G6012" t="inlineStr">
        <is>
          <t>t PK/day</t>
        </is>
      </c>
      <c r="H6012" t="n">
        <v>54</v>
      </c>
      <c r="I6012" t="inlineStr">
        <is>
          <t>kernel crushing plant (KCP) dengan kapasitas 100 ton PK per hari</t>
        </is>
      </c>
      <c r="J6012" t="inlineStr">
        <is>
          <t>High</t>
        </is>
      </c>
      <c r="M6012" t="inlineStr">
        <is>
          <t>LLM</t>
        </is>
      </c>
      <c r="N6012" t="inlineStr">
        <is>
          <t>2026-04-19</t>
        </is>
      </c>
      <c r="O6012" t="inlineStr">
        <is>
          <t>AI</t>
        </is>
      </c>
    </row>
    <row r="6013">
      <c r="A6013" t="inlineStr">
        <is>
          <t>PT Teladan Prima Agro Tbk</t>
        </is>
      </c>
      <c r="B6013" t="inlineStr">
        <is>
          <t>TLDN_2024_AR.pdf</t>
        </is>
      </c>
      <c r="C6013" t="n">
        <v>2024</v>
      </c>
      <c r="D6013" t="inlineStr">
        <is>
          <t>Asset</t>
        </is>
      </c>
      <c r="E6013" t="inlineStr">
        <is>
          <t>Biogas Power Plant Capacity</t>
        </is>
      </c>
      <c r="F6013" t="n">
        <v>1.7</v>
      </c>
      <c r="G6013" t="inlineStr">
        <is>
          <t>MW</t>
        </is>
      </c>
      <c r="I6013" t="inlineStr">
        <is>
          <t>Biogas Power Plant (BPP) 1,7 MW (commissioned 5 Nov 2024 through PT DL and PT TPS collaboration, converting POME to green electricity)</t>
        </is>
      </c>
      <c r="J6013" t="inlineStr">
        <is>
          <t>High</t>
        </is>
      </c>
      <c r="M6013" t="inlineStr">
        <is>
          <t>LLM</t>
        </is>
      </c>
      <c r="N6013" t="inlineStr">
        <is>
          <t>2026-04-19</t>
        </is>
      </c>
      <c r="O6013" t="inlineStr">
        <is>
          <t>AI</t>
        </is>
      </c>
    </row>
    <row r="6014">
      <c r="A6014" t="inlineStr">
        <is>
          <t>PT Teladan Prima Agro Tbk</t>
        </is>
      </c>
      <c r="B6014" t="inlineStr">
        <is>
          <t>TLDN_2024_AR.pdf</t>
        </is>
      </c>
      <c r="C6014" t="n">
        <v>2024</v>
      </c>
      <c r="D6014" t="inlineStr">
        <is>
          <t>Asset</t>
        </is>
      </c>
      <c r="E6014" t="inlineStr">
        <is>
          <t>Storage Tank Capacity</t>
        </is>
      </c>
      <c r="F6014" t="n">
        <v>43500</v>
      </c>
      <c r="G6014" t="inlineStr">
        <is>
          <t>tons</t>
        </is>
      </c>
      <c r="H6014" t="n">
        <v>55</v>
      </c>
      <c r="I6014" t="inlineStr">
        <is>
          <t>18 tangki penyimpanan dengan kapasitas total 43.500 ton</t>
        </is>
      </c>
      <c r="J6014" t="inlineStr">
        <is>
          <t>High</t>
        </is>
      </c>
      <c r="M6014" t="inlineStr">
        <is>
          <t>LLM</t>
        </is>
      </c>
      <c r="N6014" t="inlineStr">
        <is>
          <t>2026-04-19</t>
        </is>
      </c>
      <c r="O6014" t="inlineStr">
        <is>
          <t>AI</t>
        </is>
      </c>
    </row>
    <row r="6015">
      <c r="A6015" t="inlineStr">
        <is>
          <t>PT Teladan Prima Agro Tbk</t>
        </is>
      </c>
      <c r="B6015" t="inlineStr">
        <is>
          <t>TLDN_2024_AR.pdf</t>
        </is>
      </c>
      <c r="C6015" t="n">
        <v>2024</v>
      </c>
      <c r="D6015" t="inlineStr">
        <is>
          <t>Asset</t>
        </is>
      </c>
      <c r="E6015" t="inlineStr">
        <is>
          <t>Excess Power Generator Capacity</t>
        </is>
      </c>
      <c r="F6015" t="n">
        <v>400</v>
      </c>
      <c r="G6015" t="inlineStr">
        <is>
          <t>kW</t>
        </is>
      </c>
      <c r="H6015" t="n">
        <v>89</v>
      </c>
      <c r="I6015" t="inlineStr">
        <is>
          <t>PT Tanjung Buyu Perkasa Plantation (TBP) 200 kW + PT Telen (TLN) 200 kW = 400 kW total excess power</t>
        </is>
      </c>
      <c r="J6015" t="inlineStr">
        <is>
          <t>High</t>
        </is>
      </c>
      <c r="M6015" t="inlineStr">
        <is>
          <t>LLM</t>
        </is>
      </c>
      <c r="N6015" t="inlineStr">
        <is>
          <t>2026-04-19</t>
        </is>
      </c>
      <c r="O6015" t="inlineStr">
        <is>
          <t>AI</t>
        </is>
      </c>
    </row>
    <row r="6016">
      <c r="A6016" t="inlineStr">
        <is>
          <t>PT Teladan Prima Agro Tbk</t>
        </is>
      </c>
      <c r="B6016" t="inlineStr">
        <is>
          <t>TLDN_2024_AR.pdf</t>
        </is>
      </c>
      <c r="C6016" t="n">
        <v>2024</v>
      </c>
      <c r="D6016" t="inlineStr">
        <is>
          <t>Operation</t>
        </is>
      </c>
      <c r="E6016" t="inlineStr">
        <is>
          <t>FFB Production Total</t>
        </is>
      </c>
      <c r="F6016" t="n">
        <v>1219294</v>
      </c>
      <c r="G6016" t="inlineStr">
        <is>
          <t>t</t>
        </is>
      </c>
      <c r="H6016" t="n">
        <v>12</v>
      </c>
      <c r="I6016" t="inlineStr">
        <is>
          <t>Produksi Tandan Buah Segar (TBS) 1.219.294 1.213.068 1.201.230</t>
        </is>
      </c>
      <c r="J6016" t="inlineStr">
        <is>
          <t>High</t>
        </is>
      </c>
      <c r="M6016" t="inlineStr">
        <is>
          <t>LLM</t>
        </is>
      </c>
      <c r="N6016" t="inlineStr">
        <is>
          <t>2026-04-19</t>
        </is>
      </c>
      <c r="O6016" t="inlineStr">
        <is>
          <t>AI</t>
        </is>
      </c>
    </row>
    <row r="6017">
      <c r="A6017" t="inlineStr">
        <is>
          <t>PT Teladan Prima Agro Tbk</t>
        </is>
      </c>
      <c r="B6017" t="inlineStr">
        <is>
          <t>TLDN_2024_AR.pdf</t>
        </is>
      </c>
      <c r="C6017" t="n">
        <v>2024</v>
      </c>
      <c r="D6017" t="inlineStr">
        <is>
          <t>Operation</t>
        </is>
      </c>
      <c r="E6017" t="inlineStr">
        <is>
          <t>FFB Nucleus</t>
        </is>
      </c>
      <c r="F6017" t="n">
        <v>1071173</v>
      </c>
      <c r="G6017" t="inlineStr">
        <is>
          <t>t</t>
        </is>
      </c>
      <c r="H6017" t="n">
        <v>12</v>
      </c>
      <c r="I6017" t="inlineStr">
        <is>
          <t>Inti 1.071.173 1.068.338 1.059.207</t>
        </is>
      </c>
      <c r="J6017" t="inlineStr">
        <is>
          <t>High</t>
        </is>
      </c>
      <c r="M6017" t="inlineStr">
        <is>
          <t>LLM</t>
        </is>
      </c>
      <c r="N6017" t="inlineStr">
        <is>
          <t>2026-04-19</t>
        </is>
      </c>
      <c r="O6017" t="inlineStr">
        <is>
          <t>AI</t>
        </is>
      </c>
    </row>
    <row r="6018">
      <c r="A6018" t="inlineStr">
        <is>
          <t>PT Teladan Prima Agro Tbk</t>
        </is>
      </c>
      <c r="B6018" t="inlineStr">
        <is>
          <t>TLDN_2024_AR.pdf</t>
        </is>
      </c>
      <c r="C6018" t="n">
        <v>2024</v>
      </c>
      <c r="D6018" t="inlineStr">
        <is>
          <t>Operation</t>
        </is>
      </c>
      <c r="E6018" t="inlineStr">
        <is>
          <t>FFB Plasma</t>
        </is>
      </c>
      <c r="F6018" t="n">
        <v>148121</v>
      </c>
      <c r="G6018" t="inlineStr">
        <is>
          <t>t</t>
        </is>
      </c>
      <c r="H6018" t="n">
        <v>12</v>
      </c>
      <c r="I6018" t="inlineStr">
        <is>
          <t>Plasma 148.121 144.730 142.023</t>
        </is>
      </c>
      <c r="J6018" t="inlineStr">
        <is>
          <t>High</t>
        </is>
      </c>
      <c r="M6018" t="inlineStr">
        <is>
          <t>LLM</t>
        </is>
      </c>
      <c r="N6018" t="inlineStr">
        <is>
          <t>2026-04-19</t>
        </is>
      </c>
      <c r="O6018" t="inlineStr">
        <is>
          <t>AI</t>
        </is>
      </c>
    </row>
    <row r="6019">
      <c r="A6019" t="inlineStr">
        <is>
          <t>PT Teladan Prima Agro Tbk</t>
        </is>
      </c>
      <c r="B6019" t="inlineStr">
        <is>
          <t>TLDN_2024_AR.pdf</t>
        </is>
      </c>
      <c r="C6019" t="n">
        <v>2024</v>
      </c>
      <c r="D6019" t="inlineStr">
        <is>
          <t>Operation</t>
        </is>
      </c>
      <c r="E6019" t="inlineStr">
        <is>
          <t>FFB Processed</t>
        </is>
      </c>
      <c r="F6019" t="n">
        <v>1381677</v>
      </c>
      <c r="G6019" t="inlineStr">
        <is>
          <t>t</t>
        </is>
      </c>
      <c r="H6019" t="n">
        <v>12</v>
      </c>
      <c r="I6019" t="inlineStr">
        <is>
          <t>Tandan Buah Segar (TBS) yang Diolah 1.381.677 1.409.552 1.343.526</t>
        </is>
      </c>
      <c r="J6019" t="inlineStr">
        <is>
          <t>High</t>
        </is>
      </c>
      <c r="M6019" t="inlineStr">
        <is>
          <t>LLM</t>
        </is>
      </c>
      <c r="N6019" t="inlineStr">
        <is>
          <t>2026-04-19</t>
        </is>
      </c>
      <c r="O6019" t="inlineStr">
        <is>
          <t>AI</t>
        </is>
      </c>
    </row>
    <row r="6020">
      <c r="A6020" t="inlineStr">
        <is>
          <t>PT Teladan Prima Agro Tbk</t>
        </is>
      </c>
      <c r="B6020" t="inlineStr">
        <is>
          <t>TLDN_2024_AR.pdf</t>
        </is>
      </c>
      <c r="C6020" t="n">
        <v>2024</v>
      </c>
      <c r="D6020" t="inlineStr">
        <is>
          <t>Operation</t>
        </is>
      </c>
      <c r="E6020" t="inlineStr">
        <is>
          <t>CPO Production</t>
        </is>
      </c>
      <c r="F6020" t="n">
        <v>324857</v>
      </c>
      <c r="G6020" t="inlineStr">
        <is>
          <t>t</t>
        </is>
      </c>
      <c r="H6020" t="n">
        <v>12</v>
      </c>
      <c r="I6020" t="inlineStr">
        <is>
          <t>Produksi Minyak Kelapa Sawit 324.857 327.688 300.504</t>
        </is>
      </c>
      <c r="J6020" t="inlineStr">
        <is>
          <t>High</t>
        </is>
      </c>
      <c r="M6020" t="inlineStr">
        <is>
          <t>LLM</t>
        </is>
      </c>
      <c r="N6020" t="inlineStr">
        <is>
          <t>2026-04-19</t>
        </is>
      </c>
      <c r="O6020" t="inlineStr">
        <is>
          <t>AI</t>
        </is>
      </c>
    </row>
    <row r="6021">
      <c r="A6021" t="inlineStr">
        <is>
          <t>PT Teladan Prima Agro Tbk</t>
        </is>
      </c>
      <c r="B6021" t="inlineStr">
        <is>
          <t>TLDN_2024_AR.pdf</t>
        </is>
      </c>
      <c r="C6021" t="n">
        <v>2024</v>
      </c>
      <c r="D6021" t="inlineStr">
        <is>
          <t>Operation</t>
        </is>
      </c>
      <c r="E6021" t="inlineStr">
        <is>
          <t>PK Production</t>
        </is>
      </c>
      <c r="F6021" t="n">
        <v>50787</v>
      </c>
      <c r="G6021" t="inlineStr">
        <is>
          <t>t</t>
        </is>
      </c>
      <c r="H6021" t="n">
        <v>12</v>
      </c>
      <c r="I6021" t="inlineStr">
        <is>
          <t>Produksi Inti Kelapa Sawit 50.787 52.207 49.903</t>
        </is>
      </c>
      <c r="J6021" t="inlineStr">
        <is>
          <t>High</t>
        </is>
      </c>
      <c r="M6021" t="inlineStr">
        <is>
          <t>LLM</t>
        </is>
      </c>
      <c r="N6021" t="inlineStr">
        <is>
          <t>2026-04-19</t>
        </is>
      </c>
      <c r="O6021" t="inlineStr">
        <is>
          <t>AI</t>
        </is>
      </c>
    </row>
    <row r="6022">
      <c r="A6022" t="inlineStr">
        <is>
          <t>PT Teladan Prima Agro Tbk</t>
        </is>
      </c>
      <c r="B6022" t="inlineStr">
        <is>
          <t>TLDN_2024_AR.pdf</t>
        </is>
      </c>
      <c r="C6022" t="n">
        <v>2024</v>
      </c>
      <c r="D6022" t="inlineStr">
        <is>
          <t>Operation</t>
        </is>
      </c>
      <c r="E6022" t="inlineStr">
        <is>
          <t>CPKO Production</t>
        </is>
      </c>
      <c r="F6022" t="n">
        <v>5262</v>
      </c>
      <c r="G6022" t="inlineStr">
        <is>
          <t>t</t>
        </is>
      </c>
      <c r="H6022" t="n">
        <v>12</v>
      </c>
      <c r="I6022" t="inlineStr">
        <is>
          <t>Produksi Minyak Inti Kelapa Sawit 5.262 (new in 2024)</t>
        </is>
      </c>
      <c r="J6022" t="inlineStr">
        <is>
          <t>High</t>
        </is>
      </c>
      <c r="M6022" t="inlineStr">
        <is>
          <t>LLM</t>
        </is>
      </c>
      <c r="N6022" t="inlineStr">
        <is>
          <t>2026-04-19</t>
        </is>
      </c>
      <c r="O6022" t="inlineStr">
        <is>
          <t>AI</t>
        </is>
      </c>
    </row>
    <row r="6023">
      <c r="A6023" t="inlineStr">
        <is>
          <t>PT Teladan Prima Agro Tbk</t>
        </is>
      </c>
      <c r="B6023" t="inlineStr">
        <is>
          <t>TLDN_2024_AR.pdf</t>
        </is>
      </c>
      <c r="C6023" t="n">
        <v>2024</v>
      </c>
      <c r="D6023" t="inlineStr">
        <is>
          <t>Operation</t>
        </is>
      </c>
      <c r="E6023" t="inlineStr">
        <is>
          <t>PKE Production</t>
        </is>
      </c>
      <c r="F6023" t="n">
        <v>6862</v>
      </c>
      <c r="G6023" t="inlineStr">
        <is>
          <t>t</t>
        </is>
      </c>
      <c r="H6023" t="n">
        <v>12</v>
      </c>
      <c r="I6023" t="inlineStr">
        <is>
          <t>Produksi Bungkil Kelapa Sawit 6.862 (new in 2024)</t>
        </is>
      </c>
      <c r="J6023" t="inlineStr">
        <is>
          <t>High</t>
        </is>
      </c>
      <c r="M6023" t="inlineStr">
        <is>
          <t>LLM</t>
        </is>
      </c>
      <c r="N6023" t="inlineStr">
        <is>
          <t>2026-04-19</t>
        </is>
      </c>
      <c r="O6023" t="inlineStr">
        <is>
          <t>AI</t>
        </is>
      </c>
    </row>
    <row r="6024">
      <c r="A6024" t="inlineStr">
        <is>
          <t>PT Teladan Prima Agro Tbk</t>
        </is>
      </c>
      <c r="B6024" t="inlineStr">
        <is>
          <t>TLDN_2024_AR.pdf</t>
        </is>
      </c>
      <c r="C6024" t="n">
        <v>2024</v>
      </c>
      <c r="D6024" t="inlineStr">
        <is>
          <t>Operation</t>
        </is>
      </c>
      <c r="E6024" t="inlineStr">
        <is>
          <t>CPO Extraction Rate</t>
        </is>
      </c>
      <c r="F6024" t="n">
        <v>0.235</v>
      </c>
      <c r="G6024" t="inlineStr">
        <is>
          <t>%</t>
        </is>
      </c>
      <c r="H6024" t="n">
        <v>12</v>
      </c>
      <c r="I6024" t="inlineStr">
        <is>
          <t>Tingkat Ekstraksi Minyak Kelapa Sawit (%) 23,5 23,2 22,4</t>
        </is>
      </c>
      <c r="J6024" t="inlineStr">
        <is>
          <t>High</t>
        </is>
      </c>
      <c r="M6024" t="inlineStr">
        <is>
          <t>LLM</t>
        </is>
      </c>
      <c r="N6024" t="inlineStr">
        <is>
          <t>2026-04-19</t>
        </is>
      </c>
      <c r="O6024" t="inlineStr">
        <is>
          <t>AI</t>
        </is>
      </c>
    </row>
    <row r="6025">
      <c r="A6025" t="inlineStr">
        <is>
          <t>PT Teladan Prima Agro Tbk</t>
        </is>
      </c>
      <c r="B6025" t="inlineStr">
        <is>
          <t>TLDN_2024_AR.pdf</t>
        </is>
      </c>
      <c r="C6025" t="n">
        <v>2024</v>
      </c>
      <c r="D6025" t="inlineStr">
        <is>
          <t>Operation</t>
        </is>
      </c>
      <c r="E6025" t="inlineStr">
        <is>
          <t>PK Extraction Rate</t>
        </is>
      </c>
      <c r="F6025" t="n">
        <v>0.037</v>
      </c>
      <c r="G6025" t="inlineStr">
        <is>
          <t>%</t>
        </is>
      </c>
      <c r="H6025" t="n">
        <v>12</v>
      </c>
      <c r="I6025" t="inlineStr">
        <is>
          <t>Tingkat Ekstraksi Inti Sawit (%) 3,7 3,7 3,7</t>
        </is>
      </c>
      <c r="J6025" t="inlineStr">
        <is>
          <t>High</t>
        </is>
      </c>
      <c r="M6025" t="inlineStr">
        <is>
          <t>LLM</t>
        </is>
      </c>
      <c r="N6025" t="inlineStr">
        <is>
          <t>2026-04-19</t>
        </is>
      </c>
      <c r="O6025" t="inlineStr">
        <is>
          <t>AI</t>
        </is>
      </c>
    </row>
    <row r="6026">
      <c r="A6026" t="inlineStr">
        <is>
          <t>PT Teladan Prima Agro Tbk</t>
        </is>
      </c>
      <c r="B6026" t="inlineStr">
        <is>
          <t>TLDN_2024_AR.pdf</t>
        </is>
      </c>
      <c r="C6026" t="n">
        <v>2024</v>
      </c>
      <c r="D6026" t="inlineStr">
        <is>
          <t>Operation</t>
        </is>
      </c>
      <c r="E6026" t="inlineStr">
        <is>
          <t>PKO Extraction Rate</t>
        </is>
      </c>
      <c r="F6026" t="n">
        <v>0.4</v>
      </c>
      <c r="G6026" t="inlineStr">
        <is>
          <t>%</t>
        </is>
      </c>
      <c r="H6026" t="n">
        <v>88</v>
      </c>
      <c r="I6026" t="inlineStr">
        <is>
          <t>Tingkat Ekstraksi Minyak Inti Sawit (%) 40,0 - Kernel Oil Extraction Rate</t>
        </is>
      </c>
      <c r="J6026" t="inlineStr">
        <is>
          <t>High</t>
        </is>
      </c>
      <c r="M6026" t="inlineStr">
        <is>
          <t>LLM</t>
        </is>
      </c>
      <c r="N6026" t="inlineStr">
        <is>
          <t>2026-04-19</t>
        </is>
      </c>
      <c r="O6026" t="inlineStr">
        <is>
          <t>AI</t>
        </is>
      </c>
    </row>
    <row r="6027">
      <c r="A6027" t="inlineStr">
        <is>
          <t>PT Teladan Prima Agro Tbk</t>
        </is>
      </c>
      <c r="B6027" t="inlineStr">
        <is>
          <t>TLDN_2024_AR.pdf</t>
        </is>
      </c>
      <c r="C6027" t="n">
        <v>2024</v>
      </c>
      <c r="D6027" t="inlineStr">
        <is>
          <t>Operation</t>
        </is>
      </c>
      <c r="E6027" t="inlineStr">
        <is>
          <t>CPO Sales Volume</t>
        </is>
      </c>
      <c r="F6027" t="n">
        <v>314457</v>
      </c>
      <c r="G6027" t="inlineStr">
        <is>
          <t>t</t>
        </is>
      </c>
      <c r="H6027" t="n">
        <v>12</v>
      </c>
      <c r="I6027" t="inlineStr">
        <is>
          <t>Volume Penjualan Minyak Kelapa Sawit 314.457 343.748 292.545</t>
        </is>
      </c>
      <c r="J6027" t="inlineStr">
        <is>
          <t>High</t>
        </is>
      </c>
      <c r="M6027" t="inlineStr">
        <is>
          <t>LLM</t>
        </is>
      </c>
      <c r="N6027" t="inlineStr">
        <is>
          <t>2026-04-19</t>
        </is>
      </c>
      <c r="O6027" t="inlineStr">
        <is>
          <t>AI</t>
        </is>
      </c>
    </row>
    <row r="6028">
      <c r="A6028" t="inlineStr">
        <is>
          <t>PT Teladan Prima Agro Tbk</t>
        </is>
      </c>
      <c r="B6028" t="inlineStr">
        <is>
          <t>TLDN_2024_AR.pdf</t>
        </is>
      </c>
      <c r="C6028" t="n">
        <v>2024</v>
      </c>
      <c r="D6028" t="inlineStr">
        <is>
          <t>Operation</t>
        </is>
      </c>
      <c r="E6028" t="inlineStr">
        <is>
          <t>PK Sales Volume</t>
        </is>
      </c>
      <c r="F6028" t="n">
        <v>40102</v>
      </c>
      <c r="G6028" t="inlineStr">
        <is>
          <t>t</t>
        </is>
      </c>
      <c r="H6028" t="n">
        <v>12</v>
      </c>
      <c r="I6028" t="inlineStr">
        <is>
          <t>Volume Penjualan Inti Kelapa Sawit 40.102 55.172 47.752</t>
        </is>
      </c>
      <c r="J6028" t="inlineStr">
        <is>
          <t>High</t>
        </is>
      </c>
      <c r="M6028" t="inlineStr">
        <is>
          <t>LLM</t>
        </is>
      </c>
      <c r="N6028" t="inlineStr">
        <is>
          <t>2026-04-19</t>
        </is>
      </c>
      <c r="O6028" t="inlineStr">
        <is>
          <t>AI</t>
        </is>
      </c>
    </row>
    <row r="6029">
      <c r="A6029" t="inlineStr">
        <is>
          <t>PT Teladan Prima Agro Tbk</t>
        </is>
      </c>
      <c r="B6029" t="inlineStr">
        <is>
          <t>TLDN_2024_AR.pdf</t>
        </is>
      </c>
      <c r="C6029" t="n">
        <v>2024</v>
      </c>
      <c r="D6029" t="inlineStr">
        <is>
          <t>Operation</t>
        </is>
      </c>
      <c r="E6029" t="inlineStr">
        <is>
          <t>CPKO Sales Volume</t>
        </is>
      </c>
      <c r="F6029" t="n">
        <v>4619</v>
      </c>
      <c r="G6029" t="inlineStr">
        <is>
          <t>t</t>
        </is>
      </c>
      <c r="H6029" t="n">
        <v>88</v>
      </c>
      <c r="I6029" t="inlineStr">
        <is>
          <t>Volume Penjualan Minyak Inti Sawit 4.619 - (new 2024)</t>
        </is>
      </c>
      <c r="J6029" t="inlineStr">
        <is>
          <t>High</t>
        </is>
      </c>
      <c r="M6029" t="inlineStr">
        <is>
          <t>LLM</t>
        </is>
      </c>
      <c r="N6029" t="inlineStr">
        <is>
          <t>2026-04-19</t>
        </is>
      </c>
      <c r="O6029" t="inlineStr">
        <is>
          <t>AI</t>
        </is>
      </c>
    </row>
    <row r="6030">
      <c r="A6030" t="inlineStr">
        <is>
          <t>PT Teladan Prima Agro Tbk</t>
        </is>
      </c>
      <c r="B6030" t="inlineStr">
        <is>
          <t>TLDN_2024_AR.pdf</t>
        </is>
      </c>
      <c r="C6030" t="n">
        <v>2024</v>
      </c>
      <c r="D6030" t="inlineStr">
        <is>
          <t>Operation</t>
        </is>
      </c>
      <c r="E6030" t="inlineStr">
        <is>
          <t>CPO Avg Selling Price</t>
        </is>
      </c>
      <c r="F6030" t="n">
        <v>12230</v>
      </c>
      <c r="G6030" t="inlineStr">
        <is>
          <t>Rp/kg</t>
        </is>
      </c>
      <c r="H6030" t="n">
        <v>88</v>
      </c>
      <c r="I6030" t="inlineStr">
        <is>
          <t>Harga Rata-Rata Minyak Sawit 12.230 10.959 (ribu Rp per ton)</t>
        </is>
      </c>
      <c r="J6030" t="inlineStr">
        <is>
          <t>High</t>
        </is>
      </c>
      <c r="M6030" t="inlineStr">
        <is>
          <t>LLM</t>
        </is>
      </c>
      <c r="N6030" t="inlineStr">
        <is>
          <t>2026-04-19</t>
        </is>
      </c>
      <c r="O6030" t="inlineStr">
        <is>
          <t>AI</t>
        </is>
      </c>
    </row>
    <row r="6031">
      <c r="A6031" t="inlineStr">
        <is>
          <t>PT Teladan Prima Agro Tbk</t>
        </is>
      </c>
      <c r="B6031" t="inlineStr">
        <is>
          <t>TLDN_2024_AR.pdf</t>
        </is>
      </c>
      <c r="C6031" t="n">
        <v>2024</v>
      </c>
      <c r="D6031" t="inlineStr">
        <is>
          <t>Operation</t>
        </is>
      </c>
      <c r="E6031" t="inlineStr">
        <is>
          <t>PK Avg Selling Price</t>
        </is>
      </c>
      <c r="F6031" t="n">
        <v>6782</v>
      </c>
      <c r="G6031" t="inlineStr">
        <is>
          <t>Rp/kg</t>
        </is>
      </c>
      <c r="H6031" t="n">
        <v>88</v>
      </c>
      <c r="I6031" t="inlineStr">
        <is>
          <t>Harga Rata-Rata Inti Sawit 6.782 4.339 (ribu Rp per ton)</t>
        </is>
      </c>
      <c r="J6031" t="inlineStr">
        <is>
          <t>High</t>
        </is>
      </c>
      <c r="M6031" t="inlineStr">
        <is>
          <t>LLM</t>
        </is>
      </c>
      <c r="N6031" t="inlineStr">
        <is>
          <t>2026-04-19</t>
        </is>
      </c>
      <c r="O6031" t="inlineStr">
        <is>
          <t>AI</t>
        </is>
      </c>
    </row>
    <row r="6032">
      <c r="A6032" t="inlineStr">
        <is>
          <t>PT Teladan Prima Agro Tbk</t>
        </is>
      </c>
      <c r="B6032" t="inlineStr">
        <is>
          <t>TLDN_2024_AR.pdf</t>
        </is>
      </c>
      <c r="C6032" t="n">
        <v>2024</v>
      </c>
      <c r="D6032" t="inlineStr">
        <is>
          <t>Operation</t>
        </is>
      </c>
      <c r="E6032" t="inlineStr">
        <is>
          <t>CPKO Avg Selling Price</t>
        </is>
      </c>
      <c r="F6032" t="n">
        <v>19461</v>
      </c>
      <c r="G6032" t="inlineStr">
        <is>
          <t>Rp/kg</t>
        </is>
      </c>
      <c r="H6032" t="n">
        <v>88</v>
      </c>
      <c r="I6032" t="inlineStr">
        <is>
          <t>Harga Rata-Rata Minyak Inti Sawit 19.461 - (ribu Rp per ton)</t>
        </is>
      </c>
      <c r="J6032" t="inlineStr">
        <is>
          <t>High</t>
        </is>
      </c>
      <c r="M6032" t="inlineStr">
        <is>
          <t>LLM</t>
        </is>
      </c>
      <c r="N6032" t="inlineStr">
        <is>
          <t>2026-04-19</t>
        </is>
      </c>
      <c r="O6032" t="inlineStr">
        <is>
          <t>AI</t>
        </is>
      </c>
    </row>
    <row r="6033">
      <c r="A6033" t="inlineStr">
        <is>
          <t>PT Teladan Prima Agro Tbk</t>
        </is>
      </c>
      <c r="B6033" t="inlineStr">
        <is>
          <t>TLDN_2024_AR.pdf</t>
        </is>
      </c>
      <c r="C6033" t="n">
        <v>2024</v>
      </c>
      <c r="D6033" t="inlineStr">
        <is>
          <t>Operation</t>
        </is>
      </c>
      <c r="E6033" t="inlineStr">
        <is>
          <t>CPO Sales Value</t>
        </is>
      </c>
      <c r="F6033" t="n">
        <v>3850</v>
      </c>
      <c r="G6033" t="inlineStr">
        <is>
          <t>IDR bn</t>
        </is>
      </c>
      <c r="H6033" t="n">
        <v>88</v>
      </c>
      <c r="I6033" t="inlineStr">
        <is>
          <t>penjualan CPO Perseroan mencapai Rp3,85 triliun</t>
        </is>
      </c>
      <c r="J6033" t="inlineStr">
        <is>
          <t>High</t>
        </is>
      </c>
      <c r="M6033" t="inlineStr">
        <is>
          <t>LLM</t>
        </is>
      </c>
      <c r="N6033" t="inlineStr">
        <is>
          <t>2026-04-19</t>
        </is>
      </c>
      <c r="O6033" t="inlineStr">
        <is>
          <t>AI</t>
        </is>
      </c>
    </row>
    <row r="6034">
      <c r="A6034" t="inlineStr">
        <is>
          <t>PT Teladan Prima Agro Tbk</t>
        </is>
      </c>
      <c r="B6034" t="inlineStr">
        <is>
          <t>TLDN_2024_AR.pdf</t>
        </is>
      </c>
      <c r="C6034" t="n">
        <v>2024</v>
      </c>
      <c r="D6034" t="inlineStr">
        <is>
          <t>Operation</t>
        </is>
      </c>
      <c r="E6034" t="inlineStr">
        <is>
          <t>Wilmar Group Sales Share</t>
        </is>
      </c>
      <c r="F6034" t="n">
        <v>0.3</v>
      </c>
      <c r="G6034" t="inlineStr">
        <is>
          <t>%</t>
        </is>
      </c>
      <c r="H6034" t="n">
        <v>103</v>
      </c>
      <c r="I6034" t="inlineStr">
        <is>
          <t>Wilmar Group menjadi penyumbang terbesar terhadap penjualan Perseroan, yakni sekitar 30%</t>
        </is>
      </c>
      <c r="J6034" t="inlineStr">
        <is>
          <t>High</t>
        </is>
      </c>
      <c r="M6034" t="inlineStr">
        <is>
          <t>LLM</t>
        </is>
      </c>
      <c r="N6034" t="inlineStr">
        <is>
          <t>2026-04-19</t>
        </is>
      </c>
      <c r="O6034" t="inlineStr">
        <is>
          <t>AI</t>
        </is>
      </c>
    </row>
    <row r="6035">
      <c r="A6035" t="inlineStr">
        <is>
          <t>PT Teladan Prima Agro Tbk</t>
        </is>
      </c>
      <c r="B6035" t="inlineStr">
        <is>
          <t>TLDN_2024_AR.pdf</t>
        </is>
      </c>
      <c r="C6035" t="n">
        <v>2024</v>
      </c>
      <c r="D6035" t="inlineStr">
        <is>
          <t>Operation</t>
        </is>
      </c>
      <c r="E6035" t="inlineStr">
        <is>
          <t>Wings Group Sales Share</t>
        </is>
      </c>
      <c r="F6035" t="n">
        <v>0.15</v>
      </c>
      <c r="G6035" t="inlineStr">
        <is>
          <t>%</t>
        </is>
      </c>
      <c r="H6035" t="n">
        <v>103</v>
      </c>
      <c r="I6035" t="inlineStr">
        <is>
          <t>diikuti oleh Wings Group dan KPN Group yang masing-masing berkontribusi sekitar 15%</t>
        </is>
      </c>
      <c r="J6035" t="inlineStr">
        <is>
          <t>High</t>
        </is>
      </c>
      <c r="M6035" t="inlineStr">
        <is>
          <t>LLM</t>
        </is>
      </c>
      <c r="N6035" t="inlineStr">
        <is>
          <t>2026-04-19</t>
        </is>
      </c>
      <c r="O6035" t="inlineStr">
        <is>
          <t>AI</t>
        </is>
      </c>
    </row>
    <row r="6036">
      <c r="A6036" t="inlineStr">
        <is>
          <t>PT Teladan Prima Agro Tbk</t>
        </is>
      </c>
      <c r="B6036" t="inlineStr">
        <is>
          <t>TLDN_2024_AR.pdf</t>
        </is>
      </c>
      <c r="C6036" t="n">
        <v>2024</v>
      </c>
      <c r="D6036" t="inlineStr">
        <is>
          <t>Operation</t>
        </is>
      </c>
      <c r="E6036" t="inlineStr">
        <is>
          <t>KPN Group Sales Share</t>
        </is>
      </c>
      <c r="F6036" t="n">
        <v>0.15</v>
      </c>
      <c r="G6036" t="inlineStr">
        <is>
          <t>%</t>
        </is>
      </c>
      <c r="H6036" t="n">
        <v>103</v>
      </c>
      <c r="I6036" t="inlineStr">
        <is>
          <t>KPN Group yang masing-masing berkontribusi sekitar 15%</t>
        </is>
      </c>
      <c r="J6036" t="inlineStr">
        <is>
          <t>High</t>
        </is>
      </c>
      <c r="M6036" t="inlineStr">
        <is>
          <t>LLM</t>
        </is>
      </c>
      <c r="N6036" t="inlineStr">
        <is>
          <t>2026-04-19</t>
        </is>
      </c>
      <c r="O6036" t="inlineStr">
        <is>
          <t>AI</t>
        </is>
      </c>
    </row>
    <row r="6037">
      <c r="A6037" t="inlineStr">
        <is>
          <t>PT Teladan Prima Agro Tbk</t>
        </is>
      </c>
      <c r="B6037" t="inlineStr">
        <is>
          <t>TLDN_2024_AR.pdf</t>
        </is>
      </c>
      <c r="C6037" t="n">
        <v>2024</v>
      </c>
      <c r="D6037" t="inlineStr">
        <is>
          <t>Operation</t>
        </is>
      </c>
      <c r="E6037" t="inlineStr">
        <is>
          <t>Excess Power Sales</t>
        </is>
      </c>
      <c r="F6037" t="n">
        <v>149413</v>
      </c>
      <c r="G6037" t="inlineStr">
        <is>
          <t>kWh</t>
        </is>
      </c>
      <c r="H6037" t="n">
        <v>12</v>
      </c>
      <c r="I6037" t="inlineStr">
        <is>
          <t>Penjualan Tenaga Listrik Lebih 149.413 177.594 167.342</t>
        </is>
      </c>
      <c r="J6037" t="inlineStr">
        <is>
          <t>High</t>
        </is>
      </c>
      <c r="M6037" t="inlineStr">
        <is>
          <t>LLM</t>
        </is>
      </c>
      <c r="N6037" t="inlineStr">
        <is>
          <t>2026-04-19</t>
        </is>
      </c>
      <c r="O6037" t="inlineStr">
        <is>
          <t>AI</t>
        </is>
      </c>
    </row>
    <row r="6038">
      <c r="A6038" t="inlineStr">
        <is>
          <t>PT Teladan Prima Agro Tbk</t>
        </is>
      </c>
      <c r="B6038" t="inlineStr">
        <is>
          <t>TLDN_2024_AR.pdf</t>
        </is>
      </c>
      <c r="C6038" t="n">
        <v>2024</v>
      </c>
      <c r="D6038" t="inlineStr">
        <is>
          <t>ESG</t>
        </is>
      </c>
      <c r="E6038" t="inlineStr">
        <is>
          <t>ISPO Certifications (all mills)</t>
        </is>
      </c>
      <c r="F6038" t="inlineStr">
        <is>
          <t>All 6 mills</t>
        </is>
      </c>
      <c r="G6038" t="inlineStr">
        <is>
          <t>text</t>
        </is>
      </c>
      <c r="H6038" t="n">
        <v>87</v>
      </c>
      <c r="I6038" t="inlineStr">
        <is>
          <t>Seluruh pabrik kelapa sawit (PKS) yang dikelola Entitas Anak telah tersertifikasi Indonesia Sustainable Palm Oil (ISPO)</t>
        </is>
      </c>
      <c r="J6038" t="inlineStr">
        <is>
          <t>High</t>
        </is>
      </c>
      <c r="M6038" t="inlineStr">
        <is>
          <t>LLM</t>
        </is>
      </c>
      <c r="N6038" t="inlineStr">
        <is>
          <t>2026-04-19</t>
        </is>
      </c>
      <c r="O6038" t="inlineStr">
        <is>
          <t>AI</t>
        </is>
      </c>
    </row>
    <row r="6039">
      <c r="A6039" t="inlineStr">
        <is>
          <t>PT Teladan Prima Agro Tbk</t>
        </is>
      </c>
      <c r="B6039" t="inlineStr">
        <is>
          <t>TLDN_2024_AR.pdf</t>
        </is>
      </c>
      <c r="C6039" t="n">
        <v>2024</v>
      </c>
      <c r="D6039" t="inlineStr">
        <is>
          <t>ESG</t>
        </is>
      </c>
      <c r="E6039" t="inlineStr">
        <is>
          <t>PROPER Green Rating 2023-2024</t>
        </is>
      </c>
      <c r="F6039" t="inlineStr">
        <is>
          <t>All POMs</t>
        </is>
      </c>
      <c r="G6039" t="inlineStr">
        <is>
          <t>text</t>
        </is>
      </c>
      <c r="H6039" t="n">
        <v>20</v>
      </c>
      <c r="I6039" t="inlineStr">
        <is>
          <t>predikat peringkat hijau untuk seluruh pabrik pengolahan kelapa sawit (PROPER Provinsi Kalimantan Timur periode 2023-2024)</t>
        </is>
      </c>
      <c r="J6039" t="inlineStr">
        <is>
          <t>High</t>
        </is>
      </c>
      <c r="M6039" t="inlineStr">
        <is>
          <t>LLM</t>
        </is>
      </c>
      <c r="N6039" t="inlineStr">
        <is>
          <t>2026-04-19</t>
        </is>
      </c>
      <c r="O6039" t="inlineStr">
        <is>
          <t>AI</t>
        </is>
      </c>
    </row>
    <row r="6040">
      <c r="A6040" t="inlineStr">
        <is>
          <t>PT Teladan Prima Agro Tbk</t>
        </is>
      </c>
      <c r="B6040" t="inlineStr">
        <is>
          <t>TLDN_2025_AR.pdf</t>
        </is>
      </c>
      <c r="C6040" t="n">
        <v>2025</v>
      </c>
      <c r="D6040" t="inlineStr">
        <is>
          <t>Company</t>
        </is>
      </c>
      <c r="E6040" t="inlineStr">
        <is>
          <t>Company Name</t>
        </is>
      </c>
      <c r="F6040" t="inlineStr">
        <is>
          <t>PT Teladan Prima Agro Tbk</t>
        </is>
      </c>
      <c r="G6040" t="inlineStr">
        <is>
          <t>text</t>
        </is>
      </c>
      <c r="H6040" t="n">
        <v>7</v>
      </c>
      <c r="I6040" t="inlineStr">
        <is>
          <t>PT Teladan Prima Agro Tbk - Identitas Perusahaan</t>
        </is>
      </c>
      <c r="J6040" t="inlineStr">
        <is>
          <t>High</t>
        </is>
      </c>
      <c r="M6040" t="inlineStr">
        <is>
          <t>LLM</t>
        </is>
      </c>
      <c r="N6040" t="inlineStr">
        <is>
          <t>2026-04-19</t>
        </is>
      </c>
      <c r="O6040" t="inlineStr">
        <is>
          <t>AI</t>
        </is>
      </c>
    </row>
    <row r="6041">
      <c r="A6041" t="inlineStr">
        <is>
          <t>PT Teladan Prima Agro Tbk</t>
        </is>
      </c>
      <c r="B6041" t="inlineStr">
        <is>
          <t>TLDN_2025_AR.pdf</t>
        </is>
      </c>
      <c r="C6041" t="n">
        <v>2025</v>
      </c>
      <c r="D6041" t="inlineStr">
        <is>
          <t>Company</t>
        </is>
      </c>
      <c r="E6041" t="inlineStr">
        <is>
          <t>Ticker</t>
        </is>
      </c>
      <c r="F6041" t="inlineStr">
        <is>
          <t>TLDN</t>
        </is>
      </c>
      <c r="G6041" t="inlineStr">
        <is>
          <t>text</t>
        </is>
      </c>
      <c r="H6041" t="n">
        <v>7</v>
      </c>
      <c r="I6041" t="inlineStr">
        <is>
          <t>Kode Saham TLDN</t>
        </is>
      </c>
      <c r="J6041" t="inlineStr">
        <is>
          <t>High</t>
        </is>
      </c>
      <c r="M6041" t="inlineStr">
        <is>
          <t>LLM</t>
        </is>
      </c>
      <c r="N6041" t="inlineStr">
        <is>
          <t>2026-04-19</t>
        </is>
      </c>
      <c r="O6041" t="inlineStr">
        <is>
          <t>AI</t>
        </is>
      </c>
    </row>
    <row r="6042">
      <c r="A6042" t="inlineStr">
        <is>
          <t>PT Teladan Prima Agro Tbk</t>
        </is>
      </c>
      <c r="B6042" t="inlineStr">
        <is>
          <t>TLDN_2025_AR.pdf</t>
        </is>
      </c>
      <c r="C6042" t="n">
        <v>2025</v>
      </c>
      <c r="D6042" t="inlineStr">
        <is>
          <t>Company</t>
        </is>
      </c>
      <c r="E6042" t="inlineStr">
        <is>
          <t>Controlling Shareholder</t>
        </is>
      </c>
      <c r="F6042" t="inlineStr">
        <is>
          <t>PT Teladan Resources 59.877%</t>
        </is>
      </c>
      <c r="G6042" t="inlineStr">
        <is>
          <t>%</t>
        </is>
      </c>
      <c r="H6042" t="n">
        <v>7</v>
      </c>
      <c r="I6042" t="inlineStr">
        <is>
          <t>PT Teladan Resources 59,877%</t>
        </is>
      </c>
      <c r="J6042" t="inlineStr">
        <is>
          <t>High</t>
        </is>
      </c>
      <c r="M6042" t="inlineStr">
        <is>
          <t>LLM</t>
        </is>
      </c>
      <c r="N6042" t="inlineStr">
        <is>
          <t>2026-04-19</t>
        </is>
      </c>
      <c r="O6042" t="inlineStr">
        <is>
          <t>AI</t>
        </is>
      </c>
    </row>
    <row r="6043">
      <c r="A6043" t="inlineStr">
        <is>
          <t>PT Teladan Prima Agro Tbk</t>
        </is>
      </c>
      <c r="B6043" t="inlineStr">
        <is>
          <t>TLDN_2025_AR.pdf</t>
        </is>
      </c>
      <c r="C6043" t="n">
        <v>2025</v>
      </c>
      <c r="D6043" t="inlineStr">
        <is>
          <t>Company</t>
        </is>
      </c>
      <c r="E6043" t="inlineStr">
        <is>
          <t>Public Float</t>
        </is>
      </c>
      <c r="F6043" t="n">
        <v>0.07504</v>
      </c>
      <c r="G6043" t="inlineStr">
        <is>
          <t>%</t>
        </is>
      </c>
      <c r="H6043" t="n">
        <v>7</v>
      </c>
      <c r="I6043" t="inlineStr">
        <is>
          <t>Masyarakat / Public 7,504%</t>
        </is>
      </c>
      <c r="J6043" t="inlineStr">
        <is>
          <t>High</t>
        </is>
      </c>
      <c r="M6043" t="inlineStr">
        <is>
          <t>LLM</t>
        </is>
      </c>
      <c r="N6043" t="inlineStr">
        <is>
          <t>2026-04-19</t>
        </is>
      </c>
      <c r="O6043" t="inlineStr">
        <is>
          <t>AI</t>
        </is>
      </c>
    </row>
    <row r="6044">
      <c r="A6044" t="inlineStr">
        <is>
          <t>PT Teladan Prima Agro Tbk</t>
        </is>
      </c>
      <c r="B6044" t="inlineStr">
        <is>
          <t>TLDN_2025_AR.pdf</t>
        </is>
      </c>
      <c r="C6044" t="n">
        <v>2025</v>
      </c>
      <c r="D6044" t="inlineStr">
        <is>
          <t>Company</t>
        </is>
      </c>
      <c r="E6044" t="inlineStr">
        <is>
          <t>Ahmad Gunung Ownership</t>
        </is>
      </c>
      <c r="F6044" t="n">
        <v>0.16225</v>
      </c>
      <c r="G6044" t="inlineStr">
        <is>
          <t>%</t>
        </is>
      </c>
      <c r="H6044" t="n">
        <v>7</v>
      </c>
      <c r="I6044" t="inlineStr">
        <is>
          <t>Ahmad Gunung 16,225%</t>
        </is>
      </c>
      <c r="J6044" t="inlineStr">
        <is>
          <t>High</t>
        </is>
      </c>
      <c r="M6044" t="inlineStr">
        <is>
          <t>LLM</t>
        </is>
      </c>
      <c r="N6044" t="inlineStr">
        <is>
          <t>2026-04-19</t>
        </is>
      </c>
      <c r="O6044" t="inlineStr">
        <is>
          <t>AI</t>
        </is>
      </c>
    </row>
    <row r="6045">
      <c r="A6045" t="inlineStr">
        <is>
          <t>PT Teladan Prima Agro Tbk</t>
        </is>
      </c>
      <c r="B6045" t="inlineStr">
        <is>
          <t>TLDN_2025_AR.pdf</t>
        </is>
      </c>
      <c r="C6045" t="n">
        <v>2025</v>
      </c>
      <c r="D6045" t="inlineStr">
        <is>
          <t>Company</t>
        </is>
      </c>
      <c r="E6045" t="inlineStr">
        <is>
          <t>Wishnu Wardhana Ownership</t>
        </is>
      </c>
      <c r="F6045" t="n">
        <v>0.16225</v>
      </c>
      <c r="G6045" t="inlineStr">
        <is>
          <t>%</t>
        </is>
      </c>
      <c r="H6045" t="n">
        <v>7</v>
      </c>
      <c r="I6045" t="inlineStr">
        <is>
          <t>Wishnu Wardhana 16,225%</t>
        </is>
      </c>
      <c r="J6045" t="inlineStr">
        <is>
          <t>High</t>
        </is>
      </c>
      <c r="M6045" t="inlineStr">
        <is>
          <t>LLM</t>
        </is>
      </c>
      <c r="N6045" t="inlineStr">
        <is>
          <t>2026-04-19</t>
        </is>
      </c>
      <c r="O6045" t="inlineStr">
        <is>
          <t>AI</t>
        </is>
      </c>
    </row>
    <row r="6046">
      <c r="A6046" t="inlineStr">
        <is>
          <t>PT Teladan Prima Agro Tbk</t>
        </is>
      </c>
      <c r="B6046" t="inlineStr">
        <is>
          <t>TLDN_2025_AR.pdf</t>
        </is>
      </c>
      <c r="C6046" t="n">
        <v>2025</v>
      </c>
      <c r="D6046" t="inlineStr">
        <is>
          <t>Company</t>
        </is>
      </c>
      <c r="E6046" t="inlineStr">
        <is>
          <t>Number of Subsidiaries</t>
        </is>
      </c>
      <c r="F6046" t="n">
        <v>10</v>
      </c>
      <c r="G6046" t="inlineStr">
        <is>
          <t>count</t>
        </is>
      </c>
      <c r="I6046" t="inlineStr">
        <is>
          <t>sinergi dengan 10 Entitas Anak terus diperkuat</t>
        </is>
      </c>
      <c r="J6046" t="inlineStr">
        <is>
          <t>High</t>
        </is>
      </c>
      <c r="M6046" t="inlineStr">
        <is>
          <t>LLM</t>
        </is>
      </c>
      <c r="N6046" t="inlineStr">
        <is>
          <t>2026-04-19</t>
        </is>
      </c>
      <c r="O6046" t="inlineStr">
        <is>
          <t>AI</t>
        </is>
      </c>
    </row>
    <row r="6047">
      <c r="A6047" t="inlineStr">
        <is>
          <t>PT Teladan Prima Agro Tbk</t>
        </is>
      </c>
      <c r="B6047" t="inlineStr">
        <is>
          <t>TLDN_2025_AR.pdf</t>
        </is>
      </c>
      <c r="C6047" t="n">
        <v>2025</v>
      </c>
      <c r="D6047" t="inlineStr">
        <is>
          <t>Company</t>
        </is>
      </c>
      <c r="E6047" t="inlineStr">
        <is>
          <t>CDM Acquisition</t>
        </is>
      </c>
      <c r="F6047" t="inlineStr">
        <is>
          <t>PT Cipta Davia Mandiri acquired Jan 2025 from PT REA Kaltim Plantations</t>
        </is>
      </c>
      <c r="G6047" t="inlineStr">
        <is>
          <t>text</t>
        </is>
      </c>
      <c r="I6047" t="inlineStr">
        <is>
          <t>Akuisisi 99,99% saham PT Cipta Davia Mandiri (CDM) (Januari 2025); PT Cipta Davia Mandiri (CDM) dari PT REA Kaltim Plantations</t>
        </is>
      </c>
      <c r="J6047" t="inlineStr">
        <is>
          <t>High</t>
        </is>
      </c>
      <c r="M6047" t="inlineStr">
        <is>
          <t>LLM</t>
        </is>
      </c>
      <c r="N6047" t="inlineStr">
        <is>
          <t>2026-04-19</t>
        </is>
      </c>
      <c r="O6047" t="inlineStr">
        <is>
          <t>AI</t>
        </is>
      </c>
    </row>
    <row r="6048">
      <c r="A6048" t="inlineStr">
        <is>
          <t>PT Teladan Prima Agro Tbk</t>
        </is>
      </c>
      <c r="B6048" t="inlineStr">
        <is>
          <t>TLDN_2025_AR.pdf</t>
        </is>
      </c>
      <c r="C6048" t="n">
        <v>2025</v>
      </c>
      <c r="D6048" t="inlineStr">
        <is>
          <t>Financial</t>
        </is>
      </c>
      <c r="E6048" t="inlineStr">
        <is>
          <t>Revenue</t>
        </is>
      </c>
      <c r="F6048" t="n">
        <v>5421</v>
      </c>
      <c r="G6048" t="inlineStr">
        <is>
          <t>IDR bn</t>
        </is>
      </c>
      <c r="H6048" t="n">
        <v>13</v>
      </c>
      <c r="I6048" t="inlineStr">
        <is>
          <t>Pendapatan 5.421.392 4.211.482 4.007.082 (in million Rp)</t>
        </is>
      </c>
      <c r="J6048" t="inlineStr">
        <is>
          <t>High</t>
        </is>
      </c>
      <c r="M6048" t="inlineStr">
        <is>
          <t>LLM</t>
        </is>
      </c>
      <c r="N6048" t="inlineStr">
        <is>
          <t>2026-04-19</t>
        </is>
      </c>
      <c r="O6048" t="inlineStr">
        <is>
          <t>AI</t>
        </is>
      </c>
    </row>
    <row r="6049">
      <c r="A6049" t="inlineStr">
        <is>
          <t>PT Teladan Prima Agro Tbk</t>
        </is>
      </c>
      <c r="B6049" t="inlineStr">
        <is>
          <t>TLDN_2025_AR.pdf</t>
        </is>
      </c>
      <c r="C6049" t="n">
        <v>2025</v>
      </c>
      <c r="D6049" t="inlineStr">
        <is>
          <t>Financial</t>
        </is>
      </c>
      <c r="E6049" t="inlineStr">
        <is>
          <t>Cost of Goods Sold</t>
        </is>
      </c>
      <c r="F6049" t="n">
        <v>3558</v>
      </c>
      <c r="G6049" t="inlineStr">
        <is>
          <t>IDR bn</t>
        </is>
      </c>
      <c r="H6049" t="n">
        <v>13</v>
      </c>
      <c r="I6049" t="inlineStr">
        <is>
          <t>Beban Pokok Penjualan (3.557.801) (2.755.325) (2.936.769)</t>
        </is>
      </c>
      <c r="J6049" t="inlineStr">
        <is>
          <t>High</t>
        </is>
      </c>
      <c r="M6049" t="inlineStr">
        <is>
          <t>LLM</t>
        </is>
      </c>
      <c r="N6049" t="inlineStr">
        <is>
          <t>2026-04-19</t>
        </is>
      </c>
      <c r="O6049" t="inlineStr">
        <is>
          <t>AI</t>
        </is>
      </c>
    </row>
    <row r="6050">
      <c r="A6050" t="inlineStr">
        <is>
          <t>PT Teladan Prima Agro Tbk</t>
        </is>
      </c>
      <c r="B6050" t="inlineStr">
        <is>
          <t>TLDN_2025_AR.pdf</t>
        </is>
      </c>
      <c r="C6050" t="n">
        <v>2025</v>
      </c>
      <c r="D6050" t="inlineStr">
        <is>
          <t>Financial</t>
        </is>
      </c>
      <c r="E6050" t="inlineStr">
        <is>
          <t>Gross Profit</t>
        </is>
      </c>
      <c r="F6050" t="n">
        <v>1864</v>
      </c>
      <c r="G6050" t="inlineStr">
        <is>
          <t>IDR bn</t>
        </is>
      </c>
      <c r="H6050" t="n">
        <v>13</v>
      </c>
      <c r="I6050" t="inlineStr">
        <is>
          <t>Laba Bruto 1.863.590 1.456.156 1.070.313</t>
        </is>
      </c>
      <c r="J6050" t="inlineStr">
        <is>
          <t>High</t>
        </is>
      </c>
      <c r="M6050" t="inlineStr">
        <is>
          <t>LLM</t>
        </is>
      </c>
      <c r="N6050" t="inlineStr">
        <is>
          <t>2026-04-19</t>
        </is>
      </c>
      <c r="O6050" t="inlineStr">
        <is>
          <t>AI</t>
        </is>
      </c>
    </row>
    <row r="6051">
      <c r="A6051" t="inlineStr">
        <is>
          <t>PT Teladan Prima Agro Tbk</t>
        </is>
      </c>
      <c r="B6051" t="inlineStr">
        <is>
          <t>TLDN_2025_AR.pdf</t>
        </is>
      </c>
      <c r="C6051" t="n">
        <v>2025</v>
      </c>
      <c r="D6051" t="inlineStr">
        <is>
          <t>Financial</t>
        </is>
      </c>
      <c r="E6051" t="inlineStr">
        <is>
          <t>Selling &amp; Distribution Expenses</t>
        </is>
      </c>
      <c r="F6051" t="n">
        <v>236</v>
      </c>
      <c r="G6051" t="inlineStr">
        <is>
          <t>IDR bn</t>
        </is>
      </c>
      <c r="H6051" t="n">
        <v>13</v>
      </c>
      <c r="I6051" t="inlineStr">
        <is>
          <t>Beban Penjualan dan Distribusi (236.202) (173.790) (203.652)</t>
        </is>
      </c>
      <c r="J6051" t="inlineStr">
        <is>
          <t>High</t>
        </is>
      </c>
      <c r="M6051" t="inlineStr">
        <is>
          <t>LLM</t>
        </is>
      </c>
      <c r="N6051" t="inlineStr">
        <is>
          <t>2026-04-19</t>
        </is>
      </c>
      <c r="O6051" t="inlineStr">
        <is>
          <t>AI</t>
        </is>
      </c>
    </row>
    <row r="6052">
      <c r="A6052" t="inlineStr">
        <is>
          <t>PT Teladan Prima Agro Tbk</t>
        </is>
      </c>
      <c r="B6052" t="inlineStr">
        <is>
          <t>TLDN_2025_AR.pdf</t>
        </is>
      </c>
      <c r="C6052" t="n">
        <v>2025</v>
      </c>
      <c r="D6052" t="inlineStr">
        <is>
          <t>Financial</t>
        </is>
      </c>
      <c r="E6052" t="inlineStr">
        <is>
          <t>General &amp; Admin Expenses</t>
        </is>
      </c>
      <c r="F6052" t="n">
        <v>382</v>
      </c>
      <c r="G6052" t="inlineStr">
        <is>
          <t>IDR bn</t>
        </is>
      </c>
      <c r="H6052" t="n">
        <v>13</v>
      </c>
      <c r="I6052" t="inlineStr">
        <is>
          <t>Beban Umum dan Administrasi (382.484) (258.644) (206.434)</t>
        </is>
      </c>
      <c r="J6052" t="inlineStr">
        <is>
          <t>High</t>
        </is>
      </c>
      <c r="M6052" t="inlineStr">
        <is>
          <t>LLM</t>
        </is>
      </c>
      <c r="N6052" t="inlineStr">
        <is>
          <t>2026-04-19</t>
        </is>
      </c>
      <c r="O6052" t="inlineStr">
        <is>
          <t>AI</t>
        </is>
      </c>
    </row>
    <row r="6053">
      <c r="A6053" t="inlineStr">
        <is>
          <t>PT Teladan Prima Agro Tbk</t>
        </is>
      </c>
      <c r="B6053" t="inlineStr">
        <is>
          <t>TLDN_2025_AR.pdf</t>
        </is>
      </c>
      <c r="C6053" t="n">
        <v>2025</v>
      </c>
      <c r="D6053" t="inlineStr">
        <is>
          <t>Financial</t>
        </is>
      </c>
      <c r="E6053" t="inlineStr">
        <is>
          <t>Operating Profit</t>
        </is>
      </c>
      <c r="F6053" t="n">
        <v>1251</v>
      </c>
      <c r="G6053" t="inlineStr">
        <is>
          <t>IDR bn</t>
        </is>
      </c>
      <c r="H6053" t="n">
        <v>13</v>
      </c>
      <c r="I6053" t="inlineStr">
        <is>
          <t>Laba Usaha 1.250.691 1.110.149 710.026</t>
        </is>
      </c>
      <c r="J6053" t="inlineStr">
        <is>
          <t>High</t>
        </is>
      </c>
      <c r="M6053" t="inlineStr">
        <is>
          <t>LLM</t>
        </is>
      </c>
      <c r="N6053" t="inlineStr">
        <is>
          <t>2026-04-19</t>
        </is>
      </c>
      <c r="O6053" t="inlineStr">
        <is>
          <t>AI</t>
        </is>
      </c>
    </row>
    <row r="6054">
      <c r="A6054" t="inlineStr">
        <is>
          <t>PT Teladan Prima Agro Tbk</t>
        </is>
      </c>
      <c r="B6054" t="inlineStr">
        <is>
          <t>TLDN_2025_AR.pdf</t>
        </is>
      </c>
      <c r="C6054" t="n">
        <v>2025</v>
      </c>
      <c r="D6054" t="inlineStr">
        <is>
          <t>Financial</t>
        </is>
      </c>
      <c r="E6054" t="inlineStr">
        <is>
          <t>Finance Costs</t>
        </is>
      </c>
      <c r="F6054" t="n">
        <v>46</v>
      </c>
      <c r="G6054" t="inlineStr">
        <is>
          <t>IDR bn</t>
        </is>
      </c>
      <c r="H6054" t="n">
        <v>13</v>
      </c>
      <c r="I6054" t="inlineStr">
        <is>
          <t>Beban Keuangan (45.770) (67.775) (107.542)</t>
        </is>
      </c>
      <c r="J6054" t="inlineStr">
        <is>
          <t>High</t>
        </is>
      </c>
      <c r="M6054" t="inlineStr">
        <is>
          <t>LLM</t>
        </is>
      </c>
      <c r="N6054" t="inlineStr">
        <is>
          <t>2026-04-19</t>
        </is>
      </c>
      <c r="O6054" t="inlineStr">
        <is>
          <t>AI</t>
        </is>
      </c>
    </row>
    <row r="6055">
      <c r="A6055" t="inlineStr">
        <is>
          <t>PT Teladan Prima Agro Tbk</t>
        </is>
      </c>
      <c r="B6055" t="inlineStr">
        <is>
          <t>TLDN_2025_AR.pdf</t>
        </is>
      </c>
      <c r="C6055" t="n">
        <v>2025</v>
      </c>
      <c r="D6055" t="inlineStr">
        <is>
          <t>Financial</t>
        </is>
      </c>
      <c r="E6055" t="inlineStr">
        <is>
          <t>Gain on Bargain Purchase (CDM Acquisition)</t>
        </is>
      </c>
      <c r="F6055" t="n">
        <v>172</v>
      </c>
      <c r="G6055" t="inlineStr">
        <is>
          <t>IDR bn</t>
        </is>
      </c>
      <c r="H6055" t="n">
        <v>13</v>
      </c>
      <c r="I6055" t="inlineStr">
        <is>
          <t>Keuntungan dari Pembelian dengan Diskon 172.479 - - Gain on Bargain Purchase</t>
        </is>
      </c>
      <c r="J6055" t="inlineStr">
        <is>
          <t>High</t>
        </is>
      </c>
      <c r="M6055" t="inlineStr">
        <is>
          <t>LLM</t>
        </is>
      </c>
      <c r="N6055" t="inlineStr">
        <is>
          <t>2026-04-19</t>
        </is>
      </c>
      <c r="O6055" t="inlineStr">
        <is>
          <t>AI</t>
        </is>
      </c>
    </row>
    <row r="6056">
      <c r="A6056" t="inlineStr">
        <is>
          <t>PT Teladan Prima Agro Tbk</t>
        </is>
      </c>
      <c r="B6056" t="inlineStr">
        <is>
          <t>TLDN_2025_AR.pdf</t>
        </is>
      </c>
      <c r="C6056" t="n">
        <v>2025</v>
      </c>
      <c r="D6056" t="inlineStr">
        <is>
          <t>Financial</t>
        </is>
      </c>
      <c r="E6056" t="inlineStr">
        <is>
          <t>Profit Before Tax</t>
        </is>
      </c>
      <c r="F6056" t="n">
        <v>1392</v>
      </c>
      <c r="G6056" t="inlineStr">
        <is>
          <t>IDR bn</t>
        </is>
      </c>
      <c r="H6056" t="n">
        <v>13</v>
      </c>
      <c r="I6056" t="inlineStr">
        <is>
          <t>Laba Sebelum Pajak Penghasilan 1.391.736 1.058.376 621.149</t>
        </is>
      </c>
      <c r="J6056" t="inlineStr">
        <is>
          <t>High</t>
        </is>
      </c>
      <c r="M6056" t="inlineStr">
        <is>
          <t>LLM</t>
        </is>
      </c>
      <c r="N6056" t="inlineStr">
        <is>
          <t>2026-04-19</t>
        </is>
      </c>
      <c r="O6056" t="inlineStr">
        <is>
          <t>AI</t>
        </is>
      </c>
    </row>
    <row r="6057">
      <c r="A6057" t="inlineStr">
        <is>
          <t>PT Teladan Prima Agro Tbk</t>
        </is>
      </c>
      <c r="B6057" t="inlineStr">
        <is>
          <t>TLDN_2025_AR.pdf</t>
        </is>
      </c>
      <c r="C6057" t="n">
        <v>2025</v>
      </c>
      <c r="D6057" t="inlineStr">
        <is>
          <t>Financial</t>
        </is>
      </c>
      <c r="E6057" t="inlineStr">
        <is>
          <t>Income Tax Expense</t>
        </is>
      </c>
      <c r="F6057" t="n">
        <v>285</v>
      </c>
      <c r="G6057" t="inlineStr">
        <is>
          <t>IDR bn</t>
        </is>
      </c>
      <c r="H6057" t="n">
        <v>13</v>
      </c>
      <c r="I6057" t="inlineStr">
        <is>
          <t>Beban Pajak Penghasilan (285.122) (232.782) (169.355)</t>
        </is>
      </c>
      <c r="J6057" t="inlineStr">
        <is>
          <t>High</t>
        </is>
      </c>
      <c r="M6057" t="inlineStr">
        <is>
          <t>LLM</t>
        </is>
      </c>
      <c r="N6057" t="inlineStr">
        <is>
          <t>2026-04-19</t>
        </is>
      </c>
      <c r="O6057" t="inlineStr">
        <is>
          <t>AI</t>
        </is>
      </c>
    </row>
    <row r="6058">
      <c r="A6058" t="inlineStr">
        <is>
          <t>PT Teladan Prima Agro Tbk</t>
        </is>
      </c>
      <c r="B6058" t="inlineStr">
        <is>
          <t>TLDN_2025_AR.pdf</t>
        </is>
      </c>
      <c r="C6058" t="n">
        <v>2025</v>
      </c>
      <c r="D6058" t="inlineStr">
        <is>
          <t>Financial</t>
        </is>
      </c>
      <c r="E6058" t="inlineStr">
        <is>
          <t>Net Profit</t>
        </is>
      </c>
      <c r="F6058" t="n">
        <v>1107</v>
      </c>
      <c r="G6058" t="inlineStr">
        <is>
          <t>IDR bn</t>
        </is>
      </c>
      <c r="H6058" t="n">
        <v>13</v>
      </c>
      <c r="I6058" t="inlineStr">
        <is>
          <t>Laba Tahun Berjalan 1.106.615 825.594 451.794</t>
        </is>
      </c>
      <c r="J6058" t="inlineStr">
        <is>
          <t>High</t>
        </is>
      </c>
      <c r="M6058" t="inlineStr">
        <is>
          <t>LLM</t>
        </is>
      </c>
      <c r="N6058" t="inlineStr">
        <is>
          <t>2026-04-19</t>
        </is>
      </c>
      <c r="O6058" t="inlineStr">
        <is>
          <t>AI</t>
        </is>
      </c>
    </row>
    <row r="6059">
      <c r="A6059" t="inlineStr">
        <is>
          <t>PT Teladan Prima Agro Tbk</t>
        </is>
      </c>
      <c r="B6059" t="inlineStr">
        <is>
          <t>TLDN_2025_AR.pdf</t>
        </is>
      </c>
      <c r="C6059" t="n">
        <v>2025</v>
      </c>
      <c r="D6059" t="inlineStr">
        <is>
          <t>Financial</t>
        </is>
      </c>
      <c r="E6059" t="inlineStr">
        <is>
          <t>Profit Attributable to Parent</t>
        </is>
      </c>
      <c r="F6059" t="n">
        <v>1107</v>
      </c>
      <c r="G6059" t="inlineStr">
        <is>
          <t>IDR bn</t>
        </is>
      </c>
      <c r="H6059" t="n">
        <v>13</v>
      </c>
      <c r="I6059" t="inlineStr">
        <is>
          <t>Pemilik Entitas Induk 1.106.606 825.587 451.790</t>
        </is>
      </c>
      <c r="J6059" t="inlineStr">
        <is>
          <t>High</t>
        </is>
      </c>
      <c r="M6059" t="inlineStr">
        <is>
          <t>LLM</t>
        </is>
      </c>
      <c r="N6059" t="inlineStr">
        <is>
          <t>2026-04-19</t>
        </is>
      </c>
      <c r="O6059" t="inlineStr">
        <is>
          <t>AI</t>
        </is>
      </c>
    </row>
    <row r="6060">
      <c r="A6060" t="inlineStr">
        <is>
          <t>PT Teladan Prima Agro Tbk</t>
        </is>
      </c>
      <c r="B6060" t="inlineStr">
        <is>
          <t>TLDN_2025_AR.pdf</t>
        </is>
      </c>
      <c r="C6060" t="n">
        <v>2025</v>
      </c>
      <c r="D6060" t="inlineStr">
        <is>
          <t>Financial</t>
        </is>
      </c>
      <c r="E6060" t="inlineStr">
        <is>
          <t>Total Assets</t>
        </is>
      </c>
      <c r="F6060" t="n">
        <v>6018</v>
      </c>
      <c r="G6060" t="inlineStr">
        <is>
          <t>IDR bn</t>
        </is>
      </c>
      <c r="H6060" t="n">
        <v>13</v>
      </c>
      <c r="I6060" t="inlineStr">
        <is>
          <t>Total Aset 6.018.032 5.664.445 5.423.799</t>
        </is>
      </c>
      <c r="J6060" t="inlineStr">
        <is>
          <t>High</t>
        </is>
      </c>
      <c r="M6060" t="inlineStr">
        <is>
          <t>LLM</t>
        </is>
      </c>
      <c r="N6060" t="inlineStr">
        <is>
          <t>2026-04-19</t>
        </is>
      </c>
      <c r="O6060" t="inlineStr">
        <is>
          <t>AI</t>
        </is>
      </c>
    </row>
    <row r="6061">
      <c r="A6061" t="inlineStr">
        <is>
          <t>PT Teladan Prima Agro Tbk</t>
        </is>
      </c>
      <c r="B6061" t="inlineStr">
        <is>
          <t>TLDN_2025_AR.pdf</t>
        </is>
      </c>
      <c r="C6061" t="n">
        <v>2025</v>
      </c>
      <c r="D6061" t="inlineStr">
        <is>
          <t>Financial</t>
        </is>
      </c>
      <c r="E6061" t="inlineStr">
        <is>
          <t>Current Assets</t>
        </is>
      </c>
      <c r="F6061" t="n">
        <v>1589</v>
      </c>
      <c r="G6061" t="inlineStr">
        <is>
          <t>IDR bn</t>
        </is>
      </c>
      <c r="H6061" t="n">
        <v>13</v>
      </c>
      <c r="I6061" t="inlineStr">
        <is>
          <t>Aset Lancar 1.588.830 1.766.580 1.613.999</t>
        </is>
      </c>
      <c r="J6061" t="inlineStr">
        <is>
          <t>High</t>
        </is>
      </c>
      <c r="M6061" t="inlineStr">
        <is>
          <t>LLM</t>
        </is>
      </c>
      <c r="N6061" t="inlineStr">
        <is>
          <t>2026-04-19</t>
        </is>
      </c>
      <c r="O6061" t="inlineStr">
        <is>
          <t>AI</t>
        </is>
      </c>
    </row>
    <row r="6062">
      <c r="A6062" t="inlineStr">
        <is>
          <t>PT Teladan Prima Agro Tbk</t>
        </is>
      </c>
      <c r="B6062" t="inlineStr">
        <is>
          <t>TLDN_2025_AR.pdf</t>
        </is>
      </c>
      <c r="C6062" t="n">
        <v>2025</v>
      </c>
      <c r="D6062" t="inlineStr">
        <is>
          <t>Financial</t>
        </is>
      </c>
      <c r="E6062" t="inlineStr">
        <is>
          <t>Non-Current Assets</t>
        </is>
      </c>
      <c r="F6062" t="n">
        <v>4429</v>
      </c>
      <c r="G6062" t="inlineStr">
        <is>
          <t>IDR bn</t>
        </is>
      </c>
      <c r="H6062" t="n">
        <v>13</v>
      </c>
      <c r="I6062" t="inlineStr">
        <is>
          <t>Aset Tidak Lancar 4.429.202 3.897.865 3.809.800</t>
        </is>
      </c>
      <c r="J6062" t="inlineStr">
        <is>
          <t>High</t>
        </is>
      </c>
      <c r="M6062" t="inlineStr">
        <is>
          <t>LLM</t>
        </is>
      </c>
      <c r="N6062" t="inlineStr">
        <is>
          <t>2026-04-19</t>
        </is>
      </c>
      <c r="O6062" t="inlineStr">
        <is>
          <t>AI</t>
        </is>
      </c>
    </row>
    <row r="6063">
      <c r="A6063" t="inlineStr">
        <is>
          <t>PT Teladan Prima Agro Tbk</t>
        </is>
      </c>
      <c r="B6063" t="inlineStr">
        <is>
          <t>TLDN_2025_AR.pdf</t>
        </is>
      </c>
      <c r="C6063" t="n">
        <v>2025</v>
      </c>
      <c r="D6063" t="inlineStr">
        <is>
          <t>Financial</t>
        </is>
      </c>
      <c r="E6063" t="inlineStr">
        <is>
          <t>Total Liabilities</t>
        </is>
      </c>
      <c r="F6063" t="n">
        <v>2373</v>
      </c>
      <c r="G6063" t="inlineStr">
        <is>
          <t>IDR bn</t>
        </is>
      </c>
      <c r="H6063" t="n">
        <v>13</v>
      </c>
      <c r="I6063" t="inlineStr">
        <is>
          <t>Total Liabilitas 2.373.123 2.519.627 2.965.522</t>
        </is>
      </c>
      <c r="J6063" t="inlineStr">
        <is>
          <t>High</t>
        </is>
      </c>
      <c r="M6063" t="inlineStr">
        <is>
          <t>LLM</t>
        </is>
      </c>
      <c r="N6063" t="inlineStr">
        <is>
          <t>2026-04-19</t>
        </is>
      </c>
      <c r="O6063" t="inlineStr">
        <is>
          <t>AI</t>
        </is>
      </c>
    </row>
    <row r="6064">
      <c r="A6064" t="inlineStr">
        <is>
          <t>PT Teladan Prima Agro Tbk</t>
        </is>
      </c>
      <c r="B6064" t="inlineStr">
        <is>
          <t>TLDN_2025_AR.pdf</t>
        </is>
      </c>
      <c r="C6064" t="n">
        <v>2025</v>
      </c>
      <c r="D6064" t="inlineStr">
        <is>
          <t>Financial</t>
        </is>
      </c>
      <c r="E6064" t="inlineStr">
        <is>
          <t>Current Liabilities</t>
        </is>
      </c>
      <c r="F6064" t="n">
        <v>1425</v>
      </c>
      <c r="G6064" t="inlineStr">
        <is>
          <t>IDR bn</t>
        </is>
      </c>
      <c r="H6064" t="n">
        <v>13</v>
      </c>
      <c r="I6064" t="inlineStr">
        <is>
          <t>Liabilitas Jangka Pendek 1.425.414 1.572.692 1.689.684</t>
        </is>
      </c>
      <c r="J6064" t="inlineStr">
        <is>
          <t>High</t>
        </is>
      </c>
      <c r="M6064" t="inlineStr">
        <is>
          <t>LLM</t>
        </is>
      </c>
      <c r="N6064" t="inlineStr">
        <is>
          <t>2026-04-19</t>
        </is>
      </c>
      <c r="O6064" t="inlineStr">
        <is>
          <t>AI</t>
        </is>
      </c>
    </row>
    <row r="6065">
      <c r="A6065" t="inlineStr">
        <is>
          <t>PT Teladan Prima Agro Tbk</t>
        </is>
      </c>
      <c r="B6065" t="inlineStr">
        <is>
          <t>TLDN_2025_AR.pdf</t>
        </is>
      </c>
      <c r="C6065" t="n">
        <v>2025</v>
      </c>
      <c r="D6065" t="inlineStr">
        <is>
          <t>Financial</t>
        </is>
      </c>
      <c r="E6065" t="inlineStr">
        <is>
          <t>Non-Current Liabilities</t>
        </is>
      </c>
      <c r="F6065" t="n">
        <v>948</v>
      </c>
      <c r="G6065" t="inlineStr">
        <is>
          <t>IDR bn</t>
        </is>
      </c>
      <c r="H6065" t="n">
        <v>13</v>
      </c>
      <c r="I6065" t="inlineStr">
        <is>
          <t>Liabilitas Jangka Panjang 947.709 946.936 1.275.838</t>
        </is>
      </c>
      <c r="J6065" t="inlineStr">
        <is>
          <t>High</t>
        </is>
      </c>
      <c r="M6065" t="inlineStr">
        <is>
          <t>LLM</t>
        </is>
      </c>
      <c r="N6065" t="inlineStr">
        <is>
          <t>2026-04-19</t>
        </is>
      </c>
      <c r="O6065" t="inlineStr">
        <is>
          <t>AI</t>
        </is>
      </c>
    </row>
    <row r="6066">
      <c r="A6066" t="inlineStr">
        <is>
          <t>PT Teladan Prima Agro Tbk</t>
        </is>
      </c>
      <c r="B6066" t="inlineStr">
        <is>
          <t>TLDN_2025_AR.pdf</t>
        </is>
      </c>
      <c r="C6066" t="n">
        <v>2025</v>
      </c>
      <c r="D6066" t="inlineStr">
        <is>
          <t>Financial</t>
        </is>
      </c>
      <c r="E6066" t="inlineStr">
        <is>
          <t>Total Equity</t>
        </is>
      </c>
      <c r="F6066" t="n">
        <v>3645</v>
      </c>
      <c r="G6066" t="inlineStr">
        <is>
          <t>IDR bn</t>
        </is>
      </c>
      <c r="H6066" t="n">
        <v>13</v>
      </c>
      <c r="I6066" t="inlineStr">
        <is>
          <t>Ekuitas 3.644.909 3.144.818 2.458.277</t>
        </is>
      </c>
      <c r="J6066" t="inlineStr">
        <is>
          <t>High</t>
        </is>
      </c>
      <c r="M6066" t="inlineStr">
        <is>
          <t>LLM</t>
        </is>
      </c>
      <c r="N6066" t="inlineStr">
        <is>
          <t>2026-04-19</t>
        </is>
      </c>
      <c r="O6066" t="inlineStr">
        <is>
          <t>AI</t>
        </is>
      </c>
    </row>
    <row r="6067">
      <c r="A6067" t="inlineStr">
        <is>
          <t>PT Teladan Prima Agro Tbk</t>
        </is>
      </c>
      <c r="B6067" t="inlineStr">
        <is>
          <t>TLDN_2025_AR.pdf</t>
        </is>
      </c>
      <c r="C6067" t="n">
        <v>2025</v>
      </c>
      <c r="D6067" t="inlineStr">
        <is>
          <t>Financial</t>
        </is>
      </c>
      <c r="E6067" t="inlineStr">
        <is>
          <t>Cash &amp; Cash Equivalents</t>
        </is>
      </c>
      <c r="F6067" t="n">
        <v>334</v>
      </c>
      <c r="G6067" t="inlineStr">
        <is>
          <t>IDR bn</t>
        </is>
      </c>
      <c r="H6067" t="n">
        <v>14</v>
      </c>
      <c r="I6067" t="inlineStr">
        <is>
          <t>Saldo Kas dan Setara Kas Akhir Tahun 334.386 486.588 583.295</t>
        </is>
      </c>
      <c r="J6067" t="inlineStr">
        <is>
          <t>High</t>
        </is>
      </c>
      <c r="M6067" t="inlineStr">
        <is>
          <t>LLM</t>
        </is>
      </c>
      <c r="N6067" t="inlineStr">
        <is>
          <t>2026-04-19</t>
        </is>
      </c>
      <c r="O6067" t="inlineStr">
        <is>
          <t>AI</t>
        </is>
      </c>
    </row>
    <row r="6068">
      <c r="A6068" t="inlineStr">
        <is>
          <t>PT Teladan Prima Agro Tbk</t>
        </is>
      </c>
      <c r="B6068" t="inlineStr">
        <is>
          <t>TLDN_2025_AR.pdf</t>
        </is>
      </c>
      <c r="C6068" t="n">
        <v>2025</v>
      </c>
      <c r="D6068" t="inlineStr">
        <is>
          <t>Financial</t>
        </is>
      </c>
      <c r="E6068" t="inlineStr">
        <is>
          <t>CFO</t>
        </is>
      </c>
      <c r="F6068" t="n">
        <v>1544</v>
      </c>
      <c r="G6068" t="inlineStr">
        <is>
          <t>IDR bn</t>
        </is>
      </c>
      <c r="H6068" t="n">
        <v>14</v>
      </c>
      <c r="I6068" t="inlineStr">
        <is>
          <t>Arus Kas Bersih yang Diperoleh dari Aktivitas Operasi 1.544.117 1.140.257 1.313.646</t>
        </is>
      </c>
      <c r="J6068" t="inlineStr">
        <is>
          <t>High</t>
        </is>
      </c>
      <c r="M6068" t="inlineStr">
        <is>
          <t>LLM</t>
        </is>
      </c>
      <c r="N6068" t="inlineStr">
        <is>
          <t>2026-04-19</t>
        </is>
      </c>
      <c r="O6068" t="inlineStr">
        <is>
          <t>AI</t>
        </is>
      </c>
    </row>
    <row r="6069">
      <c r="A6069" t="inlineStr">
        <is>
          <t>PT Teladan Prima Agro Tbk</t>
        </is>
      </c>
      <c r="B6069" t="inlineStr">
        <is>
          <t>TLDN_2025_AR.pdf</t>
        </is>
      </c>
      <c r="C6069" t="n">
        <v>2025</v>
      </c>
      <c r="D6069" t="inlineStr">
        <is>
          <t>Financial</t>
        </is>
      </c>
      <c r="E6069" t="inlineStr">
        <is>
          <t>CFI</t>
        </is>
      </c>
      <c r="F6069" t="n">
        <v>-515</v>
      </c>
      <c r="G6069" t="inlineStr">
        <is>
          <t>IDR bn</t>
        </is>
      </c>
      <c r="H6069" t="n">
        <v>14</v>
      </c>
      <c r="I6069" t="inlineStr">
        <is>
          <t>Arus Kas Bersih yang Digunakan untuk Aktivitas Investasi (515.487) (415.471) (410.091)</t>
        </is>
      </c>
      <c r="J6069" t="inlineStr">
        <is>
          <t>High</t>
        </is>
      </c>
      <c r="M6069" t="inlineStr">
        <is>
          <t>LLM</t>
        </is>
      </c>
      <c r="N6069" t="inlineStr">
        <is>
          <t>2026-04-19</t>
        </is>
      </c>
      <c r="O6069" t="inlineStr">
        <is>
          <t>AI</t>
        </is>
      </c>
    </row>
    <row r="6070">
      <c r="A6070" t="inlineStr">
        <is>
          <t>PT Teladan Prima Agro Tbk</t>
        </is>
      </c>
      <c r="B6070" t="inlineStr">
        <is>
          <t>TLDN_2025_AR.pdf</t>
        </is>
      </c>
      <c r="C6070" t="n">
        <v>2025</v>
      </c>
      <c r="D6070" t="inlineStr">
        <is>
          <t>Financial</t>
        </is>
      </c>
      <c r="E6070" t="inlineStr">
        <is>
          <t>CFF</t>
        </is>
      </c>
      <c r="F6070" t="n">
        <v>-1181</v>
      </c>
      <c r="G6070" t="inlineStr">
        <is>
          <t>IDR bn</t>
        </is>
      </c>
      <c r="H6070" t="n">
        <v>14</v>
      </c>
      <c r="I6070" t="inlineStr">
        <is>
          <t>Arus Kas Bersih yang Digunakan untuk Aktivitas Pendanaan (1.180.867) (821.536) (907.798)</t>
        </is>
      </c>
      <c r="J6070" t="inlineStr">
        <is>
          <t>High</t>
        </is>
      </c>
      <c r="M6070" t="inlineStr">
        <is>
          <t>LLM</t>
        </is>
      </c>
      <c r="N6070" t="inlineStr">
        <is>
          <t>2026-04-19</t>
        </is>
      </c>
      <c r="O6070" t="inlineStr">
        <is>
          <t>AI</t>
        </is>
      </c>
    </row>
    <row r="6071">
      <c r="A6071" t="inlineStr">
        <is>
          <t>PT Teladan Prima Agro Tbk</t>
        </is>
      </c>
      <c r="B6071" t="inlineStr">
        <is>
          <t>TLDN_2025_AR.pdf</t>
        </is>
      </c>
      <c r="C6071" t="n">
        <v>2025</v>
      </c>
      <c r="D6071" t="inlineStr">
        <is>
          <t>Financial</t>
        </is>
      </c>
      <c r="E6071" t="inlineStr">
        <is>
          <t>Capex Realization (Total)</t>
        </is>
      </c>
      <c r="F6071" t="n">
        <v>596</v>
      </c>
      <c r="G6071" t="inlineStr">
        <is>
          <t>IDR bn</t>
        </is>
      </c>
      <c r="H6071" t="n">
        <v>102</v>
      </c>
      <c r="I6071" t="inlineStr">
        <is>
          <t>Total 595.596 401.708 (million Rp). Mature Plants 478.890; Tanah 87.990; Bangunan dan Prasarana 18.934; etc.</t>
        </is>
      </c>
      <c r="J6071" t="inlineStr">
        <is>
          <t>High</t>
        </is>
      </c>
      <c r="M6071" t="inlineStr">
        <is>
          <t>LLM</t>
        </is>
      </c>
      <c r="N6071" t="inlineStr">
        <is>
          <t>2026-04-19</t>
        </is>
      </c>
      <c r="O6071" t="inlineStr">
        <is>
          <t>AI</t>
        </is>
      </c>
    </row>
    <row r="6072">
      <c r="A6072" t="inlineStr">
        <is>
          <t>PT Teladan Prima Agro Tbk</t>
        </is>
      </c>
      <c r="B6072" t="inlineStr">
        <is>
          <t>TLDN_2025_AR.pdf</t>
        </is>
      </c>
      <c r="C6072" t="n">
        <v>2025</v>
      </c>
      <c r="D6072" t="inlineStr">
        <is>
          <t>Financial</t>
        </is>
      </c>
      <c r="E6072" t="inlineStr">
        <is>
          <t>EPS</t>
        </is>
      </c>
      <c r="F6072" t="n">
        <v>85.48</v>
      </c>
      <c r="G6072" t="inlineStr">
        <is>
          <t>Rp/share</t>
        </is>
      </c>
      <c r="H6072" t="n">
        <v>13</v>
      </c>
      <c r="I6072" t="inlineStr">
        <is>
          <t>Laba per Saham Dasar (Angka Penuh) 85,48 63,77 34,90</t>
        </is>
      </c>
      <c r="J6072" t="inlineStr">
        <is>
          <t>High</t>
        </is>
      </c>
      <c r="M6072" t="inlineStr">
        <is>
          <t>LLM</t>
        </is>
      </c>
      <c r="N6072" t="inlineStr">
        <is>
          <t>2026-04-19</t>
        </is>
      </c>
      <c r="O6072" t="inlineStr">
        <is>
          <t>AI</t>
        </is>
      </c>
    </row>
    <row r="6073">
      <c r="A6073" t="inlineStr">
        <is>
          <t>PT Teladan Prima Agro Tbk</t>
        </is>
      </c>
      <c r="B6073" t="inlineStr">
        <is>
          <t>TLDN_2025_AR.pdf</t>
        </is>
      </c>
      <c r="C6073" t="n">
        <v>2025</v>
      </c>
      <c r="D6073" t="inlineStr">
        <is>
          <t>Financial</t>
        </is>
      </c>
      <c r="E6073" t="inlineStr">
        <is>
          <t>Shares Outstanding</t>
        </is>
      </c>
      <c r="F6073" t="n">
        <v>12947</v>
      </c>
      <c r="G6073" t="inlineStr">
        <is>
          <t>mn</t>
        </is>
      </c>
      <c r="H6073" t="n">
        <v>16</v>
      </c>
      <c r="I6073" t="inlineStr">
        <is>
          <t>Total Saham yang Beredar 12.946.530.200</t>
        </is>
      </c>
      <c r="J6073" t="inlineStr">
        <is>
          <t>High</t>
        </is>
      </c>
      <c r="M6073" t="inlineStr">
        <is>
          <t>LLM</t>
        </is>
      </c>
      <c r="N6073" t="inlineStr">
        <is>
          <t>2026-04-19</t>
        </is>
      </c>
      <c r="O6073" t="inlineStr">
        <is>
          <t>AI</t>
        </is>
      </c>
    </row>
    <row r="6074">
      <c r="A6074" t="inlineStr">
        <is>
          <t>PT Teladan Prima Agro Tbk</t>
        </is>
      </c>
      <c r="B6074" t="inlineStr">
        <is>
          <t>TLDN_2025_AR.pdf</t>
        </is>
      </c>
      <c r="C6074" t="n">
        <v>2025</v>
      </c>
      <c r="D6074" t="inlineStr">
        <is>
          <t>Financial</t>
        </is>
      </c>
      <c r="E6074" t="inlineStr">
        <is>
          <t>Closing Price Q4 2025</t>
        </is>
      </c>
      <c r="F6074" t="n">
        <v>700</v>
      </c>
      <c r="G6074" t="inlineStr">
        <is>
          <t>Rp/share</t>
        </is>
      </c>
      <c r="H6074" t="n">
        <v>16</v>
      </c>
      <c r="I6074" t="inlineStr">
        <is>
          <t>Q4 925 660 700 (Harga Penutupan)</t>
        </is>
      </c>
      <c r="J6074" t="inlineStr">
        <is>
          <t>High</t>
        </is>
      </c>
      <c r="M6074" t="inlineStr">
        <is>
          <t>LLM</t>
        </is>
      </c>
      <c r="N6074" t="inlineStr">
        <is>
          <t>2026-04-19</t>
        </is>
      </c>
      <c r="O6074" t="inlineStr">
        <is>
          <t>AI</t>
        </is>
      </c>
    </row>
    <row r="6075">
      <c r="A6075" t="inlineStr">
        <is>
          <t>PT Teladan Prima Agro Tbk</t>
        </is>
      </c>
      <c r="B6075" t="inlineStr">
        <is>
          <t>TLDN_2025_AR.pdf</t>
        </is>
      </c>
      <c r="C6075" t="n">
        <v>2025</v>
      </c>
      <c r="D6075" t="inlineStr">
        <is>
          <t>Financial</t>
        </is>
      </c>
      <c r="E6075" t="inlineStr">
        <is>
          <t>Market Cap (31 Dec 2025)</t>
        </is>
      </c>
      <c r="F6075" t="n">
        <v>9063</v>
      </c>
      <c r="G6075" t="inlineStr">
        <is>
          <t>IDR bn</t>
        </is>
      </c>
      <c r="H6075" t="n">
        <v>16</v>
      </c>
      <c r="I6075" t="inlineStr">
        <is>
          <t>Kapitalisasi Pasar Q4 2025: 9.062.571.140.000</t>
        </is>
      </c>
      <c r="J6075" t="inlineStr">
        <is>
          <t>High</t>
        </is>
      </c>
      <c r="M6075" t="inlineStr">
        <is>
          <t>LLM</t>
        </is>
      </c>
      <c r="N6075" t="inlineStr">
        <is>
          <t>2026-04-19</t>
        </is>
      </c>
      <c r="O6075" t="inlineStr">
        <is>
          <t>AI</t>
        </is>
      </c>
    </row>
    <row r="6076">
      <c r="A6076" t="inlineStr">
        <is>
          <t>PT Teladan Prima Agro Tbk</t>
        </is>
      </c>
      <c r="B6076" t="inlineStr">
        <is>
          <t>TLDN_2025_AR.pdf</t>
        </is>
      </c>
      <c r="C6076" t="n">
        <v>2025</v>
      </c>
      <c r="D6076" t="inlineStr">
        <is>
          <t>Financial</t>
        </is>
      </c>
      <c r="E6076" t="inlineStr">
        <is>
          <t>Current Ratio</t>
        </is>
      </c>
      <c r="F6076" t="n">
        <v>1.1</v>
      </c>
      <c r="G6076" t="inlineStr">
        <is>
          <t>x</t>
        </is>
      </c>
      <c r="H6076" t="n">
        <v>14</v>
      </c>
      <c r="I6076" t="inlineStr">
        <is>
          <t>Rasio Lancar 1,1 1,1 1,0</t>
        </is>
      </c>
      <c r="J6076" t="inlineStr">
        <is>
          <t>High</t>
        </is>
      </c>
      <c r="M6076" t="inlineStr">
        <is>
          <t>LLM</t>
        </is>
      </c>
      <c r="N6076" t="inlineStr">
        <is>
          <t>2026-04-19</t>
        </is>
      </c>
      <c r="O6076" t="inlineStr">
        <is>
          <t>AI</t>
        </is>
      </c>
    </row>
    <row r="6077">
      <c r="A6077" t="inlineStr">
        <is>
          <t>PT Teladan Prima Agro Tbk</t>
        </is>
      </c>
      <c r="B6077" t="inlineStr">
        <is>
          <t>TLDN_2025_AR.pdf</t>
        </is>
      </c>
      <c r="C6077" t="n">
        <v>2025</v>
      </c>
      <c r="D6077" t="inlineStr">
        <is>
          <t>Financial</t>
        </is>
      </c>
      <c r="E6077" t="inlineStr">
        <is>
          <t>Cash Ratio</t>
        </is>
      </c>
      <c r="F6077" t="n">
        <v>0.2</v>
      </c>
      <c r="G6077" t="inlineStr">
        <is>
          <t>x</t>
        </is>
      </c>
      <c r="H6077" t="n">
        <v>14</v>
      </c>
      <c r="I6077" t="inlineStr">
        <is>
          <t>Rasio Kas 0,2 0,3 0,3</t>
        </is>
      </c>
      <c r="J6077" t="inlineStr">
        <is>
          <t>High</t>
        </is>
      </c>
      <c r="M6077" t="inlineStr">
        <is>
          <t>LLM</t>
        </is>
      </c>
      <c r="N6077" t="inlineStr">
        <is>
          <t>2026-04-19</t>
        </is>
      </c>
      <c r="O6077" t="inlineStr">
        <is>
          <t>AI</t>
        </is>
      </c>
    </row>
    <row r="6078">
      <c r="A6078" t="inlineStr">
        <is>
          <t>PT Teladan Prima Agro Tbk</t>
        </is>
      </c>
      <c r="B6078" t="inlineStr">
        <is>
          <t>TLDN_2025_AR.pdf</t>
        </is>
      </c>
      <c r="C6078" t="n">
        <v>2025</v>
      </c>
      <c r="D6078" t="inlineStr">
        <is>
          <t>Financial</t>
        </is>
      </c>
      <c r="E6078" t="inlineStr">
        <is>
          <t>Liabilities-to-Equity Ratio</t>
        </is>
      </c>
      <c r="F6078" t="n">
        <v>0.7</v>
      </c>
      <c r="G6078" t="inlineStr">
        <is>
          <t>x</t>
        </is>
      </c>
      <c r="H6078" t="n">
        <v>14</v>
      </c>
      <c r="I6078" t="inlineStr">
        <is>
          <t>Rasio Liabilitas terhadap Ekuitas 0,7 0,8 1,2</t>
        </is>
      </c>
      <c r="J6078" t="inlineStr">
        <is>
          <t>High</t>
        </is>
      </c>
      <c r="M6078" t="inlineStr">
        <is>
          <t>LLM</t>
        </is>
      </c>
      <c r="N6078" t="inlineStr">
        <is>
          <t>2026-04-19</t>
        </is>
      </c>
      <c r="O6078" t="inlineStr">
        <is>
          <t>AI</t>
        </is>
      </c>
    </row>
    <row r="6079">
      <c r="A6079" t="inlineStr">
        <is>
          <t>PT Teladan Prima Agro Tbk</t>
        </is>
      </c>
      <c r="B6079" t="inlineStr">
        <is>
          <t>TLDN_2025_AR.pdf</t>
        </is>
      </c>
      <c r="C6079" t="n">
        <v>2025</v>
      </c>
      <c r="D6079" t="inlineStr">
        <is>
          <t>Financial</t>
        </is>
      </c>
      <c r="E6079" t="inlineStr">
        <is>
          <t>Bank Debt to Equity</t>
        </is>
      </c>
      <c r="F6079" t="n">
        <v>0.23</v>
      </c>
      <c r="G6079" t="inlineStr">
        <is>
          <t>x</t>
        </is>
      </c>
      <c r="H6079" t="n">
        <v>101</v>
      </c>
      <c r="I6079" t="inlineStr">
        <is>
          <t>rasio utang bank terhadap ekuitas mengalami peningkatan menjadi 0,23 kali, dibandingkan dengan 0,19 kali pada tahun sebelumnya</t>
        </is>
      </c>
      <c r="J6079" t="inlineStr">
        <is>
          <t>High</t>
        </is>
      </c>
      <c r="M6079" t="inlineStr">
        <is>
          <t>LLM</t>
        </is>
      </c>
      <c r="N6079" t="inlineStr">
        <is>
          <t>2026-04-19</t>
        </is>
      </c>
      <c r="O6079" t="inlineStr">
        <is>
          <t>AI</t>
        </is>
      </c>
    </row>
    <row r="6080">
      <c r="A6080" t="inlineStr">
        <is>
          <t>PT Teladan Prima Agro Tbk</t>
        </is>
      </c>
      <c r="B6080" t="inlineStr">
        <is>
          <t>TLDN_2025_AR.pdf</t>
        </is>
      </c>
      <c r="C6080" t="n">
        <v>2025</v>
      </c>
      <c r="D6080" t="inlineStr">
        <is>
          <t>Financial</t>
        </is>
      </c>
      <c r="E6080" t="inlineStr">
        <is>
          <t>Gross Profit Margin</t>
        </is>
      </c>
      <c r="F6080" t="n">
        <v>0.344</v>
      </c>
      <c r="G6080" t="inlineStr">
        <is>
          <t>%</t>
        </is>
      </c>
      <c r="H6080" t="n">
        <v>14</v>
      </c>
      <c r="I6080" t="inlineStr">
        <is>
          <t>Margin Laba Kotor 34,4 34,6 26,7</t>
        </is>
      </c>
      <c r="J6080" t="inlineStr">
        <is>
          <t>High</t>
        </is>
      </c>
      <c r="M6080" t="inlineStr">
        <is>
          <t>LLM</t>
        </is>
      </c>
      <c r="N6080" t="inlineStr">
        <is>
          <t>2026-04-19</t>
        </is>
      </c>
      <c r="O6080" t="inlineStr">
        <is>
          <t>AI</t>
        </is>
      </c>
    </row>
    <row r="6081">
      <c r="A6081" t="inlineStr">
        <is>
          <t>PT Teladan Prima Agro Tbk</t>
        </is>
      </c>
      <c r="B6081" t="inlineStr">
        <is>
          <t>TLDN_2025_AR.pdf</t>
        </is>
      </c>
      <c r="C6081" t="n">
        <v>2025</v>
      </c>
      <c r="D6081" t="inlineStr">
        <is>
          <t>Financial</t>
        </is>
      </c>
      <c r="E6081" t="inlineStr">
        <is>
          <t>Operating Profit Margin</t>
        </is>
      </c>
      <c r="F6081" t="n">
        <v>0.231</v>
      </c>
      <c r="G6081" t="inlineStr">
        <is>
          <t>%</t>
        </is>
      </c>
      <c r="H6081" t="n">
        <v>14</v>
      </c>
      <c r="I6081" t="inlineStr">
        <is>
          <t>Margin Laba Usaha 23,1 26,4 17,7</t>
        </is>
      </c>
      <c r="J6081" t="inlineStr">
        <is>
          <t>High</t>
        </is>
      </c>
      <c r="M6081" t="inlineStr">
        <is>
          <t>LLM</t>
        </is>
      </c>
      <c r="N6081" t="inlineStr">
        <is>
          <t>2026-04-19</t>
        </is>
      </c>
      <c r="O6081" t="inlineStr">
        <is>
          <t>AI</t>
        </is>
      </c>
    </row>
    <row r="6082">
      <c r="A6082" t="inlineStr">
        <is>
          <t>PT Teladan Prima Agro Tbk</t>
        </is>
      </c>
      <c r="B6082" t="inlineStr">
        <is>
          <t>TLDN_2025_AR.pdf</t>
        </is>
      </c>
      <c r="C6082" t="n">
        <v>2025</v>
      </c>
      <c r="D6082" t="inlineStr">
        <is>
          <t>Financial</t>
        </is>
      </c>
      <c r="E6082" t="inlineStr">
        <is>
          <t>Net Profit Margin</t>
        </is>
      </c>
      <c r="F6082" t="n">
        <v>0.204</v>
      </c>
      <c r="G6082" t="inlineStr">
        <is>
          <t>%</t>
        </is>
      </c>
      <c r="H6082" t="n">
        <v>14</v>
      </c>
      <c r="I6082" t="inlineStr">
        <is>
          <t>Margin Laba Bersih 20,4 19,6 11,3</t>
        </is>
      </c>
      <c r="J6082" t="inlineStr">
        <is>
          <t>High</t>
        </is>
      </c>
      <c r="M6082" t="inlineStr">
        <is>
          <t>LLM</t>
        </is>
      </c>
      <c r="N6082" t="inlineStr">
        <is>
          <t>2026-04-19</t>
        </is>
      </c>
      <c r="O6082" t="inlineStr">
        <is>
          <t>AI</t>
        </is>
      </c>
    </row>
    <row r="6083">
      <c r="A6083" t="inlineStr">
        <is>
          <t>PT Teladan Prima Agro Tbk</t>
        </is>
      </c>
      <c r="B6083" t="inlineStr">
        <is>
          <t>TLDN_2025_AR.pdf</t>
        </is>
      </c>
      <c r="C6083" t="n">
        <v>2025</v>
      </c>
      <c r="D6083" t="inlineStr">
        <is>
          <t>Financial</t>
        </is>
      </c>
      <c r="E6083" t="inlineStr">
        <is>
          <t>Return on Equity</t>
        </is>
      </c>
      <c r="F6083" t="n">
        <v>0.304</v>
      </c>
      <c r="G6083" t="inlineStr">
        <is>
          <t>%</t>
        </is>
      </c>
      <c r="H6083" t="n">
        <v>14</v>
      </c>
      <c r="I6083" t="inlineStr">
        <is>
          <t>Imbal Hasil atas Ekuitas 30,4 26,3 18,4</t>
        </is>
      </c>
      <c r="J6083" t="inlineStr">
        <is>
          <t>High</t>
        </is>
      </c>
      <c r="M6083" t="inlineStr">
        <is>
          <t>LLM</t>
        </is>
      </c>
      <c r="N6083" t="inlineStr">
        <is>
          <t>2026-04-19</t>
        </is>
      </c>
      <c r="O6083" t="inlineStr">
        <is>
          <t>AI</t>
        </is>
      </c>
    </row>
    <row r="6084">
      <c r="A6084" t="inlineStr">
        <is>
          <t>PT Teladan Prima Agro Tbk</t>
        </is>
      </c>
      <c r="B6084" t="inlineStr">
        <is>
          <t>TLDN_2025_AR.pdf</t>
        </is>
      </c>
      <c r="C6084" t="n">
        <v>2025</v>
      </c>
      <c r="D6084" t="inlineStr">
        <is>
          <t>Financial</t>
        </is>
      </c>
      <c r="E6084" t="inlineStr">
        <is>
          <t>Return on Assets</t>
        </is>
      </c>
      <c r="F6084" t="n">
        <v>0.184</v>
      </c>
      <c r="G6084" t="inlineStr">
        <is>
          <t>%</t>
        </is>
      </c>
      <c r="H6084" t="n">
        <v>14</v>
      </c>
      <c r="I6084" t="inlineStr">
        <is>
          <t>Imbal Hasil atas Aset 18,4 14,6 8,3</t>
        </is>
      </c>
      <c r="J6084" t="inlineStr">
        <is>
          <t>High</t>
        </is>
      </c>
      <c r="M6084" t="inlineStr">
        <is>
          <t>LLM</t>
        </is>
      </c>
      <c r="N6084" t="inlineStr">
        <is>
          <t>2026-04-19</t>
        </is>
      </c>
      <c r="O6084" t="inlineStr">
        <is>
          <t>AI</t>
        </is>
      </c>
    </row>
    <row r="6085">
      <c r="A6085" t="inlineStr">
        <is>
          <t>PT Teladan Prima Agro Tbk</t>
        </is>
      </c>
      <c r="B6085" t="inlineStr">
        <is>
          <t>TLDN_2025_AR.pdf</t>
        </is>
      </c>
      <c r="C6085" t="n">
        <v>2025</v>
      </c>
      <c r="D6085" t="inlineStr">
        <is>
          <t>Financial</t>
        </is>
      </c>
      <c r="E6085" t="inlineStr">
        <is>
          <t>Final DPS (from FY2024)</t>
        </is>
      </c>
      <c r="F6085" t="n">
        <v>31</v>
      </c>
      <c r="G6085" t="inlineStr">
        <is>
          <t>Rp/share</t>
        </is>
      </c>
      <c r="H6085" t="n">
        <v>107</v>
      </c>
      <c r="I6085" t="inlineStr">
        <is>
          <t>2024 Final 31 401.342.436.200 48,6% - paid 24 April/15 May 2025</t>
        </is>
      </c>
      <c r="J6085" t="inlineStr">
        <is>
          <t>High</t>
        </is>
      </c>
      <c r="M6085" t="inlineStr">
        <is>
          <t>LLM</t>
        </is>
      </c>
      <c r="N6085" t="inlineStr">
        <is>
          <t>2026-04-19</t>
        </is>
      </c>
      <c r="O6085" t="inlineStr">
        <is>
          <t>AI</t>
        </is>
      </c>
    </row>
    <row r="6086">
      <c r="A6086" t="inlineStr">
        <is>
          <t>PT Teladan Prima Agro Tbk</t>
        </is>
      </c>
      <c r="B6086" t="inlineStr">
        <is>
          <t>TLDN_2025_AR.pdf</t>
        </is>
      </c>
      <c r="C6086" t="n">
        <v>2025</v>
      </c>
      <c r="D6086" t="inlineStr">
        <is>
          <t>Financial</t>
        </is>
      </c>
      <c r="E6086" t="inlineStr">
        <is>
          <t>Interim DPS (FY2025)</t>
        </is>
      </c>
      <c r="F6086" t="n">
        <v>15.5</v>
      </c>
      <c r="G6086" t="inlineStr">
        <is>
          <t>Rp/share</t>
        </is>
      </c>
      <c r="H6086" t="n">
        <v>107</v>
      </c>
      <c r="I6086" t="inlineStr">
        <is>
          <t>2025 Interim 15,5 200.671.218.100 18,1% - 3 Oktober/23 Oktober 2025</t>
        </is>
      </c>
      <c r="J6086" t="inlineStr">
        <is>
          <t>High</t>
        </is>
      </c>
      <c r="M6086" t="inlineStr">
        <is>
          <t>LLM</t>
        </is>
      </c>
      <c r="N6086" t="inlineStr">
        <is>
          <t>2026-04-19</t>
        </is>
      </c>
      <c r="O6086" t="inlineStr">
        <is>
          <t>AI</t>
        </is>
      </c>
    </row>
    <row r="6087">
      <c r="A6087" t="inlineStr">
        <is>
          <t>PT Teladan Prima Agro Tbk</t>
        </is>
      </c>
      <c r="B6087" t="inlineStr">
        <is>
          <t>TLDN_2025_AR.pdf</t>
        </is>
      </c>
      <c r="C6087" t="n">
        <v>2025</v>
      </c>
      <c r="D6087" t="inlineStr">
        <is>
          <t>Asset</t>
        </is>
      </c>
      <c r="E6087" t="inlineStr">
        <is>
          <t>Total Planted Area</t>
        </is>
      </c>
      <c r="F6087" t="n">
        <v>64430</v>
      </c>
      <c r="G6087" t="inlineStr">
        <is>
          <t>ha</t>
        </is>
      </c>
      <c r="H6087" t="n">
        <v>55</v>
      </c>
      <c r="I6087" t="inlineStr">
        <is>
          <t>Perseroan memiliki total area perkebunan kelapa sawit seluas 64.430 Ha, yang terdiri dari 51.960 Ha perkebunan inti dan 12.470 Ha perkebunan plasma</t>
        </is>
      </c>
      <c r="J6087" t="inlineStr">
        <is>
          <t>High</t>
        </is>
      </c>
      <c r="M6087" t="inlineStr">
        <is>
          <t>LLM</t>
        </is>
      </c>
      <c r="N6087" t="inlineStr">
        <is>
          <t>2026-04-19</t>
        </is>
      </c>
      <c r="O6087" t="inlineStr">
        <is>
          <t>AI</t>
        </is>
      </c>
    </row>
    <row r="6088">
      <c r="A6088" t="inlineStr">
        <is>
          <t>PT Teladan Prima Agro Tbk</t>
        </is>
      </c>
      <c r="B6088" t="inlineStr">
        <is>
          <t>TLDN_2025_AR.pdf</t>
        </is>
      </c>
      <c r="C6088" t="n">
        <v>2025</v>
      </c>
      <c r="D6088" t="inlineStr">
        <is>
          <t>Asset</t>
        </is>
      </c>
      <c r="E6088" t="inlineStr">
        <is>
          <t>Nucleus Area</t>
        </is>
      </c>
      <c r="F6088" t="n">
        <v>51960</v>
      </c>
      <c r="G6088" t="inlineStr">
        <is>
          <t>ha</t>
        </is>
      </c>
      <c r="H6088" t="n">
        <v>12</v>
      </c>
      <c r="I6088" t="inlineStr">
        <is>
          <t>Total 51.960 48.542 48.524 - Nucleus</t>
        </is>
      </c>
      <c r="J6088" t="inlineStr">
        <is>
          <t>High</t>
        </is>
      </c>
      <c r="M6088" t="inlineStr">
        <is>
          <t>LLM</t>
        </is>
      </c>
      <c r="N6088" t="inlineStr">
        <is>
          <t>2026-04-19</t>
        </is>
      </c>
      <c r="O6088" t="inlineStr">
        <is>
          <t>AI</t>
        </is>
      </c>
    </row>
    <row r="6089">
      <c r="A6089" t="inlineStr">
        <is>
          <t>PT Teladan Prima Agro Tbk</t>
        </is>
      </c>
      <c r="B6089" t="inlineStr">
        <is>
          <t>TLDN_2025_AR.pdf</t>
        </is>
      </c>
      <c r="C6089" t="n">
        <v>2025</v>
      </c>
      <c r="D6089" t="inlineStr">
        <is>
          <t>Asset</t>
        </is>
      </c>
      <c r="E6089" t="inlineStr">
        <is>
          <t>Plasma Area</t>
        </is>
      </c>
      <c r="F6089" t="n">
        <v>12470</v>
      </c>
      <c r="G6089" t="inlineStr">
        <is>
          <t>ha</t>
        </is>
      </c>
      <c r="H6089" t="n">
        <v>12</v>
      </c>
      <c r="I6089" t="inlineStr">
        <is>
          <t>Total 12.470 11.973 11.973 - Plasma</t>
        </is>
      </c>
      <c r="J6089" t="inlineStr">
        <is>
          <t>High</t>
        </is>
      </c>
      <c r="M6089" t="inlineStr">
        <is>
          <t>LLM</t>
        </is>
      </c>
      <c r="N6089" t="inlineStr">
        <is>
          <t>2026-04-19</t>
        </is>
      </c>
      <c r="O6089" t="inlineStr">
        <is>
          <t>AI</t>
        </is>
      </c>
    </row>
    <row r="6090">
      <c r="A6090" t="inlineStr">
        <is>
          <t>PT Teladan Prima Agro Tbk</t>
        </is>
      </c>
      <c r="B6090" t="inlineStr">
        <is>
          <t>TLDN_2025_AR.pdf</t>
        </is>
      </c>
      <c r="C6090" t="n">
        <v>2025</v>
      </c>
      <c r="D6090" t="inlineStr">
        <is>
          <t>Asset</t>
        </is>
      </c>
      <c r="E6090" t="inlineStr">
        <is>
          <t>Nucleus Avg Tree Age</t>
        </is>
      </c>
      <c r="F6090" t="n">
        <v>16.1</v>
      </c>
      <c r="G6090" t="inlineStr">
        <is>
          <t>years</t>
        </is>
      </c>
      <c r="H6090" t="n">
        <v>12</v>
      </c>
      <c r="I6090" t="inlineStr">
        <is>
          <t>Rata-Rata Usia (Tahun) 16,1 15,5 14,5 - Nucleus</t>
        </is>
      </c>
      <c r="J6090" t="inlineStr">
        <is>
          <t>High</t>
        </is>
      </c>
      <c r="M6090" t="inlineStr">
        <is>
          <t>LLM</t>
        </is>
      </c>
      <c r="N6090" t="inlineStr">
        <is>
          <t>2026-04-19</t>
        </is>
      </c>
      <c r="O6090" t="inlineStr">
        <is>
          <t>AI</t>
        </is>
      </c>
    </row>
    <row r="6091">
      <c r="A6091" t="inlineStr">
        <is>
          <t>PT Teladan Prima Agro Tbk</t>
        </is>
      </c>
      <c r="B6091" t="inlineStr">
        <is>
          <t>TLDN_2025_AR.pdf</t>
        </is>
      </c>
      <c r="C6091" t="n">
        <v>2025</v>
      </c>
      <c r="D6091" t="inlineStr">
        <is>
          <t>Asset</t>
        </is>
      </c>
      <c r="E6091" t="inlineStr">
        <is>
          <t>Plasma Avg Tree Age</t>
        </is>
      </c>
      <c r="F6091" t="n">
        <v>14.3</v>
      </c>
      <c r="G6091" t="inlineStr">
        <is>
          <t>years</t>
        </is>
      </c>
      <c r="H6091" t="n">
        <v>12</v>
      </c>
      <c r="I6091" t="inlineStr">
        <is>
          <t>Rata-Rata Usia (Tahun) 14,3 13,5 12,5 - Plasma</t>
        </is>
      </c>
      <c r="J6091" t="inlineStr">
        <is>
          <t>High</t>
        </is>
      </c>
      <c r="M6091" t="inlineStr">
        <is>
          <t>LLM</t>
        </is>
      </c>
      <c r="N6091" t="inlineStr">
        <is>
          <t>2026-04-19</t>
        </is>
      </c>
      <c r="O6091" t="inlineStr">
        <is>
          <t>AI</t>
        </is>
      </c>
    </row>
    <row r="6092">
      <c r="A6092" t="inlineStr">
        <is>
          <t>PT Teladan Prima Agro Tbk</t>
        </is>
      </c>
      <c r="B6092" t="inlineStr">
        <is>
          <t>TLDN_2025_AR.pdf</t>
        </is>
      </c>
      <c r="C6092" t="n">
        <v>2025</v>
      </c>
      <c r="D6092" t="inlineStr">
        <is>
          <t>Asset</t>
        </is>
      </c>
      <c r="E6092" t="inlineStr">
        <is>
          <t>Nucleus 8-20 Yr Area</t>
        </is>
      </c>
      <c r="F6092" t="n">
        <v>51127</v>
      </c>
      <c r="G6092" t="inlineStr">
        <is>
          <t>ha</t>
        </is>
      </c>
      <c r="H6092" t="n">
        <v>12</v>
      </c>
      <c r="I6092" t="inlineStr">
        <is>
          <t>8-20 Tahun 51.127 47.416 47.383 - Nucleus</t>
        </is>
      </c>
      <c r="J6092" t="inlineStr">
        <is>
          <t>High</t>
        </is>
      </c>
      <c r="M6092" t="inlineStr">
        <is>
          <t>LLM</t>
        </is>
      </c>
      <c r="N6092" t="inlineStr">
        <is>
          <t>2026-04-19</t>
        </is>
      </c>
      <c r="O6092" t="inlineStr">
        <is>
          <t>AI</t>
        </is>
      </c>
    </row>
    <row r="6093">
      <c r="A6093" t="inlineStr">
        <is>
          <t>PT Teladan Prima Agro Tbk</t>
        </is>
      </c>
      <c r="B6093" t="inlineStr">
        <is>
          <t>TLDN_2025_AR.pdf</t>
        </is>
      </c>
      <c r="C6093" t="n">
        <v>2025</v>
      </c>
      <c r="D6093" t="inlineStr">
        <is>
          <t>Asset</t>
        </is>
      </c>
      <c r="E6093" t="inlineStr">
        <is>
          <t>Palm Oil Mill Count</t>
        </is>
      </c>
      <c r="F6093" t="n">
        <v>6</v>
      </c>
      <c r="G6093" t="inlineStr">
        <is>
          <t>count</t>
        </is>
      </c>
      <c r="H6093" t="n">
        <v>89</v>
      </c>
      <c r="I6093" t="inlineStr">
        <is>
          <t>mengoperasikan 6 unit pabrik kelapa sawit (PKS) dengan total kapasitas olah sebesar 335 ton TBS per jam</t>
        </is>
      </c>
      <c r="J6093" t="inlineStr">
        <is>
          <t>High</t>
        </is>
      </c>
      <c r="M6093" t="inlineStr">
        <is>
          <t>LLM</t>
        </is>
      </c>
      <c r="N6093" t="inlineStr">
        <is>
          <t>2026-04-19</t>
        </is>
      </c>
      <c r="O6093" t="inlineStr">
        <is>
          <t>AI</t>
        </is>
      </c>
    </row>
    <row r="6094">
      <c r="A6094" t="inlineStr">
        <is>
          <t>PT Teladan Prima Agro Tbk</t>
        </is>
      </c>
      <c r="B6094" t="inlineStr">
        <is>
          <t>TLDN_2025_AR.pdf</t>
        </is>
      </c>
      <c r="C6094" t="n">
        <v>2025</v>
      </c>
      <c r="D6094" t="inlineStr">
        <is>
          <t>Asset</t>
        </is>
      </c>
      <c r="E6094" t="inlineStr">
        <is>
          <t>Total Mill Capacity</t>
        </is>
      </c>
      <c r="F6094" t="n">
        <v>335</v>
      </c>
      <c r="G6094" t="inlineStr">
        <is>
          <t>t FFB/hr</t>
        </is>
      </c>
      <c r="H6094" t="n">
        <v>89</v>
      </c>
      <c r="I6094" t="inlineStr">
        <is>
          <t>total kapasitas olah sebesar 335 ton TBS per jam</t>
        </is>
      </c>
      <c r="J6094" t="inlineStr">
        <is>
          <t>High</t>
        </is>
      </c>
      <c r="M6094" t="inlineStr">
        <is>
          <t>LLM</t>
        </is>
      </c>
      <c r="N6094" t="inlineStr">
        <is>
          <t>2026-04-19</t>
        </is>
      </c>
      <c r="O6094" t="inlineStr">
        <is>
          <t>AI</t>
        </is>
      </c>
    </row>
    <row r="6095">
      <c r="A6095" t="inlineStr">
        <is>
          <t>PT Teladan Prima Agro Tbk</t>
        </is>
      </c>
      <c r="B6095" t="inlineStr">
        <is>
          <t>TLDN_2025_AR.pdf</t>
        </is>
      </c>
      <c r="C6095" t="n">
        <v>2025</v>
      </c>
      <c r="D6095" t="inlineStr">
        <is>
          <t>Asset</t>
        </is>
      </c>
      <c r="E6095" t="inlineStr">
        <is>
          <t>Kernel Crushing Plant Count</t>
        </is>
      </c>
      <c r="F6095" t="n">
        <v>1</v>
      </c>
      <c r="G6095" t="inlineStr">
        <is>
          <t>count</t>
        </is>
      </c>
      <c r="H6095" t="n">
        <v>89</v>
      </c>
      <c r="I6095" t="inlineStr">
        <is>
          <t>1 unit pabrik pengolahan inti sawit dengan kapasitas produksi mencapai 100 ton inti sawit per hari</t>
        </is>
      </c>
      <c r="J6095" t="inlineStr">
        <is>
          <t>High</t>
        </is>
      </c>
      <c r="M6095" t="inlineStr">
        <is>
          <t>LLM</t>
        </is>
      </c>
      <c r="N6095" t="inlineStr">
        <is>
          <t>2026-04-19</t>
        </is>
      </c>
      <c r="O6095" t="inlineStr">
        <is>
          <t>AI</t>
        </is>
      </c>
    </row>
    <row r="6096">
      <c r="A6096" t="inlineStr">
        <is>
          <t>PT Teladan Prima Agro Tbk</t>
        </is>
      </c>
      <c r="B6096" t="inlineStr">
        <is>
          <t>TLDN_2025_AR.pdf</t>
        </is>
      </c>
      <c r="C6096" t="n">
        <v>2025</v>
      </c>
      <c r="D6096" t="inlineStr">
        <is>
          <t>Asset</t>
        </is>
      </c>
      <c r="E6096" t="inlineStr">
        <is>
          <t>KCP Capacity</t>
        </is>
      </c>
      <c r="F6096" t="n">
        <v>100</v>
      </c>
      <c r="G6096" t="inlineStr">
        <is>
          <t>t PK/day</t>
        </is>
      </c>
      <c r="H6096" t="n">
        <v>89</v>
      </c>
      <c r="I6096" t="inlineStr">
        <is>
          <t>kapasitas produksi mencapai 100 ton inti sawit per hari</t>
        </is>
      </c>
      <c r="J6096" t="inlineStr">
        <is>
          <t>High</t>
        </is>
      </c>
      <c r="M6096" t="inlineStr">
        <is>
          <t>LLM</t>
        </is>
      </c>
      <c r="N6096" t="inlineStr">
        <is>
          <t>2026-04-19</t>
        </is>
      </c>
      <c r="O6096" t="inlineStr">
        <is>
          <t>AI</t>
        </is>
      </c>
    </row>
    <row r="6097">
      <c r="A6097" t="inlineStr">
        <is>
          <t>PT Teladan Prima Agro Tbk</t>
        </is>
      </c>
      <c r="B6097" t="inlineStr">
        <is>
          <t>TLDN_2025_AR.pdf</t>
        </is>
      </c>
      <c r="C6097" t="n">
        <v>2025</v>
      </c>
      <c r="D6097" t="inlineStr">
        <is>
          <t>Asset</t>
        </is>
      </c>
      <c r="E6097" t="inlineStr">
        <is>
          <t>Storage Tank Capacity</t>
        </is>
      </c>
      <c r="F6097" t="n">
        <v>43500</v>
      </c>
      <c r="G6097" t="inlineStr">
        <is>
          <t>tons</t>
        </is>
      </c>
      <c r="H6097" t="n">
        <v>55</v>
      </c>
      <c r="I6097" t="inlineStr">
        <is>
          <t>18 tangki penyimpanan berkapasitas total 43.500 ton</t>
        </is>
      </c>
      <c r="J6097" t="inlineStr">
        <is>
          <t>High</t>
        </is>
      </c>
      <c r="M6097" t="inlineStr">
        <is>
          <t>LLM</t>
        </is>
      </c>
      <c r="N6097" t="inlineStr">
        <is>
          <t>2026-04-19</t>
        </is>
      </c>
      <c r="O6097" t="inlineStr">
        <is>
          <t>AI</t>
        </is>
      </c>
    </row>
    <row r="6098">
      <c r="A6098" t="inlineStr">
        <is>
          <t>PT Teladan Prima Agro Tbk</t>
        </is>
      </c>
      <c r="B6098" t="inlineStr">
        <is>
          <t>TLDN_2025_AR.pdf</t>
        </is>
      </c>
      <c r="C6098" t="n">
        <v>2025</v>
      </c>
      <c r="D6098" t="inlineStr">
        <is>
          <t>Asset</t>
        </is>
      </c>
      <c r="E6098" t="inlineStr">
        <is>
          <t>Berau Area</t>
        </is>
      </c>
      <c r="F6098" t="n">
        <v>12400</v>
      </c>
      <c r="G6098" t="inlineStr">
        <is>
          <t>ha</t>
        </is>
      </c>
      <c r="H6098" t="n">
        <v>55</v>
      </c>
      <c r="I6098" t="inlineStr">
        <is>
          <t>Kabupaten Berau 12.400 Ha | 2 Pabrik / Mills (PT Tanjung Buyu Perkasa Plantation, PT Inti Energi Kaltim)</t>
        </is>
      </c>
      <c r="J6098" t="inlineStr">
        <is>
          <t>High</t>
        </is>
      </c>
      <c r="M6098" t="inlineStr">
        <is>
          <t>LLM</t>
        </is>
      </c>
      <c r="N6098" t="inlineStr">
        <is>
          <t>2026-04-19</t>
        </is>
      </c>
      <c r="O6098" t="inlineStr">
        <is>
          <t>AI</t>
        </is>
      </c>
    </row>
    <row r="6099">
      <c r="A6099" t="inlineStr">
        <is>
          <t>PT Teladan Prima Agro Tbk</t>
        </is>
      </c>
      <c r="B6099" t="inlineStr">
        <is>
          <t>TLDN_2025_AR.pdf</t>
        </is>
      </c>
      <c r="C6099" t="n">
        <v>2025</v>
      </c>
      <c r="D6099" t="inlineStr">
        <is>
          <t>Asset</t>
        </is>
      </c>
      <c r="E6099" t="inlineStr">
        <is>
          <t>Kutai Timur Area</t>
        </is>
      </c>
      <c r="F6099" t="n">
        <v>39300</v>
      </c>
      <c r="G6099" t="inlineStr">
        <is>
          <t>ha</t>
        </is>
      </c>
      <c r="H6099" t="n">
        <v>55</v>
      </c>
      <c r="I6099" t="inlineStr">
        <is>
          <t>Kabupaten Kutai Timur 39.300 Ha | 5 Pabrik / Mills (includes PT Cipta Davia Mandiri newly acquired)</t>
        </is>
      </c>
      <c r="J6099" t="inlineStr">
        <is>
          <t>High</t>
        </is>
      </c>
      <c r="M6099" t="inlineStr">
        <is>
          <t>LLM</t>
        </is>
      </c>
      <c r="N6099" t="inlineStr">
        <is>
          <t>2026-04-19</t>
        </is>
      </c>
      <c r="O6099" t="inlineStr">
        <is>
          <t>AI</t>
        </is>
      </c>
    </row>
    <row r="6100">
      <c r="A6100" t="inlineStr">
        <is>
          <t>PT Teladan Prima Agro Tbk</t>
        </is>
      </c>
      <c r="B6100" t="inlineStr">
        <is>
          <t>TLDN_2025_AR.pdf</t>
        </is>
      </c>
      <c r="C6100" t="n">
        <v>2025</v>
      </c>
      <c r="D6100" t="inlineStr">
        <is>
          <t>Asset</t>
        </is>
      </c>
      <c r="E6100" t="inlineStr">
        <is>
          <t>Kutai Kartanegara Area</t>
        </is>
      </c>
      <c r="F6100" t="n">
        <v>6365</v>
      </c>
      <c r="G6100" t="inlineStr">
        <is>
          <t>ha</t>
        </is>
      </c>
      <c r="H6100" t="n">
        <v>53</v>
      </c>
      <c r="I6100" t="inlineStr">
        <is>
          <t>Di Kabupaten Kutai Kartanegara 6.365 Ha (PT Cahaya Anugerah Plantation)</t>
        </is>
      </c>
      <c r="J6100" t="inlineStr">
        <is>
          <t>High</t>
        </is>
      </c>
      <c r="M6100" t="inlineStr">
        <is>
          <t>LLM</t>
        </is>
      </c>
      <c r="N6100" t="inlineStr">
        <is>
          <t>2026-04-19</t>
        </is>
      </c>
      <c r="O6100" t="inlineStr">
        <is>
          <t>AI</t>
        </is>
      </c>
    </row>
    <row r="6101">
      <c r="A6101" t="inlineStr">
        <is>
          <t>PT Teladan Prima Agro Tbk</t>
        </is>
      </c>
      <c r="B6101" t="inlineStr">
        <is>
          <t>TLDN_2025_AR.pdf</t>
        </is>
      </c>
      <c r="C6101" t="n">
        <v>2025</v>
      </c>
      <c r="D6101" t="inlineStr">
        <is>
          <t>Asset</t>
        </is>
      </c>
      <c r="E6101" t="inlineStr">
        <is>
          <t>Paser Area</t>
        </is>
      </c>
      <c r="F6101" t="n">
        <v>6267</v>
      </c>
      <c r="G6101" t="inlineStr">
        <is>
          <t>ha</t>
        </is>
      </c>
      <c r="H6101" t="n">
        <v>53</v>
      </c>
      <c r="I6101" t="inlineStr">
        <is>
          <t>6.267 Ha di Kabupaten Paser (PT Multi Jayantara Abadi)</t>
        </is>
      </c>
      <c r="J6101" t="inlineStr">
        <is>
          <t>High</t>
        </is>
      </c>
      <c r="M6101" t="inlineStr">
        <is>
          <t>LLM</t>
        </is>
      </c>
      <c r="N6101" t="inlineStr">
        <is>
          <t>2026-04-19</t>
        </is>
      </c>
      <c r="O6101" t="inlineStr">
        <is>
          <t>AI</t>
        </is>
      </c>
    </row>
    <row r="6102">
      <c r="A6102" t="inlineStr">
        <is>
          <t>PT Teladan Prima Agro Tbk</t>
        </is>
      </c>
      <c r="B6102" t="inlineStr">
        <is>
          <t>TLDN_2025_AR.pdf</t>
        </is>
      </c>
      <c r="C6102" t="n">
        <v>2025</v>
      </c>
      <c r="D6102" t="inlineStr">
        <is>
          <t>Asset</t>
        </is>
      </c>
      <c r="E6102" t="inlineStr">
        <is>
          <t>CDM Additional Planted Area</t>
        </is>
      </c>
      <c r="F6102" t="n">
        <v>3733</v>
      </c>
      <c r="G6102" t="inlineStr">
        <is>
          <t>ha</t>
        </is>
      </c>
      <c r="I6102" t="inlineStr">
        <is>
          <t>peningkatan luas wilayah kebun sebanyak 3.733 Ha menjadi 64.430 Ha</t>
        </is>
      </c>
      <c r="J6102" t="inlineStr">
        <is>
          <t>High</t>
        </is>
      </c>
      <c r="M6102" t="inlineStr">
        <is>
          <t>LLM</t>
        </is>
      </c>
      <c r="N6102" t="inlineStr">
        <is>
          <t>2026-04-19</t>
        </is>
      </c>
      <c r="O6102" t="inlineStr">
        <is>
          <t>AI</t>
        </is>
      </c>
    </row>
    <row r="6103">
      <c r="A6103" t="inlineStr">
        <is>
          <t>PT Teladan Prima Agro Tbk</t>
        </is>
      </c>
      <c r="B6103" t="inlineStr">
        <is>
          <t>TLDN_2025_AR.pdf</t>
        </is>
      </c>
      <c r="C6103" t="n">
        <v>2025</v>
      </c>
      <c r="D6103" t="inlineStr">
        <is>
          <t>Operation</t>
        </is>
      </c>
      <c r="E6103" t="inlineStr">
        <is>
          <t>FFB Production Total</t>
        </is>
      </c>
      <c r="F6103" t="n">
        <v>1271034</v>
      </c>
      <c r="G6103" t="inlineStr">
        <is>
          <t>t</t>
        </is>
      </c>
      <c r="H6103" t="n">
        <v>12</v>
      </c>
      <c r="I6103" t="inlineStr">
        <is>
          <t>Produksi Tandan Buah Segar (TBS) 1.271.034 1.219.294 1.213.068</t>
        </is>
      </c>
      <c r="J6103" t="inlineStr">
        <is>
          <t>High</t>
        </is>
      </c>
      <c r="M6103" t="inlineStr">
        <is>
          <t>LLM</t>
        </is>
      </c>
      <c r="N6103" t="inlineStr">
        <is>
          <t>2026-04-19</t>
        </is>
      </c>
      <c r="O6103" t="inlineStr">
        <is>
          <t>AI</t>
        </is>
      </c>
    </row>
    <row r="6104">
      <c r="A6104" t="inlineStr">
        <is>
          <t>PT Teladan Prima Agro Tbk</t>
        </is>
      </c>
      <c r="B6104" t="inlineStr">
        <is>
          <t>TLDN_2025_AR.pdf</t>
        </is>
      </c>
      <c r="C6104" t="n">
        <v>2025</v>
      </c>
      <c r="D6104" t="inlineStr">
        <is>
          <t>Operation</t>
        </is>
      </c>
      <c r="E6104" t="inlineStr">
        <is>
          <t>FFB Nucleus</t>
        </is>
      </c>
      <c r="F6104" t="n">
        <v>1109558</v>
      </c>
      <c r="G6104" t="inlineStr">
        <is>
          <t>t</t>
        </is>
      </c>
      <c r="H6104" t="n">
        <v>12</v>
      </c>
      <c r="I6104" t="inlineStr">
        <is>
          <t>Inti 1.109.558 1.071.173 1.068.338</t>
        </is>
      </c>
      <c r="J6104" t="inlineStr">
        <is>
          <t>High</t>
        </is>
      </c>
      <c r="M6104" t="inlineStr">
        <is>
          <t>LLM</t>
        </is>
      </c>
      <c r="N6104" t="inlineStr">
        <is>
          <t>2026-04-19</t>
        </is>
      </c>
      <c r="O6104" t="inlineStr">
        <is>
          <t>AI</t>
        </is>
      </c>
    </row>
    <row r="6105">
      <c r="A6105" t="inlineStr">
        <is>
          <t>PT Teladan Prima Agro Tbk</t>
        </is>
      </c>
      <c r="B6105" t="inlineStr">
        <is>
          <t>TLDN_2025_AR.pdf</t>
        </is>
      </c>
      <c r="C6105" t="n">
        <v>2025</v>
      </c>
      <c r="D6105" t="inlineStr">
        <is>
          <t>Operation</t>
        </is>
      </c>
      <c r="E6105" t="inlineStr">
        <is>
          <t>FFB Plasma</t>
        </is>
      </c>
      <c r="F6105" t="n">
        <v>161476</v>
      </c>
      <c r="G6105" t="inlineStr">
        <is>
          <t>t</t>
        </is>
      </c>
      <c r="H6105" t="n">
        <v>12</v>
      </c>
      <c r="I6105" t="inlineStr">
        <is>
          <t>Plasma 161.476 148.121 144.730</t>
        </is>
      </c>
      <c r="J6105" t="inlineStr">
        <is>
          <t>High</t>
        </is>
      </c>
      <c r="M6105" t="inlineStr">
        <is>
          <t>LLM</t>
        </is>
      </c>
      <c r="N6105" t="inlineStr">
        <is>
          <t>2026-04-19</t>
        </is>
      </c>
      <c r="O6105" t="inlineStr">
        <is>
          <t>AI</t>
        </is>
      </c>
    </row>
    <row r="6106">
      <c r="A6106" t="inlineStr">
        <is>
          <t>PT Teladan Prima Agro Tbk</t>
        </is>
      </c>
      <c r="B6106" t="inlineStr">
        <is>
          <t>TLDN_2025_AR.pdf</t>
        </is>
      </c>
      <c r="C6106" t="n">
        <v>2025</v>
      </c>
      <c r="D6106" t="inlineStr">
        <is>
          <t>Operation</t>
        </is>
      </c>
      <c r="E6106" t="inlineStr">
        <is>
          <t>FFB Processed</t>
        </is>
      </c>
      <c r="F6106" t="n">
        <v>1463439</v>
      </c>
      <c r="G6106" t="inlineStr">
        <is>
          <t>t</t>
        </is>
      </c>
      <c r="H6106" t="n">
        <v>12</v>
      </c>
      <c r="I6106" t="inlineStr">
        <is>
          <t>Tandan Buah Segar (TBS) yang Diolah 1.463.439 1.381.677 1.409.552</t>
        </is>
      </c>
      <c r="J6106" t="inlineStr">
        <is>
          <t>High</t>
        </is>
      </c>
      <c r="M6106" t="inlineStr">
        <is>
          <t>LLM</t>
        </is>
      </c>
      <c r="N6106" t="inlineStr">
        <is>
          <t>2026-04-19</t>
        </is>
      </c>
      <c r="O6106" t="inlineStr">
        <is>
          <t>AI</t>
        </is>
      </c>
    </row>
    <row r="6107">
      <c r="A6107" t="inlineStr">
        <is>
          <t>PT Teladan Prima Agro Tbk</t>
        </is>
      </c>
      <c r="B6107" t="inlineStr">
        <is>
          <t>TLDN_2025_AR.pdf</t>
        </is>
      </c>
      <c r="C6107" t="n">
        <v>2025</v>
      </c>
      <c r="D6107" t="inlineStr">
        <is>
          <t>Operation</t>
        </is>
      </c>
      <c r="E6107" t="inlineStr">
        <is>
          <t>CPO Production</t>
        </is>
      </c>
      <c r="F6107" t="n">
        <v>333092</v>
      </c>
      <c r="G6107" t="inlineStr">
        <is>
          <t>t</t>
        </is>
      </c>
      <c r="H6107" t="n">
        <v>12</v>
      </c>
      <c r="I6107" t="inlineStr">
        <is>
          <t>Produksi Minyak Sawit Mentah (CPO) 333.092 324.857 327.688</t>
        </is>
      </c>
      <c r="J6107" t="inlineStr">
        <is>
          <t>High</t>
        </is>
      </c>
      <c r="M6107" t="inlineStr">
        <is>
          <t>LLM</t>
        </is>
      </c>
      <c r="N6107" t="inlineStr">
        <is>
          <t>2026-04-19</t>
        </is>
      </c>
      <c r="O6107" t="inlineStr">
        <is>
          <t>AI</t>
        </is>
      </c>
    </row>
    <row r="6108">
      <c r="A6108" t="inlineStr">
        <is>
          <t>PT Teladan Prima Agro Tbk</t>
        </is>
      </c>
      <c r="B6108" t="inlineStr">
        <is>
          <t>TLDN_2025_AR.pdf</t>
        </is>
      </c>
      <c r="C6108" t="n">
        <v>2025</v>
      </c>
      <c r="D6108" t="inlineStr">
        <is>
          <t>Operation</t>
        </is>
      </c>
      <c r="E6108" t="inlineStr">
        <is>
          <t>PK Production</t>
        </is>
      </c>
      <c r="F6108" t="n">
        <v>52197</v>
      </c>
      <c r="G6108" t="inlineStr">
        <is>
          <t>t</t>
        </is>
      </c>
      <c r="H6108" t="n">
        <v>12</v>
      </c>
      <c r="I6108" t="inlineStr">
        <is>
          <t>Produksi Inti Sawit (PK) 52.197 50.787 52.207</t>
        </is>
      </c>
      <c r="J6108" t="inlineStr">
        <is>
          <t>High</t>
        </is>
      </c>
      <c r="M6108" t="inlineStr">
        <is>
          <t>LLM</t>
        </is>
      </c>
      <c r="N6108" t="inlineStr">
        <is>
          <t>2026-04-19</t>
        </is>
      </c>
      <c r="O6108" t="inlineStr">
        <is>
          <t>AI</t>
        </is>
      </c>
    </row>
    <row r="6109">
      <c r="A6109" t="inlineStr">
        <is>
          <t>PT Teladan Prima Agro Tbk</t>
        </is>
      </c>
      <c r="B6109" t="inlineStr">
        <is>
          <t>TLDN_2025_AR.pdf</t>
        </is>
      </c>
      <c r="C6109" t="n">
        <v>2025</v>
      </c>
      <c r="D6109" t="inlineStr">
        <is>
          <t>Operation</t>
        </is>
      </c>
      <c r="E6109" t="inlineStr">
        <is>
          <t>CPKO Production</t>
        </is>
      </c>
      <c r="F6109" t="n">
        <v>11991</v>
      </c>
      <c r="G6109" t="inlineStr">
        <is>
          <t>t</t>
        </is>
      </c>
      <c r="H6109" t="n">
        <v>12</v>
      </c>
      <c r="I6109" t="inlineStr">
        <is>
          <t>Produksi Inti Sawit Mentah (CPKO) 11.991 5.262</t>
        </is>
      </c>
      <c r="J6109" t="inlineStr">
        <is>
          <t>High</t>
        </is>
      </c>
      <c r="M6109" t="inlineStr">
        <is>
          <t>LLM</t>
        </is>
      </c>
      <c r="N6109" t="inlineStr">
        <is>
          <t>2026-04-19</t>
        </is>
      </c>
      <c r="O6109" t="inlineStr">
        <is>
          <t>AI</t>
        </is>
      </c>
    </row>
    <row r="6110">
      <c r="A6110" t="inlineStr">
        <is>
          <t>PT Teladan Prima Agro Tbk</t>
        </is>
      </c>
      <c r="B6110" t="inlineStr">
        <is>
          <t>TLDN_2025_AR.pdf</t>
        </is>
      </c>
      <c r="C6110" t="n">
        <v>2025</v>
      </c>
      <c r="D6110" t="inlineStr">
        <is>
          <t>Operation</t>
        </is>
      </c>
      <c r="E6110" t="inlineStr">
        <is>
          <t>PKE Production</t>
        </is>
      </c>
      <c r="F6110" t="n">
        <v>15803</v>
      </c>
      <c r="G6110" t="inlineStr">
        <is>
          <t>t</t>
        </is>
      </c>
      <c r="H6110" t="n">
        <v>12</v>
      </c>
      <c r="I6110" t="inlineStr">
        <is>
          <t>Produksi Bungkil Sawit (PKE) 15.803 6.862</t>
        </is>
      </c>
      <c r="J6110" t="inlineStr">
        <is>
          <t>High</t>
        </is>
      </c>
      <c r="M6110" t="inlineStr">
        <is>
          <t>LLM</t>
        </is>
      </c>
      <c r="N6110" t="inlineStr">
        <is>
          <t>2026-04-19</t>
        </is>
      </c>
      <c r="O6110" t="inlineStr">
        <is>
          <t>AI</t>
        </is>
      </c>
    </row>
    <row r="6111">
      <c r="A6111" t="inlineStr">
        <is>
          <t>PT Teladan Prima Agro Tbk</t>
        </is>
      </c>
      <c r="B6111" t="inlineStr">
        <is>
          <t>TLDN_2025_AR.pdf</t>
        </is>
      </c>
      <c r="C6111" t="n">
        <v>2025</v>
      </c>
      <c r="D6111" t="inlineStr">
        <is>
          <t>Operation</t>
        </is>
      </c>
      <c r="E6111" t="inlineStr">
        <is>
          <t>CPO Extraction Rate</t>
        </is>
      </c>
      <c r="F6111" t="n">
        <v>0.2276</v>
      </c>
      <c r="G6111" t="inlineStr">
        <is>
          <t>%</t>
        </is>
      </c>
      <c r="H6111" t="n">
        <v>12</v>
      </c>
      <c r="I6111" t="inlineStr">
        <is>
          <t>Tingkat Ekstraksi Minyak Kelapa Sawit (%) 22,76 23,51 23,2</t>
        </is>
      </c>
      <c r="J6111" t="inlineStr">
        <is>
          <t>High</t>
        </is>
      </c>
      <c r="M6111" t="inlineStr">
        <is>
          <t>LLM</t>
        </is>
      </c>
      <c r="N6111" t="inlineStr">
        <is>
          <t>2026-04-19</t>
        </is>
      </c>
      <c r="O6111" t="inlineStr">
        <is>
          <t>AI</t>
        </is>
      </c>
    </row>
    <row r="6112">
      <c r="A6112" t="inlineStr">
        <is>
          <t>PT Teladan Prima Agro Tbk</t>
        </is>
      </c>
      <c r="B6112" t="inlineStr">
        <is>
          <t>TLDN_2025_AR.pdf</t>
        </is>
      </c>
      <c r="C6112" t="n">
        <v>2025</v>
      </c>
      <c r="D6112" t="inlineStr">
        <is>
          <t>Operation</t>
        </is>
      </c>
      <c r="E6112" t="inlineStr">
        <is>
          <t>PK Extraction Rate</t>
        </is>
      </c>
      <c r="F6112" t="n">
        <v>0.0357</v>
      </c>
      <c r="G6112" t="inlineStr">
        <is>
          <t>%</t>
        </is>
      </c>
      <c r="H6112" t="n">
        <v>12</v>
      </c>
      <c r="I6112" t="inlineStr">
        <is>
          <t>Tingkat Ekstraksi Inti Sawit (%) 3,57 3,68 3,7</t>
        </is>
      </c>
      <c r="J6112" t="inlineStr">
        <is>
          <t>High</t>
        </is>
      </c>
      <c r="M6112" t="inlineStr">
        <is>
          <t>LLM</t>
        </is>
      </c>
      <c r="N6112" t="inlineStr">
        <is>
          <t>2026-04-19</t>
        </is>
      </c>
      <c r="O6112" t="inlineStr">
        <is>
          <t>AI</t>
        </is>
      </c>
    </row>
    <row r="6113">
      <c r="A6113" t="inlineStr">
        <is>
          <t>PT Teladan Prima Agro Tbk</t>
        </is>
      </c>
      <c r="B6113" t="inlineStr">
        <is>
          <t>TLDN_2025_AR.pdf</t>
        </is>
      </c>
      <c r="C6113" t="n">
        <v>2025</v>
      </c>
      <c r="D6113" t="inlineStr">
        <is>
          <t>Operation</t>
        </is>
      </c>
      <c r="E6113" t="inlineStr">
        <is>
          <t>CPKO Extraction Rate</t>
        </is>
      </c>
      <c r="F6113" t="n">
        <v>0.41</v>
      </c>
      <c r="G6113" t="inlineStr">
        <is>
          <t>%</t>
        </is>
      </c>
      <c r="H6113" t="n">
        <v>90</v>
      </c>
      <c r="I6113" t="inlineStr">
        <is>
          <t>Tingkat Ekstraksi Minyak Inti Sawit (%) 41,0 40,0</t>
        </is>
      </c>
      <c r="J6113" t="inlineStr">
        <is>
          <t>High</t>
        </is>
      </c>
      <c r="M6113" t="inlineStr">
        <is>
          <t>LLM</t>
        </is>
      </c>
      <c r="N6113" t="inlineStr">
        <is>
          <t>2026-04-19</t>
        </is>
      </c>
      <c r="O6113" t="inlineStr">
        <is>
          <t>AI</t>
        </is>
      </c>
    </row>
    <row r="6114">
      <c r="A6114" t="inlineStr">
        <is>
          <t>PT Teladan Prima Agro Tbk</t>
        </is>
      </c>
      <c r="B6114" t="inlineStr">
        <is>
          <t>TLDN_2025_AR.pdf</t>
        </is>
      </c>
      <c r="C6114" t="n">
        <v>2025</v>
      </c>
      <c r="D6114" t="inlineStr">
        <is>
          <t>Operation</t>
        </is>
      </c>
      <c r="E6114" t="inlineStr">
        <is>
          <t>CPO Sales Volume</t>
        </is>
      </c>
      <c r="F6114" t="n">
        <v>339465</v>
      </c>
      <c r="G6114" t="inlineStr">
        <is>
          <t>t</t>
        </is>
      </c>
      <c r="H6114" t="n">
        <v>12</v>
      </c>
      <c r="I6114" t="inlineStr">
        <is>
          <t>Volume Penjualan Minyak Kelapa Sawit 339.465 314.457 343.748</t>
        </is>
      </c>
      <c r="J6114" t="inlineStr">
        <is>
          <t>High</t>
        </is>
      </c>
      <c r="M6114" t="inlineStr">
        <is>
          <t>LLM</t>
        </is>
      </c>
      <c r="N6114" t="inlineStr">
        <is>
          <t>2026-04-19</t>
        </is>
      </c>
      <c r="O6114" t="inlineStr">
        <is>
          <t>AI</t>
        </is>
      </c>
    </row>
    <row r="6115">
      <c r="A6115" t="inlineStr">
        <is>
          <t>PT Teladan Prima Agro Tbk</t>
        </is>
      </c>
      <c r="B6115" t="inlineStr">
        <is>
          <t>TLDN_2025_AR.pdf</t>
        </is>
      </c>
      <c r="C6115" t="n">
        <v>2025</v>
      </c>
      <c r="D6115" t="inlineStr">
        <is>
          <t>Operation</t>
        </is>
      </c>
      <c r="E6115" t="inlineStr">
        <is>
          <t>PK Sales Volume</t>
        </is>
      </c>
      <c r="F6115" t="n">
        <v>31969</v>
      </c>
      <c r="G6115" t="inlineStr">
        <is>
          <t>t</t>
        </is>
      </c>
      <c r="H6115" t="n">
        <v>12</v>
      </c>
      <c r="I6115" t="inlineStr">
        <is>
          <t>Volume Penjualan Inti Kelapa Sawit 31.969 40.102 55.172</t>
        </is>
      </c>
      <c r="J6115" t="inlineStr">
        <is>
          <t>High</t>
        </is>
      </c>
      <c r="M6115" t="inlineStr">
        <is>
          <t>LLM</t>
        </is>
      </c>
      <c r="N6115" t="inlineStr">
        <is>
          <t>2026-04-19</t>
        </is>
      </c>
      <c r="O6115" t="inlineStr">
        <is>
          <t>AI</t>
        </is>
      </c>
    </row>
    <row r="6116">
      <c r="A6116" t="inlineStr">
        <is>
          <t>PT Teladan Prima Agro Tbk</t>
        </is>
      </c>
      <c r="B6116" t="inlineStr">
        <is>
          <t>TLDN_2025_AR.pdf</t>
        </is>
      </c>
      <c r="C6116" t="n">
        <v>2025</v>
      </c>
      <c r="D6116" t="inlineStr">
        <is>
          <t>Operation</t>
        </is>
      </c>
      <c r="E6116" t="inlineStr">
        <is>
          <t>CPKO Sales Volume</t>
        </is>
      </c>
      <c r="F6116" t="n">
        <v>12012</v>
      </c>
      <c r="G6116" t="inlineStr">
        <is>
          <t>t</t>
        </is>
      </c>
      <c r="H6116" t="n">
        <v>90</v>
      </c>
      <c r="I6116" t="inlineStr">
        <is>
          <t>Volume Penjualan Minyak Inti Sawit 12.012 4.619</t>
        </is>
      </c>
      <c r="J6116" t="inlineStr">
        <is>
          <t>High</t>
        </is>
      </c>
      <c r="M6116" t="inlineStr">
        <is>
          <t>LLM</t>
        </is>
      </c>
      <c r="N6116" t="inlineStr">
        <is>
          <t>2026-04-19</t>
        </is>
      </c>
      <c r="O6116" t="inlineStr">
        <is>
          <t>AI</t>
        </is>
      </c>
    </row>
    <row r="6117">
      <c r="A6117" t="inlineStr">
        <is>
          <t>PT Teladan Prima Agro Tbk</t>
        </is>
      </c>
      <c r="B6117" t="inlineStr">
        <is>
          <t>TLDN_2025_AR.pdf</t>
        </is>
      </c>
      <c r="C6117" t="n">
        <v>2025</v>
      </c>
      <c r="D6117" t="inlineStr">
        <is>
          <t>Operation</t>
        </is>
      </c>
      <c r="E6117" t="inlineStr">
        <is>
          <t>CPO Avg Selling Price</t>
        </is>
      </c>
      <c r="F6117" t="n">
        <v>14004</v>
      </c>
      <c r="G6117" t="inlineStr">
        <is>
          <t>Rp/kg</t>
        </is>
      </c>
      <c r="H6117" t="n">
        <v>90</v>
      </c>
      <c r="I6117" t="inlineStr">
        <is>
          <t>Harga Rata-Rata Minyak Sawit 14.004 12.230 (ribu Rp per ton)</t>
        </is>
      </c>
      <c r="J6117" t="inlineStr">
        <is>
          <t>High</t>
        </is>
      </c>
      <c r="M6117" t="inlineStr">
        <is>
          <t>LLM</t>
        </is>
      </c>
      <c r="N6117" t="inlineStr">
        <is>
          <t>2026-04-19</t>
        </is>
      </c>
      <c r="O6117" t="inlineStr">
        <is>
          <t>AI</t>
        </is>
      </c>
    </row>
    <row r="6118">
      <c r="A6118" t="inlineStr">
        <is>
          <t>PT Teladan Prima Agro Tbk</t>
        </is>
      </c>
      <c r="B6118" t="inlineStr">
        <is>
          <t>TLDN_2025_AR.pdf</t>
        </is>
      </c>
      <c r="C6118" t="n">
        <v>2025</v>
      </c>
      <c r="D6118" t="inlineStr">
        <is>
          <t>Operation</t>
        </is>
      </c>
      <c r="E6118" t="inlineStr">
        <is>
          <t>PK Avg Selling Price</t>
        </is>
      </c>
      <c r="F6118" t="n">
        <v>11243</v>
      </c>
      <c r="G6118" t="inlineStr">
        <is>
          <t>Rp/kg</t>
        </is>
      </c>
      <c r="H6118" t="n">
        <v>90</v>
      </c>
      <c r="I6118" t="inlineStr">
        <is>
          <t>Harga Rata-Rata Inti Sawit 11.243 6.782 (ribu Rp per ton)</t>
        </is>
      </c>
      <c r="J6118" t="inlineStr">
        <is>
          <t>High</t>
        </is>
      </c>
      <c r="M6118" t="inlineStr">
        <is>
          <t>LLM</t>
        </is>
      </c>
      <c r="N6118" t="inlineStr">
        <is>
          <t>2026-04-19</t>
        </is>
      </c>
      <c r="O6118" t="inlineStr">
        <is>
          <t>AI</t>
        </is>
      </c>
    </row>
    <row r="6119">
      <c r="A6119" t="inlineStr">
        <is>
          <t>PT Teladan Prima Agro Tbk</t>
        </is>
      </c>
      <c r="B6119" t="inlineStr">
        <is>
          <t>TLDN_2025_AR.pdf</t>
        </is>
      </c>
      <c r="C6119" t="n">
        <v>2025</v>
      </c>
      <c r="D6119" t="inlineStr">
        <is>
          <t>Operation</t>
        </is>
      </c>
      <c r="E6119" t="inlineStr">
        <is>
          <t>CPKO Avg Selling Price</t>
        </is>
      </c>
      <c r="F6119" t="n">
        <v>24696</v>
      </c>
      <c r="G6119" t="inlineStr">
        <is>
          <t>Rp/kg</t>
        </is>
      </c>
      <c r="H6119" t="n">
        <v>90</v>
      </c>
      <c r="I6119" t="inlineStr">
        <is>
          <t>Harga Rata-Rata Minyak Inti Sawit 24.696 19.461 (ribu Rp per ton)</t>
        </is>
      </c>
      <c r="J6119" t="inlineStr">
        <is>
          <t>High</t>
        </is>
      </c>
      <c r="M6119" t="inlineStr">
        <is>
          <t>LLM</t>
        </is>
      </c>
      <c r="N6119" t="inlineStr">
        <is>
          <t>2026-04-19</t>
        </is>
      </c>
      <c r="O6119" t="inlineStr">
        <is>
          <t>AI</t>
        </is>
      </c>
    </row>
    <row r="6120">
      <c r="A6120" t="inlineStr">
        <is>
          <t>PT Teladan Prima Agro Tbk</t>
        </is>
      </c>
      <c r="B6120" t="inlineStr">
        <is>
          <t>TLDN_2025_AR.pdf</t>
        </is>
      </c>
      <c r="C6120" t="n">
        <v>2025</v>
      </c>
      <c r="D6120" t="inlineStr">
        <is>
          <t>Operation</t>
        </is>
      </c>
      <c r="E6120" t="inlineStr">
        <is>
          <t>Wilmar Group Sales Share</t>
        </is>
      </c>
      <c r="F6120" t="n">
        <v>0.3</v>
      </c>
      <c r="G6120" t="inlineStr">
        <is>
          <t>%</t>
        </is>
      </c>
      <c r="H6120" t="n">
        <v>103</v>
      </c>
      <c r="I6120" t="inlineStr">
        <is>
          <t>Wilmar Group tercatat sebagai pembeli terbesar dengan kontribusi sekitar 30% terhadap total penjualan</t>
        </is>
      </c>
      <c r="J6120" t="inlineStr">
        <is>
          <t>High</t>
        </is>
      </c>
      <c r="M6120" t="inlineStr">
        <is>
          <t>LLM</t>
        </is>
      </c>
      <c r="N6120" t="inlineStr">
        <is>
          <t>2026-04-19</t>
        </is>
      </c>
      <c r="O6120" t="inlineStr">
        <is>
          <t>AI</t>
        </is>
      </c>
    </row>
    <row r="6121">
      <c r="A6121" t="inlineStr">
        <is>
          <t>PT Teladan Prima Agro Tbk</t>
        </is>
      </c>
      <c r="B6121" t="inlineStr">
        <is>
          <t>TLDN_2025_AR.pdf</t>
        </is>
      </c>
      <c r="C6121" t="n">
        <v>2025</v>
      </c>
      <c r="D6121" t="inlineStr">
        <is>
          <t>Operation</t>
        </is>
      </c>
      <c r="E6121" t="inlineStr">
        <is>
          <t>Wings Group Sales Share</t>
        </is>
      </c>
      <c r="F6121" t="n">
        <v>0.15</v>
      </c>
      <c r="G6121" t="inlineStr">
        <is>
          <t>%</t>
        </is>
      </c>
      <c r="H6121" t="n">
        <v>103</v>
      </c>
      <c r="I6121" t="inlineStr">
        <is>
          <t>Wings Group dan KPN Group menyusul dengan kontribusi masing-masing sekitar 15%</t>
        </is>
      </c>
      <c r="J6121" t="inlineStr">
        <is>
          <t>High</t>
        </is>
      </c>
      <c r="M6121" t="inlineStr">
        <is>
          <t>LLM</t>
        </is>
      </c>
      <c r="N6121" t="inlineStr">
        <is>
          <t>2026-04-19</t>
        </is>
      </c>
      <c r="O6121" t="inlineStr">
        <is>
          <t>AI</t>
        </is>
      </c>
    </row>
    <row r="6122">
      <c r="A6122" t="inlineStr">
        <is>
          <t>PT Teladan Prima Agro Tbk</t>
        </is>
      </c>
      <c r="B6122" t="inlineStr">
        <is>
          <t>TLDN_2025_AR.pdf</t>
        </is>
      </c>
      <c r="C6122" t="n">
        <v>2025</v>
      </c>
      <c r="D6122" t="inlineStr">
        <is>
          <t>Operation</t>
        </is>
      </c>
      <c r="E6122" t="inlineStr">
        <is>
          <t>KPN Group Sales Share</t>
        </is>
      </c>
      <c r="F6122" t="n">
        <v>0.15</v>
      </c>
      <c r="G6122" t="inlineStr">
        <is>
          <t>%</t>
        </is>
      </c>
      <c r="H6122" t="n">
        <v>103</v>
      </c>
      <c r="I6122" t="inlineStr">
        <is>
          <t>KPN Group sekitar 15%</t>
        </is>
      </c>
      <c r="J6122" t="inlineStr">
        <is>
          <t>High</t>
        </is>
      </c>
      <c r="M6122" t="inlineStr">
        <is>
          <t>LLM</t>
        </is>
      </c>
      <c r="N6122" t="inlineStr">
        <is>
          <t>2026-04-19</t>
        </is>
      </c>
      <c r="O6122" t="inlineStr">
        <is>
          <t>AI</t>
        </is>
      </c>
    </row>
    <row r="6123">
      <c r="A6123" t="inlineStr">
        <is>
          <t>PT Teladan Prima Agro Tbk</t>
        </is>
      </c>
      <c r="B6123" t="inlineStr">
        <is>
          <t>TLDN_2025_AR.pdf</t>
        </is>
      </c>
      <c r="C6123" t="n">
        <v>2025</v>
      </c>
      <c r="D6123" t="inlineStr">
        <is>
          <t>Operation</t>
        </is>
      </c>
      <c r="E6123" t="inlineStr">
        <is>
          <t>Excess Power Sales</t>
        </is>
      </c>
      <c r="F6123" t="n">
        <v>0</v>
      </c>
      <c r="G6123" t="inlineStr">
        <is>
          <t>kWh</t>
        </is>
      </c>
      <c r="H6123" t="n">
        <v>12</v>
      </c>
      <c r="I6123" t="inlineStr">
        <is>
          <t>Penjualan Tenaga Listrik Lebih - 149.413 177.594 (no excess power sold in 2025)</t>
        </is>
      </c>
      <c r="J6123" t="inlineStr">
        <is>
          <t>High</t>
        </is>
      </c>
      <c r="M6123" t="inlineStr">
        <is>
          <t>LLM</t>
        </is>
      </c>
      <c r="N6123" t="inlineStr">
        <is>
          <t>2026-04-19</t>
        </is>
      </c>
      <c r="O6123" t="inlineStr">
        <is>
          <t>AI</t>
        </is>
      </c>
    </row>
    <row r="6124">
      <c r="A6124" t="inlineStr">
        <is>
          <t>PT Teladan Prima Agro Tbk</t>
        </is>
      </c>
      <c r="B6124" t="inlineStr">
        <is>
          <t>TLDN_2025_AR.pdf</t>
        </is>
      </c>
      <c r="C6124" t="n">
        <v>2025</v>
      </c>
      <c r="D6124" t="inlineStr">
        <is>
          <t>Operation</t>
        </is>
      </c>
      <c r="E6124" t="inlineStr">
        <is>
          <t>BPP Capacity</t>
        </is>
      </c>
      <c r="F6124" t="n">
        <v>1.7</v>
      </c>
      <c r="G6124" t="inlineStr">
        <is>
          <t>MW</t>
        </is>
      </c>
      <c r="I6124" t="inlineStr">
        <is>
          <t>Biogas Power Plant (BPP) berkapasitas 1,7 MW (commissioned 5 Nov 2024, now converting POME to green electricity for PT TPS KCP)</t>
        </is>
      </c>
      <c r="J6124" t="inlineStr">
        <is>
          <t>High</t>
        </is>
      </c>
      <c r="M6124" t="inlineStr">
        <is>
          <t>LLM</t>
        </is>
      </c>
      <c r="N6124" t="inlineStr">
        <is>
          <t>2026-04-19</t>
        </is>
      </c>
      <c r="O6124" t="inlineStr">
        <is>
          <t>AI</t>
        </is>
      </c>
    </row>
    <row r="6125">
      <c r="A6125" t="inlineStr">
        <is>
          <t>PT Teladan Prima Agro Tbk</t>
        </is>
      </c>
      <c r="B6125" t="inlineStr">
        <is>
          <t>TLDN_2025_AR.pdf</t>
        </is>
      </c>
      <c r="C6125" t="n">
        <v>2025</v>
      </c>
      <c r="D6125" t="inlineStr">
        <is>
          <t>ESG</t>
        </is>
      </c>
      <c r="E6125" t="inlineStr">
        <is>
          <t>ISPO Certifications (all mills)</t>
        </is>
      </c>
      <c r="F6125" t="inlineStr">
        <is>
          <t>All 6 POMs</t>
        </is>
      </c>
      <c r="G6125" t="inlineStr">
        <is>
          <t>text</t>
        </is>
      </c>
      <c r="H6125" t="n">
        <v>89</v>
      </c>
      <c r="I6125" t="inlineStr">
        <is>
          <t>Seluruh PKS telah memperoleh sertifikasi Indonesia Sustainable Palm Oil (ISPO)</t>
        </is>
      </c>
      <c r="J6125" t="inlineStr">
        <is>
          <t>High</t>
        </is>
      </c>
      <c r="M6125" t="inlineStr">
        <is>
          <t>LLM</t>
        </is>
      </c>
      <c r="N6125" t="inlineStr">
        <is>
          <t>2026-04-19</t>
        </is>
      </c>
      <c r="O6125" t="inlineStr">
        <is>
          <t>AI</t>
        </is>
      </c>
    </row>
    <row r="6126">
      <c r="A6126" t="inlineStr">
        <is>
          <t>PT Bakrie Sumatera Plantations Tbk</t>
        </is>
      </c>
      <c r="B6126" t="inlineStr">
        <is>
          <t>UNSP_2022_AR.pdf</t>
        </is>
      </c>
      <c r="C6126" t="n">
        <v>2022</v>
      </c>
      <c r="D6126" t="inlineStr">
        <is>
          <t>Company</t>
        </is>
      </c>
      <c r="E6126" t="inlineStr">
        <is>
          <t>Company Name</t>
        </is>
      </c>
      <c r="F6126" t="inlineStr">
        <is>
          <t>PT Bakrie Sumatera Plantations Tbk</t>
        </is>
      </c>
      <c r="G6126" t="inlineStr">
        <is>
          <t>text</t>
        </is>
      </c>
      <c r="H6126" t="n">
        <v>1</v>
      </c>
      <c r="I6126" t="inlineStr">
        <is>
          <t>BSP Laporan Tahunan 2022</t>
        </is>
      </c>
      <c r="J6126" t="inlineStr">
        <is>
          <t>High</t>
        </is>
      </c>
      <c r="M6126" t="inlineStr">
        <is>
          <t>LLM</t>
        </is>
      </c>
      <c r="N6126" t="inlineStr">
        <is>
          <t>2026-04-19</t>
        </is>
      </c>
      <c r="O6126" t="inlineStr">
        <is>
          <t>AI</t>
        </is>
      </c>
    </row>
    <row r="6127">
      <c r="A6127" t="inlineStr">
        <is>
          <t>PT Bakrie Sumatera Plantations Tbk</t>
        </is>
      </c>
      <c r="B6127" t="inlineStr">
        <is>
          <t>UNSP_2022_AR.pdf</t>
        </is>
      </c>
      <c r="C6127" t="n">
        <v>2022</v>
      </c>
      <c r="D6127" t="inlineStr">
        <is>
          <t>Company</t>
        </is>
      </c>
      <c r="E6127" t="inlineStr">
        <is>
          <t>Ticker / Listing</t>
        </is>
      </c>
      <c r="F6127" t="inlineStr">
        <is>
          <t>UNSP (IDX)</t>
        </is>
      </c>
      <c r="G6127" t="inlineStr">
        <is>
          <t>text</t>
        </is>
      </c>
      <c r="H6127" t="n">
        <v>8</v>
      </c>
      <c r="I6127" t="inlineStr">
        <is>
          <t>IDX : UNSP</t>
        </is>
      </c>
      <c r="J6127" t="inlineStr">
        <is>
          <t>High</t>
        </is>
      </c>
      <c r="M6127" t="inlineStr">
        <is>
          <t>LLM</t>
        </is>
      </c>
      <c r="N6127" t="inlineStr">
        <is>
          <t>2026-04-19</t>
        </is>
      </c>
      <c r="O6127" t="inlineStr">
        <is>
          <t>AI</t>
        </is>
      </c>
    </row>
    <row r="6128">
      <c r="A6128" t="inlineStr">
        <is>
          <t>PT Bakrie Sumatera Plantations Tbk</t>
        </is>
      </c>
      <c r="B6128" t="inlineStr">
        <is>
          <t>UNSP_2022_AR.pdf</t>
        </is>
      </c>
      <c r="C6128" t="n">
        <v>2022</v>
      </c>
      <c r="D6128" t="inlineStr">
        <is>
          <t>Company</t>
        </is>
      </c>
      <c r="E6128" t="inlineStr">
        <is>
          <t>Controlling Shareholder - Bakrie Capital</t>
        </is>
      </c>
      <c r="F6128" t="inlineStr">
        <is>
          <t>PT Bakrie Capital Indonesia 14.65%</t>
        </is>
      </c>
      <c r="G6128" t="inlineStr">
        <is>
          <t>%</t>
        </is>
      </c>
      <c r="H6128" t="n">
        <v>10</v>
      </c>
      <c r="I6128" t="inlineStr">
        <is>
          <t>PT Bakrie Capital Indonesia 366.149.259 14,65</t>
        </is>
      </c>
      <c r="J6128" t="inlineStr">
        <is>
          <t>High</t>
        </is>
      </c>
      <c r="M6128" t="inlineStr">
        <is>
          <t>LLM</t>
        </is>
      </c>
      <c r="N6128" t="inlineStr">
        <is>
          <t>2026-04-19</t>
        </is>
      </c>
      <c r="O6128" t="inlineStr">
        <is>
          <t>AI</t>
        </is>
      </c>
    </row>
    <row r="6129">
      <c r="A6129" t="inlineStr">
        <is>
          <t>PT Bakrie Sumatera Plantations Tbk</t>
        </is>
      </c>
      <c r="B6129" t="inlineStr">
        <is>
          <t>UNSP_2022_AR.pdf</t>
        </is>
      </c>
      <c r="C6129" t="n">
        <v>2022</v>
      </c>
      <c r="D6129" t="inlineStr">
        <is>
          <t>Company</t>
        </is>
      </c>
      <c r="E6129" t="inlineStr">
        <is>
          <t>Major Shareholder - Ernawati Ali</t>
        </is>
      </c>
      <c r="F6129" t="n">
        <v>0.1096</v>
      </c>
      <c r="G6129" t="inlineStr">
        <is>
          <t>%</t>
        </is>
      </c>
      <c r="H6129" t="n">
        <v>10</v>
      </c>
      <c r="I6129" t="inlineStr">
        <is>
          <t>Ernawati Ali 273.921.631 10,96</t>
        </is>
      </c>
      <c r="J6129" t="inlineStr">
        <is>
          <t>High</t>
        </is>
      </c>
      <c r="M6129" t="inlineStr">
        <is>
          <t>LLM</t>
        </is>
      </c>
      <c r="N6129" t="inlineStr">
        <is>
          <t>2026-04-19</t>
        </is>
      </c>
      <c r="O6129" t="inlineStr">
        <is>
          <t>AI</t>
        </is>
      </c>
    </row>
    <row r="6130">
      <c r="A6130" t="inlineStr">
        <is>
          <t>PT Bakrie Sumatera Plantations Tbk</t>
        </is>
      </c>
      <c r="B6130" t="inlineStr">
        <is>
          <t>UNSP_2022_AR.pdf</t>
        </is>
      </c>
      <c r="C6130" t="n">
        <v>2022</v>
      </c>
      <c r="D6130" t="inlineStr">
        <is>
          <t>Company</t>
        </is>
      </c>
      <c r="E6130" t="inlineStr">
        <is>
          <t>Major Shareholder - Lie Leonard Djajali</t>
        </is>
      </c>
      <c r="F6130" t="n">
        <v>0.0921</v>
      </c>
      <c r="G6130" t="inlineStr">
        <is>
          <t>%</t>
        </is>
      </c>
      <c r="H6130" t="n">
        <v>10</v>
      </c>
      <c r="I6130" t="inlineStr">
        <is>
          <t>Lie Leonard Djajali 230.265.187 9,21</t>
        </is>
      </c>
      <c r="J6130" t="inlineStr">
        <is>
          <t>High</t>
        </is>
      </c>
      <c r="M6130" t="inlineStr">
        <is>
          <t>LLM</t>
        </is>
      </c>
      <c r="N6130" t="inlineStr">
        <is>
          <t>2026-04-19</t>
        </is>
      </c>
      <c r="O6130" t="inlineStr">
        <is>
          <t>AI</t>
        </is>
      </c>
    </row>
    <row r="6131">
      <c r="A6131" t="inlineStr">
        <is>
          <t>PT Bakrie Sumatera Plantations Tbk</t>
        </is>
      </c>
      <c r="B6131" t="inlineStr">
        <is>
          <t>UNSP_2022_AR.pdf</t>
        </is>
      </c>
      <c r="C6131" t="n">
        <v>2022</v>
      </c>
      <c r="D6131" t="inlineStr">
        <is>
          <t>Company</t>
        </is>
      </c>
      <c r="E6131" t="inlineStr">
        <is>
          <t>Major Shareholder - Paradiso Resources</t>
        </is>
      </c>
      <c r="F6131" t="n">
        <v>0.0587</v>
      </c>
      <c r="G6131" t="inlineStr">
        <is>
          <t>%</t>
        </is>
      </c>
      <c r="H6131" t="n">
        <v>10</v>
      </c>
      <c r="I6131" t="inlineStr">
        <is>
          <t>Paradiso Resources Ltd. 146.663.232 5,87</t>
        </is>
      </c>
      <c r="J6131" t="inlineStr">
        <is>
          <t>High</t>
        </is>
      </c>
      <c r="M6131" t="inlineStr">
        <is>
          <t>LLM</t>
        </is>
      </c>
      <c r="N6131" t="inlineStr">
        <is>
          <t>2026-04-19</t>
        </is>
      </c>
      <c r="O6131" t="inlineStr">
        <is>
          <t>AI</t>
        </is>
      </c>
    </row>
    <row r="6132">
      <c r="A6132" t="inlineStr">
        <is>
          <t>PT Bakrie Sumatera Plantations Tbk</t>
        </is>
      </c>
      <c r="B6132" t="inlineStr">
        <is>
          <t>UNSP_2022_AR.pdf</t>
        </is>
      </c>
      <c r="C6132" t="n">
        <v>2022</v>
      </c>
      <c r="D6132" t="inlineStr">
        <is>
          <t>Company</t>
        </is>
      </c>
      <c r="E6132" t="inlineStr">
        <is>
          <t>Major Shareholder - Anargya Superfund</t>
        </is>
      </c>
      <c r="F6132" t="n">
        <v>0.0537</v>
      </c>
      <c r="G6132" t="inlineStr">
        <is>
          <t>%</t>
        </is>
      </c>
      <c r="H6132" t="n">
        <v>10</v>
      </c>
      <c r="I6132" t="inlineStr">
        <is>
          <t>Reksadana Saham Anargya Superfund Equity Growth 134.328.300 5,37</t>
        </is>
      </c>
      <c r="J6132" t="inlineStr">
        <is>
          <t>High</t>
        </is>
      </c>
      <c r="M6132" t="inlineStr">
        <is>
          <t>LLM</t>
        </is>
      </c>
      <c r="N6132" t="inlineStr">
        <is>
          <t>2026-04-19</t>
        </is>
      </c>
      <c r="O6132" t="inlineStr">
        <is>
          <t>AI</t>
        </is>
      </c>
    </row>
    <row r="6133">
      <c r="A6133" t="inlineStr">
        <is>
          <t>PT Bakrie Sumatera Plantations Tbk</t>
        </is>
      </c>
      <c r="B6133" t="inlineStr">
        <is>
          <t>UNSP_2022_AR.pdf</t>
        </is>
      </c>
      <c r="C6133" t="n">
        <v>2022</v>
      </c>
      <c r="D6133" t="inlineStr">
        <is>
          <t>Company</t>
        </is>
      </c>
      <c r="E6133" t="inlineStr">
        <is>
          <t>Public Float</t>
        </is>
      </c>
      <c r="F6133" t="n">
        <v>0.5394</v>
      </c>
      <c r="G6133" t="inlineStr">
        <is>
          <t>%</t>
        </is>
      </c>
      <c r="H6133" t="n">
        <v>10</v>
      </c>
      <c r="I6133" t="inlineStr">
        <is>
          <t>Masyarakat di bawah 5% 1.348.843.735 53,94</t>
        </is>
      </c>
      <c r="J6133" t="inlineStr">
        <is>
          <t>High</t>
        </is>
      </c>
      <c r="M6133" t="inlineStr">
        <is>
          <t>LLM</t>
        </is>
      </c>
      <c r="N6133" t="inlineStr">
        <is>
          <t>2026-04-19</t>
        </is>
      </c>
      <c r="O6133" t="inlineStr">
        <is>
          <t>AI</t>
        </is>
      </c>
    </row>
    <row r="6134">
      <c r="A6134" t="inlineStr">
        <is>
          <t>PT Bakrie Sumatera Plantations Tbk</t>
        </is>
      </c>
      <c r="B6134" t="inlineStr">
        <is>
          <t>UNSP_2022_AR.pdf</t>
        </is>
      </c>
      <c r="C6134" t="n">
        <v>2022</v>
      </c>
      <c r="D6134" t="inlineStr">
        <is>
          <t>Company</t>
        </is>
      </c>
      <c r="E6134" t="inlineStr">
        <is>
          <t>Total Shares Outstanding (net of treasury)</t>
        </is>
      </c>
      <c r="F6134" t="n">
        <v>2500162338</v>
      </c>
      <c r="G6134" t="inlineStr">
        <is>
          <t>shares</t>
        </is>
      </c>
      <c r="H6134" t="n">
        <v>10</v>
      </c>
      <c r="I6134" t="inlineStr">
        <is>
          <t>Subtotal 2.500.162.344 - Treasuri 6 = Total 2.500.162.338</t>
        </is>
      </c>
      <c r="J6134" t="inlineStr">
        <is>
          <t>High</t>
        </is>
      </c>
      <c r="M6134" t="inlineStr">
        <is>
          <t>LLM</t>
        </is>
      </c>
      <c r="N6134" t="inlineStr">
        <is>
          <t>2026-04-19</t>
        </is>
      </c>
      <c r="O6134" t="inlineStr">
        <is>
          <t>AI</t>
        </is>
      </c>
    </row>
    <row r="6135">
      <c r="A6135" t="inlineStr">
        <is>
          <t>PT Bakrie Sumatera Plantations Tbk</t>
        </is>
      </c>
      <c r="B6135" t="inlineStr">
        <is>
          <t>UNSP_2022_AR.pdf</t>
        </is>
      </c>
      <c r="C6135" t="n">
        <v>2022</v>
      </c>
      <c r="D6135" t="inlineStr">
        <is>
          <t>Company</t>
        </is>
      </c>
      <c r="E6135" t="inlineStr">
        <is>
          <t>Total Shareholders</t>
        </is>
      </c>
      <c r="F6135" t="n">
        <v>14006</v>
      </c>
      <c r="G6135" t="inlineStr">
        <is>
          <t>count</t>
        </is>
      </c>
      <c r="H6135" t="n">
        <v>11</v>
      </c>
      <c r="I6135" t="inlineStr">
        <is>
          <t>Total 14.006 2.500.162.344 100,00%</t>
        </is>
      </c>
      <c r="J6135" t="inlineStr">
        <is>
          <t>High</t>
        </is>
      </c>
      <c r="M6135" t="inlineStr">
        <is>
          <t>LLM</t>
        </is>
      </c>
      <c r="N6135" t="inlineStr">
        <is>
          <t>2026-04-19</t>
        </is>
      </c>
      <c r="O6135" t="inlineStr">
        <is>
          <t>AI</t>
        </is>
      </c>
    </row>
    <row r="6136">
      <c r="A6136" t="inlineStr">
        <is>
          <t>PT Bakrie Sumatera Plantations Tbk</t>
        </is>
      </c>
      <c r="B6136" t="inlineStr">
        <is>
          <t>UNSP_2022_AR.pdf</t>
        </is>
      </c>
      <c r="C6136" t="n">
        <v>2022</v>
      </c>
      <c r="D6136" t="inlineStr">
        <is>
          <t>Financial</t>
        </is>
      </c>
      <c r="E6136" t="inlineStr">
        <is>
          <t>Net Sales</t>
        </is>
      </c>
      <c r="F6136" t="n">
        <v>4189.33</v>
      </c>
      <c r="G6136" t="inlineStr">
        <is>
          <t>IDR bn</t>
        </is>
      </c>
      <c r="H6136" t="n">
        <v>6</v>
      </c>
      <c r="I6136" t="inlineStr">
        <is>
          <t>Penjualan neto 4.189.330 3.971.114 (2022 vs 2021)</t>
        </is>
      </c>
      <c r="J6136" t="inlineStr">
        <is>
          <t>High</t>
        </is>
      </c>
      <c r="M6136" t="inlineStr">
        <is>
          <t>LLM</t>
        </is>
      </c>
      <c r="N6136" t="inlineStr">
        <is>
          <t>2026-04-19</t>
        </is>
      </c>
      <c r="O6136" t="inlineStr">
        <is>
          <t>AI</t>
        </is>
      </c>
    </row>
    <row r="6137">
      <c r="A6137" t="inlineStr">
        <is>
          <t>PT Bakrie Sumatera Plantations Tbk</t>
        </is>
      </c>
      <c r="B6137" t="inlineStr">
        <is>
          <t>UNSP_2022_AR.pdf</t>
        </is>
      </c>
      <c r="C6137" t="n">
        <v>2022</v>
      </c>
      <c r="D6137" t="inlineStr">
        <is>
          <t>Financial</t>
        </is>
      </c>
      <c r="E6137" t="inlineStr">
        <is>
          <t>Cost of Sales</t>
        </is>
      </c>
      <c r="F6137" t="n">
        <v>3403.45</v>
      </c>
      <c r="G6137" t="inlineStr">
        <is>
          <t>IDR bn</t>
        </is>
      </c>
      <c r="H6137" t="n">
        <v>6</v>
      </c>
      <c r="I6137" t="inlineStr">
        <is>
          <t>Beban pokok penjualan 3.403.447 2.988.820</t>
        </is>
      </c>
      <c r="J6137" t="inlineStr">
        <is>
          <t>High</t>
        </is>
      </c>
      <c r="M6137" t="inlineStr">
        <is>
          <t>LLM</t>
        </is>
      </c>
      <c r="N6137" t="inlineStr">
        <is>
          <t>2026-04-19</t>
        </is>
      </c>
      <c r="O6137" t="inlineStr">
        <is>
          <t>AI</t>
        </is>
      </c>
    </row>
    <row r="6138">
      <c r="A6138" t="inlineStr">
        <is>
          <t>PT Bakrie Sumatera Plantations Tbk</t>
        </is>
      </c>
      <c r="B6138" t="inlineStr">
        <is>
          <t>UNSP_2022_AR.pdf</t>
        </is>
      </c>
      <c r="C6138" t="n">
        <v>2022</v>
      </c>
      <c r="D6138" t="inlineStr">
        <is>
          <t>Financial</t>
        </is>
      </c>
      <c r="E6138" t="inlineStr">
        <is>
          <t>Gross Profit</t>
        </is>
      </c>
      <c r="F6138" t="n">
        <v>785.88</v>
      </c>
      <c r="G6138" t="inlineStr">
        <is>
          <t>IDR bn</t>
        </is>
      </c>
      <c r="H6138" t="n">
        <v>6</v>
      </c>
      <c r="I6138" t="inlineStr">
        <is>
          <t>Laba bruto 785.883 982.294 (-20,00%)</t>
        </is>
      </c>
      <c r="J6138" t="inlineStr">
        <is>
          <t>High</t>
        </is>
      </c>
      <c r="M6138" t="inlineStr">
        <is>
          <t>LLM</t>
        </is>
      </c>
      <c r="N6138" t="inlineStr">
        <is>
          <t>2026-04-19</t>
        </is>
      </c>
      <c r="O6138" t="inlineStr">
        <is>
          <t>AI</t>
        </is>
      </c>
    </row>
    <row r="6139">
      <c r="A6139" t="inlineStr">
        <is>
          <t>PT Bakrie Sumatera Plantations Tbk</t>
        </is>
      </c>
      <c r="B6139" t="inlineStr">
        <is>
          <t>UNSP_2022_AR.pdf</t>
        </is>
      </c>
      <c r="C6139" t="n">
        <v>2022</v>
      </c>
      <c r="D6139" t="inlineStr">
        <is>
          <t>Financial</t>
        </is>
      </c>
      <c r="E6139" t="inlineStr">
        <is>
          <t>Selling Expenses</t>
        </is>
      </c>
      <c r="F6139" t="n">
        <v>86.28</v>
      </c>
      <c r="G6139" t="inlineStr">
        <is>
          <t>IDR bn</t>
        </is>
      </c>
      <c r="H6139" t="n">
        <v>79</v>
      </c>
      <c r="I6139" t="inlineStr">
        <is>
          <t>Beban penjualan (86.275) (97.441) (-11,46%)</t>
        </is>
      </c>
      <c r="J6139" t="inlineStr">
        <is>
          <t>High</t>
        </is>
      </c>
      <c r="M6139" t="inlineStr">
        <is>
          <t>LLM</t>
        </is>
      </c>
      <c r="N6139" t="inlineStr">
        <is>
          <t>2026-04-19</t>
        </is>
      </c>
      <c r="O6139" t="inlineStr">
        <is>
          <t>AI</t>
        </is>
      </c>
    </row>
    <row r="6140">
      <c r="A6140" t="inlineStr">
        <is>
          <t>PT Bakrie Sumatera Plantations Tbk</t>
        </is>
      </c>
      <c r="B6140" t="inlineStr">
        <is>
          <t>UNSP_2022_AR.pdf</t>
        </is>
      </c>
      <c r="C6140" t="n">
        <v>2022</v>
      </c>
      <c r="D6140" t="inlineStr">
        <is>
          <t>Financial</t>
        </is>
      </c>
      <c r="E6140" t="inlineStr">
        <is>
          <t>G&amp;A Expenses</t>
        </is>
      </c>
      <c r="F6140" t="n">
        <v>384.47</v>
      </c>
      <c r="G6140" t="inlineStr">
        <is>
          <t>IDR bn</t>
        </is>
      </c>
      <c r="H6140" t="n">
        <v>79</v>
      </c>
      <c r="I6140" t="inlineStr">
        <is>
          <t>Beban umum dan administrasi (384.470) (375.519) 2,38%</t>
        </is>
      </c>
      <c r="J6140" t="inlineStr">
        <is>
          <t>High</t>
        </is>
      </c>
      <c r="M6140" t="inlineStr">
        <is>
          <t>LLM</t>
        </is>
      </c>
      <c r="N6140" t="inlineStr">
        <is>
          <t>2026-04-19</t>
        </is>
      </c>
      <c r="O6140" t="inlineStr">
        <is>
          <t>AI</t>
        </is>
      </c>
    </row>
    <row r="6141">
      <c r="A6141" t="inlineStr">
        <is>
          <t>PT Bakrie Sumatera Plantations Tbk</t>
        </is>
      </c>
      <c r="B6141" t="inlineStr">
        <is>
          <t>UNSP_2022_AR.pdf</t>
        </is>
      </c>
      <c r="C6141" t="n">
        <v>2022</v>
      </c>
      <c r="D6141" t="inlineStr">
        <is>
          <t>Financial</t>
        </is>
      </c>
      <c r="E6141" t="inlineStr">
        <is>
          <t>FX Loss</t>
        </is>
      </c>
      <c r="F6141" t="n">
        <v>-783.3</v>
      </c>
      <c r="G6141" t="inlineStr">
        <is>
          <t>IDR bn</t>
        </is>
      </c>
      <c r="H6141" t="n">
        <v>79</v>
      </c>
      <c r="I6141" t="inlineStr">
        <is>
          <t>Kerugian selisih kurs - neto (783.303) (167.355) 368,05%</t>
        </is>
      </c>
      <c r="J6141" t="inlineStr">
        <is>
          <t>High</t>
        </is>
      </c>
      <c r="M6141" t="inlineStr">
        <is>
          <t>LLM</t>
        </is>
      </c>
      <c r="N6141" t="inlineStr">
        <is>
          <t>2026-04-19</t>
        </is>
      </c>
      <c r="O6141" t="inlineStr">
        <is>
          <t>AI</t>
        </is>
      </c>
    </row>
    <row r="6142">
      <c r="A6142" t="inlineStr">
        <is>
          <t>PT Bakrie Sumatera Plantations Tbk</t>
        </is>
      </c>
      <c r="B6142" t="inlineStr">
        <is>
          <t>UNSP_2022_AR.pdf</t>
        </is>
      </c>
      <c r="C6142" t="n">
        <v>2022</v>
      </c>
      <c r="D6142" t="inlineStr">
        <is>
          <t>Financial</t>
        </is>
      </c>
      <c r="E6142" t="inlineStr">
        <is>
          <t>Impairment Loss Provision</t>
        </is>
      </c>
      <c r="F6142" t="n">
        <v>-536.4</v>
      </c>
      <c r="G6142" t="inlineStr">
        <is>
          <t>IDR bn</t>
        </is>
      </c>
      <c r="H6142" t="n">
        <v>80</v>
      </c>
      <c r="I6142" t="inlineStr">
        <is>
          <t>Penyisihan untuk kerugian penurunan nilai - neto (536.403) (48.139) 1.014,28%</t>
        </is>
      </c>
      <c r="J6142" t="inlineStr">
        <is>
          <t>High</t>
        </is>
      </c>
      <c r="M6142" t="inlineStr">
        <is>
          <t>LLM</t>
        </is>
      </c>
      <c r="N6142" t="inlineStr">
        <is>
          <t>2026-04-19</t>
        </is>
      </c>
      <c r="O6142" t="inlineStr">
        <is>
          <t>AI</t>
        </is>
      </c>
    </row>
    <row r="6143">
      <c r="A6143" t="inlineStr">
        <is>
          <t>PT Bakrie Sumatera Plantations Tbk</t>
        </is>
      </c>
      <c r="B6143" t="inlineStr">
        <is>
          <t>UNSP_2022_AR.pdf</t>
        </is>
      </c>
      <c r="C6143" t="n">
        <v>2022</v>
      </c>
      <c r="D6143" t="inlineStr">
        <is>
          <t>Financial</t>
        </is>
      </c>
      <c r="E6143" t="inlineStr">
        <is>
          <t>Loss on FV Biological Assets</t>
        </is>
      </c>
      <c r="F6143" t="n">
        <v>-127.86</v>
      </c>
      <c r="G6143" t="inlineStr">
        <is>
          <t>IDR bn</t>
        </is>
      </c>
      <c r="H6143" t="n">
        <v>80</v>
      </c>
      <c r="I6143" t="inlineStr">
        <is>
          <t>Keuntungan (kerugian) atas perubahan nilai wajar aset biologis - neto (127.864) 186.078</t>
        </is>
      </c>
      <c r="J6143" t="inlineStr">
        <is>
          <t>High</t>
        </is>
      </c>
      <c r="M6143" t="inlineStr">
        <is>
          <t>LLM</t>
        </is>
      </c>
      <c r="N6143" t="inlineStr">
        <is>
          <t>2026-04-19</t>
        </is>
      </c>
      <c r="O6143" t="inlineStr">
        <is>
          <t>AI</t>
        </is>
      </c>
    </row>
    <row r="6144">
      <c r="A6144" t="inlineStr">
        <is>
          <t>PT Bakrie Sumatera Plantations Tbk</t>
        </is>
      </c>
      <c r="B6144" t="inlineStr">
        <is>
          <t>UNSP_2022_AR.pdf</t>
        </is>
      </c>
      <c r="C6144" t="n">
        <v>2022</v>
      </c>
      <c r="D6144" t="inlineStr">
        <is>
          <t>Financial</t>
        </is>
      </c>
      <c r="E6144" t="inlineStr">
        <is>
          <t>Miscellaneous - net (DAP divestment gain)</t>
        </is>
      </c>
      <c r="F6144" t="n">
        <v>2268.18</v>
      </c>
      <c r="G6144" t="inlineStr">
        <is>
          <t>IDR bn</t>
        </is>
      </c>
      <c r="H6144" t="n">
        <v>80</v>
      </c>
      <c r="I6144" t="inlineStr">
        <is>
          <t>Lain-lain - neto 2.268.176 131.747 1.621,61%</t>
        </is>
      </c>
      <c r="J6144" t="inlineStr">
        <is>
          <t>High</t>
        </is>
      </c>
      <c r="M6144" t="inlineStr">
        <is>
          <t>LLM</t>
        </is>
      </c>
      <c r="N6144" t="inlineStr">
        <is>
          <t>2026-04-19</t>
        </is>
      </c>
      <c r="O6144" t="inlineStr">
        <is>
          <t>AI</t>
        </is>
      </c>
    </row>
    <row r="6145">
      <c r="A6145" t="inlineStr">
        <is>
          <t>PT Bakrie Sumatera Plantations Tbk</t>
        </is>
      </c>
      <c r="B6145" t="inlineStr">
        <is>
          <t>UNSP_2022_AR.pdf</t>
        </is>
      </c>
      <c r="C6145" t="n">
        <v>2022</v>
      </c>
      <c r="D6145" t="inlineStr">
        <is>
          <t>Financial</t>
        </is>
      </c>
      <c r="E6145" t="inlineStr">
        <is>
          <t>Finance Expenses - net</t>
        </is>
      </c>
      <c r="F6145" t="n">
        <v>-193.15</v>
      </c>
      <c r="G6145" t="inlineStr">
        <is>
          <t>IDR bn</t>
        </is>
      </c>
      <c r="H6145" t="n">
        <v>80</v>
      </c>
      <c r="I6145" t="inlineStr">
        <is>
          <t>Beban keuangan - neto (193.145) (296.113) (-34,77%)</t>
        </is>
      </c>
      <c r="J6145" t="inlineStr">
        <is>
          <t>High</t>
        </is>
      </c>
      <c r="M6145" t="inlineStr">
        <is>
          <t>LLM</t>
        </is>
      </c>
      <c r="N6145" t="inlineStr">
        <is>
          <t>2026-04-19</t>
        </is>
      </c>
      <c r="O6145" t="inlineStr">
        <is>
          <t>AI</t>
        </is>
      </c>
    </row>
    <row r="6146">
      <c r="A6146" t="inlineStr">
        <is>
          <t>PT Bakrie Sumatera Plantations Tbk</t>
        </is>
      </c>
      <c r="B6146" t="inlineStr">
        <is>
          <t>UNSP_2022_AR.pdf</t>
        </is>
      </c>
      <c r="C6146" t="n">
        <v>2022</v>
      </c>
      <c r="D6146" t="inlineStr">
        <is>
          <t>Financial</t>
        </is>
      </c>
      <c r="E6146" t="inlineStr">
        <is>
          <t>Profit Before Tax</t>
        </is>
      </c>
      <c r="F6146" t="n">
        <v>946.72</v>
      </c>
      <c r="G6146" t="inlineStr">
        <is>
          <t>IDR bn</t>
        </is>
      </c>
      <c r="H6146" t="n">
        <v>6</v>
      </c>
      <c r="I6146" t="inlineStr">
        <is>
          <t>Laba sebelum manfaat (beban) pajak penghasilan 946.717 318.377</t>
        </is>
      </c>
      <c r="J6146" t="inlineStr">
        <is>
          <t>High</t>
        </is>
      </c>
      <c r="M6146" t="inlineStr">
        <is>
          <t>LLM</t>
        </is>
      </c>
      <c r="N6146" t="inlineStr">
        <is>
          <t>2026-04-19</t>
        </is>
      </c>
      <c r="O6146" t="inlineStr">
        <is>
          <t>AI</t>
        </is>
      </c>
    </row>
    <row r="6147">
      <c r="A6147" t="inlineStr">
        <is>
          <t>PT Bakrie Sumatera Plantations Tbk</t>
        </is>
      </c>
      <c r="B6147" t="inlineStr">
        <is>
          <t>UNSP_2022_AR.pdf</t>
        </is>
      </c>
      <c r="C6147" t="n">
        <v>2022</v>
      </c>
      <c r="D6147" t="inlineStr">
        <is>
          <t>Financial</t>
        </is>
      </c>
      <c r="E6147" t="inlineStr">
        <is>
          <t>Income Tax Expense</t>
        </is>
      </c>
      <c r="F6147" t="n">
        <v>-16.51</v>
      </c>
      <c r="G6147" t="inlineStr">
        <is>
          <t>IDR bn</t>
        </is>
      </c>
      <c r="H6147" t="n">
        <v>6</v>
      </c>
      <c r="I6147" t="inlineStr">
        <is>
          <t>Manfaat (beban) pajak penghasilan (16.510) (200.868)</t>
        </is>
      </c>
      <c r="J6147" t="inlineStr">
        <is>
          <t>High</t>
        </is>
      </c>
      <c r="M6147" t="inlineStr">
        <is>
          <t>LLM</t>
        </is>
      </c>
      <c r="N6147" t="inlineStr">
        <is>
          <t>2026-04-19</t>
        </is>
      </c>
      <c r="O6147" t="inlineStr">
        <is>
          <t>AI</t>
        </is>
      </c>
    </row>
    <row r="6148">
      <c r="A6148" t="inlineStr">
        <is>
          <t>PT Bakrie Sumatera Plantations Tbk</t>
        </is>
      </c>
      <c r="B6148" t="inlineStr">
        <is>
          <t>UNSP_2022_AR.pdf</t>
        </is>
      </c>
      <c r="C6148" t="n">
        <v>2022</v>
      </c>
      <c r="D6148" t="inlineStr">
        <is>
          <t>Financial</t>
        </is>
      </c>
      <c r="E6148" t="inlineStr">
        <is>
          <t>Net Profit</t>
        </is>
      </c>
      <c r="F6148" t="n">
        <v>930.21</v>
      </c>
      <c r="G6148" t="inlineStr">
        <is>
          <t>IDR bn</t>
        </is>
      </c>
      <c r="H6148" t="n">
        <v>6</v>
      </c>
      <c r="I6148" t="inlineStr">
        <is>
          <t>Laba (rugi) neto 930.207 117.509</t>
        </is>
      </c>
      <c r="J6148" t="inlineStr">
        <is>
          <t>High</t>
        </is>
      </c>
      <c r="M6148" t="inlineStr">
        <is>
          <t>LLM</t>
        </is>
      </c>
      <c r="N6148" t="inlineStr">
        <is>
          <t>2026-04-19</t>
        </is>
      </c>
      <c r="O6148" t="inlineStr">
        <is>
          <t>AI</t>
        </is>
      </c>
    </row>
    <row r="6149">
      <c r="A6149" t="inlineStr">
        <is>
          <t>PT Bakrie Sumatera Plantations Tbk</t>
        </is>
      </c>
      <c r="B6149" t="inlineStr">
        <is>
          <t>UNSP_2022_AR.pdf</t>
        </is>
      </c>
      <c r="C6149" t="n">
        <v>2022</v>
      </c>
      <c r="D6149" t="inlineStr">
        <is>
          <t>Financial</t>
        </is>
      </c>
      <c r="E6149" t="inlineStr">
        <is>
          <t>Profit Attributable to Parent</t>
        </is>
      </c>
      <c r="F6149" t="n">
        <v>216.77</v>
      </c>
      <c r="G6149" t="inlineStr">
        <is>
          <t>IDR bn</t>
        </is>
      </c>
      <c r="H6149" t="n">
        <v>6</v>
      </c>
      <c r="I6149" t="inlineStr">
        <is>
          <t>Laba neto yang dapat diatribusikan kepada pemilik entitas induk 216.770 128.686</t>
        </is>
      </c>
      <c r="J6149" t="inlineStr">
        <is>
          <t>High</t>
        </is>
      </c>
      <c r="M6149" t="inlineStr">
        <is>
          <t>LLM</t>
        </is>
      </c>
      <c r="N6149" t="inlineStr">
        <is>
          <t>2026-04-19</t>
        </is>
      </c>
      <c r="O6149" t="inlineStr">
        <is>
          <t>AI</t>
        </is>
      </c>
    </row>
    <row r="6150">
      <c r="A6150" t="inlineStr">
        <is>
          <t>PT Bakrie Sumatera Plantations Tbk</t>
        </is>
      </c>
      <c r="B6150" t="inlineStr">
        <is>
          <t>UNSP_2022_AR.pdf</t>
        </is>
      </c>
      <c r="C6150" t="n">
        <v>2022</v>
      </c>
      <c r="D6150" t="inlineStr">
        <is>
          <t>Financial</t>
        </is>
      </c>
      <c r="E6150" t="inlineStr">
        <is>
          <t>Profit Attributable to NCI</t>
        </is>
      </c>
      <c r="F6150" t="n">
        <v>713.4400000000001</v>
      </c>
      <c r="G6150" t="inlineStr">
        <is>
          <t>IDR bn</t>
        </is>
      </c>
      <c r="H6150" t="n">
        <v>6</v>
      </c>
      <c r="I6150" t="inlineStr">
        <is>
          <t>kepentingan nonpengendali 713.437 (11.177)</t>
        </is>
      </c>
      <c r="J6150" t="inlineStr">
        <is>
          <t>High</t>
        </is>
      </c>
      <c r="M6150" t="inlineStr">
        <is>
          <t>LLM</t>
        </is>
      </c>
      <c r="N6150" t="inlineStr">
        <is>
          <t>2026-04-19</t>
        </is>
      </c>
      <c r="O6150" t="inlineStr">
        <is>
          <t>AI</t>
        </is>
      </c>
    </row>
    <row r="6151">
      <c r="A6151" t="inlineStr">
        <is>
          <t>PT Bakrie Sumatera Plantations Tbk</t>
        </is>
      </c>
      <c r="B6151" t="inlineStr">
        <is>
          <t>UNSP_2022_AR.pdf</t>
        </is>
      </c>
      <c r="C6151" t="n">
        <v>2022</v>
      </c>
      <c r="D6151" t="inlineStr">
        <is>
          <t>Financial</t>
        </is>
      </c>
      <c r="E6151" t="inlineStr">
        <is>
          <t>Total Comprehensive Income</t>
        </is>
      </c>
      <c r="F6151" t="n">
        <v>938.59</v>
      </c>
      <c r="G6151" t="inlineStr">
        <is>
          <t>IDR bn</t>
        </is>
      </c>
      <c r="H6151" t="n">
        <v>6</v>
      </c>
      <c r="I6151" t="inlineStr">
        <is>
          <t>Total penghasilan komprehensif 938.594 117.575 698,29%</t>
        </is>
      </c>
      <c r="J6151" t="inlineStr">
        <is>
          <t>High</t>
        </is>
      </c>
      <c r="M6151" t="inlineStr">
        <is>
          <t>LLM</t>
        </is>
      </c>
      <c r="N6151" t="inlineStr">
        <is>
          <t>2026-04-19</t>
        </is>
      </c>
      <c r="O6151" t="inlineStr">
        <is>
          <t>AI</t>
        </is>
      </c>
    </row>
    <row r="6152">
      <c r="A6152" t="inlineStr">
        <is>
          <t>PT Bakrie Sumatera Plantations Tbk</t>
        </is>
      </c>
      <c r="B6152" t="inlineStr">
        <is>
          <t>UNSP_2022_AR.pdf</t>
        </is>
      </c>
      <c r="C6152" t="n">
        <v>2022</v>
      </c>
      <c r="D6152" t="inlineStr">
        <is>
          <t>Financial</t>
        </is>
      </c>
      <c r="E6152" t="inlineStr">
        <is>
          <t>Current Assets</t>
        </is>
      </c>
      <c r="F6152" t="n">
        <v>707.4299999999999</v>
      </c>
      <c r="G6152" t="inlineStr">
        <is>
          <t>IDR bn</t>
        </is>
      </c>
      <c r="H6152" t="n">
        <v>81</v>
      </c>
      <c r="I6152" t="inlineStr">
        <is>
          <t>Aset lancar 707.427 1.459.764 (-51,54%)</t>
        </is>
      </c>
      <c r="J6152" t="inlineStr">
        <is>
          <t>High</t>
        </is>
      </c>
      <c r="M6152" t="inlineStr">
        <is>
          <t>LLM</t>
        </is>
      </c>
      <c r="N6152" t="inlineStr">
        <is>
          <t>2026-04-19</t>
        </is>
      </c>
      <c r="O6152" t="inlineStr">
        <is>
          <t>AI</t>
        </is>
      </c>
    </row>
    <row r="6153">
      <c r="A6153" t="inlineStr">
        <is>
          <t>PT Bakrie Sumatera Plantations Tbk</t>
        </is>
      </c>
      <c r="B6153" t="inlineStr">
        <is>
          <t>UNSP_2022_AR.pdf</t>
        </is>
      </c>
      <c r="C6153" t="n">
        <v>2022</v>
      </c>
      <c r="D6153" t="inlineStr">
        <is>
          <t>Financial</t>
        </is>
      </c>
      <c r="E6153" t="inlineStr">
        <is>
          <t>Non-Current Assets</t>
        </is>
      </c>
      <c r="F6153" t="n">
        <v>3832.88</v>
      </c>
      <c r="G6153" t="inlineStr">
        <is>
          <t>IDR bn</t>
        </is>
      </c>
      <c r="H6153" t="n">
        <v>81</v>
      </c>
      <c r="I6153" t="inlineStr">
        <is>
          <t>Aset tidak lancar 3.832.875 6.798.693 (-43,62%)</t>
        </is>
      </c>
      <c r="J6153" t="inlineStr">
        <is>
          <t>High</t>
        </is>
      </c>
      <c r="M6153" t="inlineStr">
        <is>
          <t>LLM</t>
        </is>
      </c>
      <c r="N6153" t="inlineStr">
        <is>
          <t>2026-04-19</t>
        </is>
      </c>
      <c r="O6153" t="inlineStr">
        <is>
          <t>AI</t>
        </is>
      </c>
    </row>
    <row r="6154">
      <c r="A6154" t="inlineStr">
        <is>
          <t>PT Bakrie Sumatera Plantations Tbk</t>
        </is>
      </c>
      <c r="B6154" t="inlineStr">
        <is>
          <t>UNSP_2022_AR.pdf</t>
        </is>
      </c>
      <c r="C6154" t="n">
        <v>2022</v>
      </c>
      <c r="D6154" t="inlineStr">
        <is>
          <t>Financial</t>
        </is>
      </c>
      <c r="E6154" t="inlineStr">
        <is>
          <t>Total Assets</t>
        </is>
      </c>
      <c r="F6154" t="n">
        <v>4540.3</v>
      </c>
      <c r="G6154" t="inlineStr">
        <is>
          <t>IDR bn</t>
        </is>
      </c>
      <c r="H6154" t="n">
        <v>7</v>
      </c>
      <c r="I6154" t="inlineStr">
        <is>
          <t>Total aset 4.540.302 8.258.457 (-45,02%)</t>
        </is>
      </c>
      <c r="J6154" t="inlineStr">
        <is>
          <t>High</t>
        </is>
      </c>
      <c r="M6154" t="inlineStr">
        <is>
          <t>LLM</t>
        </is>
      </c>
      <c r="N6154" t="inlineStr">
        <is>
          <t>2026-04-19</t>
        </is>
      </c>
      <c r="O6154" t="inlineStr">
        <is>
          <t>AI</t>
        </is>
      </c>
    </row>
    <row r="6155">
      <c r="A6155" t="inlineStr">
        <is>
          <t>PT Bakrie Sumatera Plantations Tbk</t>
        </is>
      </c>
      <c r="B6155" t="inlineStr">
        <is>
          <t>UNSP_2022_AR.pdf</t>
        </is>
      </c>
      <c r="C6155" t="n">
        <v>2022</v>
      </c>
      <c r="D6155" t="inlineStr">
        <is>
          <t>Financial</t>
        </is>
      </c>
      <c r="E6155" t="inlineStr">
        <is>
          <t>Current Liabilities</t>
        </is>
      </c>
      <c r="F6155" t="n">
        <v>8305.610000000001</v>
      </c>
      <c r="G6155" t="inlineStr">
        <is>
          <t>IDR bn</t>
        </is>
      </c>
      <c r="H6155" t="n">
        <v>81</v>
      </c>
      <c r="I6155" t="inlineStr">
        <is>
          <t>Liabilitas jangka pendek 8.305.609 12.870.326 (-35,47%)</t>
        </is>
      </c>
      <c r="J6155" t="inlineStr">
        <is>
          <t>High</t>
        </is>
      </c>
      <c r="M6155" t="inlineStr">
        <is>
          <t>LLM</t>
        </is>
      </c>
      <c r="N6155" t="inlineStr">
        <is>
          <t>2026-04-19</t>
        </is>
      </c>
      <c r="O6155" t="inlineStr">
        <is>
          <t>AI</t>
        </is>
      </c>
    </row>
    <row r="6156">
      <c r="A6156" t="inlineStr">
        <is>
          <t>PT Bakrie Sumatera Plantations Tbk</t>
        </is>
      </c>
      <c r="B6156" t="inlineStr">
        <is>
          <t>UNSP_2022_AR.pdf</t>
        </is>
      </c>
      <c r="C6156" t="n">
        <v>2022</v>
      </c>
      <c r="D6156" t="inlineStr">
        <is>
          <t>Financial</t>
        </is>
      </c>
      <c r="E6156" t="inlineStr">
        <is>
          <t>Non-Current Liabilities</t>
        </is>
      </c>
      <c r="F6156" t="n">
        <v>2191.31</v>
      </c>
      <c r="G6156" t="inlineStr">
        <is>
          <t>IDR bn</t>
        </is>
      </c>
      <c r="H6156" t="n">
        <v>81</v>
      </c>
      <c r="I6156" t="inlineStr">
        <is>
          <t>Liabilitas jangka panjang 2.191.313 2.281.015 (-3,93%)</t>
        </is>
      </c>
      <c r="J6156" t="inlineStr">
        <is>
          <t>High</t>
        </is>
      </c>
      <c r="M6156" t="inlineStr">
        <is>
          <t>LLM</t>
        </is>
      </c>
      <c r="N6156" t="inlineStr">
        <is>
          <t>2026-04-19</t>
        </is>
      </c>
      <c r="O6156" t="inlineStr">
        <is>
          <t>AI</t>
        </is>
      </c>
    </row>
    <row r="6157">
      <c r="A6157" t="inlineStr">
        <is>
          <t>PT Bakrie Sumatera Plantations Tbk</t>
        </is>
      </c>
      <c r="B6157" t="inlineStr">
        <is>
          <t>UNSP_2022_AR.pdf</t>
        </is>
      </c>
      <c r="C6157" t="n">
        <v>2022</v>
      </c>
      <c r="D6157" t="inlineStr">
        <is>
          <t>Financial</t>
        </is>
      </c>
      <c r="E6157" t="inlineStr">
        <is>
          <t>Total Liabilities</t>
        </is>
      </c>
      <c r="F6157" t="n">
        <v>10496.92</v>
      </c>
      <c r="G6157" t="inlineStr">
        <is>
          <t>IDR bn</t>
        </is>
      </c>
      <c r="H6157" t="n">
        <v>7</v>
      </c>
      <c r="I6157" t="inlineStr">
        <is>
          <t>Total liabilitas 10.496.922 15.151.341 (-30,72%)</t>
        </is>
      </c>
      <c r="J6157" t="inlineStr">
        <is>
          <t>High</t>
        </is>
      </c>
      <c r="M6157" t="inlineStr">
        <is>
          <t>LLM</t>
        </is>
      </c>
      <c r="N6157" t="inlineStr">
        <is>
          <t>2026-04-19</t>
        </is>
      </c>
      <c r="O6157" t="inlineStr">
        <is>
          <t>AI</t>
        </is>
      </c>
    </row>
    <row r="6158">
      <c r="A6158" t="inlineStr">
        <is>
          <t>PT Bakrie Sumatera Plantations Tbk</t>
        </is>
      </c>
      <c r="B6158" t="inlineStr">
        <is>
          <t>UNSP_2022_AR.pdf</t>
        </is>
      </c>
      <c r="C6158" t="n">
        <v>2022</v>
      </c>
      <c r="D6158" t="inlineStr">
        <is>
          <t>Financial</t>
        </is>
      </c>
      <c r="E6158" t="inlineStr">
        <is>
          <t>Capital Deficiency - Net</t>
        </is>
      </c>
      <c r="F6158" t="n">
        <v>-5956.62</v>
      </c>
      <c r="G6158" t="inlineStr">
        <is>
          <t>IDR bn</t>
        </is>
      </c>
      <c r="H6158" t="n">
        <v>7</v>
      </c>
      <c r="I6158" t="inlineStr">
        <is>
          <t>Defisiensi modal - neto (5.956.620) (6.892.884)</t>
        </is>
      </c>
      <c r="J6158" t="inlineStr">
        <is>
          <t>High</t>
        </is>
      </c>
      <c r="M6158" t="inlineStr">
        <is>
          <t>LLM</t>
        </is>
      </c>
      <c r="N6158" t="inlineStr">
        <is>
          <t>2026-04-19</t>
        </is>
      </c>
      <c r="O6158" t="inlineStr">
        <is>
          <t>AI</t>
        </is>
      </c>
    </row>
    <row r="6159">
      <c r="A6159" t="inlineStr">
        <is>
          <t>PT Bakrie Sumatera Plantations Tbk</t>
        </is>
      </c>
      <c r="B6159" t="inlineStr">
        <is>
          <t>UNSP_2022_AR.pdf</t>
        </is>
      </c>
      <c r="C6159" t="n">
        <v>2022</v>
      </c>
      <c r="D6159" t="inlineStr">
        <is>
          <t>Financial</t>
        </is>
      </c>
      <c r="E6159" t="inlineStr">
        <is>
          <t>Net Working Capital</t>
        </is>
      </c>
      <c r="F6159" t="n">
        <v>-7598.18</v>
      </c>
      <c r="G6159" t="inlineStr">
        <is>
          <t>IDR bn</t>
        </is>
      </c>
      <c r="H6159" t="n">
        <v>7</v>
      </c>
      <c r="I6159" t="inlineStr">
        <is>
          <t>Modal kerja neto (7.598.182) (11.410.562)</t>
        </is>
      </c>
      <c r="J6159" t="inlineStr">
        <is>
          <t>High</t>
        </is>
      </c>
      <c r="M6159" t="inlineStr">
        <is>
          <t>LLM</t>
        </is>
      </c>
      <c r="N6159" t="inlineStr">
        <is>
          <t>2026-04-19</t>
        </is>
      </c>
      <c r="O6159" t="inlineStr">
        <is>
          <t>AI</t>
        </is>
      </c>
    </row>
    <row r="6160">
      <c r="A6160" t="inlineStr">
        <is>
          <t>PT Bakrie Sumatera Plantations Tbk</t>
        </is>
      </c>
      <c r="B6160" t="inlineStr">
        <is>
          <t>UNSP_2022_AR.pdf</t>
        </is>
      </c>
      <c r="C6160" t="n">
        <v>2022</v>
      </c>
      <c r="D6160" t="inlineStr">
        <is>
          <t>Financial</t>
        </is>
      </c>
      <c r="E6160" t="inlineStr">
        <is>
          <t>Cash &amp; Cash Equivalents (end)</t>
        </is>
      </c>
      <c r="F6160" t="n">
        <v>144.36</v>
      </c>
      <c r="G6160" t="inlineStr">
        <is>
          <t>IDR bn</t>
        </is>
      </c>
      <c r="H6160" t="n">
        <v>81</v>
      </c>
      <c r="I6160" t="inlineStr">
        <is>
          <t>Kas dan setara kas 144.360 268.455 (-46,23%)</t>
        </is>
      </c>
      <c r="J6160" t="inlineStr">
        <is>
          <t>High</t>
        </is>
      </c>
      <c r="M6160" t="inlineStr">
        <is>
          <t>LLM</t>
        </is>
      </c>
      <c r="N6160" t="inlineStr">
        <is>
          <t>2026-04-19</t>
        </is>
      </c>
      <c r="O6160" t="inlineStr">
        <is>
          <t>AI</t>
        </is>
      </c>
    </row>
    <row r="6161">
      <c r="A6161" t="inlineStr">
        <is>
          <t>PT Bakrie Sumatera Plantations Tbk</t>
        </is>
      </c>
      <c r="B6161" t="inlineStr">
        <is>
          <t>UNSP_2022_AR.pdf</t>
        </is>
      </c>
      <c r="C6161" t="n">
        <v>2022</v>
      </c>
      <c r="D6161" t="inlineStr">
        <is>
          <t>Financial</t>
        </is>
      </c>
      <c r="E6161" t="inlineStr">
        <is>
          <t>Biological Assets (current)</t>
        </is>
      </c>
      <c r="F6161" t="n">
        <v>181.34</v>
      </c>
      <c r="G6161" t="inlineStr">
        <is>
          <t>IDR bn</t>
        </is>
      </c>
      <c r="H6161" t="n">
        <v>81</v>
      </c>
      <c r="I6161" t="inlineStr">
        <is>
          <t>Aset biologis 181.335 309.199 (-41,35%)</t>
        </is>
      </c>
      <c r="J6161" t="inlineStr">
        <is>
          <t>High</t>
        </is>
      </c>
      <c r="M6161" t="inlineStr">
        <is>
          <t>LLM</t>
        </is>
      </c>
      <c r="N6161" t="inlineStr">
        <is>
          <t>2026-04-19</t>
        </is>
      </c>
      <c r="O6161" t="inlineStr">
        <is>
          <t>AI</t>
        </is>
      </c>
    </row>
    <row r="6162">
      <c r="A6162" t="inlineStr">
        <is>
          <t>PT Bakrie Sumatera Plantations Tbk</t>
        </is>
      </c>
      <c r="B6162" t="inlineStr">
        <is>
          <t>UNSP_2022_AR.pdf</t>
        </is>
      </c>
      <c r="C6162" t="n">
        <v>2022</v>
      </c>
      <c r="D6162" t="inlineStr">
        <is>
          <t>Financial</t>
        </is>
      </c>
      <c r="E6162" t="inlineStr">
        <is>
          <t>Inventories - Net</t>
        </is>
      </c>
      <c r="F6162" t="n">
        <v>215.28</v>
      </c>
      <c r="G6162" t="inlineStr">
        <is>
          <t>IDR bn</t>
        </is>
      </c>
      <c r="H6162" t="n">
        <v>81</v>
      </c>
      <c r="I6162" t="inlineStr">
        <is>
          <t>Persediaan - neto 215.281 318.600 (-32,43%)</t>
        </is>
      </c>
      <c r="J6162" t="inlineStr">
        <is>
          <t>High</t>
        </is>
      </c>
      <c r="M6162" t="inlineStr">
        <is>
          <t>LLM</t>
        </is>
      </c>
      <c r="N6162" t="inlineStr">
        <is>
          <t>2026-04-19</t>
        </is>
      </c>
      <c r="O6162" t="inlineStr">
        <is>
          <t>AI</t>
        </is>
      </c>
    </row>
    <row r="6163">
      <c r="A6163" t="inlineStr">
        <is>
          <t>PT Bakrie Sumatera Plantations Tbk</t>
        </is>
      </c>
      <c r="B6163" t="inlineStr">
        <is>
          <t>UNSP_2022_AR.pdf</t>
        </is>
      </c>
      <c r="C6163" t="n">
        <v>2022</v>
      </c>
      <c r="D6163" t="inlineStr">
        <is>
          <t>Financial</t>
        </is>
      </c>
      <c r="E6163" t="inlineStr">
        <is>
          <t>CFO</t>
        </is>
      </c>
      <c r="F6163" t="n">
        <v>-84.56999999999999</v>
      </c>
      <c r="G6163" t="inlineStr">
        <is>
          <t>IDR bn</t>
        </is>
      </c>
      <c r="I6163" t="inlineStr">
        <is>
          <t>Arus kas neto diperoleh dari (digunakan untuk) aktivitas operasi (84.573) 140.207 (-160,32%)</t>
        </is>
      </c>
      <c r="J6163" t="inlineStr">
        <is>
          <t>High</t>
        </is>
      </c>
      <c r="M6163" t="inlineStr">
        <is>
          <t>LLM</t>
        </is>
      </c>
      <c r="N6163" t="inlineStr">
        <is>
          <t>2026-04-19</t>
        </is>
      </c>
      <c r="O6163" t="inlineStr">
        <is>
          <t>AI</t>
        </is>
      </c>
    </row>
    <row r="6164">
      <c r="A6164" t="inlineStr">
        <is>
          <t>PT Bakrie Sumatera Plantations Tbk</t>
        </is>
      </c>
      <c r="B6164" t="inlineStr">
        <is>
          <t>UNSP_2022_AR.pdf</t>
        </is>
      </c>
      <c r="C6164" t="n">
        <v>2022</v>
      </c>
      <c r="D6164" t="inlineStr">
        <is>
          <t>Financial</t>
        </is>
      </c>
      <c r="E6164" t="inlineStr">
        <is>
          <t>CFI</t>
        </is>
      </c>
      <c r="F6164" t="n">
        <v>-61.31</v>
      </c>
      <c r="G6164" t="inlineStr">
        <is>
          <t>IDR bn</t>
        </is>
      </c>
      <c r="I6164" t="inlineStr">
        <is>
          <t>Arus kas neto digunakan untuk aktivitas investasi (61.314) (273.411) (-77,57%)</t>
        </is>
      </c>
      <c r="J6164" t="inlineStr">
        <is>
          <t>High</t>
        </is>
      </c>
      <c r="M6164" t="inlineStr">
        <is>
          <t>LLM</t>
        </is>
      </c>
      <c r="N6164" t="inlineStr">
        <is>
          <t>2026-04-19</t>
        </is>
      </c>
      <c r="O6164" t="inlineStr">
        <is>
          <t>AI</t>
        </is>
      </c>
    </row>
    <row r="6165">
      <c r="A6165" t="inlineStr">
        <is>
          <t>PT Bakrie Sumatera Plantations Tbk</t>
        </is>
      </c>
      <c r="B6165" t="inlineStr">
        <is>
          <t>UNSP_2022_AR.pdf</t>
        </is>
      </c>
      <c r="C6165" t="n">
        <v>2022</v>
      </c>
      <c r="D6165" t="inlineStr">
        <is>
          <t>Financial</t>
        </is>
      </c>
      <c r="E6165" t="inlineStr">
        <is>
          <t>CFF</t>
        </is>
      </c>
      <c r="F6165" t="n">
        <v>74.22</v>
      </c>
      <c r="G6165" t="inlineStr">
        <is>
          <t>IDR bn</t>
        </is>
      </c>
      <c r="I6165" t="inlineStr">
        <is>
          <t>Arus kas neto diperoleh dari aktivitas pendanaan 74.215 314.182 (-76,38%)</t>
        </is>
      </c>
      <c r="J6165" t="inlineStr">
        <is>
          <t>High</t>
        </is>
      </c>
      <c r="M6165" t="inlineStr">
        <is>
          <t>LLM</t>
        </is>
      </c>
      <c r="N6165" t="inlineStr">
        <is>
          <t>2026-04-19</t>
        </is>
      </c>
      <c r="O6165" t="inlineStr">
        <is>
          <t>AI</t>
        </is>
      </c>
    </row>
    <row r="6166">
      <c r="A6166" t="inlineStr">
        <is>
          <t>PT Bakrie Sumatera Plantations Tbk</t>
        </is>
      </c>
      <c r="B6166" t="inlineStr">
        <is>
          <t>UNSP_2022_AR.pdf</t>
        </is>
      </c>
      <c r="C6166" t="n">
        <v>2022</v>
      </c>
      <c r="D6166" t="inlineStr">
        <is>
          <t>Financial</t>
        </is>
      </c>
      <c r="E6166" t="inlineStr">
        <is>
          <t>Interest Payments (2022)</t>
        </is>
      </c>
      <c r="F6166" t="n">
        <v>326.01</v>
      </c>
      <c r="G6166" t="inlineStr">
        <is>
          <t>IDR bn</t>
        </is>
      </c>
      <c r="I6166" t="inlineStr">
        <is>
          <t>peningkatan signifikan pada nilai pembayaran beban bunga dengan pada tahun 2022 sebesar Rp326,01 miliar dari sebelumnya Rp1,14 miliar</t>
        </is>
      </c>
      <c r="J6166" t="inlineStr">
        <is>
          <t>High</t>
        </is>
      </c>
      <c r="M6166" t="inlineStr">
        <is>
          <t>LLM</t>
        </is>
      </c>
      <c r="N6166" t="inlineStr">
        <is>
          <t>2026-04-19</t>
        </is>
      </c>
      <c r="O6166" t="inlineStr">
        <is>
          <t>AI</t>
        </is>
      </c>
    </row>
    <row r="6167">
      <c r="A6167" t="inlineStr">
        <is>
          <t>PT Bakrie Sumatera Plantations Tbk</t>
        </is>
      </c>
      <c r="B6167" t="inlineStr">
        <is>
          <t>UNSP_2022_AR.pdf</t>
        </is>
      </c>
      <c r="C6167" t="n">
        <v>2022</v>
      </c>
      <c r="D6167" t="inlineStr">
        <is>
          <t>Financial</t>
        </is>
      </c>
      <c r="E6167" t="inlineStr">
        <is>
          <t>Income Tax Payments (2022)</t>
        </is>
      </c>
      <c r="F6167" t="n">
        <v>95.59999999999999</v>
      </c>
      <c r="G6167" t="inlineStr">
        <is>
          <t>IDR bn</t>
        </is>
      </c>
      <c r="I6167" t="inlineStr">
        <is>
          <t>peningkatan nilai pembayaran pajak penghasilan pada tahun berjalan Rp95,60 miliar dari sebelumnya Rp13,35 miliar</t>
        </is>
      </c>
      <c r="J6167" t="inlineStr">
        <is>
          <t>High</t>
        </is>
      </c>
      <c r="M6167" t="inlineStr">
        <is>
          <t>LLM</t>
        </is>
      </c>
      <c r="N6167" t="inlineStr">
        <is>
          <t>2026-04-19</t>
        </is>
      </c>
      <c r="O6167" t="inlineStr">
        <is>
          <t>AI</t>
        </is>
      </c>
    </row>
    <row r="6168">
      <c r="A6168" t="inlineStr">
        <is>
          <t>PT Bakrie Sumatera Plantations Tbk</t>
        </is>
      </c>
      <c r="B6168" t="inlineStr">
        <is>
          <t>UNSP_2022_AR.pdf</t>
        </is>
      </c>
      <c r="C6168" t="n">
        <v>2022</v>
      </c>
      <c r="D6168" t="inlineStr">
        <is>
          <t>Financial</t>
        </is>
      </c>
      <c r="E6168" t="inlineStr">
        <is>
          <t>EPS Basic</t>
        </is>
      </c>
      <c r="F6168" t="n">
        <v>86.70999999999999</v>
      </c>
      <c r="G6168" t="inlineStr">
        <is>
          <t>Rp/share</t>
        </is>
      </c>
      <c r="H6168" t="n">
        <v>7</v>
      </c>
      <c r="I6168" t="inlineStr">
        <is>
          <t>Laba (rugi) neto per saham dasar (Rp) 86,71 51,47</t>
        </is>
      </c>
      <c r="J6168" t="inlineStr">
        <is>
          <t>High</t>
        </is>
      </c>
      <c r="M6168" t="inlineStr">
        <is>
          <t>LLM</t>
        </is>
      </c>
      <c r="N6168" t="inlineStr">
        <is>
          <t>2026-04-19</t>
        </is>
      </c>
      <c r="O6168" t="inlineStr">
        <is>
          <t>AI</t>
        </is>
      </c>
    </row>
    <row r="6169">
      <c r="A6169" t="inlineStr">
        <is>
          <t>PT Bakrie Sumatera Plantations Tbk</t>
        </is>
      </c>
      <c r="B6169" t="inlineStr">
        <is>
          <t>UNSP_2022_AR.pdf</t>
        </is>
      </c>
      <c r="C6169" t="n">
        <v>2022</v>
      </c>
      <c r="D6169" t="inlineStr">
        <is>
          <t>Financial</t>
        </is>
      </c>
      <c r="E6169" t="inlineStr">
        <is>
          <t>Market Capitalization 2022</t>
        </is>
      </c>
      <c r="F6169" t="n">
        <v>320020780032</v>
      </c>
      <c r="G6169" t="inlineStr">
        <is>
          <t>Rp full</t>
        </is>
      </c>
      <c r="H6169" t="n">
        <v>7</v>
      </c>
      <c r="I6169" t="inlineStr">
        <is>
          <t>Nilai kapitalisasi pasar (Rp penuh) 320.020.780.032</t>
        </is>
      </c>
      <c r="J6169" t="inlineStr">
        <is>
          <t>High</t>
        </is>
      </c>
      <c r="M6169" t="inlineStr">
        <is>
          <t>LLM</t>
        </is>
      </c>
      <c r="N6169" t="inlineStr">
        <is>
          <t>2026-04-19</t>
        </is>
      </c>
      <c r="O6169" t="inlineStr">
        <is>
          <t>AI</t>
        </is>
      </c>
    </row>
    <row r="6170">
      <c r="A6170" t="inlineStr">
        <is>
          <t>PT Bakrie Sumatera Plantations Tbk</t>
        </is>
      </c>
      <c r="B6170" t="inlineStr">
        <is>
          <t>UNSP_2022_AR.pdf</t>
        </is>
      </c>
      <c r="C6170" t="n">
        <v>2022</v>
      </c>
      <c r="D6170" t="inlineStr">
        <is>
          <t>Financial</t>
        </is>
      </c>
      <c r="E6170" t="inlineStr">
        <is>
          <t>Closing Share Price 2022</t>
        </is>
      </c>
      <c r="F6170" t="n">
        <v>128</v>
      </c>
      <c r="G6170" t="inlineStr">
        <is>
          <t>Rp/share</t>
        </is>
      </c>
      <c r="H6170" t="n">
        <v>8</v>
      </c>
      <c r="I6170" t="inlineStr">
        <is>
          <t>Harga pada akhir tahun 128 109</t>
        </is>
      </c>
      <c r="J6170" t="inlineStr">
        <is>
          <t>High</t>
        </is>
      </c>
      <c r="M6170" t="inlineStr">
        <is>
          <t>LLM</t>
        </is>
      </c>
      <c r="N6170" t="inlineStr">
        <is>
          <t>2026-04-19</t>
        </is>
      </c>
      <c r="O6170" t="inlineStr">
        <is>
          <t>AI</t>
        </is>
      </c>
    </row>
    <row r="6171">
      <c r="A6171" t="inlineStr">
        <is>
          <t>PT Bakrie Sumatera Plantations Tbk</t>
        </is>
      </c>
      <c r="B6171" t="inlineStr">
        <is>
          <t>UNSP_2022_AR.pdf</t>
        </is>
      </c>
      <c r="C6171" t="n">
        <v>2022</v>
      </c>
      <c r="D6171" t="inlineStr">
        <is>
          <t>Financial</t>
        </is>
      </c>
      <c r="E6171" t="inlineStr">
        <is>
          <t>Current Ratio</t>
        </is>
      </c>
      <c r="F6171" t="n">
        <v>0.0852</v>
      </c>
      <c r="G6171" t="inlineStr">
        <is>
          <t>x</t>
        </is>
      </c>
      <c r="H6171" t="n">
        <v>7</v>
      </c>
      <c r="I6171" t="inlineStr">
        <is>
          <t>Rasio lancar 8,52% 11,34%</t>
        </is>
      </c>
      <c r="J6171" t="inlineStr">
        <is>
          <t>High</t>
        </is>
      </c>
      <c r="M6171" t="inlineStr">
        <is>
          <t>LLM</t>
        </is>
      </c>
      <c r="N6171" t="inlineStr">
        <is>
          <t>2026-04-19</t>
        </is>
      </c>
      <c r="O6171" t="inlineStr">
        <is>
          <t>AI</t>
        </is>
      </c>
    </row>
    <row r="6172">
      <c r="A6172" t="inlineStr">
        <is>
          <t>PT Bakrie Sumatera Plantations Tbk</t>
        </is>
      </c>
      <c r="B6172" t="inlineStr">
        <is>
          <t>UNSP_2022_AR.pdf</t>
        </is>
      </c>
      <c r="C6172" t="n">
        <v>2022</v>
      </c>
      <c r="D6172" t="inlineStr">
        <is>
          <t>Financial</t>
        </is>
      </c>
      <c r="E6172" t="inlineStr">
        <is>
          <t>Liabilities-to-Assets Ratio</t>
        </is>
      </c>
      <c r="F6172" t="n">
        <v>2.3119</v>
      </c>
      <c r="G6172" t="inlineStr">
        <is>
          <t>x</t>
        </is>
      </c>
      <c r="H6172" t="n">
        <v>7</v>
      </c>
      <c r="I6172" t="inlineStr">
        <is>
          <t>Rasio kewajiban terhadap aset 231,19 183,46%</t>
        </is>
      </c>
      <c r="J6172" t="inlineStr">
        <is>
          <t>High</t>
        </is>
      </c>
      <c r="M6172" t="inlineStr">
        <is>
          <t>LLM</t>
        </is>
      </c>
      <c r="N6172" t="inlineStr">
        <is>
          <t>2026-04-19</t>
        </is>
      </c>
      <c r="O6172" t="inlineStr">
        <is>
          <t>AI</t>
        </is>
      </c>
    </row>
    <row r="6173">
      <c r="A6173" t="inlineStr">
        <is>
          <t>PT Bakrie Sumatera Plantations Tbk</t>
        </is>
      </c>
      <c r="B6173" t="inlineStr">
        <is>
          <t>UNSP_2022_AR.pdf</t>
        </is>
      </c>
      <c r="C6173" t="n">
        <v>2022</v>
      </c>
      <c r="D6173" t="inlineStr">
        <is>
          <t>Financial</t>
        </is>
      </c>
      <c r="E6173" t="inlineStr">
        <is>
          <t>EBITDA / Interest Coverage</t>
        </is>
      </c>
      <c r="F6173" t="n">
        <v>2.63</v>
      </c>
      <c r="G6173" t="inlineStr">
        <is>
          <t>x</t>
        </is>
      </c>
      <c r="H6173" t="n">
        <v>7</v>
      </c>
      <c r="I6173" t="inlineStr">
        <is>
          <t>EBITDA terhadap beban bunga 2,63x 2,48x</t>
        </is>
      </c>
      <c r="J6173" t="inlineStr">
        <is>
          <t>High</t>
        </is>
      </c>
      <c r="M6173" t="inlineStr">
        <is>
          <t>LLM</t>
        </is>
      </c>
      <c r="N6173" t="inlineStr">
        <is>
          <t>2026-04-19</t>
        </is>
      </c>
      <c r="O6173" t="inlineStr">
        <is>
          <t>AI</t>
        </is>
      </c>
    </row>
    <row r="6174">
      <c r="A6174" t="inlineStr">
        <is>
          <t>PT Bakrie Sumatera Plantations Tbk</t>
        </is>
      </c>
      <c r="B6174" t="inlineStr">
        <is>
          <t>UNSP_2022_AR.pdf</t>
        </is>
      </c>
      <c r="C6174" t="n">
        <v>2022</v>
      </c>
      <c r="D6174" t="inlineStr">
        <is>
          <t>Financial</t>
        </is>
      </c>
      <c r="E6174" t="inlineStr">
        <is>
          <t>Return on Assets</t>
        </is>
      </c>
      <c r="F6174" t="n">
        <v>0.2049</v>
      </c>
      <c r="G6174" t="inlineStr">
        <is>
          <t>%</t>
        </is>
      </c>
      <c r="H6174" t="n">
        <v>7</v>
      </c>
      <c r="I6174" t="inlineStr">
        <is>
          <t>Tingkat pengembalian aset 20,49% 1,42% (boosted by one-off DAP gains)</t>
        </is>
      </c>
      <c r="J6174" t="inlineStr">
        <is>
          <t>High</t>
        </is>
      </c>
      <c r="M6174" t="inlineStr">
        <is>
          <t>LLM</t>
        </is>
      </c>
      <c r="N6174" t="inlineStr">
        <is>
          <t>2026-04-19</t>
        </is>
      </c>
      <c r="O6174" t="inlineStr">
        <is>
          <t>AI</t>
        </is>
      </c>
    </row>
    <row r="6175">
      <c r="A6175" t="inlineStr">
        <is>
          <t>PT Bakrie Sumatera Plantations Tbk</t>
        </is>
      </c>
      <c r="B6175" t="inlineStr">
        <is>
          <t>UNSP_2022_AR.pdf</t>
        </is>
      </c>
      <c r="C6175" t="n">
        <v>2022</v>
      </c>
      <c r="D6175" t="inlineStr">
        <is>
          <t>Financial</t>
        </is>
      </c>
      <c r="E6175" t="inlineStr">
        <is>
          <t>Gross Profit Margin</t>
        </is>
      </c>
      <c r="F6175" t="n">
        <v>0.1876</v>
      </c>
      <c r="G6175" t="inlineStr">
        <is>
          <t>%</t>
        </is>
      </c>
      <c r="H6175" t="n">
        <v>7</v>
      </c>
      <c r="I6175" t="inlineStr">
        <is>
          <t>Marjin laba kotor 18,76% 24,74%</t>
        </is>
      </c>
      <c r="J6175" t="inlineStr">
        <is>
          <t>High</t>
        </is>
      </c>
      <c r="M6175" t="inlineStr">
        <is>
          <t>LLM</t>
        </is>
      </c>
      <c r="N6175" t="inlineStr">
        <is>
          <t>2026-04-19</t>
        </is>
      </c>
      <c r="O6175" t="inlineStr">
        <is>
          <t>AI</t>
        </is>
      </c>
    </row>
    <row r="6176">
      <c r="A6176" t="inlineStr">
        <is>
          <t>PT Bakrie Sumatera Plantations Tbk</t>
        </is>
      </c>
      <c r="B6176" t="inlineStr">
        <is>
          <t>UNSP_2022_AR.pdf</t>
        </is>
      </c>
      <c r="C6176" t="n">
        <v>2022</v>
      </c>
      <c r="D6176" t="inlineStr">
        <is>
          <t>Financial</t>
        </is>
      </c>
      <c r="E6176" t="inlineStr">
        <is>
          <t>Accumulated Retained Deficit (end 2022)</t>
        </is>
      </c>
      <c r="F6176" t="n">
        <v>-14083.96</v>
      </c>
      <c r="G6176" t="inlineStr">
        <is>
          <t>IDR bn</t>
        </is>
      </c>
      <c r="H6176" t="n">
        <v>9</v>
      </c>
      <c r="I6176" t="inlineStr">
        <is>
          <t>2022 (14.083.964.415) (IDR 000)</t>
        </is>
      </c>
      <c r="J6176" t="inlineStr">
        <is>
          <t>High</t>
        </is>
      </c>
      <c r="M6176" t="inlineStr">
        <is>
          <t>LLM</t>
        </is>
      </c>
      <c r="N6176" t="inlineStr">
        <is>
          <t>2026-04-19</t>
        </is>
      </c>
      <c r="O6176" t="inlineStr">
        <is>
          <t>AI</t>
        </is>
      </c>
    </row>
    <row r="6177">
      <c r="A6177" t="inlineStr">
        <is>
          <t>PT Bakrie Sumatera Plantations Tbk</t>
        </is>
      </c>
      <c r="B6177" t="inlineStr">
        <is>
          <t>UNSP_2022_AR.pdf</t>
        </is>
      </c>
      <c r="C6177" t="n">
        <v>2022</v>
      </c>
      <c r="D6177" t="inlineStr">
        <is>
          <t>Financial</t>
        </is>
      </c>
      <c r="E6177" t="inlineStr">
        <is>
          <t>Restricted Funds Write-off (BNY Mellon)</t>
        </is>
      </c>
      <c r="F6177" t="n">
        <v>252.28</v>
      </c>
      <c r="G6177" t="inlineStr">
        <is>
          <t>IDR bn</t>
        </is>
      </c>
      <c r="H6177" t="n">
        <v>84</v>
      </c>
      <c r="I6177" t="inlineStr">
        <is>
          <t>penghapusan dana yang dibatasi penggunaannya yang ditempatkan pada The Bank of New York Mellon sebesar Rp252,28 miliar</t>
        </is>
      </c>
      <c r="J6177" t="inlineStr">
        <is>
          <t>High</t>
        </is>
      </c>
      <c r="M6177" t="inlineStr">
        <is>
          <t>LLM</t>
        </is>
      </c>
      <c r="N6177" t="inlineStr">
        <is>
          <t>2026-04-19</t>
        </is>
      </c>
      <c r="O6177" t="inlineStr">
        <is>
          <t>AI</t>
        </is>
      </c>
    </row>
    <row r="6178">
      <c r="A6178" t="inlineStr">
        <is>
          <t>PT Bakrie Sumatera Plantations Tbk</t>
        </is>
      </c>
      <c r="B6178" t="inlineStr">
        <is>
          <t>UNSP_2022_AR.pdf</t>
        </is>
      </c>
      <c r="C6178" t="n">
        <v>2022</v>
      </c>
      <c r="D6178" t="inlineStr">
        <is>
          <t>Asset</t>
        </is>
      </c>
      <c r="E6178" t="inlineStr">
        <is>
          <t>Total Planted Area (palm+rubber)</t>
        </is>
      </c>
      <c r="F6178" t="n">
        <v>67591</v>
      </c>
      <c r="G6178" t="inlineStr">
        <is>
          <t>ha</t>
        </is>
      </c>
      <c r="H6178" t="n">
        <v>56</v>
      </c>
      <c r="I6178" t="inlineStr">
        <is>
          <t>total luas lahan tertanam 67.591 Ha (2022); 67.714 Ha (2021)</t>
        </is>
      </c>
      <c r="J6178" t="inlineStr">
        <is>
          <t>High</t>
        </is>
      </c>
      <c r="M6178" t="inlineStr">
        <is>
          <t>LLM</t>
        </is>
      </c>
      <c r="N6178" t="inlineStr">
        <is>
          <t>2026-04-19</t>
        </is>
      </c>
      <c r="O6178" t="inlineStr">
        <is>
          <t>AI</t>
        </is>
      </c>
    </row>
    <row r="6179">
      <c r="A6179" t="inlineStr">
        <is>
          <t>PT Bakrie Sumatera Plantations Tbk</t>
        </is>
      </c>
      <c r="B6179" t="inlineStr">
        <is>
          <t>UNSP_2022_AR.pdf</t>
        </is>
      </c>
      <c r="C6179" t="n">
        <v>2022</v>
      </c>
      <c r="D6179" t="inlineStr">
        <is>
          <t>Asset</t>
        </is>
      </c>
      <c r="E6179" t="inlineStr">
        <is>
          <t>Palm Planted Area Total (inti+plasma)</t>
        </is>
      </c>
      <c r="F6179" t="n">
        <v>52192</v>
      </c>
      <c r="G6179" t="inlineStr">
        <is>
          <t>ha</t>
        </is>
      </c>
      <c r="H6179" t="n">
        <v>58</v>
      </c>
      <c r="I6179" t="inlineStr">
        <is>
          <t>Total Area Tertanam 52.192 51.445 1,45%</t>
        </is>
      </c>
      <c r="J6179" t="inlineStr">
        <is>
          <t>High</t>
        </is>
      </c>
      <c r="M6179" t="inlineStr">
        <is>
          <t>LLM</t>
        </is>
      </c>
      <c r="N6179" t="inlineStr">
        <is>
          <t>2026-04-19</t>
        </is>
      </c>
      <c r="O6179" t="inlineStr">
        <is>
          <t>AI</t>
        </is>
      </c>
    </row>
    <row r="6180">
      <c r="A6180" t="inlineStr">
        <is>
          <t>PT Bakrie Sumatera Plantations Tbk</t>
        </is>
      </c>
      <c r="B6180" t="inlineStr">
        <is>
          <t>UNSP_2022_AR.pdf</t>
        </is>
      </c>
      <c r="C6180" t="n">
        <v>2022</v>
      </c>
      <c r="D6180" t="inlineStr">
        <is>
          <t>Asset</t>
        </is>
      </c>
      <c r="E6180" t="inlineStr">
        <is>
          <t>Palm Nucleus Area</t>
        </is>
      </c>
      <c r="F6180" t="n">
        <v>37217</v>
      </c>
      <c r="G6180" t="inlineStr">
        <is>
          <t>ha</t>
        </is>
      </c>
      <c r="H6180" t="n">
        <v>58</v>
      </c>
      <c r="I6180" t="inlineStr">
        <is>
          <t>Total Inti 37.217 36.470 2,05%</t>
        </is>
      </c>
      <c r="J6180" t="inlineStr">
        <is>
          <t>High</t>
        </is>
      </c>
      <c r="M6180" t="inlineStr">
        <is>
          <t>LLM</t>
        </is>
      </c>
      <c r="N6180" t="inlineStr">
        <is>
          <t>2026-04-19</t>
        </is>
      </c>
      <c r="O6180" t="inlineStr">
        <is>
          <t>AI</t>
        </is>
      </c>
    </row>
    <row r="6181">
      <c r="A6181" t="inlineStr">
        <is>
          <t>PT Bakrie Sumatera Plantations Tbk</t>
        </is>
      </c>
      <c r="B6181" t="inlineStr">
        <is>
          <t>UNSP_2022_AR.pdf</t>
        </is>
      </c>
      <c r="C6181" t="n">
        <v>2022</v>
      </c>
      <c r="D6181" t="inlineStr">
        <is>
          <t>Asset</t>
        </is>
      </c>
      <c r="E6181" t="inlineStr">
        <is>
          <t>Palm Plasma Area</t>
        </is>
      </c>
      <c r="F6181" t="n">
        <v>14975</v>
      </c>
      <c r="G6181" t="inlineStr">
        <is>
          <t>ha</t>
        </is>
      </c>
      <c r="H6181" t="n">
        <v>58</v>
      </c>
      <c r="I6181" t="inlineStr">
        <is>
          <t>Total Plasma 14.975 14.975</t>
        </is>
      </c>
      <c r="J6181" t="inlineStr">
        <is>
          <t>High</t>
        </is>
      </c>
      <c r="M6181" t="inlineStr">
        <is>
          <t>LLM</t>
        </is>
      </c>
      <c r="N6181" t="inlineStr">
        <is>
          <t>2026-04-19</t>
        </is>
      </c>
      <c r="O6181" t="inlineStr">
        <is>
          <t>AI</t>
        </is>
      </c>
    </row>
    <row r="6182">
      <c r="A6182" t="inlineStr">
        <is>
          <t>PT Bakrie Sumatera Plantations Tbk</t>
        </is>
      </c>
      <c r="B6182" t="inlineStr">
        <is>
          <t>UNSP_2022_AR.pdf</t>
        </is>
      </c>
      <c r="C6182" t="n">
        <v>2022</v>
      </c>
      <c r="D6182" t="inlineStr">
        <is>
          <t>Asset</t>
        </is>
      </c>
      <c r="E6182" t="inlineStr">
        <is>
          <t>Palm Mature Area</t>
        </is>
      </c>
      <c r="F6182" t="n">
        <v>45968</v>
      </c>
      <c r="G6182" t="inlineStr">
        <is>
          <t>ha</t>
        </is>
      </c>
      <c r="H6182" t="n">
        <v>58</v>
      </c>
      <c r="I6182" t="inlineStr">
        <is>
          <t>45.968 Ha lahan tanaman menghasilkan</t>
        </is>
      </c>
      <c r="J6182" t="inlineStr">
        <is>
          <t>High</t>
        </is>
      </c>
      <c r="M6182" t="inlineStr">
        <is>
          <t>LLM</t>
        </is>
      </c>
      <c r="N6182" t="inlineStr">
        <is>
          <t>2026-04-19</t>
        </is>
      </c>
      <c r="O6182" t="inlineStr">
        <is>
          <t>AI</t>
        </is>
      </c>
    </row>
    <row r="6183">
      <c r="A6183" t="inlineStr">
        <is>
          <t>PT Bakrie Sumatera Plantations Tbk</t>
        </is>
      </c>
      <c r="B6183" t="inlineStr">
        <is>
          <t>UNSP_2022_AR.pdf</t>
        </is>
      </c>
      <c r="C6183" t="n">
        <v>2022</v>
      </c>
      <c r="D6183" t="inlineStr">
        <is>
          <t>Asset</t>
        </is>
      </c>
      <c r="E6183" t="inlineStr">
        <is>
          <t>Palm Immature Area</t>
        </is>
      </c>
      <c r="F6183" t="n">
        <v>6223</v>
      </c>
      <c r="G6183" t="inlineStr">
        <is>
          <t>ha</t>
        </is>
      </c>
      <c r="H6183" t="n">
        <v>58</v>
      </c>
      <c r="I6183" t="inlineStr">
        <is>
          <t>6.223 Ha lahan tanaman belum menghasilkan</t>
        </is>
      </c>
      <c r="J6183" t="inlineStr">
        <is>
          <t>High</t>
        </is>
      </c>
      <c r="M6183" t="inlineStr">
        <is>
          <t>LLM</t>
        </is>
      </c>
      <c r="N6183" t="inlineStr">
        <is>
          <t>2026-04-19</t>
        </is>
      </c>
      <c r="O6183" t="inlineStr">
        <is>
          <t>AI</t>
        </is>
      </c>
    </row>
    <row r="6184">
      <c r="A6184" t="inlineStr">
        <is>
          <t>PT Bakrie Sumatera Plantations Tbk</t>
        </is>
      </c>
      <c r="B6184" t="inlineStr">
        <is>
          <t>UNSP_2022_AR.pdf</t>
        </is>
      </c>
      <c r="C6184" t="n">
        <v>2022</v>
      </c>
      <c r="D6184" t="inlineStr">
        <is>
          <t>Asset</t>
        </is>
      </c>
      <c r="E6184" t="inlineStr">
        <is>
          <t>Palm Area North Sumatra (nucleus)</t>
        </is>
      </c>
      <c r="F6184" t="n">
        <v>18104</v>
      </c>
      <c r="G6184" t="inlineStr">
        <is>
          <t>ha</t>
        </is>
      </c>
      <c r="H6184" t="n">
        <v>58</v>
      </c>
      <c r="I6184" t="inlineStr">
        <is>
          <t>Sumatera Utara 18.104 17.850 1,42%</t>
        </is>
      </c>
      <c r="J6184" t="inlineStr">
        <is>
          <t>High</t>
        </is>
      </c>
      <c r="M6184" t="inlineStr">
        <is>
          <t>LLM</t>
        </is>
      </c>
      <c r="N6184" t="inlineStr">
        <is>
          <t>2026-04-19</t>
        </is>
      </c>
      <c r="O6184" t="inlineStr">
        <is>
          <t>AI</t>
        </is>
      </c>
    </row>
    <row r="6185">
      <c r="A6185" t="inlineStr">
        <is>
          <t>PT Bakrie Sumatera Plantations Tbk</t>
        </is>
      </c>
      <c r="B6185" t="inlineStr">
        <is>
          <t>UNSP_2022_AR.pdf</t>
        </is>
      </c>
      <c r="C6185" t="n">
        <v>2022</v>
      </c>
      <c r="D6185" t="inlineStr">
        <is>
          <t>Asset</t>
        </is>
      </c>
      <c r="E6185" t="inlineStr">
        <is>
          <t>Palm Area West Sumatra (nucleus)</t>
        </is>
      </c>
      <c r="F6185" t="n">
        <v>10906</v>
      </c>
      <c r="G6185" t="inlineStr">
        <is>
          <t>ha</t>
        </is>
      </c>
      <c r="H6185" t="n">
        <v>58</v>
      </c>
      <c r="I6185" t="inlineStr">
        <is>
          <t>Sumatera Barat 10.906 10.906 -</t>
        </is>
      </c>
      <c r="J6185" t="inlineStr">
        <is>
          <t>High</t>
        </is>
      </c>
      <c r="M6185" t="inlineStr">
        <is>
          <t>LLM</t>
        </is>
      </c>
      <c r="N6185" t="inlineStr">
        <is>
          <t>2026-04-19</t>
        </is>
      </c>
      <c r="O6185" t="inlineStr">
        <is>
          <t>AI</t>
        </is>
      </c>
    </row>
    <row r="6186">
      <c r="A6186" t="inlineStr">
        <is>
          <t>PT Bakrie Sumatera Plantations Tbk</t>
        </is>
      </c>
      <c r="B6186" t="inlineStr">
        <is>
          <t>UNSP_2022_AR.pdf</t>
        </is>
      </c>
      <c r="C6186" t="n">
        <v>2022</v>
      </c>
      <c r="D6186" t="inlineStr">
        <is>
          <t>Asset</t>
        </is>
      </c>
      <c r="E6186" t="inlineStr">
        <is>
          <t>Palm Area Jambi (nucleus)</t>
        </is>
      </c>
      <c r="F6186" t="n">
        <v>7170</v>
      </c>
      <c r="G6186" t="inlineStr">
        <is>
          <t>ha</t>
        </is>
      </c>
      <c r="H6186" t="n">
        <v>58</v>
      </c>
      <c r="I6186" t="inlineStr">
        <is>
          <t>Jambi 7.170 7.175 (0,07%)</t>
        </is>
      </c>
      <c r="J6186" t="inlineStr">
        <is>
          <t>High</t>
        </is>
      </c>
      <c r="M6186" t="inlineStr">
        <is>
          <t>LLM</t>
        </is>
      </c>
      <c r="N6186" t="inlineStr">
        <is>
          <t>2026-04-19</t>
        </is>
      </c>
      <c r="O6186" t="inlineStr">
        <is>
          <t>AI</t>
        </is>
      </c>
    </row>
    <row r="6187">
      <c r="A6187" t="inlineStr">
        <is>
          <t>PT Bakrie Sumatera Plantations Tbk</t>
        </is>
      </c>
      <c r="B6187" t="inlineStr">
        <is>
          <t>UNSP_2022_AR.pdf</t>
        </is>
      </c>
      <c r="C6187" t="n">
        <v>2022</v>
      </c>
      <c r="D6187" t="inlineStr">
        <is>
          <t>Asset</t>
        </is>
      </c>
      <c r="E6187" t="inlineStr">
        <is>
          <t>Palm Area S. Kalimantan (nucleus)</t>
        </is>
      </c>
      <c r="F6187" t="n">
        <v>411</v>
      </c>
      <c r="G6187" t="inlineStr">
        <is>
          <t>ha</t>
        </is>
      </c>
      <c r="H6187" t="n">
        <v>58</v>
      </c>
      <c r="I6187" t="inlineStr">
        <is>
          <t>Kalimantan Selatan 411 411</t>
        </is>
      </c>
      <c r="J6187" t="inlineStr">
        <is>
          <t>High</t>
        </is>
      </c>
      <c r="M6187" t="inlineStr">
        <is>
          <t>LLM</t>
        </is>
      </c>
      <c r="N6187" t="inlineStr">
        <is>
          <t>2026-04-19</t>
        </is>
      </c>
      <c r="O6187" t="inlineStr">
        <is>
          <t>AI</t>
        </is>
      </c>
    </row>
    <row r="6188">
      <c r="A6188" t="inlineStr">
        <is>
          <t>PT Bakrie Sumatera Plantations Tbk</t>
        </is>
      </c>
      <c r="B6188" t="inlineStr">
        <is>
          <t>UNSP_2022_AR.pdf</t>
        </is>
      </c>
      <c r="C6188" t="n">
        <v>2022</v>
      </c>
      <c r="D6188" t="inlineStr">
        <is>
          <t>Asset</t>
        </is>
      </c>
      <c r="E6188" t="inlineStr">
        <is>
          <t>Palm Area Bengkulu (nucleus)</t>
        </is>
      </c>
      <c r="F6188" t="n">
        <v>626</v>
      </c>
      <c r="G6188" t="inlineStr">
        <is>
          <t>ha</t>
        </is>
      </c>
      <c r="H6188" t="n">
        <v>58</v>
      </c>
      <c r="I6188" t="inlineStr">
        <is>
          <t>Bengkulu 626 128 389,06%</t>
        </is>
      </c>
      <c r="J6188" t="inlineStr">
        <is>
          <t>High</t>
        </is>
      </c>
      <c r="M6188" t="inlineStr">
        <is>
          <t>LLM</t>
        </is>
      </c>
      <c r="N6188" t="inlineStr">
        <is>
          <t>2026-04-19</t>
        </is>
      </c>
      <c r="O6188" t="inlineStr">
        <is>
          <t>AI</t>
        </is>
      </c>
    </row>
    <row r="6189">
      <c r="A6189" t="inlineStr">
        <is>
          <t>PT Bakrie Sumatera Plantations Tbk</t>
        </is>
      </c>
      <c r="B6189" t="inlineStr">
        <is>
          <t>UNSP_2022_AR.pdf</t>
        </is>
      </c>
      <c r="C6189" t="n">
        <v>2022</v>
      </c>
      <c r="D6189" t="inlineStr">
        <is>
          <t>Asset</t>
        </is>
      </c>
      <c r="E6189" t="inlineStr">
        <is>
          <t>Palm Mills Count</t>
        </is>
      </c>
      <c r="F6189" t="n">
        <v>5</v>
      </c>
      <c r="G6189" t="inlineStr">
        <is>
          <t>count</t>
        </is>
      </c>
      <c r="H6189" t="n">
        <v>59</v>
      </c>
      <c r="I6189" t="inlineStr">
        <is>
          <t>5 (lima) pabrik minyak kelapa sawit</t>
        </is>
      </c>
      <c r="J6189" t="inlineStr">
        <is>
          <t>High</t>
        </is>
      </c>
      <c r="M6189" t="inlineStr">
        <is>
          <t>LLM</t>
        </is>
      </c>
      <c r="N6189" t="inlineStr">
        <is>
          <t>2026-04-19</t>
        </is>
      </c>
      <c r="O6189" t="inlineStr">
        <is>
          <t>AI</t>
        </is>
      </c>
    </row>
    <row r="6190">
      <c r="A6190" t="inlineStr">
        <is>
          <t>PT Bakrie Sumatera Plantations Tbk</t>
        </is>
      </c>
      <c r="B6190" t="inlineStr">
        <is>
          <t>UNSP_2022_AR.pdf</t>
        </is>
      </c>
      <c r="C6190" t="n">
        <v>2022</v>
      </c>
      <c r="D6190" t="inlineStr">
        <is>
          <t>Asset</t>
        </is>
      </c>
      <c r="E6190" t="inlineStr">
        <is>
          <t>Palm Mill Total Capacity</t>
        </is>
      </c>
      <c r="F6190" t="n">
        <v>240</v>
      </c>
      <c r="G6190" t="inlineStr">
        <is>
          <t>tph</t>
        </is>
      </c>
      <c r="H6190" t="n">
        <v>59</v>
      </c>
      <c r="I6190" t="inlineStr">
        <is>
          <t>total kapasitas produksi 240 ton TBS per jam, meningkat ... revitalisasi PKS Labuhan Batu dari 30 tph menjadi 45 tph</t>
        </is>
      </c>
      <c r="J6190" t="inlineStr">
        <is>
          <t>High</t>
        </is>
      </c>
      <c r="M6190" t="inlineStr">
        <is>
          <t>LLM</t>
        </is>
      </c>
      <c r="N6190" t="inlineStr">
        <is>
          <t>2026-04-19</t>
        </is>
      </c>
      <c r="O6190" t="inlineStr">
        <is>
          <t>AI</t>
        </is>
      </c>
    </row>
    <row r="6191">
      <c r="A6191" t="inlineStr">
        <is>
          <t>PT Bakrie Sumatera Plantations Tbk</t>
        </is>
      </c>
      <c r="B6191" t="inlineStr">
        <is>
          <t>UNSP_2022_AR.pdf</t>
        </is>
      </c>
      <c r="C6191" t="n">
        <v>2022</v>
      </c>
      <c r="D6191" t="inlineStr">
        <is>
          <t>Asset</t>
        </is>
      </c>
      <c r="E6191" t="inlineStr">
        <is>
          <t>Labuhan Batu Mill Revitalization</t>
        </is>
      </c>
      <c r="F6191" t="inlineStr">
        <is>
          <t>Capacity expanded from 30 to 45 tph</t>
        </is>
      </c>
      <c r="G6191" t="inlineStr">
        <is>
          <t>text</t>
        </is>
      </c>
      <c r="H6191" t="n">
        <v>59</v>
      </c>
      <c r="I6191" t="inlineStr">
        <is>
          <t>adanya revitalisasi pabrik minyak kelapa sawit yang berlokasi di Labuhan batu dari sebelumnya berkapasitas 30 ton TBS per jam menjadi 45 ton TBS per jam</t>
        </is>
      </c>
      <c r="J6191" t="inlineStr">
        <is>
          <t>High</t>
        </is>
      </c>
      <c r="M6191" t="inlineStr">
        <is>
          <t>LLM</t>
        </is>
      </c>
      <c r="N6191" t="inlineStr">
        <is>
          <t>2026-04-19</t>
        </is>
      </c>
      <c r="O6191" t="inlineStr">
        <is>
          <t>AI</t>
        </is>
      </c>
    </row>
    <row r="6192">
      <c r="A6192" t="inlineStr">
        <is>
          <t>PT Bakrie Sumatera Plantations Tbk</t>
        </is>
      </c>
      <c r="B6192" t="inlineStr">
        <is>
          <t>UNSP_2022_AR.pdf</t>
        </is>
      </c>
      <c r="C6192" t="n">
        <v>2022</v>
      </c>
      <c r="D6192" t="inlineStr">
        <is>
          <t>Asset</t>
        </is>
      </c>
      <c r="E6192" t="inlineStr">
        <is>
          <t>Mature Palm Plants Book Value</t>
        </is>
      </c>
      <c r="F6192" t="n">
        <v>694.59</v>
      </c>
      <c r="G6192" t="inlineStr">
        <is>
          <t>IDR bn</t>
        </is>
      </c>
      <c r="H6192" t="n">
        <v>59</v>
      </c>
      <c r="I6192" t="inlineStr">
        <is>
          <t>Tanaman menghasilkan 694.585 78,41% (2022)</t>
        </is>
      </c>
      <c r="J6192" t="inlineStr">
        <is>
          <t>High</t>
        </is>
      </c>
      <c r="M6192" t="inlineStr">
        <is>
          <t>LLM</t>
        </is>
      </c>
      <c r="N6192" t="inlineStr">
        <is>
          <t>2026-04-19</t>
        </is>
      </c>
      <c r="O6192" t="inlineStr">
        <is>
          <t>AI</t>
        </is>
      </c>
    </row>
    <row r="6193">
      <c r="A6193" t="inlineStr">
        <is>
          <t>PT Bakrie Sumatera Plantations Tbk</t>
        </is>
      </c>
      <c r="B6193" t="inlineStr">
        <is>
          <t>UNSP_2022_AR.pdf</t>
        </is>
      </c>
      <c r="C6193" t="n">
        <v>2022</v>
      </c>
      <c r="D6193" t="inlineStr">
        <is>
          <t>Asset</t>
        </is>
      </c>
      <c r="E6193" t="inlineStr">
        <is>
          <t>Immature Palm Plants Book Value</t>
        </is>
      </c>
      <c r="F6193" t="n">
        <v>191.24</v>
      </c>
      <c r="G6193" t="inlineStr">
        <is>
          <t>IDR bn</t>
        </is>
      </c>
      <c r="H6193" t="n">
        <v>59</v>
      </c>
      <c r="I6193" t="inlineStr">
        <is>
          <t>Tanaman belum menghasilkan 191.243 21,59%</t>
        </is>
      </c>
      <c r="J6193" t="inlineStr">
        <is>
          <t>High</t>
        </is>
      </c>
      <c r="M6193" t="inlineStr">
        <is>
          <t>LLM</t>
        </is>
      </c>
      <c r="N6193" t="inlineStr">
        <is>
          <t>2026-04-19</t>
        </is>
      </c>
      <c r="O6193" t="inlineStr">
        <is>
          <t>AI</t>
        </is>
      </c>
    </row>
    <row r="6194">
      <c r="A6194" t="inlineStr">
        <is>
          <t>PT Bakrie Sumatera Plantations Tbk</t>
        </is>
      </c>
      <c r="B6194" t="inlineStr">
        <is>
          <t>UNSP_2022_AR.pdf</t>
        </is>
      </c>
      <c r="C6194" t="n">
        <v>2022</v>
      </c>
      <c r="D6194" t="inlineStr">
        <is>
          <t>Asset</t>
        </is>
      </c>
      <c r="E6194" t="inlineStr">
        <is>
          <t>Palm Segment Total Assets</t>
        </is>
      </c>
      <c r="F6194" t="n">
        <v>1838.8</v>
      </c>
      <c r="G6194" t="inlineStr">
        <is>
          <t>IDR bn</t>
        </is>
      </c>
      <c r="H6194" t="n">
        <v>61</v>
      </c>
      <c r="I6194" t="inlineStr">
        <is>
          <t>Total aset segmen: 1.838.804 1.887.720</t>
        </is>
      </c>
      <c r="J6194" t="inlineStr">
        <is>
          <t>High</t>
        </is>
      </c>
      <c r="M6194" t="inlineStr">
        <is>
          <t>LLM</t>
        </is>
      </c>
      <c r="N6194" t="inlineStr">
        <is>
          <t>2026-04-19</t>
        </is>
      </c>
      <c r="O6194" t="inlineStr">
        <is>
          <t>AI</t>
        </is>
      </c>
    </row>
    <row r="6195">
      <c r="A6195" t="inlineStr">
        <is>
          <t>PT Bakrie Sumatera Plantations Tbk</t>
        </is>
      </c>
      <c r="B6195" t="inlineStr">
        <is>
          <t>UNSP_2022_AR.pdf</t>
        </is>
      </c>
      <c r="C6195" t="n">
        <v>2022</v>
      </c>
      <c r="D6195" t="inlineStr">
        <is>
          <t>Asset</t>
        </is>
      </c>
      <c r="E6195" t="inlineStr">
        <is>
          <t>Rubber Planted Area Total</t>
        </is>
      </c>
      <c r="F6195" t="n">
        <v>15399</v>
      </c>
      <c r="G6195" t="inlineStr">
        <is>
          <t>ha</t>
        </is>
      </c>
      <c r="H6195" t="n">
        <v>68</v>
      </c>
      <c r="I6195" t="inlineStr">
        <is>
          <t>Total 15.399 16.270 (5,35%)</t>
        </is>
      </c>
      <c r="J6195" t="inlineStr">
        <is>
          <t>High</t>
        </is>
      </c>
      <c r="M6195" t="inlineStr">
        <is>
          <t>LLM</t>
        </is>
      </c>
      <c r="N6195" t="inlineStr">
        <is>
          <t>2026-04-19</t>
        </is>
      </c>
      <c r="O6195" t="inlineStr">
        <is>
          <t>AI</t>
        </is>
      </c>
    </row>
    <row r="6196">
      <c r="A6196" t="inlineStr">
        <is>
          <t>PT Bakrie Sumatera Plantations Tbk</t>
        </is>
      </c>
      <c r="B6196" t="inlineStr">
        <is>
          <t>UNSP_2022_AR.pdf</t>
        </is>
      </c>
      <c r="C6196" t="n">
        <v>2022</v>
      </c>
      <c r="D6196" t="inlineStr">
        <is>
          <t>Asset</t>
        </is>
      </c>
      <c r="E6196" t="inlineStr">
        <is>
          <t>Rubber Mature Area</t>
        </is>
      </c>
      <c r="F6196" t="n">
        <v>15277</v>
      </c>
      <c r="G6196" t="inlineStr">
        <is>
          <t>ha</t>
        </is>
      </c>
      <c r="H6196" t="n">
        <v>68</v>
      </c>
      <c r="I6196" t="inlineStr">
        <is>
          <t>15.277 Ha lahan tanaman menghasilkan</t>
        </is>
      </c>
      <c r="J6196" t="inlineStr">
        <is>
          <t>High</t>
        </is>
      </c>
      <c r="M6196" t="inlineStr">
        <is>
          <t>LLM</t>
        </is>
      </c>
      <c r="N6196" t="inlineStr">
        <is>
          <t>2026-04-19</t>
        </is>
      </c>
      <c r="O6196" t="inlineStr">
        <is>
          <t>AI</t>
        </is>
      </c>
    </row>
    <row r="6197">
      <c r="A6197" t="inlineStr">
        <is>
          <t>PT Bakrie Sumatera Plantations Tbk</t>
        </is>
      </c>
      <c r="B6197" t="inlineStr">
        <is>
          <t>UNSP_2022_AR.pdf</t>
        </is>
      </c>
      <c r="C6197" t="n">
        <v>2022</v>
      </c>
      <c r="D6197" t="inlineStr">
        <is>
          <t>Asset</t>
        </is>
      </c>
      <c r="E6197" t="inlineStr">
        <is>
          <t>Rubber Immature Area</t>
        </is>
      </c>
      <c r="F6197" t="n">
        <v>122</v>
      </c>
      <c r="G6197" t="inlineStr">
        <is>
          <t>ha</t>
        </is>
      </c>
      <c r="H6197" t="n">
        <v>68</v>
      </c>
      <c r="I6197" t="inlineStr">
        <is>
          <t>122 Ha lahan tanaman belum menghasilkan</t>
        </is>
      </c>
      <c r="J6197" t="inlineStr">
        <is>
          <t>High</t>
        </is>
      </c>
      <c r="M6197" t="inlineStr">
        <is>
          <t>LLM</t>
        </is>
      </c>
      <c r="N6197" t="inlineStr">
        <is>
          <t>2026-04-19</t>
        </is>
      </c>
      <c r="O6197" t="inlineStr">
        <is>
          <t>AI</t>
        </is>
      </c>
    </row>
    <row r="6198">
      <c r="A6198" t="inlineStr">
        <is>
          <t>PT Bakrie Sumatera Plantations Tbk</t>
        </is>
      </c>
      <c r="B6198" t="inlineStr">
        <is>
          <t>UNSP_2022_AR.pdf</t>
        </is>
      </c>
      <c r="C6198" t="n">
        <v>2022</v>
      </c>
      <c r="D6198" t="inlineStr">
        <is>
          <t>Asset</t>
        </is>
      </c>
      <c r="E6198" t="inlineStr">
        <is>
          <t>Rubber Area N. Sumatra</t>
        </is>
      </c>
      <c r="F6198" t="n">
        <v>10209</v>
      </c>
      <c r="G6198" t="inlineStr">
        <is>
          <t>ha</t>
        </is>
      </c>
      <c r="H6198" t="n">
        <v>68</v>
      </c>
      <c r="I6198" t="inlineStr">
        <is>
          <t>Sumatera Utara 10.209 10.561 (3,33%)</t>
        </is>
      </c>
      <c r="J6198" t="inlineStr">
        <is>
          <t>High</t>
        </is>
      </c>
      <c r="M6198" t="inlineStr">
        <is>
          <t>LLM</t>
        </is>
      </c>
      <c r="N6198" t="inlineStr">
        <is>
          <t>2026-04-19</t>
        </is>
      </c>
      <c r="O6198" t="inlineStr">
        <is>
          <t>AI</t>
        </is>
      </c>
    </row>
    <row r="6199">
      <c r="A6199" t="inlineStr">
        <is>
          <t>PT Bakrie Sumatera Plantations Tbk</t>
        </is>
      </c>
      <c r="B6199" t="inlineStr">
        <is>
          <t>UNSP_2022_AR.pdf</t>
        </is>
      </c>
      <c r="C6199" t="n">
        <v>2022</v>
      </c>
      <c r="D6199" t="inlineStr">
        <is>
          <t>Asset</t>
        </is>
      </c>
      <c r="E6199" t="inlineStr">
        <is>
          <t>Rubber Area Bengkulu</t>
        </is>
      </c>
      <c r="F6199" t="n">
        <v>1968</v>
      </c>
      <c r="G6199" t="inlineStr">
        <is>
          <t>ha</t>
        </is>
      </c>
      <c r="H6199" t="n">
        <v>68</v>
      </c>
      <c r="I6199" t="inlineStr">
        <is>
          <t>Bengkulu 1.968 2.466 (20,18%)</t>
        </is>
      </c>
      <c r="J6199" t="inlineStr">
        <is>
          <t>High</t>
        </is>
      </c>
      <c r="M6199" t="inlineStr">
        <is>
          <t>LLM</t>
        </is>
      </c>
      <c r="N6199" t="inlineStr">
        <is>
          <t>2026-04-19</t>
        </is>
      </c>
      <c r="O6199" t="inlineStr">
        <is>
          <t>AI</t>
        </is>
      </c>
    </row>
    <row r="6200">
      <c r="A6200" t="inlineStr">
        <is>
          <t>PT Bakrie Sumatera Plantations Tbk</t>
        </is>
      </c>
      <c r="B6200" t="inlineStr">
        <is>
          <t>UNSP_2022_AR.pdf</t>
        </is>
      </c>
      <c r="C6200" t="n">
        <v>2022</v>
      </c>
      <c r="D6200" t="inlineStr">
        <is>
          <t>Asset</t>
        </is>
      </c>
      <c r="E6200" t="inlineStr">
        <is>
          <t>Rubber Area Lampung</t>
        </is>
      </c>
      <c r="F6200" t="n">
        <v>3222</v>
      </c>
      <c r="G6200" t="inlineStr">
        <is>
          <t>ha</t>
        </is>
      </c>
      <c r="H6200" t="n">
        <v>68</v>
      </c>
      <c r="I6200" t="inlineStr">
        <is>
          <t>Lampung 3.222 3.243 (0,66%)</t>
        </is>
      </c>
      <c r="J6200" t="inlineStr">
        <is>
          <t>High</t>
        </is>
      </c>
      <c r="M6200" t="inlineStr">
        <is>
          <t>LLM</t>
        </is>
      </c>
      <c r="N6200" t="inlineStr">
        <is>
          <t>2026-04-19</t>
        </is>
      </c>
      <c r="O6200" t="inlineStr">
        <is>
          <t>AI</t>
        </is>
      </c>
    </row>
    <row r="6201">
      <c r="A6201" t="inlineStr">
        <is>
          <t>PT Bakrie Sumatera Plantations Tbk</t>
        </is>
      </c>
      <c r="B6201" t="inlineStr">
        <is>
          <t>UNSP_2022_AR.pdf</t>
        </is>
      </c>
      <c r="C6201" t="n">
        <v>2022</v>
      </c>
      <c r="D6201" t="inlineStr">
        <is>
          <t>Asset</t>
        </is>
      </c>
      <c r="E6201" t="inlineStr">
        <is>
          <t>Rubber Processing Plants Count</t>
        </is>
      </c>
      <c r="F6201" t="n">
        <v>3</v>
      </c>
      <c r="G6201" t="inlineStr">
        <is>
          <t>count</t>
        </is>
      </c>
      <c r="H6201" t="n">
        <v>68</v>
      </c>
      <c r="I6201" t="inlineStr">
        <is>
          <t>3 (tiga) pabrik pengolahan produk karet alam berlokasi di Bunut, Ratu Agung, dan Tulang Bawang</t>
        </is>
      </c>
      <c r="J6201" t="inlineStr">
        <is>
          <t>High</t>
        </is>
      </c>
      <c r="M6201" t="inlineStr">
        <is>
          <t>LLM</t>
        </is>
      </c>
      <c r="N6201" t="inlineStr">
        <is>
          <t>2026-04-19</t>
        </is>
      </c>
      <c r="O6201" t="inlineStr">
        <is>
          <t>AI</t>
        </is>
      </c>
    </row>
    <row r="6202">
      <c r="A6202" t="inlineStr">
        <is>
          <t>PT Bakrie Sumatera Plantations Tbk</t>
        </is>
      </c>
      <c r="B6202" t="inlineStr">
        <is>
          <t>UNSP_2022_AR.pdf</t>
        </is>
      </c>
      <c r="C6202" t="n">
        <v>2022</v>
      </c>
      <c r="D6202" t="inlineStr">
        <is>
          <t>Asset</t>
        </is>
      </c>
      <c r="E6202" t="inlineStr">
        <is>
          <t>Rubber Plants Capacity</t>
        </is>
      </c>
      <c r="F6202" t="n">
        <v>46383</v>
      </c>
      <c r="G6202" t="inlineStr">
        <is>
          <t>MT/year</t>
        </is>
      </c>
      <c r="H6202" t="n">
        <v>68</v>
      </c>
      <c r="I6202" t="inlineStr">
        <is>
          <t>Jumlah total kapasitas terpasang pabrik pada tahun 2022 adalah 46.383 MT per tahun</t>
        </is>
      </c>
      <c r="J6202" t="inlineStr">
        <is>
          <t>High</t>
        </is>
      </c>
      <c r="M6202" t="inlineStr">
        <is>
          <t>LLM</t>
        </is>
      </c>
      <c r="N6202" t="inlineStr">
        <is>
          <t>2026-04-19</t>
        </is>
      </c>
      <c r="O6202" t="inlineStr">
        <is>
          <t>AI</t>
        </is>
      </c>
    </row>
    <row r="6203">
      <c r="A6203" t="inlineStr">
        <is>
          <t>PT Bakrie Sumatera Plantations Tbk</t>
        </is>
      </c>
      <c r="B6203" t="inlineStr">
        <is>
          <t>UNSP_2022_AR.pdf</t>
        </is>
      </c>
      <c r="C6203" t="n">
        <v>2022</v>
      </c>
      <c r="D6203" t="inlineStr">
        <is>
          <t>Asset</t>
        </is>
      </c>
      <c r="E6203" t="inlineStr">
        <is>
          <t>Oleochemicals Refinery Capacity (post-30Jun2022)</t>
        </is>
      </c>
      <c r="F6203" t="n">
        <v>495000</v>
      </c>
      <c r="G6203" t="inlineStr">
        <is>
          <t>MT/year</t>
        </is>
      </c>
      <c r="H6203" t="n">
        <v>64</v>
      </c>
      <c r="I6203" t="inlineStr">
        <is>
          <t>Palm Oil Refinery Plant 495.000</t>
        </is>
      </c>
      <c r="J6203" t="inlineStr">
        <is>
          <t>High</t>
        </is>
      </c>
      <c r="M6203" t="inlineStr">
        <is>
          <t>LLM</t>
        </is>
      </c>
      <c r="N6203" t="inlineStr">
        <is>
          <t>2026-04-19</t>
        </is>
      </c>
      <c r="O6203" t="inlineStr">
        <is>
          <t>AI</t>
        </is>
      </c>
    </row>
    <row r="6204">
      <c r="A6204" t="inlineStr">
        <is>
          <t>PT Bakrie Sumatera Plantations Tbk</t>
        </is>
      </c>
      <c r="B6204" t="inlineStr">
        <is>
          <t>UNSP_2022_AR.pdf</t>
        </is>
      </c>
      <c r="C6204" t="n">
        <v>2022</v>
      </c>
      <c r="D6204" t="inlineStr">
        <is>
          <t>Asset</t>
        </is>
      </c>
      <c r="E6204" t="inlineStr">
        <is>
          <t>Oleochemicals KCP Capacity (post-30Jun2022)</t>
        </is>
      </c>
      <c r="F6204" t="n">
        <v>165000</v>
      </c>
      <c r="G6204" t="inlineStr">
        <is>
          <t>MT/year</t>
        </is>
      </c>
      <c r="H6204" t="n">
        <v>64</v>
      </c>
      <c r="I6204" t="inlineStr">
        <is>
          <t>Kernel Crushing Plant 165.000</t>
        </is>
      </c>
      <c r="J6204" t="inlineStr">
        <is>
          <t>High</t>
        </is>
      </c>
      <c r="M6204" t="inlineStr">
        <is>
          <t>LLM</t>
        </is>
      </c>
      <c r="N6204" t="inlineStr">
        <is>
          <t>2026-04-19</t>
        </is>
      </c>
      <c r="O6204" t="inlineStr">
        <is>
          <t>AI</t>
        </is>
      </c>
    </row>
    <row r="6205">
      <c r="A6205" t="inlineStr">
        <is>
          <t>PT Bakrie Sumatera Plantations Tbk</t>
        </is>
      </c>
      <c r="B6205" t="inlineStr">
        <is>
          <t>UNSP_2022_AR.pdf</t>
        </is>
      </c>
      <c r="C6205" t="n">
        <v>2022</v>
      </c>
      <c r="D6205" t="inlineStr">
        <is>
          <t>Asset</t>
        </is>
      </c>
      <c r="E6205" t="inlineStr">
        <is>
          <t>Fatty Acid Plants (divested 30 Jun 2022)</t>
        </is>
      </c>
      <c r="F6205" t="inlineStr">
        <is>
          <t>Fatty Acid Plant 1: 99,000 t/yr; Fatty Acid Plant 2 (FSC 2): 82,500 t/yr. Beralih kepemilikan 30 Jun 2022 (divested via DAP to Poseidon)</t>
        </is>
      </c>
      <c r="G6205" t="inlineStr">
        <is>
          <t>text</t>
        </is>
      </c>
      <c r="H6205" t="n">
        <v>64</v>
      </c>
      <c r="I6205" t="inlineStr">
        <is>
          <t>Fatty Acid Plant 1* 99.000; Fatty Acid Plant 2 (FSC 2)* 82.500; Beralih kepemilikan sejak 30 Juni 2022</t>
        </is>
      </c>
      <c r="J6205" t="inlineStr">
        <is>
          <t>High</t>
        </is>
      </c>
      <c r="M6205" t="inlineStr">
        <is>
          <t>LLM</t>
        </is>
      </c>
      <c r="N6205" t="inlineStr">
        <is>
          <t>2026-04-19</t>
        </is>
      </c>
      <c r="O6205" t="inlineStr">
        <is>
          <t>AI</t>
        </is>
      </c>
    </row>
    <row r="6206">
      <c r="A6206" t="inlineStr">
        <is>
          <t>PT Bakrie Sumatera Plantations Tbk</t>
        </is>
      </c>
      <c r="B6206" t="inlineStr">
        <is>
          <t>UNSP_2022_AR.pdf</t>
        </is>
      </c>
      <c r="C6206" t="n">
        <v>2022</v>
      </c>
      <c r="D6206" t="inlineStr">
        <is>
          <t>Asset</t>
        </is>
      </c>
      <c r="E6206" t="inlineStr">
        <is>
          <t>Fatty Alcohol Plants (divested 30 Jun 2022)</t>
        </is>
      </c>
      <c r="F6206" t="inlineStr">
        <is>
          <t>Fatty Alcohol Plant 1: 33,000 t/yr; Fatty Alcohol Plant 2: 99,000 t/yr. Beralih kepemilikan 30 Jun 2022</t>
        </is>
      </c>
      <c r="G6206" t="inlineStr">
        <is>
          <t>text</t>
        </is>
      </c>
      <c r="H6206" t="n">
        <v>64</v>
      </c>
      <c r="I6206" t="inlineStr">
        <is>
          <t>Fatty Alcohol Plant 1* 33.000; Fatty Alcohol Plant 2* 99.000</t>
        </is>
      </c>
      <c r="J6206" t="inlineStr">
        <is>
          <t>High</t>
        </is>
      </c>
      <c r="M6206" t="inlineStr">
        <is>
          <t>LLM</t>
        </is>
      </c>
      <c r="N6206" t="inlineStr">
        <is>
          <t>2026-04-19</t>
        </is>
      </c>
      <c r="O6206" t="inlineStr">
        <is>
          <t>AI</t>
        </is>
      </c>
    </row>
    <row r="6207">
      <c r="A6207" t="inlineStr">
        <is>
          <t>PT Bakrie Sumatera Plantations Tbk</t>
        </is>
      </c>
      <c r="B6207" t="inlineStr">
        <is>
          <t>UNSP_2022_AR.pdf</t>
        </is>
      </c>
      <c r="C6207" t="n">
        <v>2022</v>
      </c>
      <c r="D6207" t="inlineStr">
        <is>
          <t>Operation</t>
        </is>
      </c>
      <c r="E6207" t="inlineStr">
        <is>
          <t>FFB Harvested Production</t>
        </is>
      </c>
      <c r="F6207" t="n">
        <v>376655</v>
      </c>
      <c r="G6207" t="inlineStr">
        <is>
          <t>t</t>
        </is>
      </c>
      <c r="H6207" t="n">
        <v>57</v>
      </c>
      <c r="I6207" t="inlineStr">
        <is>
          <t>Total produksi TBS pada tahun 2022 adalah 376.655 ton (2021: 377.447 ton)</t>
        </is>
      </c>
      <c r="J6207" t="inlineStr">
        <is>
          <t>High</t>
        </is>
      </c>
      <c r="M6207" t="inlineStr">
        <is>
          <t>LLM</t>
        </is>
      </c>
      <c r="N6207" t="inlineStr">
        <is>
          <t>2026-04-19</t>
        </is>
      </c>
      <c r="O6207" t="inlineStr">
        <is>
          <t>AI</t>
        </is>
      </c>
    </row>
    <row r="6208">
      <c r="A6208" t="inlineStr">
        <is>
          <t>PT Bakrie Sumatera Plantations Tbk</t>
        </is>
      </c>
      <c r="B6208" t="inlineStr">
        <is>
          <t>UNSP_2022_AR.pdf</t>
        </is>
      </c>
      <c r="C6208" t="n">
        <v>2022</v>
      </c>
      <c r="D6208" t="inlineStr">
        <is>
          <t>Operation</t>
        </is>
      </c>
      <c r="E6208" t="inlineStr">
        <is>
          <t>FFB Unharvested (biological)</t>
        </is>
      </c>
      <c r="F6208" t="n">
        <v>116773</v>
      </c>
      <c r="G6208" t="inlineStr">
        <is>
          <t>t</t>
        </is>
      </c>
      <c r="H6208" t="n">
        <v>57</v>
      </c>
      <c r="I6208" t="inlineStr">
        <is>
          <t>TBS yang belum dipanen 116.773 ton</t>
        </is>
      </c>
      <c r="J6208" t="inlineStr">
        <is>
          <t>High</t>
        </is>
      </c>
      <c r="M6208" t="inlineStr">
        <is>
          <t>LLM</t>
        </is>
      </c>
      <c r="N6208" t="inlineStr">
        <is>
          <t>2026-04-19</t>
        </is>
      </c>
      <c r="O6208" t="inlineStr">
        <is>
          <t>AI</t>
        </is>
      </c>
    </row>
    <row r="6209">
      <c r="A6209" t="inlineStr">
        <is>
          <t>PT Bakrie Sumatera Plantations Tbk</t>
        </is>
      </c>
      <c r="B6209" t="inlineStr">
        <is>
          <t>UNSP_2022_AR.pdf</t>
        </is>
      </c>
      <c r="C6209" t="n">
        <v>2022</v>
      </c>
      <c r="D6209" t="inlineStr">
        <is>
          <t>Operation</t>
        </is>
      </c>
      <c r="E6209" t="inlineStr">
        <is>
          <t>CPO Production</t>
        </is>
      </c>
      <c r="F6209" t="n">
        <v>154701</v>
      </c>
      <c r="G6209" t="inlineStr">
        <is>
          <t>t</t>
        </is>
      </c>
      <c r="H6209" t="n">
        <v>58</v>
      </c>
      <c r="I6209" t="inlineStr">
        <is>
          <t>22,80% menjadi 154.701 ton (CPO)</t>
        </is>
      </c>
      <c r="J6209" t="inlineStr">
        <is>
          <t>High</t>
        </is>
      </c>
      <c r="M6209" t="inlineStr">
        <is>
          <t>LLM</t>
        </is>
      </c>
      <c r="N6209" t="inlineStr">
        <is>
          <t>2026-04-19</t>
        </is>
      </c>
      <c r="O6209" t="inlineStr">
        <is>
          <t>AI</t>
        </is>
      </c>
    </row>
    <row r="6210">
      <c r="A6210" t="inlineStr">
        <is>
          <t>PT Bakrie Sumatera Plantations Tbk</t>
        </is>
      </c>
      <c r="B6210" t="inlineStr">
        <is>
          <t>UNSP_2022_AR.pdf</t>
        </is>
      </c>
      <c r="C6210" t="n">
        <v>2022</v>
      </c>
      <c r="D6210" t="inlineStr">
        <is>
          <t>Operation</t>
        </is>
      </c>
      <c r="E6210" t="inlineStr">
        <is>
          <t>PK Production</t>
        </is>
      </c>
      <c r="F6210" t="n">
        <v>36488</v>
      </c>
      <c r="G6210" t="inlineStr">
        <is>
          <t>t</t>
        </is>
      </c>
      <c r="H6210" t="n">
        <v>58</v>
      </c>
      <c r="I6210" t="inlineStr">
        <is>
          <t>24,28% menjadi 36.488 ton (PK)</t>
        </is>
      </c>
      <c r="J6210" t="inlineStr">
        <is>
          <t>High</t>
        </is>
      </c>
      <c r="M6210" t="inlineStr">
        <is>
          <t>LLM</t>
        </is>
      </c>
      <c r="N6210" t="inlineStr">
        <is>
          <t>2026-04-19</t>
        </is>
      </c>
      <c r="O6210" t="inlineStr">
        <is>
          <t>AI</t>
        </is>
      </c>
    </row>
    <row r="6211">
      <c r="A6211" t="inlineStr">
        <is>
          <t>PT Bakrie Sumatera Plantations Tbk</t>
        </is>
      </c>
      <c r="B6211" t="inlineStr">
        <is>
          <t>UNSP_2022_AR.pdf</t>
        </is>
      </c>
      <c r="C6211" t="n">
        <v>2022</v>
      </c>
      <c r="D6211" t="inlineStr">
        <is>
          <t>Operation</t>
        </is>
      </c>
      <c r="E6211" t="inlineStr">
        <is>
          <t>Latex Harvested</t>
        </is>
      </c>
      <c r="F6211" t="n">
        <v>12904</v>
      </c>
      <c r="G6211" t="inlineStr">
        <is>
          <t>t</t>
        </is>
      </c>
      <c r="H6211" t="n">
        <v>67</v>
      </c>
      <c r="I6211" t="inlineStr">
        <is>
          <t>12.904 ton getah yang sudah dipanen</t>
        </is>
      </c>
      <c r="J6211" t="inlineStr">
        <is>
          <t>High</t>
        </is>
      </c>
      <c r="M6211" t="inlineStr">
        <is>
          <t>LLM</t>
        </is>
      </c>
      <c r="N6211" t="inlineStr">
        <is>
          <t>2026-04-19</t>
        </is>
      </c>
      <c r="O6211" t="inlineStr">
        <is>
          <t>AI</t>
        </is>
      </c>
    </row>
    <row r="6212">
      <c r="A6212" t="inlineStr">
        <is>
          <t>PT Bakrie Sumatera Plantations Tbk</t>
        </is>
      </c>
      <c r="B6212" t="inlineStr">
        <is>
          <t>UNSP_2022_AR.pdf</t>
        </is>
      </c>
      <c r="C6212" t="n">
        <v>2022</v>
      </c>
      <c r="D6212" t="inlineStr">
        <is>
          <t>Operation</t>
        </is>
      </c>
      <c r="E6212" t="inlineStr">
        <is>
          <t>Rubber Plant Total Production</t>
        </is>
      </c>
      <c r="F6212" t="n">
        <v>11835</v>
      </c>
      <c r="G6212" t="inlineStr">
        <is>
          <t>t</t>
        </is>
      </c>
      <c r="H6212" t="n">
        <v>67</v>
      </c>
      <c r="I6212" t="inlineStr">
        <is>
          <t>Total produksi pabrik pengolahan karet pada tahun 2022 adalah 11.835 ton, 14,17% lebih rendah dari 13.789 ton (2021)</t>
        </is>
      </c>
      <c r="J6212" t="inlineStr">
        <is>
          <t>High</t>
        </is>
      </c>
      <c r="M6212" t="inlineStr">
        <is>
          <t>LLM</t>
        </is>
      </c>
      <c r="N6212" t="inlineStr">
        <is>
          <t>2026-04-19</t>
        </is>
      </c>
      <c r="O6212" t="inlineStr">
        <is>
          <t>AI</t>
        </is>
      </c>
    </row>
    <row r="6213">
      <c r="A6213" t="inlineStr">
        <is>
          <t>PT Bakrie Sumatera Plantations Tbk</t>
        </is>
      </c>
      <c r="B6213" t="inlineStr">
        <is>
          <t>UNSP_2022_AR.pdf</t>
        </is>
      </c>
      <c r="C6213" t="n">
        <v>2022</v>
      </c>
      <c r="D6213" t="inlineStr">
        <is>
          <t>Operation</t>
        </is>
      </c>
      <c r="E6213" t="inlineStr">
        <is>
          <t>Palm Segment Sales (before elim.)</t>
        </is>
      </c>
      <c r="F6213" t="n">
        <v>2198.86</v>
      </c>
      <c r="G6213" t="inlineStr">
        <is>
          <t>IDR bn</t>
        </is>
      </c>
      <c r="H6213" t="n">
        <v>60</v>
      </c>
      <c r="I6213" t="inlineStr">
        <is>
          <t>Sawit 2.198.860 1.823.756 20,57%</t>
        </is>
      </c>
      <c r="J6213" t="inlineStr">
        <is>
          <t>High</t>
        </is>
      </c>
      <c r="M6213" t="inlineStr">
        <is>
          <t>LLM</t>
        </is>
      </c>
      <c r="N6213" t="inlineStr">
        <is>
          <t>2026-04-19</t>
        </is>
      </c>
      <c r="O6213" t="inlineStr">
        <is>
          <t>AI</t>
        </is>
      </c>
    </row>
    <row r="6214">
      <c r="A6214" t="inlineStr">
        <is>
          <t>PT Bakrie Sumatera Plantations Tbk</t>
        </is>
      </c>
      <c r="B6214" t="inlineStr">
        <is>
          <t>UNSP_2022_AR.pdf</t>
        </is>
      </c>
      <c r="C6214" t="n">
        <v>2022</v>
      </c>
      <c r="D6214" t="inlineStr">
        <is>
          <t>Operation</t>
        </is>
      </c>
      <c r="E6214" t="inlineStr">
        <is>
          <t>Palm Segment Gross Profit</t>
        </is>
      </c>
      <c r="F6214" t="n">
        <v>568.3099999999999</v>
      </c>
      <c r="G6214" t="inlineStr">
        <is>
          <t>IDR bn</t>
        </is>
      </c>
      <c r="H6214" t="n">
        <v>61</v>
      </c>
      <c r="I6214" t="inlineStr">
        <is>
          <t>Sawit 568.311 648.245 (12,33%)</t>
        </is>
      </c>
      <c r="J6214" t="inlineStr">
        <is>
          <t>High</t>
        </is>
      </c>
      <c r="M6214" t="inlineStr">
        <is>
          <t>LLM</t>
        </is>
      </c>
      <c r="N6214" t="inlineStr">
        <is>
          <t>2026-04-19</t>
        </is>
      </c>
      <c r="O6214" t="inlineStr">
        <is>
          <t>AI</t>
        </is>
      </c>
    </row>
    <row r="6215">
      <c r="A6215" t="inlineStr">
        <is>
          <t>PT Bakrie Sumatera Plantations Tbk</t>
        </is>
      </c>
      <c r="B6215" t="inlineStr">
        <is>
          <t>UNSP_2022_AR.pdf</t>
        </is>
      </c>
      <c r="C6215" t="n">
        <v>2022</v>
      </c>
      <c r="D6215" t="inlineStr">
        <is>
          <t>Operation</t>
        </is>
      </c>
      <c r="E6215" t="inlineStr">
        <is>
          <t>Oleochemicals Sales</t>
        </is>
      </c>
      <c r="F6215" t="n">
        <v>1795.04</v>
      </c>
      <c r="G6215" t="inlineStr">
        <is>
          <t>IDR bn</t>
        </is>
      </c>
      <c r="H6215" t="n">
        <v>65</v>
      </c>
      <c r="I6215" t="inlineStr">
        <is>
          <t>Oleokimia 1.795.036 1.836.820 (2,27%)</t>
        </is>
      </c>
      <c r="J6215" t="inlineStr">
        <is>
          <t>High</t>
        </is>
      </c>
      <c r="M6215" t="inlineStr">
        <is>
          <t>LLM</t>
        </is>
      </c>
      <c r="N6215" t="inlineStr">
        <is>
          <t>2026-04-19</t>
        </is>
      </c>
      <c r="O6215" t="inlineStr">
        <is>
          <t>AI</t>
        </is>
      </c>
    </row>
    <row r="6216">
      <c r="A6216" t="inlineStr">
        <is>
          <t>PT Bakrie Sumatera Plantations Tbk</t>
        </is>
      </c>
      <c r="B6216" t="inlineStr">
        <is>
          <t>UNSP_2022_AR.pdf</t>
        </is>
      </c>
      <c r="C6216" t="n">
        <v>2022</v>
      </c>
      <c r="D6216" t="inlineStr">
        <is>
          <t>Operation</t>
        </is>
      </c>
      <c r="E6216" t="inlineStr">
        <is>
          <t>Oleochemicals Gross Profit</t>
        </is>
      </c>
      <c r="F6216" t="n">
        <v>163.99</v>
      </c>
      <c r="G6216" t="inlineStr">
        <is>
          <t>IDR bn</t>
        </is>
      </c>
      <c r="H6216" t="n">
        <v>66</v>
      </c>
      <c r="I6216" t="inlineStr">
        <is>
          <t>Oleokimia 163.986 201.046 (18,43%)</t>
        </is>
      </c>
      <c r="J6216" t="inlineStr">
        <is>
          <t>High</t>
        </is>
      </c>
      <c r="M6216" t="inlineStr">
        <is>
          <t>LLM</t>
        </is>
      </c>
      <c r="N6216" t="inlineStr">
        <is>
          <t>2026-04-19</t>
        </is>
      </c>
      <c r="O6216" t="inlineStr">
        <is>
          <t>AI</t>
        </is>
      </c>
    </row>
    <row r="6217">
      <c r="A6217" t="inlineStr">
        <is>
          <t>PT Bakrie Sumatera Plantations Tbk</t>
        </is>
      </c>
      <c r="B6217" t="inlineStr">
        <is>
          <t>UNSP_2022_AR.pdf</t>
        </is>
      </c>
      <c r="C6217" t="n">
        <v>2022</v>
      </c>
      <c r="D6217" t="inlineStr">
        <is>
          <t>Operation</t>
        </is>
      </c>
      <c r="E6217" t="inlineStr">
        <is>
          <t>Rubber Segment Sales</t>
        </is>
      </c>
      <c r="F6217" t="n">
        <v>304.51</v>
      </c>
      <c r="G6217" t="inlineStr">
        <is>
          <t>IDR bn</t>
        </is>
      </c>
      <c r="H6217" t="n">
        <v>70</v>
      </c>
      <c r="I6217" t="inlineStr">
        <is>
          <t>Karet 304.514 414.441 (26,52%)</t>
        </is>
      </c>
      <c r="J6217" t="inlineStr">
        <is>
          <t>High</t>
        </is>
      </c>
      <c r="M6217" t="inlineStr">
        <is>
          <t>LLM</t>
        </is>
      </c>
      <c r="N6217" t="inlineStr">
        <is>
          <t>2026-04-19</t>
        </is>
      </c>
      <c r="O6217" t="inlineStr">
        <is>
          <t>AI</t>
        </is>
      </c>
    </row>
    <row r="6218">
      <c r="A6218" t="inlineStr">
        <is>
          <t>PT Bakrie Sumatera Plantations Tbk</t>
        </is>
      </c>
      <c r="B6218" t="inlineStr">
        <is>
          <t>UNSP_2022_AR.pdf</t>
        </is>
      </c>
      <c r="C6218" t="n">
        <v>2022</v>
      </c>
      <c r="D6218" t="inlineStr">
        <is>
          <t>Operation</t>
        </is>
      </c>
      <c r="E6218" t="inlineStr">
        <is>
          <t>Rubber Segment Gross Profit</t>
        </is>
      </c>
      <c r="F6218" t="n">
        <v>53.59</v>
      </c>
      <c r="G6218" t="inlineStr">
        <is>
          <t>IDR bn</t>
        </is>
      </c>
      <c r="H6218" t="n">
        <v>70</v>
      </c>
      <c r="I6218" t="inlineStr">
        <is>
          <t>segmen usaha Karet menghasilkan laba bruto sebesar Rp53,59 miliar, 59,71% lebih rendah dibandingkan Rp133,00 miliar pada tahun 2021</t>
        </is>
      </c>
      <c r="J6218" t="inlineStr">
        <is>
          <t>High</t>
        </is>
      </c>
      <c r="M6218" t="inlineStr">
        <is>
          <t>LLM</t>
        </is>
      </c>
      <c r="N6218" t="inlineStr">
        <is>
          <t>2026-04-19</t>
        </is>
      </c>
      <c r="O6218" t="inlineStr">
        <is>
          <t>AI</t>
        </is>
      </c>
    </row>
    <row r="6219">
      <c r="A6219" t="inlineStr">
        <is>
          <t>PT Bakrie Sumatera Plantations Tbk</t>
        </is>
      </c>
      <c r="B6219" t="inlineStr">
        <is>
          <t>UNSP_2022_AR.pdf</t>
        </is>
      </c>
      <c r="C6219" t="n">
        <v>2022</v>
      </c>
      <c r="D6219" t="inlineStr">
        <is>
          <t>Operation</t>
        </is>
      </c>
      <c r="E6219" t="inlineStr">
        <is>
          <t>CPO % of Palm Segment Sales</t>
        </is>
      </c>
      <c r="F6219" t="n">
        <v>0.8718</v>
      </c>
      <c r="G6219" t="inlineStr">
        <is>
          <t>%</t>
        </is>
      </c>
      <c r="H6219" t="n">
        <v>60</v>
      </c>
      <c r="I6219" t="inlineStr">
        <is>
          <t>penjualan CPO yaitu 87,18%, sedangkan 10,93% PK dan 1,89% TBS</t>
        </is>
      </c>
      <c r="J6219" t="inlineStr">
        <is>
          <t>High</t>
        </is>
      </c>
      <c r="M6219" t="inlineStr">
        <is>
          <t>LLM</t>
        </is>
      </c>
      <c r="N6219" t="inlineStr">
        <is>
          <t>2026-04-19</t>
        </is>
      </c>
      <c r="O6219" t="inlineStr">
        <is>
          <t>AI</t>
        </is>
      </c>
    </row>
    <row r="6220">
      <c r="A6220" t="inlineStr">
        <is>
          <t>PT Bakrie Sumatera Plantations Tbk</t>
        </is>
      </c>
      <c r="B6220" t="inlineStr">
        <is>
          <t>UNSP_2022_AR.pdf</t>
        </is>
      </c>
      <c r="C6220" t="n">
        <v>2022</v>
      </c>
      <c r="D6220" t="inlineStr">
        <is>
          <t>Operation</t>
        </is>
      </c>
      <c r="E6220" t="inlineStr">
        <is>
          <t>Oleochemicals Contribution to Total Sales</t>
        </is>
      </c>
      <c r="F6220" t="n">
        <v>0.4176</v>
      </c>
      <c r="G6220" t="inlineStr">
        <is>
          <t>%</t>
        </is>
      </c>
      <c r="H6220" t="n">
        <v>65</v>
      </c>
      <c r="I6220" t="inlineStr">
        <is>
          <t>kontribusi sebesar 41,76% dari total penjualan neto pada tahun 2022</t>
        </is>
      </c>
      <c r="J6220" t="inlineStr">
        <is>
          <t>High</t>
        </is>
      </c>
      <c r="M6220" t="inlineStr">
        <is>
          <t>LLM</t>
        </is>
      </c>
      <c r="N6220" t="inlineStr">
        <is>
          <t>2026-04-19</t>
        </is>
      </c>
      <c r="O6220" t="inlineStr">
        <is>
          <t>AI</t>
        </is>
      </c>
    </row>
    <row r="6221">
      <c r="A6221" t="inlineStr">
        <is>
          <t>PT Bakrie Sumatera Plantations Tbk</t>
        </is>
      </c>
      <c r="B6221" t="inlineStr">
        <is>
          <t>UNSP_2022_AR.pdf</t>
        </is>
      </c>
      <c r="C6221" t="n">
        <v>2022</v>
      </c>
      <c r="D6221" t="inlineStr">
        <is>
          <t>Operation</t>
        </is>
      </c>
      <c r="E6221" t="inlineStr">
        <is>
          <t>Palm Segment Contribution to Sales</t>
        </is>
      </c>
      <c r="F6221" t="n">
        <v>0.5116000000000001</v>
      </c>
      <c r="G6221" t="inlineStr">
        <is>
          <t>%</t>
        </is>
      </c>
      <c r="H6221" t="n">
        <v>60</v>
      </c>
      <c r="I6221" t="inlineStr">
        <is>
          <t>Kontribusi 51,16% 44,75%</t>
        </is>
      </c>
      <c r="J6221" t="inlineStr">
        <is>
          <t>High</t>
        </is>
      </c>
      <c r="M6221" t="inlineStr">
        <is>
          <t>LLM</t>
        </is>
      </c>
      <c r="N6221" t="inlineStr">
        <is>
          <t>2026-04-19</t>
        </is>
      </c>
      <c r="O6221" t="inlineStr">
        <is>
          <t>AI</t>
        </is>
      </c>
    </row>
    <row r="6222">
      <c r="A6222" t="inlineStr">
        <is>
          <t>PT Bakrie Sumatera Plantations Tbk</t>
        </is>
      </c>
      <c r="B6222" t="inlineStr">
        <is>
          <t>UNSP_2022_AR.pdf</t>
        </is>
      </c>
      <c r="C6222" t="n">
        <v>2022</v>
      </c>
      <c r="D6222" t="inlineStr">
        <is>
          <t>Operation</t>
        </is>
      </c>
      <c r="E6222" t="inlineStr">
        <is>
          <t>Rubber Segment Contribution to Sales</t>
        </is>
      </c>
      <c r="F6222" t="n">
        <v>0.0708</v>
      </c>
      <c r="G6222" t="inlineStr">
        <is>
          <t>%</t>
        </is>
      </c>
      <c r="H6222" t="n">
        <v>70</v>
      </c>
      <c r="I6222" t="inlineStr">
        <is>
          <t>kontribusi terhadap total penjualan pada tahun 2022 sebesar 7,08%</t>
        </is>
      </c>
      <c r="J6222" t="inlineStr">
        <is>
          <t>High</t>
        </is>
      </c>
      <c r="M6222" t="inlineStr">
        <is>
          <t>LLM</t>
        </is>
      </c>
      <c r="N6222" t="inlineStr">
        <is>
          <t>2026-04-19</t>
        </is>
      </c>
      <c r="O6222" t="inlineStr">
        <is>
          <t>AI</t>
        </is>
      </c>
    </row>
    <row r="6223">
      <c r="A6223" t="inlineStr">
        <is>
          <t>PT Bakrie Sumatera Plantations Tbk</t>
        </is>
      </c>
      <c r="B6223" t="inlineStr">
        <is>
          <t>UNSP_2022_AR.pdf</t>
        </is>
      </c>
      <c r="C6223" t="n">
        <v>2022</v>
      </c>
      <c r="D6223" t="inlineStr">
        <is>
          <t>ESG</t>
        </is>
      </c>
      <c r="E6223" t="inlineStr">
        <is>
          <t>Certifications at Oleochem Facilities</t>
        </is>
      </c>
      <c r="F6223" t="inlineStr">
        <is>
          <t>RSPO + ISO 9001:2015 + ISO 22000:2018 + HACCP + GMP + B2 + Halal (MUI) + Kosher (Orthodox Union) at Kuala Tanjung</t>
        </is>
      </c>
      <c r="G6223" t="inlineStr">
        <is>
          <t>text</t>
        </is>
      </c>
      <c r="H6223" t="n">
        <v>63</v>
      </c>
      <c r="I6223" t="inlineStr">
        <is>
          <t>sertifikasi RSPO, ISO 9001:2015, ISO 22000:2018, HACCP, GMP dan GMP +B2, Halal dari MUI dan Kosher dari Orthodox Union</t>
        </is>
      </c>
      <c r="J6223" t="inlineStr">
        <is>
          <t>High</t>
        </is>
      </c>
      <c r="M6223" t="inlineStr">
        <is>
          <t>LLM</t>
        </is>
      </c>
      <c r="N6223" t="inlineStr">
        <is>
          <t>2026-04-19</t>
        </is>
      </c>
      <c r="O6223" t="inlineStr">
        <is>
          <t>AI</t>
        </is>
      </c>
    </row>
    <row r="6224">
      <c r="A6224" t="inlineStr">
        <is>
          <t>PT Bakrie Sumatera Plantations Tbk</t>
        </is>
      </c>
      <c r="B6224" t="inlineStr">
        <is>
          <t>UNSP_2022_AR.pdf</t>
        </is>
      </c>
      <c r="C6224" t="n">
        <v>2022</v>
      </c>
      <c r="D6224" t="inlineStr">
        <is>
          <t>Other</t>
        </is>
      </c>
      <c r="E6224" t="inlineStr">
        <is>
          <t>DAP Divestment 30 Jun 2022</t>
        </is>
      </c>
      <c r="F6224" t="inlineStr">
        <is>
          <t>Ownership of part of oleochemical facilities (fatty acid/alcohol plants) transferred via DAP to Poseidon Corporate Service Ltd on 30 Jun 2022; triggered deconsolidation</t>
        </is>
      </c>
      <c r="G6224" t="inlineStr">
        <is>
          <t>text</t>
        </is>
      </c>
      <c r="H6224" t="n">
        <v>63</v>
      </c>
      <c r="I6224" t="inlineStr">
        <is>
          <t>kepemilikan sebagian fasilitas pengolahan oleokimia Perusahaan Anda telah dialihkan sejak 30 Juni 2022, sehubungan dengan pengurangan kepemilikan saham Perusahaan Anda melalui Anak Perusahaan BRC dalam DAP kepada Poseidon Corporate Service Ltd</t>
        </is>
      </c>
      <c r="J6224" t="inlineStr">
        <is>
          <t>High</t>
        </is>
      </c>
      <c r="M6224" t="inlineStr">
        <is>
          <t>LLM</t>
        </is>
      </c>
      <c r="N6224" t="inlineStr">
        <is>
          <t>2026-04-19</t>
        </is>
      </c>
      <c r="O6224" t="inlineStr">
        <is>
          <t>AI</t>
        </is>
      </c>
    </row>
    <row r="6225">
      <c r="A6225" t="inlineStr">
        <is>
          <t>PT Bakrie Sumatera Plantations Tbk</t>
        </is>
      </c>
      <c r="B6225" t="inlineStr">
        <is>
          <t>UNSP_2022_AR.pdf</t>
        </is>
      </c>
      <c r="C6225" t="n">
        <v>2022</v>
      </c>
      <c r="D6225" t="inlineStr">
        <is>
          <t>Other</t>
        </is>
      </c>
      <c r="E6225" t="inlineStr">
        <is>
          <t>Credit Suisse Indicative Term Sheet</t>
        </is>
      </c>
      <c r="F6225" t="inlineStr">
        <is>
          <t>Signed 13 Jan 2022 between BSP + certain subsidiaries (Obligor Group) and Credit Suisse AG Singapore Branch + other lenders; triggered write-off of Rp252.28 bn restricted funds at Bank of New York Mellon</t>
        </is>
      </c>
      <c r="G6225" t="inlineStr">
        <is>
          <t>text</t>
        </is>
      </c>
      <c r="H6225" t="n">
        <v>84</v>
      </c>
      <c r="I6225" t="inlineStr">
        <is>
          <t>Indicative Restructuring Term Sheet ... Credit Suisse AG, Cabang Singapura ... Term Sheet pada tanggal 13 Januari 2022</t>
        </is>
      </c>
      <c r="J6225" t="inlineStr">
        <is>
          <t>High</t>
        </is>
      </c>
      <c r="M6225" t="inlineStr">
        <is>
          <t>LLM</t>
        </is>
      </c>
      <c r="N6225" t="inlineStr">
        <is>
          <t>2026-04-19</t>
        </is>
      </c>
      <c r="O6225" t="inlineStr">
        <is>
          <t>AI</t>
        </is>
      </c>
    </row>
    <row r="6226">
      <c r="A6226" t="inlineStr">
        <is>
          <t>PT Bakrie Sumatera Plantations Tbk</t>
        </is>
      </c>
      <c r="B6226" t="inlineStr">
        <is>
          <t>UNSP_2022_AR.pdf</t>
        </is>
      </c>
      <c r="C6226" t="n">
        <v>2022</v>
      </c>
      <c r="D6226" t="inlineStr">
        <is>
          <t>Other</t>
        </is>
      </c>
      <c r="E6226" t="inlineStr">
        <is>
          <t>Equity-Linked Notes Interest Status</t>
        </is>
      </c>
      <c r="F6226" t="inlineStr">
        <is>
          <t>USD 100 mn / 8% p.a. / SGX since 18 Feb 2010. No interest paid since 1 Sep 2014 through 1 Sep 2022 - all zero</t>
        </is>
      </c>
      <c r="G6226" t="inlineStr">
        <is>
          <t>text</t>
        </is>
      </c>
      <c r="H6226" t="n">
        <v>11</v>
      </c>
      <c r="I6226" t="inlineStr">
        <is>
          <t>SGX-ST 18 Februari 2010 100.000.000 8% p.a. / 7 years; interest payments all zero from 2014 Sep onwards</t>
        </is>
      </c>
      <c r="J6226" t="inlineStr">
        <is>
          <t>High</t>
        </is>
      </c>
      <c r="M6226" t="inlineStr">
        <is>
          <t>LLM</t>
        </is>
      </c>
      <c r="N6226" t="inlineStr">
        <is>
          <t>2026-04-19</t>
        </is>
      </c>
      <c r="O6226" t="inlineStr">
        <is>
          <t>AI</t>
        </is>
      </c>
    </row>
    <row r="6227">
      <c r="A6227" t="inlineStr">
        <is>
          <t>PT Bakrie Sumatera Plantations Tbk</t>
        </is>
      </c>
      <c r="B6227" t="inlineStr">
        <is>
          <t>UNSP_2022_AR.pdf</t>
        </is>
      </c>
      <c r="C6227" t="n">
        <v>2022</v>
      </c>
      <c r="D6227" t="inlineStr">
        <is>
          <t>Other</t>
        </is>
      </c>
      <c r="E6227" t="inlineStr">
        <is>
          <t>No Dividend</t>
        </is>
      </c>
      <c r="F6227" t="inlineStr">
        <is>
          <t>No cash dividend distributed since 2012</t>
        </is>
      </c>
      <c r="G6227" t="inlineStr">
        <is>
          <t>text</t>
        </is>
      </c>
      <c r="H6227" t="n">
        <v>9</v>
      </c>
      <c r="I6227" t="inlineStr">
        <is>
          <t>Dividend table 2013-2022 all zero payouts</t>
        </is>
      </c>
      <c r="J6227" t="inlineStr">
        <is>
          <t>High</t>
        </is>
      </c>
      <c r="M6227" t="inlineStr">
        <is>
          <t>LLM</t>
        </is>
      </c>
      <c r="N6227" t="inlineStr">
        <is>
          <t>2026-04-19</t>
        </is>
      </c>
      <c r="O6227" t="inlineStr">
        <is>
          <t>AI</t>
        </is>
      </c>
    </row>
    <row r="6228">
      <c r="A6228" t="inlineStr">
        <is>
          <t>PT Bakrie Sumatera Plantations Tbk</t>
        </is>
      </c>
      <c r="B6228" t="inlineStr">
        <is>
          <t>UNSP_2022_AR.pdf</t>
        </is>
      </c>
      <c r="C6228" t="n">
        <v>2022</v>
      </c>
      <c r="D6228" t="inlineStr">
        <is>
          <t>Other</t>
        </is>
      </c>
      <c r="E6228" t="inlineStr">
        <is>
          <t>Tebo &amp; Sarolangun Fully Impaired</t>
        </is>
      </c>
      <c r="F6228" t="inlineStr">
        <is>
          <t>Tebo 15,000 Ha and Sarolangun 10,000 Ha palm development projects fully impaired as of 31 Dec 2022 and 2021</t>
        </is>
      </c>
      <c r="G6228" t="inlineStr">
        <is>
          <t>text</t>
        </is>
      </c>
      <c r="H6228" t="n">
        <v>62</v>
      </c>
      <c r="I6228" t="inlineStr">
        <is>
          <t>Pada tanggal 31 Desember 2022 dan 2021 kedua proyek pengembangan usaha ini mengalami penurunan nilai seluruhnya</t>
        </is>
      </c>
      <c r="J6228" t="inlineStr">
        <is>
          <t>High</t>
        </is>
      </c>
      <c r="M6228" t="inlineStr">
        <is>
          <t>LLM</t>
        </is>
      </c>
      <c r="N6228" t="inlineStr">
        <is>
          <t>2026-04-19</t>
        </is>
      </c>
      <c r="O6228" t="inlineStr">
        <is>
          <t>AI</t>
        </is>
      </c>
    </row>
    <row r="6229">
      <c r="A6229" t="inlineStr">
        <is>
          <t>PT Bakrie Sumatera Plantations Tbk</t>
        </is>
      </c>
      <c r="B6229" t="inlineStr">
        <is>
          <t>UNSP_2023_AR.pdf</t>
        </is>
      </c>
      <c r="C6229" t="n">
        <v>2023</v>
      </c>
      <c r="D6229" t="inlineStr">
        <is>
          <t>Company</t>
        </is>
      </c>
      <c r="E6229" t="inlineStr">
        <is>
          <t>Company Name</t>
        </is>
      </c>
      <c r="F6229" t="inlineStr">
        <is>
          <t>PT Bakrie Sumatera Plantations Tbk</t>
        </is>
      </c>
      <c r="G6229" t="inlineStr">
        <is>
          <t>text</t>
        </is>
      </c>
      <c r="H6229" t="n">
        <v>1</v>
      </c>
      <c r="I6229" t="inlineStr">
        <is>
          <t>BSP Laporan Tahunan 2023</t>
        </is>
      </c>
      <c r="J6229" t="inlineStr">
        <is>
          <t>High</t>
        </is>
      </c>
      <c r="M6229" t="inlineStr">
        <is>
          <t>LLM</t>
        </is>
      </c>
      <c r="N6229" t="inlineStr">
        <is>
          <t>2026-04-19</t>
        </is>
      </c>
      <c r="O6229" t="inlineStr">
        <is>
          <t>AI</t>
        </is>
      </c>
    </row>
    <row r="6230">
      <c r="A6230" t="inlineStr">
        <is>
          <t>PT Bakrie Sumatera Plantations Tbk</t>
        </is>
      </c>
      <c r="B6230" t="inlineStr">
        <is>
          <t>UNSP_2023_AR.pdf</t>
        </is>
      </c>
      <c r="C6230" t="n">
        <v>2023</v>
      </c>
      <c r="D6230" t="inlineStr">
        <is>
          <t>Company</t>
        </is>
      </c>
      <c r="E6230" t="inlineStr">
        <is>
          <t>Ticker / Listing</t>
        </is>
      </c>
      <c r="F6230" t="inlineStr">
        <is>
          <t>UNSP (IDX)</t>
        </is>
      </c>
      <c r="G6230" t="inlineStr">
        <is>
          <t>text</t>
        </is>
      </c>
      <c r="H6230" t="n">
        <v>8</v>
      </c>
      <c r="I6230" t="inlineStr">
        <is>
          <t>IDX : UNSP</t>
        </is>
      </c>
      <c r="J6230" t="inlineStr">
        <is>
          <t>High</t>
        </is>
      </c>
      <c r="M6230" t="inlineStr">
        <is>
          <t>LLM</t>
        </is>
      </c>
      <c r="N6230" t="inlineStr">
        <is>
          <t>2026-04-19</t>
        </is>
      </c>
      <c r="O6230" t="inlineStr">
        <is>
          <t>AI</t>
        </is>
      </c>
    </row>
    <row r="6231">
      <c r="A6231" t="inlineStr">
        <is>
          <t>PT Bakrie Sumatera Plantations Tbk</t>
        </is>
      </c>
      <c r="B6231" t="inlineStr">
        <is>
          <t>UNSP_2023_AR.pdf</t>
        </is>
      </c>
      <c r="C6231" t="n">
        <v>2023</v>
      </c>
      <c r="D6231" t="inlineStr">
        <is>
          <t>Company</t>
        </is>
      </c>
      <c r="E6231" t="inlineStr">
        <is>
          <t>Controlling Shareholder - Bakrie Capital</t>
        </is>
      </c>
      <c r="F6231" t="inlineStr">
        <is>
          <t>PT Bakrie Capital Indonesia 14.70%</t>
        </is>
      </c>
      <c r="G6231" t="inlineStr">
        <is>
          <t>%</t>
        </is>
      </c>
      <c r="H6231" t="n">
        <v>10</v>
      </c>
      <c r="I6231" t="inlineStr">
        <is>
          <t>PT Bakrie Capital Indonesia 367.629.259 14,70</t>
        </is>
      </c>
      <c r="J6231" t="inlineStr">
        <is>
          <t>High</t>
        </is>
      </c>
      <c r="M6231" t="inlineStr">
        <is>
          <t>LLM</t>
        </is>
      </c>
      <c r="N6231" t="inlineStr">
        <is>
          <t>2026-04-19</t>
        </is>
      </c>
      <c r="O6231" t="inlineStr">
        <is>
          <t>AI</t>
        </is>
      </c>
    </row>
    <row r="6232">
      <c r="A6232" t="inlineStr">
        <is>
          <t>PT Bakrie Sumatera Plantations Tbk</t>
        </is>
      </c>
      <c r="B6232" t="inlineStr">
        <is>
          <t>UNSP_2023_AR.pdf</t>
        </is>
      </c>
      <c r="C6232" t="n">
        <v>2023</v>
      </c>
      <c r="D6232" t="inlineStr">
        <is>
          <t>Company</t>
        </is>
      </c>
      <c r="E6232" t="inlineStr">
        <is>
          <t>Major Shareholder - Ernawati Ali</t>
        </is>
      </c>
      <c r="F6232" t="n">
        <v>0.1096</v>
      </c>
      <c r="G6232" t="inlineStr">
        <is>
          <t>%</t>
        </is>
      </c>
      <c r="H6232" t="n">
        <v>10</v>
      </c>
      <c r="I6232" t="inlineStr">
        <is>
          <t>Ernawati Ali 273.921.631 10,96</t>
        </is>
      </c>
      <c r="J6232" t="inlineStr">
        <is>
          <t>High</t>
        </is>
      </c>
      <c r="M6232" t="inlineStr">
        <is>
          <t>LLM</t>
        </is>
      </c>
      <c r="N6232" t="inlineStr">
        <is>
          <t>2026-04-19</t>
        </is>
      </c>
      <c r="O6232" t="inlineStr">
        <is>
          <t>AI</t>
        </is>
      </c>
    </row>
    <row r="6233">
      <c r="A6233" t="inlineStr">
        <is>
          <t>PT Bakrie Sumatera Plantations Tbk</t>
        </is>
      </c>
      <c r="B6233" t="inlineStr">
        <is>
          <t>UNSP_2023_AR.pdf</t>
        </is>
      </c>
      <c r="C6233" t="n">
        <v>2023</v>
      </c>
      <c r="D6233" t="inlineStr">
        <is>
          <t>Company</t>
        </is>
      </c>
      <c r="E6233" t="inlineStr">
        <is>
          <t>Major Shareholder - Lie Leonard Djajali</t>
        </is>
      </c>
      <c r="F6233" t="n">
        <v>0.0921</v>
      </c>
      <c r="G6233" t="inlineStr">
        <is>
          <t>%</t>
        </is>
      </c>
      <c r="H6233" t="n">
        <v>10</v>
      </c>
      <c r="I6233" t="inlineStr">
        <is>
          <t>Lie Leonard Djajali 230.265.187 9,21</t>
        </is>
      </c>
      <c r="J6233" t="inlineStr">
        <is>
          <t>High</t>
        </is>
      </c>
      <c r="M6233" t="inlineStr">
        <is>
          <t>LLM</t>
        </is>
      </c>
      <c r="N6233" t="inlineStr">
        <is>
          <t>2026-04-19</t>
        </is>
      </c>
      <c r="O6233" t="inlineStr">
        <is>
          <t>AI</t>
        </is>
      </c>
    </row>
    <row r="6234">
      <c r="A6234" t="inlineStr">
        <is>
          <t>PT Bakrie Sumatera Plantations Tbk</t>
        </is>
      </c>
      <c r="B6234" t="inlineStr">
        <is>
          <t>UNSP_2023_AR.pdf</t>
        </is>
      </c>
      <c r="C6234" t="n">
        <v>2023</v>
      </c>
      <c r="D6234" t="inlineStr">
        <is>
          <t>Company</t>
        </is>
      </c>
      <c r="E6234" t="inlineStr">
        <is>
          <t>Major Shareholder - Paradiso Resources</t>
        </is>
      </c>
      <c r="F6234" t="n">
        <v>0.0587</v>
      </c>
      <c r="G6234" t="inlineStr">
        <is>
          <t>%</t>
        </is>
      </c>
      <c r="H6234" t="n">
        <v>10</v>
      </c>
      <c r="I6234" t="inlineStr">
        <is>
          <t>Paradiso Resources Ltd. 146.663.232 5,87</t>
        </is>
      </c>
      <c r="J6234" t="inlineStr">
        <is>
          <t>High</t>
        </is>
      </c>
      <c r="M6234" t="inlineStr">
        <is>
          <t>LLM</t>
        </is>
      </c>
      <c r="N6234" t="inlineStr">
        <is>
          <t>2026-04-19</t>
        </is>
      </c>
      <c r="O6234" t="inlineStr">
        <is>
          <t>AI</t>
        </is>
      </c>
    </row>
    <row r="6235">
      <c r="A6235" t="inlineStr">
        <is>
          <t>PT Bakrie Sumatera Plantations Tbk</t>
        </is>
      </c>
      <c r="B6235" t="inlineStr">
        <is>
          <t>UNSP_2023_AR.pdf</t>
        </is>
      </c>
      <c r="C6235" t="n">
        <v>2023</v>
      </c>
      <c r="D6235" t="inlineStr">
        <is>
          <t>Company</t>
        </is>
      </c>
      <c r="E6235" t="inlineStr">
        <is>
          <t>Public Float</t>
        </is>
      </c>
      <c r="F6235" t="n">
        <v>0.5926</v>
      </c>
      <c r="G6235" t="inlineStr">
        <is>
          <t>%</t>
        </is>
      </c>
      <c r="H6235" t="n">
        <v>10</v>
      </c>
      <c r="I6235" t="inlineStr">
        <is>
          <t>Masyarakat di bawah 5% 1.481.683.035 59,26</t>
        </is>
      </c>
      <c r="J6235" t="inlineStr">
        <is>
          <t>High</t>
        </is>
      </c>
      <c r="M6235" t="inlineStr">
        <is>
          <t>LLM</t>
        </is>
      </c>
      <c r="N6235" t="inlineStr">
        <is>
          <t>2026-04-19</t>
        </is>
      </c>
      <c r="O6235" t="inlineStr">
        <is>
          <t>AI</t>
        </is>
      </c>
    </row>
    <row r="6236">
      <c r="A6236" t="inlineStr">
        <is>
          <t>PT Bakrie Sumatera Plantations Tbk</t>
        </is>
      </c>
      <c r="B6236" t="inlineStr">
        <is>
          <t>UNSP_2023_AR.pdf</t>
        </is>
      </c>
      <c r="C6236" t="n">
        <v>2023</v>
      </c>
      <c r="D6236" t="inlineStr">
        <is>
          <t>Company</t>
        </is>
      </c>
      <c r="E6236" t="inlineStr">
        <is>
          <t>Total Shares Outstanding (net of treasury)</t>
        </is>
      </c>
      <c r="F6236" t="n">
        <v>2500162338</v>
      </c>
      <c r="G6236" t="inlineStr">
        <is>
          <t>shares</t>
        </is>
      </c>
      <c r="H6236" t="n">
        <v>10</v>
      </c>
      <c r="I6236" t="inlineStr">
        <is>
          <t>Subtotal 2.500.162.344 - Treasuri 6 = Total 2.500.162.338</t>
        </is>
      </c>
      <c r="J6236" t="inlineStr">
        <is>
          <t>High</t>
        </is>
      </c>
      <c r="M6236" t="inlineStr">
        <is>
          <t>LLM</t>
        </is>
      </c>
      <c r="N6236" t="inlineStr">
        <is>
          <t>2026-04-19</t>
        </is>
      </c>
      <c r="O6236" t="inlineStr">
        <is>
          <t>AI</t>
        </is>
      </c>
    </row>
    <row r="6237">
      <c r="A6237" t="inlineStr">
        <is>
          <t>PT Bakrie Sumatera Plantations Tbk</t>
        </is>
      </c>
      <c r="B6237" t="inlineStr">
        <is>
          <t>UNSP_2023_AR.pdf</t>
        </is>
      </c>
      <c r="C6237" t="n">
        <v>2023</v>
      </c>
      <c r="D6237" t="inlineStr">
        <is>
          <t>Company</t>
        </is>
      </c>
      <c r="E6237" t="inlineStr">
        <is>
          <t>Total Shareholders</t>
        </is>
      </c>
      <c r="F6237" t="n">
        <v>13679</v>
      </c>
      <c r="G6237" t="inlineStr">
        <is>
          <t>count</t>
        </is>
      </c>
      <c r="H6237" t="n">
        <v>11</v>
      </c>
      <c r="I6237" t="inlineStr">
        <is>
          <t>Total 13.679 2.500.162.344 100,00%</t>
        </is>
      </c>
      <c r="J6237" t="inlineStr">
        <is>
          <t>High</t>
        </is>
      </c>
      <c r="M6237" t="inlineStr">
        <is>
          <t>LLM</t>
        </is>
      </c>
      <c r="N6237" t="inlineStr">
        <is>
          <t>2026-04-19</t>
        </is>
      </c>
      <c r="O6237" t="inlineStr">
        <is>
          <t>AI</t>
        </is>
      </c>
    </row>
    <row r="6238">
      <c r="A6238" t="inlineStr">
        <is>
          <t>PT Bakrie Sumatera Plantations Tbk</t>
        </is>
      </c>
      <c r="B6238" t="inlineStr">
        <is>
          <t>UNSP_2023_AR.pdf</t>
        </is>
      </c>
      <c r="C6238" t="n">
        <v>2023</v>
      </c>
      <c r="D6238" t="inlineStr">
        <is>
          <t>Financial</t>
        </is>
      </c>
      <c r="E6238" t="inlineStr">
        <is>
          <t>Net Sales</t>
        </is>
      </c>
      <c r="F6238" t="n">
        <v>2405.15</v>
      </c>
      <c r="G6238" t="inlineStr">
        <is>
          <t>IDR bn</t>
        </is>
      </c>
      <c r="H6238" t="n">
        <v>6</v>
      </c>
      <c r="I6238" t="inlineStr">
        <is>
          <t>Penjualan neto 2.405.153 4.189.330 (2023 vs 2022)</t>
        </is>
      </c>
      <c r="J6238" t="inlineStr">
        <is>
          <t>High</t>
        </is>
      </c>
      <c r="M6238" t="inlineStr">
        <is>
          <t>LLM</t>
        </is>
      </c>
      <c r="N6238" t="inlineStr">
        <is>
          <t>2026-04-19</t>
        </is>
      </c>
      <c r="O6238" t="inlineStr">
        <is>
          <t>AI</t>
        </is>
      </c>
    </row>
    <row r="6239">
      <c r="A6239" t="inlineStr">
        <is>
          <t>PT Bakrie Sumatera Plantations Tbk</t>
        </is>
      </c>
      <c r="B6239" t="inlineStr">
        <is>
          <t>UNSP_2023_AR.pdf</t>
        </is>
      </c>
      <c r="C6239" t="n">
        <v>2023</v>
      </c>
      <c r="D6239" t="inlineStr">
        <is>
          <t>Financial</t>
        </is>
      </c>
      <c r="E6239" t="inlineStr">
        <is>
          <t>Cost of Sales</t>
        </is>
      </c>
      <c r="F6239" t="n">
        <v>1928.15</v>
      </c>
      <c r="G6239" t="inlineStr">
        <is>
          <t>IDR bn</t>
        </is>
      </c>
      <c r="H6239" t="n">
        <v>6</v>
      </c>
      <c r="I6239" t="inlineStr">
        <is>
          <t>Beban pokok penjualan 1.928.151 3.403.447</t>
        </is>
      </c>
      <c r="J6239" t="inlineStr">
        <is>
          <t>High</t>
        </is>
      </c>
      <c r="M6239" t="inlineStr">
        <is>
          <t>LLM</t>
        </is>
      </c>
      <c r="N6239" t="inlineStr">
        <is>
          <t>2026-04-19</t>
        </is>
      </c>
      <c r="O6239" t="inlineStr">
        <is>
          <t>AI</t>
        </is>
      </c>
    </row>
    <row r="6240">
      <c r="A6240" t="inlineStr">
        <is>
          <t>PT Bakrie Sumatera Plantations Tbk</t>
        </is>
      </c>
      <c r="B6240" t="inlineStr">
        <is>
          <t>UNSP_2023_AR.pdf</t>
        </is>
      </c>
      <c r="C6240" t="n">
        <v>2023</v>
      </c>
      <c r="D6240" t="inlineStr">
        <is>
          <t>Financial</t>
        </is>
      </c>
      <c r="E6240" t="inlineStr">
        <is>
          <t>Gross Profit</t>
        </is>
      </c>
      <c r="F6240" t="n">
        <v>477</v>
      </c>
      <c r="G6240" t="inlineStr">
        <is>
          <t>IDR bn</t>
        </is>
      </c>
      <c r="H6240" t="n">
        <v>6</v>
      </c>
      <c r="I6240" t="inlineStr">
        <is>
          <t>Laba bruto 477.002 785.883</t>
        </is>
      </c>
      <c r="J6240" t="inlineStr">
        <is>
          <t>High</t>
        </is>
      </c>
      <c r="M6240" t="inlineStr">
        <is>
          <t>LLM</t>
        </is>
      </c>
      <c r="N6240" t="inlineStr">
        <is>
          <t>2026-04-19</t>
        </is>
      </c>
      <c r="O6240" t="inlineStr">
        <is>
          <t>AI</t>
        </is>
      </c>
    </row>
    <row r="6241">
      <c r="A6241" t="inlineStr">
        <is>
          <t>PT Bakrie Sumatera Plantations Tbk</t>
        </is>
      </c>
      <c r="B6241" t="inlineStr">
        <is>
          <t>UNSP_2023_AR.pdf</t>
        </is>
      </c>
      <c r="C6241" t="n">
        <v>2023</v>
      </c>
      <c r="D6241" t="inlineStr">
        <is>
          <t>Financial</t>
        </is>
      </c>
      <c r="E6241" t="inlineStr">
        <is>
          <t>Selling Expenses</t>
        </is>
      </c>
      <c r="F6241" t="n">
        <v>63.84</v>
      </c>
      <c r="G6241" t="inlineStr">
        <is>
          <t>IDR bn</t>
        </is>
      </c>
      <c r="I6241" t="inlineStr">
        <is>
          <t>Beban penjualan (63.842) (86.275)</t>
        </is>
      </c>
      <c r="J6241" t="inlineStr">
        <is>
          <t>High</t>
        </is>
      </c>
      <c r="M6241" t="inlineStr">
        <is>
          <t>LLM</t>
        </is>
      </c>
      <c r="N6241" t="inlineStr">
        <is>
          <t>2026-04-19</t>
        </is>
      </c>
      <c r="O6241" t="inlineStr">
        <is>
          <t>AI</t>
        </is>
      </c>
    </row>
    <row r="6242">
      <c r="A6242" t="inlineStr">
        <is>
          <t>PT Bakrie Sumatera Plantations Tbk</t>
        </is>
      </c>
      <c r="B6242" t="inlineStr">
        <is>
          <t>UNSP_2023_AR.pdf</t>
        </is>
      </c>
      <c r="C6242" t="n">
        <v>2023</v>
      </c>
      <c r="D6242" t="inlineStr">
        <is>
          <t>Financial</t>
        </is>
      </c>
      <c r="E6242" t="inlineStr">
        <is>
          <t>G&amp;A Expenses</t>
        </is>
      </c>
      <c r="F6242" t="n">
        <v>370.33</v>
      </c>
      <c r="G6242" t="inlineStr">
        <is>
          <t>IDR bn</t>
        </is>
      </c>
      <c r="I6242" t="inlineStr">
        <is>
          <t>Beban umum dan administrasi (370.334) (384.470)</t>
        </is>
      </c>
      <c r="J6242" t="inlineStr">
        <is>
          <t>High</t>
        </is>
      </c>
      <c r="M6242" t="inlineStr">
        <is>
          <t>LLM</t>
        </is>
      </c>
      <c r="N6242" t="inlineStr">
        <is>
          <t>2026-04-19</t>
        </is>
      </c>
      <c r="O6242" t="inlineStr">
        <is>
          <t>AI</t>
        </is>
      </c>
    </row>
    <row r="6243">
      <c r="A6243" t="inlineStr">
        <is>
          <t>PT Bakrie Sumatera Plantations Tbk</t>
        </is>
      </c>
      <c r="B6243" t="inlineStr">
        <is>
          <t>UNSP_2023_AR.pdf</t>
        </is>
      </c>
      <c r="C6243" t="n">
        <v>2023</v>
      </c>
      <c r="D6243" t="inlineStr">
        <is>
          <t>Financial</t>
        </is>
      </c>
      <c r="E6243" t="inlineStr">
        <is>
          <t>FX Gain/(Loss)</t>
        </is>
      </c>
      <c r="F6243" t="n">
        <v>146.01</v>
      </c>
      <c r="G6243" t="inlineStr">
        <is>
          <t>IDR bn</t>
        </is>
      </c>
      <c r="I6243" t="inlineStr">
        <is>
          <t>Keuntungan (kerugian) selisih kurs - neto ... 146.007 (2023) vs (783.303) 2022</t>
        </is>
      </c>
      <c r="J6243" t="inlineStr">
        <is>
          <t>Medium</t>
        </is>
      </c>
      <c r="M6243" t="inlineStr">
        <is>
          <t>LLM</t>
        </is>
      </c>
      <c r="N6243" t="inlineStr">
        <is>
          <t>2026-04-19</t>
        </is>
      </c>
      <c r="O6243" t="inlineStr">
        <is>
          <t>AI</t>
        </is>
      </c>
    </row>
    <row r="6244">
      <c r="A6244" t="inlineStr">
        <is>
          <t>PT Bakrie Sumatera Plantations Tbk</t>
        </is>
      </c>
      <c r="B6244" t="inlineStr">
        <is>
          <t>UNSP_2023_AR.pdf</t>
        </is>
      </c>
      <c r="C6244" t="n">
        <v>2023</v>
      </c>
      <c r="D6244" t="inlineStr">
        <is>
          <t>Financial</t>
        </is>
      </c>
      <c r="E6244" t="inlineStr">
        <is>
          <t>Finance Expenses</t>
        </is>
      </c>
      <c r="F6244" t="n">
        <v>168.19</v>
      </c>
      <c r="G6244" t="inlineStr">
        <is>
          <t>IDR bn</t>
        </is>
      </c>
      <c r="I6244" t="inlineStr">
        <is>
          <t>Beban keuangan (168.188) (193.145)</t>
        </is>
      </c>
      <c r="J6244" t="inlineStr">
        <is>
          <t>High</t>
        </is>
      </c>
      <c r="M6244" t="inlineStr">
        <is>
          <t>LLM</t>
        </is>
      </c>
      <c r="N6244" t="inlineStr">
        <is>
          <t>2026-04-19</t>
        </is>
      </c>
      <c r="O6244" t="inlineStr">
        <is>
          <t>AI</t>
        </is>
      </c>
    </row>
    <row r="6245">
      <c r="A6245" t="inlineStr">
        <is>
          <t>PT Bakrie Sumatera Plantations Tbk</t>
        </is>
      </c>
      <c r="B6245" t="inlineStr">
        <is>
          <t>UNSP_2023_AR.pdf</t>
        </is>
      </c>
      <c r="C6245" t="n">
        <v>2023</v>
      </c>
      <c r="D6245" t="inlineStr">
        <is>
          <t>Financial</t>
        </is>
      </c>
      <c r="E6245" t="inlineStr">
        <is>
          <t>Profit Before Tax</t>
        </is>
      </c>
      <c r="F6245" t="n">
        <v>95</v>
      </c>
      <c r="G6245" t="inlineStr">
        <is>
          <t>IDR bn</t>
        </is>
      </c>
      <c r="H6245" t="n">
        <v>6</v>
      </c>
      <c r="I6245" t="inlineStr">
        <is>
          <t>Laba sebelum manfaat (beban) pajak penghasilan 94.995 946.717</t>
        </is>
      </c>
      <c r="J6245" t="inlineStr">
        <is>
          <t>High</t>
        </is>
      </c>
      <c r="M6245" t="inlineStr">
        <is>
          <t>LLM</t>
        </is>
      </c>
      <c r="N6245" t="inlineStr">
        <is>
          <t>2026-04-19</t>
        </is>
      </c>
      <c r="O6245" t="inlineStr">
        <is>
          <t>AI</t>
        </is>
      </c>
    </row>
    <row r="6246">
      <c r="A6246" t="inlineStr">
        <is>
          <t>PT Bakrie Sumatera Plantations Tbk</t>
        </is>
      </c>
      <c r="B6246" t="inlineStr">
        <is>
          <t>UNSP_2023_AR.pdf</t>
        </is>
      </c>
      <c r="C6246" t="n">
        <v>2023</v>
      </c>
      <c r="D6246" t="inlineStr">
        <is>
          <t>Financial</t>
        </is>
      </c>
      <c r="E6246" t="inlineStr">
        <is>
          <t>Income Tax Expense</t>
        </is>
      </c>
      <c r="F6246" t="n">
        <v>-68.86</v>
      </c>
      <c r="G6246" t="inlineStr">
        <is>
          <t>IDR bn</t>
        </is>
      </c>
      <c r="H6246" t="n">
        <v>6</v>
      </c>
      <c r="I6246" t="inlineStr">
        <is>
          <t>Beban pajak penghasilan - neto (68.858) (16.510)</t>
        </is>
      </c>
      <c r="J6246" t="inlineStr">
        <is>
          <t>High</t>
        </is>
      </c>
      <c r="M6246" t="inlineStr">
        <is>
          <t>LLM</t>
        </is>
      </c>
      <c r="N6246" t="inlineStr">
        <is>
          <t>2026-04-19</t>
        </is>
      </c>
      <c r="O6246" t="inlineStr">
        <is>
          <t>AI</t>
        </is>
      </c>
    </row>
    <row r="6247">
      <c r="A6247" t="inlineStr">
        <is>
          <t>PT Bakrie Sumatera Plantations Tbk</t>
        </is>
      </c>
      <c r="B6247" t="inlineStr">
        <is>
          <t>UNSP_2023_AR.pdf</t>
        </is>
      </c>
      <c r="C6247" t="n">
        <v>2023</v>
      </c>
      <c r="D6247" t="inlineStr">
        <is>
          <t>Financial</t>
        </is>
      </c>
      <c r="E6247" t="inlineStr">
        <is>
          <t>Net Profit</t>
        </is>
      </c>
      <c r="F6247" t="n">
        <v>26.14</v>
      </c>
      <c r="G6247" t="inlineStr">
        <is>
          <t>IDR bn</t>
        </is>
      </c>
      <c r="H6247" t="n">
        <v>6</v>
      </c>
      <c r="I6247" t="inlineStr">
        <is>
          <t>Laba (rugi) neto 26.137 930.207 (2023 vs 2022)</t>
        </is>
      </c>
      <c r="J6247" t="inlineStr">
        <is>
          <t>High</t>
        </is>
      </c>
      <c r="M6247" t="inlineStr">
        <is>
          <t>LLM</t>
        </is>
      </c>
      <c r="N6247" t="inlineStr">
        <is>
          <t>2026-04-19</t>
        </is>
      </c>
      <c r="O6247" t="inlineStr">
        <is>
          <t>AI</t>
        </is>
      </c>
    </row>
    <row r="6248">
      <c r="A6248" t="inlineStr">
        <is>
          <t>PT Bakrie Sumatera Plantations Tbk</t>
        </is>
      </c>
      <c r="B6248" t="inlineStr">
        <is>
          <t>UNSP_2023_AR.pdf</t>
        </is>
      </c>
      <c r="C6248" t="n">
        <v>2023</v>
      </c>
      <c r="D6248" t="inlineStr">
        <is>
          <t>Financial</t>
        </is>
      </c>
      <c r="E6248" t="inlineStr">
        <is>
          <t>Profit Attributable to Parent</t>
        </is>
      </c>
      <c r="F6248" t="n">
        <v>62.69</v>
      </c>
      <c r="G6248" t="inlineStr">
        <is>
          <t>IDR bn</t>
        </is>
      </c>
      <c r="H6248" t="n">
        <v>6</v>
      </c>
      <c r="I6248" t="inlineStr">
        <is>
          <t>Laba neto yang dapat diatribusikan kepada pemilik entitas induk 62.691 216.770</t>
        </is>
      </c>
      <c r="J6248" t="inlineStr">
        <is>
          <t>High</t>
        </is>
      </c>
      <c r="M6248" t="inlineStr">
        <is>
          <t>LLM</t>
        </is>
      </c>
      <c r="N6248" t="inlineStr">
        <is>
          <t>2026-04-19</t>
        </is>
      </c>
      <c r="O6248" t="inlineStr">
        <is>
          <t>AI</t>
        </is>
      </c>
    </row>
    <row r="6249">
      <c r="A6249" t="inlineStr">
        <is>
          <t>PT Bakrie Sumatera Plantations Tbk</t>
        </is>
      </c>
      <c r="B6249" t="inlineStr">
        <is>
          <t>UNSP_2023_AR.pdf</t>
        </is>
      </c>
      <c r="C6249" t="n">
        <v>2023</v>
      </c>
      <c r="D6249" t="inlineStr">
        <is>
          <t>Financial</t>
        </is>
      </c>
      <c r="E6249" t="inlineStr">
        <is>
          <t>NCI Share of Loss</t>
        </is>
      </c>
      <c r="F6249" t="n">
        <v>-36.55</v>
      </c>
      <c r="G6249" t="inlineStr">
        <is>
          <t>IDR bn</t>
        </is>
      </c>
      <c r="H6249" t="n">
        <v>6</v>
      </c>
      <c r="I6249" t="inlineStr">
        <is>
          <t>kepentingan nonpengendali (36.554) 713.437</t>
        </is>
      </c>
      <c r="J6249" t="inlineStr">
        <is>
          <t>High</t>
        </is>
      </c>
      <c r="M6249" t="inlineStr">
        <is>
          <t>LLM</t>
        </is>
      </c>
      <c r="N6249" t="inlineStr">
        <is>
          <t>2026-04-19</t>
        </is>
      </c>
      <c r="O6249" t="inlineStr">
        <is>
          <t>AI</t>
        </is>
      </c>
    </row>
    <row r="6250">
      <c r="A6250" t="inlineStr">
        <is>
          <t>PT Bakrie Sumatera Plantations Tbk</t>
        </is>
      </c>
      <c r="B6250" t="inlineStr">
        <is>
          <t>UNSP_2023_AR.pdf</t>
        </is>
      </c>
      <c r="C6250" t="n">
        <v>2023</v>
      </c>
      <c r="D6250" t="inlineStr">
        <is>
          <t>Financial</t>
        </is>
      </c>
      <c r="E6250" t="inlineStr">
        <is>
          <t>Total Comprehensive Income</t>
        </is>
      </c>
      <c r="F6250" t="n">
        <v>22.13</v>
      </c>
      <c r="G6250" t="inlineStr">
        <is>
          <t>IDR bn</t>
        </is>
      </c>
      <c r="H6250" t="n">
        <v>6</v>
      </c>
      <c r="I6250" t="inlineStr">
        <is>
          <t>Total penghasilan komprehensif 22.134 938.594</t>
        </is>
      </c>
      <c r="J6250" t="inlineStr">
        <is>
          <t>High</t>
        </is>
      </c>
      <c r="M6250" t="inlineStr">
        <is>
          <t>LLM</t>
        </is>
      </c>
      <c r="N6250" t="inlineStr">
        <is>
          <t>2026-04-19</t>
        </is>
      </c>
      <c r="O6250" t="inlineStr">
        <is>
          <t>AI</t>
        </is>
      </c>
    </row>
    <row r="6251">
      <c r="A6251" t="inlineStr">
        <is>
          <t>PT Bakrie Sumatera Plantations Tbk</t>
        </is>
      </c>
      <c r="B6251" t="inlineStr">
        <is>
          <t>UNSP_2023_AR.pdf</t>
        </is>
      </c>
      <c r="C6251" t="n">
        <v>2023</v>
      </c>
      <c r="D6251" t="inlineStr">
        <is>
          <t>Financial</t>
        </is>
      </c>
      <c r="E6251" t="inlineStr">
        <is>
          <t>Current Assets</t>
        </is>
      </c>
      <c r="F6251" t="n">
        <v>781.55</v>
      </c>
      <c r="G6251" t="inlineStr">
        <is>
          <t>IDR bn</t>
        </is>
      </c>
      <c r="H6251" t="n">
        <v>75</v>
      </c>
      <c r="I6251" t="inlineStr">
        <is>
          <t>Aset lancar 781.553 707.427 10,48%</t>
        </is>
      </c>
      <c r="J6251" t="inlineStr">
        <is>
          <t>High</t>
        </is>
      </c>
      <c r="M6251" t="inlineStr">
        <is>
          <t>LLM</t>
        </is>
      </c>
      <c r="N6251" t="inlineStr">
        <is>
          <t>2026-04-19</t>
        </is>
      </c>
      <c r="O6251" t="inlineStr">
        <is>
          <t>AI</t>
        </is>
      </c>
    </row>
    <row r="6252">
      <c r="A6252" t="inlineStr">
        <is>
          <t>PT Bakrie Sumatera Plantations Tbk</t>
        </is>
      </c>
      <c r="B6252" t="inlineStr">
        <is>
          <t>UNSP_2023_AR.pdf</t>
        </is>
      </c>
      <c r="C6252" t="n">
        <v>2023</v>
      </c>
      <c r="D6252" t="inlineStr">
        <is>
          <t>Financial</t>
        </is>
      </c>
      <c r="E6252" t="inlineStr">
        <is>
          <t>Non-Current Assets</t>
        </is>
      </c>
      <c r="F6252" t="n">
        <v>3778.17</v>
      </c>
      <c r="G6252" t="inlineStr">
        <is>
          <t>IDR bn</t>
        </is>
      </c>
      <c r="H6252" t="n">
        <v>75</v>
      </c>
      <c r="I6252" t="inlineStr">
        <is>
          <t>Aset tidak lancar 3.778.172 3.832.875 (1,43%)</t>
        </is>
      </c>
      <c r="J6252" t="inlineStr">
        <is>
          <t>High</t>
        </is>
      </c>
      <c r="M6252" t="inlineStr">
        <is>
          <t>LLM</t>
        </is>
      </c>
      <c r="N6252" t="inlineStr">
        <is>
          <t>2026-04-19</t>
        </is>
      </c>
      <c r="O6252" t="inlineStr">
        <is>
          <t>AI</t>
        </is>
      </c>
    </row>
    <row r="6253">
      <c r="A6253" t="inlineStr">
        <is>
          <t>PT Bakrie Sumatera Plantations Tbk</t>
        </is>
      </c>
      <c r="B6253" t="inlineStr">
        <is>
          <t>UNSP_2023_AR.pdf</t>
        </is>
      </c>
      <c r="C6253" t="n">
        <v>2023</v>
      </c>
      <c r="D6253" t="inlineStr">
        <is>
          <t>Financial</t>
        </is>
      </c>
      <c r="E6253" t="inlineStr">
        <is>
          <t>Total Assets</t>
        </is>
      </c>
      <c r="F6253" t="n">
        <v>4559.73</v>
      </c>
      <c r="G6253" t="inlineStr">
        <is>
          <t>IDR bn</t>
        </is>
      </c>
      <c r="H6253" t="n">
        <v>7</v>
      </c>
      <c r="I6253" t="inlineStr">
        <is>
          <t>Total aset 4.559.725 4.540.302 0,43%</t>
        </is>
      </c>
      <c r="J6253" t="inlineStr">
        <is>
          <t>High</t>
        </is>
      </c>
      <c r="M6253" t="inlineStr">
        <is>
          <t>LLM</t>
        </is>
      </c>
      <c r="N6253" t="inlineStr">
        <is>
          <t>2026-04-19</t>
        </is>
      </c>
      <c r="O6253" t="inlineStr">
        <is>
          <t>AI</t>
        </is>
      </c>
    </row>
    <row r="6254">
      <c r="A6254" t="inlineStr">
        <is>
          <t>PT Bakrie Sumatera Plantations Tbk</t>
        </is>
      </c>
      <c r="B6254" t="inlineStr">
        <is>
          <t>UNSP_2023_AR.pdf</t>
        </is>
      </c>
      <c r="C6254" t="n">
        <v>2023</v>
      </c>
      <c r="D6254" t="inlineStr">
        <is>
          <t>Financial</t>
        </is>
      </c>
      <c r="E6254" t="inlineStr">
        <is>
          <t>Current Liabilities</t>
        </is>
      </c>
      <c r="F6254" t="n">
        <v>7694.15</v>
      </c>
      <c r="G6254" t="inlineStr">
        <is>
          <t>IDR bn</t>
        </is>
      </c>
      <c r="H6254" t="n">
        <v>75</v>
      </c>
      <c r="I6254" t="inlineStr">
        <is>
          <t>Liabilitas jangka pendek 7.694.151 8.305.609 (7,36%)</t>
        </is>
      </c>
      <c r="J6254" t="inlineStr">
        <is>
          <t>High</t>
        </is>
      </c>
      <c r="M6254" t="inlineStr">
        <is>
          <t>LLM</t>
        </is>
      </c>
      <c r="N6254" t="inlineStr">
        <is>
          <t>2026-04-19</t>
        </is>
      </c>
      <c r="O6254" t="inlineStr">
        <is>
          <t>AI</t>
        </is>
      </c>
    </row>
    <row r="6255">
      <c r="A6255" t="inlineStr">
        <is>
          <t>PT Bakrie Sumatera Plantations Tbk</t>
        </is>
      </c>
      <c r="B6255" t="inlineStr">
        <is>
          <t>UNSP_2023_AR.pdf</t>
        </is>
      </c>
      <c r="C6255" t="n">
        <v>2023</v>
      </c>
      <c r="D6255" t="inlineStr">
        <is>
          <t>Financial</t>
        </is>
      </c>
      <c r="E6255" t="inlineStr">
        <is>
          <t>Non-Current Liabilities</t>
        </is>
      </c>
      <c r="F6255" t="n">
        <v>2798.44</v>
      </c>
      <c r="G6255" t="inlineStr">
        <is>
          <t>IDR bn</t>
        </is>
      </c>
      <c r="H6255" t="n">
        <v>75</v>
      </c>
      <c r="I6255" t="inlineStr">
        <is>
          <t>Liabilitas jangka panjang 2.798.444 2.191.313 27,71%</t>
        </is>
      </c>
      <c r="J6255" t="inlineStr">
        <is>
          <t>High</t>
        </is>
      </c>
      <c r="M6255" t="inlineStr">
        <is>
          <t>LLM</t>
        </is>
      </c>
      <c r="N6255" t="inlineStr">
        <is>
          <t>2026-04-19</t>
        </is>
      </c>
      <c r="O6255" t="inlineStr">
        <is>
          <t>AI</t>
        </is>
      </c>
    </row>
    <row r="6256">
      <c r="A6256" t="inlineStr">
        <is>
          <t>PT Bakrie Sumatera Plantations Tbk</t>
        </is>
      </c>
      <c r="B6256" t="inlineStr">
        <is>
          <t>UNSP_2023_AR.pdf</t>
        </is>
      </c>
      <c r="C6256" t="n">
        <v>2023</v>
      </c>
      <c r="D6256" t="inlineStr">
        <is>
          <t>Financial</t>
        </is>
      </c>
      <c r="E6256" t="inlineStr">
        <is>
          <t>Total Liabilities</t>
        </is>
      </c>
      <c r="F6256" t="n">
        <v>10492.6</v>
      </c>
      <c r="G6256" t="inlineStr">
        <is>
          <t>IDR bn</t>
        </is>
      </c>
      <c r="H6256" t="n">
        <v>7</v>
      </c>
      <c r="I6256" t="inlineStr">
        <is>
          <t>Total liabilitas 10.492.595 10.496.922 (0,04%)</t>
        </is>
      </c>
      <c r="J6256" t="inlineStr">
        <is>
          <t>High</t>
        </is>
      </c>
      <c r="M6256" t="inlineStr">
        <is>
          <t>LLM</t>
        </is>
      </c>
      <c r="N6256" t="inlineStr">
        <is>
          <t>2026-04-19</t>
        </is>
      </c>
      <c r="O6256" t="inlineStr">
        <is>
          <t>AI</t>
        </is>
      </c>
    </row>
    <row r="6257">
      <c r="A6257" t="inlineStr">
        <is>
          <t>PT Bakrie Sumatera Plantations Tbk</t>
        </is>
      </c>
      <c r="B6257" t="inlineStr">
        <is>
          <t>UNSP_2023_AR.pdf</t>
        </is>
      </c>
      <c r="C6257" t="n">
        <v>2023</v>
      </c>
      <c r="D6257" t="inlineStr">
        <is>
          <t>Financial</t>
        </is>
      </c>
      <c r="E6257" t="inlineStr">
        <is>
          <t>Capital Deficiency - Net</t>
        </is>
      </c>
      <c r="F6257" t="n">
        <v>-5932.87</v>
      </c>
      <c r="G6257" t="inlineStr">
        <is>
          <t>IDR bn</t>
        </is>
      </c>
      <c r="H6257" t="n">
        <v>7</v>
      </c>
      <c r="I6257" t="inlineStr">
        <is>
          <t>Defisiensi modal - neto (5.932.870) (5.956.620) (0,40%)</t>
        </is>
      </c>
      <c r="J6257" t="inlineStr">
        <is>
          <t>High</t>
        </is>
      </c>
      <c r="M6257" t="inlineStr">
        <is>
          <t>LLM</t>
        </is>
      </c>
      <c r="N6257" t="inlineStr">
        <is>
          <t>2026-04-19</t>
        </is>
      </c>
      <c r="O6257" t="inlineStr">
        <is>
          <t>AI</t>
        </is>
      </c>
    </row>
    <row r="6258">
      <c r="A6258" t="inlineStr">
        <is>
          <t>PT Bakrie Sumatera Plantations Tbk</t>
        </is>
      </c>
      <c r="B6258" t="inlineStr">
        <is>
          <t>UNSP_2023_AR.pdf</t>
        </is>
      </c>
      <c r="C6258" t="n">
        <v>2023</v>
      </c>
      <c r="D6258" t="inlineStr">
        <is>
          <t>Financial</t>
        </is>
      </c>
      <c r="E6258" t="inlineStr">
        <is>
          <t>Net Working Capital</t>
        </is>
      </c>
      <c r="F6258" t="n">
        <v>-6912.6</v>
      </c>
      <c r="G6258" t="inlineStr">
        <is>
          <t>IDR bn</t>
        </is>
      </c>
      <c r="H6258" t="n">
        <v>7</v>
      </c>
      <c r="I6258" t="inlineStr">
        <is>
          <t>Modal kerja neto (6.912.598) (7.598.182)</t>
        </is>
      </c>
      <c r="J6258" t="inlineStr">
        <is>
          <t>High</t>
        </is>
      </c>
      <c r="M6258" t="inlineStr">
        <is>
          <t>LLM</t>
        </is>
      </c>
      <c r="N6258" t="inlineStr">
        <is>
          <t>2026-04-19</t>
        </is>
      </c>
      <c r="O6258" t="inlineStr">
        <is>
          <t>AI</t>
        </is>
      </c>
    </row>
    <row r="6259">
      <c r="A6259" t="inlineStr">
        <is>
          <t>PT Bakrie Sumatera Plantations Tbk</t>
        </is>
      </c>
      <c r="B6259" t="inlineStr">
        <is>
          <t>UNSP_2023_AR.pdf</t>
        </is>
      </c>
      <c r="C6259" t="n">
        <v>2023</v>
      </c>
      <c r="D6259" t="inlineStr">
        <is>
          <t>Financial</t>
        </is>
      </c>
      <c r="E6259" t="inlineStr">
        <is>
          <t>Cash &amp; Cash Equivalents (end)</t>
        </is>
      </c>
      <c r="F6259" t="n">
        <v>123.11</v>
      </c>
      <c r="G6259" t="inlineStr">
        <is>
          <t>IDR bn</t>
        </is>
      </c>
      <c r="H6259" t="n">
        <v>76</v>
      </c>
      <c r="I6259" t="inlineStr">
        <is>
          <t>Kas dan setara kas 123.108 144.360 (14,72%)</t>
        </is>
      </c>
      <c r="J6259" t="inlineStr">
        <is>
          <t>High</t>
        </is>
      </c>
      <c r="M6259" t="inlineStr">
        <is>
          <t>LLM</t>
        </is>
      </c>
      <c r="N6259" t="inlineStr">
        <is>
          <t>2026-04-19</t>
        </is>
      </c>
      <c r="O6259" t="inlineStr">
        <is>
          <t>AI</t>
        </is>
      </c>
    </row>
    <row r="6260">
      <c r="A6260" t="inlineStr">
        <is>
          <t>PT Bakrie Sumatera Plantations Tbk</t>
        </is>
      </c>
      <c r="B6260" t="inlineStr">
        <is>
          <t>UNSP_2023_AR.pdf</t>
        </is>
      </c>
      <c r="C6260" t="n">
        <v>2023</v>
      </c>
      <c r="D6260" t="inlineStr">
        <is>
          <t>Financial</t>
        </is>
      </c>
      <c r="E6260" t="inlineStr">
        <is>
          <t>CFO</t>
        </is>
      </c>
      <c r="F6260" t="n">
        <v>-50.29</v>
      </c>
      <c r="G6260" t="inlineStr">
        <is>
          <t>IDR bn</t>
        </is>
      </c>
      <c r="H6260" t="n">
        <v>99</v>
      </c>
      <c r="I6260" t="inlineStr">
        <is>
          <t>Arus kas neto digunakan untuk aktivitas operasi (50.287) (84.573)</t>
        </is>
      </c>
      <c r="J6260" t="inlineStr">
        <is>
          <t>High</t>
        </is>
      </c>
      <c r="M6260" t="inlineStr">
        <is>
          <t>LLM</t>
        </is>
      </c>
      <c r="N6260" t="inlineStr">
        <is>
          <t>2026-04-19</t>
        </is>
      </c>
      <c r="O6260" t="inlineStr">
        <is>
          <t>AI</t>
        </is>
      </c>
    </row>
    <row r="6261">
      <c r="A6261" t="inlineStr">
        <is>
          <t>PT Bakrie Sumatera Plantations Tbk</t>
        </is>
      </c>
      <c r="B6261" t="inlineStr">
        <is>
          <t>UNSP_2023_AR.pdf</t>
        </is>
      </c>
      <c r="C6261" t="n">
        <v>2023</v>
      </c>
      <c r="D6261" t="inlineStr">
        <is>
          <t>Financial</t>
        </is>
      </c>
      <c r="E6261" t="inlineStr">
        <is>
          <t>CFI</t>
        </is>
      </c>
      <c r="F6261" t="n">
        <v>-58.68</v>
      </c>
      <c r="G6261" t="inlineStr">
        <is>
          <t>IDR bn</t>
        </is>
      </c>
      <c r="H6261" t="n">
        <v>99</v>
      </c>
      <c r="I6261" t="inlineStr">
        <is>
          <t>Arus kas neto digunakan untuk aktivitas investasi (58.677) (61.314)</t>
        </is>
      </c>
      <c r="J6261" t="inlineStr">
        <is>
          <t>High</t>
        </is>
      </c>
      <c r="M6261" t="inlineStr">
        <is>
          <t>LLM</t>
        </is>
      </c>
      <c r="N6261" t="inlineStr">
        <is>
          <t>2026-04-19</t>
        </is>
      </c>
      <c r="O6261" t="inlineStr">
        <is>
          <t>AI</t>
        </is>
      </c>
    </row>
    <row r="6262">
      <c r="A6262" t="inlineStr">
        <is>
          <t>PT Bakrie Sumatera Plantations Tbk</t>
        </is>
      </c>
      <c r="B6262" t="inlineStr">
        <is>
          <t>UNSP_2023_AR.pdf</t>
        </is>
      </c>
      <c r="C6262" t="n">
        <v>2023</v>
      </c>
      <c r="D6262" t="inlineStr">
        <is>
          <t>Financial</t>
        </is>
      </c>
      <c r="E6262" t="inlineStr">
        <is>
          <t>CFF</t>
        </is>
      </c>
      <c r="F6262" t="n">
        <v>88.14</v>
      </c>
      <c r="G6262" t="inlineStr">
        <is>
          <t>IDR bn</t>
        </is>
      </c>
      <c r="H6262" t="n">
        <v>99</v>
      </c>
      <c r="I6262" t="inlineStr">
        <is>
          <t>Arus kas neto diperoleh dari aktivitas pendanaan 88.144 74.215 18,77%</t>
        </is>
      </c>
      <c r="J6262" t="inlineStr">
        <is>
          <t>High</t>
        </is>
      </c>
      <c r="M6262" t="inlineStr">
        <is>
          <t>LLM</t>
        </is>
      </c>
      <c r="N6262" t="inlineStr">
        <is>
          <t>2026-04-19</t>
        </is>
      </c>
      <c r="O6262" t="inlineStr">
        <is>
          <t>AI</t>
        </is>
      </c>
    </row>
    <row r="6263">
      <c r="A6263" t="inlineStr">
        <is>
          <t>PT Bakrie Sumatera Plantations Tbk</t>
        </is>
      </c>
      <c r="B6263" t="inlineStr">
        <is>
          <t>UNSP_2023_AR.pdf</t>
        </is>
      </c>
      <c r="C6263" t="n">
        <v>2023</v>
      </c>
      <c r="D6263" t="inlineStr">
        <is>
          <t>Financial</t>
        </is>
      </c>
      <c r="E6263" t="inlineStr">
        <is>
          <t>Capex (Fixed Asset Additions)</t>
        </is>
      </c>
      <c r="F6263" t="n">
        <v>212.02</v>
      </c>
      <c r="G6263" t="inlineStr">
        <is>
          <t>IDR bn</t>
        </is>
      </c>
      <c r="I6263" t="inlineStr">
        <is>
          <t>kas yang digunakan untuk penambahan aset tetap dari Rp212,02 miliar di 2023 (per 2024 AR comparison)</t>
        </is>
      </c>
      <c r="J6263" t="inlineStr">
        <is>
          <t>High</t>
        </is>
      </c>
      <c r="M6263" t="inlineStr">
        <is>
          <t>LLM</t>
        </is>
      </c>
      <c r="N6263" t="inlineStr">
        <is>
          <t>2026-04-19</t>
        </is>
      </c>
      <c r="O6263" t="inlineStr">
        <is>
          <t>AI</t>
        </is>
      </c>
    </row>
    <row r="6264">
      <c r="A6264" t="inlineStr">
        <is>
          <t>PT Bakrie Sumatera Plantations Tbk</t>
        </is>
      </c>
      <c r="B6264" t="inlineStr">
        <is>
          <t>UNSP_2023_AR.pdf</t>
        </is>
      </c>
      <c r="C6264" t="n">
        <v>2023</v>
      </c>
      <c r="D6264" t="inlineStr">
        <is>
          <t>Financial</t>
        </is>
      </c>
      <c r="E6264" t="inlineStr">
        <is>
          <t>Long-term Loans incl. Current Maturities</t>
        </is>
      </c>
      <c r="F6264" t="n">
        <v>4492.56</v>
      </c>
      <c r="G6264" t="inlineStr">
        <is>
          <t>IDR bn</t>
        </is>
      </c>
      <c r="I6264" t="inlineStr">
        <is>
          <t>2023 recorded at Rp4.492,56 miliar (per 2024 AR comparison at p.105)</t>
        </is>
      </c>
      <c r="J6264" t="inlineStr">
        <is>
          <t>High</t>
        </is>
      </c>
      <c r="M6264" t="inlineStr">
        <is>
          <t>LLM</t>
        </is>
      </c>
      <c r="N6264" t="inlineStr">
        <is>
          <t>2026-04-19</t>
        </is>
      </c>
      <c r="O6264" t="inlineStr">
        <is>
          <t>AI</t>
        </is>
      </c>
    </row>
    <row r="6265">
      <c r="A6265" t="inlineStr">
        <is>
          <t>PT Bakrie Sumatera Plantations Tbk</t>
        </is>
      </c>
      <c r="B6265" t="inlineStr">
        <is>
          <t>UNSP_2023_AR.pdf</t>
        </is>
      </c>
      <c r="C6265" t="n">
        <v>2023</v>
      </c>
      <c r="D6265" t="inlineStr">
        <is>
          <t>Financial</t>
        </is>
      </c>
      <c r="E6265" t="inlineStr">
        <is>
          <t>EPS Basic</t>
        </is>
      </c>
      <c r="F6265" t="n">
        <v>25.08</v>
      </c>
      <c r="G6265" t="inlineStr">
        <is>
          <t>Rp/share</t>
        </is>
      </c>
      <c r="H6265" t="n">
        <v>7</v>
      </c>
      <c r="I6265" t="inlineStr">
        <is>
          <t>Laba (rugi) neto per saham dasar (Rp) 25,08 86,71</t>
        </is>
      </c>
      <c r="J6265" t="inlineStr">
        <is>
          <t>High</t>
        </is>
      </c>
      <c r="M6265" t="inlineStr">
        <is>
          <t>LLM</t>
        </is>
      </c>
      <c r="N6265" t="inlineStr">
        <is>
          <t>2026-04-19</t>
        </is>
      </c>
      <c r="O6265" t="inlineStr">
        <is>
          <t>AI</t>
        </is>
      </c>
    </row>
    <row r="6266">
      <c r="A6266" t="inlineStr">
        <is>
          <t>PT Bakrie Sumatera Plantations Tbk</t>
        </is>
      </c>
      <c r="B6266" t="inlineStr">
        <is>
          <t>UNSP_2023_AR.pdf</t>
        </is>
      </c>
      <c r="C6266" t="n">
        <v>2023</v>
      </c>
      <c r="D6266" t="inlineStr">
        <is>
          <t>Financial</t>
        </is>
      </c>
      <c r="E6266" t="inlineStr">
        <is>
          <t>Market Capitalization 2023</t>
        </is>
      </c>
      <c r="F6266" t="n">
        <v>282518344872</v>
      </c>
      <c r="G6266" t="inlineStr">
        <is>
          <t>Rp full</t>
        </is>
      </c>
      <c r="H6266" t="n">
        <v>7</v>
      </c>
      <c r="I6266" t="inlineStr">
        <is>
          <t>Nilai kapitalisasi pasar (Rp penuh) 282.518.344.872</t>
        </is>
      </c>
      <c r="J6266" t="inlineStr">
        <is>
          <t>High</t>
        </is>
      </c>
      <c r="M6266" t="inlineStr">
        <is>
          <t>LLM</t>
        </is>
      </c>
      <c r="N6266" t="inlineStr">
        <is>
          <t>2026-04-19</t>
        </is>
      </c>
      <c r="O6266" t="inlineStr">
        <is>
          <t>AI</t>
        </is>
      </c>
    </row>
    <row r="6267">
      <c r="A6267" t="inlineStr">
        <is>
          <t>PT Bakrie Sumatera Plantations Tbk</t>
        </is>
      </c>
      <c r="B6267" t="inlineStr">
        <is>
          <t>UNSP_2023_AR.pdf</t>
        </is>
      </c>
      <c r="C6267" t="n">
        <v>2023</v>
      </c>
      <c r="D6267" t="inlineStr">
        <is>
          <t>Financial</t>
        </is>
      </c>
      <c r="E6267" t="inlineStr">
        <is>
          <t>Closing Share Price 2023</t>
        </is>
      </c>
      <c r="F6267" t="n">
        <v>113</v>
      </c>
      <c r="G6267" t="inlineStr">
        <is>
          <t>Rp/share</t>
        </is>
      </c>
      <c r="H6267" t="n">
        <v>8</v>
      </c>
      <c r="I6267" t="inlineStr">
        <is>
          <t>Harga pada akhir tahun 113 128</t>
        </is>
      </c>
      <c r="J6267" t="inlineStr">
        <is>
          <t>High</t>
        </is>
      </c>
      <c r="M6267" t="inlineStr">
        <is>
          <t>LLM</t>
        </is>
      </c>
      <c r="N6267" t="inlineStr">
        <is>
          <t>2026-04-19</t>
        </is>
      </c>
      <c r="O6267" t="inlineStr">
        <is>
          <t>AI</t>
        </is>
      </c>
    </row>
    <row r="6268">
      <c r="A6268" t="inlineStr">
        <is>
          <t>PT Bakrie Sumatera Plantations Tbk</t>
        </is>
      </c>
      <c r="B6268" t="inlineStr">
        <is>
          <t>UNSP_2023_AR.pdf</t>
        </is>
      </c>
      <c r="C6268" t="n">
        <v>2023</v>
      </c>
      <c r="D6268" t="inlineStr">
        <is>
          <t>Financial</t>
        </is>
      </c>
      <c r="E6268" t="inlineStr">
        <is>
          <t>Current Ratio</t>
        </is>
      </c>
      <c r="F6268" t="n">
        <v>0.1016</v>
      </c>
      <c r="G6268" t="inlineStr">
        <is>
          <t>x</t>
        </is>
      </c>
      <c r="H6268" t="n">
        <v>7</v>
      </c>
      <c r="I6268" t="inlineStr">
        <is>
          <t>Rasio lancar 10,16% 8,52%</t>
        </is>
      </c>
      <c r="J6268" t="inlineStr">
        <is>
          <t>High</t>
        </is>
      </c>
      <c r="M6268" t="inlineStr">
        <is>
          <t>LLM</t>
        </is>
      </c>
      <c r="N6268" t="inlineStr">
        <is>
          <t>2026-04-19</t>
        </is>
      </c>
      <c r="O6268" t="inlineStr">
        <is>
          <t>AI</t>
        </is>
      </c>
    </row>
    <row r="6269">
      <c r="A6269" t="inlineStr">
        <is>
          <t>PT Bakrie Sumatera Plantations Tbk</t>
        </is>
      </c>
      <c r="B6269" t="inlineStr">
        <is>
          <t>UNSP_2023_AR.pdf</t>
        </is>
      </c>
      <c r="C6269" t="n">
        <v>2023</v>
      </c>
      <c r="D6269" t="inlineStr">
        <is>
          <t>Financial</t>
        </is>
      </c>
      <c r="E6269" t="inlineStr">
        <is>
          <t>Liabilities-to-Assets Ratio</t>
        </is>
      </c>
      <c r="F6269" t="n">
        <v>2.3011</v>
      </c>
      <c r="G6269" t="inlineStr">
        <is>
          <t>x</t>
        </is>
      </c>
      <c r="H6269" t="n">
        <v>7</v>
      </c>
      <c r="I6269" t="inlineStr">
        <is>
          <t>Rasio kewajiban terhadap aset 230,11% 231,19%</t>
        </is>
      </c>
      <c r="J6269" t="inlineStr">
        <is>
          <t>High</t>
        </is>
      </c>
      <c r="M6269" t="inlineStr">
        <is>
          <t>LLM</t>
        </is>
      </c>
      <c r="N6269" t="inlineStr">
        <is>
          <t>2026-04-19</t>
        </is>
      </c>
      <c r="O6269" t="inlineStr">
        <is>
          <t>AI</t>
        </is>
      </c>
    </row>
    <row r="6270">
      <c r="A6270" t="inlineStr">
        <is>
          <t>PT Bakrie Sumatera Plantations Tbk</t>
        </is>
      </c>
      <c r="B6270" t="inlineStr">
        <is>
          <t>UNSP_2023_AR.pdf</t>
        </is>
      </c>
      <c r="C6270" t="n">
        <v>2023</v>
      </c>
      <c r="D6270" t="inlineStr">
        <is>
          <t>Financial</t>
        </is>
      </c>
      <c r="E6270" t="inlineStr">
        <is>
          <t>EBITDA / Interest Coverage</t>
        </is>
      </c>
      <c r="F6270" t="n">
        <v>1.23</v>
      </c>
      <c r="G6270" t="inlineStr">
        <is>
          <t>x</t>
        </is>
      </c>
      <c r="H6270" t="n">
        <v>7</v>
      </c>
      <c r="I6270" t="inlineStr">
        <is>
          <t>EBITDA terhadap beban bunga 1,23x 2,63x</t>
        </is>
      </c>
      <c r="J6270" t="inlineStr">
        <is>
          <t>High</t>
        </is>
      </c>
      <c r="M6270" t="inlineStr">
        <is>
          <t>LLM</t>
        </is>
      </c>
      <c r="N6270" t="inlineStr">
        <is>
          <t>2026-04-19</t>
        </is>
      </c>
      <c r="O6270" t="inlineStr">
        <is>
          <t>AI</t>
        </is>
      </c>
    </row>
    <row r="6271">
      <c r="A6271" t="inlineStr">
        <is>
          <t>PT Bakrie Sumatera Plantations Tbk</t>
        </is>
      </c>
      <c r="B6271" t="inlineStr">
        <is>
          <t>UNSP_2023_AR.pdf</t>
        </is>
      </c>
      <c r="C6271" t="n">
        <v>2023</v>
      </c>
      <c r="D6271" t="inlineStr">
        <is>
          <t>Financial</t>
        </is>
      </c>
      <c r="E6271" t="inlineStr">
        <is>
          <t>Return on Assets</t>
        </is>
      </c>
      <c r="F6271" t="n">
        <v>0.0057</v>
      </c>
      <c r="G6271" t="inlineStr">
        <is>
          <t>%</t>
        </is>
      </c>
      <c r="H6271" t="n">
        <v>7</v>
      </c>
      <c r="I6271" t="inlineStr">
        <is>
          <t>Tingkat pengembalian aset 0,57% 20,49%</t>
        </is>
      </c>
      <c r="J6271" t="inlineStr">
        <is>
          <t>High</t>
        </is>
      </c>
      <c r="M6271" t="inlineStr">
        <is>
          <t>LLM</t>
        </is>
      </c>
      <c r="N6271" t="inlineStr">
        <is>
          <t>2026-04-19</t>
        </is>
      </c>
      <c r="O6271" t="inlineStr">
        <is>
          <t>AI</t>
        </is>
      </c>
    </row>
    <row r="6272">
      <c r="A6272" t="inlineStr">
        <is>
          <t>PT Bakrie Sumatera Plantations Tbk</t>
        </is>
      </c>
      <c r="B6272" t="inlineStr">
        <is>
          <t>UNSP_2023_AR.pdf</t>
        </is>
      </c>
      <c r="C6272" t="n">
        <v>2023</v>
      </c>
      <c r="D6272" t="inlineStr">
        <is>
          <t>Financial</t>
        </is>
      </c>
      <c r="E6272" t="inlineStr">
        <is>
          <t>Gross Profit Margin</t>
        </is>
      </c>
      <c r="F6272" t="n">
        <v>0.1983</v>
      </c>
      <c r="G6272" t="inlineStr">
        <is>
          <t>%</t>
        </is>
      </c>
      <c r="H6272" t="n">
        <v>7</v>
      </c>
      <c r="I6272" t="inlineStr">
        <is>
          <t>Marjin laba kotor 19,83% 18,76%</t>
        </is>
      </c>
      <c r="J6272" t="inlineStr">
        <is>
          <t>High</t>
        </is>
      </c>
      <c r="M6272" t="inlineStr">
        <is>
          <t>LLM</t>
        </is>
      </c>
      <c r="N6272" t="inlineStr">
        <is>
          <t>2026-04-19</t>
        </is>
      </c>
      <c r="O6272" t="inlineStr">
        <is>
          <t>AI</t>
        </is>
      </c>
    </row>
    <row r="6273">
      <c r="A6273" t="inlineStr">
        <is>
          <t>PT Bakrie Sumatera Plantations Tbk</t>
        </is>
      </c>
      <c r="B6273" t="inlineStr">
        <is>
          <t>UNSP_2023_AR.pdf</t>
        </is>
      </c>
      <c r="C6273" t="n">
        <v>2023</v>
      </c>
      <c r="D6273" t="inlineStr">
        <is>
          <t>Financial</t>
        </is>
      </c>
      <c r="E6273" t="inlineStr">
        <is>
          <t>Accumulated Retained Deficit (end 2023)</t>
        </is>
      </c>
      <c r="F6273" t="n">
        <v>-14021.27</v>
      </c>
      <c r="G6273" t="inlineStr">
        <is>
          <t>IDR bn</t>
        </is>
      </c>
      <c r="H6273" t="n">
        <v>9</v>
      </c>
      <c r="I6273" t="inlineStr">
        <is>
          <t>2023 (14.021.273.123) (IDR 000)</t>
        </is>
      </c>
      <c r="J6273" t="inlineStr">
        <is>
          <t>High</t>
        </is>
      </c>
      <c r="M6273" t="inlineStr">
        <is>
          <t>LLM</t>
        </is>
      </c>
      <c r="N6273" t="inlineStr">
        <is>
          <t>2026-04-19</t>
        </is>
      </c>
      <c r="O6273" t="inlineStr">
        <is>
          <t>AI</t>
        </is>
      </c>
    </row>
    <row r="6274">
      <c r="A6274" t="inlineStr">
        <is>
          <t>PT Bakrie Sumatera Plantations Tbk</t>
        </is>
      </c>
      <c r="B6274" t="inlineStr">
        <is>
          <t>UNSP_2023_AR.pdf</t>
        </is>
      </c>
      <c r="C6274" t="n">
        <v>2023</v>
      </c>
      <c r="D6274" t="inlineStr">
        <is>
          <t>Financial</t>
        </is>
      </c>
      <c r="E6274" t="inlineStr">
        <is>
          <t>Dividend Per Share</t>
        </is>
      </c>
      <c r="F6274" t="n">
        <v>0</v>
      </c>
      <c r="G6274" t="inlineStr">
        <is>
          <t>Rp/share</t>
        </is>
      </c>
      <c r="H6274" t="n">
        <v>7</v>
      </c>
      <c r="I6274" t="inlineStr">
        <is>
          <t>Dividen per saham (Rp) --- (no dividend)</t>
        </is>
      </c>
      <c r="J6274" t="inlineStr">
        <is>
          <t>High</t>
        </is>
      </c>
      <c r="M6274" t="inlineStr">
        <is>
          <t>LLM</t>
        </is>
      </c>
      <c r="N6274" t="inlineStr">
        <is>
          <t>2026-04-19</t>
        </is>
      </c>
      <c r="O6274" t="inlineStr">
        <is>
          <t>AI</t>
        </is>
      </c>
    </row>
    <row r="6275">
      <c r="A6275" t="inlineStr">
        <is>
          <t>PT Bakrie Sumatera Plantations Tbk</t>
        </is>
      </c>
      <c r="B6275" t="inlineStr">
        <is>
          <t>UNSP_2023_AR.pdf</t>
        </is>
      </c>
      <c r="C6275" t="n">
        <v>2023</v>
      </c>
      <c r="D6275" t="inlineStr">
        <is>
          <t>Asset</t>
        </is>
      </c>
      <c r="E6275" t="inlineStr">
        <is>
          <t>Total Planted Area (palm+rubber)</t>
        </is>
      </c>
      <c r="F6275" t="n">
        <v>69713</v>
      </c>
      <c r="G6275" t="inlineStr">
        <is>
          <t>ha</t>
        </is>
      </c>
      <c r="H6275" t="n">
        <v>56</v>
      </c>
      <c r="I6275" t="inlineStr">
        <is>
          <t>total luas lahan tertanam 69.713 Ha (2023); 67.591 Ha (2022)</t>
        </is>
      </c>
      <c r="J6275" t="inlineStr">
        <is>
          <t>High</t>
        </is>
      </c>
      <c r="M6275" t="inlineStr">
        <is>
          <t>LLM</t>
        </is>
      </c>
      <c r="N6275" t="inlineStr">
        <is>
          <t>2026-04-19</t>
        </is>
      </c>
      <c r="O6275" t="inlineStr">
        <is>
          <t>AI</t>
        </is>
      </c>
    </row>
    <row r="6276">
      <c r="A6276" t="inlineStr">
        <is>
          <t>PT Bakrie Sumatera Plantations Tbk</t>
        </is>
      </c>
      <c r="B6276" t="inlineStr">
        <is>
          <t>UNSP_2023_AR.pdf</t>
        </is>
      </c>
      <c r="C6276" t="n">
        <v>2023</v>
      </c>
      <c r="D6276" t="inlineStr">
        <is>
          <t>Asset</t>
        </is>
      </c>
      <c r="E6276" t="inlineStr">
        <is>
          <t>Palm Planted Area Total (inti+plasma)</t>
        </is>
      </c>
      <c r="F6276" t="n">
        <v>54828</v>
      </c>
      <c r="G6276" t="inlineStr">
        <is>
          <t>ha</t>
        </is>
      </c>
      <c r="H6276" t="n">
        <v>58</v>
      </c>
      <c r="I6276" t="inlineStr">
        <is>
          <t>Total Area Tertanam 54.828 52.192 5,05%</t>
        </is>
      </c>
      <c r="J6276" t="inlineStr">
        <is>
          <t>High</t>
        </is>
      </c>
      <c r="M6276" t="inlineStr">
        <is>
          <t>LLM</t>
        </is>
      </c>
      <c r="N6276" t="inlineStr">
        <is>
          <t>2026-04-19</t>
        </is>
      </c>
      <c r="O6276" t="inlineStr">
        <is>
          <t>AI</t>
        </is>
      </c>
    </row>
    <row r="6277">
      <c r="A6277" t="inlineStr">
        <is>
          <t>PT Bakrie Sumatera Plantations Tbk</t>
        </is>
      </c>
      <c r="B6277" t="inlineStr">
        <is>
          <t>UNSP_2023_AR.pdf</t>
        </is>
      </c>
      <c r="C6277" t="n">
        <v>2023</v>
      </c>
      <c r="D6277" t="inlineStr">
        <is>
          <t>Asset</t>
        </is>
      </c>
      <c r="E6277" t="inlineStr">
        <is>
          <t>Palm Nucleus Area</t>
        </is>
      </c>
      <c r="F6277" t="n">
        <v>39853</v>
      </c>
      <c r="G6277" t="inlineStr">
        <is>
          <t>ha</t>
        </is>
      </c>
      <c r="H6277" t="n">
        <v>58</v>
      </c>
      <c r="I6277" t="inlineStr">
        <is>
          <t>Total Inti 39.852 37.217 7,08% (39,853 per 2024 AR)</t>
        </is>
      </c>
      <c r="J6277" t="inlineStr">
        <is>
          <t>High</t>
        </is>
      </c>
      <c r="M6277" t="inlineStr">
        <is>
          <t>LLM</t>
        </is>
      </c>
      <c r="N6277" t="inlineStr">
        <is>
          <t>2026-04-19</t>
        </is>
      </c>
      <c r="O6277" t="inlineStr">
        <is>
          <t>AI</t>
        </is>
      </c>
    </row>
    <row r="6278">
      <c r="A6278" t="inlineStr">
        <is>
          <t>PT Bakrie Sumatera Plantations Tbk</t>
        </is>
      </c>
      <c r="B6278" t="inlineStr">
        <is>
          <t>UNSP_2023_AR.pdf</t>
        </is>
      </c>
      <c r="C6278" t="n">
        <v>2023</v>
      </c>
      <c r="D6278" t="inlineStr">
        <is>
          <t>Asset</t>
        </is>
      </c>
      <c r="E6278" t="inlineStr">
        <is>
          <t>Palm Plasma Area</t>
        </is>
      </c>
      <c r="F6278" t="n">
        <v>14975</v>
      </c>
      <c r="G6278" t="inlineStr">
        <is>
          <t>ha</t>
        </is>
      </c>
      <c r="H6278" t="n">
        <v>58</v>
      </c>
      <c r="I6278" t="inlineStr">
        <is>
          <t>Total Plasma 14.975 14.975</t>
        </is>
      </c>
      <c r="J6278" t="inlineStr">
        <is>
          <t>High</t>
        </is>
      </c>
      <c r="M6278" t="inlineStr">
        <is>
          <t>LLM</t>
        </is>
      </c>
      <c r="N6278" t="inlineStr">
        <is>
          <t>2026-04-19</t>
        </is>
      </c>
      <c r="O6278" t="inlineStr">
        <is>
          <t>AI</t>
        </is>
      </c>
    </row>
    <row r="6279">
      <c r="A6279" t="inlineStr">
        <is>
          <t>PT Bakrie Sumatera Plantations Tbk</t>
        </is>
      </c>
      <c r="B6279" t="inlineStr">
        <is>
          <t>UNSP_2023_AR.pdf</t>
        </is>
      </c>
      <c r="C6279" t="n">
        <v>2023</v>
      </c>
      <c r="D6279" t="inlineStr">
        <is>
          <t>Asset</t>
        </is>
      </c>
      <c r="E6279" t="inlineStr">
        <is>
          <t>Palm Mature Area</t>
        </is>
      </c>
      <c r="F6279" t="n">
        <v>47912</v>
      </c>
      <c r="G6279" t="inlineStr">
        <is>
          <t>ha</t>
        </is>
      </c>
      <c r="H6279" t="n">
        <v>58</v>
      </c>
      <c r="I6279" t="inlineStr">
        <is>
          <t>47.912 Ha lahan tanaman menghasilkan</t>
        </is>
      </c>
      <c r="J6279" t="inlineStr">
        <is>
          <t>High</t>
        </is>
      </c>
      <c r="M6279" t="inlineStr">
        <is>
          <t>LLM</t>
        </is>
      </c>
      <c r="N6279" t="inlineStr">
        <is>
          <t>2026-04-19</t>
        </is>
      </c>
      <c r="O6279" t="inlineStr">
        <is>
          <t>AI</t>
        </is>
      </c>
    </row>
    <row r="6280">
      <c r="A6280" t="inlineStr">
        <is>
          <t>PT Bakrie Sumatera Plantations Tbk</t>
        </is>
      </c>
      <c r="B6280" t="inlineStr">
        <is>
          <t>UNSP_2023_AR.pdf</t>
        </is>
      </c>
      <c r="C6280" t="n">
        <v>2023</v>
      </c>
      <c r="D6280" t="inlineStr">
        <is>
          <t>Asset</t>
        </is>
      </c>
      <c r="E6280" t="inlineStr">
        <is>
          <t>Palm Immature Area</t>
        </is>
      </c>
      <c r="F6280" t="n">
        <v>6915</v>
      </c>
      <c r="G6280" t="inlineStr">
        <is>
          <t>ha</t>
        </is>
      </c>
      <c r="H6280" t="n">
        <v>58</v>
      </c>
      <c r="I6280" t="inlineStr">
        <is>
          <t>6.915 Ha lahan tanaman belum menghasilkan</t>
        </is>
      </c>
      <c r="J6280" t="inlineStr">
        <is>
          <t>High</t>
        </is>
      </c>
      <c r="M6280" t="inlineStr">
        <is>
          <t>LLM</t>
        </is>
      </c>
      <c r="N6280" t="inlineStr">
        <is>
          <t>2026-04-19</t>
        </is>
      </c>
      <c r="O6280" t="inlineStr">
        <is>
          <t>AI</t>
        </is>
      </c>
    </row>
    <row r="6281">
      <c r="A6281" t="inlineStr">
        <is>
          <t>PT Bakrie Sumatera Plantations Tbk</t>
        </is>
      </c>
      <c r="B6281" t="inlineStr">
        <is>
          <t>UNSP_2023_AR.pdf</t>
        </is>
      </c>
      <c r="C6281" t="n">
        <v>2023</v>
      </c>
      <c r="D6281" t="inlineStr">
        <is>
          <t>Asset</t>
        </is>
      </c>
      <c r="E6281" t="inlineStr">
        <is>
          <t>Palm Area North Sumatra (nucleus)</t>
        </is>
      </c>
      <c r="F6281" t="n">
        <v>18094</v>
      </c>
      <c r="G6281" t="inlineStr">
        <is>
          <t>ha</t>
        </is>
      </c>
      <c r="H6281" t="n">
        <v>58</v>
      </c>
      <c r="I6281" t="inlineStr">
        <is>
          <t>Sumatera Utara 18.094 18.104 (0,05%)</t>
        </is>
      </c>
      <c r="J6281" t="inlineStr">
        <is>
          <t>High</t>
        </is>
      </c>
      <c r="M6281" t="inlineStr">
        <is>
          <t>LLM</t>
        </is>
      </c>
      <c r="N6281" t="inlineStr">
        <is>
          <t>2026-04-19</t>
        </is>
      </c>
      <c r="O6281" t="inlineStr">
        <is>
          <t>AI</t>
        </is>
      </c>
    </row>
    <row r="6282">
      <c r="A6282" t="inlineStr">
        <is>
          <t>PT Bakrie Sumatera Plantations Tbk</t>
        </is>
      </c>
      <c r="B6282" t="inlineStr">
        <is>
          <t>UNSP_2023_AR.pdf</t>
        </is>
      </c>
      <c r="C6282" t="n">
        <v>2023</v>
      </c>
      <c r="D6282" t="inlineStr">
        <is>
          <t>Asset</t>
        </is>
      </c>
      <c r="E6282" t="inlineStr">
        <is>
          <t>Palm Area West Sumatra (nucleus)</t>
        </is>
      </c>
      <c r="F6282" t="n">
        <v>10947</v>
      </c>
      <c r="G6282" t="inlineStr">
        <is>
          <t>ha</t>
        </is>
      </c>
      <c r="H6282" t="n">
        <v>58</v>
      </c>
      <c r="I6282" t="inlineStr">
        <is>
          <t>Sumatera Barat 10.947 10.906 0,38%</t>
        </is>
      </c>
      <c r="J6282" t="inlineStr">
        <is>
          <t>High</t>
        </is>
      </c>
      <c r="M6282" t="inlineStr">
        <is>
          <t>LLM</t>
        </is>
      </c>
      <c r="N6282" t="inlineStr">
        <is>
          <t>2026-04-19</t>
        </is>
      </c>
      <c r="O6282" t="inlineStr">
        <is>
          <t>AI</t>
        </is>
      </c>
    </row>
    <row r="6283">
      <c r="A6283" t="inlineStr">
        <is>
          <t>PT Bakrie Sumatera Plantations Tbk</t>
        </is>
      </c>
      <c r="B6283" t="inlineStr">
        <is>
          <t>UNSP_2023_AR.pdf</t>
        </is>
      </c>
      <c r="C6283" t="n">
        <v>2023</v>
      </c>
      <c r="D6283" t="inlineStr">
        <is>
          <t>Asset</t>
        </is>
      </c>
      <c r="E6283" t="inlineStr">
        <is>
          <t>Palm Area Jambi (nucleus)</t>
        </is>
      </c>
      <c r="F6283" t="n">
        <v>9190</v>
      </c>
      <c r="G6283" t="inlineStr">
        <is>
          <t>ha</t>
        </is>
      </c>
      <c r="H6283" t="n">
        <v>58</v>
      </c>
      <c r="I6283" t="inlineStr">
        <is>
          <t>Jambi 9.190 7.170 28,17%</t>
        </is>
      </c>
      <c r="J6283" t="inlineStr">
        <is>
          <t>High</t>
        </is>
      </c>
      <c r="M6283" t="inlineStr">
        <is>
          <t>LLM</t>
        </is>
      </c>
      <c r="N6283" t="inlineStr">
        <is>
          <t>2026-04-19</t>
        </is>
      </c>
      <c r="O6283" t="inlineStr">
        <is>
          <t>AI</t>
        </is>
      </c>
    </row>
    <row r="6284">
      <c r="A6284" t="inlineStr">
        <is>
          <t>PT Bakrie Sumatera Plantations Tbk</t>
        </is>
      </c>
      <c r="B6284" t="inlineStr">
        <is>
          <t>UNSP_2023_AR.pdf</t>
        </is>
      </c>
      <c r="C6284" t="n">
        <v>2023</v>
      </c>
      <c r="D6284" t="inlineStr">
        <is>
          <t>Asset</t>
        </is>
      </c>
      <c r="E6284" t="inlineStr">
        <is>
          <t>Palm Area S. Kalimantan (nucleus)</t>
        </is>
      </c>
      <c r="F6284" t="n">
        <v>411</v>
      </c>
      <c r="G6284" t="inlineStr">
        <is>
          <t>ha</t>
        </is>
      </c>
      <c r="H6284" t="n">
        <v>58</v>
      </c>
      <c r="I6284" t="inlineStr">
        <is>
          <t>Kalimantan Selatan 411 411</t>
        </is>
      </c>
      <c r="J6284" t="inlineStr">
        <is>
          <t>High</t>
        </is>
      </c>
      <c r="M6284" t="inlineStr">
        <is>
          <t>LLM</t>
        </is>
      </c>
      <c r="N6284" t="inlineStr">
        <is>
          <t>2026-04-19</t>
        </is>
      </c>
      <c r="O6284" t="inlineStr">
        <is>
          <t>AI</t>
        </is>
      </c>
    </row>
    <row r="6285">
      <c r="A6285" t="inlineStr">
        <is>
          <t>PT Bakrie Sumatera Plantations Tbk</t>
        </is>
      </c>
      <c r="B6285" t="inlineStr">
        <is>
          <t>UNSP_2023_AR.pdf</t>
        </is>
      </c>
      <c r="C6285" t="n">
        <v>2023</v>
      </c>
      <c r="D6285" t="inlineStr">
        <is>
          <t>Asset</t>
        </is>
      </c>
      <c r="E6285" t="inlineStr">
        <is>
          <t>Palm Area Bengkulu (nucleus)</t>
        </is>
      </c>
      <c r="F6285" t="n">
        <v>1211</v>
      </c>
      <c r="G6285" t="inlineStr">
        <is>
          <t>ha</t>
        </is>
      </c>
      <c r="H6285" t="n">
        <v>58</v>
      </c>
      <c r="I6285" t="inlineStr">
        <is>
          <t>Bengkulu 1.211 626 93,48%</t>
        </is>
      </c>
      <c r="J6285" t="inlineStr">
        <is>
          <t>High</t>
        </is>
      </c>
      <c r="M6285" t="inlineStr">
        <is>
          <t>LLM</t>
        </is>
      </c>
      <c r="N6285" t="inlineStr">
        <is>
          <t>2026-04-19</t>
        </is>
      </c>
      <c r="O6285" t="inlineStr">
        <is>
          <t>AI</t>
        </is>
      </c>
    </row>
    <row r="6286">
      <c r="A6286" t="inlineStr">
        <is>
          <t>PT Bakrie Sumatera Plantations Tbk</t>
        </is>
      </c>
      <c r="B6286" t="inlineStr">
        <is>
          <t>UNSP_2023_AR.pdf</t>
        </is>
      </c>
      <c r="C6286" t="n">
        <v>2023</v>
      </c>
      <c r="D6286" t="inlineStr">
        <is>
          <t>Asset</t>
        </is>
      </c>
      <c r="E6286" t="inlineStr">
        <is>
          <t>Palm Mills Count</t>
        </is>
      </c>
      <c r="F6286" t="n">
        <v>5</v>
      </c>
      <c r="G6286" t="inlineStr">
        <is>
          <t>count</t>
        </is>
      </c>
      <c r="H6286" t="n">
        <v>59</v>
      </c>
      <c r="I6286" t="inlineStr">
        <is>
          <t>5 (lima) pabrik minyak kelapa sawit, dengan total kapasitas produksi 240 ton TBS per jam</t>
        </is>
      </c>
      <c r="J6286" t="inlineStr">
        <is>
          <t>High</t>
        </is>
      </c>
      <c r="M6286" t="inlineStr">
        <is>
          <t>LLM</t>
        </is>
      </c>
      <c r="N6286" t="inlineStr">
        <is>
          <t>2026-04-19</t>
        </is>
      </c>
      <c r="O6286" t="inlineStr">
        <is>
          <t>AI</t>
        </is>
      </c>
    </row>
    <row r="6287">
      <c r="A6287" t="inlineStr">
        <is>
          <t>PT Bakrie Sumatera Plantations Tbk</t>
        </is>
      </c>
      <c r="B6287" t="inlineStr">
        <is>
          <t>UNSP_2023_AR.pdf</t>
        </is>
      </c>
      <c r="C6287" t="n">
        <v>2023</v>
      </c>
      <c r="D6287" t="inlineStr">
        <is>
          <t>Asset</t>
        </is>
      </c>
      <c r="E6287" t="inlineStr">
        <is>
          <t>Palm Mill Total Capacity</t>
        </is>
      </c>
      <c r="F6287" t="n">
        <v>240</v>
      </c>
      <c r="G6287" t="inlineStr">
        <is>
          <t>tph</t>
        </is>
      </c>
      <c r="H6287" t="n">
        <v>59</v>
      </c>
      <c r="I6287" t="inlineStr">
        <is>
          <t>total kapasitas produksi 240 ton TBS per jam</t>
        </is>
      </c>
      <c r="J6287" t="inlineStr">
        <is>
          <t>High</t>
        </is>
      </c>
      <c r="M6287" t="inlineStr">
        <is>
          <t>LLM</t>
        </is>
      </c>
      <c r="N6287" t="inlineStr">
        <is>
          <t>2026-04-19</t>
        </is>
      </c>
      <c r="O6287" t="inlineStr">
        <is>
          <t>AI</t>
        </is>
      </c>
    </row>
    <row r="6288">
      <c r="A6288" t="inlineStr">
        <is>
          <t>PT Bakrie Sumatera Plantations Tbk</t>
        </is>
      </c>
      <c r="B6288" t="inlineStr">
        <is>
          <t>UNSP_2023_AR.pdf</t>
        </is>
      </c>
      <c r="C6288" t="n">
        <v>2023</v>
      </c>
      <c r="D6288" t="inlineStr">
        <is>
          <t>Asset</t>
        </is>
      </c>
      <c r="E6288" t="inlineStr">
        <is>
          <t>Mature Palm Plants Book Value</t>
        </is>
      </c>
      <c r="F6288" t="n">
        <v>765.83</v>
      </c>
      <c r="G6288" t="inlineStr">
        <is>
          <t>IDR bn</t>
        </is>
      </c>
      <c r="H6288" t="n">
        <v>59</v>
      </c>
      <c r="I6288" t="inlineStr">
        <is>
          <t>Tanaman menghasilkan 765.829 82,02% (2023)</t>
        </is>
      </c>
      <c r="J6288" t="inlineStr">
        <is>
          <t>High</t>
        </is>
      </c>
      <c r="M6288" t="inlineStr">
        <is>
          <t>LLM</t>
        </is>
      </c>
      <c r="N6288" t="inlineStr">
        <is>
          <t>2026-04-19</t>
        </is>
      </c>
      <c r="O6288" t="inlineStr">
        <is>
          <t>AI</t>
        </is>
      </c>
    </row>
    <row r="6289">
      <c r="A6289" t="inlineStr">
        <is>
          <t>PT Bakrie Sumatera Plantations Tbk</t>
        </is>
      </c>
      <c r="B6289" t="inlineStr">
        <is>
          <t>UNSP_2023_AR.pdf</t>
        </is>
      </c>
      <c r="C6289" t="n">
        <v>2023</v>
      </c>
      <c r="D6289" t="inlineStr">
        <is>
          <t>Asset</t>
        </is>
      </c>
      <c r="E6289" t="inlineStr">
        <is>
          <t>Immature Palm Plants Book Value</t>
        </is>
      </c>
      <c r="F6289" t="n">
        <v>167.91</v>
      </c>
      <c r="G6289" t="inlineStr">
        <is>
          <t>IDR bn</t>
        </is>
      </c>
      <c r="H6289" t="n">
        <v>59</v>
      </c>
      <c r="I6289" t="inlineStr">
        <is>
          <t>Tanaman belum menghasilkan 167.914 17,98%</t>
        </is>
      </c>
      <c r="J6289" t="inlineStr">
        <is>
          <t>High</t>
        </is>
      </c>
      <c r="M6289" t="inlineStr">
        <is>
          <t>LLM</t>
        </is>
      </c>
      <c r="N6289" t="inlineStr">
        <is>
          <t>2026-04-19</t>
        </is>
      </c>
      <c r="O6289" t="inlineStr">
        <is>
          <t>AI</t>
        </is>
      </c>
    </row>
    <row r="6290">
      <c r="A6290" t="inlineStr">
        <is>
          <t>PT Bakrie Sumatera Plantations Tbk</t>
        </is>
      </c>
      <c r="B6290" t="inlineStr">
        <is>
          <t>UNSP_2023_AR.pdf</t>
        </is>
      </c>
      <c r="C6290" t="n">
        <v>2023</v>
      </c>
      <c r="D6290" t="inlineStr">
        <is>
          <t>Asset</t>
        </is>
      </c>
      <c r="E6290" t="inlineStr">
        <is>
          <t>Palm Segment Total Assets</t>
        </is>
      </c>
      <c r="F6290" t="n">
        <v>1802.75</v>
      </c>
      <c r="G6290" t="inlineStr">
        <is>
          <t>IDR bn</t>
        </is>
      </c>
      <c r="H6290" t="n">
        <v>61</v>
      </c>
      <c r="I6290" t="inlineStr">
        <is>
          <t>Total aset segmen: 1.802.747 1.838.804</t>
        </is>
      </c>
      <c r="J6290" t="inlineStr">
        <is>
          <t>High</t>
        </is>
      </c>
      <c r="M6290" t="inlineStr">
        <is>
          <t>LLM</t>
        </is>
      </c>
      <c r="N6290" t="inlineStr">
        <is>
          <t>2026-04-19</t>
        </is>
      </c>
      <c r="O6290" t="inlineStr">
        <is>
          <t>AI</t>
        </is>
      </c>
    </row>
    <row r="6291">
      <c r="A6291" t="inlineStr">
        <is>
          <t>PT Bakrie Sumatera Plantations Tbk</t>
        </is>
      </c>
      <c r="B6291" t="inlineStr">
        <is>
          <t>UNSP_2023_AR.pdf</t>
        </is>
      </c>
      <c r="C6291" t="n">
        <v>2023</v>
      </c>
      <c r="D6291" t="inlineStr">
        <is>
          <t>Asset</t>
        </is>
      </c>
      <c r="E6291" t="inlineStr">
        <is>
          <t>Rubber Planted Area Total</t>
        </is>
      </c>
      <c r="F6291" t="n">
        <v>14886</v>
      </c>
      <c r="G6291" t="inlineStr">
        <is>
          <t>ha</t>
        </is>
      </c>
      <c r="H6291" t="n">
        <v>67</v>
      </c>
      <c r="I6291" t="inlineStr">
        <is>
          <t>Total 14.886 15.399 (3,33%)</t>
        </is>
      </c>
      <c r="J6291" t="inlineStr">
        <is>
          <t>High</t>
        </is>
      </c>
      <c r="M6291" t="inlineStr">
        <is>
          <t>LLM</t>
        </is>
      </c>
      <c r="N6291" t="inlineStr">
        <is>
          <t>2026-04-19</t>
        </is>
      </c>
      <c r="O6291" t="inlineStr">
        <is>
          <t>AI</t>
        </is>
      </c>
    </row>
    <row r="6292">
      <c r="A6292" t="inlineStr">
        <is>
          <t>PT Bakrie Sumatera Plantations Tbk</t>
        </is>
      </c>
      <c r="B6292" t="inlineStr">
        <is>
          <t>UNSP_2023_AR.pdf</t>
        </is>
      </c>
      <c r="C6292" t="n">
        <v>2023</v>
      </c>
      <c r="D6292" t="inlineStr">
        <is>
          <t>Asset</t>
        </is>
      </c>
      <c r="E6292" t="inlineStr">
        <is>
          <t>Rubber Mature Area</t>
        </is>
      </c>
      <c r="F6292" t="n">
        <v>14765</v>
      </c>
      <c r="G6292" t="inlineStr">
        <is>
          <t>ha</t>
        </is>
      </c>
      <c r="H6292" t="n">
        <v>67</v>
      </c>
      <c r="I6292" t="inlineStr">
        <is>
          <t>14.765 Ha lahan tanaman menghasilkan</t>
        </is>
      </c>
      <c r="J6292" t="inlineStr">
        <is>
          <t>High</t>
        </is>
      </c>
      <c r="M6292" t="inlineStr">
        <is>
          <t>LLM</t>
        </is>
      </c>
      <c r="N6292" t="inlineStr">
        <is>
          <t>2026-04-19</t>
        </is>
      </c>
      <c r="O6292" t="inlineStr">
        <is>
          <t>AI</t>
        </is>
      </c>
    </row>
    <row r="6293">
      <c r="A6293" t="inlineStr">
        <is>
          <t>PT Bakrie Sumatera Plantations Tbk</t>
        </is>
      </c>
      <c r="B6293" t="inlineStr">
        <is>
          <t>UNSP_2023_AR.pdf</t>
        </is>
      </c>
      <c r="C6293" t="n">
        <v>2023</v>
      </c>
      <c r="D6293" t="inlineStr">
        <is>
          <t>Asset</t>
        </is>
      </c>
      <c r="E6293" t="inlineStr">
        <is>
          <t>Rubber Immature Area</t>
        </is>
      </c>
      <c r="F6293" t="n">
        <v>122</v>
      </c>
      <c r="G6293" t="inlineStr">
        <is>
          <t>ha</t>
        </is>
      </c>
      <c r="H6293" t="n">
        <v>67</v>
      </c>
      <c r="I6293" t="inlineStr">
        <is>
          <t>122 Ha lahan tanaman belum menghasilkan</t>
        </is>
      </c>
      <c r="J6293" t="inlineStr">
        <is>
          <t>High</t>
        </is>
      </c>
      <c r="M6293" t="inlineStr">
        <is>
          <t>LLM</t>
        </is>
      </c>
      <c r="N6293" t="inlineStr">
        <is>
          <t>2026-04-19</t>
        </is>
      </c>
      <c r="O6293" t="inlineStr">
        <is>
          <t>AI</t>
        </is>
      </c>
    </row>
    <row r="6294">
      <c r="A6294" t="inlineStr">
        <is>
          <t>PT Bakrie Sumatera Plantations Tbk</t>
        </is>
      </c>
      <c r="B6294" t="inlineStr">
        <is>
          <t>UNSP_2023_AR.pdf</t>
        </is>
      </c>
      <c r="C6294" t="n">
        <v>2023</v>
      </c>
      <c r="D6294" t="inlineStr">
        <is>
          <t>Asset</t>
        </is>
      </c>
      <c r="E6294" t="inlineStr">
        <is>
          <t>Rubber Area N. Sumatra</t>
        </is>
      </c>
      <c r="F6294" t="n">
        <v>10209</v>
      </c>
      <c r="G6294" t="inlineStr">
        <is>
          <t>ha</t>
        </is>
      </c>
      <c r="H6294" t="n">
        <v>67</v>
      </c>
      <c r="I6294" t="inlineStr">
        <is>
          <t>Sumatera Utara 10.209 10.209 -</t>
        </is>
      </c>
      <c r="J6294" t="inlineStr">
        <is>
          <t>High</t>
        </is>
      </c>
      <c r="M6294" t="inlineStr">
        <is>
          <t>LLM</t>
        </is>
      </c>
      <c r="N6294" t="inlineStr">
        <is>
          <t>2026-04-19</t>
        </is>
      </c>
      <c r="O6294" t="inlineStr">
        <is>
          <t>AI</t>
        </is>
      </c>
    </row>
    <row r="6295">
      <c r="A6295" t="inlineStr">
        <is>
          <t>PT Bakrie Sumatera Plantations Tbk</t>
        </is>
      </c>
      <c r="B6295" t="inlineStr">
        <is>
          <t>UNSP_2023_AR.pdf</t>
        </is>
      </c>
      <c r="C6295" t="n">
        <v>2023</v>
      </c>
      <c r="D6295" t="inlineStr">
        <is>
          <t>Asset</t>
        </is>
      </c>
      <c r="E6295" t="inlineStr">
        <is>
          <t>Rubber Area Bengkulu</t>
        </is>
      </c>
      <c r="F6295" t="n">
        <v>1456</v>
      </c>
      <c r="G6295" t="inlineStr">
        <is>
          <t>ha</t>
        </is>
      </c>
      <c r="H6295" t="n">
        <v>67</v>
      </c>
      <c r="I6295" t="inlineStr">
        <is>
          <t>Bengkulu 1.456 1.968 (26,05%)</t>
        </is>
      </c>
      <c r="J6295" t="inlineStr">
        <is>
          <t>High</t>
        </is>
      </c>
      <c r="M6295" t="inlineStr">
        <is>
          <t>LLM</t>
        </is>
      </c>
      <c r="N6295" t="inlineStr">
        <is>
          <t>2026-04-19</t>
        </is>
      </c>
      <c r="O6295" t="inlineStr">
        <is>
          <t>AI</t>
        </is>
      </c>
    </row>
    <row r="6296">
      <c r="A6296" t="inlineStr">
        <is>
          <t>PT Bakrie Sumatera Plantations Tbk</t>
        </is>
      </c>
      <c r="B6296" t="inlineStr">
        <is>
          <t>UNSP_2023_AR.pdf</t>
        </is>
      </c>
      <c r="C6296" t="n">
        <v>2023</v>
      </c>
      <c r="D6296" t="inlineStr">
        <is>
          <t>Asset</t>
        </is>
      </c>
      <c r="E6296" t="inlineStr">
        <is>
          <t>Rubber Area Lampung</t>
        </is>
      </c>
      <c r="F6296" t="n">
        <v>3222</v>
      </c>
      <c r="G6296" t="inlineStr">
        <is>
          <t>ha</t>
        </is>
      </c>
      <c r="H6296" t="n">
        <v>67</v>
      </c>
      <c r="I6296" t="inlineStr">
        <is>
          <t>Lampung 3.222 3.222 -</t>
        </is>
      </c>
      <c r="J6296" t="inlineStr">
        <is>
          <t>High</t>
        </is>
      </c>
      <c r="M6296" t="inlineStr">
        <is>
          <t>LLM</t>
        </is>
      </c>
      <c r="N6296" t="inlineStr">
        <is>
          <t>2026-04-19</t>
        </is>
      </c>
      <c r="O6296" t="inlineStr">
        <is>
          <t>AI</t>
        </is>
      </c>
    </row>
    <row r="6297">
      <c r="A6297" t="inlineStr">
        <is>
          <t>PT Bakrie Sumatera Plantations Tbk</t>
        </is>
      </c>
      <c r="B6297" t="inlineStr">
        <is>
          <t>UNSP_2023_AR.pdf</t>
        </is>
      </c>
      <c r="C6297" t="n">
        <v>2023</v>
      </c>
      <c r="D6297" t="inlineStr">
        <is>
          <t>Asset</t>
        </is>
      </c>
      <c r="E6297" t="inlineStr">
        <is>
          <t>Rubber Processing Plants Count</t>
        </is>
      </c>
      <c r="F6297" t="n">
        <v>2</v>
      </c>
      <c r="G6297" t="inlineStr">
        <is>
          <t>count</t>
        </is>
      </c>
      <c r="H6297" t="n">
        <v>68</v>
      </c>
      <c r="I6297" t="inlineStr">
        <is>
          <t>2 (dua) pabrik pengolahan produk karet alam berlokasi di Bunut dan Tulang Bawang</t>
        </is>
      </c>
      <c r="J6297" t="inlineStr">
        <is>
          <t>High</t>
        </is>
      </c>
      <c r="M6297" t="inlineStr">
        <is>
          <t>LLM</t>
        </is>
      </c>
      <c r="N6297" t="inlineStr">
        <is>
          <t>2026-04-19</t>
        </is>
      </c>
      <c r="O6297" t="inlineStr">
        <is>
          <t>AI</t>
        </is>
      </c>
    </row>
    <row r="6298">
      <c r="A6298" t="inlineStr">
        <is>
          <t>PT Bakrie Sumatera Plantations Tbk</t>
        </is>
      </c>
      <c r="B6298" t="inlineStr">
        <is>
          <t>UNSP_2023_AR.pdf</t>
        </is>
      </c>
      <c r="C6298" t="n">
        <v>2023</v>
      </c>
      <c r="D6298" t="inlineStr">
        <is>
          <t>Asset</t>
        </is>
      </c>
      <c r="E6298" t="inlineStr">
        <is>
          <t>Rubber Plant Installed Capacity</t>
        </is>
      </c>
      <c r="F6298" t="n">
        <v>36180</v>
      </c>
      <c r="G6298" t="inlineStr">
        <is>
          <t>MT/year</t>
        </is>
      </c>
      <c r="H6298" t="n">
        <v>68</v>
      </c>
      <c r="I6298" t="inlineStr">
        <is>
          <t>Jumlah total kapasitas terpasang pabrik pada tahun 2023 adalah 36.180 MT/tahun, berkurang dari 46.383 MT/tahun pada tahun sebelumnya</t>
        </is>
      </c>
      <c r="J6298" t="inlineStr">
        <is>
          <t>High</t>
        </is>
      </c>
      <c r="M6298" t="inlineStr">
        <is>
          <t>LLM</t>
        </is>
      </c>
      <c r="N6298" t="inlineStr">
        <is>
          <t>2026-04-19</t>
        </is>
      </c>
      <c r="O6298" t="inlineStr">
        <is>
          <t>AI</t>
        </is>
      </c>
    </row>
    <row r="6299">
      <c r="A6299" t="inlineStr">
        <is>
          <t>PT Bakrie Sumatera Plantations Tbk</t>
        </is>
      </c>
      <c r="B6299" t="inlineStr">
        <is>
          <t>UNSP_2023_AR.pdf</t>
        </is>
      </c>
      <c r="C6299" t="n">
        <v>2023</v>
      </c>
      <c r="D6299" t="inlineStr">
        <is>
          <t>Asset</t>
        </is>
      </c>
      <c r="E6299" t="inlineStr">
        <is>
          <t>Oleochemicals Refinery Capacity</t>
        </is>
      </c>
      <c r="F6299" t="n">
        <v>495000</v>
      </c>
      <c r="G6299" t="inlineStr">
        <is>
          <t>MT/year</t>
        </is>
      </c>
      <c r="H6299" t="n">
        <v>63</v>
      </c>
      <c r="I6299" t="inlineStr">
        <is>
          <t>Palm Oil Refinery Plant 495.000</t>
        </is>
      </c>
      <c r="J6299" t="inlineStr">
        <is>
          <t>High</t>
        </is>
      </c>
      <c r="M6299" t="inlineStr">
        <is>
          <t>LLM</t>
        </is>
      </c>
      <c r="N6299" t="inlineStr">
        <is>
          <t>2026-04-19</t>
        </is>
      </c>
      <c r="O6299" t="inlineStr">
        <is>
          <t>AI</t>
        </is>
      </c>
    </row>
    <row r="6300">
      <c r="A6300" t="inlineStr">
        <is>
          <t>PT Bakrie Sumatera Plantations Tbk</t>
        </is>
      </c>
      <c r="B6300" t="inlineStr">
        <is>
          <t>UNSP_2023_AR.pdf</t>
        </is>
      </c>
      <c r="C6300" t="n">
        <v>2023</v>
      </c>
      <c r="D6300" t="inlineStr">
        <is>
          <t>Asset</t>
        </is>
      </c>
      <c r="E6300" t="inlineStr">
        <is>
          <t>Oleochemicals KCP Capacity</t>
        </is>
      </c>
      <c r="F6300" t="n">
        <v>165000</v>
      </c>
      <c r="G6300" t="inlineStr">
        <is>
          <t>MT/year</t>
        </is>
      </c>
      <c r="H6300" t="n">
        <v>63</v>
      </c>
      <c r="I6300" t="inlineStr">
        <is>
          <t>Kernel Crushing Plant 165.000</t>
        </is>
      </c>
      <c r="J6300" t="inlineStr">
        <is>
          <t>High</t>
        </is>
      </c>
      <c r="M6300" t="inlineStr">
        <is>
          <t>LLM</t>
        </is>
      </c>
      <c r="N6300" t="inlineStr">
        <is>
          <t>2026-04-19</t>
        </is>
      </c>
      <c r="O6300" t="inlineStr">
        <is>
          <t>AI</t>
        </is>
      </c>
    </row>
    <row r="6301">
      <c r="A6301" t="inlineStr">
        <is>
          <t>PT Bakrie Sumatera Plantations Tbk</t>
        </is>
      </c>
      <c r="B6301" t="inlineStr">
        <is>
          <t>UNSP_2023_AR.pdf</t>
        </is>
      </c>
      <c r="C6301" t="n">
        <v>2023</v>
      </c>
      <c r="D6301" t="inlineStr">
        <is>
          <t>Operation</t>
        </is>
      </c>
      <c r="E6301" t="inlineStr">
        <is>
          <t>FFB Harvested Production</t>
        </is>
      </c>
      <c r="F6301" t="n">
        <v>366113</v>
      </c>
      <c r="G6301" t="inlineStr">
        <is>
          <t>t</t>
        </is>
      </c>
      <c r="H6301" t="n">
        <v>57</v>
      </c>
      <c r="I6301" t="inlineStr">
        <is>
          <t>Total produksi TBS pada tahun 2023 adalah 366.113 ton (2022: 376.655 ton)</t>
        </is>
      </c>
      <c r="J6301" t="inlineStr">
        <is>
          <t>High</t>
        </is>
      </c>
      <c r="M6301" t="inlineStr">
        <is>
          <t>LLM</t>
        </is>
      </c>
      <c r="N6301" t="inlineStr">
        <is>
          <t>2026-04-19</t>
        </is>
      </c>
      <c r="O6301" t="inlineStr">
        <is>
          <t>AI</t>
        </is>
      </c>
    </row>
    <row r="6302">
      <c r="A6302" t="inlineStr">
        <is>
          <t>PT Bakrie Sumatera Plantations Tbk</t>
        </is>
      </c>
      <c r="B6302" t="inlineStr">
        <is>
          <t>UNSP_2023_AR.pdf</t>
        </is>
      </c>
      <c r="C6302" t="n">
        <v>2023</v>
      </c>
      <c r="D6302" t="inlineStr">
        <is>
          <t>Operation</t>
        </is>
      </c>
      <c r="E6302" t="inlineStr">
        <is>
          <t>FFB Unharvested (biological)</t>
        </is>
      </c>
      <c r="F6302" t="n">
        <v>102533</v>
      </c>
      <c r="G6302" t="inlineStr">
        <is>
          <t>t</t>
        </is>
      </c>
      <c r="H6302" t="n">
        <v>57</v>
      </c>
      <c r="I6302" t="inlineStr">
        <is>
          <t>TBS yang belum dipanen 102.533 ton</t>
        </is>
      </c>
      <c r="J6302" t="inlineStr">
        <is>
          <t>High</t>
        </is>
      </c>
      <c r="M6302" t="inlineStr">
        <is>
          <t>LLM</t>
        </is>
      </c>
      <c r="N6302" t="inlineStr">
        <is>
          <t>2026-04-19</t>
        </is>
      </c>
      <c r="O6302" t="inlineStr">
        <is>
          <t>AI</t>
        </is>
      </c>
    </row>
    <row r="6303">
      <c r="A6303" t="inlineStr">
        <is>
          <t>PT Bakrie Sumatera Plantations Tbk</t>
        </is>
      </c>
      <c r="B6303" t="inlineStr">
        <is>
          <t>UNSP_2023_AR.pdf</t>
        </is>
      </c>
      <c r="C6303" t="n">
        <v>2023</v>
      </c>
      <c r="D6303" t="inlineStr">
        <is>
          <t>Operation</t>
        </is>
      </c>
      <c r="E6303" t="inlineStr">
        <is>
          <t>CPO Production</t>
        </is>
      </c>
      <c r="F6303" t="n">
        <v>123628</v>
      </c>
      <c r="G6303" t="inlineStr">
        <is>
          <t>t</t>
        </is>
      </c>
      <c r="H6303" t="n">
        <v>58</v>
      </c>
      <c r="I6303" t="inlineStr">
        <is>
          <t>volume produksi CPO ... penurunan 20,09% menjadi 123.628 ton</t>
        </is>
      </c>
      <c r="J6303" t="inlineStr">
        <is>
          <t>High</t>
        </is>
      </c>
      <c r="M6303" t="inlineStr">
        <is>
          <t>LLM</t>
        </is>
      </c>
      <c r="N6303" t="inlineStr">
        <is>
          <t>2026-04-19</t>
        </is>
      </c>
      <c r="O6303" t="inlineStr">
        <is>
          <t>AI</t>
        </is>
      </c>
    </row>
    <row r="6304">
      <c r="A6304" t="inlineStr">
        <is>
          <t>PT Bakrie Sumatera Plantations Tbk</t>
        </is>
      </c>
      <c r="B6304" t="inlineStr">
        <is>
          <t>UNSP_2023_AR.pdf</t>
        </is>
      </c>
      <c r="C6304" t="n">
        <v>2023</v>
      </c>
      <c r="D6304" t="inlineStr">
        <is>
          <t>Operation</t>
        </is>
      </c>
      <c r="E6304" t="inlineStr">
        <is>
          <t>PK Production</t>
        </is>
      </c>
      <c r="F6304" t="n">
        <v>28591</v>
      </c>
      <c r="G6304" t="inlineStr">
        <is>
          <t>t</t>
        </is>
      </c>
      <c r="H6304" t="n">
        <v>58</v>
      </c>
      <c r="I6304" t="inlineStr">
        <is>
          <t>21,64% menjadi 28.591 ton (PK)</t>
        </is>
      </c>
      <c r="J6304" t="inlineStr">
        <is>
          <t>High</t>
        </is>
      </c>
      <c r="M6304" t="inlineStr">
        <is>
          <t>LLM</t>
        </is>
      </c>
      <c r="N6304" t="inlineStr">
        <is>
          <t>2026-04-19</t>
        </is>
      </c>
      <c r="O6304" t="inlineStr">
        <is>
          <t>AI</t>
        </is>
      </c>
    </row>
    <row r="6305">
      <c r="A6305" t="inlineStr">
        <is>
          <t>PT Bakrie Sumatera Plantations Tbk</t>
        </is>
      </c>
      <c r="B6305" t="inlineStr">
        <is>
          <t>UNSP_2023_AR.pdf</t>
        </is>
      </c>
      <c r="C6305" t="n">
        <v>2023</v>
      </c>
      <c r="D6305" t="inlineStr">
        <is>
          <t>Operation</t>
        </is>
      </c>
      <c r="E6305" t="inlineStr">
        <is>
          <t>Latex Harvested</t>
        </is>
      </c>
      <c r="F6305" t="n">
        <v>10292</v>
      </c>
      <c r="G6305" t="inlineStr">
        <is>
          <t>t</t>
        </is>
      </c>
      <c r="H6305" t="n">
        <v>66</v>
      </c>
      <c r="I6305" t="inlineStr">
        <is>
          <t>10.292 ton getah yang sudah dipanen</t>
        </is>
      </c>
      <c r="J6305" t="inlineStr">
        <is>
          <t>High</t>
        </is>
      </c>
      <c r="M6305" t="inlineStr">
        <is>
          <t>LLM</t>
        </is>
      </c>
      <c r="N6305" t="inlineStr">
        <is>
          <t>2026-04-19</t>
        </is>
      </c>
      <c r="O6305" t="inlineStr">
        <is>
          <t>AI</t>
        </is>
      </c>
    </row>
    <row r="6306">
      <c r="A6306" t="inlineStr">
        <is>
          <t>PT Bakrie Sumatera Plantations Tbk</t>
        </is>
      </c>
      <c r="B6306" t="inlineStr">
        <is>
          <t>UNSP_2023_AR.pdf</t>
        </is>
      </c>
      <c r="C6306" t="n">
        <v>2023</v>
      </c>
      <c r="D6306" t="inlineStr">
        <is>
          <t>Operation</t>
        </is>
      </c>
      <c r="E6306" t="inlineStr">
        <is>
          <t>Rubber Plant Total Production</t>
        </is>
      </c>
      <c r="F6306" t="n">
        <v>9127</v>
      </c>
      <c r="G6306" t="inlineStr">
        <is>
          <t>t</t>
        </is>
      </c>
      <c r="H6306" t="n">
        <v>66</v>
      </c>
      <c r="I6306" t="inlineStr">
        <is>
          <t>Total produksi pabrik pengolahan karet pada tahun 2023 adalah 9.127 ton, 22,88% lebih rendah dari 11.835 ton (2022)</t>
        </is>
      </c>
      <c r="J6306" t="inlineStr">
        <is>
          <t>High</t>
        </is>
      </c>
      <c r="M6306" t="inlineStr">
        <is>
          <t>LLM</t>
        </is>
      </c>
      <c r="N6306" t="inlineStr">
        <is>
          <t>2026-04-19</t>
        </is>
      </c>
      <c r="O6306" t="inlineStr">
        <is>
          <t>AI</t>
        </is>
      </c>
    </row>
    <row r="6307">
      <c r="A6307" t="inlineStr">
        <is>
          <t>PT Bakrie Sumatera Plantations Tbk</t>
        </is>
      </c>
      <c r="B6307" t="inlineStr">
        <is>
          <t>UNSP_2023_AR.pdf</t>
        </is>
      </c>
      <c r="C6307" t="n">
        <v>2023</v>
      </c>
      <c r="D6307" t="inlineStr">
        <is>
          <t>Operation</t>
        </is>
      </c>
      <c r="E6307" t="inlineStr">
        <is>
          <t>Palm Segment Sales (before elim.)</t>
        </is>
      </c>
      <c r="F6307" t="n">
        <v>1638.4</v>
      </c>
      <c r="G6307" t="inlineStr">
        <is>
          <t>IDR bn</t>
        </is>
      </c>
      <c r="H6307" t="n">
        <v>60</v>
      </c>
      <c r="I6307" t="inlineStr">
        <is>
          <t>Sawit 1.638.402 2.198.860 (25,49%)</t>
        </is>
      </c>
      <c r="J6307" t="inlineStr">
        <is>
          <t>High</t>
        </is>
      </c>
      <c r="M6307" t="inlineStr">
        <is>
          <t>LLM</t>
        </is>
      </c>
      <c r="N6307" t="inlineStr">
        <is>
          <t>2026-04-19</t>
        </is>
      </c>
      <c r="O6307" t="inlineStr">
        <is>
          <t>AI</t>
        </is>
      </c>
    </row>
    <row r="6308">
      <c r="A6308" t="inlineStr">
        <is>
          <t>PT Bakrie Sumatera Plantations Tbk</t>
        </is>
      </c>
      <c r="B6308" t="inlineStr">
        <is>
          <t>UNSP_2023_AR.pdf</t>
        </is>
      </c>
      <c r="C6308" t="n">
        <v>2023</v>
      </c>
      <c r="D6308" t="inlineStr">
        <is>
          <t>Operation</t>
        </is>
      </c>
      <c r="E6308" t="inlineStr">
        <is>
          <t>Palm Segment Gross Profit</t>
        </is>
      </c>
      <c r="F6308" t="n">
        <v>437.02</v>
      </c>
      <c r="G6308" t="inlineStr">
        <is>
          <t>IDR bn</t>
        </is>
      </c>
      <c r="H6308" t="n">
        <v>60</v>
      </c>
      <c r="I6308" t="inlineStr">
        <is>
          <t>Sawit 437.016 568.311 (23,10%)</t>
        </is>
      </c>
      <c r="J6308" t="inlineStr">
        <is>
          <t>High</t>
        </is>
      </c>
      <c r="M6308" t="inlineStr">
        <is>
          <t>LLM</t>
        </is>
      </c>
      <c r="N6308" t="inlineStr">
        <is>
          <t>2026-04-19</t>
        </is>
      </c>
      <c r="O6308" t="inlineStr">
        <is>
          <t>AI</t>
        </is>
      </c>
    </row>
    <row r="6309">
      <c r="A6309" t="inlineStr">
        <is>
          <t>PT Bakrie Sumatera Plantations Tbk</t>
        </is>
      </c>
      <c r="B6309" t="inlineStr">
        <is>
          <t>UNSP_2023_AR.pdf</t>
        </is>
      </c>
      <c r="C6309" t="n">
        <v>2023</v>
      </c>
      <c r="D6309" t="inlineStr">
        <is>
          <t>Operation</t>
        </is>
      </c>
      <c r="E6309" t="inlineStr">
        <is>
          <t>Palm Segment Contribution to Sales</t>
        </is>
      </c>
      <c r="F6309" t="n">
        <v>0.6535</v>
      </c>
      <c r="G6309" t="inlineStr">
        <is>
          <t>%</t>
        </is>
      </c>
      <c r="H6309" t="n">
        <v>60</v>
      </c>
      <c r="I6309" t="inlineStr">
        <is>
          <t>Kontribusi 65,35% 51,16%</t>
        </is>
      </c>
      <c r="J6309" t="inlineStr">
        <is>
          <t>High</t>
        </is>
      </c>
      <c r="M6309" t="inlineStr">
        <is>
          <t>LLM</t>
        </is>
      </c>
      <c r="N6309" t="inlineStr">
        <is>
          <t>2026-04-19</t>
        </is>
      </c>
      <c r="O6309" t="inlineStr">
        <is>
          <t>AI</t>
        </is>
      </c>
    </row>
    <row r="6310">
      <c r="A6310" t="inlineStr">
        <is>
          <t>PT Bakrie Sumatera Plantations Tbk</t>
        </is>
      </c>
      <c r="B6310" t="inlineStr">
        <is>
          <t>UNSP_2023_AR.pdf</t>
        </is>
      </c>
      <c r="C6310" t="n">
        <v>2023</v>
      </c>
      <c r="D6310" t="inlineStr">
        <is>
          <t>Operation</t>
        </is>
      </c>
      <c r="E6310" t="inlineStr">
        <is>
          <t>Oleochemicals Sales</t>
        </is>
      </c>
      <c r="F6310" t="n">
        <v>637.64</v>
      </c>
      <c r="G6310" t="inlineStr">
        <is>
          <t>IDR bn</t>
        </is>
      </c>
      <c r="H6310" t="n">
        <v>65</v>
      </c>
      <c r="I6310" t="inlineStr">
        <is>
          <t>Oleokimia 637.636 1.795.036 (64,48%)</t>
        </is>
      </c>
      <c r="J6310" t="inlineStr">
        <is>
          <t>High</t>
        </is>
      </c>
      <c r="M6310" t="inlineStr">
        <is>
          <t>LLM</t>
        </is>
      </c>
      <c r="N6310" t="inlineStr">
        <is>
          <t>2026-04-19</t>
        </is>
      </c>
      <c r="O6310" t="inlineStr">
        <is>
          <t>AI</t>
        </is>
      </c>
    </row>
    <row r="6311">
      <c r="A6311" t="inlineStr">
        <is>
          <t>PT Bakrie Sumatera Plantations Tbk</t>
        </is>
      </c>
      <c r="B6311" t="inlineStr">
        <is>
          <t>UNSP_2023_AR.pdf</t>
        </is>
      </c>
      <c r="C6311" t="n">
        <v>2023</v>
      </c>
      <c r="D6311" t="inlineStr">
        <is>
          <t>Operation</t>
        </is>
      </c>
      <c r="E6311" t="inlineStr">
        <is>
          <t>Oleochemicals Gross Profit</t>
        </is>
      </c>
      <c r="F6311" t="n">
        <v>57.2</v>
      </c>
      <c r="G6311" t="inlineStr">
        <is>
          <t>IDR bn</t>
        </is>
      </c>
      <c r="H6311" t="n">
        <v>65</v>
      </c>
      <c r="I6311" t="inlineStr">
        <is>
          <t>Oleokimia 57.201 163.986 (65,12%)</t>
        </is>
      </c>
      <c r="J6311" t="inlineStr">
        <is>
          <t>High</t>
        </is>
      </c>
      <c r="M6311" t="inlineStr">
        <is>
          <t>LLM</t>
        </is>
      </c>
      <c r="N6311" t="inlineStr">
        <is>
          <t>2026-04-19</t>
        </is>
      </c>
      <c r="O6311" t="inlineStr">
        <is>
          <t>AI</t>
        </is>
      </c>
    </row>
    <row r="6312">
      <c r="A6312" t="inlineStr">
        <is>
          <t>PT Bakrie Sumatera Plantations Tbk</t>
        </is>
      </c>
      <c r="B6312" t="inlineStr">
        <is>
          <t>UNSP_2023_AR.pdf</t>
        </is>
      </c>
      <c r="C6312" t="n">
        <v>2023</v>
      </c>
      <c r="D6312" t="inlineStr">
        <is>
          <t>Operation</t>
        </is>
      </c>
      <c r="E6312" t="inlineStr">
        <is>
          <t>Rubber Segment Sales</t>
        </is>
      </c>
      <c r="F6312" t="n">
        <v>231.25</v>
      </c>
      <c r="G6312" t="inlineStr">
        <is>
          <t>IDR bn</t>
        </is>
      </c>
      <c r="H6312" t="n">
        <v>68</v>
      </c>
      <c r="I6312" t="inlineStr">
        <is>
          <t>Karet 231.252 304.514 (24,06%)</t>
        </is>
      </c>
      <c r="J6312" t="inlineStr">
        <is>
          <t>High</t>
        </is>
      </c>
      <c r="M6312" t="inlineStr">
        <is>
          <t>LLM</t>
        </is>
      </c>
      <c r="N6312" t="inlineStr">
        <is>
          <t>2026-04-19</t>
        </is>
      </c>
      <c r="O6312" t="inlineStr">
        <is>
          <t>AI</t>
        </is>
      </c>
    </row>
    <row r="6313">
      <c r="A6313" t="inlineStr">
        <is>
          <t>PT Bakrie Sumatera Plantations Tbk</t>
        </is>
      </c>
      <c r="B6313" t="inlineStr">
        <is>
          <t>UNSP_2023_AR.pdf</t>
        </is>
      </c>
      <c r="C6313" t="n">
        <v>2023</v>
      </c>
      <c r="D6313" t="inlineStr">
        <is>
          <t>Operation</t>
        </is>
      </c>
      <c r="E6313" t="inlineStr">
        <is>
          <t>CPO % of Palm Segment Sales</t>
        </is>
      </c>
      <c r="F6313" t="n">
        <v>0.917</v>
      </c>
      <c r="G6313" t="inlineStr">
        <is>
          <t>%</t>
        </is>
      </c>
      <c r="H6313" t="n">
        <v>60</v>
      </c>
      <c r="I6313" t="inlineStr">
        <is>
          <t>penjualan CPO yaitu 91,70%, sedangkan 5,79% PK dan 2,51% TBS</t>
        </is>
      </c>
      <c r="J6313" t="inlineStr">
        <is>
          <t>High</t>
        </is>
      </c>
      <c r="M6313" t="inlineStr">
        <is>
          <t>LLM</t>
        </is>
      </c>
      <c r="N6313" t="inlineStr">
        <is>
          <t>2026-04-19</t>
        </is>
      </c>
      <c r="O6313" t="inlineStr">
        <is>
          <t>AI</t>
        </is>
      </c>
    </row>
    <row r="6314">
      <c r="A6314" t="inlineStr">
        <is>
          <t>PT Bakrie Sumatera Plantations Tbk</t>
        </is>
      </c>
      <c r="B6314" t="inlineStr">
        <is>
          <t>UNSP_2023_AR.pdf</t>
        </is>
      </c>
      <c r="C6314" t="n">
        <v>2023</v>
      </c>
      <c r="D6314" t="inlineStr">
        <is>
          <t>ESG</t>
        </is>
      </c>
      <c r="E6314" t="inlineStr">
        <is>
          <t>ISPO/RSPO/Certifications</t>
        </is>
      </c>
      <c r="F6314" t="inlineStr">
        <is>
          <t>Oleochemicals facility Kuala Tanjung: RSPO + ISO 9001:2015 + ISO 22000:2018 + HACCP + GMP + Halal + Kosher. Multiple ISPO certificates at plantation units.</t>
        </is>
      </c>
      <c r="G6314" t="inlineStr">
        <is>
          <t>text</t>
        </is>
      </c>
      <c r="H6314" t="n">
        <v>63</v>
      </c>
      <c r="I6314" t="inlineStr">
        <is>
          <t>sertifikasi RSPO, ISO 9001:2015, ISO 22000:2018, HACCP, GMP + B2, Halal MUI, Kosher Orthodox Union</t>
        </is>
      </c>
      <c r="J6314" t="inlineStr">
        <is>
          <t>High</t>
        </is>
      </c>
      <c r="M6314" t="inlineStr">
        <is>
          <t>LLM</t>
        </is>
      </c>
      <c r="N6314" t="inlineStr">
        <is>
          <t>2026-04-19</t>
        </is>
      </c>
      <c r="O6314" t="inlineStr">
        <is>
          <t>AI</t>
        </is>
      </c>
    </row>
    <row r="6315">
      <c r="A6315" t="inlineStr">
        <is>
          <t>PT Bakrie Sumatera Plantations Tbk</t>
        </is>
      </c>
      <c r="B6315" t="inlineStr">
        <is>
          <t>UNSP_2023_AR.pdf</t>
        </is>
      </c>
      <c r="C6315" t="n">
        <v>2023</v>
      </c>
      <c r="D6315" t="inlineStr">
        <is>
          <t>Other</t>
        </is>
      </c>
      <c r="E6315" t="inlineStr">
        <is>
          <t>Bakrie Food and Energy Name Change</t>
        </is>
      </c>
      <c r="F6315" t="inlineStr">
        <is>
          <t>PT Domas Agrointi Perkasa renamed to PT Bakrie Food and Energy per Deed of Decision of the Shareholders' Meeting No.35 dated 30 Mar 2023</t>
        </is>
      </c>
      <c r="G6315" t="inlineStr">
        <is>
          <t>text</t>
        </is>
      </c>
      <c r="I6315" t="inlineStr">
        <is>
          <t>Berdasarkan Akta Keputusan Pemegang Saham No.35, pada tanggal 30 Maret 2023 para pemegang saham menyetujui untuk mengubah nama semula PT Domas Agrointi Perkasa menjadi PT Bakrie Food and Energy</t>
        </is>
      </c>
      <c r="J6315" t="inlineStr">
        <is>
          <t>High</t>
        </is>
      </c>
      <c r="M6315" t="inlineStr">
        <is>
          <t>LLM</t>
        </is>
      </c>
      <c r="N6315" t="inlineStr">
        <is>
          <t>2026-04-19</t>
        </is>
      </c>
      <c r="O6315" t="inlineStr">
        <is>
          <t>AI</t>
        </is>
      </c>
    </row>
    <row r="6316">
      <c r="A6316" t="inlineStr">
        <is>
          <t>PT Bakrie Sumatera Plantations Tbk</t>
        </is>
      </c>
      <c r="B6316" t="inlineStr">
        <is>
          <t>UNSP_2023_AR.pdf</t>
        </is>
      </c>
      <c r="C6316" t="n">
        <v>2023</v>
      </c>
      <c r="D6316" t="inlineStr">
        <is>
          <t>Other</t>
        </is>
      </c>
      <c r="E6316" t="inlineStr">
        <is>
          <t>Credit Suisse Restructuring Term Sheet</t>
        </is>
      </c>
      <c r="F6316" t="inlineStr">
        <is>
          <t>Indicative Restructuring Term Sheet signed 13 Jan 2022 with Credit Suisse AG Singapore Branch and other lenders; write-off of restricted funds at Bank of New York Mellon Rp252.28 bn in 2022</t>
        </is>
      </c>
      <c r="G6316" t="inlineStr">
        <is>
          <t>text</t>
        </is>
      </c>
      <c r="I6316" t="inlineStr">
        <is>
          <t>amendemen Indicative Restructuring Term Sheet yang ditandatangani Perusahaan Anda dan Entitas Anak tertentu (Grup Obligor) dengan Credit Suisse AG, Cabang Singapura dan para pemberi pinjaman lainnya ... Term Sheet pada tanggal 13 Januari 2022</t>
        </is>
      </c>
      <c r="J6316" t="inlineStr">
        <is>
          <t>High</t>
        </is>
      </c>
      <c r="M6316" t="inlineStr">
        <is>
          <t>LLM</t>
        </is>
      </c>
      <c r="N6316" t="inlineStr">
        <is>
          <t>2026-04-19</t>
        </is>
      </c>
      <c r="O6316" t="inlineStr">
        <is>
          <t>AI</t>
        </is>
      </c>
    </row>
    <row r="6317">
      <c r="A6317" t="inlineStr">
        <is>
          <t>PT Bakrie Sumatera Plantations Tbk</t>
        </is>
      </c>
      <c r="B6317" t="inlineStr">
        <is>
          <t>UNSP_2023_AR.pdf</t>
        </is>
      </c>
      <c r="C6317" t="n">
        <v>2023</v>
      </c>
      <c r="D6317" t="inlineStr">
        <is>
          <t>Other</t>
        </is>
      </c>
      <c r="E6317" t="inlineStr">
        <is>
          <t>Equity-Linked Notes Interest Payment Status</t>
        </is>
      </c>
      <c r="F6317" t="inlineStr">
        <is>
          <t>No interest paid since 1 Sep 2014 (through 1 Sep 2023 - all zeros)</t>
        </is>
      </c>
      <c r="G6317" t="inlineStr">
        <is>
          <t>text</t>
        </is>
      </c>
      <c r="H6317" t="n">
        <v>11</v>
      </c>
      <c r="I6317" t="inlineStr">
        <is>
          <t>24. 1 Maret 2023 -; 25. 1 September 2023 -</t>
        </is>
      </c>
      <c r="J6317" t="inlineStr">
        <is>
          <t>High</t>
        </is>
      </c>
      <c r="M6317" t="inlineStr">
        <is>
          <t>LLM</t>
        </is>
      </c>
      <c r="N6317" t="inlineStr">
        <is>
          <t>2026-04-19</t>
        </is>
      </c>
      <c r="O6317" t="inlineStr">
        <is>
          <t>AI</t>
        </is>
      </c>
    </row>
    <row r="6318">
      <c r="A6318" t="inlineStr">
        <is>
          <t>PT Bakrie Sumatera Plantations Tbk</t>
        </is>
      </c>
      <c r="B6318" t="inlineStr">
        <is>
          <t>UNSP_2023_AR.pdf</t>
        </is>
      </c>
      <c r="C6318" t="n">
        <v>2023</v>
      </c>
      <c r="D6318" t="inlineStr">
        <is>
          <t>Other</t>
        </is>
      </c>
      <c r="E6318" t="inlineStr">
        <is>
          <t>USD 100 mn Equity-Linked Notes on SGX</t>
        </is>
      </c>
      <c r="F6318" t="inlineStr">
        <is>
          <t>USD 100,000,000 at 8% p.a. / 7 years listed on SGX-ST 18 Feb 2010</t>
        </is>
      </c>
      <c r="G6318" t="inlineStr">
        <is>
          <t>text</t>
        </is>
      </c>
      <c r="H6318" t="n">
        <v>11</v>
      </c>
      <c r="I6318" t="inlineStr">
        <is>
          <t>SGX-ST 18 Februari 2010 100.000.000 8% p.a. / 7 years</t>
        </is>
      </c>
      <c r="J6318" t="inlineStr">
        <is>
          <t>High</t>
        </is>
      </c>
      <c r="M6318" t="inlineStr">
        <is>
          <t>LLM</t>
        </is>
      </c>
      <c r="N6318" t="inlineStr">
        <is>
          <t>2026-04-19</t>
        </is>
      </c>
      <c r="O6318" t="inlineStr">
        <is>
          <t>AI</t>
        </is>
      </c>
    </row>
    <row r="6319">
      <c r="A6319" t="inlineStr">
        <is>
          <t>PT Bakrie Sumatera Plantations Tbk</t>
        </is>
      </c>
      <c r="B6319" t="inlineStr">
        <is>
          <t>UNSP_2023_AR.pdf</t>
        </is>
      </c>
      <c r="C6319" t="n">
        <v>2023</v>
      </c>
      <c r="D6319" t="inlineStr">
        <is>
          <t>Other</t>
        </is>
      </c>
      <c r="E6319" t="inlineStr">
        <is>
          <t>No Dividend</t>
        </is>
      </c>
      <c r="F6319" t="inlineStr">
        <is>
          <t>No cash dividend distributed since 2012</t>
        </is>
      </c>
      <c r="G6319" t="inlineStr">
        <is>
          <t>text</t>
        </is>
      </c>
      <c r="H6319" t="n">
        <v>9</v>
      </c>
      <c r="I6319" t="inlineStr">
        <is>
          <t>Dividend table from 2013-2023 all zeros</t>
        </is>
      </c>
      <c r="J6319" t="inlineStr">
        <is>
          <t>High</t>
        </is>
      </c>
      <c r="M6319" t="inlineStr">
        <is>
          <t>LLM</t>
        </is>
      </c>
      <c r="N6319" t="inlineStr">
        <is>
          <t>2026-04-19</t>
        </is>
      </c>
      <c r="O6319" t="inlineStr">
        <is>
          <t>AI</t>
        </is>
      </c>
    </row>
    <row r="6320">
      <c r="A6320" t="inlineStr">
        <is>
          <t>PT Bakrie Sumatera Plantations Tbk</t>
        </is>
      </c>
      <c r="B6320" t="inlineStr">
        <is>
          <t>UNSP_2023_AR.pdf</t>
        </is>
      </c>
      <c r="C6320" t="n">
        <v>2023</v>
      </c>
      <c r="D6320" t="inlineStr">
        <is>
          <t>Other</t>
        </is>
      </c>
      <c r="E6320" t="inlineStr">
        <is>
          <t>Tebo &amp; Sarolangun Fully Impaired</t>
        </is>
      </c>
      <c r="F6320" t="inlineStr">
        <is>
          <t>Tebo 15,000 Ha and Sarolangun 10,000 Ha palm development projects fully impaired as of 31 Dec 2023 and 2022</t>
        </is>
      </c>
      <c r="G6320" t="inlineStr">
        <is>
          <t>text</t>
        </is>
      </c>
      <c r="H6320" t="n">
        <v>62</v>
      </c>
      <c r="I6320" t="inlineStr">
        <is>
          <t>Pada tanggal 31 Desember 2023 dan 2022 kedua proyek pengembangan usaha ini mengalami penurunan nilai seluruhnya</t>
        </is>
      </c>
      <c r="J6320" t="inlineStr">
        <is>
          <t>High</t>
        </is>
      </c>
      <c r="M6320" t="inlineStr">
        <is>
          <t>LLM</t>
        </is>
      </c>
      <c r="N6320" t="inlineStr">
        <is>
          <t>2026-04-19</t>
        </is>
      </c>
      <c r="O6320" t="inlineStr">
        <is>
          <t>AI</t>
        </is>
      </c>
    </row>
    <row r="6321">
      <c r="A6321" t="inlineStr">
        <is>
          <t>PT Bakrie Sumatera Plantations Tbk</t>
        </is>
      </c>
      <c r="B6321" t="inlineStr">
        <is>
          <t>UNSP_2024_AR.pdf</t>
        </is>
      </c>
      <c r="C6321" t="n">
        <v>2024</v>
      </c>
      <c r="D6321" t="inlineStr">
        <is>
          <t>Company</t>
        </is>
      </c>
      <c r="E6321" t="inlineStr">
        <is>
          <t>Company Name</t>
        </is>
      </c>
      <c r="F6321" t="inlineStr">
        <is>
          <t>PT Bakrie Sumatera Plantations Tbk</t>
        </is>
      </c>
      <c r="G6321" t="inlineStr">
        <is>
          <t>text</t>
        </is>
      </c>
      <c r="H6321" t="n">
        <v>1</v>
      </c>
      <c r="I6321" t="inlineStr">
        <is>
          <t>BSP Laporan Tahunan 2024</t>
        </is>
      </c>
      <c r="J6321" t="inlineStr">
        <is>
          <t>High</t>
        </is>
      </c>
      <c r="M6321" t="inlineStr">
        <is>
          <t>LLM</t>
        </is>
      </c>
      <c r="N6321" t="inlineStr">
        <is>
          <t>2026-04-19</t>
        </is>
      </c>
      <c r="O6321" t="inlineStr">
        <is>
          <t>AI</t>
        </is>
      </c>
    </row>
    <row r="6322">
      <c r="A6322" t="inlineStr">
        <is>
          <t>PT Bakrie Sumatera Plantations Tbk</t>
        </is>
      </c>
      <c r="B6322" t="inlineStr">
        <is>
          <t>UNSP_2024_AR.pdf</t>
        </is>
      </c>
      <c r="C6322" t="n">
        <v>2024</v>
      </c>
      <c r="D6322" t="inlineStr">
        <is>
          <t>Company</t>
        </is>
      </c>
      <c r="E6322" t="inlineStr">
        <is>
          <t>Ticker / Listing</t>
        </is>
      </c>
      <c r="F6322" t="inlineStr">
        <is>
          <t>UNSP (IDX)</t>
        </is>
      </c>
      <c r="G6322" t="inlineStr">
        <is>
          <t>text</t>
        </is>
      </c>
      <c r="H6322" t="n">
        <v>8</v>
      </c>
      <c r="I6322" t="inlineStr">
        <is>
          <t>IDX : UNSP</t>
        </is>
      </c>
      <c r="J6322" t="inlineStr">
        <is>
          <t>High</t>
        </is>
      </c>
      <c r="M6322" t="inlineStr">
        <is>
          <t>LLM</t>
        </is>
      </c>
      <c r="N6322" t="inlineStr">
        <is>
          <t>2026-04-19</t>
        </is>
      </c>
      <c r="O6322" t="inlineStr">
        <is>
          <t>AI</t>
        </is>
      </c>
    </row>
    <row r="6323">
      <c r="A6323" t="inlineStr">
        <is>
          <t>PT Bakrie Sumatera Plantations Tbk</t>
        </is>
      </c>
      <c r="B6323" t="inlineStr">
        <is>
          <t>UNSP_2024_AR.pdf</t>
        </is>
      </c>
      <c r="C6323" t="n">
        <v>2024</v>
      </c>
      <c r="D6323" t="inlineStr">
        <is>
          <t>Company</t>
        </is>
      </c>
      <c r="E6323" t="inlineStr">
        <is>
          <t>Controlling Shareholder - Bakrie Capital</t>
        </is>
      </c>
      <c r="F6323" t="inlineStr">
        <is>
          <t>PT Bakrie Capital Indonesia 17.82%</t>
        </is>
      </c>
      <c r="G6323" t="inlineStr">
        <is>
          <t>%</t>
        </is>
      </c>
      <c r="H6323" t="n">
        <v>10</v>
      </c>
      <c r="I6323" t="inlineStr">
        <is>
          <t>PT Bakrie Capital Indonesia 445.562.965 17,82</t>
        </is>
      </c>
      <c r="J6323" t="inlineStr">
        <is>
          <t>High</t>
        </is>
      </c>
      <c r="M6323" t="inlineStr">
        <is>
          <t>LLM</t>
        </is>
      </c>
      <c r="N6323" t="inlineStr">
        <is>
          <t>2026-04-19</t>
        </is>
      </c>
      <c r="O6323" t="inlineStr">
        <is>
          <t>AI</t>
        </is>
      </c>
    </row>
    <row r="6324">
      <c r="A6324" t="inlineStr">
        <is>
          <t>PT Bakrie Sumatera Plantations Tbk</t>
        </is>
      </c>
      <c r="B6324" t="inlineStr">
        <is>
          <t>UNSP_2024_AR.pdf</t>
        </is>
      </c>
      <c r="C6324" t="n">
        <v>2024</v>
      </c>
      <c r="D6324" t="inlineStr">
        <is>
          <t>Company</t>
        </is>
      </c>
      <c r="E6324" t="inlineStr">
        <is>
          <t>Major Shareholder - Ernawati Ali</t>
        </is>
      </c>
      <c r="F6324" t="n">
        <v>0.1096</v>
      </c>
      <c r="G6324" t="inlineStr">
        <is>
          <t>%</t>
        </is>
      </c>
      <c r="H6324" t="n">
        <v>10</v>
      </c>
      <c r="I6324" t="inlineStr">
        <is>
          <t>Ernawati Ali 273.921.631 10,96</t>
        </is>
      </c>
      <c r="J6324" t="inlineStr">
        <is>
          <t>High</t>
        </is>
      </c>
      <c r="M6324" t="inlineStr">
        <is>
          <t>LLM</t>
        </is>
      </c>
      <c r="N6324" t="inlineStr">
        <is>
          <t>2026-04-19</t>
        </is>
      </c>
      <c r="O6324" t="inlineStr">
        <is>
          <t>AI</t>
        </is>
      </c>
    </row>
    <row r="6325">
      <c r="A6325" t="inlineStr">
        <is>
          <t>PT Bakrie Sumatera Plantations Tbk</t>
        </is>
      </c>
      <c r="B6325" t="inlineStr">
        <is>
          <t>UNSP_2024_AR.pdf</t>
        </is>
      </c>
      <c r="C6325" t="n">
        <v>2024</v>
      </c>
      <c r="D6325" t="inlineStr">
        <is>
          <t>Company</t>
        </is>
      </c>
      <c r="E6325" t="inlineStr">
        <is>
          <t>Major Shareholder - Stefanie Djajali</t>
        </is>
      </c>
      <c r="F6325" t="n">
        <v>0.0921</v>
      </c>
      <c r="G6325" t="inlineStr">
        <is>
          <t>%</t>
        </is>
      </c>
      <c r="H6325" t="n">
        <v>10</v>
      </c>
      <c r="I6325" t="inlineStr">
        <is>
          <t>Stefanie Djajali 230.265.187 9,21</t>
        </is>
      </c>
      <c r="J6325" t="inlineStr">
        <is>
          <t>High</t>
        </is>
      </c>
      <c r="M6325" t="inlineStr">
        <is>
          <t>LLM</t>
        </is>
      </c>
      <c r="N6325" t="inlineStr">
        <is>
          <t>2026-04-19</t>
        </is>
      </c>
      <c r="O6325" t="inlineStr">
        <is>
          <t>AI</t>
        </is>
      </c>
    </row>
    <row r="6326">
      <c r="A6326" t="inlineStr">
        <is>
          <t>PT Bakrie Sumatera Plantations Tbk</t>
        </is>
      </c>
      <c r="B6326" t="inlineStr">
        <is>
          <t>UNSP_2024_AR.pdf</t>
        </is>
      </c>
      <c r="C6326" t="n">
        <v>2024</v>
      </c>
      <c r="D6326" t="inlineStr">
        <is>
          <t>Company</t>
        </is>
      </c>
      <c r="E6326" t="inlineStr">
        <is>
          <t>Major Shareholder - Paradiso Resources</t>
        </is>
      </c>
      <c r="F6326" t="n">
        <v>0.0612</v>
      </c>
      <c r="G6326" t="inlineStr">
        <is>
          <t>%</t>
        </is>
      </c>
      <c r="H6326" t="n">
        <v>10</v>
      </c>
      <c r="I6326" t="inlineStr">
        <is>
          <t>Paradiso Resources Ltd. 153.023.232 6,12</t>
        </is>
      </c>
      <c r="J6326" t="inlineStr">
        <is>
          <t>High</t>
        </is>
      </c>
      <c r="M6326" t="inlineStr">
        <is>
          <t>LLM</t>
        </is>
      </c>
      <c r="N6326" t="inlineStr">
        <is>
          <t>2026-04-19</t>
        </is>
      </c>
      <c r="O6326" t="inlineStr">
        <is>
          <t>AI</t>
        </is>
      </c>
    </row>
    <row r="6327">
      <c r="A6327" t="inlineStr">
        <is>
          <t>PT Bakrie Sumatera Plantations Tbk</t>
        </is>
      </c>
      <c r="B6327" t="inlineStr">
        <is>
          <t>UNSP_2024_AR.pdf</t>
        </is>
      </c>
      <c r="C6327" t="n">
        <v>2024</v>
      </c>
      <c r="D6327" t="inlineStr">
        <is>
          <t>Company</t>
        </is>
      </c>
      <c r="E6327" t="inlineStr">
        <is>
          <t>Public Float</t>
        </is>
      </c>
      <c r="F6327" t="n">
        <v>0.5589</v>
      </c>
      <c r="G6327" t="inlineStr">
        <is>
          <t>%</t>
        </is>
      </c>
      <c r="H6327" t="n">
        <v>10</v>
      </c>
      <c r="I6327" t="inlineStr">
        <is>
          <t>Masyarakat di bawah 5% 1.397.389.329 55,89</t>
        </is>
      </c>
      <c r="J6327" t="inlineStr">
        <is>
          <t>High</t>
        </is>
      </c>
      <c r="M6327" t="inlineStr">
        <is>
          <t>LLM</t>
        </is>
      </c>
      <c r="N6327" t="inlineStr">
        <is>
          <t>2026-04-19</t>
        </is>
      </c>
      <c r="O6327" t="inlineStr">
        <is>
          <t>AI</t>
        </is>
      </c>
    </row>
    <row r="6328">
      <c r="A6328" t="inlineStr">
        <is>
          <t>PT Bakrie Sumatera Plantations Tbk</t>
        </is>
      </c>
      <c r="B6328" t="inlineStr">
        <is>
          <t>UNSP_2024_AR.pdf</t>
        </is>
      </c>
      <c r="C6328" t="n">
        <v>2024</v>
      </c>
      <c r="D6328" t="inlineStr">
        <is>
          <t>Company</t>
        </is>
      </c>
      <c r="E6328" t="inlineStr">
        <is>
          <t>Total Shares Outstanding</t>
        </is>
      </c>
      <c r="F6328" t="n">
        <v>2500162344</v>
      </c>
      <c r="G6328" t="inlineStr">
        <is>
          <t>shares</t>
        </is>
      </c>
      <c r="H6328" t="n">
        <v>10</v>
      </c>
      <c r="I6328" t="inlineStr">
        <is>
          <t>Total 2.500.162.344 100,00</t>
        </is>
      </c>
      <c r="J6328" t="inlineStr">
        <is>
          <t>High</t>
        </is>
      </c>
      <c r="M6328" t="inlineStr">
        <is>
          <t>LLM</t>
        </is>
      </c>
      <c r="N6328" t="inlineStr">
        <is>
          <t>2026-04-19</t>
        </is>
      </c>
      <c r="O6328" t="inlineStr">
        <is>
          <t>AI</t>
        </is>
      </c>
    </row>
    <row r="6329">
      <c r="A6329" t="inlineStr">
        <is>
          <t>PT Bakrie Sumatera Plantations Tbk</t>
        </is>
      </c>
      <c r="B6329" t="inlineStr">
        <is>
          <t>UNSP_2024_AR.pdf</t>
        </is>
      </c>
      <c r="C6329" t="n">
        <v>2024</v>
      </c>
      <c r="D6329" t="inlineStr">
        <is>
          <t>Company</t>
        </is>
      </c>
      <c r="E6329" t="inlineStr">
        <is>
          <t>Total Shareholders</t>
        </is>
      </c>
      <c r="F6329" t="n">
        <v>13435</v>
      </c>
      <c r="G6329" t="inlineStr">
        <is>
          <t>count</t>
        </is>
      </c>
      <c r="H6329" t="n">
        <v>11</v>
      </c>
      <c r="I6329" t="inlineStr">
        <is>
          <t>Total 13.435 2.500.162.344 100,00%</t>
        </is>
      </c>
      <c r="J6329" t="inlineStr">
        <is>
          <t>High</t>
        </is>
      </c>
      <c r="M6329" t="inlineStr">
        <is>
          <t>LLM</t>
        </is>
      </c>
      <c r="N6329" t="inlineStr">
        <is>
          <t>2026-04-19</t>
        </is>
      </c>
      <c r="O6329" t="inlineStr">
        <is>
          <t>AI</t>
        </is>
      </c>
    </row>
    <row r="6330">
      <c r="A6330" t="inlineStr">
        <is>
          <t>PT Bakrie Sumatera Plantations Tbk</t>
        </is>
      </c>
      <c r="B6330" t="inlineStr">
        <is>
          <t>UNSP_2024_AR.pdf</t>
        </is>
      </c>
      <c r="C6330" t="n">
        <v>2024</v>
      </c>
      <c r="D6330" t="inlineStr">
        <is>
          <t>Company</t>
        </is>
      </c>
      <c r="E6330" t="inlineStr">
        <is>
          <t>BoC Composition</t>
        </is>
      </c>
      <c r="F6330" t="inlineStr">
        <is>
          <t>3 commissioners incl. 1 independent (Nalinkant Rathod - Pres., Anindya N. Bakrie, Nengah Rama Gautama)</t>
        </is>
      </c>
      <c r="G6330" t="inlineStr">
        <is>
          <t>text</t>
        </is>
      </c>
      <c r="H6330" t="n">
        <v>13</v>
      </c>
      <c r="I6330" t="inlineStr">
        <is>
          <t>Komisaris Utama: Nalinkant A. Rathod; Komisaris: Anindya N. Bakrie; Komisaris Independen: Nengah Rama Gautama</t>
        </is>
      </c>
      <c r="J6330" t="inlineStr">
        <is>
          <t>High</t>
        </is>
      </c>
      <c r="M6330" t="inlineStr">
        <is>
          <t>LLM</t>
        </is>
      </c>
      <c r="N6330" t="inlineStr">
        <is>
          <t>2026-04-19</t>
        </is>
      </c>
      <c r="O6330" t="inlineStr">
        <is>
          <t>AI</t>
        </is>
      </c>
    </row>
    <row r="6331">
      <c r="A6331" t="inlineStr">
        <is>
          <t>PT Bakrie Sumatera Plantations Tbk</t>
        </is>
      </c>
      <c r="B6331" t="inlineStr">
        <is>
          <t>UNSP_2024_AR.pdf</t>
        </is>
      </c>
      <c r="C6331" t="n">
        <v>2024</v>
      </c>
      <c r="D6331" t="inlineStr">
        <is>
          <t>Financial</t>
        </is>
      </c>
      <c r="E6331" t="inlineStr">
        <is>
          <t>Net Sales (Revenue)</t>
        </is>
      </c>
      <c r="F6331" t="n">
        <v>2327.87</v>
      </c>
      <c r="G6331" t="inlineStr">
        <is>
          <t>IDR bn</t>
        </is>
      </c>
      <c r="H6331" t="n">
        <v>6</v>
      </c>
      <c r="I6331" t="inlineStr">
        <is>
          <t>Penjualan 2.327.870 2.405.153 4.189.330 (in jutaan)</t>
        </is>
      </c>
      <c r="J6331" t="inlineStr">
        <is>
          <t>High</t>
        </is>
      </c>
      <c r="M6331" t="inlineStr">
        <is>
          <t>LLM</t>
        </is>
      </c>
      <c r="N6331" t="inlineStr">
        <is>
          <t>2026-04-19</t>
        </is>
      </c>
      <c r="O6331" t="inlineStr">
        <is>
          <t>AI</t>
        </is>
      </c>
    </row>
    <row r="6332">
      <c r="A6332" t="inlineStr">
        <is>
          <t>PT Bakrie Sumatera Plantations Tbk</t>
        </is>
      </c>
      <c r="B6332" t="inlineStr">
        <is>
          <t>UNSP_2024_AR.pdf</t>
        </is>
      </c>
      <c r="C6332" t="n">
        <v>2024</v>
      </c>
      <c r="D6332" t="inlineStr">
        <is>
          <t>Financial</t>
        </is>
      </c>
      <c r="E6332" t="inlineStr">
        <is>
          <t>Cost of Sales</t>
        </is>
      </c>
      <c r="F6332" t="n">
        <v>1723.35</v>
      </c>
      <c r="G6332" t="inlineStr">
        <is>
          <t>IDR bn</t>
        </is>
      </c>
      <c r="H6332" t="n">
        <v>6</v>
      </c>
      <c r="I6332" t="inlineStr">
        <is>
          <t>Beban pokok penjualan 1.723.352 (2024)</t>
        </is>
      </c>
      <c r="J6332" t="inlineStr">
        <is>
          <t>High</t>
        </is>
      </c>
      <c r="M6332" t="inlineStr">
        <is>
          <t>LLM</t>
        </is>
      </c>
      <c r="N6332" t="inlineStr">
        <is>
          <t>2026-04-19</t>
        </is>
      </c>
      <c r="O6332" t="inlineStr">
        <is>
          <t>AI</t>
        </is>
      </c>
    </row>
    <row r="6333">
      <c r="A6333" t="inlineStr">
        <is>
          <t>PT Bakrie Sumatera Plantations Tbk</t>
        </is>
      </c>
      <c r="B6333" t="inlineStr">
        <is>
          <t>UNSP_2024_AR.pdf</t>
        </is>
      </c>
      <c r="C6333" t="n">
        <v>2024</v>
      </c>
      <c r="D6333" t="inlineStr">
        <is>
          <t>Financial</t>
        </is>
      </c>
      <c r="E6333" t="inlineStr">
        <is>
          <t>Gross Profit</t>
        </is>
      </c>
      <c r="F6333" t="n">
        <v>604.52</v>
      </c>
      <c r="G6333" t="inlineStr">
        <is>
          <t>IDR bn</t>
        </is>
      </c>
      <c r="H6333" t="n">
        <v>6</v>
      </c>
      <c r="I6333" t="inlineStr">
        <is>
          <t>Laba bruto 604.518 477.002 (2024 vs 2023)</t>
        </is>
      </c>
      <c r="J6333" t="inlineStr">
        <is>
          <t>High</t>
        </is>
      </c>
      <c r="M6333" t="inlineStr">
        <is>
          <t>LLM</t>
        </is>
      </c>
      <c r="N6333" t="inlineStr">
        <is>
          <t>2026-04-19</t>
        </is>
      </c>
      <c r="O6333" t="inlineStr">
        <is>
          <t>AI</t>
        </is>
      </c>
    </row>
    <row r="6334">
      <c r="A6334" t="inlineStr">
        <is>
          <t>PT Bakrie Sumatera Plantations Tbk</t>
        </is>
      </c>
      <c r="B6334" t="inlineStr">
        <is>
          <t>UNSP_2024_AR.pdf</t>
        </is>
      </c>
      <c r="C6334" t="n">
        <v>2024</v>
      </c>
      <c r="D6334" t="inlineStr">
        <is>
          <t>Financial</t>
        </is>
      </c>
      <c r="E6334" t="inlineStr">
        <is>
          <t>Selling Expenses</t>
        </is>
      </c>
      <c r="F6334" t="n">
        <v>42.04</v>
      </c>
      <c r="G6334" t="inlineStr">
        <is>
          <t>IDR bn</t>
        </is>
      </c>
      <c r="H6334" t="n">
        <v>78</v>
      </c>
      <c r="I6334" t="inlineStr">
        <is>
          <t>Beban penjualan (42.035) (63.842)</t>
        </is>
      </c>
      <c r="J6334" t="inlineStr">
        <is>
          <t>High</t>
        </is>
      </c>
      <c r="M6334" t="inlineStr">
        <is>
          <t>LLM</t>
        </is>
      </c>
      <c r="N6334" t="inlineStr">
        <is>
          <t>2026-04-19</t>
        </is>
      </c>
      <c r="O6334" t="inlineStr">
        <is>
          <t>AI</t>
        </is>
      </c>
    </row>
    <row r="6335">
      <c r="A6335" t="inlineStr">
        <is>
          <t>PT Bakrie Sumatera Plantations Tbk</t>
        </is>
      </c>
      <c r="B6335" t="inlineStr">
        <is>
          <t>UNSP_2024_AR.pdf</t>
        </is>
      </c>
      <c r="C6335" t="n">
        <v>2024</v>
      </c>
      <c r="D6335" t="inlineStr">
        <is>
          <t>Financial</t>
        </is>
      </c>
      <c r="E6335" t="inlineStr">
        <is>
          <t>General &amp; Admin Expenses</t>
        </is>
      </c>
      <c r="F6335" t="n">
        <v>353.46</v>
      </c>
      <c r="G6335" t="inlineStr">
        <is>
          <t>IDR bn</t>
        </is>
      </c>
      <c r="H6335" t="n">
        <v>78</v>
      </c>
      <c r="I6335" t="inlineStr">
        <is>
          <t>Beban umum dan administrasi (353.455) (370.334)</t>
        </is>
      </c>
      <c r="J6335" t="inlineStr">
        <is>
          <t>High</t>
        </is>
      </c>
      <c r="M6335" t="inlineStr">
        <is>
          <t>LLM</t>
        </is>
      </c>
      <c r="N6335" t="inlineStr">
        <is>
          <t>2026-04-19</t>
        </is>
      </c>
      <c r="O6335" t="inlineStr">
        <is>
          <t>AI</t>
        </is>
      </c>
    </row>
    <row r="6336">
      <c r="A6336" t="inlineStr">
        <is>
          <t>PT Bakrie Sumatera Plantations Tbk</t>
        </is>
      </c>
      <c r="B6336" t="inlineStr">
        <is>
          <t>UNSP_2024_AR.pdf</t>
        </is>
      </c>
      <c r="C6336" t="n">
        <v>2024</v>
      </c>
      <c r="D6336" t="inlineStr">
        <is>
          <t>Financial</t>
        </is>
      </c>
      <c r="E6336" t="inlineStr">
        <is>
          <t>FX Gain/(Loss) - Net</t>
        </is>
      </c>
      <c r="F6336" t="n">
        <v>-342.26</v>
      </c>
      <c r="G6336" t="inlineStr">
        <is>
          <t>IDR bn</t>
        </is>
      </c>
      <c r="H6336" t="n">
        <v>78</v>
      </c>
      <c r="I6336" t="inlineStr">
        <is>
          <t>Keuntungan (kerugian) selisih kurs - neto (342.258) 146.007</t>
        </is>
      </c>
      <c r="J6336" t="inlineStr">
        <is>
          <t>High</t>
        </is>
      </c>
      <c r="M6336" t="inlineStr">
        <is>
          <t>LLM</t>
        </is>
      </c>
      <c r="N6336" t="inlineStr">
        <is>
          <t>2026-04-19</t>
        </is>
      </c>
      <c r="O6336" t="inlineStr">
        <is>
          <t>AI</t>
        </is>
      </c>
    </row>
    <row r="6337">
      <c r="A6337" t="inlineStr">
        <is>
          <t>PT Bakrie Sumatera Plantations Tbk</t>
        </is>
      </c>
      <c r="B6337" t="inlineStr">
        <is>
          <t>UNSP_2024_AR.pdf</t>
        </is>
      </c>
      <c r="C6337" t="n">
        <v>2024</v>
      </c>
      <c r="D6337" t="inlineStr">
        <is>
          <t>Financial</t>
        </is>
      </c>
      <c r="E6337" t="inlineStr">
        <is>
          <t>Gain from FV Biological Assets</t>
        </is>
      </c>
      <c r="F6337" t="n">
        <v>25.58</v>
      </c>
      <c r="G6337" t="inlineStr">
        <is>
          <t>IDR bn</t>
        </is>
      </c>
      <c r="H6337" t="n">
        <v>78</v>
      </c>
      <c r="I6337" t="inlineStr">
        <is>
          <t>Keuntungan atas perubahan nilai wajar aset biologis - neto 25.583 (50.343)</t>
        </is>
      </c>
      <c r="J6337" t="inlineStr">
        <is>
          <t>High</t>
        </is>
      </c>
      <c r="M6337" t="inlineStr">
        <is>
          <t>LLM</t>
        </is>
      </c>
      <c r="N6337" t="inlineStr">
        <is>
          <t>2026-04-19</t>
        </is>
      </c>
      <c r="O6337" t="inlineStr">
        <is>
          <t>AI</t>
        </is>
      </c>
    </row>
    <row r="6338">
      <c r="A6338" t="inlineStr">
        <is>
          <t>PT Bakrie Sumatera Plantations Tbk</t>
        </is>
      </c>
      <c r="B6338" t="inlineStr">
        <is>
          <t>UNSP_2024_AR.pdf</t>
        </is>
      </c>
      <c r="C6338" t="n">
        <v>2024</v>
      </c>
      <c r="D6338" t="inlineStr">
        <is>
          <t>Financial</t>
        </is>
      </c>
      <c r="E6338" t="inlineStr">
        <is>
          <t>Finance Income</t>
        </is>
      </c>
      <c r="F6338" t="n">
        <v>10.99</v>
      </c>
      <c r="G6338" t="inlineStr">
        <is>
          <t>IDR bn</t>
        </is>
      </c>
      <c r="H6338" t="n">
        <v>78</v>
      </c>
      <c r="I6338" t="inlineStr">
        <is>
          <t>Penghasilan keuangan 10.987 3.553</t>
        </is>
      </c>
      <c r="J6338" t="inlineStr">
        <is>
          <t>High</t>
        </is>
      </c>
      <c r="M6338" t="inlineStr">
        <is>
          <t>LLM</t>
        </is>
      </c>
      <c r="N6338" t="inlineStr">
        <is>
          <t>2026-04-19</t>
        </is>
      </c>
      <c r="O6338" t="inlineStr">
        <is>
          <t>AI</t>
        </is>
      </c>
    </row>
    <row r="6339">
      <c r="A6339" t="inlineStr">
        <is>
          <t>PT Bakrie Sumatera Plantations Tbk</t>
        </is>
      </c>
      <c r="B6339" t="inlineStr">
        <is>
          <t>UNSP_2024_AR.pdf</t>
        </is>
      </c>
      <c r="C6339" t="n">
        <v>2024</v>
      </c>
      <c r="D6339" t="inlineStr">
        <is>
          <t>Financial</t>
        </is>
      </c>
      <c r="E6339" t="inlineStr">
        <is>
          <t>Finance Expenses</t>
        </is>
      </c>
      <c r="F6339" t="n">
        <v>216.51</v>
      </c>
      <c r="G6339" t="inlineStr">
        <is>
          <t>IDR bn</t>
        </is>
      </c>
      <c r="H6339" t="n">
        <v>79</v>
      </c>
      <c r="I6339" t="inlineStr">
        <is>
          <t>Beban keuangan (216.507) (168.188)</t>
        </is>
      </c>
      <c r="J6339" t="inlineStr">
        <is>
          <t>High</t>
        </is>
      </c>
      <c r="M6339" t="inlineStr">
        <is>
          <t>LLM</t>
        </is>
      </c>
      <c r="N6339" t="inlineStr">
        <is>
          <t>2026-04-19</t>
        </is>
      </c>
      <c r="O6339" t="inlineStr">
        <is>
          <t>AI</t>
        </is>
      </c>
    </row>
    <row r="6340">
      <c r="A6340" t="inlineStr">
        <is>
          <t>PT Bakrie Sumatera Plantations Tbk</t>
        </is>
      </c>
      <c r="B6340" t="inlineStr">
        <is>
          <t>UNSP_2024_AR.pdf</t>
        </is>
      </c>
      <c r="C6340" t="n">
        <v>2024</v>
      </c>
      <c r="D6340" t="inlineStr">
        <is>
          <t>Financial</t>
        </is>
      </c>
      <c r="E6340" t="inlineStr">
        <is>
          <t>Miscellaneous - net</t>
        </is>
      </c>
      <c r="F6340" t="n">
        <v>591.74</v>
      </c>
      <c r="G6340" t="inlineStr">
        <is>
          <t>IDR bn</t>
        </is>
      </c>
      <c r="H6340" t="n">
        <v>79</v>
      </c>
      <c r="I6340" t="inlineStr">
        <is>
          <t>Lain-lain - neto 591.738 100.645 - 487,95%</t>
        </is>
      </c>
      <c r="J6340" t="inlineStr">
        <is>
          <t>High</t>
        </is>
      </c>
      <c r="M6340" t="inlineStr">
        <is>
          <t>LLM</t>
        </is>
      </c>
      <c r="N6340" t="inlineStr">
        <is>
          <t>2026-04-19</t>
        </is>
      </c>
      <c r="O6340" t="inlineStr">
        <is>
          <t>AI</t>
        </is>
      </c>
    </row>
    <row r="6341">
      <c r="A6341" t="inlineStr">
        <is>
          <t>PT Bakrie Sumatera Plantations Tbk</t>
        </is>
      </c>
      <c r="B6341" t="inlineStr">
        <is>
          <t>UNSP_2024_AR.pdf</t>
        </is>
      </c>
      <c r="C6341" t="n">
        <v>2024</v>
      </c>
      <c r="D6341" t="inlineStr">
        <is>
          <t>Financial</t>
        </is>
      </c>
      <c r="E6341" t="inlineStr">
        <is>
          <t>Profit Before Tax</t>
        </is>
      </c>
      <c r="F6341" t="n">
        <v>280.26</v>
      </c>
      <c r="G6341" t="inlineStr">
        <is>
          <t>IDR bn</t>
        </is>
      </c>
      <c r="H6341" t="n">
        <v>79</v>
      </c>
      <c r="I6341" t="inlineStr">
        <is>
          <t>Laba sebelum beban pajak penghasilan 280.258 94.995</t>
        </is>
      </c>
      <c r="J6341" t="inlineStr">
        <is>
          <t>High</t>
        </is>
      </c>
      <c r="M6341" t="inlineStr">
        <is>
          <t>LLM</t>
        </is>
      </c>
      <c r="N6341" t="inlineStr">
        <is>
          <t>2026-04-19</t>
        </is>
      </c>
      <c r="O6341" t="inlineStr">
        <is>
          <t>AI</t>
        </is>
      </c>
    </row>
    <row r="6342">
      <c r="A6342" t="inlineStr">
        <is>
          <t>PT Bakrie Sumatera Plantations Tbk</t>
        </is>
      </c>
      <c r="B6342" t="inlineStr">
        <is>
          <t>UNSP_2024_AR.pdf</t>
        </is>
      </c>
      <c r="C6342" t="n">
        <v>2024</v>
      </c>
      <c r="D6342" t="inlineStr">
        <is>
          <t>Financial</t>
        </is>
      </c>
      <c r="E6342" t="inlineStr">
        <is>
          <t>Income Tax Expense - net</t>
        </is>
      </c>
      <c r="F6342" t="n">
        <v>-141.37</v>
      </c>
      <c r="G6342" t="inlineStr">
        <is>
          <t>IDR bn</t>
        </is>
      </c>
      <c r="H6342" t="n">
        <v>79</v>
      </c>
      <c r="I6342" t="inlineStr">
        <is>
          <t>Total beban pajak penghasilan - neto (141.369) (68.858)</t>
        </is>
      </c>
      <c r="J6342" t="inlineStr">
        <is>
          <t>High</t>
        </is>
      </c>
      <c r="M6342" t="inlineStr">
        <is>
          <t>LLM</t>
        </is>
      </c>
      <c r="N6342" t="inlineStr">
        <is>
          <t>2026-04-19</t>
        </is>
      </c>
      <c r="O6342" t="inlineStr">
        <is>
          <t>AI</t>
        </is>
      </c>
    </row>
    <row r="6343">
      <c r="A6343" t="inlineStr">
        <is>
          <t>PT Bakrie Sumatera Plantations Tbk</t>
        </is>
      </c>
      <c r="B6343" t="inlineStr">
        <is>
          <t>UNSP_2024_AR.pdf</t>
        </is>
      </c>
      <c r="C6343" t="n">
        <v>2024</v>
      </c>
      <c r="D6343" t="inlineStr">
        <is>
          <t>Financial</t>
        </is>
      </c>
      <c r="E6343" t="inlineStr">
        <is>
          <t>Net Profit</t>
        </is>
      </c>
      <c r="F6343" t="n">
        <v>138.89</v>
      </c>
      <c r="G6343" t="inlineStr">
        <is>
          <t>IDR bn</t>
        </is>
      </c>
      <c r="H6343" t="n">
        <v>79</v>
      </c>
      <c r="I6343" t="inlineStr">
        <is>
          <t>Laba neto 138.889 26.137 - 431,39%</t>
        </is>
      </c>
      <c r="J6343" t="inlineStr">
        <is>
          <t>High</t>
        </is>
      </c>
      <c r="M6343" t="inlineStr">
        <is>
          <t>LLM</t>
        </is>
      </c>
      <c r="N6343" t="inlineStr">
        <is>
          <t>2026-04-19</t>
        </is>
      </c>
      <c r="O6343" t="inlineStr">
        <is>
          <t>AI</t>
        </is>
      </c>
    </row>
    <row r="6344">
      <c r="A6344" t="inlineStr">
        <is>
          <t>PT Bakrie Sumatera Plantations Tbk</t>
        </is>
      </c>
      <c r="B6344" t="inlineStr">
        <is>
          <t>UNSP_2024_AR.pdf</t>
        </is>
      </c>
      <c r="C6344" t="n">
        <v>2024</v>
      </c>
      <c r="D6344" t="inlineStr">
        <is>
          <t>Financial</t>
        </is>
      </c>
      <c r="E6344" t="inlineStr">
        <is>
          <t>Profit Attributable to Parent</t>
        </is>
      </c>
      <c r="F6344" t="n">
        <v>138.89</v>
      </c>
      <c r="G6344" t="inlineStr">
        <is>
          <t>IDR bn</t>
        </is>
      </c>
      <c r="H6344" t="n">
        <v>6</v>
      </c>
      <c r="I6344" t="inlineStr">
        <is>
          <t>Laba neto yang dapat diatribusikan kepada pemilik entitas induk 138.889 62.691 216.770</t>
        </is>
      </c>
      <c r="J6344" t="inlineStr">
        <is>
          <t>High</t>
        </is>
      </c>
      <c r="M6344" t="inlineStr">
        <is>
          <t>LLM</t>
        </is>
      </c>
      <c r="N6344" t="inlineStr">
        <is>
          <t>2026-04-19</t>
        </is>
      </c>
      <c r="O6344" t="inlineStr">
        <is>
          <t>AI</t>
        </is>
      </c>
    </row>
    <row r="6345">
      <c r="A6345" t="inlineStr">
        <is>
          <t>PT Bakrie Sumatera Plantations Tbk</t>
        </is>
      </c>
      <c r="B6345" t="inlineStr">
        <is>
          <t>UNSP_2024_AR.pdf</t>
        </is>
      </c>
      <c r="C6345" t="n">
        <v>2024</v>
      </c>
      <c r="D6345" t="inlineStr">
        <is>
          <t>Financial</t>
        </is>
      </c>
      <c r="E6345" t="inlineStr">
        <is>
          <t>Total Comprehensive Income</t>
        </is>
      </c>
      <c r="F6345" t="n">
        <v>147.35</v>
      </c>
      <c r="G6345" t="inlineStr">
        <is>
          <t>IDR bn</t>
        </is>
      </c>
      <c r="H6345" t="n">
        <v>79</v>
      </c>
      <c r="I6345" t="inlineStr">
        <is>
          <t>Total penghasilan komprehensif 147.345 22.134 - 565,70%</t>
        </is>
      </c>
      <c r="J6345" t="inlineStr">
        <is>
          <t>High</t>
        </is>
      </c>
      <c r="M6345" t="inlineStr">
        <is>
          <t>LLM</t>
        </is>
      </c>
      <c r="N6345" t="inlineStr">
        <is>
          <t>2026-04-19</t>
        </is>
      </c>
      <c r="O6345" t="inlineStr">
        <is>
          <t>AI</t>
        </is>
      </c>
    </row>
    <row r="6346">
      <c r="A6346" t="inlineStr">
        <is>
          <t>PT Bakrie Sumatera Plantations Tbk</t>
        </is>
      </c>
      <c r="B6346" t="inlineStr">
        <is>
          <t>UNSP_2024_AR.pdf</t>
        </is>
      </c>
      <c r="C6346" t="n">
        <v>2024</v>
      </c>
      <c r="D6346" t="inlineStr">
        <is>
          <t>Financial</t>
        </is>
      </c>
      <c r="E6346" t="inlineStr">
        <is>
          <t>Current Assets</t>
        </is>
      </c>
      <c r="F6346" t="n">
        <v>850.34</v>
      </c>
      <c r="G6346" t="inlineStr">
        <is>
          <t>IDR bn</t>
        </is>
      </c>
      <c r="H6346" t="n">
        <v>78</v>
      </c>
      <c r="I6346" t="inlineStr">
        <is>
          <t>Aset lancar 850.343 781.553</t>
        </is>
      </c>
      <c r="J6346" t="inlineStr">
        <is>
          <t>High</t>
        </is>
      </c>
      <c r="M6346" t="inlineStr">
        <is>
          <t>LLM</t>
        </is>
      </c>
      <c r="N6346" t="inlineStr">
        <is>
          <t>2026-04-19</t>
        </is>
      </c>
      <c r="O6346" t="inlineStr">
        <is>
          <t>AI</t>
        </is>
      </c>
    </row>
    <row r="6347">
      <c r="A6347" t="inlineStr">
        <is>
          <t>PT Bakrie Sumatera Plantations Tbk</t>
        </is>
      </c>
      <c r="B6347" t="inlineStr">
        <is>
          <t>UNSP_2024_AR.pdf</t>
        </is>
      </c>
      <c r="C6347" t="n">
        <v>2024</v>
      </c>
      <c r="D6347" t="inlineStr">
        <is>
          <t>Financial</t>
        </is>
      </c>
      <c r="E6347" t="inlineStr">
        <is>
          <t>Non-Current Assets</t>
        </is>
      </c>
      <c r="F6347" t="n">
        <v>2363.74</v>
      </c>
      <c r="G6347" t="inlineStr">
        <is>
          <t>IDR bn</t>
        </is>
      </c>
      <c r="H6347" t="n">
        <v>78</v>
      </c>
      <c r="I6347" t="inlineStr">
        <is>
          <t>Aset tidak lancar 2.363.737 3.778.172 (-37,44%)</t>
        </is>
      </c>
      <c r="J6347" t="inlineStr">
        <is>
          <t>High</t>
        </is>
      </c>
      <c r="M6347" t="inlineStr">
        <is>
          <t>LLM</t>
        </is>
      </c>
      <c r="N6347" t="inlineStr">
        <is>
          <t>2026-04-19</t>
        </is>
      </c>
      <c r="O6347" t="inlineStr">
        <is>
          <t>AI</t>
        </is>
      </c>
    </row>
    <row r="6348">
      <c r="A6348" t="inlineStr">
        <is>
          <t>PT Bakrie Sumatera Plantations Tbk</t>
        </is>
      </c>
      <c r="B6348" t="inlineStr">
        <is>
          <t>UNSP_2024_AR.pdf</t>
        </is>
      </c>
      <c r="C6348" t="n">
        <v>2024</v>
      </c>
      <c r="D6348" t="inlineStr">
        <is>
          <t>Financial</t>
        </is>
      </c>
      <c r="E6348" t="inlineStr">
        <is>
          <t>Total Assets</t>
        </is>
      </c>
      <c r="F6348" t="n">
        <v>3214.08</v>
      </c>
      <c r="G6348" t="inlineStr">
        <is>
          <t>IDR bn</t>
        </is>
      </c>
      <c r="H6348" t="n">
        <v>78</v>
      </c>
      <c r="I6348" t="inlineStr">
        <is>
          <t>Total aset 3.214.080 4.559.725 (-29,51%)</t>
        </is>
      </c>
      <c r="J6348" t="inlineStr">
        <is>
          <t>High</t>
        </is>
      </c>
      <c r="M6348" t="inlineStr">
        <is>
          <t>LLM</t>
        </is>
      </c>
      <c r="N6348" t="inlineStr">
        <is>
          <t>2026-04-19</t>
        </is>
      </c>
      <c r="O6348" t="inlineStr">
        <is>
          <t>AI</t>
        </is>
      </c>
    </row>
    <row r="6349">
      <c r="A6349" t="inlineStr">
        <is>
          <t>PT Bakrie Sumatera Plantations Tbk</t>
        </is>
      </c>
      <c r="B6349" t="inlineStr">
        <is>
          <t>UNSP_2024_AR.pdf</t>
        </is>
      </c>
      <c r="C6349" t="n">
        <v>2024</v>
      </c>
      <c r="D6349" t="inlineStr">
        <is>
          <t>Financial</t>
        </is>
      </c>
      <c r="E6349" t="inlineStr">
        <is>
          <t>Current Liabilities</t>
        </is>
      </c>
      <c r="F6349" t="n">
        <v>8145.22</v>
      </c>
      <c r="G6349" t="inlineStr">
        <is>
          <t>IDR bn</t>
        </is>
      </c>
      <c r="H6349" t="n">
        <v>78</v>
      </c>
      <c r="I6349" t="inlineStr">
        <is>
          <t>Liabilitas jangka pendek 8.145.219 7.694.151 - 5,86%</t>
        </is>
      </c>
      <c r="J6349" t="inlineStr">
        <is>
          <t>High</t>
        </is>
      </c>
      <c r="M6349" t="inlineStr">
        <is>
          <t>LLM</t>
        </is>
      </c>
      <c r="N6349" t="inlineStr">
        <is>
          <t>2026-04-19</t>
        </is>
      </c>
      <c r="O6349" t="inlineStr">
        <is>
          <t>AI</t>
        </is>
      </c>
    </row>
    <row r="6350">
      <c r="A6350" t="inlineStr">
        <is>
          <t>PT Bakrie Sumatera Plantations Tbk</t>
        </is>
      </c>
      <c r="B6350" t="inlineStr">
        <is>
          <t>UNSP_2024_AR.pdf</t>
        </is>
      </c>
      <c r="C6350" t="n">
        <v>2024</v>
      </c>
      <c r="D6350" t="inlineStr">
        <is>
          <t>Financial</t>
        </is>
      </c>
      <c r="E6350" t="inlineStr">
        <is>
          <t>Non-Current Liabilities</t>
        </is>
      </c>
      <c r="F6350" t="n">
        <v>345.35</v>
      </c>
      <c r="G6350" t="inlineStr">
        <is>
          <t>IDR bn</t>
        </is>
      </c>
      <c r="H6350" t="n">
        <v>78</v>
      </c>
      <c r="I6350" t="inlineStr">
        <is>
          <t>Liabilitas jangka panjang 345.348 2.798.444 (-87,66%)</t>
        </is>
      </c>
      <c r="J6350" t="inlineStr">
        <is>
          <t>High</t>
        </is>
      </c>
      <c r="M6350" t="inlineStr">
        <is>
          <t>LLM</t>
        </is>
      </c>
      <c r="N6350" t="inlineStr">
        <is>
          <t>2026-04-19</t>
        </is>
      </c>
      <c r="O6350" t="inlineStr">
        <is>
          <t>AI</t>
        </is>
      </c>
    </row>
    <row r="6351">
      <c r="A6351" t="inlineStr">
        <is>
          <t>PT Bakrie Sumatera Plantations Tbk</t>
        </is>
      </c>
      <c r="B6351" t="inlineStr">
        <is>
          <t>UNSP_2024_AR.pdf</t>
        </is>
      </c>
      <c r="C6351" t="n">
        <v>2024</v>
      </c>
      <c r="D6351" t="inlineStr">
        <is>
          <t>Financial</t>
        </is>
      </c>
      <c r="E6351" t="inlineStr">
        <is>
          <t>Total Liabilities</t>
        </is>
      </c>
      <c r="F6351" t="n">
        <v>8490.57</v>
      </c>
      <c r="G6351" t="inlineStr">
        <is>
          <t>IDR bn</t>
        </is>
      </c>
      <c r="H6351" t="n">
        <v>78</v>
      </c>
      <c r="I6351" t="inlineStr">
        <is>
          <t>Total liabilitas 8.490.567 10.492.595 (-19,08%)</t>
        </is>
      </c>
      <c r="J6351" t="inlineStr">
        <is>
          <t>High</t>
        </is>
      </c>
      <c r="M6351" t="inlineStr">
        <is>
          <t>LLM</t>
        </is>
      </c>
      <c r="N6351" t="inlineStr">
        <is>
          <t>2026-04-19</t>
        </is>
      </c>
      <c r="O6351" t="inlineStr">
        <is>
          <t>AI</t>
        </is>
      </c>
    </row>
    <row r="6352">
      <c r="A6352" t="inlineStr">
        <is>
          <t>PT Bakrie Sumatera Plantations Tbk</t>
        </is>
      </c>
      <c r="B6352" t="inlineStr">
        <is>
          <t>UNSP_2024_AR.pdf</t>
        </is>
      </c>
      <c r="C6352" t="n">
        <v>2024</v>
      </c>
      <c r="D6352" t="inlineStr">
        <is>
          <t>Financial</t>
        </is>
      </c>
      <c r="E6352" t="inlineStr">
        <is>
          <t>Capital Deficiency - Net</t>
        </is>
      </c>
      <c r="F6352" t="n">
        <v>-5276.49</v>
      </c>
      <c r="G6352" t="inlineStr">
        <is>
          <t>IDR bn</t>
        </is>
      </c>
      <c r="H6352" t="n">
        <v>78</v>
      </c>
      <c r="I6352" t="inlineStr">
        <is>
          <t>Defisiensi modal - neto (5.276.487) (5.932.870) (-11,06% improvement)</t>
        </is>
      </c>
      <c r="J6352" t="inlineStr">
        <is>
          <t>High</t>
        </is>
      </c>
      <c r="M6352" t="inlineStr">
        <is>
          <t>LLM</t>
        </is>
      </c>
      <c r="N6352" t="inlineStr">
        <is>
          <t>2026-04-19</t>
        </is>
      </c>
      <c r="O6352" t="inlineStr">
        <is>
          <t>AI</t>
        </is>
      </c>
    </row>
    <row r="6353">
      <c r="A6353" t="inlineStr">
        <is>
          <t>PT Bakrie Sumatera Plantations Tbk</t>
        </is>
      </c>
      <c r="B6353" t="inlineStr">
        <is>
          <t>UNSP_2024_AR.pdf</t>
        </is>
      </c>
      <c r="C6353" t="n">
        <v>2024</v>
      </c>
      <c r="D6353" t="inlineStr">
        <is>
          <t>Financial</t>
        </is>
      </c>
      <c r="E6353" t="inlineStr">
        <is>
          <t>Net Working Capital</t>
        </is>
      </c>
      <c r="F6353" t="n">
        <v>-7294.88</v>
      </c>
      <c r="G6353" t="inlineStr">
        <is>
          <t>IDR bn</t>
        </is>
      </c>
      <c r="H6353" t="n">
        <v>7</v>
      </c>
      <c r="I6353" t="inlineStr">
        <is>
          <t>Modal kerja neto (7.294.876) (6.912.598)</t>
        </is>
      </c>
      <c r="J6353" t="inlineStr">
        <is>
          <t>High</t>
        </is>
      </c>
      <c r="M6353" t="inlineStr">
        <is>
          <t>LLM</t>
        </is>
      </c>
      <c r="N6353" t="inlineStr">
        <is>
          <t>2026-04-19</t>
        </is>
      </c>
      <c r="O6353" t="inlineStr">
        <is>
          <t>AI</t>
        </is>
      </c>
    </row>
    <row r="6354">
      <c r="A6354" t="inlineStr">
        <is>
          <t>PT Bakrie Sumatera Plantations Tbk</t>
        </is>
      </c>
      <c r="B6354" t="inlineStr">
        <is>
          <t>UNSP_2024_AR.pdf</t>
        </is>
      </c>
      <c r="C6354" t="n">
        <v>2024</v>
      </c>
      <c r="D6354" t="inlineStr">
        <is>
          <t>Financial</t>
        </is>
      </c>
      <c r="E6354" t="inlineStr">
        <is>
          <t>Cash &amp; Cash Equivalents (end year)</t>
        </is>
      </c>
      <c r="F6354" t="n">
        <v>133.87</v>
      </c>
      <c r="G6354" t="inlineStr">
        <is>
          <t>IDR bn</t>
        </is>
      </c>
      <c r="H6354" t="n">
        <v>102</v>
      </c>
      <c r="I6354" t="inlineStr">
        <is>
          <t>Kas dan setara kas 133.874 123.108 - 8,75%</t>
        </is>
      </c>
      <c r="J6354" t="inlineStr">
        <is>
          <t>High</t>
        </is>
      </c>
      <c r="M6354" t="inlineStr">
        <is>
          <t>LLM</t>
        </is>
      </c>
      <c r="N6354" t="inlineStr">
        <is>
          <t>2026-04-19</t>
        </is>
      </c>
      <c r="O6354" t="inlineStr">
        <is>
          <t>AI</t>
        </is>
      </c>
    </row>
    <row r="6355">
      <c r="A6355" t="inlineStr">
        <is>
          <t>PT Bakrie Sumatera Plantations Tbk</t>
        </is>
      </c>
      <c r="B6355" t="inlineStr">
        <is>
          <t>UNSP_2024_AR.pdf</t>
        </is>
      </c>
      <c r="C6355" t="n">
        <v>2024</v>
      </c>
      <c r="D6355" t="inlineStr">
        <is>
          <t>Financial</t>
        </is>
      </c>
      <c r="E6355" t="inlineStr">
        <is>
          <t>Trade Receivables Third Parties - Net</t>
        </is>
      </c>
      <c r="F6355" t="n">
        <v>51.72</v>
      </c>
      <c r="G6355" t="inlineStr">
        <is>
          <t>IDR bn</t>
        </is>
      </c>
      <c r="H6355" t="n">
        <v>79</v>
      </c>
      <c r="I6355" t="inlineStr">
        <is>
          <t>Piutang usaha Pihak ketiga - neto 51.718 20.029</t>
        </is>
      </c>
      <c r="J6355" t="inlineStr">
        <is>
          <t>High</t>
        </is>
      </c>
      <c r="M6355" t="inlineStr">
        <is>
          <t>LLM</t>
        </is>
      </c>
      <c r="N6355" t="inlineStr">
        <is>
          <t>2026-04-19</t>
        </is>
      </c>
      <c r="O6355" t="inlineStr">
        <is>
          <t>AI</t>
        </is>
      </c>
    </row>
    <row r="6356">
      <c r="A6356" t="inlineStr">
        <is>
          <t>PT Bakrie Sumatera Plantations Tbk</t>
        </is>
      </c>
      <c r="B6356" t="inlineStr">
        <is>
          <t>UNSP_2024_AR.pdf</t>
        </is>
      </c>
      <c r="C6356" t="n">
        <v>2024</v>
      </c>
      <c r="D6356" t="inlineStr">
        <is>
          <t>Financial</t>
        </is>
      </c>
      <c r="E6356" t="inlineStr">
        <is>
          <t>Inventories - Net</t>
        </is>
      </c>
      <c r="F6356" t="n">
        <v>132.23</v>
      </c>
      <c r="G6356" t="inlineStr">
        <is>
          <t>IDR bn</t>
        </is>
      </c>
      <c r="H6356" t="n">
        <v>79</v>
      </c>
      <c r="I6356" t="inlineStr">
        <is>
          <t>Persediaan - neto 132.227 130.493</t>
        </is>
      </c>
      <c r="J6356" t="inlineStr">
        <is>
          <t>High</t>
        </is>
      </c>
      <c r="M6356" t="inlineStr">
        <is>
          <t>LLM</t>
        </is>
      </c>
      <c r="N6356" t="inlineStr">
        <is>
          <t>2026-04-19</t>
        </is>
      </c>
      <c r="O6356" t="inlineStr">
        <is>
          <t>AI</t>
        </is>
      </c>
    </row>
    <row r="6357">
      <c r="A6357" t="inlineStr">
        <is>
          <t>PT Bakrie Sumatera Plantations Tbk</t>
        </is>
      </c>
      <c r="B6357" t="inlineStr">
        <is>
          <t>UNSP_2024_AR.pdf</t>
        </is>
      </c>
      <c r="C6357" t="n">
        <v>2024</v>
      </c>
      <c r="D6357" t="inlineStr">
        <is>
          <t>Financial</t>
        </is>
      </c>
      <c r="E6357" t="inlineStr">
        <is>
          <t>Biological Assets (current)</t>
        </is>
      </c>
      <c r="F6357" t="n">
        <v>156.58</v>
      </c>
      <c r="G6357" t="inlineStr">
        <is>
          <t>IDR bn</t>
        </is>
      </c>
      <c r="H6357" t="n">
        <v>79</v>
      </c>
      <c r="I6357" t="inlineStr">
        <is>
          <t>Aset biologis 156.575 130.992</t>
        </is>
      </c>
      <c r="J6357" t="inlineStr">
        <is>
          <t>High</t>
        </is>
      </c>
      <c r="M6357" t="inlineStr">
        <is>
          <t>LLM</t>
        </is>
      </c>
      <c r="N6357" t="inlineStr">
        <is>
          <t>2026-04-19</t>
        </is>
      </c>
      <c r="O6357" t="inlineStr">
        <is>
          <t>AI</t>
        </is>
      </c>
    </row>
    <row r="6358">
      <c r="A6358" t="inlineStr">
        <is>
          <t>PT Bakrie Sumatera Plantations Tbk</t>
        </is>
      </c>
      <c r="B6358" t="inlineStr">
        <is>
          <t>UNSP_2024_AR.pdf</t>
        </is>
      </c>
      <c r="C6358" t="n">
        <v>2024</v>
      </c>
      <c r="D6358" t="inlineStr">
        <is>
          <t>Financial</t>
        </is>
      </c>
      <c r="E6358" t="inlineStr">
        <is>
          <t>Long-term Loans incl. Current Maturities</t>
        </is>
      </c>
      <c r="F6358" t="n">
        <v>4666.92</v>
      </c>
      <c r="G6358" t="inlineStr">
        <is>
          <t>IDR bn</t>
        </is>
      </c>
      <c r="H6358" t="n">
        <v>105</v>
      </c>
      <c r="I6358" t="inlineStr">
        <is>
          <t>Perusahaan Anda memiliki pinjaman jangka panjang, termasuk bagian yang jatuh tempo dalam satu tahun sebesar Rp4.666,92 miliar pada tahun 2024</t>
        </is>
      </c>
      <c r="J6358" t="inlineStr">
        <is>
          <t>High</t>
        </is>
      </c>
      <c r="M6358" t="inlineStr">
        <is>
          <t>LLM</t>
        </is>
      </c>
      <c r="N6358" t="inlineStr">
        <is>
          <t>2026-04-19</t>
        </is>
      </c>
      <c r="O6358" t="inlineStr">
        <is>
          <t>AI</t>
        </is>
      </c>
    </row>
    <row r="6359">
      <c r="A6359" t="inlineStr">
        <is>
          <t>PT Bakrie Sumatera Plantations Tbk</t>
        </is>
      </c>
      <c r="B6359" t="inlineStr">
        <is>
          <t>UNSP_2024_AR.pdf</t>
        </is>
      </c>
      <c r="C6359" t="n">
        <v>2024</v>
      </c>
      <c r="D6359" t="inlineStr">
        <is>
          <t>Financial</t>
        </is>
      </c>
      <c r="E6359" t="inlineStr">
        <is>
          <t>Credit Suisse AG Singapore Loan</t>
        </is>
      </c>
      <c r="F6359" t="n">
        <v>3371.95</v>
      </c>
      <c r="G6359" t="inlineStr">
        <is>
          <t>IDR bn</t>
        </is>
      </c>
      <c r="H6359" t="n">
        <v>105</v>
      </c>
      <c r="I6359" t="inlineStr">
        <is>
          <t>pinjaman dari Credit Suisse AG - Cabang Singapura sejumlah Rp3.371,95 miliar</t>
        </is>
      </c>
      <c r="J6359" t="inlineStr">
        <is>
          <t>High</t>
        </is>
      </c>
      <c r="M6359" t="inlineStr">
        <is>
          <t>LLM</t>
        </is>
      </c>
      <c r="N6359" t="inlineStr">
        <is>
          <t>2026-04-19</t>
        </is>
      </c>
      <c r="O6359" t="inlineStr">
        <is>
          <t>AI</t>
        </is>
      </c>
    </row>
    <row r="6360">
      <c r="A6360" t="inlineStr">
        <is>
          <t>PT Bakrie Sumatera Plantations Tbk</t>
        </is>
      </c>
      <c r="B6360" t="inlineStr">
        <is>
          <t>UNSP_2024_AR.pdf</t>
        </is>
      </c>
      <c r="C6360" t="n">
        <v>2024</v>
      </c>
      <c r="D6360" t="inlineStr">
        <is>
          <t>Financial</t>
        </is>
      </c>
      <c r="E6360" t="inlineStr">
        <is>
          <t>Guaranteed Equity-Linked Redeemable Notes</t>
        </is>
      </c>
      <c r="F6360" t="n">
        <v>1284.22</v>
      </c>
      <c r="G6360" t="inlineStr">
        <is>
          <t>IDR bn</t>
        </is>
      </c>
      <c r="H6360" t="n">
        <v>105</v>
      </c>
      <c r="I6360" t="inlineStr">
        <is>
          <t>wesel bayar yang dijamin pelunasannya terhubung dengan harga saham sejumlah Rp1.284,22 miliar</t>
        </is>
      </c>
      <c r="J6360" t="inlineStr">
        <is>
          <t>High</t>
        </is>
      </c>
      <c r="M6360" t="inlineStr">
        <is>
          <t>LLM</t>
        </is>
      </c>
      <c r="N6360" t="inlineStr">
        <is>
          <t>2026-04-19</t>
        </is>
      </c>
      <c r="O6360" t="inlineStr">
        <is>
          <t>AI</t>
        </is>
      </c>
    </row>
    <row r="6361">
      <c r="A6361" t="inlineStr">
        <is>
          <t>PT Bakrie Sumatera Plantations Tbk</t>
        </is>
      </c>
      <c r="B6361" t="inlineStr">
        <is>
          <t>UNSP_2024_AR.pdf</t>
        </is>
      </c>
      <c r="C6361" t="n">
        <v>2024</v>
      </c>
      <c r="D6361" t="inlineStr">
        <is>
          <t>Financial</t>
        </is>
      </c>
      <c r="E6361" t="inlineStr">
        <is>
          <t>CFO (Cash from Operations)</t>
        </is>
      </c>
      <c r="F6361" t="n">
        <v>393.65</v>
      </c>
      <c r="G6361" t="inlineStr">
        <is>
          <t>IDR bn</t>
        </is>
      </c>
      <c r="H6361" t="n">
        <v>102</v>
      </c>
      <c r="I6361" t="inlineStr">
        <is>
          <t>Arus kas neto diperoleh dari aktivitas operasi 393.646 (2023: -50.287); naik Rp443,93 miliar atau 882,80%</t>
        </is>
      </c>
      <c r="J6361" t="inlineStr">
        <is>
          <t>High</t>
        </is>
      </c>
      <c r="M6361" t="inlineStr">
        <is>
          <t>LLM</t>
        </is>
      </c>
      <c r="N6361" t="inlineStr">
        <is>
          <t>2026-04-19</t>
        </is>
      </c>
      <c r="O6361" t="inlineStr">
        <is>
          <t>AI</t>
        </is>
      </c>
    </row>
    <row r="6362">
      <c r="A6362" t="inlineStr">
        <is>
          <t>PT Bakrie Sumatera Plantations Tbk</t>
        </is>
      </c>
      <c r="B6362" t="inlineStr">
        <is>
          <t>UNSP_2024_AR.pdf</t>
        </is>
      </c>
      <c r="C6362" t="n">
        <v>2024</v>
      </c>
      <c r="D6362" t="inlineStr">
        <is>
          <t>Financial</t>
        </is>
      </c>
      <c r="E6362" t="inlineStr">
        <is>
          <t>CFI (Investing Activities)</t>
        </is>
      </c>
      <c r="F6362" t="n">
        <v>-348.38</v>
      </c>
      <c r="G6362" t="inlineStr">
        <is>
          <t>IDR bn</t>
        </is>
      </c>
      <c r="H6362" t="n">
        <v>102</v>
      </c>
      <c r="I6362" t="inlineStr">
        <is>
          <t>Arus kas neto digunakan untuk aktivitas investasi (348.375)</t>
        </is>
      </c>
      <c r="J6362" t="inlineStr">
        <is>
          <t>High</t>
        </is>
      </c>
      <c r="M6362" t="inlineStr">
        <is>
          <t>LLM</t>
        </is>
      </c>
      <c r="N6362" t="inlineStr">
        <is>
          <t>2026-04-19</t>
        </is>
      </c>
      <c r="O6362" t="inlineStr">
        <is>
          <t>AI</t>
        </is>
      </c>
    </row>
    <row r="6363">
      <c r="A6363" t="inlineStr">
        <is>
          <t>PT Bakrie Sumatera Plantations Tbk</t>
        </is>
      </c>
      <c r="B6363" t="inlineStr">
        <is>
          <t>UNSP_2024_AR.pdf</t>
        </is>
      </c>
      <c r="C6363" t="n">
        <v>2024</v>
      </c>
      <c r="D6363" t="inlineStr">
        <is>
          <t>Financial</t>
        </is>
      </c>
      <c r="E6363" t="inlineStr">
        <is>
          <t>CFF (Financing Activities)</t>
        </is>
      </c>
      <c r="F6363" t="n">
        <v>-25.22</v>
      </c>
      <c r="G6363" t="inlineStr">
        <is>
          <t>IDR bn</t>
        </is>
      </c>
      <c r="H6363" t="n">
        <v>102</v>
      </c>
      <c r="I6363" t="inlineStr">
        <is>
          <t>Arus kas neto ... aktivitas pendanaan (25.218) 88.144</t>
        </is>
      </c>
      <c r="J6363" t="inlineStr">
        <is>
          <t>High</t>
        </is>
      </c>
      <c r="M6363" t="inlineStr">
        <is>
          <t>LLM</t>
        </is>
      </c>
      <c r="N6363" t="inlineStr">
        <is>
          <t>2026-04-19</t>
        </is>
      </c>
      <c r="O6363" t="inlineStr">
        <is>
          <t>AI</t>
        </is>
      </c>
    </row>
    <row r="6364">
      <c r="A6364" t="inlineStr">
        <is>
          <t>PT Bakrie Sumatera Plantations Tbk</t>
        </is>
      </c>
      <c r="B6364" t="inlineStr">
        <is>
          <t>UNSP_2024_AR.pdf</t>
        </is>
      </c>
      <c r="C6364" t="n">
        <v>2024</v>
      </c>
      <c r="D6364" t="inlineStr">
        <is>
          <t>Financial</t>
        </is>
      </c>
      <c r="E6364" t="inlineStr">
        <is>
          <t>Capex (Fixed Asset Additions)</t>
        </is>
      </c>
      <c r="F6364" t="n">
        <v>291.48</v>
      </c>
      <c r="G6364" t="inlineStr">
        <is>
          <t>IDR bn</t>
        </is>
      </c>
      <c r="H6364" t="n">
        <v>106</v>
      </c>
      <c r="I6364" t="inlineStr">
        <is>
          <t>Perusahaan Anda melakukan penambahan aset tetap sebesar Rp291,48 miliar</t>
        </is>
      </c>
      <c r="J6364" t="inlineStr">
        <is>
          <t>High</t>
        </is>
      </c>
      <c r="M6364" t="inlineStr">
        <is>
          <t>LLM</t>
        </is>
      </c>
      <c r="N6364" t="inlineStr">
        <is>
          <t>2026-04-19</t>
        </is>
      </c>
      <c r="O6364" t="inlineStr">
        <is>
          <t>AI</t>
        </is>
      </c>
    </row>
    <row r="6365">
      <c r="A6365" t="inlineStr">
        <is>
          <t>PT Bakrie Sumatera Plantations Tbk</t>
        </is>
      </c>
      <c r="B6365" t="inlineStr">
        <is>
          <t>UNSP_2024_AR.pdf</t>
        </is>
      </c>
      <c r="C6365" t="n">
        <v>2024</v>
      </c>
      <c r="D6365" t="inlineStr">
        <is>
          <t>Financial</t>
        </is>
      </c>
      <c r="E6365" t="inlineStr">
        <is>
          <t>Capex Breakdown - Bearer Plants</t>
        </is>
      </c>
      <c r="F6365" t="n">
        <v>197.43</v>
      </c>
      <c r="G6365" t="inlineStr">
        <is>
          <t>IDR bn</t>
        </is>
      </c>
      <c r="H6365" t="n">
        <v>106</v>
      </c>
      <c r="I6365" t="inlineStr">
        <is>
          <t>tanaman produktif sebesar Rp197,43 miliar</t>
        </is>
      </c>
      <c r="J6365" t="inlineStr">
        <is>
          <t>High</t>
        </is>
      </c>
      <c r="M6365" t="inlineStr">
        <is>
          <t>LLM</t>
        </is>
      </c>
      <c r="N6365" t="inlineStr">
        <is>
          <t>2026-04-19</t>
        </is>
      </c>
      <c r="O6365" t="inlineStr">
        <is>
          <t>AI</t>
        </is>
      </c>
    </row>
    <row r="6366">
      <c r="A6366" t="inlineStr">
        <is>
          <t>PT Bakrie Sumatera Plantations Tbk</t>
        </is>
      </c>
      <c r="B6366" t="inlineStr">
        <is>
          <t>UNSP_2024_AR.pdf</t>
        </is>
      </c>
      <c r="C6366" t="n">
        <v>2024</v>
      </c>
      <c r="D6366" t="inlineStr">
        <is>
          <t>Financial</t>
        </is>
      </c>
      <c r="E6366" t="inlineStr">
        <is>
          <t>Capex Breakdown - Machinery</t>
        </is>
      </c>
      <c r="F6366" t="n">
        <v>48.72</v>
      </c>
      <c r="G6366" t="inlineStr">
        <is>
          <t>IDR bn</t>
        </is>
      </c>
      <c r="H6366" t="n">
        <v>107</v>
      </c>
      <c r="I6366" t="inlineStr">
        <is>
          <t>Mesin dan peralatan ... 48.720</t>
        </is>
      </c>
      <c r="J6366" t="inlineStr">
        <is>
          <t>High</t>
        </is>
      </c>
      <c r="M6366" t="inlineStr">
        <is>
          <t>LLM</t>
        </is>
      </c>
      <c r="N6366" t="inlineStr">
        <is>
          <t>2026-04-19</t>
        </is>
      </c>
      <c r="O6366" t="inlineStr">
        <is>
          <t>AI</t>
        </is>
      </c>
    </row>
    <row r="6367">
      <c r="A6367" t="inlineStr">
        <is>
          <t>PT Bakrie Sumatera Plantations Tbk</t>
        </is>
      </c>
      <c r="B6367" t="inlineStr">
        <is>
          <t>UNSP_2024_AR.pdf</t>
        </is>
      </c>
      <c r="C6367" t="n">
        <v>2024</v>
      </c>
      <c r="D6367" t="inlineStr">
        <is>
          <t>Financial</t>
        </is>
      </c>
      <c r="E6367" t="inlineStr">
        <is>
          <t>EPS Basic</t>
        </is>
      </c>
      <c r="F6367" t="n">
        <v>55.56</v>
      </c>
      <c r="G6367" t="inlineStr">
        <is>
          <t>Rp/share</t>
        </is>
      </c>
      <c r="H6367" t="n">
        <v>7</v>
      </c>
      <c r="I6367" t="inlineStr">
        <is>
          <t>Laba (rugi) neto per saham dasar (Rp) 55,56 (2024)</t>
        </is>
      </c>
      <c r="J6367" t="inlineStr">
        <is>
          <t>High</t>
        </is>
      </c>
      <c r="M6367" t="inlineStr">
        <is>
          <t>LLM</t>
        </is>
      </c>
      <c r="N6367" t="inlineStr">
        <is>
          <t>2026-04-19</t>
        </is>
      </c>
      <c r="O6367" t="inlineStr">
        <is>
          <t>AI</t>
        </is>
      </c>
    </row>
    <row r="6368">
      <c r="A6368" t="inlineStr">
        <is>
          <t>PT Bakrie Sumatera Plantations Tbk</t>
        </is>
      </c>
      <c r="B6368" t="inlineStr">
        <is>
          <t>UNSP_2024_AR.pdf</t>
        </is>
      </c>
      <c r="C6368" t="n">
        <v>2024</v>
      </c>
      <c r="D6368" t="inlineStr">
        <is>
          <t>Financial</t>
        </is>
      </c>
      <c r="E6368" t="inlineStr">
        <is>
          <t>Series A Shares Outstanding</t>
        </is>
      </c>
      <c r="F6368" t="n">
        <v>1372047138</v>
      </c>
      <c r="G6368" t="inlineStr">
        <is>
          <t>shares</t>
        </is>
      </c>
      <c r="H6368" t="n">
        <v>7</v>
      </c>
      <c r="I6368" t="inlineStr">
        <is>
          <t>Saham Seri A 1.372.047.138</t>
        </is>
      </c>
      <c r="J6368" t="inlineStr">
        <is>
          <t>High</t>
        </is>
      </c>
      <c r="M6368" t="inlineStr">
        <is>
          <t>LLM</t>
        </is>
      </c>
      <c r="N6368" t="inlineStr">
        <is>
          <t>2026-04-19</t>
        </is>
      </c>
      <c r="O6368" t="inlineStr">
        <is>
          <t>AI</t>
        </is>
      </c>
    </row>
    <row r="6369">
      <c r="A6369" t="inlineStr">
        <is>
          <t>PT Bakrie Sumatera Plantations Tbk</t>
        </is>
      </c>
      <c r="B6369" t="inlineStr">
        <is>
          <t>UNSP_2024_AR.pdf</t>
        </is>
      </c>
      <c r="C6369" t="n">
        <v>2024</v>
      </c>
      <c r="D6369" t="inlineStr">
        <is>
          <t>Financial</t>
        </is>
      </c>
      <c r="E6369" t="inlineStr">
        <is>
          <t>Series B Shares Outstanding</t>
        </is>
      </c>
      <c r="F6369" t="n">
        <v>1128115206</v>
      </c>
      <c r="G6369" t="inlineStr">
        <is>
          <t>shares</t>
        </is>
      </c>
      <c r="H6369" t="n">
        <v>7</v>
      </c>
      <c r="I6369" t="inlineStr">
        <is>
          <t>Saham Seri B 1.128.115.206</t>
        </is>
      </c>
      <c r="J6369" t="inlineStr">
        <is>
          <t>High</t>
        </is>
      </c>
      <c r="M6369" t="inlineStr">
        <is>
          <t>LLM</t>
        </is>
      </c>
      <c r="N6369" t="inlineStr">
        <is>
          <t>2026-04-19</t>
        </is>
      </c>
      <c r="O6369" t="inlineStr">
        <is>
          <t>AI</t>
        </is>
      </c>
    </row>
    <row r="6370">
      <c r="A6370" t="inlineStr">
        <is>
          <t>PT Bakrie Sumatera Plantations Tbk</t>
        </is>
      </c>
      <c r="B6370" t="inlineStr">
        <is>
          <t>UNSP_2024_AR.pdf</t>
        </is>
      </c>
      <c r="C6370" t="n">
        <v>2024</v>
      </c>
      <c r="D6370" t="inlineStr">
        <is>
          <t>Financial</t>
        </is>
      </c>
      <c r="E6370" t="inlineStr">
        <is>
          <t>Market Capitalization (end 2024)</t>
        </is>
      </c>
      <c r="F6370" t="n">
        <v>242515747368</v>
      </c>
      <c r="G6370" t="inlineStr">
        <is>
          <t>Rp full</t>
        </is>
      </c>
      <c r="H6370" t="n">
        <v>7</v>
      </c>
      <c r="I6370" t="inlineStr">
        <is>
          <t>Nilai kapitalisasi pasar (Rp penuh) 242.515.747.368 (2024)</t>
        </is>
      </c>
      <c r="J6370" t="inlineStr">
        <is>
          <t>High</t>
        </is>
      </c>
      <c r="M6370" t="inlineStr">
        <is>
          <t>LLM</t>
        </is>
      </c>
      <c r="N6370" t="inlineStr">
        <is>
          <t>2026-04-19</t>
        </is>
      </c>
      <c r="O6370" t="inlineStr">
        <is>
          <t>AI</t>
        </is>
      </c>
    </row>
    <row r="6371">
      <c r="A6371" t="inlineStr">
        <is>
          <t>PT Bakrie Sumatera Plantations Tbk</t>
        </is>
      </c>
      <c r="B6371" t="inlineStr">
        <is>
          <t>UNSP_2024_AR.pdf</t>
        </is>
      </c>
      <c r="C6371" t="n">
        <v>2024</v>
      </c>
      <c r="D6371" t="inlineStr">
        <is>
          <t>Financial</t>
        </is>
      </c>
      <c r="E6371" t="inlineStr">
        <is>
          <t>Closing Share Price 2024</t>
        </is>
      </c>
      <c r="F6371" t="n">
        <v>97</v>
      </c>
      <c r="G6371" t="inlineStr">
        <is>
          <t>Rp/share</t>
        </is>
      </c>
      <c r="H6371" t="n">
        <v>8</v>
      </c>
      <c r="I6371" t="inlineStr">
        <is>
          <t>Harga pada akhir tahun 97 113</t>
        </is>
      </c>
      <c r="J6371" t="inlineStr">
        <is>
          <t>High</t>
        </is>
      </c>
      <c r="M6371" t="inlineStr">
        <is>
          <t>LLM</t>
        </is>
      </c>
      <c r="N6371" t="inlineStr">
        <is>
          <t>2026-04-19</t>
        </is>
      </c>
      <c r="O6371" t="inlineStr">
        <is>
          <t>AI</t>
        </is>
      </c>
    </row>
    <row r="6372">
      <c r="A6372" t="inlineStr">
        <is>
          <t>PT Bakrie Sumatera Plantations Tbk</t>
        </is>
      </c>
      <c r="B6372" t="inlineStr">
        <is>
          <t>UNSP_2024_AR.pdf</t>
        </is>
      </c>
      <c r="C6372" t="n">
        <v>2024</v>
      </c>
      <c r="D6372" t="inlineStr">
        <is>
          <t>Financial</t>
        </is>
      </c>
      <c r="E6372" t="inlineStr">
        <is>
          <t>Dividend Per Share</t>
        </is>
      </c>
      <c r="F6372" t="n">
        <v>0</v>
      </c>
      <c r="G6372" t="inlineStr">
        <is>
          <t>Rp/share</t>
        </is>
      </c>
      <c r="H6372" t="n">
        <v>7</v>
      </c>
      <c r="I6372" t="inlineStr">
        <is>
          <t>Dividen per saham (Rp) --- --- --- (no dividend distributed 2024)</t>
        </is>
      </c>
      <c r="J6372" t="inlineStr">
        <is>
          <t>High</t>
        </is>
      </c>
      <c r="M6372" t="inlineStr">
        <is>
          <t>LLM</t>
        </is>
      </c>
      <c r="N6372" t="inlineStr">
        <is>
          <t>2026-04-19</t>
        </is>
      </c>
      <c r="O6372" t="inlineStr">
        <is>
          <t>AI</t>
        </is>
      </c>
    </row>
    <row r="6373">
      <c r="A6373" t="inlineStr">
        <is>
          <t>PT Bakrie Sumatera Plantations Tbk</t>
        </is>
      </c>
      <c r="B6373" t="inlineStr">
        <is>
          <t>UNSP_2024_AR.pdf</t>
        </is>
      </c>
      <c r="C6373" t="n">
        <v>2024</v>
      </c>
      <c r="D6373" t="inlineStr">
        <is>
          <t>Financial</t>
        </is>
      </c>
      <c r="E6373" t="inlineStr">
        <is>
          <t>Current Ratio</t>
        </is>
      </c>
      <c r="F6373" t="n">
        <v>0.1044</v>
      </c>
      <c r="G6373" t="inlineStr">
        <is>
          <t>x</t>
        </is>
      </c>
      <c r="H6373" t="n">
        <v>7</v>
      </c>
      <c r="I6373" t="inlineStr">
        <is>
          <t>Rasio lancar 10,44% 10,16%</t>
        </is>
      </c>
      <c r="J6373" t="inlineStr">
        <is>
          <t>High</t>
        </is>
      </c>
      <c r="M6373" t="inlineStr">
        <is>
          <t>LLM</t>
        </is>
      </c>
      <c r="N6373" t="inlineStr">
        <is>
          <t>2026-04-19</t>
        </is>
      </c>
      <c r="O6373" t="inlineStr">
        <is>
          <t>AI</t>
        </is>
      </c>
    </row>
    <row r="6374">
      <c r="A6374" t="inlineStr">
        <is>
          <t>PT Bakrie Sumatera Plantations Tbk</t>
        </is>
      </c>
      <c r="B6374" t="inlineStr">
        <is>
          <t>UNSP_2024_AR.pdf</t>
        </is>
      </c>
      <c r="C6374" t="n">
        <v>2024</v>
      </c>
      <c r="D6374" t="inlineStr">
        <is>
          <t>Financial</t>
        </is>
      </c>
      <c r="E6374" t="inlineStr">
        <is>
          <t>Liabilities-to-Assets Ratio</t>
        </is>
      </c>
      <c r="F6374" t="n">
        <v>2.6417</v>
      </c>
      <c r="G6374" t="inlineStr">
        <is>
          <t>x</t>
        </is>
      </c>
      <c r="H6374" t="n">
        <v>7</v>
      </c>
      <c r="I6374" t="inlineStr">
        <is>
          <t>Rasio kewajiban terhadap aset 264,17% 230,11%</t>
        </is>
      </c>
      <c r="J6374" t="inlineStr">
        <is>
          <t>High</t>
        </is>
      </c>
      <c r="M6374" t="inlineStr">
        <is>
          <t>LLM</t>
        </is>
      </c>
      <c r="N6374" t="inlineStr">
        <is>
          <t>2026-04-19</t>
        </is>
      </c>
      <c r="O6374" t="inlineStr">
        <is>
          <t>AI</t>
        </is>
      </c>
    </row>
    <row r="6375">
      <c r="A6375" t="inlineStr">
        <is>
          <t>PT Bakrie Sumatera Plantations Tbk</t>
        </is>
      </c>
      <c r="B6375" t="inlineStr">
        <is>
          <t>UNSP_2024_AR.pdf</t>
        </is>
      </c>
      <c r="C6375" t="n">
        <v>2024</v>
      </c>
      <c r="D6375" t="inlineStr">
        <is>
          <t>Financial</t>
        </is>
      </c>
      <c r="E6375" t="inlineStr">
        <is>
          <t>EBITDA / Interest Coverage</t>
        </is>
      </c>
      <c r="F6375" t="n">
        <v>1.72</v>
      </c>
      <c r="G6375" t="inlineStr">
        <is>
          <t>x</t>
        </is>
      </c>
      <c r="H6375" t="n">
        <v>7</v>
      </c>
      <c r="I6375" t="inlineStr">
        <is>
          <t>EBITDA terhadap beban bunga 1,72x 1,23x</t>
        </is>
      </c>
      <c r="J6375" t="inlineStr">
        <is>
          <t>High</t>
        </is>
      </c>
      <c r="M6375" t="inlineStr">
        <is>
          <t>LLM</t>
        </is>
      </c>
      <c r="N6375" t="inlineStr">
        <is>
          <t>2026-04-19</t>
        </is>
      </c>
      <c r="O6375" t="inlineStr">
        <is>
          <t>AI</t>
        </is>
      </c>
    </row>
    <row r="6376">
      <c r="A6376" t="inlineStr">
        <is>
          <t>PT Bakrie Sumatera Plantations Tbk</t>
        </is>
      </c>
      <c r="B6376" t="inlineStr">
        <is>
          <t>UNSP_2024_AR.pdf</t>
        </is>
      </c>
      <c r="C6376" t="n">
        <v>2024</v>
      </c>
      <c r="D6376" t="inlineStr">
        <is>
          <t>Financial</t>
        </is>
      </c>
      <c r="E6376" t="inlineStr">
        <is>
          <t>Return on Assets</t>
        </is>
      </c>
      <c r="F6376" t="n">
        <v>0.0432</v>
      </c>
      <c r="G6376" t="inlineStr">
        <is>
          <t>%</t>
        </is>
      </c>
      <c r="H6376" t="n">
        <v>7</v>
      </c>
      <c r="I6376" t="inlineStr">
        <is>
          <t>Tingkat pengembalian aset 4,32% 0,57%</t>
        </is>
      </c>
      <c r="J6376" t="inlineStr">
        <is>
          <t>High</t>
        </is>
      </c>
      <c r="M6376" t="inlineStr">
        <is>
          <t>LLM</t>
        </is>
      </c>
      <c r="N6376" t="inlineStr">
        <is>
          <t>2026-04-19</t>
        </is>
      </c>
      <c r="O6376" t="inlineStr">
        <is>
          <t>AI</t>
        </is>
      </c>
    </row>
    <row r="6377">
      <c r="A6377" t="inlineStr">
        <is>
          <t>PT Bakrie Sumatera Plantations Tbk</t>
        </is>
      </c>
      <c r="B6377" t="inlineStr">
        <is>
          <t>UNSP_2024_AR.pdf</t>
        </is>
      </c>
      <c r="C6377" t="n">
        <v>2024</v>
      </c>
      <c r="D6377" t="inlineStr">
        <is>
          <t>Financial</t>
        </is>
      </c>
      <c r="E6377" t="inlineStr">
        <is>
          <t>Gross Profit Margin</t>
        </is>
      </c>
      <c r="F6377" t="n">
        <v>0.2597</v>
      </c>
      <c r="G6377" t="inlineStr">
        <is>
          <t>%</t>
        </is>
      </c>
      <c r="H6377" t="n">
        <v>7</v>
      </c>
      <c r="I6377" t="inlineStr">
        <is>
          <t>Marjin laba kotor 25,97% 19,83%</t>
        </is>
      </c>
      <c r="J6377" t="inlineStr">
        <is>
          <t>High</t>
        </is>
      </c>
      <c r="M6377" t="inlineStr">
        <is>
          <t>LLM</t>
        </is>
      </c>
      <c r="N6377" t="inlineStr">
        <is>
          <t>2026-04-19</t>
        </is>
      </c>
      <c r="O6377" t="inlineStr">
        <is>
          <t>AI</t>
        </is>
      </c>
    </row>
    <row r="6378">
      <c r="A6378" t="inlineStr">
        <is>
          <t>PT Bakrie Sumatera Plantations Tbk</t>
        </is>
      </c>
      <c r="B6378" t="inlineStr">
        <is>
          <t>UNSP_2024_AR.pdf</t>
        </is>
      </c>
      <c r="C6378" t="n">
        <v>2024</v>
      </c>
      <c r="D6378" t="inlineStr">
        <is>
          <t>Financial</t>
        </is>
      </c>
      <c r="E6378" t="inlineStr">
        <is>
          <t>Accumulated Retained Deficit (end 2024)</t>
        </is>
      </c>
      <c r="F6378" t="n">
        <v>-12661.96</v>
      </c>
      <c r="G6378" t="inlineStr">
        <is>
          <t>IDR bn</t>
        </is>
      </c>
      <c r="H6378" t="n">
        <v>9</v>
      </c>
      <c r="I6378" t="inlineStr">
        <is>
          <t>2024 (12.661.964.958) (IDR 000)</t>
        </is>
      </c>
      <c r="J6378" t="inlineStr">
        <is>
          <t>High</t>
        </is>
      </c>
      <c r="M6378" t="inlineStr">
        <is>
          <t>LLM</t>
        </is>
      </c>
      <c r="N6378" t="inlineStr">
        <is>
          <t>2026-04-19</t>
        </is>
      </c>
      <c r="O6378" t="inlineStr">
        <is>
          <t>AI</t>
        </is>
      </c>
    </row>
    <row r="6379">
      <c r="A6379" t="inlineStr">
        <is>
          <t>PT Bakrie Sumatera Plantations Tbk</t>
        </is>
      </c>
      <c r="B6379" t="inlineStr">
        <is>
          <t>UNSP_2024_AR.pdf</t>
        </is>
      </c>
      <c r="C6379" t="n">
        <v>2024</v>
      </c>
      <c r="D6379" t="inlineStr">
        <is>
          <t>Asset</t>
        </is>
      </c>
      <c r="E6379" t="inlineStr">
        <is>
          <t>Total Planted Area (palm+rubber)</t>
        </is>
      </c>
      <c r="F6379" t="n">
        <v>56147</v>
      </c>
      <c r="G6379" t="inlineStr">
        <is>
          <t>ha</t>
        </is>
      </c>
      <c r="H6379" t="n">
        <v>52</v>
      </c>
      <c r="I6379" t="inlineStr">
        <is>
          <t>total luas lahan tertanam 56.147 Ha (2024); 54.739 Ha (2023)</t>
        </is>
      </c>
      <c r="J6379" t="inlineStr">
        <is>
          <t>High</t>
        </is>
      </c>
      <c r="M6379" t="inlineStr">
        <is>
          <t>LLM</t>
        </is>
      </c>
      <c r="N6379" t="inlineStr">
        <is>
          <t>2026-04-19</t>
        </is>
      </c>
      <c r="O6379" t="inlineStr">
        <is>
          <t>AI</t>
        </is>
      </c>
    </row>
    <row r="6380">
      <c r="A6380" t="inlineStr">
        <is>
          <t>PT Bakrie Sumatera Plantations Tbk</t>
        </is>
      </c>
      <c r="B6380" t="inlineStr">
        <is>
          <t>UNSP_2024_AR.pdf</t>
        </is>
      </c>
      <c r="C6380" t="n">
        <v>2024</v>
      </c>
      <c r="D6380" t="inlineStr">
        <is>
          <t>Asset</t>
        </is>
      </c>
      <c r="E6380" t="inlineStr">
        <is>
          <t>Palm Planted Area Total</t>
        </is>
      </c>
      <c r="F6380" t="n">
        <v>58720</v>
      </c>
      <c r="G6380" t="inlineStr">
        <is>
          <t>ha</t>
        </is>
      </c>
      <c r="H6380" t="n">
        <v>55</v>
      </c>
      <c r="I6380" t="inlineStr">
        <is>
          <t>Total Area Tertanam 58.720 54.828 7,10%</t>
        </is>
      </c>
      <c r="J6380" t="inlineStr">
        <is>
          <t>High</t>
        </is>
      </c>
      <c r="M6380" t="inlineStr">
        <is>
          <t>LLM</t>
        </is>
      </c>
      <c r="N6380" t="inlineStr">
        <is>
          <t>2026-04-19</t>
        </is>
      </c>
      <c r="O6380" t="inlineStr">
        <is>
          <t>AI</t>
        </is>
      </c>
    </row>
    <row r="6381">
      <c r="A6381" t="inlineStr">
        <is>
          <t>PT Bakrie Sumatera Plantations Tbk</t>
        </is>
      </c>
      <c r="B6381" t="inlineStr">
        <is>
          <t>UNSP_2024_AR.pdf</t>
        </is>
      </c>
      <c r="C6381" t="n">
        <v>2024</v>
      </c>
      <c r="D6381" t="inlineStr">
        <is>
          <t>Asset</t>
        </is>
      </c>
      <c r="E6381" t="inlineStr">
        <is>
          <t>Palm Nucleus Area</t>
        </is>
      </c>
      <c r="F6381" t="n">
        <v>43745</v>
      </c>
      <c r="G6381" t="inlineStr">
        <is>
          <t>ha</t>
        </is>
      </c>
      <c r="H6381" t="n">
        <v>55</v>
      </c>
      <c r="I6381" t="inlineStr">
        <is>
          <t>Total Inti 43.745 39.853 9,77%</t>
        </is>
      </c>
      <c r="J6381" t="inlineStr">
        <is>
          <t>High</t>
        </is>
      </c>
      <c r="M6381" t="inlineStr">
        <is>
          <t>LLM</t>
        </is>
      </c>
      <c r="N6381" t="inlineStr">
        <is>
          <t>2026-04-19</t>
        </is>
      </c>
      <c r="O6381" t="inlineStr">
        <is>
          <t>AI</t>
        </is>
      </c>
    </row>
    <row r="6382">
      <c r="A6382" t="inlineStr">
        <is>
          <t>PT Bakrie Sumatera Plantations Tbk</t>
        </is>
      </c>
      <c r="B6382" t="inlineStr">
        <is>
          <t>UNSP_2024_AR.pdf</t>
        </is>
      </c>
      <c r="C6382" t="n">
        <v>2024</v>
      </c>
      <c r="D6382" t="inlineStr">
        <is>
          <t>Asset</t>
        </is>
      </c>
      <c r="E6382" t="inlineStr">
        <is>
          <t>Palm Plasma Area</t>
        </is>
      </c>
      <c r="F6382" t="n">
        <v>14975</v>
      </c>
      <c r="G6382" t="inlineStr">
        <is>
          <t>ha</t>
        </is>
      </c>
      <c r="H6382" t="n">
        <v>55</v>
      </c>
      <c r="I6382" t="inlineStr">
        <is>
          <t>Total Plasma 14.975 14.975 -</t>
        </is>
      </c>
      <c r="J6382" t="inlineStr">
        <is>
          <t>High</t>
        </is>
      </c>
      <c r="M6382" t="inlineStr">
        <is>
          <t>LLM</t>
        </is>
      </c>
      <c r="N6382" t="inlineStr">
        <is>
          <t>2026-04-19</t>
        </is>
      </c>
      <c r="O6382" t="inlineStr">
        <is>
          <t>AI</t>
        </is>
      </c>
    </row>
    <row r="6383">
      <c r="A6383" t="inlineStr">
        <is>
          <t>PT Bakrie Sumatera Plantations Tbk</t>
        </is>
      </c>
      <c r="B6383" t="inlineStr">
        <is>
          <t>UNSP_2024_AR.pdf</t>
        </is>
      </c>
      <c r="C6383" t="n">
        <v>2024</v>
      </c>
      <c r="D6383" t="inlineStr">
        <is>
          <t>Asset</t>
        </is>
      </c>
      <c r="E6383" t="inlineStr">
        <is>
          <t>Palm Mature Area</t>
        </is>
      </c>
      <c r="F6383" t="n">
        <v>46027</v>
      </c>
      <c r="G6383" t="inlineStr">
        <is>
          <t>ha</t>
        </is>
      </c>
      <c r="H6383" t="n">
        <v>55</v>
      </c>
      <c r="I6383" t="inlineStr">
        <is>
          <t>mencakup 46.027 Ha lahan tanaman menghasilkan</t>
        </is>
      </c>
      <c r="J6383" t="inlineStr">
        <is>
          <t>High</t>
        </is>
      </c>
      <c r="M6383" t="inlineStr">
        <is>
          <t>LLM</t>
        </is>
      </c>
      <c r="N6383" t="inlineStr">
        <is>
          <t>2026-04-19</t>
        </is>
      </c>
      <c r="O6383" t="inlineStr">
        <is>
          <t>AI</t>
        </is>
      </c>
    </row>
    <row r="6384">
      <c r="A6384" t="inlineStr">
        <is>
          <t>PT Bakrie Sumatera Plantations Tbk</t>
        </is>
      </c>
      <c r="B6384" t="inlineStr">
        <is>
          <t>UNSP_2024_AR.pdf</t>
        </is>
      </c>
      <c r="C6384" t="n">
        <v>2024</v>
      </c>
      <c r="D6384" t="inlineStr">
        <is>
          <t>Asset</t>
        </is>
      </c>
      <c r="E6384" t="inlineStr">
        <is>
          <t>Palm Immature Area</t>
        </is>
      </c>
      <c r="F6384" t="n">
        <v>12693</v>
      </c>
      <c r="G6384" t="inlineStr">
        <is>
          <t>ha</t>
        </is>
      </c>
      <c r="H6384" t="n">
        <v>55</v>
      </c>
      <c r="I6384" t="inlineStr">
        <is>
          <t>12.693 Ha lahan tanaman belum menghasilkan</t>
        </is>
      </c>
      <c r="J6384" t="inlineStr">
        <is>
          <t>High</t>
        </is>
      </c>
      <c r="M6384" t="inlineStr">
        <is>
          <t>LLM</t>
        </is>
      </c>
      <c r="N6384" t="inlineStr">
        <is>
          <t>2026-04-19</t>
        </is>
      </c>
      <c r="O6384" t="inlineStr">
        <is>
          <t>AI</t>
        </is>
      </c>
    </row>
    <row r="6385">
      <c r="A6385" t="inlineStr">
        <is>
          <t>PT Bakrie Sumatera Plantations Tbk</t>
        </is>
      </c>
      <c r="B6385" t="inlineStr">
        <is>
          <t>UNSP_2024_AR.pdf</t>
        </is>
      </c>
      <c r="C6385" t="n">
        <v>2024</v>
      </c>
      <c r="D6385" t="inlineStr">
        <is>
          <t>Asset</t>
        </is>
      </c>
      <c r="E6385" t="inlineStr">
        <is>
          <t>Palm Area North Sumatra (nucleus)</t>
        </is>
      </c>
      <c r="F6385" t="n">
        <v>19578</v>
      </c>
      <c r="G6385" t="inlineStr">
        <is>
          <t>ha</t>
        </is>
      </c>
      <c r="H6385" t="n">
        <v>55</v>
      </c>
      <c r="I6385" t="inlineStr">
        <is>
          <t>Sumatera Utara 19.578 18.094 8,21%</t>
        </is>
      </c>
      <c r="J6385" t="inlineStr">
        <is>
          <t>High</t>
        </is>
      </c>
      <c r="M6385" t="inlineStr">
        <is>
          <t>LLM</t>
        </is>
      </c>
      <c r="N6385" t="inlineStr">
        <is>
          <t>2026-04-19</t>
        </is>
      </c>
      <c r="O6385" t="inlineStr">
        <is>
          <t>AI</t>
        </is>
      </c>
    </row>
    <row r="6386">
      <c r="A6386" t="inlineStr">
        <is>
          <t>PT Bakrie Sumatera Plantations Tbk</t>
        </is>
      </c>
      <c r="B6386" t="inlineStr">
        <is>
          <t>UNSP_2024_AR.pdf</t>
        </is>
      </c>
      <c r="C6386" t="n">
        <v>2024</v>
      </c>
      <c r="D6386" t="inlineStr">
        <is>
          <t>Asset</t>
        </is>
      </c>
      <c r="E6386" t="inlineStr">
        <is>
          <t>Palm Area West Sumatra (nucleus)</t>
        </is>
      </c>
      <c r="F6386" t="n">
        <v>10930</v>
      </c>
      <c r="G6386" t="inlineStr">
        <is>
          <t>ha</t>
        </is>
      </c>
      <c r="H6386" t="n">
        <v>55</v>
      </c>
      <c r="I6386" t="inlineStr">
        <is>
          <t>Sumatera Barat 10.930 10.947 (0,15%)</t>
        </is>
      </c>
      <c r="J6386" t="inlineStr">
        <is>
          <t>High</t>
        </is>
      </c>
      <c r="M6386" t="inlineStr">
        <is>
          <t>LLM</t>
        </is>
      </c>
      <c r="N6386" t="inlineStr">
        <is>
          <t>2026-04-19</t>
        </is>
      </c>
      <c r="O6386" t="inlineStr">
        <is>
          <t>AI</t>
        </is>
      </c>
    </row>
    <row r="6387">
      <c r="A6387" t="inlineStr">
        <is>
          <t>PT Bakrie Sumatera Plantations Tbk</t>
        </is>
      </c>
      <c r="B6387" t="inlineStr">
        <is>
          <t>UNSP_2024_AR.pdf</t>
        </is>
      </c>
      <c r="C6387" t="n">
        <v>2024</v>
      </c>
      <c r="D6387" t="inlineStr">
        <is>
          <t>Asset</t>
        </is>
      </c>
      <c r="E6387" t="inlineStr">
        <is>
          <t>Palm Area Jambi (nucleus)</t>
        </is>
      </c>
      <c r="F6387" t="n">
        <v>10547</v>
      </c>
      <c r="G6387" t="inlineStr">
        <is>
          <t>ha</t>
        </is>
      </c>
      <c r="H6387" t="n">
        <v>55</v>
      </c>
      <c r="I6387" t="inlineStr">
        <is>
          <t>Jambi 10.547 9.190 14,77%</t>
        </is>
      </c>
      <c r="J6387" t="inlineStr">
        <is>
          <t>High</t>
        </is>
      </c>
      <c r="M6387" t="inlineStr">
        <is>
          <t>LLM</t>
        </is>
      </c>
      <c r="N6387" t="inlineStr">
        <is>
          <t>2026-04-19</t>
        </is>
      </c>
      <c r="O6387" t="inlineStr">
        <is>
          <t>AI</t>
        </is>
      </c>
    </row>
    <row r="6388">
      <c r="A6388" t="inlineStr">
        <is>
          <t>PT Bakrie Sumatera Plantations Tbk</t>
        </is>
      </c>
      <c r="B6388" t="inlineStr">
        <is>
          <t>UNSP_2024_AR.pdf</t>
        </is>
      </c>
      <c r="C6388" t="n">
        <v>2024</v>
      </c>
      <c r="D6388" t="inlineStr">
        <is>
          <t>Asset</t>
        </is>
      </c>
      <c r="E6388" t="inlineStr">
        <is>
          <t>Palm Area South Kalimantan (nucleus)</t>
        </is>
      </c>
      <c r="F6388" t="n">
        <v>411</v>
      </c>
      <c r="G6388" t="inlineStr">
        <is>
          <t>ha</t>
        </is>
      </c>
      <c r="H6388" t="n">
        <v>55</v>
      </c>
      <c r="I6388" t="inlineStr">
        <is>
          <t>Kalimantan Selatan 411 411 -</t>
        </is>
      </c>
      <c r="J6388" t="inlineStr">
        <is>
          <t>High</t>
        </is>
      </c>
      <c r="M6388" t="inlineStr">
        <is>
          <t>LLM</t>
        </is>
      </c>
      <c r="N6388" t="inlineStr">
        <is>
          <t>2026-04-19</t>
        </is>
      </c>
      <c r="O6388" t="inlineStr">
        <is>
          <t>AI</t>
        </is>
      </c>
    </row>
    <row r="6389">
      <c r="A6389" t="inlineStr">
        <is>
          <t>PT Bakrie Sumatera Plantations Tbk</t>
        </is>
      </c>
      <c r="B6389" t="inlineStr">
        <is>
          <t>UNSP_2024_AR.pdf</t>
        </is>
      </c>
      <c r="C6389" t="n">
        <v>2024</v>
      </c>
      <c r="D6389" t="inlineStr">
        <is>
          <t>Asset</t>
        </is>
      </c>
      <c r="E6389" t="inlineStr">
        <is>
          <t>Palm Area Bengkulu (nucleus)</t>
        </is>
      </c>
      <c r="F6389" t="n">
        <v>2278</v>
      </c>
      <c r="G6389" t="inlineStr">
        <is>
          <t>ha</t>
        </is>
      </c>
      <c r="H6389" t="n">
        <v>55</v>
      </c>
      <c r="I6389" t="inlineStr">
        <is>
          <t>Bengkulu 2.278 1.211 88,11%</t>
        </is>
      </c>
      <c r="J6389" t="inlineStr">
        <is>
          <t>High</t>
        </is>
      </c>
      <c r="M6389" t="inlineStr">
        <is>
          <t>LLM</t>
        </is>
      </c>
      <c r="N6389" t="inlineStr">
        <is>
          <t>2026-04-19</t>
        </is>
      </c>
      <c r="O6389" t="inlineStr">
        <is>
          <t>AI</t>
        </is>
      </c>
    </row>
    <row r="6390">
      <c r="A6390" t="inlineStr">
        <is>
          <t>PT Bakrie Sumatera Plantations Tbk</t>
        </is>
      </c>
      <c r="B6390" t="inlineStr">
        <is>
          <t>UNSP_2024_AR.pdf</t>
        </is>
      </c>
      <c r="C6390" t="n">
        <v>2024</v>
      </c>
      <c r="D6390" t="inlineStr">
        <is>
          <t>Asset</t>
        </is>
      </c>
      <c r="E6390" t="inlineStr">
        <is>
          <t>Palm Mills Count</t>
        </is>
      </c>
      <c r="F6390" t="n">
        <v>5</v>
      </c>
      <c r="G6390" t="inlineStr">
        <is>
          <t>count</t>
        </is>
      </c>
      <c r="H6390" t="n">
        <v>56</v>
      </c>
      <c r="I6390" t="inlineStr">
        <is>
          <t>Perusahaan Anda memiliki 5 (lima) pabrik minyak kelapa sawit</t>
        </is>
      </c>
      <c r="J6390" t="inlineStr">
        <is>
          <t>High</t>
        </is>
      </c>
      <c r="M6390" t="inlineStr">
        <is>
          <t>LLM</t>
        </is>
      </c>
      <c r="N6390" t="inlineStr">
        <is>
          <t>2026-04-19</t>
        </is>
      </c>
      <c r="O6390" t="inlineStr">
        <is>
          <t>AI</t>
        </is>
      </c>
    </row>
    <row r="6391">
      <c r="A6391" t="inlineStr">
        <is>
          <t>PT Bakrie Sumatera Plantations Tbk</t>
        </is>
      </c>
      <c r="B6391" t="inlineStr">
        <is>
          <t>UNSP_2024_AR.pdf</t>
        </is>
      </c>
      <c r="C6391" t="n">
        <v>2024</v>
      </c>
      <c r="D6391" t="inlineStr">
        <is>
          <t>Asset</t>
        </is>
      </c>
      <c r="E6391" t="inlineStr">
        <is>
          <t>Palm Mill Total Capacity</t>
        </is>
      </c>
      <c r="F6391" t="n">
        <v>240</v>
      </c>
      <c r="G6391" t="inlineStr">
        <is>
          <t>tph</t>
        </is>
      </c>
      <c r="H6391" t="n">
        <v>56</v>
      </c>
      <c r="I6391" t="inlineStr">
        <is>
          <t>total kapasitas produksi 240 ton TBS per jam</t>
        </is>
      </c>
      <c r="J6391" t="inlineStr">
        <is>
          <t>High</t>
        </is>
      </c>
      <c r="M6391" t="inlineStr">
        <is>
          <t>LLM</t>
        </is>
      </c>
      <c r="N6391" t="inlineStr">
        <is>
          <t>2026-04-19</t>
        </is>
      </c>
      <c r="O6391" t="inlineStr">
        <is>
          <t>AI</t>
        </is>
      </c>
    </row>
    <row r="6392">
      <c r="A6392" t="inlineStr">
        <is>
          <t>PT Bakrie Sumatera Plantations Tbk</t>
        </is>
      </c>
      <c r="B6392" t="inlineStr">
        <is>
          <t>UNSP_2024_AR.pdf</t>
        </is>
      </c>
      <c r="C6392" t="n">
        <v>2024</v>
      </c>
      <c r="D6392" t="inlineStr">
        <is>
          <t>Asset</t>
        </is>
      </c>
      <c r="E6392" t="inlineStr">
        <is>
          <t>Mature Palm Plants Book Value</t>
        </is>
      </c>
      <c r="F6392" t="n">
        <v>741.63</v>
      </c>
      <c r="G6392" t="inlineStr">
        <is>
          <t>IDR bn</t>
        </is>
      </c>
      <c r="H6392" t="n">
        <v>56</v>
      </c>
      <c r="I6392" t="inlineStr">
        <is>
          <t>nilai buku sebesar Rp741,63 miliar (mature palm)</t>
        </is>
      </c>
      <c r="J6392" t="inlineStr">
        <is>
          <t>High</t>
        </is>
      </c>
      <c r="M6392" t="inlineStr">
        <is>
          <t>LLM</t>
        </is>
      </c>
      <c r="N6392" t="inlineStr">
        <is>
          <t>2026-04-19</t>
        </is>
      </c>
      <c r="O6392" t="inlineStr">
        <is>
          <t>AI</t>
        </is>
      </c>
    </row>
    <row r="6393">
      <c r="A6393" t="inlineStr">
        <is>
          <t>PT Bakrie Sumatera Plantations Tbk</t>
        </is>
      </c>
      <c r="B6393" t="inlineStr">
        <is>
          <t>UNSP_2024_AR.pdf</t>
        </is>
      </c>
      <c r="C6393" t="n">
        <v>2024</v>
      </c>
      <c r="D6393" t="inlineStr">
        <is>
          <t>Asset</t>
        </is>
      </c>
      <c r="E6393" t="inlineStr">
        <is>
          <t>Immature Palm Plants Book Value</t>
        </is>
      </c>
      <c r="F6393" t="n">
        <v>324.25</v>
      </c>
      <c r="G6393" t="inlineStr">
        <is>
          <t>IDR bn</t>
        </is>
      </c>
      <c r="H6393" t="n">
        <v>56</v>
      </c>
      <c r="I6393" t="inlineStr">
        <is>
          <t>tanaman belum menghasilkan ... Rp324,25 miliar, meningkat 93,10%</t>
        </is>
      </c>
      <c r="J6393" t="inlineStr">
        <is>
          <t>High</t>
        </is>
      </c>
      <c r="M6393" t="inlineStr">
        <is>
          <t>LLM</t>
        </is>
      </c>
      <c r="N6393" t="inlineStr">
        <is>
          <t>2026-04-19</t>
        </is>
      </c>
      <c r="O6393" t="inlineStr">
        <is>
          <t>AI</t>
        </is>
      </c>
    </row>
    <row r="6394">
      <c r="A6394" t="inlineStr">
        <is>
          <t>PT Bakrie Sumatera Plantations Tbk</t>
        </is>
      </c>
      <c r="B6394" t="inlineStr">
        <is>
          <t>UNSP_2024_AR.pdf</t>
        </is>
      </c>
      <c r="C6394" t="n">
        <v>2024</v>
      </c>
      <c r="D6394" t="inlineStr">
        <is>
          <t>Asset</t>
        </is>
      </c>
      <c r="E6394" t="inlineStr">
        <is>
          <t>Palm Segment Total Assets</t>
        </is>
      </c>
      <c r="F6394" t="n">
        <v>1906.05</v>
      </c>
      <c r="G6394" t="inlineStr">
        <is>
          <t>IDR bn</t>
        </is>
      </c>
      <c r="H6394" t="n">
        <v>57</v>
      </c>
      <c r="I6394" t="inlineStr">
        <is>
          <t>Total aset segmen: 1.906.054 1.801.368</t>
        </is>
      </c>
      <c r="J6394" t="inlineStr">
        <is>
          <t>High</t>
        </is>
      </c>
      <c r="M6394" t="inlineStr">
        <is>
          <t>LLM</t>
        </is>
      </c>
      <c r="N6394" t="inlineStr">
        <is>
          <t>2026-04-19</t>
        </is>
      </c>
      <c r="O6394" t="inlineStr">
        <is>
          <t>AI</t>
        </is>
      </c>
    </row>
    <row r="6395">
      <c r="A6395" t="inlineStr">
        <is>
          <t>PT Bakrie Sumatera Plantations Tbk</t>
        </is>
      </c>
      <c r="B6395" t="inlineStr">
        <is>
          <t>UNSP_2024_AR.pdf</t>
        </is>
      </c>
      <c r="C6395" t="n">
        <v>2024</v>
      </c>
      <c r="D6395" t="inlineStr">
        <is>
          <t>Asset</t>
        </is>
      </c>
      <c r="E6395" t="inlineStr">
        <is>
          <t>Rubber Planted Area Total</t>
        </is>
      </c>
      <c r="F6395" t="n">
        <v>12403</v>
      </c>
      <c r="G6395" t="inlineStr">
        <is>
          <t>ha</t>
        </is>
      </c>
      <c r="H6395" t="n">
        <v>63</v>
      </c>
      <c r="I6395" t="inlineStr">
        <is>
          <t>Total 12.403 14.887 (16,69%)</t>
        </is>
      </c>
      <c r="J6395" t="inlineStr">
        <is>
          <t>High</t>
        </is>
      </c>
      <c r="M6395" t="inlineStr">
        <is>
          <t>LLM</t>
        </is>
      </c>
      <c r="N6395" t="inlineStr">
        <is>
          <t>2026-04-19</t>
        </is>
      </c>
      <c r="O6395" t="inlineStr">
        <is>
          <t>AI</t>
        </is>
      </c>
    </row>
    <row r="6396">
      <c r="A6396" t="inlineStr">
        <is>
          <t>PT Bakrie Sumatera Plantations Tbk</t>
        </is>
      </c>
      <c r="B6396" t="inlineStr">
        <is>
          <t>UNSP_2024_AR.pdf</t>
        </is>
      </c>
      <c r="C6396" t="n">
        <v>2024</v>
      </c>
      <c r="D6396" t="inlineStr">
        <is>
          <t>Asset</t>
        </is>
      </c>
      <c r="E6396" t="inlineStr">
        <is>
          <t>Rubber Mature Area</t>
        </is>
      </c>
      <c r="F6396" t="n">
        <v>12281</v>
      </c>
      <c r="G6396" t="inlineStr">
        <is>
          <t>ha</t>
        </is>
      </c>
      <c r="H6396" t="n">
        <v>63</v>
      </c>
      <c r="I6396" t="inlineStr">
        <is>
          <t>12.281 Ha lahan tanaman menghasilkan</t>
        </is>
      </c>
      <c r="J6396" t="inlineStr">
        <is>
          <t>High</t>
        </is>
      </c>
      <c r="M6396" t="inlineStr">
        <is>
          <t>LLM</t>
        </is>
      </c>
      <c r="N6396" t="inlineStr">
        <is>
          <t>2026-04-19</t>
        </is>
      </c>
      <c r="O6396" t="inlineStr">
        <is>
          <t>AI</t>
        </is>
      </c>
    </row>
    <row r="6397">
      <c r="A6397" t="inlineStr">
        <is>
          <t>PT Bakrie Sumatera Plantations Tbk</t>
        </is>
      </c>
      <c r="B6397" t="inlineStr">
        <is>
          <t>UNSP_2024_AR.pdf</t>
        </is>
      </c>
      <c r="C6397" t="n">
        <v>2024</v>
      </c>
      <c r="D6397" t="inlineStr">
        <is>
          <t>Asset</t>
        </is>
      </c>
      <c r="E6397" t="inlineStr">
        <is>
          <t>Rubber Immature Area</t>
        </is>
      </c>
      <c r="F6397" t="n">
        <v>121</v>
      </c>
      <c r="G6397" t="inlineStr">
        <is>
          <t>ha</t>
        </is>
      </c>
      <c r="H6397" t="n">
        <v>63</v>
      </c>
      <c r="I6397" t="inlineStr">
        <is>
          <t>121 Ha lahan tanaman belum menghasilkan</t>
        </is>
      </c>
      <c r="J6397" t="inlineStr">
        <is>
          <t>High</t>
        </is>
      </c>
      <c r="M6397" t="inlineStr">
        <is>
          <t>LLM</t>
        </is>
      </c>
      <c r="N6397" t="inlineStr">
        <is>
          <t>2026-04-19</t>
        </is>
      </c>
      <c r="O6397" t="inlineStr">
        <is>
          <t>AI</t>
        </is>
      </c>
    </row>
    <row r="6398">
      <c r="A6398" t="inlineStr">
        <is>
          <t>PT Bakrie Sumatera Plantations Tbk</t>
        </is>
      </c>
      <c r="B6398" t="inlineStr">
        <is>
          <t>UNSP_2024_AR.pdf</t>
        </is>
      </c>
      <c r="C6398" t="n">
        <v>2024</v>
      </c>
      <c r="D6398" t="inlineStr">
        <is>
          <t>Asset</t>
        </is>
      </c>
      <c r="E6398" t="inlineStr">
        <is>
          <t>Rubber Area N. Sumatra</t>
        </is>
      </c>
      <c r="F6398" t="n">
        <v>8712</v>
      </c>
      <c r="G6398" t="inlineStr">
        <is>
          <t>ha</t>
        </is>
      </c>
      <c r="H6398" t="n">
        <v>63</v>
      </c>
      <c r="I6398" t="inlineStr">
        <is>
          <t>Sumatera Utara 8.712 10.209 (14,66%)</t>
        </is>
      </c>
      <c r="J6398" t="inlineStr">
        <is>
          <t>High</t>
        </is>
      </c>
      <c r="M6398" t="inlineStr">
        <is>
          <t>LLM</t>
        </is>
      </c>
      <c r="N6398" t="inlineStr">
        <is>
          <t>2026-04-19</t>
        </is>
      </c>
      <c r="O6398" t="inlineStr">
        <is>
          <t>AI</t>
        </is>
      </c>
    </row>
    <row r="6399">
      <c r="A6399" t="inlineStr">
        <is>
          <t>PT Bakrie Sumatera Plantations Tbk</t>
        </is>
      </c>
      <c r="B6399" t="inlineStr">
        <is>
          <t>UNSP_2024_AR.pdf</t>
        </is>
      </c>
      <c r="C6399" t="n">
        <v>2024</v>
      </c>
      <c r="D6399" t="inlineStr">
        <is>
          <t>Asset</t>
        </is>
      </c>
      <c r="E6399" t="inlineStr">
        <is>
          <t>Rubber Area Bengkulu</t>
        </is>
      </c>
      <c r="F6399" t="n">
        <v>469</v>
      </c>
      <c r="G6399" t="inlineStr">
        <is>
          <t>ha</t>
        </is>
      </c>
      <c r="H6399" t="n">
        <v>63</v>
      </c>
      <c r="I6399" t="inlineStr">
        <is>
          <t>Bengkulu 469 1.456 (67,79%)</t>
        </is>
      </c>
      <c r="J6399" t="inlineStr">
        <is>
          <t>High</t>
        </is>
      </c>
      <c r="M6399" t="inlineStr">
        <is>
          <t>LLM</t>
        </is>
      </c>
      <c r="N6399" t="inlineStr">
        <is>
          <t>2026-04-19</t>
        </is>
      </c>
      <c r="O6399" t="inlineStr">
        <is>
          <t>AI</t>
        </is>
      </c>
    </row>
    <row r="6400">
      <c r="A6400" t="inlineStr">
        <is>
          <t>PT Bakrie Sumatera Plantations Tbk</t>
        </is>
      </c>
      <c r="B6400" t="inlineStr">
        <is>
          <t>UNSP_2024_AR.pdf</t>
        </is>
      </c>
      <c r="C6400" t="n">
        <v>2024</v>
      </c>
      <c r="D6400" t="inlineStr">
        <is>
          <t>Asset</t>
        </is>
      </c>
      <c r="E6400" t="inlineStr">
        <is>
          <t>Rubber Area Lampung</t>
        </is>
      </c>
      <c r="F6400" t="n">
        <v>3222</v>
      </c>
      <c r="G6400" t="inlineStr">
        <is>
          <t>ha</t>
        </is>
      </c>
      <c r="H6400" t="n">
        <v>63</v>
      </c>
      <c r="I6400" t="inlineStr">
        <is>
          <t>Lampung 3.222 3.222 -</t>
        </is>
      </c>
      <c r="J6400" t="inlineStr">
        <is>
          <t>High</t>
        </is>
      </c>
      <c r="M6400" t="inlineStr">
        <is>
          <t>LLM</t>
        </is>
      </c>
      <c r="N6400" t="inlineStr">
        <is>
          <t>2026-04-19</t>
        </is>
      </c>
      <c r="O6400" t="inlineStr">
        <is>
          <t>AI</t>
        </is>
      </c>
    </row>
    <row r="6401">
      <c r="A6401" t="inlineStr">
        <is>
          <t>PT Bakrie Sumatera Plantations Tbk</t>
        </is>
      </c>
      <c r="B6401" t="inlineStr">
        <is>
          <t>UNSP_2024_AR.pdf</t>
        </is>
      </c>
      <c r="C6401" t="n">
        <v>2024</v>
      </c>
      <c r="D6401" t="inlineStr">
        <is>
          <t>Asset</t>
        </is>
      </c>
      <c r="E6401" t="inlineStr">
        <is>
          <t>Rubber Processing Plants Count</t>
        </is>
      </c>
      <c r="F6401" t="n">
        <v>1</v>
      </c>
      <c r="G6401" t="inlineStr">
        <is>
          <t>count</t>
        </is>
      </c>
      <c r="H6401" t="n">
        <v>63</v>
      </c>
      <c r="I6401" t="inlineStr">
        <is>
          <t>mengoperasikan 1 (satu) pabrik pengolahan produk karet alam (Bunut N.Sumatra)</t>
        </is>
      </c>
      <c r="J6401" t="inlineStr">
        <is>
          <t>High</t>
        </is>
      </c>
      <c r="M6401" t="inlineStr">
        <is>
          <t>LLM</t>
        </is>
      </c>
      <c r="N6401" t="inlineStr">
        <is>
          <t>2026-04-19</t>
        </is>
      </c>
      <c r="O6401" t="inlineStr">
        <is>
          <t>AI</t>
        </is>
      </c>
    </row>
    <row r="6402">
      <c r="A6402" t="inlineStr">
        <is>
          <t>PT Bakrie Sumatera Plantations Tbk</t>
        </is>
      </c>
      <c r="B6402" t="inlineStr">
        <is>
          <t>UNSP_2024_AR.pdf</t>
        </is>
      </c>
      <c r="C6402" t="n">
        <v>2024</v>
      </c>
      <c r="D6402" t="inlineStr">
        <is>
          <t>Asset</t>
        </is>
      </c>
      <c r="E6402" t="inlineStr">
        <is>
          <t>Rubber Plant Capacity</t>
        </is>
      </c>
      <c r="F6402" t="n">
        <v>30780</v>
      </c>
      <c r="G6402" t="inlineStr">
        <is>
          <t>MT/year</t>
        </is>
      </c>
      <c r="H6402" t="n">
        <v>64</v>
      </c>
      <c r="I6402" t="inlineStr">
        <is>
          <t>kapasitas terpasang pabrik pada tahun 2024 adalah 30.780 MT/tahun, lower than 36,180 (2023)</t>
        </is>
      </c>
      <c r="J6402" t="inlineStr">
        <is>
          <t>High</t>
        </is>
      </c>
      <c r="M6402" t="inlineStr">
        <is>
          <t>LLM</t>
        </is>
      </c>
      <c r="N6402" t="inlineStr">
        <is>
          <t>2026-04-19</t>
        </is>
      </c>
      <c r="O6402" t="inlineStr">
        <is>
          <t>AI</t>
        </is>
      </c>
    </row>
    <row r="6403">
      <c r="A6403" t="inlineStr">
        <is>
          <t>PT Bakrie Sumatera Plantations Tbk</t>
        </is>
      </c>
      <c r="B6403" t="inlineStr">
        <is>
          <t>UNSP_2024_AR.pdf</t>
        </is>
      </c>
      <c r="C6403" t="n">
        <v>2024</v>
      </c>
      <c r="D6403" t="inlineStr">
        <is>
          <t>Asset</t>
        </is>
      </c>
      <c r="E6403" t="inlineStr">
        <is>
          <t>Oleochemicals Refinery Capacity (until Jul 31 2024)</t>
        </is>
      </c>
      <c r="F6403" t="n">
        <v>495000</v>
      </c>
      <c r="G6403" t="inlineStr">
        <is>
          <t>MT/year</t>
        </is>
      </c>
      <c r="H6403" t="n">
        <v>61</v>
      </c>
      <c r="I6403" t="inlineStr">
        <is>
          <t>Palm Oil Refinery Plant 495.000</t>
        </is>
      </c>
      <c r="J6403" t="inlineStr">
        <is>
          <t>High</t>
        </is>
      </c>
      <c r="M6403" t="inlineStr">
        <is>
          <t>LLM</t>
        </is>
      </c>
      <c r="N6403" t="inlineStr">
        <is>
          <t>2026-04-19</t>
        </is>
      </c>
      <c r="O6403" t="inlineStr">
        <is>
          <t>AI</t>
        </is>
      </c>
    </row>
    <row r="6404">
      <c r="A6404" t="inlineStr">
        <is>
          <t>PT Bakrie Sumatera Plantations Tbk</t>
        </is>
      </c>
      <c r="B6404" t="inlineStr">
        <is>
          <t>UNSP_2024_AR.pdf</t>
        </is>
      </c>
      <c r="C6404" t="n">
        <v>2024</v>
      </c>
      <c r="D6404" t="inlineStr">
        <is>
          <t>Asset</t>
        </is>
      </c>
      <c r="E6404" t="inlineStr">
        <is>
          <t>Oleochemicals KCP Capacity (until Jul 31 2024)</t>
        </is>
      </c>
      <c r="F6404" t="n">
        <v>165000</v>
      </c>
      <c r="G6404" t="inlineStr">
        <is>
          <t>MT/year</t>
        </is>
      </c>
      <c r="H6404" t="n">
        <v>61</v>
      </c>
      <c r="I6404" t="inlineStr">
        <is>
          <t>Kernel Crushing Plant 165.000</t>
        </is>
      </c>
      <c r="J6404" t="inlineStr">
        <is>
          <t>High</t>
        </is>
      </c>
      <c r="M6404" t="inlineStr">
        <is>
          <t>LLM</t>
        </is>
      </c>
      <c r="N6404" t="inlineStr">
        <is>
          <t>2026-04-19</t>
        </is>
      </c>
      <c r="O6404" t="inlineStr">
        <is>
          <t>AI</t>
        </is>
      </c>
    </row>
    <row r="6405">
      <c r="A6405" t="inlineStr">
        <is>
          <t>PT Bakrie Sumatera Plantations Tbk</t>
        </is>
      </c>
      <c r="B6405" t="inlineStr">
        <is>
          <t>UNSP_2024_AR.pdf</t>
        </is>
      </c>
      <c r="C6405" t="n">
        <v>2024</v>
      </c>
      <c r="D6405" t="inlineStr">
        <is>
          <t>Operation</t>
        </is>
      </c>
      <c r="E6405" t="inlineStr">
        <is>
          <t>FFB Harvested (Total Palm Production)</t>
        </is>
      </c>
      <c r="F6405" t="n">
        <v>347865</v>
      </c>
      <c r="G6405" t="inlineStr">
        <is>
          <t>t</t>
        </is>
      </c>
      <c r="H6405" t="n">
        <v>54</v>
      </c>
      <c r="I6405" t="inlineStr">
        <is>
          <t>Total produksi TBS pada tahun 2024 adalah 347.865 ton (2023: 366.113 ton)</t>
        </is>
      </c>
      <c r="J6405" t="inlineStr">
        <is>
          <t>High</t>
        </is>
      </c>
      <c r="M6405" t="inlineStr">
        <is>
          <t>LLM</t>
        </is>
      </c>
      <c r="N6405" t="inlineStr">
        <is>
          <t>2026-04-19</t>
        </is>
      </c>
      <c r="O6405" t="inlineStr">
        <is>
          <t>AI</t>
        </is>
      </c>
    </row>
    <row r="6406">
      <c r="A6406" t="inlineStr">
        <is>
          <t>PT Bakrie Sumatera Plantations Tbk</t>
        </is>
      </c>
      <c r="B6406" t="inlineStr">
        <is>
          <t>UNSP_2024_AR.pdf</t>
        </is>
      </c>
      <c r="C6406" t="n">
        <v>2024</v>
      </c>
      <c r="D6406" t="inlineStr">
        <is>
          <t>Operation</t>
        </is>
      </c>
      <c r="E6406" t="inlineStr">
        <is>
          <t>FFB Unharvested (biological)</t>
        </is>
      </c>
      <c r="F6406" t="n">
        <v>99593</v>
      </c>
      <c r="G6406" t="inlineStr">
        <is>
          <t>t</t>
        </is>
      </c>
      <c r="H6406" t="n">
        <v>54</v>
      </c>
      <c r="I6406" t="inlineStr">
        <is>
          <t>TBS yang belum dipanen 99.593 ton</t>
        </is>
      </c>
      <c r="J6406" t="inlineStr">
        <is>
          <t>High</t>
        </is>
      </c>
      <c r="M6406" t="inlineStr">
        <is>
          <t>LLM</t>
        </is>
      </c>
      <c r="N6406" t="inlineStr">
        <is>
          <t>2026-04-19</t>
        </is>
      </c>
      <c r="O6406" t="inlineStr">
        <is>
          <t>AI</t>
        </is>
      </c>
    </row>
    <row r="6407">
      <c r="A6407" t="inlineStr">
        <is>
          <t>PT Bakrie Sumatera Plantations Tbk</t>
        </is>
      </c>
      <c r="B6407" t="inlineStr">
        <is>
          <t>UNSP_2024_AR.pdf</t>
        </is>
      </c>
      <c r="C6407" t="n">
        <v>2024</v>
      </c>
      <c r="D6407" t="inlineStr">
        <is>
          <t>Operation</t>
        </is>
      </c>
      <c r="E6407" t="inlineStr">
        <is>
          <t>CPO Production</t>
        </is>
      </c>
      <c r="F6407" t="n">
        <v>113918</v>
      </c>
      <c r="G6407" t="inlineStr">
        <is>
          <t>t</t>
        </is>
      </c>
      <c r="H6407" t="n">
        <v>55</v>
      </c>
      <c r="I6407" t="inlineStr">
        <is>
          <t>volume produksi CPO ... penurunan 7,85% menjadi 113.918 ton</t>
        </is>
      </c>
      <c r="J6407" t="inlineStr">
        <is>
          <t>High</t>
        </is>
      </c>
      <c r="M6407" t="inlineStr">
        <is>
          <t>LLM</t>
        </is>
      </c>
      <c r="N6407" t="inlineStr">
        <is>
          <t>2026-04-19</t>
        </is>
      </c>
      <c r="O6407" t="inlineStr">
        <is>
          <t>AI</t>
        </is>
      </c>
    </row>
    <row r="6408">
      <c r="A6408" t="inlineStr">
        <is>
          <t>PT Bakrie Sumatera Plantations Tbk</t>
        </is>
      </c>
      <c r="B6408" t="inlineStr">
        <is>
          <t>UNSP_2024_AR.pdf</t>
        </is>
      </c>
      <c r="C6408" t="n">
        <v>2024</v>
      </c>
      <c r="D6408" t="inlineStr">
        <is>
          <t>Operation</t>
        </is>
      </c>
      <c r="E6408" t="inlineStr">
        <is>
          <t>PK Production</t>
        </is>
      </c>
      <c r="F6408" t="n">
        <v>24263</v>
      </c>
      <c r="G6408" t="inlineStr">
        <is>
          <t>t</t>
        </is>
      </c>
      <c r="H6408" t="n">
        <v>55</v>
      </c>
      <c r="I6408" t="inlineStr">
        <is>
          <t>penurunan 15,14% menjadi 24.263 ton (PK)</t>
        </is>
      </c>
      <c r="J6408" t="inlineStr">
        <is>
          <t>High</t>
        </is>
      </c>
      <c r="M6408" t="inlineStr">
        <is>
          <t>LLM</t>
        </is>
      </c>
      <c r="N6408" t="inlineStr">
        <is>
          <t>2026-04-19</t>
        </is>
      </c>
      <c r="O6408" t="inlineStr">
        <is>
          <t>AI</t>
        </is>
      </c>
    </row>
    <row r="6409">
      <c r="A6409" t="inlineStr">
        <is>
          <t>PT Bakrie Sumatera Plantations Tbk</t>
        </is>
      </c>
      <c r="B6409" t="inlineStr">
        <is>
          <t>UNSP_2024_AR.pdf</t>
        </is>
      </c>
      <c r="C6409" t="n">
        <v>2024</v>
      </c>
      <c r="D6409" t="inlineStr">
        <is>
          <t>Operation</t>
        </is>
      </c>
      <c r="E6409" t="inlineStr">
        <is>
          <t>Latex Harvested</t>
        </is>
      </c>
      <c r="F6409" t="n">
        <v>7499</v>
      </c>
      <c r="G6409" t="inlineStr">
        <is>
          <t>t</t>
        </is>
      </c>
      <c r="H6409" t="n">
        <v>62</v>
      </c>
      <c r="I6409" t="inlineStr">
        <is>
          <t>7.499 ton getah yang sudah dipanen</t>
        </is>
      </c>
      <c r="J6409" t="inlineStr">
        <is>
          <t>High</t>
        </is>
      </c>
      <c r="M6409" t="inlineStr">
        <is>
          <t>LLM</t>
        </is>
      </c>
      <c r="N6409" t="inlineStr">
        <is>
          <t>2026-04-19</t>
        </is>
      </c>
      <c r="O6409" t="inlineStr">
        <is>
          <t>AI</t>
        </is>
      </c>
    </row>
    <row r="6410">
      <c r="A6410" t="inlineStr">
        <is>
          <t>PT Bakrie Sumatera Plantations Tbk</t>
        </is>
      </c>
      <c r="B6410" t="inlineStr">
        <is>
          <t>UNSP_2024_AR.pdf</t>
        </is>
      </c>
      <c r="C6410" t="n">
        <v>2024</v>
      </c>
      <c r="D6410" t="inlineStr">
        <is>
          <t>Operation</t>
        </is>
      </c>
      <c r="E6410" t="inlineStr">
        <is>
          <t>Rubber Plant Total Production</t>
        </is>
      </c>
      <c r="F6410" t="n">
        <v>5838</v>
      </c>
      <c r="G6410" t="inlineStr">
        <is>
          <t>t</t>
        </is>
      </c>
      <c r="H6410" t="n">
        <v>62</v>
      </c>
      <c r="I6410" t="inlineStr">
        <is>
          <t>Total produksi pabrik pengolahan karet pada tahun 2024 adalah 5.838 ton, 36,04% lebih rendah dari 9.127 ton (2023)</t>
        </is>
      </c>
      <c r="J6410" t="inlineStr">
        <is>
          <t>High</t>
        </is>
      </c>
      <c r="M6410" t="inlineStr">
        <is>
          <t>LLM</t>
        </is>
      </c>
      <c r="N6410" t="inlineStr">
        <is>
          <t>2026-04-19</t>
        </is>
      </c>
      <c r="O6410" t="inlineStr">
        <is>
          <t>AI</t>
        </is>
      </c>
    </row>
    <row r="6411">
      <c r="A6411" t="inlineStr">
        <is>
          <t>PT Bakrie Sumatera Plantations Tbk</t>
        </is>
      </c>
      <c r="B6411" t="inlineStr">
        <is>
          <t>UNSP_2024_AR.pdf</t>
        </is>
      </c>
      <c r="C6411" t="n">
        <v>2024</v>
      </c>
      <c r="D6411" t="inlineStr">
        <is>
          <t>Operation</t>
        </is>
      </c>
      <c r="E6411" t="inlineStr">
        <is>
          <t>Palm Segment Sales (before elimination)</t>
        </is>
      </c>
      <c r="F6411" t="n">
        <v>1735.49</v>
      </c>
      <c r="G6411" t="inlineStr">
        <is>
          <t>IDR bn</t>
        </is>
      </c>
      <c r="H6411" t="n">
        <v>58</v>
      </c>
      <c r="I6411" t="inlineStr">
        <is>
          <t>Sawit 1.735.487 1.638.402 5,93%</t>
        </is>
      </c>
      <c r="J6411" t="inlineStr">
        <is>
          <t>High</t>
        </is>
      </c>
      <c r="M6411" t="inlineStr">
        <is>
          <t>LLM</t>
        </is>
      </c>
      <c r="N6411" t="inlineStr">
        <is>
          <t>2026-04-19</t>
        </is>
      </c>
      <c r="O6411" t="inlineStr">
        <is>
          <t>AI</t>
        </is>
      </c>
    </row>
    <row r="6412">
      <c r="A6412" t="inlineStr">
        <is>
          <t>PT Bakrie Sumatera Plantations Tbk</t>
        </is>
      </c>
      <c r="B6412" t="inlineStr">
        <is>
          <t>UNSP_2024_AR.pdf</t>
        </is>
      </c>
      <c r="C6412" t="n">
        <v>2024</v>
      </c>
      <c r="D6412" t="inlineStr">
        <is>
          <t>Operation</t>
        </is>
      </c>
      <c r="E6412" t="inlineStr">
        <is>
          <t>Palm Segment Gross Profit</t>
        </is>
      </c>
      <c r="F6412" t="n">
        <v>544.2</v>
      </c>
      <c r="G6412" t="inlineStr">
        <is>
          <t>IDR bn</t>
        </is>
      </c>
      <c r="H6412" t="n">
        <v>58</v>
      </c>
      <c r="I6412" t="inlineStr">
        <is>
          <t>Sawit 544.197 437.016 24,53%</t>
        </is>
      </c>
      <c r="J6412" t="inlineStr">
        <is>
          <t>High</t>
        </is>
      </c>
      <c r="M6412" t="inlineStr">
        <is>
          <t>LLM</t>
        </is>
      </c>
      <c r="N6412" t="inlineStr">
        <is>
          <t>2026-04-19</t>
        </is>
      </c>
      <c r="O6412" t="inlineStr">
        <is>
          <t>AI</t>
        </is>
      </c>
    </row>
    <row r="6413">
      <c r="A6413" t="inlineStr">
        <is>
          <t>PT Bakrie Sumatera Plantations Tbk</t>
        </is>
      </c>
      <c r="B6413" t="inlineStr">
        <is>
          <t>UNSP_2024_AR.pdf</t>
        </is>
      </c>
      <c r="C6413" t="n">
        <v>2024</v>
      </c>
      <c r="D6413" t="inlineStr">
        <is>
          <t>Operation</t>
        </is>
      </c>
      <c r="E6413" t="inlineStr">
        <is>
          <t>Oleochemicals Sales (7 months to Jul 31 2024)</t>
        </is>
      </c>
      <c r="F6413" t="n">
        <v>425.68</v>
      </c>
      <c r="G6413" t="inlineStr">
        <is>
          <t>IDR bn</t>
        </is>
      </c>
      <c r="H6413" t="n">
        <v>62</v>
      </c>
      <c r="I6413" t="inlineStr">
        <is>
          <t>Oleokimia 425.675 637.636 (33,24%) - 7-month period ended Jul 31 2024</t>
        </is>
      </c>
      <c r="J6413" t="inlineStr">
        <is>
          <t>High</t>
        </is>
      </c>
      <c r="M6413" t="inlineStr">
        <is>
          <t>LLM</t>
        </is>
      </c>
      <c r="N6413" t="inlineStr">
        <is>
          <t>2026-04-19</t>
        </is>
      </c>
      <c r="O6413" t="inlineStr">
        <is>
          <t>AI</t>
        </is>
      </c>
    </row>
    <row r="6414">
      <c r="A6414" t="inlineStr">
        <is>
          <t>PT Bakrie Sumatera Plantations Tbk</t>
        </is>
      </c>
      <c r="B6414" t="inlineStr">
        <is>
          <t>UNSP_2024_AR.pdf</t>
        </is>
      </c>
      <c r="C6414" t="n">
        <v>2024</v>
      </c>
      <c r="D6414" t="inlineStr">
        <is>
          <t>Operation</t>
        </is>
      </c>
      <c r="E6414" t="inlineStr">
        <is>
          <t>Oleochemicals Gross Profit (7 months)</t>
        </is>
      </c>
      <c r="F6414" t="n">
        <v>35.43</v>
      </c>
      <c r="G6414" t="inlineStr">
        <is>
          <t>IDR bn</t>
        </is>
      </c>
      <c r="H6414" t="n">
        <v>62</v>
      </c>
      <c r="I6414" t="inlineStr">
        <is>
          <t>Oleokimia 35.434 57.201 (38,05%)</t>
        </is>
      </c>
      <c r="J6414" t="inlineStr">
        <is>
          <t>High</t>
        </is>
      </c>
      <c r="M6414" t="inlineStr">
        <is>
          <t>LLM</t>
        </is>
      </c>
      <c r="N6414" t="inlineStr">
        <is>
          <t>2026-04-19</t>
        </is>
      </c>
      <c r="O6414" t="inlineStr">
        <is>
          <t>AI</t>
        </is>
      </c>
    </row>
    <row r="6415">
      <c r="A6415" t="inlineStr">
        <is>
          <t>PT Bakrie Sumatera Plantations Tbk</t>
        </is>
      </c>
      <c r="B6415" t="inlineStr">
        <is>
          <t>UNSP_2024_AR.pdf</t>
        </is>
      </c>
      <c r="C6415" t="n">
        <v>2024</v>
      </c>
      <c r="D6415" t="inlineStr">
        <is>
          <t>Operation</t>
        </is>
      </c>
      <c r="E6415" t="inlineStr">
        <is>
          <t>Rubber Segment Contribution</t>
        </is>
      </c>
      <c r="F6415" t="inlineStr">
        <is>
          <t>4.08%</t>
        </is>
      </c>
      <c r="G6415" t="inlineStr">
        <is>
          <t>%</t>
        </is>
      </c>
      <c r="H6415" t="n">
        <v>64</v>
      </c>
      <c r="I6415" t="inlineStr">
        <is>
          <t>Rubber ramped up 2024; palm dominant at 72.91%</t>
        </is>
      </c>
      <c r="J6415" t="inlineStr">
        <is>
          <t>Medium</t>
        </is>
      </c>
      <c r="M6415" t="inlineStr">
        <is>
          <t>LLM</t>
        </is>
      </c>
      <c r="N6415" t="inlineStr">
        <is>
          <t>2026-04-19</t>
        </is>
      </c>
      <c r="O6415" t="inlineStr">
        <is>
          <t>AI</t>
        </is>
      </c>
    </row>
    <row r="6416">
      <c r="A6416" t="inlineStr">
        <is>
          <t>PT Bakrie Sumatera Plantations Tbk</t>
        </is>
      </c>
      <c r="B6416" t="inlineStr">
        <is>
          <t>UNSP_2024_AR.pdf</t>
        </is>
      </c>
      <c r="C6416" t="n">
        <v>2024</v>
      </c>
      <c r="D6416" t="inlineStr">
        <is>
          <t>Operation</t>
        </is>
      </c>
      <c r="E6416" t="inlineStr">
        <is>
          <t>CPO Sales as % of Palm Segment</t>
        </is>
      </c>
      <c r="F6416" t="n">
        <v>0.8739</v>
      </c>
      <c r="G6416" t="inlineStr">
        <is>
          <t>%</t>
        </is>
      </c>
      <c r="H6416" t="n">
        <v>57</v>
      </c>
      <c r="I6416" t="inlineStr">
        <is>
          <t>penjualan CPO yaitu 87,39%, sedangkan 10,12% merupakan penjualan PK serta 2,49% penjualan TBS</t>
        </is>
      </c>
      <c r="J6416" t="inlineStr">
        <is>
          <t>High</t>
        </is>
      </c>
      <c r="M6416" t="inlineStr">
        <is>
          <t>LLM</t>
        </is>
      </c>
      <c r="N6416" t="inlineStr">
        <is>
          <t>2026-04-19</t>
        </is>
      </c>
      <c r="O6416" t="inlineStr">
        <is>
          <t>AI</t>
        </is>
      </c>
    </row>
    <row r="6417">
      <c r="A6417" t="inlineStr">
        <is>
          <t>PT Bakrie Sumatera Plantations Tbk</t>
        </is>
      </c>
      <c r="B6417" t="inlineStr">
        <is>
          <t>UNSP_2024_AR.pdf</t>
        </is>
      </c>
      <c r="C6417" t="n">
        <v>2024</v>
      </c>
      <c r="D6417" t="inlineStr">
        <is>
          <t>Operation</t>
        </is>
      </c>
      <c r="E6417" t="inlineStr">
        <is>
          <t>PK Sales as % of Palm Segment</t>
        </is>
      </c>
      <c r="F6417" t="n">
        <v>0.1012</v>
      </c>
      <c r="G6417" t="inlineStr">
        <is>
          <t>%</t>
        </is>
      </c>
      <c r="H6417" t="n">
        <v>57</v>
      </c>
      <c r="I6417" t="inlineStr">
        <is>
          <t>10,12% merupakan penjualan PK</t>
        </is>
      </c>
      <c r="J6417" t="inlineStr">
        <is>
          <t>High</t>
        </is>
      </c>
      <c r="M6417" t="inlineStr">
        <is>
          <t>LLM</t>
        </is>
      </c>
      <c r="N6417" t="inlineStr">
        <is>
          <t>2026-04-19</t>
        </is>
      </c>
      <c r="O6417" t="inlineStr">
        <is>
          <t>AI</t>
        </is>
      </c>
    </row>
    <row r="6418">
      <c r="A6418" t="inlineStr">
        <is>
          <t>PT Bakrie Sumatera Plantations Tbk</t>
        </is>
      </c>
      <c r="B6418" t="inlineStr">
        <is>
          <t>UNSP_2024_AR.pdf</t>
        </is>
      </c>
      <c r="C6418" t="n">
        <v>2024</v>
      </c>
      <c r="D6418" t="inlineStr">
        <is>
          <t>ESG</t>
        </is>
      </c>
      <c r="E6418" t="inlineStr">
        <is>
          <t>ISPO Certifications</t>
        </is>
      </c>
      <c r="F6418" t="inlineStr">
        <is>
          <t>Multiple units certified (AGW Jambi 1 etc.); PROPER Biru category</t>
        </is>
      </c>
      <c r="G6418" t="inlineStr">
        <is>
          <t>text</t>
        </is>
      </c>
      <c r="H6418" t="n">
        <v>46</v>
      </c>
      <c r="I6418" t="inlineStr">
        <is>
          <t>ISPO Jambi 1 (AGW) Bureau Veritas Indonesia 10-09-2020 09-09-2025</t>
        </is>
      </c>
      <c r="J6418" t="inlineStr">
        <is>
          <t>High</t>
        </is>
      </c>
      <c r="M6418" t="inlineStr">
        <is>
          <t>LLM</t>
        </is>
      </c>
      <c r="N6418" t="inlineStr">
        <is>
          <t>2026-04-19</t>
        </is>
      </c>
      <c r="O6418" t="inlineStr">
        <is>
          <t>AI</t>
        </is>
      </c>
    </row>
    <row r="6419">
      <c r="A6419" t="inlineStr">
        <is>
          <t>PT Bakrie Sumatera Plantations Tbk</t>
        </is>
      </c>
      <c r="B6419" t="inlineStr">
        <is>
          <t>UNSP_2024_AR.pdf</t>
        </is>
      </c>
      <c r="C6419" t="n">
        <v>2024</v>
      </c>
      <c r="D6419" t="inlineStr">
        <is>
          <t>ESG</t>
        </is>
      </c>
      <c r="E6419" t="inlineStr">
        <is>
          <t>RSPO Certification</t>
        </is>
      </c>
      <c r="F6419" t="inlineStr">
        <is>
          <t>Kuala Tanjung oleochemicals facility RSPO certified (until Jul 31 2024 via BRC)</t>
        </is>
      </c>
      <c r="G6419" t="inlineStr">
        <is>
          <t>text</t>
        </is>
      </c>
      <c r="H6419" t="n">
        <v>60</v>
      </c>
      <c r="I6419" t="inlineStr">
        <is>
          <t>memperoleh sertifikasi RSPO, ISO 9001:2015, ISO 22000:2018, HACCP, GMP, Halal (MUI), Kosher (Orthodox Union)</t>
        </is>
      </c>
      <c r="J6419" t="inlineStr">
        <is>
          <t>High</t>
        </is>
      </c>
      <c r="M6419" t="inlineStr">
        <is>
          <t>LLM</t>
        </is>
      </c>
      <c r="N6419" t="inlineStr">
        <is>
          <t>2026-04-19</t>
        </is>
      </c>
      <c r="O6419" t="inlineStr">
        <is>
          <t>AI</t>
        </is>
      </c>
    </row>
    <row r="6420">
      <c r="A6420" t="inlineStr">
        <is>
          <t>PT Bakrie Sumatera Plantations Tbk</t>
        </is>
      </c>
      <c r="B6420" t="inlineStr">
        <is>
          <t>UNSP_2024_AR.pdf</t>
        </is>
      </c>
      <c r="C6420" t="n">
        <v>2024</v>
      </c>
      <c r="D6420" t="inlineStr">
        <is>
          <t>ESG</t>
        </is>
      </c>
      <c r="E6420" t="inlineStr">
        <is>
          <t>ISCC Certification</t>
        </is>
      </c>
      <c r="F6420" t="inlineStr">
        <is>
          <t>ISCC EU - POME Sumbar (BPP) 2024</t>
        </is>
      </c>
      <c r="G6420" t="inlineStr">
        <is>
          <t>text</t>
        </is>
      </c>
      <c r="H6420" t="n">
        <v>47</v>
      </c>
      <c r="I6420" t="inlineStr">
        <is>
          <t>ISCC EU - POME Sumbar (BPP) SBC Asia Sertifikasi 16-03-2024 15-03-2025</t>
        </is>
      </c>
      <c r="J6420" t="inlineStr">
        <is>
          <t>High</t>
        </is>
      </c>
      <c r="M6420" t="inlineStr">
        <is>
          <t>LLM</t>
        </is>
      </c>
      <c r="N6420" t="inlineStr">
        <is>
          <t>2026-04-19</t>
        </is>
      </c>
      <c r="O6420" t="inlineStr">
        <is>
          <t>AI</t>
        </is>
      </c>
    </row>
    <row r="6421">
      <c r="A6421" t="inlineStr">
        <is>
          <t>PT Bakrie Sumatera Plantations Tbk</t>
        </is>
      </c>
      <c r="B6421" t="inlineStr">
        <is>
          <t>UNSP_2024_AR.pdf</t>
        </is>
      </c>
      <c r="C6421" t="n">
        <v>2024</v>
      </c>
      <c r="D6421" t="inlineStr">
        <is>
          <t>Other</t>
        </is>
      </c>
      <c r="E6421" t="inlineStr">
        <is>
          <t>Going Concern Note (Note 44)</t>
        </is>
      </c>
      <c r="F6421" t="inlineStr">
        <is>
          <t>Going-concern qualification - loan restructuring ongoing</t>
        </is>
      </c>
      <c r="G6421" t="inlineStr">
        <is>
          <t>text</t>
        </is>
      </c>
      <c r="H6421" t="n">
        <v>105</v>
      </c>
      <c r="I6421" t="inlineStr">
        <is>
          <t>Kondisi ini menimbulkan keraguan signifikan terkait dengan kemampuan Perusahaan Anda untuk melanjutkan usahanya secara berkesinambungan (loans being restructured; postponed principal/interest payments)</t>
        </is>
      </c>
      <c r="J6421" t="inlineStr">
        <is>
          <t>High</t>
        </is>
      </c>
      <c r="M6421" t="inlineStr">
        <is>
          <t>LLM</t>
        </is>
      </c>
      <c r="N6421" t="inlineStr">
        <is>
          <t>2026-04-19</t>
        </is>
      </c>
      <c r="O6421" t="inlineStr">
        <is>
          <t>AI</t>
        </is>
      </c>
    </row>
    <row r="6422">
      <c r="A6422" t="inlineStr">
        <is>
          <t>PT Bakrie Sumatera Plantations Tbk</t>
        </is>
      </c>
      <c r="B6422" t="inlineStr">
        <is>
          <t>UNSP_2024_AR.pdf</t>
        </is>
      </c>
      <c r="C6422" t="n">
        <v>2024</v>
      </c>
      <c r="D6422" t="inlineStr">
        <is>
          <t>Other</t>
        </is>
      </c>
      <c r="E6422" t="inlineStr">
        <is>
          <t>Equity-Linked Notes Interest Payment Status</t>
        </is>
      </c>
      <c r="F6422" t="inlineStr">
        <is>
          <t>No interest payments since 1 Sep 2014 to 1 Sep 2024 (all zeros)</t>
        </is>
      </c>
      <c r="G6422" t="inlineStr">
        <is>
          <t>text</t>
        </is>
      </c>
      <c r="H6422" t="n">
        <v>9</v>
      </c>
      <c r="I6422" t="inlineStr">
        <is>
          <t>26. 1 Maret 2024 - ; 27. 1 September 2024 -</t>
        </is>
      </c>
      <c r="J6422" t="inlineStr">
        <is>
          <t>High</t>
        </is>
      </c>
      <c r="M6422" t="inlineStr">
        <is>
          <t>LLM</t>
        </is>
      </c>
      <c r="N6422" t="inlineStr">
        <is>
          <t>2026-04-19</t>
        </is>
      </c>
      <c r="O6422" t="inlineStr">
        <is>
          <t>AI</t>
        </is>
      </c>
    </row>
    <row r="6423">
      <c r="A6423" t="inlineStr">
        <is>
          <t>PT Bakrie Sumatera Plantations Tbk</t>
        </is>
      </c>
      <c r="B6423" t="inlineStr">
        <is>
          <t>UNSP_2024_AR.pdf</t>
        </is>
      </c>
      <c r="C6423" t="n">
        <v>2024</v>
      </c>
      <c r="D6423" t="inlineStr">
        <is>
          <t>Other</t>
        </is>
      </c>
      <c r="E6423" t="inlineStr">
        <is>
          <t>BRC (Oleochem subsidiary) Deconsolidation</t>
        </is>
      </c>
      <c r="F6423" t="inlineStr">
        <is>
          <t>BRC ceased to be subsidiary following dilution via share conversion to AT; derecognized Rp196.55 bn of BRC loans to Filini</t>
        </is>
      </c>
      <c r="G6423" t="inlineStr">
        <is>
          <t>text</t>
        </is>
      </c>
      <c r="H6423" t="n">
        <v>108</v>
      </c>
      <c r="I6423" t="inlineStr">
        <is>
          <t>Perusahaan kehilangan pengendalian atas PT Bakrie Renewable Chemicals (BRC), sehingga Perusahaan menghentikan pengakuan pinjaman BRC kepada Filini sebesar Rp196,55 miliar</t>
        </is>
      </c>
      <c r="J6423" t="inlineStr">
        <is>
          <t>High</t>
        </is>
      </c>
      <c r="M6423" t="inlineStr">
        <is>
          <t>LLM</t>
        </is>
      </c>
      <c r="N6423" t="inlineStr">
        <is>
          <t>2026-04-19</t>
        </is>
      </c>
      <c r="O6423" t="inlineStr">
        <is>
          <t>AI</t>
        </is>
      </c>
    </row>
    <row r="6424">
      <c r="A6424" t="inlineStr">
        <is>
          <t>PT Bakrie Sumatera Plantations Tbk</t>
        </is>
      </c>
      <c r="B6424" t="inlineStr">
        <is>
          <t>UNSP_2024_AR.pdf</t>
        </is>
      </c>
      <c r="C6424" t="n">
        <v>2024</v>
      </c>
      <c r="D6424" t="inlineStr">
        <is>
          <t>Other</t>
        </is>
      </c>
      <c r="E6424" t="inlineStr">
        <is>
          <t>Tebo &amp; Sarolangun Projects Write-Off</t>
        </is>
      </c>
      <c r="F6424" t="inlineStr">
        <is>
          <t>Both palm development projects written off following revocation of plantation permits by Muara Tebo &amp; Sarolangun regencies in 2024</t>
        </is>
      </c>
      <c r="G6424" t="inlineStr">
        <is>
          <t>text</t>
        </is>
      </c>
      <c r="H6424" t="n">
        <v>58</v>
      </c>
      <c r="I6424" t="inlineStr">
        <is>
          <t>Perusahaan Anda melalui Entitas Anak AGW menghapus buku proyek pengembangan usaha Tebo dan Sarolangun, sehubungan dengan pencabutan izin perkebunan kelapa sawit di Kabupaten Muara Tebo dan Sarolangun, Jambi</t>
        </is>
      </c>
      <c r="J6424" t="inlineStr">
        <is>
          <t>High</t>
        </is>
      </c>
      <c r="M6424" t="inlineStr">
        <is>
          <t>LLM</t>
        </is>
      </c>
      <c r="N6424" t="inlineStr">
        <is>
          <t>2026-04-19</t>
        </is>
      </c>
      <c r="O6424" t="inlineStr">
        <is>
          <t>AI</t>
        </is>
      </c>
    </row>
    <row r="6425">
      <c r="A6425" t="inlineStr">
        <is>
          <t>PT Bakrie Sumatera Plantations Tbk</t>
        </is>
      </c>
      <c r="B6425" t="inlineStr">
        <is>
          <t>UNSP_2024_AR.pdf</t>
        </is>
      </c>
      <c r="C6425" t="n">
        <v>2024</v>
      </c>
      <c r="D6425" t="inlineStr">
        <is>
          <t>Other</t>
        </is>
      </c>
      <c r="E6425" t="inlineStr">
        <is>
          <t>USD 100 mn Equity-Linked Notes Listed SGX</t>
        </is>
      </c>
      <c r="F6425" t="inlineStr">
        <is>
          <t>USD 100,000,000 at 8% p.a. listed on SGX-ST since 18 Feb 2010</t>
        </is>
      </c>
      <c r="G6425" t="inlineStr">
        <is>
          <t>text</t>
        </is>
      </c>
      <c r="H6425" t="n">
        <v>11</v>
      </c>
      <c r="I6425" t="inlineStr">
        <is>
          <t>SGX-ST 18 Februari 2010 100.000.000 8% p.a.</t>
        </is>
      </c>
      <c r="J6425" t="inlineStr">
        <is>
          <t>High</t>
        </is>
      </c>
      <c r="M6425" t="inlineStr">
        <is>
          <t>LLM</t>
        </is>
      </c>
      <c r="N6425" t="inlineStr">
        <is>
          <t>2026-04-19</t>
        </is>
      </c>
      <c r="O6425" t="inlineStr">
        <is>
          <t>AI</t>
        </is>
      </c>
    </row>
    <row r="6426">
      <c r="A6426" t="inlineStr">
        <is>
          <t>PT Bakrie Sumatera Plantations Tbk</t>
        </is>
      </c>
      <c r="B6426" t="inlineStr">
        <is>
          <t>UNSP_2024_AR.pdf</t>
        </is>
      </c>
      <c r="C6426" t="n">
        <v>2024</v>
      </c>
      <c r="D6426" t="inlineStr">
        <is>
          <t>Other</t>
        </is>
      </c>
      <c r="E6426" t="inlineStr">
        <is>
          <t>No Dividend Since 2012</t>
        </is>
      </c>
      <c r="F6426" t="inlineStr">
        <is>
          <t>No cash dividend distributed from 2013 onwards</t>
        </is>
      </c>
      <c r="G6426" t="inlineStr">
        <is>
          <t>text</t>
        </is>
      </c>
      <c r="H6426" t="n">
        <v>9</v>
      </c>
      <c r="I6426" t="inlineStr">
        <is>
          <t>Dividend table shows 0 dividend from 2013 to 2024</t>
        </is>
      </c>
      <c r="J6426" t="inlineStr">
        <is>
          <t>High</t>
        </is>
      </c>
      <c r="M6426" t="inlineStr">
        <is>
          <t>LLM</t>
        </is>
      </c>
      <c r="N6426" t="inlineStr">
        <is>
          <t>2026-04-19</t>
        </is>
      </c>
      <c r="O6426" t="inlineStr">
        <is>
          <t>AI</t>
        </is>
      </c>
    </row>
    <row r="6427">
      <c r="A6427" t="inlineStr">
        <is>
          <t>PT Bakrie Sumatera Plantations Tbk</t>
        </is>
      </c>
      <c r="B6427" t="inlineStr">
        <is>
          <t>UNSP_2024_AR.pdf</t>
        </is>
      </c>
      <c r="C6427" t="n">
        <v>2024</v>
      </c>
      <c r="D6427" t="inlineStr">
        <is>
          <t>Other</t>
        </is>
      </c>
      <c r="E6427" t="inlineStr">
        <is>
          <t>Long-term Loan Payment 2024</t>
        </is>
      </c>
      <c r="F6427" t="inlineStr">
        <is>
          <t>USD 3,500,000 (~Rp56.34 bn) paid in 2024</t>
        </is>
      </c>
      <c r="G6427" t="inlineStr">
        <is>
          <t>USD</t>
        </is>
      </c>
      <c r="H6427" t="n">
        <v>108</v>
      </c>
      <c r="I6427" t="inlineStr">
        <is>
          <t>Perusahaan Anda telah melakukan pembayaran pinjaman jangka panjang sebesar USD3.500.000 atau setara dengan Rp56,34 miliar</t>
        </is>
      </c>
      <c r="J6427" t="inlineStr">
        <is>
          <t>High</t>
        </is>
      </c>
      <c r="M6427" t="inlineStr">
        <is>
          <t>LLM</t>
        </is>
      </c>
      <c r="N6427" t="inlineStr">
        <is>
          <t>2026-04-19</t>
        </is>
      </c>
      <c r="O6427" t="inlineStr">
        <is>
          <t>AI</t>
        </is>
      </c>
    </row>
    <row r="6428">
      <c r="A6428" t="inlineStr">
        <is>
          <t>PT Wahana Pronatural Tbk</t>
        </is>
      </c>
      <c r="B6428" t="inlineStr">
        <is>
          <t>WAPO_2022_AR.pdf</t>
        </is>
      </c>
      <c r="C6428" t="n">
        <v>2022</v>
      </c>
      <c r="D6428" t="inlineStr">
        <is>
          <t>Company</t>
        </is>
      </c>
      <c r="E6428" t="inlineStr">
        <is>
          <t>Company Name</t>
        </is>
      </c>
      <c r="F6428" t="inlineStr">
        <is>
          <t>PT Wahana Pronatural Tbk</t>
        </is>
      </c>
      <c r="G6428" t="inlineStr">
        <is>
          <t>text</t>
        </is>
      </c>
      <c r="H6428" t="n">
        <v>3</v>
      </c>
      <c r="I6428" t="inlineStr">
        <is>
          <t>PT WAHANA PRONATURAL Tbk - Laporan Tahunan dan Laporan Keberlanjutan 2022</t>
        </is>
      </c>
      <c r="J6428" t="inlineStr">
        <is>
          <t>High</t>
        </is>
      </c>
      <c r="M6428" t="inlineStr">
        <is>
          <t>LLM</t>
        </is>
      </c>
      <c r="N6428" t="inlineStr">
        <is>
          <t>2026-04-19</t>
        </is>
      </c>
      <c r="O6428" t="inlineStr">
        <is>
          <t>AI</t>
        </is>
      </c>
    </row>
    <row r="6429">
      <c r="A6429" t="inlineStr">
        <is>
          <t>PT Wahana Pronatural Tbk</t>
        </is>
      </c>
      <c r="B6429" t="inlineStr">
        <is>
          <t>WAPO_2022_AR.pdf</t>
        </is>
      </c>
      <c r="C6429" t="n">
        <v>2022</v>
      </c>
      <c r="D6429" t="inlineStr">
        <is>
          <t>Company</t>
        </is>
      </c>
      <c r="E6429" t="inlineStr">
        <is>
          <t>Ticker</t>
        </is>
      </c>
      <c r="F6429" t="inlineStr">
        <is>
          <t>WAPO</t>
        </is>
      </c>
      <c r="G6429" t="inlineStr">
        <is>
          <t>text</t>
        </is>
      </c>
      <c r="H6429" t="n">
        <v>1</v>
      </c>
      <c r="I6429" t="inlineStr">
        <is>
          <t>PT Wahana Pronatural Tbk listed on IDX as WAPO since 22 June 2001</t>
        </is>
      </c>
      <c r="J6429" t="inlineStr">
        <is>
          <t>High</t>
        </is>
      </c>
      <c r="M6429" t="inlineStr">
        <is>
          <t>LLM</t>
        </is>
      </c>
      <c r="N6429" t="inlineStr">
        <is>
          <t>2026-04-19</t>
        </is>
      </c>
      <c r="O6429" t="inlineStr">
        <is>
          <t>AI</t>
        </is>
      </c>
    </row>
    <row r="6430">
      <c r="A6430" t="inlineStr">
        <is>
          <t>PT Wahana Pronatural Tbk</t>
        </is>
      </c>
      <c r="B6430" t="inlineStr">
        <is>
          <t>WAPO_2022_AR.pdf</t>
        </is>
      </c>
      <c r="C6430" t="n">
        <v>2022</v>
      </c>
      <c r="D6430" t="inlineStr">
        <is>
          <t>Company</t>
        </is>
      </c>
      <c r="E6430" t="inlineStr">
        <is>
          <t>Year of AR</t>
        </is>
      </c>
      <c r="F6430" t="n">
        <v>2022</v>
      </c>
      <c r="G6430" t="inlineStr">
        <is>
          <t>year</t>
        </is>
      </c>
      <c r="H6430" t="n">
        <v>1</v>
      </c>
      <c r="I6430" t="inlineStr">
        <is>
          <t>Laporan Tahunan dan Laporan Keberlanjutan 2022</t>
        </is>
      </c>
      <c r="J6430" t="inlineStr">
        <is>
          <t>High</t>
        </is>
      </c>
      <c r="M6430" t="inlineStr">
        <is>
          <t>LLM</t>
        </is>
      </c>
      <c r="N6430" t="inlineStr">
        <is>
          <t>2026-04-19</t>
        </is>
      </c>
      <c r="O6430" t="inlineStr">
        <is>
          <t>AI</t>
        </is>
      </c>
    </row>
    <row r="6431">
      <c r="A6431" t="inlineStr">
        <is>
          <t>PT Wahana Pronatural Tbk</t>
        </is>
      </c>
      <c r="B6431" t="inlineStr">
        <is>
          <t>WAPO_2022_AR.pdf</t>
        </is>
      </c>
      <c r="C6431" t="n">
        <v>2022</v>
      </c>
      <c r="D6431" t="inlineStr">
        <is>
          <t>Company</t>
        </is>
      </c>
      <c r="E6431" t="inlineStr">
        <is>
          <t>Headquarters</t>
        </is>
      </c>
      <c r="F6431" t="inlineStr">
        <is>
          <t>Surabaya, Indonesia</t>
        </is>
      </c>
      <c r="G6431" t="inlineStr">
        <is>
          <t>text</t>
        </is>
      </c>
      <c r="H6431" t="n">
        <v>8</v>
      </c>
      <c r="I6431" t="inlineStr">
        <is>
          <t>Perseroan berdomisili di Surabaya, berkantor pusat di Gedung Japfa Indoland Center (ex Bumi Mandiri) Tower II Lt.9 R.907 Jl.Panglima Sudirman 66-68 Surabaya</t>
        </is>
      </c>
      <c r="J6431" t="inlineStr">
        <is>
          <t>High</t>
        </is>
      </c>
      <c r="M6431" t="inlineStr">
        <is>
          <t>LLM</t>
        </is>
      </c>
      <c r="N6431" t="inlineStr">
        <is>
          <t>2026-04-19</t>
        </is>
      </c>
      <c r="O6431" t="inlineStr">
        <is>
          <t>AI</t>
        </is>
      </c>
    </row>
    <row r="6432">
      <c r="A6432" t="inlineStr">
        <is>
          <t>PT Wahana Pronatural Tbk</t>
        </is>
      </c>
      <c r="B6432" t="inlineStr">
        <is>
          <t>WAPO_2022_AR.pdf</t>
        </is>
      </c>
      <c r="C6432" t="n">
        <v>2022</v>
      </c>
      <c r="D6432" t="inlineStr">
        <is>
          <t>Company</t>
        </is>
      </c>
      <c r="E6432" t="inlineStr">
        <is>
          <t>Founded / History</t>
        </is>
      </c>
      <c r="F6432" t="inlineStr">
        <is>
          <t>Founded 1993 as PT Golden Phoenix; renamed multiple times; current name PT Wahana Pronatural Tbk since 2012.</t>
        </is>
      </c>
      <c r="G6432" t="inlineStr">
        <is>
          <t>text</t>
        </is>
      </c>
      <c r="H6432" t="n">
        <v>8</v>
      </c>
      <c r="I6432" t="inlineStr">
        <is>
          <t>didirikan di Surabaya Indonesia pada tahun 1993 dengan nama PT Golden Phoenix ... berubah nama menjadi PT Wahana Pronatural Tbk ... 2012</t>
        </is>
      </c>
      <c r="J6432" t="inlineStr">
        <is>
          <t>High</t>
        </is>
      </c>
      <c r="M6432" t="inlineStr">
        <is>
          <t>LLM</t>
        </is>
      </c>
      <c r="N6432" t="inlineStr">
        <is>
          <t>2026-04-19</t>
        </is>
      </c>
      <c r="O6432" t="inlineStr">
        <is>
          <t>AI</t>
        </is>
      </c>
    </row>
    <row r="6433">
      <c r="A6433" t="inlineStr">
        <is>
          <t>PT Wahana Pronatural Tbk</t>
        </is>
      </c>
      <c r="B6433" t="inlineStr">
        <is>
          <t>WAPO_2022_AR.pdf</t>
        </is>
      </c>
      <c r="C6433" t="n">
        <v>2022</v>
      </c>
      <c r="D6433" t="inlineStr">
        <is>
          <t>Company</t>
        </is>
      </c>
      <c r="E6433" t="inlineStr">
        <is>
          <t>IPO Date</t>
        </is>
      </c>
      <c r="F6433" t="inlineStr">
        <is>
          <t>22 June 2001</t>
        </is>
      </c>
      <c r="G6433" t="inlineStr">
        <is>
          <t>date</t>
        </is>
      </c>
      <c r="H6433" t="n">
        <v>8</v>
      </c>
      <c r="I6433" t="inlineStr">
        <is>
          <t>Pada tanggal 22 Juni 2001 Perseroan mencatatkan saham perdana di Bursa Efek Indonesia</t>
        </is>
      </c>
      <c r="J6433" t="inlineStr">
        <is>
          <t>High</t>
        </is>
      </c>
      <c r="M6433" t="inlineStr">
        <is>
          <t>LLM</t>
        </is>
      </c>
      <c r="N6433" t="inlineStr">
        <is>
          <t>2026-04-19</t>
        </is>
      </c>
      <c r="O6433" t="inlineStr">
        <is>
          <t>AI</t>
        </is>
      </c>
    </row>
    <row r="6434">
      <c r="A6434" t="inlineStr">
        <is>
          <t>PT Wahana Pronatural Tbk</t>
        </is>
      </c>
      <c r="B6434" t="inlineStr">
        <is>
          <t>WAPO_2022_AR.pdf</t>
        </is>
      </c>
      <c r="C6434" t="n">
        <v>2022</v>
      </c>
      <c r="D6434" t="inlineStr">
        <is>
          <t>Company</t>
        </is>
      </c>
      <c r="E6434" t="inlineStr">
        <is>
          <t>Primary Business (Articles of Association)</t>
        </is>
      </c>
      <c r="F6434" t="inlineStr">
        <is>
          <t>Trading, construction, industrial, agricultural, transportation, rental/leasing, and other services. Main commercial activity: trading of agricultural and marine products + wholesale of non-alcoholic non-milk beverages.</t>
        </is>
      </c>
      <c r="G6434" t="inlineStr">
        <is>
          <t>text</t>
        </is>
      </c>
      <c r="H6434" t="n">
        <v>142</v>
      </c>
      <c r="I6434" t="inlineStr">
        <is>
          <t>ruang lingkup kegiatan Perusahaan adalah dalam bidang perdagangan, pembangunan, peindustrian, pertanian ... perdagangan hasil pertanian dan kelautan serta perdagangan besar minuman non alkohol bukan susu</t>
        </is>
      </c>
      <c r="J6434" t="inlineStr">
        <is>
          <t>High</t>
        </is>
      </c>
      <c r="M6434" t="inlineStr">
        <is>
          <t>LLM</t>
        </is>
      </c>
      <c r="N6434" t="inlineStr">
        <is>
          <t>2026-04-19</t>
        </is>
      </c>
      <c r="O6434" t="inlineStr">
        <is>
          <t>AI</t>
        </is>
      </c>
    </row>
    <row r="6435">
      <c r="A6435" t="inlineStr">
        <is>
          <t>PT Wahana Pronatural Tbk</t>
        </is>
      </c>
      <c r="B6435" t="inlineStr">
        <is>
          <t>WAPO_2022_AR.pdf</t>
        </is>
      </c>
      <c r="C6435" t="n">
        <v>2022</v>
      </c>
      <c r="D6435" t="inlineStr">
        <is>
          <t>Company</t>
        </is>
      </c>
      <c r="E6435" t="inlineStr">
        <is>
          <t>Main Products 2022</t>
        </is>
      </c>
      <c r="F6435" t="inlineStr">
        <is>
          <t>Coffee beans, dried seaweed, candy (factory in Bogor leased to third party), flavoured drinks (Sunkist Water C), bottled water (AirAlam)</t>
        </is>
      </c>
      <c r="G6435" t="inlineStr">
        <is>
          <t>text</t>
        </is>
      </c>
      <c r="H6435" t="n">
        <v>8</v>
      </c>
      <c r="I6435" t="inlineStr">
        <is>
          <t>Produk utama yang dihasilkan adalah komoditas biji Kopi, Rumput Laut Kering, minuman rasa dan air mineral</t>
        </is>
      </c>
      <c r="J6435" t="inlineStr">
        <is>
          <t>High</t>
        </is>
      </c>
      <c r="M6435" t="inlineStr">
        <is>
          <t>LLM</t>
        </is>
      </c>
      <c r="N6435" t="inlineStr">
        <is>
          <t>2026-04-19</t>
        </is>
      </c>
      <c r="O6435" t="inlineStr">
        <is>
          <t>AI</t>
        </is>
      </c>
    </row>
    <row r="6436">
      <c r="A6436" t="inlineStr">
        <is>
          <t>PT Wahana Pronatural Tbk</t>
        </is>
      </c>
      <c r="B6436" t="inlineStr">
        <is>
          <t>WAPO_2022_AR.pdf</t>
        </is>
      </c>
      <c r="C6436" t="n">
        <v>2022</v>
      </c>
      <c r="D6436" t="inlineStr">
        <is>
          <t>Company</t>
        </is>
      </c>
      <c r="E6436" t="inlineStr">
        <is>
          <t>Controlling Shareholder 1</t>
        </is>
      </c>
      <c r="F6436" t="inlineStr">
        <is>
          <t>PT Hijau Sari 36.07%</t>
        </is>
      </c>
      <c r="G6436" t="inlineStr">
        <is>
          <t>%</t>
        </is>
      </c>
      <c r="H6436" t="n">
        <v>11</v>
      </c>
      <c r="I6436" t="inlineStr">
        <is>
          <t>PT. Hijau Sari 447.562.500 36.07</t>
        </is>
      </c>
      <c r="J6436" t="inlineStr">
        <is>
          <t>High</t>
        </is>
      </c>
      <c r="M6436" t="inlineStr">
        <is>
          <t>LLM</t>
        </is>
      </c>
      <c r="N6436" t="inlineStr">
        <is>
          <t>2026-04-19</t>
        </is>
      </c>
      <c r="O6436" t="inlineStr">
        <is>
          <t>AI</t>
        </is>
      </c>
    </row>
    <row r="6437">
      <c r="A6437" t="inlineStr">
        <is>
          <t>PT Wahana Pronatural Tbk</t>
        </is>
      </c>
      <c r="B6437" t="inlineStr">
        <is>
          <t>WAPO_2022_AR.pdf</t>
        </is>
      </c>
      <c r="C6437" t="n">
        <v>2022</v>
      </c>
      <c r="D6437" t="inlineStr">
        <is>
          <t>Company</t>
        </is>
      </c>
      <c r="E6437" t="inlineStr">
        <is>
          <t>Controlling Shareholder 2</t>
        </is>
      </c>
      <c r="F6437" t="inlineStr">
        <is>
          <t>PT Mitra Niaga Sakti 32.44%</t>
        </is>
      </c>
      <c r="G6437" t="inlineStr">
        <is>
          <t>%</t>
        </is>
      </c>
      <c r="H6437" t="n">
        <v>11</v>
      </c>
      <c r="I6437" t="inlineStr">
        <is>
          <t>PT. Mitra Niaga Sakti 402.562.500 32.44</t>
        </is>
      </c>
      <c r="J6437" t="inlineStr">
        <is>
          <t>High</t>
        </is>
      </c>
      <c r="M6437" t="inlineStr">
        <is>
          <t>LLM</t>
        </is>
      </c>
      <c r="N6437" t="inlineStr">
        <is>
          <t>2026-04-19</t>
        </is>
      </c>
      <c r="O6437" t="inlineStr">
        <is>
          <t>AI</t>
        </is>
      </c>
    </row>
    <row r="6438">
      <c r="A6438" t="inlineStr">
        <is>
          <t>PT Wahana Pronatural Tbk</t>
        </is>
      </c>
      <c r="B6438" t="inlineStr">
        <is>
          <t>WAPO_2022_AR.pdf</t>
        </is>
      </c>
      <c r="C6438" t="n">
        <v>2022</v>
      </c>
      <c r="D6438" t="inlineStr">
        <is>
          <t>Company</t>
        </is>
      </c>
      <c r="E6438" t="inlineStr">
        <is>
          <t>Public Float</t>
        </is>
      </c>
      <c r="F6438" t="n">
        <v>0.19</v>
      </c>
      <c r="G6438" t="inlineStr">
        <is>
          <t>%</t>
        </is>
      </c>
      <c r="H6438" t="n">
        <v>11</v>
      </c>
      <c r="I6438" t="inlineStr">
        <is>
          <t>Masyarakat (dibawah 5%) 235.798.111 19.00</t>
        </is>
      </c>
      <c r="J6438" t="inlineStr">
        <is>
          <t>High</t>
        </is>
      </c>
      <c r="M6438" t="inlineStr">
        <is>
          <t>LLM</t>
        </is>
      </c>
      <c r="N6438" t="inlineStr">
        <is>
          <t>2026-04-19</t>
        </is>
      </c>
      <c r="O6438" t="inlineStr">
        <is>
          <t>AI</t>
        </is>
      </c>
    </row>
    <row r="6439">
      <c r="A6439" t="inlineStr">
        <is>
          <t>PT Wahana Pronatural Tbk</t>
        </is>
      </c>
      <c r="B6439" t="inlineStr">
        <is>
          <t>WAPO_2022_AR.pdf</t>
        </is>
      </c>
      <c r="C6439" t="n">
        <v>2022</v>
      </c>
      <c r="D6439" t="inlineStr">
        <is>
          <t>Company</t>
        </is>
      </c>
      <c r="E6439" t="inlineStr">
        <is>
          <t>Employees (headcount)</t>
        </is>
      </c>
      <c r="F6439" t="n">
        <v>9</v>
      </c>
      <c r="G6439" t="inlineStr">
        <is>
          <t>count</t>
        </is>
      </c>
      <c r="H6439" t="n">
        <v>17</v>
      </c>
      <c r="I6439" t="inlineStr">
        <is>
          <t>Perseroan pada tahun 2024 memiliki 9 orang karyawan (consistent with 2022 small headcount; AR 2022 also shows single-digit employees)</t>
        </is>
      </c>
      <c r="J6439" t="inlineStr">
        <is>
          <t>Medium</t>
        </is>
      </c>
      <c r="M6439" t="inlineStr">
        <is>
          <t>LLM</t>
        </is>
      </c>
      <c r="N6439" t="inlineStr">
        <is>
          <t>2026-04-19</t>
        </is>
      </c>
      <c r="O6439" t="inlineStr">
        <is>
          <t>AI</t>
        </is>
      </c>
    </row>
    <row r="6440">
      <c r="A6440" t="inlineStr">
        <is>
          <t>PT Wahana Pronatural Tbk</t>
        </is>
      </c>
      <c r="B6440" t="inlineStr">
        <is>
          <t>WAPO_2022_AR.pdf</t>
        </is>
      </c>
      <c r="C6440" t="n">
        <v>2022</v>
      </c>
      <c r="D6440" t="inlineStr">
        <is>
          <t>Financial</t>
        </is>
      </c>
      <c r="E6440" t="inlineStr">
        <is>
          <t>Revenue (Net Sales)</t>
        </is>
      </c>
      <c r="F6440" t="n">
        <v>330.02</v>
      </c>
      <c r="G6440" t="inlineStr">
        <is>
          <t>IDR bn</t>
        </is>
      </c>
      <c r="H6440" t="n">
        <v>140</v>
      </c>
      <c r="I6440" t="inlineStr">
        <is>
          <t>PENJUALAN BERSIH 22 330.020.475.370 (2022)</t>
        </is>
      </c>
      <c r="J6440" t="inlineStr">
        <is>
          <t>High</t>
        </is>
      </c>
      <c r="M6440" t="inlineStr">
        <is>
          <t>LLM</t>
        </is>
      </c>
      <c r="N6440" t="inlineStr">
        <is>
          <t>2026-04-19</t>
        </is>
      </c>
      <c r="O6440" t="inlineStr">
        <is>
          <t>AI</t>
        </is>
      </c>
    </row>
    <row r="6441">
      <c r="A6441" t="inlineStr">
        <is>
          <t>PT Wahana Pronatural Tbk</t>
        </is>
      </c>
      <c r="B6441" t="inlineStr">
        <is>
          <t>WAPO_2022_AR.pdf</t>
        </is>
      </c>
      <c r="C6441" t="n">
        <v>2022</v>
      </c>
      <c r="D6441" t="inlineStr">
        <is>
          <t>Financial</t>
        </is>
      </c>
      <c r="E6441" t="inlineStr">
        <is>
          <t>Cost of Goods Sold</t>
        </is>
      </c>
      <c r="F6441" t="n">
        <v>327.26</v>
      </c>
      <c r="G6441" t="inlineStr">
        <is>
          <t>IDR bn</t>
        </is>
      </c>
      <c r="H6441" t="n">
        <v>140</v>
      </c>
      <c r="I6441" t="inlineStr">
        <is>
          <t>BEBAN POKOK PENJUALAN 23 (327.261.833.448)</t>
        </is>
      </c>
      <c r="J6441" t="inlineStr">
        <is>
          <t>High</t>
        </is>
      </c>
      <c r="M6441" t="inlineStr">
        <is>
          <t>LLM</t>
        </is>
      </c>
      <c r="N6441" t="inlineStr">
        <is>
          <t>2026-04-19</t>
        </is>
      </c>
      <c r="O6441" t="inlineStr">
        <is>
          <t>AI</t>
        </is>
      </c>
    </row>
    <row r="6442">
      <c r="A6442" t="inlineStr">
        <is>
          <t>PT Wahana Pronatural Tbk</t>
        </is>
      </c>
      <c r="B6442" t="inlineStr">
        <is>
          <t>WAPO_2022_AR.pdf</t>
        </is>
      </c>
      <c r="C6442" t="n">
        <v>2022</v>
      </c>
      <c r="D6442" t="inlineStr">
        <is>
          <t>Financial</t>
        </is>
      </c>
      <c r="E6442" t="inlineStr">
        <is>
          <t>Gross Profit</t>
        </is>
      </c>
      <c r="F6442" t="n">
        <v>2.76</v>
      </c>
      <c r="G6442" t="inlineStr">
        <is>
          <t>IDR bn</t>
        </is>
      </c>
      <c r="H6442" t="n">
        <v>140</v>
      </c>
      <c r="I6442" t="inlineStr">
        <is>
          <t>LABA KOTOR 2.758.641.922</t>
        </is>
      </c>
      <c r="J6442" t="inlineStr">
        <is>
          <t>High</t>
        </is>
      </c>
      <c r="M6442" t="inlineStr">
        <is>
          <t>LLM</t>
        </is>
      </c>
      <c r="N6442" t="inlineStr">
        <is>
          <t>2026-04-19</t>
        </is>
      </c>
      <c r="O6442" t="inlineStr">
        <is>
          <t>AI</t>
        </is>
      </c>
    </row>
    <row r="6443">
      <c r="A6443" t="inlineStr">
        <is>
          <t>PT Wahana Pronatural Tbk</t>
        </is>
      </c>
      <c r="B6443" t="inlineStr">
        <is>
          <t>WAPO_2022_AR.pdf</t>
        </is>
      </c>
      <c r="C6443" t="n">
        <v>2022</v>
      </c>
      <c r="D6443" t="inlineStr">
        <is>
          <t>Financial</t>
        </is>
      </c>
      <c r="E6443" t="inlineStr">
        <is>
          <t>Operating Expenses</t>
        </is>
      </c>
      <c r="F6443" t="n">
        <v>8.720000000000001</v>
      </c>
      <c r="G6443" t="inlineStr">
        <is>
          <t>IDR bn</t>
        </is>
      </c>
      <c r="H6443" t="n">
        <v>140</v>
      </c>
      <c r="I6443" t="inlineStr">
        <is>
          <t>Beban penjualan (57.537.200) + Beban umum dan administrasi (8.658.517.551) = 8,716,054,751</t>
        </is>
      </c>
      <c r="J6443" t="inlineStr">
        <is>
          <t>High</t>
        </is>
      </c>
      <c r="M6443" t="inlineStr">
        <is>
          <t>LLM</t>
        </is>
      </c>
      <c r="N6443" t="inlineStr">
        <is>
          <t>2026-04-19</t>
        </is>
      </c>
      <c r="O6443" t="inlineStr">
        <is>
          <t>AI</t>
        </is>
      </c>
    </row>
    <row r="6444">
      <c r="A6444" t="inlineStr">
        <is>
          <t>PT Wahana Pronatural Tbk</t>
        </is>
      </c>
      <c r="B6444" t="inlineStr">
        <is>
          <t>WAPO_2022_AR.pdf</t>
        </is>
      </c>
      <c r="C6444" t="n">
        <v>2022</v>
      </c>
      <c r="D6444" t="inlineStr">
        <is>
          <t>Financial</t>
        </is>
      </c>
      <c r="E6444" t="inlineStr">
        <is>
          <t>Operating Loss (EBIT)</t>
        </is>
      </c>
      <c r="F6444" t="n">
        <v>-5.96</v>
      </c>
      <c r="G6444" t="inlineStr">
        <is>
          <t>IDR bn</t>
        </is>
      </c>
      <c r="H6444" t="n">
        <v>140</v>
      </c>
      <c r="I6444" t="inlineStr">
        <is>
          <t>RUGI USAHA (5.957.412.829)</t>
        </is>
      </c>
      <c r="J6444" t="inlineStr">
        <is>
          <t>High</t>
        </is>
      </c>
      <c r="M6444" t="inlineStr">
        <is>
          <t>LLM</t>
        </is>
      </c>
      <c r="N6444" t="inlineStr">
        <is>
          <t>2026-04-19</t>
        </is>
      </c>
      <c r="O6444" t="inlineStr">
        <is>
          <t>AI</t>
        </is>
      </c>
    </row>
    <row r="6445">
      <c r="A6445" t="inlineStr">
        <is>
          <t>PT Wahana Pronatural Tbk</t>
        </is>
      </c>
      <c r="B6445" t="inlineStr">
        <is>
          <t>WAPO_2022_AR.pdf</t>
        </is>
      </c>
      <c r="C6445" t="n">
        <v>2022</v>
      </c>
      <c r="D6445" t="inlineStr">
        <is>
          <t>Financial</t>
        </is>
      </c>
      <c r="E6445" t="inlineStr">
        <is>
          <t>Other Income (Net)</t>
        </is>
      </c>
      <c r="F6445" t="n">
        <v>1.63</v>
      </c>
      <c r="G6445" t="inlineStr">
        <is>
          <t>IDR bn</t>
        </is>
      </c>
      <c r="H6445" t="n">
        <v>140</v>
      </c>
      <c r="I6445" t="inlineStr">
        <is>
          <t>PENDAPATAN LAIN-LAIN BERSIH 1.632.358.864</t>
        </is>
      </c>
      <c r="J6445" t="inlineStr">
        <is>
          <t>High</t>
        </is>
      </c>
      <c r="M6445" t="inlineStr">
        <is>
          <t>LLM</t>
        </is>
      </c>
      <c r="N6445" t="inlineStr">
        <is>
          <t>2026-04-19</t>
        </is>
      </c>
      <c r="O6445" t="inlineStr">
        <is>
          <t>AI</t>
        </is>
      </c>
    </row>
    <row r="6446">
      <c r="A6446" t="inlineStr">
        <is>
          <t>PT Wahana Pronatural Tbk</t>
        </is>
      </c>
      <c r="B6446" t="inlineStr">
        <is>
          <t>WAPO_2022_AR.pdf</t>
        </is>
      </c>
      <c r="C6446" t="n">
        <v>2022</v>
      </c>
      <c r="D6446" t="inlineStr">
        <is>
          <t>Financial</t>
        </is>
      </c>
      <c r="E6446" t="inlineStr">
        <is>
          <t>Finance Expense (Net)</t>
        </is>
      </c>
      <c r="F6446" t="n">
        <v>-0.003</v>
      </c>
      <c r="G6446" t="inlineStr">
        <is>
          <t>IDR bn</t>
        </is>
      </c>
      <c r="H6446" t="n">
        <v>140</v>
      </c>
      <c r="I6446" t="inlineStr">
        <is>
          <t>BEBAN KEUANGAN BERSIH (2.903.382)</t>
        </is>
      </c>
      <c r="J6446" t="inlineStr">
        <is>
          <t>High</t>
        </is>
      </c>
      <c r="M6446" t="inlineStr">
        <is>
          <t>LLM</t>
        </is>
      </c>
      <c r="N6446" t="inlineStr">
        <is>
          <t>2026-04-19</t>
        </is>
      </c>
      <c r="O6446" t="inlineStr">
        <is>
          <t>AI</t>
        </is>
      </c>
    </row>
    <row r="6447">
      <c r="A6447" t="inlineStr">
        <is>
          <t>PT Wahana Pronatural Tbk</t>
        </is>
      </c>
      <c r="B6447" t="inlineStr">
        <is>
          <t>WAPO_2022_AR.pdf</t>
        </is>
      </c>
      <c r="C6447" t="n">
        <v>2022</v>
      </c>
      <c r="D6447" t="inlineStr">
        <is>
          <t>Financial</t>
        </is>
      </c>
      <c r="E6447" t="inlineStr">
        <is>
          <t>Loss Before Tax</t>
        </is>
      </c>
      <c r="F6447" t="n">
        <v>-4.33</v>
      </c>
      <c r="G6447" t="inlineStr">
        <is>
          <t>IDR bn</t>
        </is>
      </c>
      <c r="H6447" t="n">
        <v>140</v>
      </c>
      <c r="I6447" t="inlineStr">
        <is>
          <t>RUGI SEBELUM PAJAK PENGHASILAN (4.327.957.347)</t>
        </is>
      </c>
      <c r="J6447" t="inlineStr">
        <is>
          <t>High</t>
        </is>
      </c>
      <c r="M6447" t="inlineStr">
        <is>
          <t>LLM</t>
        </is>
      </c>
      <c r="N6447" t="inlineStr">
        <is>
          <t>2026-04-19</t>
        </is>
      </c>
      <c r="O6447" t="inlineStr">
        <is>
          <t>AI</t>
        </is>
      </c>
    </row>
    <row r="6448">
      <c r="A6448" t="inlineStr">
        <is>
          <t>PT Wahana Pronatural Tbk</t>
        </is>
      </c>
      <c r="B6448" t="inlineStr">
        <is>
          <t>WAPO_2022_AR.pdf</t>
        </is>
      </c>
      <c r="C6448" t="n">
        <v>2022</v>
      </c>
      <c r="D6448" t="inlineStr">
        <is>
          <t>Financial</t>
        </is>
      </c>
      <c r="E6448" t="inlineStr">
        <is>
          <t>Tax Benefit</t>
        </is>
      </c>
      <c r="F6448" t="n">
        <v>0.26</v>
      </c>
      <c r="G6448" t="inlineStr">
        <is>
          <t>IDR bn</t>
        </is>
      </c>
      <c r="H6448" t="n">
        <v>140</v>
      </c>
      <c r="I6448" t="inlineStr">
        <is>
          <t>BEBAN PAJAK PENGHASILAN 261.338.819 (benefit)</t>
        </is>
      </c>
      <c r="J6448" t="inlineStr">
        <is>
          <t>High</t>
        </is>
      </c>
      <c r="M6448" t="inlineStr">
        <is>
          <t>LLM</t>
        </is>
      </c>
      <c r="N6448" t="inlineStr">
        <is>
          <t>2026-04-19</t>
        </is>
      </c>
      <c r="O6448" t="inlineStr">
        <is>
          <t>AI</t>
        </is>
      </c>
    </row>
    <row r="6449">
      <c r="A6449" t="inlineStr">
        <is>
          <t>PT Wahana Pronatural Tbk</t>
        </is>
      </c>
      <c r="B6449" t="inlineStr">
        <is>
          <t>WAPO_2022_AR.pdf</t>
        </is>
      </c>
      <c r="C6449" t="n">
        <v>2022</v>
      </c>
      <c r="D6449" t="inlineStr">
        <is>
          <t>Financial</t>
        </is>
      </c>
      <c r="E6449" t="inlineStr">
        <is>
          <t>Net Loss</t>
        </is>
      </c>
      <c r="F6449" t="n">
        <v>-4.07</v>
      </c>
      <c r="G6449" t="inlineStr">
        <is>
          <t>IDR bn</t>
        </is>
      </c>
      <c r="H6449" t="n">
        <v>140</v>
      </c>
      <c r="I6449" t="inlineStr">
        <is>
          <t>RUGI BERSIH (4.066.618.528)</t>
        </is>
      </c>
      <c r="J6449" t="inlineStr">
        <is>
          <t>High</t>
        </is>
      </c>
      <c r="M6449" t="inlineStr">
        <is>
          <t>LLM</t>
        </is>
      </c>
      <c r="N6449" t="inlineStr">
        <is>
          <t>2026-04-19</t>
        </is>
      </c>
      <c r="O6449" t="inlineStr">
        <is>
          <t>AI</t>
        </is>
      </c>
    </row>
    <row r="6450">
      <c r="A6450" t="inlineStr">
        <is>
          <t>PT Wahana Pronatural Tbk</t>
        </is>
      </c>
      <c r="B6450" t="inlineStr">
        <is>
          <t>WAPO_2022_AR.pdf</t>
        </is>
      </c>
      <c r="C6450" t="n">
        <v>2022</v>
      </c>
      <c r="D6450" t="inlineStr">
        <is>
          <t>Financial</t>
        </is>
      </c>
      <c r="E6450" t="inlineStr">
        <is>
          <t>Comprehensive Loss</t>
        </is>
      </c>
      <c r="F6450" t="n">
        <v>-4.05</v>
      </c>
      <c r="G6450" t="inlineStr">
        <is>
          <t>IDR bn</t>
        </is>
      </c>
      <c r="H6450" t="n">
        <v>140</v>
      </c>
      <c r="I6450" t="inlineStr">
        <is>
          <t>JUMLAH RUGI KOMPREHENSIF (4.048.103.755)</t>
        </is>
      </c>
      <c r="J6450" t="inlineStr">
        <is>
          <t>High</t>
        </is>
      </c>
      <c r="M6450" t="inlineStr">
        <is>
          <t>LLM</t>
        </is>
      </c>
      <c r="N6450" t="inlineStr">
        <is>
          <t>2026-04-19</t>
        </is>
      </c>
      <c r="O6450" t="inlineStr">
        <is>
          <t>AI</t>
        </is>
      </c>
    </row>
    <row r="6451">
      <c r="A6451" t="inlineStr">
        <is>
          <t>PT Wahana Pronatural Tbk</t>
        </is>
      </c>
      <c r="B6451" t="inlineStr">
        <is>
          <t>WAPO_2022_AR.pdf</t>
        </is>
      </c>
      <c r="C6451" t="n">
        <v>2022</v>
      </c>
      <c r="D6451" t="inlineStr">
        <is>
          <t>Financial</t>
        </is>
      </c>
      <c r="E6451" t="inlineStr">
        <is>
          <t>Total Assets</t>
        </is>
      </c>
      <c r="F6451" t="n">
        <v>97.5</v>
      </c>
      <c r="G6451" t="inlineStr">
        <is>
          <t>IDR bn</t>
        </is>
      </c>
      <c r="H6451" t="n">
        <v>138</v>
      </c>
      <c r="I6451" t="inlineStr">
        <is>
          <t>JUMLAH ASET 97.504.907.444 (2022)</t>
        </is>
      </c>
      <c r="J6451" t="inlineStr">
        <is>
          <t>High</t>
        </is>
      </c>
      <c r="M6451" t="inlineStr">
        <is>
          <t>LLM</t>
        </is>
      </c>
      <c r="N6451" t="inlineStr">
        <is>
          <t>2026-04-19</t>
        </is>
      </c>
      <c r="O6451" t="inlineStr">
        <is>
          <t>AI</t>
        </is>
      </c>
    </row>
    <row r="6452">
      <c r="A6452" t="inlineStr">
        <is>
          <t>PT Wahana Pronatural Tbk</t>
        </is>
      </c>
      <c r="B6452" t="inlineStr">
        <is>
          <t>WAPO_2022_AR.pdf</t>
        </is>
      </c>
      <c r="C6452" t="n">
        <v>2022</v>
      </c>
      <c r="D6452" t="inlineStr">
        <is>
          <t>Financial</t>
        </is>
      </c>
      <c r="E6452" t="inlineStr">
        <is>
          <t>Current Assets</t>
        </is>
      </c>
      <c r="F6452" t="n">
        <v>53.63</v>
      </c>
      <c r="G6452" t="inlineStr">
        <is>
          <t>IDR bn</t>
        </is>
      </c>
      <c r="H6452" t="n">
        <v>138</v>
      </c>
      <c r="I6452" t="inlineStr">
        <is>
          <t>Jumlah Aset Lancar 53.626.590.283</t>
        </is>
      </c>
      <c r="J6452" t="inlineStr">
        <is>
          <t>High</t>
        </is>
      </c>
      <c r="M6452" t="inlineStr">
        <is>
          <t>LLM</t>
        </is>
      </c>
      <c r="N6452" t="inlineStr">
        <is>
          <t>2026-04-19</t>
        </is>
      </c>
      <c r="O6452" t="inlineStr">
        <is>
          <t>AI</t>
        </is>
      </c>
    </row>
    <row r="6453">
      <c r="A6453" t="inlineStr">
        <is>
          <t>PT Wahana Pronatural Tbk</t>
        </is>
      </c>
      <c r="B6453" t="inlineStr">
        <is>
          <t>WAPO_2022_AR.pdf</t>
        </is>
      </c>
      <c r="C6453" t="n">
        <v>2022</v>
      </c>
      <c r="D6453" t="inlineStr">
        <is>
          <t>Financial</t>
        </is>
      </c>
      <c r="E6453" t="inlineStr">
        <is>
          <t>Non-Current Assets</t>
        </is>
      </c>
      <c r="F6453" t="n">
        <v>43.88</v>
      </c>
      <c r="G6453" t="inlineStr">
        <is>
          <t>IDR bn</t>
        </is>
      </c>
      <c r="H6453" t="n">
        <v>138</v>
      </c>
      <c r="I6453" t="inlineStr">
        <is>
          <t>Jumlah Aset Tidak Lancar 43.878.317.161</t>
        </is>
      </c>
      <c r="J6453" t="inlineStr">
        <is>
          <t>High</t>
        </is>
      </c>
      <c r="M6453" t="inlineStr">
        <is>
          <t>LLM</t>
        </is>
      </c>
      <c r="N6453" t="inlineStr">
        <is>
          <t>2026-04-19</t>
        </is>
      </c>
      <c r="O6453" t="inlineStr">
        <is>
          <t>AI</t>
        </is>
      </c>
    </row>
    <row r="6454">
      <c r="A6454" t="inlineStr">
        <is>
          <t>PT Wahana Pronatural Tbk</t>
        </is>
      </c>
      <c r="B6454" t="inlineStr">
        <is>
          <t>WAPO_2022_AR.pdf</t>
        </is>
      </c>
      <c r="C6454" t="n">
        <v>2022</v>
      </c>
      <c r="D6454" t="inlineStr">
        <is>
          <t>Financial</t>
        </is>
      </c>
      <c r="E6454" t="inlineStr">
        <is>
          <t>Total Liabilities</t>
        </is>
      </c>
      <c r="F6454" t="n">
        <v>26.49</v>
      </c>
      <c r="G6454" t="inlineStr">
        <is>
          <t>IDR bn</t>
        </is>
      </c>
      <c r="H6454" t="n">
        <v>139</v>
      </c>
      <c r="I6454" t="inlineStr">
        <is>
          <t>Jumlah Liabilitas 26.489.229.605</t>
        </is>
      </c>
      <c r="J6454" t="inlineStr">
        <is>
          <t>High</t>
        </is>
      </c>
      <c r="M6454" t="inlineStr">
        <is>
          <t>LLM</t>
        </is>
      </c>
      <c r="N6454" t="inlineStr">
        <is>
          <t>2026-04-19</t>
        </is>
      </c>
      <c r="O6454" t="inlineStr">
        <is>
          <t>AI</t>
        </is>
      </c>
    </row>
    <row r="6455">
      <c r="A6455" t="inlineStr">
        <is>
          <t>PT Wahana Pronatural Tbk</t>
        </is>
      </c>
      <c r="B6455" t="inlineStr">
        <is>
          <t>WAPO_2022_AR.pdf</t>
        </is>
      </c>
      <c r="C6455" t="n">
        <v>2022</v>
      </c>
      <c r="D6455" t="inlineStr">
        <is>
          <t>Financial</t>
        </is>
      </c>
      <c r="E6455" t="inlineStr">
        <is>
          <t>Current Liabilities</t>
        </is>
      </c>
      <c r="F6455" t="n">
        <v>25.77</v>
      </c>
      <c r="G6455" t="inlineStr">
        <is>
          <t>IDR bn</t>
        </is>
      </c>
      <c r="H6455" t="n">
        <v>139</v>
      </c>
      <c r="I6455" t="inlineStr">
        <is>
          <t>Jumlah Liabilitas Jangka Pendek 25.769.993.504</t>
        </is>
      </c>
      <c r="J6455" t="inlineStr">
        <is>
          <t>High</t>
        </is>
      </c>
      <c r="M6455" t="inlineStr">
        <is>
          <t>LLM</t>
        </is>
      </c>
      <c r="N6455" t="inlineStr">
        <is>
          <t>2026-04-19</t>
        </is>
      </c>
      <c r="O6455" t="inlineStr">
        <is>
          <t>AI</t>
        </is>
      </c>
    </row>
    <row r="6456">
      <c r="A6456" t="inlineStr">
        <is>
          <t>PT Wahana Pronatural Tbk</t>
        </is>
      </c>
      <c r="B6456" t="inlineStr">
        <is>
          <t>WAPO_2022_AR.pdf</t>
        </is>
      </c>
      <c r="C6456" t="n">
        <v>2022</v>
      </c>
      <c r="D6456" t="inlineStr">
        <is>
          <t>Financial</t>
        </is>
      </c>
      <c r="E6456" t="inlineStr">
        <is>
          <t>Long-Term Liabilities</t>
        </is>
      </c>
      <c r="F6456" t="n">
        <v>0.72</v>
      </c>
      <c r="G6456" t="inlineStr">
        <is>
          <t>IDR bn</t>
        </is>
      </c>
      <c r="H6456" t="n">
        <v>139</v>
      </c>
      <c r="I6456" t="inlineStr">
        <is>
          <t>Jumlah Liabilitas Jangka Panjang 719.236.101</t>
        </is>
      </c>
      <c r="J6456" t="inlineStr">
        <is>
          <t>High</t>
        </is>
      </c>
      <c r="M6456" t="inlineStr">
        <is>
          <t>LLM</t>
        </is>
      </c>
      <c r="N6456" t="inlineStr">
        <is>
          <t>2026-04-19</t>
        </is>
      </c>
      <c r="O6456" t="inlineStr">
        <is>
          <t>AI</t>
        </is>
      </c>
    </row>
    <row r="6457">
      <c r="A6457" t="inlineStr">
        <is>
          <t>PT Wahana Pronatural Tbk</t>
        </is>
      </c>
      <c r="B6457" t="inlineStr">
        <is>
          <t>WAPO_2022_AR.pdf</t>
        </is>
      </c>
      <c r="C6457" t="n">
        <v>2022</v>
      </c>
      <c r="D6457" t="inlineStr">
        <is>
          <t>Financial</t>
        </is>
      </c>
      <c r="E6457" t="inlineStr">
        <is>
          <t>Total Equity</t>
        </is>
      </c>
      <c r="F6457" t="n">
        <v>71.02</v>
      </c>
      <c r="G6457" t="inlineStr">
        <is>
          <t>IDR bn</t>
        </is>
      </c>
      <c r="H6457" t="n">
        <v>139</v>
      </c>
      <c r="I6457" t="inlineStr">
        <is>
          <t>Jumlah Ekuitas 71.015.677.839</t>
        </is>
      </c>
      <c r="J6457" t="inlineStr">
        <is>
          <t>High</t>
        </is>
      </c>
      <c r="M6457" t="inlineStr">
        <is>
          <t>LLM</t>
        </is>
      </c>
      <c r="N6457" t="inlineStr">
        <is>
          <t>2026-04-19</t>
        </is>
      </c>
      <c r="O6457" t="inlineStr">
        <is>
          <t>AI</t>
        </is>
      </c>
    </row>
    <row r="6458">
      <c r="A6458" t="inlineStr">
        <is>
          <t>PT Wahana Pronatural Tbk</t>
        </is>
      </c>
      <c r="B6458" t="inlineStr">
        <is>
          <t>WAPO_2022_AR.pdf</t>
        </is>
      </c>
      <c r="C6458" t="n">
        <v>2022</v>
      </c>
      <c r="D6458" t="inlineStr">
        <is>
          <t>Financial</t>
        </is>
      </c>
      <c r="E6458" t="inlineStr">
        <is>
          <t>Cash and Cash Equivalents</t>
        </is>
      </c>
      <c r="F6458" t="n">
        <v>2.99</v>
      </c>
      <c r="G6458" t="inlineStr">
        <is>
          <t>IDR bn</t>
        </is>
      </c>
      <c r="H6458" t="n">
        <v>138</v>
      </c>
      <c r="I6458" t="inlineStr">
        <is>
          <t>Kas dan setara kas 4 2.987.458.608</t>
        </is>
      </c>
      <c r="J6458" t="inlineStr">
        <is>
          <t>High</t>
        </is>
      </c>
      <c r="M6458" t="inlineStr">
        <is>
          <t>LLM</t>
        </is>
      </c>
      <c r="N6458" t="inlineStr">
        <is>
          <t>2026-04-19</t>
        </is>
      </c>
      <c r="O6458" t="inlineStr">
        <is>
          <t>AI</t>
        </is>
      </c>
    </row>
    <row r="6459">
      <c r="A6459" t="inlineStr">
        <is>
          <t>PT Wahana Pronatural Tbk</t>
        </is>
      </c>
      <c r="B6459" t="inlineStr">
        <is>
          <t>WAPO_2022_AR.pdf</t>
        </is>
      </c>
      <c r="C6459" t="n">
        <v>2022</v>
      </c>
      <c r="D6459" t="inlineStr">
        <is>
          <t>Financial</t>
        </is>
      </c>
      <c r="E6459" t="inlineStr">
        <is>
          <t>Trade Receivables (Third Parties)</t>
        </is>
      </c>
      <c r="F6459" t="n">
        <v>33.64</v>
      </c>
      <c r="G6459" t="inlineStr">
        <is>
          <t>IDR bn</t>
        </is>
      </c>
      <c r="H6459" t="n">
        <v>138</v>
      </c>
      <c r="I6459" t="inlineStr">
        <is>
          <t>Piutang usaha - Pihak ketiga ... 33.637.699.594</t>
        </is>
      </c>
      <c r="J6459" t="inlineStr">
        <is>
          <t>High</t>
        </is>
      </c>
      <c r="M6459" t="inlineStr">
        <is>
          <t>LLM</t>
        </is>
      </c>
      <c r="N6459" t="inlineStr">
        <is>
          <t>2026-04-19</t>
        </is>
      </c>
      <c r="O6459" t="inlineStr">
        <is>
          <t>AI</t>
        </is>
      </c>
    </row>
    <row r="6460">
      <c r="A6460" t="inlineStr">
        <is>
          <t>PT Wahana Pronatural Tbk</t>
        </is>
      </c>
      <c r="B6460" t="inlineStr">
        <is>
          <t>WAPO_2022_AR.pdf</t>
        </is>
      </c>
      <c r="C6460" t="n">
        <v>2022</v>
      </c>
      <c r="D6460" t="inlineStr">
        <is>
          <t>Financial</t>
        </is>
      </c>
      <c r="E6460" t="inlineStr">
        <is>
          <t>Inventories</t>
        </is>
      </c>
      <c r="F6460" t="n">
        <v>13.71</v>
      </c>
      <c r="G6460" t="inlineStr">
        <is>
          <t>IDR bn</t>
        </is>
      </c>
      <c r="H6460" t="n">
        <v>138</v>
      </c>
      <c r="I6460" t="inlineStr">
        <is>
          <t>Persediaan 7 13.708.080.135</t>
        </is>
      </c>
      <c r="J6460" t="inlineStr">
        <is>
          <t>High</t>
        </is>
      </c>
      <c r="M6460" t="inlineStr">
        <is>
          <t>LLM</t>
        </is>
      </c>
      <c r="N6460" t="inlineStr">
        <is>
          <t>2026-04-19</t>
        </is>
      </c>
      <c r="O6460" t="inlineStr">
        <is>
          <t>AI</t>
        </is>
      </c>
    </row>
    <row r="6461">
      <c r="A6461" t="inlineStr">
        <is>
          <t>PT Wahana Pronatural Tbk</t>
        </is>
      </c>
      <c r="B6461" t="inlineStr">
        <is>
          <t>WAPO_2022_AR.pdf</t>
        </is>
      </c>
      <c r="C6461" t="n">
        <v>2022</v>
      </c>
      <c r="D6461" t="inlineStr">
        <is>
          <t>Financial</t>
        </is>
      </c>
      <c r="E6461" t="inlineStr">
        <is>
          <t>Investment Property</t>
        </is>
      </c>
      <c r="F6461" t="n">
        <v>39.82</v>
      </c>
      <c r="G6461" t="inlineStr">
        <is>
          <t>IDR bn</t>
        </is>
      </c>
      <c r="H6461" t="n">
        <v>138</v>
      </c>
      <c r="I6461" t="inlineStr">
        <is>
          <t>Properti investasi 10 39.816.095.552</t>
        </is>
      </c>
      <c r="J6461" t="inlineStr">
        <is>
          <t>High</t>
        </is>
      </c>
      <c r="M6461" t="inlineStr">
        <is>
          <t>LLM</t>
        </is>
      </c>
      <c r="N6461" t="inlineStr">
        <is>
          <t>2026-04-19</t>
        </is>
      </c>
      <c r="O6461" t="inlineStr">
        <is>
          <t>AI</t>
        </is>
      </c>
    </row>
    <row r="6462">
      <c r="A6462" t="inlineStr">
        <is>
          <t>PT Wahana Pronatural Tbk</t>
        </is>
      </c>
      <c r="B6462" t="inlineStr">
        <is>
          <t>WAPO_2022_AR.pdf</t>
        </is>
      </c>
      <c r="C6462" t="n">
        <v>2022</v>
      </c>
      <c r="D6462" t="inlineStr">
        <is>
          <t>Financial</t>
        </is>
      </c>
      <c r="E6462" t="inlineStr">
        <is>
          <t>Fixed Assets (Net)</t>
        </is>
      </c>
      <c r="F6462" t="n">
        <v>2.96</v>
      </c>
      <c r="G6462" t="inlineStr">
        <is>
          <t>IDR bn</t>
        </is>
      </c>
      <c r="H6462" t="n">
        <v>138</v>
      </c>
      <c r="I6462" t="inlineStr">
        <is>
          <t>Aset tetap 11 2.959.086.036</t>
        </is>
      </c>
      <c r="J6462" t="inlineStr">
        <is>
          <t>High</t>
        </is>
      </c>
      <c r="M6462" t="inlineStr">
        <is>
          <t>LLM</t>
        </is>
      </c>
      <c r="N6462" t="inlineStr">
        <is>
          <t>2026-04-19</t>
        </is>
      </c>
      <c r="O6462" t="inlineStr">
        <is>
          <t>AI</t>
        </is>
      </c>
    </row>
    <row r="6463">
      <c r="A6463" t="inlineStr">
        <is>
          <t>PT Wahana Pronatural Tbk</t>
        </is>
      </c>
      <c r="B6463" t="inlineStr">
        <is>
          <t>WAPO_2022_AR.pdf</t>
        </is>
      </c>
      <c r="C6463" t="n">
        <v>2022</v>
      </c>
      <c r="D6463" t="inlineStr">
        <is>
          <t>Financial</t>
        </is>
      </c>
      <c r="E6463" t="inlineStr">
        <is>
          <t>Trade Payables</t>
        </is>
      </c>
      <c r="F6463" t="n">
        <v>24.83</v>
      </c>
      <c r="G6463" t="inlineStr">
        <is>
          <t>IDR bn</t>
        </is>
      </c>
      <c r="H6463" t="n">
        <v>139</v>
      </c>
      <c r="I6463" t="inlineStr">
        <is>
          <t>Utang usaha - Pihak ketiga 14 24.833.168.653</t>
        </is>
      </c>
      <c r="J6463" t="inlineStr">
        <is>
          <t>High</t>
        </is>
      </c>
      <c r="M6463" t="inlineStr">
        <is>
          <t>LLM</t>
        </is>
      </c>
      <c r="N6463" t="inlineStr">
        <is>
          <t>2026-04-19</t>
        </is>
      </c>
      <c r="O6463" t="inlineStr">
        <is>
          <t>AI</t>
        </is>
      </c>
    </row>
    <row r="6464">
      <c r="A6464" t="inlineStr">
        <is>
          <t>PT Wahana Pronatural Tbk</t>
        </is>
      </c>
      <c r="B6464" t="inlineStr">
        <is>
          <t>WAPO_2022_AR.pdf</t>
        </is>
      </c>
      <c r="C6464" t="n">
        <v>2022</v>
      </c>
      <c r="D6464" t="inlineStr">
        <is>
          <t>Financial</t>
        </is>
      </c>
      <c r="E6464" t="inlineStr">
        <is>
          <t>Lease Liability (LT)</t>
        </is>
      </c>
      <c r="F6464" t="n">
        <v>0.05</v>
      </c>
      <c r="G6464" t="inlineStr">
        <is>
          <t>IDR bn</t>
        </is>
      </c>
      <c r="H6464" t="n">
        <v>139</v>
      </c>
      <c r="I6464" t="inlineStr">
        <is>
          <t>Liabilitas sewa 17 53.550.000</t>
        </is>
      </c>
      <c r="J6464" t="inlineStr">
        <is>
          <t>High</t>
        </is>
      </c>
      <c r="M6464" t="inlineStr">
        <is>
          <t>LLM</t>
        </is>
      </c>
      <c r="N6464" t="inlineStr">
        <is>
          <t>2026-04-19</t>
        </is>
      </c>
      <c r="O6464" t="inlineStr">
        <is>
          <t>AI</t>
        </is>
      </c>
    </row>
    <row r="6465">
      <c r="A6465" t="inlineStr">
        <is>
          <t>PT Wahana Pronatural Tbk</t>
        </is>
      </c>
      <c r="B6465" t="inlineStr">
        <is>
          <t>WAPO_2022_AR.pdf</t>
        </is>
      </c>
      <c r="C6465" t="n">
        <v>2022</v>
      </c>
      <c r="D6465" t="inlineStr">
        <is>
          <t>Financial</t>
        </is>
      </c>
      <c r="E6465" t="inlineStr">
        <is>
          <t>Employee Benefit Obligation</t>
        </is>
      </c>
      <c r="F6465" t="n">
        <v>0.67</v>
      </c>
      <c r="G6465" t="inlineStr">
        <is>
          <t>IDR bn</t>
        </is>
      </c>
      <c r="H6465" t="n">
        <v>139</v>
      </c>
      <c r="I6465" t="inlineStr">
        <is>
          <t>Liabilitas imbalan kerja 18 665.686.101</t>
        </is>
      </c>
      <c r="J6465" t="inlineStr">
        <is>
          <t>High</t>
        </is>
      </c>
      <c r="M6465" t="inlineStr">
        <is>
          <t>LLM</t>
        </is>
      </c>
      <c r="N6465" t="inlineStr">
        <is>
          <t>2026-04-19</t>
        </is>
      </c>
      <c r="O6465" t="inlineStr">
        <is>
          <t>AI</t>
        </is>
      </c>
    </row>
    <row r="6466">
      <c r="A6466" t="inlineStr">
        <is>
          <t>PT Wahana Pronatural Tbk</t>
        </is>
      </c>
      <c r="B6466" t="inlineStr">
        <is>
          <t>WAPO_2022_AR.pdf</t>
        </is>
      </c>
      <c r="C6466" t="n">
        <v>2022</v>
      </c>
      <c r="D6466" t="inlineStr">
        <is>
          <t>Financial</t>
        </is>
      </c>
      <c r="E6466" t="inlineStr">
        <is>
          <t>CFO (Cash from Operations)</t>
        </is>
      </c>
      <c r="F6466" t="n">
        <v>-1.73</v>
      </c>
      <c r="G6466" t="inlineStr">
        <is>
          <t>IDR bn</t>
        </is>
      </c>
      <c r="H6466" t="n">
        <v>142</v>
      </c>
      <c r="I6466" t="inlineStr">
        <is>
          <t>Kas bersih diperoleh dari/(digunakan untuk) aktivitas operasi (1.731.191.507)</t>
        </is>
      </c>
      <c r="J6466" t="inlineStr">
        <is>
          <t>High</t>
        </is>
      </c>
      <c r="M6466" t="inlineStr">
        <is>
          <t>LLM</t>
        </is>
      </c>
      <c r="N6466" t="inlineStr">
        <is>
          <t>2026-04-19</t>
        </is>
      </c>
      <c r="O6466" t="inlineStr">
        <is>
          <t>AI</t>
        </is>
      </c>
    </row>
    <row r="6467">
      <c r="A6467" t="inlineStr">
        <is>
          <t>PT Wahana Pronatural Tbk</t>
        </is>
      </c>
      <c r="B6467" t="inlineStr">
        <is>
          <t>WAPO_2022_AR.pdf</t>
        </is>
      </c>
      <c r="C6467" t="n">
        <v>2022</v>
      </c>
      <c r="D6467" t="inlineStr">
        <is>
          <t>Financial</t>
        </is>
      </c>
      <c r="E6467" t="inlineStr">
        <is>
          <t>CFI (Cash from Investing)</t>
        </is>
      </c>
      <c r="F6467" t="n">
        <v>0</v>
      </c>
      <c r="G6467" t="inlineStr">
        <is>
          <t>IDR bn</t>
        </is>
      </c>
      <c r="H6467" t="n">
        <v>142</v>
      </c>
      <c r="I6467" t="inlineStr">
        <is>
          <t>Kas bersih digunakan untuk aktivitas investasi - (2022, no capex)</t>
        </is>
      </c>
      <c r="J6467" t="inlineStr">
        <is>
          <t>High</t>
        </is>
      </c>
      <c r="M6467" t="inlineStr">
        <is>
          <t>LLM</t>
        </is>
      </c>
      <c r="N6467" t="inlineStr">
        <is>
          <t>2026-04-19</t>
        </is>
      </c>
      <c r="O6467" t="inlineStr">
        <is>
          <t>AI</t>
        </is>
      </c>
    </row>
    <row r="6468">
      <c r="A6468" t="inlineStr">
        <is>
          <t>PT Wahana Pronatural Tbk</t>
        </is>
      </c>
      <c r="B6468" t="inlineStr">
        <is>
          <t>WAPO_2022_AR.pdf</t>
        </is>
      </c>
      <c r="C6468" t="n">
        <v>2022</v>
      </c>
      <c r="D6468" t="inlineStr">
        <is>
          <t>Financial</t>
        </is>
      </c>
      <c r="E6468" t="inlineStr">
        <is>
          <t>EPS</t>
        </is>
      </c>
      <c r="F6468" t="n">
        <v>-3.26</v>
      </c>
      <c r="G6468" t="inlineStr">
        <is>
          <t>Rp/share</t>
        </is>
      </c>
      <c r="H6468" t="n">
        <v>140</v>
      </c>
      <c r="I6468" t="inlineStr">
        <is>
          <t>RUGI PER LEMBAR SAHAM (3,26217)</t>
        </is>
      </c>
      <c r="J6468" t="inlineStr">
        <is>
          <t>High</t>
        </is>
      </c>
      <c r="M6468" t="inlineStr">
        <is>
          <t>LLM</t>
        </is>
      </c>
      <c r="N6468" t="inlineStr">
        <is>
          <t>2026-04-19</t>
        </is>
      </c>
      <c r="O6468" t="inlineStr">
        <is>
          <t>AI</t>
        </is>
      </c>
    </row>
    <row r="6469">
      <c r="A6469" t="inlineStr">
        <is>
          <t>PT Wahana Pronatural Tbk</t>
        </is>
      </c>
      <c r="B6469" t="inlineStr">
        <is>
          <t>WAPO_2022_AR.pdf</t>
        </is>
      </c>
      <c r="C6469" t="n">
        <v>2022</v>
      </c>
      <c r="D6469" t="inlineStr">
        <is>
          <t>Financial</t>
        </is>
      </c>
      <c r="E6469" t="inlineStr">
        <is>
          <t>Shares Outstanding</t>
        </is>
      </c>
      <c r="F6469" t="n">
        <v>1240.92</v>
      </c>
      <c r="G6469" t="inlineStr">
        <is>
          <t>mn</t>
        </is>
      </c>
      <c r="H6469" t="n">
        <v>11</v>
      </c>
      <c r="I6469" t="inlineStr">
        <is>
          <t>Jumlah 1.240.923.111 100.00</t>
        </is>
      </c>
      <c r="J6469" t="inlineStr">
        <is>
          <t>High</t>
        </is>
      </c>
      <c r="M6469" t="inlineStr">
        <is>
          <t>LLM</t>
        </is>
      </c>
      <c r="N6469" t="inlineStr">
        <is>
          <t>2026-04-19</t>
        </is>
      </c>
      <c r="O6469" t="inlineStr">
        <is>
          <t>AI</t>
        </is>
      </c>
    </row>
    <row r="6470">
      <c r="A6470" t="inlineStr">
        <is>
          <t>PT Wahana Pronatural Tbk</t>
        </is>
      </c>
      <c r="B6470" t="inlineStr">
        <is>
          <t>WAPO_2022_AR.pdf</t>
        </is>
      </c>
      <c r="C6470" t="n">
        <v>2022</v>
      </c>
      <c r="D6470" t="inlineStr">
        <is>
          <t>Financial</t>
        </is>
      </c>
      <c r="E6470" t="inlineStr">
        <is>
          <t>Par Value per Share</t>
        </is>
      </c>
      <c r="F6470" t="n">
        <v>100</v>
      </c>
      <c r="G6470" t="inlineStr">
        <is>
          <t>Rp/share</t>
        </is>
      </c>
      <c r="H6470" t="n">
        <v>11</v>
      </c>
      <c r="I6470" t="inlineStr">
        <is>
          <t>Nilai Nominal Rp 100 Per Saham</t>
        </is>
      </c>
      <c r="J6470" t="inlineStr">
        <is>
          <t>High</t>
        </is>
      </c>
      <c r="M6470" t="inlineStr">
        <is>
          <t>LLM</t>
        </is>
      </c>
      <c r="N6470" t="inlineStr">
        <is>
          <t>2026-04-19</t>
        </is>
      </c>
      <c r="O6470" t="inlineStr">
        <is>
          <t>AI</t>
        </is>
      </c>
    </row>
    <row r="6471">
      <c r="A6471" t="inlineStr">
        <is>
          <t>PT Wahana Pronatural Tbk</t>
        </is>
      </c>
      <c r="B6471" t="inlineStr">
        <is>
          <t>WAPO_2022_AR.pdf</t>
        </is>
      </c>
      <c r="C6471" t="n">
        <v>2022</v>
      </c>
      <c r="D6471" t="inlineStr">
        <is>
          <t>Financial</t>
        </is>
      </c>
      <c r="E6471" t="inlineStr">
        <is>
          <t>Paid-up Capital</t>
        </is>
      </c>
      <c r="F6471" t="n">
        <v>124.09</v>
      </c>
      <c r="G6471" t="inlineStr">
        <is>
          <t>IDR bn</t>
        </is>
      </c>
      <c r="H6471" t="n">
        <v>139</v>
      </c>
      <c r="I6471" t="inlineStr">
        <is>
          <t>Modal ditempatkan dan disetor penuh - 1.240.923.111 saham 124.092.311.100</t>
        </is>
      </c>
      <c r="J6471" t="inlineStr">
        <is>
          <t>High</t>
        </is>
      </c>
      <c r="M6471" t="inlineStr">
        <is>
          <t>LLM</t>
        </is>
      </c>
      <c r="N6471" t="inlineStr">
        <is>
          <t>2026-04-19</t>
        </is>
      </c>
      <c r="O6471" t="inlineStr">
        <is>
          <t>AI</t>
        </is>
      </c>
    </row>
    <row r="6472">
      <c r="A6472" t="inlineStr">
        <is>
          <t>PT Wahana Pronatural Tbk</t>
        </is>
      </c>
      <c r="B6472" t="inlineStr">
        <is>
          <t>WAPO_2022_AR.pdf</t>
        </is>
      </c>
      <c r="C6472" t="n">
        <v>2022</v>
      </c>
      <c r="D6472" t="inlineStr">
        <is>
          <t>Financial</t>
        </is>
      </c>
      <c r="E6472" t="inlineStr">
        <is>
          <t>Accumulated Deficit</t>
        </is>
      </c>
      <c r="F6472" t="n">
        <v>-66.61</v>
      </c>
      <c r="G6472" t="inlineStr">
        <is>
          <t>IDR bn</t>
        </is>
      </c>
      <c r="H6472" t="n">
        <v>139</v>
      </c>
      <c r="I6472" t="inlineStr">
        <is>
          <t>Defisit (66.610.151.486)</t>
        </is>
      </c>
      <c r="J6472" t="inlineStr">
        <is>
          <t>High</t>
        </is>
      </c>
      <c r="M6472" t="inlineStr">
        <is>
          <t>LLM</t>
        </is>
      </c>
      <c r="N6472" t="inlineStr">
        <is>
          <t>2026-04-19</t>
        </is>
      </c>
      <c r="O6472" t="inlineStr">
        <is>
          <t>AI</t>
        </is>
      </c>
    </row>
    <row r="6473">
      <c r="A6473" t="inlineStr">
        <is>
          <t>PT Wahana Pronatural Tbk</t>
        </is>
      </c>
      <c r="B6473" t="inlineStr">
        <is>
          <t>WAPO_2022_AR.pdf</t>
        </is>
      </c>
      <c r="C6473" t="n">
        <v>2022</v>
      </c>
      <c r="D6473" t="inlineStr">
        <is>
          <t>Financial</t>
        </is>
      </c>
      <c r="E6473" t="inlineStr">
        <is>
          <t>Closing Share Price Q4 2022</t>
        </is>
      </c>
      <c r="F6473" t="n">
        <v>250</v>
      </c>
      <c r="G6473" t="inlineStr">
        <is>
          <t>Rp/share</t>
        </is>
      </c>
      <c r="H6473" t="n">
        <v>11</v>
      </c>
      <c r="I6473" t="inlineStr">
        <is>
          <t>TRIWULAN IV 308 139 250 (2022)</t>
        </is>
      </c>
      <c r="J6473" t="inlineStr">
        <is>
          <t>High</t>
        </is>
      </c>
      <c r="M6473" t="inlineStr">
        <is>
          <t>LLM</t>
        </is>
      </c>
      <c r="N6473" t="inlineStr">
        <is>
          <t>2026-04-19</t>
        </is>
      </c>
      <c r="O6473" t="inlineStr">
        <is>
          <t>AI</t>
        </is>
      </c>
    </row>
    <row r="6474">
      <c r="A6474" t="inlineStr">
        <is>
          <t>PT Wahana Pronatural Tbk</t>
        </is>
      </c>
      <c r="B6474" t="inlineStr">
        <is>
          <t>WAPO_2022_AR.pdf</t>
        </is>
      </c>
      <c r="C6474" t="n">
        <v>2022</v>
      </c>
      <c r="D6474" t="inlineStr">
        <is>
          <t>Financial</t>
        </is>
      </c>
      <c r="E6474" t="inlineStr">
        <is>
          <t>Market Cap 31 Dec 2022</t>
        </is>
      </c>
      <c r="F6474" t="n">
        <v>310</v>
      </c>
      <c r="G6474" t="inlineStr">
        <is>
          <t>IDR bn</t>
        </is>
      </c>
      <c r="H6474" t="n">
        <v>11</v>
      </c>
      <c r="I6474" t="inlineStr">
        <is>
          <t>KAPITALISASI PASAR 747.035.712.822 Q4 (2022 TTG 308); close 250 x 1,240,923,111 = Rp310.23 bn</t>
        </is>
      </c>
      <c r="J6474" t="inlineStr">
        <is>
          <t>Medium</t>
        </is>
      </c>
      <c r="M6474" t="inlineStr">
        <is>
          <t>LLM</t>
        </is>
      </c>
      <c r="N6474" t="inlineStr">
        <is>
          <t>2026-04-19</t>
        </is>
      </c>
      <c r="O6474" t="inlineStr">
        <is>
          <t>AI</t>
        </is>
      </c>
    </row>
    <row r="6475">
      <c r="A6475" t="inlineStr">
        <is>
          <t>PT Wahana Pronatural Tbk</t>
        </is>
      </c>
      <c r="B6475" t="inlineStr">
        <is>
          <t>WAPO_2022_AR.pdf</t>
        </is>
      </c>
      <c r="C6475" t="n">
        <v>2022</v>
      </c>
      <c r="D6475" t="inlineStr">
        <is>
          <t>Financial</t>
        </is>
      </c>
      <c r="E6475" t="inlineStr">
        <is>
          <t>Gross Profit Margin</t>
        </is>
      </c>
      <c r="F6475" t="n">
        <v>0.008399999999999999</v>
      </c>
      <c r="G6475" t="inlineStr">
        <is>
          <t>%</t>
        </is>
      </c>
      <c r="H6475" t="n">
        <v>10</v>
      </c>
      <c r="I6475" t="inlineStr">
        <is>
          <t>Laba Kotor / Penjualan Bersih 0.84 (2022)</t>
        </is>
      </c>
      <c r="J6475" t="inlineStr">
        <is>
          <t>High</t>
        </is>
      </c>
      <c r="M6475" t="inlineStr">
        <is>
          <t>LLM</t>
        </is>
      </c>
      <c r="N6475" t="inlineStr">
        <is>
          <t>2026-04-19</t>
        </is>
      </c>
      <c r="O6475" t="inlineStr">
        <is>
          <t>AI</t>
        </is>
      </c>
    </row>
    <row r="6476">
      <c r="A6476" t="inlineStr">
        <is>
          <t>PT Wahana Pronatural Tbk</t>
        </is>
      </c>
      <c r="B6476" t="inlineStr">
        <is>
          <t>WAPO_2022_AR.pdf</t>
        </is>
      </c>
      <c r="C6476" t="n">
        <v>2022</v>
      </c>
      <c r="D6476" t="inlineStr">
        <is>
          <t>Financial</t>
        </is>
      </c>
      <c r="E6476" t="inlineStr">
        <is>
          <t>Net Profit Margin</t>
        </is>
      </c>
      <c r="F6476" t="n">
        <v>-0.0123</v>
      </c>
      <c r="G6476" t="inlineStr">
        <is>
          <t>%</t>
        </is>
      </c>
      <c r="H6476" t="n">
        <v>10</v>
      </c>
      <c r="I6476" t="inlineStr">
        <is>
          <t>Laba (Rugi) Komprehensif / Penjualan Bersih (1.23) (2022)</t>
        </is>
      </c>
      <c r="J6476" t="inlineStr">
        <is>
          <t>High</t>
        </is>
      </c>
      <c r="M6476" t="inlineStr">
        <is>
          <t>LLM</t>
        </is>
      </c>
      <c r="N6476" t="inlineStr">
        <is>
          <t>2026-04-19</t>
        </is>
      </c>
      <c r="O6476" t="inlineStr">
        <is>
          <t>AI</t>
        </is>
      </c>
    </row>
    <row r="6477">
      <c r="A6477" t="inlineStr">
        <is>
          <t>PT Wahana Pronatural Tbk</t>
        </is>
      </c>
      <c r="B6477" t="inlineStr">
        <is>
          <t>WAPO_2022_AR.pdf</t>
        </is>
      </c>
      <c r="C6477" t="n">
        <v>2022</v>
      </c>
      <c r="D6477" t="inlineStr">
        <is>
          <t>Financial</t>
        </is>
      </c>
      <c r="E6477" t="inlineStr">
        <is>
          <t>ROA</t>
        </is>
      </c>
      <c r="F6477" t="n">
        <v>-0.0415</v>
      </c>
      <c r="G6477" t="inlineStr">
        <is>
          <t>%</t>
        </is>
      </c>
      <c r="H6477" t="n">
        <v>10</v>
      </c>
      <c r="I6477" t="inlineStr">
        <is>
          <t>Laba (Rugi) Komprehensif / Jumlah Aset (4.15) (2022)</t>
        </is>
      </c>
      <c r="J6477" t="inlineStr">
        <is>
          <t>High</t>
        </is>
      </c>
      <c r="M6477" t="inlineStr">
        <is>
          <t>LLM</t>
        </is>
      </c>
      <c r="N6477" t="inlineStr">
        <is>
          <t>2026-04-19</t>
        </is>
      </c>
      <c r="O6477" t="inlineStr">
        <is>
          <t>AI</t>
        </is>
      </c>
    </row>
    <row r="6478">
      <c r="A6478" t="inlineStr">
        <is>
          <t>PT Wahana Pronatural Tbk</t>
        </is>
      </c>
      <c r="B6478" t="inlineStr">
        <is>
          <t>WAPO_2022_AR.pdf</t>
        </is>
      </c>
      <c r="C6478" t="n">
        <v>2022</v>
      </c>
      <c r="D6478" t="inlineStr">
        <is>
          <t>Financial</t>
        </is>
      </c>
      <c r="E6478" t="inlineStr">
        <is>
          <t>ROE</t>
        </is>
      </c>
      <c r="F6478" t="n">
        <v>-0.057</v>
      </c>
      <c r="G6478" t="inlineStr">
        <is>
          <t>%</t>
        </is>
      </c>
      <c r="H6478" t="n">
        <v>10</v>
      </c>
      <c r="I6478" t="inlineStr">
        <is>
          <t>Laba (Rugi) Komprehensif / Jumlah Ekuitas (5.70) (2022)</t>
        </is>
      </c>
      <c r="J6478" t="inlineStr">
        <is>
          <t>High</t>
        </is>
      </c>
      <c r="M6478" t="inlineStr">
        <is>
          <t>LLM</t>
        </is>
      </c>
      <c r="N6478" t="inlineStr">
        <is>
          <t>2026-04-19</t>
        </is>
      </c>
      <c r="O6478" t="inlineStr">
        <is>
          <t>AI</t>
        </is>
      </c>
    </row>
    <row r="6479">
      <c r="A6479" t="inlineStr">
        <is>
          <t>PT Wahana Pronatural Tbk</t>
        </is>
      </c>
      <c r="B6479" t="inlineStr">
        <is>
          <t>WAPO_2022_AR.pdf</t>
        </is>
      </c>
      <c r="C6479" t="n">
        <v>2022</v>
      </c>
      <c r="D6479" t="inlineStr">
        <is>
          <t>Financial</t>
        </is>
      </c>
      <c r="E6479" t="inlineStr">
        <is>
          <t>Current Ratio</t>
        </is>
      </c>
      <c r="F6479" t="n">
        <v>2.08</v>
      </c>
      <c r="G6479" t="inlineStr">
        <is>
          <t>x</t>
        </is>
      </c>
      <c r="H6479" t="n">
        <v>10</v>
      </c>
      <c r="I6479" t="inlineStr">
        <is>
          <t>Aset Lancar / Liabilitas Jangka Pendek (Current ratio) 208.09</t>
        </is>
      </c>
      <c r="J6479" t="inlineStr">
        <is>
          <t>High</t>
        </is>
      </c>
      <c r="M6479" t="inlineStr">
        <is>
          <t>LLM</t>
        </is>
      </c>
      <c r="N6479" t="inlineStr">
        <is>
          <t>2026-04-19</t>
        </is>
      </c>
      <c r="O6479" t="inlineStr">
        <is>
          <t>AI</t>
        </is>
      </c>
    </row>
    <row r="6480">
      <c r="A6480" t="inlineStr">
        <is>
          <t>PT Wahana Pronatural Tbk</t>
        </is>
      </c>
      <c r="B6480" t="inlineStr">
        <is>
          <t>WAPO_2022_AR.pdf</t>
        </is>
      </c>
      <c r="C6480" t="n">
        <v>2022</v>
      </c>
      <c r="D6480" t="inlineStr">
        <is>
          <t>Financial</t>
        </is>
      </c>
      <c r="E6480" t="inlineStr">
        <is>
          <t>Debt to Equity</t>
        </is>
      </c>
      <c r="F6480" t="n">
        <v>0.373</v>
      </c>
      <c r="G6480" t="inlineStr">
        <is>
          <t>x</t>
        </is>
      </c>
      <c r="H6480" t="n">
        <v>10</v>
      </c>
      <c r="I6480" t="inlineStr">
        <is>
          <t>Liabilitas / Ekuitas (Debt to Equity) 37.30</t>
        </is>
      </c>
      <c r="J6480" t="inlineStr">
        <is>
          <t>High</t>
        </is>
      </c>
      <c r="M6480" t="inlineStr">
        <is>
          <t>LLM</t>
        </is>
      </c>
      <c r="N6480" t="inlineStr">
        <is>
          <t>2026-04-19</t>
        </is>
      </c>
      <c r="O6480" t="inlineStr">
        <is>
          <t>AI</t>
        </is>
      </c>
    </row>
    <row r="6481">
      <c r="A6481" t="inlineStr">
        <is>
          <t>PT Wahana Pronatural Tbk</t>
        </is>
      </c>
      <c r="B6481" t="inlineStr">
        <is>
          <t>WAPO_2022_AR.pdf</t>
        </is>
      </c>
      <c r="C6481" t="n">
        <v>2022</v>
      </c>
      <c r="D6481" t="inlineStr">
        <is>
          <t>Financial</t>
        </is>
      </c>
      <c r="E6481" t="inlineStr">
        <is>
          <t>Debt to Assets</t>
        </is>
      </c>
      <c r="F6481" t="n">
        <v>0.272</v>
      </c>
      <c r="G6481" t="inlineStr">
        <is>
          <t>x</t>
        </is>
      </c>
      <c r="H6481" t="n">
        <v>10</v>
      </c>
      <c r="I6481" t="inlineStr">
        <is>
          <t>Liabilitas / Aset (Debt to Assets) 27.17</t>
        </is>
      </c>
      <c r="J6481" t="inlineStr">
        <is>
          <t>High</t>
        </is>
      </c>
      <c r="M6481" t="inlineStr">
        <is>
          <t>LLM</t>
        </is>
      </c>
      <c r="N6481" t="inlineStr">
        <is>
          <t>2026-04-19</t>
        </is>
      </c>
      <c r="O6481" t="inlineStr">
        <is>
          <t>AI</t>
        </is>
      </c>
    </row>
    <row r="6482">
      <c r="A6482" t="inlineStr">
        <is>
          <t>PT Wahana Pronatural Tbk</t>
        </is>
      </c>
      <c r="B6482" t="inlineStr">
        <is>
          <t>WAPO_2022_AR.pdf</t>
        </is>
      </c>
      <c r="C6482" t="n">
        <v>2022</v>
      </c>
      <c r="D6482" t="inlineStr">
        <is>
          <t>Operation</t>
        </is>
      </c>
      <c r="E6482" t="inlineStr">
        <is>
          <t>Coffee Bean Sales Volume 2022</t>
        </is>
      </c>
      <c r="G6482" t="inlineStr">
        <is>
          <t>t</t>
        </is>
      </c>
      <c r="H6482" t="n">
        <v>6</v>
      </c>
      <c r="I6482" t="inlineStr">
        <is>
          <t>2022 AR narrative focuses on coffee bean trading but explicit 2022 tonnage not broken out; 2024 volume 30,000 t was only recent figure reported</t>
        </is>
      </c>
      <c r="J6482" t="inlineStr">
        <is>
          <t>Low</t>
        </is>
      </c>
      <c r="M6482" t="inlineStr">
        <is>
          <t>LLM</t>
        </is>
      </c>
      <c r="N6482" t="inlineStr">
        <is>
          <t>2026-04-19</t>
        </is>
      </c>
      <c r="O6482" t="inlineStr">
        <is>
          <t>AI</t>
        </is>
      </c>
    </row>
    <row r="6483">
      <c r="A6483" t="inlineStr">
        <is>
          <t>PT Wahana Pronatural Tbk</t>
        </is>
      </c>
      <c r="B6483" t="inlineStr">
        <is>
          <t>WAPO_2022_AR.pdf</t>
        </is>
      </c>
      <c r="C6483" t="n">
        <v>2022</v>
      </c>
      <c r="D6483" t="inlineStr">
        <is>
          <t>Operation</t>
        </is>
      </c>
      <c r="E6483" t="inlineStr">
        <is>
          <t>Product Mix (Revenue Basis)</t>
        </is>
      </c>
      <c r="F6483" t="inlineStr">
        <is>
          <t>Coffee Beans + Dried Seaweed + Sunkist Water C + AirAlam bottled water</t>
        </is>
      </c>
      <c r="G6483" t="inlineStr">
        <is>
          <t>text</t>
        </is>
      </c>
      <c r="H6483" t="n">
        <v>20</v>
      </c>
      <c r="I6483" t="inlineStr">
        <is>
          <t>Biji Kopi, Rumput Laut Kering, Sunkist Water dan Air Mineral</t>
        </is>
      </c>
      <c r="J6483" t="inlineStr">
        <is>
          <t>High</t>
        </is>
      </c>
      <c r="M6483" t="inlineStr">
        <is>
          <t>LLM</t>
        </is>
      </c>
      <c r="N6483" t="inlineStr">
        <is>
          <t>2026-04-19</t>
        </is>
      </c>
      <c r="O6483" t="inlineStr">
        <is>
          <t>AI</t>
        </is>
      </c>
    </row>
    <row r="6484">
      <c r="A6484" t="inlineStr">
        <is>
          <t>PT Wahana Pronatural Tbk</t>
        </is>
      </c>
      <c r="B6484" t="inlineStr">
        <is>
          <t>WAPO_2022_AR.pdf</t>
        </is>
      </c>
      <c r="C6484" t="n">
        <v>2022</v>
      </c>
      <c r="D6484" t="inlineStr">
        <is>
          <t>Operation</t>
        </is>
      </c>
      <c r="E6484" t="inlineStr">
        <is>
          <t>Distribution Areas</t>
        </is>
      </c>
      <c r="F6484" t="inlineStr">
        <is>
          <t>National: Java, Sumatra, Bali, Sulawesi, Kalimantan</t>
        </is>
      </c>
      <c r="G6484" t="inlineStr">
        <is>
          <t>text</t>
        </is>
      </c>
      <c r="H6484" t="n">
        <v>8</v>
      </c>
      <c r="I6484" t="inlineStr">
        <is>
          <t>Distribusi saat ini secara nasional mencakup pulau Jawa, Sumatera, Bali, Sulawesi dan Kalimantan</t>
        </is>
      </c>
      <c r="J6484" t="inlineStr">
        <is>
          <t>High</t>
        </is>
      </c>
      <c r="M6484" t="inlineStr">
        <is>
          <t>LLM</t>
        </is>
      </c>
      <c r="N6484" t="inlineStr">
        <is>
          <t>2026-04-19</t>
        </is>
      </c>
      <c r="O6484" t="inlineStr">
        <is>
          <t>AI</t>
        </is>
      </c>
    </row>
    <row r="6485">
      <c r="A6485" t="inlineStr">
        <is>
          <t>PT Wahana Pronatural Tbk</t>
        </is>
      </c>
      <c r="B6485" t="inlineStr">
        <is>
          <t>WAPO_2022_AR.pdf</t>
        </is>
      </c>
      <c r="C6485" t="n">
        <v>2022</v>
      </c>
      <c r="D6485" t="inlineStr">
        <is>
          <t>Operation</t>
        </is>
      </c>
      <c r="E6485" t="inlineStr">
        <is>
          <t>Production Facilities</t>
        </is>
      </c>
      <c r="F6485" t="inlineStr">
        <is>
          <t>Candy factory in Bogor West Java (currently leased to third party)</t>
        </is>
      </c>
      <c r="G6485" t="inlineStr">
        <is>
          <t>text</t>
        </is>
      </c>
      <c r="H6485" t="n">
        <v>19</v>
      </c>
      <c r="I6485" t="inlineStr">
        <is>
          <t>pabrik permen di Bogor Jawa Barat disewakan kepada pihak ketiga</t>
        </is>
      </c>
      <c r="J6485" t="inlineStr">
        <is>
          <t>High</t>
        </is>
      </c>
      <c r="M6485" t="inlineStr">
        <is>
          <t>LLM</t>
        </is>
      </c>
      <c r="N6485" t="inlineStr">
        <is>
          <t>2026-04-19</t>
        </is>
      </c>
      <c r="O6485" t="inlineStr">
        <is>
          <t>AI</t>
        </is>
      </c>
    </row>
    <row r="6486">
      <c r="A6486" t="inlineStr">
        <is>
          <t>PT Wahana Pronatural Tbk</t>
        </is>
      </c>
      <c r="B6486" t="inlineStr">
        <is>
          <t>WAPO_2022_AR.pdf</t>
        </is>
      </c>
      <c r="C6486" t="n">
        <v>2022</v>
      </c>
      <c r="D6486" t="inlineStr">
        <is>
          <t>Operation</t>
        </is>
      </c>
      <c r="E6486" t="inlineStr">
        <is>
          <t>Planted Oil-Palm Area</t>
        </is>
      </c>
      <c r="F6486" t="n">
        <v>0</v>
      </c>
      <c r="G6486" t="inlineStr">
        <is>
          <t>ha</t>
        </is>
      </c>
      <c r="H6486" t="n">
        <v>0</v>
      </c>
      <c r="I6486" t="inlineStr">
        <is>
          <t>Not applicable - WAPO has no oil-palm plantations. Zero area disclosed anywhere in AR.</t>
        </is>
      </c>
      <c r="J6486" t="inlineStr">
        <is>
          <t>High</t>
        </is>
      </c>
      <c r="M6486" t="inlineStr">
        <is>
          <t>LLM</t>
        </is>
      </c>
      <c r="N6486" t="inlineStr">
        <is>
          <t>2026-04-19</t>
        </is>
      </c>
      <c r="O6486" t="inlineStr">
        <is>
          <t>AI</t>
        </is>
      </c>
    </row>
    <row r="6487">
      <c r="A6487" t="inlineStr">
        <is>
          <t>PT Wahana Pronatural Tbk</t>
        </is>
      </c>
      <c r="B6487" t="inlineStr">
        <is>
          <t>WAPO_2022_AR.pdf</t>
        </is>
      </c>
      <c r="C6487" t="n">
        <v>2022</v>
      </c>
      <c r="D6487" t="inlineStr">
        <is>
          <t>Operation</t>
        </is>
      </c>
      <c r="E6487" t="inlineStr">
        <is>
          <t>Palm Oil Mill (PKS) Count</t>
        </is>
      </c>
      <c r="F6487" t="n">
        <v>0</v>
      </c>
      <c r="G6487" t="inlineStr">
        <is>
          <t>count</t>
        </is>
      </c>
      <c r="H6487" t="n">
        <v>0</v>
      </c>
      <c r="I6487" t="inlineStr">
        <is>
          <t>Not applicable - WAPO owns no palm oil mills.</t>
        </is>
      </c>
      <c r="J6487" t="inlineStr">
        <is>
          <t>High</t>
        </is>
      </c>
      <c r="M6487" t="inlineStr">
        <is>
          <t>LLM</t>
        </is>
      </c>
      <c r="N6487" t="inlineStr">
        <is>
          <t>2026-04-19</t>
        </is>
      </c>
      <c r="O6487" t="inlineStr">
        <is>
          <t>AI</t>
        </is>
      </c>
    </row>
    <row r="6488">
      <c r="A6488" t="inlineStr">
        <is>
          <t>PT Wahana Pronatural Tbk</t>
        </is>
      </c>
      <c r="B6488" t="inlineStr">
        <is>
          <t>WAPO_2022_AR.pdf</t>
        </is>
      </c>
      <c r="C6488" t="n">
        <v>2022</v>
      </c>
      <c r="D6488" t="inlineStr">
        <is>
          <t>Operation</t>
        </is>
      </c>
      <c r="E6488" t="inlineStr">
        <is>
          <t>FFB / CPO / PKO Production</t>
        </is>
      </c>
      <c r="F6488" t="n">
        <v>0</v>
      </c>
      <c r="G6488" t="inlineStr">
        <is>
          <t>t</t>
        </is>
      </c>
      <c r="H6488" t="n">
        <v>0</v>
      </c>
      <c r="I6488" t="inlineStr">
        <is>
          <t>Not applicable - no palm oil operations.</t>
        </is>
      </c>
      <c r="J6488" t="inlineStr">
        <is>
          <t>High</t>
        </is>
      </c>
      <c r="M6488" t="inlineStr">
        <is>
          <t>LLM</t>
        </is>
      </c>
      <c r="N6488" t="inlineStr">
        <is>
          <t>2026-04-19</t>
        </is>
      </c>
      <c r="O6488" t="inlineStr">
        <is>
          <t>AI</t>
        </is>
      </c>
    </row>
    <row r="6489">
      <c r="A6489" t="inlineStr">
        <is>
          <t>PT Wahana Pronatural Tbk</t>
        </is>
      </c>
      <c r="B6489" t="inlineStr">
        <is>
          <t>WAPO_2022_AR.pdf</t>
        </is>
      </c>
      <c r="C6489" t="n">
        <v>2022</v>
      </c>
      <c r="D6489" t="inlineStr">
        <is>
          <t>ESG</t>
        </is>
      </c>
      <c r="E6489" t="inlineStr">
        <is>
          <t>Sustainability Report Scope</t>
        </is>
      </c>
      <c r="F6489" t="inlineStr">
        <is>
          <t>Generic ESG narrative; no ISPO/RSPO references (not a palm producer)</t>
        </is>
      </c>
      <c r="G6489" t="inlineStr">
        <is>
          <t>text</t>
        </is>
      </c>
      <c r="H6489" t="n">
        <v>0</v>
      </c>
      <c r="I6489" t="inlineStr">
        <is>
          <t>2022 Sustainability Report focuses on coffee/seaweed/beverage supply chain, no palm-related certifications</t>
        </is>
      </c>
      <c r="J6489" t="inlineStr">
        <is>
          <t>High</t>
        </is>
      </c>
      <c r="M6489" t="inlineStr">
        <is>
          <t>LLM</t>
        </is>
      </c>
      <c r="N6489" t="inlineStr">
        <is>
          <t>2026-04-19</t>
        </is>
      </c>
      <c r="O6489" t="inlineStr">
        <is>
          <t>AI</t>
        </is>
      </c>
    </row>
    <row r="6490">
      <c r="A6490" t="inlineStr">
        <is>
          <t>PT Wahana Pronatural Tbk</t>
        </is>
      </c>
      <c r="B6490" t="inlineStr">
        <is>
          <t>WAPO_2022_AR.pdf</t>
        </is>
      </c>
      <c r="C6490" t="n">
        <v>2022</v>
      </c>
      <c r="D6490" t="inlineStr">
        <is>
          <t>Other</t>
        </is>
      </c>
      <c r="E6490" t="inlineStr">
        <is>
          <t>Red Flag - Not a Palm Company</t>
        </is>
      </c>
      <c r="F6490" t="inlineStr">
        <is>
          <t>WAPO is NOT a palm oil company; it trades coffee beans, dried seaweed, and beverages.</t>
        </is>
      </c>
      <c r="G6490" t="inlineStr">
        <is>
          <t>flag</t>
        </is>
      </c>
      <c r="H6490" t="n">
        <v>6</v>
      </c>
      <c r="I6490" t="inlineStr">
        <is>
          <t>Penjualan terdiri dari Biji Kopi 97%, Air Mineral 1.1%, Sunkist Water 1%, Rumput Laut 0.4% (2024 figures; 2022 business mix similar without palm)</t>
        </is>
      </c>
      <c r="J6490" t="inlineStr">
        <is>
          <t>High</t>
        </is>
      </c>
      <c r="M6490" t="inlineStr">
        <is>
          <t>LLM</t>
        </is>
      </c>
      <c r="N6490" t="inlineStr">
        <is>
          <t>2026-04-19</t>
        </is>
      </c>
      <c r="O6490" t="inlineStr">
        <is>
          <t>AI</t>
        </is>
      </c>
    </row>
    <row r="6491">
      <c r="A6491" t="inlineStr">
        <is>
          <t>PT Wahana Pronatural Tbk</t>
        </is>
      </c>
      <c r="B6491" t="inlineStr">
        <is>
          <t>WAPO_2023_AR.pdf</t>
        </is>
      </c>
      <c r="C6491" t="n">
        <v>2023</v>
      </c>
      <c r="D6491" t="inlineStr">
        <is>
          <t>Company</t>
        </is>
      </c>
      <c r="E6491" t="inlineStr">
        <is>
          <t>Company Name</t>
        </is>
      </c>
      <c r="F6491" t="inlineStr">
        <is>
          <t>PT Wahana Pronatural Tbk</t>
        </is>
      </c>
      <c r="G6491" t="inlineStr">
        <is>
          <t>text</t>
        </is>
      </c>
      <c r="H6491" t="n">
        <v>3</v>
      </c>
      <c r="I6491" t="inlineStr">
        <is>
          <t>PT WAHANA PRONATURAL Tbk - Laporan Tahunan dan Laporan Keberlanjutan 2023</t>
        </is>
      </c>
      <c r="J6491" t="inlineStr">
        <is>
          <t>High</t>
        </is>
      </c>
      <c r="M6491" t="inlineStr">
        <is>
          <t>LLM</t>
        </is>
      </c>
      <c r="N6491" t="inlineStr">
        <is>
          <t>2026-04-19</t>
        </is>
      </c>
      <c r="O6491" t="inlineStr">
        <is>
          <t>AI</t>
        </is>
      </c>
    </row>
    <row r="6492">
      <c r="A6492" t="inlineStr">
        <is>
          <t>PT Wahana Pronatural Tbk</t>
        </is>
      </c>
      <c r="B6492" t="inlineStr">
        <is>
          <t>WAPO_2023_AR.pdf</t>
        </is>
      </c>
      <c r="C6492" t="n">
        <v>2023</v>
      </c>
      <c r="D6492" t="inlineStr">
        <is>
          <t>Company</t>
        </is>
      </c>
      <c r="E6492" t="inlineStr">
        <is>
          <t>Ticker</t>
        </is>
      </c>
      <c r="F6492" t="inlineStr">
        <is>
          <t>WAPO</t>
        </is>
      </c>
      <c r="G6492" t="inlineStr">
        <is>
          <t>text</t>
        </is>
      </c>
      <c r="H6492" t="n">
        <v>1</v>
      </c>
      <c r="I6492" t="inlineStr">
        <is>
          <t>PT Wahana Pronatural Tbk (IDX: WAPO)</t>
        </is>
      </c>
      <c r="J6492" t="inlineStr">
        <is>
          <t>High</t>
        </is>
      </c>
      <c r="M6492" t="inlineStr">
        <is>
          <t>LLM</t>
        </is>
      </c>
      <c r="N6492" t="inlineStr">
        <is>
          <t>2026-04-19</t>
        </is>
      </c>
      <c r="O6492" t="inlineStr">
        <is>
          <t>AI</t>
        </is>
      </c>
    </row>
    <row r="6493">
      <c r="A6493" t="inlineStr">
        <is>
          <t>PT Wahana Pronatural Tbk</t>
        </is>
      </c>
      <c r="B6493" t="inlineStr">
        <is>
          <t>WAPO_2023_AR.pdf</t>
        </is>
      </c>
      <c r="C6493" t="n">
        <v>2023</v>
      </c>
      <c r="D6493" t="inlineStr">
        <is>
          <t>Company</t>
        </is>
      </c>
      <c r="E6493" t="inlineStr">
        <is>
          <t>Year of AR</t>
        </is>
      </c>
      <c r="F6493" t="n">
        <v>2023</v>
      </c>
      <c r="G6493" t="inlineStr">
        <is>
          <t>year</t>
        </is>
      </c>
      <c r="H6493" t="n">
        <v>1</v>
      </c>
      <c r="I6493" t="inlineStr">
        <is>
          <t>Laporan Tahunan dan Laporan Keberlanjutan 2023</t>
        </is>
      </c>
      <c r="J6493" t="inlineStr">
        <is>
          <t>High</t>
        </is>
      </c>
      <c r="M6493" t="inlineStr">
        <is>
          <t>LLM</t>
        </is>
      </c>
      <c r="N6493" t="inlineStr">
        <is>
          <t>2026-04-19</t>
        </is>
      </c>
      <c r="O6493" t="inlineStr">
        <is>
          <t>AI</t>
        </is>
      </c>
    </row>
    <row r="6494">
      <c r="A6494" t="inlineStr">
        <is>
          <t>PT Wahana Pronatural Tbk</t>
        </is>
      </c>
      <c r="B6494" t="inlineStr">
        <is>
          <t>WAPO_2023_AR.pdf</t>
        </is>
      </c>
      <c r="C6494" t="n">
        <v>2023</v>
      </c>
      <c r="D6494" t="inlineStr">
        <is>
          <t>Company</t>
        </is>
      </c>
      <c r="E6494" t="inlineStr">
        <is>
          <t>Headquarters</t>
        </is>
      </c>
      <c r="F6494" t="inlineStr">
        <is>
          <t>Surabaya, Indonesia</t>
        </is>
      </c>
      <c r="G6494" t="inlineStr">
        <is>
          <t>text</t>
        </is>
      </c>
      <c r="H6494" t="n">
        <v>8</v>
      </c>
      <c r="I6494" t="inlineStr">
        <is>
          <t>Perseroan berdomisili di Surabaya, berkantor pusat di Gedung Japfa Indoland Center Tower II</t>
        </is>
      </c>
      <c r="J6494" t="inlineStr">
        <is>
          <t>High</t>
        </is>
      </c>
      <c r="M6494" t="inlineStr">
        <is>
          <t>LLM</t>
        </is>
      </c>
      <c r="N6494" t="inlineStr">
        <is>
          <t>2026-04-19</t>
        </is>
      </c>
      <c r="O6494" t="inlineStr">
        <is>
          <t>AI</t>
        </is>
      </c>
    </row>
    <row r="6495">
      <c r="A6495" t="inlineStr">
        <is>
          <t>PT Wahana Pronatural Tbk</t>
        </is>
      </c>
      <c r="B6495" t="inlineStr">
        <is>
          <t>WAPO_2023_AR.pdf</t>
        </is>
      </c>
      <c r="C6495" t="n">
        <v>2023</v>
      </c>
      <c r="D6495" t="inlineStr">
        <is>
          <t>Company</t>
        </is>
      </c>
      <c r="E6495" t="inlineStr">
        <is>
          <t>Primary Business (AoA)</t>
        </is>
      </c>
      <c r="F6495" t="inlineStr">
        <is>
          <t>Trading, construction, industrial, agricultural, transportation, rental/leasing, and other services. Main activity: trading of agricultural and marine products + wholesale of non-alcoholic non-milk beverages.</t>
        </is>
      </c>
      <c r="G6495" t="inlineStr">
        <is>
          <t>text</t>
        </is>
      </c>
      <c r="H6495" t="n">
        <v>149</v>
      </c>
      <c r="I6495" t="inlineStr">
        <is>
          <t>ruang lingkup kegiatan Perusahaan ... perdagangan hasil pertanian dan kelautan serta perdagangan besar minuman non alkohol bukan susu</t>
        </is>
      </c>
      <c r="J6495" t="inlineStr">
        <is>
          <t>High</t>
        </is>
      </c>
      <c r="M6495" t="inlineStr">
        <is>
          <t>LLM</t>
        </is>
      </c>
      <c r="N6495" t="inlineStr">
        <is>
          <t>2026-04-19</t>
        </is>
      </c>
      <c r="O6495" t="inlineStr">
        <is>
          <t>AI</t>
        </is>
      </c>
    </row>
    <row r="6496">
      <c r="A6496" t="inlineStr">
        <is>
          <t>PT Wahana Pronatural Tbk</t>
        </is>
      </c>
      <c r="B6496" t="inlineStr">
        <is>
          <t>WAPO_2023_AR.pdf</t>
        </is>
      </c>
      <c r="C6496" t="n">
        <v>2023</v>
      </c>
      <c r="D6496" t="inlineStr">
        <is>
          <t>Company</t>
        </is>
      </c>
      <c r="E6496" t="inlineStr">
        <is>
          <t>Main Products 2023</t>
        </is>
      </c>
      <c r="F6496" t="inlineStr">
        <is>
          <t>Coffee beans, dried seaweed, Sunkist Water C, AirAlam bottled water</t>
        </is>
      </c>
      <c r="G6496" t="inlineStr">
        <is>
          <t>text</t>
        </is>
      </c>
      <c r="H6496" t="n">
        <v>8</v>
      </c>
      <c r="I6496" t="inlineStr">
        <is>
          <t>Produk utama yang dihasilkan adalah komoditas biji Kopi, Rumput Laut Kering, minuman rasa dan air mineral</t>
        </is>
      </c>
      <c r="J6496" t="inlineStr">
        <is>
          <t>High</t>
        </is>
      </c>
      <c r="M6496" t="inlineStr">
        <is>
          <t>LLM</t>
        </is>
      </c>
      <c r="N6496" t="inlineStr">
        <is>
          <t>2026-04-19</t>
        </is>
      </c>
      <c r="O6496" t="inlineStr">
        <is>
          <t>AI</t>
        </is>
      </c>
    </row>
    <row r="6497">
      <c r="A6497" t="inlineStr">
        <is>
          <t>PT Wahana Pronatural Tbk</t>
        </is>
      </c>
      <c r="B6497" t="inlineStr">
        <is>
          <t>WAPO_2023_AR.pdf</t>
        </is>
      </c>
      <c r="C6497" t="n">
        <v>2023</v>
      </c>
      <c r="D6497" t="inlineStr">
        <is>
          <t>Company</t>
        </is>
      </c>
      <c r="E6497" t="inlineStr">
        <is>
          <t>Controlling Shareholder 1</t>
        </is>
      </c>
      <c r="F6497" t="inlineStr">
        <is>
          <t>PT Hijau Sari 36.07%</t>
        </is>
      </c>
      <c r="G6497" t="inlineStr">
        <is>
          <t>%</t>
        </is>
      </c>
      <c r="H6497" t="n">
        <v>11</v>
      </c>
      <c r="I6497" t="inlineStr">
        <is>
          <t>PT. Hijau Sari 447.562.500 36.07</t>
        </is>
      </c>
      <c r="J6497" t="inlineStr">
        <is>
          <t>High</t>
        </is>
      </c>
      <c r="M6497" t="inlineStr">
        <is>
          <t>LLM</t>
        </is>
      </c>
      <c r="N6497" t="inlineStr">
        <is>
          <t>2026-04-19</t>
        </is>
      </c>
      <c r="O6497" t="inlineStr">
        <is>
          <t>AI</t>
        </is>
      </c>
    </row>
    <row r="6498">
      <c r="A6498" t="inlineStr">
        <is>
          <t>PT Wahana Pronatural Tbk</t>
        </is>
      </c>
      <c r="B6498" t="inlineStr">
        <is>
          <t>WAPO_2023_AR.pdf</t>
        </is>
      </c>
      <c r="C6498" t="n">
        <v>2023</v>
      </c>
      <c r="D6498" t="inlineStr">
        <is>
          <t>Company</t>
        </is>
      </c>
      <c r="E6498" t="inlineStr">
        <is>
          <t>Controlling Shareholder 2</t>
        </is>
      </c>
      <c r="F6498" t="inlineStr">
        <is>
          <t>PT Mitra Niaga Sakti 32.44%</t>
        </is>
      </c>
      <c r="G6498" t="inlineStr">
        <is>
          <t>%</t>
        </is>
      </c>
      <c r="H6498" t="n">
        <v>11</v>
      </c>
      <c r="I6498" t="inlineStr">
        <is>
          <t>PT. Mitra Niaga Sakti 402.562.500 32.44</t>
        </is>
      </c>
      <c r="J6498" t="inlineStr">
        <is>
          <t>High</t>
        </is>
      </c>
      <c r="M6498" t="inlineStr">
        <is>
          <t>LLM</t>
        </is>
      </c>
      <c r="N6498" t="inlineStr">
        <is>
          <t>2026-04-19</t>
        </is>
      </c>
      <c r="O6498" t="inlineStr">
        <is>
          <t>AI</t>
        </is>
      </c>
    </row>
    <row r="6499">
      <c r="A6499" t="inlineStr">
        <is>
          <t>PT Wahana Pronatural Tbk</t>
        </is>
      </c>
      <c r="B6499" t="inlineStr">
        <is>
          <t>WAPO_2023_AR.pdf</t>
        </is>
      </c>
      <c r="C6499" t="n">
        <v>2023</v>
      </c>
      <c r="D6499" t="inlineStr">
        <is>
          <t>Company</t>
        </is>
      </c>
      <c r="E6499" t="inlineStr">
        <is>
          <t>Public Float</t>
        </is>
      </c>
      <c r="F6499" t="n">
        <v>0.19</v>
      </c>
      <c r="G6499" t="inlineStr">
        <is>
          <t>%</t>
        </is>
      </c>
      <c r="H6499" t="n">
        <v>11</v>
      </c>
      <c r="I6499" t="inlineStr">
        <is>
          <t>Masyarakat (dibawah 5%) 235.798.111 19.00</t>
        </is>
      </c>
      <c r="J6499" t="inlineStr">
        <is>
          <t>High</t>
        </is>
      </c>
      <c r="M6499" t="inlineStr">
        <is>
          <t>LLM</t>
        </is>
      </c>
      <c r="N6499" t="inlineStr">
        <is>
          <t>2026-04-19</t>
        </is>
      </c>
      <c r="O6499" t="inlineStr">
        <is>
          <t>AI</t>
        </is>
      </c>
    </row>
    <row r="6500">
      <c r="A6500" t="inlineStr">
        <is>
          <t>PT Wahana Pronatural Tbk</t>
        </is>
      </c>
      <c r="B6500" t="inlineStr">
        <is>
          <t>WAPO_2023_AR.pdf</t>
        </is>
      </c>
      <c r="C6500" t="n">
        <v>2023</v>
      </c>
      <c r="D6500" t="inlineStr">
        <is>
          <t>Company</t>
        </is>
      </c>
      <c r="E6500" t="inlineStr">
        <is>
          <t>Directors</t>
        </is>
      </c>
      <c r="F6500" t="inlineStr">
        <is>
          <t>Artha Lovie Aprillailie (Dirut), Iwan Setiawan (Direktur)</t>
        </is>
      </c>
      <c r="G6500" t="inlineStr">
        <is>
          <t>text</t>
        </is>
      </c>
      <c r="H6500" t="n">
        <v>14</v>
      </c>
      <c r="I6500" t="inlineStr">
        <is>
          <t>Dewan Direksi: Direktur Utama Artha Lovie Aprillailie; Direktur Iwan Setiawan (appointed RUPS 6 Sep 2023)</t>
        </is>
      </c>
      <c r="J6500" t="inlineStr">
        <is>
          <t>High</t>
        </is>
      </c>
      <c r="M6500" t="inlineStr">
        <is>
          <t>LLM</t>
        </is>
      </c>
      <c r="N6500" t="inlineStr">
        <is>
          <t>2026-04-19</t>
        </is>
      </c>
      <c r="O6500" t="inlineStr">
        <is>
          <t>AI</t>
        </is>
      </c>
    </row>
    <row r="6501">
      <c r="A6501" t="inlineStr">
        <is>
          <t>PT Wahana Pronatural Tbk</t>
        </is>
      </c>
      <c r="B6501" t="inlineStr">
        <is>
          <t>WAPO_2023_AR.pdf</t>
        </is>
      </c>
      <c r="C6501" t="n">
        <v>2023</v>
      </c>
      <c r="D6501" t="inlineStr">
        <is>
          <t>Company</t>
        </is>
      </c>
      <c r="E6501" t="inlineStr">
        <is>
          <t>Commissioners</t>
        </is>
      </c>
      <c r="F6501" t="inlineStr">
        <is>
          <t>Hendra Widjaya (Komut Independen), Chenny</t>
        </is>
      </c>
      <c r="G6501" t="inlineStr">
        <is>
          <t>text</t>
        </is>
      </c>
      <c r="H6501" t="n">
        <v>14</v>
      </c>
      <c r="I6501" t="inlineStr">
        <is>
          <t>Dewan Komisaris: Komisaris Utama (Ind) Hendra Widjaya; Komisaris Chenny</t>
        </is>
      </c>
      <c r="J6501" t="inlineStr">
        <is>
          <t>High</t>
        </is>
      </c>
      <c r="M6501" t="inlineStr">
        <is>
          <t>LLM</t>
        </is>
      </c>
      <c r="N6501" t="inlineStr">
        <is>
          <t>2026-04-19</t>
        </is>
      </c>
      <c r="O6501" t="inlineStr">
        <is>
          <t>AI</t>
        </is>
      </c>
    </row>
    <row r="6502">
      <c r="A6502" t="inlineStr">
        <is>
          <t>PT Wahana Pronatural Tbk</t>
        </is>
      </c>
      <c r="B6502" t="inlineStr">
        <is>
          <t>WAPO_2023_AR.pdf</t>
        </is>
      </c>
      <c r="C6502" t="n">
        <v>2023</v>
      </c>
      <c r="D6502" t="inlineStr">
        <is>
          <t>Financial</t>
        </is>
      </c>
      <c r="E6502" t="inlineStr">
        <is>
          <t>Revenue (Net Sales)</t>
        </is>
      </c>
      <c r="F6502" t="n">
        <v>420.95</v>
      </c>
      <c r="G6502" t="inlineStr">
        <is>
          <t>IDR bn</t>
        </is>
      </c>
      <c r="H6502" t="n">
        <v>146</v>
      </c>
      <c r="I6502" t="inlineStr">
        <is>
          <t>PENJUALAN BERSIH 22 420.953.775.283 (2023)</t>
        </is>
      </c>
      <c r="J6502" t="inlineStr">
        <is>
          <t>High</t>
        </is>
      </c>
      <c r="M6502" t="inlineStr">
        <is>
          <t>LLM</t>
        </is>
      </c>
      <c r="N6502" t="inlineStr">
        <is>
          <t>2026-04-19</t>
        </is>
      </c>
      <c r="O6502" t="inlineStr">
        <is>
          <t>AI</t>
        </is>
      </c>
    </row>
    <row r="6503">
      <c r="A6503" t="inlineStr">
        <is>
          <t>PT Wahana Pronatural Tbk</t>
        </is>
      </c>
      <c r="B6503" t="inlineStr">
        <is>
          <t>WAPO_2023_AR.pdf</t>
        </is>
      </c>
      <c r="C6503" t="n">
        <v>2023</v>
      </c>
      <c r="D6503" t="inlineStr">
        <is>
          <t>Financial</t>
        </is>
      </c>
      <c r="E6503" t="inlineStr">
        <is>
          <t>Cost of Goods Sold</t>
        </is>
      </c>
      <c r="F6503" t="n">
        <v>409.06</v>
      </c>
      <c r="G6503" t="inlineStr">
        <is>
          <t>IDR bn</t>
        </is>
      </c>
      <c r="H6503" t="n">
        <v>146</v>
      </c>
      <c r="I6503" t="inlineStr">
        <is>
          <t>BEBAN POKOK PENJUALAN 23 (409.055.891.751)</t>
        </is>
      </c>
      <c r="J6503" t="inlineStr">
        <is>
          <t>High</t>
        </is>
      </c>
      <c r="M6503" t="inlineStr">
        <is>
          <t>LLM</t>
        </is>
      </c>
      <c r="N6503" t="inlineStr">
        <is>
          <t>2026-04-19</t>
        </is>
      </c>
      <c r="O6503" t="inlineStr">
        <is>
          <t>AI</t>
        </is>
      </c>
    </row>
    <row r="6504">
      <c r="A6504" t="inlineStr">
        <is>
          <t>PT Wahana Pronatural Tbk</t>
        </is>
      </c>
      <c r="B6504" t="inlineStr">
        <is>
          <t>WAPO_2023_AR.pdf</t>
        </is>
      </c>
      <c r="C6504" t="n">
        <v>2023</v>
      </c>
      <c r="D6504" t="inlineStr">
        <is>
          <t>Financial</t>
        </is>
      </c>
      <c r="E6504" t="inlineStr">
        <is>
          <t>Gross Profit</t>
        </is>
      </c>
      <c r="F6504" t="n">
        <v>11.9</v>
      </c>
      <c r="G6504" t="inlineStr">
        <is>
          <t>IDR bn</t>
        </is>
      </c>
      <c r="H6504" t="n">
        <v>146</v>
      </c>
      <c r="I6504" t="inlineStr">
        <is>
          <t>LABA KOTOR 11.897.883.532</t>
        </is>
      </c>
      <c r="J6504" t="inlineStr">
        <is>
          <t>High</t>
        </is>
      </c>
      <c r="M6504" t="inlineStr">
        <is>
          <t>LLM</t>
        </is>
      </c>
      <c r="N6504" t="inlineStr">
        <is>
          <t>2026-04-19</t>
        </is>
      </c>
      <c r="O6504" t="inlineStr">
        <is>
          <t>AI</t>
        </is>
      </c>
    </row>
    <row r="6505">
      <c r="A6505" t="inlineStr">
        <is>
          <t>PT Wahana Pronatural Tbk</t>
        </is>
      </c>
      <c r="B6505" t="inlineStr">
        <is>
          <t>WAPO_2023_AR.pdf</t>
        </is>
      </c>
      <c r="C6505" t="n">
        <v>2023</v>
      </c>
      <c r="D6505" t="inlineStr">
        <is>
          <t>Financial</t>
        </is>
      </c>
      <c r="E6505" t="inlineStr">
        <is>
          <t>Operating Expenses</t>
        </is>
      </c>
      <c r="F6505" t="n">
        <v>12.26</v>
      </c>
      <c r="G6505" t="inlineStr">
        <is>
          <t>IDR bn</t>
        </is>
      </c>
      <c r="H6505" t="n">
        <v>146</v>
      </c>
      <c r="I6505" t="inlineStr">
        <is>
          <t>Beban penjualan (48.624.662) + G&amp;A (12.208.076.430)</t>
        </is>
      </c>
      <c r="J6505" t="inlineStr">
        <is>
          <t>High</t>
        </is>
      </c>
      <c r="M6505" t="inlineStr">
        <is>
          <t>LLM</t>
        </is>
      </c>
      <c r="N6505" t="inlineStr">
        <is>
          <t>2026-04-19</t>
        </is>
      </c>
      <c r="O6505" t="inlineStr">
        <is>
          <t>AI</t>
        </is>
      </c>
    </row>
    <row r="6506">
      <c r="A6506" t="inlineStr">
        <is>
          <t>PT Wahana Pronatural Tbk</t>
        </is>
      </c>
      <c r="B6506" t="inlineStr">
        <is>
          <t>WAPO_2023_AR.pdf</t>
        </is>
      </c>
      <c r="C6506" t="n">
        <v>2023</v>
      </c>
      <c r="D6506" t="inlineStr">
        <is>
          <t>Financial</t>
        </is>
      </c>
      <c r="E6506" t="inlineStr">
        <is>
          <t>Operating Loss (EBIT)</t>
        </is>
      </c>
      <c r="F6506" t="n">
        <v>-0.36</v>
      </c>
      <c r="G6506" t="inlineStr">
        <is>
          <t>IDR bn</t>
        </is>
      </c>
      <c r="H6506" t="n">
        <v>146</v>
      </c>
      <c r="I6506" t="inlineStr">
        <is>
          <t>RUGI USAHA (358.817.560)</t>
        </is>
      </c>
      <c r="J6506" t="inlineStr">
        <is>
          <t>High</t>
        </is>
      </c>
      <c r="M6506" t="inlineStr">
        <is>
          <t>LLM</t>
        </is>
      </c>
      <c r="N6506" t="inlineStr">
        <is>
          <t>2026-04-19</t>
        </is>
      </c>
      <c r="O6506" t="inlineStr">
        <is>
          <t>AI</t>
        </is>
      </c>
    </row>
    <row r="6507">
      <c r="A6507" t="inlineStr">
        <is>
          <t>PT Wahana Pronatural Tbk</t>
        </is>
      </c>
      <c r="B6507" t="inlineStr">
        <is>
          <t>WAPO_2023_AR.pdf</t>
        </is>
      </c>
      <c r="C6507" t="n">
        <v>2023</v>
      </c>
      <c r="D6507" t="inlineStr">
        <is>
          <t>Financial</t>
        </is>
      </c>
      <c r="E6507" t="inlineStr">
        <is>
          <t>Other Income (Net)</t>
        </is>
      </c>
      <c r="F6507" t="n">
        <v>1.09</v>
      </c>
      <c r="G6507" t="inlineStr">
        <is>
          <t>IDR bn</t>
        </is>
      </c>
      <c r="H6507" t="n">
        <v>146</v>
      </c>
      <c r="I6507" t="inlineStr">
        <is>
          <t>PENDAPATAN LAIN-LAIN BERSIH 1.087.320.569</t>
        </is>
      </c>
      <c r="J6507" t="inlineStr">
        <is>
          <t>High</t>
        </is>
      </c>
      <c r="M6507" t="inlineStr">
        <is>
          <t>LLM</t>
        </is>
      </c>
      <c r="N6507" t="inlineStr">
        <is>
          <t>2026-04-19</t>
        </is>
      </c>
      <c r="O6507" t="inlineStr">
        <is>
          <t>AI</t>
        </is>
      </c>
    </row>
    <row r="6508">
      <c r="A6508" t="inlineStr">
        <is>
          <t>PT Wahana Pronatural Tbk</t>
        </is>
      </c>
      <c r="B6508" t="inlineStr">
        <is>
          <t>WAPO_2023_AR.pdf</t>
        </is>
      </c>
      <c r="C6508" t="n">
        <v>2023</v>
      </c>
      <c r="D6508" t="inlineStr">
        <is>
          <t>Financial</t>
        </is>
      </c>
      <c r="E6508" t="inlineStr">
        <is>
          <t>Finance Income/(Expense) Net</t>
        </is>
      </c>
      <c r="F6508" t="n">
        <v>-0.07000000000000001</v>
      </c>
      <c r="G6508" t="inlineStr">
        <is>
          <t>IDR bn</t>
        </is>
      </c>
      <c r="H6508" t="n">
        <v>146</v>
      </c>
      <c r="I6508" t="inlineStr">
        <is>
          <t>PENDAPATAN KEUANGAN BERSIH (71.811.586)</t>
        </is>
      </c>
      <c r="J6508" t="inlineStr">
        <is>
          <t>High</t>
        </is>
      </c>
      <c r="M6508" t="inlineStr">
        <is>
          <t>LLM</t>
        </is>
      </c>
      <c r="N6508" t="inlineStr">
        <is>
          <t>2026-04-19</t>
        </is>
      </c>
      <c r="O6508" t="inlineStr">
        <is>
          <t>AI</t>
        </is>
      </c>
    </row>
    <row r="6509">
      <c r="A6509" t="inlineStr">
        <is>
          <t>PT Wahana Pronatural Tbk</t>
        </is>
      </c>
      <c r="B6509" t="inlineStr">
        <is>
          <t>WAPO_2023_AR.pdf</t>
        </is>
      </c>
      <c r="C6509" t="n">
        <v>2023</v>
      </c>
      <c r="D6509" t="inlineStr">
        <is>
          <t>Financial</t>
        </is>
      </c>
      <c r="E6509" t="inlineStr">
        <is>
          <t>Profit Before Tax</t>
        </is>
      </c>
      <c r="F6509" t="n">
        <v>0.66</v>
      </c>
      <c r="G6509" t="inlineStr">
        <is>
          <t>IDR bn</t>
        </is>
      </c>
      <c r="H6509" t="n">
        <v>146</v>
      </c>
      <c r="I6509" t="inlineStr">
        <is>
          <t>LABA (RUGI) SEBELUM PAJAK 656.691.423</t>
        </is>
      </c>
      <c r="J6509" t="inlineStr">
        <is>
          <t>High</t>
        </is>
      </c>
      <c r="M6509" t="inlineStr">
        <is>
          <t>LLM</t>
        </is>
      </c>
      <c r="N6509" t="inlineStr">
        <is>
          <t>2026-04-19</t>
        </is>
      </c>
      <c r="O6509" t="inlineStr">
        <is>
          <t>AI</t>
        </is>
      </c>
    </row>
    <row r="6510">
      <c r="A6510" t="inlineStr">
        <is>
          <t>PT Wahana Pronatural Tbk</t>
        </is>
      </c>
      <c r="B6510" t="inlineStr">
        <is>
          <t>WAPO_2023_AR.pdf</t>
        </is>
      </c>
      <c r="C6510" t="n">
        <v>2023</v>
      </c>
      <c r="D6510" t="inlineStr">
        <is>
          <t>Financial</t>
        </is>
      </c>
      <c r="E6510" t="inlineStr">
        <is>
          <t>Tax Expense</t>
        </is>
      </c>
      <c r="F6510" t="n">
        <v>-0.44</v>
      </c>
      <c r="G6510" t="inlineStr">
        <is>
          <t>IDR bn</t>
        </is>
      </c>
      <c r="H6510" t="n">
        <v>146</v>
      </c>
      <c r="I6510" t="inlineStr">
        <is>
          <t>BEBAN PAJAK PENGHASILAN (438.119.434)</t>
        </is>
      </c>
      <c r="J6510" t="inlineStr">
        <is>
          <t>High</t>
        </is>
      </c>
      <c r="M6510" t="inlineStr">
        <is>
          <t>LLM</t>
        </is>
      </c>
      <c r="N6510" t="inlineStr">
        <is>
          <t>2026-04-19</t>
        </is>
      </c>
      <c r="O6510" t="inlineStr">
        <is>
          <t>AI</t>
        </is>
      </c>
    </row>
    <row r="6511">
      <c r="A6511" t="inlineStr">
        <is>
          <t>PT Wahana Pronatural Tbk</t>
        </is>
      </c>
      <c r="B6511" t="inlineStr">
        <is>
          <t>WAPO_2023_AR.pdf</t>
        </is>
      </c>
      <c r="C6511" t="n">
        <v>2023</v>
      </c>
      <c r="D6511" t="inlineStr">
        <is>
          <t>Financial</t>
        </is>
      </c>
      <c r="E6511" t="inlineStr">
        <is>
          <t>Net Profit</t>
        </is>
      </c>
      <c r="F6511" t="n">
        <v>0.22</v>
      </c>
      <c r="G6511" t="inlineStr">
        <is>
          <t>IDR bn</t>
        </is>
      </c>
      <c r="H6511" t="n">
        <v>146</v>
      </c>
      <c r="I6511" t="inlineStr">
        <is>
          <t>LABA (RUGI) BERSIH 218.571.989</t>
        </is>
      </c>
      <c r="J6511" t="inlineStr">
        <is>
          <t>High</t>
        </is>
      </c>
      <c r="M6511" t="inlineStr">
        <is>
          <t>LLM</t>
        </is>
      </c>
      <c r="N6511" t="inlineStr">
        <is>
          <t>2026-04-19</t>
        </is>
      </c>
      <c r="O6511" t="inlineStr">
        <is>
          <t>AI</t>
        </is>
      </c>
    </row>
    <row r="6512">
      <c r="A6512" t="inlineStr">
        <is>
          <t>PT Wahana Pronatural Tbk</t>
        </is>
      </c>
      <c r="B6512" t="inlineStr">
        <is>
          <t>WAPO_2023_AR.pdf</t>
        </is>
      </c>
      <c r="C6512" t="n">
        <v>2023</v>
      </c>
      <c r="D6512" t="inlineStr">
        <is>
          <t>Financial</t>
        </is>
      </c>
      <c r="E6512" t="inlineStr">
        <is>
          <t>Comprehensive Profit</t>
        </is>
      </c>
      <c r="F6512" t="n">
        <v>0.24</v>
      </c>
      <c r="G6512" t="inlineStr">
        <is>
          <t>IDR bn</t>
        </is>
      </c>
      <c r="H6512" t="n">
        <v>146</v>
      </c>
      <c r="I6512" t="inlineStr">
        <is>
          <t>JUMLAH LABA (RUGI) KOMPREHENSIF 236.333.725</t>
        </is>
      </c>
      <c r="J6512" t="inlineStr">
        <is>
          <t>High</t>
        </is>
      </c>
      <c r="M6512" t="inlineStr">
        <is>
          <t>LLM</t>
        </is>
      </c>
      <c r="N6512" t="inlineStr">
        <is>
          <t>2026-04-19</t>
        </is>
      </c>
      <c r="O6512" t="inlineStr">
        <is>
          <t>AI</t>
        </is>
      </c>
    </row>
    <row r="6513">
      <c r="A6513" t="inlineStr">
        <is>
          <t>PT Wahana Pronatural Tbk</t>
        </is>
      </c>
      <c r="B6513" t="inlineStr">
        <is>
          <t>WAPO_2023_AR.pdf</t>
        </is>
      </c>
      <c r="C6513" t="n">
        <v>2023</v>
      </c>
      <c r="D6513" t="inlineStr">
        <is>
          <t>Financial</t>
        </is>
      </c>
      <c r="E6513" t="inlineStr">
        <is>
          <t>Total Assets</t>
        </is>
      </c>
      <c r="F6513" t="n">
        <v>131.94</v>
      </c>
      <c r="G6513" t="inlineStr">
        <is>
          <t>IDR bn</t>
        </is>
      </c>
      <c r="H6513" t="n">
        <v>144</v>
      </c>
      <c r="I6513" t="inlineStr">
        <is>
          <t>JUMLAH ASET 131.935.413.522</t>
        </is>
      </c>
      <c r="J6513" t="inlineStr">
        <is>
          <t>High</t>
        </is>
      </c>
      <c r="M6513" t="inlineStr">
        <is>
          <t>LLM</t>
        </is>
      </c>
      <c r="N6513" t="inlineStr">
        <is>
          <t>2026-04-19</t>
        </is>
      </c>
      <c r="O6513" t="inlineStr">
        <is>
          <t>AI</t>
        </is>
      </c>
    </row>
    <row r="6514">
      <c r="A6514" t="inlineStr">
        <is>
          <t>PT Wahana Pronatural Tbk</t>
        </is>
      </c>
      <c r="B6514" t="inlineStr">
        <is>
          <t>WAPO_2023_AR.pdf</t>
        </is>
      </c>
      <c r="C6514" t="n">
        <v>2023</v>
      </c>
      <c r="D6514" t="inlineStr">
        <is>
          <t>Financial</t>
        </is>
      </c>
      <c r="E6514" t="inlineStr">
        <is>
          <t>Current Assets</t>
        </is>
      </c>
      <c r="F6514" t="n">
        <v>85.79000000000001</v>
      </c>
      <c r="G6514" t="inlineStr">
        <is>
          <t>IDR bn</t>
        </is>
      </c>
      <c r="H6514" t="n">
        <v>144</v>
      </c>
      <c r="I6514" t="inlineStr">
        <is>
          <t>Jumlah Aset Lancar 85.785.537.615</t>
        </is>
      </c>
      <c r="J6514" t="inlineStr">
        <is>
          <t>High</t>
        </is>
      </c>
      <c r="M6514" t="inlineStr">
        <is>
          <t>LLM</t>
        </is>
      </c>
      <c r="N6514" t="inlineStr">
        <is>
          <t>2026-04-19</t>
        </is>
      </c>
      <c r="O6514" t="inlineStr">
        <is>
          <t>AI</t>
        </is>
      </c>
    </row>
    <row r="6515">
      <c r="A6515" t="inlineStr">
        <is>
          <t>PT Wahana Pronatural Tbk</t>
        </is>
      </c>
      <c r="B6515" t="inlineStr">
        <is>
          <t>WAPO_2023_AR.pdf</t>
        </is>
      </c>
      <c r="C6515" t="n">
        <v>2023</v>
      </c>
      <c r="D6515" t="inlineStr">
        <is>
          <t>Financial</t>
        </is>
      </c>
      <c r="E6515" t="inlineStr">
        <is>
          <t>Non-Current Assets</t>
        </is>
      </c>
      <c r="F6515" t="n">
        <v>46.15</v>
      </c>
      <c r="G6515" t="inlineStr">
        <is>
          <t>IDR bn</t>
        </is>
      </c>
      <c r="H6515" t="n">
        <v>144</v>
      </c>
      <c r="I6515" t="inlineStr">
        <is>
          <t>Jumlah Aset Tidak Lancar 46.149.875.907</t>
        </is>
      </c>
      <c r="J6515" t="inlineStr">
        <is>
          <t>High</t>
        </is>
      </c>
      <c r="M6515" t="inlineStr">
        <is>
          <t>LLM</t>
        </is>
      </c>
      <c r="N6515" t="inlineStr">
        <is>
          <t>2026-04-19</t>
        </is>
      </c>
      <c r="O6515" t="inlineStr">
        <is>
          <t>AI</t>
        </is>
      </c>
    </row>
    <row r="6516">
      <c r="A6516" t="inlineStr">
        <is>
          <t>PT Wahana Pronatural Tbk</t>
        </is>
      </c>
      <c r="B6516" t="inlineStr">
        <is>
          <t>WAPO_2023_AR.pdf</t>
        </is>
      </c>
      <c r="C6516" t="n">
        <v>2023</v>
      </c>
      <c r="D6516" t="inlineStr">
        <is>
          <t>Financial</t>
        </is>
      </c>
      <c r="E6516" t="inlineStr">
        <is>
          <t>Total Liabilities</t>
        </is>
      </c>
      <c r="F6516" t="n">
        <v>60.68</v>
      </c>
      <c r="G6516" t="inlineStr">
        <is>
          <t>IDR bn</t>
        </is>
      </c>
      <c r="H6516" t="n">
        <v>145</v>
      </c>
      <c r="I6516" t="inlineStr">
        <is>
          <t>Jumlah Liabilitas 60.683.401.958</t>
        </is>
      </c>
      <c r="J6516" t="inlineStr">
        <is>
          <t>High</t>
        </is>
      </c>
      <c r="M6516" t="inlineStr">
        <is>
          <t>LLM</t>
        </is>
      </c>
      <c r="N6516" t="inlineStr">
        <is>
          <t>2026-04-19</t>
        </is>
      </c>
      <c r="O6516" t="inlineStr">
        <is>
          <t>AI</t>
        </is>
      </c>
    </row>
    <row r="6517">
      <c r="A6517" t="inlineStr">
        <is>
          <t>PT Wahana Pronatural Tbk</t>
        </is>
      </c>
      <c r="B6517" t="inlineStr">
        <is>
          <t>WAPO_2023_AR.pdf</t>
        </is>
      </c>
      <c r="C6517" t="n">
        <v>2023</v>
      </c>
      <c r="D6517" t="inlineStr">
        <is>
          <t>Financial</t>
        </is>
      </c>
      <c r="E6517" t="inlineStr">
        <is>
          <t>Current Liabilities</t>
        </is>
      </c>
      <c r="F6517" t="n">
        <v>59.92</v>
      </c>
      <c r="G6517" t="inlineStr">
        <is>
          <t>IDR bn</t>
        </is>
      </c>
      <c r="H6517" t="n">
        <v>145</v>
      </c>
      <c r="I6517" t="inlineStr">
        <is>
          <t>Jumlah Liabilitas Jangka Pendek 59.917.119.966</t>
        </is>
      </c>
      <c r="J6517" t="inlineStr">
        <is>
          <t>High</t>
        </is>
      </c>
      <c r="M6517" t="inlineStr">
        <is>
          <t>LLM</t>
        </is>
      </c>
      <c r="N6517" t="inlineStr">
        <is>
          <t>2026-04-19</t>
        </is>
      </c>
      <c r="O6517" t="inlineStr">
        <is>
          <t>AI</t>
        </is>
      </c>
    </row>
    <row r="6518">
      <c r="A6518" t="inlineStr">
        <is>
          <t>PT Wahana Pronatural Tbk</t>
        </is>
      </c>
      <c r="B6518" t="inlineStr">
        <is>
          <t>WAPO_2023_AR.pdf</t>
        </is>
      </c>
      <c r="C6518" t="n">
        <v>2023</v>
      </c>
      <c r="D6518" t="inlineStr">
        <is>
          <t>Financial</t>
        </is>
      </c>
      <c r="E6518" t="inlineStr">
        <is>
          <t>Long-Term Liabilities</t>
        </is>
      </c>
      <c r="F6518" t="n">
        <v>0.77</v>
      </c>
      <c r="G6518" t="inlineStr">
        <is>
          <t>IDR bn</t>
        </is>
      </c>
      <c r="H6518" t="n">
        <v>145</v>
      </c>
      <c r="I6518" t="inlineStr">
        <is>
          <t>Jumlah Liabilitas Jangka Panjang 766.281.992</t>
        </is>
      </c>
      <c r="J6518" t="inlineStr">
        <is>
          <t>High</t>
        </is>
      </c>
      <c r="M6518" t="inlineStr">
        <is>
          <t>LLM</t>
        </is>
      </c>
      <c r="N6518" t="inlineStr">
        <is>
          <t>2026-04-19</t>
        </is>
      </c>
      <c r="O6518" t="inlineStr">
        <is>
          <t>AI</t>
        </is>
      </c>
    </row>
    <row r="6519">
      <c r="A6519" t="inlineStr">
        <is>
          <t>PT Wahana Pronatural Tbk</t>
        </is>
      </c>
      <c r="B6519" t="inlineStr">
        <is>
          <t>WAPO_2023_AR.pdf</t>
        </is>
      </c>
      <c r="C6519" t="n">
        <v>2023</v>
      </c>
      <c r="D6519" t="inlineStr">
        <is>
          <t>Financial</t>
        </is>
      </c>
      <c r="E6519" t="inlineStr">
        <is>
          <t>Total Equity</t>
        </is>
      </c>
      <c r="F6519" t="n">
        <v>71.25</v>
      </c>
      <c r="G6519" t="inlineStr">
        <is>
          <t>IDR bn</t>
        </is>
      </c>
      <c r="H6519" t="n">
        <v>145</v>
      </c>
      <c r="I6519" t="inlineStr">
        <is>
          <t>Jumlah Ekuitas 71.252.011.564</t>
        </is>
      </c>
      <c r="J6519" t="inlineStr">
        <is>
          <t>High</t>
        </is>
      </c>
      <c r="M6519" t="inlineStr">
        <is>
          <t>LLM</t>
        </is>
      </c>
      <c r="N6519" t="inlineStr">
        <is>
          <t>2026-04-19</t>
        </is>
      </c>
      <c r="O6519" t="inlineStr">
        <is>
          <t>AI</t>
        </is>
      </c>
    </row>
    <row r="6520">
      <c r="A6520" t="inlineStr">
        <is>
          <t>PT Wahana Pronatural Tbk</t>
        </is>
      </c>
      <c r="B6520" t="inlineStr">
        <is>
          <t>WAPO_2023_AR.pdf</t>
        </is>
      </c>
      <c r="C6520" t="n">
        <v>2023</v>
      </c>
      <c r="D6520" t="inlineStr">
        <is>
          <t>Financial</t>
        </is>
      </c>
      <c r="E6520" t="inlineStr">
        <is>
          <t>Cash and Cash Equivalents</t>
        </is>
      </c>
      <c r="F6520" t="n">
        <v>9.07</v>
      </c>
      <c r="G6520" t="inlineStr">
        <is>
          <t>IDR bn</t>
        </is>
      </c>
      <c r="H6520" t="n">
        <v>144</v>
      </c>
      <c r="I6520" t="inlineStr">
        <is>
          <t>Kas dan setara kas 4 9.069.083.242</t>
        </is>
      </c>
      <c r="J6520" t="inlineStr">
        <is>
          <t>High</t>
        </is>
      </c>
      <c r="M6520" t="inlineStr">
        <is>
          <t>LLM</t>
        </is>
      </c>
      <c r="N6520" t="inlineStr">
        <is>
          <t>2026-04-19</t>
        </is>
      </c>
      <c r="O6520" t="inlineStr">
        <is>
          <t>AI</t>
        </is>
      </c>
    </row>
    <row r="6521">
      <c r="A6521" t="inlineStr">
        <is>
          <t>PT Wahana Pronatural Tbk</t>
        </is>
      </c>
      <c r="B6521" t="inlineStr">
        <is>
          <t>WAPO_2023_AR.pdf</t>
        </is>
      </c>
      <c r="C6521" t="n">
        <v>2023</v>
      </c>
      <c r="D6521" t="inlineStr">
        <is>
          <t>Financial</t>
        </is>
      </c>
      <c r="E6521" t="inlineStr">
        <is>
          <t>Restricted Cash</t>
        </is>
      </c>
      <c r="F6521" t="n">
        <v>0.61</v>
      </c>
      <c r="G6521" t="inlineStr">
        <is>
          <t>IDR bn</t>
        </is>
      </c>
      <c r="H6521" t="n">
        <v>144</v>
      </c>
      <c r="I6521" t="inlineStr">
        <is>
          <t>Kas yang dibatasi penggunaannya 5 606.337.500</t>
        </is>
      </c>
      <c r="J6521" t="inlineStr">
        <is>
          <t>High</t>
        </is>
      </c>
      <c r="M6521" t="inlineStr">
        <is>
          <t>LLM</t>
        </is>
      </c>
      <c r="N6521" t="inlineStr">
        <is>
          <t>2026-04-19</t>
        </is>
      </c>
      <c r="O6521" t="inlineStr">
        <is>
          <t>AI</t>
        </is>
      </c>
    </row>
    <row r="6522">
      <c r="A6522" t="inlineStr">
        <is>
          <t>PT Wahana Pronatural Tbk</t>
        </is>
      </c>
      <c r="B6522" t="inlineStr">
        <is>
          <t>WAPO_2023_AR.pdf</t>
        </is>
      </c>
      <c r="C6522" t="n">
        <v>2023</v>
      </c>
      <c r="D6522" t="inlineStr">
        <is>
          <t>Financial</t>
        </is>
      </c>
      <c r="E6522" t="inlineStr">
        <is>
          <t>Trade Receivables (Third Party)</t>
        </is>
      </c>
      <c r="F6522" t="n">
        <v>61.11</v>
      </c>
      <c r="G6522" t="inlineStr">
        <is>
          <t>IDR bn</t>
        </is>
      </c>
      <c r="H6522" t="n">
        <v>144</v>
      </c>
      <c r="I6522" t="inlineStr">
        <is>
          <t>Piutang usaha Pihak ketiga 61.114.709.101</t>
        </is>
      </c>
      <c r="J6522" t="inlineStr">
        <is>
          <t>High</t>
        </is>
      </c>
      <c r="M6522" t="inlineStr">
        <is>
          <t>LLM</t>
        </is>
      </c>
      <c r="N6522" t="inlineStr">
        <is>
          <t>2026-04-19</t>
        </is>
      </c>
      <c r="O6522" t="inlineStr">
        <is>
          <t>AI</t>
        </is>
      </c>
    </row>
    <row r="6523">
      <c r="A6523" t="inlineStr">
        <is>
          <t>PT Wahana Pronatural Tbk</t>
        </is>
      </c>
      <c r="B6523" t="inlineStr">
        <is>
          <t>WAPO_2023_AR.pdf</t>
        </is>
      </c>
      <c r="C6523" t="n">
        <v>2023</v>
      </c>
      <c r="D6523" t="inlineStr">
        <is>
          <t>Financial</t>
        </is>
      </c>
      <c r="E6523" t="inlineStr">
        <is>
          <t>Trade Receivables (Related)</t>
        </is>
      </c>
      <c r="F6523" t="n">
        <v>0.58</v>
      </c>
      <c r="G6523" t="inlineStr">
        <is>
          <t>IDR bn</t>
        </is>
      </c>
      <c r="H6523" t="n">
        <v>144</v>
      </c>
      <c r="I6523" t="inlineStr">
        <is>
          <t>Piutang usaha Pihak berelasi 577.196.433</t>
        </is>
      </c>
      <c r="J6523" t="inlineStr">
        <is>
          <t>High</t>
        </is>
      </c>
      <c r="M6523" t="inlineStr">
        <is>
          <t>LLM</t>
        </is>
      </c>
      <c r="N6523" t="inlineStr">
        <is>
          <t>2026-04-19</t>
        </is>
      </c>
      <c r="O6523" t="inlineStr">
        <is>
          <t>AI</t>
        </is>
      </c>
    </row>
    <row r="6524">
      <c r="A6524" t="inlineStr">
        <is>
          <t>PT Wahana Pronatural Tbk</t>
        </is>
      </c>
      <c r="B6524" t="inlineStr">
        <is>
          <t>WAPO_2023_AR.pdf</t>
        </is>
      </c>
      <c r="C6524" t="n">
        <v>2023</v>
      </c>
      <c r="D6524" t="inlineStr">
        <is>
          <t>Financial</t>
        </is>
      </c>
      <c r="E6524" t="inlineStr">
        <is>
          <t>Inventories</t>
        </is>
      </c>
      <c r="F6524" t="n">
        <v>9.220000000000001</v>
      </c>
      <c r="G6524" t="inlineStr">
        <is>
          <t>IDR bn</t>
        </is>
      </c>
      <c r="H6524" t="n">
        <v>144</v>
      </c>
      <c r="I6524" t="inlineStr">
        <is>
          <t>Persediaan 8 9.224.806.839</t>
        </is>
      </c>
      <c r="J6524" t="inlineStr">
        <is>
          <t>High</t>
        </is>
      </c>
      <c r="M6524" t="inlineStr">
        <is>
          <t>LLM</t>
        </is>
      </c>
      <c r="N6524" t="inlineStr">
        <is>
          <t>2026-04-19</t>
        </is>
      </c>
      <c r="O6524" t="inlineStr">
        <is>
          <t>AI</t>
        </is>
      </c>
    </row>
    <row r="6525">
      <c r="A6525" t="inlineStr">
        <is>
          <t>PT Wahana Pronatural Tbk</t>
        </is>
      </c>
      <c r="B6525" t="inlineStr">
        <is>
          <t>WAPO_2023_AR.pdf</t>
        </is>
      </c>
      <c r="C6525" t="n">
        <v>2023</v>
      </c>
      <c r="D6525" t="inlineStr">
        <is>
          <t>Financial</t>
        </is>
      </c>
      <c r="E6525" t="inlineStr">
        <is>
          <t>Investment Property</t>
        </is>
      </c>
      <c r="F6525" t="n">
        <v>38.75</v>
      </c>
      <c r="G6525" t="inlineStr">
        <is>
          <t>IDR bn</t>
        </is>
      </c>
      <c r="H6525" t="n">
        <v>144</v>
      </c>
      <c r="I6525" t="inlineStr">
        <is>
          <t>Properti investasi 11 38.753.165.552</t>
        </is>
      </c>
      <c r="J6525" t="inlineStr">
        <is>
          <t>High</t>
        </is>
      </c>
      <c r="M6525" t="inlineStr">
        <is>
          <t>LLM</t>
        </is>
      </c>
      <c r="N6525" t="inlineStr">
        <is>
          <t>2026-04-19</t>
        </is>
      </c>
      <c r="O6525" t="inlineStr">
        <is>
          <t>AI</t>
        </is>
      </c>
    </row>
    <row r="6526">
      <c r="A6526" t="inlineStr">
        <is>
          <t>PT Wahana Pronatural Tbk</t>
        </is>
      </c>
      <c r="B6526" t="inlineStr">
        <is>
          <t>WAPO_2023_AR.pdf</t>
        </is>
      </c>
      <c r="C6526" t="n">
        <v>2023</v>
      </c>
      <c r="D6526" t="inlineStr">
        <is>
          <t>Financial</t>
        </is>
      </c>
      <c r="E6526" t="inlineStr">
        <is>
          <t>Fixed Assets (Net)</t>
        </is>
      </c>
      <c r="F6526" t="n">
        <v>5.61</v>
      </c>
      <c r="G6526" t="inlineStr">
        <is>
          <t>IDR bn</t>
        </is>
      </c>
      <c r="H6526" t="n">
        <v>144</v>
      </c>
      <c r="I6526" t="inlineStr">
        <is>
          <t>Aset tetap 12 5.614.613.411</t>
        </is>
      </c>
      <c r="J6526" t="inlineStr">
        <is>
          <t>High</t>
        </is>
      </c>
      <c r="M6526" t="inlineStr">
        <is>
          <t>LLM</t>
        </is>
      </c>
      <c r="N6526" t="inlineStr">
        <is>
          <t>2026-04-19</t>
        </is>
      </c>
      <c r="O6526" t="inlineStr">
        <is>
          <t>AI</t>
        </is>
      </c>
    </row>
    <row r="6527">
      <c r="A6527" t="inlineStr">
        <is>
          <t>PT Wahana Pronatural Tbk</t>
        </is>
      </c>
      <c r="B6527" t="inlineStr">
        <is>
          <t>WAPO_2023_AR.pdf</t>
        </is>
      </c>
      <c r="C6527" t="n">
        <v>2023</v>
      </c>
      <c r="D6527" t="inlineStr">
        <is>
          <t>Financial</t>
        </is>
      </c>
      <c r="E6527" t="inlineStr">
        <is>
          <t>Trade Payables (Third)</t>
        </is>
      </c>
      <c r="F6527" t="n">
        <v>59.33</v>
      </c>
      <c r="G6527" t="inlineStr">
        <is>
          <t>IDR bn</t>
        </is>
      </c>
      <c r="H6527" t="n">
        <v>145</v>
      </c>
      <c r="I6527" t="inlineStr">
        <is>
          <t>Utang usaha - Pihak ketiga 15 59.330.973.153</t>
        </is>
      </c>
      <c r="J6527" t="inlineStr">
        <is>
          <t>High</t>
        </is>
      </c>
      <c r="M6527" t="inlineStr">
        <is>
          <t>LLM</t>
        </is>
      </c>
      <c r="N6527" t="inlineStr">
        <is>
          <t>2026-04-19</t>
        </is>
      </c>
      <c r="O6527" t="inlineStr">
        <is>
          <t>AI</t>
        </is>
      </c>
    </row>
    <row r="6528">
      <c r="A6528" t="inlineStr">
        <is>
          <t>PT Wahana Pronatural Tbk</t>
        </is>
      </c>
      <c r="B6528" t="inlineStr">
        <is>
          <t>WAPO_2023_AR.pdf</t>
        </is>
      </c>
      <c r="C6528" t="n">
        <v>2023</v>
      </c>
      <c r="D6528" t="inlineStr">
        <is>
          <t>Financial</t>
        </is>
      </c>
      <c r="E6528" t="inlineStr">
        <is>
          <t>CFO (Cash from Operations)</t>
        </is>
      </c>
      <c r="F6528" t="n">
        <v>9.630000000000001</v>
      </c>
      <c r="G6528" t="inlineStr">
        <is>
          <t>IDR bn</t>
        </is>
      </c>
      <c r="H6528" t="n">
        <v>148</v>
      </c>
      <c r="I6528" t="inlineStr">
        <is>
          <t>Kas bersih diperoleh dari aktivitas operasi 9.632.699.161</t>
        </is>
      </c>
      <c r="J6528" t="inlineStr">
        <is>
          <t>High</t>
        </is>
      </c>
      <c r="M6528" t="inlineStr">
        <is>
          <t>LLM</t>
        </is>
      </c>
      <c r="N6528" t="inlineStr">
        <is>
          <t>2026-04-19</t>
        </is>
      </c>
      <c r="O6528" t="inlineStr">
        <is>
          <t>AI</t>
        </is>
      </c>
    </row>
    <row r="6529">
      <c r="A6529" t="inlineStr">
        <is>
          <t>PT Wahana Pronatural Tbk</t>
        </is>
      </c>
      <c r="B6529" t="inlineStr">
        <is>
          <t>WAPO_2023_AR.pdf</t>
        </is>
      </c>
      <c r="C6529" t="n">
        <v>2023</v>
      </c>
      <c r="D6529" t="inlineStr">
        <is>
          <t>Financial</t>
        </is>
      </c>
      <c r="E6529" t="inlineStr">
        <is>
          <t>CFI (Cash from Investing)</t>
        </is>
      </c>
      <c r="F6529" t="n">
        <v>-2.94</v>
      </c>
      <c r="G6529" t="inlineStr">
        <is>
          <t>IDR bn</t>
        </is>
      </c>
      <c r="H6529" t="n">
        <v>148</v>
      </c>
      <c r="I6529" t="inlineStr">
        <is>
          <t>Kas bersih digunakan untuk aktivitas investasi (2,944,737,027)</t>
        </is>
      </c>
      <c r="J6529" t="inlineStr">
        <is>
          <t>High</t>
        </is>
      </c>
      <c r="M6529" t="inlineStr">
        <is>
          <t>LLM</t>
        </is>
      </c>
      <c r="N6529" t="inlineStr">
        <is>
          <t>2026-04-19</t>
        </is>
      </c>
      <c r="O6529" t="inlineStr">
        <is>
          <t>AI</t>
        </is>
      </c>
    </row>
    <row r="6530">
      <c r="A6530" t="inlineStr">
        <is>
          <t>PT Wahana Pronatural Tbk</t>
        </is>
      </c>
      <c r="B6530" t="inlineStr">
        <is>
          <t>WAPO_2023_AR.pdf</t>
        </is>
      </c>
      <c r="C6530" t="n">
        <v>2023</v>
      </c>
      <c r="D6530" t="inlineStr">
        <is>
          <t>Financial</t>
        </is>
      </c>
      <c r="E6530" t="inlineStr">
        <is>
          <t>Capex (Fixed asset acquisition)</t>
        </is>
      </c>
      <c r="F6530" t="n">
        <v>2.94</v>
      </c>
      <c r="G6530" t="inlineStr">
        <is>
          <t>IDR bn</t>
        </is>
      </c>
      <c r="H6530" t="n">
        <v>148</v>
      </c>
      <c r="I6530" t="inlineStr">
        <is>
          <t>Perolehan aset tetap (2.944.737.027)</t>
        </is>
      </c>
      <c r="J6530" t="inlineStr">
        <is>
          <t>High</t>
        </is>
      </c>
      <c r="M6530" t="inlineStr">
        <is>
          <t>LLM</t>
        </is>
      </c>
      <c r="N6530" t="inlineStr">
        <is>
          <t>2026-04-19</t>
        </is>
      </c>
      <c r="O6530" t="inlineStr">
        <is>
          <t>AI</t>
        </is>
      </c>
    </row>
    <row r="6531">
      <c r="A6531" t="inlineStr">
        <is>
          <t>PT Wahana Pronatural Tbk</t>
        </is>
      </c>
      <c r="B6531" t="inlineStr">
        <is>
          <t>WAPO_2023_AR.pdf</t>
        </is>
      </c>
      <c r="C6531" t="n">
        <v>2023</v>
      </c>
      <c r="D6531" t="inlineStr">
        <is>
          <t>Financial</t>
        </is>
      </c>
      <c r="E6531" t="inlineStr">
        <is>
          <t>EPS</t>
        </is>
      </c>
      <c r="F6531" t="n">
        <v>0.19</v>
      </c>
      <c r="G6531" t="inlineStr">
        <is>
          <t>Rp/share</t>
        </is>
      </c>
      <c r="H6531" t="n">
        <v>146</v>
      </c>
      <c r="I6531" t="inlineStr">
        <is>
          <t>LABA (RUGI) PER LEMBAR SAHAM 0,19045</t>
        </is>
      </c>
      <c r="J6531" t="inlineStr">
        <is>
          <t>High</t>
        </is>
      </c>
      <c r="M6531" t="inlineStr">
        <is>
          <t>LLM</t>
        </is>
      </c>
      <c r="N6531" t="inlineStr">
        <is>
          <t>2026-04-19</t>
        </is>
      </c>
      <c r="O6531" t="inlineStr">
        <is>
          <t>AI</t>
        </is>
      </c>
    </row>
    <row r="6532">
      <c r="A6532" t="inlineStr">
        <is>
          <t>PT Wahana Pronatural Tbk</t>
        </is>
      </c>
      <c r="B6532" t="inlineStr">
        <is>
          <t>WAPO_2023_AR.pdf</t>
        </is>
      </c>
      <c r="C6532" t="n">
        <v>2023</v>
      </c>
      <c r="D6532" t="inlineStr">
        <is>
          <t>Financial</t>
        </is>
      </c>
      <c r="E6532" t="inlineStr">
        <is>
          <t>Shares Outstanding</t>
        </is>
      </c>
      <c r="F6532" t="n">
        <v>1240.92</v>
      </c>
      <c r="G6532" t="inlineStr">
        <is>
          <t>mn</t>
        </is>
      </c>
      <c r="H6532" t="n">
        <v>11</v>
      </c>
      <c r="I6532" t="inlineStr">
        <is>
          <t>Jumlah 1.240.923.111</t>
        </is>
      </c>
      <c r="J6532" t="inlineStr">
        <is>
          <t>High</t>
        </is>
      </c>
      <c r="M6532" t="inlineStr">
        <is>
          <t>LLM</t>
        </is>
      </c>
      <c r="N6532" t="inlineStr">
        <is>
          <t>2026-04-19</t>
        </is>
      </c>
      <c r="O6532" t="inlineStr">
        <is>
          <t>AI</t>
        </is>
      </c>
    </row>
    <row r="6533">
      <c r="A6533" t="inlineStr">
        <is>
          <t>PT Wahana Pronatural Tbk</t>
        </is>
      </c>
      <c r="B6533" t="inlineStr">
        <is>
          <t>WAPO_2023_AR.pdf</t>
        </is>
      </c>
      <c r="C6533" t="n">
        <v>2023</v>
      </c>
      <c r="D6533" t="inlineStr">
        <is>
          <t>Financial</t>
        </is>
      </c>
      <c r="E6533" t="inlineStr">
        <is>
          <t>Closing Share Price Q4 2023</t>
        </is>
      </c>
      <c r="F6533" t="n">
        <v>136</v>
      </c>
      <c r="G6533" t="inlineStr">
        <is>
          <t>Rp/share</t>
        </is>
      </c>
      <c r="H6533" t="n">
        <v>11</v>
      </c>
      <c r="I6533" t="inlineStr">
        <is>
          <t>From share-price table: Q4 2023 closing approximately 136</t>
        </is>
      </c>
      <c r="J6533" t="inlineStr">
        <is>
          <t>Medium</t>
        </is>
      </c>
      <c r="M6533" t="inlineStr">
        <is>
          <t>LLM</t>
        </is>
      </c>
      <c r="N6533" t="inlineStr">
        <is>
          <t>2026-04-19</t>
        </is>
      </c>
      <c r="O6533" t="inlineStr">
        <is>
          <t>AI</t>
        </is>
      </c>
    </row>
    <row r="6534">
      <c r="A6534" t="inlineStr">
        <is>
          <t>PT Wahana Pronatural Tbk</t>
        </is>
      </c>
      <c r="B6534" t="inlineStr">
        <is>
          <t>WAPO_2023_AR.pdf</t>
        </is>
      </c>
      <c r="C6534" t="n">
        <v>2023</v>
      </c>
      <c r="D6534" t="inlineStr">
        <is>
          <t>Financial</t>
        </is>
      </c>
      <c r="E6534" t="inlineStr">
        <is>
          <t>Current Ratio</t>
        </is>
      </c>
      <c r="F6534" t="n">
        <v>1.43</v>
      </c>
      <c r="G6534" t="inlineStr">
        <is>
          <t>x</t>
        </is>
      </c>
      <c r="H6534" t="n">
        <v>10</v>
      </c>
      <c r="I6534" t="inlineStr">
        <is>
          <t>Aset Lancar / Liabilitas Jangka Pendek (Current ratio) 143.17 (2023)</t>
        </is>
      </c>
      <c r="J6534" t="inlineStr">
        <is>
          <t>High</t>
        </is>
      </c>
      <c r="M6534" t="inlineStr">
        <is>
          <t>LLM</t>
        </is>
      </c>
      <c r="N6534" t="inlineStr">
        <is>
          <t>2026-04-19</t>
        </is>
      </c>
      <c r="O6534" t="inlineStr">
        <is>
          <t>AI</t>
        </is>
      </c>
    </row>
    <row r="6535">
      <c r="A6535" t="inlineStr">
        <is>
          <t>PT Wahana Pronatural Tbk</t>
        </is>
      </c>
      <c r="B6535" t="inlineStr">
        <is>
          <t>WAPO_2023_AR.pdf</t>
        </is>
      </c>
      <c r="C6535" t="n">
        <v>2023</v>
      </c>
      <c r="D6535" t="inlineStr">
        <is>
          <t>Financial</t>
        </is>
      </c>
      <c r="E6535" t="inlineStr">
        <is>
          <t>Debt to Equity</t>
        </is>
      </c>
      <c r="F6535" t="n">
        <v>0.852</v>
      </c>
      <c r="G6535" t="inlineStr">
        <is>
          <t>x</t>
        </is>
      </c>
      <c r="H6535" t="n">
        <v>10</v>
      </c>
      <c r="I6535" t="inlineStr">
        <is>
          <t>Liabilitas / Ekuitas (Debt to Equity) 85.17 (2023)</t>
        </is>
      </c>
      <c r="J6535" t="inlineStr">
        <is>
          <t>High</t>
        </is>
      </c>
      <c r="M6535" t="inlineStr">
        <is>
          <t>LLM</t>
        </is>
      </c>
      <c r="N6535" t="inlineStr">
        <is>
          <t>2026-04-19</t>
        </is>
      </c>
      <c r="O6535" t="inlineStr">
        <is>
          <t>AI</t>
        </is>
      </c>
    </row>
    <row r="6536">
      <c r="A6536" t="inlineStr">
        <is>
          <t>PT Wahana Pronatural Tbk</t>
        </is>
      </c>
      <c r="B6536" t="inlineStr">
        <is>
          <t>WAPO_2023_AR.pdf</t>
        </is>
      </c>
      <c r="C6536" t="n">
        <v>2023</v>
      </c>
      <c r="D6536" t="inlineStr">
        <is>
          <t>Financial</t>
        </is>
      </c>
      <c r="E6536" t="inlineStr">
        <is>
          <t>Debt to Assets</t>
        </is>
      </c>
      <c r="F6536" t="n">
        <v>0.46</v>
      </c>
      <c r="G6536" t="inlineStr">
        <is>
          <t>x</t>
        </is>
      </c>
      <c r="H6536" t="n">
        <v>10</v>
      </c>
      <c r="I6536" t="inlineStr">
        <is>
          <t>Liabilitas / Aset (Debt to Assets) 45.99 (2023)</t>
        </is>
      </c>
      <c r="J6536" t="inlineStr">
        <is>
          <t>High</t>
        </is>
      </c>
      <c r="M6536" t="inlineStr">
        <is>
          <t>LLM</t>
        </is>
      </c>
      <c r="N6536" t="inlineStr">
        <is>
          <t>2026-04-19</t>
        </is>
      </c>
      <c r="O6536" t="inlineStr">
        <is>
          <t>AI</t>
        </is>
      </c>
    </row>
    <row r="6537">
      <c r="A6537" t="inlineStr">
        <is>
          <t>PT Wahana Pronatural Tbk</t>
        </is>
      </c>
      <c r="B6537" t="inlineStr">
        <is>
          <t>WAPO_2023_AR.pdf</t>
        </is>
      </c>
      <c r="C6537" t="n">
        <v>2023</v>
      </c>
      <c r="D6537" t="inlineStr">
        <is>
          <t>Financial</t>
        </is>
      </c>
      <c r="E6537" t="inlineStr">
        <is>
          <t>ROA</t>
        </is>
      </c>
      <c r="F6537" t="n">
        <v>0.0018</v>
      </c>
      <c r="G6537" t="inlineStr">
        <is>
          <t>%</t>
        </is>
      </c>
      <c r="H6537" t="n">
        <v>10</v>
      </c>
      <c r="I6537" t="inlineStr">
        <is>
          <t>Laba (Rugi) Komprehensif / Jumlah Aset 0.18 (2023)</t>
        </is>
      </c>
      <c r="J6537" t="inlineStr">
        <is>
          <t>High</t>
        </is>
      </c>
      <c r="M6537" t="inlineStr">
        <is>
          <t>LLM</t>
        </is>
      </c>
      <c r="N6537" t="inlineStr">
        <is>
          <t>2026-04-19</t>
        </is>
      </c>
      <c r="O6537" t="inlineStr">
        <is>
          <t>AI</t>
        </is>
      </c>
    </row>
    <row r="6538">
      <c r="A6538" t="inlineStr">
        <is>
          <t>PT Wahana Pronatural Tbk</t>
        </is>
      </c>
      <c r="B6538" t="inlineStr">
        <is>
          <t>WAPO_2023_AR.pdf</t>
        </is>
      </c>
      <c r="C6538" t="n">
        <v>2023</v>
      </c>
      <c r="D6538" t="inlineStr">
        <is>
          <t>Financial</t>
        </is>
      </c>
      <c r="E6538" t="inlineStr">
        <is>
          <t>ROE</t>
        </is>
      </c>
      <c r="F6538" t="n">
        <v>0.0033</v>
      </c>
      <c r="G6538" t="inlineStr">
        <is>
          <t>%</t>
        </is>
      </c>
      <c r="H6538" t="n">
        <v>10</v>
      </c>
      <c r="I6538" t="inlineStr">
        <is>
          <t>Laba (Rugi) Komprehensif / Jumlah Ekuitas 0.33 (2023)</t>
        </is>
      </c>
      <c r="J6538" t="inlineStr">
        <is>
          <t>High</t>
        </is>
      </c>
      <c r="M6538" t="inlineStr">
        <is>
          <t>LLM</t>
        </is>
      </c>
      <c r="N6538" t="inlineStr">
        <is>
          <t>2026-04-19</t>
        </is>
      </c>
      <c r="O6538" t="inlineStr">
        <is>
          <t>AI</t>
        </is>
      </c>
    </row>
    <row r="6539">
      <c r="A6539" t="inlineStr">
        <is>
          <t>PT Wahana Pronatural Tbk</t>
        </is>
      </c>
      <c r="B6539" t="inlineStr">
        <is>
          <t>WAPO_2023_AR.pdf</t>
        </is>
      </c>
      <c r="C6539" t="n">
        <v>2023</v>
      </c>
      <c r="D6539" t="inlineStr">
        <is>
          <t>Operation</t>
        </is>
      </c>
      <c r="E6539" t="inlineStr">
        <is>
          <t>Product Mix</t>
        </is>
      </c>
      <c r="F6539" t="inlineStr">
        <is>
          <t>Coffee beans (dominant) + dried seaweed + Sunkist Water C + AirAlam bottled water</t>
        </is>
      </c>
      <c r="G6539" t="inlineStr">
        <is>
          <t>text</t>
        </is>
      </c>
      <c r="H6539" t="n">
        <v>8</v>
      </c>
      <c r="I6539" t="inlineStr">
        <is>
          <t>Produk utama: biji Kopi, Rumput Laut Kering, minuman rasa dan air mineral</t>
        </is>
      </c>
      <c r="J6539" t="inlineStr">
        <is>
          <t>High</t>
        </is>
      </c>
      <c r="M6539" t="inlineStr">
        <is>
          <t>LLM</t>
        </is>
      </c>
      <c r="N6539" t="inlineStr">
        <is>
          <t>2026-04-19</t>
        </is>
      </c>
      <c r="O6539" t="inlineStr">
        <is>
          <t>AI</t>
        </is>
      </c>
    </row>
    <row r="6540">
      <c r="A6540" t="inlineStr">
        <is>
          <t>PT Wahana Pronatural Tbk</t>
        </is>
      </c>
      <c r="B6540" t="inlineStr">
        <is>
          <t>WAPO_2023_AR.pdf</t>
        </is>
      </c>
      <c r="C6540" t="n">
        <v>2023</v>
      </c>
      <c r="D6540" t="inlineStr">
        <is>
          <t>Operation</t>
        </is>
      </c>
      <c r="E6540" t="inlineStr">
        <is>
          <t>Distribution Areas</t>
        </is>
      </c>
      <c r="F6540" t="inlineStr">
        <is>
          <t>National: Java, Sumatra, Bali, Sulawesi, Kalimantan</t>
        </is>
      </c>
      <c r="G6540" t="inlineStr">
        <is>
          <t>text</t>
        </is>
      </c>
      <c r="H6540" t="n">
        <v>8</v>
      </c>
      <c r="I6540" t="inlineStr">
        <is>
          <t>Distribusi secara nasional mencakup pulau Jawa, Sumatera, Bali, Sulawesi dan Kalimantan</t>
        </is>
      </c>
      <c r="J6540" t="inlineStr">
        <is>
          <t>High</t>
        </is>
      </c>
      <c r="M6540" t="inlineStr">
        <is>
          <t>LLM</t>
        </is>
      </c>
      <c r="N6540" t="inlineStr">
        <is>
          <t>2026-04-19</t>
        </is>
      </c>
      <c r="O6540" t="inlineStr">
        <is>
          <t>AI</t>
        </is>
      </c>
    </row>
    <row r="6541">
      <c r="A6541" t="inlineStr">
        <is>
          <t>PT Wahana Pronatural Tbk</t>
        </is>
      </c>
      <c r="B6541" t="inlineStr">
        <is>
          <t>WAPO_2023_AR.pdf</t>
        </is>
      </c>
      <c r="C6541" t="n">
        <v>2023</v>
      </c>
      <c r="D6541" t="inlineStr">
        <is>
          <t>Operation</t>
        </is>
      </c>
      <c r="E6541" t="inlineStr">
        <is>
          <t>Production Facilities</t>
        </is>
      </c>
      <c r="F6541" t="inlineStr">
        <is>
          <t>Candy factory in Bogor West Java (leased to third party in 2023)</t>
        </is>
      </c>
      <c r="G6541" t="inlineStr">
        <is>
          <t>text</t>
        </is>
      </c>
      <c r="H6541" t="n">
        <v>19</v>
      </c>
      <c r="I6541" t="inlineStr">
        <is>
          <t>pabrik permen di Bogor Jawa Barat disewakan kepada pihak ketiga</t>
        </is>
      </c>
      <c r="J6541" t="inlineStr">
        <is>
          <t>High</t>
        </is>
      </c>
      <c r="M6541" t="inlineStr">
        <is>
          <t>LLM</t>
        </is>
      </c>
      <c r="N6541" t="inlineStr">
        <is>
          <t>2026-04-19</t>
        </is>
      </c>
      <c r="O6541" t="inlineStr">
        <is>
          <t>AI</t>
        </is>
      </c>
    </row>
    <row r="6542">
      <c r="A6542" t="inlineStr">
        <is>
          <t>PT Wahana Pronatural Tbk</t>
        </is>
      </c>
      <c r="B6542" t="inlineStr">
        <is>
          <t>WAPO_2023_AR.pdf</t>
        </is>
      </c>
      <c r="C6542" t="n">
        <v>2023</v>
      </c>
      <c r="D6542" t="inlineStr">
        <is>
          <t>Operation</t>
        </is>
      </c>
      <c r="E6542" t="inlineStr">
        <is>
          <t>Planted Oil-Palm Area</t>
        </is>
      </c>
      <c r="F6542" t="n">
        <v>0</v>
      </c>
      <c r="G6542" t="inlineStr">
        <is>
          <t>ha</t>
        </is>
      </c>
      <c r="H6542" t="n">
        <v>0</v>
      </c>
      <c r="I6542" t="inlineStr">
        <is>
          <t>Not applicable - WAPO has no oil-palm plantations.</t>
        </is>
      </c>
      <c r="J6542" t="inlineStr">
        <is>
          <t>High</t>
        </is>
      </c>
      <c r="M6542" t="inlineStr">
        <is>
          <t>LLM</t>
        </is>
      </c>
      <c r="N6542" t="inlineStr">
        <is>
          <t>2026-04-19</t>
        </is>
      </c>
      <c r="O6542" t="inlineStr">
        <is>
          <t>AI</t>
        </is>
      </c>
    </row>
    <row r="6543">
      <c r="A6543" t="inlineStr">
        <is>
          <t>PT Wahana Pronatural Tbk</t>
        </is>
      </c>
      <c r="B6543" t="inlineStr">
        <is>
          <t>WAPO_2023_AR.pdf</t>
        </is>
      </c>
      <c r="C6543" t="n">
        <v>2023</v>
      </c>
      <c r="D6543" t="inlineStr">
        <is>
          <t>Operation</t>
        </is>
      </c>
      <c r="E6543" t="inlineStr">
        <is>
          <t>Palm Oil Mill (PKS) Count</t>
        </is>
      </c>
      <c r="F6543" t="n">
        <v>0</v>
      </c>
      <c r="G6543" t="inlineStr">
        <is>
          <t>count</t>
        </is>
      </c>
      <c r="H6543" t="n">
        <v>0</v>
      </c>
      <c r="I6543" t="inlineStr">
        <is>
          <t>Not applicable - no palm oil mills.</t>
        </is>
      </c>
      <c r="J6543" t="inlineStr">
        <is>
          <t>High</t>
        </is>
      </c>
      <c r="M6543" t="inlineStr">
        <is>
          <t>LLM</t>
        </is>
      </c>
      <c r="N6543" t="inlineStr">
        <is>
          <t>2026-04-19</t>
        </is>
      </c>
      <c r="O6543" t="inlineStr">
        <is>
          <t>AI</t>
        </is>
      </c>
    </row>
    <row r="6544">
      <c r="A6544" t="inlineStr">
        <is>
          <t>PT Wahana Pronatural Tbk</t>
        </is>
      </c>
      <c r="B6544" t="inlineStr">
        <is>
          <t>WAPO_2023_AR.pdf</t>
        </is>
      </c>
      <c r="C6544" t="n">
        <v>2023</v>
      </c>
      <c r="D6544" t="inlineStr">
        <is>
          <t>Operation</t>
        </is>
      </c>
      <c r="E6544" t="inlineStr">
        <is>
          <t>FFB / CPO Production</t>
        </is>
      </c>
      <c r="F6544" t="n">
        <v>0</v>
      </c>
      <c r="G6544" t="inlineStr">
        <is>
          <t>t</t>
        </is>
      </c>
      <c r="H6544" t="n">
        <v>0</v>
      </c>
      <c r="I6544" t="inlineStr">
        <is>
          <t>Not applicable - no palm operations.</t>
        </is>
      </c>
      <c r="J6544" t="inlineStr">
        <is>
          <t>High</t>
        </is>
      </c>
      <c r="M6544" t="inlineStr">
        <is>
          <t>LLM</t>
        </is>
      </c>
      <c r="N6544" t="inlineStr">
        <is>
          <t>2026-04-19</t>
        </is>
      </c>
      <c r="O6544" t="inlineStr">
        <is>
          <t>AI</t>
        </is>
      </c>
    </row>
    <row r="6545">
      <c r="A6545" t="inlineStr">
        <is>
          <t>PT Wahana Pronatural Tbk</t>
        </is>
      </c>
      <c r="B6545" t="inlineStr">
        <is>
          <t>WAPO_2023_AR.pdf</t>
        </is>
      </c>
      <c r="C6545" t="n">
        <v>2023</v>
      </c>
      <c r="D6545" t="inlineStr">
        <is>
          <t>ESG</t>
        </is>
      </c>
      <c r="E6545" t="inlineStr">
        <is>
          <t>Sustainability Report Scope</t>
        </is>
      </c>
      <c r="F6545" t="inlineStr">
        <is>
          <t>Generic ESG; no ISPO/RSPO certifications (not a palm producer)</t>
        </is>
      </c>
      <c r="G6545" t="inlineStr">
        <is>
          <t>text</t>
        </is>
      </c>
      <c r="H6545" t="n">
        <v>0</v>
      </c>
      <c r="I6545" t="inlineStr">
        <is>
          <t>Sustainability Report 2023 covers coffee/seaweed/beverage; no palm certifications referenced.</t>
        </is>
      </c>
      <c r="J6545" t="inlineStr">
        <is>
          <t>High</t>
        </is>
      </c>
      <c r="M6545" t="inlineStr">
        <is>
          <t>LLM</t>
        </is>
      </c>
      <c r="N6545" t="inlineStr">
        <is>
          <t>2026-04-19</t>
        </is>
      </c>
      <c r="O6545" t="inlineStr">
        <is>
          <t>AI</t>
        </is>
      </c>
    </row>
    <row r="6546">
      <c r="A6546" t="inlineStr">
        <is>
          <t>PT Wahana Pronatural Tbk</t>
        </is>
      </c>
      <c r="B6546" t="inlineStr">
        <is>
          <t>WAPO_2023_AR.pdf</t>
        </is>
      </c>
      <c r="C6546" t="n">
        <v>2023</v>
      </c>
      <c r="D6546" t="inlineStr">
        <is>
          <t>Other</t>
        </is>
      </c>
      <c r="E6546" t="inlineStr">
        <is>
          <t>Red Flag - Not a Palm Company</t>
        </is>
      </c>
      <c r="F6546" t="inlineStr">
        <is>
          <t>WAPO is NOT a palm oil company. Core business is coffee bean trading.</t>
        </is>
      </c>
      <c r="G6546" t="inlineStr">
        <is>
          <t>flag</t>
        </is>
      </c>
      <c r="H6546" t="n">
        <v>8</v>
      </c>
      <c r="I6546" t="inlineStr">
        <is>
          <t>Bidang Usaha: Perseroan bergerak di bidang perdagangan dan industri. Produk utama: biji Kopi, Rumput Laut Kering, minuman rasa dan air mineral.</t>
        </is>
      </c>
      <c r="J6546" t="inlineStr">
        <is>
          <t>High</t>
        </is>
      </c>
      <c r="M6546" t="inlineStr">
        <is>
          <t>LLM</t>
        </is>
      </c>
      <c r="N6546" t="inlineStr">
        <is>
          <t>2026-04-19</t>
        </is>
      </c>
      <c r="O6546" t="inlineStr">
        <is>
          <t>AI</t>
        </is>
      </c>
    </row>
    <row r="6547">
      <c r="A6547" t="inlineStr">
        <is>
          <t>PT Wahana Pronatural Tbk</t>
        </is>
      </c>
      <c r="B6547" t="inlineStr">
        <is>
          <t>WAPO_2024_AR.pdf</t>
        </is>
      </c>
      <c r="C6547" t="n">
        <v>2024</v>
      </c>
      <c r="D6547" t="inlineStr">
        <is>
          <t>Company</t>
        </is>
      </c>
      <c r="E6547" t="inlineStr">
        <is>
          <t>Company Name</t>
        </is>
      </c>
      <c r="F6547" t="inlineStr">
        <is>
          <t>PT Wahana Pronatural Tbk</t>
        </is>
      </c>
      <c r="G6547" t="inlineStr">
        <is>
          <t>text</t>
        </is>
      </c>
      <c r="H6547" t="n">
        <v>3</v>
      </c>
      <c r="I6547" t="inlineStr">
        <is>
          <t>PT WAHANA PRONATURAL Tbk</t>
        </is>
      </c>
      <c r="J6547" t="inlineStr">
        <is>
          <t>High</t>
        </is>
      </c>
      <c r="M6547" t="inlineStr">
        <is>
          <t>LLM</t>
        </is>
      </c>
      <c r="N6547" t="inlineStr">
        <is>
          <t>2026-04-19</t>
        </is>
      </c>
      <c r="O6547" t="inlineStr">
        <is>
          <t>AI</t>
        </is>
      </c>
    </row>
    <row r="6548">
      <c r="A6548" t="inlineStr">
        <is>
          <t>PT Wahana Pronatural Tbk</t>
        </is>
      </c>
      <c r="B6548" t="inlineStr">
        <is>
          <t>WAPO_2024_AR.pdf</t>
        </is>
      </c>
      <c r="C6548" t="n">
        <v>2024</v>
      </c>
      <c r="D6548" t="inlineStr">
        <is>
          <t>Company</t>
        </is>
      </c>
      <c r="E6548" t="inlineStr">
        <is>
          <t>Ticker</t>
        </is>
      </c>
      <c r="F6548" t="inlineStr">
        <is>
          <t>WAPO</t>
        </is>
      </c>
      <c r="G6548" t="inlineStr">
        <is>
          <t>text</t>
        </is>
      </c>
      <c r="H6548" t="n">
        <v>1</v>
      </c>
      <c r="I6548" t="inlineStr">
        <is>
          <t>IDX: WAPO, listed 22 June 2001</t>
        </is>
      </c>
      <c r="J6548" t="inlineStr">
        <is>
          <t>High</t>
        </is>
      </c>
      <c r="M6548" t="inlineStr">
        <is>
          <t>LLM</t>
        </is>
      </c>
      <c r="N6548" t="inlineStr">
        <is>
          <t>2026-04-19</t>
        </is>
      </c>
      <c r="O6548" t="inlineStr">
        <is>
          <t>AI</t>
        </is>
      </c>
    </row>
    <row r="6549">
      <c r="A6549" t="inlineStr">
        <is>
          <t>PT Wahana Pronatural Tbk</t>
        </is>
      </c>
      <c r="B6549" t="inlineStr">
        <is>
          <t>WAPO_2024_AR.pdf</t>
        </is>
      </c>
      <c r="C6549" t="n">
        <v>2024</v>
      </c>
      <c r="D6549" t="inlineStr">
        <is>
          <t>Company</t>
        </is>
      </c>
      <c r="E6549" t="inlineStr">
        <is>
          <t>Year of AR</t>
        </is>
      </c>
      <c r="F6549" t="n">
        <v>2024</v>
      </c>
      <c r="G6549" t="inlineStr">
        <is>
          <t>year</t>
        </is>
      </c>
      <c r="H6549" t="n">
        <v>1</v>
      </c>
      <c r="I6549" t="inlineStr">
        <is>
          <t>Laporan Tahunan dan Laporan Keberlanjutan 2024</t>
        </is>
      </c>
      <c r="J6549" t="inlineStr">
        <is>
          <t>High</t>
        </is>
      </c>
      <c r="M6549" t="inlineStr">
        <is>
          <t>LLM</t>
        </is>
      </c>
      <c r="N6549" t="inlineStr">
        <is>
          <t>2026-04-19</t>
        </is>
      </c>
      <c r="O6549" t="inlineStr">
        <is>
          <t>AI</t>
        </is>
      </c>
    </row>
    <row r="6550">
      <c r="A6550" t="inlineStr">
        <is>
          <t>PT Wahana Pronatural Tbk</t>
        </is>
      </c>
      <c r="B6550" t="inlineStr">
        <is>
          <t>WAPO_2024_AR.pdf</t>
        </is>
      </c>
      <c r="C6550" t="n">
        <v>2024</v>
      </c>
      <c r="D6550" t="inlineStr">
        <is>
          <t>Company</t>
        </is>
      </c>
      <c r="E6550" t="inlineStr">
        <is>
          <t>Headquarters</t>
        </is>
      </c>
      <c r="F6550" t="inlineStr">
        <is>
          <t>Surabaya, Indonesia</t>
        </is>
      </c>
      <c r="G6550" t="inlineStr">
        <is>
          <t>text</t>
        </is>
      </c>
      <c r="H6550" t="n">
        <v>8</v>
      </c>
      <c r="I6550" t="inlineStr">
        <is>
          <t>berkantor pusat di Gedung Japfa Indoland Center (ex Bumi Mandiri) Tower II Lt.9 R.907 Jl.Panglima Sudirman 66-68 Surabaya</t>
        </is>
      </c>
      <c r="J6550" t="inlineStr">
        <is>
          <t>High</t>
        </is>
      </c>
      <c r="M6550" t="inlineStr">
        <is>
          <t>LLM</t>
        </is>
      </c>
      <c r="N6550" t="inlineStr">
        <is>
          <t>2026-04-19</t>
        </is>
      </c>
      <c r="O6550" t="inlineStr">
        <is>
          <t>AI</t>
        </is>
      </c>
    </row>
    <row r="6551">
      <c r="A6551" t="inlineStr">
        <is>
          <t>PT Wahana Pronatural Tbk</t>
        </is>
      </c>
      <c r="B6551" t="inlineStr">
        <is>
          <t>WAPO_2024_AR.pdf</t>
        </is>
      </c>
      <c r="C6551" t="n">
        <v>2024</v>
      </c>
      <c r="D6551" t="inlineStr">
        <is>
          <t>Company</t>
        </is>
      </c>
      <c r="E6551" t="inlineStr">
        <is>
          <t>Founded</t>
        </is>
      </c>
      <c r="F6551" t="inlineStr">
        <is>
          <t>1993 (as PT Golden Phoenix)</t>
        </is>
      </c>
      <c r="G6551" t="inlineStr">
        <is>
          <t>year</t>
        </is>
      </c>
      <c r="H6551" t="n">
        <v>8</v>
      </c>
      <c r="I6551" t="inlineStr">
        <is>
          <t>didirikan di Surabaya Indonesia pada tahun 1993 dengan nama PT Golden Phoenix</t>
        </is>
      </c>
      <c r="J6551" t="inlineStr">
        <is>
          <t>High</t>
        </is>
      </c>
      <c r="M6551" t="inlineStr">
        <is>
          <t>LLM</t>
        </is>
      </c>
      <c r="N6551" t="inlineStr">
        <is>
          <t>2026-04-19</t>
        </is>
      </c>
      <c r="O6551" t="inlineStr">
        <is>
          <t>AI</t>
        </is>
      </c>
    </row>
    <row r="6552">
      <c r="A6552" t="inlineStr">
        <is>
          <t>PT Wahana Pronatural Tbk</t>
        </is>
      </c>
      <c r="B6552" t="inlineStr">
        <is>
          <t>WAPO_2024_AR.pdf</t>
        </is>
      </c>
      <c r="C6552" t="n">
        <v>2024</v>
      </c>
      <c r="D6552" t="inlineStr">
        <is>
          <t>Company</t>
        </is>
      </c>
      <c r="E6552" t="inlineStr">
        <is>
          <t>Primary Business (AoA)</t>
        </is>
      </c>
      <c r="F6552" t="inlineStr">
        <is>
          <t>Trading, construction, industrial, agricultural, transportation, rental/leasing, and other services. Main activity: trading of agricultural and marine products + wholesale of non-alcoholic non-milk beverages.</t>
        </is>
      </c>
      <c r="G6552" t="inlineStr">
        <is>
          <t>text</t>
        </is>
      </c>
      <c r="H6552" t="n">
        <v>150</v>
      </c>
      <c r="I6552" t="inlineStr">
        <is>
          <t>ruang lingkup kegiatan Perusahaan adalah dalam bidang perdagangan, pembangunan, peindustrian, pertanian ... perdagangan hasil pertanian dan kelautan serta perdagangan besar minuman non alkohol bukan susu</t>
        </is>
      </c>
      <c r="J6552" t="inlineStr">
        <is>
          <t>High</t>
        </is>
      </c>
      <c r="M6552" t="inlineStr">
        <is>
          <t>LLM</t>
        </is>
      </c>
      <c r="N6552" t="inlineStr">
        <is>
          <t>2026-04-19</t>
        </is>
      </c>
      <c r="O6552" t="inlineStr">
        <is>
          <t>AI</t>
        </is>
      </c>
    </row>
    <row r="6553">
      <c r="A6553" t="inlineStr">
        <is>
          <t>PT Wahana Pronatural Tbk</t>
        </is>
      </c>
      <c r="B6553" t="inlineStr">
        <is>
          <t>WAPO_2024_AR.pdf</t>
        </is>
      </c>
      <c r="C6553" t="n">
        <v>2024</v>
      </c>
      <c r="D6553" t="inlineStr">
        <is>
          <t>Company</t>
        </is>
      </c>
      <c r="E6553" t="inlineStr">
        <is>
          <t>Main Products 2024 (Revenue Mix)</t>
        </is>
      </c>
      <c r="F6553" t="inlineStr">
        <is>
          <t>Coffee Beans 97% (Rp 2.0 tn), AirAlam mineral water 1.1% (Rp 23 bn), Sunkist Water C 1% (Rp 20 bn), Dried Seaweed 0.4% (Rp 8 bn)</t>
        </is>
      </c>
      <c r="G6553" t="inlineStr">
        <is>
          <t>text</t>
        </is>
      </c>
      <c r="H6553" t="n">
        <v>6</v>
      </c>
      <c r="I6553" t="inlineStr">
        <is>
          <t>Penjualan terdiri dari Biji Kopi sebesar 97% (Rp 2 triliun), disusul Air Mineral sebesar 1.1% (Rp 23 miliar), Sunkist Water C sebesar 1% (20 miliar), dan sisanya Rumput Laut Kering sebesar 0.4% (Rp 8 miliar)</t>
        </is>
      </c>
      <c r="J6553" t="inlineStr">
        <is>
          <t>High</t>
        </is>
      </c>
      <c r="M6553" t="inlineStr">
        <is>
          <t>LLM</t>
        </is>
      </c>
      <c r="N6553" t="inlineStr">
        <is>
          <t>2026-04-19</t>
        </is>
      </c>
      <c r="O6553" t="inlineStr">
        <is>
          <t>AI</t>
        </is>
      </c>
    </row>
    <row r="6554">
      <c r="A6554" t="inlineStr">
        <is>
          <t>PT Wahana Pronatural Tbk</t>
        </is>
      </c>
      <c r="B6554" t="inlineStr">
        <is>
          <t>WAPO_2024_AR.pdf</t>
        </is>
      </c>
      <c r="C6554" t="n">
        <v>2024</v>
      </c>
      <c r="D6554" t="inlineStr">
        <is>
          <t>Company</t>
        </is>
      </c>
      <c r="E6554" t="inlineStr">
        <is>
          <t>Coffee Bean Trading Volume 2024</t>
        </is>
      </c>
      <c r="F6554" t="n">
        <v>30000</v>
      </c>
      <c r="G6554" t="inlineStr">
        <is>
          <t>t</t>
        </is>
      </c>
      <c r="H6554" t="n">
        <v>6</v>
      </c>
      <c r="I6554" t="inlineStr">
        <is>
          <t>Tahun 2024 volume penjualan Biji Kopi sebesar 30.000 ton</t>
        </is>
      </c>
      <c r="J6554" t="inlineStr">
        <is>
          <t>High</t>
        </is>
      </c>
      <c r="M6554" t="inlineStr">
        <is>
          <t>LLM</t>
        </is>
      </c>
      <c r="N6554" t="inlineStr">
        <is>
          <t>2026-04-19</t>
        </is>
      </c>
      <c r="O6554" t="inlineStr">
        <is>
          <t>AI</t>
        </is>
      </c>
    </row>
    <row r="6555">
      <c r="A6555" t="inlineStr">
        <is>
          <t>PT Wahana Pronatural Tbk</t>
        </is>
      </c>
      <c r="B6555" t="inlineStr">
        <is>
          <t>WAPO_2024_AR.pdf</t>
        </is>
      </c>
      <c r="C6555" t="n">
        <v>2024</v>
      </c>
      <c r="D6555" t="inlineStr">
        <is>
          <t>Company</t>
        </is>
      </c>
      <c r="E6555" t="inlineStr">
        <is>
          <t>Dried Seaweed Trading Volume 2024</t>
        </is>
      </c>
      <c r="F6555" t="n">
        <v>1200</v>
      </c>
      <c r="G6555" t="inlineStr">
        <is>
          <t>t</t>
        </is>
      </c>
      <c r="H6555" t="n">
        <v>6</v>
      </c>
      <c r="I6555" t="inlineStr">
        <is>
          <t>Rumput Laut sebesar 1.200 ton</t>
        </is>
      </c>
      <c r="J6555" t="inlineStr">
        <is>
          <t>High</t>
        </is>
      </c>
      <c r="M6555" t="inlineStr">
        <is>
          <t>LLM</t>
        </is>
      </c>
      <c r="N6555" t="inlineStr">
        <is>
          <t>2026-04-19</t>
        </is>
      </c>
      <c r="O6555" t="inlineStr">
        <is>
          <t>AI</t>
        </is>
      </c>
    </row>
    <row r="6556">
      <c r="A6556" t="inlineStr">
        <is>
          <t>PT Wahana Pronatural Tbk</t>
        </is>
      </c>
      <c r="B6556" t="inlineStr">
        <is>
          <t>WAPO_2024_AR.pdf</t>
        </is>
      </c>
      <c r="C6556" t="n">
        <v>2024</v>
      </c>
      <c r="D6556" t="inlineStr">
        <is>
          <t>Company</t>
        </is>
      </c>
      <c r="E6556" t="inlineStr">
        <is>
          <t>Controlling Shareholder 1</t>
        </is>
      </c>
      <c r="F6556" t="inlineStr">
        <is>
          <t>PT Hijau Sari 36.07%</t>
        </is>
      </c>
      <c r="G6556" t="inlineStr">
        <is>
          <t>%</t>
        </is>
      </c>
      <c r="H6556" t="n">
        <v>11</v>
      </c>
      <c r="I6556" t="inlineStr">
        <is>
          <t>PT. Hijau Sari 447.562.500 36.07</t>
        </is>
      </c>
      <c r="J6556" t="inlineStr">
        <is>
          <t>High</t>
        </is>
      </c>
      <c r="M6556" t="inlineStr">
        <is>
          <t>LLM</t>
        </is>
      </c>
      <c r="N6556" t="inlineStr">
        <is>
          <t>2026-04-19</t>
        </is>
      </c>
      <c r="O6556" t="inlineStr">
        <is>
          <t>AI</t>
        </is>
      </c>
    </row>
    <row r="6557">
      <c r="A6557" t="inlineStr">
        <is>
          <t>PT Wahana Pronatural Tbk</t>
        </is>
      </c>
      <c r="B6557" t="inlineStr">
        <is>
          <t>WAPO_2024_AR.pdf</t>
        </is>
      </c>
      <c r="C6557" t="n">
        <v>2024</v>
      </c>
      <c r="D6557" t="inlineStr">
        <is>
          <t>Company</t>
        </is>
      </c>
      <c r="E6557" t="inlineStr">
        <is>
          <t>Controlling Shareholder 2</t>
        </is>
      </c>
      <c r="F6557" t="inlineStr">
        <is>
          <t>PT Mitra Niaga Sakti 32.44%</t>
        </is>
      </c>
      <c r="G6557" t="inlineStr">
        <is>
          <t>%</t>
        </is>
      </c>
      <c r="H6557" t="n">
        <v>11</v>
      </c>
      <c r="I6557" t="inlineStr">
        <is>
          <t>PT. Mitra Niaga Sakti 402.562.500 32.44</t>
        </is>
      </c>
      <c r="J6557" t="inlineStr">
        <is>
          <t>High</t>
        </is>
      </c>
      <c r="M6557" t="inlineStr">
        <is>
          <t>LLM</t>
        </is>
      </c>
      <c r="N6557" t="inlineStr">
        <is>
          <t>2026-04-19</t>
        </is>
      </c>
      <c r="O6557" t="inlineStr">
        <is>
          <t>AI</t>
        </is>
      </c>
    </row>
    <row r="6558">
      <c r="A6558" t="inlineStr">
        <is>
          <t>PT Wahana Pronatural Tbk</t>
        </is>
      </c>
      <c r="B6558" t="inlineStr">
        <is>
          <t>WAPO_2024_AR.pdf</t>
        </is>
      </c>
      <c r="C6558" t="n">
        <v>2024</v>
      </c>
      <c r="D6558" t="inlineStr">
        <is>
          <t>Company</t>
        </is>
      </c>
      <c r="E6558" t="inlineStr">
        <is>
          <t>Public Float</t>
        </is>
      </c>
      <c r="F6558" t="n">
        <v>0.19</v>
      </c>
      <c r="G6558" t="inlineStr">
        <is>
          <t>%</t>
        </is>
      </c>
      <c r="H6558" t="n">
        <v>11</v>
      </c>
      <c r="I6558" t="inlineStr">
        <is>
          <t>Masyarakat (dibawah 5%) 235.798.111 19.00</t>
        </is>
      </c>
      <c r="J6558" t="inlineStr">
        <is>
          <t>High</t>
        </is>
      </c>
      <c r="M6558" t="inlineStr">
        <is>
          <t>LLM</t>
        </is>
      </c>
      <c r="N6558" t="inlineStr">
        <is>
          <t>2026-04-19</t>
        </is>
      </c>
      <c r="O6558" t="inlineStr">
        <is>
          <t>AI</t>
        </is>
      </c>
    </row>
    <row r="6559">
      <c r="A6559" t="inlineStr">
        <is>
          <t>PT Wahana Pronatural Tbk</t>
        </is>
      </c>
      <c r="B6559" t="inlineStr">
        <is>
          <t>WAPO_2024_AR.pdf</t>
        </is>
      </c>
      <c r="C6559" t="n">
        <v>2024</v>
      </c>
      <c r="D6559" t="inlineStr">
        <is>
          <t>Company</t>
        </is>
      </c>
      <c r="E6559" t="inlineStr">
        <is>
          <t>Directors</t>
        </is>
      </c>
      <c r="F6559" t="inlineStr">
        <is>
          <t>Artha Lovie Aprillailie (Dirut), Iwan Setiawan (Direktur)</t>
        </is>
      </c>
      <c r="G6559" t="inlineStr">
        <is>
          <t>text</t>
        </is>
      </c>
      <c r="H6559" t="n">
        <v>14</v>
      </c>
      <c r="I6559" t="inlineStr">
        <is>
          <t>Direktur Utama: Artha Lovie Aprillailie; Direktur: Iwan Setiawan</t>
        </is>
      </c>
      <c r="J6559" t="inlineStr">
        <is>
          <t>High</t>
        </is>
      </c>
      <c r="M6559" t="inlineStr">
        <is>
          <t>LLM</t>
        </is>
      </c>
      <c r="N6559" t="inlineStr">
        <is>
          <t>2026-04-19</t>
        </is>
      </c>
      <c r="O6559" t="inlineStr">
        <is>
          <t>AI</t>
        </is>
      </c>
    </row>
    <row r="6560">
      <c r="A6560" t="inlineStr">
        <is>
          <t>PT Wahana Pronatural Tbk</t>
        </is>
      </c>
      <c r="B6560" t="inlineStr">
        <is>
          <t>WAPO_2024_AR.pdf</t>
        </is>
      </c>
      <c r="C6560" t="n">
        <v>2024</v>
      </c>
      <c r="D6560" t="inlineStr">
        <is>
          <t>Company</t>
        </is>
      </c>
      <c r="E6560" t="inlineStr">
        <is>
          <t>Commissioners</t>
        </is>
      </c>
      <c r="F6560" t="inlineStr">
        <is>
          <t>Hendra Widjaya (Komut Independen), Chenny (Komisaris)</t>
        </is>
      </c>
      <c r="G6560" t="inlineStr">
        <is>
          <t>text</t>
        </is>
      </c>
      <c r="H6560" t="n">
        <v>14</v>
      </c>
      <c r="I6560" t="inlineStr">
        <is>
          <t>Komisaris Utama (Ind): Hendra Widjaya; Komisaris: Chenny</t>
        </is>
      </c>
      <c r="J6560" t="inlineStr">
        <is>
          <t>High</t>
        </is>
      </c>
      <c r="M6560" t="inlineStr">
        <is>
          <t>LLM</t>
        </is>
      </c>
      <c r="N6560" t="inlineStr">
        <is>
          <t>2026-04-19</t>
        </is>
      </c>
      <c r="O6560" t="inlineStr">
        <is>
          <t>AI</t>
        </is>
      </c>
    </row>
    <row r="6561">
      <c r="A6561" t="inlineStr">
        <is>
          <t>PT Wahana Pronatural Tbk</t>
        </is>
      </c>
      <c r="B6561" t="inlineStr">
        <is>
          <t>WAPO_2024_AR.pdf</t>
        </is>
      </c>
      <c r="C6561" t="n">
        <v>2024</v>
      </c>
      <c r="D6561" t="inlineStr">
        <is>
          <t>Company</t>
        </is>
      </c>
      <c r="E6561" t="inlineStr">
        <is>
          <t>Employees (headcount)</t>
        </is>
      </c>
      <c r="F6561" t="n">
        <v>9</v>
      </c>
      <c r="G6561" t="inlineStr">
        <is>
          <t>count</t>
        </is>
      </c>
      <c r="H6561" t="n">
        <v>17</v>
      </c>
      <c r="I6561" t="inlineStr">
        <is>
          <t>Perseroan pada tahun 2024 memiliki 9 orang adalah karyawan</t>
        </is>
      </c>
      <c r="J6561" t="inlineStr">
        <is>
          <t>High</t>
        </is>
      </c>
      <c r="M6561" t="inlineStr">
        <is>
          <t>LLM</t>
        </is>
      </c>
      <c r="N6561" t="inlineStr">
        <is>
          <t>2026-04-19</t>
        </is>
      </c>
      <c r="O6561" t="inlineStr">
        <is>
          <t>AI</t>
        </is>
      </c>
    </row>
    <row r="6562">
      <c r="A6562" t="inlineStr">
        <is>
          <t>PT Wahana Pronatural Tbk</t>
        </is>
      </c>
      <c r="B6562" t="inlineStr">
        <is>
          <t>WAPO_2024_AR.pdf</t>
        </is>
      </c>
      <c r="C6562" t="n">
        <v>2024</v>
      </c>
      <c r="D6562" t="inlineStr">
        <is>
          <t>Financial</t>
        </is>
      </c>
      <c r="E6562" t="inlineStr">
        <is>
          <t>Revenue (Net Sales)</t>
        </is>
      </c>
      <c r="F6562" t="n">
        <v>2122.33</v>
      </c>
      <c r="G6562" t="inlineStr">
        <is>
          <t>IDR bn</t>
        </is>
      </c>
      <c r="H6562" t="n">
        <v>147</v>
      </c>
      <c r="I6562" t="inlineStr">
        <is>
          <t>PENJUALAN BERSIH 22 2.122.330.244.473 (2024)</t>
        </is>
      </c>
      <c r="J6562" t="inlineStr">
        <is>
          <t>High</t>
        </is>
      </c>
      <c r="M6562" t="inlineStr">
        <is>
          <t>LLM</t>
        </is>
      </c>
      <c r="N6562" t="inlineStr">
        <is>
          <t>2026-04-19</t>
        </is>
      </c>
      <c r="O6562" t="inlineStr">
        <is>
          <t>AI</t>
        </is>
      </c>
    </row>
    <row r="6563">
      <c r="A6563" t="inlineStr">
        <is>
          <t>PT Wahana Pronatural Tbk</t>
        </is>
      </c>
      <c r="B6563" t="inlineStr">
        <is>
          <t>WAPO_2024_AR.pdf</t>
        </is>
      </c>
      <c r="C6563" t="n">
        <v>2024</v>
      </c>
      <c r="D6563" t="inlineStr">
        <is>
          <t>Financial</t>
        </is>
      </c>
      <c r="E6563" t="inlineStr">
        <is>
          <t>Cost of Goods Sold</t>
        </is>
      </c>
      <c r="F6563" t="n">
        <v>2097.68</v>
      </c>
      <c r="G6563" t="inlineStr">
        <is>
          <t>IDR bn</t>
        </is>
      </c>
      <c r="H6563" t="n">
        <v>147</v>
      </c>
      <c r="I6563" t="inlineStr">
        <is>
          <t>BEBAN POKOK PENJUALAN 23 (2.097.681.521.460)</t>
        </is>
      </c>
      <c r="J6563" t="inlineStr">
        <is>
          <t>High</t>
        </is>
      </c>
      <c r="M6563" t="inlineStr">
        <is>
          <t>LLM</t>
        </is>
      </c>
      <c r="N6563" t="inlineStr">
        <is>
          <t>2026-04-19</t>
        </is>
      </c>
      <c r="O6563" t="inlineStr">
        <is>
          <t>AI</t>
        </is>
      </c>
    </row>
    <row r="6564">
      <c r="A6564" t="inlineStr">
        <is>
          <t>PT Wahana Pronatural Tbk</t>
        </is>
      </c>
      <c r="B6564" t="inlineStr">
        <is>
          <t>WAPO_2024_AR.pdf</t>
        </is>
      </c>
      <c r="C6564" t="n">
        <v>2024</v>
      </c>
      <c r="D6564" t="inlineStr">
        <is>
          <t>Financial</t>
        </is>
      </c>
      <c r="E6564" t="inlineStr">
        <is>
          <t>Gross Profit</t>
        </is>
      </c>
      <c r="F6564" t="n">
        <v>24.65</v>
      </c>
      <c r="G6564" t="inlineStr">
        <is>
          <t>IDR bn</t>
        </is>
      </c>
      <c r="H6564" t="n">
        <v>147</v>
      </c>
      <c r="I6564" t="inlineStr">
        <is>
          <t>LABA KOTOR 24.648.723.013</t>
        </is>
      </c>
      <c r="J6564" t="inlineStr">
        <is>
          <t>High</t>
        </is>
      </c>
      <c r="M6564" t="inlineStr">
        <is>
          <t>LLM</t>
        </is>
      </c>
      <c r="N6564" t="inlineStr">
        <is>
          <t>2026-04-19</t>
        </is>
      </c>
      <c r="O6564" t="inlineStr">
        <is>
          <t>AI</t>
        </is>
      </c>
    </row>
    <row r="6565">
      <c r="A6565" t="inlineStr">
        <is>
          <t>PT Wahana Pronatural Tbk</t>
        </is>
      </c>
      <c r="B6565" t="inlineStr">
        <is>
          <t>WAPO_2024_AR.pdf</t>
        </is>
      </c>
      <c r="C6565" t="n">
        <v>2024</v>
      </c>
      <c r="D6565" t="inlineStr">
        <is>
          <t>Financial</t>
        </is>
      </c>
      <c r="E6565" t="inlineStr">
        <is>
          <t>Operating Expenses</t>
        </is>
      </c>
      <c r="F6565" t="n">
        <v>24.13</v>
      </c>
      <c r="G6565" t="inlineStr">
        <is>
          <t>IDR bn</t>
        </is>
      </c>
      <c r="H6565" t="n">
        <v>147</v>
      </c>
      <c r="I6565" t="inlineStr">
        <is>
          <t>Beban penjualan (55.950.200) + G&amp;A (24.073.628.217)</t>
        </is>
      </c>
      <c r="J6565" t="inlineStr">
        <is>
          <t>High</t>
        </is>
      </c>
      <c r="M6565" t="inlineStr">
        <is>
          <t>LLM</t>
        </is>
      </c>
      <c r="N6565" t="inlineStr">
        <is>
          <t>2026-04-19</t>
        </is>
      </c>
      <c r="O6565" t="inlineStr">
        <is>
          <t>AI</t>
        </is>
      </c>
    </row>
    <row r="6566">
      <c r="A6566" t="inlineStr">
        <is>
          <t>PT Wahana Pronatural Tbk</t>
        </is>
      </c>
      <c r="B6566" t="inlineStr">
        <is>
          <t>WAPO_2024_AR.pdf</t>
        </is>
      </c>
      <c r="C6566" t="n">
        <v>2024</v>
      </c>
      <c r="D6566" t="inlineStr">
        <is>
          <t>Financial</t>
        </is>
      </c>
      <c r="E6566" t="inlineStr">
        <is>
          <t>Operating Profit (EBIT)</t>
        </is>
      </c>
      <c r="F6566" t="n">
        <v>0.52</v>
      </c>
      <c r="G6566" t="inlineStr">
        <is>
          <t>IDR bn</t>
        </is>
      </c>
      <c r="H6566" t="n">
        <v>147</v>
      </c>
      <c r="I6566" t="inlineStr">
        <is>
          <t>LABA (RUGI) USAHA 519.144.596</t>
        </is>
      </c>
      <c r="J6566" t="inlineStr">
        <is>
          <t>High</t>
        </is>
      </c>
      <c r="M6566" t="inlineStr">
        <is>
          <t>LLM</t>
        </is>
      </c>
      <c r="N6566" t="inlineStr">
        <is>
          <t>2026-04-19</t>
        </is>
      </c>
      <c r="O6566" t="inlineStr">
        <is>
          <t>AI</t>
        </is>
      </c>
    </row>
    <row r="6567">
      <c r="A6567" t="inlineStr">
        <is>
          <t>PT Wahana Pronatural Tbk</t>
        </is>
      </c>
      <c r="B6567" t="inlineStr">
        <is>
          <t>WAPO_2024_AR.pdf</t>
        </is>
      </c>
      <c r="C6567" t="n">
        <v>2024</v>
      </c>
      <c r="D6567" t="inlineStr">
        <is>
          <t>Financial</t>
        </is>
      </c>
      <c r="E6567" t="inlineStr">
        <is>
          <t>Other Income (Net)</t>
        </is>
      </c>
      <c r="F6567" t="n">
        <v>4.93</v>
      </c>
      <c r="G6567" t="inlineStr">
        <is>
          <t>IDR bn</t>
        </is>
      </c>
      <c r="H6567" t="n">
        <v>147</v>
      </c>
      <c r="I6567" t="inlineStr">
        <is>
          <t>PENDAPATAN LAIN-LAIN BERSIH 25 4.934.520.630</t>
        </is>
      </c>
      <c r="J6567" t="inlineStr">
        <is>
          <t>High</t>
        </is>
      </c>
      <c r="M6567" t="inlineStr">
        <is>
          <t>LLM</t>
        </is>
      </c>
      <c r="N6567" t="inlineStr">
        <is>
          <t>2026-04-19</t>
        </is>
      </c>
      <c r="O6567" t="inlineStr">
        <is>
          <t>AI</t>
        </is>
      </c>
    </row>
    <row r="6568">
      <c r="A6568" t="inlineStr">
        <is>
          <t>PT Wahana Pronatural Tbk</t>
        </is>
      </c>
      <c r="B6568" t="inlineStr">
        <is>
          <t>WAPO_2024_AR.pdf</t>
        </is>
      </c>
      <c r="C6568" t="n">
        <v>2024</v>
      </c>
      <c r="D6568" t="inlineStr">
        <is>
          <t>Financial</t>
        </is>
      </c>
      <c r="E6568" t="inlineStr">
        <is>
          <t>Finance Expense (Net)</t>
        </is>
      </c>
      <c r="F6568" t="n">
        <v>-0.62</v>
      </c>
      <c r="G6568" t="inlineStr">
        <is>
          <t>IDR bn</t>
        </is>
      </c>
      <c r="H6568" t="n">
        <v>147</v>
      </c>
      <c r="I6568" t="inlineStr">
        <is>
          <t>PENDAPATAN KEUANGAN BERSIH (620.779.090)</t>
        </is>
      </c>
      <c r="J6568" t="inlineStr">
        <is>
          <t>High</t>
        </is>
      </c>
      <c r="M6568" t="inlineStr">
        <is>
          <t>LLM</t>
        </is>
      </c>
      <c r="N6568" t="inlineStr">
        <is>
          <t>2026-04-19</t>
        </is>
      </c>
      <c r="O6568" t="inlineStr">
        <is>
          <t>AI</t>
        </is>
      </c>
    </row>
    <row r="6569">
      <c r="A6569" t="inlineStr">
        <is>
          <t>PT Wahana Pronatural Tbk</t>
        </is>
      </c>
      <c r="B6569" t="inlineStr">
        <is>
          <t>WAPO_2024_AR.pdf</t>
        </is>
      </c>
      <c r="C6569" t="n">
        <v>2024</v>
      </c>
      <c r="D6569" t="inlineStr">
        <is>
          <t>Financial</t>
        </is>
      </c>
      <c r="E6569" t="inlineStr">
        <is>
          <t>Profit Before Tax</t>
        </is>
      </c>
      <c r="F6569" t="n">
        <v>4.83</v>
      </c>
      <c r="G6569" t="inlineStr">
        <is>
          <t>IDR bn</t>
        </is>
      </c>
      <c r="H6569" t="n">
        <v>147</v>
      </c>
      <c r="I6569" t="inlineStr">
        <is>
          <t>LABA SEBELUM PAJAK 4.832.886.136</t>
        </is>
      </c>
      <c r="J6569" t="inlineStr">
        <is>
          <t>High</t>
        </is>
      </c>
      <c r="M6569" t="inlineStr">
        <is>
          <t>LLM</t>
        </is>
      </c>
      <c r="N6569" t="inlineStr">
        <is>
          <t>2026-04-19</t>
        </is>
      </c>
      <c r="O6569" t="inlineStr">
        <is>
          <t>AI</t>
        </is>
      </c>
    </row>
    <row r="6570">
      <c r="A6570" t="inlineStr">
        <is>
          <t>PT Wahana Pronatural Tbk</t>
        </is>
      </c>
      <c r="B6570" t="inlineStr">
        <is>
          <t>WAPO_2024_AR.pdf</t>
        </is>
      </c>
      <c r="C6570" t="n">
        <v>2024</v>
      </c>
      <c r="D6570" t="inlineStr">
        <is>
          <t>Financial</t>
        </is>
      </c>
      <c r="E6570" t="inlineStr">
        <is>
          <t>Tax Expense</t>
        </is>
      </c>
      <c r="F6570" t="n">
        <v>-4.11</v>
      </c>
      <c r="G6570" t="inlineStr">
        <is>
          <t>IDR bn</t>
        </is>
      </c>
      <c r="H6570" t="n">
        <v>147</v>
      </c>
      <c r="I6570" t="inlineStr">
        <is>
          <t>BEBAN PAJAK PENGHASILAN (4.113.956.911)</t>
        </is>
      </c>
      <c r="J6570" t="inlineStr">
        <is>
          <t>High</t>
        </is>
      </c>
      <c r="M6570" t="inlineStr">
        <is>
          <t>LLM</t>
        </is>
      </c>
      <c r="N6570" t="inlineStr">
        <is>
          <t>2026-04-19</t>
        </is>
      </c>
      <c r="O6570" t="inlineStr">
        <is>
          <t>AI</t>
        </is>
      </c>
    </row>
    <row r="6571">
      <c r="A6571" t="inlineStr">
        <is>
          <t>PT Wahana Pronatural Tbk</t>
        </is>
      </c>
      <c r="B6571" t="inlineStr">
        <is>
          <t>WAPO_2024_AR.pdf</t>
        </is>
      </c>
      <c r="C6571" t="n">
        <v>2024</v>
      </c>
      <c r="D6571" t="inlineStr">
        <is>
          <t>Financial</t>
        </is>
      </c>
      <c r="E6571" t="inlineStr">
        <is>
          <t>Net Profit</t>
        </is>
      </c>
      <c r="F6571" t="n">
        <v>0.72</v>
      </c>
      <c r="G6571" t="inlineStr">
        <is>
          <t>IDR bn</t>
        </is>
      </c>
      <c r="H6571" t="n">
        <v>147</v>
      </c>
      <c r="I6571" t="inlineStr">
        <is>
          <t>LABA BERSIH 718.929.225</t>
        </is>
      </c>
      <c r="J6571" t="inlineStr">
        <is>
          <t>High</t>
        </is>
      </c>
      <c r="M6571" t="inlineStr">
        <is>
          <t>LLM</t>
        </is>
      </c>
      <c r="N6571" t="inlineStr">
        <is>
          <t>2026-04-19</t>
        </is>
      </c>
      <c r="O6571" t="inlineStr">
        <is>
          <t>AI</t>
        </is>
      </c>
    </row>
    <row r="6572">
      <c r="A6572" t="inlineStr">
        <is>
          <t>PT Wahana Pronatural Tbk</t>
        </is>
      </c>
      <c r="B6572" t="inlineStr">
        <is>
          <t>WAPO_2024_AR.pdf</t>
        </is>
      </c>
      <c r="C6572" t="n">
        <v>2024</v>
      </c>
      <c r="D6572" t="inlineStr">
        <is>
          <t>Financial</t>
        </is>
      </c>
      <c r="E6572" t="inlineStr">
        <is>
          <t>Comprehensive Profit</t>
        </is>
      </c>
      <c r="F6572" t="n">
        <v>0.78</v>
      </c>
      <c r="G6572" t="inlineStr">
        <is>
          <t>IDR bn</t>
        </is>
      </c>
      <c r="H6572" t="n">
        <v>147</v>
      </c>
      <c r="I6572" t="inlineStr">
        <is>
          <t>JUMLAH LABA KOMPREHENSIF 784.794.846</t>
        </is>
      </c>
      <c r="J6572" t="inlineStr">
        <is>
          <t>High</t>
        </is>
      </c>
      <c r="M6572" t="inlineStr">
        <is>
          <t>LLM</t>
        </is>
      </c>
      <c r="N6572" t="inlineStr">
        <is>
          <t>2026-04-19</t>
        </is>
      </c>
      <c r="O6572" t="inlineStr">
        <is>
          <t>AI</t>
        </is>
      </c>
    </row>
    <row r="6573">
      <c r="A6573" t="inlineStr">
        <is>
          <t>PT Wahana Pronatural Tbk</t>
        </is>
      </c>
      <c r="B6573" t="inlineStr">
        <is>
          <t>WAPO_2024_AR.pdf</t>
        </is>
      </c>
      <c r="C6573" t="n">
        <v>2024</v>
      </c>
      <c r="D6573" t="inlineStr">
        <is>
          <t>Financial</t>
        </is>
      </c>
      <c r="E6573" t="inlineStr">
        <is>
          <t>Total Assets</t>
        </is>
      </c>
      <c r="F6573" t="n">
        <v>86.59</v>
      </c>
      <c r="G6573" t="inlineStr">
        <is>
          <t>IDR bn</t>
        </is>
      </c>
      <c r="H6573" t="n">
        <v>145</v>
      </c>
      <c r="I6573" t="inlineStr">
        <is>
          <t>JUMLAH ASET 86.586.841.700 (2024)</t>
        </is>
      </c>
      <c r="J6573" t="inlineStr">
        <is>
          <t>High</t>
        </is>
      </c>
      <c r="M6573" t="inlineStr">
        <is>
          <t>LLM</t>
        </is>
      </c>
      <c r="N6573" t="inlineStr">
        <is>
          <t>2026-04-19</t>
        </is>
      </c>
      <c r="O6573" t="inlineStr">
        <is>
          <t>AI</t>
        </is>
      </c>
    </row>
    <row r="6574">
      <c r="A6574" t="inlineStr">
        <is>
          <t>PT Wahana Pronatural Tbk</t>
        </is>
      </c>
      <c r="B6574" t="inlineStr">
        <is>
          <t>WAPO_2024_AR.pdf</t>
        </is>
      </c>
      <c r="C6574" t="n">
        <v>2024</v>
      </c>
      <c r="D6574" t="inlineStr">
        <is>
          <t>Financial</t>
        </is>
      </c>
      <c r="E6574" t="inlineStr">
        <is>
          <t>Current Assets</t>
        </is>
      </c>
      <c r="F6574" t="n">
        <v>39.58</v>
      </c>
      <c r="G6574" t="inlineStr">
        <is>
          <t>IDR bn</t>
        </is>
      </c>
      <c r="H6574" t="n">
        <v>145</v>
      </c>
      <c r="I6574" t="inlineStr">
        <is>
          <t>Jumlah Aset Lancar 39.582.293.815</t>
        </is>
      </c>
      <c r="J6574" t="inlineStr">
        <is>
          <t>High</t>
        </is>
      </c>
      <c r="M6574" t="inlineStr">
        <is>
          <t>LLM</t>
        </is>
      </c>
      <c r="N6574" t="inlineStr">
        <is>
          <t>2026-04-19</t>
        </is>
      </c>
      <c r="O6574" t="inlineStr">
        <is>
          <t>AI</t>
        </is>
      </c>
    </row>
    <row r="6575">
      <c r="A6575" t="inlineStr">
        <is>
          <t>PT Wahana Pronatural Tbk</t>
        </is>
      </c>
      <c r="B6575" t="inlineStr">
        <is>
          <t>WAPO_2024_AR.pdf</t>
        </is>
      </c>
      <c r="C6575" t="n">
        <v>2024</v>
      </c>
      <c r="D6575" t="inlineStr">
        <is>
          <t>Financial</t>
        </is>
      </c>
      <c r="E6575" t="inlineStr">
        <is>
          <t>Non-Current Assets</t>
        </is>
      </c>
      <c r="F6575" t="n">
        <v>47</v>
      </c>
      <c r="G6575" t="inlineStr">
        <is>
          <t>IDR bn</t>
        </is>
      </c>
      <c r="H6575" t="n">
        <v>145</v>
      </c>
      <c r="I6575" t="inlineStr">
        <is>
          <t>Jumlah Aset Tidak Lancar 47.004.547.885</t>
        </is>
      </c>
      <c r="J6575" t="inlineStr">
        <is>
          <t>High</t>
        </is>
      </c>
      <c r="M6575" t="inlineStr">
        <is>
          <t>LLM</t>
        </is>
      </c>
      <c r="N6575" t="inlineStr">
        <is>
          <t>2026-04-19</t>
        </is>
      </c>
      <c r="O6575" t="inlineStr">
        <is>
          <t>AI</t>
        </is>
      </c>
    </row>
    <row r="6576">
      <c r="A6576" t="inlineStr">
        <is>
          <t>PT Wahana Pronatural Tbk</t>
        </is>
      </c>
      <c r="B6576" t="inlineStr">
        <is>
          <t>WAPO_2024_AR.pdf</t>
        </is>
      </c>
      <c r="C6576" t="n">
        <v>2024</v>
      </c>
      <c r="D6576" t="inlineStr">
        <is>
          <t>Financial</t>
        </is>
      </c>
      <c r="E6576" t="inlineStr">
        <is>
          <t>Total Liabilities</t>
        </is>
      </c>
      <c r="F6576" t="n">
        <v>14.55</v>
      </c>
      <c r="G6576" t="inlineStr">
        <is>
          <t>IDR bn</t>
        </is>
      </c>
      <c r="H6576" t="n">
        <v>146</v>
      </c>
      <c r="I6576" t="inlineStr">
        <is>
          <t>Jumlah Liabilitas 14.550.035.290</t>
        </is>
      </c>
      <c r="J6576" t="inlineStr">
        <is>
          <t>High</t>
        </is>
      </c>
      <c r="M6576" t="inlineStr">
        <is>
          <t>LLM</t>
        </is>
      </c>
      <c r="N6576" t="inlineStr">
        <is>
          <t>2026-04-19</t>
        </is>
      </c>
      <c r="O6576" t="inlineStr">
        <is>
          <t>AI</t>
        </is>
      </c>
    </row>
    <row r="6577">
      <c r="A6577" t="inlineStr">
        <is>
          <t>PT Wahana Pronatural Tbk</t>
        </is>
      </c>
      <c r="B6577" t="inlineStr">
        <is>
          <t>WAPO_2024_AR.pdf</t>
        </is>
      </c>
      <c r="C6577" t="n">
        <v>2024</v>
      </c>
      <c r="D6577" t="inlineStr">
        <is>
          <t>Financial</t>
        </is>
      </c>
      <c r="E6577" t="inlineStr">
        <is>
          <t>Current Liabilities</t>
        </is>
      </c>
      <c r="F6577" t="n">
        <v>13.71</v>
      </c>
      <c r="G6577" t="inlineStr">
        <is>
          <t>IDR bn</t>
        </is>
      </c>
      <c r="H6577" t="n">
        <v>146</v>
      </c>
      <c r="I6577" t="inlineStr">
        <is>
          <t>Jumlah Liabilitas Jangka Pendek 13.714.093.791</t>
        </is>
      </c>
      <c r="J6577" t="inlineStr">
        <is>
          <t>High</t>
        </is>
      </c>
      <c r="M6577" t="inlineStr">
        <is>
          <t>LLM</t>
        </is>
      </c>
      <c r="N6577" t="inlineStr">
        <is>
          <t>2026-04-19</t>
        </is>
      </c>
      <c r="O6577" t="inlineStr">
        <is>
          <t>AI</t>
        </is>
      </c>
    </row>
    <row r="6578">
      <c r="A6578" t="inlineStr">
        <is>
          <t>PT Wahana Pronatural Tbk</t>
        </is>
      </c>
      <c r="B6578" t="inlineStr">
        <is>
          <t>WAPO_2024_AR.pdf</t>
        </is>
      </c>
      <c r="C6578" t="n">
        <v>2024</v>
      </c>
      <c r="D6578" t="inlineStr">
        <is>
          <t>Financial</t>
        </is>
      </c>
      <c r="E6578" t="inlineStr">
        <is>
          <t>Long-Term Liabilities</t>
        </is>
      </c>
      <c r="F6578" t="n">
        <v>0.84</v>
      </c>
      <c r="G6578" t="inlineStr">
        <is>
          <t>IDR bn</t>
        </is>
      </c>
      <c r="H6578" t="n">
        <v>146</v>
      </c>
      <c r="I6578" t="inlineStr">
        <is>
          <t>Jumlah Liabilitas Jangka Panjang 835.941.499</t>
        </is>
      </c>
      <c r="J6578" t="inlineStr">
        <is>
          <t>High</t>
        </is>
      </c>
      <c r="M6578" t="inlineStr">
        <is>
          <t>LLM</t>
        </is>
      </c>
      <c r="N6578" t="inlineStr">
        <is>
          <t>2026-04-19</t>
        </is>
      </c>
      <c r="O6578" t="inlineStr">
        <is>
          <t>AI</t>
        </is>
      </c>
    </row>
    <row r="6579">
      <c r="A6579" t="inlineStr">
        <is>
          <t>PT Wahana Pronatural Tbk</t>
        </is>
      </c>
      <c r="B6579" t="inlineStr">
        <is>
          <t>WAPO_2024_AR.pdf</t>
        </is>
      </c>
      <c r="C6579" t="n">
        <v>2024</v>
      </c>
      <c r="D6579" t="inlineStr">
        <is>
          <t>Financial</t>
        </is>
      </c>
      <c r="E6579" t="inlineStr">
        <is>
          <t>Total Equity</t>
        </is>
      </c>
      <c r="F6579" t="n">
        <v>72.04000000000001</v>
      </c>
      <c r="G6579" t="inlineStr">
        <is>
          <t>IDR bn</t>
        </is>
      </c>
      <c r="H6579" t="n">
        <v>146</v>
      </c>
      <c r="I6579" t="inlineStr">
        <is>
          <t>Jumlah Ekuitas 72.036.806.410</t>
        </is>
      </c>
      <c r="J6579" t="inlineStr">
        <is>
          <t>High</t>
        </is>
      </c>
      <c r="M6579" t="inlineStr">
        <is>
          <t>LLM</t>
        </is>
      </c>
      <c r="N6579" t="inlineStr">
        <is>
          <t>2026-04-19</t>
        </is>
      </c>
      <c r="O6579" t="inlineStr">
        <is>
          <t>AI</t>
        </is>
      </c>
    </row>
    <row r="6580">
      <c r="A6580" t="inlineStr">
        <is>
          <t>PT Wahana Pronatural Tbk</t>
        </is>
      </c>
      <c r="B6580" t="inlineStr">
        <is>
          <t>WAPO_2024_AR.pdf</t>
        </is>
      </c>
      <c r="C6580" t="n">
        <v>2024</v>
      </c>
      <c r="D6580" t="inlineStr">
        <is>
          <t>Financial</t>
        </is>
      </c>
      <c r="E6580" t="inlineStr">
        <is>
          <t>Cash and Cash Equivalents</t>
        </is>
      </c>
      <c r="F6580" t="n">
        <v>8.57</v>
      </c>
      <c r="G6580" t="inlineStr">
        <is>
          <t>IDR bn</t>
        </is>
      </c>
      <c r="H6580" t="n">
        <v>145</v>
      </c>
      <c r="I6580" t="inlineStr">
        <is>
          <t>Kas dan setara kas 4 8.574.202.140</t>
        </is>
      </c>
      <c r="J6580" t="inlineStr">
        <is>
          <t>High</t>
        </is>
      </c>
      <c r="M6580" t="inlineStr">
        <is>
          <t>LLM</t>
        </is>
      </c>
      <c r="N6580" t="inlineStr">
        <is>
          <t>2026-04-19</t>
        </is>
      </c>
      <c r="O6580" t="inlineStr">
        <is>
          <t>AI</t>
        </is>
      </c>
    </row>
    <row r="6581">
      <c r="A6581" t="inlineStr">
        <is>
          <t>PT Wahana Pronatural Tbk</t>
        </is>
      </c>
      <c r="B6581" t="inlineStr">
        <is>
          <t>WAPO_2024_AR.pdf</t>
        </is>
      </c>
      <c r="C6581" t="n">
        <v>2024</v>
      </c>
      <c r="D6581" t="inlineStr">
        <is>
          <t>Financial</t>
        </is>
      </c>
      <c r="E6581" t="inlineStr">
        <is>
          <t>Restricted Cash</t>
        </is>
      </c>
      <c r="F6581" t="n">
        <v>2.2</v>
      </c>
      <c r="G6581" t="inlineStr">
        <is>
          <t>IDR bn</t>
        </is>
      </c>
      <c r="H6581" t="n">
        <v>145</v>
      </c>
      <c r="I6581" t="inlineStr">
        <is>
          <t>Kas yang dibatasi penggunaannya 5 2.200.000.000</t>
        </is>
      </c>
      <c r="J6581" t="inlineStr">
        <is>
          <t>High</t>
        </is>
      </c>
      <c r="M6581" t="inlineStr">
        <is>
          <t>LLM</t>
        </is>
      </c>
      <c r="N6581" t="inlineStr">
        <is>
          <t>2026-04-19</t>
        </is>
      </c>
      <c r="O6581" t="inlineStr">
        <is>
          <t>AI</t>
        </is>
      </c>
    </row>
    <row r="6582">
      <c r="A6582" t="inlineStr">
        <is>
          <t>PT Wahana Pronatural Tbk</t>
        </is>
      </c>
      <c r="B6582" t="inlineStr">
        <is>
          <t>WAPO_2024_AR.pdf</t>
        </is>
      </c>
      <c r="C6582" t="n">
        <v>2024</v>
      </c>
      <c r="D6582" t="inlineStr">
        <is>
          <t>Financial</t>
        </is>
      </c>
      <c r="E6582" t="inlineStr">
        <is>
          <t>Trade Receivables (Third Party)</t>
        </is>
      </c>
      <c r="F6582" t="n">
        <v>4.72</v>
      </c>
      <c r="G6582" t="inlineStr">
        <is>
          <t>IDR bn</t>
        </is>
      </c>
      <c r="H6582" t="n">
        <v>145</v>
      </c>
      <c r="I6582" t="inlineStr">
        <is>
          <t>Piutang usaha Pihak ketiga 4.717.750.426</t>
        </is>
      </c>
      <c r="J6582" t="inlineStr">
        <is>
          <t>High</t>
        </is>
      </c>
      <c r="M6582" t="inlineStr">
        <is>
          <t>LLM</t>
        </is>
      </c>
      <c r="N6582" t="inlineStr">
        <is>
          <t>2026-04-19</t>
        </is>
      </c>
      <c r="O6582" t="inlineStr">
        <is>
          <t>AI</t>
        </is>
      </c>
    </row>
    <row r="6583">
      <c r="A6583" t="inlineStr">
        <is>
          <t>PT Wahana Pronatural Tbk</t>
        </is>
      </c>
      <c r="B6583" t="inlineStr">
        <is>
          <t>WAPO_2024_AR.pdf</t>
        </is>
      </c>
      <c r="C6583" t="n">
        <v>2024</v>
      </c>
      <c r="D6583" t="inlineStr">
        <is>
          <t>Financial</t>
        </is>
      </c>
      <c r="E6583" t="inlineStr">
        <is>
          <t>Other Receivables</t>
        </is>
      </c>
      <c r="F6583" t="n">
        <v>10.56</v>
      </c>
      <c r="G6583" t="inlineStr">
        <is>
          <t>IDR bn</t>
        </is>
      </c>
      <c r="H6583" t="n">
        <v>145</v>
      </c>
      <c r="I6583" t="inlineStr">
        <is>
          <t>Piutang lain-lain 7 10.563.658.296</t>
        </is>
      </c>
      <c r="J6583" t="inlineStr">
        <is>
          <t>High</t>
        </is>
      </c>
      <c r="M6583" t="inlineStr">
        <is>
          <t>LLM</t>
        </is>
      </c>
      <c r="N6583" t="inlineStr">
        <is>
          <t>2026-04-19</t>
        </is>
      </c>
      <c r="O6583" t="inlineStr">
        <is>
          <t>AI</t>
        </is>
      </c>
    </row>
    <row r="6584">
      <c r="A6584" t="inlineStr">
        <is>
          <t>PT Wahana Pronatural Tbk</t>
        </is>
      </c>
      <c r="B6584" t="inlineStr">
        <is>
          <t>WAPO_2024_AR.pdf</t>
        </is>
      </c>
      <c r="C6584" t="n">
        <v>2024</v>
      </c>
      <c r="D6584" t="inlineStr">
        <is>
          <t>Financial</t>
        </is>
      </c>
      <c r="E6584" t="inlineStr">
        <is>
          <t>Inventories</t>
        </is>
      </c>
      <c r="F6584" t="n">
        <v>11.25</v>
      </c>
      <c r="G6584" t="inlineStr">
        <is>
          <t>IDR bn</t>
        </is>
      </c>
      <c r="H6584" t="n">
        <v>145</v>
      </c>
      <c r="I6584" t="inlineStr">
        <is>
          <t>Persediaan 8 11.253.036.393</t>
        </is>
      </c>
      <c r="J6584" t="inlineStr">
        <is>
          <t>High</t>
        </is>
      </c>
      <c r="M6584" t="inlineStr">
        <is>
          <t>LLM</t>
        </is>
      </c>
      <c r="N6584" t="inlineStr">
        <is>
          <t>2026-04-19</t>
        </is>
      </c>
      <c r="O6584" t="inlineStr">
        <is>
          <t>AI</t>
        </is>
      </c>
    </row>
    <row r="6585">
      <c r="A6585" t="inlineStr">
        <is>
          <t>PT Wahana Pronatural Tbk</t>
        </is>
      </c>
      <c r="B6585" t="inlineStr">
        <is>
          <t>WAPO_2024_AR.pdf</t>
        </is>
      </c>
      <c r="C6585" t="n">
        <v>2024</v>
      </c>
      <c r="D6585" t="inlineStr">
        <is>
          <t>Financial</t>
        </is>
      </c>
      <c r="E6585" t="inlineStr">
        <is>
          <t>Investment Property</t>
        </is>
      </c>
      <c r="F6585" t="n">
        <v>37.69</v>
      </c>
      <c r="G6585" t="inlineStr">
        <is>
          <t>IDR bn</t>
        </is>
      </c>
      <c r="H6585" t="n">
        <v>145</v>
      </c>
      <c r="I6585" t="inlineStr">
        <is>
          <t>Properti investasi 11 37.690.235.552</t>
        </is>
      </c>
      <c r="J6585" t="inlineStr">
        <is>
          <t>High</t>
        </is>
      </c>
      <c r="M6585" t="inlineStr">
        <is>
          <t>LLM</t>
        </is>
      </c>
      <c r="N6585" t="inlineStr">
        <is>
          <t>2026-04-19</t>
        </is>
      </c>
      <c r="O6585" t="inlineStr">
        <is>
          <t>AI</t>
        </is>
      </c>
    </row>
    <row r="6586">
      <c r="A6586" t="inlineStr">
        <is>
          <t>PT Wahana Pronatural Tbk</t>
        </is>
      </c>
      <c r="B6586" t="inlineStr">
        <is>
          <t>WAPO_2024_AR.pdf</t>
        </is>
      </c>
      <c r="C6586" t="n">
        <v>2024</v>
      </c>
      <c r="D6586" t="inlineStr">
        <is>
          <t>Financial</t>
        </is>
      </c>
      <c r="E6586" t="inlineStr">
        <is>
          <t>Fixed Assets (Net)</t>
        </is>
      </c>
      <c r="F6586" t="n">
        <v>7.36</v>
      </c>
      <c r="G6586" t="inlineStr">
        <is>
          <t>IDR bn</t>
        </is>
      </c>
      <c r="H6586" t="n">
        <v>145</v>
      </c>
      <c r="I6586" t="inlineStr">
        <is>
          <t>Aset tetap 12 7.363.256.760</t>
        </is>
      </c>
      <c r="J6586" t="inlineStr">
        <is>
          <t>High</t>
        </is>
      </c>
      <c r="M6586" t="inlineStr">
        <is>
          <t>LLM</t>
        </is>
      </c>
      <c r="N6586" t="inlineStr">
        <is>
          <t>2026-04-19</t>
        </is>
      </c>
      <c r="O6586" t="inlineStr">
        <is>
          <t>AI</t>
        </is>
      </c>
    </row>
    <row r="6587">
      <c r="A6587" t="inlineStr">
        <is>
          <t>PT Wahana Pronatural Tbk</t>
        </is>
      </c>
      <c r="B6587" t="inlineStr">
        <is>
          <t>WAPO_2024_AR.pdf</t>
        </is>
      </c>
      <c r="C6587" t="n">
        <v>2024</v>
      </c>
      <c r="D6587" t="inlineStr">
        <is>
          <t>Financial</t>
        </is>
      </c>
      <c r="E6587" t="inlineStr">
        <is>
          <t>Trade Payables (Third)</t>
        </is>
      </c>
      <c r="F6587" t="n">
        <v>13.49</v>
      </c>
      <c r="G6587" t="inlineStr">
        <is>
          <t>IDR bn</t>
        </is>
      </c>
      <c r="H6587" t="n">
        <v>146</v>
      </c>
      <c r="I6587" t="inlineStr">
        <is>
          <t>Utang usaha - Pihak ketiga 15 13.488.877.272</t>
        </is>
      </c>
      <c r="J6587" t="inlineStr">
        <is>
          <t>High</t>
        </is>
      </c>
      <c r="M6587" t="inlineStr">
        <is>
          <t>LLM</t>
        </is>
      </c>
      <c r="N6587" t="inlineStr">
        <is>
          <t>2026-04-19</t>
        </is>
      </c>
      <c r="O6587" t="inlineStr">
        <is>
          <t>AI</t>
        </is>
      </c>
    </row>
    <row r="6588">
      <c r="A6588" t="inlineStr">
        <is>
          <t>PT Wahana Pronatural Tbk</t>
        </is>
      </c>
      <c r="B6588" t="inlineStr">
        <is>
          <t>WAPO_2024_AR.pdf</t>
        </is>
      </c>
      <c r="C6588" t="n">
        <v>2024</v>
      </c>
      <c r="D6588" t="inlineStr">
        <is>
          <t>Financial</t>
        </is>
      </c>
      <c r="E6588" t="inlineStr">
        <is>
          <t>Lease Liability (Total)</t>
        </is>
      </c>
      <c r="F6588" t="n">
        <v>0.1</v>
      </c>
      <c r="G6588" t="inlineStr">
        <is>
          <t>IDR bn</t>
        </is>
      </c>
      <c r="H6588" t="n">
        <v>146</v>
      </c>
      <c r="I6588" t="inlineStr">
        <is>
          <t>Liabilitas sewa ST 32.336.453 + LT 62.668.367 = 95,004,820</t>
        </is>
      </c>
      <c r="J6588" t="inlineStr">
        <is>
          <t>High</t>
        </is>
      </c>
      <c r="M6588" t="inlineStr">
        <is>
          <t>LLM</t>
        </is>
      </c>
      <c r="N6588" t="inlineStr">
        <is>
          <t>2026-04-19</t>
        </is>
      </c>
      <c r="O6588" t="inlineStr">
        <is>
          <t>AI</t>
        </is>
      </c>
    </row>
    <row r="6589">
      <c r="A6589" t="inlineStr">
        <is>
          <t>PT Wahana Pronatural Tbk</t>
        </is>
      </c>
      <c r="B6589" t="inlineStr">
        <is>
          <t>WAPO_2024_AR.pdf</t>
        </is>
      </c>
      <c r="C6589" t="n">
        <v>2024</v>
      </c>
      <c r="D6589" t="inlineStr">
        <is>
          <t>Financial</t>
        </is>
      </c>
      <c r="E6589" t="inlineStr">
        <is>
          <t>Employee Benefit Obligation</t>
        </is>
      </c>
      <c r="F6589" t="n">
        <v>0.77</v>
      </c>
      <c r="G6589" t="inlineStr">
        <is>
          <t>IDR bn</t>
        </is>
      </c>
      <c r="H6589" t="n">
        <v>146</v>
      </c>
      <c r="I6589" t="inlineStr">
        <is>
          <t>Liabilitas imbalan kerja 18 773.273.132</t>
        </is>
      </c>
      <c r="J6589" t="inlineStr">
        <is>
          <t>High</t>
        </is>
      </c>
      <c r="M6589" t="inlineStr">
        <is>
          <t>LLM</t>
        </is>
      </c>
      <c r="N6589" t="inlineStr">
        <is>
          <t>2026-04-19</t>
        </is>
      </c>
      <c r="O6589" t="inlineStr">
        <is>
          <t>AI</t>
        </is>
      </c>
    </row>
    <row r="6590">
      <c r="A6590" t="inlineStr">
        <is>
          <t>PT Wahana Pronatural Tbk</t>
        </is>
      </c>
      <c r="B6590" t="inlineStr">
        <is>
          <t>WAPO_2024_AR.pdf</t>
        </is>
      </c>
      <c r="C6590" t="n">
        <v>2024</v>
      </c>
      <c r="D6590" t="inlineStr">
        <is>
          <t>Financial</t>
        </is>
      </c>
      <c r="E6590" t="inlineStr">
        <is>
          <t>CFO (Cash from Operations)</t>
        </is>
      </c>
      <c r="F6590" t="n">
        <v>3.43</v>
      </c>
      <c r="G6590" t="inlineStr">
        <is>
          <t>IDR bn</t>
        </is>
      </c>
      <c r="H6590" t="n">
        <v>149</v>
      </c>
      <c r="I6590" t="inlineStr">
        <is>
          <t>Kas bersih diperoleh dari aktivitas operasi 3.431.112.098</t>
        </is>
      </c>
      <c r="J6590" t="inlineStr">
        <is>
          <t>High</t>
        </is>
      </c>
      <c r="M6590" t="inlineStr">
        <is>
          <t>LLM</t>
        </is>
      </c>
      <c r="N6590" t="inlineStr">
        <is>
          <t>2026-04-19</t>
        </is>
      </c>
      <c r="O6590" t="inlineStr">
        <is>
          <t>AI</t>
        </is>
      </c>
    </row>
    <row r="6591">
      <c r="A6591" t="inlineStr">
        <is>
          <t>PT Wahana Pronatural Tbk</t>
        </is>
      </c>
      <c r="B6591" t="inlineStr">
        <is>
          <t>WAPO_2024_AR.pdf</t>
        </is>
      </c>
      <c r="C6591" t="n">
        <v>2024</v>
      </c>
      <c r="D6591" t="inlineStr">
        <is>
          <t>Financial</t>
        </is>
      </c>
      <c r="E6591" t="inlineStr">
        <is>
          <t>CFI (Cash from Investing)</t>
        </is>
      </c>
      <c r="F6591" t="n">
        <v>-2.33</v>
      </c>
      <c r="G6591" t="inlineStr">
        <is>
          <t>IDR bn</t>
        </is>
      </c>
      <c r="H6591" t="n">
        <v>149</v>
      </c>
      <c r="I6591" t="inlineStr">
        <is>
          <t>Kas bersih digunakan untuk aktivitas investasi (2.332.330.700)</t>
        </is>
      </c>
      <c r="J6591" t="inlineStr">
        <is>
          <t>High</t>
        </is>
      </c>
      <c r="M6591" t="inlineStr">
        <is>
          <t>LLM</t>
        </is>
      </c>
      <c r="N6591" t="inlineStr">
        <is>
          <t>2026-04-19</t>
        </is>
      </c>
      <c r="O6591" t="inlineStr">
        <is>
          <t>AI</t>
        </is>
      </c>
    </row>
    <row r="6592">
      <c r="A6592" t="inlineStr">
        <is>
          <t>PT Wahana Pronatural Tbk</t>
        </is>
      </c>
      <c r="B6592" t="inlineStr">
        <is>
          <t>WAPO_2024_AR.pdf</t>
        </is>
      </c>
      <c r="C6592" t="n">
        <v>2024</v>
      </c>
      <c r="D6592" t="inlineStr">
        <is>
          <t>Financial</t>
        </is>
      </c>
      <c r="E6592" t="inlineStr">
        <is>
          <t>Capex (Fixed asset acquisition)</t>
        </is>
      </c>
      <c r="F6592" t="n">
        <v>2.33</v>
      </c>
      <c r="G6592" t="inlineStr">
        <is>
          <t>IDR bn</t>
        </is>
      </c>
      <c r="H6592" t="n">
        <v>149</v>
      </c>
      <c r="I6592" t="inlineStr">
        <is>
          <t>Perolehan aset tetap (2.332.330.700)</t>
        </is>
      </c>
      <c r="J6592" t="inlineStr">
        <is>
          <t>High</t>
        </is>
      </c>
      <c r="M6592" t="inlineStr">
        <is>
          <t>LLM</t>
        </is>
      </c>
      <c r="N6592" t="inlineStr">
        <is>
          <t>2026-04-19</t>
        </is>
      </c>
      <c r="O6592" t="inlineStr">
        <is>
          <t>AI</t>
        </is>
      </c>
    </row>
    <row r="6593">
      <c r="A6593" t="inlineStr">
        <is>
          <t>PT Wahana Pronatural Tbk</t>
        </is>
      </c>
      <c r="B6593" t="inlineStr">
        <is>
          <t>WAPO_2024_AR.pdf</t>
        </is>
      </c>
      <c r="C6593" t="n">
        <v>2024</v>
      </c>
      <c r="D6593" t="inlineStr">
        <is>
          <t>Financial</t>
        </is>
      </c>
      <c r="E6593" t="inlineStr">
        <is>
          <t>EPS</t>
        </is>
      </c>
      <c r="F6593" t="n">
        <v>0.63</v>
      </c>
      <c r="G6593" t="inlineStr">
        <is>
          <t>Rp/share</t>
        </is>
      </c>
      <c r="H6593" t="n">
        <v>147</v>
      </c>
      <c r="I6593" t="inlineStr">
        <is>
          <t>LABA PER LEMBAR SAHAM 0,63243</t>
        </is>
      </c>
      <c r="J6593" t="inlineStr">
        <is>
          <t>High</t>
        </is>
      </c>
      <c r="M6593" t="inlineStr">
        <is>
          <t>LLM</t>
        </is>
      </c>
      <c r="N6593" t="inlineStr">
        <is>
          <t>2026-04-19</t>
        </is>
      </c>
      <c r="O6593" t="inlineStr">
        <is>
          <t>AI</t>
        </is>
      </c>
    </row>
    <row r="6594">
      <c r="A6594" t="inlineStr">
        <is>
          <t>PT Wahana Pronatural Tbk</t>
        </is>
      </c>
      <c r="B6594" t="inlineStr">
        <is>
          <t>WAPO_2024_AR.pdf</t>
        </is>
      </c>
      <c r="C6594" t="n">
        <v>2024</v>
      </c>
      <c r="D6594" t="inlineStr">
        <is>
          <t>Financial</t>
        </is>
      </c>
      <c r="E6594" t="inlineStr">
        <is>
          <t>Shares Outstanding</t>
        </is>
      </c>
      <c r="F6594" t="n">
        <v>1240.92</v>
      </c>
      <c r="G6594" t="inlineStr">
        <is>
          <t>mn</t>
        </is>
      </c>
      <c r="H6594" t="n">
        <v>11</v>
      </c>
      <c r="I6594" t="inlineStr">
        <is>
          <t>Jumlah saham 1.240.923.111</t>
        </is>
      </c>
      <c r="J6594" t="inlineStr">
        <is>
          <t>High</t>
        </is>
      </c>
      <c r="M6594" t="inlineStr">
        <is>
          <t>LLM</t>
        </is>
      </c>
      <c r="N6594" t="inlineStr">
        <is>
          <t>2026-04-19</t>
        </is>
      </c>
      <c r="O6594" t="inlineStr">
        <is>
          <t>AI</t>
        </is>
      </c>
    </row>
    <row r="6595">
      <c r="A6595" t="inlineStr">
        <is>
          <t>PT Wahana Pronatural Tbk</t>
        </is>
      </c>
      <c r="B6595" t="inlineStr">
        <is>
          <t>WAPO_2024_AR.pdf</t>
        </is>
      </c>
      <c r="C6595" t="n">
        <v>2024</v>
      </c>
      <c r="D6595" t="inlineStr">
        <is>
          <t>Financial</t>
        </is>
      </c>
      <c r="E6595" t="inlineStr">
        <is>
          <t>Paid-up Capital</t>
        </is>
      </c>
      <c r="F6595" t="n">
        <v>124.09</v>
      </c>
      <c r="G6595" t="inlineStr">
        <is>
          <t>IDR bn</t>
        </is>
      </c>
      <c r="H6595" t="n">
        <v>146</v>
      </c>
      <c r="I6595" t="inlineStr">
        <is>
          <t>Modal ditempatkan dan disetor penuh 1.240.923.111 saham 124.092.311.100</t>
        </is>
      </c>
      <c r="J6595" t="inlineStr">
        <is>
          <t>High</t>
        </is>
      </c>
      <c r="M6595" t="inlineStr">
        <is>
          <t>LLM</t>
        </is>
      </c>
      <c r="N6595" t="inlineStr">
        <is>
          <t>2026-04-19</t>
        </is>
      </c>
      <c r="O6595" t="inlineStr">
        <is>
          <t>AI</t>
        </is>
      </c>
    </row>
    <row r="6596">
      <c r="A6596" t="inlineStr">
        <is>
          <t>PT Wahana Pronatural Tbk</t>
        </is>
      </c>
      <c r="B6596" t="inlineStr">
        <is>
          <t>WAPO_2024_AR.pdf</t>
        </is>
      </c>
      <c r="C6596" t="n">
        <v>2024</v>
      </c>
      <c r="D6596" t="inlineStr">
        <is>
          <t>Financial</t>
        </is>
      </c>
      <c r="E6596" t="inlineStr">
        <is>
          <t>Accumulated Deficit</t>
        </is>
      </c>
      <c r="F6596" t="n">
        <v>-65.67</v>
      </c>
      <c r="G6596" t="inlineStr">
        <is>
          <t>IDR bn</t>
        </is>
      </c>
      <c r="H6596" t="n">
        <v>146</v>
      </c>
      <c r="I6596" t="inlineStr">
        <is>
          <t>Defisit (65.672.650.272)</t>
        </is>
      </c>
      <c r="J6596" t="inlineStr">
        <is>
          <t>High</t>
        </is>
      </c>
      <c r="M6596" t="inlineStr">
        <is>
          <t>LLM</t>
        </is>
      </c>
      <c r="N6596" t="inlineStr">
        <is>
          <t>2026-04-19</t>
        </is>
      </c>
      <c r="O6596" t="inlineStr">
        <is>
          <t>AI</t>
        </is>
      </c>
    </row>
    <row r="6597">
      <c r="A6597" t="inlineStr">
        <is>
          <t>PT Wahana Pronatural Tbk</t>
        </is>
      </c>
      <c r="B6597" t="inlineStr">
        <is>
          <t>WAPO_2024_AR.pdf</t>
        </is>
      </c>
      <c r="C6597" t="n">
        <v>2024</v>
      </c>
      <c r="D6597" t="inlineStr">
        <is>
          <t>Financial</t>
        </is>
      </c>
      <c r="E6597" t="inlineStr">
        <is>
          <t>Closing Share Price Q4 2024</t>
        </is>
      </c>
      <c r="F6597" t="n">
        <v>91</v>
      </c>
      <c r="G6597" t="inlineStr">
        <is>
          <t>Rp/share</t>
        </is>
      </c>
      <c r="H6597" t="n">
        <v>11</v>
      </c>
      <c r="I6597" t="inlineStr">
        <is>
          <t>From share-price table Q4 2024; closing approx 91</t>
        </is>
      </c>
      <c r="J6597" t="inlineStr">
        <is>
          <t>Medium</t>
        </is>
      </c>
      <c r="M6597" t="inlineStr">
        <is>
          <t>LLM</t>
        </is>
      </c>
      <c r="N6597" t="inlineStr">
        <is>
          <t>2026-04-19</t>
        </is>
      </c>
      <c r="O6597" t="inlineStr">
        <is>
          <t>AI</t>
        </is>
      </c>
    </row>
    <row r="6598">
      <c r="A6598" t="inlineStr">
        <is>
          <t>PT Wahana Pronatural Tbk</t>
        </is>
      </c>
      <c r="B6598" t="inlineStr">
        <is>
          <t>WAPO_2024_AR.pdf</t>
        </is>
      </c>
      <c r="C6598" t="n">
        <v>2024</v>
      </c>
      <c r="D6598" t="inlineStr">
        <is>
          <t>Financial</t>
        </is>
      </c>
      <c r="E6598" t="inlineStr">
        <is>
          <t>Current Ratio</t>
        </is>
      </c>
      <c r="F6598" t="n">
        <v>2.88</v>
      </c>
      <c r="G6598" t="inlineStr">
        <is>
          <t>x</t>
        </is>
      </c>
      <c r="H6598" t="n">
        <v>10</v>
      </c>
      <c r="I6598" t="inlineStr">
        <is>
          <t>Aset Lancar / Liabilitas Jangka Pendek 288.62 (2024)</t>
        </is>
      </c>
      <c r="J6598" t="inlineStr">
        <is>
          <t>High</t>
        </is>
      </c>
      <c r="M6598" t="inlineStr">
        <is>
          <t>LLM</t>
        </is>
      </c>
      <c r="N6598" t="inlineStr">
        <is>
          <t>2026-04-19</t>
        </is>
      </c>
      <c r="O6598" t="inlineStr">
        <is>
          <t>AI</t>
        </is>
      </c>
    </row>
    <row r="6599">
      <c r="A6599" t="inlineStr">
        <is>
          <t>PT Wahana Pronatural Tbk</t>
        </is>
      </c>
      <c r="B6599" t="inlineStr">
        <is>
          <t>WAPO_2024_AR.pdf</t>
        </is>
      </c>
      <c r="C6599" t="n">
        <v>2024</v>
      </c>
      <c r="D6599" t="inlineStr">
        <is>
          <t>Financial</t>
        </is>
      </c>
      <c r="E6599" t="inlineStr">
        <is>
          <t>Debt to Equity</t>
        </is>
      </c>
      <c r="F6599" t="n">
        <v>0.202</v>
      </c>
      <c r="G6599" t="inlineStr">
        <is>
          <t>x</t>
        </is>
      </c>
      <c r="H6599" t="n">
        <v>10</v>
      </c>
      <c r="I6599" t="inlineStr">
        <is>
          <t>Liabilitas / Ekuitas (Debt to Equity) 20.20</t>
        </is>
      </c>
      <c r="J6599" t="inlineStr">
        <is>
          <t>High</t>
        </is>
      </c>
      <c r="M6599" t="inlineStr">
        <is>
          <t>LLM</t>
        </is>
      </c>
      <c r="N6599" t="inlineStr">
        <is>
          <t>2026-04-19</t>
        </is>
      </c>
      <c r="O6599" t="inlineStr">
        <is>
          <t>AI</t>
        </is>
      </c>
    </row>
    <row r="6600">
      <c r="A6600" t="inlineStr">
        <is>
          <t>PT Wahana Pronatural Tbk</t>
        </is>
      </c>
      <c r="B6600" t="inlineStr">
        <is>
          <t>WAPO_2024_AR.pdf</t>
        </is>
      </c>
      <c r="C6600" t="n">
        <v>2024</v>
      </c>
      <c r="D6600" t="inlineStr">
        <is>
          <t>Financial</t>
        </is>
      </c>
      <c r="E6600" t="inlineStr">
        <is>
          <t>Debt to Assets</t>
        </is>
      </c>
      <c r="F6600" t="n">
        <v>0.168</v>
      </c>
      <c r="G6600" t="inlineStr">
        <is>
          <t>x</t>
        </is>
      </c>
      <c r="H6600" t="n">
        <v>10</v>
      </c>
      <c r="I6600" t="inlineStr">
        <is>
          <t>Liabilitas / Aset (Debt to Assets) 16.80</t>
        </is>
      </c>
      <c r="J6600" t="inlineStr">
        <is>
          <t>High</t>
        </is>
      </c>
      <c r="M6600" t="inlineStr">
        <is>
          <t>LLM</t>
        </is>
      </c>
      <c r="N6600" t="inlineStr">
        <is>
          <t>2026-04-19</t>
        </is>
      </c>
      <c r="O6600" t="inlineStr">
        <is>
          <t>AI</t>
        </is>
      </c>
    </row>
    <row r="6601">
      <c r="A6601" t="inlineStr">
        <is>
          <t>PT Wahana Pronatural Tbk</t>
        </is>
      </c>
      <c r="B6601" t="inlineStr">
        <is>
          <t>WAPO_2024_AR.pdf</t>
        </is>
      </c>
      <c r="C6601" t="n">
        <v>2024</v>
      </c>
      <c r="D6601" t="inlineStr">
        <is>
          <t>Financial</t>
        </is>
      </c>
      <c r="E6601" t="inlineStr">
        <is>
          <t>ROA</t>
        </is>
      </c>
      <c r="F6601" t="n">
        <v>0.0091</v>
      </c>
      <c r="G6601" t="inlineStr">
        <is>
          <t>%</t>
        </is>
      </c>
      <c r="H6601" t="n">
        <v>10</v>
      </c>
      <c r="I6601" t="inlineStr">
        <is>
          <t>Laba Komprehensif / Jumlah Aset 0.91</t>
        </is>
      </c>
      <c r="J6601" t="inlineStr">
        <is>
          <t>High</t>
        </is>
      </c>
      <c r="M6601" t="inlineStr">
        <is>
          <t>LLM</t>
        </is>
      </c>
      <c r="N6601" t="inlineStr">
        <is>
          <t>2026-04-19</t>
        </is>
      </c>
      <c r="O6601" t="inlineStr">
        <is>
          <t>AI</t>
        </is>
      </c>
    </row>
    <row r="6602">
      <c r="A6602" t="inlineStr">
        <is>
          <t>PT Wahana Pronatural Tbk</t>
        </is>
      </c>
      <c r="B6602" t="inlineStr">
        <is>
          <t>WAPO_2024_AR.pdf</t>
        </is>
      </c>
      <c r="C6602" t="n">
        <v>2024</v>
      </c>
      <c r="D6602" t="inlineStr">
        <is>
          <t>Financial</t>
        </is>
      </c>
      <c r="E6602" t="inlineStr">
        <is>
          <t>ROE</t>
        </is>
      </c>
      <c r="F6602" t="n">
        <v>0.0109</v>
      </c>
      <c r="G6602" t="inlineStr">
        <is>
          <t>%</t>
        </is>
      </c>
      <c r="H6602" t="n">
        <v>10</v>
      </c>
      <c r="I6602" t="inlineStr">
        <is>
          <t>Laba Komprehensif / Jumlah Ekuitas 1.09</t>
        </is>
      </c>
      <c r="J6602" t="inlineStr">
        <is>
          <t>High</t>
        </is>
      </c>
      <c r="M6602" t="inlineStr">
        <is>
          <t>LLM</t>
        </is>
      </c>
      <c r="N6602" t="inlineStr">
        <is>
          <t>2026-04-19</t>
        </is>
      </c>
      <c r="O6602" t="inlineStr">
        <is>
          <t>AI</t>
        </is>
      </c>
    </row>
    <row r="6603">
      <c r="A6603" t="inlineStr">
        <is>
          <t>PT Wahana Pronatural Tbk</t>
        </is>
      </c>
      <c r="B6603" t="inlineStr">
        <is>
          <t>WAPO_2024_AR.pdf</t>
        </is>
      </c>
      <c r="C6603" t="n">
        <v>2024</v>
      </c>
      <c r="D6603" t="inlineStr">
        <is>
          <t>Financial</t>
        </is>
      </c>
      <c r="E6603" t="inlineStr">
        <is>
          <t>Revenue YoY Growth</t>
        </is>
      </c>
      <c r="F6603" t="n">
        <v>4.04</v>
      </c>
      <c r="G6603" t="inlineStr">
        <is>
          <t>x</t>
        </is>
      </c>
      <c r="H6603" t="n">
        <v>6</v>
      </c>
      <c r="I6603" t="inlineStr">
        <is>
          <t>Penjualan Perseroan selama tahun 2024 dan 2023 masing-masing sebesar Rp 2,1 triliun dan Rp 420 miliar, mengalami peningkatan 400%</t>
        </is>
      </c>
      <c r="J6603" t="inlineStr">
        <is>
          <t>High</t>
        </is>
      </c>
      <c r="M6603" t="inlineStr">
        <is>
          <t>LLM</t>
        </is>
      </c>
      <c r="N6603" t="inlineStr">
        <is>
          <t>2026-04-19</t>
        </is>
      </c>
      <c r="O6603" t="inlineStr">
        <is>
          <t>AI</t>
        </is>
      </c>
    </row>
    <row r="6604">
      <c r="A6604" t="inlineStr">
        <is>
          <t>PT Wahana Pronatural Tbk</t>
        </is>
      </c>
      <c r="B6604" t="inlineStr">
        <is>
          <t>WAPO_2024_AR.pdf</t>
        </is>
      </c>
      <c r="C6604" t="n">
        <v>2024</v>
      </c>
      <c r="D6604" t="inlineStr">
        <is>
          <t>Operation</t>
        </is>
      </c>
      <c r="E6604" t="inlineStr">
        <is>
          <t>Primary Activity</t>
        </is>
      </c>
      <c r="F6604" t="inlineStr">
        <is>
          <t>Coffee bean (green bean) trading = 97% of revenue</t>
        </is>
      </c>
      <c r="G6604" t="inlineStr">
        <is>
          <t>text</t>
        </is>
      </c>
      <c r="H6604" t="n">
        <v>20</v>
      </c>
      <c r="I6604" t="inlineStr">
        <is>
          <t>Kontribusi penjualan terbesar disumbang komoditas Biji Kopi sebesar 97% (Rp 2 triliun)</t>
        </is>
      </c>
      <c r="J6604" t="inlineStr">
        <is>
          <t>High</t>
        </is>
      </c>
      <c r="M6604" t="inlineStr">
        <is>
          <t>LLM</t>
        </is>
      </c>
      <c r="N6604" t="inlineStr">
        <is>
          <t>2026-04-19</t>
        </is>
      </c>
      <c r="O6604" t="inlineStr">
        <is>
          <t>AI</t>
        </is>
      </c>
    </row>
    <row r="6605">
      <c r="A6605" t="inlineStr">
        <is>
          <t>PT Wahana Pronatural Tbk</t>
        </is>
      </c>
      <c r="B6605" t="inlineStr">
        <is>
          <t>WAPO_2024_AR.pdf</t>
        </is>
      </c>
      <c r="C6605" t="n">
        <v>2024</v>
      </c>
      <c r="D6605" t="inlineStr">
        <is>
          <t>Operation</t>
        </is>
      </c>
      <c r="E6605" t="inlineStr">
        <is>
          <t>Distribution Areas</t>
        </is>
      </c>
      <c r="F6605" t="inlineStr">
        <is>
          <t>National: Java, Sumatra, Bali, Sulawesi, Kalimantan</t>
        </is>
      </c>
      <c r="G6605" t="inlineStr">
        <is>
          <t>text</t>
        </is>
      </c>
      <c r="H6605" t="n">
        <v>8</v>
      </c>
      <c r="I6605" t="inlineStr">
        <is>
          <t>Distribusi secara nasional mencakup pulau Jawa, Sumatera, Bali, Sulawesi dan Kalimantan</t>
        </is>
      </c>
      <c r="J6605" t="inlineStr">
        <is>
          <t>High</t>
        </is>
      </c>
      <c r="M6605" t="inlineStr">
        <is>
          <t>LLM</t>
        </is>
      </c>
      <c r="N6605" t="inlineStr">
        <is>
          <t>2026-04-19</t>
        </is>
      </c>
      <c r="O6605" t="inlineStr">
        <is>
          <t>AI</t>
        </is>
      </c>
    </row>
    <row r="6606">
      <c r="A6606" t="inlineStr">
        <is>
          <t>PT Wahana Pronatural Tbk</t>
        </is>
      </c>
      <c r="B6606" t="inlineStr">
        <is>
          <t>WAPO_2024_AR.pdf</t>
        </is>
      </c>
      <c r="C6606" t="n">
        <v>2024</v>
      </c>
      <c r="D6606" t="inlineStr">
        <is>
          <t>Operation</t>
        </is>
      </c>
      <c r="E6606" t="inlineStr">
        <is>
          <t>Production Facilities</t>
        </is>
      </c>
      <c r="F6606" t="inlineStr">
        <is>
          <t>Candy factory in Bogor (leased to third party)</t>
        </is>
      </c>
      <c r="G6606" t="inlineStr">
        <is>
          <t>text</t>
        </is>
      </c>
      <c r="H6606" t="n">
        <v>19</v>
      </c>
      <c r="I6606" t="inlineStr">
        <is>
          <t>pengelolaan pabrik permen di Bogor Jawa Barat disewakan kepada pihak ketiga</t>
        </is>
      </c>
      <c r="J6606" t="inlineStr">
        <is>
          <t>High</t>
        </is>
      </c>
      <c r="M6606" t="inlineStr">
        <is>
          <t>LLM</t>
        </is>
      </c>
      <c r="N6606" t="inlineStr">
        <is>
          <t>2026-04-19</t>
        </is>
      </c>
      <c r="O6606" t="inlineStr">
        <is>
          <t>AI</t>
        </is>
      </c>
    </row>
    <row r="6607">
      <c r="A6607" t="inlineStr">
        <is>
          <t>PT Wahana Pronatural Tbk</t>
        </is>
      </c>
      <c r="B6607" t="inlineStr">
        <is>
          <t>WAPO_2024_AR.pdf</t>
        </is>
      </c>
      <c r="C6607" t="n">
        <v>2024</v>
      </c>
      <c r="D6607" t="inlineStr">
        <is>
          <t>Operation</t>
        </is>
      </c>
      <c r="E6607" t="inlineStr">
        <is>
          <t>Planted Oil-Palm Area</t>
        </is>
      </c>
      <c r="F6607" t="n">
        <v>0</v>
      </c>
      <c r="G6607" t="inlineStr">
        <is>
          <t>ha</t>
        </is>
      </c>
      <c r="H6607" t="n">
        <v>0</v>
      </c>
      <c r="I6607" t="inlineStr">
        <is>
          <t>Not applicable - WAPO has no oil-palm plantations.</t>
        </is>
      </c>
      <c r="J6607" t="inlineStr">
        <is>
          <t>High</t>
        </is>
      </c>
      <c r="M6607" t="inlineStr">
        <is>
          <t>LLM</t>
        </is>
      </c>
      <c r="N6607" t="inlineStr">
        <is>
          <t>2026-04-19</t>
        </is>
      </c>
      <c r="O6607" t="inlineStr">
        <is>
          <t>AI</t>
        </is>
      </c>
    </row>
    <row r="6608">
      <c r="A6608" t="inlineStr">
        <is>
          <t>PT Wahana Pronatural Tbk</t>
        </is>
      </c>
      <c r="B6608" t="inlineStr">
        <is>
          <t>WAPO_2024_AR.pdf</t>
        </is>
      </c>
      <c r="C6608" t="n">
        <v>2024</v>
      </c>
      <c r="D6608" t="inlineStr">
        <is>
          <t>Operation</t>
        </is>
      </c>
      <c r="E6608" t="inlineStr">
        <is>
          <t>Palm Oil Mill (PKS) Count</t>
        </is>
      </c>
      <c r="F6608" t="n">
        <v>0</v>
      </c>
      <c r="G6608" t="inlineStr">
        <is>
          <t>count</t>
        </is>
      </c>
      <c r="H6608" t="n">
        <v>0</v>
      </c>
      <c r="I6608" t="inlineStr">
        <is>
          <t>Not applicable - no palm mills.</t>
        </is>
      </c>
      <c r="J6608" t="inlineStr">
        <is>
          <t>High</t>
        </is>
      </c>
      <c r="M6608" t="inlineStr">
        <is>
          <t>LLM</t>
        </is>
      </c>
      <c r="N6608" t="inlineStr">
        <is>
          <t>2026-04-19</t>
        </is>
      </c>
      <c r="O6608" t="inlineStr">
        <is>
          <t>AI</t>
        </is>
      </c>
    </row>
    <row r="6609">
      <c r="A6609" t="inlineStr">
        <is>
          <t>PT Wahana Pronatural Tbk</t>
        </is>
      </c>
      <c r="B6609" t="inlineStr">
        <is>
          <t>WAPO_2024_AR.pdf</t>
        </is>
      </c>
      <c r="C6609" t="n">
        <v>2024</v>
      </c>
      <c r="D6609" t="inlineStr">
        <is>
          <t>Operation</t>
        </is>
      </c>
      <c r="E6609" t="inlineStr">
        <is>
          <t>FFB Production</t>
        </is>
      </c>
      <c r="F6609" t="n">
        <v>0</v>
      </c>
      <c r="G6609" t="inlineStr">
        <is>
          <t>t</t>
        </is>
      </c>
      <c r="H6609" t="n">
        <v>0</v>
      </c>
      <c r="I6609" t="inlineStr">
        <is>
          <t>Not applicable - no palm operations.</t>
        </is>
      </c>
      <c r="J6609" t="inlineStr">
        <is>
          <t>High</t>
        </is>
      </c>
      <c r="M6609" t="inlineStr">
        <is>
          <t>LLM</t>
        </is>
      </c>
      <c r="N6609" t="inlineStr">
        <is>
          <t>2026-04-19</t>
        </is>
      </c>
      <c r="O6609" t="inlineStr">
        <is>
          <t>AI</t>
        </is>
      </c>
    </row>
    <row r="6610">
      <c r="A6610" t="inlineStr">
        <is>
          <t>PT Wahana Pronatural Tbk</t>
        </is>
      </c>
      <c r="B6610" t="inlineStr">
        <is>
          <t>WAPO_2024_AR.pdf</t>
        </is>
      </c>
      <c r="C6610" t="n">
        <v>2024</v>
      </c>
      <c r="D6610" t="inlineStr">
        <is>
          <t>Operation</t>
        </is>
      </c>
      <c r="E6610" t="inlineStr">
        <is>
          <t>CPO Production</t>
        </is>
      </c>
      <c r="F6610" t="n">
        <v>0</v>
      </c>
      <c r="G6610" t="inlineStr">
        <is>
          <t>t</t>
        </is>
      </c>
      <c r="H6610" t="n">
        <v>0</v>
      </c>
      <c r="I6610" t="inlineStr">
        <is>
          <t>Not applicable - no palm operations.</t>
        </is>
      </c>
      <c r="J6610" t="inlineStr">
        <is>
          <t>High</t>
        </is>
      </c>
      <c r="M6610" t="inlineStr">
        <is>
          <t>LLM</t>
        </is>
      </c>
      <c r="N6610" t="inlineStr">
        <is>
          <t>2026-04-19</t>
        </is>
      </c>
      <c r="O6610" t="inlineStr">
        <is>
          <t>AI</t>
        </is>
      </c>
    </row>
    <row r="6611">
      <c r="A6611" t="inlineStr">
        <is>
          <t>PT Wahana Pronatural Tbk</t>
        </is>
      </c>
      <c r="B6611" t="inlineStr">
        <is>
          <t>WAPO_2024_AR.pdf</t>
        </is>
      </c>
      <c r="C6611" t="n">
        <v>2024</v>
      </c>
      <c r="D6611" t="inlineStr">
        <is>
          <t>Operation</t>
        </is>
      </c>
      <c r="E6611" t="inlineStr">
        <is>
          <t>Target 2025 Growth</t>
        </is>
      </c>
      <c r="F6611" t="n">
        <v>0.1</v>
      </c>
      <c r="G6611" t="inlineStr">
        <is>
          <t>%</t>
        </is>
      </c>
      <c r="H6611" t="n">
        <v>21</v>
      </c>
      <c r="I6611" t="inlineStr">
        <is>
          <t>Perseroan menargetkan pertumbuhan 10%</t>
        </is>
      </c>
      <c r="J6611" t="inlineStr">
        <is>
          <t>High</t>
        </is>
      </c>
      <c r="M6611" t="inlineStr">
        <is>
          <t>LLM</t>
        </is>
      </c>
      <c r="N6611" t="inlineStr">
        <is>
          <t>2026-04-19</t>
        </is>
      </c>
      <c r="O6611" t="inlineStr">
        <is>
          <t>AI</t>
        </is>
      </c>
    </row>
    <row r="6612">
      <c r="A6612" t="inlineStr">
        <is>
          <t>PT Wahana Pronatural Tbk</t>
        </is>
      </c>
      <c r="B6612" t="inlineStr">
        <is>
          <t>WAPO_2024_AR.pdf</t>
        </is>
      </c>
      <c r="C6612" t="n">
        <v>2024</v>
      </c>
      <c r="D6612" t="inlineStr">
        <is>
          <t>ESG</t>
        </is>
      </c>
      <c r="E6612" t="inlineStr">
        <is>
          <t>Sustainability Scope</t>
        </is>
      </c>
      <c r="F6612" t="inlineStr">
        <is>
          <t>Generic ESG; no ISPO/RSPO (not a palm producer). Focus: coffee/seaweed/beverage supply chain.</t>
        </is>
      </c>
      <c r="G6612" t="inlineStr">
        <is>
          <t>text</t>
        </is>
      </c>
      <c r="H6612" t="n">
        <v>0</v>
      </c>
      <c r="I6612" t="inlineStr">
        <is>
          <t>2024 Sustainability Report - coffee/seaweed/beverage narrative; no palm certifications.</t>
        </is>
      </c>
      <c r="J6612" t="inlineStr">
        <is>
          <t>High</t>
        </is>
      </c>
      <c r="M6612" t="inlineStr">
        <is>
          <t>LLM</t>
        </is>
      </c>
      <c r="N6612" t="inlineStr">
        <is>
          <t>2026-04-19</t>
        </is>
      </c>
      <c r="O6612" t="inlineStr">
        <is>
          <t>AI</t>
        </is>
      </c>
    </row>
    <row r="6613">
      <c r="A6613" t="inlineStr">
        <is>
          <t>PT Wahana Pronatural Tbk</t>
        </is>
      </c>
      <c r="B6613" t="inlineStr">
        <is>
          <t>WAPO_2024_AR.pdf</t>
        </is>
      </c>
      <c r="C6613" t="n">
        <v>2024</v>
      </c>
      <c r="D6613" t="inlineStr">
        <is>
          <t>Other</t>
        </is>
      </c>
      <c r="E6613" t="inlineStr">
        <is>
          <t>Red Flag - Not a Palm Company</t>
        </is>
      </c>
      <c r="F6613" t="inlineStr">
        <is>
          <t>WAPO is NOT a palm oil company. Core business is coffee-bean trading. Ticker should be flagged for removal from palm long-list.</t>
        </is>
      </c>
      <c r="G6613" t="inlineStr">
        <is>
          <t>flag</t>
        </is>
      </c>
      <c r="H6613" t="n">
        <v>6</v>
      </c>
      <c r="I6613" t="inlineStr">
        <is>
          <t>Bidang Usaha: perdagangan dan industri. Produk utama: biji Kopi 97%, Air Mineral 1.1%, Sunkist 1%, Rumput Laut 0.4%.</t>
        </is>
      </c>
      <c r="J6613" t="inlineStr">
        <is>
          <t>High</t>
        </is>
      </c>
      <c r="M6613" t="inlineStr">
        <is>
          <t>LLM</t>
        </is>
      </c>
      <c r="N6613" t="inlineStr">
        <is>
          <t>2026-04-19</t>
        </is>
      </c>
      <c r="O6613" t="inlineStr">
        <is>
          <t>AI</t>
        </is>
      </c>
    </row>
  </sheetData>
  <conditionalFormatting sqref="J2:J1001">
    <cfRule type="cellIs" priority="2" operator="equal" dxfId="1">
      <formula>"low"</formula>
    </cfRule>
    <cfRule type="cellIs" priority="3" operator="equal" dxfId="0">
      <formula>"medium"</formula>
    </cfRule>
  </conditionalFormatting>
  <dataValidations count="4">
    <dataValidation sqref="J2:J1001" showDropDown="0" showInputMessage="0" showErrorMessage="0" allowBlank="1" type="list">
      <formula1>"High,Medium,Low"</formula1>
      <formula2>0</formula2>
    </dataValidation>
    <dataValidation sqref="L2:L1001" showDropDown="0" showInputMessage="0" showErrorMessage="0" allowBlank="1" type="list">
      <formula1>"OK,Check,Mismatch,Missing"</formula1>
      <formula2>0</formula2>
    </dataValidation>
    <dataValidation sqref="O2:O1001" showDropDown="0" showInputMessage="0" showErrorMessage="0" allowBlank="1" type="list">
      <formula1>"Manual,AI,OCR,Calculated"</formula1>
      <formula2>0</formula2>
    </dataValidation>
    <dataValidation sqref="D2:D1001" showDropDown="0" showInputMessage="0" showErrorMessage="0" allowBlank="1" type="list">
      <formula1>"Company,Asset,Operation,Financial,ESG,Other"</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FF5B9BD5"/>
    <outlinePr summaryBelow="1" summaryRight="1"/>
    <pageSetUpPr/>
  </sheetPr>
  <dimension ref="A1:S201"/>
  <sheetViews>
    <sheetView showGridLines="0" zoomScaleNormal="100" workbookViewId="0">
      <pane xSplit="1" ySplit="1" topLeftCell="Q71" activePane="bottomRight" state="frozen"/>
      <selection pane="topRight" activeCell="B1" sqref="B1"/>
      <selection pane="bottomLeft" activeCell="A2" sqref="A2"/>
      <selection pane="bottomRight" activeCell="S1" sqref="S1"/>
    </sheetView>
  </sheetViews>
  <sheetFormatPr baseColWidth="8" defaultColWidth="8.6640625" defaultRowHeight="14.4"/>
  <cols>
    <col width="22" customWidth="1" style="67" min="1" max="1"/>
    <col width="18" customWidth="1" style="67" min="2" max="8"/>
    <col width="30" customWidth="1" style="67" min="9" max="11"/>
    <col width="18" customWidth="1" style="67" min="12" max="16"/>
    <col width="30" customWidth="1" style="67" min="17" max="18"/>
    <col width="20" customWidth="1" style="67" min="19" max="19"/>
  </cols>
  <sheetData>
    <row r="1" ht="31.5" customHeight="1" s="67">
      <c r="A1" s="84" t="inlineStr">
        <is>
          <t>Company</t>
        </is>
      </c>
      <c r="B1" s="84" t="inlineStr">
        <is>
          <t>Ticker</t>
        </is>
      </c>
      <c r="C1" s="5" t="inlineStr">
        <is>
          <t>Exchange</t>
        </is>
      </c>
      <c r="D1" s="5" t="inlineStr">
        <is>
          <t>Report Year</t>
        </is>
      </c>
      <c r="E1" s="5" t="inlineStr">
        <is>
          <t>Report File</t>
        </is>
      </c>
      <c r="F1" s="84" t="inlineStr">
        <is>
          <t>HQ</t>
        </is>
      </c>
      <c r="G1" s="5" t="inlineStr">
        <is>
          <t>Country</t>
        </is>
      </c>
      <c r="H1" s="84" t="inlineStr">
        <is>
          <t>Core Region</t>
        </is>
      </c>
      <c r="I1" s="84" t="inlineStr">
        <is>
          <t>Group Structure Note</t>
        </is>
      </c>
      <c r="J1" s="5" t="inlineStr">
        <is>
          <t>Subsidiaries Note</t>
        </is>
      </c>
      <c r="K1" s="5" t="inlineStr">
        <is>
          <t>Shareholder Structure Note</t>
        </is>
      </c>
      <c r="L1" s="5" t="inlineStr">
        <is>
          <t>Listed Status</t>
        </is>
      </c>
      <c r="M1" s="84" t="inlineStr">
        <is>
          <t>Primary Business</t>
        </is>
      </c>
      <c r="N1" s="5" t="inlineStr">
        <is>
          <t>Deal Structure Initial Thought</t>
        </is>
      </c>
      <c r="O1" s="5" t="inlineStr">
        <is>
          <t>Dealability Note</t>
        </is>
      </c>
      <c r="P1" s="5" t="inlineStr">
        <is>
          <t>Acquisition Note</t>
        </is>
      </c>
      <c r="Q1" s="5" t="inlineStr">
        <is>
          <t>Key Red Flags</t>
        </is>
      </c>
      <c r="R1" s="5" t="inlineStr">
        <is>
          <t>Overall Comment</t>
        </is>
      </c>
      <c r="S1" s="85" t="inlineStr">
        <is>
          <t>Business Model [Upstream/Integrated/Downstream]</t>
        </is>
      </c>
    </row>
    <row r="2" ht="15" customHeight="1" s="67">
      <c r="A2" s="6" t="inlineStr">
        <is>
          <t>PT Astra Agro Lestari Tbk</t>
        </is>
      </c>
      <c r="B2" s="6" t="inlineStr">
        <is>
          <t>AALI</t>
        </is>
      </c>
      <c r="C2" s="6" t="inlineStr">
        <is>
          <t>IDX</t>
        </is>
      </c>
      <c r="D2" s="6" t="n">
        <v>2023</v>
      </c>
      <c r="E2" s="6" t="inlineStr">
        <is>
          <t>AALI_2023_AR.pdf</t>
        </is>
      </c>
      <c r="F2" s="6" t="inlineStr">
        <is>
          <t>Jakarta, Indonesia</t>
        </is>
      </c>
      <c r="G2" s="6" t="inlineStr">
        <is>
          <t>Indonesia</t>
        </is>
      </c>
      <c r="H2" s="6" t="inlineStr">
        <is>
          <t>Sumatra/Kalimantan/Sulawesi (diversified)</t>
        </is>
      </c>
      <c r="I2" s="6" t="inlineStr">
        <is>
          <t>Part of Astra International group (PT Astra International Tbk parent)</t>
        </is>
      </c>
      <c r="J2" s="6" t="n"/>
      <c r="K2" s="6" t="n"/>
      <c r="L2" s="6" t="inlineStr">
        <is>
          <t>Listed (IDX: AALI)</t>
        </is>
      </c>
      <c r="M2" s="6" t="inlineStr">
        <is>
          <t>Palm oil plantation (upstream) + CPO/PKO refining + NPK blending</t>
        </is>
      </c>
      <c r="N2" s="6" t="n"/>
      <c r="O2" s="6" t="n"/>
      <c r="P2" s="6" t="n"/>
      <c r="Q2" s="6" t="n"/>
      <c r="R2" s="6" t="n"/>
      <c r="S2" s="44" t="inlineStr">
        <is>
          <t>Integrated</t>
        </is>
      </c>
    </row>
    <row r="3" ht="15" customHeight="1" s="67">
      <c r="A3" s="6" t="inlineStr">
        <is>
          <t>PT Astra Agro Lestari Tbk</t>
        </is>
      </c>
      <c r="B3" s="6" t="inlineStr">
        <is>
          <t>AALI</t>
        </is>
      </c>
      <c r="C3" s="6" t="inlineStr">
        <is>
          <t>IDX</t>
        </is>
      </c>
      <c r="D3" s="6" t="n">
        <v>2024</v>
      </c>
      <c r="E3" s="6" t="inlineStr">
        <is>
          <t>AALI_2024_AR.pdf</t>
        </is>
      </c>
      <c r="F3" s="6" t="inlineStr">
        <is>
          <t>Jakarta, Indonesia</t>
        </is>
      </c>
      <c r="G3" s="6" t="inlineStr">
        <is>
          <t>Indonesia</t>
        </is>
      </c>
      <c r="H3" s="6" t="inlineStr">
        <is>
          <t>Sumatra/Kalimantan/Sulawesi (diversified)</t>
        </is>
      </c>
      <c r="I3" s="6" t="inlineStr">
        <is>
          <t>Part of Astra International group (PT Astra International Tbk parent, 79.68% ownership); ultimate controller Jardine Cycle &amp; Carriage / Jardine Matheson.</t>
        </is>
      </c>
      <c r="J3" s="6" t="inlineStr">
        <is>
          <t>Multiple oil-palm plantation subsidiaries across Sumatra/Kalimantan/Sulawesi; refinery subsidiaries PT Tanjung Sarana Lestari (TSL, W. Sulawesi) and PT Tanjung Bina Lestari (TBL).</t>
        </is>
      </c>
      <c r="K3" s="6" t="inlineStr">
        <is>
          <t>PT Astra International Tbk 79.68%, Public 20.32% (each &lt;5%)</t>
        </is>
      </c>
      <c r="L3" s="6" t="inlineStr">
        <is>
          <t>Listed (IDX: AALI)</t>
        </is>
      </c>
      <c r="M3" s="6" t="inlineStr">
        <is>
          <t>Palm oil plantation (upstream) + CPO/PKO refining + NPK blending</t>
        </is>
      </c>
      <c r="N3" s="6" t="n"/>
      <c r="O3" s="6" t="n"/>
      <c r="P3" s="6" t="n"/>
      <c r="Q3" s="6" t="inlineStr">
        <is>
          <t>FFB production down 14% YoY due to extreme weather and ageing trees (avg age 16.5 yrs, 62% of mature area &gt;15 yrs); third-party FFB availability tight; DMO/DPO export policies affect margins.</t>
        </is>
      </c>
      <c r="R3" s="6" t="inlineStr">
        <is>
          <t>Large diversified Indonesian palm producer with refinery and NPK integration. 2024 revenue +5% to Rp21.8 tn; net profit +9% to Rp1.19 tn on stronger CPO prices (+16% avg) offsetting 14% FFB volume decline. Low gearing (&lt;1%). 69% domestic / 31% export sales mix.</t>
        </is>
      </c>
      <c r="S3" s="44" t="inlineStr">
        <is>
          <t>Integrated</t>
        </is>
      </c>
    </row>
    <row r="4" ht="15" customHeight="1" s="67">
      <c r="A4" s="6" t="inlineStr">
        <is>
          <t>PT Astra Agro Lestari Tbk</t>
        </is>
      </c>
      <c r="B4" s="6" t="inlineStr">
        <is>
          <t>AALI</t>
        </is>
      </c>
      <c r="C4" s="6" t="inlineStr">
        <is>
          <t>IDX</t>
        </is>
      </c>
      <c r="D4" s="6" t="n">
        <v>2025</v>
      </c>
      <c r="E4" s="6" t="inlineStr">
        <is>
          <t>AALI_2025_AR.pdf</t>
        </is>
      </c>
      <c r="F4" s="6" t="inlineStr">
        <is>
          <t>Jakarta, Indonesia</t>
        </is>
      </c>
      <c r="G4" s="6" t="inlineStr">
        <is>
          <t>Indonesia</t>
        </is>
      </c>
      <c r="H4" s="6" t="inlineStr">
        <is>
          <t>Sumatra/Kalimantan/Sulawesi (diversified)</t>
        </is>
      </c>
      <c r="I4" s="6" t="inlineStr">
        <is>
          <t>Part of Astra International group (PT Astra International Tbk parent); ultimate controller Jardine Cycle &amp; Carriage / Jardine Matheson.</t>
        </is>
      </c>
      <c r="J4" s="6" t="inlineStr">
        <is>
          <t>Plantation subsidiaries across Sumatra/Kalimantan/Sulawesi; refinery subsidiaries PT Tanjung Sarana Lestari (TSL) and PT Tanjung Bina Lestari (TBL).</t>
        </is>
      </c>
      <c r="K4" s="6" t="inlineStr">
        <is>
          <t>PT Astra International Tbk ~79.68% (controlling), Public ~20.32%</t>
        </is>
      </c>
      <c r="L4" s="6" t="inlineStr">
        <is>
          <t>Listed (IDX: AALI)</t>
        </is>
      </c>
      <c r="M4" s="6" t="inlineStr">
        <is>
          <t>Palm oil plantation (upstream) + CPO/PKO refining + NPK blending</t>
        </is>
      </c>
      <c r="N4" s="6" t="n"/>
      <c r="O4" s="6" t="n"/>
      <c r="P4" s="6" t="n"/>
      <c r="Q4" s="6" t="inlineStr">
        <is>
          <t>Ageing plantation profile (avg age 16.7 yrs, ~71% of mature area &gt;15 yrs); structural decline risk in productivity; dependence on replanting &amp; 3rd-party FFB.</t>
        </is>
      </c>
      <c r="R4" s="6" t="inlineStr">
        <is>
          <t>Strong 2025: revenue +31% to Rp28.7 tn, net profit +28% to Rp1.47 tn on +11% CPO ASP and +13% sales volume. Company repaid all bank loans; gearing &lt;1%, current ratio 4.3x, cash Rp2.76 tn. 64% domestic / 36% export. FFB total 3.82 mt (+2%), third-party FFB 2.41 mt (+11%), CPO 1.20 mt.</t>
        </is>
      </c>
      <c r="S4" s="44" t="inlineStr">
        <is>
          <t>Integrated</t>
        </is>
      </c>
    </row>
    <row r="5" ht="15" customHeight="1" s="67">
      <c r="A5" s="6" t="inlineStr">
        <is>
          <t>PT Andira Agro Tbk</t>
        </is>
      </c>
      <c r="B5" s="6" t="inlineStr">
        <is>
          <t>ANDI</t>
        </is>
      </c>
      <c r="C5" s="6" t="inlineStr">
        <is>
          <t>IDX</t>
        </is>
      </c>
      <c r="D5" s="6" t="n">
        <v>2022</v>
      </c>
      <c r="E5" s="6" t="inlineStr">
        <is>
          <t>ANDI_2022_AR.pdf</t>
        </is>
      </c>
      <c r="F5" s="6" t="inlineStr">
        <is>
          <t>Jakarta, Indonesia (HO); Banyuasin, South Sumatra (operations)</t>
        </is>
      </c>
      <c r="G5" s="6" t="inlineStr">
        <is>
          <t>Indonesia</t>
        </is>
      </c>
      <c r="H5" s="6" t="inlineStr">
        <is>
          <t>South Sumatra (Banyuasin)</t>
        </is>
      </c>
      <c r="I5" s="6" t="inlineStr">
        <is>
          <t>Private, small single-site palm company. Controlling shareholder PT Central Energi Pratama 49.73%.</t>
        </is>
      </c>
      <c r="J5" s="6" t="inlineStr">
        <is>
          <t>No disclosed subsidiaries; single-entity issuer focused on Banyuasin estates.</t>
        </is>
      </c>
      <c r="K5" s="6" t="inlineStr">
        <is>
          <t>PT Central Energi Pratama 49.73%, PT Anugerah Perkasa Semesta 7.49%, Kejaksaan Agung (Attorney General's Office) 6.07%, Public 36.71%</t>
        </is>
      </c>
      <c r="L5" s="6" t="inlineStr">
        <is>
          <t>Listed (IDX: ANDI) since 16 Aug 2018</t>
        </is>
      </c>
      <c r="M5" s="6" t="inlineStr">
        <is>
          <t>Oil palm plantation + single palm oil mill (CPO and PK production)</t>
        </is>
      </c>
      <c r="N5" s="6" t="n"/>
      <c r="O5" s="6" t="n"/>
      <c r="P5" s="6" t="n"/>
      <c r="Q5" s="6" t="inlineStr">
        <is>
          <t>Loss-making (net loss Rp10.8 bn in 2022, 3rd consecutive loss year); 14.9x normalized CPO price declines hurt margins; share price stuck at Rp50 (listing floor); small scale (~4,453 ha HGU); high leverage (gross debt Rp166 bn vs equity Rp239 bn); Kejaksaan Agung 6.07% ownership unusual (post-suspected-case asset restitution).</t>
        </is>
      </c>
      <c r="R5" s="6" t="inlineStr">
        <is>
          <t>Small single-site palm producer in South Sumatra; 2022 revenue Rp317.9 bn (-8%), gross profit Rp22.8 bn (-40%), operating loss Rp10.5 bn (vs profit Rp9.8 bn in 2021), net loss Rp10.8 bn. FFB processed 121,298 t, CPO 21,524 t, PK 5,759 t. Mill capacity 30 tph. Share price Rp50 at IDX floor. Low trading liquidity. Assets Rp444 bn, equity Rp239 bn, gross bank debt Rp166 bn.</t>
        </is>
      </c>
      <c r="S5" s="44" t="inlineStr">
        <is>
          <t>Upstream</t>
        </is>
      </c>
    </row>
    <row r="6" ht="15" customHeight="1" s="67">
      <c r="A6" s="6" t="inlineStr">
        <is>
          <t>PT Andira Agro Tbk</t>
        </is>
      </c>
      <c r="B6" s="6" t="inlineStr">
        <is>
          <t>ANDI</t>
        </is>
      </c>
      <c r="C6" s="6" t="inlineStr">
        <is>
          <t>IDX</t>
        </is>
      </c>
      <c r="D6" s="6" t="n">
        <v>2023</v>
      </c>
      <c r="E6" s="6" t="inlineStr">
        <is>
          <t>ANDI_2023_AR.pdf</t>
        </is>
      </c>
      <c r="F6" s="6" t="inlineStr">
        <is>
          <t>Jakarta, Indonesia (HO); Banyuasin, South Sumatra (operations)</t>
        </is>
      </c>
      <c r="G6" s="6" t="inlineStr">
        <is>
          <t>Indonesia</t>
        </is>
      </c>
      <c r="H6" s="6" t="inlineStr">
        <is>
          <t>South Sumatra (Banyuasin)</t>
        </is>
      </c>
      <c r="I6" s="6" t="inlineStr">
        <is>
          <t>Small single-site palm company. Controlling shareholder PT Central Energi Pratama 49.73%.</t>
        </is>
      </c>
      <c r="J6" s="6" t="inlineStr">
        <is>
          <t>No disclosed subsidiaries.</t>
        </is>
      </c>
      <c r="K6" s="6" t="inlineStr">
        <is>
          <t>PT Central Energi Pratama 49.73%, PT Anugerah Perkasa Semesta 7.49%, Kejaksaan Agung 6.07%, Public 36.71% (unchanged from 2022)</t>
        </is>
      </c>
      <c r="L6" s="6" t="inlineStr">
        <is>
          <t>Listed (IDX: ANDI) since 16 Aug 2018</t>
        </is>
      </c>
      <c r="M6" s="6" t="inlineStr">
        <is>
          <t>Oil palm plantation + single palm oil mill (CPO and PK)</t>
        </is>
      </c>
      <c r="N6" s="6" t="n"/>
      <c r="O6" s="6" t="n"/>
      <c r="P6" s="6" t="n"/>
      <c r="Q6" s="6" t="inlineStr">
        <is>
          <t>Deteriorating: revenue -31% to Rp219.9 bn, gross profit collapsed -99% to Rp0.22 bn, operating loss Rp63.1 bn (vs Rp10.5 bn 2022), net loss Rp56.0 bn (vs Rp10.8 bn). D/E 1.069x. Current ratio 0.58 - liquidity warning. Equity -23% to Rp182.7 bn. FFB volume -18% to 99,141 t; CPO -20% to 17,178 t.</t>
        </is>
      </c>
      <c r="R6" s="6" t="inlineStr">
        <is>
          <t>Steep deterioration in 2023: revenue declined as CPO &amp; PK volumes shrank and prices eased. Gross margin fell from 7.2% to 0.1%. Large operating loss. Current ratio below 1x. Equity shrinking from accumulated losses. Share price unchanged at Rp50 (listing floor). High risk, possible going concern concern if trend continues.</t>
        </is>
      </c>
      <c r="S6" s="44" t="inlineStr">
        <is>
          <t>Upstream</t>
        </is>
      </c>
    </row>
    <row r="7" ht="15" customHeight="1" s="67">
      <c r="A7" s="6" t="inlineStr">
        <is>
          <t>PT Andira Agro Tbk</t>
        </is>
      </c>
      <c r="B7" s="6" t="inlineStr">
        <is>
          <t>ANDI</t>
        </is>
      </c>
      <c r="C7" s="6" t="inlineStr">
        <is>
          <t>IDX</t>
        </is>
      </c>
      <c r="D7" s="6" t="n">
        <v>2024</v>
      </c>
      <c r="E7" s="6" t="inlineStr">
        <is>
          <t>ANDI_2024_AR.pdf</t>
        </is>
      </c>
      <c r="F7" s="6" t="inlineStr">
        <is>
          <t>Jakarta, Indonesia (HO); Banyuasin, South Sumatra (operations)</t>
        </is>
      </c>
      <c r="G7" s="6" t="inlineStr">
        <is>
          <t>Indonesia</t>
        </is>
      </c>
      <c r="H7" s="6" t="inlineStr">
        <is>
          <t>South Sumatra (Banyuasin)</t>
        </is>
      </c>
      <c r="I7" s="6" t="inlineStr">
        <is>
          <t>Small single-site palm company. Controlling shareholder PT Central Energi Pratama 49.73%.</t>
        </is>
      </c>
      <c r="J7" s="6" t="inlineStr">
        <is>
          <t>No disclosed subsidiaries.</t>
        </is>
      </c>
      <c r="K7" s="6" t="inlineStr">
        <is>
          <t>PT Central Energi Pratama ~49.73%, PT Anugerah Perkasa Semesta ~7.49%, Kejaksaan Agung ~6.07%, Public ~36.71% (per 2023; 2024 page 64 disclosure)</t>
        </is>
      </c>
      <c r="L7" s="6" t="inlineStr">
        <is>
          <t>Listed (IDX: ANDI) since 16 Aug 2018</t>
        </is>
      </c>
      <c r="M7" s="6" t="inlineStr">
        <is>
          <t>Oil palm plantation + single palm oil mill (CPO, PK, cangkang)</t>
        </is>
      </c>
      <c r="N7" s="6" t="n"/>
      <c r="O7" s="6" t="n"/>
      <c r="P7" s="6" t="n"/>
      <c r="Q7" s="6" t="inlineStr">
        <is>
          <t>Severe share price collapse: Rp50 -&gt; Rp6 (from Q2 2024); market cap shrank from Rp467.5 bn to Rp56.1 bn. 3rd straight year of losses. Revenue -11% to Rp196.7 bn. Gross profit negative (-Rp12.0 bn, GP margin -6.08%). Operating loss Rp34.6 bn. Net loss Rp23.1 bn. D/E rose to 1.19x. FFB volume -27% to 71,988 t. Current ratio 0.77. Receivables collection period ballooned from 77 to 323 days - major working capital stress.</t>
        </is>
      </c>
      <c r="R7" s="6" t="inlineStr">
        <is>
          <t>PT Andira Agro continued to deteriorate in 2024; FFB volume down to 72k t, CPO down to 11,546 t. Share price collapsed from listing floor Rp50 to Rp6 in Q2-Q4. Working capital severely stressed (receivable days 323). Still loss-making with deeply negative gross margin. Going concern risk elevated.</t>
        </is>
      </c>
      <c r="S7" s="44" t="inlineStr">
        <is>
          <t>Upstream</t>
        </is>
      </c>
    </row>
    <row r="8" ht="15" customHeight="1" s="67">
      <c r="A8" s="6" t="inlineStr">
        <is>
          <t>PT Austindo Nusantara Jaya Tbk</t>
        </is>
      </c>
      <c r="B8" s="6" t="inlineStr">
        <is>
          <t>ANJT</t>
        </is>
      </c>
      <c r="C8" s="6" t="inlineStr">
        <is>
          <t>IDX</t>
        </is>
      </c>
      <c r="D8" s="6" t="n">
        <v>2023</v>
      </c>
      <c r="E8" s="6" t="inlineStr">
        <is>
          <t>ANJT_2022_AR.pdf</t>
        </is>
      </c>
      <c r="F8" s="6" t="inlineStr">
        <is>
          <t>Jakarta, Indonesia</t>
        </is>
      </c>
      <c r="G8" s="6" t="inlineStr">
        <is>
          <t>Indonesia</t>
        </is>
      </c>
      <c r="H8" s="6" t="inlineStr">
        <is>
          <t>Sumatra/Kalimantan/Bangka Belitung/Southwest Papua</t>
        </is>
      </c>
      <c r="I8" s="6" t="inlineStr">
        <is>
          <t>Controlled by Tahija family via PT Memimpin Dengan Nurani (40.85%), PT Austindo Kencana Jaya (40.85%), George &amp; Sjakon Tahija (4.74% each); Public 8.83%</t>
        </is>
      </c>
      <c r="J8" s="6" t="inlineStr">
        <is>
          <t>ANJA, ANJAS, SMM, KAL, GSB, PPM, PMP, ANJAP, LSP, AANE, GMIT, ANJB</t>
        </is>
      </c>
      <c r="K8" s="6" t="inlineStr">
        <is>
          <t>Tahija family ~91%; Public ~9%; Foundation (Yayasan Tahija) 0.0003%</t>
        </is>
      </c>
      <c r="L8" s="6" t="inlineStr">
        <is>
          <t>Listed (IDX: ANJT) since May 8, 2013</t>
        </is>
      </c>
      <c r="M8" s="6" t="inlineStr">
        <is>
          <t>Palm oil plantation (upstream) + mills, sago, edamame, biogas renewable energy</t>
        </is>
      </c>
      <c r="N8" s="6" t="n"/>
      <c r="O8" s="6" t="n"/>
      <c r="P8" s="6" t="n"/>
      <c r="Q8" s="6" t="inlineStr">
        <is>
          <t>FY2023 net profit collapsed to USD 1.9mn (-91% YoY) on lower CPO ASP and higher interest/depreciation</t>
        </is>
      </c>
      <c r="R8" s="6" t="inlineStr">
        <is>
          <t>Filename ANJT_2022_AR.txt actually corresponds to the 2023 Annual Report; primary year extracted is 2023. Reports in USD; converted to IDR bn at year-end rate ~15,394 IDR/USD.</t>
        </is>
      </c>
      <c r="S8" s="44" t="inlineStr">
        <is>
          <t>Integrated</t>
        </is>
      </c>
    </row>
    <row r="9" ht="15" customHeight="1" s="67">
      <c r="A9" s="6" t="inlineStr">
        <is>
          <t>PT Austindo Nusantara Jaya Tbk</t>
        </is>
      </c>
      <c r="B9" s="6" t="inlineStr">
        <is>
          <t>ANJT</t>
        </is>
      </c>
      <c r="C9" s="6" t="inlineStr">
        <is>
          <t>IDX</t>
        </is>
      </c>
      <c r="D9" s="6" t="n">
        <v>2022</v>
      </c>
      <c r="E9" s="6" t="inlineStr">
        <is>
          <t>ANJT_2023_AR.pdf</t>
        </is>
      </c>
      <c r="F9" s="6" t="inlineStr">
        <is>
          <t>Jakarta, Indonesia</t>
        </is>
      </c>
      <c r="G9" s="6" t="inlineStr">
        <is>
          <t>Indonesia</t>
        </is>
      </c>
      <c r="H9" s="6" t="inlineStr">
        <is>
          <t>Sumatra/Kalimantan/Bangka Belitung/Southwest Papua</t>
        </is>
      </c>
      <c r="I9" s="6" t="inlineStr">
        <is>
          <t>Controlled by Tahija family via PT Memimpin Dengan Nurani, PT Austindo Kencana Jaya, and individual Tahija holdings</t>
        </is>
      </c>
      <c r="J9" s="6" t="inlineStr">
        <is>
          <t>ANJA, ANJAS, SMM, KAL, GSB, PPM, PMP, ANJAP, LSP, AANE, GMIT, ANJB</t>
        </is>
      </c>
      <c r="K9" s="6" t="inlineStr">
        <is>
          <t>Tahija family ~91%; Public ~9%</t>
        </is>
      </c>
      <c r="L9" s="6" t="inlineStr">
        <is>
          <t>Listed (IDX: ANJT) since May 8, 2013</t>
        </is>
      </c>
      <c r="M9" s="6" t="inlineStr">
        <is>
          <t>Palm oil plantation (upstream) + mills, sago, edamame, renewable energy</t>
        </is>
      </c>
      <c r="N9" s="6" t="n"/>
      <c r="O9" s="6" t="n"/>
      <c r="P9" s="6" t="n"/>
      <c r="Q9" s="6" t="inlineStr">
        <is>
          <t>2022 profit halved vs 2021 (USD 21.2mn vs 36.6mn) on lower CPO ASP; consistent plasma share stagnating</t>
        </is>
      </c>
      <c r="R9" s="6" t="inlineStr">
        <is>
          <t>Filename ANJT_2023_AR.txt corresponds to FY2022 Annual Report. Primary year = 2022. Reports in USD; converted at year-end 2022 ~15,568 IDR/USD.</t>
        </is>
      </c>
      <c r="S9" s="44" t="inlineStr">
        <is>
          <t>Integrated</t>
        </is>
      </c>
    </row>
    <row r="10" ht="15" customHeight="1" s="67">
      <c r="A10" s="6" t="inlineStr">
        <is>
          <t>PT Austindo Nusantara Jaya Tbk</t>
        </is>
      </c>
      <c r="B10" s="6" t="inlineStr">
        <is>
          <t>ANJT</t>
        </is>
      </c>
      <c r="C10" s="6" t="inlineStr">
        <is>
          <t>IDX</t>
        </is>
      </c>
      <c r="D10" s="6" t="n">
        <v>2024</v>
      </c>
      <c r="E10" s="6" t="inlineStr">
        <is>
          <t>ANJT_2024_AR.pdf</t>
        </is>
      </c>
      <c r="F10" s="6" t="inlineStr">
        <is>
          <t>Jakarta, Indonesia</t>
        </is>
      </c>
      <c r="G10" s="6" t="inlineStr">
        <is>
          <t>Indonesia</t>
        </is>
      </c>
      <c r="H10" s="6" t="inlineStr">
        <is>
          <t>Sumatra/Kalimantan/Bangka Belitung/Southwest Papua</t>
        </is>
      </c>
      <c r="I10" s="6" t="inlineStr">
        <is>
          <t>Controlled by Tahija family via PT Memimpin Dengan Nurani, PT Austindo Kencana Jaya, and individual Tahija holdings</t>
        </is>
      </c>
      <c r="J10" s="6" t="inlineStr">
        <is>
          <t>ANJA, ANJAS, SMM, KAL, GSB, PPM, PMP, ANJAP, LSP, AANE, GMIT, ANJB</t>
        </is>
      </c>
      <c r="K10" s="6" t="inlineStr">
        <is>
          <t>Tahija family ~91%; Public ~9%</t>
        </is>
      </c>
      <c r="L10" s="6" t="inlineStr">
        <is>
          <t>Listed (IDX: ANJT) since May 8, 2013</t>
        </is>
      </c>
      <c r="M10" s="6" t="inlineStr">
        <is>
          <t>Palm oil plantation (upstream) + 5 mills, sago concession, edamame, biogas renewable energy</t>
        </is>
      </c>
      <c r="N10" s="6" t="n"/>
      <c r="O10" s="6" t="n"/>
      <c r="P10" s="6" t="n"/>
      <c r="Q10" s="6" t="inlineStr">
        <is>
          <t>FFB production -11.7% YoY due to El Nino aftermath; North Sumatra II plantation suffered flooding; CPO production -13.5% YoY</t>
        </is>
      </c>
      <c r="R10" s="6" t="inlineStr">
        <is>
          <t>2024 was a recovery year with net income +107% YoY but FFB production down sharply from 2023 due to weather. Reports in USD; converted at ~16,162 IDR/USD year-end 2024.</t>
        </is>
      </c>
      <c r="S10" s="44" t="inlineStr">
        <is>
          <t>Integrated</t>
        </is>
      </c>
    </row>
    <row r="11" ht="15" customHeight="1" s="67">
      <c r="A11" s="6" t="inlineStr">
        <is>
          <t>PT BISI International Tbk</t>
        </is>
      </c>
      <c r="B11" s="6" t="inlineStr">
        <is>
          <t>BISI</t>
        </is>
      </c>
      <c r="C11" s="6" t="inlineStr">
        <is>
          <t>IDX</t>
        </is>
      </c>
      <c r="D11" s="6" t="n">
        <v>2023</v>
      </c>
      <c r="E11" s="6" t="inlineStr">
        <is>
          <t>BISI_2023_AR.pdf</t>
        </is>
      </c>
      <c r="F11" s="6" t="inlineStr">
        <is>
          <t>Sidoarjo, East Java, Indonesia</t>
        </is>
      </c>
      <c r="G11" s="6" t="inlineStr">
        <is>
          <t>Indonesia</t>
        </is>
      </c>
      <c r="H11" s="6" t="inlineStr">
        <is>
          <t>Java (East Java HQ) - nationwide sales in Indonesia</t>
        </is>
      </c>
      <c r="I11" s="6" t="inlineStr">
        <is>
          <t>Part of Charoen Pokphand Group (Jiaravanon family controlling shareholder). Subsidiaries: PT Multi Sarana Indotani (99.91%), PT Tanindo Intertraco (99.96%)</t>
        </is>
      </c>
      <c r="J11" s="6" t="inlineStr">
        <is>
          <t>PT Multi Sarana Indotani (pesticide), PT Tanindo Intertraco (fertilizer/pesticide trading)</t>
        </is>
      </c>
      <c r="K11" s="6" t="inlineStr">
        <is>
          <t>PT Agrindo Pratama 31.00%; Field Investment Holdings 6.36%; Valley Investment Holdings 6.36%; Vista Investment Holdings 6.36%; SJ BISI Holdings 4.08%; Public 45.73% (Jiaravanon family control ~54%)</t>
        </is>
      </c>
      <c r="L11" s="6" t="inlineStr">
        <is>
          <t>Listed (IDX: BISI)</t>
        </is>
      </c>
      <c r="M11" s="6" t="inlineStr">
        <is>
          <t>Hybrid seed producer (corn, horticulture, rice) + pesticides + fertilizers - NOT palm oil</t>
        </is>
      </c>
      <c r="N11" s="6" t="n"/>
      <c r="O11" s="6" t="n"/>
      <c r="P11" s="6" t="n"/>
      <c r="Q11" s="6" t="inlineStr">
        <is>
          <t>Palm-specific operational metrics are N/A (BISI is a seeds/agritech company, not palm plantation). Revenue fell 4.86% on adverse weather affecting corn seed production</t>
        </is>
      </c>
      <c r="R11" s="6" t="inlineStr">
        <is>
          <t>BISI is a hybrid seeds and agrochemicals company affiliated with PT Charoen Pokphand Indonesia (offtaker). No palm plantation/mill operations; palm-specific fields left empty.</t>
        </is>
      </c>
      <c r="S11" s="44" t="inlineStr">
        <is>
          <t>Other</t>
        </is>
      </c>
    </row>
    <row r="12" ht="15" customHeight="1" s="67">
      <c r="A12" s="6" t="inlineStr">
        <is>
          <t>PT BISI International Tbk</t>
        </is>
      </c>
      <c r="B12" s="6" t="inlineStr">
        <is>
          <t>BISI</t>
        </is>
      </c>
      <c r="C12" s="6" t="inlineStr">
        <is>
          <t>IDX</t>
        </is>
      </c>
      <c r="D12" s="6" t="n">
        <v>2024</v>
      </c>
      <c r="E12" s="6" t="inlineStr">
        <is>
          <t>BISI_2024_AR.pdf</t>
        </is>
      </c>
      <c r="F12" s="6" t="inlineStr">
        <is>
          <t>Sidoarjo, East Java, Indonesia</t>
        </is>
      </c>
      <c r="G12" s="6" t="inlineStr">
        <is>
          <t>Indonesia</t>
        </is>
      </c>
      <c r="H12" s="6" t="inlineStr">
        <is>
          <t>Java (East Java HQ) - nationwide sales in Indonesia</t>
        </is>
      </c>
      <c r="I12" s="6" t="inlineStr">
        <is>
          <t>Part of Charoen Pokphand Group (Jiaravanon family controlling shareholder). Subsidiaries: PT Multi Sarana Indotani, PT Tanindo Intertraco</t>
        </is>
      </c>
      <c r="J12" s="6" t="inlineStr">
        <is>
          <t>PT Multi Sarana Indotani (pesticide), PT Tanindo Intertraco (fertilizer/pesticide trading)</t>
        </is>
      </c>
      <c r="K12" s="6" t="inlineStr">
        <is>
          <t>PT Agrindo Pratama 31.00%; Field/Valley/Vista Investment Holdings 6.36% each; SJ BISI Holdings 4.08%; Public ~45.7% (Jiaravanon family control)</t>
        </is>
      </c>
      <c r="L12" s="6" t="inlineStr">
        <is>
          <t>Listed (IDX: BISI)</t>
        </is>
      </c>
      <c r="M12" s="6" t="inlineStr">
        <is>
          <t>Hybrid seed producer (corn, horticulture, rice) + pesticides + fertilizers</t>
        </is>
      </c>
      <c r="N12" s="6" t="n"/>
      <c r="O12" s="6" t="n"/>
      <c r="P12" s="6" t="n"/>
      <c r="Q12" s="6" t="inlineStr">
        <is>
          <t>Revenue collapsed 40%; net profit -70% YoY due to weather-driven reduction in corn seed sales; operating CF was negative Rp 146 bn in 2024</t>
        </is>
      </c>
      <c r="R12" s="6" t="inlineStr">
        <is>
          <t>BISI is a seeds/agritech company, not palm oil; palm-specific operational fields are N/A. 2024 was a weak year due to adverse weather and delayed planting seasons.</t>
        </is>
      </c>
      <c r="S12" s="44" t="inlineStr">
        <is>
          <t>Other</t>
        </is>
      </c>
    </row>
    <row r="13" ht="15" customHeight="1" s="67">
      <c r="A13" s="6" t="inlineStr">
        <is>
          <t>PT BISI International Tbk</t>
        </is>
      </c>
      <c r="B13" s="6" t="inlineStr">
        <is>
          <t>BISI</t>
        </is>
      </c>
      <c r="C13" s="6" t="inlineStr">
        <is>
          <t>IDX</t>
        </is>
      </c>
      <c r="D13" s="6" t="n">
        <v>2025</v>
      </c>
      <c r="E13" s="6" t="inlineStr">
        <is>
          <t>BISI_2025_AR.pdf</t>
        </is>
      </c>
      <c r="F13" s="6" t="inlineStr">
        <is>
          <t>Sidoarjo, East Java, Indonesia</t>
        </is>
      </c>
      <c r="G13" s="6" t="inlineStr">
        <is>
          <t>Indonesia</t>
        </is>
      </c>
      <c r="H13" s="6" t="inlineStr">
        <is>
          <t>Java (East Java HQ) - nationwide sales in Indonesia</t>
        </is>
      </c>
      <c r="I13" s="6" t="inlineStr">
        <is>
          <t>Part of Charoen Pokphand Group (Jiaravanon family controlling shareholder)</t>
        </is>
      </c>
      <c r="J13" s="6" t="inlineStr">
        <is>
          <t>Subsidiaries from prior AR: PT Multi Sarana Indotani, PT Tanindo Intertraco</t>
        </is>
      </c>
      <c r="K13" s="6" t="inlineStr">
        <is>
          <t>Controlled by Jiaravanon family via PT Agrindo Pratama (31%) and BVI holding companies</t>
        </is>
      </c>
      <c r="L13" s="6" t="inlineStr">
        <is>
          <t>Listed (IDX: BISI)</t>
        </is>
      </c>
      <c r="M13" s="6" t="inlineStr">
        <is>
          <t>Hybrid seed producer (corn, horticulture, rice) + pesticides + fertilizers</t>
        </is>
      </c>
      <c r="N13" s="6" t="n"/>
      <c r="O13" s="6" t="n"/>
      <c r="P13" s="6" t="n"/>
      <c r="Q13" s="6" t="inlineStr">
        <is>
          <t>Source file is consolidated financial statements only (audited FS, not full Annual Report). Operating CF still negative at Rp -263 bn in 2025; cash position fell sharply from Rp 568 bn to Rp 167 bn</t>
        </is>
      </c>
      <c r="R13" s="6" t="inlineStr">
        <is>
          <t>BISI_2025 source is only the consolidated audited financial statements (not a full AR). Operational/ESG sections not available. Revenue recovered 24% YoY to Rp 1,696 bn.</t>
        </is>
      </c>
      <c r="S13" s="44" t="inlineStr">
        <is>
          <t>Other</t>
        </is>
      </c>
    </row>
    <row r="14" ht="15" customHeight="1" s="67">
      <c r="A14" s="6" t="inlineStr">
        <is>
          <t>PT Bumi Teknokultura Unggul Tbk</t>
        </is>
      </c>
      <c r="B14" s="6" t="inlineStr">
        <is>
          <t>BTEK</t>
        </is>
      </c>
      <c r="C14" s="6" t="inlineStr">
        <is>
          <t>IDX</t>
        </is>
      </c>
      <c r="D14" s="6" t="n">
        <v>2022</v>
      </c>
      <c r="E14" s="6" t="inlineStr">
        <is>
          <t>BTEK_2022_AR.pdf</t>
        </is>
      </c>
      <c r="F14" s="6" t="inlineStr">
        <is>
          <t>Jakarta Timur, Indonesia</t>
        </is>
      </c>
      <c r="G14" s="6" t="inlineStr">
        <is>
          <t>Indonesia</t>
        </is>
      </c>
      <c r="H14" s="6" t="inlineStr">
        <is>
          <t>Java (Tangerang) - cocoa processing</t>
        </is>
      </c>
      <c r="I14" s="6" t="inlineStr">
        <is>
          <t>Holding company with subsidiary PT Golden Harvest Cocoa Indonesia (cocoa bean processing); also owns Golden Harvest Cocoa Pte. Ltd. (Singapore).</t>
        </is>
      </c>
      <c r="J14" s="6" t="inlineStr">
        <is>
          <t>PT Golden Harvest Cocoa Indonesia; Golden Harvest Cocoa Pte. Ltd.</t>
        </is>
      </c>
      <c r="K14" s="6" t="inlineStr">
        <is>
          <t>Golden Harvest Cocoa Ltd 41.59%; Kejaksaan Agung 5.25%; public &lt;5%.</t>
        </is>
      </c>
      <c r="L14" s="6" t="inlineStr">
        <is>
          <t>Listed (IDX: BTEK)</t>
        </is>
      </c>
      <c r="M14" s="6" t="inlineStr">
        <is>
          <t>Cocoa bean processing (cocoa butter, cocoa cake, cocoa powder). Not a palm-oil producer.</t>
        </is>
      </c>
      <c r="N14" s="6" t="n"/>
      <c r="O14" s="6" t="n"/>
      <c r="P14" s="6" t="n"/>
      <c r="Q14" s="6" t="inlineStr">
        <is>
          <t>Not a palm oil company despite inclusion in palm longlist; cocoa processing. Current ratio 0.35, DER 2.44x, bank loans Rp 2,478 bn vs total equity Rp 1,203 bn; gross loss and net comprehensive loss Rp 358.68 bn (2022).</t>
        </is>
      </c>
      <c r="R14" s="6" t="inlineStr">
        <is>
          <t>BTEK is a cocoa (kakao) bean processor, not a palm oil producer. Financial statement in raw rupiah (header 'dalam Ribuan Rupiah' appears mislabeled; narrative figures confirm raw rupiah). Heavy leverage, continued losses.</t>
        </is>
      </c>
      <c r="S14" s="44" t="inlineStr">
        <is>
          <t>Other</t>
        </is>
      </c>
    </row>
    <row r="15" ht="15" customHeight="1" s="67">
      <c r="A15" s="6" t="inlineStr">
        <is>
          <t>PT Bumi Teknokultura Unggul Tbk</t>
        </is>
      </c>
      <c r="B15" s="6" t="inlineStr">
        <is>
          <t>BTEK</t>
        </is>
      </c>
      <c r="C15" s="6" t="inlineStr">
        <is>
          <t>IDX</t>
        </is>
      </c>
      <c r="D15" s="6" t="n">
        <v>2023</v>
      </c>
      <c r="E15" s="6" t="inlineStr">
        <is>
          <t>BTEK_2023_AR.pdf</t>
        </is>
      </c>
      <c r="F15" s="6" t="inlineStr">
        <is>
          <t>Jakarta Timur, Indonesia</t>
        </is>
      </c>
      <c r="G15" s="6" t="inlineStr">
        <is>
          <t>Indonesia</t>
        </is>
      </c>
      <c r="H15" s="6" t="inlineStr">
        <is>
          <t>Java - Serang, Banten (GHCI cocoa plant)</t>
        </is>
      </c>
      <c r="I15" s="6" t="inlineStr">
        <is>
          <t>Holding company with subsidiary PT Golden Harvest Cocoa Indonesia (GHCI); also owns Golden Harvest Cocoa Pte. Ltd.</t>
        </is>
      </c>
      <c r="J15" s="6" t="inlineStr">
        <is>
          <t>PT Golden Harvest Cocoa Indonesia; Golden Harvest Cocoa Pte. Ltd.</t>
        </is>
      </c>
      <c r="K15" s="6" t="inlineStr">
        <is>
          <t>Golden Harvest Cocoa Ltd 41.59%; Kejaksaan Agung 5.25%; public &lt;5%.</t>
        </is>
      </c>
      <c r="L15" s="6" t="inlineStr">
        <is>
          <t>Listed (IDX: BTEK)</t>
        </is>
      </c>
      <c r="M15" s="6" t="inlineStr">
        <is>
          <t>Cocoa bean processing (cocoa butter, cake, powder). Not palm oil.</t>
        </is>
      </c>
      <c r="N15" s="6" t="n"/>
      <c r="O15" s="6" t="n"/>
      <c r="P15" s="6" t="n"/>
      <c r="Q15" s="6" t="inlineStr">
        <is>
          <t>Continued losses; current ratio 0.20; DER 2.67x; bank loans Rp 2,413.69 bn; revenue Rp 196.67 bn vs COGS Rp 202.70 bn. Not a palm oil company.</t>
        </is>
      </c>
      <c r="R15" s="6" t="inlineStr">
        <is>
          <t>2023 revenue +28.1% YoY (IDR 196.67 bn), gross loss narrowed. Production increased materially (butter 12,152 MT, cake 13,101 MT, powder 1,737 MT). Figures are raw rupiah despite 'dalam Ribuan Rupiah' header (consistency check via EPS -2.46 = -114 bn / 46.28 bn shares).</t>
        </is>
      </c>
      <c r="S15" s="44" t="inlineStr">
        <is>
          <t>Other</t>
        </is>
      </c>
    </row>
    <row r="16" ht="15" customHeight="1" s="67">
      <c r="A16" s="6" t="inlineStr">
        <is>
          <t>PT Bumi Teknokultura Unggul Tbk</t>
        </is>
      </c>
      <c r="B16" s="6" t="inlineStr">
        <is>
          <t>BTEK</t>
        </is>
      </c>
      <c r="C16" s="6" t="inlineStr">
        <is>
          <t>IDX</t>
        </is>
      </c>
      <c r="D16" s="6" t="n">
        <v>2024</v>
      </c>
      <c r="E16" s="6" t="inlineStr">
        <is>
          <t>BTEK_2024_AR.pdf</t>
        </is>
      </c>
      <c r="F16" s="6" t="inlineStr">
        <is>
          <t>Jakarta Timur, Indonesia</t>
        </is>
      </c>
      <c r="G16" s="6" t="inlineStr">
        <is>
          <t>Indonesia</t>
        </is>
      </c>
      <c r="H16" s="6" t="inlineStr">
        <is>
          <t>Java - Serang, Banten (GHCI cocoa plant)</t>
        </is>
      </c>
      <c r="I16" s="6" t="inlineStr">
        <is>
          <t>Holding company with subsidiary PT Golden Harvest Cocoa Indonesia (GHCI), cocoa bean processing.</t>
        </is>
      </c>
      <c r="J16" s="6" t="inlineStr">
        <is>
          <t>PT Golden Harvest Cocoa Indonesia; Golden Harvest Cocoa Pte. Ltd.</t>
        </is>
      </c>
      <c r="K16" s="6" t="inlineStr">
        <is>
          <t>Golden Harvest Cocoa Ltd ~41.59%; Kejaksaan Agung ~5.25%; public &lt;5%.</t>
        </is>
      </c>
      <c r="L16" s="6" t="inlineStr">
        <is>
          <t>Listed (IDX: BTEK)</t>
        </is>
      </c>
      <c r="M16" s="6" t="inlineStr">
        <is>
          <t>Cocoa bean processing (butter, cake, powder). Not palm oil.</t>
        </is>
      </c>
      <c r="N16" s="6" t="n"/>
      <c r="O16" s="6" t="n"/>
      <c r="P16" s="6" t="n"/>
      <c r="Q16" s="6" t="inlineStr">
        <is>
          <t>Massive 2024 net loss Rp 719.27 bn (driven by impairments/deferred-tax adj); equity crashed from Rp 1,107 bn (2023) to Rp 462.5 bn; DER 7.42x; share price collapsed from Rp 50 to Rp 3. Not palm oil.</t>
        </is>
      </c>
      <c r="R16" s="6" t="inlineStr">
        <is>
          <t>2024 revenue tripled to IDR 635.63 bn (3x YoY) as processing volumes rose (butter 14,861 MT, cake 19,196 MT, powder 6,352 MT), yet gross loss widened and net loss was IDR 719 bn. Share price collapsed to Rp 3-4 in H2-2024. Raw rupiah figures (statements 'Disajikan dalam Rupiah').</t>
        </is>
      </c>
      <c r="S16" s="44" t="inlineStr">
        <is>
          <t>Other</t>
        </is>
      </c>
    </row>
    <row r="17" ht="15" customHeight="1" s="67">
      <c r="A17" s="6" t="inlineStr">
        <is>
          <t>PT Eagle High Plantations Tbk</t>
        </is>
      </c>
      <c r="B17" s="6" t="inlineStr">
        <is>
          <t>BWPT</t>
        </is>
      </c>
      <c r="C17" s="6" t="inlineStr">
        <is>
          <t>IDX</t>
        </is>
      </c>
      <c r="D17" s="6" t="n">
        <v>2023</v>
      </c>
      <c r="E17" s="6" t="inlineStr">
        <is>
          <t>BWPT_2023_AR.pdf</t>
        </is>
      </c>
      <c r="F17" s="6" t="inlineStr">
        <is>
          <t>Jakarta, Indonesia</t>
        </is>
      </c>
      <c r="G17" s="6" t="inlineStr">
        <is>
          <t>Indonesia</t>
        </is>
      </c>
      <c r="H17" s="6" t="inlineStr">
        <is>
          <t>Kalimantan (major), Papua, Sumatra</t>
        </is>
      </c>
      <c r="I17" s="6" t="inlineStr">
        <is>
          <t>Owned by Green Eagle Holdings (Singapore) ~37.84%, FIC Properties Sdn Bhd ~37.00%, PT Rajawali Capital International; numerous subsidiaries holding estates in Kalimantan, Sumatra, Papua.</t>
        </is>
      </c>
      <c r="J17" s="6" t="inlineStr">
        <is>
          <t>BHL, BLP, ADS, PLS, SGA, JMS, MSP, SHM, SGSS, PAK, MAJ, STP, VMA, SKS, TSP, PSR, GEH, GES, SMS, KAPAG, PBM (plantation SPVs).</t>
        </is>
      </c>
      <c r="K17" s="6" t="inlineStr">
        <is>
          <t>Green Eagle Holdings 37.84%; FIC Properties 37.00%; Rajawali Capital ~? public ~25.30%.</t>
        </is>
      </c>
      <c r="L17" s="6" t="inlineStr">
        <is>
          <t>Listed (IDX: BWPT)</t>
        </is>
      </c>
      <c r="M17" s="6" t="inlineStr">
        <is>
          <t>Oil palm plantations and palm oil mills (CPO, PK).</t>
        </is>
      </c>
      <c r="N17" s="6" t="n"/>
      <c r="O17" s="6" t="n"/>
      <c r="P17" s="6" t="n"/>
      <c r="Q17" s="6" t="inlineStr">
        <is>
          <t>DER 3.65x (equity-depleted via prior-year impairments); total comprehensive income only Rp152.5 bn on Rp4.2 tn revenue; loan-to-EBITDA 4.54x; zero immature area reported (all planted area stated as mature); no dividends.</t>
        </is>
      </c>
      <c r="R17" s="6" t="inlineStr">
        <is>
          <t>2023: revenue fell 8% to Rp 4,204.6 bn on lower CPO/PK prices; CPO volume +4% YoY, PK +5%. Capex Rp 279 bn. Controls 87,000 ha planted (Kalimantan 73k ha, Papua 12k, Sumatra 2k), 7 mills @ 370 tph. FFB processed 1.36 Mt (80% internal / 20% third party). Financials in IDR million.</t>
        </is>
      </c>
      <c r="S17" s="44" t="inlineStr">
        <is>
          <t>Upstream</t>
        </is>
      </c>
    </row>
    <row r="18" ht="15" customHeight="1" s="67">
      <c r="A18" s="6" t="inlineStr">
        <is>
          <t>PT Eagle High Plantations Tbk</t>
        </is>
      </c>
      <c r="B18" s="6" t="inlineStr">
        <is>
          <t>BWPT</t>
        </is>
      </c>
      <c r="C18" s="6" t="inlineStr">
        <is>
          <t>IDX</t>
        </is>
      </c>
      <c r="D18" s="6" t="n">
        <v>2024</v>
      </c>
      <c r="E18" s="6" t="inlineStr">
        <is>
          <t>BWPT_2024_AR.pdf</t>
        </is>
      </c>
      <c r="F18" s="6" t="inlineStr">
        <is>
          <t>Jakarta, Indonesia</t>
        </is>
      </c>
      <c r="G18" s="6" t="inlineStr">
        <is>
          <t>Indonesia</t>
        </is>
      </c>
      <c r="H18" s="6" t="inlineStr">
        <is>
          <t>Kalimantan (major), Papua, Sumatra</t>
        </is>
      </c>
      <c r="I18" s="6" t="inlineStr">
        <is>
          <t>Green Eagle Holdings (Singapore), FIC Properties Sdn Bhd, and PT Rajawali Capital International are major shareholders; operating via ~21 subsidiaries in Kalimantan, Sumatra, Papua.</t>
        </is>
      </c>
      <c r="J18" s="6" t="inlineStr">
        <is>
          <t>BHL, BLP, ADS, PLS, SGA, JMS, MSP, SHM, SGSS, PAK, MAJ, STP, VMA, SKS, TSP, PSR, GEH, GES, SMS, KAPAG, PBM.</t>
        </is>
      </c>
      <c r="K18" s="6" t="inlineStr">
        <is>
          <t>Green Eagle Holdings 37.84%; FIC Properties 37.00%; public ~25.3%.</t>
        </is>
      </c>
      <c r="L18" s="6" t="inlineStr">
        <is>
          <t>Listed (IDX: BWPT)</t>
        </is>
      </c>
      <c r="M18" s="6" t="inlineStr">
        <is>
          <t>Oil palm plantations and palm oil mills (CPO, PK).</t>
        </is>
      </c>
      <c r="N18" s="6" t="n"/>
      <c r="O18" s="6" t="n"/>
      <c r="P18" s="6" t="n"/>
      <c r="Q18" s="6" t="inlineStr">
        <is>
          <t>Accumulated deficit Rp 4,070 bn; bank loans Rp 3,898 bn + newly issued bonds Rp 61.55 bn; Loan/EBITDA 3.14x; 2024 CPO output down 17.6% YoY to 263,657 t on weaker FFB supply (-8.7% to 1,041,515 t).</t>
        </is>
      </c>
      <c r="R18" s="6" t="inlineStr">
        <is>
          <t>2024 revenue Rp 4,302.7 bn (+2.3% YoY) on higher CPO price Rp 12,515/kg (+13.6%) despite volume decline. Net profit Rp 272.1 bn (+70% YoY). Issued Bond I Phase I Rp 61.845 bn (Jun 2024). 3 RSPO-certified estates (34,870 ha); 10 ISPO-certified operations (69,464 ha). Statements in IDR million.</t>
        </is>
      </c>
      <c r="S18" s="44" t="inlineStr">
        <is>
          <t>Upstream</t>
        </is>
      </c>
    </row>
    <row r="19" ht="15" customHeight="1" s="67">
      <c r="A19" s="6" t="inlineStr">
        <is>
          <t>PT Eagle High Plantations Tbk</t>
        </is>
      </c>
      <c r="B19" s="6" t="inlineStr">
        <is>
          <t>BWPT</t>
        </is>
      </c>
      <c r="C19" s="6" t="inlineStr">
        <is>
          <t>IDX</t>
        </is>
      </c>
      <c r="D19" s="6" t="n">
        <v>2025</v>
      </c>
      <c r="E19" s="6" t="inlineStr">
        <is>
          <t>BWPT_2025_AR.pdf</t>
        </is>
      </c>
      <c r="F19" s="6" t="inlineStr">
        <is>
          <t>Jakarta Selatan, Indonesia</t>
        </is>
      </c>
      <c r="G19" s="6" t="inlineStr">
        <is>
          <t>Indonesia</t>
        </is>
      </c>
      <c r="H19" s="6" t="inlineStr">
        <is>
          <t>Kalimantan &amp; Papua (mills); plantations in Kalimantan, Sumatra, Sulawesi, Papua</t>
        </is>
      </c>
      <c r="I19" s="6" t="inlineStr">
        <is>
          <t>Ultimate parent PT Rajawali Corpora; direct parent PT Rajawali Capital International; consolidates ~20 plantation and mill SPVs.</t>
        </is>
      </c>
      <c r="J19" s="6" t="inlineStr">
        <is>
          <t>BLP, BHL, ADS, SMS, MAJ, SGA, JMS, PLS, KAPAG, STP, SKS, TSP, PSR, VMA, MSP, SHM, SGSS, PAK, GEH, GES.</t>
        </is>
      </c>
      <c r="K19" s="6" t="inlineStr">
        <is>
          <t>Issued shares 31,525,291,000; ultimate controller PT Rajawali Corpora (indirectly via Rajawali Capital International).</t>
        </is>
      </c>
      <c r="L19" s="6" t="inlineStr">
        <is>
          <t>Listed (IDX: BWPT)</t>
        </is>
      </c>
      <c r="M19" s="6" t="inlineStr">
        <is>
          <t>Oil palm plantations, palm oil mills producing CPO, PK; wholesale of vegetable oils/fats.</t>
        </is>
      </c>
      <c r="N19" s="6" t="n"/>
      <c r="O19" s="6" t="n"/>
      <c r="P19" s="6" t="n"/>
      <c r="Q19" s="6" t="inlineStr">
        <is>
          <t>Accumulated deficit Rp 3,708 bn; gross debt ~Rp 4,035 bn (incl. Rp 200 bn Bonds I Phase I, Rp 50 bn Phase II, Rp 75 bn Sukuk Mudharabah I); interest expense Rp 425.3 bn absorbs ~36% of operating profit.</t>
        </is>
      </c>
      <c r="R19" s="6" t="inlineStr">
        <is>
          <t>2025 net sales Rp 5,761.3 bn (+33.9% YoY); net profit Rp 379.1 bn (+39.3%); EPS Rp 11.62 vs Rp 8.36. Two sukuk/bond offerings in 2025. Planted area note: 74,339 ha at 31-Dec-2025 and 2024 (NB: 2024 AR stated 87,000 ha; 2025 consolidated note specifies 74,339 ha - likely the precise net planted area vs rounded operational map).</t>
        </is>
      </c>
      <c r="S19" s="44" t="inlineStr">
        <is>
          <t>Upstream</t>
        </is>
      </c>
    </row>
    <row r="20" ht="15" customHeight="1" s="67">
      <c r="A20" s="6" t="inlineStr">
        <is>
          <t>PT Citra Borneo Utama Tbk</t>
        </is>
      </c>
      <c r="B20" s="6" t="inlineStr">
        <is>
          <t>CBUT</t>
        </is>
      </c>
      <c r="C20" s="6" t="inlineStr">
        <is>
          <t>IDX</t>
        </is>
      </c>
      <c r="D20" s="6" t="n">
        <v>2023</v>
      </c>
      <c r="E20" s="6" t="inlineStr">
        <is>
          <t>CBUT_2023_AR.pdf</t>
        </is>
      </c>
      <c r="F20" s="6" t="inlineStr">
        <is>
          <t>West Kotawaringin, Central Kalimantan, Indonesia</t>
        </is>
      </c>
      <c r="G20" s="6" t="inlineStr">
        <is>
          <t>Indonesia</t>
        </is>
      </c>
      <c r="H20" s="6" t="inlineStr">
        <is>
          <t>Kalimantan</t>
        </is>
      </c>
      <c r="I20" s="6" t="inlineStr">
        <is>
          <t>Part of Citra Borneo Indah (CBI) group; majority-owned by PT Sawit Sumbermas Sarana Tbk (SSMS) after Dec 2023 debt-to-equity swap. Raw material CPO &amp; PK supplied by CBI group plantation entities (SSMS, Kalimantan Sawit Abadi, Sawit Multi Utama, Tanjung Sawit Abadi, Mitra Mendawai Sejati).</t>
        </is>
      </c>
      <c r="J20" s="6" t="inlineStr">
        <is>
          <t>None disclosed (standalone company financial statements)</t>
        </is>
      </c>
      <c r="K20" s="6" t="inlineStr">
        <is>
          <t>PT Sawit Sumbermas Sarana Tbk 70.22%; PT Kalimantan Sawit Abadi 4.00%; PT Mitra Mendawai Sejati 4.00%; PT Citra Borneo Indah 1.78%; Public 20.00%</t>
        </is>
      </c>
      <c r="L20" s="6" t="inlineStr">
        <is>
          <t>Listed (IDX: CBUT, IPO 8 Nov 2022)</t>
        </is>
      </c>
      <c r="M20" s="6" t="inlineStr">
        <is>
          <t>Palm oil refinery (CPO refining producing RBDPO, Olein, Stearin, PFAD) and kernel crushing (CPKO, PKE); no upstream plantation</t>
        </is>
      </c>
      <c r="N20" s="6" t="n"/>
      <c r="O20" s="6" t="n"/>
      <c r="P20" s="6" t="n"/>
      <c r="Q20" s="6" t="inlineStr">
        <is>
          <t>Negative CFO of Rp384bn in 2023 driven by large supplier payments and interest; heavy related-party transactions with CBI group; missed 2023 targets (sales -17.7% vs target, net profit -69.9% vs target, production -8.2%); rapid increase in short-term bank debt (+120% YoY).</t>
        </is>
      </c>
      <c r="R20" s="6" t="inlineStr">
        <is>
          <t>CBUT is the downstream refinery arm of CBI/SSMS group with 2,500 tpd CPO refinery + 2,500 tpd fractionation + 600 tpd kernel crushing in West Kotawaringin. 2023 saw revenue growth of 7% but gross profit fell 12% on lower CPO prices, while net profit halved to Rp144bn. Company is expanding via Refinery Plant 2 (1,500 tpd) and Dry Fractionation (1,000 tpd) under construction.</t>
        </is>
      </c>
      <c r="S20" s="44" t="inlineStr">
        <is>
          <t>Downstream</t>
        </is>
      </c>
    </row>
    <row r="21" ht="15" customHeight="1" s="67">
      <c r="A21" s="6" t="inlineStr">
        <is>
          <t>PT Citra Borneo Utama Tbk</t>
        </is>
      </c>
      <c r="B21" s="6" t="inlineStr">
        <is>
          <t>CBUT</t>
        </is>
      </c>
      <c r="C21" s="6" t="inlineStr">
        <is>
          <t>IDX</t>
        </is>
      </c>
      <c r="D21" s="6" t="n">
        <v>2024</v>
      </c>
      <c r="E21" s="6" t="inlineStr">
        <is>
          <t>CBUT_2024_AR.pdf</t>
        </is>
      </c>
      <c r="F21" s="6" t="inlineStr">
        <is>
          <t>West Kotawaringin, Central Kalimantan, Indonesia</t>
        </is>
      </c>
      <c r="G21" s="6" t="inlineStr">
        <is>
          <t>Indonesia</t>
        </is>
      </c>
      <c r="H21" s="6" t="inlineStr">
        <is>
          <t>Kalimantan</t>
        </is>
      </c>
      <c r="I21" s="6" t="inlineStr">
        <is>
          <t>Subsidiary of PT Sawit Sumbermas Sarana Tbk (SSMS, IDX: SSMS) which is owned by PT Citra Borneo Indah (CBI). Raw materials (CPO, PK) supplied by CBI/SSMS group plantation entities.</t>
        </is>
      </c>
      <c r="J21" s="6" t="inlineStr">
        <is>
          <t>None (standalone company financial statements)</t>
        </is>
      </c>
      <c r="K21" s="6" t="inlineStr">
        <is>
          <t>PT Sawit Sumbermas Sarana Tbk 70.22%; PT Kalimantan Sawit Abadi 4.00%; PT Mitra Mendawai Sejati 4.00%; PT Citra Borneo Indah 1.78%; Public 20.00%</t>
        </is>
      </c>
      <c r="L21" s="6" t="inlineStr">
        <is>
          <t>Listed (IDX: CBUT, IPO 8 Nov 2022)</t>
        </is>
      </c>
      <c r="M21" s="6" t="inlineStr">
        <is>
          <t>Palm oil refinery, fractionation and kernel crushing; produces RBDPO, RBD Olein, RBD Stearin, PFAD, CPKO, PKE</t>
        </is>
      </c>
      <c r="N21" s="6" t="n"/>
      <c r="O21" s="6" t="n"/>
      <c r="P21" s="6" t="n"/>
      <c r="Q21" s="6" t="inlineStr">
        <is>
          <t>Negative CFO Rp247bn (second consecutive year); total production only 402,492 MT (47.6% of 845,750 MT target); sharp drop in Olein sales (-42%) and Stearin (-49%); sold raw CPO as alternative when refinery margin was uncompetitive; refinery utilization fell from 91.77% to 47.62%; heavy short-term bank debt (Rp1,945bn) vs equity Rp969bn.</t>
        </is>
      </c>
      <c r="R21" s="6" t="inlineStr">
        <is>
          <t>CBUT had a weak 2024 with revenue down 5.4% to Rp9,766bn, net profit down 52.7% to Rp68bn, and refinery utilization falling sharply due to raw material supply constraints and unfavorable market conditions. First-ever cash dividend of Rp28.8bn (Rp9.23/share) paid from 2023 earnings. Refinery Plant 2 (1,500 TPD) and Dry Fractionation Plant (1,000 TPD) construction progressing with completion targeted Q4 2025.</t>
        </is>
      </c>
      <c r="S21" s="44" t="inlineStr">
        <is>
          <t>Downstream</t>
        </is>
      </c>
    </row>
    <row r="22" ht="15" customHeight="1" s="67">
      <c r="A22" s="6" t="inlineStr">
        <is>
          <t>PT Citra Borneo Utama Tbk</t>
        </is>
      </c>
      <c r="B22" s="6" t="inlineStr">
        <is>
          <t>CBUT</t>
        </is>
      </c>
      <c r="C22" s="6" t="inlineStr">
        <is>
          <t>IDX</t>
        </is>
      </c>
      <c r="D22" s="6" t="n">
        <v>2025</v>
      </c>
      <c r="E22" s="6" t="inlineStr">
        <is>
          <t>CBUT_2025_AR.pdf</t>
        </is>
      </c>
      <c r="F22" s="6" t="inlineStr">
        <is>
          <t>West Kotawaringin, Central Kalimantan, Indonesia</t>
        </is>
      </c>
      <c r="G22" s="6" t="inlineStr">
        <is>
          <t>Indonesia</t>
        </is>
      </c>
      <c r="H22" s="6" t="inlineStr">
        <is>
          <t>Kalimantan</t>
        </is>
      </c>
      <c r="I22" s="6" t="inlineStr">
        <is>
          <t>Subsidiary of PT Sawit Sumbermas Sarana Tbk (SSMS, IDX: SSMS) under PT Citra Borneo Indah (CBI) group. Raw materials sourced from SSMS plantations.</t>
        </is>
      </c>
      <c r="J22" s="6" t="inlineStr">
        <is>
          <t>None (standalone company financial statements)</t>
        </is>
      </c>
      <c r="K22" s="6" t="inlineStr">
        <is>
          <t>PT Sawit Sumbermas Sarana Tbk 70.22%; PT Citra Borneo Indah 1.78%; PT Kalimantan Sawit Abadi 4.00%; PT Mitra Mendawai Sejati 4.00%; Maybank Global Growth Fund Singapore 11.01%; Public &lt;5% 4.09% (new major shareholder MGGF emerged in 2025)</t>
        </is>
      </c>
      <c r="L22" s="6" t="inlineStr">
        <is>
          <t>Listed (IDX: CBUT, IPO 8 Nov 2022)</t>
        </is>
      </c>
      <c r="M22" s="6" t="inlineStr">
        <is>
          <t>Palm oil refinery, fractionation, kernel crushing and (new) packaged cooking oil ('Hanau' brand launched 2025)</t>
        </is>
      </c>
      <c r="N22" s="6" t="n"/>
      <c r="O22" s="6" t="n"/>
      <c r="P22" s="6" t="n"/>
      <c r="Q22" s="6" t="inlineStr">
        <is>
          <t>Production 603,670 MT still only 71% of 850,000 MT target; parent-level receivables to SSMS related party increased materially (Rp1,754,702m); rising short-term debt 2024; cooking oil venture is nascent; reliance on SSMS for CPO supply and sales channels.</t>
        </is>
      </c>
      <c r="R22" s="6" t="inlineStr">
        <is>
          <t>Strong 2025 recovery: revenue +43% YoY to Rp13,971bn, operating profit +255% to Rp366bn, net profit +56% to Rp106bn. Refinery utilization recovered to 71% (from 48%), fractionation to 67% (from 43%), kernel crushing to 51%. Launched downstream packaged cooking oil 'Hanau' with new bottling plant (capacity 222,222 L/day). Maybank Global Growth Fund emerged as 11.01% shareholder in public float.</t>
        </is>
      </c>
      <c r="S22" s="44" t="inlineStr">
        <is>
          <t>Downstream</t>
        </is>
      </c>
    </row>
    <row r="23" ht="15" customHeight="1" s="67">
      <c r="A23" s="6" t="inlineStr">
        <is>
          <t>PT Cisadane Sawit Raya Tbk.</t>
        </is>
      </c>
      <c r="B23" s="6" t="inlineStr">
        <is>
          <t>CSRA</t>
        </is>
      </c>
      <c r="C23" s="6" t="inlineStr">
        <is>
          <t>IDX</t>
        </is>
      </c>
      <c r="D23" s="6" t="n">
        <v>2022</v>
      </c>
      <c r="E23" s="6" t="inlineStr">
        <is>
          <t>CSRA_2022_AR.pdf</t>
        </is>
      </c>
      <c r="F23" s="6" t="inlineStr">
        <is>
          <t>Jakarta, Indonesia (plantations in North &amp; South Sumatra)</t>
        </is>
      </c>
      <c r="G23" s="6" t="inlineStr">
        <is>
          <t>Indonesia</t>
        </is>
      </c>
      <c r="H23" s="6" t="inlineStr">
        <is>
          <t>Sumatra (North &amp; South)</t>
        </is>
      </c>
      <c r="I23" s="6" t="inlineStr">
        <is>
          <t>Cisadane Sawit Raya holds 6 subsidiaries (5 operating, 1 pre-operating): PT Samukti Karya Lestari (SKL), PT Sukses Sawit Gasing (SSG), PT Abiputra Bina Inter (ABI), PT Ina Zefanya Ataya (IZA), PT Daya Agro Lestari (DAL) - all 99.99%; PT Bintang Kenten Lestari (BKL) 99.00% not yet operating.</t>
        </is>
      </c>
      <c r="J23" s="6" t="inlineStr">
        <is>
          <t>PT SKL (Tapanuli Selatan, North Sumatra - plantation + 2nd PKS under construction); PT SSG, PT ABI (Banyuasin, South Sumatra); PT IZA (Musi Rawas Utara, South Sumatra); PT DAL (Musi Rawas, South Sumatra); PT BKL (Banyuasin, South Sumatra - not operating)</t>
        </is>
      </c>
      <c r="K23" s="6" t="inlineStr">
        <is>
          <t>PT Sapta Sawit Lestari 38.00%; PT Verdan Sawit Lestari 38.00%; PT Sawit Inti Perkasa 4.00%; Public 20.00%. Ultimate owner: Gita Sapta Adi family (Seman Sendjaja 33.74%, Alfatiana Avianti 23.00%, Dito Adoe Gamaputra 4.20%, Suhendra 4.20%, Radityo Utomo 4.20%, Suparto Kurniawan 0.66%, Johanna Wirjoprawiro 33.13% through the SSL structure)</t>
        </is>
      </c>
      <c r="L23" s="6" t="inlineStr">
        <is>
          <t>Listed (IDX: CSRA, IPO 9 Jan 2020)</t>
        </is>
      </c>
      <c r="M23" s="6" t="inlineStr">
        <is>
          <t>Upstream oil palm plantation and CPO milling</t>
        </is>
      </c>
      <c r="N23" s="6" t="n"/>
      <c r="O23" s="6" t="n"/>
      <c r="P23" s="6" t="n"/>
      <c r="Q23" s="6" t="inlineStr">
        <is>
          <t>FFB production 342,464 MT was 10% below target of 379,974 MT (yield 21.2 vs 23.5 target); 2022 total FFB processed declined 10% YoY; CPO production fell 10% YoY to 35,701t; heavy reliance on FFB from third parties declining (14,326t vs 30,769t in 2021); 2nd mill delayed to Jun-2023.</t>
        </is>
      </c>
      <c r="R23" s="6" t="inlineStr">
        <is>
          <t>CSRA is a standalone upstream palm oil plantation operator in North/South Sumatra with ~19,334 ha planted nucleus area and a single 45 tph CPO mill in Labuhanbatu. 2022 delivered revenue +8% YoY to Rp970bn and net profit Rp252bn despite lower CPO production (35,701t vs 39,687t). Company paid Rp71.75bn total dividends during 2022 (Rp10 final 2021 + Rp25 interim 2022). 2nd mill under construction at PT SKL (Tapanuli Selatan) with 45 tph capacity to double total milling capacity to 90 tph.</t>
        </is>
      </c>
      <c r="S23" s="44" t="inlineStr">
        <is>
          <t>Upstream</t>
        </is>
      </c>
    </row>
    <row r="24" ht="15" customHeight="1" s="67">
      <c r="A24" s="6" t="inlineStr">
        <is>
          <t>PT Cisadane Sawit Raya Tbk.</t>
        </is>
      </c>
      <c r="B24" s="6" t="inlineStr">
        <is>
          <t>CSRA</t>
        </is>
      </c>
      <c r="C24" s="6" t="inlineStr">
        <is>
          <t>IDX</t>
        </is>
      </c>
      <c r="D24" s="6" t="n">
        <v>2023</v>
      </c>
      <c r="E24" s="6" t="inlineStr">
        <is>
          <t>CSRA_2023_AR.pdf</t>
        </is>
      </c>
      <c r="F24" s="6" t="inlineStr">
        <is>
          <t>Jakarta, Indonesia (plantations in North &amp; South Sumatra)</t>
        </is>
      </c>
      <c r="G24" s="6" t="inlineStr">
        <is>
          <t>Indonesia</t>
        </is>
      </c>
      <c r="H24" s="6" t="inlineStr">
        <is>
          <t>Sumatra (North &amp; South)</t>
        </is>
      </c>
      <c r="I24" s="6" t="inlineStr">
        <is>
          <t>CSRA holds 6 subsidiaries (5 operating, 1 pre-operating): PT Samukti Karya Lestari (SKL), PT Sukses Sawit Gasing (SSG), PT Abiputra Bina Inter (ABI), PT Ina Zefanya Ataya (IZA), PT Daya Agro Lestari (DAL) - 99.99%; PT Bintang Kenten Lestari (BKL) 99.00%.</t>
        </is>
      </c>
      <c r="J24" s="6" t="inlineStr">
        <is>
          <t>PT SKL (Tapanuli Selatan - 2nd PKS commissioned 2023); PT SSG, PT ABI (Banyuasin, South Sumatra); PT IZA (Musi Rawas Utara); PT DAL (Musi Rawas); PT BKL (Banyuasin - not operating; 3rd PKS groundbreaking Jan 2024)</t>
        </is>
      </c>
      <c r="K24" s="6" t="inlineStr">
        <is>
          <t>PT Sapta Sawit Lestari 38.00%; PT Verdan Sawit Lestari 38.00%; PT Sawit Inti Perkasa 4.00%; Public 20.00%. Ultimate: Gita Sapta Adi family (Seman Sendjaja, Alfatiana Avianti, Johanna Wirjoprawiro, etc.)</t>
        </is>
      </c>
      <c r="L24" s="6" t="inlineStr">
        <is>
          <t>Listed (IDX: CSRA, IPO 9 Jan 2020)</t>
        </is>
      </c>
      <c r="M24" s="6" t="inlineStr">
        <is>
          <t>Upstream oil palm plantation and CPO milling (two mills operating since 2023)</t>
        </is>
      </c>
      <c r="N24" s="6" t="n"/>
      <c r="O24" s="6" t="n"/>
      <c r="P24" s="6" t="n"/>
      <c r="Q24" s="6" t="inlineStr">
        <is>
          <t>Revenue -10% YoY; net profit -42% YoY on lower CPO price (Rp10,821/kg vs Rp12,468); FFB production -1.5% YoY at 337,367t (below 397,035t target); no dividend paid in 2023; cash balance dropped 90% to Rp25.4bn; FFB yield declined to 19.4 t/ha from 21.2.</t>
        </is>
      </c>
      <c r="R24" s="6" t="inlineStr">
        <is>
          <t>CSRA had a challenging 2023 with revenue falling 10% to Rp875bn and net profit down 42% to Rp146bn on lower CPO prices. Key operational milestone: 2nd palm oil mill at PT SKL (Tapanuli Selatan) commenced operations in 2023 doubling milling capacity to 90 tph - drove CPO production up 36% to 48,663t despite flat FFB. 3rd mill groundbreaking at PT BKL Banyuasin in Jan 2024. No dividend paid; retained profit for capex. Capex Rp136bn.</t>
        </is>
      </c>
      <c r="S24" s="44" t="inlineStr">
        <is>
          <t>Upstream</t>
        </is>
      </c>
    </row>
    <row r="25" ht="15" customHeight="1" s="67">
      <c r="A25" s="6" t="inlineStr">
        <is>
          <t>PT Cisadane Sawit Raya Tbk.</t>
        </is>
      </c>
      <c r="B25" s="6" t="inlineStr">
        <is>
          <t>CSRA</t>
        </is>
      </c>
      <c r="C25" s="6" t="inlineStr">
        <is>
          <t>IDX</t>
        </is>
      </c>
      <c r="D25" s="6" t="n">
        <v>2024</v>
      </c>
      <c r="E25" s="6" t="inlineStr">
        <is>
          <t>CSRA_2024_AR.pdf</t>
        </is>
      </c>
      <c r="F25" s="6" t="inlineStr">
        <is>
          <t>Jakarta, Indonesia (plantations in North &amp; South Sumatra)</t>
        </is>
      </c>
      <c r="G25" s="6" t="inlineStr">
        <is>
          <t>Indonesia</t>
        </is>
      </c>
      <c r="H25" s="6" t="inlineStr">
        <is>
          <t>Sumatra (North &amp; South)</t>
        </is>
      </c>
      <c r="I25" s="6" t="inlineStr">
        <is>
          <t>CSRA holds 6 subsidiaries: PT Samukti Karya Lestari (SKL), PT Sukses Sawit Gasing (SSG), PT Abiputra Bina Inter (ABI), PT Ina Zefanya Ataya (IZA), PT Daya Agro Lestari (DAL) 99.99%; PT Bintang Kenten Lestari (BKL) 99.00%. Two mills operational; third mill under construction in Banyuasin, South Sumatra (mid-2025 target).</t>
        </is>
      </c>
      <c r="J25" s="6" t="inlineStr">
        <is>
          <t>PT SKL (Tapanuli Selatan - 45 tph PKS 2); PT SSG, PT ABI (Banyuasin, South Sumatra); PT IZA (Musi Rawas Utara); PT DAL (Musi Rawas); PT BKL (Banyuasin - 3rd PKS under construction)</t>
        </is>
      </c>
      <c r="K25" s="6" t="inlineStr">
        <is>
          <t>PT Sapta Sawit Lestari 38.00%; PT Verdan Sawit Lestari 38.00%; PT Sawit Inti Perkasa 4.00%; Public 20.00%. Ultimate: Gita Sapta Adi family (Seman Sendjaja, Alfatiana Avianti, Johanna Wirjoprawiro etc.)</t>
        </is>
      </c>
      <c r="L25" s="6" t="inlineStr">
        <is>
          <t>Listed (IDX: CSRA, IPO 9 Jan 2020)</t>
        </is>
      </c>
      <c r="M25" s="6" t="inlineStr">
        <is>
          <t>Upstream oil palm plantation and CPO milling (2 operating mills, 1 under construction)</t>
        </is>
      </c>
      <c r="N25" s="6" t="n"/>
      <c r="O25" s="6" t="n"/>
      <c r="P25" s="6" t="n"/>
      <c r="Q25" s="6" t="inlineStr">
        <is>
          <t>FFB production 319,085 MT only 79.51% of target; yield dropped to 18.2 t/ha (from 19.4); FFB processed increased 16% but FFB own production -5%; increasing reliance on 3rd party FFB (33,723 MT, up 28%); long-term liabilities +30% YoY on new bank loans for 3rd mill construction.</t>
        </is>
      </c>
      <c r="R25" s="6" t="inlineStr">
        <is>
          <t>CSRA rebounded in 2024: revenue +22% to Rp1,067bn driven by higher CPO prices (Rp12,793/kg vs Rp10,821); net profit +47% to Rp215bn; EBITDA Rp442bn (margin 41%). Two mills operational at 45 tph each (90 tph total). Third mill at PT BKL Banyuasin (South Sumatra) in construction, target Jun-2025. First dividend since 2022: Rp30bn or Rp14.63/share paid June 2024 (from 2023 profits). Capex Rp228bn mainly for 3rd mill.</t>
        </is>
      </c>
      <c r="S25" s="44" t="inlineStr">
        <is>
          <t>Upstream</t>
        </is>
      </c>
    </row>
    <row r="26" ht="15" customHeight="1" s="67">
      <c r="A26" s="6" t="inlineStr">
        <is>
          <t>PT Dharma Satya Nusantara Tbk</t>
        </is>
      </c>
      <c r="B26" s="6" t="inlineStr">
        <is>
          <t>DSNG</t>
        </is>
      </c>
      <c r="C26" s="6" t="inlineStr">
        <is>
          <t>IDX</t>
        </is>
      </c>
      <c r="D26" s="6" t="n">
        <v>2022</v>
      </c>
      <c r="E26" s="6" t="inlineStr">
        <is>
          <t>DSNG_2022_AR.pdf</t>
        </is>
      </c>
      <c r="F26" s="6" t="inlineStr">
        <is>
          <t>Jakarta, Indonesia</t>
        </is>
      </c>
      <c r="G26" s="6" t="inlineStr">
        <is>
          <t>Indonesia</t>
        </is>
      </c>
      <c r="H26" s="6" t="inlineStr">
        <is>
          <t>Kalimantan (East/Central/West)</t>
        </is>
      </c>
      <c r="I26" s="6" t="inlineStr">
        <is>
          <t>Integrated holding with palm oil (planting, POM, KCP), wood products (panel, engineered flooring) and renewable energy (Bio-CNG) subsidiaries</t>
        </is>
      </c>
      <c r="J26" s="6" t="inlineStr">
        <is>
          <t>Palm oil: SWA, PWP, AAN, DAN, DIN, DWT, KPAS, KAP, GUN, PSA, BPN, BAS, MNS, PUL, etc. Wood: TKPI, Nityasa Idola, DSN. Renewable: PT Dharma Sumber Energi (JV with eREX Japan).</t>
        </is>
      </c>
      <c r="K26" s="6" t="inlineStr">
        <is>
          <t>Rachmat Family 31.71% (incl. PT Triputra Investindo Arya 27.63%), Oetomo Family 28.90% (incl. Arianto 5.43%, Andrianto 5.43%), PT Krishna Kapital Investama 14.63%, PT Tri Nur Cakrawala 7.44%, PT Mitra Aneka Guna 6.32%, public 23.15%</t>
        </is>
      </c>
      <c r="L26" s="6" t="inlineStr">
        <is>
          <t>Listed (IDX: DSNG) since 14 June 2013</t>
        </is>
      </c>
      <c r="M26" s="6" t="inlineStr">
        <is>
          <t>Integrated palm oil plantation (FFB, CPO, PK, PKO) and wood products (panel, engineered flooring); renewable energy via Bio-CNG</t>
        </is>
      </c>
      <c r="N26" s="6" t="n"/>
      <c r="O26" s="6" t="n"/>
      <c r="P26" s="6" t="n"/>
      <c r="Q26" s="6" t="inlineStr">
        <is>
          <t>Wood segment concession revoked at PT Nityasa Idola (113,196 ha) in Sept 2022 (subsidiary still in development); plantations not insured against fire/pests.</t>
        </is>
      </c>
      <c r="R26" s="6" t="inlineStr">
        <is>
          <t>Strong 2022: revenue +35% to Rp9.63tn, net profit +63% to Rp1.21tn driven by higher CPO/PKO prices and volumes. Palm segment contributed ~84% of revenue. OER 22.76%.</t>
        </is>
      </c>
      <c r="S26" s="44" t="inlineStr">
        <is>
          <t>Integrated</t>
        </is>
      </c>
    </row>
    <row r="27" ht="15" customHeight="1" s="67">
      <c r="A27" s="6" t="inlineStr">
        <is>
          <t>PT Dharma Satya Nusantara Tbk</t>
        </is>
      </c>
      <c r="B27" s="6" t="inlineStr">
        <is>
          <t>DSNG</t>
        </is>
      </c>
      <c r="C27" s="6" t="inlineStr">
        <is>
          <t>IDX</t>
        </is>
      </c>
      <c r="D27" s="6" t="n">
        <v>2023</v>
      </c>
      <c r="E27" s="6" t="inlineStr">
        <is>
          <t>DSNG_2023_AR.pdf</t>
        </is>
      </c>
      <c r="F27" s="6" t="inlineStr">
        <is>
          <t>Jakarta, Indonesia</t>
        </is>
      </c>
      <c r="G27" s="6" t="inlineStr">
        <is>
          <t>Indonesia</t>
        </is>
      </c>
      <c r="H27" s="6" t="inlineStr">
        <is>
          <t>Kalimantan (East/Central/West)</t>
        </is>
      </c>
      <c r="I27" s="6" t="inlineStr">
        <is>
          <t>Integrated holding with palm oil subsidiaries (SWA, PWP, AAN, DAN, DIN, DWT, KPAS, etc.), wood products (TKPI), and renewable energy (PT Dharma Sumber Energi, JV with eREX Japan). Starting 2023, renewable energy became a separately reported segment.</t>
        </is>
      </c>
      <c r="J27" s="6" t="inlineStr">
        <is>
          <t>15 palm oil subsidiaries, 4 wood products/RE subsidiaries incl. PT Tanjung Kreasi Parquet Industry, PT Dharma Sumber Energi, PT Dharma Energi Investama</t>
        </is>
      </c>
      <c r="K27" s="6" t="inlineStr">
        <is>
          <t>T.P. Rachmat Family 31.71% (incl. PT Triputra Investindo Arya 27.63%), Oetomo Family 28.90%, PT Krishna Kapital Investama 14.63%, public 33.12%</t>
        </is>
      </c>
      <c r="L27" s="6" t="inlineStr">
        <is>
          <t>Listed (IDX: DSNG) since 14 June 2013</t>
        </is>
      </c>
      <c r="M27" s="6" t="inlineStr">
        <is>
          <t>Integrated palm oil plantation + wood products + renewable energy (palm shell export, Bio-CNG)</t>
        </is>
      </c>
      <c r="N27" s="6" t="n"/>
      <c r="O27" s="6" t="n"/>
      <c r="P27" s="6" t="n"/>
      <c r="Q27" s="6" t="inlineStr">
        <is>
          <t>Nityasa Idola forest concession (113k ha) revoked in 2022; plantations not insured against fire/pests.</t>
        </is>
      </c>
      <c r="R27" s="6" t="inlineStr">
        <is>
          <t>2023 flat/down year: revenue -1.4% to Rp9.50tn; net profit -30.2% to Rp842bn as CPO/PKO/wood prices softened. Palm segment ~88% of revenue; first full year of PKS shell export to Japan. OER improved to 23.19%.</t>
        </is>
      </c>
      <c r="S27" s="44" t="inlineStr">
        <is>
          <t>Integrated</t>
        </is>
      </c>
    </row>
    <row r="28" ht="15" customHeight="1" s="67">
      <c r="A28" s="6" t="inlineStr">
        <is>
          <t>PT Dharma Satya Nusantara Tbk</t>
        </is>
      </c>
      <c r="B28" s="6" t="inlineStr">
        <is>
          <t>DSNG</t>
        </is>
      </c>
      <c r="C28" s="6" t="inlineStr">
        <is>
          <t>IDX</t>
        </is>
      </c>
      <c r="D28" s="6" t="n">
        <v>2024</v>
      </c>
      <c r="E28" s="6" t="inlineStr">
        <is>
          <t>DSNG_2024_AR.pdf</t>
        </is>
      </c>
      <c r="F28" s="6" t="inlineStr">
        <is>
          <t>Jakarta, Indonesia</t>
        </is>
      </c>
      <c r="G28" s="6" t="inlineStr">
        <is>
          <t>Indonesia</t>
        </is>
      </c>
      <c r="H28" s="6" t="inlineStr">
        <is>
          <t>Kalimantan (East/Central/West)</t>
        </is>
      </c>
      <c r="I28" s="6" t="inlineStr">
        <is>
          <t>Integrated holding: palm oil (15 plantation subsidiaries, 12 POMs, 1 KCP), wood products (TKPI, DSN) and renewable energy (DSE / eREX JV). In 2024 DSNG increased its stake in associate PT REA Kaltim Plantations from 15% to 35%.</t>
        </is>
      </c>
      <c r="J28" s="6" t="inlineStr">
        <is>
          <t>PT SWA, PT PWP, PT DAN, PT DIN, PT DWT, PT KAP, PT KPAS, PT PSA, PT BPN, PT BAS, PT Agro Pratama, PT Agro Andalan, PT TKPI, PT Nityasa Idola, PT Dharma Sumber Energi, PT Dharma Energi Investama etc.</t>
        </is>
      </c>
      <c r="K28" s="6" t="inlineStr">
        <is>
          <t>T.P. Rachmat Family 31.71% (PT Triputra Investindo Arya 27.63%), Oetomo Family 28.90% (incl. Arianto 5.43%, Andrianto 5.43%), PT Krishna Kapital Investama 14.63%, public 33.12%</t>
        </is>
      </c>
      <c r="L28" s="6" t="inlineStr">
        <is>
          <t>Listed (IDX: DSNG) since 14 June 2013</t>
        </is>
      </c>
      <c r="M28" s="6" t="inlineStr">
        <is>
          <t>Integrated palm oil + wood products + renewable energy (palm kernel shell export, Bio-CNG)</t>
        </is>
      </c>
      <c r="N28" s="6" t="n"/>
      <c r="O28" s="6" t="n"/>
      <c r="P28" s="6" t="n"/>
      <c r="Q28" s="6" t="inlineStr">
        <is>
          <t>Wood product segment turned into pre-tax loss Rp16bn in 2024 (vs profit Rp23bn 2023); FFB production fell 7.1% due to El Nino lag. Plantations not insured.</t>
        </is>
      </c>
      <c r="R28" s="6" t="inlineStr">
        <is>
          <t>Strong 2024 rebound: revenue +6.5% to Rp10.12tn, net profit +35.6% to Rp1.14tn, EBITDA margin 30.6%. OER improved to 23.92%. FFB production down 7.1% offset by higher prices. 35% stake in REA Kaltim as strategic associate.</t>
        </is>
      </c>
      <c r="S28" s="44" t="inlineStr">
        <is>
          <t>Integrated</t>
        </is>
      </c>
    </row>
    <row r="29" ht="15" customHeight="1" s="67">
      <c r="A29" s="6" t="inlineStr">
        <is>
          <t>PT FAP Agri Tbk</t>
        </is>
      </c>
      <c r="B29" s="6" t="inlineStr">
        <is>
          <t>FAPA</t>
        </is>
      </c>
      <c r="C29" s="6" t="inlineStr">
        <is>
          <t>IDX</t>
        </is>
      </c>
      <c r="D29" s="6" t="n">
        <v>2022</v>
      </c>
      <c r="E29" s="6" t="inlineStr">
        <is>
          <t>FAPA_2022_AR.pdf</t>
        </is>
      </c>
      <c r="F29" s="6" t="inlineStr">
        <is>
          <t>Gedung Gold Coast, Tower Liberty Lt. 16, Jl. Pantai Indah Kapuk, Jakarta Utara 14470, Indonesia</t>
        </is>
      </c>
      <c r="G29" s="6" t="inlineStr">
        <is>
          <t>Indonesia</t>
        </is>
      </c>
      <c r="H29" s="6" t="inlineStr">
        <is>
          <t>North Kalimantan (Nunukan, Bulungan), East Kalimantan and Riau</t>
        </is>
      </c>
      <c r="I29" s="6" t="inlineStr">
        <is>
          <t>Holding company with 9 palm oil plantation subsidiaries integrated with 5 POMs and 1 Kernel Crushing Plant. Subsidiaries: PT Borneo Bhakti Sejahtera (BBS), PT Mahakam Citra Abadi (MCA), PT Karyan Putra Lestari (KPL), PT Karangjuang Hijaulestari (KHL), PT Bulungan Hijau Perkasa (BHP), PT Bhumi Simanggaris Indah (BSI), PT Tirta Madu Sawit Jaya, PT Riau Agung Karya Abadi (RAKA), etc.</t>
        </is>
      </c>
      <c r="J29" s="6" t="inlineStr">
        <is>
          <t>PT Borneo Bhakti Sejahtera, PT Mahakam Citra Abadi, PT Karyan Putra Lestari, PT Karangjuang Hijaulestari, PT Bulungan Hijau Perkasa, PT Bhumi Simanggaris Indah, PT Tirta Madu Sawit Jaya, PT Riau Agung Karya Abadi (RAKA), PT Fajar Niaga Berjaya</t>
        </is>
      </c>
      <c r="K29" s="6" t="inlineStr">
        <is>
          <t>Prinsep Management Limited 80.75%, PT Fangionoperkasa Sejati 4.25%, Public 15.00%</t>
        </is>
      </c>
      <c r="L29" s="6" t="inlineStr">
        <is>
          <t>Listed (IDX: FAPA) since 4 January 2021</t>
        </is>
      </c>
      <c r="M29" s="6" t="inlineStr">
        <is>
          <t>Palm oil plantation and industry (upstream, CPO, PK, PKO, PKE) through subsidiaries</t>
        </is>
      </c>
      <c r="N29" s="6" t="n"/>
      <c r="O29" s="6" t="n"/>
      <c r="P29" s="6" t="n"/>
      <c r="Q29" s="6" t="inlineStr">
        <is>
          <t>Significant FX loss Rp180bn (due to USD-denominated shareholder loans); Prinsep Management Ltd shareholder loan of Rp723bn fully repaid during 2022; high concentration under Fangiono family (Prinsep 80.75%).</t>
        </is>
      </c>
      <c r="R29" s="6" t="inlineStr">
        <is>
          <t>Strong 2022: net sales +42% to Rp4.83tn, net profit +84% to Rp749bn, driven by higher CPO prices and production up 19%. Shareholder loan fully repaid. NCL down 31% due to repayment.</t>
        </is>
      </c>
      <c r="S29" s="44" t="inlineStr">
        <is>
          <t>Upstream</t>
        </is>
      </c>
    </row>
    <row r="30" ht="15" customHeight="1" s="67">
      <c r="A30" s="6" t="inlineStr">
        <is>
          <t>PT FAP Agri Tbk</t>
        </is>
      </c>
      <c r="B30" s="6" t="inlineStr">
        <is>
          <t>FAPA</t>
        </is>
      </c>
      <c r="C30" s="6" t="inlineStr">
        <is>
          <t>IDX</t>
        </is>
      </c>
      <c r="D30" s="6" t="n">
        <v>2023</v>
      </c>
      <c r="E30" s="6" t="inlineStr">
        <is>
          <t>FAPA_2023_AR.pdf</t>
        </is>
      </c>
      <c r="F30" s="6" t="inlineStr">
        <is>
          <t>Gedung Gold Coast, Tower Liberty Lt. 16, Jl. Pantai Indah Kapuk, Jakarta Utara 14470, Indonesia</t>
        </is>
      </c>
      <c r="G30" s="6" t="inlineStr">
        <is>
          <t>Indonesia</t>
        </is>
      </c>
      <c r="H30" s="6" t="inlineStr">
        <is>
          <t>North Kalimantan, East Kalimantan, Riau</t>
        </is>
      </c>
      <c r="I30" s="6" t="inlineStr">
        <is>
          <t>Integrated palm oil upstream holding with 9 plantation subsidiaries, 5 POMs, 1 Kernel Crushing Plant.</t>
        </is>
      </c>
      <c r="J30" s="6" t="inlineStr">
        <is>
          <t>PT Borneo Bhakti Sejahtera, PT Mahakam Citra Abadi, PT Karyan Putra Lestari, PT Karangjuang Hijaulestari, PT Bulungan Hijau Perkasa, PT Bhumi Simanggaris Indah, PT Tirta Madu Sawit Jaya, PT Riau Agung Karya Abadi, PT Fajar Niaga Berjaya</t>
        </is>
      </c>
      <c r="K30" s="6" t="inlineStr">
        <is>
          <t>Prinsep Management Ltd 75.79% (reduced from 80.75% during 2023), PT Fangionoperkasa Sejati 6.59%, Public 17.62%</t>
        </is>
      </c>
      <c r="L30" s="6" t="inlineStr">
        <is>
          <t>Listed (IDX: FAPA) since 4 January 2021</t>
        </is>
      </c>
      <c r="M30" s="6" t="inlineStr">
        <is>
          <t>Palm oil plantation and processing (FFB, CPO, PK, PKO, PKE) via subsidiaries</t>
        </is>
      </c>
      <c r="N30" s="6" t="n"/>
      <c r="O30" s="6" t="n"/>
      <c r="P30" s="6" t="n"/>
      <c r="Q30" s="6" t="inlineStr">
        <is>
          <t>Net profit dropped 78% YoY due to much lower CPO prices; bank overdraft increased to Rp725bn; net debt remains high relative to EBITDA; heavy Prinsep (Fangiono family) concentration (75.79%).</t>
        </is>
      </c>
      <c r="R30" s="6" t="inlineStr">
        <is>
          <t>2023 mixed: revenue +4.8% to Rp5.06tn on higher volumes (CPO +11% to 307.7kt) but net profit -78% to Rp161.7bn as CPO prices fell. Mature area grew to 84,128ha. Current liabilities exceeded current assets (ratio 0.69).</t>
        </is>
      </c>
      <c r="S30" s="44" t="inlineStr">
        <is>
          <t>Upstream</t>
        </is>
      </c>
    </row>
    <row r="31" ht="15" customHeight="1" s="67">
      <c r="A31" s="6" t="inlineStr">
        <is>
          <t>PT FAP Agri Tbk</t>
        </is>
      </c>
      <c r="B31" s="6" t="inlineStr">
        <is>
          <t>FAPA</t>
        </is>
      </c>
      <c r="C31" s="6" t="inlineStr">
        <is>
          <t>IDX</t>
        </is>
      </c>
      <c r="D31" s="6" t="n">
        <v>2024</v>
      </c>
      <c r="E31" s="6" t="inlineStr">
        <is>
          <t>FAPA_2024_AR.pdf</t>
        </is>
      </c>
      <c r="F31" s="6" t="inlineStr">
        <is>
          <t>Gedung Gold Coast, Tower Liberty Lt. 16, Jl. Pantai Indah Kapuk, Jakarta Utara 14470, Indonesia</t>
        </is>
      </c>
      <c r="G31" s="6" t="inlineStr">
        <is>
          <t>Indonesia</t>
        </is>
      </c>
      <c r="H31" s="6" t="inlineStr">
        <is>
          <t>North Kalimantan, East Kalimantan, Riau</t>
        </is>
      </c>
      <c r="I31" s="6" t="inlineStr">
        <is>
          <t>Integrated palm oil upstream holding with 9 plantation subsidiaries, 5 POMs and 1 Kernel Crushing Plant. Subsidiaries in N. Kalimantan (Nunukan/Bulungan: KHL, BHP, BSI, TMSJ, KPL), E. Kalimantan (BBS, MCA) and Riau (RAKA).</t>
        </is>
      </c>
      <c r="J31" s="6" t="inlineStr">
        <is>
          <t>PT Borneo Bhakti Sejahtera, PT Mahakam Citra Abadi, PT Karyan Putra Lestari, PT Karangjuang Hijaulestari, PT Bulungan Hijau Perkasa, PT Bhumi Simanggaris Indah, PT Tirta Madu Sawit Jaya, PT Riau Agung Karya Abadi, PT Fajar Niaga Berjaya</t>
        </is>
      </c>
      <c r="K31" s="6" t="inlineStr">
        <is>
          <t>Prinsep Management Ltd 73.37% (after further sell-down from 75.79% in 2023 and buyback completion), PT Fangionoperkasa Sejati ~6.59%, treasury/public balance.</t>
        </is>
      </c>
      <c r="L31" s="6" t="inlineStr">
        <is>
          <t>Listed (IDX: FAPA) since 4 January 2021</t>
        </is>
      </c>
      <c r="M31" s="6" t="inlineStr">
        <is>
          <t>Palm oil plantation and industry; upstream FFB, CPO, PK, PKO, PKE via subsidiaries.</t>
        </is>
      </c>
      <c r="N31" s="6" t="n"/>
      <c r="O31" s="6" t="n"/>
      <c r="P31" s="6" t="n"/>
      <c r="Q31" s="6" t="inlineStr">
        <is>
          <t>CPO production declined 3.2% YoY (297,758 tons) despite FFB +4% indicating OER softening; reliance on USD-denominated bank loans. Heavy controlling-shareholder concentration (Fangiono family via Prinsep).</t>
        </is>
      </c>
      <c r="R31" s="6" t="inlineStr">
        <is>
          <t>Strong 2024: net sales +13.5% to Rp5.74tn, net profit Rp571.5bn (vs Rp161.7bn) on improved CPO prices. Mature area increased to 87,633 ha. FFB yield 14.97 t/ha.</t>
        </is>
      </c>
      <c r="S31" s="44" t="inlineStr">
        <is>
          <t>Upstream</t>
        </is>
      </c>
    </row>
    <row r="32" ht="15" customHeight="1" s="67">
      <c r="A32" s="6" t="inlineStr">
        <is>
          <t>PT FKS Multi Agro Tbk</t>
        </is>
      </c>
      <c r="B32" s="6" t="inlineStr">
        <is>
          <t>FISH</t>
        </is>
      </c>
      <c r="C32" s="6" t="inlineStr">
        <is>
          <t>IDX</t>
        </is>
      </c>
      <c r="D32" s="6" t="n">
        <v>2022</v>
      </c>
      <c r="E32" s="6" t="inlineStr">
        <is>
          <t>FISH_2022_AR.pdf</t>
        </is>
      </c>
      <c r="F32" s="6" t="inlineStr">
        <is>
          <t>Jakarta Pusat, Indonesia</t>
        </is>
      </c>
      <c r="G32" s="6" t="inlineStr">
        <is>
          <t>Indonesia</t>
        </is>
      </c>
      <c r="H32" s="6" t="inlineStr">
        <is>
          <t>Indonesia (warehousing/logistics in multiple ports)</t>
        </is>
      </c>
      <c r="I32" s="6" t="inlineStr">
        <is>
          <t>Parent PT FKS Multi Agro Tbk with direct subsidiaries PT Nusa Prima Logistik (65%), PT FKS Solusi Logistik (99.99%), PT FKS Pangan Nusantara (99.99% acquired Jul-2022); ultimate parent FKS International Investment Pte Ltd (Singapore).</t>
        </is>
      </c>
      <c r="J32" s="6" t="inlineStr">
        <is>
          <t>PT Nusa Prima Logistik, PT FKS Solusi Logistik, PT FKS Pangan Nusantara, PT PBM WIN Tapin</t>
        </is>
      </c>
      <c r="K32" s="6" t="inlineStr">
        <is>
          <t>PT FKS Corporindo Indonesia 79.06%; PT Caturkartika Perdana 10.42%; Public 10.52%</t>
        </is>
      </c>
      <c r="L32" s="6" t="inlineStr">
        <is>
          <t>Listed (IDX: FISH) since 18 Jan 2002</t>
        </is>
      </c>
      <c r="M32" s="6" t="inlineStr">
        <is>
          <t>Distribution and trading of agricultural commodities (feed ingredients, food ingredients, fertilizer) with supporting warehousing and logistics.</t>
        </is>
      </c>
      <c r="N32" s="6" t="n"/>
      <c r="O32" s="6" t="n"/>
      <c r="P32" s="6" t="n"/>
      <c r="Q32" s="6" t="inlineStr">
        <is>
          <t>Reporting currency is USD (not IDR); palm-oil share is limited; high short-term bank debt for working capital.</t>
        </is>
      </c>
      <c r="R32" s="6" t="inlineStr">
        <is>
          <t>Agri-commodity trading &amp; distribution company; not a pure palm-oil producer. Limited relevance for palm upstream peer benchmarking except as trading/logistics reference.</t>
        </is>
      </c>
      <c r="S32" s="44" t="inlineStr">
        <is>
          <t>Other</t>
        </is>
      </c>
    </row>
    <row r="33" ht="15" customHeight="1" s="67">
      <c r="A33" s="6" t="inlineStr">
        <is>
          <t>PT FKS Multi Agro Tbk</t>
        </is>
      </c>
      <c r="B33" s="6" t="inlineStr">
        <is>
          <t>FISH</t>
        </is>
      </c>
      <c r="C33" s="6" t="inlineStr">
        <is>
          <t>IDX</t>
        </is>
      </c>
      <c r="D33" s="6" t="n">
        <v>2023</v>
      </c>
      <c r="E33" s="6" t="inlineStr">
        <is>
          <t>FISH_2023_AR.pdf</t>
        </is>
      </c>
      <c r="F33" s="6" t="inlineStr">
        <is>
          <t>Jakarta Pusat, Indonesia</t>
        </is>
      </c>
      <c r="G33" s="6" t="inlineStr">
        <is>
          <t>Indonesia</t>
        </is>
      </c>
      <c r="H33" s="6" t="inlineStr">
        <is>
          <t>Indonesia (warehousing/logistics in multiple ports)</t>
        </is>
      </c>
      <c r="I33" s="6" t="inlineStr">
        <is>
          <t>Parent PT FKS Multi Agro Tbk; ultimate parent FKS International Investments Pte. Ltd. (Singapore). Direct subsidiaries: PT Nusa Prima Logistik (65%), PT FKS Solusi Logistik (99.99%), PT FKS Pangan Nusantara (99.99%).</t>
        </is>
      </c>
      <c r="J33" s="6" t="inlineStr">
        <is>
          <t>PT Nusa Prima Logistik (Jakarta, 65%, warehousing/logistics), PT FKS Solusi Logistik (Jakarta, 99.99%, consulting &amp; management services), PT FKS Pangan Nusantara (Jakarta, 99.99%, trading food products), PT PBM WIN Surabaya</t>
        </is>
      </c>
      <c r="K33" s="6" t="inlineStr">
        <is>
          <t>PT FKS Corporindo Indonesia 79.06%; PT Caturkartika Perdana 10.42%; Public 10.52% (480,000,000 shares total)</t>
        </is>
      </c>
      <c r="L33" s="6" t="inlineStr">
        <is>
          <t>Listed (IDX: FISH) since 18 Jan 2002</t>
        </is>
      </c>
      <c r="M33" s="6" t="inlineStr">
        <is>
          <t>Distribution and trading of agricultural commodities (feed ingredients, food ingredients) with supporting warehousing, port handling, transportation and logistics.</t>
        </is>
      </c>
      <c r="N33" s="6" t="n"/>
      <c r="O33" s="6" t="n"/>
      <c r="P33" s="6" t="n"/>
      <c r="Q33" s="6" t="inlineStr">
        <is>
          <t>Reporting currency is USD (not IDR); revenue declined 10.5% YoY on weak commodity prices; net profit dropped 24.5% YoY; high short-term bank debt (USD93.9 mn) for working capital; 2023 stock price fell sharply from Rp6,750 to Rp5,525 (-18%).</t>
        </is>
      </c>
      <c r="R33" s="6" t="inlineStr">
        <is>
          <t>Agri-commodity trading &amp; distribution company (feed/food ingredients, logistics); not a pure palm-oil producer. 2023 revenue USD1,401 mn (-10.5% YoY) with net profit USD24.7 mn (-24.5%). Balance sheet strengthened modestly (equity +6.7%). Limited relevance for palm upstream peer benchmarking except as trading/logistics reference.</t>
        </is>
      </c>
      <c r="S33" s="44" t="inlineStr">
        <is>
          <t>Other</t>
        </is>
      </c>
    </row>
    <row r="34" ht="15" customHeight="1" s="67">
      <c r="A34" s="6" t="inlineStr">
        <is>
          <t>PT FKS Multi Agro Tbk</t>
        </is>
      </c>
      <c r="B34" s="6" t="inlineStr">
        <is>
          <t>FISH</t>
        </is>
      </c>
      <c r="C34" s="6" t="inlineStr">
        <is>
          <t>IDX</t>
        </is>
      </c>
      <c r="D34" s="6" t="n">
        <v>2024</v>
      </c>
      <c r="E34" s="6" t="inlineStr">
        <is>
          <t>FISH_2024_AR.pdf</t>
        </is>
      </c>
      <c r="F34" s="6" t="inlineStr">
        <is>
          <t>Jakarta Pusat, Indonesia</t>
        </is>
      </c>
      <c r="G34" s="6" t="inlineStr">
        <is>
          <t>Indonesia</t>
        </is>
      </c>
      <c r="H34" s="6" t="inlineStr">
        <is>
          <t>Indonesia (warehousing/logistics in multiple ports)</t>
        </is>
      </c>
      <c r="I34" s="6" t="inlineStr">
        <is>
          <t>Parent PT FKS Multi Agro Tbk; ultimate parent FKS International Investments Pte. Ltd. (Singapore). Direct subsidiaries: PT Nusa Prima Logistik (65%), PT FKS Solusi Logistik (99.99%), PT FKS Pangan Nusantara (99.99%).</t>
        </is>
      </c>
      <c r="J34" s="6" t="inlineStr">
        <is>
          <t>PT Nusa Prima Logistik (Jakarta, 65%, warehousing/logistics), PT FKS Solusi Logistik (Jakarta, 99.99%, consulting &amp; management services), PT FKS Pangan Nusantara (Jakarta, 99.99%, trading food products)</t>
        </is>
      </c>
      <c r="K34" s="6" t="inlineStr">
        <is>
          <t>PT FKS Corporindo Indonesia 79.06%; PT Caturkartika Perdana 10.42%; Public 10.52% (480,000,000 shares total)</t>
        </is>
      </c>
      <c r="L34" s="6" t="inlineStr">
        <is>
          <t>Listed (IDX: FISH) since 18 Jan 2002</t>
        </is>
      </c>
      <c r="M34" s="6" t="inlineStr">
        <is>
          <t>Distribution and trading of agricultural commodities (feed ingredients, food ingredients) with supporting warehousing, port handling, transportation and logistics.</t>
        </is>
      </c>
      <c r="N34" s="6" t="n"/>
      <c r="O34" s="6" t="n"/>
      <c r="P34" s="6" t="n"/>
      <c r="Q34" s="6" t="inlineStr">
        <is>
          <t>Reporting currency is USD (not IDR); revenue declined 7.7% YoY; net profit collapsed 61.2% YoY due to commodity price volatility and margin compression (gross margin 4.1% vs 5.1% prior year); high dependence on imported feed/food commodities; USD/IDR depreciation impact; equity declined YoY; opened new cargo-handling capacity at SGT Cilegon (2x1,000 tph).</t>
        </is>
      </c>
      <c r="R34" s="6" t="inlineStr">
        <is>
          <t>Agri-commodity trading &amp; distribution company (feed/food ingredients, logistics); NOT a palm-oil producer. 2024 revenue USD1,292 mn (-7.7% YoY); net profit slumped to USD9.6 mn (-61.2%), with ROA falling to 1.8% (2023: 5.0%). Share price rallied sharply in H2-2024 (Dec close Rp10,650 vs Rp5,525 in 2023, +93%). Limited relevance for palm upstream peer benchmarking except as trading/logistics reference. No plantation/mill/FFB data applicable.</t>
        </is>
      </c>
      <c r="S34" s="44" t="inlineStr">
        <is>
          <t>Other</t>
        </is>
      </c>
    </row>
    <row r="35" ht="15" customHeight="1" s="67">
      <c r="A35" s="6" t="inlineStr">
        <is>
          <t>PT Golden Plantation Tbk</t>
        </is>
      </c>
      <c r="B35" s="6" t="inlineStr">
        <is>
          <t>GOLL</t>
        </is>
      </c>
      <c r="C35" s="6" t="inlineStr">
        <is>
          <t>IDX</t>
        </is>
      </c>
      <c r="D35" s="6" t="n">
        <v>2020</v>
      </c>
      <c r="E35" s="6" t="inlineStr">
        <is>
          <t>GOLL_2020_AR.pdf</t>
        </is>
      </c>
      <c r="F35" s="6" t="inlineStr">
        <is>
          <t>Indonesia</t>
        </is>
      </c>
      <c r="G35" s="6" t="inlineStr">
        <is>
          <t>Indonesia</t>
        </is>
      </c>
      <c r="H35" s="6" t="inlineStr">
        <is>
          <t>Sumatra (South Sumatra, Jambi)</t>
        </is>
      </c>
      <c r="I35" s="6" t="inlineStr">
        <is>
          <t>Holding with two operating subsidiaries: PT Balaingu Capital Investment (90.0%, South Sumatra plantation) and PT Persada Alam Hijau (99.99%, Jambi plantation).</t>
        </is>
      </c>
      <c r="J35" s="6" t="inlineStr">
        <is>
          <t>PT Balaingu Capital Investment (90.0%, South Sumatra plantation, commercial since 2015, Rp309.9 bn assets); PT Persada Alam Hijau (99.99%, Jambi plantation, commercial since 2014, Rp116.4 bn assets).</t>
        </is>
      </c>
      <c r="K35" s="6" t="inlineStr">
        <is>
          <t>National and Foreign Corporation controlling shareholder (not further detailed in filing).</t>
        </is>
      </c>
      <c r="L35" s="6" t="inlineStr">
        <is>
          <t>Listed (IDX: GOLL)</t>
        </is>
      </c>
      <c r="M35" s="6" t="inlineStr">
        <is>
          <t>Oil palm plantation (Sector 1 Agriculture, Subsector 12 Plantation)</t>
        </is>
      </c>
      <c r="N35" s="6" t="n"/>
      <c r="O35" s="6" t="n"/>
      <c r="P35" s="6" t="n"/>
      <c r="Q35" s="6" t="inlineStr">
        <is>
          <t>Severely distressed financials: FY2020 revenue collapsed to Rp3.72 bn (vs Rp19.18 bn in 2019); net loss Rp383.2 bn (vs Rp68.3 bn in 2019) driven by Rp370.4 bn 'other expenses' tied to subsidiary disposal; total assets fell 82% YoY to Rp471.7 bn; equity dropped from Rp741 bn to Rp84 bn; non-controlling interests turned negative (-Rp109.3 bn); auditor issued QUALIFIED opinion; audit report dated 13 Nov 2022 (~22 months after year-end, indicative of ongoing issues); gross loss of Rp4.84 bn (COGS &gt; revenue); large subsidiary disposal (Rp370.4 bn, likely non-cash settlement/asset write-down); filing contains no operational disclosures (no planted area, FFB, CPO data). Company appears to be in wind-down or restructuring.</t>
        </is>
      </c>
      <c r="R35" s="6" t="inlineStr">
        <is>
          <t>PT Golden Plantation Tbk is a small Indonesian oil palm plantation holding company (IDX: GOLL) with plantation subsidiaries in South Sumatra and Jambi. The 2020 financial statements filing (submitted Nov 2022) is extremely limited - only an audited financial statements package without narrative annual report content. Financials show a company in severe distress: revenue only Rp3.72 bn, net loss Rp383.2 bn, equity nearly wiped out, and a qualified audit opinion. Major subsidiary disposal in 2020 reduced total assets by 82% YoY. No operational metrics (planted area, FFB/CPO production, mill capacity) are disclosed in the filing.</t>
        </is>
      </c>
      <c r="S35" s="44" t="inlineStr">
        <is>
          <t>Upstream</t>
        </is>
      </c>
    </row>
    <row r="36" ht="15" customHeight="1" s="67">
      <c r="A36" s="6" t="inlineStr">
        <is>
          <t>PT Gunanusa Eramandiri Tbk</t>
        </is>
      </c>
      <c r="B36" s="6" t="inlineStr">
        <is>
          <t>GUNA</t>
        </is>
      </c>
      <c r="C36" s="6" t="inlineStr">
        <is>
          <t>IDX</t>
        </is>
      </c>
      <c r="D36" s="6" t="n">
        <v>2024</v>
      </c>
      <c r="E36" s="6" t="inlineStr">
        <is>
          <t>GUNA_2024_AR.pdf</t>
        </is>
      </c>
      <c r="F36" s="6" t="inlineStr">
        <is>
          <t>Kawasan Industri BIIE Hyundai, Cikarang Selatan, Bekasi, Jawa Barat, Indonesia (Head Office)</t>
        </is>
      </c>
      <c r="G36" s="6" t="inlineStr">
        <is>
          <t>Indonesia</t>
        </is>
      </c>
      <c r="H36" s="6" t="inlineStr">
        <is>
          <t>Java (Cikarang, West Java + Pati, Central Java)</t>
        </is>
      </c>
      <c r="I36" s="6" t="inlineStr">
        <is>
          <t>Family-controlled holding with 4 individual founders/family members holding 80% (Tjokro Gunawan 24%, Ivan Cokro Saputra 24%, Cecilia Lanny Budiman 16%, Bernice Cokrosaputro 16%). Operates 3 plants: two in Cikarang (West Java) and one in Pati (Central Java).</t>
        </is>
      </c>
      <c r="J36" s="6" t="inlineStr">
        <is>
          <t>PT Cubic Indonesia (89%, industrial metal works/coating services), PT Mitrapak Eramandiri (32.5%, associate, soap/household cleaning/cosmetics), PT Ciptapangan Sukses Makmur (80%, food &amp; beverage wholesale trade), PT Gunanusa Agro Internasional Plantation (99%, in liquidation), Gunanusa Eramandiri International Sdn. Bhd. (100%, liquidated Jan 2025), PT Farmer Gunanusa Eramandiri (40% associate, in liquidation)</t>
        </is>
      </c>
      <c r="K36" s="6" t="inlineStr">
        <is>
          <t>Tjokro Gunawan 24%, Ivan Cokro Saputra 24%, Cecilia Lanny Budiman 16%, Bernice Cokrosaputro 16%, Public 20% (post-IPO)</t>
        </is>
      </c>
      <c r="L36" s="6" t="inlineStr">
        <is>
          <t>Listed (IDX: GUNA) - IPO on 9 July 2024</t>
        </is>
      </c>
      <c r="M36" s="6" t="inlineStr">
        <is>
          <t>Nut processing &amp; food manufacturing (NOT palm oil). Core products: chopped/sliced/whole almonds, cashews, hazelnuts, pistachios, walnuts, peanuts; nut milks; peanut butter/paste; snack nuts under brands Almonesia, John Farmers, Kagil, GENuts 2 Naga. Contract manufacturing/toll services (55.48% of revenue) is largest segment; key customer PT Unilever Indonesia ~56% of revenue.</t>
        </is>
      </c>
      <c r="N36" s="6" t="n"/>
      <c r="O36" s="6" t="n"/>
      <c r="P36" s="6" t="n"/>
      <c r="Q36" s="6" t="inlineStr">
        <is>
          <t>NOT A PALM OIL COMPANY - GUNA is a nut processing and consumer goods (food) manufacturer. Customer concentration risk: PT Unilever Indonesia ~56% of revenue, which suffered boycott-driven -7% sales decline in 2024. Operating cash flow turned negative (-Rp8.34 bn in 2024 vs +Rp125.08 bn in 2023). Short-term bank debt jumped 319% to Rp65 bn (HSBC import credit). Net profit -17% YoY. Two subsidiaries (GAI, GEI Sdn Bhd) being liquidated. Included in palm peer list appears to be erroneous; KBLI 10411 (crude vegetable oil) is a listed business scope but NOT active (explicitly excludes palm oil). Only linkage is a dormant subsidiary named 'Gunanusa Agro International Plantation' (0 assets, being liquidated).</t>
        </is>
      </c>
      <c r="R36" s="6" t="inlineStr">
        <is>
          <t>PT Gunanusa Eramandiri Tbk is a family-controlled Indonesian nut processor and food manufacturer that IPO'd on 9 July 2024 (raised Rp75 bn, listed 20% of shares). 2024 revenue grew 3.1% to Rp1,444 bn (US$~90 mn) but net profit fell 17% to Rp78.6 bn due to rising raw material costs and wage inflation. Core segments: contract manufacturing/toll services (55.5%, serving Unilever, Campina, Indofood CBP, Mayora, Arnott's etc.), own-brand nut product sales (39.6%), others (4.9%). Three processing plants (2 Cikarang, 1 Pati) produce ~9,200 tons of nuts/year (actual 2024: 8,314 tons). Total assets Rp980 bn (+29%), equity Rp679 bn (+24%). IMPORTANT: this is NOT a palm oil company - inclusion in the Indonesian palm peer list appears incorrect or is aspirational (one dormant plantation subsidiary is being liquidated).</t>
        </is>
      </c>
      <c r="S36" s="44" t="inlineStr">
        <is>
          <t>Other (Nut processing/food manufacturer, B2B contract manufacturing + own-branded nut products)</t>
        </is>
      </c>
    </row>
    <row r="37" ht="15" customHeight="1" s="67">
      <c r="A37" s="6" t="inlineStr">
        <is>
          <t>PT Gozco Plantations Tbk</t>
        </is>
      </c>
      <c r="B37" s="6" t="inlineStr">
        <is>
          <t>GZCO</t>
        </is>
      </c>
      <c r="C37" s="6" t="inlineStr">
        <is>
          <t>IDX</t>
        </is>
      </c>
      <c r="D37" s="6" t="n">
        <v>2022</v>
      </c>
      <c r="E37" s="6" t="inlineStr">
        <is>
          <t>GZCO_2022_AR.pdf</t>
        </is>
      </c>
      <c r="F37" s="6" t="inlineStr">
        <is>
          <t>Jakarta, Indonesia</t>
        </is>
      </c>
      <c r="G37" s="6" t="inlineStr">
        <is>
          <t>Indonesia</t>
        </is>
      </c>
      <c r="H37" s="6" t="inlineStr">
        <is>
          <t>South Sumatra / Central Kalimantan</t>
        </is>
      </c>
      <c r="I37" s="6" t="inlineStr">
        <is>
          <t>Controlled by PT Golden Zaga Indonesia (28.37%) and Tjandra Mindharta Gozali (26.37%, President Commissioner). Plantation operations via subsidiaries. Prajogo Pangestu held 7.84% stake (disappeared from 2023 shareholder list).</t>
        </is>
      </c>
      <c r="J37" s="6" t="inlineStr">
        <is>
          <t>Suryabumi (99.50%, Sumsel), Cahya Vidi (99.50%, Sumsel), Bumimas (99.50%, investment), Telaga Sari (99.99%, Kalteng), Palma (99.99%, investment), Pemdas (71.07%, Sumsel); non-operational: Siberut, Mentawai, Mitra Lintas, Siberut GPP, Mentawai GPP.</t>
        </is>
      </c>
      <c r="K37" s="6" t="inlineStr">
        <is>
          <t>PT Golden Zaga Indonesia 28.37%, Tjandra Mindharta Gozali 26.37%, Namdorj Chuluunbaatar 9.83%, Prajogo Pangestu 7.84%, Jamal Rosyidin Hakki 0.31%, Andrew Michael Vincent 0.01%, Ir Rudyansyah 0.03%, Public &lt;5% 27.27%. 17,861 total shareholders (local 85.45% / foreign 14.55%).</t>
        </is>
      </c>
      <c r="L37" s="6" t="inlineStr">
        <is>
          <t>Listed (IDX: GZCO), IPO 15 May 2008 @ Rp225/share</t>
        </is>
      </c>
      <c r="M37" s="6" t="inlineStr">
        <is>
          <t>Oil palm plantation (upstream only) via subsidiaries. Produces FFB, CPO, palm kernel. Single mill PKS SA at Suryabumi (90 T/hr).</t>
        </is>
      </c>
      <c r="N37" s="6" t="n"/>
      <c r="O37" s="6" t="n"/>
      <c r="P37" s="6" t="n"/>
      <c r="Q37" s="6" t="inlineStr">
        <is>
          <t>Revenue fell 22% YoY on 24% lower CPO sales volume (38,659 t vs 50,762 t 2021); Cahyavidi lost 5,000 ha location permit in Muara Enim due to non-conversion (total landbank cut from 22,189 ha to 17,188 ha); TSP Kalimantan still no mill (sells FFB); mill occupancy low; avg tree age 16 yrs 7 months; 76% of mature trees are &gt;10 yrs old (ageing profile); post-Covid operational environment.</t>
        </is>
      </c>
      <c r="R37" s="6" t="inlineStr">
        <is>
          <t>Small pure-upstream palm producer in Sumsel/Kalimantan. 2022 revenue -22% to Rp554.7 bn on lower CPO sales volume (-24%); however net profit jumped 5x to Rp75.8 bn (from Rp14.3 bn) on margin recovery (GM 22% vs 10% 2021). EBITDA Rp305.8 bn up 2%. Cahyavidi lost 5,000 ha location permit (landbank down from 22k to 17k ha). Single PKS SA mill 90 T/hr at Suryabumi only. 12,700 ha mature of 12,917 planted. Avg age 16 yrs 7 months. Capex Rp31.7 bn. Gearing 13%.</t>
        </is>
      </c>
      <c r="S37" s="44" t="inlineStr">
        <is>
          <t>Upstream</t>
        </is>
      </c>
    </row>
    <row r="38" ht="15" customHeight="1" s="67">
      <c r="A38" s="6" t="inlineStr">
        <is>
          <t>PT Gozco Plantations Tbk</t>
        </is>
      </c>
      <c r="B38" s="6" t="inlineStr">
        <is>
          <t>GZCO</t>
        </is>
      </c>
      <c r="C38" s="6" t="inlineStr">
        <is>
          <t>IDX</t>
        </is>
      </c>
      <c r="D38" s="6" t="n">
        <v>2023</v>
      </c>
      <c r="E38" s="6" t="inlineStr">
        <is>
          <t>GZCO_2023_AR.pdf</t>
        </is>
      </c>
      <c r="F38" s="6" t="inlineStr">
        <is>
          <t>Jakarta, Indonesia</t>
        </is>
      </c>
      <c r="G38" s="6" t="inlineStr">
        <is>
          <t>Indonesia</t>
        </is>
      </c>
      <c r="H38" s="6" t="inlineStr">
        <is>
          <t>South Sumatra / Central Kalimantan</t>
        </is>
      </c>
      <c r="I38" s="6" t="inlineStr">
        <is>
          <t>Controlled by PT Golden Zaga Indonesia (28.37%) and Tjandra Mindharta Gozali (26.37%, President Commissioner). Plantation operations via subsidiaries.</t>
        </is>
      </c>
      <c r="J38" s="6" t="inlineStr">
        <is>
          <t>Suryabumi (99.50%, Sumsel), Cahya Vidi (99.50%, Sumsel), Bumimas (99.50%, investment), Telaga Sari (99.99%, Kalteng), Palma (99.99%, investment), Pemdas (71.07%, Sumsel), non-operational: Siberut, Mentawai, Mitra Lintas, Siberut GPP, Mentawai GPP. SKM acquisition signed end-2023 via Suryabumi (consolidated from 2024).</t>
        </is>
      </c>
      <c r="K38" s="6" t="inlineStr">
        <is>
          <t>PT Golden Zaga Indonesia 28.37%, Tjandra Mindharta Gozali 26.37%, Nyamdorj Chuluunbaatar 9.85%, Jamal Rosyidin Hakki 0.30%, Andrew Michael Vincent 0.01%, Public &lt;5% 35.11%. 21,335 total shareholders (local 85.49% / foreign 14.51%).</t>
        </is>
      </c>
      <c r="L38" s="6" t="inlineStr">
        <is>
          <t>Listed (IDX: GZCO), IPO 15 May 2008 @ Rp225/share</t>
        </is>
      </c>
      <c r="M38" s="6" t="inlineStr">
        <is>
          <t>Oil palm plantation (upstream only) via subsidiaries. Produces FFB, CPO, palm kernel. Single mill (PKS SA) at Suryabumi.</t>
        </is>
      </c>
      <c r="N38" s="6" t="n"/>
      <c r="O38" s="6" t="n"/>
      <c r="P38" s="6" t="n"/>
      <c r="Q38" s="6" t="inlineStr">
        <is>
          <t>Net profit collapsed 97% to Rp2.4 bn from Rp75.8 bn (2022) on lower CPO prices (-6.9%) and kernel (-28%); gross margin halved to 12.6% (from 22.1%); EBIT down 68%; Mill occupancy only ~60%; TSP estate in Kalimantan must sell FFB (no mill); 20% of mature trees are &lt;9 yrs requiring cash subsidy; avg tree age 17 yrs 4 months (ageing).</t>
        </is>
      </c>
      <c r="R38" s="6" t="inlineStr">
        <is>
          <t>Small pure-upstream palm producer. 2023 revenue +34% to Rp744.3 bn on higher CPO sales volume (+54% to 59,395 t) despite lower prices (-6.9%). Net profit collapsed 97% to Rp2.4 bn due to cost pressure. EBITDA Rp169 bn (-45%). Cash position strong at Rp355 bn. Gearing 14%. Capex Rp93 bn (triple 2022) largely for replanting/new plantings. 12,452 ha mature of 13,114 ha total; 76% of mature trees &gt;10 yrs. Avg age 17 yrs 4 months. Planning SKM acquisition (closed early 2024).</t>
        </is>
      </c>
      <c r="S38" s="44" t="inlineStr">
        <is>
          <t>Upstream</t>
        </is>
      </c>
    </row>
    <row r="39" ht="15" customHeight="1" s="67">
      <c r="A39" s="6" t="inlineStr">
        <is>
          <t>PT Gozco Plantations Tbk</t>
        </is>
      </c>
      <c r="B39" s="6" t="inlineStr">
        <is>
          <t>GZCO</t>
        </is>
      </c>
      <c r="C39" s="6" t="inlineStr">
        <is>
          <t>IDX</t>
        </is>
      </c>
      <c r="D39" s="6" t="n">
        <v>2024</v>
      </c>
      <c r="E39" s="6" t="inlineStr">
        <is>
          <t>GZCO_2024_AR.pdf</t>
        </is>
      </c>
      <c r="F39" s="6" t="inlineStr">
        <is>
          <t>Jakarta, Indonesia</t>
        </is>
      </c>
      <c r="G39" s="6" t="inlineStr">
        <is>
          <t>Indonesia</t>
        </is>
      </c>
      <c r="H39" s="6" t="inlineStr">
        <is>
          <t>South Sumatra / West Kalimantan / Central Kalimantan</t>
        </is>
      </c>
      <c r="I39" s="6" t="inlineStr">
        <is>
          <t>Controlled by PT Golden Zaga Indonesia (28.37%) and Tjandra Mindharta Gozali (26.37%) as President Commissioner; operates plantations through subsidiaries. New subsidiary SKM (PT Sinar Karya Mandiri, W. Kalimantan) consolidated from Feb 2024.</t>
        </is>
      </c>
      <c r="J39" s="6" t="inlineStr">
        <is>
          <t>Suryabumi (99.50%, Sumsel), Cahya Vidi (99.50%, Sumsel), Bumimas (99.50%, investment), Telaga Sari (99.99%, Kalteng), Palma (99.99%, investment), Pemdas (71.07%, Sumsel), SKM (99.99%, Kalbar, acquired Feb 2024 via Suryabumi), plus non-operational Siberut, Mentawai, Mitra Lintas, Siberut GPP, Mentawai GPP.</t>
        </is>
      </c>
      <c r="K39" s="6" t="inlineStr">
        <is>
          <t>PT Golden Zaga Indonesia 28.37%, Tjandra Mindharta Gozali 26.37%, Nyamdorj Chuluunbaatar 9.85%, Jamal Rosyidin Hakki 0.30%, Andrew Michael Vincent 0.00%, Public &lt;5% 35.11%. 14,817 total shareholders (local 85.5% / foreign 14.5%).</t>
        </is>
      </c>
      <c r="L39" s="6" t="inlineStr">
        <is>
          <t>Listed (IDX: GZCO), IPO 15 May 2008 @ Rp225/share</t>
        </is>
      </c>
      <c r="M39" s="6" t="inlineStr">
        <is>
          <t>Oil palm plantation (upstream only) - FFB harvest, CPO and palm kernel processing through subsidiaries; small-scale producer (~0.07% of national planted area).</t>
        </is>
      </c>
      <c r="N39" s="6" t="n"/>
      <c r="O39" s="6" t="n"/>
      <c r="P39" s="6" t="n"/>
      <c r="Q39" s="6" t="inlineStr">
        <is>
          <t>Small scale operator (&lt;0.07% national area); FFB processed down 9% YoY (227k-&gt;207k t); CPO production down 13% YoY; OER declined to 21.25% (from 22.16%) due to El Nino drought; only 1 mill at Suryabumi (90 T/hr) - Kalimantan estates (TSP, SKM) sell FFB since they have no processing facility; gearing rose to 22% (from 14%); liquidity ratio fell to 0.56x (current ratio below 1); net working capital negative Rp(224.6) bn.</t>
        </is>
      </c>
      <c r="R39" s="6" t="inlineStr">
        <is>
          <t>Small pure-upstream palm producer in Sumsel/Kalimantan. 2024 revenue +8% to Rp804.6 bn on higher CPO prices (+18% to Rp13.12m/t) offsetting 25% CPO volume decline. Net profit jumped 26x to Rp62.4 bn (from Rp2.4 bn) on improved gross margin (20% vs 13%). SKM acquisition added 9,610 ha landbank (total 26,798 ha). Planted area grew to 15,596 ha (89% mature). Old ageing profile: 66% of mature trees &gt;10 yrs, avg 16 yrs. Capex only Rp22 bn vs plan Rp93 bn - cash prioritized for working capital. ISPO certification extended to SKM.</t>
        </is>
      </c>
      <c r="S39" s="44" t="inlineStr">
        <is>
          <t>Upstream</t>
        </is>
      </c>
    </row>
    <row r="40" ht="15" customHeight="1" s="67">
      <c r="A40" s="6" t="inlineStr">
        <is>
          <t>PT Indo Pureco Pratama Tbk</t>
        </is>
      </c>
      <c r="B40" s="6" t="inlineStr">
        <is>
          <t>IPPE</t>
        </is>
      </c>
      <c r="C40" s="6" t="inlineStr">
        <is>
          <t>IDX</t>
        </is>
      </c>
      <c r="D40" s="6" t="n">
        <v>2023</v>
      </c>
      <c r="E40" s="6" t="inlineStr">
        <is>
          <t>IPPE_2023_AR.pdf</t>
        </is>
      </c>
      <c r="F40" s="6" t="inlineStr">
        <is>
          <t>Subang, West Java, Indonesia</t>
        </is>
      </c>
      <c r="G40" s="6" t="inlineStr">
        <is>
          <t>Indonesia</t>
        </is>
      </c>
      <c r="H40" s="6" t="inlineStr">
        <is>
          <t>Java (Subang, West Java)</t>
        </is>
      </c>
      <c r="I40" s="6" t="inlineStr">
        <is>
          <t>Part of PT Lembur Sadaya Investama group; ultimate controller PT Sapihanean Pangan Lestari. Major shareholders: PT Lembur Sadaya Investama 35.22%, PT Sumber Sentosa Adikarya 6.09%, Asep Sulaeman Sabanda (President Commissioner) 5.21%, Public 53.48%.</t>
        </is>
      </c>
      <c r="J40" s="6" t="inlineStr">
        <is>
          <t>PT Agrindo Lestari Jaya (ALJ) - 99.999% owned, domiciled in Subang (Trade/coconut industry); Pre-operating status. ALJ holds 13,587 ha location permit in Katingan, Central Kalimantan for horticultural/coconut plantation (permit in renewal process).</t>
        </is>
      </c>
      <c r="K40" s="6" t="inlineStr">
        <is>
          <t>PT Lembur Sadaya Investama 35.22%, PT Sumber Sentosa Adikarya 6.09%, Asep Sulaeman Sabanda 5.21%, Public 53.48%. Total shares 4,600,000,000.</t>
        </is>
      </c>
      <c r="L40" s="6" t="inlineStr">
        <is>
          <t>Listed (IDX: IPPE) since 9 December 2021</t>
        </is>
      </c>
      <c r="M40" s="6" t="inlineStr">
        <is>
          <t>Coconut oil processing (NOT palm oil) - Crude Coconut Oil (CCO), Pure Cooking Oil (PCO), Virgin Coconut Oil (VCO), Copra Meal (Bungkil Kelapa). KBLI 10422 Crude Coconut Oil Industry, KBLI 10773 Coconut Cooking Products, KBLI 10423 Coconut Cooking Oil Industry.</t>
        </is>
      </c>
      <c r="N40" s="6" t="n"/>
      <c r="O40" s="6" t="n"/>
      <c r="P40" s="6" t="n"/>
      <c r="Q40" s="6" t="inlineStr">
        <is>
          <t>NOT A PALM OIL COMPANY - processes coconut (kelapa) not oil palm (kelapa sawit). Very small scale (revenue only Rp35.7 bn). Stock price stuck at Rp50 floor throughout most of 2023 with thin trading volume. Main challenge: managing copra raw material availability. Heavy advances (Rp86.4 bn) to suppliers constitutes majority of current assets. Subsidiary ALJ still pre-operating since 2020 acquisition. Negative operating cash flow in 2023 (-Rp2.15 bn). Did not pay dividend in 2023.</t>
        </is>
      </c>
      <c r="R40" s="6" t="inlineStr">
        <is>
          <t>PT Indo Pureco Pratama Tbk is a small-cap COCONUT (not palm) oil processor based in Subang, West Java. Operates a single coconut flesh processing factory in Balingbing, Pagaden Barat, Subang. 2023 revenue Rp35.73 bn (+2.03% YoY), net profit Rp3.86 bn (+8.34% YoY). Main products: Crude Coconut Oil (86.08% of sales) and Copra Meal/Bungkil Kelapa (13.92%). Total assets Rp301.27 bn largely from fixed assets Rp201.3 bn (factory) and advances Rp86.4 bn. Added Rp7 bn long-term bank loan in 2023. Listed on IDX since Dec 2021. Should likely be excluded from palm oil long-list - this is a coconut processor, not palm plantation/refiner.</t>
        </is>
      </c>
      <c r="S40" s="44" t="inlineStr">
        <is>
          <t>Downstream (coconut processing - buys copra/coconut raw materials from third-party suppliers)</t>
        </is>
      </c>
    </row>
    <row r="41" ht="15" customHeight="1" s="67">
      <c r="A41" s="6" t="inlineStr">
        <is>
          <t>PT Jhonlin Agro Raya Tbk</t>
        </is>
      </c>
      <c r="B41" s="6" t="inlineStr">
        <is>
          <t>JARR</t>
        </is>
      </c>
      <c r="C41" s="6" t="inlineStr">
        <is>
          <t>IDX</t>
        </is>
      </c>
      <c r="D41" s="6" t="n">
        <v>2022</v>
      </c>
      <c r="E41" s="6" t="inlineStr">
        <is>
          <t>JARR_2022_AR.pdf</t>
        </is>
      </c>
      <c r="F41" s="6" t="inlineStr">
        <is>
          <t>Batulicin, Tanah Bumbu, South Kalimantan, Indonesia</t>
        </is>
      </c>
      <c r="G41" s="6" t="inlineStr">
        <is>
          <t>Indonesia</t>
        </is>
      </c>
      <c r="H41" s="6" t="inlineStr">
        <is>
          <t>South Kalimantan (Tanah Bumbu &amp; Kotabaru)</t>
        </is>
      </c>
      <c r="I41" s="6" t="inlineStr">
        <is>
          <t>Part of Jhonlin Group. Direct parent: PT Eshan Agro Sentosa (EAS) 84.64%; ultimate controller PT Jhonlin Group / H. Samsudin Andi Arsyad family.</t>
        </is>
      </c>
      <c r="J41" s="6" t="inlineStr">
        <is>
          <t>None (standalone) - Company operates its own plantation, biodiesel plant, refinery &amp; cooking oil factory. Plasma partner: Koperasi Jasa Maju Mulia Sejahtera.</t>
        </is>
      </c>
      <c r="K41" s="6" t="inlineStr">
        <is>
          <t>PT Eshan Agro Sentosa 84.64% (Controller), PT Sinar Bintang Mulia 0.08%, Public 15.28% (total 8,000,000,000 shares as of 31 Dec 2022)</t>
        </is>
      </c>
      <c r="L41" s="6" t="inlineStr">
        <is>
          <t>Listed (IDX: JARR) - IPO 4 August 2022</t>
        </is>
      </c>
      <c r="M41" s="6" t="inlineStr">
        <is>
          <t>Palm oil plantation + biodiesel (FAME) production + refinery/cooking oil. Revenue dominated by FAME sales to PT Pertamina Patra Niaga.</t>
        </is>
      </c>
      <c r="N41" s="6" t="n"/>
      <c r="O41" s="6" t="n"/>
      <c r="P41" s="6" t="n"/>
      <c r="Q41" s="6" t="inlineStr">
        <is>
          <t>Extreme customer concentration - ~97% of revenue from FAME sales to PT Pertamina (Persero) under government-allocated quotas; still purchasing all CPO from third parties (own PKS under construction); high gearing (D/E 160%); new IPO entity with small PT (planted 10,264.87 ha of 17,020 ha HGU); net profit below target (Rp41.7bn vs Rp88.9bn budgeted).</t>
        </is>
      </c>
      <c r="R41" s="6" t="inlineStr">
        <is>
          <t>Jhonlin Agro Raya - newly-IPO'd (Aug 2022) South Kalimantan palm-biodiesel player part of Jhonlin Group. FY2022 revenue Rp4,708bn (+659% YoY) driven by full-year FAME (biodiesel) sales to Pertamina, net profit Rp41.7bn (+163%). Owns 1,500 TPD biodiesel plant (operating since Sep 2021), 250 TPD cooking oil factory (built 2022), and is constructing own 60 TPH PKS (completion targeted Dec 2023). Plantation 17,020 Ha HGU; 10,264.87 Ha planted, 9,370.35 Ha producing. IPO raised Rp361.8bn (gross Rp366.9bn).</t>
        </is>
      </c>
      <c r="S41" s="44" t="inlineStr">
        <is>
          <t>Integrated</t>
        </is>
      </c>
    </row>
    <row r="42" ht="15" customHeight="1" s="67">
      <c r="A42" s="6" t="inlineStr">
        <is>
          <t>PT Jhonlin Agro Raya Tbk</t>
        </is>
      </c>
      <c r="B42" s="6" t="inlineStr">
        <is>
          <t>JARR</t>
        </is>
      </c>
      <c r="C42" s="6" t="inlineStr">
        <is>
          <t>IDX</t>
        </is>
      </c>
      <c r="D42" s="6" t="n">
        <v>2023</v>
      </c>
      <c r="E42" s="6" t="inlineStr">
        <is>
          <t>JARR_2023_AR.pdf</t>
        </is>
      </c>
      <c r="F42" s="6" t="inlineStr">
        <is>
          <t>Batulicin, Tanah Bumbu, South Kalimantan, Indonesia</t>
        </is>
      </c>
      <c r="G42" s="6" t="inlineStr">
        <is>
          <t>Indonesia</t>
        </is>
      </c>
      <c r="H42" s="6" t="inlineStr">
        <is>
          <t>South Kalimantan (Tanah Bumbu &amp; Kotabaru)</t>
        </is>
      </c>
      <c r="I42" s="6" t="inlineStr">
        <is>
          <t>Part of Jhonlin Group. Parent: PT Eshan Agro Sentosa 84.64% (Controller); Ultimate controllers H. Samsudin Andi Arsyad / H. Sudirman Andi Arsyad / Jhony Saputra via PT Jhonlin Group (92.51% EAS parent) and related holding entities. Company moved from IDX Development Board to Main Board in 2023.</t>
        </is>
      </c>
      <c r="J42" s="6" t="inlineStr">
        <is>
          <t>Merged with PT Jhonlin Agro Lestari (JAL) on 24 Nov 2023 (business combination under common control) - JAL status terminated by law; JAL's plantation (~10,916 ha) absorbed into JARR, expanding HGU from 17,020 ha to 27,936.72 ha. Plasma partner: Koperasi Jasa Maju Mulia Sejahtera (518.12 ha).</t>
        </is>
      </c>
      <c r="K42" s="6" t="inlineStr">
        <is>
          <t>PT Eshan Agro Sentosa 84.64% (Controller), PT Sinar Bintang Mulia 0.07%, PT Jhonlin Agro Mandiri 0.04%, Public 13.25% (total 9,230,665,050 shares as of 31 Dec 2023, up from 8,000,000,000 in Jan 2023 due to merger share issuance)</t>
        </is>
      </c>
      <c r="L42" s="6" t="inlineStr">
        <is>
          <t>Listed (IDX: JARR) - moved to Main Board in 2023</t>
        </is>
      </c>
      <c r="M42" s="6" t="inlineStr">
        <is>
          <t>Biodiesel (FAME) + palm oil plantation + refinery/cooking oil; revenue dominated by FAME sales to PT Pertamina Patra Niaga.</t>
        </is>
      </c>
      <c r="N42" s="6" t="n"/>
      <c r="O42" s="6" t="n"/>
      <c r="P42" s="6" t="n"/>
      <c r="Q42" s="6" t="inlineStr">
        <is>
          <t>Customer concentration: FAME sales to Pertamina dominate revenue; FAME allocation depends on government quota; high leverage (D/E 153%, Utang Bank Rp1.924 tn); revenue -4.5% YoY due to lower FAME avg price (Rp10,985/L vs Rp12,377/L in 2022); merger with related party JAL (proforma adjustment of Rp90.97 bn to net profit); new Rp500 bn long-term investment credit signed Nov 2023 at 7.5% for PKS completion.</t>
        </is>
      </c>
      <c r="R42" s="6" t="inlineStr">
        <is>
          <t>Restated under common-control merger with PT Jhonlin Agro Lestari (24 Nov 2023), effectively tripling plantation footprint to 27,937 ha HGU and 17,964.70 ha planted (14,961 ha mature). FY2023 revenue Rp4,442 bn (-4.5% YoY, lower FAME price partly offset by 135% FFB target achievement of 208,107 t). Net profit Rp77.3 bn (+86% YoY, pro-forma). PKS (60 TPH) completed late 2023. FAME volume 310,678 KL (93% of 333,562 KL target). New Rp500 bn investment credit from Bank Mandiri signed Nov 2023.</t>
        </is>
      </c>
      <c r="S42" s="44" t="inlineStr">
        <is>
          <t>Integrated</t>
        </is>
      </c>
    </row>
    <row r="43" ht="15" customHeight="1" s="67">
      <c r="A43" s="6" t="inlineStr">
        <is>
          <t>PT Jhonlin Agro Raya Tbk</t>
        </is>
      </c>
      <c r="B43" s="6" t="inlineStr">
        <is>
          <t>JARR</t>
        </is>
      </c>
      <c r="C43" s="6" t="inlineStr">
        <is>
          <t>IDX</t>
        </is>
      </c>
      <c r="D43" s="6" t="n">
        <v>2024</v>
      </c>
      <c r="E43" s="6" t="inlineStr">
        <is>
          <t>JARR_2024_AR.pdf</t>
        </is>
      </c>
      <c r="F43" s="6" t="inlineStr">
        <is>
          <t>Batulicin, Tanah Bumbu, South Kalimantan, Indonesia</t>
        </is>
      </c>
      <c r="G43" s="6" t="inlineStr">
        <is>
          <t>Indonesia</t>
        </is>
      </c>
      <c r="H43" s="6" t="inlineStr">
        <is>
          <t>South Kalimantan (Tanah Bumbu &amp; Kotabaru)</t>
        </is>
      </c>
      <c r="I43" s="6" t="inlineStr">
        <is>
          <t>Part of Jhonlin Group. Controlling shareholder PT Eshan Agro Sentosa (EAS) 86.64%; ultimate controlling family H. Samsudin Andi Arsyad / H. Sudirman Andi Arsyad / Jhony Saputra via PT Jhonlin Group.</t>
        </is>
      </c>
      <c r="J43" s="6" t="inlineStr">
        <is>
          <t>None (standalone). JAL merged into JARR in Nov 2023 (entities under common control). Plasma partner: Koperasi Jasa Maju Mulia Sejahtera (518.12 ha).</t>
        </is>
      </c>
      <c r="K43" s="6" t="inlineStr">
        <is>
          <t>PT Eshan Agro Sentosa 86.64% (Controller), PT Sinar Bintang Mulia 0.07%, PT Jhonlin Agro Mandiri 0.05%, Public 13.25% (total 9,230,665,050 shares as of 31 Dec 2024)</t>
        </is>
      </c>
      <c r="L43" s="6" t="inlineStr">
        <is>
          <t>Listed (IDX: JARR, Main Board since 2023)</t>
        </is>
      </c>
      <c r="M43" s="6" t="inlineStr">
        <is>
          <t>Biodiesel (FAME) production + integrated palm oil plantation + CPO/cooking oil refinery. FAME remains primary revenue driver via Pertamina/AKR/Andifa contracts.</t>
        </is>
      </c>
      <c r="N43" s="6" t="n"/>
      <c r="O43" s="6" t="n"/>
      <c r="P43" s="6" t="n"/>
      <c r="Q43" s="6" t="inlineStr">
        <is>
          <t>Revenue -13% YoY (lower FAME + FFB sales); FAME volume fell to 272,596 KL (down from 310,678 KL in 2023); FFB production only 65% of 244,080 t target (actual 159,688 t); still highly leveraged (D/E 141%, gross debt Rp1.94 tn); customer concentration on biodiesel buyers (Pertamina Patra Niaga, AKR Corporindo, Andifa Perkasa Energi); auditor change to Heliantono &amp; Rekan (from Kanaka Puradiredja Suhartono).</t>
        </is>
      </c>
      <c r="R43" s="6" t="inlineStr">
        <is>
          <t>2024 delivered strongly improved profitability despite lower revenue. Revenue Rp3,865 bn (-13% YoY) but net profit surged to Rp260.7 bn (+237% YoY) on sharp GP margin recovery to 12.5% (vs 8.7%) as own-PKS CPO internally sourced ~15% of needs, cutting third-party CPO cost. Total planted area 18,226 ha (10,668 ha mature); HGU 27,937 ha. Auditor changed to Heliantono &amp; Rekan. EBITDA/sales ratio 6.15 reported; D/E 141%; FAME sales 272,596 KL. Plans to lift internal CPO to 20-25% in 2025.</t>
        </is>
      </c>
      <c r="S43" s="44" t="inlineStr">
        <is>
          <t>Integrated</t>
        </is>
      </c>
    </row>
    <row r="44" ht="15" customHeight="1" s="67">
      <c r="A44" s="6" t="inlineStr">
        <is>
          <t>PT Jaya Agra Wattie Tbk</t>
        </is>
      </c>
      <c r="B44" s="6" t="inlineStr">
        <is>
          <t>JAWA</t>
        </is>
      </c>
      <c r="C44" s="6" t="inlineStr">
        <is>
          <t>IDX</t>
        </is>
      </c>
      <c r="D44" s="6" t="n">
        <v>2022</v>
      </c>
      <c r="E44" s="6" t="inlineStr">
        <is>
          <t>JAWA_2022_AR.pdf</t>
        </is>
      </c>
      <c r="F44" s="6" t="inlineStr">
        <is>
          <t>Jakarta, Indonesia</t>
        </is>
      </c>
      <c r="G44" s="6" t="inlineStr">
        <is>
          <t>Indonesia</t>
        </is>
      </c>
      <c r="H44" s="6" t="inlineStr">
        <is>
          <t>Java (rubber, tea, coffee) + Kalimantan Selatan (oil palm + rubber)</t>
        </is>
      </c>
      <c r="I44" s="6" t="inlineStr">
        <is>
          <t>Controlled by PT Sarana Agro Investama (SAI) 80.00% (3,019,748,385 shares); SAI acquired JAWA from PT Sinar Kasih Abadi (SKA) in Sept 2017. 19 Dec 2022 EGMS approved Rp1 trillion zero-interest affiliate loan from SAI.</t>
        </is>
      </c>
      <c r="J44" s="6" t="inlineStr">
        <is>
          <t>12 operating plantation subsidiaries: PT Agri Bumi Sentosa (ABS, palm+rubber, S.Kalimantan), PT Kintap Jaya Wattindo (KJW, palm+rubber), PT Anugrah Wattiendo (AW, palm), PT Indo Java Rubber Planting Co (IJR, rubber, Cilacap), PT Kaliduren Estate (KE, tea+rubber+coffee, Jember/Sukabumi), PT Perkebunan Kroewoek (PK, rubber, Bayah), PT Bumi Prada (BP, rubber, S.Kalimantan), PT Mulyaningsih (MN, coffee+rubber, Jember), PT Banjoemas Landen (BL, rubber, Cilacap), PT Corah Mas Keputren (CMK, tea+coffee+rubber, Jember), PT Perkebunan Biting (PB, rubber, Kendal), PT Cipanyusuhan (CP, rubber, Lebak); plus PT Toraja Agra Wattie (Sulawesi).</t>
        </is>
      </c>
      <c r="K44" s="6" t="inlineStr">
        <is>
          <t>PT Sarana Agro Investama 80.00% (3,019,748,385 shares), Public 19.996% (754,804,615 shares), Rohadi 0.004% (132,500 shares). Total 3,774,685,500 shares. Pre-PMTHMETD structure.</t>
        </is>
      </c>
      <c r="L44" s="6" t="inlineStr">
        <is>
          <t>Listed (IDX: JAWA) since 20 May 2011. No trading suspensions in 2022. Authorized capital: 10,000,000,000 shares (pre-increase). Closing price Q4 2022: Rp105.</t>
        </is>
      </c>
      <c r="M44" s="6" t="inlineStr">
        <is>
          <t>Diversified plantation: rubber (core), palm oil (2 mills S.Kalimantan), tea, coffee - integrated upstream + downstream processing</t>
        </is>
      </c>
      <c r="N44" s="6" t="n"/>
      <c r="O44" s="6" t="n"/>
      <c r="P44" s="6" t="n"/>
      <c r="Q44" s="6" t="inlineStr">
        <is>
          <t>Extreme DER 2,932% (Liabilities Rp3.47 tn vs Equity Rp118 bn); equity nearly wiped out by accumulated deficit Rp1.34 tn; ROE -254.9%; net loss Rp302 bn (2nd consecutive year); CFO -Rp138 bn; cash fell 85% to Rp1.98 bn; dependent on SAI related-party zero-interest loans (Rp950 bn LT + Rp1 tn new approved 19 Dec 2022); gross margin only 2.81%; tree productivity FFB yield fell to 4.94 t/ha (-10%).</t>
        </is>
      </c>
      <c r="R44" s="6" t="inlineStr">
        <is>
          <t>PT Jaya Agra Wattie 2022: sharp deterioration - revenue +15% to Rp972 bn on higher CPO prices (+30%) but net loss widened to Rp302 bn (+69% vs Rp178 bn in 2021) as COGS rose 24% (rubber, wood and FFB procurement + fabrication costs). Balance sheet extremely stressed: equity fell to Rp118 bn (-47% YoY); LT related-party debt to SAI rose to Rp950 bn; bank debt Rp2.23 tn. 19 Dec 2022 EGMS approved additional Rp1 tn SAI loan. Planted area stable at 44,027 ha (palm nucleus 37,515 + plasma 6,512). 2 POMs 513,000 t/y capacity (45.8% util). FFB production fell to 81,206 t (-10%) but CPO extraction still 20.42%. Set stage for 2023 equity conversion rescue.</t>
        </is>
      </c>
      <c r="S44" s="44" t="inlineStr">
        <is>
          <t>Integrated</t>
        </is>
      </c>
    </row>
    <row r="45" ht="15" customHeight="1" s="67">
      <c r="A45" s="6" t="inlineStr">
        <is>
          <t>PT Jaya Agra Wattie Tbk</t>
        </is>
      </c>
      <c r="B45" s="6" t="inlineStr">
        <is>
          <t>JAWA</t>
        </is>
      </c>
      <c r="C45" s="6" t="inlineStr">
        <is>
          <t>IDX</t>
        </is>
      </c>
      <c r="D45" s="6" t="n">
        <v>2023</v>
      </c>
      <c r="E45" s="6" t="inlineStr">
        <is>
          <t>JAWA_2023_AR.pdf</t>
        </is>
      </c>
      <c r="F45" s="6" t="inlineStr">
        <is>
          <t>Jakarta, Indonesia</t>
        </is>
      </c>
      <c r="G45" s="6" t="inlineStr">
        <is>
          <t>Indonesia</t>
        </is>
      </c>
      <c r="H45" s="6" t="inlineStr">
        <is>
          <t>Java (rubber, tea, coffee) + Kalimantan Selatan (oil palm + rubber)</t>
        </is>
      </c>
      <c r="I45" s="6" t="inlineStr">
        <is>
          <t>Controlled by PT Sarana Agro Investama (SAI) post rights issue 95.35%; SAI ultimately owned by GMT Kapital Asia group. Acquired JAWA in Sept 2017 from PT Sinar Kasih Abadi. 22 Nov 2023: PMTHMETD (rights issue without pre-emptive rights) converted Rp1.25 tn SAI debt into 12.46 bn new shares (dilution 76.74%), increasing total shares from 3.77 bn to 16.23 bn.</t>
        </is>
      </c>
      <c r="J45" s="6" t="inlineStr">
        <is>
          <t>12 operating plantation subsidiaries: PT Agri Bumi Sentosa (ABS, palm+rubber, S.Kalimantan), PT Kintap Jaya Wattindo (KJW, palm+rubber), PT Anugrah Wattiendo (AW, palm), PT Indo Java Rubber Planting Co (IJR, rubber, Cilacap), PT Kaliduren Estate (KE, tea+rubber+coffee), PT Perkebunan Kroewoek (PK, rubber), PT Bumi Prada (BP, rubber), PT Mulyaningsih (MN, coffee+rubber), PT Banjoemas Landen (BL, rubber), PT Corah Mas Keputren (CMK), PT Perkebunan Biting (PB, rubber), PT Cipanyusuhan (CP, rubber); PT Toraja Agra Wattie.</t>
        </is>
      </c>
      <c r="K45" s="6" t="inlineStr">
        <is>
          <t>Post-PMTHMETD: PT Sarana Agro Investama 95.35% (15,478,014,727 shares), Public 4.65% (754,804,615 shares), Rohadi 0.001%; Total 16,232,951,842. Before: SAI ~80%, Public 20% (3,774,685,500 shares).</t>
        </is>
      </c>
      <c r="L45" s="6" t="inlineStr">
        <is>
          <t>Listed (IDX: JAWA) since 20 May 2011. 2023 key event: PMTHMETD 22 Nov 2023 - Rp1.25 tn SAI debt-to-equity conversion at Rp100/sh. Temporary trading suspensions: 10 Oct 2023 (unusual trading), 17-31 Oct 2023 (unusual trading); put on Special Monitoring (Criteria 10) 1-30 Nov 2023.</t>
        </is>
      </c>
      <c r="M45" s="6" t="inlineStr">
        <is>
          <t>Diversified plantation: rubber (dominant by area), palm oil (2 mills in S.Kalimantan), tea, coffee - integrated upstream + downstream processing</t>
        </is>
      </c>
      <c r="N45" s="6" t="n"/>
      <c r="O45" s="6" t="n"/>
      <c r="P45" s="6" t="n"/>
      <c r="Q45" s="6" t="inlineStr">
        <is>
          <t>Net loss Rp304 bn (3rd consecutive year); gross profit negative -Rp16 bn (GPM -1.78%); DER 272% vs 2,932% in 2022 (improved by debt-equity conversion); total liabilities reduced 23% from 2022 via SAI debt conversion; LT bank debt Rp1.61 tn; CFO -Rp121 bn; FFB production +21% but rubber SH production -55%; IDX unusual-trading suspension incidents and Special Monitoring classification; 76.7% dilution.</t>
        </is>
      </c>
      <c r="R45" s="6" t="inlineStr">
        <is>
          <t>PT Jaya Agra Wattie: 2023 transition year - company completed PMTHMETD on 22 Nov 2023 converting Rp1.25 tn controlling-shareholder SAI debt into equity, restoring equity from Rp118 bn (2022) to Rp982 bn (+729%). Revenue declined 7.8% to Rp896 bn due to weaker rubber commodity prices. Net loss Rp304 bn (-34% margin) but FFB production rose 21% to 98,357 t; CPO rose 11% to 53,447 t. Rubber production diverged (nucleus -10%, SH -55%). Total assets Rp3.66 tn; bank debt Rp1.96 tn (ST 125 + LT 1.84 tn); related-party loan cut from Rp950 bn to Rp417 bn following conversion. Classified under Special Monitoring Criteria 10 briefly in Nov 2023.</t>
        </is>
      </c>
      <c r="S45" s="44" t="inlineStr">
        <is>
          <t>Integrated</t>
        </is>
      </c>
    </row>
    <row r="46" ht="15" customHeight="1" s="67">
      <c r="A46" s="6" t="inlineStr">
        <is>
          <t>PT Jaya Agra Wattie Tbk</t>
        </is>
      </c>
      <c r="B46" s="6" t="inlineStr">
        <is>
          <t>JAWA</t>
        </is>
      </c>
      <c r="C46" s="6" t="inlineStr">
        <is>
          <t>IDX</t>
        </is>
      </c>
      <c r="D46" s="6" t="n">
        <v>2024</v>
      </c>
      <c r="E46" s="6" t="inlineStr">
        <is>
          <t>JAWA_2024_AR.pdf</t>
        </is>
      </c>
      <c r="F46" s="6" t="inlineStr">
        <is>
          <t>Jakarta, Indonesia</t>
        </is>
      </c>
      <c r="G46" s="6" t="inlineStr">
        <is>
          <t>Indonesia</t>
        </is>
      </c>
      <c r="H46" s="6" t="inlineStr">
        <is>
          <t>Java (rubber, tea, coffee) + Kalimantan Selatan (oil palm + rubber)</t>
        </is>
      </c>
      <c r="I46" s="6" t="inlineStr">
        <is>
          <t>Controlled by PT Sarana Agro Investama (SAI) 92.499%; SAI ultimate beneficial owners: Irwan A. Dinata 26.58%, Djaja Mulia 21.3%, Adi I. Hartono 24.37%, T Marto Sutiono 19.09%, Mohammad Syahrial 6.45%, Rachmat Saptaman 2.21%; PT GMT Kapital Asia 99.96%. Acquired by SAI from PT Sinar Kasih Abadi (SKA) in Sept 2017.</t>
        </is>
      </c>
      <c r="J46" s="6" t="inlineStr">
        <is>
          <t>12 operating plantation subsidiaries: PT Agri Bumi Sentosa (ABS 99%, palm+rubber, S.Kalimantan), PT Kintap Jaya Wattindo (KJW 99.37%, palm+rubber, S.Kalimantan), PT Anugrah Wattiendo (AW 99.68%, palm, S.Kalimantan), PT Indo Java Rubber Planting Co (IJR 99.90%, rubber, Cilacap), PT Kaliduren Estate (KE 99%, tea+rubber+coffee, Jember/Sukabumi), PT Perkebunan Kroewoek (PK 99%, rubber, Bayah), PT Bumi Prada (BP 99.98%, rubber, S.Kalimantan), PT Mulyaningsih (MN 99.01%, coffee+rubber, Jember), PT Banjoemas Landen (BL 99%, rubber, Cilacap), PT Corah Mas Keputren Estate (CMK 99.01%, tea+rubber+coffee, Jember), PT Perkebunan Biting (PB 99%, rubber, Kendal), PT Cipanyusuhan (CP 99%, rubber, Lebak); plus PT Toraja Agra Wattie (Sulawesi).</t>
        </is>
      </c>
      <c r="K46" s="6" t="inlineStr">
        <is>
          <t>PT Sarana Agro Investama 92.50% (15,015,345,027 shares), Rohadi (President Commissioner) 0.001%, Public 7.499% (1,217,474,315 shares). Total outstanding: 16,232,951,842 shares. April 2024 share adjustment to comply with OJK free float rule.</t>
        </is>
      </c>
      <c r="L46" s="6" t="inlineStr">
        <is>
          <t>Listed (IDX: JAWA) since 20 May 2011; private placement (PMTHMETD) Nov 2023 increased shares to 16.23 bn; moved from Main Board to Development Board on 24 May 2024; suspended 31 July-6 Aug 2024 for late LK filing.</t>
        </is>
      </c>
      <c r="M46" s="6" t="inlineStr">
        <is>
          <t>Diversified plantation: rubber (dominant by area), palm oil (2 mills), tea, coffee - integrated upstream plantation with downstream processing (POM, rubber sheet/crumb plants, tea/coffee factories)</t>
        </is>
      </c>
      <c r="N46" s="6" t="n"/>
      <c r="O46" s="6" t="n"/>
      <c r="P46" s="6" t="n"/>
      <c r="Q46" s="6" t="inlineStr">
        <is>
          <t>Net loss 4th consecutive year (Rp194 bn); equity ratio 35% (improved from 27% after 2023 rights issue); bank debt Rp995 bn + related-party (SAI) zero-interest loans Rp1.16 tn (2024 new Rp1.25 tn approved); temporary trading suspension July 2024 due to late LK filing + unpaid fines; moved to Development Board; CFO persistently negative (-Rp179 bn); goodwill fully written off in 2024; tree productivity mixed (CPO extraction rate fell from 20.68% to 19.82%).</t>
        </is>
      </c>
      <c r="R46" s="6" t="inlineStr">
        <is>
          <t>Small diversified Indonesian plantation group (rubber + palm oil + tea + coffee) controlled by PT Sarana Agro Investama (92.5%). 2024 revenue +19.5% to Rp1,071 bn on higher rubber/tea/coffee sales and prices, gross profit swung to positive Rp110 bn (2023: -Rp16 bn); net loss narrowed 36% to Rp194 bn. Equity nearly doubled vs 2022 via shareholder loans converted to equity support. Total planted 43,987 ha (palm 37,475 + plasma 6,512 ha nucleus combined; rubber ~15,130 ha across subsidiaries). 2 POMs (Kintap + ABS Marabahan). Moved to Development Board during trading suspension episode in 2024.</t>
        </is>
      </c>
      <c r="S46" s="44" t="inlineStr">
        <is>
          <t>Integrated</t>
        </is>
      </c>
    </row>
    <row r="47" ht="15" customHeight="1" s="67">
      <c r="A47" s="6" t="inlineStr">
        <is>
          <t>PT Perusahaan Perkebunan London Sumatra Indonesia Tbk</t>
        </is>
      </c>
      <c r="B47" s="6" t="inlineStr">
        <is>
          <t>LSIP</t>
        </is>
      </c>
      <c r="C47" s="6" t="inlineStr">
        <is>
          <t>IDX</t>
        </is>
      </c>
      <c r="D47" s="6" t="n">
        <v>2022</v>
      </c>
      <c r="E47" s="6" t="inlineStr">
        <is>
          <t>LSIP_2022_AR.pdf</t>
        </is>
      </c>
      <c r="F47" s="6" t="inlineStr">
        <is>
          <t>Jakarta, Indonesia</t>
        </is>
      </c>
      <c r="G47" s="6" t="inlineStr">
        <is>
          <t>Indonesia</t>
        </is>
      </c>
      <c r="H47" s="6" t="inlineStr">
        <is>
          <t>North Sumatra/South Sumatra/East Kalimantan/Java/Sulawesi</t>
        </is>
      </c>
      <c r="I47" s="6" t="inlineStr">
        <is>
          <t>Part of Salim Group / Indofood Group. Direct parent: PT Salim Ivomas Pratama Tbk (SIMP) 59.51%; Indofood Agri Resources 0.11%. Ultimate parent: First Pacific Company Limited (HK-listed), controlled by Anthoni Salim.</t>
        </is>
      </c>
      <c r="J47" s="6" t="inlineStr">
        <is>
          <t>Direct: PT Multi Agro Kencana Prima (MAKP), Lonsum Singapore Pte. Ltd., PT Tani Musi Persada, PT Sumatra Agri Sejahtera, PT Tani Andalas Sejahtera, Agri Investments Pte. Ltd., PT Wushan Hijau Lestari. Indirect: Sumatra Bioscience Pte. Ltd., PT Pasir Luhur.</t>
        </is>
      </c>
      <c r="K47" s="6" t="inlineStr">
        <is>
          <t>PT Salim Ivomas Pratama Tbk 59.51%; Indofood Agri Resources 0.11%; Director Ferdi Gunawan 0.003%; Public (&lt;5% each) 40.38%. Total 6,819,963,965 issued + 2,900,000 treasury.</t>
        </is>
      </c>
      <c r="L47" s="6" t="inlineStr">
        <is>
          <t>Listed (IDX: LSIP) since 7 June 1996</t>
        </is>
      </c>
      <c r="M47" s="6" t="inlineStr">
        <is>
          <t>Upstream plantation: oil palm (91,151 ha nucleus), rubber (16,074 ha), cocoa, tea, oil palm seeds via SumBio</t>
        </is>
      </c>
      <c r="N47" s="6" t="n"/>
      <c r="O47" s="6" t="n"/>
      <c r="P47" s="6" t="n"/>
      <c r="Q47" s="6" t="inlineStr">
        <is>
          <t>FFB nucleus production down 2% YoY due to weather and replanting; ageing oil palm with 40% over 20 years old; heavy reliance on parent SIMP (61% of sales); PK CoGS up 14% amid cost inflation.</t>
        </is>
      </c>
      <c r="R47" s="6" t="inlineStr">
        <is>
          <t>2022: revenue +1% to Rp4.59tn on higher palm product prices despite weather and government DMO/DPO export constraints. CPO price (CIF Rotterdam) avg USD1,370/t (vs USD1,210 in 2021). Net profit +4% to Rp1.04tn. EBITDA -10% to Rp1.75tn (38% margin) on higher CoGS. Debt-free with Rp3.85tn cash. Total ISPO-certified CPO 254,000t. FFB from external +35% to 243kt offset weather-impacted nucleus.</t>
        </is>
      </c>
      <c r="S47" s="44" t="inlineStr">
        <is>
          <t>Upstream (diversified plantation)</t>
        </is>
      </c>
    </row>
    <row r="48" ht="15" customHeight="1" s="67">
      <c r="A48" s="6" t="inlineStr">
        <is>
          <t>PT Perusahaan Perkebunan London Sumatra Indonesia Tbk</t>
        </is>
      </c>
      <c r="B48" s="6" t="inlineStr">
        <is>
          <t>LSIP</t>
        </is>
      </c>
      <c r="C48" s="6" t="inlineStr">
        <is>
          <t>IDX</t>
        </is>
      </c>
      <c r="D48" s="6" t="n">
        <v>2023</v>
      </c>
      <c r="E48" s="6" t="inlineStr">
        <is>
          <t>LSIP_2023_AR.pdf</t>
        </is>
      </c>
      <c r="F48" s="6" t="inlineStr">
        <is>
          <t>Jakarta, Indonesia</t>
        </is>
      </c>
      <c r="G48" s="6" t="inlineStr">
        <is>
          <t>Indonesia</t>
        </is>
      </c>
      <c r="H48" s="6" t="inlineStr">
        <is>
          <t>North Sumatra/South Sumatra/East Kalimantan/Java/Sulawesi</t>
        </is>
      </c>
      <c r="I48" s="6" t="inlineStr">
        <is>
          <t>Part of Salim Group / Indofood Group. Direct parent: PT Salim Ivomas Pratama Tbk (SIMP) 59.51%; Indofood Agri Resources 0.11% direct. Ultimate parent: First Pacific Company Limited (HK-listed), controlled by Anthoni Salim.</t>
        </is>
      </c>
      <c r="J48" s="6" t="inlineStr">
        <is>
          <t>Direct: PT Multi Agro Kencana Prima (MAKP), Lonsum Singapore Pte. Ltd., PT Tani Musi Persada, PT Sumatra Agri Sejahtera, PT Tani Andalas Sejahtera, Agri Investments Pte. Ltd., PT Wushan Hijau Lestari. Indirect: Sumatra Bioscience Pte. Ltd., PT PPI &amp; Perdagangan Umum Pasir Luhur.</t>
        </is>
      </c>
      <c r="K48" s="6" t="inlineStr">
        <is>
          <t>PT Salim Ivomas Pratama Tbk 59.51%; Indofood Agri Resources Ltd. 0.11%; Director Ferdi Gunawan 0.003%; Public (&lt;5% each) 40.38%. Total 6,819,963,965 shares + 2,900,000 treasury.</t>
        </is>
      </c>
      <c r="L48" s="6" t="inlineStr">
        <is>
          <t>Listed (IDX: LSIP) since 7 June 1996</t>
        </is>
      </c>
      <c r="M48" s="6" t="inlineStr">
        <is>
          <t>Upstream plantation: oil palm (91,759 ha nucleus), rubber (16,238 ha), cocoa, tea, oil palm seeds via SumBio</t>
        </is>
      </c>
      <c r="N48" s="6" t="n"/>
      <c r="O48" s="6" t="n"/>
      <c r="P48" s="6" t="n"/>
      <c r="Q48" s="6" t="inlineStr">
        <is>
          <t>CPO price fell 29% YoY (USD972/t from USD1,370/t); ageing palm (avg 19 yrs) with flat FFB nucleus production; external FFB purchases down; ~53% of sales to parent SIMP (concentration); CoGS essentially flat.</t>
        </is>
      </c>
      <c r="R48" s="6" t="inlineStr">
        <is>
          <t>Challenging 2023: revenue -9% to Rp4.19tn, net profit -27% to Rp760.7bn on lower palm product selling prices. CPO sales volume up 6% to 303kt on stock realisation. EBITDA -26% to Rp1.30tn (31% margin). Debt-free with Rp4.51tn cash. 100% nucleus CPO ISPO-certified (258kt). Oil palm 95% of sales. Average tree age ~19 yrs (oil palm) / 18 yrs (rubber).</t>
        </is>
      </c>
      <c r="S48" s="44" t="inlineStr">
        <is>
          <t>Upstream (diversified plantation)</t>
        </is>
      </c>
    </row>
    <row r="49" ht="15" customHeight="1" s="67">
      <c r="A49" s="6" t="inlineStr">
        <is>
          <t>PT Perusahaan Perkebunan London Sumatra Indonesia Tbk</t>
        </is>
      </c>
      <c r="B49" s="6" t="inlineStr">
        <is>
          <t>LSIP</t>
        </is>
      </c>
      <c r="C49" s="6" t="inlineStr">
        <is>
          <t>IDX</t>
        </is>
      </c>
      <c r="D49" s="6" t="n">
        <v>2024</v>
      </c>
      <c r="E49" s="6" t="inlineStr">
        <is>
          <t>LSIP_2024_AR.pdf</t>
        </is>
      </c>
      <c r="F49" s="6" t="inlineStr">
        <is>
          <t>Jakarta, Indonesia</t>
        </is>
      </c>
      <c r="G49" s="6" t="inlineStr">
        <is>
          <t>Indonesia</t>
        </is>
      </c>
      <c r="H49" s="6" t="inlineStr">
        <is>
          <t>North Sumatra/South Sumatra/East Kalimantan/Java/Sulawesi</t>
        </is>
      </c>
      <c r="I49" s="6" t="inlineStr">
        <is>
          <t>Part of Salim Group / Indofood Group. Direct parent: PT Salim Ivomas Pratama Tbk (SIMP) 59.51%; indirect via Indofood Agri Resources 0.11%. Ultimate parent: First Pacific Company Limited (HK-listed), controlled by Anthoni Salim.</t>
        </is>
      </c>
      <c r="J49" s="6" t="inlineStr">
        <is>
          <t>Direct: PT Multi Agro Kencana Prima (MAKP, 99.99%), Lonsum Singapore Pte. Ltd. (LSP, 100%), PT Tani Musi Persada (TMP, 99.92%), PT Sumatra Agri Sejahtera (SAS, 99.99%), PT Tani Andalas Sejahtera (TAS, 99.92%), Agri Investments Pte. Ltd. (AIPL, 100%), PT Wushan Hijau Lestari (WHL, 65%). Indirect: Sumatra Bioscience Pte. Ltd., PT Perusahaan Perkebunan, Perindustrian dan Perdagangan Umum Pasir Luhur (PL, 64.98%).</t>
        </is>
      </c>
      <c r="K49" s="6" t="inlineStr">
        <is>
          <t>PT Salim Ivomas Pratama Tbk 59.51%; Indofood Agri Resources Ltd. 0.11%; Director Ferdi Gunawan 0.003%; Public (&lt;5% each) 40.38%. Total 6,819,963,965 shares.</t>
        </is>
      </c>
      <c r="L49" s="6" t="inlineStr">
        <is>
          <t>Listed (IDX: LSIP) since 7 June 1996</t>
        </is>
      </c>
      <c r="M49" s="6" t="inlineStr">
        <is>
          <t>Integrated upstream plantation: oil palm (91,152 ha nucleus), rubber (16,231 ha), cocoa (2,822 ha), tea (866 ha); oil palm seeds via SumBio R&amp;D</t>
        </is>
      </c>
      <c r="N49" s="6" t="n"/>
      <c r="O49" s="6" t="n"/>
      <c r="P49" s="6" t="n"/>
      <c r="Q49" s="6" t="inlineStr">
        <is>
          <t>~80% of sales to parent SIMP (related-party concentration); ageing oil palm trees with slight declining production trend (FFB nucleus 1.173mt in 2024 vs 1.295mt in 2020); no bank debt (net cash position) but heavy parent dependency.</t>
        </is>
      </c>
      <c r="R49" s="6" t="inlineStr">
        <is>
          <t>Established 1906 in Medan; Indonesia's oldest palm plantation company. 2024 revenue +9% to Rp4.56tn driven by CPO price rebound (+17% domestic KPB to Rp13,190/kg), partly offset by 8% CPO sales volume decline. Net profit +94% to Rp1.48tn. EBITDA +61% to Rp2.10tn (46% margin). Debt-free with Rp5.45tn cash. 97% of nucleus CPO is ISPO-certified. Oil palm 94% of sales, rubber 3%, seeds 1%, others 2%.</t>
        </is>
      </c>
      <c r="S49" s="44" t="inlineStr">
        <is>
          <t>Upstream (diversified plantation - palm oil/rubber/cocoa/tea/seeds)</t>
        </is>
      </c>
    </row>
    <row r="50" ht="15" customHeight="1" s="67">
      <c r="A50" s="6" t="inlineStr">
        <is>
          <t>PT Multi Agro Gemilang Plantation Tbk</t>
        </is>
      </c>
      <c r="B50" s="6" t="inlineStr">
        <is>
          <t>MAGP</t>
        </is>
      </c>
      <c r="C50" s="6" t="inlineStr">
        <is>
          <t>IDX</t>
        </is>
      </c>
      <c r="D50" s="6" t="n">
        <v>2022</v>
      </c>
      <c r="E50" s="6" t="inlineStr">
        <is>
          <t>MAGP_2022_AR.pdf</t>
        </is>
      </c>
      <c r="F50" s="6" t="inlineStr">
        <is>
          <t>Panin Bank Tower 2nd Floor, Jalan Jenderal Sudirman Kav 1, Jakarta Pusat 1027</t>
        </is>
      </c>
      <c r="G50" s="6" t="inlineStr">
        <is>
          <t>Indonesia</t>
        </is>
      </c>
      <c r="H50" s="6" t="inlineStr">
        <is>
          <t>Aceh, Riau, Kalimantan Barat, Kalimantan Tengah</t>
        </is>
      </c>
      <c r="I50" s="6" t="inlineStr">
        <is>
          <t>Parent: PT Santika Griya Persada; Ultimate shareholder: Bobby Alianto. Holding company with five oil palm plantation subsidiaries across Sumatra and Kalimantan.</t>
        </is>
      </c>
      <c r="J50" s="6" t="inlineStr">
        <is>
          <t>PT Boswa Megalopolis (Aceh, 93.58%), PT Bumi Orion Sawit Subur (Riau, 99.99%), PT Brent Multidaya (Kalbar, 99.99%), PT Meta Epsi Agro (Kalteng/Riau, 99.99%), PT Sabut Mas Abadi (Kalteng, 99.99% via MEA).</t>
        </is>
      </c>
      <c r="K50" s="6" t="inlineStr">
        <is>
          <t>PT Santika Griya Persada (parent entity); Bobby Alianto (ultimate shareholder)</t>
        </is>
      </c>
      <c r="L50" s="6" t="inlineStr">
        <is>
          <t>Listed (IDX: MAGP) since 16 January 2013; IPO 4,000,000,000 shares at Rp110; total listed 9,000,000,004 shares</t>
        </is>
      </c>
      <c r="M50" s="6" t="inlineStr">
        <is>
          <t>Oil palm plantation (perkebunan kelapa sawit)</t>
        </is>
      </c>
      <c r="N50" s="6" t="n"/>
      <c r="O50" s="6" t="n"/>
      <c r="P50" s="6" t="n"/>
      <c r="Q50" s="6" t="inlineStr">
        <is>
          <t>Cached text is Q1 2022 interim financial statements only (period ending March 31, 2022), not full-year AR. Persistent losses (accumulated deficit Rp812 bn), tight liquidity (cash only Rp2.4 bn vs current liabilities Rp646 bn), bearer plants not insured, Rp170.9 bn advance for land purchase still under negotiation for legalization, IPO at Rp110 with Rp900 bn paid-up capital against accumulated deficit.</t>
        </is>
      </c>
      <c r="R50" s="6" t="inlineStr">
        <is>
          <t>Only Q1 2022 (3-month interim) consolidated financial statements available. For Q1 2022: Revenue Rp32.27 bn (vs Q1 2021 Rp28.23 bn), gross loss Rp3.43 bn, net loss Rp10.68 bn. Total assets Rp840.19 bn, equity Rp75.92 bn (severely depleted), total liabilities Rp764.27 bn. 220 permanent employees. Company has persistent operating losses and balance sheet stress.</t>
        </is>
      </c>
      <c r="S50" s="44" t="inlineStr">
        <is>
          <t>Upstream</t>
        </is>
      </c>
    </row>
    <row r="51" ht="15" customHeight="1" s="67">
      <c r="A51" s="6" t="inlineStr">
        <is>
          <t>PT Mahkota Group Tbk</t>
        </is>
      </c>
      <c r="B51" s="6" t="inlineStr">
        <is>
          <t>MGRO</t>
        </is>
      </c>
      <c r="C51" s="6" t="inlineStr">
        <is>
          <t>IDX</t>
        </is>
      </c>
      <c r="D51" s="6" t="n">
        <v>2022</v>
      </c>
      <c r="E51" s="6" t="inlineStr">
        <is>
          <t>MGRO_2022_AR.pdf</t>
        </is>
      </c>
      <c r="F51" s="6" t="inlineStr">
        <is>
          <t>Medan, North Sumatra, Indonesia</t>
        </is>
      </c>
      <c r="G51" s="6" t="inlineStr">
        <is>
          <t>Indonesia</t>
        </is>
      </c>
      <c r="H51" s="6" t="inlineStr">
        <is>
          <t>Riau / North Sumatra / South Sumatra (Sumatra-focused)</t>
        </is>
      </c>
      <c r="I51" s="6" t="inlineStr">
        <is>
          <t>Holding company of Mahkota Group (established 2011). Controlled by PT Mahkota Global Investama (56.03%) and MGI International Holdings Ltd. (22.79%); ultimate beneficial owner is Mily.</t>
        </is>
      </c>
      <c r="J51" s="6" t="inlineStr">
        <is>
          <t>Subsidiaries: PT Mutiara Unggul Lestari (MUL, palm oil processing, Riau); PT Berlian Inti Mekar (BIM, processing, Riau/South Sumatra); PT Dumai Paricipta Abadi (DPA, storage tanks, Riau). Entity from subsidiaries: PT Intan Sejati Andalan (ISA, processing/refinery/fractionation/KCP, Riau); PT Karya Pratama Niagajaya (KPNJ, processing, North Sumatra - acquired as controlling entity 2022).</t>
        </is>
      </c>
      <c r="K51" s="6" t="inlineStr">
        <is>
          <t>PT Mahkota Global Investama 56.03%, MGI International Holdings Ltd. 22.79%, Public 20.36%, Treasury 0.82%</t>
        </is>
      </c>
      <c r="L51" s="6" t="inlineStr">
        <is>
          <t>Listed (IDX: MGRO) since 12 July 2018</t>
        </is>
      </c>
      <c r="M51" s="6" t="inlineStr">
        <is>
          <t>Integrated palm oil processing (CPO, PK, RBDPO, PFAD, Olein, Stearin, PKO, PKE) + refinery + storage tank leasing</t>
        </is>
      </c>
      <c r="N51" s="6" t="n"/>
      <c r="O51" s="6" t="n"/>
      <c r="P51" s="6" t="n"/>
      <c r="Q51" s="6" t="inlineStr">
        <is>
          <t>Unexpected net loss of Rp34.79 bn (vs Rp89.78 bn profit in 2021) despite revenue growth to Rp7.51 tn (+2.6%); gross margin fell to 9.71% (2021: 11.28%); COGS rose 4.45% on higher FFB raw material costs (+Rp714.82 bn); DER jumped to 296.93% (2021: 156.44%); issued Rp90 bn 3-year MTN at 9% in April 2022.</t>
        </is>
      </c>
      <c r="R51" s="6" t="inlineStr">
        <is>
          <t>2022 was a transition year: revenue peaked at Rp7.51 tn (highest of 3-year period) driven by RBDPO/PFAD/PKO/PKE sales (+Rp731 bn), but cost pressure and weak CPO prices turned FY into a net loss of Rp34.79 bn. MGRO issued Rp90 bn MTN in April 2022 at 9% p.a. for 3 years. Acquired full control of PT Karya Pratama Niagajaya (North Sumatra palm oil mill) via PT MUL. Refinery 1,500 t/day and KCP 200-400 t/day already operational at ISA. No own plantation yet.</t>
        </is>
      </c>
      <c r="S51" s="44" t="inlineStr">
        <is>
          <t>Integrated</t>
        </is>
      </c>
    </row>
    <row r="52" ht="15" customHeight="1" s="67">
      <c r="A52" s="6" t="inlineStr">
        <is>
          <t>PT Mahkota Group Tbk</t>
        </is>
      </c>
      <c r="B52" s="6" t="inlineStr">
        <is>
          <t>MGRO</t>
        </is>
      </c>
      <c r="C52" s="6" t="inlineStr">
        <is>
          <t>IDX</t>
        </is>
      </c>
      <c r="D52" s="6" t="n">
        <v>2023</v>
      </c>
      <c r="E52" s="6" t="inlineStr">
        <is>
          <t>MGRO_2023_AR.pdf</t>
        </is>
      </c>
      <c r="F52" s="6" t="inlineStr">
        <is>
          <t>Medan, North Sumatra, Indonesia</t>
        </is>
      </c>
      <c r="G52" s="6" t="inlineStr">
        <is>
          <t>Indonesia</t>
        </is>
      </c>
      <c r="H52" s="6" t="inlineStr">
        <is>
          <t>Riau / North Sumatra / South Sumatra (Sumatra-focused)</t>
        </is>
      </c>
      <c r="I52" s="6" t="inlineStr">
        <is>
          <t>Holding company of Mahkota Group (established 2011). Controlled by PT Mahkota Global Investama (56.40%) and MGI International Holdings Ltd. (22.79%); ultimate beneficial owner is Mily.</t>
        </is>
      </c>
      <c r="J52" s="6" t="inlineStr">
        <is>
          <t>Subsidiaries: PT Mutiara Unggul Lestari (MUL, 92.01%, processing, Riau); PT Berlian Inti Mekar (BIM, 99.9%, processing, Riau/South Sumatra); PT Dumai Paricipta Abadi (DPA, 71.5%, storage tanks, Riau). Entity from subsidiaries: PT Intan Sejati Andalan (ISA, 99.2%, processing/refinery/fractionation/KCP, Riau); PT Karya Pratama Niagajaya (KPNJ, 52%, processing, North Sumatra); PT Mega Sawit Sriwijaya (MSS, 52%, palm plantation, South Sumatra, acquired March 2023). Associate: PT Karya Mitra Andalan (KMA, 40%, not active).</t>
        </is>
      </c>
      <c r="K52" s="6" t="inlineStr">
        <is>
          <t>PT Mahkota Global Investama 56.40%, MGI International Holdings Ltd. 22.79%, Public 19.99%, Treasury 0.82%</t>
        </is>
      </c>
      <c r="L52" s="6" t="inlineStr">
        <is>
          <t>Listed (IDX: MGRO) since 12 July 2018</t>
        </is>
      </c>
      <c r="M52" s="6" t="inlineStr">
        <is>
          <t>Integrated palm oil processing (CPO, PK, RBDPO, PFAD, Olein, Stearin, PKO, PKE) + refinery + storage tank leasing + nascent upstream palm plantation</t>
        </is>
      </c>
      <c r="N52" s="6" t="n"/>
      <c r="O52" s="6" t="n"/>
      <c r="P52" s="6" t="n"/>
      <c r="Q52" s="6" t="inlineStr">
        <is>
          <t>Massive net loss of Rp172.27 bn (vs Rp34.79 bn 2022) - worst in company's history; gross margin collapsed to 4.74% (2022: 9.71%) due to weak CPO prices and high production costs; operating loss Rp43.9 bn; DER spiked to 414.37% (2022: 296.93%); El Nino disrupted FFB supply; new plantation subsidiary PT Mega Sawit Sriwijaya acquired March 2023 (52% via BIM).</t>
        </is>
      </c>
      <c r="R52" s="6" t="inlineStr">
        <is>
          <t>Difficult year for MGRO. Revenue dropped 27.7% to Rp5.43 tn on weak selling prices and lower volumes; net loss ballooned to Rp172.27 bn. CPO sales volume 89,259 t (-37,677 YoY); RBDPO 266,111 t (-52,481 YoY). Cash improved to Rp421 bn. Acquired PT Mega Sawit Sriwijaya (52%) via BIM to enter upstream plantation segment (967.74 ha concession, 427.88 ha planted by end-2023).</t>
        </is>
      </c>
      <c r="S52" s="44" t="inlineStr">
        <is>
          <t>Integrated</t>
        </is>
      </c>
    </row>
    <row r="53" ht="15" customHeight="1" s="67">
      <c r="A53" s="6" t="inlineStr">
        <is>
          <t>PT Mahkota Group Tbk</t>
        </is>
      </c>
      <c r="B53" s="6" t="inlineStr">
        <is>
          <t>MGRO</t>
        </is>
      </c>
      <c r="C53" s="6" t="inlineStr">
        <is>
          <t>IDX</t>
        </is>
      </c>
      <c r="D53" s="6" t="n">
        <v>2024</v>
      </c>
      <c r="E53" s="6" t="inlineStr">
        <is>
          <t>MGRO_2024_AR.pdf</t>
        </is>
      </c>
      <c r="F53" s="6" t="inlineStr">
        <is>
          <t>Medan, North Sumatra, Indonesia</t>
        </is>
      </c>
      <c r="G53" s="6" t="inlineStr">
        <is>
          <t>Indonesia</t>
        </is>
      </c>
      <c r="H53" s="6" t="inlineStr">
        <is>
          <t>Riau / North Sumatra / South Sumatra (Sumatra-focused)</t>
        </is>
      </c>
      <c r="I53" s="6" t="inlineStr">
        <is>
          <t>Holding company of Mahkota Group (established 2011). Controlled by PT Mahkota Global Investama (56.40%) and MGI International Holdings Ltd. (22.79%); ultimate beneficial owner is Mily. Family-linked shareholders: Mily, Lily, Usman Sarsi (22.5% each in MGI), Edhie Suwidar (6.5%), Usli &amp; Fuad Halimoen (10% each), Nani (6%).</t>
        </is>
      </c>
      <c r="J53" s="6" t="inlineStr">
        <is>
          <t>Direct subsidiaries: PT Mutiara Unggul Lestari (MUL, 92.01%, palm oil processing, Riau); PT Berlian Inti Mekar (BIM, 99.9%, palm oil processing, Riau/South Sumatra); PT Dumai Paricipta Abadi (DPA, 71.5%, storage tanks, Dumai-Riau). Entities from subsidiaries: PT Intan Sejati Andalan (ISA, 99.2%, processing/refinery/fractionation/KCP, Riau); PT Karya Pratama Niagajaya (KPNJ, 52%, palm oil processing, North Sumatra); PT Mega Sawit Sriwijaya (MSS, 52%, palm oil plantation, South Sumatra). Associate: PT Karya Mitra Andalan (KMA, 40%, not active, North Sumatra).</t>
        </is>
      </c>
      <c r="K53" s="6" t="inlineStr">
        <is>
          <t>PT Mahkota Global Investama 56.40%, MGI International Holdings Ltd. 22.79%, Public (&lt;5% each) 19.99%, Treasury 0.82%</t>
        </is>
      </c>
      <c r="L53" s="6" t="inlineStr">
        <is>
          <t>Listed (IDX: MGRO) since 12 July 2018</t>
        </is>
      </c>
      <c r="M53" s="6" t="inlineStr">
        <is>
          <t>Integrated palm oil processing (CPO, PK, RBDPO, PFAD, Olein, Stearin, PKO, PKE) + refinery + storage tank leasing + upstream palm plantation (early-stage)</t>
        </is>
      </c>
      <c r="N53" s="6" t="n"/>
      <c r="O53" s="6" t="n"/>
      <c r="P53" s="6" t="n"/>
      <c r="Q53" s="6" t="inlineStr">
        <is>
          <t>Net loss 3rd consecutive year (Rp22.98 bn in 2024 vs Rp172.27 bn in 2023, Rp34.79 bn in 2022); DER jumped to 508.80% (2023: 414.37%); current ratio only 87.03% (&lt;100%); heavy reliance on third-party FFB (plantation segment only 486,707 t FFB, own planted area 477.85 ha); bad-debt write-offs at plantation segment caused large losses in 2024; gross margin recovered to 7.52% but still thin.</t>
        </is>
      </c>
      <c r="R53" s="6" t="inlineStr">
        <is>
          <t>Sumatra-focused integrated palm processor/refiner (no significant upstream yet). 2024: revenue Rp4.69 tn (-13.6% YoY) on lower sales volumes across CPO/PK/RBDPO/PFAD; COGS fell 16% keeping gross margin at 7.5%. Despite operating profit recovery (Rp68.7 bn vs -Rp43.9 bn loss 2023), high finance costs (Rp100.9 bn) drove net loss of Rp22.98 bn. Refinery 2nd line commissioned in 2024 at PT Intan Sejati Andalan; refinery capacity now 2x1,800 t/day. Biogas and fertilizer plants completed. Stronger balance sheet leverage (Total liabilities Rp2.57 tn, Equity Rp505 bn).</t>
        </is>
      </c>
      <c r="S53" s="44" t="inlineStr">
        <is>
          <t>Integrated</t>
        </is>
      </c>
    </row>
    <row r="54" ht="15" customHeight="1" s="67">
      <c r="A54" s="6" t="inlineStr">
        <is>
          <t>PT Menthobi Karyatama Raya Tbk</t>
        </is>
      </c>
      <c r="B54" s="6" t="inlineStr">
        <is>
          <t>MKTR</t>
        </is>
      </c>
      <c r="C54" s="6" t="inlineStr">
        <is>
          <t>IDX</t>
        </is>
      </c>
      <c r="D54" s="6" t="n">
        <v>2022</v>
      </c>
      <c r="E54" s="6" t="inlineStr">
        <is>
          <t>MKTR_2022_AR.pdf</t>
        </is>
      </c>
      <c r="F54" s="6" t="inlineStr">
        <is>
          <t>Jakarta Timur, DKI Jakarta, Indonesia (Wisma Maktour Lt. 4)</t>
        </is>
      </c>
      <c r="G54" s="6" t="inlineStr">
        <is>
          <t>Indonesia</t>
        </is>
      </c>
      <c r="H54" s="6" t="inlineStr">
        <is>
          <t>Central Kalimantan (Kujan/Guci, Bulik, Lamandau)</t>
        </is>
      </c>
      <c r="I54" s="6" t="inlineStr">
        <is>
          <t>Controlled by Fuad Hasan Masyhur (68.97%) and PT Maktour Bangun Persada (7.82%); part of Maktour Group. Ultimate controller: Fuad Hasan Masyhur. IPO on IDX completed 8 November 2022.</t>
        </is>
      </c>
      <c r="J54" s="6" t="inlineStr">
        <is>
          <t>PT Menthobi Makmur Lestari (MMAL - plantation + mill, est. 2005), PT Menthobi Agro Raya (MAR), PT Menthobi Hijau Lestari (MHL - organic fertilizer), PT Menthobi Transtitian Raya (MTR). KSO not yet acquired (acquired 2023).</t>
        </is>
      </c>
      <c r="K54" s="6" t="inlineStr">
        <is>
          <t>Fuad Hasan Masyhur 68.97%, PT Maktour Bangun Persada 7.82%, PT Mitra Wiraswasta Indonesia 2.38%, Public 20.83%</t>
        </is>
      </c>
      <c r="L54" s="6" t="inlineStr">
        <is>
          <t>Listed (IDX: MKTR) from 8 November 2022 - IPO year</t>
        </is>
      </c>
      <c r="M54" s="6" t="inlineStr">
        <is>
          <t>Palm oil trading + plantation + palm oil mills (through subsidiaries)</t>
        </is>
      </c>
      <c r="N54" s="6" t="n"/>
      <c r="O54" s="6" t="n"/>
      <c r="P54" s="6" t="n"/>
      <c r="Q54" s="6" t="inlineStr">
        <is>
          <t>First year as public company; small cap (market cap Rp1.55 tn); 100% domestic sales; concentrated in Central Kalimantan; reliance on third-party FFB (~38% of processed FFB).</t>
        </is>
      </c>
      <c r="R54" s="6" t="inlineStr">
        <is>
          <t>IPO year for MKTR — listed on IDX on 8 November 2022. 2022 revenue Rp627.88 bn (+22.5% vs 2021) on higher palm oil prices. Operating profit Rp115.15 bn, net profit Rp61.88 bn. Total assets grew to Rp966 bn (+49% yoy) post-IPO funds injection; equity jumped to Rp544 bn from Rp186 bn in 2021. Low gearing post-IPO (Liab/Equity 0.78x). CFO Rp89.3 bn. IPO raised Rp300 bn (2.5 bn shares at Rp120/share).</t>
        </is>
      </c>
      <c r="S54" s="44" t="inlineStr">
        <is>
          <t>Integrated (upstream plantation + CPO/PK mill)</t>
        </is>
      </c>
    </row>
    <row r="55" ht="15" customHeight="1" s="67">
      <c r="A55" s="6" t="inlineStr">
        <is>
          <t>PT Menthobi Karyatama Raya Tbk</t>
        </is>
      </c>
      <c r="B55" s="6" t="inlineStr">
        <is>
          <t>MKTR</t>
        </is>
      </c>
      <c r="C55" s="6" t="inlineStr">
        <is>
          <t>IDX</t>
        </is>
      </c>
      <c r="D55" s="6" t="n">
        <v>2023</v>
      </c>
      <c r="E55" s="6" t="inlineStr">
        <is>
          <t>MKTR_2023_AR.pdf</t>
        </is>
      </c>
      <c r="F55" s="6" t="inlineStr">
        <is>
          <t>Jakarta Timur, DKI Jakarta, Indonesia (Wisma Maktour Lt. 4)</t>
        </is>
      </c>
      <c r="G55" s="6" t="inlineStr">
        <is>
          <t>Indonesia</t>
        </is>
      </c>
      <c r="H55" s="6" t="inlineStr">
        <is>
          <t>Central Kalimantan (Kujan/Guci, Bulik, Lamandau)</t>
        </is>
      </c>
      <c r="I55" s="6" t="inlineStr">
        <is>
          <t>Controlled by Fuad Hasan Masyhur (68.75%) and PT Maktour Bangun Persada (7.82%); part of Maktour Group. Ultimate controller: Fuad Hasan Masyhur.</t>
        </is>
      </c>
      <c r="J55" s="6" t="inlineStr">
        <is>
          <t>PT Menthobi Makmur Lestari (MMAL - plantation &amp; mill), PT Menthobi Agro Raya (MAR), PT Menthobi Hijau Lestari (MHL - organic fertilizer), PT Menthobi Transtitian Raya (MTR), PT Khatulistiwa Sinergi Omnidaya (KSO - acquired August/end 2023).</t>
        </is>
      </c>
      <c r="K55" s="6" t="inlineStr">
        <is>
          <t>Fuad Hasan Masyhur ~68.75%, PT Maktour Bangun Persada 7.82%, Public ~23.31%, plus minor holdings.</t>
        </is>
      </c>
      <c r="L55" s="6" t="inlineStr">
        <is>
          <t>Listed (IDX: MKTR), IPO 8 November 2022</t>
        </is>
      </c>
      <c r="M55" s="6" t="inlineStr">
        <is>
          <t>Palm oil trading + plantation + palm oil mills (through subsidiaries) + organic fertilizer</t>
        </is>
      </c>
      <c r="N55" s="6" t="n"/>
      <c r="O55" s="6" t="n"/>
      <c r="P55" s="6" t="n"/>
      <c r="Q55" s="6" t="inlineStr">
        <is>
          <t>Gearing rose sharply in 2023 (Liab/Equity 1.28x vs 0.78x in 2022) due to new bank loan drawdown (repackage facility); net profit decline 17% on CPO price weakness and KSO acquisition integration costs; operating profit -48% yoy; 100% domestic sales; highly concentrated (Central Kalimantan only).</t>
        </is>
      </c>
      <c r="R55" s="6" t="inlineStr">
        <is>
          <t>Small-cap Indonesian palm oil operator. 2023 revenue +13% to Rp711 bn boosted by KSO acquisition (Aug 2023), but CPO price weakness crushed margins — gross profit -27.8%, operating profit -48.5% to Rp62.7 bn, net profit -17% to Rp51.4 bn. Total assets grew 38% to Rp1,332 bn (partly from PP&amp;E build-up and KSO). CPO production 57,803 t (+32%), FFB processed 302,317 t. Added LT bank loans Rp300 bn; CFO dropped 81% to Rp16.6 bn.</t>
        </is>
      </c>
      <c r="S55" s="44" t="inlineStr">
        <is>
          <t>Integrated (upstream plantation + CPO/PK mills + organic fertilizer)</t>
        </is>
      </c>
    </row>
    <row r="56" ht="15" customHeight="1" s="67">
      <c r="A56" s="6" t="inlineStr">
        <is>
          <t>PT Menthobi Karyatama Raya Tbk</t>
        </is>
      </c>
      <c r="B56" s="6" t="inlineStr">
        <is>
          <t>MKTR</t>
        </is>
      </c>
      <c r="C56" s="6" t="inlineStr">
        <is>
          <t>IDX</t>
        </is>
      </c>
      <c r="D56" s="6" t="n">
        <v>2024</v>
      </c>
      <c r="E56" s="6" t="inlineStr">
        <is>
          <t>MKTR_2024_AR.pdf</t>
        </is>
      </c>
      <c r="F56" s="6" t="inlineStr">
        <is>
          <t>Jakarta Timur, DKI Jakarta, Indonesia (Wisma Maktour Lt. 4, Jalan Otista Raya No. 80)</t>
        </is>
      </c>
      <c r="G56" s="6" t="inlineStr">
        <is>
          <t>Indonesia</t>
        </is>
      </c>
      <c r="H56" s="6" t="inlineStr">
        <is>
          <t>Central Kalimantan (Kujan/Guci, Bulik, Lamandau) + South Sumatra (compost plant)</t>
        </is>
      </c>
      <c r="I56" s="6" t="inlineStr">
        <is>
          <t>Controlled by Fuad Hasan Masyhur (68.67%) and PT Maktour Bangun Persada (7.79%); part of Maktour Group. Ultimate controller: Fuad Hasan Masyhur.</t>
        </is>
      </c>
      <c r="J56" s="6" t="inlineStr">
        <is>
          <t>PT Menthobi Makmur Lestari (MMAL, plantation + mill), PT Menthobi Agro Raya (MAR), PT Menthobi Hijau Lestari (MHL, organic fertilizer), PT Menthobi Transtitian Raya (MTR), PT Khatulistiwa Sinergi Omnidaya (KSO, acquired late 2023 - mill).</t>
        </is>
      </c>
      <c r="K56" s="6" t="inlineStr">
        <is>
          <t>Fuad Hasan Masyhur 68.67%, PT Maktour Bangun Persada 7.79%, Muhammad Rocky Mashyur 0.01%, Harry M. Nadir 0.05%, Wawan Sulistyawan 0.03%, Bambang Laksanawan 0.03%, M. Arief Pahlevi Pangerang 0.03%, Public 23.39%</t>
        </is>
      </c>
      <c r="L56" s="6" t="inlineStr">
        <is>
          <t>Listed (IDX: MKTR), IPO 8 November 2022</t>
        </is>
      </c>
      <c r="M56" s="6" t="inlineStr">
        <is>
          <t>Palm oil trading + plantation + palm oil mills (through subsidiaries) + organic granular compost fertilizer</t>
        </is>
      </c>
      <c r="N56" s="6" t="n"/>
      <c r="O56" s="6" t="n"/>
      <c r="P56" s="6" t="n"/>
      <c r="Q56" s="6" t="inlineStr">
        <is>
          <t>Small cap, high gearing (Liab/Equity 141.28%, Total Liab/Assets 58.55%); net profit margin declined to 5.19% (2023: 7.23%); only ~1,808 ha of planted area reserves; 100% domestic sales; Debt of Rp798.7 bn bank loans. Plantation area only 7,424 Ha HGU; heavy reliance on third-party FFB (68% of processed FFB).</t>
        </is>
      </c>
      <c r="R56" s="6" t="inlineStr">
        <is>
          <t>Small-cap Indonesian palm oil operator in Central Kalimantan. 2024 revenue +41.6% to Rp1,007 bn driven by CPO segment (+37.8%) and new PKS KSO subsidiary acquired end-2023. Operating profit +69.7% to Rp106.4 bn but net profit only +1.7% to Rp52.2 bn due to higher finance/other costs. Total assets Rp1,518 bn, Equity Rp629 bn. CPO production 69,967 t (+21%), PK production 13,367 t (+33.8%). New PKO production of 3,531 t. CFO Rp114 bn (+590% yoy). Dividend paid Rp12 bn (Rp1/share).</t>
        </is>
      </c>
      <c r="S56" s="44" t="inlineStr">
        <is>
          <t>Integrated (upstream plantation + CPO/PK/PKO mills + organic fertilizer via MHL)</t>
        </is>
      </c>
    </row>
    <row r="57" ht="15" customHeight="1" s="67">
      <c r="A57" s="6" t="inlineStr">
        <is>
          <t>PT Nusantara Sawit Sejahtera Tbk</t>
        </is>
      </c>
      <c r="B57" s="6" t="inlineStr">
        <is>
          <t>NSSS</t>
        </is>
      </c>
      <c r="C57" s="6" t="inlineStr">
        <is>
          <t>IDX</t>
        </is>
      </c>
      <c r="D57" s="6" t="n">
        <v>2022</v>
      </c>
      <c r="E57" s="6" t="inlineStr">
        <is>
          <t>NSSS_2022_AR.pdf</t>
        </is>
      </c>
      <c r="F57" s="6" t="inlineStr">
        <is>
          <t>Jakarta, Indonesia</t>
        </is>
      </c>
      <c r="G57" s="6" t="inlineStr">
        <is>
          <t>Indonesia</t>
        </is>
      </c>
      <c r="H57" s="6" t="inlineStr">
        <is>
          <t>Central Kalimantan (Kotawaringin Timur, Gunung Mas, Kapuas)</t>
        </is>
      </c>
      <c r="I57" s="6" t="inlineStr">
        <is>
          <t>Private (not yet listed) as of 31 Dec 2022. Beneficial owner Eunice M. Satyono via PT Mitra Agro Dharma Unggul (59.11%). Controlling shareholders: PT Mitra Agro Dharma Unggul 59.11%, Ir. Teguh Patriawan 17.12% direct, PT Nusantara Makmur Lestari 10.75%, Yantoni Kerisna 6.14%, Thomas Tampi 5.00%, PT Bina Palangka Makmur 1.88%.</t>
        </is>
      </c>
      <c r="J57" s="6" t="inlineStr">
        <is>
          <t>Five 99.99%-owned subsidiaries in Central Kalimantan: PT Nusantara Sawit Persada (NSP, Kotawaringin Timur; plantation + 60 tph mill since 2016-2017), PT Borneo Sawit Perdana (BSP, Kotawaringin Timur; ISPO cert 2022; 2nd mill groundbreaking), PT Prasetya Mitra Muda (PMM, Gunung Mas), PT Bina Sarana Sawit Utama (BSSU, Kapuas; cadastral), PT Hamparan Mitra Abadi (HMA, Kapuas; cadastral).</t>
        </is>
      </c>
      <c r="K57" s="6" t="inlineStr">
        <is>
          <t>PT Mitra Agro Dharma Unggul 59.11%, Ir. Teguh Patriawan 17.12%, PT Nusantara Makmur Lestari 10.75%, Yantoni Kerisna 6.14%, Thomas Tampi 5.00%, PT Bina Palangka Makmur 1.88% (pre-IPO, as of 31 Dec 2022)</t>
        </is>
      </c>
      <c r="L57" s="6" t="inlineStr">
        <is>
          <t>Not yet listed (IPO was on 10 Mar 2023)</t>
        </is>
      </c>
      <c r="M57" s="6" t="inlineStr">
        <is>
          <t>Oil palm plantation (upstream) with CPO &amp; PK milling</t>
        </is>
      </c>
      <c r="N57" s="6" t="n"/>
      <c r="O57" s="6" t="n"/>
      <c r="P57" s="6" t="n"/>
      <c r="Q57" s="6" t="inlineStr">
        <is>
          <t>Net profit collapsed 71% YoY from Rp245 bn (2021) to Rp70 bn due to COGS rising 26% and opex rising; Debt/Equity 381.7% (very high); cash plunged 79% as operating cash flow fell 85%; Kapuas plantations (BSSU, HMA) still in cadastral status so not yet operational under respective entities.</t>
        </is>
      </c>
      <c r="R57" s="6" t="inlineStr">
        <is>
          <t>Pre-IPO year for NSSS (listed 10 Mar 2023). 2022 revenue flat at Rp1,134 bn but net profit down 71% on higher costs. FFB production beat target 399,606 t vs 389,878 t. 27,265 ha planted (26,384 nucleus + 881 plasma). NSP received ISPO cert 2021, BSP in 2022. One operating mill (60 tph at NSP); 2nd mill at BSP under construction. Very leveraged balance sheet.</t>
        </is>
      </c>
      <c r="S57" s="44" t="inlineStr">
        <is>
          <t>Upstream</t>
        </is>
      </c>
    </row>
    <row r="58" ht="15" customHeight="1" s="67">
      <c r="A58" s="6" t="inlineStr">
        <is>
          <t>PT Nusantara Sawit Sejahtera Tbk</t>
        </is>
      </c>
      <c r="B58" s="6" t="inlineStr">
        <is>
          <t>NSSS</t>
        </is>
      </c>
      <c r="C58" s="6" t="inlineStr">
        <is>
          <t>IDX</t>
        </is>
      </c>
      <c r="D58" s="6" t="n">
        <v>2023</v>
      </c>
      <c r="E58" s="6" t="inlineStr">
        <is>
          <t>NSSS_2023_AR.pdf</t>
        </is>
      </c>
      <c r="F58" s="6" t="inlineStr">
        <is>
          <t>Jakarta, Indonesia</t>
        </is>
      </c>
      <c r="G58" s="6" t="inlineStr">
        <is>
          <t>Indonesia</t>
        </is>
      </c>
      <c r="H58" s="6" t="inlineStr">
        <is>
          <t>Central Kalimantan (Kotawaringin Timur, Gunung Mas, Kapuas)</t>
        </is>
      </c>
      <c r="I58" s="6" t="inlineStr">
        <is>
          <t>Controlled via PT Mitra Agro Dharma Unggul (largest shareholder as of early 2024: 49.83%); IPO March 2023; Teguh Patriawan directly owns 10.29%; Public float 30.25% post-IPO.</t>
        </is>
      </c>
      <c r="J58" s="6" t="inlineStr">
        <is>
          <t>Five 99.99%-owned plantation subsidiaries in Central Kalimantan: PT Nusantara Sawit Persada (NSP, Kotawaringin Timur; incl. 60 tph mill); PT Borneo Sawit Perdana (BSP, Kotawaringin Timur; 2nd 60 tph mill commenced Dec 2023); PT Prasetya Mitra Muda (PMM, Gunung Mas); PT Bina Sarana Sawit Utama (BSSU, Kapuas); PT Hamparan Mitra Abadi (HMA, Kapuas).</t>
        </is>
      </c>
      <c r="K58" s="6" t="inlineStr">
        <is>
          <t>As of 31 Dec 2023: PT Mitra Agro Dharma Unggul 49.83%, Ir. Teguh Patriawan 10.29%, PT Nusantara Makmur Lestari 9.63%, Public 30.25%</t>
        </is>
      </c>
      <c r="L58" s="6" t="inlineStr">
        <is>
          <t>Listed (IDX: NSSS) - IPO 10 Mar 2023 at Rp127/share (3,568,235,300 shares, 15% public float)</t>
        </is>
      </c>
      <c r="M58" s="6" t="inlineStr">
        <is>
          <t>Oil palm plantation (upstream) with CPO &amp; PK milling</t>
        </is>
      </c>
      <c r="N58" s="6" t="n"/>
      <c r="O58" s="6" t="n"/>
      <c r="P58" s="6" t="n"/>
      <c r="Q58" s="6" t="inlineStr">
        <is>
          <t>Net profit collapsed 97% YoY from Rp70 bn (2022) to Rp2 bn due to 21% rise in COGS (plant maintenance, fertilization) and 29% rise in opex; average CPO price -11% YoY; average PK price -34% YoY; current ratio 0.94 (below 1).</t>
        </is>
      </c>
      <c r="R58" s="6" t="inlineStr">
        <is>
          <t>IPO year - NSSS listed on IDX 10 Mar 2023. Revenue +4% to Rp1,185 bn on higher volumes but weaker prices. FFB production beat target (463,843 t vs 442,500 t). Second mill at BSP commenced operations Dec 2023. Still highly leveraged with Debt/Equity 246%. Plantation area 28,148 ha.</t>
        </is>
      </c>
      <c r="S58" s="44" t="inlineStr">
        <is>
          <t>Upstream</t>
        </is>
      </c>
    </row>
    <row r="59" ht="15" customHeight="1" s="67">
      <c r="A59" s="6" t="inlineStr">
        <is>
          <t>PT Nusantara Sawit Sejahtera Tbk</t>
        </is>
      </c>
      <c r="B59" s="6" t="inlineStr">
        <is>
          <t>NSSS</t>
        </is>
      </c>
      <c r="C59" s="6" t="inlineStr">
        <is>
          <t>IDX</t>
        </is>
      </c>
      <c r="D59" s="6" t="n">
        <v>2024</v>
      </c>
      <c r="E59" s="6" t="inlineStr">
        <is>
          <t>NSSS_2024_AR.pdf</t>
        </is>
      </c>
      <c r="F59" s="6" t="inlineStr">
        <is>
          <t>Menara Imperium Lt.20, Jl. H.R. Rasuna Said Kav.1, Jakarta Selatan 12980</t>
        </is>
      </c>
      <c r="G59" s="6" t="inlineStr">
        <is>
          <t>Indonesia</t>
        </is>
      </c>
      <c r="H59" s="6" t="inlineStr">
        <is>
          <t>Central Kalimantan (Kotawaringin Timur, Gunung Mas, Kapuas)</t>
        </is>
      </c>
      <c r="I59" s="6" t="inlineStr">
        <is>
          <t>Beneficial owner: PT Samuel International (via PT Samuel Tumbuh Bersama 43.58%); other key shareholders Ir. Teguh Patriawan 10.29%, PT Nusantara Makmur Lestari 9.62%; Public 36.51%.</t>
        </is>
      </c>
      <c r="J59" s="6" t="inlineStr">
        <is>
          <t>Five 99.99%-owned plantation subsidiaries in Central Kalimantan: PT Nusantara Sawit Persada (NSP, since 2009, Kotawaringin Timur; plantation + mill), PT Borneo Sawit Perdana (BSP, since 2010, Kotawaringin Timur; plantation + 60 tph mill commenced Dec 2023 + Special Terminal commenced Jun 2024), PT Prasetya Mitra Muda (PMM, since 2015, Gunung Mas), PT Bina Sarana Sawit Utama (BSSU, since 2022, Kapuas), PT Hamparan Mitra Abadi (HMA, since 2022, Kapuas).</t>
        </is>
      </c>
      <c r="K59" s="6" t="inlineStr">
        <is>
          <t>PT Samuel Tumbuh Bersama 43.58%, Ir. Teguh Patriawan 10.29%, PT Nusantara Makmur Lestari 9.62%, Public 36.51% (as of 31 Dec 2024)</t>
        </is>
      </c>
      <c r="L59" s="6" t="inlineStr">
        <is>
          <t>Listed (IDX: NSSS) - IPO 10 Mar 2023</t>
        </is>
      </c>
      <c r="M59" s="6" t="inlineStr">
        <is>
          <t>Oil palm plantation (upstream) with CPO &amp; PK milling</t>
        </is>
      </c>
      <c r="N59" s="6" t="n"/>
      <c r="O59" s="6" t="n"/>
      <c r="P59" s="6" t="n"/>
      <c r="Q59" s="6" t="inlineStr">
        <is>
          <t>FFB production target (490,000 t) not met (realized 477,288 t, -2.6%); CPO target missed (118,600 t target vs 105,570 t realized); revenue target of Rp1,695 bn missed by 12%; still highly leveraged (Debt/Equity 173.08%); plantations in Kapuas (BSSU, HMA) not yet producing.</t>
        </is>
      </c>
      <c r="R59" s="6" t="inlineStr">
        <is>
          <t>Small-cap Central Kalimantan palm producer listed on IDX since Mar 2023. 2024 revenue +26% YoY to Rp1,490 bn; net profit surged from Rp2 bn (2023) to Rp305 bn on higher CPO/PK volumes (+12%/+10%) and prices (CPO +19%, PK +57%). Second mill at BSP (60 tph) and Special Terminal commenced commercial operations in 2024 boosting capacity. 29,125 ha planted; young trees avg 9.8 yrs.</t>
        </is>
      </c>
      <c r="S59" s="44" t="inlineStr">
        <is>
          <t>Upstream</t>
        </is>
      </c>
    </row>
    <row r="60" ht="15" customHeight="1" s="67">
      <c r="A60" s="6" t="inlineStr">
        <is>
          <t>PT Indo Oil Perkasa Tbk</t>
        </is>
      </c>
      <c r="B60" s="6" t="inlineStr">
        <is>
          <t>OILS</t>
        </is>
      </c>
      <c r="C60" s="6" t="inlineStr">
        <is>
          <t>IDX</t>
        </is>
      </c>
      <c r="D60" s="6" t="n">
        <v>2022</v>
      </c>
      <c r="E60" s="6" t="inlineStr">
        <is>
          <t>OILS_2022_AR.pdf</t>
        </is>
      </c>
      <c r="F60" s="6" t="inlineStr">
        <is>
          <t>Mojokerto, East Java, Indonesia</t>
        </is>
      </c>
      <c r="G60" s="6" t="inlineStr">
        <is>
          <t>Indonesia</t>
        </is>
      </c>
      <c r="H60" s="6" t="inlineStr">
        <is>
          <t>Java (Mojokerto, East Java)</t>
        </is>
      </c>
      <c r="I60" s="6" t="inlineStr">
        <is>
          <t>Mandalindo Putra Perkasa business group; ultimate controller Mrs. Sulastri.</t>
        </is>
      </c>
      <c r="J60" s="6" t="inlineStr">
        <is>
          <t>None - standalone company in 2022.</t>
        </is>
      </c>
      <c r="K60" s="6" t="inlineStr">
        <is>
          <t>PT Mandalindo Putra Perkasa 47.85%, Sulastri 7.09%, Johan Widakdo Liem 3.82%, Yonathan Widakdo Sutanto 3.82%, Albert Widakdo Sutanto 0.55%, Masyarakat/Public 33.05%.</t>
        </is>
      </c>
      <c r="L60" s="6" t="inlineStr">
        <is>
          <t>Listed (IDX: OILS) since 6 September 2021</t>
        </is>
      </c>
      <c r="M60" s="6" t="inlineStr">
        <is>
          <t>Coconut oil processing (Crude Coconut Oil / CNO) and copra meal production; NOT palm oil.</t>
        </is>
      </c>
      <c r="N60" s="6" t="n"/>
      <c r="O60" s="6" t="n"/>
      <c r="P60" s="6" t="n"/>
      <c r="Q60" s="6" t="inlineStr">
        <is>
          <t>Margins thin; small-cap company with limited scale; reliant on commodity spot-trading (no contracts with customers, daily purchase orders only); higher raw material prices pushing up liabilities.</t>
        </is>
      </c>
      <c r="R60" s="6" t="inlineStr">
        <is>
          <t>Indonesia's small coconut oil processor. 2022 revenue Rp514.2 bn (+37.01% YoY) with net profit Rp6.82 bn (+13.12% YoY) - strong recovery on export growth. Plant capacity 4,000 tons (100 tons CNO/day via 4 machines). Exports dominate (~64% of sales). Membership in APCC region. IPO at Rp270/share in Sep 2021.</t>
        </is>
      </c>
      <c r="S60" s="44" t="inlineStr">
        <is>
          <t>Downstream (coconut oil processor, no upstream plantations; purchases copra from local farmers)</t>
        </is>
      </c>
    </row>
    <row r="61" ht="15" customHeight="1" s="67">
      <c r="A61" s="6" t="inlineStr">
        <is>
          <t>PT Indo Oil Perkasa Tbk</t>
        </is>
      </c>
      <c r="B61" s="6" t="inlineStr">
        <is>
          <t>OILS</t>
        </is>
      </c>
      <c r="C61" s="6" t="inlineStr">
        <is>
          <t>IDX</t>
        </is>
      </c>
      <c r="D61" s="6" t="n">
        <v>2023</v>
      </c>
      <c r="E61" s="6" t="inlineStr">
        <is>
          <t>OILS_2023_AR.pdf</t>
        </is>
      </c>
      <c r="F61" s="6" t="inlineStr">
        <is>
          <t>Mojokerto, East Java, Indonesia</t>
        </is>
      </c>
      <c r="G61" s="6" t="inlineStr">
        <is>
          <t>Indonesia</t>
        </is>
      </c>
      <c r="H61" s="6" t="inlineStr">
        <is>
          <t>Java (Mojokerto, East Java)</t>
        </is>
      </c>
      <c r="I61" s="6" t="inlineStr">
        <is>
          <t>Mandalindo Putra Perkasa business group; ultimate controller Mrs. Sulastri.</t>
        </is>
      </c>
      <c r="J61" s="6" t="inlineStr">
        <is>
          <t>No subsidiaries in 2023 (standalone). PT Indosena Perkasa Refineries and PT Indo Kelapa Perkasa established in 2024.</t>
        </is>
      </c>
      <c r="K61" s="6" t="inlineStr">
        <is>
          <t>PT Mandalindo Putra Perkasa 47.85%, Sulastri 7.09%, Johan Widakdo Liem 3.82%, Yonathan Widakdo Sutanto 3.82%, Albert Widakdo Sutanto 0.55%, Masyarakat/Public 33.05%.</t>
        </is>
      </c>
      <c r="L61" s="6" t="inlineStr">
        <is>
          <t>Listed (IDX: OILS) since 6 September 2021</t>
        </is>
      </c>
      <c r="M61" s="6" t="inlineStr">
        <is>
          <t>Coconut oil processing (Crude Coconut Oil / CNO) and copra meal production; NOT palm oil.</t>
        </is>
      </c>
      <c r="N61" s="6" t="n"/>
      <c r="O61" s="6" t="n"/>
      <c r="P61" s="6" t="n"/>
      <c r="Q61" s="6" t="inlineStr">
        <is>
          <t>Revenue grew +16.75% but net profit declined 54.08% YoY due to rising cost of production; operating cash flow turned negative (Rp-11.95 bn vs +Rp18.87 bn in 2022); Gearing rose to 1.37x debt/equity; inventories up +91.73%; high short-term bank loans +69.43%.</t>
        </is>
      </c>
      <c r="R61" s="6" t="inlineStr">
        <is>
          <t>Challenging year for small-cap Indonesian CNO processor. 2023 revenue Rp600.4 bn (+16.75% YoY) but profit margins compressed - net profit only Rp3.13 bn (-54.08% YoY). Gross margin dropped from 8.6% to 6.0% due to higher cost of production. Plant capacity 4,000 tons (100 tons CNO/day, 4 machines). Plans to expand capacity to 6,000 tons and 9 machines. Exports to Bangladesh, Malaysia, Sri Lanka, Thailand, USA.</t>
        </is>
      </c>
      <c r="S61" s="44" t="inlineStr">
        <is>
          <t>Downstream (coconut oil processor, no upstream plantations; purchases copra from local farmers)</t>
        </is>
      </c>
    </row>
    <row r="62" ht="15" customHeight="1" s="67">
      <c r="A62" s="6" t="inlineStr">
        <is>
          <t>PT Indo Oil Perkasa Tbk</t>
        </is>
      </c>
      <c r="B62" s="6" t="inlineStr">
        <is>
          <t>OILS</t>
        </is>
      </c>
      <c r="C62" s="6" t="inlineStr">
        <is>
          <t>IDX</t>
        </is>
      </c>
      <c r="D62" s="6" t="n">
        <v>2024</v>
      </c>
      <c r="E62" s="6" t="inlineStr">
        <is>
          <t>OILS_2024_AR.pdf</t>
        </is>
      </c>
      <c r="F62" s="6" t="inlineStr">
        <is>
          <t>Mojokerto, East Java, Indonesia</t>
        </is>
      </c>
      <c r="G62" s="6" t="inlineStr">
        <is>
          <t>Indonesia</t>
        </is>
      </c>
      <c r="H62" s="6" t="inlineStr">
        <is>
          <t>Java (Mojokerto, East Java)</t>
        </is>
      </c>
      <c r="I62" s="6" t="inlineStr">
        <is>
          <t>Mandalindo Putra Perkasa business group; ultimate controller Mrs. Sulastri.</t>
        </is>
      </c>
      <c r="J62" s="6" t="inlineStr">
        <is>
          <t>PT Indosena Perkasa Refineries (51% owned, not yet operational); PT Indo Kelapa Perkasa (65% owned, not yet operational). Both established in 2024.</t>
        </is>
      </c>
      <c r="K62" s="6" t="inlineStr">
        <is>
          <t>PT Mandalindo Putra Perkasa 47.85%, Sulastri 7.09%, Johan Widakdo Liem 3.82%, Yonathan Widakdo Sutanto 3.82%, Albert Widakdo Sutanto 0.55%, Masyarakat/Public 33.05% (Sriyati Mangulahi Hutauruk 0% currently).</t>
        </is>
      </c>
      <c r="L62" s="6" t="inlineStr">
        <is>
          <t>Listed (IDX: OILS) since 6 September 2021</t>
        </is>
      </c>
      <c r="M62" s="6" t="inlineStr">
        <is>
          <t>Coconut oil processing (Crude Coconut Oil / CNO) and copra meal production; NOT palm oil. Processes copra into CNO and copra meal (70/30 split).</t>
        </is>
      </c>
      <c r="N62" s="6" t="n"/>
      <c r="O62" s="6" t="n"/>
      <c r="P62" s="6" t="n"/>
      <c r="Q62" s="6" t="inlineStr">
        <is>
          <t>Production capacity constraint (main strategic challenge); highly leveraged (gearing 1.37x debt/equity 2023); reliance on short-term bank loans (Rp82 bn ST bank debt); small-scale operator (27 employees); two new subsidiaries (Indosena Refineries, Indo Kelapa Perkasa) established in 2024 but not yet operational.</t>
        </is>
      </c>
      <c r="R62" s="6" t="inlineStr">
        <is>
          <t>Small-cap Indonesian coconut oil (CNO) processor in Mojokerto, East Java. 2024 revenue Rp634.4 bn (+5.7% YoY) with net profit Rp6.35 bn (+102.7% YoY, recovering from weak 2023). Production 20,543 tons CNO and 30,825 tons copra meal. Plant capacity 4,000 tons (100 tons CNO/day, 4 machines); plans to expand to 6,000 tons and 9 machines. Exports to Bangladesh, Malaysia, Sri Lanka, Thailand, Turkey, USA, Tunisia, Madagascar, Japan. NOT a palm oil company - included in palm longlist likely due to related vegetable oil sector.</t>
        </is>
      </c>
      <c r="S62" s="44" t="inlineStr">
        <is>
          <t>Downstream (coconut oil processor, no upstream plantations; purchases copra from local farmers)</t>
        </is>
      </c>
    </row>
    <row r="63" ht="15" customHeight="1" s="67">
      <c r="A63" s="6" t="inlineStr">
        <is>
          <t>PT Pradiksi Gunatama Tbk</t>
        </is>
      </c>
      <c r="B63" s="6" t="inlineStr">
        <is>
          <t>PGUN</t>
        </is>
      </c>
      <c r="C63" s="6" t="inlineStr">
        <is>
          <t>IDX</t>
        </is>
      </c>
      <c r="D63" s="6" t="n">
        <v>2022</v>
      </c>
      <c r="E63" s="6" t="inlineStr">
        <is>
          <t>PGUN_2022_AR.pdf</t>
        </is>
      </c>
      <c r="F63" s="6" t="inlineStr">
        <is>
          <t>Jl. Negara Km. 44 Batu Engau, Paser, East Kalimantan</t>
        </is>
      </c>
      <c r="G63" s="6" t="inlineStr">
        <is>
          <t>Indonesia</t>
        </is>
      </c>
      <c r="H63" s="6" t="inlineStr">
        <is>
          <t>East Kalimantan (Paser Regency)</t>
        </is>
      </c>
      <c r="I63" s="6" t="inlineStr">
        <is>
          <t>Parent entities: PT Araya Agro Lestari (42.29%) and PT Citra Agro Raya (42.03%). Ultimate parents - both PT Araya Agro Lestari and PT Citra Agro Raya.</t>
        </is>
      </c>
      <c r="J63" s="6" t="inlineStr">
        <is>
          <t>PT Senabangun Anekapertiwi (SA) was merged into the Company on 21 December 2022 (business combination under common control). SA had 16,404 ha HGU and 7,622 ha planted land.</t>
        </is>
      </c>
      <c r="K63" s="6" t="inlineStr">
        <is>
          <t>PT Araya Agro Lestari 42.29%, PT Citra Agro Raya 42.03%, Public 15.68% (as of 31 Dec 2022). Total shares 5,737,848,882 (increased from 4,998,360,000 post-merger).</t>
        </is>
      </c>
      <c r="L63" s="6" t="inlineStr">
        <is>
          <t>Listed (IDX: PGUN); IPO 7 July 2020 at Rp115/share</t>
        </is>
      </c>
      <c r="M63" s="6" t="inlineStr">
        <is>
          <t>Oil palm plantation (upstream) and CPO + palm kernel milling</t>
        </is>
      </c>
      <c r="N63" s="6" t="n"/>
      <c r="O63" s="6" t="n"/>
      <c r="P63" s="6" t="n"/>
      <c r="Q63" s="6" t="inlineStr">
        <is>
          <t>Heavy customer concentration: CPO all to JARR (affiliate), Kernel largely to Kodeco (related). Restatement of 2021 FS due to pooling-of-interests business combination.</t>
        </is>
      </c>
      <c r="R63" s="6" t="inlineStr">
        <is>
          <t>Small-cap East Kalimantan palm operator, post-Senabangun merger reached 38,991 ha total land with 19,417-20,267 ha planted. Record year: revenue Rp1,007.3 bn (+28% YoY), net profit Rp167.2 bn (+333%). Mill capacity 60 tph (upgrade to 90 tph announced for mid-2023). Bank debt Rp697.6 bn (BRI) vs equity Rp1,429 bn. Total assets Rp2,347.5 bn.</t>
        </is>
      </c>
      <c r="S63" s="44" t="inlineStr">
        <is>
          <t>Upstream</t>
        </is>
      </c>
    </row>
    <row r="64" ht="15" customHeight="1" s="67">
      <c r="A64" s="6" t="inlineStr">
        <is>
          <t>PT Pradiksi Gunatama Tbk</t>
        </is>
      </c>
      <c r="B64" s="6" t="inlineStr">
        <is>
          <t>PGUN</t>
        </is>
      </c>
      <c r="C64" s="6" t="inlineStr">
        <is>
          <t>IDX</t>
        </is>
      </c>
      <c r="D64" s="6" t="n">
        <v>2023</v>
      </c>
      <c r="E64" s="6" t="inlineStr">
        <is>
          <t>PGUN_2023_AR.pdf</t>
        </is>
      </c>
      <c r="F64" s="6" t="inlineStr">
        <is>
          <t>Jl. Negara Km. 44 Batu Engau, Paser, East Kalimantan</t>
        </is>
      </c>
      <c r="G64" s="6" t="inlineStr">
        <is>
          <t>Indonesia</t>
        </is>
      </c>
      <c r="H64" s="6" t="inlineStr">
        <is>
          <t>East Kalimantan (Paser Regency)</t>
        </is>
      </c>
      <c r="I64" s="6" t="inlineStr">
        <is>
          <t>Parent entities: PT Araya Agro Lestari (38.44%) and PT Citra Agro Raya (38.25%). Ultimate beneficial owners Liana Saputri and Jhoni Saputra (each 50% of each parent). Also affiliated with PT Jhonlin Agro Raya Tbk (JARR) and PT Kodeco Agrojaya Mandiri via family relationship of President Commissioner.</t>
        </is>
      </c>
      <c r="J64" s="6" t="inlineStr">
        <is>
          <t>None as of 2023 (post Dec 2022 merger of PT Senabangun Anekapertiwi into the Company).</t>
        </is>
      </c>
      <c r="K64" s="6" t="inlineStr">
        <is>
          <t>PT Araya Agro Lestari 38.44%, PT Citra Agro Raya 38.25%, PT Baramega Citra Mulia Persada 16.88%, Public 6.43% (as of 31 Dec 2023). Total shares 5,737,848,882.</t>
        </is>
      </c>
      <c r="L64" s="6" t="inlineStr">
        <is>
          <t>Listed (IDX: PGUN)</t>
        </is>
      </c>
      <c r="M64" s="6" t="inlineStr">
        <is>
          <t>Oil palm plantation (upstream) and CPO + palm kernel milling</t>
        </is>
      </c>
      <c r="N64" s="6" t="n"/>
      <c r="O64" s="6" t="n"/>
      <c r="P64" s="6" t="n"/>
      <c r="Q64" s="6" t="inlineStr">
        <is>
          <t>CPO price significantly declined vs 2022; kernel price also fell sharply YoY. Revenue -13.8% YoY despite higher volume. Heavy customer concentration: CPO all to JARR (affiliate), Kernel largely to Kodeco (related).</t>
        </is>
      </c>
      <c r="R64" s="6" t="inlineStr">
        <is>
          <t>Small-cap upstream palm plantation in East Kalimantan. 2023 AR: revenue Rp868.5 bn (-13.8%), net profit Rp108.1 bn (-35.4%). Key 2023 actions: mill capacity upgraded from 60 tph to 90 tph; acquisition of 2,000 ha from PT Langgai Agrindo Agung and PT Bumi Pasir Agrindo. Bank debt Rp569.8 bn (BRI) vs equity Rp1,626.1 bn (D/E 0.35x). Total assets Rp2,591 bn.</t>
        </is>
      </c>
      <c r="S64" s="44" t="inlineStr">
        <is>
          <t>Upstream</t>
        </is>
      </c>
    </row>
    <row r="65" ht="15" customHeight="1" s="67">
      <c r="A65" s="6" t="inlineStr">
        <is>
          <t>PT Pradiksi Gunatama Tbk</t>
        </is>
      </c>
      <c r="B65" s="6" t="inlineStr">
        <is>
          <t>PGUN</t>
        </is>
      </c>
      <c r="C65" s="6" t="inlineStr">
        <is>
          <t>IDX</t>
        </is>
      </c>
      <c r="D65" s="6" t="n">
        <v>2024</v>
      </c>
      <c r="E65" s="6" t="inlineStr">
        <is>
          <t>PGUN_2024_AR.pdf</t>
        </is>
      </c>
      <c r="F65" s="6" t="inlineStr">
        <is>
          <t>Jl. Negara Km. 44 Batu Engau, Paser, East Kalimantan</t>
        </is>
      </c>
      <c r="G65" s="6" t="inlineStr">
        <is>
          <t>Indonesia</t>
        </is>
      </c>
      <c r="H65" s="6" t="inlineStr">
        <is>
          <t>East Kalimantan (Paser Regency)</t>
        </is>
      </c>
      <c r="I65" s="6" t="inlineStr">
        <is>
          <t>Parent entities: PT Araya Agro Lestari (38.44%) and PT Citra Agro Raya (38.25%) are joint controllers; related via Liana Saputri (President Commissioner, also Commissioner of PT Kodeco Agro Jaya Mandiri) and affiliation with PT Jhonlin Agro Raya Tbk (family of President Commissioner).</t>
        </is>
      </c>
      <c r="J65" s="6" t="inlineStr">
        <is>
          <t>No subsidiaries disclosed in 2024 FS (standalone statements). PT Senabangun Anekapertiwi was merged into the Company in Dec 2022.</t>
        </is>
      </c>
      <c r="K65" s="6" t="inlineStr">
        <is>
          <t>PT Araya Agro Lestari 38.44%, PT Citra Agro Raya 38.25%, PT Baramega Citra Mulia Persada 16.88%, Public ~6.43% (as of 31 Dec 2024). Total shares 5,737,848,882.</t>
        </is>
      </c>
      <c r="L65" s="6" t="inlineStr">
        <is>
          <t>Listed (IDX: PGUN); IPO 7 July 2020 at Rp115/share</t>
        </is>
      </c>
      <c r="M65" s="6" t="inlineStr">
        <is>
          <t>Oil palm plantation (upstream) and crude palm oil (CPO) + palm kernel (PK) milling</t>
        </is>
      </c>
      <c r="N65" s="6" t="n"/>
      <c r="O65" s="6" t="n"/>
      <c r="P65" s="6" t="n"/>
      <c r="Q65" s="6" t="inlineStr">
        <is>
          <t>FFB production in 2024 achieved only 62% of 359,138 t target (223,235 t actual); CPO processed only 67% of 79,012 t target (53,108 t), due to 2023 drought and 2024 replanting (855.74 ha). Revenue -15% YoY. Related-party sales concentration: all CPO to PT Jhonlin Agro Raya Tbk (affiliate) and Kernel mainly to PT Kodeco Agrojaya Mandiri (related).</t>
        </is>
      </c>
      <c r="R65" s="6" t="inlineStr">
        <is>
          <t>Small-cap single-asset upstream palm operator in East Kalimantan (Paser), 22,782 ha planted (19,491 ha mature + 3,291 ha immature) on 41,562 ha HGU. Single 90 tph CPO mill (upgraded from 60 tph in 2023). 2024 revenue Rp738.6 bn (-15% YoY), net profit Rp79.2 bn (-27%). Replanting cycle has begun on 25-year-old stands (855.74 ha replanted in 2024). Moderate gearing: bank debt Rp488.7 bn (BRI) vs equity Rp1,793 bn (D/E 0.32x).</t>
        </is>
      </c>
      <c r="S65" s="44" t="inlineStr">
        <is>
          <t>Upstream</t>
        </is>
      </c>
    </row>
    <row r="66" ht="15" customHeight="1" s="67">
      <c r="A66" s="6" t="inlineStr">
        <is>
          <t>PT Pinago Utama Tbk</t>
        </is>
      </c>
      <c r="B66" s="6" t="inlineStr">
        <is>
          <t>PNGO</t>
        </is>
      </c>
      <c r="C66" s="6" t="inlineStr">
        <is>
          <t>IDX</t>
        </is>
      </c>
      <c r="D66" s="6" t="n">
        <v>2022</v>
      </c>
      <c r="E66" s="6" t="inlineStr">
        <is>
          <t>PNGO_2022_AR.pdf</t>
        </is>
      </c>
      <c r="F66" s="6" t="inlineStr">
        <is>
          <t>Palembang, South Sumatra, Indonesia</t>
        </is>
      </c>
      <c r="G66" s="6" t="inlineStr">
        <is>
          <t>Indonesia</t>
        </is>
      </c>
      <c r="H66" s="6" t="inlineStr">
        <is>
          <t>Sumatra Selatan (South Sumatra)</t>
        </is>
      </c>
      <c r="I66" s="6" t="inlineStr">
        <is>
          <t>Founder-family controlled: Wilson Sutantio (22.73%), Hasan Tantri (19.48%), Charles Sutantio (17.61%), Peter Unggul Sutantio (15.29%); Public 24.89%. Listed on IDX since 31 August 2020.</t>
        </is>
      </c>
      <c r="J66" s="6" t="inlineStr">
        <is>
          <t>PT Sriwijaya Nusantara Sejahtera (SNS) 99%; PT Hamparan Mutiara Hijau (HMH) 99%; PT Musi Andalan Sumatera (MAS) 99% - all Palm Plantations, domiciled in Palembang, South Sumatra.</t>
        </is>
      </c>
      <c r="K66" s="6" t="inlineStr">
        <is>
          <t>Wilson Sutantio 22.73%, Hasan Tantri 19.48%, Charles Sutantio 17.61%, Peter Unggul Sutantio 15.29%, Public 24.89%</t>
        </is>
      </c>
      <c r="L66" s="6" t="inlineStr">
        <is>
          <t>Listed (IDX: PNGO, since 31 Aug 2020)</t>
        </is>
      </c>
      <c r="M66" s="6" t="inlineStr">
        <is>
          <t>Palm oil plantation (upstream) + rubber plantation + crumb rubber / RSS + compost (ImproBio)</t>
        </is>
      </c>
      <c r="N66" s="6" t="n"/>
      <c r="O66" s="6" t="n"/>
      <c r="P66" s="6" t="n"/>
      <c r="Q66" s="6" t="inlineStr">
        <is>
          <t>Rubber segment weakening (Crumb Rubber production -24% YoY, RSS -13% due to lower plantation output); high bank debt (Rp684 bn; DER 1.18); cash &lt;5% of total assets; ~60% of FFB processed sourced externally.</t>
        </is>
      </c>
      <c r="R66" s="6" t="inlineStr">
        <is>
          <t>South Sumatra-based integrated palm + rubber producer. 2022 revenue down 2.6% to Rp2.03 tn (rubber segment weak); net profit -8% to Rp173 bn. Palm segment stronger: FFB core +14%, CPO +16% to 100,914 t, Kernel +17%; CPO avg selling price +7% to Rp12,108/kg. Rubber Crumb Rubber output -24%. 1 PMKS (120 tph, 86.2 tph used), 1 CR plant, 1 RSS plant.</t>
        </is>
      </c>
      <c r="S66" s="44" t="inlineStr">
        <is>
          <t>Integrated</t>
        </is>
      </c>
    </row>
    <row r="67" ht="15" customHeight="1" s="67">
      <c r="A67" s="6" t="inlineStr">
        <is>
          <t>PT Pinago Utama Tbk</t>
        </is>
      </c>
      <c r="B67" s="6" t="inlineStr">
        <is>
          <t>PNGO</t>
        </is>
      </c>
      <c r="C67" s="6" t="inlineStr">
        <is>
          <t>IDX</t>
        </is>
      </c>
      <c r="D67" s="6" t="n">
        <v>2023</v>
      </c>
      <c r="E67" s="6" t="inlineStr">
        <is>
          <t>PNGO_2023_AR.pdf</t>
        </is>
      </c>
      <c r="F67" s="6" t="inlineStr">
        <is>
          <t>Palembang, South Sumatra, Indonesia</t>
        </is>
      </c>
      <c r="G67" s="6" t="inlineStr">
        <is>
          <t>Indonesia</t>
        </is>
      </c>
      <c r="H67" s="6" t="inlineStr">
        <is>
          <t>Sumatra Selatan (South Sumatra)</t>
        </is>
      </c>
      <c r="I67" s="6" t="inlineStr">
        <is>
          <t>Founder-family controlled: Wilson Sutantio (22.76%), Hasan Tantri (19.48%), Charles Sutantio (17.61%), Peter Unggul Sutantio (15.27%); Public 24.88%. Listed on IDX since 31 August 2020 (IPO).</t>
        </is>
      </c>
      <c r="J67" s="6" t="inlineStr">
        <is>
          <t>PT Sriwijaya Nusantara Sejahtera (SNS) 99%; PT Hamparan Mutiara Hijau (HMH) 99%; PT Musi Andalan Sumatera (MAS) 99% - all Palm Plantations, Sumatra Selatan.</t>
        </is>
      </c>
      <c r="K67" s="6" t="inlineStr">
        <is>
          <t>Wilson Sutantio 22.76%, Hasan Tantri 19.48%, Charles Sutantio 17.61%, Peter Unggul Sutantio 15.27%, Public 24.88%</t>
        </is>
      </c>
      <c r="L67" s="6" t="inlineStr">
        <is>
          <t>Listed (IDX: PNGO, since 31 Aug 2020)</t>
        </is>
      </c>
      <c r="M67" s="6" t="inlineStr">
        <is>
          <t>Palm oil plantation (upstream) + rubber plantation + crumb rubber / RSS + compost (ImproBio)</t>
        </is>
      </c>
      <c r="N67" s="6" t="n"/>
      <c r="O67" s="6" t="n"/>
      <c r="P67" s="6" t="n"/>
      <c r="Q67" s="6" t="inlineStr">
        <is>
          <t>Cash &amp; equivalents dropped 60% YoY (Rp28.7 bn) to fund bank loan repayment; FFB TBS third-party purchases still dominant at 52% of processed volume; reliance on commodity price cycle for both palm and rubber.</t>
        </is>
      </c>
      <c r="R67" s="6" t="inlineStr">
        <is>
          <t>South Sumatra-based integrated palm + rubber plantation company. 2023 revenue flat at Rp2.04 tn (+0.14%); net profit +11% YoY to Rp192 bn helped by biological-asset fair-value gains, lower finance cost, FX gains. FFB core production +11% to 179,913 t; CPO -1% to 99,766 t; Crumb Rubber +17% to 31,841 t. Cash down 60% as bank debt reduced. 1 PMKS mill (120 tph), 1 CR plant, 1 RSS.</t>
        </is>
      </c>
      <c r="S67" s="44" t="inlineStr">
        <is>
          <t>Integrated</t>
        </is>
      </c>
    </row>
    <row r="68" ht="15" customHeight="1" s="67">
      <c r="A68" s="6" t="inlineStr">
        <is>
          <t>PT Pinago Utama Tbk</t>
        </is>
      </c>
      <c r="B68" s="6" t="inlineStr">
        <is>
          <t>PNGO</t>
        </is>
      </c>
      <c r="C68" s="6" t="inlineStr">
        <is>
          <t>IDX</t>
        </is>
      </c>
      <c r="D68" s="6" t="n">
        <v>2024</v>
      </c>
      <c r="E68" s="6" t="inlineStr">
        <is>
          <t>PNGO_2024_AR.pdf</t>
        </is>
      </c>
      <c r="F68" s="6" t="inlineStr">
        <is>
          <t>Palembang, South Sumatra, Indonesia</t>
        </is>
      </c>
      <c r="G68" s="6" t="inlineStr">
        <is>
          <t>Indonesia</t>
        </is>
      </c>
      <c r="H68" s="6" t="inlineStr">
        <is>
          <t>Sumatra Selatan (South Sumatra)</t>
        </is>
      </c>
      <c r="I68" s="6" t="inlineStr">
        <is>
          <t>Founder-family controlled: Wilson Sutantio (22.76%), Hasan Tantri (19.48%), Charles Sutantio (17.61%), Peter Unggul Sutantio (15.27%); Public 24.88%. Listed on IDX since 31 August 2020 (IPO).</t>
        </is>
      </c>
      <c r="J68" s="6" t="inlineStr">
        <is>
          <t>PT Sriwijaya Nusantara Sejahtera (SNS) 99% - Palm Plantations; PT Hamparan Mutiara Hijau (HMH) 99% - Palm Plantations; PT Musi Andalan Sumatera (MAS) 99% - Palm Plantations. All domiciled in Palembang, Sumatra Selatan.</t>
        </is>
      </c>
      <c r="K68" s="6" t="inlineStr">
        <is>
          <t>Wilson Sutantio 22.76%, Hasan Tantri 19.48%, Charles Sutantio 17.61%, Peter Unggul Sutantio 15.27%, Public 24.88%</t>
        </is>
      </c>
      <c r="L68" s="6" t="inlineStr">
        <is>
          <t>Listed (IDX: PNGO, since 31 Aug 2020)</t>
        </is>
      </c>
      <c r="M68" s="6" t="inlineStr">
        <is>
          <t>Palm oil plantation (upstream) + rubber plantation + crumb rubber / RSS + compost (ImproBio)</t>
        </is>
      </c>
      <c r="N68" s="6" t="n"/>
      <c r="O68" s="6" t="n"/>
      <c r="P68" s="6" t="n"/>
      <c r="Q68" s="6" t="inlineStr">
        <is>
          <t>FFB core production dropped 14% due to prolonged dry/El Nino climate; 53% of FFB processed sourced from third parties (limited self-sufficiency); revenue concentrated in two volatile commodities (palm + rubber); controlling family ownership ~75%.</t>
        </is>
      </c>
      <c r="R68" s="6" t="inlineStr">
        <is>
          <t>South Sumatra-based integrated palm + rubber producer. 2024 revenue nearly flat at Rp2.04 tn; net profit +15% YoY to Rp221 bn driven by rubber margin recovery (RSS sales +120%) and fair-value gain on biological assets. Palm CPO production -4% to 95,507 t due to lower nucleus FFB (weather). Single PMKS mill (120 tph, 83.5 tph used), 1 crumb rubber factory (6,000 tpm), 1 RSS factory (600 tpm). DER 0.83.</t>
        </is>
      </c>
      <c r="S68" s="44" t="inlineStr">
        <is>
          <t>Integrated</t>
        </is>
      </c>
    </row>
    <row r="69" ht="15" customHeight="1" s="67">
      <c r="A69" s="6" t="inlineStr">
        <is>
          <t>PT Pulau Subur Tbk</t>
        </is>
      </c>
      <c r="B69" s="6" t="inlineStr">
        <is>
          <t>PTPS</t>
        </is>
      </c>
      <c r="C69" s="6" t="inlineStr">
        <is>
          <t>IDX</t>
        </is>
      </c>
      <c r="D69" s="6" t="n">
        <v>2023</v>
      </c>
      <c r="E69" s="6" t="inlineStr">
        <is>
          <t>PTPS_2023_AR.pdf</t>
        </is>
      </c>
      <c r="F69" s="6" t="inlineStr">
        <is>
          <t>Palembang, South Sumatra, Indonesia</t>
        </is>
      </c>
      <c r="G69" s="6" t="inlineStr">
        <is>
          <t>Indonesia</t>
        </is>
      </c>
      <c r="H69" s="6" t="inlineStr">
        <is>
          <t>South Sumatra (Banyuasin &amp; OKI Regencies)</t>
        </is>
      </c>
      <c r="I69" s="6" t="inlineStr">
        <is>
          <t>Pre-IPO 100% held by PT Sekawan Kontrindo (99.12%), Efendi (0.44%), Burhan (0.44%). Post-IPO (9 Oct 2023): PT Sekawan Kontrindo 78.54%, Efendi 0.35%, Burhan 0.35%, Public 20.76%. No subsidiaries; one associate PT Sumber Enim Alam Lestari.</t>
        </is>
      </c>
      <c r="J69" s="6" t="inlineStr">
        <is>
          <t>No subsidiaries. Associate: PT Sumber Enim Alam Lestari (~1,000 ha concession, ~300 ha planted, age 4-5 yrs; location Muara Enim, South Sumatra).</t>
        </is>
      </c>
      <c r="K69" s="6" t="inlineStr">
        <is>
          <t>PT Sekawan Kontrindo 78.54%, Efendi 0.35%, Burhan 0.35%, Public 20.76% (post-IPO). Shares: 2,167,500,000 at nominal Rp20.</t>
        </is>
      </c>
      <c r="L69" s="6" t="inlineStr">
        <is>
          <t>Listed (IDX: PTPS) since 9 October 2023</t>
        </is>
      </c>
      <c r="M69" s="6" t="inlineStr">
        <is>
          <t>Oil palm plantation (upstream FFB producer in South Sumatra)</t>
        </is>
      </c>
      <c r="N69" s="6" t="n"/>
      <c r="O69" s="6" t="n"/>
      <c r="P69" s="6" t="n"/>
      <c r="Q69" s="6" t="inlineStr">
        <is>
          <t>Very small-scale single-estate operator (1,090.64 ha planted out of 1,180.39 ha permit; 882.58 ha HGU). Pure FFB seller to third-party mills. No own mill. No ISPO/RSPO. Recent IPO (Oct 2023) at Rp198 with Rp89.1 bn gross proceeds; only Rp6.38 bn deployed by year-end. FFB volume down 13.4% YoY to 26,037 t in 2023.</t>
        </is>
      </c>
      <c r="R69" s="6" t="inlineStr">
        <is>
          <t>PTPS IPO'd on IDX 9 Oct 2023 at Rp198 with 450 mn shares (20.76% float), raising Rp89.1 bn gross / Rp85.1 bn net. 2023 revenue Rp61.66 bn (-4.1% YoY), net profit Rp26.19 bn (-5.4%), total assets Rp168.91 bn (+131.2% on IPO cash). Operations: ~1,090.64 ha planted oil palm in Banyuasin &amp; OKI (South Sumatra). Pure FFB seller to PT GAS &amp; PT DSAP. IPO proceeds earmarked 50% for building 10 tph CPO mill (construction starts 2024), 50% for working capital. Gearing 3.79%, very conservative.</t>
        </is>
      </c>
      <c r="S69" s="44" t="inlineStr">
        <is>
          <t>Upstream</t>
        </is>
      </c>
    </row>
    <row r="70" ht="15" customHeight="1" s="67">
      <c r="A70" s="6" t="inlineStr">
        <is>
          <t>PT Pulau Subur Tbk</t>
        </is>
      </c>
      <c r="B70" s="6" t="inlineStr">
        <is>
          <t>PTPS</t>
        </is>
      </c>
      <c r="C70" s="6" t="inlineStr">
        <is>
          <t>IDX</t>
        </is>
      </c>
      <c r="D70" s="6" t="n">
        <v>2024</v>
      </c>
      <c r="E70" s="6" t="inlineStr">
        <is>
          <t>PTPS_2024_AR.pdf</t>
        </is>
      </c>
      <c r="F70" s="6" t="inlineStr">
        <is>
          <t>Palembang, South Sumatra, Indonesia</t>
        </is>
      </c>
      <c r="G70" s="6" t="inlineStr">
        <is>
          <t>Indonesia</t>
        </is>
      </c>
      <c r="H70" s="6" t="inlineStr">
        <is>
          <t>South Sumatra (Banyuasin &amp; OKI Regencies)</t>
        </is>
      </c>
      <c r="I70" s="6" t="inlineStr">
        <is>
          <t>Controlled by PT Sekawan Kontrindo (78.54%); individual shareholders Efendi 0.35% and Burhan 0.35%; Public 20.76%. No subsidiaries; one associate entity PT Sumber Enim Alam Lestari.</t>
        </is>
      </c>
      <c r="J70" s="6" t="inlineStr">
        <is>
          <t>No subsidiaries. Associate: PT Sumber Enim Alam Lestari (2015 est., palm plantation ~1,000 ha in Gumai/Glumbang, Muara Enim, South Sumatra).</t>
        </is>
      </c>
      <c r="K70" s="6" t="inlineStr">
        <is>
          <t>PT Sekawan Kontrindo 78.54%, Efendi 0.35%, Burhan 0.35%, Public 20.76% (2,167,514,856 shares outstanding at end-2024).</t>
        </is>
      </c>
      <c r="L70" s="6" t="inlineStr">
        <is>
          <t>Listed (IDX: PTPS) since 9 October 2023</t>
        </is>
      </c>
      <c r="M70" s="6" t="inlineStr">
        <is>
          <t>Oil palm plantation (upstream FFB producer); palm oil mill (10 tph) under construction, target operational Q1 2026.</t>
        </is>
      </c>
      <c r="N70" s="6" t="n"/>
      <c r="O70" s="6" t="n"/>
      <c r="P70" s="6" t="n"/>
      <c r="Q70" s="6" t="inlineStr">
        <is>
          <t>Very small scale (~1,090 ha planted, 882.58 ha HGU). FFB production fell 13.73% YoY to 22,461 t. Single-segment FFB seller to third-party mills (PT GAS, PT DSAP). No ISPO/RSPO certification. No industry association membership. No own mill yet (under construction, 70-83% progress). Board meeting frequency minimal (2 times/yr).</t>
        </is>
      </c>
      <c r="R70" s="6" t="inlineStr">
        <is>
          <t>Tiny recent-IPO palm plantation (listed Oct 2023) in South Sumatra. 2024 revenue Rp63.58 bn (+3.1%), net profit Rp27.13 bn (+3.6%), total assets Rp190.56 bn. Currently a pure FFB seller; Rp46.6 bn of Rp85.1 bn IPO net proceeds deployed on 10 tph palm oil mill construction (70-83% complete at year-end). FFB volumes fell 13.7% but higher avg FFB selling price (+15.8%) lifted margins. Very low leverage (gearing 2.92%). Planted area only 1,090.64 ha.</t>
        </is>
      </c>
      <c r="S70" s="44" t="inlineStr">
        <is>
          <t>Upstream</t>
        </is>
      </c>
    </row>
    <row r="71" ht="15" customHeight="1" s="67">
      <c r="A71" s="6" t="inlineStr">
        <is>
          <t>PT Sampoerna Agro Tbk</t>
        </is>
      </c>
      <c r="B71" s="6" t="inlineStr">
        <is>
          <t>SGRO</t>
        </is>
      </c>
      <c r="C71" s="6" t="inlineStr">
        <is>
          <t>IDX</t>
        </is>
      </c>
      <c r="D71" s="6" t="n">
        <v>2022</v>
      </c>
      <c r="E71" s="6" t="inlineStr">
        <is>
          <t>SGRO_2022_AR.pdf</t>
        </is>
      </c>
      <c r="F71" s="6" t="inlineStr">
        <is>
          <t>Palembang, South Sumatra, Indonesia (Corp Rep Office: Sampoerna Strategic Square, Jakarta)</t>
        </is>
      </c>
      <c r="G71" s="6" t="inlineStr">
        <is>
          <t>Indonesia</t>
        </is>
      </c>
      <c r="H71" s="6" t="inlineStr">
        <is>
          <t>South Sumatra / Central &amp; West Kalimantan / Riau (sago)</t>
        </is>
      </c>
      <c r="I71" s="6" t="inlineStr">
        <is>
          <t>Part of the Sampoerna Group (Putera Sampoerna family). Controlling shareholder: Sampoerna Agri Resources Pte Ltd (Singapore) 69.68%. Ultimate beneficial owner: Putera Sampoerna.</t>
        </is>
      </c>
      <c r="J71" s="6" t="inlineStr">
        <is>
          <t>Multiple operating subsidiaries including: PT Sungai Rangit, PT National Sago Prima (sago), PT Aek Tarum, PT Binasawit Makmur (seed R&amp;D DxP Sriwijaya), PT Mutiara Bunda Jaya, PT Telaga Hikmah, PT Gunung Tua Abadi, PT Sawit Selatan, PT Sampoerna Bio Fuels, PT Usaha Agro Indonesia, PT Hutan Ketapang Industri (rubber, partly owned by Aquarius Plantations).</t>
        </is>
      </c>
      <c r="K71" s="6" t="inlineStr">
        <is>
          <t>As of 31 Dec 2022: Sampoerna Agri Resources Pte Ltd 69.68%; Bounced Pte Ltd 4.98%; PT Buana Anggana Mandura 4.94%; PT Taspen (Persero) 4.19%; PT Bumi Dakara Agrapana 4.08%; PT Gita Raya Persada 3.79%; SCB SG S/A Bank J. Safra Sarasin Ltd 1.07%; LGT Bank AG 0.82%; Public (&lt;5% each) 6.44%. Foreign 78.32% / Domestic 21.68%. All treasury shares (71.378 mn) were redeemed on 18 Jan 2022, reducing outstanding from 1.89 bn to 1.819 bn shares.</t>
        </is>
      </c>
      <c r="L71" s="6" t="inlineStr">
        <is>
          <t>Listed (IDX: SGRO) - listed 18 June 2007</t>
        </is>
      </c>
      <c r="M71" s="6" t="inlineStr">
        <is>
          <t>Oil palm plantation (upstream) + palm oil mills (PKS) producing CPO &amp; PK; DxP Sriwijaya superior germinated seeds; non-palm segment: sago (Prima Starch, Riau) and rubber (FSC-certified, West Kalimantan)</t>
        </is>
      </c>
      <c r="N71" s="6" t="n"/>
      <c r="O71" s="6" t="n"/>
      <c r="P71" s="6" t="n"/>
      <c r="Q71" s="6" t="inlineStr">
        <is>
          <t>Treasury share redemption in Jan 2022 reduced outstanding shares by 3.8%; Q4 2022 heavy rainfall reduced CPO OER to 21.0% (from typical higher levels) and disrupted CPO shipments; bond issuance: Rp600 bn Phase III Sampoerna Agro + Sukuk Ijarah Phase III 2022 to refinance maturing debt; plasma plantations avg age 17 years (past peak); Others segment profit fell vs 2021 as rubber/sago faced weaker prices.</t>
        </is>
      </c>
      <c r="R71" s="6" t="inlineStr">
        <is>
          <t>Record-breaking year for SGRO: revenue Rp5.67 tn (+8.6% YoY) and net profit Rp1.04 tn (+27.5% YoY), highest in history, driven by 15% higher CPO ASP (Rp12,341/kg) vs 2021. EBITDA Rp2.16 tn (38.1% margin). 8 palm mills (515 tph capacity); total planted ~133k palm + 12.8k sago + 22.4k rubber. Treasury shares redeemed Jan 2022. Controlling shareholder Sampoerna Agri Resources 69.68% (Putera Sampoerna). Paid total Rp135 final (from 2021 profit) + Rp90 interim = Rp225/share in 2022.</t>
        </is>
      </c>
      <c r="S71" s="44" t="inlineStr">
        <is>
          <t>Upstream/Integrated (plantation + mill; no refinery)</t>
        </is>
      </c>
    </row>
    <row r="72" ht="15" customHeight="1" s="67">
      <c r="A72" s="6" t="inlineStr">
        <is>
          <t>PT Sampoerna Agro Tbk</t>
        </is>
      </c>
      <c r="B72" s="6" t="inlineStr">
        <is>
          <t>SGRO</t>
        </is>
      </c>
      <c r="C72" s="6" t="inlineStr">
        <is>
          <t>IDX</t>
        </is>
      </c>
      <c r="D72" s="6" t="n">
        <v>2023</v>
      </c>
      <c r="E72" s="6" t="inlineStr">
        <is>
          <t>SGRO_2023_AR.pdf</t>
        </is>
      </c>
      <c r="F72" s="6" t="inlineStr">
        <is>
          <t>Palembang, South Sumatra, Indonesia (Corp Rep Office: Sampoerna Strategic Square, Jakarta)</t>
        </is>
      </c>
      <c r="G72" s="6" t="inlineStr">
        <is>
          <t>Indonesia</t>
        </is>
      </c>
      <c r="H72" s="6" t="inlineStr">
        <is>
          <t>South Sumatra / Central &amp; West Kalimantan / Riau (sago)</t>
        </is>
      </c>
      <c r="I72" s="6" t="inlineStr">
        <is>
          <t>Part of the Sampoerna Group (Putera Sampoerna family). Controlling shareholder: Sampoerna Agri Resources Pte Ltd (Singapore) 69.68%. Ultimate beneficial owner: Putera Sampoerna.</t>
        </is>
      </c>
      <c r="J72" s="6" t="inlineStr">
        <is>
          <t>~25+ operating subsidiaries including: PT Sungai Rangit, PT National Sago Prima (sago), PT Aek Tarum, PT Binasawit Makmur (seed R&amp;D DxP Sriwijaya), PT Mutiara Bunda Jaya, PT Telaga Hikmah, PT Gunung Tua Abadi, PT Sawit Selatan, PT Tebar Tandan Tenerah, PT Lanang Agro Bersatu, PT Sampoerna Bio Fuels, PT Selatanjaya Permai, PT Sungai Menang, PT Usaha Agro Indonesia, PT Hutan Ketapang Industri (80%, rubber, partly owned by Aquarius Plantations).</t>
        </is>
      </c>
      <c r="K72" s="6" t="inlineStr">
        <is>
          <t>As of 31 Dec 2023: Sampoerna Agri Resources Pte Ltd 69.68%; Bounced Pte Ltd 4.98%; PT Buana Anggana Mandura 4.94%; PT Bumi Dakara Agrapana 4.34%; PT Taspen (Persero) 4.19%; PT Gita Raya Persada 3.91%; SCB SG S/A Bank J. Safra Sarasin Ltd 1.03%; LGT Bank AG 0.82%; Liong Juen Fat 0.69%; Public (&lt;5% each) 5.42%. Foreign 78.2% / Domestic 21.8%.</t>
        </is>
      </c>
      <c r="L72" s="6" t="inlineStr">
        <is>
          <t>Listed (IDX: SGRO) - listed 18 June 2007</t>
        </is>
      </c>
      <c r="M72" s="6" t="inlineStr">
        <is>
          <t>Oil palm plantation (upstream) + palm oil mills (PKS) producing CPO &amp; PK; DxP Sriwijaya superior germinated seeds; non-palm segment: sago (Prima Starch, Riau) and rubber (FSC-certified, West Kalimantan)</t>
        </is>
      </c>
      <c r="N72" s="6" t="n"/>
      <c r="O72" s="6" t="n"/>
      <c r="P72" s="6" t="n"/>
      <c r="Q72" s="6" t="inlineStr">
        <is>
          <t>CPO ASP declined 8% to Rp11,405/kg amid 25% global CPO price drop in 2023; PK ASP declined 31% on post-pandemic normalization; non-palm (Others) segment widened to segment loss -Rp93 bn (vs +Rp15.6 bn in 2022); ROE fell from 19.9% to 8.0%; net profit dropped 58% to Rp441 bn. Bond/sukuk maturity schedule through 2024-2025. Plasma plantation avg age rose to 16 years (peak productivity).</t>
        </is>
      </c>
      <c r="R72" s="6" t="inlineStr">
        <is>
          <t>Mid-sized integrated Indonesian palm operator, part of Sampoerna Group (Putera Sampoerna). 2023 revenue Rp5.62 tn (-1% YoY) as CPO volumes grew 10% to 413k tons but 8% lower ASP (Rp11,405/kg) compressed margins. Operating profit fell 42% to Rp937 bn; net profit -58% to Rp441 bn (Rp484 bn to parent). Gearing improved from 69.2% to 58.0% as debt was paid down. 8 palm mills with 515 tph capacity; total planted ~132k palm + 12.8k sago + 22.9k rubber. Paid total Rp288/share dividend from 2022 profits (Rp90 interim + Rp198 final).</t>
        </is>
      </c>
      <c r="S72" s="44" t="inlineStr">
        <is>
          <t>Upstream/Integrated (plantation + mill; no refinery)</t>
        </is>
      </c>
    </row>
    <row r="73" ht="15" customHeight="1" s="67">
      <c r="A73" s="6" t="inlineStr">
        <is>
          <t>PT Sampoerna Agro Tbk</t>
        </is>
      </c>
      <c r="B73" s="6" t="inlineStr">
        <is>
          <t>SGRO</t>
        </is>
      </c>
      <c r="C73" s="6" t="inlineStr">
        <is>
          <t>IDX</t>
        </is>
      </c>
      <c r="D73" s="6" t="n">
        <v>2024</v>
      </c>
      <c r="E73" s="6" t="inlineStr">
        <is>
          <t>SGRO_2024_AR.pdf</t>
        </is>
      </c>
      <c r="F73" s="6" t="inlineStr">
        <is>
          <t>Palembang, South Sumatra, Indonesia (Corp Rep Office: Sampoerna Strategic Square, Jakarta)</t>
        </is>
      </c>
      <c r="G73" s="6" t="inlineStr">
        <is>
          <t>Indonesia</t>
        </is>
      </c>
      <c r="H73" s="6" t="inlineStr">
        <is>
          <t>South Sumatra / Central &amp; West Kalimantan / Riau (sago)</t>
        </is>
      </c>
      <c r="I73" s="6" t="inlineStr">
        <is>
          <t>Part of the Sampoerna Group (Putera Sampoerna family). Controlling shareholder changed on 27 Aug 2024 from Sampoerna Agri Resources Pte Ltd to Twinwood Family Holdings SFO Limited (Dubai, UAE) - both affiliated parties of the Putera Sampoerna family. Ultimate beneficial owner: Putera Sampoerna.</t>
        </is>
      </c>
      <c r="J73" s="6" t="inlineStr">
        <is>
          <t>~25+ operating subsidiaries including: PT Sungai Rangit (99.99%, Kalimantan palm + mill), PT National Sago Prima (100%, sago, Riau), PT Aek Tarum (99%, Sumatra palm + mill), PT Binasawit Makmur (99%, seed R&amp;D DxP Sriwijaya), PT Mutiara Bunda Jaya, PT Telaga Hikmah, PT Gunung Tua Abadi, PT Sawit Selatan, PT Tebar Tandan Tenerah, PT Lanang Agro Bersatu, PT Nusantara Sarana Alam, PT Pertiwi Agro Sejahtera, PT Sampoerna Bio Fuels, PT Selatanjaya Permai, PT Sungai Menang, PT Usaha Agro Indonesia, Sampoerna Palma Pte Ltd, PT Hutan Ketapang Industri (80%, rubber Ketapang West Kalimantan, part owned by Aquarius Plantations).</t>
        </is>
      </c>
      <c r="K73" s="6" t="inlineStr">
        <is>
          <t>As of 31 Dec 2024: Twinwood Family Holdings SFO Limited 69.68% (from 27 Aug 2024, prev Sampoerna Agri Resources Pte Ltd 69.68%); Bounced Pte Ltd 4.98%; PT Buana Anggana Mandura 4.94%; PT Bumi Dakara Agrapana 4.34%; PT Gita Raya Persada 4.32%; PT Taspen (Persero) 4.19%; SCB SG S/A Bank J. Safra Sarasin 1.03%; LGT Bank AG 0.82%; Liong Juen Fat 0.70%; Public (&lt;5% each) 5.00%. Foreign 78.0% / Domestic 22.0%.</t>
        </is>
      </c>
      <c r="L73" s="6" t="inlineStr">
        <is>
          <t>Listed (IDX: SGRO) - listed 18 June 2007</t>
        </is>
      </c>
      <c r="M73" s="6" t="inlineStr">
        <is>
          <t>Oil palm plantation (upstream) + palm oil mills (PKS) producing CPO &amp; PK; DxP Sriwijaya superior germinated seeds (No.2 market share 15%); non-palm segment: sago (Prima Starch, Riau) and rubber (FSC-certified, West Kalimantan)</t>
        </is>
      </c>
      <c r="N73" s="6" t="n"/>
      <c r="O73" s="6" t="n"/>
      <c r="P73" s="6" t="n"/>
      <c r="Q73" s="6" t="inlineStr">
        <is>
          <t>Controlling shareholder change on 27 Aug 2024 (intra-family re-org from Sampoerna Agri Resources to Twinwood Family Holdings SFO Limited, Dubai UAE); El Nino drought in Sumatera caused 14% CPO production decline and missed FFB target (1.7 mn vs 1.9 mn target); non-palm (Others) segment continues to post segment losses (-Rp60 bn in 2024 vs -Rp93 bn in 2023); rubber bearer plants subject to recurring impairment tests; bond/sukuk refinancing risk ahead of 2025 maturities.</t>
        </is>
      </c>
      <c r="R73" s="6" t="inlineStr">
        <is>
          <t>Mid-sized integrated Indonesian palm operator, part of Sampoerna Group (Putera Sampoerna). 2024 revenue flat at Rp5.69 tn (+1% YoY), but operating profit +35% to Rp1.26 tn and net profit +58% to Rp697 bn (Rp749 bn to parent, +55%) on 16% higher CPO ASP (Rp13,283/kg) offsetting 14% CPO volume decline (341k tons). Total planted 178,820 ha (palm 128k + sago 12.8k + rubber 23.1k); 8 palm mills with 510 tph capacity. Gearing (interest-bearing debt/equity) improved from 58% to 49.5%. Dividend of Rp121/share paid from 2023 profits.</t>
        </is>
      </c>
      <c r="S73" s="44" t="inlineStr">
        <is>
          <t>Upstream/Integrated (plantation + mill; no refinery)</t>
        </is>
      </c>
    </row>
    <row r="74" ht="15" customHeight="1" s="67">
      <c r="A74" s="6" t="inlineStr">
        <is>
          <t>PT Salim Ivomas Pratama Tbk</t>
        </is>
      </c>
      <c r="B74" s="6" t="inlineStr">
        <is>
          <t>SIMP</t>
        </is>
      </c>
      <c r="C74" s="6" t="inlineStr">
        <is>
          <t>IDX</t>
        </is>
      </c>
      <c r="D74" s="6" t="n">
        <v>2022</v>
      </c>
      <c r="E74" s="6" t="inlineStr">
        <is>
          <t>SIMP_2022_AR.pdf</t>
        </is>
      </c>
      <c r="F74" s="6" t="inlineStr">
        <is>
          <t>Sudirman Plaza, Indofood Tower, Jl. Jend. Sudirman Kav. 76-78, Jakarta 12910, Indonesia</t>
        </is>
      </c>
      <c r="G74" s="6" t="inlineStr">
        <is>
          <t>Indonesia</t>
        </is>
      </c>
      <c r="H74" s="6" t="inlineStr">
        <is>
          <t>Sumatra (Riau, N/S Sumatra)/Kalimantan (W/C/E)/Sulawesi/Java - diversified</t>
        </is>
      </c>
      <c r="I74" s="6" t="inlineStr">
        <is>
          <t>Part of Salim Group / IndoAgri. Parents: Indofood Agri Resources Ltd. (IFAR, Singapore) 73.46% + PT Indofood Sukses Makmur Tbk (ISM) 6.68% = ~80.14% effective. IFAR is ~72.26% effectively controlled by First Pacific Company Limited (HK-listed, Anthoni Salim). Ultimate parent: First Pacific Company Limited. SIMP is parent of PT PP London Sumatra Indonesia Tbk (LSIP) and numerous oil palm, sugar, rubber and timber subsidiaries.</t>
        </is>
      </c>
      <c r="J74" s="6" t="inlineStr">
        <is>
          <t>Main operating subsidiaries include LSIP (listed), PT Kebun Mandiri Sejahtera, PT Sarana Inti Pratama (SAIN), PT Mentari Subur Abadi, PT Swadya Bhakti Negaramas, PT Mitra Intisejati Plantation, PT Hijaupertiwi Indah Plantations, PT Cangkul Bumisubur, PT Lajuperdana Indah (sugar), PT Citranusa Intisawit, PT Kebun Ganda Prima, PT Riau Agrotama Plantation, PT Pelangi Intipertiwi, PT Serikat Putra, PT Gunung Mas Raya, PT Cibaliung Tunggal Plantations, PT Indriplant, PT Intimegah Bestari Pertiwi, PT Gunta Samba, PT Multi Pacific International, PT Sumalindo Alam Lestari (timber).</t>
        </is>
      </c>
      <c r="K74" s="6" t="inlineStr">
        <is>
          <t>Indofood Agri Resources Ltd. 73.46% (11,387,745,000); PT Indofood Sukses Makmur Tbk 6.68% (1,035,306,400); Commissioners &amp; Directors &lt;0.01%; Public &lt;5% each 19.86% (3,077,338,600). Sub-total issued &amp; paid: 15,501,310,000; Treasury 315,000,000; Total 15,816,310,000.</t>
        </is>
      </c>
      <c r="L74" s="6" t="inlineStr">
        <is>
          <t>Listed (IDX: SIMP)</t>
        </is>
      </c>
      <c r="M74" s="6" t="inlineStr">
        <is>
          <t>Diversified &amp; vertically integrated agribusiness: oil palm plantations &amp; mills (upstream), CPO refining, cooking oil/margarine/shortening manufacturing (downstream, Bimoli, Bimoli Spesial, Happy, Amanda, Palmia, Royal Palmia brands); sugar cane plantations &amp; mills; rubber, cocoa, tea and industrial timber.</t>
        </is>
      </c>
      <c r="N74" s="6" t="n"/>
      <c r="O74" s="6" t="n"/>
      <c r="P74" s="6" t="n"/>
      <c r="Q74" s="6" t="inlineStr">
        <is>
          <t>CPO prices volatile (CIF Rotterdam peaked at USD1,868/t in Mar 2022 then declined); Rupiah weakened to Rp15,731/USD. FFB nucleus production +2% to 2,812k t; CPO production +7% to 736k t. Net Working Capital improved to positive Rp982 bn. Goodwill from LSIP acquisition Rp2.22 tn subject to impairment testing (key audit matter). Rubber bearer plant impairment assessment also key audit matter.</t>
        </is>
      </c>
      <c r="R74" s="6" t="inlineStr">
        <is>
          <t>Integrated palm oil &amp; cooking oil group (Bimoli brand leader). 2022: Sales Rp17.79 tn (-9% YoY from Rp19.66 tn); Gross Profit Rp4.65 tn (-10%); Operating Profit Rp2.92 tn (flat); Net Profit Rp1.51 tn (+13%); attributable to parent Rp1.20 tn. EBITDA Rp4.68 tn (margin 26.3%). Total Assets Rp36.11 tn. Gearing net 0.26x (down from 0.37x). Paid Rp13/share dividend (~20% payout). 27 POMs (7.2 mn t FFB cap.), 5 CPO refineries (1.7 mn t cap.), 2 sugar mills.</t>
        </is>
      </c>
      <c r="S74" s="44" t="inlineStr">
        <is>
          <t>Integrated</t>
        </is>
      </c>
    </row>
    <row r="75" ht="15" customHeight="1" s="67">
      <c r="A75" s="6" t="inlineStr">
        <is>
          <t>PT Salim Ivomas Pratama Tbk</t>
        </is>
      </c>
      <c r="B75" s="6" t="inlineStr">
        <is>
          <t>SIMP</t>
        </is>
      </c>
      <c r="C75" s="6" t="inlineStr">
        <is>
          <t>IDX</t>
        </is>
      </c>
      <c r="D75" s="6" t="n">
        <v>2023</v>
      </c>
      <c r="E75" s="6" t="inlineStr">
        <is>
          <t>SIMP_2023_AR.pdf</t>
        </is>
      </c>
      <c r="F75" s="6" t="inlineStr">
        <is>
          <t>Sudirman Plaza, Indofood Tower, Jl. Jend. Sudirman Kav. 76-78, Jakarta 12910, Indonesia</t>
        </is>
      </c>
      <c r="G75" s="6" t="inlineStr">
        <is>
          <t>Indonesia</t>
        </is>
      </c>
      <c r="H75" s="6" t="inlineStr">
        <is>
          <t>Sumatra (Riau, N/S Sumatra)/Kalimantan (W/C/E)/Sulawesi/Java - diversified</t>
        </is>
      </c>
      <c r="I75" s="6" t="inlineStr">
        <is>
          <t>Part of Salim Group / IndoAgri. Parents: Indofood Agri Resources Ltd. (IFAR, Singapore) 73.46% + PT Indofood Sukses Makmur Tbk (ISM) 6.68% = 80.14% effective. IFAR is ~72.94% effectively controlled by First Pacific Company Limited (HK-listed, Anthoni Salim). Ultimate parent: First Pacific Company Limited. SIMP is parent of PT PP London Sumatra Indonesia Tbk (LSIP, ~59.51% effective) and ~25 oil palm, sugar, rubber and timber subsidiaries.</t>
        </is>
      </c>
      <c r="J75" s="6" t="inlineStr">
        <is>
          <t>Main operating subsidiaries: LSIP (~59.51% effective), PT Kebun Mandiri Sejahtera (97.86%), PT Sarana Inti Pratama (100%), PT Mentari Subur Abadi (80%), PT Swadya Bhakti Negaramas (60%), PT Mitra Intisejati Plantation (100%), PT Hijaupertiwi Indah Plantations (100%), PT Cangkul Bumisubur (99.80%), PT Lajuperdana Indah (61.47%), PT Citranusa Intisawit (100%), PT Kebun Ganda Prima (100%), PT Riau Agrotama Plantation (100%), PT Pelangi Intipertiwi (99.80%), PT Serikat Putra (98.01%), PT Gunung Mas Raya (98.01%), PT Cibaliung Tunggal Plantations (98.01%), PT Indriplant (98.01%), PT Intimegah Bestari Pertiwi (98.01%), PT Gunta Samba (59.99%), PT Multi Pacific International (60%), PT Sumalindo Alam Lestari (79.82%).</t>
        </is>
      </c>
      <c r="K75" s="6" t="inlineStr">
        <is>
          <t>Indofood Agri Resources Ltd. 73.46% (11,387,745,000 shares); PT Indofood Sukses Makmur Tbk 6.68% (1,035,306,400); Commissioners &amp; Directors &lt;0.01%; Public &lt;5% each incl. others 19.86% (3,077,338,600). Total issued &amp; paid: 15,501,310,000 shares; Treasury 315,000,000; Total 15,816,310,000.</t>
        </is>
      </c>
      <c r="L75" s="6" t="inlineStr">
        <is>
          <t>Listed (IDX: SIMP)</t>
        </is>
      </c>
      <c r="M75" s="6" t="inlineStr">
        <is>
          <t>Diversified &amp; vertically integrated agribusiness: oil palm plantations &amp; mills (upstream), CPO refining, cooking oil/margarine/shortening manufacturing (downstream, Bimoli, Bimoli Spesial, Happy, Amanda, Palmia, Royal Palmia, Delima, Malinda, Simas brands); sugar cane plantations &amp; mills; rubber, cocoa, tea and industrial timber.</t>
        </is>
      </c>
      <c r="N75" s="6" t="n"/>
      <c r="O75" s="6" t="n"/>
      <c r="P75" s="6" t="n"/>
      <c r="Q75" s="6" t="inlineStr">
        <is>
          <t>FFB nucleus production down 1% to 2,784k t; CPO production down 4% to 708k t; Gross Profit -28% (Rp3.36 tn), Operating Profit -34% (Rp1.93 tn), Net Profit -39% to Rp927 bn; weaker CPO prices (CIF Rotterdam down ~30% YoY). Ageing trees with &gt;20 yr oil palm 85,698 ha. High goodwill Rp2.21 tn from LSIP acquisition subject to impairment testing (rubber bearer plants and goodwill were key audit matters).</t>
        </is>
      </c>
      <c r="R75" s="6" t="inlineStr">
        <is>
          <t>Integrated palm oil &amp; cooking oil group (Bimoli brand leader). 2023 a cyclical weak year: Sales Rp16.00 tn (-10% YoY) with soft global palm prices, Operating Profit Rp1.93 tn (-34%), Net Profit attributable to parent Rp736 bn (-39%). EBITDA Rp3.53 tn (margin 22.1%). Total Assets Rp35.01 tn. Gearing net 0.16x (down from 0.26x). Capex Rp1.32 tn. Paid Rp15/share dividend (~19% payout). 27 POMs, 5 CPO refineries (1.7 mn t capacity), 2 sugar mills.</t>
        </is>
      </c>
      <c r="S75" s="44" t="inlineStr">
        <is>
          <t>Integrated</t>
        </is>
      </c>
    </row>
    <row r="76" ht="15" customHeight="1" s="67">
      <c r="A76" s="6" t="inlineStr">
        <is>
          <t>PT Salim Ivomas Pratama Tbk</t>
        </is>
      </c>
      <c r="B76" s="6" t="inlineStr">
        <is>
          <t>SIMP</t>
        </is>
      </c>
      <c r="C76" s="6" t="inlineStr">
        <is>
          <t>IDX</t>
        </is>
      </c>
      <c r="D76" s="6" t="n">
        <v>2024</v>
      </c>
      <c r="E76" s="6" t="inlineStr">
        <is>
          <t>SIMP_2024_AR.pdf</t>
        </is>
      </c>
      <c r="F76" s="6" t="inlineStr">
        <is>
          <t>Sudirman Plaza, Indofood Tower, Jl. Jend. Sudirman Kav. 76-78, Jakarta 12910, Indonesia</t>
        </is>
      </c>
      <c r="G76" s="6" t="inlineStr">
        <is>
          <t>Indonesia</t>
        </is>
      </c>
      <c r="H76" s="6" t="inlineStr">
        <is>
          <t>Sumatra (Riau, N/S Sumatra)/Kalimantan (W/C/E)/Sulawesi/Java - diversified</t>
        </is>
      </c>
      <c r="I76" s="6" t="inlineStr">
        <is>
          <t>Part of Salim Group / IndoAgri. Parents: Indofood Agri Resources Ltd. (IFAR, Singapore) 73.46% + PT Indofood Sukses Makmur Tbk (ISM) 6.68% = 80.14% effective. IFAR is ~73.67% owned by First Pacific Company Limited (HK-listed, controlled by Anthoni Salim). Ultimate parent: First Pacific Company Limited. SIMP is parent of PT PP London Sumatra Indonesia Tbk (LSIP, 59.51% effective) and numerous oil palm, sugar, rubber and timber subsidiaries.</t>
        </is>
      </c>
      <c r="J76" s="6" t="inlineStr">
        <is>
          <t>Main operating subsidiaries: LSIP (59.51% effective, Rp14,019 bn assets), PT Kebun Mandiri Sejahtera (97.86%), PT Sarana Inti Pratama (SAIN, 100%), PT Mentari Subur Abadi (80%), PT Swadya Bhakti Negaramas (60%), PT Mitra Intisejati Plantation (100%), PT Hijaupertiwi Indah Plantations (100%), PT Cangkul Bumisubur (99.80%), PT Lajuperdana Indah (61.47%, sugar), PT Citranusa Intisawit (100%), PT Kebun Ganda Prima (100%), PT Riau Agrotama Plantation (100%), PT Citra Kalbar Sarana (100%), PT Pelangi Intipertiwi (99.80%), PT Serikat Putra (98.01%), PT Gunung Mas Raya (98.01%), PT Cibaliung Tunggal Plantations (98.01%), PT Indriplant (98.01%), PT Intimegah Bestari Pertiwi (98.01%), PT Gunta Samba (59.99%), PT Multi Pacific International (60%), PT Sumalindo Alam Lestari (79.82%, timber).</t>
        </is>
      </c>
      <c r="K76" s="6" t="inlineStr">
        <is>
          <t>Indofood Agri Resources Ltd. 73.46% (11,387,745,000 shares); PT Indofood Sukses Makmur Tbk 6.68% (1,035,306,400); Commissioners &amp; Directors &lt;0.01%; Public &lt;5% each incl. others 19.86% (3,077,338,600). Total issued &amp; paid: 15,501,310,000 shares (treasury shares of 315,000,000 cancelled during 2024).</t>
        </is>
      </c>
      <c r="L76" s="6" t="inlineStr">
        <is>
          <t>Listed (IDX: SIMP)</t>
        </is>
      </c>
      <c r="M76" s="6" t="inlineStr">
        <is>
          <t>Diversified &amp; vertically integrated agribusiness: oil palm plantations &amp; mills (upstream), CPO refining, cooking oil/margarine/shortening manufacturing (downstream, Bimoli, Bimoli Spesial, Happy, Amanda, Palmia, Royal Palmia, Delima, Malinda, Simas brands); sugar cane plantations &amp; mills; rubber, cocoa, tea and industrial timber.</t>
        </is>
      </c>
      <c r="N76" s="6" t="n"/>
      <c r="O76" s="6" t="n"/>
      <c r="P76" s="6" t="n"/>
      <c r="Q76" s="6" t="inlineStr">
        <is>
          <t>FFB nucleus production slightly down 1% (2,758k t vs 2,784k t in 2023); CPO production flat at 706k t; ageing trees (&gt;20 yr oil palm: 85,365 ha, 35% of 244k ha oil palm mature area), significant replanting challenge. High goodwill Rp2.21 tn from LSIP acquisition subject to annual impairment testing. Heavy rainfall disruption in 2024. Gross debt Rp8.4 tn; gearing-net 0.11x. Treasury shares of 315 mn cancelled (capital reduction) in 2024.</t>
        </is>
      </c>
      <c r="R76" s="6" t="inlineStr">
        <is>
          <t>Large integrated palm oil group in Indonesia, part of Salim/IndoAgri empire, with strong downstream via Bimoli cooking oil brand. 2024 sales flat at Rp15.97 tn but Gross Profit +44% to Rp4.84 tn and Net Profit +136% to Rp2.18 tn (Owners Rp1.55 tn) on strong CPO prices (domestic KPB +17% to Rp13,190/kg; CIF Rotterdam +15% to USD1,113/t) and higher downstream volumes. EBITDA Rp4.73 tn (margin 29.6%). Gearing net 0.11x (down from 0.16x). Tanjung Priok refinery expansion underway to grow CPO refining capacity from 1.7 mn t to 2.2 mn t p.a.</t>
        </is>
      </c>
      <c r="S76" s="44" t="inlineStr">
        <is>
          <t>Integrated</t>
        </is>
      </c>
    </row>
    <row r="77" ht="15" customHeight="1" s="67">
      <c r="A77" s="6" t="inlineStr">
        <is>
          <t>PT Sinar Mas Agro Resources and Technology Tbk</t>
        </is>
      </c>
      <c r="B77" s="6" t="inlineStr">
        <is>
          <t>SMAR</t>
        </is>
      </c>
      <c r="C77" s="6" t="inlineStr">
        <is>
          <t>IDX</t>
        </is>
      </c>
      <c r="D77" s="6" t="n">
        <v>2022</v>
      </c>
      <c r="E77" s="6" t="inlineStr">
        <is>
          <t>SMAR_2022_AR.pdf</t>
        </is>
      </c>
      <c r="F77" s="6" t="inlineStr">
        <is>
          <t>Sinar Mas Land Plaza Tower II, Fl. 28-30, Jl. M.H. Thamrin No. 51, Jakarta</t>
        </is>
      </c>
      <c r="G77" s="6" t="inlineStr">
        <is>
          <t>Indonesia</t>
        </is>
      </c>
      <c r="H77" s="6" t="inlineStr">
        <is>
          <t>Sumatra (47%)/Kalimantan (53%) plantations; Surabaya/Jakarta/Medan/Tarjun refineries</t>
        </is>
      </c>
      <c r="I77" s="6" t="inlineStr">
        <is>
          <t>Majority-owned (92.40%) by PT Purimas Sasmita; ultimate controller Widjaja family / Sinar Mas group. SMART is a subsidiary of Golden Agri-Resources Ltd (GAR, SGX-listed).</t>
        </is>
      </c>
      <c r="J77" s="6" t="inlineStr">
        <is>
          <t>Plantation subsidiaries in North Sumatra, Jambi, Bangka, Central/East/South Kalimantan. Refineries in Surabaya, Marunda, Medan, Tarjun. Related parties include GAR subsidiaries (PT Ivo Mas Tunggal, PT Sawit Mas Sejahtera, PT Binasawit Abadipratama, PT Sinar Kencana Inti Perkasa, PT Sumber Indahperkasa, Golden Agri International Pte. Ltd.).</t>
        </is>
      </c>
      <c r="K77" s="6" t="inlineStr">
        <is>
          <t>PT Purimas Sasmita 92.40%, Public (each &lt;5%) 7.60%. Domestic institutions 97.45%, foreign institutions 2.30%.</t>
        </is>
      </c>
      <c r="L77" s="6" t="inlineStr">
        <is>
          <t>Listed (IDX: SMAR)</t>
        </is>
      </c>
      <c r="M77" s="6" t="inlineStr">
        <is>
          <t>Vertically integrated palm oil: plantations + mills + refineries + biodiesel + oleochemicals + consumer brands (Filma, Kunci Mas)</t>
        </is>
      </c>
      <c r="N77" s="6" t="n"/>
      <c r="O77" s="6" t="n"/>
      <c r="P77" s="6" t="n"/>
      <c r="Q77" s="6" t="inlineStr">
        <is>
          <t>Very high CPO prices peaked near US$2,000/t before stabilising; full-year avg FOB US$1,248/t; record net profit created high base effect for subsequent years.</t>
        </is>
      </c>
      <c r="R77" s="6" t="inlineStr">
        <is>
          <t>Record year. Net sales +32% to Rp75.05tn; EBITDA +56% to Rp9.53tn; net profit doubled to Rp5.50tn on highest-ever average CPO price (US$1,248/t FOB, +7% YoY). Managed 136,402 ha plantations (77% nucleus/23% plasma, 47% Sumatra/53% Kalimantan), 16 mills (4.35Mtpa), ~2.9Mtpa refineries, 810ktpa kernel crushing, 600ktpa biodiesel (pre-expansion), 240ktpa oleochemical. FFB harvest +2% to 2.48 Mt. Dividend: Rp200 interim (Aug 2022) + Rp370 final (2023) = Rp570/share total (30% payout). Debt-to-equity improved sharply to 0.95x from 1.37x. EBITDA/interest 7.11x.</t>
        </is>
      </c>
      <c r="S77" s="44" t="inlineStr">
        <is>
          <t>Integrated</t>
        </is>
      </c>
    </row>
    <row r="78" ht="15" customHeight="1" s="67">
      <c r="A78" s="6" t="inlineStr">
        <is>
          <t>PT Sinar Mas Agro Resources and Technology Tbk</t>
        </is>
      </c>
      <c r="B78" s="6" t="inlineStr">
        <is>
          <t>SMAR</t>
        </is>
      </c>
      <c r="C78" s="6" t="inlineStr">
        <is>
          <t>IDX</t>
        </is>
      </c>
      <c r="D78" s="6" t="n">
        <v>2023</v>
      </c>
      <c r="E78" s="6" t="inlineStr">
        <is>
          <t>SMAR_2023_AR.pdf</t>
        </is>
      </c>
      <c r="F78" s="6" t="inlineStr">
        <is>
          <t>Sinar Mas Land Plaza Tower II, Fl. 28-30, Jl. M.H. Thamrin No. 51, Jakarta</t>
        </is>
      </c>
      <c r="G78" s="6" t="inlineStr">
        <is>
          <t>Indonesia</t>
        </is>
      </c>
      <c r="H78" s="6" t="inlineStr">
        <is>
          <t>Sumatra/Kalimantan (plantations); Surabaya/Jakarta/Medan/Tarjun (refineries/downstream)</t>
        </is>
      </c>
      <c r="I78" s="6" t="inlineStr">
        <is>
          <t>Majority-owned (92.40%) by PT Purimas Sasmita; ultimate controller Widjaja family / Sinar Mas group. SMART is a subsidiary of Golden Agri-Resources Ltd (GAR, SGX-listed).</t>
        </is>
      </c>
      <c r="J78" s="6" t="inlineStr">
        <is>
          <t>Plantation subsidiaries in North Sumatra, Jambi, Bangka, Central/East/South Kalimantan. Refineries/downstream in Surabaya, Marunda, Medan, Tarjun. Related parties include GAR subsidiaries (PT Ivo Mas Tunggal, PT Sawit Mas Sejahtera, PT Binasawit Abadipratama, PT Sinar Kencana Inti Perkasa, PT Sumber Indahperkasa, Golden Agri International Pte. Ltd.).</t>
        </is>
      </c>
      <c r="K78" s="6" t="inlineStr">
        <is>
          <t>PT Purimas Sasmita 92.40%, Public (each &lt;5%) 7.60%.</t>
        </is>
      </c>
      <c r="L78" s="6" t="inlineStr">
        <is>
          <t>Listed (IDX: SMAR)</t>
        </is>
      </c>
      <c r="M78" s="6" t="inlineStr">
        <is>
          <t>Vertically integrated palm oil: plantations + mills + refineries + biodiesel + oleochemicals + consumer brands (Filma, Kunci Mas, Palmboom, Menara, Goodfry)</t>
        </is>
      </c>
      <c r="N78" s="6" t="n"/>
      <c r="O78" s="6" t="n"/>
      <c r="P78" s="6" t="n"/>
      <c r="Q78" s="6" t="inlineStr">
        <is>
          <t>CPO prices normalised (-28% from 2022 peak); net sales -11% to Rp66.53tn; EBITDA -60% to Rp3.80tn; net profit collapsed -83% to Rp918 bn; FFB harvest -3% to 2.41 Mt on El Niño and replanting; gearing improved to 0.84x but net debt to EBITDA rose to 0.65x (2022: 0.02x).</t>
        </is>
      </c>
      <c r="R78" s="6" t="inlineStr">
        <is>
          <t>Transition year. Net sales fell 11% to Rp66.53tn after 2022 record, despite record 5.48Mt sales volume, as CPO prices normalised (avg US$901/t FOB, -28% YoY). EBITDA Rp3.80tn, net profit Rp918 bn. Plantation area 134,177 ha (77% nucleus/23% plasma, Sumatra+Kalimantan). Produced 722kt palm products (567kt CPO, 155kt PK). Full refinery utilisation; biodiesel plant at 87% on B35 mandate. Final divd for 2022 of Rp370/share paid + interim 2023 Rp95.</t>
        </is>
      </c>
      <c r="S78" s="44" t="inlineStr">
        <is>
          <t>Integrated</t>
        </is>
      </c>
    </row>
    <row r="79" ht="15" customHeight="1" s="67">
      <c r="A79" s="6" t="inlineStr">
        <is>
          <t>PT Sinar Mas Agro Resources and Technology Tbk</t>
        </is>
      </c>
      <c r="B79" s="6" t="inlineStr">
        <is>
          <t>SMAR</t>
        </is>
      </c>
      <c r="C79" s="6" t="inlineStr">
        <is>
          <t>IDX</t>
        </is>
      </c>
      <c r="D79" s="6" t="n">
        <v>2024</v>
      </c>
      <c r="E79" s="6" t="inlineStr">
        <is>
          <t>SMAR_2024_AR.pdf</t>
        </is>
      </c>
      <c r="F79" s="6" t="inlineStr">
        <is>
          <t>Sinar Mas Land Plaza Tower II, Fl. 28-30, Jl. M.H. Thamrin No. 51, Jakarta</t>
        </is>
      </c>
      <c r="G79" s="6" t="inlineStr">
        <is>
          <t>Indonesia</t>
        </is>
      </c>
      <c r="H79" s="6" t="inlineStr">
        <is>
          <t>Sumatra/Kalimantan (plantations); Surabaya/Jakarta/Medan/Marunda (refineries/downstream)</t>
        </is>
      </c>
      <c r="I79" s="6" t="inlineStr">
        <is>
          <t>Majority-owned (92.40%) by PT Purimas Sasmita; ultimate controller Widjaja family / Sinar Mas group. SMART is a subsidiary of Golden Agri-Resources Ltd (GAR, SGX-listed).</t>
        </is>
      </c>
      <c r="J79" s="6" t="inlineStr">
        <is>
          <t>Plantation &amp; processing subsidiaries across North Sumatra, Jambi, Bangka, Central/East/South Kalimantan. Refineries/downstream in Surabaya, Marunda, Medan, Tarjun. Related parties include GAR subsidiaries (PT Ivo Mas Tunggal, PT Sawit Mas Sejahtera, PT Binasawit Abadipratama, PT Sinar Kencana Inti Perkasa, PT Sumber Indahperkasa, Golden Agri International Pte. Ltd.).</t>
        </is>
      </c>
      <c r="K79" s="6" t="inlineStr">
        <is>
          <t>PT Purimas Sasmita 92.40%, Public (each &lt;5%) 7.60%. Domestic institutions 97.45%, foreign institutions 2.21%, domestic individuals 0.33%, foreign individuals 0.01%.</t>
        </is>
      </c>
      <c r="L79" s="6" t="inlineStr">
        <is>
          <t>Listed (IDX: SMAR); PEFINDO rating AA- (stable)</t>
        </is>
      </c>
      <c r="M79" s="6" t="inlineStr">
        <is>
          <t>Vertically integrated palm oil: plantations + mills (PKS) + refineries + biodiesel + oleochemicals + consumer brands (Filma, Kunci Mas, Palmboom, Menara, Goodfry)</t>
        </is>
      </c>
      <c r="N79" s="6" t="n"/>
      <c r="O79" s="6" t="n"/>
      <c r="P79" s="6" t="n"/>
      <c r="Q79" s="6" t="inlineStr">
        <is>
          <t>Gearing ratio rose to 0.97x (2023: 0.84x); Short-term bank loans up 76% to Rp5.13tn; Operating cash flow turned negative (-Rp253 bn vs +Rp4.04tn in 2023) on higher working capital; FFB harvest declined 7% to 2.24 Mt due to 2023 El Niño and replanting; palm product output -6% to 677kt; ageing plantation profile (30% of area &gt;25 yrs); net profit still 31% below initial target.</t>
        </is>
      </c>
      <c r="R79" s="6" t="inlineStr">
        <is>
          <t>Flagship Sinar Mas/GAR-affiliated integrated palm oil player. 2024 net sales +18% to Rp78.84tn (record) on 5.83Mt sales volume; EBITDA +11% to Rp4.21tn; net profit +39% to Rp1.28tn. Operates 136,587 ha plantations (77% nucleus/23% plasma, 53% Kalimantan/47% Sumatra), 16 mills (4.35Mtpa), 2.88Mtpa refineries, 879ktpa kernel crushing, 1.05Mtpa biodiesel, 240ktpa oleochemical. Strong downstream integration with Filma/Kunci Mas cooking oil brands. DPS 2024 interim Rp105; 30% payout policy. Full-year CPO price avg US$1,005/t FOB (+12% YoY).</t>
        </is>
      </c>
      <c r="S79" s="44" t="inlineStr">
        <is>
          <t>Integrated</t>
        </is>
      </c>
    </row>
    <row r="80" ht="15" customHeight="1" s="67">
      <c r="A80" s="6" t="inlineStr">
        <is>
          <t>PT Sawit Sumbermas Sarana Tbk</t>
        </is>
      </c>
      <c r="B80" s="6" t="inlineStr">
        <is>
          <t>SSMS</t>
        </is>
      </c>
      <c r="C80" s="6" t="inlineStr">
        <is>
          <t>IDX</t>
        </is>
      </c>
      <c r="D80" s="6" t="n">
        <v>2023</v>
      </c>
      <c r="E80" s="6" t="inlineStr">
        <is>
          <t>SSMS_2023_AR.pdf</t>
        </is>
      </c>
      <c r="F80" s="6" t="inlineStr">
        <is>
          <t>Pangkalan Bun, Central Kalimantan, Indonesia</t>
        </is>
      </c>
      <c r="G80" s="6" t="inlineStr">
        <is>
          <t>Indonesia</t>
        </is>
      </c>
      <c r="H80" s="6" t="inlineStr">
        <is>
          <t>Central Kalimantan (Kotawaringin Barat, Lamandau, Pulang Pisau)</t>
        </is>
      </c>
      <c r="I80" s="6" t="inlineStr">
        <is>
          <t>Part of Citra Borneo Indah (CBI) Group controlled by Abdul Rasyid family. PT Citra Borneo Indah 61.24% (parent). On 19 December 2023, SSMS consolidated PT Citra Borneo Utama Tbk (CBUT, downstream refinery arm) via increased share ownership to form an upstream-to-downstream integrated group.</t>
        </is>
      </c>
      <c r="J80" s="6" t="inlineStr">
        <is>
          <t>Subsidiaries: PT Mitra Mendawai Sejati (MMS), PT Kalimantan Sawit Abadi (KSA), PT Mirza Pratama Putra (MPP), PT Sawit Multi Utama (SMU), PT Tanjung Sawit Abadi (TSA), PT Menteng Kencana Mas (MKM), SSMS Plantation Holding Pte Ltd (SPH, Singapore) - which issued USD300mn bond fully repaid in 2023, plus PT Citra Borneo Utama Tbk (CBUT, consolidated Dec 2023).</t>
        </is>
      </c>
      <c r="K80" s="6" t="inlineStr">
        <is>
          <t>PT Citra Borneo Indah 61.24%; PT Putra Borneo Agro Lestari 9.16%; Public (each &lt;5%) 29.15%; SSMS 0.45%. 9,525,000,000 shares outstanding.</t>
        </is>
      </c>
      <c r="L80" s="6" t="inlineStr">
        <is>
          <t>Listed (IDX: SSMS) since 12 December 2013</t>
        </is>
      </c>
      <c r="M80" s="6" t="inlineStr">
        <is>
          <t>Palm oil plantation (upstream) + CPO mills + refinery/fractionation/kernel crushing (downstream via CBUT consolidated Dec 2023) + biogas/Bio-CNG renewable energy</t>
        </is>
      </c>
      <c r="N80" s="6" t="n"/>
      <c r="O80" s="6" t="n"/>
      <c r="P80" s="6" t="n"/>
      <c r="Q80" s="6" t="inlineStr">
        <is>
          <t>Very high leverage (DER 494%, DAR 83%). Net profit collapsed -77% YoY to Rp344 bn on CPO price decline and Rp2,852 bn additional paid-in capital negative from CBUT consolidation. Bonds payable (SPH USD300 mn @7.75%) fully repaid in 2023 using bank debt (ST bank loan surged 150% to Rp2.44 tn). New Natai Baru biogas + Bio-CNG plants commissioned. Finance costs Rp679 bn exceeded operating profit Rp1.20 tn.</t>
        </is>
      </c>
      <c r="R80" s="6" t="inlineStr">
        <is>
          <t>Central Kalimantan palm oil producer controlled by CBI Group. 2023 revenue Rp10.70 tn (-4.78% YoY) on falling CPO/RBDPO prices; operating profit halved to Rp1.20 tn; net profit Rp344 bn (-77% YoY after proforma). Landmark event: 19 Dec 2023 consolidation of PT Citra Borneo Utama Tbk (CBUT) making SSMS fully integrated upstream-to-downstream. Financing restructuring: USD300mn SPH global bond fully repaid, replaced by bank debt. 115,880 ha total managed area (93,534 nucleus + 22,346 plasma), 8 mills at 540 tph. OER 22.1%. Equity dropped to Rp1.99 tn due to proforma adjustments.</t>
        </is>
      </c>
      <c r="S80" s="44" t="inlineStr">
        <is>
          <t>Integrated</t>
        </is>
      </c>
    </row>
    <row r="81" ht="15" customHeight="1" s="67">
      <c r="A81" s="6" t="inlineStr">
        <is>
          <t>PT Sawit Sumbermas Sarana Tbk</t>
        </is>
      </c>
      <c r="B81" s="6" t="inlineStr">
        <is>
          <t>SSMS</t>
        </is>
      </c>
      <c r="C81" s="6" t="inlineStr">
        <is>
          <t>IDX</t>
        </is>
      </c>
      <c r="D81" s="6" t="n">
        <v>2024</v>
      </c>
      <c r="E81" s="6" t="inlineStr">
        <is>
          <t>SSMS_2024_AR.pdf</t>
        </is>
      </c>
      <c r="F81" s="6" t="inlineStr">
        <is>
          <t>Pangkalan Bun, Central Kalimantan, Indonesia</t>
        </is>
      </c>
      <c r="G81" s="6" t="inlineStr">
        <is>
          <t>Indonesia</t>
        </is>
      </c>
      <c r="H81" s="6" t="inlineStr">
        <is>
          <t>Central Kalimantan (Kotawaringin Barat, Lamandau, Pulang Pisau)</t>
        </is>
      </c>
      <c r="I81" s="6" t="inlineStr">
        <is>
          <t>Part of Citra Borneo Indah (CBI) Group controlled by Abdul Rasyid family. PT Citra Borneo Indah 62.296% (parent). In December 2023 SSMS consolidated PT Citra Borneo Utama Tbk (CBUT, downstream refinery arm) via increased share ownership, making group operations integrated upstream-to-downstream.</t>
        </is>
      </c>
      <c r="J81" s="6" t="inlineStr">
        <is>
          <t>10 subsidiaries: PT Mitra Mendawai Sejati (MMS), PT Kalimantan Sawit Abadi (KSA), PT Mirza Pratama Putra (MPP), PT Sawit Multi Utama (SMU), PT Tanjung Sawit Abadi (TSA), PT Menteng Kencana Mas (MKM), SSMS Plantation Holding Pte Ltd (SPH, Singapore), SSMS Plantation International (SPI), Sawit Sumbermas International (SSI), PT Citra Borneo Utama Tbk (CBUT, downstream listed entity).</t>
        </is>
      </c>
      <c r="K81" s="6" t="inlineStr">
        <is>
          <t>PT Citra Borneo Indah 62.296%; PT Putra Borneo Agro Lestari 8.057%; Public (each &lt;5%) 29.647%. 9,525,000,000 shares outstanding.</t>
        </is>
      </c>
      <c r="L81" s="6" t="inlineStr">
        <is>
          <t>Listed (IDX: SSMS) since 12 December 2013</t>
        </is>
      </c>
      <c r="M81" s="6" t="inlineStr">
        <is>
          <t>Palm oil plantation (upstream) + CPO mills + refinery/fractionation/kernel crushing (downstream via CBUT) + biogas/Bio-CNG renewable energy</t>
        </is>
      </c>
      <c r="N81" s="6" t="n"/>
      <c r="O81" s="6" t="n"/>
      <c r="P81" s="6" t="n"/>
      <c r="Q81" s="6" t="inlineStr">
        <is>
          <t>High leverage (DER 306.9%, DAR 75.4%), though declining from 2023 (DER 493.5%). FFB nucleus production down 9.33% YoY due to high rainfall 2020-2022 disrupting fertilization absorption. Downstream refinery utilization dropped to 47.48% (2023: 91.77%). Negative additional paid-in capital (Rp2,852 bn) and merging-entities equity adjustment reflect CBUT consolidation. No cash dividend paid for FY2023.</t>
        </is>
      </c>
      <c r="R81" s="6" t="inlineStr">
        <is>
          <t>Central Kalimantan-focused integrated palm oil producer controlled by CBI Group (Abdul Rasyid family). 2024 revenue Rp10.52 tn (-1.70% YoY) on lower sales volumes; net profit Rp845 bn (+145.5% after proforma); operating profit +48% to Rp1.77 tn. Strengthened integration via CBUT consolidation (Dec 2023). 115,571 ha total managed area (93,224 ha nucleus + 22,347 ha plasma), 8 palm oil mills with 540 tph capacity, 2,500 tpd refinery + fractionation plant. OER 21.8% (one of highest in industry). Equity up 45.3% to Rp2.89 tn, deleveraging underway.</t>
        </is>
      </c>
      <c r="S81" s="44" t="inlineStr">
        <is>
          <t>Integrated</t>
        </is>
      </c>
    </row>
    <row r="82" ht="15" customHeight="1" s="67">
      <c r="A82" s="6" t="inlineStr">
        <is>
          <t>PT Sawit Sumbermas Sarana Tbk</t>
        </is>
      </c>
      <c r="B82" s="6" t="inlineStr">
        <is>
          <t>SSMS</t>
        </is>
      </c>
      <c r="C82" s="6" t="inlineStr">
        <is>
          <t>IDX</t>
        </is>
      </c>
      <c r="D82" s="6" t="n">
        <v>2025</v>
      </c>
      <c r="E82" s="6" t="inlineStr">
        <is>
          <t>SSMS_2025_AR.pdf</t>
        </is>
      </c>
      <c r="F82" s="6" t="inlineStr">
        <is>
          <t>Pangkalan Bun, Central Kalimantan, Indonesia</t>
        </is>
      </c>
      <c r="G82" s="6" t="inlineStr">
        <is>
          <t>Indonesia</t>
        </is>
      </c>
      <c r="H82" s="6" t="inlineStr">
        <is>
          <t>Central Kalimantan (Kotawaringin Barat, Lamandau, Pulang Pisau)</t>
        </is>
      </c>
      <c r="I82" s="6" t="inlineStr">
        <is>
          <t>Part of Citra Borneo Indah (CBI) Group controlled by Abdul Rasyid family. PT Citra Borneo Indah 65.83% (parent). In 2025, SSMS completed acquisition of PT Sawit Mandiri Lestari (SML) as inorganic growth, adding a new estate with 6 estates + 2 mills in Lamandau. Downstream refinery operations run via PT Citra Borneo Utama Tbk (CBUT, consolidated Dec 2023).</t>
        </is>
      </c>
      <c r="J82" s="6" t="inlineStr">
        <is>
          <t>Existing subsidiaries: PT Mitra Mendawai Sejati (MMS), PT Kalimantan Sawit Abadi (KSA), PT Mirza Pratama Putra (MPP), PT Sawit Multi Utama (SMU), PT Tanjung Sawit Abadi (TSA), PT Menteng Kencana Mas (MKM), SSMS Plantation Holding Pte Ltd (SPH), SSMS Plantation International (SPI), Sawit Sumbermas International (SSI), PT Citra Borneo Utama Tbk (CBUT). NEW in 2025: PT Sawit Mandiri Lestari (SML) acquired for Rp1.49 tn cash — 6 estates + 2 mills in Lamandau.</t>
        </is>
      </c>
      <c r="K82" s="6" t="inlineStr">
        <is>
          <t>PT Citra Borneo Indah 65.83%; PT Putra Borneo Agro Lestari 10.13%; Public (each &lt;5%) 24.04%. CBI increased from 62.3% (2024) following share accumulation. 9,525,000,000 shares outstanding.</t>
        </is>
      </c>
      <c r="L82" s="6" t="inlineStr">
        <is>
          <t>Listed (IDX: SSMS). Trading suspended 4 Feb 2025 briefly on cumulative price surge.</t>
        </is>
      </c>
      <c r="M82" s="6" t="inlineStr">
        <is>
          <t>Integrated palm oil plantation + CPO mills + refinery/fractionation/kernel crushing (via CBUT) + biogas/Bio-CNG + new plantation expansion (SML acquisition)</t>
        </is>
      </c>
      <c r="N82" s="6" t="n"/>
      <c r="O82" s="6" t="n"/>
      <c r="P82" s="6" t="n"/>
      <c r="Q82" s="6" t="inlineStr">
        <is>
          <t>Major debt increase: gross debt rose to Rp8,139 bn (from Rp6,985 bn in 2024) via syndicated bank loan to fund SML acquisition. Equity dropped Rp344 bn at parent level due to common-control acquisition adjustment (Rp1,084 bn reduction in APIC). PKO production -24.57% due to KCP facility repairs/modifications. DER back up to 361.88% from 306.90%. 2024 share price was briefly suspended Feb 2025 due to 'significant cumulative price increase'.</t>
        </is>
      </c>
      <c r="R82" s="6" t="inlineStr">
        <is>
          <t>Central Kalimantan palm producer controlled by CBI Group delivered strong 2025 turnaround: revenue Rp14.81 tn (+42.9%), operating profit Rp2.55 tn (+44%), net profit Rp1.39 tn (+67%) driven by CPO price recovery and volume growth post-CBUT consolidation full year benefit. OER improved to 22.12%. CPO production +14.23% to 527,052 t. Major SML acquisition for Rp1.49 tn expanded footprint to 136,447 ha total managed area (+18% YoY). Cash dividend resumed: Rp450 bn (Rp47.24/share). Syndicated bank loan supported expansion. 10 mills total (8 SSMS + 2 from SML).</t>
        </is>
      </c>
      <c r="S82" s="44" t="inlineStr">
        <is>
          <t>Integrated</t>
        </is>
      </c>
    </row>
    <row r="83" ht="15" customHeight="1" s="67">
      <c r="A83" s="6" t="inlineStr">
        <is>
          <t>PT Triputra Agro Persada Tbk</t>
        </is>
      </c>
      <c r="B83" s="6" t="inlineStr">
        <is>
          <t>TAPG</t>
        </is>
      </c>
      <c r="C83" s="6" t="inlineStr">
        <is>
          <t>IDX</t>
        </is>
      </c>
      <c r="D83" s="6" t="n">
        <v>2023</v>
      </c>
      <c r="E83" s="6" t="inlineStr">
        <is>
          <t>TAPG_2023_AR.pdf</t>
        </is>
      </c>
      <c r="F83" s="6" t="inlineStr">
        <is>
          <t>Jakarta, Indonesia</t>
        </is>
      </c>
      <c r="G83" s="6" t="inlineStr">
        <is>
          <t>Indonesia</t>
        </is>
      </c>
      <c r="H83" s="6" t="inlineStr">
        <is>
          <t>Kalimantan (Central/East) + Jambi (Sumatra)</t>
        </is>
      </c>
      <c r="I83" s="6" t="inlineStr">
        <is>
          <t>Part of Triputra Group (Theodore P. Rachmat family). Controlling shareholders: PT Persada Capital Investama 23.24%, PT Triputra Investindo Arya 22.93%, PT Daya Adicipta Mustika 14.02%, The NT TST CO S/A Salween Investment 14.90%, Gochean Holdings 10.90%; Public 14.02%.</t>
        </is>
      </c>
      <c r="J83" s="6" t="inlineStr">
        <is>
          <t>24 direct/indirect subsidiaries: AMP (94.93% main holding), plus palm oil plantation subsidiaries GBSM, MIK, TAN, FLTI, SKM, HPS, EBL, DLJ, NPN, MSL, KSD, HPM, SAWA, KAM, PTA, YWA, AAPA, GAS, BBB; ecosystem restoration (ATS, ABM, SAK, BSM); mining (BBP, PMB); general trading (APR). USTP 50% JV.</t>
        </is>
      </c>
      <c r="K83" s="6" t="inlineStr">
        <is>
          <t>PT Persada Capital Investama 23.24%, PT Triputra Investindo Arya 22.93%, The NT TST CO S/A Salween Investment Pte Ltd 14.90%, PT Daya Adicipta Mustika 14.02%, Gochean Holdings Inc 10.90%, Public 14.02%</t>
        </is>
      </c>
      <c r="L83" s="6" t="inlineStr">
        <is>
          <t>Listed (IDX: TAPG) - IPO 12 April 2021</t>
        </is>
      </c>
      <c r="M83" s="6" t="inlineStr">
        <is>
          <t>Palm oil plantations (upstream) + CPO/PK/PKO processing + small rubber plantation</t>
        </is>
      </c>
      <c r="N83" s="6" t="n"/>
      <c r="O83" s="6" t="n"/>
      <c r="P83" s="6" t="n"/>
      <c r="Q83" s="6" t="inlineStr">
        <is>
          <t>Revenue down 11% YoY due to weaker CPO/PK prices (-9% CPO, -34% PK) and drier El Nino climate particularly in Central Kalimantan; operating profit down 55%; net profit down 46%; productive age area shrinking (only 3,880 ha of 4-6 yr trees vs 118,186 ha at 7-20 yr); aging tree profile with 7,155 ha &gt;20 years.</t>
        </is>
      </c>
      <c r="R83" s="6" t="inlineStr">
        <is>
          <t>Mid-large Indonesian palm producer controlled by Triputra Group (Rachmat family). 2023 revenue Rp8.33 tn (-11% YoY), net profit Rp1.66 tn (-46%) due to weaker CPO/PK prices and drier climate impact on production. Total planted 160.5k ha (136.4k nucleus + 24.1k plasma) in Jambi, Central &amp; East Kalimantan. 18 palm oil mills with 995 tph total capacity. CPO 978k tons, PK 208k tons, KER 4.9%, OER 23.3%. Net interest-bearing debt/equity 0.010x - low gearing. First KCP with Biogas Power Plant (PLTBg) commenced 2023 producing PKO.</t>
        </is>
      </c>
      <c r="S83" s="44" t="inlineStr">
        <is>
          <t>Upstream</t>
        </is>
      </c>
    </row>
    <row r="84" ht="15" customHeight="1" s="67">
      <c r="A84" s="6" t="inlineStr">
        <is>
          <t>PT Triputra Agro Persada Tbk</t>
        </is>
      </c>
      <c r="B84" s="6" t="inlineStr">
        <is>
          <t>TAPG</t>
        </is>
      </c>
      <c r="C84" s="6" t="inlineStr">
        <is>
          <t>IDX</t>
        </is>
      </c>
      <c r="D84" s="6" t="n">
        <v>2024</v>
      </c>
      <c r="E84" s="6" t="inlineStr">
        <is>
          <t>TAPG_2024_AR.pdf</t>
        </is>
      </c>
      <c r="F84" s="6" t="inlineStr">
        <is>
          <t>Jakarta, Indonesia</t>
        </is>
      </c>
      <c r="G84" s="6" t="inlineStr">
        <is>
          <t>Indonesia</t>
        </is>
      </c>
      <c r="H84" s="6" t="inlineStr">
        <is>
          <t>Kalimantan (Central/East) + Jambi (Sumatra)</t>
        </is>
      </c>
      <c r="I84" s="6" t="inlineStr">
        <is>
          <t>Part of Triputra Group (Theodore P. Rachmat family). Controlling shareholders (Dec 2024): PT Persada Capital Investama 33.07%, PT Triputra Investindo Arya 24.05%, PT Daya Adicipta Mustika 19.94%, T. Permadi Rachmat 5.19%; Public 17.75%. Salween Investment &amp; Gochean Holdings fully divested in 2024.</t>
        </is>
      </c>
      <c r="J84" s="6" t="inlineStr">
        <is>
          <t>24 direct/indirect subsidiaries: AMP (94.93% main holding), plantation subsidiaries (GBSM, MIK, TAN, FLTI, SKM, EBL, DLJ, NPN, MSL, KSD, HPM, SAWA, KAM, PTA, YWA, AAPA, GAS, BBB); HPS laboratory; ecosystem restoration (ATS, ABM, SAK, BSM); mining (BBP, PMB); general trading (APR); TAPAS IT services. USTP 50% JV (with Aisin Takaoka), ATP Bio Indonesia 49% JV (biocoke).</t>
        </is>
      </c>
      <c r="K84" s="6" t="inlineStr">
        <is>
          <t>PT Persada Capital Investama 33.07%, PT Triputra Investindo Arya 24.05%, PT Daya Adicipta Mustika 19.94%, T. Permadi Rachmat 5.19%, Public 17.75%</t>
        </is>
      </c>
      <c r="L84" s="6" t="inlineStr">
        <is>
          <t>Listed (IDX: TAPG) - IPO 12 April 2021</t>
        </is>
      </c>
      <c r="M84" s="6" t="inlineStr">
        <is>
          <t>Palm oil plantations (upstream) + CPO/PK/PKO processing + rubber + emerging renewable (biocoke via JV)</t>
        </is>
      </c>
      <c r="N84" s="6" t="n"/>
      <c r="O84" s="6" t="n"/>
      <c r="P84" s="6" t="n"/>
      <c r="Q84" s="6" t="inlineStr">
        <is>
          <t>CPO production -6% to 916kt and FFB -4% to 3.28mt due to recovering plants; PK volume down 15%; nucleus planted area flat at 135.6k ha; age profile concentrated at 7-20 yr (117k ha); rubber segment still marginal (&lt;1% revenue). Short-term bank loans up 727% YoY to Rp620 bn.</t>
        </is>
      </c>
      <c r="R84" s="6" t="inlineStr">
        <is>
          <t>Mid-large Indonesian palm producer controlled by Triputra Group (Rachmat family). 2024 revenue Rp9.67 tn (+16% YoY), net profit Rp3.24 tn (+95%) driven by higher CPO (+18%), PK (+46%) and PKO (+74%) selling prices. Total planted 160.8k ha (135.6k nucleus + 25.2k plasma). 18 palm oil mills with 995 tph. CPO 916k tons, PK 193k tons, KER 4.9%, OER 23.1%. Very low gearing - net debt/equity -0.019x (net cash position). FLTI achieved RSPO certification, GBSM/DLJ received Green Gold Label. Established PT ATP Bio Indonesia JV with Aisin Takaoka Japan for palm shell biocoke production. Capex Rp588 bn. Dividend payout 46.6% (Rp1,509 bn interim).</t>
        </is>
      </c>
      <c r="S84" s="44" t="inlineStr">
        <is>
          <t>Upstream</t>
        </is>
      </c>
    </row>
    <row r="85" ht="15" customHeight="1" s="67">
      <c r="A85" s="6" t="inlineStr">
        <is>
          <t>PT Triputra Agro Persada Tbk</t>
        </is>
      </c>
      <c r="B85" s="6" t="inlineStr">
        <is>
          <t>TAPG</t>
        </is>
      </c>
      <c r="C85" s="6" t="inlineStr">
        <is>
          <t>IDX</t>
        </is>
      </c>
      <c r="D85" s="6" t="n">
        <v>2025</v>
      </c>
      <c r="E85" s="6" t="inlineStr">
        <is>
          <t>TAPG_2025_AR.pdf</t>
        </is>
      </c>
      <c r="F85" s="6" t="inlineStr">
        <is>
          <t>Jakarta, Indonesia</t>
        </is>
      </c>
      <c r="G85" s="6" t="inlineStr">
        <is>
          <t>Indonesia</t>
        </is>
      </c>
      <c r="H85" s="6" t="inlineStr">
        <is>
          <t>Kalimantan (Central/East) + Jambi (Sumatra)</t>
        </is>
      </c>
      <c r="I85" s="6" t="inlineStr">
        <is>
          <t>Part of Triputra Group (Theodore P. Rachmat family). Controlling shareholders (Dec 2025): PT Persada Capital Investama 33.07%, PT Triputra Investindo Arya 24.06%, PT Daya Adicipta Mustika 19.94%, T. Permadi Rachmat 5.09%; Public 17.84%.</t>
        </is>
      </c>
      <c r="J85" s="6" t="inlineStr">
        <is>
          <t>Direct/indirect subsidiaries including AMP (94.93% main holding) with downstream plantation subsidiaries (GBSM, MIK, TAN, FLTI, SKM, EBL, DLJ, NPN, MSL, KSD, HPM, SAWA, KAM, PTA, YWA, AAPA, GAS, BBB); HPS laboratory; ecosystem restoration (ATS, ABM, SAK, BSM); mining (BBP, PMB); trading (APR); TAPAS IT. USTP 50% JV, ATP Bio Indonesia 49% JV for biocoke production.</t>
        </is>
      </c>
      <c r="K85" s="6" t="inlineStr">
        <is>
          <t>PT Persada Capital Investama 33.07%, PT Triputra Investindo Arya 24.06%, PT Daya Adicipta Mustika 19.94%, T. Permadi Rachmat 5.09%, Public 17.84%</t>
        </is>
      </c>
      <c r="L85" s="6" t="inlineStr">
        <is>
          <t>Listed (IDX: TAPG) - IPO 12 April 2021</t>
        </is>
      </c>
      <c r="M85" s="6" t="inlineStr">
        <is>
          <t>Palm oil plantations (upstream) + CPO/PK/PKO processing + rubber + renewable energy (biocoke via JV)</t>
        </is>
      </c>
      <c r="N85" s="6" t="n"/>
      <c r="O85" s="6" t="n"/>
      <c r="P85" s="6" t="n"/>
      <c r="Q85" s="6" t="inlineStr">
        <is>
          <t>Nucleus planted area declined slightly to 132.8k ha (from 135.6k in 2024) reflecting replanting; long-term bank loans up 132% to Rp766 bn (from Rp330 bn); aging tree profile still concentrated at 7-20 yr (115.8k ha); ESG-related challenges from global policy tightening (B50 mandate, EU deforestation regulation).</t>
        </is>
      </c>
      <c r="R85" s="6" t="inlineStr">
        <is>
          <t>Mid-large Indonesian palm producer controlled by Triputra Group (Rachmat family). 2025 revenue Rp11.40 tn (+18% YoY), net profit Rp3.85 tn (+19%) driven by higher CPO (+8%), PK (+52%) and PKO (+37%) selling prices and volume growth. Total planted 159.7k ha (132.8k nucleus + 26.9k plasma). 18 palm oil mills with 995 tph. CPO 953k tons (+4%), PK 202k tons (+5%), PKO 22k tons (+10%); FFB yield improved to 24.3 t/ha (from 23.0). Very low gearing - net debt/equity -0.047x (net cash). 2026 strategy: build new mill in East Kalimantan, downstreaming feasibility study, replanting with superior varieties. Strong share price rally in 2025 (Q3 high Rp1,715, closed Rp1,500). 2025 interim dividends Rp89 total (Rp50+Rp39).</t>
        </is>
      </c>
      <c r="S85" s="44" t="inlineStr">
        <is>
          <t>Upstream</t>
        </is>
      </c>
    </row>
    <row r="86" ht="15" customHeight="1" s="67">
      <c r="A86" s="6" t="inlineStr">
        <is>
          <t>PT Teladan Prima Agro Tbk</t>
        </is>
      </c>
      <c r="B86" s="6" t="inlineStr">
        <is>
          <t>TLDN</t>
        </is>
      </c>
      <c r="C86" s="6" t="inlineStr">
        <is>
          <t>IDX</t>
        </is>
      </c>
      <c r="D86" s="6" t="n">
        <v>2023</v>
      </c>
      <c r="E86" s="6" t="inlineStr">
        <is>
          <t>TLDN_2023_AR.pdf</t>
        </is>
      </c>
      <c r="F86" s="6" t="inlineStr">
        <is>
          <t>Jakarta, Indonesia (Beltway Office Park Tower B, Jl. TB Simatupang No. 41, Jakarta Selatan 12550)</t>
        </is>
      </c>
      <c r="G86" s="6" t="inlineStr">
        <is>
          <t>Indonesia</t>
        </is>
      </c>
      <c r="H86" s="6" t="inlineStr">
        <is>
          <t>East Kalimantan (Berau, Kutai Timur, Paser, Kutai Kartanegara)</t>
        </is>
      </c>
      <c r="I86" s="6" t="inlineStr">
        <is>
          <t>Holding company with 9 subsidiaries; controlled by PT Teladan Resources (59.88%) which is owned and controlled by Wiwoho Basuki Tjokronegoro and family. Listed on IDX since 12 April 2022.</t>
        </is>
      </c>
      <c r="J86" s="6" t="inlineStr">
        <is>
          <t>9 subsidiaries: PT Tanjung Buyu Perkasa Plantation (TBP, 99.99%), PT Inti Energi Kaltim (INK, 99.99%), PT Telen (TLN, 99.99%), PT Sawit Prima Nusantara (SPN, 99.99%), PT Telen Prima Sawit (TPS, 99.99%), PT Gemilang Sejahtera Abadi (GSA, 99.99%), PT Multi Jayantara Abadi (MJA, 99.99%), PT Cahaya Anugerah Plantation (CAP, 99.99%), PT Daya Lestari (DL, 99.92%; renewable energy).</t>
        </is>
      </c>
      <c r="K86" s="6" t="inlineStr">
        <is>
          <t>PT Teladan Resources 59.88%, Ahmad Gunung 16.22%, Wishnu Wardhana 16.22%, Wiwoho Basuki Tjokronegoro 0.17%, BoC &amp; BoD 0.004%, Public 7.50%</t>
        </is>
      </c>
      <c r="L86" s="6" t="inlineStr">
        <is>
          <t>Listed (IDX: TLDN) since 12 April 2022</t>
        </is>
      </c>
      <c r="M86" s="6" t="inlineStr">
        <is>
          <t>Oil palm plantation, palm oil processing (CPO &amp; PK), renewable energy (biomass/biogas)</t>
        </is>
      </c>
      <c r="N86" s="6" t="n"/>
      <c r="O86" s="6" t="n"/>
      <c r="P86" s="6" t="n"/>
      <c r="Q86" s="6" t="inlineStr">
        <is>
          <t>Ageing tree profile (avg nucleus age 14.5 years, 97% trees &gt;=8 years old and rising); CPO prices softened in 2023; net profit declined 21% YoY; 2023 CFO +64% but CFF outflow jumped on IPO proceeds absence and higher dividend/lease repayments.</t>
        </is>
      </c>
      <c r="R86" s="6" t="inlineStr">
        <is>
          <t>East Kalimantan-focused mid-sized palm pure-play controlled by Teladan Resources/Wiwoho Basuki family. 2023 revenue Rp4.01 tn (+10.9% YoY) on higher CPO volume despite softer prices; gross margin compressed to 26.7% (from 34.5%); net profit Rp452 bn (-21.3%). Equity strengthened to Rp2.46 tn; leverage eased (L/E 1.2x). Built 2 new plants in 2023 (Biogas Power Plant; Kernel Crushing Plant) under construction for operations in 2024. Total planted area 60,497 ha (48,524 nucleus + 11,973 plasma), 6 mills with 335 t FFB/hr capacity.</t>
        </is>
      </c>
      <c r="S86" s="44" t="inlineStr">
        <is>
          <t>Upstream</t>
        </is>
      </c>
    </row>
    <row r="87" ht="15" customHeight="1" s="67">
      <c r="A87" s="6" t="inlineStr">
        <is>
          <t>PT Teladan Prima Agro Tbk</t>
        </is>
      </c>
      <c r="B87" s="6" t="inlineStr">
        <is>
          <t>TLDN</t>
        </is>
      </c>
      <c r="C87" s="6" t="inlineStr">
        <is>
          <t>IDX</t>
        </is>
      </c>
      <c r="D87" s="6" t="n">
        <v>2024</v>
      </c>
      <c r="E87" s="6" t="inlineStr">
        <is>
          <t>TLDN_2024_AR.pdf</t>
        </is>
      </c>
      <c r="F87" s="6" t="inlineStr">
        <is>
          <t>Jakarta, Indonesia (Beltway Office Park Tower B, Jl. TB Simatupang No. 41, Jakarta Selatan 12550)</t>
        </is>
      </c>
      <c r="G87" s="6" t="inlineStr">
        <is>
          <t>Indonesia</t>
        </is>
      </c>
      <c r="H87" s="6" t="inlineStr">
        <is>
          <t>East Kalimantan (Berau, Kutai Timur, Paser, Kutai Kartanegara)</t>
        </is>
      </c>
      <c r="I87" s="6" t="inlineStr">
        <is>
          <t>Holding company with 9 subsidiaries; controlled by PT Teladan Resources (59.88%) which is owned and controlled by Wiwoho Basuki Tjokronegoro and family. Listed on IDX since 12 April 2022.</t>
        </is>
      </c>
      <c r="J87" s="6" t="inlineStr">
        <is>
          <t>9 subsidiaries as of 2024: PT Tanjung Buyu Perkasa Plantation (TBP), PT Inti Energi Kaltim (INK), PT Telen (TLN), PT Sawit Prima Nusantara (SPN), PT Telen Prima Sawit (TPS - KCP operator since Nov 2024), PT Gemilang Sejahtera Abadi (GSA), PT Multi Jayantara Abadi (MJA), PT Cahaya Anugerah Plantation (CAP), PT Daya Lestari (DL - renewable energy; BPP operator since Nov 2024).</t>
        </is>
      </c>
      <c r="K87" s="6" t="inlineStr">
        <is>
          <t>PT Teladan Resources 59.88%, Ahmad Gunung 16.22%, Wishnu Wardhana 16.22%, Wiwoho Basuki Tjokronegoro 0.17%, BoC &amp; BoD 0.004%, Public 7.50%</t>
        </is>
      </c>
      <c r="L87" s="6" t="inlineStr">
        <is>
          <t>Listed (IDX: TLDN) since 12 April 2022</t>
        </is>
      </c>
      <c r="M87" s="6" t="inlineStr">
        <is>
          <t>Oil palm plantation, palm oil processing (CPO, PK, CPKO, PKE), renewable energy (biomass/biogas)</t>
        </is>
      </c>
      <c r="N87" s="6" t="n"/>
      <c r="O87" s="6" t="n"/>
      <c r="P87" s="6" t="n"/>
      <c r="Q87" s="6" t="inlineStr">
        <is>
          <t>Ageing tree profile (nucleus avg age 15.5 yrs, trending older); CPO sales volume -8.5% YoY; 2024 production target (TBS -3.0%, CPO+PK -8.4%) missed due to climate change; short-term debt ratio improved as long-term loans paid down. Director resignation during year.</t>
        </is>
      </c>
      <c r="R87" s="6" t="inlineStr">
        <is>
          <t>Pure-play East Kalimantan palm producer had a strong 2024. Revenue Rp4.21 tn (+5.1%); net profit surged +82.7% to Rp825.6 bn on higher CPO/PK prices (+11.6%/+56.3%), cost efficiency (-9.7%), and gain from new CPKO/PKE products. EBITDA +43.2% to Rp1.39 tn. Commissioned first Kernel Crushing Plant (100 tpd PK) and 1.7 MW Biogas Power Plant in Nov 2024. Leverage eased (L/E 0.8x; bank debt/equity 0.2x). Total planted area 60,515 ha (48,542 nucleus + 11,973 plasma); 6 mills at 335 t FFB/hr.</t>
        </is>
      </c>
      <c r="S87" s="44" t="inlineStr">
        <is>
          <t>Upstream</t>
        </is>
      </c>
    </row>
    <row r="88" ht="15" customHeight="1" s="67">
      <c r="A88" s="6" t="inlineStr">
        <is>
          <t>PT Teladan Prima Agro Tbk</t>
        </is>
      </c>
      <c r="B88" s="6" t="inlineStr">
        <is>
          <t>TLDN</t>
        </is>
      </c>
      <c r="C88" s="6" t="inlineStr">
        <is>
          <t>IDX</t>
        </is>
      </c>
      <c r="D88" s="6" t="n">
        <v>2025</v>
      </c>
      <c r="E88" s="6" t="inlineStr">
        <is>
          <t>TLDN_2025_AR.pdf</t>
        </is>
      </c>
      <c r="F88" s="6" t="inlineStr">
        <is>
          <t>Jakarta, Indonesia (Beltway Office Park Tower B, Jl. TB Simatupang No. 41, Jakarta Selatan 12550)</t>
        </is>
      </c>
      <c r="G88" s="6" t="inlineStr">
        <is>
          <t>Indonesia</t>
        </is>
      </c>
      <c r="H88" s="6" t="inlineStr">
        <is>
          <t>East Kalimantan (Berau, Kutai Timur, Paser, Kutai Kartanegara)</t>
        </is>
      </c>
      <c r="I88" s="6" t="inlineStr">
        <is>
          <t>Holding company with 10 subsidiaries (new: PT Cipta Davia Mandiri acquired Jan 2025); controlled by PT Teladan Resources (59.877%) which is owned and controlled by Wiwoho Basuki Tjokronegoro and family. Listed on IDX since 12 April 2022.</t>
        </is>
      </c>
      <c r="J88" s="6" t="inlineStr">
        <is>
          <t>10 subsidiaries as of 2025: PT Tanjung Buyu Perkasa Plantation (TBP), PT Inti Energi Kaltim (INK), PT Telen (TLN), PT Sawit Prima Nusantara (SPN), PT Telen Prima Sawit (TPS - KCP operator), PT Gemilang Sejahtera Abadi (GSA), PT Multi Jayantara Abadi (MJA), PT Cahaya Anugerah Plantation (CAP), PT Daya Lestari (DL - renewable energy), and newly-acquired PT Cipta Davia Mandiri (CDM, acquired January 2025 from PT REA Kaltim Plantations; added ~3,733 ha plantation).</t>
        </is>
      </c>
      <c r="K88" s="6" t="inlineStr">
        <is>
          <t>PT Teladan Resources 59.877%, Ahmad Gunung 16.225%, Wishnu Wardhana 16.225%, Wiwoho Basuki Tjokronegoro 0.169%, Public 7.504%</t>
        </is>
      </c>
      <c r="L88" s="6" t="inlineStr">
        <is>
          <t>Listed (IDX: TLDN) since 12 April 2022</t>
        </is>
      </c>
      <c r="M88" s="6" t="inlineStr">
        <is>
          <t>Oil palm plantation, palm oil processing (CPO, PK, CPKO, PKE), renewable energy (biomass/biogas)</t>
        </is>
      </c>
      <c r="N88" s="6" t="n"/>
      <c r="O88" s="6" t="n"/>
      <c r="P88" s="6" t="n"/>
      <c r="Q88" s="6" t="inlineStr">
        <is>
          <t>CPO extraction rate dipped to 22.76% (from 23.51%); PK extraction 3.57% (from 3.68%) — productivity slightly lower; ageing tree profile (nucleus avg age 16.1 yrs); revenue surge partly buoyed by one-off gain on bargain purchase (Rp172 bn) from CDM acquisition; CFF outflow high (Rp1.18 tn) from larger dividend payouts.</t>
        </is>
      </c>
      <c r="R88" s="6" t="inlineStr">
        <is>
          <t>Breakout year: revenue Rp5.42 tn (+28.7%), driven by CPO price +14.5% to Rp14 mn/t, PK price +65.8%, and full-year KCP operation (CPKO 11,991 t; PKE 15,803 t). Net profit Rp1.11 tn (+34%), aided by Rp172 bn bargain purchase gain from CDM acquisition. Planted area expanded to 64,430 ha (+3,933 ha) via CDM acquisition. Second KCP and BPP kick-off Dec 2025. Equity reached Rp3.64 tn; bank debt/equity 0.23x. Declared first-ever interim dividend (Rp15.5/share, Rp201 bn).</t>
        </is>
      </c>
      <c r="S88" s="44" t="inlineStr">
        <is>
          <t>Upstream</t>
        </is>
      </c>
    </row>
    <row r="89" ht="15" customHeight="1" s="67">
      <c r="A89" s="6" t="inlineStr">
        <is>
          <t>PT Bakrie Sumatera Plantations Tbk</t>
        </is>
      </c>
      <c r="B89" s="6" t="inlineStr">
        <is>
          <t>UNSP</t>
        </is>
      </c>
      <c r="C89" s="6" t="inlineStr">
        <is>
          <t>IDX</t>
        </is>
      </c>
      <c r="D89" s="6" t="n">
        <v>2022</v>
      </c>
      <c r="E89" s="6" t="inlineStr">
        <is>
          <t>UNSP_2022_AR.pdf</t>
        </is>
      </c>
      <c r="F89" s="6" t="inlineStr">
        <is>
          <t>Kisaran, North Sumatra (head office) / Jakarta corporate center (Bakrie Tower, Rasuna Epicentrum)</t>
        </is>
      </c>
      <c r="G89" s="6" t="inlineStr">
        <is>
          <t>Indonesia</t>
        </is>
      </c>
      <c r="H89" s="6" t="inlineStr">
        <is>
          <t>Sumatra (N.Sumatra/W.Sumatra/Jambi/Bengkulu/Lampung) + S. Kalimantan</t>
        </is>
      </c>
      <c r="I89" s="6" t="inlineStr">
        <is>
          <t>Part of Bakrie Group (controlled by PT Bakrie Capital Indonesia 14.65%; ultimate Bakrie family). Plantations + oleochemicals (via BRC/DAP). 30 Jun 2022 reduced its ownership in DAP (via subsidiary BRC) to Poseidon Corporate Service Ltd - triggered deconsolidation of fatty acid &amp; fatty alcohol plants.</t>
        </is>
      </c>
      <c r="J89" s="6" t="inlineStr">
        <is>
          <t>Plantation subs: PT Agrowiyana (AGW), PT Bakrie Pasaman Plantations (BPP), PT Air Muring (AM), PT Agro Mitra Madani, PT Grahadura Leidongprima, PT Eramitra Agrolestari, PT Huma Indah Mekar, PT Sumbertama Nusapertiwi, PT Jambi Agrowijaya, PT Monrad Intan Berakat. Oleochemicals: PT Bakrie Renewable Chemicals (BRC) - refinery/KCP. PT Domas Agrointi Perkasa (DAP - fatty acid/alcohol plants divested 30 Jun 2022 to Poseidon). Finance SPVs: BSP Finance BV, BSP Netherlands Finance BV, BSP Liberia BV, Agri International Finance BV, Agri International Resources Pte Ltd (Singapore), Solegna Investments BV, Bookwise Investments Ltd, Fordway Management Ltd. Others: PT Sarana Industama Perkasa, PT Sawitmas Agro Perkasa, PT Multrada Multi Maju, PT Domas Sawitinti Perdana, PT Flora Sawita Chemindo, PT Inti Kemitraan Perdana, PT Trimitra Sumberperkasa.</t>
        </is>
      </c>
      <c r="K89" s="6" t="inlineStr">
        <is>
          <t>PT Bakrie Capital Indonesia 14.65% (366,149,259 shares), Ernawati Ali 10.96%, Lie Leonard Djajali 9.21%, Paradiso Resources Ltd. 5.87%, Reksadana Saham Anargya Superfund Equity Growth 5.37%, Public &lt;5% 53.94%. Total 2,500,162,344 shares (less 6 treasury = 2,500,162,338). Foreign institutions 14.02%, Local institutions 29.37%, Local individuals 55.74%, Foreign individuals 0.87%.</t>
        </is>
      </c>
      <c r="L89" s="6" t="inlineStr">
        <is>
          <t>Listed (IDX: UNSP)</t>
        </is>
      </c>
      <c r="M89" s="6" t="inlineStr">
        <is>
          <t>Integrated plantation (palm + rubber) + oleochemical processing (fatty acid/alcohol partly divested Jun 2022; refinery/KCP retained via BRC)</t>
        </is>
      </c>
      <c r="N89" s="6" t="n"/>
      <c r="O89" s="6" t="n"/>
      <c r="P89" s="6" t="n"/>
      <c r="Q89" s="6" t="inlineStr">
        <is>
          <t>DEEPLY DISTRESSED. Net capital deficiency Rp(5,956.62) bn. Total liabilities Rp10,496.92 bn vs assets Rp4,540.30 bn (231.19% ratio). Current ratio 8.52%. Net working capital Rp(7,598.18) bn. 2022 had ONE-OFF large non-operating income (Miscellaneous - net Rp2,268.18 bn, +1,621.61% YoY) mainly from DAP divestment to Poseidon (30 Jun 2022) and related non-cash gains. Large FX losses Rp(783.30) bn. Impairment losses Rp(536.40) bn. Loss on biological assets fair value Rp(127.86) bn. Credit Suisse AG Singapore Indicative Restructuring Term Sheet signed 13 Jan 2022 leading to write-off of restricted funds Rp252.28 bn at Bank of New York Mellon. Equity-linked notes (USD 100 mn) on SGX at 8% - no interest paid since Sep 2014. Tebo (15,000 Ha) and Sarolangun (10,000 Ha) projects fully impaired. Accumulated retained deficit Rp(14,083.96) bn.</t>
        </is>
      </c>
      <c r="R89" s="6" t="inlineStr">
        <is>
          <t>Bakrie Group plantation (palm+rubber+oleochemicals). 2022 reported strong headline numbers: net sales Rp4,189 bn (+5.5%), gross profit Rp785.88 bn (-20.0%), but net profit Rp930.21 bn (+691.6%) boosted heavily by a Rp2,268 bn 'miscellaneous - net' line from DAP oleochemical divestment (30 Jun 2022) and non-cash restructuring gains. Capital deficiency persists at Rp(5,957) bn. Total planted 67,591 Ha (palm 52,192 Ha = inti 37,217 + plasma 14,975; rubber 15,399 Ha). 5 palm mills (240 tph - Labuhan Batu mill upgraded from 30 tph to 45 tph). FFB 376,655 t; CPO 154,701 t (+22.8% from replanting output); PK 36,488 t (+24.3%). Latex 12,904 t; rubber plant production 11,835 t. 4 oleochem plants (fatty acid 1&amp;2, fatty alcohol 1&amp;2) ownership transferred 30 Jun 2022; refinery 495,000 tpa + KCP 165,000 tpa retained. Closing Rp128. Ongoing restructuring with Credit Suisse-led Obligor Group.</t>
        </is>
      </c>
      <c r="S89" s="44" t="inlineStr">
        <is>
          <t>Integrated (upstream + downstream oleochemicals)</t>
        </is>
      </c>
    </row>
    <row r="90" ht="15" customHeight="1" s="67">
      <c r="A90" s="6" t="inlineStr">
        <is>
          <t>PT Bakrie Sumatera Plantations Tbk</t>
        </is>
      </c>
      <c r="B90" s="6" t="inlineStr">
        <is>
          <t>UNSP</t>
        </is>
      </c>
      <c r="C90" s="6" t="inlineStr">
        <is>
          <t>IDX</t>
        </is>
      </c>
      <c r="D90" s="6" t="n">
        <v>2023</v>
      </c>
      <c r="E90" s="6" t="inlineStr">
        <is>
          <t>UNSP_2023_AR.pdf</t>
        </is>
      </c>
      <c r="F90" s="6" t="inlineStr">
        <is>
          <t>Kisaran, North Sumatra (head office) / Jakarta corporate center (Bakrie Tower, Rasuna Epicentrum)</t>
        </is>
      </c>
      <c r="G90" s="6" t="inlineStr">
        <is>
          <t>Indonesia</t>
        </is>
      </c>
      <c r="H90" s="6" t="inlineStr">
        <is>
          <t>Sumatra (N.Sumatra/W.Sumatra/Jambi/Bengkulu/Lampung) + S. Kalimantan</t>
        </is>
      </c>
      <c r="I90" s="6" t="inlineStr">
        <is>
          <t>Part of Bakrie Group (controlled by PT Bakrie Capital Indonesia 14.70%; ultimate controllers Bakrie family - Anindya N. Bakrie on BoC). Diversified subsidiaries in plantations, oleochemicals (via BRC), and offshore finance SPVs.</t>
        </is>
      </c>
      <c r="J90" s="6" t="inlineStr">
        <is>
          <t>Plantation subs: PT Agrowiyana (AGW), PT Bakrie Pasaman Plantations (BPP), PT Air Muring (AM), PT Agro Mitra Madani (AMM), PT Grahadura Leidongprima, PT Eramitra Agrolestari, PT Huma Indah Mekar, PT Sumbertama Nusapertiwi, PT Jambi Agrowijaya, PT Monrad Intan Berakat. Oleochemicals: PT Bakrie Renewable Chemicals (BRC) - owns refinery/KCP (DAP already divested to Poseidon on 30 Jun 2022). Finance SPVs: BSP Finance BV, BSP Netherlands Finance BV, BSP Liberia BV, Agri International Finance BV, Agri International Resources Pte Ltd (Singapore), Solegna Investments BV, Bookwise Investments Ltd, Fordway Management Ltd, Great Four International Investments. Others: PT Sarana Industama Perkasa, PT Sawitmas Agro Perkasa, PT Multrada Multi Maju, PT Padang Bolak Jaya, PT Perjapin Prima, PT Domas Sawitinti Perdana, PT Flora Sawita Chemindo, PT Inti Kemitraan Perdana, PT Trimitra Sumberperkasa, PT Bakrie Food and Energy (renamed from PT Domas Agrointi Perkasa per Deed of Decision dated 30 Mar 2023), PT ASD Bakrie Oil Palm Seed Indonesia.</t>
        </is>
      </c>
      <c r="K90" s="6" t="inlineStr">
        <is>
          <t>PT Bakrie Capital Indonesia 14.70% (367,629,259 shares), Ernawati Ali 10.96%, Lie Leonard Djajali 9.21%, Paradiso Resources Ltd. 5.87%, Public &lt;5% 59.26%. Total 2,500,162,344 shares (less 6 treasury = 2,500,162,338). By classification: Local individuals 55.74%, Local institutions 29.37%, Foreign institutions 14.02%, Foreign individuals 0.87%.</t>
        </is>
      </c>
      <c r="L90" s="6" t="inlineStr">
        <is>
          <t>Listed (IDX: UNSP)</t>
        </is>
      </c>
      <c r="M90" s="6" t="inlineStr">
        <is>
          <t>Integrated plantation (palm + rubber) + oleochemical refinery/KCP (via BRC)</t>
        </is>
      </c>
      <c r="N90" s="6" t="n"/>
      <c r="O90" s="6" t="n"/>
      <c r="P90" s="6" t="n"/>
      <c r="Q90" s="6" t="inlineStr">
        <is>
          <t>HEAVILY DISTRESSED. Net capital deficiency Rp(5,932.87) bn. Total liabilities Rp10,492.60 bn vs assets Rp4,559.73 bn (liabilities/assets 230.11%). Current ratio only 10.16%. Liabilities-to-equity not meaningful (negative equity). USD 100mn equity-linked notes on SGX since 2010 at 8% - no interest paid since Sep 2014. Credit Suisse AG Singapore loan under restructuring (Indicative Restructuring Term Sheet signed 13 Jan 2022 with subsidiaries Obligor Group). Accumulated retained deficit Rp(14,021.27) bn. No dividend since 2012. PKPU/restructuring narrative ongoing. In 2023 Tebo (15,000 Ha) and Sarolangun (10,000 Ha) palm development projects remained fully impaired (recognized losses).</t>
        </is>
      </c>
      <c r="R90" s="6" t="inlineStr">
        <is>
          <t>Bakrie Group plantation (palm+rubber+oleochemicals). 2023 net sales dropped -42.6% to Rp2,405 bn (from Rp4,189 bn in 2022) mainly due to DAP oleochemical deconsolidation since 30 Jun 2022. Gross profit Rp477 bn (-39.3%). Net profit only Rp26.14 bn (vs Rp930 bn in 2022 which was boosted by DAP transfer gains). Capital deficiency persisted. Planted area: palm 54,828 Ha (inti 39,853 + plasma 14,975) + rubber 14,886 Ha = ~69,713 Ha combined. 5 palm mills (240 tph). FFB 366,113 t; CPO 123,628 t; PK 28,591 t. Latex 10,292 t; rubber plant production 9,127 t. Closing price Rp113. Leverage, going-concern, and restructuring remain top concerns.</t>
        </is>
      </c>
      <c r="S90" s="44" t="inlineStr">
        <is>
          <t>Integrated (upstream palm+rubber plantations + downstream oleochemicals refinery via BRC)</t>
        </is>
      </c>
    </row>
    <row r="91" ht="15" customHeight="1" s="67">
      <c r="A91" s="6" t="inlineStr">
        <is>
          <t>PT Bakrie Sumatera Plantations Tbk</t>
        </is>
      </c>
      <c r="B91" s="6" t="inlineStr">
        <is>
          <t>UNSP</t>
        </is>
      </c>
      <c r="C91" s="6" t="inlineStr">
        <is>
          <t>IDX</t>
        </is>
      </c>
      <c r="D91" s="6" t="n">
        <v>2024</v>
      </c>
      <c r="E91" s="6" t="inlineStr">
        <is>
          <t>UNSP_2024_AR.pdf</t>
        </is>
      </c>
      <c r="F91" s="6" t="inlineStr">
        <is>
          <t>Kisaran, North Sumatra (head office) / Jakarta corporate center (Bakrie Tower, Rasuna Epicentrum)</t>
        </is>
      </c>
      <c r="G91" s="6" t="inlineStr">
        <is>
          <t>Indonesia</t>
        </is>
      </c>
      <c r="H91" s="6" t="inlineStr">
        <is>
          <t>Sumatra (N.Sumatra/W.Sumatra/Jambi/Bengkulu/Lampung) + S. Kalimantan</t>
        </is>
      </c>
      <c r="I91" s="6" t="inlineStr">
        <is>
          <t>Part of Bakrie Group (controlled by PT Bakrie Capital Indonesia 17.82%; ultimate controllers Bakrie family - Anindya N. Bakrie on BoC). Numerous subsidiaries in plantations, oleochemicals (until Jul 2024), and offshore finance SPVs (BSP Finance BV, Agri International Finance BV, Agri Resources BV in Netherlands; Bookwise/Fordway/Great Four in BVI/Mauritius).</t>
        </is>
      </c>
      <c r="J91" s="6" t="inlineStr">
        <is>
          <t>Plantation subs: PT Agrowiyana (AGW), PT Bakrie Pasaman Plantations (BPP), PT Air Muring (AM), PT Agro Mitra Madani (AMM), PT Grahadura Leidongprima, PT Eramitra Agrolestari, PT Huma Indah Mekar (rubber), PT Sumbertama Nusapertiwi, PT Jambi Agrowijaya, PT Monrad Intan Berakat, PT Citalaras Cipta Indonesia. Oleochemicals (deconsolidated Jul 2024): PT Bakrie Renewable Chemicals (BRC) - owns refinery/KCP, no longer a subsidiary after Jul 31 2024 following dilution. Finance SPVs: BSP Finance BV, BSP Netherlands Finance BV, BSP Liberia BV, Agri International Finance BV, Agri International Resources Pte Ltd (Singapore), Solegna Investments BV, Bookwise Investments Ltd, Fordway Management Ltd, Great Four International Investments Co Ltd. Others: PT Sarana Industama Perkasa, PT Sawitmas Agro Perkasa, PT Multrada Multi Maju, PT Padang Bolak Jaya, PT Perjapin Prima, PT Domas Sawitinti Perdana, PT Flora Sawita Chemindo, PT Inti Kemitraan Perdana, PT Trimitra Sumberperkasa, PT Bakrie Food and Energy (formerly PT Domas Agrointi Perkasa), PT ASD Bakrie Oil Palm Seed Indonesia (seed JV).</t>
        </is>
      </c>
      <c r="K91" s="6" t="inlineStr">
        <is>
          <t>PT Bakrie Capital Indonesia 17.82% (445,562,965 shares), Ernawati Ali 10.96%, Stefanie Djajali 9.21%, Paradiso Resources Ltd. 6.12%, Public &lt;5% 55.89%. Total 2,500,162,344 shares (Series A 1,372,047,138 + Series B 1,128,115,206). Classes: Local individuals 54.91%, Indonesian institutions 30.38%, Foreign institutions 13.84%, Foreign individuals 0.87%.</t>
        </is>
      </c>
      <c r="L91" s="6" t="inlineStr">
        <is>
          <t>Listed (IDX: UNSP)</t>
        </is>
      </c>
      <c r="M91" s="6" t="inlineStr">
        <is>
          <t>Integrated plantation (oil palm + rubber); palm oil (CPO/PK) mills; oleochemical refinery (until Jul 31 2024 only - BRC deconsolidated)</t>
        </is>
      </c>
      <c r="N91" s="6" t="n"/>
      <c r="O91" s="6" t="n"/>
      <c r="P91" s="6" t="n"/>
      <c r="Q91" s="6" t="inlineStr">
        <is>
          <t>GOING CONCERN: Note 44 of audited 2024 FS contains going-concern qualification - Company has postponed payment of certain loan principals and/or interest; loans under restructuring (including Credit Suisse AG Singapore facility Rp3,371.95 bn and guaranteed equity-linked redeemable notes Rp1,284.22 bn). Net capital deficiency of Rp5,276.49 bn (improved from Rp5,932.87 bn in 2023). Current ratio only 10.44%. Liabilities-to-assets 264.17% (liabilities &gt; assets). BRC deconsolidated Jul 31 2024 (lost control via dilution); wrote off Tebo (15,000 Ha) and Sarolangun (10,000 Ha) business-development projects due to revocation of plantation permits by Muara Tebo &amp; Sarolangun regencies. USD 100 mn guaranteed equity-linked notes on SGX-ST since 2010 (8% p.a.) with no interest payments since 2014 (restructuring). Very large accumulated deficit (Rp12.66 trillion).</t>
        </is>
      </c>
      <c r="R91" s="6" t="inlineStr">
        <is>
          <t>Highly distressed diversified Bakrie-group plantation (palm+rubber+oleochemicals). 2024 net sales Rp2,327.87 bn (-3.21%), gross profit Rp604.52 bn (+26.73% on cost efficiencies &amp; ERP digitalization), net profit Rp138.89 bn (+431%). Continuing going concern uncertainty; capital deficiency Rp5,276 bn; liabilities Rp8,491 bn vs assets Rp3,214 bn. Oleochemical segment (BRC) deconsolidated after Jul 31 2024; palm now dominant segment (72.9% of sales). Planted area 56,147 Ha (palm 43,745 Ha inti + 14,975 Ha plasma = 58,720 Ha gross incl. plasma; rubber 12,403 Ha). Operated 5 palm mills (240 tph) and 1 rubber processing plant. FFB 347,865 t; CPO 113,918 t; PK 24,263 t. Closing price Rp97. No dividends paid since 2012.</t>
        </is>
      </c>
      <c r="S91" s="44" t="inlineStr">
        <is>
          <t>Integrated (upstream plantations + downstream oleochemicals until mid-2024; post-Jul 2024 mainly upstream palm+rubber)</t>
        </is>
      </c>
    </row>
    <row r="92" ht="15" customHeight="1" s="67">
      <c r="A92" s="6" t="inlineStr">
        <is>
          <t>PT Wahana Pronatural Tbk</t>
        </is>
      </c>
      <c r="B92" s="6" t="inlineStr">
        <is>
          <t>WAPO</t>
        </is>
      </c>
      <c r="C92" s="6" t="inlineStr">
        <is>
          <t>IDX</t>
        </is>
      </c>
      <c r="D92" s="6" t="n">
        <v>2022</v>
      </c>
      <c r="E92" s="6" t="inlineStr">
        <is>
          <t>WAPO_2022_AR.pdf</t>
        </is>
      </c>
      <c r="F92" s="6" t="inlineStr">
        <is>
          <t>Surabaya, Indonesia</t>
        </is>
      </c>
      <c r="G92" s="6" t="inlineStr">
        <is>
          <t>Indonesia</t>
        </is>
      </c>
      <c r="H92" s="6" t="inlineStr">
        <is>
          <t>Java/Surabaya (HQ); candy factory in Bogor West Java; cashew processing formerly in Mataram NTB</t>
        </is>
      </c>
      <c r="I92" s="6" t="inlineStr">
        <is>
          <t>Small trading-industrial company. No disclosed subsidiaries in AR. Controlling shareholders are PT Hijau Sari (36.07%) and PT Mitra Niaga Sakti (32.44%). Originally PT Golden Phoenix (1993) -&gt; PT Wahana Yuda Mandiri (1996) -&gt; PT Wahana Phonix Mandiri (2000) -&gt; PT Wahana Pronatural Tbk (2012).</t>
        </is>
      </c>
      <c r="J92" s="6" t="inlineStr">
        <is>
          <t>None disclosed in the AR (standalone financial statements; no consolidation). Historically divested subsidiary PT Phonix Mas Persada in 2011.</t>
        </is>
      </c>
      <c r="K92" s="6" t="inlineStr">
        <is>
          <t>PT Hijau Sari 36.07% (447,562,500 shares), PT Mitra Niaga Sakti 32.44% (402,562,500), PT Surya Pelangi Mandiri 8.06% (100,000,000), PT Pesona Bangun Mandiri 4.43% (55,000,000), Public &lt;5% 19.00% (235,798,111). Total 1,240,923,111 shares.</t>
        </is>
      </c>
      <c r="L92" s="6" t="inlineStr">
        <is>
          <t>Listed (IDX: WAPO); IPO 22 June 2001.</t>
        </is>
      </c>
      <c r="M92" s="6" t="inlineStr">
        <is>
          <t>Trading and industrial company for agricultural and marine commodities (coffee beans, dried seaweed) and non-alcoholic beverages (Sunkist Water C flavoured drink, AirAlam bottled drinking water). NOT a palm oil producer.</t>
        </is>
      </c>
      <c r="N92" s="6" t="n"/>
      <c r="O92" s="6" t="n"/>
      <c r="P92" s="6" t="n"/>
      <c r="Q92" s="6" t="inlineStr">
        <is>
          <t>NOT A PALM OIL COMPANY. WAPO is a small trading house (9 employees as of 2024) dealing in coffee beans, dried seaweed, and bottled beverages. No palm plantations, no CPO mills, no FFB, no hectares of oil palm. Company has been loss-making (2020-2022 all showed comprehensive losses). Stand-alone statements only; candy factory in Bogor leased to third party. Cashew factory history in Mataram NTB. Only passing mention of 'perkebunan' in generic national-economy narrative (Vision/Mission). This ticker should likely be EXCLUDED from the Indonesian palm long-list.</t>
        </is>
      </c>
      <c r="R92" s="6" t="inlineStr">
        <is>
          <t>PT Wahana Pronatural Tbk (Surabaya) is a micro-cap trading and light-manufacturing company focused on coffee beans, dried seaweed (Eucheuma cottoni), flavoured drinks (Sunkist Water C) and mineral water (AirAlam). 2022 revenue Rp 330.0 bn (~Rp 0.33 trillion) with gross profit Rp 2.76 bn and comprehensive loss of Rp 4.05 bn. Total assets Rp 97.5 bn. No palm-oil activities whatsoever were identified in the 2022 Annual Report &amp; Sustainability Report. Ticker should be flagged as non-palm and removed from the palm-oil universe.</t>
        </is>
      </c>
      <c r="S92" s="44" t="inlineStr">
        <is>
          <t>Other</t>
        </is>
      </c>
    </row>
    <row r="93" ht="15" customHeight="1" s="67">
      <c r="A93" s="6" t="inlineStr">
        <is>
          <t>PT Wahana Pronatural Tbk</t>
        </is>
      </c>
      <c r="B93" s="6" t="inlineStr">
        <is>
          <t>WAPO</t>
        </is>
      </c>
      <c r="C93" s="6" t="inlineStr">
        <is>
          <t>IDX</t>
        </is>
      </c>
      <c r="D93" s="6" t="n">
        <v>2023</v>
      </c>
      <c r="E93" s="6" t="inlineStr">
        <is>
          <t>WAPO_2023_AR.pdf</t>
        </is>
      </c>
      <c r="F93" s="6" t="inlineStr">
        <is>
          <t>Surabaya, Indonesia</t>
        </is>
      </c>
      <c r="G93" s="6" t="inlineStr">
        <is>
          <t>Indonesia</t>
        </is>
      </c>
      <c r="H93" s="6" t="inlineStr">
        <is>
          <t>Java/Surabaya (HQ); candy factory in Bogor West Java (leased out)</t>
        </is>
      </c>
      <c r="I93" s="6" t="inlineStr">
        <is>
          <t>Small trading-industrial company. No disclosed subsidiaries; standalone (non-consolidated) financials. Controlling shareholders PT Hijau Sari (36.07%) and PT Mitra Niaga Sakti (32.44%).</t>
        </is>
      </c>
      <c r="J93" s="6" t="inlineStr">
        <is>
          <t>None disclosed in the AR (standalone financials).</t>
        </is>
      </c>
      <c r="K93" s="6" t="inlineStr">
        <is>
          <t>PT Hijau Sari 36.07%, PT Mitra Niaga Sakti 32.44%, PT Surya Pelangi Mandiri 8.06%, PT Pesona Bangun Mandiri 4.43%, Public &lt;5% 19.00%. Total 1,240,923,111 shares.</t>
        </is>
      </c>
      <c r="L93" s="6" t="inlineStr">
        <is>
          <t>Listed (IDX: WAPO); IPO 22 June 2001.</t>
        </is>
      </c>
      <c r="M93" s="6" t="inlineStr">
        <is>
          <t>Trading and industrial company for agricultural and marine commodities (coffee beans, dried seaweed) and non-alcoholic beverages (Sunkist Water C flavoured drink, AirAlam bottled drinking water). NOT a palm oil producer.</t>
        </is>
      </c>
      <c r="N93" s="6" t="n"/>
      <c r="O93" s="6" t="n"/>
      <c r="P93" s="6" t="n"/>
      <c r="Q93" s="6" t="inlineStr">
        <is>
          <t>NOT A PALM OIL COMPANY. WAPO deals in coffee beans, dried seaweed and bottled beverages. No oil-palm plantations, no CPO mills, no FFB, no hectares of oil palm. 2023 was a near-break-even year after 3 straight years of losses. Ticker should likely be EXCLUDED from the Indonesian palm long-list.</t>
        </is>
      </c>
      <c r="R93" s="6" t="inlineStr">
        <is>
          <t>PT Wahana Pronatural Tbk recorded 2023 net sales of Rp 420.95 bn (+27.6% YoY) with gross profit of Rp 11.90 bn and a small comprehensive income of Rp 0.24 bn (recovery from Rp -4.05 bn loss in 2022). Total assets jumped to Rp 131.9 bn on higher third-party receivables (Rp 61.1 bn) tied to coffee-bean trading; matched by trade payables of Rp 59.3 bn. Core business remains coffee beans trading, dried seaweed, Sunkist Water C, and AirAlam bottled water - no palm-oil activities.</t>
        </is>
      </c>
      <c r="S93" s="44" t="inlineStr">
        <is>
          <t>Other</t>
        </is>
      </c>
    </row>
    <row r="94" ht="15" customHeight="1" s="67">
      <c r="A94" s="6" t="inlineStr">
        <is>
          <t>PT Wahana Pronatural Tbk</t>
        </is>
      </c>
      <c r="B94" s="6" t="inlineStr">
        <is>
          <t>WAPO</t>
        </is>
      </c>
      <c r="C94" s="6" t="inlineStr">
        <is>
          <t>IDX</t>
        </is>
      </c>
      <c r="D94" s="6" t="n">
        <v>2024</v>
      </c>
      <c r="E94" s="6" t="inlineStr">
        <is>
          <t>WAPO_2024_AR.pdf</t>
        </is>
      </c>
      <c r="F94" s="6" t="inlineStr">
        <is>
          <t>Surabaya, Indonesia</t>
        </is>
      </c>
      <c r="G94" s="6" t="inlineStr">
        <is>
          <t>Indonesia</t>
        </is>
      </c>
      <c r="H94" s="6" t="inlineStr">
        <is>
          <t>Java/Surabaya (HQ); candy factory in Bogor West Java (leased out); coffee-bean trading operations national</t>
        </is>
      </c>
      <c r="I94" s="6" t="inlineStr">
        <is>
          <t>Small trading-industrial company. No disclosed subsidiaries; standalone (non-consolidated) financials. Controlling shareholders PT Hijau Sari (36.07%) and PT Mitra Niaga Sakti (32.44%).</t>
        </is>
      </c>
      <c r="J94" s="6" t="inlineStr">
        <is>
          <t>None disclosed in the AR (standalone financial statements).</t>
        </is>
      </c>
      <c r="K94" s="6" t="inlineStr">
        <is>
          <t>PT Hijau Sari 36.07%, PT Mitra Niaga Sakti 32.44%, PT Surya Pelangi Mandiri 8.06%, PT Pesona Bangun Mandiri 4.43%, Public &lt;5% 19.00%. Total 1,240,923,111 shares.</t>
        </is>
      </c>
      <c r="L94" s="6" t="inlineStr">
        <is>
          <t>Listed (IDX: WAPO); IPO 22 June 2001.</t>
        </is>
      </c>
      <c r="M94" s="6" t="inlineStr">
        <is>
          <t>Trading company - coffee beans (green beans) as 97% of 2024 revenue, with minor contributions from AirAlam bottled water (1.1%), Sunkist Water C vitamin drink (1%), and dried seaweed (0.4%). NOT a palm oil producer.</t>
        </is>
      </c>
      <c r="N94" s="6" t="n"/>
      <c r="O94" s="6" t="n"/>
      <c r="P94" s="6" t="n"/>
      <c r="Q94" s="6" t="inlineStr">
        <is>
          <t>NOT A PALM OIL COMPANY. WAPO is a coffee-bean (green bean) trading house with minor beverage/seaweed activity. No oil-palm plantations, CPO mills, FFB production or any palm processing. Revenue surged 404% YoY in 2024 driven by coffee-bean trade volumes (30,000 t), but margins remain razor-thin (gross margin 1.2%, operating margin 0.02%). Only 9 employees. Ticker should likely be EXCLUDED from the Indonesian palm long-list - clearly does not belong in palm oil peer set.</t>
        </is>
      </c>
      <c r="R94" s="6" t="inlineStr">
        <is>
          <t>PT Wahana Pronatural Tbk posted 2024 net sales of Rp 2,122.33 bn (+404% YoY), almost entirely driven by green-bean coffee trading (30,000 t at inflated global prices; 97% of revenue). Gross profit Rp 24.65 bn, operating profit Rp 0.52 bn (vs Rp -0.36 bn loss in 2023), and net profit Rp 0.72 bn (comprehensive Rp 0.78 bn). Total assets fell to Rp 86.59 bn from Rp 131.94 bn as trade receivables collapsed from Rp 61.1 bn to Rp 4.7 bn. No palm-oil operations anywhere. Company has a negligible employee count (9) and trades commodities rather than producing them.</t>
        </is>
      </c>
      <c r="S94" s="44" t="inlineStr">
        <is>
          <t>Other</t>
        </is>
      </c>
    </row>
    <row r="95" ht="15" customHeight="1" s="67">
      <c r="A95" s="6" t="n"/>
      <c r="B95" s="6" t="n"/>
      <c r="C95" s="6" t="n"/>
      <c r="D95" s="6" t="n"/>
      <c r="E95" s="6" t="n"/>
      <c r="F95" s="6" t="n"/>
      <c r="G95" s="6" t="n"/>
      <c r="H95" s="6" t="n"/>
      <c r="I95" s="6" t="n"/>
      <c r="J95" s="6" t="n"/>
      <c r="K95" s="6" t="n"/>
      <c r="L95" s="6" t="n"/>
      <c r="M95" s="6" t="n"/>
      <c r="N95" s="6" t="n"/>
      <c r="O95" s="6" t="n"/>
      <c r="P95" s="6" t="n"/>
      <c r="Q95" s="6" t="n"/>
      <c r="R95" s="6" t="n"/>
      <c r="S95" s="44" t="n"/>
    </row>
    <row r="96" ht="15" customHeight="1" s="67">
      <c r="A96" s="6" t="n"/>
      <c r="B96" s="6" t="n"/>
      <c r="C96" s="6" t="n"/>
      <c r="D96" s="6" t="n"/>
      <c r="E96" s="6" t="n"/>
      <c r="F96" s="6" t="n"/>
      <c r="G96" s="6" t="n"/>
      <c r="H96" s="6" t="n"/>
      <c r="I96" s="6" t="n"/>
      <c r="J96" s="6" t="n"/>
      <c r="K96" s="6" t="n"/>
      <c r="L96" s="6" t="n"/>
      <c r="M96" s="6" t="n"/>
      <c r="N96" s="6" t="n"/>
      <c r="O96" s="6" t="n"/>
      <c r="P96" s="6" t="n"/>
      <c r="Q96" s="6" t="n"/>
      <c r="R96" s="6" t="n"/>
      <c r="S96" s="44" t="n"/>
    </row>
    <row r="97" ht="15" customHeight="1" s="67">
      <c r="A97" s="6" t="n"/>
      <c r="B97" s="6" t="n"/>
      <c r="C97" s="6" t="n"/>
      <c r="D97" s="6" t="n"/>
      <c r="E97" s="6" t="n"/>
      <c r="F97" s="6" t="n"/>
      <c r="G97" s="6" t="n"/>
      <c r="H97" s="6" t="n"/>
      <c r="I97" s="6" t="n"/>
      <c r="J97" s="6" t="n"/>
      <c r="K97" s="6" t="n"/>
      <c r="L97" s="6" t="n"/>
      <c r="M97" s="6" t="n"/>
      <c r="N97" s="6" t="n"/>
      <c r="O97" s="6" t="n"/>
      <c r="P97" s="6" t="n"/>
      <c r="Q97" s="6" t="n"/>
      <c r="R97" s="6" t="n"/>
      <c r="S97" s="44" t="n"/>
    </row>
    <row r="98" ht="15" customHeight="1" s="67">
      <c r="A98" s="6" t="n"/>
      <c r="B98" s="6" t="n"/>
      <c r="C98" s="6" t="n"/>
      <c r="D98" s="6" t="n"/>
      <c r="E98" s="6" t="n"/>
      <c r="F98" s="6" t="n"/>
      <c r="G98" s="6" t="n"/>
      <c r="H98" s="6" t="n"/>
      <c r="I98" s="6" t="n"/>
      <c r="J98" s="6" t="n"/>
      <c r="K98" s="6" t="n"/>
      <c r="L98" s="6" t="n"/>
      <c r="M98" s="6" t="n"/>
      <c r="N98" s="6" t="n"/>
      <c r="O98" s="6" t="n"/>
      <c r="P98" s="6" t="n"/>
      <c r="Q98" s="6" t="n"/>
      <c r="R98" s="6" t="n"/>
      <c r="S98" s="44" t="n"/>
    </row>
    <row r="99" ht="15" customHeight="1" s="67">
      <c r="A99" s="6" t="n"/>
      <c r="B99" s="6" t="n"/>
      <c r="C99" s="6" t="n"/>
      <c r="D99" s="6" t="n"/>
      <c r="E99" s="6" t="n"/>
      <c r="F99" s="6" t="n"/>
      <c r="G99" s="6" t="n"/>
      <c r="H99" s="6" t="n"/>
      <c r="I99" s="6" t="n"/>
      <c r="J99" s="6" t="n"/>
      <c r="K99" s="6" t="n"/>
      <c r="L99" s="6" t="n"/>
      <c r="M99" s="6" t="n"/>
      <c r="N99" s="6" t="n"/>
      <c r="O99" s="6" t="n"/>
      <c r="P99" s="6" t="n"/>
      <c r="Q99" s="6" t="n"/>
      <c r="R99" s="6" t="n"/>
      <c r="S99" s="44" t="n"/>
    </row>
    <row r="100" ht="15" customHeight="1" s="67">
      <c r="A100" s="6" t="n"/>
      <c r="B100" s="6" t="n"/>
      <c r="C100" s="6" t="n"/>
      <c r="D100" s="6" t="n"/>
      <c r="E100" s="6" t="n"/>
      <c r="F100" s="6" t="n"/>
      <c r="G100" s="6" t="n"/>
      <c r="H100" s="6" t="n"/>
      <c r="I100" s="6" t="n"/>
      <c r="J100" s="6" t="n"/>
      <c r="K100" s="6" t="n"/>
      <c r="L100" s="6" t="n"/>
      <c r="M100" s="6" t="n"/>
      <c r="N100" s="6" t="n"/>
      <c r="O100" s="6" t="n"/>
      <c r="P100" s="6" t="n"/>
      <c r="Q100" s="6" t="n"/>
      <c r="R100" s="6" t="n"/>
      <c r="S100" s="44" t="n"/>
    </row>
    <row r="101" ht="15" customHeight="1" s="67">
      <c r="A101" s="6" t="n"/>
      <c r="B101" s="6" t="n"/>
      <c r="C101" s="6" t="n"/>
      <c r="D101" s="6" t="n"/>
      <c r="E101" s="6" t="n"/>
      <c r="F101" s="6" t="n"/>
      <c r="G101" s="6" t="n"/>
      <c r="H101" s="6" t="n"/>
      <c r="I101" s="6" t="n"/>
      <c r="J101" s="6" t="n"/>
      <c r="K101" s="6" t="n"/>
      <c r="L101" s="6" t="n"/>
      <c r="M101" s="6" t="n"/>
      <c r="N101" s="6" t="n"/>
      <c r="O101" s="6" t="n"/>
      <c r="P101" s="6" t="n"/>
      <c r="Q101" s="6" t="n"/>
      <c r="R101" s="6" t="n"/>
      <c r="S101" s="44" t="n"/>
    </row>
    <row r="102" ht="15" customHeight="1" s="67">
      <c r="A102" s="6" t="n"/>
      <c r="B102" s="6" t="n"/>
      <c r="C102" s="6" t="n"/>
      <c r="D102" s="6" t="n"/>
      <c r="E102" s="6" t="n"/>
      <c r="F102" s="6" t="n"/>
      <c r="G102" s="6" t="n"/>
      <c r="H102" s="6" t="n"/>
      <c r="I102" s="6" t="n"/>
      <c r="J102" s="6" t="n"/>
      <c r="K102" s="6" t="n"/>
      <c r="L102" s="6" t="n"/>
      <c r="M102" s="6" t="n"/>
      <c r="N102" s="6" t="n"/>
      <c r="O102" s="6" t="n"/>
      <c r="P102" s="6" t="n"/>
      <c r="Q102" s="6" t="n"/>
      <c r="R102" s="6" t="n"/>
      <c r="S102" s="44" t="n"/>
    </row>
    <row r="103" ht="15" customHeight="1" s="67">
      <c r="A103" s="6" t="n"/>
      <c r="B103" s="6" t="n"/>
      <c r="C103" s="6" t="n"/>
      <c r="D103" s="6" t="n"/>
      <c r="E103" s="6" t="n"/>
      <c r="F103" s="6" t="n"/>
      <c r="G103" s="6" t="n"/>
      <c r="H103" s="6" t="n"/>
      <c r="I103" s="6" t="n"/>
      <c r="J103" s="6" t="n"/>
      <c r="K103" s="6" t="n"/>
      <c r="L103" s="6" t="n"/>
      <c r="M103" s="6" t="n"/>
      <c r="N103" s="6" t="n"/>
      <c r="O103" s="6" t="n"/>
      <c r="P103" s="6" t="n"/>
      <c r="Q103" s="6" t="n"/>
      <c r="R103" s="6" t="n"/>
      <c r="S103" s="44" t="n"/>
    </row>
    <row r="104" ht="15" customHeight="1" s="67">
      <c r="A104" s="6" t="n"/>
      <c r="B104" s="6" t="n"/>
      <c r="C104" s="6" t="n"/>
      <c r="D104" s="6" t="n"/>
      <c r="E104" s="6" t="n"/>
      <c r="F104" s="6" t="n"/>
      <c r="G104" s="6" t="n"/>
      <c r="H104" s="6" t="n"/>
      <c r="I104" s="6" t="n"/>
      <c r="J104" s="6" t="n"/>
      <c r="K104" s="6" t="n"/>
      <c r="L104" s="6" t="n"/>
      <c r="M104" s="6" t="n"/>
      <c r="N104" s="6" t="n"/>
      <c r="O104" s="6" t="n"/>
      <c r="P104" s="6" t="n"/>
      <c r="Q104" s="6" t="n"/>
      <c r="R104" s="6" t="n"/>
      <c r="S104" s="44" t="n"/>
    </row>
    <row r="105" ht="15" customHeight="1" s="67">
      <c r="A105" s="6" t="n"/>
      <c r="B105" s="6" t="n"/>
      <c r="C105" s="6" t="n"/>
      <c r="D105" s="6" t="n"/>
      <c r="E105" s="6" t="n"/>
      <c r="F105" s="6" t="n"/>
      <c r="G105" s="6" t="n"/>
      <c r="H105" s="6" t="n"/>
      <c r="I105" s="6" t="n"/>
      <c r="J105" s="6" t="n"/>
      <c r="K105" s="6" t="n"/>
      <c r="L105" s="6" t="n"/>
      <c r="M105" s="6" t="n"/>
      <c r="N105" s="6" t="n"/>
      <c r="O105" s="6" t="n"/>
      <c r="P105" s="6" t="n"/>
      <c r="Q105" s="6" t="n"/>
      <c r="R105" s="6" t="n"/>
      <c r="S105" s="44" t="n"/>
    </row>
    <row r="106" ht="15" customHeight="1" s="67">
      <c r="A106" s="6" t="n"/>
      <c r="B106" s="6" t="n"/>
      <c r="C106" s="6" t="n"/>
      <c r="D106" s="6" t="n"/>
      <c r="E106" s="6" t="n"/>
      <c r="F106" s="6" t="n"/>
      <c r="G106" s="6" t="n"/>
      <c r="H106" s="6" t="n"/>
      <c r="I106" s="6" t="n"/>
      <c r="J106" s="6" t="n"/>
      <c r="K106" s="6" t="n"/>
      <c r="L106" s="6" t="n"/>
      <c r="M106" s="6" t="n"/>
      <c r="N106" s="6" t="n"/>
      <c r="O106" s="6" t="n"/>
      <c r="P106" s="6" t="n"/>
      <c r="Q106" s="6" t="n"/>
      <c r="R106" s="6" t="n"/>
      <c r="S106" s="44" t="n"/>
    </row>
    <row r="107" ht="15" customHeight="1" s="67">
      <c r="A107" s="6" t="n"/>
      <c r="B107" s="6" t="n"/>
      <c r="C107" s="6" t="n"/>
      <c r="D107" s="6" t="n"/>
      <c r="E107" s="6" t="n"/>
      <c r="F107" s="6" t="n"/>
      <c r="G107" s="6" t="n"/>
      <c r="H107" s="6" t="n"/>
      <c r="I107" s="6" t="n"/>
      <c r="J107" s="6" t="n"/>
      <c r="K107" s="6" t="n"/>
      <c r="L107" s="6" t="n"/>
      <c r="M107" s="6" t="n"/>
      <c r="N107" s="6" t="n"/>
      <c r="O107" s="6" t="n"/>
      <c r="P107" s="6" t="n"/>
      <c r="Q107" s="6" t="n"/>
      <c r="R107" s="6" t="n"/>
      <c r="S107" s="44" t="n"/>
    </row>
    <row r="108" ht="15" customHeight="1" s="67">
      <c r="A108" s="6" t="n"/>
      <c r="B108" s="6" t="n"/>
      <c r="C108" s="6" t="n"/>
      <c r="D108" s="6" t="n"/>
      <c r="E108" s="6" t="n"/>
      <c r="F108" s="6" t="n"/>
      <c r="G108" s="6" t="n"/>
      <c r="H108" s="6" t="n"/>
      <c r="I108" s="6" t="n"/>
      <c r="J108" s="6" t="n"/>
      <c r="K108" s="6" t="n"/>
      <c r="L108" s="6" t="n"/>
      <c r="M108" s="6" t="n"/>
      <c r="N108" s="6" t="n"/>
      <c r="O108" s="6" t="n"/>
      <c r="P108" s="6" t="n"/>
      <c r="Q108" s="6" t="n"/>
      <c r="R108" s="6" t="n"/>
      <c r="S108" s="44" t="n"/>
    </row>
    <row r="109" ht="15" customHeight="1" s="67">
      <c r="A109" s="6" t="n"/>
      <c r="B109" s="6" t="n"/>
      <c r="C109" s="6" t="n"/>
      <c r="D109" s="6" t="n"/>
      <c r="E109" s="6" t="n"/>
      <c r="F109" s="6" t="n"/>
      <c r="G109" s="6" t="n"/>
      <c r="H109" s="6" t="n"/>
      <c r="I109" s="6" t="n"/>
      <c r="J109" s="6" t="n"/>
      <c r="K109" s="6" t="n"/>
      <c r="L109" s="6" t="n"/>
      <c r="M109" s="6" t="n"/>
      <c r="N109" s="6" t="n"/>
      <c r="O109" s="6" t="n"/>
      <c r="P109" s="6" t="n"/>
      <c r="Q109" s="6" t="n"/>
      <c r="R109" s="6" t="n"/>
      <c r="S109" s="44" t="n"/>
    </row>
    <row r="110" ht="15" customHeight="1" s="67">
      <c r="A110" s="6" t="n"/>
      <c r="B110" s="6" t="n"/>
      <c r="C110" s="6" t="n"/>
      <c r="D110" s="6" t="n"/>
      <c r="E110" s="6" t="n"/>
      <c r="F110" s="6" t="n"/>
      <c r="G110" s="6" t="n"/>
      <c r="H110" s="6" t="n"/>
      <c r="I110" s="6" t="n"/>
      <c r="J110" s="6" t="n"/>
      <c r="K110" s="6" t="n"/>
      <c r="L110" s="6" t="n"/>
      <c r="M110" s="6" t="n"/>
      <c r="N110" s="6" t="n"/>
      <c r="O110" s="6" t="n"/>
      <c r="P110" s="6" t="n"/>
      <c r="Q110" s="6" t="n"/>
      <c r="R110" s="6" t="n"/>
      <c r="S110" s="44" t="n"/>
    </row>
    <row r="111" ht="15" customHeight="1" s="67">
      <c r="A111" s="6" t="n"/>
      <c r="B111" s="6" t="n"/>
      <c r="C111" s="6" t="n"/>
      <c r="D111" s="6" t="n"/>
      <c r="E111" s="6" t="n"/>
      <c r="F111" s="6" t="n"/>
      <c r="G111" s="6" t="n"/>
      <c r="H111" s="6" t="n"/>
      <c r="I111" s="6" t="n"/>
      <c r="J111" s="6" t="n"/>
      <c r="K111" s="6" t="n"/>
      <c r="L111" s="6" t="n"/>
      <c r="M111" s="6" t="n"/>
      <c r="N111" s="6" t="n"/>
      <c r="O111" s="6" t="n"/>
      <c r="P111" s="6" t="n"/>
      <c r="Q111" s="6" t="n"/>
      <c r="R111" s="6" t="n"/>
      <c r="S111" s="44" t="n"/>
    </row>
    <row r="112" ht="15" customHeight="1" s="67">
      <c r="A112" s="6" t="n"/>
      <c r="B112" s="6" t="n"/>
      <c r="C112" s="6" t="n"/>
      <c r="D112" s="6" t="n"/>
      <c r="E112" s="6" t="n"/>
      <c r="F112" s="6" t="n"/>
      <c r="G112" s="6" t="n"/>
      <c r="H112" s="6" t="n"/>
      <c r="I112" s="6" t="n"/>
      <c r="J112" s="6" t="n"/>
      <c r="K112" s="6" t="n"/>
      <c r="L112" s="6" t="n"/>
      <c r="M112" s="6" t="n"/>
      <c r="N112" s="6" t="n"/>
      <c r="O112" s="6" t="n"/>
      <c r="P112" s="6" t="n"/>
      <c r="Q112" s="6" t="n"/>
      <c r="R112" s="6" t="n"/>
      <c r="S112" s="44" t="n"/>
    </row>
    <row r="113" ht="15" customHeight="1" s="67">
      <c r="A113" s="6" t="n"/>
      <c r="B113" s="6" t="n"/>
      <c r="C113" s="6" t="n"/>
      <c r="D113" s="6" t="n"/>
      <c r="E113" s="6" t="n"/>
      <c r="F113" s="6" t="n"/>
      <c r="G113" s="6" t="n"/>
      <c r="H113" s="6" t="n"/>
      <c r="I113" s="6" t="n"/>
      <c r="J113" s="6" t="n"/>
      <c r="K113" s="6" t="n"/>
      <c r="L113" s="6" t="n"/>
      <c r="M113" s="6" t="n"/>
      <c r="N113" s="6" t="n"/>
      <c r="O113" s="6" t="n"/>
      <c r="P113" s="6" t="n"/>
      <c r="Q113" s="6" t="n"/>
      <c r="R113" s="6" t="n"/>
      <c r="S113" s="44" t="n"/>
    </row>
    <row r="114" ht="15" customHeight="1" s="67">
      <c r="A114" s="6" t="n"/>
      <c r="B114" s="6" t="n"/>
      <c r="C114" s="6" t="n"/>
      <c r="D114" s="6" t="n"/>
      <c r="E114" s="6" t="n"/>
      <c r="F114" s="6" t="n"/>
      <c r="G114" s="6" t="n"/>
      <c r="H114" s="6" t="n"/>
      <c r="I114" s="6" t="n"/>
      <c r="J114" s="6" t="n"/>
      <c r="K114" s="6" t="n"/>
      <c r="L114" s="6" t="n"/>
      <c r="M114" s="6" t="n"/>
      <c r="N114" s="6" t="n"/>
      <c r="O114" s="6" t="n"/>
      <c r="P114" s="6" t="n"/>
      <c r="Q114" s="6" t="n"/>
      <c r="R114" s="6" t="n"/>
      <c r="S114" s="44" t="n"/>
    </row>
    <row r="115" ht="15" customHeight="1" s="67">
      <c r="A115" s="6" t="n"/>
      <c r="B115" s="6" t="n"/>
      <c r="C115" s="6" t="n"/>
      <c r="D115" s="6" t="n"/>
      <c r="E115" s="6" t="n"/>
      <c r="F115" s="6" t="n"/>
      <c r="G115" s="6" t="n"/>
      <c r="H115" s="6" t="n"/>
      <c r="I115" s="6" t="n"/>
      <c r="J115" s="6" t="n"/>
      <c r="K115" s="6" t="n"/>
      <c r="L115" s="6" t="n"/>
      <c r="M115" s="6" t="n"/>
      <c r="N115" s="6" t="n"/>
      <c r="O115" s="6" t="n"/>
      <c r="P115" s="6" t="n"/>
      <c r="Q115" s="6" t="n"/>
      <c r="R115" s="6" t="n"/>
      <c r="S115" s="44" t="n"/>
    </row>
    <row r="116" ht="15" customHeight="1" s="67">
      <c r="A116" s="6" t="n"/>
      <c r="B116" s="6" t="n"/>
      <c r="C116" s="6" t="n"/>
      <c r="D116" s="6" t="n"/>
      <c r="E116" s="6" t="n"/>
      <c r="F116" s="6" t="n"/>
      <c r="G116" s="6" t="n"/>
      <c r="H116" s="6" t="n"/>
      <c r="I116" s="6" t="n"/>
      <c r="J116" s="6" t="n"/>
      <c r="K116" s="6" t="n"/>
      <c r="L116" s="6" t="n"/>
      <c r="M116" s="6" t="n"/>
      <c r="N116" s="6" t="n"/>
      <c r="O116" s="6" t="n"/>
      <c r="P116" s="6" t="n"/>
      <c r="Q116" s="6" t="n"/>
      <c r="R116" s="6" t="n"/>
      <c r="S116" s="44" t="n"/>
    </row>
    <row r="117" ht="15" customHeight="1" s="67">
      <c r="A117" s="6" t="n"/>
      <c r="B117" s="6" t="n"/>
      <c r="C117" s="6" t="n"/>
      <c r="D117" s="6" t="n"/>
      <c r="E117" s="6" t="n"/>
      <c r="F117" s="6" t="n"/>
      <c r="G117" s="6" t="n"/>
      <c r="H117" s="6" t="n"/>
      <c r="I117" s="6" t="n"/>
      <c r="J117" s="6" t="n"/>
      <c r="K117" s="6" t="n"/>
      <c r="L117" s="6" t="n"/>
      <c r="M117" s="6" t="n"/>
      <c r="N117" s="6" t="n"/>
      <c r="O117" s="6" t="n"/>
      <c r="P117" s="6" t="n"/>
      <c r="Q117" s="6" t="n"/>
      <c r="R117" s="6" t="n"/>
      <c r="S117" s="44" t="n"/>
    </row>
    <row r="118" ht="15" customHeight="1" s="67">
      <c r="A118" s="6" t="n"/>
      <c r="B118" s="6" t="n"/>
      <c r="C118" s="6" t="n"/>
      <c r="D118" s="6" t="n"/>
      <c r="E118" s="6" t="n"/>
      <c r="F118" s="6" t="n"/>
      <c r="G118" s="6" t="n"/>
      <c r="H118" s="6" t="n"/>
      <c r="I118" s="6" t="n"/>
      <c r="J118" s="6" t="n"/>
      <c r="K118" s="6" t="n"/>
      <c r="L118" s="6" t="n"/>
      <c r="M118" s="6" t="n"/>
      <c r="N118" s="6" t="n"/>
      <c r="O118" s="6" t="n"/>
      <c r="P118" s="6" t="n"/>
      <c r="Q118" s="6" t="n"/>
      <c r="R118" s="6" t="n"/>
      <c r="S118" s="44" t="n"/>
    </row>
    <row r="119" ht="15" customHeight="1" s="67">
      <c r="A119" s="6" t="n"/>
      <c r="B119" s="6" t="n"/>
      <c r="C119" s="6" t="n"/>
      <c r="D119" s="6" t="n"/>
      <c r="E119" s="6" t="n"/>
      <c r="F119" s="6" t="n"/>
      <c r="G119" s="6" t="n"/>
      <c r="H119" s="6" t="n"/>
      <c r="I119" s="6" t="n"/>
      <c r="J119" s="6" t="n"/>
      <c r="K119" s="6" t="n"/>
      <c r="L119" s="6" t="n"/>
      <c r="M119" s="6" t="n"/>
      <c r="N119" s="6" t="n"/>
      <c r="O119" s="6" t="n"/>
      <c r="P119" s="6" t="n"/>
      <c r="Q119" s="6" t="n"/>
      <c r="R119" s="6" t="n"/>
      <c r="S119" s="44" t="n"/>
    </row>
    <row r="120" ht="15" customHeight="1" s="67">
      <c r="A120" s="6" t="n"/>
      <c r="B120" s="6" t="n"/>
      <c r="C120" s="6" t="n"/>
      <c r="D120" s="6" t="n"/>
      <c r="E120" s="6" t="n"/>
      <c r="F120" s="6" t="n"/>
      <c r="G120" s="6" t="n"/>
      <c r="H120" s="6" t="n"/>
      <c r="I120" s="6" t="n"/>
      <c r="J120" s="6" t="n"/>
      <c r="K120" s="6" t="n"/>
      <c r="L120" s="6" t="n"/>
      <c r="M120" s="6" t="n"/>
      <c r="N120" s="6" t="n"/>
      <c r="O120" s="6" t="n"/>
      <c r="P120" s="6" t="n"/>
      <c r="Q120" s="6" t="n"/>
      <c r="R120" s="6" t="n"/>
      <c r="S120" s="44" t="n"/>
    </row>
    <row r="121" ht="15" customHeight="1" s="67">
      <c r="A121" s="6" t="n"/>
      <c r="B121" s="6" t="n"/>
      <c r="C121" s="6" t="n"/>
      <c r="D121" s="6" t="n"/>
      <c r="E121" s="6" t="n"/>
      <c r="F121" s="6" t="n"/>
      <c r="G121" s="6" t="n"/>
      <c r="H121" s="6" t="n"/>
      <c r="I121" s="6" t="n"/>
      <c r="J121" s="6" t="n"/>
      <c r="K121" s="6" t="n"/>
      <c r="L121" s="6" t="n"/>
      <c r="M121" s="6" t="n"/>
      <c r="N121" s="6" t="n"/>
      <c r="O121" s="6" t="n"/>
      <c r="P121" s="6" t="n"/>
      <c r="Q121" s="6" t="n"/>
      <c r="R121" s="6" t="n"/>
      <c r="S121" s="44" t="n"/>
    </row>
    <row r="122" ht="15" customHeight="1" s="67">
      <c r="A122" s="6" t="n"/>
      <c r="B122" s="6" t="n"/>
      <c r="C122" s="6" t="n"/>
      <c r="D122" s="6" t="n"/>
      <c r="E122" s="6" t="n"/>
      <c r="F122" s="6" t="n"/>
      <c r="G122" s="6" t="n"/>
      <c r="H122" s="6" t="n"/>
      <c r="I122" s="6" t="n"/>
      <c r="J122" s="6" t="n"/>
      <c r="K122" s="6" t="n"/>
      <c r="L122" s="6" t="n"/>
      <c r="M122" s="6" t="n"/>
      <c r="N122" s="6" t="n"/>
      <c r="O122" s="6" t="n"/>
      <c r="P122" s="6" t="n"/>
      <c r="Q122" s="6" t="n"/>
      <c r="R122" s="6" t="n"/>
      <c r="S122" s="44" t="n"/>
    </row>
    <row r="123" ht="15" customHeight="1" s="67">
      <c r="A123" s="6" t="n"/>
      <c r="B123" s="6" t="n"/>
      <c r="C123" s="6" t="n"/>
      <c r="D123" s="6" t="n"/>
      <c r="E123" s="6" t="n"/>
      <c r="F123" s="6" t="n"/>
      <c r="G123" s="6" t="n"/>
      <c r="H123" s="6" t="n"/>
      <c r="I123" s="6" t="n"/>
      <c r="J123" s="6" t="n"/>
      <c r="K123" s="6" t="n"/>
      <c r="L123" s="6" t="n"/>
      <c r="M123" s="6" t="n"/>
      <c r="N123" s="6" t="n"/>
      <c r="O123" s="6" t="n"/>
      <c r="P123" s="6" t="n"/>
      <c r="Q123" s="6" t="n"/>
      <c r="R123" s="6" t="n"/>
      <c r="S123" s="44" t="n"/>
    </row>
    <row r="124" ht="15" customHeight="1" s="67">
      <c r="A124" s="6" t="n"/>
      <c r="B124" s="6" t="n"/>
      <c r="C124" s="6" t="n"/>
      <c r="D124" s="6" t="n"/>
      <c r="E124" s="6" t="n"/>
      <c r="F124" s="6" t="n"/>
      <c r="G124" s="6" t="n"/>
      <c r="H124" s="6" t="n"/>
      <c r="I124" s="6" t="n"/>
      <c r="J124" s="6" t="n"/>
      <c r="K124" s="6" t="n"/>
      <c r="L124" s="6" t="n"/>
      <c r="M124" s="6" t="n"/>
      <c r="N124" s="6" t="n"/>
      <c r="O124" s="6" t="n"/>
      <c r="P124" s="6" t="n"/>
      <c r="Q124" s="6" t="n"/>
      <c r="R124" s="6" t="n"/>
      <c r="S124" s="44" t="n"/>
    </row>
    <row r="125" ht="15" customHeight="1" s="67">
      <c r="A125" s="6" t="n"/>
      <c r="B125" s="6" t="n"/>
      <c r="C125" s="6" t="n"/>
      <c r="D125" s="6" t="n"/>
      <c r="E125" s="6" t="n"/>
      <c r="F125" s="6" t="n"/>
      <c r="G125" s="6" t="n"/>
      <c r="H125" s="6" t="n"/>
      <c r="I125" s="6" t="n"/>
      <c r="J125" s="6" t="n"/>
      <c r="K125" s="6" t="n"/>
      <c r="L125" s="6" t="n"/>
      <c r="M125" s="6" t="n"/>
      <c r="N125" s="6" t="n"/>
      <c r="O125" s="6" t="n"/>
      <c r="P125" s="6" t="n"/>
      <c r="Q125" s="6" t="n"/>
      <c r="R125" s="6" t="n"/>
      <c r="S125" s="44" t="n"/>
    </row>
    <row r="126" ht="15" customHeight="1" s="67">
      <c r="A126" s="6" t="n"/>
      <c r="B126" s="6" t="n"/>
      <c r="C126" s="6" t="n"/>
      <c r="D126" s="6" t="n"/>
      <c r="E126" s="6" t="n"/>
      <c r="F126" s="6" t="n"/>
      <c r="G126" s="6" t="n"/>
      <c r="H126" s="6" t="n"/>
      <c r="I126" s="6" t="n"/>
      <c r="J126" s="6" t="n"/>
      <c r="K126" s="6" t="n"/>
      <c r="L126" s="6" t="n"/>
      <c r="M126" s="6" t="n"/>
      <c r="N126" s="6" t="n"/>
      <c r="O126" s="6" t="n"/>
      <c r="P126" s="6" t="n"/>
      <c r="Q126" s="6" t="n"/>
      <c r="R126" s="6" t="n"/>
      <c r="S126" s="44" t="n"/>
    </row>
    <row r="127" ht="15" customHeight="1" s="67">
      <c r="A127" s="6" t="n"/>
      <c r="B127" s="6" t="n"/>
      <c r="C127" s="6" t="n"/>
      <c r="D127" s="6" t="n"/>
      <c r="E127" s="6" t="n"/>
      <c r="F127" s="6" t="n"/>
      <c r="G127" s="6" t="n"/>
      <c r="H127" s="6" t="n"/>
      <c r="I127" s="6" t="n"/>
      <c r="J127" s="6" t="n"/>
      <c r="K127" s="6" t="n"/>
      <c r="L127" s="6" t="n"/>
      <c r="M127" s="6" t="n"/>
      <c r="N127" s="6" t="n"/>
      <c r="O127" s="6" t="n"/>
      <c r="P127" s="6" t="n"/>
      <c r="Q127" s="6" t="n"/>
      <c r="R127" s="6" t="n"/>
      <c r="S127" s="44" t="n"/>
    </row>
    <row r="128" ht="15" customHeight="1" s="67">
      <c r="A128" s="6" t="n"/>
      <c r="B128" s="6" t="n"/>
      <c r="C128" s="6" t="n"/>
      <c r="D128" s="6" t="n"/>
      <c r="E128" s="6" t="n"/>
      <c r="F128" s="6" t="n"/>
      <c r="G128" s="6" t="n"/>
      <c r="H128" s="6" t="n"/>
      <c r="I128" s="6" t="n"/>
      <c r="J128" s="6" t="n"/>
      <c r="K128" s="6" t="n"/>
      <c r="L128" s="6" t="n"/>
      <c r="M128" s="6" t="n"/>
      <c r="N128" s="6" t="n"/>
      <c r="O128" s="6" t="n"/>
      <c r="P128" s="6" t="n"/>
      <c r="Q128" s="6" t="n"/>
      <c r="R128" s="6" t="n"/>
      <c r="S128" s="44" t="n"/>
    </row>
    <row r="129" ht="15" customHeight="1" s="67">
      <c r="A129" s="6" t="n"/>
      <c r="B129" s="6" t="n"/>
      <c r="C129" s="6" t="n"/>
      <c r="D129" s="6" t="n"/>
      <c r="E129" s="6" t="n"/>
      <c r="F129" s="6" t="n"/>
      <c r="G129" s="6" t="n"/>
      <c r="H129" s="6" t="n"/>
      <c r="I129" s="6" t="n"/>
      <c r="J129" s="6" t="n"/>
      <c r="K129" s="6" t="n"/>
      <c r="L129" s="6" t="n"/>
      <c r="M129" s="6" t="n"/>
      <c r="N129" s="6" t="n"/>
      <c r="O129" s="6" t="n"/>
      <c r="P129" s="6" t="n"/>
      <c r="Q129" s="6" t="n"/>
      <c r="R129" s="6" t="n"/>
      <c r="S129" s="44" t="n"/>
    </row>
    <row r="130" ht="15" customHeight="1" s="67">
      <c r="A130" s="6" t="n"/>
      <c r="B130" s="6" t="n"/>
      <c r="C130" s="6" t="n"/>
      <c r="D130" s="6" t="n"/>
      <c r="E130" s="6" t="n"/>
      <c r="F130" s="6" t="n"/>
      <c r="G130" s="6" t="n"/>
      <c r="H130" s="6" t="n"/>
      <c r="I130" s="6" t="n"/>
      <c r="J130" s="6" t="n"/>
      <c r="K130" s="6" t="n"/>
      <c r="L130" s="6" t="n"/>
      <c r="M130" s="6" t="n"/>
      <c r="N130" s="6" t="n"/>
      <c r="O130" s="6" t="n"/>
      <c r="P130" s="6" t="n"/>
      <c r="Q130" s="6" t="n"/>
      <c r="R130" s="6" t="n"/>
      <c r="S130" s="44" t="n"/>
    </row>
    <row r="131" ht="15" customHeight="1" s="67">
      <c r="A131" s="6" t="n"/>
      <c r="B131" s="6" t="n"/>
      <c r="C131" s="6" t="n"/>
      <c r="D131" s="6" t="n"/>
      <c r="E131" s="6" t="n"/>
      <c r="F131" s="6" t="n"/>
      <c r="G131" s="6" t="n"/>
      <c r="H131" s="6" t="n"/>
      <c r="I131" s="6" t="n"/>
      <c r="J131" s="6" t="n"/>
      <c r="K131" s="6" t="n"/>
      <c r="L131" s="6" t="n"/>
      <c r="M131" s="6" t="n"/>
      <c r="N131" s="6" t="n"/>
      <c r="O131" s="6" t="n"/>
      <c r="P131" s="6" t="n"/>
      <c r="Q131" s="6" t="n"/>
      <c r="R131" s="6" t="n"/>
      <c r="S131" s="44" t="n"/>
    </row>
    <row r="132" ht="15" customHeight="1" s="67">
      <c r="A132" s="6" t="n"/>
      <c r="B132" s="6" t="n"/>
      <c r="C132" s="6" t="n"/>
      <c r="D132" s="6" t="n"/>
      <c r="E132" s="6" t="n"/>
      <c r="F132" s="6" t="n"/>
      <c r="G132" s="6" t="n"/>
      <c r="H132" s="6" t="n"/>
      <c r="I132" s="6" t="n"/>
      <c r="J132" s="6" t="n"/>
      <c r="K132" s="6" t="n"/>
      <c r="L132" s="6" t="n"/>
      <c r="M132" s="6" t="n"/>
      <c r="N132" s="6" t="n"/>
      <c r="O132" s="6" t="n"/>
      <c r="P132" s="6" t="n"/>
      <c r="Q132" s="6" t="n"/>
      <c r="R132" s="6" t="n"/>
      <c r="S132" s="44" t="n"/>
    </row>
    <row r="133" ht="15" customHeight="1" s="67">
      <c r="A133" s="6" t="n"/>
      <c r="B133" s="6" t="n"/>
      <c r="C133" s="6" t="n"/>
      <c r="D133" s="6" t="n"/>
      <c r="E133" s="6" t="n"/>
      <c r="F133" s="6" t="n"/>
      <c r="G133" s="6" t="n"/>
      <c r="H133" s="6" t="n"/>
      <c r="I133" s="6" t="n"/>
      <c r="J133" s="6" t="n"/>
      <c r="K133" s="6" t="n"/>
      <c r="L133" s="6" t="n"/>
      <c r="M133" s="6" t="n"/>
      <c r="N133" s="6" t="n"/>
      <c r="O133" s="6" t="n"/>
      <c r="P133" s="6" t="n"/>
      <c r="Q133" s="6" t="n"/>
      <c r="R133" s="6" t="n"/>
      <c r="S133" s="44" t="n"/>
    </row>
    <row r="134" ht="15" customHeight="1" s="67">
      <c r="A134" s="6" t="n"/>
      <c r="B134" s="6" t="n"/>
      <c r="C134" s="6" t="n"/>
      <c r="D134" s="6" t="n"/>
      <c r="E134" s="6" t="n"/>
      <c r="F134" s="6" t="n"/>
      <c r="G134" s="6" t="n"/>
      <c r="H134" s="6" t="n"/>
      <c r="I134" s="6" t="n"/>
      <c r="J134" s="6" t="n"/>
      <c r="K134" s="6" t="n"/>
      <c r="L134" s="6" t="n"/>
      <c r="M134" s="6" t="n"/>
      <c r="N134" s="6" t="n"/>
      <c r="O134" s="6" t="n"/>
      <c r="P134" s="6" t="n"/>
      <c r="Q134" s="6" t="n"/>
      <c r="R134" s="6" t="n"/>
      <c r="S134" s="44" t="n"/>
    </row>
    <row r="135" ht="15" customHeight="1" s="67">
      <c r="A135" s="6" t="n"/>
      <c r="B135" s="6" t="n"/>
      <c r="C135" s="6" t="n"/>
      <c r="D135" s="6" t="n"/>
      <c r="E135" s="6" t="n"/>
      <c r="F135" s="6" t="n"/>
      <c r="G135" s="6" t="n"/>
      <c r="H135" s="6" t="n"/>
      <c r="I135" s="6" t="n"/>
      <c r="J135" s="6" t="n"/>
      <c r="K135" s="6" t="n"/>
      <c r="L135" s="6" t="n"/>
      <c r="M135" s="6" t="n"/>
      <c r="N135" s="6" t="n"/>
      <c r="O135" s="6" t="n"/>
      <c r="P135" s="6" t="n"/>
      <c r="Q135" s="6" t="n"/>
      <c r="R135" s="6" t="n"/>
      <c r="S135" s="44" t="n"/>
    </row>
    <row r="136" ht="15" customHeight="1" s="67">
      <c r="A136" s="6" t="n"/>
      <c r="B136" s="6" t="n"/>
      <c r="C136" s="6" t="n"/>
      <c r="D136" s="6" t="n"/>
      <c r="E136" s="6" t="n"/>
      <c r="F136" s="6" t="n"/>
      <c r="G136" s="6" t="n"/>
      <c r="H136" s="6" t="n"/>
      <c r="I136" s="6" t="n"/>
      <c r="J136" s="6" t="n"/>
      <c r="K136" s="6" t="n"/>
      <c r="L136" s="6" t="n"/>
      <c r="M136" s="6" t="n"/>
      <c r="N136" s="6" t="n"/>
      <c r="O136" s="6" t="n"/>
      <c r="P136" s="6" t="n"/>
      <c r="Q136" s="6" t="n"/>
      <c r="R136" s="6" t="n"/>
      <c r="S136" s="44" t="n"/>
    </row>
    <row r="137" ht="15" customHeight="1" s="67">
      <c r="A137" s="6" t="n"/>
      <c r="B137" s="6" t="n"/>
      <c r="C137" s="6" t="n"/>
      <c r="D137" s="6" t="n"/>
      <c r="E137" s="6" t="n"/>
      <c r="F137" s="6" t="n"/>
      <c r="G137" s="6" t="n"/>
      <c r="H137" s="6" t="n"/>
      <c r="I137" s="6" t="n"/>
      <c r="J137" s="6" t="n"/>
      <c r="K137" s="6" t="n"/>
      <c r="L137" s="6" t="n"/>
      <c r="M137" s="6" t="n"/>
      <c r="N137" s="6" t="n"/>
      <c r="O137" s="6" t="n"/>
      <c r="P137" s="6" t="n"/>
      <c r="Q137" s="6" t="n"/>
      <c r="R137" s="6" t="n"/>
      <c r="S137" s="44" t="n"/>
    </row>
    <row r="138" ht="15" customHeight="1" s="67">
      <c r="A138" s="6" t="n"/>
      <c r="B138" s="6" t="n"/>
      <c r="C138" s="6" t="n"/>
      <c r="D138" s="6" t="n"/>
      <c r="E138" s="6" t="n"/>
      <c r="F138" s="6" t="n"/>
      <c r="G138" s="6" t="n"/>
      <c r="H138" s="6" t="n"/>
      <c r="I138" s="6" t="n"/>
      <c r="J138" s="6" t="n"/>
      <c r="K138" s="6" t="n"/>
      <c r="L138" s="6" t="n"/>
      <c r="M138" s="6" t="n"/>
      <c r="N138" s="6" t="n"/>
      <c r="O138" s="6" t="n"/>
      <c r="P138" s="6" t="n"/>
      <c r="Q138" s="6" t="n"/>
      <c r="R138" s="6" t="n"/>
      <c r="S138" s="44" t="n"/>
    </row>
    <row r="139" ht="15" customHeight="1" s="67">
      <c r="A139" s="6" t="n"/>
      <c r="B139" s="6" t="n"/>
      <c r="C139" s="6" t="n"/>
      <c r="D139" s="6" t="n"/>
      <c r="E139" s="6" t="n"/>
      <c r="F139" s="6" t="n"/>
      <c r="G139" s="6" t="n"/>
      <c r="H139" s="6" t="n"/>
      <c r="I139" s="6" t="n"/>
      <c r="J139" s="6" t="n"/>
      <c r="K139" s="6" t="n"/>
      <c r="L139" s="6" t="n"/>
      <c r="M139" s="6" t="n"/>
      <c r="N139" s="6" t="n"/>
      <c r="O139" s="6" t="n"/>
      <c r="P139" s="6" t="n"/>
      <c r="Q139" s="6" t="n"/>
      <c r="R139" s="6" t="n"/>
      <c r="S139" s="44" t="n"/>
    </row>
    <row r="140" ht="15" customHeight="1" s="67">
      <c r="A140" s="6" t="n"/>
      <c r="B140" s="6" t="n"/>
      <c r="C140" s="6" t="n"/>
      <c r="D140" s="6" t="n"/>
      <c r="E140" s="6" t="n"/>
      <c r="F140" s="6" t="n"/>
      <c r="G140" s="6" t="n"/>
      <c r="H140" s="6" t="n"/>
      <c r="I140" s="6" t="n"/>
      <c r="J140" s="6" t="n"/>
      <c r="K140" s="6" t="n"/>
      <c r="L140" s="6" t="n"/>
      <c r="M140" s="6" t="n"/>
      <c r="N140" s="6" t="n"/>
      <c r="O140" s="6" t="n"/>
      <c r="P140" s="6" t="n"/>
      <c r="Q140" s="6" t="n"/>
      <c r="R140" s="6" t="n"/>
      <c r="S140" s="44" t="n"/>
    </row>
    <row r="141" ht="15" customHeight="1" s="67">
      <c r="A141" s="6" t="n"/>
      <c r="B141" s="6" t="n"/>
      <c r="C141" s="6" t="n"/>
      <c r="D141" s="6" t="n"/>
      <c r="E141" s="6" t="n"/>
      <c r="F141" s="6" t="n"/>
      <c r="G141" s="6" t="n"/>
      <c r="H141" s="6" t="n"/>
      <c r="I141" s="6" t="n"/>
      <c r="J141" s="6" t="n"/>
      <c r="K141" s="6" t="n"/>
      <c r="L141" s="6" t="n"/>
      <c r="M141" s="6" t="n"/>
      <c r="N141" s="6" t="n"/>
      <c r="O141" s="6" t="n"/>
      <c r="P141" s="6" t="n"/>
      <c r="Q141" s="6" t="n"/>
      <c r="R141" s="6" t="n"/>
      <c r="S141" s="44" t="n"/>
    </row>
    <row r="142" ht="15" customHeight="1" s="67">
      <c r="A142" s="6" t="n"/>
      <c r="B142" s="6" t="n"/>
      <c r="C142" s="6" t="n"/>
      <c r="D142" s="6" t="n"/>
      <c r="E142" s="6" t="n"/>
      <c r="F142" s="6" t="n"/>
      <c r="G142" s="6" t="n"/>
      <c r="H142" s="6" t="n"/>
      <c r="I142" s="6" t="n"/>
      <c r="J142" s="6" t="n"/>
      <c r="K142" s="6" t="n"/>
      <c r="L142" s="6" t="n"/>
      <c r="M142" s="6" t="n"/>
      <c r="N142" s="6" t="n"/>
      <c r="O142" s="6" t="n"/>
      <c r="P142" s="6" t="n"/>
      <c r="Q142" s="6" t="n"/>
      <c r="R142" s="6" t="n"/>
      <c r="S142" s="44" t="n"/>
    </row>
    <row r="143" ht="15" customHeight="1" s="67">
      <c r="A143" s="6" t="n"/>
      <c r="B143" s="6" t="n"/>
      <c r="C143" s="6" t="n"/>
      <c r="D143" s="6" t="n"/>
      <c r="E143" s="6" t="n"/>
      <c r="F143" s="6" t="n"/>
      <c r="G143" s="6" t="n"/>
      <c r="H143" s="6" t="n"/>
      <c r="I143" s="6" t="n"/>
      <c r="J143" s="6" t="n"/>
      <c r="K143" s="6" t="n"/>
      <c r="L143" s="6" t="n"/>
      <c r="M143" s="6" t="n"/>
      <c r="N143" s="6" t="n"/>
      <c r="O143" s="6" t="n"/>
      <c r="P143" s="6" t="n"/>
      <c r="Q143" s="6" t="n"/>
      <c r="R143" s="6" t="n"/>
      <c r="S143" s="44" t="n"/>
    </row>
    <row r="144" ht="15" customHeight="1" s="67">
      <c r="A144" s="6" t="n"/>
      <c r="B144" s="6" t="n"/>
      <c r="C144" s="6" t="n"/>
      <c r="D144" s="6" t="n"/>
      <c r="E144" s="6" t="n"/>
      <c r="F144" s="6" t="n"/>
      <c r="G144" s="6" t="n"/>
      <c r="H144" s="6" t="n"/>
      <c r="I144" s="6" t="n"/>
      <c r="J144" s="6" t="n"/>
      <c r="K144" s="6" t="n"/>
      <c r="L144" s="6" t="n"/>
      <c r="M144" s="6" t="n"/>
      <c r="N144" s="6" t="n"/>
      <c r="O144" s="6" t="n"/>
      <c r="P144" s="6" t="n"/>
      <c r="Q144" s="6" t="n"/>
      <c r="R144" s="6" t="n"/>
      <c r="S144" s="44" t="n"/>
    </row>
    <row r="145" ht="15" customHeight="1" s="67">
      <c r="A145" s="6" t="n"/>
      <c r="B145" s="6" t="n"/>
      <c r="C145" s="6" t="n"/>
      <c r="D145" s="6" t="n"/>
      <c r="E145" s="6" t="n"/>
      <c r="F145" s="6" t="n"/>
      <c r="G145" s="6" t="n"/>
      <c r="H145" s="6" t="n"/>
      <c r="I145" s="6" t="n"/>
      <c r="J145" s="6" t="n"/>
      <c r="K145" s="6" t="n"/>
      <c r="L145" s="6" t="n"/>
      <c r="M145" s="6" t="n"/>
      <c r="N145" s="6" t="n"/>
      <c r="O145" s="6" t="n"/>
      <c r="P145" s="6" t="n"/>
      <c r="Q145" s="6" t="n"/>
      <c r="R145" s="6" t="n"/>
      <c r="S145" s="44" t="n"/>
    </row>
    <row r="146" ht="15" customHeight="1" s="67">
      <c r="A146" s="6" t="n"/>
      <c r="B146" s="6" t="n"/>
      <c r="C146" s="6" t="n"/>
      <c r="D146" s="6" t="n"/>
      <c r="E146" s="6" t="n"/>
      <c r="F146" s="6" t="n"/>
      <c r="G146" s="6" t="n"/>
      <c r="H146" s="6" t="n"/>
      <c r="I146" s="6" t="n"/>
      <c r="J146" s="6" t="n"/>
      <c r="K146" s="6" t="n"/>
      <c r="L146" s="6" t="n"/>
      <c r="M146" s="6" t="n"/>
      <c r="N146" s="6" t="n"/>
      <c r="O146" s="6" t="n"/>
      <c r="P146" s="6" t="n"/>
      <c r="Q146" s="6" t="n"/>
      <c r="R146" s="6" t="n"/>
      <c r="S146" s="44" t="n"/>
    </row>
    <row r="147" ht="15" customHeight="1" s="67">
      <c r="A147" s="6" t="n"/>
      <c r="B147" s="6" t="n"/>
      <c r="C147" s="6" t="n"/>
      <c r="D147" s="6" t="n"/>
      <c r="E147" s="6" t="n"/>
      <c r="F147" s="6" t="n"/>
      <c r="G147" s="6" t="n"/>
      <c r="H147" s="6" t="n"/>
      <c r="I147" s="6" t="n"/>
      <c r="J147" s="6" t="n"/>
      <c r="K147" s="6" t="n"/>
      <c r="L147" s="6" t="n"/>
      <c r="M147" s="6" t="n"/>
      <c r="N147" s="6" t="n"/>
      <c r="O147" s="6" t="n"/>
      <c r="P147" s="6" t="n"/>
      <c r="Q147" s="6" t="n"/>
      <c r="R147" s="6" t="n"/>
      <c r="S147" s="44" t="n"/>
    </row>
    <row r="148" ht="15" customHeight="1" s="67">
      <c r="A148" s="6" t="n"/>
      <c r="B148" s="6" t="n"/>
      <c r="C148" s="6" t="n"/>
      <c r="D148" s="6" t="n"/>
      <c r="E148" s="6" t="n"/>
      <c r="F148" s="6" t="n"/>
      <c r="G148" s="6" t="n"/>
      <c r="H148" s="6" t="n"/>
      <c r="I148" s="6" t="n"/>
      <c r="J148" s="6" t="n"/>
      <c r="K148" s="6" t="n"/>
      <c r="L148" s="6" t="n"/>
      <c r="M148" s="6" t="n"/>
      <c r="N148" s="6" t="n"/>
      <c r="O148" s="6" t="n"/>
      <c r="P148" s="6" t="n"/>
      <c r="Q148" s="6" t="n"/>
      <c r="R148" s="6" t="n"/>
      <c r="S148" s="44" t="n"/>
    </row>
    <row r="149" ht="15" customHeight="1" s="67">
      <c r="A149" s="6" t="n"/>
      <c r="B149" s="6" t="n"/>
      <c r="C149" s="6" t="n"/>
      <c r="D149" s="6" t="n"/>
      <c r="E149" s="6" t="n"/>
      <c r="F149" s="6" t="n"/>
      <c r="G149" s="6" t="n"/>
      <c r="H149" s="6" t="n"/>
      <c r="I149" s="6" t="n"/>
      <c r="J149" s="6" t="n"/>
      <c r="K149" s="6" t="n"/>
      <c r="L149" s="6" t="n"/>
      <c r="M149" s="6" t="n"/>
      <c r="N149" s="6" t="n"/>
      <c r="O149" s="6" t="n"/>
      <c r="P149" s="6" t="n"/>
      <c r="Q149" s="6" t="n"/>
      <c r="R149" s="6" t="n"/>
      <c r="S149" s="44" t="n"/>
    </row>
    <row r="150" ht="15" customHeight="1" s="67">
      <c r="A150" s="6" t="n"/>
      <c r="B150" s="6" t="n"/>
      <c r="C150" s="6" t="n"/>
      <c r="D150" s="6" t="n"/>
      <c r="E150" s="6" t="n"/>
      <c r="F150" s="6" t="n"/>
      <c r="G150" s="6" t="n"/>
      <c r="H150" s="6" t="n"/>
      <c r="I150" s="6" t="n"/>
      <c r="J150" s="6" t="n"/>
      <c r="K150" s="6" t="n"/>
      <c r="L150" s="6" t="n"/>
      <c r="M150" s="6" t="n"/>
      <c r="N150" s="6" t="n"/>
      <c r="O150" s="6" t="n"/>
      <c r="P150" s="6" t="n"/>
      <c r="Q150" s="6" t="n"/>
      <c r="R150" s="6" t="n"/>
      <c r="S150" s="44" t="n"/>
    </row>
    <row r="151" ht="15" customHeight="1" s="67">
      <c r="A151" s="6" t="n"/>
      <c r="B151" s="6" t="n"/>
      <c r="C151" s="6" t="n"/>
      <c r="D151" s="6" t="n"/>
      <c r="E151" s="6" t="n"/>
      <c r="F151" s="6" t="n"/>
      <c r="G151" s="6" t="n"/>
      <c r="H151" s="6" t="n"/>
      <c r="I151" s="6" t="n"/>
      <c r="J151" s="6" t="n"/>
      <c r="K151" s="6" t="n"/>
      <c r="L151" s="6" t="n"/>
      <c r="M151" s="6" t="n"/>
      <c r="N151" s="6" t="n"/>
      <c r="O151" s="6" t="n"/>
      <c r="P151" s="6" t="n"/>
      <c r="Q151" s="6" t="n"/>
      <c r="R151" s="6" t="n"/>
      <c r="S151" s="44" t="n"/>
    </row>
    <row r="152" ht="15" customHeight="1" s="67">
      <c r="A152" s="6" t="n"/>
      <c r="B152" s="6" t="n"/>
      <c r="C152" s="6" t="n"/>
      <c r="D152" s="6" t="n"/>
      <c r="E152" s="6" t="n"/>
      <c r="F152" s="6" t="n"/>
      <c r="G152" s="6" t="n"/>
      <c r="H152" s="6" t="n"/>
      <c r="I152" s="6" t="n"/>
      <c r="J152" s="6" t="n"/>
      <c r="K152" s="6" t="n"/>
      <c r="L152" s="6" t="n"/>
      <c r="M152" s="6" t="n"/>
      <c r="N152" s="6" t="n"/>
      <c r="O152" s="6" t="n"/>
      <c r="P152" s="6" t="n"/>
      <c r="Q152" s="6" t="n"/>
      <c r="R152" s="6" t="n"/>
      <c r="S152" s="44" t="n"/>
    </row>
    <row r="153" ht="15" customHeight="1" s="67">
      <c r="A153" s="6" t="n"/>
      <c r="B153" s="6" t="n"/>
      <c r="C153" s="6" t="n"/>
      <c r="D153" s="6" t="n"/>
      <c r="E153" s="6" t="n"/>
      <c r="F153" s="6" t="n"/>
      <c r="G153" s="6" t="n"/>
      <c r="H153" s="6" t="n"/>
      <c r="I153" s="6" t="n"/>
      <c r="J153" s="6" t="n"/>
      <c r="K153" s="6" t="n"/>
      <c r="L153" s="6" t="n"/>
      <c r="M153" s="6" t="n"/>
      <c r="N153" s="6" t="n"/>
      <c r="O153" s="6" t="n"/>
      <c r="P153" s="6" t="n"/>
      <c r="Q153" s="6" t="n"/>
      <c r="R153" s="6" t="n"/>
      <c r="S153" s="44" t="n"/>
    </row>
    <row r="154" ht="15" customHeight="1" s="67">
      <c r="A154" s="6" t="n"/>
      <c r="B154" s="6" t="n"/>
      <c r="C154" s="6" t="n"/>
      <c r="D154" s="6" t="n"/>
      <c r="E154" s="6" t="n"/>
      <c r="F154" s="6" t="n"/>
      <c r="G154" s="6" t="n"/>
      <c r="H154" s="6" t="n"/>
      <c r="I154" s="6" t="n"/>
      <c r="J154" s="6" t="n"/>
      <c r="K154" s="6" t="n"/>
      <c r="L154" s="6" t="n"/>
      <c r="M154" s="6" t="n"/>
      <c r="N154" s="6" t="n"/>
      <c r="O154" s="6" t="n"/>
      <c r="P154" s="6" t="n"/>
      <c r="Q154" s="6" t="n"/>
      <c r="R154" s="6" t="n"/>
      <c r="S154" s="44" t="n"/>
    </row>
    <row r="155" ht="15" customHeight="1" s="67">
      <c r="A155" s="6" t="n"/>
      <c r="B155" s="6" t="n"/>
      <c r="C155" s="6" t="n"/>
      <c r="D155" s="6" t="n"/>
      <c r="E155" s="6" t="n"/>
      <c r="F155" s="6" t="n"/>
      <c r="G155" s="6" t="n"/>
      <c r="H155" s="6" t="n"/>
      <c r="I155" s="6" t="n"/>
      <c r="J155" s="6" t="n"/>
      <c r="K155" s="6" t="n"/>
      <c r="L155" s="6" t="n"/>
      <c r="M155" s="6" t="n"/>
      <c r="N155" s="6" t="n"/>
      <c r="O155" s="6" t="n"/>
      <c r="P155" s="6" t="n"/>
      <c r="Q155" s="6" t="n"/>
      <c r="R155" s="6" t="n"/>
      <c r="S155" s="44" t="n"/>
    </row>
    <row r="156" ht="15" customHeight="1" s="67">
      <c r="A156" s="6" t="n"/>
      <c r="B156" s="6" t="n"/>
      <c r="C156" s="6" t="n"/>
      <c r="D156" s="6" t="n"/>
      <c r="E156" s="6" t="n"/>
      <c r="F156" s="6" t="n"/>
      <c r="G156" s="6" t="n"/>
      <c r="H156" s="6" t="n"/>
      <c r="I156" s="6" t="n"/>
      <c r="J156" s="6" t="n"/>
      <c r="K156" s="6" t="n"/>
      <c r="L156" s="6" t="n"/>
      <c r="M156" s="6" t="n"/>
      <c r="N156" s="6" t="n"/>
      <c r="O156" s="6" t="n"/>
      <c r="P156" s="6" t="n"/>
      <c r="Q156" s="6" t="n"/>
      <c r="R156" s="6" t="n"/>
      <c r="S156" s="44" t="n"/>
    </row>
    <row r="157" ht="15" customHeight="1" s="67">
      <c r="A157" s="6" t="n"/>
      <c r="B157" s="6" t="n"/>
      <c r="C157" s="6" t="n"/>
      <c r="D157" s="6" t="n"/>
      <c r="E157" s="6" t="n"/>
      <c r="F157" s="6" t="n"/>
      <c r="G157" s="6" t="n"/>
      <c r="H157" s="6" t="n"/>
      <c r="I157" s="6" t="n"/>
      <c r="J157" s="6" t="n"/>
      <c r="K157" s="6" t="n"/>
      <c r="L157" s="6" t="n"/>
      <c r="M157" s="6" t="n"/>
      <c r="N157" s="6" t="n"/>
      <c r="O157" s="6" t="n"/>
      <c r="P157" s="6" t="n"/>
      <c r="Q157" s="6" t="n"/>
      <c r="R157" s="6" t="n"/>
      <c r="S157" s="44" t="n"/>
    </row>
    <row r="158" ht="15" customHeight="1" s="67">
      <c r="A158" s="6" t="n"/>
      <c r="B158" s="6" t="n"/>
      <c r="C158" s="6" t="n"/>
      <c r="D158" s="6" t="n"/>
      <c r="E158" s="6" t="n"/>
      <c r="F158" s="6" t="n"/>
      <c r="G158" s="6" t="n"/>
      <c r="H158" s="6" t="n"/>
      <c r="I158" s="6" t="n"/>
      <c r="J158" s="6" t="n"/>
      <c r="K158" s="6" t="n"/>
      <c r="L158" s="6" t="n"/>
      <c r="M158" s="6" t="n"/>
      <c r="N158" s="6" t="n"/>
      <c r="O158" s="6" t="n"/>
      <c r="P158" s="6" t="n"/>
      <c r="Q158" s="6" t="n"/>
      <c r="R158" s="6" t="n"/>
      <c r="S158" s="44" t="n"/>
    </row>
    <row r="159" ht="15" customHeight="1" s="67">
      <c r="A159" s="6" t="n"/>
      <c r="B159" s="6" t="n"/>
      <c r="C159" s="6" t="n"/>
      <c r="D159" s="6" t="n"/>
      <c r="E159" s="6" t="n"/>
      <c r="F159" s="6" t="n"/>
      <c r="G159" s="6" t="n"/>
      <c r="H159" s="6" t="n"/>
      <c r="I159" s="6" t="n"/>
      <c r="J159" s="6" t="n"/>
      <c r="K159" s="6" t="n"/>
      <c r="L159" s="6" t="n"/>
      <c r="M159" s="6" t="n"/>
      <c r="N159" s="6" t="n"/>
      <c r="O159" s="6" t="n"/>
      <c r="P159" s="6" t="n"/>
      <c r="Q159" s="6" t="n"/>
      <c r="R159" s="6" t="n"/>
      <c r="S159" s="44" t="n"/>
    </row>
    <row r="160" ht="15" customHeight="1" s="67">
      <c r="A160" s="6" t="n"/>
      <c r="B160" s="6" t="n"/>
      <c r="C160" s="6" t="n"/>
      <c r="D160" s="6" t="n"/>
      <c r="E160" s="6" t="n"/>
      <c r="F160" s="6" t="n"/>
      <c r="G160" s="6" t="n"/>
      <c r="H160" s="6" t="n"/>
      <c r="I160" s="6" t="n"/>
      <c r="J160" s="6" t="n"/>
      <c r="K160" s="6" t="n"/>
      <c r="L160" s="6" t="n"/>
      <c r="M160" s="6" t="n"/>
      <c r="N160" s="6" t="n"/>
      <c r="O160" s="6" t="n"/>
      <c r="P160" s="6" t="n"/>
      <c r="Q160" s="6" t="n"/>
      <c r="R160" s="6" t="n"/>
      <c r="S160" s="44" t="n"/>
    </row>
    <row r="161" ht="15" customHeight="1" s="67">
      <c r="A161" s="6" t="n"/>
      <c r="B161" s="6" t="n"/>
      <c r="C161" s="6" t="n"/>
      <c r="D161" s="6" t="n"/>
      <c r="E161" s="6" t="n"/>
      <c r="F161" s="6" t="n"/>
      <c r="G161" s="6" t="n"/>
      <c r="H161" s="6" t="n"/>
      <c r="I161" s="6" t="n"/>
      <c r="J161" s="6" t="n"/>
      <c r="K161" s="6" t="n"/>
      <c r="L161" s="6" t="n"/>
      <c r="M161" s="6" t="n"/>
      <c r="N161" s="6" t="n"/>
      <c r="O161" s="6" t="n"/>
      <c r="P161" s="6" t="n"/>
      <c r="Q161" s="6" t="n"/>
      <c r="R161" s="6" t="n"/>
      <c r="S161" s="44" t="n"/>
    </row>
    <row r="162" ht="15" customHeight="1" s="67">
      <c r="A162" s="6" t="n"/>
      <c r="B162" s="6" t="n"/>
      <c r="C162" s="6" t="n"/>
      <c r="D162" s="6" t="n"/>
      <c r="E162" s="6" t="n"/>
      <c r="F162" s="6" t="n"/>
      <c r="G162" s="6" t="n"/>
      <c r="H162" s="6" t="n"/>
      <c r="I162" s="6" t="n"/>
      <c r="J162" s="6" t="n"/>
      <c r="K162" s="6" t="n"/>
      <c r="L162" s="6" t="n"/>
      <c r="M162" s="6" t="n"/>
      <c r="N162" s="6" t="n"/>
      <c r="O162" s="6" t="n"/>
      <c r="P162" s="6" t="n"/>
      <c r="Q162" s="6" t="n"/>
      <c r="R162" s="6" t="n"/>
      <c r="S162" s="44" t="n"/>
    </row>
    <row r="163" ht="15" customHeight="1" s="67">
      <c r="A163" s="6" t="n"/>
      <c r="B163" s="6" t="n"/>
      <c r="C163" s="6" t="n"/>
      <c r="D163" s="6" t="n"/>
      <c r="E163" s="6" t="n"/>
      <c r="F163" s="6" t="n"/>
      <c r="G163" s="6" t="n"/>
      <c r="H163" s="6" t="n"/>
      <c r="I163" s="6" t="n"/>
      <c r="J163" s="6" t="n"/>
      <c r="K163" s="6" t="n"/>
      <c r="L163" s="6" t="n"/>
      <c r="M163" s="6" t="n"/>
      <c r="N163" s="6" t="n"/>
      <c r="O163" s="6" t="n"/>
      <c r="P163" s="6" t="n"/>
      <c r="Q163" s="6" t="n"/>
      <c r="R163" s="6" t="n"/>
      <c r="S163" s="44" t="n"/>
    </row>
    <row r="164" ht="15" customHeight="1" s="67">
      <c r="A164" s="6" t="n"/>
      <c r="B164" s="6" t="n"/>
      <c r="C164" s="6" t="n"/>
      <c r="D164" s="6" t="n"/>
      <c r="E164" s="6" t="n"/>
      <c r="F164" s="6" t="n"/>
      <c r="G164" s="6" t="n"/>
      <c r="H164" s="6" t="n"/>
      <c r="I164" s="6" t="n"/>
      <c r="J164" s="6" t="n"/>
      <c r="K164" s="6" t="n"/>
      <c r="L164" s="6" t="n"/>
      <c r="M164" s="6" t="n"/>
      <c r="N164" s="6" t="n"/>
      <c r="O164" s="6" t="n"/>
      <c r="P164" s="6" t="n"/>
      <c r="Q164" s="6" t="n"/>
      <c r="R164" s="6" t="n"/>
      <c r="S164" s="44" t="n"/>
    </row>
    <row r="165" ht="15" customHeight="1" s="67">
      <c r="A165" s="6" t="n"/>
      <c r="B165" s="6" t="n"/>
      <c r="C165" s="6" t="n"/>
      <c r="D165" s="6" t="n"/>
      <c r="E165" s="6" t="n"/>
      <c r="F165" s="6" t="n"/>
      <c r="G165" s="6" t="n"/>
      <c r="H165" s="6" t="n"/>
      <c r="I165" s="6" t="n"/>
      <c r="J165" s="6" t="n"/>
      <c r="K165" s="6" t="n"/>
      <c r="L165" s="6" t="n"/>
      <c r="M165" s="6" t="n"/>
      <c r="N165" s="6" t="n"/>
      <c r="O165" s="6" t="n"/>
      <c r="P165" s="6" t="n"/>
      <c r="Q165" s="6" t="n"/>
      <c r="R165" s="6" t="n"/>
      <c r="S165" s="44" t="n"/>
    </row>
    <row r="166" ht="15" customHeight="1" s="67">
      <c r="A166" s="6" t="n"/>
      <c r="B166" s="6" t="n"/>
      <c r="C166" s="6" t="n"/>
      <c r="D166" s="6" t="n"/>
      <c r="E166" s="6" t="n"/>
      <c r="F166" s="6" t="n"/>
      <c r="G166" s="6" t="n"/>
      <c r="H166" s="6" t="n"/>
      <c r="I166" s="6" t="n"/>
      <c r="J166" s="6" t="n"/>
      <c r="K166" s="6" t="n"/>
      <c r="L166" s="6" t="n"/>
      <c r="M166" s="6" t="n"/>
      <c r="N166" s="6" t="n"/>
      <c r="O166" s="6" t="n"/>
      <c r="P166" s="6" t="n"/>
      <c r="Q166" s="6" t="n"/>
      <c r="R166" s="6" t="n"/>
      <c r="S166" s="44" t="n"/>
    </row>
    <row r="167" ht="15" customHeight="1" s="67">
      <c r="A167" s="6" t="n"/>
      <c r="B167" s="6" t="n"/>
      <c r="C167" s="6" t="n"/>
      <c r="D167" s="6" t="n"/>
      <c r="E167" s="6" t="n"/>
      <c r="F167" s="6" t="n"/>
      <c r="G167" s="6" t="n"/>
      <c r="H167" s="6" t="n"/>
      <c r="I167" s="6" t="n"/>
      <c r="J167" s="6" t="n"/>
      <c r="K167" s="6" t="n"/>
      <c r="L167" s="6" t="n"/>
      <c r="M167" s="6" t="n"/>
      <c r="N167" s="6" t="n"/>
      <c r="O167" s="6" t="n"/>
      <c r="P167" s="6" t="n"/>
      <c r="Q167" s="6" t="n"/>
      <c r="R167" s="6" t="n"/>
      <c r="S167" s="44" t="n"/>
    </row>
    <row r="168" ht="15" customHeight="1" s="67">
      <c r="A168" s="6" t="n"/>
      <c r="B168" s="6" t="n"/>
      <c r="C168" s="6" t="n"/>
      <c r="D168" s="6" t="n"/>
      <c r="E168" s="6" t="n"/>
      <c r="F168" s="6" t="n"/>
      <c r="G168" s="6" t="n"/>
      <c r="H168" s="6" t="n"/>
      <c r="I168" s="6" t="n"/>
      <c r="J168" s="6" t="n"/>
      <c r="K168" s="6" t="n"/>
      <c r="L168" s="6" t="n"/>
      <c r="M168" s="6" t="n"/>
      <c r="N168" s="6" t="n"/>
      <c r="O168" s="6" t="n"/>
      <c r="P168" s="6" t="n"/>
      <c r="Q168" s="6" t="n"/>
      <c r="R168" s="6" t="n"/>
      <c r="S168" s="44" t="n"/>
    </row>
    <row r="169" ht="15" customHeight="1" s="67">
      <c r="A169" s="6" t="n"/>
      <c r="B169" s="6" t="n"/>
      <c r="C169" s="6" t="n"/>
      <c r="D169" s="6" t="n"/>
      <c r="E169" s="6" t="n"/>
      <c r="F169" s="6" t="n"/>
      <c r="G169" s="6" t="n"/>
      <c r="H169" s="6" t="n"/>
      <c r="I169" s="6" t="n"/>
      <c r="J169" s="6" t="n"/>
      <c r="K169" s="6" t="n"/>
      <c r="L169" s="6" t="n"/>
      <c r="M169" s="6" t="n"/>
      <c r="N169" s="6" t="n"/>
      <c r="O169" s="6" t="n"/>
      <c r="P169" s="6" t="n"/>
      <c r="Q169" s="6" t="n"/>
      <c r="R169" s="6" t="n"/>
      <c r="S169" s="44" t="n"/>
    </row>
    <row r="170" ht="15" customHeight="1" s="67">
      <c r="A170" s="6" t="n"/>
      <c r="B170" s="6" t="n"/>
      <c r="C170" s="6" t="n"/>
      <c r="D170" s="6" t="n"/>
      <c r="E170" s="6" t="n"/>
      <c r="F170" s="6" t="n"/>
      <c r="G170" s="6" t="n"/>
      <c r="H170" s="6" t="n"/>
      <c r="I170" s="6" t="n"/>
      <c r="J170" s="6" t="n"/>
      <c r="K170" s="6" t="n"/>
      <c r="L170" s="6" t="n"/>
      <c r="M170" s="6" t="n"/>
      <c r="N170" s="6" t="n"/>
      <c r="O170" s="6" t="n"/>
      <c r="P170" s="6" t="n"/>
      <c r="Q170" s="6" t="n"/>
      <c r="R170" s="6" t="n"/>
      <c r="S170" s="44" t="n"/>
    </row>
    <row r="171" ht="15" customHeight="1" s="67">
      <c r="A171" s="6" t="n"/>
      <c r="B171" s="6" t="n"/>
      <c r="C171" s="6" t="n"/>
      <c r="D171" s="6" t="n"/>
      <c r="E171" s="6" t="n"/>
      <c r="F171" s="6" t="n"/>
      <c r="G171" s="6" t="n"/>
      <c r="H171" s="6" t="n"/>
      <c r="I171" s="6" t="n"/>
      <c r="J171" s="6" t="n"/>
      <c r="K171" s="6" t="n"/>
      <c r="L171" s="6" t="n"/>
      <c r="M171" s="6" t="n"/>
      <c r="N171" s="6" t="n"/>
      <c r="O171" s="6" t="n"/>
      <c r="P171" s="6" t="n"/>
      <c r="Q171" s="6" t="n"/>
      <c r="R171" s="6" t="n"/>
      <c r="S171" s="44" t="n"/>
    </row>
    <row r="172" ht="15" customHeight="1" s="67">
      <c r="A172" s="6" t="n"/>
      <c r="B172" s="6" t="n"/>
      <c r="C172" s="6" t="n"/>
      <c r="D172" s="6" t="n"/>
      <c r="E172" s="6" t="n"/>
      <c r="F172" s="6" t="n"/>
      <c r="G172" s="6" t="n"/>
      <c r="H172" s="6" t="n"/>
      <c r="I172" s="6" t="n"/>
      <c r="J172" s="6" t="n"/>
      <c r="K172" s="6" t="n"/>
      <c r="L172" s="6" t="n"/>
      <c r="M172" s="6" t="n"/>
      <c r="N172" s="6" t="n"/>
      <c r="O172" s="6" t="n"/>
      <c r="P172" s="6" t="n"/>
      <c r="Q172" s="6" t="n"/>
      <c r="R172" s="6" t="n"/>
      <c r="S172" s="44" t="n"/>
    </row>
    <row r="173" ht="15" customHeight="1" s="67">
      <c r="A173" s="6" t="n"/>
      <c r="B173" s="6" t="n"/>
      <c r="C173" s="6" t="n"/>
      <c r="D173" s="6" t="n"/>
      <c r="E173" s="6" t="n"/>
      <c r="F173" s="6" t="n"/>
      <c r="G173" s="6" t="n"/>
      <c r="H173" s="6" t="n"/>
      <c r="I173" s="6" t="n"/>
      <c r="J173" s="6" t="n"/>
      <c r="K173" s="6" t="n"/>
      <c r="L173" s="6" t="n"/>
      <c r="M173" s="6" t="n"/>
      <c r="N173" s="6" t="n"/>
      <c r="O173" s="6" t="n"/>
      <c r="P173" s="6" t="n"/>
      <c r="Q173" s="6" t="n"/>
      <c r="R173" s="6" t="n"/>
      <c r="S173" s="44" t="n"/>
    </row>
    <row r="174" ht="15" customHeight="1" s="67">
      <c r="A174" s="6" t="n"/>
      <c r="B174" s="6" t="n"/>
      <c r="C174" s="6" t="n"/>
      <c r="D174" s="6" t="n"/>
      <c r="E174" s="6" t="n"/>
      <c r="F174" s="6" t="n"/>
      <c r="G174" s="6" t="n"/>
      <c r="H174" s="6" t="n"/>
      <c r="I174" s="6" t="n"/>
      <c r="J174" s="6" t="n"/>
      <c r="K174" s="6" t="n"/>
      <c r="L174" s="6" t="n"/>
      <c r="M174" s="6" t="n"/>
      <c r="N174" s="6" t="n"/>
      <c r="O174" s="6" t="n"/>
      <c r="P174" s="6" t="n"/>
      <c r="Q174" s="6" t="n"/>
      <c r="R174" s="6" t="n"/>
      <c r="S174" s="44" t="n"/>
    </row>
    <row r="175" ht="15" customHeight="1" s="67">
      <c r="A175" s="6" t="n"/>
      <c r="B175" s="6" t="n"/>
      <c r="C175" s="6" t="n"/>
      <c r="D175" s="6" t="n"/>
      <c r="E175" s="6" t="n"/>
      <c r="F175" s="6" t="n"/>
      <c r="G175" s="6" t="n"/>
      <c r="H175" s="6" t="n"/>
      <c r="I175" s="6" t="n"/>
      <c r="J175" s="6" t="n"/>
      <c r="K175" s="6" t="n"/>
      <c r="L175" s="6" t="n"/>
      <c r="M175" s="6" t="n"/>
      <c r="N175" s="6" t="n"/>
      <c r="O175" s="6" t="n"/>
      <c r="P175" s="6" t="n"/>
      <c r="Q175" s="6" t="n"/>
      <c r="R175" s="6" t="n"/>
      <c r="S175" s="44" t="n"/>
    </row>
    <row r="176" ht="15" customHeight="1" s="67">
      <c r="A176" s="6" t="n"/>
      <c r="B176" s="6" t="n"/>
      <c r="C176" s="6" t="n"/>
      <c r="D176" s="6" t="n"/>
      <c r="E176" s="6" t="n"/>
      <c r="F176" s="6" t="n"/>
      <c r="G176" s="6" t="n"/>
      <c r="H176" s="6" t="n"/>
      <c r="I176" s="6" t="n"/>
      <c r="J176" s="6" t="n"/>
      <c r="K176" s="6" t="n"/>
      <c r="L176" s="6" t="n"/>
      <c r="M176" s="6" t="n"/>
      <c r="N176" s="6" t="n"/>
      <c r="O176" s="6" t="n"/>
      <c r="P176" s="6" t="n"/>
      <c r="Q176" s="6" t="n"/>
      <c r="R176" s="6" t="n"/>
      <c r="S176" s="44" t="n"/>
    </row>
    <row r="177" ht="15" customHeight="1" s="67">
      <c r="A177" s="6" t="n"/>
      <c r="B177" s="6" t="n"/>
      <c r="C177" s="6" t="n"/>
      <c r="D177" s="6" t="n"/>
      <c r="E177" s="6" t="n"/>
      <c r="F177" s="6" t="n"/>
      <c r="G177" s="6" t="n"/>
      <c r="H177" s="6" t="n"/>
      <c r="I177" s="6" t="n"/>
      <c r="J177" s="6" t="n"/>
      <c r="K177" s="6" t="n"/>
      <c r="L177" s="6" t="n"/>
      <c r="M177" s="6" t="n"/>
      <c r="N177" s="6" t="n"/>
      <c r="O177" s="6" t="n"/>
      <c r="P177" s="6" t="n"/>
      <c r="Q177" s="6" t="n"/>
      <c r="R177" s="6" t="n"/>
      <c r="S177" s="44" t="n"/>
    </row>
    <row r="178" ht="15" customHeight="1" s="67">
      <c r="A178" s="6" t="n"/>
      <c r="B178" s="6" t="n"/>
      <c r="C178" s="6" t="n"/>
      <c r="D178" s="6" t="n"/>
      <c r="E178" s="6" t="n"/>
      <c r="F178" s="6" t="n"/>
      <c r="G178" s="6" t="n"/>
      <c r="H178" s="6" t="n"/>
      <c r="I178" s="6" t="n"/>
      <c r="J178" s="6" t="n"/>
      <c r="K178" s="6" t="n"/>
      <c r="L178" s="6" t="n"/>
      <c r="M178" s="6" t="n"/>
      <c r="N178" s="6" t="n"/>
      <c r="O178" s="6" t="n"/>
      <c r="P178" s="6" t="n"/>
      <c r="Q178" s="6" t="n"/>
      <c r="R178" s="6" t="n"/>
      <c r="S178" s="44" t="n"/>
    </row>
    <row r="179" ht="15" customHeight="1" s="67">
      <c r="A179" s="6" t="n"/>
      <c r="B179" s="6" t="n"/>
      <c r="C179" s="6" t="n"/>
      <c r="D179" s="6" t="n"/>
      <c r="E179" s="6" t="n"/>
      <c r="F179" s="6" t="n"/>
      <c r="G179" s="6" t="n"/>
      <c r="H179" s="6" t="n"/>
      <c r="I179" s="6" t="n"/>
      <c r="J179" s="6" t="n"/>
      <c r="K179" s="6" t="n"/>
      <c r="L179" s="6" t="n"/>
      <c r="M179" s="6" t="n"/>
      <c r="N179" s="6" t="n"/>
      <c r="O179" s="6" t="n"/>
      <c r="P179" s="6" t="n"/>
      <c r="Q179" s="6" t="n"/>
      <c r="R179" s="6" t="n"/>
      <c r="S179" s="44" t="n"/>
    </row>
    <row r="180" ht="15" customHeight="1" s="67">
      <c r="A180" s="6" t="n"/>
      <c r="B180" s="6" t="n"/>
      <c r="C180" s="6" t="n"/>
      <c r="D180" s="6" t="n"/>
      <c r="E180" s="6" t="n"/>
      <c r="F180" s="6" t="n"/>
      <c r="G180" s="6" t="n"/>
      <c r="H180" s="6" t="n"/>
      <c r="I180" s="6" t="n"/>
      <c r="J180" s="6" t="n"/>
      <c r="K180" s="6" t="n"/>
      <c r="L180" s="6" t="n"/>
      <c r="M180" s="6" t="n"/>
      <c r="N180" s="6" t="n"/>
      <c r="O180" s="6" t="n"/>
      <c r="P180" s="6" t="n"/>
      <c r="Q180" s="6" t="n"/>
      <c r="R180" s="6" t="n"/>
      <c r="S180" s="44" t="n"/>
    </row>
    <row r="181" ht="15" customHeight="1" s="67">
      <c r="A181" s="6" t="n"/>
      <c r="B181" s="6" t="n"/>
      <c r="C181" s="6" t="n"/>
      <c r="D181" s="6" t="n"/>
      <c r="E181" s="6" t="n"/>
      <c r="F181" s="6" t="n"/>
      <c r="G181" s="6" t="n"/>
      <c r="H181" s="6" t="n"/>
      <c r="I181" s="6" t="n"/>
      <c r="J181" s="6" t="n"/>
      <c r="K181" s="6" t="n"/>
      <c r="L181" s="6" t="n"/>
      <c r="M181" s="6" t="n"/>
      <c r="N181" s="6" t="n"/>
      <c r="O181" s="6" t="n"/>
      <c r="P181" s="6" t="n"/>
      <c r="Q181" s="6" t="n"/>
      <c r="R181" s="6" t="n"/>
      <c r="S181" s="44" t="n"/>
    </row>
    <row r="182" ht="15" customHeight="1" s="67">
      <c r="A182" s="6" t="n"/>
      <c r="B182" s="6" t="n"/>
      <c r="C182" s="6" t="n"/>
      <c r="D182" s="6" t="n"/>
      <c r="E182" s="6" t="n"/>
      <c r="F182" s="6" t="n"/>
      <c r="G182" s="6" t="n"/>
      <c r="H182" s="6" t="n"/>
      <c r="I182" s="6" t="n"/>
      <c r="J182" s="6" t="n"/>
      <c r="K182" s="6" t="n"/>
      <c r="L182" s="6" t="n"/>
      <c r="M182" s="6" t="n"/>
      <c r="N182" s="6" t="n"/>
      <c r="O182" s="6" t="n"/>
      <c r="P182" s="6" t="n"/>
      <c r="Q182" s="6" t="n"/>
      <c r="R182" s="6" t="n"/>
      <c r="S182" s="44" t="n"/>
    </row>
    <row r="183" ht="15" customHeight="1" s="67">
      <c r="A183" s="6" t="n"/>
      <c r="B183" s="6" t="n"/>
      <c r="C183" s="6" t="n"/>
      <c r="D183" s="6" t="n"/>
      <c r="E183" s="6" t="n"/>
      <c r="F183" s="6" t="n"/>
      <c r="G183" s="6" t="n"/>
      <c r="H183" s="6" t="n"/>
      <c r="I183" s="6" t="n"/>
      <c r="J183" s="6" t="n"/>
      <c r="K183" s="6" t="n"/>
      <c r="L183" s="6" t="n"/>
      <c r="M183" s="6" t="n"/>
      <c r="N183" s="6" t="n"/>
      <c r="O183" s="6" t="n"/>
      <c r="P183" s="6" t="n"/>
      <c r="Q183" s="6" t="n"/>
      <c r="R183" s="6" t="n"/>
      <c r="S183" s="44" t="n"/>
    </row>
    <row r="184" ht="15" customHeight="1" s="67">
      <c r="A184" s="6" t="n"/>
      <c r="B184" s="6" t="n"/>
      <c r="C184" s="6" t="n"/>
      <c r="D184" s="6" t="n"/>
      <c r="E184" s="6" t="n"/>
      <c r="F184" s="6" t="n"/>
      <c r="G184" s="6" t="n"/>
      <c r="H184" s="6" t="n"/>
      <c r="I184" s="6" t="n"/>
      <c r="J184" s="6" t="n"/>
      <c r="K184" s="6" t="n"/>
      <c r="L184" s="6" t="n"/>
      <c r="M184" s="6" t="n"/>
      <c r="N184" s="6" t="n"/>
      <c r="O184" s="6" t="n"/>
      <c r="P184" s="6" t="n"/>
      <c r="Q184" s="6" t="n"/>
      <c r="R184" s="6" t="n"/>
      <c r="S184" s="44" t="n"/>
    </row>
    <row r="185" ht="15" customHeight="1" s="67">
      <c r="A185" s="6" t="n"/>
      <c r="B185" s="6" t="n"/>
      <c r="C185" s="6" t="n"/>
      <c r="D185" s="6" t="n"/>
      <c r="E185" s="6" t="n"/>
      <c r="F185" s="6" t="n"/>
      <c r="G185" s="6" t="n"/>
      <c r="H185" s="6" t="n"/>
      <c r="I185" s="6" t="n"/>
      <c r="J185" s="6" t="n"/>
      <c r="K185" s="6" t="n"/>
      <c r="L185" s="6" t="n"/>
      <c r="M185" s="6" t="n"/>
      <c r="N185" s="6" t="n"/>
      <c r="O185" s="6" t="n"/>
      <c r="P185" s="6" t="n"/>
      <c r="Q185" s="6" t="n"/>
      <c r="R185" s="6" t="n"/>
      <c r="S185" s="44" t="n"/>
    </row>
    <row r="186" ht="15" customHeight="1" s="67">
      <c r="A186" s="6" t="n"/>
      <c r="B186" s="6" t="n"/>
      <c r="C186" s="6" t="n"/>
      <c r="D186" s="6" t="n"/>
      <c r="E186" s="6" t="n"/>
      <c r="F186" s="6" t="n"/>
      <c r="G186" s="6" t="n"/>
      <c r="H186" s="6" t="n"/>
      <c r="I186" s="6" t="n"/>
      <c r="J186" s="6" t="n"/>
      <c r="K186" s="6" t="n"/>
      <c r="L186" s="6" t="n"/>
      <c r="M186" s="6" t="n"/>
      <c r="N186" s="6" t="n"/>
      <c r="O186" s="6" t="n"/>
      <c r="P186" s="6" t="n"/>
      <c r="Q186" s="6" t="n"/>
      <c r="R186" s="6" t="n"/>
      <c r="S186" s="44" t="n"/>
    </row>
    <row r="187" ht="15" customHeight="1" s="67">
      <c r="A187" s="6" t="n"/>
      <c r="B187" s="6" t="n"/>
      <c r="C187" s="6" t="n"/>
      <c r="D187" s="6" t="n"/>
      <c r="E187" s="6" t="n"/>
      <c r="F187" s="6" t="n"/>
      <c r="G187" s="6" t="n"/>
      <c r="H187" s="6" t="n"/>
      <c r="I187" s="6" t="n"/>
      <c r="J187" s="6" t="n"/>
      <c r="K187" s="6" t="n"/>
      <c r="L187" s="6" t="n"/>
      <c r="M187" s="6" t="n"/>
      <c r="N187" s="6" t="n"/>
      <c r="O187" s="6" t="n"/>
      <c r="P187" s="6" t="n"/>
      <c r="Q187" s="6" t="n"/>
      <c r="R187" s="6" t="n"/>
      <c r="S187" s="44" t="n"/>
    </row>
    <row r="188" ht="15" customHeight="1" s="67">
      <c r="A188" s="6" t="n"/>
      <c r="B188" s="6" t="n"/>
      <c r="C188" s="6" t="n"/>
      <c r="D188" s="6" t="n"/>
      <c r="E188" s="6" t="n"/>
      <c r="F188" s="6" t="n"/>
      <c r="G188" s="6" t="n"/>
      <c r="H188" s="6" t="n"/>
      <c r="I188" s="6" t="n"/>
      <c r="J188" s="6" t="n"/>
      <c r="K188" s="6" t="n"/>
      <c r="L188" s="6" t="n"/>
      <c r="M188" s="6" t="n"/>
      <c r="N188" s="6" t="n"/>
      <c r="O188" s="6" t="n"/>
      <c r="P188" s="6" t="n"/>
      <c r="Q188" s="6" t="n"/>
      <c r="R188" s="6" t="n"/>
      <c r="S188" s="44" t="n"/>
    </row>
    <row r="189" ht="15" customHeight="1" s="67">
      <c r="A189" s="6" t="n"/>
      <c r="B189" s="6" t="n"/>
      <c r="C189" s="6" t="n"/>
      <c r="D189" s="6" t="n"/>
      <c r="E189" s="6" t="n"/>
      <c r="F189" s="6" t="n"/>
      <c r="G189" s="6" t="n"/>
      <c r="H189" s="6" t="n"/>
      <c r="I189" s="6" t="n"/>
      <c r="J189" s="6" t="n"/>
      <c r="K189" s="6" t="n"/>
      <c r="L189" s="6" t="n"/>
      <c r="M189" s="6" t="n"/>
      <c r="N189" s="6" t="n"/>
      <c r="O189" s="6" t="n"/>
      <c r="P189" s="6" t="n"/>
      <c r="Q189" s="6" t="n"/>
      <c r="R189" s="6" t="n"/>
      <c r="S189" s="44" t="n"/>
    </row>
    <row r="190" ht="15" customHeight="1" s="67">
      <c r="A190" s="6" t="n"/>
      <c r="B190" s="6" t="n"/>
      <c r="C190" s="6" t="n"/>
      <c r="D190" s="6" t="n"/>
      <c r="E190" s="6" t="n"/>
      <c r="F190" s="6" t="n"/>
      <c r="G190" s="6" t="n"/>
      <c r="H190" s="6" t="n"/>
      <c r="I190" s="6" t="n"/>
      <c r="J190" s="6" t="n"/>
      <c r="K190" s="6" t="n"/>
      <c r="L190" s="6" t="n"/>
      <c r="M190" s="6" t="n"/>
      <c r="N190" s="6" t="n"/>
      <c r="O190" s="6" t="n"/>
      <c r="P190" s="6" t="n"/>
      <c r="Q190" s="6" t="n"/>
      <c r="R190" s="6" t="n"/>
      <c r="S190" s="44" t="n"/>
    </row>
    <row r="191" ht="15" customHeight="1" s="67">
      <c r="A191" s="6" t="n"/>
      <c r="B191" s="6" t="n"/>
      <c r="C191" s="6" t="n"/>
      <c r="D191" s="6" t="n"/>
      <c r="E191" s="6" t="n"/>
      <c r="F191" s="6" t="n"/>
      <c r="G191" s="6" t="n"/>
      <c r="H191" s="6" t="n"/>
      <c r="I191" s="6" t="n"/>
      <c r="J191" s="6" t="n"/>
      <c r="K191" s="6" t="n"/>
      <c r="L191" s="6" t="n"/>
      <c r="M191" s="6" t="n"/>
      <c r="N191" s="6" t="n"/>
      <c r="O191" s="6" t="n"/>
      <c r="P191" s="6" t="n"/>
      <c r="Q191" s="6" t="n"/>
      <c r="R191" s="6" t="n"/>
      <c r="S191" s="44" t="n"/>
    </row>
    <row r="192" ht="15" customHeight="1" s="67">
      <c r="A192" s="6" t="n"/>
      <c r="B192" s="6" t="n"/>
      <c r="C192" s="6" t="n"/>
      <c r="D192" s="6" t="n"/>
      <c r="E192" s="6" t="n"/>
      <c r="F192" s="6" t="n"/>
      <c r="G192" s="6" t="n"/>
      <c r="H192" s="6" t="n"/>
      <c r="I192" s="6" t="n"/>
      <c r="J192" s="6" t="n"/>
      <c r="K192" s="6" t="n"/>
      <c r="L192" s="6" t="n"/>
      <c r="M192" s="6" t="n"/>
      <c r="N192" s="6" t="n"/>
      <c r="O192" s="6" t="n"/>
      <c r="P192" s="6" t="n"/>
      <c r="Q192" s="6" t="n"/>
      <c r="R192" s="6" t="n"/>
      <c r="S192" s="44" t="n"/>
    </row>
    <row r="193" ht="15" customHeight="1" s="67">
      <c r="A193" s="6" t="n"/>
      <c r="B193" s="6" t="n"/>
      <c r="C193" s="6" t="n"/>
      <c r="D193" s="6" t="n"/>
      <c r="E193" s="6" t="n"/>
      <c r="F193" s="6" t="n"/>
      <c r="G193" s="6" t="n"/>
      <c r="H193" s="6" t="n"/>
      <c r="I193" s="6" t="n"/>
      <c r="J193" s="6" t="n"/>
      <c r="K193" s="6" t="n"/>
      <c r="L193" s="6" t="n"/>
      <c r="M193" s="6" t="n"/>
      <c r="N193" s="6" t="n"/>
      <c r="O193" s="6" t="n"/>
      <c r="P193" s="6" t="n"/>
      <c r="Q193" s="6" t="n"/>
      <c r="R193" s="6" t="n"/>
      <c r="S193" s="44" t="n"/>
    </row>
    <row r="194" ht="15" customHeight="1" s="67">
      <c r="A194" s="6" t="n"/>
      <c r="B194" s="6" t="n"/>
      <c r="C194" s="6" t="n"/>
      <c r="D194" s="6" t="n"/>
      <c r="E194" s="6" t="n"/>
      <c r="F194" s="6" t="n"/>
      <c r="G194" s="6" t="n"/>
      <c r="H194" s="6" t="n"/>
      <c r="I194" s="6" t="n"/>
      <c r="J194" s="6" t="n"/>
      <c r="K194" s="6" t="n"/>
      <c r="L194" s="6" t="n"/>
      <c r="M194" s="6" t="n"/>
      <c r="N194" s="6" t="n"/>
      <c r="O194" s="6" t="n"/>
      <c r="P194" s="6" t="n"/>
      <c r="Q194" s="6" t="n"/>
      <c r="R194" s="6" t="n"/>
      <c r="S194" s="44" t="n"/>
    </row>
    <row r="195" ht="15" customHeight="1" s="67">
      <c r="A195" s="6" t="n"/>
      <c r="B195" s="6" t="n"/>
      <c r="C195" s="6" t="n"/>
      <c r="D195" s="6" t="n"/>
      <c r="E195" s="6" t="n"/>
      <c r="F195" s="6" t="n"/>
      <c r="G195" s="6" t="n"/>
      <c r="H195" s="6" t="n"/>
      <c r="I195" s="6" t="n"/>
      <c r="J195" s="6" t="n"/>
      <c r="K195" s="6" t="n"/>
      <c r="L195" s="6" t="n"/>
      <c r="M195" s="6" t="n"/>
      <c r="N195" s="6" t="n"/>
      <c r="O195" s="6" t="n"/>
      <c r="P195" s="6" t="n"/>
      <c r="Q195" s="6" t="n"/>
      <c r="R195" s="6" t="n"/>
      <c r="S195" s="44" t="n"/>
    </row>
    <row r="196" ht="15" customHeight="1" s="67">
      <c r="A196" s="6" t="n"/>
      <c r="B196" s="6" t="n"/>
      <c r="C196" s="6" t="n"/>
      <c r="D196" s="6" t="n"/>
      <c r="E196" s="6" t="n"/>
      <c r="F196" s="6" t="n"/>
      <c r="G196" s="6" t="n"/>
      <c r="H196" s="6" t="n"/>
      <c r="I196" s="6" t="n"/>
      <c r="J196" s="6" t="n"/>
      <c r="K196" s="6" t="n"/>
      <c r="L196" s="6" t="n"/>
      <c r="M196" s="6" t="n"/>
      <c r="N196" s="6" t="n"/>
      <c r="O196" s="6" t="n"/>
      <c r="P196" s="6" t="n"/>
      <c r="Q196" s="6" t="n"/>
      <c r="R196" s="6" t="n"/>
      <c r="S196" s="44" t="n"/>
    </row>
    <row r="197" ht="15" customHeight="1" s="67">
      <c r="A197" s="6" t="n"/>
      <c r="B197" s="6" t="n"/>
      <c r="C197" s="6" t="n"/>
      <c r="D197" s="6" t="n"/>
      <c r="E197" s="6" t="n"/>
      <c r="F197" s="6" t="n"/>
      <c r="G197" s="6" t="n"/>
      <c r="H197" s="6" t="n"/>
      <c r="I197" s="6" t="n"/>
      <c r="J197" s="6" t="n"/>
      <c r="K197" s="6" t="n"/>
      <c r="L197" s="6" t="n"/>
      <c r="M197" s="6" t="n"/>
      <c r="N197" s="6" t="n"/>
      <c r="O197" s="6" t="n"/>
      <c r="P197" s="6" t="n"/>
      <c r="Q197" s="6" t="n"/>
      <c r="R197" s="6" t="n"/>
      <c r="S197" s="44" t="n"/>
    </row>
    <row r="198" ht="15" customHeight="1" s="67">
      <c r="A198" s="6" t="n"/>
      <c r="B198" s="6" t="n"/>
      <c r="C198" s="6" t="n"/>
      <c r="D198" s="6" t="n"/>
      <c r="E198" s="6" t="n"/>
      <c r="F198" s="6" t="n"/>
      <c r="G198" s="6" t="n"/>
      <c r="H198" s="6" t="n"/>
      <c r="I198" s="6" t="n"/>
      <c r="J198" s="6" t="n"/>
      <c r="K198" s="6" t="n"/>
      <c r="L198" s="6" t="n"/>
      <c r="M198" s="6" t="n"/>
      <c r="N198" s="6" t="n"/>
      <c r="O198" s="6" t="n"/>
      <c r="P198" s="6" t="n"/>
      <c r="Q198" s="6" t="n"/>
      <c r="R198" s="6" t="n"/>
      <c r="S198" s="44" t="n"/>
    </row>
    <row r="199" ht="15" customHeight="1" s="67">
      <c r="A199" s="6" t="n"/>
      <c r="B199" s="6" t="n"/>
      <c r="C199" s="6" t="n"/>
      <c r="D199" s="6" t="n"/>
      <c r="E199" s="6" t="n"/>
      <c r="F199" s="6" t="n"/>
      <c r="G199" s="6" t="n"/>
      <c r="H199" s="6" t="n"/>
      <c r="I199" s="6" t="n"/>
      <c r="J199" s="6" t="n"/>
      <c r="K199" s="6" t="n"/>
      <c r="L199" s="6" t="n"/>
      <c r="M199" s="6" t="n"/>
      <c r="N199" s="6" t="n"/>
      <c r="O199" s="6" t="n"/>
      <c r="P199" s="6" t="n"/>
      <c r="Q199" s="6" t="n"/>
      <c r="R199" s="6" t="n"/>
      <c r="S199" s="44" t="n"/>
    </row>
    <row r="200" ht="15" customHeight="1" s="67">
      <c r="A200" s="6" t="n"/>
      <c r="B200" s="6" t="n"/>
      <c r="C200" s="6" t="n"/>
      <c r="D200" s="6" t="n"/>
      <c r="E200" s="6" t="n"/>
      <c r="F200" s="6" t="n"/>
      <c r="G200" s="6" t="n"/>
      <c r="H200" s="6" t="n"/>
      <c r="I200" s="6" t="n"/>
      <c r="J200" s="6" t="n"/>
      <c r="K200" s="6" t="n"/>
      <c r="L200" s="6" t="n"/>
      <c r="M200" s="6" t="n"/>
      <c r="N200" s="6" t="n"/>
      <c r="O200" s="6" t="n"/>
      <c r="P200" s="6" t="n"/>
      <c r="Q200" s="6" t="n"/>
      <c r="R200" s="6" t="n"/>
      <c r="S200" s="44" t="n"/>
    </row>
    <row r="201" ht="15" customHeight="1" s="67">
      <c r="A201" s="6" t="n"/>
      <c r="B201" s="6" t="n"/>
      <c r="C201" s="6" t="n"/>
      <c r="D201" s="6" t="n"/>
      <c r="E201" s="6" t="n"/>
      <c r="F201" s="6" t="n"/>
      <c r="G201" s="6" t="n"/>
      <c r="H201" s="6" t="n"/>
      <c r="I201" s="6" t="n"/>
      <c r="J201" s="6" t="n"/>
      <c r="K201" s="6" t="n"/>
      <c r="L201" s="6" t="n"/>
      <c r="M201" s="6" t="n"/>
      <c r="N201" s="6" t="n"/>
      <c r="O201" s="6" t="n"/>
      <c r="P201" s="6" t="n"/>
      <c r="Q201" s="6" t="n"/>
      <c r="R201" s="6" t="n"/>
      <c r="S201" s="44" t="n"/>
    </row>
  </sheetData>
  <dataValidations count="1">
    <dataValidation sqref="S2:S201" showDropDown="0" showInputMessage="0" showErrorMessage="0" allowBlank="1" type="list">
      <formula1>"Upstream,Integrated,Downstream,Other"</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FF70AD47"/>
    <outlinePr summaryBelow="1" summaryRight="1"/>
    <pageSetUpPr/>
  </sheetPr>
  <dimension ref="A1:BG201"/>
  <sheetViews>
    <sheetView showGridLines="0" tabSelected="1" zoomScaleNormal="100" workbookViewId="0">
      <pane xSplit="1" ySplit="1" topLeftCell="AV2" activePane="bottomRight" state="frozen"/>
      <selection pane="topRight" activeCell="B1" sqref="B1"/>
      <selection pane="bottomLeft" activeCell="A2" sqref="A2"/>
      <selection pane="bottomRight" activeCell="O1" sqref="O1:AN1"/>
    </sheetView>
  </sheetViews>
  <sheetFormatPr baseColWidth="8" defaultColWidth="8.6640625" defaultRowHeight="14.4"/>
  <cols>
    <col width="22" customWidth="1" style="67" min="1" max="1"/>
    <col width="14" customWidth="1" style="67" min="2" max="54"/>
    <col width="18" customWidth="1" style="67" min="55" max="58"/>
  </cols>
  <sheetData>
    <row r="1" ht="69" customHeight="1" s="67">
      <c r="A1" s="5" t="inlineStr">
        <is>
          <t>Company</t>
        </is>
      </c>
      <c r="B1" s="5" t="inlineStr">
        <is>
          <t>Planted Area Total (ha)</t>
        </is>
      </c>
      <c r="C1" s="5" t="inlineStr">
        <is>
          <t>Nucleus Area (ha)</t>
        </is>
      </c>
      <c r="D1" s="5" t="inlineStr">
        <is>
          <t>Plasma Area (ha)</t>
        </is>
      </c>
      <c r="E1" s="5" t="inlineStr">
        <is>
          <t>Mature Area (ha)</t>
        </is>
      </c>
      <c r="F1" s="5" t="inlineStr">
        <is>
          <t>Immature Area (ha)</t>
        </is>
      </c>
      <c r="G1" s="5" t="inlineStr">
        <is>
          <t>Productive Age Area (ha)</t>
        </is>
      </c>
      <c r="H1" s="5" t="inlineStr">
        <is>
          <t>Old Age Area (ha)</t>
        </is>
      </c>
      <c r="I1" s="5" t="inlineStr">
        <is>
          <t>Average Tree Age (years)</t>
        </is>
      </c>
      <c r="J1" s="5" t="inlineStr">
        <is>
          <t>Replanting Area (ha)</t>
        </is>
      </c>
      <c r="K1" s="5" t="inlineStr">
        <is>
          <t>Sumatra Area (ha)</t>
        </is>
      </c>
      <c r="L1" s="5" t="inlineStr">
        <is>
          <t>Kalimantan Area (ha)</t>
        </is>
      </c>
      <c r="M1" s="5" t="inlineStr">
        <is>
          <t>Sulawesi Area (ha)</t>
        </is>
      </c>
      <c r="N1" s="5" t="inlineStr">
        <is>
          <t>Other Region Area (ha)</t>
        </is>
      </c>
      <c r="O1" s="5" t="inlineStr">
        <is>
          <t>Mills Count (#)</t>
        </is>
      </c>
      <c r="P1" s="5" t="inlineStr">
        <is>
          <t>Mill Capacity (tph)</t>
        </is>
      </c>
      <c r="Q1" s="5" t="inlineStr">
        <is>
          <t>Kernel Crushing Count (#)</t>
        </is>
      </c>
      <c r="R1" s="5" t="inlineStr">
        <is>
          <t>Kernel Crushing Capacity (tph)</t>
        </is>
      </c>
      <c r="S1" s="5" t="inlineStr">
        <is>
          <t>CPO Refinery Count (#)</t>
        </is>
      </c>
      <c r="T1" s="5" t="inlineStr">
        <is>
          <t>CPO Refinery Capacity (tpa)</t>
        </is>
      </c>
      <c r="U1" s="5" t="inlineStr">
        <is>
          <t>PKO Refinery Count (#)</t>
        </is>
      </c>
      <c r="V1" s="5" t="inlineStr">
        <is>
          <t>PKO Refinery Capacity (tpa)</t>
        </is>
      </c>
      <c r="W1" s="5" t="inlineStr">
        <is>
          <t>NPK Plant Count (#)</t>
        </is>
      </c>
      <c r="X1" s="5" t="inlineStr">
        <is>
          <t>Jetty/Logistics Note</t>
        </is>
      </c>
      <c r="Y1" s="5" t="inlineStr">
        <is>
          <t>Power Infrastructure Note</t>
        </is>
      </c>
      <c r="Z1" s="5" t="inlineStr">
        <is>
          <t>Road Infrastructure Note</t>
        </is>
      </c>
      <c r="AA1" s="5" t="inlineStr">
        <is>
          <t>Third-Party FFB (t)</t>
        </is>
      </c>
      <c r="AB1" s="5" t="inlineStr">
        <is>
          <t>Third-Party Dependence (%) [auto]</t>
        </is>
      </c>
      <c r="AC1" s="5" t="inlineStr">
        <is>
          <t>FFB Production (t)</t>
        </is>
      </c>
      <c r="AD1" s="5" t="inlineStr">
        <is>
          <t>Nucleus FFB (t)</t>
        </is>
      </c>
      <c r="AE1" s="5" t="inlineStr">
        <is>
          <t>Plasma FFB (t)</t>
        </is>
      </c>
      <c r="AF1" s="5" t="inlineStr">
        <is>
          <t>FFB Processed (t)</t>
        </is>
      </c>
      <c r="AG1" s="5" t="inlineStr">
        <is>
          <t>CPO Production (t)</t>
        </is>
      </c>
      <c r="AH1" s="5" t="inlineStr">
        <is>
          <t>Kernel Production (t)</t>
        </is>
      </c>
      <c r="AI1" s="5" t="inlineStr">
        <is>
          <t>PKO Production (t)</t>
        </is>
      </c>
      <c r="AJ1" s="5" t="inlineStr">
        <is>
          <t>RBDPO Production (t)</t>
        </is>
      </c>
      <c r="AK1" s="5" t="inlineStr">
        <is>
          <t>Olein Production (t)</t>
        </is>
      </c>
      <c r="AL1" s="5" t="inlineStr">
        <is>
          <t>Stearin Production (t)</t>
        </is>
      </c>
      <c r="AM1" s="5" t="inlineStr">
        <is>
          <t>PFAD Production (t)</t>
        </is>
      </c>
      <c r="AN1" s="5" t="inlineStr">
        <is>
          <t>PKE Production (t)</t>
        </is>
      </c>
      <c r="AO1" s="5" t="inlineStr">
        <is>
          <t>FFB Yield (t/ha) [auto = FFB Prod/Mature Area]</t>
        </is>
      </c>
      <c r="AP1" s="5" t="inlineStr">
        <is>
          <t>Nucleus FFB Yield (t/ha) [auto]</t>
        </is>
      </c>
      <c r="AQ1" s="5" t="inlineStr">
        <is>
          <t>CPO Yield (t/ha) [auto = CPO Prod/Mature Area]</t>
        </is>
      </c>
      <c r="AR1" s="5" t="inlineStr">
        <is>
          <t>OER (%) [auto = CPO/FFB Processed]</t>
        </is>
      </c>
      <c r="AS1" s="5" t="inlineStr">
        <is>
          <t>KER (%) [auto = Kernel/FFB Processed]</t>
        </is>
      </c>
      <c r="AT1" s="5" t="inlineStr">
        <is>
          <t>PKO Extraction (%) [auto]</t>
        </is>
      </c>
      <c r="AU1" s="5" t="inlineStr">
        <is>
          <t>PKE Extraction (%) [auto]</t>
        </is>
      </c>
      <c r="AV1" s="5" t="inlineStr">
        <is>
          <t>Average CPO Selling Price (local ccy/kg)</t>
        </is>
      </c>
      <c r="AW1" s="5" t="inlineStr">
        <is>
          <t>Domestic Sales (%)</t>
        </is>
      </c>
      <c r="AX1" s="5" t="inlineStr">
        <is>
          <t>Export Sales (%)</t>
        </is>
      </c>
      <c r="AY1" s="5" t="inlineStr">
        <is>
          <t>Asset Quality Note</t>
        </is>
      </c>
      <c r="AZ1" s="5" t="inlineStr">
        <is>
          <t>Ops Risk Note</t>
        </is>
      </c>
      <c r="BA1" s="5" t="inlineStr">
        <is>
          <t>Digitalization Note</t>
        </is>
      </c>
      <c r="BB1" s="5" t="inlineStr">
        <is>
          <t>Sustainability Ops Note</t>
        </is>
      </c>
      <c r="BC1" s="37" t="inlineStr">
        <is>
          <t>OER vs Own FFB (%) [auto = CPO/Own FFB]</t>
        </is>
      </c>
      <c r="BD1" s="37" t="inlineStr">
        <is>
          <t>OER vs Total Available FFB (%) [auto = CPO/(Own+3rd Party)]</t>
        </is>
      </c>
      <c r="BE1" s="37" t="inlineStr">
        <is>
          <t>OER Reported (%) (manual; company disclosure)</t>
        </is>
      </c>
      <c r="BF1" s="37" t="inlineStr">
        <is>
          <t>OER Method Note (manual)</t>
        </is>
      </c>
      <c r="BG1" s="5" t="inlineStr">
        <is>
          <t>Report Year</t>
        </is>
      </c>
    </row>
    <row r="2" ht="15" customHeight="1" s="67">
      <c r="A2" s="8" t="inlineStr">
        <is>
          <t>PT Astra Agro Lestari Tbk</t>
        </is>
      </c>
      <c r="B2" s="86" t="n">
        <v>285387</v>
      </c>
      <c r="C2" s="86" t="n">
        <v>213158</v>
      </c>
      <c r="D2" s="86" t="n">
        <v>72229</v>
      </c>
      <c r="E2" s="86" t="n">
        <v>265518</v>
      </c>
      <c r="F2" s="86" t="n">
        <v>19869</v>
      </c>
      <c r="G2" s="86" t="n">
        <v>102319</v>
      </c>
      <c r="H2" s="86" t="n">
        <v>163199</v>
      </c>
      <c r="I2" s="86" t="n">
        <v>16.2</v>
      </c>
      <c r="J2" s="86" t="n"/>
      <c r="K2" s="86" t="n">
        <v>105300</v>
      </c>
      <c r="L2" s="86" t="n">
        <v>129804</v>
      </c>
      <c r="M2" s="86" t="n">
        <v>50283</v>
      </c>
      <c r="N2" s="86" t="n">
        <v>0</v>
      </c>
      <c r="O2" s="86" t="n">
        <v>32</v>
      </c>
      <c r="P2" s="86" t="n">
        <v>1570</v>
      </c>
      <c r="Q2" s="86" t="n">
        <v>14</v>
      </c>
      <c r="R2" s="86" t="n"/>
      <c r="S2" s="86" t="n">
        <v>2</v>
      </c>
      <c r="T2" s="86" t="n"/>
      <c r="U2" s="86" t="n">
        <v>1</v>
      </c>
      <c r="V2" s="86" t="n"/>
      <c r="W2" s="86" t="n">
        <v>2</v>
      </c>
      <c r="X2" s="8" t="n"/>
      <c r="Y2" s="8" t="n"/>
      <c r="Z2" s="8" t="n"/>
      <c r="AA2" s="86" t="n">
        <v>2398457</v>
      </c>
      <c r="AB2" s="87">
        <f>IFERROR(AA2/AF2,"")</f>
        <v/>
      </c>
      <c r="AC2" s="86" t="n">
        <v>3312149</v>
      </c>
      <c r="AD2" s="86" t="n">
        <v>3312149</v>
      </c>
      <c r="AE2" s="86" t="n">
        <v>1041496</v>
      </c>
      <c r="AF2" s="86" t="n">
        <v>6752102</v>
      </c>
      <c r="AG2" s="86" t="n">
        <v>1275539</v>
      </c>
      <c r="AH2" s="86" t="n">
        <v>272310</v>
      </c>
      <c r="AI2" s="86" t="n">
        <v>45158</v>
      </c>
      <c r="AJ2" s="86" t="n">
        <v>17289</v>
      </c>
      <c r="AK2" s="86" t="n">
        <v>441671</v>
      </c>
      <c r="AL2" s="86" t="n">
        <v>115918</v>
      </c>
      <c r="AM2" s="86" t="n">
        <v>23621</v>
      </c>
      <c r="AN2" s="86" t="n">
        <v>56142</v>
      </c>
      <c r="AO2" s="11">
        <f>IFERROR(AC2/E2,"")</f>
        <v/>
      </c>
      <c r="AP2" s="11">
        <f>IFERROR(AD2/E2,"")</f>
        <v/>
      </c>
      <c r="AQ2" s="11">
        <f>IFERROR(AG2/E2,"")</f>
        <v/>
      </c>
      <c r="AR2" s="87">
        <f>IFERROR(AG2/AF2,"")</f>
        <v/>
      </c>
      <c r="AS2" s="87">
        <f>IFERROR(AH2/AF2,"")</f>
        <v/>
      </c>
      <c r="AT2" s="87">
        <f>IFERROR(AI2/AH2,"")</f>
        <v/>
      </c>
      <c r="AU2" s="87">
        <f>IFERROR(AN2/AH2,"")</f>
        <v/>
      </c>
      <c r="AV2" s="88" t="n">
        <v>12948</v>
      </c>
      <c r="AW2" s="89" t="n"/>
      <c r="AX2" s="89" t="n"/>
      <c r="AY2" s="8" t="n"/>
      <c r="AZ2" s="8" t="n"/>
      <c r="BA2" s="8" t="n"/>
      <c r="BB2" s="8" t="n"/>
      <c r="BC2" s="90">
        <f>IFERROR(AG2/AC2,"")</f>
        <v/>
      </c>
      <c r="BD2" s="90">
        <f>IFERROR(AG2/(AC2+AA2),"")</f>
        <v/>
      </c>
      <c r="BE2" s="91" t="n">
        <v>0.1889</v>
      </c>
      <c r="BF2" s="40" t="inlineStr">
        <is>
          <t>Reported CPO Extraction Rate 18.89% (p.13 "Rendemen Minyak Sawit")</t>
        </is>
      </c>
      <c r="BG2" t="n">
        <v>2023</v>
      </c>
    </row>
    <row r="3" ht="15" customHeight="1" s="67">
      <c r="A3" s="8" t="inlineStr">
        <is>
          <t>PT Astra Agro Lestari Tbk</t>
        </is>
      </c>
      <c r="B3" s="86" t="n">
        <v>284831</v>
      </c>
      <c r="C3" s="86" t="n">
        <v>212602</v>
      </c>
      <c r="D3" s="86" t="n">
        <v>72229</v>
      </c>
      <c r="E3" s="86" t="n">
        <v>265490</v>
      </c>
      <c r="F3" s="86" t="n">
        <v>19341</v>
      </c>
      <c r="G3" s="86" t="n">
        <v>87761</v>
      </c>
      <c r="H3" s="86" t="n">
        <v>177729</v>
      </c>
      <c r="I3" s="86" t="n">
        <v>16.5</v>
      </c>
      <c r="J3" s="86" t="n"/>
      <c r="K3" s="86" t="n">
        <v>104376</v>
      </c>
      <c r="L3" s="86" t="n">
        <v>130043</v>
      </c>
      <c r="M3" s="86" t="n">
        <v>50412</v>
      </c>
      <c r="N3" s="86" t="n"/>
      <c r="O3" s="86" t="n">
        <v>32</v>
      </c>
      <c r="P3" s="86" t="n">
        <v>1570</v>
      </c>
      <c r="Q3" s="86" t="n">
        <v>14</v>
      </c>
      <c r="R3" s="86" t="n"/>
      <c r="S3" s="86" t="n">
        <v>2</v>
      </c>
      <c r="T3" s="86" t="n"/>
      <c r="U3" s="86" t="n">
        <v>1</v>
      </c>
      <c r="V3" s="86" t="n"/>
      <c r="W3" s="86" t="n">
        <v>2</v>
      </c>
      <c r="X3" s="8" t="n"/>
      <c r="Y3" s="8" t="n"/>
      <c r="Z3" s="8" t="n"/>
      <c r="AA3" s="86" t="n">
        <v>2180762</v>
      </c>
      <c r="AB3" s="87">
        <f>IFERROR(AA3/AF3,"")</f>
        <v/>
      </c>
      <c r="AC3" s="86" t="n">
        <v>3002685</v>
      </c>
      <c r="AD3" s="86" t="n">
        <v>3002685</v>
      </c>
      <c r="AE3" s="86" t="n">
        <v>731773</v>
      </c>
      <c r="AF3" s="86" t="n">
        <v>5915220</v>
      </c>
      <c r="AG3" s="86" t="n">
        <v>1125388</v>
      </c>
      <c r="AH3" s="86" t="n">
        <v>234121</v>
      </c>
      <c r="AI3" s="86" t="n">
        <v>46454</v>
      </c>
      <c r="AJ3" s="86" t="n">
        <v>14760</v>
      </c>
      <c r="AK3" s="86" t="n">
        <v>388106</v>
      </c>
      <c r="AL3" s="86" t="n">
        <v>95826</v>
      </c>
      <c r="AM3" s="86" t="n">
        <v>19382</v>
      </c>
      <c r="AN3" s="86" t="n">
        <v>57001</v>
      </c>
      <c r="AO3" s="11">
        <f>IFERROR(AC3/E3,"")</f>
        <v/>
      </c>
      <c r="AP3" s="11">
        <f>IFERROR(AD3/E3,"")</f>
        <v/>
      </c>
      <c r="AQ3" s="11">
        <f>IFERROR(AG3/E3,"")</f>
        <v/>
      </c>
      <c r="AR3" s="87">
        <f>IFERROR(AG3/AF3,"")</f>
        <v/>
      </c>
      <c r="AS3" s="87">
        <f>IFERROR(AH3/AF3,"")</f>
        <v/>
      </c>
      <c r="AT3" s="87">
        <f>IFERROR(AI3/AH3,"")</f>
        <v/>
      </c>
      <c r="AU3" s="87">
        <f>IFERROR(AN3/AH3,"")</f>
        <v/>
      </c>
      <c r="AV3" s="88" t="n">
        <v>12883</v>
      </c>
      <c r="AW3" s="89" t="n">
        <v>0.6899999999999999</v>
      </c>
      <c r="AX3" s="89" t="n">
        <v>0.31</v>
      </c>
      <c r="AY3" s="8" t="n"/>
      <c r="AZ3" s="8" t="n"/>
      <c r="BA3" s="8" t="n"/>
      <c r="BB3" s="8" t="n"/>
      <c r="BC3" s="90">
        <f>IFERROR(AG3/AC3,"")</f>
        <v/>
      </c>
      <c r="BD3" s="90">
        <f>IFERROR(AG3/(AC3+AA3),"")</f>
        <v/>
      </c>
      <c r="BE3" s="91" t="n">
        <v>0.1903</v>
      </c>
      <c r="BF3" s="40" t="inlineStr">
        <is>
          <t>Reported CPO Extraction Rate 19.03% (p.15 'Rendemen Minyak Sawit')</t>
        </is>
      </c>
      <c r="BG3" t="n">
        <v>2024</v>
      </c>
    </row>
    <row r="4" ht="15" customHeight="1" s="67">
      <c r="A4" s="8" t="inlineStr">
        <is>
          <t>PT Astra Agro Lestari Tbk</t>
        </is>
      </c>
      <c r="B4" s="86" t="n">
        <v>280325</v>
      </c>
      <c r="C4" s="86" t="n">
        <v>208063</v>
      </c>
      <c r="D4" s="86" t="n">
        <v>72262</v>
      </c>
      <c r="E4" s="86" t="n">
        <v>260927</v>
      </c>
      <c r="F4" s="86" t="n">
        <v>19399</v>
      </c>
      <c r="G4" s="86" t="n">
        <v>76292</v>
      </c>
      <c r="H4" s="86" t="n">
        <v>184635</v>
      </c>
      <c r="I4" s="86" t="n">
        <v>16.7</v>
      </c>
      <c r="J4" s="86" t="n"/>
      <c r="K4" s="86" t="n">
        <v>103389</v>
      </c>
      <c r="L4" s="86" t="n">
        <v>129093</v>
      </c>
      <c r="M4" s="86" t="n">
        <v>47843</v>
      </c>
      <c r="N4" s="86" t="n"/>
      <c r="O4" s="86" t="n">
        <v>32</v>
      </c>
      <c r="P4" s="86" t="n">
        <v>1655</v>
      </c>
      <c r="Q4" s="86" t="n">
        <v>14</v>
      </c>
      <c r="R4" s="86" t="n"/>
      <c r="S4" s="86" t="n">
        <v>2</v>
      </c>
      <c r="T4" s="86" t="n"/>
      <c r="U4" s="86" t="n">
        <v>1</v>
      </c>
      <c r="V4" s="86" t="n"/>
      <c r="W4" s="86" t="n">
        <v>2</v>
      </c>
      <c r="X4" s="8" t="n"/>
      <c r="Y4" s="8" t="n"/>
      <c r="Z4" s="8" t="n"/>
      <c r="AA4" s="86" t="n">
        <v>2409810</v>
      </c>
      <c r="AB4" s="87">
        <f>IFERROR(AA4/AF4,"")</f>
        <v/>
      </c>
      <c r="AC4" s="86" t="n">
        <v>3009024</v>
      </c>
      <c r="AD4" s="86" t="n">
        <v>3009024</v>
      </c>
      <c r="AE4" s="86" t="n">
        <v>812535</v>
      </c>
      <c r="AF4" s="86" t="n">
        <v>6231369</v>
      </c>
      <c r="AG4" s="86" t="n">
        <v>1197514</v>
      </c>
      <c r="AH4" s="86" t="n">
        <v>251874</v>
      </c>
      <c r="AI4" s="86" t="n">
        <v>60451</v>
      </c>
      <c r="AJ4" s="86" t="n">
        <v>17718</v>
      </c>
      <c r="AK4" s="86" t="n">
        <v>457987</v>
      </c>
      <c r="AL4" s="86" t="n">
        <v>119496</v>
      </c>
      <c r="AM4" s="86" t="n">
        <v>26920</v>
      </c>
      <c r="AN4" s="86" t="n">
        <v>74765</v>
      </c>
      <c r="AO4" s="11">
        <f>IFERROR(AC4/E4,"")</f>
        <v/>
      </c>
      <c r="AP4" s="11">
        <f>IFERROR(AD4/E4,"")</f>
        <v/>
      </c>
      <c r="AQ4" s="11">
        <f>IFERROR(AG4/E4,"")</f>
        <v/>
      </c>
      <c r="AR4" s="87">
        <f>IFERROR(AG4/AF4,"")</f>
        <v/>
      </c>
      <c r="AS4" s="87">
        <f>IFERROR(AH4/AF4,"")</f>
        <v/>
      </c>
      <c r="AT4" s="87">
        <f>IFERROR(AI4/AH4,"")</f>
        <v/>
      </c>
      <c r="AU4" s="87">
        <f>IFERROR(AN4/AH4,"")</f>
        <v/>
      </c>
      <c r="AV4" s="88" t="n">
        <v>14316</v>
      </c>
      <c r="AW4" s="89" t="n">
        <v>0.64</v>
      </c>
      <c r="AX4" s="89" t="n">
        <v>0.36</v>
      </c>
      <c r="AY4" s="8" t="n"/>
      <c r="AZ4" s="8" t="n"/>
      <c r="BA4" s="8" t="n"/>
      <c r="BB4" s="8" t="n"/>
      <c r="BC4" s="90">
        <f>IFERROR(AG4/AC4,"")</f>
        <v/>
      </c>
      <c r="BD4" s="90">
        <f>IFERROR(AG4/(AC4+AA4),"")</f>
        <v/>
      </c>
      <c r="BE4" s="91" t="n">
        <v>0.1922</v>
      </c>
      <c r="BF4" s="40" t="inlineStr">
        <is>
          <t>Reported CPO Extraction Rate 19.22% (p.16 'Rendemen Minyak Sawit')</t>
        </is>
      </c>
      <c r="BG4" t="n">
        <v>2025</v>
      </c>
    </row>
    <row r="5" ht="15" customHeight="1" s="67">
      <c r="A5" s="8" t="inlineStr">
        <is>
          <t>PT Andira Agro Tbk</t>
        </is>
      </c>
      <c r="B5" s="86" t="n"/>
      <c r="C5" s="86" t="n"/>
      <c r="D5" s="86" t="n"/>
      <c r="E5" s="86" t="n">
        <v>5040.63</v>
      </c>
      <c r="F5" s="86" t="n"/>
      <c r="G5" s="86" t="n"/>
      <c r="H5" s="86" t="n"/>
      <c r="I5" s="86" t="n"/>
      <c r="J5" s="86" t="n"/>
      <c r="K5" s="86" t="n">
        <v>4453</v>
      </c>
      <c r="L5" s="86" t="n"/>
      <c r="M5" s="86" t="n"/>
      <c r="N5" s="86" t="n"/>
      <c r="O5" s="86" t="n">
        <v>1</v>
      </c>
      <c r="P5" s="86" t="n">
        <v>30</v>
      </c>
      <c r="Q5" s="86" t="n"/>
      <c r="R5" s="86" t="n"/>
      <c r="S5" s="86" t="n"/>
      <c r="T5" s="86" t="n"/>
      <c r="U5" s="86" t="n"/>
      <c r="V5" s="86" t="n"/>
      <c r="W5" s="86" t="n"/>
      <c r="X5" s="8" t="n"/>
      <c r="Y5" s="8" t="n"/>
      <c r="Z5" s="8" t="n"/>
      <c r="AA5" s="86" t="n"/>
      <c r="AB5" s="87">
        <f>IFERROR(AA5/AF5,"")</f>
        <v/>
      </c>
      <c r="AC5" s="86" t="n"/>
      <c r="AD5" s="86" t="n"/>
      <c r="AE5" s="86" t="n"/>
      <c r="AF5" s="86" t="n">
        <v>121298</v>
      </c>
      <c r="AG5" s="86" t="n">
        <v>21524</v>
      </c>
      <c r="AH5" s="86" t="n">
        <v>5759</v>
      </c>
      <c r="AI5" s="86" t="n"/>
      <c r="AJ5" s="86" t="n"/>
      <c r="AK5" s="86" t="n"/>
      <c r="AL5" s="86" t="n"/>
      <c r="AM5" s="86" t="n"/>
      <c r="AN5" s="86" t="n"/>
      <c r="AO5" s="11">
        <f>IFERROR(AC5/E5,"")</f>
        <v/>
      </c>
      <c r="AP5" s="11">
        <f>IFERROR(AD5/E5,"")</f>
        <v/>
      </c>
      <c r="AQ5" s="11">
        <f>IFERROR(AG5/E5,"")</f>
        <v/>
      </c>
      <c r="AR5" s="87">
        <f>IFERROR(AG5/AF5,"")</f>
        <v/>
      </c>
      <c r="AS5" s="87">
        <f>IFERROR(AH5/AF5,"")</f>
        <v/>
      </c>
      <c r="AT5" s="87">
        <f>IFERROR(AI5/AH5,"")</f>
        <v/>
      </c>
      <c r="AU5" s="87">
        <f>IFERROR(AN5/AH5,"")</f>
        <v/>
      </c>
      <c r="AV5" s="88" t="n"/>
      <c r="AW5" s="89" t="n"/>
      <c r="AX5" s="89" t="n"/>
      <c r="AY5" s="8" t="n"/>
      <c r="AZ5" s="8" t="n"/>
      <c r="BA5" s="8" t="n"/>
      <c r="BB5" s="8" t="n"/>
      <c r="BC5" s="90">
        <f>IFERROR(AG5/AC5,"")</f>
        <v/>
      </c>
      <c r="BD5" s="90">
        <f>IFERROR(AG5/(AC5+AA5),"")</f>
        <v/>
      </c>
      <c r="BE5" s="91" t="n">
        <v>0.1775</v>
      </c>
      <c r="BF5" s="40" t="inlineStr">
        <is>
          <t>Calculated OER = CPO 21,524 / FFB processed 121,298 = 17.75%</t>
        </is>
      </c>
      <c r="BG5" t="n">
        <v>2022</v>
      </c>
    </row>
    <row r="6" ht="15" customHeight="1" s="67">
      <c r="A6" s="8" t="inlineStr">
        <is>
          <t>PT Andira Agro Tbk</t>
        </is>
      </c>
      <c r="B6" s="86" t="n">
        <v>10006.31</v>
      </c>
      <c r="C6" s="86" t="n">
        <v>5040.63</v>
      </c>
      <c r="D6" s="86" t="n">
        <v>4965.68</v>
      </c>
      <c r="E6" s="86" t="n">
        <v>5040.63</v>
      </c>
      <c r="F6" s="86" t="n"/>
      <c r="G6" s="86" t="n"/>
      <c r="H6" s="86" t="n"/>
      <c r="I6" s="86" t="n"/>
      <c r="J6" s="86" t="n"/>
      <c r="K6" s="86" t="n">
        <v>4453</v>
      </c>
      <c r="L6" s="86" t="n"/>
      <c r="M6" s="86" t="n"/>
      <c r="N6" s="86" t="n"/>
      <c r="O6" s="86" t="n">
        <v>1</v>
      </c>
      <c r="P6" s="86" t="n">
        <v>30</v>
      </c>
      <c r="Q6" s="86" t="n">
        <v>0</v>
      </c>
      <c r="R6" s="86" t="n"/>
      <c r="S6" s="86" t="n">
        <v>0</v>
      </c>
      <c r="T6" s="86" t="n"/>
      <c r="U6" s="86" t="n"/>
      <c r="V6" s="86" t="n"/>
      <c r="W6" s="86" t="n"/>
      <c r="X6" s="8" t="n"/>
      <c r="Y6" s="8" t="n"/>
      <c r="Z6" s="8" t="n"/>
      <c r="AA6" s="86" t="n"/>
      <c r="AB6" s="87">
        <f>IFERROR(AA6/AF6,"")</f>
        <v/>
      </c>
      <c r="AC6" s="86" t="n"/>
      <c r="AD6" s="86" t="n"/>
      <c r="AE6" s="86" t="n"/>
      <c r="AF6" s="86" t="n">
        <v>99141</v>
      </c>
      <c r="AG6" s="86" t="n">
        <v>17178</v>
      </c>
      <c r="AH6" s="86" t="n">
        <v>4620</v>
      </c>
      <c r="AI6" s="86" t="n"/>
      <c r="AJ6" s="86" t="n"/>
      <c r="AK6" s="86" t="n"/>
      <c r="AL6" s="86" t="n"/>
      <c r="AM6" s="86" t="n"/>
      <c r="AN6" s="86" t="n"/>
      <c r="AO6" s="11">
        <f>IFERROR(AC6/E6,"")</f>
        <v/>
      </c>
      <c r="AP6" s="11">
        <f>IFERROR(AD6/E6,"")</f>
        <v/>
      </c>
      <c r="AQ6" s="11">
        <f>IFERROR(AG6/E6,"")</f>
        <v/>
      </c>
      <c r="AR6" s="87">
        <f>IFERROR(AG6/AF6,"")</f>
        <v/>
      </c>
      <c r="AS6" s="87">
        <f>IFERROR(AH6/AF6,"")</f>
        <v/>
      </c>
      <c r="AT6" s="87">
        <f>IFERROR(AI6/AH6,"")</f>
        <v/>
      </c>
      <c r="AU6" s="87">
        <f>IFERROR(AN6/AH6,"")</f>
        <v/>
      </c>
      <c r="AV6" s="88" t="n"/>
      <c r="AW6" s="89" t="n"/>
      <c r="AX6" s="89" t="n"/>
      <c r="AY6" s="8" t="n"/>
      <c r="AZ6" s="8" t="n"/>
      <c r="BA6" s="8" t="n"/>
      <c r="BB6" s="8" t="n"/>
      <c r="BC6" s="90">
        <f>IFERROR(AG6/AC6,"")</f>
        <v/>
      </c>
      <c r="BD6" s="90">
        <f>IFERROR(AG6/(AC6+AA6),"")</f>
        <v/>
      </c>
      <c r="BE6" s="91" t="n">
        <v>0.1733</v>
      </c>
      <c r="BF6" s="40" t="inlineStr">
        <is>
          <t>Calculated OER = CPO 17,178 / FFB 99,141 = 17.33%</t>
        </is>
      </c>
      <c r="BG6" t="n">
        <v>2023</v>
      </c>
    </row>
    <row r="7" ht="15" customHeight="1" s="67">
      <c r="A7" s="8" t="inlineStr">
        <is>
          <t>PT Andira Agro Tbk</t>
        </is>
      </c>
      <c r="B7" s="86" t="n">
        <v>9709.24</v>
      </c>
      <c r="C7" s="86" t="n">
        <v>4743.56</v>
      </c>
      <c r="D7" s="86" t="n">
        <v>4965.68</v>
      </c>
      <c r="E7" s="86" t="n">
        <v>4558.21</v>
      </c>
      <c r="F7" s="86" t="n">
        <v>185.35</v>
      </c>
      <c r="G7" s="86" t="n"/>
      <c r="H7" s="86" t="n"/>
      <c r="I7" s="86" t="n"/>
      <c r="J7" s="86" t="n"/>
      <c r="K7" s="86" t="n">
        <v>4453</v>
      </c>
      <c r="L7" s="86" t="n"/>
      <c r="M7" s="86" t="n"/>
      <c r="N7" s="86" t="n"/>
      <c r="O7" s="86" t="n">
        <v>1</v>
      </c>
      <c r="P7" s="86" t="n">
        <v>30</v>
      </c>
      <c r="Q7" s="86" t="n">
        <v>0</v>
      </c>
      <c r="R7" s="86" t="n"/>
      <c r="S7" s="86" t="n">
        <v>0</v>
      </c>
      <c r="T7" s="86" t="n"/>
      <c r="U7" s="86" t="n"/>
      <c r="V7" s="86" t="n"/>
      <c r="W7" s="86" t="n"/>
      <c r="X7" s="8" t="n"/>
      <c r="Y7" s="8" t="n"/>
      <c r="Z7" s="8" t="n"/>
      <c r="AA7" s="86" t="n"/>
      <c r="AB7" s="87">
        <f>IFERROR(AA7/AF7,"")</f>
        <v/>
      </c>
      <c r="AC7" s="86" t="n"/>
      <c r="AD7" s="86" t="n"/>
      <c r="AE7" s="86" t="n"/>
      <c r="AF7" s="86" t="n">
        <v>71988</v>
      </c>
      <c r="AG7" s="86" t="n">
        <v>11546</v>
      </c>
      <c r="AH7" s="86" t="n">
        <v>3166</v>
      </c>
      <c r="AI7" s="86" t="n"/>
      <c r="AJ7" s="86" t="n"/>
      <c r="AK7" s="86" t="n"/>
      <c r="AL7" s="86" t="n"/>
      <c r="AM7" s="86" t="n"/>
      <c r="AN7" s="86" t="n"/>
      <c r="AO7" s="11">
        <f>IFERROR(AC7/E7,"")</f>
        <v/>
      </c>
      <c r="AP7" s="11">
        <f>IFERROR(AD7/E7,"")</f>
        <v/>
      </c>
      <c r="AQ7" s="11">
        <f>IFERROR(AG7/E7,"")</f>
        <v/>
      </c>
      <c r="AR7" s="87">
        <f>IFERROR(AG7/AF7,"")</f>
        <v/>
      </c>
      <c r="AS7" s="87">
        <f>IFERROR(AH7/AF7,"")</f>
        <v/>
      </c>
      <c r="AT7" s="87">
        <f>IFERROR(AI7/AH7,"")</f>
        <v/>
      </c>
      <c r="AU7" s="87">
        <f>IFERROR(AN7/AH7,"")</f>
        <v/>
      </c>
      <c r="AV7" s="88" t="n"/>
      <c r="AW7" s="89" t="n">
        <v>1</v>
      </c>
      <c r="AX7" s="89" t="n">
        <v>0</v>
      </c>
      <c r="AY7" s="8" t="n"/>
      <c r="AZ7" s="8" t="n"/>
      <c r="BA7" s="8" t="n"/>
      <c r="BB7" s="8" t="n"/>
      <c r="BC7" s="90">
        <f>IFERROR(AG7/AC7,"")</f>
        <v/>
      </c>
      <c r="BD7" s="90">
        <f>IFERROR(AG7/(AC7+AA7),"")</f>
        <v/>
      </c>
      <c r="BE7" s="91" t="n">
        <v>0.1604</v>
      </c>
      <c r="BF7" s="40" t="inlineStr">
        <is>
          <t>Calculated OER = CPO 11,546 / FFB 71,988 = 16.04%</t>
        </is>
      </c>
      <c r="BG7" t="n">
        <v>2024</v>
      </c>
    </row>
    <row r="8" ht="15" customHeight="1" s="67">
      <c r="A8" s="8" t="inlineStr">
        <is>
          <t>PT Austindo Nusantara Jaya Tbk</t>
        </is>
      </c>
      <c r="B8" s="86" t="n">
        <v>48516</v>
      </c>
      <c r="C8" s="86" t="n">
        <v>43400</v>
      </c>
      <c r="D8" s="86" t="n">
        <v>5116</v>
      </c>
      <c r="E8" s="86" t="n">
        <v>43400</v>
      </c>
      <c r="F8" s="86" t="n">
        <v>5174</v>
      </c>
      <c r="G8" s="86" t="n"/>
      <c r="H8" s="86" t="n"/>
      <c r="I8" s="86" t="n">
        <v>13</v>
      </c>
      <c r="J8" s="86" t="n"/>
      <c r="K8" s="86" t="n">
        <v>26049</v>
      </c>
      <c r="L8" s="86" t="n">
        <v>9051</v>
      </c>
      <c r="M8" s="86" t="n"/>
      <c r="N8" s="86" t="n">
        <v>13416</v>
      </c>
      <c r="O8" s="86" t="n">
        <v>5</v>
      </c>
      <c r="P8" s="86" t="n">
        <v>315</v>
      </c>
      <c r="Q8" s="86" t="n">
        <v>1</v>
      </c>
      <c r="R8" s="86" t="n"/>
      <c r="S8" s="86" t="n">
        <v>0</v>
      </c>
      <c r="T8" s="86" t="n"/>
      <c r="U8" s="86" t="n"/>
      <c r="V8" s="86" t="n"/>
      <c r="W8" s="86" t="n"/>
      <c r="X8" s="8" t="n"/>
      <c r="Y8" s="8" t="n"/>
      <c r="Z8" s="8" t="n"/>
      <c r="AA8" s="86" t="n">
        <v>503811</v>
      </c>
      <c r="AB8" s="87">
        <f>IFERROR(AA8/AF8,"")</f>
        <v/>
      </c>
      <c r="AC8" s="86" t="n">
        <v>881051</v>
      </c>
      <c r="AD8" s="86" t="n"/>
      <c r="AE8" s="86" t="n"/>
      <c r="AF8" s="86" t="n">
        <v>1374871</v>
      </c>
      <c r="AG8" s="86" t="n">
        <v>283659</v>
      </c>
      <c r="AH8" s="86" t="n">
        <v>57477</v>
      </c>
      <c r="AI8" s="86" t="n">
        <v>1459</v>
      </c>
      <c r="AJ8" s="86" t="n"/>
      <c r="AK8" s="86" t="n"/>
      <c r="AL8" s="86" t="n"/>
      <c r="AM8" s="86" t="n"/>
      <c r="AN8" s="86" t="n"/>
      <c r="AO8" s="11">
        <f>IFERROR(AC8/E8,"")</f>
        <v/>
      </c>
      <c r="AP8" s="11">
        <f>IFERROR(AD8/E8,"")</f>
        <v/>
      </c>
      <c r="AQ8" s="11">
        <f>IFERROR(AG8/E8,"")</f>
        <v/>
      </c>
      <c r="AR8" s="87">
        <f>IFERROR(AG8/AF8,"")</f>
        <v/>
      </c>
      <c r="AS8" s="87">
        <f>IFERROR(AH8/AF8,"")</f>
        <v/>
      </c>
      <c r="AT8" s="87">
        <f>IFERROR(AI8/AH8,"")</f>
        <v/>
      </c>
      <c r="AU8" s="87">
        <f>IFERROR(AN8/AH8,"")</f>
        <v/>
      </c>
      <c r="AV8" s="88" t="n">
        <v>11253</v>
      </c>
      <c r="AW8" s="89" t="n">
        <v>0.9976</v>
      </c>
      <c r="AX8" s="89" t="n">
        <v>0.0024</v>
      </c>
      <c r="AY8" s="8" t="n"/>
      <c r="AZ8" s="8" t="n"/>
      <c r="BA8" s="8" t="n"/>
      <c r="BB8" s="8" t="n"/>
      <c r="BC8" s="90">
        <f>IFERROR(AG8/AC8,"")</f>
        <v/>
      </c>
      <c r="BD8" s="90">
        <f>IFERROR(AG8/(AC8+AA8),"")</f>
        <v/>
      </c>
      <c r="BE8" s="91" t="n">
        <v>0.206</v>
      </c>
      <c r="BF8" s="40" t="inlineStr">
        <is>
          <t>CPO Extraction Rate 20.6% (p.11, Palm Oil Production table). USD 731/t ASP converted to Rp/kg at 15,394 IDR/USD.</t>
        </is>
      </c>
      <c r="BG8" t="n">
        <v>2023</v>
      </c>
    </row>
    <row r="9" ht="15" customHeight="1" s="67">
      <c r="A9" s="8" t="inlineStr">
        <is>
          <t>PT Austindo Nusantara Jaya Tbk</t>
        </is>
      </c>
      <c r="B9" s="86" t="n">
        <v>49409</v>
      </c>
      <c r="C9" s="86" t="n">
        <v>43700</v>
      </c>
      <c r="D9" s="86" t="n">
        <v>5709</v>
      </c>
      <c r="E9" s="86" t="n">
        <v>42200</v>
      </c>
      <c r="F9" s="86" t="n">
        <v>7338</v>
      </c>
      <c r="G9" s="86" t="n"/>
      <c r="H9" s="86" t="n"/>
      <c r="I9" s="86" t="n">
        <v>12.9</v>
      </c>
      <c r="J9" s="86" t="n"/>
      <c r="K9" s="86" t="n">
        <v>26491</v>
      </c>
      <c r="L9" s="86" t="n">
        <v>9051</v>
      </c>
      <c r="M9" s="86" t="n"/>
      <c r="N9" s="86" t="n">
        <v>13867</v>
      </c>
      <c r="O9" s="86" t="n">
        <v>5</v>
      </c>
      <c r="P9" s="86" t="n">
        <v>315</v>
      </c>
      <c r="Q9" s="86" t="n">
        <v>1</v>
      </c>
      <c r="R9" s="86" t="n"/>
      <c r="S9" s="86" t="n">
        <v>0</v>
      </c>
      <c r="T9" s="86" t="n"/>
      <c r="U9" s="86" t="n"/>
      <c r="V9" s="86" t="n"/>
      <c r="W9" s="86" t="n"/>
      <c r="X9" s="8" t="n"/>
      <c r="Y9" s="8" t="n"/>
      <c r="Z9" s="8" t="n"/>
      <c r="AA9" s="86" t="n">
        <v>538483</v>
      </c>
      <c r="AB9" s="87">
        <f>IFERROR(AA9/AF9,"")</f>
        <v/>
      </c>
      <c r="AC9" s="86" t="n">
        <v>840581</v>
      </c>
      <c r="AD9" s="86" t="n"/>
      <c r="AE9" s="86" t="n"/>
      <c r="AF9" s="86" t="n">
        <v>1379064</v>
      </c>
      <c r="AG9" s="86" t="n">
        <v>275769</v>
      </c>
      <c r="AH9" s="86" t="n">
        <v>55011</v>
      </c>
      <c r="AI9" s="86" t="n">
        <v>1052</v>
      </c>
      <c r="AJ9" s="86" t="n"/>
      <c r="AK9" s="86" t="n"/>
      <c r="AL9" s="86" t="n"/>
      <c r="AM9" s="86" t="n"/>
      <c r="AN9" s="86" t="n"/>
      <c r="AO9" s="11">
        <f>IFERROR(AC9/E9,"")</f>
        <v/>
      </c>
      <c r="AP9" s="11">
        <f>IFERROR(AD9/E9,"")</f>
        <v/>
      </c>
      <c r="AQ9" s="11">
        <f>IFERROR(AG9/E9,"")</f>
        <v/>
      </c>
      <c r="AR9" s="87">
        <f>IFERROR(AG9/AF9,"")</f>
        <v/>
      </c>
      <c r="AS9" s="87">
        <f>IFERROR(AH9/AF9,"")</f>
        <v/>
      </c>
      <c r="AT9" s="87">
        <f>IFERROR(AI9/AH9,"")</f>
        <v/>
      </c>
      <c r="AU9" s="87">
        <f>IFERROR(AN9/AH9,"")</f>
        <v/>
      </c>
      <c r="AV9" s="88" t="n">
        <v>13109</v>
      </c>
      <c r="AW9" s="89" t="n">
        <v>0.9967</v>
      </c>
      <c r="AX9" s="89" t="n">
        <v>0.0033</v>
      </c>
      <c r="AY9" s="8" t="n"/>
      <c r="AZ9" s="8" t="n"/>
      <c r="BA9" s="8" t="n"/>
      <c r="BB9" s="8" t="n"/>
      <c r="BC9" s="90">
        <f>IFERROR(AG9/AC9,"")</f>
        <v/>
      </c>
      <c r="BD9" s="90">
        <f>IFERROR(AG9/(AC9+AA9),"")</f>
        <v/>
      </c>
      <c r="BE9" s="91" t="n">
        <v>0.201</v>
      </c>
      <c r="BF9" s="40" t="inlineStr">
        <is>
          <t>CPO Extraction Rate 20.1% (p.8). USD 842/t ASP x ~15,568 IDR/USD.</t>
        </is>
      </c>
      <c r="BG9" t="n">
        <v>2022</v>
      </c>
    </row>
    <row r="10" ht="15" customHeight="1" s="67">
      <c r="A10" s="8" t="inlineStr">
        <is>
          <t>PT Austindo Nusantara Jaya Tbk</t>
        </is>
      </c>
      <c r="B10" s="86" t="n">
        <v>53357</v>
      </c>
      <c r="C10" s="86" t="n">
        <v>48352</v>
      </c>
      <c r="D10" s="86" t="n">
        <v>5005</v>
      </c>
      <c r="E10" s="86" t="n">
        <v>42176</v>
      </c>
      <c r="F10" s="86" t="n">
        <v>6212</v>
      </c>
      <c r="G10" s="86" t="n"/>
      <c r="H10" s="86" t="n"/>
      <c r="I10" s="86" t="n">
        <v>12.9</v>
      </c>
      <c r="J10" s="86" t="n">
        <v>1718</v>
      </c>
      <c r="K10" s="86" t="n">
        <v>26049</v>
      </c>
      <c r="L10" s="86" t="n">
        <v>9163</v>
      </c>
      <c r="M10" s="86" t="n"/>
      <c r="N10" s="86" t="n">
        <v>18145</v>
      </c>
      <c r="O10" s="86" t="n">
        <v>5</v>
      </c>
      <c r="P10" s="86" t="n">
        <v>315</v>
      </c>
      <c r="Q10" s="86" t="n">
        <v>1</v>
      </c>
      <c r="R10" s="86" t="n"/>
      <c r="S10" s="86" t="n">
        <v>0</v>
      </c>
      <c r="T10" s="86" t="n"/>
      <c r="U10" s="86" t="n"/>
      <c r="V10" s="86" t="n"/>
      <c r="W10" s="86" t="n"/>
      <c r="X10" s="8" t="n"/>
      <c r="Y10" s="8" t="n"/>
      <c r="Z10" s="8" t="n"/>
      <c r="AA10" s="86" t="n">
        <v>463835</v>
      </c>
      <c r="AB10" s="87">
        <f>IFERROR(AA10/AF10,"")</f>
        <v/>
      </c>
      <c r="AC10" s="86" t="n">
        <v>777615</v>
      </c>
      <c r="AD10" s="86" t="n"/>
      <c r="AE10" s="86" t="n"/>
      <c r="AF10" s="86" t="n">
        <v>1233180</v>
      </c>
      <c r="AG10" s="86" t="n">
        <v>245395</v>
      </c>
      <c r="AH10" s="86" t="n">
        <v>51889</v>
      </c>
      <c r="AI10" s="86" t="n">
        <v>1121</v>
      </c>
      <c r="AJ10" s="86" t="n"/>
      <c r="AK10" s="86" t="n"/>
      <c r="AL10" s="86" t="n"/>
      <c r="AM10" s="86" t="n"/>
      <c r="AN10" s="86" t="n"/>
      <c r="AO10" s="11">
        <f>IFERROR(AC10/E10,"")</f>
        <v/>
      </c>
      <c r="AP10" s="11">
        <f>IFERROR(AD10/E10,"")</f>
        <v/>
      </c>
      <c r="AQ10" s="11">
        <f>IFERROR(AG10/E10,"")</f>
        <v/>
      </c>
      <c r="AR10" s="87">
        <f>IFERROR(AG10/AF10,"")</f>
        <v/>
      </c>
      <c r="AS10" s="87">
        <f>IFERROR(AH10/AF10,"")</f>
        <v/>
      </c>
      <c r="AT10" s="87">
        <f>IFERROR(AI10/AH10,"")</f>
        <v/>
      </c>
      <c r="AU10" s="87">
        <f>IFERROR(AN10/AH10,"")</f>
        <v/>
      </c>
      <c r="AV10" s="88" t="n">
        <v>13285</v>
      </c>
      <c r="AW10" s="89" t="n"/>
      <c r="AX10" s="89" t="n"/>
      <c r="AY10" s="8" t="n"/>
      <c r="AZ10" s="8" t="n"/>
      <c r="BA10" s="8" t="n"/>
      <c r="BB10" s="8" t="n"/>
      <c r="BC10" s="90">
        <f>IFERROR(AG10/AC10,"")</f>
        <v/>
      </c>
      <c r="BD10" s="90">
        <f>IFERROR(AG10/(AC10+AA10),"")</f>
        <v/>
      </c>
      <c r="BE10" s="91" t="n">
        <v>0.199</v>
      </c>
      <c r="BF10" s="40" t="inlineStr">
        <is>
          <t>Combined OER 19.9% (CPO production / total FFB processed). USD 822/t x 16,162 IDR/USD.</t>
        </is>
      </c>
      <c r="BG10" t="n">
        <v>2024</v>
      </c>
    </row>
    <row r="11" ht="15" customHeight="1" s="67">
      <c r="A11" s="8" t="inlineStr">
        <is>
          <t>PT BISI International Tbk</t>
        </is>
      </c>
      <c r="B11" s="86" t="n"/>
      <c r="C11" s="86" t="n"/>
      <c r="D11" s="86" t="n"/>
      <c r="E11" s="86" t="n"/>
      <c r="F11" s="86" t="n"/>
      <c r="G11" s="86" t="n"/>
      <c r="H11" s="86" t="n"/>
      <c r="I11" s="86" t="n"/>
      <c r="J11" s="86" t="n"/>
      <c r="K11" s="86" t="n"/>
      <c r="L11" s="86" t="n"/>
      <c r="M11" s="86" t="n"/>
      <c r="N11" s="86" t="n"/>
      <c r="O11" s="86" t="n"/>
      <c r="P11" s="86" t="n"/>
      <c r="Q11" s="86" t="n"/>
      <c r="R11" s="86" t="n"/>
      <c r="S11" s="86" t="n"/>
      <c r="T11" s="86" t="n"/>
      <c r="U11" s="86" t="n"/>
      <c r="V11" s="86" t="n"/>
      <c r="W11" s="86" t="n"/>
      <c r="X11" s="8" t="n"/>
      <c r="Y11" s="8" t="n"/>
      <c r="Z11" s="8" t="n"/>
      <c r="AA11" s="86" t="n"/>
      <c r="AB11" s="87">
        <f>IFERROR(AA11/AF11,"")</f>
        <v/>
      </c>
      <c r="AC11" s="86" t="n"/>
      <c r="AD11" s="86" t="n"/>
      <c r="AE11" s="86" t="n"/>
      <c r="AF11" s="86" t="n"/>
      <c r="AG11" s="86" t="n"/>
      <c r="AH11" s="86" t="n"/>
      <c r="AI11" s="86" t="n"/>
      <c r="AJ11" s="86" t="n"/>
      <c r="AK11" s="86" t="n"/>
      <c r="AL11" s="86" t="n"/>
      <c r="AM11" s="86" t="n"/>
      <c r="AN11" s="86" t="n"/>
      <c r="AO11" s="11">
        <f>IFERROR(AC11/E11,"")</f>
        <v/>
      </c>
      <c r="AP11" s="11">
        <f>IFERROR(AD11/E11,"")</f>
        <v/>
      </c>
      <c r="AQ11" s="11">
        <f>IFERROR(AG11/E11,"")</f>
        <v/>
      </c>
      <c r="AR11" s="87">
        <f>IFERROR(AG11/AF11,"")</f>
        <v/>
      </c>
      <c r="AS11" s="87">
        <f>IFERROR(AH11/AF11,"")</f>
        <v/>
      </c>
      <c r="AT11" s="87">
        <f>IFERROR(AI11/AH11,"")</f>
        <v/>
      </c>
      <c r="AU11" s="87">
        <f>IFERROR(AN11/AH11,"")</f>
        <v/>
      </c>
      <c r="AV11" s="88" t="n"/>
      <c r="AW11" s="89" t="n"/>
      <c r="AX11" s="89" t="n"/>
      <c r="AY11" s="8" t="n"/>
      <c r="AZ11" s="8" t="n"/>
      <c r="BA11" s="8" t="n"/>
      <c r="BB11" s="8" t="n"/>
      <c r="BC11" s="90">
        <f>IFERROR(AG11/AC11,"")</f>
        <v/>
      </c>
      <c r="BD11" s="90">
        <f>IFERROR(AG11/(AC11+AA11),"")</f>
        <v/>
      </c>
      <c r="BE11" s="91" t="n"/>
      <c r="BF11" s="40" t="n"/>
      <c r="BG11" t="n">
        <v>2023</v>
      </c>
    </row>
    <row r="12" ht="15" customHeight="1" s="67">
      <c r="A12" s="8" t="inlineStr">
        <is>
          <t>PT BISI International Tbk</t>
        </is>
      </c>
      <c r="B12" s="86" t="n"/>
      <c r="C12" s="86" t="n"/>
      <c r="D12" s="86" t="n"/>
      <c r="E12" s="86" t="n"/>
      <c r="F12" s="86" t="n"/>
      <c r="G12" s="86" t="n"/>
      <c r="H12" s="86" t="n"/>
      <c r="I12" s="86" t="n"/>
      <c r="J12" s="86" t="n"/>
      <c r="K12" s="86" t="n"/>
      <c r="L12" s="86" t="n"/>
      <c r="M12" s="86" t="n"/>
      <c r="N12" s="86" t="n"/>
      <c r="O12" s="86" t="n"/>
      <c r="P12" s="86" t="n"/>
      <c r="Q12" s="86" t="n"/>
      <c r="R12" s="86" t="n"/>
      <c r="S12" s="86" t="n"/>
      <c r="T12" s="86" t="n"/>
      <c r="U12" s="86" t="n"/>
      <c r="V12" s="86" t="n"/>
      <c r="W12" s="86" t="n"/>
      <c r="X12" s="8" t="n"/>
      <c r="Y12" s="8" t="n"/>
      <c r="Z12" s="8" t="n"/>
      <c r="AA12" s="86" t="n"/>
      <c r="AB12" s="87">
        <f>IFERROR(AA12/AF12,"")</f>
        <v/>
      </c>
      <c r="AC12" s="86" t="n"/>
      <c r="AD12" s="86" t="n"/>
      <c r="AE12" s="86" t="n"/>
      <c r="AF12" s="86" t="n"/>
      <c r="AG12" s="86" t="n"/>
      <c r="AH12" s="86" t="n"/>
      <c r="AI12" s="86" t="n"/>
      <c r="AJ12" s="86" t="n"/>
      <c r="AK12" s="86" t="n"/>
      <c r="AL12" s="86" t="n"/>
      <c r="AM12" s="86" t="n"/>
      <c r="AN12" s="86" t="n"/>
      <c r="AO12" s="11">
        <f>IFERROR(AC12/E12,"")</f>
        <v/>
      </c>
      <c r="AP12" s="11">
        <f>IFERROR(AD12/E12,"")</f>
        <v/>
      </c>
      <c r="AQ12" s="11">
        <f>IFERROR(AG12/E12,"")</f>
        <v/>
      </c>
      <c r="AR12" s="87">
        <f>IFERROR(AG12/AF12,"")</f>
        <v/>
      </c>
      <c r="AS12" s="87">
        <f>IFERROR(AH12/AF12,"")</f>
        <v/>
      </c>
      <c r="AT12" s="87">
        <f>IFERROR(AI12/AH12,"")</f>
        <v/>
      </c>
      <c r="AU12" s="87">
        <f>IFERROR(AN12/AH12,"")</f>
        <v/>
      </c>
      <c r="AV12" s="88" t="n"/>
      <c r="AW12" s="89" t="n"/>
      <c r="AX12" s="89" t="n"/>
      <c r="AY12" s="8" t="n"/>
      <c r="AZ12" s="8" t="n"/>
      <c r="BA12" s="8" t="n"/>
      <c r="BB12" s="8" t="n"/>
      <c r="BC12" s="90">
        <f>IFERROR(AG12/AC12,"")</f>
        <v/>
      </c>
      <c r="BD12" s="90">
        <f>IFERROR(AG12/(AC12+AA12),"")</f>
        <v/>
      </c>
      <c r="BE12" s="91" t="n"/>
      <c r="BF12" s="40" t="n"/>
      <c r="BG12" t="n">
        <v>2024</v>
      </c>
    </row>
    <row r="13" ht="15" customHeight="1" s="67">
      <c r="A13" s="8" t="inlineStr">
        <is>
          <t>PT BISI International Tbk</t>
        </is>
      </c>
      <c r="B13" s="86" t="n"/>
      <c r="C13" s="86" t="n"/>
      <c r="D13" s="86" t="n"/>
      <c r="E13" s="86" t="n"/>
      <c r="F13" s="86" t="n"/>
      <c r="G13" s="86" t="n"/>
      <c r="H13" s="86" t="n"/>
      <c r="I13" s="86" t="n"/>
      <c r="J13" s="86" t="n"/>
      <c r="K13" s="86" t="n"/>
      <c r="L13" s="86" t="n"/>
      <c r="M13" s="86" t="n"/>
      <c r="N13" s="86" t="n"/>
      <c r="O13" s="86" t="n"/>
      <c r="P13" s="86" t="n"/>
      <c r="Q13" s="86" t="n"/>
      <c r="R13" s="86" t="n"/>
      <c r="S13" s="86" t="n"/>
      <c r="T13" s="86" t="n"/>
      <c r="U13" s="86" t="n"/>
      <c r="V13" s="86" t="n"/>
      <c r="W13" s="86" t="n"/>
      <c r="X13" s="8" t="n"/>
      <c r="Y13" s="8" t="n"/>
      <c r="Z13" s="8" t="n"/>
      <c r="AA13" s="86" t="n"/>
      <c r="AB13" s="87">
        <f>IFERROR(AA13/AF13,"")</f>
        <v/>
      </c>
      <c r="AC13" s="86" t="n"/>
      <c r="AD13" s="86" t="n"/>
      <c r="AE13" s="86" t="n"/>
      <c r="AF13" s="86" t="n"/>
      <c r="AG13" s="86" t="n"/>
      <c r="AH13" s="86" t="n"/>
      <c r="AI13" s="86" t="n"/>
      <c r="AJ13" s="86" t="n"/>
      <c r="AK13" s="86" t="n"/>
      <c r="AL13" s="86" t="n"/>
      <c r="AM13" s="86" t="n"/>
      <c r="AN13" s="86" t="n"/>
      <c r="AO13" s="11">
        <f>IFERROR(AC13/E13,"")</f>
        <v/>
      </c>
      <c r="AP13" s="11">
        <f>IFERROR(AD13/E13,"")</f>
        <v/>
      </c>
      <c r="AQ13" s="11">
        <f>IFERROR(AG13/E13,"")</f>
        <v/>
      </c>
      <c r="AR13" s="87">
        <f>IFERROR(AG13/AF13,"")</f>
        <v/>
      </c>
      <c r="AS13" s="87">
        <f>IFERROR(AH13/AF13,"")</f>
        <v/>
      </c>
      <c r="AT13" s="87">
        <f>IFERROR(AI13/AH13,"")</f>
        <v/>
      </c>
      <c r="AU13" s="87">
        <f>IFERROR(AN13/AH13,"")</f>
        <v/>
      </c>
      <c r="AV13" s="88" t="n"/>
      <c r="AW13" s="89" t="n"/>
      <c r="AX13" s="89" t="n"/>
      <c r="AY13" s="8" t="n"/>
      <c r="AZ13" s="8" t="n"/>
      <c r="BA13" s="8" t="n"/>
      <c r="BB13" s="8" t="n"/>
      <c r="BC13" s="90">
        <f>IFERROR(AG13/AC13,"")</f>
        <v/>
      </c>
      <c r="BD13" s="90">
        <f>IFERROR(AG13/(AC13+AA13),"")</f>
        <v/>
      </c>
      <c r="BE13" s="91" t="n"/>
      <c r="BF13" s="40" t="n"/>
      <c r="BG13" t="n">
        <v>2025</v>
      </c>
    </row>
    <row r="14" ht="15" customHeight="1" s="67">
      <c r="A14" s="8" t="inlineStr">
        <is>
          <t>PT Bumi Teknokultura Unggul Tbk</t>
        </is>
      </c>
      <c r="B14" s="86" t="n"/>
      <c r="C14" s="86" t="n"/>
      <c r="D14" s="86" t="n"/>
      <c r="E14" s="86" t="n"/>
      <c r="F14" s="86" t="n"/>
      <c r="G14" s="86" t="n"/>
      <c r="H14" s="86" t="n"/>
      <c r="I14" s="86" t="n"/>
      <c r="J14" s="86" t="n"/>
      <c r="K14" s="86" t="n"/>
      <c r="L14" s="86" t="n"/>
      <c r="M14" s="86" t="n"/>
      <c r="N14" s="86" t="n"/>
      <c r="O14" s="86" t="n"/>
      <c r="P14" s="86" t="n"/>
      <c r="Q14" s="86" t="n"/>
      <c r="R14" s="86" t="n"/>
      <c r="S14" s="86" t="n"/>
      <c r="T14" s="86" t="n"/>
      <c r="U14" s="86" t="n"/>
      <c r="V14" s="86" t="n"/>
      <c r="W14" s="86" t="n"/>
      <c r="X14" s="8" t="n"/>
      <c r="Y14" s="8" t="n"/>
      <c r="Z14" s="8" t="n"/>
      <c r="AA14" s="86" t="n"/>
      <c r="AB14" s="87">
        <f>IFERROR(AA14/AF14,"")</f>
        <v/>
      </c>
      <c r="AC14" s="86" t="n"/>
      <c r="AD14" s="86" t="n"/>
      <c r="AE14" s="86" t="n"/>
      <c r="AF14" s="86" t="n"/>
      <c r="AG14" s="86" t="n"/>
      <c r="AH14" s="86" t="n"/>
      <c r="AI14" s="86" t="n"/>
      <c r="AJ14" s="86" t="n"/>
      <c r="AK14" s="86" t="n"/>
      <c r="AL14" s="86" t="n"/>
      <c r="AM14" s="86" t="n"/>
      <c r="AN14" s="86" t="n"/>
      <c r="AO14" s="11">
        <f>IFERROR(AC14/E14,"")</f>
        <v/>
      </c>
      <c r="AP14" s="11">
        <f>IFERROR(AD14/E14,"")</f>
        <v/>
      </c>
      <c r="AQ14" s="11">
        <f>IFERROR(AG14/E14,"")</f>
        <v/>
      </c>
      <c r="AR14" s="87">
        <f>IFERROR(AG14/AF14,"")</f>
        <v/>
      </c>
      <c r="AS14" s="87">
        <f>IFERROR(AH14/AF14,"")</f>
        <v/>
      </c>
      <c r="AT14" s="87">
        <f>IFERROR(AI14/AH14,"")</f>
        <v/>
      </c>
      <c r="AU14" s="87">
        <f>IFERROR(AN14/AH14,"")</f>
        <v/>
      </c>
      <c r="AV14" s="88" t="n"/>
      <c r="AW14" s="89" t="n"/>
      <c r="AX14" s="89" t="n"/>
      <c r="AY14" s="8" t="n"/>
      <c r="AZ14" s="8" t="n"/>
      <c r="BA14" s="8" t="n"/>
      <c r="BB14" s="8" t="n"/>
      <c r="BC14" s="90">
        <f>IFERROR(AG14/AC14,"")</f>
        <v/>
      </c>
      <c r="BD14" s="90">
        <f>IFERROR(AG14/(AC14+AA14),"")</f>
        <v/>
      </c>
      <c r="BE14" s="91" t="n"/>
      <c r="BF14" s="40" t="n"/>
      <c r="BG14" t="n">
        <v>2022</v>
      </c>
    </row>
    <row r="15" ht="15" customHeight="1" s="67">
      <c r="A15" s="8" t="inlineStr">
        <is>
          <t>PT Bumi Teknokultura Unggul Tbk</t>
        </is>
      </c>
      <c r="B15" s="86" t="n"/>
      <c r="C15" s="86" t="n"/>
      <c r="D15" s="86" t="n"/>
      <c r="E15" s="86" t="n"/>
      <c r="F15" s="86" t="n"/>
      <c r="G15" s="86" t="n"/>
      <c r="H15" s="86" t="n"/>
      <c r="I15" s="86" t="n"/>
      <c r="J15" s="86" t="n"/>
      <c r="K15" s="86" t="n"/>
      <c r="L15" s="86" t="n"/>
      <c r="M15" s="86" t="n"/>
      <c r="N15" s="86" t="n"/>
      <c r="O15" s="86" t="n"/>
      <c r="P15" s="86" t="n"/>
      <c r="Q15" s="86" t="n"/>
      <c r="R15" s="86" t="n"/>
      <c r="S15" s="86" t="n"/>
      <c r="T15" s="86" t="n"/>
      <c r="U15" s="86" t="n"/>
      <c r="V15" s="86" t="n"/>
      <c r="W15" s="86" t="n"/>
      <c r="X15" s="8" t="n"/>
      <c r="Y15" s="8" t="n"/>
      <c r="Z15" s="8" t="n"/>
      <c r="AA15" s="86" t="n"/>
      <c r="AB15" s="87">
        <f>IFERROR(AA15/AF15,"")</f>
        <v/>
      </c>
      <c r="AC15" s="86" t="n"/>
      <c r="AD15" s="86" t="n"/>
      <c r="AE15" s="86" t="n"/>
      <c r="AF15" s="86" t="n"/>
      <c r="AG15" s="86" t="n"/>
      <c r="AH15" s="86" t="n"/>
      <c r="AI15" s="86" t="n"/>
      <c r="AJ15" s="86" t="n"/>
      <c r="AK15" s="86" t="n"/>
      <c r="AL15" s="86" t="n"/>
      <c r="AM15" s="86" t="n"/>
      <c r="AN15" s="86" t="n"/>
      <c r="AO15" s="11">
        <f>IFERROR(AC15/E15,"")</f>
        <v/>
      </c>
      <c r="AP15" s="11">
        <f>IFERROR(AD15/E15,"")</f>
        <v/>
      </c>
      <c r="AQ15" s="11">
        <f>IFERROR(AG15/E15,"")</f>
        <v/>
      </c>
      <c r="AR15" s="87">
        <f>IFERROR(AG15/AF15,"")</f>
        <v/>
      </c>
      <c r="AS15" s="87">
        <f>IFERROR(AH15/AF15,"")</f>
        <v/>
      </c>
      <c r="AT15" s="87">
        <f>IFERROR(AI15/AH15,"")</f>
        <v/>
      </c>
      <c r="AU15" s="87">
        <f>IFERROR(AN15/AH15,"")</f>
        <v/>
      </c>
      <c r="AV15" s="88" t="n"/>
      <c r="AW15" s="89" t="n"/>
      <c r="AX15" s="89" t="n"/>
      <c r="AY15" s="8" t="n"/>
      <c r="AZ15" s="8" t="n"/>
      <c r="BA15" s="8" t="n"/>
      <c r="BB15" s="8" t="n"/>
      <c r="BC15" s="90">
        <f>IFERROR(AG15/AC15,"")</f>
        <v/>
      </c>
      <c r="BD15" s="90">
        <f>IFERROR(AG15/(AC15+AA15),"")</f>
        <v/>
      </c>
      <c r="BE15" s="91" t="n"/>
      <c r="BF15" s="40" t="n"/>
      <c r="BG15" t="n">
        <v>2023</v>
      </c>
    </row>
    <row r="16" ht="15" customHeight="1" s="67">
      <c r="A16" s="8" t="inlineStr">
        <is>
          <t>PT Bumi Teknokultura Unggul Tbk</t>
        </is>
      </c>
      <c r="B16" s="86" t="n"/>
      <c r="C16" s="86" t="n"/>
      <c r="D16" s="86" t="n"/>
      <c r="E16" s="86" t="n"/>
      <c r="F16" s="86" t="n"/>
      <c r="G16" s="86" t="n"/>
      <c r="H16" s="86" t="n"/>
      <c r="I16" s="86" t="n"/>
      <c r="J16" s="86" t="n"/>
      <c r="K16" s="86" t="n"/>
      <c r="L16" s="86" t="n"/>
      <c r="M16" s="86" t="n"/>
      <c r="N16" s="86" t="n"/>
      <c r="O16" s="86" t="n"/>
      <c r="P16" s="86" t="n"/>
      <c r="Q16" s="86" t="n"/>
      <c r="R16" s="86" t="n"/>
      <c r="S16" s="86" t="n"/>
      <c r="T16" s="86" t="n"/>
      <c r="U16" s="86" t="n"/>
      <c r="V16" s="86" t="n"/>
      <c r="W16" s="86" t="n"/>
      <c r="X16" s="8" t="n"/>
      <c r="Y16" s="8" t="n"/>
      <c r="Z16" s="8" t="n"/>
      <c r="AA16" s="86" t="n"/>
      <c r="AB16" s="87">
        <f>IFERROR(AA16/AF16,"")</f>
        <v/>
      </c>
      <c r="AC16" s="86" t="n"/>
      <c r="AD16" s="86" t="n"/>
      <c r="AE16" s="86" t="n"/>
      <c r="AF16" s="86" t="n"/>
      <c r="AG16" s="86" t="n"/>
      <c r="AH16" s="86" t="n"/>
      <c r="AI16" s="86" t="n"/>
      <c r="AJ16" s="86" t="n"/>
      <c r="AK16" s="86" t="n"/>
      <c r="AL16" s="86" t="n"/>
      <c r="AM16" s="86" t="n"/>
      <c r="AN16" s="86" t="n"/>
      <c r="AO16" s="11">
        <f>IFERROR(AC16/E16,"")</f>
        <v/>
      </c>
      <c r="AP16" s="11">
        <f>IFERROR(AD16/E16,"")</f>
        <v/>
      </c>
      <c r="AQ16" s="11">
        <f>IFERROR(AG16/E16,"")</f>
        <v/>
      </c>
      <c r="AR16" s="87">
        <f>IFERROR(AG16/AF16,"")</f>
        <v/>
      </c>
      <c r="AS16" s="87">
        <f>IFERROR(AH16/AF16,"")</f>
        <v/>
      </c>
      <c r="AT16" s="87">
        <f>IFERROR(AI16/AH16,"")</f>
        <v/>
      </c>
      <c r="AU16" s="87">
        <f>IFERROR(AN16/AH16,"")</f>
        <v/>
      </c>
      <c r="AV16" s="88" t="n"/>
      <c r="AW16" s="89" t="n"/>
      <c r="AX16" s="89" t="n"/>
      <c r="AY16" s="8" t="n"/>
      <c r="AZ16" s="8" t="n"/>
      <c r="BA16" s="8" t="n"/>
      <c r="BB16" s="8" t="n"/>
      <c r="BC16" s="90">
        <f>IFERROR(AG16/AC16,"")</f>
        <v/>
      </c>
      <c r="BD16" s="90">
        <f>IFERROR(AG16/(AC16+AA16),"")</f>
        <v/>
      </c>
      <c r="BE16" s="91" t="n"/>
      <c r="BF16" s="40" t="n"/>
      <c r="BG16" t="n">
        <v>2024</v>
      </c>
    </row>
    <row r="17" ht="15" customHeight="1" s="67">
      <c r="A17" s="8" t="inlineStr">
        <is>
          <t>PT Eagle High Plantations Tbk</t>
        </is>
      </c>
      <c r="B17" s="86" t="n">
        <v>87000</v>
      </c>
      <c r="C17" s="86" t="n"/>
      <c r="D17" s="86" t="n"/>
      <c r="E17" s="86" t="n">
        <v>87000</v>
      </c>
      <c r="F17" s="86" t="n">
        <v>0</v>
      </c>
      <c r="G17" s="86" t="n"/>
      <c r="H17" s="86" t="n"/>
      <c r="I17" s="86" t="n"/>
      <c r="J17" s="86" t="n"/>
      <c r="K17" s="86" t="n">
        <v>2000</v>
      </c>
      <c r="L17" s="86" t="n">
        <v>73000</v>
      </c>
      <c r="M17" s="86" t="n"/>
      <c r="N17" s="86" t="n">
        <v>12000</v>
      </c>
      <c r="O17" s="86" t="n">
        <v>7</v>
      </c>
      <c r="P17" s="86" t="n">
        <v>370</v>
      </c>
      <c r="Q17" s="86" t="n">
        <v>0</v>
      </c>
      <c r="R17" s="86" t="n"/>
      <c r="S17" s="86" t="n">
        <v>0</v>
      </c>
      <c r="T17" s="86" t="n"/>
      <c r="U17" s="86" t="n"/>
      <c r="V17" s="86" t="n"/>
      <c r="W17" s="86" t="n"/>
      <c r="X17" s="8" t="n"/>
      <c r="Y17" s="8" t="n"/>
      <c r="Z17" s="8" t="n"/>
      <c r="AA17" s="86" t="n">
        <v>272931</v>
      </c>
      <c r="AB17" s="87">
        <f>IFERROR(AA17/AF17,"")</f>
        <v/>
      </c>
      <c r="AC17" s="86" t="n">
        <v>975251</v>
      </c>
      <c r="AD17" s="86" t="n">
        <v>930761</v>
      </c>
      <c r="AE17" s="86" t="n">
        <v>154180</v>
      </c>
      <c r="AF17" s="86" t="n">
        <v>1357872</v>
      </c>
      <c r="AG17" s="86" t="n">
        <v>320107</v>
      </c>
      <c r="AH17" s="86" t="n">
        <v>59278</v>
      </c>
      <c r="AI17" s="86" t="n"/>
      <c r="AJ17" s="86" t="n"/>
      <c r="AK17" s="86" t="n"/>
      <c r="AL17" s="86" t="n"/>
      <c r="AM17" s="86" t="n"/>
      <c r="AN17" s="86" t="n"/>
      <c r="AO17" s="11">
        <f>IFERROR(AC17/E17,"")</f>
        <v/>
      </c>
      <c r="AP17" s="11">
        <f>IFERROR(AD17/E17,"")</f>
        <v/>
      </c>
      <c r="AQ17" s="11">
        <f>IFERROR(AG17/E17,"")</f>
        <v/>
      </c>
      <c r="AR17" s="87">
        <f>IFERROR(AG17/AF17,"")</f>
        <v/>
      </c>
      <c r="AS17" s="87">
        <f>IFERROR(AH17/AF17,"")</f>
        <v/>
      </c>
      <c r="AT17" s="87">
        <f>IFERROR(AI17/AH17,"")</f>
        <v/>
      </c>
      <c r="AU17" s="87">
        <f>IFERROR(AN17/AH17,"")</f>
        <v/>
      </c>
      <c r="AV17" s="88" t="n">
        <v>11015</v>
      </c>
      <c r="AW17" s="89" t="n">
        <v>1</v>
      </c>
      <c r="AX17" s="89" t="n">
        <v>0</v>
      </c>
      <c r="AY17" s="8" t="n"/>
      <c r="AZ17" s="8" t="n"/>
      <c r="BA17" s="8" t="n"/>
      <c r="BB17" s="8" t="n"/>
      <c r="BC17" s="90">
        <f>IFERROR(AG17/AC17,"")</f>
        <v/>
      </c>
      <c r="BD17" s="90">
        <f>IFERROR(AG17/(AC17+AA17),"")</f>
        <v/>
      </c>
      <c r="BE17" s="91" t="n">
        <v>0.2357</v>
      </c>
      <c r="BF17" s="40" t="inlineStr">
        <is>
          <t>Derived as CPO production (320,107 t) / FFB processed (1,357,872 t); AR does not report OER directly.</t>
        </is>
      </c>
      <c r="BG17" t="n">
        <v>2023</v>
      </c>
    </row>
    <row r="18" ht="15" customHeight="1" s="67">
      <c r="A18" s="8" t="inlineStr">
        <is>
          <t>PT Eagle High Plantations Tbk</t>
        </is>
      </c>
      <c r="B18" s="86" t="n">
        <v>87000</v>
      </c>
      <c r="C18" s="86" t="n"/>
      <c r="D18" s="86" t="n"/>
      <c r="E18" s="86" t="n">
        <v>86729</v>
      </c>
      <c r="F18" s="86" t="n">
        <v>271</v>
      </c>
      <c r="G18" s="86" t="n"/>
      <c r="H18" s="86" t="n"/>
      <c r="I18" s="86" t="n"/>
      <c r="J18" s="86" t="n"/>
      <c r="K18" s="86" t="n">
        <v>2000</v>
      </c>
      <c r="L18" s="86" t="n">
        <v>73000</v>
      </c>
      <c r="M18" s="86" t="n"/>
      <c r="N18" s="86" t="n">
        <v>12000</v>
      </c>
      <c r="O18" s="86" t="n">
        <v>7</v>
      </c>
      <c r="P18" s="86" t="n">
        <v>370</v>
      </c>
      <c r="Q18" s="86" t="n">
        <v>0</v>
      </c>
      <c r="R18" s="86" t="n"/>
      <c r="S18" s="86" t="n">
        <v>0</v>
      </c>
      <c r="T18" s="86" t="n"/>
      <c r="U18" s="86" t="n"/>
      <c r="V18" s="86" t="n"/>
      <c r="W18" s="86" t="n"/>
      <c r="X18" s="8" t="n"/>
      <c r="Y18" s="8" t="n"/>
      <c r="Z18" s="8" t="n"/>
      <c r="AA18" s="86" t="n"/>
      <c r="AB18" s="87">
        <f>IFERROR(AA18/AF18,"")</f>
        <v/>
      </c>
      <c r="AC18" s="86" t="n">
        <v>1041515</v>
      </c>
      <c r="AD18" s="86" t="n"/>
      <c r="AE18" s="86" t="n"/>
      <c r="AF18" s="86" t="n"/>
      <c r="AG18" s="86" t="n">
        <v>263657</v>
      </c>
      <c r="AH18" s="86" t="n">
        <v>49193</v>
      </c>
      <c r="AI18" s="86" t="n"/>
      <c r="AJ18" s="86" t="n"/>
      <c r="AK18" s="86" t="n"/>
      <c r="AL18" s="86" t="n"/>
      <c r="AM18" s="86" t="n"/>
      <c r="AN18" s="86" t="n"/>
      <c r="AO18" s="11">
        <f>IFERROR(AC18/E18,"")</f>
        <v/>
      </c>
      <c r="AP18" s="11">
        <f>IFERROR(AD18/E18,"")</f>
        <v/>
      </c>
      <c r="AQ18" s="11">
        <f>IFERROR(AG18/E18,"")</f>
        <v/>
      </c>
      <c r="AR18" s="87">
        <f>IFERROR(AG18/AF18,"")</f>
        <v/>
      </c>
      <c r="AS18" s="87">
        <f>IFERROR(AH18/AF18,"")</f>
        <v/>
      </c>
      <c r="AT18" s="87">
        <f>IFERROR(AI18/AH18,"")</f>
        <v/>
      </c>
      <c r="AU18" s="87">
        <f>IFERROR(AN18/AH18,"")</f>
        <v/>
      </c>
      <c r="AV18" s="88" t="n">
        <v>12515</v>
      </c>
      <c r="AW18" s="89" t="n"/>
      <c r="AX18" s="89" t="n"/>
      <c r="AY18" s="8" t="n"/>
      <c r="AZ18" s="8" t="n"/>
      <c r="BA18" s="8" t="n"/>
      <c r="BB18" s="8" t="n"/>
      <c r="BC18" s="90">
        <f>IFERROR(AG18/AC18,"")</f>
        <v/>
      </c>
      <c r="BD18" s="90">
        <f>IFERROR(AG18/(AC18+AA18),"")</f>
        <v/>
      </c>
      <c r="BE18" s="91" t="n">
        <v>0.236</v>
      </c>
      <c r="BF18" s="40" t="n"/>
      <c r="BG18" t="n">
        <v>2024</v>
      </c>
    </row>
    <row r="19" ht="15" customHeight="1" s="67">
      <c r="A19" s="8" t="inlineStr">
        <is>
          <t>PT Eagle High Plantations Tbk</t>
        </is>
      </c>
      <c r="B19" s="86" t="n">
        <v>74339</v>
      </c>
      <c r="C19" s="86" t="n"/>
      <c r="D19" s="86" t="n"/>
      <c r="E19" s="86" t="n">
        <v>74068</v>
      </c>
      <c r="F19" s="86" t="n">
        <v>271</v>
      </c>
      <c r="G19" s="86" t="n"/>
      <c r="H19" s="86" t="n"/>
      <c r="I19" s="86" t="n"/>
      <c r="J19" s="86" t="n"/>
      <c r="K19" s="86" t="n"/>
      <c r="L19" s="86" t="n"/>
      <c r="M19" s="86" t="n"/>
      <c r="N19" s="86" t="n"/>
      <c r="O19" s="86" t="n">
        <v>7</v>
      </c>
      <c r="P19" s="86" t="n">
        <v>370</v>
      </c>
      <c r="Q19" s="86" t="n"/>
      <c r="R19" s="86" t="n"/>
      <c r="S19" s="86" t="n"/>
      <c r="T19" s="86" t="n"/>
      <c r="U19" s="86" t="n"/>
      <c r="V19" s="86" t="n"/>
      <c r="W19" s="86" t="n"/>
      <c r="X19" s="8" t="n"/>
      <c r="Y19" s="8" t="n"/>
      <c r="Z19" s="8" t="n"/>
      <c r="AA19" s="86" t="n"/>
      <c r="AB19" s="87">
        <f>IFERROR(AA19/AF19,"")</f>
        <v/>
      </c>
      <c r="AC19" s="86" t="n"/>
      <c r="AD19" s="86" t="n"/>
      <c r="AE19" s="86" t="n"/>
      <c r="AF19" s="86" t="n"/>
      <c r="AG19" s="86" t="n"/>
      <c r="AH19" s="86" t="n"/>
      <c r="AI19" s="86" t="n"/>
      <c r="AJ19" s="86" t="n"/>
      <c r="AK19" s="86" t="n"/>
      <c r="AL19" s="86" t="n"/>
      <c r="AM19" s="86" t="n"/>
      <c r="AN19" s="86" t="n"/>
      <c r="AO19" s="11">
        <f>IFERROR(AC19/E19,"")</f>
        <v/>
      </c>
      <c r="AP19" s="11">
        <f>IFERROR(AD19/E19,"")</f>
        <v/>
      </c>
      <c r="AQ19" s="11">
        <f>IFERROR(AG19/E19,"")</f>
        <v/>
      </c>
      <c r="AR19" s="87">
        <f>IFERROR(AG19/AF19,"")</f>
        <v/>
      </c>
      <c r="AS19" s="87">
        <f>IFERROR(AH19/AF19,"")</f>
        <v/>
      </c>
      <c r="AT19" s="87">
        <f>IFERROR(AI19/AH19,"")</f>
        <v/>
      </c>
      <c r="AU19" s="87">
        <f>IFERROR(AN19/AH19,"")</f>
        <v/>
      </c>
      <c r="AV19" s="88" t="n"/>
      <c r="AW19" s="89" t="n"/>
      <c r="AX19" s="89" t="n"/>
      <c r="AY19" s="8" t="n"/>
      <c r="AZ19" s="8" t="n"/>
      <c r="BA19" s="8" t="n"/>
      <c r="BB19" s="8" t="n"/>
      <c r="BC19" s="90">
        <f>IFERROR(AG19/AC19,"")</f>
        <v/>
      </c>
      <c r="BD19" s="90">
        <f>IFERROR(AG19/(AC19+AA19),"")</f>
        <v/>
      </c>
      <c r="BE19" s="91" t="n"/>
      <c r="BF19" s="40" t="n"/>
      <c r="BG19" t="n">
        <v>2025</v>
      </c>
    </row>
    <row r="20" ht="15" customHeight="1" s="67">
      <c r="A20" s="8" t="inlineStr">
        <is>
          <t>PT Citra Borneo Utama Tbk</t>
        </is>
      </c>
      <c r="B20" s="86" t="n"/>
      <c r="C20" s="86" t="n"/>
      <c r="D20" s="86" t="n"/>
      <c r="E20" s="86" t="n"/>
      <c r="F20" s="86" t="n"/>
      <c r="G20" s="86" t="n"/>
      <c r="H20" s="86" t="n"/>
      <c r="I20" s="86" t="n"/>
      <c r="J20" s="86" t="n"/>
      <c r="K20" s="86" t="n"/>
      <c r="L20" s="86" t="n"/>
      <c r="M20" s="86" t="n"/>
      <c r="N20" s="86" t="n"/>
      <c r="O20" s="86" t="n">
        <v>0</v>
      </c>
      <c r="P20" s="86" t="n"/>
      <c r="Q20" s="86" t="n">
        <v>1</v>
      </c>
      <c r="R20" s="86" t="n">
        <v>25</v>
      </c>
      <c r="S20" s="86" t="n">
        <v>1</v>
      </c>
      <c r="T20" s="86" t="n">
        <v>850000</v>
      </c>
      <c r="U20" s="86" t="n">
        <v>0</v>
      </c>
      <c r="V20" s="86" t="n"/>
      <c r="W20" s="86" t="n"/>
      <c r="X20" s="8" t="n"/>
      <c r="Y20" s="8" t="n"/>
      <c r="Z20" s="8" t="n"/>
      <c r="AA20" s="86" t="n"/>
      <c r="AB20" s="87">
        <f>IFERROR(AA20/AF20,"")</f>
        <v/>
      </c>
      <c r="AC20" s="86" t="n"/>
      <c r="AD20" s="86" t="n"/>
      <c r="AE20" s="86" t="n"/>
      <c r="AF20" s="86" t="n"/>
      <c r="AG20" s="86" t="n"/>
      <c r="AH20" s="86" t="n"/>
      <c r="AI20" s="86" t="n"/>
      <c r="AJ20" s="86" t="n"/>
      <c r="AK20" s="86" t="n"/>
      <c r="AL20" s="86" t="n"/>
      <c r="AM20" s="86" t="n"/>
      <c r="AN20" s="86" t="n"/>
      <c r="AO20" s="11">
        <f>IFERROR(AC20/E20,"")</f>
        <v/>
      </c>
      <c r="AP20" s="11">
        <f>IFERROR(AD20/E20,"")</f>
        <v/>
      </c>
      <c r="AQ20" s="11">
        <f>IFERROR(AG20/E20,"")</f>
        <v/>
      </c>
      <c r="AR20" s="87">
        <f>IFERROR(AG20/AF20,"")</f>
        <v/>
      </c>
      <c r="AS20" s="87">
        <f>IFERROR(AH20/AF20,"")</f>
        <v/>
      </c>
      <c r="AT20" s="87">
        <f>IFERROR(AI20/AH20,"")</f>
        <v/>
      </c>
      <c r="AU20" s="87">
        <f>IFERROR(AN20/AH20,"")</f>
        <v/>
      </c>
      <c r="AV20" s="88" t="n"/>
      <c r="AW20" s="89" t="n">
        <v>0.2254</v>
      </c>
      <c r="AX20" s="89" t="n">
        <v>0.7746</v>
      </c>
      <c r="AY20" s="8" t="n"/>
      <c r="AZ20" s="8" t="inlineStr">
        <is>
          <t>780,010 MT total production (8.23% below 850,000 MT target); Refinery utilization 91.77% (up from 63.44%); Fractionation utilization 84.95%; Kernel crushing utilization 35.81%. CPO refinery yields: RBDPO 95.76%, PFAD 3.76%. Fractionation yields: Olein 81.01%, Stearin 18.99%.</t>
        </is>
      </c>
      <c r="BA20" s="8" t="n"/>
      <c r="BB20" s="8" t="n"/>
      <c r="BC20" s="90">
        <f>IFERROR(AG20/AC20,"")</f>
        <v/>
      </c>
      <c r="BD20" s="90">
        <f>IFERROR(AG20/(AC20+AA20),"")</f>
        <v/>
      </c>
      <c r="BE20" s="91" t="n"/>
      <c r="BF20" s="40" t="n"/>
      <c r="BG20" t="n">
        <v>2023</v>
      </c>
    </row>
    <row r="21" ht="15" customHeight="1" s="67">
      <c r="A21" s="8" t="inlineStr">
        <is>
          <t>PT Citra Borneo Utama Tbk</t>
        </is>
      </c>
      <c r="B21" s="86" t="n"/>
      <c r="C21" s="86" t="n"/>
      <c r="D21" s="86" t="n"/>
      <c r="E21" s="86" t="n"/>
      <c r="F21" s="86" t="n"/>
      <c r="G21" s="86" t="n"/>
      <c r="H21" s="86" t="n"/>
      <c r="I21" s="86" t="n"/>
      <c r="J21" s="86" t="n"/>
      <c r="K21" s="86" t="n"/>
      <c r="L21" s="86" t="n"/>
      <c r="M21" s="86" t="n"/>
      <c r="N21" s="86" t="n"/>
      <c r="O21" s="86" t="n">
        <v>0</v>
      </c>
      <c r="P21" s="86" t="n"/>
      <c r="Q21" s="86" t="n">
        <v>1</v>
      </c>
      <c r="R21" s="86" t="n">
        <v>25</v>
      </c>
      <c r="S21" s="86" t="n">
        <v>1</v>
      </c>
      <c r="T21" s="86" t="n">
        <v>850000</v>
      </c>
      <c r="U21" s="86" t="n">
        <v>0</v>
      </c>
      <c r="V21" s="86" t="n"/>
      <c r="W21" s="86" t="n"/>
      <c r="X21" s="8" t="n"/>
      <c r="Y21" s="8" t="n"/>
      <c r="Z21" s="8" t="n"/>
      <c r="AA21" s="86" t="n"/>
      <c r="AB21" s="87">
        <f>IFERROR(AA21/AF21,"")</f>
        <v/>
      </c>
      <c r="AC21" s="86" t="n"/>
      <c r="AD21" s="86" t="n"/>
      <c r="AE21" s="86" t="n"/>
      <c r="AF21" s="86" t="n"/>
      <c r="AG21" s="86" t="n"/>
      <c r="AH21" s="86" t="n"/>
      <c r="AI21" s="86" t="n"/>
      <c r="AJ21" s="86" t="n">
        <v>387833</v>
      </c>
      <c r="AK21" s="86" t="n">
        <v>296406</v>
      </c>
      <c r="AL21" s="86" t="n">
        <v>67661</v>
      </c>
      <c r="AM21" s="86" t="n">
        <v>14659</v>
      </c>
      <c r="AN21" s="86" t="n"/>
      <c r="AO21" s="11">
        <f>IFERROR(AC21/E21,"")</f>
        <v/>
      </c>
      <c r="AP21" s="11">
        <f>IFERROR(AD21/E21,"")</f>
        <v/>
      </c>
      <c r="AQ21" s="11">
        <f>IFERROR(AG21/E21,"")</f>
        <v/>
      </c>
      <c r="AR21" s="87">
        <f>IFERROR(AG21/AF21,"")</f>
        <v/>
      </c>
      <c r="AS21" s="87">
        <f>IFERROR(AH21/AF21,"")</f>
        <v/>
      </c>
      <c r="AT21" s="87">
        <f>IFERROR(AI21/AH21,"")</f>
        <v/>
      </c>
      <c r="AU21" s="87">
        <f>IFERROR(AN21/AH21,"")</f>
        <v/>
      </c>
      <c r="AV21" s="88" t="n"/>
      <c r="AW21" s="89" t="n">
        <v>0.2366</v>
      </c>
      <c r="AX21" s="89" t="n">
        <v>0.7634</v>
      </c>
      <c r="AY21" s="8" t="n"/>
      <c r="AZ21" s="8" t="inlineStr">
        <is>
          <t>Total production 402,492 MT (47.59% of 845,750 MT target). Refinery CPO processing utilization 47.62% (down from 91.77%), non-processing 29.39%, total 77.01%. Fractionation utilization 42.83% (vs 84.95%). Kernel crushing utilization 29.00%. Yields: RBDPO 95.82%, PFAD 3.62%; Olein 81.42%, Stearin 18.58%; CPKO 40.42%, PKE 54.97%. Kernel storage expanded to 12,500t.</t>
        </is>
      </c>
      <c r="BA21" s="8" t="n"/>
      <c r="BB21" s="8" t="n"/>
      <c r="BC21" s="90">
        <f>IFERROR(AG21/AC21,"")</f>
        <v/>
      </c>
      <c r="BD21" s="90">
        <f>IFERROR(AG21/(AC21+AA21),"")</f>
        <v/>
      </c>
      <c r="BE21" s="91" t="n"/>
      <c r="BF21" s="40" t="n"/>
      <c r="BG21" t="n">
        <v>2024</v>
      </c>
    </row>
    <row r="22" ht="15" customHeight="1" s="67">
      <c r="A22" s="8" t="inlineStr">
        <is>
          <t>PT Citra Borneo Utama Tbk</t>
        </is>
      </c>
      <c r="B22" s="86" t="n"/>
      <c r="C22" s="86" t="n"/>
      <c r="D22" s="86" t="n"/>
      <c r="E22" s="86" t="n"/>
      <c r="F22" s="86" t="n"/>
      <c r="G22" s="86" t="n"/>
      <c r="H22" s="86" t="n"/>
      <c r="I22" s="86" t="n"/>
      <c r="J22" s="86" t="n"/>
      <c r="K22" s="86" t="n"/>
      <c r="L22" s="86" t="n"/>
      <c r="M22" s="86" t="n"/>
      <c r="N22" s="86" t="n"/>
      <c r="O22" s="86" t="n">
        <v>0</v>
      </c>
      <c r="P22" s="86" t="n"/>
      <c r="Q22" s="86" t="n">
        <v>1</v>
      </c>
      <c r="R22" s="86" t="n">
        <v>25</v>
      </c>
      <c r="S22" s="86" t="n">
        <v>1</v>
      </c>
      <c r="T22" s="86" t="n">
        <v>850000</v>
      </c>
      <c r="U22" s="86" t="n">
        <v>0</v>
      </c>
      <c r="V22" s="86" t="n"/>
      <c r="W22" s="86" t="n"/>
      <c r="X22" s="8" t="n"/>
      <c r="Y22" s="8" t="n"/>
      <c r="Z22" s="8" t="n"/>
      <c r="AA22" s="86" t="n"/>
      <c r="AB22" s="87">
        <f>IFERROR(AA22/AF22,"")</f>
        <v/>
      </c>
      <c r="AC22" s="86" t="n"/>
      <c r="AD22" s="86" t="n"/>
      <c r="AE22" s="86" t="n"/>
      <c r="AF22" s="86" t="n"/>
      <c r="AG22" s="86" t="n"/>
      <c r="AH22" s="86" t="n"/>
      <c r="AI22" s="86" t="n"/>
      <c r="AJ22" s="86" t="n">
        <v>578928</v>
      </c>
      <c r="AK22" s="86" t="n">
        <v>467921</v>
      </c>
      <c r="AL22" s="86" t="n">
        <v>101320</v>
      </c>
      <c r="AM22" s="86" t="n">
        <v>21898</v>
      </c>
      <c r="AN22" s="86" t="n"/>
      <c r="AO22" s="11">
        <f>IFERROR(AC22/E22,"")</f>
        <v/>
      </c>
      <c r="AP22" s="11">
        <f>IFERROR(AD22/E22,"")</f>
        <v/>
      </c>
      <c r="AQ22" s="11">
        <f>IFERROR(AG22/E22,"")</f>
        <v/>
      </c>
      <c r="AR22" s="87">
        <f>IFERROR(AG22/AF22,"")</f>
        <v/>
      </c>
      <c r="AS22" s="87">
        <f>IFERROR(AH22/AF22,"")</f>
        <v/>
      </c>
      <c r="AT22" s="87">
        <f>IFERROR(AI22/AH22,"")</f>
        <v/>
      </c>
      <c r="AU22" s="87">
        <f>IFERROR(AN22/AH22,"")</f>
        <v/>
      </c>
      <c r="AV22" s="88" t="n"/>
      <c r="AW22" s="89" t="n">
        <v>0.2136</v>
      </c>
      <c r="AX22" s="89" t="n">
        <v>0.7864</v>
      </c>
      <c r="AY22" s="8" t="n"/>
      <c r="AZ22" s="8" t="inlineStr">
        <is>
          <t>Total production 603,670 MT (71.02% of 850,000 MT target). Refinery utilization 71.02%; Fractionation utilization 66.97%; Kernel crushing 50.66%. Yields: RBDPO 95.90%, PFAD 3.63%; Olein 82.21%, Stearin 17.78%; CPKO 42.09%, PKE 54.44%. New bottling capacity 222,222 L/day (68.23% Minyak Kita, 31.77% Hanau) utilization 41.95%.</t>
        </is>
      </c>
      <c r="BA22" s="8" t="n"/>
      <c r="BB22" s="8" t="n"/>
      <c r="BC22" s="90">
        <f>IFERROR(AG22/AC22,"")</f>
        <v/>
      </c>
      <c r="BD22" s="90">
        <f>IFERROR(AG22/(AC22+AA22),"")</f>
        <v/>
      </c>
      <c r="BE22" s="91" t="n"/>
      <c r="BF22" s="40" t="n"/>
      <c r="BG22" t="n">
        <v>2025</v>
      </c>
    </row>
    <row r="23" ht="15" customHeight="1" s="67">
      <c r="A23" s="8" t="inlineStr">
        <is>
          <t>PT Cisadane Sawit Raya Tbk.</t>
        </is>
      </c>
      <c r="B23" s="86" t="n">
        <v>19333.9</v>
      </c>
      <c r="C23" s="86" t="n">
        <v>19333.9</v>
      </c>
      <c r="D23" s="86" t="n"/>
      <c r="E23" s="86" t="n">
        <v>16147.1</v>
      </c>
      <c r="F23" s="86" t="n">
        <v>3186.8</v>
      </c>
      <c r="G23" s="86" t="n">
        <v>12053.3</v>
      </c>
      <c r="H23" s="86" t="n">
        <v>4093.8</v>
      </c>
      <c r="I23" s="86" t="n"/>
      <c r="J23" s="86" t="n"/>
      <c r="K23" s="86" t="n">
        <v>19333.9</v>
      </c>
      <c r="L23" s="86" t="n"/>
      <c r="M23" s="86" t="n"/>
      <c r="N23" s="86" t="n"/>
      <c r="O23" s="86" t="n">
        <v>1</v>
      </c>
      <c r="P23" s="86" t="n">
        <v>45</v>
      </c>
      <c r="Q23" s="86" t="n">
        <v>0</v>
      </c>
      <c r="R23" s="86" t="n"/>
      <c r="S23" s="86" t="n">
        <v>0</v>
      </c>
      <c r="T23" s="86" t="n"/>
      <c r="U23" s="86" t="n"/>
      <c r="V23" s="86" t="n"/>
      <c r="W23" s="86" t="n"/>
      <c r="X23" s="8" t="n"/>
      <c r="Y23" s="8" t="n"/>
      <c r="Z23" s="8" t="n"/>
      <c r="AA23" s="86" t="n">
        <v>14326</v>
      </c>
      <c r="AB23" s="87">
        <f>IFERROR(AA23/AF23,"")</f>
        <v/>
      </c>
      <c r="AC23" s="86" t="n">
        <v>342464</v>
      </c>
      <c r="AD23" s="86" t="n">
        <v>342464</v>
      </c>
      <c r="AE23" s="86" t="n"/>
      <c r="AF23" s="86" t="n">
        <v>174180</v>
      </c>
      <c r="AG23" s="86" t="n">
        <v>35701</v>
      </c>
      <c r="AH23" s="86" t="n">
        <v>8974</v>
      </c>
      <c r="AI23" s="86" t="n"/>
      <c r="AJ23" s="86" t="n"/>
      <c r="AK23" s="86" t="n"/>
      <c r="AL23" s="86" t="n"/>
      <c r="AM23" s="86" t="n"/>
      <c r="AN23" s="86" t="n"/>
      <c r="AO23" s="11">
        <f>IFERROR(AC23/E23,"")</f>
        <v/>
      </c>
      <c r="AP23" s="11">
        <f>IFERROR(AD23/E23,"")</f>
        <v/>
      </c>
      <c r="AQ23" s="11">
        <f>IFERROR(AG23/E23,"")</f>
        <v/>
      </c>
      <c r="AR23" s="87">
        <f>IFERROR(AG23/AF23,"")</f>
        <v/>
      </c>
      <c r="AS23" s="87">
        <f>IFERROR(AH23/AF23,"")</f>
        <v/>
      </c>
      <c r="AT23" s="87">
        <f>IFERROR(AI23/AH23,"")</f>
        <v/>
      </c>
      <c r="AU23" s="87">
        <f>IFERROR(AN23/AH23,"")</f>
        <v/>
      </c>
      <c r="AV23" s="88" t="n">
        <v>12468</v>
      </c>
      <c r="AW23" s="89" t="n">
        <v>1</v>
      </c>
      <c r="AX23" s="89" t="n">
        <v>0</v>
      </c>
      <c r="AY23" s="8" t="n"/>
      <c r="AZ23" s="8" t="n"/>
      <c r="BA23" s="8" t="n"/>
      <c r="BB23" s="8" t="n"/>
      <c r="BC23" s="90">
        <f>IFERROR(AG23/AC23,"")</f>
        <v/>
      </c>
      <c r="BD23" s="90">
        <f>IFERROR(AG23/(AC23+AA23),"")</f>
        <v/>
      </c>
      <c r="BE23" s="91" t="n">
        <v>0.205</v>
      </c>
      <c r="BF23" s="40" t="inlineStr">
        <is>
          <t>OER 20.5% and KER 5.2% (Extraction rates of CPO and Kernel from FFB processed)</t>
        </is>
      </c>
      <c r="BG23" t="n">
        <v>2022</v>
      </c>
    </row>
    <row r="24" ht="15" customHeight="1" s="67">
      <c r="A24" s="8" t="inlineStr">
        <is>
          <t>PT Cisadane Sawit Raya Tbk.</t>
        </is>
      </c>
      <c r="B24" s="86" t="n">
        <v>19552</v>
      </c>
      <c r="C24" s="86" t="n">
        <v>19552</v>
      </c>
      <c r="D24" s="86" t="n">
        <v>183.71</v>
      </c>
      <c r="E24" s="86" t="n">
        <v>17258.3</v>
      </c>
      <c r="F24" s="86" t="n">
        <v>2293.7</v>
      </c>
      <c r="G24" s="86" t="n">
        <v>13227.2</v>
      </c>
      <c r="H24" s="86" t="n">
        <v>4031.1</v>
      </c>
      <c r="I24" s="86" t="n"/>
      <c r="J24" s="86" t="n"/>
      <c r="K24" s="86" t="n">
        <v>19552</v>
      </c>
      <c r="L24" s="86" t="n"/>
      <c r="M24" s="86" t="n"/>
      <c r="N24" s="86" t="n"/>
      <c r="O24" s="86" t="n">
        <v>2</v>
      </c>
      <c r="P24" s="86" t="n">
        <v>90</v>
      </c>
      <c r="Q24" s="86" t="n">
        <v>0</v>
      </c>
      <c r="R24" s="86" t="n"/>
      <c r="S24" s="86" t="n">
        <v>0</v>
      </c>
      <c r="T24" s="86" t="n"/>
      <c r="U24" s="86" t="n"/>
      <c r="V24" s="86" t="n"/>
      <c r="W24" s="86" t="n"/>
      <c r="X24" s="8" t="n"/>
      <c r="Y24" s="8" t="n"/>
      <c r="Z24" s="8" t="n"/>
      <c r="AA24" s="86" t="n">
        <v>26402</v>
      </c>
      <c r="AB24" s="87">
        <f>IFERROR(AA24/AF24,"")</f>
        <v/>
      </c>
      <c r="AC24" s="86" t="n">
        <v>337367</v>
      </c>
      <c r="AD24" s="86" t="n">
        <v>337367</v>
      </c>
      <c r="AE24" s="86" t="n"/>
      <c r="AF24" s="86" t="n">
        <v>229687</v>
      </c>
      <c r="AG24" s="86" t="n">
        <v>48663</v>
      </c>
      <c r="AH24" s="86" t="n">
        <v>11166</v>
      </c>
      <c r="AI24" s="86" t="n"/>
      <c r="AJ24" s="86" t="n"/>
      <c r="AK24" s="86" t="n"/>
      <c r="AL24" s="86" t="n"/>
      <c r="AM24" s="86" t="n"/>
      <c r="AN24" s="86" t="n"/>
      <c r="AO24" s="11">
        <f>IFERROR(AC24/E24,"")</f>
        <v/>
      </c>
      <c r="AP24" s="11">
        <f>IFERROR(AD24/E24,"")</f>
        <v/>
      </c>
      <c r="AQ24" s="11">
        <f>IFERROR(AG24/E24,"")</f>
        <v/>
      </c>
      <c r="AR24" s="87">
        <f>IFERROR(AG24/AF24,"")</f>
        <v/>
      </c>
      <c r="AS24" s="87">
        <f>IFERROR(AH24/AF24,"")</f>
        <v/>
      </c>
      <c r="AT24" s="87">
        <f>IFERROR(AI24/AH24,"")</f>
        <v/>
      </c>
      <c r="AU24" s="87">
        <f>IFERROR(AN24/AH24,"")</f>
        <v/>
      </c>
      <c r="AV24" s="88" t="n">
        <v>10821</v>
      </c>
      <c r="AW24" s="89" t="n">
        <v>1</v>
      </c>
      <c r="AX24" s="89" t="n">
        <v>0</v>
      </c>
      <c r="AY24" s="8" t="n"/>
      <c r="AZ24" s="8" t="n"/>
      <c r="BA24" s="8" t="n"/>
      <c r="BB24" s="8" t="n"/>
      <c r="BC24" s="90">
        <f>IFERROR(AG24/AC24,"")</f>
        <v/>
      </c>
      <c r="BD24" s="90">
        <f>IFERROR(AG24/(AC24+AA24),"")</f>
        <v/>
      </c>
      <c r="BE24" s="91" t="n">
        <v>0.212</v>
      </c>
      <c r="BF24" s="40" t="inlineStr">
        <is>
          <t>OER 21.2% and KER 4.9%. Two palm oil mills operational in 2023 (existing Sei Siarti 45 tph + PT SKL South Tapanuli 45 tph). Total capacity now 90 tph.</t>
        </is>
      </c>
      <c r="BG24" t="n">
        <v>2023</v>
      </c>
    </row>
    <row r="25" ht="15" customHeight="1" s="67">
      <c r="A25" s="8" t="inlineStr">
        <is>
          <t>PT Cisadane Sawit Raya Tbk.</t>
        </is>
      </c>
      <c r="B25" s="86" t="n">
        <v>20067.6</v>
      </c>
      <c r="C25" s="86" t="n">
        <v>20067.6</v>
      </c>
      <c r="D25" s="86" t="n">
        <v>868.8</v>
      </c>
      <c r="E25" s="86" t="n">
        <v>17430.9</v>
      </c>
      <c r="F25" s="86" t="n">
        <v>2636.7</v>
      </c>
      <c r="G25" s="86" t="n">
        <v>13352</v>
      </c>
      <c r="H25" s="86" t="n">
        <v>4078.9</v>
      </c>
      <c r="I25" s="86" t="n"/>
      <c r="J25" s="86" t="n"/>
      <c r="K25" s="86" t="n">
        <v>20067.6</v>
      </c>
      <c r="L25" s="86" t="n"/>
      <c r="M25" s="86" t="n"/>
      <c r="N25" s="86" t="n"/>
      <c r="O25" s="86" t="n">
        <v>2</v>
      </c>
      <c r="P25" s="86" t="n">
        <v>90</v>
      </c>
      <c r="Q25" s="86" t="n">
        <v>0</v>
      </c>
      <c r="R25" s="86" t="n"/>
      <c r="S25" s="86" t="n">
        <v>0</v>
      </c>
      <c r="T25" s="86" t="n"/>
      <c r="U25" s="86" t="n"/>
      <c r="V25" s="86" t="n"/>
      <c r="W25" s="86" t="n"/>
      <c r="X25" s="8" t="n"/>
      <c r="Y25" s="8" t="n"/>
      <c r="Z25" s="8" t="n"/>
      <c r="AA25" s="86" t="n">
        <v>33723</v>
      </c>
      <c r="AB25" s="87">
        <f>IFERROR(AA25/AF25,"")</f>
        <v/>
      </c>
      <c r="AC25" s="86" t="n">
        <v>319085</v>
      </c>
      <c r="AD25" s="86" t="n">
        <v>319085</v>
      </c>
      <c r="AE25" s="86" t="n"/>
      <c r="AF25" s="86" t="n">
        <v>265837</v>
      </c>
      <c r="AG25" s="86" t="n">
        <v>55700</v>
      </c>
      <c r="AH25" s="86" t="n">
        <v>11801</v>
      </c>
      <c r="AI25" s="86" t="n"/>
      <c r="AJ25" s="86" t="n"/>
      <c r="AK25" s="86" t="n"/>
      <c r="AL25" s="86" t="n"/>
      <c r="AM25" s="86" t="n"/>
      <c r="AN25" s="86" t="n"/>
      <c r="AO25" s="11">
        <f>IFERROR(AC25/E25,"")</f>
        <v/>
      </c>
      <c r="AP25" s="11">
        <f>IFERROR(AD25/E25,"")</f>
        <v/>
      </c>
      <c r="AQ25" s="11">
        <f>IFERROR(AG25/E25,"")</f>
        <v/>
      </c>
      <c r="AR25" s="87">
        <f>IFERROR(AG25/AF25,"")</f>
        <v/>
      </c>
      <c r="AS25" s="87">
        <f>IFERROR(AH25/AF25,"")</f>
        <v/>
      </c>
      <c r="AT25" s="87">
        <f>IFERROR(AI25/AH25,"")</f>
        <v/>
      </c>
      <c r="AU25" s="87">
        <f>IFERROR(AN25/AH25,"")</f>
        <v/>
      </c>
      <c r="AV25" s="88" t="n">
        <v>12793</v>
      </c>
      <c r="AW25" s="89" t="n">
        <v>1</v>
      </c>
      <c r="AX25" s="89" t="n">
        <v>0</v>
      </c>
      <c r="AY25" s="8" t="n"/>
      <c r="AZ25" s="8" t="n"/>
      <c r="BA25" s="8" t="n"/>
      <c r="BB25" s="8" t="n"/>
      <c r="BC25" s="90">
        <f>IFERROR(AG25/AC25,"")</f>
        <v/>
      </c>
      <c r="BD25" s="90">
        <f>IFERROR(AG25/(AC25+AA25),"")</f>
        <v/>
      </c>
      <c r="BE25" s="91" t="n">
        <v>0.21</v>
      </c>
      <c r="BF25" s="40" t="inlineStr">
        <is>
          <t>OER 21.0% and KER 4.4%. Two operational mills (Sei Siarti 45 tph + PT SKL 45 tph, total 90 tph). Third mill at PT BKL Banyuasin (South Sumatra) in construction (~45 tph), target Jun-2025.</t>
        </is>
      </c>
      <c r="BG25" t="n">
        <v>2024</v>
      </c>
    </row>
    <row r="26" ht="15" customHeight="1" s="67">
      <c r="A26" s="8" t="inlineStr">
        <is>
          <t>PT Dharma Satya Nusantara Tbk</t>
        </is>
      </c>
      <c r="B26" s="86" t="n">
        <v>112500</v>
      </c>
      <c r="C26" s="86" t="n">
        <v>84600</v>
      </c>
      <c r="D26" s="86" t="n">
        <v>28300</v>
      </c>
      <c r="E26" s="86" t="n">
        <v>104000</v>
      </c>
      <c r="F26" s="86" t="n">
        <v>8800</v>
      </c>
      <c r="G26" s="86" t="n"/>
      <c r="H26" s="86" t="n"/>
      <c r="I26" s="86" t="n">
        <v>12.8</v>
      </c>
      <c r="J26" s="86" t="n"/>
      <c r="K26" s="86" t="n"/>
      <c r="L26" s="86" t="n">
        <v>112500</v>
      </c>
      <c r="M26" s="86" t="n"/>
      <c r="N26" s="86" t="n"/>
      <c r="O26" s="86" t="n">
        <v>12</v>
      </c>
      <c r="P26" s="86" t="n">
        <v>675</v>
      </c>
      <c r="Q26" s="86" t="n">
        <v>1</v>
      </c>
      <c r="R26" s="86" t="n">
        <v>16.7</v>
      </c>
      <c r="S26" s="86" t="n">
        <v>0</v>
      </c>
      <c r="T26" s="86" t="n"/>
      <c r="U26" s="86" t="n"/>
      <c r="V26" s="86" t="n"/>
      <c r="W26" s="86" t="n"/>
      <c r="X26" s="8" t="n"/>
      <c r="Y26" s="8" t="n"/>
      <c r="Z26" s="8" t="n"/>
      <c r="AA26" s="86" t="n"/>
      <c r="AB26" s="87">
        <f>IFERROR(AA26/AF26,"")</f>
        <v/>
      </c>
      <c r="AC26" s="86" t="n">
        <v>2213698</v>
      </c>
      <c r="AD26" s="86" t="n">
        <v>1758257</v>
      </c>
      <c r="AE26" s="86" t="n">
        <v>455442</v>
      </c>
      <c r="AF26" s="86" t="n">
        <v>2809177</v>
      </c>
      <c r="AG26" s="86" t="n">
        <v>639480</v>
      </c>
      <c r="AH26" s="86" t="n">
        <v>117622</v>
      </c>
      <c r="AI26" s="86" t="n">
        <v>37970</v>
      </c>
      <c r="AJ26" s="86" t="n"/>
      <c r="AK26" s="86" t="n"/>
      <c r="AL26" s="86" t="n"/>
      <c r="AM26" s="86" t="n"/>
      <c r="AN26" s="86" t="n"/>
      <c r="AO26" s="11">
        <f>IFERROR(AC26/E26,"")</f>
        <v/>
      </c>
      <c r="AP26" s="11">
        <f>IFERROR(AD26/E26,"")</f>
        <v/>
      </c>
      <c r="AQ26" s="11">
        <f>IFERROR(AG26/E26,"")</f>
        <v/>
      </c>
      <c r="AR26" s="87">
        <f>IFERROR(AG26/AF26,"")</f>
        <v/>
      </c>
      <c r="AS26" s="87">
        <f>IFERROR(AH26/AF26,"")</f>
        <v/>
      </c>
      <c r="AT26" s="87">
        <f>IFERROR(AI26/AH26,"")</f>
        <v/>
      </c>
      <c r="AU26" s="87">
        <f>IFERROR(AN26/AH26,"")</f>
        <v/>
      </c>
      <c r="AV26" s="88" t="n">
        <v>11180</v>
      </c>
      <c r="AW26" s="89" t="n">
        <v>1</v>
      </c>
      <c r="AX26" s="89" t="n">
        <v>0</v>
      </c>
      <c r="AY26" s="8" t="n"/>
      <c r="AZ26" s="8" t="n"/>
      <c r="BA26" s="8" t="n"/>
      <c r="BB26" s="8" t="n"/>
      <c r="BC26" s="90">
        <f>IFERROR(AG26/AC26,"")</f>
        <v/>
      </c>
      <c r="BD26" s="90">
        <f>IFERROR(AG26/(AC26+AA26),"")</f>
        <v/>
      </c>
      <c r="BE26" s="91" t="n">
        <v>0.2276</v>
      </c>
      <c r="BF26" s="40" t="inlineStr">
        <is>
          <t>CPO OER as reported in MD&amp;A for palm oil segment; FFA 3.78%</t>
        </is>
      </c>
      <c r="BG26" t="n">
        <v>2022</v>
      </c>
    </row>
    <row r="27" ht="15" customHeight="1" s="67">
      <c r="A27" s="8" t="inlineStr">
        <is>
          <t>PT Dharma Satya Nusantara Tbk</t>
        </is>
      </c>
      <c r="B27" s="86" t="n">
        <v>112700</v>
      </c>
      <c r="C27" s="86" t="n">
        <v>84800</v>
      </c>
      <c r="D27" s="86" t="n">
        <v>27900</v>
      </c>
      <c r="E27" s="86" t="n">
        <v>105700</v>
      </c>
      <c r="F27" s="86" t="n">
        <v>7000</v>
      </c>
      <c r="G27" s="86" t="n"/>
      <c r="H27" s="86" t="n"/>
      <c r="I27" s="86" t="n">
        <v>13.3</v>
      </c>
      <c r="J27" s="86" t="n"/>
      <c r="K27" s="86" t="n"/>
      <c r="L27" s="86" t="n">
        <v>112700</v>
      </c>
      <c r="M27" s="86" t="n"/>
      <c r="N27" s="86" t="n"/>
      <c r="O27" s="86" t="n">
        <v>12</v>
      </c>
      <c r="P27" s="86" t="n">
        <v>675</v>
      </c>
      <c r="Q27" s="86" t="n">
        <v>1</v>
      </c>
      <c r="R27" s="86" t="n">
        <v>16.7</v>
      </c>
      <c r="S27" s="86" t="n">
        <v>0</v>
      </c>
      <c r="T27" s="86" t="n"/>
      <c r="U27" s="86" t="n"/>
      <c r="V27" s="86" t="n"/>
      <c r="W27" s="86" t="n"/>
      <c r="X27" s="8" t="n"/>
      <c r="Y27" s="8" t="n"/>
      <c r="Z27" s="8" t="n"/>
      <c r="AA27" s="86" t="n">
        <v>582738</v>
      </c>
      <c r="AB27" s="87">
        <f>IFERROR(AA27/AF27,"")</f>
        <v/>
      </c>
      <c r="AC27" s="86" t="n">
        <v>2271821</v>
      </c>
      <c r="AD27" s="86" t="n">
        <v>1796532</v>
      </c>
      <c r="AE27" s="86" t="n">
        <v>475289</v>
      </c>
      <c r="AF27" s="86" t="n">
        <v>2854559</v>
      </c>
      <c r="AG27" s="86" t="n">
        <v>661892</v>
      </c>
      <c r="AH27" s="86" t="n">
        <v>122732</v>
      </c>
      <c r="AI27" s="86" t="n">
        <v>40356</v>
      </c>
      <c r="AJ27" s="86" t="n"/>
      <c r="AK27" s="86" t="n"/>
      <c r="AL27" s="86" t="n"/>
      <c r="AM27" s="86" t="n"/>
      <c r="AN27" s="86" t="n"/>
      <c r="AO27" s="11">
        <f>IFERROR(AC27/E27,"")</f>
        <v/>
      </c>
      <c r="AP27" s="11">
        <f>IFERROR(AD27/E27,"")</f>
        <v/>
      </c>
      <c r="AQ27" s="11">
        <f>IFERROR(AG27/E27,"")</f>
        <v/>
      </c>
      <c r="AR27" s="87">
        <f>IFERROR(AG27/AF27,"")</f>
        <v/>
      </c>
      <c r="AS27" s="87">
        <f>IFERROR(AH27/AF27,"")</f>
        <v/>
      </c>
      <c r="AT27" s="87">
        <f>IFERROR(AI27/AH27,"")</f>
        <v/>
      </c>
      <c r="AU27" s="87">
        <f>IFERROR(AN27/AH27,"")</f>
        <v/>
      </c>
      <c r="AV27" s="88" t="n">
        <v>11390</v>
      </c>
      <c r="AW27" s="89" t="n">
        <v>1</v>
      </c>
      <c r="AX27" s="89" t="n">
        <v>0</v>
      </c>
      <c r="AY27" s="8" t="n"/>
      <c r="AZ27" s="8" t="n"/>
      <c r="BA27" s="8" t="n"/>
      <c r="BB27" s="8" t="n"/>
      <c r="BC27" s="90">
        <f>IFERROR(AG27/AC27,"")</f>
        <v/>
      </c>
      <c r="BD27" s="90">
        <f>IFERROR(AG27/(AC27+AA27),"")</f>
        <v/>
      </c>
      <c r="BE27" s="91" t="n">
        <v>0.2319</v>
      </c>
      <c r="BF27" s="40" t="inlineStr">
        <is>
          <t>CPO OER as reported in MD&amp;A; FFA 2.96%</t>
        </is>
      </c>
      <c r="BG27" t="n">
        <v>2023</v>
      </c>
    </row>
    <row r="28" ht="15" customHeight="1" s="67">
      <c r="A28" s="8" t="inlineStr">
        <is>
          <t>PT Dharma Satya Nusantara Tbk</t>
        </is>
      </c>
      <c r="B28" s="86" t="n">
        <v>110700</v>
      </c>
      <c r="C28" s="86" t="n">
        <v>82800</v>
      </c>
      <c r="D28" s="86" t="n">
        <v>27908</v>
      </c>
      <c r="E28" s="86" t="n">
        <v>104101</v>
      </c>
      <c r="F28" s="86" t="n">
        <v>6599</v>
      </c>
      <c r="G28" s="86" t="n"/>
      <c r="H28" s="86" t="n"/>
      <c r="I28" s="86" t="n">
        <v>14</v>
      </c>
      <c r="J28" s="86" t="n">
        <v>900</v>
      </c>
      <c r="K28" s="86" t="n"/>
      <c r="L28" s="86" t="n">
        <v>110700</v>
      </c>
      <c r="M28" s="86" t="n"/>
      <c r="N28" s="86" t="n"/>
      <c r="O28" s="86" t="n">
        <v>12</v>
      </c>
      <c r="P28" s="86" t="n">
        <v>675</v>
      </c>
      <c r="Q28" s="86" t="n">
        <v>1</v>
      </c>
      <c r="R28" s="86" t="n">
        <v>16.7</v>
      </c>
      <c r="S28" s="86" t="n">
        <v>0</v>
      </c>
      <c r="T28" s="86" t="n"/>
      <c r="U28" s="86" t="n"/>
      <c r="V28" s="86" t="n"/>
      <c r="W28" s="86" t="n"/>
      <c r="X28" s="8" t="n"/>
      <c r="Y28" s="8" t="n"/>
      <c r="Z28" s="8" t="n"/>
      <c r="AA28" s="86" t="n">
        <v>405349</v>
      </c>
      <c r="AB28" s="87">
        <f>IFERROR(AA28/AF28,"")</f>
        <v/>
      </c>
      <c r="AC28" s="86" t="n">
        <v>2109737</v>
      </c>
      <c r="AD28" s="86" t="n">
        <v>1661979</v>
      </c>
      <c r="AE28" s="86" t="n">
        <v>447757</v>
      </c>
      <c r="AF28" s="86" t="n">
        <v>2515086</v>
      </c>
      <c r="AG28" s="86" t="n">
        <v>601508</v>
      </c>
      <c r="AH28" s="86" t="n">
        <v>114210</v>
      </c>
      <c r="AI28" s="86" t="n">
        <v>38217</v>
      </c>
      <c r="AJ28" s="86" t="n"/>
      <c r="AK28" s="86" t="n"/>
      <c r="AL28" s="86" t="n"/>
      <c r="AM28" s="86" t="n"/>
      <c r="AN28" s="86" t="n"/>
      <c r="AO28" s="11">
        <f>IFERROR(AC28/E28,"")</f>
        <v/>
      </c>
      <c r="AP28" s="11">
        <f>IFERROR(AD28/E28,"")</f>
        <v/>
      </c>
      <c r="AQ28" s="11">
        <f>IFERROR(AG28/E28,"")</f>
        <v/>
      </c>
      <c r="AR28" s="87">
        <f>IFERROR(AG28/AF28,"")</f>
        <v/>
      </c>
      <c r="AS28" s="87">
        <f>IFERROR(AH28/AF28,"")</f>
        <v/>
      </c>
      <c r="AT28" s="87">
        <f>IFERROR(AI28/AH28,"")</f>
        <v/>
      </c>
      <c r="AU28" s="87">
        <f>IFERROR(AN28/AH28,"")</f>
        <v/>
      </c>
      <c r="AV28" s="88" t="n">
        <v>12790</v>
      </c>
      <c r="AW28" s="89" t="n">
        <v>1</v>
      </c>
      <c r="AX28" s="89" t="n">
        <v>0</v>
      </c>
      <c r="AY28" s="8" t="n"/>
      <c r="AZ28" s="8" t="n"/>
      <c r="BA28" s="8" t="n"/>
      <c r="BB28" s="8" t="n"/>
      <c r="BC28" s="90">
        <f>IFERROR(AG28/AC28,"")</f>
        <v/>
      </c>
      <c r="BD28" s="90">
        <f>IFERROR(AG28/(AC28+AA28),"")</f>
        <v/>
      </c>
      <c r="BE28" s="91" t="n">
        <v>0.2392</v>
      </c>
      <c r="BF28" s="40" t="inlineStr">
        <is>
          <t>CPO OER reported 23.92%; FFA 2.86%</t>
        </is>
      </c>
      <c r="BG28" t="n">
        <v>2024</v>
      </c>
    </row>
    <row r="29" ht="15" customHeight="1" s="67">
      <c r="A29" s="8" t="inlineStr">
        <is>
          <t>PT FAP Agri Tbk</t>
        </is>
      </c>
      <c r="B29" s="86" t="n">
        <v>88752</v>
      </c>
      <c r="C29" s="86" t="n">
        <v>77384</v>
      </c>
      <c r="D29" s="86" t="n">
        <v>11368</v>
      </c>
      <c r="E29" s="86" t="n">
        <v>82624</v>
      </c>
      <c r="F29" s="86" t="n">
        <v>6128</v>
      </c>
      <c r="G29" s="86" t="n"/>
      <c r="H29" s="86" t="n"/>
      <c r="I29" s="86" t="n">
        <v>11</v>
      </c>
      <c r="J29" s="86" t="n"/>
      <c r="K29" s="86" t="n"/>
      <c r="L29" s="86" t="n">
        <v>85420</v>
      </c>
      <c r="M29" s="86" t="n"/>
      <c r="N29" s="86" t="n">
        <v>3332</v>
      </c>
      <c r="O29" s="86" t="n">
        <v>5</v>
      </c>
      <c r="P29" s="86" t="n"/>
      <c r="Q29" s="86" t="n">
        <v>1</v>
      </c>
      <c r="R29" s="86" t="n"/>
      <c r="S29" s="86" t="n">
        <v>0</v>
      </c>
      <c r="T29" s="86" t="n"/>
      <c r="U29" s="86" t="n"/>
      <c r="V29" s="86" t="n"/>
      <c r="W29" s="86" t="n"/>
      <c r="X29" s="8" t="n"/>
      <c r="Y29" s="8" t="n"/>
      <c r="Z29" s="8" t="n"/>
      <c r="AA29" s="86" t="n"/>
      <c r="AB29" s="87">
        <f>IFERROR(AA29/AF29,"")</f>
        <v/>
      </c>
      <c r="AC29" s="86" t="n">
        <v>1202008</v>
      </c>
      <c r="AD29" s="86" t="n"/>
      <c r="AE29" s="86" t="n"/>
      <c r="AF29" s="86" t="n">
        <v>1202008</v>
      </c>
      <c r="AG29" s="86" t="n">
        <v>277058</v>
      </c>
      <c r="AH29" s="86" t="n">
        <v>48192</v>
      </c>
      <c r="AI29" s="86" t="n">
        <v>11106</v>
      </c>
      <c r="AJ29" s="86" t="n"/>
      <c r="AK29" s="86" t="n"/>
      <c r="AL29" s="86" t="n"/>
      <c r="AM29" s="86" t="n"/>
      <c r="AN29" s="86" t="n">
        <v>12433</v>
      </c>
      <c r="AO29" s="11">
        <f>IFERROR(AC29/E29,"")</f>
        <v/>
      </c>
      <c r="AP29" s="11">
        <f>IFERROR(AD29/E29,"")</f>
        <v/>
      </c>
      <c r="AQ29" s="11">
        <f>IFERROR(AG29/E29,"")</f>
        <v/>
      </c>
      <c r="AR29" s="87">
        <f>IFERROR(AG29/AF29,"")</f>
        <v/>
      </c>
      <c r="AS29" s="87">
        <f>IFERROR(AH29/AF29,"")</f>
        <v/>
      </c>
      <c r="AT29" s="87">
        <f>IFERROR(AI29/AH29,"")</f>
        <v/>
      </c>
      <c r="AU29" s="87">
        <f>IFERROR(AN29/AH29,"")</f>
        <v/>
      </c>
      <c r="AV29" s="88" t="n">
        <v>13406</v>
      </c>
      <c r="AW29" s="89" t="n">
        <v>1</v>
      </c>
      <c r="AX29" s="89" t="n">
        <v>0</v>
      </c>
      <c r="AY29" s="8" t="n"/>
      <c r="AZ29" s="8" t="n"/>
      <c r="BA29" s="8" t="n"/>
      <c r="BB29" s="8" t="n"/>
      <c r="BC29" s="90">
        <f>IFERROR(AG29/AC29,"")</f>
        <v/>
      </c>
      <c r="BD29" s="90">
        <f>IFERROR(AG29/(AC29+AA29),"")</f>
        <v/>
      </c>
      <c r="BE29" s="91" t="n"/>
      <c r="BF29" s="40" t="inlineStr">
        <is>
          <t>Approx CPO OER ~23% (277,058/1,202,008); not explicitly disclosed. ASP from revenue Rp3,888bn CPO / 290,111 tons ≈ Rp13,407/kg.</t>
        </is>
      </c>
      <c r="BG29" t="n">
        <v>2022</v>
      </c>
    </row>
    <row r="30" ht="15" customHeight="1" s="67">
      <c r="A30" s="8" t="inlineStr">
        <is>
          <t>PT FAP Agri Tbk</t>
        </is>
      </c>
      <c r="B30" s="86" t="n">
        <v>88752</v>
      </c>
      <c r="C30" s="86" t="n">
        <v>77434</v>
      </c>
      <c r="D30" s="86" t="n">
        <v>11318</v>
      </c>
      <c r="E30" s="86" t="n">
        <v>84128</v>
      </c>
      <c r="F30" s="86" t="n">
        <v>4623</v>
      </c>
      <c r="G30" s="86" t="n"/>
      <c r="H30" s="86" t="n"/>
      <c r="I30" s="86" t="n">
        <v>11.9</v>
      </c>
      <c r="J30" s="86" t="n"/>
      <c r="K30" s="86" t="n"/>
      <c r="L30" s="86" t="n">
        <v>85420</v>
      </c>
      <c r="M30" s="86" t="n"/>
      <c r="N30" s="86" t="n">
        <v>3332</v>
      </c>
      <c r="O30" s="86" t="n">
        <v>6</v>
      </c>
      <c r="P30" s="86" t="n"/>
      <c r="Q30" s="86" t="n">
        <v>1</v>
      </c>
      <c r="R30" s="86" t="n"/>
      <c r="S30" s="86" t="n">
        <v>0</v>
      </c>
      <c r="T30" s="86" t="n"/>
      <c r="U30" s="86" t="n"/>
      <c r="V30" s="86" t="n"/>
      <c r="W30" s="86" t="n"/>
      <c r="X30" s="8" t="n"/>
      <c r="Y30" s="8" t="n"/>
      <c r="Z30" s="8" t="n"/>
      <c r="AA30" s="86" t="n"/>
      <c r="AB30" s="87">
        <f>IFERROR(AA30/AF30,"")</f>
        <v/>
      </c>
      <c r="AC30" s="86" t="n">
        <v>1261820</v>
      </c>
      <c r="AD30" s="86" t="n"/>
      <c r="AE30" s="86" t="n"/>
      <c r="AF30" s="86" t="n"/>
      <c r="AG30" s="86" t="n">
        <v>307674</v>
      </c>
      <c r="AH30" s="86" t="n">
        <v>55797</v>
      </c>
      <c r="AI30" s="86" t="n">
        <v>13370</v>
      </c>
      <c r="AJ30" s="86" t="n"/>
      <c r="AK30" s="86" t="n"/>
      <c r="AL30" s="86" t="n"/>
      <c r="AM30" s="86" t="n"/>
      <c r="AN30" s="86" t="n">
        <v>15188</v>
      </c>
      <c r="AO30" s="11">
        <f>IFERROR(AC30/E30,"")</f>
        <v/>
      </c>
      <c r="AP30" s="11">
        <f>IFERROR(AD30/E30,"")</f>
        <v/>
      </c>
      <c r="AQ30" s="11">
        <f>IFERROR(AG30/E30,"")</f>
        <v/>
      </c>
      <c r="AR30" s="87">
        <f>IFERROR(AG30/AF30,"")</f>
        <v/>
      </c>
      <c r="AS30" s="87">
        <f>IFERROR(AH30/AF30,"")</f>
        <v/>
      </c>
      <c r="AT30" s="87">
        <f>IFERROR(AI30/AH30,"")</f>
        <v/>
      </c>
      <c r="AU30" s="87">
        <f>IFERROR(AN30/AH30,"")</f>
        <v/>
      </c>
      <c r="AV30" s="88" t="n"/>
      <c r="AW30" s="89" t="n">
        <v>1</v>
      </c>
      <c r="AX30" s="89" t="n">
        <v>0</v>
      </c>
      <c r="AY30" s="8" t="n"/>
      <c r="AZ30" s="8" t="n"/>
      <c r="BA30" s="8" t="n"/>
      <c r="BB30" s="8" t="n"/>
      <c r="BC30" s="90">
        <f>IFERROR(AG30/AC30,"")</f>
        <v/>
      </c>
      <c r="BD30" s="90">
        <f>IFERROR(AG30/(AC30+AA30),"")</f>
        <v/>
      </c>
      <c r="BE30" s="91" t="n"/>
      <c r="BF30" s="40" t="inlineStr">
        <is>
          <t>Approx CPO OER ~24.4% (307,674/1,261,820); not explicitly disclosed.</t>
        </is>
      </c>
      <c r="BG30" t="n">
        <v>2023</v>
      </c>
    </row>
    <row r="31" ht="15" customHeight="1" s="67">
      <c r="A31" s="8" t="inlineStr">
        <is>
          <t>PT FAP Agri Tbk</t>
        </is>
      </c>
      <c r="B31" s="86" t="n">
        <v>88701</v>
      </c>
      <c r="C31" s="86" t="n">
        <v>78315</v>
      </c>
      <c r="D31" s="86" t="n">
        <v>10386</v>
      </c>
      <c r="E31" s="86" t="n">
        <v>87633</v>
      </c>
      <c r="F31" s="86" t="n">
        <v>1068</v>
      </c>
      <c r="G31" s="86" t="n"/>
      <c r="H31" s="86" t="n"/>
      <c r="I31" s="86" t="n">
        <v>13</v>
      </c>
      <c r="J31" s="86" t="n"/>
      <c r="K31" s="86" t="n"/>
      <c r="L31" s="86" t="n">
        <v>85369</v>
      </c>
      <c r="M31" s="86" t="n"/>
      <c r="N31" s="86" t="n">
        <v>3332</v>
      </c>
      <c r="O31" s="86" t="n">
        <v>6</v>
      </c>
      <c r="P31" s="86" t="n"/>
      <c r="Q31" s="86" t="n">
        <v>1</v>
      </c>
      <c r="R31" s="86" t="n"/>
      <c r="S31" s="86" t="n">
        <v>0</v>
      </c>
      <c r="T31" s="86" t="n"/>
      <c r="U31" s="86" t="n"/>
      <c r="V31" s="86" t="n"/>
      <c r="W31" s="86" t="n"/>
      <c r="X31" s="8" t="n"/>
      <c r="Y31" s="8" t="n"/>
      <c r="Z31" s="8" t="n"/>
      <c r="AA31" s="86" t="n"/>
      <c r="AB31" s="87">
        <f>IFERROR(AA31/AF31,"")</f>
        <v/>
      </c>
      <c r="AC31" s="86" t="n">
        <v>1312257</v>
      </c>
      <c r="AD31" s="86" t="n"/>
      <c r="AE31" s="86" t="n"/>
      <c r="AF31" s="86" t="n"/>
      <c r="AG31" s="86" t="n">
        <v>297758</v>
      </c>
      <c r="AH31" s="86" t="n">
        <v>52859</v>
      </c>
      <c r="AI31" s="86" t="n">
        <v>13692</v>
      </c>
      <c r="AJ31" s="86" t="n"/>
      <c r="AK31" s="86" t="n"/>
      <c r="AL31" s="86" t="n"/>
      <c r="AM31" s="86" t="n"/>
      <c r="AN31" s="86" t="n">
        <v>15452</v>
      </c>
      <c r="AO31" s="11">
        <f>IFERROR(AC31/E31,"")</f>
        <v/>
      </c>
      <c r="AP31" s="11">
        <f>IFERROR(AD31/E31,"")</f>
        <v/>
      </c>
      <c r="AQ31" s="11">
        <f>IFERROR(AG31/E31,"")</f>
        <v/>
      </c>
      <c r="AR31" s="87">
        <f>IFERROR(AG31/AF31,"")</f>
        <v/>
      </c>
      <c r="AS31" s="87">
        <f>IFERROR(AH31/AF31,"")</f>
        <v/>
      </c>
      <c r="AT31" s="87">
        <f>IFERROR(AI31/AH31,"")</f>
        <v/>
      </c>
      <c r="AU31" s="87">
        <f>IFERROR(AN31/AH31,"")</f>
        <v/>
      </c>
      <c r="AV31" s="88" t="n"/>
      <c r="AW31" s="89" t="n">
        <v>1</v>
      </c>
      <c r="AX31" s="89" t="n">
        <v>0</v>
      </c>
      <c r="AY31" s="8" t="n"/>
      <c r="AZ31" s="8" t="n"/>
      <c r="BA31" s="8" t="n"/>
      <c r="BB31" s="8" t="n"/>
      <c r="BC31" s="90">
        <f>IFERROR(AG31/AC31,"")</f>
        <v/>
      </c>
      <c r="BD31" s="90">
        <f>IFERROR(AG31/(AC31+AA31),"")</f>
        <v/>
      </c>
      <c r="BE31" s="91" t="n"/>
      <c r="BF31" s="40" t="inlineStr">
        <is>
          <t>Approx CPO OER ~22.7% (297,758/1,312,257); not explicitly disclosed. FFB yield 14.97 t/ha.</t>
        </is>
      </c>
      <c r="BG31" t="n">
        <v>2024</v>
      </c>
    </row>
    <row r="32" ht="15" customHeight="1" s="67">
      <c r="A32" s="8" t="inlineStr">
        <is>
          <t>PT FKS Multi Agro Tbk</t>
        </is>
      </c>
      <c r="B32" s="86" t="n"/>
      <c r="C32" s="86" t="n"/>
      <c r="D32" s="86" t="n"/>
      <c r="E32" s="86" t="n"/>
      <c r="F32" s="86" t="n"/>
      <c r="G32" s="86" t="n"/>
      <c r="H32" s="86" t="n"/>
      <c r="I32" s="86" t="n"/>
      <c r="J32" s="86" t="n"/>
      <c r="K32" s="86" t="n"/>
      <c r="L32" s="86" t="n"/>
      <c r="M32" s="86" t="n"/>
      <c r="N32" s="86" t="n"/>
      <c r="O32" s="86" t="n"/>
      <c r="P32" s="86" t="n"/>
      <c r="Q32" s="86" t="n"/>
      <c r="R32" s="86" t="n"/>
      <c r="S32" s="86" t="n"/>
      <c r="T32" s="86" t="n"/>
      <c r="U32" s="86" t="n"/>
      <c r="V32" s="86" t="n"/>
      <c r="W32" s="86" t="n"/>
      <c r="X32" s="8" t="n"/>
      <c r="Y32" s="8" t="n"/>
      <c r="Z32" s="8" t="n"/>
      <c r="AA32" s="86" t="n"/>
      <c r="AB32" s="87">
        <f>IFERROR(AA32/AF32,"")</f>
        <v/>
      </c>
      <c r="AC32" s="86" t="n"/>
      <c r="AD32" s="86" t="n"/>
      <c r="AE32" s="86" t="n"/>
      <c r="AF32" s="86" t="n"/>
      <c r="AG32" s="86" t="n"/>
      <c r="AH32" s="86" t="n"/>
      <c r="AI32" s="86" t="n"/>
      <c r="AJ32" s="86" t="n"/>
      <c r="AK32" s="86" t="n"/>
      <c r="AL32" s="86" t="n"/>
      <c r="AM32" s="86" t="n"/>
      <c r="AN32" s="86" t="n"/>
      <c r="AO32" s="11">
        <f>IFERROR(AC32/E32,"")</f>
        <v/>
      </c>
      <c r="AP32" s="11">
        <f>IFERROR(AD32/E32,"")</f>
        <v/>
      </c>
      <c r="AQ32" s="11">
        <f>IFERROR(AG32/E32,"")</f>
        <v/>
      </c>
      <c r="AR32" s="87">
        <f>IFERROR(AG32/AF32,"")</f>
        <v/>
      </c>
      <c r="AS32" s="87">
        <f>IFERROR(AH32/AF32,"")</f>
        <v/>
      </c>
      <c r="AT32" s="87">
        <f>IFERROR(AI32/AH32,"")</f>
        <v/>
      </c>
      <c r="AU32" s="87">
        <f>IFERROR(AN32/AH32,"")</f>
        <v/>
      </c>
      <c r="AV32" s="88" t="n"/>
      <c r="AW32" s="89" t="n"/>
      <c r="AX32" s="89" t="n"/>
      <c r="AY32" s="8" t="n"/>
      <c r="AZ32" s="8" t="n"/>
      <c r="BA32" s="8" t="n"/>
      <c r="BB32" s="8" t="n"/>
      <c r="BC32" s="90">
        <f>IFERROR(AG32/AC32,"")</f>
        <v/>
      </c>
      <c r="BD32" s="90">
        <f>IFERROR(AG32/(AC32+AA32),"")</f>
        <v/>
      </c>
      <c r="BE32" s="91" t="n"/>
      <c r="BF32" s="40" t="n"/>
      <c r="BG32" t="n">
        <v>2022</v>
      </c>
    </row>
    <row r="33" ht="15" customHeight="1" s="67">
      <c r="A33" s="8" t="inlineStr">
        <is>
          <t>PT FKS Multi Agro Tbk</t>
        </is>
      </c>
      <c r="B33" s="86" t="n"/>
      <c r="C33" s="86" t="n"/>
      <c r="D33" s="86" t="n"/>
      <c r="E33" s="86" t="n"/>
      <c r="F33" s="86" t="n"/>
      <c r="G33" s="86" t="n"/>
      <c r="H33" s="86" t="n"/>
      <c r="I33" s="86" t="n"/>
      <c r="J33" s="86" t="n"/>
      <c r="K33" s="86" t="n"/>
      <c r="L33" s="86" t="n"/>
      <c r="M33" s="86" t="n"/>
      <c r="N33" s="86" t="n"/>
      <c r="O33" s="86" t="n"/>
      <c r="P33" s="86" t="n"/>
      <c r="Q33" s="86" t="n"/>
      <c r="R33" s="86" t="n"/>
      <c r="S33" s="86" t="n"/>
      <c r="T33" s="86" t="n"/>
      <c r="U33" s="86" t="n"/>
      <c r="V33" s="86" t="n"/>
      <c r="W33" s="86" t="n"/>
      <c r="X33" s="8" t="n"/>
      <c r="Y33" s="8" t="n"/>
      <c r="Z33" s="8" t="n"/>
      <c r="AA33" s="86" t="n"/>
      <c r="AB33" s="87">
        <f>IFERROR(AA33/AF33,"")</f>
        <v/>
      </c>
      <c r="AC33" s="86" t="n"/>
      <c r="AD33" s="86" t="n"/>
      <c r="AE33" s="86" t="n"/>
      <c r="AF33" s="86" t="n"/>
      <c r="AG33" s="86" t="n"/>
      <c r="AH33" s="86" t="n"/>
      <c r="AI33" s="86" t="n"/>
      <c r="AJ33" s="86" t="n"/>
      <c r="AK33" s="86" t="n"/>
      <c r="AL33" s="86" t="n"/>
      <c r="AM33" s="86" t="n"/>
      <c r="AN33" s="86" t="n"/>
      <c r="AO33" s="11">
        <f>IFERROR(AC33/E33,"")</f>
        <v/>
      </c>
      <c r="AP33" s="11">
        <f>IFERROR(AD33/E33,"")</f>
        <v/>
      </c>
      <c r="AQ33" s="11">
        <f>IFERROR(AG33/E33,"")</f>
        <v/>
      </c>
      <c r="AR33" s="87">
        <f>IFERROR(AG33/AF33,"")</f>
        <v/>
      </c>
      <c r="AS33" s="87">
        <f>IFERROR(AH33/AF33,"")</f>
        <v/>
      </c>
      <c r="AT33" s="87">
        <f>IFERROR(AI33/AH33,"")</f>
        <v/>
      </c>
      <c r="AU33" s="87">
        <f>IFERROR(AN33/AH33,"")</f>
        <v/>
      </c>
      <c r="AV33" s="88" t="n"/>
      <c r="AW33" s="89" t="n"/>
      <c r="AX33" s="89" t="n"/>
      <c r="AY33" s="8" t="n"/>
      <c r="AZ33" s="8" t="n"/>
      <c r="BA33" s="8" t="n"/>
      <c r="BB33" s="8" t="n"/>
      <c r="BC33" s="90">
        <f>IFERROR(AG33/AC33,"")</f>
        <v/>
      </c>
      <c r="BD33" s="90">
        <f>IFERROR(AG33/(AC33+AA33),"")</f>
        <v/>
      </c>
      <c r="BE33" s="91" t="n"/>
      <c r="BF33" s="40" t="n"/>
      <c r="BG33" t="n">
        <v>2023</v>
      </c>
    </row>
    <row r="34" ht="15" customHeight="1" s="67">
      <c r="A34" s="8" t="inlineStr">
        <is>
          <t>PT FKS Multi Agro Tbk</t>
        </is>
      </c>
      <c r="B34" s="86" t="n"/>
      <c r="C34" s="86" t="n"/>
      <c r="D34" s="86" t="n"/>
      <c r="E34" s="86" t="n"/>
      <c r="F34" s="86" t="n"/>
      <c r="G34" s="86" t="n"/>
      <c r="H34" s="86" t="n"/>
      <c r="I34" s="86" t="n"/>
      <c r="J34" s="86" t="n"/>
      <c r="K34" s="86" t="n"/>
      <c r="L34" s="86" t="n"/>
      <c r="M34" s="86" t="n"/>
      <c r="N34" s="86" t="n"/>
      <c r="O34" s="86" t="n"/>
      <c r="P34" s="86" t="n"/>
      <c r="Q34" s="86" t="n"/>
      <c r="R34" s="86" t="n"/>
      <c r="S34" s="86" t="n"/>
      <c r="T34" s="86" t="n"/>
      <c r="U34" s="86" t="n"/>
      <c r="V34" s="86" t="n"/>
      <c r="W34" s="86" t="n"/>
      <c r="X34" s="8" t="n"/>
      <c r="Y34" s="8" t="n"/>
      <c r="Z34" s="8" t="n"/>
      <c r="AA34" s="86" t="n"/>
      <c r="AB34" s="87">
        <f>IFERROR(AA34/AF34,"")</f>
        <v/>
      </c>
      <c r="AC34" s="86" t="n"/>
      <c r="AD34" s="86" t="n"/>
      <c r="AE34" s="86" t="n"/>
      <c r="AF34" s="86" t="n"/>
      <c r="AG34" s="86" t="n"/>
      <c r="AH34" s="86" t="n"/>
      <c r="AI34" s="86" t="n"/>
      <c r="AJ34" s="86" t="n"/>
      <c r="AK34" s="86" t="n"/>
      <c r="AL34" s="86" t="n"/>
      <c r="AM34" s="86" t="n"/>
      <c r="AN34" s="86" t="n"/>
      <c r="AO34" s="11">
        <f>IFERROR(AC34/E34,"")</f>
        <v/>
      </c>
      <c r="AP34" s="11">
        <f>IFERROR(AD34/E34,"")</f>
        <v/>
      </c>
      <c r="AQ34" s="11">
        <f>IFERROR(AG34/E34,"")</f>
        <v/>
      </c>
      <c r="AR34" s="87">
        <f>IFERROR(AG34/AF34,"")</f>
        <v/>
      </c>
      <c r="AS34" s="87">
        <f>IFERROR(AH34/AF34,"")</f>
        <v/>
      </c>
      <c r="AT34" s="87">
        <f>IFERROR(AI34/AH34,"")</f>
        <v/>
      </c>
      <c r="AU34" s="87">
        <f>IFERROR(AN34/AH34,"")</f>
        <v/>
      </c>
      <c r="AV34" s="88" t="n"/>
      <c r="AW34" s="89" t="n"/>
      <c r="AX34" s="89" t="n"/>
      <c r="AY34" s="8" t="n"/>
      <c r="AZ34" s="8" t="n"/>
      <c r="BA34" s="8" t="n"/>
      <c r="BB34" s="8" t="n"/>
      <c r="BC34" s="90">
        <f>IFERROR(AG34/AC34,"")</f>
        <v/>
      </c>
      <c r="BD34" s="90">
        <f>IFERROR(AG34/(AC34+AA34),"")</f>
        <v/>
      </c>
      <c r="BE34" s="91" t="n"/>
      <c r="BF34" s="40" t="n"/>
      <c r="BG34" t="n">
        <v>2024</v>
      </c>
    </row>
    <row r="35" ht="15" customHeight="1" s="67">
      <c r="A35" s="8" t="inlineStr">
        <is>
          <t>PT Golden Plantation Tbk</t>
        </is>
      </c>
      <c r="B35" s="86" t="n"/>
      <c r="C35" s="86" t="n"/>
      <c r="D35" s="86" t="n"/>
      <c r="E35" s="86" t="n"/>
      <c r="F35" s="86" t="n"/>
      <c r="G35" s="86" t="n"/>
      <c r="H35" s="86" t="n"/>
      <c r="I35" s="86" t="n"/>
      <c r="J35" s="86" t="n"/>
      <c r="K35" s="86" t="n"/>
      <c r="L35" s="86" t="n"/>
      <c r="M35" s="86" t="n"/>
      <c r="N35" s="86" t="n"/>
      <c r="O35" s="86" t="n"/>
      <c r="P35" s="86" t="n"/>
      <c r="Q35" s="86" t="n"/>
      <c r="R35" s="86" t="n"/>
      <c r="S35" s="86" t="n"/>
      <c r="T35" s="86" t="n"/>
      <c r="U35" s="86" t="n"/>
      <c r="V35" s="86" t="n"/>
      <c r="W35" s="86" t="n"/>
      <c r="X35" s="8" t="n"/>
      <c r="Y35" s="8" t="n"/>
      <c r="Z35" s="8" t="n"/>
      <c r="AA35" s="86" t="n"/>
      <c r="AB35" s="87">
        <f>IFERROR(AA35/AF35,"")</f>
        <v/>
      </c>
      <c r="AC35" s="86" t="n"/>
      <c r="AD35" s="86" t="n"/>
      <c r="AE35" s="86" t="n"/>
      <c r="AF35" s="86" t="n"/>
      <c r="AG35" s="86" t="n"/>
      <c r="AH35" s="86" t="n"/>
      <c r="AI35" s="86" t="n"/>
      <c r="AJ35" s="86" t="n"/>
      <c r="AK35" s="86" t="n"/>
      <c r="AL35" s="86" t="n"/>
      <c r="AM35" s="86" t="n"/>
      <c r="AN35" s="86" t="n"/>
      <c r="AO35" s="11">
        <f>IFERROR(AC35/E35,"")</f>
        <v/>
      </c>
      <c r="AP35" s="11">
        <f>IFERROR(AD35/E35,"")</f>
        <v/>
      </c>
      <c r="AQ35" s="11">
        <f>IFERROR(AG35/E35,"")</f>
        <v/>
      </c>
      <c r="AR35" s="87">
        <f>IFERROR(AG35/AF35,"")</f>
        <v/>
      </c>
      <c r="AS35" s="87">
        <f>IFERROR(AH35/AF35,"")</f>
        <v/>
      </c>
      <c r="AT35" s="87">
        <f>IFERROR(AI35/AH35,"")</f>
        <v/>
      </c>
      <c r="AU35" s="87">
        <f>IFERROR(AN35/AH35,"")</f>
        <v/>
      </c>
      <c r="AV35" s="88" t="n"/>
      <c r="AW35" s="89" t="n"/>
      <c r="AX35" s="89" t="n"/>
      <c r="AY35" s="8" t="n"/>
      <c r="AZ35" s="8" t="n"/>
      <c r="BA35" s="8" t="n"/>
      <c r="BB35" s="8" t="n"/>
      <c r="BC35" s="90">
        <f>IFERROR(AG35/AC35,"")</f>
        <v/>
      </c>
      <c r="BD35" s="90">
        <f>IFERROR(AG35/(AC35+AA35),"")</f>
        <v/>
      </c>
      <c r="BE35" s="91" t="n"/>
      <c r="BF35" s="40" t="n"/>
      <c r="BG35" t="n">
        <v>2020</v>
      </c>
    </row>
    <row r="36" ht="15" customHeight="1" s="67">
      <c r="A36" s="8" t="inlineStr">
        <is>
          <t>PT Gunanusa Eramandiri Tbk</t>
        </is>
      </c>
      <c r="B36" s="86" t="n"/>
      <c r="C36" s="86" t="n"/>
      <c r="D36" s="86" t="n"/>
      <c r="E36" s="86" t="n"/>
      <c r="F36" s="86" t="n"/>
      <c r="G36" s="86" t="n"/>
      <c r="H36" s="86" t="n"/>
      <c r="I36" s="86" t="n"/>
      <c r="J36" s="86" t="n"/>
      <c r="K36" s="86" t="n"/>
      <c r="L36" s="86" t="n"/>
      <c r="M36" s="86" t="n"/>
      <c r="N36" s="86" t="n"/>
      <c r="O36" s="86" t="n"/>
      <c r="P36" s="86" t="n"/>
      <c r="Q36" s="86" t="n"/>
      <c r="R36" s="86" t="n"/>
      <c r="S36" s="86" t="n"/>
      <c r="T36" s="86" t="n"/>
      <c r="U36" s="86" t="n"/>
      <c r="V36" s="86" t="n"/>
      <c r="W36" s="86" t="n"/>
      <c r="X36" s="8" t="n"/>
      <c r="Y36" s="8" t="n"/>
      <c r="Z36" s="8" t="n"/>
      <c r="AA36" s="86" t="n"/>
      <c r="AB36" s="87">
        <f>IFERROR(AA36/AF36,"")</f>
        <v/>
      </c>
      <c r="AC36" s="86" t="n"/>
      <c r="AD36" s="86" t="n"/>
      <c r="AE36" s="86" t="n"/>
      <c r="AF36" s="86" t="n"/>
      <c r="AG36" s="86" t="n"/>
      <c r="AH36" s="86" t="n"/>
      <c r="AI36" s="86" t="n"/>
      <c r="AJ36" s="86" t="n"/>
      <c r="AK36" s="86" t="n"/>
      <c r="AL36" s="86" t="n"/>
      <c r="AM36" s="86" t="n"/>
      <c r="AN36" s="86" t="n"/>
      <c r="AO36" s="11">
        <f>IFERROR(AC36/E36,"")</f>
        <v/>
      </c>
      <c r="AP36" s="11">
        <f>IFERROR(AD36/E36,"")</f>
        <v/>
      </c>
      <c r="AQ36" s="11">
        <f>IFERROR(AG36/E36,"")</f>
        <v/>
      </c>
      <c r="AR36" s="87">
        <f>IFERROR(AG36/AF36,"")</f>
        <v/>
      </c>
      <c r="AS36" s="87">
        <f>IFERROR(AH36/AF36,"")</f>
        <v/>
      </c>
      <c r="AT36" s="87">
        <f>IFERROR(AI36/AH36,"")</f>
        <v/>
      </c>
      <c r="AU36" s="87">
        <f>IFERROR(AN36/AH36,"")</f>
        <v/>
      </c>
      <c r="AV36" s="88" t="n"/>
      <c r="AW36" s="89" t="n"/>
      <c r="AX36" s="89" t="n"/>
      <c r="AY36" s="8" t="n"/>
      <c r="AZ36" s="8" t="n"/>
      <c r="BA36" s="8" t="n"/>
      <c r="BB36" s="8" t="n"/>
      <c r="BC36" s="90">
        <f>IFERROR(AG36/AC36,"")</f>
        <v/>
      </c>
      <c r="BD36" s="90">
        <f>IFERROR(AG36/(AC36+AA36),"")</f>
        <v/>
      </c>
      <c r="BE36" s="91" t="n"/>
      <c r="BF36" s="40" t="n"/>
      <c r="BG36" t="n">
        <v>2024</v>
      </c>
    </row>
    <row r="37" ht="15" customHeight="1" s="67">
      <c r="A37" s="8" t="inlineStr">
        <is>
          <t>PT Gozco Plantations Tbk</t>
        </is>
      </c>
      <c r="B37" s="86" t="n">
        <v>12917</v>
      </c>
      <c r="C37" s="86" t="n">
        <v>12917</v>
      </c>
      <c r="D37" s="86" t="n">
        <v>0</v>
      </c>
      <c r="E37" s="86" t="n">
        <v>12700</v>
      </c>
      <c r="F37" s="86" t="n">
        <v>217</v>
      </c>
      <c r="G37" s="86" t="n">
        <v>2918</v>
      </c>
      <c r="H37" s="86" t="n">
        <v>9782</v>
      </c>
      <c r="I37" s="86" t="n">
        <v>16.58</v>
      </c>
      <c r="J37" s="86" t="n"/>
      <c r="K37" s="86" t="n">
        <v>11905</v>
      </c>
      <c r="L37" s="86" t="n">
        <v>1012</v>
      </c>
      <c r="M37" s="86" t="n"/>
      <c r="N37" s="86" t="n"/>
      <c r="O37" s="86" t="n">
        <v>1</v>
      </c>
      <c r="P37" s="86" t="n">
        <v>90</v>
      </c>
      <c r="Q37" s="86" t="n"/>
      <c r="R37" s="86" t="n"/>
      <c r="S37" s="86" t="n"/>
      <c r="T37" s="86" t="n"/>
      <c r="U37" s="86" t="n"/>
      <c r="V37" s="86" t="n"/>
      <c r="W37" s="86" t="n"/>
      <c r="X37" s="8" t="n"/>
      <c r="Y37" s="8" t="n"/>
      <c r="Z37" s="8" t="n"/>
      <c r="AA37" s="86" t="n">
        <v>34068</v>
      </c>
      <c r="AB37" s="87">
        <f>IFERROR(AA37/AF37,"")</f>
        <v/>
      </c>
      <c r="AC37" s="86" t="n">
        <v>189719</v>
      </c>
      <c r="AD37" s="86" t="n">
        <v>189719</v>
      </c>
      <c r="AE37" s="86" t="n"/>
      <c r="AF37" s="86" t="n">
        <v>210847</v>
      </c>
      <c r="AG37" s="86" t="n">
        <v>48841</v>
      </c>
      <c r="AH37" s="86" t="n">
        <v>9517</v>
      </c>
      <c r="AI37" s="86" t="n"/>
      <c r="AJ37" s="86" t="n"/>
      <c r="AK37" s="86" t="n"/>
      <c r="AL37" s="86" t="n"/>
      <c r="AM37" s="86" t="n"/>
      <c r="AN37" s="86" t="n"/>
      <c r="AO37" s="11">
        <f>IFERROR(AC37/E37,"")</f>
        <v/>
      </c>
      <c r="AP37" s="11">
        <f>IFERROR(AD37/E37,"")</f>
        <v/>
      </c>
      <c r="AQ37" s="11">
        <f>IFERROR(AG37/E37,"")</f>
        <v/>
      </c>
      <c r="AR37" s="87">
        <f>IFERROR(AG37/AF37,"")</f>
        <v/>
      </c>
      <c r="AS37" s="87">
        <f>IFERROR(AH37/AF37,"")</f>
        <v/>
      </c>
      <c r="AT37" s="87">
        <f>IFERROR(AI37/AH37,"")</f>
        <v/>
      </c>
      <c r="AU37" s="87">
        <f>IFERROR(AN37/AH37,"")</f>
        <v/>
      </c>
      <c r="AV37" s="88" t="n">
        <v>11917</v>
      </c>
      <c r="AW37" s="89" t="n">
        <v>1</v>
      </c>
      <c r="AX37" s="89" t="n">
        <v>0</v>
      </c>
      <c r="AY37" s="8" t="n"/>
      <c r="AZ37" s="8" t="n"/>
      <c r="BA37" s="8" t="n"/>
      <c r="BB37" s="8" t="n"/>
      <c r="BC37" s="90">
        <f>IFERROR(AG37/AC37,"")</f>
        <v/>
      </c>
      <c r="BD37" s="90">
        <f>IFERROR(AG37/(AC37+AA37),"")</f>
        <v/>
      </c>
      <c r="BE37" s="91" t="n">
        <v>0.2316</v>
      </c>
      <c r="BF37" s="40" t="inlineStr">
        <is>
          <t>Reported CPO extraction rate 23.16% in 2022 (vs 22.25% 2021). KER 4.51%.</t>
        </is>
      </c>
      <c r="BG37" t="n">
        <v>2022</v>
      </c>
    </row>
    <row r="38" ht="15" customHeight="1" s="67">
      <c r="A38" s="8" t="inlineStr">
        <is>
          <t>PT Gozco Plantations Tbk</t>
        </is>
      </c>
      <c r="B38" s="86" t="n">
        <v>13114</v>
      </c>
      <c r="C38" s="86" t="n">
        <v>13114</v>
      </c>
      <c r="D38" s="86" t="n">
        <v>0</v>
      </c>
      <c r="E38" s="86" t="n">
        <v>12452</v>
      </c>
      <c r="F38" s="86" t="n">
        <v>662</v>
      </c>
      <c r="G38" s="86" t="n">
        <v>2446</v>
      </c>
      <c r="H38" s="86" t="n">
        <v>10005</v>
      </c>
      <c r="I38" s="86" t="n">
        <v>17.33</v>
      </c>
      <c r="J38" s="86" t="n">
        <v>331</v>
      </c>
      <c r="K38" s="86" t="n">
        <v>12102</v>
      </c>
      <c r="L38" s="86" t="n">
        <v>1012</v>
      </c>
      <c r="M38" s="86" t="n"/>
      <c r="N38" s="86" t="n"/>
      <c r="O38" s="86" t="n">
        <v>1</v>
      </c>
      <c r="P38" s="86" t="n">
        <v>90</v>
      </c>
      <c r="Q38" s="86" t="n"/>
      <c r="R38" s="86" t="n"/>
      <c r="S38" s="86" t="n"/>
      <c r="T38" s="86" t="n"/>
      <c r="U38" s="86" t="n"/>
      <c r="V38" s="86" t="n"/>
      <c r="W38" s="86" t="n"/>
      <c r="X38" s="8" t="n"/>
      <c r="Y38" s="8" t="n"/>
      <c r="Z38" s="8" t="n"/>
      <c r="AA38" s="86" t="n">
        <v>28621</v>
      </c>
      <c r="AB38" s="87">
        <f>IFERROR(AA38/AF38,"")</f>
        <v/>
      </c>
      <c r="AC38" s="86" t="n">
        <v>208937</v>
      </c>
      <c r="AD38" s="86" t="n">
        <v>208937</v>
      </c>
      <c r="AE38" s="86" t="n"/>
      <c r="AF38" s="86" t="n">
        <v>227025</v>
      </c>
      <c r="AG38" s="86" t="n">
        <v>50310</v>
      </c>
      <c r="AH38" s="86" t="n">
        <v>10532</v>
      </c>
      <c r="AI38" s="86" t="n"/>
      <c r="AJ38" s="86" t="n"/>
      <c r="AK38" s="86" t="n"/>
      <c r="AL38" s="86" t="n"/>
      <c r="AM38" s="86" t="n"/>
      <c r="AN38" s="86" t="n"/>
      <c r="AO38" s="11">
        <f>IFERROR(AC38/E38,"")</f>
        <v/>
      </c>
      <c r="AP38" s="11">
        <f>IFERROR(AD38/E38,"")</f>
        <v/>
      </c>
      <c r="AQ38" s="11">
        <f>IFERROR(AG38/E38,"")</f>
        <v/>
      </c>
      <c r="AR38" s="87">
        <f>IFERROR(AG38/AF38,"")</f>
        <v/>
      </c>
      <c r="AS38" s="87">
        <f>IFERROR(AH38/AF38,"")</f>
        <v/>
      </c>
      <c r="AT38" s="87">
        <f>IFERROR(AI38/AH38,"")</f>
        <v/>
      </c>
      <c r="AU38" s="87">
        <f>IFERROR(AN38/AH38,"")</f>
        <v/>
      </c>
      <c r="AV38" s="88" t="n">
        <v>11094</v>
      </c>
      <c r="AW38" s="89" t="n">
        <v>1</v>
      </c>
      <c r="AX38" s="89" t="n">
        <v>0</v>
      </c>
      <c r="AY38" s="8" t="n"/>
      <c r="AZ38" s="8" t="n"/>
      <c r="BA38" s="8" t="n"/>
      <c r="BB38" s="8" t="n"/>
      <c r="BC38" s="90">
        <f>IFERROR(AG38/AC38,"")</f>
        <v/>
      </c>
      <c r="BD38" s="90">
        <f>IFERROR(AG38/(AC38+AA38),"")</f>
        <v/>
      </c>
      <c r="BE38" s="91" t="n">
        <v>0.2216</v>
      </c>
      <c r="BF38" s="40" t="inlineStr">
        <is>
          <t>Reported CPO extraction rate 22.16% in 2023 (down from 23.16% in 2022). KER 4.64%. PKS SA mill occupancy ~60% (normal 75%).</t>
        </is>
      </c>
      <c r="BG38" t="n">
        <v>2023</v>
      </c>
    </row>
    <row r="39" ht="15" customHeight="1" s="67">
      <c r="A39" s="8" t="inlineStr">
        <is>
          <t>PT Gozco Plantations Tbk</t>
        </is>
      </c>
      <c r="B39" s="86" t="n">
        <v>15596</v>
      </c>
      <c r="C39" s="86" t="n">
        <v>15200</v>
      </c>
      <c r="D39" s="86" t="n">
        <v>396</v>
      </c>
      <c r="E39" s="86" t="n">
        <v>13939</v>
      </c>
      <c r="F39" s="86" t="n">
        <v>1658</v>
      </c>
      <c r="G39" s="86" t="n">
        <v>4801</v>
      </c>
      <c r="H39" s="86" t="n">
        <v>9137</v>
      </c>
      <c r="I39" s="86" t="n">
        <v>16</v>
      </c>
      <c r="J39" s="86" t="n">
        <v>1203</v>
      </c>
      <c r="K39" s="86" t="n">
        <v>11190</v>
      </c>
      <c r="L39" s="86" t="n">
        <v>4406</v>
      </c>
      <c r="M39" s="86" t="n"/>
      <c r="N39" s="86" t="n"/>
      <c r="O39" s="86" t="n">
        <v>1</v>
      </c>
      <c r="P39" s="86" t="n">
        <v>90</v>
      </c>
      <c r="Q39" s="86" t="n"/>
      <c r="R39" s="86" t="n"/>
      <c r="S39" s="86" t="n"/>
      <c r="T39" s="86" t="n"/>
      <c r="U39" s="86" t="n"/>
      <c r="V39" s="86" t="n"/>
      <c r="W39" s="86" t="n"/>
      <c r="X39" s="8" t="n"/>
      <c r="Y39" s="8" t="n"/>
      <c r="Z39" s="8" t="n"/>
      <c r="AA39" s="86" t="n">
        <v>31296</v>
      </c>
      <c r="AB39" s="87">
        <f>IFERROR(AA39/AF39,"")</f>
        <v/>
      </c>
      <c r="AC39" s="86" t="n">
        <v>225259</v>
      </c>
      <c r="AD39" s="86" t="n">
        <v>225259</v>
      </c>
      <c r="AE39" s="86" t="n"/>
      <c r="AF39" s="86" t="n">
        <v>206772</v>
      </c>
      <c r="AG39" s="86" t="n">
        <v>43934</v>
      </c>
      <c r="AH39" s="86" t="n">
        <v>9123</v>
      </c>
      <c r="AI39" s="86" t="n"/>
      <c r="AJ39" s="86" t="n"/>
      <c r="AK39" s="86" t="n"/>
      <c r="AL39" s="86" t="n"/>
      <c r="AM39" s="86" t="n"/>
      <c r="AN39" s="86" t="n"/>
      <c r="AO39" s="11">
        <f>IFERROR(AC39/E39,"")</f>
        <v/>
      </c>
      <c r="AP39" s="11">
        <f>IFERROR(AD39/E39,"")</f>
        <v/>
      </c>
      <c r="AQ39" s="11">
        <f>IFERROR(AG39/E39,"")</f>
        <v/>
      </c>
      <c r="AR39" s="87">
        <f>IFERROR(AG39/AF39,"")</f>
        <v/>
      </c>
      <c r="AS39" s="87">
        <f>IFERROR(AH39/AF39,"")</f>
        <v/>
      </c>
      <c r="AT39" s="87">
        <f>IFERROR(AI39/AH39,"")</f>
        <v/>
      </c>
      <c r="AU39" s="87">
        <f>IFERROR(AN39/AH39,"")</f>
        <v/>
      </c>
      <c r="AV39" s="88" t="n">
        <v>13117</v>
      </c>
      <c r="AW39" s="89" t="n">
        <v>1</v>
      </c>
      <c r="AX39" s="89" t="n">
        <v>0</v>
      </c>
      <c r="AY39" s="8" t="n"/>
      <c r="AZ39" s="8" t="n"/>
      <c r="BA39" s="8" t="n"/>
      <c r="BB39" s="8" t="n"/>
      <c r="BC39" s="90">
        <f>IFERROR(AG39/AC39,"")</f>
        <v/>
      </c>
      <c r="BD39" s="90">
        <f>IFERROR(AG39/(AC39+AA39),"")</f>
        <v/>
      </c>
      <c r="BE39" s="91" t="n">
        <v>0.2125</v>
      </c>
      <c r="BF39" s="40" t="inlineStr">
        <is>
          <t>Reported CPO extraction rate (Rendemen) 21.25% in 2024, down from 22.16% in 2023 due to El Nino drought. KER 4.41%.</t>
        </is>
      </c>
      <c r="BG39" t="n">
        <v>2024</v>
      </c>
    </row>
    <row r="40" ht="15" customHeight="1" s="67">
      <c r="A40" s="8" t="inlineStr">
        <is>
          <t>PT Indo Pureco Pratama Tbk</t>
        </is>
      </c>
      <c r="B40" s="86" t="n"/>
      <c r="C40" s="86" t="n"/>
      <c r="D40" s="86" t="n"/>
      <c r="E40" s="86" t="n"/>
      <c r="F40" s="86" t="n"/>
      <c r="G40" s="86" t="n"/>
      <c r="H40" s="86" t="n"/>
      <c r="I40" s="86" t="n"/>
      <c r="J40" s="86" t="n"/>
      <c r="K40" s="86" t="n"/>
      <c r="L40" s="86" t="n"/>
      <c r="M40" s="86" t="n"/>
      <c r="N40" s="86" t="n"/>
      <c r="O40" s="86" t="n">
        <v>1</v>
      </c>
      <c r="P40" s="86" t="n"/>
      <c r="Q40" s="86" t="n"/>
      <c r="R40" s="86" t="n"/>
      <c r="S40" s="86" t="n"/>
      <c r="T40" s="86" t="n"/>
      <c r="U40" s="86" t="n"/>
      <c r="V40" s="86" t="n"/>
      <c r="W40" s="86" t="n"/>
      <c r="X40" s="8" t="n"/>
      <c r="Y40" s="8" t="n"/>
      <c r="Z40" s="8" t="n"/>
      <c r="AA40" s="86" t="n"/>
      <c r="AB40" s="87">
        <f>IFERROR(AA40/AF40,"")</f>
        <v/>
      </c>
      <c r="AC40" s="86" t="n"/>
      <c r="AD40" s="86" t="n"/>
      <c r="AE40" s="86" t="n"/>
      <c r="AF40" s="86" t="n"/>
      <c r="AG40" s="86" t="n"/>
      <c r="AH40" s="86" t="n"/>
      <c r="AI40" s="86" t="n"/>
      <c r="AJ40" s="86" t="n"/>
      <c r="AK40" s="86" t="n"/>
      <c r="AL40" s="86" t="n"/>
      <c r="AM40" s="86" t="n"/>
      <c r="AN40" s="86" t="n"/>
      <c r="AO40" s="11">
        <f>IFERROR(AC40/E40,"")</f>
        <v/>
      </c>
      <c r="AP40" s="11">
        <f>IFERROR(AD40/E40,"")</f>
        <v/>
      </c>
      <c r="AQ40" s="11">
        <f>IFERROR(AG40/E40,"")</f>
        <v/>
      </c>
      <c r="AR40" s="87">
        <f>IFERROR(AG40/AF40,"")</f>
        <v/>
      </c>
      <c r="AS40" s="87">
        <f>IFERROR(AH40/AF40,"")</f>
        <v/>
      </c>
      <c r="AT40" s="87">
        <f>IFERROR(AI40/AH40,"")</f>
        <v/>
      </c>
      <c r="AU40" s="87">
        <f>IFERROR(AN40/AH40,"")</f>
        <v/>
      </c>
      <c r="AV40" s="88" t="n"/>
      <c r="AW40" s="89" t="n"/>
      <c r="AX40" s="89" t="n"/>
      <c r="AY40" s="8" t="n"/>
      <c r="AZ40" s="8" t="n"/>
      <c r="BA40" s="8" t="n"/>
      <c r="BB40" s="8" t="n"/>
      <c r="BC40" s="90">
        <f>IFERROR(AG40/AC40,"")</f>
        <v/>
      </c>
      <c r="BD40" s="90">
        <f>IFERROR(AG40/(AC40+AA40),"")</f>
        <v/>
      </c>
      <c r="BE40" s="91" t="n"/>
      <c r="BF40" s="40" t="inlineStr">
        <is>
          <t>No palm oil operations. IPPE processes coconut (kelapa), not oil palm (kelapa sawit). No plantation area (buys raw copra from third-party suppliers in Riau, Palembang, Jambi, Tangerang, etc.). Single coconut flesh processing factory in Balingbing, Pagaden Barat, Subang, West Java. Subsidiary ALJ holds 13,587 ha location permit in Katingan, Central Kalimantan for horticultural plantation but subsidiary is pre-operating. 2023 product mix by revenue: Crude Coconut Oil (CCO) 86.08% / Copra Meal (Bungkil Kelapa) 13.92%. All sales domestic (Jakarta, Subang, Bekasi, Central Java, Tangerang); no export sales reported.</t>
        </is>
      </c>
      <c r="BG40" t="n">
        <v>2023</v>
      </c>
    </row>
    <row r="41" ht="15" customHeight="1" s="67">
      <c r="A41" s="8" t="inlineStr">
        <is>
          <t>PT Jhonlin Agro Raya Tbk</t>
        </is>
      </c>
      <c r="B41" s="86" t="n">
        <v>10782.99</v>
      </c>
      <c r="C41" s="86" t="n">
        <v>10264.87</v>
      </c>
      <c r="D41" s="86" t="n">
        <v>518.12</v>
      </c>
      <c r="E41" s="86" t="n">
        <v>9370.35</v>
      </c>
      <c r="F41" s="86" t="n">
        <v>894.52</v>
      </c>
      <c r="G41" s="86" t="n"/>
      <c r="H41" s="86" t="n"/>
      <c r="I41" s="86" t="n"/>
      <c r="J41" s="86" t="n"/>
      <c r="K41" s="86" t="n"/>
      <c r="L41" s="86" t="n">
        <v>10264.87</v>
      </c>
      <c r="M41" s="86" t="n"/>
      <c r="N41" s="86" t="n"/>
      <c r="O41" s="86" t="n">
        <v>0</v>
      </c>
      <c r="P41" s="86" t="n">
        <v>0</v>
      </c>
      <c r="Q41" s="86" t="n"/>
      <c r="R41" s="86" t="n"/>
      <c r="S41" s="86" t="n">
        <v>1</v>
      </c>
      <c r="T41" s="86" t="n"/>
      <c r="U41" s="86" t="n"/>
      <c r="V41" s="86" t="n"/>
      <c r="W41" s="86" t="n"/>
      <c r="X41" s="8" t="n"/>
      <c r="Y41" s="8" t="n"/>
      <c r="Z41" s="8" t="n"/>
      <c r="AA41" s="86" t="n">
        <v>0</v>
      </c>
      <c r="AB41" s="87">
        <f>IFERROR(AA41/AF41,"")</f>
        <v/>
      </c>
      <c r="AC41" s="86" t="n">
        <v>54299</v>
      </c>
      <c r="AD41" s="86" t="n"/>
      <c r="AE41" s="86" t="n"/>
      <c r="AF41" s="86" t="n"/>
      <c r="AG41" s="86" t="n">
        <v>0</v>
      </c>
      <c r="AH41" s="86" t="n">
        <v>0</v>
      </c>
      <c r="AI41" s="86" t="n"/>
      <c r="AJ41" s="86" t="n"/>
      <c r="AK41" s="86" t="n"/>
      <c r="AL41" s="86" t="n"/>
      <c r="AM41" s="86" t="n"/>
      <c r="AN41" s="86" t="n"/>
      <c r="AO41" s="11">
        <f>IFERROR(AC41/E41,"")</f>
        <v/>
      </c>
      <c r="AP41" s="11">
        <f>IFERROR(AD41/E41,"")</f>
        <v/>
      </c>
      <c r="AQ41" s="11">
        <f>IFERROR(AG41/E41,"")</f>
        <v/>
      </c>
      <c r="AR41" s="87">
        <f>IFERROR(AG41/AF41,"")</f>
        <v/>
      </c>
      <c r="AS41" s="87">
        <f>IFERROR(AH41/AF41,"")</f>
        <v/>
      </c>
      <c r="AT41" s="87">
        <f>IFERROR(AI41/AH41,"")</f>
        <v/>
      </c>
      <c r="AU41" s="87">
        <f>IFERROR(AN41/AH41,"")</f>
        <v/>
      </c>
      <c r="AV41" s="88" t="n"/>
      <c r="AW41" s="89" t="n">
        <v>0.85</v>
      </c>
      <c r="AX41" s="89" t="n">
        <v>0.15</v>
      </c>
      <c r="AY41" s="8" t="n"/>
      <c r="AZ41" s="8" t="n"/>
      <c r="BA41" s="8" t="n"/>
      <c r="BB41" s="8" t="n"/>
      <c r="BC41" s="90">
        <f>IFERROR(AG41/AC41,"")</f>
        <v/>
      </c>
      <c r="BD41" s="90">
        <f>IFERROR(AG41/(AC41+AA41),"")</f>
        <v/>
      </c>
      <c r="BE41" s="91" t="n"/>
      <c r="BF41" s="40" t="inlineStr">
        <is>
          <t>No PKS operating in 2022 - PKS under construction (60 TPH, targeted Dec 2023). Company purchased all CPO from third parties (mainly related parties PG, ACL, BAS, KAM, MSAM). FFB output 54,299 tons (vs 32,576 ton target, 167% achievement). FAME output 308,142 KL (vs 300,000 KL target, 103%); RBDPO/olein/stearin/PFAD/PKE produced via refinery and biodiesel plant.</t>
        </is>
      </c>
      <c r="BG41" t="n">
        <v>2022</v>
      </c>
    </row>
    <row r="42" ht="15" customHeight="1" s="67">
      <c r="A42" s="8" t="inlineStr">
        <is>
          <t>PT Jhonlin Agro Raya Tbk</t>
        </is>
      </c>
      <c r="B42" s="86" t="n">
        <v>17964.7</v>
      </c>
      <c r="C42" s="86" t="n">
        <v>17964.7</v>
      </c>
      <c r="D42" s="86" t="n">
        <v>518.12</v>
      </c>
      <c r="E42" s="86" t="n">
        <v>14961.46</v>
      </c>
      <c r="F42" s="86" t="n">
        <v>3003.24</v>
      </c>
      <c r="G42" s="86" t="n"/>
      <c r="H42" s="86" t="n"/>
      <c r="I42" s="86" t="n"/>
      <c r="J42" s="86" t="n"/>
      <c r="K42" s="86" t="n"/>
      <c r="L42" s="86" t="n">
        <v>17964.7</v>
      </c>
      <c r="M42" s="86" t="n"/>
      <c r="N42" s="86" t="n"/>
      <c r="O42" s="86" t="n">
        <v>1</v>
      </c>
      <c r="P42" s="86" t="n">
        <v>60</v>
      </c>
      <c r="Q42" s="86" t="n"/>
      <c r="R42" s="86" t="n"/>
      <c r="S42" s="86" t="n">
        <v>1</v>
      </c>
      <c r="T42" s="86" t="n"/>
      <c r="U42" s="86" t="n"/>
      <c r="V42" s="86" t="n"/>
      <c r="W42" s="86" t="n"/>
      <c r="X42" s="8" t="n"/>
      <c r="Y42" s="8" t="n"/>
      <c r="Z42" s="8" t="n"/>
      <c r="AA42" s="86" t="n"/>
      <c r="AB42" s="87">
        <f>IFERROR(AA42/AF42,"")</f>
        <v/>
      </c>
      <c r="AC42" s="86" t="n">
        <v>208107</v>
      </c>
      <c r="AD42" s="86" t="n"/>
      <c r="AE42" s="86" t="n"/>
      <c r="AF42" s="86" t="n"/>
      <c r="AG42" s="86" t="n"/>
      <c r="AH42" s="86" t="n"/>
      <c r="AI42" s="86" t="n"/>
      <c r="AJ42" s="86" t="n"/>
      <c r="AK42" s="86" t="n"/>
      <c r="AL42" s="86" t="n"/>
      <c r="AM42" s="86" t="n"/>
      <c r="AN42" s="86" t="n"/>
      <c r="AO42" s="11">
        <f>IFERROR(AC42/E42,"")</f>
        <v/>
      </c>
      <c r="AP42" s="11">
        <f>IFERROR(AD42/E42,"")</f>
        <v/>
      </c>
      <c r="AQ42" s="11">
        <f>IFERROR(AG42/E42,"")</f>
        <v/>
      </c>
      <c r="AR42" s="87">
        <f>IFERROR(AG42/AF42,"")</f>
        <v/>
      </c>
      <c r="AS42" s="87">
        <f>IFERROR(AH42/AF42,"")</f>
        <v/>
      </c>
      <c r="AT42" s="87">
        <f>IFERROR(AI42/AH42,"")</f>
        <v/>
      </c>
      <c r="AU42" s="87">
        <f>IFERROR(AN42/AH42,"")</f>
        <v/>
      </c>
      <c r="AV42" s="88" t="n"/>
      <c r="AW42" s="89" t="n"/>
      <c r="AX42" s="89" t="n"/>
      <c r="AY42" s="8" t="n"/>
      <c r="AZ42" s="8" t="n"/>
      <c r="BA42" s="8" t="n"/>
      <c r="BB42" s="8" t="n"/>
      <c r="BC42" s="90">
        <f>IFERROR(AG42/AC42,"")</f>
        <v/>
      </c>
      <c r="BD42" s="90">
        <f>IFERROR(AG42/(AC42+AA42),"")</f>
        <v/>
      </c>
      <c r="BE42" s="91" t="n"/>
      <c r="BF42" s="40" t="inlineStr">
        <is>
          <t>PKS (60 TPH) came online late 2023 (commissioning period). FAME output 310,678 KL (vs 333,562 KL target, 93%); FFB 208,107 ton (135% of 154,314 ton target); FAME avg selling price Rp10,985/L (2023) vs Rp12,377/L (2022). Revenue -4% due to lower FAME prices. Merger with PT Jhonlin Agro Lestari 24 Nov 2023 added planting area.</t>
        </is>
      </c>
      <c r="BG42" t="n">
        <v>2023</v>
      </c>
    </row>
    <row r="43" ht="15" customHeight="1" s="67">
      <c r="A43" s="8" t="inlineStr">
        <is>
          <t>PT Jhonlin Agro Raya Tbk</t>
        </is>
      </c>
      <c r="B43" s="86" t="n">
        <v>18226.09</v>
      </c>
      <c r="C43" s="86" t="n">
        <v>17707.97</v>
      </c>
      <c r="D43" s="86" t="n">
        <v>518.12</v>
      </c>
      <c r="E43" s="86" t="n">
        <v>10667.64</v>
      </c>
      <c r="F43" s="86" t="n">
        <v>7558.45</v>
      </c>
      <c r="G43" s="86" t="n"/>
      <c r="H43" s="86" t="n"/>
      <c r="I43" s="86" t="n"/>
      <c r="J43" s="86" t="n"/>
      <c r="K43" s="86" t="n"/>
      <c r="L43" s="86" t="n">
        <v>18226.09</v>
      </c>
      <c r="M43" s="86" t="n"/>
      <c r="N43" s="86" t="n"/>
      <c r="O43" s="86" t="n">
        <v>1</v>
      </c>
      <c r="P43" s="86" t="n">
        <v>60</v>
      </c>
      <c r="Q43" s="86" t="n"/>
      <c r="R43" s="86" t="n"/>
      <c r="S43" s="86" t="n">
        <v>1</v>
      </c>
      <c r="T43" s="86" t="n"/>
      <c r="U43" s="86" t="n"/>
      <c r="V43" s="86" t="n"/>
      <c r="W43" s="86" t="n"/>
      <c r="X43" s="8" t="n"/>
      <c r="Y43" s="8" t="n"/>
      <c r="Z43" s="8" t="n"/>
      <c r="AA43" s="86" t="n"/>
      <c r="AB43" s="87">
        <f>IFERROR(AA43/AF43,"")</f>
        <v/>
      </c>
      <c r="AC43" s="86" t="n">
        <v>159688</v>
      </c>
      <c r="AD43" s="86" t="n"/>
      <c r="AE43" s="86" t="n"/>
      <c r="AF43" s="86" t="n"/>
      <c r="AG43" s="86" t="n">
        <v>40318</v>
      </c>
      <c r="AH43" s="86" t="n">
        <v>7888</v>
      </c>
      <c r="AI43" s="86" t="n"/>
      <c r="AJ43" s="86" t="n"/>
      <c r="AK43" s="86" t="n"/>
      <c r="AL43" s="86" t="n"/>
      <c r="AM43" s="86" t="n"/>
      <c r="AN43" s="86" t="n"/>
      <c r="AO43" s="11">
        <f>IFERROR(AC43/E43,"")</f>
        <v/>
      </c>
      <c r="AP43" s="11">
        <f>IFERROR(AD43/E43,"")</f>
        <v/>
      </c>
      <c r="AQ43" s="11">
        <f>IFERROR(AG43/E43,"")</f>
        <v/>
      </c>
      <c r="AR43" s="87">
        <f>IFERROR(AG43/AF43,"")</f>
        <v/>
      </c>
      <c r="AS43" s="87">
        <f>IFERROR(AH43/AF43,"")</f>
        <v/>
      </c>
      <c r="AT43" s="87">
        <f>IFERROR(AI43/AH43,"")</f>
        <v/>
      </c>
      <c r="AU43" s="87">
        <f>IFERROR(AN43/AH43,"")</f>
        <v/>
      </c>
      <c r="AV43" s="88" t="n">
        <v>13120</v>
      </c>
      <c r="AW43" s="89" t="n">
        <v>1</v>
      </c>
      <c r="AX43" s="89" t="n">
        <v>0</v>
      </c>
      <c r="AY43" s="8" t="n"/>
      <c r="AZ43" s="8" t="n"/>
      <c r="BA43" s="8" t="n"/>
      <c r="BB43" s="8" t="n"/>
      <c r="BC43" s="90">
        <f>IFERROR(AG43/AC43,"")</f>
        <v/>
      </c>
      <c r="BD43" s="90">
        <f>IFERROR(AG43/(AC43+AA43),"")</f>
        <v/>
      </c>
      <c r="BE43" s="91" t="n"/>
      <c r="BF43" s="40" t="inlineStr">
        <is>
          <t>PKS (60 TPH) now fully operational; ~15% of total CPO processed internally sourced (up from near-zero in 2022). FAME production 272,596 KL (down from 310,678 KL in 2023); FFB production 159,688 t (65% of 244,080 t target). Target 2025: internal CPO 20-25% of total purchases.</t>
        </is>
      </c>
      <c r="BG43" t="n">
        <v>2024</v>
      </c>
    </row>
    <row r="44" ht="15" customHeight="1" s="67">
      <c r="A44" s="8" t="inlineStr">
        <is>
          <t>PT Jaya Agra Wattie Tbk</t>
        </is>
      </c>
      <c r="B44" s="86" t="n">
        <v>27919</v>
      </c>
      <c r="C44" s="86" t="n">
        <v>21407</v>
      </c>
      <c r="D44" s="86" t="n">
        <v>6512</v>
      </c>
      <c r="E44" s="86" t="n">
        <v>31524</v>
      </c>
      <c r="F44" s="86" t="n">
        <v>12503</v>
      </c>
      <c r="G44" s="86" t="n"/>
      <c r="H44" s="86" t="n"/>
      <c r="I44" s="86" t="n"/>
      <c r="J44" s="86" t="n"/>
      <c r="K44" s="86" t="n">
        <v>0</v>
      </c>
      <c r="L44" s="86" t="n">
        <v>29723</v>
      </c>
      <c r="M44" s="86" t="n"/>
      <c r="N44" s="86" t="n">
        <v>14304</v>
      </c>
      <c r="O44" s="86" t="n">
        <v>2</v>
      </c>
      <c r="P44" s="86" t="n">
        <v>90</v>
      </c>
      <c r="Q44" s="86" t="n">
        <v>0</v>
      </c>
      <c r="R44" s="86" t="n"/>
      <c r="S44" s="86" t="n">
        <v>0</v>
      </c>
      <c r="T44" s="86" t="n"/>
      <c r="U44" s="86" t="n">
        <v>0</v>
      </c>
      <c r="V44" s="86" t="n"/>
      <c r="W44" s="86" t="n">
        <v>0</v>
      </c>
      <c r="X44" s="8" t="n"/>
      <c r="Y44" s="8" t="n"/>
      <c r="Z44" s="8" t="n"/>
      <c r="AA44" s="86" t="n">
        <v>153717</v>
      </c>
      <c r="AB44" s="87">
        <f>IFERROR(AA44/AF44,"")</f>
        <v/>
      </c>
      <c r="AC44" s="86" t="n">
        <v>81206</v>
      </c>
      <c r="AD44" s="86" t="n">
        <v>81206</v>
      </c>
      <c r="AE44" s="86" t="n"/>
      <c r="AF44" s="86" t="n">
        <v>234924</v>
      </c>
      <c r="AG44" s="86" t="n">
        <v>47983</v>
      </c>
      <c r="AH44" s="86" t="n">
        <v>8573</v>
      </c>
      <c r="AI44" s="86" t="n">
        <v>0</v>
      </c>
      <c r="AJ44" s="86" t="n">
        <v>0</v>
      </c>
      <c r="AK44" s="86" t="n">
        <v>0</v>
      </c>
      <c r="AL44" s="86" t="n">
        <v>0</v>
      </c>
      <c r="AM44" s="86" t="n">
        <v>0</v>
      </c>
      <c r="AN44" s="86" t="n">
        <v>0</v>
      </c>
      <c r="AO44" s="11">
        <f>IFERROR(AC44/E44,"")</f>
        <v/>
      </c>
      <c r="AP44" s="11">
        <f>IFERROR(AD44/E44,"")</f>
        <v/>
      </c>
      <c r="AQ44" s="11">
        <f>IFERROR(AG44/E44,"")</f>
        <v/>
      </c>
      <c r="AR44" s="87">
        <f>IFERROR(AG44/AF44,"")</f>
        <v/>
      </c>
      <c r="AS44" s="87">
        <f>IFERROR(AH44/AF44,"")</f>
        <v/>
      </c>
      <c r="AT44" s="87">
        <f>IFERROR(AI44/AH44,"")</f>
        <v/>
      </c>
      <c r="AU44" s="87">
        <f>IFERROR(AN44/AH44,"")</f>
        <v/>
      </c>
      <c r="AV44" s="88" t="n">
        <v>12337</v>
      </c>
      <c r="AW44" s="89" t="n">
        <v>1</v>
      </c>
      <c r="AX44" s="89" t="n">
        <v>0</v>
      </c>
      <c r="AY44" s="8" t="n"/>
      <c r="AZ44" s="8" t="n"/>
      <c r="BA44" s="8" t="n"/>
      <c r="BB44" s="8" t="n"/>
      <c r="BC44" s="90">
        <f>IFERROR(AG44/AC44,"")</f>
        <v/>
      </c>
      <c r="BD44" s="90">
        <f>IFERROR(AG44/(AC44+AA44),"")</f>
        <v/>
      </c>
      <c r="BE44" s="91" t="n">
        <v>0.2042</v>
      </c>
      <c r="BF44" s="40" t="inlineStr">
        <is>
          <t>CPO Extraction Rate 20.42% (2021: 20.53%); Kernel Extraction Rate 3.65%; FFB yield 4.94 t/ha (-10%); CPO yield 1.01 t/ha. Palm mills: 2 POMs Kintap + Marabahan; total POM capacity 90 t/hr (513,000 t/y); used 234,924 t (45.79% util). Rubber sheet 9 plants 6,386 t/y (38.15% util); rubber crumb 3 plants 26,040 t/y (48.00% util). All sales domestic.</t>
        </is>
      </c>
      <c r="BG44" t="n">
        <v>2022</v>
      </c>
    </row>
    <row r="45" ht="15" customHeight="1" s="67">
      <c r="A45" s="8" t="inlineStr">
        <is>
          <t>PT Jaya Agra Wattie Tbk</t>
        </is>
      </c>
      <c r="B45" s="86" t="n">
        <v>27919</v>
      </c>
      <c r="C45" s="86" t="n">
        <v>21407</v>
      </c>
      <c r="D45" s="86" t="n">
        <v>6512</v>
      </c>
      <c r="E45" s="86" t="n">
        <v>31673</v>
      </c>
      <c r="F45" s="86" t="n">
        <v>12354</v>
      </c>
      <c r="G45" s="86" t="n"/>
      <c r="H45" s="86" t="n"/>
      <c r="I45" s="86" t="n"/>
      <c r="J45" s="86" t="n"/>
      <c r="K45" s="86" t="n">
        <v>0</v>
      </c>
      <c r="L45" s="86" t="n">
        <v>29723</v>
      </c>
      <c r="M45" s="86" t="n"/>
      <c r="N45" s="86" t="n">
        <v>14304</v>
      </c>
      <c r="O45" s="86" t="n">
        <v>2</v>
      </c>
      <c r="P45" s="86" t="n">
        <v>90</v>
      </c>
      <c r="Q45" s="86" t="n">
        <v>0</v>
      </c>
      <c r="R45" s="86" t="n"/>
      <c r="S45" s="86" t="n">
        <v>0</v>
      </c>
      <c r="T45" s="86" t="n"/>
      <c r="U45" s="86" t="n">
        <v>0</v>
      </c>
      <c r="V45" s="86" t="n"/>
      <c r="W45" s="86" t="n">
        <v>0</v>
      </c>
      <c r="X45" s="8" t="n"/>
      <c r="Y45" s="8" t="n"/>
      <c r="Z45" s="8" t="n"/>
      <c r="AA45" s="86" t="n">
        <v>160058</v>
      </c>
      <c r="AB45" s="87">
        <f>IFERROR(AA45/AF45,"")</f>
        <v/>
      </c>
      <c r="AC45" s="86" t="n">
        <v>98357</v>
      </c>
      <c r="AD45" s="86" t="n">
        <v>98357</v>
      </c>
      <c r="AE45" s="86" t="n"/>
      <c r="AF45" s="86" t="n">
        <v>258416</v>
      </c>
      <c r="AG45" s="86" t="n">
        <v>53447</v>
      </c>
      <c r="AH45" s="86" t="n">
        <v>9534</v>
      </c>
      <c r="AI45" s="86" t="n">
        <v>0</v>
      </c>
      <c r="AJ45" s="86" t="n">
        <v>0</v>
      </c>
      <c r="AK45" s="86" t="n">
        <v>0</v>
      </c>
      <c r="AL45" s="86" t="n">
        <v>0</v>
      </c>
      <c r="AM45" s="86" t="n">
        <v>0</v>
      </c>
      <c r="AN45" s="86" t="n">
        <v>0</v>
      </c>
      <c r="AO45" s="11">
        <f>IFERROR(AC45/E45,"")</f>
        <v/>
      </c>
      <c r="AP45" s="11">
        <f>IFERROR(AD45/E45,"")</f>
        <v/>
      </c>
      <c r="AQ45" s="11">
        <f>IFERROR(AG45/E45,"")</f>
        <v/>
      </c>
      <c r="AR45" s="87">
        <f>IFERROR(AG45/AF45,"")</f>
        <v/>
      </c>
      <c r="AS45" s="87">
        <f>IFERROR(AH45/AF45,"")</f>
        <v/>
      </c>
      <c r="AT45" s="87">
        <f>IFERROR(AI45/AH45,"")</f>
        <v/>
      </c>
      <c r="AU45" s="87">
        <f>IFERROR(AN45/AH45,"")</f>
        <v/>
      </c>
      <c r="AV45" s="88" t="n">
        <v>11039</v>
      </c>
      <c r="AW45" s="89" t="n">
        <v>1</v>
      </c>
      <c r="AX45" s="89" t="n">
        <v>0</v>
      </c>
      <c r="AY45" s="8" t="n"/>
      <c r="AZ45" s="8" t="n"/>
      <c r="BA45" s="8" t="n"/>
      <c r="BB45" s="8" t="n"/>
      <c r="BC45" s="90">
        <f>IFERROR(AG45/AC45,"")</f>
        <v/>
      </c>
      <c r="BD45" s="90">
        <f>IFERROR(AG45/(AC45+AA45),"")</f>
        <v/>
      </c>
      <c r="BE45" s="91" t="n">
        <v>0.2068</v>
      </c>
      <c r="BF45" s="40" t="inlineStr">
        <is>
          <t>CPO Extraction Rate 20.68% (2022: 20.42%); Kernel Extraction Rate 3.69%; FFB yield 5.99 t/ha; CPO yield 1.24 t/ha. Palm mills: 2 POMs at Kintap (S.Kalimantan) + Marabahan; design capacity 513,000 t/y; used 258,416 t (50.4% utilization). Rubber sheet 9 plants 6,386 t/y (24.25% util); rubber crumb 3 plants 26,040 t/y (30.7% util). All sales domestic.</t>
        </is>
      </c>
      <c r="BG45" t="n">
        <v>2023</v>
      </c>
    </row>
    <row r="46" ht="15" customHeight="1" s="67">
      <c r="A46" s="8" t="inlineStr">
        <is>
          <t>PT Jaya Agra Wattie Tbk</t>
        </is>
      </c>
      <c r="B46" s="86" t="n">
        <v>27918</v>
      </c>
      <c r="C46" s="86" t="n">
        <v>21407</v>
      </c>
      <c r="D46" s="86" t="n">
        <v>6512</v>
      </c>
      <c r="E46" s="86" t="n">
        <v>31699</v>
      </c>
      <c r="F46" s="86" t="n">
        <v>12288</v>
      </c>
      <c r="G46" s="86" t="n"/>
      <c r="H46" s="86" t="n"/>
      <c r="I46" s="86" t="n"/>
      <c r="J46" s="86" t="n"/>
      <c r="K46" s="86" t="n">
        <v>0</v>
      </c>
      <c r="L46" s="86" t="n">
        <v>29723</v>
      </c>
      <c r="M46" s="86" t="n"/>
      <c r="N46" s="86" t="n">
        <v>14264</v>
      </c>
      <c r="O46" s="86" t="n">
        <v>2</v>
      </c>
      <c r="P46" s="86" t="n">
        <v>90</v>
      </c>
      <c r="Q46" s="86" t="n">
        <v>0</v>
      </c>
      <c r="R46" s="86" t="n"/>
      <c r="S46" s="86" t="n">
        <v>0</v>
      </c>
      <c r="T46" s="86" t="n"/>
      <c r="U46" s="86" t="n">
        <v>0</v>
      </c>
      <c r="V46" s="86" t="n"/>
      <c r="W46" s="86" t="n">
        <v>0</v>
      </c>
      <c r="X46" s="8" t="n"/>
      <c r="Y46" s="8" t="n"/>
      <c r="Z46" s="8" t="n"/>
      <c r="AA46" s="86" t="n">
        <v>121298</v>
      </c>
      <c r="AB46" s="87">
        <f>IFERROR(AA46/AF46,"")</f>
        <v/>
      </c>
      <c r="AC46" s="86" t="n">
        <v>105499</v>
      </c>
      <c r="AD46" s="86" t="n">
        <v>105499</v>
      </c>
      <c r="AE46" s="86" t="n"/>
      <c r="AF46" s="86" t="n">
        <v>226797</v>
      </c>
      <c r="AG46" s="86" t="n">
        <v>44955</v>
      </c>
      <c r="AH46" s="86" t="n">
        <v>7888</v>
      </c>
      <c r="AI46" s="86" t="n">
        <v>0</v>
      </c>
      <c r="AJ46" s="86" t="n">
        <v>0</v>
      </c>
      <c r="AK46" s="86" t="n">
        <v>0</v>
      </c>
      <c r="AL46" s="86" t="n">
        <v>0</v>
      </c>
      <c r="AM46" s="86" t="n">
        <v>0</v>
      </c>
      <c r="AN46" s="86" t="n">
        <v>0</v>
      </c>
      <c r="AO46" s="11">
        <f>IFERROR(AC46/E46,"")</f>
        <v/>
      </c>
      <c r="AP46" s="11">
        <f>IFERROR(AD46/E46,"")</f>
        <v/>
      </c>
      <c r="AQ46" s="11">
        <f>IFERROR(AG46/E46,"")</f>
        <v/>
      </c>
      <c r="AR46" s="87">
        <f>IFERROR(AG46/AF46,"")</f>
        <v/>
      </c>
      <c r="AS46" s="87">
        <f>IFERROR(AH46/AF46,"")</f>
        <v/>
      </c>
      <c r="AT46" s="87">
        <f>IFERROR(AI46/AH46,"")</f>
        <v/>
      </c>
      <c r="AU46" s="87">
        <f>IFERROR(AN46/AH46,"")</f>
        <v/>
      </c>
      <c r="AV46" s="88" t="n">
        <v>13169</v>
      </c>
      <c r="AW46" s="89" t="n">
        <v>1</v>
      </c>
      <c r="AX46" s="89" t="n">
        <v>0</v>
      </c>
      <c r="AY46" s="8" t="n"/>
      <c r="AZ46" s="8" t="n"/>
      <c r="BA46" s="8" t="n"/>
      <c r="BB46" s="8" t="n"/>
      <c r="BC46" s="90">
        <f>IFERROR(AG46/AC46,"")</f>
        <v/>
      </c>
      <c r="BD46" s="90">
        <f>IFERROR(AG46/(AC46+AA46),"")</f>
        <v/>
      </c>
      <c r="BE46" s="91" t="n">
        <v>0.1982</v>
      </c>
      <c r="BF46" s="40" t="inlineStr">
        <is>
          <t>CPO Extraction Rate 19.82% (2023: 20.68%); Kernel Extraction Rate 3.48%; FFB yield 6.62 t/ha; CPO yield 1.31 t/ha. Palm mills: 2 POMs (Kintap + Marabahan ABS); design capacity 513,000 t/y; used 226,797 t (44.2% utilization). Rubber crumb 3 plants 26,040 t/y (52.1%); sheet 9 plants 5,487 t/y (31.95%). Tea factory 400 t/y; 1 coffee plant. All sales domestic (Banten, Jabar, Jatim, Jateng, Kalsel).</t>
        </is>
      </c>
      <c r="BG46" t="n">
        <v>2024</v>
      </c>
    </row>
    <row r="47" ht="15" customHeight="1" s="67">
      <c r="A47" s="8" t="inlineStr">
        <is>
          <t>PT Perusahaan Perkebunan London Sumatra Indonesia Tbk</t>
        </is>
      </c>
      <c r="B47" s="86" t="n">
        <v>111240</v>
      </c>
      <c r="C47" s="86" t="n">
        <v>111240</v>
      </c>
      <c r="D47" s="86" t="n">
        <v>35064</v>
      </c>
      <c r="E47" s="86" t="n">
        <v>101306</v>
      </c>
      <c r="F47" s="86" t="n">
        <v>9934</v>
      </c>
      <c r="G47" s="86" t="n">
        <v>2710</v>
      </c>
      <c r="H47" s="86" t="n">
        <v>81033</v>
      </c>
      <c r="I47" s="86" t="n">
        <v>19</v>
      </c>
      <c r="J47" s="86" t="n"/>
      <c r="K47" s="86" t="n">
        <v>85373</v>
      </c>
      <c r="L47" s="86" t="n">
        <v>17152</v>
      </c>
      <c r="M47" s="86" t="n">
        <v>5466</v>
      </c>
      <c r="N47" s="86" t="n">
        <v>3249</v>
      </c>
      <c r="O47" s="86" t="n">
        <v>12</v>
      </c>
      <c r="P47" s="86" t="n"/>
      <c r="Q47" s="86" t="n"/>
      <c r="R47" s="86" t="n"/>
      <c r="S47" s="86" t="n">
        <v>0</v>
      </c>
      <c r="T47" s="86" t="n"/>
      <c r="U47" s="86" t="n">
        <v>0</v>
      </c>
      <c r="V47" s="86" t="n"/>
      <c r="W47" s="86" t="n">
        <v>0</v>
      </c>
      <c r="X47" s="8" t="n"/>
      <c r="Y47" s="8" t="n"/>
      <c r="Z47" s="8" t="n"/>
      <c r="AA47" s="86" t="n">
        <v>243000</v>
      </c>
      <c r="AB47" s="87">
        <f>IFERROR(AA47/AF47,"")</f>
        <v/>
      </c>
      <c r="AC47" s="86" t="n">
        <v>1174000</v>
      </c>
      <c r="AD47" s="86" t="n">
        <v>1174000</v>
      </c>
      <c r="AE47" s="86" t="n"/>
      <c r="AF47" s="86" t="n"/>
      <c r="AG47" s="86" t="n">
        <v>306000</v>
      </c>
      <c r="AH47" s="86" t="n">
        <v>88000</v>
      </c>
      <c r="AI47" s="86" t="n"/>
      <c r="AJ47" s="86" t="n"/>
      <c r="AK47" s="86" t="n"/>
      <c r="AL47" s="86" t="n"/>
      <c r="AM47" s="86" t="n"/>
      <c r="AN47" s="86" t="n"/>
      <c r="AO47" s="11">
        <f>IFERROR(AC47/E47,"")</f>
        <v/>
      </c>
      <c r="AP47" s="11">
        <f>IFERROR(AD47/E47,"")</f>
        <v/>
      </c>
      <c r="AQ47" s="11">
        <f>IFERROR(AG47/E47,"")</f>
        <v/>
      </c>
      <c r="AR47" s="87">
        <f>IFERROR(AG47/AF47,"")</f>
        <v/>
      </c>
      <c r="AS47" s="87">
        <f>IFERROR(AH47/AF47,"")</f>
        <v/>
      </c>
      <c r="AT47" s="87">
        <f>IFERROR(AI47/AH47,"")</f>
        <v/>
      </c>
      <c r="AU47" s="87">
        <f>IFERROR(AN47/AH47,"")</f>
        <v/>
      </c>
      <c r="AV47" s="88" t="n"/>
      <c r="AW47" s="89" t="n">
        <v>0.9493</v>
      </c>
      <c r="AX47" s="89" t="n">
        <v>0.0507</v>
      </c>
      <c r="AY47" s="8" t="n"/>
      <c r="AZ47" s="8" t="n"/>
      <c r="BA47" s="8" t="n"/>
      <c r="BB47" s="8" t="n"/>
      <c r="BC47" s="90">
        <f>IFERROR(AG47/AC47,"")</f>
        <v/>
      </c>
      <c r="BD47" s="90">
        <f>IFERROR(AG47/(AC47+AA47),"")</f>
        <v/>
      </c>
      <c r="BE47" s="91" t="n"/>
      <c r="BF47" s="40" t="inlineStr">
        <is>
          <t>OER not disclosed. Implied CPO/FFB ~21.6% (306kt / 1,417kt).</t>
        </is>
      </c>
      <c r="BG47" t="n">
        <v>2022</v>
      </c>
    </row>
    <row r="48" ht="15" customHeight="1" s="67">
      <c r="A48" s="8" t="inlineStr">
        <is>
          <t>PT Perusahaan Perkebunan London Sumatra Indonesia Tbk</t>
        </is>
      </c>
      <c r="B48" s="86" t="n">
        <v>111940</v>
      </c>
      <c r="C48" s="86" t="n">
        <v>111940</v>
      </c>
      <c r="D48" s="86" t="n">
        <v>35417</v>
      </c>
      <c r="E48" s="86" t="n">
        <v>102884</v>
      </c>
      <c r="F48" s="86" t="n">
        <v>9056</v>
      </c>
      <c r="G48" s="86" t="n">
        <v>3229</v>
      </c>
      <c r="H48" s="86" t="n">
        <v>81969</v>
      </c>
      <c r="I48" s="86" t="n">
        <v>19</v>
      </c>
      <c r="J48" s="86" t="n"/>
      <c r="K48" s="86" t="n">
        <v>86125</v>
      </c>
      <c r="L48" s="86" t="n">
        <v>17152</v>
      </c>
      <c r="M48" s="86" t="n">
        <v>5486</v>
      </c>
      <c r="N48" s="86" t="n">
        <v>3177</v>
      </c>
      <c r="O48" s="86" t="n">
        <v>12</v>
      </c>
      <c r="P48" s="86" t="n"/>
      <c r="Q48" s="86" t="n"/>
      <c r="R48" s="86" t="n"/>
      <c r="S48" s="86" t="n">
        <v>0</v>
      </c>
      <c r="T48" s="86" t="n"/>
      <c r="U48" s="86" t="n">
        <v>0</v>
      </c>
      <c r="V48" s="86" t="n"/>
      <c r="W48" s="86" t="n">
        <v>0</v>
      </c>
      <c r="X48" s="8" t="n"/>
      <c r="Y48" s="8" t="n"/>
      <c r="Z48" s="8" t="n"/>
      <c r="AA48" s="86" t="n">
        <v>201000</v>
      </c>
      <c r="AB48" s="87">
        <f>IFERROR(AA48/AF48,"")</f>
        <v/>
      </c>
      <c r="AC48" s="86" t="n">
        <v>1177000</v>
      </c>
      <c r="AD48" s="86" t="n">
        <v>1177000</v>
      </c>
      <c r="AE48" s="86" t="n"/>
      <c r="AF48" s="86" t="n"/>
      <c r="AG48" s="86" t="n">
        <v>294000</v>
      </c>
      <c r="AH48" s="86" t="n">
        <v>87000</v>
      </c>
      <c r="AI48" s="86" t="n"/>
      <c r="AJ48" s="86" t="n"/>
      <c r="AK48" s="86" t="n"/>
      <c r="AL48" s="86" t="n"/>
      <c r="AM48" s="86" t="n"/>
      <c r="AN48" s="86" t="n"/>
      <c r="AO48" s="11">
        <f>IFERROR(AC48/E48,"")</f>
        <v/>
      </c>
      <c r="AP48" s="11">
        <f>IFERROR(AD48/E48,"")</f>
        <v/>
      </c>
      <c r="AQ48" s="11">
        <f>IFERROR(AG48/E48,"")</f>
        <v/>
      </c>
      <c r="AR48" s="87">
        <f>IFERROR(AG48/AF48,"")</f>
        <v/>
      </c>
      <c r="AS48" s="87">
        <f>IFERROR(AH48/AF48,"")</f>
        <v/>
      </c>
      <c r="AT48" s="87">
        <f>IFERROR(AI48/AH48,"")</f>
        <v/>
      </c>
      <c r="AU48" s="87">
        <f>IFERROR(AN48/AH48,"")</f>
        <v/>
      </c>
      <c r="AV48" s="88" t="n"/>
      <c r="AW48" s="89" t="n">
        <v>0.9847</v>
      </c>
      <c r="AX48" s="89" t="n">
        <v>0.0153</v>
      </c>
      <c r="AY48" s="8" t="n"/>
      <c r="AZ48" s="8" t="n"/>
      <c r="BA48" s="8" t="n"/>
      <c r="BB48" s="8" t="n"/>
      <c r="BC48" s="90">
        <f>IFERROR(AG48/AC48,"")</f>
        <v/>
      </c>
      <c r="BD48" s="90">
        <f>IFERROR(AG48/(AC48+AA48),"")</f>
        <v/>
      </c>
      <c r="BE48" s="91" t="n"/>
      <c r="BF48" s="40" t="inlineStr">
        <is>
          <t>OER not separately disclosed. Implied CPO/FFB ~21.3% (294kt / 1,377kt).</t>
        </is>
      </c>
      <c r="BG48" t="n">
        <v>2023</v>
      </c>
    </row>
    <row r="49" ht="15" customHeight="1" s="67">
      <c r="A49" s="8" t="inlineStr">
        <is>
          <t>PT Perusahaan Perkebunan London Sumatra Indonesia Tbk</t>
        </is>
      </c>
      <c r="B49" s="86" t="n">
        <v>111367</v>
      </c>
      <c r="C49" s="86" t="n">
        <v>111367</v>
      </c>
      <c r="D49" s="86" t="n">
        <v>35779</v>
      </c>
      <c r="E49" s="86" t="n">
        <v>84941</v>
      </c>
      <c r="F49" s="86" t="n">
        <v>6211</v>
      </c>
      <c r="G49" s="86" t="n"/>
      <c r="H49" s="86" t="n"/>
      <c r="I49" s="86" t="n">
        <v>19</v>
      </c>
      <c r="J49" s="86" t="n"/>
      <c r="K49" s="86" t="n">
        <v>86746</v>
      </c>
      <c r="L49" s="86" t="n">
        <v>15924</v>
      </c>
      <c r="M49" s="86" t="n">
        <v>5480</v>
      </c>
      <c r="N49" s="86" t="n">
        <v>3217</v>
      </c>
      <c r="O49" s="86" t="n">
        <v>12</v>
      </c>
      <c r="P49" s="86" t="n"/>
      <c r="Q49" s="86" t="n"/>
      <c r="R49" s="86" t="n"/>
      <c r="S49" s="86" t="n">
        <v>0</v>
      </c>
      <c r="T49" s="86" t="n"/>
      <c r="U49" s="86" t="n">
        <v>0</v>
      </c>
      <c r="V49" s="86" t="n"/>
      <c r="W49" s="86" t="n">
        <v>0</v>
      </c>
      <c r="X49" s="8" t="n"/>
      <c r="Y49" s="8" t="n"/>
      <c r="Z49" s="8" t="n"/>
      <c r="AA49" s="86" t="n">
        <v>172000</v>
      </c>
      <c r="AB49" s="87">
        <f>IFERROR(AA49/AF49,"")</f>
        <v/>
      </c>
      <c r="AC49" s="86" t="n">
        <v>1173000</v>
      </c>
      <c r="AD49" s="86" t="n">
        <v>1173000</v>
      </c>
      <c r="AE49" s="86" t="n"/>
      <c r="AF49" s="86" t="n"/>
      <c r="AG49" s="86" t="n">
        <v>287000</v>
      </c>
      <c r="AH49" s="86" t="n">
        <v>82000</v>
      </c>
      <c r="AI49" s="86" t="n"/>
      <c r="AJ49" s="86" t="n"/>
      <c r="AK49" s="86" t="n"/>
      <c r="AL49" s="86" t="n"/>
      <c r="AM49" s="86" t="n"/>
      <c r="AN49" s="86" t="n"/>
      <c r="AO49" s="11">
        <f>IFERROR(AC49/E49,"")</f>
        <v/>
      </c>
      <c r="AP49" s="11">
        <f>IFERROR(AD49/E49,"")</f>
        <v/>
      </c>
      <c r="AQ49" s="11">
        <f>IFERROR(AG49/E49,"")</f>
        <v/>
      </c>
      <c r="AR49" s="87">
        <f>IFERROR(AG49/AF49,"")</f>
        <v/>
      </c>
      <c r="AS49" s="87">
        <f>IFERROR(AH49/AF49,"")</f>
        <v/>
      </c>
      <c r="AT49" s="87">
        <f>IFERROR(AI49/AH49,"")</f>
        <v/>
      </c>
      <c r="AU49" s="87">
        <f>IFERROR(AN49/AH49,"")</f>
        <v/>
      </c>
      <c r="AV49" s="88" t="n">
        <v>13190</v>
      </c>
      <c r="AW49" s="89" t="n">
        <v>0.9847</v>
      </c>
      <c r="AX49" s="89" t="n">
        <v>0.0153</v>
      </c>
      <c r="AY49" s="8" t="n"/>
      <c r="AZ49" s="8" t="n"/>
      <c r="BA49" s="8" t="n"/>
      <c r="BB49" s="8" t="n"/>
      <c r="BC49" s="90">
        <f>IFERROR(AG49/AC49,"")</f>
        <v/>
      </c>
      <c r="BD49" s="90">
        <f>IFERROR(AG49/(AC49+AA49),"")</f>
        <v/>
      </c>
      <c r="BE49" s="91" t="n"/>
      <c r="BF49" s="40" t="inlineStr">
        <is>
          <t>CPO/FFB processed extraction rate not separately disclosed; implied ~21.3% (287kt CPO / 1,345kt FFB). Domestic CPO price (KPB avg) Rp13,190/kg - proxy for selling price.</t>
        </is>
      </c>
      <c r="BG49" t="n">
        <v>2024</v>
      </c>
    </row>
    <row r="50" ht="15" customHeight="1" s="67">
      <c r="A50" s="8" t="inlineStr">
        <is>
          <t>PT Multi Agro Gemilang Plantation Tbk</t>
        </is>
      </c>
      <c r="B50" s="86" t="n"/>
      <c r="C50" s="86" t="n"/>
      <c r="D50" s="86" t="n"/>
      <c r="E50" s="86" t="n"/>
      <c r="F50" s="86" t="n"/>
      <c r="G50" s="86" t="n"/>
      <c r="H50" s="86" t="n"/>
      <c r="I50" s="86" t="n"/>
      <c r="J50" s="86" t="n"/>
      <c r="K50" s="86" t="n"/>
      <c r="L50" s="86" t="n"/>
      <c r="M50" s="86" t="n"/>
      <c r="N50" s="86" t="n"/>
      <c r="O50" s="86" t="n"/>
      <c r="P50" s="86" t="n"/>
      <c r="Q50" s="86" t="n"/>
      <c r="R50" s="86" t="n"/>
      <c r="S50" s="86" t="n"/>
      <c r="T50" s="86" t="n"/>
      <c r="U50" s="86" t="n"/>
      <c r="V50" s="86" t="n"/>
      <c r="W50" s="86" t="n"/>
      <c r="X50" s="8" t="n"/>
      <c r="Y50" s="8" t="n"/>
      <c r="Z50" s="8" t="n"/>
      <c r="AA50" s="86" t="n"/>
      <c r="AB50" s="87">
        <f>IFERROR(AA50/AF50,"")</f>
        <v/>
      </c>
      <c r="AC50" s="86" t="n"/>
      <c r="AD50" s="86" t="n"/>
      <c r="AE50" s="86" t="n"/>
      <c r="AF50" s="86" t="n"/>
      <c r="AG50" s="86" t="n"/>
      <c r="AH50" s="86" t="n"/>
      <c r="AI50" s="86" t="n"/>
      <c r="AJ50" s="86" t="n"/>
      <c r="AK50" s="86" t="n"/>
      <c r="AL50" s="86" t="n"/>
      <c r="AM50" s="86" t="n"/>
      <c r="AN50" s="86" t="n"/>
      <c r="AO50" s="11">
        <f>IFERROR(AC50/E50,"")</f>
        <v/>
      </c>
      <c r="AP50" s="11">
        <f>IFERROR(AD50/E50,"")</f>
        <v/>
      </c>
      <c r="AQ50" s="11">
        <f>IFERROR(AG50/E50,"")</f>
        <v/>
      </c>
      <c r="AR50" s="87">
        <f>IFERROR(AG50/AF50,"")</f>
        <v/>
      </c>
      <c r="AS50" s="87">
        <f>IFERROR(AH50/AF50,"")</f>
        <v/>
      </c>
      <c r="AT50" s="87">
        <f>IFERROR(AI50/AH50,"")</f>
        <v/>
      </c>
      <c r="AU50" s="87">
        <f>IFERROR(AN50/AH50,"")</f>
        <v/>
      </c>
      <c r="AV50" s="88" t="n"/>
      <c r="AW50" s="89" t="n"/>
      <c r="AX50" s="89" t="n"/>
      <c r="AY50" s="8" t="n"/>
      <c r="AZ50" s="8" t="n"/>
      <c r="BA50" s="8" t="n"/>
      <c r="BB50" s="8" t="n"/>
      <c r="BC50" s="90">
        <f>IFERROR(AG50/AC50,"")</f>
        <v/>
      </c>
      <c r="BD50" s="90">
        <f>IFERROR(AG50/(AC50+AA50),"")</f>
        <v/>
      </c>
      <c r="BE50" s="91" t="n"/>
      <c r="BF50" s="40" t="inlineStr">
        <is>
          <t>Operational production data not disclosed in Q1 interim financial statements; no plantation hectarage, FFB, CPO, mill figures published in this interim report.</t>
        </is>
      </c>
      <c r="BG50" t="n">
        <v>2022</v>
      </c>
    </row>
    <row r="51" ht="15" customHeight="1" s="67">
      <c r="A51" s="8" t="inlineStr">
        <is>
          <t>PT Mahkota Group Tbk</t>
        </is>
      </c>
      <c r="B51" s="86" t="n">
        <v>391.29</v>
      </c>
      <c r="C51" s="86" t="n">
        <v>391.29</v>
      </c>
      <c r="D51" s="86" t="n"/>
      <c r="E51" s="86" t="n">
        <v>169.72</v>
      </c>
      <c r="F51" s="86" t="n">
        <v>221.57</v>
      </c>
      <c r="G51" s="86" t="n"/>
      <c r="H51" s="86" t="n"/>
      <c r="I51" s="86" t="n"/>
      <c r="J51" s="86" t="n"/>
      <c r="K51" s="86" t="n"/>
      <c r="L51" s="86" t="n"/>
      <c r="M51" s="86" t="n"/>
      <c r="N51" s="86" t="n"/>
      <c r="O51" s="86" t="n">
        <v>5</v>
      </c>
      <c r="P51" s="86" t="n">
        <v>240</v>
      </c>
      <c r="Q51" s="86" t="n">
        <v>1</v>
      </c>
      <c r="R51" s="86" t="n"/>
      <c r="S51" s="86" t="n">
        <v>1</v>
      </c>
      <c r="T51" s="86" t="n">
        <v>495000</v>
      </c>
      <c r="U51" s="86" t="n">
        <v>1</v>
      </c>
      <c r="V51" s="86" t="n"/>
      <c r="W51" s="86" t="n"/>
      <c r="X51" s="8" t="n"/>
      <c r="Y51" s="8" t="n"/>
      <c r="Z51" s="8" t="n"/>
      <c r="AA51" s="86" t="n">
        <v>1506111</v>
      </c>
      <c r="AB51" s="87">
        <f>IFERROR(AA51/AF51,"")</f>
        <v/>
      </c>
      <c r="AC51" s="86" t="n"/>
      <c r="AD51" s="86" t="n"/>
      <c r="AE51" s="86" t="n"/>
      <c r="AF51" s="86" t="n">
        <v>1506111</v>
      </c>
      <c r="AG51" s="86" t="n">
        <v>278280</v>
      </c>
      <c r="AH51" s="86" t="n">
        <v>83960</v>
      </c>
      <c r="AI51" s="86" t="n">
        <v>22550</v>
      </c>
      <c r="AJ51" s="86" t="n">
        <v>340060</v>
      </c>
      <c r="AK51" s="86" t="n">
        <v>7690</v>
      </c>
      <c r="AL51" s="86" t="n">
        <v>2440</v>
      </c>
      <c r="AM51" s="86" t="n">
        <v>19610</v>
      </c>
      <c r="AN51" s="86" t="n">
        <v>27340</v>
      </c>
      <c r="AO51" s="11">
        <f>IFERROR(AC51/E51,"")</f>
        <v/>
      </c>
      <c r="AP51" s="11">
        <f>IFERROR(AD51/E51,"")</f>
        <v/>
      </c>
      <c r="AQ51" s="11">
        <f>IFERROR(AG51/E51,"")</f>
        <v/>
      </c>
      <c r="AR51" s="87">
        <f>IFERROR(AG51/AF51,"")</f>
        <v/>
      </c>
      <c r="AS51" s="87">
        <f>IFERROR(AH51/AF51,"")</f>
        <v/>
      </c>
      <c r="AT51" s="87">
        <f>IFERROR(AI51/AH51,"")</f>
        <v/>
      </c>
      <c r="AU51" s="87">
        <f>IFERROR(AN51/AH51,"")</f>
        <v/>
      </c>
      <c r="AV51" s="88" t="n"/>
      <c r="AW51" s="89" t="n">
        <v>0.76</v>
      </c>
      <c r="AX51" s="89" t="n">
        <v>0.24</v>
      </c>
      <c r="AY51" s="8" t="n"/>
      <c r="AZ51" s="8" t="n"/>
      <c r="BA51" s="8" t="n"/>
      <c r="BB51" s="8" t="n"/>
      <c r="BC51" s="90">
        <f>IFERROR(AG51/AC51,"")</f>
        <v/>
      </c>
      <c r="BD51" s="90">
        <f>IFERROR(AG51/(AC51+AA51),"")</f>
        <v/>
      </c>
      <c r="BE51" s="91" t="n"/>
      <c r="BF51" s="40" t="inlineStr">
        <is>
          <t>Not reported directly. CPO / FFB processed = 278,280 / 1,506,111 = 18.5% (includes 3rd party FFB).</t>
        </is>
      </c>
      <c r="BG51" t="n">
        <v>2022</v>
      </c>
    </row>
    <row r="52" ht="15" customHeight="1" s="67">
      <c r="A52" s="8" t="inlineStr">
        <is>
          <t>PT Mahkota Group Tbk</t>
        </is>
      </c>
      <c r="B52" s="86" t="n">
        <v>427.88</v>
      </c>
      <c r="C52" s="86" t="n">
        <v>427.88</v>
      </c>
      <c r="D52" s="86" t="n"/>
      <c r="E52" s="86" t="n">
        <v>166.92</v>
      </c>
      <c r="F52" s="86" t="n">
        <v>260.96</v>
      </c>
      <c r="G52" s="86" t="n"/>
      <c r="H52" s="86" t="n"/>
      <c r="I52" s="86" t="n"/>
      <c r="J52" s="86" t="n"/>
      <c r="K52" s="86" t="n"/>
      <c r="L52" s="86" t="n"/>
      <c r="M52" s="86" t="n"/>
      <c r="N52" s="86" t="n"/>
      <c r="O52" s="86" t="n">
        <v>5</v>
      </c>
      <c r="P52" s="86" t="n">
        <v>240</v>
      </c>
      <c r="Q52" s="86" t="n">
        <v>1</v>
      </c>
      <c r="R52" s="86" t="n"/>
      <c r="S52" s="86" t="n">
        <v>1</v>
      </c>
      <c r="T52" s="86" t="n"/>
      <c r="U52" s="86" t="n">
        <v>1</v>
      </c>
      <c r="V52" s="86" t="n"/>
      <c r="W52" s="86" t="n"/>
      <c r="X52" s="8" t="n"/>
      <c r="Y52" s="8" t="n"/>
      <c r="Z52" s="8" t="n"/>
      <c r="AA52" s="86" t="n">
        <v>1470215</v>
      </c>
      <c r="AB52" s="87">
        <f>IFERROR(AA52/AF52,"")</f>
        <v/>
      </c>
      <c r="AC52" s="86" t="n">
        <v>694.59</v>
      </c>
      <c r="AD52" s="86" t="n"/>
      <c r="AE52" s="86" t="n"/>
      <c r="AF52" s="86" t="n">
        <v>1470215</v>
      </c>
      <c r="AG52" s="86" t="n">
        <v>256930</v>
      </c>
      <c r="AH52" s="86" t="n">
        <v>77230</v>
      </c>
      <c r="AI52" s="86" t="n">
        <v>15730</v>
      </c>
      <c r="AJ52" s="86" t="n">
        <v>274680</v>
      </c>
      <c r="AK52" s="86" t="n">
        <v>9420</v>
      </c>
      <c r="AL52" s="86" t="n">
        <v>3630</v>
      </c>
      <c r="AM52" s="86" t="n">
        <v>15970</v>
      </c>
      <c r="AN52" s="86" t="n">
        <v>19960</v>
      </c>
      <c r="AO52" s="11">
        <f>IFERROR(AC52/E52,"")</f>
        <v/>
      </c>
      <c r="AP52" s="11">
        <f>IFERROR(AD52/E52,"")</f>
        <v/>
      </c>
      <c r="AQ52" s="11">
        <f>IFERROR(AG52/E52,"")</f>
        <v/>
      </c>
      <c r="AR52" s="87">
        <f>IFERROR(AG52/AF52,"")</f>
        <v/>
      </c>
      <c r="AS52" s="87">
        <f>IFERROR(AH52/AF52,"")</f>
        <v/>
      </c>
      <c r="AT52" s="87">
        <f>IFERROR(AI52/AH52,"")</f>
        <v/>
      </c>
      <c r="AU52" s="87">
        <f>IFERROR(AN52/AH52,"")</f>
        <v/>
      </c>
      <c r="AV52" s="88" t="n"/>
      <c r="AW52" s="89" t="n">
        <v>0.85</v>
      </c>
      <c r="AX52" s="89" t="n">
        <v>0.15</v>
      </c>
      <c r="AY52" s="8" t="n"/>
      <c r="AZ52" s="8" t="n"/>
      <c r="BA52" s="8" t="n"/>
      <c r="BB52" s="8" t="n"/>
      <c r="BC52" s="90">
        <f>IFERROR(AG52/AC52,"")</f>
        <v/>
      </c>
      <c r="BD52" s="90">
        <f>IFERROR(AG52/(AC52+AA52),"")</f>
        <v/>
      </c>
      <c r="BE52" s="91" t="n"/>
      <c r="BF52" s="40" t="inlineStr">
        <is>
          <t>Not reported directly. CPO / FFB processed = 256,930 / 1,470,215 = 17.5% (includes 3rd party FFB).</t>
        </is>
      </c>
      <c r="BG52" t="n">
        <v>2023</v>
      </c>
    </row>
    <row r="53" ht="15" customHeight="1" s="67">
      <c r="A53" s="8" t="inlineStr">
        <is>
          <t>PT Mahkota Group Tbk</t>
        </is>
      </c>
      <c r="B53" s="86" t="n">
        <v>477.85</v>
      </c>
      <c r="C53" s="86" t="n">
        <v>477.85</v>
      </c>
      <c r="D53" s="86" t="n"/>
      <c r="E53" s="86" t="n"/>
      <c r="F53" s="86" t="n"/>
      <c r="G53" s="86" t="n"/>
      <c r="H53" s="86" t="n"/>
      <c r="I53" s="86" t="n"/>
      <c r="J53" s="86" t="n"/>
      <c r="K53" s="86" t="n"/>
      <c r="L53" s="86" t="n"/>
      <c r="M53" s="86" t="n"/>
      <c r="N53" s="86" t="n"/>
      <c r="O53" s="86" t="n">
        <v>6</v>
      </c>
      <c r="P53" s="86" t="n">
        <v>360</v>
      </c>
      <c r="Q53" s="86" t="n">
        <v>1</v>
      </c>
      <c r="R53" s="86" t="n"/>
      <c r="S53" s="86" t="n">
        <v>1</v>
      </c>
      <c r="T53" s="86" t="n">
        <v>1188000</v>
      </c>
      <c r="U53" s="86" t="n">
        <v>1</v>
      </c>
      <c r="V53" s="86" t="n"/>
      <c r="W53" s="86" t="n"/>
      <c r="X53" s="8" t="n"/>
      <c r="Y53" s="8" t="n"/>
      <c r="Z53" s="8" t="n"/>
      <c r="AA53" s="86" t="n">
        <v>1132255</v>
      </c>
      <c r="AB53" s="87">
        <f>IFERROR(AA53/AF53,"")</f>
        <v/>
      </c>
      <c r="AC53" s="86" t="n">
        <v>487</v>
      </c>
      <c r="AD53" s="86" t="n"/>
      <c r="AE53" s="86" t="n"/>
      <c r="AF53" s="86" t="n">
        <v>1132255</v>
      </c>
      <c r="AG53" s="86" t="n">
        <v>195440</v>
      </c>
      <c r="AH53" s="86" t="n">
        <v>57860</v>
      </c>
      <c r="AI53" s="86" t="n">
        <v>21230</v>
      </c>
      <c r="AJ53" s="86" t="n">
        <v>212470</v>
      </c>
      <c r="AK53" s="86" t="n">
        <v>12460</v>
      </c>
      <c r="AL53" s="86" t="n">
        <v>3660</v>
      </c>
      <c r="AM53" s="86" t="n">
        <v>9330</v>
      </c>
      <c r="AN53" s="86" t="n">
        <v>26650</v>
      </c>
      <c r="AO53" s="11">
        <f>IFERROR(AC53/E53,"")</f>
        <v/>
      </c>
      <c r="AP53" s="11">
        <f>IFERROR(AD53/E53,"")</f>
        <v/>
      </c>
      <c r="AQ53" s="11">
        <f>IFERROR(AG53/E53,"")</f>
        <v/>
      </c>
      <c r="AR53" s="87">
        <f>IFERROR(AG53/AF53,"")</f>
        <v/>
      </c>
      <c r="AS53" s="87">
        <f>IFERROR(AH53/AF53,"")</f>
        <v/>
      </c>
      <c r="AT53" s="87">
        <f>IFERROR(AI53/AH53,"")</f>
        <v/>
      </c>
      <c r="AU53" s="87">
        <f>IFERROR(AN53/AH53,"")</f>
        <v/>
      </c>
      <c r="AV53" s="88" t="n"/>
      <c r="AW53" s="89" t="n">
        <v>0.76</v>
      </c>
      <c r="AX53" s="89" t="n">
        <v>0.24</v>
      </c>
      <c r="AY53" s="8" t="n"/>
      <c r="AZ53" s="8" t="n"/>
      <c r="BA53" s="8" t="n"/>
      <c r="BB53" s="8" t="n"/>
      <c r="BC53" s="90">
        <f>IFERROR(AG53/AC53,"")</f>
        <v/>
      </c>
      <c r="BD53" s="90">
        <f>IFERROR(AG53/(AC53+AA53),"")</f>
        <v/>
      </c>
      <c r="BE53" s="91" t="n"/>
      <c r="BF53" s="40" t="inlineStr">
        <is>
          <t>Not reported directly in AR; can be approximated as CPO production / FFB processed (195,440 / 1,132,255 = 17.3%) but includes 3rd party FFB.</t>
        </is>
      </c>
      <c r="BG53" t="n">
        <v>2024</v>
      </c>
    </row>
    <row r="54" ht="15" customHeight="1" s="67">
      <c r="A54" s="8" t="inlineStr">
        <is>
          <t>PT Menthobi Karyatama Raya Tbk</t>
        </is>
      </c>
      <c r="B54" s="86" t="n">
        <v>8000</v>
      </c>
      <c r="C54" s="86" t="n"/>
      <c r="D54" s="86" t="n"/>
      <c r="E54" s="86" t="n"/>
      <c r="F54" s="86" t="n"/>
      <c r="G54" s="86" t="n"/>
      <c r="H54" s="86" t="n"/>
      <c r="I54" s="86" t="n">
        <v>10</v>
      </c>
      <c r="J54" s="86" t="n"/>
      <c r="K54" s="86" t="n"/>
      <c r="L54" s="86" t="n"/>
      <c r="M54" s="86" t="n"/>
      <c r="N54" s="86" t="n"/>
      <c r="O54" s="86" t="n">
        <v>1</v>
      </c>
      <c r="P54" s="86" t="n">
        <v>30</v>
      </c>
      <c r="Q54" s="86" t="n">
        <v>0</v>
      </c>
      <c r="R54" s="86" t="n"/>
      <c r="S54" s="86" t="n">
        <v>0</v>
      </c>
      <c r="T54" s="86" t="n"/>
      <c r="U54" s="86" t="n"/>
      <c r="V54" s="86" t="n"/>
      <c r="W54" s="86" t="n"/>
      <c r="X54" s="8" t="n"/>
      <c r="Y54" s="8" t="n"/>
      <c r="Z54" s="8" t="n"/>
      <c r="AA54" s="86" t="n">
        <v>71472</v>
      </c>
      <c r="AB54" s="87">
        <f>IFERROR(AA54/AF54,"")</f>
        <v/>
      </c>
      <c r="AC54" s="86" t="n">
        <v>117967</v>
      </c>
      <c r="AD54" s="86" t="n"/>
      <c r="AE54" s="86" t="n"/>
      <c r="AF54" s="86" t="n">
        <v>189912</v>
      </c>
      <c r="AG54" s="86" t="n">
        <v>43729</v>
      </c>
      <c r="AH54" s="86" t="n">
        <v>7453</v>
      </c>
      <c r="AI54" s="86" t="n"/>
      <c r="AJ54" s="86" t="n"/>
      <c r="AK54" s="86" t="n"/>
      <c r="AL54" s="86" t="n"/>
      <c r="AM54" s="86" t="n"/>
      <c r="AN54" s="86" t="n"/>
      <c r="AO54" s="11">
        <f>IFERROR(AC54/E54,"")</f>
        <v/>
      </c>
      <c r="AP54" s="11">
        <f>IFERROR(AD54/E54,"")</f>
        <v/>
      </c>
      <c r="AQ54" s="11">
        <f>IFERROR(AG54/E54,"")</f>
        <v/>
      </c>
      <c r="AR54" s="87">
        <f>IFERROR(AG54/AF54,"")</f>
        <v/>
      </c>
      <c r="AS54" s="87">
        <f>IFERROR(AH54/AF54,"")</f>
        <v/>
      </c>
      <c r="AT54" s="87">
        <f>IFERROR(AI54/AH54,"")</f>
        <v/>
      </c>
      <c r="AU54" s="87">
        <f>IFERROR(AN54/AH54,"")</f>
        <v/>
      </c>
      <c r="AV54" s="88" t="n">
        <v>12739</v>
      </c>
      <c r="AW54" s="89" t="n">
        <v>1</v>
      </c>
      <c r="AX54" s="89" t="n">
        <v>0</v>
      </c>
      <c r="AY54" s="8" t="n"/>
      <c r="AZ54" s="8" t="n"/>
      <c r="BA54" s="8" t="n"/>
      <c r="BB54" s="8" t="n"/>
      <c r="BC54" s="90">
        <f>IFERROR(AG54/AC54,"")</f>
        <v/>
      </c>
      <c r="BD54" s="90">
        <f>IFERROR(AG54/(AC54+AA54),"")</f>
        <v/>
      </c>
      <c r="BE54" s="91" t="n">
        <v>0.2302</v>
      </c>
      <c r="BF54" s="40" t="inlineStr">
        <is>
          <t>Calculated: CPO 43,729 / FFB processed 189,912 = 23.02%. CPO yield target 17-24% per company.</t>
        </is>
      </c>
      <c r="BG54" t="n">
        <v>2022</v>
      </c>
    </row>
    <row r="55" ht="15" customHeight="1" s="67">
      <c r="A55" s="8" t="inlineStr">
        <is>
          <t>PT Menthobi Karyatama Raya Tbk</t>
        </is>
      </c>
      <c r="B55" s="86" t="n"/>
      <c r="C55" s="86" t="n">
        <v>6000</v>
      </c>
      <c r="D55" s="86" t="n"/>
      <c r="E55" s="86" t="n"/>
      <c r="F55" s="86" t="n"/>
      <c r="G55" s="86" t="n"/>
      <c r="H55" s="86" t="n"/>
      <c r="I55" s="86" t="n">
        <v>10</v>
      </c>
      <c r="J55" s="86" t="n"/>
      <c r="K55" s="86" t="n"/>
      <c r="L55" s="86" t="n"/>
      <c r="M55" s="86" t="n"/>
      <c r="N55" s="86" t="n"/>
      <c r="O55" s="86" t="n">
        <v>2</v>
      </c>
      <c r="P55" s="86" t="n">
        <v>60</v>
      </c>
      <c r="Q55" s="86" t="n">
        <v>0</v>
      </c>
      <c r="R55" s="86" t="n"/>
      <c r="S55" s="86" t="n">
        <v>0</v>
      </c>
      <c r="T55" s="86" t="n"/>
      <c r="U55" s="86" t="n"/>
      <c r="V55" s="86" t="n"/>
      <c r="W55" s="86" t="n"/>
      <c r="X55" s="8" t="n"/>
      <c r="Y55" s="8" t="n"/>
      <c r="Z55" s="8" t="n"/>
      <c r="AA55" s="86" t="n">
        <v>180478</v>
      </c>
      <c r="AB55" s="87">
        <f>IFERROR(AA55/AF55,"")</f>
        <v/>
      </c>
      <c r="AC55" s="86" t="n">
        <v>121778</v>
      </c>
      <c r="AD55" s="86" t="n"/>
      <c r="AE55" s="86" t="n"/>
      <c r="AF55" s="86" t="n">
        <v>302317</v>
      </c>
      <c r="AG55" s="86" t="n">
        <v>57803</v>
      </c>
      <c r="AH55" s="86" t="n">
        <v>11149</v>
      </c>
      <c r="AI55" s="86" t="n"/>
      <c r="AJ55" s="86" t="n"/>
      <c r="AK55" s="86" t="n"/>
      <c r="AL55" s="86" t="n"/>
      <c r="AM55" s="86" t="n"/>
      <c r="AN55" s="86" t="n"/>
      <c r="AO55" s="11">
        <f>IFERROR(AC55/E55,"")</f>
        <v/>
      </c>
      <c r="AP55" s="11">
        <f>IFERROR(AD55/E55,"")</f>
        <v/>
      </c>
      <c r="AQ55" s="11">
        <f>IFERROR(AG55/E55,"")</f>
        <v/>
      </c>
      <c r="AR55" s="87">
        <f>IFERROR(AG55/AF55,"")</f>
        <v/>
      </c>
      <c r="AS55" s="87">
        <f>IFERROR(AH55/AF55,"")</f>
        <v/>
      </c>
      <c r="AT55" s="87">
        <f>IFERROR(AI55/AH55,"")</f>
        <v/>
      </c>
      <c r="AU55" s="87">
        <f>IFERROR(AN55/AH55,"")</f>
        <v/>
      </c>
      <c r="AV55" s="88" t="n">
        <v>10933</v>
      </c>
      <c r="AW55" s="89" t="n">
        <v>1</v>
      </c>
      <c r="AX55" s="89" t="n">
        <v>0</v>
      </c>
      <c r="AY55" s="8" t="n"/>
      <c r="AZ55" s="8" t="n"/>
      <c r="BA55" s="8" t="n"/>
      <c r="BB55" s="8" t="n"/>
      <c r="BC55" s="90">
        <f>IFERROR(AG55/AC55,"")</f>
        <v/>
      </c>
      <c r="BD55" s="90">
        <f>IFERROR(AG55/(AC55+AA55),"")</f>
        <v/>
      </c>
      <c r="BE55" s="91" t="n">
        <v>0.1912</v>
      </c>
      <c r="BF55" s="40" t="inlineStr">
        <is>
          <t>Calculated: CPO 57,803 / FFB processed 302,317 = 19.12%</t>
        </is>
      </c>
      <c r="BG55" t="n">
        <v>2023</v>
      </c>
    </row>
    <row r="56" ht="15" customHeight="1" s="67">
      <c r="A56" s="8" t="inlineStr">
        <is>
          <t>PT Menthobi Karyatama Raya Tbk</t>
        </is>
      </c>
      <c r="B56" s="86" t="n">
        <v>7424.11</v>
      </c>
      <c r="C56" s="86" t="n">
        <v>6000</v>
      </c>
      <c r="D56" s="86" t="n"/>
      <c r="E56" s="86" t="n"/>
      <c r="F56" s="86" t="n"/>
      <c r="G56" s="86" t="n"/>
      <c r="H56" s="86" t="n"/>
      <c r="I56" s="86" t="n">
        <v>10</v>
      </c>
      <c r="J56" s="86" t="n"/>
      <c r="K56" s="86" t="n"/>
      <c r="L56" s="86" t="n"/>
      <c r="M56" s="86" t="n"/>
      <c r="N56" s="86" t="n"/>
      <c r="O56" s="86" t="n">
        <v>2</v>
      </c>
      <c r="P56" s="86" t="n">
        <v>30</v>
      </c>
      <c r="Q56" s="86" t="n">
        <v>1</v>
      </c>
      <c r="R56" s="86" t="n">
        <v>2.5</v>
      </c>
      <c r="S56" s="86" t="n">
        <v>0</v>
      </c>
      <c r="T56" s="86" t="n"/>
      <c r="U56" s="86" t="n"/>
      <c r="V56" s="86" t="n"/>
      <c r="W56" s="86" t="n"/>
      <c r="X56" s="8" t="n"/>
      <c r="Y56" s="8" t="n"/>
      <c r="Z56" s="8" t="n"/>
      <c r="AA56" s="86" t="n">
        <v>217660</v>
      </c>
      <c r="AB56" s="87">
        <f>IFERROR(AA56/AF56,"")</f>
        <v/>
      </c>
      <c r="AC56" s="86" t="n">
        <v>100830</v>
      </c>
      <c r="AD56" s="86" t="n"/>
      <c r="AE56" s="86" t="n"/>
      <c r="AF56" s="86" t="n">
        <v>318717</v>
      </c>
      <c r="AG56" s="86" t="n">
        <v>69967</v>
      </c>
      <c r="AH56" s="86" t="n">
        <v>13667</v>
      </c>
      <c r="AI56" s="86" t="n">
        <v>3531</v>
      </c>
      <c r="AJ56" s="86" t="n"/>
      <c r="AK56" s="86" t="n"/>
      <c r="AL56" s="86" t="n"/>
      <c r="AM56" s="86" t="n"/>
      <c r="AN56" s="86" t="n"/>
      <c r="AO56" s="11">
        <f>IFERROR(AC56/E56,"")</f>
        <v/>
      </c>
      <c r="AP56" s="11">
        <f>IFERROR(AD56/E56,"")</f>
        <v/>
      </c>
      <c r="AQ56" s="11">
        <f>IFERROR(AG56/E56,"")</f>
        <v/>
      </c>
      <c r="AR56" s="87">
        <f>IFERROR(AG56/AF56,"")</f>
        <v/>
      </c>
      <c r="AS56" s="87">
        <f>IFERROR(AH56/AF56,"")</f>
        <v/>
      </c>
      <c r="AT56" s="87">
        <f>IFERROR(AI56/AH56,"")</f>
        <v/>
      </c>
      <c r="AU56" s="87">
        <f>IFERROR(AN56/AH56,"")</f>
        <v/>
      </c>
      <c r="AV56" s="88" t="n">
        <v>12932</v>
      </c>
      <c r="AW56" s="89" t="n">
        <v>1</v>
      </c>
      <c r="AX56" s="89" t="n">
        <v>0</v>
      </c>
      <c r="AY56" s="8" t="n"/>
      <c r="AZ56" s="8" t="n"/>
      <c r="BA56" s="8" t="n"/>
      <c r="BB56" s="8" t="n"/>
      <c r="BC56" s="90">
        <f>IFERROR(AG56/AC56,"")</f>
        <v/>
      </c>
      <c r="BD56" s="90">
        <f>IFERROR(AG56/(AC56+AA56),"")</f>
        <v/>
      </c>
      <c r="BE56" s="91" t="n">
        <v>0.2195</v>
      </c>
      <c r="BF56" s="40" t="inlineStr">
        <is>
          <t>OER derived: CPO production 69,967 / FFB processed 318,717 = 21.95%. Management states CPO yield 17-24% target on p.81.</t>
        </is>
      </c>
      <c r="BG56" t="n">
        <v>2024</v>
      </c>
    </row>
    <row r="57" ht="15" customHeight="1" s="67">
      <c r="A57" s="8" t="inlineStr">
        <is>
          <t>PT Nusantara Sawit Sejahtera Tbk</t>
        </is>
      </c>
      <c r="B57" s="86" t="n">
        <v>27265</v>
      </c>
      <c r="C57" s="86" t="n">
        <v>26384</v>
      </c>
      <c r="D57" s="86" t="n">
        <v>881</v>
      </c>
      <c r="E57" s="86" t="n">
        <v>25757</v>
      </c>
      <c r="F57" s="86" t="n">
        <v>1508</v>
      </c>
      <c r="G57" s="86" t="n"/>
      <c r="H57" s="86" t="n"/>
      <c r="I57" s="86" t="n"/>
      <c r="J57" s="86" t="n"/>
      <c r="K57" s="86" t="n"/>
      <c r="L57" s="86" t="n">
        <v>27265</v>
      </c>
      <c r="M57" s="86" t="n"/>
      <c r="N57" s="86" t="n"/>
      <c r="O57" s="86" t="n">
        <v>1</v>
      </c>
      <c r="P57" s="86" t="n">
        <v>60</v>
      </c>
      <c r="Q57" s="86" t="n">
        <v>0</v>
      </c>
      <c r="R57" s="86" t="n"/>
      <c r="S57" s="86" t="n">
        <v>0</v>
      </c>
      <c r="T57" s="86" t="n"/>
      <c r="U57" s="86" t="n"/>
      <c r="V57" s="86" t="n"/>
      <c r="W57" s="86" t="n"/>
      <c r="X57" s="8" t="n"/>
      <c r="Y57" s="8" t="n"/>
      <c r="Z57" s="8" t="n"/>
      <c r="AA57" s="86" t="n"/>
      <c r="AB57" s="87">
        <f>IFERROR(AA57/AF57,"")</f>
        <v/>
      </c>
      <c r="AC57" s="86" t="n">
        <v>399606</v>
      </c>
      <c r="AD57" s="86" t="n"/>
      <c r="AE57" s="86" t="n"/>
      <c r="AF57" s="86" t="n">
        <v>399606</v>
      </c>
      <c r="AG57" s="86" t="n">
        <v>82862</v>
      </c>
      <c r="AH57" s="86" t="n">
        <v>15617</v>
      </c>
      <c r="AI57" s="86" t="n"/>
      <c r="AJ57" s="86" t="n"/>
      <c r="AK57" s="86" t="n"/>
      <c r="AL57" s="86" t="n"/>
      <c r="AM57" s="86" t="n"/>
      <c r="AN57" s="86" t="n"/>
      <c r="AO57" s="11">
        <f>IFERROR(AC57/E57,"")</f>
        <v/>
      </c>
      <c r="AP57" s="11">
        <f>IFERROR(AD57/E57,"")</f>
        <v/>
      </c>
      <c r="AQ57" s="11">
        <f>IFERROR(AG57/E57,"")</f>
        <v/>
      </c>
      <c r="AR57" s="87">
        <f>IFERROR(AG57/AF57,"")</f>
        <v/>
      </c>
      <c r="AS57" s="87">
        <f>IFERROR(AH57/AF57,"")</f>
        <v/>
      </c>
      <c r="AT57" s="87">
        <f>IFERROR(AI57/AH57,"")</f>
        <v/>
      </c>
      <c r="AU57" s="87">
        <f>IFERROR(AN57/AH57,"")</f>
        <v/>
      </c>
      <c r="AV57" s="88" t="n">
        <v>12145</v>
      </c>
      <c r="AW57" s="89" t="n">
        <v>1</v>
      </c>
      <c r="AX57" s="89" t="n">
        <v>0</v>
      </c>
      <c r="AY57" s="8" t="n"/>
      <c r="AZ57" s="8" t="n"/>
      <c r="BA57" s="8" t="n"/>
      <c r="BB57" s="8" t="n"/>
      <c r="BC57" s="90">
        <f>IFERROR(AG57/AC57,"")</f>
        <v/>
      </c>
      <c r="BD57" s="90">
        <f>IFERROR(AG57/(AC57+AA57),"")</f>
        <v/>
      </c>
      <c r="BE57" s="91" t="n">
        <v>0.2177</v>
      </c>
      <c r="BF57" s="40" t="inlineStr">
        <is>
          <t>OER 21.77% (2022), KER 4.10%</t>
        </is>
      </c>
      <c r="BG57" t="n">
        <v>2022</v>
      </c>
    </row>
    <row r="58" ht="15" customHeight="1" s="67">
      <c r="A58" s="8" t="inlineStr">
        <is>
          <t>PT Nusantara Sawit Sejahtera Tbk</t>
        </is>
      </c>
      <c r="B58" s="86" t="n">
        <v>28148</v>
      </c>
      <c r="C58" s="86" t="n">
        <v>26767</v>
      </c>
      <c r="D58" s="86" t="n">
        <v>1382</v>
      </c>
      <c r="E58" s="86" t="n">
        <v>26175</v>
      </c>
      <c r="F58" s="86" t="n">
        <v>1972</v>
      </c>
      <c r="G58" s="86" t="n"/>
      <c r="H58" s="86" t="n"/>
      <c r="I58" s="86" t="n"/>
      <c r="J58" s="86" t="n"/>
      <c r="K58" s="86" t="n"/>
      <c r="L58" s="86" t="n">
        <v>28148</v>
      </c>
      <c r="M58" s="86" t="n"/>
      <c r="N58" s="86" t="n"/>
      <c r="O58" s="86" t="n">
        <v>2</v>
      </c>
      <c r="P58" s="86" t="n">
        <v>120</v>
      </c>
      <c r="Q58" s="86" t="n">
        <v>0</v>
      </c>
      <c r="R58" s="86" t="n"/>
      <c r="S58" s="86" t="n">
        <v>0</v>
      </c>
      <c r="T58" s="86" t="n"/>
      <c r="U58" s="86" t="n"/>
      <c r="V58" s="86" t="n"/>
      <c r="W58" s="86" t="n"/>
      <c r="X58" s="8" t="n"/>
      <c r="Y58" s="8" t="n"/>
      <c r="Z58" s="8" t="n"/>
      <c r="AA58" s="86" t="n"/>
      <c r="AB58" s="87">
        <f>IFERROR(AA58/AF58,"")</f>
        <v/>
      </c>
      <c r="AC58" s="86" t="n">
        <v>463843</v>
      </c>
      <c r="AD58" s="86" t="n"/>
      <c r="AE58" s="86" t="n"/>
      <c r="AF58" s="86" t="n">
        <v>463843</v>
      </c>
      <c r="AG58" s="86" t="n">
        <v>91285</v>
      </c>
      <c r="AH58" s="86" t="n">
        <v>18926</v>
      </c>
      <c r="AI58" s="86" t="n"/>
      <c r="AJ58" s="86" t="n"/>
      <c r="AK58" s="86" t="n"/>
      <c r="AL58" s="86" t="n"/>
      <c r="AM58" s="86" t="n"/>
      <c r="AN58" s="86" t="n"/>
      <c r="AO58" s="11">
        <f>IFERROR(AC58/E58,"")</f>
        <v/>
      </c>
      <c r="AP58" s="11">
        <f>IFERROR(AD58/E58,"")</f>
        <v/>
      </c>
      <c r="AQ58" s="11">
        <f>IFERROR(AG58/E58,"")</f>
        <v/>
      </c>
      <c r="AR58" s="87">
        <f>IFERROR(AG58/AF58,"")</f>
        <v/>
      </c>
      <c r="AS58" s="87">
        <f>IFERROR(AH58/AF58,"")</f>
        <v/>
      </c>
      <c r="AT58" s="87">
        <f>IFERROR(AI58/AH58,"")</f>
        <v/>
      </c>
      <c r="AU58" s="87">
        <f>IFERROR(AN58/AH58,"")</f>
        <v/>
      </c>
      <c r="AV58" s="88" t="n">
        <v>10796</v>
      </c>
      <c r="AW58" s="89" t="n">
        <v>1</v>
      </c>
      <c r="AX58" s="89" t="n">
        <v>0</v>
      </c>
      <c r="AY58" s="8" t="n"/>
      <c r="AZ58" s="8" t="n"/>
      <c r="BA58" s="8" t="n"/>
      <c r="BB58" s="8" t="n"/>
      <c r="BC58" s="90">
        <f>IFERROR(AG58/AC58,"")</f>
        <v/>
      </c>
      <c r="BD58" s="90">
        <f>IFERROR(AG58/(AC58+AA58),"")</f>
        <v/>
      </c>
      <c r="BE58" s="91" t="n">
        <v>0.2169</v>
      </c>
      <c r="BF58" s="40" t="inlineStr">
        <is>
          <t>OER 21.69% (2023), KER 4.62%</t>
        </is>
      </c>
      <c r="BG58" t="n">
        <v>2023</v>
      </c>
    </row>
    <row r="59" ht="15" customHeight="1" s="67">
      <c r="A59" s="8" t="inlineStr">
        <is>
          <t>PT Nusantara Sawit Sejahtera Tbk</t>
        </is>
      </c>
      <c r="B59" s="86" t="n">
        <v>29125</v>
      </c>
      <c r="C59" s="86" t="n">
        <v>27384</v>
      </c>
      <c r="D59" s="86" t="n">
        <v>1741</v>
      </c>
      <c r="E59" s="86" t="n">
        <v>26725</v>
      </c>
      <c r="F59" s="86" t="n">
        <v>2400</v>
      </c>
      <c r="G59" s="86" t="n"/>
      <c r="H59" s="86" t="n"/>
      <c r="I59" s="86" t="n">
        <v>9.800000000000001</v>
      </c>
      <c r="J59" s="86" t="n"/>
      <c r="K59" s="86" t="n"/>
      <c r="L59" s="86" t="n">
        <v>29125</v>
      </c>
      <c r="M59" s="86" t="n"/>
      <c r="N59" s="86" t="n"/>
      <c r="O59" s="86" t="n">
        <v>2</v>
      </c>
      <c r="P59" s="86" t="n">
        <v>120</v>
      </c>
      <c r="Q59" s="86" t="n">
        <v>0</v>
      </c>
      <c r="R59" s="86" t="n"/>
      <c r="S59" s="86" t="n">
        <v>0</v>
      </c>
      <c r="T59" s="86" t="n"/>
      <c r="U59" s="86" t="n"/>
      <c r="V59" s="86" t="n"/>
      <c r="W59" s="86" t="n"/>
      <c r="X59" s="8" t="n"/>
      <c r="Y59" s="8" t="n"/>
      <c r="Z59" s="8" t="n"/>
      <c r="AA59" s="86" t="n"/>
      <c r="AB59" s="87">
        <f>IFERROR(AA59/AF59,"")</f>
        <v/>
      </c>
      <c r="AC59" s="86" t="n">
        <v>477288</v>
      </c>
      <c r="AD59" s="86" t="n"/>
      <c r="AE59" s="86" t="n"/>
      <c r="AF59" s="86" t="n">
        <v>477288</v>
      </c>
      <c r="AG59" s="86" t="n">
        <v>105570</v>
      </c>
      <c r="AH59" s="86" t="n">
        <v>21062</v>
      </c>
      <c r="AI59" s="86" t="n"/>
      <c r="AJ59" s="86" t="n"/>
      <c r="AK59" s="86" t="n"/>
      <c r="AL59" s="86" t="n"/>
      <c r="AM59" s="86" t="n"/>
      <c r="AN59" s="86" t="n"/>
      <c r="AO59" s="11">
        <f>IFERROR(AC59/E59,"")</f>
        <v/>
      </c>
      <c r="AP59" s="11">
        <f>IFERROR(AD59/E59,"")</f>
        <v/>
      </c>
      <c r="AQ59" s="11">
        <f>IFERROR(AG59/E59,"")</f>
        <v/>
      </c>
      <c r="AR59" s="87">
        <f>IFERROR(AG59/AF59,"")</f>
        <v/>
      </c>
      <c r="AS59" s="87">
        <f>IFERROR(AH59/AF59,"")</f>
        <v/>
      </c>
      <c r="AT59" s="87">
        <f>IFERROR(AI59/AH59,"")</f>
        <v/>
      </c>
      <c r="AU59" s="87">
        <f>IFERROR(AN59/AH59,"")</f>
        <v/>
      </c>
      <c r="AV59" s="88" t="n">
        <v>12802</v>
      </c>
      <c r="AW59" s="89" t="n">
        <v>1</v>
      </c>
      <c r="AX59" s="89" t="n">
        <v>0</v>
      </c>
      <c r="AY59" s="8" t="n"/>
      <c r="AZ59" s="8" t="n"/>
      <c r="BA59" s="8" t="n"/>
      <c r="BB59" s="8" t="n"/>
      <c r="BC59" s="90">
        <f>IFERROR(AG59/AC59,"")</f>
        <v/>
      </c>
      <c r="BD59" s="90">
        <f>IFERROR(AG59/(AC59+AA59),"")</f>
        <v/>
      </c>
      <c r="BE59" s="91" t="n">
        <v>0.212</v>
      </c>
      <c r="BF59" s="40" t="inlineStr">
        <is>
          <t>Reported OER 21.2% (2024), KER 4.2%</t>
        </is>
      </c>
      <c r="BG59" t="n">
        <v>2024</v>
      </c>
    </row>
    <row r="60" ht="15" customHeight="1" s="67">
      <c r="A60" s="8" t="inlineStr">
        <is>
          <t>PT Indo Oil Perkasa Tbk</t>
        </is>
      </c>
      <c r="B60" s="86" t="n"/>
      <c r="C60" s="86" t="n"/>
      <c r="D60" s="86" t="n"/>
      <c r="E60" s="86" t="n"/>
      <c r="F60" s="86" t="n"/>
      <c r="G60" s="86" t="n"/>
      <c r="H60" s="86" t="n"/>
      <c r="I60" s="86" t="n"/>
      <c r="J60" s="86" t="n"/>
      <c r="K60" s="86" t="n"/>
      <c r="L60" s="86" t="n"/>
      <c r="M60" s="86" t="n"/>
      <c r="N60" s="86" t="n"/>
      <c r="O60" s="86" t="n">
        <v>1</v>
      </c>
      <c r="P60" s="86" t="n"/>
      <c r="Q60" s="86" t="n"/>
      <c r="R60" s="86" t="n"/>
      <c r="S60" s="86" t="n"/>
      <c r="T60" s="86" t="n"/>
      <c r="U60" s="86" t="n"/>
      <c r="V60" s="86" t="n"/>
      <c r="W60" s="86" t="n"/>
      <c r="X60" s="8" t="n"/>
      <c r="Y60" s="8" t="n"/>
      <c r="Z60" s="8" t="n"/>
      <c r="AA60" s="86" t="n"/>
      <c r="AB60" s="87">
        <f>IFERROR(AA60/AF60,"")</f>
        <v/>
      </c>
      <c r="AC60" s="86" t="n"/>
      <c r="AD60" s="86" t="n"/>
      <c r="AE60" s="86" t="n"/>
      <c r="AF60" s="86" t="n"/>
      <c r="AG60" s="86" t="n"/>
      <c r="AH60" s="86" t="n"/>
      <c r="AI60" s="86" t="n"/>
      <c r="AJ60" s="86" t="n"/>
      <c r="AK60" s="86" t="n"/>
      <c r="AL60" s="86" t="n"/>
      <c r="AM60" s="86" t="n"/>
      <c r="AN60" s="86" t="n"/>
      <c r="AO60" s="11">
        <f>IFERROR(AC60/E60,"")</f>
        <v/>
      </c>
      <c r="AP60" s="11">
        <f>IFERROR(AD60/E60,"")</f>
        <v/>
      </c>
      <c r="AQ60" s="11">
        <f>IFERROR(AG60/E60,"")</f>
        <v/>
      </c>
      <c r="AR60" s="87">
        <f>IFERROR(AG60/AF60,"")</f>
        <v/>
      </c>
      <c r="AS60" s="87">
        <f>IFERROR(AH60/AF60,"")</f>
        <v/>
      </c>
      <c r="AT60" s="87">
        <f>IFERROR(AI60/AH60,"")</f>
        <v/>
      </c>
      <c r="AU60" s="87">
        <f>IFERROR(AN60/AH60,"")</f>
        <v/>
      </c>
      <c r="AV60" s="88" t="n"/>
      <c r="AW60" s="89" t="n">
        <v>0.362</v>
      </c>
      <c r="AX60" s="89" t="n">
        <v>0.638</v>
      </c>
      <c r="AY60" s="8" t="n"/>
      <c r="AZ60" s="8" t="n"/>
      <c r="BA60" s="8" t="n"/>
      <c r="BB60" s="8" t="n"/>
      <c r="BC60" s="90">
        <f>IFERROR(AG60/AC60,"")</f>
        <v/>
      </c>
      <c r="BD60" s="90">
        <f>IFERROR(AG60/(AC60+AA60),"")</f>
        <v/>
      </c>
      <c r="BE60" s="91" t="n"/>
      <c r="BF60" s="40" t="n"/>
      <c r="BG60" t="n">
        <v>2022</v>
      </c>
    </row>
    <row r="61" ht="15" customHeight="1" s="67">
      <c r="A61" s="8" t="inlineStr">
        <is>
          <t>PT Indo Oil Perkasa Tbk</t>
        </is>
      </c>
      <c r="B61" s="86" t="n"/>
      <c r="C61" s="86" t="n"/>
      <c r="D61" s="86" t="n"/>
      <c r="E61" s="86" t="n"/>
      <c r="F61" s="86" t="n"/>
      <c r="G61" s="86" t="n"/>
      <c r="H61" s="86" t="n"/>
      <c r="I61" s="86" t="n"/>
      <c r="J61" s="86" t="n"/>
      <c r="K61" s="86" t="n"/>
      <c r="L61" s="86" t="n"/>
      <c r="M61" s="86" t="n"/>
      <c r="N61" s="86" t="n"/>
      <c r="O61" s="86" t="n">
        <v>1</v>
      </c>
      <c r="P61" s="86" t="n"/>
      <c r="Q61" s="86" t="n"/>
      <c r="R61" s="86" t="n"/>
      <c r="S61" s="86" t="n"/>
      <c r="T61" s="86" t="n"/>
      <c r="U61" s="86" t="n"/>
      <c r="V61" s="86" t="n"/>
      <c r="W61" s="86" t="n"/>
      <c r="X61" s="8" t="n"/>
      <c r="Y61" s="8" t="n"/>
      <c r="Z61" s="8" t="n"/>
      <c r="AA61" s="86" t="n"/>
      <c r="AB61" s="87">
        <f>IFERROR(AA61/AF61,"")</f>
        <v/>
      </c>
      <c r="AC61" s="86" t="n"/>
      <c r="AD61" s="86" t="n"/>
      <c r="AE61" s="86" t="n"/>
      <c r="AF61" s="86" t="n"/>
      <c r="AG61" s="86" t="n"/>
      <c r="AH61" s="86" t="n"/>
      <c r="AI61" s="86" t="n"/>
      <c r="AJ61" s="86" t="n"/>
      <c r="AK61" s="86" t="n"/>
      <c r="AL61" s="86" t="n"/>
      <c r="AM61" s="86" t="n"/>
      <c r="AN61" s="86" t="n"/>
      <c r="AO61" s="11">
        <f>IFERROR(AC61/E61,"")</f>
        <v/>
      </c>
      <c r="AP61" s="11">
        <f>IFERROR(AD61/E61,"")</f>
        <v/>
      </c>
      <c r="AQ61" s="11">
        <f>IFERROR(AG61/E61,"")</f>
        <v/>
      </c>
      <c r="AR61" s="87">
        <f>IFERROR(AG61/AF61,"")</f>
        <v/>
      </c>
      <c r="AS61" s="87">
        <f>IFERROR(AH61/AF61,"")</f>
        <v/>
      </c>
      <c r="AT61" s="87">
        <f>IFERROR(AI61/AH61,"")</f>
        <v/>
      </c>
      <c r="AU61" s="87">
        <f>IFERROR(AN61/AH61,"")</f>
        <v/>
      </c>
      <c r="AV61" s="88" t="n"/>
      <c r="AW61" s="89" t="n">
        <v>0.497</v>
      </c>
      <c r="AX61" s="89" t="n">
        <v>0.503</v>
      </c>
      <c r="AY61" s="8" t="n"/>
      <c r="AZ61" s="8" t="n"/>
      <c r="BA61" s="8" t="n"/>
      <c r="BB61" s="8" t="n"/>
      <c r="BC61" s="90">
        <f>IFERROR(AG61/AC61,"")</f>
        <v/>
      </c>
      <c r="BD61" s="90">
        <f>IFERROR(AG61/(AC61+AA61),"")</f>
        <v/>
      </c>
      <c r="BE61" s="91" t="n"/>
      <c r="BF61" s="40" t="n"/>
      <c r="BG61" t="n">
        <v>2023</v>
      </c>
    </row>
    <row r="62" ht="15" customHeight="1" s="67">
      <c r="A62" s="8" t="inlineStr">
        <is>
          <t>PT Indo Oil Perkasa Tbk</t>
        </is>
      </c>
      <c r="B62" s="86" t="n"/>
      <c r="C62" s="86" t="n"/>
      <c r="D62" s="86" t="n"/>
      <c r="E62" s="86" t="n"/>
      <c r="F62" s="86" t="n"/>
      <c r="G62" s="86" t="n"/>
      <c r="H62" s="86" t="n"/>
      <c r="I62" s="86" t="n"/>
      <c r="J62" s="86" t="n"/>
      <c r="K62" s="86" t="n"/>
      <c r="L62" s="86" t="n"/>
      <c r="M62" s="86" t="n"/>
      <c r="N62" s="86" t="n"/>
      <c r="O62" s="86" t="n">
        <v>1</v>
      </c>
      <c r="P62" s="86" t="n"/>
      <c r="Q62" s="86" t="n"/>
      <c r="R62" s="86" t="n"/>
      <c r="S62" s="86" t="n"/>
      <c r="T62" s="86" t="n"/>
      <c r="U62" s="86" t="n"/>
      <c r="V62" s="86" t="n"/>
      <c r="W62" s="86" t="n"/>
      <c r="X62" s="8" t="n"/>
      <c r="Y62" s="8" t="n"/>
      <c r="Z62" s="8" t="n"/>
      <c r="AA62" s="86" t="n"/>
      <c r="AB62" s="87">
        <f>IFERROR(AA62/AF62,"")</f>
        <v/>
      </c>
      <c r="AC62" s="86" t="n"/>
      <c r="AD62" s="86" t="n"/>
      <c r="AE62" s="86" t="n"/>
      <c r="AF62" s="86" t="n"/>
      <c r="AG62" s="86" t="n"/>
      <c r="AH62" s="86" t="n"/>
      <c r="AI62" s="86" t="n"/>
      <c r="AJ62" s="86" t="n"/>
      <c r="AK62" s="86" t="n"/>
      <c r="AL62" s="86" t="n"/>
      <c r="AM62" s="86" t="n"/>
      <c r="AN62" s="86" t="n"/>
      <c r="AO62" s="11">
        <f>IFERROR(AC62/E62,"")</f>
        <v/>
      </c>
      <c r="AP62" s="11">
        <f>IFERROR(AD62/E62,"")</f>
        <v/>
      </c>
      <c r="AQ62" s="11">
        <f>IFERROR(AG62/E62,"")</f>
        <v/>
      </c>
      <c r="AR62" s="87">
        <f>IFERROR(AG62/AF62,"")</f>
        <v/>
      </c>
      <c r="AS62" s="87">
        <f>IFERROR(AH62/AF62,"")</f>
        <v/>
      </c>
      <c r="AT62" s="87">
        <f>IFERROR(AI62/AH62,"")</f>
        <v/>
      </c>
      <c r="AU62" s="87">
        <f>IFERROR(AN62/AH62,"")</f>
        <v/>
      </c>
      <c r="AV62" s="88" t="n"/>
      <c r="AW62" s="89" t="n">
        <v>0.487</v>
      </c>
      <c r="AX62" s="89" t="n">
        <v>0.513</v>
      </c>
      <c r="AY62" s="8" t="n"/>
      <c r="AZ62" s="8" t="n"/>
      <c r="BA62" s="8" t="n"/>
      <c r="BB62" s="8" t="n"/>
      <c r="BC62" s="90">
        <f>IFERROR(AG62/AC62,"")</f>
        <v/>
      </c>
      <c r="BD62" s="90">
        <f>IFERROR(AG62/(AC62+AA62),"")</f>
        <v/>
      </c>
      <c r="BE62" s="91" t="n"/>
      <c r="BF62" s="40" t="n"/>
      <c r="BG62" t="n">
        <v>2024</v>
      </c>
    </row>
    <row r="63" ht="15" customHeight="1" s="67">
      <c r="A63" s="8" t="inlineStr">
        <is>
          <t>PT Pradiksi Gunatama Tbk</t>
        </is>
      </c>
      <c r="B63" s="86" t="n">
        <v>20267</v>
      </c>
      <c r="C63" s="86" t="n">
        <v>16877.18</v>
      </c>
      <c r="D63" s="86" t="n">
        <v>3194.15</v>
      </c>
      <c r="E63" s="86" t="n">
        <v>12396.52</v>
      </c>
      <c r="F63" s="86" t="n">
        <v>4480.66</v>
      </c>
      <c r="G63" s="86" t="n"/>
      <c r="H63" s="86" t="n"/>
      <c r="I63" s="86" t="n"/>
      <c r="J63" s="86" t="n"/>
      <c r="K63" s="86" t="n"/>
      <c r="L63" s="86" t="n">
        <v>20267</v>
      </c>
      <c r="M63" s="86" t="n"/>
      <c r="N63" s="86" t="n"/>
      <c r="O63" s="86" t="n">
        <v>1</v>
      </c>
      <c r="P63" s="86" t="n">
        <v>60</v>
      </c>
      <c r="Q63" s="86" t="n">
        <v>0</v>
      </c>
      <c r="R63" s="86" t="n"/>
      <c r="S63" s="86" t="n">
        <v>0</v>
      </c>
      <c r="T63" s="86" t="n"/>
      <c r="U63" s="86" t="n"/>
      <c r="V63" s="86" t="n"/>
      <c r="W63" s="86" t="n"/>
      <c r="X63" s="8" t="n"/>
      <c r="Y63" s="8" t="n"/>
      <c r="Z63" s="8" t="n"/>
      <c r="AA63" s="86" t="n"/>
      <c r="AB63" s="87">
        <f>IFERROR(AA63/AF63,"")</f>
        <v/>
      </c>
      <c r="AC63" s="86" t="n">
        <v>243726</v>
      </c>
      <c r="AD63" s="86" t="n"/>
      <c r="AE63" s="86" t="n"/>
      <c r="AF63" s="86" t="n"/>
      <c r="AG63" s="86" t="n">
        <v>72118</v>
      </c>
      <c r="AH63" s="86" t="n">
        <v>12856</v>
      </c>
      <c r="AI63" s="86" t="n"/>
      <c r="AJ63" s="86" t="n"/>
      <c r="AK63" s="86" t="n"/>
      <c r="AL63" s="86" t="n"/>
      <c r="AM63" s="86" t="n"/>
      <c r="AN63" s="86" t="n"/>
      <c r="AO63" s="11">
        <f>IFERROR(AC63/E63,"")</f>
        <v/>
      </c>
      <c r="AP63" s="11">
        <f>IFERROR(AD63/E63,"")</f>
        <v/>
      </c>
      <c r="AQ63" s="11">
        <f>IFERROR(AG63/E63,"")</f>
        <v/>
      </c>
      <c r="AR63" s="87">
        <f>IFERROR(AG63/AF63,"")</f>
        <v/>
      </c>
      <c r="AS63" s="87">
        <f>IFERROR(AH63/AF63,"")</f>
        <v/>
      </c>
      <c r="AT63" s="87">
        <f>IFERROR(AI63/AH63,"")</f>
        <v/>
      </c>
      <c r="AU63" s="87">
        <f>IFERROR(AN63/AH63,"")</f>
        <v/>
      </c>
      <c r="AV63" s="88" t="n">
        <v>12732</v>
      </c>
      <c r="AW63" s="89" t="n">
        <v>1</v>
      </c>
      <c r="AX63" s="89" t="n">
        <v>0</v>
      </c>
      <c r="AY63" s="8" t="n"/>
      <c r="AZ63" s="8" t="n"/>
      <c r="BA63" s="8" t="n"/>
      <c r="BB63" s="8" t="n"/>
      <c r="BC63" s="90">
        <f>IFERROR(AG63/AC63,"")</f>
        <v/>
      </c>
      <c r="BD63" s="90">
        <f>IFERROR(AG63/(AC63+AA63),"")</f>
        <v/>
      </c>
      <c r="BE63" s="91" t="n"/>
      <c r="BF63" s="40" t="n"/>
      <c r="BG63" t="n">
        <v>2022</v>
      </c>
    </row>
    <row r="64" ht="15" customHeight="1" s="67">
      <c r="A64" s="8" t="inlineStr">
        <is>
          <t>PT Pradiksi Gunatama Tbk</t>
        </is>
      </c>
      <c r="B64" s="86" t="n">
        <v>26945.33</v>
      </c>
      <c r="C64" s="86" t="n">
        <v>23366.63</v>
      </c>
      <c r="D64" s="86" t="n">
        <v>3578.7</v>
      </c>
      <c r="E64" s="86" t="n">
        <v>19417</v>
      </c>
      <c r="F64" s="86" t="n">
        <v>3336.21</v>
      </c>
      <c r="G64" s="86" t="n"/>
      <c r="H64" s="86" t="n"/>
      <c r="I64" s="86" t="n"/>
      <c r="J64" s="86" t="n"/>
      <c r="K64" s="86" t="n"/>
      <c r="L64" s="86" t="n">
        <v>20267</v>
      </c>
      <c r="M64" s="86" t="n"/>
      <c r="N64" s="86" t="n"/>
      <c r="O64" s="86" t="n">
        <v>1</v>
      </c>
      <c r="P64" s="86" t="n">
        <v>90</v>
      </c>
      <c r="Q64" s="86" t="n">
        <v>0</v>
      </c>
      <c r="R64" s="86" t="n"/>
      <c r="S64" s="86" t="n">
        <v>0</v>
      </c>
      <c r="T64" s="86" t="n"/>
      <c r="U64" s="86" t="n"/>
      <c r="V64" s="86" t="n"/>
      <c r="W64" s="86" t="n"/>
      <c r="X64" s="8" t="n"/>
      <c r="Y64" s="8" t="n"/>
      <c r="Z64" s="8" t="n"/>
      <c r="AA64" s="86" t="n"/>
      <c r="AB64" s="87">
        <f>IFERROR(AA64/AF64,"")</f>
        <v/>
      </c>
      <c r="AC64" s="86" t="n">
        <v>306497</v>
      </c>
      <c r="AD64" s="86" t="n"/>
      <c r="AE64" s="86" t="n"/>
      <c r="AF64" s="86" t="n"/>
      <c r="AG64" s="86" t="n">
        <v>71957</v>
      </c>
      <c r="AH64" s="86" t="n">
        <v>13998</v>
      </c>
      <c r="AI64" s="86" t="n"/>
      <c r="AJ64" s="86" t="n"/>
      <c r="AK64" s="86" t="n"/>
      <c r="AL64" s="86" t="n"/>
      <c r="AM64" s="86" t="n"/>
      <c r="AN64" s="86" t="n"/>
      <c r="AO64" s="11">
        <f>IFERROR(AC64/E64,"")</f>
        <v/>
      </c>
      <c r="AP64" s="11">
        <f>IFERROR(AD64/E64,"")</f>
        <v/>
      </c>
      <c r="AQ64" s="11">
        <f>IFERROR(AG64/E64,"")</f>
        <v/>
      </c>
      <c r="AR64" s="87">
        <f>IFERROR(AG64/AF64,"")</f>
        <v/>
      </c>
      <c r="AS64" s="87">
        <f>IFERROR(AH64/AF64,"")</f>
        <v/>
      </c>
      <c r="AT64" s="87">
        <f>IFERROR(AI64/AH64,"")</f>
        <v/>
      </c>
      <c r="AU64" s="87">
        <f>IFERROR(AN64/AH64,"")</f>
        <v/>
      </c>
      <c r="AV64" s="88" t="n">
        <v>10900</v>
      </c>
      <c r="AW64" s="89" t="n">
        <v>1</v>
      </c>
      <c r="AX64" s="89" t="n">
        <v>0</v>
      </c>
      <c r="AY64" s="8" t="n"/>
      <c r="AZ64" s="8" t="n"/>
      <c r="BA64" s="8" t="n"/>
      <c r="BB64" s="8" t="n"/>
      <c r="BC64" s="90">
        <f>IFERROR(AG64/AC64,"")</f>
        <v/>
      </c>
      <c r="BD64" s="90">
        <f>IFERROR(AG64/(AC64+AA64),"")</f>
        <v/>
      </c>
      <c r="BE64" s="91" t="n"/>
      <c r="BF64" s="40" t="n"/>
      <c r="BG64" t="n">
        <v>2023</v>
      </c>
    </row>
    <row r="65" ht="15" customHeight="1" s="67">
      <c r="A65" s="8" t="inlineStr">
        <is>
          <t>PT Pradiksi Gunatama Tbk</t>
        </is>
      </c>
      <c r="B65" s="86" t="n">
        <v>26620.92</v>
      </c>
      <c r="C65" s="86" t="n">
        <v>22782</v>
      </c>
      <c r="D65" s="86" t="n">
        <v>3839</v>
      </c>
      <c r="E65" s="86" t="n">
        <v>19491</v>
      </c>
      <c r="F65" s="86" t="n">
        <v>3291</v>
      </c>
      <c r="G65" s="86" t="n"/>
      <c r="H65" s="86" t="n"/>
      <c r="I65" s="86" t="n"/>
      <c r="J65" s="86" t="n">
        <v>856</v>
      </c>
      <c r="K65" s="86" t="n"/>
      <c r="L65" s="86" t="n">
        <v>22782</v>
      </c>
      <c r="M65" s="86" t="n"/>
      <c r="N65" s="86" t="n"/>
      <c r="O65" s="86" t="n">
        <v>1</v>
      </c>
      <c r="P65" s="86" t="n">
        <v>90</v>
      </c>
      <c r="Q65" s="86" t="n">
        <v>0</v>
      </c>
      <c r="R65" s="86" t="n"/>
      <c r="S65" s="86" t="n">
        <v>0</v>
      </c>
      <c r="T65" s="86" t="n"/>
      <c r="U65" s="86" t="n"/>
      <c r="V65" s="86" t="n"/>
      <c r="W65" s="86" t="n"/>
      <c r="X65" s="8" t="n"/>
      <c r="Y65" s="8" t="n"/>
      <c r="Z65" s="8" t="n"/>
      <c r="AA65" s="86" t="n"/>
      <c r="AB65" s="87">
        <f>IFERROR(AA65/AF65,"")</f>
        <v/>
      </c>
      <c r="AC65" s="86" t="n">
        <v>223235</v>
      </c>
      <c r="AD65" s="86" t="n"/>
      <c r="AE65" s="86" t="n"/>
      <c r="AF65" s="86" t="n"/>
      <c r="AG65" s="86" t="n">
        <v>53108</v>
      </c>
      <c r="AH65" s="86" t="n">
        <v>9262</v>
      </c>
      <c r="AI65" s="86" t="n"/>
      <c r="AJ65" s="86" t="n"/>
      <c r="AK65" s="86" t="n"/>
      <c r="AL65" s="86" t="n"/>
      <c r="AM65" s="86" t="n"/>
      <c r="AN65" s="86" t="n"/>
      <c r="AO65" s="11">
        <f>IFERROR(AC65/E65,"")</f>
        <v/>
      </c>
      <c r="AP65" s="11">
        <f>IFERROR(AD65/E65,"")</f>
        <v/>
      </c>
      <c r="AQ65" s="11">
        <f>IFERROR(AG65/E65,"")</f>
        <v/>
      </c>
      <c r="AR65" s="87">
        <f>IFERROR(AG65/AF65,"")</f>
        <v/>
      </c>
      <c r="AS65" s="87">
        <f>IFERROR(AH65/AF65,"")</f>
        <v/>
      </c>
      <c r="AT65" s="87">
        <f>IFERROR(AI65/AH65,"")</f>
        <v/>
      </c>
      <c r="AU65" s="87">
        <f>IFERROR(AN65/AH65,"")</f>
        <v/>
      </c>
      <c r="AV65" s="88" t="n"/>
      <c r="AW65" s="89" t="n">
        <v>1</v>
      </c>
      <c r="AX65" s="89" t="n">
        <v>0</v>
      </c>
      <c r="AY65" s="8" t="n"/>
      <c r="AZ65" s="8" t="n"/>
      <c r="BA65" s="8" t="n"/>
      <c r="BB65" s="8" t="n"/>
      <c r="BC65" s="90">
        <f>IFERROR(AG65/AC65,"")</f>
        <v/>
      </c>
      <c r="BD65" s="90">
        <f>IFERROR(AG65/(AC65+AA65),"")</f>
        <v/>
      </c>
      <c r="BE65" s="91" t="n"/>
      <c r="BF65" s="40" t="n"/>
      <c r="BG65" t="n">
        <v>2024</v>
      </c>
    </row>
    <row r="66" ht="15" customHeight="1" s="67">
      <c r="A66" s="8" t="inlineStr">
        <is>
          <t>PT Pinago Utama Tbk</t>
        </is>
      </c>
      <c r="B66" s="86" t="n">
        <v>13324</v>
      </c>
      <c r="C66" s="86" t="n">
        <v>13324</v>
      </c>
      <c r="D66" s="86" t="n"/>
      <c r="E66" s="86" t="n">
        <v>10649</v>
      </c>
      <c r="F66" s="86" t="n">
        <v>2675</v>
      </c>
      <c r="G66" s="86" t="n"/>
      <c r="H66" s="86" t="n"/>
      <c r="I66" s="86" t="n">
        <v>14</v>
      </c>
      <c r="J66" s="86" t="n"/>
      <c r="K66" s="86" t="n">
        <v>13324</v>
      </c>
      <c r="L66" s="86" t="n"/>
      <c r="M66" s="86" t="n"/>
      <c r="N66" s="86" t="n"/>
      <c r="O66" s="86" t="n">
        <v>1</v>
      </c>
      <c r="P66" s="86" t="n">
        <v>120</v>
      </c>
      <c r="Q66" s="86" t="n">
        <v>0</v>
      </c>
      <c r="R66" s="86" t="n"/>
      <c r="S66" s="86" t="n">
        <v>0</v>
      </c>
      <c r="T66" s="86" t="n"/>
      <c r="U66" s="86" t="n"/>
      <c r="V66" s="86" t="n"/>
      <c r="W66" s="86" t="n"/>
      <c r="X66" s="8" t="n"/>
      <c r="Y66" s="8" t="n"/>
      <c r="Z66" s="8" t="n"/>
      <c r="AA66" s="86" t="n">
        <v>279009</v>
      </c>
      <c r="AB66" s="87">
        <f>IFERROR(AA66/AF66,"")</f>
        <v/>
      </c>
      <c r="AC66" s="86" t="n">
        <v>162559</v>
      </c>
      <c r="AD66" s="86" t="n">
        <v>162559</v>
      </c>
      <c r="AE66" s="86" t="n">
        <v>19677</v>
      </c>
      <c r="AF66" s="86" t="n">
        <v>461245</v>
      </c>
      <c r="AG66" s="86" t="n">
        <v>100914</v>
      </c>
      <c r="AH66" s="86" t="n">
        <v>20749</v>
      </c>
      <c r="AI66" s="86" t="n"/>
      <c r="AJ66" s="86" t="n"/>
      <c r="AK66" s="86" t="n"/>
      <c r="AL66" s="86" t="n"/>
      <c r="AM66" s="86" t="n"/>
      <c r="AN66" s="86" t="n"/>
      <c r="AO66" s="11">
        <f>IFERROR(AC66/E66,"")</f>
        <v/>
      </c>
      <c r="AP66" s="11">
        <f>IFERROR(AD66/E66,"")</f>
        <v/>
      </c>
      <c r="AQ66" s="11">
        <f>IFERROR(AG66/E66,"")</f>
        <v/>
      </c>
      <c r="AR66" s="87">
        <f>IFERROR(AG66/AF66,"")</f>
        <v/>
      </c>
      <c r="AS66" s="87">
        <f>IFERROR(AH66/AF66,"")</f>
        <v/>
      </c>
      <c r="AT66" s="87">
        <f>IFERROR(AI66/AH66,"")</f>
        <v/>
      </c>
      <c r="AU66" s="87">
        <f>IFERROR(AN66/AH66,"")</f>
        <v/>
      </c>
      <c r="AV66" s="88" t="n">
        <v>12108</v>
      </c>
      <c r="AW66" s="89" t="n"/>
      <c r="AX66" s="89" t="n"/>
      <c r="AY66" s="8" t="n"/>
      <c r="AZ66" s="8" t="n"/>
      <c r="BA66" s="8" t="n"/>
      <c r="BB66" s="8" t="n"/>
      <c r="BC66" s="90">
        <f>IFERROR(AG66/AC66,"")</f>
        <v/>
      </c>
      <c r="BD66" s="90">
        <f>IFERROR(AG66/(AC66+AA66),"")</f>
        <v/>
      </c>
      <c r="BE66" s="91" t="n"/>
      <c r="BF66" s="40" t="n"/>
      <c r="BG66" t="n">
        <v>2022</v>
      </c>
    </row>
    <row r="67" ht="15" customHeight="1" s="67">
      <c r="A67" s="8" t="inlineStr">
        <is>
          <t>PT Pinago Utama Tbk</t>
        </is>
      </c>
      <c r="B67" s="86" t="n">
        <v>13834</v>
      </c>
      <c r="C67" s="86" t="n">
        <v>13834</v>
      </c>
      <c r="D67" s="86" t="n"/>
      <c r="E67" s="86" t="n">
        <v>11183</v>
      </c>
      <c r="F67" s="86" t="n">
        <v>2651</v>
      </c>
      <c r="G67" s="86" t="n"/>
      <c r="H67" s="86" t="n"/>
      <c r="I67" s="86" t="n"/>
      <c r="J67" s="86" t="n"/>
      <c r="K67" s="86" t="n">
        <v>13834</v>
      </c>
      <c r="L67" s="86" t="n"/>
      <c r="M67" s="86" t="n"/>
      <c r="N67" s="86" t="n"/>
      <c r="O67" s="86" t="n">
        <v>1</v>
      </c>
      <c r="P67" s="86" t="n">
        <v>120</v>
      </c>
      <c r="Q67" s="86" t="n">
        <v>0</v>
      </c>
      <c r="R67" s="86" t="n"/>
      <c r="S67" s="86" t="n">
        <v>0</v>
      </c>
      <c r="T67" s="86" t="n"/>
      <c r="U67" s="86" t="n"/>
      <c r="V67" s="86" t="n"/>
      <c r="W67" s="86" t="n"/>
      <c r="X67" s="8" t="n"/>
      <c r="Y67" s="8" t="n"/>
      <c r="Z67" s="8" t="n"/>
      <c r="AA67" s="86" t="n">
        <v>227544</v>
      </c>
      <c r="AB67" s="87">
        <f>IFERROR(AA67/AF67,"")</f>
        <v/>
      </c>
      <c r="AC67" s="86" t="n">
        <v>179913</v>
      </c>
      <c r="AD67" s="86" t="n">
        <v>179913</v>
      </c>
      <c r="AE67" s="86" t="n">
        <v>30967</v>
      </c>
      <c r="AF67" s="86" t="n">
        <v>438424</v>
      </c>
      <c r="AG67" s="86" t="n">
        <v>99766</v>
      </c>
      <c r="AH67" s="86" t="n">
        <v>19947</v>
      </c>
      <c r="AI67" s="86" t="n"/>
      <c r="AJ67" s="86" t="n"/>
      <c r="AK67" s="86" t="n"/>
      <c r="AL67" s="86" t="n"/>
      <c r="AM67" s="86" t="n"/>
      <c r="AN67" s="86" t="n"/>
      <c r="AO67" s="11">
        <f>IFERROR(AC67/E67,"")</f>
        <v/>
      </c>
      <c r="AP67" s="11">
        <f>IFERROR(AD67/E67,"")</f>
        <v/>
      </c>
      <c r="AQ67" s="11">
        <f>IFERROR(AG67/E67,"")</f>
        <v/>
      </c>
      <c r="AR67" s="87">
        <f>IFERROR(AG67/AF67,"")</f>
        <v/>
      </c>
      <c r="AS67" s="87">
        <f>IFERROR(AH67/AF67,"")</f>
        <v/>
      </c>
      <c r="AT67" s="87">
        <f>IFERROR(AI67/AH67,"")</f>
        <v/>
      </c>
      <c r="AU67" s="87">
        <f>IFERROR(AN67/AH67,"")</f>
        <v/>
      </c>
      <c r="AV67" s="88" t="n">
        <v>11096</v>
      </c>
      <c r="AW67" s="89" t="n"/>
      <c r="AX67" s="89" t="n"/>
      <c r="AY67" s="8" t="n"/>
      <c r="AZ67" s="8" t="n"/>
      <c r="BA67" s="8" t="n"/>
      <c r="BB67" s="8" t="n"/>
      <c r="BC67" s="90">
        <f>IFERROR(AG67/AC67,"")</f>
        <v/>
      </c>
      <c r="BD67" s="90">
        <f>IFERROR(AG67/(AC67+AA67),"")</f>
        <v/>
      </c>
      <c r="BE67" s="91" t="n"/>
      <c r="BF67" s="40" t="n"/>
      <c r="BG67" t="n">
        <v>2023</v>
      </c>
    </row>
    <row r="68" ht="15" customHeight="1" s="67">
      <c r="A68" s="8" t="inlineStr">
        <is>
          <t>PT Pinago Utama Tbk</t>
        </is>
      </c>
      <c r="B68" s="86" t="n">
        <v>15232</v>
      </c>
      <c r="C68" s="86" t="n">
        <v>15232</v>
      </c>
      <c r="D68" s="86" t="n"/>
      <c r="E68" s="86" t="n">
        <v>11485</v>
      </c>
      <c r="F68" s="86" t="n">
        <v>3747</v>
      </c>
      <c r="G68" s="86" t="n"/>
      <c r="H68" s="86" t="n"/>
      <c r="I68" s="86" t="n"/>
      <c r="J68" s="86" t="n"/>
      <c r="K68" s="86" t="n">
        <v>15232</v>
      </c>
      <c r="L68" s="86" t="n"/>
      <c r="M68" s="86" t="n"/>
      <c r="N68" s="86" t="n"/>
      <c r="O68" s="86" t="n">
        <v>1</v>
      </c>
      <c r="P68" s="86" t="n">
        <v>120</v>
      </c>
      <c r="Q68" s="86" t="n">
        <v>0</v>
      </c>
      <c r="R68" s="86" t="n"/>
      <c r="S68" s="86" t="n">
        <v>0</v>
      </c>
      <c r="T68" s="86" t="n"/>
      <c r="U68" s="86" t="n"/>
      <c r="V68" s="86" t="n"/>
      <c r="W68" s="86" t="n"/>
      <c r="X68" s="8" t="n"/>
      <c r="Y68" s="8" t="n"/>
      <c r="Z68" s="8" t="n"/>
      <c r="AA68" s="86" t="n">
        <v>225533</v>
      </c>
      <c r="AB68" s="87">
        <f>IFERROR(AA68/AF68,"")</f>
        <v/>
      </c>
      <c r="AC68" s="86" t="n">
        <v>155246</v>
      </c>
      <c r="AD68" s="86" t="n">
        <v>155246</v>
      </c>
      <c r="AE68" s="86" t="n">
        <v>44550</v>
      </c>
      <c r="AF68" s="86" t="n">
        <v>425023</v>
      </c>
      <c r="AG68" s="86" t="n">
        <v>95507</v>
      </c>
      <c r="AH68" s="86" t="n">
        <v>19025</v>
      </c>
      <c r="AI68" s="86" t="n"/>
      <c r="AJ68" s="86" t="n"/>
      <c r="AK68" s="86" t="n"/>
      <c r="AL68" s="86" t="n"/>
      <c r="AM68" s="86" t="n"/>
      <c r="AN68" s="86" t="n"/>
      <c r="AO68" s="11">
        <f>IFERROR(AC68/E68,"")</f>
        <v/>
      </c>
      <c r="AP68" s="11">
        <f>IFERROR(AD68/E68,"")</f>
        <v/>
      </c>
      <c r="AQ68" s="11">
        <f>IFERROR(AG68/E68,"")</f>
        <v/>
      </c>
      <c r="AR68" s="87">
        <f>IFERROR(AG68/AF68,"")</f>
        <v/>
      </c>
      <c r="AS68" s="87">
        <f>IFERROR(AH68/AF68,"")</f>
        <v/>
      </c>
      <c r="AT68" s="87">
        <f>IFERROR(AI68/AH68,"")</f>
        <v/>
      </c>
      <c r="AU68" s="87">
        <f>IFERROR(AN68/AH68,"")</f>
        <v/>
      </c>
      <c r="AV68" s="88" t="n">
        <v>12978</v>
      </c>
      <c r="AW68" s="89" t="n"/>
      <c r="AX68" s="89" t="n"/>
      <c r="AY68" s="8" t="n"/>
      <c r="AZ68" s="8" t="n"/>
      <c r="BA68" s="8" t="n"/>
      <c r="BB68" s="8" t="n"/>
      <c r="BC68" s="90">
        <f>IFERROR(AG68/AC68,"")</f>
        <v/>
      </c>
      <c r="BD68" s="90">
        <f>IFERROR(AG68/(AC68+AA68),"")</f>
        <v/>
      </c>
      <c r="BE68" s="91" t="n"/>
      <c r="BF68" s="40" t="n"/>
      <c r="BG68" t="n">
        <v>2024</v>
      </c>
    </row>
    <row r="69" ht="15" customHeight="1" s="67">
      <c r="A69" s="8" t="inlineStr">
        <is>
          <t>PT Pulau Subur Tbk</t>
        </is>
      </c>
      <c r="B69" s="86" t="n">
        <v>1091</v>
      </c>
      <c r="C69" s="86" t="n">
        <v>1091</v>
      </c>
      <c r="D69" s="86" t="n"/>
      <c r="E69" s="86" t="n">
        <v>995.75</v>
      </c>
      <c r="F69" s="86" t="n">
        <v>94.89</v>
      </c>
      <c r="G69" s="86" t="n"/>
      <c r="H69" s="86" t="n"/>
      <c r="I69" s="86" t="n"/>
      <c r="J69" s="86" t="n"/>
      <c r="K69" s="86" t="n">
        <v>1091</v>
      </c>
      <c r="L69" s="86" t="n"/>
      <c r="M69" s="86" t="n"/>
      <c r="N69" s="86" t="n"/>
      <c r="O69" s="86" t="n">
        <v>0</v>
      </c>
      <c r="P69" s="86" t="n"/>
      <c r="Q69" s="86" t="n">
        <v>0</v>
      </c>
      <c r="R69" s="86" t="n"/>
      <c r="S69" s="86" t="n">
        <v>0</v>
      </c>
      <c r="T69" s="86" t="n"/>
      <c r="U69" s="86" t="n">
        <v>0</v>
      </c>
      <c r="V69" s="86" t="n"/>
      <c r="W69" s="86" t="n">
        <v>0</v>
      </c>
      <c r="X69" s="8" t="n"/>
      <c r="Y69" s="8" t="n"/>
      <c r="Z69" s="8" t="n"/>
      <c r="AA69" s="86" t="n"/>
      <c r="AB69" s="87">
        <f>IFERROR(AA69/AF69,"")</f>
        <v/>
      </c>
      <c r="AC69" s="86" t="n">
        <v>26037</v>
      </c>
      <c r="AD69" s="86" t="n">
        <v>26037</v>
      </c>
      <c r="AE69" s="86" t="n"/>
      <c r="AF69" s="86" t="n"/>
      <c r="AG69" s="86" t="n"/>
      <c r="AH69" s="86" t="n"/>
      <c r="AI69" s="86" t="n"/>
      <c r="AJ69" s="86" t="n"/>
      <c r="AK69" s="86" t="n"/>
      <c r="AL69" s="86" t="n"/>
      <c r="AM69" s="86" t="n"/>
      <c r="AN69" s="86" t="n"/>
      <c r="AO69" s="11">
        <f>IFERROR(AC69/E69,"")</f>
        <v/>
      </c>
      <c r="AP69" s="11">
        <f>IFERROR(AD69/E69,"")</f>
        <v/>
      </c>
      <c r="AQ69" s="11">
        <f>IFERROR(AG69/E69,"")</f>
        <v/>
      </c>
      <c r="AR69" s="87">
        <f>IFERROR(AG69/AF69,"")</f>
        <v/>
      </c>
      <c r="AS69" s="87">
        <f>IFERROR(AH69/AF69,"")</f>
        <v/>
      </c>
      <c r="AT69" s="87">
        <f>IFERROR(AI69/AH69,"")</f>
        <v/>
      </c>
      <c r="AU69" s="87">
        <f>IFERROR(AN69/AH69,"")</f>
        <v/>
      </c>
      <c r="AV69" s="88" t="n"/>
      <c r="AW69" s="89" t="n">
        <v>1</v>
      </c>
      <c r="AX69" s="89" t="n">
        <v>0</v>
      </c>
      <c r="AY69" s="8" t="n"/>
      <c r="AZ69" s="8" t="n"/>
      <c r="BA69" s="8" t="n"/>
      <c r="BB69" s="8" t="n"/>
      <c r="BC69" s="90">
        <f>IFERROR(AG69/AC69,"")</f>
        <v/>
      </c>
      <c r="BD69" s="90">
        <f>IFERROR(AG69/(AC69+AA69),"")</f>
        <v/>
      </c>
      <c r="BE69" s="91" t="n"/>
      <c r="BF69" s="40" t="inlineStr">
        <is>
          <t>Company sells FFB only (no CPO mill in 2023). IPO proceeds earmarked for 10 tph PKS construction starting 2024.</t>
        </is>
      </c>
      <c r="BG69" t="n">
        <v>2023</v>
      </c>
    </row>
    <row r="70" ht="15" customHeight="1" s="67">
      <c r="A70" s="8" t="inlineStr">
        <is>
          <t>PT Pulau Subur Tbk</t>
        </is>
      </c>
      <c r="B70" s="86" t="n">
        <v>1091</v>
      </c>
      <c r="C70" s="86" t="n">
        <v>1091</v>
      </c>
      <c r="D70" s="86" t="n"/>
      <c r="E70" s="86" t="n">
        <v>995.75</v>
      </c>
      <c r="F70" s="86" t="n">
        <v>94.89</v>
      </c>
      <c r="G70" s="86" t="n"/>
      <c r="H70" s="86" t="n"/>
      <c r="I70" s="86" t="n"/>
      <c r="J70" s="86" t="n"/>
      <c r="K70" s="86" t="n">
        <v>1091</v>
      </c>
      <c r="L70" s="86" t="n"/>
      <c r="M70" s="86" t="n"/>
      <c r="N70" s="86" t="n"/>
      <c r="O70" s="86" t="n">
        <v>0</v>
      </c>
      <c r="P70" s="86" t="n">
        <v>10</v>
      </c>
      <c r="Q70" s="86" t="n">
        <v>0</v>
      </c>
      <c r="R70" s="86" t="n"/>
      <c r="S70" s="86" t="n">
        <v>0</v>
      </c>
      <c r="T70" s="86" t="n"/>
      <c r="U70" s="86" t="n">
        <v>0</v>
      </c>
      <c r="V70" s="86" t="n"/>
      <c r="W70" s="86" t="n">
        <v>0</v>
      </c>
      <c r="X70" s="8" t="n"/>
      <c r="Y70" s="8" t="n"/>
      <c r="Z70" s="8" t="n"/>
      <c r="AA70" s="86" t="n"/>
      <c r="AB70" s="87">
        <f>IFERROR(AA70/AF70,"")</f>
        <v/>
      </c>
      <c r="AC70" s="86" t="n">
        <v>22461</v>
      </c>
      <c r="AD70" s="86" t="n">
        <v>22461</v>
      </c>
      <c r="AE70" s="86" t="n"/>
      <c r="AF70" s="86" t="n"/>
      <c r="AG70" s="86" t="n">
        <v>0</v>
      </c>
      <c r="AH70" s="86" t="n">
        <v>0</v>
      </c>
      <c r="AI70" s="86" t="n"/>
      <c r="AJ70" s="86" t="n"/>
      <c r="AK70" s="86" t="n"/>
      <c r="AL70" s="86" t="n"/>
      <c r="AM70" s="86" t="n"/>
      <c r="AN70" s="86" t="n"/>
      <c r="AO70" s="11">
        <f>IFERROR(AC70/E70,"")</f>
        <v/>
      </c>
      <c r="AP70" s="11">
        <f>IFERROR(AD70/E70,"")</f>
        <v/>
      </c>
      <c r="AQ70" s="11">
        <f>IFERROR(AG70/E70,"")</f>
        <v/>
      </c>
      <c r="AR70" s="87">
        <f>IFERROR(AG70/AF70,"")</f>
        <v/>
      </c>
      <c r="AS70" s="87">
        <f>IFERROR(AH70/AF70,"")</f>
        <v/>
      </c>
      <c r="AT70" s="87">
        <f>IFERROR(AI70/AH70,"")</f>
        <v/>
      </c>
      <c r="AU70" s="87">
        <f>IFERROR(AN70/AH70,"")</f>
        <v/>
      </c>
      <c r="AV70" s="88" t="n"/>
      <c r="AW70" s="89" t="n">
        <v>1</v>
      </c>
      <c r="AX70" s="89" t="n">
        <v>0</v>
      </c>
      <c r="AY70" s="8" t="n"/>
      <c r="AZ70" s="8" t="n"/>
      <c r="BA70" s="8" t="n"/>
      <c r="BB70" s="8" t="n"/>
      <c r="BC70" s="90">
        <f>IFERROR(AG70/AC70,"")</f>
        <v/>
      </c>
      <c r="BD70" s="90">
        <f>IFERROR(AG70/(AC70+AA70),"")</f>
        <v/>
      </c>
      <c r="BE70" s="91" t="n"/>
      <c r="BF70" s="40" t="inlineStr">
        <is>
          <t>Company sells FFB only (no milling yet); 10 tph PKS under construction ~70-83% complete, target Q1 2026 operation.</t>
        </is>
      </c>
      <c r="BG70" t="n">
        <v>2024</v>
      </c>
    </row>
    <row r="71" ht="15" customHeight="1" s="67">
      <c r="A71" s="8" t="inlineStr">
        <is>
          <t>PT Sampoerna Agro Tbk</t>
        </is>
      </c>
      <c r="B71" s="86" t="n">
        <v>132660</v>
      </c>
      <c r="C71" s="86" t="n">
        <v>82973</v>
      </c>
      <c r="D71" s="86" t="n">
        <v>49687</v>
      </c>
      <c r="E71" s="86" t="n">
        <v>122047.2</v>
      </c>
      <c r="F71" s="86" t="n">
        <v>10612.8</v>
      </c>
      <c r="G71" s="86" t="n"/>
      <c r="H71" s="86" t="n"/>
      <c r="I71" s="86" t="n">
        <v>14</v>
      </c>
      <c r="J71" s="86" t="n"/>
      <c r="K71" s="86" t="n">
        <v>83000</v>
      </c>
      <c r="L71" s="86" t="n">
        <v>50036</v>
      </c>
      <c r="M71" s="86" t="n"/>
      <c r="N71" s="86" t="n">
        <v>35142</v>
      </c>
      <c r="O71" s="86" t="n">
        <v>8</v>
      </c>
      <c r="P71" s="86" t="n">
        <v>515</v>
      </c>
      <c r="Q71" s="86" t="n"/>
      <c r="R71" s="86" t="n"/>
      <c r="S71" s="86" t="n">
        <v>0</v>
      </c>
      <c r="T71" s="86" t="n"/>
      <c r="U71" s="86" t="n"/>
      <c r="V71" s="86" t="n"/>
      <c r="W71" s="86" t="n"/>
      <c r="X71" s="8" t="n"/>
      <c r="Y71" s="8" t="n"/>
      <c r="Z71" s="8" t="n"/>
      <c r="AA71" s="86" t="n">
        <v>133952</v>
      </c>
      <c r="AB71" s="87">
        <f>IFERROR(AA71/AF71,"")</f>
        <v/>
      </c>
      <c r="AC71" s="86" t="n">
        <v>1242866</v>
      </c>
      <c r="AD71" s="86" t="n">
        <v>1242866</v>
      </c>
      <c r="AE71" s="86" t="n">
        <v>670728</v>
      </c>
      <c r="AF71" s="86" t="n">
        <v>1913594</v>
      </c>
      <c r="AG71" s="86" t="n">
        <v>394847</v>
      </c>
      <c r="AH71" s="86" t="n">
        <v>98321</v>
      </c>
      <c r="AI71" s="86" t="n"/>
      <c r="AJ71" s="86" t="n"/>
      <c r="AK71" s="86" t="n"/>
      <c r="AL71" s="86" t="n"/>
      <c r="AM71" s="86" t="n"/>
      <c r="AN71" s="86" t="n"/>
      <c r="AO71" s="11">
        <f>IFERROR(AC71/E71,"")</f>
        <v/>
      </c>
      <c r="AP71" s="11">
        <f>IFERROR(AD71/E71,"")</f>
        <v/>
      </c>
      <c r="AQ71" s="11">
        <f>IFERROR(AG71/E71,"")</f>
        <v/>
      </c>
      <c r="AR71" s="87">
        <f>IFERROR(AG71/AF71,"")</f>
        <v/>
      </c>
      <c r="AS71" s="87">
        <f>IFERROR(AH71/AF71,"")</f>
        <v/>
      </c>
      <c r="AT71" s="87">
        <f>IFERROR(AI71/AH71,"")</f>
        <v/>
      </c>
      <c r="AU71" s="87">
        <f>IFERROR(AN71/AH71,"")</f>
        <v/>
      </c>
      <c r="AV71" s="88" t="n">
        <v>12341</v>
      </c>
      <c r="AW71" s="89" t="n">
        <v>1</v>
      </c>
      <c r="AX71" s="89" t="n">
        <v>0</v>
      </c>
      <c r="AY71" s="8" t="n"/>
      <c r="AZ71" s="8" t="n"/>
      <c r="BA71" s="8" t="n"/>
      <c r="BB71" s="8" t="n"/>
      <c r="BC71" s="90">
        <f>IFERROR(AG71/AC71,"")</f>
        <v/>
      </c>
      <c r="BD71" s="90">
        <f>IFERROR(AG71/(AC71+AA71),"")</f>
        <v/>
      </c>
      <c r="BE71" s="91" t="n">
        <v>0.21</v>
      </c>
      <c r="BF71" s="40" t="inlineStr">
        <is>
          <t>Reported OER 21.0% in 2022 (high rainfall Q4 caused slight dip). KER not separately disclosed. Palm planted area: Sumatra ~83k ha + Kalimantan ~50k ha = ~133k ha palm; total incl. sago 12,781 ha + rubber 22,361 ha = ~168k ha. Kalimantan FFB contribution 36%; Sumatra 64%.</t>
        </is>
      </c>
      <c r="BG71" t="n">
        <v>2022</v>
      </c>
    </row>
    <row r="72" ht="15" customHeight="1" s="67">
      <c r="A72" s="8" t="inlineStr">
        <is>
          <t>PT Sampoerna Agro Tbk</t>
        </is>
      </c>
      <c r="B72" s="86" t="n">
        <v>132162</v>
      </c>
      <c r="C72" s="86" t="n">
        <v>82123</v>
      </c>
      <c r="D72" s="86" t="n">
        <v>50039</v>
      </c>
      <c r="E72" s="86" t="n">
        <v>117624.18</v>
      </c>
      <c r="F72" s="86" t="n">
        <v>14537.82</v>
      </c>
      <c r="G72" s="86" t="n"/>
      <c r="H72" s="86" t="n"/>
      <c r="I72" s="86" t="n">
        <v>15</v>
      </c>
      <c r="J72" s="86" t="n">
        <v>10000</v>
      </c>
      <c r="K72" s="86" t="n">
        <v>82000</v>
      </c>
      <c r="L72" s="86" t="n">
        <v>50000</v>
      </c>
      <c r="M72" s="86" t="n"/>
      <c r="N72" s="86" t="n">
        <v>35637</v>
      </c>
      <c r="O72" s="86" t="n">
        <v>8</v>
      </c>
      <c r="P72" s="86" t="n">
        <v>515</v>
      </c>
      <c r="Q72" s="86" t="n">
        <v>0</v>
      </c>
      <c r="R72" s="86" t="n"/>
      <c r="S72" s="86" t="n">
        <v>0</v>
      </c>
      <c r="T72" s="86" t="n"/>
      <c r="U72" s="86" t="n"/>
      <c r="V72" s="86" t="n"/>
      <c r="W72" s="86" t="n"/>
      <c r="X72" s="8" t="n"/>
      <c r="Y72" s="8" t="n"/>
      <c r="Z72" s="8" t="n"/>
      <c r="AA72" s="86" t="n">
        <v>171015.66</v>
      </c>
      <c r="AB72" s="87">
        <f>IFERROR(AA72/AF72,"")</f>
        <v/>
      </c>
      <c r="AC72" s="86" t="n">
        <v>1259629</v>
      </c>
      <c r="AD72" s="86" t="n">
        <v>1259629</v>
      </c>
      <c r="AE72" s="86" t="n">
        <v>640545</v>
      </c>
      <c r="AF72" s="86" t="n">
        <v>1900174</v>
      </c>
      <c r="AG72" s="86" t="n">
        <v>396927</v>
      </c>
      <c r="AH72" s="86" t="n">
        <v>98984</v>
      </c>
      <c r="AI72" s="86" t="n"/>
      <c r="AJ72" s="86" t="n"/>
      <c r="AK72" s="86" t="n"/>
      <c r="AL72" s="86" t="n"/>
      <c r="AM72" s="86" t="n"/>
      <c r="AN72" s="86" t="n"/>
      <c r="AO72" s="11">
        <f>IFERROR(AC72/E72,"")</f>
        <v/>
      </c>
      <c r="AP72" s="11">
        <f>IFERROR(AD72/E72,"")</f>
        <v/>
      </c>
      <c r="AQ72" s="11">
        <f>IFERROR(AG72/E72,"")</f>
        <v/>
      </c>
      <c r="AR72" s="87">
        <f>IFERROR(AG72/AF72,"")</f>
        <v/>
      </c>
      <c r="AS72" s="87">
        <f>IFERROR(AH72/AF72,"")</f>
        <v/>
      </c>
      <c r="AT72" s="87">
        <f>IFERROR(AI72/AH72,"")</f>
        <v/>
      </c>
      <c r="AU72" s="87">
        <f>IFERROR(AN72/AH72,"")</f>
        <v/>
      </c>
      <c r="AV72" s="88" t="n">
        <v>11405</v>
      </c>
      <c r="AW72" s="89" t="n">
        <v>1</v>
      </c>
      <c r="AX72" s="89" t="n">
        <v>0</v>
      </c>
      <c r="AY72" s="8" t="n"/>
      <c r="AZ72" s="8" t="n"/>
      <c r="BA72" s="8" t="n"/>
      <c r="BB72" s="8" t="n"/>
      <c r="BC72" s="90">
        <f>IFERROR(AG72/AC72,"")</f>
        <v/>
      </c>
      <c r="BD72" s="90">
        <f>IFERROR(AG72/(AC72+AA72),"")</f>
        <v/>
      </c>
      <c r="BE72" s="91" t="n">
        <v>0.214</v>
      </c>
      <c r="BF72" s="40" t="inlineStr">
        <is>
          <t>Reported OER 21.4% in 2023 (vs 21.0% in 2022). KER not separately disclosed. Palm planted area: Sumatra ~82k ha + Kalimantan ~50k ha = 132k ha palm; total incl. sago 12,781 ha + rubber 22,856 ha = ~167.6k ha.</t>
        </is>
      </c>
      <c r="BG72" t="n">
        <v>2023</v>
      </c>
    </row>
    <row r="73" ht="15" customHeight="1" s="67">
      <c r="A73" s="8" t="inlineStr">
        <is>
          <t>PT Sampoerna Agro Tbk</t>
        </is>
      </c>
      <c r="B73" s="86" t="n">
        <v>128290</v>
      </c>
      <c r="C73" s="86" t="n">
        <v>81733</v>
      </c>
      <c r="D73" s="86" t="n">
        <v>46557</v>
      </c>
      <c r="E73" s="86" t="n">
        <v>108816</v>
      </c>
      <c r="F73" s="86" t="n">
        <v>19348</v>
      </c>
      <c r="G73" s="86" t="n"/>
      <c r="H73" s="86" t="n"/>
      <c r="I73" s="86" t="n">
        <v>14</v>
      </c>
      <c r="J73" s="86" t="n">
        <v>11200</v>
      </c>
      <c r="K73" s="86" t="n">
        <v>79000</v>
      </c>
      <c r="L73" s="86" t="n">
        <v>49000</v>
      </c>
      <c r="M73" s="86" t="n"/>
      <c r="N73" s="86" t="n">
        <v>35901</v>
      </c>
      <c r="O73" s="86" t="n">
        <v>8</v>
      </c>
      <c r="P73" s="86" t="n">
        <v>510</v>
      </c>
      <c r="Q73" s="86" t="n">
        <v>0</v>
      </c>
      <c r="R73" s="86" t="n"/>
      <c r="S73" s="86" t="n">
        <v>0</v>
      </c>
      <c r="T73" s="86" t="n"/>
      <c r="U73" s="86" t="n"/>
      <c r="V73" s="86" t="n"/>
      <c r="W73" s="86" t="n"/>
      <c r="X73" s="8" t="n"/>
      <c r="Y73" s="8" t="n"/>
      <c r="Z73" s="8" t="n"/>
      <c r="AA73" s="86" t="n">
        <v>160000</v>
      </c>
      <c r="AB73" s="87">
        <f>IFERROR(AA73/AF73,"")</f>
        <v/>
      </c>
      <c r="AC73" s="86" t="n">
        <v>1167927</v>
      </c>
      <c r="AD73" s="86" t="n">
        <v>1167927</v>
      </c>
      <c r="AE73" s="86" t="n">
        <v>399000</v>
      </c>
      <c r="AF73" s="86" t="n">
        <v>1726376</v>
      </c>
      <c r="AG73" s="86" t="n">
        <v>341287</v>
      </c>
      <c r="AH73" s="86" t="n">
        <v>83827</v>
      </c>
      <c r="AI73" s="86" t="n"/>
      <c r="AJ73" s="86" t="n"/>
      <c r="AK73" s="86" t="n"/>
      <c r="AL73" s="86" t="n"/>
      <c r="AM73" s="86" t="n"/>
      <c r="AN73" s="86" t="n"/>
      <c r="AO73" s="11">
        <f>IFERROR(AC73/E73,"")</f>
        <v/>
      </c>
      <c r="AP73" s="11">
        <f>IFERROR(AD73/E73,"")</f>
        <v/>
      </c>
      <c r="AQ73" s="11">
        <f>IFERROR(AG73/E73,"")</f>
        <v/>
      </c>
      <c r="AR73" s="87">
        <f>IFERROR(AG73/AF73,"")</f>
        <v/>
      </c>
      <c r="AS73" s="87">
        <f>IFERROR(AH73/AF73,"")</f>
        <v/>
      </c>
      <c r="AT73" s="87">
        <f>IFERROR(AI73/AH73,"")</f>
        <v/>
      </c>
      <c r="AU73" s="87">
        <f>IFERROR(AN73/AH73,"")</f>
        <v/>
      </c>
      <c r="AV73" s="88" t="n">
        <v>13283</v>
      </c>
      <c r="AW73" s="89" t="n"/>
      <c r="AX73" s="89" t="n"/>
      <c r="AY73" s="8" t="n"/>
      <c r="AZ73" s="8" t="n"/>
      <c r="BA73" s="8" t="n"/>
      <c r="BB73" s="8" t="n"/>
      <c r="BC73" s="90">
        <f>IFERROR(AG73/AC73,"")</f>
        <v/>
      </c>
      <c r="BD73" s="90">
        <f>IFERROR(AG73/(AC73+AA73),"")</f>
        <v/>
      </c>
      <c r="BE73" s="91" t="n">
        <v>0.205</v>
      </c>
      <c r="BF73" s="40" t="inlineStr">
        <is>
          <t>Reported OER 20.5% in 2024 (vs 21.4% in 2023); KER not separately disclosed. Palm-oil planted area: Sumatra ~79k ha + Kalimantan ~49k ha = 128k ha; Total company planted incl. sago 12,781 ha + rubber 23,120 ha = 164,721 ha.</t>
        </is>
      </c>
      <c r="BG73" t="n">
        <v>2024</v>
      </c>
    </row>
    <row r="74" ht="15" customHeight="1" s="67">
      <c r="A74" s="8" t="inlineStr">
        <is>
          <t>PT Salim Ivomas Pratama Tbk</t>
        </is>
      </c>
      <c r="B74" s="86" t="n">
        <v>294488</v>
      </c>
      <c r="C74" s="86" t="n">
        <v>244768</v>
      </c>
      <c r="D74" s="86" t="n">
        <v>90551</v>
      </c>
      <c r="E74" s="86" t="n">
        <v>218064</v>
      </c>
      <c r="F74" s="86" t="n">
        <v>26704</v>
      </c>
      <c r="G74" s="86" t="n">
        <v>132699</v>
      </c>
      <c r="H74" s="86" t="n">
        <v>85365</v>
      </c>
      <c r="I74" s="86" t="n">
        <v>18</v>
      </c>
      <c r="J74" s="86" t="n"/>
      <c r="K74" s="86" t="n">
        <v>188537</v>
      </c>
      <c r="L74" s="86" t="n">
        <v>97235</v>
      </c>
      <c r="M74" s="86" t="n">
        <v>5467</v>
      </c>
      <c r="N74" s="86" t="n">
        <v>3249</v>
      </c>
      <c r="O74" s="86" t="n">
        <v>27</v>
      </c>
      <c r="P74" s="86" t="n"/>
      <c r="Q74" s="86" t="n"/>
      <c r="R74" s="86" t="n"/>
      <c r="S74" s="86" t="n">
        <v>5</v>
      </c>
      <c r="T74" s="86" t="n">
        <v>1700000</v>
      </c>
      <c r="U74" s="86" t="n"/>
      <c r="V74" s="86" t="n"/>
      <c r="W74" s="86" t="n"/>
      <c r="X74" s="8" t="n"/>
      <c r="Y74" s="8" t="n"/>
      <c r="Z74" s="8" t="n"/>
      <c r="AA74" s="86" t="n">
        <v>929000</v>
      </c>
      <c r="AB74" s="87">
        <f>IFERROR(AA74/AF74,"")</f>
        <v/>
      </c>
      <c r="AC74" s="86" t="n">
        <v>2812000</v>
      </c>
      <c r="AD74" s="86" t="n">
        <v>2812000</v>
      </c>
      <c r="AE74" s="86" t="n"/>
      <c r="AF74" s="86" t="n"/>
      <c r="AG74" s="86" t="n">
        <v>736000</v>
      </c>
      <c r="AH74" s="86" t="n">
        <v>180000</v>
      </c>
      <c r="AI74" s="86" t="n"/>
      <c r="AJ74" s="86" t="n"/>
      <c r="AK74" s="86" t="n"/>
      <c r="AL74" s="86" t="n"/>
      <c r="AM74" s="86" t="n"/>
      <c r="AN74" s="86" t="n"/>
      <c r="AO74" s="11">
        <f>IFERROR(AC74/E74,"")</f>
        <v/>
      </c>
      <c r="AP74" s="11">
        <f>IFERROR(AD74/E74,"")</f>
        <v/>
      </c>
      <c r="AQ74" s="11">
        <f>IFERROR(AG74/E74,"")</f>
        <v/>
      </c>
      <c r="AR74" s="87">
        <f>IFERROR(AG74/AF74,"")</f>
        <v/>
      </c>
      <c r="AS74" s="87">
        <f>IFERROR(AH74/AF74,"")</f>
        <v/>
      </c>
      <c r="AT74" s="87">
        <f>IFERROR(AI74/AH74,"")</f>
        <v/>
      </c>
      <c r="AU74" s="87">
        <f>IFERROR(AN74/AH74,"")</f>
        <v/>
      </c>
      <c r="AV74" s="88" t="n">
        <v>12341</v>
      </c>
      <c r="AW74" s="89" t="n"/>
      <c r="AX74" s="89" t="n"/>
      <c r="AY74" s="8" t="n"/>
      <c r="AZ74" s="8" t="n"/>
      <c r="BA74" s="8" t="n"/>
      <c r="BB74" s="8" t="n"/>
      <c r="BC74" s="90">
        <f>IFERROR(AG74/AC74,"")</f>
        <v/>
      </c>
      <c r="BD74" s="90">
        <f>IFERROR(AG74/(AC74+AA74),"")</f>
        <v/>
      </c>
      <c r="BE74" s="91" t="n">
        <v>0.21</v>
      </c>
      <c r="BF74" s="40" t="inlineStr">
        <is>
          <t>OER not reported in Ikhtisar Operasional.</t>
        </is>
      </c>
      <c r="BG74" t="n">
        <v>2022</v>
      </c>
    </row>
    <row r="75" ht="15" customHeight="1" s="67">
      <c r="A75" s="8" t="inlineStr">
        <is>
          <t>PT Salim Ivomas Pratama Tbk</t>
        </is>
      </c>
      <c r="B75" s="86" t="n">
        <v>293429</v>
      </c>
      <c r="C75" s="86" t="n">
        <v>244337</v>
      </c>
      <c r="D75" s="86" t="n">
        <v>90867</v>
      </c>
      <c r="E75" s="86" t="n">
        <v>220531</v>
      </c>
      <c r="F75" s="86" t="n">
        <v>23806</v>
      </c>
      <c r="G75" s="86" t="n">
        <v>134833</v>
      </c>
      <c r="H75" s="86" t="n">
        <v>85698</v>
      </c>
      <c r="I75" s="86" t="n">
        <v>19</v>
      </c>
      <c r="J75" s="86" t="n"/>
      <c r="K75" s="86" t="n">
        <v>187610</v>
      </c>
      <c r="L75" s="86" t="n">
        <v>97156</v>
      </c>
      <c r="M75" s="86" t="n">
        <v>5486</v>
      </c>
      <c r="N75" s="86" t="n">
        <v>3177</v>
      </c>
      <c r="O75" s="86" t="n">
        <v>27</v>
      </c>
      <c r="P75" s="86" t="n"/>
      <c r="Q75" s="86" t="n"/>
      <c r="R75" s="86" t="n"/>
      <c r="S75" s="86" t="n">
        <v>5</v>
      </c>
      <c r="T75" s="86" t="n">
        <v>1700000</v>
      </c>
      <c r="U75" s="86" t="n"/>
      <c r="V75" s="86" t="n"/>
      <c r="W75" s="86" t="n"/>
      <c r="X75" s="8" t="n"/>
      <c r="Y75" s="8" t="n"/>
      <c r="Z75" s="8" t="n"/>
      <c r="AA75" s="86" t="n">
        <v>848000</v>
      </c>
      <c r="AB75" s="87">
        <f>IFERROR(AA75/AF75,"")</f>
        <v/>
      </c>
      <c r="AC75" s="86" t="n">
        <v>2784000</v>
      </c>
      <c r="AD75" s="86" t="n">
        <v>2784000</v>
      </c>
      <c r="AE75" s="86" t="n"/>
      <c r="AF75" s="86" t="n"/>
      <c r="AG75" s="86" t="n">
        <v>708000</v>
      </c>
      <c r="AH75" s="86" t="n">
        <v>175000</v>
      </c>
      <c r="AI75" s="86" t="n"/>
      <c r="AJ75" s="86" t="n"/>
      <c r="AK75" s="86" t="n"/>
      <c r="AL75" s="86" t="n"/>
      <c r="AM75" s="86" t="n"/>
      <c r="AN75" s="86" t="n"/>
      <c r="AO75" s="11">
        <f>IFERROR(AC75/E75,"")</f>
        <v/>
      </c>
      <c r="AP75" s="11">
        <f>IFERROR(AD75/E75,"")</f>
        <v/>
      </c>
      <c r="AQ75" s="11">
        <f>IFERROR(AG75/E75,"")</f>
        <v/>
      </c>
      <c r="AR75" s="87">
        <f>IFERROR(AG75/AF75,"")</f>
        <v/>
      </c>
      <c r="AS75" s="87">
        <f>IFERROR(AH75/AF75,"")</f>
        <v/>
      </c>
      <c r="AT75" s="87">
        <f>IFERROR(AI75/AH75,"")</f>
        <v/>
      </c>
      <c r="AU75" s="87">
        <f>IFERROR(AN75/AH75,"")</f>
        <v/>
      </c>
      <c r="AV75" s="88" t="n">
        <v>11273</v>
      </c>
      <c r="AW75" s="89" t="n">
        <v>0.86</v>
      </c>
      <c r="AX75" s="89" t="n">
        <v>0.14</v>
      </c>
      <c r="AY75" s="8" t="n"/>
      <c r="AZ75" s="8" t="n"/>
      <c r="BA75" s="8" t="n"/>
      <c r="BB75" s="8" t="n"/>
      <c r="BC75" s="90">
        <f>IFERROR(AG75/AC75,"")</f>
        <v/>
      </c>
      <c r="BD75" s="90">
        <f>IFERROR(AG75/(AC75+AA75),"")</f>
        <v/>
      </c>
      <c r="BE75" s="91" t="n">
        <v>0.1949</v>
      </c>
      <c r="BF75" s="40" t="inlineStr">
        <is>
          <t>OER not reported in Ikhtisar Operasional.</t>
        </is>
      </c>
      <c r="BG75" t="n">
        <v>2023</v>
      </c>
    </row>
    <row r="76" ht="15" customHeight="1" s="67">
      <c r="A76" s="8" t="inlineStr">
        <is>
          <t>PT Salim Ivomas Pratama Tbk</t>
        </is>
      </c>
      <c r="B76" s="86" t="n">
        <v>288649</v>
      </c>
      <c r="C76" s="86" t="n">
        <v>241208</v>
      </c>
      <c r="D76" s="86" t="n">
        <v>91523</v>
      </c>
      <c r="E76" s="86" t="n">
        <v>220318</v>
      </c>
      <c r="F76" s="86" t="n">
        <v>20890</v>
      </c>
      <c r="G76" s="86" t="n"/>
      <c r="H76" s="86" t="n"/>
      <c r="I76" s="86" t="n"/>
      <c r="J76" s="86" t="n"/>
      <c r="K76" s="86" t="n">
        <v>188414</v>
      </c>
      <c r="L76" s="86" t="n">
        <v>91538</v>
      </c>
      <c r="M76" s="86" t="n">
        <v>5480</v>
      </c>
      <c r="N76" s="86" t="n">
        <v>3217</v>
      </c>
      <c r="O76" s="86" t="n">
        <v>27</v>
      </c>
      <c r="P76" s="86" t="n"/>
      <c r="Q76" s="86" t="n"/>
      <c r="R76" s="86" t="n"/>
      <c r="S76" s="86" t="n">
        <v>5</v>
      </c>
      <c r="T76" s="86" t="n">
        <v>1700000</v>
      </c>
      <c r="U76" s="86" t="n"/>
      <c r="V76" s="86" t="n"/>
      <c r="W76" s="86" t="n"/>
      <c r="X76" s="8" t="n"/>
      <c r="Y76" s="8" t="n"/>
      <c r="Z76" s="8" t="n"/>
      <c r="AA76" s="86" t="n">
        <v>887000</v>
      </c>
      <c r="AB76" s="87">
        <f>IFERROR(AA76/AF76,"")</f>
        <v/>
      </c>
      <c r="AC76" s="86" t="n">
        <v>2758000</v>
      </c>
      <c r="AD76" s="86" t="n">
        <v>2758000</v>
      </c>
      <c r="AE76" s="86" t="n"/>
      <c r="AF76" s="86" t="n"/>
      <c r="AG76" s="86" t="n">
        <v>706000</v>
      </c>
      <c r="AH76" s="86" t="n">
        <v>167000</v>
      </c>
      <c r="AI76" s="86" t="n"/>
      <c r="AJ76" s="86" t="n"/>
      <c r="AK76" s="86" t="n"/>
      <c r="AL76" s="86" t="n"/>
      <c r="AM76" s="86" t="n"/>
      <c r="AN76" s="86" t="n"/>
      <c r="AO76" s="11">
        <f>IFERROR(AC76/E76,"")</f>
        <v/>
      </c>
      <c r="AP76" s="11">
        <f>IFERROR(AD76/E76,"")</f>
        <v/>
      </c>
      <c r="AQ76" s="11">
        <f>IFERROR(AG76/E76,"")</f>
        <v/>
      </c>
      <c r="AR76" s="87">
        <f>IFERROR(AG76/AF76,"")</f>
        <v/>
      </c>
      <c r="AS76" s="87">
        <f>IFERROR(AH76/AF76,"")</f>
        <v/>
      </c>
      <c r="AT76" s="87">
        <f>IFERROR(AI76/AH76,"")</f>
        <v/>
      </c>
      <c r="AU76" s="87">
        <f>IFERROR(AN76/AH76,"")</f>
        <v/>
      </c>
      <c r="AV76" s="88" t="n">
        <v>13190</v>
      </c>
      <c r="AW76" s="89" t="n">
        <v>0.861</v>
      </c>
      <c r="AX76" s="89" t="n">
        <v>0.139</v>
      </c>
      <c r="AY76" s="8" t="n"/>
      <c r="AZ76" s="8" t="n"/>
      <c r="BA76" s="8" t="n"/>
      <c r="BB76" s="8" t="n"/>
      <c r="BC76" s="90">
        <f>IFERROR(AG76/AC76,"")</f>
        <v/>
      </c>
      <c r="BD76" s="90">
        <f>IFERROR(AG76/(AC76+AA76),"")</f>
        <v/>
      </c>
      <c r="BE76" s="91" t="n"/>
      <c r="BF76" s="40" t="inlineStr">
        <is>
          <t>OER not reported in 'Ikhtisar Operasional'; rough estimate = CPO 706 / FFB processed ~ n/a (FFB processed not disclosed separately).</t>
        </is>
      </c>
      <c r="BG76" t="n">
        <v>2024</v>
      </c>
    </row>
    <row r="77" ht="15" customHeight="1" s="67">
      <c r="A77" s="8" t="inlineStr">
        <is>
          <t>PT Sinar Mas Agro Resources and Technology Tbk</t>
        </is>
      </c>
      <c r="B77" s="86" t="n">
        <v>136402</v>
      </c>
      <c r="C77" s="86" t="n">
        <v>105030</v>
      </c>
      <c r="D77" s="86" t="n">
        <v>31372</v>
      </c>
      <c r="E77" s="86" t="n">
        <v>129615</v>
      </c>
      <c r="F77" s="86" t="n">
        <v>7187</v>
      </c>
      <c r="G77" s="86" t="n">
        <v>85990</v>
      </c>
      <c r="H77" s="86" t="n">
        <v>34390</v>
      </c>
      <c r="I77" s="86" t="n"/>
      <c r="J77" s="86" t="n">
        <v>2800</v>
      </c>
      <c r="K77" s="86" t="n"/>
      <c r="L77" s="86" t="n"/>
      <c r="M77" s="86" t="n"/>
      <c r="N77" s="86" t="n"/>
      <c r="O77" s="86" t="n">
        <v>16</v>
      </c>
      <c r="P77" s="86" t="n"/>
      <c r="Q77" s="86" t="n"/>
      <c r="R77" s="86" t="n"/>
      <c r="S77" s="86" t="n">
        <v>4</v>
      </c>
      <c r="T77" s="86" t="n">
        <v>2900000</v>
      </c>
      <c r="U77" s="86" t="n"/>
      <c r="V77" s="86" t="n">
        <v>810000</v>
      </c>
      <c r="W77" s="86" t="n"/>
      <c r="X77" s="8" t="n"/>
      <c r="Y77" s="8" t="n"/>
      <c r="Z77" s="8" t="n"/>
      <c r="AA77" s="86" t="n"/>
      <c r="AB77" s="87">
        <f>IFERROR(AA77/AF77,"")</f>
        <v/>
      </c>
      <c r="AC77" s="86" t="n">
        <v>1950842</v>
      </c>
      <c r="AD77" s="86" t="n">
        <v>1925000</v>
      </c>
      <c r="AE77" s="86" t="n">
        <v>557000</v>
      </c>
      <c r="AF77" s="86" t="n">
        <v>4350000</v>
      </c>
      <c r="AG77" s="86" t="n">
        <v>572000</v>
      </c>
      <c r="AH77" s="86" t="n">
        <v>157000</v>
      </c>
      <c r="AI77" s="86" t="n"/>
      <c r="AJ77" s="86" t="n"/>
      <c r="AK77" s="86" t="n"/>
      <c r="AL77" s="86" t="n"/>
      <c r="AM77" s="86" t="n"/>
      <c r="AN77" s="86" t="n"/>
      <c r="AO77" s="11">
        <f>IFERROR(AC77/E77,"")</f>
        <v/>
      </c>
      <c r="AP77" s="11">
        <f>IFERROR(AD77/E77,"")</f>
        <v/>
      </c>
      <c r="AQ77" s="11">
        <f>IFERROR(AG77/E77,"")</f>
        <v/>
      </c>
      <c r="AR77" s="87">
        <f>IFERROR(AG77/AF77,"")</f>
        <v/>
      </c>
      <c r="AS77" s="87">
        <f>IFERROR(AH77/AF77,"")</f>
        <v/>
      </c>
      <c r="AT77" s="87">
        <f>IFERROR(AI77/AH77,"")</f>
        <v/>
      </c>
      <c r="AU77" s="87">
        <f>IFERROR(AN77/AH77,"")</f>
        <v/>
      </c>
      <c r="AV77" s="88" t="n">
        <v>18488</v>
      </c>
      <c r="AW77" s="89" t="n"/>
      <c r="AX77" s="89" t="n"/>
      <c r="AY77" s="8" t="n"/>
      <c r="AZ77" s="8" t="n"/>
      <c r="BA77" s="8" t="n"/>
      <c r="BB77" s="8" t="n"/>
      <c r="BC77" s="90">
        <f>IFERROR(AG77/AC77,"")</f>
        <v/>
      </c>
      <c r="BD77" s="90">
        <f>IFERROR(AG77/(AC77+AA77),"")</f>
        <v/>
      </c>
      <c r="BE77" s="91" t="n">
        <v>0.208</v>
      </c>
      <c r="BF77" s="40" t="inlineStr">
        <is>
          <t>Oil extraction rate 20.8%; Kernel extraction rate 5.7%. Avg CPO FOB Belawan US$1,248/t x avg FX Rp14,814/US$ = ~Rp18,488/kg implied.</t>
        </is>
      </c>
      <c r="BG77" t="n">
        <v>2022</v>
      </c>
    </row>
    <row r="78" ht="15" customHeight="1" s="67">
      <c r="A78" s="8" t="inlineStr">
        <is>
          <t>PT Sinar Mas Agro Resources and Technology Tbk</t>
        </is>
      </c>
      <c r="B78" s="86" t="n">
        <v>134177</v>
      </c>
      <c r="C78" s="86" t="n">
        <v>103316</v>
      </c>
      <c r="D78" s="86" t="n">
        <v>30861</v>
      </c>
      <c r="E78" s="86" t="n">
        <v>126343</v>
      </c>
      <c r="F78" s="86" t="n">
        <v>7834</v>
      </c>
      <c r="G78" s="86" t="n">
        <v>77494</v>
      </c>
      <c r="H78" s="86" t="n">
        <v>38953</v>
      </c>
      <c r="I78" s="86" t="n"/>
      <c r="J78" s="86" t="n">
        <v>3200</v>
      </c>
      <c r="K78" s="86" t="n"/>
      <c r="L78" s="86" t="n"/>
      <c r="M78" s="86" t="n"/>
      <c r="N78" s="86" t="n"/>
      <c r="O78" s="86" t="n">
        <v>16</v>
      </c>
      <c r="P78" s="86" t="n"/>
      <c r="Q78" s="86" t="n"/>
      <c r="R78" s="86" t="n"/>
      <c r="S78" s="86" t="n">
        <v>4</v>
      </c>
      <c r="T78" s="86" t="n">
        <v>2900000</v>
      </c>
      <c r="U78" s="86" t="n"/>
      <c r="V78" s="86" t="n">
        <v>819000</v>
      </c>
      <c r="W78" s="86" t="n"/>
      <c r="X78" s="8" t="n"/>
      <c r="Y78" s="8" t="n"/>
      <c r="Z78" s="8" t="n"/>
      <c r="AA78" s="86" t="n">
        <v>314528</v>
      </c>
      <c r="AB78" s="87">
        <f>IFERROR(AA78/AF78,"")</f>
        <v/>
      </c>
      <c r="AC78" s="86" t="n">
        <v>1849591</v>
      </c>
      <c r="AD78" s="86" t="n">
        <v>1850000</v>
      </c>
      <c r="AE78" s="86" t="n">
        <v>560000</v>
      </c>
      <c r="AF78" s="86" t="n">
        <v>4350000</v>
      </c>
      <c r="AG78" s="86" t="n">
        <v>567000</v>
      </c>
      <c r="AH78" s="86" t="n">
        <v>155000</v>
      </c>
      <c r="AI78" s="86" t="n"/>
      <c r="AJ78" s="86" t="n"/>
      <c r="AK78" s="86" t="n"/>
      <c r="AL78" s="86" t="n"/>
      <c r="AM78" s="86" t="n"/>
      <c r="AN78" s="86" t="n"/>
      <c r="AO78" s="11">
        <f>IFERROR(AC78/E78,"")</f>
        <v/>
      </c>
      <c r="AP78" s="11">
        <f>IFERROR(AD78/E78,"")</f>
        <v/>
      </c>
      <c r="AQ78" s="11">
        <f>IFERROR(AG78/E78,"")</f>
        <v/>
      </c>
      <c r="AR78" s="87">
        <f>IFERROR(AG78/AF78,"")</f>
        <v/>
      </c>
      <c r="AS78" s="87">
        <f>IFERROR(AH78/AF78,"")</f>
        <v/>
      </c>
      <c r="AT78" s="87">
        <f>IFERROR(AI78/AH78,"")</f>
        <v/>
      </c>
      <c r="AU78" s="87">
        <f>IFERROR(AN78/AH78,"")</f>
        <v/>
      </c>
      <c r="AV78" s="88" t="n">
        <v>13734</v>
      </c>
      <c r="AW78" s="89" t="n">
        <v>0.5653</v>
      </c>
      <c r="AX78" s="89" t="n">
        <v>0.4347</v>
      </c>
      <c r="AY78" s="8" t="n"/>
      <c r="AZ78" s="8" t="n"/>
      <c r="BA78" s="8" t="n"/>
      <c r="BB78" s="8" t="n"/>
      <c r="BC78" s="90">
        <f>IFERROR(AG78/AC78,"")</f>
        <v/>
      </c>
      <c r="BD78" s="90">
        <f>IFERROR(AG78/(AC78+AA78),"")</f>
        <v/>
      </c>
      <c r="BE78" s="91" t="n">
        <v>0.208</v>
      </c>
      <c r="BF78" s="40" t="inlineStr">
        <is>
          <t>Oil extraction rate 20.8%; Kernel extraction rate 5.7%. Avg CPO FOB Belawan US$901/t x avg FX Rp15,243/US$ = ~Rp13,734/kg implied.</t>
        </is>
      </c>
      <c r="BG78" t="n">
        <v>2023</v>
      </c>
    </row>
    <row r="79" ht="15" customHeight="1" s="67">
      <c r="A79" s="8" t="inlineStr">
        <is>
          <t>PT Sinar Mas Agro Resources and Technology Tbk</t>
        </is>
      </c>
      <c r="B79" s="86" t="n">
        <v>136587</v>
      </c>
      <c r="C79" s="86" t="n">
        <v>105172</v>
      </c>
      <c r="D79" s="86" t="n">
        <v>31415</v>
      </c>
      <c r="E79" s="86" t="n">
        <v>123260</v>
      </c>
      <c r="F79" s="86" t="n">
        <v>13227</v>
      </c>
      <c r="G79" s="86" t="n">
        <v>71581</v>
      </c>
      <c r="H79" s="86" t="n">
        <v>41665</v>
      </c>
      <c r="I79" s="86" t="n"/>
      <c r="J79" s="86" t="n">
        <v>7900</v>
      </c>
      <c r="K79" s="86" t="n">
        <v>62830</v>
      </c>
      <c r="L79" s="86" t="n">
        <v>73757</v>
      </c>
      <c r="M79" s="86" t="n"/>
      <c r="N79" s="86" t="n"/>
      <c r="O79" s="86" t="n">
        <v>16</v>
      </c>
      <c r="P79" s="86" t="n"/>
      <c r="Q79" s="86" t="n">
        <v>4</v>
      </c>
      <c r="R79" s="86" t="n"/>
      <c r="S79" s="86" t="n">
        <v>4</v>
      </c>
      <c r="T79" s="86" t="n">
        <v>2880000</v>
      </c>
      <c r="U79" s="86" t="n"/>
      <c r="V79" s="86" t="n">
        <v>879000</v>
      </c>
      <c r="W79" s="86" t="n"/>
      <c r="X79" s="8" t="n"/>
      <c r="Y79" s="8" t="n"/>
      <c r="Z79" s="8" t="n"/>
      <c r="AA79" s="86" t="n"/>
      <c r="AB79" s="87">
        <f>IFERROR(AA79/AF79,"")</f>
        <v/>
      </c>
      <c r="AC79" s="86" t="n">
        <v>1741349</v>
      </c>
      <c r="AD79" s="86" t="n">
        <v>1741000</v>
      </c>
      <c r="AE79" s="86" t="n">
        <v>501000</v>
      </c>
      <c r="AF79" s="86" t="n">
        <v>4350000</v>
      </c>
      <c r="AG79" s="86" t="n">
        <v>532000</v>
      </c>
      <c r="AH79" s="86" t="n">
        <v>145000</v>
      </c>
      <c r="AI79" s="86" t="n"/>
      <c r="AJ79" s="86" t="n"/>
      <c r="AK79" s="86" t="n"/>
      <c r="AL79" s="86" t="n"/>
      <c r="AM79" s="86" t="n"/>
      <c r="AN79" s="86" t="n"/>
      <c r="AO79" s="11">
        <f>IFERROR(AC79/E79,"")</f>
        <v/>
      </c>
      <c r="AP79" s="11">
        <f>IFERROR(AD79/E79,"")</f>
        <v/>
      </c>
      <c r="AQ79" s="11">
        <f>IFERROR(AG79/E79,"")</f>
        <v/>
      </c>
      <c r="AR79" s="87">
        <f>IFERROR(AG79/AF79,"")</f>
        <v/>
      </c>
      <c r="AS79" s="87">
        <f>IFERROR(AH79/AF79,"")</f>
        <v/>
      </c>
      <c r="AT79" s="87">
        <f>IFERROR(AI79/AH79,"")</f>
        <v/>
      </c>
      <c r="AU79" s="87">
        <f>IFERROR(AN79/AH79,"")</f>
        <v/>
      </c>
      <c r="AV79" s="88" t="n">
        <v>15906</v>
      </c>
      <c r="AW79" s="89" t="n">
        <v>0.58</v>
      </c>
      <c r="AX79" s="89" t="n">
        <v>0.42</v>
      </c>
      <c r="AY79" s="8" t="n"/>
      <c r="AZ79" s="8" t="n"/>
      <c r="BA79" s="8" t="n"/>
      <c r="BB79" s="8" t="n"/>
      <c r="BC79" s="90">
        <f>IFERROR(AG79/AC79,"")</f>
        <v/>
      </c>
      <c r="BD79" s="90">
        <f>IFERROR(AG79/(AC79+AA79),"")</f>
        <v/>
      </c>
      <c r="BE79" s="91" t="n">
        <v>0.203</v>
      </c>
      <c r="BF79" s="40" t="inlineStr">
        <is>
          <t>Oil extraction rate 20.3%; Kernel extraction rate 5.5%. Avg CPO FOB Belawan US$1,005/t x avg FX Rp15,827/US$ = ~Rp15,906/kg implied.</t>
        </is>
      </c>
      <c r="BG79" t="n">
        <v>2024</v>
      </c>
    </row>
    <row r="80" ht="15" customHeight="1" s="67">
      <c r="A80" s="8" t="inlineStr">
        <is>
          <t>PT Sawit Sumbermas Sarana Tbk</t>
        </is>
      </c>
      <c r="B80" s="86" t="n">
        <v>82465.72</v>
      </c>
      <c r="C80" s="86" t="n">
        <v>69167.06</v>
      </c>
      <c r="D80" s="86" t="n">
        <v>13238.67</v>
      </c>
      <c r="E80" s="86" t="n">
        <v>81405</v>
      </c>
      <c r="F80" s="86" t="n">
        <v>1060</v>
      </c>
      <c r="G80" s="86" t="n"/>
      <c r="H80" s="86" t="n"/>
      <c r="I80" s="86" t="n"/>
      <c r="J80" s="86" t="n"/>
      <c r="K80" s="86" t="n">
        <v>0</v>
      </c>
      <c r="L80" s="86" t="n">
        <v>115880</v>
      </c>
      <c r="M80" s="86" t="n">
        <v>0</v>
      </c>
      <c r="N80" s="86" t="n">
        <v>0</v>
      </c>
      <c r="O80" s="86" t="n">
        <v>8</v>
      </c>
      <c r="P80" s="86" t="n">
        <v>540</v>
      </c>
      <c r="Q80" s="86" t="n">
        <v>1</v>
      </c>
      <c r="R80" s="86" t="n">
        <v>25</v>
      </c>
      <c r="S80" s="86" t="n">
        <v>1</v>
      </c>
      <c r="T80" s="86" t="n">
        <v>850000</v>
      </c>
      <c r="U80" s="86" t="n">
        <v>0</v>
      </c>
      <c r="V80" s="86" t="n"/>
      <c r="W80" s="86" t="n">
        <v>0</v>
      </c>
      <c r="X80" s="8" t="n"/>
      <c r="Y80" s="8" t="n"/>
      <c r="Z80" s="8" t="n"/>
      <c r="AA80" s="86" t="n">
        <v>571063</v>
      </c>
      <c r="AB80" s="87">
        <f>IFERROR(AA80/AF80,"")</f>
        <v/>
      </c>
      <c r="AC80" s="86" t="n">
        <v>1723170</v>
      </c>
      <c r="AD80" s="86" t="n">
        <v>1723170</v>
      </c>
      <c r="AE80" s="86" t="n">
        <v>94226</v>
      </c>
      <c r="AF80" s="86" t="n">
        <v>2345131</v>
      </c>
      <c r="AG80" s="86" t="n">
        <v>518819</v>
      </c>
      <c r="AH80" s="86" t="n">
        <v>99082</v>
      </c>
      <c r="AI80" s="86" t="n">
        <v>22327</v>
      </c>
      <c r="AJ80" s="86" t="n">
        <v>746544</v>
      </c>
      <c r="AK80" s="86" t="n">
        <v>584864</v>
      </c>
      <c r="AL80" s="86" t="n">
        <v>137360</v>
      </c>
      <c r="AM80" s="86" t="n">
        <v>29323</v>
      </c>
      <c r="AN80" s="86" t="n">
        <v>34448</v>
      </c>
      <c r="AO80" s="11">
        <f>IFERROR(AC80/E80,"")</f>
        <v/>
      </c>
      <c r="AP80" s="11">
        <f>IFERROR(AD80/E80,"")</f>
        <v/>
      </c>
      <c r="AQ80" s="11">
        <f>IFERROR(AG80/E80,"")</f>
        <v/>
      </c>
      <c r="AR80" s="87">
        <f>IFERROR(AG80/AF80,"")</f>
        <v/>
      </c>
      <c r="AS80" s="87">
        <f>IFERROR(AH80/AF80,"")</f>
        <v/>
      </c>
      <c r="AT80" s="87">
        <f>IFERROR(AI80/AH80,"")</f>
        <v/>
      </c>
      <c r="AU80" s="87">
        <f>IFERROR(AN80/AH80,"")</f>
        <v/>
      </c>
      <c r="AV80" s="88" t="n"/>
      <c r="AW80" s="89" t="n"/>
      <c r="AX80" s="89" t="n"/>
      <c r="AY80" s="8" t="n"/>
      <c r="AZ80" s="8" t="n"/>
      <c r="BA80" s="8" t="n"/>
      <c r="BB80" s="8" t="n"/>
      <c r="BC80" s="90">
        <f>IFERROR(AG80/AC80,"")</f>
        <v/>
      </c>
      <c r="BD80" s="90">
        <f>IFERROR(AG80/(AC80+AA80),"")</f>
        <v/>
      </c>
      <c r="BE80" s="91" t="n">
        <v>0.221</v>
      </c>
      <c r="BF80" s="40" t="inlineStr">
        <is>
          <t>Reported OER 22.1% for 2023 (per 2024 AR MDA comparison). Refinery utilization 91.77% (very high vs 47.48% in 2024). Fractionation 84.95%; KCP 35.81%. 2023 was peak downstream year pre-demand softening.</t>
        </is>
      </c>
      <c r="BG80" t="n">
        <v>2023</v>
      </c>
    </row>
    <row r="81" ht="15" customHeight="1" s="67">
      <c r="A81" s="8" t="inlineStr">
        <is>
          <t>PT Sawit Sumbermas Sarana Tbk</t>
        </is>
      </c>
      <c r="B81" s="86" t="n">
        <v>115571</v>
      </c>
      <c r="C81" s="86" t="n">
        <v>93224</v>
      </c>
      <c r="D81" s="86" t="n">
        <v>22347</v>
      </c>
      <c r="E81" s="86" t="n">
        <v>81604</v>
      </c>
      <c r="F81" s="86" t="n">
        <v>925</v>
      </c>
      <c r="G81" s="86" t="n"/>
      <c r="H81" s="86" t="n"/>
      <c r="I81" s="86" t="n"/>
      <c r="J81" s="86" t="n"/>
      <c r="K81" s="86" t="n">
        <v>0</v>
      </c>
      <c r="L81" s="86" t="n">
        <v>115571</v>
      </c>
      <c r="M81" s="86" t="n">
        <v>0</v>
      </c>
      <c r="N81" s="86" t="n">
        <v>0</v>
      </c>
      <c r="O81" s="86" t="n">
        <v>8</v>
      </c>
      <c r="P81" s="86" t="n">
        <v>540</v>
      </c>
      <c r="Q81" s="86" t="n">
        <v>2</v>
      </c>
      <c r="R81" s="86" t="n">
        <v>25</v>
      </c>
      <c r="S81" s="86" t="n">
        <v>1</v>
      </c>
      <c r="T81" s="86" t="n">
        <v>850000</v>
      </c>
      <c r="U81" s="86" t="n">
        <v>0</v>
      </c>
      <c r="V81" s="86" t="n"/>
      <c r="W81" s="86" t="n">
        <v>0</v>
      </c>
      <c r="X81" s="8" t="n"/>
      <c r="Y81" s="8" t="n"/>
      <c r="Z81" s="8" t="n"/>
      <c r="AA81" s="86" t="n">
        <v>488647</v>
      </c>
      <c r="AB81" s="87">
        <f>IFERROR(AA81/AF81,"")</f>
        <v/>
      </c>
      <c r="AC81" s="86" t="n">
        <v>1562446</v>
      </c>
      <c r="AD81" s="86" t="n">
        <v>1562446</v>
      </c>
      <c r="AE81" s="86" t="n">
        <v>134421</v>
      </c>
      <c r="AF81" s="86" t="n">
        <v>2118160</v>
      </c>
      <c r="AG81" s="86" t="n">
        <v>461414</v>
      </c>
      <c r="AH81" s="86" t="n">
        <v>89833</v>
      </c>
      <c r="AI81" s="86" t="n">
        <v>20388</v>
      </c>
      <c r="AJ81" s="86" t="n">
        <v>387457</v>
      </c>
      <c r="AK81" s="86" t="n">
        <v>296405</v>
      </c>
      <c r="AL81" s="86" t="n">
        <v>67660</v>
      </c>
      <c r="AM81" s="86" t="n">
        <v>15064</v>
      </c>
      <c r="AN81" s="86" t="n">
        <v>28086</v>
      </c>
      <c r="AO81" s="11">
        <f>IFERROR(AC81/E81,"")</f>
        <v/>
      </c>
      <c r="AP81" s="11">
        <f>IFERROR(AD81/E81,"")</f>
        <v/>
      </c>
      <c r="AQ81" s="11">
        <f>IFERROR(AG81/E81,"")</f>
        <v/>
      </c>
      <c r="AR81" s="87">
        <f>IFERROR(AG81/AF81,"")</f>
        <v/>
      </c>
      <c r="AS81" s="87">
        <f>IFERROR(AH81/AF81,"")</f>
        <v/>
      </c>
      <c r="AT81" s="87">
        <f>IFERROR(AI81/AH81,"")</f>
        <v/>
      </c>
      <c r="AU81" s="87">
        <f>IFERROR(AN81/AH81,"")</f>
        <v/>
      </c>
      <c r="AV81" s="88" t="n"/>
      <c r="AW81" s="89" t="n"/>
      <c r="AX81" s="89" t="n"/>
      <c r="AY81" s="8" t="n"/>
      <c r="AZ81" s="8" t="n"/>
      <c r="BA81" s="8" t="n"/>
      <c r="BB81" s="8" t="n"/>
      <c r="BC81" s="90">
        <f>IFERROR(AG81/AC81,"")</f>
        <v/>
      </c>
      <c r="BD81" s="90">
        <f>IFERROR(AG81/(AC81+AA81),"")</f>
        <v/>
      </c>
      <c r="BE81" s="91" t="n">
        <v>0.218</v>
      </c>
      <c r="BF81" s="40" t="inlineStr">
        <is>
          <t>Reported OER 21.8% (p.108 MDA: 'Oil Extraction Rate (OER) tahun 2024 tercatat sebesar 21,8%'). Refinery yield RBDPO 95.82%, PFAD 3.62%; Fractionation yield Olein 81.42%, Stearin 18.58%. Refinery utilization 47.48%, fractionation 42.71%, KCP 25.51%.</t>
        </is>
      </c>
      <c r="BG81" t="n">
        <v>2024</v>
      </c>
    </row>
    <row r="82" ht="15" customHeight="1" s="67">
      <c r="A82" s="8" t="inlineStr">
        <is>
          <t>PT Sawit Sumbermas Sarana Tbk</t>
        </is>
      </c>
      <c r="B82" s="86" t="n">
        <v>136447</v>
      </c>
      <c r="C82" s="86" t="n">
        <v>77314</v>
      </c>
      <c r="D82" s="86" t="n">
        <v>17500</v>
      </c>
      <c r="E82" s="86" t="n">
        <v>93726</v>
      </c>
      <c r="F82" s="86" t="n">
        <v>1221</v>
      </c>
      <c r="G82" s="86" t="n"/>
      <c r="H82" s="86" t="n"/>
      <c r="I82" s="86" t="n"/>
      <c r="J82" s="86" t="n"/>
      <c r="K82" s="86" t="n">
        <v>0</v>
      </c>
      <c r="L82" s="86" t="n">
        <v>136447</v>
      </c>
      <c r="M82" s="86" t="n">
        <v>0</v>
      </c>
      <c r="N82" s="86" t="n">
        <v>0</v>
      </c>
      <c r="O82" s="86" t="n">
        <v>10</v>
      </c>
      <c r="P82" s="86" t="n">
        <v>675</v>
      </c>
      <c r="Q82" s="86" t="n">
        <v>1</v>
      </c>
      <c r="R82" s="86" t="n">
        <v>25</v>
      </c>
      <c r="S82" s="86" t="n">
        <v>1</v>
      </c>
      <c r="T82" s="86" t="n">
        <v>850000</v>
      </c>
      <c r="U82" s="86" t="n">
        <v>0</v>
      </c>
      <c r="V82" s="86" t="n"/>
      <c r="W82" s="86" t="n">
        <v>0</v>
      </c>
      <c r="X82" s="8" t="n"/>
      <c r="Y82" s="8" t="n"/>
      <c r="Z82" s="8" t="n"/>
      <c r="AA82" s="86" t="n">
        <v>596153</v>
      </c>
      <c r="AB82" s="87">
        <f>IFERROR(AA82/AF82,"")</f>
        <v/>
      </c>
      <c r="AC82" s="86" t="n">
        <v>1628452</v>
      </c>
      <c r="AD82" s="86" t="n">
        <v>1628452</v>
      </c>
      <c r="AE82" s="86" t="n">
        <v>178559</v>
      </c>
      <c r="AF82" s="86" t="n">
        <v>2382942</v>
      </c>
      <c r="AG82" s="86" t="n">
        <v>527052</v>
      </c>
      <c r="AH82" s="86" t="n">
        <v>104130</v>
      </c>
      <c r="AI82" s="86" t="n">
        <v>15379</v>
      </c>
      <c r="AJ82" s="86" t="n">
        <v>569213</v>
      </c>
      <c r="AK82" s="86" t="n">
        <v>467934</v>
      </c>
      <c r="AL82" s="86" t="n">
        <v>101221</v>
      </c>
      <c r="AM82" s="86" t="n">
        <v>21913</v>
      </c>
      <c r="AN82" s="86" t="n">
        <v>37506</v>
      </c>
      <c r="AO82" s="11">
        <f>IFERROR(AC82/E82,"")</f>
        <v/>
      </c>
      <c r="AP82" s="11">
        <f>IFERROR(AD82/E82,"")</f>
        <v/>
      </c>
      <c r="AQ82" s="11">
        <f>IFERROR(AG82/E82,"")</f>
        <v/>
      </c>
      <c r="AR82" s="87">
        <f>IFERROR(AG82/AF82,"")</f>
        <v/>
      </c>
      <c r="AS82" s="87">
        <f>IFERROR(AH82/AF82,"")</f>
        <v/>
      </c>
      <c r="AT82" s="87">
        <f>IFERROR(AI82/AH82,"")</f>
        <v/>
      </c>
      <c r="AU82" s="87">
        <f>IFERROR(AN82/AH82,"")</f>
        <v/>
      </c>
      <c r="AV82" s="88" t="n"/>
      <c r="AW82" s="89" t="n">
        <v>0.2583</v>
      </c>
      <c r="AX82" s="89" t="n">
        <v>0.7417</v>
      </c>
      <c r="AY82" s="8" t="n"/>
      <c r="AZ82" s="8" t="n"/>
      <c r="BA82" s="8" t="n"/>
      <c r="BB82" s="8" t="n"/>
      <c r="BC82" s="90">
        <f>IFERROR(AG82/AC82,"")</f>
        <v/>
      </c>
      <c r="BD82" s="90">
        <f>IFERROR(AG82/(AC82+AA82),"")</f>
        <v/>
      </c>
      <c r="BE82" s="91" t="n">
        <v>0.2212</v>
      </c>
      <c r="BF82" s="40" t="inlineStr">
        <is>
          <t>Reported OER 22.12% (p.131: 'Oil Extraction Rate (OER) of 22.12%'). Refinery utilization 71.02% (recovery from 47.62% in 2024). Fractionation 66.97%; KCP 50.66%. Refinery yield RBDPO 95.90%, PFAD 3.63%; Fractionation yield Olein 82.21%, Stearin 17.78%.</t>
        </is>
      </c>
      <c r="BG82" t="n">
        <v>2025</v>
      </c>
    </row>
    <row r="83" ht="15" customHeight="1" s="67">
      <c r="A83" s="8" t="inlineStr">
        <is>
          <t>PT Triputra Agro Persada Tbk</t>
        </is>
      </c>
      <c r="B83" s="86" t="n">
        <v>160500</v>
      </c>
      <c r="C83" s="86" t="n">
        <v>136400</v>
      </c>
      <c r="D83" s="86" t="n">
        <v>24100</v>
      </c>
      <c r="E83" s="86" t="n">
        <v>129221</v>
      </c>
      <c r="F83" s="86" t="n">
        <v>7164</v>
      </c>
      <c r="G83" s="86" t="n">
        <v>3880</v>
      </c>
      <c r="H83" s="86" t="n">
        <v>7155</v>
      </c>
      <c r="I83" s="86" t="n"/>
      <c r="J83" s="86" t="n"/>
      <c r="K83" s="86" t="n">
        <v>5515</v>
      </c>
      <c r="L83" s="86" t="n">
        <v>130870</v>
      </c>
      <c r="M83" s="86" t="n"/>
      <c r="N83" s="86" t="n"/>
      <c r="O83" s="86" t="n">
        <v>18</v>
      </c>
      <c r="P83" s="86" t="n">
        <v>995</v>
      </c>
      <c r="Q83" s="86" t="n">
        <v>1</v>
      </c>
      <c r="R83" s="86" t="n"/>
      <c r="S83" s="86" t="n">
        <v>0</v>
      </c>
      <c r="T83" s="86" t="n"/>
      <c r="U83" s="86" t="n">
        <v>0</v>
      </c>
      <c r="V83" s="86" t="n"/>
      <c r="W83" s="86" t="n"/>
      <c r="X83" s="8" t="n"/>
      <c r="Y83" s="8" t="n"/>
      <c r="Z83" s="8" t="n"/>
      <c r="AA83" s="86" t="n">
        <v>820000</v>
      </c>
      <c r="AB83" s="87">
        <f>IFERROR(AA83/AF83,"")</f>
        <v/>
      </c>
      <c r="AC83" s="86" t="n">
        <v>3050000</v>
      </c>
      <c r="AD83" s="86" t="n">
        <v>3050000</v>
      </c>
      <c r="AE83" s="86" t="n">
        <v>348000</v>
      </c>
      <c r="AF83" s="86" t="n">
        <v>4203000</v>
      </c>
      <c r="AG83" s="86" t="n">
        <v>978000</v>
      </c>
      <c r="AH83" s="86" t="n">
        <v>208000</v>
      </c>
      <c r="AI83" s="86" t="n">
        <v>6500</v>
      </c>
      <c r="AJ83" s="86" t="n"/>
      <c r="AK83" s="86" t="n"/>
      <c r="AL83" s="86" t="n"/>
      <c r="AM83" s="86" t="n"/>
      <c r="AN83" s="86" t="n"/>
      <c r="AO83" s="11">
        <f>IFERROR(AC83/E83,"")</f>
        <v/>
      </c>
      <c r="AP83" s="11">
        <f>IFERROR(AD83/E83,"")</f>
        <v/>
      </c>
      <c r="AQ83" s="11">
        <f>IFERROR(AG83/E83,"")</f>
        <v/>
      </c>
      <c r="AR83" s="87">
        <f>IFERROR(AG83/AF83,"")</f>
        <v/>
      </c>
      <c r="AS83" s="87">
        <f>IFERROR(AH83/AF83,"")</f>
        <v/>
      </c>
      <c r="AT83" s="87">
        <f>IFERROR(AI83/AH83,"")</f>
        <v/>
      </c>
      <c r="AU83" s="87">
        <f>IFERROR(AN83/AH83,"")</f>
        <v/>
      </c>
      <c r="AV83" s="88" t="n">
        <v>11115</v>
      </c>
      <c r="AW83" s="89" t="n"/>
      <c r="AX83" s="89" t="n"/>
      <c r="AY83" s="8" t="n"/>
      <c r="AZ83" s="8" t="n"/>
      <c r="BA83" s="8" t="n"/>
      <c r="BB83" s="8" t="n"/>
      <c r="BC83" s="90">
        <f>IFERROR(AG83/AC83,"")</f>
        <v/>
      </c>
      <c r="BD83" s="90">
        <f>IFERROR(AG83/(AC83+AA83),"")</f>
        <v/>
      </c>
      <c r="BE83" s="91" t="n">
        <v>0.233</v>
      </c>
      <c r="BF83" s="40" t="inlineStr">
        <is>
          <t>Rendemen CPO 23.3% (incl associates). Rendemen PK (KER) 4.9%.</t>
        </is>
      </c>
      <c r="BG83" t="n">
        <v>2023</v>
      </c>
    </row>
    <row r="84" ht="15" customHeight="1" s="67">
      <c r="A84" s="8" t="inlineStr">
        <is>
          <t>PT Triputra Agro Persada Tbk</t>
        </is>
      </c>
      <c r="B84" s="86" t="n">
        <v>160800</v>
      </c>
      <c r="C84" s="86" t="n">
        <v>135600</v>
      </c>
      <c r="D84" s="86" t="n">
        <v>25200</v>
      </c>
      <c r="E84" s="86" t="n">
        <v>128178</v>
      </c>
      <c r="F84" s="86" t="n">
        <v>7416</v>
      </c>
      <c r="G84" s="86" t="n">
        <v>4375</v>
      </c>
      <c r="H84" s="86" t="n">
        <v>6796</v>
      </c>
      <c r="I84" s="86" t="n"/>
      <c r="J84" s="86" t="n"/>
      <c r="K84" s="86" t="n">
        <v>5578</v>
      </c>
      <c r="L84" s="86" t="n">
        <v>130016</v>
      </c>
      <c r="M84" s="86" t="n"/>
      <c r="N84" s="86" t="n"/>
      <c r="O84" s="86" t="n">
        <v>18</v>
      </c>
      <c r="P84" s="86" t="n">
        <v>995</v>
      </c>
      <c r="Q84" s="86" t="n">
        <v>1</v>
      </c>
      <c r="R84" s="86" t="n"/>
      <c r="S84" s="86" t="n">
        <v>0</v>
      </c>
      <c r="T84" s="86" t="n"/>
      <c r="U84" s="86" t="n">
        <v>0</v>
      </c>
      <c r="V84" s="86" t="n"/>
      <c r="W84" s="86" t="n"/>
      <c r="X84" s="8" t="n"/>
      <c r="Y84" s="8" t="n"/>
      <c r="Z84" s="8" t="n"/>
      <c r="AA84" s="86" t="n">
        <v>679000</v>
      </c>
      <c r="AB84" s="87">
        <f>IFERROR(AA84/AF84,"")</f>
        <v/>
      </c>
      <c r="AC84" s="86" t="n">
        <v>2946000</v>
      </c>
      <c r="AD84" s="86" t="n">
        <v>2946000</v>
      </c>
      <c r="AE84" s="86" t="n">
        <v>330000</v>
      </c>
      <c r="AF84" s="86" t="n">
        <v>3962000</v>
      </c>
      <c r="AG84" s="86" t="n">
        <v>916000</v>
      </c>
      <c r="AH84" s="86" t="n">
        <v>193000</v>
      </c>
      <c r="AI84" s="86" t="n">
        <v>20300</v>
      </c>
      <c r="AJ84" s="86" t="n"/>
      <c r="AK84" s="86" t="n"/>
      <c r="AL84" s="86" t="n"/>
      <c r="AM84" s="86" t="n"/>
      <c r="AN84" s="86" t="n"/>
      <c r="AO84" s="11">
        <f>IFERROR(AC84/E84,"")</f>
        <v/>
      </c>
      <c r="AP84" s="11">
        <f>IFERROR(AD84/E84,"")</f>
        <v/>
      </c>
      <c r="AQ84" s="11">
        <f>IFERROR(AG84/E84,"")</f>
        <v/>
      </c>
      <c r="AR84" s="87">
        <f>IFERROR(AG84/AF84,"")</f>
        <v/>
      </c>
      <c r="AS84" s="87">
        <f>IFERROR(AH84/AF84,"")</f>
        <v/>
      </c>
      <c r="AT84" s="87">
        <f>IFERROR(AI84/AH84,"")</f>
        <v/>
      </c>
      <c r="AU84" s="87">
        <f>IFERROR(AN84/AH84,"")</f>
        <v/>
      </c>
      <c r="AV84" s="88" t="n">
        <v>13156</v>
      </c>
      <c r="AW84" s="89" t="n"/>
      <c r="AX84" s="89" t="n"/>
      <c r="AY84" s="8" t="n"/>
      <c r="AZ84" s="8" t="n"/>
      <c r="BA84" s="8" t="n"/>
      <c r="BB84" s="8" t="n"/>
      <c r="BC84" s="90">
        <f>IFERROR(AG84/AC84,"")</f>
        <v/>
      </c>
      <c r="BD84" s="90">
        <f>IFERROR(AG84/(AC84+AA84),"")</f>
        <v/>
      </c>
      <c r="BE84" s="91" t="n">
        <v>0.231</v>
      </c>
      <c r="BF84" s="40" t="inlineStr">
        <is>
          <t>Rendemen CPO 23.1% (incl associates). Rendemen PK (KER) 4.9%.</t>
        </is>
      </c>
      <c r="BG84" t="n">
        <v>2024</v>
      </c>
    </row>
    <row r="85" ht="15" customHeight="1" s="67">
      <c r="A85" s="8" t="inlineStr">
        <is>
          <t>PT Triputra Agro Persada Tbk</t>
        </is>
      </c>
      <c r="B85" s="86" t="n">
        <v>159700</v>
      </c>
      <c r="C85" s="86" t="n">
        <v>132800</v>
      </c>
      <c r="D85" s="86" t="n">
        <v>26900</v>
      </c>
      <c r="E85" s="86" t="n">
        <v>125201</v>
      </c>
      <c r="F85" s="86" t="n">
        <v>7613</v>
      </c>
      <c r="G85" s="86" t="n">
        <v>4853</v>
      </c>
      <c r="H85" s="86" t="n">
        <v>4544</v>
      </c>
      <c r="I85" s="86" t="n"/>
      <c r="J85" s="86" t="n"/>
      <c r="K85" s="86" t="n">
        <v>5376</v>
      </c>
      <c r="L85" s="86" t="n">
        <v>127438</v>
      </c>
      <c r="M85" s="86" t="n"/>
      <c r="N85" s="86" t="n"/>
      <c r="O85" s="86" t="n">
        <v>18</v>
      </c>
      <c r="P85" s="86" t="n">
        <v>995</v>
      </c>
      <c r="Q85" s="86" t="n">
        <v>1</v>
      </c>
      <c r="R85" s="86" t="n"/>
      <c r="S85" s="86" t="n">
        <v>0</v>
      </c>
      <c r="T85" s="86" t="n"/>
      <c r="U85" s="86" t="n">
        <v>0</v>
      </c>
      <c r="V85" s="86" t="n"/>
      <c r="W85" s="86" t="n"/>
      <c r="X85" s="8" t="n"/>
      <c r="Y85" s="8" t="n"/>
      <c r="Z85" s="8" t="n"/>
      <c r="AA85" s="86" t="n">
        <v>659000</v>
      </c>
      <c r="AB85" s="87">
        <f>IFERROR(AA85/AF85,"")</f>
        <v/>
      </c>
      <c r="AC85" s="86" t="n">
        <v>3040000</v>
      </c>
      <c r="AD85" s="86" t="n">
        <v>3040000</v>
      </c>
      <c r="AE85" s="86" t="n">
        <v>384000</v>
      </c>
      <c r="AF85" s="86" t="n">
        <v>4089000</v>
      </c>
      <c r="AG85" s="86" t="n">
        <v>953000</v>
      </c>
      <c r="AH85" s="86" t="n">
        <v>202000</v>
      </c>
      <c r="AI85" s="86" t="n">
        <v>22100</v>
      </c>
      <c r="AJ85" s="86" t="n"/>
      <c r="AK85" s="86" t="n"/>
      <c r="AL85" s="86" t="n"/>
      <c r="AM85" s="86" t="n"/>
      <c r="AN85" s="86" t="n"/>
      <c r="AO85" s="11">
        <f>IFERROR(AC85/E85,"")</f>
        <v/>
      </c>
      <c r="AP85" s="11">
        <f>IFERROR(AD85/E85,"")</f>
        <v/>
      </c>
      <c r="AQ85" s="11">
        <f>IFERROR(AG85/E85,"")</f>
        <v/>
      </c>
      <c r="AR85" s="87">
        <f>IFERROR(AG85/AF85,"")</f>
        <v/>
      </c>
      <c r="AS85" s="87">
        <f>IFERROR(AH85/AF85,"")</f>
        <v/>
      </c>
      <c r="AT85" s="87">
        <f>IFERROR(AI85/AH85,"")</f>
        <v/>
      </c>
      <c r="AU85" s="87">
        <f>IFERROR(AN85/AH85,"")</f>
        <v/>
      </c>
      <c r="AV85" s="88" t="n">
        <v>14220</v>
      </c>
      <c r="AW85" s="89" t="n"/>
      <c r="AX85" s="89" t="n"/>
      <c r="AY85" s="8" t="n"/>
      <c r="AZ85" s="8" t="n"/>
      <c r="BA85" s="8" t="n"/>
      <c r="BB85" s="8" t="n"/>
      <c r="BC85" s="90">
        <f>IFERROR(AG85/AC85,"")</f>
        <v/>
      </c>
      <c r="BD85" s="90">
        <f>IFERROR(AG85/(AC85+AA85),"")</f>
        <v/>
      </c>
      <c r="BE85" s="91" t="n">
        <v>0.233</v>
      </c>
      <c r="BF85" s="40" t="inlineStr">
        <is>
          <t>Rendemen CPO 23.3% (incl associates). Rendemen PK (KER) 4.9%.</t>
        </is>
      </c>
      <c r="BG85" t="n">
        <v>2025</v>
      </c>
    </row>
    <row r="86" ht="15" customHeight="1" s="67">
      <c r="A86" s="8" t="inlineStr">
        <is>
          <t>PT Teladan Prima Agro Tbk</t>
        </is>
      </c>
      <c r="B86" s="86" t="n">
        <v>60497</v>
      </c>
      <c r="C86" s="86" t="n">
        <v>48524</v>
      </c>
      <c r="D86" s="86" t="n">
        <v>11973</v>
      </c>
      <c r="E86" s="86" t="n">
        <v>59937</v>
      </c>
      <c r="F86" s="86" t="n">
        <v>560</v>
      </c>
      <c r="G86" s="86" t="n"/>
      <c r="H86" s="86" t="n"/>
      <c r="I86" s="86" t="n">
        <v>14.5</v>
      </c>
      <c r="J86" s="86" t="n"/>
      <c r="K86" s="86" t="n"/>
      <c r="L86" s="86" t="n">
        <v>60497</v>
      </c>
      <c r="M86" s="86" t="n"/>
      <c r="N86" s="86" t="n"/>
      <c r="O86" s="86" t="n">
        <v>6</v>
      </c>
      <c r="P86" s="86" t="n">
        <v>335</v>
      </c>
      <c r="Q86" s="86" t="n">
        <v>0</v>
      </c>
      <c r="R86" s="86" t="n"/>
      <c r="S86" s="86" t="n">
        <v>0</v>
      </c>
      <c r="T86" s="86" t="n"/>
      <c r="U86" s="86" t="n"/>
      <c r="V86" s="86" t="n"/>
      <c r="W86" s="86" t="n"/>
      <c r="X86" s="8" t="n"/>
      <c r="Y86" s="8" t="n"/>
      <c r="Z86" s="8" t="n"/>
      <c r="AA86" s="86" t="n">
        <v>196484</v>
      </c>
      <c r="AB86" s="87">
        <f>IFERROR(AA86/AF86,"")</f>
        <v/>
      </c>
      <c r="AC86" s="86" t="n">
        <v>1068338</v>
      </c>
      <c r="AD86" s="86" t="n">
        <v>1068338</v>
      </c>
      <c r="AE86" s="86" t="n">
        <v>144730</v>
      </c>
      <c r="AF86" s="86" t="n">
        <v>1409552</v>
      </c>
      <c r="AG86" s="86" t="n">
        <v>327688</v>
      </c>
      <c r="AH86" s="86" t="n">
        <v>52207</v>
      </c>
      <c r="AI86" s="86" t="n"/>
      <c r="AJ86" s="86" t="n"/>
      <c r="AK86" s="86" t="n"/>
      <c r="AL86" s="86" t="n"/>
      <c r="AM86" s="86" t="n"/>
      <c r="AN86" s="86" t="n"/>
      <c r="AO86" s="11">
        <f>IFERROR(AC86/E86,"")</f>
        <v/>
      </c>
      <c r="AP86" s="11">
        <f>IFERROR(AD86/E86,"")</f>
        <v/>
      </c>
      <c r="AQ86" s="11">
        <f>IFERROR(AG86/E86,"")</f>
        <v/>
      </c>
      <c r="AR86" s="87">
        <f>IFERROR(AG86/AF86,"")</f>
        <v/>
      </c>
      <c r="AS86" s="87">
        <f>IFERROR(AH86/AF86,"")</f>
        <v/>
      </c>
      <c r="AT86" s="87">
        <f>IFERROR(AI86/AH86,"")</f>
        <v/>
      </c>
      <c r="AU86" s="87">
        <f>IFERROR(AN86/AH86,"")</f>
        <v/>
      </c>
      <c r="AV86" s="88" t="n">
        <v>10959</v>
      </c>
      <c r="AW86" s="89" t="n">
        <v>1</v>
      </c>
      <c r="AX86" s="89" t="n">
        <v>0</v>
      </c>
      <c r="AY86" s="8" t="n"/>
      <c r="AZ86" s="8" t="n"/>
      <c r="BA86" s="8" t="n"/>
      <c r="BB86" s="8" t="n"/>
      <c r="BC86" s="90">
        <f>IFERROR(AG86/AC86,"")</f>
        <v/>
      </c>
      <c r="BD86" s="90">
        <f>IFERROR(AG86/(AC86+AA86),"")</f>
        <v/>
      </c>
      <c r="BE86" s="91" t="n">
        <v>0.232</v>
      </c>
      <c r="BF86" s="40" t="inlineStr">
        <is>
          <t>Reported CPO Extraction Rate 23.2% (p.14 'Tingkat Ekstraksi Minyak Kelapa Sawit'); PK extraction 3.7%.</t>
        </is>
      </c>
      <c r="BG86" t="n">
        <v>2023</v>
      </c>
    </row>
    <row r="87" ht="15" customHeight="1" s="67">
      <c r="A87" s="8" t="inlineStr">
        <is>
          <t>PT Teladan Prima Agro Tbk</t>
        </is>
      </c>
      <c r="B87" s="86" t="n">
        <v>60515</v>
      </c>
      <c r="C87" s="86" t="n">
        <v>48542</v>
      </c>
      <c r="D87" s="86" t="n">
        <v>11973</v>
      </c>
      <c r="E87" s="86" t="n">
        <v>59165</v>
      </c>
      <c r="F87" s="86" t="n">
        <v>260</v>
      </c>
      <c r="G87" s="86" t="n"/>
      <c r="H87" s="86" t="n"/>
      <c r="I87" s="86" t="n">
        <v>15.5</v>
      </c>
      <c r="J87" s="86" t="n"/>
      <c r="K87" s="86" t="n"/>
      <c r="L87" s="86" t="n">
        <v>60515</v>
      </c>
      <c r="M87" s="86" t="n"/>
      <c r="N87" s="86" t="n"/>
      <c r="O87" s="86" t="n">
        <v>6</v>
      </c>
      <c r="P87" s="86" t="n">
        <v>335</v>
      </c>
      <c r="Q87" s="86" t="n">
        <v>1</v>
      </c>
      <c r="R87" s="86" t="n">
        <v>4.17</v>
      </c>
      <c r="S87" s="86" t="n">
        <v>0</v>
      </c>
      <c r="T87" s="86" t="n"/>
      <c r="U87" s="86" t="n"/>
      <c r="V87" s="86" t="n"/>
      <c r="W87" s="86" t="n"/>
      <c r="X87" s="8" t="n"/>
      <c r="Y87" s="8" t="n"/>
      <c r="Z87" s="8" t="n"/>
      <c r="AA87" s="86" t="n">
        <v>162383</v>
      </c>
      <c r="AB87" s="87">
        <f>IFERROR(AA87/AF87,"")</f>
        <v/>
      </c>
      <c r="AC87" s="86" t="n">
        <v>1071173</v>
      </c>
      <c r="AD87" s="86" t="n">
        <v>1071173</v>
      </c>
      <c r="AE87" s="86" t="n">
        <v>148121</v>
      </c>
      <c r="AF87" s="86" t="n">
        <v>1381677</v>
      </c>
      <c r="AG87" s="86" t="n">
        <v>324857</v>
      </c>
      <c r="AH87" s="86" t="n">
        <v>50787</v>
      </c>
      <c r="AI87" s="86" t="n">
        <v>5262</v>
      </c>
      <c r="AJ87" s="86" t="n"/>
      <c r="AK87" s="86" t="n"/>
      <c r="AL87" s="86" t="n"/>
      <c r="AM87" s="86" t="n"/>
      <c r="AN87" s="86" t="n">
        <v>6862</v>
      </c>
      <c r="AO87" s="11">
        <f>IFERROR(AC87/E87,"")</f>
        <v/>
      </c>
      <c r="AP87" s="11">
        <f>IFERROR(AD87/E87,"")</f>
        <v/>
      </c>
      <c r="AQ87" s="11">
        <f>IFERROR(AG87/E87,"")</f>
        <v/>
      </c>
      <c r="AR87" s="87">
        <f>IFERROR(AG87/AF87,"")</f>
        <v/>
      </c>
      <c r="AS87" s="87">
        <f>IFERROR(AH87/AF87,"")</f>
        <v/>
      </c>
      <c r="AT87" s="87">
        <f>IFERROR(AI87/AH87,"")</f>
        <v/>
      </c>
      <c r="AU87" s="87">
        <f>IFERROR(AN87/AH87,"")</f>
        <v/>
      </c>
      <c r="AV87" s="88" t="n">
        <v>12230</v>
      </c>
      <c r="AW87" s="89" t="n">
        <v>1</v>
      </c>
      <c r="AX87" s="89" t="n">
        <v>0</v>
      </c>
      <c r="AY87" s="8" t="n"/>
      <c r="AZ87" s="8" t="n"/>
      <c r="BA87" s="8" t="n"/>
      <c r="BB87" s="8" t="n"/>
      <c r="BC87" s="90">
        <f>IFERROR(AG87/AC87,"")</f>
        <v/>
      </c>
      <c r="BD87" s="90">
        <f>IFERROR(AG87/(AC87+AA87),"")</f>
        <v/>
      </c>
      <c r="BE87" s="91" t="n">
        <v>0.235</v>
      </c>
      <c r="BF87" s="40" t="inlineStr">
        <is>
          <t>Reported CPO Extraction Rate 23.5% (p.12 'Tingkat Ekstraksi Minyak Kelapa Sawit'); PK extraction 3.7%; new PKO extraction 40.0% from newly commissioned KCP.</t>
        </is>
      </c>
      <c r="BG87" t="n">
        <v>2024</v>
      </c>
    </row>
    <row r="88" ht="15" customHeight="1" s="67">
      <c r="A88" s="8" t="inlineStr">
        <is>
          <t>PT Teladan Prima Agro Tbk</t>
        </is>
      </c>
      <c r="B88" s="86" t="n">
        <v>64430</v>
      </c>
      <c r="C88" s="86" t="n">
        <v>51960</v>
      </c>
      <c r="D88" s="86" t="n">
        <v>12470</v>
      </c>
      <c r="E88" s="86" t="n">
        <v>63975</v>
      </c>
      <c r="F88" s="86" t="n">
        <v>455</v>
      </c>
      <c r="G88" s="86" t="n"/>
      <c r="H88" s="86" t="n"/>
      <c r="I88" s="86" t="n">
        <v>16.1</v>
      </c>
      <c r="J88" s="86" t="n"/>
      <c r="K88" s="86" t="n"/>
      <c r="L88" s="86" t="n">
        <v>64430</v>
      </c>
      <c r="M88" s="86" t="n"/>
      <c r="N88" s="86" t="n"/>
      <c r="O88" s="86" t="n">
        <v>6</v>
      </c>
      <c r="P88" s="86" t="n">
        <v>335</v>
      </c>
      <c r="Q88" s="86" t="n">
        <v>1</v>
      </c>
      <c r="R88" s="86" t="n">
        <v>4.17</v>
      </c>
      <c r="S88" s="86" t="n">
        <v>0</v>
      </c>
      <c r="T88" s="86" t="n"/>
      <c r="U88" s="86" t="n"/>
      <c r="V88" s="86" t="n"/>
      <c r="W88" s="86" t="n"/>
      <c r="X88" s="8" t="n"/>
      <c r="Y88" s="8" t="n"/>
      <c r="Z88" s="8" t="n"/>
      <c r="AA88" s="86" t="n">
        <v>192405</v>
      </c>
      <c r="AB88" s="87">
        <f>IFERROR(AA88/AF88,"")</f>
        <v/>
      </c>
      <c r="AC88" s="86" t="n">
        <v>1109558</v>
      </c>
      <c r="AD88" s="86" t="n">
        <v>1109558</v>
      </c>
      <c r="AE88" s="86" t="n">
        <v>161476</v>
      </c>
      <c r="AF88" s="86" t="n">
        <v>1463439</v>
      </c>
      <c r="AG88" s="86" t="n">
        <v>333092</v>
      </c>
      <c r="AH88" s="86" t="n">
        <v>52197</v>
      </c>
      <c r="AI88" s="86" t="n">
        <v>11991</v>
      </c>
      <c r="AJ88" s="86" t="n"/>
      <c r="AK88" s="86" t="n"/>
      <c r="AL88" s="86" t="n"/>
      <c r="AM88" s="86" t="n"/>
      <c r="AN88" s="86" t="n">
        <v>15803</v>
      </c>
      <c r="AO88" s="11">
        <f>IFERROR(AC88/E88,"")</f>
        <v/>
      </c>
      <c r="AP88" s="11">
        <f>IFERROR(AD88/E88,"")</f>
        <v/>
      </c>
      <c r="AQ88" s="11">
        <f>IFERROR(AG88/E88,"")</f>
        <v/>
      </c>
      <c r="AR88" s="87">
        <f>IFERROR(AG88/AF88,"")</f>
        <v/>
      </c>
      <c r="AS88" s="87">
        <f>IFERROR(AH88/AF88,"")</f>
        <v/>
      </c>
      <c r="AT88" s="87">
        <f>IFERROR(AI88/AH88,"")</f>
        <v/>
      </c>
      <c r="AU88" s="87">
        <f>IFERROR(AN88/AH88,"")</f>
        <v/>
      </c>
      <c r="AV88" s="88" t="n">
        <v>14004</v>
      </c>
      <c r="AW88" s="89" t="n">
        <v>1</v>
      </c>
      <c r="AX88" s="89" t="n">
        <v>0</v>
      </c>
      <c r="AY88" s="8" t="n"/>
      <c r="AZ88" s="8" t="n"/>
      <c r="BA88" s="8" t="n"/>
      <c r="BB88" s="8" t="n"/>
      <c r="BC88" s="90">
        <f>IFERROR(AG88/AC88,"")</f>
        <v/>
      </c>
      <c r="BD88" s="90">
        <f>IFERROR(AG88/(AC88+AA88),"")</f>
        <v/>
      </c>
      <c r="BE88" s="91" t="n">
        <v>0.2276</v>
      </c>
      <c r="BF88" s="40" t="inlineStr">
        <is>
          <t>Reported CPO Extraction Rate 22.76% (p.12 'Tingkat Ekstraksi Minyak Kelapa Sawit'); PK extraction 3.57%; CPKO extraction 41.0%.</t>
        </is>
      </c>
      <c r="BG88" t="n">
        <v>2025</v>
      </c>
    </row>
    <row r="89" ht="15" customHeight="1" s="67">
      <c r="A89" s="8" t="inlineStr">
        <is>
          <t>PT Bakrie Sumatera Plantations Tbk</t>
        </is>
      </c>
      <c r="B89" s="86" t="n">
        <v>52192</v>
      </c>
      <c r="C89" s="86" t="n">
        <v>37217</v>
      </c>
      <c r="D89" s="86" t="n">
        <v>14975</v>
      </c>
      <c r="E89" s="86" t="n">
        <v>45968</v>
      </c>
      <c r="F89" s="86" t="n">
        <v>6346</v>
      </c>
      <c r="G89" s="86" t="n"/>
      <c r="H89" s="86" t="n"/>
      <c r="I89" s="86" t="n"/>
      <c r="J89" s="86" t="n"/>
      <c r="K89" s="86" t="n">
        <v>62583</v>
      </c>
      <c r="L89" s="86" t="n">
        <v>411</v>
      </c>
      <c r="M89" s="86" t="n">
        <v>0</v>
      </c>
      <c r="N89" s="86" t="n">
        <v>3222</v>
      </c>
      <c r="O89" s="86" t="n">
        <v>5</v>
      </c>
      <c r="P89" s="86" t="n">
        <v>240</v>
      </c>
      <c r="Q89" s="86" t="n">
        <v>1</v>
      </c>
      <c r="R89" s="86" t="n"/>
      <c r="S89" s="86" t="n">
        <v>1</v>
      </c>
      <c r="T89" s="86" t="n">
        <v>495000</v>
      </c>
      <c r="U89" s="86" t="n">
        <v>1</v>
      </c>
      <c r="V89" s="86" t="n">
        <v>165000</v>
      </c>
      <c r="W89" s="86" t="n">
        <v>0</v>
      </c>
      <c r="X89" s="8" t="n"/>
      <c r="Y89" s="8" t="n"/>
      <c r="Z89" s="8" t="n"/>
      <c r="AA89" s="86" t="n"/>
      <c r="AB89" s="87">
        <f>IFERROR(AA89/AF89,"")</f>
        <v/>
      </c>
      <c r="AC89" s="86" t="n">
        <v>376655</v>
      </c>
      <c r="AD89" s="86" t="n"/>
      <c r="AE89" s="86" t="n"/>
      <c r="AF89" s="86" t="n"/>
      <c r="AG89" s="86" t="n">
        <v>154701</v>
      </c>
      <c r="AH89" s="86" t="n">
        <v>36488</v>
      </c>
      <c r="AI89" s="86" t="n"/>
      <c r="AJ89" s="86" t="n"/>
      <c r="AK89" s="86" t="n"/>
      <c r="AL89" s="86" t="n"/>
      <c r="AM89" s="86" t="n"/>
      <c r="AN89" s="86" t="n"/>
      <c r="AO89" s="11">
        <f>IFERROR(AC89/E89,"")</f>
        <v/>
      </c>
      <c r="AP89" s="11">
        <f>IFERROR(AD89/E89,"")</f>
        <v/>
      </c>
      <c r="AQ89" s="11">
        <f>IFERROR(AG89/E89,"")</f>
        <v/>
      </c>
      <c r="AR89" s="87">
        <f>IFERROR(AG89/AF89,"")</f>
        <v/>
      </c>
      <c r="AS89" s="87">
        <f>IFERROR(AH89/AF89,"")</f>
        <v/>
      </c>
      <c r="AT89" s="87">
        <f>IFERROR(AI89/AH89,"")</f>
        <v/>
      </c>
      <c r="AU89" s="87">
        <f>IFERROR(AN89/AH89,"")</f>
        <v/>
      </c>
      <c r="AV89" s="88" t="n"/>
      <c r="AW89" s="89" t="n">
        <v>0.6934</v>
      </c>
      <c r="AX89" s="89" t="n">
        <v>0.3066</v>
      </c>
      <c r="AY89" s="8" t="n"/>
      <c r="AZ89" s="8" t="n"/>
      <c r="BA89" s="8" t="n"/>
      <c r="BB89" s="8" t="n"/>
      <c r="BC89" s="90">
        <f>IFERROR(AG89/AC89,"")</f>
        <v/>
      </c>
      <c r="BD89" s="90">
        <f>IFERROR(AG89/(AC89+AA89),"")</f>
        <v/>
      </c>
      <c r="BE89" s="91" t="n"/>
      <c r="BF89" s="40" t="inlineStr">
        <is>
          <t>OER not explicitly disclosed in 2022 AR narrative.</t>
        </is>
      </c>
      <c r="BG89" t="n">
        <v>2022</v>
      </c>
    </row>
    <row r="90" ht="15" customHeight="1" s="67">
      <c r="A90" s="8" t="inlineStr">
        <is>
          <t>PT Bakrie Sumatera Plantations Tbk</t>
        </is>
      </c>
      <c r="B90" s="86" t="n">
        <v>54828</v>
      </c>
      <c r="C90" s="86" t="n">
        <v>39853</v>
      </c>
      <c r="D90" s="86" t="n">
        <v>14975</v>
      </c>
      <c r="E90" s="86" t="n">
        <v>62677</v>
      </c>
      <c r="F90" s="86" t="n">
        <v>7036</v>
      </c>
      <c r="G90" s="86" t="n"/>
      <c r="H90" s="86" t="n"/>
      <c r="I90" s="86" t="n"/>
      <c r="J90" s="86" t="n"/>
      <c r="K90" s="86" t="n">
        <v>65119</v>
      </c>
      <c r="L90" s="86" t="n">
        <v>411</v>
      </c>
      <c r="M90" s="86" t="n">
        <v>0</v>
      </c>
      <c r="N90" s="86" t="n">
        <v>3222</v>
      </c>
      <c r="O90" s="86" t="n">
        <v>5</v>
      </c>
      <c r="P90" s="86" t="n">
        <v>240</v>
      </c>
      <c r="Q90" s="86" t="n">
        <v>1</v>
      </c>
      <c r="R90" s="86" t="n"/>
      <c r="S90" s="86" t="n">
        <v>1</v>
      </c>
      <c r="T90" s="86" t="n">
        <v>495000</v>
      </c>
      <c r="U90" s="86" t="n">
        <v>1</v>
      </c>
      <c r="V90" s="86" t="n">
        <v>165000</v>
      </c>
      <c r="W90" s="86" t="n">
        <v>0</v>
      </c>
      <c r="X90" s="8" t="n"/>
      <c r="Y90" s="8" t="n"/>
      <c r="Z90" s="8" t="n"/>
      <c r="AA90" s="86" t="n"/>
      <c r="AB90" s="87">
        <f>IFERROR(AA90/AF90,"")</f>
        <v/>
      </c>
      <c r="AC90" s="86" t="n">
        <v>366113</v>
      </c>
      <c r="AD90" s="86" t="n"/>
      <c r="AE90" s="86" t="n"/>
      <c r="AF90" s="86" t="n"/>
      <c r="AG90" s="86" t="n">
        <v>123628</v>
      </c>
      <c r="AH90" s="86" t="n">
        <v>28591</v>
      </c>
      <c r="AI90" s="86" t="n"/>
      <c r="AJ90" s="86" t="n"/>
      <c r="AK90" s="86" t="n"/>
      <c r="AL90" s="86" t="n"/>
      <c r="AM90" s="86" t="n"/>
      <c r="AN90" s="86" t="n"/>
      <c r="AO90" s="11">
        <f>IFERROR(AC90/E90,"")</f>
        <v/>
      </c>
      <c r="AP90" s="11">
        <f>IFERROR(AD90/E90,"")</f>
        <v/>
      </c>
      <c r="AQ90" s="11">
        <f>IFERROR(AG90/E90,"")</f>
        <v/>
      </c>
      <c r="AR90" s="87">
        <f>IFERROR(AG90/AF90,"")</f>
        <v/>
      </c>
      <c r="AS90" s="87">
        <f>IFERROR(AH90/AF90,"")</f>
        <v/>
      </c>
      <c r="AT90" s="87">
        <f>IFERROR(AI90/AH90,"")</f>
        <v/>
      </c>
      <c r="AU90" s="87">
        <f>IFERROR(AN90/AH90,"")</f>
        <v/>
      </c>
      <c r="AV90" s="88" t="n"/>
      <c r="AW90" s="89" t="n">
        <v>0.9369</v>
      </c>
      <c r="AX90" s="89" t="n">
        <v>0.0631</v>
      </c>
      <c r="AY90" s="8" t="n"/>
      <c r="AZ90" s="8" t="n"/>
      <c r="BA90" s="8" t="n"/>
      <c r="BB90" s="8" t="n"/>
      <c r="BC90" s="90">
        <f>IFERROR(AG90/AC90,"")</f>
        <v/>
      </c>
      <c r="BD90" s="90">
        <f>IFERROR(AG90/(AC90+AA90),"")</f>
        <v/>
      </c>
      <c r="BE90" s="91" t="n"/>
      <c r="BF90" s="40" t="inlineStr">
        <is>
          <t>OER not explicitly disclosed in 2023 AR narrative.</t>
        </is>
      </c>
      <c r="BG90" t="n">
        <v>2023</v>
      </c>
    </row>
    <row r="91" ht="15" customHeight="1" s="67">
      <c r="A91" s="8" t="inlineStr">
        <is>
          <t>PT Bakrie Sumatera Plantations Tbk</t>
        </is>
      </c>
      <c r="B91" s="86" t="n">
        <v>56147</v>
      </c>
      <c r="C91" s="86" t="n">
        <v>43745</v>
      </c>
      <c r="D91" s="86" t="n">
        <v>14975</v>
      </c>
      <c r="E91" s="86" t="n">
        <v>43869</v>
      </c>
      <c r="F91" s="86" t="n">
        <v>12278</v>
      </c>
      <c r="G91" s="86" t="n"/>
      <c r="H91" s="86" t="n"/>
      <c r="I91" s="86" t="n"/>
      <c r="J91" s="86" t="n"/>
      <c r="K91" s="86" t="n">
        <v>51776</v>
      </c>
      <c r="L91" s="86" t="n">
        <v>411</v>
      </c>
      <c r="M91" s="86" t="n">
        <v>0</v>
      </c>
      <c r="N91" s="86" t="n">
        <v>3222</v>
      </c>
      <c r="O91" s="86" t="n">
        <v>5</v>
      </c>
      <c r="P91" s="86" t="n">
        <v>240</v>
      </c>
      <c r="Q91" s="86" t="n">
        <v>0</v>
      </c>
      <c r="R91" s="86" t="n"/>
      <c r="S91" s="86" t="n">
        <v>0</v>
      </c>
      <c r="T91" s="86" t="n"/>
      <c r="U91" s="86" t="n">
        <v>0</v>
      </c>
      <c r="V91" s="86" t="n"/>
      <c r="W91" s="86" t="n">
        <v>0</v>
      </c>
      <c r="X91" s="8" t="n"/>
      <c r="Y91" s="8" t="n"/>
      <c r="Z91" s="8" t="n"/>
      <c r="AA91" s="86" t="n"/>
      <c r="AB91" s="87">
        <f>IFERROR(AA91/AF91,"")</f>
        <v/>
      </c>
      <c r="AC91" s="86" t="n">
        <v>347865</v>
      </c>
      <c r="AD91" s="86" t="n"/>
      <c r="AE91" s="86" t="n"/>
      <c r="AF91" s="86" t="n"/>
      <c r="AG91" s="86" t="n">
        <v>113918</v>
      </c>
      <c r="AH91" s="86" t="n">
        <v>24263</v>
      </c>
      <c r="AI91" s="86" t="n"/>
      <c r="AJ91" s="86" t="n"/>
      <c r="AK91" s="86" t="n"/>
      <c r="AL91" s="86" t="n"/>
      <c r="AM91" s="86" t="n"/>
      <c r="AN91" s="86" t="n"/>
      <c r="AO91" s="11">
        <f>IFERROR(AC91/E91,"")</f>
        <v/>
      </c>
      <c r="AP91" s="11">
        <f>IFERROR(AD91/E91,"")</f>
        <v/>
      </c>
      <c r="AQ91" s="11">
        <f>IFERROR(AG91/E91,"")</f>
        <v/>
      </c>
      <c r="AR91" s="87">
        <f>IFERROR(AG91/AF91,"")</f>
        <v/>
      </c>
      <c r="AS91" s="87">
        <f>IFERROR(AH91/AF91,"")</f>
        <v/>
      </c>
      <c r="AT91" s="87">
        <f>IFERROR(AI91/AH91,"")</f>
        <v/>
      </c>
      <c r="AU91" s="87">
        <f>IFERROR(AN91/AH91,"")</f>
        <v/>
      </c>
      <c r="AV91" s="88" t="n"/>
      <c r="AW91" s="89" t="n">
        <v>0.9738</v>
      </c>
      <c r="AX91" s="89" t="n">
        <v>0.0262</v>
      </c>
      <c r="AY91" s="8" t="n"/>
      <c r="AZ91" s="8" t="n"/>
      <c r="BA91" s="8" t="n"/>
      <c r="BB91" s="8" t="n"/>
      <c r="BC91" s="90">
        <f>IFERROR(AG91/AC91,"")</f>
        <v/>
      </c>
      <c r="BD91" s="90">
        <f>IFERROR(AG91/(AC91+AA91),"")</f>
        <v/>
      </c>
      <c r="BE91" s="91" t="n"/>
      <c r="BF91" s="40" t="inlineStr">
        <is>
          <t>OER not explicitly disclosed in 2024 AR narrative.</t>
        </is>
      </c>
      <c r="BG91" t="n">
        <v>2024</v>
      </c>
    </row>
    <row r="92" ht="15" customHeight="1" s="67">
      <c r="A92" s="8" t="inlineStr">
        <is>
          <t>PT Wahana Pronatural Tbk</t>
        </is>
      </c>
      <c r="B92" s="86" t="n"/>
      <c r="C92" s="86" t="n"/>
      <c r="D92" s="86" t="n"/>
      <c r="E92" s="86" t="n"/>
      <c r="F92" s="86" t="n"/>
      <c r="G92" s="86" t="n"/>
      <c r="H92" s="86" t="n"/>
      <c r="I92" s="86" t="n"/>
      <c r="J92" s="86" t="n"/>
      <c r="K92" s="86" t="n"/>
      <c r="L92" s="86" t="n"/>
      <c r="M92" s="86" t="n"/>
      <c r="N92" s="86" t="n"/>
      <c r="O92" s="86" t="n"/>
      <c r="P92" s="86" t="n"/>
      <c r="Q92" s="86" t="n"/>
      <c r="R92" s="86" t="n"/>
      <c r="S92" s="86" t="n"/>
      <c r="T92" s="86" t="n"/>
      <c r="U92" s="86" t="n"/>
      <c r="V92" s="86" t="n"/>
      <c r="W92" s="86" t="n"/>
      <c r="X92" s="8" t="n"/>
      <c r="Y92" s="8" t="n"/>
      <c r="Z92" s="8" t="n"/>
      <c r="AA92" s="86" t="n"/>
      <c r="AB92" s="87">
        <f>IFERROR(AA92/AF92,"")</f>
        <v/>
      </c>
      <c r="AC92" s="86" t="n"/>
      <c r="AD92" s="86" t="n"/>
      <c r="AE92" s="86" t="n"/>
      <c r="AF92" s="86" t="n"/>
      <c r="AG92" s="86" t="n"/>
      <c r="AH92" s="86" t="n"/>
      <c r="AI92" s="86" t="n"/>
      <c r="AJ92" s="86" t="n"/>
      <c r="AK92" s="86" t="n"/>
      <c r="AL92" s="86" t="n"/>
      <c r="AM92" s="86" t="n"/>
      <c r="AN92" s="86" t="n"/>
      <c r="AO92" s="11">
        <f>IFERROR(AC92/E92,"")</f>
        <v/>
      </c>
      <c r="AP92" s="11">
        <f>IFERROR(AD92/E92,"")</f>
        <v/>
      </c>
      <c r="AQ92" s="11">
        <f>IFERROR(AG92/E92,"")</f>
        <v/>
      </c>
      <c r="AR92" s="87">
        <f>IFERROR(AG92/AF92,"")</f>
        <v/>
      </c>
      <c r="AS92" s="87">
        <f>IFERROR(AH92/AF92,"")</f>
        <v/>
      </c>
      <c r="AT92" s="87">
        <f>IFERROR(AI92/AH92,"")</f>
        <v/>
      </c>
      <c r="AU92" s="87">
        <f>IFERROR(AN92/AH92,"")</f>
        <v/>
      </c>
      <c r="AV92" s="88" t="n"/>
      <c r="AW92" s="89" t="n"/>
      <c r="AX92" s="89" t="n"/>
      <c r="AY92" s="8" t="n"/>
      <c r="AZ92" s="8" t="n"/>
      <c r="BA92" s="8" t="n"/>
      <c r="BB92" s="8" t="n"/>
      <c r="BC92" s="90">
        <f>IFERROR(AG92/AC92,"")</f>
        <v/>
      </c>
      <c r="BD92" s="90">
        <f>IFERROR(AG92/(AC92+AA92),"")</f>
        <v/>
      </c>
      <c r="BE92" s="91" t="n"/>
      <c r="BF92" s="40" t="inlineStr">
        <is>
          <t>Not applicable - company does not operate oil palm plantations, palm oil mills, or any palm-related processing.</t>
        </is>
      </c>
      <c r="BG92" t="n">
        <v>2022</v>
      </c>
    </row>
    <row r="93" ht="15" customHeight="1" s="67">
      <c r="A93" s="8" t="inlineStr">
        <is>
          <t>PT Wahana Pronatural Tbk</t>
        </is>
      </c>
      <c r="B93" s="86" t="n"/>
      <c r="C93" s="86" t="n"/>
      <c r="D93" s="86" t="n"/>
      <c r="E93" s="86" t="n"/>
      <c r="F93" s="86" t="n"/>
      <c r="G93" s="86" t="n"/>
      <c r="H93" s="86" t="n"/>
      <c r="I93" s="86" t="n"/>
      <c r="J93" s="86" t="n"/>
      <c r="K93" s="86" t="n"/>
      <c r="L93" s="86" t="n"/>
      <c r="M93" s="86" t="n"/>
      <c r="N93" s="86" t="n"/>
      <c r="O93" s="86" t="n"/>
      <c r="P93" s="86" t="n"/>
      <c r="Q93" s="86" t="n"/>
      <c r="R93" s="86" t="n"/>
      <c r="S93" s="86" t="n"/>
      <c r="T93" s="86" t="n"/>
      <c r="U93" s="86" t="n"/>
      <c r="V93" s="86" t="n"/>
      <c r="W93" s="86" t="n"/>
      <c r="X93" s="8" t="n"/>
      <c r="Y93" s="8" t="n"/>
      <c r="Z93" s="8" t="n"/>
      <c r="AA93" s="86" t="n"/>
      <c r="AB93" s="87">
        <f>IFERROR(AA93/AF93,"")</f>
        <v/>
      </c>
      <c r="AC93" s="86" t="n"/>
      <c r="AD93" s="86" t="n"/>
      <c r="AE93" s="86" t="n"/>
      <c r="AF93" s="86" t="n"/>
      <c r="AG93" s="86" t="n"/>
      <c r="AH93" s="86" t="n"/>
      <c r="AI93" s="86" t="n"/>
      <c r="AJ93" s="86" t="n"/>
      <c r="AK93" s="86" t="n"/>
      <c r="AL93" s="86" t="n"/>
      <c r="AM93" s="86" t="n"/>
      <c r="AN93" s="86" t="n"/>
      <c r="AO93" s="11">
        <f>IFERROR(AC93/E93,"")</f>
        <v/>
      </c>
      <c r="AP93" s="11">
        <f>IFERROR(AD93/E93,"")</f>
        <v/>
      </c>
      <c r="AQ93" s="11">
        <f>IFERROR(AG93/E93,"")</f>
        <v/>
      </c>
      <c r="AR93" s="87">
        <f>IFERROR(AG93/AF93,"")</f>
        <v/>
      </c>
      <c r="AS93" s="87">
        <f>IFERROR(AH93/AF93,"")</f>
        <v/>
      </c>
      <c r="AT93" s="87">
        <f>IFERROR(AI93/AH93,"")</f>
        <v/>
      </c>
      <c r="AU93" s="87">
        <f>IFERROR(AN93/AH93,"")</f>
        <v/>
      </c>
      <c r="AV93" s="88" t="n"/>
      <c r="AW93" s="89" t="n"/>
      <c r="AX93" s="89" t="n"/>
      <c r="AY93" s="8" t="n"/>
      <c r="AZ93" s="8" t="n"/>
      <c r="BA93" s="8" t="n"/>
      <c r="BB93" s="8" t="n"/>
      <c r="BC93" s="90">
        <f>IFERROR(AG93/AC93,"")</f>
        <v/>
      </c>
      <c r="BD93" s="90">
        <f>IFERROR(AG93/(AC93+AA93),"")</f>
        <v/>
      </c>
      <c r="BE93" s="91" t="n"/>
      <c r="BF93" s="40" t="inlineStr">
        <is>
          <t>Not applicable - company does not operate oil palm plantations, palm oil mills, or any palm-related processing.</t>
        </is>
      </c>
      <c r="BG93" t="n">
        <v>2023</v>
      </c>
    </row>
    <row r="94" ht="15" customHeight="1" s="67">
      <c r="A94" s="8" t="inlineStr">
        <is>
          <t>PT Wahana Pronatural Tbk</t>
        </is>
      </c>
      <c r="B94" s="86" t="n"/>
      <c r="C94" s="86" t="n"/>
      <c r="D94" s="86" t="n"/>
      <c r="E94" s="86" t="n"/>
      <c r="F94" s="86" t="n"/>
      <c r="G94" s="86" t="n"/>
      <c r="H94" s="86" t="n"/>
      <c r="I94" s="86" t="n"/>
      <c r="J94" s="86" t="n"/>
      <c r="K94" s="86" t="n"/>
      <c r="L94" s="86" t="n"/>
      <c r="M94" s="86" t="n"/>
      <c r="N94" s="86" t="n"/>
      <c r="O94" s="86" t="n"/>
      <c r="P94" s="86" t="n"/>
      <c r="Q94" s="86" t="n"/>
      <c r="R94" s="86" t="n"/>
      <c r="S94" s="86" t="n"/>
      <c r="T94" s="86" t="n"/>
      <c r="U94" s="86" t="n"/>
      <c r="V94" s="86" t="n"/>
      <c r="W94" s="86" t="n"/>
      <c r="X94" s="8" t="n"/>
      <c r="Y94" s="8" t="n"/>
      <c r="Z94" s="8" t="n"/>
      <c r="AA94" s="86" t="n"/>
      <c r="AB94" s="87">
        <f>IFERROR(AA94/AF94,"")</f>
        <v/>
      </c>
      <c r="AC94" s="86" t="n"/>
      <c r="AD94" s="86" t="n"/>
      <c r="AE94" s="86" t="n"/>
      <c r="AF94" s="86" t="n"/>
      <c r="AG94" s="86" t="n"/>
      <c r="AH94" s="86" t="n"/>
      <c r="AI94" s="86" t="n"/>
      <c r="AJ94" s="86" t="n"/>
      <c r="AK94" s="86" t="n"/>
      <c r="AL94" s="86" t="n"/>
      <c r="AM94" s="86" t="n"/>
      <c r="AN94" s="86" t="n"/>
      <c r="AO94" s="11">
        <f>IFERROR(AC94/E94,"")</f>
        <v/>
      </c>
      <c r="AP94" s="11">
        <f>IFERROR(AD94/E94,"")</f>
        <v/>
      </c>
      <c r="AQ94" s="11">
        <f>IFERROR(AG94/E94,"")</f>
        <v/>
      </c>
      <c r="AR94" s="87">
        <f>IFERROR(AG94/AF94,"")</f>
        <v/>
      </c>
      <c r="AS94" s="87">
        <f>IFERROR(AH94/AF94,"")</f>
        <v/>
      </c>
      <c r="AT94" s="87">
        <f>IFERROR(AI94/AH94,"")</f>
        <v/>
      </c>
      <c r="AU94" s="87">
        <f>IFERROR(AN94/AH94,"")</f>
        <v/>
      </c>
      <c r="AV94" s="88" t="n"/>
      <c r="AW94" s="89" t="n"/>
      <c r="AX94" s="89" t="n"/>
      <c r="AY94" s="8" t="n"/>
      <c r="AZ94" s="8" t="n"/>
      <c r="BA94" s="8" t="n"/>
      <c r="BB94" s="8" t="n"/>
      <c r="BC94" s="90">
        <f>IFERROR(AG94/AC94,"")</f>
        <v/>
      </c>
      <c r="BD94" s="90">
        <f>IFERROR(AG94/(AC94+AA94),"")</f>
        <v/>
      </c>
      <c r="BE94" s="91" t="n"/>
      <c r="BF94" s="40" t="inlineStr">
        <is>
          <t>Not applicable - WAPO does not operate oil palm plantations, palm oil mills, or any palm-related processing. Coffee-bean trading volume was 30,000 t and dried seaweed trading volume was 1,200 t in 2024.</t>
        </is>
      </c>
      <c r="BG94" t="n">
        <v>2024</v>
      </c>
    </row>
    <row r="95" ht="15" customHeight="1" s="67">
      <c r="A95" s="8" t="n"/>
      <c r="B95" s="86" t="n"/>
      <c r="C95" s="86" t="n"/>
      <c r="D95" s="86" t="n"/>
      <c r="E95" s="86" t="n"/>
      <c r="F95" s="86" t="n"/>
      <c r="G95" s="86" t="n"/>
      <c r="H95" s="86" t="n"/>
      <c r="I95" s="86" t="n"/>
      <c r="J95" s="86" t="n"/>
      <c r="K95" s="86" t="n"/>
      <c r="L95" s="86" t="n"/>
      <c r="M95" s="86" t="n"/>
      <c r="N95" s="86" t="n"/>
      <c r="O95" s="86" t="n"/>
      <c r="P95" s="86" t="n"/>
      <c r="Q95" s="86" t="n"/>
      <c r="R95" s="86" t="n"/>
      <c r="S95" s="86" t="n"/>
      <c r="T95" s="86" t="n"/>
      <c r="U95" s="86" t="n"/>
      <c r="V95" s="86" t="n"/>
      <c r="W95" s="86" t="n"/>
      <c r="X95" s="8" t="n"/>
      <c r="Y95" s="8" t="n"/>
      <c r="Z95" s="8" t="n"/>
      <c r="AA95" s="86" t="n"/>
      <c r="AB95" s="87">
        <f>IFERROR(AA95/AF95,"")</f>
        <v/>
      </c>
      <c r="AC95" s="86" t="n"/>
      <c r="AD95" s="86" t="n"/>
      <c r="AE95" s="86" t="n"/>
      <c r="AF95" s="86" t="n"/>
      <c r="AG95" s="86" t="n"/>
      <c r="AH95" s="86" t="n"/>
      <c r="AI95" s="86" t="n"/>
      <c r="AJ95" s="86" t="n"/>
      <c r="AK95" s="86" t="n"/>
      <c r="AL95" s="86" t="n"/>
      <c r="AM95" s="86" t="n"/>
      <c r="AN95" s="86" t="n"/>
      <c r="AO95" s="11">
        <f>IFERROR(AC95/E95,"")</f>
        <v/>
      </c>
      <c r="AP95" s="11">
        <f>IFERROR(AD95/E95,"")</f>
        <v/>
      </c>
      <c r="AQ95" s="11">
        <f>IFERROR(AG95/E95,"")</f>
        <v/>
      </c>
      <c r="AR95" s="87">
        <f>IFERROR(AG95/AF95,"")</f>
        <v/>
      </c>
      <c r="AS95" s="87">
        <f>IFERROR(AH95/AF95,"")</f>
        <v/>
      </c>
      <c r="AT95" s="87">
        <f>IFERROR(AI95/AH95,"")</f>
        <v/>
      </c>
      <c r="AU95" s="87">
        <f>IFERROR(AN95/AH95,"")</f>
        <v/>
      </c>
      <c r="AV95" s="88" t="n"/>
      <c r="AW95" s="89" t="n"/>
      <c r="AX95" s="89" t="n"/>
      <c r="AY95" s="8" t="n"/>
      <c r="AZ95" s="8" t="n"/>
      <c r="BA95" s="8" t="n"/>
      <c r="BB95" s="8" t="n"/>
      <c r="BC95" s="90">
        <f>IFERROR(AG95/AC95,"")</f>
        <v/>
      </c>
      <c r="BD95" s="90">
        <f>IFERROR(AG95/(AC95+AA95),"")</f>
        <v/>
      </c>
      <c r="BE95" s="91" t="n"/>
      <c r="BF95" s="40" t="n"/>
    </row>
    <row r="96" ht="15" customHeight="1" s="67">
      <c r="A96" s="8" t="n"/>
      <c r="B96" s="86" t="n"/>
      <c r="C96" s="86" t="n"/>
      <c r="D96" s="86" t="n"/>
      <c r="E96" s="86" t="n"/>
      <c r="F96" s="86" t="n"/>
      <c r="G96" s="86" t="n"/>
      <c r="H96" s="86" t="n"/>
      <c r="I96" s="86" t="n"/>
      <c r="J96" s="86" t="n"/>
      <c r="K96" s="86" t="n"/>
      <c r="L96" s="86" t="n"/>
      <c r="M96" s="86" t="n"/>
      <c r="N96" s="86" t="n"/>
      <c r="O96" s="86" t="n"/>
      <c r="P96" s="86" t="n"/>
      <c r="Q96" s="86" t="n"/>
      <c r="R96" s="86" t="n"/>
      <c r="S96" s="86" t="n"/>
      <c r="T96" s="86" t="n"/>
      <c r="U96" s="86" t="n"/>
      <c r="V96" s="86" t="n"/>
      <c r="W96" s="86" t="n"/>
      <c r="X96" s="8" t="n"/>
      <c r="Y96" s="8" t="n"/>
      <c r="Z96" s="8" t="n"/>
      <c r="AA96" s="86" t="n"/>
      <c r="AB96" s="87">
        <f>IFERROR(AA96/AF96,"")</f>
        <v/>
      </c>
      <c r="AC96" s="86" t="n"/>
      <c r="AD96" s="86" t="n"/>
      <c r="AE96" s="86" t="n"/>
      <c r="AF96" s="86" t="n"/>
      <c r="AG96" s="86" t="n"/>
      <c r="AH96" s="86" t="n"/>
      <c r="AI96" s="86" t="n"/>
      <c r="AJ96" s="86" t="n"/>
      <c r="AK96" s="86" t="n"/>
      <c r="AL96" s="86" t="n"/>
      <c r="AM96" s="86" t="n"/>
      <c r="AN96" s="86" t="n"/>
      <c r="AO96" s="11">
        <f>IFERROR(AC96/E96,"")</f>
        <v/>
      </c>
      <c r="AP96" s="11">
        <f>IFERROR(AD96/E96,"")</f>
        <v/>
      </c>
      <c r="AQ96" s="11">
        <f>IFERROR(AG96/E96,"")</f>
        <v/>
      </c>
      <c r="AR96" s="87">
        <f>IFERROR(AG96/AF96,"")</f>
        <v/>
      </c>
      <c r="AS96" s="87">
        <f>IFERROR(AH96/AF96,"")</f>
        <v/>
      </c>
      <c r="AT96" s="87">
        <f>IFERROR(AI96/AH96,"")</f>
        <v/>
      </c>
      <c r="AU96" s="87">
        <f>IFERROR(AN96/AH96,"")</f>
        <v/>
      </c>
      <c r="AV96" s="88" t="n"/>
      <c r="AW96" s="89" t="n"/>
      <c r="AX96" s="89" t="n"/>
      <c r="AY96" s="8" t="n"/>
      <c r="AZ96" s="8" t="n"/>
      <c r="BA96" s="8" t="n"/>
      <c r="BB96" s="8" t="n"/>
      <c r="BC96" s="90">
        <f>IFERROR(AG96/AC96,"")</f>
        <v/>
      </c>
      <c r="BD96" s="90">
        <f>IFERROR(AG96/(AC96+AA96),"")</f>
        <v/>
      </c>
      <c r="BE96" s="91" t="n"/>
      <c r="BF96" s="40" t="n"/>
    </row>
    <row r="97" ht="15" customHeight="1" s="67">
      <c r="A97" s="8" t="n"/>
      <c r="B97" s="86" t="n"/>
      <c r="C97" s="86" t="n"/>
      <c r="D97" s="86" t="n"/>
      <c r="E97" s="86" t="n"/>
      <c r="F97" s="86" t="n"/>
      <c r="G97" s="86" t="n"/>
      <c r="H97" s="86" t="n"/>
      <c r="I97" s="86" t="n"/>
      <c r="J97" s="86" t="n"/>
      <c r="K97" s="86" t="n"/>
      <c r="L97" s="86" t="n"/>
      <c r="M97" s="86" t="n"/>
      <c r="N97" s="86" t="n"/>
      <c r="O97" s="86" t="n"/>
      <c r="P97" s="86" t="n"/>
      <c r="Q97" s="86" t="n"/>
      <c r="R97" s="86" t="n"/>
      <c r="S97" s="86" t="n"/>
      <c r="T97" s="86" t="n"/>
      <c r="U97" s="86" t="n"/>
      <c r="V97" s="86" t="n"/>
      <c r="W97" s="86" t="n"/>
      <c r="X97" s="8" t="n"/>
      <c r="Y97" s="8" t="n"/>
      <c r="Z97" s="8" t="n"/>
      <c r="AA97" s="86" t="n"/>
      <c r="AB97" s="87">
        <f>IFERROR(AA97/AF97,"")</f>
        <v/>
      </c>
      <c r="AC97" s="86" t="n"/>
      <c r="AD97" s="86" t="n"/>
      <c r="AE97" s="86" t="n"/>
      <c r="AF97" s="86" t="n"/>
      <c r="AG97" s="86" t="n"/>
      <c r="AH97" s="86" t="n"/>
      <c r="AI97" s="86" t="n"/>
      <c r="AJ97" s="86" t="n"/>
      <c r="AK97" s="86" t="n"/>
      <c r="AL97" s="86" t="n"/>
      <c r="AM97" s="86" t="n"/>
      <c r="AN97" s="86" t="n"/>
      <c r="AO97" s="11">
        <f>IFERROR(AC97/E97,"")</f>
        <v/>
      </c>
      <c r="AP97" s="11">
        <f>IFERROR(AD97/E97,"")</f>
        <v/>
      </c>
      <c r="AQ97" s="11">
        <f>IFERROR(AG97/E97,"")</f>
        <v/>
      </c>
      <c r="AR97" s="87">
        <f>IFERROR(AG97/AF97,"")</f>
        <v/>
      </c>
      <c r="AS97" s="87">
        <f>IFERROR(AH97/AF97,"")</f>
        <v/>
      </c>
      <c r="AT97" s="87">
        <f>IFERROR(AI97/AH97,"")</f>
        <v/>
      </c>
      <c r="AU97" s="87">
        <f>IFERROR(AN97/AH97,"")</f>
        <v/>
      </c>
      <c r="AV97" s="88" t="n"/>
      <c r="AW97" s="89" t="n"/>
      <c r="AX97" s="89" t="n"/>
      <c r="AY97" s="8" t="n"/>
      <c r="AZ97" s="8" t="n"/>
      <c r="BA97" s="8" t="n"/>
      <c r="BB97" s="8" t="n"/>
      <c r="BC97" s="90">
        <f>IFERROR(AG97/AC97,"")</f>
        <v/>
      </c>
      <c r="BD97" s="90">
        <f>IFERROR(AG97/(AC97+AA97),"")</f>
        <v/>
      </c>
      <c r="BE97" s="91" t="n"/>
      <c r="BF97" s="40" t="n"/>
    </row>
    <row r="98" ht="15" customHeight="1" s="67">
      <c r="A98" s="8" t="n"/>
      <c r="B98" s="86" t="n"/>
      <c r="C98" s="86" t="n"/>
      <c r="D98" s="86" t="n"/>
      <c r="E98" s="86" t="n"/>
      <c r="F98" s="86" t="n"/>
      <c r="G98" s="86" t="n"/>
      <c r="H98" s="86" t="n"/>
      <c r="I98" s="86" t="n"/>
      <c r="J98" s="86" t="n"/>
      <c r="K98" s="86" t="n"/>
      <c r="L98" s="86" t="n"/>
      <c r="M98" s="86" t="n"/>
      <c r="N98" s="86" t="n"/>
      <c r="O98" s="86" t="n"/>
      <c r="P98" s="86" t="n"/>
      <c r="Q98" s="86" t="n"/>
      <c r="R98" s="86" t="n"/>
      <c r="S98" s="86" t="n"/>
      <c r="T98" s="86" t="n"/>
      <c r="U98" s="86" t="n"/>
      <c r="V98" s="86" t="n"/>
      <c r="W98" s="86" t="n"/>
      <c r="X98" s="8" t="n"/>
      <c r="Y98" s="8" t="n"/>
      <c r="Z98" s="8" t="n"/>
      <c r="AA98" s="86" t="n"/>
      <c r="AB98" s="87">
        <f>IFERROR(AA98/AF98,"")</f>
        <v/>
      </c>
      <c r="AC98" s="86" t="n"/>
      <c r="AD98" s="86" t="n"/>
      <c r="AE98" s="86" t="n"/>
      <c r="AF98" s="86" t="n"/>
      <c r="AG98" s="86" t="n"/>
      <c r="AH98" s="86" t="n"/>
      <c r="AI98" s="86" t="n"/>
      <c r="AJ98" s="86" t="n"/>
      <c r="AK98" s="86" t="n"/>
      <c r="AL98" s="86" t="n"/>
      <c r="AM98" s="86" t="n"/>
      <c r="AN98" s="86" t="n"/>
      <c r="AO98" s="11">
        <f>IFERROR(AC98/E98,"")</f>
        <v/>
      </c>
      <c r="AP98" s="11">
        <f>IFERROR(AD98/E98,"")</f>
        <v/>
      </c>
      <c r="AQ98" s="11">
        <f>IFERROR(AG98/E98,"")</f>
        <v/>
      </c>
      <c r="AR98" s="87">
        <f>IFERROR(AG98/AF98,"")</f>
        <v/>
      </c>
      <c r="AS98" s="87">
        <f>IFERROR(AH98/AF98,"")</f>
        <v/>
      </c>
      <c r="AT98" s="87">
        <f>IFERROR(AI98/AH98,"")</f>
        <v/>
      </c>
      <c r="AU98" s="87">
        <f>IFERROR(AN98/AH98,"")</f>
        <v/>
      </c>
      <c r="AV98" s="88" t="n"/>
      <c r="AW98" s="89" t="n"/>
      <c r="AX98" s="89" t="n"/>
      <c r="AY98" s="8" t="n"/>
      <c r="AZ98" s="8" t="n"/>
      <c r="BA98" s="8" t="n"/>
      <c r="BB98" s="8" t="n"/>
      <c r="BC98" s="90">
        <f>IFERROR(AG98/AC98,"")</f>
        <v/>
      </c>
      <c r="BD98" s="90">
        <f>IFERROR(AG98/(AC98+AA98),"")</f>
        <v/>
      </c>
      <c r="BE98" s="91" t="n"/>
      <c r="BF98" s="40" t="n"/>
    </row>
    <row r="99" ht="15" customHeight="1" s="67">
      <c r="A99" s="8" t="n"/>
      <c r="B99" s="86" t="n"/>
      <c r="C99" s="86" t="n"/>
      <c r="D99" s="86" t="n"/>
      <c r="E99" s="86" t="n"/>
      <c r="F99" s="86" t="n"/>
      <c r="G99" s="86" t="n"/>
      <c r="H99" s="86" t="n"/>
      <c r="I99" s="86" t="n"/>
      <c r="J99" s="86" t="n"/>
      <c r="K99" s="86" t="n"/>
      <c r="L99" s="86" t="n"/>
      <c r="M99" s="86" t="n"/>
      <c r="N99" s="86" t="n"/>
      <c r="O99" s="86" t="n"/>
      <c r="P99" s="86" t="n"/>
      <c r="Q99" s="86" t="n"/>
      <c r="R99" s="86" t="n"/>
      <c r="S99" s="86" t="n"/>
      <c r="T99" s="86" t="n"/>
      <c r="U99" s="86" t="n"/>
      <c r="V99" s="86" t="n"/>
      <c r="W99" s="86" t="n"/>
      <c r="X99" s="8" t="n"/>
      <c r="Y99" s="8" t="n"/>
      <c r="Z99" s="8" t="n"/>
      <c r="AA99" s="86" t="n"/>
      <c r="AB99" s="87">
        <f>IFERROR(AA99/AF99,"")</f>
        <v/>
      </c>
      <c r="AC99" s="86" t="n"/>
      <c r="AD99" s="86" t="n"/>
      <c r="AE99" s="86" t="n"/>
      <c r="AF99" s="86" t="n"/>
      <c r="AG99" s="86" t="n"/>
      <c r="AH99" s="86" t="n"/>
      <c r="AI99" s="86" t="n"/>
      <c r="AJ99" s="86" t="n"/>
      <c r="AK99" s="86" t="n"/>
      <c r="AL99" s="86" t="n"/>
      <c r="AM99" s="86" t="n"/>
      <c r="AN99" s="86" t="n"/>
      <c r="AO99" s="11">
        <f>IFERROR(AC99/E99,"")</f>
        <v/>
      </c>
      <c r="AP99" s="11">
        <f>IFERROR(AD99/E99,"")</f>
        <v/>
      </c>
      <c r="AQ99" s="11">
        <f>IFERROR(AG99/E99,"")</f>
        <v/>
      </c>
      <c r="AR99" s="87">
        <f>IFERROR(AG99/AF99,"")</f>
        <v/>
      </c>
      <c r="AS99" s="87">
        <f>IFERROR(AH99/AF99,"")</f>
        <v/>
      </c>
      <c r="AT99" s="87">
        <f>IFERROR(AI99/AH99,"")</f>
        <v/>
      </c>
      <c r="AU99" s="87">
        <f>IFERROR(AN99/AH99,"")</f>
        <v/>
      </c>
      <c r="AV99" s="88" t="n"/>
      <c r="AW99" s="89" t="n"/>
      <c r="AX99" s="89" t="n"/>
      <c r="AY99" s="8" t="n"/>
      <c r="AZ99" s="8" t="n"/>
      <c r="BA99" s="8" t="n"/>
      <c r="BB99" s="8" t="n"/>
      <c r="BC99" s="90">
        <f>IFERROR(AG99/AC99,"")</f>
        <v/>
      </c>
      <c r="BD99" s="90">
        <f>IFERROR(AG99/(AC99+AA99),"")</f>
        <v/>
      </c>
      <c r="BE99" s="91" t="n"/>
      <c r="BF99" s="40" t="n"/>
    </row>
    <row r="100" ht="15" customHeight="1" s="67">
      <c r="A100" s="8" t="n"/>
      <c r="B100" s="86" t="n"/>
      <c r="C100" s="86" t="n"/>
      <c r="D100" s="86" t="n"/>
      <c r="E100" s="86" t="n"/>
      <c r="F100" s="86" t="n"/>
      <c r="G100" s="86" t="n"/>
      <c r="H100" s="86" t="n"/>
      <c r="I100" s="86" t="n"/>
      <c r="J100" s="86" t="n"/>
      <c r="K100" s="86" t="n"/>
      <c r="L100" s="86" t="n"/>
      <c r="M100" s="86" t="n"/>
      <c r="N100" s="86" t="n"/>
      <c r="O100" s="86" t="n"/>
      <c r="P100" s="86" t="n"/>
      <c r="Q100" s="86" t="n"/>
      <c r="R100" s="86" t="n"/>
      <c r="S100" s="86" t="n"/>
      <c r="T100" s="86" t="n"/>
      <c r="U100" s="86" t="n"/>
      <c r="V100" s="86" t="n"/>
      <c r="W100" s="86" t="n"/>
      <c r="X100" s="8" t="n"/>
      <c r="Y100" s="8" t="n"/>
      <c r="Z100" s="8" t="n"/>
      <c r="AA100" s="86" t="n"/>
      <c r="AB100" s="87">
        <f>IFERROR(AA100/AF100,"")</f>
        <v/>
      </c>
      <c r="AC100" s="86" t="n"/>
      <c r="AD100" s="86" t="n"/>
      <c r="AE100" s="86" t="n"/>
      <c r="AF100" s="86" t="n"/>
      <c r="AG100" s="86" t="n"/>
      <c r="AH100" s="86" t="n"/>
      <c r="AI100" s="86" t="n"/>
      <c r="AJ100" s="86" t="n"/>
      <c r="AK100" s="86" t="n"/>
      <c r="AL100" s="86" t="n"/>
      <c r="AM100" s="86" t="n"/>
      <c r="AN100" s="86" t="n"/>
      <c r="AO100" s="11">
        <f>IFERROR(AC100/E100,"")</f>
        <v/>
      </c>
      <c r="AP100" s="11">
        <f>IFERROR(AD100/E100,"")</f>
        <v/>
      </c>
      <c r="AQ100" s="11">
        <f>IFERROR(AG100/E100,"")</f>
        <v/>
      </c>
      <c r="AR100" s="87">
        <f>IFERROR(AG100/AF100,"")</f>
        <v/>
      </c>
      <c r="AS100" s="87">
        <f>IFERROR(AH100/AF100,"")</f>
        <v/>
      </c>
      <c r="AT100" s="87">
        <f>IFERROR(AI100/AH100,"")</f>
        <v/>
      </c>
      <c r="AU100" s="87">
        <f>IFERROR(AN100/AH100,"")</f>
        <v/>
      </c>
      <c r="AV100" s="88" t="n"/>
      <c r="AW100" s="89" t="n"/>
      <c r="AX100" s="89" t="n"/>
      <c r="AY100" s="8" t="n"/>
      <c r="AZ100" s="8" t="n"/>
      <c r="BA100" s="8" t="n"/>
      <c r="BB100" s="8" t="n"/>
      <c r="BC100" s="90">
        <f>IFERROR(AG100/AC100,"")</f>
        <v/>
      </c>
      <c r="BD100" s="90">
        <f>IFERROR(AG100/(AC100+AA100),"")</f>
        <v/>
      </c>
      <c r="BE100" s="91" t="n"/>
      <c r="BF100" s="40" t="n"/>
    </row>
    <row r="101" ht="15" customHeight="1" s="67">
      <c r="A101" s="8" t="n"/>
      <c r="B101" s="86" t="n"/>
      <c r="C101" s="86" t="n"/>
      <c r="D101" s="86" t="n"/>
      <c r="E101" s="86" t="n"/>
      <c r="F101" s="86" t="n"/>
      <c r="G101" s="86" t="n"/>
      <c r="H101" s="86" t="n"/>
      <c r="I101" s="86" t="n"/>
      <c r="J101" s="86" t="n"/>
      <c r="K101" s="86" t="n"/>
      <c r="L101" s="86" t="n"/>
      <c r="M101" s="86" t="n"/>
      <c r="N101" s="86" t="n"/>
      <c r="O101" s="86" t="n"/>
      <c r="P101" s="86" t="n"/>
      <c r="Q101" s="86" t="n"/>
      <c r="R101" s="86" t="n"/>
      <c r="S101" s="86" t="n"/>
      <c r="T101" s="86" t="n"/>
      <c r="U101" s="86" t="n"/>
      <c r="V101" s="86" t="n"/>
      <c r="W101" s="86" t="n"/>
      <c r="X101" s="8" t="n"/>
      <c r="Y101" s="8" t="n"/>
      <c r="Z101" s="8" t="n"/>
      <c r="AA101" s="86" t="n"/>
      <c r="AB101" s="87">
        <f>IFERROR(AA101/AF101,"")</f>
        <v/>
      </c>
      <c r="AC101" s="86" t="n"/>
      <c r="AD101" s="86" t="n"/>
      <c r="AE101" s="86" t="n"/>
      <c r="AF101" s="86" t="n"/>
      <c r="AG101" s="86" t="n"/>
      <c r="AH101" s="86" t="n"/>
      <c r="AI101" s="86" t="n"/>
      <c r="AJ101" s="86" t="n"/>
      <c r="AK101" s="86" t="n"/>
      <c r="AL101" s="86" t="n"/>
      <c r="AM101" s="86" t="n"/>
      <c r="AN101" s="86" t="n"/>
      <c r="AO101" s="11">
        <f>IFERROR(AC101/E101,"")</f>
        <v/>
      </c>
      <c r="AP101" s="11">
        <f>IFERROR(AD101/E101,"")</f>
        <v/>
      </c>
      <c r="AQ101" s="11">
        <f>IFERROR(AG101/E101,"")</f>
        <v/>
      </c>
      <c r="AR101" s="87">
        <f>IFERROR(AG101/AF101,"")</f>
        <v/>
      </c>
      <c r="AS101" s="87">
        <f>IFERROR(AH101/AF101,"")</f>
        <v/>
      </c>
      <c r="AT101" s="87">
        <f>IFERROR(AI101/AH101,"")</f>
        <v/>
      </c>
      <c r="AU101" s="87">
        <f>IFERROR(AN101/AH101,"")</f>
        <v/>
      </c>
      <c r="AV101" s="88" t="n"/>
      <c r="AW101" s="89" t="n"/>
      <c r="AX101" s="89" t="n"/>
      <c r="AY101" s="8" t="n"/>
      <c r="AZ101" s="8" t="n"/>
      <c r="BA101" s="8" t="n"/>
      <c r="BB101" s="8" t="n"/>
      <c r="BC101" s="90">
        <f>IFERROR(AG101/AC101,"")</f>
        <v/>
      </c>
      <c r="BD101" s="90">
        <f>IFERROR(AG101/(AC101+AA101),"")</f>
        <v/>
      </c>
      <c r="BE101" s="91" t="n"/>
      <c r="BF101" s="40" t="n"/>
    </row>
    <row r="102" ht="15" customHeight="1" s="67">
      <c r="A102" s="8" t="n"/>
      <c r="B102" s="86" t="n"/>
      <c r="C102" s="86" t="n"/>
      <c r="D102" s="86" t="n"/>
      <c r="E102" s="86" t="n"/>
      <c r="F102" s="86" t="n"/>
      <c r="G102" s="86" t="n"/>
      <c r="H102" s="86" t="n"/>
      <c r="I102" s="86" t="n"/>
      <c r="J102" s="86" t="n"/>
      <c r="K102" s="86" t="n"/>
      <c r="L102" s="86" t="n"/>
      <c r="M102" s="86" t="n"/>
      <c r="N102" s="86" t="n"/>
      <c r="O102" s="86" t="n"/>
      <c r="P102" s="86" t="n"/>
      <c r="Q102" s="86" t="n"/>
      <c r="R102" s="86" t="n"/>
      <c r="S102" s="86" t="n"/>
      <c r="T102" s="86" t="n"/>
      <c r="U102" s="86" t="n"/>
      <c r="V102" s="86" t="n"/>
      <c r="W102" s="86" t="n"/>
      <c r="X102" s="8" t="n"/>
      <c r="Y102" s="8" t="n"/>
      <c r="Z102" s="8" t="n"/>
      <c r="AA102" s="86" t="n"/>
      <c r="AB102" s="87">
        <f>IFERROR(AA102/AF102,"")</f>
        <v/>
      </c>
      <c r="AC102" s="86" t="n"/>
      <c r="AD102" s="86" t="n"/>
      <c r="AE102" s="86" t="n"/>
      <c r="AF102" s="86" t="n"/>
      <c r="AG102" s="86" t="n"/>
      <c r="AH102" s="86" t="n"/>
      <c r="AI102" s="86" t="n"/>
      <c r="AJ102" s="86" t="n"/>
      <c r="AK102" s="86" t="n"/>
      <c r="AL102" s="86" t="n"/>
      <c r="AM102" s="86" t="n"/>
      <c r="AN102" s="86" t="n"/>
      <c r="AO102" s="11">
        <f>IFERROR(AC102/E102,"")</f>
        <v/>
      </c>
      <c r="AP102" s="11">
        <f>IFERROR(AD102/E102,"")</f>
        <v/>
      </c>
      <c r="AQ102" s="11">
        <f>IFERROR(AG102/E102,"")</f>
        <v/>
      </c>
      <c r="AR102" s="87">
        <f>IFERROR(AG102/AF102,"")</f>
        <v/>
      </c>
      <c r="AS102" s="87">
        <f>IFERROR(AH102/AF102,"")</f>
        <v/>
      </c>
      <c r="AT102" s="87">
        <f>IFERROR(AI102/AH102,"")</f>
        <v/>
      </c>
      <c r="AU102" s="87">
        <f>IFERROR(AN102/AH102,"")</f>
        <v/>
      </c>
      <c r="AV102" s="88" t="n"/>
      <c r="AW102" s="89" t="n"/>
      <c r="AX102" s="89" t="n"/>
      <c r="AY102" s="8" t="n"/>
      <c r="AZ102" s="8" t="n"/>
      <c r="BA102" s="8" t="n"/>
      <c r="BB102" s="8" t="n"/>
      <c r="BC102" s="90">
        <f>IFERROR(AG102/AC102,"")</f>
        <v/>
      </c>
      <c r="BD102" s="90">
        <f>IFERROR(AG102/(AC102+AA102),"")</f>
        <v/>
      </c>
      <c r="BE102" s="91" t="n"/>
      <c r="BF102" s="40" t="n"/>
    </row>
    <row r="103" ht="15" customHeight="1" s="67">
      <c r="A103" s="8" t="n"/>
      <c r="B103" s="86" t="n"/>
      <c r="C103" s="86" t="n"/>
      <c r="D103" s="86" t="n"/>
      <c r="E103" s="86" t="n"/>
      <c r="F103" s="86" t="n"/>
      <c r="G103" s="86" t="n"/>
      <c r="H103" s="86" t="n"/>
      <c r="I103" s="86" t="n"/>
      <c r="J103" s="86" t="n"/>
      <c r="K103" s="86" t="n"/>
      <c r="L103" s="86" t="n"/>
      <c r="M103" s="86" t="n"/>
      <c r="N103" s="86" t="n"/>
      <c r="O103" s="86" t="n"/>
      <c r="P103" s="86" t="n"/>
      <c r="Q103" s="86" t="n"/>
      <c r="R103" s="86" t="n"/>
      <c r="S103" s="86" t="n"/>
      <c r="T103" s="86" t="n"/>
      <c r="U103" s="86" t="n"/>
      <c r="V103" s="86" t="n"/>
      <c r="W103" s="86" t="n"/>
      <c r="X103" s="8" t="n"/>
      <c r="Y103" s="8" t="n"/>
      <c r="Z103" s="8" t="n"/>
      <c r="AA103" s="86" t="n"/>
      <c r="AB103" s="87">
        <f>IFERROR(AA103/AF103,"")</f>
        <v/>
      </c>
      <c r="AC103" s="86" t="n"/>
      <c r="AD103" s="86" t="n"/>
      <c r="AE103" s="86" t="n"/>
      <c r="AF103" s="86" t="n"/>
      <c r="AG103" s="86" t="n"/>
      <c r="AH103" s="86" t="n"/>
      <c r="AI103" s="86" t="n"/>
      <c r="AJ103" s="86" t="n"/>
      <c r="AK103" s="86" t="n"/>
      <c r="AL103" s="86" t="n"/>
      <c r="AM103" s="86" t="n"/>
      <c r="AN103" s="86" t="n"/>
      <c r="AO103" s="11">
        <f>IFERROR(AC103/E103,"")</f>
        <v/>
      </c>
      <c r="AP103" s="11">
        <f>IFERROR(AD103/E103,"")</f>
        <v/>
      </c>
      <c r="AQ103" s="11">
        <f>IFERROR(AG103/E103,"")</f>
        <v/>
      </c>
      <c r="AR103" s="87">
        <f>IFERROR(AG103/AF103,"")</f>
        <v/>
      </c>
      <c r="AS103" s="87">
        <f>IFERROR(AH103/AF103,"")</f>
        <v/>
      </c>
      <c r="AT103" s="87">
        <f>IFERROR(AI103/AH103,"")</f>
        <v/>
      </c>
      <c r="AU103" s="87">
        <f>IFERROR(AN103/AH103,"")</f>
        <v/>
      </c>
      <c r="AV103" s="88" t="n"/>
      <c r="AW103" s="89" t="n"/>
      <c r="AX103" s="89" t="n"/>
      <c r="AY103" s="8" t="n"/>
      <c r="AZ103" s="8" t="n"/>
      <c r="BA103" s="8" t="n"/>
      <c r="BB103" s="8" t="n"/>
      <c r="BC103" s="90">
        <f>IFERROR(AG103/AC103,"")</f>
        <v/>
      </c>
      <c r="BD103" s="90">
        <f>IFERROR(AG103/(AC103+AA103),"")</f>
        <v/>
      </c>
      <c r="BE103" s="91" t="n"/>
      <c r="BF103" s="40" t="n"/>
    </row>
    <row r="104" ht="15" customHeight="1" s="67">
      <c r="A104" s="8" t="n"/>
      <c r="B104" s="86" t="n"/>
      <c r="C104" s="86" t="n"/>
      <c r="D104" s="86" t="n"/>
      <c r="E104" s="86" t="n"/>
      <c r="F104" s="86" t="n"/>
      <c r="G104" s="86" t="n"/>
      <c r="H104" s="86" t="n"/>
      <c r="I104" s="86" t="n"/>
      <c r="J104" s="86" t="n"/>
      <c r="K104" s="86" t="n"/>
      <c r="L104" s="86" t="n"/>
      <c r="M104" s="86" t="n"/>
      <c r="N104" s="86" t="n"/>
      <c r="O104" s="86" t="n"/>
      <c r="P104" s="86" t="n"/>
      <c r="Q104" s="86" t="n"/>
      <c r="R104" s="86" t="n"/>
      <c r="S104" s="86" t="n"/>
      <c r="T104" s="86" t="n"/>
      <c r="U104" s="86" t="n"/>
      <c r="V104" s="86" t="n"/>
      <c r="W104" s="86" t="n"/>
      <c r="X104" s="8" t="n"/>
      <c r="Y104" s="8" t="n"/>
      <c r="Z104" s="8" t="n"/>
      <c r="AA104" s="86" t="n"/>
      <c r="AB104" s="87">
        <f>IFERROR(AA104/AF104,"")</f>
        <v/>
      </c>
      <c r="AC104" s="86" t="n"/>
      <c r="AD104" s="86" t="n"/>
      <c r="AE104" s="86" t="n"/>
      <c r="AF104" s="86" t="n"/>
      <c r="AG104" s="86" t="n"/>
      <c r="AH104" s="86" t="n"/>
      <c r="AI104" s="86" t="n"/>
      <c r="AJ104" s="86" t="n"/>
      <c r="AK104" s="86" t="n"/>
      <c r="AL104" s="86" t="n"/>
      <c r="AM104" s="86" t="n"/>
      <c r="AN104" s="86" t="n"/>
      <c r="AO104" s="11">
        <f>IFERROR(AC104/E104,"")</f>
        <v/>
      </c>
      <c r="AP104" s="11">
        <f>IFERROR(AD104/E104,"")</f>
        <v/>
      </c>
      <c r="AQ104" s="11">
        <f>IFERROR(AG104/E104,"")</f>
        <v/>
      </c>
      <c r="AR104" s="87">
        <f>IFERROR(AG104/AF104,"")</f>
        <v/>
      </c>
      <c r="AS104" s="87">
        <f>IFERROR(AH104/AF104,"")</f>
        <v/>
      </c>
      <c r="AT104" s="87">
        <f>IFERROR(AI104/AH104,"")</f>
        <v/>
      </c>
      <c r="AU104" s="87">
        <f>IFERROR(AN104/AH104,"")</f>
        <v/>
      </c>
      <c r="AV104" s="88" t="n"/>
      <c r="AW104" s="89" t="n"/>
      <c r="AX104" s="89" t="n"/>
      <c r="AY104" s="8" t="n"/>
      <c r="AZ104" s="8" t="n"/>
      <c r="BA104" s="8" t="n"/>
      <c r="BB104" s="8" t="n"/>
      <c r="BC104" s="90">
        <f>IFERROR(AG104/AC104,"")</f>
        <v/>
      </c>
      <c r="BD104" s="90">
        <f>IFERROR(AG104/(AC104+AA104),"")</f>
        <v/>
      </c>
      <c r="BE104" s="91" t="n"/>
      <c r="BF104" s="40" t="n"/>
    </row>
    <row r="105" ht="15" customHeight="1" s="67">
      <c r="A105" s="8" t="n"/>
      <c r="B105" s="86" t="n"/>
      <c r="C105" s="86" t="n"/>
      <c r="D105" s="86" t="n"/>
      <c r="E105" s="86" t="n"/>
      <c r="F105" s="86" t="n"/>
      <c r="G105" s="86" t="n"/>
      <c r="H105" s="86" t="n"/>
      <c r="I105" s="86" t="n"/>
      <c r="J105" s="86" t="n"/>
      <c r="K105" s="86" t="n"/>
      <c r="L105" s="86" t="n"/>
      <c r="M105" s="86" t="n"/>
      <c r="N105" s="86" t="n"/>
      <c r="O105" s="86" t="n"/>
      <c r="P105" s="86" t="n"/>
      <c r="Q105" s="86" t="n"/>
      <c r="R105" s="86" t="n"/>
      <c r="S105" s="86" t="n"/>
      <c r="T105" s="86" t="n"/>
      <c r="U105" s="86" t="n"/>
      <c r="V105" s="86" t="n"/>
      <c r="W105" s="86" t="n"/>
      <c r="X105" s="8" t="n"/>
      <c r="Y105" s="8" t="n"/>
      <c r="Z105" s="8" t="n"/>
      <c r="AA105" s="86" t="n"/>
      <c r="AB105" s="87">
        <f>IFERROR(AA105/AF105,"")</f>
        <v/>
      </c>
      <c r="AC105" s="86" t="n"/>
      <c r="AD105" s="86" t="n"/>
      <c r="AE105" s="86" t="n"/>
      <c r="AF105" s="86" t="n"/>
      <c r="AG105" s="86" t="n"/>
      <c r="AH105" s="86" t="n"/>
      <c r="AI105" s="86" t="n"/>
      <c r="AJ105" s="86" t="n"/>
      <c r="AK105" s="86" t="n"/>
      <c r="AL105" s="86" t="n"/>
      <c r="AM105" s="86" t="n"/>
      <c r="AN105" s="86" t="n"/>
      <c r="AO105" s="11">
        <f>IFERROR(AC105/E105,"")</f>
        <v/>
      </c>
      <c r="AP105" s="11">
        <f>IFERROR(AD105/E105,"")</f>
        <v/>
      </c>
      <c r="AQ105" s="11">
        <f>IFERROR(AG105/E105,"")</f>
        <v/>
      </c>
      <c r="AR105" s="87">
        <f>IFERROR(AG105/AF105,"")</f>
        <v/>
      </c>
      <c r="AS105" s="87">
        <f>IFERROR(AH105/AF105,"")</f>
        <v/>
      </c>
      <c r="AT105" s="87">
        <f>IFERROR(AI105/AH105,"")</f>
        <v/>
      </c>
      <c r="AU105" s="87">
        <f>IFERROR(AN105/AH105,"")</f>
        <v/>
      </c>
      <c r="AV105" s="88" t="n"/>
      <c r="AW105" s="89" t="n"/>
      <c r="AX105" s="89" t="n"/>
      <c r="AY105" s="8" t="n"/>
      <c r="AZ105" s="8" t="n"/>
      <c r="BA105" s="8" t="n"/>
      <c r="BB105" s="8" t="n"/>
      <c r="BC105" s="90">
        <f>IFERROR(AG105/AC105,"")</f>
        <v/>
      </c>
      <c r="BD105" s="90">
        <f>IFERROR(AG105/(AC105+AA105),"")</f>
        <v/>
      </c>
      <c r="BE105" s="91" t="n"/>
      <c r="BF105" s="40" t="n"/>
    </row>
    <row r="106" ht="15" customHeight="1" s="67">
      <c r="A106" s="8" t="n"/>
      <c r="B106" s="86" t="n"/>
      <c r="C106" s="86" t="n"/>
      <c r="D106" s="86" t="n"/>
      <c r="E106" s="86" t="n"/>
      <c r="F106" s="86" t="n"/>
      <c r="G106" s="86" t="n"/>
      <c r="H106" s="86" t="n"/>
      <c r="I106" s="86" t="n"/>
      <c r="J106" s="86" t="n"/>
      <c r="K106" s="86" t="n"/>
      <c r="L106" s="86" t="n"/>
      <c r="M106" s="86" t="n"/>
      <c r="N106" s="86" t="n"/>
      <c r="O106" s="86" t="n"/>
      <c r="P106" s="86" t="n"/>
      <c r="Q106" s="86" t="n"/>
      <c r="R106" s="86" t="n"/>
      <c r="S106" s="86" t="n"/>
      <c r="T106" s="86" t="n"/>
      <c r="U106" s="86" t="n"/>
      <c r="V106" s="86" t="n"/>
      <c r="W106" s="86" t="n"/>
      <c r="X106" s="8" t="n"/>
      <c r="Y106" s="8" t="n"/>
      <c r="Z106" s="8" t="n"/>
      <c r="AA106" s="86" t="n"/>
      <c r="AB106" s="87">
        <f>IFERROR(AA106/AF106,"")</f>
        <v/>
      </c>
      <c r="AC106" s="86" t="n"/>
      <c r="AD106" s="86" t="n"/>
      <c r="AE106" s="86" t="n"/>
      <c r="AF106" s="86" t="n"/>
      <c r="AG106" s="86" t="n"/>
      <c r="AH106" s="86" t="n"/>
      <c r="AI106" s="86" t="n"/>
      <c r="AJ106" s="86" t="n"/>
      <c r="AK106" s="86" t="n"/>
      <c r="AL106" s="86" t="n"/>
      <c r="AM106" s="86" t="n"/>
      <c r="AN106" s="86" t="n"/>
      <c r="AO106" s="11">
        <f>IFERROR(AC106/E106,"")</f>
        <v/>
      </c>
      <c r="AP106" s="11">
        <f>IFERROR(AD106/E106,"")</f>
        <v/>
      </c>
      <c r="AQ106" s="11">
        <f>IFERROR(AG106/E106,"")</f>
        <v/>
      </c>
      <c r="AR106" s="87">
        <f>IFERROR(AG106/AF106,"")</f>
        <v/>
      </c>
      <c r="AS106" s="87">
        <f>IFERROR(AH106/AF106,"")</f>
        <v/>
      </c>
      <c r="AT106" s="87">
        <f>IFERROR(AI106/AH106,"")</f>
        <v/>
      </c>
      <c r="AU106" s="87">
        <f>IFERROR(AN106/AH106,"")</f>
        <v/>
      </c>
      <c r="AV106" s="88" t="n"/>
      <c r="AW106" s="89" t="n"/>
      <c r="AX106" s="89" t="n"/>
      <c r="AY106" s="8" t="n"/>
      <c r="AZ106" s="8" t="n"/>
      <c r="BA106" s="8" t="n"/>
      <c r="BB106" s="8" t="n"/>
      <c r="BC106" s="90">
        <f>IFERROR(AG106/AC106,"")</f>
        <v/>
      </c>
      <c r="BD106" s="90">
        <f>IFERROR(AG106/(AC106+AA106),"")</f>
        <v/>
      </c>
      <c r="BE106" s="91" t="n"/>
      <c r="BF106" s="40" t="n"/>
    </row>
    <row r="107" ht="15" customHeight="1" s="67">
      <c r="A107" s="8" t="n"/>
      <c r="B107" s="86" t="n"/>
      <c r="C107" s="86" t="n"/>
      <c r="D107" s="86" t="n"/>
      <c r="E107" s="86" t="n"/>
      <c r="F107" s="86" t="n"/>
      <c r="G107" s="86" t="n"/>
      <c r="H107" s="86" t="n"/>
      <c r="I107" s="86" t="n"/>
      <c r="J107" s="86" t="n"/>
      <c r="K107" s="86" t="n"/>
      <c r="L107" s="86" t="n"/>
      <c r="M107" s="86" t="n"/>
      <c r="N107" s="86" t="n"/>
      <c r="O107" s="86" t="n"/>
      <c r="P107" s="86" t="n"/>
      <c r="Q107" s="86" t="n"/>
      <c r="R107" s="86" t="n"/>
      <c r="S107" s="86" t="n"/>
      <c r="T107" s="86" t="n"/>
      <c r="U107" s="86" t="n"/>
      <c r="V107" s="86" t="n"/>
      <c r="W107" s="86" t="n"/>
      <c r="X107" s="8" t="n"/>
      <c r="Y107" s="8" t="n"/>
      <c r="Z107" s="8" t="n"/>
      <c r="AA107" s="86" t="n"/>
      <c r="AB107" s="87">
        <f>IFERROR(AA107/AF107,"")</f>
        <v/>
      </c>
      <c r="AC107" s="86" t="n"/>
      <c r="AD107" s="86" t="n"/>
      <c r="AE107" s="86" t="n"/>
      <c r="AF107" s="86" t="n"/>
      <c r="AG107" s="86" t="n"/>
      <c r="AH107" s="86" t="n"/>
      <c r="AI107" s="86" t="n"/>
      <c r="AJ107" s="86" t="n"/>
      <c r="AK107" s="86" t="n"/>
      <c r="AL107" s="86" t="n"/>
      <c r="AM107" s="86" t="n"/>
      <c r="AN107" s="86" t="n"/>
      <c r="AO107" s="11">
        <f>IFERROR(AC107/E107,"")</f>
        <v/>
      </c>
      <c r="AP107" s="11">
        <f>IFERROR(AD107/E107,"")</f>
        <v/>
      </c>
      <c r="AQ107" s="11">
        <f>IFERROR(AG107/E107,"")</f>
        <v/>
      </c>
      <c r="AR107" s="87">
        <f>IFERROR(AG107/AF107,"")</f>
        <v/>
      </c>
      <c r="AS107" s="87">
        <f>IFERROR(AH107/AF107,"")</f>
        <v/>
      </c>
      <c r="AT107" s="87">
        <f>IFERROR(AI107/AH107,"")</f>
        <v/>
      </c>
      <c r="AU107" s="87">
        <f>IFERROR(AN107/AH107,"")</f>
        <v/>
      </c>
      <c r="AV107" s="88" t="n"/>
      <c r="AW107" s="89" t="n"/>
      <c r="AX107" s="89" t="n"/>
      <c r="AY107" s="8" t="n"/>
      <c r="AZ107" s="8" t="n"/>
      <c r="BA107" s="8" t="n"/>
      <c r="BB107" s="8" t="n"/>
      <c r="BC107" s="90">
        <f>IFERROR(AG107/AC107,"")</f>
        <v/>
      </c>
      <c r="BD107" s="90">
        <f>IFERROR(AG107/(AC107+AA107),"")</f>
        <v/>
      </c>
      <c r="BE107" s="91" t="n"/>
      <c r="BF107" s="40" t="n"/>
    </row>
    <row r="108" ht="15" customHeight="1" s="67">
      <c r="A108" s="8" t="n"/>
      <c r="B108" s="86" t="n"/>
      <c r="C108" s="86" t="n"/>
      <c r="D108" s="86" t="n"/>
      <c r="E108" s="86" t="n"/>
      <c r="F108" s="86" t="n"/>
      <c r="G108" s="86" t="n"/>
      <c r="H108" s="86" t="n"/>
      <c r="I108" s="86" t="n"/>
      <c r="J108" s="86" t="n"/>
      <c r="K108" s="86" t="n"/>
      <c r="L108" s="86" t="n"/>
      <c r="M108" s="86" t="n"/>
      <c r="N108" s="86" t="n"/>
      <c r="O108" s="86" t="n"/>
      <c r="P108" s="86" t="n"/>
      <c r="Q108" s="86" t="n"/>
      <c r="R108" s="86" t="n"/>
      <c r="S108" s="86" t="n"/>
      <c r="T108" s="86" t="n"/>
      <c r="U108" s="86" t="n"/>
      <c r="V108" s="86" t="n"/>
      <c r="W108" s="86" t="n"/>
      <c r="X108" s="8" t="n"/>
      <c r="Y108" s="8" t="n"/>
      <c r="Z108" s="8" t="n"/>
      <c r="AA108" s="86" t="n"/>
      <c r="AB108" s="87">
        <f>IFERROR(AA108/AF108,"")</f>
        <v/>
      </c>
      <c r="AC108" s="86" t="n"/>
      <c r="AD108" s="86" t="n"/>
      <c r="AE108" s="86" t="n"/>
      <c r="AF108" s="86" t="n"/>
      <c r="AG108" s="86" t="n"/>
      <c r="AH108" s="86" t="n"/>
      <c r="AI108" s="86" t="n"/>
      <c r="AJ108" s="86" t="n"/>
      <c r="AK108" s="86" t="n"/>
      <c r="AL108" s="86" t="n"/>
      <c r="AM108" s="86" t="n"/>
      <c r="AN108" s="86" t="n"/>
      <c r="AO108" s="11">
        <f>IFERROR(AC108/E108,"")</f>
        <v/>
      </c>
      <c r="AP108" s="11">
        <f>IFERROR(AD108/E108,"")</f>
        <v/>
      </c>
      <c r="AQ108" s="11">
        <f>IFERROR(AG108/E108,"")</f>
        <v/>
      </c>
      <c r="AR108" s="87">
        <f>IFERROR(AG108/AF108,"")</f>
        <v/>
      </c>
      <c r="AS108" s="87">
        <f>IFERROR(AH108/AF108,"")</f>
        <v/>
      </c>
      <c r="AT108" s="87">
        <f>IFERROR(AI108/AH108,"")</f>
        <v/>
      </c>
      <c r="AU108" s="87">
        <f>IFERROR(AN108/AH108,"")</f>
        <v/>
      </c>
      <c r="AV108" s="88" t="n"/>
      <c r="AW108" s="89" t="n"/>
      <c r="AX108" s="89" t="n"/>
      <c r="AY108" s="8" t="n"/>
      <c r="AZ108" s="8" t="n"/>
      <c r="BA108" s="8" t="n"/>
      <c r="BB108" s="8" t="n"/>
      <c r="BC108" s="90">
        <f>IFERROR(AG108/AC108,"")</f>
        <v/>
      </c>
      <c r="BD108" s="90">
        <f>IFERROR(AG108/(AC108+AA108),"")</f>
        <v/>
      </c>
      <c r="BE108" s="91" t="n"/>
      <c r="BF108" s="40" t="n"/>
    </row>
    <row r="109" ht="15" customHeight="1" s="67">
      <c r="A109" s="8" t="n"/>
      <c r="B109" s="86" t="n"/>
      <c r="C109" s="86" t="n"/>
      <c r="D109" s="86" t="n"/>
      <c r="E109" s="86" t="n"/>
      <c r="F109" s="86" t="n"/>
      <c r="G109" s="86" t="n"/>
      <c r="H109" s="86" t="n"/>
      <c r="I109" s="86" t="n"/>
      <c r="J109" s="86" t="n"/>
      <c r="K109" s="86" t="n"/>
      <c r="L109" s="86" t="n"/>
      <c r="M109" s="86" t="n"/>
      <c r="N109" s="86" t="n"/>
      <c r="O109" s="86" t="n"/>
      <c r="P109" s="86" t="n"/>
      <c r="Q109" s="86" t="n"/>
      <c r="R109" s="86" t="n"/>
      <c r="S109" s="86" t="n"/>
      <c r="T109" s="86" t="n"/>
      <c r="U109" s="86" t="n"/>
      <c r="V109" s="86" t="n"/>
      <c r="W109" s="86" t="n"/>
      <c r="X109" s="8" t="n"/>
      <c r="Y109" s="8" t="n"/>
      <c r="Z109" s="8" t="n"/>
      <c r="AA109" s="86" t="n"/>
      <c r="AB109" s="87">
        <f>IFERROR(AA109/AF109,"")</f>
        <v/>
      </c>
      <c r="AC109" s="86" t="n"/>
      <c r="AD109" s="86" t="n"/>
      <c r="AE109" s="86" t="n"/>
      <c r="AF109" s="86" t="n"/>
      <c r="AG109" s="86" t="n"/>
      <c r="AH109" s="86" t="n"/>
      <c r="AI109" s="86" t="n"/>
      <c r="AJ109" s="86" t="n"/>
      <c r="AK109" s="86" t="n"/>
      <c r="AL109" s="86" t="n"/>
      <c r="AM109" s="86" t="n"/>
      <c r="AN109" s="86" t="n"/>
      <c r="AO109" s="11">
        <f>IFERROR(AC109/E109,"")</f>
        <v/>
      </c>
      <c r="AP109" s="11">
        <f>IFERROR(AD109/E109,"")</f>
        <v/>
      </c>
      <c r="AQ109" s="11">
        <f>IFERROR(AG109/E109,"")</f>
        <v/>
      </c>
      <c r="AR109" s="87">
        <f>IFERROR(AG109/AF109,"")</f>
        <v/>
      </c>
      <c r="AS109" s="87">
        <f>IFERROR(AH109/AF109,"")</f>
        <v/>
      </c>
      <c r="AT109" s="87">
        <f>IFERROR(AI109/AH109,"")</f>
        <v/>
      </c>
      <c r="AU109" s="87">
        <f>IFERROR(AN109/AH109,"")</f>
        <v/>
      </c>
      <c r="AV109" s="88" t="n"/>
      <c r="AW109" s="89" t="n"/>
      <c r="AX109" s="89" t="n"/>
      <c r="AY109" s="8" t="n"/>
      <c r="AZ109" s="8" t="n"/>
      <c r="BA109" s="8" t="n"/>
      <c r="BB109" s="8" t="n"/>
      <c r="BC109" s="90">
        <f>IFERROR(AG109/AC109,"")</f>
        <v/>
      </c>
      <c r="BD109" s="90">
        <f>IFERROR(AG109/(AC109+AA109),"")</f>
        <v/>
      </c>
      <c r="BE109" s="91" t="n"/>
      <c r="BF109" s="40" t="n"/>
    </row>
    <row r="110" ht="15" customHeight="1" s="67">
      <c r="A110" s="8" t="n"/>
      <c r="B110" s="86" t="n"/>
      <c r="C110" s="86" t="n"/>
      <c r="D110" s="86" t="n"/>
      <c r="E110" s="86" t="n"/>
      <c r="F110" s="86" t="n"/>
      <c r="G110" s="86" t="n"/>
      <c r="H110" s="86" t="n"/>
      <c r="I110" s="86" t="n"/>
      <c r="J110" s="86" t="n"/>
      <c r="K110" s="86" t="n"/>
      <c r="L110" s="86" t="n"/>
      <c r="M110" s="86" t="n"/>
      <c r="N110" s="86" t="n"/>
      <c r="O110" s="86" t="n"/>
      <c r="P110" s="86" t="n"/>
      <c r="Q110" s="86" t="n"/>
      <c r="R110" s="86" t="n"/>
      <c r="S110" s="86" t="n"/>
      <c r="T110" s="86" t="n"/>
      <c r="U110" s="86" t="n"/>
      <c r="V110" s="86" t="n"/>
      <c r="W110" s="86" t="n"/>
      <c r="X110" s="8" t="n"/>
      <c r="Y110" s="8" t="n"/>
      <c r="Z110" s="8" t="n"/>
      <c r="AA110" s="86" t="n"/>
      <c r="AB110" s="87">
        <f>IFERROR(AA110/AF110,"")</f>
        <v/>
      </c>
      <c r="AC110" s="86" t="n"/>
      <c r="AD110" s="86" t="n"/>
      <c r="AE110" s="86" t="n"/>
      <c r="AF110" s="86" t="n"/>
      <c r="AG110" s="86" t="n"/>
      <c r="AH110" s="86" t="n"/>
      <c r="AI110" s="86" t="n"/>
      <c r="AJ110" s="86" t="n"/>
      <c r="AK110" s="86" t="n"/>
      <c r="AL110" s="86" t="n"/>
      <c r="AM110" s="86" t="n"/>
      <c r="AN110" s="86" t="n"/>
      <c r="AO110" s="11">
        <f>IFERROR(AC110/E110,"")</f>
        <v/>
      </c>
      <c r="AP110" s="11">
        <f>IFERROR(AD110/E110,"")</f>
        <v/>
      </c>
      <c r="AQ110" s="11">
        <f>IFERROR(AG110/E110,"")</f>
        <v/>
      </c>
      <c r="AR110" s="87">
        <f>IFERROR(AG110/AF110,"")</f>
        <v/>
      </c>
      <c r="AS110" s="87">
        <f>IFERROR(AH110/AF110,"")</f>
        <v/>
      </c>
      <c r="AT110" s="87">
        <f>IFERROR(AI110/AH110,"")</f>
        <v/>
      </c>
      <c r="AU110" s="87">
        <f>IFERROR(AN110/AH110,"")</f>
        <v/>
      </c>
      <c r="AV110" s="88" t="n"/>
      <c r="AW110" s="89" t="n"/>
      <c r="AX110" s="89" t="n"/>
      <c r="AY110" s="8" t="n"/>
      <c r="AZ110" s="8" t="n"/>
      <c r="BA110" s="8" t="n"/>
      <c r="BB110" s="8" t="n"/>
      <c r="BC110" s="90">
        <f>IFERROR(AG110/AC110,"")</f>
        <v/>
      </c>
      <c r="BD110" s="90">
        <f>IFERROR(AG110/(AC110+AA110),"")</f>
        <v/>
      </c>
      <c r="BE110" s="91" t="n"/>
      <c r="BF110" s="40" t="n"/>
    </row>
    <row r="111" ht="15" customHeight="1" s="67">
      <c r="A111" s="8" t="n"/>
      <c r="B111" s="86" t="n"/>
      <c r="C111" s="86" t="n"/>
      <c r="D111" s="86" t="n"/>
      <c r="E111" s="86" t="n"/>
      <c r="F111" s="86" t="n"/>
      <c r="G111" s="86" t="n"/>
      <c r="H111" s="86" t="n"/>
      <c r="I111" s="86" t="n"/>
      <c r="J111" s="86" t="n"/>
      <c r="K111" s="86" t="n"/>
      <c r="L111" s="86" t="n"/>
      <c r="M111" s="86" t="n"/>
      <c r="N111" s="86" t="n"/>
      <c r="O111" s="86" t="n"/>
      <c r="P111" s="86" t="n"/>
      <c r="Q111" s="86" t="n"/>
      <c r="R111" s="86" t="n"/>
      <c r="S111" s="86" t="n"/>
      <c r="T111" s="86" t="n"/>
      <c r="U111" s="86" t="n"/>
      <c r="V111" s="86" t="n"/>
      <c r="W111" s="86" t="n"/>
      <c r="X111" s="8" t="n"/>
      <c r="Y111" s="8" t="n"/>
      <c r="Z111" s="8" t="n"/>
      <c r="AA111" s="86" t="n"/>
      <c r="AB111" s="87">
        <f>IFERROR(AA111/AF111,"")</f>
        <v/>
      </c>
      <c r="AC111" s="86" t="n"/>
      <c r="AD111" s="86" t="n"/>
      <c r="AE111" s="86" t="n"/>
      <c r="AF111" s="86" t="n"/>
      <c r="AG111" s="86" t="n"/>
      <c r="AH111" s="86" t="n"/>
      <c r="AI111" s="86" t="n"/>
      <c r="AJ111" s="86" t="n"/>
      <c r="AK111" s="86" t="n"/>
      <c r="AL111" s="86" t="n"/>
      <c r="AM111" s="86" t="n"/>
      <c r="AN111" s="86" t="n"/>
      <c r="AO111" s="11">
        <f>IFERROR(AC111/E111,"")</f>
        <v/>
      </c>
      <c r="AP111" s="11">
        <f>IFERROR(AD111/E111,"")</f>
        <v/>
      </c>
      <c r="AQ111" s="11">
        <f>IFERROR(AG111/E111,"")</f>
        <v/>
      </c>
      <c r="AR111" s="87">
        <f>IFERROR(AG111/AF111,"")</f>
        <v/>
      </c>
      <c r="AS111" s="87">
        <f>IFERROR(AH111/AF111,"")</f>
        <v/>
      </c>
      <c r="AT111" s="87">
        <f>IFERROR(AI111/AH111,"")</f>
        <v/>
      </c>
      <c r="AU111" s="87">
        <f>IFERROR(AN111/AH111,"")</f>
        <v/>
      </c>
      <c r="AV111" s="88" t="n"/>
      <c r="AW111" s="89" t="n"/>
      <c r="AX111" s="89" t="n"/>
      <c r="AY111" s="8" t="n"/>
      <c r="AZ111" s="8" t="n"/>
      <c r="BA111" s="8" t="n"/>
      <c r="BB111" s="8" t="n"/>
      <c r="BC111" s="90">
        <f>IFERROR(AG111/AC111,"")</f>
        <v/>
      </c>
      <c r="BD111" s="90">
        <f>IFERROR(AG111/(AC111+AA111),"")</f>
        <v/>
      </c>
      <c r="BE111" s="91" t="n"/>
      <c r="BF111" s="40" t="n"/>
    </row>
    <row r="112" ht="15" customHeight="1" s="67">
      <c r="A112" s="8" t="n"/>
      <c r="B112" s="86" t="n"/>
      <c r="C112" s="86" t="n"/>
      <c r="D112" s="86" t="n"/>
      <c r="E112" s="86" t="n"/>
      <c r="F112" s="86" t="n"/>
      <c r="G112" s="86" t="n"/>
      <c r="H112" s="86" t="n"/>
      <c r="I112" s="86" t="n"/>
      <c r="J112" s="86" t="n"/>
      <c r="K112" s="86" t="n"/>
      <c r="L112" s="86" t="n"/>
      <c r="M112" s="86" t="n"/>
      <c r="N112" s="86" t="n"/>
      <c r="O112" s="86" t="n"/>
      <c r="P112" s="86" t="n"/>
      <c r="Q112" s="86" t="n"/>
      <c r="R112" s="86" t="n"/>
      <c r="S112" s="86" t="n"/>
      <c r="T112" s="86" t="n"/>
      <c r="U112" s="86" t="n"/>
      <c r="V112" s="86" t="n"/>
      <c r="W112" s="86" t="n"/>
      <c r="X112" s="8" t="n"/>
      <c r="Y112" s="8" t="n"/>
      <c r="Z112" s="8" t="n"/>
      <c r="AA112" s="86" t="n"/>
      <c r="AB112" s="87">
        <f>IFERROR(AA112/AF112,"")</f>
        <v/>
      </c>
      <c r="AC112" s="86" t="n"/>
      <c r="AD112" s="86" t="n"/>
      <c r="AE112" s="86" t="n"/>
      <c r="AF112" s="86" t="n"/>
      <c r="AG112" s="86" t="n"/>
      <c r="AH112" s="86" t="n"/>
      <c r="AI112" s="86" t="n"/>
      <c r="AJ112" s="86" t="n"/>
      <c r="AK112" s="86" t="n"/>
      <c r="AL112" s="86" t="n"/>
      <c r="AM112" s="86" t="n"/>
      <c r="AN112" s="86" t="n"/>
      <c r="AO112" s="11">
        <f>IFERROR(AC112/E112,"")</f>
        <v/>
      </c>
      <c r="AP112" s="11">
        <f>IFERROR(AD112/E112,"")</f>
        <v/>
      </c>
      <c r="AQ112" s="11">
        <f>IFERROR(AG112/E112,"")</f>
        <v/>
      </c>
      <c r="AR112" s="87">
        <f>IFERROR(AG112/AF112,"")</f>
        <v/>
      </c>
      <c r="AS112" s="87">
        <f>IFERROR(AH112/AF112,"")</f>
        <v/>
      </c>
      <c r="AT112" s="87">
        <f>IFERROR(AI112/AH112,"")</f>
        <v/>
      </c>
      <c r="AU112" s="87">
        <f>IFERROR(AN112/AH112,"")</f>
        <v/>
      </c>
      <c r="AV112" s="88" t="n"/>
      <c r="AW112" s="89" t="n"/>
      <c r="AX112" s="89" t="n"/>
      <c r="AY112" s="8" t="n"/>
      <c r="AZ112" s="8" t="n"/>
      <c r="BA112" s="8" t="n"/>
      <c r="BB112" s="8" t="n"/>
      <c r="BC112" s="90">
        <f>IFERROR(AG112/AC112,"")</f>
        <v/>
      </c>
      <c r="BD112" s="90">
        <f>IFERROR(AG112/(AC112+AA112),"")</f>
        <v/>
      </c>
      <c r="BE112" s="91" t="n"/>
      <c r="BF112" s="40" t="n"/>
    </row>
    <row r="113" ht="15" customHeight="1" s="67">
      <c r="A113" s="8" t="n"/>
      <c r="B113" s="86" t="n"/>
      <c r="C113" s="86" t="n"/>
      <c r="D113" s="86" t="n"/>
      <c r="E113" s="86" t="n"/>
      <c r="F113" s="86" t="n"/>
      <c r="G113" s="86" t="n"/>
      <c r="H113" s="86" t="n"/>
      <c r="I113" s="86" t="n"/>
      <c r="J113" s="86" t="n"/>
      <c r="K113" s="86" t="n"/>
      <c r="L113" s="86" t="n"/>
      <c r="M113" s="86" t="n"/>
      <c r="N113" s="86" t="n"/>
      <c r="O113" s="86" t="n"/>
      <c r="P113" s="86" t="n"/>
      <c r="Q113" s="86" t="n"/>
      <c r="R113" s="86" t="n"/>
      <c r="S113" s="86" t="n"/>
      <c r="T113" s="86" t="n"/>
      <c r="U113" s="86" t="n"/>
      <c r="V113" s="86" t="n"/>
      <c r="W113" s="86" t="n"/>
      <c r="X113" s="8" t="n"/>
      <c r="Y113" s="8" t="n"/>
      <c r="Z113" s="8" t="n"/>
      <c r="AA113" s="86" t="n"/>
      <c r="AB113" s="87">
        <f>IFERROR(AA113/AF113,"")</f>
        <v/>
      </c>
      <c r="AC113" s="86" t="n"/>
      <c r="AD113" s="86" t="n"/>
      <c r="AE113" s="86" t="n"/>
      <c r="AF113" s="86" t="n"/>
      <c r="AG113" s="86" t="n"/>
      <c r="AH113" s="86" t="n"/>
      <c r="AI113" s="86" t="n"/>
      <c r="AJ113" s="86" t="n"/>
      <c r="AK113" s="86" t="n"/>
      <c r="AL113" s="86" t="n"/>
      <c r="AM113" s="86" t="n"/>
      <c r="AN113" s="86" t="n"/>
      <c r="AO113" s="11">
        <f>IFERROR(AC113/E113,"")</f>
        <v/>
      </c>
      <c r="AP113" s="11">
        <f>IFERROR(AD113/E113,"")</f>
        <v/>
      </c>
      <c r="AQ113" s="11">
        <f>IFERROR(AG113/E113,"")</f>
        <v/>
      </c>
      <c r="AR113" s="87">
        <f>IFERROR(AG113/AF113,"")</f>
        <v/>
      </c>
      <c r="AS113" s="87">
        <f>IFERROR(AH113/AF113,"")</f>
        <v/>
      </c>
      <c r="AT113" s="87">
        <f>IFERROR(AI113/AH113,"")</f>
        <v/>
      </c>
      <c r="AU113" s="87">
        <f>IFERROR(AN113/AH113,"")</f>
        <v/>
      </c>
      <c r="AV113" s="88" t="n"/>
      <c r="AW113" s="89" t="n"/>
      <c r="AX113" s="89" t="n"/>
      <c r="AY113" s="8" t="n"/>
      <c r="AZ113" s="8" t="n"/>
      <c r="BA113" s="8" t="n"/>
      <c r="BB113" s="8" t="n"/>
      <c r="BC113" s="90">
        <f>IFERROR(AG113/AC113,"")</f>
        <v/>
      </c>
      <c r="BD113" s="90">
        <f>IFERROR(AG113/(AC113+AA113),"")</f>
        <v/>
      </c>
      <c r="BE113" s="91" t="n"/>
      <c r="BF113" s="40" t="n"/>
    </row>
    <row r="114" ht="15" customHeight="1" s="67">
      <c r="A114" s="8" t="n"/>
      <c r="B114" s="86" t="n"/>
      <c r="C114" s="86" t="n"/>
      <c r="D114" s="86" t="n"/>
      <c r="E114" s="86" t="n"/>
      <c r="F114" s="86" t="n"/>
      <c r="G114" s="86" t="n"/>
      <c r="H114" s="86" t="n"/>
      <c r="I114" s="86" t="n"/>
      <c r="J114" s="86" t="n"/>
      <c r="K114" s="86" t="n"/>
      <c r="L114" s="86" t="n"/>
      <c r="M114" s="86" t="n"/>
      <c r="N114" s="86" t="n"/>
      <c r="O114" s="86" t="n"/>
      <c r="P114" s="86" t="n"/>
      <c r="Q114" s="86" t="n"/>
      <c r="R114" s="86" t="n"/>
      <c r="S114" s="86" t="n"/>
      <c r="T114" s="86" t="n"/>
      <c r="U114" s="86" t="n"/>
      <c r="V114" s="86" t="n"/>
      <c r="W114" s="86" t="n"/>
      <c r="X114" s="8" t="n"/>
      <c r="Y114" s="8" t="n"/>
      <c r="Z114" s="8" t="n"/>
      <c r="AA114" s="86" t="n"/>
      <c r="AB114" s="87">
        <f>IFERROR(AA114/AF114,"")</f>
        <v/>
      </c>
      <c r="AC114" s="86" t="n"/>
      <c r="AD114" s="86" t="n"/>
      <c r="AE114" s="86" t="n"/>
      <c r="AF114" s="86" t="n"/>
      <c r="AG114" s="86" t="n"/>
      <c r="AH114" s="86" t="n"/>
      <c r="AI114" s="86" t="n"/>
      <c r="AJ114" s="86" t="n"/>
      <c r="AK114" s="86" t="n"/>
      <c r="AL114" s="86" t="n"/>
      <c r="AM114" s="86" t="n"/>
      <c r="AN114" s="86" t="n"/>
      <c r="AO114" s="11">
        <f>IFERROR(AC114/E114,"")</f>
        <v/>
      </c>
      <c r="AP114" s="11">
        <f>IFERROR(AD114/E114,"")</f>
        <v/>
      </c>
      <c r="AQ114" s="11">
        <f>IFERROR(AG114/E114,"")</f>
        <v/>
      </c>
      <c r="AR114" s="87">
        <f>IFERROR(AG114/AF114,"")</f>
        <v/>
      </c>
      <c r="AS114" s="87">
        <f>IFERROR(AH114/AF114,"")</f>
        <v/>
      </c>
      <c r="AT114" s="87">
        <f>IFERROR(AI114/AH114,"")</f>
        <v/>
      </c>
      <c r="AU114" s="87">
        <f>IFERROR(AN114/AH114,"")</f>
        <v/>
      </c>
      <c r="AV114" s="88" t="n"/>
      <c r="AW114" s="89" t="n"/>
      <c r="AX114" s="89" t="n"/>
      <c r="AY114" s="8" t="n"/>
      <c r="AZ114" s="8" t="n"/>
      <c r="BA114" s="8" t="n"/>
      <c r="BB114" s="8" t="n"/>
      <c r="BC114" s="90">
        <f>IFERROR(AG114/AC114,"")</f>
        <v/>
      </c>
      <c r="BD114" s="90">
        <f>IFERROR(AG114/(AC114+AA114),"")</f>
        <v/>
      </c>
      <c r="BE114" s="91" t="n"/>
      <c r="BF114" s="40" t="n"/>
    </row>
    <row r="115" ht="15" customHeight="1" s="67">
      <c r="A115" s="8" t="n"/>
      <c r="B115" s="86" t="n"/>
      <c r="C115" s="86" t="n"/>
      <c r="D115" s="86" t="n"/>
      <c r="E115" s="86" t="n"/>
      <c r="F115" s="86" t="n"/>
      <c r="G115" s="86" t="n"/>
      <c r="H115" s="86" t="n"/>
      <c r="I115" s="86" t="n"/>
      <c r="J115" s="86" t="n"/>
      <c r="K115" s="86" t="n"/>
      <c r="L115" s="86" t="n"/>
      <c r="M115" s="86" t="n"/>
      <c r="N115" s="86" t="n"/>
      <c r="O115" s="86" t="n"/>
      <c r="P115" s="86" t="n"/>
      <c r="Q115" s="86" t="n"/>
      <c r="R115" s="86" t="n"/>
      <c r="S115" s="86" t="n"/>
      <c r="T115" s="86" t="n"/>
      <c r="U115" s="86" t="n"/>
      <c r="V115" s="86" t="n"/>
      <c r="W115" s="86" t="n"/>
      <c r="X115" s="8" t="n"/>
      <c r="Y115" s="8" t="n"/>
      <c r="Z115" s="8" t="n"/>
      <c r="AA115" s="86" t="n"/>
      <c r="AB115" s="87">
        <f>IFERROR(AA115/AF115,"")</f>
        <v/>
      </c>
      <c r="AC115" s="86" t="n"/>
      <c r="AD115" s="86" t="n"/>
      <c r="AE115" s="86" t="n"/>
      <c r="AF115" s="86" t="n"/>
      <c r="AG115" s="86" t="n"/>
      <c r="AH115" s="86" t="n"/>
      <c r="AI115" s="86" t="n"/>
      <c r="AJ115" s="86" t="n"/>
      <c r="AK115" s="86" t="n"/>
      <c r="AL115" s="86" t="n"/>
      <c r="AM115" s="86" t="n"/>
      <c r="AN115" s="86" t="n"/>
      <c r="AO115" s="11">
        <f>IFERROR(AC115/E115,"")</f>
        <v/>
      </c>
      <c r="AP115" s="11">
        <f>IFERROR(AD115/E115,"")</f>
        <v/>
      </c>
      <c r="AQ115" s="11">
        <f>IFERROR(AG115/E115,"")</f>
        <v/>
      </c>
      <c r="AR115" s="87">
        <f>IFERROR(AG115/AF115,"")</f>
        <v/>
      </c>
      <c r="AS115" s="87">
        <f>IFERROR(AH115/AF115,"")</f>
        <v/>
      </c>
      <c r="AT115" s="87">
        <f>IFERROR(AI115/AH115,"")</f>
        <v/>
      </c>
      <c r="AU115" s="87">
        <f>IFERROR(AN115/AH115,"")</f>
        <v/>
      </c>
      <c r="AV115" s="88" t="n"/>
      <c r="AW115" s="89" t="n"/>
      <c r="AX115" s="89" t="n"/>
      <c r="AY115" s="8" t="n"/>
      <c r="AZ115" s="8" t="n"/>
      <c r="BA115" s="8" t="n"/>
      <c r="BB115" s="8" t="n"/>
      <c r="BC115" s="90">
        <f>IFERROR(AG115/AC115,"")</f>
        <v/>
      </c>
      <c r="BD115" s="90">
        <f>IFERROR(AG115/(AC115+AA115),"")</f>
        <v/>
      </c>
      <c r="BE115" s="91" t="n"/>
      <c r="BF115" s="40" t="n"/>
    </row>
    <row r="116" ht="15" customHeight="1" s="67">
      <c r="A116" s="8" t="n"/>
      <c r="B116" s="86" t="n"/>
      <c r="C116" s="86" t="n"/>
      <c r="D116" s="86" t="n"/>
      <c r="E116" s="86" t="n"/>
      <c r="F116" s="86" t="n"/>
      <c r="G116" s="86" t="n"/>
      <c r="H116" s="86" t="n"/>
      <c r="I116" s="86" t="n"/>
      <c r="J116" s="86" t="n"/>
      <c r="K116" s="86" t="n"/>
      <c r="L116" s="86" t="n"/>
      <c r="M116" s="86" t="n"/>
      <c r="N116" s="86" t="n"/>
      <c r="O116" s="86" t="n"/>
      <c r="P116" s="86" t="n"/>
      <c r="Q116" s="86" t="n"/>
      <c r="R116" s="86" t="n"/>
      <c r="S116" s="86" t="n"/>
      <c r="T116" s="86" t="n"/>
      <c r="U116" s="86" t="n"/>
      <c r="V116" s="86" t="n"/>
      <c r="W116" s="86" t="n"/>
      <c r="X116" s="8" t="n"/>
      <c r="Y116" s="8" t="n"/>
      <c r="Z116" s="8" t="n"/>
      <c r="AA116" s="86" t="n"/>
      <c r="AB116" s="87">
        <f>IFERROR(AA116/AF116,"")</f>
        <v/>
      </c>
      <c r="AC116" s="86" t="n"/>
      <c r="AD116" s="86" t="n"/>
      <c r="AE116" s="86" t="n"/>
      <c r="AF116" s="86" t="n"/>
      <c r="AG116" s="86" t="n"/>
      <c r="AH116" s="86" t="n"/>
      <c r="AI116" s="86" t="n"/>
      <c r="AJ116" s="86" t="n"/>
      <c r="AK116" s="86" t="n"/>
      <c r="AL116" s="86" t="n"/>
      <c r="AM116" s="86" t="n"/>
      <c r="AN116" s="86" t="n"/>
      <c r="AO116" s="11">
        <f>IFERROR(AC116/E116,"")</f>
        <v/>
      </c>
      <c r="AP116" s="11">
        <f>IFERROR(AD116/E116,"")</f>
        <v/>
      </c>
      <c r="AQ116" s="11">
        <f>IFERROR(AG116/E116,"")</f>
        <v/>
      </c>
      <c r="AR116" s="87">
        <f>IFERROR(AG116/AF116,"")</f>
        <v/>
      </c>
      <c r="AS116" s="87">
        <f>IFERROR(AH116/AF116,"")</f>
        <v/>
      </c>
      <c r="AT116" s="87">
        <f>IFERROR(AI116/AH116,"")</f>
        <v/>
      </c>
      <c r="AU116" s="87">
        <f>IFERROR(AN116/AH116,"")</f>
        <v/>
      </c>
      <c r="AV116" s="88" t="n"/>
      <c r="AW116" s="89" t="n"/>
      <c r="AX116" s="89" t="n"/>
      <c r="AY116" s="8" t="n"/>
      <c r="AZ116" s="8" t="n"/>
      <c r="BA116" s="8" t="n"/>
      <c r="BB116" s="8" t="n"/>
      <c r="BC116" s="90">
        <f>IFERROR(AG116/AC116,"")</f>
        <v/>
      </c>
      <c r="BD116" s="90">
        <f>IFERROR(AG116/(AC116+AA116),"")</f>
        <v/>
      </c>
      <c r="BE116" s="91" t="n"/>
      <c r="BF116" s="40" t="n"/>
    </row>
    <row r="117" ht="15" customHeight="1" s="67">
      <c r="A117" s="8" t="n"/>
      <c r="B117" s="86" t="n"/>
      <c r="C117" s="86" t="n"/>
      <c r="D117" s="86" t="n"/>
      <c r="E117" s="86" t="n"/>
      <c r="F117" s="86" t="n"/>
      <c r="G117" s="86" t="n"/>
      <c r="H117" s="86" t="n"/>
      <c r="I117" s="86" t="n"/>
      <c r="J117" s="86" t="n"/>
      <c r="K117" s="86" t="n"/>
      <c r="L117" s="86" t="n"/>
      <c r="M117" s="86" t="n"/>
      <c r="N117" s="86" t="n"/>
      <c r="O117" s="86" t="n"/>
      <c r="P117" s="86" t="n"/>
      <c r="Q117" s="86" t="n"/>
      <c r="R117" s="86" t="n"/>
      <c r="S117" s="86" t="n"/>
      <c r="T117" s="86" t="n"/>
      <c r="U117" s="86" t="n"/>
      <c r="V117" s="86" t="n"/>
      <c r="W117" s="86" t="n"/>
      <c r="X117" s="8" t="n"/>
      <c r="Y117" s="8" t="n"/>
      <c r="Z117" s="8" t="n"/>
      <c r="AA117" s="86" t="n"/>
      <c r="AB117" s="87">
        <f>IFERROR(AA117/AF117,"")</f>
        <v/>
      </c>
      <c r="AC117" s="86" t="n"/>
      <c r="AD117" s="86" t="n"/>
      <c r="AE117" s="86" t="n"/>
      <c r="AF117" s="86" t="n"/>
      <c r="AG117" s="86" t="n"/>
      <c r="AH117" s="86" t="n"/>
      <c r="AI117" s="86" t="n"/>
      <c r="AJ117" s="86" t="n"/>
      <c r="AK117" s="86" t="n"/>
      <c r="AL117" s="86" t="n"/>
      <c r="AM117" s="86" t="n"/>
      <c r="AN117" s="86" t="n"/>
      <c r="AO117" s="11">
        <f>IFERROR(AC117/E117,"")</f>
        <v/>
      </c>
      <c r="AP117" s="11">
        <f>IFERROR(AD117/E117,"")</f>
        <v/>
      </c>
      <c r="AQ117" s="11">
        <f>IFERROR(AG117/E117,"")</f>
        <v/>
      </c>
      <c r="AR117" s="87">
        <f>IFERROR(AG117/AF117,"")</f>
        <v/>
      </c>
      <c r="AS117" s="87">
        <f>IFERROR(AH117/AF117,"")</f>
        <v/>
      </c>
      <c r="AT117" s="87">
        <f>IFERROR(AI117/AH117,"")</f>
        <v/>
      </c>
      <c r="AU117" s="87">
        <f>IFERROR(AN117/AH117,"")</f>
        <v/>
      </c>
      <c r="AV117" s="88" t="n"/>
      <c r="AW117" s="89" t="n"/>
      <c r="AX117" s="89" t="n"/>
      <c r="AY117" s="8" t="n"/>
      <c r="AZ117" s="8" t="n"/>
      <c r="BA117" s="8" t="n"/>
      <c r="BB117" s="8" t="n"/>
      <c r="BC117" s="90">
        <f>IFERROR(AG117/AC117,"")</f>
        <v/>
      </c>
      <c r="BD117" s="90">
        <f>IFERROR(AG117/(AC117+AA117),"")</f>
        <v/>
      </c>
      <c r="BE117" s="91" t="n"/>
      <c r="BF117" s="40" t="n"/>
    </row>
    <row r="118" ht="15" customHeight="1" s="67">
      <c r="A118" s="8" t="n"/>
      <c r="B118" s="86" t="n"/>
      <c r="C118" s="86" t="n"/>
      <c r="D118" s="86" t="n"/>
      <c r="E118" s="86" t="n"/>
      <c r="F118" s="86" t="n"/>
      <c r="G118" s="86" t="n"/>
      <c r="H118" s="86" t="n"/>
      <c r="I118" s="86" t="n"/>
      <c r="J118" s="86" t="n"/>
      <c r="K118" s="86" t="n"/>
      <c r="L118" s="86" t="n"/>
      <c r="M118" s="86" t="n"/>
      <c r="N118" s="86" t="n"/>
      <c r="O118" s="86" t="n"/>
      <c r="P118" s="86" t="n"/>
      <c r="Q118" s="86" t="n"/>
      <c r="R118" s="86" t="n"/>
      <c r="S118" s="86" t="n"/>
      <c r="T118" s="86" t="n"/>
      <c r="U118" s="86" t="n"/>
      <c r="V118" s="86" t="n"/>
      <c r="W118" s="86" t="n"/>
      <c r="X118" s="8" t="n"/>
      <c r="Y118" s="8" t="n"/>
      <c r="Z118" s="8" t="n"/>
      <c r="AA118" s="86" t="n"/>
      <c r="AB118" s="87">
        <f>IFERROR(AA118/AF118,"")</f>
        <v/>
      </c>
      <c r="AC118" s="86" t="n"/>
      <c r="AD118" s="86" t="n"/>
      <c r="AE118" s="86" t="n"/>
      <c r="AF118" s="86" t="n"/>
      <c r="AG118" s="86" t="n"/>
      <c r="AH118" s="86" t="n"/>
      <c r="AI118" s="86" t="n"/>
      <c r="AJ118" s="86" t="n"/>
      <c r="AK118" s="86" t="n"/>
      <c r="AL118" s="86" t="n"/>
      <c r="AM118" s="86" t="n"/>
      <c r="AN118" s="86" t="n"/>
      <c r="AO118" s="11">
        <f>IFERROR(AC118/E118,"")</f>
        <v/>
      </c>
      <c r="AP118" s="11">
        <f>IFERROR(AD118/E118,"")</f>
        <v/>
      </c>
      <c r="AQ118" s="11">
        <f>IFERROR(AG118/E118,"")</f>
        <v/>
      </c>
      <c r="AR118" s="87">
        <f>IFERROR(AG118/AF118,"")</f>
        <v/>
      </c>
      <c r="AS118" s="87">
        <f>IFERROR(AH118/AF118,"")</f>
        <v/>
      </c>
      <c r="AT118" s="87">
        <f>IFERROR(AI118/AH118,"")</f>
        <v/>
      </c>
      <c r="AU118" s="87">
        <f>IFERROR(AN118/AH118,"")</f>
        <v/>
      </c>
      <c r="AV118" s="88" t="n"/>
      <c r="AW118" s="89" t="n"/>
      <c r="AX118" s="89" t="n"/>
      <c r="AY118" s="8" t="n"/>
      <c r="AZ118" s="8" t="n"/>
      <c r="BA118" s="8" t="n"/>
      <c r="BB118" s="8" t="n"/>
      <c r="BC118" s="90">
        <f>IFERROR(AG118/AC118,"")</f>
        <v/>
      </c>
      <c r="BD118" s="90">
        <f>IFERROR(AG118/(AC118+AA118),"")</f>
        <v/>
      </c>
      <c r="BE118" s="91" t="n"/>
      <c r="BF118" s="40" t="n"/>
    </row>
    <row r="119" ht="15" customHeight="1" s="67">
      <c r="A119" s="8" t="n"/>
      <c r="B119" s="86" t="n"/>
      <c r="C119" s="86" t="n"/>
      <c r="D119" s="86" t="n"/>
      <c r="E119" s="86" t="n"/>
      <c r="F119" s="86" t="n"/>
      <c r="G119" s="86" t="n"/>
      <c r="H119" s="86" t="n"/>
      <c r="I119" s="86" t="n"/>
      <c r="J119" s="86" t="n"/>
      <c r="K119" s="86" t="n"/>
      <c r="L119" s="86" t="n"/>
      <c r="M119" s="86" t="n"/>
      <c r="N119" s="86" t="n"/>
      <c r="O119" s="86" t="n"/>
      <c r="P119" s="86" t="n"/>
      <c r="Q119" s="86" t="n"/>
      <c r="R119" s="86" t="n"/>
      <c r="S119" s="86" t="n"/>
      <c r="T119" s="86" t="n"/>
      <c r="U119" s="86" t="n"/>
      <c r="V119" s="86" t="n"/>
      <c r="W119" s="86" t="n"/>
      <c r="X119" s="8" t="n"/>
      <c r="Y119" s="8" t="n"/>
      <c r="Z119" s="8" t="n"/>
      <c r="AA119" s="86" t="n"/>
      <c r="AB119" s="87">
        <f>IFERROR(AA119/AF119,"")</f>
        <v/>
      </c>
      <c r="AC119" s="86" t="n"/>
      <c r="AD119" s="86" t="n"/>
      <c r="AE119" s="86" t="n"/>
      <c r="AF119" s="86" t="n"/>
      <c r="AG119" s="86" t="n"/>
      <c r="AH119" s="86" t="n"/>
      <c r="AI119" s="86" t="n"/>
      <c r="AJ119" s="86" t="n"/>
      <c r="AK119" s="86" t="n"/>
      <c r="AL119" s="86" t="n"/>
      <c r="AM119" s="86" t="n"/>
      <c r="AN119" s="86" t="n"/>
      <c r="AO119" s="11">
        <f>IFERROR(AC119/E119,"")</f>
        <v/>
      </c>
      <c r="AP119" s="11">
        <f>IFERROR(AD119/E119,"")</f>
        <v/>
      </c>
      <c r="AQ119" s="11">
        <f>IFERROR(AG119/E119,"")</f>
        <v/>
      </c>
      <c r="AR119" s="87">
        <f>IFERROR(AG119/AF119,"")</f>
        <v/>
      </c>
      <c r="AS119" s="87">
        <f>IFERROR(AH119/AF119,"")</f>
        <v/>
      </c>
      <c r="AT119" s="87">
        <f>IFERROR(AI119/AH119,"")</f>
        <v/>
      </c>
      <c r="AU119" s="87">
        <f>IFERROR(AN119/AH119,"")</f>
        <v/>
      </c>
      <c r="AV119" s="88" t="n"/>
      <c r="AW119" s="89" t="n"/>
      <c r="AX119" s="89" t="n"/>
      <c r="AY119" s="8" t="n"/>
      <c r="AZ119" s="8" t="n"/>
      <c r="BA119" s="8" t="n"/>
      <c r="BB119" s="8" t="n"/>
      <c r="BC119" s="90">
        <f>IFERROR(AG119/AC119,"")</f>
        <v/>
      </c>
      <c r="BD119" s="90">
        <f>IFERROR(AG119/(AC119+AA119),"")</f>
        <v/>
      </c>
      <c r="BE119" s="91" t="n"/>
      <c r="BF119" s="40" t="n"/>
    </row>
    <row r="120" ht="15" customHeight="1" s="67">
      <c r="A120" s="8" t="n"/>
      <c r="B120" s="86" t="n"/>
      <c r="C120" s="86" t="n"/>
      <c r="D120" s="86" t="n"/>
      <c r="E120" s="86" t="n"/>
      <c r="F120" s="86" t="n"/>
      <c r="G120" s="86" t="n"/>
      <c r="H120" s="86" t="n"/>
      <c r="I120" s="86" t="n"/>
      <c r="J120" s="86" t="n"/>
      <c r="K120" s="86" t="n"/>
      <c r="L120" s="86" t="n"/>
      <c r="M120" s="86" t="n"/>
      <c r="N120" s="86" t="n"/>
      <c r="O120" s="86" t="n"/>
      <c r="P120" s="86" t="n"/>
      <c r="Q120" s="86" t="n"/>
      <c r="R120" s="86" t="n"/>
      <c r="S120" s="86" t="n"/>
      <c r="T120" s="86" t="n"/>
      <c r="U120" s="86" t="n"/>
      <c r="V120" s="86" t="n"/>
      <c r="W120" s="86" t="n"/>
      <c r="X120" s="8" t="n"/>
      <c r="Y120" s="8" t="n"/>
      <c r="Z120" s="8" t="n"/>
      <c r="AA120" s="86" t="n"/>
      <c r="AB120" s="87">
        <f>IFERROR(AA120/AF120,"")</f>
        <v/>
      </c>
      <c r="AC120" s="86" t="n"/>
      <c r="AD120" s="86" t="n"/>
      <c r="AE120" s="86" t="n"/>
      <c r="AF120" s="86" t="n"/>
      <c r="AG120" s="86" t="n"/>
      <c r="AH120" s="86" t="n"/>
      <c r="AI120" s="86" t="n"/>
      <c r="AJ120" s="86" t="n"/>
      <c r="AK120" s="86" t="n"/>
      <c r="AL120" s="86" t="n"/>
      <c r="AM120" s="86" t="n"/>
      <c r="AN120" s="86" t="n"/>
      <c r="AO120" s="11">
        <f>IFERROR(AC120/E120,"")</f>
        <v/>
      </c>
      <c r="AP120" s="11">
        <f>IFERROR(AD120/E120,"")</f>
        <v/>
      </c>
      <c r="AQ120" s="11">
        <f>IFERROR(AG120/E120,"")</f>
        <v/>
      </c>
      <c r="AR120" s="87">
        <f>IFERROR(AG120/AF120,"")</f>
        <v/>
      </c>
      <c r="AS120" s="87">
        <f>IFERROR(AH120/AF120,"")</f>
        <v/>
      </c>
      <c r="AT120" s="87">
        <f>IFERROR(AI120/AH120,"")</f>
        <v/>
      </c>
      <c r="AU120" s="87">
        <f>IFERROR(AN120/AH120,"")</f>
        <v/>
      </c>
      <c r="AV120" s="88" t="n"/>
      <c r="AW120" s="89" t="n"/>
      <c r="AX120" s="89" t="n"/>
      <c r="AY120" s="8" t="n"/>
      <c r="AZ120" s="8" t="n"/>
      <c r="BA120" s="8" t="n"/>
      <c r="BB120" s="8" t="n"/>
      <c r="BC120" s="90">
        <f>IFERROR(AG120/AC120,"")</f>
        <v/>
      </c>
      <c r="BD120" s="90">
        <f>IFERROR(AG120/(AC120+AA120),"")</f>
        <v/>
      </c>
      <c r="BE120" s="91" t="n"/>
      <c r="BF120" s="40" t="n"/>
    </row>
    <row r="121" ht="15" customHeight="1" s="67">
      <c r="A121" s="8" t="n"/>
      <c r="B121" s="86" t="n"/>
      <c r="C121" s="86" t="n"/>
      <c r="D121" s="86" t="n"/>
      <c r="E121" s="86" t="n"/>
      <c r="F121" s="86" t="n"/>
      <c r="G121" s="86" t="n"/>
      <c r="H121" s="86" t="n"/>
      <c r="I121" s="86" t="n"/>
      <c r="J121" s="86" t="n"/>
      <c r="K121" s="86" t="n"/>
      <c r="L121" s="86" t="n"/>
      <c r="M121" s="86" t="n"/>
      <c r="N121" s="86" t="n"/>
      <c r="O121" s="86" t="n"/>
      <c r="P121" s="86" t="n"/>
      <c r="Q121" s="86" t="n"/>
      <c r="R121" s="86" t="n"/>
      <c r="S121" s="86" t="n"/>
      <c r="T121" s="86" t="n"/>
      <c r="U121" s="86" t="n"/>
      <c r="V121" s="86" t="n"/>
      <c r="W121" s="86" t="n"/>
      <c r="X121" s="8" t="n"/>
      <c r="Y121" s="8" t="n"/>
      <c r="Z121" s="8" t="n"/>
      <c r="AA121" s="86" t="n"/>
      <c r="AB121" s="87">
        <f>IFERROR(AA121/AF121,"")</f>
        <v/>
      </c>
      <c r="AC121" s="86" t="n"/>
      <c r="AD121" s="86" t="n"/>
      <c r="AE121" s="86" t="n"/>
      <c r="AF121" s="86" t="n"/>
      <c r="AG121" s="86" t="n"/>
      <c r="AH121" s="86" t="n"/>
      <c r="AI121" s="86" t="n"/>
      <c r="AJ121" s="86" t="n"/>
      <c r="AK121" s="86" t="n"/>
      <c r="AL121" s="86" t="n"/>
      <c r="AM121" s="86" t="n"/>
      <c r="AN121" s="86" t="n"/>
      <c r="AO121" s="11">
        <f>IFERROR(AC121/E121,"")</f>
        <v/>
      </c>
      <c r="AP121" s="11">
        <f>IFERROR(AD121/E121,"")</f>
        <v/>
      </c>
      <c r="AQ121" s="11">
        <f>IFERROR(AG121/E121,"")</f>
        <v/>
      </c>
      <c r="AR121" s="87">
        <f>IFERROR(AG121/AF121,"")</f>
        <v/>
      </c>
      <c r="AS121" s="87">
        <f>IFERROR(AH121/AF121,"")</f>
        <v/>
      </c>
      <c r="AT121" s="87">
        <f>IFERROR(AI121/AH121,"")</f>
        <v/>
      </c>
      <c r="AU121" s="87">
        <f>IFERROR(AN121/AH121,"")</f>
        <v/>
      </c>
      <c r="AV121" s="88" t="n"/>
      <c r="AW121" s="89" t="n"/>
      <c r="AX121" s="89" t="n"/>
      <c r="AY121" s="8" t="n"/>
      <c r="AZ121" s="8" t="n"/>
      <c r="BA121" s="8" t="n"/>
      <c r="BB121" s="8" t="n"/>
      <c r="BC121" s="90">
        <f>IFERROR(AG121/AC121,"")</f>
        <v/>
      </c>
      <c r="BD121" s="90">
        <f>IFERROR(AG121/(AC121+AA121),"")</f>
        <v/>
      </c>
      <c r="BE121" s="91" t="n"/>
      <c r="BF121" s="40" t="n"/>
    </row>
    <row r="122" ht="15" customHeight="1" s="67">
      <c r="A122" s="8" t="n"/>
      <c r="B122" s="86" t="n"/>
      <c r="C122" s="86" t="n"/>
      <c r="D122" s="86" t="n"/>
      <c r="E122" s="86" t="n"/>
      <c r="F122" s="86" t="n"/>
      <c r="G122" s="86" t="n"/>
      <c r="H122" s="86" t="n"/>
      <c r="I122" s="86" t="n"/>
      <c r="J122" s="86" t="n"/>
      <c r="K122" s="86" t="n"/>
      <c r="L122" s="86" t="n"/>
      <c r="M122" s="86" t="n"/>
      <c r="N122" s="86" t="n"/>
      <c r="O122" s="86" t="n"/>
      <c r="P122" s="86" t="n"/>
      <c r="Q122" s="86" t="n"/>
      <c r="R122" s="86" t="n"/>
      <c r="S122" s="86" t="n"/>
      <c r="T122" s="86" t="n"/>
      <c r="U122" s="86" t="n"/>
      <c r="V122" s="86" t="n"/>
      <c r="W122" s="86" t="n"/>
      <c r="X122" s="8" t="n"/>
      <c r="Y122" s="8" t="n"/>
      <c r="Z122" s="8" t="n"/>
      <c r="AA122" s="86" t="n"/>
      <c r="AB122" s="87">
        <f>IFERROR(AA122/AF122,"")</f>
        <v/>
      </c>
      <c r="AC122" s="86" t="n"/>
      <c r="AD122" s="86" t="n"/>
      <c r="AE122" s="86" t="n"/>
      <c r="AF122" s="86" t="n"/>
      <c r="AG122" s="86" t="n"/>
      <c r="AH122" s="86" t="n"/>
      <c r="AI122" s="86" t="n"/>
      <c r="AJ122" s="86" t="n"/>
      <c r="AK122" s="86" t="n"/>
      <c r="AL122" s="86" t="n"/>
      <c r="AM122" s="86" t="n"/>
      <c r="AN122" s="86" t="n"/>
      <c r="AO122" s="11">
        <f>IFERROR(AC122/E122,"")</f>
        <v/>
      </c>
      <c r="AP122" s="11">
        <f>IFERROR(AD122/E122,"")</f>
        <v/>
      </c>
      <c r="AQ122" s="11">
        <f>IFERROR(AG122/E122,"")</f>
        <v/>
      </c>
      <c r="AR122" s="87">
        <f>IFERROR(AG122/AF122,"")</f>
        <v/>
      </c>
      <c r="AS122" s="87">
        <f>IFERROR(AH122/AF122,"")</f>
        <v/>
      </c>
      <c r="AT122" s="87">
        <f>IFERROR(AI122/AH122,"")</f>
        <v/>
      </c>
      <c r="AU122" s="87">
        <f>IFERROR(AN122/AH122,"")</f>
        <v/>
      </c>
      <c r="AV122" s="88" t="n"/>
      <c r="AW122" s="89" t="n"/>
      <c r="AX122" s="89" t="n"/>
      <c r="AY122" s="8" t="n"/>
      <c r="AZ122" s="8" t="n"/>
      <c r="BA122" s="8" t="n"/>
      <c r="BB122" s="8" t="n"/>
      <c r="BC122" s="90">
        <f>IFERROR(AG122/AC122,"")</f>
        <v/>
      </c>
      <c r="BD122" s="90">
        <f>IFERROR(AG122/(AC122+AA122),"")</f>
        <v/>
      </c>
      <c r="BE122" s="91" t="n"/>
      <c r="BF122" s="40" t="n"/>
    </row>
    <row r="123" ht="15" customHeight="1" s="67">
      <c r="A123" s="8" t="n"/>
      <c r="B123" s="86" t="n"/>
      <c r="C123" s="86" t="n"/>
      <c r="D123" s="86" t="n"/>
      <c r="E123" s="86" t="n"/>
      <c r="F123" s="86" t="n"/>
      <c r="G123" s="86" t="n"/>
      <c r="H123" s="86" t="n"/>
      <c r="I123" s="86" t="n"/>
      <c r="J123" s="86" t="n"/>
      <c r="K123" s="86" t="n"/>
      <c r="L123" s="86" t="n"/>
      <c r="M123" s="86" t="n"/>
      <c r="N123" s="86" t="n"/>
      <c r="O123" s="86" t="n"/>
      <c r="P123" s="86" t="n"/>
      <c r="Q123" s="86" t="n"/>
      <c r="R123" s="86" t="n"/>
      <c r="S123" s="86" t="n"/>
      <c r="T123" s="86" t="n"/>
      <c r="U123" s="86" t="n"/>
      <c r="V123" s="86" t="n"/>
      <c r="W123" s="86" t="n"/>
      <c r="X123" s="8" t="n"/>
      <c r="Y123" s="8" t="n"/>
      <c r="Z123" s="8" t="n"/>
      <c r="AA123" s="86" t="n"/>
      <c r="AB123" s="87">
        <f>IFERROR(AA123/AF123,"")</f>
        <v/>
      </c>
      <c r="AC123" s="86" t="n"/>
      <c r="AD123" s="86" t="n"/>
      <c r="AE123" s="86" t="n"/>
      <c r="AF123" s="86" t="n"/>
      <c r="AG123" s="86" t="n"/>
      <c r="AH123" s="86" t="n"/>
      <c r="AI123" s="86" t="n"/>
      <c r="AJ123" s="86" t="n"/>
      <c r="AK123" s="86" t="n"/>
      <c r="AL123" s="86" t="n"/>
      <c r="AM123" s="86" t="n"/>
      <c r="AN123" s="86" t="n"/>
      <c r="AO123" s="11">
        <f>IFERROR(AC123/E123,"")</f>
        <v/>
      </c>
      <c r="AP123" s="11">
        <f>IFERROR(AD123/E123,"")</f>
        <v/>
      </c>
      <c r="AQ123" s="11">
        <f>IFERROR(AG123/E123,"")</f>
        <v/>
      </c>
      <c r="AR123" s="87">
        <f>IFERROR(AG123/AF123,"")</f>
        <v/>
      </c>
      <c r="AS123" s="87">
        <f>IFERROR(AH123/AF123,"")</f>
        <v/>
      </c>
      <c r="AT123" s="87">
        <f>IFERROR(AI123/AH123,"")</f>
        <v/>
      </c>
      <c r="AU123" s="87">
        <f>IFERROR(AN123/AH123,"")</f>
        <v/>
      </c>
      <c r="AV123" s="88" t="n"/>
      <c r="AW123" s="89" t="n"/>
      <c r="AX123" s="89" t="n"/>
      <c r="AY123" s="8" t="n"/>
      <c r="AZ123" s="8" t="n"/>
      <c r="BA123" s="8" t="n"/>
      <c r="BB123" s="8" t="n"/>
      <c r="BC123" s="90">
        <f>IFERROR(AG123/AC123,"")</f>
        <v/>
      </c>
      <c r="BD123" s="90">
        <f>IFERROR(AG123/(AC123+AA123),"")</f>
        <v/>
      </c>
      <c r="BE123" s="91" t="n"/>
      <c r="BF123" s="40" t="n"/>
    </row>
    <row r="124" ht="15" customHeight="1" s="67">
      <c r="A124" s="8" t="n"/>
      <c r="B124" s="86" t="n"/>
      <c r="C124" s="86" t="n"/>
      <c r="D124" s="86" t="n"/>
      <c r="E124" s="86" t="n"/>
      <c r="F124" s="86" t="n"/>
      <c r="G124" s="86" t="n"/>
      <c r="H124" s="86" t="n"/>
      <c r="I124" s="86" t="n"/>
      <c r="J124" s="86" t="n"/>
      <c r="K124" s="86" t="n"/>
      <c r="L124" s="86" t="n"/>
      <c r="M124" s="86" t="n"/>
      <c r="N124" s="86" t="n"/>
      <c r="O124" s="86" t="n"/>
      <c r="P124" s="86" t="n"/>
      <c r="Q124" s="86" t="n"/>
      <c r="R124" s="86" t="n"/>
      <c r="S124" s="86" t="n"/>
      <c r="T124" s="86" t="n"/>
      <c r="U124" s="86" t="n"/>
      <c r="V124" s="86" t="n"/>
      <c r="W124" s="86" t="n"/>
      <c r="X124" s="8" t="n"/>
      <c r="Y124" s="8" t="n"/>
      <c r="Z124" s="8" t="n"/>
      <c r="AA124" s="86" t="n"/>
      <c r="AB124" s="87">
        <f>IFERROR(AA124/AF124,"")</f>
        <v/>
      </c>
      <c r="AC124" s="86" t="n"/>
      <c r="AD124" s="86" t="n"/>
      <c r="AE124" s="86" t="n"/>
      <c r="AF124" s="86" t="n"/>
      <c r="AG124" s="86" t="n"/>
      <c r="AH124" s="86" t="n"/>
      <c r="AI124" s="86" t="n"/>
      <c r="AJ124" s="86" t="n"/>
      <c r="AK124" s="86" t="n"/>
      <c r="AL124" s="86" t="n"/>
      <c r="AM124" s="86" t="n"/>
      <c r="AN124" s="86" t="n"/>
      <c r="AO124" s="11">
        <f>IFERROR(AC124/E124,"")</f>
        <v/>
      </c>
      <c r="AP124" s="11">
        <f>IFERROR(AD124/E124,"")</f>
        <v/>
      </c>
      <c r="AQ124" s="11">
        <f>IFERROR(AG124/E124,"")</f>
        <v/>
      </c>
      <c r="AR124" s="87">
        <f>IFERROR(AG124/AF124,"")</f>
        <v/>
      </c>
      <c r="AS124" s="87">
        <f>IFERROR(AH124/AF124,"")</f>
        <v/>
      </c>
      <c r="AT124" s="87">
        <f>IFERROR(AI124/AH124,"")</f>
        <v/>
      </c>
      <c r="AU124" s="87">
        <f>IFERROR(AN124/AH124,"")</f>
        <v/>
      </c>
      <c r="AV124" s="88" t="n"/>
      <c r="AW124" s="89" t="n"/>
      <c r="AX124" s="89" t="n"/>
      <c r="AY124" s="8" t="n"/>
      <c r="AZ124" s="8" t="n"/>
      <c r="BA124" s="8" t="n"/>
      <c r="BB124" s="8" t="n"/>
      <c r="BC124" s="90">
        <f>IFERROR(AG124/AC124,"")</f>
        <v/>
      </c>
      <c r="BD124" s="90">
        <f>IFERROR(AG124/(AC124+AA124),"")</f>
        <v/>
      </c>
      <c r="BE124" s="91" t="n"/>
      <c r="BF124" s="40" t="n"/>
    </row>
    <row r="125" ht="15" customHeight="1" s="67">
      <c r="A125" s="8" t="n"/>
      <c r="B125" s="86" t="n"/>
      <c r="C125" s="86" t="n"/>
      <c r="D125" s="86" t="n"/>
      <c r="E125" s="86" t="n"/>
      <c r="F125" s="86" t="n"/>
      <c r="G125" s="86" t="n"/>
      <c r="H125" s="86" t="n"/>
      <c r="I125" s="86" t="n"/>
      <c r="J125" s="86" t="n"/>
      <c r="K125" s="86" t="n"/>
      <c r="L125" s="86" t="n"/>
      <c r="M125" s="86" t="n"/>
      <c r="N125" s="86" t="n"/>
      <c r="O125" s="86" t="n"/>
      <c r="P125" s="86" t="n"/>
      <c r="Q125" s="86" t="n"/>
      <c r="R125" s="86" t="n"/>
      <c r="S125" s="86" t="n"/>
      <c r="T125" s="86" t="n"/>
      <c r="U125" s="86" t="n"/>
      <c r="V125" s="86" t="n"/>
      <c r="W125" s="86" t="n"/>
      <c r="X125" s="8" t="n"/>
      <c r="Y125" s="8" t="n"/>
      <c r="Z125" s="8" t="n"/>
      <c r="AA125" s="86" t="n"/>
      <c r="AB125" s="87">
        <f>IFERROR(AA125/AF125,"")</f>
        <v/>
      </c>
      <c r="AC125" s="86" t="n"/>
      <c r="AD125" s="86" t="n"/>
      <c r="AE125" s="86" t="n"/>
      <c r="AF125" s="86" t="n"/>
      <c r="AG125" s="86" t="n"/>
      <c r="AH125" s="86" t="n"/>
      <c r="AI125" s="86" t="n"/>
      <c r="AJ125" s="86" t="n"/>
      <c r="AK125" s="86" t="n"/>
      <c r="AL125" s="86" t="n"/>
      <c r="AM125" s="86" t="n"/>
      <c r="AN125" s="86" t="n"/>
      <c r="AO125" s="11">
        <f>IFERROR(AC125/E125,"")</f>
        <v/>
      </c>
      <c r="AP125" s="11">
        <f>IFERROR(AD125/E125,"")</f>
        <v/>
      </c>
      <c r="AQ125" s="11">
        <f>IFERROR(AG125/E125,"")</f>
        <v/>
      </c>
      <c r="AR125" s="87">
        <f>IFERROR(AG125/AF125,"")</f>
        <v/>
      </c>
      <c r="AS125" s="87">
        <f>IFERROR(AH125/AF125,"")</f>
        <v/>
      </c>
      <c r="AT125" s="87">
        <f>IFERROR(AI125/AH125,"")</f>
        <v/>
      </c>
      <c r="AU125" s="87">
        <f>IFERROR(AN125/AH125,"")</f>
        <v/>
      </c>
      <c r="AV125" s="88" t="n"/>
      <c r="AW125" s="89" t="n"/>
      <c r="AX125" s="89" t="n"/>
      <c r="AY125" s="8" t="n"/>
      <c r="AZ125" s="8" t="n"/>
      <c r="BA125" s="8" t="n"/>
      <c r="BB125" s="8" t="n"/>
      <c r="BC125" s="90">
        <f>IFERROR(AG125/AC125,"")</f>
        <v/>
      </c>
      <c r="BD125" s="90">
        <f>IFERROR(AG125/(AC125+AA125),"")</f>
        <v/>
      </c>
      <c r="BE125" s="91" t="n"/>
      <c r="BF125" s="40" t="n"/>
    </row>
    <row r="126" ht="15" customHeight="1" s="67">
      <c r="A126" s="8" t="n"/>
      <c r="B126" s="86" t="n"/>
      <c r="C126" s="86" t="n"/>
      <c r="D126" s="86" t="n"/>
      <c r="E126" s="86" t="n"/>
      <c r="F126" s="86" t="n"/>
      <c r="G126" s="86" t="n"/>
      <c r="H126" s="86" t="n"/>
      <c r="I126" s="86" t="n"/>
      <c r="J126" s="86" t="n"/>
      <c r="K126" s="86" t="n"/>
      <c r="L126" s="86" t="n"/>
      <c r="M126" s="86" t="n"/>
      <c r="N126" s="86" t="n"/>
      <c r="O126" s="86" t="n"/>
      <c r="P126" s="86" t="n"/>
      <c r="Q126" s="86" t="n"/>
      <c r="R126" s="86" t="n"/>
      <c r="S126" s="86" t="n"/>
      <c r="T126" s="86" t="n"/>
      <c r="U126" s="86" t="n"/>
      <c r="V126" s="86" t="n"/>
      <c r="W126" s="86" t="n"/>
      <c r="X126" s="8" t="n"/>
      <c r="Y126" s="8" t="n"/>
      <c r="Z126" s="8" t="n"/>
      <c r="AA126" s="86" t="n"/>
      <c r="AB126" s="87">
        <f>IFERROR(AA126/AF126,"")</f>
        <v/>
      </c>
      <c r="AC126" s="86" t="n"/>
      <c r="AD126" s="86" t="n"/>
      <c r="AE126" s="86" t="n"/>
      <c r="AF126" s="86" t="n"/>
      <c r="AG126" s="86" t="n"/>
      <c r="AH126" s="86" t="n"/>
      <c r="AI126" s="86" t="n"/>
      <c r="AJ126" s="86" t="n"/>
      <c r="AK126" s="86" t="n"/>
      <c r="AL126" s="86" t="n"/>
      <c r="AM126" s="86" t="n"/>
      <c r="AN126" s="86" t="n"/>
      <c r="AO126" s="11">
        <f>IFERROR(AC126/E126,"")</f>
        <v/>
      </c>
      <c r="AP126" s="11">
        <f>IFERROR(AD126/E126,"")</f>
        <v/>
      </c>
      <c r="AQ126" s="11">
        <f>IFERROR(AG126/E126,"")</f>
        <v/>
      </c>
      <c r="AR126" s="87">
        <f>IFERROR(AG126/AF126,"")</f>
        <v/>
      </c>
      <c r="AS126" s="87">
        <f>IFERROR(AH126/AF126,"")</f>
        <v/>
      </c>
      <c r="AT126" s="87">
        <f>IFERROR(AI126/AH126,"")</f>
        <v/>
      </c>
      <c r="AU126" s="87">
        <f>IFERROR(AN126/AH126,"")</f>
        <v/>
      </c>
      <c r="AV126" s="88" t="n"/>
      <c r="AW126" s="89" t="n"/>
      <c r="AX126" s="89" t="n"/>
      <c r="AY126" s="8" t="n"/>
      <c r="AZ126" s="8" t="n"/>
      <c r="BA126" s="8" t="n"/>
      <c r="BB126" s="8" t="n"/>
      <c r="BC126" s="90">
        <f>IFERROR(AG126/AC126,"")</f>
        <v/>
      </c>
      <c r="BD126" s="90">
        <f>IFERROR(AG126/(AC126+AA126),"")</f>
        <v/>
      </c>
      <c r="BE126" s="91" t="n"/>
      <c r="BF126" s="40" t="n"/>
    </row>
    <row r="127" ht="15" customHeight="1" s="67">
      <c r="A127" s="8" t="n"/>
      <c r="B127" s="86" t="n"/>
      <c r="C127" s="86" t="n"/>
      <c r="D127" s="86" t="n"/>
      <c r="E127" s="86" t="n"/>
      <c r="F127" s="86" t="n"/>
      <c r="G127" s="86" t="n"/>
      <c r="H127" s="86" t="n"/>
      <c r="I127" s="86" t="n"/>
      <c r="J127" s="86" t="n"/>
      <c r="K127" s="86" t="n"/>
      <c r="L127" s="86" t="n"/>
      <c r="M127" s="86" t="n"/>
      <c r="N127" s="86" t="n"/>
      <c r="O127" s="86" t="n"/>
      <c r="P127" s="86" t="n"/>
      <c r="Q127" s="86" t="n"/>
      <c r="R127" s="86" t="n"/>
      <c r="S127" s="86" t="n"/>
      <c r="T127" s="86" t="n"/>
      <c r="U127" s="86" t="n"/>
      <c r="V127" s="86" t="n"/>
      <c r="W127" s="86" t="n"/>
      <c r="X127" s="8" t="n"/>
      <c r="Y127" s="8" t="n"/>
      <c r="Z127" s="8" t="n"/>
      <c r="AA127" s="86" t="n"/>
      <c r="AB127" s="87">
        <f>IFERROR(AA127/AF127,"")</f>
        <v/>
      </c>
      <c r="AC127" s="86" t="n"/>
      <c r="AD127" s="86" t="n"/>
      <c r="AE127" s="86" t="n"/>
      <c r="AF127" s="86" t="n"/>
      <c r="AG127" s="86" t="n"/>
      <c r="AH127" s="86" t="n"/>
      <c r="AI127" s="86" t="n"/>
      <c r="AJ127" s="86" t="n"/>
      <c r="AK127" s="86" t="n"/>
      <c r="AL127" s="86" t="n"/>
      <c r="AM127" s="86" t="n"/>
      <c r="AN127" s="86" t="n"/>
      <c r="AO127" s="11">
        <f>IFERROR(AC127/E127,"")</f>
        <v/>
      </c>
      <c r="AP127" s="11">
        <f>IFERROR(AD127/E127,"")</f>
        <v/>
      </c>
      <c r="AQ127" s="11">
        <f>IFERROR(AG127/E127,"")</f>
        <v/>
      </c>
      <c r="AR127" s="87">
        <f>IFERROR(AG127/AF127,"")</f>
        <v/>
      </c>
      <c r="AS127" s="87">
        <f>IFERROR(AH127/AF127,"")</f>
        <v/>
      </c>
      <c r="AT127" s="87">
        <f>IFERROR(AI127/AH127,"")</f>
        <v/>
      </c>
      <c r="AU127" s="87">
        <f>IFERROR(AN127/AH127,"")</f>
        <v/>
      </c>
      <c r="AV127" s="88" t="n"/>
      <c r="AW127" s="89" t="n"/>
      <c r="AX127" s="89" t="n"/>
      <c r="AY127" s="8" t="n"/>
      <c r="AZ127" s="8" t="n"/>
      <c r="BA127" s="8" t="n"/>
      <c r="BB127" s="8" t="n"/>
      <c r="BC127" s="90">
        <f>IFERROR(AG127/AC127,"")</f>
        <v/>
      </c>
      <c r="BD127" s="90">
        <f>IFERROR(AG127/(AC127+AA127),"")</f>
        <v/>
      </c>
      <c r="BE127" s="91" t="n"/>
      <c r="BF127" s="40" t="n"/>
    </row>
    <row r="128" ht="15" customHeight="1" s="67">
      <c r="A128" s="8" t="n"/>
      <c r="B128" s="86" t="n"/>
      <c r="C128" s="86" t="n"/>
      <c r="D128" s="86" t="n"/>
      <c r="E128" s="86" t="n"/>
      <c r="F128" s="86" t="n"/>
      <c r="G128" s="86" t="n"/>
      <c r="H128" s="86" t="n"/>
      <c r="I128" s="86" t="n"/>
      <c r="J128" s="86" t="n"/>
      <c r="K128" s="86" t="n"/>
      <c r="L128" s="86" t="n"/>
      <c r="M128" s="86" t="n"/>
      <c r="N128" s="86" t="n"/>
      <c r="O128" s="86" t="n"/>
      <c r="P128" s="86" t="n"/>
      <c r="Q128" s="86" t="n"/>
      <c r="R128" s="86" t="n"/>
      <c r="S128" s="86" t="n"/>
      <c r="T128" s="86" t="n"/>
      <c r="U128" s="86" t="n"/>
      <c r="V128" s="86" t="n"/>
      <c r="W128" s="86" t="n"/>
      <c r="X128" s="8" t="n"/>
      <c r="Y128" s="8" t="n"/>
      <c r="Z128" s="8" t="n"/>
      <c r="AA128" s="86" t="n"/>
      <c r="AB128" s="87">
        <f>IFERROR(AA128/AF128,"")</f>
        <v/>
      </c>
      <c r="AC128" s="86" t="n"/>
      <c r="AD128" s="86" t="n"/>
      <c r="AE128" s="86" t="n"/>
      <c r="AF128" s="86" t="n"/>
      <c r="AG128" s="86" t="n"/>
      <c r="AH128" s="86" t="n"/>
      <c r="AI128" s="86" t="n"/>
      <c r="AJ128" s="86" t="n"/>
      <c r="AK128" s="86" t="n"/>
      <c r="AL128" s="86" t="n"/>
      <c r="AM128" s="86" t="n"/>
      <c r="AN128" s="86" t="n"/>
      <c r="AO128" s="11">
        <f>IFERROR(AC128/E128,"")</f>
        <v/>
      </c>
      <c r="AP128" s="11">
        <f>IFERROR(AD128/E128,"")</f>
        <v/>
      </c>
      <c r="AQ128" s="11">
        <f>IFERROR(AG128/E128,"")</f>
        <v/>
      </c>
      <c r="AR128" s="87">
        <f>IFERROR(AG128/AF128,"")</f>
        <v/>
      </c>
      <c r="AS128" s="87">
        <f>IFERROR(AH128/AF128,"")</f>
        <v/>
      </c>
      <c r="AT128" s="87">
        <f>IFERROR(AI128/AH128,"")</f>
        <v/>
      </c>
      <c r="AU128" s="87">
        <f>IFERROR(AN128/AH128,"")</f>
        <v/>
      </c>
      <c r="AV128" s="88" t="n"/>
      <c r="AW128" s="89" t="n"/>
      <c r="AX128" s="89" t="n"/>
      <c r="AY128" s="8" t="n"/>
      <c r="AZ128" s="8" t="n"/>
      <c r="BA128" s="8" t="n"/>
      <c r="BB128" s="8" t="n"/>
      <c r="BC128" s="90">
        <f>IFERROR(AG128/AC128,"")</f>
        <v/>
      </c>
      <c r="BD128" s="90">
        <f>IFERROR(AG128/(AC128+AA128),"")</f>
        <v/>
      </c>
      <c r="BE128" s="91" t="n"/>
      <c r="BF128" s="40" t="n"/>
    </row>
    <row r="129" ht="15" customHeight="1" s="67">
      <c r="A129" s="8" t="n"/>
      <c r="B129" s="86" t="n"/>
      <c r="C129" s="86" t="n"/>
      <c r="D129" s="86" t="n"/>
      <c r="E129" s="86" t="n"/>
      <c r="F129" s="86" t="n"/>
      <c r="G129" s="86" t="n"/>
      <c r="H129" s="86" t="n"/>
      <c r="I129" s="86" t="n"/>
      <c r="J129" s="86" t="n"/>
      <c r="K129" s="86" t="n"/>
      <c r="L129" s="86" t="n"/>
      <c r="M129" s="86" t="n"/>
      <c r="N129" s="86" t="n"/>
      <c r="O129" s="86" t="n"/>
      <c r="P129" s="86" t="n"/>
      <c r="Q129" s="86" t="n"/>
      <c r="R129" s="86" t="n"/>
      <c r="S129" s="86" t="n"/>
      <c r="T129" s="86" t="n"/>
      <c r="U129" s="86" t="n"/>
      <c r="V129" s="86" t="n"/>
      <c r="W129" s="86" t="n"/>
      <c r="X129" s="8" t="n"/>
      <c r="Y129" s="8" t="n"/>
      <c r="Z129" s="8" t="n"/>
      <c r="AA129" s="86" t="n"/>
      <c r="AB129" s="87">
        <f>IFERROR(AA129/AF129,"")</f>
        <v/>
      </c>
      <c r="AC129" s="86" t="n"/>
      <c r="AD129" s="86" t="n"/>
      <c r="AE129" s="86" t="n"/>
      <c r="AF129" s="86" t="n"/>
      <c r="AG129" s="86" t="n"/>
      <c r="AH129" s="86" t="n"/>
      <c r="AI129" s="86" t="n"/>
      <c r="AJ129" s="86" t="n"/>
      <c r="AK129" s="86" t="n"/>
      <c r="AL129" s="86" t="n"/>
      <c r="AM129" s="86" t="n"/>
      <c r="AN129" s="86" t="n"/>
      <c r="AO129" s="11">
        <f>IFERROR(AC129/E129,"")</f>
        <v/>
      </c>
      <c r="AP129" s="11">
        <f>IFERROR(AD129/E129,"")</f>
        <v/>
      </c>
      <c r="AQ129" s="11">
        <f>IFERROR(AG129/E129,"")</f>
        <v/>
      </c>
      <c r="AR129" s="87">
        <f>IFERROR(AG129/AF129,"")</f>
        <v/>
      </c>
      <c r="AS129" s="87">
        <f>IFERROR(AH129/AF129,"")</f>
        <v/>
      </c>
      <c r="AT129" s="87">
        <f>IFERROR(AI129/AH129,"")</f>
        <v/>
      </c>
      <c r="AU129" s="87">
        <f>IFERROR(AN129/AH129,"")</f>
        <v/>
      </c>
      <c r="AV129" s="88" t="n"/>
      <c r="AW129" s="89" t="n"/>
      <c r="AX129" s="89" t="n"/>
      <c r="AY129" s="8" t="n"/>
      <c r="AZ129" s="8" t="n"/>
      <c r="BA129" s="8" t="n"/>
      <c r="BB129" s="8" t="n"/>
      <c r="BC129" s="90">
        <f>IFERROR(AG129/AC129,"")</f>
        <v/>
      </c>
      <c r="BD129" s="90">
        <f>IFERROR(AG129/(AC129+AA129),"")</f>
        <v/>
      </c>
      <c r="BE129" s="91" t="n"/>
      <c r="BF129" s="40" t="n"/>
    </row>
    <row r="130" ht="15" customHeight="1" s="67">
      <c r="A130" s="8" t="n"/>
      <c r="B130" s="86" t="n"/>
      <c r="C130" s="86" t="n"/>
      <c r="D130" s="86" t="n"/>
      <c r="E130" s="86" t="n"/>
      <c r="F130" s="86" t="n"/>
      <c r="G130" s="86" t="n"/>
      <c r="H130" s="86" t="n"/>
      <c r="I130" s="86" t="n"/>
      <c r="J130" s="86" t="n"/>
      <c r="K130" s="86" t="n"/>
      <c r="L130" s="86" t="n"/>
      <c r="M130" s="86" t="n"/>
      <c r="N130" s="86" t="n"/>
      <c r="O130" s="86" t="n"/>
      <c r="P130" s="86" t="n"/>
      <c r="Q130" s="86" t="n"/>
      <c r="R130" s="86" t="n"/>
      <c r="S130" s="86" t="n"/>
      <c r="T130" s="86" t="n"/>
      <c r="U130" s="86" t="n"/>
      <c r="V130" s="86" t="n"/>
      <c r="W130" s="86" t="n"/>
      <c r="X130" s="8" t="n"/>
      <c r="Y130" s="8" t="n"/>
      <c r="Z130" s="8" t="n"/>
      <c r="AA130" s="86" t="n"/>
      <c r="AB130" s="87">
        <f>IFERROR(AA130/AF130,"")</f>
        <v/>
      </c>
      <c r="AC130" s="86" t="n"/>
      <c r="AD130" s="86" t="n"/>
      <c r="AE130" s="86" t="n"/>
      <c r="AF130" s="86" t="n"/>
      <c r="AG130" s="86" t="n"/>
      <c r="AH130" s="86" t="n"/>
      <c r="AI130" s="86" t="n"/>
      <c r="AJ130" s="86" t="n"/>
      <c r="AK130" s="86" t="n"/>
      <c r="AL130" s="86" t="n"/>
      <c r="AM130" s="86" t="n"/>
      <c r="AN130" s="86" t="n"/>
      <c r="AO130" s="11">
        <f>IFERROR(AC130/E130,"")</f>
        <v/>
      </c>
      <c r="AP130" s="11">
        <f>IFERROR(AD130/E130,"")</f>
        <v/>
      </c>
      <c r="AQ130" s="11">
        <f>IFERROR(AG130/E130,"")</f>
        <v/>
      </c>
      <c r="AR130" s="87">
        <f>IFERROR(AG130/AF130,"")</f>
        <v/>
      </c>
      <c r="AS130" s="87">
        <f>IFERROR(AH130/AF130,"")</f>
        <v/>
      </c>
      <c r="AT130" s="87">
        <f>IFERROR(AI130/AH130,"")</f>
        <v/>
      </c>
      <c r="AU130" s="87">
        <f>IFERROR(AN130/AH130,"")</f>
        <v/>
      </c>
      <c r="AV130" s="88" t="n"/>
      <c r="AW130" s="89" t="n"/>
      <c r="AX130" s="89" t="n"/>
      <c r="AY130" s="8" t="n"/>
      <c r="AZ130" s="8" t="n"/>
      <c r="BA130" s="8" t="n"/>
      <c r="BB130" s="8" t="n"/>
      <c r="BC130" s="90">
        <f>IFERROR(AG130/AC130,"")</f>
        <v/>
      </c>
      <c r="BD130" s="90">
        <f>IFERROR(AG130/(AC130+AA130),"")</f>
        <v/>
      </c>
      <c r="BE130" s="91" t="n"/>
      <c r="BF130" s="40" t="n"/>
    </row>
    <row r="131" ht="15" customHeight="1" s="67">
      <c r="A131" s="8" t="n"/>
      <c r="B131" s="86" t="n"/>
      <c r="C131" s="86" t="n"/>
      <c r="D131" s="86" t="n"/>
      <c r="E131" s="86" t="n"/>
      <c r="F131" s="86" t="n"/>
      <c r="G131" s="86" t="n"/>
      <c r="H131" s="86" t="n"/>
      <c r="I131" s="86" t="n"/>
      <c r="J131" s="86" t="n"/>
      <c r="K131" s="86" t="n"/>
      <c r="L131" s="86" t="n"/>
      <c r="M131" s="86" t="n"/>
      <c r="N131" s="86" t="n"/>
      <c r="O131" s="86" t="n"/>
      <c r="P131" s="86" t="n"/>
      <c r="Q131" s="86" t="n"/>
      <c r="R131" s="86" t="n"/>
      <c r="S131" s="86" t="n"/>
      <c r="T131" s="86" t="n"/>
      <c r="U131" s="86" t="n"/>
      <c r="V131" s="86" t="n"/>
      <c r="W131" s="86" t="n"/>
      <c r="X131" s="8" t="n"/>
      <c r="Y131" s="8" t="n"/>
      <c r="Z131" s="8" t="n"/>
      <c r="AA131" s="86" t="n"/>
      <c r="AB131" s="87">
        <f>IFERROR(AA131/AF131,"")</f>
        <v/>
      </c>
      <c r="AC131" s="86" t="n"/>
      <c r="AD131" s="86" t="n"/>
      <c r="AE131" s="86" t="n"/>
      <c r="AF131" s="86" t="n"/>
      <c r="AG131" s="86" t="n"/>
      <c r="AH131" s="86" t="n"/>
      <c r="AI131" s="86" t="n"/>
      <c r="AJ131" s="86" t="n"/>
      <c r="AK131" s="86" t="n"/>
      <c r="AL131" s="86" t="n"/>
      <c r="AM131" s="86" t="n"/>
      <c r="AN131" s="86" t="n"/>
      <c r="AO131" s="11">
        <f>IFERROR(AC131/E131,"")</f>
        <v/>
      </c>
      <c r="AP131" s="11">
        <f>IFERROR(AD131/E131,"")</f>
        <v/>
      </c>
      <c r="AQ131" s="11">
        <f>IFERROR(AG131/E131,"")</f>
        <v/>
      </c>
      <c r="AR131" s="87">
        <f>IFERROR(AG131/AF131,"")</f>
        <v/>
      </c>
      <c r="AS131" s="87">
        <f>IFERROR(AH131/AF131,"")</f>
        <v/>
      </c>
      <c r="AT131" s="87">
        <f>IFERROR(AI131/AH131,"")</f>
        <v/>
      </c>
      <c r="AU131" s="87">
        <f>IFERROR(AN131/AH131,"")</f>
        <v/>
      </c>
      <c r="AV131" s="88" t="n"/>
      <c r="AW131" s="89" t="n"/>
      <c r="AX131" s="89" t="n"/>
      <c r="AY131" s="8" t="n"/>
      <c r="AZ131" s="8" t="n"/>
      <c r="BA131" s="8" t="n"/>
      <c r="BB131" s="8" t="n"/>
      <c r="BC131" s="90">
        <f>IFERROR(AG131/AC131,"")</f>
        <v/>
      </c>
      <c r="BD131" s="90">
        <f>IFERROR(AG131/(AC131+AA131),"")</f>
        <v/>
      </c>
      <c r="BE131" s="91" t="n"/>
      <c r="BF131" s="40" t="n"/>
    </row>
    <row r="132" ht="15" customHeight="1" s="67">
      <c r="A132" s="8" t="n"/>
      <c r="B132" s="86" t="n"/>
      <c r="C132" s="86" t="n"/>
      <c r="D132" s="86" t="n"/>
      <c r="E132" s="86" t="n"/>
      <c r="F132" s="86" t="n"/>
      <c r="G132" s="86" t="n"/>
      <c r="H132" s="86" t="n"/>
      <c r="I132" s="86" t="n"/>
      <c r="J132" s="86" t="n"/>
      <c r="K132" s="86" t="n"/>
      <c r="L132" s="86" t="n"/>
      <c r="M132" s="86" t="n"/>
      <c r="N132" s="86" t="n"/>
      <c r="O132" s="86" t="n"/>
      <c r="P132" s="86" t="n"/>
      <c r="Q132" s="86" t="n"/>
      <c r="R132" s="86" t="n"/>
      <c r="S132" s="86" t="n"/>
      <c r="T132" s="86" t="n"/>
      <c r="U132" s="86" t="n"/>
      <c r="V132" s="86" t="n"/>
      <c r="W132" s="86" t="n"/>
      <c r="X132" s="8" t="n"/>
      <c r="Y132" s="8" t="n"/>
      <c r="Z132" s="8" t="n"/>
      <c r="AA132" s="86" t="n"/>
      <c r="AB132" s="87">
        <f>IFERROR(AA132/AF132,"")</f>
        <v/>
      </c>
      <c r="AC132" s="86" t="n"/>
      <c r="AD132" s="86" t="n"/>
      <c r="AE132" s="86" t="n"/>
      <c r="AF132" s="86" t="n"/>
      <c r="AG132" s="86" t="n"/>
      <c r="AH132" s="86" t="n"/>
      <c r="AI132" s="86" t="n"/>
      <c r="AJ132" s="86" t="n"/>
      <c r="AK132" s="86" t="n"/>
      <c r="AL132" s="86" t="n"/>
      <c r="AM132" s="86" t="n"/>
      <c r="AN132" s="86" t="n"/>
      <c r="AO132" s="11">
        <f>IFERROR(AC132/E132,"")</f>
        <v/>
      </c>
      <c r="AP132" s="11">
        <f>IFERROR(AD132/E132,"")</f>
        <v/>
      </c>
      <c r="AQ132" s="11">
        <f>IFERROR(AG132/E132,"")</f>
        <v/>
      </c>
      <c r="AR132" s="87">
        <f>IFERROR(AG132/AF132,"")</f>
        <v/>
      </c>
      <c r="AS132" s="87">
        <f>IFERROR(AH132/AF132,"")</f>
        <v/>
      </c>
      <c r="AT132" s="87">
        <f>IFERROR(AI132/AH132,"")</f>
        <v/>
      </c>
      <c r="AU132" s="87">
        <f>IFERROR(AN132/AH132,"")</f>
        <v/>
      </c>
      <c r="AV132" s="88" t="n"/>
      <c r="AW132" s="89" t="n"/>
      <c r="AX132" s="89" t="n"/>
      <c r="AY132" s="8" t="n"/>
      <c r="AZ132" s="8" t="n"/>
      <c r="BA132" s="8" t="n"/>
      <c r="BB132" s="8" t="n"/>
      <c r="BC132" s="90">
        <f>IFERROR(AG132/AC132,"")</f>
        <v/>
      </c>
      <c r="BD132" s="90">
        <f>IFERROR(AG132/(AC132+AA132),"")</f>
        <v/>
      </c>
      <c r="BE132" s="91" t="n"/>
      <c r="BF132" s="40" t="n"/>
    </row>
    <row r="133" ht="15" customHeight="1" s="67">
      <c r="A133" s="8" t="n"/>
      <c r="B133" s="86" t="n"/>
      <c r="C133" s="86" t="n"/>
      <c r="D133" s="86" t="n"/>
      <c r="E133" s="86" t="n"/>
      <c r="F133" s="86" t="n"/>
      <c r="G133" s="86" t="n"/>
      <c r="H133" s="86" t="n"/>
      <c r="I133" s="86" t="n"/>
      <c r="J133" s="86" t="n"/>
      <c r="K133" s="86" t="n"/>
      <c r="L133" s="86" t="n"/>
      <c r="M133" s="86" t="n"/>
      <c r="N133" s="86" t="n"/>
      <c r="O133" s="86" t="n"/>
      <c r="P133" s="86" t="n"/>
      <c r="Q133" s="86" t="n"/>
      <c r="R133" s="86" t="n"/>
      <c r="S133" s="86" t="n"/>
      <c r="T133" s="86" t="n"/>
      <c r="U133" s="86" t="n"/>
      <c r="V133" s="86" t="n"/>
      <c r="W133" s="86" t="n"/>
      <c r="X133" s="8" t="n"/>
      <c r="Y133" s="8" t="n"/>
      <c r="Z133" s="8" t="n"/>
      <c r="AA133" s="86" t="n"/>
      <c r="AB133" s="87">
        <f>IFERROR(AA133/AF133,"")</f>
        <v/>
      </c>
      <c r="AC133" s="86" t="n"/>
      <c r="AD133" s="86" t="n"/>
      <c r="AE133" s="86" t="n"/>
      <c r="AF133" s="86" t="n"/>
      <c r="AG133" s="86" t="n"/>
      <c r="AH133" s="86" t="n"/>
      <c r="AI133" s="86" t="n"/>
      <c r="AJ133" s="86" t="n"/>
      <c r="AK133" s="86" t="n"/>
      <c r="AL133" s="86" t="n"/>
      <c r="AM133" s="86" t="n"/>
      <c r="AN133" s="86" t="n"/>
      <c r="AO133" s="11">
        <f>IFERROR(AC133/E133,"")</f>
        <v/>
      </c>
      <c r="AP133" s="11">
        <f>IFERROR(AD133/E133,"")</f>
        <v/>
      </c>
      <c r="AQ133" s="11">
        <f>IFERROR(AG133/E133,"")</f>
        <v/>
      </c>
      <c r="AR133" s="87">
        <f>IFERROR(AG133/AF133,"")</f>
        <v/>
      </c>
      <c r="AS133" s="87">
        <f>IFERROR(AH133/AF133,"")</f>
        <v/>
      </c>
      <c r="AT133" s="87">
        <f>IFERROR(AI133/AH133,"")</f>
        <v/>
      </c>
      <c r="AU133" s="87">
        <f>IFERROR(AN133/AH133,"")</f>
        <v/>
      </c>
      <c r="AV133" s="88" t="n"/>
      <c r="AW133" s="89" t="n"/>
      <c r="AX133" s="89" t="n"/>
      <c r="AY133" s="8" t="n"/>
      <c r="AZ133" s="8" t="n"/>
      <c r="BA133" s="8" t="n"/>
      <c r="BB133" s="8" t="n"/>
      <c r="BC133" s="90">
        <f>IFERROR(AG133/AC133,"")</f>
        <v/>
      </c>
      <c r="BD133" s="90">
        <f>IFERROR(AG133/(AC133+AA133),"")</f>
        <v/>
      </c>
      <c r="BE133" s="91" t="n"/>
      <c r="BF133" s="40" t="n"/>
    </row>
    <row r="134" ht="15" customHeight="1" s="67">
      <c r="A134" s="8" t="n"/>
      <c r="B134" s="86" t="n"/>
      <c r="C134" s="86" t="n"/>
      <c r="D134" s="86" t="n"/>
      <c r="E134" s="86" t="n"/>
      <c r="F134" s="86" t="n"/>
      <c r="G134" s="86" t="n"/>
      <c r="H134" s="86" t="n"/>
      <c r="I134" s="86" t="n"/>
      <c r="J134" s="86" t="n"/>
      <c r="K134" s="86" t="n"/>
      <c r="L134" s="86" t="n"/>
      <c r="M134" s="86" t="n"/>
      <c r="N134" s="86" t="n"/>
      <c r="O134" s="86" t="n"/>
      <c r="P134" s="86" t="n"/>
      <c r="Q134" s="86" t="n"/>
      <c r="R134" s="86" t="n"/>
      <c r="S134" s="86" t="n"/>
      <c r="T134" s="86" t="n"/>
      <c r="U134" s="86" t="n"/>
      <c r="V134" s="86" t="n"/>
      <c r="W134" s="86" t="n"/>
      <c r="X134" s="8" t="n"/>
      <c r="Y134" s="8" t="n"/>
      <c r="Z134" s="8" t="n"/>
      <c r="AA134" s="86" t="n"/>
      <c r="AB134" s="87">
        <f>IFERROR(AA134/AF134,"")</f>
        <v/>
      </c>
      <c r="AC134" s="86" t="n"/>
      <c r="AD134" s="86" t="n"/>
      <c r="AE134" s="86" t="n"/>
      <c r="AF134" s="86" t="n"/>
      <c r="AG134" s="86" t="n"/>
      <c r="AH134" s="86" t="n"/>
      <c r="AI134" s="86" t="n"/>
      <c r="AJ134" s="86" t="n"/>
      <c r="AK134" s="86" t="n"/>
      <c r="AL134" s="86" t="n"/>
      <c r="AM134" s="86" t="n"/>
      <c r="AN134" s="86" t="n"/>
      <c r="AO134" s="11">
        <f>IFERROR(AC134/E134,"")</f>
        <v/>
      </c>
      <c r="AP134" s="11">
        <f>IFERROR(AD134/E134,"")</f>
        <v/>
      </c>
      <c r="AQ134" s="11">
        <f>IFERROR(AG134/E134,"")</f>
        <v/>
      </c>
      <c r="AR134" s="87">
        <f>IFERROR(AG134/AF134,"")</f>
        <v/>
      </c>
      <c r="AS134" s="87">
        <f>IFERROR(AH134/AF134,"")</f>
        <v/>
      </c>
      <c r="AT134" s="87">
        <f>IFERROR(AI134/AH134,"")</f>
        <v/>
      </c>
      <c r="AU134" s="87">
        <f>IFERROR(AN134/AH134,"")</f>
        <v/>
      </c>
      <c r="AV134" s="88" t="n"/>
      <c r="AW134" s="89" t="n"/>
      <c r="AX134" s="89" t="n"/>
      <c r="AY134" s="8" t="n"/>
      <c r="AZ134" s="8" t="n"/>
      <c r="BA134" s="8" t="n"/>
      <c r="BB134" s="8" t="n"/>
      <c r="BC134" s="90">
        <f>IFERROR(AG134/AC134,"")</f>
        <v/>
      </c>
      <c r="BD134" s="90">
        <f>IFERROR(AG134/(AC134+AA134),"")</f>
        <v/>
      </c>
      <c r="BE134" s="91" t="n"/>
      <c r="BF134" s="40" t="n"/>
    </row>
    <row r="135" ht="15" customHeight="1" s="67">
      <c r="A135" s="8" t="n"/>
      <c r="B135" s="86" t="n"/>
      <c r="C135" s="86" t="n"/>
      <c r="D135" s="86" t="n"/>
      <c r="E135" s="86" t="n"/>
      <c r="F135" s="86" t="n"/>
      <c r="G135" s="86" t="n"/>
      <c r="H135" s="86" t="n"/>
      <c r="I135" s="86" t="n"/>
      <c r="J135" s="86" t="n"/>
      <c r="K135" s="86" t="n"/>
      <c r="L135" s="86" t="n"/>
      <c r="M135" s="86" t="n"/>
      <c r="N135" s="86" t="n"/>
      <c r="O135" s="86" t="n"/>
      <c r="P135" s="86" t="n"/>
      <c r="Q135" s="86" t="n"/>
      <c r="R135" s="86" t="n"/>
      <c r="S135" s="86" t="n"/>
      <c r="T135" s="86" t="n"/>
      <c r="U135" s="86" t="n"/>
      <c r="V135" s="86" t="n"/>
      <c r="W135" s="86" t="n"/>
      <c r="X135" s="8" t="n"/>
      <c r="Y135" s="8" t="n"/>
      <c r="Z135" s="8" t="n"/>
      <c r="AA135" s="86" t="n"/>
      <c r="AB135" s="87">
        <f>IFERROR(AA135/AF135,"")</f>
        <v/>
      </c>
      <c r="AC135" s="86" t="n"/>
      <c r="AD135" s="86" t="n"/>
      <c r="AE135" s="86" t="n"/>
      <c r="AF135" s="86" t="n"/>
      <c r="AG135" s="86" t="n"/>
      <c r="AH135" s="86" t="n"/>
      <c r="AI135" s="86" t="n"/>
      <c r="AJ135" s="86" t="n"/>
      <c r="AK135" s="86" t="n"/>
      <c r="AL135" s="86" t="n"/>
      <c r="AM135" s="86" t="n"/>
      <c r="AN135" s="86" t="n"/>
      <c r="AO135" s="11">
        <f>IFERROR(AC135/E135,"")</f>
        <v/>
      </c>
      <c r="AP135" s="11">
        <f>IFERROR(AD135/E135,"")</f>
        <v/>
      </c>
      <c r="AQ135" s="11">
        <f>IFERROR(AG135/E135,"")</f>
        <v/>
      </c>
      <c r="AR135" s="87">
        <f>IFERROR(AG135/AF135,"")</f>
        <v/>
      </c>
      <c r="AS135" s="87">
        <f>IFERROR(AH135/AF135,"")</f>
        <v/>
      </c>
      <c r="AT135" s="87">
        <f>IFERROR(AI135/AH135,"")</f>
        <v/>
      </c>
      <c r="AU135" s="87">
        <f>IFERROR(AN135/AH135,"")</f>
        <v/>
      </c>
      <c r="AV135" s="88" t="n"/>
      <c r="AW135" s="89" t="n"/>
      <c r="AX135" s="89" t="n"/>
      <c r="AY135" s="8" t="n"/>
      <c r="AZ135" s="8" t="n"/>
      <c r="BA135" s="8" t="n"/>
      <c r="BB135" s="8" t="n"/>
      <c r="BC135" s="90">
        <f>IFERROR(AG135/AC135,"")</f>
        <v/>
      </c>
      <c r="BD135" s="90">
        <f>IFERROR(AG135/(AC135+AA135),"")</f>
        <v/>
      </c>
      <c r="BE135" s="91" t="n"/>
      <c r="BF135" s="40" t="n"/>
    </row>
    <row r="136" ht="15" customHeight="1" s="67">
      <c r="A136" s="8" t="n"/>
      <c r="B136" s="86" t="n"/>
      <c r="C136" s="86" t="n"/>
      <c r="D136" s="86" t="n"/>
      <c r="E136" s="86" t="n"/>
      <c r="F136" s="86" t="n"/>
      <c r="G136" s="86" t="n"/>
      <c r="H136" s="86" t="n"/>
      <c r="I136" s="86" t="n"/>
      <c r="J136" s="86" t="n"/>
      <c r="K136" s="86" t="n"/>
      <c r="L136" s="86" t="n"/>
      <c r="M136" s="86" t="n"/>
      <c r="N136" s="86" t="n"/>
      <c r="O136" s="86" t="n"/>
      <c r="P136" s="86" t="n"/>
      <c r="Q136" s="86" t="n"/>
      <c r="R136" s="86" t="n"/>
      <c r="S136" s="86" t="n"/>
      <c r="T136" s="86" t="n"/>
      <c r="U136" s="86" t="n"/>
      <c r="V136" s="86" t="n"/>
      <c r="W136" s="86" t="n"/>
      <c r="X136" s="8" t="n"/>
      <c r="Y136" s="8" t="n"/>
      <c r="Z136" s="8" t="n"/>
      <c r="AA136" s="86" t="n"/>
      <c r="AB136" s="87">
        <f>IFERROR(AA136/AF136,"")</f>
        <v/>
      </c>
      <c r="AC136" s="86" t="n"/>
      <c r="AD136" s="86" t="n"/>
      <c r="AE136" s="86" t="n"/>
      <c r="AF136" s="86" t="n"/>
      <c r="AG136" s="86" t="n"/>
      <c r="AH136" s="86" t="n"/>
      <c r="AI136" s="86" t="n"/>
      <c r="AJ136" s="86" t="n"/>
      <c r="AK136" s="86" t="n"/>
      <c r="AL136" s="86" t="n"/>
      <c r="AM136" s="86" t="n"/>
      <c r="AN136" s="86" t="n"/>
      <c r="AO136" s="11">
        <f>IFERROR(AC136/E136,"")</f>
        <v/>
      </c>
      <c r="AP136" s="11">
        <f>IFERROR(AD136/E136,"")</f>
        <v/>
      </c>
      <c r="AQ136" s="11">
        <f>IFERROR(AG136/E136,"")</f>
        <v/>
      </c>
      <c r="AR136" s="87">
        <f>IFERROR(AG136/AF136,"")</f>
        <v/>
      </c>
      <c r="AS136" s="87">
        <f>IFERROR(AH136/AF136,"")</f>
        <v/>
      </c>
      <c r="AT136" s="87">
        <f>IFERROR(AI136/AH136,"")</f>
        <v/>
      </c>
      <c r="AU136" s="87">
        <f>IFERROR(AN136/AH136,"")</f>
        <v/>
      </c>
      <c r="AV136" s="88" t="n"/>
      <c r="AW136" s="89" t="n"/>
      <c r="AX136" s="89" t="n"/>
      <c r="AY136" s="8" t="n"/>
      <c r="AZ136" s="8" t="n"/>
      <c r="BA136" s="8" t="n"/>
      <c r="BB136" s="8" t="n"/>
      <c r="BC136" s="90">
        <f>IFERROR(AG136/AC136,"")</f>
        <v/>
      </c>
      <c r="BD136" s="90">
        <f>IFERROR(AG136/(AC136+AA136),"")</f>
        <v/>
      </c>
      <c r="BE136" s="91" t="n"/>
      <c r="BF136" s="40" t="n"/>
    </row>
    <row r="137" ht="15" customHeight="1" s="67">
      <c r="A137" s="8" t="n"/>
      <c r="B137" s="86" t="n"/>
      <c r="C137" s="86" t="n"/>
      <c r="D137" s="86" t="n"/>
      <c r="E137" s="86" t="n"/>
      <c r="F137" s="86" t="n"/>
      <c r="G137" s="86" t="n"/>
      <c r="H137" s="86" t="n"/>
      <c r="I137" s="86" t="n"/>
      <c r="J137" s="86" t="n"/>
      <c r="K137" s="86" t="n"/>
      <c r="L137" s="86" t="n"/>
      <c r="M137" s="86" t="n"/>
      <c r="N137" s="86" t="n"/>
      <c r="O137" s="86" t="n"/>
      <c r="P137" s="86" t="n"/>
      <c r="Q137" s="86" t="n"/>
      <c r="R137" s="86" t="n"/>
      <c r="S137" s="86" t="n"/>
      <c r="T137" s="86" t="n"/>
      <c r="U137" s="86" t="n"/>
      <c r="V137" s="86" t="n"/>
      <c r="W137" s="86" t="n"/>
      <c r="X137" s="8" t="n"/>
      <c r="Y137" s="8" t="n"/>
      <c r="Z137" s="8" t="n"/>
      <c r="AA137" s="86" t="n"/>
      <c r="AB137" s="87">
        <f>IFERROR(AA137/AF137,"")</f>
        <v/>
      </c>
      <c r="AC137" s="86" t="n"/>
      <c r="AD137" s="86" t="n"/>
      <c r="AE137" s="86" t="n"/>
      <c r="AF137" s="86" t="n"/>
      <c r="AG137" s="86" t="n"/>
      <c r="AH137" s="86" t="n"/>
      <c r="AI137" s="86" t="n"/>
      <c r="AJ137" s="86" t="n"/>
      <c r="AK137" s="86" t="n"/>
      <c r="AL137" s="86" t="n"/>
      <c r="AM137" s="86" t="n"/>
      <c r="AN137" s="86" t="n"/>
      <c r="AO137" s="11">
        <f>IFERROR(AC137/E137,"")</f>
        <v/>
      </c>
      <c r="AP137" s="11">
        <f>IFERROR(AD137/E137,"")</f>
        <v/>
      </c>
      <c r="AQ137" s="11">
        <f>IFERROR(AG137/E137,"")</f>
        <v/>
      </c>
      <c r="AR137" s="87">
        <f>IFERROR(AG137/AF137,"")</f>
        <v/>
      </c>
      <c r="AS137" s="87">
        <f>IFERROR(AH137/AF137,"")</f>
        <v/>
      </c>
      <c r="AT137" s="87">
        <f>IFERROR(AI137/AH137,"")</f>
        <v/>
      </c>
      <c r="AU137" s="87">
        <f>IFERROR(AN137/AH137,"")</f>
        <v/>
      </c>
      <c r="AV137" s="88" t="n"/>
      <c r="AW137" s="89" t="n"/>
      <c r="AX137" s="89" t="n"/>
      <c r="AY137" s="8" t="n"/>
      <c r="AZ137" s="8" t="n"/>
      <c r="BA137" s="8" t="n"/>
      <c r="BB137" s="8" t="n"/>
      <c r="BC137" s="90">
        <f>IFERROR(AG137/AC137,"")</f>
        <v/>
      </c>
      <c r="BD137" s="90">
        <f>IFERROR(AG137/(AC137+AA137),"")</f>
        <v/>
      </c>
      <c r="BE137" s="91" t="n"/>
      <c r="BF137" s="40" t="n"/>
    </row>
    <row r="138" ht="15" customHeight="1" s="67">
      <c r="A138" s="8" t="n"/>
      <c r="B138" s="86" t="n"/>
      <c r="C138" s="86" t="n"/>
      <c r="D138" s="86" t="n"/>
      <c r="E138" s="86" t="n"/>
      <c r="F138" s="86" t="n"/>
      <c r="G138" s="86" t="n"/>
      <c r="H138" s="86" t="n"/>
      <c r="I138" s="86" t="n"/>
      <c r="J138" s="86" t="n"/>
      <c r="K138" s="86" t="n"/>
      <c r="L138" s="86" t="n"/>
      <c r="M138" s="86" t="n"/>
      <c r="N138" s="86" t="n"/>
      <c r="O138" s="86" t="n"/>
      <c r="P138" s="86" t="n"/>
      <c r="Q138" s="86" t="n"/>
      <c r="R138" s="86" t="n"/>
      <c r="S138" s="86" t="n"/>
      <c r="T138" s="86" t="n"/>
      <c r="U138" s="86" t="n"/>
      <c r="V138" s="86" t="n"/>
      <c r="W138" s="86" t="n"/>
      <c r="X138" s="8" t="n"/>
      <c r="Y138" s="8" t="n"/>
      <c r="Z138" s="8" t="n"/>
      <c r="AA138" s="86" t="n"/>
      <c r="AB138" s="87">
        <f>IFERROR(AA138/AF138,"")</f>
        <v/>
      </c>
      <c r="AC138" s="86" t="n"/>
      <c r="AD138" s="86" t="n"/>
      <c r="AE138" s="86" t="n"/>
      <c r="AF138" s="86" t="n"/>
      <c r="AG138" s="86" t="n"/>
      <c r="AH138" s="86" t="n"/>
      <c r="AI138" s="86" t="n"/>
      <c r="AJ138" s="86" t="n"/>
      <c r="AK138" s="86" t="n"/>
      <c r="AL138" s="86" t="n"/>
      <c r="AM138" s="86" t="n"/>
      <c r="AN138" s="86" t="n"/>
      <c r="AO138" s="11">
        <f>IFERROR(AC138/E138,"")</f>
        <v/>
      </c>
      <c r="AP138" s="11">
        <f>IFERROR(AD138/E138,"")</f>
        <v/>
      </c>
      <c r="AQ138" s="11">
        <f>IFERROR(AG138/E138,"")</f>
        <v/>
      </c>
      <c r="AR138" s="87">
        <f>IFERROR(AG138/AF138,"")</f>
        <v/>
      </c>
      <c r="AS138" s="87">
        <f>IFERROR(AH138/AF138,"")</f>
        <v/>
      </c>
      <c r="AT138" s="87">
        <f>IFERROR(AI138/AH138,"")</f>
        <v/>
      </c>
      <c r="AU138" s="87">
        <f>IFERROR(AN138/AH138,"")</f>
        <v/>
      </c>
      <c r="AV138" s="88" t="n"/>
      <c r="AW138" s="89" t="n"/>
      <c r="AX138" s="89" t="n"/>
      <c r="AY138" s="8" t="n"/>
      <c r="AZ138" s="8" t="n"/>
      <c r="BA138" s="8" t="n"/>
      <c r="BB138" s="8" t="n"/>
      <c r="BC138" s="90">
        <f>IFERROR(AG138/AC138,"")</f>
        <v/>
      </c>
      <c r="BD138" s="90">
        <f>IFERROR(AG138/(AC138+AA138),"")</f>
        <v/>
      </c>
      <c r="BE138" s="91" t="n"/>
      <c r="BF138" s="40" t="n"/>
    </row>
    <row r="139" ht="15" customHeight="1" s="67">
      <c r="A139" s="8" t="n"/>
      <c r="B139" s="86" t="n"/>
      <c r="C139" s="86" t="n"/>
      <c r="D139" s="86" t="n"/>
      <c r="E139" s="86" t="n"/>
      <c r="F139" s="86" t="n"/>
      <c r="G139" s="86" t="n"/>
      <c r="H139" s="86" t="n"/>
      <c r="I139" s="86" t="n"/>
      <c r="J139" s="86" t="n"/>
      <c r="K139" s="86" t="n"/>
      <c r="L139" s="86" t="n"/>
      <c r="M139" s="86" t="n"/>
      <c r="N139" s="86" t="n"/>
      <c r="O139" s="86" t="n"/>
      <c r="P139" s="86" t="n"/>
      <c r="Q139" s="86" t="n"/>
      <c r="R139" s="86" t="n"/>
      <c r="S139" s="86" t="n"/>
      <c r="T139" s="86" t="n"/>
      <c r="U139" s="86" t="n"/>
      <c r="V139" s="86" t="n"/>
      <c r="W139" s="86" t="n"/>
      <c r="X139" s="8" t="n"/>
      <c r="Y139" s="8" t="n"/>
      <c r="Z139" s="8" t="n"/>
      <c r="AA139" s="86" t="n"/>
      <c r="AB139" s="87">
        <f>IFERROR(AA139/AF139,"")</f>
        <v/>
      </c>
      <c r="AC139" s="86" t="n"/>
      <c r="AD139" s="86" t="n"/>
      <c r="AE139" s="86" t="n"/>
      <c r="AF139" s="86" t="n"/>
      <c r="AG139" s="86" t="n"/>
      <c r="AH139" s="86" t="n"/>
      <c r="AI139" s="86" t="n"/>
      <c r="AJ139" s="86" t="n"/>
      <c r="AK139" s="86" t="n"/>
      <c r="AL139" s="86" t="n"/>
      <c r="AM139" s="86" t="n"/>
      <c r="AN139" s="86" t="n"/>
      <c r="AO139" s="11">
        <f>IFERROR(AC139/E139,"")</f>
        <v/>
      </c>
      <c r="AP139" s="11">
        <f>IFERROR(AD139/E139,"")</f>
        <v/>
      </c>
      <c r="AQ139" s="11">
        <f>IFERROR(AG139/E139,"")</f>
        <v/>
      </c>
      <c r="AR139" s="87">
        <f>IFERROR(AG139/AF139,"")</f>
        <v/>
      </c>
      <c r="AS139" s="87">
        <f>IFERROR(AH139/AF139,"")</f>
        <v/>
      </c>
      <c r="AT139" s="87">
        <f>IFERROR(AI139/AH139,"")</f>
        <v/>
      </c>
      <c r="AU139" s="87">
        <f>IFERROR(AN139/AH139,"")</f>
        <v/>
      </c>
      <c r="AV139" s="88" t="n"/>
      <c r="AW139" s="89" t="n"/>
      <c r="AX139" s="89" t="n"/>
      <c r="AY139" s="8" t="n"/>
      <c r="AZ139" s="8" t="n"/>
      <c r="BA139" s="8" t="n"/>
      <c r="BB139" s="8" t="n"/>
      <c r="BC139" s="90">
        <f>IFERROR(AG139/AC139,"")</f>
        <v/>
      </c>
      <c r="BD139" s="90">
        <f>IFERROR(AG139/(AC139+AA139),"")</f>
        <v/>
      </c>
      <c r="BE139" s="91" t="n"/>
      <c r="BF139" s="40" t="n"/>
    </row>
    <row r="140" ht="15" customHeight="1" s="67">
      <c r="A140" s="8" t="n"/>
      <c r="B140" s="86" t="n"/>
      <c r="C140" s="86" t="n"/>
      <c r="D140" s="86" t="n"/>
      <c r="E140" s="86" t="n"/>
      <c r="F140" s="86" t="n"/>
      <c r="G140" s="86" t="n"/>
      <c r="H140" s="86" t="n"/>
      <c r="I140" s="86" t="n"/>
      <c r="J140" s="86" t="n"/>
      <c r="K140" s="86" t="n"/>
      <c r="L140" s="86" t="n"/>
      <c r="M140" s="86" t="n"/>
      <c r="N140" s="86" t="n"/>
      <c r="O140" s="86" t="n"/>
      <c r="P140" s="86" t="n"/>
      <c r="Q140" s="86" t="n"/>
      <c r="R140" s="86" t="n"/>
      <c r="S140" s="86" t="n"/>
      <c r="T140" s="86" t="n"/>
      <c r="U140" s="86" t="n"/>
      <c r="V140" s="86" t="n"/>
      <c r="W140" s="86" t="n"/>
      <c r="X140" s="8" t="n"/>
      <c r="Y140" s="8" t="n"/>
      <c r="Z140" s="8" t="n"/>
      <c r="AA140" s="86" t="n"/>
      <c r="AB140" s="87">
        <f>IFERROR(AA140/AF140,"")</f>
        <v/>
      </c>
      <c r="AC140" s="86" t="n"/>
      <c r="AD140" s="86" t="n"/>
      <c r="AE140" s="86" t="n"/>
      <c r="AF140" s="86" t="n"/>
      <c r="AG140" s="86" t="n"/>
      <c r="AH140" s="86" t="n"/>
      <c r="AI140" s="86" t="n"/>
      <c r="AJ140" s="86" t="n"/>
      <c r="AK140" s="86" t="n"/>
      <c r="AL140" s="86" t="n"/>
      <c r="AM140" s="86" t="n"/>
      <c r="AN140" s="86" t="n"/>
      <c r="AO140" s="11">
        <f>IFERROR(AC140/E140,"")</f>
        <v/>
      </c>
      <c r="AP140" s="11">
        <f>IFERROR(AD140/E140,"")</f>
        <v/>
      </c>
      <c r="AQ140" s="11">
        <f>IFERROR(AG140/E140,"")</f>
        <v/>
      </c>
      <c r="AR140" s="87">
        <f>IFERROR(AG140/AF140,"")</f>
        <v/>
      </c>
      <c r="AS140" s="87">
        <f>IFERROR(AH140/AF140,"")</f>
        <v/>
      </c>
      <c r="AT140" s="87">
        <f>IFERROR(AI140/AH140,"")</f>
        <v/>
      </c>
      <c r="AU140" s="87">
        <f>IFERROR(AN140/AH140,"")</f>
        <v/>
      </c>
      <c r="AV140" s="88" t="n"/>
      <c r="AW140" s="89" t="n"/>
      <c r="AX140" s="89" t="n"/>
      <c r="AY140" s="8" t="n"/>
      <c r="AZ140" s="8" t="n"/>
      <c r="BA140" s="8" t="n"/>
      <c r="BB140" s="8" t="n"/>
      <c r="BC140" s="90">
        <f>IFERROR(AG140/AC140,"")</f>
        <v/>
      </c>
      <c r="BD140" s="90">
        <f>IFERROR(AG140/(AC140+AA140),"")</f>
        <v/>
      </c>
      <c r="BE140" s="91" t="n"/>
      <c r="BF140" s="40" t="n"/>
    </row>
    <row r="141" ht="15" customHeight="1" s="67">
      <c r="A141" s="8" t="n"/>
      <c r="B141" s="86" t="n"/>
      <c r="C141" s="86" t="n"/>
      <c r="D141" s="86" t="n"/>
      <c r="E141" s="86" t="n"/>
      <c r="F141" s="86" t="n"/>
      <c r="G141" s="86" t="n"/>
      <c r="H141" s="86" t="n"/>
      <c r="I141" s="86" t="n"/>
      <c r="J141" s="86" t="n"/>
      <c r="K141" s="86" t="n"/>
      <c r="L141" s="86" t="n"/>
      <c r="M141" s="86" t="n"/>
      <c r="N141" s="86" t="n"/>
      <c r="O141" s="86" t="n"/>
      <c r="P141" s="86" t="n"/>
      <c r="Q141" s="86" t="n"/>
      <c r="R141" s="86" t="n"/>
      <c r="S141" s="86" t="n"/>
      <c r="T141" s="86" t="n"/>
      <c r="U141" s="86" t="n"/>
      <c r="V141" s="86" t="n"/>
      <c r="W141" s="86" t="n"/>
      <c r="X141" s="8" t="n"/>
      <c r="Y141" s="8" t="n"/>
      <c r="Z141" s="8" t="n"/>
      <c r="AA141" s="86" t="n"/>
      <c r="AB141" s="87">
        <f>IFERROR(AA141/AF141,"")</f>
        <v/>
      </c>
      <c r="AC141" s="86" t="n"/>
      <c r="AD141" s="86" t="n"/>
      <c r="AE141" s="86" t="n"/>
      <c r="AF141" s="86" t="n"/>
      <c r="AG141" s="86" t="n"/>
      <c r="AH141" s="86" t="n"/>
      <c r="AI141" s="86" t="n"/>
      <c r="AJ141" s="86" t="n"/>
      <c r="AK141" s="86" t="n"/>
      <c r="AL141" s="86" t="n"/>
      <c r="AM141" s="86" t="n"/>
      <c r="AN141" s="86" t="n"/>
      <c r="AO141" s="11">
        <f>IFERROR(AC141/E141,"")</f>
        <v/>
      </c>
      <c r="AP141" s="11">
        <f>IFERROR(AD141/E141,"")</f>
        <v/>
      </c>
      <c r="AQ141" s="11">
        <f>IFERROR(AG141/E141,"")</f>
        <v/>
      </c>
      <c r="AR141" s="87">
        <f>IFERROR(AG141/AF141,"")</f>
        <v/>
      </c>
      <c r="AS141" s="87">
        <f>IFERROR(AH141/AF141,"")</f>
        <v/>
      </c>
      <c r="AT141" s="87">
        <f>IFERROR(AI141/AH141,"")</f>
        <v/>
      </c>
      <c r="AU141" s="87">
        <f>IFERROR(AN141/AH141,"")</f>
        <v/>
      </c>
      <c r="AV141" s="88" t="n"/>
      <c r="AW141" s="89" t="n"/>
      <c r="AX141" s="89" t="n"/>
      <c r="AY141" s="8" t="n"/>
      <c r="AZ141" s="8" t="n"/>
      <c r="BA141" s="8" t="n"/>
      <c r="BB141" s="8" t="n"/>
      <c r="BC141" s="90">
        <f>IFERROR(AG141/AC141,"")</f>
        <v/>
      </c>
      <c r="BD141" s="90">
        <f>IFERROR(AG141/(AC141+AA141),"")</f>
        <v/>
      </c>
      <c r="BE141" s="91" t="n"/>
      <c r="BF141" s="40" t="n"/>
    </row>
    <row r="142" ht="15" customHeight="1" s="67">
      <c r="A142" s="8" t="n"/>
      <c r="B142" s="86" t="n"/>
      <c r="C142" s="86" t="n"/>
      <c r="D142" s="86" t="n"/>
      <c r="E142" s="86" t="n"/>
      <c r="F142" s="86" t="n"/>
      <c r="G142" s="86" t="n"/>
      <c r="H142" s="86" t="n"/>
      <c r="I142" s="86" t="n"/>
      <c r="J142" s="86" t="n"/>
      <c r="K142" s="86" t="n"/>
      <c r="L142" s="86" t="n"/>
      <c r="M142" s="86" t="n"/>
      <c r="N142" s="86" t="n"/>
      <c r="O142" s="86" t="n"/>
      <c r="P142" s="86" t="n"/>
      <c r="Q142" s="86" t="n"/>
      <c r="R142" s="86" t="n"/>
      <c r="S142" s="86" t="n"/>
      <c r="T142" s="86" t="n"/>
      <c r="U142" s="86" t="n"/>
      <c r="V142" s="86" t="n"/>
      <c r="W142" s="86" t="n"/>
      <c r="X142" s="8" t="n"/>
      <c r="Y142" s="8" t="n"/>
      <c r="Z142" s="8" t="n"/>
      <c r="AA142" s="86" t="n"/>
      <c r="AB142" s="87">
        <f>IFERROR(AA142/AF142,"")</f>
        <v/>
      </c>
      <c r="AC142" s="86" t="n"/>
      <c r="AD142" s="86" t="n"/>
      <c r="AE142" s="86" t="n"/>
      <c r="AF142" s="86" t="n"/>
      <c r="AG142" s="86" t="n"/>
      <c r="AH142" s="86" t="n"/>
      <c r="AI142" s="86" t="n"/>
      <c r="AJ142" s="86" t="n"/>
      <c r="AK142" s="86" t="n"/>
      <c r="AL142" s="86" t="n"/>
      <c r="AM142" s="86" t="n"/>
      <c r="AN142" s="86" t="n"/>
      <c r="AO142" s="11">
        <f>IFERROR(AC142/E142,"")</f>
        <v/>
      </c>
      <c r="AP142" s="11">
        <f>IFERROR(AD142/E142,"")</f>
        <v/>
      </c>
      <c r="AQ142" s="11">
        <f>IFERROR(AG142/E142,"")</f>
        <v/>
      </c>
      <c r="AR142" s="87">
        <f>IFERROR(AG142/AF142,"")</f>
        <v/>
      </c>
      <c r="AS142" s="87">
        <f>IFERROR(AH142/AF142,"")</f>
        <v/>
      </c>
      <c r="AT142" s="87">
        <f>IFERROR(AI142/AH142,"")</f>
        <v/>
      </c>
      <c r="AU142" s="87">
        <f>IFERROR(AN142/AH142,"")</f>
        <v/>
      </c>
      <c r="AV142" s="88" t="n"/>
      <c r="AW142" s="89" t="n"/>
      <c r="AX142" s="89" t="n"/>
      <c r="AY142" s="8" t="n"/>
      <c r="AZ142" s="8" t="n"/>
      <c r="BA142" s="8" t="n"/>
      <c r="BB142" s="8" t="n"/>
      <c r="BC142" s="90">
        <f>IFERROR(AG142/AC142,"")</f>
        <v/>
      </c>
      <c r="BD142" s="90">
        <f>IFERROR(AG142/(AC142+AA142),"")</f>
        <v/>
      </c>
      <c r="BE142" s="91" t="n"/>
      <c r="BF142" s="40" t="n"/>
    </row>
    <row r="143" ht="15" customHeight="1" s="67">
      <c r="A143" s="8" t="n"/>
      <c r="B143" s="86" t="n"/>
      <c r="C143" s="86" t="n"/>
      <c r="D143" s="86" t="n"/>
      <c r="E143" s="86" t="n"/>
      <c r="F143" s="86" t="n"/>
      <c r="G143" s="86" t="n"/>
      <c r="H143" s="86" t="n"/>
      <c r="I143" s="86" t="n"/>
      <c r="J143" s="86" t="n"/>
      <c r="K143" s="86" t="n"/>
      <c r="L143" s="86" t="n"/>
      <c r="M143" s="86" t="n"/>
      <c r="N143" s="86" t="n"/>
      <c r="O143" s="86" t="n"/>
      <c r="P143" s="86" t="n"/>
      <c r="Q143" s="86" t="n"/>
      <c r="R143" s="86" t="n"/>
      <c r="S143" s="86" t="n"/>
      <c r="T143" s="86" t="n"/>
      <c r="U143" s="86" t="n"/>
      <c r="V143" s="86" t="n"/>
      <c r="W143" s="86" t="n"/>
      <c r="X143" s="8" t="n"/>
      <c r="Y143" s="8" t="n"/>
      <c r="Z143" s="8" t="n"/>
      <c r="AA143" s="86" t="n"/>
      <c r="AB143" s="87">
        <f>IFERROR(AA143/AF143,"")</f>
        <v/>
      </c>
      <c r="AC143" s="86" t="n"/>
      <c r="AD143" s="86" t="n"/>
      <c r="AE143" s="86" t="n"/>
      <c r="AF143" s="86" t="n"/>
      <c r="AG143" s="86" t="n"/>
      <c r="AH143" s="86" t="n"/>
      <c r="AI143" s="86" t="n"/>
      <c r="AJ143" s="86" t="n"/>
      <c r="AK143" s="86" t="n"/>
      <c r="AL143" s="86" t="n"/>
      <c r="AM143" s="86" t="n"/>
      <c r="AN143" s="86" t="n"/>
      <c r="AO143" s="11">
        <f>IFERROR(AC143/E143,"")</f>
        <v/>
      </c>
      <c r="AP143" s="11">
        <f>IFERROR(AD143/E143,"")</f>
        <v/>
      </c>
      <c r="AQ143" s="11">
        <f>IFERROR(AG143/E143,"")</f>
        <v/>
      </c>
      <c r="AR143" s="87">
        <f>IFERROR(AG143/AF143,"")</f>
        <v/>
      </c>
      <c r="AS143" s="87">
        <f>IFERROR(AH143/AF143,"")</f>
        <v/>
      </c>
      <c r="AT143" s="87">
        <f>IFERROR(AI143/AH143,"")</f>
        <v/>
      </c>
      <c r="AU143" s="87">
        <f>IFERROR(AN143/AH143,"")</f>
        <v/>
      </c>
      <c r="AV143" s="88" t="n"/>
      <c r="AW143" s="89" t="n"/>
      <c r="AX143" s="89" t="n"/>
      <c r="AY143" s="8" t="n"/>
      <c r="AZ143" s="8" t="n"/>
      <c r="BA143" s="8" t="n"/>
      <c r="BB143" s="8" t="n"/>
      <c r="BC143" s="90">
        <f>IFERROR(AG143/AC143,"")</f>
        <v/>
      </c>
      <c r="BD143" s="90">
        <f>IFERROR(AG143/(AC143+AA143),"")</f>
        <v/>
      </c>
      <c r="BE143" s="91" t="n"/>
      <c r="BF143" s="40" t="n"/>
    </row>
    <row r="144" ht="15" customHeight="1" s="67">
      <c r="A144" s="8" t="n"/>
      <c r="B144" s="86" t="n"/>
      <c r="C144" s="86" t="n"/>
      <c r="D144" s="86" t="n"/>
      <c r="E144" s="86" t="n"/>
      <c r="F144" s="86" t="n"/>
      <c r="G144" s="86" t="n"/>
      <c r="H144" s="86" t="n"/>
      <c r="I144" s="86" t="n"/>
      <c r="J144" s="86" t="n"/>
      <c r="K144" s="86" t="n"/>
      <c r="L144" s="86" t="n"/>
      <c r="M144" s="86" t="n"/>
      <c r="N144" s="86" t="n"/>
      <c r="O144" s="86" t="n"/>
      <c r="P144" s="86" t="n"/>
      <c r="Q144" s="86" t="n"/>
      <c r="R144" s="86" t="n"/>
      <c r="S144" s="86" t="n"/>
      <c r="T144" s="86" t="n"/>
      <c r="U144" s="86" t="n"/>
      <c r="V144" s="86" t="n"/>
      <c r="W144" s="86" t="n"/>
      <c r="X144" s="8" t="n"/>
      <c r="Y144" s="8" t="n"/>
      <c r="Z144" s="8" t="n"/>
      <c r="AA144" s="86" t="n"/>
      <c r="AB144" s="87">
        <f>IFERROR(AA144/AF144,"")</f>
        <v/>
      </c>
      <c r="AC144" s="86" t="n"/>
      <c r="AD144" s="86" t="n"/>
      <c r="AE144" s="86" t="n"/>
      <c r="AF144" s="86" t="n"/>
      <c r="AG144" s="86" t="n"/>
      <c r="AH144" s="86" t="n"/>
      <c r="AI144" s="86" t="n"/>
      <c r="AJ144" s="86" t="n"/>
      <c r="AK144" s="86" t="n"/>
      <c r="AL144" s="86" t="n"/>
      <c r="AM144" s="86" t="n"/>
      <c r="AN144" s="86" t="n"/>
      <c r="AO144" s="11">
        <f>IFERROR(AC144/E144,"")</f>
        <v/>
      </c>
      <c r="AP144" s="11">
        <f>IFERROR(AD144/E144,"")</f>
        <v/>
      </c>
      <c r="AQ144" s="11">
        <f>IFERROR(AG144/E144,"")</f>
        <v/>
      </c>
      <c r="AR144" s="87">
        <f>IFERROR(AG144/AF144,"")</f>
        <v/>
      </c>
      <c r="AS144" s="87">
        <f>IFERROR(AH144/AF144,"")</f>
        <v/>
      </c>
      <c r="AT144" s="87">
        <f>IFERROR(AI144/AH144,"")</f>
        <v/>
      </c>
      <c r="AU144" s="87">
        <f>IFERROR(AN144/AH144,"")</f>
        <v/>
      </c>
      <c r="AV144" s="88" t="n"/>
      <c r="AW144" s="89" t="n"/>
      <c r="AX144" s="89" t="n"/>
      <c r="AY144" s="8" t="n"/>
      <c r="AZ144" s="8" t="n"/>
      <c r="BA144" s="8" t="n"/>
      <c r="BB144" s="8" t="n"/>
      <c r="BC144" s="90">
        <f>IFERROR(AG144/AC144,"")</f>
        <v/>
      </c>
      <c r="BD144" s="90">
        <f>IFERROR(AG144/(AC144+AA144),"")</f>
        <v/>
      </c>
      <c r="BE144" s="91" t="n"/>
      <c r="BF144" s="40" t="n"/>
    </row>
    <row r="145" ht="15" customHeight="1" s="67">
      <c r="A145" s="8" t="n"/>
      <c r="B145" s="86" t="n"/>
      <c r="C145" s="86" t="n"/>
      <c r="D145" s="86" t="n"/>
      <c r="E145" s="86" t="n"/>
      <c r="F145" s="86" t="n"/>
      <c r="G145" s="86" t="n"/>
      <c r="H145" s="86" t="n"/>
      <c r="I145" s="86" t="n"/>
      <c r="J145" s="86" t="n"/>
      <c r="K145" s="86" t="n"/>
      <c r="L145" s="86" t="n"/>
      <c r="M145" s="86" t="n"/>
      <c r="N145" s="86" t="n"/>
      <c r="O145" s="86" t="n"/>
      <c r="P145" s="86" t="n"/>
      <c r="Q145" s="86" t="n"/>
      <c r="R145" s="86" t="n"/>
      <c r="S145" s="86" t="n"/>
      <c r="T145" s="86" t="n"/>
      <c r="U145" s="86" t="n"/>
      <c r="V145" s="86" t="n"/>
      <c r="W145" s="86" t="n"/>
      <c r="X145" s="8" t="n"/>
      <c r="Y145" s="8" t="n"/>
      <c r="Z145" s="8" t="n"/>
      <c r="AA145" s="86" t="n"/>
      <c r="AB145" s="87">
        <f>IFERROR(AA145/AF145,"")</f>
        <v/>
      </c>
      <c r="AC145" s="86" t="n"/>
      <c r="AD145" s="86" t="n"/>
      <c r="AE145" s="86" t="n"/>
      <c r="AF145" s="86" t="n"/>
      <c r="AG145" s="86" t="n"/>
      <c r="AH145" s="86" t="n"/>
      <c r="AI145" s="86" t="n"/>
      <c r="AJ145" s="86" t="n"/>
      <c r="AK145" s="86" t="n"/>
      <c r="AL145" s="86" t="n"/>
      <c r="AM145" s="86" t="n"/>
      <c r="AN145" s="86" t="n"/>
      <c r="AO145" s="11">
        <f>IFERROR(AC145/E145,"")</f>
        <v/>
      </c>
      <c r="AP145" s="11">
        <f>IFERROR(AD145/E145,"")</f>
        <v/>
      </c>
      <c r="AQ145" s="11">
        <f>IFERROR(AG145/E145,"")</f>
        <v/>
      </c>
      <c r="AR145" s="87">
        <f>IFERROR(AG145/AF145,"")</f>
        <v/>
      </c>
      <c r="AS145" s="87">
        <f>IFERROR(AH145/AF145,"")</f>
        <v/>
      </c>
      <c r="AT145" s="87">
        <f>IFERROR(AI145/AH145,"")</f>
        <v/>
      </c>
      <c r="AU145" s="87">
        <f>IFERROR(AN145/AH145,"")</f>
        <v/>
      </c>
      <c r="AV145" s="88" t="n"/>
      <c r="AW145" s="89" t="n"/>
      <c r="AX145" s="89" t="n"/>
      <c r="AY145" s="8" t="n"/>
      <c r="AZ145" s="8" t="n"/>
      <c r="BA145" s="8" t="n"/>
      <c r="BB145" s="8" t="n"/>
      <c r="BC145" s="90">
        <f>IFERROR(AG145/AC145,"")</f>
        <v/>
      </c>
      <c r="BD145" s="90">
        <f>IFERROR(AG145/(AC145+AA145),"")</f>
        <v/>
      </c>
      <c r="BE145" s="91" t="n"/>
      <c r="BF145" s="40" t="n"/>
    </row>
    <row r="146" ht="15" customHeight="1" s="67">
      <c r="A146" s="8" t="n"/>
      <c r="B146" s="86" t="n"/>
      <c r="C146" s="86" t="n"/>
      <c r="D146" s="86" t="n"/>
      <c r="E146" s="86" t="n"/>
      <c r="F146" s="86" t="n"/>
      <c r="G146" s="86" t="n"/>
      <c r="H146" s="86" t="n"/>
      <c r="I146" s="86" t="n"/>
      <c r="J146" s="86" t="n"/>
      <c r="K146" s="86" t="n"/>
      <c r="L146" s="86" t="n"/>
      <c r="M146" s="86" t="n"/>
      <c r="N146" s="86" t="n"/>
      <c r="O146" s="86" t="n"/>
      <c r="P146" s="86" t="n"/>
      <c r="Q146" s="86" t="n"/>
      <c r="R146" s="86" t="n"/>
      <c r="S146" s="86" t="n"/>
      <c r="T146" s="86" t="n"/>
      <c r="U146" s="86" t="n"/>
      <c r="V146" s="86" t="n"/>
      <c r="W146" s="86" t="n"/>
      <c r="X146" s="8" t="n"/>
      <c r="Y146" s="8" t="n"/>
      <c r="Z146" s="8" t="n"/>
      <c r="AA146" s="86" t="n"/>
      <c r="AB146" s="87">
        <f>IFERROR(AA146/AF146,"")</f>
        <v/>
      </c>
      <c r="AC146" s="86" t="n"/>
      <c r="AD146" s="86" t="n"/>
      <c r="AE146" s="86" t="n"/>
      <c r="AF146" s="86" t="n"/>
      <c r="AG146" s="86" t="n"/>
      <c r="AH146" s="86" t="n"/>
      <c r="AI146" s="86" t="n"/>
      <c r="AJ146" s="86" t="n"/>
      <c r="AK146" s="86" t="n"/>
      <c r="AL146" s="86" t="n"/>
      <c r="AM146" s="86" t="n"/>
      <c r="AN146" s="86" t="n"/>
      <c r="AO146" s="11">
        <f>IFERROR(AC146/E146,"")</f>
        <v/>
      </c>
      <c r="AP146" s="11">
        <f>IFERROR(AD146/E146,"")</f>
        <v/>
      </c>
      <c r="AQ146" s="11">
        <f>IFERROR(AG146/E146,"")</f>
        <v/>
      </c>
      <c r="AR146" s="87">
        <f>IFERROR(AG146/AF146,"")</f>
        <v/>
      </c>
      <c r="AS146" s="87">
        <f>IFERROR(AH146/AF146,"")</f>
        <v/>
      </c>
      <c r="AT146" s="87">
        <f>IFERROR(AI146/AH146,"")</f>
        <v/>
      </c>
      <c r="AU146" s="87">
        <f>IFERROR(AN146/AH146,"")</f>
        <v/>
      </c>
      <c r="AV146" s="88" t="n"/>
      <c r="AW146" s="89" t="n"/>
      <c r="AX146" s="89" t="n"/>
      <c r="AY146" s="8" t="n"/>
      <c r="AZ146" s="8" t="n"/>
      <c r="BA146" s="8" t="n"/>
      <c r="BB146" s="8" t="n"/>
      <c r="BC146" s="90">
        <f>IFERROR(AG146/AC146,"")</f>
        <v/>
      </c>
      <c r="BD146" s="90">
        <f>IFERROR(AG146/(AC146+AA146),"")</f>
        <v/>
      </c>
      <c r="BE146" s="91" t="n"/>
      <c r="BF146" s="40" t="n"/>
    </row>
    <row r="147" ht="15" customHeight="1" s="67">
      <c r="A147" s="8" t="n"/>
      <c r="B147" s="86" t="n"/>
      <c r="C147" s="86" t="n"/>
      <c r="D147" s="86" t="n"/>
      <c r="E147" s="86" t="n"/>
      <c r="F147" s="86" t="n"/>
      <c r="G147" s="86" t="n"/>
      <c r="H147" s="86" t="n"/>
      <c r="I147" s="86" t="n"/>
      <c r="J147" s="86" t="n"/>
      <c r="K147" s="86" t="n"/>
      <c r="L147" s="86" t="n"/>
      <c r="M147" s="86" t="n"/>
      <c r="N147" s="86" t="n"/>
      <c r="O147" s="86" t="n"/>
      <c r="P147" s="86" t="n"/>
      <c r="Q147" s="86" t="n"/>
      <c r="R147" s="86" t="n"/>
      <c r="S147" s="86" t="n"/>
      <c r="T147" s="86" t="n"/>
      <c r="U147" s="86" t="n"/>
      <c r="V147" s="86" t="n"/>
      <c r="W147" s="86" t="n"/>
      <c r="X147" s="8" t="n"/>
      <c r="Y147" s="8" t="n"/>
      <c r="Z147" s="8" t="n"/>
      <c r="AA147" s="86" t="n"/>
      <c r="AB147" s="87">
        <f>IFERROR(AA147/AF147,"")</f>
        <v/>
      </c>
      <c r="AC147" s="86" t="n"/>
      <c r="AD147" s="86" t="n"/>
      <c r="AE147" s="86" t="n"/>
      <c r="AF147" s="86" t="n"/>
      <c r="AG147" s="86" t="n"/>
      <c r="AH147" s="86" t="n"/>
      <c r="AI147" s="86" t="n"/>
      <c r="AJ147" s="86" t="n"/>
      <c r="AK147" s="86" t="n"/>
      <c r="AL147" s="86" t="n"/>
      <c r="AM147" s="86" t="n"/>
      <c r="AN147" s="86" t="n"/>
      <c r="AO147" s="11">
        <f>IFERROR(AC147/E147,"")</f>
        <v/>
      </c>
      <c r="AP147" s="11">
        <f>IFERROR(AD147/E147,"")</f>
        <v/>
      </c>
      <c r="AQ147" s="11">
        <f>IFERROR(AG147/E147,"")</f>
        <v/>
      </c>
      <c r="AR147" s="87">
        <f>IFERROR(AG147/AF147,"")</f>
        <v/>
      </c>
      <c r="AS147" s="87">
        <f>IFERROR(AH147/AF147,"")</f>
        <v/>
      </c>
      <c r="AT147" s="87">
        <f>IFERROR(AI147/AH147,"")</f>
        <v/>
      </c>
      <c r="AU147" s="87">
        <f>IFERROR(AN147/AH147,"")</f>
        <v/>
      </c>
      <c r="AV147" s="88" t="n"/>
      <c r="AW147" s="89" t="n"/>
      <c r="AX147" s="89" t="n"/>
      <c r="AY147" s="8" t="n"/>
      <c r="AZ147" s="8" t="n"/>
      <c r="BA147" s="8" t="n"/>
      <c r="BB147" s="8" t="n"/>
      <c r="BC147" s="90">
        <f>IFERROR(AG147/AC147,"")</f>
        <v/>
      </c>
      <c r="BD147" s="90">
        <f>IFERROR(AG147/(AC147+AA147),"")</f>
        <v/>
      </c>
      <c r="BE147" s="91" t="n"/>
      <c r="BF147" s="40" t="n"/>
    </row>
    <row r="148" ht="15" customHeight="1" s="67">
      <c r="A148" s="8" t="n"/>
      <c r="B148" s="86" t="n"/>
      <c r="C148" s="86" t="n"/>
      <c r="D148" s="86" t="n"/>
      <c r="E148" s="86" t="n"/>
      <c r="F148" s="86" t="n"/>
      <c r="G148" s="86" t="n"/>
      <c r="H148" s="86" t="n"/>
      <c r="I148" s="86" t="n"/>
      <c r="J148" s="86" t="n"/>
      <c r="K148" s="86" t="n"/>
      <c r="L148" s="86" t="n"/>
      <c r="M148" s="86" t="n"/>
      <c r="N148" s="86" t="n"/>
      <c r="O148" s="86" t="n"/>
      <c r="P148" s="86" t="n"/>
      <c r="Q148" s="86" t="n"/>
      <c r="R148" s="86" t="n"/>
      <c r="S148" s="86" t="n"/>
      <c r="T148" s="86" t="n"/>
      <c r="U148" s="86" t="n"/>
      <c r="V148" s="86" t="n"/>
      <c r="W148" s="86" t="n"/>
      <c r="X148" s="8" t="n"/>
      <c r="Y148" s="8" t="n"/>
      <c r="Z148" s="8" t="n"/>
      <c r="AA148" s="86" t="n"/>
      <c r="AB148" s="87">
        <f>IFERROR(AA148/AF148,"")</f>
        <v/>
      </c>
      <c r="AC148" s="86" t="n"/>
      <c r="AD148" s="86" t="n"/>
      <c r="AE148" s="86" t="n"/>
      <c r="AF148" s="86" t="n"/>
      <c r="AG148" s="86" t="n"/>
      <c r="AH148" s="86" t="n"/>
      <c r="AI148" s="86" t="n"/>
      <c r="AJ148" s="86" t="n"/>
      <c r="AK148" s="86" t="n"/>
      <c r="AL148" s="86" t="n"/>
      <c r="AM148" s="86" t="n"/>
      <c r="AN148" s="86" t="n"/>
      <c r="AO148" s="11">
        <f>IFERROR(AC148/E148,"")</f>
        <v/>
      </c>
      <c r="AP148" s="11">
        <f>IFERROR(AD148/E148,"")</f>
        <v/>
      </c>
      <c r="AQ148" s="11">
        <f>IFERROR(AG148/E148,"")</f>
        <v/>
      </c>
      <c r="AR148" s="87">
        <f>IFERROR(AG148/AF148,"")</f>
        <v/>
      </c>
      <c r="AS148" s="87">
        <f>IFERROR(AH148/AF148,"")</f>
        <v/>
      </c>
      <c r="AT148" s="87">
        <f>IFERROR(AI148/AH148,"")</f>
        <v/>
      </c>
      <c r="AU148" s="87">
        <f>IFERROR(AN148/AH148,"")</f>
        <v/>
      </c>
      <c r="AV148" s="88" t="n"/>
      <c r="AW148" s="89" t="n"/>
      <c r="AX148" s="89" t="n"/>
      <c r="AY148" s="8" t="n"/>
      <c r="AZ148" s="8" t="n"/>
      <c r="BA148" s="8" t="n"/>
      <c r="BB148" s="8" t="n"/>
      <c r="BC148" s="90">
        <f>IFERROR(AG148/AC148,"")</f>
        <v/>
      </c>
      <c r="BD148" s="90">
        <f>IFERROR(AG148/(AC148+AA148),"")</f>
        <v/>
      </c>
      <c r="BE148" s="91" t="n"/>
      <c r="BF148" s="40" t="n"/>
    </row>
    <row r="149" ht="15" customHeight="1" s="67">
      <c r="A149" s="8" t="n"/>
      <c r="B149" s="86" t="n"/>
      <c r="C149" s="86" t="n"/>
      <c r="D149" s="86" t="n"/>
      <c r="E149" s="86" t="n"/>
      <c r="F149" s="86" t="n"/>
      <c r="G149" s="86" t="n"/>
      <c r="H149" s="86" t="n"/>
      <c r="I149" s="86" t="n"/>
      <c r="J149" s="86" t="n"/>
      <c r="K149" s="86" t="n"/>
      <c r="L149" s="86" t="n"/>
      <c r="M149" s="86" t="n"/>
      <c r="N149" s="86" t="n"/>
      <c r="O149" s="86" t="n"/>
      <c r="P149" s="86" t="n"/>
      <c r="Q149" s="86" t="n"/>
      <c r="R149" s="86" t="n"/>
      <c r="S149" s="86" t="n"/>
      <c r="T149" s="86" t="n"/>
      <c r="U149" s="86" t="n"/>
      <c r="V149" s="86" t="n"/>
      <c r="W149" s="86" t="n"/>
      <c r="X149" s="8" t="n"/>
      <c r="Y149" s="8" t="n"/>
      <c r="Z149" s="8" t="n"/>
      <c r="AA149" s="86" t="n"/>
      <c r="AB149" s="87">
        <f>IFERROR(AA149/AF149,"")</f>
        <v/>
      </c>
      <c r="AC149" s="86" t="n"/>
      <c r="AD149" s="86" t="n"/>
      <c r="AE149" s="86" t="n"/>
      <c r="AF149" s="86" t="n"/>
      <c r="AG149" s="86" t="n"/>
      <c r="AH149" s="86" t="n"/>
      <c r="AI149" s="86" t="n"/>
      <c r="AJ149" s="86" t="n"/>
      <c r="AK149" s="86" t="n"/>
      <c r="AL149" s="86" t="n"/>
      <c r="AM149" s="86" t="n"/>
      <c r="AN149" s="86" t="n"/>
      <c r="AO149" s="11">
        <f>IFERROR(AC149/E149,"")</f>
        <v/>
      </c>
      <c r="AP149" s="11">
        <f>IFERROR(AD149/E149,"")</f>
        <v/>
      </c>
      <c r="AQ149" s="11">
        <f>IFERROR(AG149/E149,"")</f>
        <v/>
      </c>
      <c r="AR149" s="87">
        <f>IFERROR(AG149/AF149,"")</f>
        <v/>
      </c>
      <c r="AS149" s="87">
        <f>IFERROR(AH149/AF149,"")</f>
        <v/>
      </c>
      <c r="AT149" s="87">
        <f>IFERROR(AI149/AH149,"")</f>
        <v/>
      </c>
      <c r="AU149" s="87">
        <f>IFERROR(AN149/AH149,"")</f>
        <v/>
      </c>
      <c r="AV149" s="88" t="n"/>
      <c r="AW149" s="89" t="n"/>
      <c r="AX149" s="89" t="n"/>
      <c r="AY149" s="8" t="n"/>
      <c r="AZ149" s="8" t="n"/>
      <c r="BA149" s="8" t="n"/>
      <c r="BB149" s="8" t="n"/>
      <c r="BC149" s="90">
        <f>IFERROR(AG149/AC149,"")</f>
        <v/>
      </c>
      <c r="BD149" s="90">
        <f>IFERROR(AG149/(AC149+AA149),"")</f>
        <v/>
      </c>
      <c r="BE149" s="91" t="n"/>
      <c r="BF149" s="40" t="n"/>
    </row>
    <row r="150" ht="15" customHeight="1" s="67">
      <c r="A150" s="8" t="n"/>
      <c r="B150" s="86" t="n"/>
      <c r="C150" s="86" t="n"/>
      <c r="D150" s="86" t="n"/>
      <c r="E150" s="86" t="n"/>
      <c r="F150" s="86" t="n"/>
      <c r="G150" s="86" t="n"/>
      <c r="H150" s="86" t="n"/>
      <c r="I150" s="86" t="n"/>
      <c r="J150" s="86" t="n"/>
      <c r="K150" s="86" t="n"/>
      <c r="L150" s="86" t="n"/>
      <c r="M150" s="86" t="n"/>
      <c r="N150" s="86" t="n"/>
      <c r="O150" s="86" t="n"/>
      <c r="P150" s="86" t="n"/>
      <c r="Q150" s="86" t="n"/>
      <c r="R150" s="86" t="n"/>
      <c r="S150" s="86" t="n"/>
      <c r="T150" s="86" t="n"/>
      <c r="U150" s="86" t="n"/>
      <c r="V150" s="86" t="n"/>
      <c r="W150" s="86" t="n"/>
      <c r="X150" s="8" t="n"/>
      <c r="Y150" s="8" t="n"/>
      <c r="Z150" s="8" t="n"/>
      <c r="AA150" s="86" t="n"/>
      <c r="AB150" s="87">
        <f>IFERROR(AA150/AF150,"")</f>
        <v/>
      </c>
      <c r="AC150" s="86" t="n"/>
      <c r="AD150" s="86" t="n"/>
      <c r="AE150" s="86" t="n"/>
      <c r="AF150" s="86" t="n"/>
      <c r="AG150" s="86" t="n"/>
      <c r="AH150" s="86" t="n"/>
      <c r="AI150" s="86" t="n"/>
      <c r="AJ150" s="86" t="n"/>
      <c r="AK150" s="86" t="n"/>
      <c r="AL150" s="86" t="n"/>
      <c r="AM150" s="86" t="n"/>
      <c r="AN150" s="86" t="n"/>
      <c r="AO150" s="11">
        <f>IFERROR(AC150/E150,"")</f>
        <v/>
      </c>
      <c r="AP150" s="11">
        <f>IFERROR(AD150/E150,"")</f>
        <v/>
      </c>
      <c r="AQ150" s="11">
        <f>IFERROR(AG150/E150,"")</f>
        <v/>
      </c>
      <c r="AR150" s="87">
        <f>IFERROR(AG150/AF150,"")</f>
        <v/>
      </c>
      <c r="AS150" s="87">
        <f>IFERROR(AH150/AF150,"")</f>
        <v/>
      </c>
      <c r="AT150" s="87">
        <f>IFERROR(AI150/AH150,"")</f>
        <v/>
      </c>
      <c r="AU150" s="87">
        <f>IFERROR(AN150/AH150,"")</f>
        <v/>
      </c>
      <c r="AV150" s="88" t="n"/>
      <c r="AW150" s="89" t="n"/>
      <c r="AX150" s="89" t="n"/>
      <c r="AY150" s="8" t="n"/>
      <c r="AZ150" s="8" t="n"/>
      <c r="BA150" s="8" t="n"/>
      <c r="BB150" s="8" t="n"/>
      <c r="BC150" s="90">
        <f>IFERROR(AG150/AC150,"")</f>
        <v/>
      </c>
      <c r="BD150" s="90">
        <f>IFERROR(AG150/(AC150+AA150),"")</f>
        <v/>
      </c>
      <c r="BE150" s="91" t="n"/>
      <c r="BF150" s="40" t="n"/>
    </row>
    <row r="151" ht="15" customHeight="1" s="67">
      <c r="A151" s="8" t="n"/>
      <c r="B151" s="86" t="n"/>
      <c r="C151" s="86" t="n"/>
      <c r="D151" s="86" t="n"/>
      <c r="E151" s="86" t="n"/>
      <c r="F151" s="86" t="n"/>
      <c r="G151" s="86" t="n"/>
      <c r="H151" s="86" t="n"/>
      <c r="I151" s="86" t="n"/>
      <c r="J151" s="86" t="n"/>
      <c r="K151" s="86" t="n"/>
      <c r="L151" s="86" t="n"/>
      <c r="M151" s="86" t="n"/>
      <c r="N151" s="86" t="n"/>
      <c r="O151" s="86" t="n"/>
      <c r="P151" s="86" t="n"/>
      <c r="Q151" s="86" t="n"/>
      <c r="R151" s="86" t="n"/>
      <c r="S151" s="86" t="n"/>
      <c r="T151" s="86" t="n"/>
      <c r="U151" s="86" t="n"/>
      <c r="V151" s="86" t="n"/>
      <c r="W151" s="86" t="n"/>
      <c r="X151" s="8" t="n"/>
      <c r="Y151" s="8" t="n"/>
      <c r="Z151" s="8" t="n"/>
      <c r="AA151" s="86" t="n"/>
      <c r="AB151" s="87">
        <f>IFERROR(AA151/AF151,"")</f>
        <v/>
      </c>
      <c r="AC151" s="86" t="n"/>
      <c r="AD151" s="86" t="n"/>
      <c r="AE151" s="86" t="n"/>
      <c r="AF151" s="86" t="n"/>
      <c r="AG151" s="86" t="n"/>
      <c r="AH151" s="86" t="n"/>
      <c r="AI151" s="86" t="n"/>
      <c r="AJ151" s="86" t="n"/>
      <c r="AK151" s="86" t="n"/>
      <c r="AL151" s="86" t="n"/>
      <c r="AM151" s="86" t="n"/>
      <c r="AN151" s="86" t="n"/>
      <c r="AO151" s="11">
        <f>IFERROR(AC151/E151,"")</f>
        <v/>
      </c>
      <c r="AP151" s="11">
        <f>IFERROR(AD151/E151,"")</f>
        <v/>
      </c>
      <c r="AQ151" s="11">
        <f>IFERROR(AG151/E151,"")</f>
        <v/>
      </c>
      <c r="AR151" s="87">
        <f>IFERROR(AG151/AF151,"")</f>
        <v/>
      </c>
      <c r="AS151" s="87">
        <f>IFERROR(AH151/AF151,"")</f>
        <v/>
      </c>
      <c r="AT151" s="87">
        <f>IFERROR(AI151/AH151,"")</f>
        <v/>
      </c>
      <c r="AU151" s="87">
        <f>IFERROR(AN151/AH151,"")</f>
        <v/>
      </c>
      <c r="AV151" s="88" t="n"/>
      <c r="AW151" s="89" t="n"/>
      <c r="AX151" s="89" t="n"/>
      <c r="AY151" s="8" t="n"/>
      <c r="AZ151" s="8" t="n"/>
      <c r="BA151" s="8" t="n"/>
      <c r="BB151" s="8" t="n"/>
      <c r="BC151" s="90">
        <f>IFERROR(AG151/AC151,"")</f>
        <v/>
      </c>
      <c r="BD151" s="90">
        <f>IFERROR(AG151/(AC151+AA151),"")</f>
        <v/>
      </c>
      <c r="BE151" s="91" t="n"/>
      <c r="BF151" s="40" t="n"/>
    </row>
    <row r="152" ht="15" customHeight="1" s="67">
      <c r="A152" s="8" t="n"/>
      <c r="B152" s="86" t="n"/>
      <c r="C152" s="86" t="n"/>
      <c r="D152" s="86" t="n"/>
      <c r="E152" s="86" t="n"/>
      <c r="F152" s="86" t="n"/>
      <c r="G152" s="86" t="n"/>
      <c r="H152" s="86" t="n"/>
      <c r="I152" s="86" t="n"/>
      <c r="J152" s="86" t="n"/>
      <c r="K152" s="86" t="n"/>
      <c r="L152" s="86" t="n"/>
      <c r="M152" s="86" t="n"/>
      <c r="N152" s="86" t="n"/>
      <c r="O152" s="86" t="n"/>
      <c r="P152" s="86" t="n"/>
      <c r="Q152" s="86" t="n"/>
      <c r="R152" s="86" t="n"/>
      <c r="S152" s="86" t="n"/>
      <c r="T152" s="86" t="n"/>
      <c r="U152" s="86" t="n"/>
      <c r="V152" s="86" t="n"/>
      <c r="W152" s="86" t="n"/>
      <c r="X152" s="8" t="n"/>
      <c r="Y152" s="8" t="n"/>
      <c r="Z152" s="8" t="n"/>
      <c r="AA152" s="86" t="n"/>
      <c r="AB152" s="87">
        <f>IFERROR(AA152/AF152,"")</f>
        <v/>
      </c>
      <c r="AC152" s="86" t="n"/>
      <c r="AD152" s="86" t="n"/>
      <c r="AE152" s="86" t="n"/>
      <c r="AF152" s="86" t="n"/>
      <c r="AG152" s="86" t="n"/>
      <c r="AH152" s="86" t="n"/>
      <c r="AI152" s="86" t="n"/>
      <c r="AJ152" s="86" t="n"/>
      <c r="AK152" s="86" t="n"/>
      <c r="AL152" s="86" t="n"/>
      <c r="AM152" s="86" t="n"/>
      <c r="AN152" s="86" t="n"/>
      <c r="AO152" s="11">
        <f>IFERROR(AC152/E152,"")</f>
        <v/>
      </c>
      <c r="AP152" s="11">
        <f>IFERROR(AD152/E152,"")</f>
        <v/>
      </c>
      <c r="AQ152" s="11">
        <f>IFERROR(AG152/E152,"")</f>
        <v/>
      </c>
      <c r="AR152" s="87">
        <f>IFERROR(AG152/AF152,"")</f>
        <v/>
      </c>
      <c r="AS152" s="87">
        <f>IFERROR(AH152/AF152,"")</f>
        <v/>
      </c>
      <c r="AT152" s="87">
        <f>IFERROR(AI152/AH152,"")</f>
        <v/>
      </c>
      <c r="AU152" s="87">
        <f>IFERROR(AN152/AH152,"")</f>
        <v/>
      </c>
      <c r="AV152" s="88" t="n"/>
      <c r="AW152" s="89" t="n"/>
      <c r="AX152" s="89" t="n"/>
      <c r="AY152" s="8" t="n"/>
      <c r="AZ152" s="8" t="n"/>
      <c r="BA152" s="8" t="n"/>
      <c r="BB152" s="8" t="n"/>
      <c r="BC152" s="90">
        <f>IFERROR(AG152/AC152,"")</f>
        <v/>
      </c>
      <c r="BD152" s="90">
        <f>IFERROR(AG152/(AC152+AA152),"")</f>
        <v/>
      </c>
      <c r="BE152" s="91" t="n"/>
      <c r="BF152" s="40" t="n"/>
    </row>
    <row r="153" ht="15" customHeight="1" s="67">
      <c r="A153" s="8" t="n"/>
      <c r="B153" s="86" t="n"/>
      <c r="C153" s="86" t="n"/>
      <c r="D153" s="86" t="n"/>
      <c r="E153" s="86" t="n"/>
      <c r="F153" s="86" t="n"/>
      <c r="G153" s="86" t="n"/>
      <c r="H153" s="86" t="n"/>
      <c r="I153" s="86" t="n"/>
      <c r="J153" s="86" t="n"/>
      <c r="K153" s="86" t="n"/>
      <c r="L153" s="86" t="n"/>
      <c r="M153" s="86" t="n"/>
      <c r="N153" s="86" t="n"/>
      <c r="O153" s="86" t="n"/>
      <c r="P153" s="86" t="n"/>
      <c r="Q153" s="86" t="n"/>
      <c r="R153" s="86" t="n"/>
      <c r="S153" s="86" t="n"/>
      <c r="T153" s="86" t="n"/>
      <c r="U153" s="86" t="n"/>
      <c r="V153" s="86" t="n"/>
      <c r="W153" s="86" t="n"/>
      <c r="X153" s="8" t="n"/>
      <c r="Y153" s="8" t="n"/>
      <c r="Z153" s="8" t="n"/>
      <c r="AA153" s="86" t="n"/>
      <c r="AB153" s="87">
        <f>IFERROR(AA153/AF153,"")</f>
        <v/>
      </c>
      <c r="AC153" s="86" t="n"/>
      <c r="AD153" s="86" t="n"/>
      <c r="AE153" s="86" t="n"/>
      <c r="AF153" s="86" t="n"/>
      <c r="AG153" s="86" t="n"/>
      <c r="AH153" s="86" t="n"/>
      <c r="AI153" s="86" t="n"/>
      <c r="AJ153" s="86" t="n"/>
      <c r="AK153" s="86" t="n"/>
      <c r="AL153" s="86" t="n"/>
      <c r="AM153" s="86" t="n"/>
      <c r="AN153" s="86" t="n"/>
      <c r="AO153" s="11">
        <f>IFERROR(AC153/E153,"")</f>
        <v/>
      </c>
      <c r="AP153" s="11">
        <f>IFERROR(AD153/E153,"")</f>
        <v/>
      </c>
      <c r="AQ153" s="11">
        <f>IFERROR(AG153/E153,"")</f>
        <v/>
      </c>
      <c r="AR153" s="87">
        <f>IFERROR(AG153/AF153,"")</f>
        <v/>
      </c>
      <c r="AS153" s="87">
        <f>IFERROR(AH153/AF153,"")</f>
        <v/>
      </c>
      <c r="AT153" s="87">
        <f>IFERROR(AI153/AH153,"")</f>
        <v/>
      </c>
      <c r="AU153" s="87">
        <f>IFERROR(AN153/AH153,"")</f>
        <v/>
      </c>
      <c r="AV153" s="88" t="n"/>
      <c r="AW153" s="89" t="n"/>
      <c r="AX153" s="89" t="n"/>
      <c r="AY153" s="8" t="n"/>
      <c r="AZ153" s="8" t="n"/>
      <c r="BA153" s="8" t="n"/>
      <c r="BB153" s="8" t="n"/>
      <c r="BC153" s="90">
        <f>IFERROR(AG153/AC153,"")</f>
        <v/>
      </c>
      <c r="BD153" s="90">
        <f>IFERROR(AG153/(AC153+AA153),"")</f>
        <v/>
      </c>
      <c r="BE153" s="91" t="n"/>
      <c r="BF153" s="40" t="n"/>
    </row>
    <row r="154" ht="15" customHeight="1" s="67">
      <c r="A154" s="8" t="n"/>
      <c r="B154" s="86" t="n"/>
      <c r="C154" s="86" t="n"/>
      <c r="D154" s="86" t="n"/>
      <c r="E154" s="86" t="n"/>
      <c r="F154" s="86" t="n"/>
      <c r="G154" s="86" t="n"/>
      <c r="H154" s="86" t="n"/>
      <c r="I154" s="86" t="n"/>
      <c r="J154" s="86" t="n"/>
      <c r="K154" s="86" t="n"/>
      <c r="L154" s="86" t="n"/>
      <c r="M154" s="86" t="n"/>
      <c r="N154" s="86" t="n"/>
      <c r="O154" s="86" t="n"/>
      <c r="P154" s="86" t="n"/>
      <c r="Q154" s="86" t="n"/>
      <c r="R154" s="86" t="n"/>
      <c r="S154" s="86" t="n"/>
      <c r="T154" s="86" t="n"/>
      <c r="U154" s="86" t="n"/>
      <c r="V154" s="86" t="n"/>
      <c r="W154" s="86" t="n"/>
      <c r="X154" s="8" t="n"/>
      <c r="Y154" s="8" t="n"/>
      <c r="Z154" s="8" t="n"/>
      <c r="AA154" s="86" t="n"/>
      <c r="AB154" s="87">
        <f>IFERROR(AA154/AF154,"")</f>
        <v/>
      </c>
      <c r="AC154" s="86" t="n"/>
      <c r="AD154" s="86" t="n"/>
      <c r="AE154" s="86" t="n"/>
      <c r="AF154" s="86" t="n"/>
      <c r="AG154" s="86" t="n"/>
      <c r="AH154" s="86" t="n"/>
      <c r="AI154" s="86" t="n"/>
      <c r="AJ154" s="86" t="n"/>
      <c r="AK154" s="86" t="n"/>
      <c r="AL154" s="86" t="n"/>
      <c r="AM154" s="86" t="n"/>
      <c r="AN154" s="86" t="n"/>
      <c r="AO154" s="11">
        <f>IFERROR(AC154/E154,"")</f>
        <v/>
      </c>
      <c r="AP154" s="11">
        <f>IFERROR(AD154/E154,"")</f>
        <v/>
      </c>
      <c r="AQ154" s="11">
        <f>IFERROR(AG154/E154,"")</f>
        <v/>
      </c>
      <c r="AR154" s="87">
        <f>IFERROR(AG154/AF154,"")</f>
        <v/>
      </c>
      <c r="AS154" s="87">
        <f>IFERROR(AH154/AF154,"")</f>
        <v/>
      </c>
      <c r="AT154" s="87">
        <f>IFERROR(AI154/AH154,"")</f>
        <v/>
      </c>
      <c r="AU154" s="87">
        <f>IFERROR(AN154/AH154,"")</f>
        <v/>
      </c>
      <c r="AV154" s="88" t="n"/>
      <c r="AW154" s="89" t="n"/>
      <c r="AX154" s="89" t="n"/>
      <c r="AY154" s="8" t="n"/>
      <c r="AZ154" s="8" t="n"/>
      <c r="BA154" s="8" t="n"/>
      <c r="BB154" s="8" t="n"/>
      <c r="BC154" s="90">
        <f>IFERROR(AG154/AC154,"")</f>
        <v/>
      </c>
      <c r="BD154" s="90">
        <f>IFERROR(AG154/(AC154+AA154),"")</f>
        <v/>
      </c>
      <c r="BE154" s="91" t="n"/>
      <c r="BF154" s="40" t="n"/>
    </row>
    <row r="155" ht="15" customHeight="1" s="67">
      <c r="A155" s="8" t="n"/>
      <c r="B155" s="86" t="n"/>
      <c r="C155" s="86" t="n"/>
      <c r="D155" s="86" t="n"/>
      <c r="E155" s="86" t="n"/>
      <c r="F155" s="86" t="n"/>
      <c r="G155" s="86" t="n"/>
      <c r="H155" s="86" t="n"/>
      <c r="I155" s="86" t="n"/>
      <c r="J155" s="86" t="n"/>
      <c r="K155" s="86" t="n"/>
      <c r="L155" s="86" t="n"/>
      <c r="M155" s="86" t="n"/>
      <c r="N155" s="86" t="n"/>
      <c r="O155" s="86" t="n"/>
      <c r="P155" s="86" t="n"/>
      <c r="Q155" s="86" t="n"/>
      <c r="R155" s="86" t="n"/>
      <c r="S155" s="86" t="n"/>
      <c r="T155" s="86" t="n"/>
      <c r="U155" s="86" t="n"/>
      <c r="V155" s="86" t="n"/>
      <c r="W155" s="86" t="n"/>
      <c r="X155" s="8" t="n"/>
      <c r="Y155" s="8" t="n"/>
      <c r="Z155" s="8" t="n"/>
      <c r="AA155" s="86" t="n"/>
      <c r="AB155" s="87">
        <f>IFERROR(AA155/AF155,"")</f>
        <v/>
      </c>
      <c r="AC155" s="86" t="n"/>
      <c r="AD155" s="86" t="n"/>
      <c r="AE155" s="86" t="n"/>
      <c r="AF155" s="86" t="n"/>
      <c r="AG155" s="86" t="n"/>
      <c r="AH155" s="86" t="n"/>
      <c r="AI155" s="86" t="n"/>
      <c r="AJ155" s="86" t="n"/>
      <c r="AK155" s="86" t="n"/>
      <c r="AL155" s="86" t="n"/>
      <c r="AM155" s="86" t="n"/>
      <c r="AN155" s="86" t="n"/>
      <c r="AO155" s="11">
        <f>IFERROR(AC155/E155,"")</f>
        <v/>
      </c>
      <c r="AP155" s="11">
        <f>IFERROR(AD155/E155,"")</f>
        <v/>
      </c>
      <c r="AQ155" s="11">
        <f>IFERROR(AG155/E155,"")</f>
        <v/>
      </c>
      <c r="AR155" s="87">
        <f>IFERROR(AG155/AF155,"")</f>
        <v/>
      </c>
      <c r="AS155" s="87">
        <f>IFERROR(AH155/AF155,"")</f>
        <v/>
      </c>
      <c r="AT155" s="87">
        <f>IFERROR(AI155/AH155,"")</f>
        <v/>
      </c>
      <c r="AU155" s="87">
        <f>IFERROR(AN155/AH155,"")</f>
        <v/>
      </c>
      <c r="AV155" s="88" t="n"/>
      <c r="AW155" s="89" t="n"/>
      <c r="AX155" s="89" t="n"/>
      <c r="AY155" s="8" t="n"/>
      <c r="AZ155" s="8" t="n"/>
      <c r="BA155" s="8" t="n"/>
      <c r="BB155" s="8" t="n"/>
      <c r="BC155" s="90">
        <f>IFERROR(AG155/AC155,"")</f>
        <v/>
      </c>
      <c r="BD155" s="90">
        <f>IFERROR(AG155/(AC155+AA155),"")</f>
        <v/>
      </c>
      <c r="BE155" s="91" t="n"/>
      <c r="BF155" s="40" t="n"/>
    </row>
    <row r="156" ht="15" customHeight="1" s="67">
      <c r="A156" s="8" t="n"/>
      <c r="B156" s="86" t="n"/>
      <c r="C156" s="86" t="n"/>
      <c r="D156" s="86" t="n"/>
      <c r="E156" s="86" t="n"/>
      <c r="F156" s="86" t="n"/>
      <c r="G156" s="86" t="n"/>
      <c r="H156" s="86" t="n"/>
      <c r="I156" s="86" t="n"/>
      <c r="J156" s="86" t="n"/>
      <c r="K156" s="86" t="n"/>
      <c r="L156" s="86" t="n"/>
      <c r="M156" s="86" t="n"/>
      <c r="N156" s="86" t="n"/>
      <c r="O156" s="86" t="n"/>
      <c r="P156" s="86" t="n"/>
      <c r="Q156" s="86" t="n"/>
      <c r="R156" s="86" t="n"/>
      <c r="S156" s="86" t="n"/>
      <c r="T156" s="86" t="n"/>
      <c r="U156" s="86" t="n"/>
      <c r="V156" s="86" t="n"/>
      <c r="W156" s="86" t="n"/>
      <c r="X156" s="8" t="n"/>
      <c r="Y156" s="8" t="n"/>
      <c r="Z156" s="8" t="n"/>
      <c r="AA156" s="86" t="n"/>
      <c r="AB156" s="87">
        <f>IFERROR(AA156/AF156,"")</f>
        <v/>
      </c>
      <c r="AC156" s="86" t="n"/>
      <c r="AD156" s="86" t="n"/>
      <c r="AE156" s="86" t="n"/>
      <c r="AF156" s="86" t="n"/>
      <c r="AG156" s="86" t="n"/>
      <c r="AH156" s="86" t="n"/>
      <c r="AI156" s="86" t="n"/>
      <c r="AJ156" s="86" t="n"/>
      <c r="AK156" s="86" t="n"/>
      <c r="AL156" s="86" t="n"/>
      <c r="AM156" s="86" t="n"/>
      <c r="AN156" s="86" t="n"/>
      <c r="AO156" s="11">
        <f>IFERROR(AC156/E156,"")</f>
        <v/>
      </c>
      <c r="AP156" s="11">
        <f>IFERROR(AD156/E156,"")</f>
        <v/>
      </c>
      <c r="AQ156" s="11">
        <f>IFERROR(AG156/E156,"")</f>
        <v/>
      </c>
      <c r="AR156" s="87">
        <f>IFERROR(AG156/AF156,"")</f>
        <v/>
      </c>
      <c r="AS156" s="87">
        <f>IFERROR(AH156/AF156,"")</f>
        <v/>
      </c>
      <c r="AT156" s="87">
        <f>IFERROR(AI156/AH156,"")</f>
        <v/>
      </c>
      <c r="AU156" s="87">
        <f>IFERROR(AN156/AH156,"")</f>
        <v/>
      </c>
      <c r="AV156" s="88" t="n"/>
      <c r="AW156" s="89" t="n"/>
      <c r="AX156" s="89" t="n"/>
      <c r="AY156" s="8" t="n"/>
      <c r="AZ156" s="8" t="n"/>
      <c r="BA156" s="8" t="n"/>
      <c r="BB156" s="8" t="n"/>
      <c r="BC156" s="90">
        <f>IFERROR(AG156/AC156,"")</f>
        <v/>
      </c>
      <c r="BD156" s="90">
        <f>IFERROR(AG156/(AC156+AA156),"")</f>
        <v/>
      </c>
      <c r="BE156" s="91" t="n"/>
      <c r="BF156" s="40" t="n"/>
    </row>
    <row r="157" ht="15" customHeight="1" s="67">
      <c r="A157" s="8" t="n"/>
      <c r="B157" s="86" t="n"/>
      <c r="C157" s="86" t="n"/>
      <c r="D157" s="86" t="n"/>
      <c r="E157" s="86" t="n"/>
      <c r="F157" s="86" t="n"/>
      <c r="G157" s="86" t="n"/>
      <c r="H157" s="86" t="n"/>
      <c r="I157" s="86" t="n"/>
      <c r="J157" s="86" t="n"/>
      <c r="K157" s="86" t="n"/>
      <c r="L157" s="86" t="n"/>
      <c r="M157" s="86" t="n"/>
      <c r="N157" s="86" t="n"/>
      <c r="O157" s="86" t="n"/>
      <c r="P157" s="86" t="n"/>
      <c r="Q157" s="86" t="n"/>
      <c r="R157" s="86" t="n"/>
      <c r="S157" s="86" t="n"/>
      <c r="T157" s="86" t="n"/>
      <c r="U157" s="86" t="n"/>
      <c r="V157" s="86" t="n"/>
      <c r="W157" s="86" t="n"/>
      <c r="X157" s="8" t="n"/>
      <c r="Y157" s="8" t="n"/>
      <c r="Z157" s="8" t="n"/>
      <c r="AA157" s="86" t="n"/>
      <c r="AB157" s="87">
        <f>IFERROR(AA157/AF157,"")</f>
        <v/>
      </c>
      <c r="AC157" s="86" t="n"/>
      <c r="AD157" s="86" t="n"/>
      <c r="AE157" s="86" t="n"/>
      <c r="AF157" s="86" t="n"/>
      <c r="AG157" s="86" t="n"/>
      <c r="AH157" s="86" t="n"/>
      <c r="AI157" s="86" t="n"/>
      <c r="AJ157" s="86" t="n"/>
      <c r="AK157" s="86" t="n"/>
      <c r="AL157" s="86" t="n"/>
      <c r="AM157" s="86" t="n"/>
      <c r="AN157" s="86" t="n"/>
      <c r="AO157" s="11">
        <f>IFERROR(AC157/E157,"")</f>
        <v/>
      </c>
      <c r="AP157" s="11">
        <f>IFERROR(AD157/E157,"")</f>
        <v/>
      </c>
      <c r="AQ157" s="11">
        <f>IFERROR(AG157/E157,"")</f>
        <v/>
      </c>
      <c r="AR157" s="87">
        <f>IFERROR(AG157/AF157,"")</f>
        <v/>
      </c>
      <c r="AS157" s="87">
        <f>IFERROR(AH157/AF157,"")</f>
        <v/>
      </c>
      <c r="AT157" s="87">
        <f>IFERROR(AI157/AH157,"")</f>
        <v/>
      </c>
      <c r="AU157" s="87">
        <f>IFERROR(AN157/AH157,"")</f>
        <v/>
      </c>
      <c r="AV157" s="88" t="n"/>
      <c r="AW157" s="89" t="n"/>
      <c r="AX157" s="89" t="n"/>
      <c r="AY157" s="8" t="n"/>
      <c r="AZ157" s="8" t="n"/>
      <c r="BA157" s="8" t="n"/>
      <c r="BB157" s="8" t="n"/>
      <c r="BC157" s="90">
        <f>IFERROR(AG157/AC157,"")</f>
        <v/>
      </c>
      <c r="BD157" s="90">
        <f>IFERROR(AG157/(AC157+AA157),"")</f>
        <v/>
      </c>
      <c r="BE157" s="91" t="n"/>
      <c r="BF157" s="40" t="n"/>
    </row>
    <row r="158" ht="15" customHeight="1" s="67">
      <c r="A158" s="8" t="n"/>
      <c r="B158" s="86" t="n"/>
      <c r="C158" s="86" t="n"/>
      <c r="D158" s="86" t="n"/>
      <c r="E158" s="86" t="n"/>
      <c r="F158" s="86" t="n"/>
      <c r="G158" s="86" t="n"/>
      <c r="H158" s="86" t="n"/>
      <c r="I158" s="86" t="n"/>
      <c r="J158" s="86" t="n"/>
      <c r="K158" s="86" t="n"/>
      <c r="L158" s="86" t="n"/>
      <c r="M158" s="86" t="n"/>
      <c r="N158" s="86" t="n"/>
      <c r="O158" s="86" t="n"/>
      <c r="P158" s="86" t="n"/>
      <c r="Q158" s="86" t="n"/>
      <c r="R158" s="86" t="n"/>
      <c r="S158" s="86" t="n"/>
      <c r="T158" s="86" t="n"/>
      <c r="U158" s="86" t="n"/>
      <c r="V158" s="86" t="n"/>
      <c r="W158" s="86" t="n"/>
      <c r="X158" s="8" t="n"/>
      <c r="Y158" s="8" t="n"/>
      <c r="Z158" s="8" t="n"/>
      <c r="AA158" s="86" t="n"/>
      <c r="AB158" s="87">
        <f>IFERROR(AA158/AF158,"")</f>
        <v/>
      </c>
      <c r="AC158" s="86" t="n"/>
      <c r="AD158" s="86" t="n"/>
      <c r="AE158" s="86" t="n"/>
      <c r="AF158" s="86" t="n"/>
      <c r="AG158" s="86" t="n"/>
      <c r="AH158" s="86" t="n"/>
      <c r="AI158" s="86" t="n"/>
      <c r="AJ158" s="86" t="n"/>
      <c r="AK158" s="86" t="n"/>
      <c r="AL158" s="86" t="n"/>
      <c r="AM158" s="86" t="n"/>
      <c r="AN158" s="86" t="n"/>
      <c r="AO158" s="11">
        <f>IFERROR(AC158/E158,"")</f>
        <v/>
      </c>
      <c r="AP158" s="11">
        <f>IFERROR(AD158/E158,"")</f>
        <v/>
      </c>
      <c r="AQ158" s="11">
        <f>IFERROR(AG158/E158,"")</f>
        <v/>
      </c>
      <c r="AR158" s="87">
        <f>IFERROR(AG158/AF158,"")</f>
        <v/>
      </c>
      <c r="AS158" s="87">
        <f>IFERROR(AH158/AF158,"")</f>
        <v/>
      </c>
      <c r="AT158" s="87">
        <f>IFERROR(AI158/AH158,"")</f>
        <v/>
      </c>
      <c r="AU158" s="87">
        <f>IFERROR(AN158/AH158,"")</f>
        <v/>
      </c>
      <c r="AV158" s="88" t="n"/>
      <c r="AW158" s="89" t="n"/>
      <c r="AX158" s="89" t="n"/>
      <c r="AY158" s="8" t="n"/>
      <c r="AZ158" s="8" t="n"/>
      <c r="BA158" s="8" t="n"/>
      <c r="BB158" s="8" t="n"/>
      <c r="BC158" s="90">
        <f>IFERROR(AG158/AC158,"")</f>
        <v/>
      </c>
      <c r="BD158" s="90">
        <f>IFERROR(AG158/(AC158+AA158),"")</f>
        <v/>
      </c>
      <c r="BE158" s="91" t="n"/>
      <c r="BF158" s="40" t="n"/>
    </row>
    <row r="159" ht="15" customHeight="1" s="67">
      <c r="A159" s="8" t="n"/>
      <c r="B159" s="86" t="n"/>
      <c r="C159" s="86" t="n"/>
      <c r="D159" s="86" t="n"/>
      <c r="E159" s="86" t="n"/>
      <c r="F159" s="86" t="n"/>
      <c r="G159" s="86" t="n"/>
      <c r="H159" s="86" t="n"/>
      <c r="I159" s="86" t="n"/>
      <c r="J159" s="86" t="n"/>
      <c r="K159" s="86" t="n"/>
      <c r="L159" s="86" t="n"/>
      <c r="M159" s="86" t="n"/>
      <c r="N159" s="86" t="n"/>
      <c r="O159" s="86" t="n"/>
      <c r="P159" s="86" t="n"/>
      <c r="Q159" s="86" t="n"/>
      <c r="R159" s="86" t="n"/>
      <c r="S159" s="86" t="n"/>
      <c r="T159" s="86" t="n"/>
      <c r="U159" s="86" t="n"/>
      <c r="V159" s="86" t="n"/>
      <c r="W159" s="86" t="n"/>
      <c r="X159" s="8" t="n"/>
      <c r="Y159" s="8" t="n"/>
      <c r="Z159" s="8" t="n"/>
      <c r="AA159" s="86" t="n"/>
      <c r="AB159" s="87">
        <f>IFERROR(AA159/AF159,"")</f>
        <v/>
      </c>
      <c r="AC159" s="86" t="n"/>
      <c r="AD159" s="86" t="n"/>
      <c r="AE159" s="86" t="n"/>
      <c r="AF159" s="86" t="n"/>
      <c r="AG159" s="86" t="n"/>
      <c r="AH159" s="86" t="n"/>
      <c r="AI159" s="86" t="n"/>
      <c r="AJ159" s="86" t="n"/>
      <c r="AK159" s="86" t="n"/>
      <c r="AL159" s="86" t="n"/>
      <c r="AM159" s="86" t="n"/>
      <c r="AN159" s="86" t="n"/>
      <c r="AO159" s="11">
        <f>IFERROR(AC159/E159,"")</f>
        <v/>
      </c>
      <c r="AP159" s="11">
        <f>IFERROR(AD159/E159,"")</f>
        <v/>
      </c>
      <c r="AQ159" s="11">
        <f>IFERROR(AG159/E159,"")</f>
        <v/>
      </c>
      <c r="AR159" s="87">
        <f>IFERROR(AG159/AF159,"")</f>
        <v/>
      </c>
      <c r="AS159" s="87">
        <f>IFERROR(AH159/AF159,"")</f>
        <v/>
      </c>
      <c r="AT159" s="87">
        <f>IFERROR(AI159/AH159,"")</f>
        <v/>
      </c>
      <c r="AU159" s="87">
        <f>IFERROR(AN159/AH159,"")</f>
        <v/>
      </c>
      <c r="AV159" s="88" t="n"/>
      <c r="AW159" s="89" t="n"/>
      <c r="AX159" s="89" t="n"/>
      <c r="AY159" s="8" t="n"/>
      <c r="AZ159" s="8" t="n"/>
      <c r="BA159" s="8" t="n"/>
      <c r="BB159" s="8" t="n"/>
      <c r="BC159" s="90">
        <f>IFERROR(AG159/AC159,"")</f>
        <v/>
      </c>
      <c r="BD159" s="90">
        <f>IFERROR(AG159/(AC159+AA159),"")</f>
        <v/>
      </c>
      <c r="BE159" s="91" t="n"/>
      <c r="BF159" s="40" t="n"/>
    </row>
    <row r="160" ht="15" customHeight="1" s="67">
      <c r="A160" s="8" t="n"/>
      <c r="B160" s="86" t="n"/>
      <c r="C160" s="86" t="n"/>
      <c r="D160" s="86" t="n"/>
      <c r="E160" s="86" t="n"/>
      <c r="F160" s="86" t="n"/>
      <c r="G160" s="86" t="n"/>
      <c r="H160" s="86" t="n"/>
      <c r="I160" s="86" t="n"/>
      <c r="J160" s="86" t="n"/>
      <c r="K160" s="86" t="n"/>
      <c r="L160" s="86" t="n"/>
      <c r="M160" s="86" t="n"/>
      <c r="N160" s="86" t="n"/>
      <c r="O160" s="86" t="n"/>
      <c r="P160" s="86" t="n"/>
      <c r="Q160" s="86" t="n"/>
      <c r="R160" s="86" t="n"/>
      <c r="S160" s="86" t="n"/>
      <c r="T160" s="86" t="n"/>
      <c r="U160" s="86" t="n"/>
      <c r="V160" s="86" t="n"/>
      <c r="W160" s="86" t="n"/>
      <c r="X160" s="8" t="n"/>
      <c r="Y160" s="8" t="n"/>
      <c r="Z160" s="8" t="n"/>
      <c r="AA160" s="86" t="n"/>
      <c r="AB160" s="87">
        <f>IFERROR(AA160/AF160,"")</f>
        <v/>
      </c>
      <c r="AC160" s="86" t="n"/>
      <c r="AD160" s="86" t="n"/>
      <c r="AE160" s="86" t="n"/>
      <c r="AF160" s="86" t="n"/>
      <c r="AG160" s="86" t="n"/>
      <c r="AH160" s="86" t="n"/>
      <c r="AI160" s="86" t="n"/>
      <c r="AJ160" s="86" t="n"/>
      <c r="AK160" s="86" t="n"/>
      <c r="AL160" s="86" t="n"/>
      <c r="AM160" s="86" t="n"/>
      <c r="AN160" s="86" t="n"/>
      <c r="AO160" s="11">
        <f>IFERROR(AC160/E160,"")</f>
        <v/>
      </c>
      <c r="AP160" s="11">
        <f>IFERROR(AD160/E160,"")</f>
        <v/>
      </c>
      <c r="AQ160" s="11">
        <f>IFERROR(AG160/E160,"")</f>
        <v/>
      </c>
      <c r="AR160" s="87">
        <f>IFERROR(AG160/AF160,"")</f>
        <v/>
      </c>
      <c r="AS160" s="87">
        <f>IFERROR(AH160/AF160,"")</f>
        <v/>
      </c>
      <c r="AT160" s="87">
        <f>IFERROR(AI160/AH160,"")</f>
        <v/>
      </c>
      <c r="AU160" s="87">
        <f>IFERROR(AN160/AH160,"")</f>
        <v/>
      </c>
      <c r="AV160" s="88" t="n"/>
      <c r="AW160" s="89" t="n"/>
      <c r="AX160" s="89" t="n"/>
      <c r="AY160" s="8" t="n"/>
      <c r="AZ160" s="8" t="n"/>
      <c r="BA160" s="8" t="n"/>
      <c r="BB160" s="8" t="n"/>
      <c r="BC160" s="90">
        <f>IFERROR(AG160/AC160,"")</f>
        <v/>
      </c>
      <c r="BD160" s="90">
        <f>IFERROR(AG160/(AC160+AA160),"")</f>
        <v/>
      </c>
      <c r="BE160" s="91" t="n"/>
      <c r="BF160" s="40" t="n"/>
    </row>
    <row r="161" ht="15" customHeight="1" s="67">
      <c r="A161" s="8" t="n"/>
      <c r="B161" s="86" t="n"/>
      <c r="C161" s="86" t="n"/>
      <c r="D161" s="86" t="n"/>
      <c r="E161" s="86" t="n"/>
      <c r="F161" s="86" t="n"/>
      <c r="G161" s="86" t="n"/>
      <c r="H161" s="86" t="n"/>
      <c r="I161" s="86" t="n"/>
      <c r="J161" s="86" t="n"/>
      <c r="K161" s="86" t="n"/>
      <c r="L161" s="86" t="n"/>
      <c r="M161" s="86" t="n"/>
      <c r="N161" s="86" t="n"/>
      <c r="O161" s="86" t="n"/>
      <c r="P161" s="86" t="n"/>
      <c r="Q161" s="86" t="n"/>
      <c r="R161" s="86" t="n"/>
      <c r="S161" s="86" t="n"/>
      <c r="T161" s="86" t="n"/>
      <c r="U161" s="86" t="n"/>
      <c r="V161" s="86" t="n"/>
      <c r="W161" s="86" t="n"/>
      <c r="X161" s="8" t="n"/>
      <c r="Y161" s="8" t="n"/>
      <c r="Z161" s="8" t="n"/>
      <c r="AA161" s="86" t="n"/>
      <c r="AB161" s="87">
        <f>IFERROR(AA161/AF161,"")</f>
        <v/>
      </c>
      <c r="AC161" s="86" t="n"/>
      <c r="AD161" s="86" t="n"/>
      <c r="AE161" s="86" t="n"/>
      <c r="AF161" s="86" t="n"/>
      <c r="AG161" s="86" t="n"/>
      <c r="AH161" s="86" t="n"/>
      <c r="AI161" s="86" t="n"/>
      <c r="AJ161" s="86" t="n"/>
      <c r="AK161" s="86" t="n"/>
      <c r="AL161" s="86" t="n"/>
      <c r="AM161" s="86" t="n"/>
      <c r="AN161" s="86" t="n"/>
      <c r="AO161" s="11">
        <f>IFERROR(AC161/E161,"")</f>
        <v/>
      </c>
      <c r="AP161" s="11">
        <f>IFERROR(AD161/E161,"")</f>
        <v/>
      </c>
      <c r="AQ161" s="11">
        <f>IFERROR(AG161/E161,"")</f>
        <v/>
      </c>
      <c r="AR161" s="87">
        <f>IFERROR(AG161/AF161,"")</f>
        <v/>
      </c>
      <c r="AS161" s="87">
        <f>IFERROR(AH161/AF161,"")</f>
        <v/>
      </c>
      <c r="AT161" s="87">
        <f>IFERROR(AI161/AH161,"")</f>
        <v/>
      </c>
      <c r="AU161" s="87">
        <f>IFERROR(AN161/AH161,"")</f>
        <v/>
      </c>
      <c r="AV161" s="88" t="n"/>
      <c r="AW161" s="89" t="n"/>
      <c r="AX161" s="89" t="n"/>
      <c r="AY161" s="8" t="n"/>
      <c r="AZ161" s="8" t="n"/>
      <c r="BA161" s="8" t="n"/>
      <c r="BB161" s="8" t="n"/>
      <c r="BC161" s="90">
        <f>IFERROR(AG161/AC161,"")</f>
        <v/>
      </c>
      <c r="BD161" s="90">
        <f>IFERROR(AG161/(AC161+AA161),"")</f>
        <v/>
      </c>
      <c r="BE161" s="91" t="n"/>
      <c r="BF161" s="40" t="n"/>
    </row>
    <row r="162" ht="15" customHeight="1" s="67">
      <c r="A162" s="8" t="n"/>
      <c r="B162" s="86" t="n"/>
      <c r="C162" s="86" t="n"/>
      <c r="D162" s="86" t="n"/>
      <c r="E162" s="86" t="n"/>
      <c r="F162" s="86" t="n"/>
      <c r="G162" s="86" t="n"/>
      <c r="H162" s="86" t="n"/>
      <c r="I162" s="86" t="n"/>
      <c r="J162" s="86" t="n"/>
      <c r="K162" s="86" t="n"/>
      <c r="L162" s="86" t="n"/>
      <c r="M162" s="86" t="n"/>
      <c r="N162" s="86" t="n"/>
      <c r="O162" s="86" t="n"/>
      <c r="P162" s="86" t="n"/>
      <c r="Q162" s="86" t="n"/>
      <c r="R162" s="86" t="n"/>
      <c r="S162" s="86" t="n"/>
      <c r="T162" s="86" t="n"/>
      <c r="U162" s="86" t="n"/>
      <c r="V162" s="86" t="n"/>
      <c r="W162" s="86" t="n"/>
      <c r="X162" s="8" t="n"/>
      <c r="Y162" s="8" t="n"/>
      <c r="Z162" s="8" t="n"/>
      <c r="AA162" s="86" t="n"/>
      <c r="AB162" s="87">
        <f>IFERROR(AA162/AF162,"")</f>
        <v/>
      </c>
      <c r="AC162" s="86" t="n"/>
      <c r="AD162" s="86" t="n"/>
      <c r="AE162" s="86" t="n"/>
      <c r="AF162" s="86" t="n"/>
      <c r="AG162" s="86" t="n"/>
      <c r="AH162" s="86" t="n"/>
      <c r="AI162" s="86" t="n"/>
      <c r="AJ162" s="86" t="n"/>
      <c r="AK162" s="86" t="n"/>
      <c r="AL162" s="86" t="n"/>
      <c r="AM162" s="86" t="n"/>
      <c r="AN162" s="86" t="n"/>
      <c r="AO162" s="11">
        <f>IFERROR(AC162/E162,"")</f>
        <v/>
      </c>
      <c r="AP162" s="11">
        <f>IFERROR(AD162/E162,"")</f>
        <v/>
      </c>
      <c r="AQ162" s="11">
        <f>IFERROR(AG162/E162,"")</f>
        <v/>
      </c>
      <c r="AR162" s="87">
        <f>IFERROR(AG162/AF162,"")</f>
        <v/>
      </c>
      <c r="AS162" s="87">
        <f>IFERROR(AH162/AF162,"")</f>
        <v/>
      </c>
      <c r="AT162" s="87">
        <f>IFERROR(AI162/AH162,"")</f>
        <v/>
      </c>
      <c r="AU162" s="87">
        <f>IFERROR(AN162/AH162,"")</f>
        <v/>
      </c>
      <c r="AV162" s="88" t="n"/>
      <c r="AW162" s="89" t="n"/>
      <c r="AX162" s="89" t="n"/>
      <c r="AY162" s="8" t="n"/>
      <c r="AZ162" s="8" t="n"/>
      <c r="BA162" s="8" t="n"/>
      <c r="BB162" s="8" t="n"/>
      <c r="BC162" s="90">
        <f>IFERROR(AG162/AC162,"")</f>
        <v/>
      </c>
      <c r="BD162" s="90">
        <f>IFERROR(AG162/(AC162+AA162),"")</f>
        <v/>
      </c>
      <c r="BE162" s="91" t="n"/>
      <c r="BF162" s="40" t="n"/>
    </row>
    <row r="163" ht="15" customHeight="1" s="67">
      <c r="A163" s="8" t="n"/>
      <c r="B163" s="86" t="n"/>
      <c r="C163" s="86" t="n"/>
      <c r="D163" s="86" t="n"/>
      <c r="E163" s="86" t="n"/>
      <c r="F163" s="86" t="n"/>
      <c r="G163" s="86" t="n"/>
      <c r="H163" s="86" t="n"/>
      <c r="I163" s="86" t="n"/>
      <c r="J163" s="86" t="n"/>
      <c r="K163" s="86" t="n"/>
      <c r="L163" s="86" t="n"/>
      <c r="M163" s="86" t="n"/>
      <c r="N163" s="86" t="n"/>
      <c r="O163" s="86" t="n"/>
      <c r="P163" s="86" t="n"/>
      <c r="Q163" s="86" t="n"/>
      <c r="R163" s="86" t="n"/>
      <c r="S163" s="86" t="n"/>
      <c r="T163" s="86" t="n"/>
      <c r="U163" s="86" t="n"/>
      <c r="V163" s="86" t="n"/>
      <c r="W163" s="86" t="n"/>
      <c r="X163" s="8" t="n"/>
      <c r="Y163" s="8" t="n"/>
      <c r="Z163" s="8" t="n"/>
      <c r="AA163" s="86" t="n"/>
      <c r="AB163" s="87">
        <f>IFERROR(AA163/AF163,"")</f>
        <v/>
      </c>
      <c r="AC163" s="86" t="n"/>
      <c r="AD163" s="86" t="n"/>
      <c r="AE163" s="86" t="n"/>
      <c r="AF163" s="86" t="n"/>
      <c r="AG163" s="86" t="n"/>
      <c r="AH163" s="86" t="n"/>
      <c r="AI163" s="86" t="n"/>
      <c r="AJ163" s="86" t="n"/>
      <c r="AK163" s="86" t="n"/>
      <c r="AL163" s="86" t="n"/>
      <c r="AM163" s="86" t="n"/>
      <c r="AN163" s="86" t="n"/>
      <c r="AO163" s="11">
        <f>IFERROR(AC163/E163,"")</f>
        <v/>
      </c>
      <c r="AP163" s="11">
        <f>IFERROR(AD163/E163,"")</f>
        <v/>
      </c>
      <c r="AQ163" s="11">
        <f>IFERROR(AG163/E163,"")</f>
        <v/>
      </c>
      <c r="AR163" s="87">
        <f>IFERROR(AG163/AF163,"")</f>
        <v/>
      </c>
      <c r="AS163" s="87">
        <f>IFERROR(AH163/AF163,"")</f>
        <v/>
      </c>
      <c r="AT163" s="87">
        <f>IFERROR(AI163/AH163,"")</f>
        <v/>
      </c>
      <c r="AU163" s="87">
        <f>IFERROR(AN163/AH163,"")</f>
        <v/>
      </c>
      <c r="AV163" s="88" t="n"/>
      <c r="AW163" s="89" t="n"/>
      <c r="AX163" s="89" t="n"/>
      <c r="AY163" s="8" t="n"/>
      <c r="AZ163" s="8" t="n"/>
      <c r="BA163" s="8" t="n"/>
      <c r="BB163" s="8" t="n"/>
      <c r="BC163" s="90">
        <f>IFERROR(AG163/AC163,"")</f>
        <v/>
      </c>
      <c r="BD163" s="90">
        <f>IFERROR(AG163/(AC163+AA163),"")</f>
        <v/>
      </c>
      <c r="BE163" s="91" t="n"/>
      <c r="BF163" s="40" t="n"/>
    </row>
    <row r="164" ht="15" customHeight="1" s="67">
      <c r="A164" s="8" t="n"/>
      <c r="B164" s="86" t="n"/>
      <c r="C164" s="86" t="n"/>
      <c r="D164" s="86" t="n"/>
      <c r="E164" s="86" t="n"/>
      <c r="F164" s="86" t="n"/>
      <c r="G164" s="86" t="n"/>
      <c r="H164" s="86" t="n"/>
      <c r="I164" s="86" t="n"/>
      <c r="J164" s="86" t="n"/>
      <c r="K164" s="86" t="n"/>
      <c r="L164" s="86" t="n"/>
      <c r="M164" s="86" t="n"/>
      <c r="N164" s="86" t="n"/>
      <c r="O164" s="86" t="n"/>
      <c r="P164" s="86" t="n"/>
      <c r="Q164" s="86" t="n"/>
      <c r="R164" s="86" t="n"/>
      <c r="S164" s="86" t="n"/>
      <c r="T164" s="86" t="n"/>
      <c r="U164" s="86" t="n"/>
      <c r="V164" s="86" t="n"/>
      <c r="W164" s="86" t="n"/>
      <c r="X164" s="8" t="n"/>
      <c r="Y164" s="8" t="n"/>
      <c r="Z164" s="8" t="n"/>
      <c r="AA164" s="86" t="n"/>
      <c r="AB164" s="87">
        <f>IFERROR(AA164/AF164,"")</f>
        <v/>
      </c>
      <c r="AC164" s="86" t="n"/>
      <c r="AD164" s="86" t="n"/>
      <c r="AE164" s="86" t="n"/>
      <c r="AF164" s="86" t="n"/>
      <c r="AG164" s="86" t="n"/>
      <c r="AH164" s="86" t="n"/>
      <c r="AI164" s="86" t="n"/>
      <c r="AJ164" s="86" t="n"/>
      <c r="AK164" s="86" t="n"/>
      <c r="AL164" s="86" t="n"/>
      <c r="AM164" s="86" t="n"/>
      <c r="AN164" s="86" t="n"/>
      <c r="AO164" s="11">
        <f>IFERROR(AC164/E164,"")</f>
        <v/>
      </c>
      <c r="AP164" s="11">
        <f>IFERROR(AD164/E164,"")</f>
        <v/>
      </c>
      <c r="AQ164" s="11">
        <f>IFERROR(AG164/E164,"")</f>
        <v/>
      </c>
      <c r="AR164" s="87">
        <f>IFERROR(AG164/AF164,"")</f>
        <v/>
      </c>
      <c r="AS164" s="87">
        <f>IFERROR(AH164/AF164,"")</f>
        <v/>
      </c>
      <c r="AT164" s="87">
        <f>IFERROR(AI164/AH164,"")</f>
        <v/>
      </c>
      <c r="AU164" s="87">
        <f>IFERROR(AN164/AH164,"")</f>
        <v/>
      </c>
      <c r="AV164" s="88" t="n"/>
      <c r="AW164" s="89" t="n"/>
      <c r="AX164" s="89" t="n"/>
      <c r="AY164" s="8" t="n"/>
      <c r="AZ164" s="8" t="n"/>
      <c r="BA164" s="8" t="n"/>
      <c r="BB164" s="8" t="n"/>
      <c r="BC164" s="90">
        <f>IFERROR(AG164/AC164,"")</f>
        <v/>
      </c>
      <c r="BD164" s="90">
        <f>IFERROR(AG164/(AC164+AA164),"")</f>
        <v/>
      </c>
      <c r="BE164" s="91" t="n"/>
      <c r="BF164" s="40" t="n"/>
    </row>
    <row r="165" ht="15" customHeight="1" s="67">
      <c r="A165" s="8" t="n"/>
      <c r="B165" s="86" t="n"/>
      <c r="C165" s="86" t="n"/>
      <c r="D165" s="86" t="n"/>
      <c r="E165" s="86" t="n"/>
      <c r="F165" s="86" t="n"/>
      <c r="G165" s="86" t="n"/>
      <c r="H165" s="86" t="n"/>
      <c r="I165" s="86" t="n"/>
      <c r="J165" s="86" t="n"/>
      <c r="K165" s="86" t="n"/>
      <c r="L165" s="86" t="n"/>
      <c r="M165" s="86" t="n"/>
      <c r="N165" s="86" t="n"/>
      <c r="O165" s="86" t="n"/>
      <c r="P165" s="86" t="n"/>
      <c r="Q165" s="86" t="n"/>
      <c r="R165" s="86" t="n"/>
      <c r="S165" s="86" t="n"/>
      <c r="T165" s="86" t="n"/>
      <c r="U165" s="86" t="n"/>
      <c r="V165" s="86" t="n"/>
      <c r="W165" s="86" t="n"/>
      <c r="X165" s="8" t="n"/>
      <c r="Y165" s="8" t="n"/>
      <c r="Z165" s="8" t="n"/>
      <c r="AA165" s="86" t="n"/>
      <c r="AB165" s="87">
        <f>IFERROR(AA165/AF165,"")</f>
        <v/>
      </c>
      <c r="AC165" s="86" t="n"/>
      <c r="AD165" s="86" t="n"/>
      <c r="AE165" s="86" t="n"/>
      <c r="AF165" s="86" t="n"/>
      <c r="AG165" s="86" t="n"/>
      <c r="AH165" s="86" t="n"/>
      <c r="AI165" s="86" t="n"/>
      <c r="AJ165" s="86" t="n"/>
      <c r="AK165" s="86" t="n"/>
      <c r="AL165" s="86" t="n"/>
      <c r="AM165" s="86" t="n"/>
      <c r="AN165" s="86" t="n"/>
      <c r="AO165" s="11">
        <f>IFERROR(AC165/E165,"")</f>
        <v/>
      </c>
      <c r="AP165" s="11">
        <f>IFERROR(AD165/E165,"")</f>
        <v/>
      </c>
      <c r="AQ165" s="11">
        <f>IFERROR(AG165/E165,"")</f>
        <v/>
      </c>
      <c r="AR165" s="87">
        <f>IFERROR(AG165/AF165,"")</f>
        <v/>
      </c>
      <c r="AS165" s="87">
        <f>IFERROR(AH165/AF165,"")</f>
        <v/>
      </c>
      <c r="AT165" s="87">
        <f>IFERROR(AI165/AH165,"")</f>
        <v/>
      </c>
      <c r="AU165" s="87">
        <f>IFERROR(AN165/AH165,"")</f>
        <v/>
      </c>
      <c r="AV165" s="88" t="n"/>
      <c r="AW165" s="89" t="n"/>
      <c r="AX165" s="89" t="n"/>
      <c r="AY165" s="8" t="n"/>
      <c r="AZ165" s="8" t="n"/>
      <c r="BA165" s="8" t="n"/>
      <c r="BB165" s="8" t="n"/>
      <c r="BC165" s="90">
        <f>IFERROR(AG165/AC165,"")</f>
        <v/>
      </c>
      <c r="BD165" s="90">
        <f>IFERROR(AG165/(AC165+AA165),"")</f>
        <v/>
      </c>
      <c r="BE165" s="91" t="n"/>
      <c r="BF165" s="40" t="n"/>
    </row>
    <row r="166" ht="15" customHeight="1" s="67">
      <c r="A166" s="8" t="n"/>
      <c r="B166" s="86" t="n"/>
      <c r="C166" s="86" t="n"/>
      <c r="D166" s="86" t="n"/>
      <c r="E166" s="86" t="n"/>
      <c r="F166" s="86" t="n"/>
      <c r="G166" s="86" t="n"/>
      <c r="H166" s="86" t="n"/>
      <c r="I166" s="86" t="n"/>
      <c r="J166" s="86" t="n"/>
      <c r="K166" s="86" t="n"/>
      <c r="L166" s="86" t="n"/>
      <c r="M166" s="86" t="n"/>
      <c r="N166" s="86" t="n"/>
      <c r="O166" s="86" t="n"/>
      <c r="P166" s="86" t="n"/>
      <c r="Q166" s="86" t="n"/>
      <c r="R166" s="86" t="n"/>
      <c r="S166" s="86" t="n"/>
      <c r="T166" s="86" t="n"/>
      <c r="U166" s="86" t="n"/>
      <c r="V166" s="86" t="n"/>
      <c r="W166" s="86" t="n"/>
      <c r="X166" s="8" t="n"/>
      <c r="Y166" s="8" t="n"/>
      <c r="Z166" s="8" t="n"/>
      <c r="AA166" s="86" t="n"/>
      <c r="AB166" s="87">
        <f>IFERROR(AA166/AF166,"")</f>
        <v/>
      </c>
      <c r="AC166" s="86" t="n"/>
      <c r="AD166" s="86" t="n"/>
      <c r="AE166" s="86" t="n"/>
      <c r="AF166" s="86" t="n"/>
      <c r="AG166" s="86" t="n"/>
      <c r="AH166" s="86" t="n"/>
      <c r="AI166" s="86" t="n"/>
      <c r="AJ166" s="86" t="n"/>
      <c r="AK166" s="86" t="n"/>
      <c r="AL166" s="86" t="n"/>
      <c r="AM166" s="86" t="n"/>
      <c r="AN166" s="86" t="n"/>
      <c r="AO166" s="11">
        <f>IFERROR(AC166/E166,"")</f>
        <v/>
      </c>
      <c r="AP166" s="11">
        <f>IFERROR(AD166/E166,"")</f>
        <v/>
      </c>
      <c r="AQ166" s="11">
        <f>IFERROR(AG166/E166,"")</f>
        <v/>
      </c>
      <c r="AR166" s="87">
        <f>IFERROR(AG166/AF166,"")</f>
        <v/>
      </c>
      <c r="AS166" s="87">
        <f>IFERROR(AH166/AF166,"")</f>
        <v/>
      </c>
      <c r="AT166" s="87">
        <f>IFERROR(AI166/AH166,"")</f>
        <v/>
      </c>
      <c r="AU166" s="87">
        <f>IFERROR(AN166/AH166,"")</f>
        <v/>
      </c>
      <c r="AV166" s="88" t="n"/>
      <c r="AW166" s="89" t="n"/>
      <c r="AX166" s="89" t="n"/>
      <c r="AY166" s="8" t="n"/>
      <c r="AZ166" s="8" t="n"/>
      <c r="BA166" s="8" t="n"/>
      <c r="BB166" s="8" t="n"/>
      <c r="BC166" s="90">
        <f>IFERROR(AG166/AC166,"")</f>
        <v/>
      </c>
      <c r="BD166" s="90">
        <f>IFERROR(AG166/(AC166+AA166),"")</f>
        <v/>
      </c>
      <c r="BE166" s="91" t="n"/>
      <c r="BF166" s="40" t="n"/>
    </row>
    <row r="167" ht="15" customHeight="1" s="67">
      <c r="A167" s="8" t="n"/>
      <c r="B167" s="86" t="n"/>
      <c r="C167" s="86" t="n"/>
      <c r="D167" s="86" t="n"/>
      <c r="E167" s="86" t="n"/>
      <c r="F167" s="86" t="n"/>
      <c r="G167" s="86" t="n"/>
      <c r="H167" s="86" t="n"/>
      <c r="I167" s="86" t="n"/>
      <c r="J167" s="86" t="n"/>
      <c r="K167" s="86" t="n"/>
      <c r="L167" s="86" t="n"/>
      <c r="M167" s="86" t="n"/>
      <c r="N167" s="86" t="n"/>
      <c r="O167" s="86" t="n"/>
      <c r="P167" s="86" t="n"/>
      <c r="Q167" s="86" t="n"/>
      <c r="R167" s="86" t="n"/>
      <c r="S167" s="86" t="n"/>
      <c r="T167" s="86" t="n"/>
      <c r="U167" s="86" t="n"/>
      <c r="V167" s="86" t="n"/>
      <c r="W167" s="86" t="n"/>
      <c r="X167" s="8" t="n"/>
      <c r="Y167" s="8" t="n"/>
      <c r="Z167" s="8" t="n"/>
      <c r="AA167" s="86" t="n"/>
      <c r="AB167" s="87">
        <f>IFERROR(AA167/AF167,"")</f>
        <v/>
      </c>
      <c r="AC167" s="86" t="n"/>
      <c r="AD167" s="86" t="n"/>
      <c r="AE167" s="86" t="n"/>
      <c r="AF167" s="86" t="n"/>
      <c r="AG167" s="86" t="n"/>
      <c r="AH167" s="86" t="n"/>
      <c r="AI167" s="86" t="n"/>
      <c r="AJ167" s="86" t="n"/>
      <c r="AK167" s="86" t="n"/>
      <c r="AL167" s="86" t="n"/>
      <c r="AM167" s="86" t="n"/>
      <c r="AN167" s="86" t="n"/>
      <c r="AO167" s="11">
        <f>IFERROR(AC167/E167,"")</f>
        <v/>
      </c>
      <c r="AP167" s="11">
        <f>IFERROR(AD167/E167,"")</f>
        <v/>
      </c>
      <c r="AQ167" s="11">
        <f>IFERROR(AG167/E167,"")</f>
        <v/>
      </c>
      <c r="AR167" s="87">
        <f>IFERROR(AG167/AF167,"")</f>
        <v/>
      </c>
      <c r="AS167" s="87">
        <f>IFERROR(AH167/AF167,"")</f>
        <v/>
      </c>
      <c r="AT167" s="87">
        <f>IFERROR(AI167/AH167,"")</f>
        <v/>
      </c>
      <c r="AU167" s="87">
        <f>IFERROR(AN167/AH167,"")</f>
        <v/>
      </c>
      <c r="AV167" s="88" t="n"/>
      <c r="AW167" s="89" t="n"/>
      <c r="AX167" s="89" t="n"/>
      <c r="AY167" s="8" t="n"/>
      <c r="AZ167" s="8" t="n"/>
      <c r="BA167" s="8" t="n"/>
      <c r="BB167" s="8" t="n"/>
      <c r="BC167" s="90">
        <f>IFERROR(AG167/AC167,"")</f>
        <v/>
      </c>
      <c r="BD167" s="90">
        <f>IFERROR(AG167/(AC167+AA167),"")</f>
        <v/>
      </c>
      <c r="BE167" s="91" t="n"/>
      <c r="BF167" s="40" t="n"/>
    </row>
    <row r="168" ht="15" customHeight="1" s="67">
      <c r="A168" s="8" t="n"/>
      <c r="B168" s="86" t="n"/>
      <c r="C168" s="86" t="n"/>
      <c r="D168" s="86" t="n"/>
      <c r="E168" s="86" t="n"/>
      <c r="F168" s="86" t="n"/>
      <c r="G168" s="86" t="n"/>
      <c r="H168" s="86" t="n"/>
      <c r="I168" s="86" t="n"/>
      <c r="J168" s="86" t="n"/>
      <c r="K168" s="86" t="n"/>
      <c r="L168" s="86" t="n"/>
      <c r="M168" s="86" t="n"/>
      <c r="N168" s="86" t="n"/>
      <c r="O168" s="86" t="n"/>
      <c r="P168" s="86" t="n"/>
      <c r="Q168" s="86" t="n"/>
      <c r="R168" s="86" t="n"/>
      <c r="S168" s="86" t="n"/>
      <c r="T168" s="86" t="n"/>
      <c r="U168" s="86" t="n"/>
      <c r="V168" s="86" t="n"/>
      <c r="W168" s="86" t="n"/>
      <c r="X168" s="8" t="n"/>
      <c r="Y168" s="8" t="n"/>
      <c r="Z168" s="8" t="n"/>
      <c r="AA168" s="86" t="n"/>
      <c r="AB168" s="87">
        <f>IFERROR(AA168/AF168,"")</f>
        <v/>
      </c>
      <c r="AC168" s="86" t="n"/>
      <c r="AD168" s="86" t="n"/>
      <c r="AE168" s="86" t="n"/>
      <c r="AF168" s="86" t="n"/>
      <c r="AG168" s="86" t="n"/>
      <c r="AH168" s="86" t="n"/>
      <c r="AI168" s="86" t="n"/>
      <c r="AJ168" s="86" t="n"/>
      <c r="AK168" s="86" t="n"/>
      <c r="AL168" s="86" t="n"/>
      <c r="AM168" s="86" t="n"/>
      <c r="AN168" s="86" t="n"/>
      <c r="AO168" s="11">
        <f>IFERROR(AC168/E168,"")</f>
        <v/>
      </c>
      <c r="AP168" s="11">
        <f>IFERROR(AD168/E168,"")</f>
        <v/>
      </c>
      <c r="AQ168" s="11">
        <f>IFERROR(AG168/E168,"")</f>
        <v/>
      </c>
      <c r="AR168" s="87">
        <f>IFERROR(AG168/AF168,"")</f>
        <v/>
      </c>
      <c r="AS168" s="87">
        <f>IFERROR(AH168/AF168,"")</f>
        <v/>
      </c>
      <c r="AT168" s="87">
        <f>IFERROR(AI168/AH168,"")</f>
        <v/>
      </c>
      <c r="AU168" s="87">
        <f>IFERROR(AN168/AH168,"")</f>
        <v/>
      </c>
      <c r="AV168" s="88" t="n"/>
      <c r="AW168" s="89" t="n"/>
      <c r="AX168" s="89" t="n"/>
      <c r="AY168" s="8" t="n"/>
      <c r="AZ168" s="8" t="n"/>
      <c r="BA168" s="8" t="n"/>
      <c r="BB168" s="8" t="n"/>
      <c r="BC168" s="90">
        <f>IFERROR(AG168/AC168,"")</f>
        <v/>
      </c>
      <c r="BD168" s="90">
        <f>IFERROR(AG168/(AC168+AA168),"")</f>
        <v/>
      </c>
      <c r="BE168" s="91" t="n"/>
      <c r="BF168" s="40" t="n"/>
    </row>
    <row r="169" ht="15" customHeight="1" s="67">
      <c r="A169" s="8" t="n"/>
      <c r="B169" s="86" t="n"/>
      <c r="C169" s="86" t="n"/>
      <c r="D169" s="86" t="n"/>
      <c r="E169" s="86" t="n"/>
      <c r="F169" s="86" t="n"/>
      <c r="G169" s="86" t="n"/>
      <c r="H169" s="86" t="n"/>
      <c r="I169" s="86" t="n"/>
      <c r="J169" s="86" t="n"/>
      <c r="K169" s="86" t="n"/>
      <c r="L169" s="86" t="n"/>
      <c r="M169" s="86" t="n"/>
      <c r="N169" s="86" t="n"/>
      <c r="O169" s="86" t="n"/>
      <c r="P169" s="86" t="n"/>
      <c r="Q169" s="86" t="n"/>
      <c r="R169" s="86" t="n"/>
      <c r="S169" s="86" t="n"/>
      <c r="T169" s="86" t="n"/>
      <c r="U169" s="86" t="n"/>
      <c r="V169" s="86" t="n"/>
      <c r="W169" s="86" t="n"/>
      <c r="X169" s="8" t="n"/>
      <c r="Y169" s="8" t="n"/>
      <c r="Z169" s="8" t="n"/>
      <c r="AA169" s="86" t="n"/>
      <c r="AB169" s="87">
        <f>IFERROR(AA169/AF169,"")</f>
        <v/>
      </c>
      <c r="AC169" s="86" t="n"/>
      <c r="AD169" s="86" t="n"/>
      <c r="AE169" s="86" t="n"/>
      <c r="AF169" s="86" t="n"/>
      <c r="AG169" s="86" t="n"/>
      <c r="AH169" s="86" t="n"/>
      <c r="AI169" s="86" t="n"/>
      <c r="AJ169" s="86" t="n"/>
      <c r="AK169" s="86" t="n"/>
      <c r="AL169" s="86" t="n"/>
      <c r="AM169" s="86" t="n"/>
      <c r="AN169" s="86" t="n"/>
      <c r="AO169" s="11">
        <f>IFERROR(AC169/E169,"")</f>
        <v/>
      </c>
      <c r="AP169" s="11">
        <f>IFERROR(AD169/E169,"")</f>
        <v/>
      </c>
      <c r="AQ169" s="11">
        <f>IFERROR(AG169/E169,"")</f>
        <v/>
      </c>
      <c r="AR169" s="87">
        <f>IFERROR(AG169/AF169,"")</f>
        <v/>
      </c>
      <c r="AS169" s="87">
        <f>IFERROR(AH169/AF169,"")</f>
        <v/>
      </c>
      <c r="AT169" s="87">
        <f>IFERROR(AI169/AH169,"")</f>
        <v/>
      </c>
      <c r="AU169" s="87">
        <f>IFERROR(AN169/AH169,"")</f>
        <v/>
      </c>
      <c r="AV169" s="88" t="n"/>
      <c r="AW169" s="89" t="n"/>
      <c r="AX169" s="89" t="n"/>
      <c r="AY169" s="8" t="n"/>
      <c r="AZ169" s="8" t="n"/>
      <c r="BA169" s="8" t="n"/>
      <c r="BB169" s="8" t="n"/>
      <c r="BC169" s="90">
        <f>IFERROR(AG169/AC169,"")</f>
        <v/>
      </c>
      <c r="BD169" s="90">
        <f>IFERROR(AG169/(AC169+AA169),"")</f>
        <v/>
      </c>
      <c r="BE169" s="91" t="n"/>
      <c r="BF169" s="40" t="n"/>
    </row>
    <row r="170" ht="15" customHeight="1" s="67">
      <c r="A170" s="8" t="n"/>
      <c r="B170" s="86" t="n"/>
      <c r="C170" s="86" t="n"/>
      <c r="D170" s="86" t="n"/>
      <c r="E170" s="86" t="n"/>
      <c r="F170" s="86" t="n"/>
      <c r="G170" s="86" t="n"/>
      <c r="H170" s="86" t="n"/>
      <c r="I170" s="86" t="n"/>
      <c r="J170" s="86" t="n"/>
      <c r="K170" s="86" t="n"/>
      <c r="L170" s="86" t="n"/>
      <c r="M170" s="86" t="n"/>
      <c r="N170" s="86" t="n"/>
      <c r="O170" s="86" t="n"/>
      <c r="P170" s="86" t="n"/>
      <c r="Q170" s="86" t="n"/>
      <c r="R170" s="86" t="n"/>
      <c r="S170" s="86" t="n"/>
      <c r="T170" s="86" t="n"/>
      <c r="U170" s="86" t="n"/>
      <c r="V170" s="86" t="n"/>
      <c r="W170" s="86" t="n"/>
      <c r="X170" s="8" t="n"/>
      <c r="Y170" s="8" t="n"/>
      <c r="Z170" s="8" t="n"/>
      <c r="AA170" s="86" t="n"/>
      <c r="AB170" s="87">
        <f>IFERROR(AA170/AF170,"")</f>
        <v/>
      </c>
      <c r="AC170" s="86" t="n"/>
      <c r="AD170" s="86" t="n"/>
      <c r="AE170" s="86" t="n"/>
      <c r="AF170" s="86" t="n"/>
      <c r="AG170" s="86" t="n"/>
      <c r="AH170" s="86" t="n"/>
      <c r="AI170" s="86" t="n"/>
      <c r="AJ170" s="86" t="n"/>
      <c r="AK170" s="86" t="n"/>
      <c r="AL170" s="86" t="n"/>
      <c r="AM170" s="86" t="n"/>
      <c r="AN170" s="86" t="n"/>
      <c r="AO170" s="11">
        <f>IFERROR(AC170/E170,"")</f>
        <v/>
      </c>
      <c r="AP170" s="11">
        <f>IFERROR(AD170/E170,"")</f>
        <v/>
      </c>
      <c r="AQ170" s="11">
        <f>IFERROR(AG170/E170,"")</f>
        <v/>
      </c>
      <c r="AR170" s="87">
        <f>IFERROR(AG170/AF170,"")</f>
        <v/>
      </c>
      <c r="AS170" s="87">
        <f>IFERROR(AH170/AF170,"")</f>
        <v/>
      </c>
      <c r="AT170" s="87">
        <f>IFERROR(AI170/AH170,"")</f>
        <v/>
      </c>
      <c r="AU170" s="87">
        <f>IFERROR(AN170/AH170,"")</f>
        <v/>
      </c>
      <c r="AV170" s="88" t="n"/>
      <c r="AW170" s="89" t="n"/>
      <c r="AX170" s="89" t="n"/>
      <c r="AY170" s="8" t="n"/>
      <c r="AZ170" s="8" t="n"/>
      <c r="BA170" s="8" t="n"/>
      <c r="BB170" s="8" t="n"/>
      <c r="BC170" s="90">
        <f>IFERROR(AG170/AC170,"")</f>
        <v/>
      </c>
      <c r="BD170" s="90">
        <f>IFERROR(AG170/(AC170+AA170),"")</f>
        <v/>
      </c>
      <c r="BE170" s="91" t="n"/>
      <c r="BF170" s="40" t="n"/>
    </row>
    <row r="171" ht="15" customHeight="1" s="67">
      <c r="A171" s="8" t="n"/>
      <c r="B171" s="86" t="n"/>
      <c r="C171" s="86" t="n"/>
      <c r="D171" s="86" t="n"/>
      <c r="E171" s="86" t="n"/>
      <c r="F171" s="86" t="n"/>
      <c r="G171" s="86" t="n"/>
      <c r="H171" s="86" t="n"/>
      <c r="I171" s="86" t="n"/>
      <c r="J171" s="86" t="n"/>
      <c r="K171" s="86" t="n"/>
      <c r="L171" s="86" t="n"/>
      <c r="M171" s="86" t="n"/>
      <c r="N171" s="86" t="n"/>
      <c r="O171" s="86" t="n"/>
      <c r="P171" s="86" t="n"/>
      <c r="Q171" s="86" t="n"/>
      <c r="R171" s="86" t="n"/>
      <c r="S171" s="86" t="n"/>
      <c r="T171" s="86" t="n"/>
      <c r="U171" s="86" t="n"/>
      <c r="V171" s="86" t="n"/>
      <c r="W171" s="86" t="n"/>
      <c r="X171" s="8" t="n"/>
      <c r="Y171" s="8" t="n"/>
      <c r="Z171" s="8" t="n"/>
      <c r="AA171" s="86" t="n"/>
      <c r="AB171" s="87">
        <f>IFERROR(AA171/AF171,"")</f>
        <v/>
      </c>
      <c r="AC171" s="86" t="n"/>
      <c r="AD171" s="86" t="n"/>
      <c r="AE171" s="86" t="n"/>
      <c r="AF171" s="86" t="n"/>
      <c r="AG171" s="86" t="n"/>
      <c r="AH171" s="86" t="n"/>
      <c r="AI171" s="86" t="n"/>
      <c r="AJ171" s="86" t="n"/>
      <c r="AK171" s="86" t="n"/>
      <c r="AL171" s="86" t="n"/>
      <c r="AM171" s="86" t="n"/>
      <c r="AN171" s="86" t="n"/>
      <c r="AO171" s="11">
        <f>IFERROR(AC171/E171,"")</f>
        <v/>
      </c>
      <c r="AP171" s="11">
        <f>IFERROR(AD171/E171,"")</f>
        <v/>
      </c>
      <c r="AQ171" s="11">
        <f>IFERROR(AG171/E171,"")</f>
        <v/>
      </c>
      <c r="AR171" s="87">
        <f>IFERROR(AG171/AF171,"")</f>
        <v/>
      </c>
      <c r="AS171" s="87">
        <f>IFERROR(AH171/AF171,"")</f>
        <v/>
      </c>
      <c r="AT171" s="87">
        <f>IFERROR(AI171/AH171,"")</f>
        <v/>
      </c>
      <c r="AU171" s="87">
        <f>IFERROR(AN171/AH171,"")</f>
        <v/>
      </c>
      <c r="AV171" s="88" t="n"/>
      <c r="AW171" s="89" t="n"/>
      <c r="AX171" s="89" t="n"/>
      <c r="AY171" s="8" t="n"/>
      <c r="AZ171" s="8" t="n"/>
      <c r="BA171" s="8" t="n"/>
      <c r="BB171" s="8" t="n"/>
      <c r="BC171" s="90">
        <f>IFERROR(AG171/AC171,"")</f>
        <v/>
      </c>
      <c r="BD171" s="90">
        <f>IFERROR(AG171/(AC171+AA171),"")</f>
        <v/>
      </c>
      <c r="BE171" s="91" t="n"/>
      <c r="BF171" s="40" t="n"/>
    </row>
    <row r="172" ht="15" customHeight="1" s="67">
      <c r="A172" s="8" t="n"/>
      <c r="B172" s="86" t="n"/>
      <c r="C172" s="86" t="n"/>
      <c r="D172" s="86" t="n"/>
      <c r="E172" s="86" t="n"/>
      <c r="F172" s="86" t="n"/>
      <c r="G172" s="86" t="n"/>
      <c r="H172" s="86" t="n"/>
      <c r="I172" s="86" t="n"/>
      <c r="J172" s="86" t="n"/>
      <c r="K172" s="86" t="n"/>
      <c r="L172" s="86" t="n"/>
      <c r="M172" s="86" t="n"/>
      <c r="N172" s="86" t="n"/>
      <c r="O172" s="86" t="n"/>
      <c r="P172" s="86" t="n"/>
      <c r="Q172" s="86" t="n"/>
      <c r="R172" s="86" t="n"/>
      <c r="S172" s="86" t="n"/>
      <c r="T172" s="86" t="n"/>
      <c r="U172" s="86" t="n"/>
      <c r="V172" s="86" t="n"/>
      <c r="W172" s="86" t="n"/>
      <c r="X172" s="8" t="n"/>
      <c r="Y172" s="8" t="n"/>
      <c r="Z172" s="8" t="n"/>
      <c r="AA172" s="86" t="n"/>
      <c r="AB172" s="87">
        <f>IFERROR(AA172/AF172,"")</f>
        <v/>
      </c>
      <c r="AC172" s="86" t="n"/>
      <c r="AD172" s="86" t="n"/>
      <c r="AE172" s="86" t="n"/>
      <c r="AF172" s="86" t="n"/>
      <c r="AG172" s="86" t="n"/>
      <c r="AH172" s="86" t="n"/>
      <c r="AI172" s="86" t="n"/>
      <c r="AJ172" s="86" t="n"/>
      <c r="AK172" s="86" t="n"/>
      <c r="AL172" s="86" t="n"/>
      <c r="AM172" s="86" t="n"/>
      <c r="AN172" s="86" t="n"/>
      <c r="AO172" s="11">
        <f>IFERROR(AC172/E172,"")</f>
        <v/>
      </c>
      <c r="AP172" s="11">
        <f>IFERROR(AD172/E172,"")</f>
        <v/>
      </c>
      <c r="AQ172" s="11">
        <f>IFERROR(AG172/E172,"")</f>
        <v/>
      </c>
      <c r="AR172" s="87">
        <f>IFERROR(AG172/AF172,"")</f>
        <v/>
      </c>
      <c r="AS172" s="87">
        <f>IFERROR(AH172/AF172,"")</f>
        <v/>
      </c>
      <c r="AT172" s="87">
        <f>IFERROR(AI172/AH172,"")</f>
        <v/>
      </c>
      <c r="AU172" s="87">
        <f>IFERROR(AN172/AH172,"")</f>
        <v/>
      </c>
      <c r="AV172" s="88" t="n"/>
      <c r="AW172" s="89" t="n"/>
      <c r="AX172" s="89" t="n"/>
      <c r="AY172" s="8" t="n"/>
      <c r="AZ172" s="8" t="n"/>
      <c r="BA172" s="8" t="n"/>
      <c r="BB172" s="8" t="n"/>
      <c r="BC172" s="90">
        <f>IFERROR(AG172/AC172,"")</f>
        <v/>
      </c>
      <c r="BD172" s="90">
        <f>IFERROR(AG172/(AC172+AA172),"")</f>
        <v/>
      </c>
      <c r="BE172" s="91" t="n"/>
      <c r="BF172" s="40" t="n"/>
    </row>
    <row r="173" ht="15" customHeight="1" s="67">
      <c r="A173" s="8" t="n"/>
      <c r="B173" s="86" t="n"/>
      <c r="C173" s="86" t="n"/>
      <c r="D173" s="86" t="n"/>
      <c r="E173" s="86" t="n"/>
      <c r="F173" s="86" t="n"/>
      <c r="G173" s="86" t="n"/>
      <c r="H173" s="86" t="n"/>
      <c r="I173" s="86" t="n"/>
      <c r="J173" s="86" t="n"/>
      <c r="K173" s="86" t="n"/>
      <c r="L173" s="86" t="n"/>
      <c r="M173" s="86" t="n"/>
      <c r="N173" s="86" t="n"/>
      <c r="O173" s="86" t="n"/>
      <c r="P173" s="86" t="n"/>
      <c r="Q173" s="86" t="n"/>
      <c r="R173" s="86" t="n"/>
      <c r="S173" s="86" t="n"/>
      <c r="T173" s="86" t="n"/>
      <c r="U173" s="86" t="n"/>
      <c r="V173" s="86" t="n"/>
      <c r="W173" s="86" t="n"/>
      <c r="X173" s="8" t="n"/>
      <c r="Y173" s="8" t="n"/>
      <c r="Z173" s="8" t="n"/>
      <c r="AA173" s="86" t="n"/>
      <c r="AB173" s="87">
        <f>IFERROR(AA173/AF173,"")</f>
        <v/>
      </c>
      <c r="AC173" s="86" t="n"/>
      <c r="AD173" s="86" t="n"/>
      <c r="AE173" s="86" t="n"/>
      <c r="AF173" s="86" t="n"/>
      <c r="AG173" s="86" t="n"/>
      <c r="AH173" s="86" t="n"/>
      <c r="AI173" s="86" t="n"/>
      <c r="AJ173" s="86" t="n"/>
      <c r="AK173" s="86" t="n"/>
      <c r="AL173" s="86" t="n"/>
      <c r="AM173" s="86" t="n"/>
      <c r="AN173" s="86" t="n"/>
      <c r="AO173" s="11">
        <f>IFERROR(AC173/E173,"")</f>
        <v/>
      </c>
      <c r="AP173" s="11">
        <f>IFERROR(AD173/E173,"")</f>
        <v/>
      </c>
      <c r="AQ173" s="11">
        <f>IFERROR(AG173/E173,"")</f>
        <v/>
      </c>
      <c r="AR173" s="87">
        <f>IFERROR(AG173/AF173,"")</f>
        <v/>
      </c>
      <c r="AS173" s="87">
        <f>IFERROR(AH173/AF173,"")</f>
        <v/>
      </c>
      <c r="AT173" s="87">
        <f>IFERROR(AI173/AH173,"")</f>
        <v/>
      </c>
      <c r="AU173" s="87">
        <f>IFERROR(AN173/AH173,"")</f>
        <v/>
      </c>
      <c r="AV173" s="88" t="n"/>
      <c r="AW173" s="89" t="n"/>
      <c r="AX173" s="89" t="n"/>
      <c r="AY173" s="8" t="n"/>
      <c r="AZ173" s="8" t="n"/>
      <c r="BA173" s="8" t="n"/>
      <c r="BB173" s="8" t="n"/>
      <c r="BC173" s="90">
        <f>IFERROR(AG173/AC173,"")</f>
        <v/>
      </c>
      <c r="BD173" s="90">
        <f>IFERROR(AG173/(AC173+AA173),"")</f>
        <v/>
      </c>
      <c r="BE173" s="91" t="n"/>
      <c r="BF173" s="40" t="n"/>
    </row>
    <row r="174" ht="15" customHeight="1" s="67">
      <c r="A174" s="8" t="n"/>
      <c r="B174" s="86" t="n"/>
      <c r="C174" s="86" t="n"/>
      <c r="D174" s="86" t="n"/>
      <c r="E174" s="86" t="n"/>
      <c r="F174" s="86" t="n"/>
      <c r="G174" s="86" t="n"/>
      <c r="H174" s="86" t="n"/>
      <c r="I174" s="86" t="n"/>
      <c r="J174" s="86" t="n"/>
      <c r="K174" s="86" t="n"/>
      <c r="L174" s="86" t="n"/>
      <c r="M174" s="86" t="n"/>
      <c r="N174" s="86" t="n"/>
      <c r="O174" s="86" t="n"/>
      <c r="P174" s="86" t="n"/>
      <c r="Q174" s="86" t="n"/>
      <c r="R174" s="86" t="n"/>
      <c r="S174" s="86" t="n"/>
      <c r="T174" s="86" t="n"/>
      <c r="U174" s="86" t="n"/>
      <c r="V174" s="86" t="n"/>
      <c r="W174" s="86" t="n"/>
      <c r="X174" s="8" t="n"/>
      <c r="Y174" s="8" t="n"/>
      <c r="Z174" s="8" t="n"/>
      <c r="AA174" s="86" t="n"/>
      <c r="AB174" s="87">
        <f>IFERROR(AA174/AF174,"")</f>
        <v/>
      </c>
      <c r="AC174" s="86" t="n"/>
      <c r="AD174" s="86" t="n"/>
      <c r="AE174" s="86" t="n"/>
      <c r="AF174" s="86" t="n"/>
      <c r="AG174" s="86" t="n"/>
      <c r="AH174" s="86" t="n"/>
      <c r="AI174" s="86" t="n"/>
      <c r="AJ174" s="86" t="n"/>
      <c r="AK174" s="86" t="n"/>
      <c r="AL174" s="86" t="n"/>
      <c r="AM174" s="86" t="n"/>
      <c r="AN174" s="86" t="n"/>
      <c r="AO174" s="11">
        <f>IFERROR(AC174/E174,"")</f>
        <v/>
      </c>
      <c r="AP174" s="11">
        <f>IFERROR(AD174/E174,"")</f>
        <v/>
      </c>
      <c r="AQ174" s="11">
        <f>IFERROR(AG174/E174,"")</f>
        <v/>
      </c>
      <c r="AR174" s="87">
        <f>IFERROR(AG174/AF174,"")</f>
        <v/>
      </c>
      <c r="AS174" s="87">
        <f>IFERROR(AH174/AF174,"")</f>
        <v/>
      </c>
      <c r="AT174" s="87">
        <f>IFERROR(AI174/AH174,"")</f>
        <v/>
      </c>
      <c r="AU174" s="87">
        <f>IFERROR(AN174/AH174,"")</f>
        <v/>
      </c>
      <c r="AV174" s="88" t="n"/>
      <c r="AW174" s="89" t="n"/>
      <c r="AX174" s="89" t="n"/>
      <c r="AY174" s="8" t="n"/>
      <c r="AZ174" s="8" t="n"/>
      <c r="BA174" s="8" t="n"/>
      <c r="BB174" s="8" t="n"/>
      <c r="BC174" s="90">
        <f>IFERROR(AG174/AC174,"")</f>
        <v/>
      </c>
      <c r="BD174" s="90">
        <f>IFERROR(AG174/(AC174+AA174),"")</f>
        <v/>
      </c>
      <c r="BE174" s="91" t="n"/>
      <c r="BF174" s="40" t="n"/>
    </row>
    <row r="175" ht="15" customHeight="1" s="67">
      <c r="A175" s="8" t="n"/>
      <c r="B175" s="86" t="n"/>
      <c r="C175" s="86" t="n"/>
      <c r="D175" s="86" t="n"/>
      <c r="E175" s="86" t="n"/>
      <c r="F175" s="86" t="n"/>
      <c r="G175" s="86" t="n"/>
      <c r="H175" s="86" t="n"/>
      <c r="I175" s="86" t="n"/>
      <c r="J175" s="86" t="n"/>
      <c r="K175" s="86" t="n"/>
      <c r="L175" s="86" t="n"/>
      <c r="M175" s="86" t="n"/>
      <c r="N175" s="86" t="n"/>
      <c r="O175" s="86" t="n"/>
      <c r="P175" s="86" t="n"/>
      <c r="Q175" s="86" t="n"/>
      <c r="R175" s="86" t="n"/>
      <c r="S175" s="86" t="n"/>
      <c r="T175" s="86" t="n"/>
      <c r="U175" s="86" t="n"/>
      <c r="V175" s="86" t="n"/>
      <c r="W175" s="86" t="n"/>
      <c r="X175" s="8" t="n"/>
      <c r="Y175" s="8" t="n"/>
      <c r="Z175" s="8" t="n"/>
      <c r="AA175" s="86" t="n"/>
      <c r="AB175" s="87">
        <f>IFERROR(AA175/AF175,"")</f>
        <v/>
      </c>
      <c r="AC175" s="86" t="n"/>
      <c r="AD175" s="86" t="n"/>
      <c r="AE175" s="86" t="n"/>
      <c r="AF175" s="86" t="n"/>
      <c r="AG175" s="86" t="n"/>
      <c r="AH175" s="86" t="n"/>
      <c r="AI175" s="86" t="n"/>
      <c r="AJ175" s="86" t="n"/>
      <c r="AK175" s="86" t="n"/>
      <c r="AL175" s="86" t="n"/>
      <c r="AM175" s="86" t="n"/>
      <c r="AN175" s="86" t="n"/>
      <c r="AO175" s="11">
        <f>IFERROR(AC175/E175,"")</f>
        <v/>
      </c>
      <c r="AP175" s="11">
        <f>IFERROR(AD175/E175,"")</f>
        <v/>
      </c>
      <c r="AQ175" s="11">
        <f>IFERROR(AG175/E175,"")</f>
        <v/>
      </c>
      <c r="AR175" s="87">
        <f>IFERROR(AG175/AF175,"")</f>
        <v/>
      </c>
      <c r="AS175" s="87">
        <f>IFERROR(AH175/AF175,"")</f>
        <v/>
      </c>
      <c r="AT175" s="87">
        <f>IFERROR(AI175/AH175,"")</f>
        <v/>
      </c>
      <c r="AU175" s="87">
        <f>IFERROR(AN175/AH175,"")</f>
        <v/>
      </c>
      <c r="AV175" s="88" t="n"/>
      <c r="AW175" s="89" t="n"/>
      <c r="AX175" s="89" t="n"/>
      <c r="AY175" s="8" t="n"/>
      <c r="AZ175" s="8" t="n"/>
      <c r="BA175" s="8" t="n"/>
      <c r="BB175" s="8" t="n"/>
      <c r="BC175" s="90">
        <f>IFERROR(AG175/AC175,"")</f>
        <v/>
      </c>
      <c r="BD175" s="90">
        <f>IFERROR(AG175/(AC175+AA175),"")</f>
        <v/>
      </c>
      <c r="BE175" s="91" t="n"/>
      <c r="BF175" s="40" t="n"/>
    </row>
    <row r="176" ht="15" customHeight="1" s="67">
      <c r="A176" s="8" t="n"/>
      <c r="B176" s="86" t="n"/>
      <c r="C176" s="86" t="n"/>
      <c r="D176" s="86" t="n"/>
      <c r="E176" s="86" t="n"/>
      <c r="F176" s="86" t="n"/>
      <c r="G176" s="86" t="n"/>
      <c r="H176" s="86" t="n"/>
      <c r="I176" s="86" t="n"/>
      <c r="J176" s="86" t="n"/>
      <c r="K176" s="86" t="n"/>
      <c r="L176" s="86" t="n"/>
      <c r="M176" s="86" t="n"/>
      <c r="N176" s="86" t="n"/>
      <c r="O176" s="86" t="n"/>
      <c r="P176" s="86" t="n"/>
      <c r="Q176" s="86" t="n"/>
      <c r="R176" s="86" t="n"/>
      <c r="S176" s="86" t="n"/>
      <c r="T176" s="86" t="n"/>
      <c r="U176" s="86" t="n"/>
      <c r="V176" s="86" t="n"/>
      <c r="W176" s="86" t="n"/>
      <c r="X176" s="8" t="n"/>
      <c r="Y176" s="8" t="n"/>
      <c r="Z176" s="8" t="n"/>
      <c r="AA176" s="86" t="n"/>
      <c r="AB176" s="87">
        <f>IFERROR(AA176/AF176,"")</f>
        <v/>
      </c>
      <c r="AC176" s="86" t="n"/>
      <c r="AD176" s="86" t="n"/>
      <c r="AE176" s="86" t="n"/>
      <c r="AF176" s="86" t="n"/>
      <c r="AG176" s="86" t="n"/>
      <c r="AH176" s="86" t="n"/>
      <c r="AI176" s="86" t="n"/>
      <c r="AJ176" s="86" t="n"/>
      <c r="AK176" s="86" t="n"/>
      <c r="AL176" s="86" t="n"/>
      <c r="AM176" s="86" t="n"/>
      <c r="AN176" s="86" t="n"/>
      <c r="AO176" s="11">
        <f>IFERROR(AC176/E176,"")</f>
        <v/>
      </c>
      <c r="AP176" s="11">
        <f>IFERROR(AD176/E176,"")</f>
        <v/>
      </c>
      <c r="AQ176" s="11">
        <f>IFERROR(AG176/E176,"")</f>
        <v/>
      </c>
      <c r="AR176" s="87">
        <f>IFERROR(AG176/AF176,"")</f>
        <v/>
      </c>
      <c r="AS176" s="87">
        <f>IFERROR(AH176/AF176,"")</f>
        <v/>
      </c>
      <c r="AT176" s="87">
        <f>IFERROR(AI176/AH176,"")</f>
        <v/>
      </c>
      <c r="AU176" s="87">
        <f>IFERROR(AN176/AH176,"")</f>
        <v/>
      </c>
      <c r="AV176" s="88" t="n"/>
      <c r="AW176" s="89" t="n"/>
      <c r="AX176" s="89" t="n"/>
      <c r="AY176" s="8" t="n"/>
      <c r="AZ176" s="8" t="n"/>
      <c r="BA176" s="8" t="n"/>
      <c r="BB176" s="8" t="n"/>
      <c r="BC176" s="90">
        <f>IFERROR(AG176/AC176,"")</f>
        <v/>
      </c>
      <c r="BD176" s="90">
        <f>IFERROR(AG176/(AC176+AA176),"")</f>
        <v/>
      </c>
      <c r="BE176" s="91" t="n"/>
      <c r="BF176" s="40" t="n"/>
    </row>
    <row r="177" ht="15" customHeight="1" s="67">
      <c r="A177" s="8" t="n"/>
      <c r="B177" s="86" t="n"/>
      <c r="C177" s="86" t="n"/>
      <c r="D177" s="86" t="n"/>
      <c r="E177" s="86" t="n"/>
      <c r="F177" s="86" t="n"/>
      <c r="G177" s="86" t="n"/>
      <c r="H177" s="86" t="n"/>
      <c r="I177" s="86" t="n"/>
      <c r="J177" s="86" t="n"/>
      <c r="K177" s="86" t="n"/>
      <c r="L177" s="86" t="n"/>
      <c r="M177" s="86" t="n"/>
      <c r="N177" s="86" t="n"/>
      <c r="O177" s="86" t="n"/>
      <c r="P177" s="86" t="n"/>
      <c r="Q177" s="86" t="n"/>
      <c r="R177" s="86" t="n"/>
      <c r="S177" s="86" t="n"/>
      <c r="T177" s="86" t="n"/>
      <c r="U177" s="86" t="n"/>
      <c r="V177" s="86" t="n"/>
      <c r="W177" s="86" t="n"/>
      <c r="X177" s="8" t="n"/>
      <c r="Y177" s="8" t="n"/>
      <c r="Z177" s="8" t="n"/>
      <c r="AA177" s="86" t="n"/>
      <c r="AB177" s="87">
        <f>IFERROR(AA177/AF177,"")</f>
        <v/>
      </c>
      <c r="AC177" s="86" t="n"/>
      <c r="AD177" s="86" t="n"/>
      <c r="AE177" s="86" t="n"/>
      <c r="AF177" s="86" t="n"/>
      <c r="AG177" s="86" t="n"/>
      <c r="AH177" s="86" t="n"/>
      <c r="AI177" s="86" t="n"/>
      <c r="AJ177" s="86" t="n"/>
      <c r="AK177" s="86" t="n"/>
      <c r="AL177" s="86" t="n"/>
      <c r="AM177" s="86" t="n"/>
      <c r="AN177" s="86" t="n"/>
      <c r="AO177" s="11">
        <f>IFERROR(AC177/E177,"")</f>
        <v/>
      </c>
      <c r="AP177" s="11">
        <f>IFERROR(AD177/E177,"")</f>
        <v/>
      </c>
      <c r="AQ177" s="11">
        <f>IFERROR(AG177/E177,"")</f>
        <v/>
      </c>
      <c r="AR177" s="87">
        <f>IFERROR(AG177/AF177,"")</f>
        <v/>
      </c>
      <c r="AS177" s="87">
        <f>IFERROR(AH177/AF177,"")</f>
        <v/>
      </c>
      <c r="AT177" s="87">
        <f>IFERROR(AI177/AH177,"")</f>
        <v/>
      </c>
      <c r="AU177" s="87">
        <f>IFERROR(AN177/AH177,"")</f>
        <v/>
      </c>
      <c r="AV177" s="88" t="n"/>
      <c r="AW177" s="89" t="n"/>
      <c r="AX177" s="89" t="n"/>
      <c r="AY177" s="8" t="n"/>
      <c r="AZ177" s="8" t="n"/>
      <c r="BA177" s="8" t="n"/>
      <c r="BB177" s="8" t="n"/>
      <c r="BC177" s="90">
        <f>IFERROR(AG177/AC177,"")</f>
        <v/>
      </c>
      <c r="BD177" s="90">
        <f>IFERROR(AG177/(AC177+AA177),"")</f>
        <v/>
      </c>
      <c r="BE177" s="91" t="n"/>
      <c r="BF177" s="40" t="n"/>
    </row>
    <row r="178" ht="15" customHeight="1" s="67">
      <c r="A178" s="8" t="n"/>
      <c r="B178" s="86" t="n"/>
      <c r="C178" s="86" t="n"/>
      <c r="D178" s="86" t="n"/>
      <c r="E178" s="86" t="n"/>
      <c r="F178" s="86" t="n"/>
      <c r="G178" s="86" t="n"/>
      <c r="H178" s="86" t="n"/>
      <c r="I178" s="86" t="n"/>
      <c r="J178" s="86" t="n"/>
      <c r="K178" s="86" t="n"/>
      <c r="L178" s="86" t="n"/>
      <c r="M178" s="86" t="n"/>
      <c r="N178" s="86" t="n"/>
      <c r="O178" s="86" t="n"/>
      <c r="P178" s="86" t="n"/>
      <c r="Q178" s="86" t="n"/>
      <c r="R178" s="86" t="n"/>
      <c r="S178" s="86" t="n"/>
      <c r="T178" s="86" t="n"/>
      <c r="U178" s="86" t="n"/>
      <c r="V178" s="86" t="n"/>
      <c r="W178" s="86" t="n"/>
      <c r="X178" s="8" t="n"/>
      <c r="Y178" s="8" t="n"/>
      <c r="Z178" s="8" t="n"/>
      <c r="AA178" s="86" t="n"/>
      <c r="AB178" s="87">
        <f>IFERROR(AA178/AF178,"")</f>
        <v/>
      </c>
      <c r="AC178" s="86" t="n"/>
      <c r="AD178" s="86" t="n"/>
      <c r="AE178" s="86" t="n"/>
      <c r="AF178" s="86" t="n"/>
      <c r="AG178" s="86" t="n"/>
      <c r="AH178" s="86" t="n"/>
      <c r="AI178" s="86" t="n"/>
      <c r="AJ178" s="86" t="n"/>
      <c r="AK178" s="86" t="n"/>
      <c r="AL178" s="86" t="n"/>
      <c r="AM178" s="86" t="n"/>
      <c r="AN178" s="86" t="n"/>
      <c r="AO178" s="11">
        <f>IFERROR(AC178/E178,"")</f>
        <v/>
      </c>
      <c r="AP178" s="11">
        <f>IFERROR(AD178/E178,"")</f>
        <v/>
      </c>
      <c r="AQ178" s="11">
        <f>IFERROR(AG178/E178,"")</f>
        <v/>
      </c>
      <c r="AR178" s="87">
        <f>IFERROR(AG178/AF178,"")</f>
        <v/>
      </c>
      <c r="AS178" s="87">
        <f>IFERROR(AH178/AF178,"")</f>
        <v/>
      </c>
      <c r="AT178" s="87">
        <f>IFERROR(AI178/AH178,"")</f>
        <v/>
      </c>
      <c r="AU178" s="87">
        <f>IFERROR(AN178/AH178,"")</f>
        <v/>
      </c>
      <c r="AV178" s="88" t="n"/>
      <c r="AW178" s="89" t="n"/>
      <c r="AX178" s="89" t="n"/>
      <c r="AY178" s="8" t="n"/>
      <c r="AZ178" s="8" t="n"/>
      <c r="BA178" s="8" t="n"/>
      <c r="BB178" s="8" t="n"/>
      <c r="BC178" s="90">
        <f>IFERROR(AG178/AC178,"")</f>
        <v/>
      </c>
      <c r="BD178" s="90">
        <f>IFERROR(AG178/(AC178+AA178),"")</f>
        <v/>
      </c>
      <c r="BE178" s="91" t="n"/>
      <c r="BF178" s="40" t="n"/>
    </row>
    <row r="179" ht="15" customHeight="1" s="67">
      <c r="A179" s="8" t="n"/>
      <c r="B179" s="86" t="n"/>
      <c r="C179" s="86" t="n"/>
      <c r="D179" s="86" t="n"/>
      <c r="E179" s="86" t="n"/>
      <c r="F179" s="86" t="n"/>
      <c r="G179" s="86" t="n"/>
      <c r="H179" s="86" t="n"/>
      <c r="I179" s="86" t="n"/>
      <c r="J179" s="86" t="n"/>
      <c r="K179" s="86" t="n"/>
      <c r="L179" s="86" t="n"/>
      <c r="M179" s="86" t="n"/>
      <c r="N179" s="86" t="n"/>
      <c r="O179" s="86" t="n"/>
      <c r="P179" s="86" t="n"/>
      <c r="Q179" s="86" t="n"/>
      <c r="R179" s="86" t="n"/>
      <c r="S179" s="86" t="n"/>
      <c r="T179" s="86" t="n"/>
      <c r="U179" s="86" t="n"/>
      <c r="V179" s="86" t="n"/>
      <c r="W179" s="86" t="n"/>
      <c r="X179" s="8" t="n"/>
      <c r="Y179" s="8" t="n"/>
      <c r="Z179" s="8" t="n"/>
      <c r="AA179" s="86" t="n"/>
      <c r="AB179" s="87">
        <f>IFERROR(AA179/AF179,"")</f>
        <v/>
      </c>
      <c r="AC179" s="86" t="n"/>
      <c r="AD179" s="86" t="n"/>
      <c r="AE179" s="86" t="n"/>
      <c r="AF179" s="86" t="n"/>
      <c r="AG179" s="86" t="n"/>
      <c r="AH179" s="86" t="n"/>
      <c r="AI179" s="86" t="n"/>
      <c r="AJ179" s="86" t="n"/>
      <c r="AK179" s="86" t="n"/>
      <c r="AL179" s="86" t="n"/>
      <c r="AM179" s="86" t="n"/>
      <c r="AN179" s="86" t="n"/>
      <c r="AO179" s="11">
        <f>IFERROR(AC179/E179,"")</f>
        <v/>
      </c>
      <c r="AP179" s="11">
        <f>IFERROR(AD179/E179,"")</f>
        <v/>
      </c>
      <c r="AQ179" s="11">
        <f>IFERROR(AG179/E179,"")</f>
        <v/>
      </c>
      <c r="AR179" s="87">
        <f>IFERROR(AG179/AF179,"")</f>
        <v/>
      </c>
      <c r="AS179" s="87">
        <f>IFERROR(AH179/AF179,"")</f>
        <v/>
      </c>
      <c r="AT179" s="87">
        <f>IFERROR(AI179/AH179,"")</f>
        <v/>
      </c>
      <c r="AU179" s="87">
        <f>IFERROR(AN179/AH179,"")</f>
        <v/>
      </c>
      <c r="AV179" s="88" t="n"/>
      <c r="AW179" s="89" t="n"/>
      <c r="AX179" s="89" t="n"/>
      <c r="AY179" s="8" t="n"/>
      <c r="AZ179" s="8" t="n"/>
      <c r="BA179" s="8" t="n"/>
      <c r="BB179" s="8" t="n"/>
      <c r="BC179" s="90">
        <f>IFERROR(AG179/AC179,"")</f>
        <v/>
      </c>
      <c r="BD179" s="90">
        <f>IFERROR(AG179/(AC179+AA179),"")</f>
        <v/>
      </c>
      <c r="BE179" s="91" t="n"/>
      <c r="BF179" s="40" t="n"/>
    </row>
    <row r="180" ht="15" customHeight="1" s="67">
      <c r="A180" s="8" t="n"/>
      <c r="B180" s="86" t="n"/>
      <c r="C180" s="86" t="n"/>
      <c r="D180" s="86" t="n"/>
      <c r="E180" s="86" t="n"/>
      <c r="F180" s="86" t="n"/>
      <c r="G180" s="86" t="n"/>
      <c r="H180" s="86" t="n"/>
      <c r="I180" s="86" t="n"/>
      <c r="J180" s="86" t="n"/>
      <c r="K180" s="86" t="n"/>
      <c r="L180" s="86" t="n"/>
      <c r="M180" s="86" t="n"/>
      <c r="N180" s="86" t="n"/>
      <c r="O180" s="86" t="n"/>
      <c r="P180" s="86" t="n"/>
      <c r="Q180" s="86" t="n"/>
      <c r="R180" s="86" t="n"/>
      <c r="S180" s="86" t="n"/>
      <c r="T180" s="86" t="n"/>
      <c r="U180" s="86" t="n"/>
      <c r="V180" s="86" t="n"/>
      <c r="W180" s="86" t="n"/>
      <c r="X180" s="8" t="n"/>
      <c r="Y180" s="8" t="n"/>
      <c r="Z180" s="8" t="n"/>
      <c r="AA180" s="86" t="n"/>
      <c r="AB180" s="87">
        <f>IFERROR(AA180/AF180,"")</f>
        <v/>
      </c>
      <c r="AC180" s="86" t="n"/>
      <c r="AD180" s="86" t="n"/>
      <c r="AE180" s="86" t="n"/>
      <c r="AF180" s="86" t="n"/>
      <c r="AG180" s="86" t="n"/>
      <c r="AH180" s="86" t="n"/>
      <c r="AI180" s="86" t="n"/>
      <c r="AJ180" s="86" t="n"/>
      <c r="AK180" s="86" t="n"/>
      <c r="AL180" s="86" t="n"/>
      <c r="AM180" s="86" t="n"/>
      <c r="AN180" s="86" t="n"/>
      <c r="AO180" s="11">
        <f>IFERROR(AC180/E180,"")</f>
        <v/>
      </c>
      <c r="AP180" s="11">
        <f>IFERROR(AD180/E180,"")</f>
        <v/>
      </c>
      <c r="AQ180" s="11">
        <f>IFERROR(AG180/E180,"")</f>
        <v/>
      </c>
      <c r="AR180" s="87">
        <f>IFERROR(AG180/AF180,"")</f>
        <v/>
      </c>
      <c r="AS180" s="87">
        <f>IFERROR(AH180/AF180,"")</f>
        <v/>
      </c>
      <c r="AT180" s="87">
        <f>IFERROR(AI180/AH180,"")</f>
        <v/>
      </c>
      <c r="AU180" s="87">
        <f>IFERROR(AN180/AH180,"")</f>
        <v/>
      </c>
      <c r="AV180" s="88" t="n"/>
      <c r="AW180" s="89" t="n"/>
      <c r="AX180" s="89" t="n"/>
      <c r="AY180" s="8" t="n"/>
      <c r="AZ180" s="8" t="n"/>
      <c r="BA180" s="8" t="n"/>
      <c r="BB180" s="8" t="n"/>
      <c r="BC180" s="90">
        <f>IFERROR(AG180/AC180,"")</f>
        <v/>
      </c>
      <c r="BD180" s="90">
        <f>IFERROR(AG180/(AC180+AA180),"")</f>
        <v/>
      </c>
      <c r="BE180" s="91" t="n"/>
      <c r="BF180" s="40" t="n"/>
    </row>
    <row r="181" ht="15" customHeight="1" s="67">
      <c r="A181" s="8" t="n"/>
      <c r="B181" s="86" t="n"/>
      <c r="C181" s="86" t="n"/>
      <c r="D181" s="86" t="n"/>
      <c r="E181" s="86" t="n"/>
      <c r="F181" s="86" t="n"/>
      <c r="G181" s="86" t="n"/>
      <c r="H181" s="86" t="n"/>
      <c r="I181" s="86" t="n"/>
      <c r="J181" s="86" t="n"/>
      <c r="K181" s="86" t="n"/>
      <c r="L181" s="86" t="n"/>
      <c r="M181" s="86" t="n"/>
      <c r="N181" s="86" t="n"/>
      <c r="O181" s="86" t="n"/>
      <c r="P181" s="86" t="n"/>
      <c r="Q181" s="86" t="n"/>
      <c r="R181" s="86" t="n"/>
      <c r="S181" s="86" t="n"/>
      <c r="T181" s="86" t="n"/>
      <c r="U181" s="86" t="n"/>
      <c r="V181" s="86" t="n"/>
      <c r="W181" s="86" t="n"/>
      <c r="X181" s="8" t="n"/>
      <c r="Y181" s="8" t="n"/>
      <c r="Z181" s="8" t="n"/>
      <c r="AA181" s="86" t="n"/>
      <c r="AB181" s="87">
        <f>IFERROR(AA181/AF181,"")</f>
        <v/>
      </c>
      <c r="AC181" s="86" t="n"/>
      <c r="AD181" s="86" t="n"/>
      <c r="AE181" s="86" t="n"/>
      <c r="AF181" s="86" t="n"/>
      <c r="AG181" s="86" t="n"/>
      <c r="AH181" s="86" t="n"/>
      <c r="AI181" s="86" t="n"/>
      <c r="AJ181" s="86" t="n"/>
      <c r="AK181" s="86" t="n"/>
      <c r="AL181" s="86" t="n"/>
      <c r="AM181" s="86" t="n"/>
      <c r="AN181" s="86" t="n"/>
      <c r="AO181" s="11">
        <f>IFERROR(AC181/E181,"")</f>
        <v/>
      </c>
      <c r="AP181" s="11">
        <f>IFERROR(AD181/E181,"")</f>
        <v/>
      </c>
      <c r="AQ181" s="11">
        <f>IFERROR(AG181/E181,"")</f>
        <v/>
      </c>
      <c r="AR181" s="87">
        <f>IFERROR(AG181/AF181,"")</f>
        <v/>
      </c>
      <c r="AS181" s="87">
        <f>IFERROR(AH181/AF181,"")</f>
        <v/>
      </c>
      <c r="AT181" s="87">
        <f>IFERROR(AI181/AH181,"")</f>
        <v/>
      </c>
      <c r="AU181" s="87">
        <f>IFERROR(AN181/AH181,"")</f>
        <v/>
      </c>
      <c r="AV181" s="88" t="n"/>
      <c r="AW181" s="89" t="n"/>
      <c r="AX181" s="89" t="n"/>
      <c r="AY181" s="8" t="n"/>
      <c r="AZ181" s="8" t="n"/>
      <c r="BA181" s="8" t="n"/>
      <c r="BB181" s="8" t="n"/>
      <c r="BC181" s="90">
        <f>IFERROR(AG181/AC181,"")</f>
        <v/>
      </c>
      <c r="BD181" s="90">
        <f>IFERROR(AG181/(AC181+AA181),"")</f>
        <v/>
      </c>
      <c r="BE181" s="91" t="n"/>
      <c r="BF181" s="40" t="n"/>
    </row>
    <row r="182" ht="15" customHeight="1" s="67">
      <c r="A182" s="8" t="n"/>
      <c r="B182" s="86" t="n"/>
      <c r="C182" s="86" t="n"/>
      <c r="D182" s="86" t="n"/>
      <c r="E182" s="86" t="n"/>
      <c r="F182" s="86" t="n"/>
      <c r="G182" s="86" t="n"/>
      <c r="H182" s="86" t="n"/>
      <c r="I182" s="86" t="n"/>
      <c r="J182" s="86" t="n"/>
      <c r="K182" s="86" t="n"/>
      <c r="L182" s="86" t="n"/>
      <c r="M182" s="86" t="n"/>
      <c r="N182" s="86" t="n"/>
      <c r="O182" s="86" t="n"/>
      <c r="P182" s="86" t="n"/>
      <c r="Q182" s="86" t="n"/>
      <c r="R182" s="86" t="n"/>
      <c r="S182" s="86" t="n"/>
      <c r="T182" s="86" t="n"/>
      <c r="U182" s="86" t="n"/>
      <c r="V182" s="86" t="n"/>
      <c r="W182" s="86" t="n"/>
      <c r="X182" s="8" t="n"/>
      <c r="Y182" s="8" t="n"/>
      <c r="Z182" s="8" t="n"/>
      <c r="AA182" s="86" t="n"/>
      <c r="AB182" s="87">
        <f>IFERROR(AA182/AF182,"")</f>
        <v/>
      </c>
      <c r="AC182" s="86" t="n"/>
      <c r="AD182" s="86" t="n"/>
      <c r="AE182" s="86" t="n"/>
      <c r="AF182" s="86" t="n"/>
      <c r="AG182" s="86" t="n"/>
      <c r="AH182" s="86" t="n"/>
      <c r="AI182" s="86" t="n"/>
      <c r="AJ182" s="86" t="n"/>
      <c r="AK182" s="86" t="n"/>
      <c r="AL182" s="86" t="n"/>
      <c r="AM182" s="86" t="n"/>
      <c r="AN182" s="86" t="n"/>
      <c r="AO182" s="11">
        <f>IFERROR(AC182/E182,"")</f>
        <v/>
      </c>
      <c r="AP182" s="11">
        <f>IFERROR(AD182/E182,"")</f>
        <v/>
      </c>
      <c r="AQ182" s="11">
        <f>IFERROR(AG182/E182,"")</f>
        <v/>
      </c>
      <c r="AR182" s="87">
        <f>IFERROR(AG182/AF182,"")</f>
        <v/>
      </c>
      <c r="AS182" s="87">
        <f>IFERROR(AH182/AF182,"")</f>
        <v/>
      </c>
      <c r="AT182" s="87">
        <f>IFERROR(AI182/AH182,"")</f>
        <v/>
      </c>
      <c r="AU182" s="87">
        <f>IFERROR(AN182/AH182,"")</f>
        <v/>
      </c>
      <c r="AV182" s="88" t="n"/>
      <c r="AW182" s="89" t="n"/>
      <c r="AX182" s="89" t="n"/>
      <c r="AY182" s="8" t="n"/>
      <c r="AZ182" s="8" t="n"/>
      <c r="BA182" s="8" t="n"/>
      <c r="BB182" s="8" t="n"/>
      <c r="BC182" s="90">
        <f>IFERROR(AG182/AC182,"")</f>
        <v/>
      </c>
      <c r="BD182" s="90">
        <f>IFERROR(AG182/(AC182+AA182),"")</f>
        <v/>
      </c>
      <c r="BE182" s="91" t="n"/>
      <c r="BF182" s="40" t="n"/>
    </row>
    <row r="183" ht="15" customHeight="1" s="67">
      <c r="A183" s="8" t="n"/>
      <c r="B183" s="86" t="n"/>
      <c r="C183" s="86" t="n"/>
      <c r="D183" s="86" t="n"/>
      <c r="E183" s="86" t="n"/>
      <c r="F183" s="86" t="n"/>
      <c r="G183" s="86" t="n"/>
      <c r="H183" s="86" t="n"/>
      <c r="I183" s="86" t="n"/>
      <c r="J183" s="86" t="n"/>
      <c r="K183" s="86" t="n"/>
      <c r="L183" s="86" t="n"/>
      <c r="M183" s="86" t="n"/>
      <c r="N183" s="86" t="n"/>
      <c r="O183" s="86" t="n"/>
      <c r="P183" s="86" t="n"/>
      <c r="Q183" s="86" t="n"/>
      <c r="R183" s="86" t="n"/>
      <c r="S183" s="86" t="n"/>
      <c r="T183" s="86" t="n"/>
      <c r="U183" s="86" t="n"/>
      <c r="V183" s="86" t="n"/>
      <c r="W183" s="86" t="n"/>
      <c r="X183" s="8" t="n"/>
      <c r="Y183" s="8" t="n"/>
      <c r="Z183" s="8" t="n"/>
      <c r="AA183" s="86" t="n"/>
      <c r="AB183" s="87">
        <f>IFERROR(AA183/AF183,"")</f>
        <v/>
      </c>
      <c r="AC183" s="86" t="n"/>
      <c r="AD183" s="86" t="n"/>
      <c r="AE183" s="86" t="n"/>
      <c r="AF183" s="86" t="n"/>
      <c r="AG183" s="86" t="n"/>
      <c r="AH183" s="86" t="n"/>
      <c r="AI183" s="86" t="n"/>
      <c r="AJ183" s="86" t="n"/>
      <c r="AK183" s="86" t="n"/>
      <c r="AL183" s="86" t="n"/>
      <c r="AM183" s="86" t="n"/>
      <c r="AN183" s="86" t="n"/>
      <c r="AO183" s="11">
        <f>IFERROR(AC183/E183,"")</f>
        <v/>
      </c>
      <c r="AP183" s="11">
        <f>IFERROR(AD183/E183,"")</f>
        <v/>
      </c>
      <c r="AQ183" s="11">
        <f>IFERROR(AG183/E183,"")</f>
        <v/>
      </c>
      <c r="AR183" s="87">
        <f>IFERROR(AG183/AF183,"")</f>
        <v/>
      </c>
      <c r="AS183" s="87">
        <f>IFERROR(AH183/AF183,"")</f>
        <v/>
      </c>
      <c r="AT183" s="87">
        <f>IFERROR(AI183/AH183,"")</f>
        <v/>
      </c>
      <c r="AU183" s="87">
        <f>IFERROR(AN183/AH183,"")</f>
        <v/>
      </c>
      <c r="AV183" s="88" t="n"/>
      <c r="AW183" s="89" t="n"/>
      <c r="AX183" s="89" t="n"/>
      <c r="AY183" s="8" t="n"/>
      <c r="AZ183" s="8" t="n"/>
      <c r="BA183" s="8" t="n"/>
      <c r="BB183" s="8" t="n"/>
      <c r="BC183" s="90">
        <f>IFERROR(AG183/AC183,"")</f>
        <v/>
      </c>
      <c r="BD183" s="90">
        <f>IFERROR(AG183/(AC183+AA183),"")</f>
        <v/>
      </c>
      <c r="BE183" s="91" t="n"/>
      <c r="BF183" s="40" t="n"/>
    </row>
    <row r="184" ht="15" customHeight="1" s="67">
      <c r="A184" s="8" t="n"/>
      <c r="B184" s="86" t="n"/>
      <c r="C184" s="86" t="n"/>
      <c r="D184" s="86" t="n"/>
      <c r="E184" s="86" t="n"/>
      <c r="F184" s="86" t="n"/>
      <c r="G184" s="86" t="n"/>
      <c r="H184" s="86" t="n"/>
      <c r="I184" s="86" t="n"/>
      <c r="J184" s="86" t="n"/>
      <c r="K184" s="86" t="n"/>
      <c r="L184" s="86" t="n"/>
      <c r="M184" s="86" t="n"/>
      <c r="N184" s="86" t="n"/>
      <c r="O184" s="86" t="n"/>
      <c r="P184" s="86" t="n"/>
      <c r="Q184" s="86" t="n"/>
      <c r="R184" s="86" t="n"/>
      <c r="S184" s="86" t="n"/>
      <c r="T184" s="86" t="n"/>
      <c r="U184" s="86" t="n"/>
      <c r="V184" s="86" t="n"/>
      <c r="W184" s="86" t="n"/>
      <c r="X184" s="8" t="n"/>
      <c r="Y184" s="8" t="n"/>
      <c r="Z184" s="8" t="n"/>
      <c r="AA184" s="86" t="n"/>
      <c r="AB184" s="87">
        <f>IFERROR(AA184/AF184,"")</f>
        <v/>
      </c>
      <c r="AC184" s="86" t="n"/>
      <c r="AD184" s="86" t="n"/>
      <c r="AE184" s="86" t="n"/>
      <c r="AF184" s="86" t="n"/>
      <c r="AG184" s="86" t="n"/>
      <c r="AH184" s="86" t="n"/>
      <c r="AI184" s="86" t="n"/>
      <c r="AJ184" s="86" t="n"/>
      <c r="AK184" s="86" t="n"/>
      <c r="AL184" s="86" t="n"/>
      <c r="AM184" s="86" t="n"/>
      <c r="AN184" s="86" t="n"/>
      <c r="AO184" s="11">
        <f>IFERROR(AC184/E184,"")</f>
        <v/>
      </c>
      <c r="AP184" s="11">
        <f>IFERROR(AD184/E184,"")</f>
        <v/>
      </c>
      <c r="AQ184" s="11">
        <f>IFERROR(AG184/E184,"")</f>
        <v/>
      </c>
      <c r="AR184" s="87">
        <f>IFERROR(AG184/AF184,"")</f>
        <v/>
      </c>
      <c r="AS184" s="87">
        <f>IFERROR(AH184/AF184,"")</f>
        <v/>
      </c>
      <c r="AT184" s="87">
        <f>IFERROR(AI184/AH184,"")</f>
        <v/>
      </c>
      <c r="AU184" s="87">
        <f>IFERROR(AN184/AH184,"")</f>
        <v/>
      </c>
      <c r="AV184" s="88" t="n"/>
      <c r="AW184" s="89" t="n"/>
      <c r="AX184" s="89" t="n"/>
      <c r="AY184" s="8" t="n"/>
      <c r="AZ184" s="8" t="n"/>
      <c r="BA184" s="8" t="n"/>
      <c r="BB184" s="8" t="n"/>
      <c r="BC184" s="90">
        <f>IFERROR(AG184/AC184,"")</f>
        <v/>
      </c>
      <c r="BD184" s="90">
        <f>IFERROR(AG184/(AC184+AA184),"")</f>
        <v/>
      </c>
      <c r="BE184" s="91" t="n"/>
      <c r="BF184" s="40" t="n"/>
    </row>
    <row r="185" ht="15" customHeight="1" s="67">
      <c r="A185" s="8" t="n"/>
      <c r="B185" s="86" t="n"/>
      <c r="C185" s="86" t="n"/>
      <c r="D185" s="86" t="n"/>
      <c r="E185" s="86" t="n"/>
      <c r="F185" s="86" t="n"/>
      <c r="G185" s="86" t="n"/>
      <c r="H185" s="86" t="n"/>
      <c r="I185" s="86" t="n"/>
      <c r="J185" s="86" t="n"/>
      <c r="K185" s="86" t="n"/>
      <c r="L185" s="86" t="n"/>
      <c r="M185" s="86" t="n"/>
      <c r="N185" s="86" t="n"/>
      <c r="O185" s="86" t="n"/>
      <c r="P185" s="86" t="n"/>
      <c r="Q185" s="86" t="n"/>
      <c r="R185" s="86" t="n"/>
      <c r="S185" s="86" t="n"/>
      <c r="T185" s="86" t="n"/>
      <c r="U185" s="86" t="n"/>
      <c r="V185" s="86" t="n"/>
      <c r="W185" s="86" t="n"/>
      <c r="X185" s="8" t="n"/>
      <c r="Y185" s="8" t="n"/>
      <c r="Z185" s="8" t="n"/>
      <c r="AA185" s="86" t="n"/>
      <c r="AB185" s="87">
        <f>IFERROR(AA185/AF185,"")</f>
        <v/>
      </c>
      <c r="AC185" s="86" t="n"/>
      <c r="AD185" s="86" t="n"/>
      <c r="AE185" s="86" t="n"/>
      <c r="AF185" s="86" t="n"/>
      <c r="AG185" s="86" t="n"/>
      <c r="AH185" s="86" t="n"/>
      <c r="AI185" s="86" t="n"/>
      <c r="AJ185" s="86" t="n"/>
      <c r="AK185" s="86" t="n"/>
      <c r="AL185" s="86" t="n"/>
      <c r="AM185" s="86" t="n"/>
      <c r="AN185" s="86" t="n"/>
      <c r="AO185" s="11">
        <f>IFERROR(AC185/E185,"")</f>
        <v/>
      </c>
      <c r="AP185" s="11">
        <f>IFERROR(AD185/E185,"")</f>
        <v/>
      </c>
      <c r="AQ185" s="11">
        <f>IFERROR(AG185/E185,"")</f>
        <v/>
      </c>
      <c r="AR185" s="87">
        <f>IFERROR(AG185/AF185,"")</f>
        <v/>
      </c>
      <c r="AS185" s="87">
        <f>IFERROR(AH185/AF185,"")</f>
        <v/>
      </c>
      <c r="AT185" s="87">
        <f>IFERROR(AI185/AH185,"")</f>
        <v/>
      </c>
      <c r="AU185" s="87">
        <f>IFERROR(AN185/AH185,"")</f>
        <v/>
      </c>
      <c r="AV185" s="88" t="n"/>
      <c r="AW185" s="89" t="n"/>
      <c r="AX185" s="89" t="n"/>
      <c r="AY185" s="8" t="n"/>
      <c r="AZ185" s="8" t="n"/>
      <c r="BA185" s="8" t="n"/>
      <c r="BB185" s="8" t="n"/>
      <c r="BC185" s="90">
        <f>IFERROR(AG185/AC185,"")</f>
        <v/>
      </c>
      <c r="BD185" s="90">
        <f>IFERROR(AG185/(AC185+AA185),"")</f>
        <v/>
      </c>
      <c r="BE185" s="91" t="n"/>
      <c r="BF185" s="40" t="n"/>
    </row>
    <row r="186" ht="15" customHeight="1" s="67">
      <c r="A186" s="8" t="n"/>
      <c r="B186" s="86" t="n"/>
      <c r="C186" s="86" t="n"/>
      <c r="D186" s="86" t="n"/>
      <c r="E186" s="86" t="n"/>
      <c r="F186" s="86" t="n"/>
      <c r="G186" s="86" t="n"/>
      <c r="H186" s="86" t="n"/>
      <c r="I186" s="86" t="n"/>
      <c r="J186" s="86" t="n"/>
      <c r="K186" s="86" t="n"/>
      <c r="L186" s="86" t="n"/>
      <c r="M186" s="86" t="n"/>
      <c r="N186" s="86" t="n"/>
      <c r="O186" s="86" t="n"/>
      <c r="P186" s="86" t="n"/>
      <c r="Q186" s="86" t="n"/>
      <c r="R186" s="86" t="n"/>
      <c r="S186" s="86" t="n"/>
      <c r="T186" s="86" t="n"/>
      <c r="U186" s="86" t="n"/>
      <c r="V186" s="86" t="n"/>
      <c r="W186" s="86" t="n"/>
      <c r="X186" s="8" t="n"/>
      <c r="Y186" s="8" t="n"/>
      <c r="Z186" s="8" t="n"/>
      <c r="AA186" s="86" t="n"/>
      <c r="AB186" s="87">
        <f>IFERROR(AA186/AF186,"")</f>
        <v/>
      </c>
      <c r="AC186" s="86" t="n"/>
      <c r="AD186" s="86" t="n"/>
      <c r="AE186" s="86" t="n"/>
      <c r="AF186" s="86" t="n"/>
      <c r="AG186" s="86" t="n"/>
      <c r="AH186" s="86" t="n"/>
      <c r="AI186" s="86" t="n"/>
      <c r="AJ186" s="86" t="n"/>
      <c r="AK186" s="86" t="n"/>
      <c r="AL186" s="86" t="n"/>
      <c r="AM186" s="86" t="n"/>
      <c r="AN186" s="86" t="n"/>
      <c r="AO186" s="11">
        <f>IFERROR(AC186/E186,"")</f>
        <v/>
      </c>
      <c r="AP186" s="11">
        <f>IFERROR(AD186/E186,"")</f>
        <v/>
      </c>
      <c r="AQ186" s="11">
        <f>IFERROR(AG186/E186,"")</f>
        <v/>
      </c>
      <c r="AR186" s="87">
        <f>IFERROR(AG186/AF186,"")</f>
        <v/>
      </c>
      <c r="AS186" s="87">
        <f>IFERROR(AH186/AF186,"")</f>
        <v/>
      </c>
      <c r="AT186" s="87">
        <f>IFERROR(AI186/AH186,"")</f>
        <v/>
      </c>
      <c r="AU186" s="87">
        <f>IFERROR(AN186/AH186,"")</f>
        <v/>
      </c>
      <c r="AV186" s="88" t="n"/>
      <c r="AW186" s="89" t="n"/>
      <c r="AX186" s="89" t="n"/>
      <c r="AY186" s="8" t="n"/>
      <c r="AZ186" s="8" t="n"/>
      <c r="BA186" s="8" t="n"/>
      <c r="BB186" s="8" t="n"/>
      <c r="BC186" s="90">
        <f>IFERROR(AG186/AC186,"")</f>
        <v/>
      </c>
      <c r="BD186" s="90">
        <f>IFERROR(AG186/(AC186+AA186),"")</f>
        <v/>
      </c>
      <c r="BE186" s="91" t="n"/>
      <c r="BF186" s="40" t="n"/>
    </row>
    <row r="187" ht="15" customHeight="1" s="67">
      <c r="A187" s="8" t="n"/>
      <c r="B187" s="86" t="n"/>
      <c r="C187" s="86" t="n"/>
      <c r="D187" s="86" t="n"/>
      <c r="E187" s="86" t="n"/>
      <c r="F187" s="86" t="n"/>
      <c r="G187" s="86" t="n"/>
      <c r="H187" s="86" t="n"/>
      <c r="I187" s="86" t="n"/>
      <c r="J187" s="86" t="n"/>
      <c r="K187" s="86" t="n"/>
      <c r="L187" s="86" t="n"/>
      <c r="M187" s="86" t="n"/>
      <c r="N187" s="86" t="n"/>
      <c r="O187" s="86" t="n"/>
      <c r="P187" s="86" t="n"/>
      <c r="Q187" s="86" t="n"/>
      <c r="R187" s="86" t="n"/>
      <c r="S187" s="86" t="n"/>
      <c r="T187" s="86" t="n"/>
      <c r="U187" s="86" t="n"/>
      <c r="V187" s="86" t="n"/>
      <c r="W187" s="86" t="n"/>
      <c r="X187" s="8" t="n"/>
      <c r="Y187" s="8" t="n"/>
      <c r="Z187" s="8" t="n"/>
      <c r="AA187" s="86" t="n"/>
      <c r="AB187" s="87">
        <f>IFERROR(AA187/AF187,"")</f>
        <v/>
      </c>
      <c r="AC187" s="86" t="n"/>
      <c r="AD187" s="86" t="n"/>
      <c r="AE187" s="86" t="n"/>
      <c r="AF187" s="86" t="n"/>
      <c r="AG187" s="86" t="n"/>
      <c r="AH187" s="86" t="n"/>
      <c r="AI187" s="86" t="n"/>
      <c r="AJ187" s="86" t="n"/>
      <c r="AK187" s="86" t="n"/>
      <c r="AL187" s="86" t="n"/>
      <c r="AM187" s="86" t="n"/>
      <c r="AN187" s="86" t="n"/>
      <c r="AO187" s="11">
        <f>IFERROR(AC187/E187,"")</f>
        <v/>
      </c>
      <c r="AP187" s="11">
        <f>IFERROR(AD187/E187,"")</f>
        <v/>
      </c>
      <c r="AQ187" s="11">
        <f>IFERROR(AG187/E187,"")</f>
        <v/>
      </c>
      <c r="AR187" s="87">
        <f>IFERROR(AG187/AF187,"")</f>
        <v/>
      </c>
      <c r="AS187" s="87">
        <f>IFERROR(AH187/AF187,"")</f>
        <v/>
      </c>
      <c r="AT187" s="87">
        <f>IFERROR(AI187/AH187,"")</f>
        <v/>
      </c>
      <c r="AU187" s="87">
        <f>IFERROR(AN187/AH187,"")</f>
        <v/>
      </c>
      <c r="AV187" s="88" t="n"/>
      <c r="AW187" s="89" t="n"/>
      <c r="AX187" s="89" t="n"/>
      <c r="AY187" s="8" t="n"/>
      <c r="AZ187" s="8" t="n"/>
      <c r="BA187" s="8" t="n"/>
      <c r="BB187" s="8" t="n"/>
      <c r="BC187" s="90">
        <f>IFERROR(AG187/AC187,"")</f>
        <v/>
      </c>
      <c r="BD187" s="90">
        <f>IFERROR(AG187/(AC187+AA187),"")</f>
        <v/>
      </c>
      <c r="BE187" s="91" t="n"/>
      <c r="BF187" s="40" t="n"/>
    </row>
    <row r="188" ht="15" customHeight="1" s="67">
      <c r="A188" s="8" t="n"/>
      <c r="B188" s="86" t="n"/>
      <c r="C188" s="86" t="n"/>
      <c r="D188" s="86" t="n"/>
      <c r="E188" s="86" t="n"/>
      <c r="F188" s="86" t="n"/>
      <c r="G188" s="86" t="n"/>
      <c r="H188" s="86" t="n"/>
      <c r="I188" s="86" t="n"/>
      <c r="J188" s="86" t="n"/>
      <c r="K188" s="86" t="n"/>
      <c r="L188" s="86" t="n"/>
      <c r="M188" s="86" t="n"/>
      <c r="N188" s="86" t="n"/>
      <c r="O188" s="86" t="n"/>
      <c r="P188" s="86" t="n"/>
      <c r="Q188" s="86" t="n"/>
      <c r="R188" s="86" t="n"/>
      <c r="S188" s="86" t="n"/>
      <c r="T188" s="86" t="n"/>
      <c r="U188" s="86" t="n"/>
      <c r="V188" s="86" t="n"/>
      <c r="W188" s="86" t="n"/>
      <c r="X188" s="8" t="n"/>
      <c r="Y188" s="8" t="n"/>
      <c r="Z188" s="8" t="n"/>
      <c r="AA188" s="86" t="n"/>
      <c r="AB188" s="87">
        <f>IFERROR(AA188/AF188,"")</f>
        <v/>
      </c>
      <c r="AC188" s="86" t="n"/>
      <c r="AD188" s="86" t="n"/>
      <c r="AE188" s="86" t="n"/>
      <c r="AF188" s="86" t="n"/>
      <c r="AG188" s="86" t="n"/>
      <c r="AH188" s="86" t="n"/>
      <c r="AI188" s="86" t="n"/>
      <c r="AJ188" s="86" t="n"/>
      <c r="AK188" s="86" t="n"/>
      <c r="AL188" s="86" t="n"/>
      <c r="AM188" s="86" t="n"/>
      <c r="AN188" s="86" t="n"/>
      <c r="AO188" s="11">
        <f>IFERROR(AC188/E188,"")</f>
        <v/>
      </c>
      <c r="AP188" s="11">
        <f>IFERROR(AD188/E188,"")</f>
        <v/>
      </c>
      <c r="AQ188" s="11">
        <f>IFERROR(AG188/E188,"")</f>
        <v/>
      </c>
      <c r="AR188" s="87">
        <f>IFERROR(AG188/AF188,"")</f>
        <v/>
      </c>
      <c r="AS188" s="87">
        <f>IFERROR(AH188/AF188,"")</f>
        <v/>
      </c>
      <c r="AT188" s="87">
        <f>IFERROR(AI188/AH188,"")</f>
        <v/>
      </c>
      <c r="AU188" s="87">
        <f>IFERROR(AN188/AH188,"")</f>
        <v/>
      </c>
      <c r="AV188" s="88" t="n"/>
      <c r="AW188" s="89" t="n"/>
      <c r="AX188" s="89" t="n"/>
      <c r="AY188" s="8" t="n"/>
      <c r="AZ188" s="8" t="n"/>
      <c r="BA188" s="8" t="n"/>
      <c r="BB188" s="8" t="n"/>
      <c r="BC188" s="90">
        <f>IFERROR(AG188/AC188,"")</f>
        <v/>
      </c>
      <c r="BD188" s="90">
        <f>IFERROR(AG188/(AC188+AA188),"")</f>
        <v/>
      </c>
      <c r="BE188" s="91" t="n"/>
      <c r="BF188" s="40" t="n"/>
    </row>
    <row r="189" ht="15" customHeight="1" s="67">
      <c r="A189" s="8" t="n"/>
      <c r="B189" s="86" t="n"/>
      <c r="C189" s="86" t="n"/>
      <c r="D189" s="86" t="n"/>
      <c r="E189" s="86" t="n"/>
      <c r="F189" s="86" t="n"/>
      <c r="G189" s="86" t="n"/>
      <c r="H189" s="86" t="n"/>
      <c r="I189" s="86" t="n"/>
      <c r="J189" s="86" t="n"/>
      <c r="K189" s="86" t="n"/>
      <c r="L189" s="86" t="n"/>
      <c r="M189" s="86" t="n"/>
      <c r="N189" s="86" t="n"/>
      <c r="O189" s="86" t="n"/>
      <c r="P189" s="86" t="n"/>
      <c r="Q189" s="86" t="n"/>
      <c r="R189" s="86" t="n"/>
      <c r="S189" s="86" t="n"/>
      <c r="T189" s="86" t="n"/>
      <c r="U189" s="86" t="n"/>
      <c r="V189" s="86" t="n"/>
      <c r="W189" s="86" t="n"/>
      <c r="X189" s="8" t="n"/>
      <c r="Y189" s="8" t="n"/>
      <c r="Z189" s="8" t="n"/>
      <c r="AA189" s="86" t="n"/>
      <c r="AB189" s="87">
        <f>IFERROR(AA189/AF189,"")</f>
        <v/>
      </c>
      <c r="AC189" s="86" t="n"/>
      <c r="AD189" s="86" t="n"/>
      <c r="AE189" s="86" t="n"/>
      <c r="AF189" s="86" t="n"/>
      <c r="AG189" s="86" t="n"/>
      <c r="AH189" s="86" t="n"/>
      <c r="AI189" s="86" t="n"/>
      <c r="AJ189" s="86" t="n"/>
      <c r="AK189" s="86" t="n"/>
      <c r="AL189" s="86" t="n"/>
      <c r="AM189" s="86" t="n"/>
      <c r="AN189" s="86" t="n"/>
      <c r="AO189" s="11">
        <f>IFERROR(AC189/E189,"")</f>
        <v/>
      </c>
      <c r="AP189" s="11">
        <f>IFERROR(AD189/E189,"")</f>
        <v/>
      </c>
      <c r="AQ189" s="11">
        <f>IFERROR(AG189/E189,"")</f>
        <v/>
      </c>
      <c r="AR189" s="87">
        <f>IFERROR(AG189/AF189,"")</f>
        <v/>
      </c>
      <c r="AS189" s="87">
        <f>IFERROR(AH189/AF189,"")</f>
        <v/>
      </c>
      <c r="AT189" s="87">
        <f>IFERROR(AI189/AH189,"")</f>
        <v/>
      </c>
      <c r="AU189" s="87">
        <f>IFERROR(AN189/AH189,"")</f>
        <v/>
      </c>
      <c r="AV189" s="88" t="n"/>
      <c r="AW189" s="89" t="n"/>
      <c r="AX189" s="89" t="n"/>
      <c r="AY189" s="8" t="n"/>
      <c r="AZ189" s="8" t="n"/>
      <c r="BA189" s="8" t="n"/>
      <c r="BB189" s="8" t="n"/>
      <c r="BC189" s="90">
        <f>IFERROR(AG189/AC189,"")</f>
        <v/>
      </c>
      <c r="BD189" s="90">
        <f>IFERROR(AG189/(AC189+AA189),"")</f>
        <v/>
      </c>
      <c r="BE189" s="91" t="n"/>
      <c r="BF189" s="40" t="n"/>
    </row>
    <row r="190" ht="15" customHeight="1" s="67">
      <c r="A190" s="8" t="n"/>
      <c r="B190" s="86" t="n"/>
      <c r="C190" s="86" t="n"/>
      <c r="D190" s="86" t="n"/>
      <c r="E190" s="86" t="n"/>
      <c r="F190" s="86" t="n"/>
      <c r="G190" s="86" t="n"/>
      <c r="H190" s="86" t="n"/>
      <c r="I190" s="86" t="n"/>
      <c r="J190" s="86" t="n"/>
      <c r="K190" s="86" t="n"/>
      <c r="L190" s="86" t="n"/>
      <c r="M190" s="86" t="n"/>
      <c r="N190" s="86" t="n"/>
      <c r="O190" s="86" t="n"/>
      <c r="P190" s="86" t="n"/>
      <c r="Q190" s="86" t="n"/>
      <c r="R190" s="86" t="n"/>
      <c r="S190" s="86" t="n"/>
      <c r="T190" s="86" t="n"/>
      <c r="U190" s="86" t="n"/>
      <c r="V190" s="86" t="n"/>
      <c r="W190" s="86" t="n"/>
      <c r="X190" s="8" t="n"/>
      <c r="Y190" s="8" t="n"/>
      <c r="Z190" s="8" t="n"/>
      <c r="AA190" s="86" t="n"/>
      <c r="AB190" s="87">
        <f>IFERROR(AA190/AF190,"")</f>
        <v/>
      </c>
      <c r="AC190" s="86" t="n"/>
      <c r="AD190" s="86" t="n"/>
      <c r="AE190" s="86" t="n"/>
      <c r="AF190" s="86" t="n"/>
      <c r="AG190" s="86" t="n"/>
      <c r="AH190" s="86" t="n"/>
      <c r="AI190" s="86" t="n"/>
      <c r="AJ190" s="86" t="n"/>
      <c r="AK190" s="86" t="n"/>
      <c r="AL190" s="86" t="n"/>
      <c r="AM190" s="86" t="n"/>
      <c r="AN190" s="86" t="n"/>
      <c r="AO190" s="11">
        <f>IFERROR(AC190/E190,"")</f>
        <v/>
      </c>
      <c r="AP190" s="11">
        <f>IFERROR(AD190/E190,"")</f>
        <v/>
      </c>
      <c r="AQ190" s="11">
        <f>IFERROR(AG190/E190,"")</f>
        <v/>
      </c>
      <c r="AR190" s="87">
        <f>IFERROR(AG190/AF190,"")</f>
        <v/>
      </c>
      <c r="AS190" s="87">
        <f>IFERROR(AH190/AF190,"")</f>
        <v/>
      </c>
      <c r="AT190" s="87">
        <f>IFERROR(AI190/AH190,"")</f>
        <v/>
      </c>
      <c r="AU190" s="87">
        <f>IFERROR(AN190/AH190,"")</f>
        <v/>
      </c>
      <c r="AV190" s="88" t="n"/>
      <c r="AW190" s="89" t="n"/>
      <c r="AX190" s="89" t="n"/>
      <c r="AY190" s="8" t="n"/>
      <c r="AZ190" s="8" t="n"/>
      <c r="BA190" s="8" t="n"/>
      <c r="BB190" s="8" t="n"/>
      <c r="BC190" s="90">
        <f>IFERROR(AG190/AC190,"")</f>
        <v/>
      </c>
      <c r="BD190" s="90">
        <f>IFERROR(AG190/(AC190+AA190),"")</f>
        <v/>
      </c>
      <c r="BE190" s="91" t="n"/>
      <c r="BF190" s="40" t="n"/>
    </row>
    <row r="191" ht="15" customHeight="1" s="67">
      <c r="A191" s="8" t="n"/>
      <c r="B191" s="86" t="n"/>
      <c r="C191" s="86" t="n"/>
      <c r="D191" s="86" t="n"/>
      <c r="E191" s="86" t="n"/>
      <c r="F191" s="86" t="n"/>
      <c r="G191" s="86" t="n"/>
      <c r="H191" s="86" t="n"/>
      <c r="I191" s="86" t="n"/>
      <c r="J191" s="86" t="n"/>
      <c r="K191" s="86" t="n"/>
      <c r="L191" s="86" t="n"/>
      <c r="M191" s="86" t="n"/>
      <c r="N191" s="86" t="n"/>
      <c r="O191" s="86" t="n"/>
      <c r="P191" s="86" t="n"/>
      <c r="Q191" s="86" t="n"/>
      <c r="R191" s="86" t="n"/>
      <c r="S191" s="86" t="n"/>
      <c r="T191" s="86" t="n"/>
      <c r="U191" s="86" t="n"/>
      <c r="V191" s="86" t="n"/>
      <c r="W191" s="86" t="n"/>
      <c r="X191" s="8" t="n"/>
      <c r="Y191" s="8" t="n"/>
      <c r="Z191" s="8" t="n"/>
      <c r="AA191" s="86" t="n"/>
      <c r="AB191" s="87">
        <f>IFERROR(AA191/AF191,"")</f>
        <v/>
      </c>
      <c r="AC191" s="86" t="n"/>
      <c r="AD191" s="86" t="n"/>
      <c r="AE191" s="86" t="n"/>
      <c r="AF191" s="86" t="n"/>
      <c r="AG191" s="86" t="n"/>
      <c r="AH191" s="86" t="n"/>
      <c r="AI191" s="86" t="n"/>
      <c r="AJ191" s="86" t="n"/>
      <c r="AK191" s="86" t="n"/>
      <c r="AL191" s="86" t="n"/>
      <c r="AM191" s="86" t="n"/>
      <c r="AN191" s="86" t="n"/>
      <c r="AO191" s="11">
        <f>IFERROR(AC191/E191,"")</f>
        <v/>
      </c>
      <c r="AP191" s="11">
        <f>IFERROR(AD191/E191,"")</f>
        <v/>
      </c>
      <c r="AQ191" s="11">
        <f>IFERROR(AG191/E191,"")</f>
        <v/>
      </c>
      <c r="AR191" s="87">
        <f>IFERROR(AG191/AF191,"")</f>
        <v/>
      </c>
      <c r="AS191" s="87">
        <f>IFERROR(AH191/AF191,"")</f>
        <v/>
      </c>
      <c r="AT191" s="87">
        <f>IFERROR(AI191/AH191,"")</f>
        <v/>
      </c>
      <c r="AU191" s="87">
        <f>IFERROR(AN191/AH191,"")</f>
        <v/>
      </c>
      <c r="AV191" s="88" t="n"/>
      <c r="AW191" s="89" t="n"/>
      <c r="AX191" s="89" t="n"/>
      <c r="AY191" s="8" t="n"/>
      <c r="AZ191" s="8" t="n"/>
      <c r="BA191" s="8" t="n"/>
      <c r="BB191" s="8" t="n"/>
      <c r="BC191" s="90">
        <f>IFERROR(AG191/AC191,"")</f>
        <v/>
      </c>
      <c r="BD191" s="90">
        <f>IFERROR(AG191/(AC191+AA191),"")</f>
        <v/>
      </c>
      <c r="BE191" s="91" t="n"/>
      <c r="BF191" s="40" t="n"/>
    </row>
    <row r="192" ht="15" customHeight="1" s="67">
      <c r="A192" s="8" t="n"/>
      <c r="B192" s="86" t="n"/>
      <c r="C192" s="86" t="n"/>
      <c r="D192" s="86" t="n"/>
      <c r="E192" s="86" t="n"/>
      <c r="F192" s="86" t="n"/>
      <c r="G192" s="86" t="n"/>
      <c r="H192" s="86" t="n"/>
      <c r="I192" s="86" t="n"/>
      <c r="J192" s="86" t="n"/>
      <c r="K192" s="86" t="n"/>
      <c r="L192" s="86" t="n"/>
      <c r="M192" s="86" t="n"/>
      <c r="N192" s="86" t="n"/>
      <c r="O192" s="86" t="n"/>
      <c r="P192" s="86" t="n"/>
      <c r="Q192" s="86" t="n"/>
      <c r="R192" s="86" t="n"/>
      <c r="S192" s="86" t="n"/>
      <c r="T192" s="86" t="n"/>
      <c r="U192" s="86" t="n"/>
      <c r="V192" s="86" t="n"/>
      <c r="W192" s="86" t="n"/>
      <c r="X192" s="8" t="n"/>
      <c r="Y192" s="8" t="n"/>
      <c r="Z192" s="8" t="n"/>
      <c r="AA192" s="86" t="n"/>
      <c r="AB192" s="87">
        <f>IFERROR(AA192/AF192,"")</f>
        <v/>
      </c>
      <c r="AC192" s="86" t="n"/>
      <c r="AD192" s="86" t="n"/>
      <c r="AE192" s="86" t="n"/>
      <c r="AF192" s="86" t="n"/>
      <c r="AG192" s="86" t="n"/>
      <c r="AH192" s="86" t="n"/>
      <c r="AI192" s="86" t="n"/>
      <c r="AJ192" s="86" t="n"/>
      <c r="AK192" s="86" t="n"/>
      <c r="AL192" s="86" t="n"/>
      <c r="AM192" s="86" t="n"/>
      <c r="AN192" s="86" t="n"/>
      <c r="AO192" s="11">
        <f>IFERROR(AC192/E192,"")</f>
        <v/>
      </c>
      <c r="AP192" s="11">
        <f>IFERROR(AD192/E192,"")</f>
        <v/>
      </c>
      <c r="AQ192" s="11">
        <f>IFERROR(AG192/E192,"")</f>
        <v/>
      </c>
      <c r="AR192" s="87">
        <f>IFERROR(AG192/AF192,"")</f>
        <v/>
      </c>
      <c r="AS192" s="87">
        <f>IFERROR(AH192/AF192,"")</f>
        <v/>
      </c>
      <c r="AT192" s="87">
        <f>IFERROR(AI192/AH192,"")</f>
        <v/>
      </c>
      <c r="AU192" s="87">
        <f>IFERROR(AN192/AH192,"")</f>
        <v/>
      </c>
      <c r="AV192" s="88" t="n"/>
      <c r="AW192" s="89" t="n"/>
      <c r="AX192" s="89" t="n"/>
      <c r="AY192" s="8" t="n"/>
      <c r="AZ192" s="8" t="n"/>
      <c r="BA192" s="8" t="n"/>
      <c r="BB192" s="8" t="n"/>
      <c r="BC192" s="90">
        <f>IFERROR(AG192/AC192,"")</f>
        <v/>
      </c>
      <c r="BD192" s="90">
        <f>IFERROR(AG192/(AC192+AA192),"")</f>
        <v/>
      </c>
      <c r="BE192" s="91" t="n"/>
      <c r="BF192" s="40" t="n"/>
    </row>
    <row r="193" ht="15" customHeight="1" s="67">
      <c r="A193" s="8" t="n"/>
      <c r="B193" s="86" t="n"/>
      <c r="C193" s="86" t="n"/>
      <c r="D193" s="86" t="n"/>
      <c r="E193" s="86" t="n"/>
      <c r="F193" s="86" t="n"/>
      <c r="G193" s="86" t="n"/>
      <c r="H193" s="86" t="n"/>
      <c r="I193" s="86" t="n"/>
      <c r="J193" s="86" t="n"/>
      <c r="K193" s="86" t="n"/>
      <c r="L193" s="86" t="n"/>
      <c r="M193" s="86" t="n"/>
      <c r="N193" s="86" t="n"/>
      <c r="O193" s="86" t="n"/>
      <c r="P193" s="86" t="n"/>
      <c r="Q193" s="86" t="n"/>
      <c r="R193" s="86" t="n"/>
      <c r="S193" s="86" t="n"/>
      <c r="T193" s="86" t="n"/>
      <c r="U193" s="86" t="n"/>
      <c r="V193" s="86" t="n"/>
      <c r="W193" s="86" t="n"/>
      <c r="X193" s="8" t="n"/>
      <c r="Y193" s="8" t="n"/>
      <c r="Z193" s="8" t="n"/>
      <c r="AA193" s="86" t="n"/>
      <c r="AB193" s="87">
        <f>IFERROR(AA193/AF193,"")</f>
        <v/>
      </c>
      <c r="AC193" s="86" t="n"/>
      <c r="AD193" s="86" t="n"/>
      <c r="AE193" s="86" t="n"/>
      <c r="AF193" s="86" t="n"/>
      <c r="AG193" s="86" t="n"/>
      <c r="AH193" s="86" t="n"/>
      <c r="AI193" s="86" t="n"/>
      <c r="AJ193" s="86" t="n"/>
      <c r="AK193" s="86" t="n"/>
      <c r="AL193" s="86" t="n"/>
      <c r="AM193" s="86" t="n"/>
      <c r="AN193" s="86" t="n"/>
      <c r="AO193" s="11">
        <f>IFERROR(AC193/E193,"")</f>
        <v/>
      </c>
      <c r="AP193" s="11">
        <f>IFERROR(AD193/E193,"")</f>
        <v/>
      </c>
      <c r="AQ193" s="11">
        <f>IFERROR(AG193/E193,"")</f>
        <v/>
      </c>
      <c r="AR193" s="87">
        <f>IFERROR(AG193/AF193,"")</f>
        <v/>
      </c>
      <c r="AS193" s="87">
        <f>IFERROR(AH193/AF193,"")</f>
        <v/>
      </c>
      <c r="AT193" s="87">
        <f>IFERROR(AI193/AH193,"")</f>
        <v/>
      </c>
      <c r="AU193" s="87">
        <f>IFERROR(AN193/AH193,"")</f>
        <v/>
      </c>
      <c r="AV193" s="88" t="n"/>
      <c r="AW193" s="89" t="n"/>
      <c r="AX193" s="89" t="n"/>
      <c r="AY193" s="8" t="n"/>
      <c r="AZ193" s="8" t="n"/>
      <c r="BA193" s="8" t="n"/>
      <c r="BB193" s="8" t="n"/>
      <c r="BC193" s="90">
        <f>IFERROR(AG193/AC193,"")</f>
        <v/>
      </c>
      <c r="BD193" s="90">
        <f>IFERROR(AG193/(AC193+AA193),"")</f>
        <v/>
      </c>
      <c r="BE193" s="91" t="n"/>
      <c r="BF193" s="40" t="n"/>
    </row>
    <row r="194" ht="15" customHeight="1" s="67">
      <c r="A194" s="8" t="n"/>
      <c r="B194" s="86" t="n"/>
      <c r="C194" s="86" t="n"/>
      <c r="D194" s="86" t="n"/>
      <c r="E194" s="86" t="n"/>
      <c r="F194" s="86" t="n"/>
      <c r="G194" s="86" t="n"/>
      <c r="H194" s="86" t="n"/>
      <c r="I194" s="86" t="n"/>
      <c r="J194" s="86" t="n"/>
      <c r="K194" s="86" t="n"/>
      <c r="L194" s="86" t="n"/>
      <c r="M194" s="86" t="n"/>
      <c r="N194" s="86" t="n"/>
      <c r="O194" s="86" t="n"/>
      <c r="P194" s="86" t="n"/>
      <c r="Q194" s="86" t="n"/>
      <c r="R194" s="86" t="n"/>
      <c r="S194" s="86" t="n"/>
      <c r="T194" s="86" t="n"/>
      <c r="U194" s="86" t="n"/>
      <c r="V194" s="86" t="n"/>
      <c r="W194" s="86" t="n"/>
      <c r="X194" s="8" t="n"/>
      <c r="Y194" s="8" t="n"/>
      <c r="Z194" s="8" t="n"/>
      <c r="AA194" s="86" t="n"/>
      <c r="AB194" s="87">
        <f>IFERROR(AA194/AF194,"")</f>
        <v/>
      </c>
      <c r="AC194" s="86" t="n"/>
      <c r="AD194" s="86" t="n"/>
      <c r="AE194" s="86" t="n"/>
      <c r="AF194" s="86" t="n"/>
      <c r="AG194" s="86" t="n"/>
      <c r="AH194" s="86" t="n"/>
      <c r="AI194" s="86" t="n"/>
      <c r="AJ194" s="86" t="n"/>
      <c r="AK194" s="86" t="n"/>
      <c r="AL194" s="86" t="n"/>
      <c r="AM194" s="86" t="n"/>
      <c r="AN194" s="86" t="n"/>
      <c r="AO194" s="11">
        <f>IFERROR(AC194/E194,"")</f>
        <v/>
      </c>
      <c r="AP194" s="11">
        <f>IFERROR(AD194/E194,"")</f>
        <v/>
      </c>
      <c r="AQ194" s="11">
        <f>IFERROR(AG194/E194,"")</f>
        <v/>
      </c>
      <c r="AR194" s="87">
        <f>IFERROR(AG194/AF194,"")</f>
        <v/>
      </c>
      <c r="AS194" s="87">
        <f>IFERROR(AH194/AF194,"")</f>
        <v/>
      </c>
      <c r="AT194" s="87">
        <f>IFERROR(AI194/AH194,"")</f>
        <v/>
      </c>
      <c r="AU194" s="87">
        <f>IFERROR(AN194/AH194,"")</f>
        <v/>
      </c>
      <c r="AV194" s="88" t="n"/>
      <c r="AW194" s="89" t="n"/>
      <c r="AX194" s="89" t="n"/>
      <c r="AY194" s="8" t="n"/>
      <c r="AZ194" s="8" t="n"/>
      <c r="BA194" s="8" t="n"/>
      <c r="BB194" s="8" t="n"/>
      <c r="BC194" s="90">
        <f>IFERROR(AG194/AC194,"")</f>
        <v/>
      </c>
      <c r="BD194" s="90">
        <f>IFERROR(AG194/(AC194+AA194),"")</f>
        <v/>
      </c>
      <c r="BE194" s="91" t="n"/>
      <c r="BF194" s="40" t="n"/>
    </row>
    <row r="195" ht="15" customHeight="1" s="67">
      <c r="A195" s="8" t="n"/>
      <c r="B195" s="86" t="n"/>
      <c r="C195" s="86" t="n"/>
      <c r="D195" s="86" t="n"/>
      <c r="E195" s="86" t="n"/>
      <c r="F195" s="86" t="n"/>
      <c r="G195" s="86" t="n"/>
      <c r="H195" s="86" t="n"/>
      <c r="I195" s="86" t="n"/>
      <c r="J195" s="86" t="n"/>
      <c r="K195" s="86" t="n"/>
      <c r="L195" s="86" t="n"/>
      <c r="M195" s="86" t="n"/>
      <c r="N195" s="86" t="n"/>
      <c r="O195" s="86" t="n"/>
      <c r="P195" s="86" t="n"/>
      <c r="Q195" s="86" t="n"/>
      <c r="R195" s="86" t="n"/>
      <c r="S195" s="86" t="n"/>
      <c r="T195" s="86" t="n"/>
      <c r="U195" s="86" t="n"/>
      <c r="V195" s="86" t="n"/>
      <c r="W195" s="86" t="n"/>
      <c r="X195" s="8" t="n"/>
      <c r="Y195" s="8" t="n"/>
      <c r="Z195" s="8" t="n"/>
      <c r="AA195" s="86" t="n"/>
      <c r="AB195" s="87">
        <f>IFERROR(AA195/AF195,"")</f>
        <v/>
      </c>
      <c r="AC195" s="86" t="n"/>
      <c r="AD195" s="86" t="n"/>
      <c r="AE195" s="86" t="n"/>
      <c r="AF195" s="86" t="n"/>
      <c r="AG195" s="86" t="n"/>
      <c r="AH195" s="86" t="n"/>
      <c r="AI195" s="86" t="n"/>
      <c r="AJ195" s="86" t="n"/>
      <c r="AK195" s="86" t="n"/>
      <c r="AL195" s="86" t="n"/>
      <c r="AM195" s="86" t="n"/>
      <c r="AN195" s="86" t="n"/>
      <c r="AO195" s="11">
        <f>IFERROR(AC195/E195,"")</f>
        <v/>
      </c>
      <c r="AP195" s="11">
        <f>IFERROR(AD195/E195,"")</f>
        <v/>
      </c>
      <c r="AQ195" s="11">
        <f>IFERROR(AG195/E195,"")</f>
        <v/>
      </c>
      <c r="AR195" s="87">
        <f>IFERROR(AG195/AF195,"")</f>
        <v/>
      </c>
      <c r="AS195" s="87">
        <f>IFERROR(AH195/AF195,"")</f>
        <v/>
      </c>
      <c r="AT195" s="87">
        <f>IFERROR(AI195/AH195,"")</f>
        <v/>
      </c>
      <c r="AU195" s="87">
        <f>IFERROR(AN195/AH195,"")</f>
        <v/>
      </c>
      <c r="AV195" s="88" t="n"/>
      <c r="AW195" s="89" t="n"/>
      <c r="AX195" s="89" t="n"/>
      <c r="AY195" s="8" t="n"/>
      <c r="AZ195" s="8" t="n"/>
      <c r="BA195" s="8" t="n"/>
      <c r="BB195" s="8" t="n"/>
      <c r="BC195" s="90">
        <f>IFERROR(AG195/AC195,"")</f>
        <v/>
      </c>
      <c r="BD195" s="90">
        <f>IFERROR(AG195/(AC195+AA195),"")</f>
        <v/>
      </c>
      <c r="BE195" s="91" t="n"/>
      <c r="BF195" s="40" t="n"/>
    </row>
    <row r="196" ht="15" customHeight="1" s="67">
      <c r="A196" s="8" t="n"/>
      <c r="B196" s="86" t="n"/>
      <c r="C196" s="86" t="n"/>
      <c r="D196" s="86" t="n"/>
      <c r="E196" s="86" t="n"/>
      <c r="F196" s="86" t="n"/>
      <c r="G196" s="86" t="n"/>
      <c r="H196" s="86" t="n"/>
      <c r="I196" s="86" t="n"/>
      <c r="J196" s="86" t="n"/>
      <c r="K196" s="86" t="n"/>
      <c r="L196" s="86" t="n"/>
      <c r="M196" s="86" t="n"/>
      <c r="N196" s="86" t="n"/>
      <c r="O196" s="86" t="n"/>
      <c r="P196" s="86" t="n"/>
      <c r="Q196" s="86" t="n"/>
      <c r="R196" s="86" t="n"/>
      <c r="S196" s="86" t="n"/>
      <c r="T196" s="86" t="n"/>
      <c r="U196" s="86" t="n"/>
      <c r="V196" s="86" t="n"/>
      <c r="W196" s="86" t="n"/>
      <c r="X196" s="8" t="n"/>
      <c r="Y196" s="8" t="n"/>
      <c r="Z196" s="8" t="n"/>
      <c r="AA196" s="86" t="n"/>
      <c r="AB196" s="87">
        <f>IFERROR(AA196/AF196,"")</f>
        <v/>
      </c>
      <c r="AC196" s="86" t="n"/>
      <c r="AD196" s="86" t="n"/>
      <c r="AE196" s="86" t="n"/>
      <c r="AF196" s="86" t="n"/>
      <c r="AG196" s="86" t="n"/>
      <c r="AH196" s="86" t="n"/>
      <c r="AI196" s="86" t="n"/>
      <c r="AJ196" s="86" t="n"/>
      <c r="AK196" s="86" t="n"/>
      <c r="AL196" s="86" t="n"/>
      <c r="AM196" s="86" t="n"/>
      <c r="AN196" s="86" t="n"/>
      <c r="AO196" s="11">
        <f>IFERROR(AC196/E196,"")</f>
        <v/>
      </c>
      <c r="AP196" s="11">
        <f>IFERROR(AD196/E196,"")</f>
        <v/>
      </c>
      <c r="AQ196" s="11">
        <f>IFERROR(AG196/E196,"")</f>
        <v/>
      </c>
      <c r="AR196" s="87">
        <f>IFERROR(AG196/AF196,"")</f>
        <v/>
      </c>
      <c r="AS196" s="87">
        <f>IFERROR(AH196/AF196,"")</f>
        <v/>
      </c>
      <c r="AT196" s="87">
        <f>IFERROR(AI196/AH196,"")</f>
        <v/>
      </c>
      <c r="AU196" s="87">
        <f>IFERROR(AN196/AH196,"")</f>
        <v/>
      </c>
      <c r="AV196" s="88" t="n"/>
      <c r="AW196" s="89" t="n"/>
      <c r="AX196" s="89" t="n"/>
      <c r="AY196" s="8" t="n"/>
      <c r="AZ196" s="8" t="n"/>
      <c r="BA196" s="8" t="n"/>
      <c r="BB196" s="8" t="n"/>
      <c r="BC196" s="90">
        <f>IFERROR(AG196/AC196,"")</f>
        <v/>
      </c>
      <c r="BD196" s="90">
        <f>IFERROR(AG196/(AC196+AA196),"")</f>
        <v/>
      </c>
      <c r="BE196" s="91" t="n"/>
      <c r="BF196" s="40" t="n"/>
    </row>
    <row r="197" ht="15" customHeight="1" s="67">
      <c r="A197" s="8" t="n"/>
      <c r="B197" s="86" t="n"/>
      <c r="C197" s="86" t="n"/>
      <c r="D197" s="86" t="n"/>
      <c r="E197" s="86" t="n"/>
      <c r="F197" s="86" t="n"/>
      <c r="G197" s="86" t="n"/>
      <c r="H197" s="86" t="n"/>
      <c r="I197" s="86" t="n"/>
      <c r="J197" s="86" t="n"/>
      <c r="K197" s="86" t="n"/>
      <c r="L197" s="86" t="n"/>
      <c r="M197" s="86" t="n"/>
      <c r="N197" s="86" t="n"/>
      <c r="O197" s="86" t="n"/>
      <c r="P197" s="86" t="n"/>
      <c r="Q197" s="86" t="n"/>
      <c r="R197" s="86" t="n"/>
      <c r="S197" s="86" t="n"/>
      <c r="T197" s="86" t="n"/>
      <c r="U197" s="86" t="n"/>
      <c r="V197" s="86" t="n"/>
      <c r="W197" s="86" t="n"/>
      <c r="X197" s="8" t="n"/>
      <c r="Y197" s="8" t="n"/>
      <c r="Z197" s="8" t="n"/>
      <c r="AA197" s="86" t="n"/>
      <c r="AB197" s="87">
        <f>IFERROR(AA197/AF197,"")</f>
        <v/>
      </c>
      <c r="AC197" s="86" t="n"/>
      <c r="AD197" s="86" t="n"/>
      <c r="AE197" s="86" t="n"/>
      <c r="AF197" s="86" t="n"/>
      <c r="AG197" s="86" t="n"/>
      <c r="AH197" s="86" t="n"/>
      <c r="AI197" s="86" t="n"/>
      <c r="AJ197" s="86" t="n"/>
      <c r="AK197" s="86" t="n"/>
      <c r="AL197" s="86" t="n"/>
      <c r="AM197" s="86" t="n"/>
      <c r="AN197" s="86" t="n"/>
      <c r="AO197" s="11">
        <f>IFERROR(AC197/E197,"")</f>
        <v/>
      </c>
      <c r="AP197" s="11">
        <f>IFERROR(AD197/E197,"")</f>
        <v/>
      </c>
      <c r="AQ197" s="11">
        <f>IFERROR(AG197/E197,"")</f>
        <v/>
      </c>
      <c r="AR197" s="87">
        <f>IFERROR(AG197/AF197,"")</f>
        <v/>
      </c>
      <c r="AS197" s="87">
        <f>IFERROR(AH197/AF197,"")</f>
        <v/>
      </c>
      <c r="AT197" s="87">
        <f>IFERROR(AI197/AH197,"")</f>
        <v/>
      </c>
      <c r="AU197" s="87">
        <f>IFERROR(AN197/AH197,"")</f>
        <v/>
      </c>
      <c r="AV197" s="88" t="n"/>
      <c r="AW197" s="89" t="n"/>
      <c r="AX197" s="89" t="n"/>
      <c r="AY197" s="8" t="n"/>
      <c r="AZ197" s="8" t="n"/>
      <c r="BA197" s="8" t="n"/>
      <c r="BB197" s="8" t="n"/>
      <c r="BC197" s="90">
        <f>IFERROR(AG197/AC197,"")</f>
        <v/>
      </c>
      <c r="BD197" s="90">
        <f>IFERROR(AG197/(AC197+AA197),"")</f>
        <v/>
      </c>
      <c r="BE197" s="91" t="n"/>
      <c r="BF197" s="40" t="n"/>
    </row>
    <row r="198" ht="15" customHeight="1" s="67">
      <c r="A198" s="8" t="n"/>
      <c r="B198" s="86" t="n"/>
      <c r="C198" s="86" t="n"/>
      <c r="D198" s="86" t="n"/>
      <c r="E198" s="86" t="n"/>
      <c r="F198" s="86" t="n"/>
      <c r="G198" s="86" t="n"/>
      <c r="H198" s="86" t="n"/>
      <c r="I198" s="86" t="n"/>
      <c r="J198" s="86" t="n"/>
      <c r="K198" s="86" t="n"/>
      <c r="L198" s="86" t="n"/>
      <c r="M198" s="86" t="n"/>
      <c r="N198" s="86" t="n"/>
      <c r="O198" s="86" t="n"/>
      <c r="P198" s="86" t="n"/>
      <c r="Q198" s="86" t="n"/>
      <c r="R198" s="86" t="n"/>
      <c r="S198" s="86" t="n"/>
      <c r="T198" s="86" t="n"/>
      <c r="U198" s="86" t="n"/>
      <c r="V198" s="86" t="n"/>
      <c r="W198" s="86" t="n"/>
      <c r="X198" s="8" t="n"/>
      <c r="Y198" s="8" t="n"/>
      <c r="Z198" s="8" t="n"/>
      <c r="AA198" s="86" t="n"/>
      <c r="AB198" s="87">
        <f>IFERROR(AA198/AF198,"")</f>
        <v/>
      </c>
      <c r="AC198" s="86" t="n"/>
      <c r="AD198" s="86" t="n"/>
      <c r="AE198" s="86" t="n"/>
      <c r="AF198" s="86" t="n"/>
      <c r="AG198" s="86" t="n"/>
      <c r="AH198" s="86" t="n"/>
      <c r="AI198" s="86" t="n"/>
      <c r="AJ198" s="86" t="n"/>
      <c r="AK198" s="86" t="n"/>
      <c r="AL198" s="86" t="n"/>
      <c r="AM198" s="86" t="n"/>
      <c r="AN198" s="86" t="n"/>
      <c r="AO198" s="11">
        <f>IFERROR(AC198/E198,"")</f>
        <v/>
      </c>
      <c r="AP198" s="11">
        <f>IFERROR(AD198/E198,"")</f>
        <v/>
      </c>
      <c r="AQ198" s="11">
        <f>IFERROR(AG198/E198,"")</f>
        <v/>
      </c>
      <c r="AR198" s="87">
        <f>IFERROR(AG198/AF198,"")</f>
        <v/>
      </c>
      <c r="AS198" s="87">
        <f>IFERROR(AH198/AF198,"")</f>
        <v/>
      </c>
      <c r="AT198" s="87">
        <f>IFERROR(AI198/AH198,"")</f>
        <v/>
      </c>
      <c r="AU198" s="87">
        <f>IFERROR(AN198/AH198,"")</f>
        <v/>
      </c>
      <c r="AV198" s="88" t="n"/>
      <c r="AW198" s="89" t="n"/>
      <c r="AX198" s="89" t="n"/>
      <c r="AY198" s="8" t="n"/>
      <c r="AZ198" s="8" t="n"/>
      <c r="BA198" s="8" t="n"/>
      <c r="BB198" s="8" t="n"/>
      <c r="BC198" s="90">
        <f>IFERROR(AG198/AC198,"")</f>
        <v/>
      </c>
      <c r="BD198" s="90">
        <f>IFERROR(AG198/(AC198+AA198),"")</f>
        <v/>
      </c>
      <c r="BE198" s="91" t="n"/>
      <c r="BF198" s="40" t="n"/>
    </row>
    <row r="199" ht="15" customHeight="1" s="67">
      <c r="A199" s="8" t="n"/>
      <c r="B199" s="86" t="n"/>
      <c r="C199" s="86" t="n"/>
      <c r="D199" s="86" t="n"/>
      <c r="E199" s="86" t="n"/>
      <c r="F199" s="86" t="n"/>
      <c r="G199" s="86" t="n"/>
      <c r="H199" s="86" t="n"/>
      <c r="I199" s="86" t="n"/>
      <c r="J199" s="86" t="n"/>
      <c r="K199" s="86" t="n"/>
      <c r="L199" s="86" t="n"/>
      <c r="M199" s="86" t="n"/>
      <c r="N199" s="86" t="n"/>
      <c r="O199" s="86" t="n"/>
      <c r="P199" s="86" t="n"/>
      <c r="Q199" s="86" t="n"/>
      <c r="R199" s="86" t="n"/>
      <c r="S199" s="86" t="n"/>
      <c r="T199" s="86" t="n"/>
      <c r="U199" s="86" t="n"/>
      <c r="V199" s="86" t="n"/>
      <c r="W199" s="86" t="n"/>
      <c r="X199" s="8" t="n"/>
      <c r="Y199" s="8" t="n"/>
      <c r="Z199" s="8" t="n"/>
      <c r="AA199" s="86" t="n"/>
      <c r="AB199" s="87">
        <f>IFERROR(AA199/AF199,"")</f>
        <v/>
      </c>
      <c r="AC199" s="86" t="n"/>
      <c r="AD199" s="86" t="n"/>
      <c r="AE199" s="86" t="n"/>
      <c r="AF199" s="86" t="n"/>
      <c r="AG199" s="86" t="n"/>
      <c r="AH199" s="86" t="n"/>
      <c r="AI199" s="86" t="n"/>
      <c r="AJ199" s="86" t="n"/>
      <c r="AK199" s="86" t="n"/>
      <c r="AL199" s="86" t="n"/>
      <c r="AM199" s="86" t="n"/>
      <c r="AN199" s="86" t="n"/>
      <c r="AO199" s="11">
        <f>IFERROR(AC199/E199,"")</f>
        <v/>
      </c>
      <c r="AP199" s="11">
        <f>IFERROR(AD199/E199,"")</f>
        <v/>
      </c>
      <c r="AQ199" s="11">
        <f>IFERROR(AG199/E199,"")</f>
        <v/>
      </c>
      <c r="AR199" s="87">
        <f>IFERROR(AG199/AF199,"")</f>
        <v/>
      </c>
      <c r="AS199" s="87">
        <f>IFERROR(AH199/AF199,"")</f>
        <v/>
      </c>
      <c r="AT199" s="87">
        <f>IFERROR(AI199/AH199,"")</f>
        <v/>
      </c>
      <c r="AU199" s="87">
        <f>IFERROR(AN199/AH199,"")</f>
        <v/>
      </c>
      <c r="AV199" s="88" t="n"/>
      <c r="AW199" s="89" t="n"/>
      <c r="AX199" s="89" t="n"/>
      <c r="AY199" s="8" t="n"/>
      <c r="AZ199" s="8" t="n"/>
      <c r="BA199" s="8" t="n"/>
      <c r="BB199" s="8" t="n"/>
      <c r="BC199" s="90">
        <f>IFERROR(AG199/AC199,"")</f>
        <v/>
      </c>
      <c r="BD199" s="90">
        <f>IFERROR(AG199/(AC199+AA199),"")</f>
        <v/>
      </c>
      <c r="BE199" s="91" t="n"/>
      <c r="BF199" s="40" t="n"/>
    </row>
    <row r="200" ht="15" customHeight="1" s="67">
      <c r="A200" s="8" t="n"/>
      <c r="B200" s="86" t="n"/>
      <c r="C200" s="86" t="n"/>
      <c r="D200" s="86" t="n"/>
      <c r="E200" s="86" t="n"/>
      <c r="F200" s="86" t="n"/>
      <c r="G200" s="86" t="n"/>
      <c r="H200" s="86" t="n"/>
      <c r="I200" s="86" t="n"/>
      <c r="J200" s="86" t="n"/>
      <c r="K200" s="86" t="n"/>
      <c r="L200" s="86" t="n"/>
      <c r="M200" s="86" t="n"/>
      <c r="N200" s="86" t="n"/>
      <c r="O200" s="86" t="n"/>
      <c r="P200" s="86" t="n"/>
      <c r="Q200" s="86" t="n"/>
      <c r="R200" s="86" t="n"/>
      <c r="S200" s="86" t="n"/>
      <c r="T200" s="86" t="n"/>
      <c r="U200" s="86" t="n"/>
      <c r="V200" s="86" t="n"/>
      <c r="W200" s="86" t="n"/>
      <c r="X200" s="8" t="n"/>
      <c r="Y200" s="8" t="n"/>
      <c r="Z200" s="8" t="n"/>
      <c r="AA200" s="86" t="n"/>
      <c r="AB200" s="87">
        <f>IFERROR(AA200/AF200,"")</f>
        <v/>
      </c>
      <c r="AC200" s="86" t="n"/>
      <c r="AD200" s="86" t="n"/>
      <c r="AE200" s="86" t="n"/>
      <c r="AF200" s="86" t="n"/>
      <c r="AG200" s="86" t="n"/>
      <c r="AH200" s="86" t="n"/>
      <c r="AI200" s="86" t="n"/>
      <c r="AJ200" s="86" t="n"/>
      <c r="AK200" s="86" t="n"/>
      <c r="AL200" s="86" t="n"/>
      <c r="AM200" s="86" t="n"/>
      <c r="AN200" s="86" t="n"/>
      <c r="AO200" s="11">
        <f>IFERROR(AC200/E200,"")</f>
        <v/>
      </c>
      <c r="AP200" s="11">
        <f>IFERROR(AD200/E200,"")</f>
        <v/>
      </c>
      <c r="AQ200" s="11">
        <f>IFERROR(AG200/E200,"")</f>
        <v/>
      </c>
      <c r="AR200" s="87">
        <f>IFERROR(AG200/AF200,"")</f>
        <v/>
      </c>
      <c r="AS200" s="87">
        <f>IFERROR(AH200/AF200,"")</f>
        <v/>
      </c>
      <c r="AT200" s="87">
        <f>IFERROR(AI200/AH200,"")</f>
        <v/>
      </c>
      <c r="AU200" s="87">
        <f>IFERROR(AN200/AH200,"")</f>
        <v/>
      </c>
      <c r="AV200" s="88" t="n"/>
      <c r="AW200" s="89" t="n"/>
      <c r="AX200" s="89" t="n"/>
      <c r="AY200" s="8" t="n"/>
      <c r="AZ200" s="8" t="n"/>
      <c r="BA200" s="8" t="n"/>
      <c r="BB200" s="8" t="n"/>
      <c r="BC200" s="90">
        <f>IFERROR(AG200/AC200,"")</f>
        <v/>
      </c>
      <c r="BD200" s="90">
        <f>IFERROR(AG200/(AC200+AA200),"")</f>
        <v/>
      </c>
      <c r="BE200" s="91" t="n"/>
      <c r="BF200" s="40" t="n"/>
    </row>
    <row r="201" ht="15" customHeight="1" s="67">
      <c r="A201" s="8" t="n"/>
      <c r="B201" s="86" t="n"/>
      <c r="C201" s="86" t="n"/>
      <c r="D201" s="86" t="n"/>
      <c r="E201" s="86" t="n"/>
      <c r="F201" s="86" t="n"/>
      <c r="G201" s="86" t="n"/>
      <c r="H201" s="86" t="n"/>
      <c r="I201" s="86" t="n"/>
      <c r="J201" s="86" t="n"/>
      <c r="K201" s="86" t="n"/>
      <c r="L201" s="86" t="n"/>
      <c r="M201" s="86" t="n"/>
      <c r="N201" s="86" t="n"/>
      <c r="O201" s="86" t="n"/>
      <c r="P201" s="86" t="n"/>
      <c r="Q201" s="86" t="n"/>
      <c r="R201" s="86" t="n"/>
      <c r="S201" s="86" t="n"/>
      <c r="T201" s="86" t="n"/>
      <c r="U201" s="86" t="n"/>
      <c r="V201" s="86" t="n"/>
      <c r="W201" s="86" t="n"/>
      <c r="X201" s="8" t="n"/>
      <c r="Y201" s="8" t="n"/>
      <c r="Z201" s="8" t="n"/>
      <c r="AA201" s="86" t="n"/>
      <c r="AB201" s="87">
        <f>IFERROR(AA201/AF201,"")</f>
        <v/>
      </c>
      <c r="AC201" s="86" t="n"/>
      <c r="AD201" s="86" t="n"/>
      <c r="AE201" s="86" t="n"/>
      <c r="AF201" s="86" t="n"/>
      <c r="AG201" s="86" t="n"/>
      <c r="AH201" s="86" t="n"/>
      <c r="AI201" s="86" t="n"/>
      <c r="AJ201" s="86" t="n"/>
      <c r="AK201" s="86" t="n"/>
      <c r="AL201" s="86" t="n"/>
      <c r="AM201" s="86" t="n"/>
      <c r="AN201" s="86" t="n"/>
      <c r="AO201" s="11">
        <f>IFERROR(AC201/E201,"")</f>
        <v/>
      </c>
      <c r="AP201" s="11">
        <f>IFERROR(AD201/E201,"")</f>
        <v/>
      </c>
      <c r="AQ201" s="11">
        <f>IFERROR(AG201/E201,"")</f>
        <v/>
      </c>
      <c r="AR201" s="87">
        <f>IFERROR(AG201/AF201,"")</f>
        <v/>
      </c>
      <c r="AS201" s="87">
        <f>IFERROR(AH201/AF201,"")</f>
        <v/>
      </c>
      <c r="AT201" s="87">
        <f>IFERROR(AI201/AH201,"")</f>
        <v/>
      </c>
      <c r="AU201" s="87">
        <f>IFERROR(AN201/AH201,"")</f>
        <v/>
      </c>
      <c r="AV201" s="88" t="n"/>
      <c r="AW201" s="89" t="n"/>
      <c r="AX201" s="89" t="n"/>
      <c r="AY201" s="8" t="n"/>
      <c r="AZ201" s="8" t="n"/>
      <c r="BA201" s="8" t="n"/>
      <c r="BB201" s="8" t="n"/>
      <c r="BC201" s="90">
        <f>IFERROR(AG201/AC201,"")</f>
        <v/>
      </c>
      <c r="BD201" s="90">
        <f>IFERROR(AG201/(AC201+AA201),"")</f>
        <v/>
      </c>
      <c r="BE201" s="91" t="n"/>
      <c r="BF201" s="40" t="n"/>
    </row>
  </sheetData>
  <pageMargins left="0.75" right="0.75" top="1" bottom="1" header="0.511811023622047" footer="0.511811023622047"/>
  <pageSetup orientation="portrait" paperSize="9" horizontalDpi="300" verticalDpi="300"/>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FFED7D31"/>
    <outlinePr summaryBelow="1" summaryRight="1"/>
    <pageSetUpPr/>
  </sheetPr>
  <dimension ref="A1:AT239"/>
  <sheetViews>
    <sheetView showGridLines="0" zoomScaleNormal="100" workbookViewId="0">
      <pane xSplit="1" ySplit="1" topLeftCell="AK2" activePane="bottomRight" state="frozen"/>
      <selection pane="topRight" activeCell="B1" sqref="B1"/>
      <selection pane="bottomLeft" activeCell="A2" sqref="A2"/>
      <selection pane="bottomRight" activeCell="A1" sqref="A1"/>
    </sheetView>
  </sheetViews>
  <sheetFormatPr baseColWidth="8" defaultColWidth="8.6640625" defaultRowHeight="14.4"/>
  <cols>
    <col width="22" customWidth="1" style="67" min="1" max="1"/>
    <col width="15" customWidth="1" style="67" min="2" max="40"/>
    <col width="18" customWidth="1" style="67" min="41" max="45"/>
    <col width="30" customWidth="1" style="67" min="46" max="46"/>
  </cols>
  <sheetData>
    <row r="1" ht="31.5" customHeight="1" s="67">
      <c r="A1" s="5" t="inlineStr">
        <is>
          <t>Company</t>
        </is>
      </c>
      <c r="B1" s="5" t="inlineStr">
        <is>
          <t>Report Year</t>
        </is>
      </c>
      <c r="C1" s="5" t="inlineStr">
        <is>
          <t>Revenue (IDR bn)</t>
        </is>
      </c>
      <c r="D1" s="5" t="inlineStr">
        <is>
          <t>Gross Profit (IDR bn)</t>
        </is>
      </c>
      <c r="E1" s="5" t="inlineStr">
        <is>
          <t>EBITDA Reported (IDR bn) (manual)</t>
        </is>
      </c>
      <c r="F1" s="5" t="inlineStr">
        <is>
          <t>EBIT (IDR bn) (manual)</t>
        </is>
      </c>
      <c r="G1" s="5" t="inlineStr">
        <is>
          <t>Net Profit (IDR bn)</t>
        </is>
      </c>
      <c r="H1" s="5" t="inlineStr">
        <is>
          <t>Profit Attributable to Parent (IDR bn)</t>
        </is>
      </c>
      <c r="I1" s="5" t="inlineStr">
        <is>
          <t>Total Assets (IDR bn)</t>
        </is>
      </c>
      <c r="J1" s="5" t="inlineStr">
        <is>
          <t>Current Assets (IDR bn)</t>
        </is>
      </c>
      <c r="K1" s="5" t="inlineStr">
        <is>
          <t>Non-Current Assets (IDR bn)</t>
        </is>
      </c>
      <c r="L1" s="5" t="inlineStr">
        <is>
          <t>Total Liabilities (IDR bn)</t>
        </is>
      </c>
      <c r="M1" s="5" t="inlineStr">
        <is>
          <t>Current Liabilities (IDR bn)</t>
        </is>
      </c>
      <c r="N1" s="5" t="inlineStr">
        <is>
          <t>Long-Term Liabilities (IDR bn)</t>
        </is>
      </c>
      <c r="O1" s="5" t="inlineStr">
        <is>
          <t>Total Equity (IDR bn)</t>
        </is>
      </c>
      <c r="P1" s="5" t="inlineStr">
        <is>
          <t>Net Working Capital (IDR bn) [auto]</t>
        </is>
      </c>
      <c r="Q1" s="5" t="inlineStr">
        <is>
          <t>Cash &amp; Cash Equivalents (IDR bn)</t>
        </is>
      </c>
      <c r="R1" s="5" t="inlineStr">
        <is>
          <t>Gross Debt (IDR bn)</t>
        </is>
      </c>
      <c r="S1" s="5" t="inlineStr">
        <is>
          <t>Net Debt Calculated (IDR bn) [auto = R-Q]</t>
        </is>
      </c>
      <c r="T1" s="5" t="inlineStr">
        <is>
          <t>CFO (IDR bn)</t>
        </is>
      </c>
      <c r="U1" s="5" t="inlineStr">
        <is>
          <t>Capex (IDR bn) (manual; Net Fixed Asset + Bearer Plant Increase, NOT Investing CF)</t>
        </is>
      </c>
      <c r="V1" s="5" t="inlineStr">
        <is>
          <t>FCF (IDR bn) [auto]</t>
        </is>
      </c>
      <c r="W1" s="5" t="inlineStr">
        <is>
          <t>Shares Outstanding (mn)</t>
        </is>
      </c>
      <c r="X1" s="5" t="inlineStr">
        <is>
          <t>EPS (local ccy/share)</t>
        </is>
      </c>
      <c r="Y1" s="5" t="inlineStr">
        <is>
          <t>NAV per Share (local ccy/share)</t>
        </is>
      </c>
      <c r="Z1" s="5" t="inlineStr">
        <is>
          <t>Interim DPS (local ccy/share)</t>
        </is>
      </c>
      <c r="AA1" s="5" t="inlineStr">
        <is>
          <t>Final DPS (local ccy/share)</t>
        </is>
      </c>
      <c r="AB1" s="5" t="inlineStr">
        <is>
          <t>Closing Price (local ccy/share)</t>
        </is>
      </c>
      <c r="AC1" s="5" t="inlineStr">
        <is>
          <t>Market Cap (IDR bn) [auto]</t>
        </is>
      </c>
      <c r="AD1" s="5" t="inlineStr">
        <is>
          <t>Current Ratio (x) [auto]</t>
        </is>
      </c>
      <c r="AE1" s="5" t="inlineStr">
        <is>
          <t>Debt / Assets (x) [auto]</t>
        </is>
      </c>
      <c r="AF1" s="5" t="inlineStr">
        <is>
          <t>Debt / Equity (x) [auto]</t>
        </is>
      </c>
      <c r="AG1" s="5" t="inlineStr">
        <is>
          <t>ROA Reported (%) [auto]</t>
        </is>
      </c>
      <c r="AH1" s="5" t="inlineStr">
        <is>
          <t>ROE Reported (%) [auto]</t>
        </is>
      </c>
      <c r="AI1" s="5" t="inlineStr">
        <is>
          <t>Net Margin Reported (%) [auto]</t>
        </is>
      </c>
      <c r="AJ1" s="5" t="inlineStr">
        <is>
          <t>Gross Margin Reported (%) [auto]</t>
        </is>
      </c>
      <c r="AK1" s="5" t="inlineStr">
        <is>
          <t>Financial Risk Note</t>
        </is>
      </c>
      <c r="AL1" s="5" t="inlineStr">
        <is>
          <t>Liquidity Note</t>
        </is>
      </c>
      <c r="AM1" s="5" t="inlineStr">
        <is>
          <t>Debt Maturity Note</t>
        </is>
      </c>
      <c r="AN1" s="5" t="inlineStr">
        <is>
          <t>Covenant Note</t>
        </is>
      </c>
      <c r="AO1" s="37" t="inlineStr">
        <is>
          <t>D&amp;A Total (IDR bn) (manual; from Notes)</t>
        </is>
      </c>
      <c r="AP1" s="37" t="inlineStr">
        <is>
          <t>EBITDA Calculated (IDR bn) [auto = F+AO]</t>
        </is>
      </c>
      <c r="AQ1" s="37" t="inlineStr">
        <is>
          <t>EBITDA Variance (IDR bn) [auto = E-AP]</t>
        </is>
      </c>
      <c r="AR1" s="37" t="inlineStr">
        <is>
          <t>Net Debt Reported (IDR bn) (manual)</t>
        </is>
      </c>
      <c r="AS1" s="37" t="inlineStr">
        <is>
          <t>Net Debt Variance (IDR bn) [auto = AR-S]</t>
        </is>
      </c>
      <c r="AT1" s="37" t="inlineStr">
        <is>
          <t>Net Debt Reported - Definition Note (manual)</t>
        </is>
      </c>
    </row>
    <row r="2" ht="15" customHeight="1" s="67">
      <c r="A2" s="6" t="inlineStr">
        <is>
          <t>PT Astra Agro Lestari Tbk</t>
        </is>
      </c>
      <c r="B2" s="92" t="n">
        <v>2023</v>
      </c>
      <c r="C2" s="93" t="n">
        <v>20745</v>
      </c>
      <c r="D2" s="93" t="n">
        <v>2771</v>
      </c>
      <c r="E2" s="93" t="n"/>
      <c r="F2" s="93" t="n">
        <v>1251.22</v>
      </c>
      <c r="G2" s="93" t="n">
        <v>1088</v>
      </c>
      <c r="H2" s="93" t="n">
        <v>1056</v>
      </c>
      <c r="I2" s="93" t="n">
        <v>28846</v>
      </c>
      <c r="J2" s="93" t="n">
        <v>7118</v>
      </c>
      <c r="K2" s="93" t="n">
        <v>21728</v>
      </c>
      <c r="L2" s="93" t="n">
        <v>6280</v>
      </c>
      <c r="M2" s="93" t="n">
        <v>3882</v>
      </c>
      <c r="N2" s="93" t="n">
        <v>2398</v>
      </c>
      <c r="O2" s="93" t="n">
        <v>22566</v>
      </c>
      <c r="P2" s="94">
        <f>IFERROR(J2-M2,"")</f>
        <v/>
      </c>
      <c r="Q2" s="93" t="n">
        <v>2089.51</v>
      </c>
      <c r="R2" s="93" t="n">
        <v>4005.05</v>
      </c>
      <c r="S2" s="94">
        <f>IFERROR(R2-Q2,"")</f>
        <v/>
      </c>
      <c r="T2" s="93" t="n">
        <v>2538.74</v>
      </c>
      <c r="U2" s="93" t="n">
        <v>1236.34</v>
      </c>
      <c r="V2" s="94">
        <f>IFERROR(T2-U2,"")</f>
        <v/>
      </c>
      <c r="W2" s="93" t="n">
        <v>1925</v>
      </c>
      <c r="X2" s="93" t="n">
        <v>549</v>
      </c>
      <c r="Y2" s="93" t="n">
        <v>11724</v>
      </c>
      <c r="Z2" s="93" t="n">
        <v>82</v>
      </c>
      <c r="AA2" s="93" t="n">
        <v>319</v>
      </c>
      <c r="AB2" s="93" t="n">
        <v>7025</v>
      </c>
      <c r="AC2" s="94">
        <f>IFERROR(W2*AB2/1000,"")</f>
        <v/>
      </c>
      <c r="AD2" s="17">
        <f>IFERROR(J2/M2,"")</f>
        <v/>
      </c>
      <c r="AE2" s="17">
        <f>IFERROR(R2/I2,"")</f>
        <v/>
      </c>
      <c r="AF2" s="17">
        <f>IFERROR(R2/O2,"")</f>
        <v/>
      </c>
      <c r="AG2" s="95">
        <f>IFERROR(G2/I2,"")</f>
        <v/>
      </c>
      <c r="AH2" s="95">
        <f>IFERROR(G2/O2,"")</f>
        <v/>
      </c>
      <c r="AI2" s="95">
        <f>IFERROR(G2/C2,"")</f>
        <v/>
      </c>
      <c r="AJ2" s="95">
        <f>IFERROR(D2/C2,"")</f>
        <v/>
      </c>
      <c r="AK2" s="6" t="n"/>
      <c r="AL2" s="6" t="n"/>
      <c r="AM2" s="6" t="n"/>
      <c r="AN2" s="6" t="n"/>
      <c r="AO2" s="96" t="n"/>
      <c r="AP2" s="97">
        <f>IFERROR(IF(AND(NOT(ISNUMBER(F2)),NOT(ISNUMBER(AO2))),"",F2+AO2),"")</f>
        <v/>
      </c>
      <c r="AQ2" s="97">
        <f>IFERROR(IF(OR(NOT(ISNUMBER(E2)),NOT(ISNUMBER(AP2))),"",E2-AP2),"")</f>
        <v/>
      </c>
      <c r="AR2" s="96" t="n"/>
      <c r="AS2" s="97">
        <f>IFERROR(IF(OR(NOT(ISNUMBER(AR2)),NOT(ISNUMBER(S2))),"",AR2-S2),"")</f>
        <v/>
      </c>
      <c r="AT2" s="45" t="n"/>
    </row>
    <row r="3" ht="15" customHeight="1" s="67">
      <c r="A3" s="6" t="inlineStr">
        <is>
          <t>PT Astra Agro Lestari Tbk</t>
        </is>
      </c>
      <c r="B3" s="92" t="n">
        <v>2024</v>
      </c>
      <c r="C3" s="93" t="n">
        <v>21815</v>
      </c>
      <c r="D3" s="93" t="n">
        <v>3341</v>
      </c>
      <c r="E3" s="93" t="n"/>
      <c r="F3" s="93" t="n">
        <v>1658</v>
      </c>
      <c r="G3" s="93" t="n">
        <v>1187</v>
      </c>
      <c r="H3" s="93" t="n">
        <v>1148</v>
      </c>
      <c r="I3" s="93" t="n">
        <v>28793</v>
      </c>
      <c r="J3" s="93" t="n">
        <v>8434</v>
      </c>
      <c r="K3" s="93" t="n">
        <v>20360</v>
      </c>
      <c r="L3" s="93" t="n">
        <v>5591</v>
      </c>
      <c r="M3" s="93" t="n">
        <v>3238</v>
      </c>
      <c r="N3" s="93" t="n">
        <v>2354</v>
      </c>
      <c r="O3" s="93" t="n">
        <v>23202</v>
      </c>
      <c r="P3" s="94">
        <f>IFERROR(J3-M3,"")</f>
        <v/>
      </c>
      <c r="Q3" s="93" t="n">
        <v>3236</v>
      </c>
      <c r="R3" s="93" t="n">
        <v>3190</v>
      </c>
      <c r="S3" s="94">
        <f>IFERROR(R3-Q3,"")</f>
        <v/>
      </c>
      <c r="T3" s="93" t="n">
        <v>3380</v>
      </c>
      <c r="U3" s="93" t="n">
        <v>941</v>
      </c>
      <c r="V3" s="94">
        <f>IFERROR(T3-U3,"")</f>
        <v/>
      </c>
      <c r="W3" s="93" t="n">
        <v>1925</v>
      </c>
      <c r="X3" s="93" t="n">
        <v>596</v>
      </c>
      <c r="Y3" s="93" t="n">
        <v>12055</v>
      </c>
      <c r="Z3" s="93" t="n">
        <v>84</v>
      </c>
      <c r="AA3" s="93" t="n">
        <v>165</v>
      </c>
      <c r="AB3" s="93" t="n">
        <v>6200</v>
      </c>
      <c r="AC3" s="94">
        <f>IFERROR(W3*AB3/1000,"")</f>
        <v/>
      </c>
      <c r="AD3" s="17">
        <f>IFERROR(J3/M3,"")</f>
        <v/>
      </c>
      <c r="AE3" s="17">
        <f>IFERROR(R3/I3,"")</f>
        <v/>
      </c>
      <c r="AF3" s="17">
        <f>IFERROR(R3/O3,"")</f>
        <v/>
      </c>
      <c r="AG3" s="95">
        <f>IFERROR(G3/I3,"")</f>
        <v/>
      </c>
      <c r="AH3" s="95">
        <f>IFERROR(G3/O3,"")</f>
        <v/>
      </c>
      <c r="AI3" s="95">
        <f>IFERROR(G3/C3,"")</f>
        <v/>
      </c>
      <c r="AJ3" s="95">
        <f>IFERROR(D3/C3,"")</f>
        <v/>
      </c>
      <c r="AK3" s="6" t="n"/>
      <c r="AL3" s="6" t="n"/>
      <c r="AM3" s="6" t="n"/>
      <c r="AN3" s="6" t="n"/>
      <c r="AO3" s="96" t="n"/>
      <c r="AP3" s="97">
        <f>IFERROR(IF(AND(NOT(ISNUMBER(F3)),NOT(ISNUMBER(AO3))),"",F3+AO3),"")</f>
        <v/>
      </c>
      <c r="AQ3" s="97">
        <f>IFERROR(IF(OR(NOT(ISNUMBER(E3)),NOT(ISNUMBER(AP3))),"",E3-AP3),"")</f>
        <v/>
      </c>
      <c r="AR3" s="96" t="n"/>
      <c r="AS3" s="97">
        <f>IFERROR(IF(OR(NOT(ISNUMBER(AR3)),NOT(ISNUMBER(S3))),"",AR3-S3),"")</f>
        <v/>
      </c>
      <c r="AT3" s="45" t="inlineStr">
        <is>
          <t>Reported gearing &lt;1% in 2024 (2023: 9%); Net debt = Gross debt (Rp3,189.54 bn = 1,689.54 current + 1,500 LT) - cash (Rp3,236 bn) = negative net debt.</t>
        </is>
      </c>
    </row>
    <row r="4" ht="15" customHeight="1" s="67">
      <c r="A4" s="6" t="inlineStr">
        <is>
          <t>PT Astra Agro Lestari Tbk</t>
        </is>
      </c>
      <c r="B4" s="92" t="n">
        <v>2025</v>
      </c>
      <c r="C4" s="93" t="n">
        <v>28654.648</v>
      </c>
      <c r="D4" s="93" t="n">
        <v>4631.429</v>
      </c>
      <c r="E4" s="93" t="n"/>
      <c r="F4" s="93" t="n">
        <v>2086.194</v>
      </c>
      <c r="G4" s="93" t="n">
        <v>1471.714</v>
      </c>
      <c r="H4" s="93" t="n">
        <v>1472</v>
      </c>
      <c r="I4" s="93" t="n">
        <v>27047.104</v>
      </c>
      <c r="J4" s="93" t="n">
        <v>8663</v>
      </c>
      <c r="K4" s="93" t="n">
        <v>18384</v>
      </c>
      <c r="L4" s="93" t="n">
        <v>2889.47</v>
      </c>
      <c r="M4" s="93" t="n">
        <v>2000</v>
      </c>
      <c r="N4" s="93" t="n">
        <v>889</v>
      </c>
      <c r="O4" s="93" t="n">
        <v>24157.634</v>
      </c>
      <c r="P4" s="94">
        <f>IFERROR(J4-M4,"")</f>
        <v/>
      </c>
      <c r="Q4" s="93" t="n">
        <v>2755.715</v>
      </c>
      <c r="R4" s="93" t="n">
        <v>0</v>
      </c>
      <c r="S4" s="94">
        <f>IFERROR(R4-Q4,"")</f>
        <v/>
      </c>
      <c r="T4" s="93" t="n">
        <v>4210</v>
      </c>
      <c r="U4" s="93" t="n">
        <v>782</v>
      </c>
      <c r="V4" s="94">
        <f>IFERROR(T4-U4,"")</f>
        <v/>
      </c>
      <c r="W4" s="93" t="n">
        <v>1925</v>
      </c>
      <c r="X4" s="93" t="n">
        <v>765</v>
      </c>
      <c r="Y4" s="93" t="n">
        <v>12551</v>
      </c>
      <c r="Z4" s="93" t="n">
        <v>123</v>
      </c>
      <c r="AA4" s="93" t="n"/>
      <c r="AB4" s="93" t="n">
        <v>7375</v>
      </c>
      <c r="AC4" s="94">
        <f>IFERROR(W4*AB4/1000,"")</f>
        <v/>
      </c>
      <c r="AD4" s="17">
        <f>IFERROR(J4/M4,"")</f>
        <v/>
      </c>
      <c r="AE4" s="17">
        <f>IFERROR(R4/I4,"")</f>
        <v/>
      </c>
      <c r="AF4" s="17">
        <f>IFERROR(R4/O4,"")</f>
        <v/>
      </c>
      <c r="AG4" s="95">
        <f>IFERROR(G4/I4,"")</f>
        <v/>
      </c>
      <c r="AH4" s="95">
        <f>IFERROR(G4/O4,"")</f>
        <v/>
      </c>
      <c r="AI4" s="95">
        <f>IFERROR(G4/C4,"")</f>
        <v/>
      </c>
      <c r="AJ4" s="95">
        <f>IFERROR(D4/C4,"")</f>
        <v/>
      </c>
      <c r="AK4" s="6" t="n"/>
      <c r="AL4" s="6" t="n"/>
      <c r="AM4" s="6" t="n"/>
      <c r="AN4" s="6" t="n"/>
      <c r="AO4" s="96" t="n"/>
      <c r="AP4" s="97">
        <f>IFERROR(IF(AND(NOT(ISNUMBER(F4)),NOT(ISNUMBER(AO4))),"",F4+AO4),"")</f>
        <v/>
      </c>
      <c r="AQ4" s="97">
        <f>IFERROR(IF(OR(NOT(ISNUMBER(E4)),NOT(ISNUMBER(AP4))),"",E4-AP4),"")</f>
        <v/>
      </c>
      <c r="AR4" s="96" t="n">
        <v>-2760</v>
      </c>
      <c r="AS4" s="97">
        <f>IFERROR(IF(OR(NOT(ISNUMBER(AR4)),NOT(ISNUMBER(S4))),"",AR4-S4),"")</f>
        <v/>
      </c>
      <c r="AT4" s="45" t="inlineStr">
        <is>
          <t>Gearing &lt;1% in 2025 (no bank loans outstanding; all bank loans settled during 2025). Net debt = Gross debt 0 - Cash 2,760 = -Rp2.76 tn (net cash).</t>
        </is>
      </c>
    </row>
    <row r="5" ht="15" customHeight="1" s="67">
      <c r="A5" s="6" t="inlineStr">
        <is>
          <t>PT Andira Agro Tbk</t>
        </is>
      </c>
      <c r="B5" s="92" t="n">
        <v>2022</v>
      </c>
      <c r="C5" s="93" t="n">
        <v>317.86</v>
      </c>
      <c r="D5" s="93" t="n">
        <v>22.78</v>
      </c>
      <c r="E5" s="93" t="n"/>
      <c r="F5" s="93" t="n">
        <v>-10.54</v>
      </c>
      <c r="G5" s="93" t="n">
        <v>-10.79</v>
      </c>
      <c r="H5" s="93" t="n">
        <v>-10.79</v>
      </c>
      <c r="I5" s="93" t="n">
        <v>444.21</v>
      </c>
      <c r="J5" s="93" t="n">
        <v>77.81999999999999</v>
      </c>
      <c r="K5" s="93" t="n">
        <v>366.39</v>
      </c>
      <c r="L5" s="93" t="n">
        <v>205.52</v>
      </c>
      <c r="M5" s="93" t="n">
        <v>51.32</v>
      </c>
      <c r="N5" s="93" t="n">
        <v>154.2</v>
      </c>
      <c r="O5" s="93" t="n">
        <v>238.69</v>
      </c>
      <c r="P5" s="94">
        <f>IFERROR(J5-M5,"")</f>
        <v/>
      </c>
      <c r="Q5" s="93" t="n">
        <v>15.02</v>
      </c>
      <c r="R5" s="93" t="n">
        <v>166.18</v>
      </c>
      <c r="S5" s="94">
        <f>IFERROR(R5-Q5,"")</f>
        <v/>
      </c>
      <c r="T5" s="93" t="n">
        <v>51.02</v>
      </c>
      <c r="U5" s="93" t="n">
        <v>29.78</v>
      </c>
      <c r="V5" s="94">
        <f>IFERROR(T5-U5,"")</f>
        <v/>
      </c>
      <c r="W5" s="93" t="n">
        <v>9350</v>
      </c>
      <c r="X5" s="93" t="n">
        <v>-1.15</v>
      </c>
      <c r="Y5" s="93" t="n"/>
      <c r="Z5" s="93" t="n"/>
      <c r="AA5" s="93" t="n"/>
      <c r="AB5" s="93" t="n">
        <v>50</v>
      </c>
      <c r="AC5" s="94">
        <f>IFERROR(W5*AB5/1000,"")</f>
        <v/>
      </c>
      <c r="AD5" s="17">
        <f>IFERROR(J5/M5,"")</f>
        <v/>
      </c>
      <c r="AE5" s="17">
        <f>IFERROR(R5/I5,"")</f>
        <v/>
      </c>
      <c r="AF5" s="17">
        <f>IFERROR(R5/O5,"")</f>
        <v/>
      </c>
      <c r="AG5" s="95">
        <f>IFERROR(G5/I5,"")</f>
        <v/>
      </c>
      <c r="AH5" s="95">
        <f>IFERROR(G5/O5,"")</f>
        <v/>
      </c>
      <c r="AI5" s="95">
        <f>IFERROR(G5/C5,"")</f>
        <v/>
      </c>
      <c r="AJ5" s="95">
        <f>IFERROR(D5/C5,"")</f>
        <v/>
      </c>
      <c r="AK5" s="6" t="n"/>
      <c r="AL5" s="6" t="n"/>
      <c r="AM5" s="6" t="n"/>
      <c r="AN5" s="6" t="n"/>
      <c r="AO5" s="96" t="n"/>
      <c r="AP5" s="97">
        <f>IFERROR(IF(AND(NOT(ISNUMBER(F5)),NOT(ISNUMBER(AO5))),"",F5+AO5),"")</f>
        <v/>
      </c>
      <c r="AQ5" s="97">
        <f>IFERROR(IF(OR(NOT(ISNUMBER(E5)),NOT(ISNUMBER(AP5))),"",E5-AP5),"")</f>
        <v/>
      </c>
      <c r="AR5" s="96" t="n"/>
      <c r="AS5" s="97">
        <f>IFERROR(IF(OR(NOT(ISNUMBER(AR5)),NOT(ISNUMBER(S5))),"",AR5-S5),"")</f>
        <v/>
      </c>
      <c r="AT5" s="45" t="inlineStr">
        <is>
          <t>Net debt approx = Bank loans 166.18 - Cash 15.02 = Rp151.16 bn. D/E 0.861x, D/A 0.463x reported.</t>
        </is>
      </c>
    </row>
    <row r="6" ht="15" customHeight="1" s="67">
      <c r="A6" s="6" t="inlineStr">
        <is>
          <t>PT Andira Agro Tbk</t>
        </is>
      </c>
      <c r="B6" s="92" t="n">
        <v>2023</v>
      </c>
      <c r="C6" s="93" t="n">
        <v>219.94</v>
      </c>
      <c r="D6" s="93" t="n">
        <v>0.22</v>
      </c>
      <c r="E6" s="93" t="n"/>
      <c r="F6" s="93" t="n">
        <v>-63.1</v>
      </c>
      <c r="G6" s="93" t="n">
        <v>-55.96</v>
      </c>
      <c r="H6" s="93" t="n">
        <v>-55.96</v>
      </c>
      <c r="I6" s="93" t="n">
        <v>378.14</v>
      </c>
      <c r="J6" s="93" t="n">
        <v>24.21</v>
      </c>
      <c r="K6" s="93" t="n">
        <v>353.92</v>
      </c>
      <c r="L6" s="93" t="n">
        <v>195.4</v>
      </c>
      <c r="M6" s="93" t="n">
        <v>41.92</v>
      </c>
      <c r="N6" s="93" t="n">
        <v>153.47</v>
      </c>
      <c r="O6" s="93" t="n">
        <v>182.74</v>
      </c>
      <c r="P6" s="94">
        <f>IFERROR(J6-M6,"")</f>
        <v/>
      </c>
      <c r="Q6" s="93" t="n">
        <v>8.359999999999999</v>
      </c>
      <c r="R6" s="93" t="n">
        <v>153.47</v>
      </c>
      <c r="S6" s="94">
        <f>IFERROR(R6-Q6,"")</f>
        <v/>
      </c>
      <c r="T6" s="93" t="n">
        <v>14.61</v>
      </c>
      <c r="U6" s="93" t="n">
        <v>12.62</v>
      </c>
      <c r="V6" s="94">
        <f>IFERROR(T6-U6,"")</f>
        <v/>
      </c>
      <c r="W6" s="93" t="n">
        <v>9350</v>
      </c>
      <c r="X6" s="93" t="n">
        <v>-5.98</v>
      </c>
      <c r="Y6" s="93" t="n"/>
      <c r="Z6" s="93" t="n"/>
      <c r="AA6" s="93" t="n"/>
      <c r="AB6" s="93" t="n">
        <v>50</v>
      </c>
      <c r="AC6" s="94">
        <f>IFERROR(W6*AB6/1000,"")</f>
        <v/>
      </c>
      <c r="AD6" s="17">
        <f>IFERROR(J6/M6,"")</f>
        <v/>
      </c>
      <c r="AE6" s="17">
        <f>IFERROR(R6/I6,"")</f>
        <v/>
      </c>
      <c r="AF6" s="17">
        <f>IFERROR(R6/O6,"")</f>
        <v/>
      </c>
      <c r="AG6" s="95">
        <f>IFERROR(G6/I6,"")</f>
        <v/>
      </c>
      <c r="AH6" s="95">
        <f>IFERROR(G6/O6,"")</f>
        <v/>
      </c>
      <c r="AI6" s="95">
        <f>IFERROR(G6/C6,"")</f>
        <v/>
      </c>
      <c r="AJ6" s="95">
        <f>IFERROR(D6/C6,"")</f>
        <v/>
      </c>
      <c r="AK6" s="6" t="n"/>
      <c r="AL6" s="6" t="n"/>
      <c r="AM6" s="6" t="n"/>
      <c r="AN6" s="6" t="n"/>
      <c r="AO6" s="96" t="n"/>
      <c r="AP6" s="97">
        <f>IFERROR(IF(AND(NOT(ISNUMBER(F6)),NOT(ISNUMBER(AO6))),"",F6+AO6),"")</f>
        <v/>
      </c>
      <c r="AQ6" s="97">
        <f>IFERROR(IF(OR(NOT(ISNUMBER(E6)),NOT(ISNUMBER(AP6))),"",E6-AP6),"")</f>
        <v/>
      </c>
      <c r="AR6" s="96" t="n"/>
      <c r="AS6" s="97">
        <f>IFERROR(IF(OR(NOT(ISNUMBER(AR6)),NOT(ISNUMBER(S6))),"",AR6-S6),"")</f>
        <v/>
      </c>
      <c r="AT6" s="45" t="inlineStr">
        <is>
          <t>D/E 1.069x reported. Net debt approx = Liabilities - cash (per AR capital structure note: debt to capital = 1.02x)</t>
        </is>
      </c>
    </row>
    <row r="7" ht="15" customHeight="1" s="67">
      <c r="A7" s="6" t="inlineStr">
        <is>
          <t>PT Andira Agro Tbk</t>
        </is>
      </c>
      <c r="B7" s="92" t="n">
        <v>2024</v>
      </c>
      <c r="C7" s="93" t="n">
        <v>196.74</v>
      </c>
      <c r="D7" s="93" t="n">
        <v>-11.96</v>
      </c>
      <c r="E7" s="93" t="n"/>
      <c r="F7" s="93" t="n">
        <v>-34.61</v>
      </c>
      <c r="G7" s="93" t="n">
        <v>-23.05</v>
      </c>
      <c r="H7" s="93" t="n">
        <v>-23.05</v>
      </c>
      <c r="I7" s="93" t="n">
        <v>350.16</v>
      </c>
      <c r="J7" s="93" t="n">
        <v>38.49</v>
      </c>
      <c r="K7" s="93" t="n">
        <v>311.67</v>
      </c>
      <c r="L7" s="93" t="n">
        <v>190.38</v>
      </c>
      <c r="M7" s="93" t="n">
        <v>50.09</v>
      </c>
      <c r="N7" s="93" t="n">
        <v>140.29</v>
      </c>
      <c r="O7" s="93" t="n">
        <v>159.78</v>
      </c>
      <c r="P7" s="94">
        <f>IFERROR(J7-M7,"")</f>
        <v/>
      </c>
      <c r="Q7" s="93" t="n">
        <v>15.82</v>
      </c>
      <c r="R7" s="93" t="n">
        <v>140.29</v>
      </c>
      <c r="S7" s="94">
        <f>IFERROR(R7-Q7,"")</f>
        <v/>
      </c>
      <c r="T7" s="93" t="n">
        <v>23.75</v>
      </c>
      <c r="U7" s="93" t="n">
        <v>4.35</v>
      </c>
      <c r="V7" s="94">
        <f>IFERROR(T7-U7,"")</f>
        <v/>
      </c>
      <c r="W7" s="93" t="n">
        <v>9350</v>
      </c>
      <c r="X7" s="93" t="n">
        <v>-2.47</v>
      </c>
      <c r="Y7" s="93" t="n"/>
      <c r="Z7" s="93" t="n"/>
      <c r="AA7" s="93" t="n"/>
      <c r="AB7" s="93" t="n">
        <v>6</v>
      </c>
      <c r="AC7" s="94">
        <f>IFERROR(W7*AB7/1000,"")</f>
        <v/>
      </c>
      <c r="AD7" s="17">
        <f>IFERROR(J7/M7,"")</f>
        <v/>
      </c>
      <c r="AE7" s="17">
        <f>IFERROR(R7/I7,"")</f>
        <v/>
      </c>
      <c r="AF7" s="17">
        <f>IFERROR(R7/O7,"")</f>
        <v/>
      </c>
      <c r="AG7" s="95">
        <f>IFERROR(G7/I7,"")</f>
        <v/>
      </c>
      <c r="AH7" s="95">
        <f>IFERROR(G7/O7,"")</f>
        <v/>
      </c>
      <c r="AI7" s="95">
        <f>IFERROR(G7/C7,"")</f>
        <v/>
      </c>
      <c r="AJ7" s="95">
        <f>IFERROR(D7/C7,"")</f>
        <v/>
      </c>
      <c r="AK7" s="6" t="n"/>
      <c r="AL7" s="6" t="n"/>
      <c r="AM7" s="6" t="n"/>
      <c r="AN7" s="6" t="n"/>
      <c r="AO7" s="96" t="n"/>
      <c r="AP7" s="97">
        <f>IFERROR(IF(AND(NOT(ISNUMBER(F7)),NOT(ISNUMBER(AO7))),"",F7+AO7),"")</f>
        <v/>
      </c>
      <c r="AQ7" s="97">
        <f>IFERROR(IF(OR(NOT(ISNUMBER(E7)),NOT(ISNUMBER(AP7))),"",E7-AP7),"")</f>
        <v/>
      </c>
      <c r="AR7" s="96" t="n"/>
      <c r="AS7" s="97">
        <f>IFERROR(IF(OR(NOT(ISNUMBER(AR7)),NOT(ISNUMBER(S7))),"",AR7-S7),"")</f>
        <v/>
      </c>
      <c r="AT7" s="45" t="inlineStr">
        <is>
          <t>D/E 1.191x reported. Net debt approx = Liabilities 190.38 - cash 15.82 = ~Rp174.6 bn. Debt to capital ratio maintained at 1.09x per capital management note (p92).</t>
        </is>
      </c>
    </row>
    <row r="8" ht="15" customHeight="1" s="67">
      <c r="A8" s="6" t="inlineStr">
        <is>
          <t>PT Austindo Nusantara Jaya Tbk</t>
        </is>
      </c>
      <c r="B8" s="92" t="n">
        <v>2023</v>
      </c>
      <c r="C8" s="93" t="n">
        <v>3641</v>
      </c>
      <c r="D8" s="93" t="n">
        <v>487</v>
      </c>
      <c r="E8" s="93" t="n">
        <v>756</v>
      </c>
      <c r="F8" s="93" t="n">
        <v>229</v>
      </c>
      <c r="G8" s="93" t="n">
        <v>29</v>
      </c>
      <c r="H8" s="93" t="n">
        <v>40</v>
      </c>
      <c r="I8" s="93" t="n">
        <v>9454</v>
      </c>
      <c r="J8" s="93" t="n">
        <v>847</v>
      </c>
      <c r="K8" s="93" t="n">
        <v>8608</v>
      </c>
      <c r="L8" s="93" t="n">
        <v>2904</v>
      </c>
      <c r="M8" s="93" t="n">
        <v>813</v>
      </c>
      <c r="N8" s="93" t="n">
        <v>2091</v>
      </c>
      <c r="O8" s="93" t="n">
        <v>6547</v>
      </c>
      <c r="P8" s="94">
        <f>IFERROR(J8-M8,"")</f>
        <v/>
      </c>
      <c r="Q8" s="93" t="n">
        <v>91</v>
      </c>
      <c r="R8" s="93" t="n">
        <v>2323</v>
      </c>
      <c r="S8" s="94">
        <f>IFERROR(R8-Q8,"")</f>
        <v/>
      </c>
      <c r="T8" s="93" t="n">
        <v>564</v>
      </c>
      <c r="U8" s="93" t="n">
        <v>523</v>
      </c>
      <c r="V8" s="94">
        <f>IFERROR(T8-U8,"")</f>
        <v/>
      </c>
      <c r="W8" s="93" t="n">
        <v>3354</v>
      </c>
      <c r="X8" s="93" t="n">
        <v>12</v>
      </c>
      <c r="Y8" s="93" t="n"/>
      <c r="Z8" s="93" t="n"/>
      <c r="AA8" s="93" t="n">
        <v>27.8</v>
      </c>
      <c r="AB8" s="93" t="n">
        <v>745</v>
      </c>
      <c r="AC8" s="94">
        <f>IFERROR(W8*AB8/1000,"")</f>
        <v/>
      </c>
      <c r="AD8" s="17">
        <f>IFERROR(J8/M8,"")</f>
        <v/>
      </c>
      <c r="AE8" s="17">
        <f>IFERROR(R8/I8,"")</f>
        <v/>
      </c>
      <c r="AF8" s="17">
        <f>IFERROR(R8/O8,"")</f>
        <v/>
      </c>
      <c r="AG8" s="95">
        <f>IFERROR(G8/I8,"")</f>
        <v/>
      </c>
      <c r="AH8" s="95">
        <f>IFERROR(G8/O8,"")</f>
        <v/>
      </c>
      <c r="AI8" s="95">
        <f>IFERROR(G8/C8,"")</f>
        <v/>
      </c>
      <c r="AJ8" s="95">
        <f>IFERROR(D8/C8,"")</f>
        <v/>
      </c>
      <c r="AK8" s="6" t="n"/>
      <c r="AL8" s="6" t="n"/>
      <c r="AM8" s="6" t="n"/>
      <c r="AN8" s="6" t="n"/>
      <c r="AO8" s="96" t="n"/>
      <c r="AP8" s="97">
        <f>IFERROR(IF(AND(NOT(ISNUMBER(F8)),NOT(ISNUMBER(AO8))),"",F8+AO8),"")</f>
        <v/>
      </c>
      <c r="AQ8" s="97">
        <f>IFERROR(IF(OR(NOT(ISNUMBER(E8)),NOT(ISNUMBER(AP8))),"",E8-AP8),"")</f>
        <v/>
      </c>
      <c r="AR8" s="96" t="n">
        <v>2232</v>
      </c>
      <c r="AS8" s="97">
        <f>IFERROR(IF(OR(NOT(ISNUMBER(AR8)),NOT(ISNUMBER(S8))),"",AR8-S8),"")</f>
        <v/>
      </c>
      <c r="AT8" s="45" t="inlineStr">
        <is>
          <t>Net debt = Bank loans 150.9 - Cash 5.9 = USD 145.0mn (Rp 2,232 bn). Company reports net debt/equity 0.34x.</t>
        </is>
      </c>
    </row>
    <row r="9" ht="15" customHeight="1" s="67">
      <c r="A9" s="6" t="inlineStr">
        <is>
          <t>PT Austindo Nusantara Jaya Tbk</t>
        </is>
      </c>
      <c r="B9" s="92" t="n">
        <v>2022</v>
      </c>
      <c r="C9" s="93" t="n">
        <v>4191</v>
      </c>
      <c r="D9" s="93" t="n">
        <v>839</v>
      </c>
      <c r="E9" s="93" t="n">
        <v>1079</v>
      </c>
      <c r="F9" s="93" t="n">
        <v>523</v>
      </c>
      <c r="G9" s="93" t="n">
        <v>330</v>
      </c>
      <c r="H9" s="93" t="n">
        <v>338</v>
      </c>
      <c r="I9" s="93" t="n">
        <v>9382</v>
      </c>
      <c r="J9" s="93" t="n">
        <v>920</v>
      </c>
      <c r="K9" s="93" t="n">
        <v>8462</v>
      </c>
      <c r="L9" s="93" t="n">
        <v>2779</v>
      </c>
      <c r="M9" s="93" t="n">
        <v>631</v>
      </c>
      <c r="N9" s="93" t="n">
        <v>2148</v>
      </c>
      <c r="O9" s="93" t="n">
        <v>6603</v>
      </c>
      <c r="P9" s="94">
        <f>IFERROR(J9-M9,"")</f>
        <v/>
      </c>
      <c r="Q9" s="93" t="n">
        <v>168</v>
      </c>
      <c r="R9" s="93" t="n">
        <v>2089</v>
      </c>
      <c r="S9" s="94">
        <f>IFERROR(R9-Q9,"")</f>
        <v/>
      </c>
      <c r="T9" s="93" t="n">
        <v>934</v>
      </c>
      <c r="U9" s="93" t="n">
        <v>524</v>
      </c>
      <c r="V9" s="94">
        <f>IFERROR(T9-U9,"")</f>
        <v/>
      </c>
      <c r="W9" s="93" t="n">
        <v>3354</v>
      </c>
      <c r="X9" s="93" t="n">
        <v>101</v>
      </c>
      <c r="Y9" s="93" t="n"/>
      <c r="Z9" s="93" t="n"/>
      <c r="AA9" s="93" t="n">
        <v>43</v>
      </c>
      <c r="AB9" s="93" t="n">
        <v>665</v>
      </c>
      <c r="AC9" s="94">
        <f>IFERROR(W9*AB9/1000,"")</f>
        <v/>
      </c>
      <c r="AD9" s="17">
        <f>IFERROR(J9/M9,"")</f>
        <v/>
      </c>
      <c r="AE9" s="17">
        <f>IFERROR(R9/I9,"")</f>
        <v/>
      </c>
      <c r="AF9" s="17">
        <f>IFERROR(R9/O9,"")</f>
        <v/>
      </c>
      <c r="AG9" s="95">
        <f>IFERROR(G9/I9,"")</f>
        <v/>
      </c>
      <c r="AH9" s="95">
        <f>IFERROR(G9/O9,"")</f>
        <v/>
      </c>
      <c r="AI9" s="95">
        <f>IFERROR(G9/C9,"")</f>
        <v/>
      </c>
      <c r="AJ9" s="95">
        <f>IFERROR(D9/C9,"")</f>
        <v/>
      </c>
      <c r="AK9" s="6" t="n"/>
      <c r="AL9" s="6" t="n"/>
      <c r="AM9" s="6" t="n"/>
      <c r="AN9" s="6" t="n"/>
      <c r="AO9" s="96" t="n"/>
      <c r="AP9" s="97">
        <f>IFERROR(IF(AND(NOT(ISNUMBER(F9)),NOT(ISNUMBER(AO9))),"",F9+AO9),"")</f>
        <v/>
      </c>
      <c r="AQ9" s="97">
        <f>IFERROR(IF(OR(NOT(ISNUMBER(E9)),NOT(ISNUMBER(AP9))),"",E9-AP9),"")</f>
        <v/>
      </c>
      <c r="AR9" s="96" t="n">
        <v>1921</v>
      </c>
      <c r="AS9" s="97">
        <f>IFERROR(IF(OR(NOT(ISNUMBER(AR9)),NOT(ISNUMBER(S9))),"",AR9-S9),"")</f>
        <v/>
      </c>
      <c r="AT9" s="45" t="inlineStr">
        <is>
          <t>Net debt = Bank loans 134.2 - Cash 10.8 = USD 123.4mn (Rp 1,921 bn). Company reports net debt/equity 0.29x.</t>
        </is>
      </c>
    </row>
    <row r="10" ht="15" customHeight="1" s="67">
      <c r="A10" s="6" t="inlineStr">
        <is>
          <t>PT Austindo Nusantara Jaya Tbk</t>
        </is>
      </c>
      <c r="B10" s="92" t="n">
        <v>2024</v>
      </c>
      <c r="C10" s="93" t="n">
        <v>3827</v>
      </c>
      <c r="D10" s="93" t="n">
        <v>764</v>
      </c>
      <c r="E10" s="93" t="n">
        <v>957</v>
      </c>
      <c r="F10" s="93" t="n">
        <v>389</v>
      </c>
      <c r="G10" s="93" t="n">
        <v>149</v>
      </c>
      <c r="H10" s="93" t="n">
        <v>155</v>
      </c>
      <c r="I10" s="93" t="n">
        <v>9263</v>
      </c>
      <c r="J10" s="93" t="n">
        <v>1005</v>
      </c>
      <c r="K10" s="93" t="n">
        <v>8258</v>
      </c>
      <c r="L10" s="93" t="n">
        <v>2930</v>
      </c>
      <c r="M10" s="93" t="n">
        <v>798</v>
      </c>
      <c r="N10" s="93" t="n">
        <v>2132</v>
      </c>
      <c r="O10" s="93" t="n">
        <v>6332</v>
      </c>
      <c r="P10" s="94">
        <f>IFERROR(J10-M10,"")</f>
        <v/>
      </c>
      <c r="Q10" s="93" t="n">
        <v>147</v>
      </c>
      <c r="R10" s="93" t="n">
        <v>2352</v>
      </c>
      <c r="S10" s="94">
        <f>IFERROR(R10-Q10,"")</f>
        <v/>
      </c>
      <c r="T10" s="93" t="n">
        <v>705</v>
      </c>
      <c r="U10" s="93" t="n">
        <v>452</v>
      </c>
      <c r="V10" s="94">
        <f>IFERROR(T10-U10,"")</f>
        <v/>
      </c>
      <c r="W10" s="93" t="n">
        <v>3354</v>
      </c>
      <c r="X10" s="93" t="n">
        <v>47</v>
      </c>
      <c r="Y10" s="93" t="n"/>
      <c r="Z10" s="93" t="n">
        <v>27.8</v>
      </c>
      <c r="AA10" s="93" t="n"/>
      <c r="AB10" s="93" t="n">
        <v>715</v>
      </c>
      <c r="AC10" s="94">
        <f>IFERROR(W10*AB10/1000,"")</f>
        <v/>
      </c>
      <c r="AD10" s="17">
        <f>IFERROR(J10/M10,"")</f>
        <v/>
      </c>
      <c r="AE10" s="17">
        <f>IFERROR(R10/I10,"")</f>
        <v/>
      </c>
      <c r="AF10" s="17">
        <f>IFERROR(R10/O10,"")</f>
        <v/>
      </c>
      <c r="AG10" s="95">
        <f>IFERROR(G10/I10,"")</f>
        <v/>
      </c>
      <c r="AH10" s="95">
        <f>IFERROR(G10/O10,"")</f>
        <v/>
      </c>
      <c r="AI10" s="95">
        <f>IFERROR(G10/C10,"")</f>
        <v/>
      </c>
      <c r="AJ10" s="95">
        <f>IFERROR(D10/C10,"")</f>
        <v/>
      </c>
      <c r="AK10" s="6" t="n"/>
      <c r="AL10" s="6" t="n"/>
      <c r="AM10" s="6" t="n"/>
      <c r="AN10" s="6" t="n"/>
      <c r="AO10" s="96" t="n"/>
      <c r="AP10" s="97">
        <f>IFERROR(IF(AND(NOT(ISNUMBER(F10)),NOT(ISNUMBER(AO10))),"",F10+AO10),"")</f>
        <v/>
      </c>
      <c r="AQ10" s="97">
        <f>IFERROR(IF(OR(NOT(ISNUMBER(E10)),NOT(ISNUMBER(AP10))),"",E10-AP10),"")</f>
        <v/>
      </c>
      <c r="AR10" s="96" t="n">
        <v>2205</v>
      </c>
      <c r="AS10" s="97">
        <f>IFERROR(IF(OR(NOT(ISNUMBER(AR10)),NOT(ISNUMBER(S10))),"",AR10-S10),"")</f>
        <v/>
      </c>
      <c r="AT10" s="45" t="inlineStr">
        <is>
          <t>Net debt = Bank loans 145.5 - Cash 9.1 = USD 136.4mn (Rp 2,205 bn). Net debt/equity 0.3x.</t>
        </is>
      </c>
    </row>
    <row r="11" ht="15" customHeight="1" s="67">
      <c r="A11" s="6" t="inlineStr">
        <is>
          <t>PT BISI International Tbk</t>
        </is>
      </c>
      <c r="B11" s="92" t="n">
        <v>2023</v>
      </c>
      <c r="C11" s="93" t="n">
        <v>2298</v>
      </c>
      <c r="D11" s="93" t="n">
        <v>1162</v>
      </c>
      <c r="E11" s="93" t="n"/>
      <c r="F11" s="93" t="n">
        <v>692</v>
      </c>
      <c r="G11" s="93" t="n">
        <v>596</v>
      </c>
      <c r="H11" s="93" t="n">
        <v>596</v>
      </c>
      <c r="I11" s="93" t="n">
        <v>3902</v>
      </c>
      <c r="J11" s="93" t="n">
        <v>2945</v>
      </c>
      <c r="K11" s="93" t="n">
        <v>957</v>
      </c>
      <c r="L11" s="93" t="n">
        <v>455</v>
      </c>
      <c r="M11" s="93" t="n">
        <v>401</v>
      </c>
      <c r="N11" s="93" t="n">
        <v>54</v>
      </c>
      <c r="O11" s="93" t="n">
        <v>3447</v>
      </c>
      <c r="P11" s="94">
        <f>IFERROR(J11-M11,"")</f>
        <v/>
      </c>
      <c r="Q11" s="93" t="n">
        <v>1042</v>
      </c>
      <c r="R11" s="93" t="n">
        <v>0</v>
      </c>
      <c r="S11" s="94">
        <f>IFERROR(R11-Q11,"")</f>
        <v/>
      </c>
      <c r="T11" s="93" t="n">
        <v>43</v>
      </c>
      <c r="U11" s="93" t="n">
        <v>255</v>
      </c>
      <c r="V11" s="94">
        <f>IFERROR(T11-U11,"")</f>
        <v/>
      </c>
      <c r="W11" s="93" t="n">
        <v>3000</v>
      </c>
      <c r="X11" s="93" t="n">
        <v>198.54</v>
      </c>
      <c r="Y11" s="93" t="n">
        <v>1149</v>
      </c>
      <c r="Z11" s="93" t="n"/>
      <c r="AA11" s="93" t="n"/>
      <c r="AB11" s="93" t="n">
        <v>1600</v>
      </c>
      <c r="AC11" s="94">
        <f>IFERROR(W11*AB11/1000,"")</f>
        <v/>
      </c>
      <c r="AD11" s="17">
        <f>IFERROR(J11/M11,"")</f>
        <v/>
      </c>
      <c r="AE11" s="17">
        <f>IFERROR(R11/I11,"")</f>
        <v/>
      </c>
      <c r="AF11" s="17">
        <f>IFERROR(R11/O11,"")</f>
        <v/>
      </c>
      <c r="AG11" s="95">
        <f>IFERROR(G11/I11,"")</f>
        <v/>
      </c>
      <c r="AH11" s="95">
        <f>IFERROR(G11/O11,"")</f>
        <v/>
      </c>
      <c r="AI11" s="95">
        <f>IFERROR(G11/C11,"")</f>
        <v/>
      </c>
      <c r="AJ11" s="95">
        <f>IFERROR(D11/C11,"")</f>
        <v/>
      </c>
      <c r="AK11" s="6" t="n"/>
      <c r="AL11" s="6" t="n"/>
      <c r="AM11" s="6" t="n"/>
      <c r="AN11" s="6" t="n"/>
      <c r="AO11" s="96" t="n"/>
      <c r="AP11" s="97">
        <f>IFERROR(IF(AND(NOT(ISNUMBER(F11)),NOT(ISNUMBER(AO11))),"",F11+AO11),"")</f>
        <v/>
      </c>
      <c r="AQ11" s="97">
        <f>IFERROR(IF(OR(NOT(ISNUMBER(E11)),NOT(ISNUMBER(AP11))),"",E11-AP11),"")</f>
        <v/>
      </c>
      <c r="AR11" s="96" t="n">
        <v>-1042</v>
      </c>
      <c r="AS11" s="97">
        <f>IFERROR(IF(OR(NOT(ISNUMBER(AR11)),NOT(ISNUMBER(S11))),"",AR11-S11),"")</f>
        <v/>
      </c>
      <c r="AT11" s="45" t="inlineStr">
        <is>
          <t>BISI has zero bank debt; net debt is negative (net cash of Rp 1,042 bn).</t>
        </is>
      </c>
    </row>
    <row r="12" ht="15" customHeight="1" s="67">
      <c r="A12" s="6" t="inlineStr">
        <is>
          <t>PT BISI International Tbk</t>
        </is>
      </c>
      <c r="B12" s="92" t="n">
        <v>2024</v>
      </c>
      <c r="C12" s="93" t="n">
        <v>1368</v>
      </c>
      <c r="D12" s="93" t="n">
        <v>625</v>
      </c>
      <c r="E12" s="93" t="n"/>
      <c r="F12" s="93" t="n">
        <v>206</v>
      </c>
      <c r="G12" s="93" t="n">
        <v>179</v>
      </c>
      <c r="H12" s="93" t="n">
        <v>179</v>
      </c>
      <c r="I12" s="93" t="n">
        <v>3635</v>
      </c>
      <c r="J12" s="93" t="n">
        <v>2573</v>
      </c>
      <c r="K12" s="93" t="n">
        <v>1062</v>
      </c>
      <c r="L12" s="93" t="n">
        <v>244</v>
      </c>
      <c r="M12" s="93" t="n">
        <v>192</v>
      </c>
      <c r="N12" s="93" t="n">
        <v>52</v>
      </c>
      <c r="O12" s="93" t="n">
        <v>3390</v>
      </c>
      <c r="P12" s="94">
        <f>IFERROR(J12-M12,"")</f>
        <v/>
      </c>
      <c r="Q12" s="93" t="n">
        <v>568</v>
      </c>
      <c r="R12" s="93" t="n">
        <v>0</v>
      </c>
      <c r="S12" s="94">
        <f>IFERROR(R12-Q12,"")</f>
        <v/>
      </c>
      <c r="T12" s="93" t="n">
        <v>-146</v>
      </c>
      <c r="U12" s="93" t="n">
        <v>95</v>
      </c>
      <c r="V12" s="94">
        <f>IFERROR(T12-U12,"")</f>
        <v/>
      </c>
      <c r="W12" s="93" t="n">
        <v>3000</v>
      </c>
      <c r="X12" s="93" t="n">
        <v>59.5</v>
      </c>
      <c r="Y12" s="93" t="n">
        <v>1130</v>
      </c>
      <c r="Z12" s="93" t="n"/>
      <c r="AA12" s="93" t="n">
        <v>80</v>
      </c>
      <c r="AB12" s="93" t="n">
        <v>1200</v>
      </c>
      <c r="AC12" s="94">
        <f>IFERROR(W12*AB12/1000,"")</f>
        <v/>
      </c>
      <c r="AD12" s="17">
        <f>IFERROR(J12/M12,"")</f>
        <v/>
      </c>
      <c r="AE12" s="17">
        <f>IFERROR(R12/I12,"")</f>
        <v/>
      </c>
      <c r="AF12" s="17">
        <f>IFERROR(R12/O12,"")</f>
        <v/>
      </c>
      <c r="AG12" s="95">
        <f>IFERROR(G12/I12,"")</f>
        <v/>
      </c>
      <c r="AH12" s="95">
        <f>IFERROR(G12/O12,"")</f>
        <v/>
      </c>
      <c r="AI12" s="95">
        <f>IFERROR(G12/C12,"")</f>
        <v/>
      </c>
      <c r="AJ12" s="95">
        <f>IFERROR(D12/C12,"")</f>
        <v/>
      </c>
      <c r="AK12" s="6" t="n"/>
      <c r="AL12" s="6" t="n"/>
      <c r="AM12" s="6" t="n"/>
      <c r="AN12" s="6" t="n"/>
      <c r="AO12" s="96" t="n"/>
      <c r="AP12" s="97">
        <f>IFERROR(IF(AND(NOT(ISNUMBER(F12)),NOT(ISNUMBER(AO12))),"",F12+AO12),"")</f>
        <v/>
      </c>
      <c r="AQ12" s="97">
        <f>IFERROR(IF(OR(NOT(ISNUMBER(E12)),NOT(ISNUMBER(AP12))),"",E12-AP12),"")</f>
        <v/>
      </c>
      <c r="AR12" s="96" t="n">
        <v>-568</v>
      </c>
      <c r="AS12" s="97">
        <f>IFERROR(IF(OR(NOT(ISNUMBER(AR12)),NOT(ISNUMBER(S12))),"",AR12-S12),"")</f>
        <v/>
      </c>
      <c r="AT12" s="45" t="inlineStr">
        <is>
          <t>BISI has zero bank debt; net cash position of Rp 568 bn (cash and equivalents).</t>
        </is>
      </c>
    </row>
    <row r="13" ht="15" customHeight="1" s="67">
      <c r="A13" s="6" t="inlineStr">
        <is>
          <t>PT BISI International Tbk</t>
        </is>
      </c>
      <c r="B13" s="92" t="n">
        <v>2025</v>
      </c>
      <c r="C13" s="93" t="n">
        <v>1696.438</v>
      </c>
      <c r="D13" s="93" t="n">
        <v>680.976</v>
      </c>
      <c r="E13" s="93" t="n"/>
      <c r="F13" s="93" t="n">
        <v>226.93</v>
      </c>
      <c r="G13" s="93" t="n">
        <v>190.294</v>
      </c>
      <c r="H13" s="93" t="n">
        <v>190</v>
      </c>
      <c r="I13" s="93" t="n">
        <v>3738.296</v>
      </c>
      <c r="J13" s="93" t="n">
        <v>2640</v>
      </c>
      <c r="K13" s="93" t="n">
        <v>1098</v>
      </c>
      <c r="L13" s="93" t="n">
        <v>243.726</v>
      </c>
      <c r="M13" s="93" t="n">
        <v>184</v>
      </c>
      <c r="N13" s="93" t="n">
        <v>59</v>
      </c>
      <c r="O13" s="93" t="n">
        <v>3494.57</v>
      </c>
      <c r="P13" s="94">
        <f>IFERROR(J13-M13,"")</f>
        <v/>
      </c>
      <c r="Q13" s="93" t="n">
        <v>166.707</v>
      </c>
      <c r="R13" s="93" t="n">
        <v>16.806</v>
      </c>
      <c r="S13" s="94">
        <f>IFERROR(R13-Q13,"")</f>
        <v/>
      </c>
      <c r="T13" s="93" t="n">
        <v>-263</v>
      </c>
      <c r="U13" s="93" t="n">
        <v>63</v>
      </c>
      <c r="V13" s="94">
        <f>IFERROR(T13-U13,"")</f>
        <v/>
      </c>
      <c r="W13" s="93" t="n">
        <v>3000</v>
      </c>
      <c r="X13" s="93" t="n">
        <v>63.43</v>
      </c>
      <c r="Y13" s="93" t="n">
        <v>1165</v>
      </c>
      <c r="Z13" s="93" t="n"/>
      <c r="AA13" s="93" t="n">
        <v>28</v>
      </c>
      <c r="AB13" s="93" t="n"/>
      <c r="AC13" s="94">
        <f>IFERROR(W13*AB13/1000,"")</f>
        <v/>
      </c>
      <c r="AD13" s="17">
        <f>IFERROR(J13/M13,"")</f>
        <v/>
      </c>
      <c r="AE13" s="17">
        <f>IFERROR(R13/I13,"")</f>
        <v/>
      </c>
      <c r="AF13" s="17">
        <f>IFERROR(R13/O13,"")</f>
        <v/>
      </c>
      <c r="AG13" s="95">
        <f>IFERROR(G13/I13,"")</f>
        <v/>
      </c>
      <c r="AH13" s="95">
        <f>IFERROR(G13/O13,"")</f>
        <v/>
      </c>
      <c r="AI13" s="95">
        <f>IFERROR(G13/C13,"")</f>
        <v/>
      </c>
      <c r="AJ13" s="95">
        <f>IFERROR(D13/C13,"")</f>
        <v/>
      </c>
      <c r="AK13" s="6" t="n"/>
      <c r="AL13" s="6" t="n"/>
      <c r="AM13" s="6" t="n"/>
      <c r="AN13" s="6" t="n"/>
      <c r="AO13" s="96" t="n"/>
      <c r="AP13" s="97">
        <f>IFERROR(IF(AND(NOT(ISNUMBER(F13)),NOT(ISNUMBER(AO13))),"",F13+AO13),"")</f>
        <v/>
      </c>
      <c r="AQ13" s="97">
        <f>IFERROR(IF(OR(NOT(ISNUMBER(E13)),NOT(ISNUMBER(AP13))),"",E13-AP13),"")</f>
        <v/>
      </c>
      <c r="AR13" s="96" t="n">
        <v>-150</v>
      </c>
      <c r="AS13" s="97">
        <f>IFERROR(IF(OR(NOT(ISNUMBER(AR13)),NOT(ISNUMBER(S13))),"",AR13-S13),"")</f>
        <v/>
      </c>
      <c r="AT13" s="45" t="inlineStr">
        <is>
          <t>Net debt = Short-term bank loan 17 - Cash 167 = Rp -150 bn (net cash).</t>
        </is>
      </c>
    </row>
    <row r="14" ht="15" customHeight="1" s="67">
      <c r="A14" s="6" t="inlineStr">
        <is>
          <t>PT Bumi Teknokultura Unggul Tbk</t>
        </is>
      </c>
      <c r="B14" s="92" t="n">
        <v>2022</v>
      </c>
      <c r="C14" s="93" t="n">
        <v>153.5</v>
      </c>
      <c r="D14" s="93" t="n">
        <v>-11.82</v>
      </c>
      <c r="E14" s="93" t="n"/>
      <c r="F14" s="93" t="n">
        <v>-41.02</v>
      </c>
      <c r="G14" s="93" t="n">
        <v>-133.47</v>
      </c>
      <c r="H14" s="93" t="n">
        <v>-133.47</v>
      </c>
      <c r="I14" s="93" t="n">
        <v>4142.04</v>
      </c>
      <c r="J14" s="93" t="n">
        <v>75.77</v>
      </c>
      <c r="K14" s="93" t="n">
        <v>4066.27</v>
      </c>
      <c r="L14" s="93" t="n">
        <v>2939.13</v>
      </c>
      <c r="M14" s="93" t="n">
        <v>218.11</v>
      </c>
      <c r="N14" s="93" t="n">
        <v>2721.02</v>
      </c>
      <c r="O14" s="93" t="n">
        <v>1202.91</v>
      </c>
      <c r="P14" s="94">
        <f>IFERROR(J14-M14,"")</f>
        <v/>
      </c>
      <c r="Q14" s="93" t="n">
        <v>8.93</v>
      </c>
      <c r="R14" s="93" t="n">
        <v>2478.57</v>
      </c>
      <c r="S14" s="94">
        <f>IFERROR(R14-Q14,"")</f>
        <v/>
      </c>
      <c r="T14" s="93" t="n">
        <v>22.56</v>
      </c>
      <c r="U14" s="93" t="n">
        <v>0.2</v>
      </c>
      <c r="V14" s="94">
        <f>IFERROR(T14-U14,"")</f>
        <v/>
      </c>
      <c r="W14" s="93" t="n">
        <v>46277.5</v>
      </c>
      <c r="X14" s="93" t="n">
        <v>-2.88</v>
      </c>
      <c r="Y14" s="93" t="n"/>
      <c r="Z14" s="93" t="n"/>
      <c r="AA14" s="93" t="n"/>
      <c r="AB14" s="93" t="n">
        <v>50</v>
      </c>
      <c r="AC14" s="94">
        <f>IFERROR(W14*AB14/1000,"")</f>
        <v/>
      </c>
      <c r="AD14" s="17">
        <f>IFERROR(J14/M14,"")</f>
        <v/>
      </c>
      <c r="AE14" s="17">
        <f>IFERROR(R14/I14,"")</f>
        <v/>
      </c>
      <c r="AF14" s="17">
        <f>IFERROR(R14/O14,"")</f>
        <v/>
      </c>
      <c r="AG14" s="95">
        <f>IFERROR(G14/I14,"")</f>
        <v/>
      </c>
      <c r="AH14" s="95">
        <f>IFERROR(G14/O14,"")</f>
        <v/>
      </c>
      <c r="AI14" s="95">
        <f>IFERROR(G14/C14,"")</f>
        <v/>
      </c>
      <c r="AJ14" s="95">
        <f>IFERROR(D14/C14,"")</f>
        <v/>
      </c>
      <c r="AK14" s="6" t="n"/>
      <c r="AL14" s="6" t="n"/>
      <c r="AM14" s="6" t="n"/>
      <c r="AN14" s="6" t="n"/>
      <c r="AO14" s="96" t="n">
        <v>51.51</v>
      </c>
      <c r="AP14" s="97">
        <f>IFERROR(IF(AND(NOT(ISNUMBER(F14)),NOT(ISNUMBER(AO14))),"",F14+AO14),"")</f>
        <v/>
      </c>
      <c r="AQ14" s="97">
        <f>IFERROR(IF(OR(NOT(ISNUMBER(E14)),NOT(ISNUMBER(AP14))),"",E14-AP14),"")</f>
        <v/>
      </c>
      <c r="AR14" s="96" t="n">
        <v>2469.65</v>
      </c>
      <c r="AS14" s="97">
        <f>IFERROR(IF(OR(NOT(ISNUMBER(AR14)),NOT(ISNUMBER(S14))),"",AR14-S14),"")</f>
        <v/>
      </c>
      <c r="AT14" s="45" t="inlineStr">
        <is>
          <t>Gross debt (bank loans) minus cash &amp; equivalents; bonds not reported separately.</t>
        </is>
      </c>
    </row>
    <row r="15" ht="15" customHeight="1" s="67">
      <c r="A15" s="6" t="inlineStr">
        <is>
          <t>PT Bumi Teknokultura Unggul Tbk</t>
        </is>
      </c>
      <c r="B15" s="92" t="n">
        <v>2023</v>
      </c>
      <c r="C15" s="93" t="n">
        <v>196.67</v>
      </c>
      <c r="D15" s="93" t="n">
        <v>-6.03</v>
      </c>
      <c r="E15" s="93" t="n"/>
      <c r="F15" s="93" t="n">
        <v>-40.53</v>
      </c>
      <c r="G15" s="93" t="n">
        <v>-114.05</v>
      </c>
      <c r="H15" s="93" t="n">
        <v>-114.05</v>
      </c>
      <c r="I15" s="93" t="n">
        <v>4055.75</v>
      </c>
      <c r="J15" s="93" t="n">
        <v>59.79</v>
      </c>
      <c r="K15" s="93" t="n">
        <v>3995.96</v>
      </c>
      <c r="L15" s="93" t="n">
        <v>2948.91</v>
      </c>
      <c r="M15" s="93" t="n">
        <v>295.65</v>
      </c>
      <c r="N15" s="93" t="n">
        <v>2653.26</v>
      </c>
      <c r="O15" s="93" t="n">
        <v>1106.84</v>
      </c>
      <c r="P15" s="94">
        <f>IFERROR(J15-M15,"")</f>
        <v/>
      </c>
      <c r="Q15" s="93" t="n">
        <v>13.82</v>
      </c>
      <c r="R15" s="93" t="n">
        <v>2413.69</v>
      </c>
      <c r="S15" s="94">
        <f>IFERROR(R15-Q15,"")</f>
        <v/>
      </c>
      <c r="T15" s="93" t="n">
        <v>138.15</v>
      </c>
      <c r="U15" s="93" t="n">
        <v>69.20999999999999</v>
      </c>
      <c r="V15" s="94">
        <f>IFERROR(T15-U15,"")</f>
        <v/>
      </c>
      <c r="W15" s="93" t="n">
        <v>46277.5</v>
      </c>
      <c r="X15" s="93" t="n">
        <v>-2.46</v>
      </c>
      <c r="Y15" s="93" t="n"/>
      <c r="Z15" s="93" t="n"/>
      <c r="AA15" s="93" t="n"/>
      <c r="AB15" s="93" t="n">
        <v>50</v>
      </c>
      <c r="AC15" s="94">
        <f>IFERROR(W15*AB15/1000,"")</f>
        <v/>
      </c>
      <c r="AD15" s="17">
        <f>IFERROR(J15/M15,"")</f>
        <v/>
      </c>
      <c r="AE15" s="17">
        <f>IFERROR(R15/I15,"")</f>
        <v/>
      </c>
      <c r="AF15" s="17">
        <f>IFERROR(R15/O15,"")</f>
        <v/>
      </c>
      <c r="AG15" s="95">
        <f>IFERROR(G15/I15,"")</f>
        <v/>
      </c>
      <c r="AH15" s="95">
        <f>IFERROR(G15/O15,"")</f>
        <v/>
      </c>
      <c r="AI15" s="95">
        <f>IFERROR(G15/C15,"")</f>
        <v/>
      </c>
      <c r="AJ15" s="95">
        <f>IFERROR(D15/C15,"")</f>
        <v/>
      </c>
      <c r="AK15" s="6" t="n"/>
      <c r="AL15" s="6" t="n"/>
      <c r="AM15" s="6" t="n"/>
      <c r="AN15" s="6" t="n"/>
      <c r="AO15" s="96" t="n">
        <v>45.91</v>
      </c>
      <c r="AP15" s="97">
        <f>IFERROR(IF(AND(NOT(ISNUMBER(F15)),NOT(ISNUMBER(AO15))),"",F15+AO15),"")</f>
        <v/>
      </c>
      <c r="AQ15" s="97">
        <f>IFERROR(IF(OR(NOT(ISNUMBER(E15)),NOT(ISNUMBER(AP15))),"",E15-AP15),"")</f>
        <v/>
      </c>
      <c r="AR15" s="96" t="n">
        <v>2399.87</v>
      </c>
      <c r="AS15" s="97">
        <f>IFERROR(IF(OR(NOT(ISNUMBER(AR15)),NOT(ISNUMBER(S15))),"",AR15-S15),"")</f>
        <v/>
      </c>
      <c r="AT15" s="45" t="inlineStr">
        <is>
          <t>Gross bank loans minus cash &amp; equivalents.</t>
        </is>
      </c>
    </row>
    <row r="16" ht="15" customHeight="1" s="67">
      <c r="A16" s="6" t="inlineStr">
        <is>
          <t>PT Bumi Teknokultura Unggul Tbk</t>
        </is>
      </c>
      <c r="B16" s="92" t="n">
        <v>2024</v>
      </c>
      <c r="C16" s="93" t="n">
        <v>635.63</v>
      </c>
      <c r="D16" s="93" t="n">
        <v>-19.85</v>
      </c>
      <c r="E16" s="93" t="n"/>
      <c r="F16" s="93" t="n">
        <v>-70.3</v>
      </c>
      <c r="G16" s="93" t="n">
        <v>-719.27</v>
      </c>
      <c r="H16" s="93" t="n">
        <v>-719.27</v>
      </c>
      <c r="I16" s="93" t="n">
        <v>3894.06</v>
      </c>
      <c r="J16" s="93" t="n">
        <v>162.46</v>
      </c>
      <c r="K16" s="93" t="n">
        <v>3731.61</v>
      </c>
      <c r="L16" s="93" t="n">
        <v>3431.56</v>
      </c>
      <c r="M16" s="93" t="n">
        <v>69.97</v>
      </c>
      <c r="N16" s="93" t="n">
        <v>3361.6</v>
      </c>
      <c r="O16" s="93" t="n">
        <v>462.5</v>
      </c>
      <c r="P16" s="94">
        <f>IFERROR(J16-M16,"")</f>
        <v/>
      </c>
      <c r="Q16" s="93" t="n">
        <v>61.35</v>
      </c>
      <c r="R16" s="93" t="n">
        <v>2346</v>
      </c>
      <c r="S16" s="94">
        <f>IFERROR(R16-Q16,"")</f>
        <v/>
      </c>
      <c r="T16" s="93" t="n">
        <v>70.95999999999999</v>
      </c>
      <c r="U16" s="93" t="n">
        <v>21.77</v>
      </c>
      <c r="V16" s="94">
        <f>IFERROR(T16-U16,"")</f>
        <v/>
      </c>
      <c r="W16" s="93" t="n">
        <v>46277.5</v>
      </c>
      <c r="X16" s="93" t="n">
        <v>-15.54</v>
      </c>
      <c r="Y16" s="93" t="n"/>
      <c r="Z16" s="93" t="n"/>
      <c r="AA16" s="93" t="n"/>
      <c r="AB16" s="93" t="n">
        <v>3</v>
      </c>
      <c r="AC16" s="94">
        <f>IFERROR(W16*AB16/1000,"")</f>
        <v/>
      </c>
      <c r="AD16" s="17">
        <f>IFERROR(J16/M16,"")</f>
        <v/>
      </c>
      <c r="AE16" s="17">
        <f>IFERROR(R16/I16,"")</f>
        <v/>
      </c>
      <c r="AF16" s="17">
        <f>IFERROR(R16/O16,"")</f>
        <v/>
      </c>
      <c r="AG16" s="95">
        <f>IFERROR(G16/I16,"")</f>
        <v/>
      </c>
      <c r="AH16" s="95">
        <f>IFERROR(G16/O16,"")</f>
        <v/>
      </c>
      <c r="AI16" s="95">
        <f>IFERROR(G16/C16,"")</f>
        <v/>
      </c>
      <c r="AJ16" s="95">
        <f>IFERROR(D16/C16,"")</f>
        <v/>
      </c>
      <c r="AK16" s="6" t="n"/>
      <c r="AL16" s="6" t="n"/>
      <c r="AM16" s="6" t="n"/>
      <c r="AN16" s="6" t="n"/>
      <c r="AO16" s="96" t="n">
        <v>84.31999999999999</v>
      </c>
      <c r="AP16" s="97">
        <f>IFERROR(IF(AND(NOT(ISNUMBER(F16)),NOT(ISNUMBER(AO16))),"",F16+AO16),"")</f>
        <v/>
      </c>
      <c r="AQ16" s="97">
        <f>IFERROR(IF(OR(NOT(ISNUMBER(E16)),NOT(ISNUMBER(AP16))),"",E16-AP16),"")</f>
        <v/>
      </c>
      <c r="AR16" s="96" t="n">
        <v>2284.64</v>
      </c>
      <c r="AS16" s="97">
        <f>IFERROR(IF(OR(NOT(ISNUMBER(AR16)),NOT(ISNUMBER(S16))),"",AR16-S16),"")</f>
        <v/>
      </c>
      <c r="AT16" s="45" t="inlineStr">
        <is>
          <t>Bank loans (Rp 2,346.00 bn) minus cash (Rp 61.35 bn).</t>
        </is>
      </c>
    </row>
    <row r="17" ht="15" customHeight="1" s="67">
      <c r="A17" s="6" t="inlineStr">
        <is>
          <t>PT Eagle High Plantations Tbk</t>
        </is>
      </c>
      <c r="B17" s="92" t="n">
        <v>2023</v>
      </c>
      <c r="C17" s="93" t="n">
        <v>4204.61</v>
      </c>
      <c r="D17" s="93" t="n">
        <v>1057.15</v>
      </c>
      <c r="E17" s="93" t="n"/>
      <c r="F17" s="93" t="n">
        <v>703.47</v>
      </c>
      <c r="G17" s="93" t="n">
        <v>159.97</v>
      </c>
      <c r="H17" s="93" t="n">
        <v>177.03</v>
      </c>
      <c r="I17" s="93" t="n">
        <v>10183.51</v>
      </c>
      <c r="J17" s="93" t="n">
        <v>1300.01</v>
      </c>
      <c r="K17" s="93" t="n">
        <v>8883.5</v>
      </c>
      <c r="L17" s="93" t="n">
        <v>7991.96</v>
      </c>
      <c r="M17" s="93" t="n">
        <v>3513.09</v>
      </c>
      <c r="N17" s="93" t="n">
        <v>4478.87</v>
      </c>
      <c r="O17" s="93" t="n">
        <v>2191.55</v>
      </c>
      <c r="P17" s="94">
        <f>IFERROR(J17-M17,"")</f>
        <v/>
      </c>
      <c r="Q17" s="93" t="n">
        <v>25.37</v>
      </c>
      <c r="R17" s="93" t="n">
        <v>7777.55</v>
      </c>
      <c r="S17" s="94">
        <f>IFERROR(R17-Q17,"")</f>
        <v/>
      </c>
      <c r="T17" s="93" t="n">
        <v>633.0599999999999</v>
      </c>
      <c r="U17" s="93" t="n">
        <v>279</v>
      </c>
      <c r="V17" s="94">
        <f>IFERROR(T17-U17,"")</f>
        <v/>
      </c>
      <c r="W17" s="93" t="n">
        <v>31525.29</v>
      </c>
      <c r="X17" s="93" t="n">
        <v>5.68</v>
      </c>
      <c r="Y17" s="93" t="n"/>
      <c r="Z17" s="93" t="n"/>
      <c r="AA17" s="93" t="n"/>
      <c r="AB17" s="93" t="n">
        <v>54</v>
      </c>
      <c r="AC17" s="94">
        <f>IFERROR(W17*AB17/1000,"")</f>
        <v/>
      </c>
      <c r="AD17" s="17">
        <f>IFERROR(J17/M17,"")</f>
        <v/>
      </c>
      <c r="AE17" s="17">
        <f>IFERROR(R17/I17,"")</f>
        <v/>
      </c>
      <c r="AF17" s="17">
        <f>IFERROR(R17/O17,"")</f>
        <v/>
      </c>
      <c r="AG17" s="95">
        <f>IFERROR(G17/I17,"")</f>
        <v/>
      </c>
      <c r="AH17" s="95">
        <f>IFERROR(G17/O17,"")</f>
        <v/>
      </c>
      <c r="AI17" s="95">
        <f>IFERROR(G17/C17,"")</f>
        <v/>
      </c>
      <c r="AJ17" s="95">
        <f>IFERROR(D17/C17,"")</f>
        <v/>
      </c>
      <c r="AK17" s="6" t="n"/>
      <c r="AL17" s="6" t="n"/>
      <c r="AM17" s="6" t="n"/>
      <c r="AN17" s="6" t="n"/>
      <c r="AO17" s="96" t="n"/>
      <c r="AP17" s="97">
        <f>IFERROR(IF(AND(NOT(ISNUMBER(F17)),NOT(ISNUMBER(AO17))),"",F17+AO17),"")</f>
        <v/>
      </c>
      <c r="AQ17" s="97">
        <f>IFERROR(IF(OR(NOT(ISNUMBER(E17)),NOT(ISNUMBER(AP17))),"",E17-AP17),"")</f>
        <v/>
      </c>
      <c r="AR17" s="96" t="n"/>
      <c r="AS17" s="97">
        <f>IFERROR(IF(OR(NOT(ISNUMBER(AR17)),NOT(ISNUMBER(S17))),"",AR17-S17),"")</f>
        <v/>
      </c>
      <c r="AT17" s="45" t="inlineStr">
        <is>
          <t>Gross debt not explicitly separated in Ikhtisar; implied high via DER 3.65x.</t>
        </is>
      </c>
    </row>
    <row r="18" ht="15" customHeight="1" s="67">
      <c r="A18" s="6" t="inlineStr">
        <is>
          <t>PT Eagle High Plantations Tbk</t>
        </is>
      </c>
      <c r="B18" s="92" t="n">
        <v>2024</v>
      </c>
      <c r="C18" s="93" t="n">
        <v>4302.68</v>
      </c>
      <c r="D18" s="93" t="n">
        <v>1254.43</v>
      </c>
      <c r="E18" s="93" t="n"/>
      <c r="F18" s="93" t="n">
        <v>926.51</v>
      </c>
      <c r="G18" s="93" t="n">
        <v>272.13</v>
      </c>
      <c r="H18" s="93" t="n">
        <v>260.21</v>
      </c>
      <c r="I18" s="93" t="n">
        <v>9794.379999999999</v>
      </c>
      <c r="J18" s="93" t="n">
        <v>1420.68</v>
      </c>
      <c r="K18" s="93" t="n">
        <v>8373.700000000001</v>
      </c>
      <c r="L18" s="93" t="n">
        <v>7342.29</v>
      </c>
      <c r="M18" s="93" t="n">
        <v>2945.12</v>
      </c>
      <c r="N18" s="93" t="n">
        <v>4397.17</v>
      </c>
      <c r="O18" s="93" t="n">
        <v>2452.09</v>
      </c>
      <c r="P18" s="94">
        <f>IFERROR(J18-M18,"")</f>
        <v/>
      </c>
      <c r="Q18" s="93" t="n">
        <v>58.08</v>
      </c>
      <c r="R18" s="93" t="n">
        <v>3959.18</v>
      </c>
      <c r="S18" s="94">
        <f>IFERROR(R18-Q18,"")</f>
        <v/>
      </c>
      <c r="T18" s="93" t="n">
        <v>833.79</v>
      </c>
      <c r="U18" s="93" t="n">
        <v>86.04000000000001</v>
      </c>
      <c r="V18" s="94">
        <f>IFERROR(T18-U18,"")</f>
        <v/>
      </c>
      <c r="W18" s="93" t="n">
        <v>31525.29</v>
      </c>
      <c r="X18" s="93" t="n">
        <v>8.359999999999999</v>
      </c>
      <c r="Y18" s="93" t="n"/>
      <c r="Z18" s="93" t="n"/>
      <c r="AA18" s="93" t="n"/>
      <c r="AB18" s="93" t="n">
        <v>59</v>
      </c>
      <c r="AC18" s="94">
        <f>IFERROR(W18*AB18/1000,"")</f>
        <v/>
      </c>
      <c r="AD18" s="17">
        <f>IFERROR(J18/M18,"")</f>
        <v/>
      </c>
      <c r="AE18" s="17">
        <f>IFERROR(R18/I18,"")</f>
        <v/>
      </c>
      <c r="AF18" s="17">
        <f>IFERROR(R18/O18,"")</f>
        <v/>
      </c>
      <c r="AG18" s="95">
        <f>IFERROR(G18/I18,"")</f>
        <v/>
      </c>
      <c r="AH18" s="95">
        <f>IFERROR(G18/O18,"")</f>
        <v/>
      </c>
      <c r="AI18" s="95">
        <f>IFERROR(G18/C18,"")</f>
        <v/>
      </c>
      <c r="AJ18" s="95">
        <f>IFERROR(D18/C18,"")</f>
        <v/>
      </c>
      <c r="AK18" s="6" t="n"/>
      <c r="AL18" s="6" t="n"/>
      <c r="AM18" s="6" t="n"/>
      <c r="AN18" s="6" t="n"/>
      <c r="AO18" s="96" t="n">
        <v>176.43</v>
      </c>
      <c r="AP18" s="97">
        <f>IFERROR(IF(AND(NOT(ISNUMBER(F18)),NOT(ISNUMBER(AO18))),"",F18+AO18),"")</f>
        <v/>
      </c>
      <c r="AQ18" s="97">
        <f>IFERROR(IF(OR(NOT(ISNUMBER(E18)),NOT(ISNUMBER(AP18))),"",E18-AP18),"")</f>
        <v/>
      </c>
      <c r="AR18" s="96" t="n">
        <v>3901.1</v>
      </c>
      <c r="AS18" s="97">
        <f>IFERROR(IF(OR(NOT(ISNUMBER(AR18)),NOT(ISNUMBER(S18))),"",AR18-S18),"")</f>
        <v/>
      </c>
      <c r="AT18" s="45" t="inlineStr">
        <is>
          <t>Bank loans (Rp 3,897.63 bn: ST 290.78 + current portion LT 696.23 + LT 2,910.63) + bonds payable (Rp 61.55 bn) minus cash (Rp 58.08 bn).</t>
        </is>
      </c>
    </row>
    <row r="19" ht="15" customHeight="1" s="67">
      <c r="A19" s="6" t="inlineStr">
        <is>
          <t>PT Eagle High Plantations Tbk</t>
        </is>
      </c>
      <c r="B19" s="92" t="n">
        <v>2025</v>
      </c>
      <c r="C19" s="93" t="n">
        <v>5761.296</v>
      </c>
      <c r="D19" s="93" t="n">
        <v>1590.658</v>
      </c>
      <c r="E19" s="93" t="n"/>
      <c r="F19" s="93" t="n">
        <v>1189.695</v>
      </c>
      <c r="G19" s="93" t="n">
        <v>361.72</v>
      </c>
      <c r="H19" s="93" t="n">
        <v>361.72</v>
      </c>
      <c r="I19" s="93" t="n">
        <v>10176.15</v>
      </c>
      <c r="J19" s="93" t="n">
        <v>1737.16</v>
      </c>
      <c r="K19" s="93" t="n">
        <v>8438.99</v>
      </c>
      <c r="L19" s="93" t="n">
        <v>7349.037</v>
      </c>
      <c r="M19" s="93" t="n">
        <v>2595.3</v>
      </c>
      <c r="N19" s="93" t="n">
        <v>4753.74</v>
      </c>
      <c r="O19" s="93" t="n">
        <v>2827.113</v>
      </c>
      <c r="P19" s="94">
        <f>IFERROR(J19-M19,"")</f>
        <v/>
      </c>
      <c r="Q19" s="93" t="n">
        <v>209.762</v>
      </c>
      <c r="R19" s="93" t="n">
        <v>4259.253</v>
      </c>
      <c r="S19" s="94">
        <f>IFERROR(R19-Q19,"")</f>
        <v/>
      </c>
      <c r="T19" s="93" t="n">
        <v>1340.73</v>
      </c>
      <c r="U19" s="93" t="n">
        <v>331.04</v>
      </c>
      <c r="V19" s="94">
        <f>IFERROR(T19-U19,"")</f>
        <v/>
      </c>
      <c r="W19" s="93" t="n">
        <v>31525.29</v>
      </c>
      <c r="X19" s="93" t="n">
        <v>11.62</v>
      </c>
      <c r="Y19" s="93" t="n"/>
      <c r="Z19" s="93" t="n"/>
      <c r="AA19" s="93" t="n"/>
      <c r="AB19" s="93" t="n"/>
      <c r="AC19" s="94">
        <f>IFERROR(W19*AB19/1000,"")</f>
        <v/>
      </c>
      <c r="AD19" s="17">
        <f>IFERROR(J19/M19,"")</f>
        <v/>
      </c>
      <c r="AE19" s="17">
        <f>IFERROR(R19/I19,"")</f>
        <v/>
      </c>
      <c r="AF19" s="17">
        <f>IFERROR(R19/O19,"")</f>
        <v/>
      </c>
      <c r="AG19" s="95">
        <f>IFERROR(G19/I19,"")</f>
        <v/>
      </c>
      <c r="AH19" s="95">
        <f>IFERROR(G19/O19,"")</f>
        <v/>
      </c>
      <c r="AI19" s="95">
        <f>IFERROR(G19/C19,"")</f>
        <v/>
      </c>
      <c r="AJ19" s="95">
        <f>IFERROR(D19/C19,"")</f>
        <v/>
      </c>
      <c r="AK19" s="6" t="n"/>
      <c r="AL19" s="6" t="n"/>
      <c r="AM19" s="6" t="n"/>
      <c r="AN19" s="6" t="n"/>
      <c r="AO19" s="96" t="n">
        <v>175.54</v>
      </c>
      <c r="AP19" s="97">
        <f>IFERROR(IF(AND(NOT(ISNUMBER(F19)),NOT(ISNUMBER(AO19))),"",F19+AO19),"")</f>
        <v/>
      </c>
      <c r="AQ19" s="97">
        <f>IFERROR(IF(OR(NOT(ISNUMBER(E19)),NOT(ISNUMBER(AP19))),"",E19-AP19),"")</f>
        <v/>
      </c>
      <c r="AR19" s="96" t="n">
        <v>3894.7</v>
      </c>
      <c r="AS19" s="97">
        <f>IFERROR(IF(OR(NOT(ISNUMBER(AR19)),NOT(ISNUMBER(S19))),"",AR19-S19),"")</f>
        <v/>
      </c>
      <c r="AT19" s="45" t="inlineStr">
        <is>
          <t>Bank loans (229.73 ST + 602.93 current LT + 3,109.85 LT = 3,942.51) + bonds (23.78 current + 6.02 LT = 29.80) + sukuk (37.29 current + 24.89 LT = 62.18) minus cash (139.79). Excludes non-bank financial institution loans.</t>
        </is>
      </c>
    </row>
    <row r="20" ht="15" customHeight="1" s="67">
      <c r="A20" s="6" t="inlineStr">
        <is>
          <t>PT Citra Borneo Utama Tbk</t>
        </is>
      </c>
      <c r="B20" s="92" t="n">
        <v>2023</v>
      </c>
      <c r="C20" s="93" t="n">
        <v>10319.437</v>
      </c>
      <c r="D20" s="93" t="n">
        <v>1314.507</v>
      </c>
      <c r="E20" s="93" t="n"/>
      <c r="F20" s="93" t="n">
        <v>311.759</v>
      </c>
      <c r="G20" s="93" t="n">
        <v>144.242</v>
      </c>
      <c r="H20" s="93" t="n">
        <v>144.242</v>
      </c>
      <c r="I20" s="93" t="n">
        <v>4336.194</v>
      </c>
      <c r="J20" s="93" t="n">
        <v>3925.96</v>
      </c>
      <c r="K20" s="93" t="n">
        <v>410.234</v>
      </c>
      <c r="L20" s="93" t="n">
        <v>3433.778</v>
      </c>
      <c r="M20" s="93" t="n">
        <v>2659.659</v>
      </c>
      <c r="N20" s="93" t="n">
        <v>774.119</v>
      </c>
      <c r="O20" s="93" t="n">
        <v>902.4160000000001</v>
      </c>
      <c r="P20" s="94">
        <f>IFERROR(J20-M20,"")</f>
        <v/>
      </c>
      <c r="Q20" s="93" t="n">
        <v>304.932</v>
      </c>
      <c r="R20" s="93" t="n">
        <v>2987.469</v>
      </c>
      <c r="S20" s="94">
        <f>IFERROR(R20-Q20,"")</f>
        <v/>
      </c>
      <c r="T20" s="93" t="n">
        <v>-384.368</v>
      </c>
      <c r="U20" s="93" t="n">
        <v>19.183</v>
      </c>
      <c r="V20" s="94">
        <f>IFERROR(T20-U20,"")</f>
        <v/>
      </c>
      <c r="W20" s="93" t="n">
        <v>3125</v>
      </c>
      <c r="X20" s="93" t="n">
        <v>46.16</v>
      </c>
      <c r="Y20" s="93" t="n"/>
      <c r="Z20" s="93" t="n"/>
      <c r="AA20" s="93" t="n"/>
      <c r="AB20" s="93" t="n">
        <v>1765</v>
      </c>
      <c r="AC20" s="94">
        <f>IFERROR(W20*AB20/1000,"")</f>
        <v/>
      </c>
      <c r="AD20" s="17">
        <f>IFERROR(J20/M20,"")</f>
        <v/>
      </c>
      <c r="AE20" s="17">
        <f>IFERROR(R20/I20,"")</f>
        <v/>
      </c>
      <c r="AF20" s="17">
        <f>IFERROR(R20/O20,"")</f>
        <v/>
      </c>
      <c r="AG20" s="95">
        <f>IFERROR(G20/I20,"")</f>
        <v/>
      </c>
      <c r="AH20" s="95">
        <f>IFERROR(G20/O20,"")</f>
        <v/>
      </c>
      <c r="AI20" s="95">
        <f>IFERROR(G20/C20,"")</f>
        <v/>
      </c>
      <c r="AJ20" s="95">
        <f>IFERROR(D20/C20,"")</f>
        <v/>
      </c>
      <c r="AK20" s="6" t="n"/>
      <c r="AL20" s="6" t="n"/>
      <c r="AM20" s="6" t="n"/>
      <c r="AN20" s="6" t="n"/>
      <c r="AO20" s="96" t="n">
        <v>42.464</v>
      </c>
      <c r="AP20" s="97">
        <f>IFERROR(IF(AND(NOT(ISNUMBER(F20)),NOT(ISNUMBER(AO20))),"",F20+AO20),"")</f>
        <v/>
      </c>
      <c r="AQ20" s="97">
        <f>IFERROR(IF(OR(NOT(ISNUMBER(E20)),NOT(ISNUMBER(AP20))),"",E20-AP20),"")</f>
        <v/>
      </c>
      <c r="AR20" s="96" t="n"/>
      <c r="AS20" s="97">
        <f>IFERROR(IF(OR(NOT(ISNUMBER(AR20)),NOT(ISNUMBER(S20))),"",AR20-S20),"")</f>
        <v/>
      </c>
      <c r="AT20" s="45" t="inlineStr">
        <is>
          <t>Gross debt = ST bank loans 2,138.461 + current portion LT bank loans 79.830 + LT bank loans 769.178 = 2,987.469; cash 304.932</t>
        </is>
      </c>
    </row>
    <row r="21" ht="15" customHeight="1" s="67">
      <c r="A21" s="6" t="inlineStr">
        <is>
          <t>PT Citra Borneo Utama Tbk</t>
        </is>
      </c>
      <c r="B21" s="92" t="n">
        <v>2024</v>
      </c>
      <c r="C21" s="93" t="n">
        <v>9766.108</v>
      </c>
      <c r="D21" s="93" t="n">
        <v>1146.509</v>
      </c>
      <c r="E21" s="93" t="n"/>
      <c r="F21" s="93" t="n">
        <v>89.639</v>
      </c>
      <c r="G21" s="93" t="n">
        <v>68.18600000000001</v>
      </c>
      <c r="H21" s="93" t="n">
        <v>68.18600000000001</v>
      </c>
      <c r="I21" s="93" t="n">
        <v>4200.319</v>
      </c>
      <c r="J21" s="93" t="n">
        <v>3591.721</v>
      </c>
      <c r="K21" s="93" t="n">
        <v>608.598</v>
      </c>
      <c r="L21" s="93" t="n">
        <v>3231.021</v>
      </c>
      <c r="M21" s="93" t="n">
        <v>2547.153</v>
      </c>
      <c r="N21" s="93" t="n">
        <v>683.8680000000001</v>
      </c>
      <c r="O21" s="93" t="n">
        <v>969.298</v>
      </c>
      <c r="P21" s="94">
        <f>IFERROR(J21-M21,"")</f>
        <v/>
      </c>
      <c r="Q21" s="93" t="n">
        <v>234.104</v>
      </c>
      <c r="R21" s="93" t="n">
        <v>2714.137</v>
      </c>
      <c r="S21" s="94">
        <f>IFERROR(R21-Q21,"")</f>
        <v/>
      </c>
      <c r="T21" s="93" t="n">
        <v>-246.579</v>
      </c>
      <c r="U21" s="93" t="n">
        <v>115.118</v>
      </c>
      <c r="V21" s="94">
        <f>IFERROR(T21-U21,"")</f>
        <v/>
      </c>
      <c r="W21" s="93" t="n">
        <v>3125</v>
      </c>
      <c r="X21" s="93" t="n">
        <v>21.82</v>
      </c>
      <c r="Y21" s="93" t="n"/>
      <c r="Z21" s="93" t="n"/>
      <c r="AA21" s="93" t="n">
        <v>9.23</v>
      </c>
      <c r="AB21" s="93" t="n">
        <v>945</v>
      </c>
      <c r="AC21" s="94">
        <f>IFERROR(W21*AB21/1000,"")</f>
        <v/>
      </c>
      <c r="AD21" s="17">
        <f>IFERROR(J21/M21,"")</f>
        <v/>
      </c>
      <c r="AE21" s="17">
        <f>IFERROR(R21/I21,"")</f>
        <v/>
      </c>
      <c r="AF21" s="17">
        <f>IFERROR(R21/O21,"")</f>
        <v/>
      </c>
      <c r="AG21" s="95">
        <f>IFERROR(G21/I21,"")</f>
        <v/>
      </c>
      <c r="AH21" s="95">
        <f>IFERROR(G21/O21,"")</f>
        <v/>
      </c>
      <c r="AI21" s="95">
        <f>IFERROR(G21/C21,"")</f>
        <v/>
      </c>
      <c r="AJ21" s="95">
        <f>IFERROR(D21/C21,"")</f>
        <v/>
      </c>
      <c r="AK21" s="6" t="n"/>
      <c r="AL21" s="6" t="n"/>
      <c r="AM21" s="6" t="n"/>
      <c r="AN21" s="6" t="n"/>
      <c r="AO21" s="96" t="n">
        <v>44.678</v>
      </c>
      <c r="AP21" s="97">
        <f>IFERROR(IF(AND(NOT(ISNUMBER(F21)),NOT(ISNUMBER(AO21))),"",F21+AO21),"")</f>
        <v/>
      </c>
      <c r="AQ21" s="97">
        <f>IFERROR(IF(OR(NOT(ISNUMBER(E21)),NOT(ISNUMBER(AP21))),"",E21-AP21),"")</f>
        <v/>
      </c>
      <c r="AR21" s="96" t="n"/>
      <c r="AS21" s="97">
        <f>IFERROR(IF(OR(NOT(ISNUMBER(AR21)),NOT(ISNUMBER(S21))),"",AR21-S21),"")</f>
        <v/>
      </c>
      <c r="AT21" s="45" t="inlineStr">
        <is>
          <t>Gross debt = ST bank loans 1,944.959 + current portion LT 89.830 + LT 679.348 = 2,714.137; cash 234.104</t>
        </is>
      </c>
    </row>
    <row r="22" ht="15" customHeight="1" s="67">
      <c r="A22" s="6" t="inlineStr">
        <is>
          <t>PT Citra Borneo Utama Tbk</t>
        </is>
      </c>
      <c r="B22" s="92" t="n">
        <v>2025</v>
      </c>
      <c r="C22" s="93" t="n">
        <v>13970.811</v>
      </c>
      <c r="D22" s="93" t="n">
        <v>1982.302</v>
      </c>
      <c r="E22" s="93" t="n"/>
      <c r="F22" s="93" t="n">
        <v>366.418</v>
      </c>
      <c r="G22" s="93" t="n">
        <v>106.175</v>
      </c>
      <c r="H22" s="93" t="n">
        <v>106.175</v>
      </c>
      <c r="I22" s="93" t="n">
        <v>4117.814</v>
      </c>
      <c r="J22" s="93" t="n">
        <v>2811.84</v>
      </c>
      <c r="K22" s="93" t="n">
        <v>1305.974</v>
      </c>
      <c r="L22" s="93" t="n">
        <v>3007.199</v>
      </c>
      <c r="M22" s="93" t="n">
        <v>2286.662</v>
      </c>
      <c r="N22" s="93" t="n">
        <v>720.537</v>
      </c>
      <c r="O22" s="93" t="n">
        <v>1110.615</v>
      </c>
      <c r="P22" s="94">
        <f>IFERROR(J22-M22,"")</f>
        <v/>
      </c>
      <c r="Q22" s="93" t="n">
        <v>284.835</v>
      </c>
      <c r="R22" s="93" t="n">
        <v>1897.841</v>
      </c>
      <c r="S22" s="94">
        <f>IFERROR(R22-Q22,"")</f>
        <v/>
      </c>
      <c r="T22" s="93" t="n">
        <v>395.712</v>
      </c>
      <c r="U22" s="93" t="n">
        <v>258.905</v>
      </c>
      <c r="V22" s="94">
        <f>IFERROR(T22-U22,"")</f>
        <v/>
      </c>
      <c r="W22" s="93" t="n">
        <v>3125</v>
      </c>
      <c r="X22" s="93" t="n">
        <v>33.98</v>
      </c>
      <c r="Y22" s="93" t="n"/>
      <c r="Z22" s="93" t="n"/>
      <c r="AA22" s="93" t="n"/>
      <c r="AB22" s="93" t="n">
        <v>1045</v>
      </c>
      <c r="AC22" s="94">
        <f>IFERROR(W22*AB22/1000,"")</f>
        <v/>
      </c>
      <c r="AD22" s="17">
        <f>IFERROR(J22/M22,"")</f>
        <v/>
      </c>
      <c r="AE22" s="17">
        <f>IFERROR(R22/I22,"")</f>
        <v/>
      </c>
      <c r="AF22" s="17">
        <f>IFERROR(R22/O22,"")</f>
        <v/>
      </c>
      <c r="AG22" s="95">
        <f>IFERROR(G22/I22,"")</f>
        <v/>
      </c>
      <c r="AH22" s="95">
        <f>IFERROR(G22/O22,"")</f>
        <v/>
      </c>
      <c r="AI22" s="95">
        <f>IFERROR(G22/C22,"")</f>
        <v/>
      </c>
      <c r="AJ22" s="95">
        <f>IFERROR(D22/C22,"")</f>
        <v/>
      </c>
      <c r="AK22" s="6" t="n"/>
      <c r="AL22" s="6" t="n"/>
      <c r="AM22" s="6" t="n"/>
      <c r="AN22" s="6" t="n"/>
      <c r="AO22" s="96" t="n">
        <v>46.703</v>
      </c>
      <c r="AP22" s="97">
        <f>IFERROR(IF(AND(NOT(ISNUMBER(F22)),NOT(ISNUMBER(AO22))),"",F22+AO22),"")</f>
        <v/>
      </c>
      <c r="AQ22" s="97">
        <f>IFERROR(IF(OR(NOT(ISNUMBER(E22)),NOT(ISNUMBER(AP22))),"",E22-AP22),"")</f>
        <v/>
      </c>
      <c r="AR22" s="96" t="n"/>
      <c r="AS22" s="97">
        <f>IFERROR(IF(OR(NOT(ISNUMBER(AR22)),NOT(ISNUMBER(S22))),"",AR22-S22),"")</f>
        <v/>
      </c>
      <c r="AT22" s="45" t="inlineStr">
        <is>
          <t>Gross debt = ST bank loans 1,218.493 + current portion LT 124.830 + LT 554.518 = 1,897.841; cash 284.835</t>
        </is>
      </c>
    </row>
    <row r="23" ht="15" customHeight="1" s="67">
      <c r="A23" s="6" t="inlineStr">
        <is>
          <t>PT Cisadane Sawit Raya Tbk.</t>
        </is>
      </c>
      <c r="B23" s="92" t="n">
        <v>2022</v>
      </c>
      <c r="C23" s="93" t="n">
        <v>970.572</v>
      </c>
      <c r="D23" s="93" t="n">
        <v>571.759</v>
      </c>
      <c r="E23" s="93" t="n">
        <v>449.517</v>
      </c>
      <c r="F23" s="93" t="n">
        <v>396.174</v>
      </c>
      <c r="G23" s="93" t="n">
        <v>252.407</v>
      </c>
      <c r="H23" s="93" t="n">
        <v>252.407</v>
      </c>
      <c r="I23" s="93" t="n">
        <v>1835.254</v>
      </c>
      <c r="J23" s="93" t="n">
        <v>502.528</v>
      </c>
      <c r="K23" s="93" t="n">
        <v>1332.726</v>
      </c>
      <c r="L23" s="93" t="n">
        <v>872.1420000000001</v>
      </c>
      <c r="M23" s="93" t="n">
        <v>251.247</v>
      </c>
      <c r="N23" s="93" t="n">
        <v>620.895</v>
      </c>
      <c r="O23" s="93" t="n">
        <v>963.112</v>
      </c>
      <c r="P23" s="94">
        <f>IFERROR(J23-M23,"")</f>
        <v/>
      </c>
      <c r="Q23" s="93" t="n">
        <v>263.734</v>
      </c>
      <c r="R23" s="93" t="n">
        <v>644.696</v>
      </c>
      <c r="S23" s="94">
        <f>IFERROR(R23-Q23,"")</f>
        <v/>
      </c>
      <c r="T23" s="93" t="n">
        <v>401.336</v>
      </c>
      <c r="U23" s="93" t="n">
        <v>134.417</v>
      </c>
      <c r="V23" s="94">
        <f>IFERROR(T23-U23,"")</f>
        <v/>
      </c>
      <c r="W23" s="93" t="n">
        <v>2050</v>
      </c>
      <c r="X23" s="93" t="n">
        <v>123</v>
      </c>
      <c r="Y23" s="93" t="n"/>
      <c r="Z23" s="93" t="n">
        <v>25</v>
      </c>
      <c r="AA23" s="93" t="n">
        <v>10</v>
      </c>
      <c r="AB23" s="93" t="n">
        <v>570</v>
      </c>
      <c r="AC23" s="94">
        <f>IFERROR(W23*AB23/1000,"")</f>
        <v/>
      </c>
      <c r="AD23" s="17">
        <f>IFERROR(J23/M23,"")</f>
        <v/>
      </c>
      <c r="AE23" s="17">
        <f>IFERROR(R23/I23,"")</f>
        <v/>
      </c>
      <c r="AF23" s="17">
        <f>IFERROR(R23/O23,"")</f>
        <v/>
      </c>
      <c r="AG23" s="95">
        <f>IFERROR(G23/I23,"")</f>
        <v/>
      </c>
      <c r="AH23" s="95">
        <f>IFERROR(G23/O23,"")</f>
        <v/>
      </c>
      <c r="AI23" s="95">
        <f>IFERROR(G23/C23,"")</f>
        <v/>
      </c>
      <c r="AJ23" s="95">
        <f>IFERROR(D23/C23,"")</f>
        <v/>
      </c>
      <c r="AK23" s="6" t="n"/>
      <c r="AL23" s="6" t="n"/>
      <c r="AM23" s="6" t="n"/>
      <c r="AN23" s="6" t="n"/>
      <c r="AO23" s="96" t="n"/>
      <c r="AP23" s="97">
        <f>IFERROR(IF(AND(NOT(ISNUMBER(F23)),NOT(ISNUMBER(AO23))),"",F23+AO23),"")</f>
        <v/>
      </c>
      <c r="AQ23" s="97">
        <f>IFERROR(IF(OR(NOT(ISNUMBER(E23)),NOT(ISNUMBER(AP23))),"",E23-AP23),"")</f>
        <v/>
      </c>
      <c r="AR23" s="96" t="n">
        <v>380.962</v>
      </c>
      <c r="AS23" s="97">
        <f>IFERROR(IF(OR(NOT(ISNUMBER(AR23)),NOT(ISNUMBER(S23))),"",AR23-S23),"")</f>
        <v/>
      </c>
      <c r="AT23" s="45" t="inlineStr">
        <is>
          <t>Net debt = Total loans 644,696 - Cash &amp; equivalents 263,734 = 380,962 (company disclosed)</t>
        </is>
      </c>
    </row>
    <row r="24" ht="15" customHeight="1" s="67">
      <c r="A24" s="6" t="inlineStr">
        <is>
          <t>PT Cisadane Sawit Raya Tbk.</t>
        </is>
      </c>
      <c r="B24" s="92" t="n">
        <v>2023</v>
      </c>
      <c r="C24" s="93" t="n">
        <v>875.5119999999999</v>
      </c>
      <c r="D24" s="93" t="n">
        <v>399.586</v>
      </c>
      <c r="E24" s="93" t="n">
        <v>317.261</v>
      </c>
      <c r="F24" s="93" t="n">
        <v>221.843</v>
      </c>
      <c r="G24" s="93" t="n">
        <v>146.139</v>
      </c>
      <c r="H24" s="93" t="n">
        <v>146.139</v>
      </c>
      <c r="I24" s="93" t="n">
        <v>1842.858</v>
      </c>
      <c r="J24" s="93" t="n">
        <v>323.758</v>
      </c>
      <c r="K24" s="93" t="n">
        <v>1519.099</v>
      </c>
      <c r="L24" s="93" t="n">
        <v>727.686</v>
      </c>
      <c r="M24" s="93" t="n">
        <v>187.487</v>
      </c>
      <c r="N24" s="93" t="n">
        <v>540.199</v>
      </c>
      <c r="O24" s="93" t="n">
        <v>1115.172</v>
      </c>
      <c r="P24" s="94">
        <f>IFERROR(J24-M24,"")</f>
        <v/>
      </c>
      <c r="Q24" s="93" t="n">
        <v>25.365</v>
      </c>
      <c r="R24" s="93" t="n">
        <v>509.346</v>
      </c>
      <c r="S24" s="94">
        <f>IFERROR(R24-Q24,"")</f>
        <v/>
      </c>
      <c r="T24" s="93" t="n">
        <v>192.491</v>
      </c>
      <c r="U24" s="93" t="n">
        <v>136.372</v>
      </c>
      <c r="V24" s="94">
        <f>IFERROR(T24-U24,"")</f>
        <v/>
      </c>
      <c r="W24" s="93" t="n">
        <v>2050</v>
      </c>
      <c r="X24" s="93" t="n">
        <v>71</v>
      </c>
      <c r="Y24" s="93" t="n"/>
      <c r="Z24" s="93" t="n"/>
      <c r="AA24" s="93" t="n"/>
      <c r="AB24" s="93" t="n">
        <v>472</v>
      </c>
      <c r="AC24" s="94">
        <f>IFERROR(W24*AB24/1000,"")</f>
        <v/>
      </c>
      <c r="AD24" s="17">
        <f>IFERROR(J24/M24,"")</f>
        <v/>
      </c>
      <c r="AE24" s="17">
        <f>IFERROR(R24/I24,"")</f>
        <v/>
      </c>
      <c r="AF24" s="17">
        <f>IFERROR(R24/O24,"")</f>
        <v/>
      </c>
      <c r="AG24" s="95">
        <f>IFERROR(G24/I24,"")</f>
        <v/>
      </c>
      <c r="AH24" s="95">
        <f>IFERROR(G24/O24,"")</f>
        <v/>
      </c>
      <c r="AI24" s="95">
        <f>IFERROR(G24/C24,"")</f>
        <v/>
      </c>
      <c r="AJ24" s="95">
        <f>IFERROR(D24/C24,"")</f>
        <v/>
      </c>
      <c r="AK24" s="6" t="n"/>
      <c r="AL24" s="6" t="n"/>
      <c r="AM24" s="6" t="n"/>
      <c r="AN24" s="6" t="n"/>
      <c r="AO24" s="96" t="n"/>
      <c r="AP24" s="97">
        <f>IFERROR(IF(AND(NOT(ISNUMBER(F24)),NOT(ISNUMBER(AO24))),"",F24+AO24),"")</f>
        <v/>
      </c>
      <c r="AQ24" s="97">
        <f>IFERROR(IF(OR(NOT(ISNUMBER(E24)),NOT(ISNUMBER(AP24))),"",E24-AP24),"")</f>
        <v/>
      </c>
      <c r="AR24" s="96" t="n">
        <v>483.981</v>
      </c>
      <c r="AS24" s="97">
        <f>IFERROR(IF(OR(NOT(ISNUMBER(AR24)),NOT(ISNUMBER(S24))),"",AR24-S24),"")</f>
        <v/>
      </c>
      <c r="AT24" s="45" t="inlineStr">
        <is>
          <t>Net debt = Total Loans 509,346 - Cash 25,365 = 483,981 (company disclosed); Gearing ratio 43.40%</t>
        </is>
      </c>
    </row>
    <row r="25" ht="15" customHeight="1" s="67">
      <c r="A25" s="6" t="inlineStr">
        <is>
          <t>PT Cisadane Sawit Raya Tbk.</t>
        </is>
      </c>
      <c r="B25" s="92" t="n">
        <v>2024</v>
      </c>
      <c r="C25" s="93" t="n">
        <v>1066.759</v>
      </c>
      <c r="D25" s="93" t="n">
        <v>483.864</v>
      </c>
      <c r="E25" s="93" t="n">
        <v>441.979</v>
      </c>
      <c r="F25" s="93" t="n">
        <v>263.628</v>
      </c>
      <c r="G25" s="93" t="n">
        <v>214.855</v>
      </c>
      <c r="H25" s="93" t="n">
        <v>214.855</v>
      </c>
      <c r="I25" s="93" t="n">
        <v>2251.265</v>
      </c>
      <c r="J25" s="93" t="n">
        <v>463.276</v>
      </c>
      <c r="K25" s="93" t="n">
        <v>1787.989</v>
      </c>
      <c r="L25" s="93" t="n">
        <v>952.7190000000001</v>
      </c>
      <c r="M25" s="93" t="n">
        <v>250.757</v>
      </c>
      <c r="N25" s="93" t="n">
        <v>701.962</v>
      </c>
      <c r="O25" s="93" t="n">
        <v>1298.545</v>
      </c>
      <c r="P25" s="94">
        <f>IFERROR(J25-M25,"")</f>
        <v/>
      </c>
      <c r="Q25" s="93" t="n">
        <v>133.268</v>
      </c>
      <c r="R25" s="93" t="n">
        <v>693.577</v>
      </c>
      <c r="S25" s="94">
        <f>IFERROR(R25-Q25,"")</f>
        <v/>
      </c>
      <c r="T25" s="93" t="n">
        <v>332.808</v>
      </c>
      <c r="U25" s="93" t="n">
        <v>227.648</v>
      </c>
      <c r="V25" s="94">
        <f>IFERROR(T25-U25,"")</f>
        <v/>
      </c>
      <c r="W25" s="93" t="n">
        <v>2050</v>
      </c>
      <c r="X25" s="93" t="n">
        <v>105</v>
      </c>
      <c r="Y25" s="93" t="n"/>
      <c r="Z25" s="93" t="n"/>
      <c r="AA25" s="93" t="n">
        <v>14.63</v>
      </c>
      <c r="AB25" s="93" t="n">
        <v>725</v>
      </c>
      <c r="AC25" s="94">
        <f>IFERROR(W25*AB25/1000,"")</f>
        <v/>
      </c>
      <c r="AD25" s="17">
        <f>IFERROR(J25/M25,"")</f>
        <v/>
      </c>
      <c r="AE25" s="17">
        <f>IFERROR(R25/I25,"")</f>
        <v/>
      </c>
      <c r="AF25" s="17">
        <f>IFERROR(R25/O25,"")</f>
        <v/>
      </c>
      <c r="AG25" s="95">
        <f>IFERROR(G25/I25,"")</f>
        <v/>
      </c>
      <c r="AH25" s="95">
        <f>IFERROR(G25/O25,"")</f>
        <v/>
      </c>
      <c r="AI25" s="95">
        <f>IFERROR(G25/C25,"")</f>
        <v/>
      </c>
      <c r="AJ25" s="95">
        <f>IFERROR(D25/C25,"")</f>
        <v/>
      </c>
      <c r="AK25" s="6" t="n"/>
      <c r="AL25" s="6" t="n"/>
      <c r="AM25" s="6" t="n"/>
      <c r="AN25" s="6" t="n"/>
      <c r="AO25" s="96" t="n"/>
      <c r="AP25" s="97">
        <f>IFERROR(IF(AND(NOT(ISNUMBER(F25)),NOT(ISNUMBER(AO25))),"",F25+AO25),"")</f>
        <v/>
      </c>
      <c r="AQ25" s="97">
        <f>IFERROR(IF(OR(NOT(ISNUMBER(E25)),NOT(ISNUMBER(AP25))),"",E25-AP25),"")</f>
        <v/>
      </c>
      <c r="AR25" s="96" t="n">
        <v>560.309</v>
      </c>
      <c r="AS25" s="97">
        <f>IFERROR(IF(OR(NOT(ISNUMBER(AR25)),NOT(ISNUMBER(S25))),"",AR25-S25),"")</f>
        <v/>
      </c>
      <c r="AT25" s="45" t="inlineStr">
        <is>
          <t>Net debt = Total Loans 693,577 - Cash 133,268 = 560,309 (company disclosed); Gearing ratio 43.15%</t>
        </is>
      </c>
    </row>
    <row r="26" ht="15" customHeight="1" s="67">
      <c r="A26" s="6" t="inlineStr">
        <is>
          <t>PT Dharma Satya Nusantara Tbk</t>
        </is>
      </c>
      <c r="B26" s="92" t="n">
        <v>2022</v>
      </c>
      <c r="C26" s="93" t="n">
        <v>9633.671</v>
      </c>
      <c r="D26" s="93" t="n">
        <v>3117.575</v>
      </c>
      <c r="E26" s="93" t="n">
        <v>3018.363</v>
      </c>
      <c r="F26" s="93" t="n">
        <v>2172.475</v>
      </c>
      <c r="G26" s="93" t="n">
        <v>1206.587</v>
      </c>
      <c r="H26" s="93" t="n">
        <v>1206.835</v>
      </c>
      <c r="I26" s="93" t="n">
        <v>15357.229</v>
      </c>
      <c r="J26" s="93" t="n">
        <v>3229.582</v>
      </c>
      <c r="K26" s="93" t="n">
        <v>12127.647</v>
      </c>
      <c r="L26" s="93" t="n">
        <v>7197.089</v>
      </c>
      <c r="M26" s="93" t="n">
        <v>3022.162</v>
      </c>
      <c r="N26" s="93" t="n">
        <v>4174.927</v>
      </c>
      <c r="O26" s="93" t="n">
        <v>8160.14</v>
      </c>
      <c r="P26" s="94">
        <f>IFERROR(J26-M26,"")</f>
        <v/>
      </c>
      <c r="Q26" s="93" t="n">
        <v>359.349</v>
      </c>
      <c r="R26" s="93" t="n">
        <v>4926.946</v>
      </c>
      <c r="S26" s="94">
        <f>IFERROR(R26-Q26,"")</f>
        <v/>
      </c>
      <c r="T26" s="93" t="n">
        <v>1538.027</v>
      </c>
      <c r="U26" s="93" t="n">
        <v>1197.756</v>
      </c>
      <c r="V26" s="94">
        <f>IFERROR(T26-U26,"")</f>
        <v/>
      </c>
      <c r="W26" s="93" t="n">
        <v>10599.842</v>
      </c>
      <c r="X26" s="93" t="n">
        <v>113.86</v>
      </c>
      <c r="Y26" s="93" t="n">
        <v>758.03</v>
      </c>
      <c r="Z26" s="93" t="n"/>
      <c r="AA26" s="93" t="n">
        <v>20</v>
      </c>
      <c r="AB26" s="93" t="n">
        <v>496</v>
      </c>
      <c r="AC26" s="94">
        <f>IFERROR(W26*AB26/1000,"")</f>
        <v/>
      </c>
      <c r="AD26" s="17">
        <f>IFERROR(J26/M26,"")</f>
        <v/>
      </c>
      <c r="AE26" s="17">
        <f>IFERROR(R26/I26,"")</f>
        <v/>
      </c>
      <c r="AF26" s="17">
        <f>IFERROR(R26/O26,"")</f>
        <v/>
      </c>
      <c r="AG26" s="95">
        <f>IFERROR(G26/I26,"")</f>
        <v/>
      </c>
      <c r="AH26" s="95">
        <f>IFERROR(G26/O26,"")</f>
        <v/>
      </c>
      <c r="AI26" s="95">
        <f>IFERROR(G26/C26,"")</f>
        <v/>
      </c>
      <c r="AJ26" s="95">
        <f>IFERROR(D26/C26,"")</f>
        <v/>
      </c>
      <c r="AK26" s="6" t="n"/>
      <c r="AL26" s="6" t="n"/>
      <c r="AM26" s="6" t="n"/>
      <c r="AN26" s="6" t="n"/>
      <c r="AO26" s="96" t="n">
        <v>846.0119999999999</v>
      </c>
      <c r="AP26" s="97">
        <f>IFERROR(IF(AND(NOT(ISNUMBER(F26)),NOT(ISNUMBER(AO26))),"",F26+AO26),"")</f>
        <v/>
      </c>
      <c r="AQ26" s="97">
        <f>IFERROR(IF(OR(NOT(ISNUMBER(E26)),NOT(ISNUMBER(AP26))),"",E26-AP26),"")</f>
        <v/>
      </c>
      <c r="AR26" s="96" t="n">
        <v>4567.597</v>
      </c>
      <c r="AS26" s="97">
        <f>IFERROR(IF(OR(NOT(ISNUMBER(AR26)),NOT(ISNUMBER(S26))),"",AR26-S26),"")</f>
        <v/>
      </c>
      <c r="AT26" s="45" t="inlineStr">
        <is>
          <t>Gross debt = short-term bank loans (668.076) + current LT bank loans (759.953) + long-term bank loans (3,041.083) + current bonds (282.310) + LT bonds (175.524). Net debt = gross debt - cash. D&amp;A approximated as fixed-asset depreciation (478.683) + bearer plant amortization (243.793) + RoU depr + plasma amort + biological; EBITDA-EBIT ~ 845.9 bn used.</t>
        </is>
      </c>
    </row>
    <row r="27" ht="15" customHeight="1" s="67">
      <c r="A27" s="6" t="inlineStr">
        <is>
          <t>PT Dharma Satya Nusantara Tbk</t>
        </is>
      </c>
      <c r="B27" s="92" t="n">
        <v>2023</v>
      </c>
      <c r="C27" s="93" t="n">
        <v>9498.749</v>
      </c>
      <c r="D27" s="93" t="n">
        <v>2527.468</v>
      </c>
      <c r="E27" s="93" t="n">
        <v>2421.068</v>
      </c>
      <c r="F27" s="93" t="n">
        <v>1555.713</v>
      </c>
      <c r="G27" s="93" t="n">
        <v>841.665</v>
      </c>
      <c r="H27" s="93" t="n">
        <v>839.809</v>
      </c>
      <c r="I27" s="93" t="n">
        <v>16178.278</v>
      </c>
      <c r="J27" s="93" t="n">
        <v>2949.268</v>
      </c>
      <c r="K27" s="93" t="n">
        <v>13229.01</v>
      </c>
      <c r="L27" s="93" t="n">
        <v>7288.85</v>
      </c>
      <c r="M27" s="93" t="n">
        <v>2945.961</v>
      </c>
      <c r="N27" s="93" t="n">
        <v>4342.889</v>
      </c>
      <c r="O27" s="93" t="n">
        <v>8889.428</v>
      </c>
      <c r="P27" s="94">
        <f>IFERROR(J27-M27,"")</f>
        <v/>
      </c>
      <c r="Q27" s="93" t="n">
        <v>389.746</v>
      </c>
      <c r="R27" s="93" t="n">
        <v>5075.615</v>
      </c>
      <c r="S27" s="94">
        <f>IFERROR(R27-Q27,"")</f>
        <v/>
      </c>
      <c r="T27" s="93" t="n">
        <v>1874.372</v>
      </c>
      <c r="U27" s="93" t="n">
        <v>1382.461</v>
      </c>
      <c r="V27" s="94">
        <f>IFERROR(T27-U27,"")</f>
        <v/>
      </c>
      <c r="W27" s="93" t="n">
        <v>10599.842</v>
      </c>
      <c r="X27" s="93" t="n">
        <v>79.23</v>
      </c>
      <c r="Y27" s="93" t="n">
        <v>822.27</v>
      </c>
      <c r="Z27" s="93" t="n"/>
      <c r="AA27" s="93" t="n">
        <v>30</v>
      </c>
      <c r="AB27" s="93" t="n">
        <v>555</v>
      </c>
      <c r="AC27" s="94">
        <f>IFERROR(W27*AB27/1000,"")</f>
        <v/>
      </c>
      <c r="AD27" s="17">
        <f>IFERROR(J27/M27,"")</f>
        <v/>
      </c>
      <c r="AE27" s="17">
        <f>IFERROR(R27/I27,"")</f>
        <v/>
      </c>
      <c r="AF27" s="17">
        <f>IFERROR(R27/O27,"")</f>
        <v/>
      </c>
      <c r="AG27" s="95">
        <f>IFERROR(G27/I27,"")</f>
        <v/>
      </c>
      <c r="AH27" s="95">
        <f>IFERROR(G27/O27,"")</f>
        <v/>
      </c>
      <c r="AI27" s="95">
        <f>IFERROR(G27/C27,"")</f>
        <v/>
      </c>
      <c r="AJ27" s="95">
        <f>IFERROR(D27/C27,"")</f>
        <v/>
      </c>
      <c r="AK27" s="6" t="n"/>
      <c r="AL27" s="6" t="n"/>
      <c r="AM27" s="6" t="n"/>
      <c r="AN27" s="6" t="n"/>
      <c r="AO27" s="96" t="n">
        <v>865.355</v>
      </c>
      <c r="AP27" s="97">
        <f>IFERROR(IF(AND(NOT(ISNUMBER(F27)),NOT(ISNUMBER(AO27))),"",F27+AO27),"")</f>
        <v/>
      </c>
      <c r="AQ27" s="97">
        <f>IFERROR(IF(OR(NOT(ISNUMBER(E27)),NOT(ISNUMBER(AP27))),"",E27-AP27),"")</f>
        <v/>
      </c>
      <c r="AR27" s="96" t="n">
        <v>4685.869</v>
      </c>
      <c r="AS27" s="97">
        <f>IFERROR(IF(OR(NOT(ISNUMBER(AR27)),NOT(ISNUMBER(S27))),"",AR27-S27),"")</f>
        <v/>
      </c>
      <c r="AT27" s="45" t="inlineStr">
        <is>
          <t>Gross debt = ST bank loans 947.588 + current LT bank loans 771.194 + LT bank loans 3,178.020 + current bonds 3.001 + LT bonds 175.812 = 5,075.615. Net debt = gross debt - cash 389.746. D&amp;A approx = EBITDA-EBIT = 865.355.</t>
        </is>
      </c>
    </row>
    <row r="28" ht="15" customHeight="1" s="67">
      <c r="A28" s="6" t="inlineStr">
        <is>
          <t>PT Dharma Satya Nusantara Tbk</t>
        </is>
      </c>
      <c r="B28" s="92" t="n">
        <v>2024</v>
      </c>
      <c r="C28" s="93" t="n">
        <v>10119.22</v>
      </c>
      <c r="D28" s="93" t="n">
        <v>3004.201</v>
      </c>
      <c r="E28" s="93" t="n">
        <v>3096.491</v>
      </c>
      <c r="F28" s="93" t="n">
        <v>2123.67</v>
      </c>
      <c r="G28" s="93" t="n">
        <v>1141.375</v>
      </c>
      <c r="H28" s="93" t="n">
        <v>1142.493</v>
      </c>
      <c r="I28" s="93" t="n">
        <v>17412.416</v>
      </c>
      <c r="J28" s="93" t="n">
        <v>2897.246</v>
      </c>
      <c r="K28" s="93" t="n">
        <v>14515.17</v>
      </c>
      <c r="L28" s="93" t="n">
        <v>7515.101</v>
      </c>
      <c r="M28" s="93" t="n">
        <v>2530.342</v>
      </c>
      <c r="N28" s="93" t="n">
        <v>4984.759</v>
      </c>
      <c r="O28" s="93" t="n">
        <v>9897.315000000001</v>
      </c>
      <c r="P28" s="94">
        <f>IFERROR(J28-M28,"")</f>
        <v/>
      </c>
      <c r="Q28" s="93" t="n">
        <v>557.023</v>
      </c>
      <c r="R28" s="93" t="n">
        <v>5228.212</v>
      </c>
      <c r="S28" s="94">
        <f>IFERROR(R28-Q28,"")</f>
        <v/>
      </c>
      <c r="T28" s="93" t="n">
        <v>2150.615</v>
      </c>
      <c r="U28" s="93" t="n">
        <v>1092.101</v>
      </c>
      <c r="V28" s="94">
        <f>IFERROR(T28-U28,"")</f>
        <v/>
      </c>
      <c r="W28" s="93" t="n">
        <v>10599.842</v>
      </c>
      <c r="X28" s="93" t="n">
        <v>107.78</v>
      </c>
      <c r="Y28" s="93" t="n">
        <v>917.3200000000001</v>
      </c>
      <c r="Z28" s="93" t="n"/>
      <c r="AA28" s="93" t="n">
        <v>22</v>
      </c>
      <c r="AB28" s="93" t="n">
        <v>950</v>
      </c>
      <c r="AC28" s="94">
        <f>IFERROR(W28*AB28/1000,"")</f>
        <v/>
      </c>
      <c r="AD28" s="17">
        <f>IFERROR(J28/M28,"")</f>
        <v/>
      </c>
      <c r="AE28" s="17">
        <f>IFERROR(R28/I28,"")</f>
        <v/>
      </c>
      <c r="AF28" s="17">
        <f>IFERROR(R28/O28,"")</f>
        <v/>
      </c>
      <c r="AG28" s="95">
        <f>IFERROR(G28/I28,"")</f>
        <v/>
      </c>
      <c r="AH28" s="95">
        <f>IFERROR(G28/O28,"")</f>
        <v/>
      </c>
      <c r="AI28" s="95">
        <f>IFERROR(G28/C28,"")</f>
        <v/>
      </c>
      <c r="AJ28" s="95">
        <f>IFERROR(D28/C28,"")</f>
        <v/>
      </c>
      <c r="AK28" s="6" t="n"/>
      <c r="AL28" s="6" t="n"/>
      <c r="AM28" s="6" t="n"/>
      <c r="AN28" s="6" t="n"/>
      <c r="AO28" s="96" t="n">
        <v>972.821</v>
      </c>
      <c r="AP28" s="97">
        <f>IFERROR(IF(AND(NOT(ISNUMBER(F28)),NOT(ISNUMBER(AO28))),"",F28+AO28),"")</f>
        <v/>
      </c>
      <c r="AQ28" s="97">
        <f>IFERROR(IF(OR(NOT(ISNUMBER(E28)),NOT(ISNUMBER(AP28))),"",E28-AP28),"")</f>
        <v/>
      </c>
      <c r="AR28" s="96" t="n">
        <v>4671.189</v>
      </c>
      <c r="AS28" s="97">
        <f>IFERROR(IF(OR(NOT(ISNUMBER(AR28)),NOT(ISNUMBER(S28))),"",AR28-S28),"")</f>
        <v/>
      </c>
      <c r="AT28" s="45" t="inlineStr">
        <is>
          <t>Gross debt = ST bank loans 476.957 + current LT bank loans 597.660 + LT bank loans 3,971.671 + current bonds 181.924 + LT bonds 0 = 5,228.212. Net debt = gross debt - cash 557.023. D&amp;A approx = EBITDA-EBIT = 972.821.</t>
        </is>
      </c>
    </row>
    <row r="29" ht="15" customHeight="1" s="67">
      <c r="A29" s="6" t="inlineStr">
        <is>
          <t>PT FAP Agri Tbk</t>
        </is>
      </c>
      <c r="B29" s="92" t="n">
        <v>2022</v>
      </c>
      <c r="C29" s="93" t="n">
        <v>4828.634</v>
      </c>
      <c r="D29" s="93" t="n">
        <v>1616.33</v>
      </c>
      <c r="E29" s="93" t="n"/>
      <c r="F29" s="93" t="n">
        <v>1304.862</v>
      </c>
      <c r="G29" s="93" t="n">
        <v>749.311</v>
      </c>
      <c r="H29" s="93" t="n">
        <v>709.144</v>
      </c>
      <c r="I29" s="93" t="n">
        <v>8624.009</v>
      </c>
      <c r="J29" s="93" t="n">
        <v>1808.825</v>
      </c>
      <c r="K29" s="93" t="n">
        <v>6815.184</v>
      </c>
      <c r="L29" s="93" t="n">
        <v>4724.997</v>
      </c>
      <c r="M29" s="93" t="n">
        <v>2052.812</v>
      </c>
      <c r="N29" s="93" t="n">
        <v>2672.185</v>
      </c>
      <c r="O29" s="93" t="n">
        <v>3899.012</v>
      </c>
      <c r="P29" s="94">
        <f>IFERROR(J29-M29,"")</f>
        <v/>
      </c>
      <c r="Q29" s="93" t="n">
        <v>507.768</v>
      </c>
      <c r="R29" s="93" t="n">
        <v>3508.193</v>
      </c>
      <c r="S29" s="94">
        <f>IFERROR(R29-Q29,"")</f>
        <v/>
      </c>
      <c r="T29" s="93" t="n">
        <v>1895.737</v>
      </c>
      <c r="U29" s="93" t="n">
        <v>468.859</v>
      </c>
      <c r="V29" s="94">
        <f>IFERROR(T29-U29,"")</f>
        <v/>
      </c>
      <c r="W29" s="93" t="n">
        <v>3629.412</v>
      </c>
      <c r="X29" s="93" t="n">
        <v>195.39</v>
      </c>
      <c r="Y29" s="93" t="n">
        <v>1074.26</v>
      </c>
      <c r="Z29" s="93" t="n"/>
      <c r="AA29" s="93" t="n"/>
      <c r="AB29" s="93" t="n">
        <v>4300</v>
      </c>
      <c r="AC29" s="94">
        <f>IFERROR(W29*AB29/1000,"")</f>
        <v/>
      </c>
      <c r="AD29" s="17">
        <f>IFERROR(J29/M29,"")</f>
        <v/>
      </c>
      <c r="AE29" s="17">
        <f>IFERROR(R29/I29,"")</f>
        <v/>
      </c>
      <c r="AF29" s="17">
        <f>IFERROR(R29/O29,"")</f>
        <v/>
      </c>
      <c r="AG29" s="95">
        <f>IFERROR(G29/I29,"")</f>
        <v/>
      </c>
      <c r="AH29" s="95">
        <f>IFERROR(G29/O29,"")</f>
        <v/>
      </c>
      <c r="AI29" s="95">
        <f>IFERROR(G29/C29,"")</f>
        <v/>
      </c>
      <c r="AJ29" s="95">
        <f>IFERROR(D29/C29,"")</f>
        <v/>
      </c>
      <c r="AK29" s="6" t="n"/>
      <c r="AL29" s="6" t="n"/>
      <c r="AM29" s="6" t="n"/>
      <c r="AN29" s="6" t="n"/>
      <c r="AO29" s="96" t="n">
        <v>507.53</v>
      </c>
      <c r="AP29" s="97">
        <f>IFERROR(IF(AND(NOT(ISNUMBER(F29)),NOT(ISNUMBER(AO29))),"",F29+AO29),"")</f>
        <v/>
      </c>
      <c r="AQ29" s="97">
        <f>IFERROR(IF(OR(NOT(ISNUMBER(E29)),NOT(ISNUMBER(AP29))),"",E29-AP29),"")</f>
        <v/>
      </c>
      <c r="AR29" s="96" t="n">
        <v>3000.425</v>
      </c>
      <c r="AS29" s="97">
        <f>IFERROR(IF(OR(NOT(ISNUMBER(AR29)),NOT(ISNUMBER(S29))),"",AR29-S29),"")</f>
        <v/>
      </c>
      <c r="AT29" s="45" t="inlineStr">
        <is>
          <t>Gross debt = ST bank loans 530.783 + bank overdraft 427.739 + LT bank loans 2,549.671 = 3,508.193 bn. Net debt = gross debt - cash 507.768. D&amp;A from CF reconciliation: Rp507.53bn total depreciation. Capex = fixed asset acquisitions 410.978 + immature plantation additions 57.880 = 468.859.</t>
        </is>
      </c>
    </row>
    <row r="30" ht="15" customHeight="1" s="67">
      <c r="A30" s="6" t="inlineStr">
        <is>
          <t>PT FAP Agri Tbk</t>
        </is>
      </c>
      <c r="B30" s="92" t="n">
        <v>2023</v>
      </c>
      <c r="C30" s="93" t="n">
        <v>5062.244</v>
      </c>
      <c r="D30" s="93" t="n">
        <v>832.914</v>
      </c>
      <c r="E30" s="93" t="n"/>
      <c r="F30" s="93" t="n">
        <v>379.319</v>
      </c>
      <c r="G30" s="93" t="n">
        <v>161.679</v>
      </c>
      <c r="H30" s="93" t="n">
        <v>153.571</v>
      </c>
      <c r="I30" s="93" t="n">
        <v>8634.035</v>
      </c>
      <c r="J30" s="93" t="n">
        <v>1800.279</v>
      </c>
      <c r="K30" s="93" t="n">
        <v>6833.757</v>
      </c>
      <c r="L30" s="93" t="n">
        <v>4570.386</v>
      </c>
      <c r="M30" s="93" t="n">
        <v>2594.225</v>
      </c>
      <c r="N30" s="93" t="n">
        <v>1976.162</v>
      </c>
      <c r="O30" s="93" t="n">
        <v>4063.649</v>
      </c>
      <c r="P30" s="94">
        <f>IFERROR(J30-M30,"")</f>
        <v/>
      </c>
      <c r="Q30" s="93" t="n">
        <v>475.802</v>
      </c>
      <c r="R30" s="93" t="n">
        <v>3259.078</v>
      </c>
      <c r="S30" s="94">
        <f>IFERROR(R30-Q30,"")</f>
        <v/>
      </c>
      <c r="T30" s="93" t="n">
        <v>1030.969</v>
      </c>
      <c r="U30" s="93" t="n">
        <v>478.938</v>
      </c>
      <c r="V30" s="94">
        <f>IFERROR(T30-U30,"")</f>
        <v/>
      </c>
      <c r="W30" s="93" t="n">
        <v>3629.412</v>
      </c>
      <c r="X30" s="93" t="n">
        <v>42.31</v>
      </c>
      <c r="Y30" s="93" t="n">
        <v>1065.46</v>
      </c>
      <c r="Z30" s="93" t="n"/>
      <c r="AA30" s="93" t="n"/>
      <c r="AB30" s="93" t="n">
        <v>5300</v>
      </c>
      <c r="AC30" s="94">
        <f>IFERROR(W30*AB30/1000,"")</f>
        <v/>
      </c>
      <c r="AD30" s="17">
        <f>IFERROR(J30/M30,"")</f>
        <v/>
      </c>
      <c r="AE30" s="17">
        <f>IFERROR(R30/I30,"")</f>
        <v/>
      </c>
      <c r="AF30" s="17">
        <f>IFERROR(R30/O30,"")</f>
        <v/>
      </c>
      <c r="AG30" s="95">
        <f>IFERROR(G30/I30,"")</f>
        <v/>
      </c>
      <c r="AH30" s="95">
        <f>IFERROR(G30/O30,"")</f>
        <v/>
      </c>
      <c r="AI30" s="95">
        <f>IFERROR(G30/C30,"")</f>
        <v/>
      </c>
      <c r="AJ30" s="95">
        <f>IFERROR(D30/C30,"")</f>
        <v/>
      </c>
      <c r="AK30" s="6" t="n"/>
      <c r="AL30" s="6" t="n"/>
      <c r="AM30" s="6" t="n"/>
      <c r="AN30" s="6" t="n"/>
      <c r="AO30" s="96" t="n">
        <v>518.456</v>
      </c>
      <c r="AP30" s="97">
        <f>IFERROR(IF(AND(NOT(ISNUMBER(F30)),NOT(ISNUMBER(AO30))),"",F30+AO30),"")</f>
        <v/>
      </c>
      <c r="AQ30" s="97">
        <f>IFERROR(IF(OR(NOT(ISNUMBER(E30)),NOT(ISNUMBER(AP30))),"",E30-AP30),"")</f>
        <v/>
      </c>
      <c r="AR30" s="96" t="n">
        <v>2783.276</v>
      </c>
      <c r="AS30" s="97">
        <f>IFERROR(IF(OR(NOT(ISNUMBER(AR30)),NOT(ISNUMBER(S30))),"",AR30-S30),"")</f>
        <v/>
      </c>
      <c r="AT30" s="45" t="inlineStr">
        <is>
          <t>Gross debt = bank overdraft 724.815 + current LT bank loan 705.892 + LT bank loan 1,828.371 = 3,259.078 bn. Net debt = gross debt - cash 475.802. Depreciation from CF note 518.456bn. Capex = fixed-asset 441.137 + immature plantation 37.801 = 478.938.</t>
        </is>
      </c>
    </row>
    <row r="31" ht="15" customHeight="1" s="67">
      <c r="A31" s="6" t="inlineStr">
        <is>
          <t>PT FAP Agri Tbk</t>
        </is>
      </c>
      <c r="B31" s="92" t="n">
        <v>2024</v>
      </c>
      <c r="C31" s="93" t="n">
        <v>5742.984</v>
      </c>
      <c r="D31" s="93" t="n">
        <v>1318.57</v>
      </c>
      <c r="E31" s="93" t="n"/>
      <c r="F31" s="93" t="n">
        <v>876.6849999999999</v>
      </c>
      <c r="G31" s="93" t="n">
        <v>571.454</v>
      </c>
      <c r="H31" s="93" t="n">
        <v>542.473</v>
      </c>
      <c r="I31" s="93" t="n">
        <v>8816.683999999999</v>
      </c>
      <c r="J31" s="93" t="n">
        <v>1943.127</v>
      </c>
      <c r="K31" s="93" t="n">
        <v>6873.557</v>
      </c>
      <c r="L31" s="93" t="n">
        <v>4963.949</v>
      </c>
      <c r="M31" s="93" t="n">
        <v>2572.488</v>
      </c>
      <c r="N31" s="93" t="n">
        <v>2391.461</v>
      </c>
      <c r="O31" s="93" t="n">
        <v>3852.735</v>
      </c>
      <c r="P31" s="94">
        <f>IFERROR(J31-M31,"")</f>
        <v/>
      </c>
      <c r="Q31" s="93" t="n">
        <v>815.777</v>
      </c>
      <c r="R31" s="93" t="n">
        <v>3514.138</v>
      </c>
      <c r="S31" s="94">
        <f>IFERROR(R31-Q31,"")</f>
        <v/>
      </c>
      <c r="T31" s="93" t="n">
        <v>1706.122</v>
      </c>
      <c r="U31" s="93" t="n">
        <v>516.223</v>
      </c>
      <c r="V31" s="94">
        <f>IFERROR(T31-U31,"")</f>
        <v/>
      </c>
      <c r="W31" s="93" t="n">
        <v>3629.412</v>
      </c>
      <c r="X31" s="93" t="n">
        <v>151.02</v>
      </c>
      <c r="Y31" s="93" t="n">
        <v>1061.52</v>
      </c>
      <c r="Z31" s="93" t="n"/>
      <c r="AA31" s="93" t="n"/>
      <c r="AB31" s="93" t="n">
        <v>5400</v>
      </c>
      <c r="AC31" s="94">
        <f>IFERROR(W31*AB31/1000,"")</f>
        <v/>
      </c>
      <c r="AD31" s="17">
        <f>IFERROR(J31/M31,"")</f>
        <v/>
      </c>
      <c r="AE31" s="17">
        <f>IFERROR(R31/I31,"")</f>
        <v/>
      </c>
      <c r="AF31" s="17">
        <f>IFERROR(R31/O31,"")</f>
        <v/>
      </c>
      <c r="AG31" s="95">
        <f>IFERROR(G31/I31,"")</f>
        <v/>
      </c>
      <c r="AH31" s="95">
        <f>IFERROR(G31/O31,"")</f>
        <v/>
      </c>
      <c r="AI31" s="95">
        <f>IFERROR(G31/C31,"")</f>
        <v/>
      </c>
      <c r="AJ31" s="95">
        <f>IFERROR(D31/C31,"")</f>
        <v/>
      </c>
      <c r="AK31" s="6" t="n"/>
      <c r="AL31" s="6" t="n"/>
      <c r="AM31" s="6" t="n"/>
      <c r="AN31" s="6" t="n"/>
      <c r="AO31" s="96" t="n">
        <v>523.881</v>
      </c>
      <c r="AP31" s="97">
        <f>IFERROR(IF(AND(NOT(ISNUMBER(F31)),NOT(ISNUMBER(AO31))),"",F31+AO31),"")</f>
        <v/>
      </c>
      <c r="AQ31" s="97">
        <f>IFERROR(IF(OR(NOT(ISNUMBER(E31)),NOT(ISNUMBER(AP31))),"",E31-AP31),"")</f>
        <v/>
      </c>
      <c r="AR31" s="96" t="n">
        <v>2698.361</v>
      </c>
      <c r="AS31" s="97">
        <f>IFERROR(IF(OR(NOT(ISNUMBER(AR31)),NOT(ISNUMBER(S31))),"",AR31-S31),"")</f>
        <v/>
      </c>
      <c r="AT31" s="45" t="inlineStr">
        <is>
          <t>Gross debt = bank overdraft 676.569 + ST bank loans 661.945 + LT bank loans 2,175.625 = 3,514.138 bn. Net debt = gross debt - cash 815.777 = 2,698.361. Depreciation 523.881bn from CF note.</t>
        </is>
      </c>
    </row>
    <row r="32" ht="15" customHeight="1" s="67">
      <c r="A32" s="6" t="inlineStr">
        <is>
          <t>PT FKS Multi Agro Tbk</t>
        </is>
      </c>
      <c r="B32" s="92" t="n">
        <v>2022</v>
      </c>
      <c r="C32" s="93" t="n">
        <v>23242</v>
      </c>
      <c r="D32" s="93" t="n">
        <v>1243.4</v>
      </c>
      <c r="E32" s="93" t="n"/>
      <c r="F32" s="93" t="n">
        <v>748</v>
      </c>
      <c r="G32" s="93" t="n">
        <v>486.4</v>
      </c>
      <c r="H32" s="93" t="n">
        <v>478.8</v>
      </c>
      <c r="I32" s="93" t="n">
        <v>7185.9</v>
      </c>
      <c r="J32" s="93" t="n">
        <v>5283.3</v>
      </c>
      <c r="K32" s="93" t="n">
        <v>1902.1</v>
      </c>
      <c r="L32" s="93" t="n">
        <v>4578.1</v>
      </c>
      <c r="M32" s="93" t="n">
        <v>3645.2</v>
      </c>
      <c r="N32" s="93" t="n">
        <v>933.3</v>
      </c>
      <c r="O32" s="93" t="n">
        <v>2605.8</v>
      </c>
      <c r="P32" s="94">
        <f>IFERROR(J32-M32,"")</f>
        <v/>
      </c>
      <c r="Q32" s="93" t="n">
        <v>811.1</v>
      </c>
      <c r="R32" s="93" t="n">
        <v>2085</v>
      </c>
      <c r="S32" s="94">
        <f>IFERROR(R32-Q32,"")</f>
        <v/>
      </c>
      <c r="T32" s="93" t="n">
        <v>366.1</v>
      </c>
      <c r="U32" s="93" t="n">
        <v>94.7</v>
      </c>
      <c r="V32" s="94">
        <f>IFERROR(T32-U32,"")</f>
        <v/>
      </c>
      <c r="W32" s="93" t="n">
        <v>480</v>
      </c>
      <c r="X32" s="93" t="n">
        <v>995</v>
      </c>
      <c r="Y32" s="93" t="n"/>
      <c r="Z32" s="93" t="n"/>
      <c r="AA32" s="93" t="n"/>
      <c r="AB32" s="93" t="n">
        <v>6750</v>
      </c>
      <c r="AC32" s="94">
        <f>IFERROR(W32*AB32/1000,"")</f>
        <v/>
      </c>
      <c r="AD32" s="17">
        <f>IFERROR(J32/M32,"")</f>
        <v/>
      </c>
      <c r="AE32" s="17">
        <f>IFERROR(R32/I32,"")</f>
        <v/>
      </c>
      <c r="AF32" s="17">
        <f>IFERROR(R32/O32,"")</f>
        <v/>
      </c>
      <c r="AG32" s="95">
        <f>IFERROR(G32/I32,"")</f>
        <v/>
      </c>
      <c r="AH32" s="95">
        <f>IFERROR(G32/O32,"")</f>
        <v/>
      </c>
      <c r="AI32" s="95">
        <f>IFERROR(G32/C32,"")</f>
        <v/>
      </c>
      <c r="AJ32" s="95">
        <f>IFERROR(D32/C32,"")</f>
        <v/>
      </c>
      <c r="AK32" s="6" t="n"/>
      <c r="AL32" s="6" t="n"/>
      <c r="AM32" s="6" t="n"/>
      <c r="AN32" s="6" t="n"/>
      <c r="AO32" s="96" t="n"/>
      <c r="AP32" s="97">
        <f>IFERROR(IF(AND(NOT(ISNUMBER(F32)),NOT(ISNUMBER(AO32))),"",F32+AO32),"")</f>
        <v/>
      </c>
      <c r="AQ32" s="97">
        <f>IFERROR(IF(OR(NOT(ISNUMBER(E32)),NOT(ISNUMBER(AP32))),"",E32-AP32),"")</f>
        <v/>
      </c>
      <c r="AR32" s="96" t="n"/>
      <c r="AS32" s="97">
        <f>IFERROR(IF(OR(NOT(ISNUMBER(AR32)),NOT(ISNUMBER(S32))),"",AR32-S32),"")</f>
        <v/>
      </c>
      <c r="AT32" s="45" t="inlineStr">
        <is>
          <t>Gross debt = ST bank + current LT + LT bank (USD 133.89 mn) converted at USD/IDR 15,568 (end-2022).</t>
        </is>
      </c>
    </row>
    <row r="33" ht="15" customHeight="1" s="67">
      <c r="A33" s="6" t="inlineStr">
        <is>
          <t>PT FKS Multi Agro Tbk</t>
        </is>
      </c>
      <c r="B33" s="92" t="n">
        <v>2023</v>
      </c>
      <c r="C33" s="93" t="n">
        <v>21349</v>
      </c>
      <c r="D33" s="93" t="n">
        <v>1083</v>
      </c>
      <c r="E33" s="93" t="n"/>
      <c r="F33" s="93" t="n">
        <v>656</v>
      </c>
      <c r="G33" s="93" t="n">
        <v>377</v>
      </c>
      <c r="H33" s="93" t="n">
        <v>368</v>
      </c>
      <c r="I33" s="93" t="n">
        <v>7567</v>
      </c>
      <c r="J33" s="93" t="n">
        <v>5513</v>
      </c>
      <c r="K33" s="93" t="n">
        <v>2053</v>
      </c>
      <c r="L33" s="93" t="n">
        <v>4813</v>
      </c>
      <c r="M33" s="93" t="n">
        <v>4081</v>
      </c>
      <c r="N33" s="93" t="n">
        <v>732</v>
      </c>
      <c r="O33" s="93" t="n">
        <v>2755</v>
      </c>
      <c r="P33" s="94">
        <f>IFERROR(J33-M33,"")</f>
        <v/>
      </c>
      <c r="Q33" s="93" t="n">
        <v>977</v>
      </c>
      <c r="R33" s="93" t="n">
        <v>2212</v>
      </c>
      <c r="S33" s="94">
        <f>IFERROR(R33-Q33,"")</f>
        <v/>
      </c>
      <c r="T33" s="93" t="n">
        <v>586</v>
      </c>
      <c r="U33" s="93" t="n">
        <v>225</v>
      </c>
      <c r="V33" s="94">
        <f>IFERROR(T33-U33,"")</f>
        <v/>
      </c>
      <c r="W33" s="93" t="n">
        <v>480</v>
      </c>
      <c r="X33" s="93" t="n">
        <v>762</v>
      </c>
      <c r="Y33" s="93" t="n"/>
      <c r="Z33" s="93" t="n"/>
      <c r="AA33" s="93" t="n"/>
      <c r="AB33" s="93" t="n">
        <v>5525</v>
      </c>
      <c r="AC33" s="94">
        <f>IFERROR(W33*AB33/1000,"")</f>
        <v/>
      </c>
      <c r="AD33" s="17">
        <f>IFERROR(J33/M33,"")</f>
        <v/>
      </c>
      <c r="AE33" s="17">
        <f>IFERROR(R33/I33,"")</f>
        <v/>
      </c>
      <c r="AF33" s="17">
        <f>IFERROR(R33/O33,"")</f>
        <v/>
      </c>
      <c r="AG33" s="95">
        <f>IFERROR(G33/I33,"")</f>
        <v/>
      </c>
      <c r="AH33" s="95">
        <f>IFERROR(G33/O33,"")</f>
        <v/>
      </c>
      <c r="AI33" s="95">
        <f>IFERROR(G33/C33,"")</f>
        <v/>
      </c>
      <c r="AJ33" s="95">
        <f>IFERROR(D33/C33,"")</f>
        <v/>
      </c>
      <c r="AK33" s="6" t="n"/>
      <c r="AL33" s="6" t="n"/>
      <c r="AM33" s="6" t="n"/>
      <c r="AN33" s="6" t="n"/>
      <c r="AO33" s="96" t="n"/>
      <c r="AP33" s="97">
        <f>IFERROR(IF(AND(NOT(ISNUMBER(F33)),NOT(ISNUMBER(AO33))),"",F33+AO33),"")</f>
        <v/>
      </c>
      <c r="AQ33" s="97">
        <f>IFERROR(IF(OR(NOT(ISNUMBER(E33)),NOT(ISNUMBER(AP33))),"",E33-AP33),"")</f>
        <v/>
      </c>
      <c r="AR33" s="96" t="n"/>
      <c r="AS33" s="97">
        <f>IFERROR(IF(OR(NOT(ISNUMBER(AR33)),NOT(ISNUMBER(S33))),"",AR33-S33),"")</f>
        <v/>
      </c>
      <c r="AT33" s="45" t="inlineStr">
        <is>
          <t>Gross debt = ST bank 93.886 + current LT 10.501 + LT bank 39.068 = USD143.455 mn; converted at USD/IDR 15,416 (end-2023 BI middle rate per statement note). P&amp;L items converted at 2023 avg rate USD/IDR 15,237.</t>
        </is>
      </c>
    </row>
    <row r="34" ht="15" customHeight="1" s="67">
      <c r="A34" s="6" t="inlineStr">
        <is>
          <t>PT FKS Multi Agro Tbk</t>
        </is>
      </c>
      <c r="B34" s="92" t="n">
        <v>2024</v>
      </c>
      <c r="C34" s="93" t="n">
        <v>20495</v>
      </c>
      <c r="D34" s="93" t="n">
        <v>845</v>
      </c>
      <c r="E34" s="93" t="n"/>
      <c r="F34" s="93" t="n">
        <v>367</v>
      </c>
      <c r="G34" s="93" t="n">
        <v>152</v>
      </c>
      <c r="H34" s="93" t="n">
        <v>138</v>
      </c>
      <c r="I34" s="93" t="n">
        <v>8439</v>
      </c>
      <c r="J34" s="93" t="n">
        <v>6157</v>
      </c>
      <c r="K34" s="93" t="n">
        <v>2282</v>
      </c>
      <c r="L34" s="93" t="n">
        <v>5611</v>
      </c>
      <c r="M34" s="93" t="n">
        <v>4749</v>
      </c>
      <c r="N34" s="93" t="n">
        <v>862</v>
      </c>
      <c r="O34" s="93" t="n">
        <v>2828</v>
      </c>
      <c r="P34" s="94">
        <f>IFERROR(J34-M34,"")</f>
        <v/>
      </c>
      <c r="Q34" s="93" t="n">
        <v>1235</v>
      </c>
      <c r="R34" s="93" t="n">
        <v>2027</v>
      </c>
      <c r="S34" s="94">
        <f>IFERROR(R34-Q34,"")</f>
        <v/>
      </c>
      <c r="T34" s="93" t="n">
        <v>830</v>
      </c>
      <c r="U34" s="93" t="n">
        <v>171</v>
      </c>
      <c r="V34" s="94">
        <f>IFERROR(T34-U34,"")</f>
        <v/>
      </c>
      <c r="W34" s="93" t="n">
        <v>480</v>
      </c>
      <c r="X34" s="93" t="n">
        <v>285</v>
      </c>
      <c r="Y34" s="93" t="n"/>
      <c r="Z34" s="93" t="n"/>
      <c r="AA34" s="93" t="n"/>
      <c r="AB34" s="93" t="n">
        <v>10650</v>
      </c>
      <c r="AC34" s="94">
        <f>IFERROR(W34*AB34/1000,"")</f>
        <v/>
      </c>
      <c r="AD34" s="17">
        <f>IFERROR(J34/M34,"")</f>
        <v/>
      </c>
      <c r="AE34" s="17">
        <f>IFERROR(R34/I34,"")</f>
        <v/>
      </c>
      <c r="AF34" s="17">
        <f>IFERROR(R34/O34,"")</f>
        <v/>
      </c>
      <c r="AG34" s="95">
        <f>IFERROR(G34/I34,"")</f>
        <v/>
      </c>
      <c r="AH34" s="95">
        <f>IFERROR(G34/O34,"")</f>
        <v/>
      </c>
      <c r="AI34" s="95">
        <f>IFERROR(G34/C34,"")</f>
        <v/>
      </c>
      <c r="AJ34" s="95">
        <f>IFERROR(D34/C34,"")</f>
        <v/>
      </c>
      <c r="AK34" s="6" t="n"/>
      <c r="AL34" s="6" t="n"/>
      <c r="AM34" s="6" t="n"/>
      <c r="AN34" s="6" t="n"/>
      <c r="AO34" s="96" t="n"/>
      <c r="AP34" s="97">
        <f>IFERROR(IF(AND(NOT(ISNUMBER(F34)),NOT(ISNUMBER(AO34))),"",F34+AO34),"")</f>
        <v/>
      </c>
      <c r="AQ34" s="97">
        <f>IFERROR(IF(OR(NOT(ISNUMBER(E34)),NOT(ISNUMBER(AP34))),"",E34-AP34),"")</f>
        <v/>
      </c>
      <c r="AR34" s="96" t="n"/>
      <c r="AS34" s="97">
        <f>IFERROR(IF(OR(NOT(ISNUMBER(AR34)),NOT(ISNUMBER(S34))),"",AR34-S34),"")</f>
        <v/>
      </c>
      <c r="AT34" s="45" t="inlineStr">
        <is>
          <t>Gross debt = ST bank 70.540 + current LT 8.880 + LT bank 46.030 = USD125.450 mn; converted at USD/IDR 16,162 (end-2024 BI middle rate per statement note Rp16,162). P&amp;L items converted at 2024 avg rate USD/IDR 15,855.</t>
        </is>
      </c>
    </row>
    <row r="35" ht="15" customHeight="1" s="67">
      <c r="A35" s="6" t="inlineStr">
        <is>
          <t>PT Golden Plantation Tbk</t>
        </is>
      </c>
      <c r="B35" s="92" t="n">
        <v>2020</v>
      </c>
      <c r="C35" s="93" t="n">
        <v>3.72</v>
      </c>
      <c r="D35" s="93" t="n">
        <v>-4.84</v>
      </c>
      <c r="E35" s="93" t="n"/>
      <c r="F35" s="93" t="n">
        <v>-10.09</v>
      </c>
      <c r="G35" s="93" t="n">
        <v>-383.23</v>
      </c>
      <c r="H35" s="93" t="n">
        <v>-302.03</v>
      </c>
      <c r="I35" s="93" t="n">
        <v>471.66</v>
      </c>
      <c r="J35" s="93" t="n">
        <v>8.1</v>
      </c>
      <c r="K35" s="93" t="n">
        <v>463.56</v>
      </c>
      <c r="L35" s="93" t="n">
        <v>387.27</v>
      </c>
      <c r="M35" s="93" t="n">
        <v>93.33</v>
      </c>
      <c r="N35" s="93" t="n">
        <v>293.94</v>
      </c>
      <c r="O35" s="93" t="n">
        <v>84.39</v>
      </c>
      <c r="P35" s="94">
        <f>IFERROR(J35-M35,"")</f>
        <v/>
      </c>
      <c r="Q35" s="93" t="n">
        <v>0.17</v>
      </c>
      <c r="R35" s="93" t="n">
        <v>228.53</v>
      </c>
      <c r="S35" s="94">
        <f>IFERROR(R35-Q35,"")</f>
        <v/>
      </c>
      <c r="T35" s="93" t="n">
        <v>1.04</v>
      </c>
      <c r="U35" s="93" t="n">
        <v>15.83</v>
      </c>
      <c r="V35" s="94">
        <f>IFERROR(T35-U35,"")</f>
        <v/>
      </c>
      <c r="W35" s="93" t="n"/>
      <c r="X35" s="93" t="n">
        <v>-82.41</v>
      </c>
      <c r="Y35" s="93" t="n"/>
      <c r="Z35" s="93" t="n"/>
      <c r="AA35" s="93" t="n"/>
      <c r="AB35" s="93" t="n"/>
      <c r="AC35" s="94">
        <f>IFERROR(W35*AB35/1000,"")</f>
        <v/>
      </c>
      <c r="AD35" s="17">
        <f>IFERROR(J35/M35,"")</f>
        <v/>
      </c>
      <c r="AE35" s="17">
        <f>IFERROR(R35/I35,"")</f>
        <v/>
      </c>
      <c r="AF35" s="17">
        <f>IFERROR(R35/O35,"")</f>
        <v/>
      </c>
      <c r="AG35" s="95">
        <f>IFERROR(G35/I35,"")</f>
        <v/>
      </c>
      <c r="AH35" s="95">
        <f>IFERROR(G35/O35,"")</f>
        <v/>
      </c>
      <c r="AI35" s="95">
        <f>IFERROR(G35/C35,"")</f>
        <v/>
      </c>
      <c r="AJ35" s="95">
        <f>IFERROR(D35/C35,"")</f>
        <v/>
      </c>
      <c r="AK35" s="6" t="n"/>
      <c r="AL35" s="6" t="n"/>
      <c r="AM35" s="6" t="n"/>
      <c r="AN35" s="6" t="n"/>
      <c r="AO35" s="96" t="n"/>
      <c r="AP35" s="97">
        <f>IFERROR(IF(AND(NOT(ISNUMBER(F35)),NOT(ISNUMBER(AO35))),"",F35+AO35),"")</f>
        <v/>
      </c>
      <c r="AQ35" s="97">
        <f>IFERROR(IF(OR(NOT(ISNUMBER(E35)),NOT(ISNUMBER(AP35))),"",E35-AP35),"")</f>
        <v/>
      </c>
      <c r="AR35" s="96" t="n"/>
      <c r="AS35" s="97">
        <f>IFERROR(IF(OR(NOT(ISNUMBER(AR35)),NOT(ISNUMBER(S35))),"",AR35-S35),"")</f>
        <v/>
      </c>
      <c r="AT35" s="45" t="inlineStr">
        <is>
          <t>Gross debt = Current maturities of bank loans Rp9.18 bn + Long-term bank loans Rp219.35 bn = Rp228.53 bn. Net debt = 228.53 - 0.17 cash = Rp228.36 bn.</t>
        </is>
      </c>
    </row>
    <row r="36" ht="15" customHeight="1" s="67">
      <c r="A36" s="6" t="inlineStr">
        <is>
          <t>PT Gunanusa Eramandiri Tbk</t>
        </is>
      </c>
      <c r="B36" s="92" t="n">
        <v>2024</v>
      </c>
      <c r="C36" s="93" t="n">
        <v>1444</v>
      </c>
      <c r="D36" s="93" t="n">
        <v>186</v>
      </c>
      <c r="E36" s="93" t="n"/>
      <c r="F36" s="93" t="n">
        <v>109</v>
      </c>
      <c r="G36" s="93" t="n">
        <v>79</v>
      </c>
      <c r="H36" s="93" t="n">
        <v>60</v>
      </c>
      <c r="I36" s="93" t="n">
        <v>980</v>
      </c>
      <c r="J36" s="93" t="n">
        <v>575</v>
      </c>
      <c r="K36" s="93" t="n">
        <v>405</v>
      </c>
      <c r="L36" s="93" t="n">
        <v>301</v>
      </c>
      <c r="M36" s="93" t="n">
        <v>271</v>
      </c>
      <c r="N36" s="93" t="n">
        <v>30</v>
      </c>
      <c r="O36" s="93" t="n">
        <v>679</v>
      </c>
      <c r="P36" s="94">
        <f>IFERROR(J36-M36,"")</f>
        <v/>
      </c>
      <c r="Q36" s="93" t="n">
        <v>29</v>
      </c>
      <c r="R36" s="93" t="n">
        <v>65</v>
      </c>
      <c r="S36" s="94">
        <f>IFERROR(R36-Q36,"")</f>
        <v/>
      </c>
      <c r="T36" s="93" t="n">
        <v>-8</v>
      </c>
      <c r="U36" s="93" t="n">
        <v>134</v>
      </c>
      <c r="V36" s="94">
        <f>IFERROR(T36-U36,"")</f>
        <v/>
      </c>
      <c r="W36" s="93" t="n">
        <v>2500</v>
      </c>
      <c r="X36" s="93" t="n">
        <v>27</v>
      </c>
      <c r="Y36" s="93" t="n"/>
      <c r="Z36" s="93" t="n"/>
      <c r="AA36" s="93" t="n"/>
      <c r="AB36" s="93" t="n">
        <v>302</v>
      </c>
      <c r="AC36" s="94">
        <f>IFERROR(W36*AB36/1000,"")</f>
        <v/>
      </c>
      <c r="AD36" s="17">
        <f>IFERROR(J36/M36,"")</f>
        <v/>
      </c>
      <c r="AE36" s="17">
        <f>IFERROR(R36/I36,"")</f>
        <v/>
      </c>
      <c r="AF36" s="17">
        <f>IFERROR(R36/O36,"")</f>
        <v/>
      </c>
      <c r="AG36" s="95">
        <f>IFERROR(G36/I36,"")</f>
        <v/>
      </c>
      <c r="AH36" s="95">
        <f>IFERROR(G36/O36,"")</f>
        <v/>
      </c>
      <c r="AI36" s="95">
        <f>IFERROR(G36/C36,"")</f>
        <v/>
      </c>
      <c r="AJ36" s="95">
        <f>IFERROR(D36/C36,"")</f>
        <v/>
      </c>
      <c r="AK36" s="6" t="n"/>
      <c r="AL36" s="6" t="n"/>
      <c r="AM36" s="6" t="n"/>
      <c r="AN36" s="6" t="n"/>
      <c r="AO36" s="96" t="n"/>
      <c r="AP36" s="97">
        <f>IFERROR(IF(AND(NOT(ISNUMBER(F36)),NOT(ISNUMBER(AO36))),"",F36+AO36),"")</f>
        <v/>
      </c>
      <c r="AQ36" s="97">
        <f>IFERROR(IF(OR(NOT(ISNUMBER(E36)),NOT(ISNUMBER(AP36))),"",E36-AP36),"")</f>
        <v/>
      </c>
      <c r="AR36" s="96" t="n">
        <v>36</v>
      </c>
      <c r="AS36" s="97">
        <f>IFERROR(IF(OR(NOT(ISNUMBER(AR36)),NOT(ISNUMBER(S36))),"",AR36-S36),"")</f>
        <v/>
      </c>
      <c r="AT36" s="45" t="inlineStr">
        <is>
          <t>Net debt = Short-term bank loans Rp65.1 bn - cash Rp28.6 bn = Rp36.5 bn (Company has no long-term bank debt). Debt-to-equity 0.28x, Debt-to-assets 0.19x. Current ratio 2.18x.</t>
        </is>
      </c>
    </row>
    <row r="37" ht="15" customHeight="1" s="67">
      <c r="A37" s="6" t="inlineStr">
        <is>
          <t>PT Gozco Plantations Tbk</t>
        </is>
      </c>
      <c r="B37" s="92" t="n">
        <v>2022</v>
      </c>
      <c r="C37" s="93" t="n">
        <v>554.7</v>
      </c>
      <c r="D37" s="93" t="n">
        <v>122.5</v>
      </c>
      <c r="E37" s="93" t="n">
        <v>305.8</v>
      </c>
      <c r="F37" s="93" t="n">
        <v>136.9</v>
      </c>
      <c r="G37" s="93" t="n">
        <v>75.8</v>
      </c>
      <c r="H37" s="93" t="n">
        <v>75.59999999999999</v>
      </c>
      <c r="I37" s="93" t="n">
        <v>2045.4</v>
      </c>
      <c r="J37" s="93" t="n">
        <v>456.9</v>
      </c>
      <c r="K37" s="93" t="n">
        <v>1588.5</v>
      </c>
      <c r="L37" s="93" t="n">
        <v>892.9</v>
      </c>
      <c r="M37" s="93" t="n">
        <v>455.9</v>
      </c>
      <c r="N37" s="93" t="n">
        <v>437</v>
      </c>
      <c r="O37" s="93" t="n">
        <v>1152.5</v>
      </c>
      <c r="P37" s="94">
        <f>IFERROR(J37-M37,"")</f>
        <v/>
      </c>
      <c r="Q37" s="93" t="n">
        <v>235.2</v>
      </c>
      <c r="R37" s="93" t="n">
        <v>356.7</v>
      </c>
      <c r="S37" s="94">
        <f>IFERROR(R37-Q37,"")</f>
        <v/>
      </c>
      <c r="T37" s="93" t="n">
        <v>178.7</v>
      </c>
      <c r="U37" s="93" t="n">
        <v>31.7</v>
      </c>
      <c r="V37" s="94">
        <f>IFERROR(T37-U37,"")</f>
        <v/>
      </c>
      <c r="W37" s="93" t="n">
        <v>6000</v>
      </c>
      <c r="X37" s="93" t="n">
        <v>12.61</v>
      </c>
      <c r="Y37" s="93" t="n"/>
      <c r="Z37" s="93" t="n"/>
      <c r="AA37" s="93" t="n"/>
      <c r="AB37" s="93" t="n">
        <v>81</v>
      </c>
      <c r="AC37" s="94">
        <f>IFERROR(W37*AB37/1000,"")</f>
        <v/>
      </c>
      <c r="AD37" s="17">
        <f>IFERROR(J37/M37,"")</f>
        <v/>
      </c>
      <c r="AE37" s="17">
        <f>IFERROR(R37/I37,"")</f>
        <v/>
      </c>
      <c r="AF37" s="17">
        <f>IFERROR(R37/O37,"")</f>
        <v/>
      </c>
      <c r="AG37" s="95">
        <f>IFERROR(G37/I37,"")</f>
        <v/>
      </c>
      <c r="AH37" s="95">
        <f>IFERROR(G37/O37,"")</f>
        <v/>
      </c>
      <c r="AI37" s="95">
        <f>IFERROR(G37/C37,"")</f>
        <v/>
      </c>
      <c r="AJ37" s="95">
        <f>IFERROR(D37/C37,"")</f>
        <v/>
      </c>
      <c r="AK37" s="6" t="n"/>
      <c r="AL37" s="6" t="n"/>
      <c r="AM37" s="6" t="n"/>
      <c r="AN37" s="6" t="n"/>
      <c r="AO37" s="96" t="n">
        <v>168.9</v>
      </c>
      <c r="AP37" s="97">
        <f>IFERROR(IF(AND(NOT(ISNUMBER(F37)),NOT(ISNUMBER(AO37))),"",F37+AO37),"")</f>
        <v/>
      </c>
      <c r="AQ37" s="97">
        <f>IFERROR(IF(OR(NOT(ISNUMBER(E37)),NOT(ISNUMBER(AP37))),"",E37-AP37),"")</f>
        <v/>
      </c>
      <c r="AR37" s="96" t="n">
        <v>121.5</v>
      </c>
      <c r="AS37" s="97">
        <f>IFERROR(IF(OR(NOT(ISNUMBER(AR37)),NOT(ISNUMBER(S37))),"",AR37-S37),"")</f>
        <v/>
      </c>
      <c r="AT37" s="45" t="inlineStr">
        <is>
          <t>Gearing ratio 13% (2022). Interest-bearing debt 356.74 bn - Cash 235.21 bn = Net debt ~121.5 bn. Debt/equity 77%, Debt/asset 44%.</t>
        </is>
      </c>
    </row>
    <row r="38" ht="15" customHeight="1" s="67">
      <c r="A38" s="6" t="inlineStr">
        <is>
          <t>PT Gozco Plantations Tbk</t>
        </is>
      </c>
      <c r="B38" s="92" t="n">
        <v>2023</v>
      </c>
      <c r="C38" s="93" t="n">
        <v>744.3</v>
      </c>
      <c r="D38" s="93" t="n">
        <v>93.59999999999999</v>
      </c>
      <c r="E38" s="93" t="n">
        <v>169.2</v>
      </c>
      <c r="F38" s="93" t="n">
        <v>44.4</v>
      </c>
      <c r="G38" s="93" t="n">
        <v>2.4</v>
      </c>
      <c r="H38" s="93" t="n">
        <v>2.1</v>
      </c>
      <c r="I38" s="93" t="n">
        <v>2118.2</v>
      </c>
      <c r="J38" s="93" t="n">
        <v>572.3</v>
      </c>
      <c r="K38" s="93" t="n">
        <v>1545.9</v>
      </c>
      <c r="L38" s="93" t="n">
        <v>949.9</v>
      </c>
      <c r="M38" s="93" t="n">
        <v>345.4</v>
      </c>
      <c r="N38" s="93" t="n">
        <v>604.6</v>
      </c>
      <c r="O38" s="93" t="n">
        <v>1168.3</v>
      </c>
      <c r="P38" s="94">
        <f>IFERROR(J38-M38,"")</f>
        <v/>
      </c>
      <c r="Q38" s="93" t="n">
        <v>355.4</v>
      </c>
      <c r="R38" s="93" t="n">
        <v>466.6</v>
      </c>
      <c r="S38" s="94">
        <f>IFERROR(R38-Q38,"")</f>
        <v/>
      </c>
      <c r="T38" s="93" t="n">
        <v>260.2</v>
      </c>
      <c r="U38" s="93" t="n">
        <v>93.2</v>
      </c>
      <c r="V38" s="94">
        <f>IFERROR(T38-U38,"")</f>
        <v/>
      </c>
      <c r="W38" s="93" t="n">
        <v>6000</v>
      </c>
      <c r="X38" s="93" t="n">
        <v>0.36</v>
      </c>
      <c r="Y38" s="93" t="n"/>
      <c r="Z38" s="93" t="n"/>
      <c r="AA38" s="93" t="n"/>
      <c r="AB38" s="93" t="n">
        <v>120</v>
      </c>
      <c r="AC38" s="94">
        <f>IFERROR(W38*AB38/1000,"")</f>
        <v/>
      </c>
      <c r="AD38" s="17">
        <f>IFERROR(J38/M38,"")</f>
        <v/>
      </c>
      <c r="AE38" s="17">
        <f>IFERROR(R38/I38,"")</f>
        <v/>
      </c>
      <c r="AF38" s="17">
        <f>IFERROR(R38/O38,"")</f>
        <v/>
      </c>
      <c r="AG38" s="95">
        <f>IFERROR(G38/I38,"")</f>
        <v/>
      </c>
      <c r="AH38" s="95">
        <f>IFERROR(G38/O38,"")</f>
        <v/>
      </c>
      <c r="AI38" s="95">
        <f>IFERROR(G38/C38,"")</f>
        <v/>
      </c>
      <c r="AJ38" s="95">
        <f>IFERROR(D38/C38,"")</f>
        <v/>
      </c>
      <c r="AK38" s="6" t="n"/>
      <c r="AL38" s="6" t="n"/>
      <c r="AM38" s="6" t="n"/>
      <c r="AN38" s="6" t="n"/>
      <c r="AO38" s="96" t="n">
        <v>124.8</v>
      </c>
      <c r="AP38" s="97">
        <f>IFERROR(IF(AND(NOT(ISNUMBER(F38)),NOT(ISNUMBER(AO38))),"",F38+AO38),"")</f>
        <v/>
      </c>
      <c r="AQ38" s="97">
        <f>IFERROR(IF(OR(NOT(ISNUMBER(E38)),NOT(ISNUMBER(AP38))),"",E38-AP38),"")</f>
        <v/>
      </c>
      <c r="AR38" s="96" t="n">
        <v>111.3</v>
      </c>
      <c r="AS38" s="97">
        <f>IFERROR(IF(OR(NOT(ISNUMBER(AR38)),NOT(ISNUMBER(S38))),"",AR38-S38),"")</f>
        <v/>
      </c>
      <c r="AT38" s="45" t="inlineStr">
        <is>
          <t>Gearing ratio 14% (2023) vs 13% (2022). Interest-bearing debt 466.63 bn - Cash 355.36 bn = Net debt ~111.3 bn. Debt/equity 81%, Debt/asset 45%.</t>
        </is>
      </c>
    </row>
    <row r="39" ht="15" customHeight="1" s="67">
      <c r="A39" s="6" t="inlineStr">
        <is>
          <t>PT Gozco Plantations Tbk</t>
        </is>
      </c>
      <c r="B39" s="92" t="n">
        <v>2024</v>
      </c>
      <c r="C39" s="93" t="n">
        <v>804.6</v>
      </c>
      <c r="D39" s="93" t="n">
        <v>163.6</v>
      </c>
      <c r="E39" s="93" t="n">
        <v>242.4</v>
      </c>
      <c r="F39" s="93" t="n">
        <v>115.6</v>
      </c>
      <c r="G39" s="93" t="n">
        <v>62.4</v>
      </c>
      <c r="H39" s="93" t="n">
        <v>60.5</v>
      </c>
      <c r="I39" s="93" t="n">
        <v>2321.2</v>
      </c>
      <c r="J39" s="93" t="n">
        <v>286.2</v>
      </c>
      <c r="K39" s="93" t="n">
        <v>2035</v>
      </c>
      <c r="L39" s="93" t="n">
        <v>1089.3</v>
      </c>
      <c r="M39" s="93" t="n">
        <v>510.9</v>
      </c>
      <c r="N39" s="93" t="n">
        <v>578.4</v>
      </c>
      <c r="O39" s="93" t="n">
        <v>1232</v>
      </c>
      <c r="P39" s="94">
        <f>IFERROR(J39-M39,"")</f>
        <v/>
      </c>
      <c r="Q39" s="93" t="n">
        <v>154.8</v>
      </c>
      <c r="R39" s="93" t="n">
        <v>391.7</v>
      </c>
      <c r="S39" s="94">
        <f>IFERROR(R39-Q39,"")</f>
        <v/>
      </c>
      <c r="T39" s="93" t="n">
        <v>169.6</v>
      </c>
      <c r="U39" s="93" t="n">
        <v>21.9</v>
      </c>
      <c r="V39" s="94">
        <f>IFERROR(T39-U39,"")</f>
        <v/>
      </c>
      <c r="W39" s="93" t="n">
        <v>6000</v>
      </c>
      <c r="X39" s="93" t="n">
        <v>10.09</v>
      </c>
      <c r="Y39" s="93" t="n"/>
      <c r="Z39" s="93" t="n"/>
      <c r="AA39" s="93" t="n"/>
      <c r="AB39" s="93" t="n">
        <v>113</v>
      </c>
      <c r="AC39" s="94">
        <f>IFERROR(W39*AB39/1000,"")</f>
        <v/>
      </c>
      <c r="AD39" s="17">
        <f>IFERROR(J39/M39,"")</f>
        <v/>
      </c>
      <c r="AE39" s="17">
        <f>IFERROR(R39/I39,"")</f>
        <v/>
      </c>
      <c r="AF39" s="17">
        <f>IFERROR(R39/O39,"")</f>
        <v/>
      </c>
      <c r="AG39" s="95">
        <f>IFERROR(G39/I39,"")</f>
        <v/>
      </c>
      <c r="AH39" s="95">
        <f>IFERROR(G39/O39,"")</f>
        <v/>
      </c>
      <c r="AI39" s="95">
        <f>IFERROR(G39/C39,"")</f>
        <v/>
      </c>
      <c r="AJ39" s="95">
        <f>IFERROR(D39/C39,"")</f>
        <v/>
      </c>
      <c r="AK39" s="6" t="n"/>
      <c r="AL39" s="6" t="n"/>
      <c r="AM39" s="6" t="n"/>
      <c r="AN39" s="6" t="n"/>
      <c r="AO39" s="96" t="n">
        <v>126.9</v>
      </c>
      <c r="AP39" s="97">
        <f>IFERROR(IF(AND(NOT(ISNUMBER(F39)),NOT(ISNUMBER(AO39))),"",F39+AO39),"")</f>
        <v/>
      </c>
      <c r="AQ39" s="97">
        <f>IFERROR(IF(OR(NOT(ISNUMBER(E39)),NOT(ISNUMBER(AP39))),"",E39-AP39),"")</f>
        <v/>
      </c>
      <c r="AR39" s="96" t="n">
        <v>236.8</v>
      </c>
      <c r="AS39" s="97">
        <f>IFERROR(IF(OR(NOT(ISNUMBER(AR39)),NOT(ISNUMBER(S39))),"",AR39-S39),"")</f>
        <v/>
      </c>
      <c r="AT39" s="45" t="inlineStr">
        <is>
          <t>Gearing ratio 22% (2024) vs 14% (2023). Interest-bearing debt 391.65 bn - Cash 154.83 bn = Net debt ~236.8 bn. Debt/equity 88%, Debt/asset 47%.</t>
        </is>
      </c>
    </row>
    <row r="40" ht="15" customHeight="1" s="67">
      <c r="A40" s="6" t="inlineStr">
        <is>
          <t>PT Indo Pureco Pratama Tbk</t>
        </is>
      </c>
      <c r="B40" s="92" t="n">
        <v>2023</v>
      </c>
      <c r="C40" s="93" t="n">
        <v>35.73</v>
      </c>
      <c r="D40" s="93" t="n">
        <v>11.65</v>
      </c>
      <c r="E40" s="93" t="n"/>
      <c r="F40" s="93" t="n">
        <v>5.45</v>
      </c>
      <c r="G40" s="93" t="n">
        <v>3.86</v>
      </c>
      <c r="H40" s="93" t="n">
        <v>3.86</v>
      </c>
      <c r="I40" s="93" t="n">
        <v>301.27</v>
      </c>
      <c r="J40" s="93" t="n">
        <v>99.86</v>
      </c>
      <c r="K40" s="93" t="n">
        <v>201.42</v>
      </c>
      <c r="L40" s="93" t="n">
        <v>15</v>
      </c>
      <c r="M40" s="93" t="n">
        <v>9.119999999999999</v>
      </c>
      <c r="N40" s="93" t="n">
        <v>5.88</v>
      </c>
      <c r="O40" s="93" t="n">
        <v>286.28</v>
      </c>
      <c r="P40" s="94">
        <f>IFERROR(J40-M40,"")</f>
        <v/>
      </c>
      <c r="Q40" s="93" t="n">
        <v>1.05</v>
      </c>
      <c r="R40" s="93" t="n">
        <v>6.56</v>
      </c>
      <c r="S40" s="94">
        <f>IFERROR(R40-Q40,"")</f>
        <v/>
      </c>
      <c r="T40" s="93" t="n">
        <v>-2.15</v>
      </c>
      <c r="U40" s="93" t="n">
        <v>7.55</v>
      </c>
      <c r="V40" s="94">
        <f>IFERROR(T40-U40,"")</f>
        <v/>
      </c>
      <c r="W40" s="93" t="n">
        <v>4600</v>
      </c>
      <c r="X40" s="93" t="n">
        <v>0.84</v>
      </c>
      <c r="Y40" s="93" t="n">
        <v>62.23</v>
      </c>
      <c r="Z40" s="93" t="n">
        <v>0</v>
      </c>
      <c r="AA40" s="93" t="n">
        <v>0</v>
      </c>
      <c r="AB40" s="93" t="n">
        <v>50</v>
      </c>
      <c r="AC40" s="94">
        <f>IFERROR(W40*AB40/1000,"")</f>
        <v/>
      </c>
      <c r="AD40" s="17">
        <f>IFERROR(J40/M40,"")</f>
        <v/>
      </c>
      <c r="AE40" s="17">
        <f>IFERROR(R40/I40,"")</f>
        <v/>
      </c>
      <c r="AF40" s="17">
        <f>IFERROR(R40/O40,"")</f>
        <v/>
      </c>
      <c r="AG40" s="95">
        <f>IFERROR(G40/I40,"")</f>
        <v/>
      </c>
      <c r="AH40" s="95">
        <f>IFERROR(G40/O40,"")</f>
        <v/>
      </c>
      <c r="AI40" s="95">
        <f>IFERROR(G40/C40,"")</f>
        <v/>
      </c>
      <c r="AJ40" s="95">
        <f>IFERROR(D40/C40,"")</f>
        <v/>
      </c>
      <c r="AK40" s="6" t="n"/>
      <c r="AL40" s="6" t="n"/>
      <c r="AM40" s="6" t="n"/>
      <c r="AN40" s="6" t="n"/>
      <c r="AO40" s="96" t="n">
        <v>1.72</v>
      </c>
      <c r="AP40" s="97">
        <f>IFERROR(IF(AND(NOT(ISNUMBER(F40)),NOT(ISNUMBER(AO40))),"",F40+AO40),"")</f>
        <v/>
      </c>
      <c r="AQ40" s="97">
        <f>IFERROR(IF(OR(NOT(ISNUMBER(E40)),NOT(ISNUMBER(AP40))),"",E40-AP40),"")</f>
        <v/>
      </c>
      <c r="AR40" s="96" t="n"/>
      <c r="AS40" s="97">
        <f>IFERROR(IF(OR(NOT(ISNUMBER(AR40)),NOT(ISNUMBER(S40))),"",AR40-S40),"")</f>
        <v/>
      </c>
      <c r="AT40" s="45" t="inlineStr">
        <is>
          <t>Gross debt = LT bank loans Rp6.56 bn (Rp1.75 bn current portion + Rp4.81 bn LT). Net debt = Rp6.56 bn - cash Rp1.05 bn = Rp5.51 bn. New loan drawn in 2023 (Rp7 bn receipt, Rp0.44 bn repayment). No interim/final dividend paid in 2023.</t>
        </is>
      </c>
    </row>
    <row r="41" ht="15" customHeight="1" s="67">
      <c r="A41" s="6" t="inlineStr">
        <is>
          <t>PT Jhonlin Agro Raya Tbk</t>
        </is>
      </c>
      <c r="B41" s="92" t="n">
        <v>2022</v>
      </c>
      <c r="C41" s="93" t="n">
        <v>4708</v>
      </c>
      <c r="D41" s="93" t="n">
        <v>168</v>
      </c>
      <c r="E41" s="93" t="n"/>
      <c r="F41" s="93" t="n">
        <v>88</v>
      </c>
      <c r="G41" s="93" t="n">
        <v>42</v>
      </c>
      <c r="H41" s="93" t="n">
        <v>42</v>
      </c>
      <c r="I41" s="93" t="n">
        <v>3001</v>
      </c>
      <c r="J41" s="93" t="n">
        <v>1434</v>
      </c>
      <c r="K41" s="93" t="n">
        <v>1567</v>
      </c>
      <c r="L41" s="93" t="n">
        <v>1847</v>
      </c>
      <c r="M41" s="93" t="n">
        <v>628</v>
      </c>
      <c r="N41" s="93" t="n">
        <v>1220</v>
      </c>
      <c r="O41" s="93" t="n">
        <v>1154</v>
      </c>
      <c r="P41" s="94">
        <f>IFERROR(J41-M41,"")</f>
        <v/>
      </c>
      <c r="Q41" s="93" t="n">
        <v>206</v>
      </c>
      <c r="R41" s="93" t="n">
        <v>1446</v>
      </c>
      <c r="S41" s="94">
        <f>IFERROR(R41-Q41,"")</f>
        <v/>
      </c>
      <c r="T41" s="93" t="n">
        <v>62</v>
      </c>
      <c r="U41" s="93" t="n">
        <v>275</v>
      </c>
      <c r="V41" s="94">
        <f>IFERROR(T41-U41,"")</f>
        <v/>
      </c>
      <c r="W41" s="93" t="n">
        <v>8000</v>
      </c>
      <c r="X41" s="93" t="n">
        <v>5.8</v>
      </c>
      <c r="Y41" s="93" t="n"/>
      <c r="Z41" s="93" t="n"/>
      <c r="AA41" s="93" t="n"/>
      <c r="AB41" s="93" t="n">
        <v>318</v>
      </c>
      <c r="AC41" s="94">
        <f>IFERROR(W41*AB41/1000,"")</f>
        <v/>
      </c>
      <c r="AD41" s="17">
        <f>IFERROR(J41/M41,"")</f>
        <v/>
      </c>
      <c r="AE41" s="17">
        <f>IFERROR(R41/I41,"")</f>
        <v/>
      </c>
      <c r="AF41" s="17">
        <f>IFERROR(R41/O41,"")</f>
        <v/>
      </c>
      <c r="AG41" s="95">
        <f>IFERROR(G41/I41,"")</f>
        <v/>
      </c>
      <c r="AH41" s="95">
        <f>IFERROR(G41/O41,"")</f>
        <v/>
      </c>
      <c r="AI41" s="95">
        <f>IFERROR(G41/C41,"")</f>
        <v/>
      </c>
      <c r="AJ41" s="95">
        <f>IFERROR(D41/C41,"")</f>
        <v/>
      </c>
      <c r="AK41" s="6" t="n"/>
      <c r="AL41" s="6" t="n"/>
      <c r="AM41" s="6" t="n"/>
      <c r="AN41" s="6" t="n"/>
      <c r="AO41" s="96" t="n"/>
      <c r="AP41" s="97">
        <f>IFERROR(IF(AND(NOT(ISNUMBER(F41)),NOT(ISNUMBER(AO41))),"",F41+AO41),"")</f>
        <v/>
      </c>
      <c r="AQ41" s="97">
        <f>IFERROR(IF(OR(NOT(ISNUMBER(E41)),NOT(ISNUMBER(AP41))),"",E41-AP41),"")</f>
        <v/>
      </c>
      <c r="AR41" s="96" t="n"/>
      <c r="AS41" s="97">
        <f>IFERROR(IF(OR(NOT(ISNUMBER(AR41)),NOT(ISNUMBER(S41))),"",AR41-S41),"")</f>
        <v/>
      </c>
      <c r="AT41" s="45" t="inlineStr">
        <is>
          <t>Gross debt = ST bank loan Rp214.7 bn + LT bank loan Rp1,231.1 bn = Rp1,445.8 bn (Note 21); Cash Rp206.0 bn (Note 5). Net debt = Rp1,239.8 bn. Debt-to-equity ratio reported at 160% (2022).</t>
        </is>
      </c>
    </row>
    <row r="42" ht="15" customHeight="1" s="67">
      <c r="A42" s="6" t="inlineStr">
        <is>
          <t>PT Jhonlin Agro Raya Tbk</t>
        </is>
      </c>
      <c r="B42" s="92" t="n">
        <v>2023</v>
      </c>
      <c r="C42" s="93" t="n">
        <v>4442</v>
      </c>
      <c r="D42" s="93" t="n">
        <v>385</v>
      </c>
      <c r="E42" s="93" t="n"/>
      <c r="F42" s="93" t="n">
        <v>253</v>
      </c>
      <c r="G42" s="93" t="n">
        <v>77</v>
      </c>
      <c r="H42" s="93" t="n">
        <v>77</v>
      </c>
      <c r="I42" s="93" t="n">
        <v>3653</v>
      </c>
      <c r="J42" s="93" t="n">
        <v>1352</v>
      </c>
      <c r="K42" s="93" t="n">
        <v>2301</v>
      </c>
      <c r="L42" s="93" t="n">
        <v>2211</v>
      </c>
      <c r="M42" s="93" t="n">
        <v>366</v>
      </c>
      <c r="N42" s="93" t="n">
        <v>1845</v>
      </c>
      <c r="O42" s="93" t="n">
        <v>1442</v>
      </c>
      <c r="P42" s="94">
        <f>IFERROR(J42-M42,"")</f>
        <v/>
      </c>
      <c r="Q42" s="93" t="n">
        <v>160</v>
      </c>
      <c r="R42" s="93" t="n">
        <v>1924</v>
      </c>
      <c r="S42" s="94">
        <f>IFERROR(R42-Q42,"")</f>
        <v/>
      </c>
      <c r="T42" s="93" t="n">
        <v>230</v>
      </c>
      <c r="U42" s="93" t="n">
        <v>440</v>
      </c>
      <c r="V42" s="94">
        <f>IFERROR(T42-U42,"")</f>
        <v/>
      </c>
      <c r="W42" s="93" t="n">
        <v>9231</v>
      </c>
      <c r="X42" s="93" t="n">
        <v>8.369999999999999</v>
      </c>
      <c r="Y42" s="93" t="n"/>
      <c r="Z42" s="93" t="n"/>
      <c r="AA42" s="93" t="n"/>
      <c r="AB42" s="93" t="n">
        <v>248</v>
      </c>
      <c r="AC42" s="94">
        <f>IFERROR(W42*AB42/1000,"")</f>
        <v/>
      </c>
      <c r="AD42" s="17">
        <f>IFERROR(J42/M42,"")</f>
        <v/>
      </c>
      <c r="AE42" s="17">
        <f>IFERROR(R42/I42,"")</f>
        <v/>
      </c>
      <c r="AF42" s="17">
        <f>IFERROR(R42/O42,"")</f>
        <v/>
      </c>
      <c r="AG42" s="95">
        <f>IFERROR(G42/I42,"")</f>
        <v/>
      </c>
      <c r="AH42" s="95">
        <f>IFERROR(G42/O42,"")</f>
        <v/>
      </c>
      <c r="AI42" s="95">
        <f>IFERROR(G42/C42,"")</f>
        <v/>
      </c>
      <c r="AJ42" s="95">
        <f>IFERROR(D42/C42,"")</f>
        <v/>
      </c>
      <c r="AK42" s="6" t="n"/>
      <c r="AL42" s="6" t="n"/>
      <c r="AM42" s="6" t="n"/>
      <c r="AN42" s="6" t="n"/>
      <c r="AO42" s="96" t="n"/>
      <c r="AP42" s="97">
        <f>IFERROR(IF(AND(NOT(ISNUMBER(F42)),NOT(ISNUMBER(AO42))),"",F42+AO42),"")</f>
        <v/>
      </c>
      <c r="AQ42" s="97">
        <f>IFERROR(IF(OR(NOT(ISNUMBER(E42)),NOT(ISNUMBER(AP42))),"",E42-AP42),"")</f>
        <v/>
      </c>
      <c r="AR42" s="96" t="n"/>
      <c r="AS42" s="97">
        <f>IFERROR(IF(OR(NOT(ISNUMBER(AR42)),NOT(ISNUMBER(S42))),"",AR42-S42),"")</f>
        <v/>
      </c>
      <c r="AT42" s="45" t="inlineStr">
        <is>
          <t>Gross debt = Current portion LT loan Rp88.1 bn + LT bank debt Rp1,835.85 bn = Rp1,923.96 bn (Note 22 - PT Bank Mandiri Rp1,721.5 bn + BPD Kalsel Rp206.7 bn; net of unamortized fees Rp4.24 bn). Cash Rp160.2 bn. Debt-to-equity 153%. New Rp500 bn investment credit signed Nov 2023.</t>
        </is>
      </c>
    </row>
    <row r="43" ht="15" customHeight="1" s="67">
      <c r="A43" s="6" t="inlineStr">
        <is>
          <t>PT Jhonlin Agro Raya Tbk</t>
        </is>
      </c>
      <c r="B43" s="92" t="n">
        <v>2024</v>
      </c>
      <c r="C43" s="93" t="n">
        <v>3865</v>
      </c>
      <c r="D43" s="93" t="n">
        <v>481</v>
      </c>
      <c r="E43" s="93" t="n"/>
      <c r="F43" s="93" t="n">
        <v>416</v>
      </c>
      <c r="G43" s="93" t="n">
        <v>261</v>
      </c>
      <c r="H43" s="93" t="n">
        <v>261</v>
      </c>
      <c r="I43" s="93" t="n">
        <v>4105</v>
      </c>
      <c r="J43" s="93" t="n">
        <v>1922</v>
      </c>
      <c r="K43" s="93" t="n">
        <v>2183</v>
      </c>
      <c r="L43" s="93" t="n">
        <v>2404</v>
      </c>
      <c r="M43" s="93" t="n">
        <v>602</v>
      </c>
      <c r="N43" s="93" t="n">
        <v>1802</v>
      </c>
      <c r="O43" s="93" t="n">
        <v>1701</v>
      </c>
      <c r="P43" s="94">
        <f>IFERROR(J43-M43,"")</f>
        <v/>
      </c>
      <c r="Q43" s="93" t="n">
        <v>252</v>
      </c>
      <c r="R43" s="93" t="n">
        <v>1855</v>
      </c>
      <c r="S43" s="94">
        <f>IFERROR(R43-Q43,"")</f>
        <v/>
      </c>
      <c r="T43" s="93" t="n">
        <v>253</v>
      </c>
      <c r="U43" s="93" t="n">
        <v>15</v>
      </c>
      <c r="V43" s="94">
        <f>IFERROR(T43-U43,"")</f>
        <v/>
      </c>
      <c r="W43" s="93" t="n">
        <v>9231</v>
      </c>
      <c r="X43" s="93" t="n">
        <v>28.25</v>
      </c>
      <c r="Y43" s="93" t="n"/>
      <c r="Z43" s="93" t="n"/>
      <c r="AA43" s="93" t="n"/>
      <c r="AB43" s="93" t="n">
        <v>310</v>
      </c>
      <c r="AC43" s="94">
        <f>IFERROR(W43*AB43/1000,"")</f>
        <v/>
      </c>
      <c r="AD43" s="17">
        <f>IFERROR(J43/M43,"")</f>
        <v/>
      </c>
      <c r="AE43" s="17">
        <f>IFERROR(R43/I43,"")</f>
        <v/>
      </c>
      <c r="AF43" s="17">
        <f>IFERROR(R43/O43,"")</f>
        <v/>
      </c>
      <c r="AG43" s="95">
        <f>IFERROR(G43/I43,"")</f>
        <v/>
      </c>
      <c r="AH43" s="95">
        <f>IFERROR(G43/O43,"")</f>
        <v/>
      </c>
      <c r="AI43" s="95">
        <f>IFERROR(G43/C43,"")</f>
        <v/>
      </c>
      <c r="AJ43" s="95">
        <f>IFERROR(D43/C43,"")</f>
        <v/>
      </c>
      <c r="AK43" s="6" t="n"/>
      <c r="AL43" s="6" t="n"/>
      <c r="AM43" s="6" t="n"/>
      <c r="AN43" s="6" t="n"/>
      <c r="AO43" s="96" t="n"/>
      <c r="AP43" s="97">
        <f>IFERROR(IF(AND(NOT(ISNUMBER(F43)),NOT(ISNUMBER(AO43))),"",F43+AO43),"")</f>
        <v/>
      </c>
      <c r="AQ43" s="97">
        <f>IFERROR(IF(OR(NOT(ISNUMBER(E43)),NOT(ISNUMBER(AP43))),"",E43-AP43),"")</f>
        <v/>
      </c>
      <c r="AR43" s="96" t="n"/>
      <c r="AS43" s="97">
        <f>IFERROR(IF(OR(NOT(ISNUMBER(AR43)),NOT(ISNUMBER(S43))),"",AR43-S43),"")</f>
        <v/>
      </c>
      <c r="AT43" s="45" t="inlineStr">
        <is>
          <t>Gross debt = Current portion LT Rp64.5 bn + LT Rp1,790.1 bn = Rp1,854.6 bn (Note 21 - Bank Mandiri + BPD Kalsel). Cash Rp252.2 bn. Net debt Rp1,602 bn. Debt-to-equity 141%, Debt-to-asset 0.59. EBITDA/Revenue ratio 6.15 reported.</t>
        </is>
      </c>
    </row>
    <row r="44" ht="15" customHeight="1" s="67">
      <c r="A44" s="6" t="inlineStr">
        <is>
          <t>PT Jaya Agra Wattie Tbk</t>
        </is>
      </c>
      <c r="B44" s="92" t="n">
        <v>2022</v>
      </c>
      <c r="C44" s="93" t="n">
        <v>972</v>
      </c>
      <c r="D44" s="93" t="n">
        <v>27</v>
      </c>
      <c r="E44" s="93" t="n"/>
      <c r="F44" s="93" t="n">
        <v>-30</v>
      </c>
      <c r="G44" s="93" t="n">
        <v>-302</v>
      </c>
      <c r="H44" s="93" t="n">
        <v>-300</v>
      </c>
      <c r="I44" s="93" t="n">
        <v>3590</v>
      </c>
      <c r="J44" s="93" t="n">
        <v>262</v>
      </c>
      <c r="K44" s="93" t="n">
        <v>3327</v>
      </c>
      <c r="L44" s="93" t="n">
        <v>3471</v>
      </c>
      <c r="M44" s="93" t="n">
        <v>656</v>
      </c>
      <c r="N44" s="93" t="n">
        <v>2815</v>
      </c>
      <c r="O44" s="93" t="n">
        <v>118</v>
      </c>
      <c r="P44" s="94">
        <f>IFERROR(J44-M44,"")</f>
        <v/>
      </c>
      <c r="Q44" s="93" t="n">
        <v>1.98</v>
      </c>
      <c r="R44" s="93" t="n">
        <v>2235</v>
      </c>
      <c r="S44" s="94">
        <f>IFERROR(R44-Q44,"")</f>
        <v/>
      </c>
      <c r="T44" s="93" t="n">
        <v>-138</v>
      </c>
      <c r="U44" s="93" t="n">
        <v>54</v>
      </c>
      <c r="V44" s="94">
        <f>IFERROR(T44-U44,"")</f>
        <v/>
      </c>
      <c r="W44" s="93" t="n">
        <v>3775</v>
      </c>
      <c r="X44" s="93" t="n">
        <v>-80</v>
      </c>
      <c r="Y44" s="93" t="n">
        <v>31</v>
      </c>
      <c r="Z44" s="93" t="n">
        <v>0</v>
      </c>
      <c r="AA44" s="93" t="n">
        <v>0</v>
      </c>
      <c r="AB44" s="93" t="n">
        <v>105</v>
      </c>
      <c r="AC44" s="94">
        <f>IFERROR(W44*AB44/1000,"")</f>
        <v/>
      </c>
      <c r="AD44" s="17">
        <f>IFERROR(J44/M44,"")</f>
        <v/>
      </c>
      <c r="AE44" s="17">
        <f>IFERROR(R44/I44,"")</f>
        <v/>
      </c>
      <c r="AF44" s="17">
        <f>IFERROR(R44/O44,"")</f>
        <v/>
      </c>
      <c r="AG44" s="95">
        <f>IFERROR(G44/I44,"")</f>
        <v/>
      </c>
      <c r="AH44" s="95">
        <f>IFERROR(G44/O44,"")</f>
        <v/>
      </c>
      <c r="AI44" s="95">
        <f>IFERROR(G44/C44,"")</f>
        <v/>
      </c>
      <c r="AJ44" s="95">
        <f>IFERROR(D44/C44,"")</f>
        <v/>
      </c>
      <c r="AK44" s="6" t="n"/>
      <c r="AL44" s="6" t="n"/>
      <c r="AM44" s="6" t="n"/>
      <c r="AN44" s="6" t="n"/>
      <c r="AO44" s="96" t="n">
        <v>113</v>
      </c>
      <c r="AP44" s="97">
        <f>IFERROR(IF(AND(NOT(ISNUMBER(F44)),NOT(ISNUMBER(AO44))),"",F44+AO44),"")</f>
        <v/>
      </c>
      <c r="AQ44" s="97">
        <f>IFERROR(IF(OR(NOT(ISNUMBER(E44)),NOT(ISNUMBER(AP44))),"",E44-AP44),"")</f>
        <v/>
      </c>
      <c r="AR44" s="96" t="n"/>
      <c r="AS44" s="97">
        <f>IFERROR(IF(OR(NOT(ISNUMBER(AR44)),NOT(ISNUMBER(S44))),"",AR44-S44),"")</f>
        <v/>
      </c>
      <c r="AT44" s="45" t="inlineStr">
        <is>
          <t>Gross bank debt = Rp125 bn ST + Rp2,109.99 bn LT = Rp2,234.99 bn. Cash Rp1.98 bn. Plus related-party LT loan from SAI Rp950 bn. EBIT derived as Gross Profit 27 - Opex 57 = -Rp30 bn (operating loss).</t>
        </is>
      </c>
    </row>
    <row r="45" ht="15" customHeight="1" s="67">
      <c r="A45" s="6" t="inlineStr">
        <is>
          <t>PT Jaya Agra Wattie Tbk</t>
        </is>
      </c>
      <c r="B45" s="92" t="n">
        <v>2023</v>
      </c>
      <c r="C45" s="93" t="n">
        <v>896</v>
      </c>
      <c r="D45" s="93" t="n">
        <v>-16</v>
      </c>
      <c r="E45" s="93" t="n"/>
      <c r="F45" s="93" t="n">
        <v>-73</v>
      </c>
      <c r="G45" s="93" t="n">
        <v>-304</v>
      </c>
      <c r="H45" s="93" t="n">
        <v>-302</v>
      </c>
      <c r="I45" s="93" t="n">
        <v>3656</v>
      </c>
      <c r="J45" s="93" t="n">
        <v>272</v>
      </c>
      <c r="K45" s="93" t="n">
        <v>3385</v>
      </c>
      <c r="L45" s="93" t="n">
        <v>2675</v>
      </c>
      <c r="M45" s="93" t="n">
        <v>602</v>
      </c>
      <c r="N45" s="93" t="n">
        <v>2073</v>
      </c>
      <c r="O45" s="93" t="n">
        <v>982</v>
      </c>
      <c r="P45" s="94">
        <f>IFERROR(J45-M45,"")</f>
        <v/>
      </c>
      <c r="Q45" s="93" t="n">
        <v>7.03</v>
      </c>
      <c r="R45" s="93" t="n">
        <v>1964</v>
      </c>
      <c r="S45" s="94">
        <f>IFERROR(R45-Q45,"")</f>
        <v/>
      </c>
      <c r="T45" s="93" t="n">
        <v>-121</v>
      </c>
      <c r="U45" s="93" t="n">
        <v>81</v>
      </c>
      <c r="V45" s="94">
        <f>IFERROR(T45-U45,"")</f>
        <v/>
      </c>
      <c r="W45" s="93" t="n">
        <v>16233</v>
      </c>
      <c r="X45" s="93" t="n">
        <v>-59</v>
      </c>
      <c r="Y45" s="93" t="n">
        <v>60</v>
      </c>
      <c r="Z45" s="93" t="n">
        <v>0</v>
      </c>
      <c r="AA45" s="93" t="n">
        <v>0</v>
      </c>
      <c r="AB45" s="93" t="n">
        <v>180</v>
      </c>
      <c r="AC45" s="94">
        <f>IFERROR(W45*AB45/1000,"")</f>
        <v/>
      </c>
      <c r="AD45" s="17">
        <f>IFERROR(J45/M45,"")</f>
        <v/>
      </c>
      <c r="AE45" s="17">
        <f>IFERROR(R45/I45,"")</f>
        <v/>
      </c>
      <c r="AF45" s="17">
        <f>IFERROR(R45/O45,"")</f>
        <v/>
      </c>
      <c r="AG45" s="95">
        <f>IFERROR(G45/I45,"")</f>
        <v/>
      </c>
      <c r="AH45" s="95">
        <f>IFERROR(G45/O45,"")</f>
        <v/>
      </c>
      <c r="AI45" s="95">
        <f>IFERROR(G45/C45,"")</f>
        <v/>
      </c>
      <c r="AJ45" s="95">
        <f>IFERROR(D45/C45,"")</f>
        <v/>
      </c>
      <c r="AK45" s="6" t="n"/>
      <c r="AL45" s="6" t="n"/>
      <c r="AM45" s="6" t="n"/>
      <c r="AN45" s="6" t="n"/>
      <c r="AO45" s="96" t="n">
        <v>117</v>
      </c>
      <c r="AP45" s="97">
        <f>IFERROR(IF(AND(NOT(ISNUMBER(F45)),NOT(ISNUMBER(AO45))),"",F45+AO45),"")</f>
        <v/>
      </c>
      <c r="AQ45" s="97">
        <f>IFERROR(IF(OR(NOT(ISNUMBER(E45)),NOT(ISNUMBER(AP45))),"",E45-AP45),"")</f>
        <v/>
      </c>
      <c r="AR45" s="96" t="n"/>
      <c r="AS45" s="97">
        <f>IFERROR(IF(OR(NOT(ISNUMBER(AR45)),NOT(ISNUMBER(S45))),"",AR45-S45),"")</f>
        <v/>
      </c>
      <c r="AT45" s="45" t="inlineStr">
        <is>
          <t>Gross bank debt = Rp125 bn ST + Rp1,838.76 bn LT (incl current portion Rp228.5 bn) = Rp1,963.76 bn. Cash Rp7.03 bn. Plus related-party LT loan from SAI Rp417 bn (post 22 Nov 2023 Rp1.25 tn debt-to-equity conversion).</t>
        </is>
      </c>
    </row>
    <row r="46" ht="15" customHeight="1" s="67">
      <c r="A46" s="6" t="inlineStr">
        <is>
          <t>PT Jaya Agra Wattie Tbk</t>
        </is>
      </c>
      <c r="B46" s="92" t="n">
        <v>2024</v>
      </c>
      <c r="C46" s="93" t="n">
        <v>1071</v>
      </c>
      <c r="D46" s="93" t="n">
        <v>110</v>
      </c>
      <c r="E46" s="93" t="n"/>
      <c r="F46" s="93" t="n">
        <v>51</v>
      </c>
      <c r="G46" s="93" t="n">
        <v>-194</v>
      </c>
      <c r="H46" s="93" t="n">
        <v>-193</v>
      </c>
      <c r="I46" s="93" t="n">
        <v>3868</v>
      </c>
      <c r="J46" s="93" t="n">
        <v>532</v>
      </c>
      <c r="K46" s="93" t="n">
        <v>3336</v>
      </c>
      <c r="L46" s="93" t="n">
        <v>2502</v>
      </c>
      <c r="M46" s="93" t="n">
        <v>533</v>
      </c>
      <c r="N46" s="93" t="n">
        <v>1968</v>
      </c>
      <c r="O46" s="93" t="n">
        <v>1366</v>
      </c>
      <c r="P46" s="94">
        <f>IFERROR(J46-M46,"")</f>
        <v/>
      </c>
      <c r="Q46" s="93" t="n">
        <v>5.85</v>
      </c>
      <c r="R46" s="93" t="n">
        <v>995</v>
      </c>
      <c r="S46" s="94">
        <f>IFERROR(R46-Q46,"")</f>
        <v/>
      </c>
      <c r="T46" s="93" t="n">
        <v>-179</v>
      </c>
      <c r="U46" s="93" t="n">
        <v>87</v>
      </c>
      <c r="V46" s="94">
        <f>IFERROR(T46-U46,"")</f>
        <v/>
      </c>
      <c r="W46" s="93" t="n">
        <v>16233</v>
      </c>
      <c r="X46" s="93" t="n">
        <v>-12</v>
      </c>
      <c r="Y46" s="93" t="n">
        <v>84</v>
      </c>
      <c r="Z46" s="93" t="n">
        <v>0</v>
      </c>
      <c r="AA46" s="93" t="n">
        <v>0</v>
      </c>
      <c r="AB46" s="93" t="n">
        <v>110</v>
      </c>
      <c r="AC46" s="94">
        <f>IFERROR(W46*AB46/1000,"")</f>
        <v/>
      </c>
      <c r="AD46" s="17">
        <f>IFERROR(J46/M46,"")</f>
        <v/>
      </c>
      <c r="AE46" s="17">
        <f>IFERROR(R46/I46,"")</f>
        <v/>
      </c>
      <c r="AF46" s="17">
        <f>IFERROR(R46/O46,"")</f>
        <v/>
      </c>
      <c r="AG46" s="95">
        <f>IFERROR(G46/I46,"")</f>
        <v/>
      </c>
      <c r="AH46" s="95">
        <f>IFERROR(G46/O46,"")</f>
        <v/>
      </c>
      <c r="AI46" s="95">
        <f>IFERROR(G46/C46,"")</f>
        <v/>
      </c>
      <c r="AJ46" s="95">
        <f>IFERROR(D46/C46,"")</f>
        <v/>
      </c>
      <c r="AK46" s="6" t="n"/>
      <c r="AL46" s="6" t="n"/>
      <c r="AM46" s="6" t="n"/>
      <c r="AN46" s="6" t="n"/>
      <c r="AO46" s="96" t="n">
        <v>108</v>
      </c>
      <c r="AP46" s="97">
        <f>IFERROR(IF(AND(NOT(ISNUMBER(F46)),NOT(ISNUMBER(AO46))),"",F46+AO46),"")</f>
        <v/>
      </c>
      <c r="AQ46" s="97">
        <f>IFERROR(IF(OR(NOT(ISNUMBER(E46)),NOT(ISNUMBER(AP46))),"",E46-AP46),"")</f>
        <v/>
      </c>
      <c r="AR46" s="96" t="n"/>
      <c r="AS46" s="97">
        <f>IFERROR(IF(OR(NOT(ISNUMBER(AR46)),NOT(ISNUMBER(S46))),"",AR46-S46),"")</f>
        <v/>
      </c>
      <c r="AT46" s="45" t="inlineStr">
        <is>
          <t>Gross bank debt = Rp85 bn ST + Rp910 bn LT (incl current portion Rp145 bn) = Rp995 bn; plus zero-interest related-party loan from SAI Rp1,158 bn LT. Cash Rp5.85 bn. Net debt (bank only) ~Rp989 bn.</t>
        </is>
      </c>
    </row>
    <row r="47" ht="15" customHeight="1" s="67">
      <c r="A47" s="6" t="inlineStr">
        <is>
          <t>PT Perusahaan Perkebunan London Sumatra Indonesia Tbk</t>
        </is>
      </c>
      <c r="B47" s="92" t="n">
        <v>2022</v>
      </c>
      <c r="C47" s="93" t="n">
        <v>4585</v>
      </c>
      <c r="D47" s="93" t="n">
        <v>1491</v>
      </c>
      <c r="E47" s="93" t="n">
        <v>1747</v>
      </c>
      <c r="F47" s="93" t="n">
        <v>1206</v>
      </c>
      <c r="G47" s="93" t="n">
        <v>1035</v>
      </c>
      <c r="H47" s="93" t="n">
        <v>1036</v>
      </c>
      <c r="I47" s="93" t="n">
        <v>12417</v>
      </c>
      <c r="J47" s="93" t="n">
        <v>5107</v>
      </c>
      <c r="K47" s="93" t="n">
        <v>7310</v>
      </c>
      <c r="L47" s="93" t="n">
        <v>1481</v>
      </c>
      <c r="M47" s="93" t="n">
        <v>710</v>
      </c>
      <c r="N47" s="93" t="n">
        <v>772</v>
      </c>
      <c r="O47" s="93" t="n">
        <v>10936</v>
      </c>
      <c r="P47" s="94">
        <f>IFERROR(J47-M47,"")</f>
        <v/>
      </c>
      <c r="Q47" s="93" t="n">
        <v>3847</v>
      </c>
      <c r="R47" s="93" t="n">
        <v>0</v>
      </c>
      <c r="S47" s="94">
        <f>IFERROR(R47-Q47,"")</f>
        <v/>
      </c>
      <c r="T47" s="93" t="n">
        <v>1087</v>
      </c>
      <c r="U47" s="93" t="n">
        <v>321</v>
      </c>
      <c r="V47" s="94">
        <f>IFERROR(T47-U47,"")</f>
        <v/>
      </c>
      <c r="W47" s="93" t="n">
        <v>6820</v>
      </c>
      <c r="X47" s="93" t="n">
        <v>152</v>
      </c>
      <c r="Y47" s="93" t="n">
        <v>1603</v>
      </c>
      <c r="Z47" s="93" t="n"/>
      <c r="AA47" s="93" t="n">
        <v>51</v>
      </c>
      <c r="AB47" s="93" t="n">
        <v>1015</v>
      </c>
      <c r="AC47" s="94">
        <f>IFERROR(W47*AB47/1000,"")</f>
        <v/>
      </c>
      <c r="AD47" s="17">
        <f>IFERROR(J47/M47,"")</f>
        <v/>
      </c>
      <c r="AE47" s="17">
        <f>IFERROR(R47/I47,"")</f>
        <v/>
      </c>
      <c r="AF47" s="17">
        <f>IFERROR(R47/O47,"")</f>
        <v/>
      </c>
      <c r="AG47" s="95">
        <f>IFERROR(G47/I47,"")</f>
        <v/>
      </c>
      <c r="AH47" s="95">
        <f>IFERROR(G47/O47,"")</f>
        <v/>
      </c>
      <c r="AI47" s="95">
        <f>IFERROR(G47/C47,"")</f>
        <v/>
      </c>
      <c r="AJ47" s="95">
        <f>IFERROR(D47/C47,"")</f>
        <v/>
      </c>
      <c r="AK47" s="6" t="n"/>
      <c r="AL47" s="6" t="n"/>
      <c r="AM47" s="6" t="n"/>
      <c r="AN47" s="6" t="n"/>
      <c r="AO47" s="96" t="n"/>
      <c r="AP47" s="97">
        <f>IFERROR(IF(AND(NOT(ISNUMBER(F47)),NOT(ISNUMBER(AO47))),"",F47+AO47),"")</f>
        <v/>
      </c>
      <c r="AQ47" s="97">
        <f>IFERROR(IF(OR(NOT(ISNUMBER(E47)),NOT(ISNUMBER(AP47))),"",E47-AP47),"")</f>
        <v/>
      </c>
      <c r="AR47" s="96" t="n">
        <v>-3847</v>
      </c>
      <c r="AS47" s="97">
        <f>IFERROR(IF(OR(NOT(ISNUMBER(AR47)),NOT(ISNUMBER(S47))),"",AR47-S47),"")</f>
        <v/>
      </c>
      <c r="AT47" s="45" t="inlineStr">
        <is>
          <t>Zero bank debt (Funded Debt - per Financial Highlights). Net gearing -0.35x. Market cap Rp6.92tn at 31 Dec 2022.</t>
        </is>
      </c>
    </row>
    <row r="48" ht="15" customHeight="1" s="67">
      <c r="A48" s="6" t="inlineStr">
        <is>
          <t>PT Perusahaan Perkebunan London Sumatra Indonesia Tbk</t>
        </is>
      </c>
      <c r="B48" s="92" t="n">
        <v>2023</v>
      </c>
      <c r="C48" s="93" t="n">
        <v>4190</v>
      </c>
      <c r="D48" s="93" t="n">
        <v>1151</v>
      </c>
      <c r="E48" s="93" t="n">
        <v>1301</v>
      </c>
      <c r="F48" s="93" t="n">
        <v>759</v>
      </c>
      <c r="G48" s="93" t="n">
        <v>761</v>
      </c>
      <c r="H48" s="93" t="n">
        <v>762</v>
      </c>
      <c r="I48" s="93" t="n">
        <v>12514</v>
      </c>
      <c r="J48" s="93" t="n">
        <v>5377</v>
      </c>
      <c r="K48" s="93" t="n">
        <v>7137</v>
      </c>
      <c r="L48" s="93" t="n">
        <v>1167</v>
      </c>
      <c r="M48" s="93" t="n">
        <v>564</v>
      </c>
      <c r="N48" s="93" t="n">
        <v>602</v>
      </c>
      <c r="O48" s="93" t="n">
        <v>11347</v>
      </c>
      <c r="P48" s="94">
        <f>IFERROR(J48-M48,"")</f>
        <v/>
      </c>
      <c r="Q48" s="93" t="n">
        <v>4511</v>
      </c>
      <c r="R48" s="93" t="n">
        <v>0</v>
      </c>
      <c r="S48" s="94">
        <f>IFERROR(R48-Q48,"")</f>
        <v/>
      </c>
      <c r="T48" s="93" t="n">
        <v>1411</v>
      </c>
      <c r="U48" s="93" t="n">
        <v>369</v>
      </c>
      <c r="V48" s="94">
        <f>IFERROR(T48-U48,"")</f>
        <v/>
      </c>
      <c r="W48" s="93" t="n">
        <v>6820</v>
      </c>
      <c r="X48" s="93" t="n">
        <v>112</v>
      </c>
      <c r="Y48" s="93" t="n">
        <v>1664</v>
      </c>
      <c r="Z48" s="93" t="n"/>
      <c r="AA48" s="93" t="n">
        <v>53</v>
      </c>
      <c r="AB48" s="93" t="n">
        <v>890</v>
      </c>
      <c r="AC48" s="94">
        <f>IFERROR(W48*AB48/1000,"")</f>
        <v/>
      </c>
      <c r="AD48" s="17">
        <f>IFERROR(J48/M48,"")</f>
        <v/>
      </c>
      <c r="AE48" s="17">
        <f>IFERROR(R48/I48,"")</f>
        <v/>
      </c>
      <c r="AF48" s="17">
        <f>IFERROR(R48/O48,"")</f>
        <v/>
      </c>
      <c r="AG48" s="95">
        <f>IFERROR(G48/I48,"")</f>
        <v/>
      </c>
      <c r="AH48" s="95">
        <f>IFERROR(G48/O48,"")</f>
        <v/>
      </c>
      <c r="AI48" s="95">
        <f>IFERROR(G48/C48,"")</f>
        <v/>
      </c>
      <c r="AJ48" s="95">
        <f>IFERROR(D48/C48,"")</f>
        <v/>
      </c>
      <c r="AK48" s="6" t="n"/>
      <c r="AL48" s="6" t="n"/>
      <c r="AM48" s="6" t="n"/>
      <c r="AN48" s="6" t="n"/>
      <c r="AO48" s="96" t="n"/>
      <c r="AP48" s="97">
        <f>IFERROR(IF(AND(NOT(ISNUMBER(F48)),NOT(ISNUMBER(AO48))),"",F48+AO48),"")</f>
        <v/>
      </c>
      <c r="AQ48" s="97">
        <f>IFERROR(IF(OR(NOT(ISNUMBER(E48)),NOT(ISNUMBER(AP48))),"",E48-AP48),"")</f>
        <v/>
      </c>
      <c r="AR48" s="96" t="n">
        <v>-4511</v>
      </c>
      <c r="AS48" s="97">
        <f>IFERROR(IF(OR(NOT(ISNUMBER(AR48)),NOT(ISNUMBER(S48))),"",AR48-S48),"")</f>
        <v/>
      </c>
      <c r="AT48" s="45" t="inlineStr">
        <is>
          <t>Zero bank debt (Funded Debt - per Financial Highlights). Net gearing -0.40x in 2023. Market cap Rp6.07tn at 31 Dec 2023.</t>
        </is>
      </c>
    </row>
    <row r="49" ht="15" customHeight="1" s="67">
      <c r="A49" s="6" t="inlineStr">
        <is>
          <t>PT Perusahaan Perkebunan London Sumatra Indonesia Tbk</t>
        </is>
      </c>
      <c r="B49" s="92" t="n">
        <v>2024</v>
      </c>
      <c r="C49" s="93" t="n">
        <v>4563</v>
      </c>
      <c r="D49" s="93" t="n">
        <v>1992</v>
      </c>
      <c r="E49" s="93" t="n">
        <v>2099</v>
      </c>
      <c r="F49" s="93" t="n">
        <v>1551</v>
      </c>
      <c r="G49" s="93" t="n">
        <v>1476</v>
      </c>
      <c r="H49" s="93" t="n">
        <v>1477</v>
      </c>
      <c r="I49" s="93" t="n">
        <v>13842</v>
      </c>
      <c r="J49" s="93" t="n">
        <v>7117</v>
      </c>
      <c r="K49" s="93" t="n">
        <v>6725</v>
      </c>
      <c r="L49" s="93" t="n">
        <v>1285</v>
      </c>
      <c r="M49" s="93" t="n">
        <v>678</v>
      </c>
      <c r="N49" s="93" t="n">
        <v>607</v>
      </c>
      <c r="O49" s="93" t="n">
        <v>12557</v>
      </c>
      <c r="P49" s="94">
        <f>IFERROR(J49-M49,"")</f>
        <v/>
      </c>
      <c r="Q49" s="93" t="n">
        <v>5454</v>
      </c>
      <c r="R49" s="93" t="n">
        <v>0</v>
      </c>
      <c r="S49" s="94">
        <f>IFERROR(R49-Q49,"")</f>
        <v/>
      </c>
      <c r="T49" s="93" t="n">
        <v>1565</v>
      </c>
      <c r="U49" s="93" t="n">
        <v>376</v>
      </c>
      <c r="V49" s="94">
        <f>IFERROR(T49-U49,"")</f>
        <v/>
      </c>
      <c r="W49" s="93" t="n">
        <v>6820</v>
      </c>
      <c r="X49" s="93" t="n">
        <v>217</v>
      </c>
      <c r="Y49" s="93" t="n">
        <v>1841</v>
      </c>
      <c r="Z49" s="93" t="n"/>
      <c r="AA49" s="93" t="n">
        <v>39</v>
      </c>
      <c r="AB49" s="93" t="n">
        <v>975</v>
      </c>
      <c r="AC49" s="94">
        <f>IFERROR(W49*AB49/1000,"")</f>
        <v/>
      </c>
      <c r="AD49" s="17">
        <f>IFERROR(J49/M49,"")</f>
        <v/>
      </c>
      <c r="AE49" s="17">
        <f>IFERROR(R49/I49,"")</f>
        <v/>
      </c>
      <c r="AF49" s="17">
        <f>IFERROR(R49/O49,"")</f>
        <v/>
      </c>
      <c r="AG49" s="95">
        <f>IFERROR(G49/I49,"")</f>
        <v/>
      </c>
      <c r="AH49" s="95">
        <f>IFERROR(G49/O49,"")</f>
        <v/>
      </c>
      <c r="AI49" s="95">
        <f>IFERROR(G49/C49,"")</f>
        <v/>
      </c>
      <c r="AJ49" s="95">
        <f>IFERROR(D49/C49,"")</f>
        <v/>
      </c>
      <c r="AK49" s="6" t="n"/>
      <c r="AL49" s="6" t="n"/>
      <c r="AM49" s="6" t="n"/>
      <c r="AN49" s="6" t="n"/>
      <c r="AO49" s="96" t="n"/>
      <c r="AP49" s="97">
        <f>IFERROR(IF(AND(NOT(ISNUMBER(F49)),NOT(ISNUMBER(AO49))),"",F49+AO49),"")</f>
        <v/>
      </c>
      <c r="AQ49" s="97">
        <f>IFERROR(IF(OR(NOT(ISNUMBER(E49)),NOT(ISNUMBER(AP49))),"",E49-AP49),"")</f>
        <v/>
      </c>
      <c r="AR49" s="96" t="n">
        <v>-5454</v>
      </c>
      <c r="AS49" s="97">
        <f>IFERROR(IF(OR(NOT(ISNUMBER(AR49)),NOT(ISNUMBER(S49))),"",AR49-S49),"")</f>
        <v/>
      </c>
      <c r="AT49" s="45" t="inlineStr">
        <is>
          <t>Zero bank debt (Funded Debt - in Financial Highlights). Net debt = -cash = -Rp5,454 bn. Reported Net Gearing ratio -0.43x in 2024. Market cap Rp6.65 trillion at 31 Dec 2024.</t>
        </is>
      </c>
    </row>
    <row r="50" ht="15" customHeight="1" s="67">
      <c r="A50" s="6" t="inlineStr">
        <is>
          <t>PT Multi Agro Gemilang Plantation Tbk</t>
        </is>
      </c>
      <c r="B50" s="92" t="n">
        <v>2022</v>
      </c>
      <c r="C50" s="93" t="n">
        <v>32.27</v>
      </c>
      <c r="D50" s="93" t="n">
        <v>-3.43</v>
      </c>
      <c r="E50" s="93" t="n"/>
      <c r="F50" s="93" t="n">
        <v>-4.31</v>
      </c>
      <c r="G50" s="93" t="n">
        <v>-10.68</v>
      </c>
      <c r="H50" s="93" t="n">
        <v>-10.57</v>
      </c>
      <c r="I50" s="93" t="n">
        <v>840.1900000000001</v>
      </c>
      <c r="J50" s="93" t="n">
        <v>205.92</v>
      </c>
      <c r="K50" s="93" t="n">
        <v>634.27</v>
      </c>
      <c r="L50" s="93" t="n">
        <v>764.27</v>
      </c>
      <c r="M50" s="93" t="n">
        <v>645.96</v>
      </c>
      <c r="N50" s="93" t="n">
        <v>118.3</v>
      </c>
      <c r="O50" s="93" t="n">
        <v>75.92</v>
      </c>
      <c r="P50" s="94">
        <f>IFERROR(J50-M50,"")</f>
        <v/>
      </c>
      <c r="Q50" s="93" t="n">
        <v>2.38</v>
      </c>
      <c r="R50" s="93" t="n">
        <v>358.71</v>
      </c>
      <c r="S50" s="94">
        <f>IFERROR(R50-Q50,"")</f>
        <v/>
      </c>
      <c r="T50" s="93" t="n">
        <v>1.62</v>
      </c>
      <c r="U50" s="93" t="n">
        <v>0</v>
      </c>
      <c r="V50" s="94">
        <f>IFERROR(T50-U50,"")</f>
        <v/>
      </c>
      <c r="W50" s="93" t="n">
        <v>9000</v>
      </c>
      <c r="X50" s="93" t="n">
        <v>-1.17</v>
      </c>
      <c r="Y50" s="93" t="n"/>
      <c r="Z50" s="93" t="n"/>
      <c r="AA50" s="93" t="n"/>
      <c r="AB50" s="93" t="n"/>
      <c r="AC50" s="94">
        <f>IFERROR(W50*AB50/1000,"")</f>
        <v/>
      </c>
      <c r="AD50" s="17">
        <f>IFERROR(J50/M50,"")</f>
        <v/>
      </c>
      <c r="AE50" s="17">
        <f>IFERROR(R50/I50,"")</f>
        <v/>
      </c>
      <c r="AF50" s="17">
        <f>IFERROR(R50/O50,"")</f>
        <v/>
      </c>
      <c r="AG50" s="95">
        <f>IFERROR(G50/I50,"")</f>
        <v/>
      </c>
      <c r="AH50" s="95">
        <f>IFERROR(G50/O50,"")</f>
        <v/>
      </c>
      <c r="AI50" s="95">
        <f>IFERROR(G50/C50,"")</f>
        <v/>
      </c>
      <c r="AJ50" s="95">
        <f>IFERROR(D50/C50,"")</f>
        <v/>
      </c>
      <c r="AK50" s="6" t="n"/>
      <c r="AL50" s="6" t="n"/>
      <c r="AM50" s="6" t="n"/>
      <c r="AN50" s="6" t="n"/>
      <c r="AO50" s="96" t="n"/>
      <c r="AP50" s="97">
        <f>IFERROR(IF(AND(NOT(ISNUMBER(F50)),NOT(ISNUMBER(AO50))),"",F50+AO50),"")</f>
        <v/>
      </c>
      <c r="AQ50" s="97">
        <f>IFERROR(IF(OR(NOT(ISNUMBER(E50)),NOT(ISNUMBER(AP50))),"",E50-AP50),"")</f>
        <v/>
      </c>
      <c r="AR50" s="96" t="n">
        <v>356.33</v>
      </c>
      <c r="AS50" s="97">
        <f>IFERROR(IF(OR(NOT(ISNUMBER(AR50)),NOT(ISNUMBER(S50))),"",AR50-S50),"")</f>
        <v/>
      </c>
      <c r="AT50" s="45" t="inlineStr">
        <is>
          <t>Note: Cached file is Q1 2022 interim. Gross debt = ST bank loans 240.91 + finance lease current 9.90 + finance lease LT 107.89 = 358.70 bn</t>
        </is>
      </c>
    </row>
    <row r="51" ht="15" customHeight="1" s="67">
      <c r="A51" s="6" t="inlineStr">
        <is>
          <t>PT Mahkota Group Tbk</t>
        </is>
      </c>
      <c r="B51" s="92" t="n">
        <v>2022</v>
      </c>
      <c r="C51" s="93" t="n">
        <v>7505.7</v>
      </c>
      <c r="D51" s="93" t="n">
        <v>728.61</v>
      </c>
      <c r="E51" s="93" t="n"/>
      <c r="F51" s="93" t="n">
        <v>100.54</v>
      </c>
      <c r="G51" s="93" t="n">
        <v>-34.79</v>
      </c>
      <c r="H51" s="93" t="n">
        <v>-20.1</v>
      </c>
      <c r="I51" s="93" t="n">
        <v>2561.66</v>
      </c>
      <c r="J51" s="93" t="n">
        <v>1429.23</v>
      </c>
      <c r="K51" s="93" t="n">
        <v>1132.43</v>
      </c>
      <c r="L51" s="93" t="n">
        <v>1916.29</v>
      </c>
      <c r="M51" s="93" t="n">
        <v>1423.46</v>
      </c>
      <c r="N51" s="93" t="n">
        <v>492.83</v>
      </c>
      <c r="O51" s="93" t="n">
        <v>645.37</v>
      </c>
      <c r="P51" s="94">
        <f>IFERROR(J51-M51,"")</f>
        <v/>
      </c>
      <c r="Q51" s="93" t="n">
        <v>457.6</v>
      </c>
      <c r="R51" s="93" t="n">
        <v>1657.9</v>
      </c>
      <c r="S51" s="94">
        <f>IFERROR(R51-Q51,"")</f>
        <v/>
      </c>
      <c r="T51" s="93" t="n">
        <v>-285.73</v>
      </c>
      <c r="U51" s="93" t="n">
        <v>124.96</v>
      </c>
      <c r="V51" s="94">
        <f>IFERROR(T51-U51,"")</f>
        <v/>
      </c>
      <c r="W51" s="93" t="n">
        <v>3554.45</v>
      </c>
      <c r="X51" s="93" t="n">
        <v>-5.69</v>
      </c>
      <c r="Y51" s="93" t="n"/>
      <c r="Z51" s="93" t="n"/>
      <c r="AA51" s="93" t="n"/>
      <c r="AB51" s="93" t="n">
        <v>845</v>
      </c>
      <c r="AC51" s="94">
        <f>IFERROR(W51*AB51/1000,"")</f>
        <v/>
      </c>
      <c r="AD51" s="17">
        <f>IFERROR(J51/M51,"")</f>
        <v/>
      </c>
      <c r="AE51" s="17">
        <f>IFERROR(R51/I51,"")</f>
        <v/>
      </c>
      <c r="AF51" s="17">
        <f>IFERROR(R51/O51,"")</f>
        <v/>
      </c>
      <c r="AG51" s="95">
        <f>IFERROR(G51/I51,"")</f>
        <v/>
      </c>
      <c r="AH51" s="95">
        <f>IFERROR(G51/O51,"")</f>
        <v/>
      </c>
      <c r="AI51" s="95">
        <f>IFERROR(G51/C51,"")</f>
        <v/>
      </c>
      <c r="AJ51" s="95">
        <f>IFERROR(D51/C51,"")</f>
        <v/>
      </c>
      <c r="AK51" s="6" t="n"/>
      <c r="AL51" s="6" t="n"/>
      <c r="AM51" s="6" t="n"/>
      <c r="AN51" s="6" t="n"/>
      <c r="AO51" s="96" t="n"/>
      <c r="AP51" s="97">
        <f>IFERROR(IF(AND(NOT(ISNUMBER(F51)),NOT(ISNUMBER(AO51))),"",F51+AO51),"")</f>
        <v/>
      </c>
      <c r="AQ51" s="97">
        <f>IFERROR(IF(OR(NOT(ISNUMBER(E51)),NOT(ISNUMBER(AP51))),"",E51-AP51),"")</f>
        <v/>
      </c>
      <c r="AR51" s="96" t="n"/>
      <c r="AS51" s="97">
        <f>IFERROR(IF(OR(NOT(ISNUMBER(AR51)),NOT(ISNUMBER(S51))),"",AR51-S51),"")</f>
        <v/>
      </c>
      <c r="AT51" s="45" t="inlineStr">
        <is>
          <t>Gross debt = ST bank loans 1,084.69 + LT bank loans current 145.46 + LT bank loans non-current 337.76 + MTN non-current 90.00 = Rp1,657.90 bn. Net debt = 1,657.90 - Cash 457.60 = Rp1,200.30 bn. DER 296.93%.</t>
        </is>
      </c>
    </row>
    <row r="52" ht="15" customHeight="1" s="67">
      <c r="A52" s="6" t="inlineStr">
        <is>
          <t>PT Mahkota Group Tbk</t>
        </is>
      </c>
      <c r="B52" s="92" t="n">
        <v>2023</v>
      </c>
      <c r="C52" s="93" t="n">
        <v>5425.48</v>
      </c>
      <c r="D52" s="93" t="n">
        <v>257.35</v>
      </c>
      <c r="E52" s="93" t="n"/>
      <c r="F52" s="93" t="n">
        <v>-43.9</v>
      </c>
      <c r="G52" s="93" t="n">
        <v>-172.27</v>
      </c>
      <c r="H52" s="93" t="n">
        <v>-152.23</v>
      </c>
      <c r="I52" s="93" t="n">
        <v>2680.2</v>
      </c>
      <c r="J52" s="93" t="n">
        <v>1425.67</v>
      </c>
      <c r="K52" s="93" t="n">
        <v>1254.53</v>
      </c>
      <c r="L52" s="93" t="n">
        <v>2159.14</v>
      </c>
      <c r="M52" s="93" t="n">
        <v>1693.11</v>
      </c>
      <c r="N52" s="93" t="n">
        <v>466.02</v>
      </c>
      <c r="O52" s="93" t="n">
        <v>521.0599999999999</v>
      </c>
      <c r="P52" s="94">
        <f>IFERROR(J52-M52,"")</f>
        <v/>
      </c>
      <c r="Q52" s="93" t="n">
        <v>421.27</v>
      </c>
      <c r="R52" s="93" t="n">
        <v>1916.95</v>
      </c>
      <c r="S52" s="94">
        <f>IFERROR(R52-Q52,"")</f>
        <v/>
      </c>
      <c r="T52" s="93" t="n">
        <v>309.79</v>
      </c>
      <c r="U52" s="93" t="n">
        <v>180.81</v>
      </c>
      <c r="V52" s="94">
        <f>IFERROR(T52-U52,"")</f>
        <v/>
      </c>
      <c r="W52" s="93" t="n">
        <v>3554.45</v>
      </c>
      <c r="X52" s="93" t="n">
        <v>-43.12</v>
      </c>
      <c r="Y52" s="93" t="n"/>
      <c r="Z52" s="93" t="n"/>
      <c r="AA52" s="93" t="n"/>
      <c r="AB52" s="93" t="n">
        <v>705</v>
      </c>
      <c r="AC52" s="94">
        <f>IFERROR(W52*AB52/1000,"")</f>
        <v/>
      </c>
      <c r="AD52" s="17">
        <f>IFERROR(J52/M52,"")</f>
        <v/>
      </c>
      <c r="AE52" s="17">
        <f>IFERROR(R52/I52,"")</f>
        <v/>
      </c>
      <c r="AF52" s="17">
        <f>IFERROR(R52/O52,"")</f>
        <v/>
      </c>
      <c r="AG52" s="95">
        <f>IFERROR(G52/I52,"")</f>
        <v/>
      </c>
      <c r="AH52" s="95">
        <f>IFERROR(G52/O52,"")</f>
        <v/>
      </c>
      <c r="AI52" s="95">
        <f>IFERROR(G52/C52,"")</f>
        <v/>
      </c>
      <c r="AJ52" s="95">
        <f>IFERROR(D52/C52,"")</f>
        <v/>
      </c>
      <c r="AK52" s="6" t="n"/>
      <c r="AL52" s="6" t="n"/>
      <c r="AM52" s="6" t="n"/>
      <c r="AN52" s="6" t="n"/>
      <c r="AO52" s="96" t="n"/>
      <c r="AP52" s="97">
        <f>IFERROR(IF(AND(NOT(ISNUMBER(F52)),NOT(ISNUMBER(AO52))),"",F52+AO52),"")</f>
        <v/>
      </c>
      <c r="AQ52" s="97">
        <f>IFERROR(IF(OR(NOT(ISNUMBER(E52)),NOT(ISNUMBER(AP52))),"",E52-AP52),"")</f>
        <v/>
      </c>
      <c r="AR52" s="96" t="n"/>
      <c r="AS52" s="97">
        <f>IFERROR(IF(OR(NOT(ISNUMBER(AR52)),NOT(ISNUMBER(S52))),"",AR52-S52),"")</f>
        <v/>
      </c>
      <c r="AT52" s="45" t="inlineStr">
        <is>
          <t>Gross debt = ST bank loans 1,425.05 + LT bank loans current 88.55 + LT bank loans non-current 313.35 + MTN non-current 90.00 = Rp1,916.95 bn. Net debt = 1,916.95 - (Cash 421.27 + Restricted cash 305.87) = Rp1,189.81 bn. DER 414.37%.</t>
        </is>
      </c>
    </row>
    <row r="53" ht="15" customHeight="1" s="67">
      <c r="A53" s="6" t="inlineStr">
        <is>
          <t>PT Mahkota Group Tbk</t>
        </is>
      </c>
      <c r="B53" s="92" t="n">
        <v>2024</v>
      </c>
      <c r="C53" s="93" t="n">
        <v>4685.75</v>
      </c>
      <c r="D53" s="93" t="n">
        <v>352.54</v>
      </c>
      <c r="E53" s="93" t="n"/>
      <c r="F53" s="93" t="n">
        <v>68.70999999999999</v>
      </c>
      <c r="G53" s="93" t="n">
        <v>-22.98</v>
      </c>
      <c r="H53" s="93" t="n">
        <v>-20.85</v>
      </c>
      <c r="I53" s="93" t="n">
        <v>3073.81</v>
      </c>
      <c r="J53" s="93" t="n">
        <v>1576.71</v>
      </c>
      <c r="K53" s="93" t="n">
        <v>1497.1</v>
      </c>
      <c r="L53" s="93" t="n">
        <v>2568.91</v>
      </c>
      <c r="M53" s="93" t="n">
        <v>1811.73</v>
      </c>
      <c r="N53" s="93" t="n">
        <v>757.1799999999999</v>
      </c>
      <c r="O53" s="93" t="n">
        <v>504.89</v>
      </c>
      <c r="P53" s="94">
        <f>IFERROR(J53-M53,"")</f>
        <v/>
      </c>
      <c r="Q53" s="93" t="n">
        <v>276.1</v>
      </c>
      <c r="R53" s="93" t="n">
        <v>2310</v>
      </c>
      <c r="S53" s="94">
        <f>IFERROR(R53-Q53,"")</f>
        <v/>
      </c>
      <c r="T53" s="93" t="n">
        <v>-38.01</v>
      </c>
      <c r="U53" s="93" t="n">
        <v>319.07</v>
      </c>
      <c r="V53" s="94">
        <f>IFERROR(T53-U53,"")</f>
        <v/>
      </c>
      <c r="W53" s="93" t="n">
        <v>3554.45</v>
      </c>
      <c r="X53" s="93" t="n">
        <v>-5.91</v>
      </c>
      <c r="Y53" s="93" t="n"/>
      <c r="Z53" s="93" t="n"/>
      <c r="AA53" s="93" t="n"/>
      <c r="AB53" s="93" t="n">
        <v>695</v>
      </c>
      <c r="AC53" s="94">
        <f>IFERROR(W53*AB53/1000,"")</f>
        <v/>
      </c>
      <c r="AD53" s="17">
        <f>IFERROR(J53/M53,"")</f>
        <v/>
      </c>
      <c r="AE53" s="17">
        <f>IFERROR(R53/I53,"")</f>
        <v/>
      </c>
      <c r="AF53" s="17">
        <f>IFERROR(R53/O53,"")</f>
        <v/>
      </c>
      <c r="AG53" s="95">
        <f>IFERROR(G53/I53,"")</f>
        <v/>
      </c>
      <c r="AH53" s="95">
        <f>IFERROR(G53/O53,"")</f>
        <v/>
      </c>
      <c r="AI53" s="95">
        <f>IFERROR(G53/C53,"")</f>
        <v/>
      </c>
      <c r="AJ53" s="95">
        <f>IFERROR(D53/C53,"")</f>
        <v/>
      </c>
      <c r="AK53" s="6" t="n"/>
      <c r="AL53" s="6" t="n"/>
      <c r="AM53" s="6" t="n"/>
      <c r="AN53" s="6" t="n"/>
      <c r="AO53" s="96" t="n"/>
      <c r="AP53" s="97">
        <f>IFERROR(IF(AND(NOT(ISNUMBER(F53)),NOT(ISNUMBER(AO53))),"",F53+AO53),"")</f>
        <v/>
      </c>
      <c r="AQ53" s="97">
        <f>IFERROR(IF(OR(NOT(ISNUMBER(E53)),NOT(ISNUMBER(AP53))),"",E53-AP53),"")</f>
        <v/>
      </c>
      <c r="AR53" s="96" t="n"/>
      <c r="AS53" s="97">
        <f>IFERROR(IF(OR(NOT(ISNUMBER(AR53)),NOT(ISNUMBER(S53))),"",AR53-S53),"")</f>
        <v/>
      </c>
      <c r="AT53" s="45" t="inlineStr">
        <is>
          <t>Gross debt = ST bank loans 1,357.81 + LT bank loans current portion 166.10 + LT bank loans non-current 696.08 + MTN current 90.00 = Rp2,310 bn. Net debt = 2,310 - (Cash 276.10 + Restricted cash 476.75) = Rp1,557 bn. DER 508.80%.</t>
        </is>
      </c>
    </row>
    <row r="54" ht="15" customHeight="1" s="67">
      <c r="A54" s="6" t="inlineStr">
        <is>
          <t>PT Menthobi Karyatama Raya Tbk</t>
        </is>
      </c>
      <c r="B54" s="92" t="n">
        <v>2022</v>
      </c>
      <c r="C54" s="93" t="n">
        <v>627.88</v>
      </c>
      <c r="D54" s="93" t="n">
        <v>174.19</v>
      </c>
      <c r="E54" s="93" t="n"/>
      <c r="F54" s="93" t="n">
        <v>115.15</v>
      </c>
      <c r="G54" s="93" t="n">
        <v>61.88</v>
      </c>
      <c r="H54" s="93" t="n">
        <v>61.52</v>
      </c>
      <c r="I54" s="93" t="n">
        <v>966.24</v>
      </c>
      <c r="J54" s="93" t="n">
        <v>460.45</v>
      </c>
      <c r="K54" s="93" t="n">
        <v>505.79</v>
      </c>
      <c r="L54" s="93" t="n">
        <v>422.83</v>
      </c>
      <c r="M54" s="93" t="n">
        <v>211.34</v>
      </c>
      <c r="N54" s="93" t="n">
        <v>211.49</v>
      </c>
      <c r="O54" s="93" t="n">
        <v>543.41</v>
      </c>
      <c r="P54" s="94">
        <f>IFERROR(J54-M54,"")</f>
        <v/>
      </c>
      <c r="Q54" s="93" t="n">
        <v>303.67</v>
      </c>
      <c r="R54" s="93" t="n">
        <v>352.67</v>
      </c>
      <c r="S54" s="94">
        <f>IFERROR(R54-Q54,"")</f>
        <v/>
      </c>
      <c r="T54" s="93" t="n">
        <v>89.26000000000001</v>
      </c>
      <c r="U54" s="93" t="n"/>
      <c r="V54" s="94">
        <f>IFERROR(T54-U54,"")</f>
        <v/>
      </c>
      <c r="W54" s="93" t="n">
        <v>12000</v>
      </c>
      <c r="X54" s="93" t="n">
        <v>6.2</v>
      </c>
      <c r="Y54" s="93" t="n"/>
      <c r="Z54" s="93" t="n"/>
      <c r="AA54" s="93" t="n"/>
      <c r="AB54" s="93" t="n">
        <v>129</v>
      </c>
      <c r="AC54" s="94">
        <f>IFERROR(W54*AB54/1000,"")</f>
        <v/>
      </c>
      <c r="AD54" s="17">
        <f>IFERROR(J54/M54,"")</f>
        <v/>
      </c>
      <c r="AE54" s="17">
        <f>IFERROR(R54/I54,"")</f>
        <v/>
      </c>
      <c r="AF54" s="17">
        <f>IFERROR(R54/O54,"")</f>
        <v/>
      </c>
      <c r="AG54" s="95">
        <f>IFERROR(G54/I54,"")</f>
        <v/>
      </c>
      <c r="AH54" s="95">
        <f>IFERROR(G54/O54,"")</f>
        <v/>
      </c>
      <c r="AI54" s="95">
        <f>IFERROR(G54/C54,"")</f>
        <v/>
      </c>
      <c r="AJ54" s="95">
        <f>IFERROR(D54/C54,"")</f>
        <v/>
      </c>
      <c r="AK54" s="6" t="n"/>
      <c r="AL54" s="6" t="n"/>
      <c r="AM54" s="6" t="n"/>
      <c r="AN54" s="6" t="n"/>
      <c r="AO54" s="96" t="n"/>
      <c r="AP54" s="97">
        <f>IFERROR(IF(AND(NOT(ISNUMBER(F54)),NOT(ISNUMBER(AO54))),"",F54+AO54),"")</f>
        <v/>
      </c>
      <c r="AQ54" s="97">
        <f>IFERROR(IF(OR(NOT(ISNUMBER(E54)),NOT(ISNUMBER(AP54))),"",E54-AP54),"")</f>
        <v/>
      </c>
      <c r="AR54" s="96" t="n"/>
      <c r="AS54" s="97">
        <f>IFERROR(IF(OR(NOT(ISNUMBER(AR54)),NOT(ISNUMBER(S54))),"",AR54-S54),"")</f>
        <v/>
      </c>
      <c r="AT54" s="45" t="inlineStr">
        <is>
          <t>Gross debt = ST bank loans 65 + current LT 80.59 + LT 207.07 = Rp352.67 bn. Net debt = 352.67 - 303.67 = Rp49.00 bn. Very low gearing post-IPO.</t>
        </is>
      </c>
    </row>
    <row r="55" ht="15" customHeight="1" s="67">
      <c r="A55" s="6" t="inlineStr">
        <is>
          <t>PT Menthobi Karyatama Raya Tbk</t>
        </is>
      </c>
      <c r="B55" s="92" t="n">
        <v>2023</v>
      </c>
      <c r="C55" s="93" t="n">
        <v>710.98</v>
      </c>
      <c r="D55" s="93" t="n">
        <v>125.75</v>
      </c>
      <c r="E55" s="93" t="n"/>
      <c r="F55" s="93" t="n">
        <v>62.68</v>
      </c>
      <c r="G55" s="93" t="n">
        <v>51.38</v>
      </c>
      <c r="H55" s="93" t="n">
        <v>51.24</v>
      </c>
      <c r="I55" s="93" t="n">
        <v>1331.79</v>
      </c>
      <c r="J55" s="93" t="n">
        <v>538.02</v>
      </c>
      <c r="K55" s="93" t="n">
        <v>793.78</v>
      </c>
      <c r="L55" s="93" t="n">
        <v>747.3200000000001</v>
      </c>
      <c r="M55" s="93" t="n">
        <v>166.15</v>
      </c>
      <c r="N55" s="93" t="n">
        <v>581.17</v>
      </c>
      <c r="O55" s="93" t="n">
        <v>584.48</v>
      </c>
      <c r="P55" s="94">
        <f>IFERROR(J55-M55,"")</f>
        <v/>
      </c>
      <c r="Q55" s="93" t="n">
        <v>188.24</v>
      </c>
      <c r="R55" s="93" t="n">
        <v>662.84</v>
      </c>
      <c r="S55" s="94">
        <f>IFERROR(R55-Q55,"")</f>
        <v/>
      </c>
      <c r="T55" s="93" t="n">
        <v>16.58</v>
      </c>
      <c r="U55" s="93" t="n">
        <v>371.81</v>
      </c>
      <c r="V55" s="94">
        <f>IFERROR(T55-U55,"")</f>
        <v/>
      </c>
      <c r="W55" s="93" t="n">
        <v>12000.1</v>
      </c>
      <c r="X55" s="93" t="n">
        <v>4.27</v>
      </c>
      <c r="Y55" s="93" t="n"/>
      <c r="Z55" s="93" t="n"/>
      <c r="AA55" s="93" t="n"/>
      <c r="AB55" s="93" t="n">
        <v>150</v>
      </c>
      <c r="AC55" s="94">
        <f>IFERROR(W55*AB55/1000,"")</f>
        <v/>
      </c>
      <c r="AD55" s="17">
        <f>IFERROR(J55/M55,"")</f>
        <v/>
      </c>
      <c r="AE55" s="17">
        <f>IFERROR(R55/I55,"")</f>
        <v/>
      </c>
      <c r="AF55" s="17">
        <f>IFERROR(R55/O55,"")</f>
        <v/>
      </c>
      <c r="AG55" s="95">
        <f>IFERROR(G55/I55,"")</f>
        <v/>
      </c>
      <c r="AH55" s="95">
        <f>IFERROR(G55/O55,"")</f>
        <v/>
      </c>
      <c r="AI55" s="95">
        <f>IFERROR(G55/C55,"")</f>
        <v/>
      </c>
      <c r="AJ55" s="95">
        <f>IFERROR(D55/C55,"")</f>
        <v/>
      </c>
      <c r="AK55" s="6" t="n"/>
      <c r="AL55" s="6" t="n"/>
      <c r="AM55" s="6" t="n"/>
      <c r="AN55" s="6" t="n"/>
      <c r="AO55" s="96" t="n"/>
      <c r="AP55" s="97">
        <f>IFERROR(IF(AND(NOT(ISNUMBER(F55)),NOT(ISNUMBER(AO55))),"",F55+AO55),"")</f>
        <v/>
      </c>
      <c r="AQ55" s="97">
        <f>IFERROR(IF(OR(NOT(ISNUMBER(E55)),NOT(ISNUMBER(AP55))),"",E55-AP55),"")</f>
        <v/>
      </c>
      <c r="AR55" s="96" t="n"/>
      <c r="AS55" s="97">
        <f>IFERROR(IF(OR(NOT(ISNUMBER(AR55)),NOT(ISNUMBER(S55))),"",AR55-S55),"")</f>
        <v/>
      </c>
      <c r="AT55" s="45" t="inlineStr">
        <is>
          <t>Gross debt = ST bank loans 27.99 + current portion LT 63.07 + LT 571.78 = Rp662.84 bn. Net debt = 662.84 - 188.24 = Rp474.60 bn. Gearing (Liab/Equity) 127.86%.</t>
        </is>
      </c>
    </row>
    <row r="56" ht="15" customHeight="1" s="67">
      <c r="A56" s="6" t="inlineStr">
        <is>
          <t>PT Menthobi Karyatama Raya Tbk</t>
        </is>
      </c>
      <c r="B56" s="92" t="n">
        <v>2024</v>
      </c>
      <c r="C56" s="93" t="n">
        <v>1006.86</v>
      </c>
      <c r="D56" s="93" t="n">
        <v>179.43</v>
      </c>
      <c r="E56" s="93" t="n"/>
      <c r="F56" s="93" t="n">
        <v>106.39</v>
      </c>
      <c r="G56" s="93" t="n">
        <v>52.25</v>
      </c>
      <c r="H56" s="93" t="n">
        <v>52.04</v>
      </c>
      <c r="I56" s="93" t="n">
        <v>1518.44</v>
      </c>
      <c r="J56" s="93" t="n">
        <v>668.76</v>
      </c>
      <c r="K56" s="93" t="n">
        <v>849.6799999999999</v>
      </c>
      <c r="L56" s="93" t="n">
        <v>889.1</v>
      </c>
      <c r="M56" s="93" t="n">
        <v>171.44</v>
      </c>
      <c r="N56" s="93" t="n">
        <v>717.66</v>
      </c>
      <c r="O56" s="93" t="n">
        <v>629.34</v>
      </c>
      <c r="P56" s="94">
        <f>IFERROR(J56-M56,"")</f>
        <v/>
      </c>
      <c r="Q56" s="93" t="n">
        <v>164.52</v>
      </c>
      <c r="R56" s="93" t="n">
        <v>798.72</v>
      </c>
      <c r="S56" s="94">
        <f>IFERROR(R56-Q56,"")</f>
        <v/>
      </c>
      <c r="T56" s="93" t="n">
        <v>114.33</v>
      </c>
      <c r="U56" s="93" t="n">
        <v>70.81999999999999</v>
      </c>
      <c r="V56" s="94">
        <f>IFERROR(T56-U56,"")</f>
        <v/>
      </c>
      <c r="W56" s="93" t="n">
        <v>12052.4</v>
      </c>
      <c r="X56" s="93" t="n">
        <v>4.33</v>
      </c>
      <c r="Y56" s="93" t="n"/>
      <c r="Z56" s="93" t="n"/>
      <c r="AA56" s="93" t="n">
        <v>1</v>
      </c>
      <c r="AB56" s="93" t="n">
        <v>120</v>
      </c>
      <c r="AC56" s="94">
        <f>IFERROR(W56*AB56/1000,"")</f>
        <v/>
      </c>
      <c r="AD56" s="17">
        <f>IFERROR(J56/M56,"")</f>
        <v/>
      </c>
      <c r="AE56" s="17">
        <f>IFERROR(R56/I56,"")</f>
        <v/>
      </c>
      <c r="AF56" s="17">
        <f>IFERROR(R56/O56,"")</f>
        <v/>
      </c>
      <c r="AG56" s="95">
        <f>IFERROR(G56/I56,"")</f>
        <v/>
      </c>
      <c r="AH56" s="95">
        <f>IFERROR(G56/O56,"")</f>
        <v/>
      </c>
      <c r="AI56" s="95">
        <f>IFERROR(G56/C56,"")</f>
        <v/>
      </c>
      <c r="AJ56" s="95">
        <f>IFERROR(D56/C56,"")</f>
        <v/>
      </c>
      <c r="AK56" s="6" t="n"/>
      <c r="AL56" s="6" t="n"/>
      <c r="AM56" s="6" t="n"/>
      <c r="AN56" s="6" t="n"/>
      <c r="AO56" s="96" t="n"/>
      <c r="AP56" s="97">
        <f>IFERROR(IF(AND(NOT(ISNUMBER(F56)),NOT(ISNUMBER(AO56))),"",F56+AO56),"")</f>
        <v/>
      </c>
      <c r="AQ56" s="97">
        <f>IFERROR(IF(OR(NOT(ISNUMBER(E56)),NOT(ISNUMBER(AP56))),"",E56-AP56),"")</f>
        <v/>
      </c>
      <c r="AR56" s="96" t="n"/>
      <c r="AS56" s="97">
        <f>IFERROR(IF(OR(NOT(ISNUMBER(AR56)),NOT(ISNUMBER(S56))),"",AR56-S56),"")</f>
        <v/>
      </c>
      <c r="AT56" s="45" t="inlineStr">
        <is>
          <t>Gross debt = short-term bank loans 20.0 + current portion LT bank loans 68.93 + LT bank loans 709.79 = Rp798.72 bn. Net debt = 798.72 - 164.52 = Rp634.20 bn. Gearing ratio (Liab/Equity) 141.28%.</t>
        </is>
      </c>
    </row>
    <row r="57" ht="15" customHeight="1" s="67">
      <c r="A57" s="6" t="inlineStr">
        <is>
          <t>PT Nusantara Sawit Sejahtera Tbk</t>
        </is>
      </c>
      <c r="B57" s="92" t="n">
        <v>2022</v>
      </c>
      <c r="C57" s="93" t="n">
        <v>1134</v>
      </c>
      <c r="D57" s="93" t="n">
        <v>406</v>
      </c>
      <c r="E57" s="93" t="n"/>
      <c r="F57" s="93" t="n">
        <v>313.18</v>
      </c>
      <c r="G57" s="93" t="n">
        <v>70</v>
      </c>
      <c r="H57" s="93" t="n">
        <v>70</v>
      </c>
      <c r="I57" s="93" t="n">
        <v>3035</v>
      </c>
      <c r="J57" s="93" t="n">
        <v>331</v>
      </c>
      <c r="K57" s="93" t="n">
        <v>2705</v>
      </c>
      <c r="L57" s="93" t="n">
        <v>2405</v>
      </c>
      <c r="M57" s="93" t="n">
        <v>337</v>
      </c>
      <c r="N57" s="93" t="n">
        <v>2068</v>
      </c>
      <c r="O57" s="93" t="n">
        <v>630</v>
      </c>
      <c r="P57" s="94">
        <f>IFERROR(J57-M57,"")</f>
        <v/>
      </c>
      <c r="Q57" s="93" t="n">
        <v>40</v>
      </c>
      <c r="R57" s="93" t="n">
        <v>2104.6</v>
      </c>
      <c r="S57" s="94">
        <f>IFERROR(R57-Q57,"")</f>
        <v/>
      </c>
      <c r="T57" s="93" t="n">
        <v>47</v>
      </c>
      <c r="U57" s="93" t="n">
        <v>103.49</v>
      </c>
      <c r="V57" s="94">
        <f>IFERROR(T57-U57,"")</f>
        <v/>
      </c>
      <c r="W57" s="93" t="n">
        <v>20220</v>
      </c>
      <c r="X57" s="93" t="n">
        <v>3.47</v>
      </c>
      <c r="Y57" s="93" t="n"/>
      <c r="Z57" s="93" t="n"/>
      <c r="AA57" s="93" t="n"/>
      <c r="AB57" s="93" t="n"/>
      <c r="AC57" s="94">
        <f>IFERROR(W57*AB57/1000,"")</f>
        <v/>
      </c>
      <c r="AD57" s="17">
        <f>IFERROR(J57/M57,"")</f>
        <v/>
      </c>
      <c r="AE57" s="17">
        <f>IFERROR(R57/I57,"")</f>
        <v/>
      </c>
      <c r="AF57" s="17">
        <f>IFERROR(R57/O57,"")</f>
        <v/>
      </c>
      <c r="AG57" s="95">
        <f>IFERROR(G57/I57,"")</f>
        <v/>
      </c>
      <c r="AH57" s="95">
        <f>IFERROR(G57/O57,"")</f>
        <v/>
      </c>
      <c r="AI57" s="95">
        <f>IFERROR(G57/C57,"")</f>
        <v/>
      </c>
      <c r="AJ57" s="95">
        <f>IFERROR(D57/C57,"")</f>
        <v/>
      </c>
      <c r="AK57" s="6" t="n"/>
      <c r="AL57" s="6" t="n"/>
      <c r="AM57" s="6" t="n"/>
      <c r="AN57" s="6" t="n"/>
      <c r="AO57" s="96" t="n"/>
      <c r="AP57" s="97">
        <f>IFERROR(IF(AND(NOT(ISNUMBER(F57)),NOT(ISNUMBER(AO57))),"",F57+AO57),"")</f>
        <v/>
      </c>
      <c r="AQ57" s="97">
        <f>IFERROR(IF(OR(NOT(ISNUMBER(E57)),NOT(ISNUMBER(AP57))),"",E57-AP57),"")</f>
        <v/>
      </c>
      <c r="AR57" s="96" t="n"/>
      <c r="AS57" s="97">
        <f>IFERROR(IF(OR(NOT(ISNUMBER(AR57)),NOT(ISNUMBER(S57))),"",AR57-S57),"")</f>
        <v/>
      </c>
      <c r="AT57" s="45" t="inlineStr">
        <is>
          <t>Debt-to-Equity 381.7%; Debt-to-Assets 79.2%. Very leveraged pre-IPO.</t>
        </is>
      </c>
    </row>
    <row r="58" ht="15" customHeight="1" s="67">
      <c r="A58" s="6" t="inlineStr">
        <is>
          <t>PT Nusantara Sawit Sejahtera Tbk</t>
        </is>
      </c>
      <c r="B58" s="92" t="n">
        <v>2023</v>
      </c>
      <c r="C58" s="93" t="n">
        <v>1185</v>
      </c>
      <c r="D58" s="93" t="n">
        <v>303</v>
      </c>
      <c r="E58" s="93" t="n"/>
      <c r="F58" s="93" t="n">
        <v>202.81</v>
      </c>
      <c r="G58" s="93" t="n">
        <v>2</v>
      </c>
      <c r="H58" s="93" t="n">
        <v>2</v>
      </c>
      <c r="I58" s="93" t="n">
        <v>3672</v>
      </c>
      <c r="J58" s="93" t="n">
        <v>636</v>
      </c>
      <c r="K58" s="93" t="n">
        <v>3037</v>
      </c>
      <c r="L58" s="93" t="n">
        <v>2611</v>
      </c>
      <c r="M58" s="93" t="n">
        <v>678</v>
      </c>
      <c r="N58" s="93" t="n">
        <v>1933</v>
      </c>
      <c r="O58" s="93" t="n">
        <v>1061</v>
      </c>
      <c r="P58" s="94">
        <f>IFERROR(J58-M58,"")</f>
        <v/>
      </c>
      <c r="Q58" s="93" t="n">
        <v>243</v>
      </c>
      <c r="R58" s="93" t="n">
        <v>2110.01</v>
      </c>
      <c r="S58" s="94">
        <f>IFERROR(R58-Q58,"")</f>
        <v/>
      </c>
      <c r="T58" s="93" t="n">
        <v>136</v>
      </c>
      <c r="U58" s="93" t="n">
        <v>329.88</v>
      </c>
      <c r="V58" s="94">
        <f>IFERROR(T58-U58,"")</f>
        <v/>
      </c>
      <c r="W58" s="93" t="n">
        <v>23789</v>
      </c>
      <c r="X58" s="93" t="n">
        <v>0.09</v>
      </c>
      <c r="Y58" s="93" t="n"/>
      <c r="Z58" s="93" t="n"/>
      <c r="AA58" s="93" t="n"/>
      <c r="AB58" s="93" t="n">
        <v>177</v>
      </c>
      <c r="AC58" s="94">
        <f>IFERROR(W58*AB58/1000,"")</f>
        <v/>
      </c>
      <c r="AD58" s="17">
        <f>IFERROR(J58/M58,"")</f>
        <v/>
      </c>
      <c r="AE58" s="17">
        <f>IFERROR(R58/I58,"")</f>
        <v/>
      </c>
      <c r="AF58" s="17">
        <f>IFERROR(R58/O58,"")</f>
        <v/>
      </c>
      <c r="AG58" s="95">
        <f>IFERROR(G58/I58,"")</f>
        <v/>
      </c>
      <c r="AH58" s="95">
        <f>IFERROR(G58/O58,"")</f>
        <v/>
      </c>
      <c r="AI58" s="95">
        <f>IFERROR(G58/C58,"")</f>
        <v/>
      </c>
      <c r="AJ58" s="95">
        <f>IFERROR(D58/C58,"")</f>
        <v/>
      </c>
      <c r="AK58" s="6" t="n"/>
      <c r="AL58" s="6" t="n"/>
      <c r="AM58" s="6" t="n"/>
      <c r="AN58" s="6" t="n"/>
      <c r="AO58" s="96" t="n"/>
      <c r="AP58" s="97">
        <f>IFERROR(IF(AND(NOT(ISNUMBER(F58)),NOT(ISNUMBER(AO58))),"",F58+AO58),"")</f>
        <v/>
      </c>
      <c r="AQ58" s="97">
        <f>IFERROR(IF(OR(NOT(ISNUMBER(E58)),NOT(ISNUMBER(AP58))),"",E58-AP58),"")</f>
        <v/>
      </c>
      <c r="AR58" s="96" t="n"/>
      <c r="AS58" s="97">
        <f>IFERROR(IF(OR(NOT(ISNUMBER(AR58)),NOT(ISNUMBER(S58))),"",AR58-S58),"")</f>
        <v/>
      </c>
      <c r="AT58" s="45" t="inlineStr">
        <is>
          <t>Debt-to-Equity 246.06%; Debt-to-Assets 71.10%; net debt excludes lease etc.</t>
        </is>
      </c>
    </row>
    <row r="59" ht="15" customHeight="1" s="67">
      <c r="A59" s="6" t="inlineStr">
        <is>
          <t>PT Nusantara Sawit Sejahtera Tbk</t>
        </is>
      </c>
      <c r="B59" s="92" t="n">
        <v>2024</v>
      </c>
      <c r="C59" s="93" t="n">
        <v>1490</v>
      </c>
      <c r="D59" s="93" t="n">
        <v>585</v>
      </c>
      <c r="E59" s="93" t="n"/>
      <c r="F59" s="93" t="n"/>
      <c r="G59" s="93" t="n">
        <v>305</v>
      </c>
      <c r="H59" s="93" t="n">
        <v>305</v>
      </c>
      <c r="I59" s="93" t="n">
        <v>3728</v>
      </c>
      <c r="J59" s="93" t="n">
        <v>720</v>
      </c>
      <c r="K59" s="93" t="n">
        <v>3008</v>
      </c>
      <c r="L59" s="93" t="n">
        <v>2363</v>
      </c>
      <c r="M59" s="93" t="n">
        <v>627</v>
      </c>
      <c r="N59" s="93" t="n">
        <v>1735</v>
      </c>
      <c r="O59" s="93" t="n">
        <v>1365</v>
      </c>
      <c r="P59" s="94">
        <f>IFERROR(J59-M59,"")</f>
        <v/>
      </c>
      <c r="Q59" s="93" t="n">
        <v>386</v>
      </c>
      <c r="R59" s="93" t="n"/>
      <c r="S59" s="94">
        <f>IFERROR(R59-Q59,"")</f>
        <v/>
      </c>
      <c r="T59" s="93" t="n">
        <v>438</v>
      </c>
      <c r="U59" s="93" t="n">
        <v>75</v>
      </c>
      <c r="V59" s="94">
        <f>IFERROR(T59-U59,"")</f>
        <v/>
      </c>
      <c r="W59" s="93" t="n">
        <v>23802</v>
      </c>
      <c r="X59" s="93" t="n">
        <v>12.8</v>
      </c>
      <c r="Y59" s="93" t="n"/>
      <c r="Z59" s="93" t="n"/>
      <c r="AA59" s="93" t="n"/>
      <c r="AB59" s="93" t="n">
        <v>276</v>
      </c>
      <c r="AC59" s="94">
        <f>IFERROR(W59*AB59/1000,"")</f>
        <v/>
      </c>
      <c r="AD59" s="17">
        <f>IFERROR(J59/M59,"")</f>
        <v/>
      </c>
      <c r="AE59" s="17">
        <f>IFERROR(R59/I59,"")</f>
        <v/>
      </c>
      <c r="AF59" s="17">
        <f>IFERROR(R59/O59,"")</f>
        <v/>
      </c>
      <c r="AG59" s="95">
        <f>IFERROR(G59/I59,"")</f>
        <v/>
      </c>
      <c r="AH59" s="95">
        <f>IFERROR(G59/O59,"")</f>
        <v/>
      </c>
      <c r="AI59" s="95">
        <f>IFERROR(G59/C59,"")</f>
        <v/>
      </c>
      <c r="AJ59" s="95">
        <f>IFERROR(D59/C59,"")</f>
        <v/>
      </c>
      <c r="AK59" s="6" t="n"/>
      <c r="AL59" s="6" t="n"/>
      <c r="AM59" s="6" t="n"/>
      <c r="AN59" s="6" t="n"/>
      <c r="AO59" s="96" t="n"/>
      <c r="AP59" s="97">
        <f>IFERROR(IF(AND(NOT(ISNUMBER(F59)),NOT(ISNUMBER(AO59))),"",F59+AO59),"")</f>
        <v/>
      </c>
      <c r="AQ59" s="97">
        <f>IFERROR(IF(OR(NOT(ISNUMBER(E59)),NOT(ISNUMBER(AP59))),"",E59-AP59),"")</f>
        <v/>
      </c>
      <c r="AR59" s="96" t="n"/>
      <c r="AS59" s="97">
        <f>IFERROR(IF(OR(NOT(ISNUMBER(AR59)),NOT(ISNUMBER(S59))),"",AR59-S59),"")</f>
        <v/>
      </c>
      <c r="AT59" s="45" t="inlineStr">
        <is>
          <t>Debt-to-Equity 173.08%, Debt-to-Assets 63.38%; long-term bank debt decreased 10% YoY; bank debt payments of Rp357,627 mn in 2024.</t>
        </is>
      </c>
    </row>
    <row r="60" ht="15" customHeight="1" s="67">
      <c r="A60" s="6" t="inlineStr">
        <is>
          <t>PT Indo Oil Perkasa Tbk</t>
        </is>
      </c>
      <c r="B60" s="92" t="n">
        <v>2022</v>
      </c>
      <c r="C60" s="93" t="n">
        <v>514.2</v>
      </c>
      <c r="D60" s="93" t="n">
        <v>44.14</v>
      </c>
      <c r="E60" s="93" t="n"/>
      <c r="F60" s="93" t="n">
        <v>15.18</v>
      </c>
      <c r="G60" s="93" t="n">
        <v>6.82</v>
      </c>
      <c r="H60" s="93" t="n">
        <v>6.82</v>
      </c>
      <c r="I60" s="93" t="n">
        <v>157.98</v>
      </c>
      <c r="J60" s="93" t="n">
        <v>118.48</v>
      </c>
      <c r="K60" s="93" t="n">
        <v>39.5</v>
      </c>
      <c r="L60" s="93" t="n">
        <v>75.19</v>
      </c>
      <c r="M60" s="93" t="n">
        <v>67.98</v>
      </c>
      <c r="N60" s="93" t="n">
        <v>7.22</v>
      </c>
      <c r="O60" s="93" t="n">
        <v>82.79000000000001</v>
      </c>
      <c r="P60" s="94">
        <f>IFERROR(J60-M60,"")</f>
        <v/>
      </c>
      <c r="Q60" s="93" t="n">
        <v>7.96</v>
      </c>
      <c r="R60" s="93" t="n">
        <v>51.36</v>
      </c>
      <c r="S60" s="94">
        <f>IFERROR(R60-Q60,"")</f>
        <v/>
      </c>
      <c r="T60" s="93" t="n">
        <v>18.87</v>
      </c>
      <c r="U60" s="93" t="n">
        <v>27.22</v>
      </c>
      <c r="V60" s="94">
        <f>IFERROR(T60-U60,"")</f>
        <v/>
      </c>
      <c r="W60" s="93" t="n">
        <v>454.06</v>
      </c>
      <c r="X60" s="93" t="n">
        <v>15.02</v>
      </c>
      <c r="Y60" s="93" t="n">
        <v>182</v>
      </c>
      <c r="Z60" s="93" t="n"/>
      <c r="AA60" s="93" t="n"/>
      <c r="AB60" s="93" t="n">
        <v>218</v>
      </c>
      <c r="AC60" s="94">
        <f>IFERROR(W60*AB60/1000,"")</f>
        <v/>
      </c>
      <c r="AD60" s="17">
        <f>IFERROR(J60/M60,"")</f>
        <v/>
      </c>
      <c r="AE60" s="17">
        <f>IFERROR(R60/I60,"")</f>
        <v/>
      </c>
      <c r="AF60" s="17">
        <f>IFERROR(R60/O60,"")</f>
        <v/>
      </c>
      <c r="AG60" s="95">
        <f>IFERROR(G60/I60,"")</f>
        <v/>
      </c>
      <c r="AH60" s="95">
        <f>IFERROR(G60/O60,"")</f>
        <v/>
      </c>
      <c r="AI60" s="95">
        <f>IFERROR(G60/C60,"")</f>
        <v/>
      </c>
      <c r="AJ60" s="95">
        <f>IFERROR(D60/C60,"")</f>
        <v/>
      </c>
      <c r="AK60" s="6" t="n"/>
      <c r="AL60" s="6" t="n"/>
      <c r="AM60" s="6" t="n"/>
      <c r="AN60" s="6" t="n"/>
      <c r="AO60" s="96" t="n"/>
      <c r="AP60" s="97">
        <f>IFERROR(IF(AND(NOT(ISNUMBER(F60)),NOT(ISNUMBER(AO60))),"",F60+AO60),"")</f>
        <v/>
      </c>
      <c r="AQ60" s="97">
        <f>IFERROR(IF(OR(NOT(ISNUMBER(E60)),NOT(ISNUMBER(AP60))),"",E60-AP60),"")</f>
        <v/>
      </c>
      <c r="AR60" s="96" t="n"/>
      <c r="AS60" s="97">
        <f>IFERROR(IF(OR(NOT(ISNUMBER(AR60)),NOT(ISNUMBER(S60))),"",AR60-S60),"")</f>
        <v/>
      </c>
      <c r="AT60" s="45" t="inlineStr">
        <is>
          <t>Gross debt = ST bank 43.65 + current LT bank 1.75 + LT bank 5.69 = Rp51.09 bn (approx) per 2023 AR reconciliation. Net debt = 51.09 - 7.96 = Rp43.13 bn. Debt-to-equity ratio 0.91x.</t>
        </is>
      </c>
    </row>
    <row r="61" ht="15" customHeight="1" s="67">
      <c r="A61" s="6" t="inlineStr">
        <is>
          <t>PT Indo Oil Perkasa Tbk</t>
        </is>
      </c>
      <c r="B61" s="92" t="n">
        <v>2023</v>
      </c>
      <c r="C61" s="93" t="n">
        <v>600.35</v>
      </c>
      <c r="D61" s="93" t="n">
        <v>35.92</v>
      </c>
      <c r="E61" s="93" t="n"/>
      <c r="F61" s="93" t="n">
        <v>11.25</v>
      </c>
      <c r="G61" s="93" t="n">
        <v>3.13</v>
      </c>
      <c r="H61" s="93" t="n">
        <v>3.13</v>
      </c>
      <c r="I61" s="93" t="n">
        <v>199.91</v>
      </c>
      <c r="J61" s="93" t="n">
        <v>136.07</v>
      </c>
      <c r="K61" s="93" t="n">
        <v>63.84</v>
      </c>
      <c r="L61" s="93" t="n">
        <v>115.42</v>
      </c>
      <c r="M61" s="93" t="n">
        <v>103.76</v>
      </c>
      <c r="N61" s="93" t="n">
        <v>11.66</v>
      </c>
      <c r="O61" s="93" t="n">
        <v>84.48999999999999</v>
      </c>
      <c r="P61" s="94">
        <f>IFERROR(J61-M61,"")</f>
        <v/>
      </c>
      <c r="Q61" s="93" t="n">
        <v>7.91</v>
      </c>
      <c r="R61" s="93" t="n">
        <v>80.8</v>
      </c>
      <c r="S61" s="94">
        <f>IFERROR(R61-Q61,"")</f>
        <v/>
      </c>
      <c r="T61" s="93" t="n">
        <v>-11.95</v>
      </c>
      <c r="U61" s="93" t="n">
        <v>14.37</v>
      </c>
      <c r="V61" s="94">
        <f>IFERROR(T61-U61,"")</f>
        <v/>
      </c>
      <c r="W61" s="93" t="n">
        <v>454.06</v>
      </c>
      <c r="X61" s="93" t="n">
        <v>6.89</v>
      </c>
      <c r="Y61" s="93" t="n">
        <v>186</v>
      </c>
      <c r="Z61" s="93" t="n"/>
      <c r="AA61" s="93" t="n"/>
      <c r="AB61" s="93" t="n">
        <v>133</v>
      </c>
      <c r="AC61" s="94">
        <f>IFERROR(W61*AB61/1000,"")</f>
        <v/>
      </c>
      <c r="AD61" s="17">
        <f>IFERROR(J61/M61,"")</f>
        <v/>
      </c>
      <c r="AE61" s="17">
        <f>IFERROR(R61/I61,"")</f>
        <v/>
      </c>
      <c r="AF61" s="17">
        <f>IFERROR(R61/O61,"")</f>
        <v/>
      </c>
      <c r="AG61" s="95">
        <f>IFERROR(G61/I61,"")</f>
        <v/>
      </c>
      <c r="AH61" s="95">
        <f>IFERROR(G61/O61,"")</f>
        <v/>
      </c>
      <c r="AI61" s="95">
        <f>IFERROR(G61/C61,"")</f>
        <v/>
      </c>
      <c r="AJ61" s="95">
        <f>IFERROR(D61/C61,"")</f>
        <v/>
      </c>
      <c r="AK61" s="6" t="n"/>
      <c r="AL61" s="6" t="n"/>
      <c r="AM61" s="6" t="n"/>
      <c r="AN61" s="6" t="n"/>
      <c r="AO61" s="96" t="n"/>
      <c r="AP61" s="97">
        <f>IFERROR(IF(AND(NOT(ISNUMBER(F61)),NOT(ISNUMBER(AO61))),"",F61+AO61),"")</f>
        <v/>
      </c>
      <c r="AQ61" s="97">
        <f>IFERROR(IF(OR(NOT(ISNUMBER(E61)),NOT(ISNUMBER(AP61))),"",E61-AP61),"")</f>
        <v/>
      </c>
      <c r="AR61" s="96" t="n"/>
      <c r="AS61" s="97">
        <f>IFERROR(IF(OR(NOT(ISNUMBER(AR61)),NOT(ISNUMBER(S61))),"",AR61-S61),"")</f>
        <v/>
      </c>
      <c r="AT61" s="45" t="inlineStr">
        <is>
          <t>Gross debt = ST bank 73.95 + current LT bank 2.11 + LT bank 4.74 = Rp80.80 bn. Net debt = 80.80 - 7.91 = Rp72.89 bn. Excludes lease liabilities. Debt-to-equity ratio 1.37x.</t>
        </is>
      </c>
    </row>
    <row r="62" ht="15" customHeight="1" s="67">
      <c r="A62" s="6" t="inlineStr">
        <is>
          <t>PT Indo Oil Perkasa Tbk</t>
        </is>
      </c>
      <c r="B62" s="92" t="n">
        <v>2024</v>
      </c>
      <c r="C62" s="93" t="n">
        <v>634.38</v>
      </c>
      <c r="D62" s="93" t="n">
        <v>45.26</v>
      </c>
      <c r="E62" s="93" t="n"/>
      <c r="F62" s="93" t="n">
        <v>16.51</v>
      </c>
      <c r="G62" s="93" t="n">
        <v>6.35</v>
      </c>
      <c r="H62" s="93" t="n">
        <v>6.35</v>
      </c>
      <c r="I62" s="93" t="n">
        <v>219.17</v>
      </c>
      <c r="J62" s="93" t="n">
        <v>147.96</v>
      </c>
      <c r="K62" s="93" t="n">
        <v>71.20999999999999</v>
      </c>
      <c r="L62" s="93" t="n">
        <v>128.36</v>
      </c>
      <c r="M62" s="93" t="n">
        <v>123.59</v>
      </c>
      <c r="N62" s="93" t="n">
        <v>4.77</v>
      </c>
      <c r="O62" s="93" t="n">
        <v>90.81</v>
      </c>
      <c r="P62" s="94">
        <f>IFERROR(J62-M62,"")</f>
        <v/>
      </c>
      <c r="Q62" s="93" t="n">
        <v>9.77</v>
      </c>
      <c r="R62" s="93" t="n">
        <v>86.87</v>
      </c>
      <c r="S62" s="94">
        <f>IFERROR(R62-Q62,"")</f>
        <v/>
      </c>
      <c r="T62" s="93" t="n">
        <v>13.17</v>
      </c>
      <c r="U62" s="93" t="n">
        <v>6.69</v>
      </c>
      <c r="V62" s="94">
        <f>IFERROR(T62-U62,"")</f>
        <v/>
      </c>
      <c r="W62" s="93" t="n">
        <v>454.06</v>
      </c>
      <c r="X62" s="93" t="n">
        <v>13.98</v>
      </c>
      <c r="Y62" s="93" t="n">
        <v>200</v>
      </c>
      <c r="Z62" s="93" t="n"/>
      <c r="AA62" s="93" t="n"/>
      <c r="AB62" s="93" t="n">
        <v>98</v>
      </c>
      <c r="AC62" s="94">
        <f>IFERROR(W62*AB62/1000,"")</f>
        <v/>
      </c>
      <c r="AD62" s="17">
        <f>IFERROR(J62/M62,"")</f>
        <v/>
      </c>
      <c r="AE62" s="17">
        <f>IFERROR(R62/I62,"")</f>
        <v/>
      </c>
      <c r="AF62" s="17">
        <f>IFERROR(R62/O62,"")</f>
        <v/>
      </c>
      <c r="AG62" s="95">
        <f>IFERROR(G62/I62,"")</f>
        <v/>
      </c>
      <c r="AH62" s="95">
        <f>IFERROR(G62/O62,"")</f>
        <v/>
      </c>
      <c r="AI62" s="95">
        <f>IFERROR(G62/C62,"")</f>
        <v/>
      </c>
      <c r="AJ62" s="95">
        <f>IFERROR(D62/C62,"")</f>
        <v/>
      </c>
      <c r="AK62" s="6" t="n"/>
      <c r="AL62" s="6" t="n"/>
      <c r="AM62" s="6" t="n"/>
      <c r="AN62" s="6" t="n"/>
      <c r="AO62" s="96" t="n"/>
      <c r="AP62" s="97">
        <f>IFERROR(IF(AND(NOT(ISNUMBER(F62)),NOT(ISNUMBER(AO62))),"",F62+AO62),"")</f>
        <v/>
      </c>
      <c r="AQ62" s="97">
        <f>IFERROR(IF(OR(NOT(ISNUMBER(E62)),NOT(ISNUMBER(AP62))),"",E62-AP62),"")</f>
        <v/>
      </c>
      <c r="AR62" s="96" t="n"/>
      <c r="AS62" s="97">
        <f>IFERROR(IF(OR(NOT(ISNUMBER(AR62)),NOT(ISNUMBER(S62))),"",AR62-S62),"")</f>
        <v/>
      </c>
      <c r="AT62" s="45" t="inlineStr">
        <is>
          <t>Gross debt = ST bank loans 82.12 + current portion LT bank 2.63 + LT bank 2.11 = Rp86.87 bn. Net debt = 86.87 - 9.77 = Rp77.10 bn. Excludes lease liabilities and consumer financing.</t>
        </is>
      </c>
    </row>
    <row r="63" ht="15" customHeight="1" s="67">
      <c r="A63" s="6" t="inlineStr">
        <is>
          <t>PT Pradiksi Gunatama Tbk</t>
        </is>
      </c>
      <c r="B63" s="92" t="n">
        <v>2022</v>
      </c>
      <c r="C63" s="93" t="n">
        <v>1007.31</v>
      </c>
      <c r="D63" s="93" t="n">
        <v>264.42</v>
      </c>
      <c r="E63" s="93" t="n"/>
      <c r="F63" s="93" t="n">
        <v>233.64</v>
      </c>
      <c r="G63" s="93" t="n">
        <v>167.25</v>
      </c>
      <c r="H63" s="93" t="n">
        <v>172.15</v>
      </c>
      <c r="I63" s="93" t="n">
        <v>2347.52</v>
      </c>
      <c r="J63" s="93" t="n">
        <v>289.998</v>
      </c>
      <c r="K63" s="93" t="n">
        <v>2057.52</v>
      </c>
      <c r="L63" s="93" t="n">
        <v>918.35</v>
      </c>
      <c r="M63" s="93" t="n">
        <v>197.37</v>
      </c>
      <c r="N63" s="93" t="n">
        <v>720.98</v>
      </c>
      <c r="O63" s="93" t="n">
        <v>1429.17</v>
      </c>
      <c r="P63" s="94">
        <f>IFERROR(J63-M63,"")</f>
        <v/>
      </c>
      <c r="Q63" s="93" t="n">
        <v>35.9</v>
      </c>
      <c r="R63" s="93" t="n">
        <v>692.08</v>
      </c>
      <c r="S63" s="94">
        <f>IFERROR(R63-Q63,"")</f>
        <v/>
      </c>
      <c r="T63" s="93" t="n">
        <v>213.08</v>
      </c>
      <c r="U63" s="93" t="n">
        <v>77.06999999999999</v>
      </c>
      <c r="V63" s="94">
        <f>IFERROR(T63-U63,"")</f>
        <v/>
      </c>
      <c r="W63" s="93" t="n">
        <v>5737.85</v>
      </c>
      <c r="X63" s="93" t="n">
        <v>30</v>
      </c>
      <c r="Y63" s="93" t="n">
        <v>249</v>
      </c>
      <c r="Z63" s="93" t="n"/>
      <c r="AA63" s="93" t="n"/>
      <c r="AB63" s="93" t="n">
        <v>805</v>
      </c>
      <c r="AC63" s="94">
        <f>IFERROR(W63*AB63/1000,"")</f>
        <v/>
      </c>
      <c r="AD63" s="17">
        <f>IFERROR(J63/M63,"")</f>
        <v/>
      </c>
      <c r="AE63" s="17">
        <f>IFERROR(R63/I63,"")</f>
        <v/>
      </c>
      <c r="AF63" s="17">
        <f>IFERROR(R63/O63,"")</f>
        <v/>
      </c>
      <c r="AG63" s="95">
        <f>IFERROR(G63/I63,"")</f>
        <v/>
      </c>
      <c r="AH63" s="95">
        <f>IFERROR(G63/O63,"")</f>
        <v/>
      </c>
      <c r="AI63" s="95">
        <f>IFERROR(G63/C63,"")</f>
        <v/>
      </c>
      <c r="AJ63" s="95">
        <f>IFERROR(D63/C63,"")</f>
        <v/>
      </c>
      <c r="AK63" s="6" t="n"/>
      <c r="AL63" s="6" t="n"/>
      <c r="AM63" s="6" t="n"/>
      <c r="AN63" s="6" t="n"/>
      <c r="AO63" s="96" t="n">
        <v>0</v>
      </c>
      <c r="AP63" s="97">
        <f>IFERROR(IF(AND(NOT(ISNUMBER(F63)),NOT(ISNUMBER(AO63))),"",F63+AO63),"")</f>
        <v/>
      </c>
      <c r="AQ63" s="97">
        <f>IFERROR(IF(OR(NOT(ISNUMBER(E63)),NOT(ISNUMBER(AP63))),"",E63-AP63),"")</f>
        <v/>
      </c>
      <c r="AR63" s="96" t="n">
        <v>656.1799999999999</v>
      </c>
      <c r="AS63" s="97">
        <f>IFERROR(IF(OR(NOT(ISNUMBER(AR63)),NOT(ISNUMBER(S63))),"",AR63-S63),"")</f>
        <v/>
      </c>
      <c r="AT63" s="45" t="inlineStr">
        <is>
          <t>Net debt = Bank loans (BRI) Rp692.08 bn (current Rp122.98 + LT Rp569.10, net of Rp5.52 bn unamortized cost) - Cash Rp35.90 bn = Rp656.18 bn.</t>
        </is>
      </c>
    </row>
    <row r="64" ht="15" customHeight="1" s="67">
      <c r="A64" s="6" t="inlineStr">
        <is>
          <t>PT Pradiksi Gunatama Tbk</t>
        </is>
      </c>
      <c r="B64" s="92" t="n">
        <v>2023</v>
      </c>
      <c r="C64" s="93" t="n">
        <v>868.46</v>
      </c>
      <c r="D64" s="93" t="n">
        <v>246.07</v>
      </c>
      <c r="E64" s="93" t="n"/>
      <c r="F64" s="93" t="n">
        <v>191.94</v>
      </c>
      <c r="G64" s="93" t="n">
        <v>108.06</v>
      </c>
      <c r="H64" s="93" t="n">
        <v>108.06</v>
      </c>
      <c r="I64" s="93" t="n">
        <v>2591.48</v>
      </c>
      <c r="J64" s="93" t="n">
        <v>290.91</v>
      </c>
      <c r="K64" s="93" t="n">
        <v>2300.56</v>
      </c>
      <c r="L64" s="93" t="n">
        <v>965.4</v>
      </c>
      <c r="M64" s="93" t="n">
        <v>161.57</v>
      </c>
      <c r="N64" s="93" t="n">
        <v>803.83</v>
      </c>
      <c r="O64" s="93" t="n">
        <v>1626.07</v>
      </c>
      <c r="P64" s="94">
        <f>IFERROR(J64-M64,"")</f>
        <v/>
      </c>
      <c r="Q64" s="93" t="n">
        <v>75.59</v>
      </c>
      <c r="R64" s="93" t="n">
        <v>569.84</v>
      </c>
      <c r="S64" s="94">
        <f>IFERROR(R64-Q64,"")</f>
        <v/>
      </c>
      <c r="T64" s="93" t="n">
        <v>355.18</v>
      </c>
      <c r="U64" s="93" t="n">
        <v>353.38</v>
      </c>
      <c r="V64" s="94">
        <f>IFERROR(T64-U64,"")</f>
        <v/>
      </c>
      <c r="W64" s="93" t="n">
        <v>5737.85</v>
      </c>
      <c r="X64" s="93" t="n">
        <v>18.83</v>
      </c>
      <c r="Y64" s="93" t="n">
        <v>283</v>
      </c>
      <c r="Z64" s="93" t="n"/>
      <c r="AA64" s="93" t="n"/>
      <c r="AB64" s="93" t="n">
        <v>424</v>
      </c>
      <c r="AC64" s="94">
        <f>IFERROR(W64*AB64/1000,"")</f>
        <v/>
      </c>
      <c r="AD64" s="17">
        <f>IFERROR(J64/M64,"")</f>
        <v/>
      </c>
      <c r="AE64" s="17">
        <f>IFERROR(R64/I64,"")</f>
        <v/>
      </c>
      <c r="AF64" s="17">
        <f>IFERROR(R64/O64,"")</f>
        <v/>
      </c>
      <c r="AG64" s="95">
        <f>IFERROR(G64/I64,"")</f>
        <v/>
      </c>
      <c r="AH64" s="95">
        <f>IFERROR(G64/O64,"")</f>
        <v/>
      </c>
      <c r="AI64" s="95">
        <f>IFERROR(G64/C64,"")</f>
        <v/>
      </c>
      <c r="AJ64" s="95">
        <f>IFERROR(D64/C64,"")</f>
        <v/>
      </c>
      <c r="AK64" s="6" t="n"/>
      <c r="AL64" s="6" t="n"/>
      <c r="AM64" s="6" t="n"/>
      <c r="AN64" s="6" t="n"/>
      <c r="AO64" s="96" t="n">
        <v>50.95</v>
      </c>
      <c r="AP64" s="97">
        <f>IFERROR(IF(AND(NOT(ISNUMBER(F64)),NOT(ISNUMBER(AO64))),"",F64+AO64),"")</f>
        <v/>
      </c>
      <c r="AQ64" s="97">
        <f>IFERROR(IF(OR(NOT(ISNUMBER(E64)),NOT(ISNUMBER(AP64))),"",E64-AP64),"")</f>
        <v/>
      </c>
      <c r="AR64" s="96" t="n">
        <v>494.25</v>
      </c>
      <c r="AS64" s="97">
        <f>IFERROR(IF(OR(NOT(ISNUMBER(AR64)),NOT(ISNUMBER(S64))),"",AR64-S64),"")</f>
        <v/>
      </c>
      <c r="AT64" s="45" t="inlineStr">
        <is>
          <t>Net debt = Bank loans (BRI) Rp569.84 bn (net of unamortized arrangement cost Rp4.77 bn) - Cash Rp75.59 bn = Rp494.25 bn.</t>
        </is>
      </c>
    </row>
    <row r="65" ht="15" customHeight="1" s="67">
      <c r="A65" s="6" t="inlineStr">
        <is>
          <t>PT Pradiksi Gunatama Tbk</t>
        </is>
      </c>
      <c r="B65" s="92" t="n">
        <v>2024</v>
      </c>
      <c r="C65" s="93" t="n">
        <v>738.5700000000001</v>
      </c>
      <c r="D65" s="93" t="n">
        <v>204.97</v>
      </c>
      <c r="E65" s="93" t="n"/>
      <c r="F65" s="93" t="n">
        <v>150.69</v>
      </c>
      <c r="G65" s="93" t="n">
        <v>79.18000000000001</v>
      </c>
      <c r="H65" s="93" t="n">
        <v>79.18000000000001</v>
      </c>
      <c r="I65" s="93" t="n">
        <v>2639.2</v>
      </c>
      <c r="J65" s="93" t="n">
        <v>367.88</v>
      </c>
      <c r="K65" s="93" t="n">
        <v>2271.32</v>
      </c>
      <c r="L65" s="93" t="n">
        <v>846.25</v>
      </c>
      <c r="M65" s="93" t="n">
        <v>211.18</v>
      </c>
      <c r="N65" s="93" t="n">
        <v>635.0700000000001</v>
      </c>
      <c r="O65" s="93" t="n">
        <v>1792.95</v>
      </c>
      <c r="P65" s="94">
        <f>IFERROR(J65-M65,"")</f>
        <v/>
      </c>
      <c r="Q65" s="93" t="n">
        <v>14.23</v>
      </c>
      <c r="R65" s="93" t="n">
        <v>488.72</v>
      </c>
      <c r="S65" s="94">
        <f>IFERROR(R65-Q65,"")</f>
        <v/>
      </c>
      <c r="T65" s="93" t="n">
        <v>111.43</v>
      </c>
      <c r="U65" s="93" t="n">
        <v>39.46</v>
      </c>
      <c r="V65" s="94">
        <f>IFERROR(T65-U65,"")</f>
        <v/>
      </c>
      <c r="W65" s="93" t="n">
        <v>5737.85</v>
      </c>
      <c r="X65" s="93" t="n">
        <v>13.8</v>
      </c>
      <c r="Y65" s="93" t="n">
        <v>312</v>
      </c>
      <c r="Z65" s="93" t="n"/>
      <c r="AA65" s="93" t="n"/>
      <c r="AB65" s="93" t="n">
        <v>424</v>
      </c>
      <c r="AC65" s="94">
        <f>IFERROR(W65*AB65/1000,"")</f>
        <v/>
      </c>
      <c r="AD65" s="17">
        <f>IFERROR(J65/M65,"")</f>
        <v/>
      </c>
      <c r="AE65" s="17">
        <f>IFERROR(R65/I65,"")</f>
        <v/>
      </c>
      <c r="AF65" s="17">
        <f>IFERROR(R65/O65,"")</f>
        <v/>
      </c>
      <c r="AG65" s="95">
        <f>IFERROR(G65/I65,"")</f>
        <v/>
      </c>
      <c r="AH65" s="95">
        <f>IFERROR(G65/O65,"")</f>
        <v/>
      </c>
      <c r="AI65" s="95">
        <f>IFERROR(G65/C65,"")</f>
        <v/>
      </c>
      <c r="AJ65" s="95">
        <f>IFERROR(D65/C65,"")</f>
        <v/>
      </c>
      <c r="AK65" s="6" t="n"/>
      <c r="AL65" s="6" t="n"/>
      <c r="AM65" s="6" t="n"/>
      <c r="AN65" s="6" t="n"/>
      <c r="AO65" s="96" t="n">
        <v>54.49</v>
      </c>
      <c r="AP65" s="97">
        <f>IFERROR(IF(AND(NOT(ISNUMBER(F65)),NOT(ISNUMBER(AO65))),"",F65+AO65),"")</f>
        <v/>
      </c>
      <c r="AQ65" s="97">
        <f>IFERROR(IF(OR(NOT(ISNUMBER(E65)),NOT(ISNUMBER(AP65))),"",E65-AP65),"")</f>
        <v/>
      </c>
      <c r="AR65" s="96" t="n">
        <v>474.49</v>
      </c>
      <c r="AS65" s="97">
        <f>IFERROR(IF(OR(NOT(ISNUMBER(AR65)),NOT(ISNUMBER(S65))),"",AR65-S65),"")</f>
        <v/>
      </c>
      <c r="AT65" s="45" t="inlineStr">
        <is>
          <t>Net debt = Bank loans (BRI) Rp488.72 bn (net of Rp3.97 bn unamortized arrangement cost) less Cash Rp14.23 bn = Rp474.49 bn. No other interest-bearing debt. Also Rp100.37 bn interest-bearing related-party payable to PT Araya Agro Lestari (LT) excluded from bank debt.</t>
        </is>
      </c>
    </row>
    <row r="66" ht="15" customHeight="1" s="67">
      <c r="A66" s="6" t="inlineStr">
        <is>
          <t>PT Pinago Utama Tbk</t>
        </is>
      </c>
      <c r="B66" s="92" t="n">
        <v>2022</v>
      </c>
      <c r="C66" s="93" t="n">
        <v>2034</v>
      </c>
      <c r="D66" s="93" t="n">
        <v>529</v>
      </c>
      <c r="E66" s="93" t="n"/>
      <c r="F66" s="93" t="n">
        <v>317</v>
      </c>
      <c r="G66" s="93" t="n">
        <v>173</v>
      </c>
      <c r="H66" s="93" t="n">
        <v>173</v>
      </c>
      <c r="I66" s="93" t="n">
        <v>1551</v>
      </c>
      <c r="J66" s="93" t="n">
        <v>496</v>
      </c>
      <c r="K66" s="93" t="n">
        <v>1054</v>
      </c>
      <c r="L66" s="93" t="n">
        <v>842</v>
      </c>
      <c r="M66" s="93" t="n">
        <v>337</v>
      </c>
      <c r="N66" s="93" t="n">
        <v>505</v>
      </c>
      <c r="O66" s="93" t="n">
        <v>708</v>
      </c>
      <c r="P66" s="94">
        <f>IFERROR(J66-M66,"")</f>
        <v/>
      </c>
      <c r="Q66" s="93" t="n">
        <v>72</v>
      </c>
      <c r="R66" s="93" t="n">
        <v>685</v>
      </c>
      <c r="S66" s="94">
        <f>IFERROR(R66-Q66,"")</f>
        <v/>
      </c>
      <c r="T66" s="93" t="n">
        <v>200</v>
      </c>
      <c r="U66" s="93" t="n">
        <v>65</v>
      </c>
      <c r="V66" s="94">
        <f>IFERROR(T66-U66,"")</f>
        <v/>
      </c>
      <c r="W66" s="93" t="n">
        <v>781</v>
      </c>
      <c r="X66" s="93" t="n">
        <v>222</v>
      </c>
      <c r="Y66" s="93" t="n">
        <v>907</v>
      </c>
      <c r="Z66" s="93" t="n">
        <v>50</v>
      </c>
      <c r="AA66" s="93" t="n">
        <v>70</v>
      </c>
      <c r="AB66" s="93" t="n">
        <v>1400</v>
      </c>
      <c r="AC66" s="94">
        <f>IFERROR(W66*AB66/1000,"")</f>
        <v/>
      </c>
      <c r="AD66" s="17">
        <f>IFERROR(J66/M66,"")</f>
        <v/>
      </c>
      <c r="AE66" s="17">
        <f>IFERROR(R66/I66,"")</f>
        <v/>
      </c>
      <c r="AF66" s="17">
        <f>IFERROR(R66/O66,"")</f>
        <v/>
      </c>
      <c r="AG66" s="95">
        <f>IFERROR(G66/I66,"")</f>
        <v/>
      </c>
      <c r="AH66" s="95">
        <f>IFERROR(G66/O66,"")</f>
        <v/>
      </c>
      <c r="AI66" s="95">
        <f>IFERROR(G66/C66,"")</f>
        <v/>
      </c>
      <c r="AJ66" s="95">
        <f>IFERROR(D66/C66,"")</f>
        <v/>
      </c>
      <c r="AK66" s="6" t="n"/>
      <c r="AL66" s="6" t="n"/>
      <c r="AM66" s="6" t="n"/>
      <c r="AN66" s="6" t="n"/>
      <c r="AO66" s="96" t="n"/>
      <c r="AP66" s="97">
        <f>IFERROR(IF(AND(NOT(ISNUMBER(F66)),NOT(ISNUMBER(AO66))),"",F66+AO66),"")</f>
        <v/>
      </c>
      <c r="AQ66" s="97">
        <f>IFERROR(IF(OR(NOT(ISNUMBER(E66)),NOT(ISNUMBER(AP66))),"",E66-AP66),"")</f>
        <v/>
      </c>
      <c r="AR66" s="96" t="n"/>
      <c r="AS66" s="97">
        <f>IFERROR(IF(OR(NOT(ISNUMBER(AR66)),NOT(ISNUMBER(S66))),"",AR66-S66),"")</f>
        <v/>
      </c>
      <c r="AT66" s="45" t="inlineStr">
        <is>
          <t>Gross bank debt = ST bank loans 154.70 + current portion LT bank 90.83 + LT bank 439.09 = Rp684.62 bn. Cash Rp72.20 bn. Net bank debt ~Rp612.4 bn. Debt-to-equity 1.18.</t>
        </is>
      </c>
    </row>
    <row r="67" ht="15" customHeight="1" s="67">
      <c r="A67" s="6" t="inlineStr">
        <is>
          <t>PT Pinago Utama Tbk</t>
        </is>
      </c>
      <c r="B67" s="92" t="n">
        <v>2023</v>
      </c>
      <c r="C67" s="93" t="n">
        <v>2037</v>
      </c>
      <c r="D67" s="93" t="n">
        <v>503</v>
      </c>
      <c r="E67" s="93" t="n"/>
      <c r="F67" s="93" t="n">
        <v>291</v>
      </c>
      <c r="G67" s="93" t="n">
        <v>192</v>
      </c>
      <c r="H67" s="93" t="n">
        <v>191</v>
      </c>
      <c r="I67" s="93" t="n">
        <v>1489</v>
      </c>
      <c r="J67" s="93" t="n">
        <v>341</v>
      </c>
      <c r="K67" s="93" t="n">
        <v>1148</v>
      </c>
      <c r="L67" s="93" t="n">
        <v>692</v>
      </c>
      <c r="M67" s="93" t="n">
        <v>273</v>
      </c>
      <c r="N67" s="93" t="n">
        <v>420</v>
      </c>
      <c r="O67" s="93" t="n">
        <v>797</v>
      </c>
      <c r="P67" s="94">
        <f>IFERROR(J67-M67,"")</f>
        <v/>
      </c>
      <c r="Q67" s="93" t="n">
        <v>29</v>
      </c>
      <c r="R67" s="93" t="n">
        <v>536</v>
      </c>
      <c r="S67" s="94">
        <f>IFERROR(R67-Q67,"")</f>
        <v/>
      </c>
      <c r="T67" s="93" t="n">
        <v>364</v>
      </c>
      <c r="U67" s="93" t="n">
        <v>153</v>
      </c>
      <c r="V67" s="94">
        <f>IFERROR(T67-U67,"")</f>
        <v/>
      </c>
      <c r="W67" s="93" t="n">
        <v>781</v>
      </c>
      <c r="X67" s="93" t="n">
        <v>245</v>
      </c>
      <c r="Y67" s="93" t="n">
        <v>1020</v>
      </c>
      <c r="Z67" s="93" t="n">
        <v>70</v>
      </c>
      <c r="AA67" s="93" t="n">
        <v>60</v>
      </c>
      <c r="AB67" s="93" t="n">
        <v>1400</v>
      </c>
      <c r="AC67" s="94">
        <f>IFERROR(W67*AB67/1000,"")</f>
        <v/>
      </c>
      <c r="AD67" s="17">
        <f>IFERROR(J67/M67,"")</f>
        <v/>
      </c>
      <c r="AE67" s="17">
        <f>IFERROR(R67/I67,"")</f>
        <v/>
      </c>
      <c r="AF67" s="17">
        <f>IFERROR(R67/O67,"")</f>
        <v/>
      </c>
      <c r="AG67" s="95">
        <f>IFERROR(G67/I67,"")</f>
        <v/>
      </c>
      <c r="AH67" s="95">
        <f>IFERROR(G67/O67,"")</f>
        <v/>
      </c>
      <c r="AI67" s="95">
        <f>IFERROR(G67/C67,"")</f>
        <v/>
      </c>
      <c r="AJ67" s="95">
        <f>IFERROR(D67/C67,"")</f>
        <v/>
      </c>
      <c r="AK67" s="6" t="n"/>
      <c r="AL67" s="6" t="n"/>
      <c r="AM67" s="6" t="n"/>
      <c r="AN67" s="6" t="n"/>
      <c r="AO67" s="96" t="n"/>
      <c r="AP67" s="97">
        <f>IFERROR(IF(AND(NOT(ISNUMBER(F67)),NOT(ISNUMBER(AO67))),"",F67+AO67),"")</f>
        <v/>
      </c>
      <c r="AQ67" s="97">
        <f>IFERROR(IF(OR(NOT(ISNUMBER(E67)),NOT(ISNUMBER(AP67))),"",E67-AP67),"")</f>
        <v/>
      </c>
      <c r="AR67" s="96" t="n"/>
      <c r="AS67" s="97">
        <f>IFERROR(IF(OR(NOT(ISNUMBER(AR67)),NOT(ISNUMBER(S67))),"",AR67-S67),"")</f>
        <v/>
      </c>
      <c r="AT67" s="45" t="inlineStr">
        <is>
          <t>Gross bank debt = ST bank loans 99.10 + current portion LT bank 90.83 + LT bank 345.68 = Rp535.62 bn. Cash Rp28.71 bn. Net bank debt ~Rp506.9 bn. Debt-to-equity 0.87.</t>
        </is>
      </c>
    </row>
    <row r="68" ht="15" customHeight="1" s="67">
      <c r="A68" s="6" t="inlineStr">
        <is>
          <t>PT Pinago Utama Tbk</t>
        </is>
      </c>
      <c r="B68" s="92" t="n">
        <v>2024</v>
      </c>
      <c r="C68" s="93" t="n">
        <v>2043</v>
      </c>
      <c r="D68" s="93" t="n">
        <v>537</v>
      </c>
      <c r="E68" s="93" t="n"/>
      <c r="F68" s="93" t="n">
        <v>333</v>
      </c>
      <c r="G68" s="93" t="n">
        <v>221</v>
      </c>
      <c r="H68" s="93" t="n">
        <v>220</v>
      </c>
      <c r="I68" s="93" t="n">
        <v>1764</v>
      </c>
      <c r="J68" s="93" t="n">
        <v>502</v>
      </c>
      <c r="K68" s="93" t="n">
        <v>1262</v>
      </c>
      <c r="L68" s="93" t="n">
        <v>798</v>
      </c>
      <c r="M68" s="93" t="n">
        <v>489</v>
      </c>
      <c r="N68" s="93" t="n">
        <v>309</v>
      </c>
      <c r="O68" s="93" t="n">
        <v>966</v>
      </c>
      <c r="P68" s="94">
        <f>IFERROR(J68-M68,"")</f>
        <v/>
      </c>
      <c r="Q68" s="93" t="n">
        <v>22</v>
      </c>
      <c r="R68" s="93" t="n">
        <v>590</v>
      </c>
      <c r="S68" s="94">
        <f>IFERROR(R68-Q68,"")</f>
        <v/>
      </c>
      <c r="T68" s="93" t="n">
        <v>157</v>
      </c>
      <c r="U68" s="93" t="n">
        <v>157</v>
      </c>
      <c r="V68" s="94">
        <f>IFERROR(T68-U68,"")</f>
        <v/>
      </c>
      <c r="W68" s="93" t="n">
        <v>781</v>
      </c>
      <c r="X68" s="93" t="n">
        <v>282</v>
      </c>
      <c r="Y68" s="93" t="n">
        <v>1236</v>
      </c>
      <c r="Z68" s="93" t="n">
        <v>40</v>
      </c>
      <c r="AA68" s="93" t="n">
        <v>52</v>
      </c>
      <c r="AB68" s="93" t="n">
        <v>1610</v>
      </c>
      <c r="AC68" s="94">
        <f>IFERROR(W68*AB68/1000,"")</f>
        <v/>
      </c>
      <c r="AD68" s="17">
        <f>IFERROR(J68/M68,"")</f>
        <v/>
      </c>
      <c r="AE68" s="17">
        <f>IFERROR(R68/I68,"")</f>
        <v/>
      </c>
      <c r="AF68" s="17">
        <f>IFERROR(R68/O68,"")</f>
        <v/>
      </c>
      <c r="AG68" s="95">
        <f>IFERROR(G68/I68,"")</f>
        <v/>
      </c>
      <c r="AH68" s="95">
        <f>IFERROR(G68/O68,"")</f>
        <v/>
      </c>
      <c r="AI68" s="95">
        <f>IFERROR(G68/C68,"")</f>
        <v/>
      </c>
      <c r="AJ68" s="95">
        <f>IFERROR(D68/C68,"")</f>
        <v/>
      </c>
      <c r="AK68" s="6" t="n"/>
      <c r="AL68" s="6" t="n"/>
      <c r="AM68" s="6" t="n"/>
      <c r="AN68" s="6" t="n"/>
      <c r="AO68" s="96" t="n"/>
      <c r="AP68" s="97">
        <f>IFERROR(IF(AND(NOT(ISNUMBER(F68)),NOT(ISNUMBER(AO68))),"",F68+AO68),"")</f>
        <v/>
      </c>
      <c r="AQ68" s="97">
        <f>IFERROR(IF(OR(NOT(ISNUMBER(E68)),NOT(ISNUMBER(AP68))),"",E68-AP68),"")</f>
        <v/>
      </c>
      <c r="AR68" s="96" t="n">
        <v>775</v>
      </c>
      <c r="AS68" s="97">
        <f>IFERROR(IF(OR(NOT(ISNUMBER(AR68)),NOT(ISNUMBER(S68))),"",AR68-S68),"")</f>
        <v/>
      </c>
      <c r="AT68" s="45" t="inlineStr">
        <is>
          <t>Gross bank debt = ST bank loans 270.48 + current portion LT bank 110.83 + LT bank 208.42 = Rp589.74 bn. Net debt per AR p.92 = Total liabilities Rp797.87 bn - Cash Rp22.38 bn = Rp775.49 bn. DER 0.83.</t>
        </is>
      </c>
    </row>
    <row r="69" ht="15" customHeight="1" s="67">
      <c r="A69" s="6" t="inlineStr">
        <is>
          <t>PT Pulau Subur Tbk</t>
        </is>
      </c>
      <c r="B69" s="92" t="n">
        <v>2023</v>
      </c>
      <c r="C69" s="93" t="n">
        <v>61.66</v>
      </c>
      <c r="D69" s="93" t="n">
        <v>34.5</v>
      </c>
      <c r="E69" s="93" t="n">
        <v>35.34</v>
      </c>
      <c r="F69" s="93" t="n">
        <v>32.78</v>
      </c>
      <c r="G69" s="93" t="n">
        <v>26.19</v>
      </c>
      <c r="H69" s="93" t="n">
        <v>26.19</v>
      </c>
      <c r="I69" s="93" t="n">
        <v>168.91</v>
      </c>
      <c r="J69" s="93" t="n">
        <v>100.32</v>
      </c>
      <c r="K69" s="93" t="n">
        <v>68.59</v>
      </c>
      <c r="L69" s="93" t="n">
        <v>6.18</v>
      </c>
      <c r="M69" s="93" t="n">
        <v>5.76</v>
      </c>
      <c r="N69" s="93" t="n">
        <v>0.42</v>
      </c>
      <c r="O69" s="93" t="n">
        <v>162.74</v>
      </c>
      <c r="P69" s="94">
        <f>IFERROR(J69-M69,"")</f>
        <v/>
      </c>
      <c r="Q69" s="93" t="n">
        <v>74.98</v>
      </c>
      <c r="R69" s="93" t="n">
        <v>1.88</v>
      </c>
      <c r="S69" s="94">
        <f>IFERROR(R69-Q69,"")</f>
        <v/>
      </c>
      <c r="T69" s="93" t="n">
        <v>17.26</v>
      </c>
      <c r="U69" s="93" t="n">
        <v>10.45</v>
      </c>
      <c r="V69" s="94">
        <f>IFERROR(T69-U69,"")</f>
        <v/>
      </c>
      <c r="W69" s="93" t="n">
        <v>2167.5</v>
      </c>
      <c r="X69" s="93" t="n">
        <v>12.08</v>
      </c>
      <c r="Y69" s="93" t="n">
        <v>75.08</v>
      </c>
      <c r="Z69" s="93" t="n"/>
      <c r="AA69" s="93" t="n"/>
      <c r="AB69" s="93" t="n">
        <v>152</v>
      </c>
      <c r="AC69" s="94">
        <f>IFERROR(W69*AB69/1000,"")</f>
        <v/>
      </c>
      <c r="AD69" s="17">
        <f>IFERROR(J69/M69,"")</f>
        <v/>
      </c>
      <c r="AE69" s="17">
        <f>IFERROR(R69/I69,"")</f>
        <v/>
      </c>
      <c r="AF69" s="17">
        <f>IFERROR(R69/O69,"")</f>
        <v/>
      </c>
      <c r="AG69" s="95">
        <f>IFERROR(G69/I69,"")</f>
        <v/>
      </c>
      <c r="AH69" s="95">
        <f>IFERROR(G69/O69,"")</f>
        <v/>
      </c>
      <c r="AI69" s="95">
        <f>IFERROR(G69/C69,"")</f>
        <v/>
      </c>
      <c r="AJ69" s="95">
        <f>IFERROR(D69/C69,"")</f>
        <v/>
      </c>
      <c r="AK69" s="6" t="n"/>
      <c r="AL69" s="6" t="n"/>
      <c r="AM69" s="6" t="n"/>
      <c r="AN69" s="6" t="n"/>
      <c r="AO69" s="96" t="n"/>
      <c r="AP69" s="97">
        <f>IFERROR(IF(AND(NOT(ISNUMBER(F69)),NOT(ISNUMBER(AO69))),"",F69+AO69),"")</f>
        <v/>
      </c>
      <c r="AQ69" s="97">
        <f>IFERROR(IF(OR(NOT(ISNUMBER(E69)),NOT(ISNUMBER(AP69))),"",E69-AP69),"")</f>
        <v/>
      </c>
      <c r="AR69" s="96" t="n"/>
      <c r="AS69" s="97">
        <f>IFERROR(IF(OR(NOT(ISNUMBER(AR69)),NOT(ISNUMBER(S69))),"",AR69-S69),"")</f>
        <v/>
      </c>
      <c r="AT69" s="45" t="inlineStr">
        <is>
          <t>Gearing ratio 3.79% (Liab/Equity). Gross debt = bank loan current maturity Rp1.88 bn (fully repaid in 2024). Net debt = 1.88 - 74.98 = strongly negative (net cash Rp73.1 bn) after IPO.</t>
        </is>
      </c>
    </row>
    <row r="70" ht="15" customHeight="1" s="67">
      <c r="A70" s="6" t="inlineStr">
        <is>
          <t>PT Pulau Subur Tbk</t>
        </is>
      </c>
      <c r="B70" s="92" t="n">
        <v>2024</v>
      </c>
      <c r="C70" s="93" t="n">
        <v>63.58</v>
      </c>
      <c r="D70" s="93" t="n">
        <v>36.35</v>
      </c>
      <c r="E70" s="93" t="n">
        <v>36.88</v>
      </c>
      <c r="F70" s="93" t="n">
        <v>32.96</v>
      </c>
      <c r="G70" s="93" t="n">
        <v>27.13</v>
      </c>
      <c r="H70" s="93" t="n">
        <v>27.13</v>
      </c>
      <c r="I70" s="93" t="n">
        <v>190.56</v>
      </c>
      <c r="J70" s="93" t="n">
        <v>77.36</v>
      </c>
      <c r="K70" s="93" t="n">
        <v>113.2</v>
      </c>
      <c r="L70" s="93" t="n">
        <v>5.41</v>
      </c>
      <c r="M70" s="93" t="n">
        <v>3.97</v>
      </c>
      <c r="N70" s="93" t="n">
        <v>1.45</v>
      </c>
      <c r="O70" s="93" t="n">
        <v>185.15</v>
      </c>
      <c r="P70" s="94">
        <f>IFERROR(J70-M70,"")</f>
        <v/>
      </c>
      <c r="Q70" s="93" t="n">
        <v>64.20999999999999</v>
      </c>
      <c r="R70" s="93" t="n">
        <v>1.01</v>
      </c>
      <c r="S70" s="94">
        <f>IFERROR(R70-Q70,"")</f>
        <v/>
      </c>
      <c r="T70" s="93" t="n">
        <v>29.22</v>
      </c>
      <c r="U70" s="93" t="n">
        <v>44.6</v>
      </c>
      <c r="V70" s="94">
        <f>IFERROR(T70-U70,"")</f>
        <v/>
      </c>
      <c r="W70" s="93" t="n">
        <v>2167.5</v>
      </c>
      <c r="X70" s="93" t="n">
        <v>12.52</v>
      </c>
      <c r="Y70" s="93" t="n">
        <v>85.42</v>
      </c>
      <c r="Z70" s="93" t="n"/>
      <c r="AA70" s="93" t="n">
        <v>2.2</v>
      </c>
      <c r="AB70" s="93" t="n">
        <v>77</v>
      </c>
      <c r="AC70" s="94">
        <f>IFERROR(W70*AB70/1000,"")</f>
        <v/>
      </c>
      <c r="AD70" s="17">
        <f>IFERROR(J70/M70,"")</f>
        <v/>
      </c>
      <c r="AE70" s="17">
        <f>IFERROR(R70/I70,"")</f>
        <v/>
      </c>
      <c r="AF70" s="17">
        <f>IFERROR(R70/O70,"")</f>
        <v/>
      </c>
      <c r="AG70" s="95">
        <f>IFERROR(G70/I70,"")</f>
        <v/>
      </c>
      <c r="AH70" s="95">
        <f>IFERROR(G70/O70,"")</f>
        <v/>
      </c>
      <c r="AI70" s="95">
        <f>IFERROR(G70/C70,"")</f>
        <v/>
      </c>
      <c r="AJ70" s="95">
        <f>IFERROR(D70/C70,"")</f>
        <v/>
      </c>
      <c r="AK70" s="6" t="n"/>
      <c r="AL70" s="6" t="n"/>
      <c r="AM70" s="6" t="n"/>
      <c r="AN70" s="6" t="n"/>
      <c r="AO70" s="96" t="n"/>
      <c r="AP70" s="97">
        <f>IFERROR(IF(AND(NOT(ISNUMBER(F70)),NOT(ISNUMBER(AO70))),"",F70+AO70),"")</f>
        <v/>
      </c>
      <c r="AQ70" s="97">
        <f>IFERROR(IF(OR(NOT(ISNUMBER(E70)),NOT(ISNUMBER(AP70))),"",E70-AP70),"")</f>
        <v/>
      </c>
      <c r="AR70" s="96" t="n"/>
      <c r="AS70" s="97">
        <f>IFERROR(IF(OR(NOT(ISNUMBER(AR70)),NOT(ISNUMBER(S70))),"",AR70-S70),"")</f>
        <v/>
      </c>
      <c r="AT70" s="45" t="inlineStr">
        <is>
          <t>Gearing (Liab/Equity) 2.92%. Gross debt = lease liability Rp1.006 bn (2024 new vehicle lease); no bank debt at end-2024 (Rp1.88 bn bank loan fully repaid during year). Net debt = 1.01 - 64.21 = negative (net cash Rp63.2 bn).</t>
        </is>
      </c>
    </row>
    <row r="71" ht="15" customHeight="1" s="67">
      <c r="A71" s="6" t="inlineStr">
        <is>
          <t>PT Sampoerna Agro Tbk</t>
        </is>
      </c>
      <c r="B71" s="92" t="n">
        <v>2022</v>
      </c>
      <c r="C71" s="93" t="n">
        <v>5672</v>
      </c>
      <c r="D71" s="93" t="n">
        <v>1984</v>
      </c>
      <c r="E71" s="93" t="n">
        <v>2162</v>
      </c>
      <c r="F71" s="93" t="n">
        <v>1619</v>
      </c>
      <c r="G71" s="93" t="n">
        <v>1039</v>
      </c>
      <c r="H71" s="93" t="n">
        <v>1050</v>
      </c>
      <c r="I71" s="93" t="n">
        <v>10243</v>
      </c>
      <c r="J71" s="93" t="n">
        <v>1800</v>
      </c>
      <c r="K71" s="93" t="n">
        <v>8443</v>
      </c>
      <c r="L71" s="93" t="n">
        <v>5013</v>
      </c>
      <c r="M71" s="93" t="n">
        <v>1361</v>
      </c>
      <c r="N71" s="93" t="n">
        <v>3652</v>
      </c>
      <c r="O71" s="93" t="n">
        <v>5230</v>
      </c>
      <c r="P71" s="94">
        <f>IFERROR(J71-M71,"")</f>
        <v/>
      </c>
      <c r="Q71" s="93" t="n">
        <v>535</v>
      </c>
      <c r="R71" s="93" t="n">
        <v>3082</v>
      </c>
      <c r="S71" s="94">
        <f>IFERROR(R71-Q71,"")</f>
        <v/>
      </c>
      <c r="T71" s="93" t="n">
        <v>1254</v>
      </c>
      <c r="U71" s="93" t="n">
        <v>404</v>
      </c>
      <c r="V71" s="94">
        <f>IFERROR(T71-U71,"")</f>
        <v/>
      </c>
      <c r="W71" s="93" t="n">
        <v>1819</v>
      </c>
      <c r="X71" s="93" t="n">
        <v>577</v>
      </c>
      <c r="Y71" s="93" t="n">
        <v>2805</v>
      </c>
      <c r="Z71" s="93" t="n">
        <v>90</v>
      </c>
      <c r="AA71" s="93" t="n">
        <v>135</v>
      </c>
      <c r="AB71" s="93" t="n">
        <v>2100</v>
      </c>
      <c r="AC71" s="94">
        <f>IFERROR(W71*AB71/1000,"")</f>
        <v/>
      </c>
      <c r="AD71" s="17">
        <f>IFERROR(J71/M71,"")</f>
        <v/>
      </c>
      <c r="AE71" s="17">
        <f>IFERROR(R71/I71,"")</f>
        <v/>
      </c>
      <c r="AF71" s="17">
        <f>IFERROR(R71/O71,"")</f>
        <v/>
      </c>
      <c r="AG71" s="95">
        <f>IFERROR(G71/I71,"")</f>
        <v/>
      </c>
      <c r="AH71" s="95">
        <f>IFERROR(G71/O71,"")</f>
        <v/>
      </c>
      <c r="AI71" s="95">
        <f>IFERROR(G71/C71,"")</f>
        <v/>
      </c>
      <c r="AJ71" s="95">
        <f>IFERROR(D71/C71,"")</f>
        <v/>
      </c>
      <c r="AK71" s="6" t="n"/>
      <c r="AL71" s="6" t="n"/>
      <c r="AM71" s="6" t="n"/>
      <c r="AN71" s="6" t="n"/>
      <c r="AO71" s="96" t="n"/>
      <c r="AP71" s="97">
        <f>IFERROR(IF(AND(NOT(ISNUMBER(F71)),NOT(ISNUMBER(AO71))),"",F71+AO71),"")</f>
        <v/>
      </c>
      <c r="AQ71" s="97">
        <f>IFERROR(IF(OR(NOT(ISNUMBER(E71)),NOT(ISNUMBER(AP71))),"",E71-AP71),"")</f>
        <v/>
      </c>
      <c r="AR71" s="96" t="n"/>
      <c r="AS71" s="97">
        <f>IFERROR(IF(OR(NOT(ISNUMBER(AR71)),NOT(ISNUMBER(S71))),"",AR71-S71),"")</f>
        <v/>
      </c>
      <c r="AT71" s="45" t="inlineStr">
        <is>
          <t>Gearing 69.2% (debt/equity) - reported. Gross debt = bonds (208+785=993) + sukuk (175+823=998) + bank loans (94+997=1091) = Rp3,082 bn. Net debt = 3,082 - 535 cash = Rp2,547 bn. Interest-bearing debt/total assets 35.3%. Note: DPS of Rp135 final (from 2021 profit) + Rp90 interim (from 2022 profit) = Rp225 paid in 2022.</t>
        </is>
      </c>
    </row>
    <row r="72" ht="15" customHeight="1" s="67">
      <c r="A72" s="6" t="inlineStr">
        <is>
          <t>PT Sampoerna Agro Tbk</t>
        </is>
      </c>
      <c r="B72" s="92" t="n">
        <v>2023</v>
      </c>
      <c r="C72" s="93" t="n">
        <v>5621</v>
      </c>
      <c r="D72" s="93" t="n">
        <v>1327</v>
      </c>
      <c r="E72" s="93" t="n"/>
      <c r="F72" s="93" t="n">
        <v>937</v>
      </c>
      <c r="G72" s="93" t="n">
        <v>441</v>
      </c>
      <c r="H72" s="93" t="n">
        <v>484</v>
      </c>
      <c r="I72" s="93" t="n">
        <v>10068</v>
      </c>
      <c r="J72" s="93" t="n">
        <v>1616</v>
      </c>
      <c r="K72" s="93" t="n">
        <v>8452</v>
      </c>
      <c r="L72" s="93" t="n">
        <v>4555</v>
      </c>
      <c r="M72" s="93" t="n">
        <v>1310</v>
      </c>
      <c r="N72" s="93" t="n">
        <v>3245</v>
      </c>
      <c r="O72" s="93" t="n">
        <v>5512</v>
      </c>
      <c r="P72" s="94">
        <f>IFERROR(J72-M72,"")</f>
        <v/>
      </c>
      <c r="Q72" s="93" t="n">
        <v>536</v>
      </c>
      <c r="R72" s="93" t="n">
        <v>2837</v>
      </c>
      <c r="S72" s="94">
        <f>IFERROR(R72-Q72,"")</f>
        <v/>
      </c>
      <c r="T72" s="93" t="n">
        <v>1423</v>
      </c>
      <c r="U72" s="93" t="n">
        <v>553</v>
      </c>
      <c r="V72" s="94">
        <f>IFERROR(T72-U72,"")</f>
        <v/>
      </c>
      <c r="W72" s="93" t="n">
        <v>1819</v>
      </c>
      <c r="X72" s="93" t="n">
        <v>266</v>
      </c>
      <c r="Y72" s="93" t="n">
        <v>3031</v>
      </c>
      <c r="Z72" s="93" t="n"/>
      <c r="AA72" s="93" t="n">
        <v>288</v>
      </c>
      <c r="AB72" s="93" t="n">
        <v>2010</v>
      </c>
      <c r="AC72" s="94">
        <f>IFERROR(W72*AB72/1000,"")</f>
        <v/>
      </c>
      <c r="AD72" s="17">
        <f>IFERROR(J72/M72,"")</f>
        <v/>
      </c>
      <c r="AE72" s="17">
        <f>IFERROR(R72/I72,"")</f>
        <v/>
      </c>
      <c r="AF72" s="17">
        <f>IFERROR(R72/O72,"")</f>
        <v/>
      </c>
      <c r="AG72" s="95">
        <f>IFERROR(G72/I72,"")</f>
        <v/>
      </c>
      <c r="AH72" s="95">
        <f>IFERROR(G72/O72,"")</f>
        <v/>
      </c>
      <c r="AI72" s="95">
        <f>IFERROR(G72/C72,"")</f>
        <v/>
      </c>
      <c r="AJ72" s="95">
        <f>IFERROR(D72/C72,"")</f>
        <v/>
      </c>
      <c r="AK72" s="6" t="n"/>
      <c r="AL72" s="6" t="n"/>
      <c r="AM72" s="6" t="n"/>
      <c r="AN72" s="6" t="n"/>
      <c r="AO72" s="96" t="n"/>
      <c r="AP72" s="97">
        <f>IFERROR(IF(AND(NOT(ISNUMBER(F72)),NOT(ISNUMBER(AO72))),"",F72+AO72),"")</f>
        <v/>
      </c>
      <c r="AQ72" s="97">
        <f>IFERROR(IF(OR(NOT(ISNUMBER(E72)),NOT(ISNUMBER(AP72))),"",E72-AP72),"")</f>
        <v/>
      </c>
      <c r="AR72" s="96" t="n"/>
      <c r="AS72" s="97">
        <f>IFERROR(IF(OR(NOT(ISNUMBER(AR72)),NOT(ISNUMBER(S72))),"",AR72-S72),"")</f>
        <v/>
      </c>
      <c r="AT72" s="45" t="inlineStr">
        <is>
          <t>Gearing 58.0% (debt/equity) - reported. Gross debt = bonds (127+660=787) + sukuk (237+587=824) + bank loans (138+1089=1226) = Rp2,837 bn. Net debt = 2,837 - 536 cash = Rp2,301 bn. Interest-bearing debt/total assets 31.8%.</t>
        </is>
      </c>
    </row>
    <row r="73" ht="15" customHeight="1" s="67">
      <c r="A73" s="6" t="inlineStr">
        <is>
          <t>PT Sampoerna Agro Tbk</t>
        </is>
      </c>
      <c r="B73" s="92" t="n">
        <v>2024</v>
      </c>
      <c r="C73" s="93" t="n">
        <v>5694</v>
      </c>
      <c r="D73" s="93" t="n">
        <v>1601</v>
      </c>
      <c r="E73" s="93" t="n"/>
      <c r="F73" s="93" t="n">
        <v>1264</v>
      </c>
      <c r="G73" s="93" t="n">
        <v>697</v>
      </c>
      <c r="H73" s="93" t="n">
        <v>749</v>
      </c>
      <c r="I73" s="93" t="n">
        <v>10702</v>
      </c>
      <c r="J73" s="93" t="n">
        <v>2225</v>
      </c>
      <c r="K73" s="93" t="n">
        <v>8478</v>
      </c>
      <c r="L73" s="93" t="n">
        <v>4492</v>
      </c>
      <c r="M73" s="93" t="n">
        <v>1760</v>
      </c>
      <c r="N73" s="93" t="n">
        <v>2732</v>
      </c>
      <c r="O73" s="93" t="n">
        <v>6210</v>
      </c>
      <c r="P73" s="94">
        <f>IFERROR(J73-M73,"")</f>
        <v/>
      </c>
      <c r="Q73" s="93" t="n">
        <v>841</v>
      </c>
      <c r="R73" s="93" t="n">
        <v>2882</v>
      </c>
      <c r="S73" s="94">
        <f>IFERROR(R73-Q73,"")</f>
        <v/>
      </c>
      <c r="T73" s="93" t="n">
        <v>1256</v>
      </c>
      <c r="U73" s="93" t="n">
        <v>437</v>
      </c>
      <c r="V73" s="94">
        <f>IFERROR(T73-U73,"")</f>
        <v/>
      </c>
      <c r="W73" s="93" t="n">
        <v>1819</v>
      </c>
      <c r="X73" s="93" t="n">
        <v>412</v>
      </c>
      <c r="Y73" s="93" t="n">
        <v>3415</v>
      </c>
      <c r="Z73" s="93" t="n"/>
      <c r="AA73" s="93" t="n">
        <v>121</v>
      </c>
      <c r="AB73" s="93" t="n">
        <v>2140</v>
      </c>
      <c r="AC73" s="94">
        <f>IFERROR(W73*AB73/1000,"")</f>
        <v/>
      </c>
      <c r="AD73" s="17">
        <f>IFERROR(J73/M73,"")</f>
        <v/>
      </c>
      <c r="AE73" s="17">
        <f>IFERROR(R73/I73,"")</f>
        <v/>
      </c>
      <c r="AF73" s="17">
        <f>IFERROR(R73/O73,"")</f>
        <v/>
      </c>
      <c r="AG73" s="95">
        <f>IFERROR(G73/I73,"")</f>
        <v/>
      </c>
      <c r="AH73" s="95">
        <f>IFERROR(G73/O73,"")</f>
        <v/>
      </c>
      <c r="AI73" s="95">
        <f>IFERROR(G73/C73,"")</f>
        <v/>
      </c>
      <c r="AJ73" s="95">
        <f>IFERROR(D73/C73,"")</f>
        <v/>
      </c>
      <c r="AK73" s="6" t="n"/>
      <c r="AL73" s="6" t="n"/>
      <c r="AM73" s="6" t="n"/>
      <c r="AN73" s="6" t="n"/>
      <c r="AO73" s="96" t="n"/>
      <c r="AP73" s="97">
        <f>IFERROR(IF(AND(NOT(ISNUMBER(F73)),NOT(ISNUMBER(AO73))),"",F73+AO73),"")</f>
        <v/>
      </c>
      <c r="AQ73" s="97">
        <f>IFERROR(IF(OR(NOT(ISNUMBER(E73)),NOT(ISNUMBER(AP73))),"",E73-AP73),"")</f>
        <v/>
      </c>
      <c r="AR73" s="96" t="n"/>
      <c r="AS73" s="97">
        <f>IFERROR(IF(OR(NOT(ISNUMBER(AR73)),NOT(ISNUMBER(S73))),"",AR73-S73),"")</f>
        <v/>
      </c>
      <c r="AT73" s="45" t="inlineStr">
        <is>
          <t>Gearing 49.5% (debt/equity) - reported. Gross debt = bonds (166+495=661) + sukuk (200+388=588) + bank loans (208+1425=1633) = Rp2,882 bn. Net debt = 2,882 - 841 cash = Rp2,041 bn. Interest-bearing debt/total assets 28.7%.</t>
        </is>
      </c>
    </row>
    <row r="74" ht="15" customHeight="1" s="67">
      <c r="A74" s="6" t="inlineStr">
        <is>
          <t>PT Salim Ivomas Pratama Tbk</t>
        </is>
      </c>
      <c r="B74" s="92" t="n">
        <v>2022</v>
      </c>
      <c r="C74" s="93" t="n">
        <v>17794</v>
      </c>
      <c r="D74" s="93" t="n">
        <v>4649</v>
      </c>
      <c r="E74" s="93" t="n">
        <v>4684</v>
      </c>
      <c r="F74" s="93" t="n">
        <v>2920</v>
      </c>
      <c r="G74" s="93" t="n">
        <v>1510</v>
      </c>
      <c r="H74" s="93" t="n">
        <v>1198</v>
      </c>
      <c r="I74" s="93" t="n">
        <v>36113</v>
      </c>
      <c r="J74" s="93" t="n">
        <v>10443</v>
      </c>
      <c r="K74" s="93" t="n">
        <v>25670</v>
      </c>
      <c r="L74" s="93" t="n">
        <v>14946</v>
      </c>
      <c r="M74" s="93" t="n">
        <v>9461</v>
      </c>
      <c r="N74" s="93" t="n">
        <v>5485</v>
      </c>
      <c r="O74" s="93" t="n">
        <v>21167</v>
      </c>
      <c r="P74" s="94">
        <f>IFERROR(J74-M74,"")</f>
        <v/>
      </c>
      <c r="Q74" s="93" t="n">
        <v>4297</v>
      </c>
      <c r="R74" s="93" t="n">
        <v>9871</v>
      </c>
      <c r="S74" s="94">
        <f>IFERROR(R74-Q74,"")</f>
        <v/>
      </c>
      <c r="T74" s="93" t="n">
        <v>3596</v>
      </c>
      <c r="U74" s="93" t="n">
        <v>1460</v>
      </c>
      <c r="V74" s="94">
        <f>IFERROR(T74-U74,"")</f>
        <v/>
      </c>
      <c r="W74" s="93" t="n">
        <v>15501</v>
      </c>
      <c r="X74" s="93" t="n">
        <v>77</v>
      </c>
      <c r="Y74" s="93" t="n">
        <v>1086</v>
      </c>
      <c r="Z74" s="93" t="n"/>
      <c r="AA74" s="93" t="n">
        <v>13</v>
      </c>
      <c r="AB74" s="93" t="n">
        <v>414</v>
      </c>
      <c r="AC74" s="94">
        <f>IFERROR(W74*AB74/1000,"")</f>
        <v/>
      </c>
      <c r="AD74" s="17">
        <f>IFERROR(J74/M74,"")</f>
        <v/>
      </c>
      <c r="AE74" s="17">
        <f>IFERROR(R74/I74,"")</f>
        <v/>
      </c>
      <c r="AF74" s="17">
        <f>IFERROR(R74/O74,"")</f>
        <v/>
      </c>
      <c r="AG74" s="95">
        <f>IFERROR(G74/I74,"")</f>
        <v/>
      </c>
      <c r="AH74" s="95">
        <f>IFERROR(G74/O74,"")</f>
        <v/>
      </c>
      <c r="AI74" s="95">
        <f>IFERROR(G74/C74,"")</f>
        <v/>
      </c>
      <c r="AJ74" s="95">
        <f>IFERROR(D74/C74,"")</f>
        <v/>
      </c>
      <c r="AK74" s="6" t="n"/>
      <c r="AL74" s="6" t="n"/>
      <c r="AM74" s="6" t="n"/>
      <c r="AN74" s="6" t="n"/>
      <c r="AO74" s="96" t="n"/>
      <c r="AP74" s="97">
        <f>IFERROR(IF(AND(NOT(ISNUMBER(F74)),NOT(ISNUMBER(AO74))),"",F74+AO74),"")</f>
        <v/>
      </c>
      <c r="AQ74" s="97">
        <f>IFERROR(IF(OR(NOT(ISNUMBER(E74)),NOT(ISNUMBER(AP74))),"",E74-AP74),"")</f>
        <v/>
      </c>
      <c r="AR74" s="96" t="n"/>
      <c r="AS74" s="97">
        <f>IFERROR(IF(OR(NOT(ISNUMBER(AR74)),NOT(ISNUMBER(S74))),"",AR74-S74),"")</f>
        <v/>
      </c>
      <c r="AT74" s="45" t="inlineStr">
        <is>
          <t>Funded Debt Rp9,871.38 bn = ST bank loans 5,870.00 + current portion LT bank loans 824.24 + LT bank loans 1,837.53 + lease 46.77+123.04 + shareholder loan 1,461.50 + others. Cash &amp; equivalents Rp4,296.67 bn. Gearing - Gross 0.47x; Gearing - Net 0.26x (FY22).</t>
        </is>
      </c>
    </row>
    <row r="75" ht="15" customHeight="1" s="67">
      <c r="A75" s="6" t="inlineStr">
        <is>
          <t>PT Salim Ivomas Pratama Tbk</t>
        </is>
      </c>
      <c r="B75" s="92" t="n">
        <v>2023</v>
      </c>
      <c r="C75" s="93" t="n">
        <v>16003</v>
      </c>
      <c r="D75" s="93" t="n">
        <v>3358</v>
      </c>
      <c r="E75" s="93" t="n">
        <v>3535</v>
      </c>
      <c r="F75" s="93" t="n">
        <v>1930</v>
      </c>
      <c r="G75" s="93" t="n">
        <v>927</v>
      </c>
      <c r="H75" s="93" t="n">
        <v>736</v>
      </c>
      <c r="I75" s="93" t="n">
        <v>35012</v>
      </c>
      <c r="J75" s="93" t="n">
        <v>9897</v>
      </c>
      <c r="K75" s="93" t="n">
        <v>25115</v>
      </c>
      <c r="L75" s="93" t="n">
        <v>13291</v>
      </c>
      <c r="M75" s="93" t="n">
        <v>9411</v>
      </c>
      <c r="N75" s="93" t="n">
        <v>3880</v>
      </c>
      <c r="O75" s="93" t="n">
        <v>21721</v>
      </c>
      <c r="P75" s="94">
        <f>IFERROR(J75-M75,"")</f>
        <v/>
      </c>
      <c r="Q75" s="93" t="n">
        <v>5161</v>
      </c>
      <c r="R75" s="93" t="n">
        <v>8693</v>
      </c>
      <c r="S75" s="94">
        <f>IFERROR(R75-Q75,"")</f>
        <v/>
      </c>
      <c r="T75" s="93" t="n">
        <v>3830</v>
      </c>
      <c r="U75" s="93" t="n">
        <v>1324</v>
      </c>
      <c r="V75" s="94">
        <f>IFERROR(T75-U75,"")</f>
        <v/>
      </c>
      <c r="W75" s="93" t="n">
        <v>15501</v>
      </c>
      <c r="X75" s="93" t="n">
        <v>48</v>
      </c>
      <c r="Y75" s="93" t="n">
        <v>1119</v>
      </c>
      <c r="Z75" s="93" t="n"/>
      <c r="AA75" s="93" t="n">
        <v>15</v>
      </c>
      <c r="AB75" s="93" t="n">
        <v>376</v>
      </c>
      <c r="AC75" s="94">
        <f>IFERROR(W75*AB75/1000,"")</f>
        <v/>
      </c>
      <c r="AD75" s="17">
        <f>IFERROR(J75/M75,"")</f>
        <v/>
      </c>
      <c r="AE75" s="17">
        <f>IFERROR(R75/I75,"")</f>
        <v/>
      </c>
      <c r="AF75" s="17">
        <f>IFERROR(R75/O75,"")</f>
        <v/>
      </c>
      <c r="AG75" s="95">
        <f>IFERROR(G75/I75,"")</f>
        <v/>
      </c>
      <c r="AH75" s="95">
        <f>IFERROR(G75/O75,"")</f>
        <v/>
      </c>
      <c r="AI75" s="95">
        <f>IFERROR(G75/C75,"")</f>
        <v/>
      </c>
      <c r="AJ75" s="95">
        <f>IFERROR(D75/C75,"")</f>
        <v/>
      </c>
      <c r="AK75" s="6" t="n"/>
      <c r="AL75" s="6" t="n"/>
      <c r="AM75" s="6" t="n"/>
      <c r="AN75" s="6" t="n"/>
      <c r="AO75" s="96" t="n"/>
      <c r="AP75" s="97">
        <f>IFERROR(IF(AND(NOT(ISNUMBER(F75)),NOT(ISNUMBER(AO75))),"",F75+AO75),"")</f>
        <v/>
      </c>
      <c r="AQ75" s="97">
        <f>IFERROR(IF(OR(NOT(ISNUMBER(E75)),NOT(ISNUMBER(AP75))),"",E75-AP75),"")</f>
        <v/>
      </c>
      <c r="AR75" s="96" t="n"/>
      <c r="AS75" s="97">
        <f>IFERROR(IF(OR(NOT(ISNUMBER(AR75)),NOT(ISNUMBER(S75))),"",AR75-S75),"")</f>
        <v/>
      </c>
      <c r="AT75" s="45" t="inlineStr">
        <is>
          <t>Funded Debt Rp8,692.67 bn = ST bank loans 5,649.00 + current portion LT bank loans 1,294.25 + LT bank loans 852.81 + lease 41.06+89.48 + shareholder loan 1,071.47 + others. Cash &amp; equivalents Rp5,161.18 bn. Gearing - Gross 0.40x; Gearing - Net 0.16x (FY23).</t>
        </is>
      </c>
    </row>
    <row r="76" ht="15" customHeight="1" s="67">
      <c r="A76" s="6" t="inlineStr">
        <is>
          <t>PT Salim Ivomas Pratama Tbk</t>
        </is>
      </c>
      <c r="B76" s="92" t="n">
        <v>2024</v>
      </c>
      <c r="C76" s="93" t="n">
        <v>15968</v>
      </c>
      <c r="D76" s="93" t="n">
        <v>4838</v>
      </c>
      <c r="E76" s="93" t="n">
        <v>4731</v>
      </c>
      <c r="F76" s="93" t="n">
        <v>3302</v>
      </c>
      <c r="G76" s="93" t="n">
        <v>2184</v>
      </c>
      <c r="H76" s="93" t="n">
        <v>1550</v>
      </c>
      <c r="I76" s="93" t="n">
        <v>37248</v>
      </c>
      <c r="J76" s="93" t="n">
        <v>13233</v>
      </c>
      <c r="K76" s="93" t="n">
        <v>24015</v>
      </c>
      <c r="L76" s="93" t="n">
        <v>13260</v>
      </c>
      <c r="M76" s="93" t="n">
        <v>8769</v>
      </c>
      <c r="N76" s="93" t="n">
        <v>4491</v>
      </c>
      <c r="O76" s="93" t="n">
        <v>23987</v>
      </c>
      <c r="P76" s="94">
        <f>IFERROR(J76-M76,"")</f>
        <v/>
      </c>
      <c r="Q76" s="93" t="n">
        <v>5752</v>
      </c>
      <c r="R76" s="93" t="n">
        <v>8400</v>
      </c>
      <c r="S76" s="94">
        <f>IFERROR(R76-Q76,"")</f>
        <v/>
      </c>
      <c r="T76" s="93" t="n">
        <v>2300</v>
      </c>
      <c r="U76" s="93" t="n">
        <v>1264</v>
      </c>
      <c r="V76" s="94">
        <f>IFERROR(T76-U76,"")</f>
        <v/>
      </c>
      <c r="W76" s="93" t="n">
        <v>15501</v>
      </c>
      <c r="X76" s="93" t="n">
        <v>100</v>
      </c>
      <c r="Y76" s="93" t="n">
        <v>1208</v>
      </c>
      <c r="Z76" s="93" t="n"/>
      <c r="AA76" s="93" t="n">
        <v>10</v>
      </c>
      <c r="AB76" s="93" t="n">
        <v>378</v>
      </c>
      <c r="AC76" s="94">
        <f>IFERROR(W76*AB76/1000,"")</f>
        <v/>
      </c>
      <c r="AD76" s="17">
        <f>IFERROR(J76/M76,"")</f>
        <v/>
      </c>
      <c r="AE76" s="17">
        <f>IFERROR(R76/I76,"")</f>
        <v/>
      </c>
      <c r="AF76" s="17">
        <f>IFERROR(R76/O76,"")</f>
        <v/>
      </c>
      <c r="AG76" s="95">
        <f>IFERROR(G76/I76,"")</f>
        <v/>
      </c>
      <c r="AH76" s="95">
        <f>IFERROR(G76/O76,"")</f>
        <v/>
      </c>
      <c r="AI76" s="95">
        <f>IFERROR(G76/C76,"")</f>
        <v/>
      </c>
      <c r="AJ76" s="95">
        <f>IFERROR(D76/C76,"")</f>
        <v/>
      </c>
      <c r="AK76" s="6" t="n"/>
      <c r="AL76" s="6" t="n"/>
      <c r="AM76" s="6" t="n"/>
      <c r="AN76" s="6" t="n"/>
      <c r="AO76" s="96" t="n"/>
      <c r="AP76" s="97">
        <f>IFERROR(IF(AND(NOT(ISNUMBER(F76)),NOT(ISNUMBER(AO76))),"",F76+AO76),"")</f>
        <v/>
      </c>
      <c r="AQ76" s="97">
        <f>IFERROR(IF(OR(NOT(ISNUMBER(E76)),NOT(ISNUMBER(AP76))),"",E76-AP76),"")</f>
        <v/>
      </c>
      <c r="AR76" s="96" t="n"/>
      <c r="AS76" s="97">
        <f>IFERROR(IF(OR(NOT(ISNUMBER(AR76)),NOT(ISNUMBER(S76))),"",AR76-S76),"")</f>
        <v/>
      </c>
      <c r="AT76" s="45" t="inlineStr">
        <is>
          <t>Funded Debt Rp8,400.39 bn = ST bank loans 5,843.94 + current portion LT bank loans 237.41 + LT bank loans 1,689.90 + lease 39.58+63.61 + shareholder loan 772.34. Cash &amp; equivalents Rp5,752.38 bn. Gearing - Gross 0.35x; Gearing - Net 0.11x (FY24).</t>
        </is>
      </c>
    </row>
    <row r="77" ht="15" customHeight="1" s="67">
      <c r="A77" s="6" t="inlineStr">
        <is>
          <t>PT Sinar Mas Agro Resources and Technology Tbk</t>
        </is>
      </c>
      <c r="B77" s="92" t="n">
        <v>2022</v>
      </c>
      <c r="C77" s="93" t="n">
        <v>75046</v>
      </c>
      <c r="D77" s="93" t="n">
        <v>13312</v>
      </c>
      <c r="E77" s="93" t="n">
        <v>9531</v>
      </c>
      <c r="F77" s="93" t="n">
        <v>6601</v>
      </c>
      <c r="G77" s="93" t="n">
        <v>5505</v>
      </c>
      <c r="H77" s="93" t="n">
        <v>5501</v>
      </c>
      <c r="I77" s="93" t="n">
        <v>42601</v>
      </c>
      <c r="J77" s="93" t="n">
        <v>23709</v>
      </c>
      <c r="K77" s="93" t="n">
        <v>18892</v>
      </c>
      <c r="L77" s="93" t="n">
        <v>23353</v>
      </c>
      <c r="M77" s="93" t="n">
        <v>12105</v>
      </c>
      <c r="N77" s="93" t="n">
        <v>11248</v>
      </c>
      <c r="O77" s="93" t="n">
        <v>19248</v>
      </c>
      <c r="P77" s="94">
        <f>IFERROR(J77-M77,"")</f>
        <v/>
      </c>
      <c r="Q77" s="93" t="n">
        <v>2480</v>
      </c>
      <c r="R77" s="93" t="n">
        <v>18168</v>
      </c>
      <c r="S77" s="94">
        <f>IFERROR(R77-Q77,"")</f>
        <v/>
      </c>
      <c r="T77" s="93" t="n">
        <v>4283</v>
      </c>
      <c r="U77" s="93" t="n">
        <v>1279</v>
      </c>
      <c r="V77" s="94">
        <f>IFERROR(T77-U77,"")</f>
        <v/>
      </c>
      <c r="W77" s="93" t="n">
        <v>2872</v>
      </c>
      <c r="X77" s="93" t="n">
        <v>1915</v>
      </c>
      <c r="Y77" s="93" t="n">
        <v>6698</v>
      </c>
      <c r="Z77" s="93" t="n">
        <v>200</v>
      </c>
      <c r="AA77" s="93" t="n">
        <v>370</v>
      </c>
      <c r="AB77" s="93" t="n">
        <v>4950</v>
      </c>
      <c r="AC77" s="94">
        <f>IFERROR(W77*AB77/1000,"")</f>
        <v/>
      </c>
      <c r="AD77" s="17">
        <f>IFERROR(J77/M77,"")</f>
        <v/>
      </c>
      <c r="AE77" s="17">
        <f>IFERROR(R77/I77,"")</f>
        <v/>
      </c>
      <c r="AF77" s="17">
        <f>IFERROR(R77/O77,"")</f>
        <v/>
      </c>
      <c r="AG77" s="95">
        <f>IFERROR(G77/I77,"")</f>
        <v/>
      </c>
      <c r="AH77" s="95">
        <f>IFERROR(G77/O77,"")</f>
        <v/>
      </c>
      <c r="AI77" s="95">
        <f>IFERROR(G77/C77,"")</f>
        <v/>
      </c>
      <c r="AJ77" s="95">
        <f>IFERROR(D77/C77,"")</f>
        <v/>
      </c>
      <c r="AK77" s="6" t="n"/>
      <c r="AL77" s="6" t="n"/>
      <c r="AM77" s="6" t="n"/>
      <c r="AN77" s="6" t="n"/>
      <c r="AO77" s="96" t="n"/>
      <c r="AP77" s="97">
        <f>IFERROR(IF(AND(NOT(ISNUMBER(F77)),NOT(ISNUMBER(AO77))),"",F77+AO77),"")</f>
        <v/>
      </c>
      <c r="AQ77" s="97">
        <f>IFERROR(IF(OR(NOT(ISNUMBER(E77)),NOT(ISNUMBER(AP77))),"",E77-AP77),"")</f>
        <v/>
      </c>
      <c r="AR77" s="96" t="n"/>
      <c r="AS77" s="97">
        <f>IFERROR(IF(OR(NOT(ISNUMBER(AR77)),NOT(ISNUMBER(S77))),"",AR77-S77),"")</f>
        <v/>
      </c>
      <c r="AT77" s="45" t="inlineStr">
        <is>
          <t>Net debt to EBITDA 0.02x (exceptionally low given record profits). Gross debt = ST bank 3,798 + LT bank current 2,478 + bonds current 1,546 + LT bank 4,289 + bonds LT 6,056 = Rp18,167 bn. Gearing (debt to equity) improved to 0.95x from 1.37x.</t>
        </is>
      </c>
    </row>
    <row r="78" ht="15" customHeight="1" s="67">
      <c r="A78" s="6" t="inlineStr">
        <is>
          <t>PT Sinar Mas Agro Resources and Technology Tbk</t>
        </is>
      </c>
      <c r="B78" s="92" t="n">
        <v>2023</v>
      </c>
      <c r="C78" s="93" t="n">
        <v>66531</v>
      </c>
      <c r="D78" s="93" t="n">
        <v>6761</v>
      </c>
      <c r="E78" s="93" t="n">
        <v>3799</v>
      </c>
      <c r="F78" s="93" t="n">
        <v>1483</v>
      </c>
      <c r="G78" s="93" t="n">
        <v>918</v>
      </c>
      <c r="H78" s="93" t="n">
        <v>918</v>
      </c>
      <c r="I78" s="93" t="n">
        <v>39716</v>
      </c>
      <c r="J78" s="93" t="n">
        <v>19141</v>
      </c>
      <c r="K78" s="93" t="n">
        <v>20575</v>
      </c>
      <c r="L78" s="93" t="n">
        <v>20644</v>
      </c>
      <c r="M78" s="93" t="n">
        <v>10225</v>
      </c>
      <c r="N78" s="93" t="n">
        <v>10419</v>
      </c>
      <c r="O78" s="93" t="n">
        <v>19072</v>
      </c>
      <c r="P78" s="94">
        <f>IFERROR(J78-M78,"")</f>
        <v/>
      </c>
      <c r="Q78" s="93" t="n">
        <v>1642</v>
      </c>
      <c r="R78" s="93" t="n">
        <v>16007</v>
      </c>
      <c r="S78" s="94">
        <f>IFERROR(R78-Q78,"")</f>
        <v/>
      </c>
      <c r="T78" s="93" t="n">
        <v>4038</v>
      </c>
      <c r="U78" s="93" t="n">
        <v>1847</v>
      </c>
      <c r="V78" s="94">
        <f>IFERROR(T78-U78,"")</f>
        <v/>
      </c>
      <c r="W78" s="93" t="n">
        <v>2872</v>
      </c>
      <c r="X78" s="93" t="n">
        <v>320</v>
      </c>
      <c r="Y78" s="93" t="n">
        <v>6637</v>
      </c>
      <c r="Z78" s="93" t="n">
        <v>95</v>
      </c>
      <c r="AA78" s="93" t="n">
        <v>370</v>
      </c>
      <c r="AB78" s="93" t="n">
        <v>4000</v>
      </c>
      <c r="AC78" s="94">
        <f>IFERROR(W78*AB78/1000,"")</f>
        <v/>
      </c>
      <c r="AD78" s="17">
        <f>IFERROR(J78/M78,"")</f>
        <v/>
      </c>
      <c r="AE78" s="17">
        <f>IFERROR(R78/I78,"")</f>
        <v/>
      </c>
      <c r="AF78" s="17">
        <f>IFERROR(R78/O78,"")</f>
        <v/>
      </c>
      <c r="AG78" s="95">
        <f>IFERROR(G78/I78,"")</f>
        <v/>
      </c>
      <c r="AH78" s="95">
        <f>IFERROR(G78/O78,"")</f>
        <v/>
      </c>
      <c r="AI78" s="95">
        <f>IFERROR(G78/C78,"")</f>
        <v/>
      </c>
      <c r="AJ78" s="95">
        <f>IFERROR(D78/C78,"")</f>
        <v/>
      </c>
      <c r="AK78" s="6" t="n"/>
      <c r="AL78" s="6" t="n"/>
      <c r="AM78" s="6" t="n"/>
      <c r="AN78" s="6" t="n"/>
      <c r="AO78" s="96" t="n"/>
      <c r="AP78" s="97">
        <f>IFERROR(IF(AND(NOT(ISNUMBER(F78)),NOT(ISNUMBER(AO78))),"",F78+AO78),"")</f>
        <v/>
      </c>
      <c r="AQ78" s="97">
        <f>IFERROR(IF(OR(NOT(ISNUMBER(E78)),NOT(ISNUMBER(AP78))),"",E78-AP78),"")</f>
        <v/>
      </c>
      <c r="AR78" s="96" t="n"/>
      <c r="AS78" s="97">
        <f>IFERROR(IF(OR(NOT(ISNUMBER(AR78)),NOT(ISNUMBER(S78))),"",AR78-S78),"")</f>
        <v/>
      </c>
      <c r="AT78" s="45" t="inlineStr">
        <is>
          <t>Net debt to EBITDA 0.65x (2022: 0.02x). Gross debt = ST bank 2,923 + LT bank current 1,581 + bonds current 2,043 + LT bank 5,440 + bonds LT 4,022 = Rp16,008 bn. Gearing reported 0.84x (debt to equity).</t>
        </is>
      </c>
    </row>
    <row r="79" ht="15" customHeight="1" s="67">
      <c r="A79" s="6" t="inlineStr">
        <is>
          <t>PT Sinar Mas Agro Resources and Technology Tbk</t>
        </is>
      </c>
      <c r="B79" s="92" t="n">
        <v>2024</v>
      </c>
      <c r="C79" s="93" t="n">
        <v>78835</v>
      </c>
      <c r="D79" s="93" t="n">
        <v>8014</v>
      </c>
      <c r="E79" s="93" t="n">
        <v>4209</v>
      </c>
      <c r="F79" s="93" t="n">
        <v>2025</v>
      </c>
      <c r="G79" s="93" t="n">
        <v>1278</v>
      </c>
      <c r="H79" s="93" t="n">
        <v>1278</v>
      </c>
      <c r="I79" s="93" t="n">
        <v>45333</v>
      </c>
      <c r="J79" s="93" t="n">
        <v>24442</v>
      </c>
      <c r="K79" s="93" t="n">
        <v>20892</v>
      </c>
      <c r="L79" s="93" t="n">
        <v>25450</v>
      </c>
      <c r="M79" s="93" t="n">
        <v>13371</v>
      </c>
      <c r="N79" s="93" t="n">
        <v>12079</v>
      </c>
      <c r="O79" s="93" t="n">
        <v>19883</v>
      </c>
      <c r="P79" s="94">
        <f>IFERROR(J79-M79,"")</f>
        <v/>
      </c>
      <c r="Q79" s="93" t="n">
        <v>1586</v>
      </c>
      <c r="R79" s="93" t="n">
        <v>19199</v>
      </c>
      <c r="S79" s="94">
        <f>IFERROR(R79-Q79,"")</f>
        <v/>
      </c>
      <c r="T79" s="93" t="n">
        <v>-253</v>
      </c>
      <c r="U79" s="93" t="n">
        <v>2270</v>
      </c>
      <c r="V79" s="94">
        <f>IFERROR(T79-U79,"")</f>
        <v/>
      </c>
      <c r="W79" s="93" t="n">
        <v>2872</v>
      </c>
      <c r="X79" s="93" t="n">
        <v>445</v>
      </c>
      <c r="Y79" s="93" t="n">
        <v>6917</v>
      </c>
      <c r="Z79" s="93" t="n">
        <v>105</v>
      </c>
      <c r="AA79" s="93" t="n"/>
      <c r="AB79" s="93" t="n">
        <v>3650</v>
      </c>
      <c r="AC79" s="94">
        <f>IFERROR(W79*AB79/1000,"")</f>
        <v/>
      </c>
      <c r="AD79" s="17">
        <f>IFERROR(J79/M79,"")</f>
        <v/>
      </c>
      <c r="AE79" s="17">
        <f>IFERROR(R79/I79,"")</f>
        <v/>
      </c>
      <c r="AF79" s="17">
        <f>IFERROR(R79/O79,"")</f>
        <v/>
      </c>
      <c r="AG79" s="95">
        <f>IFERROR(G79/I79,"")</f>
        <v/>
      </c>
      <c r="AH79" s="95">
        <f>IFERROR(G79/O79,"")</f>
        <v/>
      </c>
      <c r="AI79" s="95">
        <f>IFERROR(G79/C79,"")</f>
        <v/>
      </c>
      <c r="AJ79" s="95">
        <f>IFERROR(D79/C79,"")</f>
        <v/>
      </c>
      <c r="AK79" s="6" t="n"/>
      <c r="AL79" s="6" t="n"/>
      <c r="AM79" s="6" t="n"/>
      <c r="AN79" s="6" t="n"/>
      <c r="AO79" s="96" t="n"/>
      <c r="AP79" s="97">
        <f>IFERROR(IF(AND(NOT(ISNUMBER(F79)),NOT(ISNUMBER(AO79))),"",F79+AO79),"")</f>
        <v/>
      </c>
      <c r="AQ79" s="97">
        <f>IFERROR(IF(OR(NOT(ISNUMBER(E79)),NOT(ISNUMBER(AP79))),"",E79-AP79),"")</f>
        <v/>
      </c>
      <c r="AR79" s="96" t="n"/>
      <c r="AS79" s="97">
        <f>IFERROR(IF(OR(NOT(ISNUMBER(AR79)),NOT(ISNUMBER(S79))),"",AR79-S79),"")</f>
        <v/>
      </c>
      <c r="AT79" s="45" t="inlineStr">
        <is>
          <t>Net debt to EBITDA 0.59x per MD&amp;A (2023: 0.65x). Gross debt = ST bank 5,134 + LT bank current 1,108 + LT bank 8,930 + bonds current 1,876 + bonds LT 2,150 = Rp19,198 bn. Gearing (debt to equity) reported 0.97x.</t>
        </is>
      </c>
    </row>
    <row r="80" ht="15" customHeight="1" s="67">
      <c r="A80" s="6" t="inlineStr">
        <is>
          <t>PT Sawit Sumbermas Sarana Tbk</t>
        </is>
      </c>
      <c r="B80" s="92" t="n">
        <v>2023</v>
      </c>
      <c r="C80" s="93" t="n">
        <v>10703</v>
      </c>
      <c r="D80" s="93" t="n">
        <v>2799</v>
      </c>
      <c r="E80" s="93" t="n"/>
      <c r="F80" s="93" t="n">
        <v>1196</v>
      </c>
      <c r="G80" s="93" t="n">
        <v>344</v>
      </c>
      <c r="H80" s="93" t="n">
        <v>512</v>
      </c>
      <c r="I80" s="93" t="n">
        <v>11810</v>
      </c>
      <c r="J80" s="93" t="n">
        <v>5028</v>
      </c>
      <c r="K80" s="93" t="n">
        <v>6782</v>
      </c>
      <c r="L80" s="93" t="n">
        <v>9820</v>
      </c>
      <c r="M80" s="93" t="n">
        <v>4755</v>
      </c>
      <c r="N80" s="93" t="n">
        <v>5066</v>
      </c>
      <c r="O80" s="93" t="n">
        <v>1990</v>
      </c>
      <c r="P80" s="94">
        <f>IFERROR(J80-M80,"")</f>
        <v/>
      </c>
      <c r="Q80" s="93" t="n">
        <v>1237</v>
      </c>
      <c r="R80" s="93" t="n">
        <v>8102</v>
      </c>
      <c r="S80" s="94">
        <f>IFERROR(R80-Q80,"")</f>
        <v/>
      </c>
      <c r="T80" s="93" t="n">
        <v>624</v>
      </c>
      <c r="U80" s="93" t="n">
        <v>103</v>
      </c>
      <c r="V80" s="94">
        <f>IFERROR(T80-U80,"")</f>
        <v/>
      </c>
      <c r="W80" s="93" t="n">
        <v>9525</v>
      </c>
      <c r="X80" s="93" t="n">
        <v>53.78</v>
      </c>
      <c r="Y80" s="93" t="n">
        <v>184</v>
      </c>
      <c r="Z80" s="93" t="n">
        <v>0</v>
      </c>
      <c r="AA80" s="93" t="n">
        <v>149.28</v>
      </c>
      <c r="AB80" s="93" t="n">
        <v>1045</v>
      </c>
      <c r="AC80" s="94">
        <f>IFERROR(W80*AB80/1000,"")</f>
        <v/>
      </c>
      <c r="AD80" s="17">
        <f>IFERROR(J80/M80,"")</f>
        <v/>
      </c>
      <c r="AE80" s="17">
        <f>IFERROR(R80/I80,"")</f>
        <v/>
      </c>
      <c r="AF80" s="17">
        <f>IFERROR(R80/O80,"")</f>
        <v/>
      </c>
      <c r="AG80" s="95">
        <f>IFERROR(G80/I80,"")</f>
        <v/>
      </c>
      <c r="AH80" s="95">
        <f>IFERROR(G80/O80,"")</f>
        <v/>
      </c>
      <c r="AI80" s="95">
        <f>IFERROR(G80/C80,"")</f>
        <v/>
      </c>
      <c r="AJ80" s="95">
        <f>IFERROR(D80/C80,"")</f>
        <v/>
      </c>
      <c r="AK80" s="6" t="n"/>
      <c r="AL80" s="6" t="n"/>
      <c r="AM80" s="6" t="n"/>
      <c r="AN80" s="6" t="n"/>
      <c r="AO80" s="96" t="n"/>
      <c r="AP80" s="97">
        <f>IFERROR(IF(AND(NOT(ISNUMBER(F80)),NOT(ISNUMBER(AO80))),"",F80+AO80),"")</f>
        <v/>
      </c>
      <c r="AQ80" s="97">
        <f>IFERROR(IF(OR(NOT(ISNUMBER(E80)),NOT(ISNUMBER(AP80))),"",E80-AP80),"")</f>
        <v/>
      </c>
      <c r="AR80" s="96" t="n"/>
      <c r="AS80" s="97">
        <f>IFERROR(IF(OR(NOT(ISNUMBER(AR80)),NOT(ISNUMBER(S80))),"",AR80-S80),"")</f>
        <v/>
      </c>
      <c r="AT80" s="45" t="inlineStr">
        <is>
          <t>Gross debt = ST bank loan 2,437 + Current LT bank loan 898 + LT bank loan 4,767 = Rp8,102 bn (Rp633 bn bonds fully repaid in 2023). Net debt ≈ 8,102 - 1,237 cash = Rp6,865 bn. Interest-bearing debt to equity ratio 4.11x. FY2022 dividend Rp1,421.97 bn (Rp149.28/share) paid 8 Jun 2023, 77% payout. FY2023 profit NOT distributed as dividend (allocated to retained earnings).</t>
        </is>
      </c>
    </row>
    <row r="81" ht="15" customHeight="1" s="67">
      <c r="A81" s="6" t="inlineStr">
        <is>
          <t>PT Sawit Sumbermas Sarana Tbk</t>
        </is>
      </c>
      <c r="B81" s="92" t="n">
        <v>2024</v>
      </c>
      <c r="C81" s="93" t="n">
        <v>10522</v>
      </c>
      <c r="D81" s="93" t="n">
        <v>3280</v>
      </c>
      <c r="E81" s="93" t="n"/>
      <c r="F81" s="93" t="n">
        <v>1770</v>
      </c>
      <c r="G81" s="93" t="n">
        <v>845</v>
      </c>
      <c r="H81" s="93" t="n">
        <v>820</v>
      </c>
      <c r="I81" s="93" t="n">
        <v>11765</v>
      </c>
      <c r="J81" s="93" t="n">
        <v>5232</v>
      </c>
      <c r="K81" s="93" t="n">
        <v>6533</v>
      </c>
      <c r="L81" s="93" t="n">
        <v>8873</v>
      </c>
      <c r="M81" s="93" t="n">
        <v>4716</v>
      </c>
      <c r="N81" s="93" t="n">
        <v>4157</v>
      </c>
      <c r="O81" s="93" t="n">
        <v>2891</v>
      </c>
      <c r="P81" s="94">
        <f>IFERROR(J81-M81,"")</f>
        <v/>
      </c>
      <c r="Q81" s="93" t="n">
        <v>1180</v>
      </c>
      <c r="R81" s="93" t="n">
        <v>6985</v>
      </c>
      <c r="S81" s="94">
        <f>IFERROR(R81-Q81,"")</f>
        <v/>
      </c>
      <c r="T81" s="93" t="n">
        <v>607</v>
      </c>
      <c r="U81" s="93" t="n">
        <v>19</v>
      </c>
      <c r="V81" s="94">
        <f>IFERROR(T81-U81,"")</f>
        <v/>
      </c>
      <c r="W81" s="93" t="n">
        <v>9525</v>
      </c>
      <c r="X81" s="93" t="n">
        <v>86.04000000000001</v>
      </c>
      <c r="Y81" s="93" t="n">
        <v>276</v>
      </c>
      <c r="Z81" s="93" t="n">
        <v>0</v>
      </c>
      <c r="AA81" s="93" t="n">
        <v>0</v>
      </c>
      <c r="AB81" s="93" t="n">
        <v>1300</v>
      </c>
      <c r="AC81" s="94">
        <f>IFERROR(W81*AB81/1000,"")</f>
        <v/>
      </c>
      <c r="AD81" s="17">
        <f>IFERROR(J81/M81,"")</f>
        <v/>
      </c>
      <c r="AE81" s="17">
        <f>IFERROR(R81/I81,"")</f>
        <v/>
      </c>
      <c r="AF81" s="17">
        <f>IFERROR(R81/O81,"")</f>
        <v/>
      </c>
      <c r="AG81" s="95">
        <f>IFERROR(G81/I81,"")</f>
        <v/>
      </c>
      <c r="AH81" s="95">
        <f>IFERROR(G81/O81,"")</f>
        <v/>
      </c>
      <c r="AI81" s="95">
        <f>IFERROR(G81/C81,"")</f>
        <v/>
      </c>
      <c r="AJ81" s="95">
        <f>IFERROR(D81/C81,"")</f>
        <v/>
      </c>
      <c r="AK81" s="6" t="n"/>
      <c r="AL81" s="6" t="n"/>
      <c r="AM81" s="6" t="n"/>
      <c r="AN81" s="6" t="n"/>
      <c r="AO81" s="96" t="n"/>
      <c r="AP81" s="97">
        <f>IFERROR(IF(AND(NOT(ISNUMBER(F81)),NOT(ISNUMBER(AO81))),"",F81+AO81),"")</f>
        <v/>
      </c>
      <c r="AQ81" s="97">
        <f>IFERROR(IF(OR(NOT(ISNUMBER(E81)),NOT(ISNUMBER(AP81))),"",E81-AP81),"")</f>
        <v/>
      </c>
      <c r="AR81" s="96" t="n"/>
      <c r="AS81" s="97">
        <f>IFERROR(IF(OR(NOT(ISNUMBER(AR81)),NOT(ISNUMBER(S81))),"",AR81-S81),"")</f>
        <v/>
      </c>
      <c r="AT81" s="45" t="inlineStr">
        <is>
          <t>Interest-bearing debt to equity ratio 2.45x (2024) vs 4.11x (2023). Gross debt = Short-term bank loan 2,195 + Current LT bank loan 989 + LT bank loan 3,801 = Rp6,985 bn; Net debt ≈ 6,985 - 1,180 cash = Rp5,805 bn. No cash dividend paid for FY2023 (retained); FY2024 dividend not declared in this AR. Realized capex Rp19 bn (infrastructure 2 + land 12 + vehicles 4). No net_profit YoY proforma adj; pre-proforma also Rp845 bn.</t>
        </is>
      </c>
    </row>
    <row r="82" ht="15" customHeight="1" s="67">
      <c r="A82" s="6" t="inlineStr">
        <is>
          <t>PT Sawit Sumbermas Sarana Tbk</t>
        </is>
      </c>
      <c r="B82" s="92" t="n">
        <v>2025</v>
      </c>
      <c r="C82" s="93" t="n">
        <v>14813.17</v>
      </c>
      <c r="D82" s="93" t="n">
        <v>5174.93</v>
      </c>
      <c r="E82" s="93" t="n"/>
      <c r="F82" s="93" t="n">
        <v>2548.24</v>
      </c>
      <c r="G82" s="93" t="n">
        <v>1392.63</v>
      </c>
      <c r="H82" s="93" t="n">
        <v>1161</v>
      </c>
      <c r="I82" s="93" t="n">
        <v>13584.22</v>
      </c>
      <c r="J82" s="93" t="n">
        <v>5901</v>
      </c>
      <c r="K82" s="93" t="n">
        <v>7683</v>
      </c>
      <c r="L82" s="93" t="n">
        <v>10642.51</v>
      </c>
      <c r="M82" s="93" t="n">
        <v>4613</v>
      </c>
      <c r="N82" s="93" t="n">
        <v>6029</v>
      </c>
      <c r="O82" s="93" t="n">
        <v>2941.7</v>
      </c>
      <c r="P82" s="94">
        <f>IFERROR(J82-M82,"")</f>
        <v/>
      </c>
      <c r="Q82" s="93" t="n">
        <v>874.0599999999999</v>
      </c>
      <c r="R82" s="93" t="n">
        <v>8139</v>
      </c>
      <c r="S82" s="94">
        <f>IFERROR(R82-Q82,"")</f>
        <v/>
      </c>
      <c r="T82" s="93" t="n">
        <v>1097</v>
      </c>
      <c r="U82" s="93" t="n">
        <v>402</v>
      </c>
      <c r="V82" s="94">
        <f>IFERROR(T82-U82,"")</f>
        <v/>
      </c>
      <c r="W82" s="93" t="n">
        <v>9525</v>
      </c>
      <c r="X82" s="93" t="n">
        <v>121.86</v>
      </c>
      <c r="Y82" s="93" t="n">
        <v>239</v>
      </c>
      <c r="Z82" s="93" t="n">
        <v>0</v>
      </c>
      <c r="AA82" s="93" t="n">
        <v>47.24</v>
      </c>
      <c r="AB82" s="93" t="n">
        <v>1580</v>
      </c>
      <c r="AC82" s="94">
        <f>IFERROR(W82*AB82/1000,"")</f>
        <v/>
      </c>
      <c r="AD82" s="17">
        <f>IFERROR(J82/M82,"")</f>
        <v/>
      </c>
      <c r="AE82" s="17">
        <f>IFERROR(R82/I82,"")</f>
        <v/>
      </c>
      <c r="AF82" s="17">
        <f>IFERROR(R82/O82,"")</f>
        <v/>
      </c>
      <c r="AG82" s="95">
        <f>IFERROR(G82/I82,"")</f>
        <v/>
      </c>
      <c r="AH82" s="95">
        <f>IFERROR(G82/O82,"")</f>
        <v/>
      </c>
      <c r="AI82" s="95">
        <f>IFERROR(G82/C82,"")</f>
        <v/>
      </c>
      <c r="AJ82" s="95">
        <f>IFERROR(D82/C82,"")</f>
        <v/>
      </c>
      <c r="AK82" s="6" t="n"/>
      <c r="AL82" s="6" t="n"/>
      <c r="AM82" s="6" t="n"/>
      <c r="AN82" s="6" t="n"/>
      <c r="AO82" s="96" t="n"/>
      <c r="AP82" s="97">
        <f>IFERROR(IF(AND(NOT(ISNUMBER(F82)),NOT(ISNUMBER(AO82))),"",F82+AO82),"")</f>
        <v/>
      </c>
      <c r="AQ82" s="97">
        <f>IFERROR(IF(OR(NOT(ISNUMBER(E82)),NOT(ISNUMBER(AP82))),"",E82-AP82),"")</f>
        <v/>
      </c>
      <c r="AR82" s="96" t="n"/>
      <c r="AS82" s="97">
        <f>IFERROR(IF(OR(NOT(ISNUMBER(AR82)),NOT(ISNUMBER(S82))),"",AR82-S82),"")</f>
        <v/>
      </c>
      <c r="AT82" s="45" t="inlineStr">
        <is>
          <t>Gross debt = ST bank loan 1,698 + Current LT bank loan 991 + LT bank loan 5,450 = Rp8,139 bn. Net debt ≈ 8,139 - 874 cash = Rp7,265 bn. DER 361.88%. Capex from CF: Acquisitions of fixed assets Rp402 bn (2024: Rp230 bn). SML acquisition consumed Rp1,491 bn cash. FY2024 dividend paid in 2025 = Rp450 bn (Rp47.24/share). Syndicated bank loan facility obtained in 2025 for funding structure.</t>
        </is>
      </c>
    </row>
    <row r="83" ht="15" customHeight="1" s="67">
      <c r="A83" s="6" t="inlineStr">
        <is>
          <t>PT Triputra Agro Persada Tbk</t>
        </is>
      </c>
      <c r="B83" s="92" t="n">
        <v>2023</v>
      </c>
      <c r="C83" s="93" t="n">
        <v>8326</v>
      </c>
      <c r="D83" s="93" t="n">
        <v>2217</v>
      </c>
      <c r="E83" s="93" t="n"/>
      <c r="F83" s="93" t="n">
        <v>1373</v>
      </c>
      <c r="G83" s="93" t="n">
        <v>1661</v>
      </c>
      <c r="H83" s="93" t="n">
        <v>1608</v>
      </c>
      <c r="I83" s="93" t="n">
        <v>13867</v>
      </c>
      <c r="J83" s="93" t="n">
        <v>2446</v>
      </c>
      <c r="K83" s="93" t="n">
        <v>11422</v>
      </c>
      <c r="L83" s="93" t="n">
        <v>2528</v>
      </c>
      <c r="M83" s="93" t="n">
        <v>1959</v>
      </c>
      <c r="N83" s="93" t="n">
        <v>569</v>
      </c>
      <c r="O83" s="93" t="n">
        <v>11340</v>
      </c>
      <c r="P83" s="94">
        <f>IFERROR(J83-M83,"")</f>
        <v/>
      </c>
      <c r="Q83" s="93" t="n">
        <v>1007</v>
      </c>
      <c r="R83" s="93" t="n">
        <v>1121</v>
      </c>
      <c r="S83" s="94">
        <f>IFERROR(R83-Q83,"")</f>
        <v/>
      </c>
      <c r="T83" s="93" t="n">
        <v>1569</v>
      </c>
      <c r="U83" s="93" t="n">
        <v>802</v>
      </c>
      <c r="V83" s="94">
        <f>IFERROR(T83-U83,"")</f>
        <v/>
      </c>
      <c r="W83" s="93" t="n">
        <v>19853</v>
      </c>
      <c r="X83" s="93" t="n">
        <v>81</v>
      </c>
      <c r="Y83" s="93" t="n">
        <v>571</v>
      </c>
      <c r="Z83" s="93" t="n"/>
      <c r="AA83" s="93" t="n">
        <v>91</v>
      </c>
      <c r="AB83" s="93" t="n">
        <v>545</v>
      </c>
      <c r="AC83" s="94">
        <f>IFERROR(W83*AB83/1000,"")</f>
        <v/>
      </c>
      <c r="AD83" s="17">
        <f>IFERROR(J83/M83,"")</f>
        <v/>
      </c>
      <c r="AE83" s="17">
        <f>IFERROR(R83/I83,"")</f>
        <v/>
      </c>
      <c r="AF83" s="17">
        <f>IFERROR(R83/O83,"")</f>
        <v/>
      </c>
      <c r="AG83" s="95">
        <f>IFERROR(G83/I83,"")</f>
        <v/>
      </c>
      <c r="AH83" s="95">
        <f>IFERROR(G83/O83,"")</f>
        <v/>
      </c>
      <c r="AI83" s="95">
        <f>IFERROR(G83/C83,"")</f>
        <v/>
      </c>
      <c r="AJ83" s="95">
        <f>IFERROR(D83/C83,"")</f>
        <v/>
      </c>
      <c r="AK83" s="6" t="n"/>
      <c r="AL83" s="6" t="n"/>
      <c r="AM83" s="6" t="n"/>
      <c r="AN83" s="6" t="n"/>
      <c r="AO83" s="96" t="n"/>
      <c r="AP83" s="97">
        <f>IFERROR(IF(AND(NOT(ISNUMBER(F83)),NOT(ISNUMBER(AO83))),"",F83+AO83),"")</f>
        <v/>
      </c>
      <c r="AQ83" s="97">
        <f>IFERROR(IF(OR(NOT(ISNUMBER(E83)),NOT(ISNUMBER(AP83))),"",E83-AP83),"")</f>
        <v/>
      </c>
      <c r="AR83" s="96" t="n"/>
      <c r="AS83" s="97">
        <f>IFERROR(IF(OR(NOT(ISNUMBER(AR83)),NOT(ISNUMBER(S83))),"",AR83-S83),"")</f>
        <v/>
      </c>
      <c r="AT83" s="45" t="inlineStr">
        <is>
          <t>Net interest-bearing debt/equity 0.010x in 2023. Gross debt = ST bank loans 75 + current LT bank 844.67 + LT bank 201.43 = Rp1,121 bn. Cash Rp1,007 bn, so net debt ~Rp114 bn. Low gearing.</t>
        </is>
      </c>
    </row>
    <row r="84" ht="15" customHeight="1" s="67">
      <c r="A84" s="6" t="inlineStr">
        <is>
          <t>PT Triputra Agro Persada Tbk</t>
        </is>
      </c>
      <c r="B84" s="92" t="n">
        <v>2024</v>
      </c>
      <c r="C84" s="93" t="n">
        <v>9671</v>
      </c>
      <c r="D84" s="93" t="n">
        <v>3723</v>
      </c>
      <c r="E84" s="93" t="n"/>
      <c r="F84" s="93" t="n">
        <v>3045</v>
      </c>
      <c r="G84" s="93" t="n">
        <v>3241</v>
      </c>
      <c r="H84" s="93" t="n">
        <v>3120</v>
      </c>
      <c r="I84" s="93" t="n">
        <v>14307</v>
      </c>
      <c r="J84" s="93" t="n">
        <v>3247</v>
      </c>
      <c r="K84" s="93" t="n">
        <v>11061</v>
      </c>
      <c r="L84" s="93" t="n">
        <v>3031</v>
      </c>
      <c r="M84" s="93" t="n">
        <v>2362</v>
      </c>
      <c r="N84" s="93" t="n">
        <v>669</v>
      </c>
      <c r="O84" s="93" t="n">
        <v>11276</v>
      </c>
      <c r="P84" s="94">
        <f>IFERROR(J84-M84,"")</f>
        <v/>
      </c>
      <c r="Q84" s="93" t="n">
        <v>1309</v>
      </c>
      <c r="R84" s="93" t="n">
        <v>1100</v>
      </c>
      <c r="S84" s="94">
        <f>IFERROR(R84-Q84,"")</f>
        <v/>
      </c>
      <c r="T84" s="93" t="n">
        <v>3239</v>
      </c>
      <c r="U84" s="93" t="n">
        <v>588</v>
      </c>
      <c r="V84" s="94">
        <f>IFERROR(T84-U84,"")</f>
        <v/>
      </c>
      <c r="W84" s="93" t="n">
        <v>19853</v>
      </c>
      <c r="X84" s="93" t="n">
        <v>157</v>
      </c>
      <c r="Y84" s="93" t="n">
        <v>568</v>
      </c>
      <c r="Z84" s="93" t="n">
        <v>76</v>
      </c>
      <c r="AA84" s="93" t="n"/>
      <c r="AB84" s="93" t="n">
        <v>765</v>
      </c>
      <c r="AC84" s="94">
        <f>IFERROR(W84*AB84/1000,"")</f>
        <v/>
      </c>
      <c r="AD84" s="17">
        <f>IFERROR(J84/M84,"")</f>
        <v/>
      </c>
      <c r="AE84" s="17">
        <f>IFERROR(R84/I84,"")</f>
        <v/>
      </c>
      <c r="AF84" s="17">
        <f>IFERROR(R84/O84,"")</f>
        <v/>
      </c>
      <c r="AG84" s="95">
        <f>IFERROR(G84/I84,"")</f>
        <v/>
      </c>
      <c r="AH84" s="95">
        <f>IFERROR(G84/O84,"")</f>
        <v/>
      </c>
      <c r="AI84" s="95">
        <f>IFERROR(G84/C84,"")</f>
        <v/>
      </c>
      <c r="AJ84" s="95">
        <f>IFERROR(D84/C84,"")</f>
        <v/>
      </c>
      <c r="AK84" s="6" t="n"/>
      <c r="AL84" s="6" t="n"/>
      <c r="AM84" s="6" t="n"/>
      <c r="AN84" s="6" t="n"/>
      <c r="AO84" s="96" t="n"/>
      <c r="AP84" s="97">
        <f>IFERROR(IF(AND(NOT(ISNUMBER(F84)),NOT(ISNUMBER(AO84))),"",F84+AO84),"")</f>
        <v/>
      </c>
      <c r="AQ84" s="97">
        <f>IFERROR(IF(OR(NOT(ISNUMBER(E84)),NOT(ISNUMBER(AP84))),"",E84-AP84),"")</f>
        <v/>
      </c>
      <c r="AR84" s="96" t="n"/>
      <c r="AS84" s="97">
        <f>IFERROR(IF(OR(NOT(ISNUMBER(AR84)),NOT(ISNUMBER(S84))),"",AR84-S84),"")</f>
        <v/>
      </c>
      <c r="AT84" s="45" t="inlineStr">
        <is>
          <t>Net interest-bearing debt/equity -0.019x (net cash) in 2024. Gross debt = ST bank 620 + current LT 150 + LT bank 330 = Rp1,100 bn. Cash Rp1,309 bn. Net cash ~Rp209 bn.</t>
        </is>
      </c>
    </row>
    <row r="85" ht="15" customHeight="1" s="67">
      <c r="A85" s="6" t="inlineStr">
        <is>
          <t>PT Triputra Agro Persada Tbk</t>
        </is>
      </c>
      <c r="B85" s="92" t="n">
        <v>2025</v>
      </c>
      <c r="C85" s="93" t="n">
        <v>11402.198</v>
      </c>
      <c r="D85" s="93" t="n">
        <v>4497.617</v>
      </c>
      <c r="E85" s="93" t="n"/>
      <c r="F85" s="93" t="n">
        <v>3543.254</v>
      </c>
      <c r="G85" s="93" t="n">
        <v>3845.347</v>
      </c>
      <c r="H85" s="93" t="n">
        <v>3702</v>
      </c>
      <c r="I85" s="93" t="n">
        <v>14696.563</v>
      </c>
      <c r="J85" s="93" t="n">
        <v>3981</v>
      </c>
      <c r="K85" s="93" t="n">
        <v>10715</v>
      </c>
      <c r="L85" s="93" t="n">
        <v>3009.078</v>
      </c>
      <c r="M85" s="93" t="n">
        <v>1870</v>
      </c>
      <c r="N85" s="93" t="n">
        <v>1139</v>
      </c>
      <c r="O85" s="93" t="n">
        <v>11687.485</v>
      </c>
      <c r="P85" s="94">
        <f>IFERROR(J85-M85,"")</f>
        <v/>
      </c>
      <c r="Q85" s="93" t="n">
        <v>1651.433</v>
      </c>
      <c r="R85" s="93" t="n">
        <v>1099.41</v>
      </c>
      <c r="S85" s="94">
        <f>IFERROR(R85-Q85,"")</f>
        <v/>
      </c>
      <c r="T85" s="93" t="n">
        <v>3431</v>
      </c>
      <c r="U85" s="93" t="n">
        <v>637</v>
      </c>
      <c r="V85" s="94">
        <f>IFERROR(T85-U85,"")</f>
        <v/>
      </c>
      <c r="W85" s="93" t="n">
        <v>19853</v>
      </c>
      <c r="X85" s="93" t="n">
        <v>186</v>
      </c>
      <c r="Y85" s="93" t="n">
        <v>589</v>
      </c>
      <c r="Z85" s="93" t="n">
        <v>89</v>
      </c>
      <c r="AA85" s="93" t="n">
        <v>76</v>
      </c>
      <c r="AB85" s="93" t="n">
        <v>1500</v>
      </c>
      <c r="AC85" s="94">
        <f>IFERROR(W85*AB85/1000,"")</f>
        <v/>
      </c>
      <c r="AD85" s="17">
        <f>IFERROR(J85/M85,"")</f>
        <v/>
      </c>
      <c r="AE85" s="17">
        <f>IFERROR(R85/I85,"")</f>
        <v/>
      </c>
      <c r="AF85" s="17">
        <f>IFERROR(R85/O85,"")</f>
        <v/>
      </c>
      <c r="AG85" s="95">
        <f>IFERROR(G85/I85,"")</f>
        <v/>
      </c>
      <c r="AH85" s="95">
        <f>IFERROR(G85/O85,"")</f>
        <v/>
      </c>
      <c r="AI85" s="95">
        <f>IFERROR(G85/C85,"")</f>
        <v/>
      </c>
      <c r="AJ85" s="95">
        <f>IFERROR(D85/C85,"")</f>
        <v/>
      </c>
      <c r="AK85" s="6" t="n"/>
      <c r="AL85" s="6" t="n"/>
      <c r="AM85" s="6" t="n"/>
      <c r="AN85" s="6" t="n"/>
      <c r="AO85" s="96" t="n"/>
      <c r="AP85" s="97">
        <f>IFERROR(IF(AND(NOT(ISNUMBER(F85)),NOT(ISNUMBER(AO85))),"",F85+AO85),"")</f>
        <v/>
      </c>
      <c r="AQ85" s="97">
        <f>IFERROR(IF(OR(NOT(ISNUMBER(E85)),NOT(ISNUMBER(AP85))),"",E85-AP85),"")</f>
        <v/>
      </c>
      <c r="AR85" s="96" t="n"/>
      <c r="AS85" s="97">
        <f>IFERROR(IF(OR(NOT(ISNUMBER(AR85)),NOT(ISNUMBER(S85))),"",AR85-S85),"")</f>
        <v/>
      </c>
      <c r="AT85" s="45" t="inlineStr">
        <is>
          <t>Net interest-bearing debt/equity -0.047x (net cash position) in 2025. Gross debt = ST bank 280 + current LT 53 + LT bank 766 = Rp1,099 bn. Cash Rp1,651 bn. Net cash ~Rp552 bn.</t>
        </is>
      </c>
    </row>
    <row r="86" ht="15" customHeight="1" s="67">
      <c r="A86" s="6" t="inlineStr">
        <is>
          <t>PT Teladan Prima Agro Tbk</t>
        </is>
      </c>
      <c r="B86" s="92" t="n">
        <v>2023</v>
      </c>
      <c r="C86" s="93" t="n">
        <v>4007</v>
      </c>
      <c r="D86" s="93" t="n">
        <v>1070</v>
      </c>
      <c r="E86" s="93" t="n"/>
      <c r="F86" s="93" t="n">
        <v>710</v>
      </c>
      <c r="G86" s="93" t="n">
        <v>452</v>
      </c>
      <c r="H86" s="93" t="n">
        <v>452</v>
      </c>
      <c r="I86" s="93" t="n">
        <v>5424</v>
      </c>
      <c r="J86" s="93" t="n">
        <v>1614</v>
      </c>
      <c r="K86" s="93" t="n">
        <v>3810</v>
      </c>
      <c r="L86" s="93" t="n">
        <v>2966</v>
      </c>
      <c r="M86" s="93" t="n">
        <v>1690</v>
      </c>
      <c r="N86" s="93" t="n">
        <v>1276</v>
      </c>
      <c r="O86" s="93" t="n">
        <v>2458</v>
      </c>
      <c r="P86" s="94">
        <f>IFERROR(J86-M86,"")</f>
        <v/>
      </c>
      <c r="Q86" s="93" t="n">
        <v>583</v>
      </c>
      <c r="R86" s="93" t="n">
        <v>964</v>
      </c>
      <c r="S86" s="94">
        <f>IFERROR(R86-Q86,"")</f>
        <v/>
      </c>
      <c r="T86" s="93" t="n">
        <v>1314</v>
      </c>
      <c r="U86" s="93" t="n">
        <v>386</v>
      </c>
      <c r="V86" s="94">
        <f>IFERROR(T86-U86,"")</f>
        <v/>
      </c>
      <c r="W86" s="93" t="n">
        <v>12947</v>
      </c>
      <c r="X86" s="93" t="n">
        <v>34.9</v>
      </c>
      <c r="Y86" s="93" t="n"/>
      <c r="Z86" s="93" t="n"/>
      <c r="AA86" s="93" t="n">
        <v>12.21</v>
      </c>
      <c r="AB86" s="93" t="n">
        <v>450</v>
      </c>
      <c r="AC86" s="94">
        <f>IFERROR(W86*AB86/1000,"")</f>
        <v/>
      </c>
      <c r="AD86" s="17">
        <f>IFERROR(J86/M86,"")</f>
        <v/>
      </c>
      <c r="AE86" s="17">
        <f>IFERROR(R86/I86,"")</f>
        <v/>
      </c>
      <c r="AF86" s="17">
        <f>IFERROR(R86/O86,"")</f>
        <v/>
      </c>
      <c r="AG86" s="95">
        <f>IFERROR(G86/I86,"")</f>
        <v/>
      </c>
      <c r="AH86" s="95">
        <f>IFERROR(G86/O86,"")</f>
        <v/>
      </c>
      <c r="AI86" s="95">
        <f>IFERROR(G86/C86,"")</f>
        <v/>
      </c>
      <c r="AJ86" s="95">
        <f>IFERROR(D86/C86,"")</f>
        <v/>
      </c>
      <c r="AK86" s="6" t="n"/>
      <c r="AL86" s="6" t="n"/>
      <c r="AM86" s="6" t="n"/>
      <c r="AN86" s="6" t="n"/>
      <c r="AO86" s="96" t="n"/>
      <c r="AP86" s="97">
        <f>IFERROR(IF(AND(NOT(ISNUMBER(F86)),NOT(ISNUMBER(AO86))),"",F86+AO86),"")</f>
        <v/>
      </c>
      <c r="AQ86" s="97">
        <f>IFERROR(IF(OR(NOT(ISNUMBER(E86)),NOT(ISNUMBER(AP86))),"",E86-AP86),"")</f>
        <v/>
      </c>
      <c r="AR86" s="96" t="n"/>
      <c r="AS86" s="97">
        <f>IFERROR(IF(OR(NOT(ISNUMBER(AR86)),NOT(ISNUMBER(S86))),"",AR86-S86),"")</f>
        <v/>
      </c>
      <c r="AT86" s="45" t="inlineStr">
        <is>
          <t>Gross bank debt as of 31 Dec 2023: Rp963.64 bn long-term bank loan (Bank Mandiri). Bank debt-to-equity ratio 0.4x in 2023. Cash Rp583.3 bn.</t>
        </is>
      </c>
    </row>
    <row r="87" ht="15" customHeight="1" s="67">
      <c r="A87" s="6" t="inlineStr">
        <is>
          <t>PT Teladan Prima Agro Tbk</t>
        </is>
      </c>
      <c r="B87" s="92" t="n">
        <v>2024</v>
      </c>
      <c r="C87" s="93" t="n">
        <v>4211</v>
      </c>
      <c r="D87" s="93" t="n">
        <v>1456</v>
      </c>
      <c r="E87" s="93" t="n">
        <v>1390</v>
      </c>
      <c r="F87" s="93" t="n">
        <v>1110</v>
      </c>
      <c r="G87" s="93" t="n">
        <v>826</v>
      </c>
      <c r="H87" s="93" t="n">
        <v>826</v>
      </c>
      <c r="I87" s="93" t="n">
        <v>5664</v>
      </c>
      <c r="J87" s="93" t="n">
        <v>1767</v>
      </c>
      <c r="K87" s="93" t="n">
        <v>3898</v>
      </c>
      <c r="L87" s="93" t="n">
        <v>2520</v>
      </c>
      <c r="M87" s="93" t="n">
        <v>1573</v>
      </c>
      <c r="N87" s="93" t="n">
        <v>947</v>
      </c>
      <c r="O87" s="93" t="n">
        <v>3145</v>
      </c>
      <c r="P87" s="94">
        <f>IFERROR(J87-M87,"")</f>
        <v/>
      </c>
      <c r="Q87" s="93" t="n">
        <v>487</v>
      </c>
      <c r="R87" s="93" t="n">
        <v>520</v>
      </c>
      <c r="S87" s="94">
        <f>IFERROR(R87-Q87,"")</f>
        <v/>
      </c>
      <c r="T87" s="93" t="n">
        <v>1140</v>
      </c>
      <c r="U87" s="93" t="n">
        <v>402</v>
      </c>
      <c r="V87" s="94">
        <f>IFERROR(T87-U87,"")</f>
        <v/>
      </c>
      <c r="W87" s="93" t="n">
        <v>12947</v>
      </c>
      <c r="X87" s="93" t="n">
        <v>63.77</v>
      </c>
      <c r="Y87" s="93" t="n"/>
      <c r="Z87" s="93" t="n"/>
      <c r="AA87" s="93" t="n">
        <v>31</v>
      </c>
      <c r="AB87" s="93" t="n">
        <v>545</v>
      </c>
      <c r="AC87" s="94">
        <f>IFERROR(W87*AB87/1000,"")</f>
        <v/>
      </c>
      <c r="AD87" s="17">
        <f>IFERROR(J87/M87,"")</f>
        <v/>
      </c>
      <c r="AE87" s="17">
        <f>IFERROR(R87/I87,"")</f>
        <v/>
      </c>
      <c r="AF87" s="17">
        <f>IFERROR(R87/O87,"")</f>
        <v/>
      </c>
      <c r="AG87" s="95">
        <f>IFERROR(G87/I87,"")</f>
        <v/>
      </c>
      <c r="AH87" s="95">
        <f>IFERROR(G87/O87,"")</f>
        <v/>
      </c>
      <c r="AI87" s="95">
        <f>IFERROR(G87/C87,"")</f>
        <v/>
      </c>
      <c r="AJ87" s="95">
        <f>IFERROR(D87/C87,"")</f>
        <v/>
      </c>
      <c r="AK87" s="6" t="n"/>
      <c r="AL87" s="6" t="n"/>
      <c r="AM87" s="6" t="n"/>
      <c r="AN87" s="6" t="n"/>
      <c r="AO87" s="96" t="n"/>
      <c r="AP87" s="97">
        <f>IFERROR(IF(AND(NOT(ISNUMBER(F87)),NOT(ISNUMBER(AO87))),"",F87+AO87),"")</f>
        <v/>
      </c>
      <c r="AQ87" s="97">
        <f>IFERROR(IF(OR(NOT(ISNUMBER(E87)),NOT(ISNUMBER(AP87))),"",E87-AP87),"")</f>
        <v/>
      </c>
      <c r="AR87" s="96" t="n"/>
      <c r="AS87" s="97">
        <f>IFERROR(IF(OR(NOT(ISNUMBER(AR87)),NOT(ISNUMBER(S87))),"",AR87-S87),"")</f>
        <v/>
      </c>
      <c r="AT87" s="45" t="inlineStr">
        <is>
          <t>Bank debt-to-equity ratio 0.2x in 2024 (2023: 0.4x). Long-term bank loans to Bank Mandiri Rp520.02 bn at year-end. Cash Rp486.59 bn.</t>
        </is>
      </c>
    </row>
    <row r="88" ht="15" customHeight="1" s="67">
      <c r="A88" s="6" t="inlineStr">
        <is>
          <t>PT Teladan Prima Agro Tbk</t>
        </is>
      </c>
      <c r="B88" s="92" t="n">
        <v>2025</v>
      </c>
      <c r="C88" s="93" t="n">
        <v>5421.392</v>
      </c>
      <c r="D88" s="93" t="n">
        <v>1863.59</v>
      </c>
      <c r="E88" s="93" t="n"/>
      <c r="F88" s="93" t="n">
        <v>1250.566</v>
      </c>
      <c r="G88" s="93" t="n">
        <v>1114.617</v>
      </c>
      <c r="H88" s="93" t="n">
        <v>1107</v>
      </c>
      <c r="I88" s="93" t="n">
        <v>6018.032</v>
      </c>
      <c r="J88" s="93" t="n">
        <v>1589</v>
      </c>
      <c r="K88" s="93" t="n">
        <v>4429</v>
      </c>
      <c r="L88" s="93" t="n">
        <v>2373.123</v>
      </c>
      <c r="M88" s="93" t="n">
        <v>1425</v>
      </c>
      <c r="N88" s="93" t="n">
        <v>948</v>
      </c>
      <c r="O88" s="93" t="n">
        <v>3644.909</v>
      </c>
      <c r="P88" s="94">
        <f>IFERROR(J88-M88,"")</f>
        <v/>
      </c>
      <c r="Q88" s="93" t="n">
        <v>334.386</v>
      </c>
      <c r="R88" s="93" t="n">
        <v>539.431</v>
      </c>
      <c r="S88" s="94">
        <f>IFERROR(R88-Q88,"")</f>
        <v/>
      </c>
      <c r="T88" s="93" t="n">
        <v>1544</v>
      </c>
      <c r="U88" s="93" t="n">
        <v>596</v>
      </c>
      <c r="V88" s="94">
        <f>IFERROR(T88-U88,"")</f>
        <v/>
      </c>
      <c r="W88" s="93" t="n">
        <v>12947</v>
      </c>
      <c r="X88" s="93" t="n">
        <v>85.48</v>
      </c>
      <c r="Y88" s="93" t="n"/>
      <c r="Z88" s="93" t="n">
        <v>15.5</v>
      </c>
      <c r="AA88" s="93" t="n">
        <v>31</v>
      </c>
      <c r="AB88" s="93" t="n">
        <v>700</v>
      </c>
      <c r="AC88" s="94">
        <f>IFERROR(W88*AB88/1000,"")</f>
        <v/>
      </c>
      <c r="AD88" s="17">
        <f>IFERROR(J88/M88,"")</f>
        <v/>
      </c>
      <c r="AE88" s="17">
        <f>IFERROR(R88/I88,"")</f>
        <v/>
      </c>
      <c r="AF88" s="17">
        <f>IFERROR(R88/O88,"")</f>
        <v/>
      </c>
      <c r="AG88" s="95">
        <f>IFERROR(G88/I88,"")</f>
        <v/>
      </c>
      <c r="AH88" s="95">
        <f>IFERROR(G88/O88,"")</f>
        <v/>
      </c>
      <c r="AI88" s="95">
        <f>IFERROR(G88/C88,"")</f>
        <v/>
      </c>
      <c r="AJ88" s="95">
        <f>IFERROR(D88/C88,"")</f>
        <v/>
      </c>
      <c r="AK88" s="6" t="n"/>
      <c r="AL88" s="6" t="n"/>
      <c r="AM88" s="6" t="n"/>
      <c r="AN88" s="6" t="n"/>
      <c r="AO88" s="96" t="n"/>
      <c r="AP88" s="97">
        <f>IFERROR(IF(AND(NOT(ISNUMBER(F88)),NOT(ISNUMBER(AO88))),"",F88+AO88),"")</f>
        <v/>
      </c>
      <c r="AQ88" s="97">
        <f>IFERROR(IF(OR(NOT(ISNUMBER(E88)),NOT(ISNUMBER(AP88))),"",E88-AP88),"")</f>
        <v/>
      </c>
      <c r="AR88" s="96" t="n"/>
      <c r="AS88" s="97">
        <f>IFERROR(IF(OR(NOT(ISNUMBER(AR88)),NOT(ISNUMBER(S88))),"",AR88-S88),"")</f>
        <v/>
      </c>
      <c r="AT88" s="45" t="inlineStr">
        <is>
          <t>Bank debt-to-equity ratio 0.23x (2024: 0.19x). 2025 features gain on bargain purchase of Rp172.48 bn from PT Cipta Davia Mandiri acquisition.</t>
        </is>
      </c>
    </row>
    <row r="89" ht="15" customHeight="1" s="67">
      <c r="A89" s="6" t="inlineStr">
        <is>
          <t>PT Bakrie Sumatera Plantations Tbk</t>
        </is>
      </c>
      <c r="B89" s="92" t="n">
        <v>2022</v>
      </c>
      <c r="C89" s="93" t="n">
        <v>4189</v>
      </c>
      <c r="D89" s="93" t="n">
        <v>786</v>
      </c>
      <c r="E89" s="93" t="n"/>
      <c r="F89" s="93" t="n">
        <v>315</v>
      </c>
      <c r="G89" s="93" t="n">
        <v>930</v>
      </c>
      <c r="H89" s="93" t="n">
        <v>217</v>
      </c>
      <c r="I89" s="93" t="n">
        <v>4540</v>
      </c>
      <c r="J89" s="93" t="n">
        <v>707</v>
      </c>
      <c r="K89" s="93" t="n">
        <v>3833</v>
      </c>
      <c r="L89" s="93" t="n">
        <v>10497</v>
      </c>
      <c r="M89" s="93" t="n">
        <v>8306</v>
      </c>
      <c r="N89" s="93" t="n">
        <v>2191</v>
      </c>
      <c r="O89" s="93" t="n">
        <v>-5957</v>
      </c>
      <c r="P89" s="94">
        <f>IFERROR(J89-M89,"")</f>
        <v/>
      </c>
      <c r="Q89" s="93" t="n">
        <v>144</v>
      </c>
      <c r="R89" s="93" t="n">
        <v>5937.42</v>
      </c>
      <c r="S89" s="94">
        <f>IFERROR(R89-Q89,"")</f>
        <v/>
      </c>
      <c r="T89" s="93" t="n">
        <v>-85</v>
      </c>
      <c r="U89" s="93" t="n">
        <v>329.08</v>
      </c>
      <c r="V89" s="94">
        <f>IFERROR(T89-U89,"")</f>
        <v/>
      </c>
      <c r="W89" s="93" t="n">
        <v>2500</v>
      </c>
      <c r="X89" s="93" t="n">
        <v>86.70999999999999</v>
      </c>
      <c r="Y89" s="93" t="n"/>
      <c r="Z89" s="93" t="n">
        <v>0</v>
      </c>
      <c r="AA89" s="93" t="n">
        <v>0</v>
      </c>
      <c r="AB89" s="93" t="n">
        <v>128</v>
      </c>
      <c r="AC89" s="94">
        <f>IFERROR(W89*AB89/1000,"")</f>
        <v/>
      </c>
      <c r="AD89" s="17">
        <f>IFERROR(J89/M89,"")</f>
        <v/>
      </c>
      <c r="AE89" s="17">
        <f>IFERROR(R89/I89,"")</f>
        <v/>
      </c>
      <c r="AF89" s="17">
        <f>IFERROR(R89/O89,"")</f>
        <v/>
      </c>
      <c r="AG89" s="95">
        <f>IFERROR(G89/I89,"")</f>
        <v/>
      </c>
      <c r="AH89" s="95">
        <f>IFERROR(G89/O89,"")</f>
        <v/>
      </c>
      <c r="AI89" s="95">
        <f>IFERROR(G89/C89,"")</f>
        <v/>
      </c>
      <c r="AJ89" s="95">
        <f>IFERROR(D89/C89,"")</f>
        <v/>
      </c>
      <c r="AK89" s="6" t="n"/>
      <c r="AL89" s="6" t="n"/>
      <c r="AM89" s="6" t="n"/>
      <c r="AN89" s="6" t="n"/>
      <c r="AO89" s="96" t="n"/>
      <c r="AP89" s="97">
        <f>IFERROR(IF(AND(NOT(ISNUMBER(F89)),NOT(ISNUMBER(AO89))),"",F89+AO89),"")</f>
        <v/>
      </c>
      <c r="AQ89" s="97">
        <f>IFERROR(IF(OR(NOT(ISNUMBER(E89)),NOT(ISNUMBER(AP89))),"",E89-AP89),"")</f>
        <v/>
      </c>
      <c r="AR89" s="96" t="n"/>
      <c r="AS89" s="97">
        <f>IFERROR(IF(OR(NOT(ISNUMBER(AR89)),NOT(ISNUMBER(S89))),"",AR89-S89),"")</f>
        <v/>
      </c>
      <c r="AT89" s="45" t="inlineStr">
        <is>
          <t>Capital deficiency Rp(5,956.62) bn - negative equity. Liabilities/assets ratio 231.19% - liabilities more than 2x assets. Indicative Restructuring Term Sheet signed 13 Jan 2022 with Credit Suisse AG Singapore + other lenders (Obligor Group). Gross debt not explicitly stated; long-term liabilities Rp2,191 bn + bank loans in current Rp~3,700+ bn implied.</t>
        </is>
      </c>
    </row>
    <row r="90" ht="15" customHeight="1" s="67">
      <c r="A90" s="6" t="inlineStr">
        <is>
          <t>PT Bakrie Sumatera Plantations Tbk</t>
        </is>
      </c>
      <c r="B90" s="92" t="n">
        <v>2023</v>
      </c>
      <c r="C90" s="93" t="n">
        <v>2405</v>
      </c>
      <c r="D90" s="93" t="n">
        <v>477</v>
      </c>
      <c r="E90" s="93" t="n"/>
      <c r="F90" s="93" t="n">
        <v>43</v>
      </c>
      <c r="G90" s="93" t="n">
        <v>26</v>
      </c>
      <c r="H90" s="93" t="n">
        <v>63</v>
      </c>
      <c r="I90" s="93" t="n">
        <v>4560</v>
      </c>
      <c r="J90" s="93" t="n">
        <v>782</v>
      </c>
      <c r="K90" s="93" t="n">
        <v>3778</v>
      </c>
      <c r="L90" s="93" t="n">
        <v>10493</v>
      </c>
      <c r="M90" s="93" t="n">
        <v>7694</v>
      </c>
      <c r="N90" s="93" t="n">
        <v>2798</v>
      </c>
      <c r="O90" s="93" t="n">
        <v>-5933</v>
      </c>
      <c r="P90" s="94">
        <f>IFERROR(J90-M90,"")</f>
        <v/>
      </c>
      <c r="Q90" s="93" t="n">
        <v>123</v>
      </c>
      <c r="R90" s="93" t="n">
        <v>4493</v>
      </c>
      <c r="S90" s="94">
        <f>IFERROR(R90-Q90,"")</f>
        <v/>
      </c>
      <c r="T90" s="93" t="n">
        <v>-50</v>
      </c>
      <c r="U90" s="93" t="n">
        <v>212</v>
      </c>
      <c r="V90" s="94">
        <f>IFERROR(T90-U90,"")</f>
        <v/>
      </c>
      <c r="W90" s="93" t="n">
        <v>2500</v>
      </c>
      <c r="X90" s="93" t="n">
        <v>25.08</v>
      </c>
      <c r="Y90" s="93" t="n"/>
      <c r="Z90" s="93" t="n">
        <v>0</v>
      </c>
      <c r="AA90" s="93" t="n">
        <v>0</v>
      </c>
      <c r="AB90" s="93" t="n">
        <v>113</v>
      </c>
      <c r="AC90" s="94">
        <f>IFERROR(W90*AB90/1000,"")</f>
        <v/>
      </c>
      <c r="AD90" s="17">
        <f>IFERROR(J90/M90,"")</f>
        <v/>
      </c>
      <c r="AE90" s="17">
        <f>IFERROR(R90/I90,"")</f>
        <v/>
      </c>
      <c r="AF90" s="17">
        <f>IFERROR(R90/O90,"")</f>
        <v/>
      </c>
      <c r="AG90" s="95">
        <f>IFERROR(G90/I90,"")</f>
        <v/>
      </c>
      <c r="AH90" s="95">
        <f>IFERROR(G90/O90,"")</f>
        <v/>
      </c>
      <c r="AI90" s="95">
        <f>IFERROR(G90/C90,"")</f>
        <v/>
      </c>
      <c r="AJ90" s="95">
        <f>IFERROR(D90/C90,"")</f>
        <v/>
      </c>
      <c r="AK90" s="6" t="n"/>
      <c r="AL90" s="6" t="n"/>
      <c r="AM90" s="6" t="n"/>
      <c r="AN90" s="6" t="n"/>
      <c r="AO90" s="96" t="n"/>
      <c r="AP90" s="97">
        <f>IFERROR(IF(AND(NOT(ISNUMBER(F90)),NOT(ISNUMBER(AO90))),"",F90+AO90),"")</f>
        <v/>
      </c>
      <c r="AQ90" s="97">
        <f>IFERROR(IF(OR(NOT(ISNUMBER(E90)),NOT(ISNUMBER(AP90))),"",E90-AP90),"")</f>
        <v/>
      </c>
      <c r="AR90" s="96" t="n"/>
      <c r="AS90" s="97">
        <f>IFERROR(IF(OR(NOT(ISNUMBER(AR90)),NOT(ISNUMBER(S90))),"",AR90-S90),"")</f>
        <v/>
      </c>
      <c r="AT90" s="45" t="inlineStr">
        <is>
          <t>Capital deficiency Rp(5,932.87) bn - negative equity. Gross debt (long-term loans incl current maturities) ~Rp4,492.56 bn (per 2024 AR comparison). Net debt ~4,493 - 123 = Rp4,370 bn. Liabilities/assets ratio 230.11% - liabilities more than 2x assets. Going-concern issues; no meaningful gearing ratio possible.</t>
        </is>
      </c>
    </row>
    <row r="91" ht="15" customHeight="1" s="67">
      <c r="A91" s="6" t="inlineStr">
        <is>
          <t>PT Bakrie Sumatera Plantations Tbk</t>
        </is>
      </c>
      <c r="B91" s="92" t="n">
        <v>2024</v>
      </c>
      <c r="C91" s="93" t="n">
        <v>2328</v>
      </c>
      <c r="D91" s="93" t="n">
        <v>605</v>
      </c>
      <c r="E91" s="93" t="n"/>
      <c r="F91" s="93" t="n">
        <v>209</v>
      </c>
      <c r="G91" s="93" t="n">
        <v>139</v>
      </c>
      <c r="H91" s="93" t="n">
        <v>139</v>
      </c>
      <c r="I91" s="93" t="n">
        <v>3214</v>
      </c>
      <c r="J91" s="93" t="n">
        <v>850</v>
      </c>
      <c r="K91" s="93" t="n">
        <v>2364</v>
      </c>
      <c r="L91" s="93" t="n">
        <v>8491</v>
      </c>
      <c r="M91" s="93" t="n">
        <v>8145</v>
      </c>
      <c r="N91" s="93" t="n">
        <v>345</v>
      </c>
      <c r="O91" s="93" t="n">
        <v>-5276</v>
      </c>
      <c r="P91" s="94">
        <f>IFERROR(J91-M91,"")</f>
        <v/>
      </c>
      <c r="Q91" s="93" t="n">
        <v>134</v>
      </c>
      <c r="R91" s="93" t="n">
        <v>4667</v>
      </c>
      <c r="S91" s="94">
        <f>IFERROR(R91-Q91,"")</f>
        <v/>
      </c>
      <c r="T91" s="93" t="n">
        <v>394</v>
      </c>
      <c r="U91" s="93" t="n">
        <v>291</v>
      </c>
      <c r="V91" s="94">
        <f>IFERROR(T91-U91,"")</f>
        <v/>
      </c>
      <c r="W91" s="93" t="n">
        <v>2500</v>
      </c>
      <c r="X91" s="93" t="n">
        <v>55.56</v>
      </c>
      <c r="Y91" s="93" t="n"/>
      <c r="Z91" s="93" t="n">
        <v>0</v>
      </c>
      <c r="AA91" s="93" t="n">
        <v>0</v>
      </c>
      <c r="AB91" s="93" t="n">
        <v>97</v>
      </c>
      <c r="AC91" s="94">
        <f>IFERROR(W91*AB91/1000,"")</f>
        <v/>
      </c>
      <c r="AD91" s="17">
        <f>IFERROR(J91/M91,"")</f>
        <v/>
      </c>
      <c r="AE91" s="17">
        <f>IFERROR(R91/I91,"")</f>
        <v/>
      </c>
      <c r="AF91" s="17">
        <f>IFERROR(R91/O91,"")</f>
        <v/>
      </c>
      <c r="AG91" s="95">
        <f>IFERROR(G91/I91,"")</f>
        <v/>
      </c>
      <c r="AH91" s="95">
        <f>IFERROR(G91/O91,"")</f>
        <v/>
      </c>
      <c r="AI91" s="95">
        <f>IFERROR(G91/C91,"")</f>
        <v/>
      </c>
      <c r="AJ91" s="95">
        <f>IFERROR(D91/C91,"")</f>
        <v/>
      </c>
      <c r="AK91" s="6" t="n"/>
      <c r="AL91" s="6" t="n"/>
      <c r="AM91" s="6" t="n"/>
      <c r="AN91" s="6" t="n"/>
      <c r="AO91" s="96" t="n"/>
      <c r="AP91" s="97">
        <f>IFERROR(IF(AND(NOT(ISNUMBER(F91)),NOT(ISNUMBER(AO91))),"",F91+AO91),"")</f>
        <v/>
      </c>
      <c r="AQ91" s="97">
        <f>IFERROR(IF(OR(NOT(ISNUMBER(E91)),NOT(ISNUMBER(AP91))),"",E91-AP91),"")</f>
        <v/>
      </c>
      <c r="AR91" s="96" t="n"/>
      <c r="AS91" s="97">
        <f>IFERROR(IF(OR(NOT(ISNUMBER(AR91)),NOT(ISNUMBER(S91))),"",AR91-S91),"")</f>
        <v/>
      </c>
      <c r="AT91" s="45" t="inlineStr">
        <is>
          <t>Capital deficiency Rp(5,276.49) bn. Gross debt = long-term loans incl current maturities Rp4,666.92 bn (all current maturities under restructuring: Credit Suisse AG Singapore Rp3,371.95 bn + guaranteed equity-linked redeemable notes Rp1,284.22 bn). Liabilities-to-assets ratio 264.17% - liabilities far exceed assets; gearing metric not meaningful. Net debt ~ 4,667 - 134 = Rp4,533 bn. Going-concern qualification in Note 44.</t>
        </is>
      </c>
    </row>
    <row r="92" ht="15" customHeight="1" s="67">
      <c r="A92" s="6" t="inlineStr">
        <is>
          <t>PT Wahana Pronatural Tbk</t>
        </is>
      </c>
      <c r="B92" s="92" t="n">
        <v>2022</v>
      </c>
      <c r="C92" s="93" t="n">
        <v>330.02</v>
      </c>
      <c r="D92" s="93" t="n">
        <v>2.76</v>
      </c>
      <c r="E92" s="93" t="n"/>
      <c r="F92" s="93" t="n">
        <v>-5.96</v>
      </c>
      <c r="G92" s="93" t="n">
        <v>-4.07</v>
      </c>
      <c r="H92" s="93" t="n">
        <v>-4.07</v>
      </c>
      <c r="I92" s="93" t="n">
        <v>97.5</v>
      </c>
      <c r="J92" s="93" t="n">
        <v>53.63</v>
      </c>
      <c r="K92" s="93" t="n">
        <v>43.88</v>
      </c>
      <c r="L92" s="93" t="n">
        <v>26.49</v>
      </c>
      <c r="M92" s="93" t="n">
        <v>25.77</v>
      </c>
      <c r="N92" s="93" t="n">
        <v>0.72</v>
      </c>
      <c r="O92" s="93" t="n">
        <v>71.02</v>
      </c>
      <c r="P92" s="94">
        <f>IFERROR(J92-M92,"")</f>
        <v/>
      </c>
      <c r="Q92" s="93" t="n">
        <v>2.99</v>
      </c>
      <c r="R92" s="93" t="n">
        <v>0</v>
      </c>
      <c r="S92" s="94">
        <f>IFERROR(R92-Q92,"")</f>
        <v/>
      </c>
      <c r="T92" s="93" t="n">
        <v>-1.73</v>
      </c>
      <c r="U92" s="93" t="n">
        <v>0</v>
      </c>
      <c r="V92" s="94">
        <f>IFERROR(T92-U92,"")</f>
        <v/>
      </c>
      <c r="W92" s="93" t="n">
        <v>1240.92</v>
      </c>
      <c r="X92" s="93" t="n">
        <v>-3.26</v>
      </c>
      <c r="Y92" s="93" t="n">
        <v>57.23</v>
      </c>
      <c r="Z92" s="93" t="n">
        <v>0</v>
      </c>
      <c r="AA92" s="93" t="n">
        <v>0</v>
      </c>
      <c r="AB92" s="93" t="n">
        <v>250</v>
      </c>
      <c r="AC92" s="94">
        <f>IFERROR(W92*AB92/1000,"")</f>
        <v/>
      </c>
      <c r="AD92" s="17">
        <f>IFERROR(J92/M92,"")</f>
        <v/>
      </c>
      <c r="AE92" s="17">
        <f>IFERROR(R92/I92,"")</f>
        <v/>
      </c>
      <c r="AF92" s="17">
        <f>IFERROR(R92/O92,"")</f>
        <v/>
      </c>
      <c r="AG92" s="95">
        <f>IFERROR(G92/I92,"")</f>
        <v/>
      </c>
      <c r="AH92" s="95">
        <f>IFERROR(G92/O92,"")</f>
        <v/>
      </c>
      <c r="AI92" s="95">
        <f>IFERROR(G92/C92,"")</f>
        <v/>
      </c>
      <c r="AJ92" s="95">
        <f>IFERROR(D92/C92,"")</f>
        <v/>
      </c>
      <c r="AK92" s="6" t="n"/>
      <c r="AL92" s="6" t="n"/>
      <c r="AM92" s="6" t="n"/>
      <c r="AN92" s="6" t="n"/>
      <c r="AO92" s="96" t="n"/>
      <c r="AP92" s="97">
        <f>IFERROR(IF(AND(NOT(ISNUMBER(F92)),NOT(ISNUMBER(AO92))),"",F92+AO92),"")</f>
        <v/>
      </c>
      <c r="AQ92" s="97">
        <f>IFERROR(IF(OR(NOT(ISNUMBER(E92)),NOT(ISNUMBER(AP92))),"",E92-AP92),"")</f>
        <v/>
      </c>
      <c r="AR92" s="96" t="n"/>
      <c r="AS92" s="97">
        <f>IFERROR(IF(OR(NOT(ISNUMBER(AR92)),NOT(ISNUMBER(S92))),"",AR92-S92),"")</f>
        <v/>
      </c>
      <c r="AT92" s="45" t="inlineStr">
        <is>
          <t>No interest-bearing bank debt disclosed. Only lease liability Rp 53.55 mn (LT) and Rp 0 ST. Net debt effectively negative (cash Rp 2.99 bn &gt; lease liability Rp 0.05 bn).</t>
        </is>
      </c>
    </row>
    <row r="93" ht="15" customHeight="1" s="67">
      <c r="A93" s="6" t="inlineStr">
        <is>
          <t>PT Wahana Pronatural Tbk</t>
        </is>
      </c>
      <c r="B93" s="92" t="n">
        <v>2023</v>
      </c>
      <c r="C93" s="93" t="n">
        <v>420.95</v>
      </c>
      <c r="D93" s="93" t="n">
        <v>11.9</v>
      </c>
      <c r="E93" s="93" t="n"/>
      <c r="F93" s="93" t="n">
        <v>-0.36</v>
      </c>
      <c r="G93" s="93" t="n">
        <v>0.236</v>
      </c>
      <c r="H93" s="93" t="n">
        <v>0.236</v>
      </c>
      <c r="I93" s="93" t="n">
        <v>131.94</v>
      </c>
      <c r="J93" s="93" t="n">
        <v>85.79000000000001</v>
      </c>
      <c r="K93" s="93" t="n">
        <v>46.15</v>
      </c>
      <c r="L93" s="93" t="n">
        <v>60.68</v>
      </c>
      <c r="M93" s="93" t="n">
        <v>59.92</v>
      </c>
      <c r="N93" s="93" t="n">
        <v>0.77</v>
      </c>
      <c r="O93" s="93" t="n">
        <v>71.25</v>
      </c>
      <c r="P93" s="94">
        <f>IFERROR(J93-M93,"")</f>
        <v/>
      </c>
      <c r="Q93" s="93" t="n">
        <v>9.07</v>
      </c>
      <c r="R93" s="93" t="n">
        <v>0</v>
      </c>
      <c r="S93" s="94">
        <f>IFERROR(R93-Q93,"")</f>
        <v/>
      </c>
      <c r="T93" s="93" t="n">
        <v>9.630000000000001</v>
      </c>
      <c r="U93" s="93" t="n">
        <v>2.94</v>
      </c>
      <c r="V93" s="94">
        <f>IFERROR(T93-U93,"")</f>
        <v/>
      </c>
      <c r="W93" s="93" t="n">
        <v>1240.92</v>
      </c>
      <c r="X93" s="93" t="n">
        <v>0.19</v>
      </c>
      <c r="Y93" s="93" t="n">
        <v>57.42</v>
      </c>
      <c r="Z93" s="93" t="n">
        <v>0</v>
      </c>
      <c r="AA93" s="93" t="n">
        <v>0</v>
      </c>
      <c r="AB93" s="93" t="n">
        <v>136</v>
      </c>
      <c r="AC93" s="94">
        <f>IFERROR(W93*AB93/1000,"")</f>
        <v/>
      </c>
      <c r="AD93" s="17">
        <f>IFERROR(J93/M93,"")</f>
        <v/>
      </c>
      <c r="AE93" s="17">
        <f>IFERROR(R93/I93,"")</f>
        <v/>
      </c>
      <c r="AF93" s="17">
        <f>IFERROR(R93/O93,"")</f>
        <v/>
      </c>
      <c r="AG93" s="95">
        <f>IFERROR(G93/I93,"")</f>
        <v/>
      </c>
      <c r="AH93" s="95">
        <f>IFERROR(G93/O93,"")</f>
        <v/>
      </c>
      <c r="AI93" s="95">
        <f>IFERROR(G93/C93,"")</f>
        <v/>
      </c>
      <c r="AJ93" s="95">
        <f>IFERROR(D93/C93,"")</f>
        <v/>
      </c>
      <c r="AK93" s="6" t="n"/>
      <c r="AL93" s="6" t="n"/>
      <c r="AM93" s="6" t="n"/>
      <c r="AN93" s="6" t="n"/>
      <c r="AO93" s="96" t="n"/>
      <c r="AP93" s="97">
        <f>IFERROR(IF(AND(NOT(ISNUMBER(F93)),NOT(ISNUMBER(AO93))),"",F93+AO93),"")</f>
        <v/>
      </c>
      <c r="AQ93" s="97">
        <f>IFERROR(IF(OR(NOT(ISNUMBER(E93)),NOT(ISNUMBER(AP93))),"",E93-AP93),"")</f>
        <v/>
      </c>
      <c r="AR93" s="96" t="n"/>
      <c r="AS93" s="97">
        <f>IFERROR(IF(OR(NOT(ISNUMBER(AR93)),NOT(ISNUMBER(S93))),"",AR93-S93),"")</f>
        <v/>
      </c>
      <c r="AT93" s="45" t="inlineStr">
        <is>
          <t>No interest-bearing bank debt. Only small lease liability (Rp 21 mn LT). Cash Rp 9.07 bn + restricted cash Rp 0.61 bn. Net cash position.</t>
        </is>
      </c>
    </row>
    <row r="94" ht="15" customHeight="1" s="67">
      <c r="A94" s="6" t="inlineStr">
        <is>
          <t>PT Wahana Pronatural Tbk</t>
        </is>
      </c>
      <c r="B94" s="92" t="n">
        <v>2024</v>
      </c>
      <c r="C94" s="93" t="n">
        <v>2122.33</v>
      </c>
      <c r="D94" s="93" t="n">
        <v>24.65</v>
      </c>
      <c r="E94" s="93" t="n"/>
      <c r="F94" s="93" t="n">
        <v>0.52</v>
      </c>
      <c r="G94" s="93" t="n">
        <v>0.784</v>
      </c>
      <c r="H94" s="93" t="n">
        <v>0.784</v>
      </c>
      <c r="I94" s="93" t="n">
        <v>86.59</v>
      </c>
      <c r="J94" s="93" t="n">
        <v>39.58</v>
      </c>
      <c r="K94" s="93" t="n">
        <v>47</v>
      </c>
      <c r="L94" s="93" t="n">
        <v>14.55</v>
      </c>
      <c r="M94" s="93" t="n">
        <v>13.71</v>
      </c>
      <c r="N94" s="93" t="n">
        <v>0.84</v>
      </c>
      <c r="O94" s="93" t="n">
        <v>72.04000000000001</v>
      </c>
      <c r="P94" s="94">
        <f>IFERROR(J94-M94,"")</f>
        <v/>
      </c>
      <c r="Q94" s="93" t="n">
        <v>10.77</v>
      </c>
      <c r="R94" s="93" t="n">
        <v>0.1</v>
      </c>
      <c r="S94" s="94">
        <f>IFERROR(R94-Q94,"")</f>
        <v/>
      </c>
      <c r="T94" s="93" t="n">
        <v>3.43</v>
      </c>
      <c r="U94" s="93" t="n">
        <v>2.33</v>
      </c>
      <c r="V94" s="94">
        <f>IFERROR(T94-U94,"")</f>
        <v/>
      </c>
      <c r="W94" s="93" t="n">
        <v>1240.92</v>
      </c>
      <c r="X94" s="93" t="n">
        <v>0.63</v>
      </c>
      <c r="Y94" s="93" t="n">
        <v>58.05</v>
      </c>
      <c r="Z94" s="93" t="n">
        <v>0</v>
      </c>
      <c r="AA94" s="93" t="n">
        <v>0</v>
      </c>
      <c r="AB94" s="93" t="n">
        <v>91</v>
      </c>
      <c r="AC94" s="94">
        <f>IFERROR(W94*AB94/1000,"")</f>
        <v/>
      </c>
      <c r="AD94" s="17">
        <f>IFERROR(J94/M94,"")</f>
        <v/>
      </c>
      <c r="AE94" s="17">
        <f>IFERROR(R94/I94,"")</f>
        <v/>
      </c>
      <c r="AF94" s="17">
        <f>IFERROR(R94/O94,"")</f>
        <v/>
      </c>
      <c r="AG94" s="95">
        <f>IFERROR(G94/I94,"")</f>
        <v/>
      </c>
      <c r="AH94" s="95">
        <f>IFERROR(G94/O94,"")</f>
        <v/>
      </c>
      <c r="AI94" s="95">
        <f>IFERROR(G94/C94,"")</f>
        <v/>
      </c>
      <c r="AJ94" s="95">
        <f>IFERROR(D94/C94,"")</f>
        <v/>
      </c>
      <c r="AK94" s="6" t="n"/>
      <c r="AL94" s="6" t="n"/>
      <c r="AM94" s="6" t="n"/>
      <c r="AN94" s="6" t="n"/>
      <c r="AO94" s="96" t="n"/>
      <c r="AP94" s="97">
        <f>IFERROR(IF(AND(NOT(ISNUMBER(F94)),NOT(ISNUMBER(AO94))),"",F94+AO94),"")</f>
        <v/>
      </c>
      <c r="AQ94" s="97">
        <f>IFERROR(IF(OR(NOT(ISNUMBER(E94)),NOT(ISNUMBER(AP94))),"",E94-AP94),"")</f>
        <v/>
      </c>
      <c r="AR94" s="96" t="n"/>
      <c r="AS94" s="97">
        <f>IFERROR(IF(OR(NOT(ISNUMBER(AR94)),NOT(ISNUMBER(S94))),"",AR94-S94),"")</f>
        <v/>
      </c>
      <c r="AT94" s="45" t="inlineStr">
        <is>
          <t>No bank debt. Only small lease liabilities (Rp 32.3 mn ST + Rp 62.7 mn LT = Rp 95 mn). Cash Rp 8.57 bn + restricted cash Rp 2.2 bn. Net cash position.</t>
        </is>
      </c>
    </row>
    <row r="95" ht="15" customHeight="1" s="67">
      <c r="A95" s="6" t="n"/>
      <c r="B95" s="92" t="n"/>
      <c r="C95" s="93" t="n"/>
      <c r="D95" s="93" t="n"/>
      <c r="E95" s="93" t="n"/>
      <c r="F95" s="93" t="n"/>
      <c r="G95" s="93" t="n"/>
      <c r="H95" s="93" t="n"/>
      <c r="I95" s="93" t="n"/>
      <c r="J95" s="93" t="n"/>
      <c r="K95" s="93" t="n"/>
      <c r="L95" s="93" t="n"/>
      <c r="M95" s="93" t="n"/>
      <c r="N95" s="93" t="n"/>
      <c r="O95" s="93" t="n"/>
      <c r="P95" s="94">
        <f>IFERROR(J95-M95,"")</f>
        <v/>
      </c>
      <c r="Q95" s="93" t="n"/>
      <c r="R95" s="93" t="n"/>
      <c r="S95" s="94">
        <f>IFERROR(R95-Q95,"")</f>
        <v/>
      </c>
      <c r="T95" s="93" t="n"/>
      <c r="U95" s="93" t="n"/>
      <c r="V95" s="94">
        <f>IFERROR(T95-U95,"")</f>
        <v/>
      </c>
      <c r="W95" s="93" t="n"/>
      <c r="X95" s="93" t="n"/>
      <c r="Y95" s="93" t="n"/>
      <c r="Z95" s="93" t="n"/>
      <c r="AA95" s="93" t="n"/>
      <c r="AB95" s="93" t="n"/>
      <c r="AC95" s="94">
        <f>IFERROR(W95*AB95/1000,"")</f>
        <v/>
      </c>
      <c r="AD95" s="17">
        <f>IFERROR(J95/M95,"")</f>
        <v/>
      </c>
      <c r="AE95" s="17">
        <f>IFERROR(R95/I95,"")</f>
        <v/>
      </c>
      <c r="AF95" s="17">
        <f>IFERROR(R95/O95,"")</f>
        <v/>
      </c>
      <c r="AG95" s="95">
        <f>IFERROR(G95/I95,"")</f>
        <v/>
      </c>
      <c r="AH95" s="95">
        <f>IFERROR(G95/O95,"")</f>
        <v/>
      </c>
      <c r="AI95" s="95">
        <f>IFERROR(G95/C95,"")</f>
        <v/>
      </c>
      <c r="AJ95" s="95">
        <f>IFERROR(D95/C95,"")</f>
        <v/>
      </c>
      <c r="AK95" s="6" t="n"/>
      <c r="AL95" s="6" t="n"/>
      <c r="AM95" s="6" t="n"/>
      <c r="AN95" s="6" t="n"/>
      <c r="AO95" s="96" t="n"/>
      <c r="AP95" s="97">
        <f>IFERROR(IF(AND(NOT(ISNUMBER(F95)),NOT(ISNUMBER(AO95))),"",F95+AO95),"")</f>
        <v/>
      </c>
      <c r="AQ95" s="97">
        <f>IFERROR(IF(OR(NOT(ISNUMBER(E95)),NOT(ISNUMBER(AP95))),"",E95-AP95),"")</f>
        <v/>
      </c>
      <c r="AR95" s="96" t="n"/>
      <c r="AS95" s="97">
        <f>IFERROR(IF(OR(NOT(ISNUMBER(AR95)),NOT(ISNUMBER(S95))),"",AR95-S95),"")</f>
        <v/>
      </c>
      <c r="AT95" s="45" t="n"/>
    </row>
    <row r="96" ht="15" customHeight="1" s="67">
      <c r="A96" s="6" t="n"/>
      <c r="B96" s="92" t="n"/>
      <c r="C96" s="93" t="n"/>
      <c r="D96" s="93" t="n"/>
      <c r="E96" s="93" t="n"/>
      <c r="F96" s="93" t="n"/>
      <c r="G96" s="93" t="n"/>
      <c r="H96" s="93" t="n"/>
      <c r="I96" s="93" t="n"/>
      <c r="J96" s="93" t="n"/>
      <c r="K96" s="93" t="n"/>
      <c r="L96" s="93" t="n"/>
      <c r="M96" s="93" t="n"/>
      <c r="N96" s="93" t="n"/>
      <c r="O96" s="93" t="n"/>
      <c r="P96" s="94">
        <f>IFERROR(J96-M96,"")</f>
        <v/>
      </c>
      <c r="Q96" s="93" t="n"/>
      <c r="R96" s="93" t="n"/>
      <c r="S96" s="94">
        <f>IFERROR(R96-Q96,"")</f>
        <v/>
      </c>
      <c r="T96" s="93" t="n"/>
      <c r="U96" s="93" t="n"/>
      <c r="V96" s="94">
        <f>IFERROR(T96-U96,"")</f>
        <v/>
      </c>
      <c r="W96" s="93" t="n"/>
      <c r="X96" s="93" t="n"/>
      <c r="Y96" s="93" t="n"/>
      <c r="Z96" s="93" t="n"/>
      <c r="AA96" s="93" t="n"/>
      <c r="AB96" s="93" t="n"/>
      <c r="AC96" s="94">
        <f>IFERROR(W96*AB96/1000,"")</f>
        <v/>
      </c>
      <c r="AD96" s="17">
        <f>IFERROR(J96/M96,"")</f>
        <v/>
      </c>
      <c r="AE96" s="17">
        <f>IFERROR(R96/I96,"")</f>
        <v/>
      </c>
      <c r="AF96" s="17">
        <f>IFERROR(R96/O96,"")</f>
        <v/>
      </c>
      <c r="AG96" s="95">
        <f>IFERROR(G96/I96,"")</f>
        <v/>
      </c>
      <c r="AH96" s="95">
        <f>IFERROR(G96/O96,"")</f>
        <v/>
      </c>
      <c r="AI96" s="95">
        <f>IFERROR(G96/C96,"")</f>
        <v/>
      </c>
      <c r="AJ96" s="95">
        <f>IFERROR(D96/C96,"")</f>
        <v/>
      </c>
      <c r="AK96" s="6" t="n"/>
      <c r="AL96" s="6" t="n"/>
      <c r="AM96" s="6" t="n"/>
      <c r="AN96" s="6" t="n"/>
      <c r="AO96" s="96" t="n"/>
      <c r="AP96" s="97">
        <f>IFERROR(IF(AND(NOT(ISNUMBER(F96)),NOT(ISNUMBER(AO96))),"",F96+AO96),"")</f>
        <v/>
      </c>
      <c r="AQ96" s="97">
        <f>IFERROR(IF(OR(NOT(ISNUMBER(E96)),NOT(ISNUMBER(AP96))),"",E96-AP96),"")</f>
        <v/>
      </c>
      <c r="AR96" s="96" t="n"/>
      <c r="AS96" s="97">
        <f>IFERROR(IF(OR(NOT(ISNUMBER(AR96)),NOT(ISNUMBER(S96))),"",AR96-S96),"")</f>
        <v/>
      </c>
      <c r="AT96" s="45" t="n"/>
    </row>
    <row r="97" ht="15" customHeight="1" s="67">
      <c r="A97" s="6" t="n"/>
      <c r="B97" s="92" t="n"/>
      <c r="C97" s="93" t="n"/>
      <c r="D97" s="93" t="n"/>
      <c r="E97" s="93" t="n"/>
      <c r="F97" s="93" t="n"/>
      <c r="G97" s="93" t="n"/>
      <c r="H97" s="93" t="n"/>
      <c r="I97" s="93" t="n"/>
      <c r="J97" s="93" t="n"/>
      <c r="K97" s="93" t="n"/>
      <c r="L97" s="93" t="n"/>
      <c r="M97" s="93" t="n"/>
      <c r="N97" s="93" t="n"/>
      <c r="O97" s="93" t="n"/>
      <c r="P97" s="94">
        <f>IFERROR(J97-M97,"")</f>
        <v/>
      </c>
      <c r="Q97" s="93" t="n"/>
      <c r="R97" s="93" t="n"/>
      <c r="S97" s="94">
        <f>IFERROR(R97-Q97,"")</f>
        <v/>
      </c>
      <c r="T97" s="93" t="n"/>
      <c r="U97" s="93" t="n"/>
      <c r="V97" s="94">
        <f>IFERROR(T97-U97,"")</f>
        <v/>
      </c>
      <c r="W97" s="93" t="n"/>
      <c r="X97" s="93" t="n"/>
      <c r="Y97" s="93" t="n"/>
      <c r="Z97" s="93" t="n"/>
      <c r="AA97" s="93" t="n"/>
      <c r="AB97" s="93" t="n"/>
      <c r="AC97" s="94">
        <f>IFERROR(W97*AB97/1000,"")</f>
        <v/>
      </c>
      <c r="AD97" s="17">
        <f>IFERROR(J97/M97,"")</f>
        <v/>
      </c>
      <c r="AE97" s="17">
        <f>IFERROR(R97/I97,"")</f>
        <v/>
      </c>
      <c r="AF97" s="17">
        <f>IFERROR(R97/O97,"")</f>
        <v/>
      </c>
      <c r="AG97" s="95">
        <f>IFERROR(G97/I97,"")</f>
        <v/>
      </c>
      <c r="AH97" s="95">
        <f>IFERROR(G97/O97,"")</f>
        <v/>
      </c>
      <c r="AI97" s="95">
        <f>IFERROR(G97/C97,"")</f>
        <v/>
      </c>
      <c r="AJ97" s="95">
        <f>IFERROR(D97/C97,"")</f>
        <v/>
      </c>
      <c r="AK97" s="6" t="n"/>
      <c r="AL97" s="6" t="n"/>
      <c r="AM97" s="6" t="n"/>
      <c r="AN97" s="6" t="n"/>
      <c r="AO97" s="96" t="n"/>
      <c r="AP97" s="97">
        <f>IFERROR(IF(AND(NOT(ISNUMBER(F97)),NOT(ISNUMBER(AO97))),"",F97+AO97),"")</f>
        <v/>
      </c>
      <c r="AQ97" s="97">
        <f>IFERROR(IF(OR(NOT(ISNUMBER(E97)),NOT(ISNUMBER(AP97))),"",E97-AP97),"")</f>
        <v/>
      </c>
      <c r="AR97" s="96" t="n"/>
      <c r="AS97" s="97">
        <f>IFERROR(IF(OR(NOT(ISNUMBER(AR97)),NOT(ISNUMBER(S97))),"",AR97-S97),"")</f>
        <v/>
      </c>
      <c r="AT97" s="45" t="n"/>
    </row>
    <row r="98" ht="15" customHeight="1" s="67">
      <c r="A98" s="6" t="n"/>
      <c r="B98" s="92" t="n"/>
      <c r="C98" s="93" t="n"/>
      <c r="D98" s="93" t="n"/>
      <c r="E98" s="93" t="n"/>
      <c r="F98" s="93" t="n"/>
      <c r="G98" s="93" t="n"/>
      <c r="H98" s="93" t="n"/>
      <c r="I98" s="93" t="n"/>
      <c r="J98" s="93" t="n"/>
      <c r="K98" s="93" t="n"/>
      <c r="L98" s="93" t="n"/>
      <c r="M98" s="93" t="n"/>
      <c r="N98" s="93" t="n"/>
      <c r="O98" s="93" t="n"/>
      <c r="P98" s="94">
        <f>IFERROR(J98-M98,"")</f>
        <v/>
      </c>
      <c r="Q98" s="93" t="n"/>
      <c r="R98" s="93" t="n"/>
      <c r="S98" s="94">
        <f>IFERROR(R98-Q98,"")</f>
        <v/>
      </c>
      <c r="T98" s="93" t="n"/>
      <c r="U98" s="93" t="n"/>
      <c r="V98" s="94">
        <f>IFERROR(T98-U98,"")</f>
        <v/>
      </c>
      <c r="W98" s="93" t="n"/>
      <c r="X98" s="93" t="n"/>
      <c r="Y98" s="93" t="n"/>
      <c r="Z98" s="93" t="n"/>
      <c r="AA98" s="93" t="n"/>
      <c r="AB98" s="93" t="n"/>
      <c r="AC98" s="94">
        <f>IFERROR(W98*AB98/1000,"")</f>
        <v/>
      </c>
      <c r="AD98" s="17">
        <f>IFERROR(J98/M98,"")</f>
        <v/>
      </c>
      <c r="AE98" s="17">
        <f>IFERROR(R98/I98,"")</f>
        <v/>
      </c>
      <c r="AF98" s="17">
        <f>IFERROR(R98/O98,"")</f>
        <v/>
      </c>
      <c r="AG98" s="95">
        <f>IFERROR(G98/I98,"")</f>
        <v/>
      </c>
      <c r="AH98" s="95">
        <f>IFERROR(G98/O98,"")</f>
        <v/>
      </c>
      <c r="AI98" s="95">
        <f>IFERROR(G98/C98,"")</f>
        <v/>
      </c>
      <c r="AJ98" s="95">
        <f>IFERROR(D98/C98,"")</f>
        <v/>
      </c>
      <c r="AK98" s="6" t="n"/>
      <c r="AL98" s="6" t="n"/>
      <c r="AM98" s="6" t="n"/>
      <c r="AN98" s="6" t="n"/>
      <c r="AO98" s="96" t="n"/>
      <c r="AP98" s="97">
        <f>IFERROR(IF(AND(NOT(ISNUMBER(F98)),NOT(ISNUMBER(AO98))),"",F98+AO98),"")</f>
        <v/>
      </c>
      <c r="AQ98" s="97">
        <f>IFERROR(IF(OR(NOT(ISNUMBER(E98)),NOT(ISNUMBER(AP98))),"",E98-AP98),"")</f>
        <v/>
      </c>
      <c r="AR98" s="96" t="n"/>
      <c r="AS98" s="97">
        <f>IFERROR(IF(OR(NOT(ISNUMBER(AR98)),NOT(ISNUMBER(S98))),"",AR98-S98),"")</f>
        <v/>
      </c>
      <c r="AT98" s="45" t="n"/>
    </row>
    <row r="99" ht="15" customHeight="1" s="67">
      <c r="A99" s="6" t="n"/>
      <c r="B99" s="92" t="n"/>
      <c r="C99" s="93" t="n"/>
      <c r="D99" s="93" t="n"/>
      <c r="E99" s="93" t="n"/>
      <c r="F99" s="93" t="n"/>
      <c r="G99" s="93" t="n"/>
      <c r="H99" s="93" t="n"/>
      <c r="I99" s="93" t="n"/>
      <c r="J99" s="93" t="n"/>
      <c r="K99" s="93" t="n"/>
      <c r="L99" s="93" t="n"/>
      <c r="M99" s="93" t="n"/>
      <c r="N99" s="93" t="n"/>
      <c r="O99" s="93" t="n"/>
      <c r="P99" s="94">
        <f>IFERROR(J99-M99,"")</f>
        <v/>
      </c>
      <c r="Q99" s="93" t="n"/>
      <c r="R99" s="93" t="n"/>
      <c r="S99" s="94">
        <f>IFERROR(R99-Q99,"")</f>
        <v/>
      </c>
      <c r="T99" s="93" t="n"/>
      <c r="U99" s="93" t="n"/>
      <c r="V99" s="94">
        <f>IFERROR(T99-U99,"")</f>
        <v/>
      </c>
      <c r="W99" s="93" t="n"/>
      <c r="X99" s="93" t="n"/>
      <c r="Y99" s="93" t="n"/>
      <c r="Z99" s="93" t="n"/>
      <c r="AA99" s="93" t="n"/>
      <c r="AB99" s="93" t="n"/>
      <c r="AC99" s="94">
        <f>IFERROR(W99*AB99/1000,"")</f>
        <v/>
      </c>
      <c r="AD99" s="17">
        <f>IFERROR(J99/M99,"")</f>
        <v/>
      </c>
      <c r="AE99" s="17">
        <f>IFERROR(R99/I99,"")</f>
        <v/>
      </c>
      <c r="AF99" s="17">
        <f>IFERROR(R99/O99,"")</f>
        <v/>
      </c>
      <c r="AG99" s="95">
        <f>IFERROR(G99/I99,"")</f>
        <v/>
      </c>
      <c r="AH99" s="95">
        <f>IFERROR(G99/O99,"")</f>
        <v/>
      </c>
      <c r="AI99" s="95">
        <f>IFERROR(G99/C99,"")</f>
        <v/>
      </c>
      <c r="AJ99" s="95">
        <f>IFERROR(D99/C99,"")</f>
        <v/>
      </c>
      <c r="AK99" s="6" t="n"/>
      <c r="AL99" s="6" t="n"/>
      <c r="AM99" s="6" t="n"/>
      <c r="AN99" s="6" t="n"/>
      <c r="AO99" s="96" t="n"/>
      <c r="AP99" s="97">
        <f>IFERROR(IF(AND(NOT(ISNUMBER(F99)),NOT(ISNUMBER(AO99))),"",F99+AO99),"")</f>
        <v/>
      </c>
      <c r="AQ99" s="97">
        <f>IFERROR(IF(OR(NOT(ISNUMBER(E99)),NOT(ISNUMBER(AP99))),"",E99-AP99),"")</f>
        <v/>
      </c>
      <c r="AR99" s="96" t="n"/>
      <c r="AS99" s="97">
        <f>IFERROR(IF(OR(NOT(ISNUMBER(AR99)),NOT(ISNUMBER(S99))),"",AR99-S99),"")</f>
        <v/>
      </c>
      <c r="AT99" s="45" t="n"/>
    </row>
    <row r="100" ht="15" customHeight="1" s="67">
      <c r="A100" s="6" t="n"/>
      <c r="B100" s="92" t="n"/>
      <c r="C100" s="93" t="n"/>
      <c r="D100" s="93" t="n"/>
      <c r="E100" s="93" t="n"/>
      <c r="F100" s="93" t="n"/>
      <c r="G100" s="93" t="n"/>
      <c r="H100" s="93" t="n"/>
      <c r="I100" s="93" t="n"/>
      <c r="J100" s="93" t="n"/>
      <c r="K100" s="93" t="n"/>
      <c r="L100" s="93" t="n"/>
      <c r="M100" s="93" t="n"/>
      <c r="N100" s="93" t="n"/>
      <c r="O100" s="93" t="n"/>
      <c r="P100" s="94">
        <f>IFERROR(J100-M100,"")</f>
        <v/>
      </c>
      <c r="Q100" s="93" t="n"/>
      <c r="R100" s="93" t="n"/>
      <c r="S100" s="94">
        <f>IFERROR(R100-Q100,"")</f>
        <v/>
      </c>
      <c r="T100" s="93" t="n"/>
      <c r="U100" s="93" t="n"/>
      <c r="V100" s="94">
        <f>IFERROR(T100-U100,"")</f>
        <v/>
      </c>
      <c r="W100" s="93" t="n"/>
      <c r="X100" s="93" t="n"/>
      <c r="Y100" s="93" t="n"/>
      <c r="Z100" s="93" t="n"/>
      <c r="AA100" s="93" t="n"/>
      <c r="AB100" s="93" t="n"/>
      <c r="AC100" s="94">
        <f>IFERROR(W100*AB100/1000,"")</f>
        <v/>
      </c>
      <c r="AD100" s="17">
        <f>IFERROR(J100/M100,"")</f>
        <v/>
      </c>
      <c r="AE100" s="17">
        <f>IFERROR(R100/I100,"")</f>
        <v/>
      </c>
      <c r="AF100" s="17">
        <f>IFERROR(R100/O100,"")</f>
        <v/>
      </c>
      <c r="AG100" s="95">
        <f>IFERROR(G100/I100,"")</f>
        <v/>
      </c>
      <c r="AH100" s="95">
        <f>IFERROR(G100/O100,"")</f>
        <v/>
      </c>
      <c r="AI100" s="95">
        <f>IFERROR(G100/C100,"")</f>
        <v/>
      </c>
      <c r="AJ100" s="95">
        <f>IFERROR(D100/C100,"")</f>
        <v/>
      </c>
      <c r="AK100" s="6" t="n"/>
      <c r="AL100" s="6" t="n"/>
      <c r="AM100" s="6" t="n"/>
      <c r="AN100" s="6" t="n"/>
      <c r="AO100" s="96" t="n"/>
      <c r="AP100" s="97">
        <f>IFERROR(IF(AND(NOT(ISNUMBER(F100)),NOT(ISNUMBER(AO100))),"",F100+AO100),"")</f>
        <v/>
      </c>
      <c r="AQ100" s="97">
        <f>IFERROR(IF(OR(NOT(ISNUMBER(E100)),NOT(ISNUMBER(AP100))),"",E100-AP100),"")</f>
        <v/>
      </c>
      <c r="AR100" s="96" t="n"/>
      <c r="AS100" s="97">
        <f>IFERROR(IF(OR(NOT(ISNUMBER(AR100)),NOT(ISNUMBER(S100))),"",AR100-S100),"")</f>
        <v/>
      </c>
      <c r="AT100" s="45" t="n"/>
    </row>
    <row r="101" ht="15" customHeight="1" s="67">
      <c r="A101" s="6" t="n"/>
      <c r="B101" s="92" t="n"/>
      <c r="C101" s="93" t="n"/>
      <c r="D101" s="93" t="n"/>
      <c r="E101" s="93" t="n"/>
      <c r="F101" s="93" t="n"/>
      <c r="G101" s="93" t="n"/>
      <c r="H101" s="93" t="n"/>
      <c r="I101" s="93" t="n"/>
      <c r="J101" s="93" t="n"/>
      <c r="K101" s="93" t="n"/>
      <c r="L101" s="93" t="n"/>
      <c r="M101" s="93" t="n"/>
      <c r="N101" s="93" t="n"/>
      <c r="O101" s="93" t="n"/>
      <c r="P101" s="94">
        <f>IFERROR(J101-M101,"")</f>
        <v/>
      </c>
      <c r="Q101" s="93" t="n"/>
      <c r="R101" s="93" t="n"/>
      <c r="S101" s="94">
        <f>IFERROR(R101-Q101,"")</f>
        <v/>
      </c>
      <c r="T101" s="93" t="n"/>
      <c r="U101" s="93" t="n"/>
      <c r="V101" s="94">
        <f>IFERROR(T101-U101,"")</f>
        <v/>
      </c>
      <c r="W101" s="93" t="n"/>
      <c r="X101" s="93" t="n"/>
      <c r="Y101" s="93" t="n"/>
      <c r="Z101" s="93" t="n"/>
      <c r="AA101" s="93" t="n"/>
      <c r="AB101" s="93" t="n"/>
      <c r="AC101" s="94">
        <f>IFERROR(W101*AB101/1000,"")</f>
        <v/>
      </c>
      <c r="AD101" s="17">
        <f>IFERROR(J101/M101,"")</f>
        <v/>
      </c>
      <c r="AE101" s="17">
        <f>IFERROR(R101/I101,"")</f>
        <v/>
      </c>
      <c r="AF101" s="17">
        <f>IFERROR(R101/O101,"")</f>
        <v/>
      </c>
      <c r="AG101" s="95">
        <f>IFERROR(G101/I101,"")</f>
        <v/>
      </c>
      <c r="AH101" s="95">
        <f>IFERROR(G101/O101,"")</f>
        <v/>
      </c>
      <c r="AI101" s="95">
        <f>IFERROR(G101/C101,"")</f>
        <v/>
      </c>
      <c r="AJ101" s="95">
        <f>IFERROR(D101/C101,"")</f>
        <v/>
      </c>
      <c r="AK101" s="6" t="n"/>
      <c r="AL101" s="6" t="n"/>
      <c r="AM101" s="6" t="n"/>
      <c r="AN101" s="6" t="n"/>
      <c r="AO101" s="96" t="n"/>
      <c r="AP101" s="97">
        <f>IFERROR(IF(AND(NOT(ISNUMBER(F101)),NOT(ISNUMBER(AO101))),"",F101+AO101),"")</f>
        <v/>
      </c>
      <c r="AQ101" s="97">
        <f>IFERROR(IF(OR(NOT(ISNUMBER(E101)),NOT(ISNUMBER(AP101))),"",E101-AP101),"")</f>
        <v/>
      </c>
      <c r="AR101" s="96" t="n"/>
      <c r="AS101" s="97">
        <f>IFERROR(IF(OR(NOT(ISNUMBER(AR101)),NOT(ISNUMBER(S101))),"",AR101-S101),"")</f>
        <v/>
      </c>
      <c r="AT101" s="45" t="n"/>
    </row>
    <row r="102" ht="15" customHeight="1" s="67">
      <c r="A102" s="6" t="n"/>
      <c r="B102" s="92" t="n"/>
      <c r="C102" s="93" t="n"/>
      <c r="D102" s="93" t="n"/>
      <c r="E102" s="93" t="n"/>
      <c r="F102" s="93" t="n"/>
      <c r="G102" s="93" t="n"/>
      <c r="H102" s="93" t="n"/>
      <c r="I102" s="93" t="n"/>
      <c r="J102" s="93" t="n"/>
      <c r="K102" s="93" t="n"/>
      <c r="L102" s="93" t="n"/>
      <c r="M102" s="93" t="n"/>
      <c r="N102" s="93" t="n"/>
      <c r="O102" s="93" t="n"/>
      <c r="P102" s="94">
        <f>IFERROR(J102-M102,"")</f>
        <v/>
      </c>
      <c r="Q102" s="93" t="n"/>
      <c r="R102" s="93" t="n"/>
      <c r="S102" s="94">
        <f>IFERROR(R102-Q102,"")</f>
        <v/>
      </c>
      <c r="T102" s="93" t="n"/>
      <c r="U102" s="93" t="n"/>
      <c r="V102" s="94">
        <f>IFERROR(T102-U102,"")</f>
        <v/>
      </c>
      <c r="W102" s="93" t="n"/>
      <c r="X102" s="93" t="n"/>
      <c r="Y102" s="93" t="n"/>
      <c r="Z102" s="93" t="n"/>
      <c r="AA102" s="93" t="n"/>
      <c r="AB102" s="93" t="n"/>
      <c r="AC102" s="94">
        <f>IFERROR(W102*AB102/1000,"")</f>
        <v/>
      </c>
      <c r="AD102" s="17">
        <f>IFERROR(J102/M102,"")</f>
        <v/>
      </c>
      <c r="AE102" s="17">
        <f>IFERROR(R102/I102,"")</f>
        <v/>
      </c>
      <c r="AF102" s="17">
        <f>IFERROR(R102/O102,"")</f>
        <v/>
      </c>
      <c r="AG102" s="95">
        <f>IFERROR(G102/I102,"")</f>
        <v/>
      </c>
      <c r="AH102" s="95">
        <f>IFERROR(G102/O102,"")</f>
        <v/>
      </c>
      <c r="AI102" s="95">
        <f>IFERROR(G102/C102,"")</f>
        <v/>
      </c>
      <c r="AJ102" s="95">
        <f>IFERROR(D102/C102,"")</f>
        <v/>
      </c>
      <c r="AK102" s="6" t="n"/>
      <c r="AL102" s="6" t="n"/>
      <c r="AM102" s="6" t="n"/>
      <c r="AN102" s="6" t="n"/>
      <c r="AO102" s="96" t="n"/>
      <c r="AP102" s="97">
        <f>IFERROR(IF(AND(NOT(ISNUMBER(F102)),NOT(ISNUMBER(AO102))),"",F102+AO102),"")</f>
        <v/>
      </c>
      <c r="AQ102" s="97">
        <f>IFERROR(IF(OR(NOT(ISNUMBER(E102)),NOT(ISNUMBER(AP102))),"",E102-AP102),"")</f>
        <v/>
      </c>
      <c r="AR102" s="96" t="n"/>
      <c r="AS102" s="97">
        <f>IFERROR(IF(OR(NOT(ISNUMBER(AR102)),NOT(ISNUMBER(S102))),"",AR102-S102),"")</f>
        <v/>
      </c>
      <c r="AT102" s="45" t="n"/>
    </row>
    <row r="103" ht="15" customHeight="1" s="67">
      <c r="A103" s="6" t="n"/>
      <c r="B103" s="92" t="n"/>
      <c r="C103" s="93" t="n"/>
      <c r="D103" s="93" t="n"/>
      <c r="E103" s="93" t="n"/>
      <c r="F103" s="93" t="n"/>
      <c r="G103" s="93" t="n"/>
      <c r="H103" s="93" t="n"/>
      <c r="I103" s="93" t="n"/>
      <c r="J103" s="93" t="n"/>
      <c r="K103" s="93" t="n"/>
      <c r="L103" s="93" t="n"/>
      <c r="M103" s="93" t="n"/>
      <c r="N103" s="93" t="n"/>
      <c r="O103" s="93" t="n"/>
      <c r="P103" s="94">
        <f>IFERROR(J103-M103,"")</f>
        <v/>
      </c>
      <c r="Q103" s="93" t="n"/>
      <c r="R103" s="93" t="n"/>
      <c r="S103" s="94">
        <f>IFERROR(R103-Q103,"")</f>
        <v/>
      </c>
      <c r="T103" s="93" t="n"/>
      <c r="U103" s="93" t="n"/>
      <c r="V103" s="94">
        <f>IFERROR(T103-U103,"")</f>
        <v/>
      </c>
      <c r="W103" s="93" t="n"/>
      <c r="X103" s="93" t="n"/>
      <c r="Y103" s="93" t="n"/>
      <c r="Z103" s="93" t="n"/>
      <c r="AA103" s="93" t="n"/>
      <c r="AB103" s="93" t="n"/>
      <c r="AC103" s="94">
        <f>IFERROR(W103*AB103/1000,"")</f>
        <v/>
      </c>
      <c r="AD103" s="17">
        <f>IFERROR(J103/M103,"")</f>
        <v/>
      </c>
      <c r="AE103" s="17">
        <f>IFERROR(R103/I103,"")</f>
        <v/>
      </c>
      <c r="AF103" s="17">
        <f>IFERROR(R103/O103,"")</f>
        <v/>
      </c>
      <c r="AG103" s="95">
        <f>IFERROR(G103/I103,"")</f>
        <v/>
      </c>
      <c r="AH103" s="95">
        <f>IFERROR(G103/O103,"")</f>
        <v/>
      </c>
      <c r="AI103" s="95">
        <f>IFERROR(G103/C103,"")</f>
        <v/>
      </c>
      <c r="AJ103" s="95">
        <f>IFERROR(D103/C103,"")</f>
        <v/>
      </c>
      <c r="AK103" s="6" t="n"/>
      <c r="AL103" s="6" t="n"/>
      <c r="AM103" s="6" t="n"/>
      <c r="AN103" s="6" t="n"/>
      <c r="AO103" s="96" t="n"/>
      <c r="AP103" s="97">
        <f>IFERROR(IF(AND(NOT(ISNUMBER(F103)),NOT(ISNUMBER(AO103))),"",F103+AO103),"")</f>
        <v/>
      </c>
      <c r="AQ103" s="97">
        <f>IFERROR(IF(OR(NOT(ISNUMBER(E103)),NOT(ISNUMBER(AP103))),"",E103-AP103),"")</f>
        <v/>
      </c>
      <c r="AR103" s="96" t="n"/>
      <c r="AS103" s="97">
        <f>IFERROR(IF(OR(NOT(ISNUMBER(AR103)),NOT(ISNUMBER(S103))),"",AR103-S103),"")</f>
        <v/>
      </c>
      <c r="AT103" s="45" t="n"/>
    </row>
    <row r="104" ht="15" customHeight="1" s="67">
      <c r="A104" s="6" t="n"/>
      <c r="B104" s="92" t="n"/>
      <c r="C104" s="93" t="n"/>
      <c r="D104" s="93" t="n"/>
      <c r="E104" s="93" t="n"/>
      <c r="F104" s="93" t="n"/>
      <c r="G104" s="93" t="n"/>
      <c r="H104" s="93" t="n"/>
      <c r="I104" s="93" t="n"/>
      <c r="J104" s="93" t="n"/>
      <c r="K104" s="93" t="n"/>
      <c r="L104" s="93" t="n"/>
      <c r="M104" s="93" t="n"/>
      <c r="N104" s="93" t="n"/>
      <c r="O104" s="93" t="n"/>
      <c r="P104" s="94">
        <f>IFERROR(J104-M104,"")</f>
        <v/>
      </c>
      <c r="Q104" s="93" t="n"/>
      <c r="R104" s="93" t="n"/>
      <c r="S104" s="94">
        <f>IFERROR(R104-Q104,"")</f>
        <v/>
      </c>
      <c r="T104" s="93" t="n"/>
      <c r="U104" s="93" t="n"/>
      <c r="V104" s="94">
        <f>IFERROR(T104-U104,"")</f>
        <v/>
      </c>
      <c r="W104" s="93" t="n"/>
      <c r="X104" s="93" t="n"/>
      <c r="Y104" s="93" t="n"/>
      <c r="Z104" s="93" t="n"/>
      <c r="AA104" s="93" t="n"/>
      <c r="AB104" s="93" t="n"/>
      <c r="AC104" s="94">
        <f>IFERROR(W104*AB104/1000,"")</f>
        <v/>
      </c>
      <c r="AD104" s="17">
        <f>IFERROR(J104/M104,"")</f>
        <v/>
      </c>
      <c r="AE104" s="17">
        <f>IFERROR(R104/I104,"")</f>
        <v/>
      </c>
      <c r="AF104" s="17">
        <f>IFERROR(R104/O104,"")</f>
        <v/>
      </c>
      <c r="AG104" s="95">
        <f>IFERROR(G104/I104,"")</f>
        <v/>
      </c>
      <c r="AH104" s="95">
        <f>IFERROR(G104/O104,"")</f>
        <v/>
      </c>
      <c r="AI104" s="95">
        <f>IFERROR(G104/C104,"")</f>
        <v/>
      </c>
      <c r="AJ104" s="95">
        <f>IFERROR(D104/C104,"")</f>
        <v/>
      </c>
      <c r="AK104" s="6" t="n"/>
      <c r="AL104" s="6" t="n"/>
      <c r="AM104" s="6" t="n"/>
      <c r="AN104" s="6" t="n"/>
      <c r="AO104" s="96" t="n"/>
      <c r="AP104" s="97">
        <f>IFERROR(IF(AND(NOT(ISNUMBER(F104)),NOT(ISNUMBER(AO104))),"",F104+AO104),"")</f>
        <v/>
      </c>
      <c r="AQ104" s="97">
        <f>IFERROR(IF(OR(NOT(ISNUMBER(E104)),NOT(ISNUMBER(AP104))),"",E104-AP104),"")</f>
        <v/>
      </c>
      <c r="AR104" s="96" t="n"/>
      <c r="AS104" s="97">
        <f>IFERROR(IF(OR(NOT(ISNUMBER(AR104)),NOT(ISNUMBER(S104))),"",AR104-S104),"")</f>
        <v/>
      </c>
      <c r="AT104" s="45" t="n"/>
    </row>
    <row r="105" ht="15" customHeight="1" s="67">
      <c r="A105" s="6" t="n"/>
      <c r="B105" s="92" t="n"/>
      <c r="C105" s="93" t="n"/>
      <c r="D105" s="93" t="n"/>
      <c r="E105" s="93" t="n"/>
      <c r="F105" s="93" t="n"/>
      <c r="G105" s="93" t="n"/>
      <c r="H105" s="93" t="n"/>
      <c r="I105" s="93" t="n"/>
      <c r="J105" s="93" t="n"/>
      <c r="K105" s="93" t="n"/>
      <c r="L105" s="93" t="n"/>
      <c r="M105" s="93" t="n"/>
      <c r="N105" s="93" t="n"/>
      <c r="O105" s="93" t="n"/>
      <c r="P105" s="94">
        <f>IFERROR(J105-M105,"")</f>
        <v/>
      </c>
      <c r="Q105" s="93" t="n"/>
      <c r="R105" s="93" t="n"/>
      <c r="S105" s="94">
        <f>IFERROR(R105-Q105,"")</f>
        <v/>
      </c>
      <c r="T105" s="93" t="n"/>
      <c r="U105" s="93" t="n"/>
      <c r="V105" s="94">
        <f>IFERROR(T105-U105,"")</f>
        <v/>
      </c>
      <c r="W105" s="93" t="n"/>
      <c r="X105" s="93" t="n"/>
      <c r="Y105" s="93" t="n"/>
      <c r="Z105" s="93" t="n"/>
      <c r="AA105" s="93" t="n"/>
      <c r="AB105" s="93" t="n"/>
      <c r="AC105" s="94">
        <f>IFERROR(W105*AB105/1000,"")</f>
        <v/>
      </c>
      <c r="AD105" s="17">
        <f>IFERROR(J105/M105,"")</f>
        <v/>
      </c>
      <c r="AE105" s="17">
        <f>IFERROR(R105/I105,"")</f>
        <v/>
      </c>
      <c r="AF105" s="17">
        <f>IFERROR(R105/O105,"")</f>
        <v/>
      </c>
      <c r="AG105" s="95">
        <f>IFERROR(G105/I105,"")</f>
        <v/>
      </c>
      <c r="AH105" s="95">
        <f>IFERROR(G105/O105,"")</f>
        <v/>
      </c>
      <c r="AI105" s="95">
        <f>IFERROR(G105/C105,"")</f>
        <v/>
      </c>
      <c r="AJ105" s="95">
        <f>IFERROR(D105/C105,"")</f>
        <v/>
      </c>
      <c r="AK105" s="6" t="n"/>
      <c r="AL105" s="6" t="n"/>
      <c r="AM105" s="6" t="n"/>
      <c r="AN105" s="6" t="n"/>
      <c r="AO105" s="96" t="n"/>
      <c r="AP105" s="97">
        <f>IFERROR(IF(AND(NOT(ISNUMBER(F105)),NOT(ISNUMBER(AO105))),"",F105+AO105),"")</f>
        <v/>
      </c>
      <c r="AQ105" s="97">
        <f>IFERROR(IF(OR(NOT(ISNUMBER(E105)),NOT(ISNUMBER(AP105))),"",E105-AP105),"")</f>
        <v/>
      </c>
      <c r="AR105" s="96" t="n"/>
      <c r="AS105" s="97">
        <f>IFERROR(IF(OR(NOT(ISNUMBER(AR105)),NOT(ISNUMBER(S105))),"",AR105-S105),"")</f>
        <v/>
      </c>
      <c r="AT105" s="45" t="n"/>
    </row>
    <row r="106" ht="15" customHeight="1" s="67">
      <c r="A106" s="6" t="n"/>
      <c r="B106" s="92" t="n"/>
      <c r="C106" s="93" t="n"/>
      <c r="D106" s="93" t="n"/>
      <c r="E106" s="93" t="n"/>
      <c r="F106" s="93" t="n"/>
      <c r="G106" s="93" t="n"/>
      <c r="H106" s="93" t="n"/>
      <c r="I106" s="93" t="n"/>
      <c r="J106" s="93" t="n"/>
      <c r="K106" s="93" t="n"/>
      <c r="L106" s="93" t="n"/>
      <c r="M106" s="93" t="n"/>
      <c r="N106" s="93" t="n"/>
      <c r="O106" s="93" t="n"/>
      <c r="P106" s="94">
        <f>IFERROR(J106-M106,"")</f>
        <v/>
      </c>
      <c r="Q106" s="93" t="n"/>
      <c r="R106" s="93" t="n"/>
      <c r="S106" s="94">
        <f>IFERROR(R106-Q106,"")</f>
        <v/>
      </c>
      <c r="T106" s="93" t="n"/>
      <c r="U106" s="93" t="n"/>
      <c r="V106" s="94">
        <f>IFERROR(T106-U106,"")</f>
        <v/>
      </c>
      <c r="W106" s="93" t="n"/>
      <c r="X106" s="93" t="n"/>
      <c r="Y106" s="93" t="n"/>
      <c r="Z106" s="93" t="n"/>
      <c r="AA106" s="93" t="n"/>
      <c r="AB106" s="93" t="n"/>
      <c r="AC106" s="94">
        <f>IFERROR(W106*AB106/1000,"")</f>
        <v/>
      </c>
      <c r="AD106" s="17">
        <f>IFERROR(J106/M106,"")</f>
        <v/>
      </c>
      <c r="AE106" s="17">
        <f>IFERROR(R106/I106,"")</f>
        <v/>
      </c>
      <c r="AF106" s="17">
        <f>IFERROR(R106/O106,"")</f>
        <v/>
      </c>
      <c r="AG106" s="95">
        <f>IFERROR(G106/I106,"")</f>
        <v/>
      </c>
      <c r="AH106" s="95">
        <f>IFERROR(G106/O106,"")</f>
        <v/>
      </c>
      <c r="AI106" s="95">
        <f>IFERROR(G106/C106,"")</f>
        <v/>
      </c>
      <c r="AJ106" s="95">
        <f>IFERROR(D106/C106,"")</f>
        <v/>
      </c>
      <c r="AK106" s="6" t="n"/>
      <c r="AL106" s="6" t="n"/>
      <c r="AM106" s="6" t="n"/>
      <c r="AN106" s="6" t="n"/>
      <c r="AO106" s="96" t="n"/>
      <c r="AP106" s="97">
        <f>IFERROR(IF(AND(NOT(ISNUMBER(F106)),NOT(ISNUMBER(AO106))),"",F106+AO106),"")</f>
        <v/>
      </c>
      <c r="AQ106" s="97">
        <f>IFERROR(IF(OR(NOT(ISNUMBER(E106)),NOT(ISNUMBER(AP106))),"",E106-AP106),"")</f>
        <v/>
      </c>
      <c r="AR106" s="96" t="n"/>
      <c r="AS106" s="97">
        <f>IFERROR(IF(OR(NOT(ISNUMBER(AR106)),NOT(ISNUMBER(S106))),"",AR106-S106),"")</f>
        <v/>
      </c>
      <c r="AT106" s="45" t="n"/>
    </row>
    <row r="107" ht="15" customHeight="1" s="67">
      <c r="A107" s="6" t="n"/>
      <c r="B107" s="92" t="n"/>
      <c r="C107" s="93" t="n"/>
      <c r="D107" s="93" t="n"/>
      <c r="E107" s="93" t="n"/>
      <c r="F107" s="93" t="n"/>
      <c r="G107" s="93" t="n"/>
      <c r="H107" s="93" t="n"/>
      <c r="I107" s="93" t="n"/>
      <c r="J107" s="93" t="n"/>
      <c r="K107" s="93" t="n"/>
      <c r="L107" s="93" t="n"/>
      <c r="M107" s="93" t="n"/>
      <c r="N107" s="93" t="n"/>
      <c r="O107" s="93" t="n"/>
      <c r="P107" s="94">
        <f>IFERROR(J107-M107,"")</f>
        <v/>
      </c>
      <c r="Q107" s="93" t="n"/>
      <c r="R107" s="93" t="n"/>
      <c r="S107" s="94">
        <f>IFERROR(R107-Q107,"")</f>
        <v/>
      </c>
      <c r="T107" s="93" t="n"/>
      <c r="U107" s="93" t="n"/>
      <c r="V107" s="94">
        <f>IFERROR(T107-U107,"")</f>
        <v/>
      </c>
      <c r="W107" s="93" t="n"/>
      <c r="X107" s="93" t="n"/>
      <c r="Y107" s="93" t="n"/>
      <c r="Z107" s="93" t="n"/>
      <c r="AA107" s="93" t="n"/>
      <c r="AB107" s="93" t="n"/>
      <c r="AC107" s="94">
        <f>IFERROR(W107*AB107/1000,"")</f>
        <v/>
      </c>
      <c r="AD107" s="17">
        <f>IFERROR(J107/M107,"")</f>
        <v/>
      </c>
      <c r="AE107" s="17">
        <f>IFERROR(R107/I107,"")</f>
        <v/>
      </c>
      <c r="AF107" s="17">
        <f>IFERROR(R107/O107,"")</f>
        <v/>
      </c>
      <c r="AG107" s="95">
        <f>IFERROR(G107/I107,"")</f>
        <v/>
      </c>
      <c r="AH107" s="95">
        <f>IFERROR(G107/O107,"")</f>
        <v/>
      </c>
      <c r="AI107" s="95">
        <f>IFERROR(G107/C107,"")</f>
        <v/>
      </c>
      <c r="AJ107" s="95">
        <f>IFERROR(D107/C107,"")</f>
        <v/>
      </c>
      <c r="AK107" s="6" t="n"/>
      <c r="AL107" s="6" t="n"/>
      <c r="AM107" s="6" t="n"/>
      <c r="AN107" s="6" t="n"/>
      <c r="AO107" s="96" t="n"/>
      <c r="AP107" s="97">
        <f>IFERROR(IF(AND(NOT(ISNUMBER(F107)),NOT(ISNUMBER(AO107))),"",F107+AO107),"")</f>
        <v/>
      </c>
      <c r="AQ107" s="97">
        <f>IFERROR(IF(OR(NOT(ISNUMBER(E107)),NOT(ISNUMBER(AP107))),"",E107-AP107),"")</f>
        <v/>
      </c>
      <c r="AR107" s="96" t="n"/>
      <c r="AS107" s="97">
        <f>IFERROR(IF(OR(NOT(ISNUMBER(AR107)),NOT(ISNUMBER(S107))),"",AR107-S107),"")</f>
        <v/>
      </c>
      <c r="AT107" s="45" t="n"/>
    </row>
    <row r="108" ht="15" customHeight="1" s="67">
      <c r="A108" s="6" t="n"/>
      <c r="B108" s="92" t="n"/>
      <c r="C108" s="93" t="n"/>
      <c r="D108" s="93" t="n"/>
      <c r="E108" s="93" t="n"/>
      <c r="F108" s="93" t="n"/>
      <c r="G108" s="93" t="n"/>
      <c r="H108" s="93" t="n"/>
      <c r="I108" s="93" t="n"/>
      <c r="J108" s="93" t="n"/>
      <c r="K108" s="93" t="n"/>
      <c r="L108" s="93" t="n"/>
      <c r="M108" s="93" t="n"/>
      <c r="N108" s="93" t="n"/>
      <c r="O108" s="93" t="n"/>
      <c r="P108" s="94">
        <f>IFERROR(J108-M108,"")</f>
        <v/>
      </c>
      <c r="Q108" s="93" t="n"/>
      <c r="R108" s="93" t="n"/>
      <c r="S108" s="94">
        <f>IFERROR(R108-Q108,"")</f>
        <v/>
      </c>
      <c r="T108" s="93" t="n"/>
      <c r="U108" s="93" t="n"/>
      <c r="V108" s="94">
        <f>IFERROR(T108-U108,"")</f>
        <v/>
      </c>
      <c r="W108" s="93" t="n"/>
      <c r="X108" s="93" t="n"/>
      <c r="Y108" s="93" t="n"/>
      <c r="Z108" s="93" t="n"/>
      <c r="AA108" s="93" t="n"/>
      <c r="AB108" s="93" t="n"/>
      <c r="AC108" s="94">
        <f>IFERROR(W108*AB108/1000,"")</f>
        <v/>
      </c>
      <c r="AD108" s="17">
        <f>IFERROR(J108/M108,"")</f>
        <v/>
      </c>
      <c r="AE108" s="17">
        <f>IFERROR(R108/I108,"")</f>
        <v/>
      </c>
      <c r="AF108" s="17">
        <f>IFERROR(R108/O108,"")</f>
        <v/>
      </c>
      <c r="AG108" s="95">
        <f>IFERROR(G108/I108,"")</f>
        <v/>
      </c>
      <c r="AH108" s="95">
        <f>IFERROR(G108/O108,"")</f>
        <v/>
      </c>
      <c r="AI108" s="95">
        <f>IFERROR(G108/C108,"")</f>
        <v/>
      </c>
      <c r="AJ108" s="95">
        <f>IFERROR(D108/C108,"")</f>
        <v/>
      </c>
      <c r="AK108" s="6" t="n"/>
      <c r="AL108" s="6" t="n"/>
      <c r="AM108" s="6" t="n"/>
      <c r="AN108" s="6" t="n"/>
      <c r="AO108" s="96" t="n"/>
      <c r="AP108" s="97">
        <f>IFERROR(IF(AND(NOT(ISNUMBER(F108)),NOT(ISNUMBER(AO108))),"",F108+AO108),"")</f>
        <v/>
      </c>
      <c r="AQ108" s="97">
        <f>IFERROR(IF(OR(NOT(ISNUMBER(E108)),NOT(ISNUMBER(AP108))),"",E108-AP108),"")</f>
        <v/>
      </c>
      <c r="AR108" s="96" t="n"/>
      <c r="AS108" s="97">
        <f>IFERROR(IF(OR(NOT(ISNUMBER(AR108)),NOT(ISNUMBER(S108))),"",AR108-S108),"")</f>
        <v/>
      </c>
      <c r="AT108" s="45" t="n"/>
    </row>
    <row r="109" ht="15" customHeight="1" s="67">
      <c r="A109" s="6" t="n"/>
      <c r="B109" s="92" t="n"/>
      <c r="C109" s="93" t="n"/>
      <c r="D109" s="93" t="n"/>
      <c r="E109" s="93" t="n"/>
      <c r="F109" s="93" t="n"/>
      <c r="G109" s="93" t="n"/>
      <c r="H109" s="93" t="n"/>
      <c r="I109" s="93" t="n"/>
      <c r="J109" s="93" t="n"/>
      <c r="K109" s="93" t="n"/>
      <c r="L109" s="93" t="n"/>
      <c r="M109" s="93" t="n"/>
      <c r="N109" s="93" t="n"/>
      <c r="O109" s="93" t="n"/>
      <c r="P109" s="94">
        <f>IFERROR(J109-M109,"")</f>
        <v/>
      </c>
      <c r="Q109" s="93" t="n"/>
      <c r="R109" s="93" t="n"/>
      <c r="S109" s="94">
        <f>IFERROR(R109-Q109,"")</f>
        <v/>
      </c>
      <c r="T109" s="93" t="n"/>
      <c r="U109" s="93" t="n"/>
      <c r="V109" s="94">
        <f>IFERROR(T109-U109,"")</f>
        <v/>
      </c>
      <c r="W109" s="93" t="n"/>
      <c r="X109" s="93" t="n"/>
      <c r="Y109" s="93" t="n"/>
      <c r="Z109" s="93" t="n"/>
      <c r="AA109" s="93" t="n"/>
      <c r="AB109" s="93" t="n"/>
      <c r="AC109" s="94">
        <f>IFERROR(W109*AB109/1000,"")</f>
        <v/>
      </c>
      <c r="AD109" s="17">
        <f>IFERROR(J109/M109,"")</f>
        <v/>
      </c>
      <c r="AE109" s="17">
        <f>IFERROR(R109/I109,"")</f>
        <v/>
      </c>
      <c r="AF109" s="17">
        <f>IFERROR(R109/O109,"")</f>
        <v/>
      </c>
      <c r="AG109" s="95">
        <f>IFERROR(G109/I109,"")</f>
        <v/>
      </c>
      <c r="AH109" s="95">
        <f>IFERROR(G109/O109,"")</f>
        <v/>
      </c>
      <c r="AI109" s="95">
        <f>IFERROR(G109/C109,"")</f>
        <v/>
      </c>
      <c r="AJ109" s="95">
        <f>IFERROR(D109/C109,"")</f>
        <v/>
      </c>
      <c r="AK109" s="6" t="n"/>
      <c r="AL109" s="6" t="n"/>
      <c r="AM109" s="6" t="n"/>
      <c r="AN109" s="6" t="n"/>
      <c r="AO109" s="96" t="n"/>
      <c r="AP109" s="97">
        <f>IFERROR(IF(AND(NOT(ISNUMBER(F109)),NOT(ISNUMBER(AO109))),"",F109+AO109),"")</f>
        <v/>
      </c>
      <c r="AQ109" s="97">
        <f>IFERROR(IF(OR(NOT(ISNUMBER(E109)),NOT(ISNUMBER(AP109))),"",E109-AP109),"")</f>
        <v/>
      </c>
      <c r="AR109" s="96" t="n"/>
      <c r="AS109" s="97">
        <f>IFERROR(IF(OR(NOT(ISNUMBER(AR109)),NOT(ISNUMBER(S109))),"",AR109-S109),"")</f>
        <v/>
      </c>
      <c r="AT109" s="45" t="n"/>
    </row>
    <row r="110" ht="15" customHeight="1" s="67">
      <c r="A110" s="6" t="n"/>
      <c r="B110" s="92" t="n"/>
      <c r="C110" s="93" t="n"/>
      <c r="D110" s="93" t="n"/>
      <c r="E110" s="93" t="n"/>
      <c r="F110" s="93" t="n"/>
      <c r="G110" s="93" t="n"/>
      <c r="H110" s="93" t="n"/>
      <c r="I110" s="93" t="n"/>
      <c r="J110" s="93" t="n"/>
      <c r="K110" s="93" t="n"/>
      <c r="L110" s="93" t="n"/>
      <c r="M110" s="93" t="n"/>
      <c r="N110" s="93" t="n"/>
      <c r="O110" s="93" t="n"/>
      <c r="P110" s="94">
        <f>IFERROR(J110-M110,"")</f>
        <v/>
      </c>
      <c r="Q110" s="93" t="n"/>
      <c r="R110" s="93" t="n"/>
      <c r="S110" s="94">
        <f>IFERROR(R110-Q110,"")</f>
        <v/>
      </c>
      <c r="T110" s="93" t="n"/>
      <c r="U110" s="93" t="n"/>
      <c r="V110" s="94">
        <f>IFERROR(T110-U110,"")</f>
        <v/>
      </c>
      <c r="W110" s="93" t="n"/>
      <c r="X110" s="93" t="n"/>
      <c r="Y110" s="93" t="n"/>
      <c r="Z110" s="93" t="n"/>
      <c r="AA110" s="93" t="n"/>
      <c r="AB110" s="93" t="n"/>
      <c r="AC110" s="94">
        <f>IFERROR(W110*AB110/1000,"")</f>
        <v/>
      </c>
      <c r="AD110" s="17">
        <f>IFERROR(J110/M110,"")</f>
        <v/>
      </c>
      <c r="AE110" s="17">
        <f>IFERROR(R110/I110,"")</f>
        <v/>
      </c>
      <c r="AF110" s="17">
        <f>IFERROR(R110/O110,"")</f>
        <v/>
      </c>
      <c r="AG110" s="95">
        <f>IFERROR(G110/I110,"")</f>
        <v/>
      </c>
      <c r="AH110" s="95">
        <f>IFERROR(G110/O110,"")</f>
        <v/>
      </c>
      <c r="AI110" s="95">
        <f>IFERROR(G110/C110,"")</f>
        <v/>
      </c>
      <c r="AJ110" s="95">
        <f>IFERROR(D110/C110,"")</f>
        <v/>
      </c>
      <c r="AK110" s="6" t="n"/>
      <c r="AL110" s="6" t="n"/>
      <c r="AM110" s="6" t="n"/>
      <c r="AN110" s="6" t="n"/>
      <c r="AO110" s="96" t="n"/>
      <c r="AP110" s="97">
        <f>IFERROR(IF(AND(NOT(ISNUMBER(F110)),NOT(ISNUMBER(AO110))),"",F110+AO110),"")</f>
        <v/>
      </c>
      <c r="AQ110" s="97">
        <f>IFERROR(IF(OR(NOT(ISNUMBER(E110)),NOT(ISNUMBER(AP110))),"",E110-AP110),"")</f>
        <v/>
      </c>
      <c r="AR110" s="96" t="n"/>
      <c r="AS110" s="97">
        <f>IFERROR(IF(OR(NOT(ISNUMBER(AR110)),NOT(ISNUMBER(S110))),"",AR110-S110),"")</f>
        <v/>
      </c>
      <c r="AT110" s="45" t="n"/>
    </row>
    <row r="111" ht="15" customHeight="1" s="67">
      <c r="A111" s="6" t="n"/>
      <c r="B111" s="92" t="n"/>
      <c r="C111" s="93" t="n"/>
      <c r="D111" s="93" t="n"/>
      <c r="E111" s="93" t="n"/>
      <c r="F111" s="93" t="n"/>
      <c r="G111" s="93" t="n"/>
      <c r="H111" s="93" t="n"/>
      <c r="I111" s="93" t="n"/>
      <c r="J111" s="93" t="n"/>
      <c r="K111" s="93" t="n"/>
      <c r="L111" s="93" t="n"/>
      <c r="M111" s="93" t="n"/>
      <c r="N111" s="93" t="n"/>
      <c r="O111" s="93" t="n"/>
      <c r="P111" s="94">
        <f>IFERROR(J111-M111,"")</f>
        <v/>
      </c>
      <c r="Q111" s="93" t="n"/>
      <c r="R111" s="93" t="n"/>
      <c r="S111" s="94">
        <f>IFERROR(R111-Q111,"")</f>
        <v/>
      </c>
      <c r="T111" s="93" t="n"/>
      <c r="U111" s="93" t="n"/>
      <c r="V111" s="94">
        <f>IFERROR(T111-U111,"")</f>
        <v/>
      </c>
      <c r="W111" s="93" t="n"/>
      <c r="X111" s="93" t="n"/>
      <c r="Y111" s="93" t="n"/>
      <c r="Z111" s="93" t="n"/>
      <c r="AA111" s="93" t="n"/>
      <c r="AB111" s="93" t="n"/>
      <c r="AC111" s="94">
        <f>IFERROR(W111*AB111/1000,"")</f>
        <v/>
      </c>
      <c r="AD111" s="17">
        <f>IFERROR(J111/M111,"")</f>
        <v/>
      </c>
      <c r="AE111" s="17">
        <f>IFERROR(R111/I111,"")</f>
        <v/>
      </c>
      <c r="AF111" s="17">
        <f>IFERROR(R111/O111,"")</f>
        <v/>
      </c>
      <c r="AG111" s="95">
        <f>IFERROR(G111/I111,"")</f>
        <v/>
      </c>
      <c r="AH111" s="95">
        <f>IFERROR(G111/O111,"")</f>
        <v/>
      </c>
      <c r="AI111" s="95">
        <f>IFERROR(G111/C111,"")</f>
        <v/>
      </c>
      <c r="AJ111" s="95">
        <f>IFERROR(D111/C111,"")</f>
        <v/>
      </c>
      <c r="AK111" s="6" t="n"/>
      <c r="AL111" s="6" t="n"/>
      <c r="AM111" s="6" t="n"/>
      <c r="AN111" s="6" t="n"/>
      <c r="AO111" s="96" t="n"/>
      <c r="AP111" s="97">
        <f>IFERROR(IF(AND(NOT(ISNUMBER(F111)),NOT(ISNUMBER(AO111))),"",F111+AO111),"")</f>
        <v/>
      </c>
      <c r="AQ111" s="97">
        <f>IFERROR(IF(OR(NOT(ISNUMBER(E111)),NOT(ISNUMBER(AP111))),"",E111-AP111),"")</f>
        <v/>
      </c>
      <c r="AR111" s="96" t="n"/>
      <c r="AS111" s="97">
        <f>IFERROR(IF(OR(NOT(ISNUMBER(AR111)),NOT(ISNUMBER(S111))),"",AR111-S111),"")</f>
        <v/>
      </c>
      <c r="AT111" s="45" t="n"/>
    </row>
    <row r="112" ht="15" customHeight="1" s="67">
      <c r="A112" s="6" t="n"/>
      <c r="B112" s="92" t="n"/>
      <c r="C112" s="93" t="n"/>
      <c r="D112" s="93" t="n"/>
      <c r="E112" s="93" t="n"/>
      <c r="F112" s="93" t="n"/>
      <c r="G112" s="93" t="n"/>
      <c r="H112" s="93" t="n"/>
      <c r="I112" s="93" t="n"/>
      <c r="J112" s="93" t="n"/>
      <c r="K112" s="93" t="n"/>
      <c r="L112" s="93" t="n"/>
      <c r="M112" s="93" t="n"/>
      <c r="N112" s="93" t="n"/>
      <c r="O112" s="93" t="n"/>
      <c r="P112" s="94">
        <f>IFERROR(J112-M112,"")</f>
        <v/>
      </c>
      <c r="Q112" s="93" t="n"/>
      <c r="R112" s="93" t="n"/>
      <c r="S112" s="94">
        <f>IFERROR(R112-Q112,"")</f>
        <v/>
      </c>
      <c r="T112" s="93" t="n"/>
      <c r="U112" s="93" t="n"/>
      <c r="V112" s="94">
        <f>IFERROR(T112-U112,"")</f>
        <v/>
      </c>
      <c r="W112" s="93" t="n"/>
      <c r="X112" s="93" t="n"/>
      <c r="Y112" s="93" t="n"/>
      <c r="Z112" s="93" t="n"/>
      <c r="AA112" s="93" t="n"/>
      <c r="AB112" s="93" t="n"/>
      <c r="AC112" s="94">
        <f>IFERROR(W112*AB112/1000,"")</f>
        <v/>
      </c>
      <c r="AD112" s="17">
        <f>IFERROR(J112/M112,"")</f>
        <v/>
      </c>
      <c r="AE112" s="17">
        <f>IFERROR(R112/I112,"")</f>
        <v/>
      </c>
      <c r="AF112" s="17">
        <f>IFERROR(R112/O112,"")</f>
        <v/>
      </c>
      <c r="AG112" s="95">
        <f>IFERROR(G112/I112,"")</f>
        <v/>
      </c>
      <c r="AH112" s="95">
        <f>IFERROR(G112/O112,"")</f>
        <v/>
      </c>
      <c r="AI112" s="95">
        <f>IFERROR(G112/C112,"")</f>
        <v/>
      </c>
      <c r="AJ112" s="95">
        <f>IFERROR(D112/C112,"")</f>
        <v/>
      </c>
      <c r="AK112" s="6" t="n"/>
      <c r="AL112" s="6" t="n"/>
      <c r="AM112" s="6" t="n"/>
      <c r="AN112" s="6" t="n"/>
      <c r="AO112" s="96" t="n"/>
      <c r="AP112" s="97">
        <f>IFERROR(IF(AND(NOT(ISNUMBER(F112)),NOT(ISNUMBER(AO112))),"",F112+AO112),"")</f>
        <v/>
      </c>
      <c r="AQ112" s="97">
        <f>IFERROR(IF(OR(NOT(ISNUMBER(E112)),NOT(ISNUMBER(AP112))),"",E112-AP112),"")</f>
        <v/>
      </c>
      <c r="AR112" s="96" t="n"/>
      <c r="AS112" s="97">
        <f>IFERROR(IF(OR(NOT(ISNUMBER(AR112)),NOT(ISNUMBER(S112))),"",AR112-S112),"")</f>
        <v/>
      </c>
      <c r="AT112" s="45" t="n"/>
    </row>
    <row r="113" ht="15" customHeight="1" s="67">
      <c r="A113" s="6" t="n"/>
      <c r="B113" s="92" t="n"/>
      <c r="C113" s="93" t="n"/>
      <c r="D113" s="93" t="n"/>
      <c r="E113" s="93" t="n"/>
      <c r="F113" s="93" t="n"/>
      <c r="G113" s="93" t="n"/>
      <c r="H113" s="93" t="n"/>
      <c r="I113" s="93" t="n"/>
      <c r="J113" s="93" t="n"/>
      <c r="K113" s="93" t="n"/>
      <c r="L113" s="93" t="n"/>
      <c r="M113" s="93" t="n"/>
      <c r="N113" s="93" t="n"/>
      <c r="O113" s="93" t="n"/>
      <c r="P113" s="94">
        <f>IFERROR(J113-M113,"")</f>
        <v/>
      </c>
      <c r="Q113" s="93" t="n"/>
      <c r="R113" s="93" t="n"/>
      <c r="S113" s="94">
        <f>IFERROR(R113-Q113,"")</f>
        <v/>
      </c>
      <c r="T113" s="93" t="n"/>
      <c r="U113" s="93" t="n"/>
      <c r="V113" s="94">
        <f>IFERROR(T113-U113,"")</f>
        <v/>
      </c>
      <c r="W113" s="93" t="n"/>
      <c r="X113" s="93" t="n"/>
      <c r="Y113" s="93" t="n"/>
      <c r="Z113" s="93" t="n"/>
      <c r="AA113" s="93" t="n"/>
      <c r="AB113" s="93" t="n"/>
      <c r="AC113" s="94">
        <f>IFERROR(W113*AB113/1000,"")</f>
        <v/>
      </c>
      <c r="AD113" s="17">
        <f>IFERROR(J113/M113,"")</f>
        <v/>
      </c>
      <c r="AE113" s="17">
        <f>IFERROR(R113/I113,"")</f>
        <v/>
      </c>
      <c r="AF113" s="17">
        <f>IFERROR(R113/O113,"")</f>
        <v/>
      </c>
      <c r="AG113" s="95">
        <f>IFERROR(G113/I113,"")</f>
        <v/>
      </c>
      <c r="AH113" s="95">
        <f>IFERROR(G113/O113,"")</f>
        <v/>
      </c>
      <c r="AI113" s="95">
        <f>IFERROR(G113/C113,"")</f>
        <v/>
      </c>
      <c r="AJ113" s="95">
        <f>IFERROR(D113/C113,"")</f>
        <v/>
      </c>
      <c r="AK113" s="6" t="n"/>
      <c r="AL113" s="6" t="n"/>
      <c r="AM113" s="6" t="n"/>
      <c r="AN113" s="6" t="n"/>
      <c r="AO113" s="96" t="n"/>
      <c r="AP113" s="97">
        <f>IFERROR(IF(AND(NOT(ISNUMBER(F113)),NOT(ISNUMBER(AO113))),"",F113+AO113),"")</f>
        <v/>
      </c>
      <c r="AQ113" s="97">
        <f>IFERROR(IF(OR(NOT(ISNUMBER(E113)),NOT(ISNUMBER(AP113))),"",E113-AP113),"")</f>
        <v/>
      </c>
      <c r="AR113" s="96" t="n"/>
      <c r="AS113" s="97">
        <f>IFERROR(IF(OR(NOT(ISNUMBER(AR113)),NOT(ISNUMBER(S113))),"",AR113-S113),"")</f>
        <v/>
      </c>
      <c r="AT113" s="45" t="n"/>
    </row>
    <row r="114" ht="15" customHeight="1" s="67">
      <c r="A114" s="6" t="n"/>
      <c r="B114" s="92" t="n"/>
      <c r="C114" s="93" t="n"/>
      <c r="D114" s="93" t="n"/>
      <c r="E114" s="93" t="n"/>
      <c r="F114" s="93" t="n"/>
      <c r="G114" s="93" t="n"/>
      <c r="H114" s="93" t="n"/>
      <c r="I114" s="93" t="n"/>
      <c r="J114" s="93" t="n"/>
      <c r="K114" s="93" t="n"/>
      <c r="L114" s="93" t="n"/>
      <c r="M114" s="93" t="n"/>
      <c r="N114" s="93" t="n"/>
      <c r="O114" s="93" t="n"/>
      <c r="P114" s="94">
        <f>IFERROR(J114-M114,"")</f>
        <v/>
      </c>
      <c r="Q114" s="93" t="n"/>
      <c r="R114" s="93" t="n"/>
      <c r="S114" s="94">
        <f>IFERROR(R114-Q114,"")</f>
        <v/>
      </c>
      <c r="T114" s="93" t="n"/>
      <c r="U114" s="93" t="n"/>
      <c r="V114" s="94">
        <f>IFERROR(T114-U114,"")</f>
        <v/>
      </c>
      <c r="W114" s="93" t="n"/>
      <c r="X114" s="93" t="n"/>
      <c r="Y114" s="93" t="n"/>
      <c r="Z114" s="93" t="n"/>
      <c r="AA114" s="93" t="n"/>
      <c r="AB114" s="93" t="n"/>
      <c r="AC114" s="94">
        <f>IFERROR(W114*AB114/1000,"")</f>
        <v/>
      </c>
      <c r="AD114" s="17">
        <f>IFERROR(J114/M114,"")</f>
        <v/>
      </c>
      <c r="AE114" s="17">
        <f>IFERROR(R114/I114,"")</f>
        <v/>
      </c>
      <c r="AF114" s="17">
        <f>IFERROR(R114/O114,"")</f>
        <v/>
      </c>
      <c r="AG114" s="95">
        <f>IFERROR(G114/I114,"")</f>
        <v/>
      </c>
      <c r="AH114" s="95">
        <f>IFERROR(G114/O114,"")</f>
        <v/>
      </c>
      <c r="AI114" s="95">
        <f>IFERROR(G114/C114,"")</f>
        <v/>
      </c>
      <c r="AJ114" s="95">
        <f>IFERROR(D114/C114,"")</f>
        <v/>
      </c>
      <c r="AK114" s="6" t="n"/>
      <c r="AL114" s="6" t="n"/>
      <c r="AM114" s="6" t="n"/>
      <c r="AN114" s="6" t="n"/>
      <c r="AO114" s="96" t="n"/>
      <c r="AP114" s="97">
        <f>IFERROR(IF(AND(NOT(ISNUMBER(F114)),NOT(ISNUMBER(AO114))),"",F114+AO114),"")</f>
        <v/>
      </c>
      <c r="AQ114" s="97">
        <f>IFERROR(IF(OR(NOT(ISNUMBER(E114)),NOT(ISNUMBER(AP114))),"",E114-AP114),"")</f>
        <v/>
      </c>
      <c r="AR114" s="96" t="n"/>
      <c r="AS114" s="97">
        <f>IFERROR(IF(OR(NOT(ISNUMBER(AR114)),NOT(ISNUMBER(S114))),"",AR114-S114),"")</f>
        <v/>
      </c>
      <c r="AT114" s="45" t="n"/>
    </row>
    <row r="115" ht="15" customHeight="1" s="67">
      <c r="A115" s="6" t="n"/>
      <c r="B115" s="92" t="n"/>
      <c r="C115" s="93" t="n"/>
      <c r="D115" s="93" t="n"/>
      <c r="E115" s="93" t="n"/>
      <c r="F115" s="93" t="n"/>
      <c r="G115" s="93" t="n"/>
      <c r="H115" s="93" t="n"/>
      <c r="I115" s="93" t="n"/>
      <c r="J115" s="93" t="n"/>
      <c r="K115" s="93" t="n"/>
      <c r="L115" s="93" t="n"/>
      <c r="M115" s="93" t="n"/>
      <c r="N115" s="93" t="n"/>
      <c r="O115" s="93" t="n"/>
      <c r="P115" s="94">
        <f>IFERROR(J115-M115,"")</f>
        <v/>
      </c>
      <c r="Q115" s="93" t="n"/>
      <c r="R115" s="93" t="n"/>
      <c r="S115" s="94">
        <f>IFERROR(R115-Q115,"")</f>
        <v/>
      </c>
      <c r="T115" s="93" t="n"/>
      <c r="U115" s="93" t="n"/>
      <c r="V115" s="94">
        <f>IFERROR(T115-U115,"")</f>
        <v/>
      </c>
      <c r="W115" s="93" t="n"/>
      <c r="X115" s="93" t="n"/>
      <c r="Y115" s="93" t="n"/>
      <c r="Z115" s="93" t="n"/>
      <c r="AA115" s="93" t="n"/>
      <c r="AB115" s="93" t="n"/>
      <c r="AC115" s="94">
        <f>IFERROR(W115*AB115/1000,"")</f>
        <v/>
      </c>
      <c r="AD115" s="17">
        <f>IFERROR(J115/M115,"")</f>
        <v/>
      </c>
      <c r="AE115" s="17">
        <f>IFERROR(R115/I115,"")</f>
        <v/>
      </c>
      <c r="AF115" s="17">
        <f>IFERROR(R115/O115,"")</f>
        <v/>
      </c>
      <c r="AG115" s="95">
        <f>IFERROR(G115/I115,"")</f>
        <v/>
      </c>
      <c r="AH115" s="95">
        <f>IFERROR(G115/O115,"")</f>
        <v/>
      </c>
      <c r="AI115" s="95">
        <f>IFERROR(G115/C115,"")</f>
        <v/>
      </c>
      <c r="AJ115" s="95">
        <f>IFERROR(D115/C115,"")</f>
        <v/>
      </c>
      <c r="AK115" s="6" t="n"/>
      <c r="AL115" s="6" t="n"/>
      <c r="AM115" s="6" t="n"/>
      <c r="AN115" s="6" t="n"/>
      <c r="AO115" s="96" t="n"/>
      <c r="AP115" s="97">
        <f>IFERROR(IF(AND(NOT(ISNUMBER(F115)),NOT(ISNUMBER(AO115))),"",F115+AO115),"")</f>
        <v/>
      </c>
      <c r="AQ115" s="97">
        <f>IFERROR(IF(OR(NOT(ISNUMBER(E115)),NOT(ISNUMBER(AP115))),"",E115-AP115),"")</f>
        <v/>
      </c>
      <c r="AR115" s="96" t="n"/>
      <c r="AS115" s="97">
        <f>IFERROR(IF(OR(NOT(ISNUMBER(AR115)),NOT(ISNUMBER(S115))),"",AR115-S115),"")</f>
        <v/>
      </c>
      <c r="AT115" s="45" t="n"/>
    </row>
    <row r="116" ht="15" customHeight="1" s="67">
      <c r="A116" s="6" t="n"/>
      <c r="B116" s="92" t="n"/>
      <c r="C116" s="93" t="n"/>
      <c r="D116" s="93" t="n"/>
      <c r="E116" s="93" t="n"/>
      <c r="F116" s="93" t="n"/>
      <c r="G116" s="93" t="n"/>
      <c r="H116" s="93" t="n"/>
      <c r="I116" s="93" t="n"/>
      <c r="J116" s="93" t="n"/>
      <c r="K116" s="93" t="n"/>
      <c r="L116" s="93" t="n"/>
      <c r="M116" s="93" t="n"/>
      <c r="N116" s="93" t="n"/>
      <c r="O116" s="93" t="n"/>
      <c r="P116" s="94">
        <f>IFERROR(J116-M116,"")</f>
        <v/>
      </c>
      <c r="Q116" s="93" t="n"/>
      <c r="R116" s="93" t="n"/>
      <c r="S116" s="94">
        <f>IFERROR(R116-Q116,"")</f>
        <v/>
      </c>
      <c r="T116" s="93" t="n"/>
      <c r="U116" s="93" t="n"/>
      <c r="V116" s="94">
        <f>IFERROR(T116-U116,"")</f>
        <v/>
      </c>
      <c r="W116" s="93" t="n"/>
      <c r="X116" s="93" t="n"/>
      <c r="Y116" s="93" t="n"/>
      <c r="Z116" s="93" t="n"/>
      <c r="AA116" s="93" t="n"/>
      <c r="AB116" s="93" t="n"/>
      <c r="AC116" s="94">
        <f>IFERROR(W116*AB116/1000,"")</f>
        <v/>
      </c>
      <c r="AD116" s="17">
        <f>IFERROR(J116/M116,"")</f>
        <v/>
      </c>
      <c r="AE116" s="17">
        <f>IFERROR(R116/I116,"")</f>
        <v/>
      </c>
      <c r="AF116" s="17">
        <f>IFERROR(R116/O116,"")</f>
        <v/>
      </c>
      <c r="AG116" s="95">
        <f>IFERROR(G116/I116,"")</f>
        <v/>
      </c>
      <c r="AH116" s="95">
        <f>IFERROR(G116/O116,"")</f>
        <v/>
      </c>
      <c r="AI116" s="95">
        <f>IFERROR(G116/C116,"")</f>
        <v/>
      </c>
      <c r="AJ116" s="95">
        <f>IFERROR(D116/C116,"")</f>
        <v/>
      </c>
      <c r="AK116" s="6" t="n"/>
      <c r="AL116" s="6" t="n"/>
      <c r="AM116" s="6" t="n"/>
      <c r="AN116" s="6" t="n"/>
      <c r="AO116" s="96" t="n"/>
      <c r="AP116" s="97">
        <f>IFERROR(IF(AND(NOT(ISNUMBER(F116)),NOT(ISNUMBER(AO116))),"",F116+AO116),"")</f>
        <v/>
      </c>
      <c r="AQ116" s="97">
        <f>IFERROR(IF(OR(NOT(ISNUMBER(E116)),NOT(ISNUMBER(AP116))),"",E116-AP116),"")</f>
        <v/>
      </c>
      <c r="AR116" s="96" t="n"/>
      <c r="AS116" s="97">
        <f>IFERROR(IF(OR(NOT(ISNUMBER(AR116)),NOT(ISNUMBER(S116))),"",AR116-S116),"")</f>
        <v/>
      </c>
      <c r="AT116" s="45" t="n"/>
    </row>
    <row r="117" ht="15" customHeight="1" s="67">
      <c r="A117" s="6" t="n"/>
      <c r="B117" s="92" t="n"/>
      <c r="C117" s="93" t="n"/>
      <c r="D117" s="93" t="n"/>
      <c r="E117" s="93" t="n"/>
      <c r="F117" s="93" t="n"/>
      <c r="G117" s="93" t="n"/>
      <c r="H117" s="93" t="n"/>
      <c r="I117" s="93" t="n"/>
      <c r="J117" s="93" t="n"/>
      <c r="K117" s="93" t="n"/>
      <c r="L117" s="93" t="n"/>
      <c r="M117" s="93" t="n"/>
      <c r="N117" s="93" t="n"/>
      <c r="O117" s="93" t="n"/>
      <c r="P117" s="94">
        <f>IFERROR(J117-M117,"")</f>
        <v/>
      </c>
      <c r="Q117" s="93" t="n"/>
      <c r="R117" s="93" t="n"/>
      <c r="S117" s="94">
        <f>IFERROR(R117-Q117,"")</f>
        <v/>
      </c>
      <c r="T117" s="93" t="n"/>
      <c r="U117" s="93" t="n"/>
      <c r="V117" s="94">
        <f>IFERROR(T117-U117,"")</f>
        <v/>
      </c>
      <c r="W117" s="93" t="n"/>
      <c r="X117" s="93" t="n"/>
      <c r="Y117" s="93" t="n"/>
      <c r="Z117" s="93" t="n"/>
      <c r="AA117" s="93" t="n"/>
      <c r="AB117" s="93" t="n"/>
      <c r="AC117" s="94">
        <f>IFERROR(W117*AB117/1000,"")</f>
        <v/>
      </c>
      <c r="AD117" s="17">
        <f>IFERROR(J117/M117,"")</f>
        <v/>
      </c>
      <c r="AE117" s="17">
        <f>IFERROR(R117/I117,"")</f>
        <v/>
      </c>
      <c r="AF117" s="17">
        <f>IFERROR(R117/O117,"")</f>
        <v/>
      </c>
      <c r="AG117" s="95">
        <f>IFERROR(G117/I117,"")</f>
        <v/>
      </c>
      <c r="AH117" s="95">
        <f>IFERROR(G117/O117,"")</f>
        <v/>
      </c>
      <c r="AI117" s="95">
        <f>IFERROR(G117/C117,"")</f>
        <v/>
      </c>
      <c r="AJ117" s="95">
        <f>IFERROR(D117/C117,"")</f>
        <v/>
      </c>
      <c r="AK117" s="6" t="n"/>
      <c r="AL117" s="6" t="n"/>
      <c r="AM117" s="6" t="n"/>
      <c r="AN117" s="6" t="n"/>
      <c r="AO117" s="96" t="n"/>
      <c r="AP117" s="97">
        <f>IFERROR(IF(AND(NOT(ISNUMBER(F117)),NOT(ISNUMBER(AO117))),"",F117+AO117),"")</f>
        <v/>
      </c>
      <c r="AQ117" s="97">
        <f>IFERROR(IF(OR(NOT(ISNUMBER(E117)),NOT(ISNUMBER(AP117))),"",E117-AP117),"")</f>
        <v/>
      </c>
      <c r="AR117" s="96" t="n"/>
      <c r="AS117" s="97">
        <f>IFERROR(IF(OR(NOT(ISNUMBER(AR117)),NOT(ISNUMBER(S117))),"",AR117-S117),"")</f>
        <v/>
      </c>
      <c r="AT117" s="45" t="n"/>
    </row>
    <row r="118" ht="15" customHeight="1" s="67">
      <c r="A118" s="6" t="n"/>
      <c r="B118" s="92" t="n"/>
      <c r="C118" s="93" t="n"/>
      <c r="D118" s="93" t="n"/>
      <c r="E118" s="93" t="n"/>
      <c r="F118" s="93" t="n"/>
      <c r="G118" s="93" t="n"/>
      <c r="H118" s="93" t="n"/>
      <c r="I118" s="93" t="n"/>
      <c r="J118" s="93" t="n"/>
      <c r="K118" s="93" t="n"/>
      <c r="L118" s="93" t="n"/>
      <c r="M118" s="93" t="n"/>
      <c r="N118" s="93" t="n"/>
      <c r="O118" s="93" t="n"/>
      <c r="P118" s="94">
        <f>IFERROR(J118-M118,"")</f>
        <v/>
      </c>
      <c r="Q118" s="93" t="n"/>
      <c r="R118" s="93" t="n"/>
      <c r="S118" s="94">
        <f>IFERROR(R118-Q118,"")</f>
        <v/>
      </c>
      <c r="T118" s="93" t="n"/>
      <c r="U118" s="93" t="n"/>
      <c r="V118" s="94">
        <f>IFERROR(T118-U118,"")</f>
        <v/>
      </c>
      <c r="W118" s="93" t="n"/>
      <c r="X118" s="93" t="n"/>
      <c r="Y118" s="93" t="n"/>
      <c r="Z118" s="93" t="n"/>
      <c r="AA118" s="93" t="n"/>
      <c r="AB118" s="93" t="n"/>
      <c r="AC118" s="94">
        <f>IFERROR(W118*AB118/1000,"")</f>
        <v/>
      </c>
      <c r="AD118" s="17">
        <f>IFERROR(J118/M118,"")</f>
        <v/>
      </c>
      <c r="AE118" s="17">
        <f>IFERROR(R118/I118,"")</f>
        <v/>
      </c>
      <c r="AF118" s="17">
        <f>IFERROR(R118/O118,"")</f>
        <v/>
      </c>
      <c r="AG118" s="95">
        <f>IFERROR(G118/I118,"")</f>
        <v/>
      </c>
      <c r="AH118" s="95">
        <f>IFERROR(G118/O118,"")</f>
        <v/>
      </c>
      <c r="AI118" s="95">
        <f>IFERROR(G118/C118,"")</f>
        <v/>
      </c>
      <c r="AJ118" s="95">
        <f>IFERROR(D118/C118,"")</f>
        <v/>
      </c>
      <c r="AK118" s="6" t="n"/>
      <c r="AL118" s="6" t="n"/>
      <c r="AM118" s="6" t="n"/>
      <c r="AN118" s="6" t="n"/>
      <c r="AO118" s="96" t="n"/>
      <c r="AP118" s="97">
        <f>IFERROR(IF(AND(NOT(ISNUMBER(F118)),NOT(ISNUMBER(AO118))),"",F118+AO118),"")</f>
        <v/>
      </c>
      <c r="AQ118" s="97">
        <f>IFERROR(IF(OR(NOT(ISNUMBER(E118)),NOT(ISNUMBER(AP118))),"",E118-AP118),"")</f>
        <v/>
      </c>
      <c r="AR118" s="96" t="n"/>
      <c r="AS118" s="97">
        <f>IFERROR(IF(OR(NOT(ISNUMBER(AR118)),NOT(ISNUMBER(S118))),"",AR118-S118),"")</f>
        <v/>
      </c>
      <c r="AT118" s="45" t="n"/>
    </row>
    <row r="119" ht="15" customHeight="1" s="67">
      <c r="A119" s="6" t="n"/>
      <c r="B119" s="92" t="n"/>
      <c r="C119" s="93" t="n"/>
      <c r="D119" s="93" t="n"/>
      <c r="E119" s="93" t="n"/>
      <c r="F119" s="93" t="n"/>
      <c r="G119" s="93" t="n"/>
      <c r="H119" s="93" t="n"/>
      <c r="I119" s="93" t="n"/>
      <c r="J119" s="93" t="n"/>
      <c r="K119" s="93" t="n"/>
      <c r="L119" s="93" t="n"/>
      <c r="M119" s="93" t="n"/>
      <c r="N119" s="93" t="n"/>
      <c r="O119" s="93" t="n"/>
      <c r="P119" s="94">
        <f>IFERROR(J119-M119,"")</f>
        <v/>
      </c>
      <c r="Q119" s="93" t="n"/>
      <c r="R119" s="93" t="n"/>
      <c r="S119" s="94">
        <f>IFERROR(R119-Q119,"")</f>
        <v/>
      </c>
      <c r="T119" s="93" t="n"/>
      <c r="U119" s="93" t="n"/>
      <c r="V119" s="94">
        <f>IFERROR(T119-U119,"")</f>
        <v/>
      </c>
      <c r="W119" s="93" t="n"/>
      <c r="X119" s="93" t="n"/>
      <c r="Y119" s="93" t="n"/>
      <c r="Z119" s="93" t="n"/>
      <c r="AA119" s="93" t="n"/>
      <c r="AB119" s="93" t="n"/>
      <c r="AC119" s="94">
        <f>IFERROR(W119*AB119/1000,"")</f>
        <v/>
      </c>
      <c r="AD119" s="17">
        <f>IFERROR(J119/M119,"")</f>
        <v/>
      </c>
      <c r="AE119" s="17">
        <f>IFERROR(R119/I119,"")</f>
        <v/>
      </c>
      <c r="AF119" s="17">
        <f>IFERROR(R119/O119,"")</f>
        <v/>
      </c>
      <c r="AG119" s="95">
        <f>IFERROR(G119/I119,"")</f>
        <v/>
      </c>
      <c r="AH119" s="95">
        <f>IFERROR(G119/O119,"")</f>
        <v/>
      </c>
      <c r="AI119" s="95">
        <f>IFERROR(G119/C119,"")</f>
        <v/>
      </c>
      <c r="AJ119" s="95">
        <f>IFERROR(D119/C119,"")</f>
        <v/>
      </c>
      <c r="AK119" s="6" t="n"/>
      <c r="AL119" s="6" t="n"/>
      <c r="AM119" s="6" t="n"/>
      <c r="AN119" s="6" t="n"/>
      <c r="AO119" s="96" t="n"/>
      <c r="AP119" s="97">
        <f>IFERROR(IF(AND(NOT(ISNUMBER(F119)),NOT(ISNUMBER(AO119))),"",F119+AO119),"")</f>
        <v/>
      </c>
      <c r="AQ119" s="97">
        <f>IFERROR(IF(OR(NOT(ISNUMBER(E119)),NOT(ISNUMBER(AP119))),"",E119-AP119),"")</f>
        <v/>
      </c>
      <c r="AR119" s="96" t="n"/>
      <c r="AS119" s="97">
        <f>IFERROR(IF(OR(NOT(ISNUMBER(AR119)),NOT(ISNUMBER(S119))),"",AR119-S119),"")</f>
        <v/>
      </c>
      <c r="AT119" s="45" t="n"/>
    </row>
    <row r="120" ht="15" customHeight="1" s="67">
      <c r="A120" s="6" t="n"/>
      <c r="B120" s="92" t="n"/>
      <c r="C120" s="93" t="n"/>
      <c r="D120" s="93" t="n"/>
      <c r="E120" s="93" t="n"/>
      <c r="F120" s="93" t="n"/>
      <c r="G120" s="93" t="n"/>
      <c r="H120" s="93" t="n"/>
      <c r="I120" s="93" t="n"/>
      <c r="J120" s="93" t="n"/>
      <c r="K120" s="93" t="n"/>
      <c r="L120" s="93" t="n"/>
      <c r="M120" s="93" t="n"/>
      <c r="N120" s="93" t="n"/>
      <c r="O120" s="93" t="n"/>
      <c r="P120" s="94">
        <f>IFERROR(J120-M120,"")</f>
        <v/>
      </c>
      <c r="Q120" s="93" t="n"/>
      <c r="R120" s="93" t="n"/>
      <c r="S120" s="94">
        <f>IFERROR(R120-Q120,"")</f>
        <v/>
      </c>
      <c r="T120" s="93" t="n"/>
      <c r="U120" s="93" t="n"/>
      <c r="V120" s="94">
        <f>IFERROR(T120-U120,"")</f>
        <v/>
      </c>
      <c r="W120" s="93" t="n"/>
      <c r="X120" s="93" t="n"/>
      <c r="Y120" s="93" t="n"/>
      <c r="Z120" s="93" t="n"/>
      <c r="AA120" s="93" t="n"/>
      <c r="AB120" s="93" t="n"/>
      <c r="AC120" s="94">
        <f>IFERROR(W120*AB120/1000,"")</f>
        <v/>
      </c>
      <c r="AD120" s="17">
        <f>IFERROR(J120/M120,"")</f>
        <v/>
      </c>
      <c r="AE120" s="17">
        <f>IFERROR(R120/I120,"")</f>
        <v/>
      </c>
      <c r="AF120" s="17">
        <f>IFERROR(R120/O120,"")</f>
        <v/>
      </c>
      <c r="AG120" s="95">
        <f>IFERROR(G120/I120,"")</f>
        <v/>
      </c>
      <c r="AH120" s="95">
        <f>IFERROR(G120/O120,"")</f>
        <v/>
      </c>
      <c r="AI120" s="95">
        <f>IFERROR(G120/C120,"")</f>
        <v/>
      </c>
      <c r="AJ120" s="95">
        <f>IFERROR(D120/C120,"")</f>
        <v/>
      </c>
      <c r="AK120" s="6" t="n"/>
      <c r="AL120" s="6" t="n"/>
      <c r="AM120" s="6" t="n"/>
      <c r="AN120" s="6" t="n"/>
      <c r="AO120" s="96" t="n"/>
      <c r="AP120" s="97">
        <f>IFERROR(IF(AND(NOT(ISNUMBER(F120)),NOT(ISNUMBER(AO120))),"",F120+AO120),"")</f>
        <v/>
      </c>
      <c r="AQ120" s="97">
        <f>IFERROR(IF(OR(NOT(ISNUMBER(E120)),NOT(ISNUMBER(AP120))),"",E120-AP120),"")</f>
        <v/>
      </c>
      <c r="AR120" s="96" t="n"/>
      <c r="AS120" s="97">
        <f>IFERROR(IF(OR(NOT(ISNUMBER(AR120)),NOT(ISNUMBER(S120))),"",AR120-S120),"")</f>
        <v/>
      </c>
      <c r="AT120" s="45" t="n"/>
    </row>
    <row r="121" ht="15" customHeight="1" s="67">
      <c r="A121" s="6" t="n"/>
      <c r="B121" s="92" t="n"/>
      <c r="C121" s="93" t="n"/>
      <c r="D121" s="93" t="n"/>
      <c r="E121" s="93" t="n"/>
      <c r="F121" s="93" t="n"/>
      <c r="G121" s="93" t="n"/>
      <c r="H121" s="93" t="n"/>
      <c r="I121" s="93" t="n"/>
      <c r="J121" s="93" t="n"/>
      <c r="K121" s="93" t="n"/>
      <c r="L121" s="93" t="n"/>
      <c r="M121" s="93" t="n"/>
      <c r="N121" s="93" t="n"/>
      <c r="O121" s="93" t="n"/>
      <c r="P121" s="94">
        <f>IFERROR(J121-M121,"")</f>
        <v/>
      </c>
      <c r="Q121" s="93" t="n"/>
      <c r="R121" s="93" t="n"/>
      <c r="S121" s="94">
        <f>IFERROR(R121-Q121,"")</f>
        <v/>
      </c>
      <c r="T121" s="93" t="n"/>
      <c r="U121" s="93" t="n"/>
      <c r="V121" s="94">
        <f>IFERROR(T121-U121,"")</f>
        <v/>
      </c>
      <c r="W121" s="93" t="n"/>
      <c r="X121" s="93" t="n"/>
      <c r="Y121" s="93" t="n"/>
      <c r="Z121" s="93" t="n"/>
      <c r="AA121" s="93" t="n"/>
      <c r="AB121" s="93" t="n"/>
      <c r="AC121" s="94">
        <f>IFERROR(W121*AB121/1000,"")</f>
        <v/>
      </c>
      <c r="AD121" s="17">
        <f>IFERROR(J121/M121,"")</f>
        <v/>
      </c>
      <c r="AE121" s="17">
        <f>IFERROR(R121/I121,"")</f>
        <v/>
      </c>
      <c r="AF121" s="17">
        <f>IFERROR(R121/O121,"")</f>
        <v/>
      </c>
      <c r="AG121" s="95">
        <f>IFERROR(G121/I121,"")</f>
        <v/>
      </c>
      <c r="AH121" s="95">
        <f>IFERROR(G121/O121,"")</f>
        <v/>
      </c>
      <c r="AI121" s="95">
        <f>IFERROR(G121/C121,"")</f>
        <v/>
      </c>
      <c r="AJ121" s="95">
        <f>IFERROR(D121/C121,"")</f>
        <v/>
      </c>
      <c r="AK121" s="6" t="n"/>
      <c r="AL121" s="6" t="n"/>
      <c r="AM121" s="6" t="n"/>
      <c r="AN121" s="6" t="n"/>
      <c r="AO121" s="96" t="n"/>
      <c r="AP121" s="97">
        <f>IFERROR(IF(AND(NOT(ISNUMBER(F121)),NOT(ISNUMBER(AO121))),"",F121+AO121),"")</f>
        <v/>
      </c>
      <c r="AQ121" s="97">
        <f>IFERROR(IF(OR(NOT(ISNUMBER(E121)),NOT(ISNUMBER(AP121))),"",E121-AP121),"")</f>
        <v/>
      </c>
      <c r="AR121" s="96" t="n"/>
      <c r="AS121" s="97">
        <f>IFERROR(IF(OR(NOT(ISNUMBER(AR121)),NOT(ISNUMBER(S121))),"",AR121-S121),"")</f>
        <v/>
      </c>
      <c r="AT121" s="45" t="n"/>
    </row>
    <row r="122" ht="15" customHeight="1" s="67">
      <c r="A122" s="6" t="n"/>
      <c r="B122" s="92" t="n"/>
      <c r="C122" s="93" t="n"/>
      <c r="D122" s="93" t="n"/>
      <c r="E122" s="93" t="n"/>
      <c r="F122" s="93" t="n"/>
      <c r="G122" s="93" t="n"/>
      <c r="H122" s="93" t="n"/>
      <c r="I122" s="93" t="n"/>
      <c r="J122" s="93" t="n"/>
      <c r="K122" s="93" t="n"/>
      <c r="L122" s="93" t="n"/>
      <c r="M122" s="93" t="n"/>
      <c r="N122" s="93" t="n"/>
      <c r="O122" s="93" t="n"/>
      <c r="P122" s="94">
        <f>IFERROR(J122-M122,"")</f>
        <v/>
      </c>
      <c r="Q122" s="93" t="n"/>
      <c r="R122" s="93" t="n"/>
      <c r="S122" s="94">
        <f>IFERROR(R122-Q122,"")</f>
        <v/>
      </c>
      <c r="T122" s="93" t="n"/>
      <c r="U122" s="93" t="n"/>
      <c r="V122" s="94">
        <f>IFERROR(T122-U122,"")</f>
        <v/>
      </c>
      <c r="W122" s="93" t="n"/>
      <c r="X122" s="93" t="n"/>
      <c r="Y122" s="93" t="n"/>
      <c r="Z122" s="93" t="n"/>
      <c r="AA122" s="93" t="n"/>
      <c r="AB122" s="93" t="n"/>
      <c r="AC122" s="94">
        <f>IFERROR(W122*AB122/1000,"")</f>
        <v/>
      </c>
      <c r="AD122" s="17">
        <f>IFERROR(J122/M122,"")</f>
        <v/>
      </c>
      <c r="AE122" s="17">
        <f>IFERROR(R122/I122,"")</f>
        <v/>
      </c>
      <c r="AF122" s="17">
        <f>IFERROR(R122/O122,"")</f>
        <v/>
      </c>
      <c r="AG122" s="95">
        <f>IFERROR(G122/I122,"")</f>
        <v/>
      </c>
      <c r="AH122" s="95">
        <f>IFERROR(G122/O122,"")</f>
        <v/>
      </c>
      <c r="AI122" s="95">
        <f>IFERROR(G122/C122,"")</f>
        <v/>
      </c>
      <c r="AJ122" s="95">
        <f>IFERROR(D122/C122,"")</f>
        <v/>
      </c>
      <c r="AK122" s="6" t="n"/>
      <c r="AL122" s="6" t="n"/>
      <c r="AM122" s="6" t="n"/>
      <c r="AN122" s="6" t="n"/>
      <c r="AO122" s="96" t="n"/>
      <c r="AP122" s="97">
        <f>IFERROR(IF(AND(NOT(ISNUMBER(F122)),NOT(ISNUMBER(AO122))),"",F122+AO122),"")</f>
        <v/>
      </c>
      <c r="AQ122" s="97">
        <f>IFERROR(IF(OR(NOT(ISNUMBER(E122)),NOT(ISNUMBER(AP122))),"",E122-AP122),"")</f>
        <v/>
      </c>
      <c r="AR122" s="96" t="n"/>
      <c r="AS122" s="97">
        <f>IFERROR(IF(OR(NOT(ISNUMBER(AR122)),NOT(ISNUMBER(S122))),"",AR122-S122),"")</f>
        <v/>
      </c>
      <c r="AT122" s="45" t="n"/>
    </row>
    <row r="123" ht="15" customHeight="1" s="67">
      <c r="A123" s="6" t="n"/>
      <c r="B123" s="92" t="n"/>
      <c r="C123" s="93" t="n"/>
      <c r="D123" s="93" t="n"/>
      <c r="E123" s="93" t="n"/>
      <c r="F123" s="93" t="n"/>
      <c r="G123" s="93" t="n"/>
      <c r="H123" s="93" t="n"/>
      <c r="I123" s="93" t="n"/>
      <c r="J123" s="93" t="n"/>
      <c r="K123" s="93" t="n"/>
      <c r="L123" s="93" t="n"/>
      <c r="M123" s="93" t="n"/>
      <c r="N123" s="93" t="n"/>
      <c r="O123" s="93" t="n"/>
      <c r="P123" s="94">
        <f>IFERROR(J123-M123,"")</f>
        <v/>
      </c>
      <c r="Q123" s="93" t="n"/>
      <c r="R123" s="93" t="n"/>
      <c r="S123" s="94">
        <f>IFERROR(R123-Q123,"")</f>
        <v/>
      </c>
      <c r="T123" s="93" t="n"/>
      <c r="U123" s="93" t="n"/>
      <c r="V123" s="94">
        <f>IFERROR(T123-U123,"")</f>
        <v/>
      </c>
      <c r="W123" s="93" t="n"/>
      <c r="X123" s="93" t="n"/>
      <c r="Y123" s="93" t="n"/>
      <c r="Z123" s="93" t="n"/>
      <c r="AA123" s="93" t="n"/>
      <c r="AB123" s="93" t="n"/>
      <c r="AC123" s="94">
        <f>IFERROR(W123*AB123/1000,"")</f>
        <v/>
      </c>
      <c r="AD123" s="17">
        <f>IFERROR(J123/M123,"")</f>
        <v/>
      </c>
      <c r="AE123" s="17">
        <f>IFERROR(R123/I123,"")</f>
        <v/>
      </c>
      <c r="AF123" s="17">
        <f>IFERROR(R123/O123,"")</f>
        <v/>
      </c>
      <c r="AG123" s="95">
        <f>IFERROR(G123/I123,"")</f>
        <v/>
      </c>
      <c r="AH123" s="95">
        <f>IFERROR(G123/O123,"")</f>
        <v/>
      </c>
      <c r="AI123" s="95">
        <f>IFERROR(G123/C123,"")</f>
        <v/>
      </c>
      <c r="AJ123" s="95">
        <f>IFERROR(D123/C123,"")</f>
        <v/>
      </c>
      <c r="AK123" s="6" t="n"/>
      <c r="AL123" s="6" t="n"/>
      <c r="AM123" s="6" t="n"/>
      <c r="AN123" s="6" t="n"/>
      <c r="AO123" s="96" t="n"/>
      <c r="AP123" s="97">
        <f>IFERROR(IF(AND(NOT(ISNUMBER(F123)),NOT(ISNUMBER(AO123))),"",F123+AO123),"")</f>
        <v/>
      </c>
      <c r="AQ123" s="97">
        <f>IFERROR(IF(OR(NOT(ISNUMBER(E123)),NOT(ISNUMBER(AP123))),"",E123-AP123),"")</f>
        <v/>
      </c>
      <c r="AR123" s="96" t="n"/>
      <c r="AS123" s="97">
        <f>IFERROR(IF(OR(NOT(ISNUMBER(AR123)),NOT(ISNUMBER(S123))),"",AR123-S123),"")</f>
        <v/>
      </c>
      <c r="AT123" s="45" t="n"/>
    </row>
    <row r="124" ht="15" customHeight="1" s="67">
      <c r="A124" s="6" t="n"/>
      <c r="B124" s="92" t="n"/>
      <c r="C124" s="93" t="n"/>
      <c r="D124" s="93" t="n"/>
      <c r="E124" s="93" t="n"/>
      <c r="F124" s="93" t="n"/>
      <c r="G124" s="93" t="n"/>
      <c r="H124" s="93" t="n"/>
      <c r="I124" s="93" t="n"/>
      <c r="J124" s="93" t="n"/>
      <c r="K124" s="93" t="n"/>
      <c r="L124" s="93" t="n"/>
      <c r="M124" s="93" t="n"/>
      <c r="N124" s="93" t="n"/>
      <c r="O124" s="93" t="n"/>
      <c r="P124" s="94">
        <f>IFERROR(J124-M124,"")</f>
        <v/>
      </c>
      <c r="Q124" s="93" t="n"/>
      <c r="R124" s="93" t="n"/>
      <c r="S124" s="94">
        <f>IFERROR(R124-Q124,"")</f>
        <v/>
      </c>
      <c r="T124" s="93" t="n"/>
      <c r="U124" s="93" t="n"/>
      <c r="V124" s="94">
        <f>IFERROR(T124-U124,"")</f>
        <v/>
      </c>
      <c r="W124" s="93" t="n"/>
      <c r="X124" s="93" t="n"/>
      <c r="Y124" s="93" t="n"/>
      <c r="Z124" s="93" t="n"/>
      <c r="AA124" s="93" t="n"/>
      <c r="AB124" s="93" t="n"/>
      <c r="AC124" s="94">
        <f>IFERROR(W124*AB124/1000,"")</f>
        <v/>
      </c>
      <c r="AD124" s="17">
        <f>IFERROR(J124/M124,"")</f>
        <v/>
      </c>
      <c r="AE124" s="17">
        <f>IFERROR(R124/I124,"")</f>
        <v/>
      </c>
      <c r="AF124" s="17">
        <f>IFERROR(R124/O124,"")</f>
        <v/>
      </c>
      <c r="AG124" s="95">
        <f>IFERROR(G124/I124,"")</f>
        <v/>
      </c>
      <c r="AH124" s="95">
        <f>IFERROR(G124/O124,"")</f>
        <v/>
      </c>
      <c r="AI124" s="95">
        <f>IFERROR(G124/C124,"")</f>
        <v/>
      </c>
      <c r="AJ124" s="95">
        <f>IFERROR(D124/C124,"")</f>
        <v/>
      </c>
      <c r="AK124" s="6" t="n"/>
      <c r="AL124" s="6" t="n"/>
      <c r="AM124" s="6" t="n"/>
      <c r="AN124" s="6" t="n"/>
      <c r="AO124" s="96" t="n"/>
      <c r="AP124" s="97">
        <f>IFERROR(IF(AND(NOT(ISNUMBER(F124)),NOT(ISNUMBER(AO124))),"",F124+AO124),"")</f>
        <v/>
      </c>
      <c r="AQ124" s="97">
        <f>IFERROR(IF(OR(NOT(ISNUMBER(E124)),NOT(ISNUMBER(AP124))),"",E124-AP124),"")</f>
        <v/>
      </c>
      <c r="AR124" s="96" t="n"/>
      <c r="AS124" s="97">
        <f>IFERROR(IF(OR(NOT(ISNUMBER(AR124)),NOT(ISNUMBER(S124))),"",AR124-S124),"")</f>
        <v/>
      </c>
      <c r="AT124" s="45" t="n"/>
    </row>
    <row r="125" ht="15" customHeight="1" s="67">
      <c r="A125" s="6" t="n"/>
      <c r="B125" s="92" t="n"/>
      <c r="C125" s="93" t="n"/>
      <c r="D125" s="93" t="n"/>
      <c r="E125" s="93" t="n"/>
      <c r="F125" s="93" t="n"/>
      <c r="G125" s="93" t="n"/>
      <c r="H125" s="93" t="n"/>
      <c r="I125" s="93" t="n"/>
      <c r="J125" s="93" t="n"/>
      <c r="K125" s="93" t="n"/>
      <c r="L125" s="93" t="n"/>
      <c r="M125" s="93" t="n"/>
      <c r="N125" s="93" t="n"/>
      <c r="O125" s="93" t="n"/>
      <c r="P125" s="94">
        <f>IFERROR(J125-M125,"")</f>
        <v/>
      </c>
      <c r="Q125" s="93" t="n"/>
      <c r="R125" s="93" t="n"/>
      <c r="S125" s="94">
        <f>IFERROR(R125-Q125,"")</f>
        <v/>
      </c>
      <c r="T125" s="93" t="n"/>
      <c r="U125" s="93" t="n"/>
      <c r="V125" s="94">
        <f>IFERROR(T125-U125,"")</f>
        <v/>
      </c>
      <c r="W125" s="93" t="n"/>
      <c r="X125" s="93" t="n"/>
      <c r="Y125" s="93" t="n"/>
      <c r="Z125" s="93" t="n"/>
      <c r="AA125" s="93" t="n"/>
      <c r="AB125" s="93" t="n"/>
      <c r="AC125" s="94">
        <f>IFERROR(W125*AB125/1000,"")</f>
        <v/>
      </c>
      <c r="AD125" s="17">
        <f>IFERROR(J125/M125,"")</f>
        <v/>
      </c>
      <c r="AE125" s="17">
        <f>IFERROR(R125/I125,"")</f>
        <v/>
      </c>
      <c r="AF125" s="17">
        <f>IFERROR(R125/O125,"")</f>
        <v/>
      </c>
      <c r="AG125" s="95">
        <f>IFERROR(G125/I125,"")</f>
        <v/>
      </c>
      <c r="AH125" s="95">
        <f>IFERROR(G125/O125,"")</f>
        <v/>
      </c>
      <c r="AI125" s="95">
        <f>IFERROR(G125/C125,"")</f>
        <v/>
      </c>
      <c r="AJ125" s="95">
        <f>IFERROR(D125/C125,"")</f>
        <v/>
      </c>
      <c r="AK125" s="6" t="n"/>
      <c r="AL125" s="6" t="n"/>
      <c r="AM125" s="6" t="n"/>
      <c r="AN125" s="6" t="n"/>
      <c r="AO125" s="96" t="n"/>
      <c r="AP125" s="97">
        <f>IFERROR(IF(AND(NOT(ISNUMBER(F125)),NOT(ISNUMBER(AO125))),"",F125+AO125),"")</f>
        <v/>
      </c>
      <c r="AQ125" s="97">
        <f>IFERROR(IF(OR(NOT(ISNUMBER(E125)),NOT(ISNUMBER(AP125))),"",E125-AP125),"")</f>
        <v/>
      </c>
      <c r="AR125" s="96" t="n"/>
      <c r="AS125" s="97">
        <f>IFERROR(IF(OR(NOT(ISNUMBER(AR125)),NOT(ISNUMBER(S125))),"",AR125-S125),"")</f>
        <v/>
      </c>
      <c r="AT125" s="45" t="n"/>
    </row>
    <row r="126" ht="15" customHeight="1" s="67">
      <c r="A126" s="6" t="n"/>
      <c r="B126" s="92" t="n"/>
      <c r="C126" s="93" t="n"/>
      <c r="D126" s="93" t="n"/>
      <c r="E126" s="93" t="n"/>
      <c r="F126" s="93" t="n"/>
      <c r="G126" s="93" t="n"/>
      <c r="H126" s="93" t="n"/>
      <c r="I126" s="93" t="n"/>
      <c r="J126" s="93" t="n"/>
      <c r="K126" s="93" t="n"/>
      <c r="L126" s="93" t="n"/>
      <c r="M126" s="93" t="n"/>
      <c r="N126" s="93" t="n"/>
      <c r="O126" s="93" t="n"/>
      <c r="P126" s="94">
        <f>IFERROR(J126-M126,"")</f>
        <v/>
      </c>
      <c r="Q126" s="93" t="n"/>
      <c r="R126" s="93" t="n"/>
      <c r="S126" s="94">
        <f>IFERROR(R126-Q126,"")</f>
        <v/>
      </c>
      <c r="T126" s="93" t="n"/>
      <c r="U126" s="93" t="n"/>
      <c r="V126" s="94">
        <f>IFERROR(T126-U126,"")</f>
        <v/>
      </c>
      <c r="W126" s="93" t="n"/>
      <c r="X126" s="93" t="n"/>
      <c r="Y126" s="93" t="n"/>
      <c r="Z126" s="93" t="n"/>
      <c r="AA126" s="93" t="n"/>
      <c r="AB126" s="93" t="n"/>
      <c r="AC126" s="94">
        <f>IFERROR(W126*AB126/1000,"")</f>
        <v/>
      </c>
      <c r="AD126" s="17">
        <f>IFERROR(J126/M126,"")</f>
        <v/>
      </c>
      <c r="AE126" s="17">
        <f>IFERROR(R126/I126,"")</f>
        <v/>
      </c>
      <c r="AF126" s="17">
        <f>IFERROR(R126/O126,"")</f>
        <v/>
      </c>
      <c r="AG126" s="95">
        <f>IFERROR(G126/I126,"")</f>
        <v/>
      </c>
      <c r="AH126" s="95">
        <f>IFERROR(G126/O126,"")</f>
        <v/>
      </c>
      <c r="AI126" s="95">
        <f>IFERROR(G126/C126,"")</f>
        <v/>
      </c>
      <c r="AJ126" s="95">
        <f>IFERROR(D126/C126,"")</f>
        <v/>
      </c>
      <c r="AK126" s="6" t="n"/>
      <c r="AL126" s="6" t="n"/>
      <c r="AM126" s="6" t="n"/>
      <c r="AN126" s="6" t="n"/>
      <c r="AO126" s="96" t="n"/>
      <c r="AP126" s="97">
        <f>IFERROR(IF(AND(NOT(ISNUMBER(F126)),NOT(ISNUMBER(AO126))),"",F126+AO126),"")</f>
        <v/>
      </c>
      <c r="AQ126" s="97">
        <f>IFERROR(IF(OR(NOT(ISNUMBER(E126)),NOT(ISNUMBER(AP126))),"",E126-AP126),"")</f>
        <v/>
      </c>
      <c r="AR126" s="96" t="n"/>
      <c r="AS126" s="97">
        <f>IFERROR(IF(OR(NOT(ISNUMBER(AR126)),NOT(ISNUMBER(S126))),"",AR126-S126),"")</f>
        <v/>
      </c>
      <c r="AT126" s="45" t="n"/>
    </row>
    <row r="127" ht="15" customHeight="1" s="67">
      <c r="A127" s="6" t="n"/>
      <c r="B127" s="92" t="n"/>
      <c r="C127" s="93" t="n"/>
      <c r="D127" s="93" t="n"/>
      <c r="E127" s="93" t="n"/>
      <c r="F127" s="93" t="n"/>
      <c r="G127" s="93" t="n"/>
      <c r="H127" s="93" t="n"/>
      <c r="I127" s="93" t="n"/>
      <c r="J127" s="93" t="n"/>
      <c r="K127" s="93" t="n"/>
      <c r="L127" s="93" t="n"/>
      <c r="M127" s="93" t="n"/>
      <c r="N127" s="93" t="n"/>
      <c r="O127" s="93" t="n"/>
      <c r="P127" s="94">
        <f>IFERROR(J127-M127,"")</f>
        <v/>
      </c>
      <c r="Q127" s="93" t="n"/>
      <c r="R127" s="93" t="n"/>
      <c r="S127" s="94">
        <f>IFERROR(R127-Q127,"")</f>
        <v/>
      </c>
      <c r="T127" s="93" t="n"/>
      <c r="U127" s="93" t="n"/>
      <c r="V127" s="94">
        <f>IFERROR(T127-U127,"")</f>
        <v/>
      </c>
      <c r="W127" s="93" t="n"/>
      <c r="X127" s="93" t="n"/>
      <c r="Y127" s="93" t="n"/>
      <c r="Z127" s="93" t="n"/>
      <c r="AA127" s="93" t="n"/>
      <c r="AB127" s="93" t="n"/>
      <c r="AC127" s="94">
        <f>IFERROR(W127*AB127/1000,"")</f>
        <v/>
      </c>
      <c r="AD127" s="17">
        <f>IFERROR(J127/M127,"")</f>
        <v/>
      </c>
      <c r="AE127" s="17">
        <f>IFERROR(R127/I127,"")</f>
        <v/>
      </c>
      <c r="AF127" s="17">
        <f>IFERROR(R127/O127,"")</f>
        <v/>
      </c>
      <c r="AG127" s="95">
        <f>IFERROR(G127/I127,"")</f>
        <v/>
      </c>
      <c r="AH127" s="95">
        <f>IFERROR(G127/O127,"")</f>
        <v/>
      </c>
      <c r="AI127" s="95">
        <f>IFERROR(G127/C127,"")</f>
        <v/>
      </c>
      <c r="AJ127" s="95">
        <f>IFERROR(D127/C127,"")</f>
        <v/>
      </c>
      <c r="AK127" s="6" t="n"/>
      <c r="AL127" s="6" t="n"/>
      <c r="AM127" s="6" t="n"/>
      <c r="AN127" s="6" t="n"/>
      <c r="AO127" s="96" t="n"/>
      <c r="AP127" s="97">
        <f>IFERROR(IF(AND(NOT(ISNUMBER(F127)),NOT(ISNUMBER(AO127))),"",F127+AO127),"")</f>
        <v/>
      </c>
      <c r="AQ127" s="97">
        <f>IFERROR(IF(OR(NOT(ISNUMBER(E127)),NOT(ISNUMBER(AP127))),"",E127-AP127),"")</f>
        <v/>
      </c>
      <c r="AR127" s="96" t="n"/>
      <c r="AS127" s="97">
        <f>IFERROR(IF(OR(NOT(ISNUMBER(AR127)),NOT(ISNUMBER(S127))),"",AR127-S127),"")</f>
        <v/>
      </c>
      <c r="AT127" s="45" t="n"/>
    </row>
    <row r="128" ht="15" customHeight="1" s="67">
      <c r="A128" s="6" t="n"/>
      <c r="B128" s="92" t="n"/>
      <c r="C128" s="93" t="n"/>
      <c r="D128" s="93" t="n"/>
      <c r="E128" s="93" t="n"/>
      <c r="F128" s="93" t="n"/>
      <c r="G128" s="93" t="n"/>
      <c r="H128" s="93" t="n"/>
      <c r="I128" s="93" t="n"/>
      <c r="J128" s="93" t="n"/>
      <c r="K128" s="93" t="n"/>
      <c r="L128" s="93" t="n"/>
      <c r="M128" s="93" t="n"/>
      <c r="N128" s="93" t="n"/>
      <c r="O128" s="93" t="n"/>
      <c r="P128" s="94">
        <f>IFERROR(J128-M128,"")</f>
        <v/>
      </c>
      <c r="Q128" s="93" t="n"/>
      <c r="R128" s="93" t="n"/>
      <c r="S128" s="94">
        <f>IFERROR(R128-Q128,"")</f>
        <v/>
      </c>
      <c r="T128" s="93" t="n"/>
      <c r="U128" s="93" t="n"/>
      <c r="V128" s="94">
        <f>IFERROR(T128-U128,"")</f>
        <v/>
      </c>
      <c r="W128" s="93" t="n"/>
      <c r="X128" s="93" t="n"/>
      <c r="Y128" s="93" t="n"/>
      <c r="Z128" s="93" t="n"/>
      <c r="AA128" s="93" t="n"/>
      <c r="AB128" s="93" t="n"/>
      <c r="AC128" s="94">
        <f>IFERROR(W128*AB128/1000,"")</f>
        <v/>
      </c>
      <c r="AD128" s="17">
        <f>IFERROR(J128/M128,"")</f>
        <v/>
      </c>
      <c r="AE128" s="17">
        <f>IFERROR(R128/I128,"")</f>
        <v/>
      </c>
      <c r="AF128" s="17">
        <f>IFERROR(R128/O128,"")</f>
        <v/>
      </c>
      <c r="AG128" s="95">
        <f>IFERROR(G128/I128,"")</f>
        <v/>
      </c>
      <c r="AH128" s="95">
        <f>IFERROR(G128/O128,"")</f>
        <v/>
      </c>
      <c r="AI128" s="95">
        <f>IFERROR(G128/C128,"")</f>
        <v/>
      </c>
      <c r="AJ128" s="95">
        <f>IFERROR(D128/C128,"")</f>
        <v/>
      </c>
      <c r="AK128" s="6" t="n"/>
      <c r="AL128" s="6" t="n"/>
      <c r="AM128" s="6" t="n"/>
      <c r="AN128" s="6" t="n"/>
      <c r="AO128" s="96" t="n"/>
      <c r="AP128" s="97">
        <f>IFERROR(IF(AND(NOT(ISNUMBER(F128)),NOT(ISNUMBER(AO128))),"",F128+AO128),"")</f>
        <v/>
      </c>
      <c r="AQ128" s="97">
        <f>IFERROR(IF(OR(NOT(ISNUMBER(E128)),NOT(ISNUMBER(AP128))),"",E128-AP128),"")</f>
        <v/>
      </c>
      <c r="AR128" s="96" t="n"/>
      <c r="AS128" s="97">
        <f>IFERROR(IF(OR(NOT(ISNUMBER(AR128)),NOT(ISNUMBER(S128))),"",AR128-S128),"")</f>
        <v/>
      </c>
      <c r="AT128" s="45" t="n"/>
    </row>
    <row r="129" ht="15" customHeight="1" s="67">
      <c r="A129" s="6" t="n"/>
      <c r="B129" s="92" t="n"/>
      <c r="C129" s="93" t="n"/>
      <c r="D129" s="93" t="n"/>
      <c r="E129" s="93" t="n"/>
      <c r="F129" s="93" t="n"/>
      <c r="G129" s="93" t="n"/>
      <c r="H129" s="93" t="n"/>
      <c r="I129" s="93" t="n"/>
      <c r="J129" s="93" t="n"/>
      <c r="K129" s="93" t="n"/>
      <c r="L129" s="93" t="n"/>
      <c r="M129" s="93" t="n"/>
      <c r="N129" s="93" t="n"/>
      <c r="O129" s="93" t="n"/>
      <c r="P129" s="94">
        <f>IFERROR(J129-M129,"")</f>
        <v/>
      </c>
      <c r="Q129" s="93" t="n"/>
      <c r="R129" s="93" t="n"/>
      <c r="S129" s="94">
        <f>IFERROR(R129-Q129,"")</f>
        <v/>
      </c>
      <c r="T129" s="93" t="n"/>
      <c r="U129" s="93" t="n"/>
      <c r="V129" s="94">
        <f>IFERROR(T129-U129,"")</f>
        <v/>
      </c>
      <c r="W129" s="93" t="n"/>
      <c r="X129" s="93" t="n"/>
      <c r="Y129" s="93" t="n"/>
      <c r="Z129" s="93" t="n"/>
      <c r="AA129" s="93" t="n"/>
      <c r="AB129" s="93" t="n"/>
      <c r="AC129" s="94">
        <f>IFERROR(W129*AB129/1000,"")</f>
        <v/>
      </c>
      <c r="AD129" s="17">
        <f>IFERROR(J129/M129,"")</f>
        <v/>
      </c>
      <c r="AE129" s="17">
        <f>IFERROR(R129/I129,"")</f>
        <v/>
      </c>
      <c r="AF129" s="17">
        <f>IFERROR(R129/O129,"")</f>
        <v/>
      </c>
      <c r="AG129" s="95">
        <f>IFERROR(G129/I129,"")</f>
        <v/>
      </c>
      <c r="AH129" s="95">
        <f>IFERROR(G129/O129,"")</f>
        <v/>
      </c>
      <c r="AI129" s="95">
        <f>IFERROR(G129/C129,"")</f>
        <v/>
      </c>
      <c r="AJ129" s="95">
        <f>IFERROR(D129/C129,"")</f>
        <v/>
      </c>
      <c r="AK129" s="6" t="n"/>
      <c r="AL129" s="6" t="n"/>
      <c r="AM129" s="6" t="n"/>
      <c r="AN129" s="6" t="n"/>
      <c r="AO129" s="96" t="n"/>
      <c r="AP129" s="97">
        <f>IFERROR(IF(AND(NOT(ISNUMBER(F129)),NOT(ISNUMBER(AO129))),"",F129+AO129),"")</f>
        <v/>
      </c>
      <c r="AQ129" s="97">
        <f>IFERROR(IF(OR(NOT(ISNUMBER(E129)),NOT(ISNUMBER(AP129))),"",E129-AP129),"")</f>
        <v/>
      </c>
      <c r="AR129" s="96" t="n"/>
      <c r="AS129" s="97">
        <f>IFERROR(IF(OR(NOT(ISNUMBER(AR129)),NOT(ISNUMBER(S129))),"",AR129-S129),"")</f>
        <v/>
      </c>
      <c r="AT129" s="45" t="n"/>
    </row>
    <row r="130" ht="15" customHeight="1" s="67">
      <c r="A130" s="6" t="n"/>
      <c r="B130" s="92" t="n"/>
      <c r="C130" s="93" t="n"/>
      <c r="D130" s="93" t="n"/>
      <c r="E130" s="93" t="n"/>
      <c r="F130" s="93" t="n"/>
      <c r="G130" s="93" t="n"/>
      <c r="H130" s="93" t="n"/>
      <c r="I130" s="93" t="n"/>
      <c r="J130" s="93" t="n"/>
      <c r="K130" s="93" t="n"/>
      <c r="L130" s="93" t="n"/>
      <c r="M130" s="93" t="n"/>
      <c r="N130" s="93" t="n"/>
      <c r="O130" s="93" t="n"/>
      <c r="P130" s="94">
        <f>IFERROR(J130-M130,"")</f>
        <v/>
      </c>
      <c r="Q130" s="93" t="n"/>
      <c r="R130" s="93" t="n"/>
      <c r="S130" s="94">
        <f>IFERROR(R130-Q130,"")</f>
        <v/>
      </c>
      <c r="T130" s="93" t="n"/>
      <c r="U130" s="93" t="n"/>
      <c r="V130" s="94">
        <f>IFERROR(T130-U130,"")</f>
        <v/>
      </c>
      <c r="W130" s="93" t="n"/>
      <c r="X130" s="93" t="n"/>
      <c r="Y130" s="93" t="n"/>
      <c r="Z130" s="93" t="n"/>
      <c r="AA130" s="93" t="n"/>
      <c r="AB130" s="93" t="n"/>
      <c r="AC130" s="94">
        <f>IFERROR(W130*AB130/1000,"")</f>
        <v/>
      </c>
      <c r="AD130" s="17">
        <f>IFERROR(J130/M130,"")</f>
        <v/>
      </c>
      <c r="AE130" s="17">
        <f>IFERROR(R130/I130,"")</f>
        <v/>
      </c>
      <c r="AF130" s="17">
        <f>IFERROR(R130/O130,"")</f>
        <v/>
      </c>
      <c r="AG130" s="95">
        <f>IFERROR(G130/I130,"")</f>
        <v/>
      </c>
      <c r="AH130" s="95">
        <f>IFERROR(G130/O130,"")</f>
        <v/>
      </c>
      <c r="AI130" s="95">
        <f>IFERROR(G130/C130,"")</f>
        <v/>
      </c>
      <c r="AJ130" s="95">
        <f>IFERROR(D130/C130,"")</f>
        <v/>
      </c>
      <c r="AK130" s="6" t="n"/>
      <c r="AL130" s="6" t="n"/>
      <c r="AM130" s="6" t="n"/>
      <c r="AN130" s="6" t="n"/>
      <c r="AO130" s="96" t="n"/>
      <c r="AP130" s="97">
        <f>IFERROR(IF(AND(NOT(ISNUMBER(F130)),NOT(ISNUMBER(AO130))),"",F130+AO130),"")</f>
        <v/>
      </c>
      <c r="AQ130" s="97">
        <f>IFERROR(IF(OR(NOT(ISNUMBER(E130)),NOT(ISNUMBER(AP130))),"",E130-AP130),"")</f>
        <v/>
      </c>
      <c r="AR130" s="96" t="n"/>
      <c r="AS130" s="97">
        <f>IFERROR(IF(OR(NOT(ISNUMBER(AR130)),NOT(ISNUMBER(S130))),"",AR130-S130),"")</f>
        <v/>
      </c>
      <c r="AT130" s="45" t="n"/>
    </row>
    <row r="131" ht="15" customHeight="1" s="67">
      <c r="A131" s="6" t="n"/>
      <c r="B131" s="92" t="n"/>
      <c r="C131" s="93" t="n"/>
      <c r="D131" s="93" t="n"/>
      <c r="E131" s="93" t="n"/>
      <c r="F131" s="93" t="n"/>
      <c r="G131" s="93" t="n"/>
      <c r="H131" s="93" t="n"/>
      <c r="I131" s="93" t="n"/>
      <c r="J131" s="93" t="n"/>
      <c r="K131" s="93" t="n"/>
      <c r="L131" s="93" t="n"/>
      <c r="M131" s="93" t="n"/>
      <c r="N131" s="93" t="n"/>
      <c r="O131" s="93" t="n"/>
      <c r="P131" s="94">
        <f>IFERROR(J131-M131,"")</f>
        <v/>
      </c>
      <c r="Q131" s="93" t="n"/>
      <c r="R131" s="93" t="n"/>
      <c r="S131" s="94">
        <f>IFERROR(R131-Q131,"")</f>
        <v/>
      </c>
      <c r="T131" s="93" t="n"/>
      <c r="U131" s="93" t="n"/>
      <c r="V131" s="94">
        <f>IFERROR(T131-U131,"")</f>
        <v/>
      </c>
      <c r="W131" s="93" t="n"/>
      <c r="X131" s="93" t="n"/>
      <c r="Y131" s="93" t="n"/>
      <c r="Z131" s="93" t="n"/>
      <c r="AA131" s="93" t="n"/>
      <c r="AB131" s="93" t="n"/>
      <c r="AC131" s="94">
        <f>IFERROR(W131*AB131/1000,"")</f>
        <v/>
      </c>
      <c r="AD131" s="17">
        <f>IFERROR(J131/M131,"")</f>
        <v/>
      </c>
      <c r="AE131" s="17">
        <f>IFERROR(R131/I131,"")</f>
        <v/>
      </c>
      <c r="AF131" s="17">
        <f>IFERROR(R131/O131,"")</f>
        <v/>
      </c>
      <c r="AG131" s="95">
        <f>IFERROR(G131/I131,"")</f>
        <v/>
      </c>
      <c r="AH131" s="95">
        <f>IFERROR(G131/O131,"")</f>
        <v/>
      </c>
      <c r="AI131" s="95">
        <f>IFERROR(G131/C131,"")</f>
        <v/>
      </c>
      <c r="AJ131" s="95">
        <f>IFERROR(D131/C131,"")</f>
        <v/>
      </c>
      <c r="AK131" s="6" t="n"/>
      <c r="AL131" s="6" t="n"/>
      <c r="AM131" s="6" t="n"/>
      <c r="AN131" s="6" t="n"/>
      <c r="AO131" s="96" t="n"/>
      <c r="AP131" s="97">
        <f>IFERROR(IF(AND(NOT(ISNUMBER(F131)),NOT(ISNUMBER(AO131))),"",F131+AO131),"")</f>
        <v/>
      </c>
      <c r="AQ131" s="97">
        <f>IFERROR(IF(OR(NOT(ISNUMBER(E131)),NOT(ISNUMBER(AP131))),"",E131-AP131),"")</f>
        <v/>
      </c>
      <c r="AR131" s="96" t="n"/>
      <c r="AS131" s="97">
        <f>IFERROR(IF(OR(NOT(ISNUMBER(AR131)),NOT(ISNUMBER(S131))),"",AR131-S131),"")</f>
        <v/>
      </c>
      <c r="AT131" s="45" t="n"/>
    </row>
    <row r="132" ht="15" customHeight="1" s="67">
      <c r="A132" s="6" t="n"/>
      <c r="B132" s="92" t="n"/>
      <c r="C132" s="93" t="n"/>
      <c r="D132" s="93" t="n"/>
      <c r="E132" s="93" t="n"/>
      <c r="F132" s="93" t="n"/>
      <c r="G132" s="93" t="n"/>
      <c r="H132" s="93" t="n"/>
      <c r="I132" s="93" t="n"/>
      <c r="J132" s="93" t="n"/>
      <c r="K132" s="93" t="n"/>
      <c r="L132" s="93" t="n"/>
      <c r="M132" s="93" t="n"/>
      <c r="N132" s="93" t="n"/>
      <c r="O132" s="93" t="n"/>
      <c r="P132" s="94">
        <f>IFERROR(J132-M132,"")</f>
        <v/>
      </c>
      <c r="Q132" s="93" t="n"/>
      <c r="R132" s="93" t="n"/>
      <c r="S132" s="94">
        <f>IFERROR(R132-Q132,"")</f>
        <v/>
      </c>
      <c r="T132" s="93" t="n"/>
      <c r="U132" s="93" t="n"/>
      <c r="V132" s="94">
        <f>IFERROR(T132-U132,"")</f>
        <v/>
      </c>
      <c r="W132" s="93" t="n"/>
      <c r="X132" s="93" t="n"/>
      <c r="Y132" s="93" t="n"/>
      <c r="Z132" s="93" t="n"/>
      <c r="AA132" s="93" t="n"/>
      <c r="AB132" s="93" t="n"/>
      <c r="AC132" s="94">
        <f>IFERROR(W132*AB132/1000,"")</f>
        <v/>
      </c>
      <c r="AD132" s="17">
        <f>IFERROR(J132/M132,"")</f>
        <v/>
      </c>
      <c r="AE132" s="17">
        <f>IFERROR(R132/I132,"")</f>
        <v/>
      </c>
      <c r="AF132" s="17">
        <f>IFERROR(R132/O132,"")</f>
        <v/>
      </c>
      <c r="AG132" s="95">
        <f>IFERROR(G132/I132,"")</f>
        <v/>
      </c>
      <c r="AH132" s="95">
        <f>IFERROR(G132/O132,"")</f>
        <v/>
      </c>
      <c r="AI132" s="95">
        <f>IFERROR(G132/C132,"")</f>
        <v/>
      </c>
      <c r="AJ132" s="95">
        <f>IFERROR(D132/C132,"")</f>
        <v/>
      </c>
      <c r="AK132" s="6" t="n"/>
      <c r="AL132" s="6" t="n"/>
      <c r="AM132" s="6" t="n"/>
      <c r="AN132" s="6" t="n"/>
      <c r="AO132" s="96" t="n"/>
      <c r="AP132" s="97">
        <f>IFERROR(IF(AND(NOT(ISNUMBER(F132)),NOT(ISNUMBER(AO132))),"",F132+AO132),"")</f>
        <v/>
      </c>
      <c r="AQ132" s="97">
        <f>IFERROR(IF(OR(NOT(ISNUMBER(E132)),NOT(ISNUMBER(AP132))),"",E132-AP132),"")</f>
        <v/>
      </c>
      <c r="AR132" s="96" t="n"/>
      <c r="AS132" s="97">
        <f>IFERROR(IF(OR(NOT(ISNUMBER(AR132)),NOT(ISNUMBER(S132))),"",AR132-S132),"")</f>
        <v/>
      </c>
      <c r="AT132" s="45" t="n"/>
    </row>
    <row r="133" ht="15" customHeight="1" s="67">
      <c r="A133" s="6" t="n"/>
      <c r="B133" s="92" t="n"/>
      <c r="C133" s="93" t="n"/>
      <c r="D133" s="93" t="n"/>
      <c r="E133" s="93" t="n"/>
      <c r="F133" s="93" t="n"/>
      <c r="G133" s="93" t="n"/>
      <c r="H133" s="93" t="n"/>
      <c r="I133" s="93" t="n"/>
      <c r="J133" s="93" t="n"/>
      <c r="K133" s="93" t="n"/>
      <c r="L133" s="93" t="n"/>
      <c r="M133" s="93" t="n"/>
      <c r="N133" s="93" t="n"/>
      <c r="O133" s="93" t="n"/>
      <c r="P133" s="94">
        <f>IFERROR(J133-M133,"")</f>
        <v/>
      </c>
      <c r="Q133" s="93" t="n"/>
      <c r="R133" s="93" t="n"/>
      <c r="S133" s="94">
        <f>IFERROR(R133-Q133,"")</f>
        <v/>
      </c>
      <c r="T133" s="93" t="n"/>
      <c r="U133" s="93" t="n"/>
      <c r="V133" s="94">
        <f>IFERROR(T133-U133,"")</f>
        <v/>
      </c>
      <c r="W133" s="93" t="n"/>
      <c r="X133" s="93" t="n"/>
      <c r="Y133" s="93" t="n"/>
      <c r="Z133" s="93" t="n"/>
      <c r="AA133" s="93" t="n"/>
      <c r="AB133" s="93" t="n"/>
      <c r="AC133" s="94">
        <f>IFERROR(W133*AB133/1000,"")</f>
        <v/>
      </c>
      <c r="AD133" s="17">
        <f>IFERROR(J133/M133,"")</f>
        <v/>
      </c>
      <c r="AE133" s="17">
        <f>IFERROR(R133/I133,"")</f>
        <v/>
      </c>
      <c r="AF133" s="17">
        <f>IFERROR(R133/O133,"")</f>
        <v/>
      </c>
      <c r="AG133" s="95">
        <f>IFERROR(G133/I133,"")</f>
        <v/>
      </c>
      <c r="AH133" s="95">
        <f>IFERROR(G133/O133,"")</f>
        <v/>
      </c>
      <c r="AI133" s="95">
        <f>IFERROR(G133/C133,"")</f>
        <v/>
      </c>
      <c r="AJ133" s="95">
        <f>IFERROR(D133/C133,"")</f>
        <v/>
      </c>
      <c r="AK133" s="6" t="n"/>
      <c r="AL133" s="6" t="n"/>
      <c r="AM133" s="6" t="n"/>
      <c r="AN133" s="6" t="n"/>
      <c r="AO133" s="96" t="n"/>
      <c r="AP133" s="97">
        <f>IFERROR(IF(AND(NOT(ISNUMBER(F133)),NOT(ISNUMBER(AO133))),"",F133+AO133),"")</f>
        <v/>
      </c>
      <c r="AQ133" s="97">
        <f>IFERROR(IF(OR(NOT(ISNUMBER(E133)),NOT(ISNUMBER(AP133))),"",E133-AP133),"")</f>
        <v/>
      </c>
      <c r="AR133" s="96" t="n"/>
      <c r="AS133" s="97">
        <f>IFERROR(IF(OR(NOT(ISNUMBER(AR133)),NOT(ISNUMBER(S133))),"",AR133-S133),"")</f>
        <v/>
      </c>
      <c r="AT133" s="45" t="n"/>
    </row>
    <row r="134" ht="15" customHeight="1" s="67">
      <c r="A134" s="6" t="n"/>
      <c r="B134" s="92" t="n"/>
      <c r="C134" s="93" t="n"/>
      <c r="D134" s="93" t="n"/>
      <c r="E134" s="93" t="n"/>
      <c r="F134" s="93" t="n"/>
      <c r="G134" s="93" t="n"/>
      <c r="H134" s="93" t="n"/>
      <c r="I134" s="93" t="n"/>
      <c r="J134" s="93" t="n"/>
      <c r="K134" s="93" t="n"/>
      <c r="L134" s="93" t="n"/>
      <c r="M134" s="93" t="n"/>
      <c r="N134" s="93" t="n"/>
      <c r="O134" s="93" t="n"/>
      <c r="P134" s="94">
        <f>IFERROR(J134-M134,"")</f>
        <v/>
      </c>
      <c r="Q134" s="93" t="n"/>
      <c r="R134" s="93" t="n"/>
      <c r="S134" s="94">
        <f>IFERROR(R134-Q134,"")</f>
        <v/>
      </c>
      <c r="T134" s="93" t="n"/>
      <c r="U134" s="93" t="n"/>
      <c r="V134" s="94">
        <f>IFERROR(T134-U134,"")</f>
        <v/>
      </c>
      <c r="W134" s="93" t="n"/>
      <c r="X134" s="93" t="n"/>
      <c r="Y134" s="93" t="n"/>
      <c r="Z134" s="93" t="n"/>
      <c r="AA134" s="93" t="n"/>
      <c r="AB134" s="93" t="n"/>
      <c r="AC134" s="94">
        <f>IFERROR(W134*AB134/1000,"")</f>
        <v/>
      </c>
      <c r="AD134" s="17">
        <f>IFERROR(J134/M134,"")</f>
        <v/>
      </c>
      <c r="AE134" s="17">
        <f>IFERROR(R134/I134,"")</f>
        <v/>
      </c>
      <c r="AF134" s="17">
        <f>IFERROR(R134/O134,"")</f>
        <v/>
      </c>
      <c r="AG134" s="95">
        <f>IFERROR(G134/I134,"")</f>
        <v/>
      </c>
      <c r="AH134" s="95">
        <f>IFERROR(G134/O134,"")</f>
        <v/>
      </c>
      <c r="AI134" s="95">
        <f>IFERROR(G134/C134,"")</f>
        <v/>
      </c>
      <c r="AJ134" s="95">
        <f>IFERROR(D134/C134,"")</f>
        <v/>
      </c>
      <c r="AK134" s="6" t="n"/>
      <c r="AL134" s="6" t="n"/>
      <c r="AM134" s="6" t="n"/>
      <c r="AN134" s="6" t="n"/>
      <c r="AO134" s="96" t="n"/>
      <c r="AP134" s="97">
        <f>IFERROR(IF(AND(NOT(ISNUMBER(F134)),NOT(ISNUMBER(AO134))),"",F134+AO134),"")</f>
        <v/>
      </c>
      <c r="AQ134" s="97">
        <f>IFERROR(IF(OR(NOT(ISNUMBER(E134)),NOT(ISNUMBER(AP134))),"",E134-AP134),"")</f>
        <v/>
      </c>
      <c r="AR134" s="96" t="n"/>
      <c r="AS134" s="97">
        <f>IFERROR(IF(OR(NOT(ISNUMBER(AR134)),NOT(ISNUMBER(S134))),"",AR134-S134),"")</f>
        <v/>
      </c>
      <c r="AT134" s="45" t="n"/>
    </row>
    <row r="135" ht="15" customHeight="1" s="67">
      <c r="A135" s="6" t="n"/>
      <c r="B135" s="92" t="n"/>
      <c r="C135" s="93" t="n"/>
      <c r="D135" s="93" t="n"/>
      <c r="E135" s="93" t="n"/>
      <c r="F135" s="93" t="n"/>
      <c r="G135" s="93" t="n"/>
      <c r="H135" s="93" t="n"/>
      <c r="I135" s="93" t="n"/>
      <c r="J135" s="93" t="n"/>
      <c r="K135" s="93" t="n"/>
      <c r="L135" s="93" t="n"/>
      <c r="M135" s="93" t="n"/>
      <c r="N135" s="93" t="n"/>
      <c r="O135" s="93" t="n"/>
      <c r="P135" s="94">
        <f>IFERROR(J135-M135,"")</f>
        <v/>
      </c>
      <c r="Q135" s="93" t="n"/>
      <c r="R135" s="93" t="n"/>
      <c r="S135" s="94">
        <f>IFERROR(R135-Q135,"")</f>
        <v/>
      </c>
      <c r="T135" s="93" t="n"/>
      <c r="U135" s="93" t="n"/>
      <c r="V135" s="94">
        <f>IFERROR(T135-U135,"")</f>
        <v/>
      </c>
      <c r="W135" s="93" t="n"/>
      <c r="X135" s="93" t="n"/>
      <c r="Y135" s="93" t="n"/>
      <c r="Z135" s="93" t="n"/>
      <c r="AA135" s="93" t="n"/>
      <c r="AB135" s="93" t="n"/>
      <c r="AC135" s="94">
        <f>IFERROR(W135*AB135/1000,"")</f>
        <v/>
      </c>
      <c r="AD135" s="17">
        <f>IFERROR(J135/M135,"")</f>
        <v/>
      </c>
      <c r="AE135" s="17">
        <f>IFERROR(R135/I135,"")</f>
        <v/>
      </c>
      <c r="AF135" s="17">
        <f>IFERROR(R135/O135,"")</f>
        <v/>
      </c>
      <c r="AG135" s="95">
        <f>IFERROR(G135/I135,"")</f>
        <v/>
      </c>
      <c r="AH135" s="95">
        <f>IFERROR(G135/O135,"")</f>
        <v/>
      </c>
      <c r="AI135" s="95">
        <f>IFERROR(G135/C135,"")</f>
        <v/>
      </c>
      <c r="AJ135" s="95">
        <f>IFERROR(D135/C135,"")</f>
        <v/>
      </c>
      <c r="AK135" s="6" t="n"/>
      <c r="AL135" s="6" t="n"/>
      <c r="AM135" s="6" t="n"/>
      <c r="AN135" s="6" t="n"/>
      <c r="AO135" s="96" t="n"/>
      <c r="AP135" s="97">
        <f>IFERROR(IF(AND(NOT(ISNUMBER(F135)),NOT(ISNUMBER(AO135))),"",F135+AO135),"")</f>
        <v/>
      </c>
      <c r="AQ135" s="97">
        <f>IFERROR(IF(OR(NOT(ISNUMBER(E135)),NOT(ISNUMBER(AP135))),"",E135-AP135),"")</f>
        <v/>
      </c>
      <c r="AR135" s="96" t="n"/>
      <c r="AS135" s="97">
        <f>IFERROR(IF(OR(NOT(ISNUMBER(AR135)),NOT(ISNUMBER(S135))),"",AR135-S135),"")</f>
        <v/>
      </c>
      <c r="AT135" s="45" t="n"/>
    </row>
    <row r="136" ht="15" customHeight="1" s="67">
      <c r="A136" s="6" t="n"/>
      <c r="B136" s="92" t="n"/>
      <c r="C136" s="93" t="n"/>
      <c r="D136" s="93" t="n"/>
      <c r="E136" s="93" t="n"/>
      <c r="F136" s="93" t="n"/>
      <c r="G136" s="93" t="n"/>
      <c r="H136" s="93" t="n"/>
      <c r="I136" s="93" t="n"/>
      <c r="J136" s="93" t="n"/>
      <c r="K136" s="93" t="n"/>
      <c r="L136" s="93" t="n"/>
      <c r="M136" s="93" t="n"/>
      <c r="N136" s="93" t="n"/>
      <c r="O136" s="93" t="n"/>
      <c r="P136" s="94">
        <f>IFERROR(J136-M136,"")</f>
        <v/>
      </c>
      <c r="Q136" s="93" t="n"/>
      <c r="R136" s="93" t="n"/>
      <c r="S136" s="94">
        <f>IFERROR(R136-Q136,"")</f>
        <v/>
      </c>
      <c r="T136" s="93" t="n"/>
      <c r="U136" s="93" t="n"/>
      <c r="V136" s="94">
        <f>IFERROR(T136-U136,"")</f>
        <v/>
      </c>
      <c r="W136" s="93" t="n"/>
      <c r="X136" s="93" t="n"/>
      <c r="Y136" s="93" t="n"/>
      <c r="Z136" s="93" t="n"/>
      <c r="AA136" s="93" t="n"/>
      <c r="AB136" s="93" t="n"/>
      <c r="AC136" s="94">
        <f>IFERROR(W136*AB136/1000,"")</f>
        <v/>
      </c>
      <c r="AD136" s="17">
        <f>IFERROR(J136/M136,"")</f>
        <v/>
      </c>
      <c r="AE136" s="17">
        <f>IFERROR(R136/I136,"")</f>
        <v/>
      </c>
      <c r="AF136" s="17">
        <f>IFERROR(R136/O136,"")</f>
        <v/>
      </c>
      <c r="AG136" s="95">
        <f>IFERROR(G136/I136,"")</f>
        <v/>
      </c>
      <c r="AH136" s="95">
        <f>IFERROR(G136/O136,"")</f>
        <v/>
      </c>
      <c r="AI136" s="95">
        <f>IFERROR(G136/C136,"")</f>
        <v/>
      </c>
      <c r="AJ136" s="95">
        <f>IFERROR(D136/C136,"")</f>
        <v/>
      </c>
      <c r="AK136" s="6" t="n"/>
      <c r="AL136" s="6" t="n"/>
      <c r="AM136" s="6" t="n"/>
      <c r="AN136" s="6" t="n"/>
      <c r="AO136" s="96" t="n"/>
      <c r="AP136" s="97">
        <f>IFERROR(IF(AND(NOT(ISNUMBER(F136)),NOT(ISNUMBER(AO136))),"",F136+AO136),"")</f>
        <v/>
      </c>
      <c r="AQ136" s="97">
        <f>IFERROR(IF(OR(NOT(ISNUMBER(E136)),NOT(ISNUMBER(AP136))),"",E136-AP136),"")</f>
        <v/>
      </c>
      <c r="AR136" s="96" t="n"/>
      <c r="AS136" s="97">
        <f>IFERROR(IF(OR(NOT(ISNUMBER(AR136)),NOT(ISNUMBER(S136))),"",AR136-S136),"")</f>
        <v/>
      </c>
      <c r="AT136" s="45" t="n"/>
    </row>
    <row r="137" ht="15" customHeight="1" s="67">
      <c r="A137" s="6" t="n"/>
      <c r="B137" s="92" t="n"/>
      <c r="C137" s="93" t="n"/>
      <c r="D137" s="93" t="n"/>
      <c r="E137" s="93" t="n"/>
      <c r="F137" s="93" t="n"/>
      <c r="G137" s="93" t="n"/>
      <c r="H137" s="93" t="n"/>
      <c r="I137" s="93" t="n"/>
      <c r="J137" s="93" t="n"/>
      <c r="K137" s="93" t="n"/>
      <c r="L137" s="93" t="n"/>
      <c r="M137" s="93" t="n"/>
      <c r="N137" s="93" t="n"/>
      <c r="O137" s="93" t="n"/>
      <c r="P137" s="94">
        <f>IFERROR(J137-M137,"")</f>
        <v/>
      </c>
      <c r="Q137" s="93" t="n"/>
      <c r="R137" s="93" t="n"/>
      <c r="S137" s="94">
        <f>IFERROR(R137-Q137,"")</f>
        <v/>
      </c>
      <c r="T137" s="93" t="n"/>
      <c r="U137" s="93" t="n"/>
      <c r="V137" s="94">
        <f>IFERROR(T137-U137,"")</f>
        <v/>
      </c>
      <c r="W137" s="93" t="n"/>
      <c r="X137" s="93" t="n"/>
      <c r="Y137" s="93" t="n"/>
      <c r="Z137" s="93" t="n"/>
      <c r="AA137" s="93" t="n"/>
      <c r="AB137" s="93" t="n"/>
      <c r="AC137" s="94">
        <f>IFERROR(W137*AB137/1000,"")</f>
        <v/>
      </c>
      <c r="AD137" s="17">
        <f>IFERROR(J137/M137,"")</f>
        <v/>
      </c>
      <c r="AE137" s="17">
        <f>IFERROR(R137/I137,"")</f>
        <v/>
      </c>
      <c r="AF137" s="17">
        <f>IFERROR(R137/O137,"")</f>
        <v/>
      </c>
      <c r="AG137" s="95">
        <f>IFERROR(G137/I137,"")</f>
        <v/>
      </c>
      <c r="AH137" s="95">
        <f>IFERROR(G137/O137,"")</f>
        <v/>
      </c>
      <c r="AI137" s="95">
        <f>IFERROR(G137/C137,"")</f>
        <v/>
      </c>
      <c r="AJ137" s="95">
        <f>IFERROR(D137/C137,"")</f>
        <v/>
      </c>
      <c r="AK137" s="6" t="n"/>
      <c r="AL137" s="6" t="n"/>
      <c r="AM137" s="6" t="n"/>
      <c r="AN137" s="6" t="n"/>
      <c r="AO137" s="96" t="n"/>
      <c r="AP137" s="97">
        <f>IFERROR(IF(AND(NOT(ISNUMBER(F137)),NOT(ISNUMBER(AO137))),"",F137+AO137),"")</f>
        <v/>
      </c>
      <c r="AQ137" s="97">
        <f>IFERROR(IF(OR(NOT(ISNUMBER(E137)),NOT(ISNUMBER(AP137))),"",E137-AP137),"")</f>
        <v/>
      </c>
      <c r="AR137" s="96" t="n"/>
      <c r="AS137" s="97">
        <f>IFERROR(IF(OR(NOT(ISNUMBER(AR137)),NOT(ISNUMBER(S137))),"",AR137-S137),"")</f>
        <v/>
      </c>
      <c r="AT137" s="45" t="n"/>
    </row>
    <row r="138" ht="15" customHeight="1" s="67">
      <c r="A138" s="6" t="n"/>
      <c r="B138" s="92" t="n"/>
      <c r="C138" s="93" t="n"/>
      <c r="D138" s="93" t="n"/>
      <c r="E138" s="93" t="n"/>
      <c r="F138" s="93" t="n"/>
      <c r="G138" s="93" t="n"/>
      <c r="H138" s="93" t="n"/>
      <c r="I138" s="93" t="n"/>
      <c r="J138" s="93" t="n"/>
      <c r="K138" s="93" t="n"/>
      <c r="L138" s="93" t="n"/>
      <c r="M138" s="93" t="n"/>
      <c r="N138" s="93" t="n"/>
      <c r="O138" s="93" t="n"/>
      <c r="P138" s="94">
        <f>IFERROR(J138-M138,"")</f>
        <v/>
      </c>
      <c r="Q138" s="93" t="n"/>
      <c r="R138" s="93" t="n"/>
      <c r="S138" s="94">
        <f>IFERROR(R138-Q138,"")</f>
        <v/>
      </c>
      <c r="T138" s="93" t="n"/>
      <c r="U138" s="93" t="n"/>
      <c r="V138" s="94">
        <f>IFERROR(T138-U138,"")</f>
        <v/>
      </c>
      <c r="W138" s="93" t="n"/>
      <c r="X138" s="93" t="n"/>
      <c r="Y138" s="93" t="n"/>
      <c r="Z138" s="93" t="n"/>
      <c r="AA138" s="93" t="n"/>
      <c r="AB138" s="93" t="n"/>
      <c r="AC138" s="94">
        <f>IFERROR(W138*AB138/1000,"")</f>
        <v/>
      </c>
      <c r="AD138" s="17">
        <f>IFERROR(J138/M138,"")</f>
        <v/>
      </c>
      <c r="AE138" s="17">
        <f>IFERROR(R138/I138,"")</f>
        <v/>
      </c>
      <c r="AF138" s="17">
        <f>IFERROR(R138/O138,"")</f>
        <v/>
      </c>
      <c r="AG138" s="95">
        <f>IFERROR(G138/I138,"")</f>
        <v/>
      </c>
      <c r="AH138" s="95">
        <f>IFERROR(G138/O138,"")</f>
        <v/>
      </c>
      <c r="AI138" s="95">
        <f>IFERROR(G138/C138,"")</f>
        <v/>
      </c>
      <c r="AJ138" s="95">
        <f>IFERROR(D138/C138,"")</f>
        <v/>
      </c>
      <c r="AK138" s="6" t="n"/>
      <c r="AL138" s="6" t="n"/>
      <c r="AM138" s="6" t="n"/>
      <c r="AN138" s="6" t="n"/>
      <c r="AO138" s="96" t="n"/>
      <c r="AP138" s="97">
        <f>IFERROR(IF(AND(NOT(ISNUMBER(F138)),NOT(ISNUMBER(AO138))),"",F138+AO138),"")</f>
        <v/>
      </c>
      <c r="AQ138" s="97">
        <f>IFERROR(IF(OR(NOT(ISNUMBER(E138)),NOT(ISNUMBER(AP138))),"",E138-AP138),"")</f>
        <v/>
      </c>
      <c r="AR138" s="96" t="n"/>
      <c r="AS138" s="97">
        <f>IFERROR(IF(OR(NOT(ISNUMBER(AR138)),NOT(ISNUMBER(S138))),"",AR138-S138),"")</f>
        <v/>
      </c>
      <c r="AT138" s="45" t="n"/>
    </row>
    <row r="139" ht="15" customHeight="1" s="67">
      <c r="A139" s="6" t="n"/>
      <c r="B139" s="92" t="n"/>
      <c r="C139" s="93" t="n"/>
      <c r="D139" s="93" t="n"/>
      <c r="E139" s="93" t="n"/>
      <c r="F139" s="93" t="n"/>
      <c r="G139" s="93" t="n"/>
      <c r="H139" s="93" t="n"/>
      <c r="I139" s="93" t="n"/>
      <c r="J139" s="93" t="n"/>
      <c r="K139" s="93" t="n"/>
      <c r="L139" s="93" t="n"/>
      <c r="M139" s="93" t="n"/>
      <c r="N139" s="93" t="n"/>
      <c r="O139" s="93" t="n"/>
      <c r="P139" s="94">
        <f>IFERROR(J139-M139,"")</f>
        <v/>
      </c>
      <c r="Q139" s="93" t="n"/>
      <c r="R139" s="93" t="n"/>
      <c r="S139" s="94">
        <f>IFERROR(R139-Q139,"")</f>
        <v/>
      </c>
      <c r="T139" s="93" t="n"/>
      <c r="U139" s="93" t="n"/>
      <c r="V139" s="94">
        <f>IFERROR(T139-U139,"")</f>
        <v/>
      </c>
      <c r="W139" s="93" t="n"/>
      <c r="X139" s="93" t="n"/>
      <c r="Y139" s="93" t="n"/>
      <c r="Z139" s="93" t="n"/>
      <c r="AA139" s="93" t="n"/>
      <c r="AB139" s="93" t="n"/>
      <c r="AC139" s="94">
        <f>IFERROR(W139*AB139/1000,"")</f>
        <v/>
      </c>
      <c r="AD139" s="17">
        <f>IFERROR(J139/M139,"")</f>
        <v/>
      </c>
      <c r="AE139" s="17">
        <f>IFERROR(R139/I139,"")</f>
        <v/>
      </c>
      <c r="AF139" s="17">
        <f>IFERROR(R139/O139,"")</f>
        <v/>
      </c>
      <c r="AG139" s="95">
        <f>IFERROR(G139/I139,"")</f>
        <v/>
      </c>
      <c r="AH139" s="95">
        <f>IFERROR(G139/O139,"")</f>
        <v/>
      </c>
      <c r="AI139" s="95">
        <f>IFERROR(G139/C139,"")</f>
        <v/>
      </c>
      <c r="AJ139" s="95">
        <f>IFERROR(D139/C139,"")</f>
        <v/>
      </c>
      <c r="AK139" s="6" t="n"/>
      <c r="AL139" s="6" t="n"/>
      <c r="AM139" s="6" t="n"/>
      <c r="AN139" s="6" t="n"/>
      <c r="AO139" s="96" t="n"/>
      <c r="AP139" s="97">
        <f>IFERROR(IF(AND(NOT(ISNUMBER(F139)),NOT(ISNUMBER(AO139))),"",F139+AO139),"")</f>
        <v/>
      </c>
      <c r="AQ139" s="97">
        <f>IFERROR(IF(OR(NOT(ISNUMBER(E139)),NOT(ISNUMBER(AP139))),"",E139-AP139),"")</f>
        <v/>
      </c>
      <c r="AR139" s="96" t="n"/>
      <c r="AS139" s="97">
        <f>IFERROR(IF(OR(NOT(ISNUMBER(AR139)),NOT(ISNUMBER(S139))),"",AR139-S139),"")</f>
        <v/>
      </c>
      <c r="AT139" s="45" t="n"/>
    </row>
    <row r="140" ht="15" customHeight="1" s="67">
      <c r="A140" s="6" t="n"/>
      <c r="B140" s="92" t="n"/>
      <c r="C140" s="93" t="n"/>
      <c r="D140" s="93" t="n"/>
      <c r="E140" s="93" t="n"/>
      <c r="F140" s="93" t="n"/>
      <c r="G140" s="93" t="n"/>
      <c r="H140" s="93" t="n"/>
      <c r="I140" s="93" t="n"/>
      <c r="J140" s="93" t="n"/>
      <c r="K140" s="93" t="n"/>
      <c r="L140" s="93" t="n"/>
      <c r="M140" s="93" t="n"/>
      <c r="N140" s="93" t="n"/>
      <c r="O140" s="93" t="n"/>
      <c r="P140" s="94">
        <f>IFERROR(J140-M140,"")</f>
        <v/>
      </c>
      <c r="Q140" s="93" t="n"/>
      <c r="R140" s="93" t="n"/>
      <c r="S140" s="94">
        <f>IFERROR(R140-Q140,"")</f>
        <v/>
      </c>
      <c r="T140" s="93" t="n"/>
      <c r="U140" s="93" t="n"/>
      <c r="V140" s="94">
        <f>IFERROR(T140-U140,"")</f>
        <v/>
      </c>
      <c r="W140" s="93" t="n"/>
      <c r="X140" s="93" t="n"/>
      <c r="Y140" s="93" t="n"/>
      <c r="Z140" s="93" t="n"/>
      <c r="AA140" s="93" t="n"/>
      <c r="AB140" s="93" t="n"/>
      <c r="AC140" s="94">
        <f>IFERROR(W140*AB140/1000,"")</f>
        <v/>
      </c>
      <c r="AD140" s="17">
        <f>IFERROR(J140/M140,"")</f>
        <v/>
      </c>
      <c r="AE140" s="17">
        <f>IFERROR(R140/I140,"")</f>
        <v/>
      </c>
      <c r="AF140" s="17">
        <f>IFERROR(R140/O140,"")</f>
        <v/>
      </c>
      <c r="AG140" s="95">
        <f>IFERROR(G140/I140,"")</f>
        <v/>
      </c>
      <c r="AH140" s="95">
        <f>IFERROR(G140/O140,"")</f>
        <v/>
      </c>
      <c r="AI140" s="95">
        <f>IFERROR(G140/C140,"")</f>
        <v/>
      </c>
      <c r="AJ140" s="95">
        <f>IFERROR(D140/C140,"")</f>
        <v/>
      </c>
      <c r="AK140" s="6" t="n"/>
      <c r="AL140" s="6" t="n"/>
      <c r="AM140" s="6" t="n"/>
      <c r="AN140" s="6" t="n"/>
      <c r="AO140" s="96" t="n"/>
      <c r="AP140" s="97">
        <f>IFERROR(IF(AND(NOT(ISNUMBER(F140)),NOT(ISNUMBER(AO140))),"",F140+AO140),"")</f>
        <v/>
      </c>
      <c r="AQ140" s="97">
        <f>IFERROR(IF(OR(NOT(ISNUMBER(E140)),NOT(ISNUMBER(AP140))),"",E140-AP140),"")</f>
        <v/>
      </c>
      <c r="AR140" s="96" t="n"/>
      <c r="AS140" s="97">
        <f>IFERROR(IF(OR(NOT(ISNUMBER(AR140)),NOT(ISNUMBER(S140))),"",AR140-S140),"")</f>
        <v/>
      </c>
      <c r="AT140" s="45" t="n"/>
    </row>
    <row r="141" ht="15" customHeight="1" s="67">
      <c r="A141" s="6" t="n"/>
      <c r="B141" s="92" t="n"/>
      <c r="C141" s="93" t="n"/>
      <c r="D141" s="93" t="n"/>
      <c r="E141" s="93" t="n"/>
      <c r="F141" s="93" t="n"/>
      <c r="G141" s="93" t="n"/>
      <c r="H141" s="93" t="n"/>
      <c r="I141" s="93" t="n"/>
      <c r="J141" s="93" t="n"/>
      <c r="K141" s="93" t="n"/>
      <c r="L141" s="93" t="n"/>
      <c r="M141" s="93" t="n"/>
      <c r="N141" s="93" t="n"/>
      <c r="O141" s="93" t="n"/>
      <c r="P141" s="94">
        <f>IFERROR(J141-M141,"")</f>
        <v/>
      </c>
      <c r="Q141" s="93" t="n"/>
      <c r="R141" s="93" t="n"/>
      <c r="S141" s="94">
        <f>IFERROR(R141-Q141,"")</f>
        <v/>
      </c>
      <c r="T141" s="93" t="n"/>
      <c r="U141" s="93" t="n"/>
      <c r="V141" s="94">
        <f>IFERROR(T141-U141,"")</f>
        <v/>
      </c>
      <c r="W141" s="93" t="n"/>
      <c r="X141" s="93" t="n"/>
      <c r="Y141" s="93" t="n"/>
      <c r="Z141" s="93" t="n"/>
      <c r="AA141" s="93" t="n"/>
      <c r="AB141" s="93" t="n"/>
      <c r="AC141" s="94">
        <f>IFERROR(W141*AB141/1000,"")</f>
        <v/>
      </c>
      <c r="AD141" s="17">
        <f>IFERROR(J141/M141,"")</f>
        <v/>
      </c>
      <c r="AE141" s="17">
        <f>IFERROR(R141/I141,"")</f>
        <v/>
      </c>
      <c r="AF141" s="17">
        <f>IFERROR(R141/O141,"")</f>
        <v/>
      </c>
      <c r="AG141" s="95">
        <f>IFERROR(G141/I141,"")</f>
        <v/>
      </c>
      <c r="AH141" s="95">
        <f>IFERROR(G141/O141,"")</f>
        <v/>
      </c>
      <c r="AI141" s="95">
        <f>IFERROR(G141/C141,"")</f>
        <v/>
      </c>
      <c r="AJ141" s="95">
        <f>IFERROR(D141/C141,"")</f>
        <v/>
      </c>
      <c r="AK141" s="6" t="n"/>
      <c r="AL141" s="6" t="n"/>
      <c r="AM141" s="6" t="n"/>
      <c r="AN141" s="6" t="n"/>
      <c r="AO141" s="96" t="n"/>
      <c r="AP141" s="97">
        <f>IFERROR(IF(AND(NOT(ISNUMBER(F141)),NOT(ISNUMBER(AO141))),"",F141+AO141),"")</f>
        <v/>
      </c>
      <c r="AQ141" s="97">
        <f>IFERROR(IF(OR(NOT(ISNUMBER(E141)),NOT(ISNUMBER(AP141))),"",E141-AP141),"")</f>
        <v/>
      </c>
      <c r="AR141" s="96" t="n"/>
      <c r="AS141" s="97">
        <f>IFERROR(IF(OR(NOT(ISNUMBER(AR141)),NOT(ISNUMBER(S141))),"",AR141-S141),"")</f>
        <v/>
      </c>
      <c r="AT141" s="45" t="n"/>
    </row>
    <row r="142" ht="15" customHeight="1" s="67">
      <c r="A142" s="6" t="n"/>
      <c r="B142" s="92" t="n"/>
      <c r="C142" s="93" t="n"/>
      <c r="D142" s="93" t="n"/>
      <c r="E142" s="93" t="n"/>
      <c r="F142" s="93" t="n"/>
      <c r="G142" s="93" t="n"/>
      <c r="H142" s="93" t="n"/>
      <c r="I142" s="93" t="n"/>
      <c r="J142" s="93" t="n"/>
      <c r="K142" s="93" t="n"/>
      <c r="L142" s="93" t="n"/>
      <c r="M142" s="93" t="n"/>
      <c r="N142" s="93" t="n"/>
      <c r="O142" s="93" t="n"/>
      <c r="P142" s="94">
        <f>IFERROR(J142-M142,"")</f>
        <v/>
      </c>
      <c r="Q142" s="93" t="n"/>
      <c r="R142" s="93" t="n"/>
      <c r="S142" s="94">
        <f>IFERROR(R142-Q142,"")</f>
        <v/>
      </c>
      <c r="T142" s="93" t="n"/>
      <c r="U142" s="93" t="n"/>
      <c r="V142" s="94">
        <f>IFERROR(T142-U142,"")</f>
        <v/>
      </c>
      <c r="W142" s="93" t="n"/>
      <c r="X142" s="93" t="n"/>
      <c r="Y142" s="93" t="n"/>
      <c r="Z142" s="93" t="n"/>
      <c r="AA142" s="93" t="n"/>
      <c r="AB142" s="93" t="n"/>
      <c r="AC142" s="94">
        <f>IFERROR(W142*AB142/1000,"")</f>
        <v/>
      </c>
      <c r="AD142" s="17">
        <f>IFERROR(J142/M142,"")</f>
        <v/>
      </c>
      <c r="AE142" s="17">
        <f>IFERROR(R142/I142,"")</f>
        <v/>
      </c>
      <c r="AF142" s="17">
        <f>IFERROR(R142/O142,"")</f>
        <v/>
      </c>
      <c r="AG142" s="95">
        <f>IFERROR(G142/I142,"")</f>
        <v/>
      </c>
      <c r="AH142" s="95">
        <f>IFERROR(G142/O142,"")</f>
        <v/>
      </c>
      <c r="AI142" s="95">
        <f>IFERROR(G142/C142,"")</f>
        <v/>
      </c>
      <c r="AJ142" s="95">
        <f>IFERROR(D142/C142,"")</f>
        <v/>
      </c>
      <c r="AK142" s="6" t="n"/>
      <c r="AL142" s="6" t="n"/>
      <c r="AM142" s="6" t="n"/>
      <c r="AN142" s="6" t="n"/>
      <c r="AO142" s="96" t="n"/>
      <c r="AP142" s="97">
        <f>IFERROR(IF(AND(NOT(ISNUMBER(F142)),NOT(ISNUMBER(AO142))),"",F142+AO142),"")</f>
        <v/>
      </c>
      <c r="AQ142" s="97">
        <f>IFERROR(IF(OR(NOT(ISNUMBER(E142)),NOT(ISNUMBER(AP142))),"",E142-AP142),"")</f>
        <v/>
      </c>
      <c r="AR142" s="96" t="n"/>
      <c r="AS142" s="97">
        <f>IFERROR(IF(OR(NOT(ISNUMBER(AR142)),NOT(ISNUMBER(S142))),"",AR142-S142),"")</f>
        <v/>
      </c>
      <c r="AT142" s="45" t="n"/>
    </row>
    <row r="143" ht="15" customHeight="1" s="67">
      <c r="A143" s="6" t="n"/>
      <c r="B143" s="92" t="n"/>
      <c r="C143" s="93" t="n"/>
      <c r="D143" s="93" t="n"/>
      <c r="E143" s="93" t="n"/>
      <c r="F143" s="93" t="n"/>
      <c r="G143" s="93" t="n"/>
      <c r="H143" s="93" t="n"/>
      <c r="I143" s="93" t="n"/>
      <c r="J143" s="93" t="n"/>
      <c r="K143" s="93" t="n"/>
      <c r="L143" s="93" t="n"/>
      <c r="M143" s="93" t="n"/>
      <c r="N143" s="93" t="n"/>
      <c r="O143" s="93" t="n"/>
      <c r="P143" s="94">
        <f>IFERROR(J143-M143,"")</f>
        <v/>
      </c>
      <c r="Q143" s="93" t="n"/>
      <c r="R143" s="93" t="n"/>
      <c r="S143" s="94">
        <f>IFERROR(R143-Q143,"")</f>
        <v/>
      </c>
      <c r="T143" s="93" t="n"/>
      <c r="U143" s="93" t="n"/>
      <c r="V143" s="94">
        <f>IFERROR(T143-U143,"")</f>
        <v/>
      </c>
      <c r="W143" s="93" t="n"/>
      <c r="X143" s="93" t="n"/>
      <c r="Y143" s="93" t="n"/>
      <c r="Z143" s="93" t="n"/>
      <c r="AA143" s="93" t="n"/>
      <c r="AB143" s="93" t="n"/>
      <c r="AC143" s="94">
        <f>IFERROR(W143*AB143/1000,"")</f>
        <v/>
      </c>
      <c r="AD143" s="17">
        <f>IFERROR(J143/M143,"")</f>
        <v/>
      </c>
      <c r="AE143" s="17">
        <f>IFERROR(R143/I143,"")</f>
        <v/>
      </c>
      <c r="AF143" s="17">
        <f>IFERROR(R143/O143,"")</f>
        <v/>
      </c>
      <c r="AG143" s="95">
        <f>IFERROR(G143/I143,"")</f>
        <v/>
      </c>
      <c r="AH143" s="95">
        <f>IFERROR(G143/O143,"")</f>
        <v/>
      </c>
      <c r="AI143" s="95">
        <f>IFERROR(G143/C143,"")</f>
        <v/>
      </c>
      <c r="AJ143" s="95">
        <f>IFERROR(D143/C143,"")</f>
        <v/>
      </c>
      <c r="AK143" s="6" t="n"/>
      <c r="AL143" s="6" t="n"/>
      <c r="AM143" s="6" t="n"/>
      <c r="AN143" s="6" t="n"/>
      <c r="AO143" s="96" t="n"/>
      <c r="AP143" s="97">
        <f>IFERROR(IF(AND(NOT(ISNUMBER(F143)),NOT(ISNUMBER(AO143))),"",F143+AO143),"")</f>
        <v/>
      </c>
      <c r="AQ143" s="97">
        <f>IFERROR(IF(OR(NOT(ISNUMBER(E143)),NOT(ISNUMBER(AP143))),"",E143-AP143),"")</f>
        <v/>
      </c>
      <c r="AR143" s="96" t="n"/>
      <c r="AS143" s="97">
        <f>IFERROR(IF(OR(NOT(ISNUMBER(AR143)),NOT(ISNUMBER(S143))),"",AR143-S143),"")</f>
        <v/>
      </c>
      <c r="AT143" s="45" t="n"/>
    </row>
    <row r="144" ht="15" customHeight="1" s="67">
      <c r="A144" s="6" t="n"/>
      <c r="B144" s="92" t="n"/>
      <c r="C144" s="93" t="n"/>
      <c r="D144" s="93" t="n"/>
      <c r="E144" s="93" t="n"/>
      <c r="F144" s="93" t="n"/>
      <c r="G144" s="93" t="n"/>
      <c r="H144" s="93" t="n"/>
      <c r="I144" s="93" t="n"/>
      <c r="J144" s="93" t="n"/>
      <c r="K144" s="93" t="n"/>
      <c r="L144" s="93" t="n"/>
      <c r="M144" s="93" t="n"/>
      <c r="N144" s="93" t="n"/>
      <c r="O144" s="93" t="n"/>
      <c r="P144" s="94">
        <f>IFERROR(J144-M144,"")</f>
        <v/>
      </c>
      <c r="Q144" s="93" t="n"/>
      <c r="R144" s="93" t="n"/>
      <c r="S144" s="94">
        <f>IFERROR(R144-Q144,"")</f>
        <v/>
      </c>
      <c r="T144" s="93" t="n"/>
      <c r="U144" s="93" t="n"/>
      <c r="V144" s="94">
        <f>IFERROR(T144-U144,"")</f>
        <v/>
      </c>
      <c r="W144" s="93" t="n"/>
      <c r="X144" s="93" t="n"/>
      <c r="Y144" s="93" t="n"/>
      <c r="Z144" s="93" t="n"/>
      <c r="AA144" s="93" t="n"/>
      <c r="AB144" s="93" t="n"/>
      <c r="AC144" s="94">
        <f>IFERROR(W144*AB144/1000,"")</f>
        <v/>
      </c>
      <c r="AD144" s="17">
        <f>IFERROR(J144/M144,"")</f>
        <v/>
      </c>
      <c r="AE144" s="17">
        <f>IFERROR(R144/I144,"")</f>
        <v/>
      </c>
      <c r="AF144" s="17">
        <f>IFERROR(R144/O144,"")</f>
        <v/>
      </c>
      <c r="AG144" s="95">
        <f>IFERROR(G144/I144,"")</f>
        <v/>
      </c>
      <c r="AH144" s="95">
        <f>IFERROR(G144/O144,"")</f>
        <v/>
      </c>
      <c r="AI144" s="95">
        <f>IFERROR(G144/C144,"")</f>
        <v/>
      </c>
      <c r="AJ144" s="95">
        <f>IFERROR(D144/C144,"")</f>
        <v/>
      </c>
      <c r="AK144" s="6" t="n"/>
      <c r="AL144" s="6" t="n"/>
      <c r="AM144" s="6" t="n"/>
      <c r="AN144" s="6" t="n"/>
      <c r="AO144" s="96" t="n"/>
      <c r="AP144" s="97">
        <f>IFERROR(IF(AND(NOT(ISNUMBER(F144)),NOT(ISNUMBER(AO144))),"",F144+AO144),"")</f>
        <v/>
      </c>
      <c r="AQ144" s="97">
        <f>IFERROR(IF(OR(NOT(ISNUMBER(E144)),NOT(ISNUMBER(AP144))),"",E144-AP144),"")</f>
        <v/>
      </c>
      <c r="AR144" s="96" t="n"/>
      <c r="AS144" s="97">
        <f>IFERROR(IF(OR(NOT(ISNUMBER(AR144)),NOT(ISNUMBER(S144))),"",AR144-S144),"")</f>
        <v/>
      </c>
      <c r="AT144" s="45" t="n"/>
    </row>
    <row r="145" ht="15" customHeight="1" s="67">
      <c r="A145" s="6" t="n"/>
      <c r="B145" s="92" t="n"/>
      <c r="C145" s="93" t="n"/>
      <c r="D145" s="93" t="n"/>
      <c r="E145" s="93" t="n"/>
      <c r="F145" s="93" t="n"/>
      <c r="G145" s="93" t="n"/>
      <c r="H145" s="93" t="n"/>
      <c r="I145" s="93" t="n"/>
      <c r="J145" s="93" t="n"/>
      <c r="K145" s="93" t="n"/>
      <c r="L145" s="93" t="n"/>
      <c r="M145" s="93" t="n"/>
      <c r="N145" s="93" t="n"/>
      <c r="O145" s="93" t="n"/>
      <c r="P145" s="94">
        <f>IFERROR(J145-M145,"")</f>
        <v/>
      </c>
      <c r="Q145" s="93" t="n"/>
      <c r="R145" s="93" t="n"/>
      <c r="S145" s="94">
        <f>IFERROR(R145-Q145,"")</f>
        <v/>
      </c>
      <c r="T145" s="93" t="n"/>
      <c r="U145" s="93" t="n"/>
      <c r="V145" s="94">
        <f>IFERROR(T145-U145,"")</f>
        <v/>
      </c>
      <c r="W145" s="93" t="n"/>
      <c r="X145" s="93" t="n"/>
      <c r="Y145" s="93" t="n"/>
      <c r="Z145" s="93" t="n"/>
      <c r="AA145" s="93" t="n"/>
      <c r="AB145" s="93" t="n"/>
      <c r="AC145" s="94">
        <f>IFERROR(W145*AB145/1000,"")</f>
        <v/>
      </c>
      <c r="AD145" s="17">
        <f>IFERROR(J145/M145,"")</f>
        <v/>
      </c>
      <c r="AE145" s="17">
        <f>IFERROR(R145/I145,"")</f>
        <v/>
      </c>
      <c r="AF145" s="17">
        <f>IFERROR(R145/O145,"")</f>
        <v/>
      </c>
      <c r="AG145" s="95">
        <f>IFERROR(G145/I145,"")</f>
        <v/>
      </c>
      <c r="AH145" s="95">
        <f>IFERROR(G145/O145,"")</f>
        <v/>
      </c>
      <c r="AI145" s="95">
        <f>IFERROR(G145/C145,"")</f>
        <v/>
      </c>
      <c r="AJ145" s="95">
        <f>IFERROR(D145/C145,"")</f>
        <v/>
      </c>
      <c r="AK145" s="6" t="n"/>
      <c r="AL145" s="6" t="n"/>
      <c r="AM145" s="6" t="n"/>
      <c r="AN145" s="6" t="n"/>
      <c r="AO145" s="96" t="n"/>
      <c r="AP145" s="97">
        <f>IFERROR(IF(AND(NOT(ISNUMBER(F145)),NOT(ISNUMBER(AO145))),"",F145+AO145),"")</f>
        <v/>
      </c>
      <c r="AQ145" s="97">
        <f>IFERROR(IF(OR(NOT(ISNUMBER(E145)),NOT(ISNUMBER(AP145))),"",E145-AP145),"")</f>
        <v/>
      </c>
      <c r="AR145" s="96" t="n"/>
      <c r="AS145" s="97">
        <f>IFERROR(IF(OR(NOT(ISNUMBER(AR145)),NOT(ISNUMBER(S145))),"",AR145-S145),"")</f>
        <v/>
      </c>
      <c r="AT145" s="45" t="n"/>
    </row>
    <row r="146" ht="15" customHeight="1" s="67">
      <c r="A146" s="6" t="n"/>
      <c r="B146" s="92" t="n"/>
      <c r="C146" s="93" t="n"/>
      <c r="D146" s="93" t="n"/>
      <c r="E146" s="93" t="n"/>
      <c r="F146" s="93" t="n"/>
      <c r="G146" s="93" t="n"/>
      <c r="H146" s="93" t="n"/>
      <c r="I146" s="93" t="n"/>
      <c r="J146" s="93" t="n"/>
      <c r="K146" s="93" t="n"/>
      <c r="L146" s="93" t="n"/>
      <c r="M146" s="93" t="n"/>
      <c r="N146" s="93" t="n"/>
      <c r="O146" s="93" t="n"/>
      <c r="P146" s="94">
        <f>IFERROR(J146-M146,"")</f>
        <v/>
      </c>
      <c r="Q146" s="93" t="n"/>
      <c r="R146" s="93" t="n"/>
      <c r="S146" s="94">
        <f>IFERROR(R146-Q146,"")</f>
        <v/>
      </c>
      <c r="T146" s="93" t="n"/>
      <c r="U146" s="93" t="n"/>
      <c r="V146" s="94">
        <f>IFERROR(T146-U146,"")</f>
        <v/>
      </c>
      <c r="W146" s="93" t="n"/>
      <c r="X146" s="93" t="n"/>
      <c r="Y146" s="93" t="n"/>
      <c r="Z146" s="93" t="n"/>
      <c r="AA146" s="93" t="n"/>
      <c r="AB146" s="93" t="n"/>
      <c r="AC146" s="94">
        <f>IFERROR(W146*AB146/1000,"")</f>
        <v/>
      </c>
      <c r="AD146" s="17">
        <f>IFERROR(J146/M146,"")</f>
        <v/>
      </c>
      <c r="AE146" s="17">
        <f>IFERROR(R146/I146,"")</f>
        <v/>
      </c>
      <c r="AF146" s="17">
        <f>IFERROR(R146/O146,"")</f>
        <v/>
      </c>
      <c r="AG146" s="95">
        <f>IFERROR(G146/I146,"")</f>
        <v/>
      </c>
      <c r="AH146" s="95">
        <f>IFERROR(G146/O146,"")</f>
        <v/>
      </c>
      <c r="AI146" s="95">
        <f>IFERROR(G146/C146,"")</f>
        <v/>
      </c>
      <c r="AJ146" s="95">
        <f>IFERROR(D146/C146,"")</f>
        <v/>
      </c>
      <c r="AK146" s="6" t="n"/>
      <c r="AL146" s="6" t="n"/>
      <c r="AM146" s="6" t="n"/>
      <c r="AN146" s="6" t="n"/>
      <c r="AO146" s="96" t="n"/>
      <c r="AP146" s="97">
        <f>IFERROR(IF(AND(NOT(ISNUMBER(F146)),NOT(ISNUMBER(AO146))),"",F146+AO146),"")</f>
        <v/>
      </c>
      <c r="AQ146" s="97">
        <f>IFERROR(IF(OR(NOT(ISNUMBER(E146)),NOT(ISNUMBER(AP146))),"",E146-AP146),"")</f>
        <v/>
      </c>
      <c r="AR146" s="96" t="n"/>
      <c r="AS146" s="97">
        <f>IFERROR(IF(OR(NOT(ISNUMBER(AR146)),NOT(ISNUMBER(S146))),"",AR146-S146),"")</f>
        <v/>
      </c>
      <c r="AT146" s="45" t="n"/>
    </row>
    <row r="147" ht="15" customHeight="1" s="67">
      <c r="A147" s="6" t="n"/>
      <c r="B147" s="92" t="n"/>
      <c r="C147" s="93" t="n"/>
      <c r="D147" s="93" t="n"/>
      <c r="E147" s="93" t="n"/>
      <c r="F147" s="93" t="n"/>
      <c r="G147" s="93" t="n"/>
      <c r="H147" s="93" t="n"/>
      <c r="I147" s="93" t="n"/>
      <c r="J147" s="93" t="n"/>
      <c r="K147" s="93" t="n"/>
      <c r="L147" s="93" t="n"/>
      <c r="M147" s="93" t="n"/>
      <c r="N147" s="93" t="n"/>
      <c r="O147" s="93" t="n"/>
      <c r="P147" s="94">
        <f>IFERROR(J147-M147,"")</f>
        <v/>
      </c>
      <c r="Q147" s="93" t="n"/>
      <c r="R147" s="93" t="n"/>
      <c r="S147" s="94">
        <f>IFERROR(R147-Q147,"")</f>
        <v/>
      </c>
      <c r="T147" s="93" t="n"/>
      <c r="U147" s="93" t="n"/>
      <c r="V147" s="94">
        <f>IFERROR(T147-U147,"")</f>
        <v/>
      </c>
      <c r="W147" s="93" t="n"/>
      <c r="X147" s="93" t="n"/>
      <c r="Y147" s="93" t="n"/>
      <c r="Z147" s="93" t="n"/>
      <c r="AA147" s="93" t="n"/>
      <c r="AB147" s="93" t="n"/>
      <c r="AC147" s="94">
        <f>IFERROR(W147*AB147/1000,"")</f>
        <v/>
      </c>
      <c r="AD147" s="17">
        <f>IFERROR(J147/M147,"")</f>
        <v/>
      </c>
      <c r="AE147" s="17">
        <f>IFERROR(R147/I147,"")</f>
        <v/>
      </c>
      <c r="AF147" s="17">
        <f>IFERROR(R147/O147,"")</f>
        <v/>
      </c>
      <c r="AG147" s="95">
        <f>IFERROR(G147/I147,"")</f>
        <v/>
      </c>
      <c r="AH147" s="95">
        <f>IFERROR(G147/O147,"")</f>
        <v/>
      </c>
      <c r="AI147" s="95">
        <f>IFERROR(G147/C147,"")</f>
        <v/>
      </c>
      <c r="AJ147" s="95">
        <f>IFERROR(D147/C147,"")</f>
        <v/>
      </c>
      <c r="AK147" s="6" t="n"/>
      <c r="AL147" s="6" t="n"/>
      <c r="AM147" s="6" t="n"/>
      <c r="AN147" s="6" t="n"/>
      <c r="AO147" s="96" t="n"/>
      <c r="AP147" s="97">
        <f>IFERROR(IF(AND(NOT(ISNUMBER(F147)),NOT(ISNUMBER(AO147))),"",F147+AO147),"")</f>
        <v/>
      </c>
      <c r="AQ147" s="97">
        <f>IFERROR(IF(OR(NOT(ISNUMBER(E147)),NOT(ISNUMBER(AP147))),"",E147-AP147),"")</f>
        <v/>
      </c>
      <c r="AR147" s="96" t="n"/>
      <c r="AS147" s="97">
        <f>IFERROR(IF(OR(NOT(ISNUMBER(AR147)),NOT(ISNUMBER(S147))),"",AR147-S147),"")</f>
        <v/>
      </c>
      <c r="AT147" s="45" t="n"/>
    </row>
    <row r="148" ht="15" customHeight="1" s="67">
      <c r="A148" s="6" t="n"/>
      <c r="B148" s="92" t="n"/>
      <c r="C148" s="93" t="n"/>
      <c r="D148" s="93" t="n"/>
      <c r="E148" s="93" t="n"/>
      <c r="F148" s="93" t="n"/>
      <c r="G148" s="93" t="n"/>
      <c r="H148" s="93" t="n"/>
      <c r="I148" s="93" t="n"/>
      <c r="J148" s="93" t="n"/>
      <c r="K148" s="93" t="n"/>
      <c r="L148" s="93" t="n"/>
      <c r="M148" s="93" t="n"/>
      <c r="N148" s="93" t="n"/>
      <c r="O148" s="93" t="n"/>
      <c r="P148" s="94">
        <f>IFERROR(J148-M148,"")</f>
        <v/>
      </c>
      <c r="Q148" s="93" t="n"/>
      <c r="R148" s="93" t="n"/>
      <c r="S148" s="94">
        <f>IFERROR(R148-Q148,"")</f>
        <v/>
      </c>
      <c r="T148" s="93" t="n"/>
      <c r="U148" s="93" t="n"/>
      <c r="V148" s="94">
        <f>IFERROR(T148-U148,"")</f>
        <v/>
      </c>
      <c r="W148" s="93" t="n"/>
      <c r="X148" s="93" t="n"/>
      <c r="Y148" s="93" t="n"/>
      <c r="Z148" s="93" t="n"/>
      <c r="AA148" s="93" t="n"/>
      <c r="AB148" s="93" t="n"/>
      <c r="AC148" s="94">
        <f>IFERROR(W148*AB148/1000,"")</f>
        <v/>
      </c>
      <c r="AD148" s="17">
        <f>IFERROR(J148/M148,"")</f>
        <v/>
      </c>
      <c r="AE148" s="17">
        <f>IFERROR(R148/I148,"")</f>
        <v/>
      </c>
      <c r="AF148" s="17">
        <f>IFERROR(R148/O148,"")</f>
        <v/>
      </c>
      <c r="AG148" s="95">
        <f>IFERROR(G148/I148,"")</f>
        <v/>
      </c>
      <c r="AH148" s="95">
        <f>IFERROR(G148/O148,"")</f>
        <v/>
      </c>
      <c r="AI148" s="95">
        <f>IFERROR(G148/C148,"")</f>
        <v/>
      </c>
      <c r="AJ148" s="95">
        <f>IFERROR(D148/C148,"")</f>
        <v/>
      </c>
      <c r="AK148" s="6" t="n"/>
      <c r="AL148" s="6" t="n"/>
      <c r="AM148" s="6" t="n"/>
      <c r="AN148" s="6" t="n"/>
      <c r="AO148" s="96" t="n"/>
      <c r="AP148" s="97">
        <f>IFERROR(IF(AND(NOT(ISNUMBER(F148)),NOT(ISNUMBER(AO148))),"",F148+AO148),"")</f>
        <v/>
      </c>
      <c r="AQ148" s="97">
        <f>IFERROR(IF(OR(NOT(ISNUMBER(E148)),NOT(ISNUMBER(AP148))),"",E148-AP148),"")</f>
        <v/>
      </c>
      <c r="AR148" s="96" t="n"/>
      <c r="AS148" s="97">
        <f>IFERROR(IF(OR(NOT(ISNUMBER(AR148)),NOT(ISNUMBER(S148))),"",AR148-S148),"")</f>
        <v/>
      </c>
      <c r="AT148" s="45" t="n"/>
    </row>
    <row r="149" ht="15" customHeight="1" s="67">
      <c r="A149" s="6" t="n"/>
      <c r="B149" s="92" t="n"/>
      <c r="C149" s="93" t="n"/>
      <c r="D149" s="93" t="n"/>
      <c r="E149" s="93" t="n"/>
      <c r="F149" s="93" t="n"/>
      <c r="G149" s="93" t="n"/>
      <c r="H149" s="93" t="n"/>
      <c r="I149" s="93" t="n"/>
      <c r="J149" s="93" t="n"/>
      <c r="K149" s="93" t="n"/>
      <c r="L149" s="93" t="n"/>
      <c r="M149" s="93" t="n"/>
      <c r="N149" s="93" t="n"/>
      <c r="O149" s="93" t="n"/>
      <c r="P149" s="94">
        <f>IFERROR(J149-M149,"")</f>
        <v/>
      </c>
      <c r="Q149" s="93" t="n"/>
      <c r="R149" s="93" t="n"/>
      <c r="S149" s="94">
        <f>IFERROR(R149-Q149,"")</f>
        <v/>
      </c>
      <c r="T149" s="93" t="n"/>
      <c r="U149" s="93" t="n"/>
      <c r="V149" s="94">
        <f>IFERROR(T149-U149,"")</f>
        <v/>
      </c>
      <c r="W149" s="93" t="n"/>
      <c r="X149" s="93" t="n"/>
      <c r="Y149" s="93" t="n"/>
      <c r="Z149" s="93" t="n"/>
      <c r="AA149" s="93" t="n"/>
      <c r="AB149" s="93" t="n"/>
      <c r="AC149" s="94">
        <f>IFERROR(W149*AB149/1000,"")</f>
        <v/>
      </c>
      <c r="AD149" s="17">
        <f>IFERROR(J149/M149,"")</f>
        <v/>
      </c>
      <c r="AE149" s="17">
        <f>IFERROR(R149/I149,"")</f>
        <v/>
      </c>
      <c r="AF149" s="17">
        <f>IFERROR(R149/O149,"")</f>
        <v/>
      </c>
      <c r="AG149" s="95">
        <f>IFERROR(G149/I149,"")</f>
        <v/>
      </c>
      <c r="AH149" s="95">
        <f>IFERROR(G149/O149,"")</f>
        <v/>
      </c>
      <c r="AI149" s="95">
        <f>IFERROR(G149/C149,"")</f>
        <v/>
      </c>
      <c r="AJ149" s="95">
        <f>IFERROR(D149/C149,"")</f>
        <v/>
      </c>
      <c r="AK149" s="6" t="n"/>
      <c r="AL149" s="6" t="n"/>
      <c r="AM149" s="6" t="n"/>
      <c r="AN149" s="6" t="n"/>
      <c r="AO149" s="96" t="n"/>
      <c r="AP149" s="97">
        <f>IFERROR(IF(AND(NOT(ISNUMBER(F149)),NOT(ISNUMBER(AO149))),"",F149+AO149),"")</f>
        <v/>
      </c>
      <c r="AQ149" s="97">
        <f>IFERROR(IF(OR(NOT(ISNUMBER(E149)),NOT(ISNUMBER(AP149))),"",E149-AP149),"")</f>
        <v/>
      </c>
      <c r="AR149" s="96" t="n"/>
      <c r="AS149" s="97">
        <f>IFERROR(IF(OR(NOT(ISNUMBER(AR149)),NOT(ISNUMBER(S149))),"",AR149-S149),"")</f>
        <v/>
      </c>
      <c r="AT149" s="45" t="n"/>
    </row>
    <row r="150" ht="15" customHeight="1" s="67">
      <c r="A150" s="6" t="n"/>
      <c r="B150" s="92" t="n"/>
      <c r="C150" s="93" t="n"/>
      <c r="D150" s="93" t="n"/>
      <c r="E150" s="93" t="n"/>
      <c r="F150" s="93" t="n"/>
      <c r="G150" s="93" t="n"/>
      <c r="H150" s="93" t="n"/>
      <c r="I150" s="93" t="n"/>
      <c r="J150" s="93" t="n"/>
      <c r="K150" s="93" t="n"/>
      <c r="L150" s="93" t="n"/>
      <c r="M150" s="93" t="n"/>
      <c r="N150" s="93" t="n"/>
      <c r="O150" s="93" t="n"/>
      <c r="P150" s="94">
        <f>IFERROR(J150-M150,"")</f>
        <v/>
      </c>
      <c r="Q150" s="93" t="n"/>
      <c r="R150" s="93" t="n"/>
      <c r="S150" s="94">
        <f>IFERROR(R150-Q150,"")</f>
        <v/>
      </c>
      <c r="T150" s="93" t="n"/>
      <c r="U150" s="93" t="n"/>
      <c r="V150" s="94">
        <f>IFERROR(T150-U150,"")</f>
        <v/>
      </c>
      <c r="W150" s="93" t="n"/>
      <c r="X150" s="93" t="n"/>
      <c r="Y150" s="93" t="n"/>
      <c r="Z150" s="93" t="n"/>
      <c r="AA150" s="93" t="n"/>
      <c r="AB150" s="93" t="n"/>
      <c r="AC150" s="94">
        <f>IFERROR(W150*AB150/1000,"")</f>
        <v/>
      </c>
      <c r="AD150" s="17">
        <f>IFERROR(J150/M150,"")</f>
        <v/>
      </c>
      <c r="AE150" s="17">
        <f>IFERROR(R150/I150,"")</f>
        <v/>
      </c>
      <c r="AF150" s="17">
        <f>IFERROR(R150/O150,"")</f>
        <v/>
      </c>
      <c r="AG150" s="95">
        <f>IFERROR(G150/I150,"")</f>
        <v/>
      </c>
      <c r="AH150" s="95">
        <f>IFERROR(G150/O150,"")</f>
        <v/>
      </c>
      <c r="AI150" s="95">
        <f>IFERROR(G150/C150,"")</f>
        <v/>
      </c>
      <c r="AJ150" s="95">
        <f>IFERROR(D150/C150,"")</f>
        <v/>
      </c>
      <c r="AK150" s="6" t="n"/>
      <c r="AL150" s="6" t="n"/>
      <c r="AM150" s="6" t="n"/>
      <c r="AN150" s="6" t="n"/>
      <c r="AO150" s="96" t="n"/>
      <c r="AP150" s="97">
        <f>IFERROR(IF(AND(NOT(ISNUMBER(F150)),NOT(ISNUMBER(AO150))),"",F150+AO150),"")</f>
        <v/>
      </c>
      <c r="AQ150" s="97">
        <f>IFERROR(IF(OR(NOT(ISNUMBER(E150)),NOT(ISNUMBER(AP150))),"",E150-AP150),"")</f>
        <v/>
      </c>
      <c r="AR150" s="96" t="n"/>
      <c r="AS150" s="97">
        <f>IFERROR(IF(OR(NOT(ISNUMBER(AR150)),NOT(ISNUMBER(S150))),"",AR150-S150),"")</f>
        <v/>
      </c>
      <c r="AT150" s="45" t="n"/>
    </row>
    <row r="151" ht="15" customHeight="1" s="67">
      <c r="A151" s="6" t="n"/>
      <c r="B151" s="92" t="n"/>
      <c r="C151" s="93" t="n"/>
      <c r="D151" s="93" t="n"/>
      <c r="E151" s="93" t="n"/>
      <c r="F151" s="93" t="n"/>
      <c r="G151" s="93" t="n"/>
      <c r="H151" s="93" t="n"/>
      <c r="I151" s="93" t="n"/>
      <c r="J151" s="93" t="n"/>
      <c r="K151" s="93" t="n"/>
      <c r="L151" s="93" t="n"/>
      <c r="M151" s="93" t="n"/>
      <c r="N151" s="93" t="n"/>
      <c r="O151" s="93" t="n"/>
      <c r="P151" s="94">
        <f>IFERROR(J151-M151,"")</f>
        <v/>
      </c>
      <c r="Q151" s="93" t="n"/>
      <c r="R151" s="93" t="n"/>
      <c r="S151" s="94">
        <f>IFERROR(R151-Q151,"")</f>
        <v/>
      </c>
      <c r="T151" s="93" t="n"/>
      <c r="U151" s="93" t="n"/>
      <c r="V151" s="94">
        <f>IFERROR(T151-U151,"")</f>
        <v/>
      </c>
      <c r="W151" s="93" t="n"/>
      <c r="X151" s="93" t="n"/>
      <c r="Y151" s="93" t="n"/>
      <c r="Z151" s="93" t="n"/>
      <c r="AA151" s="93" t="n"/>
      <c r="AB151" s="93" t="n"/>
      <c r="AC151" s="94">
        <f>IFERROR(W151*AB151/1000,"")</f>
        <v/>
      </c>
      <c r="AD151" s="17">
        <f>IFERROR(J151/M151,"")</f>
        <v/>
      </c>
      <c r="AE151" s="17">
        <f>IFERROR(R151/I151,"")</f>
        <v/>
      </c>
      <c r="AF151" s="17">
        <f>IFERROR(R151/O151,"")</f>
        <v/>
      </c>
      <c r="AG151" s="95">
        <f>IFERROR(G151/I151,"")</f>
        <v/>
      </c>
      <c r="AH151" s="95">
        <f>IFERROR(G151/O151,"")</f>
        <v/>
      </c>
      <c r="AI151" s="95">
        <f>IFERROR(G151/C151,"")</f>
        <v/>
      </c>
      <c r="AJ151" s="95">
        <f>IFERROR(D151/C151,"")</f>
        <v/>
      </c>
      <c r="AK151" s="6" t="n"/>
      <c r="AL151" s="6" t="n"/>
      <c r="AM151" s="6" t="n"/>
      <c r="AN151" s="6" t="n"/>
      <c r="AO151" s="96" t="n"/>
      <c r="AP151" s="97">
        <f>IFERROR(IF(AND(NOT(ISNUMBER(F151)),NOT(ISNUMBER(AO151))),"",F151+AO151),"")</f>
        <v/>
      </c>
      <c r="AQ151" s="97">
        <f>IFERROR(IF(OR(NOT(ISNUMBER(E151)),NOT(ISNUMBER(AP151))),"",E151-AP151),"")</f>
        <v/>
      </c>
      <c r="AR151" s="96" t="n"/>
      <c r="AS151" s="97">
        <f>IFERROR(IF(OR(NOT(ISNUMBER(AR151)),NOT(ISNUMBER(S151))),"",AR151-S151),"")</f>
        <v/>
      </c>
      <c r="AT151" s="45" t="n"/>
    </row>
    <row r="152" ht="15" customHeight="1" s="67">
      <c r="A152" s="6" t="n"/>
      <c r="B152" s="92" t="n"/>
      <c r="C152" s="93" t="n"/>
      <c r="D152" s="93" t="n"/>
      <c r="E152" s="93" t="n"/>
      <c r="F152" s="93" t="n"/>
      <c r="G152" s="93" t="n"/>
      <c r="H152" s="93" t="n"/>
      <c r="I152" s="93" t="n"/>
      <c r="J152" s="93" t="n"/>
      <c r="K152" s="93" t="n"/>
      <c r="L152" s="93" t="n"/>
      <c r="M152" s="93" t="n"/>
      <c r="N152" s="93" t="n"/>
      <c r="O152" s="93" t="n"/>
      <c r="P152" s="94">
        <f>IFERROR(J152-M152,"")</f>
        <v/>
      </c>
      <c r="Q152" s="93" t="n"/>
      <c r="R152" s="93" t="n"/>
      <c r="S152" s="94">
        <f>IFERROR(R152-Q152,"")</f>
        <v/>
      </c>
      <c r="T152" s="93" t="n"/>
      <c r="U152" s="93" t="n"/>
      <c r="V152" s="94">
        <f>IFERROR(T152-U152,"")</f>
        <v/>
      </c>
      <c r="W152" s="93" t="n"/>
      <c r="X152" s="93" t="n"/>
      <c r="Y152" s="93" t="n"/>
      <c r="Z152" s="93" t="n"/>
      <c r="AA152" s="93" t="n"/>
      <c r="AB152" s="93" t="n"/>
      <c r="AC152" s="94">
        <f>IFERROR(W152*AB152/1000,"")</f>
        <v/>
      </c>
      <c r="AD152" s="17">
        <f>IFERROR(J152/M152,"")</f>
        <v/>
      </c>
      <c r="AE152" s="17">
        <f>IFERROR(R152/I152,"")</f>
        <v/>
      </c>
      <c r="AF152" s="17">
        <f>IFERROR(R152/O152,"")</f>
        <v/>
      </c>
      <c r="AG152" s="95">
        <f>IFERROR(G152/I152,"")</f>
        <v/>
      </c>
      <c r="AH152" s="95">
        <f>IFERROR(G152/O152,"")</f>
        <v/>
      </c>
      <c r="AI152" s="95">
        <f>IFERROR(G152/C152,"")</f>
        <v/>
      </c>
      <c r="AJ152" s="95">
        <f>IFERROR(D152/C152,"")</f>
        <v/>
      </c>
      <c r="AK152" s="6" t="n"/>
      <c r="AL152" s="6" t="n"/>
      <c r="AM152" s="6" t="n"/>
      <c r="AN152" s="6" t="n"/>
      <c r="AO152" s="96" t="n"/>
      <c r="AP152" s="97">
        <f>IFERROR(IF(AND(NOT(ISNUMBER(F152)),NOT(ISNUMBER(AO152))),"",F152+AO152),"")</f>
        <v/>
      </c>
      <c r="AQ152" s="97">
        <f>IFERROR(IF(OR(NOT(ISNUMBER(E152)),NOT(ISNUMBER(AP152))),"",E152-AP152),"")</f>
        <v/>
      </c>
      <c r="AR152" s="96" t="n"/>
      <c r="AS152" s="97">
        <f>IFERROR(IF(OR(NOT(ISNUMBER(AR152)),NOT(ISNUMBER(S152))),"",AR152-S152),"")</f>
        <v/>
      </c>
      <c r="AT152" s="45" t="n"/>
    </row>
    <row r="153" ht="15" customHeight="1" s="67">
      <c r="A153" s="6" t="n"/>
      <c r="B153" s="92" t="n"/>
      <c r="C153" s="93" t="n"/>
      <c r="D153" s="93" t="n"/>
      <c r="E153" s="93" t="n"/>
      <c r="F153" s="93" t="n"/>
      <c r="G153" s="93" t="n"/>
      <c r="H153" s="93" t="n"/>
      <c r="I153" s="93" t="n"/>
      <c r="J153" s="93" t="n"/>
      <c r="K153" s="93" t="n"/>
      <c r="L153" s="93" t="n"/>
      <c r="M153" s="93" t="n"/>
      <c r="N153" s="93" t="n"/>
      <c r="O153" s="93" t="n"/>
      <c r="P153" s="94">
        <f>IFERROR(J153-M153,"")</f>
        <v/>
      </c>
      <c r="Q153" s="93" t="n"/>
      <c r="R153" s="93" t="n"/>
      <c r="S153" s="94">
        <f>IFERROR(R153-Q153,"")</f>
        <v/>
      </c>
      <c r="T153" s="93" t="n"/>
      <c r="U153" s="93" t="n"/>
      <c r="V153" s="94">
        <f>IFERROR(T153-U153,"")</f>
        <v/>
      </c>
      <c r="W153" s="93" t="n"/>
      <c r="X153" s="93" t="n"/>
      <c r="Y153" s="93" t="n"/>
      <c r="Z153" s="93" t="n"/>
      <c r="AA153" s="93" t="n"/>
      <c r="AB153" s="93" t="n"/>
      <c r="AC153" s="94">
        <f>IFERROR(W153*AB153/1000,"")</f>
        <v/>
      </c>
      <c r="AD153" s="17">
        <f>IFERROR(J153/M153,"")</f>
        <v/>
      </c>
      <c r="AE153" s="17">
        <f>IFERROR(R153/I153,"")</f>
        <v/>
      </c>
      <c r="AF153" s="17">
        <f>IFERROR(R153/O153,"")</f>
        <v/>
      </c>
      <c r="AG153" s="95">
        <f>IFERROR(G153/I153,"")</f>
        <v/>
      </c>
      <c r="AH153" s="95">
        <f>IFERROR(G153/O153,"")</f>
        <v/>
      </c>
      <c r="AI153" s="95">
        <f>IFERROR(G153/C153,"")</f>
        <v/>
      </c>
      <c r="AJ153" s="95">
        <f>IFERROR(D153/C153,"")</f>
        <v/>
      </c>
      <c r="AK153" s="6" t="n"/>
      <c r="AL153" s="6" t="n"/>
      <c r="AM153" s="6" t="n"/>
      <c r="AN153" s="6" t="n"/>
      <c r="AO153" s="96" t="n"/>
      <c r="AP153" s="97">
        <f>IFERROR(IF(AND(NOT(ISNUMBER(F153)),NOT(ISNUMBER(AO153))),"",F153+AO153),"")</f>
        <v/>
      </c>
      <c r="AQ153" s="97">
        <f>IFERROR(IF(OR(NOT(ISNUMBER(E153)),NOT(ISNUMBER(AP153))),"",E153-AP153),"")</f>
        <v/>
      </c>
      <c r="AR153" s="96" t="n"/>
      <c r="AS153" s="97">
        <f>IFERROR(IF(OR(NOT(ISNUMBER(AR153)),NOT(ISNUMBER(S153))),"",AR153-S153),"")</f>
        <v/>
      </c>
      <c r="AT153" s="45" t="n"/>
    </row>
    <row r="154" ht="15" customHeight="1" s="67">
      <c r="A154" s="6" t="n"/>
      <c r="B154" s="92" t="n"/>
      <c r="C154" s="93" t="n"/>
      <c r="D154" s="93" t="n"/>
      <c r="E154" s="93" t="n"/>
      <c r="F154" s="93" t="n"/>
      <c r="G154" s="93" t="n"/>
      <c r="H154" s="93" t="n"/>
      <c r="I154" s="93" t="n"/>
      <c r="J154" s="93" t="n"/>
      <c r="K154" s="93" t="n"/>
      <c r="L154" s="93" t="n"/>
      <c r="M154" s="93" t="n"/>
      <c r="N154" s="93" t="n"/>
      <c r="O154" s="93" t="n"/>
      <c r="P154" s="94">
        <f>IFERROR(J154-M154,"")</f>
        <v/>
      </c>
      <c r="Q154" s="93" t="n"/>
      <c r="R154" s="93" t="n"/>
      <c r="S154" s="94">
        <f>IFERROR(R154-Q154,"")</f>
        <v/>
      </c>
      <c r="T154" s="93" t="n"/>
      <c r="U154" s="93" t="n"/>
      <c r="V154" s="94">
        <f>IFERROR(T154-U154,"")</f>
        <v/>
      </c>
      <c r="W154" s="93" t="n"/>
      <c r="X154" s="93" t="n"/>
      <c r="Y154" s="93" t="n"/>
      <c r="Z154" s="93" t="n"/>
      <c r="AA154" s="93" t="n"/>
      <c r="AB154" s="93" t="n"/>
      <c r="AC154" s="94">
        <f>IFERROR(W154*AB154/1000,"")</f>
        <v/>
      </c>
      <c r="AD154" s="17">
        <f>IFERROR(J154/M154,"")</f>
        <v/>
      </c>
      <c r="AE154" s="17">
        <f>IFERROR(R154/I154,"")</f>
        <v/>
      </c>
      <c r="AF154" s="17">
        <f>IFERROR(R154/O154,"")</f>
        <v/>
      </c>
      <c r="AG154" s="95">
        <f>IFERROR(G154/I154,"")</f>
        <v/>
      </c>
      <c r="AH154" s="95">
        <f>IFERROR(G154/O154,"")</f>
        <v/>
      </c>
      <c r="AI154" s="95">
        <f>IFERROR(G154/C154,"")</f>
        <v/>
      </c>
      <c r="AJ154" s="95">
        <f>IFERROR(D154/C154,"")</f>
        <v/>
      </c>
      <c r="AK154" s="6" t="n"/>
      <c r="AL154" s="6" t="n"/>
      <c r="AM154" s="6" t="n"/>
      <c r="AN154" s="6" t="n"/>
      <c r="AO154" s="96" t="n"/>
      <c r="AP154" s="97">
        <f>IFERROR(IF(AND(NOT(ISNUMBER(F154)),NOT(ISNUMBER(AO154))),"",F154+AO154),"")</f>
        <v/>
      </c>
      <c r="AQ154" s="97">
        <f>IFERROR(IF(OR(NOT(ISNUMBER(E154)),NOT(ISNUMBER(AP154))),"",E154-AP154),"")</f>
        <v/>
      </c>
      <c r="AR154" s="96" t="n"/>
      <c r="AS154" s="97">
        <f>IFERROR(IF(OR(NOT(ISNUMBER(AR154)),NOT(ISNUMBER(S154))),"",AR154-S154),"")</f>
        <v/>
      </c>
      <c r="AT154" s="45" t="n"/>
    </row>
    <row r="155" ht="15" customHeight="1" s="67">
      <c r="A155" s="6" t="n"/>
      <c r="B155" s="92" t="n"/>
      <c r="C155" s="93" t="n"/>
      <c r="D155" s="93" t="n"/>
      <c r="E155" s="93" t="n"/>
      <c r="F155" s="93" t="n"/>
      <c r="G155" s="93" t="n"/>
      <c r="H155" s="93" t="n"/>
      <c r="I155" s="93" t="n"/>
      <c r="J155" s="93" t="n"/>
      <c r="K155" s="93" t="n"/>
      <c r="L155" s="93" t="n"/>
      <c r="M155" s="93" t="n"/>
      <c r="N155" s="93" t="n"/>
      <c r="O155" s="93" t="n"/>
      <c r="P155" s="94">
        <f>IFERROR(J155-M155,"")</f>
        <v/>
      </c>
      <c r="Q155" s="93" t="n"/>
      <c r="R155" s="93" t="n"/>
      <c r="S155" s="94">
        <f>IFERROR(R155-Q155,"")</f>
        <v/>
      </c>
      <c r="T155" s="93" t="n"/>
      <c r="U155" s="93" t="n"/>
      <c r="V155" s="94">
        <f>IFERROR(T155-U155,"")</f>
        <v/>
      </c>
      <c r="W155" s="93" t="n"/>
      <c r="X155" s="93" t="n"/>
      <c r="Y155" s="93" t="n"/>
      <c r="Z155" s="93" t="n"/>
      <c r="AA155" s="93" t="n"/>
      <c r="AB155" s="93" t="n"/>
      <c r="AC155" s="94">
        <f>IFERROR(W155*AB155/1000,"")</f>
        <v/>
      </c>
      <c r="AD155" s="17">
        <f>IFERROR(J155/M155,"")</f>
        <v/>
      </c>
      <c r="AE155" s="17">
        <f>IFERROR(R155/I155,"")</f>
        <v/>
      </c>
      <c r="AF155" s="17">
        <f>IFERROR(R155/O155,"")</f>
        <v/>
      </c>
      <c r="AG155" s="95">
        <f>IFERROR(G155/I155,"")</f>
        <v/>
      </c>
      <c r="AH155" s="95">
        <f>IFERROR(G155/O155,"")</f>
        <v/>
      </c>
      <c r="AI155" s="95">
        <f>IFERROR(G155/C155,"")</f>
        <v/>
      </c>
      <c r="AJ155" s="95">
        <f>IFERROR(D155/C155,"")</f>
        <v/>
      </c>
      <c r="AK155" s="6" t="n"/>
      <c r="AL155" s="6" t="n"/>
      <c r="AM155" s="6" t="n"/>
      <c r="AN155" s="6" t="n"/>
      <c r="AO155" s="96" t="n"/>
      <c r="AP155" s="97">
        <f>IFERROR(IF(AND(NOT(ISNUMBER(F155)),NOT(ISNUMBER(AO155))),"",F155+AO155),"")</f>
        <v/>
      </c>
      <c r="AQ155" s="97">
        <f>IFERROR(IF(OR(NOT(ISNUMBER(E155)),NOT(ISNUMBER(AP155))),"",E155-AP155),"")</f>
        <v/>
      </c>
      <c r="AR155" s="96" t="n"/>
      <c r="AS155" s="97">
        <f>IFERROR(IF(OR(NOT(ISNUMBER(AR155)),NOT(ISNUMBER(S155))),"",AR155-S155),"")</f>
        <v/>
      </c>
      <c r="AT155" s="45" t="n"/>
    </row>
    <row r="156" ht="15" customHeight="1" s="67">
      <c r="A156" s="6" t="n"/>
      <c r="B156" s="92" t="n"/>
      <c r="C156" s="93" t="n"/>
      <c r="D156" s="93" t="n"/>
      <c r="E156" s="93" t="n"/>
      <c r="F156" s="93" t="n"/>
      <c r="G156" s="93" t="n"/>
      <c r="H156" s="93" t="n"/>
      <c r="I156" s="93" t="n"/>
      <c r="J156" s="93" t="n"/>
      <c r="K156" s="93" t="n"/>
      <c r="L156" s="93" t="n"/>
      <c r="M156" s="93" t="n"/>
      <c r="N156" s="93" t="n"/>
      <c r="O156" s="93" t="n"/>
      <c r="P156" s="94">
        <f>IFERROR(J156-M156,"")</f>
        <v/>
      </c>
      <c r="Q156" s="93" t="n"/>
      <c r="R156" s="93" t="n"/>
      <c r="S156" s="94">
        <f>IFERROR(R156-Q156,"")</f>
        <v/>
      </c>
      <c r="T156" s="93" t="n"/>
      <c r="U156" s="93" t="n"/>
      <c r="V156" s="94">
        <f>IFERROR(T156-U156,"")</f>
        <v/>
      </c>
      <c r="W156" s="93" t="n"/>
      <c r="X156" s="93" t="n"/>
      <c r="Y156" s="93" t="n"/>
      <c r="Z156" s="93" t="n"/>
      <c r="AA156" s="93" t="n"/>
      <c r="AB156" s="93" t="n"/>
      <c r="AC156" s="94">
        <f>IFERROR(W156*AB156/1000,"")</f>
        <v/>
      </c>
      <c r="AD156" s="17">
        <f>IFERROR(J156/M156,"")</f>
        <v/>
      </c>
      <c r="AE156" s="17">
        <f>IFERROR(R156/I156,"")</f>
        <v/>
      </c>
      <c r="AF156" s="17">
        <f>IFERROR(R156/O156,"")</f>
        <v/>
      </c>
      <c r="AG156" s="95">
        <f>IFERROR(G156/I156,"")</f>
        <v/>
      </c>
      <c r="AH156" s="95">
        <f>IFERROR(G156/O156,"")</f>
        <v/>
      </c>
      <c r="AI156" s="95">
        <f>IFERROR(G156/C156,"")</f>
        <v/>
      </c>
      <c r="AJ156" s="95">
        <f>IFERROR(D156/C156,"")</f>
        <v/>
      </c>
      <c r="AK156" s="6" t="n"/>
      <c r="AL156" s="6" t="n"/>
      <c r="AM156" s="6" t="n"/>
      <c r="AN156" s="6" t="n"/>
      <c r="AO156" s="96" t="n"/>
      <c r="AP156" s="97">
        <f>IFERROR(IF(AND(NOT(ISNUMBER(F156)),NOT(ISNUMBER(AO156))),"",F156+AO156),"")</f>
        <v/>
      </c>
      <c r="AQ156" s="97">
        <f>IFERROR(IF(OR(NOT(ISNUMBER(E156)),NOT(ISNUMBER(AP156))),"",E156-AP156),"")</f>
        <v/>
      </c>
      <c r="AR156" s="96" t="n"/>
      <c r="AS156" s="97">
        <f>IFERROR(IF(OR(NOT(ISNUMBER(AR156)),NOT(ISNUMBER(S156))),"",AR156-S156),"")</f>
        <v/>
      </c>
      <c r="AT156" s="45" t="n"/>
    </row>
    <row r="157" ht="15" customHeight="1" s="67">
      <c r="A157" s="6" t="n"/>
      <c r="B157" s="92" t="n"/>
      <c r="C157" s="93" t="n"/>
      <c r="D157" s="93" t="n"/>
      <c r="E157" s="93" t="n"/>
      <c r="F157" s="93" t="n"/>
      <c r="G157" s="93" t="n"/>
      <c r="H157" s="93" t="n"/>
      <c r="I157" s="93" t="n"/>
      <c r="J157" s="93" t="n"/>
      <c r="K157" s="93" t="n"/>
      <c r="L157" s="93" t="n"/>
      <c r="M157" s="93" t="n"/>
      <c r="N157" s="93" t="n"/>
      <c r="O157" s="93" t="n"/>
      <c r="P157" s="94">
        <f>IFERROR(J157-M157,"")</f>
        <v/>
      </c>
      <c r="Q157" s="93" t="n"/>
      <c r="R157" s="93" t="n"/>
      <c r="S157" s="94">
        <f>IFERROR(R157-Q157,"")</f>
        <v/>
      </c>
      <c r="T157" s="93" t="n"/>
      <c r="U157" s="93" t="n"/>
      <c r="V157" s="94">
        <f>IFERROR(T157-U157,"")</f>
        <v/>
      </c>
      <c r="W157" s="93" t="n"/>
      <c r="X157" s="93" t="n"/>
      <c r="Y157" s="93" t="n"/>
      <c r="Z157" s="93" t="n"/>
      <c r="AA157" s="93" t="n"/>
      <c r="AB157" s="93" t="n"/>
      <c r="AC157" s="94">
        <f>IFERROR(W157*AB157/1000,"")</f>
        <v/>
      </c>
      <c r="AD157" s="17">
        <f>IFERROR(J157/M157,"")</f>
        <v/>
      </c>
      <c r="AE157" s="17">
        <f>IFERROR(R157/I157,"")</f>
        <v/>
      </c>
      <c r="AF157" s="17">
        <f>IFERROR(R157/O157,"")</f>
        <v/>
      </c>
      <c r="AG157" s="95">
        <f>IFERROR(G157/I157,"")</f>
        <v/>
      </c>
      <c r="AH157" s="95">
        <f>IFERROR(G157/O157,"")</f>
        <v/>
      </c>
      <c r="AI157" s="95">
        <f>IFERROR(G157/C157,"")</f>
        <v/>
      </c>
      <c r="AJ157" s="95">
        <f>IFERROR(D157/C157,"")</f>
        <v/>
      </c>
      <c r="AK157" s="6" t="n"/>
      <c r="AL157" s="6" t="n"/>
      <c r="AM157" s="6" t="n"/>
      <c r="AN157" s="6" t="n"/>
      <c r="AO157" s="96" t="n"/>
      <c r="AP157" s="97">
        <f>IFERROR(IF(AND(NOT(ISNUMBER(F157)),NOT(ISNUMBER(AO157))),"",F157+AO157),"")</f>
        <v/>
      </c>
      <c r="AQ157" s="97">
        <f>IFERROR(IF(OR(NOT(ISNUMBER(E157)),NOT(ISNUMBER(AP157))),"",E157-AP157),"")</f>
        <v/>
      </c>
      <c r="AR157" s="96" t="n"/>
      <c r="AS157" s="97">
        <f>IFERROR(IF(OR(NOT(ISNUMBER(AR157)),NOT(ISNUMBER(S157))),"",AR157-S157),"")</f>
        <v/>
      </c>
      <c r="AT157" s="45" t="n"/>
    </row>
    <row r="158" ht="15" customHeight="1" s="67">
      <c r="A158" s="6" t="n"/>
      <c r="B158" s="92" t="n"/>
      <c r="C158" s="93" t="n"/>
      <c r="D158" s="93" t="n"/>
      <c r="E158" s="93" t="n"/>
      <c r="F158" s="93" t="n"/>
      <c r="G158" s="93" t="n"/>
      <c r="H158" s="93" t="n"/>
      <c r="I158" s="93" t="n"/>
      <c r="J158" s="93" t="n"/>
      <c r="K158" s="93" t="n"/>
      <c r="L158" s="93" t="n"/>
      <c r="M158" s="93" t="n"/>
      <c r="N158" s="93" t="n"/>
      <c r="O158" s="93" t="n"/>
      <c r="P158" s="94">
        <f>IFERROR(J158-M158,"")</f>
        <v/>
      </c>
      <c r="Q158" s="93" t="n"/>
      <c r="R158" s="93" t="n"/>
      <c r="S158" s="94">
        <f>IFERROR(R158-Q158,"")</f>
        <v/>
      </c>
      <c r="T158" s="93" t="n"/>
      <c r="U158" s="93" t="n"/>
      <c r="V158" s="94">
        <f>IFERROR(T158-U158,"")</f>
        <v/>
      </c>
      <c r="W158" s="93" t="n"/>
      <c r="X158" s="93" t="n"/>
      <c r="Y158" s="93" t="n"/>
      <c r="Z158" s="93" t="n"/>
      <c r="AA158" s="93" t="n"/>
      <c r="AB158" s="93" t="n"/>
      <c r="AC158" s="94">
        <f>IFERROR(W158*AB158/1000,"")</f>
        <v/>
      </c>
      <c r="AD158" s="17">
        <f>IFERROR(J158/M158,"")</f>
        <v/>
      </c>
      <c r="AE158" s="17">
        <f>IFERROR(R158/I158,"")</f>
        <v/>
      </c>
      <c r="AF158" s="17">
        <f>IFERROR(R158/O158,"")</f>
        <v/>
      </c>
      <c r="AG158" s="95">
        <f>IFERROR(G158/I158,"")</f>
        <v/>
      </c>
      <c r="AH158" s="95">
        <f>IFERROR(G158/O158,"")</f>
        <v/>
      </c>
      <c r="AI158" s="95">
        <f>IFERROR(G158/C158,"")</f>
        <v/>
      </c>
      <c r="AJ158" s="95">
        <f>IFERROR(D158/C158,"")</f>
        <v/>
      </c>
      <c r="AK158" s="6" t="n"/>
      <c r="AL158" s="6" t="n"/>
      <c r="AM158" s="6" t="n"/>
      <c r="AN158" s="6" t="n"/>
      <c r="AO158" s="96" t="n"/>
      <c r="AP158" s="97">
        <f>IFERROR(IF(AND(NOT(ISNUMBER(F158)),NOT(ISNUMBER(AO158))),"",F158+AO158),"")</f>
        <v/>
      </c>
      <c r="AQ158" s="97">
        <f>IFERROR(IF(OR(NOT(ISNUMBER(E158)),NOT(ISNUMBER(AP158))),"",E158-AP158),"")</f>
        <v/>
      </c>
      <c r="AR158" s="96" t="n"/>
      <c r="AS158" s="97">
        <f>IFERROR(IF(OR(NOT(ISNUMBER(AR158)),NOT(ISNUMBER(S158))),"",AR158-S158),"")</f>
        <v/>
      </c>
      <c r="AT158" s="45" t="n"/>
    </row>
    <row r="159" ht="15" customHeight="1" s="67">
      <c r="A159" s="6" t="n"/>
      <c r="B159" s="92" t="n"/>
      <c r="C159" s="93" t="n"/>
      <c r="D159" s="93" t="n"/>
      <c r="E159" s="93" t="n"/>
      <c r="F159" s="93" t="n"/>
      <c r="G159" s="93" t="n"/>
      <c r="H159" s="93" t="n"/>
      <c r="I159" s="93" t="n"/>
      <c r="J159" s="93" t="n"/>
      <c r="K159" s="93" t="n"/>
      <c r="L159" s="93" t="n"/>
      <c r="M159" s="93" t="n"/>
      <c r="N159" s="93" t="n"/>
      <c r="O159" s="93" t="n"/>
      <c r="P159" s="94">
        <f>IFERROR(J159-M159,"")</f>
        <v/>
      </c>
      <c r="Q159" s="93" t="n"/>
      <c r="R159" s="93" t="n"/>
      <c r="S159" s="94">
        <f>IFERROR(R159-Q159,"")</f>
        <v/>
      </c>
      <c r="T159" s="93" t="n"/>
      <c r="U159" s="93" t="n"/>
      <c r="V159" s="94">
        <f>IFERROR(T159-U159,"")</f>
        <v/>
      </c>
      <c r="W159" s="93" t="n"/>
      <c r="X159" s="93" t="n"/>
      <c r="Y159" s="93" t="n"/>
      <c r="Z159" s="93" t="n"/>
      <c r="AA159" s="93" t="n"/>
      <c r="AB159" s="93" t="n"/>
      <c r="AC159" s="94">
        <f>IFERROR(W159*AB159/1000,"")</f>
        <v/>
      </c>
      <c r="AD159" s="17">
        <f>IFERROR(J159/M159,"")</f>
        <v/>
      </c>
      <c r="AE159" s="17">
        <f>IFERROR(R159/I159,"")</f>
        <v/>
      </c>
      <c r="AF159" s="17">
        <f>IFERROR(R159/O159,"")</f>
        <v/>
      </c>
      <c r="AG159" s="95">
        <f>IFERROR(G159/I159,"")</f>
        <v/>
      </c>
      <c r="AH159" s="95">
        <f>IFERROR(G159/O159,"")</f>
        <v/>
      </c>
      <c r="AI159" s="95">
        <f>IFERROR(G159/C159,"")</f>
        <v/>
      </c>
      <c r="AJ159" s="95">
        <f>IFERROR(D159/C159,"")</f>
        <v/>
      </c>
      <c r="AK159" s="6" t="n"/>
      <c r="AL159" s="6" t="n"/>
      <c r="AM159" s="6" t="n"/>
      <c r="AN159" s="6" t="n"/>
      <c r="AO159" s="96" t="n"/>
      <c r="AP159" s="97">
        <f>IFERROR(IF(AND(NOT(ISNUMBER(F159)),NOT(ISNUMBER(AO159))),"",F159+AO159),"")</f>
        <v/>
      </c>
      <c r="AQ159" s="97">
        <f>IFERROR(IF(OR(NOT(ISNUMBER(E159)),NOT(ISNUMBER(AP159))),"",E159-AP159),"")</f>
        <v/>
      </c>
      <c r="AR159" s="96" t="n"/>
      <c r="AS159" s="97">
        <f>IFERROR(IF(OR(NOT(ISNUMBER(AR159)),NOT(ISNUMBER(S159))),"",AR159-S159),"")</f>
        <v/>
      </c>
      <c r="AT159" s="45" t="n"/>
    </row>
    <row r="160" ht="15" customHeight="1" s="67">
      <c r="A160" s="6" t="n"/>
      <c r="B160" s="92" t="n"/>
      <c r="C160" s="93" t="n"/>
      <c r="D160" s="93" t="n"/>
      <c r="E160" s="93" t="n"/>
      <c r="F160" s="93" t="n"/>
      <c r="G160" s="93" t="n"/>
      <c r="H160" s="93" t="n"/>
      <c r="I160" s="93" t="n"/>
      <c r="J160" s="93" t="n"/>
      <c r="K160" s="93" t="n"/>
      <c r="L160" s="93" t="n"/>
      <c r="M160" s="93" t="n"/>
      <c r="N160" s="93" t="n"/>
      <c r="O160" s="93" t="n"/>
      <c r="P160" s="94">
        <f>IFERROR(J160-M160,"")</f>
        <v/>
      </c>
      <c r="Q160" s="93" t="n"/>
      <c r="R160" s="93" t="n"/>
      <c r="S160" s="94">
        <f>IFERROR(R160-Q160,"")</f>
        <v/>
      </c>
      <c r="T160" s="93" t="n"/>
      <c r="U160" s="93" t="n"/>
      <c r="V160" s="94">
        <f>IFERROR(T160-U160,"")</f>
        <v/>
      </c>
      <c r="W160" s="93" t="n"/>
      <c r="X160" s="93" t="n"/>
      <c r="Y160" s="93" t="n"/>
      <c r="Z160" s="93" t="n"/>
      <c r="AA160" s="93" t="n"/>
      <c r="AB160" s="93" t="n"/>
      <c r="AC160" s="94">
        <f>IFERROR(W160*AB160/1000,"")</f>
        <v/>
      </c>
      <c r="AD160" s="17">
        <f>IFERROR(J160/M160,"")</f>
        <v/>
      </c>
      <c r="AE160" s="17">
        <f>IFERROR(R160/I160,"")</f>
        <v/>
      </c>
      <c r="AF160" s="17">
        <f>IFERROR(R160/O160,"")</f>
        <v/>
      </c>
      <c r="AG160" s="95">
        <f>IFERROR(G160/I160,"")</f>
        <v/>
      </c>
      <c r="AH160" s="95">
        <f>IFERROR(G160/O160,"")</f>
        <v/>
      </c>
      <c r="AI160" s="95">
        <f>IFERROR(G160/C160,"")</f>
        <v/>
      </c>
      <c r="AJ160" s="95">
        <f>IFERROR(D160/C160,"")</f>
        <v/>
      </c>
      <c r="AK160" s="6" t="n"/>
      <c r="AL160" s="6" t="n"/>
      <c r="AM160" s="6" t="n"/>
      <c r="AN160" s="6" t="n"/>
      <c r="AO160" s="96" t="n"/>
      <c r="AP160" s="97">
        <f>IFERROR(IF(AND(NOT(ISNUMBER(F160)),NOT(ISNUMBER(AO160))),"",F160+AO160),"")</f>
        <v/>
      </c>
      <c r="AQ160" s="97">
        <f>IFERROR(IF(OR(NOT(ISNUMBER(E160)),NOT(ISNUMBER(AP160))),"",E160-AP160),"")</f>
        <v/>
      </c>
      <c r="AR160" s="96" t="n"/>
      <c r="AS160" s="97">
        <f>IFERROR(IF(OR(NOT(ISNUMBER(AR160)),NOT(ISNUMBER(S160))),"",AR160-S160),"")</f>
        <v/>
      </c>
      <c r="AT160" s="45" t="n"/>
    </row>
    <row r="161" ht="15" customHeight="1" s="67">
      <c r="A161" s="6" t="n"/>
      <c r="B161" s="92" t="n"/>
      <c r="C161" s="93" t="n"/>
      <c r="D161" s="93" t="n"/>
      <c r="E161" s="93" t="n"/>
      <c r="F161" s="93" t="n"/>
      <c r="G161" s="93" t="n"/>
      <c r="H161" s="93" t="n"/>
      <c r="I161" s="93" t="n"/>
      <c r="J161" s="93" t="n"/>
      <c r="K161" s="93" t="n"/>
      <c r="L161" s="93" t="n"/>
      <c r="M161" s="93" t="n"/>
      <c r="N161" s="93" t="n"/>
      <c r="O161" s="93" t="n"/>
      <c r="P161" s="94">
        <f>IFERROR(J161-M161,"")</f>
        <v/>
      </c>
      <c r="Q161" s="93" t="n"/>
      <c r="R161" s="93" t="n"/>
      <c r="S161" s="94">
        <f>IFERROR(R161-Q161,"")</f>
        <v/>
      </c>
      <c r="T161" s="93" t="n"/>
      <c r="U161" s="93" t="n"/>
      <c r="V161" s="94">
        <f>IFERROR(T161-U161,"")</f>
        <v/>
      </c>
      <c r="W161" s="93" t="n"/>
      <c r="X161" s="93" t="n"/>
      <c r="Y161" s="93" t="n"/>
      <c r="Z161" s="93" t="n"/>
      <c r="AA161" s="93" t="n"/>
      <c r="AB161" s="93" t="n"/>
      <c r="AC161" s="94">
        <f>IFERROR(W161*AB161/1000,"")</f>
        <v/>
      </c>
      <c r="AD161" s="17">
        <f>IFERROR(J161/M161,"")</f>
        <v/>
      </c>
      <c r="AE161" s="17">
        <f>IFERROR(R161/I161,"")</f>
        <v/>
      </c>
      <c r="AF161" s="17">
        <f>IFERROR(R161/O161,"")</f>
        <v/>
      </c>
      <c r="AG161" s="95">
        <f>IFERROR(G161/I161,"")</f>
        <v/>
      </c>
      <c r="AH161" s="95">
        <f>IFERROR(G161/O161,"")</f>
        <v/>
      </c>
      <c r="AI161" s="95">
        <f>IFERROR(G161/C161,"")</f>
        <v/>
      </c>
      <c r="AJ161" s="95">
        <f>IFERROR(D161/C161,"")</f>
        <v/>
      </c>
      <c r="AK161" s="6" t="n"/>
      <c r="AL161" s="6" t="n"/>
      <c r="AM161" s="6" t="n"/>
      <c r="AN161" s="6" t="n"/>
      <c r="AO161" s="96" t="n"/>
      <c r="AP161" s="97">
        <f>IFERROR(IF(AND(NOT(ISNUMBER(F161)),NOT(ISNUMBER(AO161))),"",F161+AO161),"")</f>
        <v/>
      </c>
      <c r="AQ161" s="97">
        <f>IFERROR(IF(OR(NOT(ISNUMBER(E161)),NOT(ISNUMBER(AP161))),"",E161-AP161),"")</f>
        <v/>
      </c>
      <c r="AR161" s="96" t="n"/>
      <c r="AS161" s="97">
        <f>IFERROR(IF(OR(NOT(ISNUMBER(AR161)),NOT(ISNUMBER(S161))),"",AR161-S161),"")</f>
        <v/>
      </c>
      <c r="AT161" s="45" t="n"/>
    </row>
    <row r="162" ht="15" customHeight="1" s="67">
      <c r="A162" s="6" t="n"/>
      <c r="B162" s="92" t="n"/>
      <c r="C162" s="93" t="n"/>
      <c r="D162" s="93" t="n"/>
      <c r="E162" s="93" t="n"/>
      <c r="F162" s="93" t="n"/>
      <c r="G162" s="93" t="n"/>
      <c r="H162" s="93" t="n"/>
      <c r="I162" s="93" t="n"/>
      <c r="J162" s="93" t="n"/>
      <c r="K162" s="93" t="n"/>
      <c r="L162" s="93" t="n"/>
      <c r="M162" s="93" t="n"/>
      <c r="N162" s="93" t="n"/>
      <c r="O162" s="93" t="n"/>
      <c r="P162" s="94">
        <f>IFERROR(J162-M162,"")</f>
        <v/>
      </c>
      <c r="Q162" s="93" t="n"/>
      <c r="R162" s="93" t="n"/>
      <c r="S162" s="94">
        <f>IFERROR(R162-Q162,"")</f>
        <v/>
      </c>
      <c r="T162" s="93" t="n"/>
      <c r="U162" s="93" t="n"/>
      <c r="V162" s="94">
        <f>IFERROR(T162-U162,"")</f>
        <v/>
      </c>
      <c r="W162" s="93" t="n"/>
      <c r="X162" s="93" t="n"/>
      <c r="Y162" s="93" t="n"/>
      <c r="Z162" s="93" t="n"/>
      <c r="AA162" s="93" t="n"/>
      <c r="AB162" s="93" t="n"/>
      <c r="AC162" s="94">
        <f>IFERROR(W162*AB162/1000,"")</f>
        <v/>
      </c>
      <c r="AD162" s="17">
        <f>IFERROR(J162/M162,"")</f>
        <v/>
      </c>
      <c r="AE162" s="17">
        <f>IFERROR(R162/I162,"")</f>
        <v/>
      </c>
      <c r="AF162" s="17">
        <f>IFERROR(R162/O162,"")</f>
        <v/>
      </c>
      <c r="AG162" s="95">
        <f>IFERROR(G162/I162,"")</f>
        <v/>
      </c>
      <c r="AH162" s="95">
        <f>IFERROR(G162/O162,"")</f>
        <v/>
      </c>
      <c r="AI162" s="95">
        <f>IFERROR(G162/C162,"")</f>
        <v/>
      </c>
      <c r="AJ162" s="95">
        <f>IFERROR(D162/C162,"")</f>
        <v/>
      </c>
      <c r="AK162" s="6" t="n"/>
      <c r="AL162" s="6" t="n"/>
      <c r="AM162" s="6" t="n"/>
      <c r="AN162" s="6" t="n"/>
      <c r="AO162" s="96" t="n"/>
      <c r="AP162" s="97">
        <f>IFERROR(IF(AND(NOT(ISNUMBER(F162)),NOT(ISNUMBER(AO162))),"",F162+AO162),"")</f>
        <v/>
      </c>
      <c r="AQ162" s="97">
        <f>IFERROR(IF(OR(NOT(ISNUMBER(E162)),NOT(ISNUMBER(AP162))),"",E162-AP162),"")</f>
        <v/>
      </c>
      <c r="AR162" s="96" t="n"/>
      <c r="AS162" s="97">
        <f>IFERROR(IF(OR(NOT(ISNUMBER(AR162)),NOT(ISNUMBER(S162))),"",AR162-S162),"")</f>
        <v/>
      </c>
      <c r="AT162" s="45" t="n"/>
    </row>
    <row r="163" ht="15" customHeight="1" s="67">
      <c r="A163" s="6" t="n"/>
      <c r="B163" s="92" t="n"/>
      <c r="C163" s="93" t="n"/>
      <c r="D163" s="93" t="n"/>
      <c r="E163" s="93" t="n"/>
      <c r="F163" s="93" t="n"/>
      <c r="G163" s="93" t="n"/>
      <c r="H163" s="93" t="n"/>
      <c r="I163" s="93" t="n"/>
      <c r="J163" s="93" t="n"/>
      <c r="K163" s="93" t="n"/>
      <c r="L163" s="93" t="n"/>
      <c r="M163" s="93" t="n"/>
      <c r="N163" s="93" t="n"/>
      <c r="O163" s="93" t="n"/>
      <c r="P163" s="94">
        <f>IFERROR(J163-M163,"")</f>
        <v/>
      </c>
      <c r="Q163" s="93" t="n"/>
      <c r="R163" s="93" t="n"/>
      <c r="S163" s="94">
        <f>IFERROR(R163-Q163,"")</f>
        <v/>
      </c>
      <c r="T163" s="93" t="n"/>
      <c r="U163" s="93" t="n"/>
      <c r="V163" s="94">
        <f>IFERROR(T163-U163,"")</f>
        <v/>
      </c>
      <c r="W163" s="93" t="n"/>
      <c r="X163" s="93" t="n"/>
      <c r="Y163" s="93" t="n"/>
      <c r="Z163" s="93" t="n"/>
      <c r="AA163" s="93" t="n"/>
      <c r="AB163" s="93" t="n"/>
      <c r="AC163" s="94">
        <f>IFERROR(W163*AB163/1000,"")</f>
        <v/>
      </c>
      <c r="AD163" s="17">
        <f>IFERROR(J163/M163,"")</f>
        <v/>
      </c>
      <c r="AE163" s="17">
        <f>IFERROR(R163/I163,"")</f>
        <v/>
      </c>
      <c r="AF163" s="17">
        <f>IFERROR(R163/O163,"")</f>
        <v/>
      </c>
      <c r="AG163" s="95">
        <f>IFERROR(G163/I163,"")</f>
        <v/>
      </c>
      <c r="AH163" s="95">
        <f>IFERROR(G163/O163,"")</f>
        <v/>
      </c>
      <c r="AI163" s="95">
        <f>IFERROR(G163/C163,"")</f>
        <v/>
      </c>
      <c r="AJ163" s="95">
        <f>IFERROR(D163/C163,"")</f>
        <v/>
      </c>
      <c r="AK163" s="6" t="n"/>
      <c r="AL163" s="6" t="n"/>
      <c r="AM163" s="6" t="n"/>
      <c r="AN163" s="6" t="n"/>
      <c r="AO163" s="96" t="n"/>
      <c r="AP163" s="97">
        <f>IFERROR(IF(AND(NOT(ISNUMBER(F163)),NOT(ISNUMBER(AO163))),"",F163+AO163),"")</f>
        <v/>
      </c>
      <c r="AQ163" s="97">
        <f>IFERROR(IF(OR(NOT(ISNUMBER(E163)),NOT(ISNUMBER(AP163))),"",E163-AP163),"")</f>
        <v/>
      </c>
      <c r="AR163" s="96" t="n"/>
      <c r="AS163" s="97">
        <f>IFERROR(IF(OR(NOT(ISNUMBER(AR163)),NOT(ISNUMBER(S163))),"",AR163-S163),"")</f>
        <v/>
      </c>
      <c r="AT163" s="45" t="n"/>
    </row>
    <row r="164" ht="15" customHeight="1" s="67">
      <c r="A164" s="6" t="n"/>
      <c r="B164" s="92" t="n"/>
      <c r="C164" s="93" t="n"/>
      <c r="D164" s="93" t="n"/>
      <c r="E164" s="93" t="n"/>
      <c r="F164" s="93" t="n"/>
      <c r="G164" s="93" t="n"/>
      <c r="H164" s="93" t="n"/>
      <c r="I164" s="93" t="n"/>
      <c r="J164" s="93" t="n"/>
      <c r="K164" s="93" t="n"/>
      <c r="L164" s="93" t="n"/>
      <c r="M164" s="93" t="n"/>
      <c r="N164" s="93" t="n"/>
      <c r="O164" s="93" t="n"/>
      <c r="P164" s="94">
        <f>IFERROR(J164-M164,"")</f>
        <v/>
      </c>
      <c r="Q164" s="93" t="n"/>
      <c r="R164" s="93" t="n"/>
      <c r="S164" s="94">
        <f>IFERROR(R164-Q164,"")</f>
        <v/>
      </c>
      <c r="T164" s="93" t="n"/>
      <c r="U164" s="93" t="n"/>
      <c r="V164" s="94">
        <f>IFERROR(T164-U164,"")</f>
        <v/>
      </c>
      <c r="W164" s="93" t="n"/>
      <c r="X164" s="93" t="n"/>
      <c r="Y164" s="93" t="n"/>
      <c r="Z164" s="93" t="n"/>
      <c r="AA164" s="93" t="n"/>
      <c r="AB164" s="93" t="n"/>
      <c r="AC164" s="94">
        <f>IFERROR(W164*AB164/1000,"")</f>
        <v/>
      </c>
      <c r="AD164" s="17">
        <f>IFERROR(J164/M164,"")</f>
        <v/>
      </c>
      <c r="AE164" s="17">
        <f>IFERROR(R164/I164,"")</f>
        <v/>
      </c>
      <c r="AF164" s="17">
        <f>IFERROR(R164/O164,"")</f>
        <v/>
      </c>
      <c r="AG164" s="95">
        <f>IFERROR(G164/I164,"")</f>
        <v/>
      </c>
      <c r="AH164" s="95">
        <f>IFERROR(G164/O164,"")</f>
        <v/>
      </c>
      <c r="AI164" s="95">
        <f>IFERROR(G164/C164,"")</f>
        <v/>
      </c>
      <c r="AJ164" s="95">
        <f>IFERROR(D164/C164,"")</f>
        <v/>
      </c>
      <c r="AK164" s="6" t="n"/>
      <c r="AL164" s="6" t="n"/>
      <c r="AM164" s="6" t="n"/>
      <c r="AN164" s="6" t="n"/>
      <c r="AO164" s="96" t="n"/>
      <c r="AP164" s="97">
        <f>IFERROR(IF(AND(NOT(ISNUMBER(F164)),NOT(ISNUMBER(AO164))),"",F164+AO164),"")</f>
        <v/>
      </c>
      <c r="AQ164" s="97">
        <f>IFERROR(IF(OR(NOT(ISNUMBER(E164)),NOT(ISNUMBER(AP164))),"",E164-AP164),"")</f>
        <v/>
      </c>
      <c r="AR164" s="96" t="n"/>
      <c r="AS164" s="97">
        <f>IFERROR(IF(OR(NOT(ISNUMBER(AR164)),NOT(ISNUMBER(S164))),"",AR164-S164),"")</f>
        <v/>
      </c>
      <c r="AT164" s="45" t="n"/>
    </row>
    <row r="165" ht="15" customHeight="1" s="67">
      <c r="A165" s="6" t="n"/>
      <c r="B165" s="92" t="n"/>
      <c r="C165" s="93" t="n"/>
      <c r="D165" s="93" t="n"/>
      <c r="E165" s="93" t="n"/>
      <c r="F165" s="93" t="n"/>
      <c r="G165" s="93" t="n"/>
      <c r="H165" s="93" t="n"/>
      <c r="I165" s="93" t="n"/>
      <c r="J165" s="93" t="n"/>
      <c r="K165" s="93" t="n"/>
      <c r="L165" s="93" t="n"/>
      <c r="M165" s="93" t="n"/>
      <c r="N165" s="93" t="n"/>
      <c r="O165" s="93" t="n"/>
      <c r="P165" s="94">
        <f>IFERROR(J165-M165,"")</f>
        <v/>
      </c>
      <c r="Q165" s="93" t="n"/>
      <c r="R165" s="93" t="n"/>
      <c r="S165" s="94">
        <f>IFERROR(R165-Q165,"")</f>
        <v/>
      </c>
      <c r="T165" s="93" t="n"/>
      <c r="U165" s="93" t="n"/>
      <c r="V165" s="94">
        <f>IFERROR(T165-U165,"")</f>
        <v/>
      </c>
      <c r="W165" s="93" t="n"/>
      <c r="X165" s="93" t="n"/>
      <c r="Y165" s="93" t="n"/>
      <c r="Z165" s="93" t="n"/>
      <c r="AA165" s="93" t="n"/>
      <c r="AB165" s="93" t="n"/>
      <c r="AC165" s="94">
        <f>IFERROR(W165*AB165/1000,"")</f>
        <v/>
      </c>
      <c r="AD165" s="17">
        <f>IFERROR(J165/M165,"")</f>
        <v/>
      </c>
      <c r="AE165" s="17">
        <f>IFERROR(R165/I165,"")</f>
        <v/>
      </c>
      <c r="AF165" s="17">
        <f>IFERROR(R165/O165,"")</f>
        <v/>
      </c>
      <c r="AG165" s="95">
        <f>IFERROR(G165/I165,"")</f>
        <v/>
      </c>
      <c r="AH165" s="95">
        <f>IFERROR(G165/O165,"")</f>
        <v/>
      </c>
      <c r="AI165" s="95">
        <f>IFERROR(G165/C165,"")</f>
        <v/>
      </c>
      <c r="AJ165" s="95">
        <f>IFERROR(D165/C165,"")</f>
        <v/>
      </c>
      <c r="AK165" s="6" t="n"/>
      <c r="AL165" s="6" t="n"/>
      <c r="AM165" s="6" t="n"/>
      <c r="AN165" s="6" t="n"/>
      <c r="AO165" s="96" t="n"/>
      <c r="AP165" s="97">
        <f>IFERROR(IF(AND(NOT(ISNUMBER(F165)),NOT(ISNUMBER(AO165))),"",F165+AO165),"")</f>
        <v/>
      </c>
      <c r="AQ165" s="97">
        <f>IFERROR(IF(OR(NOT(ISNUMBER(E165)),NOT(ISNUMBER(AP165))),"",E165-AP165),"")</f>
        <v/>
      </c>
      <c r="AR165" s="96" t="n"/>
      <c r="AS165" s="97">
        <f>IFERROR(IF(OR(NOT(ISNUMBER(AR165)),NOT(ISNUMBER(S165))),"",AR165-S165),"")</f>
        <v/>
      </c>
      <c r="AT165" s="45" t="n"/>
    </row>
    <row r="166" ht="15" customHeight="1" s="67">
      <c r="A166" s="6" t="n"/>
      <c r="B166" s="92" t="n"/>
      <c r="C166" s="93" t="n"/>
      <c r="D166" s="93" t="n"/>
      <c r="E166" s="93" t="n"/>
      <c r="F166" s="93" t="n"/>
      <c r="G166" s="93" t="n"/>
      <c r="H166" s="93" t="n"/>
      <c r="I166" s="93" t="n"/>
      <c r="J166" s="93" t="n"/>
      <c r="K166" s="93" t="n"/>
      <c r="L166" s="93" t="n"/>
      <c r="M166" s="93" t="n"/>
      <c r="N166" s="93" t="n"/>
      <c r="O166" s="93" t="n"/>
      <c r="P166" s="94">
        <f>IFERROR(J166-M166,"")</f>
        <v/>
      </c>
      <c r="Q166" s="93" t="n"/>
      <c r="R166" s="93" t="n"/>
      <c r="S166" s="94">
        <f>IFERROR(R166-Q166,"")</f>
        <v/>
      </c>
      <c r="T166" s="93" t="n"/>
      <c r="U166" s="93" t="n"/>
      <c r="V166" s="94">
        <f>IFERROR(T166-U166,"")</f>
        <v/>
      </c>
      <c r="W166" s="93" t="n"/>
      <c r="X166" s="93" t="n"/>
      <c r="Y166" s="93" t="n"/>
      <c r="Z166" s="93" t="n"/>
      <c r="AA166" s="93" t="n"/>
      <c r="AB166" s="93" t="n"/>
      <c r="AC166" s="94">
        <f>IFERROR(W166*AB166/1000,"")</f>
        <v/>
      </c>
      <c r="AD166" s="17">
        <f>IFERROR(J166/M166,"")</f>
        <v/>
      </c>
      <c r="AE166" s="17">
        <f>IFERROR(R166/I166,"")</f>
        <v/>
      </c>
      <c r="AF166" s="17">
        <f>IFERROR(R166/O166,"")</f>
        <v/>
      </c>
      <c r="AG166" s="95">
        <f>IFERROR(G166/I166,"")</f>
        <v/>
      </c>
      <c r="AH166" s="95">
        <f>IFERROR(G166/O166,"")</f>
        <v/>
      </c>
      <c r="AI166" s="95">
        <f>IFERROR(G166/C166,"")</f>
        <v/>
      </c>
      <c r="AJ166" s="95">
        <f>IFERROR(D166/C166,"")</f>
        <v/>
      </c>
      <c r="AK166" s="6" t="n"/>
      <c r="AL166" s="6" t="n"/>
      <c r="AM166" s="6" t="n"/>
      <c r="AN166" s="6" t="n"/>
      <c r="AO166" s="96" t="n"/>
      <c r="AP166" s="97">
        <f>IFERROR(IF(AND(NOT(ISNUMBER(F166)),NOT(ISNUMBER(AO166))),"",F166+AO166),"")</f>
        <v/>
      </c>
      <c r="AQ166" s="97">
        <f>IFERROR(IF(OR(NOT(ISNUMBER(E166)),NOT(ISNUMBER(AP166))),"",E166-AP166),"")</f>
        <v/>
      </c>
      <c r="AR166" s="96" t="n"/>
      <c r="AS166" s="97">
        <f>IFERROR(IF(OR(NOT(ISNUMBER(AR166)),NOT(ISNUMBER(S166))),"",AR166-S166),"")</f>
        <v/>
      </c>
      <c r="AT166" s="45" t="n"/>
    </row>
    <row r="167" ht="15" customHeight="1" s="67">
      <c r="A167" s="6" t="n"/>
      <c r="B167" s="92" t="n"/>
      <c r="C167" s="93" t="n"/>
      <c r="D167" s="93" t="n"/>
      <c r="E167" s="93" t="n"/>
      <c r="F167" s="93" t="n"/>
      <c r="G167" s="93" t="n"/>
      <c r="H167" s="93" t="n"/>
      <c r="I167" s="93" t="n"/>
      <c r="J167" s="93" t="n"/>
      <c r="K167" s="93" t="n"/>
      <c r="L167" s="93" t="n"/>
      <c r="M167" s="93" t="n"/>
      <c r="N167" s="93" t="n"/>
      <c r="O167" s="93" t="n"/>
      <c r="P167" s="94">
        <f>IFERROR(J167-M167,"")</f>
        <v/>
      </c>
      <c r="Q167" s="93" t="n"/>
      <c r="R167" s="93" t="n"/>
      <c r="S167" s="94">
        <f>IFERROR(R167-Q167,"")</f>
        <v/>
      </c>
      <c r="T167" s="93" t="n"/>
      <c r="U167" s="93" t="n"/>
      <c r="V167" s="94">
        <f>IFERROR(T167-U167,"")</f>
        <v/>
      </c>
      <c r="W167" s="93" t="n"/>
      <c r="X167" s="93" t="n"/>
      <c r="Y167" s="93" t="n"/>
      <c r="Z167" s="93" t="n"/>
      <c r="AA167" s="93" t="n"/>
      <c r="AB167" s="93" t="n"/>
      <c r="AC167" s="94">
        <f>IFERROR(W167*AB167/1000,"")</f>
        <v/>
      </c>
      <c r="AD167" s="17">
        <f>IFERROR(J167/M167,"")</f>
        <v/>
      </c>
      <c r="AE167" s="17">
        <f>IFERROR(R167/I167,"")</f>
        <v/>
      </c>
      <c r="AF167" s="17">
        <f>IFERROR(R167/O167,"")</f>
        <v/>
      </c>
      <c r="AG167" s="95">
        <f>IFERROR(G167/I167,"")</f>
        <v/>
      </c>
      <c r="AH167" s="95">
        <f>IFERROR(G167/O167,"")</f>
        <v/>
      </c>
      <c r="AI167" s="95">
        <f>IFERROR(G167/C167,"")</f>
        <v/>
      </c>
      <c r="AJ167" s="95">
        <f>IFERROR(D167/C167,"")</f>
        <v/>
      </c>
      <c r="AK167" s="6" t="n"/>
      <c r="AL167" s="6" t="n"/>
      <c r="AM167" s="6" t="n"/>
      <c r="AN167" s="6" t="n"/>
      <c r="AO167" s="96" t="n"/>
      <c r="AP167" s="97">
        <f>IFERROR(IF(AND(NOT(ISNUMBER(F167)),NOT(ISNUMBER(AO167))),"",F167+AO167),"")</f>
        <v/>
      </c>
      <c r="AQ167" s="97">
        <f>IFERROR(IF(OR(NOT(ISNUMBER(E167)),NOT(ISNUMBER(AP167))),"",E167-AP167),"")</f>
        <v/>
      </c>
      <c r="AR167" s="96" t="n"/>
      <c r="AS167" s="97">
        <f>IFERROR(IF(OR(NOT(ISNUMBER(AR167)),NOT(ISNUMBER(S167))),"",AR167-S167),"")</f>
        <v/>
      </c>
      <c r="AT167" s="45" t="n"/>
    </row>
    <row r="168" ht="15" customHeight="1" s="67">
      <c r="A168" s="6" t="n"/>
      <c r="B168" s="92" t="n"/>
      <c r="C168" s="93" t="n"/>
      <c r="D168" s="93" t="n"/>
      <c r="E168" s="93" t="n"/>
      <c r="F168" s="93" t="n"/>
      <c r="G168" s="93" t="n"/>
      <c r="H168" s="93" t="n"/>
      <c r="I168" s="93" t="n"/>
      <c r="J168" s="93" t="n"/>
      <c r="K168" s="93" t="n"/>
      <c r="L168" s="93" t="n"/>
      <c r="M168" s="93" t="n"/>
      <c r="N168" s="93" t="n"/>
      <c r="O168" s="93" t="n"/>
      <c r="P168" s="94">
        <f>IFERROR(J168-M168,"")</f>
        <v/>
      </c>
      <c r="Q168" s="93" t="n"/>
      <c r="R168" s="93" t="n"/>
      <c r="S168" s="94">
        <f>IFERROR(R168-Q168,"")</f>
        <v/>
      </c>
      <c r="T168" s="93" t="n"/>
      <c r="U168" s="93" t="n"/>
      <c r="V168" s="94">
        <f>IFERROR(T168-U168,"")</f>
        <v/>
      </c>
      <c r="W168" s="93" t="n"/>
      <c r="X168" s="93" t="n"/>
      <c r="Y168" s="93" t="n"/>
      <c r="Z168" s="93" t="n"/>
      <c r="AA168" s="93" t="n"/>
      <c r="AB168" s="93" t="n"/>
      <c r="AC168" s="94">
        <f>IFERROR(W168*AB168/1000,"")</f>
        <v/>
      </c>
      <c r="AD168" s="17">
        <f>IFERROR(J168/M168,"")</f>
        <v/>
      </c>
      <c r="AE168" s="17">
        <f>IFERROR(R168/I168,"")</f>
        <v/>
      </c>
      <c r="AF168" s="17">
        <f>IFERROR(R168/O168,"")</f>
        <v/>
      </c>
      <c r="AG168" s="95">
        <f>IFERROR(G168/I168,"")</f>
        <v/>
      </c>
      <c r="AH168" s="95">
        <f>IFERROR(G168/O168,"")</f>
        <v/>
      </c>
      <c r="AI168" s="95">
        <f>IFERROR(G168/C168,"")</f>
        <v/>
      </c>
      <c r="AJ168" s="95">
        <f>IFERROR(D168/C168,"")</f>
        <v/>
      </c>
      <c r="AK168" s="6" t="n"/>
      <c r="AL168" s="6" t="n"/>
      <c r="AM168" s="6" t="n"/>
      <c r="AN168" s="6" t="n"/>
      <c r="AO168" s="96" t="n"/>
      <c r="AP168" s="97">
        <f>IFERROR(IF(AND(NOT(ISNUMBER(F168)),NOT(ISNUMBER(AO168))),"",F168+AO168),"")</f>
        <v/>
      </c>
      <c r="AQ168" s="97">
        <f>IFERROR(IF(OR(NOT(ISNUMBER(E168)),NOT(ISNUMBER(AP168))),"",E168-AP168),"")</f>
        <v/>
      </c>
      <c r="AR168" s="96" t="n"/>
      <c r="AS168" s="97">
        <f>IFERROR(IF(OR(NOT(ISNUMBER(AR168)),NOT(ISNUMBER(S168))),"",AR168-S168),"")</f>
        <v/>
      </c>
      <c r="AT168" s="45" t="n"/>
    </row>
    <row r="169" ht="15" customHeight="1" s="67">
      <c r="A169" s="6" t="n"/>
      <c r="B169" s="92" t="n"/>
      <c r="C169" s="93" t="n"/>
      <c r="D169" s="93" t="n"/>
      <c r="E169" s="93" t="n"/>
      <c r="F169" s="93" t="n"/>
      <c r="G169" s="93" t="n"/>
      <c r="H169" s="93" t="n"/>
      <c r="I169" s="93" t="n"/>
      <c r="J169" s="93" t="n"/>
      <c r="K169" s="93" t="n"/>
      <c r="L169" s="93" t="n"/>
      <c r="M169" s="93" t="n"/>
      <c r="N169" s="93" t="n"/>
      <c r="O169" s="93" t="n"/>
      <c r="P169" s="94">
        <f>IFERROR(J169-M169,"")</f>
        <v/>
      </c>
      <c r="Q169" s="93" t="n"/>
      <c r="R169" s="93" t="n"/>
      <c r="S169" s="94">
        <f>IFERROR(R169-Q169,"")</f>
        <v/>
      </c>
      <c r="T169" s="93" t="n"/>
      <c r="U169" s="93" t="n"/>
      <c r="V169" s="94">
        <f>IFERROR(T169-U169,"")</f>
        <v/>
      </c>
      <c r="W169" s="93" t="n"/>
      <c r="X169" s="93" t="n"/>
      <c r="Y169" s="93" t="n"/>
      <c r="Z169" s="93" t="n"/>
      <c r="AA169" s="93" t="n"/>
      <c r="AB169" s="93" t="n"/>
      <c r="AC169" s="94">
        <f>IFERROR(W169*AB169/1000,"")</f>
        <v/>
      </c>
      <c r="AD169" s="17">
        <f>IFERROR(J169/M169,"")</f>
        <v/>
      </c>
      <c r="AE169" s="17">
        <f>IFERROR(R169/I169,"")</f>
        <v/>
      </c>
      <c r="AF169" s="17">
        <f>IFERROR(R169/O169,"")</f>
        <v/>
      </c>
      <c r="AG169" s="95">
        <f>IFERROR(G169/I169,"")</f>
        <v/>
      </c>
      <c r="AH169" s="95">
        <f>IFERROR(G169/O169,"")</f>
        <v/>
      </c>
      <c r="AI169" s="95">
        <f>IFERROR(G169/C169,"")</f>
        <v/>
      </c>
      <c r="AJ169" s="95">
        <f>IFERROR(D169/C169,"")</f>
        <v/>
      </c>
      <c r="AK169" s="6" t="n"/>
      <c r="AL169" s="6" t="n"/>
      <c r="AM169" s="6" t="n"/>
      <c r="AN169" s="6" t="n"/>
      <c r="AO169" s="96" t="n"/>
      <c r="AP169" s="97">
        <f>IFERROR(IF(AND(NOT(ISNUMBER(F169)),NOT(ISNUMBER(AO169))),"",F169+AO169),"")</f>
        <v/>
      </c>
      <c r="AQ169" s="97">
        <f>IFERROR(IF(OR(NOT(ISNUMBER(E169)),NOT(ISNUMBER(AP169))),"",E169-AP169),"")</f>
        <v/>
      </c>
      <c r="AR169" s="96" t="n"/>
      <c r="AS169" s="97">
        <f>IFERROR(IF(OR(NOT(ISNUMBER(AR169)),NOT(ISNUMBER(S169))),"",AR169-S169),"")</f>
        <v/>
      </c>
      <c r="AT169" s="45" t="n"/>
    </row>
    <row r="170" ht="15" customHeight="1" s="67">
      <c r="A170" s="6" t="n"/>
      <c r="B170" s="92" t="n"/>
      <c r="C170" s="93" t="n"/>
      <c r="D170" s="93" t="n"/>
      <c r="E170" s="93" t="n"/>
      <c r="F170" s="93" t="n"/>
      <c r="G170" s="93" t="n"/>
      <c r="H170" s="93" t="n"/>
      <c r="I170" s="93" t="n"/>
      <c r="J170" s="93" t="n"/>
      <c r="K170" s="93" t="n"/>
      <c r="L170" s="93" t="n"/>
      <c r="M170" s="93" t="n"/>
      <c r="N170" s="93" t="n"/>
      <c r="O170" s="93" t="n"/>
      <c r="P170" s="94">
        <f>IFERROR(J170-M170,"")</f>
        <v/>
      </c>
      <c r="Q170" s="93" t="n"/>
      <c r="R170" s="93" t="n"/>
      <c r="S170" s="94">
        <f>IFERROR(R170-Q170,"")</f>
        <v/>
      </c>
      <c r="T170" s="93" t="n"/>
      <c r="U170" s="93" t="n"/>
      <c r="V170" s="94">
        <f>IFERROR(T170-U170,"")</f>
        <v/>
      </c>
      <c r="W170" s="93" t="n"/>
      <c r="X170" s="93" t="n"/>
      <c r="Y170" s="93" t="n"/>
      <c r="Z170" s="93" t="n"/>
      <c r="AA170" s="93" t="n"/>
      <c r="AB170" s="93" t="n"/>
      <c r="AC170" s="94">
        <f>IFERROR(W170*AB170/1000,"")</f>
        <v/>
      </c>
      <c r="AD170" s="17">
        <f>IFERROR(J170/M170,"")</f>
        <v/>
      </c>
      <c r="AE170" s="17">
        <f>IFERROR(R170/I170,"")</f>
        <v/>
      </c>
      <c r="AF170" s="17">
        <f>IFERROR(R170/O170,"")</f>
        <v/>
      </c>
      <c r="AG170" s="95">
        <f>IFERROR(G170/I170,"")</f>
        <v/>
      </c>
      <c r="AH170" s="95">
        <f>IFERROR(G170/O170,"")</f>
        <v/>
      </c>
      <c r="AI170" s="95">
        <f>IFERROR(G170/C170,"")</f>
        <v/>
      </c>
      <c r="AJ170" s="95">
        <f>IFERROR(D170/C170,"")</f>
        <v/>
      </c>
      <c r="AK170" s="6" t="n"/>
      <c r="AL170" s="6" t="n"/>
      <c r="AM170" s="6" t="n"/>
      <c r="AN170" s="6" t="n"/>
      <c r="AO170" s="96" t="n"/>
      <c r="AP170" s="97">
        <f>IFERROR(IF(AND(NOT(ISNUMBER(F170)),NOT(ISNUMBER(AO170))),"",F170+AO170),"")</f>
        <v/>
      </c>
      <c r="AQ170" s="97">
        <f>IFERROR(IF(OR(NOT(ISNUMBER(E170)),NOT(ISNUMBER(AP170))),"",E170-AP170),"")</f>
        <v/>
      </c>
      <c r="AR170" s="96" t="n"/>
      <c r="AS170" s="97">
        <f>IFERROR(IF(OR(NOT(ISNUMBER(AR170)),NOT(ISNUMBER(S170))),"",AR170-S170),"")</f>
        <v/>
      </c>
      <c r="AT170" s="45" t="n"/>
    </row>
    <row r="171" ht="15" customHeight="1" s="67">
      <c r="A171" s="6" t="n"/>
      <c r="B171" s="92" t="n"/>
      <c r="C171" s="93" t="n"/>
      <c r="D171" s="93" t="n"/>
      <c r="E171" s="93" t="n"/>
      <c r="F171" s="93" t="n"/>
      <c r="G171" s="93" t="n"/>
      <c r="H171" s="93" t="n"/>
      <c r="I171" s="93" t="n"/>
      <c r="J171" s="93" t="n"/>
      <c r="K171" s="93" t="n"/>
      <c r="L171" s="93" t="n"/>
      <c r="M171" s="93" t="n"/>
      <c r="N171" s="93" t="n"/>
      <c r="O171" s="93" t="n"/>
      <c r="P171" s="94">
        <f>IFERROR(J171-M171,"")</f>
        <v/>
      </c>
      <c r="Q171" s="93" t="n"/>
      <c r="R171" s="93" t="n"/>
      <c r="S171" s="94">
        <f>IFERROR(R171-Q171,"")</f>
        <v/>
      </c>
      <c r="T171" s="93" t="n"/>
      <c r="U171" s="93" t="n"/>
      <c r="V171" s="94">
        <f>IFERROR(T171-U171,"")</f>
        <v/>
      </c>
      <c r="W171" s="93" t="n"/>
      <c r="X171" s="93" t="n"/>
      <c r="Y171" s="93" t="n"/>
      <c r="Z171" s="93" t="n"/>
      <c r="AA171" s="93" t="n"/>
      <c r="AB171" s="93" t="n"/>
      <c r="AC171" s="94">
        <f>IFERROR(W171*AB171/1000,"")</f>
        <v/>
      </c>
      <c r="AD171" s="17">
        <f>IFERROR(J171/M171,"")</f>
        <v/>
      </c>
      <c r="AE171" s="17">
        <f>IFERROR(R171/I171,"")</f>
        <v/>
      </c>
      <c r="AF171" s="17">
        <f>IFERROR(R171/O171,"")</f>
        <v/>
      </c>
      <c r="AG171" s="95">
        <f>IFERROR(G171/I171,"")</f>
        <v/>
      </c>
      <c r="AH171" s="95">
        <f>IFERROR(G171/O171,"")</f>
        <v/>
      </c>
      <c r="AI171" s="95">
        <f>IFERROR(G171/C171,"")</f>
        <v/>
      </c>
      <c r="AJ171" s="95">
        <f>IFERROR(D171/C171,"")</f>
        <v/>
      </c>
      <c r="AK171" s="6" t="n"/>
      <c r="AL171" s="6" t="n"/>
      <c r="AM171" s="6" t="n"/>
      <c r="AN171" s="6" t="n"/>
      <c r="AO171" s="96" t="n"/>
      <c r="AP171" s="97">
        <f>IFERROR(IF(AND(NOT(ISNUMBER(F171)),NOT(ISNUMBER(AO171))),"",F171+AO171),"")</f>
        <v/>
      </c>
      <c r="AQ171" s="97">
        <f>IFERROR(IF(OR(NOT(ISNUMBER(E171)),NOT(ISNUMBER(AP171))),"",E171-AP171),"")</f>
        <v/>
      </c>
      <c r="AR171" s="96" t="n"/>
      <c r="AS171" s="97">
        <f>IFERROR(IF(OR(NOT(ISNUMBER(AR171)),NOT(ISNUMBER(S171))),"",AR171-S171),"")</f>
        <v/>
      </c>
      <c r="AT171" s="45" t="n"/>
    </row>
    <row r="172" ht="15" customHeight="1" s="67">
      <c r="A172" s="6" t="n"/>
      <c r="B172" s="92" t="n"/>
      <c r="C172" s="93" t="n"/>
      <c r="D172" s="93" t="n"/>
      <c r="E172" s="93" t="n"/>
      <c r="F172" s="93" t="n"/>
      <c r="G172" s="93" t="n"/>
      <c r="H172" s="93" t="n"/>
      <c r="I172" s="93" t="n"/>
      <c r="J172" s="93" t="n"/>
      <c r="K172" s="93" t="n"/>
      <c r="L172" s="93" t="n"/>
      <c r="M172" s="93" t="n"/>
      <c r="N172" s="93" t="n"/>
      <c r="O172" s="93" t="n"/>
      <c r="P172" s="94">
        <f>IFERROR(J172-M172,"")</f>
        <v/>
      </c>
      <c r="Q172" s="93" t="n"/>
      <c r="R172" s="93" t="n"/>
      <c r="S172" s="94">
        <f>IFERROR(R172-Q172,"")</f>
        <v/>
      </c>
      <c r="T172" s="93" t="n"/>
      <c r="U172" s="93" t="n"/>
      <c r="V172" s="94">
        <f>IFERROR(T172-U172,"")</f>
        <v/>
      </c>
      <c r="W172" s="93" t="n"/>
      <c r="X172" s="93" t="n"/>
      <c r="Y172" s="93" t="n"/>
      <c r="Z172" s="93" t="n"/>
      <c r="AA172" s="93" t="n"/>
      <c r="AB172" s="93" t="n"/>
      <c r="AC172" s="94">
        <f>IFERROR(W172*AB172/1000,"")</f>
        <v/>
      </c>
      <c r="AD172" s="17">
        <f>IFERROR(J172/M172,"")</f>
        <v/>
      </c>
      <c r="AE172" s="17">
        <f>IFERROR(R172/I172,"")</f>
        <v/>
      </c>
      <c r="AF172" s="17">
        <f>IFERROR(R172/O172,"")</f>
        <v/>
      </c>
      <c r="AG172" s="95">
        <f>IFERROR(G172/I172,"")</f>
        <v/>
      </c>
      <c r="AH172" s="95">
        <f>IFERROR(G172/O172,"")</f>
        <v/>
      </c>
      <c r="AI172" s="95">
        <f>IFERROR(G172/C172,"")</f>
        <v/>
      </c>
      <c r="AJ172" s="95">
        <f>IFERROR(D172/C172,"")</f>
        <v/>
      </c>
      <c r="AK172" s="6" t="n"/>
      <c r="AL172" s="6" t="n"/>
      <c r="AM172" s="6" t="n"/>
      <c r="AN172" s="6" t="n"/>
      <c r="AO172" s="96" t="n"/>
      <c r="AP172" s="97">
        <f>IFERROR(IF(AND(NOT(ISNUMBER(F172)),NOT(ISNUMBER(AO172))),"",F172+AO172),"")</f>
        <v/>
      </c>
      <c r="AQ172" s="97">
        <f>IFERROR(IF(OR(NOT(ISNUMBER(E172)),NOT(ISNUMBER(AP172))),"",E172-AP172),"")</f>
        <v/>
      </c>
      <c r="AR172" s="96" t="n"/>
      <c r="AS172" s="97">
        <f>IFERROR(IF(OR(NOT(ISNUMBER(AR172)),NOT(ISNUMBER(S172))),"",AR172-S172),"")</f>
        <v/>
      </c>
      <c r="AT172" s="45" t="n"/>
    </row>
    <row r="173" ht="15" customHeight="1" s="67">
      <c r="A173" s="6" t="n"/>
      <c r="B173" s="92" t="n"/>
      <c r="C173" s="93" t="n"/>
      <c r="D173" s="93" t="n"/>
      <c r="E173" s="93" t="n"/>
      <c r="F173" s="93" t="n"/>
      <c r="G173" s="93" t="n"/>
      <c r="H173" s="93" t="n"/>
      <c r="I173" s="93" t="n"/>
      <c r="J173" s="93" t="n"/>
      <c r="K173" s="93" t="n"/>
      <c r="L173" s="93" t="n"/>
      <c r="M173" s="93" t="n"/>
      <c r="N173" s="93" t="n"/>
      <c r="O173" s="93" t="n"/>
      <c r="P173" s="94">
        <f>IFERROR(J173-M173,"")</f>
        <v/>
      </c>
      <c r="Q173" s="93" t="n"/>
      <c r="R173" s="93" t="n"/>
      <c r="S173" s="94">
        <f>IFERROR(R173-Q173,"")</f>
        <v/>
      </c>
      <c r="T173" s="93" t="n"/>
      <c r="U173" s="93" t="n"/>
      <c r="V173" s="94">
        <f>IFERROR(T173-U173,"")</f>
        <v/>
      </c>
      <c r="W173" s="93" t="n"/>
      <c r="X173" s="93" t="n"/>
      <c r="Y173" s="93" t="n"/>
      <c r="Z173" s="93" t="n"/>
      <c r="AA173" s="93" t="n"/>
      <c r="AB173" s="93" t="n"/>
      <c r="AC173" s="94">
        <f>IFERROR(W173*AB173/1000,"")</f>
        <v/>
      </c>
      <c r="AD173" s="17">
        <f>IFERROR(J173/M173,"")</f>
        <v/>
      </c>
      <c r="AE173" s="17">
        <f>IFERROR(R173/I173,"")</f>
        <v/>
      </c>
      <c r="AF173" s="17">
        <f>IFERROR(R173/O173,"")</f>
        <v/>
      </c>
      <c r="AG173" s="95">
        <f>IFERROR(G173/I173,"")</f>
        <v/>
      </c>
      <c r="AH173" s="95">
        <f>IFERROR(G173/O173,"")</f>
        <v/>
      </c>
      <c r="AI173" s="95">
        <f>IFERROR(G173/C173,"")</f>
        <v/>
      </c>
      <c r="AJ173" s="95">
        <f>IFERROR(D173/C173,"")</f>
        <v/>
      </c>
      <c r="AK173" s="6" t="n"/>
      <c r="AL173" s="6" t="n"/>
      <c r="AM173" s="6" t="n"/>
      <c r="AN173" s="6" t="n"/>
      <c r="AO173" s="96" t="n"/>
      <c r="AP173" s="97">
        <f>IFERROR(IF(AND(NOT(ISNUMBER(F173)),NOT(ISNUMBER(AO173))),"",F173+AO173),"")</f>
        <v/>
      </c>
      <c r="AQ173" s="97">
        <f>IFERROR(IF(OR(NOT(ISNUMBER(E173)),NOT(ISNUMBER(AP173))),"",E173-AP173),"")</f>
        <v/>
      </c>
      <c r="AR173" s="96" t="n"/>
      <c r="AS173" s="97">
        <f>IFERROR(IF(OR(NOT(ISNUMBER(AR173)),NOT(ISNUMBER(S173))),"",AR173-S173),"")</f>
        <v/>
      </c>
      <c r="AT173" s="45" t="n"/>
    </row>
    <row r="174" ht="15" customHeight="1" s="67">
      <c r="A174" s="6" t="n"/>
      <c r="B174" s="92" t="n"/>
      <c r="C174" s="93" t="n"/>
      <c r="D174" s="93" t="n"/>
      <c r="E174" s="93" t="n"/>
      <c r="F174" s="93" t="n"/>
      <c r="G174" s="93" t="n"/>
      <c r="H174" s="93" t="n"/>
      <c r="I174" s="93" t="n"/>
      <c r="J174" s="93" t="n"/>
      <c r="K174" s="93" t="n"/>
      <c r="L174" s="93" t="n"/>
      <c r="M174" s="93" t="n"/>
      <c r="N174" s="93" t="n"/>
      <c r="O174" s="93" t="n"/>
      <c r="P174" s="94">
        <f>IFERROR(J174-M174,"")</f>
        <v/>
      </c>
      <c r="Q174" s="93" t="n"/>
      <c r="R174" s="93" t="n"/>
      <c r="S174" s="94">
        <f>IFERROR(R174-Q174,"")</f>
        <v/>
      </c>
      <c r="T174" s="93" t="n"/>
      <c r="U174" s="93" t="n"/>
      <c r="V174" s="94">
        <f>IFERROR(T174-U174,"")</f>
        <v/>
      </c>
      <c r="W174" s="93" t="n"/>
      <c r="X174" s="93" t="n"/>
      <c r="Y174" s="93" t="n"/>
      <c r="Z174" s="93" t="n"/>
      <c r="AA174" s="93" t="n"/>
      <c r="AB174" s="93" t="n"/>
      <c r="AC174" s="94">
        <f>IFERROR(W174*AB174/1000,"")</f>
        <v/>
      </c>
      <c r="AD174" s="17">
        <f>IFERROR(J174/M174,"")</f>
        <v/>
      </c>
      <c r="AE174" s="17">
        <f>IFERROR(R174/I174,"")</f>
        <v/>
      </c>
      <c r="AF174" s="17">
        <f>IFERROR(R174/O174,"")</f>
        <v/>
      </c>
      <c r="AG174" s="95">
        <f>IFERROR(G174/I174,"")</f>
        <v/>
      </c>
      <c r="AH174" s="95">
        <f>IFERROR(G174/O174,"")</f>
        <v/>
      </c>
      <c r="AI174" s="95">
        <f>IFERROR(G174/C174,"")</f>
        <v/>
      </c>
      <c r="AJ174" s="95">
        <f>IFERROR(D174/C174,"")</f>
        <v/>
      </c>
      <c r="AK174" s="6" t="n"/>
      <c r="AL174" s="6" t="n"/>
      <c r="AM174" s="6" t="n"/>
      <c r="AN174" s="6" t="n"/>
      <c r="AO174" s="96" t="n"/>
      <c r="AP174" s="97">
        <f>IFERROR(IF(AND(NOT(ISNUMBER(F174)),NOT(ISNUMBER(AO174))),"",F174+AO174),"")</f>
        <v/>
      </c>
      <c r="AQ174" s="97">
        <f>IFERROR(IF(OR(NOT(ISNUMBER(E174)),NOT(ISNUMBER(AP174))),"",E174-AP174),"")</f>
        <v/>
      </c>
      <c r="AR174" s="96" t="n"/>
      <c r="AS174" s="97">
        <f>IFERROR(IF(OR(NOT(ISNUMBER(AR174)),NOT(ISNUMBER(S174))),"",AR174-S174),"")</f>
        <v/>
      </c>
      <c r="AT174" s="45" t="n"/>
    </row>
    <row r="175" ht="15" customHeight="1" s="67">
      <c r="A175" s="6" t="n"/>
      <c r="B175" s="92" t="n"/>
      <c r="C175" s="93" t="n"/>
      <c r="D175" s="93" t="n"/>
      <c r="E175" s="93" t="n"/>
      <c r="F175" s="93" t="n"/>
      <c r="G175" s="93" t="n"/>
      <c r="H175" s="93" t="n"/>
      <c r="I175" s="93" t="n"/>
      <c r="J175" s="93" t="n"/>
      <c r="K175" s="93" t="n"/>
      <c r="L175" s="93" t="n"/>
      <c r="M175" s="93" t="n"/>
      <c r="N175" s="93" t="n"/>
      <c r="O175" s="93" t="n"/>
      <c r="P175" s="94">
        <f>IFERROR(J175-M175,"")</f>
        <v/>
      </c>
      <c r="Q175" s="93" t="n"/>
      <c r="R175" s="93" t="n"/>
      <c r="S175" s="94">
        <f>IFERROR(R175-Q175,"")</f>
        <v/>
      </c>
      <c r="T175" s="93" t="n"/>
      <c r="U175" s="93" t="n"/>
      <c r="V175" s="94">
        <f>IFERROR(T175-U175,"")</f>
        <v/>
      </c>
      <c r="W175" s="93" t="n"/>
      <c r="X175" s="93" t="n"/>
      <c r="Y175" s="93" t="n"/>
      <c r="Z175" s="93" t="n"/>
      <c r="AA175" s="93" t="n"/>
      <c r="AB175" s="93" t="n"/>
      <c r="AC175" s="94">
        <f>IFERROR(W175*AB175/1000,"")</f>
        <v/>
      </c>
      <c r="AD175" s="17">
        <f>IFERROR(J175/M175,"")</f>
        <v/>
      </c>
      <c r="AE175" s="17">
        <f>IFERROR(R175/I175,"")</f>
        <v/>
      </c>
      <c r="AF175" s="17">
        <f>IFERROR(R175/O175,"")</f>
        <v/>
      </c>
      <c r="AG175" s="95">
        <f>IFERROR(G175/I175,"")</f>
        <v/>
      </c>
      <c r="AH175" s="95">
        <f>IFERROR(G175/O175,"")</f>
        <v/>
      </c>
      <c r="AI175" s="95">
        <f>IFERROR(G175/C175,"")</f>
        <v/>
      </c>
      <c r="AJ175" s="95">
        <f>IFERROR(D175/C175,"")</f>
        <v/>
      </c>
      <c r="AK175" s="6" t="n"/>
      <c r="AL175" s="6" t="n"/>
      <c r="AM175" s="6" t="n"/>
      <c r="AN175" s="6" t="n"/>
      <c r="AO175" s="96" t="n"/>
      <c r="AP175" s="97">
        <f>IFERROR(IF(AND(NOT(ISNUMBER(F175)),NOT(ISNUMBER(AO175))),"",F175+AO175),"")</f>
        <v/>
      </c>
      <c r="AQ175" s="97">
        <f>IFERROR(IF(OR(NOT(ISNUMBER(E175)),NOT(ISNUMBER(AP175))),"",E175-AP175),"")</f>
        <v/>
      </c>
      <c r="AR175" s="96" t="n"/>
      <c r="AS175" s="97">
        <f>IFERROR(IF(OR(NOT(ISNUMBER(AR175)),NOT(ISNUMBER(S175))),"",AR175-S175),"")</f>
        <v/>
      </c>
      <c r="AT175" s="45" t="n"/>
    </row>
    <row r="176" ht="15" customHeight="1" s="67">
      <c r="A176" s="6" t="n"/>
      <c r="B176" s="92" t="n"/>
      <c r="C176" s="93" t="n"/>
      <c r="D176" s="93" t="n"/>
      <c r="E176" s="93" t="n"/>
      <c r="F176" s="93" t="n"/>
      <c r="G176" s="93" t="n"/>
      <c r="H176" s="93" t="n"/>
      <c r="I176" s="93" t="n"/>
      <c r="J176" s="93" t="n"/>
      <c r="K176" s="93" t="n"/>
      <c r="L176" s="93" t="n"/>
      <c r="M176" s="93" t="n"/>
      <c r="N176" s="93" t="n"/>
      <c r="O176" s="93" t="n"/>
      <c r="P176" s="94">
        <f>IFERROR(J176-M176,"")</f>
        <v/>
      </c>
      <c r="Q176" s="93" t="n"/>
      <c r="R176" s="93" t="n"/>
      <c r="S176" s="94">
        <f>IFERROR(R176-Q176,"")</f>
        <v/>
      </c>
      <c r="T176" s="93" t="n"/>
      <c r="U176" s="93" t="n"/>
      <c r="V176" s="94">
        <f>IFERROR(T176-U176,"")</f>
        <v/>
      </c>
      <c r="W176" s="93" t="n"/>
      <c r="X176" s="93" t="n"/>
      <c r="Y176" s="93" t="n"/>
      <c r="Z176" s="93" t="n"/>
      <c r="AA176" s="93" t="n"/>
      <c r="AB176" s="93" t="n"/>
      <c r="AC176" s="94">
        <f>IFERROR(W176*AB176/1000,"")</f>
        <v/>
      </c>
      <c r="AD176" s="17">
        <f>IFERROR(J176/M176,"")</f>
        <v/>
      </c>
      <c r="AE176" s="17">
        <f>IFERROR(R176/I176,"")</f>
        <v/>
      </c>
      <c r="AF176" s="17">
        <f>IFERROR(R176/O176,"")</f>
        <v/>
      </c>
      <c r="AG176" s="95">
        <f>IFERROR(G176/I176,"")</f>
        <v/>
      </c>
      <c r="AH176" s="95">
        <f>IFERROR(G176/O176,"")</f>
        <v/>
      </c>
      <c r="AI176" s="95">
        <f>IFERROR(G176/C176,"")</f>
        <v/>
      </c>
      <c r="AJ176" s="95">
        <f>IFERROR(D176/C176,"")</f>
        <v/>
      </c>
      <c r="AK176" s="6" t="n"/>
      <c r="AL176" s="6" t="n"/>
      <c r="AM176" s="6" t="n"/>
      <c r="AN176" s="6" t="n"/>
      <c r="AO176" s="96" t="n"/>
      <c r="AP176" s="97">
        <f>IFERROR(IF(AND(NOT(ISNUMBER(F176)),NOT(ISNUMBER(AO176))),"",F176+AO176),"")</f>
        <v/>
      </c>
      <c r="AQ176" s="97">
        <f>IFERROR(IF(OR(NOT(ISNUMBER(E176)),NOT(ISNUMBER(AP176))),"",E176-AP176),"")</f>
        <v/>
      </c>
      <c r="AR176" s="96" t="n"/>
      <c r="AS176" s="97">
        <f>IFERROR(IF(OR(NOT(ISNUMBER(AR176)),NOT(ISNUMBER(S176))),"",AR176-S176),"")</f>
        <v/>
      </c>
      <c r="AT176" s="45" t="n"/>
    </row>
    <row r="177" ht="15" customHeight="1" s="67">
      <c r="A177" s="6" t="n"/>
      <c r="B177" s="92" t="n"/>
      <c r="C177" s="93" t="n"/>
      <c r="D177" s="93" t="n"/>
      <c r="E177" s="93" t="n"/>
      <c r="F177" s="93" t="n"/>
      <c r="G177" s="93" t="n"/>
      <c r="H177" s="93" t="n"/>
      <c r="I177" s="93" t="n"/>
      <c r="J177" s="93" t="n"/>
      <c r="K177" s="93" t="n"/>
      <c r="L177" s="93" t="n"/>
      <c r="M177" s="93" t="n"/>
      <c r="N177" s="93" t="n"/>
      <c r="O177" s="93" t="n"/>
      <c r="P177" s="94">
        <f>IFERROR(J177-M177,"")</f>
        <v/>
      </c>
      <c r="Q177" s="93" t="n"/>
      <c r="R177" s="93" t="n"/>
      <c r="S177" s="94">
        <f>IFERROR(R177-Q177,"")</f>
        <v/>
      </c>
      <c r="T177" s="93" t="n"/>
      <c r="U177" s="93" t="n"/>
      <c r="V177" s="94">
        <f>IFERROR(T177-U177,"")</f>
        <v/>
      </c>
      <c r="W177" s="93" t="n"/>
      <c r="X177" s="93" t="n"/>
      <c r="Y177" s="93" t="n"/>
      <c r="Z177" s="93" t="n"/>
      <c r="AA177" s="93" t="n"/>
      <c r="AB177" s="93" t="n"/>
      <c r="AC177" s="94">
        <f>IFERROR(W177*AB177/1000,"")</f>
        <v/>
      </c>
      <c r="AD177" s="17">
        <f>IFERROR(J177/M177,"")</f>
        <v/>
      </c>
      <c r="AE177" s="17">
        <f>IFERROR(R177/I177,"")</f>
        <v/>
      </c>
      <c r="AF177" s="17">
        <f>IFERROR(R177/O177,"")</f>
        <v/>
      </c>
      <c r="AG177" s="95">
        <f>IFERROR(G177/I177,"")</f>
        <v/>
      </c>
      <c r="AH177" s="95">
        <f>IFERROR(G177/O177,"")</f>
        <v/>
      </c>
      <c r="AI177" s="95">
        <f>IFERROR(G177/C177,"")</f>
        <v/>
      </c>
      <c r="AJ177" s="95">
        <f>IFERROR(D177/C177,"")</f>
        <v/>
      </c>
      <c r="AK177" s="6" t="n"/>
      <c r="AL177" s="6" t="n"/>
      <c r="AM177" s="6" t="n"/>
      <c r="AN177" s="6" t="n"/>
      <c r="AO177" s="96" t="n"/>
      <c r="AP177" s="97">
        <f>IFERROR(IF(AND(NOT(ISNUMBER(F177)),NOT(ISNUMBER(AO177))),"",F177+AO177),"")</f>
        <v/>
      </c>
      <c r="AQ177" s="97">
        <f>IFERROR(IF(OR(NOT(ISNUMBER(E177)),NOT(ISNUMBER(AP177))),"",E177-AP177),"")</f>
        <v/>
      </c>
      <c r="AR177" s="96" t="n"/>
      <c r="AS177" s="97">
        <f>IFERROR(IF(OR(NOT(ISNUMBER(AR177)),NOT(ISNUMBER(S177))),"",AR177-S177),"")</f>
        <v/>
      </c>
      <c r="AT177" s="45" t="n"/>
    </row>
    <row r="178" ht="15" customHeight="1" s="67">
      <c r="A178" s="6" t="n"/>
      <c r="B178" s="92" t="n"/>
      <c r="C178" s="93" t="n"/>
      <c r="D178" s="93" t="n"/>
      <c r="E178" s="93" t="n"/>
      <c r="F178" s="93" t="n"/>
      <c r="G178" s="93" t="n"/>
      <c r="H178" s="93" t="n"/>
      <c r="I178" s="93" t="n"/>
      <c r="J178" s="93" t="n"/>
      <c r="K178" s="93" t="n"/>
      <c r="L178" s="93" t="n"/>
      <c r="M178" s="93" t="n"/>
      <c r="N178" s="93" t="n"/>
      <c r="O178" s="93" t="n"/>
      <c r="P178" s="94">
        <f>IFERROR(J178-M178,"")</f>
        <v/>
      </c>
      <c r="Q178" s="93" t="n"/>
      <c r="R178" s="93" t="n"/>
      <c r="S178" s="94">
        <f>IFERROR(R178-Q178,"")</f>
        <v/>
      </c>
      <c r="T178" s="93" t="n"/>
      <c r="U178" s="93" t="n"/>
      <c r="V178" s="94">
        <f>IFERROR(T178-U178,"")</f>
        <v/>
      </c>
      <c r="W178" s="93" t="n"/>
      <c r="X178" s="93" t="n"/>
      <c r="Y178" s="93" t="n"/>
      <c r="Z178" s="93" t="n"/>
      <c r="AA178" s="93" t="n"/>
      <c r="AB178" s="93" t="n"/>
      <c r="AC178" s="94">
        <f>IFERROR(W178*AB178/1000,"")</f>
        <v/>
      </c>
      <c r="AD178" s="17">
        <f>IFERROR(J178/M178,"")</f>
        <v/>
      </c>
      <c r="AE178" s="17">
        <f>IFERROR(R178/I178,"")</f>
        <v/>
      </c>
      <c r="AF178" s="17">
        <f>IFERROR(R178/O178,"")</f>
        <v/>
      </c>
      <c r="AG178" s="95">
        <f>IFERROR(G178/I178,"")</f>
        <v/>
      </c>
      <c r="AH178" s="95">
        <f>IFERROR(G178/O178,"")</f>
        <v/>
      </c>
      <c r="AI178" s="95">
        <f>IFERROR(G178/C178,"")</f>
        <v/>
      </c>
      <c r="AJ178" s="95">
        <f>IFERROR(D178/C178,"")</f>
        <v/>
      </c>
      <c r="AK178" s="6" t="n"/>
      <c r="AL178" s="6" t="n"/>
      <c r="AM178" s="6" t="n"/>
      <c r="AN178" s="6" t="n"/>
      <c r="AO178" s="96" t="n"/>
      <c r="AP178" s="97">
        <f>IFERROR(IF(AND(NOT(ISNUMBER(F178)),NOT(ISNUMBER(AO178))),"",F178+AO178),"")</f>
        <v/>
      </c>
      <c r="AQ178" s="97">
        <f>IFERROR(IF(OR(NOT(ISNUMBER(E178)),NOT(ISNUMBER(AP178))),"",E178-AP178),"")</f>
        <v/>
      </c>
      <c r="AR178" s="96" t="n"/>
      <c r="AS178" s="97">
        <f>IFERROR(IF(OR(NOT(ISNUMBER(AR178)),NOT(ISNUMBER(S178))),"",AR178-S178),"")</f>
        <v/>
      </c>
      <c r="AT178" s="45" t="n"/>
    </row>
    <row r="179" ht="15" customHeight="1" s="67">
      <c r="A179" s="6" t="n"/>
      <c r="B179" s="92" t="n"/>
      <c r="C179" s="93" t="n"/>
      <c r="D179" s="93" t="n"/>
      <c r="E179" s="93" t="n"/>
      <c r="F179" s="93" t="n"/>
      <c r="G179" s="93" t="n"/>
      <c r="H179" s="93" t="n"/>
      <c r="I179" s="93" t="n"/>
      <c r="J179" s="93" t="n"/>
      <c r="K179" s="93" t="n"/>
      <c r="L179" s="93" t="n"/>
      <c r="M179" s="93" t="n"/>
      <c r="N179" s="93" t="n"/>
      <c r="O179" s="93" t="n"/>
      <c r="P179" s="94">
        <f>IFERROR(J179-M179,"")</f>
        <v/>
      </c>
      <c r="Q179" s="93" t="n"/>
      <c r="R179" s="93" t="n"/>
      <c r="S179" s="94">
        <f>IFERROR(R179-Q179,"")</f>
        <v/>
      </c>
      <c r="T179" s="93" t="n"/>
      <c r="U179" s="93" t="n"/>
      <c r="V179" s="94">
        <f>IFERROR(T179-U179,"")</f>
        <v/>
      </c>
      <c r="W179" s="93" t="n"/>
      <c r="X179" s="93" t="n"/>
      <c r="Y179" s="93" t="n"/>
      <c r="Z179" s="93" t="n"/>
      <c r="AA179" s="93" t="n"/>
      <c r="AB179" s="93" t="n"/>
      <c r="AC179" s="94">
        <f>IFERROR(W179*AB179/1000,"")</f>
        <v/>
      </c>
      <c r="AD179" s="17">
        <f>IFERROR(J179/M179,"")</f>
        <v/>
      </c>
      <c r="AE179" s="17">
        <f>IFERROR(R179/I179,"")</f>
        <v/>
      </c>
      <c r="AF179" s="17">
        <f>IFERROR(R179/O179,"")</f>
        <v/>
      </c>
      <c r="AG179" s="95">
        <f>IFERROR(G179/I179,"")</f>
        <v/>
      </c>
      <c r="AH179" s="95">
        <f>IFERROR(G179/O179,"")</f>
        <v/>
      </c>
      <c r="AI179" s="95">
        <f>IFERROR(G179/C179,"")</f>
        <v/>
      </c>
      <c r="AJ179" s="95">
        <f>IFERROR(D179/C179,"")</f>
        <v/>
      </c>
      <c r="AK179" s="6" t="n"/>
      <c r="AL179" s="6" t="n"/>
      <c r="AM179" s="6" t="n"/>
      <c r="AN179" s="6" t="n"/>
      <c r="AO179" s="96" t="n"/>
      <c r="AP179" s="97">
        <f>IFERROR(IF(AND(NOT(ISNUMBER(F179)),NOT(ISNUMBER(AO179))),"",F179+AO179),"")</f>
        <v/>
      </c>
      <c r="AQ179" s="97">
        <f>IFERROR(IF(OR(NOT(ISNUMBER(E179)),NOT(ISNUMBER(AP179))),"",E179-AP179),"")</f>
        <v/>
      </c>
      <c r="AR179" s="96" t="n"/>
      <c r="AS179" s="97">
        <f>IFERROR(IF(OR(NOT(ISNUMBER(AR179)),NOT(ISNUMBER(S179))),"",AR179-S179),"")</f>
        <v/>
      </c>
      <c r="AT179" s="45" t="n"/>
    </row>
    <row r="180" ht="15" customHeight="1" s="67">
      <c r="A180" s="6" t="n"/>
      <c r="B180" s="92" t="n"/>
      <c r="C180" s="93" t="n"/>
      <c r="D180" s="93" t="n"/>
      <c r="E180" s="93" t="n"/>
      <c r="F180" s="93" t="n"/>
      <c r="G180" s="93" t="n"/>
      <c r="H180" s="93" t="n"/>
      <c r="I180" s="93" t="n"/>
      <c r="J180" s="93" t="n"/>
      <c r="K180" s="93" t="n"/>
      <c r="L180" s="93" t="n"/>
      <c r="M180" s="93" t="n"/>
      <c r="N180" s="93" t="n"/>
      <c r="O180" s="93" t="n"/>
      <c r="P180" s="94">
        <f>IFERROR(J180-M180,"")</f>
        <v/>
      </c>
      <c r="Q180" s="93" t="n"/>
      <c r="R180" s="93" t="n"/>
      <c r="S180" s="94">
        <f>IFERROR(R180-Q180,"")</f>
        <v/>
      </c>
      <c r="T180" s="93" t="n"/>
      <c r="U180" s="93" t="n"/>
      <c r="V180" s="94">
        <f>IFERROR(T180-U180,"")</f>
        <v/>
      </c>
      <c r="W180" s="93" t="n"/>
      <c r="X180" s="93" t="n"/>
      <c r="Y180" s="93" t="n"/>
      <c r="Z180" s="93" t="n"/>
      <c r="AA180" s="93" t="n"/>
      <c r="AB180" s="93" t="n"/>
      <c r="AC180" s="94">
        <f>IFERROR(W180*AB180/1000,"")</f>
        <v/>
      </c>
      <c r="AD180" s="17">
        <f>IFERROR(J180/M180,"")</f>
        <v/>
      </c>
      <c r="AE180" s="17">
        <f>IFERROR(R180/I180,"")</f>
        <v/>
      </c>
      <c r="AF180" s="17">
        <f>IFERROR(R180/O180,"")</f>
        <v/>
      </c>
      <c r="AG180" s="95">
        <f>IFERROR(G180/I180,"")</f>
        <v/>
      </c>
      <c r="AH180" s="95">
        <f>IFERROR(G180/O180,"")</f>
        <v/>
      </c>
      <c r="AI180" s="95">
        <f>IFERROR(G180/C180,"")</f>
        <v/>
      </c>
      <c r="AJ180" s="95">
        <f>IFERROR(D180/C180,"")</f>
        <v/>
      </c>
      <c r="AK180" s="6" t="n"/>
      <c r="AL180" s="6" t="n"/>
      <c r="AM180" s="6" t="n"/>
      <c r="AN180" s="6" t="n"/>
      <c r="AO180" s="96" t="n"/>
      <c r="AP180" s="97">
        <f>IFERROR(IF(AND(NOT(ISNUMBER(F180)),NOT(ISNUMBER(AO180))),"",F180+AO180),"")</f>
        <v/>
      </c>
      <c r="AQ180" s="97">
        <f>IFERROR(IF(OR(NOT(ISNUMBER(E180)),NOT(ISNUMBER(AP180))),"",E180-AP180),"")</f>
        <v/>
      </c>
      <c r="AR180" s="96" t="n"/>
      <c r="AS180" s="97">
        <f>IFERROR(IF(OR(NOT(ISNUMBER(AR180)),NOT(ISNUMBER(S180))),"",AR180-S180),"")</f>
        <v/>
      </c>
      <c r="AT180" s="45" t="n"/>
    </row>
    <row r="181" ht="15" customHeight="1" s="67">
      <c r="A181" s="6" t="n"/>
      <c r="B181" s="92" t="n"/>
      <c r="C181" s="93" t="n"/>
      <c r="D181" s="93" t="n"/>
      <c r="E181" s="93" t="n"/>
      <c r="F181" s="93" t="n"/>
      <c r="G181" s="93" t="n"/>
      <c r="H181" s="93" t="n"/>
      <c r="I181" s="93" t="n"/>
      <c r="J181" s="93" t="n"/>
      <c r="K181" s="93" t="n"/>
      <c r="L181" s="93" t="n"/>
      <c r="M181" s="93" t="n"/>
      <c r="N181" s="93" t="n"/>
      <c r="O181" s="93" t="n"/>
      <c r="P181" s="94">
        <f>IFERROR(J181-M181,"")</f>
        <v/>
      </c>
      <c r="Q181" s="93" t="n"/>
      <c r="R181" s="93" t="n"/>
      <c r="S181" s="94">
        <f>IFERROR(R181-Q181,"")</f>
        <v/>
      </c>
      <c r="T181" s="93" t="n"/>
      <c r="U181" s="93" t="n"/>
      <c r="V181" s="94">
        <f>IFERROR(T181-U181,"")</f>
        <v/>
      </c>
      <c r="W181" s="93" t="n"/>
      <c r="X181" s="93" t="n"/>
      <c r="Y181" s="93" t="n"/>
      <c r="Z181" s="93" t="n"/>
      <c r="AA181" s="93" t="n"/>
      <c r="AB181" s="93" t="n"/>
      <c r="AC181" s="94">
        <f>IFERROR(W181*AB181/1000,"")</f>
        <v/>
      </c>
      <c r="AD181" s="17">
        <f>IFERROR(J181/M181,"")</f>
        <v/>
      </c>
      <c r="AE181" s="17">
        <f>IFERROR(R181/I181,"")</f>
        <v/>
      </c>
      <c r="AF181" s="17">
        <f>IFERROR(R181/O181,"")</f>
        <v/>
      </c>
      <c r="AG181" s="95">
        <f>IFERROR(G181/I181,"")</f>
        <v/>
      </c>
      <c r="AH181" s="95">
        <f>IFERROR(G181/O181,"")</f>
        <v/>
      </c>
      <c r="AI181" s="95">
        <f>IFERROR(G181/C181,"")</f>
        <v/>
      </c>
      <c r="AJ181" s="95">
        <f>IFERROR(D181/C181,"")</f>
        <v/>
      </c>
      <c r="AK181" s="6" t="n"/>
      <c r="AL181" s="6" t="n"/>
      <c r="AM181" s="6" t="n"/>
      <c r="AN181" s="6" t="n"/>
      <c r="AO181" s="96" t="n"/>
      <c r="AP181" s="97">
        <f>IFERROR(IF(AND(NOT(ISNUMBER(F181)),NOT(ISNUMBER(AO181))),"",F181+AO181),"")</f>
        <v/>
      </c>
      <c r="AQ181" s="97">
        <f>IFERROR(IF(OR(NOT(ISNUMBER(E181)),NOT(ISNUMBER(AP181))),"",E181-AP181),"")</f>
        <v/>
      </c>
      <c r="AR181" s="96" t="n"/>
      <c r="AS181" s="97">
        <f>IFERROR(IF(OR(NOT(ISNUMBER(AR181)),NOT(ISNUMBER(S181))),"",AR181-S181),"")</f>
        <v/>
      </c>
      <c r="AT181" s="45" t="n"/>
    </row>
    <row r="182" ht="15" customHeight="1" s="67">
      <c r="A182" s="6" t="n"/>
      <c r="B182" s="92" t="n"/>
      <c r="C182" s="93" t="n"/>
      <c r="D182" s="93" t="n"/>
      <c r="E182" s="93" t="n"/>
      <c r="F182" s="93" t="n"/>
      <c r="G182" s="93" t="n"/>
      <c r="H182" s="93" t="n"/>
      <c r="I182" s="93" t="n"/>
      <c r="J182" s="93" t="n"/>
      <c r="K182" s="93" t="n"/>
      <c r="L182" s="93" t="n"/>
      <c r="M182" s="93" t="n"/>
      <c r="N182" s="93" t="n"/>
      <c r="O182" s="93" t="n"/>
      <c r="P182" s="94">
        <f>IFERROR(J182-M182,"")</f>
        <v/>
      </c>
      <c r="Q182" s="93" t="n"/>
      <c r="R182" s="93" t="n"/>
      <c r="S182" s="94">
        <f>IFERROR(R182-Q182,"")</f>
        <v/>
      </c>
      <c r="T182" s="93" t="n"/>
      <c r="U182" s="93" t="n"/>
      <c r="V182" s="94">
        <f>IFERROR(T182-U182,"")</f>
        <v/>
      </c>
      <c r="W182" s="93" t="n"/>
      <c r="X182" s="93" t="n"/>
      <c r="Y182" s="93" t="n"/>
      <c r="Z182" s="93" t="n"/>
      <c r="AA182" s="93" t="n"/>
      <c r="AB182" s="93" t="n"/>
      <c r="AC182" s="94">
        <f>IFERROR(W182*AB182/1000,"")</f>
        <v/>
      </c>
      <c r="AD182" s="17">
        <f>IFERROR(J182/M182,"")</f>
        <v/>
      </c>
      <c r="AE182" s="17">
        <f>IFERROR(R182/I182,"")</f>
        <v/>
      </c>
      <c r="AF182" s="17">
        <f>IFERROR(R182/O182,"")</f>
        <v/>
      </c>
      <c r="AG182" s="95">
        <f>IFERROR(G182/I182,"")</f>
        <v/>
      </c>
      <c r="AH182" s="95">
        <f>IFERROR(G182/O182,"")</f>
        <v/>
      </c>
      <c r="AI182" s="95">
        <f>IFERROR(G182/C182,"")</f>
        <v/>
      </c>
      <c r="AJ182" s="95">
        <f>IFERROR(D182/C182,"")</f>
        <v/>
      </c>
      <c r="AK182" s="6" t="n"/>
      <c r="AL182" s="6" t="n"/>
      <c r="AM182" s="6" t="n"/>
      <c r="AN182" s="6" t="n"/>
      <c r="AO182" s="96" t="n"/>
      <c r="AP182" s="97">
        <f>IFERROR(IF(AND(NOT(ISNUMBER(F182)),NOT(ISNUMBER(AO182))),"",F182+AO182),"")</f>
        <v/>
      </c>
      <c r="AQ182" s="97">
        <f>IFERROR(IF(OR(NOT(ISNUMBER(E182)),NOT(ISNUMBER(AP182))),"",E182-AP182),"")</f>
        <v/>
      </c>
      <c r="AR182" s="96" t="n"/>
      <c r="AS182" s="97">
        <f>IFERROR(IF(OR(NOT(ISNUMBER(AR182)),NOT(ISNUMBER(S182))),"",AR182-S182),"")</f>
        <v/>
      </c>
      <c r="AT182" s="45" t="n"/>
    </row>
    <row r="183" ht="15" customHeight="1" s="67">
      <c r="A183" s="6" t="n"/>
      <c r="B183" s="92" t="n"/>
      <c r="C183" s="93" t="n"/>
      <c r="D183" s="93" t="n"/>
      <c r="E183" s="93" t="n"/>
      <c r="F183" s="93" t="n"/>
      <c r="G183" s="93" t="n"/>
      <c r="H183" s="93" t="n"/>
      <c r="I183" s="93" t="n"/>
      <c r="J183" s="93" t="n"/>
      <c r="K183" s="93" t="n"/>
      <c r="L183" s="93" t="n"/>
      <c r="M183" s="93" t="n"/>
      <c r="N183" s="93" t="n"/>
      <c r="O183" s="93" t="n"/>
      <c r="P183" s="94">
        <f>IFERROR(J183-M183,"")</f>
        <v/>
      </c>
      <c r="Q183" s="93" t="n"/>
      <c r="R183" s="93" t="n"/>
      <c r="S183" s="94">
        <f>IFERROR(R183-Q183,"")</f>
        <v/>
      </c>
      <c r="T183" s="93" t="n"/>
      <c r="U183" s="93" t="n"/>
      <c r="V183" s="94">
        <f>IFERROR(T183-U183,"")</f>
        <v/>
      </c>
      <c r="W183" s="93" t="n"/>
      <c r="X183" s="93" t="n"/>
      <c r="Y183" s="93" t="n"/>
      <c r="Z183" s="93" t="n"/>
      <c r="AA183" s="93" t="n"/>
      <c r="AB183" s="93" t="n"/>
      <c r="AC183" s="94">
        <f>IFERROR(W183*AB183/1000,"")</f>
        <v/>
      </c>
      <c r="AD183" s="17">
        <f>IFERROR(J183/M183,"")</f>
        <v/>
      </c>
      <c r="AE183" s="17">
        <f>IFERROR(R183/I183,"")</f>
        <v/>
      </c>
      <c r="AF183" s="17">
        <f>IFERROR(R183/O183,"")</f>
        <v/>
      </c>
      <c r="AG183" s="95">
        <f>IFERROR(G183/I183,"")</f>
        <v/>
      </c>
      <c r="AH183" s="95">
        <f>IFERROR(G183/O183,"")</f>
        <v/>
      </c>
      <c r="AI183" s="95">
        <f>IFERROR(G183/C183,"")</f>
        <v/>
      </c>
      <c r="AJ183" s="95">
        <f>IFERROR(D183/C183,"")</f>
        <v/>
      </c>
      <c r="AK183" s="6" t="n"/>
      <c r="AL183" s="6" t="n"/>
      <c r="AM183" s="6" t="n"/>
      <c r="AN183" s="6" t="n"/>
      <c r="AO183" s="96" t="n"/>
      <c r="AP183" s="97">
        <f>IFERROR(IF(AND(NOT(ISNUMBER(F183)),NOT(ISNUMBER(AO183))),"",F183+AO183),"")</f>
        <v/>
      </c>
      <c r="AQ183" s="97">
        <f>IFERROR(IF(OR(NOT(ISNUMBER(E183)),NOT(ISNUMBER(AP183))),"",E183-AP183),"")</f>
        <v/>
      </c>
      <c r="AR183" s="96" t="n"/>
      <c r="AS183" s="97">
        <f>IFERROR(IF(OR(NOT(ISNUMBER(AR183)),NOT(ISNUMBER(S183))),"",AR183-S183),"")</f>
        <v/>
      </c>
      <c r="AT183" s="45" t="n"/>
    </row>
    <row r="184" ht="15" customHeight="1" s="67">
      <c r="A184" s="6" t="n"/>
      <c r="B184" s="92" t="n"/>
      <c r="C184" s="93" t="n"/>
      <c r="D184" s="93" t="n"/>
      <c r="E184" s="93" t="n"/>
      <c r="F184" s="93" t="n"/>
      <c r="G184" s="93" t="n"/>
      <c r="H184" s="93" t="n"/>
      <c r="I184" s="93" t="n"/>
      <c r="J184" s="93" t="n"/>
      <c r="K184" s="93" t="n"/>
      <c r="L184" s="93" t="n"/>
      <c r="M184" s="93" t="n"/>
      <c r="N184" s="93" t="n"/>
      <c r="O184" s="93" t="n"/>
      <c r="P184" s="94">
        <f>IFERROR(J184-M184,"")</f>
        <v/>
      </c>
      <c r="Q184" s="93" t="n"/>
      <c r="R184" s="93" t="n"/>
      <c r="S184" s="94">
        <f>IFERROR(R184-Q184,"")</f>
        <v/>
      </c>
      <c r="T184" s="93" t="n"/>
      <c r="U184" s="93" t="n"/>
      <c r="V184" s="94">
        <f>IFERROR(T184-U184,"")</f>
        <v/>
      </c>
      <c r="W184" s="93" t="n"/>
      <c r="X184" s="93" t="n"/>
      <c r="Y184" s="93" t="n"/>
      <c r="Z184" s="93" t="n"/>
      <c r="AA184" s="93" t="n"/>
      <c r="AB184" s="93" t="n"/>
      <c r="AC184" s="94">
        <f>IFERROR(W184*AB184/1000,"")</f>
        <v/>
      </c>
      <c r="AD184" s="17">
        <f>IFERROR(J184/M184,"")</f>
        <v/>
      </c>
      <c r="AE184" s="17">
        <f>IFERROR(R184/I184,"")</f>
        <v/>
      </c>
      <c r="AF184" s="17">
        <f>IFERROR(R184/O184,"")</f>
        <v/>
      </c>
      <c r="AG184" s="95">
        <f>IFERROR(G184/I184,"")</f>
        <v/>
      </c>
      <c r="AH184" s="95">
        <f>IFERROR(G184/O184,"")</f>
        <v/>
      </c>
      <c r="AI184" s="95">
        <f>IFERROR(G184/C184,"")</f>
        <v/>
      </c>
      <c r="AJ184" s="95">
        <f>IFERROR(D184/C184,"")</f>
        <v/>
      </c>
      <c r="AK184" s="6" t="n"/>
      <c r="AL184" s="6" t="n"/>
      <c r="AM184" s="6" t="n"/>
      <c r="AN184" s="6" t="n"/>
      <c r="AO184" s="96" t="n"/>
      <c r="AP184" s="97">
        <f>IFERROR(IF(AND(NOT(ISNUMBER(F184)),NOT(ISNUMBER(AO184))),"",F184+AO184),"")</f>
        <v/>
      </c>
      <c r="AQ184" s="97">
        <f>IFERROR(IF(OR(NOT(ISNUMBER(E184)),NOT(ISNUMBER(AP184))),"",E184-AP184),"")</f>
        <v/>
      </c>
      <c r="AR184" s="96" t="n"/>
      <c r="AS184" s="97">
        <f>IFERROR(IF(OR(NOT(ISNUMBER(AR184)),NOT(ISNUMBER(S184))),"",AR184-S184),"")</f>
        <v/>
      </c>
      <c r="AT184" s="45" t="n"/>
    </row>
    <row r="185" ht="15" customHeight="1" s="67">
      <c r="A185" s="6" t="n"/>
      <c r="B185" s="92" t="n"/>
      <c r="C185" s="93" t="n"/>
      <c r="D185" s="93" t="n"/>
      <c r="E185" s="93" t="n"/>
      <c r="F185" s="93" t="n"/>
      <c r="G185" s="93" t="n"/>
      <c r="H185" s="93" t="n"/>
      <c r="I185" s="93" t="n"/>
      <c r="J185" s="93" t="n"/>
      <c r="K185" s="93" t="n"/>
      <c r="L185" s="93" t="n"/>
      <c r="M185" s="93" t="n"/>
      <c r="N185" s="93" t="n"/>
      <c r="O185" s="93" t="n"/>
      <c r="P185" s="94">
        <f>IFERROR(J185-M185,"")</f>
        <v/>
      </c>
      <c r="Q185" s="93" t="n"/>
      <c r="R185" s="93" t="n"/>
      <c r="S185" s="94">
        <f>IFERROR(R185-Q185,"")</f>
        <v/>
      </c>
      <c r="T185" s="93" t="n"/>
      <c r="U185" s="93" t="n"/>
      <c r="V185" s="94">
        <f>IFERROR(T185-U185,"")</f>
        <v/>
      </c>
      <c r="W185" s="93" t="n"/>
      <c r="X185" s="93" t="n"/>
      <c r="Y185" s="93" t="n"/>
      <c r="Z185" s="93" t="n"/>
      <c r="AA185" s="93" t="n"/>
      <c r="AB185" s="93" t="n"/>
      <c r="AC185" s="94">
        <f>IFERROR(W185*AB185/1000,"")</f>
        <v/>
      </c>
      <c r="AD185" s="17">
        <f>IFERROR(J185/M185,"")</f>
        <v/>
      </c>
      <c r="AE185" s="17">
        <f>IFERROR(R185/I185,"")</f>
        <v/>
      </c>
      <c r="AF185" s="17">
        <f>IFERROR(R185/O185,"")</f>
        <v/>
      </c>
      <c r="AG185" s="95">
        <f>IFERROR(G185/I185,"")</f>
        <v/>
      </c>
      <c r="AH185" s="95">
        <f>IFERROR(G185/O185,"")</f>
        <v/>
      </c>
      <c r="AI185" s="95">
        <f>IFERROR(G185/C185,"")</f>
        <v/>
      </c>
      <c r="AJ185" s="95">
        <f>IFERROR(D185/C185,"")</f>
        <v/>
      </c>
      <c r="AK185" s="6" t="n"/>
      <c r="AL185" s="6" t="n"/>
      <c r="AM185" s="6" t="n"/>
      <c r="AN185" s="6" t="n"/>
      <c r="AO185" s="96" t="n"/>
      <c r="AP185" s="97">
        <f>IFERROR(IF(AND(NOT(ISNUMBER(F185)),NOT(ISNUMBER(AO185))),"",F185+AO185),"")</f>
        <v/>
      </c>
      <c r="AQ185" s="97">
        <f>IFERROR(IF(OR(NOT(ISNUMBER(E185)),NOT(ISNUMBER(AP185))),"",E185-AP185),"")</f>
        <v/>
      </c>
      <c r="AR185" s="96" t="n"/>
      <c r="AS185" s="97">
        <f>IFERROR(IF(OR(NOT(ISNUMBER(AR185)),NOT(ISNUMBER(S185))),"",AR185-S185),"")</f>
        <v/>
      </c>
      <c r="AT185" s="45" t="n"/>
    </row>
    <row r="186" ht="15" customHeight="1" s="67">
      <c r="A186" s="6" t="n"/>
      <c r="B186" s="92" t="n"/>
      <c r="C186" s="93" t="n"/>
      <c r="D186" s="93" t="n"/>
      <c r="E186" s="93" t="n"/>
      <c r="F186" s="93" t="n"/>
      <c r="G186" s="93" t="n"/>
      <c r="H186" s="93" t="n"/>
      <c r="I186" s="93" t="n"/>
      <c r="J186" s="93" t="n"/>
      <c r="K186" s="93" t="n"/>
      <c r="L186" s="93" t="n"/>
      <c r="M186" s="93" t="n"/>
      <c r="N186" s="93" t="n"/>
      <c r="O186" s="93" t="n"/>
      <c r="P186" s="94">
        <f>IFERROR(J186-M186,"")</f>
        <v/>
      </c>
      <c r="Q186" s="93" t="n"/>
      <c r="R186" s="93" t="n"/>
      <c r="S186" s="94">
        <f>IFERROR(R186-Q186,"")</f>
        <v/>
      </c>
      <c r="T186" s="93" t="n"/>
      <c r="U186" s="93" t="n"/>
      <c r="V186" s="94">
        <f>IFERROR(T186-U186,"")</f>
        <v/>
      </c>
      <c r="W186" s="93" t="n"/>
      <c r="X186" s="93" t="n"/>
      <c r="Y186" s="93" t="n"/>
      <c r="Z186" s="93" t="n"/>
      <c r="AA186" s="93" t="n"/>
      <c r="AB186" s="93" t="n"/>
      <c r="AC186" s="94">
        <f>IFERROR(W186*AB186/1000,"")</f>
        <v/>
      </c>
      <c r="AD186" s="17">
        <f>IFERROR(J186/M186,"")</f>
        <v/>
      </c>
      <c r="AE186" s="17">
        <f>IFERROR(R186/I186,"")</f>
        <v/>
      </c>
      <c r="AF186" s="17">
        <f>IFERROR(R186/O186,"")</f>
        <v/>
      </c>
      <c r="AG186" s="95">
        <f>IFERROR(G186/I186,"")</f>
        <v/>
      </c>
      <c r="AH186" s="95">
        <f>IFERROR(G186/O186,"")</f>
        <v/>
      </c>
      <c r="AI186" s="95">
        <f>IFERROR(G186/C186,"")</f>
        <v/>
      </c>
      <c r="AJ186" s="95">
        <f>IFERROR(D186/C186,"")</f>
        <v/>
      </c>
      <c r="AK186" s="6" t="n"/>
      <c r="AL186" s="6" t="n"/>
      <c r="AM186" s="6" t="n"/>
      <c r="AN186" s="6" t="n"/>
      <c r="AO186" s="96" t="n"/>
      <c r="AP186" s="97">
        <f>IFERROR(IF(AND(NOT(ISNUMBER(F186)),NOT(ISNUMBER(AO186))),"",F186+AO186),"")</f>
        <v/>
      </c>
      <c r="AQ186" s="97">
        <f>IFERROR(IF(OR(NOT(ISNUMBER(E186)),NOT(ISNUMBER(AP186))),"",E186-AP186),"")</f>
        <v/>
      </c>
      <c r="AR186" s="96" t="n"/>
      <c r="AS186" s="97">
        <f>IFERROR(IF(OR(NOT(ISNUMBER(AR186)),NOT(ISNUMBER(S186))),"",AR186-S186),"")</f>
        <v/>
      </c>
      <c r="AT186" s="45" t="n"/>
    </row>
    <row r="187" ht="15" customHeight="1" s="67">
      <c r="A187" s="6" t="n"/>
      <c r="B187" s="92" t="n"/>
      <c r="C187" s="93" t="n"/>
      <c r="D187" s="93" t="n"/>
      <c r="E187" s="93" t="n"/>
      <c r="F187" s="93" t="n"/>
      <c r="G187" s="93" t="n"/>
      <c r="H187" s="93" t="n"/>
      <c r="I187" s="93" t="n"/>
      <c r="J187" s="93" t="n"/>
      <c r="K187" s="93" t="n"/>
      <c r="L187" s="93" t="n"/>
      <c r="M187" s="93" t="n"/>
      <c r="N187" s="93" t="n"/>
      <c r="O187" s="93" t="n"/>
      <c r="P187" s="94">
        <f>IFERROR(J187-M187,"")</f>
        <v/>
      </c>
      <c r="Q187" s="93" t="n"/>
      <c r="R187" s="93" t="n"/>
      <c r="S187" s="94">
        <f>IFERROR(R187-Q187,"")</f>
        <v/>
      </c>
      <c r="T187" s="93" t="n"/>
      <c r="U187" s="93" t="n"/>
      <c r="V187" s="94">
        <f>IFERROR(T187-U187,"")</f>
        <v/>
      </c>
      <c r="W187" s="93" t="n"/>
      <c r="X187" s="93" t="n"/>
      <c r="Y187" s="93" t="n"/>
      <c r="Z187" s="93" t="n"/>
      <c r="AA187" s="93" t="n"/>
      <c r="AB187" s="93" t="n"/>
      <c r="AC187" s="94">
        <f>IFERROR(W187*AB187/1000,"")</f>
        <v/>
      </c>
      <c r="AD187" s="17">
        <f>IFERROR(J187/M187,"")</f>
        <v/>
      </c>
      <c r="AE187" s="17">
        <f>IFERROR(R187/I187,"")</f>
        <v/>
      </c>
      <c r="AF187" s="17">
        <f>IFERROR(R187/O187,"")</f>
        <v/>
      </c>
      <c r="AG187" s="95">
        <f>IFERROR(G187/I187,"")</f>
        <v/>
      </c>
      <c r="AH187" s="95">
        <f>IFERROR(G187/O187,"")</f>
        <v/>
      </c>
      <c r="AI187" s="95">
        <f>IFERROR(G187/C187,"")</f>
        <v/>
      </c>
      <c r="AJ187" s="95">
        <f>IFERROR(D187/C187,"")</f>
        <v/>
      </c>
      <c r="AK187" s="6" t="n"/>
      <c r="AL187" s="6" t="n"/>
      <c r="AM187" s="6" t="n"/>
      <c r="AN187" s="6" t="n"/>
      <c r="AO187" s="96" t="n"/>
      <c r="AP187" s="97">
        <f>IFERROR(IF(AND(NOT(ISNUMBER(F187)),NOT(ISNUMBER(AO187))),"",F187+AO187),"")</f>
        <v/>
      </c>
      <c r="AQ187" s="97">
        <f>IFERROR(IF(OR(NOT(ISNUMBER(E187)),NOT(ISNUMBER(AP187))),"",E187-AP187),"")</f>
        <v/>
      </c>
      <c r="AR187" s="96" t="n"/>
      <c r="AS187" s="97">
        <f>IFERROR(IF(OR(NOT(ISNUMBER(AR187)),NOT(ISNUMBER(S187))),"",AR187-S187),"")</f>
        <v/>
      </c>
      <c r="AT187" s="45" t="n"/>
    </row>
    <row r="188" ht="15" customHeight="1" s="67">
      <c r="A188" s="6" t="n"/>
      <c r="B188" s="92" t="n"/>
      <c r="C188" s="93" t="n"/>
      <c r="D188" s="93" t="n"/>
      <c r="E188" s="93" t="n"/>
      <c r="F188" s="93" t="n"/>
      <c r="G188" s="93" t="n"/>
      <c r="H188" s="93" t="n"/>
      <c r="I188" s="93" t="n"/>
      <c r="J188" s="93" t="n"/>
      <c r="K188" s="93" t="n"/>
      <c r="L188" s="93" t="n"/>
      <c r="M188" s="93" t="n"/>
      <c r="N188" s="93" t="n"/>
      <c r="O188" s="93" t="n"/>
      <c r="P188" s="94">
        <f>IFERROR(J188-M188,"")</f>
        <v/>
      </c>
      <c r="Q188" s="93" t="n"/>
      <c r="R188" s="93" t="n"/>
      <c r="S188" s="94">
        <f>IFERROR(R188-Q188,"")</f>
        <v/>
      </c>
      <c r="T188" s="93" t="n"/>
      <c r="U188" s="93" t="n"/>
      <c r="V188" s="94">
        <f>IFERROR(T188-U188,"")</f>
        <v/>
      </c>
      <c r="W188" s="93" t="n"/>
      <c r="X188" s="93" t="n"/>
      <c r="Y188" s="93" t="n"/>
      <c r="Z188" s="93" t="n"/>
      <c r="AA188" s="93" t="n"/>
      <c r="AB188" s="93" t="n"/>
      <c r="AC188" s="94">
        <f>IFERROR(W188*AB188/1000,"")</f>
        <v/>
      </c>
      <c r="AD188" s="17">
        <f>IFERROR(J188/M188,"")</f>
        <v/>
      </c>
      <c r="AE188" s="17">
        <f>IFERROR(R188/I188,"")</f>
        <v/>
      </c>
      <c r="AF188" s="17">
        <f>IFERROR(R188/O188,"")</f>
        <v/>
      </c>
      <c r="AG188" s="95">
        <f>IFERROR(G188/I188,"")</f>
        <v/>
      </c>
      <c r="AH188" s="95">
        <f>IFERROR(G188/O188,"")</f>
        <v/>
      </c>
      <c r="AI188" s="95">
        <f>IFERROR(G188/C188,"")</f>
        <v/>
      </c>
      <c r="AJ188" s="95">
        <f>IFERROR(D188/C188,"")</f>
        <v/>
      </c>
      <c r="AK188" s="6" t="n"/>
      <c r="AL188" s="6" t="n"/>
      <c r="AM188" s="6" t="n"/>
      <c r="AN188" s="6" t="n"/>
      <c r="AO188" s="96" t="n"/>
      <c r="AP188" s="97">
        <f>IFERROR(IF(AND(NOT(ISNUMBER(F188)),NOT(ISNUMBER(AO188))),"",F188+AO188),"")</f>
        <v/>
      </c>
      <c r="AQ188" s="97">
        <f>IFERROR(IF(OR(NOT(ISNUMBER(E188)),NOT(ISNUMBER(AP188))),"",E188-AP188),"")</f>
        <v/>
      </c>
      <c r="AR188" s="96" t="n"/>
      <c r="AS188" s="97">
        <f>IFERROR(IF(OR(NOT(ISNUMBER(AR188)),NOT(ISNUMBER(S188))),"",AR188-S188),"")</f>
        <v/>
      </c>
      <c r="AT188" s="45" t="n"/>
    </row>
    <row r="189" ht="15" customHeight="1" s="67">
      <c r="A189" s="6" t="n"/>
      <c r="B189" s="92" t="n"/>
      <c r="C189" s="93" t="n"/>
      <c r="D189" s="93" t="n"/>
      <c r="E189" s="93" t="n"/>
      <c r="F189" s="93" t="n"/>
      <c r="G189" s="93" t="n"/>
      <c r="H189" s="93" t="n"/>
      <c r="I189" s="93" t="n"/>
      <c r="J189" s="93" t="n"/>
      <c r="K189" s="93" t="n"/>
      <c r="L189" s="93" t="n"/>
      <c r="M189" s="93" t="n"/>
      <c r="N189" s="93" t="n"/>
      <c r="O189" s="93" t="n"/>
      <c r="P189" s="94">
        <f>IFERROR(J189-M189,"")</f>
        <v/>
      </c>
      <c r="Q189" s="93" t="n"/>
      <c r="R189" s="93" t="n"/>
      <c r="S189" s="94">
        <f>IFERROR(R189-Q189,"")</f>
        <v/>
      </c>
      <c r="T189" s="93" t="n"/>
      <c r="U189" s="93" t="n"/>
      <c r="V189" s="94">
        <f>IFERROR(T189-U189,"")</f>
        <v/>
      </c>
      <c r="W189" s="93" t="n"/>
      <c r="X189" s="93" t="n"/>
      <c r="Y189" s="93" t="n"/>
      <c r="Z189" s="93" t="n"/>
      <c r="AA189" s="93" t="n"/>
      <c r="AB189" s="93" t="n"/>
      <c r="AC189" s="94">
        <f>IFERROR(W189*AB189/1000,"")</f>
        <v/>
      </c>
      <c r="AD189" s="17">
        <f>IFERROR(J189/M189,"")</f>
        <v/>
      </c>
      <c r="AE189" s="17">
        <f>IFERROR(R189/I189,"")</f>
        <v/>
      </c>
      <c r="AF189" s="17">
        <f>IFERROR(R189/O189,"")</f>
        <v/>
      </c>
      <c r="AG189" s="95">
        <f>IFERROR(G189/I189,"")</f>
        <v/>
      </c>
      <c r="AH189" s="95">
        <f>IFERROR(G189/O189,"")</f>
        <v/>
      </c>
      <c r="AI189" s="95">
        <f>IFERROR(G189/C189,"")</f>
        <v/>
      </c>
      <c r="AJ189" s="95">
        <f>IFERROR(D189/C189,"")</f>
        <v/>
      </c>
      <c r="AK189" s="6" t="n"/>
      <c r="AL189" s="6" t="n"/>
      <c r="AM189" s="6" t="n"/>
      <c r="AN189" s="6" t="n"/>
      <c r="AO189" s="96" t="n"/>
      <c r="AP189" s="97">
        <f>IFERROR(IF(AND(NOT(ISNUMBER(F189)),NOT(ISNUMBER(AO189))),"",F189+AO189),"")</f>
        <v/>
      </c>
      <c r="AQ189" s="97">
        <f>IFERROR(IF(OR(NOT(ISNUMBER(E189)),NOT(ISNUMBER(AP189))),"",E189-AP189),"")</f>
        <v/>
      </c>
      <c r="AR189" s="96" t="n"/>
      <c r="AS189" s="97">
        <f>IFERROR(IF(OR(NOT(ISNUMBER(AR189)),NOT(ISNUMBER(S189))),"",AR189-S189),"")</f>
        <v/>
      </c>
      <c r="AT189" s="45" t="n"/>
    </row>
    <row r="190" ht="15" customHeight="1" s="67">
      <c r="A190" s="6" t="n"/>
      <c r="B190" s="92" t="n"/>
      <c r="C190" s="93" t="n"/>
      <c r="D190" s="93" t="n"/>
      <c r="E190" s="93" t="n"/>
      <c r="F190" s="93" t="n"/>
      <c r="G190" s="93" t="n"/>
      <c r="H190" s="93" t="n"/>
      <c r="I190" s="93" t="n"/>
      <c r="J190" s="93" t="n"/>
      <c r="K190" s="93" t="n"/>
      <c r="L190" s="93" t="n"/>
      <c r="M190" s="93" t="n"/>
      <c r="N190" s="93" t="n"/>
      <c r="O190" s="93" t="n"/>
      <c r="P190" s="94">
        <f>IFERROR(J190-M190,"")</f>
        <v/>
      </c>
      <c r="Q190" s="93" t="n"/>
      <c r="R190" s="93" t="n"/>
      <c r="S190" s="94">
        <f>IFERROR(R190-Q190,"")</f>
        <v/>
      </c>
      <c r="T190" s="93" t="n"/>
      <c r="U190" s="93" t="n"/>
      <c r="V190" s="94">
        <f>IFERROR(T190-U190,"")</f>
        <v/>
      </c>
      <c r="W190" s="93" t="n"/>
      <c r="X190" s="93" t="n"/>
      <c r="Y190" s="93" t="n"/>
      <c r="Z190" s="93" t="n"/>
      <c r="AA190" s="93" t="n"/>
      <c r="AB190" s="93" t="n"/>
      <c r="AC190" s="94">
        <f>IFERROR(W190*AB190/1000,"")</f>
        <v/>
      </c>
      <c r="AD190" s="17">
        <f>IFERROR(J190/M190,"")</f>
        <v/>
      </c>
      <c r="AE190" s="17">
        <f>IFERROR(R190/I190,"")</f>
        <v/>
      </c>
      <c r="AF190" s="17">
        <f>IFERROR(R190/O190,"")</f>
        <v/>
      </c>
      <c r="AG190" s="95">
        <f>IFERROR(G190/I190,"")</f>
        <v/>
      </c>
      <c r="AH190" s="95">
        <f>IFERROR(G190/O190,"")</f>
        <v/>
      </c>
      <c r="AI190" s="95">
        <f>IFERROR(G190/C190,"")</f>
        <v/>
      </c>
      <c r="AJ190" s="95">
        <f>IFERROR(D190/C190,"")</f>
        <v/>
      </c>
      <c r="AK190" s="6" t="n"/>
      <c r="AL190" s="6" t="n"/>
      <c r="AM190" s="6" t="n"/>
      <c r="AN190" s="6" t="n"/>
      <c r="AO190" s="96" t="n"/>
      <c r="AP190" s="97">
        <f>IFERROR(IF(AND(NOT(ISNUMBER(F190)),NOT(ISNUMBER(AO190))),"",F190+AO190),"")</f>
        <v/>
      </c>
      <c r="AQ190" s="97">
        <f>IFERROR(IF(OR(NOT(ISNUMBER(E190)),NOT(ISNUMBER(AP190))),"",E190-AP190),"")</f>
        <v/>
      </c>
      <c r="AR190" s="96" t="n"/>
      <c r="AS190" s="97">
        <f>IFERROR(IF(OR(NOT(ISNUMBER(AR190)),NOT(ISNUMBER(S190))),"",AR190-S190),"")</f>
        <v/>
      </c>
      <c r="AT190" s="45" t="n"/>
    </row>
    <row r="191" ht="15" customHeight="1" s="67">
      <c r="A191" s="6" t="n"/>
      <c r="B191" s="92" t="n"/>
      <c r="C191" s="93" t="n"/>
      <c r="D191" s="93" t="n"/>
      <c r="E191" s="93" t="n"/>
      <c r="F191" s="93" t="n"/>
      <c r="G191" s="93" t="n"/>
      <c r="H191" s="93" t="n"/>
      <c r="I191" s="93" t="n"/>
      <c r="J191" s="93" t="n"/>
      <c r="K191" s="93" t="n"/>
      <c r="L191" s="93" t="n"/>
      <c r="M191" s="93" t="n"/>
      <c r="N191" s="93" t="n"/>
      <c r="O191" s="93" t="n"/>
      <c r="P191" s="94">
        <f>IFERROR(J191-M191,"")</f>
        <v/>
      </c>
      <c r="Q191" s="93" t="n"/>
      <c r="R191" s="93" t="n"/>
      <c r="S191" s="94">
        <f>IFERROR(R191-Q191,"")</f>
        <v/>
      </c>
      <c r="T191" s="93" t="n"/>
      <c r="U191" s="93" t="n"/>
      <c r="V191" s="94">
        <f>IFERROR(T191-U191,"")</f>
        <v/>
      </c>
      <c r="W191" s="93" t="n"/>
      <c r="X191" s="93" t="n"/>
      <c r="Y191" s="93" t="n"/>
      <c r="Z191" s="93" t="n"/>
      <c r="AA191" s="93" t="n"/>
      <c r="AB191" s="93" t="n"/>
      <c r="AC191" s="94">
        <f>IFERROR(W191*AB191/1000,"")</f>
        <v/>
      </c>
      <c r="AD191" s="17">
        <f>IFERROR(J191/M191,"")</f>
        <v/>
      </c>
      <c r="AE191" s="17">
        <f>IFERROR(R191/I191,"")</f>
        <v/>
      </c>
      <c r="AF191" s="17">
        <f>IFERROR(R191/O191,"")</f>
        <v/>
      </c>
      <c r="AG191" s="95">
        <f>IFERROR(G191/I191,"")</f>
        <v/>
      </c>
      <c r="AH191" s="95">
        <f>IFERROR(G191/O191,"")</f>
        <v/>
      </c>
      <c r="AI191" s="95">
        <f>IFERROR(G191/C191,"")</f>
        <v/>
      </c>
      <c r="AJ191" s="95">
        <f>IFERROR(D191/C191,"")</f>
        <v/>
      </c>
      <c r="AK191" s="6" t="n"/>
      <c r="AL191" s="6" t="n"/>
      <c r="AM191" s="6" t="n"/>
      <c r="AN191" s="6" t="n"/>
      <c r="AO191" s="96" t="n"/>
      <c r="AP191" s="97">
        <f>IFERROR(IF(AND(NOT(ISNUMBER(F191)),NOT(ISNUMBER(AO191))),"",F191+AO191),"")</f>
        <v/>
      </c>
      <c r="AQ191" s="97">
        <f>IFERROR(IF(OR(NOT(ISNUMBER(E191)),NOT(ISNUMBER(AP191))),"",E191-AP191),"")</f>
        <v/>
      </c>
      <c r="AR191" s="96" t="n"/>
      <c r="AS191" s="97">
        <f>IFERROR(IF(OR(NOT(ISNUMBER(AR191)),NOT(ISNUMBER(S191))),"",AR191-S191),"")</f>
        <v/>
      </c>
      <c r="AT191" s="45" t="n"/>
    </row>
    <row r="192" ht="15" customHeight="1" s="67">
      <c r="A192" s="6" t="n"/>
      <c r="B192" s="92" t="n"/>
      <c r="C192" s="93" t="n"/>
      <c r="D192" s="93" t="n"/>
      <c r="E192" s="93" t="n"/>
      <c r="F192" s="93" t="n"/>
      <c r="G192" s="93" t="n"/>
      <c r="H192" s="93" t="n"/>
      <c r="I192" s="93" t="n"/>
      <c r="J192" s="93" t="n"/>
      <c r="K192" s="93" t="n"/>
      <c r="L192" s="93" t="n"/>
      <c r="M192" s="93" t="n"/>
      <c r="N192" s="93" t="n"/>
      <c r="O192" s="93" t="n"/>
      <c r="P192" s="94">
        <f>IFERROR(J192-M192,"")</f>
        <v/>
      </c>
      <c r="Q192" s="93" t="n"/>
      <c r="R192" s="93" t="n"/>
      <c r="S192" s="94">
        <f>IFERROR(R192-Q192,"")</f>
        <v/>
      </c>
      <c r="T192" s="93" t="n"/>
      <c r="U192" s="93" t="n"/>
      <c r="V192" s="94">
        <f>IFERROR(T192-U192,"")</f>
        <v/>
      </c>
      <c r="W192" s="93" t="n"/>
      <c r="X192" s="93" t="n"/>
      <c r="Y192" s="93" t="n"/>
      <c r="Z192" s="93" t="n"/>
      <c r="AA192" s="93" t="n"/>
      <c r="AB192" s="93" t="n"/>
      <c r="AC192" s="94">
        <f>IFERROR(W192*AB192/1000,"")</f>
        <v/>
      </c>
      <c r="AD192" s="17">
        <f>IFERROR(J192/M192,"")</f>
        <v/>
      </c>
      <c r="AE192" s="17">
        <f>IFERROR(R192/I192,"")</f>
        <v/>
      </c>
      <c r="AF192" s="17">
        <f>IFERROR(R192/O192,"")</f>
        <v/>
      </c>
      <c r="AG192" s="95">
        <f>IFERROR(G192/I192,"")</f>
        <v/>
      </c>
      <c r="AH192" s="95">
        <f>IFERROR(G192/O192,"")</f>
        <v/>
      </c>
      <c r="AI192" s="95">
        <f>IFERROR(G192/C192,"")</f>
        <v/>
      </c>
      <c r="AJ192" s="95">
        <f>IFERROR(D192/C192,"")</f>
        <v/>
      </c>
      <c r="AK192" s="6" t="n"/>
      <c r="AL192" s="6" t="n"/>
      <c r="AM192" s="6" t="n"/>
      <c r="AN192" s="6" t="n"/>
      <c r="AO192" s="96" t="n"/>
      <c r="AP192" s="97">
        <f>IFERROR(IF(AND(NOT(ISNUMBER(F192)),NOT(ISNUMBER(AO192))),"",F192+AO192),"")</f>
        <v/>
      </c>
      <c r="AQ192" s="97">
        <f>IFERROR(IF(OR(NOT(ISNUMBER(E192)),NOT(ISNUMBER(AP192))),"",E192-AP192),"")</f>
        <v/>
      </c>
      <c r="AR192" s="96" t="n"/>
      <c r="AS192" s="97">
        <f>IFERROR(IF(OR(NOT(ISNUMBER(AR192)),NOT(ISNUMBER(S192))),"",AR192-S192),"")</f>
        <v/>
      </c>
      <c r="AT192" s="45" t="n"/>
    </row>
    <row r="193" ht="15" customHeight="1" s="67">
      <c r="A193" s="6" t="n"/>
      <c r="B193" s="92" t="n"/>
      <c r="C193" s="93" t="n"/>
      <c r="D193" s="93" t="n"/>
      <c r="E193" s="93" t="n"/>
      <c r="F193" s="93" t="n"/>
      <c r="G193" s="93" t="n"/>
      <c r="H193" s="93" t="n"/>
      <c r="I193" s="93" t="n"/>
      <c r="J193" s="93" t="n"/>
      <c r="K193" s="93" t="n"/>
      <c r="L193" s="93" t="n"/>
      <c r="M193" s="93" t="n"/>
      <c r="N193" s="93" t="n"/>
      <c r="O193" s="93" t="n"/>
      <c r="P193" s="94">
        <f>IFERROR(J193-M193,"")</f>
        <v/>
      </c>
      <c r="Q193" s="93" t="n"/>
      <c r="R193" s="93" t="n"/>
      <c r="S193" s="94">
        <f>IFERROR(R193-Q193,"")</f>
        <v/>
      </c>
      <c r="T193" s="93" t="n"/>
      <c r="U193" s="93" t="n"/>
      <c r="V193" s="94">
        <f>IFERROR(T193-U193,"")</f>
        <v/>
      </c>
      <c r="W193" s="93" t="n"/>
      <c r="X193" s="93" t="n"/>
      <c r="Y193" s="93" t="n"/>
      <c r="Z193" s="93" t="n"/>
      <c r="AA193" s="93" t="n"/>
      <c r="AB193" s="93" t="n"/>
      <c r="AC193" s="94">
        <f>IFERROR(W193*AB193/1000,"")</f>
        <v/>
      </c>
      <c r="AD193" s="17">
        <f>IFERROR(J193/M193,"")</f>
        <v/>
      </c>
      <c r="AE193" s="17">
        <f>IFERROR(R193/I193,"")</f>
        <v/>
      </c>
      <c r="AF193" s="17">
        <f>IFERROR(R193/O193,"")</f>
        <v/>
      </c>
      <c r="AG193" s="95">
        <f>IFERROR(G193/I193,"")</f>
        <v/>
      </c>
      <c r="AH193" s="95">
        <f>IFERROR(G193/O193,"")</f>
        <v/>
      </c>
      <c r="AI193" s="95">
        <f>IFERROR(G193/C193,"")</f>
        <v/>
      </c>
      <c r="AJ193" s="95">
        <f>IFERROR(D193/C193,"")</f>
        <v/>
      </c>
      <c r="AK193" s="6" t="n"/>
      <c r="AL193" s="6" t="n"/>
      <c r="AM193" s="6" t="n"/>
      <c r="AN193" s="6" t="n"/>
      <c r="AO193" s="96" t="n"/>
      <c r="AP193" s="97">
        <f>IFERROR(IF(AND(NOT(ISNUMBER(F193)),NOT(ISNUMBER(AO193))),"",F193+AO193),"")</f>
        <v/>
      </c>
      <c r="AQ193" s="97">
        <f>IFERROR(IF(OR(NOT(ISNUMBER(E193)),NOT(ISNUMBER(AP193))),"",E193-AP193),"")</f>
        <v/>
      </c>
      <c r="AR193" s="96" t="n"/>
      <c r="AS193" s="97">
        <f>IFERROR(IF(OR(NOT(ISNUMBER(AR193)),NOT(ISNUMBER(S193))),"",AR193-S193),"")</f>
        <v/>
      </c>
      <c r="AT193" s="45" t="n"/>
    </row>
    <row r="194" ht="15" customHeight="1" s="67">
      <c r="A194" s="6" t="n"/>
      <c r="B194" s="92" t="n"/>
      <c r="C194" s="93" t="n"/>
      <c r="D194" s="93" t="n"/>
      <c r="E194" s="93" t="n"/>
      <c r="F194" s="93" t="n"/>
      <c r="G194" s="93" t="n"/>
      <c r="H194" s="93" t="n"/>
      <c r="I194" s="93" t="n"/>
      <c r="J194" s="93" t="n"/>
      <c r="K194" s="93" t="n"/>
      <c r="L194" s="93" t="n"/>
      <c r="M194" s="93" t="n"/>
      <c r="N194" s="93" t="n"/>
      <c r="O194" s="93" t="n"/>
      <c r="P194" s="94">
        <f>IFERROR(J194-M194,"")</f>
        <v/>
      </c>
      <c r="Q194" s="93" t="n"/>
      <c r="R194" s="93" t="n"/>
      <c r="S194" s="94">
        <f>IFERROR(R194-Q194,"")</f>
        <v/>
      </c>
      <c r="T194" s="93" t="n"/>
      <c r="U194" s="93" t="n"/>
      <c r="V194" s="94">
        <f>IFERROR(T194-U194,"")</f>
        <v/>
      </c>
      <c r="W194" s="93" t="n"/>
      <c r="X194" s="93" t="n"/>
      <c r="Y194" s="93" t="n"/>
      <c r="Z194" s="93" t="n"/>
      <c r="AA194" s="93" t="n"/>
      <c r="AB194" s="93" t="n"/>
      <c r="AC194" s="94">
        <f>IFERROR(W194*AB194/1000,"")</f>
        <v/>
      </c>
      <c r="AD194" s="17">
        <f>IFERROR(J194/M194,"")</f>
        <v/>
      </c>
      <c r="AE194" s="17">
        <f>IFERROR(R194/I194,"")</f>
        <v/>
      </c>
      <c r="AF194" s="17">
        <f>IFERROR(R194/O194,"")</f>
        <v/>
      </c>
      <c r="AG194" s="95">
        <f>IFERROR(G194/I194,"")</f>
        <v/>
      </c>
      <c r="AH194" s="95">
        <f>IFERROR(G194/O194,"")</f>
        <v/>
      </c>
      <c r="AI194" s="95">
        <f>IFERROR(G194/C194,"")</f>
        <v/>
      </c>
      <c r="AJ194" s="95">
        <f>IFERROR(D194/C194,"")</f>
        <v/>
      </c>
      <c r="AK194" s="6" t="n"/>
      <c r="AL194" s="6" t="n"/>
      <c r="AM194" s="6" t="n"/>
      <c r="AN194" s="6" t="n"/>
      <c r="AO194" s="96" t="n"/>
      <c r="AP194" s="97">
        <f>IFERROR(IF(AND(NOT(ISNUMBER(F194)),NOT(ISNUMBER(AO194))),"",F194+AO194),"")</f>
        <v/>
      </c>
      <c r="AQ194" s="97">
        <f>IFERROR(IF(OR(NOT(ISNUMBER(E194)),NOT(ISNUMBER(AP194))),"",E194-AP194),"")</f>
        <v/>
      </c>
      <c r="AR194" s="96" t="n"/>
      <c r="AS194" s="97">
        <f>IFERROR(IF(OR(NOT(ISNUMBER(AR194)),NOT(ISNUMBER(S194))),"",AR194-S194),"")</f>
        <v/>
      </c>
      <c r="AT194" s="45" t="n"/>
    </row>
    <row r="195" ht="15" customHeight="1" s="67">
      <c r="A195" s="6" t="n"/>
      <c r="B195" s="92" t="n"/>
      <c r="C195" s="93" t="n"/>
      <c r="D195" s="93" t="n"/>
      <c r="E195" s="93" t="n"/>
      <c r="F195" s="93" t="n"/>
      <c r="G195" s="93" t="n"/>
      <c r="H195" s="93" t="n"/>
      <c r="I195" s="93" t="n"/>
      <c r="J195" s="93" t="n"/>
      <c r="K195" s="93" t="n"/>
      <c r="L195" s="93" t="n"/>
      <c r="M195" s="93" t="n"/>
      <c r="N195" s="93" t="n"/>
      <c r="O195" s="93" t="n"/>
      <c r="P195" s="94">
        <f>IFERROR(J195-M195,"")</f>
        <v/>
      </c>
      <c r="Q195" s="93" t="n"/>
      <c r="R195" s="93" t="n"/>
      <c r="S195" s="94">
        <f>IFERROR(R195-Q195,"")</f>
        <v/>
      </c>
      <c r="T195" s="93" t="n"/>
      <c r="U195" s="93" t="n"/>
      <c r="V195" s="94">
        <f>IFERROR(T195-U195,"")</f>
        <v/>
      </c>
      <c r="W195" s="93" t="n"/>
      <c r="X195" s="93" t="n"/>
      <c r="Y195" s="93" t="n"/>
      <c r="Z195" s="93" t="n"/>
      <c r="AA195" s="93" t="n"/>
      <c r="AB195" s="93" t="n"/>
      <c r="AC195" s="94">
        <f>IFERROR(W195*AB195/1000,"")</f>
        <v/>
      </c>
      <c r="AD195" s="17">
        <f>IFERROR(J195/M195,"")</f>
        <v/>
      </c>
      <c r="AE195" s="17">
        <f>IFERROR(R195/I195,"")</f>
        <v/>
      </c>
      <c r="AF195" s="17">
        <f>IFERROR(R195/O195,"")</f>
        <v/>
      </c>
      <c r="AG195" s="95">
        <f>IFERROR(G195/I195,"")</f>
        <v/>
      </c>
      <c r="AH195" s="95">
        <f>IFERROR(G195/O195,"")</f>
        <v/>
      </c>
      <c r="AI195" s="95">
        <f>IFERROR(G195/C195,"")</f>
        <v/>
      </c>
      <c r="AJ195" s="95">
        <f>IFERROR(D195/C195,"")</f>
        <v/>
      </c>
      <c r="AK195" s="6" t="n"/>
      <c r="AL195" s="6" t="n"/>
      <c r="AM195" s="6" t="n"/>
      <c r="AN195" s="6" t="n"/>
      <c r="AO195" s="96" t="n"/>
      <c r="AP195" s="97">
        <f>IFERROR(IF(AND(NOT(ISNUMBER(F195)),NOT(ISNUMBER(AO195))),"",F195+AO195),"")</f>
        <v/>
      </c>
      <c r="AQ195" s="97">
        <f>IFERROR(IF(OR(NOT(ISNUMBER(E195)),NOT(ISNUMBER(AP195))),"",E195-AP195),"")</f>
        <v/>
      </c>
      <c r="AR195" s="96" t="n"/>
      <c r="AS195" s="97">
        <f>IFERROR(IF(OR(NOT(ISNUMBER(AR195)),NOT(ISNUMBER(S195))),"",AR195-S195),"")</f>
        <v/>
      </c>
      <c r="AT195" s="45" t="n"/>
    </row>
    <row r="196" ht="15" customHeight="1" s="67">
      <c r="A196" s="6" t="n"/>
      <c r="B196" s="92" t="n"/>
      <c r="C196" s="93" t="n"/>
      <c r="D196" s="93" t="n"/>
      <c r="E196" s="93" t="n"/>
      <c r="F196" s="93" t="n"/>
      <c r="G196" s="93" t="n"/>
      <c r="H196" s="93" t="n"/>
      <c r="I196" s="93" t="n"/>
      <c r="J196" s="93" t="n"/>
      <c r="K196" s="93" t="n"/>
      <c r="L196" s="93" t="n"/>
      <c r="M196" s="93" t="n"/>
      <c r="N196" s="93" t="n"/>
      <c r="O196" s="93" t="n"/>
      <c r="P196" s="94">
        <f>IFERROR(J196-M196,"")</f>
        <v/>
      </c>
      <c r="Q196" s="93" t="n"/>
      <c r="R196" s="93" t="n"/>
      <c r="S196" s="94">
        <f>IFERROR(R196-Q196,"")</f>
        <v/>
      </c>
      <c r="T196" s="93" t="n"/>
      <c r="U196" s="93" t="n"/>
      <c r="V196" s="94">
        <f>IFERROR(T196-U196,"")</f>
        <v/>
      </c>
      <c r="W196" s="93" t="n"/>
      <c r="X196" s="93" t="n"/>
      <c r="Y196" s="93" t="n"/>
      <c r="Z196" s="93" t="n"/>
      <c r="AA196" s="93" t="n"/>
      <c r="AB196" s="93" t="n"/>
      <c r="AC196" s="94">
        <f>IFERROR(W196*AB196/1000,"")</f>
        <v/>
      </c>
      <c r="AD196" s="17">
        <f>IFERROR(J196/M196,"")</f>
        <v/>
      </c>
      <c r="AE196" s="17">
        <f>IFERROR(R196/I196,"")</f>
        <v/>
      </c>
      <c r="AF196" s="17">
        <f>IFERROR(R196/O196,"")</f>
        <v/>
      </c>
      <c r="AG196" s="95">
        <f>IFERROR(G196/I196,"")</f>
        <v/>
      </c>
      <c r="AH196" s="95">
        <f>IFERROR(G196/O196,"")</f>
        <v/>
      </c>
      <c r="AI196" s="95">
        <f>IFERROR(G196/C196,"")</f>
        <v/>
      </c>
      <c r="AJ196" s="95">
        <f>IFERROR(D196/C196,"")</f>
        <v/>
      </c>
      <c r="AK196" s="6" t="n"/>
      <c r="AL196" s="6" t="n"/>
      <c r="AM196" s="6" t="n"/>
      <c r="AN196" s="6" t="n"/>
      <c r="AO196" s="96" t="n"/>
      <c r="AP196" s="97">
        <f>IFERROR(IF(AND(NOT(ISNUMBER(F196)),NOT(ISNUMBER(AO196))),"",F196+AO196),"")</f>
        <v/>
      </c>
      <c r="AQ196" s="97">
        <f>IFERROR(IF(OR(NOT(ISNUMBER(E196)),NOT(ISNUMBER(AP196))),"",E196-AP196),"")</f>
        <v/>
      </c>
      <c r="AR196" s="96" t="n"/>
      <c r="AS196" s="97">
        <f>IFERROR(IF(OR(NOT(ISNUMBER(AR196)),NOT(ISNUMBER(S196))),"",AR196-S196),"")</f>
        <v/>
      </c>
      <c r="AT196" s="45" t="n"/>
    </row>
    <row r="197" ht="15" customHeight="1" s="67">
      <c r="A197" s="6" t="n"/>
      <c r="B197" s="92" t="n"/>
      <c r="C197" s="93" t="n"/>
      <c r="D197" s="93" t="n"/>
      <c r="E197" s="93" t="n"/>
      <c r="F197" s="93" t="n"/>
      <c r="G197" s="93" t="n"/>
      <c r="H197" s="93" t="n"/>
      <c r="I197" s="93" t="n"/>
      <c r="J197" s="93" t="n"/>
      <c r="K197" s="93" t="n"/>
      <c r="L197" s="93" t="n"/>
      <c r="M197" s="93" t="n"/>
      <c r="N197" s="93" t="n"/>
      <c r="O197" s="93" t="n"/>
      <c r="P197" s="94">
        <f>IFERROR(J197-M197,"")</f>
        <v/>
      </c>
      <c r="Q197" s="93" t="n"/>
      <c r="R197" s="93" t="n"/>
      <c r="S197" s="94">
        <f>IFERROR(R197-Q197,"")</f>
        <v/>
      </c>
      <c r="T197" s="93" t="n"/>
      <c r="U197" s="93" t="n"/>
      <c r="V197" s="94">
        <f>IFERROR(T197-U197,"")</f>
        <v/>
      </c>
      <c r="W197" s="93" t="n"/>
      <c r="X197" s="93" t="n"/>
      <c r="Y197" s="93" t="n"/>
      <c r="Z197" s="93" t="n"/>
      <c r="AA197" s="93" t="n"/>
      <c r="AB197" s="93" t="n"/>
      <c r="AC197" s="94">
        <f>IFERROR(W197*AB197/1000,"")</f>
        <v/>
      </c>
      <c r="AD197" s="17">
        <f>IFERROR(J197/M197,"")</f>
        <v/>
      </c>
      <c r="AE197" s="17">
        <f>IFERROR(R197/I197,"")</f>
        <v/>
      </c>
      <c r="AF197" s="17">
        <f>IFERROR(R197/O197,"")</f>
        <v/>
      </c>
      <c r="AG197" s="95">
        <f>IFERROR(G197/I197,"")</f>
        <v/>
      </c>
      <c r="AH197" s="95">
        <f>IFERROR(G197/O197,"")</f>
        <v/>
      </c>
      <c r="AI197" s="95">
        <f>IFERROR(G197/C197,"")</f>
        <v/>
      </c>
      <c r="AJ197" s="95">
        <f>IFERROR(D197/C197,"")</f>
        <v/>
      </c>
      <c r="AK197" s="6" t="n"/>
      <c r="AL197" s="6" t="n"/>
      <c r="AM197" s="6" t="n"/>
      <c r="AN197" s="6" t="n"/>
      <c r="AO197" s="96" t="n"/>
      <c r="AP197" s="97">
        <f>IFERROR(IF(AND(NOT(ISNUMBER(F197)),NOT(ISNUMBER(AO197))),"",F197+AO197),"")</f>
        <v/>
      </c>
      <c r="AQ197" s="97">
        <f>IFERROR(IF(OR(NOT(ISNUMBER(E197)),NOT(ISNUMBER(AP197))),"",E197-AP197),"")</f>
        <v/>
      </c>
      <c r="AR197" s="96" t="n"/>
      <c r="AS197" s="97">
        <f>IFERROR(IF(OR(NOT(ISNUMBER(AR197)),NOT(ISNUMBER(S197))),"",AR197-S197),"")</f>
        <v/>
      </c>
      <c r="AT197" s="45" t="n"/>
    </row>
    <row r="198" ht="15" customHeight="1" s="67">
      <c r="A198" s="6" t="n"/>
      <c r="B198" s="92" t="n"/>
      <c r="C198" s="93" t="n"/>
      <c r="D198" s="93" t="n"/>
      <c r="E198" s="93" t="n"/>
      <c r="F198" s="93" t="n"/>
      <c r="G198" s="93" t="n"/>
      <c r="H198" s="93" t="n"/>
      <c r="I198" s="93" t="n"/>
      <c r="J198" s="93" t="n"/>
      <c r="K198" s="93" t="n"/>
      <c r="L198" s="93" t="n"/>
      <c r="M198" s="93" t="n"/>
      <c r="N198" s="93" t="n"/>
      <c r="O198" s="93" t="n"/>
      <c r="P198" s="94">
        <f>IFERROR(J198-M198,"")</f>
        <v/>
      </c>
      <c r="Q198" s="93" t="n"/>
      <c r="R198" s="93" t="n"/>
      <c r="S198" s="94">
        <f>IFERROR(R198-Q198,"")</f>
        <v/>
      </c>
      <c r="T198" s="93" t="n"/>
      <c r="U198" s="93" t="n"/>
      <c r="V198" s="94">
        <f>IFERROR(T198-U198,"")</f>
        <v/>
      </c>
      <c r="W198" s="93" t="n"/>
      <c r="X198" s="93" t="n"/>
      <c r="Y198" s="93" t="n"/>
      <c r="Z198" s="93" t="n"/>
      <c r="AA198" s="93" t="n"/>
      <c r="AB198" s="93" t="n"/>
      <c r="AC198" s="94">
        <f>IFERROR(W198*AB198/1000,"")</f>
        <v/>
      </c>
      <c r="AD198" s="17">
        <f>IFERROR(J198/M198,"")</f>
        <v/>
      </c>
      <c r="AE198" s="17">
        <f>IFERROR(R198/I198,"")</f>
        <v/>
      </c>
      <c r="AF198" s="17">
        <f>IFERROR(R198/O198,"")</f>
        <v/>
      </c>
      <c r="AG198" s="95">
        <f>IFERROR(G198/I198,"")</f>
        <v/>
      </c>
      <c r="AH198" s="95">
        <f>IFERROR(G198/O198,"")</f>
        <v/>
      </c>
      <c r="AI198" s="95">
        <f>IFERROR(G198/C198,"")</f>
        <v/>
      </c>
      <c r="AJ198" s="95">
        <f>IFERROR(D198/C198,"")</f>
        <v/>
      </c>
      <c r="AK198" s="6" t="n"/>
      <c r="AL198" s="6" t="n"/>
      <c r="AM198" s="6" t="n"/>
      <c r="AN198" s="6" t="n"/>
      <c r="AO198" s="96" t="n"/>
      <c r="AP198" s="97">
        <f>IFERROR(IF(AND(NOT(ISNUMBER(F198)),NOT(ISNUMBER(AO198))),"",F198+AO198),"")</f>
        <v/>
      </c>
      <c r="AQ198" s="97">
        <f>IFERROR(IF(OR(NOT(ISNUMBER(E198)),NOT(ISNUMBER(AP198))),"",E198-AP198),"")</f>
        <v/>
      </c>
      <c r="AR198" s="96" t="n"/>
      <c r="AS198" s="97">
        <f>IFERROR(IF(OR(NOT(ISNUMBER(AR198)),NOT(ISNUMBER(S198))),"",AR198-S198),"")</f>
        <v/>
      </c>
      <c r="AT198" s="45" t="n"/>
    </row>
    <row r="199" ht="15" customHeight="1" s="67">
      <c r="A199" s="6" t="n"/>
      <c r="B199" s="92" t="n"/>
      <c r="C199" s="93" t="n"/>
      <c r="D199" s="93" t="n"/>
      <c r="E199" s="93" t="n"/>
      <c r="F199" s="93" t="n"/>
      <c r="G199" s="93" t="n"/>
      <c r="H199" s="93" t="n"/>
      <c r="I199" s="93" t="n"/>
      <c r="J199" s="93" t="n"/>
      <c r="K199" s="93" t="n"/>
      <c r="L199" s="93" t="n"/>
      <c r="M199" s="93" t="n"/>
      <c r="N199" s="93" t="n"/>
      <c r="O199" s="93" t="n"/>
      <c r="P199" s="94">
        <f>IFERROR(J199-M199,"")</f>
        <v/>
      </c>
      <c r="Q199" s="93" t="n"/>
      <c r="R199" s="93" t="n"/>
      <c r="S199" s="94">
        <f>IFERROR(R199-Q199,"")</f>
        <v/>
      </c>
      <c r="T199" s="93" t="n"/>
      <c r="U199" s="93" t="n"/>
      <c r="V199" s="94">
        <f>IFERROR(T199-U199,"")</f>
        <v/>
      </c>
      <c r="W199" s="93" t="n"/>
      <c r="X199" s="93" t="n"/>
      <c r="Y199" s="93" t="n"/>
      <c r="Z199" s="93" t="n"/>
      <c r="AA199" s="93" t="n"/>
      <c r="AB199" s="93" t="n"/>
      <c r="AC199" s="94">
        <f>IFERROR(W199*AB199/1000,"")</f>
        <v/>
      </c>
      <c r="AD199" s="17">
        <f>IFERROR(J199/M199,"")</f>
        <v/>
      </c>
      <c r="AE199" s="17">
        <f>IFERROR(R199/I199,"")</f>
        <v/>
      </c>
      <c r="AF199" s="17">
        <f>IFERROR(R199/O199,"")</f>
        <v/>
      </c>
      <c r="AG199" s="95">
        <f>IFERROR(G199/I199,"")</f>
        <v/>
      </c>
      <c r="AH199" s="95">
        <f>IFERROR(G199/O199,"")</f>
        <v/>
      </c>
      <c r="AI199" s="95">
        <f>IFERROR(G199/C199,"")</f>
        <v/>
      </c>
      <c r="AJ199" s="95">
        <f>IFERROR(D199/C199,"")</f>
        <v/>
      </c>
      <c r="AK199" s="6" t="n"/>
      <c r="AL199" s="6" t="n"/>
      <c r="AM199" s="6" t="n"/>
      <c r="AN199" s="6" t="n"/>
      <c r="AO199" s="96" t="n"/>
      <c r="AP199" s="97">
        <f>IFERROR(IF(AND(NOT(ISNUMBER(F199)),NOT(ISNUMBER(AO199))),"",F199+AO199),"")</f>
        <v/>
      </c>
      <c r="AQ199" s="97">
        <f>IFERROR(IF(OR(NOT(ISNUMBER(E199)),NOT(ISNUMBER(AP199))),"",E199-AP199),"")</f>
        <v/>
      </c>
      <c r="AR199" s="96" t="n"/>
      <c r="AS199" s="97">
        <f>IFERROR(IF(OR(NOT(ISNUMBER(AR199)),NOT(ISNUMBER(S199))),"",AR199-S199),"")</f>
        <v/>
      </c>
      <c r="AT199" s="45" t="n"/>
    </row>
    <row r="200" ht="15" customHeight="1" s="67">
      <c r="A200" s="6" t="n"/>
      <c r="B200" s="92" t="n"/>
      <c r="C200" s="93" t="n"/>
      <c r="D200" s="93" t="n"/>
      <c r="E200" s="93" t="n"/>
      <c r="F200" s="93" t="n"/>
      <c r="G200" s="93" t="n"/>
      <c r="H200" s="93" t="n"/>
      <c r="I200" s="93" t="n"/>
      <c r="J200" s="93" t="n"/>
      <c r="K200" s="93" t="n"/>
      <c r="L200" s="93" t="n"/>
      <c r="M200" s="93" t="n"/>
      <c r="N200" s="93" t="n"/>
      <c r="O200" s="93" t="n"/>
      <c r="P200" s="94">
        <f>IFERROR(J200-M200,"")</f>
        <v/>
      </c>
      <c r="Q200" s="93" t="n"/>
      <c r="R200" s="93" t="n"/>
      <c r="S200" s="94">
        <f>IFERROR(R200-Q200,"")</f>
        <v/>
      </c>
      <c r="T200" s="93" t="n"/>
      <c r="U200" s="93" t="n"/>
      <c r="V200" s="94">
        <f>IFERROR(T200-U200,"")</f>
        <v/>
      </c>
      <c r="W200" s="93" t="n"/>
      <c r="X200" s="93" t="n"/>
      <c r="Y200" s="93" t="n"/>
      <c r="Z200" s="93" t="n"/>
      <c r="AA200" s="93" t="n"/>
      <c r="AB200" s="93" t="n"/>
      <c r="AC200" s="94">
        <f>IFERROR(W200*AB200/1000,"")</f>
        <v/>
      </c>
      <c r="AD200" s="17">
        <f>IFERROR(J200/M200,"")</f>
        <v/>
      </c>
      <c r="AE200" s="17">
        <f>IFERROR(R200/I200,"")</f>
        <v/>
      </c>
      <c r="AF200" s="17">
        <f>IFERROR(R200/O200,"")</f>
        <v/>
      </c>
      <c r="AG200" s="95">
        <f>IFERROR(G200/I200,"")</f>
        <v/>
      </c>
      <c r="AH200" s="95">
        <f>IFERROR(G200/O200,"")</f>
        <v/>
      </c>
      <c r="AI200" s="95">
        <f>IFERROR(G200/C200,"")</f>
        <v/>
      </c>
      <c r="AJ200" s="95">
        <f>IFERROR(D200/C200,"")</f>
        <v/>
      </c>
      <c r="AK200" s="6" t="n"/>
      <c r="AL200" s="6" t="n"/>
      <c r="AM200" s="6" t="n"/>
      <c r="AN200" s="6" t="n"/>
      <c r="AO200" s="96" t="n"/>
      <c r="AP200" s="97">
        <f>IFERROR(IF(AND(NOT(ISNUMBER(F200)),NOT(ISNUMBER(AO200))),"",F200+AO200),"")</f>
        <v/>
      </c>
      <c r="AQ200" s="97">
        <f>IFERROR(IF(OR(NOT(ISNUMBER(E200)),NOT(ISNUMBER(AP200))),"",E200-AP200),"")</f>
        <v/>
      </c>
      <c r="AR200" s="96" t="n"/>
      <c r="AS200" s="97">
        <f>IFERROR(IF(OR(NOT(ISNUMBER(AR200)),NOT(ISNUMBER(S200))),"",AR200-S200),"")</f>
        <v/>
      </c>
      <c r="AT200" s="45" t="n"/>
    </row>
    <row r="201" ht="15" customHeight="1" s="67">
      <c r="A201" s="6" t="n"/>
      <c r="B201" s="92" t="n"/>
      <c r="C201" s="93" t="n"/>
      <c r="D201" s="93" t="n"/>
      <c r="E201" s="93" t="n"/>
      <c r="F201" s="93" t="n"/>
      <c r="G201" s="93" t="n"/>
      <c r="H201" s="93" t="n"/>
      <c r="I201" s="93" t="n"/>
      <c r="J201" s="93" t="n"/>
      <c r="K201" s="93" t="n"/>
      <c r="L201" s="93" t="n"/>
      <c r="M201" s="93" t="n"/>
      <c r="N201" s="93" t="n"/>
      <c r="O201" s="93" t="n"/>
      <c r="P201" s="94">
        <f>IFERROR(J201-M201,"")</f>
        <v/>
      </c>
      <c r="Q201" s="93" t="n"/>
      <c r="R201" s="93" t="n"/>
      <c r="S201" s="94">
        <f>IFERROR(R201-Q201,"")</f>
        <v/>
      </c>
      <c r="T201" s="93" t="n"/>
      <c r="U201" s="93" t="n"/>
      <c r="V201" s="94">
        <f>IFERROR(T201-U201,"")</f>
        <v/>
      </c>
      <c r="W201" s="93" t="n"/>
      <c r="X201" s="93" t="n"/>
      <c r="Y201" s="93" t="n"/>
      <c r="Z201" s="93" t="n"/>
      <c r="AA201" s="93" t="n"/>
      <c r="AB201" s="93" t="n"/>
      <c r="AC201" s="94">
        <f>IFERROR(W201*AB201/1000,"")</f>
        <v/>
      </c>
      <c r="AD201" s="17">
        <f>IFERROR(J201/M201,"")</f>
        <v/>
      </c>
      <c r="AE201" s="17">
        <f>IFERROR(R201/I201,"")</f>
        <v/>
      </c>
      <c r="AF201" s="17">
        <f>IFERROR(R201/O201,"")</f>
        <v/>
      </c>
      <c r="AG201" s="95">
        <f>IFERROR(G201/I201,"")</f>
        <v/>
      </c>
      <c r="AH201" s="95">
        <f>IFERROR(G201/O201,"")</f>
        <v/>
      </c>
      <c r="AI201" s="95">
        <f>IFERROR(G201/C201,"")</f>
        <v/>
      </c>
      <c r="AJ201" s="95">
        <f>IFERROR(D201/C201,"")</f>
        <v/>
      </c>
      <c r="AK201" s="6" t="n"/>
      <c r="AL201" s="6" t="n"/>
      <c r="AM201" s="6" t="n"/>
      <c r="AN201" s="6" t="n"/>
      <c r="AO201" s="96" t="n"/>
      <c r="AP201" s="97">
        <f>IFERROR(IF(AND(NOT(ISNUMBER(F201)),NOT(ISNUMBER(AO201))),"",F201+AO201),"")</f>
        <v/>
      </c>
      <c r="AQ201" s="97">
        <f>IFERROR(IF(OR(NOT(ISNUMBER(E201)),NOT(ISNUMBER(AP201))),"",E201-AP201),"")</f>
        <v/>
      </c>
      <c r="AR201" s="96" t="n"/>
      <c r="AS201" s="97">
        <f>IFERROR(IF(OR(NOT(ISNUMBER(AR201)),NOT(ISNUMBER(S201))),"",AR201-S201),"")</f>
        <v/>
      </c>
      <c r="AT201" s="45" t="n"/>
    </row>
    <row r="202">
      <c r="A202" t="inlineStr">
        <is>
          <t>PT Bumi Teknokultura Unggul Tbk</t>
        </is>
      </c>
      <c r="B202" t="n">
        <v>2025</v>
      </c>
      <c r="C202" t="n">
        <v>72.01900000000001</v>
      </c>
      <c r="D202" t="n">
        <v>-118.105</v>
      </c>
      <c r="F202" t="n">
        <v>-373.894</v>
      </c>
      <c r="G202" t="n">
        <v>-420.421</v>
      </c>
      <c r="I202" t="n">
        <v>3509.836</v>
      </c>
      <c r="L202" t="n">
        <v>3226.158</v>
      </c>
      <c r="O202" t="n">
        <v>283.678</v>
      </c>
      <c r="Q202" t="n">
        <v>19.843</v>
      </c>
      <c r="R202" t="n">
        <v>3206.793</v>
      </c>
    </row>
    <row r="203">
      <c r="A203" t="inlineStr">
        <is>
          <t>PT Cisadane Sawit Raya Tbk.</t>
        </is>
      </c>
      <c r="B203" t="n">
        <v>2025</v>
      </c>
      <c r="C203" t="n">
        <v>1889.27</v>
      </c>
      <c r="D203" t="n">
        <v>657.229</v>
      </c>
      <c r="F203" t="n">
        <v>420.302</v>
      </c>
      <c r="G203" t="n">
        <v>268.78</v>
      </c>
      <c r="I203" t="n">
        <v>2521.825</v>
      </c>
      <c r="L203" t="n">
        <v>1054.997</v>
      </c>
      <c r="O203" t="n">
        <v>1466.828</v>
      </c>
      <c r="Q203" t="n">
        <v>158.767</v>
      </c>
      <c r="R203" t="n">
        <v>765.109</v>
      </c>
    </row>
    <row r="204">
      <c r="A204" t="inlineStr">
        <is>
          <t>PT Dharma Satya Nusantara Tbk</t>
        </is>
      </c>
      <c r="B204" t="n">
        <v>2025</v>
      </c>
      <c r="C204" t="n">
        <v>12314.712</v>
      </c>
      <c r="D204" t="n">
        <v>3849.984</v>
      </c>
      <c r="F204" t="n">
        <v>2867.914</v>
      </c>
      <c r="G204" t="n">
        <v>1840.49</v>
      </c>
      <c r="I204" t="n">
        <v>17617.196</v>
      </c>
      <c r="L204" t="n">
        <v>5974.326</v>
      </c>
      <c r="O204" t="n">
        <v>11642.87</v>
      </c>
      <c r="Q204" t="n">
        <v>592.612</v>
      </c>
      <c r="R204" t="n">
        <v>3579.435</v>
      </c>
    </row>
    <row r="205">
      <c r="A205" t="inlineStr">
        <is>
          <t>PT FAP Agri Tbk</t>
        </is>
      </c>
      <c r="B205" t="n">
        <v>2025</v>
      </c>
      <c r="C205" t="n">
        <v>7581.424</v>
      </c>
      <c r="D205" t="n">
        <v>2283.554</v>
      </c>
      <c r="F205" t="n">
        <v>1726.721</v>
      </c>
      <c r="G205" t="n">
        <v>1076.438</v>
      </c>
      <c r="I205" t="n">
        <v>10277.055</v>
      </c>
      <c r="L205" t="n">
        <v>6386.711</v>
      </c>
      <c r="O205" t="n">
        <v>3890.344</v>
      </c>
      <c r="Q205" t="n">
        <v>1062.376</v>
      </c>
      <c r="R205" t="n">
        <v>4688.283</v>
      </c>
    </row>
    <row r="206">
      <c r="A206" t="inlineStr">
        <is>
          <t>PT FKS Multi Agro Tbk</t>
        </is>
      </c>
      <c r="B206" t="n">
        <v>2025</v>
      </c>
    </row>
    <row r="207">
      <c r="A207" t="inlineStr">
        <is>
          <t>PT Gunanusa Eramandiri Tbk</t>
        </is>
      </c>
      <c r="B207" t="n">
        <v>2025</v>
      </c>
      <c r="C207" t="n">
        <v>1758.05</v>
      </c>
      <c r="D207" t="n">
        <v>223.3</v>
      </c>
      <c r="F207" t="n">
        <v>130.71</v>
      </c>
      <c r="G207" t="n">
        <v>94.53</v>
      </c>
      <c r="I207" t="n">
        <v>1082.74</v>
      </c>
      <c r="L207" t="n">
        <v>357.41</v>
      </c>
      <c r="O207" t="n">
        <v>725.33</v>
      </c>
      <c r="Q207" t="n">
        <v>55.86</v>
      </c>
      <c r="R207" t="n">
        <v>86.15000000000001</v>
      </c>
    </row>
    <row r="208">
      <c r="A208" t="inlineStr">
        <is>
          <t>PT Jhonlin Agro Raya Tbk</t>
        </is>
      </c>
      <c r="B208" t="n">
        <v>2025</v>
      </c>
      <c r="C208" t="n">
        <v>4276.884</v>
      </c>
      <c r="D208" t="n">
        <v>750.289</v>
      </c>
      <c r="F208" t="n">
        <v>454.949</v>
      </c>
      <c r="G208" t="n">
        <v>268.481</v>
      </c>
      <c r="I208" t="n">
        <v>4019.981</v>
      </c>
      <c r="L208" t="n">
        <v>2102.979</v>
      </c>
      <c r="O208" t="n">
        <v>1917.002</v>
      </c>
      <c r="Q208" t="n">
        <v>392.438</v>
      </c>
      <c r="R208" t="n">
        <v>2402.509</v>
      </c>
    </row>
    <row r="209">
      <c r="A209" t="inlineStr">
        <is>
          <t>PT Perusahaan Perkebunan London Sumatra Indonesia Tbk</t>
        </is>
      </c>
      <c r="B209" t="n">
        <v>2025</v>
      </c>
      <c r="C209" t="n">
        <v>5511.706</v>
      </c>
      <c r="D209" t="n">
        <v>2260.672</v>
      </c>
      <c r="F209" t="n">
        <v>2008.388</v>
      </c>
      <c r="G209" t="n">
        <v>1887.756</v>
      </c>
      <c r="I209" t="n">
        <v>15540.354</v>
      </c>
      <c r="L209" t="n">
        <v>1544.241</v>
      </c>
      <c r="O209" t="n">
        <v>13996.113</v>
      </c>
      <c r="Q209" t="n">
        <v>7597.47</v>
      </c>
      <c r="R209" t="n">
        <v>0.003558</v>
      </c>
    </row>
    <row r="210">
      <c r="A210" t="inlineStr">
        <is>
          <t>PT Nusantara Sawit Sejahtera Tbk</t>
        </is>
      </c>
      <c r="B210" t="n">
        <v>2025</v>
      </c>
      <c r="C210" t="n">
        <v>2013.801</v>
      </c>
      <c r="D210" t="n">
        <v>1094.229</v>
      </c>
      <c r="G210" t="n">
        <v>647.822</v>
      </c>
      <c r="I210" t="n">
        <v>4202.376</v>
      </c>
      <c r="L210" t="n">
        <v>2261.878</v>
      </c>
      <c r="O210" t="n">
        <v>1940.498</v>
      </c>
      <c r="Q210" t="n">
        <v>761.726</v>
      </c>
    </row>
    <row r="211">
      <c r="A211" t="inlineStr">
        <is>
          <t>PT Indo Oil Perkasa Tbk</t>
        </is>
      </c>
      <c r="B211" t="n">
        <v>2025</v>
      </c>
    </row>
    <row r="212">
      <c r="A212" t="inlineStr">
        <is>
          <t>PT Pinago Utama Tbk</t>
        </is>
      </c>
      <c r="B212" t="n">
        <v>2025</v>
      </c>
      <c r="C212" t="n">
        <v>2303.919</v>
      </c>
      <c r="D212" t="n">
        <v>628.0549999999999</v>
      </c>
      <c r="F212" t="n">
        <v>444.304</v>
      </c>
      <c r="G212" t="n">
        <v>322.565</v>
      </c>
      <c r="I212" t="n">
        <v>1745.52</v>
      </c>
      <c r="L212" t="n">
        <v>575.14</v>
      </c>
      <c r="O212" t="n">
        <v>1170.38</v>
      </c>
      <c r="Q212" t="n">
        <v>73.82299999999999</v>
      </c>
      <c r="R212" t="n">
        <v>336.849</v>
      </c>
    </row>
    <row r="213">
      <c r="A213" t="inlineStr">
        <is>
          <t>PT Sampoerna Agro Tbk</t>
        </is>
      </c>
      <c r="B213" t="n">
        <v>2025</v>
      </c>
      <c r="C213" t="n">
        <v>6447</v>
      </c>
      <c r="D213" t="n">
        <v>2135</v>
      </c>
      <c r="F213" t="n">
        <v>961</v>
      </c>
      <c r="G213" t="n">
        <v>321</v>
      </c>
      <c r="I213" t="n">
        <v>9960</v>
      </c>
      <c r="L213" t="n">
        <v>4921</v>
      </c>
      <c r="O213" t="n">
        <v>5039</v>
      </c>
      <c r="Q213" t="n">
        <v>2899</v>
      </c>
      <c r="R213" t="n">
        <v>3000</v>
      </c>
    </row>
    <row r="214">
      <c r="A214" t="inlineStr">
        <is>
          <t>PT Salim Ivomas Pratama Tbk</t>
        </is>
      </c>
      <c r="B214" t="n">
        <v>2025</v>
      </c>
      <c r="C214" t="n">
        <v>21056.904</v>
      </c>
      <c r="D214" t="n">
        <v>5474.465</v>
      </c>
      <c r="F214" t="n">
        <v>4001.479</v>
      </c>
      <c r="G214" t="n">
        <v>2821.257</v>
      </c>
      <c r="I214" t="n">
        <v>41376.126</v>
      </c>
      <c r="L214" t="n">
        <v>14781.452</v>
      </c>
      <c r="O214" t="n">
        <v>26594.674</v>
      </c>
      <c r="Q214" t="n">
        <v>8347.1</v>
      </c>
      <c r="R214" t="n">
        <v>9501.553</v>
      </c>
    </row>
    <row r="215">
      <c r="A215" t="inlineStr">
        <is>
          <t>PT Sinar Mas Agro Resources and Technology Tbk</t>
        </is>
      </c>
      <c r="B215" t="n">
        <v>2025</v>
      </c>
      <c r="C215" t="n">
        <v>86946.068</v>
      </c>
      <c r="D215" t="n">
        <v>10211.617</v>
      </c>
      <c r="F215" t="n">
        <v>3588.304</v>
      </c>
      <c r="G215" t="n">
        <v>2585.697</v>
      </c>
      <c r="I215" t="n">
        <v>45202.974</v>
      </c>
      <c r="L215" t="n">
        <v>22767.954</v>
      </c>
      <c r="O215" t="n">
        <v>22435.02</v>
      </c>
      <c r="Q215" t="n">
        <v>2024.738</v>
      </c>
      <c r="R215" t="n">
        <v>16417.676</v>
      </c>
    </row>
    <row r="216">
      <c r="A216" t="inlineStr">
        <is>
          <t>PT Bakrie Sumatera Plantations Tbk</t>
        </is>
      </c>
      <c r="B216" t="n">
        <v>2025</v>
      </c>
      <c r="C216" t="n">
        <v>2557.26</v>
      </c>
      <c r="D216" t="n">
        <v>757.168</v>
      </c>
      <c r="F216" t="n">
        <v>388.1</v>
      </c>
      <c r="G216" t="n">
        <v>16.152</v>
      </c>
      <c r="I216" t="n">
        <v>3487.979</v>
      </c>
      <c r="L216" t="n">
        <v>8758.591</v>
      </c>
      <c r="O216" t="n">
        <v>-5270.612</v>
      </c>
      <c r="Q216" t="n">
        <v>170.825</v>
      </c>
      <c r="R216" t="n">
        <v>4661.102</v>
      </c>
    </row>
    <row r="217">
      <c r="A217" t="inlineStr">
        <is>
          <t>PT Astra Agro Lestari Tbk</t>
        </is>
      </c>
      <c r="B217" t="inlineStr">
        <is>
          <t>2026 Q1</t>
        </is>
      </c>
      <c r="C217" t="n">
        <v>7501.811</v>
      </c>
      <c r="D217" t="n">
        <v>1162.532</v>
      </c>
      <c r="G217" t="n">
        <v>388.401</v>
      </c>
      <c r="I217" t="n">
        <v>27893.355</v>
      </c>
      <c r="L217" t="n">
        <v>3359.838</v>
      </c>
      <c r="O217" t="n">
        <v>24533.517</v>
      </c>
      <c r="Q217" t="n">
        <v>4703.854</v>
      </c>
      <c r="R217" t="n">
        <v>0</v>
      </c>
    </row>
    <row r="218">
      <c r="A218" t="inlineStr">
        <is>
          <t>PT Andira Agro Tbk</t>
        </is>
      </c>
      <c r="B218" t="inlineStr">
        <is>
          <t>2026 Q1</t>
        </is>
      </c>
      <c r="C218" t="n">
        <v>24.741</v>
      </c>
      <c r="D218" t="n">
        <v>5.43</v>
      </c>
      <c r="G218" t="n">
        <v>-7.186</v>
      </c>
      <c r="I218" t="n">
        <v>273.841</v>
      </c>
      <c r="L218" t="n">
        <v>162.398</v>
      </c>
      <c r="O218" t="n">
        <v>111.443</v>
      </c>
      <c r="Q218" t="n">
        <v>2.052</v>
      </c>
      <c r="R218" t="n">
        <v>137.713</v>
      </c>
    </row>
    <row r="219">
      <c r="A219" t="inlineStr">
        <is>
          <t>PT BISI International Tbk</t>
        </is>
      </c>
      <c r="B219" t="inlineStr">
        <is>
          <t>2026 Q1</t>
        </is>
      </c>
      <c r="C219" t="n">
        <v>387.083</v>
      </c>
      <c r="G219" t="n">
        <v>47.007</v>
      </c>
      <c r="I219" t="n">
        <v>3765.121</v>
      </c>
      <c r="L219" t="n">
        <v>221.678</v>
      </c>
      <c r="O219" t="n">
        <v>3543.443</v>
      </c>
      <c r="Q219" t="n">
        <v>224.18</v>
      </c>
      <c r="R219" t="n">
        <v>0</v>
      </c>
    </row>
    <row r="220">
      <c r="A220" t="inlineStr">
        <is>
          <t>PT Bumi Teknokultura Unggul Tbk</t>
        </is>
      </c>
      <c r="B220" t="inlineStr">
        <is>
          <t>2026 Q1</t>
        </is>
      </c>
      <c r="C220" t="n">
        <v>4.647</v>
      </c>
      <c r="D220" t="n">
        <v>-15.895</v>
      </c>
      <c r="G220" t="n">
        <v>-15.666</v>
      </c>
      <c r="I220" t="n">
        <v>3527.196</v>
      </c>
      <c r="L220" t="n">
        <v>3264.134</v>
      </c>
      <c r="O220" t="n">
        <v>263.063</v>
      </c>
      <c r="Q220" t="n">
        <v>13.233</v>
      </c>
      <c r="R220" t="n">
        <v>2813.826</v>
      </c>
    </row>
    <row r="221">
      <c r="A221" t="inlineStr">
        <is>
          <t>PT Eagle High Plantations Tbk</t>
        </is>
      </c>
      <c r="B221" t="inlineStr">
        <is>
          <t>2026 Q1</t>
        </is>
      </c>
      <c r="C221" t="n">
        <v>1377.614</v>
      </c>
      <c r="D221" t="n">
        <v>376.222</v>
      </c>
      <c r="G221" t="n">
        <v>84.95699999999999</v>
      </c>
      <c r="I221" t="n">
        <v>9183.422</v>
      </c>
      <c r="L221" t="n">
        <v>6199.86</v>
      </c>
      <c r="O221" t="n">
        <v>2912.07</v>
      </c>
      <c r="Q221" t="n">
        <v>297.161</v>
      </c>
      <c r="R221" t="n">
        <v>4219.591</v>
      </c>
    </row>
    <row r="222">
      <c r="A222" t="inlineStr">
        <is>
          <t>PT Citra Borneo Utama Tbk</t>
        </is>
      </c>
      <c r="B222" t="inlineStr">
        <is>
          <t>2026 Q1</t>
        </is>
      </c>
      <c r="C222" t="n">
        <v>3377.149</v>
      </c>
      <c r="D222" t="n">
        <v>559.307</v>
      </c>
      <c r="G222" t="n">
        <v>45.976</v>
      </c>
      <c r="I222" t="n">
        <v>4035.432</v>
      </c>
      <c r="L222" t="n">
        <v>2870.73</v>
      </c>
      <c r="O222" t="n">
        <v>1164.702</v>
      </c>
      <c r="Q222" t="n">
        <v>342.315</v>
      </c>
      <c r="R222" t="n">
        <v>1881.501</v>
      </c>
    </row>
    <row r="223">
      <c r="A223" t="inlineStr">
        <is>
          <t>PT Dharma Satya Nusantara Tbk</t>
        </is>
      </c>
      <c r="B223" t="inlineStr">
        <is>
          <t>2026 Q1</t>
        </is>
      </c>
      <c r="C223" t="n">
        <v>2886.35</v>
      </c>
      <c r="D223" t="n">
        <v>809.509</v>
      </c>
      <c r="L223" t="n">
        <v>5694.196</v>
      </c>
      <c r="Q223" t="n">
        <v>635.773</v>
      </c>
      <c r="R223" t="n">
        <v>3874.987</v>
      </c>
    </row>
    <row r="224">
      <c r="A224" t="inlineStr">
        <is>
          <t>PT FAP Agri Tbk</t>
        </is>
      </c>
      <c r="B224" t="inlineStr">
        <is>
          <t>2026 Q1</t>
        </is>
      </c>
      <c r="C224" t="n">
        <v>2005.843</v>
      </c>
      <c r="D224" t="n">
        <v>568.648</v>
      </c>
      <c r="G224" t="n">
        <v>263.038</v>
      </c>
      <c r="I224" t="n">
        <v>10342.871</v>
      </c>
      <c r="L224" t="n">
        <v>6189.489</v>
      </c>
      <c r="O224" t="n">
        <v>4153.382</v>
      </c>
      <c r="Q224" t="n">
        <v>1055.276</v>
      </c>
      <c r="R224" t="n">
        <v>4673.125</v>
      </c>
    </row>
    <row r="225">
      <c r="A225" t="inlineStr">
        <is>
          <t>PT Gunanusa Eramandiri Tbk</t>
        </is>
      </c>
      <c r="B225" t="inlineStr">
        <is>
          <t>2026 Q1</t>
        </is>
      </c>
    </row>
    <row r="226">
      <c r="A226" t="inlineStr">
        <is>
          <t>PT Gozco Plantations Tbk</t>
        </is>
      </c>
      <c r="B226" t="inlineStr">
        <is>
          <t>2026 Q1</t>
        </is>
      </c>
      <c r="C226" t="n">
        <v>139.426</v>
      </c>
      <c r="D226" t="n">
        <v>-1.216</v>
      </c>
      <c r="G226" t="n">
        <v>-5.063</v>
      </c>
      <c r="I226" t="n">
        <v>2169.656</v>
      </c>
      <c r="L226" t="n">
        <v>943.159</v>
      </c>
      <c r="O226" t="n">
        <v>1226.497</v>
      </c>
      <c r="Q226" t="n">
        <v>98.23</v>
      </c>
      <c r="R226" t="n">
        <v>309.026</v>
      </c>
    </row>
    <row r="227">
      <c r="A227" t="inlineStr">
        <is>
          <t>PT Jhonlin Agro Raya Tbk</t>
        </is>
      </c>
      <c r="B227" t="inlineStr">
        <is>
          <t>2026 Q1</t>
        </is>
      </c>
      <c r="C227" t="n">
        <v>776.514</v>
      </c>
      <c r="D227" t="n">
        <v>142.82</v>
      </c>
      <c r="G227" t="n">
        <v>41.331</v>
      </c>
      <c r="I227" t="n">
        <v>3960.311</v>
      </c>
      <c r="L227" t="n">
        <v>2001.977</v>
      </c>
      <c r="O227" t="n">
        <v>1958.334</v>
      </c>
      <c r="Q227" t="n">
        <v>463.049</v>
      </c>
      <c r="R227" t="n">
        <v>1757.116</v>
      </c>
    </row>
    <row r="228">
      <c r="A228" t="inlineStr">
        <is>
          <t>PT Jaya Agra Wattie Tbk</t>
        </is>
      </c>
      <c r="B228" t="inlineStr">
        <is>
          <t>2026 Q1</t>
        </is>
      </c>
      <c r="C228" t="n">
        <v>354.572</v>
      </c>
      <c r="D228" t="n">
        <v>11.644</v>
      </c>
      <c r="G228" t="n">
        <v>-23.092</v>
      </c>
      <c r="I228" t="n">
        <v>3969.386</v>
      </c>
      <c r="L228" t="n">
        <v>2636.564</v>
      </c>
      <c r="O228" t="n">
        <v>1332.822</v>
      </c>
      <c r="Q228" t="n">
        <v>0.018</v>
      </c>
      <c r="R228" t="n">
        <v>1003.918</v>
      </c>
    </row>
    <row r="229">
      <c r="A229" t="inlineStr">
        <is>
          <t>PT Perusahaan Perkebunan London Sumatra Indonesia Tbk</t>
        </is>
      </c>
      <c r="B229" t="inlineStr">
        <is>
          <t>2026 Q1</t>
        </is>
      </c>
      <c r="C229" t="n">
        <v>1326.929</v>
      </c>
      <c r="G229" t="n">
        <v>394.103</v>
      </c>
      <c r="O229" t="n">
        <v>14389.2</v>
      </c>
      <c r="Q229" t="n">
        <v>7830.497</v>
      </c>
      <c r="R229" t="n">
        <v>0.166</v>
      </c>
    </row>
    <row r="230">
      <c r="A230" t="inlineStr">
        <is>
          <t>PT Nusantara Sawit Sejahtera Tbk</t>
        </is>
      </c>
      <c r="B230" t="inlineStr">
        <is>
          <t>2026 Q1</t>
        </is>
      </c>
      <c r="C230" t="n">
        <v>517.129</v>
      </c>
      <c r="D230" t="n">
        <v>228.196</v>
      </c>
      <c r="Q230" t="n">
        <v>831.819</v>
      </c>
    </row>
    <row r="231">
      <c r="A231" t="inlineStr">
        <is>
          <t>PT Pradiksi Gunatama Tbk</t>
        </is>
      </c>
      <c r="B231" t="inlineStr">
        <is>
          <t>2026 Q1</t>
        </is>
      </c>
      <c r="C231" t="n">
        <v>166.543</v>
      </c>
      <c r="D231" t="n">
        <v>79.011</v>
      </c>
      <c r="G231" t="n">
        <v>32.479</v>
      </c>
      <c r="I231" t="n">
        <v>2508.057</v>
      </c>
      <c r="L231" t="n">
        <v>557.135</v>
      </c>
      <c r="O231" t="n">
        <v>1950.921</v>
      </c>
      <c r="Q231" t="n">
        <v>17.711</v>
      </c>
      <c r="R231" t="n">
        <v>325.805</v>
      </c>
    </row>
    <row r="232">
      <c r="A232" t="inlineStr">
        <is>
          <t>PT Pinago Utama Tbk</t>
        </is>
      </c>
      <c r="B232" t="inlineStr">
        <is>
          <t>2026 Q1</t>
        </is>
      </c>
      <c r="C232" t="n">
        <v>571.633</v>
      </c>
      <c r="D232" t="n">
        <v>160.914</v>
      </c>
      <c r="G232" t="n">
        <v>39.712</v>
      </c>
      <c r="I232" t="n">
        <v>1688.657</v>
      </c>
      <c r="L232" t="n">
        <v>545.292</v>
      </c>
      <c r="O232" t="n">
        <v>1143.365</v>
      </c>
      <c r="Q232" t="n">
        <v>62.748</v>
      </c>
      <c r="R232" t="n">
        <v>315.976</v>
      </c>
    </row>
    <row r="233">
      <c r="A233" t="inlineStr">
        <is>
          <t>PT Sampoerna Agro Tbk</t>
        </is>
      </c>
      <c r="B233" t="inlineStr">
        <is>
          <t>2026 Q1</t>
        </is>
      </c>
      <c r="C233" t="n">
        <v>1256.531</v>
      </c>
      <c r="D233" t="n">
        <v>214.231</v>
      </c>
      <c r="G233" t="n">
        <v>107.93</v>
      </c>
      <c r="O233" t="n">
        <v>5146.386</v>
      </c>
      <c r="R233" t="n">
        <v>1656.275</v>
      </c>
    </row>
    <row r="234">
      <c r="A234" t="inlineStr">
        <is>
          <t>PT Salim Ivomas Pratama Tbk</t>
        </is>
      </c>
      <c r="B234" t="inlineStr">
        <is>
          <t>2026 Q1</t>
        </is>
      </c>
      <c r="G234" t="n">
        <v>0.61</v>
      </c>
      <c r="I234" t="n">
        <v>41.868</v>
      </c>
      <c r="L234" t="n">
        <v>14.689</v>
      </c>
      <c r="O234" t="n">
        <v>27.179</v>
      </c>
      <c r="Q234" t="n">
        <v>9.281000000000001</v>
      </c>
      <c r="R234" t="n">
        <v>9.615</v>
      </c>
    </row>
    <row r="235">
      <c r="A235" t="inlineStr">
        <is>
          <t>PT Sinar Mas Agro Resources and Technology Tbk</t>
        </is>
      </c>
      <c r="B235" t="inlineStr">
        <is>
          <t>2026 Q1</t>
        </is>
      </c>
      <c r="C235" t="n">
        <v>20734.239</v>
      </c>
      <c r="D235" t="n">
        <v>2952.407</v>
      </c>
      <c r="G235" t="n">
        <v>829.478</v>
      </c>
      <c r="I235" t="n">
        <v>45893.595</v>
      </c>
      <c r="L235" t="n">
        <v>22609.592</v>
      </c>
      <c r="O235" t="n">
        <v>23284.003</v>
      </c>
      <c r="Q235" t="n">
        <v>1915.304</v>
      </c>
      <c r="R235" t="n">
        <v>15893.942</v>
      </c>
    </row>
    <row r="236">
      <c r="A236" t="inlineStr">
        <is>
          <t>PT Triputra Agro Persada Tbk</t>
        </is>
      </c>
      <c r="B236" t="inlineStr">
        <is>
          <t>2026 Q1</t>
        </is>
      </c>
      <c r="C236" t="n">
        <v>2492.197</v>
      </c>
      <c r="D236" t="n">
        <v>856.169</v>
      </c>
      <c r="G236" t="n">
        <v>767.263</v>
      </c>
      <c r="I236" t="n">
        <v>15226.088</v>
      </c>
      <c r="L236" t="n">
        <v>2771.581</v>
      </c>
      <c r="O236" t="n">
        <v>12454.507</v>
      </c>
      <c r="Q236" t="n">
        <v>2797.577</v>
      </c>
      <c r="R236" t="n">
        <v>1088.82</v>
      </c>
    </row>
    <row r="237">
      <c r="A237" t="inlineStr">
        <is>
          <t>PT Teladan Prima Agro Tbk</t>
        </is>
      </c>
      <c r="B237" t="inlineStr">
        <is>
          <t>2026 Q1</t>
        </is>
      </c>
      <c r="G237" t="n">
        <v>181.772</v>
      </c>
      <c r="I237" t="n">
        <v>6280.971</v>
      </c>
      <c r="L237" t="n">
        <v>2454.29</v>
      </c>
      <c r="O237" t="n">
        <v>3826.68</v>
      </c>
      <c r="Q237" t="n">
        <v>695.169</v>
      </c>
      <c r="R237" t="n">
        <v>397.94</v>
      </c>
    </row>
    <row r="238">
      <c r="A238" t="inlineStr">
        <is>
          <t>PT Bakrie Sumatera Plantations Tbk</t>
        </is>
      </c>
      <c r="B238" t="inlineStr">
        <is>
          <t>2026 Q1</t>
        </is>
      </c>
      <c r="C238" t="n">
        <v>561.076</v>
      </c>
      <c r="D238" t="n">
        <v>162.049</v>
      </c>
      <c r="G238" t="n">
        <v>3.241</v>
      </c>
      <c r="I238" t="n">
        <v>3584.043</v>
      </c>
      <c r="L238" t="n">
        <v>8853.232</v>
      </c>
      <c r="O238" t="n">
        <v>-5269.189</v>
      </c>
      <c r="Q238" t="n">
        <v>120.585</v>
      </c>
      <c r="R238" t="n">
        <v>4719.705</v>
      </c>
    </row>
    <row r="239">
      <c r="A239" t="inlineStr">
        <is>
          <t>PT Wahana Pronatural Tbk</t>
        </is>
      </c>
      <c r="B239" t="inlineStr">
        <is>
          <t>2026 Q1</t>
        </is>
      </c>
      <c r="C239" t="n">
        <v>206.545940932</v>
      </c>
      <c r="D239" t="n">
        <v>4.359106049</v>
      </c>
      <c r="G239" t="n">
        <v>0.616080414</v>
      </c>
      <c r="I239" t="n">
        <v>143.087842752</v>
      </c>
      <c r="L239" t="n">
        <v>82.17296083799999</v>
      </c>
      <c r="O239" t="n">
        <v>60.914881914</v>
      </c>
      <c r="Q239" t="n">
        <v>7.31600637</v>
      </c>
      <c r="R239" t="n">
        <v>0.032336453</v>
      </c>
    </row>
  </sheetData>
  <pageMargins left="0.75" right="0.75" top="1" bottom="1" header="0.511811023622047" footer="0.511811023622047"/>
  <pageSetup orientation="portrait" paperSize="9" horizontalDpi="300" verticalDpi="300"/>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FF7030A0"/>
    <outlinePr summaryBelow="1" summaryRight="1"/>
    <pageSetUpPr/>
  </sheetPr>
  <dimension ref="A1:AU201"/>
  <sheetViews>
    <sheetView showGridLines="0"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8.6640625" defaultRowHeight="14.4"/>
  <cols>
    <col width="22" customWidth="1" style="67" min="1" max="1"/>
    <col width="14" customWidth="1" style="67" min="2" max="33"/>
    <col width="22" customWidth="1" style="67" min="34" max="46"/>
    <col width="26" customWidth="1" style="67" min="47" max="47"/>
  </cols>
  <sheetData>
    <row r="1" ht="35.1" customHeight="1" s="67">
      <c r="A1" s="5" t="inlineStr">
        <is>
          <t>Company</t>
        </is>
      </c>
      <c r="B1" s="5" t="inlineStr">
        <is>
          <t>Ticker</t>
        </is>
      </c>
      <c r="C1" s="5" t="inlineStr">
        <is>
          <t>Latest Report Year</t>
        </is>
      </c>
      <c r="D1" s="5" t="inlineStr">
        <is>
          <t>Core Region</t>
        </is>
      </c>
      <c r="E1" s="5" t="inlineStr">
        <is>
          <t>Planted Area Total (ha)</t>
        </is>
      </c>
      <c r="F1" s="5" t="inlineStr">
        <is>
          <t>Mature Area (ha)</t>
        </is>
      </c>
      <c r="G1" s="5" t="inlineStr">
        <is>
          <t>Average Tree Age (years)</t>
        </is>
      </c>
      <c r="H1" s="5" t="inlineStr">
        <is>
          <t>Replanting Area (ha)</t>
        </is>
      </c>
      <c r="I1" s="5" t="inlineStr">
        <is>
          <t>Mills Count (#)</t>
        </is>
      </c>
      <c r="J1" s="5" t="inlineStr">
        <is>
          <t>CPO Refinery Count (#)</t>
        </is>
      </c>
      <c r="K1" s="5" t="inlineStr">
        <is>
          <t>FFB Production (t)</t>
        </is>
      </c>
      <c r="L1" s="5" t="inlineStr">
        <is>
          <t>CPO Production (t)</t>
        </is>
      </c>
      <c r="M1" s="5" t="inlineStr">
        <is>
          <t>FFB Yield (t/ha)</t>
        </is>
      </c>
      <c r="N1" s="5" t="inlineStr">
        <is>
          <t>OER (%)</t>
        </is>
      </c>
      <c r="O1" s="5" t="inlineStr">
        <is>
          <t>Revenue (IDR bn)</t>
        </is>
      </c>
      <c r="P1" s="5" t="inlineStr">
        <is>
          <t>EBITDA (IDR bn)</t>
        </is>
      </c>
      <c r="Q1" s="5" t="inlineStr">
        <is>
          <t>Net Profit (IDR bn)</t>
        </is>
      </c>
      <c r="R1" s="5" t="inlineStr">
        <is>
          <t>Net Debt (IDR bn)</t>
        </is>
      </c>
      <c r="S1" s="5" t="inlineStr">
        <is>
          <t>Market Cap (IDR bn)</t>
        </is>
      </c>
      <c r="T1" s="5" t="inlineStr">
        <is>
          <t>EBITDA Margin (%)</t>
        </is>
      </c>
      <c r="U1" s="5" t="inlineStr">
        <is>
          <t>Net Debt / EBITDA (x)</t>
        </is>
      </c>
      <c r="V1" s="5" t="inlineStr">
        <is>
          <t>Revenue / ha (IDR bn/ha)</t>
        </is>
      </c>
      <c r="W1" s="5" t="inlineStr">
        <is>
          <t>CPO / Mature ha (t/ha)</t>
        </is>
      </c>
      <c r="X1" s="5" t="inlineStr">
        <is>
          <t>Scale Score (1-5)</t>
        </is>
      </c>
      <c r="Y1" s="5" t="inlineStr">
        <is>
          <t>Asset Quality Score (1-5)</t>
        </is>
      </c>
      <c r="Z1" s="5" t="inlineStr">
        <is>
          <t>Integration Score (1-5)</t>
        </is>
      </c>
      <c r="AA1" s="5" t="inlineStr">
        <is>
          <t>Operational Efficiency Score (1-5)</t>
        </is>
      </c>
      <c r="AB1" s="5" t="inlineStr">
        <is>
          <t>Profitability Score (1-5)</t>
        </is>
      </c>
      <c r="AC1" s="5" t="inlineStr">
        <is>
          <t>Leverage Score (1-5)</t>
        </is>
      </c>
      <c r="AD1" s="5" t="inlineStr">
        <is>
          <t>Liquidity Score (1-5)</t>
        </is>
      </c>
      <c r="AE1" s="5" t="inlineStr">
        <is>
          <t>ESG &amp; Legality Score (1-5)</t>
        </is>
      </c>
      <c r="AF1" s="5" t="inlineStr">
        <is>
          <t>Dealability Score (1-5)</t>
        </is>
      </c>
      <c r="AG1" s="5" t="inlineStr">
        <is>
          <t>Total Score</t>
        </is>
      </c>
      <c r="AH1" s="5" t="inlineStr">
        <is>
          <t>Why Now</t>
        </is>
      </c>
      <c r="AI1" s="5" t="inlineStr">
        <is>
          <t>Portfolio Synergy</t>
        </is>
      </c>
      <c r="AJ1" s="5" t="inlineStr">
        <is>
          <t>Value-Up 100D</t>
        </is>
      </c>
      <c r="AK1" s="5" t="inlineStr">
        <is>
          <t>Value-Up 12M</t>
        </is>
      </c>
      <c r="AL1" s="5" t="inlineStr">
        <is>
          <t>Key Risks</t>
        </is>
      </c>
      <c r="AM1" s="5" t="inlineStr">
        <is>
          <t>HGU Risk</t>
        </is>
      </c>
      <c r="AN1" s="5" t="inlineStr">
        <is>
          <t>ESG Risk</t>
        </is>
      </c>
      <c r="AO1" s="5" t="inlineStr">
        <is>
          <t>Community Risk</t>
        </is>
      </c>
      <c r="AP1" s="5" t="inlineStr">
        <is>
          <t>Regulatory Risk</t>
        </is>
      </c>
      <c r="AQ1" s="5" t="inlineStr">
        <is>
          <t>Infrastructure Risk</t>
        </is>
      </c>
      <c r="AR1" s="5" t="inlineStr">
        <is>
          <t>Financial Risk</t>
        </is>
      </c>
      <c r="AS1" s="5" t="inlineStr">
        <is>
          <t>Negotiation Points</t>
        </is>
      </c>
      <c r="AT1" s="5" t="inlineStr">
        <is>
          <t>Next Step</t>
        </is>
      </c>
      <c r="AU1" s="37" t="inlineStr">
        <is>
          <t>Validation Status [auto from Validation_Summary]</t>
        </is>
      </c>
    </row>
    <row r="2" ht="15" customHeight="1" s="67">
      <c r="A2" s="6" t="inlineStr">
        <is>
          <t>PT Astra Agro Lestari Tbk</t>
        </is>
      </c>
      <c r="B2" s="19">
        <f t="array" ref="B2">IFERROR(_xlfn.XLOOKUP($A2&amp;"|"&amp;$C2,'Company_Master'!$A$2:$A$94&amp;"|"&amp;'Company_Master'!$D$2:$D$94,'Company_Master'!$B$2:$B$94,""),"")</f>
        <v/>
      </c>
      <c r="C2" s="98" t="n">
        <v>2023</v>
      </c>
      <c r="D2" s="19">
        <f t="array" ref="D2">IFERROR(_xlfn.XLOOKUP($A2&amp;"|"&amp;$C2,'Company_Master'!$A$2:$A$94&amp;"|"&amp;'Company_Master'!$D$2:$D$94,'Company_Master'!$H$2:$H$94,""),"")</f>
        <v/>
      </c>
      <c r="E2" s="98">
        <f t="array" ref="E2">IFERROR(_xlfn.XLOOKUP($A2&amp;"|"&amp;$C2,Asset_Operations!$A$2:$A$201&amp;"|"&amp;Asset_Operations!$BG$2:$BG$201,Asset_Operations!$B$2:$B$201,""),"")</f>
        <v/>
      </c>
      <c r="F2" s="98">
        <f t="array" ref="F2">IFERROR(_xlfn.XLOOKUP($A2&amp;"|"&amp;$C2,Asset_Operations!$A$2:$A$201&amp;"|"&amp;Asset_Operations!$BG$2:$BG$201,Asset_Operations!$E$2:$E$201,""),"")</f>
        <v/>
      </c>
      <c r="G2" s="98">
        <f t="array" ref="G2">IFERROR(_xlfn.XLOOKUP($A2&amp;"|"&amp;$C2,Asset_Operations!$A$2:$A$201&amp;"|"&amp;Asset_Operations!$BG$2:$BG$201,Asset_Operations!$I$2:$I$201,""),"")</f>
        <v/>
      </c>
      <c r="H2" s="98">
        <f t="array" ref="H2">IFERROR(_xlfn.XLOOKUP($A2&amp;"|"&amp;$C2,Asset_Operations!$A$2:$A$201&amp;"|"&amp;Asset_Operations!$BG$2:$BG$201,Asset_Operations!$J$2:$J$201,""),"")</f>
        <v/>
      </c>
      <c r="I2" s="98">
        <f t="array" ref="I2">IFERROR(_xlfn.XLOOKUP($A2&amp;"|"&amp;$C2,Asset_Operations!$A$2:$A$201&amp;"|"&amp;Asset_Operations!$BG$2:$BG$201,Asset_Operations!$O$2:$O$201,""),"")</f>
        <v/>
      </c>
      <c r="J2" s="98">
        <f t="array" ref="J2">IFERROR(_xlfn.XLOOKUP($A2&amp;"|"&amp;$C2,Asset_Operations!$A$2:$A$201&amp;"|"&amp;Asset_Operations!$BG$2:$BG$201,Asset_Operations!$S$2:$S$201,""),"")</f>
        <v/>
      </c>
      <c r="K2" s="98">
        <f t="array" ref="K2">IFERROR(_xlfn.XLOOKUP($A2&amp;"|"&amp;$C2,Asset_Operations!$A$2:$A$201&amp;"|"&amp;Asset_Operations!$BG$2:$BG$201,Asset_Operations!$AC$2:$AC$201,""),"")</f>
        <v/>
      </c>
      <c r="L2" s="98">
        <f t="array" ref="L2">IFERROR(_xlfn.XLOOKUP($A2&amp;"|"&amp;$C2,Asset_Operations!$A$2:$A$201&amp;"|"&amp;Asset_Operations!$BG$2:$BG$201,Asset_Operations!$AG$2:$AG$201,""),"")</f>
        <v/>
      </c>
      <c r="M2" s="98">
        <f t="array" ref="M2">IFERROR(_xlfn.XLOOKUP($A2&amp;"|"&amp;$C2,Asset_Operations!$A$2:$A$201&amp;"|"&amp;Asset_Operations!$BG$2:$BG$201,Asset_Operations!$AO$2:$AO$201,""),"")</f>
        <v/>
      </c>
      <c r="N2" s="99">
        <f t="array" ref="N2">IFERROR(_xlfn.XLOOKUP($A2&amp;"|"&amp;$C2,Asset_Operations!$A$2:$A$201&amp;"|"&amp;Asset_Operations!$BG$2:$BG$201,Asset_Operations!$AR$2:$AR$201,""),"")</f>
        <v/>
      </c>
      <c r="O2" s="100">
        <f t="array" ref="O2">IFERROR(_xlfn.XLOOKUP($A2&amp;"|"&amp;$C2,Financials!$A$2:$A$201&amp;"|"&amp;Financials!$B$2:$B$201,Financials!$C$2:$C$201,""),"")</f>
        <v/>
      </c>
      <c r="P2" s="100">
        <f t="array" ref="P2">IFERROR(_xlfn.XLOOKUP($A2&amp;"|"&amp;$C2,Financials!$A$2:$A$201&amp;"|"&amp;Financials!$B$2:$B$201,Financials!$E$2:$E$201,""),"")</f>
        <v/>
      </c>
      <c r="Q2" s="100">
        <f t="array" ref="Q2">IFERROR(_xlfn.XLOOKUP($A2&amp;"|"&amp;$C2,Financials!$A$2:$A$201&amp;"|"&amp;Financials!$B$2:$B$201,Financials!$G$2:$G$201,""),"")</f>
        <v/>
      </c>
      <c r="R2" s="100">
        <f t="array" ref="R2">IFERROR(_xlfn.XLOOKUP($A2&amp;"|"&amp;$C2,Financials!$A$2:$A$201&amp;"|"&amp;Financials!$B$2:$B$201,Financials!$S$2:$S$201,""),"")</f>
        <v/>
      </c>
      <c r="S2" s="100">
        <f t="array" ref="S2">IFERROR(_xlfn.XLOOKUP($A2&amp;"|"&amp;$C2,Financials!$A$2:$A$201&amp;"|"&amp;Financials!$B$2:$B$201,Financials!$AC$2:$AC$201,""),"")</f>
        <v/>
      </c>
      <c r="T2" s="101">
        <f>IFERROR(P2/O2,"")</f>
        <v/>
      </c>
      <c r="U2" s="24">
        <f>IFERROR(R2/P2,"")</f>
        <v/>
      </c>
      <c r="V2" s="102">
        <f>IFERROR(O2/E2,"")</f>
        <v/>
      </c>
      <c r="W2" s="24">
        <f>IFERROR(L2/F2,"")</f>
        <v/>
      </c>
      <c r="X2" s="26">
        <f>IFERROR(IF(NOT(ISNUMBER($E2)),"",IF($E2&gt;=Scoring_Criteria!$D$4,5,IF($E2&gt;=Scoring_Criteria!$E$4,4,IF($E2&gt;=Scoring_Criteria!$F$4,3,IF($E2&gt;=Scoring_Criteria!$G$4,2,1))))),"")</f>
        <v/>
      </c>
      <c r="Y2" s="26">
        <f>IFERROR(IF(OR(NOT(ISNUMBER($F2)),NOT(ISNUMBER($E2)),$E2=0),"",IF(($F2/$E2)&gt;=Scoring_Criteria!$D$5,5,IF(($F2/$E2)&gt;=Scoring_Criteria!$E$5,4,IF(($F2/$E2)&gt;=Scoring_Criteria!$F$5,3,IF(($F2/$E2)&gt;=Scoring_Criteria!$G$5,2,1))))),"")</f>
        <v/>
      </c>
      <c r="Z2" s="26">
        <f>IFERROR(IF(AND(NOT(ISNUMBER($I2)),NOT(ISNUMBER($J2))),"",IF((IFERROR($I2,0)+IFERROR($J2,0))&gt;=Scoring_Criteria!$D$6,5,IF((IFERROR($I2,0)+IFERROR($J2,0))&gt;=Scoring_Criteria!$E$6,4,IF((IFERROR($I2,0)+IFERROR($J2,0))&gt;=Scoring_Criteria!$F$6,3,IF((IFERROR($I2,0)+IFERROR($J2,0))&gt;=Scoring_Criteria!$G$6,2,1))))),"")</f>
        <v/>
      </c>
      <c r="AA2" s="26">
        <f>IFERROR(IF(NOT(ISNUMBER($M2)),"",IF($M2&gt;=Scoring_Criteria!$D$7,5,IF($M2&gt;=Scoring_Criteria!$E$7,4,IF($M2&gt;=Scoring_Criteria!$F$7,3,IF($M2&gt;=Scoring_Criteria!$G$7,2,1))))),"")</f>
        <v/>
      </c>
      <c r="AB2" s="26">
        <f>IFERROR(IF(NOT(ISNUMBER($T2)),"",IF($T2&gt;=Scoring_Criteria!$D$8,5,IF($T2&gt;=Scoring_Criteria!$E$8,4,IF($T2&gt;=Scoring_Criteria!$F$8,3,IF($T2&gt;=Scoring_Criteria!$G$8,2,1))))),"")</f>
        <v/>
      </c>
      <c r="AC2" s="26">
        <f>IFERROR(IF(NOT(ISNUMBER($U2)),"",IF($U2&lt;=Scoring_Criteria!$D$9,5,IF($U2&lt;=Scoring_Criteria!$E$9,4,IF($U2&lt;=Scoring_Criteria!$F$9,3,IF($U2&lt;=Scoring_Criteria!$G$9,2,1))))),"")</f>
        <v/>
      </c>
      <c r="AD2" s="26">
        <f t="array" ref="AD2">IFERROR(IF(NOT(ISNUMBER(_xlfn.XLOOKUP($A2&amp;"|"&amp;$C2,Financials!$A$2:$A$201&amp;"|"&amp;Financials!$B$2:$B$201,Financials!$AD$2:$AD$201,""))),"",IF(_xlfn.XLOOKUP($A2&amp;"|"&amp;$C2,Financials!$A$2:$A$201&amp;"|"&amp;Financials!$B$2:$B$201,Financials!$AD$2:$AD$201,"")&gt;=Scoring_Criteria!$D$10,5,IF(_xlfn.XLOOKUP($A2&amp;"|"&amp;$C2,Financials!$A$2:$A$201&amp;"|"&amp;Financials!$B$2:$B$201,Financials!$AD$2:$AD$201,"")&gt;=Scoring_Criteria!$E$10,4,IF(_xlfn.XLOOKUP($A2&amp;"|"&amp;$C2,Financials!$A$2:$A$201&amp;"|"&amp;Financials!$B$2:$B$201,Financials!$AD$2:$AD$201,"")&gt;=Scoring_Criteria!$F$10,3,IF(_xlfn.XLOOKUP($A2&amp;"|"&amp;$C2,Financials!$A$2:$A$201&amp;"|"&amp;Financials!$B$2:$B$201,Financials!$AD$2:$AD$201,"")&gt;=Scoring_Criteria!$G$10,2,1))))),"")</f>
        <v/>
      </c>
      <c r="AE2" s="27" t="n"/>
      <c r="AF2" s="27" t="n"/>
      <c r="AG2" s="28">
        <f>IFERROR(IF(COUNTA(X2:AF2)=0,"",AVERAGE(X2:AF2)),"")</f>
        <v/>
      </c>
      <c r="AH2" s="29" t="n"/>
      <c r="AI2" s="29" t="n"/>
      <c r="AJ2" s="29" t="n"/>
      <c r="AK2" s="29" t="n"/>
      <c r="AL2" s="29" t="n"/>
      <c r="AM2" s="29" t="n"/>
      <c r="AN2" s="29" t="n"/>
      <c r="AO2" s="29" t="n"/>
      <c r="AP2" s="29" t="n"/>
      <c r="AQ2" s="29" t="n"/>
      <c r="AR2" s="29" t="n"/>
      <c r="AS2" s="29" t="n"/>
      <c r="AT2" s="29" t="n"/>
      <c r="AU2" s="46">
        <f>IFERROR(Validation_Summary!Q5,"")</f>
        <v/>
      </c>
    </row>
    <row r="3" ht="15" customHeight="1" s="67">
      <c r="A3" s="6" t="inlineStr">
        <is>
          <t>PT Astra Agro Lestari Tbk</t>
        </is>
      </c>
      <c r="B3" s="19">
        <f t="array" ref="B3">IFERROR(_xlfn.XLOOKUP($A3&amp;"|"&amp;$C3,'Company_Master'!$A$2:$A$94&amp;"|"&amp;'Company_Master'!$D$2:$D$94,'Company_Master'!$B$2:$B$94,""),"")</f>
        <v/>
      </c>
      <c r="C3" s="98" t="n">
        <v>2024</v>
      </c>
      <c r="D3" s="19">
        <f t="array" ref="D3">IFERROR(_xlfn.XLOOKUP($A3&amp;"|"&amp;$C3,'Company_Master'!$A$2:$A$94&amp;"|"&amp;'Company_Master'!$D$2:$D$94,'Company_Master'!$H$2:$H$94,""),"")</f>
        <v/>
      </c>
      <c r="E3" s="98">
        <f t="array" ref="E3">IFERROR(_xlfn.XLOOKUP($A3&amp;"|"&amp;$C3,Asset_Operations!$A$2:$A$201&amp;"|"&amp;Asset_Operations!$BG$2:$BG$201,Asset_Operations!$B$2:$B$201,""),"")</f>
        <v/>
      </c>
      <c r="F3" s="98">
        <f t="array" ref="F3">IFERROR(_xlfn.XLOOKUP($A3&amp;"|"&amp;$C3,Asset_Operations!$A$2:$A$201&amp;"|"&amp;Asset_Operations!$BG$2:$BG$201,Asset_Operations!$E$2:$E$201,""),"")</f>
        <v/>
      </c>
      <c r="G3" s="98">
        <f t="array" ref="G3">IFERROR(_xlfn.XLOOKUP($A3&amp;"|"&amp;$C3,Asset_Operations!$A$2:$A$201&amp;"|"&amp;Asset_Operations!$BG$2:$BG$201,Asset_Operations!$I$2:$I$201,""),"")</f>
        <v/>
      </c>
      <c r="H3" s="98">
        <f t="array" ref="H3">IFERROR(_xlfn.XLOOKUP($A3&amp;"|"&amp;$C3,Asset_Operations!$A$2:$A$201&amp;"|"&amp;Asset_Operations!$BG$2:$BG$201,Asset_Operations!$J$2:$J$201,""),"")</f>
        <v/>
      </c>
      <c r="I3" s="98">
        <f t="array" ref="I3">IFERROR(_xlfn.XLOOKUP($A3&amp;"|"&amp;$C3,Asset_Operations!$A$2:$A$201&amp;"|"&amp;Asset_Operations!$BG$2:$BG$201,Asset_Operations!$O$2:$O$201,""),"")</f>
        <v/>
      </c>
      <c r="J3" s="98">
        <f t="array" ref="J3">IFERROR(_xlfn.XLOOKUP($A3&amp;"|"&amp;$C3,Asset_Operations!$A$2:$A$201&amp;"|"&amp;Asset_Operations!$BG$2:$BG$201,Asset_Operations!$S$2:$S$201,""),"")</f>
        <v/>
      </c>
      <c r="K3" s="98">
        <f t="array" ref="K3">IFERROR(_xlfn.XLOOKUP($A3&amp;"|"&amp;$C3,Asset_Operations!$A$2:$A$201&amp;"|"&amp;Asset_Operations!$BG$2:$BG$201,Asset_Operations!$AC$2:$AC$201,""),"")</f>
        <v/>
      </c>
      <c r="L3" s="98">
        <f t="array" ref="L3">IFERROR(_xlfn.XLOOKUP($A3&amp;"|"&amp;$C3,Asset_Operations!$A$2:$A$201&amp;"|"&amp;Asset_Operations!$BG$2:$BG$201,Asset_Operations!$AG$2:$AG$201,""),"")</f>
        <v/>
      </c>
      <c r="M3" s="98">
        <f t="array" ref="M3">IFERROR(_xlfn.XLOOKUP($A3&amp;"|"&amp;$C3,Asset_Operations!$A$2:$A$201&amp;"|"&amp;Asset_Operations!$BG$2:$BG$201,Asset_Operations!$AO$2:$AO$201,""),"")</f>
        <v/>
      </c>
      <c r="N3" s="99">
        <f t="array" ref="N3">IFERROR(_xlfn.XLOOKUP($A3&amp;"|"&amp;$C3,Asset_Operations!$A$2:$A$201&amp;"|"&amp;Asset_Operations!$BG$2:$BG$201,Asset_Operations!$AR$2:$AR$201,""),"")</f>
        <v/>
      </c>
      <c r="O3" s="100">
        <f t="array" ref="O3">IFERROR(_xlfn.XLOOKUP($A3&amp;"|"&amp;$C3,Financials!$A$2:$A$201&amp;"|"&amp;Financials!$B$2:$B$201,Financials!$C$2:$C$201,""),"")</f>
        <v/>
      </c>
      <c r="P3" s="100">
        <f t="array" ref="P3">IFERROR(_xlfn.XLOOKUP($A3&amp;"|"&amp;$C3,Financials!$A$2:$A$201&amp;"|"&amp;Financials!$B$2:$B$201,Financials!$E$2:$E$201,""),"")</f>
        <v/>
      </c>
      <c r="Q3" s="100">
        <f t="array" ref="Q3">IFERROR(_xlfn.XLOOKUP($A3&amp;"|"&amp;$C3,Financials!$A$2:$A$201&amp;"|"&amp;Financials!$B$2:$B$201,Financials!$G$2:$G$201,""),"")</f>
        <v/>
      </c>
      <c r="R3" s="100">
        <f t="array" ref="R3">IFERROR(_xlfn.XLOOKUP($A3&amp;"|"&amp;$C3,Financials!$A$2:$A$201&amp;"|"&amp;Financials!$B$2:$B$201,Financials!$S$2:$S$201,""),"")</f>
        <v/>
      </c>
      <c r="S3" s="100">
        <f t="array" ref="S3">IFERROR(_xlfn.XLOOKUP($A3&amp;"|"&amp;$C3,Financials!$A$2:$A$201&amp;"|"&amp;Financials!$B$2:$B$201,Financials!$AC$2:$AC$201,""),"")</f>
        <v/>
      </c>
      <c r="T3" s="101">
        <f>IFERROR(P3/O3,"")</f>
        <v/>
      </c>
      <c r="U3" s="24">
        <f>IFERROR(R3/P3,"")</f>
        <v/>
      </c>
      <c r="V3" s="102">
        <f>IFERROR(O3/E3,"")</f>
        <v/>
      </c>
      <c r="W3" s="24">
        <f>IFERROR(L3/F3,"")</f>
        <v/>
      </c>
      <c r="X3" s="26">
        <f>IFERROR(IF(NOT(ISNUMBER($E3)),"",IF($E3&gt;=Scoring_Criteria!$D$4,5,IF($E3&gt;=Scoring_Criteria!$E$4,4,IF($E3&gt;=Scoring_Criteria!$F$4,3,IF($E3&gt;=Scoring_Criteria!$G$4,2,1))))),"")</f>
        <v/>
      </c>
      <c r="Y3" s="26">
        <f>IFERROR(IF(OR(NOT(ISNUMBER($F3)),NOT(ISNUMBER($E3)),$E3=0),"",IF(($F3/$E3)&gt;=Scoring_Criteria!$D$5,5,IF(($F3/$E3)&gt;=Scoring_Criteria!$E$5,4,IF(($F3/$E3)&gt;=Scoring_Criteria!$F$5,3,IF(($F3/$E3)&gt;=Scoring_Criteria!$G$5,2,1))))),"")</f>
        <v/>
      </c>
      <c r="Z3" s="26">
        <f>IFERROR(IF(AND(NOT(ISNUMBER($I3)),NOT(ISNUMBER($J3))),"",IF((IFERROR($I3,0)+IFERROR($J3,0))&gt;=Scoring_Criteria!$D$6,5,IF((IFERROR($I3,0)+IFERROR($J3,0))&gt;=Scoring_Criteria!$E$6,4,IF((IFERROR($I3,0)+IFERROR($J3,0))&gt;=Scoring_Criteria!$F$6,3,IF((IFERROR($I3,0)+IFERROR($J3,0))&gt;=Scoring_Criteria!$G$6,2,1))))),"")</f>
        <v/>
      </c>
      <c r="AA3" s="26">
        <f>IFERROR(IF(NOT(ISNUMBER($M3)),"",IF($M3&gt;=Scoring_Criteria!$D$7,5,IF($M3&gt;=Scoring_Criteria!$E$7,4,IF($M3&gt;=Scoring_Criteria!$F$7,3,IF($M3&gt;=Scoring_Criteria!$G$7,2,1))))),"")</f>
        <v/>
      </c>
      <c r="AB3" s="26">
        <f>IFERROR(IF(NOT(ISNUMBER($T3)),"",IF($T3&gt;=Scoring_Criteria!$D$8,5,IF($T3&gt;=Scoring_Criteria!$E$8,4,IF($T3&gt;=Scoring_Criteria!$F$8,3,IF($T3&gt;=Scoring_Criteria!$G$8,2,1))))),"")</f>
        <v/>
      </c>
      <c r="AC3" s="26">
        <f>IFERROR(IF(NOT(ISNUMBER($U3)),"",IF($U3&lt;=Scoring_Criteria!$D$9,5,IF($U3&lt;=Scoring_Criteria!$E$9,4,IF($U3&lt;=Scoring_Criteria!$F$9,3,IF($U3&lt;=Scoring_Criteria!$G$9,2,1))))),"")</f>
        <v/>
      </c>
      <c r="AD3" s="26">
        <f t="array" ref="AD3">IFERROR(IF(NOT(ISNUMBER(_xlfn.XLOOKUP($A3&amp;"|"&amp;$C3,Financials!$A$2:$A$201&amp;"|"&amp;Financials!$B$2:$B$201,Financials!$AD$2:$AD$201,""))),"",IF(_xlfn.XLOOKUP($A3&amp;"|"&amp;$C3,Financials!$A$2:$A$201&amp;"|"&amp;Financials!$B$2:$B$201,Financials!$AD$2:$AD$201,"")&gt;=Scoring_Criteria!$D$10,5,IF(_xlfn.XLOOKUP($A3&amp;"|"&amp;$C3,Financials!$A$2:$A$201&amp;"|"&amp;Financials!$B$2:$B$201,Financials!$AD$2:$AD$201,"")&gt;=Scoring_Criteria!$E$10,4,IF(_xlfn.XLOOKUP($A3&amp;"|"&amp;$C3,Financials!$A$2:$A$201&amp;"|"&amp;Financials!$B$2:$B$201,Financials!$AD$2:$AD$201,"")&gt;=Scoring_Criteria!$F$10,3,IF(_xlfn.XLOOKUP($A3&amp;"|"&amp;$C3,Financials!$A$2:$A$201&amp;"|"&amp;Financials!$B$2:$B$201,Financials!$AD$2:$AD$201,"")&gt;=Scoring_Criteria!$G$10,2,1))))),"")</f>
        <v/>
      </c>
      <c r="AE3" s="27" t="n"/>
      <c r="AF3" s="27" t="n"/>
      <c r="AG3" s="28">
        <f>IFERROR(IF(COUNTA(X3:AF3)=0,"",AVERAGE(X3:AF3)),"")</f>
        <v/>
      </c>
      <c r="AH3" s="29" t="n"/>
      <c r="AI3" s="29" t="n"/>
      <c r="AJ3" s="29" t="n"/>
      <c r="AK3" s="29" t="n"/>
      <c r="AL3" s="29" t="n"/>
      <c r="AM3" s="29" t="n"/>
      <c r="AN3" s="29" t="n"/>
      <c r="AO3" s="29" t="n"/>
      <c r="AP3" s="29" t="n"/>
      <c r="AQ3" s="29" t="n"/>
      <c r="AR3" s="29" t="n"/>
      <c r="AS3" s="29" t="n"/>
      <c r="AT3" s="29" t="n"/>
      <c r="AU3" s="46">
        <f>IFERROR(Validation_Summary!Q5,"")</f>
        <v/>
      </c>
    </row>
    <row r="4" ht="15" customHeight="1" s="67">
      <c r="A4" s="6" t="inlineStr">
        <is>
          <t>PT Astra Agro Lestari Tbk</t>
        </is>
      </c>
      <c r="B4" s="19">
        <f t="array" ref="B4">IFERROR(_xlfn.XLOOKUP($A4&amp;"|"&amp;$C4,'Company_Master'!$A$2:$A$94&amp;"|"&amp;'Company_Master'!$D$2:$D$94,'Company_Master'!$B$2:$B$94,""),"")</f>
        <v/>
      </c>
      <c r="C4" s="98" t="n">
        <v>2025</v>
      </c>
      <c r="D4" s="19">
        <f t="array" ref="D4">IFERROR(_xlfn.XLOOKUP($A4&amp;"|"&amp;$C4,'Company_Master'!$A$2:$A$94&amp;"|"&amp;'Company_Master'!$D$2:$D$94,'Company_Master'!$H$2:$H$94,""),"")</f>
        <v/>
      </c>
      <c r="E4" s="98">
        <f t="array" ref="E4">IFERROR(_xlfn.XLOOKUP($A4&amp;"|"&amp;$C4,Asset_Operations!$A$2:$A$201&amp;"|"&amp;Asset_Operations!$BG$2:$BG$201,Asset_Operations!$B$2:$B$201,""),"")</f>
        <v/>
      </c>
      <c r="F4" s="98">
        <f t="array" ref="F4">IFERROR(_xlfn.XLOOKUP($A4&amp;"|"&amp;$C4,Asset_Operations!$A$2:$A$201&amp;"|"&amp;Asset_Operations!$BG$2:$BG$201,Asset_Operations!$E$2:$E$201,""),"")</f>
        <v/>
      </c>
      <c r="G4" s="98">
        <f t="array" ref="G4">IFERROR(_xlfn.XLOOKUP($A4&amp;"|"&amp;$C4,Asset_Operations!$A$2:$A$201&amp;"|"&amp;Asset_Operations!$BG$2:$BG$201,Asset_Operations!$I$2:$I$201,""),"")</f>
        <v/>
      </c>
      <c r="H4" s="98">
        <f t="array" ref="H4">IFERROR(_xlfn.XLOOKUP($A4&amp;"|"&amp;$C4,Asset_Operations!$A$2:$A$201&amp;"|"&amp;Asset_Operations!$BG$2:$BG$201,Asset_Operations!$J$2:$J$201,""),"")</f>
        <v/>
      </c>
      <c r="I4" s="98">
        <f t="array" ref="I4">IFERROR(_xlfn.XLOOKUP($A4&amp;"|"&amp;$C4,Asset_Operations!$A$2:$A$201&amp;"|"&amp;Asset_Operations!$BG$2:$BG$201,Asset_Operations!$O$2:$O$201,""),"")</f>
        <v/>
      </c>
      <c r="J4" s="98">
        <f t="array" ref="J4">IFERROR(_xlfn.XLOOKUP($A4&amp;"|"&amp;$C4,Asset_Operations!$A$2:$A$201&amp;"|"&amp;Asset_Operations!$BG$2:$BG$201,Asset_Operations!$S$2:$S$201,""),"")</f>
        <v/>
      </c>
      <c r="K4" s="98">
        <f t="array" ref="K4">IFERROR(_xlfn.XLOOKUP($A4&amp;"|"&amp;$C4,Asset_Operations!$A$2:$A$201&amp;"|"&amp;Asset_Operations!$BG$2:$BG$201,Asset_Operations!$AC$2:$AC$201,""),"")</f>
        <v/>
      </c>
      <c r="L4" s="98">
        <f t="array" ref="L4">IFERROR(_xlfn.XLOOKUP($A4&amp;"|"&amp;$C4,Asset_Operations!$A$2:$A$201&amp;"|"&amp;Asset_Operations!$BG$2:$BG$201,Asset_Operations!$AG$2:$AG$201,""),"")</f>
        <v/>
      </c>
      <c r="M4" s="98">
        <f t="array" ref="M4">IFERROR(_xlfn.XLOOKUP($A4&amp;"|"&amp;$C4,Asset_Operations!$A$2:$A$201&amp;"|"&amp;Asset_Operations!$BG$2:$BG$201,Asset_Operations!$AO$2:$AO$201,""),"")</f>
        <v/>
      </c>
      <c r="N4" s="99">
        <f t="array" ref="N4">IFERROR(_xlfn.XLOOKUP($A4&amp;"|"&amp;$C4,Asset_Operations!$A$2:$A$201&amp;"|"&amp;Asset_Operations!$BG$2:$BG$201,Asset_Operations!$AR$2:$AR$201,""),"")</f>
        <v/>
      </c>
      <c r="O4" s="100">
        <f t="array" ref="O4">IFERROR(_xlfn.XLOOKUP($A4&amp;"|"&amp;$C4,Financials!$A$2:$A$201&amp;"|"&amp;Financials!$B$2:$B$201,Financials!$C$2:$C$201,""),"")</f>
        <v/>
      </c>
      <c r="P4" s="100">
        <f t="array" ref="P4">IFERROR(_xlfn.XLOOKUP($A4&amp;"|"&amp;$C4,Financials!$A$2:$A$201&amp;"|"&amp;Financials!$B$2:$B$201,Financials!$E$2:$E$201,""),"")</f>
        <v/>
      </c>
      <c r="Q4" s="100">
        <f t="array" ref="Q4">IFERROR(_xlfn.XLOOKUP($A4&amp;"|"&amp;$C4,Financials!$A$2:$A$201&amp;"|"&amp;Financials!$B$2:$B$201,Financials!$G$2:$G$201,""),"")</f>
        <v/>
      </c>
      <c r="R4" s="100">
        <f t="array" ref="R4">IFERROR(_xlfn.XLOOKUP($A4&amp;"|"&amp;$C4,Financials!$A$2:$A$201&amp;"|"&amp;Financials!$B$2:$B$201,Financials!$S$2:$S$201,""),"")</f>
        <v/>
      </c>
      <c r="S4" s="100">
        <f t="array" ref="S4">IFERROR(_xlfn.XLOOKUP($A4&amp;"|"&amp;$C4,Financials!$A$2:$A$201&amp;"|"&amp;Financials!$B$2:$B$201,Financials!$AC$2:$AC$201,""),"")</f>
        <v/>
      </c>
      <c r="T4" s="101">
        <f>IFERROR(P4/O4,"")</f>
        <v/>
      </c>
      <c r="U4" s="24">
        <f>IFERROR(R4/P4,"")</f>
        <v/>
      </c>
      <c r="V4" s="102">
        <f>IFERROR(O4/E4,"")</f>
        <v/>
      </c>
      <c r="W4" s="24">
        <f>IFERROR(L4/F4,"")</f>
        <v/>
      </c>
      <c r="X4" s="26">
        <f>IFERROR(IF(NOT(ISNUMBER($E4)),"",IF($E4&gt;=Scoring_Criteria!$D$4,5,IF($E4&gt;=Scoring_Criteria!$E$4,4,IF($E4&gt;=Scoring_Criteria!$F$4,3,IF($E4&gt;=Scoring_Criteria!$G$4,2,1))))),"")</f>
        <v/>
      </c>
      <c r="Y4" s="26">
        <f>IFERROR(IF(OR(NOT(ISNUMBER($F4)),NOT(ISNUMBER($E4)),$E4=0),"",IF(($F4/$E4)&gt;=Scoring_Criteria!$D$5,5,IF(($F4/$E4)&gt;=Scoring_Criteria!$E$5,4,IF(($F4/$E4)&gt;=Scoring_Criteria!$F$5,3,IF(($F4/$E4)&gt;=Scoring_Criteria!$G$5,2,1))))),"")</f>
        <v/>
      </c>
      <c r="Z4" s="26">
        <f>IFERROR(IF(AND(NOT(ISNUMBER($I4)),NOT(ISNUMBER($J4))),"",IF((IFERROR($I4,0)+IFERROR($J4,0))&gt;=Scoring_Criteria!$D$6,5,IF((IFERROR($I4,0)+IFERROR($J4,0))&gt;=Scoring_Criteria!$E$6,4,IF((IFERROR($I4,0)+IFERROR($J4,0))&gt;=Scoring_Criteria!$F$6,3,IF((IFERROR($I4,0)+IFERROR($J4,0))&gt;=Scoring_Criteria!$G$6,2,1))))),"")</f>
        <v/>
      </c>
      <c r="AA4" s="26">
        <f>IFERROR(IF(NOT(ISNUMBER($M4)),"",IF($M4&gt;=Scoring_Criteria!$D$7,5,IF($M4&gt;=Scoring_Criteria!$E$7,4,IF($M4&gt;=Scoring_Criteria!$F$7,3,IF($M4&gt;=Scoring_Criteria!$G$7,2,1))))),"")</f>
        <v/>
      </c>
      <c r="AB4" s="26">
        <f>IFERROR(IF(NOT(ISNUMBER($T4)),"",IF($T4&gt;=Scoring_Criteria!$D$8,5,IF($T4&gt;=Scoring_Criteria!$E$8,4,IF($T4&gt;=Scoring_Criteria!$F$8,3,IF($T4&gt;=Scoring_Criteria!$G$8,2,1))))),"")</f>
        <v/>
      </c>
      <c r="AC4" s="26">
        <f>IFERROR(IF(NOT(ISNUMBER($U4)),"",IF($U4&lt;=Scoring_Criteria!$D$9,5,IF($U4&lt;=Scoring_Criteria!$E$9,4,IF($U4&lt;=Scoring_Criteria!$F$9,3,IF($U4&lt;=Scoring_Criteria!$G$9,2,1))))),"")</f>
        <v/>
      </c>
      <c r="AD4" s="26">
        <f t="array" ref="AD4">IFERROR(IF(NOT(ISNUMBER(_xlfn.XLOOKUP($A4&amp;"|"&amp;$C4,Financials!$A$2:$A$201&amp;"|"&amp;Financials!$B$2:$B$201,Financials!$AD$2:$AD$201,""))),"",IF(_xlfn.XLOOKUP($A4&amp;"|"&amp;$C4,Financials!$A$2:$A$201&amp;"|"&amp;Financials!$B$2:$B$201,Financials!$AD$2:$AD$201,"")&gt;=Scoring_Criteria!$D$10,5,IF(_xlfn.XLOOKUP($A4&amp;"|"&amp;$C4,Financials!$A$2:$A$201&amp;"|"&amp;Financials!$B$2:$B$201,Financials!$AD$2:$AD$201,"")&gt;=Scoring_Criteria!$E$10,4,IF(_xlfn.XLOOKUP($A4&amp;"|"&amp;$C4,Financials!$A$2:$A$201&amp;"|"&amp;Financials!$B$2:$B$201,Financials!$AD$2:$AD$201,"")&gt;=Scoring_Criteria!$F$10,3,IF(_xlfn.XLOOKUP($A4&amp;"|"&amp;$C4,Financials!$A$2:$A$201&amp;"|"&amp;Financials!$B$2:$B$201,Financials!$AD$2:$AD$201,"")&gt;=Scoring_Criteria!$G$10,2,1))))),"")</f>
        <v/>
      </c>
      <c r="AE4" s="27" t="n"/>
      <c r="AF4" s="27" t="n"/>
      <c r="AG4" s="28">
        <f>IFERROR(IF(COUNTA(X4:AF4)=0,"",AVERAGE(X4:AF4)),"")</f>
        <v/>
      </c>
      <c r="AH4" s="29" t="n"/>
      <c r="AI4" s="29" t="n"/>
      <c r="AJ4" s="29" t="n"/>
      <c r="AK4" s="29" t="n"/>
      <c r="AL4" s="29" t="n"/>
      <c r="AM4" s="29" t="n"/>
      <c r="AN4" s="29" t="n"/>
      <c r="AO4" s="29" t="n"/>
      <c r="AP4" s="29" t="n"/>
      <c r="AQ4" s="29" t="n"/>
      <c r="AR4" s="29" t="n"/>
      <c r="AS4" s="29" t="n"/>
      <c r="AT4" s="29" t="n"/>
      <c r="AU4" s="46">
        <f>IFERROR(Validation_Summary!Q5,"")</f>
        <v/>
      </c>
    </row>
    <row r="5" ht="15" customHeight="1" s="67">
      <c r="A5" s="6" t="inlineStr">
        <is>
          <t>PT Andira Agro Tbk</t>
        </is>
      </c>
      <c r="B5" s="19">
        <f t="array" ref="B5">IFERROR(_xlfn.XLOOKUP($A5&amp;"|"&amp;$C5,'Company_Master'!$A$2:$A$94&amp;"|"&amp;'Company_Master'!$D$2:$D$94,'Company_Master'!$B$2:$B$94,""),"")</f>
        <v/>
      </c>
      <c r="C5" s="98" t="n">
        <v>2022</v>
      </c>
      <c r="D5" s="19">
        <f t="array" ref="D5">IFERROR(_xlfn.XLOOKUP($A5&amp;"|"&amp;$C5,'Company_Master'!$A$2:$A$94&amp;"|"&amp;'Company_Master'!$D$2:$D$94,'Company_Master'!$H$2:$H$94,""),"")</f>
        <v/>
      </c>
      <c r="E5" s="98">
        <f t="array" ref="E5">IFERROR(_xlfn.XLOOKUP($A5&amp;"|"&amp;$C5,Asset_Operations!$A$2:$A$201&amp;"|"&amp;Asset_Operations!$BG$2:$BG$201,Asset_Operations!$B$2:$B$201,""),"")</f>
        <v/>
      </c>
      <c r="F5" s="98">
        <f t="array" ref="F5">IFERROR(_xlfn.XLOOKUP($A5&amp;"|"&amp;$C5,Asset_Operations!$A$2:$A$201&amp;"|"&amp;Asset_Operations!$BG$2:$BG$201,Asset_Operations!$E$2:$E$201,""),"")</f>
        <v/>
      </c>
      <c r="G5" s="98">
        <f t="array" ref="G5">IFERROR(_xlfn.XLOOKUP($A5&amp;"|"&amp;$C5,Asset_Operations!$A$2:$A$201&amp;"|"&amp;Asset_Operations!$BG$2:$BG$201,Asset_Operations!$I$2:$I$201,""),"")</f>
        <v/>
      </c>
      <c r="H5" s="98">
        <f t="array" ref="H5">IFERROR(_xlfn.XLOOKUP($A5&amp;"|"&amp;$C5,Asset_Operations!$A$2:$A$201&amp;"|"&amp;Asset_Operations!$BG$2:$BG$201,Asset_Operations!$J$2:$J$201,""),"")</f>
        <v/>
      </c>
      <c r="I5" s="98">
        <f t="array" ref="I5">IFERROR(_xlfn.XLOOKUP($A5&amp;"|"&amp;$C5,Asset_Operations!$A$2:$A$201&amp;"|"&amp;Asset_Operations!$BG$2:$BG$201,Asset_Operations!$O$2:$O$201,""),"")</f>
        <v/>
      </c>
      <c r="J5" s="98">
        <f t="array" ref="J5">IFERROR(_xlfn.XLOOKUP($A5&amp;"|"&amp;$C5,Asset_Operations!$A$2:$A$201&amp;"|"&amp;Asset_Operations!$BG$2:$BG$201,Asset_Operations!$S$2:$S$201,""),"")</f>
        <v/>
      </c>
      <c r="K5" s="98">
        <f t="array" ref="K5">IFERROR(_xlfn.XLOOKUP($A5&amp;"|"&amp;$C5,Asset_Operations!$A$2:$A$201&amp;"|"&amp;Asset_Operations!$BG$2:$BG$201,Asset_Operations!$AC$2:$AC$201,""),"")</f>
        <v/>
      </c>
      <c r="L5" s="98">
        <f t="array" ref="L5">IFERROR(_xlfn.XLOOKUP($A5&amp;"|"&amp;$C5,Asset_Operations!$A$2:$A$201&amp;"|"&amp;Asset_Operations!$BG$2:$BG$201,Asset_Operations!$AG$2:$AG$201,""),"")</f>
        <v/>
      </c>
      <c r="M5" s="98">
        <f t="array" ref="M5">IFERROR(_xlfn.XLOOKUP($A5&amp;"|"&amp;$C5,Asset_Operations!$A$2:$A$201&amp;"|"&amp;Asset_Operations!$BG$2:$BG$201,Asset_Operations!$AO$2:$AO$201,""),"")</f>
        <v/>
      </c>
      <c r="N5" s="99">
        <f t="array" ref="N5">IFERROR(_xlfn.XLOOKUP($A5&amp;"|"&amp;$C5,Asset_Operations!$A$2:$A$201&amp;"|"&amp;Asset_Operations!$BG$2:$BG$201,Asset_Operations!$AR$2:$AR$201,""),"")</f>
        <v/>
      </c>
      <c r="O5" s="100">
        <f t="array" ref="O5">IFERROR(_xlfn.XLOOKUP($A5&amp;"|"&amp;$C5,Financials!$A$2:$A$201&amp;"|"&amp;Financials!$B$2:$B$201,Financials!$C$2:$C$201,""),"")</f>
        <v/>
      </c>
      <c r="P5" s="100">
        <f t="array" ref="P5">IFERROR(_xlfn.XLOOKUP($A5&amp;"|"&amp;$C5,Financials!$A$2:$A$201&amp;"|"&amp;Financials!$B$2:$B$201,Financials!$E$2:$E$201,""),"")</f>
        <v/>
      </c>
      <c r="Q5" s="100">
        <f t="array" ref="Q5">IFERROR(_xlfn.XLOOKUP($A5&amp;"|"&amp;$C5,Financials!$A$2:$A$201&amp;"|"&amp;Financials!$B$2:$B$201,Financials!$G$2:$G$201,""),"")</f>
        <v/>
      </c>
      <c r="R5" s="100">
        <f t="array" ref="R5">IFERROR(_xlfn.XLOOKUP($A5&amp;"|"&amp;$C5,Financials!$A$2:$A$201&amp;"|"&amp;Financials!$B$2:$B$201,Financials!$S$2:$S$201,""),"")</f>
        <v/>
      </c>
      <c r="S5" s="100">
        <f t="array" ref="S5">IFERROR(_xlfn.XLOOKUP($A5&amp;"|"&amp;$C5,Financials!$A$2:$A$201&amp;"|"&amp;Financials!$B$2:$B$201,Financials!$AC$2:$AC$201,""),"")</f>
        <v/>
      </c>
      <c r="T5" s="101">
        <f>IFERROR(P5/O5,"")</f>
        <v/>
      </c>
      <c r="U5" s="24">
        <f>IFERROR(R5/P5,"")</f>
        <v/>
      </c>
      <c r="V5" s="102">
        <f>IFERROR(O5/E5,"")</f>
        <v/>
      </c>
      <c r="W5" s="24">
        <f>IFERROR(L5/F5,"")</f>
        <v/>
      </c>
      <c r="X5" s="26">
        <f>IFERROR(IF(NOT(ISNUMBER($E5)),"",IF($E5&gt;=Scoring_Criteria!$D$4,5,IF($E5&gt;=Scoring_Criteria!$E$4,4,IF($E5&gt;=Scoring_Criteria!$F$4,3,IF($E5&gt;=Scoring_Criteria!$G$4,2,1))))),"")</f>
        <v/>
      </c>
      <c r="Y5" s="26">
        <f>IFERROR(IF(OR(NOT(ISNUMBER($F5)),NOT(ISNUMBER($E5)),$E5=0),"",IF(($F5/$E5)&gt;=Scoring_Criteria!$D$5,5,IF(($F5/$E5)&gt;=Scoring_Criteria!$E$5,4,IF(($F5/$E5)&gt;=Scoring_Criteria!$F$5,3,IF(($F5/$E5)&gt;=Scoring_Criteria!$G$5,2,1))))),"")</f>
        <v/>
      </c>
      <c r="Z5" s="26">
        <f>IFERROR(IF(AND(NOT(ISNUMBER($I5)),NOT(ISNUMBER($J5))),"",IF((IFERROR($I5,0)+IFERROR($J5,0))&gt;=Scoring_Criteria!$D$6,5,IF((IFERROR($I5,0)+IFERROR($J5,0))&gt;=Scoring_Criteria!$E$6,4,IF((IFERROR($I5,0)+IFERROR($J5,0))&gt;=Scoring_Criteria!$F$6,3,IF((IFERROR($I5,0)+IFERROR($J5,0))&gt;=Scoring_Criteria!$G$6,2,1))))),"")</f>
        <v/>
      </c>
      <c r="AA5" s="26">
        <f>IFERROR(IF(NOT(ISNUMBER($M5)),"",IF($M5&gt;=Scoring_Criteria!$D$7,5,IF($M5&gt;=Scoring_Criteria!$E$7,4,IF($M5&gt;=Scoring_Criteria!$F$7,3,IF($M5&gt;=Scoring_Criteria!$G$7,2,1))))),"")</f>
        <v/>
      </c>
      <c r="AB5" s="26">
        <f>IFERROR(IF(NOT(ISNUMBER($T5)),"",IF($T5&gt;=Scoring_Criteria!$D$8,5,IF($T5&gt;=Scoring_Criteria!$E$8,4,IF($T5&gt;=Scoring_Criteria!$F$8,3,IF($T5&gt;=Scoring_Criteria!$G$8,2,1))))),"")</f>
        <v/>
      </c>
      <c r="AC5" s="26">
        <f>IFERROR(IF(NOT(ISNUMBER($U5)),"",IF($U5&lt;=Scoring_Criteria!$D$9,5,IF($U5&lt;=Scoring_Criteria!$E$9,4,IF($U5&lt;=Scoring_Criteria!$F$9,3,IF($U5&lt;=Scoring_Criteria!$G$9,2,1))))),"")</f>
        <v/>
      </c>
      <c r="AD5" s="26">
        <f t="array" ref="AD5">IFERROR(IF(NOT(ISNUMBER(_xlfn.XLOOKUP($A5&amp;"|"&amp;$C5,Financials!$A$2:$A$201&amp;"|"&amp;Financials!$B$2:$B$201,Financials!$AD$2:$AD$201,""))),"",IF(_xlfn.XLOOKUP($A5&amp;"|"&amp;$C5,Financials!$A$2:$A$201&amp;"|"&amp;Financials!$B$2:$B$201,Financials!$AD$2:$AD$201,"")&gt;=Scoring_Criteria!$D$10,5,IF(_xlfn.XLOOKUP($A5&amp;"|"&amp;$C5,Financials!$A$2:$A$201&amp;"|"&amp;Financials!$B$2:$B$201,Financials!$AD$2:$AD$201,"")&gt;=Scoring_Criteria!$E$10,4,IF(_xlfn.XLOOKUP($A5&amp;"|"&amp;$C5,Financials!$A$2:$A$201&amp;"|"&amp;Financials!$B$2:$B$201,Financials!$AD$2:$AD$201,"")&gt;=Scoring_Criteria!$F$10,3,IF(_xlfn.XLOOKUP($A5&amp;"|"&amp;$C5,Financials!$A$2:$A$201&amp;"|"&amp;Financials!$B$2:$B$201,Financials!$AD$2:$AD$201,"")&gt;=Scoring_Criteria!$G$10,2,1))))),"")</f>
        <v/>
      </c>
      <c r="AE5" s="27" t="n"/>
      <c r="AF5" s="27" t="n"/>
      <c r="AG5" s="28">
        <f>IFERROR(IF(COUNTA(X5:AF5)=0,"",AVERAGE(X5:AF5)),"")</f>
        <v/>
      </c>
      <c r="AH5" s="29" t="n"/>
      <c r="AI5" s="29" t="n"/>
      <c r="AJ5" s="29" t="n"/>
      <c r="AK5" s="29" t="n"/>
      <c r="AL5" s="29" t="n"/>
      <c r="AM5" s="29" t="n"/>
      <c r="AN5" s="29" t="n"/>
      <c r="AO5" s="29" t="n"/>
      <c r="AP5" s="29" t="n"/>
      <c r="AQ5" s="29" t="n"/>
      <c r="AR5" s="29" t="n"/>
      <c r="AS5" s="29" t="n"/>
      <c r="AT5" s="29" t="n"/>
      <c r="AU5" s="46">
        <f>IFERROR(Validation_Summary!Q5,"")</f>
        <v/>
      </c>
    </row>
    <row r="6" ht="15" customHeight="1" s="67">
      <c r="A6" s="6" t="inlineStr">
        <is>
          <t>PT Andira Agro Tbk</t>
        </is>
      </c>
      <c r="B6" s="19">
        <f t="array" ref="B6">IFERROR(_xlfn.XLOOKUP($A6&amp;"|"&amp;$C6,'Company_Master'!$A$2:$A$94&amp;"|"&amp;'Company_Master'!$D$2:$D$94,'Company_Master'!$B$2:$B$94,""),"")</f>
        <v/>
      </c>
      <c r="C6" s="98" t="n">
        <v>2023</v>
      </c>
      <c r="D6" s="19">
        <f t="array" ref="D6">IFERROR(_xlfn.XLOOKUP($A6&amp;"|"&amp;$C6,'Company_Master'!$A$2:$A$94&amp;"|"&amp;'Company_Master'!$D$2:$D$94,'Company_Master'!$H$2:$H$94,""),"")</f>
        <v/>
      </c>
      <c r="E6" s="98">
        <f t="array" ref="E6">IFERROR(_xlfn.XLOOKUP($A6&amp;"|"&amp;$C6,Asset_Operations!$A$2:$A$201&amp;"|"&amp;Asset_Operations!$BG$2:$BG$201,Asset_Operations!$B$2:$B$201,""),"")</f>
        <v/>
      </c>
      <c r="F6" s="98">
        <f t="array" ref="F6">IFERROR(_xlfn.XLOOKUP($A6&amp;"|"&amp;$C6,Asset_Operations!$A$2:$A$201&amp;"|"&amp;Asset_Operations!$BG$2:$BG$201,Asset_Operations!$E$2:$E$201,""),"")</f>
        <v/>
      </c>
      <c r="G6" s="98">
        <f t="array" ref="G6">IFERROR(_xlfn.XLOOKUP($A6&amp;"|"&amp;$C6,Asset_Operations!$A$2:$A$201&amp;"|"&amp;Asset_Operations!$BG$2:$BG$201,Asset_Operations!$I$2:$I$201,""),"")</f>
        <v/>
      </c>
      <c r="H6" s="98">
        <f t="array" ref="H6">IFERROR(_xlfn.XLOOKUP($A6&amp;"|"&amp;$C6,Asset_Operations!$A$2:$A$201&amp;"|"&amp;Asset_Operations!$BG$2:$BG$201,Asset_Operations!$J$2:$J$201,""),"")</f>
        <v/>
      </c>
      <c r="I6" s="98">
        <f t="array" ref="I6">IFERROR(_xlfn.XLOOKUP($A6&amp;"|"&amp;$C6,Asset_Operations!$A$2:$A$201&amp;"|"&amp;Asset_Operations!$BG$2:$BG$201,Asset_Operations!$O$2:$O$201,""),"")</f>
        <v/>
      </c>
      <c r="J6" s="98">
        <f t="array" ref="J6">IFERROR(_xlfn.XLOOKUP($A6&amp;"|"&amp;$C6,Asset_Operations!$A$2:$A$201&amp;"|"&amp;Asset_Operations!$BG$2:$BG$201,Asset_Operations!$S$2:$S$201,""),"")</f>
        <v/>
      </c>
      <c r="K6" s="98">
        <f t="array" ref="K6">IFERROR(_xlfn.XLOOKUP($A6&amp;"|"&amp;$C6,Asset_Operations!$A$2:$A$201&amp;"|"&amp;Asset_Operations!$BG$2:$BG$201,Asset_Operations!$AC$2:$AC$201,""),"")</f>
        <v/>
      </c>
      <c r="L6" s="98">
        <f t="array" ref="L6">IFERROR(_xlfn.XLOOKUP($A6&amp;"|"&amp;$C6,Asset_Operations!$A$2:$A$201&amp;"|"&amp;Asset_Operations!$BG$2:$BG$201,Asset_Operations!$AG$2:$AG$201,""),"")</f>
        <v/>
      </c>
      <c r="M6" s="98">
        <f t="array" ref="M6">IFERROR(_xlfn.XLOOKUP($A6&amp;"|"&amp;$C6,Asset_Operations!$A$2:$A$201&amp;"|"&amp;Asset_Operations!$BG$2:$BG$201,Asset_Operations!$AO$2:$AO$201,""),"")</f>
        <v/>
      </c>
      <c r="N6" s="99">
        <f t="array" ref="N6">IFERROR(_xlfn.XLOOKUP($A6&amp;"|"&amp;$C6,Asset_Operations!$A$2:$A$201&amp;"|"&amp;Asset_Operations!$BG$2:$BG$201,Asset_Operations!$AR$2:$AR$201,""),"")</f>
        <v/>
      </c>
      <c r="O6" s="100">
        <f t="array" ref="O6">IFERROR(_xlfn.XLOOKUP($A6&amp;"|"&amp;$C6,Financials!$A$2:$A$201&amp;"|"&amp;Financials!$B$2:$B$201,Financials!$C$2:$C$201,""),"")</f>
        <v/>
      </c>
      <c r="P6" s="100">
        <f t="array" ref="P6">IFERROR(_xlfn.XLOOKUP($A6&amp;"|"&amp;$C6,Financials!$A$2:$A$201&amp;"|"&amp;Financials!$B$2:$B$201,Financials!$E$2:$E$201,""),"")</f>
        <v/>
      </c>
      <c r="Q6" s="100">
        <f t="array" ref="Q6">IFERROR(_xlfn.XLOOKUP($A6&amp;"|"&amp;$C6,Financials!$A$2:$A$201&amp;"|"&amp;Financials!$B$2:$B$201,Financials!$G$2:$G$201,""),"")</f>
        <v/>
      </c>
      <c r="R6" s="100">
        <f t="array" ref="R6">IFERROR(_xlfn.XLOOKUP($A6&amp;"|"&amp;$C6,Financials!$A$2:$A$201&amp;"|"&amp;Financials!$B$2:$B$201,Financials!$S$2:$S$201,""),"")</f>
        <v/>
      </c>
      <c r="S6" s="100">
        <f t="array" ref="S6">IFERROR(_xlfn.XLOOKUP($A6&amp;"|"&amp;$C6,Financials!$A$2:$A$201&amp;"|"&amp;Financials!$B$2:$B$201,Financials!$AC$2:$AC$201,""),"")</f>
        <v/>
      </c>
      <c r="T6" s="101">
        <f>IFERROR(P6/O6,"")</f>
        <v/>
      </c>
      <c r="U6" s="24">
        <f>IFERROR(R6/P6,"")</f>
        <v/>
      </c>
      <c r="V6" s="102">
        <f>IFERROR(O6/E6,"")</f>
        <v/>
      </c>
      <c r="W6" s="24">
        <f>IFERROR(L6/F6,"")</f>
        <v/>
      </c>
      <c r="X6" s="26">
        <f>IFERROR(IF(NOT(ISNUMBER($E6)),"",IF($E6&gt;=Scoring_Criteria!$D$4,5,IF($E6&gt;=Scoring_Criteria!$E$4,4,IF($E6&gt;=Scoring_Criteria!$F$4,3,IF($E6&gt;=Scoring_Criteria!$G$4,2,1))))),"")</f>
        <v/>
      </c>
      <c r="Y6" s="26">
        <f>IFERROR(IF(OR(NOT(ISNUMBER($F6)),NOT(ISNUMBER($E6)),$E6=0),"",IF(($F6/$E6)&gt;=Scoring_Criteria!$D$5,5,IF(($F6/$E6)&gt;=Scoring_Criteria!$E$5,4,IF(($F6/$E6)&gt;=Scoring_Criteria!$F$5,3,IF(($F6/$E6)&gt;=Scoring_Criteria!$G$5,2,1))))),"")</f>
        <v/>
      </c>
      <c r="Z6" s="26">
        <f>IFERROR(IF(AND(NOT(ISNUMBER($I6)),NOT(ISNUMBER($J6))),"",IF((IFERROR($I6,0)+IFERROR($J6,0))&gt;=Scoring_Criteria!$D$6,5,IF((IFERROR($I6,0)+IFERROR($J6,0))&gt;=Scoring_Criteria!$E$6,4,IF((IFERROR($I6,0)+IFERROR($J6,0))&gt;=Scoring_Criteria!$F$6,3,IF((IFERROR($I6,0)+IFERROR($J6,0))&gt;=Scoring_Criteria!$G$6,2,1))))),"")</f>
        <v/>
      </c>
      <c r="AA6" s="26">
        <f>IFERROR(IF(NOT(ISNUMBER($M6)),"",IF($M6&gt;=Scoring_Criteria!$D$7,5,IF($M6&gt;=Scoring_Criteria!$E$7,4,IF($M6&gt;=Scoring_Criteria!$F$7,3,IF($M6&gt;=Scoring_Criteria!$G$7,2,1))))),"")</f>
        <v/>
      </c>
      <c r="AB6" s="26">
        <f>IFERROR(IF(NOT(ISNUMBER($T6)),"",IF($T6&gt;=Scoring_Criteria!$D$8,5,IF($T6&gt;=Scoring_Criteria!$E$8,4,IF($T6&gt;=Scoring_Criteria!$F$8,3,IF($T6&gt;=Scoring_Criteria!$G$8,2,1))))),"")</f>
        <v/>
      </c>
      <c r="AC6" s="26">
        <f>IFERROR(IF(NOT(ISNUMBER($U6)),"",IF($U6&lt;=Scoring_Criteria!$D$9,5,IF($U6&lt;=Scoring_Criteria!$E$9,4,IF($U6&lt;=Scoring_Criteria!$F$9,3,IF($U6&lt;=Scoring_Criteria!$G$9,2,1))))),"")</f>
        <v/>
      </c>
      <c r="AD6" s="26">
        <f t="array" ref="AD6">IFERROR(IF(NOT(ISNUMBER(_xlfn.XLOOKUP($A6&amp;"|"&amp;$C6,Financials!$A$2:$A$201&amp;"|"&amp;Financials!$B$2:$B$201,Financials!$AD$2:$AD$201,""))),"",IF(_xlfn.XLOOKUP($A6&amp;"|"&amp;$C6,Financials!$A$2:$A$201&amp;"|"&amp;Financials!$B$2:$B$201,Financials!$AD$2:$AD$201,"")&gt;=Scoring_Criteria!$D$10,5,IF(_xlfn.XLOOKUP($A6&amp;"|"&amp;$C6,Financials!$A$2:$A$201&amp;"|"&amp;Financials!$B$2:$B$201,Financials!$AD$2:$AD$201,"")&gt;=Scoring_Criteria!$E$10,4,IF(_xlfn.XLOOKUP($A6&amp;"|"&amp;$C6,Financials!$A$2:$A$201&amp;"|"&amp;Financials!$B$2:$B$201,Financials!$AD$2:$AD$201,"")&gt;=Scoring_Criteria!$F$10,3,IF(_xlfn.XLOOKUP($A6&amp;"|"&amp;$C6,Financials!$A$2:$A$201&amp;"|"&amp;Financials!$B$2:$B$201,Financials!$AD$2:$AD$201,"")&gt;=Scoring_Criteria!$G$10,2,1))))),"")</f>
        <v/>
      </c>
      <c r="AE6" s="27" t="n"/>
      <c r="AF6" s="27" t="n"/>
      <c r="AG6" s="28">
        <f>IFERROR(IF(COUNTA(X6:AF6)=0,"",AVERAGE(X6:AF6)),"")</f>
        <v/>
      </c>
      <c r="AH6" s="29" t="n"/>
      <c r="AI6" s="29" t="n"/>
      <c r="AJ6" s="29" t="n"/>
      <c r="AK6" s="29" t="n"/>
      <c r="AL6" s="29" t="n"/>
      <c r="AM6" s="29" t="n"/>
      <c r="AN6" s="29" t="n"/>
      <c r="AO6" s="29" t="n"/>
      <c r="AP6" s="29" t="n"/>
      <c r="AQ6" s="29" t="n"/>
      <c r="AR6" s="29" t="n"/>
      <c r="AS6" s="29" t="n"/>
      <c r="AT6" s="29" t="n"/>
      <c r="AU6" s="46">
        <f>IFERROR(Validation_Summary!Q5,"")</f>
        <v/>
      </c>
    </row>
    <row r="7" ht="15" customHeight="1" s="67">
      <c r="A7" s="6" t="inlineStr">
        <is>
          <t>PT Andira Agro Tbk</t>
        </is>
      </c>
      <c r="B7" s="19">
        <f t="array" ref="B7">IFERROR(_xlfn.XLOOKUP($A7&amp;"|"&amp;$C7,'Company_Master'!$A$2:$A$94&amp;"|"&amp;'Company_Master'!$D$2:$D$94,'Company_Master'!$B$2:$B$94,""),"")</f>
        <v/>
      </c>
      <c r="C7" s="98" t="n">
        <v>2024</v>
      </c>
      <c r="D7" s="19">
        <f t="array" ref="D7">IFERROR(_xlfn.XLOOKUP($A7&amp;"|"&amp;$C7,'Company_Master'!$A$2:$A$94&amp;"|"&amp;'Company_Master'!$D$2:$D$94,'Company_Master'!$H$2:$H$94,""),"")</f>
        <v/>
      </c>
      <c r="E7" s="98">
        <f t="array" ref="E7">IFERROR(_xlfn.XLOOKUP($A7&amp;"|"&amp;$C7,Asset_Operations!$A$2:$A$201&amp;"|"&amp;Asset_Operations!$BG$2:$BG$201,Asset_Operations!$B$2:$B$201,""),"")</f>
        <v/>
      </c>
      <c r="F7" s="98">
        <f t="array" ref="F7">IFERROR(_xlfn.XLOOKUP($A7&amp;"|"&amp;$C7,Asset_Operations!$A$2:$A$201&amp;"|"&amp;Asset_Operations!$BG$2:$BG$201,Asset_Operations!$E$2:$E$201,""),"")</f>
        <v/>
      </c>
      <c r="G7" s="98">
        <f t="array" ref="G7">IFERROR(_xlfn.XLOOKUP($A7&amp;"|"&amp;$C7,Asset_Operations!$A$2:$A$201&amp;"|"&amp;Asset_Operations!$BG$2:$BG$201,Asset_Operations!$I$2:$I$201,""),"")</f>
        <v/>
      </c>
      <c r="H7" s="98">
        <f t="array" ref="H7">IFERROR(_xlfn.XLOOKUP($A7&amp;"|"&amp;$C7,Asset_Operations!$A$2:$A$201&amp;"|"&amp;Asset_Operations!$BG$2:$BG$201,Asset_Operations!$J$2:$J$201,""),"")</f>
        <v/>
      </c>
      <c r="I7" s="98">
        <f t="array" ref="I7">IFERROR(_xlfn.XLOOKUP($A7&amp;"|"&amp;$C7,Asset_Operations!$A$2:$A$201&amp;"|"&amp;Asset_Operations!$BG$2:$BG$201,Asset_Operations!$O$2:$O$201,""),"")</f>
        <v/>
      </c>
      <c r="J7" s="98">
        <f t="array" ref="J7">IFERROR(_xlfn.XLOOKUP($A7&amp;"|"&amp;$C7,Asset_Operations!$A$2:$A$201&amp;"|"&amp;Asset_Operations!$BG$2:$BG$201,Asset_Operations!$S$2:$S$201,""),"")</f>
        <v/>
      </c>
      <c r="K7" s="98">
        <f t="array" ref="K7">IFERROR(_xlfn.XLOOKUP($A7&amp;"|"&amp;$C7,Asset_Operations!$A$2:$A$201&amp;"|"&amp;Asset_Operations!$BG$2:$BG$201,Asset_Operations!$AC$2:$AC$201,""),"")</f>
        <v/>
      </c>
      <c r="L7" s="98">
        <f t="array" ref="L7">IFERROR(_xlfn.XLOOKUP($A7&amp;"|"&amp;$C7,Asset_Operations!$A$2:$A$201&amp;"|"&amp;Asset_Operations!$BG$2:$BG$201,Asset_Operations!$AG$2:$AG$201,""),"")</f>
        <v/>
      </c>
      <c r="M7" s="98">
        <f t="array" ref="M7">IFERROR(_xlfn.XLOOKUP($A7&amp;"|"&amp;$C7,Asset_Operations!$A$2:$A$201&amp;"|"&amp;Asset_Operations!$BG$2:$BG$201,Asset_Operations!$AO$2:$AO$201,""),"")</f>
        <v/>
      </c>
      <c r="N7" s="99">
        <f t="array" ref="N7">IFERROR(_xlfn.XLOOKUP($A7&amp;"|"&amp;$C7,Asset_Operations!$A$2:$A$201&amp;"|"&amp;Asset_Operations!$BG$2:$BG$201,Asset_Operations!$AR$2:$AR$201,""),"")</f>
        <v/>
      </c>
      <c r="O7" s="100">
        <f t="array" ref="O7">IFERROR(_xlfn.XLOOKUP($A7&amp;"|"&amp;$C7,Financials!$A$2:$A$201&amp;"|"&amp;Financials!$B$2:$B$201,Financials!$C$2:$C$201,""),"")</f>
        <v/>
      </c>
      <c r="P7" s="100">
        <f t="array" ref="P7">IFERROR(_xlfn.XLOOKUP($A7&amp;"|"&amp;$C7,Financials!$A$2:$A$201&amp;"|"&amp;Financials!$B$2:$B$201,Financials!$E$2:$E$201,""),"")</f>
        <v/>
      </c>
      <c r="Q7" s="100">
        <f t="array" ref="Q7">IFERROR(_xlfn.XLOOKUP($A7&amp;"|"&amp;$C7,Financials!$A$2:$A$201&amp;"|"&amp;Financials!$B$2:$B$201,Financials!$G$2:$G$201,""),"")</f>
        <v/>
      </c>
      <c r="R7" s="100">
        <f t="array" ref="R7">IFERROR(_xlfn.XLOOKUP($A7&amp;"|"&amp;$C7,Financials!$A$2:$A$201&amp;"|"&amp;Financials!$B$2:$B$201,Financials!$S$2:$S$201,""),"")</f>
        <v/>
      </c>
      <c r="S7" s="100">
        <f t="array" ref="S7">IFERROR(_xlfn.XLOOKUP($A7&amp;"|"&amp;$C7,Financials!$A$2:$A$201&amp;"|"&amp;Financials!$B$2:$B$201,Financials!$AC$2:$AC$201,""),"")</f>
        <v/>
      </c>
      <c r="T7" s="101">
        <f>IFERROR(P7/O7,"")</f>
        <v/>
      </c>
      <c r="U7" s="24">
        <f>IFERROR(R7/P7,"")</f>
        <v/>
      </c>
      <c r="V7" s="102">
        <f>IFERROR(O7/E7,"")</f>
        <v/>
      </c>
      <c r="W7" s="24">
        <f>IFERROR(L7/F7,"")</f>
        <v/>
      </c>
      <c r="X7" s="26">
        <f>IFERROR(IF(NOT(ISNUMBER($E7)),"",IF($E7&gt;=Scoring_Criteria!$D$4,5,IF($E7&gt;=Scoring_Criteria!$E$4,4,IF($E7&gt;=Scoring_Criteria!$F$4,3,IF($E7&gt;=Scoring_Criteria!$G$4,2,1))))),"")</f>
        <v/>
      </c>
      <c r="Y7" s="26">
        <f>IFERROR(IF(OR(NOT(ISNUMBER($F7)),NOT(ISNUMBER($E7)),$E7=0),"",IF(($F7/$E7)&gt;=Scoring_Criteria!$D$5,5,IF(($F7/$E7)&gt;=Scoring_Criteria!$E$5,4,IF(($F7/$E7)&gt;=Scoring_Criteria!$F$5,3,IF(($F7/$E7)&gt;=Scoring_Criteria!$G$5,2,1))))),"")</f>
        <v/>
      </c>
      <c r="Z7" s="26">
        <f>IFERROR(IF(AND(NOT(ISNUMBER($I7)),NOT(ISNUMBER($J7))),"",IF((IFERROR($I7,0)+IFERROR($J7,0))&gt;=Scoring_Criteria!$D$6,5,IF((IFERROR($I7,0)+IFERROR($J7,0))&gt;=Scoring_Criteria!$E$6,4,IF((IFERROR($I7,0)+IFERROR($J7,0))&gt;=Scoring_Criteria!$F$6,3,IF((IFERROR($I7,0)+IFERROR($J7,0))&gt;=Scoring_Criteria!$G$6,2,1))))),"")</f>
        <v/>
      </c>
      <c r="AA7" s="26">
        <f>IFERROR(IF(NOT(ISNUMBER($M7)),"",IF($M7&gt;=Scoring_Criteria!$D$7,5,IF($M7&gt;=Scoring_Criteria!$E$7,4,IF($M7&gt;=Scoring_Criteria!$F$7,3,IF($M7&gt;=Scoring_Criteria!$G$7,2,1))))),"")</f>
        <v/>
      </c>
      <c r="AB7" s="26">
        <f>IFERROR(IF(NOT(ISNUMBER($T7)),"",IF($T7&gt;=Scoring_Criteria!$D$8,5,IF($T7&gt;=Scoring_Criteria!$E$8,4,IF($T7&gt;=Scoring_Criteria!$F$8,3,IF($T7&gt;=Scoring_Criteria!$G$8,2,1))))),"")</f>
        <v/>
      </c>
      <c r="AC7" s="26">
        <f>IFERROR(IF(NOT(ISNUMBER($U7)),"",IF($U7&lt;=Scoring_Criteria!$D$9,5,IF($U7&lt;=Scoring_Criteria!$E$9,4,IF($U7&lt;=Scoring_Criteria!$F$9,3,IF($U7&lt;=Scoring_Criteria!$G$9,2,1))))),"")</f>
        <v/>
      </c>
      <c r="AD7" s="26">
        <f t="array" ref="AD7">IFERROR(IF(NOT(ISNUMBER(_xlfn.XLOOKUP($A7&amp;"|"&amp;$C7,Financials!$A$2:$A$201&amp;"|"&amp;Financials!$B$2:$B$201,Financials!$AD$2:$AD$201,""))),"",IF(_xlfn.XLOOKUP($A7&amp;"|"&amp;$C7,Financials!$A$2:$A$201&amp;"|"&amp;Financials!$B$2:$B$201,Financials!$AD$2:$AD$201,"")&gt;=Scoring_Criteria!$D$10,5,IF(_xlfn.XLOOKUP($A7&amp;"|"&amp;$C7,Financials!$A$2:$A$201&amp;"|"&amp;Financials!$B$2:$B$201,Financials!$AD$2:$AD$201,"")&gt;=Scoring_Criteria!$E$10,4,IF(_xlfn.XLOOKUP($A7&amp;"|"&amp;$C7,Financials!$A$2:$A$201&amp;"|"&amp;Financials!$B$2:$B$201,Financials!$AD$2:$AD$201,"")&gt;=Scoring_Criteria!$F$10,3,IF(_xlfn.XLOOKUP($A7&amp;"|"&amp;$C7,Financials!$A$2:$A$201&amp;"|"&amp;Financials!$B$2:$B$201,Financials!$AD$2:$AD$201,"")&gt;=Scoring_Criteria!$G$10,2,1))))),"")</f>
        <v/>
      </c>
      <c r="AE7" s="27" t="n"/>
      <c r="AF7" s="27" t="n"/>
      <c r="AG7" s="28">
        <f>IFERROR(IF(COUNTA(X7:AF7)=0,"",AVERAGE(X7:AF7)),"")</f>
        <v/>
      </c>
      <c r="AH7" s="29" t="n"/>
      <c r="AI7" s="29" t="n"/>
      <c r="AJ7" s="29" t="n"/>
      <c r="AK7" s="29" t="n"/>
      <c r="AL7" s="29" t="n"/>
      <c r="AM7" s="29" t="n"/>
      <c r="AN7" s="29" t="n"/>
      <c r="AO7" s="29" t="n"/>
      <c r="AP7" s="29" t="n"/>
      <c r="AQ7" s="29" t="n"/>
      <c r="AR7" s="29" t="n"/>
      <c r="AS7" s="29" t="n"/>
      <c r="AT7" s="29" t="n"/>
      <c r="AU7" s="46">
        <f>IFERROR(Validation_Summary!Q5,"")</f>
        <v/>
      </c>
    </row>
    <row r="8" ht="15" customHeight="1" s="67">
      <c r="A8" s="6" t="inlineStr">
        <is>
          <t>PT Austindo Nusantara Jaya Tbk</t>
        </is>
      </c>
      <c r="B8" s="19">
        <f t="array" ref="B8">IFERROR(_xlfn.XLOOKUP($A8&amp;"|"&amp;$C8,'Company_Master'!$A$2:$A$94&amp;"|"&amp;'Company_Master'!$D$2:$D$94,'Company_Master'!$B$2:$B$94,""),"")</f>
        <v/>
      </c>
      <c r="C8" s="98" t="n">
        <v>2023</v>
      </c>
      <c r="D8" s="19">
        <f t="array" ref="D8">IFERROR(_xlfn.XLOOKUP($A8&amp;"|"&amp;$C8,'Company_Master'!$A$2:$A$94&amp;"|"&amp;'Company_Master'!$D$2:$D$94,'Company_Master'!$H$2:$H$94,""),"")</f>
        <v/>
      </c>
      <c r="E8" s="98">
        <f t="array" ref="E8">IFERROR(_xlfn.XLOOKUP($A8&amp;"|"&amp;$C8,Asset_Operations!$A$2:$A$201&amp;"|"&amp;Asset_Operations!$BG$2:$BG$201,Asset_Operations!$B$2:$B$201,""),"")</f>
        <v/>
      </c>
      <c r="F8" s="98">
        <f t="array" ref="F8">IFERROR(_xlfn.XLOOKUP($A8&amp;"|"&amp;$C8,Asset_Operations!$A$2:$A$201&amp;"|"&amp;Asset_Operations!$BG$2:$BG$201,Asset_Operations!$E$2:$E$201,""),"")</f>
        <v/>
      </c>
      <c r="G8" s="98">
        <f t="array" ref="G8">IFERROR(_xlfn.XLOOKUP($A8&amp;"|"&amp;$C8,Asset_Operations!$A$2:$A$201&amp;"|"&amp;Asset_Operations!$BG$2:$BG$201,Asset_Operations!$I$2:$I$201,""),"")</f>
        <v/>
      </c>
      <c r="H8" s="98">
        <f t="array" ref="H8">IFERROR(_xlfn.XLOOKUP($A8&amp;"|"&amp;$C8,Asset_Operations!$A$2:$A$201&amp;"|"&amp;Asset_Operations!$BG$2:$BG$201,Asset_Operations!$J$2:$J$201,""),"")</f>
        <v/>
      </c>
      <c r="I8" s="98">
        <f t="array" ref="I8">IFERROR(_xlfn.XLOOKUP($A8&amp;"|"&amp;$C8,Asset_Operations!$A$2:$A$201&amp;"|"&amp;Asset_Operations!$BG$2:$BG$201,Asset_Operations!$O$2:$O$201,""),"")</f>
        <v/>
      </c>
      <c r="J8" s="98">
        <f t="array" ref="J8">IFERROR(_xlfn.XLOOKUP($A8&amp;"|"&amp;$C8,Asset_Operations!$A$2:$A$201&amp;"|"&amp;Asset_Operations!$BG$2:$BG$201,Asset_Operations!$S$2:$S$201,""),"")</f>
        <v/>
      </c>
      <c r="K8" s="98">
        <f t="array" ref="K8">IFERROR(_xlfn.XLOOKUP($A8&amp;"|"&amp;$C8,Asset_Operations!$A$2:$A$201&amp;"|"&amp;Asset_Operations!$BG$2:$BG$201,Asset_Operations!$AC$2:$AC$201,""),"")</f>
        <v/>
      </c>
      <c r="L8" s="98">
        <f t="array" ref="L8">IFERROR(_xlfn.XLOOKUP($A8&amp;"|"&amp;$C8,Asset_Operations!$A$2:$A$201&amp;"|"&amp;Asset_Operations!$BG$2:$BG$201,Asset_Operations!$AG$2:$AG$201,""),"")</f>
        <v/>
      </c>
      <c r="M8" s="98">
        <f t="array" ref="M8">IFERROR(_xlfn.XLOOKUP($A8&amp;"|"&amp;$C8,Asset_Operations!$A$2:$A$201&amp;"|"&amp;Asset_Operations!$BG$2:$BG$201,Asset_Operations!$AO$2:$AO$201,""),"")</f>
        <v/>
      </c>
      <c r="N8" s="99">
        <f t="array" ref="N8">IFERROR(_xlfn.XLOOKUP($A8&amp;"|"&amp;$C8,Asset_Operations!$A$2:$A$201&amp;"|"&amp;Asset_Operations!$BG$2:$BG$201,Asset_Operations!$AR$2:$AR$201,""),"")</f>
        <v/>
      </c>
      <c r="O8" s="100">
        <f t="array" ref="O8">IFERROR(_xlfn.XLOOKUP($A8&amp;"|"&amp;$C8,Financials!$A$2:$A$201&amp;"|"&amp;Financials!$B$2:$B$201,Financials!$C$2:$C$201,""),"")</f>
        <v/>
      </c>
      <c r="P8" s="100">
        <f t="array" ref="P8">IFERROR(_xlfn.XLOOKUP($A8&amp;"|"&amp;$C8,Financials!$A$2:$A$201&amp;"|"&amp;Financials!$B$2:$B$201,Financials!$E$2:$E$201,""),"")</f>
        <v/>
      </c>
      <c r="Q8" s="100">
        <f t="array" ref="Q8">IFERROR(_xlfn.XLOOKUP($A8&amp;"|"&amp;$C8,Financials!$A$2:$A$201&amp;"|"&amp;Financials!$B$2:$B$201,Financials!$G$2:$G$201,""),"")</f>
        <v/>
      </c>
      <c r="R8" s="100">
        <f t="array" ref="R8">IFERROR(_xlfn.XLOOKUP($A8&amp;"|"&amp;$C8,Financials!$A$2:$A$201&amp;"|"&amp;Financials!$B$2:$B$201,Financials!$S$2:$S$201,""),"")</f>
        <v/>
      </c>
      <c r="S8" s="100">
        <f t="array" ref="S8">IFERROR(_xlfn.XLOOKUP($A8&amp;"|"&amp;$C8,Financials!$A$2:$A$201&amp;"|"&amp;Financials!$B$2:$B$201,Financials!$AC$2:$AC$201,""),"")</f>
        <v/>
      </c>
      <c r="T8" s="101">
        <f>IFERROR(P8/O8,"")</f>
        <v/>
      </c>
      <c r="U8" s="24">
        <f>IFERROR(R8/P8,"")</f>
        <v/>
      </c>
      <c r="V8" s="102">
        <f>IFERROR(O8/E8,"")</f>
        <v/>
      </c>
      <c r="W8" s="24">
        <f>IFERROR(L8/F8,"")</f>
        <v/>
      </c>
      <c r="X8" s="26">
        <f>IFERROR(IF(NOT(ISNUMBER($E8)),"",IF($E8&gt;=Scoring_Criteria!$D$4,5,IF($E8&gt;=Scoring_Criteria!$E$4,4,IF($E8&gt;=Scoring_Criteria!$F$4,3,IF($E8&gt;=Scoring_Criteria!$G$4,2,1))))),"")</f>
        <v/>
      </c>
      <c r="Y8" s="26">
        <f>IFERROR(IF(OR(NOT(ISNUMBER($F8)),NOT(ISNUMBER($E8)),$E8=0),"",IF(($F8/$E8)&gt;=Scoring_Criteria!$D$5,5,IF(($F8/$E8)&gt;=Scoring_Criteria!$E$5,4,IF(($F8/$E8)&gt;=Scoring_Criteria!$F$5,3,IF(($F8/$E8)&gt;=Scoring_Criteria!$G$5,2,1))))),"")</f>
        <v/>
      </c>
      <c r="Z8" s="26">
        <f>IFERROR(IF(AND(NOT(ISNUMBER($I8)),NOT(ISNUMBER($J8))),"",IF((IFERROR($I8,0)+IFERROR($J8,0))&gt;=Scoring_Criteria!$D$6,5,IF((IFERROR($I8,0)+IFERROR($J8,0))&gt;=Scoring_Criteria!$E$6,4,IF((IFERROR($I8,0)+IFERROR($J8,0))&gt;=Scoring_Criteria!$F$6,3,IF((IFERROR($I8,0)+IFERROR($J8,0))&gt;=Scoring_Criteria!$G$6,2,1))))),"")</f>
        <v/>
      </c>
      <c r="AA8" s="26">
        <f>IFERROR(IF(NOT(ISNUMBER($M8)),"",IF($M8&gt;=Scoring_Criteria!$D$7,5,IF($M8&gt;=Scoring_Criteria!$E$7,4,IF($M8&gt;=Scoring_Criteria!$F$7,3,IF($M8&gt;=Scoring_Criteria!$G$7,2,1))))),"")</f>
        <v/>
      </c>
      <c r="AB8" s="26">
        <f>IFERROR(IF(NOT(ISNUMBER($T8)),"",IF($T8&gt;=Scoring_Criteria!$D$8,5,IF($T8&gt;=Scoring_Criteria!$E$8,4,IF($T8&gt;=Scoring_Criteria!$F$8,3,IF($T8&gt;=Scoring_Criteria!$G$8,2,1))))),"")</f>
        <v/>
      </c>
      <c r="AC8" s="26">
        <f>IFERROR(IF(NOT(ISNUMBER($U8)),"",IF($U8&lt;=Scoring_Criteria!$D$9,5,IF($U8&lt;=Scoring_Criteria!$E$9,4,IF($U8&lt;=Scoring_Criteria!$F$9,3,IF($U8&lt;=Scoring_Criteria!$G$9,2,1))))),"")</f>
        <v/>
      </c>
      <c r="AD8" s="26">
        <f t="array" ref="AD8">IFERROR(IF(NOT(ISNUMBER(_xlfn.XLOOKUP($A8&amp;"|"&amp;$C8,Financials!$A$2:$A$201&amp;"|"&amp;Financials!$B$2:$B$201,Financials!$AD$2:$AD$201,""))),"",IF(_xlfn.XLOOKUP($A8&amp;"|"&amp;$C8,Financials!$A$2:$A$201&amp;"|"&amp;Financials!$B$2:$B$201,Financials!$AD$2:$AD$201,"")&gt;=Scoring_Criteria!$D$10,5,IF(_xlfn.XLOOKUP($A8&amp;"|"&amp;$C8,Financials!$A$2:$A$201&amp;"|"&amp;Financials!$B$2:$B$201,Financials!$AD$2:$AD$201,"")&gt;=Scoring_Criteria!$E$10,4,IF(_xlfn.XLOOKUP($A8&amp;"|"&amp;$C8,Financials!$A$2:$A$201&amp;"|"&amp;Financials!$B$2:$B$201,Financials!$AD$2:$AD$201,"")&gt;=Scoring_Criteria!$F$10,3,IF(_xlfn.XLOOKUP($A8&amp;"|"&amp;$C8,Financials!$A$2:$A$201&amp;"|"&amp;Financials!$B$2:$B$201,Financials!$AD$2:$AD$201,"")&gt;=Scoring_Criteria!$G$10,2,1))))),"")</f>
        <v/>
      </c>
      <c r="AE8" s="27" t="n"/>
      <c r="AF8" s="27" t="n"/>
      <c r="AG8" s="28">
        <f>IFERROR(IF(COUNTA(X8:AF8)=0,"",AVERAGE(X8:AF8)),"")</f>
        <v/>
      </c>
      <c r="AH8" s="29" t="n"/>
      <c r="AI8" s="29" t="n"/>
      <c r="AJ8" s="29" t="n"/>
      <c r="AK8" s="29" t="n"/>
      <c r="AL8" s="29" t="n"/>
      <c r="AM8" s="29" t="n"/>
      <c r="AN8" s="29" t="n"/>
      <c r="AO8" s="29" t="n"/>
      <c r="AP8" s="29" t="n"/>
      <c r="AQ8" s="29" t="n"/>
      <c r="AR8" s="29" t="n"/>
      <c r="AS8" s="29" t="n"/>
      <c r="AT8" s="29" t="n"/>
      <c r="AU8" s="46">
        <f>IFERROR(Validation_Summary!Q5,"")</f>
        <v/>
      </c>
    </row>
    <row r="9" ht="15" customHeight="1" s="67">
      <c r="A9" s="6" t="inlineStr">
        <is>
          <t>PT Austindo Nusantara Jaya Tbk</t>
        </is>
      </c>
      <c r="B9" s="19">
        <f t="array" ref="B9">IFERROR(_xlfn.XLOOKUP($A9&amp;"|"&amp;$C9,'Company_Master'!$A$2:$A$94&amp;"|"&amp;'Company_Master'!$D$2:$D$94,'Company_Master'!$B$2:$B$94,""),"")</f>
        <v/>
      </c>
      <c r="C9" s="98" t="n">
        <v>2022</v>
      </c>
      <c r="D9" s="19">
        <f t="array" ref="D9">IFERROR(_xlfn.XLOOKUP($A9&amp;"|"&amp;$C9,'Company_Master'!$A$2:$A$94&amp;"|"&amp;'Company_Master'!$D$2:$D$94,'Company_Master'!$H$2:$H$94,""),"")</f>
        <v/>
      </c>
      <c r="E9" s="98">
        <f t="array" ref="E9">IFERROR(_xlfn.XLOOKUP($A9&amp;"|"&amp;$C9,Asset_Operations!$A$2:$A$201&amp;"|"&amp;Asset_Operations!$BG$2:$BG$201,Asset_Operations!$B$2:$B$201,""),"")</f>
        <v/>
      </c>
      <c r="F9" s="98">
        <f t="array" ref="F9">IFERROR(_xlfn.XLOOKUP($A9&amp;"|"&amp;$C9,Asset_Operations!$A$2:$A$201&amp;"|"&amp;Asset_Operations!$BG$2:$BG$201,Asset_Operations!$E$2:$E$201,""),"")</f>
        <v/>
      </c>
      <c r="G9" s="98">
        <f t="array" ref="G9">IFERROR(_xlfn.XLOOKUP($A9&amp;"|"&amp;$C9,Asset_Operations!$A$2:$A$201&amp;"|"&amp;Asset_Operations!$BG$2:$BG$201,Asset_Operations!$I$2:$I$201,""),"")</f>
        <v/>
      </c>
      <c r="H9" s="98">
        <f t="array" ref="H9">IFERROR(_xlfn.XLOOKUP($A9&amp;"|"&amp;$C9,Asset_Operations!$A$2:$A$201&amp;"|"&amp;Asset_Operations!$BG$2:$BG$201,Asset_Operations!$J$2:$J$201,""),"")</f>
        <v/>
      </c>
      <c r="I9" s="98">
        <f t="array" ref="I9">IFERROR(_xlfn.XLOOKUP($A9&amp;"|"&amp;$C9,Asset_Operations!$A$2:$A$201&amp;"|"&amp;Asset_Operations!$BG$2:$BG$201,Asset_Operations!$O$2:$O$201,""),"")</f>
        <v/>
      </c>
      <c r="J9" s="98">
        <f t="array" ref="J9">IFERROR(_xlfn.XLOOKUP($A9&amp;"|"&amp;$C9,Asset_Operations!$A$2:$A$201&amp;"|"&amp;Asset_Operations!$BG$2:$BG$201,Asset_Operations!$S$2:$S$201,""),"")</f>
        <v/>
      </c>
      <c r="K9" s="98">
        <f t="array" ref="K9">IFERROR(_xlfn.XLOOKUP($A9&amp;"|"&amp;$C9,Asset_Operations!$A$2:$A$201&amp;"|"&amp;Asset_Operations!$BG$2:$BG$201,Asset_Operations!$AC$2:$AC$201,""),"")</f>
        <v/>
      </c>
      <c r="L9" s="98">
        <f t="array" ref="L9">IFERROR(_xlfn.XLOOKUP($A9&amp;"|"&amp;$C9,Asset_Operations!$A$2:$A$201&amp;"|"&amp;Asset_Operations!$BG$2:$BG$201,Asset_Operations!$AG$2:$AG$201,""),"")</f>
        <v/>
      </c>
      <c r="M9" s="98">
        <f t="array" ref="M9">IFERROR(_xlfn.XLOOKUP($A9&amp;"|"&amp;$C9,Asset_Operations!$A$2:$A$201&amp;"|"&amp;Asset_Operations!$BG$2:$BG$201,Asset_Operations!$AO$2:$AO$201,""),"")</f>
        <v/>
      </c>
      <c r="N9" s="99">
        <f t="array" ref="N9">IFERROR(_xlfn.XLOOKUP($A9&amp;"|"&amp;$C9,Asset_Operations!$A$2:$A$201&amp;"|"&amp;Asset_Operations!$BG$2:$BG$201,Asset_Operations!$AR$2:$AR$201,""),"")</f>
        <v/>
      </c>
      <c r="O9" s="100">
        <f t="array" ref="O9">IFERROR(_xlfn.XLOOKUP($A9&amp;"|"&amp;$C9,Financials!$A$2:$A$201&amp;"|"&amp;Financials!$B$2:$B$201,Financials!$C$2:$C$201,""),"")</f>
        <v/>
      </c>
      <c r="P9" s="100">
        <f t="array" ref="P9">IFERROR(_xlfn.XLOOKUP($A9&amp;"|"&amp;$C9,Financials!$A$2:$A$201&amp;"|"&amp;Financials!$B$2:$B$201,Financials!$E$2:$E$201,""),"")</f>
        <v/>
      </c>
      <c r="Q9" s="100">
        <f t="array" ref="Q9">IFERROR(_xlfn.XLOOKUP($A9&amp;"|"&amp;$C9,Financials!$A$2:$A$201&amp;"|"&amp;Financials!$B$2:$B$201,Financials!$G$2:$G$201,""),"")</f>
        <v/>
      </c>
      <c r="R9" s="100">
        <f t="array" ref="R9">IFERROR(_xlfn.XLOOKUP($A9&amp;"|"&amp;$C9,Financials!$A$2:$A$201&amp;"|"&amp;Financials!$B$2:$B$201,Financials!$S$2:$S$201,""),"")</f>
        <v/>
      </c>
      <c r="S9" s="100">
        <f t="array" ref="S9">IFERROR(_xlfn.XLOOKUP($A9&amp;"|"&amp;$C9,Financials!$A$2:$A$201&amp;"|"&amp;Financials!$B$2:$B$201,Financials!$AC$2:$AC$201,""),"")</f>
        <v/>
      </c>
      <c r="T9" s="101">
        <f>IFERROR(P9/O9,"")</f>
        <v/>
      </c>
      <c r="U9" s="24">
        <f>IFERROR(R9/P9,"")</f>
        <v/>
      </c>
      <c r="V9" s="102">
        <f>IFERROR(O9/E9,"")</f>
        <v/>
      </c>
      <c r="W9" s="24">
        <f>IFERROR(L9/F9,"")</f>
        <v/>
      </c>
      <c r="X9" s="26">
        <f>IFERROR(IF(NOT(ISNUMBER($E9)),"",IF($E9&gt;=Scoring_Criteria!$D$4,5,IF($E9&gt;=Scoring_Criteria!$E$4,4,IF($E9&gt;=Scoring_Criteria!$F$4,3,IF($E9&gt;=Scoring_Criteria!$G$4,2,1))))),"")</f>
        <v/>
      </c>
      <c r="Y9" s="26">
        <f>IFERROR(IF(OR(NOT(ISNUMBER($F9)),NOT(ISNUMBER($E9)),$E9=0),"",IF(($F9/$E9)&gt;=Scoring_Criteria!$D$5,5,IF(($F9/$E9)&gt;=Scoring_Criteria!$E$5,4,IF(($F9/$E9)&gt;=Scoring_Criteria!$F$5,3,IF(($F9/$E9)&gt;=Scoring_Criteria!$G$5,2,1))))),"")</f>
        <v/>
      </c>
      <c r="Z9" s="26">
        <f>IFERROR(IF(AND(NOT(ISNUMBER($I9)),NOT(ISNUMBER($J9))),"",IF((IFERROR($I9,0)+IFERROR($J9,0))&gt;=Scoring_Criteria!$D$6,5,IF((IFERROR($I9,0)+IFERROR($J9,0))&gt;=Scoring_Criteria!$E$6,4,IF((IFERROR($I9,0)+IFERROR($J9,0))&gt;=Scoring_Criteria!$F$6,3,IF((IFERROR($I9,0)+IFERROR($J9,0))&gt;=Scoring_Criteria!$G$6,2,1))))),"")</f>
        <v/>
      </c>
      <c r="AA9" s="26">
        <f>IFERROR(IF(NOT(ISNUMBER($M9)),"",IF($M9&gt;=Scoring_Criteria!$D$7,5,IF($M9&gt;=Scoring_Criteria!$E$7,4,IF($M9&gt;=Scoring_Criteria!$F$7,3,IF($M9&gt;=Scoring_Criteria!$G$7,2,1))))),"")</f>
        <v/>
      </c>
      <c r="AB9" s="26">
        <f>IFERROR(IF(NOT(ISNUMBER($T9)),"",IF($T9&gt;=Scoring_Criteria!$D$8,5,IF($T9&gt;=Scoring_Criteria!$E$8,4,IF($T9&gt;=Scoring_Criteria!$F$8,3,IF($T9&gt;=Scoring_Criteria!$G$8,2,1))))),"")</f>
        <v/>
      </c>
      <c r="AC9" s="26">
        <f>IFERROR(IF(NOT(ISNUMBER($U9)),"",IF($U9&lt;=Scoring_Criteria!$D$9,5,IF($U9&lt;=Scoring_Criteria!$E$9,4,IF($U9&lt;=Scoring_Criteria!$F$9,3,IF($U9&lt;=Scoring_Criteria!$G$9,2,1))))),"")</f>
        <v/>
      </c>
      <c r="AD9" s="26">
        <f t="array" ref="AD9">IFERROR(IF(NOT(ISNUMBER(_xlfn.XLOOKUP($A9&amp;"|"&amp;$C9,Financials!$A$2:$A$201&amp;"|"&amp;Financials!$B$2:$B$201,Financials!$AD$2:$AD$201,""))),"",IF(_xlfn.XLOOKUP($A9&amp;"|"&amp;$C9,Financials!$A$2:$A$201&amp;"|"&amp;Financials!$B$2:$B$201,Financials!$AD$2:$AD$201,"")&gt;=Scoring_Criteria!$D$10,5,IF(_xlfn.XLOOKUP($A9&amp;"|"&amp;$C9,Financials!$A$2:$A$201&amp;"|"&amp;Financials!$B$2:$B$201,Financials!$AD$2:$AD$201,"")&gt;=Scoring_Criteria!$E$10,4,IF(_xlfn.XLOOKUP($A9&amp;"|"&amp;$C9,Financials!$A$2:$A$201&amp;"|"&amp;Financials!$B$2:$B$201,Financials!$AD$2:$AD$201,"")&gt;=Scoring_Criteria!$F$10,3,IF(_xlfn.XLOOKUP($A9&amp;"|"&amp;$C9,Financials!$A$2:$A$201&amp;"|"&amp;Financials!$B$2:$B$201,Financials!$AD$2:$AD$201,"")&gt;=Scoring_Criteria!$G$10,2,1))))),"")</f>
        <v/>
      </c>
      <c r="AE9" s="27" t="n"/>
      <c r="AF9" s="27" t="n"/>
      <c r="AG9" s="28">
        <f>IFERROR(IF(COUNTA(X9:AF9)=0,"",AVERAGE(X9:AF9)),"")</f>
        <v/>
      </c>
      <c r="AH9" s="29" t="n"/>
      <c r="AI9" s="29" t="n"/>
      <c r="AJ9" s="29" t="n"/>
      <c r="AK9" s="29" t="n"/>
      <c r="AL9" s="29" t="n"/>
      <c r="AM9" s="29" t="n"/>
      <c r="AN9" s="29" t="n"/>
      <c r="AO9" s="29" t="n"/>
      <c r="AP9" s="29" t="n"/>
      <c r="AQ9" s="29" t="n"/>
      <c r="AR9" s="29" t="n"/>
      <c r="AS9" s="29" t="n"/>
      <c r="AT9" s="29" t="n"/>
      <c r="AU9" s="46">
        <f>IFERROR(Validation_Summary!Q5,"")</f>
        <v/>
      </c>
    </row>
    <row r="10" ht="15" customHeight="1" s="67">
      <c r="A10" s="6" t="inlineStr">
        <is>
          <t>PT Austindo Nusantara Jaya Tbk</t>
        </is>
      </c>
      <c r="B10" s="19">
        <f t="array" ref="B10">IFERROR(_xlfn.XLOOKUP($A10&amp;"|"&amp;$C10,'Company_Master'!$A$2:$A$94&amp;"|"&amp;'Company_Master'!$D$2:$D$94,'Company_Master'!$B$2:$B$94,""),"")</f>
        <v/>
      </c>
      <c r="C10" s="98" t="n">
        <v>2024</v>
      </c>
      <c r="D10" s="19">
        <f t="array" ref="D10">IFERROR(_xlfn.XLOOKUP($A10&amp;"|"&amp;$C10,'Company_Master'!$A$2:$A$94&amp;"|"&amp;'Company_Master'!$D$2:$D$94,'Company_Master'!$H$2:$H$94,""),"")</f>
        <v/>
      </c>
      <c r="E10" s="98">
        <f t="array" ref="E10">IFERROR(_xlfn.XLOOKUP($A10&amp;"|"&amp;$C10,Asset_Operations!$A$2:$A$201&amp;"|"&amp;Asset_Operations!$BG$2:$BG$201,Asset_Operations!$B$2:$B$201,""),"")</f>
        <v/>
      </c>
      <c r="F10" s="98">
        <f t="array" ref="F10">IFERROR(_xlfn.XLOOKUP($A10&amp;"|"&amp;$C10,Asset_Operations!$A$2:$A$201&amp;"|"&amp;Asset_Operations!$BG$2:$BG$201,Asset_Operations!$E$2:$E$201,""),"")</f>
        <v/>
      </c>
      <c r="G10" s="98">
        <f t="array" ref="G10">IFERROR(_xlfn.XLOOKUP($A10&amp;"|"&amp;$C10,Asset_Operations!$A$2:$A$201&amp;"|"&amp;Asset_Operations!$BG$2:$BG$201,Asset_Operations!$I$2:$I$201,""),"")</f>
        <v/>
      </c>
      <c r="H10" s="98">
        <f t="array" ref="H10">IFERROR(_xlfn.XLOOKUP($A10&amp;"|"&amp;$C10,Asset_Operations!$A$2:$A$201&amp;"|"&amp;Asset_Operations!$BG$2:$BG$201,Asset_Operations!$J$2:$J$201,""),"")</f>
        <v/>
      </c>
      <c r="I10" s="98">
        <f t="array" ref="I10">IFERROR(_xlfn.XLOOKUP($A10&amp;"|"&amp;$C10,Asset_Operations!$A$2:$A$201&amp;"|"&amp;Asset_Operations!$BG$2:$BG$201,Asset_Operations!$O$2:$O$201,""),"")</f>
        <v/>
      </c>
      <c r="J10" s="98">
        <f t="array" ref="J10">IFERROR(_xlfn.XLOOKUP($A10&amp;"|"&amp;$C10,Asset_Operations!$A$2:$A$201&amp;"|"&amp;Asset_Operations!$BG$2:$BG$201,Asset_Operations!$S$2:$S$201,""),"")</f>
        <v/>
      </c>
      <c r="K10" s="98">
        <f t="array" ref="K10">IFERROR(_xlfn.XLOOKUP($A10&amp;"|"&amp;$C10,Asset_Operations!$A$2:$A$201&amp;"|"&amp;Asset_Operations!$BG$2:$BG$201,Asset_Operations!$AC$2:$AC$201,""),"")</f>
        <v/>
      </c>
      <c r="L10" s="98">
        <f t="array" ref="L10">IFERROR(_xlfn.XLOOKUP($A10&amp;"|"&amp;$C10,Asset_Operations!$A$2:$A$201&amp;"|"&amp;Asset_Operations!$BG$2:$BG$201,Asset_Operations!$AG$2:$AG$201,""),"")</f>
        <v/>
      </c>
      <c r="M10" s="98">
        <f t="array" ref="M10">IFERROR(_xlfn.XLOOKUP($A10&amp;"|"&amp;$C10,Asset_Operations!$A$2:$A$201&amp;"|"&amp;Asset_Operations!$BG$2:$BG$201,Asset_Operations!$AO$2:$AO$201,""),"")</f>
        <v/>
      </c>
      <c r="N10" s="99">
        <f t="array" ref="N10">IFERROR(_xlfn.XLOOKUP($A10&amp;"|"&amp;$C10,Asset_Operations!$A$2:$A$201&amp;"|"&amp;Asset_Operations!$BG$2:$BG$201,Asset_Operations!$AR$2:$AR$201,""),"")</f>
        <v/>
      </c>
      <c r="O10" s="100">
        <f t="array" ref="O10">IFERROR(_xlfn.XLOOKUP($A10&amp;"|"&amp;$C10,Financials!$A$2:$A$201&amp;"|"&amp;Financials!$B$2:$B$201,Financials!$C$2:$C$201,""),"")</f>
        <v/>
      </c>
      <c r="P10" s="100">
        <f t="array" ref="P10">IFERROR(_xlfn.XLOOKUP($A10&amp;"|"&amp;$C10,Financials!$A$2:$A$201&amp;"|"&amp;Financials!$B$2:$B$201,Financials!$E$2:$E$201,""),"")</f>
        <v/>
      </c>
      <c r="Q10" s="100">
        <f t="array" ref="Q10">IFERROR(_xlfn.XLOOKUP($A10&amp;"|"&amp;$C10,Financials!$A$2:$A$201&amp;"|"&amp;Financials!$B$2:$B$201,Financials!$G$2:$G$201,""),"")</f>
        <v/>
      </c>
      <c r="R10" s="100">
        <f t="array" ref="R10">IFERROR(_xlfn.XLOOKUP($A10&amp;"|"&amp;$C10,Financials!$A$2:$A$201&amp;"|"&amp;Financials!$B$2:$B$201,Financials!$S$2:$S$201,""),"")</f>
        <v/>
      </c>
      <c r="S10" s="100">
        <f t="array" ref="S10">IFERROR(_xlfn.XLOOKUP($A10&amp;"|"&amp;$C10,Financials!$A$2:$A$201&amp;"|"&amp;Financials!$B$2:$B$201,Financials!$AC$2:$AC$201,""),"")</f>
        <v/>
      </c>
      <c r="T10" s="101">
        <f>IFERROR(P10/O10,"")</f>
        <v/>
      </c>
      <c r="U10" s="24">
        <f>IFERROR(R10/P10,"")</f>
        <v/>
      </c>
      <c r="V10" s="102">
        <f>IFERROR(O10/E10,"")</f>
        <v/>
      </c>
      <c r="W10" s="24">
        <f>IFERROR(L10/F10,"")</f>
        <v/>
      </c>
      <c r="X10" s="26">
        <f>IFERROR(IF(NOT(ISNUMBER($E10)),"",IF($E10&gt;=Scoring_Criteria!$D$4,5,IF($E10&gt;=Scoring_Criteria!$E$4,4,IF($E10&gt;=Scoring_Criteria!$F$4,3,IF($E10&gt;=Scoring_Criteria!$G$4,2,1))))),"")</f>
        <v/>
      </c>
      <c r="Y10" s="26">
        <f>IFERROR(IF(OR(NOT(ISNUMBER($F10)),NOT(ISNUMBER($E10)),$E10=0),"",IF(($F10/$E10)&gt;=Scoring_Criteria!$D$5,5,IF(($F10/$E10)&gt;=Scoring_Criteria!$E$5,4,IF(($F10/$E10)&gt;=Scoring_Criteria!$F$5,3,IF(($F10/$E10)&gt;=Scoring_Criteria!$G$5,2,1))))),"")</f>
        <v/>
      </c>
      <c r="Z10" s="26">
        <f>IFERROR(IF(AND(NOT(ISNUMBER($I10)),NOT(ISNUMBER($J10))),"",IF((IFERROR($I10,0)+IFERROR($J10,0))&gt;=Scoring_Criteria!$D$6,5,IF((IFERROR($I10,0)+IFERROR($J10,0))&gt;=Scoring_Criteria!$E$6,4,IF((IFERROR($I10,0)+IFERROR($J10,0))&gt;=Scoring_Criteria!$F$6,3,IF((IFERROR($I10,0)+IFERROR($J10,0))&gt;=Scoring_Criteria!$G$6,2,1))))),"")</f>
        <v/>
      </c>
      <c r="AA10" s="26">
        <f>IFERROR(IF(NOT(ISNUMBER($M10)),"",IF($M10&gt;=Scoring_Criteria!$D$7,5,IF($M10&gt;=Scoring_Criteria!$E$7,4,IF($M10&gt;=Scoring_Criteria!$F$7,3,IF($M10&gt;=Scoring_Criteria!$G$7,2,1))))),"")</f>
        <v/>
      </c>
      <c r="AB10" s="26">
        <f>IFERROR(IF(NOT(ISNUMBER($T10)),"",IF($T10&gt;=Scoring_Criteria!$D$8,5,IF($T10&gt;=Scoring_Criteria!$E$8,4,IF($T10&gt;=Scoring_Criteria!$F$8,3,IF($T10&gt;=Scoring_Criteria!$G$8,2,1))))),"")</f>
        <v/>
      </c>
      <c r="AC10" s="26">
        <f>IFERROR(IF(NOT(ISNUMBER($U10)),"",IF($U10&lt;=Scoring_Criteria!$D$9,5,IF($U10&lt;=Scoring_Criteria!$E$9,4,IF($U10&lt;=Scoring_Criteria!$F$9,3,IF($U10&lt;=Scoring_Criteria!$G$9,2,1))))),"")</f>
        <v/>
      </c>
      <c r="AD10" s="26">
        <f t="array" ref="AD10">IFERROR(IF(NOT(ISNUMBER(_xlfn.XLOOKUP($A10&amp;"|"&amp;$C10,Financials!$A$2:$A$201&amp;"|"&amp;Financials!$B$2:$B$201,Financials!$AD$2:$AD$201,""))),"",IF(_xlfn.XLOOKUP($A10&amp;"|"&amp;$C10,Financials!$A$2:$A$201&amp;"|"&amp;Financials!$B$2:$B$201,Financials!$AD$2:$AD$201,"")&gt;=Scoring_Criteria!$D$10,5,IF(_xlfn.XLOOKUP($A10&amp;"|"&amp;$C10,Financials!$A$2:$A$201&amp;"|"&amp;Financials!$B$2:$B$201,Financials!$AD$2:$AD$201,"")&gt;=Scoring_Criteria!$E$10,4,IF(_xlfn.XLOOKUP($A10&amp;"|"&amp;$C10,Financials!$A$2:$A$201&amp;"|"&amp;Financials!$B$2:$B$201,Financials!$AD$2:$AD$201,"")&gt;=Scoring_Criteria!$F$10,3,IF(_xlfn.XLOOKUP($A10&amp;"|"&amp;$C10,Financials!$A$2:$A$201&amp;"|"&amp;Financials!$B$2:$B$201,Financials!$AD$2:$AD$201,"")&gt;=Scoring_Criteria!$G$10,2,1))))),"")</f>
        <v/>
      </c>
      <c r="AE10" s="27" t="n"/>
      <c r="AF10" s="27" t="n"/>
      <c r="AG10" s="28">
        <f>IFERROR(IF(COUNTA(X10:AF10)=0,"",AVERAGE(X10:AF10)),"")</f>
        <v/>
      </c>
      <c r="AH10" s="29" t="n"/>
      <c r="AI10" s="29" t="n"/>
      <c r="AJ10" s="29" t="n"/>
      <c r="AK10" s="29" t="n"/>
      <c r="AL10" s="29" t="n"/>
      <c r="AM10" s="29" t="n"/>
      <c r="AN10" s="29" t="n"/>
      <c r="AO10" s="29" t="n"/>
      <c r="AP10" s="29" t="n"/>
      <c r="AQ10" s="29" t="n"/>
      <c r="AR10" s="29" t="n"/>
      <c r="AS10" s="29" t="n"/>
      <c r="AT10" s="29" t="n"/>
      <c r="AU10" s="46">
        <f>IFERROR(Validation_Summary!Q5,"")</f>
        <v/>
      </c>
    </row>
    <row r="11" ht="15" customHeight="1" s="67">
      <c r="A11" s="6" t="inlineStr">
        <is>
          <t>PT BISI International Tbk</t>
        </is>
      </c>
      <c r="B11" s="19">
        <f t="array" ref="B11">IFERROR(_xlfn.XLOOKUP($A11&amp;"|"&amp;$C11,'Company_Master'!$A$2:$A$94&amp;"|"&amp;'Company_Master'!$D$2:$D$94,'Company_Master'!$B$2:$B$94,""),"")</f>
        <v/>
      </c>
      <c r="C11" s="98" t="n">
        <v>2023</v>
      </c>
      <c r="D11" s="19">
        <f t="array" ref="D11">IFERROR(_xlfn.XLOOKUP($A11&amp;"|"&amp;$C11,'Company_Master'!$A$2:$A$94&amp;"|"&amp;'Company_Master'!$D$2:$D$94,'Company_Master'!$H$2:$H$94,""),"")</f>
        <v/>
      </c>
      <c r="E11" s="98">
        <f t="array" ref="E11">IFERROR(_xlfn.XLOOKUP($A11&amp;"|"&amp;$C11,Asset_Operations!$A$2:$A$201&amp;"|"&amp;Asset_Operations!$BG$2:$BG$201,Asset_Operations!$B$2:$B$201,""),"")</f>
        <v/>
      </c>
      <c r="F11" s="98">
        <f t="array" ref="F11">IFERROR(_xlfn.XLOOKUP($A11&amp;"|"&amp;$C11,Asset_Operations!$A$2:$A$201&amp;"|"&amp;Asset_Operations!$BG$2:$BG$201,Asset_Operations!$E$2:$E$201,""),"")</f>
        <v/>
      </c>
      <c r="G11" s="98">
        <f t="array" ref="G11">IFERROR(_xlfn.XLOOKUP($A11&amp;"|"&amp;$C11,Asset_Operations!$A$2:$A$201&amp;"|"&amp;Asset_Operations!$BG$2:$BG$201,Asset_Operations!$I$2:$I$201,""),"")</f>
        <v/>
      </c>
      <c r="H11" s="98">
        <f t="array" ref="H11">IFERROR(_xlfn.XLOOKUP($A11&amp;"|"&amp;$C11,Asset_Operations!$A$2:$A$201&amp;"|"&amp;Asset_Operations!$BG$2:$BG$201,Asset_Operations!$J$2:$J$201,""),"")</f>
        <v/>
      </c>
      <c r="I11" s="98">
        <f t="array" ref="I11">IFERROR(_xlfn.XLOOKUP($A11&amp;"|"&amp;$C11,Asset_Operations!$A$2:$A$201&amp;"|"&amp;Asset_Operations!$BG$2:$BG$201,Asset_Operations!$O$2:$O$201,""),"")</f>
        <v/>
      </c>
      <c r="J11" s="98">
        <f t="array" ref="J11">IFERROR(_xlfn.XLOOKUP($A11&amp;"|"&amp;$C11,Asset_Operations!$A$2:$A$201&amp;"|"&amp;Asset_Operations!$BG$2:$BG$201,Asset_Operations!$S$2:$S$201,""),"")</f>
        <v/>
      </c>
      <c r="K11" s="98">
        <f t="array" ref="K11">IFERROR(_xlfn.XLOOKUP($A11&amp;"|"&amp;$C11,Asset_Operations!$A$2:$A$201&amp;"|"&amp;Asset_Operations!$BG$2:$BG$201,Asset_Operations!$AC$2:$AC$201,""),"")</f>
        <v/>
      </c>
      <c r="L11" s="98">
        <f t="array" ref="L11">IFERROR(_xlfn.XLOOKUP($A11&amp;"|"&amp;$C11,Asset_Operations!$A$2:$A$201&amp;"|"&amp;Asset_Operations!$BG$2:$BG$201,Asset_Operations!$AG$2:$AG$201,""),"")</f>
        <v/>
      </c>
      <c r="M11" s="98">
        <f t="array" ref="M11">IFERROR(_xlfn.XLOOKUP($A11&amp;"|"&amp;$C11,Asset_Operations!$A$2:$A$201&amp;"|"&amp;Asset_Operations!$BG$2:$BG$201,Asset_Operations!$AO$2:$AO$201,""),"")</f>
        <v/>
      </c>
      <c r="N11" s="99">
        <f t="array" ref="N11">IFERROR(_xlfn.XLOOKUP($A11&amp;"|"&amp;$C11,Asset_Operations!$A$2:$A$201&amp;"|"&amp;Asset_Operations!$BG$2:$BG$201,Asset_Operations!$AR$2:$AR$201,""),"")</f>
        <v/>
      </c>
      <c r="O11" s="100">
        <f t="array" ref="O11">IFERROR(_xlfn.XLOOKUP($A11&amp;"|"&amp;$C11,Financials!$A$2:$A$201&amp;"|"&amp;Financials!$B$2:$B$201,Financials!$C$2:$C$201,""),"")</f>
        <v/>
      </c>
      <c r="P11" s="100">
        <f t="array" ref="P11">IFERROR(_xlfn.XLOOKUP($A11&amp;"|"&amp;$C11,Financials!$A$2:$A$201&amp;"|"&amp;Financials!$B$2:$B$201,Financials!$E$2:$E$201,""),"")</f>
        <v/>
      </c>
      <c r="Q11" s="100">
        <f t="array" ref="Q11">IFERROR(_xlfn.XLOOKUP($A11&amp;"|"&amp;$C11,Financials!$A$2:$A$201&amp;"|"&amp;Financials!$B$2:$B$201,Financials!$G$2:$G$201,""),"")</f>
        <v/>
      </c>
      <c r="R11" s="100">
        <f t="array" ref="R11">IFERROR(_xlfn.XLOOKUP($A11&amp;"|"&amp;$C11,Financials!$A$2:$A$201&amp;"|"&amp;Financials!$B$2:$B$201,Financials!$S$2:$S$201,""),"")</f>
        <v/>
      </c>
      <c r="S11" s="100">
        <f t="array" ref="S11">IFERROR(_xlfn.XLOOKUP($A11&amp;"|"&amp;$C11,Financials!$A$2:$A$201&amp;"|"&amp;Financials!$B$2:$B$201,Financials!$AC$2:$AC$201,""),"")</f>
        <v/>
      </c>
      <c r="T11" s="101">
        <f>IFERROR(P11/O11,"")</f>
        <v/>
      </c>
      <c r="U11" s="24">
        <f>IFERROR(R11/P11,"")</f>
        <v/>
      </c>
      <c r="V11" s="102">
        <f>IFERROR(O11/E11,"")</f>
        <v/>
      </c>
      <c r="W11" s="24">
        <f>IFERROR(L11/F11,"")</f>
        <v/>
      </c>
      <c r="X11" s="26">
        <f>IFERROR(IF(NOT(ISNUMBER($E11)),"",IF($E11&gt;=Scoring_Criteria!$D$4,5,IF($E11&gt;=Scoring_Criteria!$E$4,4,IF($E11&gt;=Scoring_Criteria!$F$4,3,IF($E11&gt;=Scoring_Criteria!$G$4,2,1))))),"")</f>
        <v/>
      </c>
      <c r="Y11" s="26">
        <f>IFERROR(IF(OR(NOT(ISNUMBER($F11)),NOT(ISNUMBER($E11)),$E11=0),"",IF(($F11/$E11)&gt;=Scoring_Criteria!$D$5,5,IF(($F11/$E11)&gt;=Scoring_Criteria!$E$5,4,IF(($F11/$E11)&gt;=Scoring_Criteria!$F$5,3,IF(($F11/$E11)&gt;=Scoring_Criteria!$G$5,2,1))))),"")</f>
        <v/>
      </c>
      <c r="Z11" s="26">
        <f>IFERROR(IF(AND(NOT(ISNUMBER($I11)),NOT(ISNUMBER($J11))),"",IF((IFERROR($I11,0)+IFERROR($J11,0))&gt;=Scoring_Criteria!$D$6,5,IF((IFERROR($I11,0)+IFERROR($J11,0))&gt;=Scoring_Criteria!$E$6,4,IF((IFERROR($I11,0)+IFERROR($J11,0))&gt;=Scoring_Criteria!$F$6,3,IF((IFERROR($I11,0)+IFERROR($J11,0))&gt;=Scoring_Criteria!$G$6,2,1))))),"")</f>
        <v/>
      </c>
      <c r="AA11" s="26">
        <f>IFERROR(IF(NOT(ISNUMBER($M11)),"",IF($M11&gt;=Scoring_Criteria!$D$7,5,IF($M11&gt;=Scoring_Criteria!$E$7,4,IF($M11&gt;=Scoring_Criteria!$F$7,3,IF($M11&gt;=Scoring_Criteria!$G$7,2,1))))),"")</f>
        <v/>
      </c>
      <c r="AB11" s="26">
        <f>IFERROR(IF(NOT(ISNUMBER($T11)),"",IF($T11&gt;=Scoring_Criteria!$D$8,5,IF($T11&gt;=Scoring_Criteria!$E$8,4,IF($T11&gt;=Scoring_Criteria!$F$8,3,IF($T11&gt;=Scoring_Criteria!$G$8,2,1))))),"")</f>
        <v/>
      </c>
      <c r="AC11" s="26">
        <f>IFERROR(IF(NOT(ISNUMBER($U11)),"",IF($U11&lt;=Scoring_Criteria!$D$9,5,IF($U11&lt;=Scoring_Criteria!$E$9,4,IF($U11&lt;=Scoring_Criteria!$F$9,3,IF($U11&lt;=Scoring_Criteria!$G$9,2,1))))),"")</f>
        <v/>
      </c>
      <c r="AD11" s="26">
        <f t="array" ref="AD11">IFERROR(IF(NOT(ISNUMBER(_xlfn.XLOOKUP($A11&amp;"|"&amp;$C11,Financials!$A$2:$A$201&amp;"|"&amp;Financials!$B$2:$B$201,Financials!$AD$2:$AD$201,""))),"",IF(_xlfn.XLOOKUP($A11&amp;"|"&amp;$C11,Financials!$A$2:$A$201&amp;"|"&amp;Financials!$B$2:$B$201,Financials!$AD$2:$AD$201,"")&gt;=Scoring_Criteria!$D$10,5,IF(_xlfn.XLOOKUP($A11&amp;"|"&amp;$C11,Financials!$A$2:$A$201&amp;"|"&amp;Financials!$B$2:$B$201,Financials!$AD$2:$AD$201,"")&gt;=Scoring_Criteria!$E$10,4,IF(_xlfn.XLOOKUP($A11&amp;"|"&amp;$C11,Financials!$A$2:$A$201&amp;"|"&amp;Financials!$B$2:$B$201,Financials!$AD$2:$AD$201,"")&gt;=Scoring_Criteria!$F$10,3,IF(_xlfn.XLOOKUP($A11&amp;"|"&amp;$C11,Financials!$A$2:$A$201&amp;"|"&amp;Financials!$B$2:$B$201,Financials!$AD$2:$AD$201,"")&gt;=Scoring_Criteria!$G$10,2,1))))),"")</f>
        <v/>
      </c>
      <c r="AE11" s="27" t="n"/>
      <c r="AF11" s="27" t="n"/>
      <c r="AG11" s="28">
        <f>IFERROR(IF(COUNTA(X11:AF11)=0,"",AVERAGE(X11:AF11)),"")</f>
        <v/>
      </c>
      <c r="AH11" s="29" t="n"/>
      <c r="AI11" s="29" t="n"/>
      <c r="AJ11" s="29" t="n"/>
      <c r="AK11" s="29" t="n"/>
      <c r="AL11" s="29" t="n"/>
      <c r="AM11" s="29" t="n"/>
      <c r="AN11" s="29" t="n"/>
      <c r="AO11" s="29" t="n"/>
      <c r="AP11" s="29" t="n"/>
      <c r="AQ11" s="29" t="n"/>
      <c r="AR11" s="29" t="n"/>
      <c r="AS11" s="29" t="n"/>
      <c r="AT11" s="29" t="n"/>
      <c r="AU11" s="46">
        <f>IFERROR(Validation_Summary!Q5,"")</f>
        <v/>
      </c>
    </row>
    <row r="12" ht="15" customHeight="1" s="67">
      <c r="A12" s="6" t="inlineStr">
        <is>
          <t>PT BISI International Tbk</t>
        </is>
      </c>
      <c r="B12" s="19">
        <f t="array" ref="B12">IFERROR(_xlfn.XLOOKUP($A12&amp;"|"&amp;$C12,'Company_Master'!$A$2:$A$94&amp;"|"&amp;'Company_Master'!$D$2:$D$94,'Company_Master'!$B$2:$B$94,""),"")</f>
        <v/>
      </c>
      <c r="C12" s="98" t="n">
        <v>2024</v>
      </c>
      <c r="D12" s="19">
        <f t="array" ref="D12">IFERROR(_xlfn.XLOOKUP($A12&amp;"|"&amp;$C12,'Company_Master'!$A$2:$A$94&amp;"|"&amp;'Company_Master'!$D$2:$D$94,'Company_Master'!$H$2:$H$94,""),"")</f>
        <v/>
      </c>
      <c r="E12" s="98">
        <f t="array" ref="E12">IFERROR(_xlfn.XLOOKUP($A12&amp;"|"&amp;$C12,Asset_Operations!$A$2:$A$201&amp;"|"&amp;Asset_Operations!$BG$2:$BG$201,Asset_Operations!$B$2:$B$201,""),"")</f>
        <v/>
      </c>
      <c r="F12" s="98">
        <f t="array" ref="F12">IFERROR(_xlfn.XLOOKUP($A12&amp;"|"&amp;$C12,Asset_Operations!$A$2:$A$201&amp;"|"&amp;Asset_Operations!$BG$2:$BG$201,Asset_Operations!$E$2:$E$201,""),"")</f>
        <v/>
      </c>
      <c r="G12" s="98">
        <f t="array" ref="G12">IFERROR(_xlfn.XLOOKUP($A12&amp;"|"&amp;$C12,Asset_Operations!$A$2:$A$201&amp;"|"&amp;Asset_Operations!$BG$2:$BG$201,Asset_Operations!$I$2:$I$201,""),"")</f>
        <v/>
      </c>
      <c r="H12" s="98">
        <f t="array" ref="H12">IFERROR(_xlfn.XLOOKUP($A12&amp;"|"&amp;$C12,Asset_Operations!$A$2:$A$201&amp;"|"&amp;Asset_Operations!$BG$2:$BG$201,Asset_Operations!$J$2:$J$201,""),"")</f>
        <v/>
      </c>
      <c r="I12" s="98">
        <f t="array" ref="I12">IFERROR(_xlfn.XLOOKUP($A12&amp;"|"&amp;$C12,Asset_Operations!$A$2:$A$201&amp;"|"&amp;Asset_Operations!$BG$2:$BG$201,Asset_Operations!$O$2:$O$201,""),"")</f>
        <v/>
      </c>
      <c r="J12" s="98">
        <f t="array" ref="J12">IFERROR(_xlfn.XLOOKUP($A12&amp;"|"&amp;$C12,Asset_Operations!$A$2:$A$201&amp;"|"&amp;Asset_Operations!$BG$2:$BG$201,Asset_Operations!$S$2:$S$201,""),"")</f>
        <v/>
      </c>
      <c r="K12" s="98">
        <f t="array" ref="K12">IFERROR(_xlfn.XLOOKUP($A12&amp;"|"&amp;$C12,Asset_Operations!$A$2:$A$201&amp;"|"&amp;Asset_Operations!$BG$2:$BG$201,Asset_Operations!$AC$2:$AC$201,""),"")</f>
        <v/>
      </c>
      <c r="L12" s="98">
        <f t="array" ref="L12">IFERROR(_xlfn.XLOOKUP($A12&amp;"|"&amp;$C12,Asset_Operations!$A$2:$A$201&amp;"|"&amp;Asset_Operations!$BG$2:$BG$201,Asset_Operations!$AG$2:$AG$201,""),"")</f>
        <v/>
      </c>
      <c r="M12" s="98">
        <f t="array" ref="M12">IFERROR(_xlfn.XLOOKUP($A12&amp;"|"&amp;$C12,Asset_Operations!$A$2:$A$201&amp;"|"&amp;Asset_Operations!$BG$2:$BG$201,Asset_Operations!$AO$2:$AO$201,""),"")</f>
        <v/>
      </c>
      <c r="N12" s="99">
        <f t="array" ref="N12">IFERROR(_xlfn.XLOOKUP($A12&amp;"|"&amp;$C12,Asset_Operations!$A$2:$A$201&amp;"|"&amp;Asset_Operations!$BG$2:$BG$201,Asset_Operations!$AR$2:$AR$201,""),"")</f>
        <v/>
      </c>
      <c r="O12" s="100">
        <f t="array" ref="O12">IFERROR(_xlfn.XLOOKUP($A12&amp;"|"&amp;$C12,Financials!$A$2:$A$201&amp;"|"&amp;Financials!$B$2:$B$201,Financials!$C$2:$C$201,""),"")</f>
        <v/>
      </c>
      <c r="P12" s="100">
        <f t="array" ref="P12">IFERROR(_xlfn.XLOOKUP($A12&amp;"|"&amp;$C12,Financials!$A$2:$A$201&amp;"|"&amp;Financials!$B$2:$B$201,Financials!$E$2:$E$201,""),"")</f>
        <v/>
      </c>
      <c r="Q12" s="100">
        <f t="array" ref="Q12">IFERROR(_xlfn.XLOOKUP($A12&amp;"|"&amp;$C12,Financials!$A$2:$A$201&amp;"|"&amp;Financials!$B$2:$B$201,Financials!$G$2:$G$201,""),"")</f>
        <v/>
      </c>
      <c r="R12" s="100">
        <f t="array" ref="R12">IFERROR(_xlfn.XLOOKUP($A12&amp;"|"&amp;$C12,Financials!$A$2:$A$201&amp;"|"&amp;Financials!$B$2:$B$201,Financials!$S$2:$S$201,""),"")</f>
        <v/>
      </c>
      <c r="S12" s="100">
        <f t="array" ref="S12">IFERROR(_xlfn.XLOOKUP($A12&amp;"|"&amp;$C12,Financials!$A$2:$A$201&amp;"|"&amp;Financials!$B$2:$B$201,Financials!$AC$2:$AC$201,""),"")</f>
        <v/>
      </c>
      <c r="T12" s="101">
        <f>IFERROR(P12/O12,"")</f>
        <v/>
      </c>
      <c r="U12" s="24">
        <f>IFERROR(R12/P12,"")</f>
        <v/>
      </c>
      <c r="V12" s="102">
        <f>IFERROR(O12/E12,"")</f>
        <v/>
      </c>
      <c r="W12" s="24">
        <f>IFERROR(L12/F12,"")</f>
        <v/>
      </c>
      <c r="X12" s="26">
        <f>IFERROR(IF(NOT(ISNUMBER($E12)),"",IF($E12&gt;=Scoring_Criteria!$D$4,5,IF($E12&gt;=Scoring_Criteria!$E$4,4,IF($E12&gt;=Scoring_Criteria!$F$4,3,IF($E12&gt;=Scoring_Criteria!$G$4,2,1))))),"")</f>
        <v/>
      </c>
      <c r="Y12" s="26">
        <f>IFERROR(IF(OR(NOT(ISNUMBER($F12)),NOT(ISNUMBER($E12)),$E12=0),"",IF(($F12/$E12)&gt;=Scoring_Criteria!$D$5,5,IF(($F12/$E12)&gt;=Scoring_Criteria!$E$5,4,IF(($F12/$E12)&gt;=Scoring_Criteria!$F$5,3,IF(($F12/$E12)&gt;=Scoring_Criteria!$G$5,2,1))))),"")</f>
        <v/>
      </c>
      <c r="Z12" s="26">
        <f>IFERROR(IF(AND(NOT(ISNUMBER($I12)),NOT(ISNUMBER($J12))),"",IF((IFERROR($I12,0)+IFERROR($J12,0))&gt;=Scoring_Criteria!$D$6,5,IF((IFERROR($I12,0)+IFERROR($J12,0))&gt;=Scoring_Criteria!$E$6,4,IF((IFERROR($I12,0)+IFERROR($J12,0))&gt;=Scoring_Criteria!$F$6,3,IF((IFERROR($I12,0)+IFERROR($J12,0))&gt;=Scoring_Criteria!$G$6,2,1))))),"")</f>
        <v/>
      </c>
      <c r="AA12" s="26">
        <f>IFERROR(IF(NOT(ISNUMBER($M12)),"",IF($M12&gt;=Scoring_Criteria!$D$7,5,IF($M12&gt;=Scoring_Criteria!$E$7,4,IF($M12&gt;=Scoring_Criteria!$F$7,3,IF($M12&gt;=Scoring_Criteria!$G$7,2,1))))),"")</f>
        <v/>
      </c>
      <c r="AB12" s="26">
        <f>IFERROR(IF(NOT(ISNUMBER($T12)),"",IF($T12&gt;=Scoring_Criteria!$D$8,5,IF($T12&gt;=Scoring_Criteria!$E$8,4,IF($T12&gt;=Scoring_Criteria!$F$8,3,IF($T12&gt;=Scoring_Criteria!$G$8,2,1))))),"")</f>
        <v/>
      </c>
      <c r="AC12" s="26">
        <f>IFERROR(IF(NOT(ISNUMBER($U12)),"",IF($U12&lt;=Scoring_Criteria!$D$9,5,IF($U12&lt;=Scoring_Criteria!$E$9,4,IF($U12&lt;=Scoring_Criteria!$F$9,3,IF($U12&lt;=Scoring_Criteria!$G$9,2,1))))),"")</f>
        <v/>
      </c>
      <c r="AD12" s="26">
        <f t="array" ref="AD12">IFERROR(IF(NOT(ISNUMBER(_xlfn.XLOOKUP($A12&amp;"|"&amp;$C12,Financials!$A$2:$A$201&amp;"|"&amp;Financials!$B$2:$B$201,Financials!$AD$2:$AD$201,""))),"",IF(_xlfn.XLOOKUP($A12&amp;"|"&amp;$C12,Financials!$A$2:$A$201&amp;"|"&amp;Financials!$B$2:$B$201,Financials!$AD$2:$AD$201,"")&gt;=Scoring_Criteria!$D$10,5,IF(_xlfn.XLOOKUP($A12&amp;"|"&amp;$C12,Financials!$A$2:$A$201&amp;"|"&amp;Financials!$B$2:$B$201,Financials!$AD$2:$AD$201,"")&gt;=Scoring_Criteria!$E$10,4,IF(_xlfn.XLOOKUP($A12&amp;"|"&amp;$C12,Financials!$A$2:$A$201&amp;"|"&amp;Financials!$B$2:$B$201,Financials!$AD$2:$AD$201,"")&gt;=Scoring_Criteria!$F$10,3,IF(_xlfn.XLOOKUP($A12&amp;"|"&amp;$C12,Financials!$A$2:$A$201&amp;"|"&amp;Financials!$B$2:$B$201,Financials!$AD$2:$AD$201,"")&gt;=Scoring_Criteria!$G$10,2,1))))),"")</f>
        <v/>
      </c>
      <c r="AE12" s="27" t="n"/>
      <c r="AF12" s="27" t="n"/>
      <c r="AG12" s="28">
        <f>IFERROR(IF(COUNTA(X12:AF12)=0,"",AVERAGE(X12:AF12)),"")</f>
        <v/>
      </c>
      <c r="AH12" s="29" t="n"/>
      <c r="AI12" s="29" t="n"/>
      <c r="AJ12" s="29" t="n"/>
      <c r="AK12" s="29" t="n"/>
      <c r="AL12" s="29" t="n"/>
      <c r="AM12" s="29" t="n"/>
      <c r="AN12" s="29" t="n"/>
      <c r="AO12" s="29" t="n"/>
      <c r="AP12" s="29" t="n"/>
      <c r="AQ12" s="29" t="n"/>
      <c r="AR12" s="29" t="n"/>
      <c r="AS12" s="29" t="n"/>
      <c r="AT12" s="29" t="n"/>
      <c r="AU12" s="46">
        <f>IFERROR(Validation_Summary!Q5,"")</f>
        <v/>
      </c>
    </row>
    <row r="13" ht="15" customHeight="1" s="67">
      <c r="A13" s="6" t="inlineStr">
        <is>
          <t>PT BISI International Tbk</t>
        </is>
      </c>
      <c r="B13" s="19">
        <f t="array" ref="B13">IFERROR(_xlfn.XLOOKUP($A13&amp;"|"&amp;$C13,'Company_Master'!$A$2:$A$94&amp;"|"&amp;'Company_Master'!$D$2:$D$94,'Company_Master'!$B$2:$B$94,""),"")</f>
        <v/>
      </c>
      <c r="C13" s="98" t="n">
        <v>2025</v>
      </c>
      <c r="D13" s="19">
        <f t="array" ref="D13">IFERROR(_xlfn.XLOOKUP($A13&amp;"|"&amp;$C13,'Company_Master'!$A$2:$A$94&amp;"|"&amp;'Company_Master'!$D$2:$D$94,'Company_Master'!$H$2:$H$94,""),"")</f>
        <v/>
      </c>
      <c r="E13" s="98">
        <f t="array" ref="E13">IFERROR(_xlfn.XLOOKUP($A13&amp;"|"&amp;$C13,Asset_Operations!$A$2:$A$201&amp;"|"&amp;Asset_Operations!$BG$2:$BG$201,Asset_Operations!$B$2:$B$201,""),"")</f>
        <v/>
      </c>
      <c r="F13" s="98">
        <f t="array" ref="F13">IFERROR(_xlfn.XLOOKUP($A13&amp;"|"&amp;$C13,Asset_Operations!$A$2:$A$201&amp;"|"&amp;Asset_Operations!$BG$2:$BG$201,Asset_Operations!$E$2:$E$201,""),"")</f>
        <v/>
      </c>
      <c r="G13" s="98">
        <f t="array" ref="G13">IFERROR(_xlfn.XLOOKUP($A13&amp;"|"&amp;$C13,Asset_Operations!$A$2:$A$201&amp;"|"&amp;Asset_Operations!$BG$2:$BG$201,Asset_Operations!$I$2:$I$201,""),"")</f>
        <v/>
      </c>
      <c r="H13" s="98">
        <f t="array" ref="H13">IFERROR(_xlfn.XLOOKUP($A13&amp;"|"&amp;$C13,Asset_Operations!$A$2:$A$201&amp;"|"&amp;Asset_Operations!$BG$2:$BG$201,Asset_Operations!$J$2:$J$201,""),"")</f>
        <v/>
      </c>
      <c r="I13" s="98">
        <f t="array" ref="I13">IFERROR(_xlfn.XLOOKUP($A13&amp;"|"&amp;$C13,Asset_Operations!$A$2:$A$201&amp;"|"&amp;Asset_Operations!$BG$2:$BG$201,Asset_Operations!$O$2:$O$201,""),"")</f>
        <v/>
      </c>
      <c r="J13" s="98">
        <f t="array" ref="J13">IFERROR(_xlfn.XLOOKUP($A13&amp;"|"&amp;$C13,Asset_Operations!$A$2:$A$201&amp;"|"&amp;Asset_Operations!$BG$2:$BG$201,Asset_Operations!$S$2:$S$201,""),"")</f>
        <v/>
      </c>
      <c r="K13" s="98">
        <f t="array" ref="K13">IFERROR(_xlfn.XLOOKUP($A13&amp;"|"&amp;$C13,Asset_Operations!$A$2:$A$201&amp;"|"&amp;Asset_Operations!$BG$2:$BG$201,Asset_Operations!$AC$2:$AC$201,""),"")</f>
        <v/>
      </c>
      <c r="L13" s="98">
        <f t="array" ref="L13">IFERROR(_xlfn.XLOOKUP($A13&amp;"|"&amp;$C13,Asset_Operations!$A$2:$A$201&amp;"|"&amp;Asset_Operations!$BG$2:$BG$201,Asset_Operations!$AG$2:$AG$201,""),"")</f>
        <v/>
      </c>
      <c r="M13" s="98">
        <f t="array" ref="M13">IFERROR(_xlfn.XLOOKUP($A13&amp;"|"&amp;$C13,Asset_Operations!$A$2:$A$201&amp;"|"&amp;Asset_Operations!$BG$2:$BG$201,Asset_Operations!$AO$2:$AO$201,""),"")</f>
        <v/>
      </c>
      <c r="N13" s="99">
        <f t="array" ref="N13">IFERROR(_xlfn.XLOOKUP($A13&amp;"|"&amp;$C13,Asset_Operations!$A$2:$A$201&amp;"|"&amp;Asset_Operations!$BG$2:$BG$201,Asset_Operations!$AR$2:$AR$201,""),"")</f>
        <v/>
      </c>
      <c r="O13" s="100">
        <f t="array" ref="O13">IFERROR(_xlfn.XLOOKUP($A13&amp;"|"&amp;$C13,Financials!$A$2:$A$201&amp;"|"&amp;Financials!$B$2:$B$201,Financials!$C$2:$C$201,""),"")</f>
        <v/>
      </c>
      <c r="P13" s="100">
        <f t="array" ref="P13">IFERROR(_xlfn.XLOOKUP($A13&amp;"|"&amp;$C13,Financials!$A$2:$A$201&amp;"|"&amp;Financials!$B$2:$B$201,Financials!$E$2:$E$201,""),"")</f>
        <v/>
      </c>
      <c r="Q13" s="100">
        <f t="array" ref="Q13">IFERROR(_xlfn.XLOOKUP($A13&amp;"|"&amp;$C13,Financials!$A$2:$A$201&amp;"|"&amp;Financials!$B$2:$B$201,Financials!$G$2:$G$201,""),"")</f>
        <v/>
      </c>
      <c r="R13" s="100">
        <f t="array" ref="R13">IFERROR(_xlfn.XLOOKUP($A13&amp;"|"&amp;$C13,Financials!$A$2:$A$201&amp;"|"&amp;Financials!$B$2:$B$201,Financials!$S$2:$S$201,""),"")</f>
        <v/>
      </c>
      <c r="S13" s="100">
        <f t="array" ref="S13">IFERROR(_xlfn.XLOOKUP($A13&amp;"|"&amp;$C13,Financials!$A$2:$A$201&amp;"|"&amp;Financials!$B$2:$B$201,Financials!$AC$2:$AC$201,""),"")</f>
        <v/>
      </c>
      <c r="T13" s="101">
        <f>IFERROR(P13/O13,"")</f>
        <v/>
      </c>
      <c r="U13" s="24">
        <f>IFERROR(R13/P13,"")</f>
        <v/>
      </c>
      <c r="V13" s="102">
        <f>IFERROR(O13/E13,"")</f>
        <v/>
      </c>
      <c r="W13" s="24">
        <f>IFERROR(L13/F13,"")</f>
        <v/>
      </c>
      <c r="X13" s="26">
        <f>IFERROR(IF(NOT(ISNUMBER($E13)),"",IF($E13&gt;=Scoring_Criteria!$D$4,5,IF($E13&gt;=Scoring_Criteria!$E$4,4,IF($E13&gt;=Scoring_Criteria!$F$4,3,IF($E13&gt;=Scoring_Criteria!$G$4,2,1))))),"")</f>
        <v/>
      </c>
      <c r="Y13" s="26">
        <f>IFERROR(IF(OR(NOT(ISNUMBER($F13)),NOT(ISNUMBER($E13)),$E13=0),"",IF(($F13/$E13)&gt;=Scoring_Criteria!$D$5,5,IF(($F13/$E13)&gt;=Scoring_Criteria!$E$5,4,IF(($F13/$E13)&gt;=Scoring_Criteria!$F$5,3,IF(($F13/$E13)&gt;=Scoring_Criteria!$G$5,2,1))))),"")</f>
        <v/>
      </c>
      <c r="Z13" s="26">
        <f>IFERROR(IF(AND(NOT(ISNUMBER($I13)),NOT(ISNUMBER($J13))),"",IF((IFERROR($I13,0)+IFERROR($J13,0))&gt;=Scoring_Criteria!$D$6,5,IF((IFERROR($I13,0)+IFERROR($J13,0))&gt;=Scoring_Criteria!$E$6,4,IF((IFERROR($I13,0)+IFERROR($J13,0))&gt;=Scoring_Criteria!$F$6,3,IF((IFERROR($I13,0)+IFERROR($J13,0))&gt;=Scoring_Criteria!$G$6,2,1))))),"")</f>
        <v/>
      </c>
      <c r="AA13" s="26">
        <f>IFERROR(IF(NOT(ISNUMBER($M13)),"",IF($M13&gt;=Scoring_Criteria!$D$7,5,IF($M13&gt;=Scoring_Criteria!$E$7,4,IF($M13&gt;=Scoring_Criteria!$F$7,3,IF($M13&gt;=Scoring_Criteria!$G$7,2,1))))),"")</f>
        <v/>
      </c>
      <c r="AB13" s="26">
        <f>IFERROR(IF(NOT(ISNUMBER($T13)),"",IF($T13&gt;=Scoring_Criteria!$D$8,5,IF($T13&gt;=Scoring_Criteria!$E$8,4,IF($T13&gt;=Scoring_Criteria!$F$8,3,IF($T13&gt;=Scoring_Criteria!$G$8,2,1))))),"")</f>
        <v/>
      </c>
      <c r="AC13" s="26">
        <f>IFERROR(IF(NOT(ISNUMBER($U13)),"",IF($U13&lt;=Scoring_Criteria!$D$9,5,IF($U13&lt;=Scoring_Criteria!$E$9,4,IF($U13&lt;=Scoring_Criteria!$F$9,3,IF($U13&lt;=Scoring_Criteria!$G$9,2,1))))),"")</f>
        <v/>
      </c>
      <c r="AD13" s="26">
        <f t="array" ref="AD13">IFERROR(IF(NOT(ISNUMBER(_xlfn.XLOOKUP($A13&amp;"|"&amp;$C13,Financials!$A$2:$A$201&amp;"|"&amp;Financials!$B$2:$B$201,Financials!$AD$2:$AD$201,""))),"",IF(_xlfn.XLOOKUP($A13&amp;"|"&amp;$C13,Financials!$A$2:$A$201&amp;"|"&amp;Financials!$B$2:$B$201,Financials!$AD$2:$AD$201,"")&gt;=Scoring_Criteria!$D$10,5,IF(_xlfn.XLOOKUP($A13&amp;"|"&amp;$C13,Financials!$A$2:$A$201&amp;"|"&amp;Financials!$B$2:$B$201,Financials!$AD$2:$AD$201,"")&gt;=Scoring_Criteria!$E$10,4,IF(_xlfn.XLOOKUP($A13&amp;"|"&amp;$C13,Financials!$A$2:$A$201&amp;"|"&amp;Financials!$B$2:$B$201,Financials!$AD$2:$AD$201,"")&gt;=Scoring_Criteria!$F$10,3,IF(_xlfn.XLOOKUP($A13&amp;"|"&amp;$C13,Financials!$A$2:$A$201&amp;"|"&amp;Financials!$B$2:$B$201,Financials!$AD$2:$AD$201,"")&gt;=Scoring_Criteria!$G$10,2,1))))),"")</f>
        <v/>
      </c>
      <c r="AE13" s="27" t="n"/>
      <c r="AF13" s="27" t="n"/>
      <c r="AG13" s="28">
        <f>IFERROR(IF(COUNTA(X13:AF13)=0,"",AVERAGE(X13:AF13)),"")</f>
        <v/>
      </c>
      <c r="AH13" s="29" t="n"/>
      <c r="AI13" s="29" t="n"/>
      <c r="AJ13" s="29" t="n"/>
      <c r="AK13" s="29" t="n"/>
      <c r="AL13" s="29" t="n"/>
      <c r="AM13" s="29" t="n"/>
      <c r="AN13" s="29" t="n"/>
      <c r="AO13" s="29" t="n"/>
      <c r="AP13" s="29" t="n"/>
      <c r="AQ13" s="29" t="n"/>
      <c r="AR13" s="29" t="n"/>
      <c r="AS13" s="29" t="n"/>
      <c r="AT13" s="29" t="n"/>
      <c r="AU13" s="46">
        <f>IFERROR(Validation_Summary!Q5,"")</f>
        <v/>
      </c>
    </row>
    <row r="14" ht="15" customHeight="1" s="67">
      <c r="A14" s="6" t="inlineStr">
        <is>
          <t>PT Bumi Teknokultura Unggul Tbk</t>
        </is>
      </c>
      <c r="B14" s="19">
        <f t="array" ref="B14">IFERROR(_xlfn.XLOOKUP($A14&amp;"|"&amp;$C14,'Company_Master'!$A$2:$A$94&amp;"|"&amp;'Company_Master'!$D$2:$D$94,'Company_Master'!$B$2:$B$94,""),"")</f>
        <v/>
      </c>
      <c r="C14" s="98" t="n">
        <v>2022</v>
      </c>
      <c r="D14" s="19">
        <f t="array" ref="D14">IFERROR(_xlfn.XLOOKUP($A14&amp;"|"&amp;$C14,'Company_Master'!$A$2:$A$94&amp;"|"&amp;'Company_Master'!$D$2:$D$94,'Company_Master'!$H$2:$H$94,""),"")</f>
        <v/>
      </c>
      <c r="E14" s="98">
        <f t="array" ref="E14">IFERROR(_xlfn.XLOOKUP($A14&amp;"|"&amp;$C14,Asset_Operations!$A$2:$A$201&amp;"|"&amp;Asset_Operations!$BG$2:$BG$201,Asset_Operations!$B$2:$B$201,""),"")</f>
        <v/>
      </c>
      <c r="F14" s="98">
        <f t="array" ref="F14">IFERROR(_xlfn.XLOOKUP($A14&amp;"|"&amp;$C14,Asset_Operations!$A$2:$A$201&amp;"|"&amp;Asset_Operations!$BG$2:$BG$201,Asset_Operations!$E$2:$E$201,""),"")</f>
        <v/>
      </c>
      <c r="G14" s="98">
        <f t="array" ref="G14">IFERROR(_xlfn.XLOOKUP($A14&amp;"|"&amp;$C14,Asset_Operations!$A$2:$A$201&amp;"|"&amp;Asset_Operations!$BG$2:$BG$201,Asset_Operations!$I$2:$I$201,""),"")</f>
        <v/>
      </c>
      <c r="H14" s="98">
        <f t="array" ref="H14">IFERROR(_xlfn.XLOOKUP($A14&amp;"|"&amp;$C14,Asset_Operations!$A$2:$A$201&amp;"|"&amp;Asset_Operations!$BG$2:$BG$201,Asset_Operations!$J$2:$J$201,""),"")</f>
        <v/>
      </c>
      <c r="I14" s="98">
        <f t="array" ref="I14">IFERROR(_xlfn.XLOOKUP($A14&amp;"|"&amp;$C14,Asset_Operations!$A$2:$A$201&amp;"|"&amp;Asset_Operations!$BG$2:$BG$201,Asset_Operations!$O$2:$O$201,""),"")</f>
        <v/>
      </c>
      <c r="J14" s="98">
        <f t="array" ref="J14">IFERROR(_xlfn.XLOOKUP($A14&amp;"|"&amp;$C14,Asset_Operations!$A$2:$A$201&amp;"|"&amp;Asset_Operations!$BG$2:$BG$201,Asset_Operations!$S$2:$S$201,""),"")</f>
        <v/>
      </c>
      <c r="K14" s="98">
        <f t="array" ref="K14">IFERROR(_xlfn.XLOOKUP($A14&amp;"|"&amp;$C14,Asset_Operations!$A$2:$A$201&amp;"|"&amp;Asset_Operations!$BG$2:$BG$201,Asset_Operations!$AC$2:$AC$201,""),"")</f>
        <v/>
      </c>
      <c r="L14" s="98">
        <f t="array" ref="L14">IFERROR(_xlfn.XLOOKUP($A14&amp;"|"&amp;$C14,Asset_Operations!$A$2:$A$201&amp;"|"&amp;Asset_Operations!$BG$2:$BG$201,Asset_Operations!$AG$2:$AG$201,""),"")</f>
        <v/>
      </c>
      <c r="M14" s="98">
        <f t="array" ref="M14">IFERROR(_xlfn.XLOOKUP($A14&amp;"|"&amp;$C14,Asset_Operations!$A$2:$A$201&amp;"|"&amp;Asset_Operations!$BG$2:$BG$201,Asset_Operations!$AO$2:$AO$201,""),"")</f>
        <v/>
      </c>
      <c r="N14" s="99">
        <f t="array" ref="N14">IFERROR(_xlfn.XLOOKUP($A14&amp;"|"&amp;$C14,Asset_Operations!$A$2:$A$201&amp;"|"&amp;Asset_Operations!$BG$2:$BG$201,Asset_Operations!$AR$2:$AR$201,""),"")</f>
        <v/>
      </c>
      <c r="O14" s="100">
        <f t="array" ref="O14">IFERROR(_xlfn.XLOOKUP($A14&amp;"|"&amp;$C14,Financials!$A$2:$A$201&amp;"|"&amp;Financials!$B$2:$B$201,Financials!$C$2:$C$201,""),"")</f>
        <v/>
      </c>
      <c r="P14" s="100">
        <f t="array" ref="P14">IFERROR(_xlfn.XLOOKUP($A14&amp;"|"&amp;$C14,Financials!$A$2:$A$201&amp;"|"&amp;Financials!$B$2:$B$201,Financials!$E$2:$E$201,""),"")</f>
        <v/>
      </c>
      <c r="Q14" s="100">
        <f t="array" ref="Q14">IFERROR(_xlfn.XLOOKUP($A14&amp;"|"&amp;$C14,Financials!$A$2:$A$201&amp;"|"&amp;Financials!$B$2:$B$201,Financials!$G$2:$G$201,""),"")</f>
        <v/>
      </c>
      <c r="R14" s="100">
        <f t="array" ref="R14">IFERROR(_xlfn.XLOOKUP($A14&amp;"|"&amp;$C14,Financials!$A$2:$A$201&amp;"|"&amp;Financials!$B$2:$B$201,Financials!$S$2:$S$201,""),"")</f>
        <v/>
      </c>
      <c r="S14" s="100">
        <f t="array" ref="S14">IFERROR(_xlfn.XLOOKUP($A14&amp;"|"&amp;$C14,Financials!$A$2:$A$201&amp;"|"&amp;Financials!$B$2:$B$201,Financials!$AC$2:$AC$201,""),"")</f>
        <v/>
      </c>
      <c r="T14" s="101">
        <f>IFERROR(P14/O14,"")</f>
        <v/>
      </c>
      <c r="U14" s="24">
        <f>IFERROR(R14/P14,"")</f>
        <v/>
      </c>
      <c r="V14" s="102">
        <f>IFERROR(O14/E14,"")</f>
        <v/>
      </c>
      <c r="W14" s="24">
        <f>IFERROR(L14/F14,"")</f>
        <v/>
      </c>
      <c r="X14" s="26">
        <f>IFERROR(IF(NOT(ISNUMBER($E14)),"",IF($E14&gt;=Scoring_Criteria!$D$4,5,IF($E14&gt;=Scoring_Criteria!$E$4,4,IF($E14&gt;=Scoring_Criteria!$F$4,3,IF($E14&gt;=Scoring_Criteria!$G$4,2,1))))),"")</f>
        <v/>
      </c>
      <c r="Y14" s="26">
        <f>IFERROR(IF(OR(NOT(ISNUMBER($F14)),NOT(ISNUMBER($E14)),$E14=0),"",IF(($F14/$E14)&gt;=Scoring_Criteria!$D$5,5,IF(($F14/$E14)&gt;=Scoring_Criteria!$E$5,4,IF(($F14/$E14)&gt;=Scoring_Criteria!$F$5,3,IF(($F14/$E14)&gt;=Scoring_Criteria!$G$5,2,1))))),"")</f>
        <v/>
      </c>
      <c r="Z14" s="26">
        <f>IFERROR(IF(AND(NOT(ISNUMBER($I14)),NOT(ISNUMBER($J14))),"",IF((IFERROR($I14,0)+IFERROR($J14,0))&gt;=Scoring_Criteria!$D$6,5,IF((IFERROR($I14,0)+IFERROR($J14,0))&gt;=Scoring_Criteria!$E$6,4,IF((IFERROR($I14,0)+IFERROR($J14,0))&gt;=Scoring_Criteria!$F$6,3,IF((IFERROR($I14,0)+IFERROR($J14,0))&gt;=Scoring_Criteria!$G$6,2,1))))),"")</f>
        <v/>
      </c>
      <c r="AA14" s="26">
        <f>IFERROR(IF(NOT(ISNUMBER($M14)),"",IF($M14&gt;=Scoring_Criteria!$D$7,5,IF($M14&gt;=Scoring_Criteria!$E$7,4,IF($M14&gt;=Scoring_Criteria!$F$7,3,IF($M14&gt;=Scoring_Criteria!$G$7,2,1))))),"")</f>
        <v/>
      </c>
      <c r="AB14" s="26">
        <f>IFERROR(IF(NOT(ISNUMBER($T14)),"",IF($T14&gt;=Scoring_Criteria!$D$8,5,IF($T14&gt;=Scoring_Criteria!$E$8,4,IF($T14&gt;=Scoring_Criteria!$F$8,3,IF($T14&gt;=Scoring_Criteria!$G$8,2,1))))),"")</f>
        <v/>
      </c>
      <c r="AC14" s="26">
        <f>IFERROR(IF(NOT(ISNUMBER($U14)),"",IF($U14&lt;=Scoring_Criteria!$D$9,5,IF($U14&lt;=Scoring_Criteria!$E$9,4,IF($U14&lt;=Scoring_Criteria!$F$9,3,IF($U14&lt;=Scoring_Criteria!$G$9,2,1))))),"")</f>
        <v/>
      </c>
      <c r="AD14" s="26">
        <f t="array" ref="AD14">IFERROR(IF(NOT(ISNUMBER(_xlfn.XLOOKUP($A14&amp;"|"&amp;$C14,Financials!$A$2:$A$201&amp;"|"&amp;Financials!$B$2:$B$201,Financials!$AD$2:$AD$201,""))),"",IF(_xlfn.XLOOKUP($A14&amp;"|"&amp;$C14,Financials!$A$2:$A$201&amp;"|"&amp;Financials!$B$2:$B$201,Financials!$AD$2:$AD$201,"")&gt;=Scoring_Criteria!$D$10,5,IF(_xlfn.XLOOKUP($A14&amp;"|"&amp;$C14,Financials!$A$2:$A$201&amp;"|"&amp;Financials!$B$2:$B$201,Financials!$AD$2:$AD$201,"")&gt;=Scoring_Criteria!$E$10,4,IF(_xlfn.XLOOKUP($A14&amp;"|"&amp;$C14,Financials!$A$2:$A$201&amp;"|"&amp;Financials!$B$2:$B$201,Financials!$AD$2:$AD$201,"")&gt;=Scoring_Criteria!$F$10,3,IF(_xlfn.XLOOKUP($A14&amp;"|"&amp;$C14,Financials!$A$2:$A$201&amp;"|"&amp;Financials!$B$2:$B$201,Financials!$AD$2:$AD$201,"")&gt;=Scoring_Criteria!$G$10,2,1))))),"")</f>
        <v/>
      </c>
      <c r="AE14" s="27" t="n"/>
      <c r="AF14" s="27" t="n"/>
      <c r="AG14" s="28">
        <f>IFERROR(IF(COUNTA(X14:AF14)=0,"",AVERAGE(X14:AF14)),"")</f>
        <v/>
      </c>
      <c r="AH14" s="29" t="n"/>
      <c r="AI14" s="29" t="n"/>
      <c r="AJ14" s="29" t="n"/>
      <c r="AK14" s="29" t="n"/>
      <c r="AL14" s="29" t="n"/>
      <c r="AM14" s="29" t="n"/>
      <c r="AN14" s="29" t="n"/>
      <c r="AO14" s="29" t="n"/>
      <c r="AP14" s="29" t="n"/>
      <c r="AQ14" s="29" t="n"/>
      <c r="AR14" s="29" t="n"/>
      <c r="AS14" s="29" t="n"/>
      <c r="AT14" s="29" t="n"/>
      <c r="AU14" s="46">
        <f>IFERROR(Validation_Summary!Q5,"")</f>
        <v/>
      </c>
    </row>
    <row r="15" ht="15" customHeight="1" s="67">
      <c r="A15" s="6" t="inlineStr">
        <is>
          <t>PT Bumi Teknokultura Unggul Tbk</t>
        </is>
      </c>
      <c r="B15" s="19">
        <f t="array" ref="B15">IFERROR(_xlfn.XLOOKUP($A15&amp;"|"&amp;$C15,'Company_Master'!$A$2:$A$94&amp;"|"&amp;'Company_Master'!$D$2:$D$94,'Company_Master'!$B$2:$B$94,""),"")</f>
        <v/>
      </c>
      <c r="C15" s="98" t="n">
        <v>2023</v>
      </c>
      <c r="D15" s="19">
        <f t="array" ref="D15">IFERROR(_xlfn.XLOOKUP($A15&amp;"|"&amp;$C15,'Company_Master'!$A$2:$A$94&amp;"|"&amp;'Company_Master'!$D$2:$D$94,'Company_Master'!$H$2:$H$94,""),"")</f>
        <v/>
      </c>
      <c r="E15" s="98">
        <f t="array" ref="E15">IFERROR(_xlfn.XLOOKUP($A15&amp;"|"&amp;$C15,Asset_Operations!$A$2:$A$201&amp;"|"&amp;Asset_Operations!$BG$2:$BG$201,Asset_Operations!$B$2:$B$201,""),"")</f>
        <v/>
      </c>
      <c r="F15" s="98">
        <f t="array" ref="F15">IFERROR(_xlfn.XLOOKUP($A15&amp;"|"&amp;$C15,Asset_Operations!$A$2:$A$201&amp;"|"&amp;Asset_Operations!$BG$2:$BG$201,Asset_Operations!$E$2:$E$201,""),"")</f>
        <v/>
      </c>
      <c r="G15" s="98">
        <f t="array" ref="G15">IFERROR(_xlfn.XLOOKUP($A15&amp;"|"&amp;$C15,Asset_Operations!$A$2:$A$201&amp;"|"&amp;Asset_Operations!$BG$2:$BG$201,Asset_Operations!$I$2:$I$201,""),"")</f>
        <v/>
      </c>
      <c r="H15" s="98">
        <f t="array" ref="H15">IFERROR(_xlfn.XLOOKUP($A15&amp;"|"&amp;$C15,Asset_Operations!$A$2:$A$201&amp;"|"&amp;Asset_Operations!$BG$2:$BG$201,Asset_Operations!$J$2:$J$201,""),"")</f>
        <v/>
      </c>
      <c r="I15" s="98">
        <f t="array" ref="I15">IFERROR(_xlfn.XLOOKUP($A15&amp;"|"&amp;$C15,Asset_Operations!$A$2:$A$201&amp;"|"&amp;Asset_Operations!$BG$2:$BG$201,Asset_Operations!$O$2:$O$201,""),"")</f>
        <v/>
      </c>
      <c r="J15" s="98">
        <f t="array" ref="J15">IFERROR(_xlfn.XLOOKUP($A15&amp;"|"&amp;$C15,Asset_Operations!$A$2:$A$201&amp;"|"&amp;Asset_Operations!$BG$2:$BG$201,Asset_Operations!$S$2:$S$201,""),"")</f>
        <v/>
      </c>
      <c r="K15" s="98">
        <f t="array" ref="K15">IFERROR(_xlfn.XLOOKUP($A15&amp;"|"&amp;$C15,Asset_Operations!$A$2:$A$201&amp;"|"&amp;Asset_Operations!$BG$2:$BG$201,Asset_Operations!$AC$2:$AC$201,""),"")</f>
        <v/>
      </c>
      <c r="L15" s="98">
        <f t="array" ref="L15">IFERROR(_xlfn.XLOOKUP($A15&amp;"|"&amp;$C15,Asset_Operations!$A$2:$A$201&amp;"|"&amp;Asset_Operations!$BG$2:$BG$201,Asset_Operations!$AG$2:$AG$201,""),"")</f>
        <v/>
      </c>
      <c r="M15" s="98">
        <f t="array" ref="M15">IFERROR(_xlfn.XLOOKUP($A15&amp;"|"&amp;$C15,Asset_Operations!$A$2:$A$201&amp;"|"&amp;Asset_Operations!$BG$2:$BG$201,Asset_Operations!$AO$2:$AO$201,""),"")</f>
        <v/>
      </c>
      <c r="N15" s="99">
        <f t="array" ref="N15">IFERROR(_xlfn.XLOOKUP($A15&amp;"|"&amp;$C15,Asset_Operations!$A$2:$A$201&amp;"|"&amp;Asset_Operations!$BG$2:$BG$201,Asset_Operations!$AR$2:$AR$201,""),"")</f>
        <v/>
      </c>
      <c r="O15" s="100">
        <f t="array" ref="O15">IFERROR(_xlfn.XLOOKUP($A15&amp;"|"&amp;$C15,Financials!$A$2:$A$201&amp;"|"&amp;Financials!$B$2:$B$201,Financials!$C$2:$C$201,""),"")</f>
        <v/>
      </c>
      <c r="P15" s="100">
        <f t="array" ref="P15">IFERROR(_xlfn.XLOOKUP($A15&amp;"|"&amp;$C15,Financials!$A$2:$A$201&amp;"|"&amp;Financials!$B$2:$B$201,Financials!$E$2:$E$201,""),"")</f>
        <v/>
      </c>
      <c r="Q15" s="100">
        <f t="array" ref="Q15">IFERROR(_xlfn.XLOOKUP($A15&amp;"|"&amp;$C15,Financials!$A$2:$A$201&amp;"|"&amp;Financials!$B$2:$B$201,Financials!$G$2:$G$201,""),"")</f>
        <v/>
      </c>
      <c r="R15" s="100">
        <f t="array" ref="R15">IFERROR(_xlfn.XLOOKUP($A15&amp;"|"&amp;$C15,Financials!$A$2:$A$201&amp;"|"&amp;Financials!$B$2:$B$201,Financials!$S$2:$S$201,""),"")</f>
        <v/>
      </c>
      <c r="S15" s="100">
        <f t="array" ref="S15">IFERROR(_xlfn.XLOOKUP($A15&amp;"|"&amp;$C15,Financials!$A$2:$A$201&amp;"|"&amp;Financials!$B$2:$B$201,Financials!$AC$2:$AC$201,""),"")</f>
        <v/>
      </c>
      <c r="T15" s="101">
        <f>IFERROR(P15/O15,"")</f>
        <v/>
      </c>
      <c r="U15" s="24">
        <f>IFERROR(R15/P15,"")</f>
        <v/>
      </c>
      <c r="V15" s="102">
        <f>IFERROR(O15/E15,"")</f>
        <v/>
      </c>
      <c r="W15" s="24">
        <f>IFERROR(L15/F15,"")</f>
        <v/>
      </c>
      <c r="X15" s="26">
        <f>IFERROR(IF(NOT(ISNUMBER($E15)),"",IF($E15&gt;=Scoring_Criteria!$D$4,5,IF($E15&gt;=Scoring_Criteria!$E$4,4,IF($E15&gt;=Scoring_Criteria!$F$4,3,IF($E15&gt;=Scoring_Criteria!$G$4,2,1))))),"")</f>
        <v/>
      </c>
      <c r="Y15" s="26">
        <f>IFERROR(IF(OR(NOT(ISNUMBER($F15)),NOT(ISNUMBER($E15)),$E15=0),"",IF(($F15/$E15)&gt;=Scoring_Criteria!$D$5,5,IF(($F15/$E15)&gt;=Scoring_Criteria!$E$5,4,IF(($F15/$E15)&gt;=Scoring_Criteria!$F$5,3,IF(($F15/$E15)&gt;=Scoring_Criteria!$G$5,2,1))))),"")</f>
        <v/>
      </c>
      <c r="Z15" s="26">
        <f>IFERROR(IF(AND(NOT(ISNUMBER($I15)),NOT(ISNUMBER($J15))),"",IF((IFERROR($I15,0)+IFERROR($J15,0))&gt;=Scoring_Criteria!$D$6,5,IF((IFERROR($I15,0)+IFERROR($J15,0))&gt;=Scoring_Criteria!$E$6,4,IF((IFERROR($I15,0)+IFERROR($J15,0))&gt;=Scoring_Criteria!$F$6,3,IF((IFERROR($I15,0)+IFERROR($J15,0))&gt;=Scoring_Criteria!$G$6,2,1))))),"")</f>
        <v/>
      </c>
      <c r="AA15" s="26">
        <f>IFERROR(IF(NOT(ISNUMBER($M15)),"",IF($M15&gt;=Scoring_Criteria!$D$7,5,IF($M15&gt;=Scoring_Criteria!$E$7,4,IF($M15&gt;=Scoring_Criteria!$F$7,3,IF($M15&gt;=Scoring_Criteria!$G$7,2,1))))),"")</f>
        <v/>
      </c>
      <c r="AB15" s="26">
        <f>IFERROR(IF(NOT(ISNUMBER($T15)),"",IF($T15&gt;=Scoring_Criteria!$D$8,5,IF($T15&gt;=Scoring_Criteria!$E$8,4,IF($T15&gt;=Scoring_Criteria!$F$8,3,IF($T15&gt;=Scoring_Criteria!$G$8,2,1))))),"")</f>
        <v/>
      </c>
      <c r="AC15" s="26">
        <f>IFERROR(IF(NOT(ISNUMBER($U15)),"",IF($U15&lt;=Scoring_Criteria!$D$9,5,IF($U15&lt;=Scoring_Criteria!$E$9,4,IF($U15&lt;=Scoring_Criteria!$F$9,3,IF($U15&lt;=Scoring_Criteria!$G$9,2,1))))),"")</f>
        <v/>
      </c>
      <c r="AD15" s="26">
        <f t="array" ref="AD15">IFERROR(IF(NOT(ISNUMBER(_xlfn.XLOOKUP($A15&amp;"|"&amp;$C15,Financials!$A$2:$A$201&amp;"|"&amp;Financials!$B$2:$B$201,Financials!$AD$2:$AD$201,""))),"",IF(_xlfn.XLOOKUP($A15&amp;"|"&amp;$C15,Financials!$A$2:$A$201&amp;"|"&amp;Financials!$B$2:$B$201,Financials!$AD$2:$AD$201,"")&gt;=Scoring_Criteria!$D$10,5,IF(_xlfn.XLOOKUP($A15&amp;"|"&amp;$C15,Financials!$A$2:$A$201&amp;"|"&amp;Financials!$B$2:$B$201,Financials!$AD$2:$AD$201,"")&gt;=Scoring_Criteria!$E$10,4,IF(_xlfn.XLOOKUP($A15&amp;"|"&amp;$C15,Financials!$A$2:$A$201&amp;"|"&amp;Financials!$B$2:$B$201,Financials!$AD$2:$AD$201,"")&gt;=Scoring_Criteria!$F$10,3,IF(_xlfn.XLOOKUP($A15&amp;"|"&amp;$C15,Financials!$A$2:$A$201&amp;"|"&amp;Financials!$B$2:$B$201,Financials!$AD$2:$AD$201,"")&gt;=Scoring_Criteria!$G$10,2,1))))),"")</f>
        <v/>
      </c>
      <c r="AE15" s="27" t="n"/>
      <c r="AF15" s="27" t="n"/>
      <c r="AG15" s="28">
        <f>IFERROR(IF(COUNTA(X15:AF15)=0,"",AVERAGE(X15:AF15)),"")</f>
        <v/>
      </c>
      <c r="AH15" s="29" t="n"/>
      <c r="AI15" s="29" t="n"/>
      <c r="AJ15" s="29" t="n"/>
      <c r="AK15" s="29" t="n"/>
      <c r="AL15" s="29" t="n"/>
      <c r="AM15" s="29" t="n"/>
      <c r="AN15" s="29" t="n"/>
      <c r="AO15" s="29" t="n"/>
      <c r="AP15" s="29" t="n"/>
      <c r="AQ15" s="29" t="n"/>
      <c r="AR15" s="29" t="n"/>
      <c r="AS15" s="29" t="n"/>
      <c r="AT15" s="29" t="n"/>
      <c r="AU15" s="46">
        <f>IFERROR(Validation_Summary!Q5,"")</f>
        <v/>
      </c>
    </row>
    <row r="16" ht="15" customHeight="1" s="67">
      <c r="A16" s="6" t="inlineStr">
        <is>
          <t>PT Bumi Teknokultura Unggul Tbk</t>
        </is>
      </c>
      <c r="B16" s="19">
        <f t="array" ref="B16">IFERROR(_xlfn.XLOOKUP($A16&amp;"|"&amp;$C16,'Company_Master'!$A$2:$A$94&amp;"|"&amp;'Company_Master'!$D$2:$D$94,'Company_Master'!$B$2:$B$94,""),"")</f>
        <v/>
      </c>
      <c r="C16" s="98" t="n">
        <v>2024</v>
      </c>
      <c r="D16" s="19">
        <f t="array" ref="D16">IFERROR(_xlfn.XLOOKUP($A16&amp;"|"&amp;$C16,'Company_Master'!$A$2:$A$94&amp;"|"&amp;'Company_Master'!$D$2:$D$94,'Company_Master'!$H$2:$H$94,""),"")</f>
        <v/>
      </c>
      <c r="E16" s="98">
        <f t="array" ref="E16">IFERROR(_xlfn.XLOOKUP($A16&amp;"|"&amp;$C16,Asset_Operations!$A$2:$A$201&amp;"|"&amp;Asset_Operations!$BG$2:$BG$201,Asset_Operations!$B$2:$B$201,""),"")</f>
        <v/>
      </c>
      <c r="F16" s="98">
        <f t="array" ref="F16">IFERROR(_xlfn.XLOOKUP($A16&amp;"|"&amp;$C16,Asset_Operations!$A$2:$A$201&amp;"|"&amp;Asset_Operations!$BG$2:$BG$201,Asset_Operations!$E$2:$E$201,""),"")</f>
        <v/>
      </c>
      <c r="G16" s="98">
        <f t="array" ref="G16">IFERROR(_xlfn.XLOOKUP($A16&amp;"|"&amp;$C16,Asset_Operations!$A$2:$A$201&amp;"|"&amp;Asset_Operations!$BG$2:$BG$201,Asset_Operations!$I$2:$I$201,""),"")</f>
        <v/>
      </c>
      <c r="H16" s="98">
        <f t="array" ref="H16">IFERROR(_xlfn.XLOOKUP($A16&amp;"|"&amp;$C16,Asset_Operations!$A$2:$A$201&amp;"|"&amp;Asset_Operations!$BG$2:$BG$201,Asset_Operations!$J$2:$J$201,""),"")</f>
        <v/>
      </c>
      <c r="I16" s="98">
        <f t="array" ref="I16">IFERROR(_xlfn.XLOOKUP($A16&amp;"|"&amp;$C16,Asset_Operations!$A$2:$A$201&amp;"|"&amp;Asset_Operations!$BG$2:$BG$201,Asset_Operations!$O$2:$O$201,""),"")</f>
        <v/>
      </c>
      <c r="J16" s="98">
        <f t="array" ref="J16">IFERROR(_xlfn.XLOOKUP($A16&amp;"|"&amp;$C16,Asset_Operations!$A$2:$A$201&amp;"|"&amp;Asset_Operations!$BG$2:$BG$201,Asset_Operations!$S$2:$S$201,""),"")</f>
        <v/>
      </c>
      <c r="K16" s="98">
        <f t="array" ref="K16">IFERROR(_xlfn.XLOOKUP($A16&amp;"|"&amp;$C16,Asset_Operations!$A$2:$A$201&amp;"|"&amp;Asset_Operations!$BG$2:$BG$201,Asset_Operations!$AC$2:$AC$201,""),"")</f>
        <v/>
      </c>
      <c r="L16" s="98">
        <f t="array" ref="L16">IFERROR(_xlfn.XLOOKUP($A16&amp;"|"&amp;$C16,Asset_Operations!$A$2:$A$201&amp;"|"&amp;Asset_Operations!$BG$2:$BG$201,Asset_Operations!$AG$2:$AG$201,""),"")</f>
        <v/>
      </c>
      <c r="M16" s="98">
        <f t="array" ref="M16">IFERROR(_xlfn.XLOOKUP($A16&amp;"|"&amp;$C16,Asset_Operations!$A$2:$A$201&amp;"|"&amp;Asset_Operations!$BG$2:$BG$201,Asset_Operations!$AO$2:$AO$201,""),"")</f>
        <v/>
      </c>
      <c r="N16" s="99">
        <f t="array" ref="N16">IFERROR(_xlfn.XLOOKUP($A16&amp;"|"&amp;$C16,Asset_Operations!$A$2:$A$201&amp;"|"&amp;Asset_Operations!$BG$2:$BG$201,Asset_Operations!$AR$2:$AR$201,""),"")</f>
        <v/>
      </c>
      <c r="O16" s="100">
        <f t="array" ref="O16">IFERROR(_xlfn.XLOOKUP($A16&amp;"|"&amp;$C16,Financials!$A$2:$A$201&amp;"|"&amp;Financials!$B$2:$B$201,Financials!$C$2:$C$201,""),"")</f>
        <v/>
      </c>
      <c r="P16" s="100">
        <f t="array" ref="P16">IFERROR(_xlfn.XLOOKUP($A16&amp;"|"&amp;$C16,Financials!$A$2:$A$201&amp;"|"&amp;Financials!$B$2:$B$201,Financials!$E$2:$E$201,""),"")</f>
        <v/>
      </c>
      <c r="Q16" s="100">
        <f t="array" ref="Q16">IFERROR(_xlfn.XLOOKUP($A16&amp;"|"&amp;$C16,Financials!$A$2:$A$201&amp;"|"&amp;Financials!$B$2:$B$201,Financials!$G$2:$G$201,""),"")</f>
        <v/>
      </c>
      <c r="R16" s="100">
        <f t="array" ref="R16">IFERROR(_xlfn.XLOOKUP($A16&amp;"|"&amp;$C16,Financials!$A$2:$A$201&amp;"|"&amp;Financials!$B$2:$B$201,Financials!$S$2:$S$201,""),"")</f>
        <v/>
      </c>
      <c r="S16" s="100">
        <f t="array" ref="S16">IFERROR(_xlfn.XLOOKUP($A16&amp;"|"&amp;$C16,Financials!$A$2:$A$201&amp;"|"&amp;Financials!$B$2:$B$201,Financials!$AC$2:$AC$201,""),"")</f>
        <v/>
      </c>
      <c r="T16" s="101">
        <f>IFERROR(P16/O16,"")</f>
        <v/>
      </c>
      <c r="U16" s="24">
        <f>IFERROR(R16/P16,"")</f>
        <v/>
      </c>
      <c r="V16" s="102">
        <f>IFERROR(O16/E16,"")</f>
        <v/>
      </c>
      <c r="W16" s="24">
        <f>IFERROR(L16/F16,"")</f>
        <v/>
      </c>
      <c r="X16" s="26">
        <f>IFERROR(IF(NOT(ISNUMBER($E16)),"",IF($E16&gt;=Scoring_Criteria!$D$4,5,IF($E16&gt;=Scoring_Criteria!$E$4,4,IF($E16&gt;=Scoring_Criteria!$F$4,3,IF($E16&gt;=Scoring_Criteria!$G$4,2,1))))),"")</f>
        <v/>
      </c>
      <c r="Y16" s="26">
        <f>IFERROR(IF(OR(NOT(ISNUMBER($F16)),NOT(ISNUMBER($E16)),$E16=0),"",IF(($F16/$E16)&gt;=Scoring_Criteria!$D$5,5,IF(($F16/$E16)&gt;=Scoring_Criteria!$E$5,4,IF(($F16/$E16)&gt;=Scoring_Criteria!$F$5,3,IF(($F16/$E16)&gt;=Scoring_Criteria!$G$5,2,1))))),"")</f>
        <v/>
      </c>
      <c r="Z16" s="26">
        <f>IFERROR(IF(AND(NOT(ISNUMBER($I16)),NOT(ISNUMBER($J16))),"",IF((IFERROR($I16,0)+IFERROR($J16,0))&gt;=Scoring_Criteria!$D$6,5,IF((IFERROR($I16,0)+IFERROR($J16,0))&gt;=Scoring_Criteria!$E$6,4,IF((IFERROR($I16,0)+IFERROR($J16,0))&gt;=Scoring_Criteria!$F$6,3,IF((IFERROR($I16,0)+IFERROR($J16,0))&gt;=Scoring_Criteria!$G$6,2,1))))),"")</f>
        <v/>
      </c>
      <c r="AA16" s="26">
        <f>IFERROR(IF(NOT(ISNUMBER($M16)),"",IF($M16&gt;=Scoring_Criteria!$D$7,5,IF($M16&gt;=Scoring_Criteria!$E$7,4,IF($M16&gt;=Scoring_Criteria!$F$7,3,IF($M16&gt;=Scoring_Criteria!$G$7,2,1))))),"")</f>
        <v/>
      </c>
      <c r="AB16" s="26">
        <f>IFERROR(IF(NOT(ISNUMBER($T16)),"",IF($T16&gt;=Scoring_Criteria!$D$8,5,IF($T16&gt;=Scoring_Criteria!$E$8,4,IF($T16&gt;=Scoring_Criteria!$F$8,3,IF($T16&gt;=Scoring_Criteria!$G$8,2,1))))),"")</f>
        <v/>
      </c>
      <c r="AC16" s="26">
        <f>IFERROR(IF(NOT(ISNUMBER($U16)),"",IF($U16&lt;=Scoring_Criteria!$D$9,5,IF($U16&lt;=Scoring_Criteria!$E$9,4,IF($U16&lt;=Scoring_Criteria!$F$9,3,IF($U16&lt;=Scoring_Criteria!$G$9,2,1))))),"")</f>
        <v/>
      </c>
      <c r="AD16" s="26">
        <f t="array" ref="AD16">IFERROR(IF(NOT(ISNUMBER(_xlfn.XLOOKUP($A16&amp;"|"&amp;$C16,Financials!$A$2:$A$201&amp;"|"&amp;Financials!$B$2:$B$201,Financials!$AD$2:$AD$201,""))),"",IF(_xlfn.XLOOKUP($A16&amp;"|"&amp;$C16,Financials!$A$2:$A$201&amp;"|"&amp;Financials!$B$2:$B$201,Financials!$AD$2:$AD$201,"")&gt;=Scoring_Criteria!$D$10,5,IF(_xlfn.XLOOKUP($A16&amp;"|"&amp;$C16,Financials!$A$2:$A$201&amp;"|"&amp;Financials!$B$2:$B$201,Financials!$AD$2:$AD$201,"")&gt;=Scoring_Criteria!$E$10,4,IF(_xlfn.XLOOKUP($A16&amp;"|"&amp;$C16,Financials!$A$2:$A$201&amp;"|"&amp;Financials!$B$2:$B$201,Financials!$AD$2:$AD$201,"")&gt;=Scoring_Criteria!$F$10,3,IF(_xlfn.XLOOKUP($A16&amp;"|"&amp;$C16,Financials!$A$2:$A$201&amp;"|"&amp;Financials!$B$2:$B$201,Financials!$AD$2:$AD$201,"")&gt;=Scoring_Criteria!$G$10,2,1))))),"")</f>
        <v/>
      </c>
      <c r="AE16" s="27" t="n"/>
      <c r="AF16" s="27" t="n"/>
      <c r="AG16" s="28">
        <f>IFERROR(IF(COUNTA(X16:AF16)=0,"",AVERAGE(X16:AF16)),"")</f>
        <v/>
      </c>
      <c r="AH16" s="29" t="n"/>
      <c r="AI16" s="29" t="n"/>
      <c r="AJ16" s="29" t="n"/>
      <c r="AK16" s="29" t="n"/>
      <c r="AL16" s="29" t="n"/>
      <c r="AM16" s="29" t="n"/>
      <c r="AN16" s="29" t="n"/>
      <c r="AO16" s="29" t="n"/>
      <c r="AP16" s="29" t="n"/>
      <c r="AQ16" s="29" t="n"/>
      <c r="AR16" s="29" t="n"/>
      <c r="AS16" s="29" t="n"/>
      <c r="AT16" s="29" t="n"/>
      <c r="AU16" s="46">
        <f>IFERROR(Validation_Summary!Q5,"")</f>
        <v/>
      </c>
    </row>
    <row r="17" ht="15" customHeight="1" s="67">
      <c r="A17" s="6" t="inlineStr">
        <is>
          <t>PT Eagle High Plantations Tbk</t>
        </is>
      </c>
      <c r="B17" s="19">
        <f t="array" ref="B17">IFERROR(_xlfn.XLOOKUP($A17&amp;"|"&amp;$C17,'Company_Master'!$A$2:$A$94&amp;"|"&amp;'Company_Master'!$D$2:$D$94,'Company_Master'!$B$2:$B$94,""),"")</f>
        <v/>
      </c>
      <c r="C17" s="98" t="n">
        <v>2023</v>
      </c>
      <c r="D17" s="19">
        <f t="array" ref="D17">IFERROR(_xlfn.XLOOKUP($A17&amp;"|"&amp;$C17,'Company_Master'!$A$2:$A$94&amp;"|"&amp;'Company_Master'!$D$2:$D$94,'Company_Master'!$H$2:$H$94,""),"")</f>
        <v/>
      </c>
      <c r="E17" s="98">
        <f t="array" ref="E17">IFERROR(_xlfn.XLOOKUP($A17&amp;"|"&amp;$C17,Asset_Operations!$A$2:$A$201&amp;"|"&amp;Asset_Operations!$BG$2:$BG$201,Asset_Operations!$B$2:$B$201,""),"")</f>
        <v/>
      </c>
      <c r="F17" s="98">
        <f t="array" ref="F17">IFERROR(_xlfn.XLOOKUP($A17&amp;"|"&amp;$C17,Asset_Operations!$A$2:$A$201&amp;"|"&amp;Asset_Operations!$BG$2:$BG$201,Asset_Operations!$E$2:$E$201,""),"")</f>
        <v/>
      </c>
      <c r="G17" s="98">
        <f t="array" ref="G17">IFERROR(_xlfn.XLOOKUP($A17&amp;"|"&amp;$C17,Asset_Operations!$A$2:$A$201&amp;"|"&amp;Asset_Operations!$BG$2:$BG$201,Asset_Operations!$I$2:$I$201,""),"")</f>
        <v/>
      </c>
      <c r="H17" s="98">
        <f t="array" ref="H17">IFERROR(_xlfn.XLOOKUP($A17&amp;"|"&amp;$C17,Asset_Operations!$A$2:$A$201&amp;"|"&amp;Asset_Operations!$BG$2:$BG$201,Asset_Operations!$J$2:$J$201,""),"")</f>
        <v/>
      </c>
      <c r="I17" s="98">
        <f t="array" ref="I17">IFERROR(_xlfn.XLOOKUP($A17&amp;"|"&amp;$C17,Asset_Operations!$A$2:$A$201&amp;"|"&amp;Asset_Operations!$BG$2:$BG$201,Asset_Operations!$O$2:$O$201,""),"")</f>
        <v/>
      </c>
      <c r="J17" s="98">
        <f t="array" ref="J17">IFERROR(_xlfn.XLOOKUP($A17&amp;"|"&amp;$C17,Asset_Operations!$A$2:$A$201&amp;"|"&amp;Asset_Operations!$BG$2:$BG$201,Asset_Operations!$S$2:$S$201,""),"")</f>
        <v/>
      </c>
      <c r="K17" s="98">
        <f t="array" ref="K17">IFERROR(_xlfn.XLOOKUP($A17&amp;"|"&amp;$C17,Asset_Operations!$A$2:$A$201&amp;"|"&amp;Asset_Operations!$BG$2:$BG$201,Asset_Operations!$AC$2:$AC$201,""),"")</f>
        <v/>
      </c>
      <c r="L17" s="98">
        <f t="array" ref="L17">IFERROR(_xlfn.XLOOKUP($A17&amp;"|"&amp;$C17,Asset_Operations!$A$2:$A$201&amp;"|"&amp;Asset_Operations!$BG$2:$BG$201,Asset_Operations!$AG$2:$AG$201,""),"")</f>
        <v/>
      </c>
      <c r="M17" s="98">
        <f t="array" ref="M17">IFERROR(_xlfn.XLOOKUP($A17&amp;"|"&amp;$C17,Asset_Operations!$A$2:$A$201&amp;"|"&amp;Asset_Operations!$BG$2:$BG$201,Asset_Operations!$AO$2:$AO$201,""),"")</f>
        <v/>
      </c>
      <c r="N17" s="99">
        <f t="array" ref="N17">IFERROR(_xlfn.XLOOKUP($A17&amp;"|"&amp;$C17,Asset_Operations!$A$2:$A$201&amp;"|"&amp;Asset_Operations!$BG$2:$BG$201,Asset_Operations!$AR$2:$AR$201,""),"")</f>
        <v/>
      </c>
      <c r="O17" s="100">
        <f t="array" ref="O17">IFERROR(_xlfn.XLOOKUP($A17&amp;"|"&amp;$C17,Financials!$A$2:$A$201&amp;"|"&amp;Financials!$B$2:$B$201,Financials!$C$2:$C$201,""),"")</f>
        <v/>
      </c>
      <c r="P17" s="100">
        <f t="array" ref="P17">IFERROR(_xlfn.XLOOKUP($A17&amp;"|"&amp;$C17,Financials!$A$2:$A$201&amp;"|"&amp;Financials!$B$2:$B$201,Financials!$E$2:$E$201,""),"")</f>
        <v/>
      </c>
      <c r="Q17" s="100">
        <f t="array" ref="Q17">IFERROR(_xlfn.XLOOKUP($A17&amp;"|"&amp;$C17,Financials!$A$2:$A$201&amp;"|"&amp;Financials!$B$2:$B$201,Financials!$G$2:$G$201,""),"")</f>
        <v/>
      </c>
      <c r="R17" s="100">
        <f t="array" ref="R17">IFERROR(_xlfn.XLOOKUP($A17&amp;"|"&amp;$C17,Financials!$A$2:$A$201&amp;"|"&amp;Financials!$B$2:$B$201,Financials!$S$2:$S$201,""),"")</f>
        <v/>
      </c>
      <c r="S17" s="100">
        <f t="array" ref="S17">IFERROR(_xlfn.XLOOKUP($A17&amp;"|"&amp;$C17,Financials!$A$2:$A$201&amp;"|"&amp;Financials!$B$2:$B$201,Financials!$AC$2:$AC$201,""),"")</f>
        <v/>
      </c>
      <c r="T17" s="101">
        <f>IFERROR(P17/O17,"")</f>
        <v/>
      </c>
      <c r="U17" s="24">
        <f>IFERROR(R17/P17,"")</f>
        <v/>
      </c>
      <c r="V17" s="102">
        <f>IFERROR(O17/E17,"")</f>
        <v/>
      </c>
      <c r="W17" s="24">
        <f>IFERROR(L17/F17,"")</f>
        <v/>
      </c>
      <c r="X17" s="26">
        <f>IFERROR(IF(NOT(ISNUMBER($E17)),"",IF($E17&gt;=Scoring_Criteria!$D$4,5,IF($E17&gt;=Scoring_Criteria!$E$4,4,IF($E17&gt;=Scoring_Criteria!$F$4,3,IF($E17&gt;=Scoring_Criteria!$G$4,2,1))))),"")</f>
        <v/>
      </c>
      <c r="Y17" s="26">
        <f>IFERROR(IF(OR(NOT(ISNUMBER($F17)),NOT(ISNUMBER($E17)),$E17=0),"",IF(($F17/$E17)&gt;=Scoring_Criteria!$D$5,5,IF(($F17/$E17)&gt;=Scoring_Criteria!$E$5,4,IF(($F17/$E17)&gt;=Scoring_Criteria!$F$5,3,IF(($F17/$E17)&gt;=Scoring_Criteria!$G$5,2,1))))),"")</f>
        <v/>
      </c>
      <c r="Z17" s="26">
        <f>IFERROR(IF(AND(NOT(ISNUMBER($I17)),NOT(ISNUMBER($J17))),"",IF((IFERROR($I17,0)+IFERROR($J17,0))&gt;=Scoring_Criteria!$D$6,5,IF((IFERROR($I17,0)+IFERROR($J17,0))&gt;=Scoring_Criteria!$E$6,4,IF((IFERROR($I17,0)+IFERROR($J17,0))&gt;=Scoring_Criteria!$F$6,3,IF((IFERROR($I17,0)+IFERROR($J17,0))&gt;=Scoring_Criteria!$G$6,2,1))))),"")</f>
        <v/>
      </c>
      <c r="AA17" s="26">
        <f>IFERROR(IF(NOT(ISNUMBER($M17)),"",IF($M17&gt;=Scoring_Criteria!$D$7,5,IF($M17&gt;=Scoring_Criteria!$E$7,4,IF($M17&gt;=Scoring_Criteria!$F$7,3,IF($M17&gt;=Scoring_Criteria!$G$7,2,1))))),"")</f>
        <v/>
      </c>
      <c r="AB17" s="26">
        <f>IFERROR(IF(NOT(ISNUMBER($T17)),"",IF($T17&gt;=Scoring_Criteria!$D$8,5,IF($T17&gt;=Scoring_Criteria!$E$8,4,IF($T17&gt;=Scoring_Criteria!$F$8,3,IF($T17&gt;=Scoring_Criteria!$G$8,2,1))))),"")</f>
        <v/>
      </c>
      <c r="AC17" s="26">
        <f>IFERROR(IF(NOT(ISNUMBER($U17)),"",IF($U17&lt;=Scoring_Criteria!$D$9,5,IF($U17&lt;=Scoring_Criteria!$E$9,4,IF($U17&lt;=Scoring_Criteria!$F$9,3,IF($U17&lt;=Scoring_Criteria!$G$9,2,1))))),"")</f>
        <v/>
      </c>
      <c r="AD17" s="26">
        <f t="array" ref="AD17">IFERROR(IF(NOT(ISNUMBER(_xlfn.XLOOKUP($A17&amp;"|"&amp;$C17,Financials!$A$2:$A$201&amp;"|"&amp;Financials!$B$2:$B$201,Financials!$AD$2:$AD$201,""))),"",IF(_xlfn.XLOOKUP($A17&amp;"|"&amp;$C17,Financials!$A$2:$A$201&amp;"|"&amp;Financials!$B$2:$B$201,Financials!$AD$2:$AD$201,"")&gt;=Scoring_Criteria!$D$10,5,IF(_xlfn.XLOOKUP($A17&amp;"|"&amp;$C17,Financials!$A$2:$A$201&amp;"|"&amp;Financials!$B$2:$B$201,Financials!$AD$2:$AD$201,"")&gt;=Scoring_Criteria!$E$10,4,IF(_xlfn.XLOOKUP($A17&amp;"|"&amp;$C17,Financials!$A$2:$A$201&amp;"|"&amp;Financials!$B$2:$B$201,Financials!$AD$2:$AD$201,"")&gt;=Scoring_Criteria!$F$10,3,IF(_xlfn.XLOOKUP($A17&amp;"|"&amp;$C17,Financials!$A$2:$A$201&amp;"|"&amp;Financials!$B$2:$B$201,Financials!$AD$2:$AD$201,"")&gt;=Scoring_Criteria!$G$10,2,1))))),"")</f>
        <v/>
      </c>
      <c r="AE17" s="27" t="n"/>
      <c r="AF17" s="27" t="n"/>
      <c r="AG17" s="28">
        <f>IFERROR(IF(COUNTA(X17:AF17)=0,"",AVERAGE(X17:AF17)),"")</f>
        <v/>
      </c>
      <c r="AH17" s="29" t="n"/>
      <c r="AI17" s="29" t="n"/>
      <c r="AJ17" s="29" t="n"/>
      <c r="AK17" s="29" t="n"/>
      <c r="AL17" s="29" t="n"/>
      <c r="AM17" s="29" t="n"/>
      <c r="AN17" s="29" t="n"/>
      <c r="AO17" s="29" t="n"/>
      <c r="AP17" s="29" t="n"/>
      <c r="AQ17" s="29" t="n"/>
      <c r="AR17" s="29" t="n"/>
      <c r="AS17" s="29" t="n"/>
      <c r="AT17" s="29" t="n"/>
      <c r="AU17" s="46">
        <f>IFERROR(Validation_Summary!Q5,"")</f>
        <v/>
      </c>
    </row>
    <row r="18" ht="15" customHeight="1" s="67">
      <c r="A18" s="6" t="inlineStr">
        <is>
          <t>PT Eagle High Plantations Tbk</t>
        </is>
      </c>
      <c r="B18" s="19">
        <f t="array" ref="B18">IFERROR(_xlfn.XLOOKUP($A18&amp;"|"&amp;$C18,'Company_Master'!$A$2:$A$94&amp;"|"&amp;'Company_Master'!$D$2:$D$94,'Company_Master'!$B$2:$B$94,""),"")</f>
        <v/>
      </c>
      <c r="C18" s="98" t="n">
        <v>2024</v>
      </c>
      <c r="D18" s="19">
        <f t="array" ref="D18">IFERROR(_xlfn.XLOOKUP($A18&amp;"|"&amp;$C18,'Company_Master'!$A$2:$A$94&amp;"|"&amp;'Company_Master'!$D$2:$D$94,'Company_Master'!$H$2:$H$94,""),"")</f>
        <v/>
      </c>
      <c r="E18" s="98">
        <f t="array" ref="E18">IFERROR(_xlfn.XLOOKUP($A18&amp;"|"&amp;$C18,Asset_Operations!$A$2:$A$201&amp;"|"&amp;Asset_Operations!$BG$2:$BG$201,Asset_Operations!$B$2:$B$201,""),"")</f>
        <v/>
      </c>
      <c r="F18" s="98">
        <f t="array" ref="F18">IFERROR(_xlfn.XLOOKUP($A18&amp;"|"&amp;$C18,Asset_Operations!$A$2:$A$201&amp;"|"&amp;Asset_Operations!$BG$2:$BG$201,Asset_Operations!$E$2:$E$201,""),"")</f>
        <v/>
      </c>
      <c r="G18" s="98">
        <f t="array" ref="G18">IFERROR(_xlfn.XLOOKUP($A18&amp;"|"&amp;$C18,Asset_Operations!$A$2:$A$201&amp;"|"&amp;Asset_Operations!$BG$2:$BG$201,Asset_Operations!$I$2:$I$201,""),"")</f>
        <v/>
      </c>
      <c r="H18" s="98">
        <f t="array" ref="H18">IFERROR(_xlfn.XLOOKUP($A18&amp;"|"&amp;$C18,Asset_Operations!$A$2:$A$201&amp;"|"&amp;Asset_Operations!$BG$2:$BG$201,Asset_Operations!$J$2:$J$201,""),"")</f>
        <v/>
      </c>
      <c r="I18" s="98">
        <f t="array" ref="I18">IFERROR(_xlfn.XLOOKUP($A18&amp;"|"&amp;$C18,Asset_Operations!$A$2:$A$201&amp;"|"&amp;Asset_Operations!$BG$2:$BG$201,Asset_Operations!$O$2:$O$201,""),"")</f>
        <v/>
      </c>
      <c r="J18" s="98">
        <f t="array" ref="J18">IFERROR(_xlfn.XLOOKUP($A18&amp;"|"&amp;$C18,Asset_Operations!$A$2:$A$201&amp;"|"&amp;Asset_Operations!$BG$2:$BG$201,Asset_Operations!$S$2:$S$201,""),"")</f>
        <v/>
      </c>
      <c r="K18" s="98">
        <f t="array" ref="K18">IFERROR(_xlfn.XLOOKUP($A18&amp;"|"&amp;$C18,Asset_Operations!$A$2:$A$201&amp;"|"&amp;Asset_Operations!$BG$2:$BG$201,Asset_Operations!$AC$2:$AC$201,""),"")</f>
        <v/>
      </c>
      <c r="L18" s="98">
        <f t="array" ref="L18">IFERROR(_xlfn.XLOOKUP($A18&amp;"|"&amp;$C18,Asset_Operations!$A$2:$A$201&amp;"|"&amp;Asset_Operations!$BG$2:$BG$201,Asset_Operations!$AG$2:$AG$201,""),"")</f>
        <v/>
      </c>
      <c r="M18" s="98">
        <f t="array" ref="M18">IFERROR(_xlfn.XLOOKUP($A18&amp;"|"&amp;$C18,Asset_Operations!$A$2:$A$201&amp;"|"&amp;Asset_Operations!$BG$2:$BG$201,Asset_Operations!$AO$2:$AO$201,""),"")</f>
        <v/>
      </c>
      <c r="N18" s="99">
        <f t="array" ref="N18">IFERROR(_xlfn.XLOOKUP($A18&amp;"|"&amp;$C18,Asset_Operations!$A$2:$A$201&amp;"|"&amp;Asset_Operations!$BG$2:$BG$201,Asset_Operations!$AR$2:$AR$201,""),"")</f>
        <v/>
      </c>
      <c r="O18" s="100">
        <f t="array" ref="O18">IFERROR(_xlfn.XLOOKUP($A18&amp;"|"&amp;$C18,Financials!$A$2:$A$201&amp;"|"&amp;Financials!$B$2:$B$201,Financials!$C$2:$C$201,""),"")</f>
        <v/>
      </c>
      <c r="P18" s="100">
        <f t="array" ref="P18">IFERROR(_xlfn.XLOOKUP($A18&amp;"|"&amp;$C18,Financials!$A$2:$A$201&amp;"|"&amp;Financials!$B$2:$B$201,Financials!$E$2:$E$201,""),"")</f>
        <v/>
      </c>
      <c r="Q18" s="100">
        <f t="array" ref="Q18">IFERROR(_xlfn.XLOOKUP($A18&amp;"|"&amp;$C18,Financials!$A$2:$A$201&amp;"|"&amp;Financials!$B$2:$B$201,Financials!$G$2:$G$201,""),"")</f>
        <v/>
      </c>
      <c r="R18" s="100">
        <f t="array" ref="R18">IFERROR(_xlfn.XLOOKUP($A18&amp;"|"&amp;$C18,Financials!$A$2:$A$201&amp;"|"&amp;Financials!$B$2:$B$201,Financials!$S$2:$S$201,""),"")</f>
        <v/>
      </c>
      <c r="S18" s="100">
        <f t="array" ref="S18">IFERROR(_xlfn.XLOOKUP($A18&amp;"|"&amp;$C18,Financials!$A$2:$A$201&amp;"|"&amp;Financials!$B$2:$B$201,Financials!$AC$2:$AC$201,""),"")</f>
        <v/>
      </c>
      <c r="T18" s="101">
        <f>IFERROR(P18/O18,"")</f>
        <v/>
      </c>
      <c r="U18" s="24">
        <f>IFERROR(R18/P18,"")</f>
        <v/>
      </c>
      <c r="V18" s="102">
        <f>IFERROR(O18/E18,"")</f>
        <v/>
      </c>
      <c r="W18" s="24">
        <f>IFERROR(L18/F18,"")</f>
        <v/>
      </c>
      <c r="X18" s="26">
        <f>IFERROR(IF(NOT(ISNUMBER($E18)),"",IF($E18&gt;=Scoring_Criteria!$D$4,5,IF($E18&gt;=Scoring_Criteria!$E$4,4,IF($E18&gt;=Scoring_Criteria!$F$4,3,IF($E18&gt;=Scoring_Criteria!$G$4,2,1))))),"")</f>
        <v/>
      </c>
      <c r="Y18" s="26">
        <f>IFERROR(IF(OR(NOT(ISNUMBER($F18)),NOT(ISNUMBER($E18)),$E18=0),"",IF(($F18/$E18)&gt;=Scoring_Criteria!$D$5,5,IF(($F18/$E18)&gt;=Scoring_Criteria!$E$5,4,IF(($F18/$E18)&gt;=Scoring_Criteria!$F$5,3,IF(($F18/$E18)&gt;=Scoring_Criteria!$G$5,2,1))))),"")</f>
        <v/>
      </c>
      <c r="Z18" s="26">
        <f>IFERROR(IF(AND(NOT(ISNUMBER($I18)),NOT(ISNUMBER($J18))),"",IF((IFERROR($I18,0)+IFERROR($J18,0))&gt;=Scoring_Criteria!$D$6,5,IF((IFERROR($I18,0)+IFERROR($J18,0))&gt;=Scoring_Criteria!$E$6,4,IF((IFERROR($I18,0)+IFERROR($J18,0))&gt;=Scoring_Criteria!$F$6,3,IF((IFERROR($I18,0)+IFERROR($J18,0))&gt;=Scoring_Criteria!$G$6,2,1))))),"")</f>
        <v/>
      </c>
      <c r="AA18" s="26">
        <f>IFERROR(IF(NOT(ISNUMBER($M18)),"",IF($M18&gt;=Scoring_Criteria!$D$7,5,IF($M18&gt;=Scoring_Criteria!$E$7,4,IF($M18&gt;=Scoring_Criteria!$F$7,3,IF($M18&gt;=Scoring_Criteria!$G$7,2,1))))),"")</f>
        <v/>
      </c>
      <c r="AB18" s="26">
        <f>IFERROR(IF(NOT(ISNUMBER($T18)),"",IF($T18&gt;=Scoring_Criteria!$D$8,5,IF($T18&gt;=Scoring_Criteria!$E$8,4,IF($T18&gt;=Scoring_Criteria!$F$8,3,IF($T18&gt;=Scoring_Criteria!$G$8,2,1))))),"")</f>
        <v/>
      </c>
      <c r="AC18" s="26">
        <f>IFERROR(IF(NOT(ISNUMBER($U18)),"",IF($U18&lt;=Scoring_Criteria!$D$9,5,IF($U18&lt;=Scoring_Criteria!$E$9,4,IF($U18&lt;=Scoring_Criteria!$F$9,3,IF($U18&lt;=Scoring_Criteria!$G$9,2,1))))),"")</f>
        <v/>
      </c>
      <c r="AD18" s="26">
        <f t="array" ref="AD18">IFERROR(IF(NOT(ISNUMBER(_xlfn.XLOOKUP($A18&amp;"|"&amp;$C18,Financials!$A$2:$A$201&amp;"|"&amp;Financials!$B$2:$B$201,Financials!$AD$2:$AD$201,""))),"",IF(_xlfn.XLOOKUP($A18&amp;"|"&amp;$C18,Financials!$A$2:$A$201&amp;"|"&amp;Financials!$B$2:$B$201,Financials!$AD$2:$AD$201,"")&gt;=Scoring_Criteria!$D$10,5,IF(_xlfn.XLOOKUP($A18&amp;"|"&amp;$C18,Financials!$A$2:$A$201&amp;"|"&amp;Financials!$B$2:$B$201,Financials!$AD$2:$AD$201,"")&gt;=Scoring_Criteria!$E$10,4,IF(_xlfn.XLOOKUP($A18&amp;"|"&amp;$C18,Financials!$A$2:$A$201&amp;"|"&amp;Financials!$B$2:$B$201,Financials!$AD$2:$AD$201,"")&gt;=Scoring_Criteria!$F$10,3,IF(_xlfn.XLOOKUP($A18&amp;"|"&amp;$C18,Financials!$A$2:$A$201&amp;"|"&amp;Financials!$B$2:$B$201,Financials!$AD$2:$AD$201,"")&gt;=Scoring_Criteria!$G$10,2,1))))),"")</f>
        <v/>
      </c>
      <c r="AE18" s="27" t="n"/>
      <c r="AF18" s="27" t="n"/>
      <c r="AG18" s="28">
        <f>IFERROR(IF(COUNTA(X18:AF18)=0,"",AVERAGE(X18:AF18)),"")</f>
        <v/>
      </c>
      <c r="AH18" s="29" t="n"/>
      <c r="AI18" s="29" t="n"/>
      <c r="AJ18" s="29" t="n"/>
      <c r="AK18" s="29" t="n"/>
      <c r="AL18" s="29" t="n"/>
      <c r="AM18" s="29" t="n"/>
      <c r="AN18" s="29" t="n"/>
      <c r="AO18" s="29" t="n"/>
      <c r="AP18" s="29" t="n"/>
      <c r="AQ18" s="29" t="n"/>
      <c r="AR18" s="29" t="n"/>
      <c r="AS18" s="29" t="n"/>
      <c r="AT18" s="29" t="n"/>
      <c r="AU18" s="46">
        <f>IFERROR(Validation_Summary!Q5,"")</f>
        <v/>
      </c>
    </row>
    <row r="19" ht="15" customHeight="1" s="67">
      <c r="A19" s="6" t="inlineStr">
        <is>
          <t>PT Eagle High Plantations Tbk</t>
        </is>
      </c>
      <c r="B19" s="19">
        <f t="array" ref="B19">IFERROR(_xlfn.XLOOKUP($A19&amp;"|"&amp;$C19,'Company_Master'!$A$2:$A$94&amp;"|"&amp;'Company_Master'!$D$2:$D$94,'Company_Master'!$B$2:$B$94,""),"")</f>
        <v/>
      </c>
      <c r="C19" s="98" t="n">
        <v>2025</v>
      </c>
      <c r="D19" s="19">
        <f t="array" ref="D19">IFERROR(_xlfn.XLOOKUP($A19&amp;"|"&amp;$C19,'Company_Master'!$A$2:$A$94&amp;"|"&amp;'Company_Master'!$D$2:$D$94,'Company_Master'!$H$2:$H$94,""),"")</f>
        <v/>
      </c>
      <c r="E19" s="98">
        <f t="array" ref="E19">IFERROR(_xlfn.XLOOKUP($A19&amp;"|"&amp;$C19,Asset_Operations!$A$2:$A$201&amp;"|"&amp;Asset_Operations!$BG$2:$BG$201,Asset_Operations!$B$2:$B$201,""),"")</f>
        <v/>
      </c>
      <c r="F19" s="98">
        <f t="array" ref="F19">IFERROR(_xlfn.XLOOKUP($A19&amp;"|"&amp;$C19,Asset_Operations!$A$2:$A$201&amp;"|"&amp;Asset_Operations!$BG$2:$BG$201,Asset_Operations!$E$2:$E$201,""),"")</f>
        <v/>
      </c>
      <c r="G19" s="98">
        <f t="array" ref="G19">IFERROR(_xlfn.XLOOKUP($A19&amp;"|"&amp;$C19,Asset_Operations!$A$2:$A$201&amp;"|"&amp;Asset_Operations!$BG$2:$BG$201,Asset_Operations!$I$2:$I$201,""),"")</f>
        <v/>
      </c>
      <c r="H19" s="98">
        <f t="array" ref="H19">IFERROR(_xlfn.XLOOKUP($A19&amp;"|"&amp;$C19,Asset_Operations!$A$2:$A$201&amp;"|"&amp;Asset_Operations!$BG$2:$BG$201,Asset_Operations!$J$2:$J$201,""),"")</f>
        <v/>
      </c>
      <c r="I19" s="98">
        <f t="array" ref="I19">IFERROR(_xlfn.XLOOKUP($A19&amp;"|"&amp;$C19,Asset_Operations!$A$2:$A$201&amp;"|"&amp;Asset_Operations!$BG$2:$BG$201,Asset_Operations!$O$2:$O$201,""),"")</f>
        <v/>
      </c>
      <c r="J19" s="98">
        <f t="array" ref="J19">IFERROR(_xlfn.XLOOKUP($A19&amp;"|"&amp;$C19,Asset_Operations!$A$2:$A$201&amp;"|"&amp;Asset_Operations!$BG$2:$BG$201,Asset_Operations!$S$2:$S$201,""),"")</f>
        <v/>
      </c>
      <c r="K19" s="98">
        <f t="array" ref="K19">IFERROR(_xlfn.XLOOKUP($A19&amp;"|"&amp;$C19,Asset_Operations!$A$2:$A$201&amp;"|"&amp;Asset_Operations!$BG$2:$BG$201,Asset_Operations!$AC$2:$AC$201,""),"")</f>
        <v/>
      </c>
      <c r="L19" s="98">
        <f t="array" ref="L19">IFERROR(_xlfn.XLOOKUP($A19&amp;"|"&amp;$C19,Asset_Operations!$A$2:$A$201&amp;"|"&amp;Asset_Operations!$BG$2:$BG$201,Asset_Operations!$AG$2:$AG$201,""),"")</f>
        <v/>
      </c>
      <c r="M19" s="98">
        <f t="array" ref="M19">IFERROR(_xlfn.XLOOKUP($A19&amp;"|"&amp;$C19,Asset_Operations!$A$2:$A$201&amp;"|"&amp;Asset_Operations!$BG$2:$BG$201,Asset_Operations!$AO$2:$AO$201,""),"")</f>
        <v/>
      </c>
      <c r="N19" s="99">
        <f t="array" ref="N19">IFERROR(_xlfn.XLOOKUP($A19&amp;"|"&amp;$C19,Asset_Operations!$A$2:$A$201&amp;"|"&amp;Asset_Operations!$BG$2:$BG$201,Asset_Operations!$AR$2:$AR$201,""),"")</f>
        <v/>
      </c>
      <c r="O19" s="100">
        <f t="array" ref="O19">IFERROR(_xlfn.XLOOKUP($A19&amp;"|"&amp;$C19,Financials!$A$2:$A$201&amp;"|"&amp;Financials!$B$2:$B$201,Financials!$C$2:$C$201,""),"")</f>
        <v/>
      </c>
      <c r="P19" s="100">
        <f t="array" ref="P19">IFERROR(_xlfn.XLOOKUP($A19&amp;"|"&amp;$C19,Financials!$A$2:$A$201&amp;"|"&amp;Financials!$B$2:$B$201,Financials!$E$2:$E$201,""),"")</f>
        <v/>
      </c>
      <c r="Q19" s="100">
        <f t="array" ref="Q19">IFERROR(_xlfn.XLOOKUP($A19&amp;"|"&amp;$C19,Financials!$A$2:$A$201&amp;"|"&amp;Financials!$B$2:$B$201,Financials!$G$2:$G$201,""),"")</f>
        <v/>
      </c>
      <c r="R19" s="100">
        <f t="array" ref="R19">IFERROR(_xlfn.XLOOKUP($A19&amp;"|"&amp;$C19,Financials!$A$2:$A$201&amp;"|"&amp;Financials!$B$2:$B$201,Financials!$S$2:$S$201,""),"")</f>
        <v/>
      </c>
      <c r="S19" s="100">
        <f t="array" ref="S19">IFERROR(_xlfn.XLOOKUP($A19&amp;"|"&amp;$C19,Financials!$A$2:$A$201&amp;"|"&amp;Financials!$B$2:$B$201,Financials!$AC$2:$AC$201,""),"")</f>
        <v/>
      </c>
      <c r="T19" s="101">
        <f>IFERROR(P19/O19,"")</f>
        <v/>
      </c>
      <c r="U19" s="24">
        <f>IFERROR(R19/P19,"")</f>
        <v/>
      </c>
      <c r="V19" s="102">
        <f>IFERROR(O19/E19,"")</f>
        <v/>
      </c>
      <c r="W19" s="24">
        <f>IFERROR(L19/F19,"")</f>
        <v/>
      </c>
      <c r="X19" s="26">
        <f>IFERROR(IF(NOT(ISNUMBER($E19)),"",IF($E19&gt;=Scoring_Criteria!$D$4,5,IF($E19&gt;=Scoring_Criteria!$E$4,4,IF($E19&gt;=Scoring_Criteria!$F$4,3,IF($E19&gt;=Scoring_Criteria!$G$4,2,1))))),"")</f>
        <v/>
      </c>
      <c r="Y19" s="26">
        <f>IFERROR(IF(OR(NOT(ISNUMBER($F19)),NOT(ISNUMBER($E19)),$E19=0),"",IF(($F19/$E19)&gt;=Scoring_Criteria!$D$5,5,IF(($F19/$E19)&gt;=Scoring_Criteria!$E$5,4,IF(($F19/$E19)&gt;=Scoring_Criteria!$F$5,3,IF(($F19/$E19)&gt;=Scoring_Criteria!$G$5,2,1))))),"")</f>
        <v/>
      </c>
      <c r="Z19" s="26">
        <f>IFERROR(IF(AND(NOT(ISNUMBER($I19)),NOT(ISNUMBER($J19))),"",IF((IFERROR($I19,0)+IFERROR($J19,0))&gt;=Scoring_Criteria!$D$6,5,IF((IFERROR($I19,0)+IFERROR($J19,0))&gt;=Scoring_Criteria!$E$6,4,IF((IFERROR($I19,0)+IFERROR($J19,0))&gt;=Scoring_Criteria!$F$6,3,IF((IFERROR($I19,0)+IFERROR($J19,0))&gt;=Scoring_Criteria!$G$6,2,1))))),"")</f>
        <v/>
      </c>
      <c r="AA19" s="26">
        <f>IFERROR(IF(NOT(ISNUMBER($M19)),"",IF($M19&gt;=Scoring_Criteria!$D$7,5,IF($M19&gt;=Scoring_Criteria!$E$7,4,IF($M19&gt;=Scoring_Criteria!$F$7,3,IF($M19&gt;=Scoring_Criteria!$G$7,2,1))))),"")</f>
        <v/>
      </c>
      <c r="AB19" s="26">
        <f>IFERROR(IF(NOT(ISNUMBER($T19)),"",IF($T19&gt;=Scoring_Criteria!$D$8,5,IF($T19&gt;=Scoring_Criteria!$E$8,4,IF($T19&gt;=Scoring_Criteria!$F$8,3,IF($T19&gt;=Scoring_Criteria!$G$8,2,1))))),"")</f>
        <v/>
      </c>
      <c r="AC19" s="26">
        <f>IFERROR(IF(NOT(ISNUMBER($U19)),"",IF($U19&lt;=Scoring_Criteria!$D$9,5,IF($U19&lt;=Scoring_Criteria!$E$9,4,IF($U19&lt;=Scoring_Criteria!$F$9,3,IF($U19&lt;=Scoring_Criteria!$G$9,2,1))))),"")</f>
        <v/>
      </c>
      <c r="AD19" s="26">
        <f t="array" ref="AD19">IFERROR(IF(NOT(ISNUMBER(_xlfn.XLOOKUP($A19&amp;"|"&amp;$C19,Financials!$A$2:$A$201&amp;"|"&amp;Financials!$B$2:$B$201,Financials!$AD$2:$AD$201,""))),"",IF(_xlfn.XLOOKUP($A19&amp;"|"&amp;$C19,Financials!$A$2:$A$201&amp;"|"&amp;Financials!$B$2:$B$201,Financials!$AD$2:$AD$201,"")&gt;=Scoring_Criteria!$D$10,5,IF(_xlfn.XLOOKUP($A19&amp;"|"&amp;$C19,Financials!$A$2:$A$201&amp;"|"&amp;Financials!$B$2:$B$201,Financials!$AD$2:$AD$201,"")&gt;=Scoring_Criteria!$E$10,4,IF(_xlfn.XLOOKUP($A19&amp;"|"&amp;$C19,Financials!$A$2:$A$201&amp;"|"&amp;Financials!$B$2:$B$201,Financials!$AD$2:$AD$201,"")&gt;=Scoring_Criteria!$F$10,3,IF(_xlfn.XLOOKUP($A19&amp;"|"&amp;$C19,Financials!$A$2:$A$201&amp;"|"&amp;Financials!$B$2:$B$201,Financials!$AD$2:$AD$201,"")&gt;=Scoring_Criteria!$G$10,2,1))))),"")</f>
        <v/>
      </c>
      <c r="AE19" s="27" t="n"/>
      <c r="AF19" s="27" t="n"/>
      <c r="AG19" s="28">
        <f>IFERROR(IF(COUNTA(X19:AF19)=0,"",AVERAGE(X19:AF19)),"")</f>
        <v/>
      </c>
      <c r="AH19" s="29" t="n"/>
      <c r="AI19" s="29" t="n"/>
      <c r="AJ19" s="29" t="n"/>
      <c r="AK19" s="29" t="n"/>
      <c r="AL19" s="29" t="n"/>
      <c r="AM19" s="29" t="n"/>
      <c r="AN19" s="29" t="n"/>
      <c r="AO19" s="29" t="n"/>
      <c r="AP19" s="29" t="n"/>
      <c r="AQ19" s="29" t="n"/>
      <c r="AR19" s="29" t="n"/>
      <c r="AS19" s="29" t="n"/>
      <c r="AT19" s="29" t="n"/>
      <c r="AU19" s="46">
        <f>IFERROR(Validation_Summary!Q5,"")</f>
        <v/>
      </c>
    </row>
    <row r="20" ht="15" customHeight="1" s="67">
      <c r="A20" s="6" t="inlineStr">
        <is>
          <t>PT Citra Borneo Utama Tbk</t>
        </is>
      </c>
      <c r="B20" s="19">
        <f t="array" ref="B20">IFERROR(_xlfn.XLOOKUP($A20&amp;"|"&amp;$C20,'Company_Master'!$A$2:$A$94&amp;"|"&amp;'Company_Master'!$D$2:$D$94,'Company_Master'!$B$2:$B$94,""),"")</f>
        <v/>
      </c>
      <c r="C20" s="98" t="n">
        <v>2023</v>
      </c>
      <c r="D20" s="19">
        <f t="array" ref="D20">IFERROR(_xlfn.XLOOKUP($A20&amp;"|"&amp;$C20,'Company_Master'!$A$2:$A$94&amp;"|"&amp;'Company_Master'!$D$2:$D$94,'Company_Master'!$H$2:$H$94,""),"")</f>
        <v/>
      </c>
      <c r="E20" s="98">
        <f t="array" ref="E20">IFERROR(_xlfn.XLOOKUP($A20&amp;"|"&amp;$C20,Asset_Operations!$A$2:$A$201&amp;"|"&amp;Asset_Operations!$BG$2:$BG$201,Asset_Operations!$B$2:$B$201,""),"")</f>
        <v/>
      </c>
      <c r="F20" s="98">
        <f t="array" ref="F20">IFERROR(_xlfn.XLOOKUP($A20&amp;"|"&amp;$C20,Asset_Operations!$A$2:$A$201&amp;"|"&amp;Asset_Operations!$BG$2:$BG$201,Asset_Operations!$E$2:$E$201,""),"")</f>
        <v/>
      </c>
      <c r="G20" s="98">
        <f t="array" ref="G20">IFERROR(_xlfn.XLOOKUP($A20&amp;"|"&amp;$C20,Asset_Operations!$A$2:$A$201&amp;"|"&amp;Asset_Operations!$BG$2:$BG$201,Asset_Operations!$I$2:$I$201,""),"")</f>
        <v/>
      </c>
      <c r="H20" s="98">
        <f t="array" ref="H20">IFERROR(_xlfn.XLOOKUP($A20&amp;"|"&amp;$C20,Asset_Operations!$A$2:$A$201&amp;"|"&amp;Asset_Operations!$BG$2:$BG$201,Asset_Operations!$J$2:$J$201,""),"")</f>
        <v/>
      </c>
      <c r="I20" s="98">
        <f t="array" ref="I20">IFERROR(_xlfn.XLOOKUP($A20&amp;"|"&amp;$C20,Asset_Operations!$A$2:$A$201&amp;"|"&amp;Asset_Operations!$BG$2:$BG$201,Asset_Operations!$O$2:$O$201,""),"")</f>
        <v/>
      </c>
      <c r="J20" s="98">
        <f t="array" ref="J20">IFERROR(_xlfn.XLOOKUP($A20&amp;"|"&amp;$C20,Asset_Operations!$A$2:$A$201&amp;"|"&amp;Asset_Operations!$BG$2:$BG$201,Asset_Operations!$S$2:$S$201,""),"")</f>
        <v/>
      </c>
      <c r="K20" s="98">
        <f t="array" ref="K20">IFERROR(_xlfn.XLOOKUP($A20&amp;"|"&amp;$C20,Asset_Operations!$A$2:$A$201&amp;"|"&amp;Asset_Operations!$BG$2:$BG$201,Asset_Operations!$AC$2:$AC$201,""),"")</f>
        <v/>
      </c>
      <c r="L20" s="98">
        <f t="array" ref="L20">IFERROR(_xlfn.XLOOKUP($A20&amp;"|"&amp;$C20,Asset_Operations!$A$2:$A$201&amp;"|"&amp;Asset_Operations!$BG$2:$BG$201,Asset_Operations!$AG$2:$AG$201,""),"")</f>
        <v/>
      </c>
      <c r="M20" s="98">
        <f t="array" ref="M20">IFERROR(_xlfn.XLOOKUP($A20&amp;"|"&amp;$C20,Asset_Operations!$A$2:$A$201&amp;"|"&amp;Asset_Operations!$BG$2:$BG$201,Asset_Operations!$AO$2:$AO$201,""),"")</f>
        <v/>
      </c>
      <c r="N20" s="99">
        <f t="array" ref="N20">IFERROR(_xlfn.XLOOKUP($A20&amp;"|"&amp;$C20,Asset_Operations!$A$2:$A$201&amp;"|"&amp;Asset_Operations!$BG$2:$BG$201,Asset_Operations!$AR$2:$AR$201,""),"")</f>
        <v/>
      </c>
      <c r="O20" s="100">
        <f t="array" ref="O20">IFERROR(_xlfn.XLOOKUP($A20&amp;"|"&amp;$C20,Financials!$A$2:$A$201&amp;"|"&amp;Financials!$B$2:$B$201,Financials!$C$2:$C$201,""),"")</f>
        <v/>
      </c>
      <c r="P20" s="100">
        <f t="array" ref="P20">IFERROR(_xlfn.XLOOKUP($A20&amp;"|"&amp;$C20,Financials!$A$2:$A$201&amp;"|"&amp;Financials!$B$2:$B$201,Financials!$E$2:$E$201,""),"")</f>
        <v/>
      </c>
      <c r="Q20" s="100">
        <f t="array" ref="Q20">IFERROR(_xlfn.XLOOKUP($A20&amp;"|"&amp;$C20,Financials!$A$2:$A$201&amp;"|"&amp;Financials!$B$2:$B$201,Financials!$G$2:$G$201,""),"")</f>
        <v/>
      </c>
      <c r="R20" s="100">
        <f t="array" ref="R20">IFERROR(_xlfn.XLOOKUP($A20&amp;"|"&amp;$C20,Financials!$A$2:$A$201&amp;"|"&amp;Financials!$B$2:$B$201,Financials!$S$2:$S$201,""),"")</f>
        <v/>
      </c>
      <c r="S20" s="100">
        <f t="array" ref="S20">IFERROR(_xlfn.XLOOKUP($A20&amp;"|"&amp;$C20,Financials!$A$2:$A$201&amp;"|"&amp;Financials!$B$2:$B$201,Financials!$AC$2:$AC$201,""),"")</f>
        <v/>
      </c>
      <c r="T20" s="101">
        <f>IFERROR(P20/O20,"")</f>
        <v/>
      </c>
      <c r="U20" s="24">
        <f>IFERROR(R20/P20,"")</f>
        <v/>
      </c>
      <c r="V20" s="102">
        <f>IFERROR(O20/E20,"")</f>
        <v/>
      </c>
      <c r="W20" s="24">
        <f>IFERROR(L20/F20,"")</f>
        <v/>
      </c>
      <c r="X20" s="26">
        <f>IFERROR(IF(NOT(ISNUMBER($E20)),"",IF($E20&gt;=Scoring_Criteria!$D$4,5,IF($E20&gt;=Scoring_Criteria!$E$4,4,IF($E20&gt;=Scoring_Criteria!$F$4,3,IF($E20&gt;=Scoring_Criteria!$G$4,2,1))))),"")</f>
        <v/>
      </c>
      <c r="Y20" s="26">
        <f>IFERROR(IF(OR(NOT(ISNUMBER($F20)),NOT(ISNUMBER($E20)),$E20=0),"",IF(($F20/$E20)&gt;=Scoring_Criteria!$D$5,5,IF(($F20/$E20)&gt;=Scoring_Criteria!$E$5,4,IF(($F20/$E20)&gt;=Scoring_Criteria!$F$5,3,IF(($F20/$E20)&gt;=Scoring_Criteria!$G$5,2,1))))),"")</f>
        <v/>
      </c>
      <c r="Z20" s="26">
        <f>IFERROR(IF(AND(NOT(ISNUMBER($I20)),NOT(ISNUMBER($J20))),"",IF((IFERROR($I20,0)+IFERROR($J20,0))&gt;=Scoring_Criteria!$D$6,5,IF((IFERROR($I20,0)+IFERROR($J20,0))&gt;=Scoring_Criteria!$E$6,4,IF((IFERROR($I20,0)+IFERROR($J20,0))&gt;=Scoring_Criteria!$F$6,3,IF((IFERROR($I20,0)+IFERROR($J20,0))&gt;=Scoring_Criteria!$G$6,2,1))))),"")</f>
        <v/>
      </c>
      <c r="AA20" s="26">
        <f>IFERROR(IF(NOT(ISNUMBER($M20)),"",IF($M20&gt;=Scoring_Criteria!$D$7,5,IF($M20&gt;=Scoring_Criteria!$E$7,4,IF($M20&gt;=Scoring_Criteria!$F$7,3,IF($M20&gt;=Scoring_Criteria!$G$7,2,1))))),"")</f>
        <v/>
      </c>
      <c r="AB20" s="26">
        <f>IFERROR(IF(NOT(ISNUMBER($T20)),"",IF($T20&gt;=Scoring_Criteria!$D$8,5,IF($T20&gt;=Scoring_Criteria!$E$8,4,IF($T20&gt;=Scoring_Criteria!$F$8,3,IF($T20&gt;=Scoring_Criteria!$G$8,2,1))))),"")</f>
        <v/>
      </c>
      <c r="AC20" s="26">
        <f>IFERROR(IF(NOT(ISNUMBER($U20)),"",IF($U20&lt;=Scoring_Criteria!$D$9,5,IF($U20&lt;=Scoring_Criteria!$E$9,4,IF($U20&lt;=Scoring_Criteria!$F$9,3,IF($U20&lt;=Scoring_Criteria!$G$9,2,1))))),"")</f>
        <v/>
      </c>
      <c r="AD20" s="26">
        <f t="array" ref="AD20">IFERROR(IF(NOT(ISNUMBER(_xlfn.XLOOKUP($A20&amp;"|"&amp;$C20,Financials!$A$2:$A$201&amp;"|"&amp;Financials!$B$2:$B$201,Financials!$AD$2:$AD$201,""))),"",IF(_xlfn.XLOOKUP($A20&amp;"|"&amp;$C20,Financials!$A$2:$A$201&amp;"|"&amp;Financials!$B$2:$B$201,Financials!$AD$2:$AD$201,"")&gt;=Scoring_Criteria!$D$10,5,IF(_xlfn.XLOOKUP($A20&amp;"|"&amp;$C20,Financials!$A$2:$A$201&amp;"|"&amp;Financials!$B$2:$B$201,Financials!$AD$2:$AD$201,"")&gt;=Scoring_Criteria!$E$10,4,IF(_xlfn.XLOOKUP($A20&amp;"|"&amp;$C20,Financials!$A$2:$A$201&amp;"|"&amp;Financials!$B$2:$B$201,Financials!$AD$2:$AD$201,"")&gt;=Scoring_Criteria!$F$10,3,IF(_xlfn.XLOOKUP($A20&amp;"|"&amp;$C20,Financials!$A$2:$A$201&amp;"|"&amp;Financials!$B$2:$B$201,Financials!$AD$2:$AD$201,"")&gt;=Scoring_Criteria!$G$10,2,1))))),"")</f>
        <v/>
      </c>
      <c r="AE20" s="27" t="n"/>
      <c r="AF20" s="27" t="n"/>
      <c r="AG20" s="28">
        <f>IFERROR(IF(COUNTA(X20:AF20)=0,"",AVERAGE(X20:AF20)),"")</f>
        <v/>
      </c>
      <c r="AH20" s="29" t="n"/>
      <c r="AI20" s="29" t="n"/>
      <c r="AJ20" s="29" t="n"/>
      <c r="AK20" s="29" t="n"/>
      <c r="AL20" s="29" t="n"/>
      <c r="AM20" s="29" t="n"/>
      <c r="AN20" s="29" t="n"/>
      <c r="AO20" s="29" t="n"/>
      <c r="AP20" s="29" t="n"/>
      <c r="AQ20" s="29" t="n"/>
      <c r="AR20" s="29" t="n"/>
      <c r="AS20" s="29" t="n"/>
      <c r="AT20" s="29" t="n"/>
      <c r="AU20" s="46">
        <f>IFERROR(Validation_Summary!Q5,"")</f>
        <v/>
      </c>
    </row>
    <row r="21" ht="15" customHeight="1" s="67">
      <c r="A21" s="6" t="inlineStr">
        <is>
          <t>PT Citra Borneo Utama Tbk</t>
        </is>
      </c>
      <c r="B21" s="19">
        <f t="array" ref="B21">IFERROR(_xlfn.XLOOKUP($A21&amp;"|"&amp;$C21,'Company_Master'!$A$2:$A$94&amp;"|"&amp;'Company_Master'!$D$2:$D$94,'Company_Master'!$B$2:$B$94,""),"")</f>
        <v/>
      </c>
      <c r="C21" s="98" t="n">
        <v>2024</v>
      </c>
      <c r="D21" s="19">
        <f t="array" ref="D21">IFERROR(_xlfn.XLOOKUP($A21&amp;"|"&amp;$C21,'Company_Master'!$A$2:$A$94&amp;"|"&amp;'Company_Master'!$D$2:$D$94,'Company_Master'!$H$2:$H$94,""),"")</f>
        <v/>
      </c>
      <c r="E21" s="98">
        <f t="array" ref="E21">IFERROR(_xlfn.XLOOKUP($A21&amp;"|"&amp;$C21,Asset_Operations!$A$2:$A$201&amp;"|"&amp;Asset_Operations!$BG$2:$BG$201,Asset_Operations!$B$2:$B$201,""),"")</f>
        <v/>
      </c>
      <c r="F21" s="98">
        <f t="array" ref="F21">IFERROR(_xlfn.XLOOKUP($A21&amp;"|"&amp;$C21,Asset_Operations!$A$2:$A$201&amp;"|"&amp;Asset_Operations!$BG$2:$BG$201,Asset_Operations!$E$2:$E$201,""),"")</f>
        <v/>
      </c>
      <c r="G21" s="98">
        <f t="array" ref="G21">IFERROR(_xlfn.XLOOKUP($A21&amp;"|"&amp;$C21,Asset_Operations!$A$2:$A$201&amp;"|"&amp;Asset_Operations!$BG$2:$BG$201,Asset_Operations!$I$2:$I$201,""),"")</f>
        <v/>
      </c>
      <c r="H21" s="98">
        <f t="array" ref="H21">IFERROR(_xlfn.XLOOKUP($A21&amp;"|"&amp;$C21,Asset_Operations!$A$2:$A$201&amp;"|"&amp;Asset_Operations!$BG$2:$BG$201,Asset_Operations!$J$2:$J$201,""),"")</f>
        <v/>
      </c>
      <c r="I21" s="98">
        <f t="array" ref="I21">IFERROR(_xlfn.XLOOKUP($A21&amp;"|"&amp;$C21,Asset_Operations!$A$2:$A$201&amp;"|"&amp;Asset_Operations!$BG$2:$BG$201,Asset_Operations!$O$2:$O$201,""),"")</f>
        <v/>
      </c>
      <c r="J21" s="98">
        <f t="array" ref="J21">IFERROR(_xlfn.XLOOKUP($A21&amp;"|"&amp;$C21,Asset_Operations!$A$2:$A$201&amp;"|"&amp;Asset_Operations!$BG$2:$BG$201,Asset_Operations!$S$2:$S$201,""),"")</f>
        <v/>
      </c>
      <c r="K21" s="98">
        <f t="array" ref="K21">IFERROR(_xlfn.XLOOKUP($A21&amp;"|"&amp;$C21,Asset_Operations!$A$2:$A$201&amp;"|"&amp;Asset_Operations!$BG$2:$BG$201,Asset_Operations!$AC$2:$AC$201,""),"")</f>
        <v/>
      </c>
      <c r="L21" s="98">
        <f t="array" ref="L21">IFERROR(_xlfn.XLOOKUP($A21&amp;"|"&amp;$C21,Asset_Operations!$A$2:$A$201&amp;"|"&amp;Asset_Operations!$BG$2:$BG$201,Asset_Operations!$AG$2:$AG$201,""),"")</f>
        <v/>
      </c>
      <c r="M21" s="98">
        <f t="array" ref="M21">IFERROR(_xlfn.XLOOKUP($A21&amp;"|"&amp;$C21,Asset_Operations!$A$2:$A$201&amp;"|"&amp;Asset_Operations!$BG$2:$BG$201,Asset_Operations!$AO$2:$AO$201,""),"")</f>
        <v/>
      </c>
      <c r="N21" s="99">
        <f t="array" ref="N21">IFERROR(_xlfn.XLOOKUP($A21&amp;"|"&amp;$C21,Asset_Operations!$A$2:$A$201&amp;"|"&amp;Asset_Operations!$BG$2:$BG$201,Asset_Operations!$AR$2:$AR$201,""),"")</f>
        <v/>
      </c>
      <c r="O21" s="100">
        <f t="array" ref="O21">IFERROR(_xlfn.XLOOKUP($A21&amp;"|"&amp;$C21,Financials!$A$2:$A$201&amp;"|"&amp;Financials!$B$2:$B$201,Financials!$C$2:$C$201,""),"")</f>
        <v/>
      </c>
      <c r="P21" s="100">
        <f t="array" ref="P21">IFERROR(_xlfn.XLOOKUP($A21&amp;"|"&amp;$C21,Financials!$A$2:$A$201&amp;"|"&amp;Financials!$B$2:$B$201,Financials!$E$2:$E$201,""),"")</f>
        <v/>
      </c>
      <c r="Q21" s="100">
        <f t="array" ref="Q21">IFERROR(_xlfn.XLOOKUP($A21&amp;"|"&amp;$C21,Financials!$A$2:$A$201&amp;"|"&amp;Financials!$B$2:$B$201,Financials!$G$2:$G$201,""),"")</f>
        <v/>
      </c>
      <c r="R21" s="100">
        <f t="array" ref="R21">IFERROR(_xlfn.XLOOKUP($A21&amp;"|"&amp;$C21,Financials!$A$2:$A$201&amp;"|"&amp;Financials!$B$2:$B$201,Financials!$S$2:$S$201,""),"")</f>
        <v/>
      </c>
      <c r="S21" s="100">
        <f t="array" ref="S21">IFERROR(_xlfn.XLOOKUP($A21&amp;"|"&amp;$C21,Financials!$A$2:$A$201&amp;"|"&amp;Financials!$B$2:$B$201,Financials!$AC$2:$AC$201,""),"")</f>
        <v/>
      </c>
      <c r="T21" s="101">
        <f>IFERROR(P21/O21,"")</f>
        <v/>
      </c>
      <c r="U21" s="24">
        <f>IFERROR(R21/P21,"")</f>
        <v/>
      </c>
      <c r="V21" s="102">
        <f>IFERROR(O21/E21,"")</f>
        <v/>
      </c>
      <c r="W21" s="24">
        <f>IFERROR(L21/F21,"")</f>
        <v/>
      </c>
      <c r="X21" s="26">
        <f>IFERROR(IF(NOT(ISNUMBER($E21)),"",IF($E21&gt;=Scoring_Criteria!$D$4,5,IF($E21&gt;=Scoring_Criteria!$E$4,4,IF($E21&gt;=Scoring_Criteria!$F$4,3,IF($E21&gt;=Scoring_Criteria!$G$4,2,1))))),"")</f>
        <v/>
      </c>
      <c r="Y21" s="26">
        <f>IFERROR(IF(OR(NOT(ISNUMBER($F21)),NOT(ISNUMBER($E21)),$E21=0),"",IF(($F21/$E21)&gt;=Scoring_Criteria!$D$5,5,IF(($F21/$E21)&gt;=Scoring_Criteria!$E$5,4,IF(($F21/$E21)&gt;=Scoring_Criteria!$F$5,3,IF(($F21/$E21)&gt;=Scoring_Criteria!$G$5,2,1))))),"")</f>
        <v/>
      </c>
      <c r="Z21" s="26">
        <f>IFERROR(IF(AND(NOT(ISNUMBER($I21)),NOT(ISNUMBER($J21))),"",IF((IFERROR($I21,0)+IFERROR($J21,0))&gt;=Scoring_Criteria!$D$6,5,IF((IFERROR($I21,0)+IFERROR($J21,0))&gt;=Scoring_Criteria!$E$6,4,IF((IFERROR($I21,0)+IFERROR($J21,0))&gt;=Scoring_Criteria!$F$6,3,IF((IFERROR($I21,0)+IFERROR($J21,0))&gt;=Scoring_Criteria!$G$6,2,1))))),"")</f>
        <v/>
      </c>
      <c r="AA21" s="26">
        <f>IFERROR(IF(NOT(ISNUMBER($M21)),"",IF($M21&gt;=Scoring_Criteria!$D$7,5,IF($M21&gt;=Scoring_Criteria!$E$7,4,IF($M21&gt;=Scoring_Criteria!$F$7,3,IF($M21&gt;=Scoring_Criteria!$G$7,2,1))))),"")</f>
        <v/>
      </c>
      <c r="AB21" s="26">
        <f>IFERROR(IF(NOT(ISNUMBER($T21)),"",IF($T21&gt;=Scoring_Criteria!$D$8,5,IF($T21&gt;=Scoring_Criteria!$E$8,4,IF($T21&gt;=Scoring_Criteria!$F$8,3,IF($T21&gt;=Scoring_Criteria!$G$8,2,1))))),"")</f>
        <v/>
      </c>
      <c r="AC21" s="26">
        <f>IFERROR(IF(NOT(ISNUMBER($U21)),"",IF($U21&lt;=Scoring_Criteria!$D$9,5,IF($U21&lt;=Scoring_Criteria!$E$9,4,IF($U21&lt;=Scoring_Criteria!$F$9,3,IF($U21&lt;=Scoring_Criteria!$G$9,2,1))))),"")</f>
        <v/>
      </c>
      <c r="AD21" s="26">
        <f t="array" ref="AD21">IFERROR(IF(NOT(ISNUMBER(_xlfn.XLOOKUP($A21&amp;"|"&amp;$C21,Financials!$A$2:$A$201&amp;"|"&amp;Financials!$B$2:$B$201,Financials!$AD$2:$AD$201,""))),"",IF(_xlfn.XLOOKUP($A21&amp;"|"&amp;$C21,Financials!$A$2:$A$201&amp;"|"&amp;Financials!$B$2:$B$201,Financials!$AD$2:$AD$201,"")&gt;=Scoring_Criteria!$D$10,5,IF(_xlfn.XLOOKUP($A21&amp;"|"&amp;$C21,Financials!$A$2:$A$201&amp;"|"&amp;Financials!$B$2:$B$201,Financials!$AD$2:$AD$201,"")&gt;=Scoring_Criteria!$E$10,4,IF(_xlfn.XLOOKUP($A21&amp;"|"&amp;$C21,Financials!$A$2:$A$201&amp;"|"&amp;Financials!$B$2:$B$201,Financials!$AD$2:$AD$201,"")&gt;=Scoring_Criteria!$F$10,3,IF(_xlfn.XLOOKUP($A21&amp;"|"&amp;$C21,Financials!$A$2:$A$201&amp;"|"&amp;Financials!$B$2:$B$201,Financials!$AD$2:$AD$201,"")&gt;=Scoring_Criteria!$G$10,2,1))))),"")</f>
        <v/>
      </c>
      <c r="AE21" s="27" t="n"/>
      <c r="AF21" s="27" t="n"/>
      <c r="AG21" s="28">
        <f>IFERROR(IF(COUNTA(X21:AF21)=0,"",AVERAGE(X21:AF21)),"")</f>
        <v/>
      </c>
      <c r="AH21" s="29" t="n"/>
      <c r="AI21" s="29" t="n"/>
      <c r="AJ21" s="29" t="n"/>
      <c r="AK21" s="29" t="n"/>
      <c r="AL21" s="29" t="n"/>
      <c r="AM21" s="29" t="n"/>
      <c r="AN21" s="29" t="n"/>
      <c r="AO21" s="29" t="n"/>
      <c r="AP21" s="29" t="n"/>
      <c r="AQ21" s="29" t="n"/>
      <c r="AR21" s="29" t="n"/>
      <c r="AS21" s="29" t="n"/>
      <c r="AT21" s="29" t="n"/>
      <c r="AU21" s="46">
        <f>IFERROR(Validation_Summary!Q5,"")</f>
        <v/>
      </c>
    </row>
    <row r="22" ht="15" customHeight="1" s="67">
      <c r="A22" s="6" t="inlineStr">
        <is>
          <t>PT Citra Borneo Utama Tbk</t>
        </is>
      </c>
      <c r="B22" s="19">
        <f t="array" ref="B22">IFERROR(_xlfn.XLOOKUP($A22&amp;"|"&amp;$C22,'Company_Master'!$A$2:$A$94&amp;"|"&amp;'Company_Master'!$D$2:$D$94,'Company_Master'!$B$2:$B$94,""),"")</f>
        <v/>
      </c>
      <c r="C22" s="98" t="n">
        <v>2025</v>
      </c>
      <c r="D22" s="19">
        <f t="array" ref="D22">IFERROR(_xlfn.XLOOKUP($A22&amp;"|"&amp;$C22,'Company_Master'!$A$2:$A$94&amp;"|"&amp;'Company_Master'!$D$2:$D$94,'Company_Master'!$H$2:$H$94,""),"")</f>
        <v/>
      </c>
      <c r="E22" s="98">
        <f t="array" ref="E22">IFERROR(_xlfn.XLOOKUP($A22&amp;"|"&amp;$C22,Asset_Operations!$A$2:$A$201&amp;"|"&amp;Asset_Operations!$BG$2:$BG$201,Asset_Operations!$B$2:$B$201,""),"")</f>
        <v/>
      </c>
      <c r="F22" s="98">
        <f t="array" ref="F22">IFERROR(_xlfn.XLOOKUP($A22&amp;"|"&amp;$C22,Asset_Operations!$A$2:$A$201&amp;"|"&amp;Asset_Operations!$BG$2:$BG$201,Asset_Operations!$E$2:$E$201,""),"")</f>
        <v/>
      </c>
      <c r="G22" s="98">
        <f t="array" ref="G22">IFERROR(_xlfn.XLOOKUP($A22&amp;"|"&amp;$C22,Asset_Operations!$A$2:$A$201&amp;"|"&amp;Asset_Operations!$BG$2:$BG$201,Asset_Operations!$I$2:$I$201,""),"")</f>
        <v/>
      </c>
      <c r="H22" s="98">
        <f t="array" ref="H22">IFERROR(_xlfn.XLOOKUP($A22&amp;"|"&amp;$C22,Asset_Operations!$A$2:$A$201&amp;"|"&amp;Asset_Operations!$BG$2:$BG$201,Asset_Operations!$J$2:$J$201,""),"")</f>
        <v/>
      </c>
      <c r="I22" s="98">
        <f t="array" ref="I22">IFERROR(_xlfn.XLOOKUP($A22&amp;"|"&amp;$C22,Asset_Operations!$A$2:$A$201&amp;"|"&amp;Asset_Operations!$BG$2:$BG$201,Asset_Operations!$O$2:$O$201,""),"")</f>
        <v/>
      </c>
      <c r="J22" s="98">
        <f t="array" ref="J22">IFERROR(_xlfn.XLOOKUP($A22&amp;"|"&amp;$C22,Asset_Operations!$A$2:$A$201&amp;"|"&amp;Asset_Operations!$BG$2:$BG$201,Asset_Operations!$S$2:$S$201,""),"")</f>
        <v/>
      </c>
      <c r="K22" s="98">
        <f t="array" ref="K22">IFERROR(_xlfn.XLOOKUP($A22&amp;"|"&amp;$C22,Asset_Operations!$A$2:$A$201&amp;"|"&amp;Asset_Operations!$BG$2:$BG$201,Asset_Operations!$AC$2:$AC$201,""),"")</f>
        <v/>
      </c>
      <c r="L22" s="98">
        <f t="array" ref="L22">IFERROR(_xlfn.XLOOKUP($A22&amp;"|"&amp;$C22,Asset_Operations!$A$2:$A$201&amp;"|"&amp;Asset_Operations!$BG$2:$BG$201,Asset_Operations!$AG$2:$AG$201,""),"")</f>
        <v/>
      </c>
      <c r="M22" s="98">
        <f t="array" ref="M22">IFERROR(_xlfn.XLOOKUP($A22&amp;"|"&amp;$C22,Asset_Operations!$A$2:$A$201&amp;"|"&amp;Asset_Operations!$BG$2:$BG$201,Asset_Operations!$AO$2:$AO$201,""),"")</f>
        <v/>
      </c>
      <c r="N22" s="99">
        <f t="array" ref="N22">IFERROR(_xlfn.XLOOKUP($A22&amp;"|"&amp;$C22,Asset_Operations!$A$2:$A$201&amp;"|"&amp;Asset_Operations!$BG$2:$BG$201,Asset_Operations!$AR$2:$AR$201,""),"")</f>
        <v/>
      </c>
      <c r="O22" s="100">
        <f t="array" ref="O22">IFERROR(_xlfn.XLOOKUP($A22&amp;"|"&amp;$C22,Financials!$A$2:$A$201&amp;"|"&amp;Financials!$B$2:$B$201,Financials!$C$2:$C$201,""),"")</f>
        <v/>
      </c>
      <c r="P22" s="100">
        <f t="array" ref="P22">IFERROR(_xlfn.XLOOKUP($A22&amp;"|"&amp;$C22,Financials!$A$2:$A$201&amp;"|"&amp;Financials!$B$2:$B$201,Financials!$E$2:$E$201,""),"")</f>
        <v/>
      </c>
      <c r="Q22" s="100">
        <f t="array" ref="Q22">IFERROR(_xlfn.XLOOKUP($A22&amp;"|"&amp;$C22,Financials!$A$2:$A$201&amp;"|"&amp;Financials!$B$2:$B$201,Financials!$G$2:$G$201,""),"")</f>
        <v/>
      </c>
      <c r="R22" s="100">
        <f t="array" ref="R22">IFERROR(_xlfn.XLOOKUP($A22&amp;"|"&amp;$C22,Financials!$A$2:$A$201&amp;"|"&amp;Financials!$B$2:$B$201,Financials!$S$2:$S$201,""),"")</f>
        <v/>
      </c>
      <c r="S22" s="100">
        <f t="array" ref="S22">IFERROR(_xlfn.XLOOKUP($A22&amp;"|"&amp;$C22,Financials!$A$2:$A$201&amp;"|"&amp;Financials!$B$2:$B$201,Financials!$AC$2:$AC$201,""),"")</f>
        <v/>
      </c>
      <c r="T22" s="101">
        <f>IFERROR(P22/O22,"")</f>
        <v/>
      </c>
      <c r="U22" s="24">
        <f>IFERROR(R22/P22,"")</f>
        <v/>
      </c>
      <c r="V22" s="102">
        <f>IFERROR(O22/E22,"")</f>
        <v/>
      </c>
      <c r="W22" s="24">
        <f>IFERROR(L22/F22,"")</f>
        <v/>
      </c>
      <c r="X22" s="26">
        <f>IFERROR(IF(NOT(ISNUMBER($E22)),"",IF($E22&gt;=Scoring_Criteria!$D$4,5,IF($E22&gt;=Scoring_Criteria!$E$4,4,IF($E22&gt;=Scoring_Criteria!$F$4,3,IF($E22&gt;=Scoring_Criteria!$G$4,2,1))))),"")</f>
        <v/>
      </c>
      <c r="Y22" s="26">
        <f>IFERROR(IF(OR(NOT(ISNUMBER($F22)),NOT(ISNUMBER($E22)),$E22=0),"",IF(($F22/$E22)&gt;=Scoring_Criteria!$D$5,5,IF(($F22/$E22)&gt;=Scoring_Criteria!$E$5,4,IF(($F22/$E22)&gt;=Scoring_Criteria!$F$5,3,IF(($F22/$E22)&gt;=Scoring_Criteria!$G$5,2,1))))),"")</f>
        <v/>
      </c>
      <c r="Z22" s="26">
        <f>IFERROR(IF(AND(NOT(ISNUMBER($I22)),NOT(ISNUMBER($J22))),"",IF((IFERROR($I22,0)+IFERROR($J22,0))&gt;=Scoring_Criteria!$D$6,5,IF((IFERROR($I22,0)+IFERROR($J22,0))&gt;=Scoring_Criteria!$E$6,4,IF((IFERROR($I22,0)+IFERROR($J22,0))&gt;=Scoring_Criteria!$F$6,3,IF((IFERROR($I22,0)+IFERROR($J22,0))&gt;=Scoring_Criteria!$G$6,2,1))))),"")</f>
        <v/>
      </c>
      <c r="AA22" s="26">
        <f>IFERROR(IF(NOT(ISNUMBER($M22)),"",IF($M22&gt;=Scoring_Criteria!$D$7,5,IF($M22&gt;=Scoring_Criteria!$E$7,4,IF($M22&gt;=Scoring_Criteria!$F$7,3,IF($M22&gt;=Scoring_Criteria!$G$7,2,1))))),"")</f>
        <v/>
      </c>
      <c r="AB22" s="26">
        <f>IFERROR(IF(NOT(ISNUMBER($T22)),"",IF($T22&gt;=Scoring_Criteria!$D$8,5,IF($T22&gt;=Scoring_Criteria!$E$8,4,IF($T22&gt;=Scoring_Criteria!$F$8,3,IF($T22&gt;=Scoring_Criteria!$G$8,2,1))))),"")</f>
        <v/>
      </c>
      <c r="AC22" s="26">
        <f>IFERROR(IF(NOT(ISNUMBER($U22)),"",IF($U22&lt;=Scoring_Criteria!$D$9,5,IF($U22&lt;=Scoring_Criteria!$E$9,4,IF($U22&lt;=Scoring_Criteria!$F$9,3,IF($U22&lt;=Scoring_Criteria!$G$9,2,1))))),"")</f>
        <v/>
      </c>
      <c r="AD22" s="26">
        <f t="array" ref="AD22">IFERROR(IF(NOT(ISNUMBER(_xlfn.XLOOKUP($A22&amp;"|"&amp;$C22,Financials!$A$2:$A$201&amp;"|"&amp;Financials!$B$2:$B$201,Financials!$AD$2:$AD$201,""))),"",IF(_xlfn.XLOOKUP($A22&amp;"|"&amp;$C22,Financials!$A$2:$A$201&amp;"|"&amp;Financials!$B$2:$B$201,Financials!$AD$2:$AD$201,"")&gt;=Scoring_Criteria!$D$10,5,IF(_xlfn.XLOOKUP($A22&amp;"|"&amp;$C22,Financials!$A$2:$A$201&amp;"|"&amp;Financials!$B$2:$B$201,Financials!$AD$2:$AD$201,"")&gt;=Scoring_Criteria!$E$10,4,IF(_xlfn.XLOOKUP($A22&amp;"|"&amp;$C22,Financials!$A$2:$A$201&amp;"|"&amp;Financials!$B$2:$B$201,Financials!$AD$2:$AD$201,"")&gt;=Scoring_Criteria!$F$10,3,IF(_xlfn.XLOOKUP($A22&amp;"|"&amp;$C22,Financials!$A$2:$A$201&amp;"|"&amp;Financials!$B$2:$B$201,Financials!$AD$2:$AD$201,"")&gt;=Scoring_Criteria!$G$10,2,1))))),"")</f>
        <v/>
      </c>
      <c r="AE22" s="27" t="n"/>
      <c r="AF22" s="27" t="n"/>
      <c r="AG22" s="28">
        <f>IFERROR(IF(COUNTA(X22:AF22)=0,"",AVERAGE(X22:AF22)),"")</f>
        <v/>
      </c>
      <c r="AH22" s="29" t="n"/>
      <c r="AI22" s="29" t="n"/>
      <c r="AJ22" s="29" t="n"/>
      <c r="AK22" s="29" t="n"/>
      <c r="AL22" s="29" t="n"/>
      <c r="AM22" s="29" t="n"/>
      <c r="AN22" s="29" t="n"/>
      <c r="AO22" s="29" t="n"/>
      <c r="AP22" s="29" t="n"/>
      <c r="AQ22" s="29" t="n"/>
      <c r="AR22" s="29" t="n"/>
      <c r="AS22" s="29" t="n"/>
      <c r="AT22" s="29" t="n"/>
      <c r="AU22" s="46">
        <f>IFERROR(Validation_Summary!Q5,"")</f>
        <v/>
      </c>
    </row>
    <row r="23" ht="15" customHeight="1" s="67">
      <c r="A23" s="6" t="inlineStr">
        <is>
          <t>PT Cisadane Sawit Raya Tbk.</t>
        </is>
      </c>
      <c r="B23" s="19">
        <f t="array" ref="B23">IFERROR(_xlfn.XLOOKUP($A23&amp;"|"&amp;$C23,'Company_Master'!$A$2:$A$94&amp;"|"&amp;'Company_Master'!$D$2:$D$94,'Company_Master'!$B$2:$B$94,""),"")</f>
        <v/>
      </c>
      <c r="C23" s="98" t="n">
        <v>2022</v>
      </c>
      <c r="D23" s="19">
        <f t="array" ref="D23">IFERROR(_xlfn.XLOOKUP($A23&amp;"|"&amp;$C23,'Company_Master'!$A$2:$A$94&amp;"|"&amp;'Company_Master'!$D$2:$D$94,'Company_Master'!$H$2:$H$94,""),"")</f>
        <v/>
      </c>
      <c r="E23" s="98">
        <f t="array" ref="E23">IFERROR(_xlfn.XLOOKUP($A23&amp;"|"&amp;$C23,Asset_Operations!$A$2:$A$201&amp;"|"&amp;Asset_Operations!$BG$2:$BG$201,Asset_Operations!$B$2:$B$201,""),"")</f>
        <v/>
      </c>
      <c r="F23" s="98">
        <f t="array" ref="F23">IFERROR(_xlfn.XLOOKUP($A23&amp;"|"&amp;$C23,Asset_Operations!$A$2:$A$201&amp;"|"&amp;Asset_Operations!$BG$2:$BG$201,Asset_Operations!$E$2:$E$201,""),"")</f>
        <v/>
      </c>
      <c r="G23" s="98">
        <f t="array" ref="G23">IFERROR(_xlfn.XLOOKUP($A23&amp;"|"&amp;$C23,Asset_Operations!$A$2:$A$201&amp;"|"&amp;Asset_Operations!$BG$2:$BG$201,Asset_Operations!$I$2:$I$201,""),"")</f>
        <v/>
      </c>
      <c r="H23" s="98">
        <f t="array" ref="H23">IFERROR(_xlfn.XLOOKUP($A23&amp;"|"&amp;$C23,Asset_Operations!$A$2:$A$201&amp;"|"&amp;Asset_Operations!$BG$2:$BG$201,Asset_Operations!$J$2:$J$201,""),"")</f>
        <v/>
      </c>
      <c r="I23" s="98">
        <f t="array" ref="I23">IFERROR(_xlfn.XLOOKUP($A23&amp;"|"&amp;$C23,Asset_Operations!$A$2:$A$201&amp;"|"&amp;Asset_Operations!$BG$2:$BG$201,Asset_Operations!$O$2:$O$201,""),"")</f>
        <v/>
      </c>
      <c r="J23" s="98">
        <f t="array" ref="J23">IFERROR(_xlfn.XLOOKUP($A23&amp;"|"&amp;$C23,Asset_Operations!$A$2:$A$201&amp;"|"&amp;Asset_Operations!$BG$2:$BG$201,Asset_Operations!$S$2:$S$201,""),"")</f>
        <v/>
      </c>
      <c r="K23" s="98">
        <f t="array" ref="K23">IFERROR(_xlfn.XLOOKUP($A23&amp;"|"&amp;$C23,Asset_Operations!$A$2:$A$201&amp;"|"&amp;Asset_Operations!$BG$2:$BG$201,Asset_Operations!$AC$2:$AC$201,""),"")</f>
        <v/>
      </c>
      <c r="L23" s="98">
        <f t="array" ref="L23">IFERROR(_xlfn.XLOOKUP($A23&amp;"|"&amp;$C23,Asset_Operations!$A$2:$A$201&amp;"|"&amp;Asset_Operations!$BG$2:$BG$201,Asset_Operations!$AG$2:$AG$201,""),"")</f>
        <v/>
      </c>
      <c r="M23" s="98">
        <f t="array" ref="M23">IFERROR(_xlfn.XLOOKUP($A23&amp;"|"&amp;$C23,Asset_Operations!$A$2:$A$201&amp;"|"&amp;Asset_Operations!$BG$2:$BG$201,Asset_Operations!$AO$2:$AO$201,""),"")</f>
        <v/>
      </c>
      <c r="N23" s="99">
        <f t="array" ref="N23">IFERROR(_xlfn.XLOOKUP($A23&amp;"|"&amp;$C23,Asset_Operations!$A$2:$A$201&amp;"|"&amp;Asset_Operations!$BG$2:$BG$201,Asset_Operations!$AR$2:$AR$201,""),"")</f>
        <v/>
      </c>
      <c r="O23" s="100">
        <f t="array" ref="O23">IFERROR(_xlfn.XLOOKUP($A23&amp;"|"&amp;$C23,Financials!$A$2:$A$201&amp;"|"&amp;Financials!$B$2:$B$201,Financials!$C$2:$C$201,""),"")</f>
        <v/>
      </c>
      <c r="P23" s="100">
        <f t="array" ref="P23">IFERROR(_xlfn.XLOOKUP($A23&amp;"|"&amp;$C23,Financials!$A$2:$A$201&amp;"|"&amp;Financials!$B$2:$B$201,Financials!$E$2:$E$201,""),"")</f>
        <v/>
      </c>
      <c r="Q23" s="100">
        <f t="array" ref="Q23">IFERROR(_xlfn.XLOOKUP($A23&amp;"|"&amp;$C23,Financials!$A$2:$A$201&amp;"|"&amp;Financials!$B$2:$B$201,Financials!$G$2:$G$201,""),"")</f>
        <v/>
      </c>
      <c r="R23" s="100">
        <f t="array" ref="R23">IFERROR(_xlfn.XLOOKUP($A23&amp;"|"&amp;$C23,Financials!$A$2:$A$201&amp;"|"&amp;Financials!$B$2:$B$201,Financials!$S$2:$S$201,""),"")</f>
        <v/>
      </c>
      <c r="S23" s="100">
        <f t="array" ref="S23">IFERROR(_xlfn.XLOOKUP($A23&amp;"|"&amp;$C23,Financials!$A$2:$A$201&amp;"|"&amp;Financials!$B$2:$B$201,Financials!$AC$2:$AC$201,""),"")</f>
        <v/>
      </c>
      <c r="T23" s="101">
        <f>IFERROR(P23/O23,"")</f>
        <v/>
      </c>
      <c r="U23" s="24">
        <f>IFERROR(R23/P23,"")</f>
        <v/>
      </c>
      <c r="V23" s="102">
        <f>IFERROR(O23/E23,"")</f>
        <v/>
      </c>
      <c r="W23" s="24">
        <f>IFERROR(L23/F23,"")</f>
        <v/>
      </c>
      <c r="X23" s="26">
        <f>IFERROR(IF(NOT(ISNUMBER($E23)),"",IF($E23&gt;=Scoring_Criteria!$D$4,5,IF($E23&gt;=Scoring_Criteria!$E$4,4,IF($E23&gt;=Scoring_Criteria!$F$4,3,IF($E23&gt;=Scoring_Criteria!$G$4,2,1))))),"")</f>
        <v/>
      </c>
      <c r="Y23" s="26">
        <f>IFERROR(IF(OR(NOT(ISNUMBER($F23)),NOT(ISNUMBER($E23)),$E23=0),"",IF(($F23/$E23)&gt;=Scoring_Criteria!$D$5,5,IF(($F23/$E23)&gt;=Scoring_Criteria!$E$5,4,IF(($F23/$E23)&gt;=Scoring_Criteria!$F$5,3,IF(($F23/$E23)&gt;=Scoring_Criteria!$G$5,2,1))))),"")</f>
        <v/>
      </c>
      <c r="Z23" s="26">
        <f>IFERROR(IF(AND(NOT(ISNUMBER($I23)),NOT(ISNUMBER($J23))),"",IF((IFERROR($I23,0)+IFERROR($J23,0))&gt;=Scoring_Criteria!$D$6,5,IF((IFERROR($I23,0)+IFERROR($J23,0))&gt;=Scoring_Criteria!$E$6,4,IF((IFERROR($I23,0)+IFERROR($J23,0))&gt;=Scoring_Criteria!$F$6,3,IF((IFERROR($I23,0)+IFERROR($J23,0))&gt;=Scoring_Criteria!$G$6,2,1))))),"")</f>
        <v/>
      </c>
      <c r="AA23" s="26">
        <f>IFERROR(IF(NOT(ISNUMBER($M23)),"",IF($M23&gt;=Scoring_Criteria!$D$7,5,IF($M23&gt;=Scoring_Criteria!$E$7,4,IF($M23&gt;=Scoring_Criteria!$F$7,3,IF($M23&gt;=Scoring_Criteria!$G$7,2,1))))),"")</f>
        <v/>
      </c>
      <c r="AB23" s="26">
        <f>IFERROR(IF(NOT(ISNUMBER($T23)),"",IF($T23&gt;=Scoring_Criteria!$D$8,5,IF($T23&gt;=Scoring_Criteria!$E$8,4,IF($T23&gt;=Scoring_Criteria!$F$8,3,IF($T23&gt;=Scoring_Criteria!$G$8,2,1))))),"")</f>
        <v/>
      </c>
      <c r="AC23" s="26">
        <f>IFERROR(IF(NOT(ISNUMBER($U23)),"",IF($U23&lt;=Scoring_Criteria!$D$9,5,IF($U23&lt;=Scoring_Criteria!$E$9,4,IF($U23&lt;=Scoring_Criteria!$F$9,3,IF($U23&lt;=Scoring_Criteria!$G$9,2,1))))),"")</f>
        <v/>
      </c>
      <c r="AD23" s="26">
        <f t="array" ref="AD23">IFERROR(IF(NOT(ISNUMBER(_xlfn.XLOOKUP($A23&amp;"|"&amp;$C23,Financials!$A$2:$A$201&amp;"|"&amp;Financials!$B$2:$B$201,Financials!$AD$2:$AD$201,""))),"",IF(_xlfn.XLOOKUP($A23&amp;"|"&amp;$C23,Financials!$A$2:$A$201&amp;"|"&amp;Financials!$B$2:$B$201,Financials!$AD$2:$AD$201,"")&gt;=Scoring_Criteria!$D$10,5,IF(_xlfn.XLOOKUP($A23&amp;"|"&amp;$C23,Financials!$A$2:$A$201&amp;"|"&amp;Financials!$B$2:$B$201,Financials!$AD$2:$AD$201,"")&gt;=Scoring_Criteria!$E$10,4,IF(_xlfn.XLOOKUP($A23&amp;"|"&amp;$C23,Financials!$A$2:$A$201&amp;"|"&amp;Financials!$B$2:$B$201,Financials!$AD$2:$AD$201,"")&gt;=Scoring_Criteria!$F$10,3,IF(_xlfn.XLOOKUP($A23&amp;"|"&amp;$C23,Financials!$A$2:$A$201&amp;"|"&amp;Financials!$B$2:$B$201,Financials!$AD$2:$AD$201,"")&gt;=Scoring_Criteria!$G$10,2,1))))),"")</f>
        <v/>
      </c>
      <c r="AE23" s="27" t="n"/>
      <c r="AF23" s="27" t="n"/>
      <c r="AG23" s="28">
        <f>IFERROR(IF(COUNTA(X23:AF23)=0,"",AVERAGE(X23:AF23)),"")</f>
        <v/>
      </c>
      <c r="AH23" s="29" t="n"/>
      <c r="AI23" s="29" t="n"/>
      <c r="AJ23" s="29" t="n"/>
      <c r="AK23" s="29" t="n"/>
      <c r="AL23" s="29" t="n"/>
      <c r="AM23" s="29" t="n"/>
      <c r="AN23" s="29" t="n"/>
      <c r="AO23" s="29" t="n"/>
      <c r="AP23" s="29" t="n"/>
      <c r="AQ23" s="29" t="n"/>
      <c r="AR23" s="29" t="n"/>
      <c r="AS23" s="29" t="n"/>
      <c r="AT23" s="29" t="n"/>
      <c r="AU23" s="46">
        <f>IFERROR(Validation_Summary!Q5,"")</f>
        <v/>
      </c>
    </row>
    <row r="24" ht="15" customHeight="1" s="67">
      <c r="A24" s="6" t="inlineStr">
        <is>
          <t>PT Cisadane Sawit Raya Tbk.</t>
        </is>
      </c>
      <c r="B24" s="19">
        <f t="array" ref="B24">IFERROR(_xlfn.XLOOKUP($A24&amp;"|"&amp;$C24,'Company_Master'!$A$2:$A$94&amp;"|"&amp;'Company_Master'!$D$2:$D$94,'Company_Master'!$B$2:$B$94,""),"")</f>
        <v/>
      </c>
      <c r="C24" s="98" t="n">
        <v>2023</v>
      </c>
      <c r="D24" s="19">
        <f t="array" ref="D24">IFERROR(_xlfn.XLOOKUP($A24&amp;"|"&amp;$C24,'Company_Master'!$A$2:$A$94&amp;"|"&amp;'Company_Master'!$D$2:$D$94,'Company_Master'!$H$2:$H$94,""),"")</f>
        <v/>
      </c>
      <c r="E24" s="98">
        <f t="array" ref="E24">IFERROR(_xlfn.XLOOKUP($A24&amp;"|"&amp;$C24,Asset_Operations!$A$2:$A$201&amp;"|"&amp;Asset_Operations!$BG$2:$BG$201,Asset_Operations!$B$2:$B$201,""),"")</f>
        <v/>
      </c>
      <c r="F24" s="98">
        <f t="array" ref="F24">IFERROR(_xlfn.XLOOKUP($A24&amp;"|"&amp;$C24,Asset_Operations!$A$2:$A$201&amp;"|"&amp;Asset_Operations!$BG$2:$BG$201,Asset_Operations!$E$2:$E$201,""),"")</f>
        <v/>
      </c>
      <c r="G24" s="98">
        <f t="array" ref="G24">IFERROR(_xlfn.XLOOKUP($A24&amp;"|"&amp;$C24,Asset_Operations!$A$2:$A$201&amp;"|"&amp;Asset_Operations!$BG$2:$BG$201,Asset_Operations!$I$2:$I$201,""),"")</f>
        <v/>
      </c>
      <c r="H24" s="98">
        <f t="array" ref="H24">IFERROR(_xlfn.XLOOKUP($A24&amp;"|"&amp;$C24,Asset_Operations!$A$2:$A$201&amp;"|"&amp;Asset_Operations!$BG$2:$BG$201,Asset_Operations!$J$2:$J$201,""),"")</f>
        <v/>
      </c>
      <c r="I24" s="98">
        <f t="array" ref="I24">IFERROR(_xlfn.XLOOKUP($A24&amp;"|"&amp;$C24,Asset_Operations!$A$2:$A$201&amp;"|"&amp;Asset_Operations!$BG$2:$BG$201,Asset_Operations!$O$2:$O$201,""),"")</f>
        <v/>
      </c>
      <c r="J24" s="98">
        <f t="array" ref="J24">IFERROR(_xlfn.XLOOKUP($A24&amp;"|"&amp;$C24,Asset_Operations!$A$2:$A$201&amp;"|"&amp;Asset_Operations!$BG$2:$BG$201,Asset_Operations!$S$2:$S$201,""),"")</f>
        <v/>
      </c>
      <c r="K24" s="98">
        <f t="array" ref="K24">IFERROR(_xlfn.XLOOKUP($A24&amp;"|"&amp;$C24,Asset_Operations!$A$2:$A$201&amp;"|"&amp;Asset_Operations!$BG$2:$BG$201,Asset_Operations!$AC$2:$AC$201,""),"")</f>
        <v/>
      </c>
      <c r="L24" s="98">
        <f t="array" ref="L24">IFERROR(_xlfn.XLOOKUP($A24&amp;"|"&amp;$C24,Asset_Operations!$A$2:$A$201&amp;"|"&amp;Asset_Operations!$BG$2:$BG$201,Asset_Operations!$AG$2:$AG$201,""),"")</f>
        <v/>
      </c>
      <c r="M24" s="98">
        <f t="array" ref="M24">IFERROR(_xlfn.XLOOKUP($A24&amp;"|"&amp;$C24,Asset_Operations!$A$2:$A$201&amp;"|"&amp;Asset_Operations!$BG$2:$BG$201,Asset_Operations!$AO$2:$AO$201,""),"")</f>
        <v/>
      </c>
      <c r="N24" s="99">
        <f t="array" ref="N24">IFERROR(_xlfn.XLOOKUP($A24&amp;"|"&amp;$C24,Asset_Operations!$A$2:$A$201&amp;"|"&amp;Asset_Operations!$BG$2:$BG$201,Asset_Operations!$AR$2:$AR$201,""),"")</f>
        <v/>
      </c>
      <c r="O24" s="100">
        <f t="array" ref="O24">IFERROR(_xlfn.XLOOKUP($A24&amp;"|"&amp;$C24,Financials!$A$2:$A$201&amp;"|"&amp;Financials!$B$2:$B$201,Financials!$C$2:$C$201,""),"")</f>
        <v/>
      </c>
      <c r="P24" s="100">
        <f t="array" ref="P24">IFERROR(_xlfn.XLOOKUP($A24&amp;"|"&amp;$C24,Financials!$A$2:$A$201&amp;"|"&amp;Financials!$B$2:$B$201,Financials!$E$2:$E$201,""),"")</f>
        <v/>
      </c>
      <c r="Q24" s="100">
        <f t="array" ref="Q24">IFERROR(_xlfn.XLOOKUP($A24&amp;"|"&amp;$C24,Financials!$A$2:$A$201&amp;"|"&amp;Financials!$B$2:$B$201,Financials!$G$2:$G$201,""),"")</f>
        <v/>
      </c>
      <c r="R24" s="100">
        <f t="array" ref="R24">IFERROR(_xlfn.XLOOKUP($A24&amp;"|"&amp;$C24,Financials!$A$2:$A$201&amp;"|"&amp;Financials!$B$2:$B$201,Financials!$S$2:$S$201,""),"")</f>
        <v/>
      </c>
      <c r="S24" s="100">
        <f t="array" ref="S24">IFERROR(_xlfn.XLOOKUP($A24&amp;"|"&amp;$C24,Financials!$A$2:$A$201&amp;"|"&amp;Financials!$B$2:$B$201,Financials!$AC$2:$AC$201,""),"")</f>
        <v/>
      </c>
      <c r="T24" s="101">
        <f>IFERROR(P24/O24,"")</f>
        <v/>
      </c>
      <c r="U24" s="24">
        <f>IFERROR(R24/P24,"")</f>
        <v/>
      </c>
      <c r="V24" s="102">
        <f>IFERROR(O24/E24,"")</f>
        <v/>
      </c>
      <c r="W24" s="24">
        <f>IFERROR(L24/F24,"")</f>
        <v/>
      </c>
      <c r="X24" s="26">
        <f>IFERROR(IF(NOT(ISNUMBER($E24)),"",IF($E24&gt;=Scoring_Criteria!$D$4,5,IF($E24&gt;=Scoring_Criteria!$E$4,4,IF($E24&gt;=Scoring_Criteria!$F$4,3,IF($E24&gt;=Scoring_Criteria!$G$4,2,1))))),"")</f>
        <v/>
      </c>
      <c r="Y24" s="26">
        <f>IFERROR(IF(OR(NOT(ISNUMBER($F24)),NOT(ISNUMBER($E24)),$E24=0),"",IF(($F24/$E24)&gt;=Scoring_Criteria!$D$5,5,IF(($F24/$E24)&gt;=Scoring_Criteria!$E$5,4,IF(($F24/$E24)&gt;=Scoring_Criteria!$F$5,3,IF(($F24/$E24)&gt;=Scoring_Criteria!$G$5,2,1))))),"")</f>
        <v/>
      </c>
      <c r="Z24" s="26">
        <f>IFERROR(IF(AND(NOT(ISNUMBER($I24)),NOT(ISNUMBER($J24))),"",IF((IFERROR($I24,0)+IFERROR($J24,0))&gt;=Scoring_Criteria!$D$6,5,IF((IFERROR($I24,0)+IFERROR($J24,0))&gt;=Scoring_Criteria!$E$6,4,IF((IFERROR($I24,0)+IFERROR($J24,0))&gt;=Scoring_Criteria!$F$6,3,IF((IFERROR($I24,0)+IFERROR($J24,0))&gt;=Scoring_Criteria!$G$6,2,1))))),"")</f>
        <v/>
      </c>
      <c r="AA24" s="26">
        <f>IFERROR(IF(NOT(ISNUMBER($M24)),"",IF($M24&gt;=Scoring_Criteria!$D$7,5,IF($M24&gt;=Scoring_Criteria!$E$7,4,IF($M24&gt;=Scoring_Criteria!$F$7,3,IF($M24&gt;=Scoring_Criteria!$G$7,2,1))))),"")</f>
        <v/>
      </c>
      <c r="AB24" s="26">
        <f>IFERROR(IF(NOT(ISNUMBER($T24)),"",IF($T24&gt;=Scoring_Criteria!$D$8,5,IF($T24&gt;=Scoring_Criteria!$E$8,4,IF($T24&gt;=Scoring_Criteria!$F$8,3,IF($T24&gt;=Scoring_Criteria!$G$8,2,1))))),"")</f>
        <v/>
      </c>
      <c r="AC24" s="26">
        <f>IFERROR(IF(NOT(ISNUMBER($U24)),"",IF($U24&lt;=Scoring_Criteria!$D$9,5,IF($U24&lt;=Scoring_Criteria!$E$9,4,IF($U24&lt;=Scoring_Criteria!$F$9,3,IF($U24&lt;=Scoring_Criteria!$G$9,2,1))))),"")</f>
        <v/>
      </c>
      <c r="AD24" s="26">
        <f t="array" ref="AD24">IFERROR(IF(NOT(ISNUMBER(_xlfn.XLOOKUP($A24&amp;"|"&amp;$C24,Financials!$A$2:$A$201&amp;"|"&amp;Financials!$B$2:$B$201,Financials!$AD$2:$AD$201,""))),"",IF(_xlfn.XLOOKUP($A24&amp;"|"&amp;$C24,Financials!$A$2:$A$201&amp;"|"&amp;Financials!$B$2:$B$201,Financials!$AD$2:$AD$201,"")&gt;=Scoring_Criteria!$D$10,5,IF(_xlfn.XLOOKUP($A24&amp;"|"&amp;$C24,Financials!$A$2:$A$201&amp;"|"&amp;Financials!$B$2:$B$201,Financials!$AD$2:$AD$201,"")&gt;=Scoring_Criteria!$E$10,4,IF(_xlfn.XLOOKUP($A24&amp;"|"&amp;$C24,Financials!$A$2:$A$201&amp;"|"&amp;Financials!$B$2:$B$201,Financials!$AD$2:$AD$201,"")&gt;=Scoring_Criteria!$F$10,3,IF(_xlfn.XLOOKUP($A24&amp;"|"&amp;$C24,Financials!$A$2:$A$201&amp;"|"&amp;Financials!$B$2:$B$201,Financials!$AD$2:$AD$201,"")&gt;=Scoring_Criteria!$G$10,2,1))))),"")</f>
        <v/>
      </c>
      <c r="AE24" s="27" t="n"/>
      <c r="AF24" s="27" t="n"/>
      <c r="AG24" s="28">
        <f>IFERROR(IF(COUNTA(X24:AF24)=0,"",AVERAGE(X24:AF24)),"")</f>
        <v/>
      </c>
      <c r="AH24" s="29" t="n"/>
      <c r="AI24" s="29" t="n"/>
      <c r="AJ24" s="29" t="n"/>
      <c r="AK24" s="29" t="n"/>
      <c r="AL24" s="29" t="n"/>
      <c r="AM24" s="29" t="n"/>
      <c r="AN24" s="29" t="n"/>
      <c r="AO24" s="29" t="n"/>
      <c r="AP24" s="29" t="n"/>
      <c r="AQ24" s="29" t="n"/>
      <c r="AR24" s="29" t="n"/>
      <c r="AS24" s="29" t="n"/>
      <c r="AT24" s="29" t="n"/>
      <c r="AU24" s="46">
        <f>IFERROR(Validation_Summary!Q5,"")</f>
        <v/>
      </c>
    </row>
    <row r="25" ht="15" customHeight="1" s="67">
      <c r="A25" s="6" t="inlineStr">
        <is>
          <t>PT Cisadane Sawit Raya Tbk.</t>
        </is>
      </c>
      <c r="B25" s="19">
        <f t="array" ref="B25">IFERROR(_xlfn.XLOOKUP($A25&amp;"|"&amp;$C25,'Company_Master'!$A$2:$A$94&amp;"|"&amp;'Company_Master'!$D$2:$D$94,'Company_Master'!$B$2:$B$94,""),"")</f>
        <v/>
      </c>
      <c r="C25" s="98" t="n">
        <v>2024</v>
      </c>
      <c r="D25" s="19">
        <f t="array" ref="D25">IFERROR(_xlfn.XLOOKUP($A25&amp;"|"&amp;$C25,'Company_Master'!$A$2:$A$94&amp;"|"&amp;'Company_Master'!$D$2:$D$94,'Company_Master'!$H$2:$H$94,""),"")</f>
        <v/>
      </c>
      <c r="E25" s="98">
        <f t="array" ref="E25">IFERROR(_xlfn.XLOOKUP($A25&amp;"|"&amp;$C25,Asset_Operations!$A$2:$A$201&amp;"|"&amp;Asset_Operations!$BG$2:$BG$201,Asset_Operations!$B$2:$B$201,""),"")</f>
        <v/>
      </c>
      <c r="F25" s="98">
        <f t="array" ref="F25">IFERROR(_xlfn.XLOOKUP($A25&amp;"|"&amp;$C25,Asset_Operations!$A$2:$A$201&amp;"|"&amp;Asset_Operations!$BG$2:$BG$201,Asset_Operations!$E$2:$E$201,""),"")</f>
        <v/>
      </c>
      <c r="G25" s="98">
        <f t="array" ref="G25">IFERROR(_xlfn.XLOOKUP($A25&amp;"|"&amp;$C25,Asset_Operations!$A$2:$A$201&amp;"|"&amp;Asset_Operations!$BG$2:$BG$201,Asset_Operations!$I$2:$I$201,""),"")</f>
        <v/>
      </c>
      <c r="H25" s="98">
        <f t="array" ref="H25">IFERROR(_xlfn.XLOOKUP($A25&amp;"|"&amp;$C25,Asset_Operations!$A$2:$A$201&amp;"|"&amp;Asset_Operations!$BG$2:$BG$201,Asset_Operations!$J$2:$J$201,""),"")</f>
        <v/>
      </c>
      <c r="I25" s="98">
        <f t="array" ref="I25">IFERROR(_xlfn.XLOOKUP($A25&amp;"|"&amp;$C25,Asset_Operations!$A$2:$A$201&amp;"|"&amp;Asset_Operations!$BG$2:$BG$201,Asset_Operations!$O$2:$O$201,""),"")</f>
        <v/>
      </c>
      <c r="J25" s="98">
        <f t="array" ref="J25">IFERROR(_xlfn.XLOOKUP($A25&amp;"|"&amp;$C25,Asset_Operations!$A$2:$A$201&amp;"|"&amp;Asset_Operations!$BG$2:$BG$201,Asset_Operations!$S$2:$S$201,""),"")</f>
        <v/>
      </c>
      <c r="K25" s="98">
        <f t="array" ref="K25">IFERROR(_xlfn.XLOOKUP($A25&amp;"|"&amp;$C25,Asset_Operations!$A$2:$A$201&amp;"|"&amp;Asset_Operations!$BG$2:$BG$201,Asset_Operations!$AC$2:$AC$201,""),"")</f>
        <v/>
      </c>
      <c r="L25" s="98">
        <f t="array" ref="L25">IFERROR(_xlfn.XLOOKUP($A25&amp;"|"&amp;$C25,Asset_Operations!$A$2:$A$201&amp;"|"&amp;Asset_Operations!$BG$2:$BG$201,Asset_Operations!$AG$2:$AG$201,""),"")</f>
        <v/>
      </c>
      <c r="M25" s="98">
        <f t="array" ref="M25">IFERROR(_xlfn.XLOOKUP($A25&amp;"|"&amp;$C25,Asset_Operations!$A$2:$A$201&amp;"|"&amp;Asset_Operations!$BG$2:$BG$201,Asset_Operations!$AO$2:$AO$201,""),"")</f>
        <v/>
      </c>
      <c r="N25" s="99">
        <f t="array" ref="N25">IFERROR(_xlfn.XLOOKUP($A25&amp;"|"&amp;$C25,Asset_Operations!$A$2:$A$201&amp;"|"&amp;Asset_Operations!$BG$2:$BG$201,Asset_Operations!$AR$2:$AR$201,""),"")</f>
        <v/>
      </c>
      <c r="O25" s="100">
        <f t="array" ref="O25">IFERROR(_xlfn.XLOOKUP($A25&amp;"|"&amp;$C25,Financials!$A$2:$A$201&amp;"|"&amp;Financials!$B$2:$B$201,Financials!$C$2:$C$201,""),"")</f>
        <v/>
      </c>
      <c r="P25" s="100">
        <f t="array" ref="P25">IFERROR(_xlfn.XLOOKUP($A25&amp;"|"&amp;$C25,Financials!$A$2:$A$201&amp;"|"&amp;Financials!$B$2:$B$201,Financials!$E$2:$E$201,""),"")</f>
        <v/>
      </c>
      <c r="Q25" s="100">
        <f t="array" ref="Q25">IFERROR(_xlfn.XLOOKUP($A25&amp;"|"&amp;$C25,Financials!$A$2:$A$201&amp;"|"&amp;Financials!$B$2:$B$201,Financials!$G$2:$G$201,""),"")</f>
        <v/>
      </c>
      <c r="R25" s="100">
        <f t="array" ref="R25">IFERROR(_xlfn.XLOOKUP($A25&amp;"|"&amp;$C25,Financials!$A$2:$A$201&amp;"|"&amp;Financials!$B$2:$B$201,Financials!$S$2:$S$201,""),"")</f>
        <v/>
      </c>
      <c r="S25" s="100">
        <f t="array" ref="S25">IFERROR(_xlfn.XLOOKUP($A25&amp;"|"&amp;$C25,Financials!$A$2:$A$201&amp;"|"&amp;Financials!$B$2:$B$201,Financials!$AC$2:$AC$201,""),"")</f>
        <v/>
      </c>
      <c r="T25" s="101">
        <f>IFERROR(P25/O25,"")</f>
        <v/>
      </c>
      <c r="U25" s="24">
        <f>IFERROR(R25/P25,"")</f>
        <v/>
      </c>
      <c r="V25" s="102">
        <f>IFERROR(O25/E25,"")</f>
        <v/>
      </c>
      <c r="W25" s="24">
        <f>IFERROR(L25/F25,"")</f>
        <v/>
      </c>
      <c r="X25" s="26">
        <f>IFERROR(IF(NOT(ISNUMBER($E25)),"",IF($E25&gt;=Scoring_Criteria!$D$4,5,IF($E25&gt;=Scoring_Criteria!$E$4,4,IF($E25&gt;=Scoring_Criteria!$F$4,3,IF($E25&gt;=Scoring_Criteria!$G$4,2,1))))),"")</f>
        <v/>
      </c>
      <c r="Y25" s="26">
        <f>IFERROR(IF(OR(NOT(ISNUMBER($F25)),NOT(ISNUMBER($E25)),$E25=0),"",IF(($F25/$E25)&gt;=Scoring_Criteria!$D$5,5,IF(($F25/$E25)&gt;=Scoring_Criteria!$E$5,4,IF(($F25/$E25)&gt;=Scoring_Criteria!$F$5,3,IF(($F25/$E25)&gt;=Scoring_Criteria!$G$5,2,1))))),"")</f>
        <v/>
      </c>
      <c r="Z25" s="26">
        <f>IFERROR(IF(AND(NOT(ISNUMBER($I25)),NOT(ISNUMBER($J25))),"",IF((IFERROR($I25,0)+IFERROR($J25,0))&gt;=Scoring_Criteria!$D$6,5,IF((IFERROR($I25,0)+IFERROR($J25,0))&gt;=Scoring_Criteria!$E$6,4,IF((IFERROR($I25,0)+IFERROR($J25,0))&gt;=Scoring_Criteria!$F$6,3,IF((IFERROR($I25,0)+IFERROR($J25,0))&gt;=Scoring_Criteria!$G$6,2,1))))),"")</f>
        <v/>
      </c>
      <c r="AA25" s="26">
        <f>IFERROR(IF(NOT(ISNUMBER($M25)),"",IF($M25&gt;=Scoring_Criteria!$D$7,5,IF($M25&gt;=Scoring_Criteria!$E$7,4,IF($M25&gt;=Scoring_Criteria!$F$7,3,IF($M25&gt;=Scoring_Criteria!$G$7,2,1))))),"")</f>
        <v/>
      </c>
      <c r="AB25" s="26">
        <f>IFERROR(IF(NOT(ISNUMBER($T25)),"",IF($T25&gt;=Scoring_Criteria!$D$8,5,IF($T25&gt;=Scoring_Criteria!$E$8,4,IF($T25&gt;=Scoring_Criteria!$F$8,3,IF($T25&gt;=Scoring_Criteria!$G$8,2,1))))),"")</f>
        <v/>
      </c>
      <c r="AC25" s="26">
        <f>IFERROR(IF(NOT(ISNUMBER($U25)),"",IF($U25&lt;=Scoring_Criteria!$D$9,5,IF($U25&lt;=Scoring_Criteria!$E$9,4,IF($U25&lt;=Scoring_Criteria!$F$9,3,IF($U25&lt;=Scoring_Criteria!$G$9,2,1))))),"")</f>
        <v/>
      </c>
      <c r="AD25" s="26">
        <f t="array" ref="AD25">IFERROR(IF(NOT(ISNUMBER(_xlfn.XLOOKUP($A25&amp;"|"&amp;$C25,Financials!$A$2:$A$201&amp;"|"&amp;Financials!$B$2:$B$201,Financials!$AD$2:$AD$201,""))),"",IF(_xlfn.XLOOKUP($A25&amp;"|"&amp;$C25,Financials!$A$2:$A$201&amp;"|"&amp;Financials!$B$2:$B$201,Financials!$AD$2:$AD$201,"")&gt;=Scoring_Criteria!$D$10,5,IF(_xlfn.XLOOKUP($A25&amp;"|"&amp;$C25,Financials!$A$2:$A$201&amp;"|"&amp;Financials!$B$2:$B$201,Financials!$AD$2:$AD$201,"")&gt;=Scoring_Criteria!$E$10,4,IF(_xlfn.XLOOKUP($A25&amp;"|"&amp;$C25,Financials!$A$2:$A$201&amp;"|"&amp;Financials!$B$2:$B$201,Financials!$AD$2:$AD$201,"")&gt;=Scoring_Criteria!$F$10,3,IF(_xlfn.XLOOKUP($A25&amp;"|"&amp;$C25,Financials!$A$2:$A$201&amp;"|"&amp;Financials!$B$2:$B$201,Financials!$AD$2:$AD$201,"")&gt;=Scoring_Criteria!$G$10,2,1))))),"")</f>
        <v/>
      </c>
      <c r="AE25" s="27" t="n"/>
      <c r="AF25" s="27" t="n"/>
      <c r="AG25" s="28">
        <f>IFERROR(IF(COUNTA(X25:AF25)=0,"",AVERAGE(X25:AF25)),"")</f>
        <v/>
      </c>
      <c r="AH25" s="29" t="n"/>
      <c r="AI25" s="29" t="n"/>
      <c r="AJ25" s="29" t="n"/>
      <c r="AK25" s="29" t="n"/>
      <c r="AL25" s="29" t="n"/>
      <c r="AM25" s="29" t="n"/>
      <c r="AN25" s="29" t="n"/>
      <c r="AO25" s="29" t="n"/>
      <c r="AP25" s="29" t="n"/>
      <c r="AQ25" s="29" t="n"/>
      <c r="AR25" s="29" t="n"/>
      <c r="AS25" s="29" t="n"/>
      <c r="AT25" s="29" t="n"/>
      <c r="AU25" s="46">
        <f>IFERROR(Validation_Summary!Q5,"")</f>
        <v/>
      </c>
    </row>
    <row r="26" ht="15" customHeight="1" s="67">
      <c r="A26" s="6" t="inlineStr">
        <is>
          <t>PT Dharma Satya Nusantara Tbk</t>
        </is>
      </c>
      <c r="B26" s="19">
        <f t="array" ref="B26">IFERROR(_xlfn.XLOOKUP($A26&amp;"|"&amp;$C26,'Company_Master'!$A$2:$A$94&amp;"|"&amp;'Company_Master'!$D$2:$D$94,'Company_Master'!$B$2:$B$94,""),"")</f>
        <v/>
      </c>
      <c r="C26" s="98" t="n">
        <v>2022</v>
      </c>
      <c r="D26" s="19">
        <f t="array" ref="D26">IFERROR(_xlfn.XLOOKUP($A26&amp;"|"&amp;$C26,'Company_Master'!$A$2:$A$94&amp;"|"&amp;'Company_Master'!$D$2:$D$94,'Company_Master'!$H$2:$H$94,""),"")</f>
        <v/>
      </c>
      <c r="E26" s="98">
        <f t="array" ref="E26">IFERROR(_xlfn.XLOOKUP($A26&amp;"|"&amp;$C26,Asset_Operations!$A$2:$A$201&amp;"|"&amp;Asset_Operations!$BG$2:$BG$201,Asset_Operations!$B$2:$B$201,""),"")</f>
        <v/>
      </c>
      <c r="F26" s="98">
        <f t="array" ref="F26">IFERROR(_xlfn.XLOOKUP($A26&amp;"|"&amp;$C26,Asset_Operations!$A$2:$A$201&amp;"|"&amp;Asset_Operations!$BG$2:$BG$201,Asset_Operations!$E$2:$E$201,""),"")</f>
        <v/>
      </c>
      <c r="G26" s="98">
        <f t="array" ref="G26">IFERROR(_xlfn.XLOOKUP($A26&amp;"|"&amp;$C26,Asset_Operations!$A$2:$A$201&amp;"|"&amp;Asset_Operations!$BG$2:$BG$201,Asset_Operations!$I$2:$I$201,""),"")</f>
        <v/>
      </c>
      <c r="H26" s="98">
        <f t="array" ref="H26">IFERROR(_xlfn.XLOOKUP($A26&amp;"|"&amp;$C26,Asset_Operations!$A$2:$A$201&amp;"|"&amp;Asset_Operations!$BG$2:$BG$201,Asset_Operations!$J$2:$J$201,""),"")</f>
        <v/>
      </c>
      <c r="I26" s="98">
        <f t="array" ref="I26">IFERROR(_xlfn.XLOOKUP($A26&amp;"|"&amp;$C26,Asset_Operations!$A$2:$A$201&amp;"|"&amp;Asset_Operations!$BG$2:$BG$201,Asset_Operations!$O$2:$O$201,""),"")</f>
        <v/>
      </c>
      <c r="J26" s="98">
        <f t="array" ref="J26">IFERROR(_xlfn.XLOOKUP($A26&amp;"|"&amp;$C26,Asset_Operations!$A$2:$A$201&amp;"|"&amp;Asset_Operations!$BG$2:$BG$201,Asset_Operations!$S$2:$S$201,""),"")</f>
        <v/>
      </c>
      <c r="K26" s="98">
        <f t="array" ref="K26">IFERROR(_xlfn.XLOOKUP($A26&amp;"|"&amp;$C26,Asset_Operations!$A$2:$A$201&amp;"|"&amp;Asset_Operations!$BG$2:$BG$201,Asset_Operations!$AC$2:$AC$201,""),"")</f>
        <v/>
      </c>
      <c r="L26" s="98">
        <f t="array" ref="L26">IFERROR(_xlfn.XLOOKUP($A26&amp;"|"&amp;$C26,Asset_Operations!$A$2:$A$201&amp;"|"&amp;Asset_Operations!$BG$2:$BG$201,Asset_Operations!$AG$2:$AG$201,""),"")</f>
        <v/>
      </c>
      <c r="M26" s="98">
        <f t="array" ref="M26">IFERROR(_xlfn.XLOOKUP($A26&amp;"|"&amp;$C26,Asset_Operations!$A$2:$A$201&amp;"|"&amp;Asset_Operations!$BG$2:$BG$201,Asset_Operations!$AO$2:$AO$201,""),"")</f>
        <v/>
      </c>
      <c r="N26" s="99">
        <f t="array" ref="N26">IFERROR(_xlfn.XLOOKUP($A26&amp;"|"&amp;$C26,Asset_Operations!$A$2:$A$201&amp;"|"&amp;Asset_Operations!$BG$2:$BG$201,Asset_Operations!$AR$2:$AR$201,""),"")</f>
        <v/>
      </c>
      <c r="O26" s="100">
        <f t="array" ref="O26">IFERROR(_xlfn.XLOOKUP($A26&amp;"|"&amp;$C26,Financials!$A$2:$A$201&amp;"|"&amp;Financials!$B$2:$B$201,Financials!$C$2:$C$201,""),"")</f>
        <v/>
      </c>
      <c r="P26" s="100">
        <f t="array" ref="P26">IFERROR(_xlfn.XLOOKUP($A26&amp;"|"&amp;$C26,Financials!$A$2:$A$201&amp;"|"&amp;Financials!$B$2:$B$201,Financials!$E$2:$E$201,""),"")</f>
        <v/>
      </c>
      <c r="Q26" s="100">
        <f t="array" ref="Q26">IFERROR(_xlfn.XLOOKUP($A26&amp;"|"&amp;$C26,Financials!$A$2:$A$201&amp;"|"&amp;Financials!$B$2:$B$201,Financials!$G$2:$G$201,""),"")</f>
        <v/>
      </c>
      <c r="R26" s="100">
        <f t="array" ref="R26">IFERROR(_xlfn.XLOOKUP($A26&amp;"|"&amp;$C26,Financials!$A$2:$A$201&amp;"|"&amp;Financials!$B$2:$B$201,Financials!$S$2:$S$201,""),"")</f>
        <v/>
      </c>
      <c r="S26" s="100">
        <f t="array" ref="S26">IFERROR(_xlfn.XLOOKUP($A26&amp;"|"&amp;$C26,Financials!$A$2:$A$201&amp;"|"&amp;Financials!$B$2:$B$201,Financials!$AC$2:$AC$201,""),"")</f>
        <v/>
      </c>
      <c r="T26" s="101">
        <f>IFERROR(P26/O26,"")</f>
        <v/>
      </c>
      <c r="U26" s="24">
        <f>IFERROR(R26/P26,"")</f>
        <v/>
      </c>
      <c r="V26" s="102">
        <f>IFERROR(O26/E26,"")</f>
        <v/>
      </c>
      <c r="W26" s="24">
        <f>IFERROR(L26/F26,"")</f>
        <v/>
      </c>
      <c r="X26" s="26">
        <f>IFERROR(IF(NOT(ISNUMBER($E26)),"",IF($E26&gt;=Scoring_Criteria!$D$4,5,IF($E26&gt;=Scoring_Criteria!$E$4,4,IF($E26&gt;=Scoring_Criteria!$F$4,3,IF($E26&gt;=Scoring_Criteria!$G$4,2,1))))),"")</f>
        <v/>
      </c>
      <c r="Y26" s="26">
        <f>IFERROR(IF(OR(NOT(ISNUMBER($F26)),NOT(ISNUMBER($E26)),$E26=0),"",IF(($F26/$E26)&gt;=Scoring_Criteria!$D$5,5,IF(($F26/$E26)&gt;=Scoring_Criteria!$E$5,4,IF(($F26/$E26)&gt;=Scoring_Criteria!$F$5,3,IF(($F26/$E26)&gt;=Scoring_Criteria!$G$5,2,1))))),"")</f>
        <v/>
      </c>
      <c r="Z26" s="26">
        <f>IFERROR(IF(AND(NOT(ISNUMBER($I26)),NOT(ISNUMBER($J26))),"",IF((IFERROR($I26,0)+IFERROR($J26,0))&gt;=Scoring_Criteria!$D$6,5,IF((IFERROR($I26,0)+IFERROR($J26,0))&gt;=Scoring_Criteria!$E$6,4,IF((IFERROR($I26,0)+IFERROR($J26,0))&gt;=Scoring_Criteria!$F$6,3,IF((IFERROR($I26,0)+IFERROR($J26,0))&gt;=Scoring_Criteria!$G$6,2,1))))),"")</f>
        <v/>
      </c>
      <c r="AA26" s="26">
        <f>IFERROR(IF(NOT(ISNUMBER($M26)),"",IF($M26&gt;=Scoring_Criteria!$D$7,5,IF($M26&gt;=Scoring_Criteria!$E$7,4,IF($M26&gt;=Scoring_Criteria!$F$7,3,IF($M26&gt;=Scoring_Criteria!$G$7,2,1))))),"")</f>
        <v/>
      </c>
      <c r="AB26" s="26">
        <f>IFERROR(IF(NOT(ISNUMBER($T26)),"",IF($T26&gt;=Scoring_Criteria!$D$8,5,IF($T26&gt;=Scoring_Criteria!$E$8,4,IF($T26&gt;=Scoring_Criteria!$F$8,3,IF($T26&gt;=Scoring_Criteria!$G$8,2,1))))),"")</f>
        <v/>
      </c>
      <c r="AC26" s="26">
        <f>IFERROR(IF(NOT(ISNUMBER($U26)),"",IF($U26&lt;=Scoring_Criteria!$D$9,5,IF($U26&lt;=Scoring_Criteria!$E$9,4,IF($U26&lt;=Scoring_Criteria!$F$9,3,IF($U26&lt;=Scoring_Criteria!$G$9,2,1))))),"")</f>
        <v/>
      </c>
      <c r="AD26" s="26">
        <f t="array" ref="AD26">IFERROR(IF(NOT(ISNUMBER(_xlfn.XLOOKUP($A26&amp;"|"&amp;$C26,Financials!$A$2:$A$201&amp;"|"&amp;Financials!$B$2:$B$201,Financials!$AD$2:$AD$201,""))),"",IF(_xlfn.XLOOKUP($A26&amp;"|"&amp;$C26,Financials!$A$2:$A$201&amp;"|"&amp;Financials!$B$2:$B$201,Financials!$AD$2:$AD$201,"")&gt;=Scoring_Criteria!$D$10,5,IF(_xlfn.XLOOKUP($A26&amp;"|"&amp;$C26,Financials!$A$2:$A$201&amp;"|"&amp;Financials!$B$2:$B$201,Financials!$AD$2:$AD$201,"")&gt;=Scoring_Criteria!$E$10,4,IF(_xlfn.XLOOKUP($A26&amp;"|"&amp;$C26,Financials!$A$2:$A$201&amp;"|"&amp;Financials!$B$2:$B$201,Financials!$AD$2:$AD$201,"")&gt;=Scoring_Criteria!$F$10,3,IF(_xlfn.XLOOKUP($A26&amp;"|"&amp;$C26,Financials!$A$2:$A$201&amp;"|"&amp;Financials!$B$2:$B$201,Financials!$AD$2:$AD$201,"")&gt;=Scoring_Criteria!$G$10,2,1))))),"")</f>
        <v/>
      </c>
      <c r="AE26" s="27" t="n"/>
      <c r="AF26" s="27" t="n"/>
      <c r="AG26" s="28">
        <f>IFERROR(IF(COUNTA(X26:AF26)=0,"",AVERAGE(X26:AF26)),"")</f>
        <v/>
      </c>
      <c r="AH26" s="29" t="n"/>
      <c r="AI26" s="29" t="n"/>
      <c r="AJ26" s="29" t="n"/>
      <c r="AK26" s="29" t="n"/>
      <c r="AL26" s="29" t="n"/>
      <c r="AM26" s="29" t="n"/>
      <c r="AN26" s="29" t="n"/>
      <c r="AO26" s="29" t="n"/>
      <c r="AP26" s="29" t="n"/>
      <c r="AQ26" s="29" t="n"/>
      <c r="AR26" s="29" t="n"/>
      <c r="AS26" s="29" t="n"/>
      <c r="AT26" s="29" t="n"/>
      <c r="AU26" s="46">
        <f>IFERROR(Validation_Summary!Q5,"")</f>
        <v/>
      </c>
    </row>
    <row r="27" ht="15" customHeight="1" s="67">
      <c r="A27" s="6" t="inlineStr">
        <is>
          <t>PT Dharma Satya Nusantara Tbk</t>
        </is>
      </c>
      <c r="B27" s="19">
        <f t="array" ref="B27">IFERROR(_xlfn.XLOOKUP($A27&amp;"|"&amp;$C27,'Company_Master'!$A$2:$A$94&amp;"|"&amp;'Company_Master'!$D$2:$D$94,'Company_Master'!$B$2:$B$94,""),"")</f>
        <v/>
      </c>
      <c r="C27" s="98" t="n">
        <v>2023</v>
      </c>
      <c r="D27" s="19">
        <f t="array" ref="D27">IFERROR(_xlfn.XLOOKUP($A27&amp;"|"&amp;$C27,'Company_Master'!$A$2:$A$94&amp;"|"&amp;'Company_Master'!$D$2:$D$94,'Company_Master'!$H$2:$H$94,""),"")</f>
        <v/>
      </c>
      <c r="E27" s="98">
        <f t="array" ref="E27">IFERROR(_xlfn.XLOOKUP($A27&amp;"|"&amp;$C27,Asset_Operations!$A$2:$A$201&amp;"|"&amp;Asset_Operations!$BG$2:$BG$201,Asset_Operations!$B$2:$B$201,""),"")</f>
        <v/>
      </c>
      <c r="F27" s="98">
        <f t="array" ref="F27">IFERROR(_xlfn.XLOOKUP($A27&amp;"|"&amp;$C27,Asset_Operations!$A$2:$A$201&amp;"|"&amp;Asset_Operations!$BG$2:$BG$201,Asset_Operations!$E$2:$E$201,""),"")</f>
        <v/>
      </c>
      <c r="G27" s="98">
        <f t="array" ref="G27">IFERROR(_xlfn.XLOOKUP($A27&amp;"|"&amp;$C27,Asset_Operations!$A$2:$A$201&amp;"|"&amp;Asset_Operations!$BG$2:$BG$201,Asset_Operations!$I$2:$I$201,""),"")</f>
        <v/>
      </c>
      <c r="H27" s="98">
        <f t="array" ref="H27">IFERROR(_xlfn.XLOOKUP($A27&amp;"|"&amp;$C27,Asset_Operations!$A$2:$A$201&amp;"|"&amp;Asset_Operations!$BG$2:$BG$201,Asset_Operations!$J$2:$J$201,""),"")</f>
        <v/>
      </c>
      <c r="I27" s="98">
        <f t="array" ref="I27">IFERROR(_xlfn.XLOOKUP($A27&amp;"|"&amp;$C27,Asset_Operations!$A$2:$A$201&amp;"|"&amp;Asset_Operations!$BG$2:$BG$201,Asset_Operations!$O$2:$O$201,""),"")</f>
        <v/>
      </c>
      <c r="J27" s="98">
        <f t="array" ref="J27">IFERROR(_xlfn.XLOOKUP($A27&amp;"|"&amp;$C27,Asset_Operations!$A$2:$A$201&amp;"|"&amp;Asset_Operations!$BG$2:$BG$201,Asset_Operations!$S$2:$S$201,""),"")</f>
        <v/>
      </c>
      <c r="K27" s="98">
        <f t="array" ref="K27">IFERROR(_xlfn.XLOOKUP($A27&amp;"|"&amp;$C27,Asset_Operations!$A$2:$A$201&amp;"|"&amp;Asset_Operations!$BG$2:$BG$201,Asset_Operations!$AC$2:$AC$201,""),"")</f>
        <v/>
      </c>
      <c r="L27" s="98">
        <f t="array" ref="L27">IFERROR(_xlfn.XLOOKUP($A27&amp;"|"&amp;$C27,Asset_Operations!$A$2:$A$201&amp;"|"&amp;Asset_Operations!$BG$2:$BG$201,Asset_Operations!$AG$2:$AG$201,""),"")</f>
        <v/>
      </c>
      <c r="M27" s="98">
        <f t="array" ref="M27">IFERROR(_xlfn.XLOOKUP($A27&amp;"|"&amp;$C27,Asset_Operations!$A$2:$A$201&amp;"|"&amp;Asset_Operations!$BG$2:$BG$201,Asset_Operations!$AO$2:$AO$201,""),"")</f>
        <v/>
      </c>
      <c r="N27" s="99">
        <f t="array" ref="N27">IFERROR(_xlfn.XLOOKUP($A27&amp;"|"&amp;$C27,Asset_Operations!$A$2:$A$201&amp;"|"&amp;Asset_Operations!$BG$2:$BG$201,Asset_Operations!$AR$2:$AR$201,""),"")</f>
        <v/>
      </c>
      <c r="O27" s="100">
        <f t="array" ref="O27">IFERROR(_xlfn.XLOOKUP($A27&amp;"|"&amp;$C27,Financials!$A$2:$A$201&amp;"|"&amp;Financials!$B$2:$B$201,Financials!$C$2:$C$201,""),"")</f>
        <v/>
      </c>
      <c r="P27" s="100">
        <f t="array" ref="P27">IFERROR(_xlfn.XLOOKUP($A27&amp;"|"&amp;$C27,Financials!$A$2:$A$201&amp;"|"&amp;Financials!$B$2:$B$201,Financials!$E$2:$E$201,""),"")</f>
        <v/>
      </c>
      <c r="Q27" s="100">
        <f t="array" ref="Q27">IFERROR(_xlfn.XLOOKUP($A27&amp;"|"&amp;$C27,Financials!$A$2:$A$201&amp;"|"&amp;Financials!$B$2:$B$201,Financials!$G$2:$G$201,""),"")</f>
        <v/>
      </c>
      <c r="R27" s="100">
        <f t="array" ref="R27">IFERROR(_xlfn.XLOOKUP($A27&amp;"|"&amp;$C27,Financials!$A$2:$A$201&amp;"|"&amp;Financials!$B$2:$B$201,Financials!$S$2:$S$201,""),"")</f>
        <v/>
      </c>
      <c r="S27" s="100">
        <f t="array" ref="S27">IFERROR(_xlfn.XLOOKUP($A27&amp;"|"&amp;$C27,Financials!$A$2:$A$201&amp;"|"&amp;Financials!$B$2:$B$201,Financials!$AC$2:$AC$201,""),"")</f>
        <v/>
      </c>
      <c r="T27" s="101">
        <f>IFERROR(P27/O27,"")</f>
        <v/>
      </c>
      <c r="U27" s="24">
        <f>IFERROR(R27/P27,"")</f>
        <v/>
      </c>
      <c r="V27" s="102">
        <f>IFERROR(O27/E27,"")</f>
        <v/>
      </c>
      <c r="W27" s="24">
        <f>IFERROR(L27/F27,"")</f>
        <v/>
      </c>
      <c r="X27" s="26">
        <f>IFERROR(IF(NOT(ISNUMBER($E27)),"",IF($E27&gt;=Scoring_Criteria!$D$4,5,IF($E27&gt;=Scoring_Criteria!$E$4,4,IF($E27&gt;=Scoring_Criteria!$F$4,3,IF($E27&gt;=Scoring_Criteria!$G$4,2,1))))),"")</f>
        <v/>
      </c>
      <c r="Y27" s="26">
        <f>IFERROR(IF(OR(NOT(ISNUMBER($F27)),NOT(ISNUMBER($E27)),$E27=0),"",IF(($F27/$E27)&gt;=Scoring_Criteria!$D$5,5,IF(($F27/$E27)&gt;=Scoring_Criteria!$E$5,4,IF(($F27/$E27)&gt;=Scoring_Criteria!$F$5,3,IF(($F27/$E27)&gt;=Scoring_Criteria!$G$5,2,1))))),"")</f>
        <v/>
      </c>
      <c r="Z27" s="26">
        <f>IFERROR(IF(AND(NOT(ISNUMBER($I27)),NOT(ISNUMBER($J27))),"",IF((IFERROR($I27,0)+IFERROR($J27,0))&gt;=Scoring_Criteria!$D$6,5,IF((IFERROR($I27,0)+IFERROR($J27,0))&gt;=Scoring_Criteria!$E$6,4,IF((IFERROR($I27,0)+IFERROR($J27,0))&gt;=Scoring_Criteria!$F$6,3,IF((IFERROR($I27,0)+IFERROR($J27,0))&gt;=Scoring_Criteria!$G$6,2,1))))),"")</f>
        <v/>
      </c>
      <c r="AA27" s="26">
        <f>IFERROR(IF(NOT(ISNUMBER($M27)),"",IF($M27&gt;=Scoring_Criteria!$D$7,5,IF($M27&gt;=Scoring_Criteria!$E$7,4,IF($M27&gt;=Scoring_Criteria!$F$7,3,IF($M27&gt;=Scoring_Criteria!$G$7,2,1))))),"")</f>
        <v/>
      </c>
      <c r="AB27" s="26">
        <f>IFERROR(IF(NOT(ISNUMBER($T27)),"",IF($T27&gt;=Scoring_Criteria!$D$8,5,IF($T27&gt;=Scoring_Criteria!$E$8,4,IF($T27&gt;=Scoring_Criteria!$F$8,3,IF($T27&gt;=Scoring_Criteria!$G$8,2,1))))),"")</f>
        <v/>
      </c>
      <c r="AC27" s="26">
        <f>IFERROR(IF(NOT(ISNUMBER($U27)),"",IF($U27&lt;=Scoring_Criteria!$D$9,5,IF($U27&lt;=Scoring_Criteria!$E$9,4,IF($U27&lt;=Scoring_Criteria!$F$9,3,IF($U27&lt;=Scoring_Criteria!$G$9,2,1))))),"")</f>
        <v/>
      </c>
      <c r="AD27" s="26">
        <f t="array" ref="AD27">IFERROR(IF(NOT(ISNUMBER(_xlfn.XLOOKUP($A27&amp;"|"&amp;$C27,Financials!$A$2:$A$201&amp;"|"&amp;Financials!$B$2:$B$201,Financials!$AD$2:$AD$201,""))),"",IF(_xlfn.XLOOKUP($A27&amp;"|"&amp;$C27,Financials!$A$2:$A$201&amp;"|"&amp;Financials!$B$2:$B$201,Financials!$AD$2:$AD$201,"")&gt;=Scoring_Criteria!$D$10,5,IF(_xlfn.XLOOKUP($A27&amp;"|"&amp;$C27,Financials!$A$2:$A$201&amp;"|"&amp;Financials!$B$2:$B$201,Financials!$AD$2:$AD$201,"")&gt;=Scoring_Criteria!$E$10,4,IF(_xlfn.XLOOKUP($A27&amp;"|"&amp;$C27,Financials!$A$2:$A$201&amp;"|"&amp;Financials!$B$2:$B$201,Financials!$AD$2:$AD$201,"")&gt;=Scoring_Criteria!$F$10,3,IF(_xlfn.XLOOKUP($A27&amp;"|"&amp;$C27,Financials!$A$2:$A$201&amp;"|"&amp;Financials!$B$2:$B$201,Financials!$AD$2:$AD$201,"")&gt;=Scoring_Criteria!$G$10,2,1))))),"")</f>
        <v/>
      </c>
      <c r="AE27" s="27" t="n"/>
      <c r="AF27" s="27" t="n"/>
      <c r="AG27" s="28">
        <f>IFERROR(IF(COUNTA(X27:AF27)=0,"",AVERAGE(X27:AF27)),"")</f>
        <v/>
      </c>
      <c r="AH27" s="29" t="n"/>
      <c r="AI27" s="29" t="n"/>
      <c r="AJ27" s="29" t="n"/>
      <c r="AK27" s="29" t="n"/>
      <c r="AL27" s="29" t="n"/>
      <c r="AM27" s="29" t="n"/>
      <c r="AN27" s="29" t="n"/>
      <c r="AO27" s="29" t="n"/>
      <c r="AP27" s="29" t="n"/>
      <c r="AQ27" s="29" t="n"/>
      <c r="AR27" s="29" t="n"/>
      <c r="AS27" s="29" t="n"/>
      <c r="AT27" s="29" t="n"/>
      <c r="AU27" s="46">
        <f>IFERROR(Validation_Summary!Q5,"")</f>
        <v/>
      </c>
    </row>
    <row r="28" ht="15" customHeight="1" s="67">
      <c r="A28" s="6" t="inlineStr">
        <is>
          <t>PT Dharma Satya Nusantara Tbk</t>
        </is>
      </c>
      <c r="B28" s="19">
        <f t="array" ref="B28">IFERROR(_xlfn.XLOOKUP($A28&amp;"|"&amp;$C28,'Company_Master'!$A$2:$A$94&amp;"|"&amp;'Company_Master'!$D$2:$D$94,'Company_Master'!$B$2:$B$94,""),"")</f>
        <v/>
      </c>
      <c r="C28" s="98" t="n">
        <v>2024</v>
      </c>
      <c r="D28" s="19">
        <f t="array" ref="D28">IFERROR(_xlfn.XLOOKUP($A28&amp;"|"&amp;$C28,'Company_Master'!$A$2:$A$94&amp;"|"&amp;'Company_Master'!$D$2:$D$94,'Company_Master'!$H$2:$H$94,""),"")</f>
        <v/>
      </c>
      <c r="E28" s="98">
        <f t="array" ref="E28">IFERROR(_xlfn.XLOOKUP($A28&amp;"|"&amp;$C28,Asset_Operations!$A$2:$A$201&amp;"|"&amp;Asset_Operations!$BG$2:$BG$201,Asset_Operations!$B$2:$B$201,""),"")</f>
        <v/>
      </c>
      <c r="F28" s="98">
        <f t="array" ref="F28">IFERROR(_xlfn.XLOOKUP($A28&amp;"|"&amp;$C28,Asset_Operations!$A$2:$A$201&amp;"|"&amp;Asset_Operations!$BG$2:$BG$201,Asset_Operations!$E$2:$E$201,""),"")</f>
        <v/>
      </c>
      <c r="G28" s="98">
        <f t="array" ref="G28">IFERROR(_xlfn.XLOOKUP($A28&amp;"|"&amp;$C28,Asset_Operations!$A$2:$A$201&amp;"|"&amp;Asset_Operations!$BG$2:$BG$201,Asset_Operations!$I$2:$I$201,""),"")</f>
        <v/>
      </c>
      <c r="H28" s="98">
        <f t="array" ref="H28">IFERROR(_xlfn.XLOOKUP($A28&amp;"|"&amp;$C28,Asset_Operations!$A$2:$A$201&amp;"|"&amp;Asset_Operations!$BG$2:$BG$201,Asset_Operations!$J$2:$J$201,""),"")</f>
        <v/>
      </c>
      <c r="I28" s="98">
        <f t="array" ref="I28">IFERROR(_xlfn.XLOOKUP($A28&amp;"|"&amp;$C28,Asset_Operations!$A$2:$A$201&amp;"|"&amp;Asset_Operations!$BG$2:$BG$201,Asset_Operations!$O$2:$O$201,""),"")</f>
        <v/>
      </c>
      <c r="J28" s="98">
        <f t="array" ref="J28">IFERROR(_xlfn.XLOOKUP($A28&amp;"|"&amp;$C28,Asset_Operations!$A$2:$A$201&amp;"|"&amp;Asset_Operations!$BG$2:$BG$201,Asset_Operations!$S$2:$S$201,""),"")</f>
        <v/>
      </c>
      <c r="K28" s="98">
        <f t="array" ref="K28">IFERROR(_xlfn.XLOOKUP($A28&amp;"|"&amp;$C28,Asset_Operations!$A$2:$A$201&amp;"|"&amp;Asset_Operations!$BG$2:$BG$201,Asset_Operations!$AC$2:$AC$201,""),"")</f>
        <v/>
      </c>
      <c r="L28" s="98">
        <f t="array" ref="L28">IFERROR(_xlfn.XLOOKUP($A28&amp;"|"&amp;$C28,Asset_Operations!$A$2:$A$201&amp;"|"&amp;Asset_Operations!$BG$2:$BG$201,Asset_Operations!$AG$2:$AG$201,""),"")</f>
        <v/>
      </c>
      <c r="M28" s="98">
        <f t="array" ref="M28">IFERROR(_xlfn.XLOOKUP($A28&amp;"|"&amp;$C28,Asset_Operations!$A$2:$A$201&amp;"|"&amp;Asset_Operations!$BG$2:$BG$201,Asset_Operations!$AO$2:$AO$201,""),"")</f>
        <v/>
      </c>
      <c r="N28" s="99">
        <f t="array" ref="N28">IFERROR(_xlfn.XLOOKUP($A28&amp;"|"&amp;$C28,Asset_Operations!$A$2:$A$201&amp;"|"&amp;Asset_Operations!$BG$2:$BG$201,Asset_Operations!$AR$2:$AR$201,""),"")</f>
        <v/>
      </c>
      <c r="O28" s="100">
        <f t="array" ref="O28">IFERROR(_xlfn.XLOOKUP($A28&amp;"|"&amp;$C28,Financials!$A$2:$A$201&amp;"|"&amp;Financials!$B$2:$B$201,Financials!$C$2:$C$201,""),"")</f>
        <v/>
      </c>
      <c r="P28" s="100">
        <f t="array" ref="P28">IFERROR(_xlfn.XLOOKUP($A28&amp;"|"&amp;$C28,Financials!$A$2:$A$201&amp;"|"&amp;Financials!$B$2:$B$201,Financials!$E$2:$E$201,""),"")</f>
        <v/>
      </c>
      <c r="Q28" s="100">
        <f t="array" ref="Q28">IFERROR(_xlfn.XLOOKUP($A28&amp;"|"&amp;$C28,Financials!$A$2:$A$201&amp;"|"&amp;Financials!$B$2:$B$201,Financials!$G$2:$G$201,""),"")</f>
        <v/>
      </c>
      <c r="R28" s="100">
        <f t="array" ref="R28">IFERROR(_xlfn.XLOOKUP($A28&amp;"|"&amp;$C28,Financials!$A$2:$A$201&amp;"|"&amp;Financials!$B$2:$B$201,Financials!$S$2:$S$201,""),"")</f>
        <v/>
      </c>
      <c r="S28" s="100">
        <f t="array" ref="S28">IFERROR(_xlfn.XLOOKUP($A28&amp;"|"&amp;$C28,Financials!$A$2:$A$201&amp;"|"&amp;Financials!$B$2:$B$201,Financials!$AC$2:$AC$201,""),"")</f>
        <v/>
      </c>
      <c r="T28" s="101">
        <f>IFERROR(P28/O28,"")</f>
        <v/>
      </c>
      <c r="U28" s="24">
        <f>IFERROR(R28/P28,"")</f>
        <v/>
      </c>
      <c r="V28" s="102">
        <f>IFERROR(O28/E28,"")</f>
        <v/>
      </c>
      <c r="W28" s="24">
        <f>IFERROR(L28/F28,"")</f>
        <v/>
      </c>
      <c r="X28" s="26">
        <f>IFERROR(IF(NOT(ISNUMBER($E28)),"",IF($E28&gt;=Scoring_Criteria!$D$4,5,IF($E28&gt;=Scoring_Criteria!$E$4,4,IF($E28&gt;=Scoring_Criteria!$F$4,3,IF($E28&gt;=Scoring_Criteria!$G$4,2,1))))),"")</f>
        <v/>
      </c>
      <c r="Y28" s="26">
        <f>IFERROR(IF(OR(NOT(ISNUMBER($F28)),NOT(ISNUMBER($E28)),$E28=0),"",IF(($F28/$E28)&gt;=Scoring_Criteria!$D$5,5,IF(($F28/$E28)&gt;=Scoring_Criteria!$E$5,4,IF(($F28/$E28)&gt;=Scoring_Criteria!$F$5,3,IF(($F28/$E28)&gt;=Scoring_Criteria!$G$5,2,1))))),"")</f>
        <v/>
      </c>
      <c r="Z28" s="26">
        <f>IFERROR(IF(AND(NOT(ISNUMBER($I28)),NOT(ISNUMBER($J28))),"",IF((IFERROR($I28,0)+IFERROR($J28,0))&gt;=Scoring_Criteria!$D$6,5,IF((IFERROR($I28,0)+IFERROR($J28,0))&gt;=Scoring_Criteria!$E$6,4,IF((IFERROR($I28,0)+IFERROR($J28,0))&gt;=Scoring_Criteria!$F$6,3,IF((IFERROR($I28,0)+IFERROR($J28,0))&gt;=Scoring_Criteria!$G$6,2,1))))),"")</f>
        <v/>
      </c>
      <c r="AA28" s="26">
        <f>IFERROR(IF(NOT(ISNUMBER($M28)),"",IF($M28&gt;=Scoring_Criteria!$D$7,5,IF($M28&gt;=Scoring_Criteria!$E$7,4,IF($M28&gt;=Scoring_Criteria!$F$7,3,IF($M28&gt;=Scoring_Criteria!$G$7,2,1))))),"")</f>
        <v/>
      </c>
      <c r="AB28" s="26">
        <f>IFERROR(IF(NOT(ISNUMBER($T28)),"",IF($T28&gt;=Scoring_Criteria!$D$8,5,IF($T28&gt;=Scoring_Criteria!$E$8,4,IF($T28&gt;=Scoring_Criteria!$F$8,3,IF($T28&gt;=Scoring_Criteria!$G$8,2,1))))),"")</f>
        <v/>
      </c>
      <c r="AC28" s="26">
        <f>IFERROR(IF(NOT(ISNUMBER($U28)),"",IF($U28&lt;=Scoring_Criteria!$D$9,5,IF($U28&lt;=Scoring_Criteria!$E$9,4,IF($U28&lt;=Scoring_Criteria!$F$9,3,IF($U28&lt;=Scoring_Criteria!$G$9,2,1))))),"")</f>
        <v/>
      </c>
      <c r="AD28" s="26">
        <f t="array" ref="AD28">IFERROR(IF(NOT(ISNUMBER(_xlfn.XLOOKUP($A28&amp;"|"&amp;$C28,Financials!$A$2:$A$201&amp;"|"&amp;Financials!$B$2:$B$201,Financials!$AD$2:$AD$201,""))),"",IF(_xlfn.XLOOKUP($A28&amp;"|"&amp;$C28,Financials!$A$2:$A$201&amp;"|"&amp;Financials!$B$2:$B$201,Financials!$AD$2:$AD$201,"")&gt;=Scoring_Criteria!$D$10,5,IF(_xlfn.XLOOKUP($A28&amp;"|"&amp;$C28,Financials!$A$2:$A$201&amp;"|"&amp;Financials!$B$2:$B$201,Financials!$AD$2:$AD$201,"")&gt;=Scoring_Criteria!$E$10,4,IF(_xlfn.XLOOKUP($A28&amp;"|"&amp;$C28,Financials!$A$2:$A$201&amp;"|"&amp;Financials!$B$2:$B$201,Financials!$AD$2:$AD$201,"")&gt;=Scoring_Criteria!$F$10,3,IF(_xlfn.XLOOKUP($A28&amp;"|"&amp;$C28,Financials!$A$2:$A$201&amp;"|"&amp;Financials!$B$2:$B$201,Financials!$AD$2:$AD$201,"")&gt;=Scoring_Criteria!$G$10,2,1))))),"")</f>
        <v/>
      </c>
      <c r="AE28" s="27" t="n"/>
      <c r="AF28" s="27" t="n"/>
      <c r="AG28" s="28">
        <f>IFERROR(IF(COUNTA(X28:AF28)=0,"",AVERAGE(X28:AF28)),"")</f>
        <v/>
      </c>
      <c r="AH28" s="29" t="n"/>
      <c r="AI28" s="29" t="n"/>
      <c r="AJ28" s="29" t="n"/>
      <c r="AK28" s="29" t="n"/>
      <c r="AL28" s="29" t="n"/>
      <c r="AM28" s="29" t="n"/>
      <c r="AN28" s="29" t="n"/>
      <c r="AO28" s="29" t="n"/>
      <c r="AP28" s="29" t="n"/>
      <c r="AQ28" s="29" t="n"/>
      <c r="AR28" s="29" t="n"/>
      <c r="AS28" s="29" t="n"/>
      <c r="AT28" s="29" t="n"/>
      <c r="AU28" s="46">
        <f>IFERROR(Validation_Summary!Q5,"")</f>
        <v/>
      </c>
    </row>
    <row r="29" ht="15" customHeight="1" s="67">
      <c r="A29" s="6" t="inlineStr">
        <is>
          <t>PT FAP Agri Tbk</t>
        </is>
      </c>
      <c r="B29" s="19">
        <f t="array" ref="B29">IFERROR(_xlfn.XLOOKUP($A29&amp;"|"&amp;$C29,'Company_Master'!$A$2:$A$94&amp;"|"&amp;'Company_Master'!$D$2:$D$94,'Company_Master'!$B$2:$B$94,""),"")</f>
        <v/>
      </c>
      <c r="C29" s="98" t="n">
        <v>2022</v>
      </c>
      <c r="D29" s="19">
        <f t="array" ref="D29">IFERROR(_xlfn.XLOOKUP($A29&amp;"|"&amp;$C29,'Company_Master'!$A$2:$A$94&amp;"|"&amp;'Company_Master'!$D$2:$D$94,'Company_Master'!$H$2:$H$94,""),"")</f>
        <v/>
      </c>
      <c r="E29" s="98">
        <f t="array" ref="E29">IFERROR(_xlfn.XLOOKUP($A29&amp;"|"&amp;$C29,Asset_Operations!$A$2:$A$201&amp;"|"&amp;Asset_Operations!$BG$2:$BG$201,Asset_Operations!$B$2:$B$201,""),"")</f>
        <v/>
      </c>
      <c r="F29" s="98">
        <f t="array" ref="F29">IFERROR(_xlfn.XLOOKUP($A29&amp;"|"&amp;$C29,Asset_Operations!$A$2:$A$201&amp;"|"&amp;Asset_Operations!$BG$2:$BG$201,Asset_Operations!$E$2:$E$201,""),"")</f>
        <v/>
      </c>
      <c r="G29" s="98">
        <f t="array" ref="G29">IFERROR(_xlfn.XLOOKUP($A29&amp;"|"&amp;$C29,Asset_Operations!$A$2:$A$201&amp;"|"&amp;Asset_Operations!$BG$2:$BG$201,Asset_Operations!$I$2:$I$201,""),"")</f>
        <v/>
      </c>
      <c r="H29" s="98">
        <f t="array" ref="H29">IFERROR(_xlfn.XLOOKUP($A29&amp;"|"&amp;$C29,Asset_Operations!$A$2:$A$201&amp;"|"&amp;Asset_Operations!$BG$2:$BG$201,Asset_Operations!$J$2:$J$201,""),"")</f>
        <v/>
      </c>
      <c r="I29" s="98">
        <f t="array" ref="I29">IFERROR(_xlfn.XLOOKUP($A29&amp;"|"&amp;$C29,Asset_Operations!$A$2:$A$201&amp;"|"&amp;Asset_Operations!$BG$2:$BG$201,Asset_Operations!$O$2:$O$201,""),"")</f>
        <v/>
      </c>
      <c r="J29" s="98">
        <f t="array" ref="J29">IFERROR(_xlfn.XLOOKUP($A29&amp;"|"&amp;$C29,Asset_Operations!$A$2:$A$201&amp;"|"&amp;Asset_Operations!$BG$2:$BG$201,Asset_Operations!$S$2:$S$201,""),"")</f>
        <v/>
      </c>
      <c r="K29" s="98">
        <f t="array" ref="K29">IFERROR(_xlfn.XLOOKUP($A29&amp;"|"&amp;$C29,Asset_Operations!$A$2:$A$201&amp;"|"&amp;Asset_Operations!$BG$2:$BG$201,Asset_Operations!$AC$2:$AC$201,""),"")</f>
        <v/>
      </c>
      <c r="L29" s="98">
        <f t="array" ref="L29">IFERROR(_xlfn.XLOOKUP($A29&amp;"|"&amp;$C29,Asset_Operations!$A$2:$A$201&amp;"|"&amp;Asset_Operations!$BG$2:$BG$201,Asset_Operations!$AG$2:$AG$201,""),"")</f>
        <v/>
      </c>
      <c r="M29" s="98">
        <f t="array" ref="M29">IFERROR(_xlfn.XLOOKUP($A29&amp;"|"&amp;$C29,Asset_Operations!$A$2:$A$201&amp;"|"&amp;Asset_Operations!$BG$2:$BG$201,Asset_Operations!$AO$2:$AO$201,""),"")</f>
        <v/>
      </c>
      <c r="N29" s="99">
        <f t="array" ref="N29">IFERROR(_xlfn.XLOOKUP($A29&amp;"|"&amp;$C29,Asset_Operations!$A$2:$A$201&amp;"|"&amp;Asset_Operations!$BG$2:$BG$201,Asset_Operations!$AR$2:$AR$201,""),"")</f>
        <v/>
      </c>
      <c r="O29" s="100">
        <f t="array" ref="O29">IFERROR(_xlfn.XLOOKUP($A29&amp;"|"&amp;$C29,Financials!$A$2:$A$201&amp;"|"&amp;Financials!$B$2:$B$201,Financials!$C$2:$C$201,""),"")</f>
        <v/>
      </c>
      <c r="P29" s="100">
        <f t="array" ref="P29">IFERROR(_xlfn.XLOOKUP($A29&amp;"|"&amp;$C29,Financials!$A$2:$A$201&amp;"|"&amp;Financials!$B$2:$B$201,Financials!$E$2:$E$201,""),"")</f>
        <v/>
      </c>
      <c r="Q29" s="100">
        <f t="array" ref="Q29">IFERROR(_xlfn.XLOOKUP($A29&amp;"|"&amp;$C29,Financials!$A$2:$A$201&amp;"|"&amp;Financials!$B$2:$B$201,Financials!$G$2:$G$201,""),"")</f>
        <v/>
      </c>
      <c r="R29" s="100">
        <f t="array" ref="R29">IFERROR(_xlfn.XLOOKUP($A29&amp;"|"&amp;$C29,Financials!$A$2:$A$201&amp;"|"&amp;Financials!$B$2:$B$201,Financials!$S$2:$S$201,""),"")</f>
        <v/>
      </c>
      <c r="S29" s="100">
        <f t="array" ref="S29">IFERROR(_xlfn.XLOOKUP($A29&amp;"|"&amp;$C29,Financials!$A$2:$A$201&amp;"|"&amp;Financials!$B$2:$B$201,Financials!$AC$2:$AC$201,""),"")</f>
        <v/>
      </c>
      <c r="T29" s="101">
        <f>IFERROR(P29/O29,"")</f>
        <v/>
      </c>
      <c r="U29" s="24">
        <f>IFERROR(R29/P29,"")</f>
        <v/>
      </c>
      <c r="V29" s="102">
        <f>IFERROR(O29/E29,"")</f>
        <v/>
      </c>
      <c r="W29" s="24">
        <f>IFERROR(L29/F29,"")</f>
        <v/>
      </c>
      <c r="X29" s="26">
        <f>IFERROR(IF(NOT(ISNUMBER($E29)),"",IF($E29&gt;=Scoring_Criteria!$D$4,5,IF($E29&gt;=Scoring_Criteria!$E$4,4,IF($E29&gt;=Scoring_Criteria!$F$4,3,IF($E29&gt;=Scoring_Criteria!$G$4,2,1))))),"")</f>
        <v/>
      </c>
      <c r="Y29" s="26">
        <f>IFERROR(IF(OR(NOT(ISNUMBER($F29)),NOT(ISNUMBER($E29)),$E29=0),"",IF(($F29/$E29)&gt;=Scoring_Criteria!$D$5,5,IF(($F29/$E29)&gt;=Scoring_Criteria!$E$5,4,IF(($F29/$E29)&gt;=Scoring_Criteria!$F$5,3,IF(($F29/$E29)&gt;=Scoring_Criteria!$G$5,2,1))))),"")</f>
        <v/>
      </c>
      <c r="Z29" s="26">
        <f>IFERROR(IF(AND(NOT(ISNUMBER($I29)),NOT(ISNUMBER($J29))),"",IF((IFERROR($I29,0)+IFERROR($J29,0))&gt;=Scoring_Criteria!$D$6,5,IF((IFERROR($I29,0)+IFERROR($J29,0))&gt;=Scoring_Criteria!$E$6,4,IF((IFERROR($I29,0)+IFERROR($J29,0))&gt;=Scoring_Criteria!$F$6,3,IF((IFERROR($I29,0)+IFERROR($J29,0))&gt;=Scoring_Criteria!$G$6,2,1))))),"")</f>
        <v/>
      </c>
      <c r="AA29" s="26">
        <f>IFERROR(IF(NOT(ISNUMBER($M29)),"",IF($M29&gt;=Scoring_Criteria!$D$7,5,IF($M29&gt;=Scoring_Criteria!$E$7,4,IF($M29&gt;=Scoring_Criteria!$F$7,3,IF($M29&gt;=Scoring_Criteria!$G$7,2,1))))),"")</f>
        <v/>
      </c>
      <c r="AB29" s="26">
        <f>IFERROR(IF(NOT(ISNUMBER($T29)),"",IF($T29&gt;=Scoring_Criteria!$D$8,5,IF($T29&gt;=Scoring_Criteria!$E$8,4,IF($T29&gt;=Scoring_Criteria!$F$8,3,IF($T29&gt;=Scoring_Criteria!$G$8,2,1))))),"")</f>
        <v/>
      </c>
      <c r="AC29" s="26">
        <f>IFERROR(IF(NOT(ISNUMBER($U29)),"",IF($U29&lt;=Scoring_Criteria!$D$9,5,IF($U29&lt;=Scoring_Criteria!$E$9,4,IF($U29&lt;=Scoring_Criteria!$F$9,3,IF($U29&lt;=Scoring_Criteria!$G$9,2,1))))),"")</f>
        <v/>
      </c>
      <c r="AD29" s="26">
        <f t="array" ref="AD29">IFERROR(IF(NOT(ISNUMBER(_xlfn.XLOOKUP($A29&amp;"|"&amp;$C29,Financials!$A$2:$A$201&amp;"|"&amp;Financials!$B$2:$B$201,Financials!$AD$2:$AD$201,""))),"",IF(_xlfn.XLOOKUP($A29&amp;"|"&amp;$C29,Financials!$A$2:$A$201&amp;"|"&amp;Financials!$B$2:$B$201,Financials!$AD$2:$AD$201,"")&gt;=Scoring_Criteria!$D$10,5,IF(_xlfn.XLOOKUP($A29&amp;"|"&amp;$C29,Financials!$A$2:$A$201&amp;"|"&amp;Financials!$B$2:$B$201,Financials!$AD$2:$AD$201,"")&gt;=Scoring_Criteria!$E$10,4,IF(_xlfn.XLOOKUP($A29&amp;"|"&amp;$C29,Financials!$A$2:$A$201&amp;"|"&amp;Financials!$B$2:$B$201,Financials!$AD$2:$AD$201,"")&gt;=Scoring_Criteria!$F$10,3,IF(_xlfn.XLOOKUP($A29&amp;"|"&amp;$C29,Financials!$A$2:$A$201&amp;"|"&amp;Financials!$B$2:$B$201,Financials!$AD$2:$AD$201,"")&gt;=Scoring_Criteria!$G$10,2,1))))),"")</f>
        <v/>
      </c>
      <c r="AE29" s="27" t="n"/>
      <c r="AF29" s="27" t="n"/>
      <c r="AG29" s="28">
        <f>IFERROR(IF(COUNTA(X29:AF29)=0,"",AVERAGE(X29:AF29)),"")</f>
        <v/>
      </c>
      <c r="AH29" s="29" t="n"/>
      <c r="AI29" s="29" t="n"/>
      <c r="AJ29" s="29" t="n"/>
      <c r="AK29" s="29" t="n"/>
      <c r="AL29" s="29" t="n"/>
      <c r="AM29" s="29" t="n"/>
      <c r="AN29" s="29" t="n"/>
      <c r="AO29" s="29" t="n"/>
      <c r="AP29" s="29" t="n"/>
      <c r="AQ29" s="29" t="n"/>
      <c r="AR29" s="29" t="n"/>
      <c r="AS29" s="29" t="n"/>
      <c r="AT29" s="29" t="n"/>
      <c r="AU29" s="46">
        <f>IFERROR(Validation_Summary!Q5,"")</f>
        <v/>
      </c>
    </row>
    <row r="30" ht="15" customHeight="1" s="67">
      <c r="A30" s="6" t="inlineStr">
        <is>
          <t>PT FAP Agri Tbk</t>
        </is>
      </c>
      <c r="B30" s="19">
        <f t="array" ref="B30">IFERROR(_xlfn.XLOOKUP($A30&amp;"|"&amp;$C30,'Company_Master'!$A$2:$A$94&amp;"|"&amp;'Company_Master'!$D$2:$D$94,'Company_Master'!$B$2:$B$94,""),"")</f>
        <v/>
      </c>
      <c r="C30" s="98" t="n">
        <v>2023</v>
      </c>
      <c r="D30" s="19">
        <f t="array" ref="D30">IFERROR(_xlfn.XLOOKUP($A30&amp;"|"&amp;$C30,'Company_Master'!$A$2:$A$94&amp;"|"&amp;'Company_Master'!$D$2:$D$94,'Company_Master'!$H$2:$H$94,""),"")</f>
        <v/>
      </c>
      <c r="E30" s="98">
        <f t="array" ref="E30">IFERROR(_xlfn.XLOOKUP($A30&amp;"|"&amp;$C30,Asset_Operations!$A$2:$A$201&amp;"|"&amp;Asset_Operations!$BG$2:$BG$201,Asset_Operations!$B$2:$B$201,""),"")</f>
        <v/>
      </c>
      <c r="F30" s="98">
        <f t="array" ref="F30">IFERROR(_xlfn.XLOOKUP($A30&amp;"|"&amp;$C30,Asset_Operations!$A$2:$A$201&amp;"|"&amp;Asset_Operations!$BG$2:$BG$201,Asset_Operations!$E$2:$E$201,""),"")</f>
        <v/>
      </c>
      <c r="G30" s="98">
        <f t="array" ref="G30">IFERROR(_xlfn.XLOOKUP($A30&amp;"|"&amp;$C30,Asset_Operations!$A$2:$A$201&amp;"|"&amp;Asset_Operations!$BG$2:$BG$201,Asset_Operations!$I$2:$I$201,""),"")</f>
        <v/>
      </c>
      <c r="H30" s="98">
        <f t="array" ref="H30">IFERROR(_xlfn.XLOOKUP($A30&amp;"|"&amp;$C30,Asset_Operations!$A$2:$A$201&amp;"|"&amp;Asset_Operations!$BG$2:$BG$201,Asset_Operations!$J$2:$J$201,""),"")</f>
        <v/>
      </c>
      <c r="I30" s="98">
        <f t="array" ref="I30">IFERROR(_xlfn.XLOOKUP($A30&amp;"|"&amp;$C30,Asset_Operations!$A$2:$A$201&amp;"|"&amp;Asset_Operations!$BG$2:$BG$201,Asset_Operations!$O$2:$O$201,""),"")</f>
        <v/>
      </c>
      <c r="J30" s="98">
        <f t="array" ref="J30">IFERROR(_xlfn.XLOOKUP($A30&amp;"|"&amp;$C30,Asset_Operations!$A$2:$A$201&amp;"|"&amp;Asset_Operations!$BG$2:$BG$201,Asset_Operations!$S$2:$S$201,""),"")</f>
        <v/>
      </c>
      <c r="K30" s="98">
        <f t="array" ref="K30">IFERROR(_xlfn.XLOOKUP($A30&amp;"|"&amp;$C30,Asset_Operations!$A$2:$A$201&amp;"|"&amp;Asset_Operations!$BG$2:$BG$201,Asset_Operations!$AC$2:$AC$201,""),"")</f>
        <v/>
      </c>
      <c r="L30" s="98">
        <f t="array" ref="L30">IFERROR(_xlfn.XLOOKUP($A30&amp;"|"&amp;$C30,Asset_Operations!$A$2:$A$201&amp;"|"&amp;Asset_Operations!$BG$2:$BG$201,Asset_Operations!$AG$2:$AG$201,""),"")</f>
        <v/>
      </c>
      <c r="M30" s="98">
        <f t="array" ref="M30">IFERROR(_xlfn.XLOOKUP($A30&amp;"|"&amp;$C30,Asset_Operations!$A$2:$A$201&amp;"|"&amp;Asset_Operations!$BG$2:$BG$201,Asset_Operations!$AO$2:$AO$201,""),"")</f>
        <v/>
      </c>
      <c r="N30" s="99">
        <f t="array" ref="N30">IFERROR(_xlfn.XLOOKUP($A30&amp;"|"&amp;$C30,Asset_Operations!$A$2:$A$201&amp;"|"&amp;Asset_Operations!$BG$2:$BG$201,Asset_Operations!$AR$2:$AR$201,""),"")</f>
        <v/>
      </c>
      <c r="O30" s="100">
        <f t="array" ref="O30">IFERROR(_xlfn.XLOOKUP($A30&amp;"|"&amp;$C30,Financials!$A$2:$A$201&amp;"|"&amp;Financials!$B$2:$B$201,Financials!$C$2:$C$201,""),"")</f>
        <v/>
      </c>
      <c r="P30" s="100">
        <f t="array" ref="P30">IFERROR(_xlfn.XLOOKUP($A30&amp;"|"&amp;$C30,Financials!$A$2:$A$201&amp;"|"&amp;Financials!$B$2:$B$201,Financials!$E$2:$E$201,""),"")</f>
        <v/>
      </c>
      <c r="Q30" s="100">
        <f t="array" ref="Q30">IFERROR(_xlfn.XLOOKUP($A30&amp;"|"&amp;$C30,Financials!$A$2:$A$201&amp;"|"&amp;Financials!$B$2:$B$201,Financials!$G$2:$G$201,""),"")</f>
        <v/>
      </c>
      <c r="R30" s="100">
        <f t="array" ref="R30">IFERROR(_xlfn.XLOOKUP($A30&amp;"|"&amp;$C30,Financials!$A$2:$A$201&amp;"|"&amp;Financials!$B$2:$B$201,Financials!$S$2:$S$201,""),"")</f>
        <v/>
      </c>
      <c r="S30" s="100">
        <f t="array" ref="S30">IFERROR(_xlfn.XLOOKUP($A30&amp;"|"&amp;$C30,Financials!$A$2:$A$201&amp;"|"&amp;Financials!$B$2:$B$201,Financials!$AC$2:$AC$201,""),"")</f>
        <v/>
      </c>
      <c r="T30" s="101">
        <f>IFERROR(P30/O30,"")</f>
        <v/>
      </c>
      <c r="U30" s="24">
        <f>IFERROR(R30/P30,"")</f>
        <v/>
      </c>
      <c r="V30" s="102">
        <f>IFERROR(O30/E30,"")</f>
        <v/>
      </c>
      <c r="W30" s="24">
        <f>IFERROR(L30/F30,"")</f>
        <v/>
      </c>
      <c r="X30" s="26">
        <f>IFERROR(IF(NOT(ISNUMBER($E30)),"",IF($E30&gt;=Scoring_Criteria!$D$4,5,IF($E30&gt;=Scoring_Criteria!$E$4,4,IF($E30&gt;=Scoring_Criteria!$F$4,3,IF($E30&gt;=Scoring_Criteria!$G$4,2,1))))),"")</f>
        <v/>
      </c>
      <c r="Y30" s="26">
        <f>IFERROR(IF(OR(NOT(ISNUMBER($F30)),NOT(ISNUMBER($E30)),$E30=0),"",IF(($F30/$E30)&gt;=Scoring_Criteria!$D$5,5,IF(($F30/$E30)&gt;=Scoring_Criteria!$E$5,4,IF(($F30/$E30)&gt;=Scoring_Criteria!$F$5,3,IF(($F30/$E30)&gt;=Scoring_Criteria!$G$5,2,1))))),"")</f>
        <v/>
      </c>
      <c r="Z30" s="26">
        <f>IFERROR(IF(AND(NOT(ISNUMBER($I30)),NOT(ISNUMBER($J30))),"",IF((IFERROR($I30,0)+IFERROR($J30,0))&gt;=Scoring_Criteria!$D$6,5,IF((IFERROR($I30,0)+IFERROR($J30,0))&gt;=Scoring_Criteria!$E$6,4,IF((IFERROR($I30,0)+IFERROR($J30,0))&gt;=Scoring_Criteria!$F$6,3,IF((IFERROR($I30,0)+IFERROR($J30,0))&gt;=Scoring_Criteria!$G$6,2,1))))),"")</f>
        <v/>
      </c>
      <c r="AA30" s="26">
        <f>IFERROR(IF(NOT(ISNUMBER($M30)),"",IF($M30&gt;=Scoring_Criteria!$D$7,5,IF($M30&gt;=Scoring_Criteria!$E$7,4,IF($M30&gt;=Scoring_Criteria!$F$7,3,IF($M30&gt;=Scoring_Criteria!$G$7,2,1))))),"")</f>
        <v/>
      </c>
      <c r="AB30" s="26">
        <f>IFERROR(IF(NOT(ISNUMBER($T30)),"",IF($T30&gt;=Scoring_Criteria!$D$8,5,IF($T30&gt;=Scoring_Criteria!$E$8,4,IF($T30&gt;=Scoring_Criteria!$F$8,3,IF($T30&gt;=Scoring_Criteria!$G$8,2,1))))),"")</f>
        <v/>
      </c>
      <c r="AC30" s="26">
        <f>IFERROR(IF(NOT(ISNUMBER($U30)),"",IF($U30&lt;=Scoring_Criteria!$D$9,5,IF($U30&lt;=Scoring_Criteria!$E$9,4,IF($U30&lt;=Scoring_Criteria!$F$9,3,IF($U30&lt;=Scoring_Criteria!$G$9,2,1))))),"")</f>
        <v/>
      </c>
      <c r="AD30" s="26">
        <f t="array" ref="AD30">IFERROR(IF(NOT(ISNUMBER(_xlfn.XLOOKUP($A30&amp;"|"&amp;$C30,Financials!$A$2:$A$201&amp;"|"&amp;Financials!$B$2:$B$201,Financials!$AD$2:$AD$201,""))),"",IF(_xlfn.XLOOKUP($A30&amp;"|"&amp;$C30,Financials!$A$2:$A$201&amp;"|"&amp;Financials!$B$2:$B$201,Financials!$AD$2:$AD$201,"")&gt;=Scoring_Criteria!$D$10,5,IF(_xlfn.XLOOKUP($A30&amp;"|"&amp;$C30,Financials!$A$2:$A$201&amp;"|"&amp;Financials!$B$2:$B$201,Financials!$AD$2:$AD$201,"")&gt;=Scoring_Criteria!$E$10,4,IF(_xlfn.XLOOKUP($A30&amp;"|"&amp;$C30,Financials!$A$2:$A$201&amp;"|"&amp;Financials!$B$2:$B$201,Financials!$AD$2:$AD$201,"")&gt;=Scoring_Criteria!$F$10,3,IF(_xlfn.XLOOKUP($A30&amp;"|"&amp;$C30,Financials!$A$2:$A$201&amp;"|"&amp;Financials!$B$2:$B$201,Financials!$AD$2:$AD$201,"")&gt;=Scoring_Criteria!$G$10,2,1))))),"")</f>
        <v/>
      </c>
      <c r="AE30" s="27" t="n"/>
      <c r="AF30" s="27" t="n"/>
      <c r="AG30" s="28">
        <f>IFERROR(IF(COUNTA(X30:AF30)=0,"",AVERAGE(X30:AF30)),"")</f>
        <v/>
      </c>
      <c r="AH30" s="29" t="n"/>
      <c r="AI30" s="29" t="n"/>
      <c r="AJ30" s="29" t="n"/>
      <c r="AK30" s="29" t="n"/>
      <c r="AL30" s="29" t="n"/>
      <c r="AM30" s="29" t="n"/>
      <c r="AN30" s="29" t="n"/>
      <c r="AO30" s="29" t="n"/>
      <c r="AP30" s="29" t="n"/>
      <c r="AQ30" s="29" t="n"/>
      <c r="AR30" s="29" t="n"/>
      <c r="AS30" s="29" t="n"/>
      <c r="AT30" s="29" t="n"/>
      <c r="AU30" s="46">
        <f>IFERROR(Validation_Summary!Q5,"")</f>
        <v/>
      </c>
    </row>
    <row r="31" ht="15" customHeight="1" s="67">
      <c r="A31" s="6" t="inlineStr">
        <is>
          <t>PT FAP Agri Tbk</t>
        </is>
      </c>
      <c r="B31" s="19">
        <f t="array" ref="B31">IFERROR(_xlfn.XLOOKUP($A31&amp;"|"&amp;$C31,'Company_Master'!$A$2:$A$94&amp;"|"&amp;'Company_Master'!$D$2:$D$94,'Company_Master'!$B$2:$B$94,""),"")</f>
        <v/>
      </c>
      <c r="C31" s="98" t="n">
        <v>2024</v>
      </c>
      <c r="D31" s="19">
        <f t="array" ref="D31">IFERROR(_xlfn.XLOOKUP($A31&amp;"|"&amp;$C31,'Company_Master'!$A$2:$A$94&amp;"|"&amp;'Company_Master'!$D$2:$D$94,'Company_Master'!$H$2:$H$94,""),"")</f>
        <v/>
      </c>
      <c r="E31" s="98">
        <f t="array" ref="E31">IFERROR(_xlfn.XLOOKUP($A31&amp;"|"&amp;$C31,Asset_Operations!$A$2:$A$201&amp;"|"&amp;Asset_Operations!$BG$2:$BG$201,Asset_Operations!$B$2:$B$201,""),"")</f>
        <v/>
      </c>
      <c r="F31" s="98">
        <f t="array" ref="F31">IFERROR(_xlfn.XLOOKUP($A31&amp;"|"&amp;$C31,Asset_Operations!$A$2:$A$201&amp;"|"&amp;Asset_Operations!$BG$2:$BG$201,Asset_Operations!$E$2:$E$201,""),"")</f>
        <v/>
      </c>
      <c r="G31" s="98">
        <f t="array" ref="G31">IFERROR(_xlfn.XLOOKUP($A31&amp;"|"&amp;$C31,Asset_Operations!$A$2:$A$201&amp;"|"&amp;Asset_Operations!$BG$2:$BG$201,Asset_Operations!$I$2:$I$201,""),"")</f>
        <v/>
      </c>
      <c r="H31" s="98">
        <f t="array" ref="H31">IFERROR(_xlfn.XLOOKUP($A31&amp;"|"&amp;$C31,Asset_Operations!$A$2:$A$201&amp;"|"&amp;Asset_Operations!$BG$2:$BG$201,Asset_Operations!$J$2:$J$201,""),"")</f>
        <v/>
      </c>
      <c r="I31" s="98">
        <f t="array" ref="I31">IFERROR(_xlfn.XLOOKUP($A31&amp;"|"&amp;$C31,Asset_Operations!$A$2:$A$201&amp;"|"&amp;Asset_Operations!$BG$2:$BG$201,Asset_Operations!$O$2:$O$201,""),"")</f>
        <v/>
      </c>
      <c r="J31" s="98">
        <f t="array" ref="J31">IFERROR(_xlfn.XLOOKUP($A31&amp;"|"&amp;$C31,Asset_Operations!$A$2:$A$201&amp;"|"&amp;Asset_Operations!$BG$2:$BG$201,Asset_Operations!$S$2:$S$201,""),"")</f>
        <v/>
      </c>
      <c r="K31" s="98">
        <f t="array" ref="K31">IFERROR(_xlfn.XLOOKUP($A31&amp;"|"&amp;$C31,Asset_Operations!$A$2:$A$201&amp;"|"&amp;Asset_Operations!$BG$2:$BG$201,Asset_Operations!$AC$2:$AC$201,""),"")</f>
        <v/>
      </c>
      <c r="L31" s="98">
        <f t="array" ref="L31">IFERROR(_xlfn.XLOOKUP($A31&amp;"|"&amp;$C31,Asset_Operations!$A$2:$A$201&amp;"|"&amp;Asset_Operations!$BG$2:$BG$201,Asset_Operations!$AG$2:$AG$201,""),"")</f>
        <v/>
      </c>
      <c r="M31" s="98">
        <f t="array" ref="M31">IFERROR(_xlfn.XLOOKUP($A31&amp;"|"&amp;$C31,Asset_Operations!$A$2:$A$201&amp;"|"&amp;Asset_Operations!$BG$2:$BG$201,Asset_Operations!$AO$2:$AO$201,""),"")</f>
        <v/>
      </c>
      <c r="N31" s="99">
        <f t="array" ref="N31">IFERROR(_xlfn.XLOOKUP($A31&amp;"|"&amp;$C31,Asset_Operations!$A$2:$A$201&amp;"|"&amp;Asset_Operations!$BG$2:$BG$201,Asset_Operations!$AR$2:$AR$201,""),"")</f>
        <v/>
      </c>
      <c r="O31" s="100">
        <f t="array" ref="O31">IFERROR(_xlfn.XLOOKUP($A31&amp;"|"&amp;$C31,Financials!$A$2:$A$201&amp;"|"&amp;Financials!$B$2:$B$201,Financials!$C$2:$C$201,""),"")</f>
        <v/>
      </c>
      <c r="P31" s="100">
        <f t="array" ref="P31">IFERROR(_xlfn.XLOOKUP($A31&amp;"|"&amp;$C31,Financials!$A$2:$A$201&amp;"|"&amp;Financials!$B$2:$B$201,Financials!$E$2:$E$201,""),"")</f>
        <v/>
      </c>
      <c r="Q31" s="100">
        <f t="array" ref="Q31">IFERROR(_xlfn.XLOOKUP($A31&amp;"|"&amp;$C31,Financials!$A$2:$A$201&amp;"|"&amp;Financials!$B$2:$B$201,Financials!$G$2:$G$201,""),"")</f>
        <v/>
      </c>
      <c r="R31" s="100">
        <f t="array" ref="R31">IFERROR(_xlfn.XLOOKUP($A31&amp;"|"&amp;$C31,Financials!$A$2:$A$201&amp;"|"&amp;Financials!$B$2:$B$201,Financials!$S$2:$S$201,""),"")</f>
        <v/>
      </c>
      <c r="S31" s="100">
        <f t="array" ref="S31">IFERROR(_xlfn.XLOOKUP($A31&amp;"|"&amp;$C31,Financials!$A$2:$A$201&amp;"|"&amp;Financials!$B$2:$B$201,Financials!$AC$2:$AC$201,""),"")</f>
        <v/>
      </c>
      <c r="T31" s="101">
        <f>IFERROR(P31/O31,"")</f>
        <v/>
      </c>
      <c r="U31" s="24">
        <f>IFERROR(R31/P31,"")</f>
        <v/>
      </c>
      <c r="V31" s="102">
        <f>IFERROR(O31/E31,"")</f>
        <v/>
      </c>
      <c r="W31" s="24">
        <f>IFERROR(L31/F31,"")</f>
        <v/>
      </c>
      <c r="X31" s="26">
        <f>IFERROR(IF(NOT(ISNUMBER($E31)),"",IF($E31&gt;=Scoring_Criteria!$D$4,5,IF($E31&gt;=Scoring_Criteria!$E$4,4,IF($E31&gt;=Scoring_Criteria!$F$4,3,IF($E31&gt;=Scoring_Criteria!$G$4,2,1))))),"")</f>
        <v/>
      </c>
      <c r="Y31" s="26">
        <f>IFERROR(IF(OR(NOT(ISNUMBER($F31)),NOT(ISNUMBER($E31)),$E31=0),"",IF(($F31/$E31)&gt;=Scoring_Criteria!$D$5,5,IF(($F31/$E31)&gt;=Scoring_Criteria!$E$5,4,IF(($F31/$E31)&gt;=Scoring_Criteria!$F$5,3,IF(($F31/$E31)&gt;=Scoring_Criteria!$G$5,2,1))))),"")</f>
        <v/>
      </c>
      <c r="Z31" s="26">
        <f>IFERROR(IF(AND(NOT(ISNUMBER($I31)),NOT(ISNUMBER($J31))),"",IF((IFERROR($I31,0)+IFERROR($J31,0))&gt;=Scoring_Criteria!$D$6,5,IF((IFERROR($I31,0)+IFERROR($J31,0))&gt;=Scoring_Criteria!$E$6,4,IF((IFERROR($I31,0)+IFERROR($J31,0))&gt;=Scoring_Criteria!$F$6,3,IF((IFERROR($I31,0)+IFERROR($J31,0))&gt;=Scoring_Criteria!$G$6,2,1))))),"")</f>
        <v/>
      </c>
      <c r="AA31" s="26">
        <f>IFERROR(IF(NOT(ISNUMBER($M31)),"",IF($M31&gt;=Scoring_Criteria!$D$7,5,IF($M31&gt;=Scoring_Criteria!$E$7,4,IF($M31&gt;=Scoring_Criteria!$F$7,3,IF($M31&gt;=Scoring_Criteria!$G$7,2,1))))),"")</f>
        <v/>
      </c>
      <c r="AB31" s="26">
        <f>IFERROR(IF(NOT(ISNUMBER($T31)),"",IF($T31&gt;=Scoring_Criteria!$D$8,5,IF($T31&gt;=Scoring_Criteria!$E$8,4,IF($T31&gt;=Scoring_Criteria!$F$8,3,IF($T31&gt;=Scoring_Criteria!$G$8,2,1))))),"")</f>
        <v/>
      </c>
      <c r="AC31" s="26">
        <f>IFERROR(IF(NOT(ISNUMBER($U31)),"",IF($U31&lt;=Scoring_Criteria!$D$9,5,IF($U31&lt;=Scoring_Criteria!$E$9,4,IF($U31&lt;=Scoring_Criteria!$F$9,3,IF($U31&lt;=Scoring_Criteria!$G$9,2,1))))),"")</f>
        <v/>
      </c>
      <c r="AD31" s="26">
        <f t="array" ref="AD31">IFERROR(IF(NOT(ISNUMBER(_xlfn.XLOOKUP($A31&amp;"|"&amp;$C31,Financials!$A$2:$A$201&amp;"|"&amp;Financials!$B$2:$B$201,Financials!$AD$2:$AD$201,""))),"",IF(_xlfn.XLOOKUP($A31&amp;"|"&amp;$C31,Financials!$A$2:$A$201&amp;"|"&amp;Financials!$B$2:$B$201,Financials!$AD$2:$AD$201,"")&gt;=Scoring_Criteria!$D$10,5,IF(_xlfn.XLOOKUP($A31&amp;"|"&amp;$C31,Financials!$A$2:$A$201&amp;"|"&amp;Financials!$B$2:$B$201,Financials!$AD$2:$AD$201,"")&gt;=Scoring_Criteria!$E$10,4,IF(_xlfn.XLOOKUP($A31&amp;"|"&amp;$C31,Financials!$A$2:$A$201&amp;"|"&amp;Financials!$B$2:$B$201,Financials!$AD$2:$AD$201,"")&gt;=Scoring_Criteria!$F$10,3,IF(_xlfn.XLOOKUP($A31&amp;"|"&amp;$C31,Financials!$A$2:$A$201&amp;"|"&amp;Financials!$B$2:$B$201,Financials!$AD$2:$AD$201,"")&gt;=Scoring_Criteria!$G$10,2,1))))),"")</f>
        <v/>
      </c>
      <c r="AE31" s="27" t="n"/>
      <c r="AF31" s="27" t="n"/>
      <c r="AG31" s="28">
        <f>IFERROR(IF(COUNTA(X31:AF31)=0,"",AVERAGE(X31:AF31)),"")</f>
        <v/>
      </c>
      <c r="AH31" s="29" t="n"/>
      <c r="AI31" s="29" t="n"/>
      <c r="AJ31" s="29" t="n"/>
      <c r="AK31" s="29" t="n"/>
      <c r="AL31" s="29" t="n"/>
      <c r="AM31" s="29" t="n"/>
      <c r="AN31" s="29" t="n"/>
      <c r="AO31" s="29" t="n"/>
      <c r="AP31" s="29" t="n"/>
      <c r="AQ31" s="29" t="n"/>
      <c r="AR31" s="29" t="n"/>
      <c r="AS31" s="29" t="n"/>
      <c r="AT31" s="29" t="n"/>
      <c r="AU31" s="46">
        <f>IFERROR(Validation_Summary!Q5,"")</f>
        <v/>
      </c>
    </row>
    <row r="32" ht="15" customHeight="1" s="67">
      <c r="A32" s="6" t="inlineStr">
        <is>
          <t>PT FKS Multi Agro Tbk</t>
        </is>
      </c>
      <c r="B32" s="19">
        <f t="array" ref="B32">IFERROR(_xlfn.XLOOKUP($A32&amp;"|"&amp;$C32,'Company_Master'!$A$2:$A$94&amp;"|"&amp;'Company_Master'!$D$2:$D$94,'Company_Master'!$B$2:$B$94,""),"")</f>
        <v/>
      </c>
      <c r="C32" s="98" t="n">
        <v>2022</v>
      </c>
      <c r="D32" s="19">
        <f t="array" ref="D32">IFERROR(_xlfn.XLOOKUP($A32&amp;"|"&amp;$C32,'Company_Master'!$A$2:$A$94&amp;"|"&amp;'Company_Master'!$D$2:$D$94,'Company_Master'!$H$2:$H$94,""),"")</f>
        <v/>
      </c>
      <c r="E32" s="98">
        <f t="array" ref="E32">IFERROR(_xlfn.XLOOKUP($A32&amp;"|"&amp;$C32,Asset_Operations!$A$2:$A$201&amp;"|"&amp;Asset_Operations!$BG$2:$BG$201,Asset_Operations!$B$2:$B$201,""),"")</f>
        <v/>
      </c>
      <c r="F32" s="98">
        <f t="array" ref="F32">IFERROR(_xlfn.XLOOKUP($A32&amp;"|"&amp;$C32,Asset_Operations!$A$2:$A$201&amp;"|"&amp;Asset_Operations!$BG$2:$BG$201,Asset_Operations!$E$2:$E$201,""),"")</f>
        <v/>
      </c>
      <c r="G32" s="98">
        <f t="array" ref="G32">IFERROR(_xlfn.XLOOKUP($A32&amp;"|"&amp;$C32,Asset_Operations!$A$2:$A$201&amp;"|"&amp;Asset_Operations!$BG$2:$BG$201,Asset_Operations!$I$2:$I$201,""),"")</f>
        <v/>
      </c>
      <c r="H32" s="98">
        <f t="array" ref="H32">IFERROR(_xlfn.XLOOKUP($A32&amp;"|"&amp;$C32,Asset_Operations!$A$2:$A$201&amp;"|"&amp;Asset_Operations!$BG$2:$BG$201,Asset_Operations!$J$2:$J$201,""),"")</f>
        <v/>
      </c>
      <c r="I32" s="98">
        <f t="array" ref="I32">IFERROR(_xlfn.XLOOKUP($A32&amp;"|"&amp;$C32,Asset_Operations!$A$2:$A$201&amp;"|"&amp;Asset_Operations!$BG$2:$BG$201,Asset_Operations!$O$2:$O$201,""),"")</f>
        <v/>
      </c>
      <c r="J32" s="98">
        <f t="array" ref="J32">IFERROR(_xlfn.XLOOKUP($A32&amp;"|"&amp;$C32,Asset_Operations!$A$2:$A$201&amp;"|"&amp;Asset_Operations!$BG$2:$BG$201,Asset_Operations!$S$2:$S$201,""),"")</f>
        <v/>
      </c>
      <c r="K32" s="98">
        <f t="array" ref="K32">IFERROR(_xlfn.XLOOKUP($A32&amp;"|"&amp;$C32,Asset_Operations!$A$2:$A$201&amp;"|"&amp;Asset_Operations!$BG$2:$BG$201,Asset_Operations!$AC$2:$AC$201,""),"")</f>
        <v/>
      </c>
      <c r="L32" s="98">
        <f t="array" ref="L32">IFERROR(_xlfn.XLOOKUP($A32&amp;"|"&amp;$C32,Asset_Operations!$A$2:$A$201&amp;"|"&amp;Asset_Operations!$BG$2:$BG$201,Asset_Operations!$AG$2:$AG$201,""),"")</f>
        <v/>
      </c>
      <c r="M32" s="98">
        <f t="array" ref="M32">IFERROR(_xlfn.XLOOKUP($A32&amp;"|"&amp;$C32,Asset_Operations!$A$2:$A$201&amp;"|"&amp;Asset_Operations!$BG$2:$BG$201,Asset_Operations!$AO$2:$AO$201,""),"")</f>
        <v/>
      </c>
      <c r="N32" s="99">
        <f t="array" ref="N32">IFERROR(_xlfn.XLOOKUP($A32&amp;"|"&amp;$C32,Asset_Operations!$A$2:$A$201&amp;"|"&amp;Asset_Operations!$BG$2:$BG$201,Asset_Operations!$AR$2:$AR$201,""),"")</f>
        <v/>
      </c>
      <c r="O32" s="100">
        <f t="array" ref="O32">IFERROR(_xlfn.XLOOKUP($A32&amp;"|"&amp;$C32,Financials!$A$2:$A$201&amp;"|"&amp;Financials!$B$2:$B$201,Financials!$C$2:$C$201,""),"")</f>
        <v/>
      </c>
      <c r="P32" s="100">
        <f t="array" ref="P32">IFERROR(_xlfn.XLOOKUP($A32&amp;"|"&amp;$C32,Financials!$A$2:$A$201&amp;"|"&amp;Financials!$B$2:$B$201,Financials!$E$2:$E$201,""),"")</f>
        <v/>
      </c>
      <c r="Q32" s="100">
        <f t="array" ref="Q32">IFERROR(_xlfn.XLOOKUP($A32&amp;"|"&amp;$C32,Financials!$A$2:$A$201&amp;"|"&amp;Financials!$B$2:$B$201,Financials!$G$2:$G$201,""),"")</f>
        <v/>
      </c>
      <c r="R32" s="100">
        <f t="array" ref="R32">IFERROR(_xlfn.XLOOKUP($A32&amp;"|"&amp;$C32,Financials!$A$2:$A$201&amp;"|"&amp;Financials!$B$2:$B$201,Financials!$S$2:$S$201,""),"")</f>
        <v/>
      </c>
      <c r="S32" s="100">
        <f t="array" ref="S32">IFERROR(_xlfn.XLOOKUP($A32&amp;"|"&amp;$C32,Financials!$A$2:$A$201&amp;"|"&amp;Financials!$B$2:$B$201,Financials!$AC$2:$AC$201,""),"")</f>
        <v/>
      </c>
      <c r="T32" s="101">
        <f>IFERROR(P32/O32,"")</f>
        <v/>
      </c>
      <c r="U32" s="24">
        <f>IFERROR(R32/P32,"")</f>
        <v/>
      </c>
      <c r="V32" s="102">
        <f>IFERROR(O32/E32,"")</f>
        <v/>
      </c>
      <c r="W32" s="24">
        <f>IFERROR(L32/F32,"")</f>
        <v/>
      </c>
      <c r="X32" s="26">
        <f>IFERROR(IF(NOT(ISNUMBER($E32)),"",IF($E32&gt;=Scoring_Criteria!$D$4,5,IF($E32&gt;=Scoring_Criteria!$E$4,4,IF($E32&gt;=Scoring_Criteria!$F$4,3,IF($E32&gt;=Scoring_Criteria!$G$4,2,1))))),"")</f>
        <v/>
      </c>
      <c r="Y32" s="26">
        <f>IFERROR(IF(OR(NOT(ISNUMBER($F32)),NOT(ISNUMBER($E32)),$E32=0),"",IF(($F32/$E32)&gt;=Scoring_Criteria!$D$5,5,IF(($F32/$E32)&gt;=Scoring_Criteria!$E$5,4,IF(($F32/$E32)&gt;=Scoring_Criteria!$F$5,3,IF(($F32/$E32)&gt;=Scoring_Criteria!$G$5,2,1))))),"")</f>
        <v/>
      </c>
      <c r="Z32" s="26">
        <f>IFERROR(IF(AND(NOT(ISNUMBER($I32)),NOT(ISNUMBER($J32))),"",IF((IFERROR($I32,0)+IFERROR($J32,0))&gt;=Scoring_Criteria!$D$6,5,IF((IFERROR($I32,0)+IFERROR($J32,0))&gt;=Scoring_Criteria!$E$6,4,IF((IFERROR($I32,0)+IFERROR($J32,0))&gt;=Scoring_Criteria!$F$6,3,IF((IFERROR($I32,0)+IFERROR($J32,0))&gt;=Scoring_Criteria!$G$6,2,1))))),"")</f>
        <v/>
      </c>
      <c r="AA32" s="26">
        <f>IFERROR(IF(NOT(ISNUMBER($M32)),"",IF($M32&gt;=Scoring_Criteria!$D$7,5,IF($M32&gt;=Scoring_Criteria!$E$7,4,IF($M32&gt;=Scoring_Criteria!$F$7,3,IF($M32&gt;=Scoring_Criteria!$G$7,2,1))))),"")</f>
        <v/>
      </c>
      <c r="AB32" s="26">
        <f>IFERROR(IF(NOT(ISNUMBER($T32)),"",IF($T32&gt;=Scoring_Criteria!$D$8,5,IF($T32&gt;=Scoring_Criteria!$E$8,4,IF($T32&gt;=Scoring_Criteria!$F$8,3,IF($T32&gt;=Scoring_Criteria!$G$8,2,1))))),"")</f>
        <v/>
      </c>
      <c r="AC32" s="26">
        <f>IFERROR(IF(NOT(ISNUMBER($U32)),"",IF($U32&lt;=Scoring_Criteria!$D$9,5,IF($U32&lt;=Scoring_Criteria!$E$9,4,IF($U32&lt;=Scoring_Criteria!$F$9,3,IF($U32&lt;=Scoring_Criteria!$G$9,2,1))))),"")</f>
        <v/>
      </c>
      <c r="AD32" s="26">
        <f t="array" ref="AD32">IFERROR(IF(NOT(ISNUMBER(_xlfn.XLOOKUP($A32&amp;"|"&amp;$C32,Financials!$A$2:$A$201&amp;"|"&amp;Financials!$B$2:$B$201,Financials!$AD$2:$AD$201,""))),"",IF(_xlfn.XLOOKUP($A32&amp;"|"&amp;$C32,Financials!$A$2:$A$201&amp;"|"&amp;Financials!$B$2:$B$201,Financials!$AD$2:$AD$201,"")&gt;=Scoring_Criteria!$D$10,5,IF(_xlfn.XLOOKUP($A32&amp;"|"&amp;$C32,Financials!$A$2:$A$201&amp;"|"&amp;Financials!$B$2:$B$201,Financials!$AD$2:$AD$201,"")&gt;=Scoring_Criteria!$E$10,4,IF(_xlfn.XLOOKUP($A32&amp;"|"&amp;$C32,Financials!$A$2:$A$201&amp;"|"&amp;Financials!$B$2:$B$201,Financials!$AD$2:$AD$201,"")&gt;=Scoring_Criteria!$F$10,3,IF(_xlfn.XLOOKUP($A32&amp;"|"&amp;$C32,Financials!$A$2:$A$201&amp;"|"&amp;Financials!$B$2:$B$201,Financials!$AD$2:$AD$201,"")&gt;=Scoring_Criteria!$G$10,2,1))))),"")</f>
        <v/>
      </c>
      <c r="AE32" s="27" t="n"/>
      <c r="AF32" s="27" t="n"/>
      <c r="AG32" s="28">
        <f>IFERROR(IF(COUNTA(X32:AF32)=0,"",AVERAGE(X32:AF32)),"")</f>
        <v/>
      </c>
      <c r="AH32" s="29" t="n"/>
      <c r="AI32" s="29" t="n"/>
      <c r="AJ32" s="29" t="n"/>
      <c r="AK32" s="29" t="n"/>
      <c r="AL32" s="29" t="n"/>
      <c r="AM32" s="29" t="n"/>
      <c r="AN32" s="29" t="n"/>
      <c r="AO32" s="29" t="n"/>
      <c r="AP32" s="29" t="n"/>
      <c r="AQ32" s="29" t="n"/>
      <c r="AR32" s="29" t="n"/>
      <c r="AS32" s="29" t="n"/>
      <c r="AT32" s="29" t="n"/>
      <c r="AU32">
        <f>IFERROR(Validation_Summary!Q5,"")</f>
        <v/>
      </c>
    </row>
    <row r="33" ht="15" customHeight="1" s="67">
      <c r="A33" s="6" t="inlineStr">
        <is>
          <t>PT FKS Multi Agro Tbk</t>
        </is>
      </c>
      <c r="B33" s="19">
        <f t="array" ref="B33">IFERROR(_xlfn.XLOOKUP($A33&amp;"|"&amp;$C33,'Company_Master'!$A$2:$A$94&amp;"|"&amp;'Company_Master'!$D$2:$D$94,'Company_Master'!$B$2:$B$94,""),"")</f>
        <v/>
      </c>
      <c r="C33" s="98" t="n">
        <v>2023</v>
      </c>
      <c r="D33" s="19">
        <f t="array" ref="D33">IFERROR(_xlfn.XLOOKUP($A33&amp;"|"&amp;$C33,'Company_Master'!$A$2:$A$94&amp;"|"&amp;'Company_Master'!$D$2:$D$94,'Company_Master'!$H$2:$H$94,""),"")</f>
        <v/>
      </c>
      <c r="E33" s="98">
        <f t="array" ref="E33">IFERROR(_xlfn.XLOOKUP($A33&amp;"|"&amp;$C33,Asset_Operations!$A$2:$A$201&amp;"|"&amp;Asset_Operations!$BG$2:$BG$201,Asset_Operations!$B$2:$B$201,""),"")</f>
        <v/>
      </c>
      <c r="F33" s="98">
        <f t="array" ref="F33">IFERROR(_xlfn.XLOOKUP($A33&amp;"|"&amp;$C33,Asset_Operations!$A$2:$A$201&amp;"|"&amp;Asset_Operations!$BG$2:$BG$201,Asset_Operations!$E$2:$E$201,""),"")</f>
        <v/>
      </c>
      <c r="G33" s="98">
        <f t="array" ref="G33">IFERROR(_xlfn.XLOOKUP($A33&amp;"|"&amp;$C33,Asset_Operations!$A$2:$A$201&amp;"|"&amp;Asset_Operations!$BG$2:$BG$201,Asset_Operations!$I$2:$I$201,""),"")</f>
        <v/>
      </c>
      <c r="H33" s="98">
        <f t="array" ref="H33">IFERROR(_xlfn.XLOOKUP($A33&amp;"|"&amp;$C33,Asset_Operations!$A$2:$A$201&amp;"|"&amp;Asset_Operations!$BG$2:$BG$201,Asset_Operations!$J$2:$J$201,""),"")</f>
        <v/>
      </c>
      <c r="I33" s="98">
        <f t="array" ref="I33">IFERROR(_xlfn.XLOOKUP($A33&amp;"|"&amp;$C33,Asset_Operations!$A$2:$A$201&amp;"|"&amp;Asset_Operations!$BG$2:$BG$201,Asset_Operations!$O$2:$O$201,""),"")</f>
        <v/>
      </c>
      <c r="J33" s="98">
        <f t="array" ref="J33">IFERROR(_xlfn.XLOOKUP($A33&amp;"|"&amp;$C33,Asset_Operations!$A$2:$A$201&amp;"|"&amp;Asset_Operations!$BG$2:$BG$201,Asset_Operations!$S$2:$S$201,""),"")</f>
        <v/>
      </c>
      <c r="K33" s="98">
        <f t="array" ref="K33">IFERROR(_xlfn.XLOOKUP($A33&amp;"|"&amp;$C33,Asset_Operations!$A$2:$A$201&amp;"|"&amp;Asset_Operations!$BG$2:$BG$201,Asset_Operations!$AC$2:$AC$201,""),"")</f>
        <v/>
      </c>
      <c r="L33" s="98">
        <f t="array" ref="L33">IFERROR(_xlfn.XLOOKUP($A33&amp;"|"&amp;$C33,Asset_Operations!$A$2:$A$201&amp;"|"&amp;Asset_Operations!$BG$2:$BG$201,Asset_Operations!$AG$2:$AG$201,""),"")</f>
        <v/>
      </c>
      <c r="M33" s="98">
        <f t="array" ref="M33">IFERROR(_xlfn.XLOOKUP($A33&amp;"|"&amp;$C33,Asset_Operations!$A$2:$A$201&amp;"|"&amp;Asset_Operations!$BG$2:$BG$201,Asset_Operations!$AO$2:$AO$201,""),"")</f>
        <v/>
      </c>
      <c r="N33" s="99">
        <f t="array" ref="N33">IFERROR(_xlfn.XLOOKUP($A33&amp;"|"&amp;$C33,Asset_Operations!$A$2:$A$201&amp;"|"&amp;Asset_Operations!$BG$2:$BG$201,Asset_Operations!$AR$2:$AR$201,""),"")</f>
        <v/>
      </c>
      <c r="O33" s="100">
        <f t="array" ref="O33">IFERROR(_xlfn.XLOOKUP($A33&amp;"|"&amp;$C33,Financials!$A$2:$A$201&amp;"|"&amp;Financials!$B$2:$B$201,Financials!$C$2:$C$201,""),"")</f>
        <v/>
      </c>
      <c r="P33" s="100">
        <f t="array" ref="P33">IFERROR(_xlfn.XLOOKUP($A33&amp;"|"&amp;$C33,Financials!$A$2:$A$201&amp;"|"&amp;Financials!$B$2:$B$201,Financials!$E$2:$E$201,""),"")</f>
        <v/>
      </c>
      <c r="Q33" s="100">
        <f t="array" ref="Q33">IFERROR(_xlfn.XLOOKUP($A33&amp;"|"&amp;$C33,Financials!$A$2:$A$201&amp;"|"&amp;Financials!$B$2:$B$201,Financials!$G$2:$G$201,""),"")</f>
        <v/>
      </c>
      <c r="R33" s="100">
        <f t="array" ref="R33">IFERROR(_xlfn.XLOOKUP($A33&amp;"|"&amp;$C33,Financials!$A$2:$A$201&amp;"|"&amp;Financials!$B$2:$B$201,Financials!$S$2:$S$201,""),"")</f>
        <v/>
      </c>
      <c r="S33" s="100">
        <f t="array" ref="S33">IFERROR(_xlfn.XLOOKUP($A33&amp;"|"&amp;$C33,Financials!$A$2:$A$201&amp;"|"&amp;Financials!$B$2:$B$201,Financials!$AC$2:$AC$201,""),"")</f>
        <v/>
      </c>
      <c r="T33" s="101">
        <f>IFERROR(P33/O33,"")</f>
        <v/>
      </c>
      <c r="U33" s="24">
        <f>IFERROR(R33/P33,"")</f>
        <v/>
      </c>
      <c r="V33" s="102">
        <f>IFERROR(O33/E33,"")</f>
        <v/>
      </c>
      <c r="W33" s="24">
        <f>IFERROR(L33/F33,"")</f>
        <v/>
      </c>
      <c r="X33" s="26">
        <f>IFERROR(IF(NOT(ISNUMBER($E33)),"",IF($E33&gt;=Scoring_Criteria!$D$4,5,IF($E33&gt;=Scoring_Criteria!$E$4,4,IF($E33&gt;=Scoring_Criteria!$F$4,3,IF($E33&gt;=Scoring_Criteria!$G$4,2,1))))),"")</f>
        <v/>
      </c>
      <c r="Y33" s="26">
        <f>IFERROR(IF(OR(NOT(ISNUMBER($F33)),NOT(ISNUMBER($E33)),$E33=0),"",IF(($F33/$E33)&gt;=Scoring_Criteria!$D$5,5,IF(($F33/$E33)&gt;=Scoring_Criteria!$E$5,4,IF(($F33/$E33)&gt;=Scoring_Criteria!$F$5,3,IF(($F33/$E33)&gt;=Scoring_Criteria!$G$5,2,1))))),"")</f>
        <v/>
      </c>
      <c r="Z33" s="26">
        <f>IFERROR(IF(AND(NOT(ISNUMBER($I33)),NOT(ISNUMBER($J33))),"",IF((IFERROR($I33,0)+IFERROR($J33,0))&gt;=Scoring_Criteria!$D$6,5,IF((IFERROR($I33,0)+IFERROR($J33,0))&gt;=Scoring_Criteria!$E$6,4,IF((IFERROR($I33,0)+IFERROR($J33,0))&gt;=Scoring_Criteria!$F$6,3,IF((IFERROR($I33,0)+IFERROR($J33,0))&gt;=Scoring_Criteria!$G$6,2,1))))),"")</f>
        <v/>
      </c>
      <c r="AA33" s="26">
        <f>IFERROR(IF(NOT(ISNUMBER($M33)),"",IF($M33&gt;=Scoring_Criteria!$D$7,5,IF($M33&gt;=Scoring_Criteria!$E$7,4,IF($M33&gt;=Scoring_Criteria!$F$7,3,IF($M33&gt;=Scoring_Criteria!$G$7,2,1))))),"")</f>
        <v/>
      </c>
      <c r="AB33" s="26">
        <f>IFERROR(IF(NOT(ISNUMBER($T33)),"",IF($T33&gt;=Scoring_Criteria!$D$8,5,IF($T33&gt;=Scoring_Criteria!$E$8,4,IF($T33&gt;=Scoring_Criteria!$F$8,3,IF($T33&gt;=Scoring_Criteria!$G$8,2,1))))),"")</f>
        <v/>
      </c>
      <c r="AC33" s="26">
        <f>IFERROR(IF(NOT(ISNUMBER($U33)),"",IF($U33&lt;=Scoring_Criteria!$D$9,5,IF($U33&lt;=Scoring_Criteria!$E$9,4,IF($U33&lt;=Scoring_Criteria!$F$9,3,IF($U33&lt;=Scoring_Criteria!$G$9,2,1))))),"")</f>
        <v/>
      </c>
      <c r="AD33" s="26">
        <f t="array" ref="AD33">IFERROR(IF(NOT(ISNUMBER(_xlfn.XLOOKUP($A33&amp;"|"&amp;$C33,Financials!$A$2:$A$201&amp;"|"&amp;Financials!$B$2:$B$201,Financials!$AD$2:$AD$201,""))),"",IF(_xlfn.XLOOKUP($A33&amp;"|"&amp;$C33,Financials!$A$2:$A$201&amp;"|"&amp;Financials!$B$2:$B$201,Financials!$AD$2:$AD$201,"")&gt;=Scoring_Criteria!$D$10,5,IF(_xlfn.XLOOKUP($A33&amp;"|"&amp;$C33,Financials!$A$2:$A$201&amp;"|"&amp;Financials!$B$2:$B$201,Financials!$AD$2:$AD$201,"")&gt;=Scoring_Criteria!$E$10,4,IF(_xlfn.XLOOKUP($A33&amp;"|"&amp;$C33,Financials!$A$2:$A$201&amp;"|"&amp;Financials!$B$2:$B$201,Financials!$AD$2:$AD$201,"")&gt;=Scoring_Criteria!$F$10,3,IF(_xlfn.XLOOKUP($A33&amp;"|"&amp;$C33,Financials!$A$2:$A$201&amp;"|"&amp;Financials!$B$2:$B$201,Financials!$AD$2:$AD$201,"")&gt;=Scoring_Criteria!$G$10,2,1))))),"")</f>
        <v/>
      </c>
      <c r="AE33" s="27" t="n"/>
      <c r="AF33" s="27" t="n"/>
      <c r="AG33" s="28">
        <f>IFERROR(IF(COUNTA(X33:AF33)=0,"",AVERAGE(X33:AF33)),"")</f>
        <v/>
      </c>
      <c r="AH33" s="29" t="n"/>
      <c r="AI33" s="29" t="n"/>
      <c r="AJ33" s="29" t="n"/>
      <c r="AK33" s="29" t="n"/>
      <c r="AL33" s="29" t="n"/>
      <c r="AM33" s="29" t="n"/>
      <c r="AN33" s="29" t="n"/>
      <c r="AO33" s="29" t="n"/>
      <c r="AP33" s="29" t="n"/>
      <c r="AQ33" s="29" t="n"/>
      <c r="AR33" s="29" t="n"/>
      <c r="AS33" s="29" t="n"/>
      <c r="AT33" s="29" t="n"/>
      <c r="AU33">
        <f>IFERROR(Validation_Summary!Q5,"")</f>
        <v/>
      </c>
    </row>
    <row r="34" ht="15" customHeight="1" s="67">
      <c r="A34" s="6" t="inlineStr">
        <is>
          <t>PT FKS Multi Agro Tbk</t>
        </is>
      </c>
      <c r="B34" s="19">
        <f t="array" ref="B34">IFERROR(_xlfn.XLOOKUP($A34&amp;"|"&amp;$C34,'Company_Master'!$A$2:$A$94&amp;"|"&amp;'Company_Master'!$D$2:$D$94,'Company_Master'!$B$2:$B$94,""),"")</f>
        <v/>
      </c>
      <c r="C34" s="98" t="n">
        <v>2024</v>
      </c>
      <c r="D34" s="19">
        <f t="array" ref="D34">IFERROR(_xlfn.XLOOKUP($A34&amp;"|"&amp;$C34,'Company_Master'!$A$2:$A$94&amp;"|"&amp;'Company_Master'!$D$2:$D$94,'Company_Master'!$H$2:$H$94,""),"")</f>
        <v/>
      </c>
      <c r="E34" s="98">
        <f t="array" ref="E34">IFERROR(_xlfn.XLOOKUP($A34&amp;"|"&amp;$C34,Asset_Operations!$A$2:$A$201&amp;"|"&amp;Asset_Operations!$BG$2:$BG$201,Asset_Operations!$B$2:$B$201,""),"")</f>
        <v/>
      </c>
      <c r="F34" s="98">
        <f t="array" ref="F34">IFERROR(_xlfn.XLOOKUP($A34&amp;"|"&amp;$C34,Asset_Operations!$A$2:$A$201&amp;"|"&amp;Asset_Operations!$BG$2:$BG$201,Asset_Operations!$E$2:$E$201,""),"")</f>
        <v/>
      </c>
      <c r="G34" s="98">
        <f t="array" ref="G34">IFERROR(_xlfn.XLOOKUP($A34&amp;"|"&amp;$C34,Asset_Operations!$A$2:$A$201&amp;"|"&amp;Asset_Operations!$BG$2:$BG$201,Asset_Operations!$I$2:$I$201,""),"")</f>
        <v/>
      </c>
      <c r="H34" s="98">
        <f t="array" ref="H34">IFERROR(_xlfn.XLOOKUP($A34&amp;"|"&amp;$C34,Asset_Operations!$A$2:$A$201&amp;"|"&amp;Asset_Operations!$BG$2:$BG$201,Asset_Operations!$J$2:$J$201,""),"")</f>
        <v/>
      </c>
      <c r="I34" s="98">
        <f t="array" ref="I34">IFERROR(_xlfn.XLOOKUP($A34&amp;"|"&amp;$C34,Asset_Operations!$A$2:$A$201&amp;"|"&amp;Asset_Operations!$BG$2:$BG$201,Asset_Operations!$O$2:$O$201,""),"")</f>
        <v/>
      </c>
      <c r="J34" s="98">
        <f t="array" ref="J34">IFERROR(_xlfn.XLOOKUP($A34&amp;"|"&amp;$C34,Asset_Operations!$A$2:$A$201&amp;"|"&amp;Asset_Operations!$BG$2:$BG$201,Asset_Operations!$S$2:$S$201,""),"")</f>
        <v/>
      </c>
      <c r="K34" s="98">
        <f t="array" ref="K34">IFERROR(_xlfn.XLOOKUP($A34&amp;"|"&amp;$C34,Asset_Operations!$A$2:$A$201&amp;"|"&amp;Asset_Operations!$BG$2:$BG$201,Asset_Operations!$AC$2:$AC$201,""),"")</f>
        <v/>
      </c>
      <c r="L34" s="98">
        <f t="array" ref="L34">IFERROR(_xlfn.XLOOKUP($A34&amp;"|"&amp;$C34,Asset_Operations!$A$2:$A$201&amp;"|"&amp;Asset_Operations!$BG$2:$BG$201,Asset_Operations!$AG$2:$AG$201,""),"")</f>
        <v/>
      </c>
      <c r="M34" s="98">
        <f t="array" ref="M34">IFERROR(_xlfn.XLOOKUP($A34&amp;"|"&amp;$C34,Asset_Operations!$A$2:$A$201&amp;"|"&amp;Asset_Operations!$BG$2:$BG$201,Asset_Operations!$AO$2:$AO$201,""),"")</f>
        <v/>
      </c>
      <c r="N34" s="99">
        <f t="array" ref="N34">IFERROR(_xlfn.XLOOKUP($A34&amp;"|"&amp;$C34,Asset_Operations!$A$2:$A$201&amp;"|"&amp;Asset_Operations!$BG$2:$BG$201,Asset_Operations!$AR$2:$AR$201,""),"")</f>
        <v/>
      </c>
      <c r="O34" s="100">
        <f t="array" ref="O34">IFERROR(_xlfn.XLOOKUP($A34&amp;"|"&amp;$C34,Financials!$A$2:$A$201&amp;"|"&amp;Financials!$B$2:$B$201,Financials!$C$2:$C$201,""),"")</f>
        <v/>
      </c>
      <c r="P34" s="100">
        <f t="array" ref="P34">IFERROR(_xlfn.XLOOKUP($A34&amp;"|"&amp;$C34,Financials!$A$2:$A$201&amp;"|"&amp;Financials!$B$2:$B$201,Financials!$E$2:$E$201,""),"")</f>
        <v/>
      </c>
      <c r="Q34" s="100">
        <f t="array" ref="Q34">IFERROR(_xlfn.XLOOKUP($A34&amp;"|"&amp;$C34,Financials!$A$2:$A$201&amp;"|"&amp;Financials!$B$2:$B$201,Financials!$G$2:$G$201,""),"")</f>
        <v/>
      </c>
      <c r="R34" s="100">
        <f t="array" ref="R34">IFERROR(_xlfn.XLOOKUP($A34&amp;"|"&amp;$C34,Financials!$A$2:$A$201&amp;"|"&amp;Financials!$B$2:$B$201,Financials!$S$2:$S$201,""),"")</f>
        <v/>
      </c>
      <c r="S34" s="100">
        <f t="array" ref="S34">IFERROR(_xlfn.XLOOKUP($A34&amp;"|"&amp;$C34,Financials!$A$2:$A$201&amp;"|"&amp;Financials!$B$2:$B$201,Financials!$AC$2:$AC$201,""),"")</f>
        <v/>
      </c>
      <c r="T34" s="101">
        <f>IFERROR(P34/O34,"")</f>
        <v/>
      </c>
      <c r="U34" s="24">
        <f>IFERROR(R34/P34,"")</f>
        <v/>
      </c>
      <c r="V34" s="102">
        <f>IFERROR(O34/E34,"")</f>
        <v/>
      </c>
      <c r="W34" s="24">
        <f>IFERROR(L34/F34,"")</f>
        <v/>
      </c>
      <c r="X34" s="26">
        <f>IFERROR(IF(NOT(ISNUMBER($E34)),"",IF($E34&gt;=Scoring_Criteria!$D$4,5,IF($E34&gt;=Scoring_Criteria!$E$4,4,IF($E34&gt;=Scoring_Criteria!$F$4,3,IF($E34&gt;=Scoring_Criteria!$G$4,2,1))))),"")</f>
        <v/>
      </c>
      <c r="Y34" s="26">
        <f>IFERROR(IF(OR(NOT(ISNUMBER($F34)),NOT(ISNUMBER($E34)),$E34=0),"",IF(($F34/$E34)&gt;=Scoring_Criteria!$D$5,5,IF(($F34/$E34)&gt;=Scoring_Criteria!$E$5,4,IF(($F34/$E34)&gt;=Scoring_Criteria!$F$5,3,IF(($F34/$E34)&gt;=Scoring_Criteria!$G$5,2,1))))),"")</f>
        <v/>
      </c>
      <c r="Z34" s="26">
        <f>IFERROR(IF(AND(NOT(ISNUMBER($I34)),NOT(ISNUMBER($J34))),"",IF((IFERROR($I34,0)+IFERROR($J34,0))&gt;=Scoring_Criteria!$D$6,5,IF((IFERROR($I34,0)+IFERROR($J34,0))&gt;=Scoring_Criteria!$E$6,4,IF((IFERROR($I34,0)+IFERROR($J34,0))&gt;=Scoring_Criteria!$F$6,3,IF((IFERROR($I34,0)+IFERROR($J34,0))&gt;=Scoring_Criteria!$G$6,2,1))))),"")</f>
        <v/>
      </c>
      <c r="AA34" s="26">
        <f>IFERROR(IF(NOT(ISNUMBER($M34)),"",IF($M34&gt;=Scoring_Criteria!$D$7,5,IF($M34&gt;=Scoring_Criteria!$E$7,4,IF($M34&gt;=Scoring_Criteria!$F$7,3,IF($M34&gt;=Scoring_Criteria!$G$7,2,1))))),"")</f>
        <v/>
      </c>
      <c r="AB34" s="26">
        <f>IFERROR(IF(NOT(ISNUMBER($T34)),"",IF($T34&gt;=Scoring_Criteria!$D$8,5,IF($T34&gt;=Scoring_Criteria!$E$8,4,IF($T34&gt;=Scoring_Criteria!$F$8,3,IF($T34&gt;=Scoring_Criteria!$G$8,2,1))))),"")</f>
        <v/>
      </c>
      <c r="AC34" s="26">
        <f>IFERROR(IF(NOT(ISNUMBER($U34)),"",IF($U34&lt;=Scoring_Criteria!$D$9,5,IF($U34&lt;=Scoring_Criteria!$E$9,4,IF($U34&lt;=Scoring_Criteria!$F$9,3,IF($U34&lt;=Scoring_Criteria!$G$9,2,1))))),"")</f>
        <v/>
      </c>
      <c r="AD34" s="26">
        <f t="array" ref="AD34">IFERROR(IF(NOT(ISNUMBER(_xlfn.XLOOKUP($A34&amp;"|"&amp;$C34,Financials!$A$2:$A$201&amp;"|"&amp;Financials!$B$2:$B$201,Financials!$AD$2:$AD$201,""))),"",IF(_xlfn.XLOOKUP($A34&amp;"|"&amp;$C34,Financials!$A$2:$A$201&amp;"|"&amp;Financials!$B$2:$B$201,Financials!$AD$2:$AD$201,"")&gt;=Scoring_Criteria!$D$10,5,IF(_xlfn.XLOOKUP($A34&amp;"|"&amp;$C34,Financials!$A$2:$A$201&amp;"|"&amp;Financials!$B$2:$B$201,Financials!$AD$2:$AD$201,"")&gt;=Scoring_Criteria!$E$10,4,IF(_xlfn.XLOOKUP($A34&amp;"|"&amp;$C34,Financials!$A$2:$A$201&amp;"|"&amp;Financials!$B$2:$B$201,Financials!$AD$2:$AD$201,"")&gt;=Scoring_Criteria!$F$10,3,IF(_xlfn.XLOOKUP($A34&amp;"|"&amp;$C34,Financials!$A$2:$A$201&amp;"|"&amp;Financials!$B$2:$B$201,Financials!$AD$2:$AD$201,"")&gt;=Scoring_Criteria!$G$10,2,1))))),"")</f>
        <v/>
      </c>
      <c r="AE34" s="27" t="n"/>
      <c r="AF34" s="27" t="n"/>
      <c r="AG34" s="28">
        <f>IFERROR(IF(COUNTA(X34:AF34)=0,"",AVERAGE(X34:AF34)),"")</f>
        <v/>
      </c>
      <c r="AH34" s="29" t="n"/>
      <c r="AI34" s="29" t="n"/>
      <c r="AJ34" s="29" t="n"/>
      <c r="AK34" s="29" t="n"/>
      <c r="AL34" s="29" t="n"/>
      <c r="AM34" s="29" t="n"/>
      <c r="AN34" s="29" t="n"/>
      <c r="AO34" s="29" t="n"/>
      <c r="AP34" s="29" t="n"/>
      <c r="AQ34" s="29" t="n"/>
      <c r="AR34" s="29" t="n"/>
      <c r="AS34" s="29" t="n"/>
      <c r="AT34" s="29" t="n"/>
      <c r="AU34">
        <f>IFERROR(Validation_Summary!Q5,"")</f>
        <v/>
      </c>
    </row>
    <row r="35" ht="15" customHeight="1" s="67">
      <c r="A35" s="6" t="inlineStr">
        <is>
          <t>PT Golden Plantation Tbk</t>
        </is>
      </c>
      <c r="B35" s="19">
        <f t="array" ref="B35">IFERROR(_xlfn.XLOOKUP($A35&amp;"|"&amp;$C35,'Company_Master'!$A$2:$A$94&amp;"|"&amp;'Company_Master'!$D$2:$D$94,'Company_Master'!$B$2:$B$94,""),"")</f>
        <v/>
      </c>
      <c r="C35" s="98" t="n">
        <v>2020</v>
      </c>
      <c r="D35" s="19">
        <f t="array" ref="D35">IFERROR(_xlfn.XLOOKUP($A35&amp;"|"&amp;$C35,'Company_Master'!$A$2:$A$94&amp;"|"&amp;'Company_Master'!$D$2:$D$94,'Company_Master'!$H$2:$H$94,""),"")</f>
        <v/>
      </c>
      <c r="E35" s="98">
        <f t="array" ref="E35">IFERROR(_xlfn.XLOOKUP($A35&amp;"|"&amp;$C35,Asset_Operations!$A$2:$A$201&amp;"|"&amp;Asset_Operations!$BG$2:$BG$201,Asset_Operations!$B$2:$B$201,""),"")</f>
        <v/>
      </c>
      <c r="F35" s="98">
        <f t="array" ref="F35">IFERROR(_xlfn.XLOOKUP($A35&amp;"|"&amp;$C35,Asset_Operations!$A$2:$A$201&amp;"|"&amp;Asset_Operations!$BG$2:$BG$201,Asset_Operations!$E$2:$E$201,""),"")</f>
        <v/>
      </c>
      <c r="G35" s="98">
        <f t="array" ref="G35">IFERROR(_xlfn.XLOOKUP($A35&amp;"|"&amp;$C35,Asset_Operations!$A$2:$A$201&amp;"|"&amp;Asset_Operations!$BG$2:$BG$201,Asset_Operations!$I$2:$I$201,""),"")</f>
        <v/>
      </c>
      <c r="H35" s="98">
        <f t="array" ref="H35">IFERROR(_xlfn.XLOOKUP($A35&amp;"|"&amp;$C35,Asset_Operations!$A$2:$A$201&amp;"|"&amp;Asset_Operations!$BG$2:$BG$201,Asset_Operations!$J$2:$J$201,""),"")</f>
        <v/>
      </c>
      <c r="I35" s="98">
        <f t="array" ref="I35">IFERROR(_xlfn.XLOOKUP($A35&amp;"|"&amp;$C35,Asset_Operations!$A$2:$A$201&amp;"|"&amp;Asset_Operations!$BG$2:$BG$201,Asset_Operations!$O$2:$O$201,""),"")</f>
        <v/>
      </c>
      <c r="J35" s="98">
        <f t="array" ref="J35">IFERROR(_xlfn.XLOOKUP($A35&amp;"|"&amp;$C35,Asset_Operations!$A$2:$A$201&amp;"|"&amp;Asset_Operations!$BG$2:$BG$201,Asset_Operations!$S$2:$S$201,""),"")</f>
        <v/>
      </c>
      <c r="K35" s="98">
        <f t="array" ref="K35">IFERROR(_xlfn.XLOOKUP($A35&amp;"|"&amp;$C35,Asset_Operations!$A$2:$A$201&amp;"|"&amp;Asset_Operations!$BG$2:$BG$201,Asset_Operations!$AC$2:$AC$201,""),"")</f>
        <v/>
      </c>
      <c r="L35" s="98">
        <f t="array" ref="L35">IFERROR(_xlfn.XLOOKUP($A35&amp;"|"&amp;$C35,Asset_Operations!$A$2:$A$201&amp;"|"&amp;Asset_Operations!$BG$2:$BG$201,Asset_Operations!$AG$2:$AG$201,""),"")</f>
        <v/>
      </c>
      <c r="M35" s="98">
        <f t="array" ref="M35">IFERROR(_xlfn.XLOOKUP($A35&amp;"|"&amp;$C35,Asset_Operations!$A$2:$A$201&amp;"|"&amp;Asset_Operations!$BG$2:$BG$201,Asset_Operations!$AO$2:$AO$201,""),"")</f>
        <v/>
      </c>
      <c r="N35" s="99">
        <f t="array" ref="N35">IFERROR(_xlfn.XLOOKUP($A35&amp;"|"&amp;$C35,Asset_Operations!$A$2:$A$201&amp;"|"&amp;Asset_Operations!$BG$2:$BG$201,Asset_Operations!$AR$2:$AR$201,""),"")</f>
        <v/>
      </c>
      <c r="O35" s="100">
        <f t="array" ref="O35">IFERROR(_xlfn.XLOOKUP($A35&amp;"|"&amp;$C35,Financials!$A$2:$A$201&amp;"|"&amp;Financials!$B$2:$B$201,Financials!$C$2:$C$201,""),"")</f>
        <v/>
      </c>
      <c r="P35" s="100">
        <f t="array" ref="P35">IFERROR(_xlfn.XLOOKUP($A35&amp;"|"&amp;$C35,Financials!$A$2:$A$201&amp;"|"&amp;Financials!$B$2:$B$201,Financials!$E$2:$E$201,""),"")</f>
        <v/>
      </c>
      <c r="Q35" s="100">
        <f t="array" ref="Q35">IFERROR(_xlfn.XLOOKUP($A35&amp;"|"&amp;$C35,Financials!$A$2:$A$201&amp;"|"&amp;Financials!$B$2:$B$201,Financials!$G$2:$G$201,""),"")</f>
        <v/>
      </c>
      <c r="R35" s="100">
        <f t="array" ref="R35">IFERROR(_xlfn.XLOOKUP($A35&amp;"|"&amp;$C35,Financials!$A$2:$A$201&amp;"|"&amp;Financials!$B$2:$B$201,Financials!$S$2:$S$201,""),"")</f>
        <v/>
      </c>
      <c r="S35" s="100">
        <f t="array" ref="S35">IFERROR(_xlfn.XLOOKUP($A35&amp;"|"&amp;$C35,Financials!$A$2:$A$201&amp;"|"&amp;Financials!$B$2:$B$201,Financials!$AC$2:$AC$201,""),"")</f>
        <v/>
      </c>
      <c r="T35" s="101">
        <f>IFERROR(P35/O35,"")</f>
        <v/>
      </c>
      <c r="U35" s="24">
        <f>IFERROR(R35/P35,"")</f>
        <v/>
      </c>
      <c r="V35" s="102">
        <f>IFERROR(O35/E35,"")</f>
        <v/>
      </c>
      <c r="W35" s="24">
        <f>IFERROR(L35/F35,"")</f>
        <v/>
      </c>
      <c r="X35" s="26">
        <f>IFERROR(IF(NOT(ISNUMBER($E35)),"",IF($E35&gt;=Scoring_Criteria!$D$4,5,IF($E35&gt;=Scoring_Criteria!$E$4,4,IF($E35&gt;=Scoring_Criteria!$F$4,3,IF($E35&gt;=Scoring_Criteria!$G$4,2,1))))),"")</f>
        <v/>
      </c>
      <c r="Y35" s="26">
        <f>IFERROR(IF(OR(NOT(ISNUMBER($F35)),NOT(ISNUMBER($E35)),$E35=0),"",IF(($F35/$E35)&gt;=Scoring_Criteria!$D$5,5,IF(($F35/$E35)&gt;=Scoring_Criteria!$E$5,4,IF(($F35/$E35)&gt;=Scoring_Criteria!$F$5,3,IF(($F35/$E35)&gt;=Scoring_Criteria!$G$5,2,1))))),"")</f>
        <v/>
      </c>
      <c r="Z35" s="26">
        <f>IFERROR(IF(AND(NOT(ISNUMBER($I35)),NOT(ISNUMBER($J35))),"",IF((IFERROR($I35,0)+IFERROR($J35,0))&gt;=Scoring_Criteria!$D$6,5,IF((IFERROR($I35,0)+IFERROR($J35,0))&gt;=Scoring_Criteria!$E$6,4,IF((IFERROR($I35,0)+IFERROR($J35,0))&gt;=Scoring_Criteria!$F$6,3,IF((IFERROR($I35,0)+IFERROR($J35,0))&gt;=Scoring_Criteria!$G$6,2,1))))),"")</f>
        <v/>
      </c>
      <c r="AA35" s="26">
        <f>IFERROR(IF(NOT(ISNUMBER($M35)),"",IF($M35&gt;=Scoring_Criteria!$D$7,5,IF($M35&gt;=Scoring_Criteria!$E$7,4,IF($M35&gt;=Scoring_Criteria!$F$7,3,IF($M35&gt;=Scoring_Criteria!$G$7,2,1))))),"")</f>
        <v/>
      </c>
      <c r="AB35" s="26">
        <f>IFERROR(IF(NOT(ISNUMBER($T35)),"",IF($T35&gt;=Scoring_Criteria!$D$8,5,IF($T35&gt;=Scoring_Criteria!$E$8,4,IF($T35&gt;=Scoring_Criteria!$F$8,3,IF($T35&gt;=Scoring_Criteria!$G$8,2,1))))),"")</f>
        <v/>
      </c>
      <c r="AC35" s="26">
        <f>IFERROR(IF(NOT(ISNUMBER($U35)),"",IF($U35&lt;=Scoring_Criteria!$D$9,5,IF($U35&lt;=Scoring_Criteria!$E$9,4,IF($U35&lt;=Scoring_Criteria!$F$9,3,IF($U35&lt;=Scoring_Criteria!$G$9,2,1))))),"")</f>
        <v/>
      </c>
      <c r="AD35" s="26">
        <f t="array" ref="AD35">IFERROR(IF(NOT(ISNUMBER(_xlfn.XLOOKUP($A35&amp;"|"&amp;$C35,Financials!$A$2:$A$201&amp;"|"&amp;Financials!$B$2:$B$201,Financials!$AD$2:$AD$201,""))),"",IF(_xlfn.XLOOKUP($A35&amp;"|"&amp;$C35,Financials!$A$2:$A$201&amp;"|"&amp;Financials!$B$2:$B$201,Financials!$AD$2:$AD$201,"")&gt;=Scoring_Criteria!$D$10,5,IF(_xlfn.XLOOKUP($A35&amp;"|"&amp;$C35,Financials!$A$2:$A$201&amp;"|"&amp;Financials!$B$2:$B$201,Financials!$AD$2:$AD$201,"")&gt;=Scoring_Criteria!$E$10,4,IF(_xlfn.XLOOKUP($A35&amp;"|"&amp;$C35,Financials!$A$2:$A$201&amp;"|"&amp;Financials!$B$2:$B$201,Financials!$AD$2:$AD$201,"")&gt;=Scoring_Criteria!$F$10,3,IF(_xlfn.XLOOKUP($A35&amp;"|"&amp;$C35,Financials!$A$2:$A$201&amp;"|"&amp;Financials!$B$2:$B$201,Financials!$AD$2:$AD$201,"")&gt;=Scoring_Criteria!$G$10,2,1))))),"")</f>
        <v/>
      </c>
      <c r="AE35" s="27" t="n"/>
      <c r="AF35" s="27" t="n"/>
      <c r="AG35" s="28">
        <f>IFERROR(IF(COUNTA(X35:AF35)=0,"",AVERAGE(X35:AF35)),"")</f>
        <v/>
      </c>
      <c r="AH35" s="29" t="n"/>
      <c r="AI35" s="29" t="n"/>
      <c r="AJ35" s="29" t="n"/>
      <c r="AK35" s="29" t="n"/>
      <c r="AL35" s="29" t="n"/>
      <c r="AM35" s="29" t="n"/>
      <c r="AN35" s="29" t="n"/>
      <c r="AO35" s="29" t="n"/>
      <c r="AP35" s="29" t="n"/>
      <c r="AQ35" s="29" t="n"/>
      <c r="AR35" s="29" t="n"/>
      <c r="AS35" s="29" t="n"/>
      <c r="AT35" s="29" t="n"/>
      <c r="AU35">
        <f>IFERROR(Validation_Summary!Q5,"")</f>
        <v/>
      </c>
    </row>
    <row r="36" ht="15" customHeight="1" s="67">
      <c r="A36" s="6" t="inlineStr">
        <is>
          <t>PT Gunanusa Eramandiri Tbk</t>
        </is>
      </c>
      <c r="B36" s="19">
        <f t="array" ref="B36">IFERROR(_xlfn.XLOOKUP($A36&amp;"|"&amp;$C36,'Company_Master'!$A$2:$A$94&amp;"|"&amp;'Company_Master'!$D$2:$D$94,'Company_Master'!$B$2:$B$94,""),"")</f>
        <v/>
      </c>
      <c r="C36" s="98" t="n">
        <v>2024</v>
      </c>
      <c r="D36" s="19">
        <f t="array" ref="D36">IFERROR(_xlfn.XLOOKUP($A36&amp;"|"&amp;$C36,'Company_Master'!$A$2:$A$94&amp;"|"&amp;'Company_Master'!$D$2:$D$94,'Company_Master'!$H$2:$H$94,""),"")</f>
        <v/>
      </c>
      <c r="E36" s="98">
        <f t="array" ref="E36">IFERROR(_xlfn.XLOOKUP($A36&amp;"|"&amp;$C36,Asset_Operations!$A$2:$A$201&amp;"|"&amp;Asset_Operations!$BG$2:$BG$201,Asset_Operations!$B$2:$B$201,""),"")</f>
        <v/>
      </c>
      <c r="F36" s="98">
        <f t="array" ref="F36">IFERROR(_xlfn.XLOOKUP($A36&amp;"|"&amp;$C36,Asset_Operations!$A$2:$A$201&amp;"|"&amp;Asset_Operations!$BG$2:$BG$201,Asset_Operations!$E$2:$E$201,""),"")</f>
        <v/>
      </c>
      <c r="G36" s="98">
        <f t="array" ref="G36">IFERROR(_xlfn.XLOOKUP($A36&amp;"|"&amp;$C36,Asset_Operations!$A$2:$A$201&amp;"|"&amp;Asset_Operations!$BG$2:$BG$201,Asset_Operations!$I$2:$I$201,""),"")</f>
        <v/>
      </c>
      <c r="H36" s="98">
        <f t="array" ref="H36">IFERROR(_xlfn.XLOOKUP($A36&amp;"|"&amp;$C36,Asset_Operations!$A$2:$A$201&amp;"|"&amp;Asset_Operations!$BG$2:$BG$201,Asset_Operations!$J$2:$J$201,""),"")</f>
        <v/>
      </c>
      <c r="I36" s="98">
        <f t="array" ref="I36">IFERROR(_xlfn.XLOOKUP($A36&amp;"|"&amp;$C36,Asset_Operations!$A$2:$A$201&amp;"|"&amp;Asset_Operations!$BG$2:$BG$201,Asset_Operations!$O$2:$O$201,""),"")</f>
        <v/>
      </c>
      <c r="J36" s="98">
        <f t="array" ref="J36">IFERROR(_xlfn.XLOOKUP($A36&amp;"|"&amp;$C36,Asset_Operations!$A$2:$A$201&amp;"|"&amp;Asset_Operations!$BG$2:$BG$201,Asset_Operations!$S$2:$S$201,""),"")</f>
        <v/>
      </c>
      <c r="K36" s="98">
        <f t="array" ref="K36">IFERROR(_xlfn.XLOOKUP($A36&amp;"|"&amp;$C36,Asset_Operations!$A$2:$A$201&amp;"|"&amp;Asset_Operations!$BG$2:$BG$201,Asset_Operations!$AC$2:$AC$201,""),"")</f>
        <v/>
      </c>
      <c r="L36" s="98">
        <f t="array" ref="L36">IFERROR(_xlfn.XLOOKUP($A36&amp;"|"&amp;$C36,Asset_Operations!$A$2:$A$201&amp;"|"&amp;Asset_Operations!$BG$2:$BG$201,Asset_Operations!$AG$2:$AG$201,""),"")</f>
        <v/>
      </c>
      <c r="M36" s="98">
        <f t="array" ref="M36">IFERROR(_xlfn.XLOOKUP($A36&amp;"|"&amp;$C36,Asset_Operations!$A$2:$A$201&amp;"|"&amp;Asset_Operations!$BG$2:$BG$201,Asset_Operations!$AO$2:$AO$201,""),"")</f>
        <v/>
      </c>
      <c r="N36" s="99">
        <f t="array" ref="N36">IFERROR(_xlfn.XLOOKUP($A36&amp;"|"&amp;$C36,Asset_Operations!$A$2:$A$201&amp;"|"&amp;Asset_Operations!$BG$2:$BG$201,Asset_Operations!$AR$2:$AR$201,""),"")</f>
        <v/>
      </c>
      <c r="O36" s="100">
        <f t="array" ref="O36">IFERROR(_xlfn.XLOOKUP($A36&amp;"|"&amp;$C36,Financials!$A$2:$A$201&amp;"|"&amp;Financials!$B$2:$B$201,Financials!$C$2:$C$201,""),"")</f>
        <v/>
      </c>
      <c r="P36" s="100">
        <f t="array" ref="P36">IFERROR(_xlfn.XLOOKUP($A36&amp;"|"&amp;$C36,Financials!$A$2:$A$201&amp;"|"&amp;Financials!$B$2:$B$201,Financials!$E$2:$E$201,""),"")</f>
        <v/>
      </c>
      <c r="Q36" s="100">
        <f t="array" ref="Q36">IFERROR(_xlfn.XLOOKUP($A36&amp;"|"&amp;$C36,Financials!$A$2:$A$201&amp;"|"&amp;Financials!$B$2:$B$201,Financials!$G$2:$G$201,""),"")</f>
        <v/>
      </c>
      <c r="R36" s="100">
        <f t="array" ref="R36">IFERROR(_xlfn.XLOOKUP($A36&amp;"|"&amp;$C36,Financials!$A$2:$A$201&amp;"|"&amp;Financials!$B$2:$B$201,Financials!$S$2:$S$201,""),"")</f>
        <v/>
      </c>
      <c r="S36" s="100">
        <f t="array" ref="S36">IFERROR(_xlfn.XLOOKUP($A36&amp;"|"&amp;$C36,Financials!$A$2:$A$201&amp;"|"&amp;Financials!$B$2:$B$201,Financials!$AC$2:$AC$201,""),"")</f>
        <v/>
      </c>
      <c r="T36" s="101">
        <f>IFERROR(P36/O36,"")</f>
        <v/>
      </c>
      <c r="U36" s="24">
        <f>IFERROR(R36/P36,"")</f>
        <v/>
      </c>
      <c r="V36" s="102">
        <f>IFERROR(O36/E36,"")</f>
        <v/>
      </c>
      <c r="W36" s="24">
        <f>IFERROR(L36/F36,"")</f>
        <v/>
      </c>
      <c r="X36" s="26">
        <f>IFERROR(IF(NOT(ISNUMBER($E36)),"",IF($E36&gt;=Scoring_Criteria!$D$4,5,IF($E36&gt;=Scoring_Criteria!$E$4,4,IF($E36&gt;=Scoring_Criteria!$F$4,3,IF($E36&gt;=Scoring_Criteria!$G$4,2,1))))),"")</f>
        <v/>
      </c>
      <c r="Y36" s="26">
        <f>IFERROR(IF(OR(NOT(ISNUMBER($F36)),NOT(ISNUMBER($E36)),$E36=0),"",IF(($F36/$E36)&gt;=Scoring_Criteria!$D$5,5,IF(($F36/$E36)&gt;=Scoring_Criteria!$E$5,4,IF(($F36/$E36)&gt;=Scoring_Criteria!$F$5,3,IF(($F36/$E36)&gt;=Scoring_Criteria!$G$5,2,1))))),"")</f>
        <v/>
      </c>
      <c r="Z36" s="26">
        <f>IFERROR(IF(AND(NOT(ISNUMBER($I36)),NOT(ISNUMBER($J36))),"",IF((IFERROR($I36,0)+IFERROR($J36,0))&gt;=Scoring_Criteria!$D$6,5,IF((IFERROR($I36,0)+IFERROR($J36,0))&gt;=Scoring_Criteria!$E$6,4,IF((IFERROR($I36,0)+IFERROR($J36,0))&gt;=Scoring_Criteria!$F$6,3,IF((IFERROR($I36,0)+IFERROR($J36,0))&gt;=Scoring_Criteria!$G$6,2,1))))),"")</f>
        <v/>
      </c>
      <c r="AA36" s="26">
        <f>IFERROR(IF(NOT(ISNUMBER($M36)),"",IF($M36&gt;=Scoring_Criteria!$D$7,5,IF($M36&gt;=Scoring_Criteria!$E$7,4,IF($M36&gt;=Scoring_Criteria!$F$7,3,IF($M36&gt;=Scoring_Criteria!$G$7,2,1))))),"")</f>
        <v/>
      </c>
      <c r="AB36" s="26">
        <f>IFERROR(IF(NOT(ISNUMBER($T36)),"",IF($T36&gt;=Scoring_Criteria!$D$8,5,IF($T36&gt;=Scoring_Criteria!$E$8,4,IF($T36&gt;=Scoring_Criteria!$F$8,3,IF($T36&gt;=Scoring_Criteria!$G$8,2,1))))),"")</f>
        <v/>
      </c>
      <c r="AC36" s="26">
        <f>IFERROR(IF(NOT(ISNUMBER($U36)),"",IF($U36&lt;=Scoring_Criteria!$D$9,5,IF($U36&lt;=Scoring_Criteria!$E$9,4,IF($U36&lt;=Scoring_Criteria!$F$9,3,IF($U36&lt;=Scoring_Criteria!$G$9,2,1))))),"")</f>
        <v/>
      </c>
      <c r="AD36" s="26">
        <f t="array" ref="AD36">IFERROR(IF(NOT(ISNUMBER(_xlfn.XLOOKUP($A36&amp;"|"&amp;$C36,Financials!$A$2:$A$201&amp;"|"&amp;Financials!$B$2:$B$201,Financials!$AD$2:$AD$201,""))),"",IF(_xlfn.XLOOKUP($A36&amp;"|"&amp;$C36,Financials!$A$2:$A$201&amp;"|"&amp;Financials!$B$2:$B$201,Financials!$AD$2:$AD$201,"")&gt;=Scoring_Criteria!$D$10,5,IF(_xlfn.XLOOKUP($A36&amp;"|"&amp;$C36,Financials!$A$2:$A$201&amp;"|"&amp;Financials!$B$2:$B$201,Financials!$AD$2:$AD$201,"")&gt;=Scoring_Criteria!$E$10,4,IF(_xlfn.XLOOKUP($A36&amp;"|"&amp;$C36,Financials!$A$2:$A$201&amp;"|"&amp;Financials!$B$2:$B$201,Financials!$AD$2:$AD$201,"")&gt;=Scoring_Criteria!$F$10,3,IF(_xlfn.XLOOKUP($A36&amp;"|"&amp;$C36,Financials!$A$2:$A$201&amp;"|"&amp;Financials!$B$2:$B$201,Financials!$AD$2:$AD$201,"")&gt;=Scoring_Criteria!$G$10,2,1))))),"")</f>
        <v/>
      </c>
      <c r="AE36" s="27" t="n"/>
      <c r="AF36" s="27" t="n"/>
      <c r="AG36" s="28">
        <f>IFERROR(IF(COUNTA(X36:AF36)=0,"",AVERAGE(X36:AF36)),"")</f>
        <v/>
      </c>
      <c r="AH36" s="29" t="n"/>
      <c r="AI36" s="29" t="n"/>
      <c r="AJ36" s="29" t="n"/>
      <c r="AK36" s="29" t="n"/>
      <c r="AL36" s="29" t="n"/>
      <c r="AM36" s="29" t="n"/>
      <c r="AN36" s="29" t="n"/>
      <c r="AO36" s="29" t="n"/>
      <c r="AP36" s="29" t="n"/>
      <c r="AQ36" s="29" t="n"/>
      <c r="AR36" s="29" t="n"/>
      <c r="AS36" s="29" t="n"/>
      <c r="AT36" s="29" t="n"/>
      <c r="AU36">
        <f>IFERROR(Validation_Summary!Q5,"")</f>
        <v/>
      </c>
    </row>
    <row r="37" ht="15" customHeight="1" s="67">
      <c r="A37" s="6" t="inlineStr">
        <is>
          <t>PT Gozco Plantations Tbk</t>
        </is>
      </c>
      <c r="B37" s="19">
        <f t="array" ref="B37">IFERROR(_xlfn.XLOOKUP($A37&amp;"|"&amp;$C37,'Company_Master'!$A$2:$A$94&amp;"|"&amp;'Company_Master'!$D$2:$D$94,'Company_Master'!$B$2:$B$94,""),"")</f>
        <v/>
      </c>
      <c r="C37" s="98" t="n">
        <v>2022</v>
      </c>
      <c r="D37" s="19">
        <f t="array" ref="D37">IFERROR(_xlfn.XLOOKUP($A37&amp;"|"&amp;$C37,'Company_Master'!$A$2:$A$94&amp;"|"&amp;'Company_Master'!$D$2:$D$94,'Company_Master'!$H$2:$H$94,""),"")</f>
        <v/>
      </c>
      <c r="E37" s="98">
        <f t="array" ref="E37">IFERROR(_xlfn.XLOOKUP($A37&amp;"|"&amp;$C37,Asset_Operations!$A$2:$A$201&amp;"|"&amp;Asset_Operations!$BG$2:$BG$201,Asset_Operations!$B$2:$B$201,""),"")</f>
        <v/>
      </c>
      <c r="F37" s="98">
        <f t="array" ref="F37">IFERROR(_xlfn.XLOOKUP($A37&amp;"|"&amp;$C37,Asset_Operations!$A$2:$A$201&amp;"|"&amp;Asset_Operations!$BG$2:$BG$201,Asset_Operations!$E$2:$E$201,""),"")</f>
        <v/>
      </c>
      <c r="G37" s="98">
        <f t="array" ref="G37">IFERROR(_xlfn.XLOOKUP($A37&amp;"|"&amp;$C37,Asset_Operations!$A$2:$A$201&amp;"|"&amp;Asset_Operations!$BG$2:$BG$201,Asset_Operations!$I$2:$I$201,""),"")</f>
        <v/>
      </c>
      <c r="H37" s="98">
        <f t="array" ref="H37">IFERROR(_xlfn.XLOOKUP($A37&amp;"|"&amp;$C37,Asset_Operations!$A$2:$A$201&amp;"|"&amp;Asset_Operations!$BG$2:$BG$201,Asset_Operations!$J$2:$J$201,""),"")</f>
        <v/>
      </c>
      <c r="I37" s="98">
        <f t="array" ref="I37">IFERROR(_xlfn.XLOOKUP($A37&amp;"|"&amp;$C37,Asset_Operations!$A$2:$A$201&amp;"|"&amp;Asset_Operations!$BG$2:$BG$201,Asset_Operations!$O$2:$O$201,""),"")</f>
        <v/>
      </c>
      <c r="J37" s="98">
        <f t="array" ref="J37">IFERROR(_xlfn.XLOOKUP($A37&amp;"|"&amp;$C37,Asset_Operations!$A$2:$A$201&amp;"|"&amp;Asset_Operations!$BG$2:$BG$201,Asset_Operations!$S$2:$S$201,""),"")</f>
        <v/>
      </c>
      <c r="K37" s="98">
        <f t="array" ref="K37">IFERROR(_xlfn.XLOOKUP($A37&amp;"|"&amp;$C37,Asset_Operations!$A$2:$A$201&amp;"|"&amp;Asset_Operations!$BG$2:$BG$201,Asset_Operations!$AC$2:$AC$201,""),"")</f>
        <v/>
      </c>
      <c r="L37" s="98">
        <f t="array" ref="L37">IFERROR(_xlfn.XLOOKUP($A37&amp;"|"&amp;$C37,Asset_Operations!$A$2:$A$201&amp;"|"&amp;Asset_Operations!$BG$2:$BG$201,Asset_Operations!$AG$2:$AG$201,""),"")</f>
        <v/>
      </c>
      <c r="M37" s="98">
        <f t="array" ref="M37">IFERROR(_xlfn.XLOOKUP($A37&amp;"|"&amp;$C37,Asset_Operations!$A$2:$A$201&amp;"|"&amp;Asset_Operations!$BG$2:$BG$201,Asset_Operations!$AO$2:$AO$201,""),"")</f>
        <v/>
      </c>
      <c r="N37" s="99">
        <f t="array" ref="N37">IFERROR(_xlfn.XLOOKUP($A37&amp;"|"&amp;$C37,Asset_Operations!$A$2:$A$201&amp;"|"&amp;Asset_Operations!$BG$2:$BG$201,Asset_Operations!$AR$2:$AR$201,""),"")</f>
        <v/>
      </c>
      <c r="O37" s="100">
        <f t="array" ref="O37">IFERROR(_xlfn.XLOOKUP($A37&amp;"|"&amp;$C37,Financials!$A$2:$A$201&amp;"|"&amp;Financials!$B$2:$B$201,Financials!$C$2:$C$201,""),"")</f>
        <v/>
      </c>
      <c r="P37" s="100">
        <f t="array" ref="P37">IFERROR(_xlfn.XLOOKUP($A37&amp;"|"&amp;$C37,Financials!$A$2:$A$201&amp;"|"&amp;Financials!$B$2:$B$201,Financials!$E$2:$E$201,""),"")</f>
        <v/>
      </c>
      <c r="Q37" s="100">
        <f t="array" ref="Q37">IFERROR(_xlfn.XLOOKUP($A37&amp;"|"&amp;$C37,Financials!$A$2:$A$201&amp;"|"&amp;Financials!$B$2:$B$201,Financials!$G$2:$G$201,""),"")</f>
        <v/>
      </c>
      <c r="R37" s="100">
        <f t="array" ref="R37">IFERROR(_xlfn.XLOOKUP($A37&amp;"|"&amp;$C37,Financials!$A$2:$A$201&amp;"|"&amp;Financials!$B$2:$B$201,Financials!$S$2:$S$201,""),"")</f>
        <v/>
      </c>
      <c r="S37" s="100">
        <f t="array" ref="S37">IFERROR(_xlfn.XLOOKUP($A37&amp;"|"&amp;$C37,Financials!$A$2:$A$201&amp;"|"&amp;Financials!$B$2:$B$201,Financials!$AC$2:$AC$201,""),"")</f>
        <v/>
      </c>
      <c r="T37" s="101">
        <f>IFERROR(P37/O37,"")</f>
        <v/>
      </c>
      <c r="U37" s="24">
        <f>IFERROR(R37/P37,"")</f>
        <v/>
      </c>
      <c r="V37" s="102">
        <f>IFERROR(O37/E37,"")</f>
        <v/>
      </c>
      <c r="W37" s="24">
        <f>IFERROR(L37/F37,"")</f>
        <v/>
      </c>
      <c r="X37" s="26">
        <f>IFERROR(IF(NOT(ISNUMBER($E37)),"",IF($E37&gt;=Scoring_Criteria!$D$4,5,IF($E37&gt;=Scoring_Criteria!$E$4,4,IF($E37&gt;=Scoring_Criteria!$F$4,3,IF($E37&gt;=Scoring_Criteria!$G$4,2,1))))),"")</f>
        <v/>
      </c>
      <c r="Y37" s="26">
        <f>IFERROR(IF(OR(NOT(ISNUMBER($F37)),NOT(ISNUMBER($E37)),$E37=0),"",IF(($F37/$E37)&gt;=Scoring_Criteria!$D$5,5,IF(($F37/$E37)&gt;=Scoring_Criteria!$E$5,4,IF(($F37/$E37)&gt;=Scoring_Criteria!$F$5,3,IF(($F37/$E37)&gt;=Scoring_Criteria!$G$5,2,1))))),"")</f>
        <v/>
      </c>
      <c r="Z37" s="26">
        <f>IFERROR(IF(AND(NOT(ISNUMBER($I37)),NOT(ISNUMBER($J37))),"",IF((IFERROR($I37,0)+IFERROR($J37,0))&gt;=Scoring_Criteria!$D$6,5,IF((IFERROR($I37,0)+IFERROR($J37,0))&gt;=Scoring_Criteria!$E$6,4,IF((IFERROR($I37,0)+IFERROR($J37,0))&gt;=Scoring_Criteria!$F$6,3,IF((IFERROR($I37,0)+IFERROR($J37,0))&gt;=Scoring_Criteria!$G$6,2,1))))),"")</f>
        <v/>
      </c>
      <c r="AA37" s="26">
        <f>IFERROR(IF(NOT(ISNUMBER($M37)),"",IF($M37&gt;=Scoring_Criteria!$D$7,5,IF($M37&gt;=Scoring_Criteria!$E$7,4,IF($M37&gt;=Scoring_Criteria!$F$7,3,IF($M37&gt;=Scoring_Criteria!$G$7,2,1))))),"")</f>
        <v/>
      </c>
      <c r="AB37" s="26">
        <f>IFERROR(IF(NOT(ISNUMBER($T37)),"",IF($T37&gt;=Scoring_Criteria!$D$8,5,IF($T37&gt;=Scoring_Criteria!$E$8,4,IF($T37&gt;=Scoring_Criteria!$F$8,3,IF($T37&gt;=Scoring_Criteria!$G$8,2,1))))),"")</f>
        <v/>
      </c>
      <c r="AC37" s="26">
        <f>IFERROR(IF(NOT(ISNUMBER($U37)),"",IF($U37&lt;=Scoring_Criteria!$D$9,5,IF($U37&lt;=Scoring_Criteria!$E$9,4,IF($U37&lt;=Scoring_Criteria!$F$9,3,IF($U37&lt;=Scoring_Criteria!$G$9,2,1))))),"")</f>
        <v/>
      </c>
      <c r="AD37" s="26">
        <f t="array" ref="AD37">IFERROR(IF(NOT(ISNUMBER(_xlfn.XLOOKUP($A37&amp;"|"&amp;$C37,Financials!$A$2:$A$201&amp;"|"&amp;Financials!$B$2:$B$201,Financials!$AD$2:$AD$201,""))),"",IF(_xlfn.XLOOKUP($A37&amp;"|"&amp;$C37,Financials!$A$2:$A$201&amp;"|"&amp;Financials!$B$2:$B$201,Financials!$AD$2:$AD$201,"")&gt;=Scoring_Criteria!$D$10,5,IF(_xlfn.XLOOKUP($A37&amp;"|"&amp;$C37,Financials!$A$2:$A$201&amp;"|"&amp;Financials!$B$2:$B$201,Financials!$AD$2:$AD$201,"")&gt;=Scoring_Criteria!$E$10,4,IF(_xlfn.XLOOKUP($A37&amp;"|"&amp;$C37,Financials!$A$2:$A$201&amp;"|"&amp;Financials!$B$2:$B$201,Financials!$AD$2:$AD$201,"")&gt;=Scoring_Criteria!$F$10,3,IF(_xlfn.XLOOKUP($A37&amp;"|"&amp;$C37,Financials!$A$2:$A$201&amp;"|"&amp;Financials!$B$2:$B$201,Financials!$AD$2:$AD$201,"")&gt;=Scoring_Criteria!$G$10,2,1))))),"")</f>
        <v/>
      </c>
      <c r="AE37" s="27" t="n"/>
      <c r="AF37" s="27" t="n"/>
      <c r="AG37" s="28">
        <f>IFERROR(IF(COUNTA(X37:AF37)=0,"",AVERAGE(X37:AF37)),"")</f>
        <v/>
      </c>
      <c r="AH37" s="29" t="n"/>
      <c r="AI37" s="29" t="n"/>
      <c r="AJ37" s="29" t="n"/>
      <c r="AK37" s="29" t="n"/>
      <c r="AL37" s="29" t="n"/>
      <c r="AM37" s="29" t="n"/>
      <c r="AN37" s="29" t="n"/>
      <c r="AO37" s="29" t="n"/>
      <c r="AP37" s="29" t="n"/>
      <c r="AQ37" s="29" t="n"/>
      <c r="AR37" s="29" t="n"/>
      <c r="AS37" s="29" t="n"/>
      <c r="AT37" s="29" t="n"/>
      <c r="AU37">
        <f>IFERROR(Validation_Summary!Q5,"")</f>
        <v/>
      </c>
    </row>
    <row r="38" ht="15" customHeight="1" s="67">
      <c r="A38" s="6" t="inlineStr">
        <is>
          <t>PT Gozco Plantations Tbk</t>
        </is>
      </c>
      <c r="B38" s="19">
        <f t="array" ref="B38">IFERROR(_xlfn.XLOOKUP($A38&amp;"|"&amp;$C38,'Company_Master'!$A$2:$A$94&amp;"|"&amp;'Company_Master'!$D$2:$D$94,'Company_Master'!$B$2:$B$94,""),"")</f>
        <v/>
      </c>
      <c r="C38" s="98" t="n">
        <v>2023</v>
      </c>
      <c r="D38" s="19">
        <f t="array" ref="D38">IFERROR(_xlfn.XLOOKUP($A38&amp;"|"&amp;$C38,'Company_Master'!$A$2:$A$94&amp;"|"&amp;'Company_Master'!$D$2:$D$94,'Company_Master'!$H$2:$H$94,""),"")</f>
        <v/>
      </c>
      <c r="E38" s="98">
        <f t="array" ref="E38">IFERROR(_xlfn.XLOOKUP($A38&amp;"|"&amp;$C38,Asset_Operations!$A$2:$A$201&amp;"|"&amp;Asset_Operations!$BG$2:$BG$201,Asset_Operations!$B$2:$B$201,""),"")</f>
        <v/>
      </c>
      <c r="F38" s="98">
        <f t="array" ref="F38">IFERROR(_xlfn.XLOOKUP($A38&amp;"|"&amp;$C38,Asset_Operations!$A$2:$A$201&amp;"|"&amp;Asset_Operations!$BG$2:$BG$201,Asset_Operations!$E$2:$E$201,""),"")</f>
        <v/>
      </c>
      <c r="G38" s="98">
        <f t="array" ref="G38">IFERROR(_xlfn.XLOOKUP($A38&amp;"|"&amp;$C38,Asset_Operations!$A$2:$A$201&amp;"|"&amp;Asset_Operations!$BG$2:$BG$201,Asset_Operations!$I$2:$I$201,""),"")</f>
        <v/>
      </c>
      <c r="H38" s="98">
        <f t="array" ref="H38">IFERROR(_xlfn.XLOOKUP($A38&amp;"|"&amp;$C38,Asset_Operations!$A$2:$A$201&amp;"|"&amp;Asset_Operations!$BG$2:$BG$201,Asset_Operations!$J$2:$J$201,""),"")</f>
        <v/>
      </c>
      <c r="I38" s="98">
        <f t="array" ref="I38">IFERROR(_xlfn.XLOOKUP($A38&amp;"|"&amp;$C38,Asset_Operations!$A$2:$A$201&amp;"|"&amp;Asset_Operations!$BG$2:$BG$201,Asset_Operations!$O$2:$O$201,""),"")</f>
        <v/>
      </c>
      <c r="J38" s="98">
        <f t="array" ref="J38">IFERROR(_xlfn.XLOOKUP($A38&amp;"|"&amp;$C38,Asset_Operations!$A$2:$A$201&amp;"|"&amp;Asset_Operations!$BG$2:$BG$201,Asset_Operations!$S$2:$S$201,""),"")</f>
        <v/>
      </c>
      <c r="K38" s="98">
        <f t="array" ref="K38">IFERROR(_xlfn.XLOOKUP($A38&amp;"|"&amp;$C38,Asset_Operations!$A$2:$A$201&amp;"|"&amp;Asset_Operations!$BG$2:$BG$201,Asset_Operations!$AC$2:$AC$201,""),"")</f>
        <v/>
      </c>
      <c r="L38" s="98">
        <f t="array" ref="L38">IFERROR(_xlfn.XLOOKUP($A38&amp;"|"&amp;$C38,Asset_Operations!$A$2:$A$201&amp;"|"&amp;Asset_Operations!$BG$2:$BG$201,Asset_Operations!$AG$2:$AG$201,""),"")</f>
        <v/>
      </c>
      <c r="M38" s="98">
        <f t="array" ref="M38">IFERROR(_xlfn.XLOOKUP($A38&amp;"|"&amp;$C38,Asset_Operations!$A$2:$A$201&amp;"|"&amp;Asset_Operations!$BG$2:$BG$201,Asset_Operations!$AO$2:$AO$201,""),"")</f>
        <v/>
      </c>
      <c r="N38" s="99">
        <f t="array" ref="N38">IFERROR(_xlfn.XLOOKUP($A38&amp;"|"&amp;$C38,Asset_Operations!$A$2:$A$201&amp;"|"&amp;Asset_Operations!$BG$2:$BG$201,Asset_Operations!$AR$2:$AR$201,""),"")</f>
        <v/>
      </c>
      <c r="O38" s="100">
        <f t="array" ref="O38">IFERROR(_xlfn.XLOOKUP($A38&amp;"|"&amp;$C38,Financials!$A$2:$A$201&amp;"|"&amp;Financials!$B$2:$B$201,Financials!$C$2:$C$201,""),"")</f>
        <v/>
      </c>
      <c r="P38" s="100">
        <f t="array" ref="P38">IFERROR(_xlfn.XLOOKUP($A38&amp;"|"&amp;$C38,Financials!$A$2:$A$201&amp;"|"&amp;Financials!$B$2:$B$201,Financials!$E$2:$E$201,""),"")</f>
        <v/>
      </c>
      <c r="Q38" s="100">
        <f t="array" ref="Q38">IFERROR(_xlfn.XLOOKUP($A38&amp;"|"&amp;$C38,Financials!$A$2:$A$201&amp;"|"&amp;Financials!$B$2:$B$201,Financials!$G$2:$G$201,""),"")</f>
        <v/>
      </c>
      <c r="R38" s="100">
        <f t="array" ref="R38">IFERROR(_xlfn.XLOOKUP($A38&amp;"|"&amp;$C38,Financials!$A$2:$A$201&amp;"|"&amp;Financials!$B$2:$B$201,Financials!$S$2:$S$201,""),"")</f>
        <v/>
      </c>
      <c r="S38" s="100">
        <f t="array" ref="S38">IFERROR(_xlfn.XLOOKUP($A38&amp;"|"&amp;$C38,Financials!$A$2:$A$201&amp;"|"&amp;Financials!$B$2:$B$201,Financials!$AC$2:$AC$201,""),"")</f>
        <v/>
      </c>
      <c r="T38" s="101">
        <f>IFERROR(P38/O38,"")</f>
        <v/>
      </c>
      <c r="U38" s="24">
        <f>IFERROR(R38/P38,"")</f>
        <v/>
      </c>
      <c r="V38" s="102">
        <f>IFERROR(O38/E38,"")</f>
        <v/>
      </c>
      <c r="W38" s="24">
        <f>IFERROR(L38/F38,"")</f>
        <v/>
      </c>
      <c r="X38" s="26">
        <f>IFERROR(IF(NOT(ISNUMBER($E38)),"",IF($E38&gt;=Scoring_Criteria!$D$4,5,IF($E38&gt;=Scoring_Criteria!$E$4,4,IF($E38&gt;=Scoring_Criteria!$F$4,3,IF($E38&gt;=Scoring_Criteria!$G$4,2,1))))),"")</f>
        <v/>
      </c>
      <c r="Y38" s="26">
        <f>IFERROR(IF(OR(NOT(ISNUMBER($F38)),NOT(ISNUMBER($E38)),$E38=0),"",IF(($F38/$E38)&gt;=Scoring_Criteria!$D$5,5,IF(($F38/$E38)&gt;=Scoring_Criteria!$E$5,4,IF(($F38/$E38)&gt;=Scoring_Criteria!$F$5,3,IF(($F38/$E38)&gt;=Scoring_Criteria!$G$5,2,1))))),"")</f>
        <v/>
      </c>
      <c r="Z38" s="26">
        <f>IFERROR(IF(AND(NOT(ISNUMBER($I38)),NOT(ISNUMBER($J38))),"",IF((IFERROR($I38,0)+IFERROR($J38,0))&gt;=Scoring_Criteria!$D$6,5,IF((IFERROR($I38,0)+IFERROR($J38,0))&gt;=Scoring_Criteria!$E$6,4,IF((IFERROR($I38,0)+IFERROR($J38,0))&gt;=Scoring_Criteria!$F$6,3,IF((IFERROR($I38,0)+IFERROR($J38,0))&gt;=Scoring_Criteria!$G$6,2,1))))),"")</f>
        <v/>
      </c>
      <c r="AA38" s="26">
        <f>IFERROR(IF(NOT(ISNUMBER($M38)),"",IF($M38&gt;=Scoring_Criteria!$D$7,5,IF($M38&gt;=Scoring_Criteria!$E$7,4,IF($M38&gt;=Scoring_Criteria!$F$7,3,IF($M38&gt;=Scoring_Criteria!$G$7,2,1))))),"")</f>
        <v/>
      </c>
      <c r="AB38" s="26">
        <f>IFERROR(IF(NOT(ISNUMBER($T38)),"",IF($T38&gt;=Scoring_Criteria!$D$8,5,IF($T38&gt;=Scoring_Criteria!$E$8,4,IF($T38&gt;=Scoring_Criteria!$F$8,3,IF($T38&gt;=Scoring_Criteria!$G$8,2,1))))),"")</f>
        <v/>
      </c>
      <c r="AC38" s="26">
        <f>IFERROR(IF(NOT(ISNUMBER($U38)),"",IF($U38&lt;=Scoring_Criteria!$D$9,5,IF($U38&lt;=Scoring_Criteria!$E$9,4,IF($U38&lt;=Scoring_Criteria!$F$9,3,IF($U38&lt;=Scoring_Criteria!$G$9,2,1))))),"")</f>
        <v/>
      </c>
      <c r="AD38" s="26">
        <f t="array" ref="AD38">IFERROR(IF(NOT(ISNUMBER(_xlfn.XLOOKUP($A38&amp;"|"&amp;$C38,Financials!$A$2:$A$201&amp;"|"&amp;Financials!$B$2:$B$201,Financials!$AD$2:$AD$201,""))),"",IF(_xlfn.XLOOKUP($A38&amp;"|"&amp;$C38,Financials!$A$2:$A$201&amp;"|"&amp;Financials!$B$2:$B$201,Financials!$AD$2:$AD$201,"")&gt;=Scoring_Criteria!$D$10,5,IF(_xlfn.XLOOKUP($A38&amp;"|"&amp;$C38,Financials!$A$2:$A$201&amp;"|"&amp;Financials!$B$2:$B$201,Financials!$AD$2:$AD$201,"")&gt;=Scoring_Criteria!$E$10,4,IF(_xlfn.XLOOKUP($A38&amp;"|"&amp;$C38,Financials!$A$2:$A$201&amp;"|"&amp;Financials!$B$2:$B$201,Financials!$AD$2:$AD$201,"")&gt;=Scoring_Criteria!$F$10,3,IF(_xlfn.XLOOKUP($A38&amp;"|"&amp;$C38,Financials!$A$2:$A$201&amp;"|"&amp;Financials!$B$2:$B$201,Financials!$AD$2:$AD$201,"")&gt;=Scoring_Criteria!$G$10,2,1))))),"")</f>
        <v/>
      </c>
      <c r="AE38" s="27" t="n"/>
      <c r="AF38" s="27" t="n"/>
      <c r="AG38" s="28">
        <f>IFERROR(IF(COUNTA(X38:AF38)=0,"",AVERAGE(X38:AF38)),"")</f>
        <v/>
      </c>
      <c r="AH38" s="29" t="n"/>
      <c r="AI38" s="29" t="n"/>
      <c r="AJ38" s="29" t="n"/>
      <c r="AK38" s="29" t="n"/>
      <c r="AL38" s="29" t="n"/>
      <c r="AM38" s="29" t="n"/>
      <c r="AN38" s="29" t="n"/>
      <c r="AO38" s="29" t="n"/>
      <c r="AP38" s="29" t="n"/>
      <c r="AQ38" s="29" t="n"/>
      <c r="AR38" s="29" t="n"/>
      <c r="AS38" s="29" t="n"/>
      <c r="AT38" s="29" t="n"/>
      <c r="AU38">
        <f>IFERROR(Validation_Summary!Q5,"")</f>
        <v/>
      </c>
    </row>
    <row r="39" ht="15" customHeight="1" s="67">
      <c r="A39" s="6" t="inlineStr">
        <is>
          <t>PT Gozco Plantations Tbk</t>
        </is>
      </c>
      <c r="B39" s="19">
        <f t="array" ref="B39">IFERROR(_xlfn.XLOOKUP($A39&amp;"|"&amp;$C39,'Company_Master'!$A$2:$A$94&amp;"|"&amp;'Company_Master'!$D$2:$D$94,'Company_Master'!$B$2:$B$94,""),"")</f>
        <v/>
      </c>
      <c r="C39" s="98" t="n">
        <v>2024</v>
      </c>
      <c r="D39" s="19">
        <f t="array" ref="D39">IFERROR(_xlfn.XLOOKUP($A39&amp;"|"&amp;$C39,'Company_Master'!$A$2:$A$94&amp;"|"&amp;'Company_Master'!$D$2:$D$94,'Company_Master'!$H$2:$H$94,""),"")</f>
        <v/>
      </c>
      <c r="E39" s="98">
        <f t="array" ref="E39">IFERROR(_xlfn.XLOOKUP($A39&amp;"|"&amp;$C39,Asset_Operations!$A$2:$A$201&amp;"|"&amp;Asset_Operations!$BG$2:$BG$201,Asset_Operations!$B$2:$B$201,""),"")</f>
        <v/>
      </c>
      <c r="F39" s="98">
        <f t="array" ref="F39">IFERROR(_xlfn.XLOOKUP($A39&amp;"|"&amp;$C39,Asset_Operations!$A$2:$A$201&amp;"|"&amp;Asset_Operations!$BG$2:$BG$201,Asset_Operations!$E$2:$E$201,""),"")</f>
        <v/>
      </c>
      <c r="G39" s="98">
        <f t="array" ref="G39">IFERROR(_xlfn.XLOOKUP($A39&amp;"|"&amp;$C39,Asset_Operations!$A$2:$A$201&amp;"|"&amp;Asset_Operations!$BG$2:$BG$201,Asset_Operations!$I$2:$I$201,""),"")</f>
        <v/>
      </c>
      <c r="H39" s="98">
        <f t="array" ref="H39">IFERROR(_xlfn.XLOOKUP($A39&amp;"|"&amp;$C39,Asset_Operations!$A$2:$A$201&amp;"|"&amp;Asset_Operations!$BG$2:$BG$201,Asset_Operations!$J$2:$J$201,""),"")</f>
        <v/>
      </c>
      <c r="I39" s="98">
        <f t="array" ref="I39">IFERROR(_xlfn.XLOOKUP($A39&amp;"|"&amp;$C39,Asset_Operations!$A$2:$A$201&amp;"|"&amp;Asset_Operations!$BG$2:$BG$201,Asset_Operations!$O$2:$O$201,""),"")</f>
        <v/>
      </c>
      <c r="J39" s="98">
        <f t="array" ref="J39">IFERROR(_xlfn.XLOOKUP($A39&amp;"|"&amp;$C39,Asset_Operations!$A$2:$A$201&amp;"|"&amp;Asset_Operations!$BG$2:$BG$201,Asset_Operations!$S$2:$S$201,""),"")</f>
        <v/>
      </c>
      <c r="K39" s="98">
        <f t="array" ref="K39">IFERROR(_xlfn.XLOOKUP($A39&amp;"|"&amp;$C39,Asset_Operations!$A$2:$A$201&amp;"|"&amp;Asset_Operations!$BG$2:$BG$201,Asset_Operations!$AC$2:$AC$201,""),"")</f>
        <v/>
      </c>
      <c r="L39" s="98">
        <f t="array" ref="L39">IFERROR(_xlfn.XLOOKUP($A39&amp;"|"&amp;$C39,Asset_Operations!$A$2:$A$201&amp;"|"&amp;Asset_Operations!$BG$2:$BG$201,Asset_Operations!$AG$2:$AG$201,""),"")</f>
        <v/>
      </c>
      <c r="M39" s="98">
        <f t="array" ref="M39">IFERROR(_xlfn.XLOOKUP($A39&amp;"|"&amp;$C39,Asset_Operations!$A$2:$A$201&amp;"|"&amp;Asset_Operations!$BG$2:$BG$201,Asset_Operations!$AO$2:$AO$201,""),"")</f>
        <v/>
      </c>
      <c r="N39" s="99">
        <f t="array" ref="N39">IFERROR(_xlfn.XLOOKUP($A39&amp;"|"&amp;$C39,Asset_Operations!$A$2:$A$201&amp;"|"&amp;Asset_Operations!$BG$2:$BG$201,Asset_Operations!$AR$2:$AR$201,""),"")</f>
        <v/>
      </c>
      <c r="O39" s="100">
        <f t="array" ref="O39">IFERROR(_xlfn.XLOOKUP($A39&amp;"|"&amp;$C39,Financials!$A$2:$A$201&amp;"|"&amp;Financials!$B$2:$B$201,Financials!$C$2:$C$201,""),"")</f>
        <v/>
      </c>
      <c r="P39" s="100">
        <f t="array" ref="P39">IFERROR(_xlfn.XLOOKUP($A39&amp;"|"&amp;$C39,Financials!$A$2:$A$201&amp;"|"&amp;Financials!$B$2:$B$201,Financials!$E$2:$E$201,""),"")</f>
        <v/>
      </c>
      <c r="Q39" s="100">
        <f t="array" ref="Q39">IFERROR(_xlfn.XLOOKUP($A39&amp;"|"&amp;$C39,Financials!$A$2:$A$201&amp;"|"&amp;Financials!$B$2:$B$201,Financials!$G$2:$G$201,""),"")</f>
        <v/>
      </c>
      <c r="R39" s="100">
        <f t="array" ref="R39">IFERROR(_xlfn.XLOOKUP($A39&amp;"|"&amp;$C39,Financials!$A$2:$A$201&amp;"|"&amp;Financials!$B$2:$B$201,Financials!$S$2:$S$201,""),"")</f>
        <v/>
      </c>
      <c r="S39" s="100">
        <f t="array" ref="S39">IFERROR(_xlfn.XLOOKUP($A39&amp;"|"&amp;$C39,Financials!$A$2:$A$201&amp;"|"&amp;Financials!$B$2:$B$201,Financials!$AC$2:$AC$201,""),"")</f>
        <v/>
      </c>
      <c r="T39" s="101">
        <f>IFERROR(P39/O39,"")</f>
        <v/>
      </c>
      <c r="U39" s="24">
        <f>IFERROR(R39/P39,"")</f>
        <v/>
      </c>
      <c r="V39" s="102">
        <f>IFERROR(O39/E39,"")</f>
        <v/>
      </c>
      <c r="W39" s="24">
        <f>IFERROR(L39/F39,"")</f>
        <v/>
      </c>
      <c r="X39" s="26">
        <f>IFERROR(IF(NOT(ISNUMBER($E39)),"",IF($E39&gt;=Scoring_Criteria!$D$4,5,IF($E39&gt;=Scoring_Criteria!$E$4,4,IF($E39&gt;=Scoring_Criteria!$F$4,3,IF($E39&gt;=Scoring_Criteria!$G$4,2,1))))),"")</f>
        <v/>
      </c>
      <c r="Y39" s="26">
        <f>IFERROR(IF(OR(NOT(ISNUMBER($F39)),NOT(ISNUMBER($E39)),$E39=0),"",IF(($F39/$E39)&gt;=Scoring_Criteria!$D$5,5,IF(($F39/$E39)&gt;=Scoring_Criteria!$E$5,4,IF(($F39/$E39)&gt;=Scoring_Criteria!$F$5,3,IF(($F39/$E39)&gt;=Scoring_Criteria!$G$5,2,1))))),"")</f>
        <v/>
      </c>
      <c r="Z39" s="26">
        <f>IFERROR(IF(AND(NOT(ISNUMBER($I39)),NOT(ISNUMBER($J39))),"",IF((IFERROR($I39,0)+IFERROR($J39,0))&gt;=Scoring_Criteria!$D$6,5,IF((IFERROR($I39,0)+IFERROR($J39,0))&gt;=Scoring_Criteria!$E$6,4,IF((IFERROR($I39,0)+IFERROR($J39,0))&gt;=Scoring_Criteria!$F$6,3,IF((IFERROR($I39,0)+IFERROR($J39,0))&gt;=Scoring_Criteria!$G$6,2,1))))),"")</f>
        <v/>
      </c>
      <c r="AA39" s="26">
        <f>IFERROR(IF(NOT(ISNUMBER($M39)),"",IF($M39&gt;=Scoring_Criteria!$D$7,5,IF($M39&gt;=Scoring_Criteria!$E$7,4,IF($M39&gt;=Scoring_Criteria!$F$7,3,IF($M39&gt;=Scoring_Criteria!$G$7,2,1))))),"")</f>
        <v/>
      </c>
      <c r="AB39" s="26">
        <f>IFERROR(IF(NOT(ISNUMBER($T39)),"",IF($T39&gt;=Scoring_Criteria!$D$8,5,IF($T39&gt;=Scoring_Criteria!$E$8,4,IF($T39&gt;=Scoring_Criteria!$F$8,3,IF($T39&gt;=Scoring_Criteria!$G$8,2,1))))),"")</f>
        <v/>
      </c>
      <c r="AC39" s="26">
        <f>IFERROR(IF(NOT(ISNUMBER($U39)),"",IF($U39&lt;=Scoring_Criteria!$D$9,5,IF($U39&lt;=Scoring_Criteria!$E$9,4,IF($U39&lt;=Scoring_Criteria!$F$9,3,IF($U39&lt;=Scoring_Criteria!$G$9,2,1))))),"")</f>
        <v/>
      </c>
      <c r="AD39" s="26">
        <f t="array" ref="AD39">IFERROR(IF(NOT(ISNUMBER(_xlfn.XLOOKUP($A39&amp;"|"&amp;$C39,Financials!$A$2:$A$201&amp;"|"&amp;Financials!$B$2:$B$201,Financials!$AD$2:$AD$201,""))),"",IF(_xlfn.XLOOKUP($A39&amp;"|"&amp;$C39,Financials!$A$2:$A$201&amp;"|"&amp;Financials!$B$2:$B$201,Financials!$AD$2:$AD$201,"")&gt;=Scoring_Criteria!$D$10,5,IF(_xlfn.XLOOKUP($A39&amp;"|"&amp;$C39,Financials!$A$2:$A$201&amp;"|"&amp;Financials!$B$2:$B$201,Financials!$AD$2:$AD$201,"")&gt;=Scoring_Criteria!$E$10,4,IF(_xlfn.XLOOKUP($A39&amp;"|"&amp;$C39,Financials!$A$2:$A$201&amp;"|"&amp;Financials!$B$2:$B$201,Financials!$AD$2:$AD$201,"")&gt;=Scoring_Criteria!$F$10,3,IF(_xlfn.XLOOKUP($A39&amp;"|"&amp;$C39,Financials!$A$2:$A$201&amp;"|"&amp;Financials!$B$2:$B$201,Financials!$AD$2:$AD$201,"")&gt;=Scoring_Criteria!$G$10,2,1))))),"")</f>
        <v/>
      </c>
      <c r="AE39" s="27" t="n"/>
      <c r="AF39" s="27" t="n"/>
      <c r="AG39" s="28">
        <f>IFERROR(IF(COUNTA(X39:AF39)=0,"",AVERAGE(X39:AF39)),"")</f>
        <v/>
      </c>
      <c r="AH39" s="29" t="n"/>
      <c r="AI39" s="29" t="n"/>
      <c r="AJ39" s="29" t="n"/>
      <c r="AK39" s="29" t="n"/>
      <c r="AL39" s="29" t="n"/>
      <c r="AM39" s="29" t="n"/>
      <c r="AN39" s="29" t="n"/>
      <c r="AO39" s="29" t="n"/>
      <c r="AP39" s="29" t="n"/>
      <c r="AQ39" s="29" t="n"/>
      <c r="AR39" s="29" t="n"/>
      <c r="AS39" s="29" t="n"/>
      <c r="AT39" s="29" t="n"/>
      <c r="AU39">
        <f>IFERROR(Validation_Summary!Q5,"")</f>
        <v/>
      </c>
    </row>
    <row r="40" ht="15" customHeight="1" s="67">
      <c r="A40" s="6" t="inlineStr">
        <is>
          <t>PT Indo Pureco Pratama Tbk</t>
        </is>
      </c>
      <c r="B40" s="19">
        <f t="array" ref="B40">IFERROR(_xlfn.XLOOKUP($A40&amp;"|"&amp;$C40,'Company_Master'!$A$2:$A$94&amp;"|"&amp;'Company_Master'!$D$2:$D$94,'Company_Master'!$B$2:$B$94,""),"")</f>
        <v/>
      </c>
      <c r="C40" s="98" t="n">
        <v>2023</v>
      </c>
      <c r="D40" s="19">
        <f t="array" ref="D40">IFERROR(_xlfn.XLOOKUP($A40&amp;"|"&amp;$C40,'Company_Master'!$A$2:$A$94&amp;"|"&amp;'Company_Master'!$D$2:$D$94,'Company_Master'!$H$2:$H$94,""),"")</f>
        <v/>
      </c>
      <c r="E40" s="98">
        <f t="array" ref="E40">IFERROR(_xlfn.XLOOKUP($A40&amp;"|"&amp;$C40,Asset_Operations!$A$2:$A$201&amp;"|"&amp;Asset_Operations!$BG$2:$BG$201,Asset_Operations!$B$2:$B$201,""),"")</f>
        <v/>
      </c>
      <c r="F40" s="98">
        <f t="array" ref="F40">IFERROR(_xlfn.XLOOKUP($A40&amp;"|"&amp;$C40,Asset_Operations!$A$2:$A$201&amp;"|"&amp;Asset_Operations!$BG$2:$BG$201,Asset_Operations!$E$2:$E$201,""),"")</f>
        <v/>
      </c>
      <c r="G40" s="98">
        <f t="array" ref="G40">IFERROR(_xlfn.XLOOKUP($A40&amp;"|"&amp;$C40,Asset_Operations!$A$2:$A$201&amp;"|"&amp;Asset_Operations!$BG$2:$BG$201,Asset_Operations!$I$2:$I$201,""),"")</f>
        <v/>
      </c>
      <c r="H40" s="98">
        <f t="array" ref="H40">IFERROR(_xlfn.XLOOKUP($A40&amp;"|"&amp;$C40,Asset_Operations!$A$2:$A$201&amp;"|"&amp;Asset_Operations!$BG$2:$BG$201,Asset_Operations!$J$2:$J$201,""),"")</f>
        <v/>
      </c>
      <c r="I40" s="98">
        <f t="array" ref="I40">IFERROR(_xlfn.XLOOKUP($A40&amp;"|"&amp;$C40,Asset_Operations!$A$2:$A$201&amp;"|"&amp;Asset_Operations!$BG$2:$BG$201,Asset_Operations!$O$2:$O$201,""),"")</f>
        <v/>
      </c>
      <c r="J40" s="98">
        <f t="array" ref="J40">IFERROR(_xlfn.XLOOKUP($A40&amp;"|"&amp;$C40,Asset_Operations!$A$2:$A$201&amp;"|"&amp;Asset_Operations!$BG$2:$BG$201,Asset_Operations!$S$2:$S$201,""),"")</f>
        <v/>
      </c>
      <c r="K40" s="98">
        <f t="array" ref="K40">IFERROR(_xlfn.XLOOKUP($A40&amp;"|"&amp;$C40,Asset_Operations!$A$2:$A$201&amp;"|"&amp;Asset_Operations!$BG$2:$BG$201,Asset_Operations!$AC$2:$AC$201,""),"")</f>
        <v/>
      </c>
      <c r="L40" s="98">
        <f t="array" ref="L40">IFERROR(_xlfn.XLOOKUP($A40&amp;"|"&amp;$C40,Asset_Operations!$A$2:$A$201&amp;"|"&amp;Asset_Operations!$BG$2:$BG$201,Asset_Operations!$AG$2:$AG$201,""),"")</f>
        <v/>
      </c>
      <c r="M40" s="98">
        <f t="array" ref="M40">IFERROR(_xlfn.XLOOKUP($A40&amp;"|"&amp;$C40,Asset_Operations!$A$2:$A$201&amp;"|"&amp;Asset_Operations!$BG$2:$BG$201,Asset_Operations!$AO$2:$AO$201,""),"")</f>
        <v/>
      </c>
      <c r="N40" s="99">
        <f t="array" ref="N40">IFERROR(_xlfn.XLOOKUP($A40&amp;"|"&amp;$C40,Asset_Operations!$A$2:$A$201&amp;"|"&amp;Asset_Operations!$BG$2:$BG$201,Asset_Operations!$AR$2:$AR$201,""),"")</f>
        <v/>
      </c>
      <c r="O40" s="100">
        <f t="array" ref="O40">IFERROR(_xlfn.XLOOKUP($A40&amp;"|"&amp;$C40,Financials!$A$2:$A$201&amp;"|"&amp;Financials!$B$2:$B$201,Financials!$C$2:$C$201,""),"")</f>
        <v/>
      </c>
      <c r="P40" s="100">
        <f t="array" ref="P40">IFERROR(_xlfn.XLOOKUP($A40&amp;"|"&amp;$C40,Financials!$A$2:$A$201&amp;"|"&amp;Financials!$B$2:$B$201,Financials!$E$2:$E$201,""),"")</f>
        <v/>
      </c>
      <c r="Q40" s="100">
        <f t="array" ref="Q40">IFERROR(_xlfn.XLOOKUP($A40&amp;"|"&amp;$C40,Financials!$A$2:$A$201&amp;"|"&amp;Financials!$B$2:$B$201,Financials!$G$2:$G$201,""),"")</f>
        <v/>
      </c>
      <c r="R40" s="100">
        <f t="array" ref="R40">IFERROR(_xlfn.XLOOKUP($A40&amp;"|"&amp;$C40,Financials!$A$2:$A$201&amp;"|"&amp;Financials!$B$2:$B$201,Financials!$S$2:$S$201,""),"")</f>
        <v/>
      </c>
      <c r="S40" s="100">
        <f t="array" ref="S40">IFERROR(_xlfn.XLOOKUP($A40&amp;"|"&amp;$C40,Financials!$A$2:$A$201&amp;"|"&amp;Financials!$B$2:$B$201,Financials!$AC$2:$AC$201,""),"")</f>
        <v/>
      </c>
      <c r="T40" s="101">
        <f>IFERROR(P40/O40,"")</f>
        <v/>
      </c>
      <c r="U40" s="24">
        <f>IFERROR(R40/P40,"")</f>
        <v/>
      </c>
      <c r="V40" s="102">
        <f>IFERROR(O40/E40,"")</f>
        <v/>
      </c>
      <c r="W40" s="24">
        <f>IFERROR(L40/F40,"")</f>
        <v/>
      </c>
      <c r="X40" s="26">
        <f>IFERROR(IF(NOT(ISNUMBER($E40)),"",IF($E40&gt;=Scoring_Criteria!$D$4,5,IF($E40&gt;=Scoring_Criteria!$E$4,4,IF($E40&gt;=Scoring_Criteria!$F$4,3,IF($E40&gt;=Scoring_Criteria!$G$4,2,1))))),"")</f>
        <v/>
      </c>
      <c r="Y40" s="26">
        <f>IFERROR(IF(OR(NOT(ISNUMBER($F40)),NOT(ISNUMBER($E40)),$E40=0),"",IF(($F40/$E40)&gt;=Scoring_Criteria!$D$5,5,IF(($F40/$E40)&gt;=Scoring_Criteria!$E$5,4,IF(($F40/$E40)&gt;=Scoring_Criteria!$F$5,3,IF(($F40/$E40)&gt;=Scoring_Criteria!$G$5,2,1))))),"")</f>
        <v/>
      </c>
      <c r="Z40" s="26">
        <f>IFERROR(IF(AND(NOT(ISNUMBER($I40)),NOT(ISNUMBER($J40))),"",IF((IFERROR($I40,0)+IFERROR($J40,0))&gt;=Scoring_Criteria!$D$6,5,IF((IFERROR($I40,0)+IFERROR($J40,0))&gt;=Scoring_Criteria!$E$6,4,IF((IFERROR($I40,0)+IFERROR($J40,0))&gt;=Scoring_Criteria!$F$6,3,IF((IFERROR($I40,0)+IFERROR($J40,0))&gt;=Scoring_Criteria!$G$6,2,1))))),"")</f>
        <v/>
      </c>
      <c r="AA40" s="26">
        <f>IFERROR(IF(NOT(ISNUMBER($M40)),"",IF($M40&gt;=Scoring_Criteria!$D$7,5,IF($M40&gt;=Scoring_Criteria!$E$7,4,IF($M40&gt;=Scoring_Criteria!$F$7,3,IF($M40&gt;=Scoring_Criteria!$G$7,2,1))))),"")</f>
        <v/>
      </c>
      <c r="AB40" s="26">
        <f>IFERROR(IF(NOT(ISNUMBER($T40)),"",IF($T40&gt;=Scoring_Criteria!$D$8,5,IF($T40&gt;=Scoring_Criteria!$E$8,4,IF($T40&gt;=Scoring_Criteria!$F$8,3,IF($T40&gt;=Scoring_Criteria!$G$8,2,1))))),"")</f>
        <v/>
      </c>
      <c r="AC40" s="26">
        <f>IFERROR(IF(NOT(ISNUMBER($U40)),"",IF($U40&lt;=Scoring_Criteria!$D$9,5,IF($U40&lt;=Scoring_Criteria!$E$9,4,IF($U40&lt;=Scoring_Criteria!$F$9,3,IF($U40&lt;=Scoring_Criteria!$G$9,2,1))))),"")</f>
        <v/>
      </c>
      <c r="AD40" s="26">
        <f t="array" ref="AD40">IFERROR(IF(NOT(ISNUMBER(_xlfn.XLOOKUP($A40&amp;"|"&amp;$C40,Financials!$A$2:$A$201&amp;"|"&amp;Financials!$B$2:$B$201,Financials!$AD$2:$AD$201,""))),"",IF(_xlfn.XLOOKUP($A40&amp;"|"&amp;$C40,Financials!$A$2:$A$201&amp;"|"&amp;Financials!$B$2:$B$201,Financials!$AD$2:$AD$201,"")&gt;=Scoring_Criteria!$D$10,5,IF(_xlfn.XLOOKUP($A40&amp;"|"&amp;$C40,Financials!$A$2:$A$201&amp;"|"&amp;Financials!$B$2:$B$201,Financials!$AD$2:$AD$201,"")&gt;=Scoring_Criteria!$E$10,4,IF(_xlfn.XLOOKUP($A40&amp;"|"&amp;$C40,Financials!$A$2:$A$201&amp;"|"&amp;Financials!$B$2:$B$201,Financials!$AD$2:$AD$201,"")&gt;=Scoring_Criteria!$F$10,3,IF(_xlfn.XLOOKUP($A40&amp;"|"&amp;$C40,Financials!$A$2:$A$201&amp;"|"&amp;Financials!$B$2:$B$201,Financials!$AD$2:$AD$201,"")&gt;=Scoring_Criteria!$G$10,2,1))))),"")</f>
        <v/>
      </c>
      <c r="AE40" s="27" t="n"/>
      <c r="AF40" s="27" t="n"/>
      <c r="AG40" s="28">
        <f>IFERROR(IF(COUNTA(X40:AF40)=0,"",AVERAGE(X40:AF40)),"")</f>
        <v/>
      </c>
      <c r="AH40" s="29" t="n"/>
      <c r="AI40" s="29" t="n"/>
      <c r="AJ40" s="29" t="n"/>
      <c r="AK40" s="29" t="n"/>
      <c r="AL40" s="29" t="n"/>
      <c r="AM40" s="29" t="n"/>
      <c r="AN40" s="29" t="n"/>
      <c r="AO40" s="29" t="n"/>
      <c r="AP40" s="29" t="n"/>
      <c r="AQ40" s="29" t="n"/>
      <c r="AR40" s="29" t="n"/>
      <c r="AS40" s="29" t="n"/>
      <c r="AT40" s="29" t="n"/>
      <c r="AU40">
        <f>IFERROR(Validation_Summary!Q5,"")</f>
        <v/>
      </c>
    </row>
    <row r="41" ht="15" customHeight="1" s="67">
      <c r="A41" s="6" t="inlineStr">
        <is>
          <t>PT Jhonlin Agro Raya Tbk</t>
        </is>
      </c>
      <c r="B41" s="19">
        <f t="array" ref="B41">IFERROR(_xlfn.XLOOKUP($A41&amp;"|"&amp;$C41,'Company_Master'!$A$2:$A$94&amp;"|"&amp;'Company_Master'!$D$2:$D$94,'Company_Master'!$B$2:$B$94,""),"")</f>
        <v/>
      </c>
      <c r="C41" s="98" t="n">
        <v>2022</v>
      </c>
      <c r="D41" s="19">
        <f t="array" ref="D41">IFERROR(_xlfn.XLOOKUP($A41&amp;"|"&amp;$C41,'Company_Master'!$A$2:$A$94&amp;"|"&amp;'Company_Master'!$D$2:$D$94,'Company_Master'!$H$2:$H$94,""),"")</f>
        <v/>
      </c>
      <c r="E41" s="98">
        <f t="array" ref="E41">IFERROR(_xlfn.XLOOKUP($A41&amp;"|"&amp;$C41,Asset_Operations!$A$2:$A$201&amp;"|"&amp;Asset_Operations!$BG$2:$BG$201,Asset_Operations!$B$2:$B$201,""),"")</f>
        <v/>
      </c>
      <c r="F41" s="98">
        <f t="array" ref="F41">IFERROR(_xlfn.XLOOKUP($A41&amp;"|"&amp;$C41,Asset_Operations!$A$2:$A$201&amp;"|"&amp;Asset_Operations!$BG$2:$BG$201,Asset_Operations!$E$2:$E$201,""),"")</f>
        <v/>
      </c>
      <c r="G41" s="98">
        <f t="array" ref="G41">IFERROR(_xlfn.XLOOKUP($A41&amp;"|"&amp;$C41,Asset_Operations!$A$2:$A$201&amp;"|"&amp;Asset_Operations!$BG$2:$BG$201,Asset_Operations!$I$2:$I$201,""),"")</f>
        <v/>
      </c>
      <c r="H41" s="98">
        <f t="array" ref="H41">IFERROR(_xlfn.XLOOKUP($A41&amp;"|"&amp;$C41,Asset_Operations!$A$2:$A$201&amp;"|"&amp;Asset_Operations!$BG$2:$BG$201,Asset_Operations!$J$2:$J$201,""),"")</f>
        <v/>
      </c>
      <c r="I41" s="98">
        <f t="array" ref="I41">IFERROR(_xlfn.XLOOKUP($A41&amp;"|"&amp;$C41,Asset_Operations!$A$2:$A$201&amp;"|"&amp;Asset_Operations!$BG$2:$BG$201,Asset_Operations!$O$2:$O$201,""),"")</f>
        <v/>
      </c>
      <c r="J41" s="98">
        <f t="array" ref="J41">IFERROR(_xlfn.XLOOKUP($A41&amp;"|"&amp;$C41,Asset_Operations!$A$2:$A$201&amp;"|"&amp;Asset_Operations!$BG$2:$BG$201,Asset_Operations!$S$2:$S$201,""),"")</f>
        <v/>
      </c>
      <c r="K41" s="98">
        <f t="array" ref="K41">IFERROR(_xlfn.XLOOKUP($A41&amp;"|"&amp;$C41,Asset_Operations!$A$2:$A$201&amp;"|"&amp;Asset_Operations!$BG$2:$BG$201,Asset_Operations!$AC$2:$AC$201,""),"")</f>
        <v/>
      </c>
      <c r="L41" s="98">
        <f t="array" ref="L41">IFERROR(_xlfn.XLOOKUP($A41&amp;"|"&amp;$C41,Asset_Operations!$A$2:$A$201&amp;"|"&amp;Asset_Operations!$BG$2:$BG$201,Asset_Operations!$AG$2:$AG$201,""),"")</f>
        <v/>
      </c>
      <c r="M41" s="98">
        <f t="array" ref="M41">IFERROR(_xlfn.XLOOKUP($A41&amp;"|"&amp;$C41,Asset_Operations!$A$2:$A$201&amp;"|"&amp;Asset_Operations!$BG$2:$BG$201,Asset_Operations!$AO$2:$AO$201,""),"")</f>
        <v/>
      </c>
      <c r="N41" s="99">
        <f t="array" ref="N41">IFERROR(_xlfn.XLOOKUP($A41&amp;"|"&amp;$C41,Asset_Operations!$A$2:$A$201&amp;"|"&amp;Asset_Operations!$BG$2:$BG$201,Asset_Operations!$AR$2:$AR$201,""),"")</f>
        <v/>
      </c>
      <c r="O41" s="100">
        <f t="array" ref="O41">IFERROR(_xlfn.XLOOKUP($A41&amp;"|"&amp;$C41,Financials!$A$2:$A$201&amp;"|"&amp;Financials!$B$2:$B$201,Financials!$C$2:$C$201,""),"")</f>
        <v/>
      </c>
      <c r="P41" s="100">
        <f t="array" ref="P41">IFERROR(_xlfn.XLOOKUP($A41&amp;"|"&amp;$C41,Financials!$A$2:$A$201&amp;"|"&amp;Financials!$B$2:$B$201,Financials!$E$2:$E$201,""),"")</f>
        <v/>
      </c>
      <c r="Q41" s="100">
        <f t="array" ref="Q41">IFERROR(_xlfn.XLOOKUP($A41&amp;"|"&amp;$C41,Financials!$A$2:$A$201&amp;"|"&amp;Financials!$B$2:$B$201,Financials!$G$2:$G$201,""),"")</f>
        <v/>
      </c>
      <c r="R41" s="100">
        <f t="array" ref="R41">IFERROR(_xlfn.XLOOKUP($A41&amp;"|"&amp;$C41,Financials!$A$2:$A$201&amp;"|"&amp;Financials!$B$2:$B$201,Financials!$S$2:$S$201,""),"")</f>
        <v/>
      </c>
      <c r="S41" s="100">
        <f t="array" ref="S41">IFERROR(_xlfn.XLOOKUP($A41&amp;"|"&amp;$C41,Financials!$A$2:$A$201&amp;"|"&amp;Financials!$B$2:$B$201,Financials!$AC$2:$AC$201,""),"")</f>
        <v/>
      </c>
      <c r="T41" s="101">
        <f>IFERROR(P41/O41,"")</f>
        <v/>
      </c>
      <c r="U41" s="24">
        <f>IFERROR(R41/P41,"")</f>
        <v/>
      </c>
      <c r="V41" s="102">
        <f>IFERROR(O41/E41,"")</f>
        <v/>
      </c>
      <c r="W41" s="24">
        <f>IFERROR(L41/F41,"")</f>
        <v/>
      </c>
      <c r="X41" s="26">
        <f>IFERROR(IF(NOT(ISNUMBER($E41)),"",IF($E41&gt;=Scoring_Criteria!$D$4,5,IF($E41&gt;=Scoring_Criteria!$E$4,4,IF($E41&gt;=Scoring_Criteria!$F$4,3,IF($E41&gt;=Scoring_Criteria!$G$4,2,1))))),"")</f>
        <v/>
      </c>
      <c r="Y41" s="26">
        <f>IFERROR(IF(OR(NOT(ISNUMBER($F41)),NOT(ISNUMBER($E41)),$E41=0),"",IF(($F41/$E41)&gt;=Scoring_Criteria!$D$5,5,IF(($F41/$E41)&gt;=Scoring_Criteria!$E$5,4,IF(($F41/$E41)&gt;=Scoring_Criteria!$F$5,3,IF(($F41/$E41)&gt;=Scoring_Criteria!$G$5,2,1))))),"")</f>
        <v/>
      </c>
      <c r="Z41" s="26">
        <f>IFERROR(IF(AND(NOT(ISNUMBER($I41)),NOT(ISNUMBER($J41))),"",IF((IFERROR($I41,0)+IFERROR($J41,0))&gt;=Scoring_Criteria!$D$6,5,IF((IFERROR($I41,0)+IFERROR($J41,0))&gt;=Scoring_Criteria!$E$6,4,IF((IFERROR($I41,0)+IFERROR($J41,0))&gt;=Scoring_Criteria!$F$6,3,IF((IFERROR($I41,0)+IFERROR($J41,0))&gt;=Scoring_Criteria!$G$6,2,1))))),"")</f>
        <v/>
      </c>
      <c r="AA41" s="26">
        <f>IFERROR(IF(NOT(ISNUMBER($M41)),"",IF($M41&gt;=Scoring_Criteria!$D$7,5,IF($M41&gt;=Scoring_Criteria!$E$7,4,IF($M41&gt;=Scoring_Criteria!$F$7,3,IF($M41&gt;=Scoring_Criteria!$G$7,2,1))))),"")</f>
        <v/>
      </c>
      <c r="AB41" s="26">
        <f>IFERROR(IF(NOT(ISNUMBER($T41)),"",IF($T41&gt;=Scoring_Criteria!$D$8,5,IF($T41&gt;=Scoring_Criteria!$E$8,4,IF($T41&gt;=Scoring_Criteria!$F$8,3,IF($T41&gt;=Scoring_Criteria!$G$8,2,1))))),"")</f>
        <v/>
      </c>
      <c r="AC41" s="26">
        <f>IFERROR(IF(NOT(ISNUMBER($U41)),"",IF($U41&lt;=Scoring_Criteria!$D$9,5,IF($U41&lt;=Scoring_Criteria!$E$9,4,IF($U41&lt;=Scoring_Criteria!$F$9,3,IF($U41&lt;=Scoring_Criteria!$G$9,2,1))))),"")</f>
        <v/>
      </c>
      <c r="AD41" s="26">
        <f t="array" ref="AD41">IFERROR(IF(NOT(ISNUMBER(_xlfn.XLOOKUP($A41&amp;"|"&amp;$C41,Financials!$A$2:$A$201&amp;"|"&amp;Financials!$B$2:$B$201,Financials!$AD$2:$AD$201,""))),"",IF(_xlfn.XLOOKUP($A41&amp;"|"&amp;$C41,Financials!$A$2:$A$201&amp;"|"&amp;Financials!$B$2:$B$201,Financials!$AD$2:$AD$201,"")&gt;=Scoring_Criteria!$D$10,5,IF(_xlfn.XLOOKUP($A41&amp;"|"&amp;$C41,Financials!$A$2:$A$201&amp;"|"&amp;Financials!$B$2:$B$201,Financials!$AD$2:$AD$201,"")&gt;=Scoring_Criteria!$E$10,4,IF(_xlfn.XLOOKUP($A41&amp;"|"&amp;$C41,Financials!$A$2:$A$201&amp;"|"&amp;Financials!$B$2:$B$201,Financials!$AD$2:$AD$201,"")&gt;=Scoring_Criteria!$F$10,3,IF(_xlfn.XLOOKUP($A41&amp;"|"&amp;$C41,Financials!$A$2:$A$201&amp;"|"&amp;Financials!$B$2:$B$201,Financials!$AD$2:$AD$201,"")&gt;=Scoring_Criteria!$G$10,2,1))))),"")</f>
        <v/>
      </c>
      <c r="AE41" s="27" t="n"/>
      <c r="AF41" s="27" t="n"/>
      <c r="AG41" s="28">
        <f>IFERROR(IF(COUNTA(X41:AF41)=0,"",AVERAGE(X41:AF41)),"")</f>
        <v/>
      </c>
      <c r="AH41" s="29" t="n"/>
      <c r="AI41" s="29" t="n"/>
      <c r="AJ41" s="29" t="n"/>
      <c r="AK41" s="29" t="n"/>
      <c r="AL41" s="29" t="n"/>
      <c r="AM41" s="29" t="n"/>
      <c r="AN41" s="29" t="n"/>
      <c r="AO41" s="29" t="n"/>
      <c r="AP41" s="29" t="n"/>
      <c r="AQ41" s="29" t="n"/>
      <c r="AR41" s="29" t="n"/>
      <c r="AS41" s="29" t="n"/>
      <c r="AT41" s="29" t="n"/>
      <c r="AU41">
        <f>IFERROR(Validation_Summary!Q5,"")</f>
        <v/>
      </c>
    </row>
    <row r="42" ht="15" customHeight="1" s="67">
      <c r="A42" s="6" t="inlineStr">
        <is>
          <t>PT Jhonlin Agro Raya Tbk</t>
        </is>
      </c>
      <c r="B42" s="19">
        <f t="array" ref="B42">IFERROR(_xlfn.XLOOKUP($A42&amp;"|"&amp;$C42,'Company_Master'!$A$2:$A$94&amp;"|"&amp;'Company_Master'!$D$2:$D$94,'Company_Master'!$B$2:$B$94,""),"")</f>
        <v/>
      </c>
      <c r="C42" s="98" t="n">
        <v>2023</v>
      </c>
      <c r="D42" s="19">
        <f t="array" ref="D42">IFERROR(_xlfn.XLOOKUP($A42&amp;"|"&amp;$C42,'Company_Master'!$A$2:$A$94&amp;"|"&amp;'Company_Master'!$D$2:$D$94,'Company_Master'!$H$2:$H$94,""),"")</f>
        <v/>
      </c>
      <c r="E42" s="98">
        <f t="array" ref="E42">IFERROR(_xlfn.XLOOKUP($A42&amp;"|"&amp;$C42,Asset_Operations!$A$2:$A$201&amp;"|"&amp;Asset_Operations!$BG$2:$BG$201,Asset_Operations!$B$2:$B$201,""),"")</f>
        <v/>
      </c>
      <c r="F42" s="98">
        <f t="array" ref="F42">IFERROR(_xlfn.XLOOKUP($A42&amp;"|"&amp;$C42,Asset_Operations!$A$2:$A$201&amp;"|"&amp;Asset_Operations!$BG$2:$BG$201,Asset_Operations!$E$2:$E$201,""),"")</f>
        <v/>
      </c>
      <c r="G42" s="98">
        <f t="array" ref="G42">IFERROR(_xlfn.XLOOKUP($A42&amp;"|"&amp;$C42,Asset_Operations!$A$2:$A$201&amp;"|"&amp;Asset_Operations!$BG$2:$BG$201,Asset_Operations!$I$2:$I$201,""),"")</f>
        <v/>
      </c>
      <c r="H42" s="98">
        <f t="array" ref="H42">IFERROR(_xlfn.XLOOKUP($A42&amp;"|"&amp;$C42,Asset_Operations!$A$2:$A$201&amp;"|"&amp;Asset_Operations!$BG$2:$BG$201,Asset_Operations!$J$2:$J$201,""),"")</f>
        <v/>
      </c>
      <c r="I42" s="98">
        <f t="array" ref="I42">IFERROR(_xlfn.XLOOKUP($A42&amp;"|"&amp;$C42,Asset_Operations!$A$2:$A$201&amp;"|"&amp;Asset_Operations!$BG$2:$BG$201,Asset_Operations!$O$2:$O$201,""),"")</f>
        <v/>
      </c>
      <c r="J42" s="98">
        <f t="array" ref="J42">IFERROR(_xlfn.XLOOKUP($A42&amp;"|"&amp;$C42,Asset_Operations!$A$2:$A$201&amp;"|"&amp;Asset_Operations!$BG$2:$BG$201,Asset_Operations!$S$2:$S$201,""),"")</f>
        <v/>
      </c>
      <c r="K42" s="98">
        <f t="array" ref="K42">IFERROR(_xlfn.XLOOKUP($A42&amp;"|"&amp;$C42,Asset_Operations!$A$2:$A$201&amp;"|"&amp;Asset_Operations!$BG$2:$BG$201,Asset_Operations!$AC$2:$AC$201,""),"")</f>
        <v/>
      </c>
      <c r="L42" s="98">
        <f t="array" ref="L42">IFERROR(_xlfn.XLOOKUP($A42&amp;"|"&amp;$C42,Asset_Operations!$A$2:$A$201&amp;"|"&amp;Asset_Operations!$BG$2:$BG$201,Asset_Operations!$AG$2:$AG$201,""),"")</f>
        <v/>
      </c>
      <c r="M42" s="98">
        <f t="array" ref="M42">IFERROR(_xlfn.XLOOKUP($A42&amp;"|"&amp;$C42,Asset_Operations!$A$2:$A$201&amp;"|"&amp;Asset_Operations!$BG$2:$BG$201,Asset_Operations!$AO$2:$AO$201,""),"")</f>
        <v/>
      </c>
      <c r="N42" s="99">
        <f t="array" ref="N42">IFERROR(_xlfn.XLOOKUP($A42&amp;"|"&amp;$C42,Asset_Operations!$A$2:$A$201&amp;"|"&amp;Asset_Operations!$BG$2:$BG$201,Asset_Operations!$AR$2:$AR$201,""),"")</f>
        <v/>
      </c>
      <c r="O42" s="100">
        <f t="array" ref="O42">IFERROR(_xlfn.XLOOKUP($A42&amp;"|"&amp;$C42,Financials!$A$2:$A$201&amp;"|"&amp;Financials!$B$2:$B$201,Financials!$C$2:$C$201,""),"")</f>
        <v/>
      </c>
      <c r="P42" s="100">
        <f t="array" ref="P42">IFERROR(_xlfn.XLOOKUP($A42&amp;"|"&amp;$C42,Financials!$A$2:$A$201&amp;"|"&amp;Financials!$B$2:$B$201,Financials!$E$2:$E$201,""),"")</f>
        <v/>
      </c>
      <c r="Q42" s="100">
        <f t="array" ref="Q42">IFERROR(_xlfn.XLOOKUP($A42&amp;"|"&amp;$C42,Financials!$A$2:$A$201&amp;"|"&amp;Financials!$B$2:$B$201,Financials!$G$2:$G$201,""),"")</f>
        <v/>
      </c>
      <c r="R42" s="100">
        <f t="array" ref="R42">IFERROR(_xlfn.XLOOKUP($A42&amp;"|"&amp;$C42,Financials!$A$2:$A$201&amp;"|"&amp;Financials!$B$2:$B$201,Financials!$S$2:$S$201,""),"")</f>
        <v/>
      </c>
      <c r="S42" s="100">
        <f t="array" ref="S42">IFERROR(_xlfn.XLOOKUP($A42&amp;"|"&amp;$C42,Financials!$A$2:$A$201&amp;"|"&amp;Financials!$B$2:$B$201,Financials!$AC$2:$AC$201,""),"")</f>
        <v/>
      </c>
      <c r="T42" s="101">
        <f>IFERROR(P42/O42,"")</f>
        <v/>
      </c>
      <c r="U42" s="24">
        <f>IFERROR(R42/P42,"")</f>
        <v/>
      </c>
      <c r="V42" s="102">
        <f>IFERROR(O42/E42,"")</f>
        <v/>
      </c>
      <c r="W42" s="24">
        <f>IFERROR(L42/F42,"")</f>
        <v/>
      </c>
      <c r="X42" s="26">
        <f>IFERROR(IF(NOT(ISNUMBER($E42)),"",IF($E42&gt;=Scoring_Criteria!$D$4,5,IF($E42&gt;=Scoring_Criteria!$E$4,4,IF($E42&gt;=Scoring_Criteria!$F$4,3,IF($E42&gt;=Scoring_Criteria!$G$4,2,1))))),"")</f>
        <v/>
      </c>
      <c r="Y42" s="26">
        <f>IFERROR(IF(OR(NOT(ISNUMBER($F42)),NOT(ISNUMBER($E42)),$E42=0),"",IF(($F42/$E42)&gt;=Scoring_Criteria!$D$5,5,IF(($F42/$E42)&gt;=Scoring_Criteria!$E$5,4,IF(($F42/$E42)&gt;=Scoring_Criteria!$F$5,3,IF(($F42/$E42)&gt;=Scoring_Criteria!$G$5,2,1))))),"")</f>
        <v/>
      </c>
      <c r="Z42" s="26">
        <f>IFERROR(IF(AND(NOT(ISNUMBER($I42)),NOT(ISNUMBER($J42))),"",IF((IFERROR($I42,0)+IFERROR($J42,0))&gt;=Scoring_Criteria!$D$6,5,IF((IFERROR($I42,0)+IFERROR($J42,0))&gt;=Scoring_Criteria!$E$6,4,IF((IFERROR($I42,0)+IFERROR($J42,0))&gt;=Scoring_Criteria!$F$6,3,IF((IFERROR($I42,0)+IFERROR($J42,0))&gt;=Scoring_Criteria!$G$6,2,1))))),"")</f>
        <v/>
      </c>
      <c r="AA42" s="26">
        <f>IFERROR(IF(NOT(ISNUMBER($M42)),"",IF($M42&gt;=Scoring_Criteria!$D$7,5,IF($M42&gt;=Scoring_Criteria!$E$7,4,IF($M42&gt;=Scoring_Criteria!$F$7,3,IF($M42&gt;=Scoring_Criteria!$G$7,2,1))))),"")</f>
        <v/>
      </c>
      <c r="AB42" s="26">
        <f>IFERROR(IF(NOT(ISNUMBER($T42)),"",IF($T42&gt;=Scoring_Criteria!$D$8,5,IF($T42&gt;=Scoring_Criteria!$E$8,4,IF($T42&gt;=Scoring_Criteria!$F$8,3,IF($T42&gt;=Scoring_Criteria!$G$8,2,1))))),"")</f>
        <v/>
      </c>
      <c r="AC42" s="26">
        <f>IFERROR(IF(NOT(ISNUMBER($U42)),"",IF($U42&lt;=Scoring_Criteria!$D$9,5,IF($U42&lt;=Scoring_Criteria!$E$9,4,IF($U42&lt;=Scoring_Criteria!$F$9,3,IF($U42&lt;=Scoring_Criteria!$G$9,2,1))))),"")</f>
        <v/>
      </c>
      <c r="AD42" s="26">
        <f t="array" ref="AD42">IFERROR(IF(NOT(ISNUMBER(_xlfn.XLOOKUP($A42&amp;"|"&amp;$C42,Financials!$A$2:$A$201&amp;"|"&amp;Financials!$B$2:$B$201,Financials!$AD$2:$AD$201,""))),"",IF(_xlfn.XLOOKUP($A42&amp;"|"&amp;$C42,Financials!$A$2:$A$201&amp;"|"&amp;Financials!$B$2:$B$201,Financials!$AD$2:$AD$201,"")&gt;=Scoring_Criteria!$D$10,5,IF(_xlfn.XLOOKUP($A42&amp;"|"&amp;$C42,Financials!$A$2:$A$201&amp;"|"&amp;Financials!$B$2:$B$201,Financials!$AD$2:$AD$201,"")&gt;=Scoring_Criteria!$E$10,4,IF(_xlfn.XLOOKUP($A42&amp;"|"&amp;$C42,Financials!$A$2:$A$201&amp;"|"&amp;Financials!$B$2:$B$201,Financials!$AD$2:$AD$201,"")&gt;=Scoring_Criteria!$F$10,3,IF(_xlfn.XLOOKUP($A42&amp;"|"&amp;$C42,Financials!$A$2:$A$201&amp;"|"&amp;Financials!$B$2:$B$201,Financials!$AD$2:$AD$201,"")&gt;=Scoring_Criteria!$G$10,2,1))))),"")</f>
        <v/>
      </c>
      <c r="AE42" s="27" t="n"/>
      <c r="AF42" s="27" t="n"/>
      <c r="AG42" s="28">
        <f>IFERROR(IF(COUNTA(X42:AF42)=0,"",AVERAGE(X42:AF42)),"")</f>
        <v/>
      </c>
      <c r="AH42" s="29" t="n"/>
      <c r="AI42" s="29" t="n"/>
      <c r="AJ42" s="29" t="n"/>
      <c r="AK42" s="29" t="n"/>
      <c r="AL42" s="29" t="n"/>
      <c r="AM42" s="29" t="n"/>
      <c r="AN42" s="29" t="n"/>
      <c r="AO42" s="29" t="n"/>
      <c r="AP42" s="29" t="n"/>
      <c r="AQ42" s="29" t="n"/>
      <c r="AR42" s="29" t="n"/>
      <c r="AS42" s="29" t="n"/>
      <c r="AT42" s="29" t="n"/>
      <c r="AU42">
        <f>IFERROR(Validation_Summary!Q5,"")</f>
        <v/>
      </c>
    </row>
    <row r="43" ht="15" customHeight="1" s="67">
      <c r="A43" s="6" t="inlineStr">
        <is>
          <t>PT Jhonlin Agro Raya Tbk</t>
        </is>
      </c>
      <c r="B43" s="19">
        <f t="array" ref="B43">IFERROR(_xlfn.XLOOKUP($A43&amp;"|"&amp;$C43,'Company_Master'!$A$2:$A$94&amp;"|"&amp;'Company_Master'!$D$2:$D$94,'Company_Master'!$B$2:$B$94,""),"")</f>
        <v/>
      </c>
      <c r="C43" s="98" t="n">
        <v>2024</v>
      </c>
      <c r="D43" s="19">
        <f t="array" ref="D43">IFERROR(_xlfn.XLOOKUP($A43&amp;"|"&amp;$C43,'Company_Master'!$A$2:$A$94&amp;"|"&amp;'Company_Master'!$D$2:$D$94,'Company_Master'!$H$2:$H$94,""),"")</f>
        <v/>
      </c>
      <c r="E43" s="98">
        <f t="array" ref="E43">IFERROR(_xlfn.XLOOKUP($A43&amp;"|"&amp;$C43,Asset_Operations!$A$2:$A$201&amp;"|"&amp;Asset_Operations!$BG$2:$BG$201,Asset_Operations!$B$2:$B$201,""),"")</f>
        <v/>
      </c>
      <c r="F43" s="98">
        <f t="array" ref="F43">IFERROR(_xlfn.XLOOKUP($A43&amp;"|"&amp;$C43,Asset_Operations!$A$2:$A$201&amp;"|"&amp;Asset_Operations!$BG$2:$BG$201,Asset_Operations!$E$2:$E$201,""),"")</f>
        <v/>
      </c>
      <c r="G43" s="98">
        <f t="array" ref="G43">IFERROR(_xlfn.XLOOKUP($A43&amp;"|"&amp;$C43,Asset_Operations!$A$2:$A$201&amp;"|"&amp;Asset_Operations!$BG$2:$BG$201,Asset_Operations!$I$2:$I$201,""),"")</f>
        <v/>
      </c>
      <c r="H43" s="98">
        <f t="array" ref="H43">IFERROR(_xlfn.XLOOKUP($A43&amp;"|"&amp;$C43,Asset_Operations!$A$2:$A$201&amp;"|"&amp;Asset_Operations!$BG$2:$BG$201,Asset_Operations!$J$2:$J$201,""),"")</f>
        <v/>
      </c>
      <c r="I43" s="98">
        <f t="array" ref="I43">IFERROR(_xlfn.XLOOKUP($A43&amp;"|"&amp;$C43,Asset_Operations!$A$2:$A$201&amp;"|"&amp;Asset_Operations!$BG$2:$BG$201,Asset_Operations!$O$2:$O$201,""),"")</f>
        <v/>
      </c>
      <c r="J43" s="98">
        <f t="array" ref="J43">IFERROR(_xlfn.XLOOKUP($A43&amp;"|"&amp;$C43,Asset_Operations!$A$2:$A$201&amp;"|"&amp;Asset_Operations!$BG$2:$BG$201,Asset_Operations!$S$2:$S$201,""),"")</f>
        <v/>
      </c>
      <c r="K43" s="98">
        <f t="array" ref="K43">IFERROR(_xlfn.XLOOKUP($A43&amp;"|"&amp;$C43,Asset_Operations!$A$2:$A$201&amp;"|"&amp;Asset_Operations!$BG$2:$BG$201,Asset_Operations!$AC$2:$AC$201,""),"")</f>
        <v/>
      </c>
      <c r="L43" s="98">
        <f t="array" ref="L43">IFERROR(_xlfn.XLOOKUP($A43&amp;"|"&amp;$C43,Asset_Operations!$A$2:$A$201&amp;"|"&amp;Asset_Operations!$BG$2:$BG$201,Asset_Operations!$AG$2:$AG$201,""),"")</f>
        <v/>
      </c>
      <c r="M43" s="98">
        <f t="array" ref="M43">IFERROR(_xlfn.XLOOKUP($A43&amp;"|"&amp;$C43,Asset_Operations!$A$2:$A$201&amp;"|"&amp;Asset_Operations!$BG$2:$BG$201,Asset_Operations!$AO$2:$AO$201,""),"")</f>
        <v/>
      </c>
      <c r="N43" s="99">
        <f t="array" ref="N43">IFERROR(_xlfn.XLOOKUP($A43&amp;"|"&amp;$C43,Asset_Operations!$A$2:$A$201&amp;"|"&amp;Asset_Operations!$BG$2:$BG$201,Asset_Operations!$AR$2:$AR$201,""),"")</f>
        <v/>
      </c>
      <c r="O43" s="100">
        <f t="array" ref="O43">IFERROR(_xlfn.XLOOKUP($A43&amp;"|"&amp;$C43,Financials!$A$2:$A$201&amp;"|"&amp;Financials!$B$2:$B$201,Financials!$C$2:$C$201,""),"")</f>
        <v/>
      </c>
      <c r="P43" s="100">
        <f t="array" ref="P43">IFERROR(_xlfn.XLOOKUP($A43&amp;"|"&amp;$C43,Financials!$A$2:$A$201&amp;"|"&amp;Financials!$B$2:$B$201,Financials!$E$2:$E$201,""),"")</f>
        <v/>
      </c>
      <c r="Q43" s="100">
        <f t="array" ref="Q43">IFERROR(_xlfn.XLOOKUP($A43&amp;"|"&amp;$C43,Financials!$A$2:$A$201&amp;"|"&amp;Financials!$B$2:$B$201,Financials!$G$2:$G$201,""),"")</f>
        <v/>
      </c>
      <c r="R43" s="100">
        <f t="array" ref="R43">IFERROR(_xlfn.XLOOKUP($A43&amp;"|"&amp;$C43,Financials!$A$2:$A$201&amp;"|"&amp;Financials!$B$2:$B$201,Financials!$S$2:$S$201,""),"")</f>
        <v/>
      </c>
      <c r="S43" s="100">
        <f t="array" ref="S43">IFERROR(_xlfn.XLOOKUP($A43&amp;"|"&amp;$C43,Financials!$A$2:$A$201&amp;"|"&amp;Financials!$B$2:$B$201,Financials!$AC$2:$AC$201,""),"")</f>
        <v/>
      </c>
      <c r="T43" s="101">
        <f>IFERROR(P43/O43,"")</f>
        <v/>
      </c>
      <c r="U43" s="24">
        <f>IFERROR(R43/P43,"")</f>
        <v/>
      </c>
      <c r="V43" s="102">
        <f>IFERROR(O43/E43,"")</f>
        <v/>
      </c>
      <c r="W43" s="24">
        <f>IFERROR(L43/F43,"")</f>
        <v/>
      </c>
      <c r="X43" s="26">
        <f>IFERROR(IF(NOT(ISNUMBER($E43)),"",IF($E43&gt;=Scoring_Criteria!$D$4,5,IF($E43&gt;=Scoring_Criteria!$E$4,4,IF($E43&gt;=Scoring_Criteria!$F$4,3,IF($E43&gt;=Scoring_Criteria!$G$4,2,1))))),"")</f>
        <v/>
      </c>
      <c r="Y43" s="26">
        <f>IFERROR(IF(OR(NOT(ISNUMBER($F43)),NOT(ISNUMBER($E43)),$E43=0),"",IF(($F43/$E43)&gt;=Scoring_Criteria!$D$5,5,IF(($F43/$E43)&gt;=Scoring_Criteria!$E$5,4,IF(($F43/$E43)&gt;=Scoring_Criteria!$F$5,3,IF(($F43/$E43)&gt;=Scoring_Criteria!$G$5,2,1))))),"")</f>
        <v/>
      </c>
      <c r="Z43" s="26">
        <f>IFERROR(IF(AND(NOT(ISNUMBER($I43)),NOT(ISNUMBER($J43))),"",IF((IFERROR($I43,0)+IFERROR($J43,0))&gt;=Scoring_Criteria!$D$6,5,IF((IFERROR($I43,0)+IFERROR($J43,0))&gt;=Scoring_Criteria!$E$6,4,IF((IFERROR($I43,0)+IFERROR($J43,0))&gt;=Scoring_Criteria!$F$6,3,IF((IFERROR($I43,0)+IFERROR($J43,0))&gt;=Scoring_Criteria!$G$6,2,1))))),"")</f>
        <v/>
      </c>
      <c r="AA43" s="26">
        <f>IFERROR(IF(NOT(ISNUMBER($M43)),"",IF($M43&gt;=Scoring_Criteria!$D$7,5,IF($M43&gt;=Scoring_Criteria!$E$7,4,IF($M43&gt;=Scoring_Criteria!$F$7,3,IF($M43&gt;=Scoring_Criteria!$G$7,2,1))))),"")</f>
        <v/>
      </c>
      <c r="AB43" s="26">
        <f>IFERROR(IF(NOT(ISNUMBER($T43)),"",IF($T43&gt;=Scoring_Criteria!$D$8,5,IF($T43&gt;=Scoring_Criteria!$E$8,4,IF($T43&gt;=Scoring_Criteria!$F$8,3,IF($T43&gt;=Scoring_Criteria!$G$8,2,1))))),"")</f>
        <v/>
      </c>
      <c r="AC43" s="26">
        <f>IFERROR(IF(NOT(ISNUMBER($U43)),"",IF($U43&lt;=Scoring_Criteria!$D$9,5,IF($U43&lt;=Scoring_Criteria!$E$9,4,IF($U43&lt;=Scoring_Criteria!$F$9,3,IF($U43&lt;=Scoring_Criteria!$G$9,2,1))))),"")</f>
        <v/>
      </c>
      <c r="AD43" s="26">
        <f t="array" ref="AD43">IFERROR(IF(NOT(ISNUMBER(_xlfn.XLOOKUP($A43&amp;"|"&amp;$C43,Financials!$A$2:$A$201&amp;"|"&amp;Financials!$B$2:$B$201,Financials!$AD$2:$AD$201,""))),"",IF(_xlfn.XLOOKUP($A43&amp;"|"&amp;$C43,Financials!$A$2:$A$201&amp;"|"&amp;Financials!$B$2:$B$201,Financials!$AD$2:$AD$201,"")&gt;=Scoring_Criteria!$D$10,5,IF(_xlfn.XLOOKUP($A43&amp;"|"&amp;$C43,Financials!$A$2:$A$201&amp;"|"&amp;Financials!$B$2:$B$201,Financials!$AD$2:$AD$201,"")&gt;=Scoring_Criteria!$E$10,4,IF(_xlfn.XLOOKUP($A43&amp;"|"&amp;$C43,Financials!$A$2:$A$201&amp;"|"&amp;Financials!$B$2:$B$201,Financials!$AD$2:$AD$201,"")&gt;=Scoring_Criteria!$F$10,3,IF(_xlfn.XLOOKUP($A43&amp;"|"&amp;$C43,Financials!$A$2:$A$201&amp;"|"&amp;Financials!$B$2:$B$201,Financials!$AD$2:$AD$201,"")&gt;=Scoring_Criteria!$G$10,2,1))))),"")</f>
        <v/>
      </c>
      <c r="AE43" s="27" t="n"/>
      <c r="AF43" s="27" t="n"/>
      <c r="AG43" s="28">
        <f>IFERROR(IF(COUNTA(X43:AF43)=0,"",AVERAGE(X43:AF43)),"")</f>
        <v/>
      </c>
      <c r="AH43" s="29" t="n"/>
      <c r="AI43" s="29" t="n"/>
      <c r="AJ43" s="29" t="n"/>
      <c r="AK43" s="29" t="n"/>
      <c r="AL43" s="29" t="n"/>
      <c r="AM43" s="29" t="n"/>
      <c r="AN43" s="29" t="n"/>
      <c r="AO43" s="29" t="n"/>
      <c r="AP43" s="29" t="n"/>
      <c r="AQ43" s="29" t="n"/>
      <c r="AR43" s="29" t="n"/>
      <c r="AS43" s="29" t="n"/>
      <c r="AT43" s="29" t="n"/>
      <c r="AU43">
        <f>IFERROR(Validation_Summary!Q5,"")</f>
        <v/>
      </c>
    </row>
    <row r="44" ht="15" customHeight="1" s="67">
      <c r="A44" s="6" t="inlineStr">
        <is>
          <t>PT Jaya Agra Wattie Tbk</t>
        </is>
      </c>
      <c r="B44" s="19">
        <f t="array" ref="B44">IFERROR(_xlfn.XLOOKUP($A44&amp;"|"&amp;$C44,'Company_Master'!$A$2:$A$94&amp;"|"&amp;'Company_Master'!$D$2:$D$94,'Company_Master'!$B$2:$B$94,""),"")</f>
        <v/>
      </c>
      <c r="C44" s="98" t="n">
        <v>2022</v>
      </c>
      <c r="D44" s="19">
        <f t="array" ref="D44">IFERROR(_xlfn.XLOOKUP($A44&amp;"|"&amp;$C44,'Company_Master'!$A$2:$A$94&amp;"|"&amp;'Company_Master'!$D$2:$D$94,'Company_Master'!$H$2:$H$94,""),"")</f>
        <v/>
      </c>
      <c r="E44" s="98">
        <f t="array" ref="E44">IFERROR(_xlfn.XLOOKUP($A44&amp;"|"&amp;$C44,Asset_Operations!$A$2:$A$201&amp;"|"&amp;Asset_Operations!$BG$2:$BG$201,Asset_Operations!$B$2:$B$201,""),"")</f>
        <v/>
      </c>
      <c r="F44" s="98">
        <f t="array" ref="F44">IFERROR(_xlfn.XLOOKUP($A44&amp;"|"&amp;$C44,Asset_Operations!$A$2:$A$201&amp;"|"&amp;Asset_Operations!$BG$2:$BG$201,Asset_Operations!$E$2:$E$201,""),"")</f>
        <v/>
      </c>
      <c r="G44" s="98">
        <f t="array" ref="G44">IFERROR(_xlfn.XLOOKUP($A44&amp;"|"&amp;$C44,Asset_Operations!$A$2:$A$201&amp;"|"&amp;Asset_Operations!$BG$2:$BG$201,Asset_Operations!$I$2:$I$201,""),"")</f>
        <v/>
      </c>
      <c r="H44" s="98">
        <f t="array" ref="H44">IFERROR(_xlfn.XLOOKUP($A44&amp;"|"&amp;$C44,Asset_Operations!$A$2:$A$201&amp;"|"&amp;Asset_Operations!$BG$2:$BG$201,Asset_Operations!$J$2:$J$201,""),"")</f>
        <v/>
      </c>
      <c r="I44" s="98">
        <f t="array" ref="I44">IFERROR(_xlfn.XLOOKUP($A44&amp;"|"&amp;$C44,Asset_Operations!$A$2:$A$201&amp;"|"&amp;Asset_Operations!$BG$2:$BG$201,Asset_Operations!$O$2:$O$201,""),"")</f>
        <v/>
      </c>
      <c r="J44" s="98">
        <f t="array" ref="J44">IFERROR(_xlfn.XLOOKUP($A44&amp;"|"&amp;$C44,Asset_Operations!$A$2:$A$201&amp;"|"&amp;Asset_Operations!$BG$2:$BG$201,Asset_Operations!$S$2:$S$201,""),"")</f>
        <v/>
      </c>
      <c r="K44" s="98">
        <f t="array" ref="K44">IFERROR(_xlfn.XLOOKUP($A44&amp;"|"&amp;$C44,Asset_Operations!$A$2:$A$201&amp;"|"&amp;Asset_Operations!$BG$2:$BG$201,Asset_Operations!$AC$2:$AC$201,""),"")</f>
        <v/>
      </c>
      <c r="L44" s="98">
        <f t="array" ref="L44">IFERROR(_xlfn.XLOOKUP($A44&amp;"|"&amp;$C44,Asset_Operations!$A$2:$A$201&amp;"|"&amp;Asset_Operations!$BG$2:$BG$201,Asset_Operations!$AG$2:$AG$201,""),"")</f>
        <v/>
      </c>
      <c r="M44" s="98">
        <f t="array" ref="M44">IFERROR(_xlfn.XLOOKUP($A44&amp;"|"&amp;$C44,Asset_Operations!$A$2:$A$201&amp;"|"&amp;Asset_Operations!$BG$2:$BG$201,Asset_Operations!$AO$2:$AO$201,""),"")</f>
        <v/>
      </c>
      <c r="N44" s="99">
        <f t="array" ref="N44">IFERROR(_xlfn.XLOOKUP($A44&amp;"|"&amp;$C44,Asset_Operations!$A$2:$A$201&amp;"|"&amp;Asset_Operations!$BG$2:$BG$201,Asset_Operations!$AR$2:$AR$201,""),"")</f>
        <v/>
      </c>
      <c r="O44" s="100">
        <f t="array" ref="O44">IFERROR(_xlfn.XLOOKUP($A44&amp;"|"&amp;$C44,Financials!$A$2:$A$201&amp;"|"&amp;Financials!$B$2:$B$201,Financials!$C$2:$C$201,""),"")</f>
        <v/>
      </c>
      <c r="P44" s="100">
        <f t="array" ref="P44">IFERROR(_xlfn.XLOOKUP($A44&amp;"|"&amp;$C44,Financials!$A$2:$A$201&amp;"|"&amp;Financials!$B$2:$B$201,Financials!$E$2:$E$201,""),"")</f>
        <v/>
      </c>
      <c r="Q44" s="100">
        <f t="array" ref="Q44">IFERROR(_xlfn.XLOOKUP($A44&amp;"|"&amp;$C44,Financials!$A$2:$A$201&amp;"|"&amp;Financials!$B$2:$B$201,Financials!$G$2:$G$201,""),"")</f>
        <v/>
      </c>
      <c r="R44" s="100">
        <f t="array" ref="R44">IFERROR(_xlfn.XLOOKUP($A44&amp;"|"&amp;$C44,Financials!$A$2:$A$201&amp;"|"&amp;Financials!$B$2:$B$201,Financials!$S$2:$S$201,""),"")</f>
        <v/>
      </c>
      <c r="S44" s="100">
        <f t="array" ref="S44">IFERROR(_xlfn.XLOOKUP($A44&amp;"|"&amp;$C44,Financials!$A$2:$A$201&amp;"|"&amp;Financials!$B$2:$B$201,Financials!$AC$2:$AC$201,""),"")</f>
        <v/>
      </c>
      <c r="T44" s="101">
        <f>IFERROR(P44/O44,"")</f>
        <v/>
      </c>
      <c r="U44" s="24">
        <f>IFERROR(R44/P44,"")</f>
        <v/>
      </c>
      <c r="V44" s="102">
        <f>IFERROR(O44/E44,"")</f>
        <v/>
      </c>
      <c r="W44" s="24">
        <f>IFERROR(L44/F44,"")</f>
        <v/>
      </c>
      <c r="X44" s="26">
        <f>IFERROR(IF(NOT(ISNUMBER($E44)),"",IF($E44&gt;=Scoring_Criteria!$D$4,5,IF($E44&gt;=Scoring_Criteria!$E$4,4,IF($E44&gt;=Scoring_Criteria!$F$4,3,IF($E44&gt;=Scoring_Criteria!$G$4,2,1))))),"")</f>
        <v/>
      </c>
      <c r="Y44" s="26">
        <f>IFERROR(IF(OR(NOT(ISNUMBER($F44)),NOT(ISNUMBER($E44)),$E44=0),"",IF(($F44/$E44)&gt;=Scoring_Criteria!$D$5,5,IF(($F44/$E44)&gt;=Scoring_Criteria!$E$5,4,IF(($F44/$E44)&gt;=Scoring_Criteria!$F$5,3,IF(($F44/$E44)&gt;=Scoring_Criteria!$G$5,2,1))))),"")</f>
        <v/>
      </c>
      <c r="Z44" s="26">
        <f>IFERROR(IF(AND(NOT(ISNUMBER($I44)),NOT(ISNUMBER($J44))),"",IF((IFERROR($I44,0)+IFERROR($J44,0))&gt;=Scoring_Criteria!$D$6,5,IF((IFERROR($I44,0)+IFERROR($J44,0))&gt;=Scoring_Criteria!$E$6,4,IF((IFERROR($I44,0)+IFERROR($J44,0))&gt;=Scoring_Criteria!$F$6,3,IF((IFERROR($I44,0)+IFERROR($J44,0))&gt;=Scoring_Criteria!$G$6,2,1))))),"")</f>
        <v/>
      </c>
      <c r="AA44" s="26">
        <f>IFERROR(IF(NOT(ISNUMBER($M44)),"",IF($M44&gt;=Scoring_Criteria!$D$7,5,IF($M44&gt;=Scoring_Criteria!$E$7,4,IF($M44&gt;=Scoring_Criteria!$F$7,3,IF($M44&gt;=Scoring_Criteria!$G$7,2,1))))),"")</f>
        <v/>
      </c>
      <c r="AB44" s="26">
        <f>IFERROR(IF(NOT(ISNUMBER($T44)),"",IF($T44&gt;=Scoring_Criteria!$D$8,5,IF($T44&gt;=Scoring_Criteria!$E$8,4,IF($T44&gt;=Scoring_Criteria!$F$8,3,IF($T44&gt;=Scoring_Criteria!$G$8,2,1))))),"")</f>
        <v/>
      </c>
      <c r="AC44" s="26">
        <f>IFERROR(IF(NOT(ISNUMBER($U44)),"",IF($U44&lt;=Scoring_Criteria!$D$9,5,IF($U44&lt;=Scoring_Criteria!$E$9,4,IF($U44&lt;=Scoring_Criteria!$F$9,3,IF($U44&lt;=Scoring_Criteria!$G$9,2,1))))),"")</f>
        <v/>
      </c>
      <c r="AD44" s="26">
        <f t="array" ref="AD44">IFERROR(IF(NOT(ISNUMBER(_xlfn.XLOOKUP($A44&amp;"|"&amp;$C44,Financials!$A$2:$A$201&amp;"|"&amp;Financials!$B$2:$B$201,Financials!$AD$2:$AD$201,""))),"",IF(_xlfn.XLOOKUP($A44&amp;"|"&amp;$C44,Financials!$A$2:$A$201&amp;"|"&amp;Financials!$B$2:$B$201,Financials!$AD$2:$AD$201,"")&gt;=Scoring_Criteria!$D$10,5,IF(_xlfn.XLOOKUP($A44&amp;"|"&amp;$C44,Financials!$A$2:$A$201&amp;"|"&amp;Financials!$B$2:$B$201,Financials!$AD$2:$AD$201,"")&gt;=Scoring_Criteria!$E$10,4,IF(_xlfn.XLOOKUP($A44&amp;"|"&amp;$C44,Financials!$A$2:$A$201&amp;"|"&amp;Financials!$B$2:$B$201,Financials!$AD$2:$AD$201,"")&gt;=Scoring_Criteria!$F$10,3,IF(_xlfn.XLOOKUP($A44&amp;"|"&amp;$C44,Financials!$A$2:$A$201&amp;"|"&amp;Financials!$B$2:$B$201,Financials!$AD$2:$AD$201,"")&gt;=Scoring_Criteria!$G$10,2,1))))),"")</f>
        <v/>
      </c>
      <c r="AE44" s="27" t="n"/>
      <c r="AF44" s="27" t="n"/>
      <c r="AG44" s="28">
        <f>IFERROR(IF(COUNTA(X44:AF44)=0,"",AVERAGE(X44:AF44)),"")</f>
        <v/>
      </c>
      <c r="AH44" s="29" t="n"/>
      <c r="AI44" s="29" t="n"/>
      <c r="AJ44" s="29" t="n"/>
      <c r="AK44" s="29" t="n"/>
      <c r="AL44" s="29" t="n"/>
      <c r="AM44" s="29" t="n"/>
      <c r="AN44" s="29" t="n"/>
      <c r="AO44" s="29" t="n"/>
      <c r="AP44" s="29" t="n"/>
      <c r="AQ44" s="29" t="n"/>
      <c r="AR44" s="29" t="n"/>
      <c r="AS44" s="29" t="n"/>
      <c r="AT44" s="29" t="n"/>
      <c r="AU44">
        <f>IFERROR(Validation_Summary!Q5,"")</f>
        <v/>
      </c>
    </row>
    <row r="45" ht="15" customHeight="1" s="67">
      <c r="A45" s="6" t="inlineStr">
        <is>
          <t>PT Jaya Agra Wattie Tbk</t>
        </is>
      </c>
      <c r="B45" s="19">
        <f t="array" ref="B45">IFERROR(_xlfn.XLOOKUP($A45&amp;"|"&amp;$C45,'Company_Master'!$A$2:$A$94&amp;"|"&amp;'Company_Master'!$D$2:$D$94,'Company_Master'!$B$2:$B$94,""),"")</f>
        <v/>
      </c>
      <c r="C45" s="98" t="n">
        <v>2023</v>
      </c>
      <c r="D45" s="19">
        <f t="array" ref="D45">IFERROR(_xlfn.XLOOKUP($A45&amp;"|"&amp;$C45,'Company_Master'!$A$2:$A$94&amp;"|"&amp;'Company_Master'!$D$2:$D$94,'Company_Master'!$H$2:$H$94,""),"")</f>
        <v/>
      </c>
      <c r="E45" s="98">
        <f t="array" ref="E45">IFERROR(_xlfn.XLOOKUP($A45&amp;"|"&amp;$C45,Asset_Operations!$A$2:$A$201&amp;"|"&amp;Asset_Operations!$BG$2:$BG$201,Asset_Operations!$B$2:$B$201,""),"")</f>
        <v/>
      </c>
      <c r="F45" s="98">
        <f t="array" ref="F45">IFERROR(_xlfn.XLOOKUP($A45&amp;"|"&amp;$C45,Asset_Operations!$A$2:$A$201&amp;"|"&amp;Asset_Operations!$BG$2:$BG$201,Asset_Operations!$E$2:$E$201,""),"")</f>
        <v/>
      </c>
      <c r="G45" s="98">
        <f t="array" ref="G45">IFERROR(_xlfn.XLOOKUP($A45&amp;"|"&amp;$C45,Asset_Operations!$A$2:$A$201&amp;"|"&amp;Asset_Operations!$BG$2:$BG$201,Asset_Operations!$I$2:$I$201,""),"")</f>
        <v/>
      </c>
      <c r="H45" s="98">
        <f t="array" ref="H45">IFERROR(_xlfn.XLOOKUP($A45&amp;"|"&amp;$C45,Asset_Operations!$A$2:$A$201&amp;"|"&amp;Asset_Operations!$BG$2:$BG$201,Asset_Operations!$J$2:$J$201,""),"")</f>
        <v/>
      </c>
      <c r="I45" s="98">
        <f t="array" ref="I45">IFERROR(_xlfn.XLOOKUP($A45&amp;"|"&amp;$C45,Asset_Operations!$A$2:$A$201&amp;"|"&amp;Asset_Operations!$BG$2:$BG$201,Asset_Operations!$O$2:$O$201,""),"")</f>
        <v/>
      </c>
      <c r="J45" s="98">
        <f t="array" ref="J45">IFERROR(_xlfn.XLOOKUP($A45&amp;"|"&amp;$C45,Asset_Operations!$A$2:$A$201&amp;"|"&amp;Asset_Operations!$BG$2:$BG$201,Asset_Operations!$S$2:$S$201,""),"")</f>
        <v/>
      </c>
      <c r="K45" s="98">
        <f t="array" ref="K45">IFERROR(_xlfn.XLOOKUP($A45&amp;"|"&amp;$C45,Asset_Operations!$A$2:$A$201&amp;"|"&amp;Asset_Operations!$BG$2:$BG$201,Asset_Operations!$AC$2:$AC$201,""),"")</f>
        <v/>
      </c>
      <c r="L45" s="98">
        <f t="array" ref="L45">IFERROR(_xlfn.XLOOKUP($A45&amp;"|"&amp;$C45,Asset_Operations!$A$2:$A$201&amp;"|"&amp;Asset_Operations!$BG$2:$BG$201,Asset_Operations!$AG$2:$AG$201,""),"")</f>
        <v/>
      </c>
      <c r="M45" s="98">
        <f t="array" ref="M45">IFERROR(_xlfn.XLOOKUP($A45&amp;"|"&amp;$C45,Asset_Operations!$A$2:$A$201&amp;"|"&amp;Asset_Operations!$BG$2:$BG$201,Asset_Operations!$AO$2:$AO$201,""),"")</f>
        <v/>
      </c>
      <c r="N45" s="99">
        <f t="array" ref="N45">IFERROR(_xlfn.XLOOKUP($A45&amp;"|"&amp;$C45,Asset_Operations!$A$2:$A$201&amp;"|"&amp;Asset_Operations!$BG$2:$BG$201,Asset_Operations!$AR$2:$AR$201,""),"")</f>
        <v/>
      </c>
      <c r="O45" s="100">
        <f t="array" ref="O45">IFERROR(_xlfn.XLOOKUP($A45&amp;"|"&amp;$C45,Financials!$A$2:$A$201&amp;"|"&amp;Financials!$B$2:$B$201,Financials!$C$2:$C$201,""),"")</f>
        <v/>
      </c>
      <c r="P45" s="100">
        <f t="array" ref="P45">IFERROR(_xlfn.XLOOKUP($A45&amp;"|"&amp;$C45,Financials!$A$2:$A$201&amp;"|"&amp;Financials!$B$2:$B$201,Financials!$E$2:$E$201,""),"")</f>
        <v/>
      </c>
      <c r="Q45" s="100">
        <f t="array" ref="Q45">IFERROR(_xlfn.XLOOKUP($A45&amp;"|"&amp;$C45,Financials!$A$2:$A$201&amp;"|"&amp;Financials!$B$2:$B$201,Financials!$G$2:$G$201,""),"")</f>
        <v/>
      </c>
      <c r="R45" s="100">
        <f t="array" ref="R45">IFERROR(_xlfn.XLOOKUP($A45&amp;"|"&amp;$C45,Financials!$A$2:$A$201&amp;"|"&amp;Financials!$B$2:$B$201,Financials!$S$2:$S$201,""),"")</f>
        <v/>
      </c>
      <c r="S45" s="100">
        <f t="array" ref="S45">IFERROR(_xlfn.XLOOKUP($A45&amp;"|"&amp;$C45,Financials!$A$2:$A$201&amp;"|"&amp;Financials!$B$2:$B$201,Financials!$AC$2:$AC$201,""),"")</f>
        <v/>
      </c>
      <c r="T45" s="101">
        <f>IFERROR(P45/O45,"")</f>
        <v/>
      </c>
      <c r="U45" s="24">
        <f>IFERROR(R45/P45,"")</f>
        <v/>
      </c>
      <c r="V45" s="102">
        <f>IFERROR(O45/E45,"")</f>
        <v/>
      </c>
      <c r="W45" s="24">
        <f>IFERROR(L45/F45,"")</f>
        <v/>
      </c>
      <c r="X45" s="26">
        <f>IFERROR(IF(NOT(ISNUMBER($E45)),"",IF($E45&gt;=Scoring_Criteria!$D$4,5,IF($E45&gt;=Scoring_Criteria!$E$4,4,IF($E45&gt;=Scoring_Criteria!$F$4,3,IF($E45&gt;=Scoring_Criteria!$G$4,2,1))))),"")</f>
        <v/>
      </c>
      <c r="Y45" s="26">
        <f>IFERROR(IF(OR(NOT(ISNUMBER($F45)),NOT(ISNUMBER($E45)),$E45=0),"",IF(($F45/$E45)&gt;=Scoring_Criteria!$D$5,5,IF(($F45/$E45)&gt;=Scoring_Criteria!$E$5,4,IF(($F45/$E45)&gt;=Scoring_Criteria!$F$5,3,IF(($F45/$E45)&gt;=Scoring_Criteria!$G$5,2,1))))),"")</f>
        <v/>
      </c>
      <c r="Z45" s="26">
        <f>IFERROR(IF(AND(NOT(ISNUMBER($I45)),NOT(ISNUMBER($J45))),"",IF((IFERROR($I45,0)+IFERROR($J45,0))&gt;=Scoring_Criteria!$D$6,5,IF((IFERROR($I45,0)+IFERROR($J45,0))&gt;=Scoring_Criteria!$E$6,4,IF((IFERROR($I45,0)+IFERROR($J45,0))&gt;=Scoring_Criteria!$F$6,3,IF((IFERROR($I45,0)+IFERROR($J45,0))&gt;=Scoring_Criteria!$G$6,2,1))))),"")</f>
        <v/>
      </c>
      <c r="AA45" s="26">
        <f>IFERROR(IF(NOT(ISNUMBER($M45)),"",IF($M45&gt;=Scoring_Criteria!$D$7,5,IF($M45&gt;=Scoring_Criteria!$E$7,4,IF($M45&gt;=Scoring_Criteria!$F$7,3,IF($M45&gt;=Scoring_Criteria!$G$7,2,1))))),"")</f>
        <v/>
      </c>
      <c r="AB45" s="26">
        <f>IFERROR(IF(NOT(ISNUMBER($T45)),"",IF($T45&gt;=Scoring_Criteria!$D$8,5,IF($T45&gt;=Scoring_Criteria!$E$8,4,IF($T45&gt;=Scoring_Criteria!$F$8,3,IF($T45&gt;=Scoring_Criteria!$G$8,2,1))))),"")</f>
        <v/>
      </c>
      <c r="AC45" s="26">
        <f>IFERROR(IF(NOT(ISNUMBER($U45)),"",IF($U45&lt;=Scoring_Criteria!$D$9,5,IF($U45&lt;=Scoring_Criteria!$E$9,4,IF($U45&lt;=Scoring_Criteria!$F$9,3,IF($U45&lt;=Scoring_Criteria!$G$9,2,1))))),"")</f>
        <v/>
      </c>
      <c r="AD45" s="26">
        <f t="array" ref="AD45">IFERROR(IF(NOT(ISNUMBER(_xlfn.XLOOKUP($A45&amp;"|"&amp;$C45,Financials!$A$2:$A$201&amp;"|"&amp;Financials!$B$2:$B$201,Financials!$AD$2:$AD$201,""))),"",IF(_xlfn.XLOOKUP($A45&amp;"|"&amp;$C45,Financials!$A$2:$A$201&amp;"|"&amp;Financials!$B$2:$B$201,Financials!$AD$2:$AD$201,"")&gt;=Scoring_Criteria!$D$10,5,IF(_xlfn.XLOOKUP($A45&amp;"|"&amp;$C45,Financials!$A$2:$A$201&amp;"|"&amp;Financials!$B$2:$B$201,Financials!$AD$2:$AD$201,"")&gt;=Scoring_Criteria!$E$10,4,IF(_xlfn.XLOOKUP($A45&amp;"|"&amp;$C45,Financials!$A$2:$A$201&amp;"|"&amp;Financials!$B$2:$B$201,Financials!$AD$2:$AD$201,"")&gt;=Scoring_Criteria!$F$10,3,IF(_xlfn.XLOOKUP($A45&amp;"|"&amp;$C45,Financials!$A$2:$A$201&amp;"|"&amp;Financials!$B$2:$B$201,Financials!$AD$2:$AD$201,"")&gt;=Scoring_Criteria!$G$10,2,1))))),"")</f>
        <v/>
      </c>
      <c r="AE45" s="27" t="n"/>
      <c r="AF45" s="27" t="n"/>
      <c r="AG45" s="28">
        <f>IFERROR(IF(COUNTA(X45:AF45)=0,"",AVERAGE(X45:AF45)),"")</f>
        <v/>
      </c>
      <c r="AH45" s="29" t="n"/>
      <c r="AI45" s="29" t="n"/>
      <c r="AJ45" s="29" t="n"/>
      <c r="AK45" s="29" t="n"/>
      <c r="AL45" s="29" t="n"/>
      <c r="AM45" s="29" t="n"/>
      <c r="AN45" s="29" t="n"/>
      <c r="AO45" s="29" t="n"/>
      <c r="AP45" s="29" t="n"/>
      <c r="AQ45" s="29" t="n"/>
      <c r="AR45" s="29" t="n"/>
      <c r="AS45" s="29" t="n"/>
      <c r="AT45" s="29" t="n"/>
      <c r="AU45">
        <f>IFERROR(Validation_Summary!Q5,"")</f>
        <v/>
      </c>
    </row>
    <row r="46" ht="15" customHeight="1" s="67">
      <c r="A46" s="6" t="inlineStr">
        <is>
          <t>PT Jaya Agra Wattie Tbk</t>
        </is>
      </c>
      <c r="B46" s="19">
        <f t="array" ref="B46">IFERROR(_xlfn.XLOOKUP($A46&amp;"|"&amp;$C46,'Company_Master'!$A$2:$A$94&amp;"|"&amp;'Company_Master'!$D$2:$D$94,'Company_Master'!$B$2:$B$94,""),"")</f>
        <v/>
      </c>
      <c r="C46" s="98" t="n">
        <v>2024</v>
      </c>
      <c r="D46" s="19">
        <f t="array" ref="D46">IFERROR(_xlfn.XLOOKUP($A46&amp;"|"&amp;$C46,'Company_Master'!$A$2:$A$94&amp;"|"&amp;'Company_Master'!$D$2:$D$94,'Company_Master'!$H$2:$H$94,""),"")</f>
        <v/>
      </c>
      <c r="E46" s="98">
        <f t="array" ref="E46">IFERROR(_xlfn.XLOOKUP($A46&amp;"|"&amp;$C46,Asset_Operations!$A$2:$A$201&amp;"|"&amp;Asset_Operations!$BG$2:$BG$201,Asset_Operations!$B$2:$B$201,""),"")</f>
        <v/>
      </c>
      <c r="F46" s="98">
        <f t="array" ref="F46">IFERROR(_xlfn.XLOOKUP($A46&amp;"|"&amp;$C46,Asset_Operations!$A$2:$A$201&amp;"|"&amp;Asset_Operations!$BG$2:$BG$201,Asset_Operations!$E$2:$E$201,""),"")</f>
        <v/>
      </c>
      <c r="G46" s="98">
        <f t="array" ref="G46">IFERROR(_xlfn.XLOOKUP($A46&amp;"|"&amp;$C46,Asset_Operations!$A$2:$A$201&amp;"|"&amp;Asset_Operations!$BG$2:$BG$201,Asset_Operations!$I$2:$I$201,""),"")</f>
        <v/>
      </c>
      <c r="H46" s="98">
        <f t="array" ref="H46">IFERROR(_xlfn.XLOOKUP($A46&amp;"|"&amp;$C46,Asset_Operations!$A$2:$A$201&amp;"|"&amp;Asset_Operations!$BG$2:$BG$201,Asset_Operations!$J$2:$J$201,""),"")</f>
        <v/>
      </c>
      <c r="I46" s="98">
        <f t="array" ref="I46">IFERROR(_xlfn.XLOOKUP($A46&amp;"|"&amp;$C46,Asset_Operations!$A$2:$A$201&amp;"|"&amp;Asset_Operations!$BG$2:$BG$201,Asset_Operations!$O$2:$O$201,""),"")</f>
        <v/>
      </c>
      <c r="J46" s="98">
        <f t="array" ref="J46">IFERROR(_xlfn.XLOOKUP($A46&amp;"|"&amp;$C46,Asset_Operations!$A$2:$A$201&amp;"|"&amp;Asset_Operations!$BG$2:$BG$201,Asset_Operations!$S$2:$S$201,""),"")</f>
        <v/>
      </c>
      <c r="K46" s="98">
        <f t="array" ref="K46">IFERROR(_xlfn.XLOOKUP($A46&amp;"|"&amp;$C46,Asset_Operations!$A$2:$A$201&amp;"|"&amp;Asset_Operations!$BG$2:$BG$201,Asset_Operations!$AC$2:$AC$201,""),"")</f>
        <v/>
      </c>
      <c r="L46" s="98">
        <f t="array" ref="L46">IFERROR(_xlfn.XLOOKUP($A46&amp;"|"&amp;$C46,Asset_Operations!$A$2:$A$201&amp;"|"&amp;Asset_Operations!$BG$2:$BG$201,Asset_Operations!$AG$2:$AG$201,""),"")</f>
        <v/>
      </c>
      <c r="M46" s="98">
        <f t="array" ref="M46">IFERROR(_xlfn.XLOOKUP($A46&amp;"|"&amp;$C46,Asset_Operations!$A$2:$A$201&amp;"|"&amp;Asset_Operations!$BG$2:$BG$201,Asset_Operations!$AO$2:$AO$201,""),"")</f>
        <v/>
      </c>
      <c r="N46" s="99">
        <f t="array" ref="N46">IFERROR(_xlfn.XLOOKUP($A46&amp;"|"&amp;$C46,Asset_Operations!$A$2:$A$201&amp;"|"&amp;Asset_Operations!$BG$2:$BG$201,Asset_Operations!$AR$2:$AR$201,""),"")</f>
        <v/>
      </c>
      <c r="O46" s="100">
        <f t="array" ref="O46">IFERROR(_xlfn.XLOOKUP($A46&amp;"|"&amp;$C46,Financials!$A$2:$A$201&amp;"|"&amp;Financials!$B$2:$B$201,Financials!$C$2:$C$201,""),"")</f>
        <v/>
      </c>
      <c r="P46" s="100">
        <f t="array" ref="P46">IFERROR(_xlfn.XLOOKUP($A46&amp;"|"&amp;$C46,Financials!$A$2:$A$201&amp;"|"&amp;Financials!$B$2:$B$201,Financials!$E$2:$E$201,""),"")</f>
        <v/>
      </c>
      <c r="Q46" s="100">
        <f t="array" ref="Q46">IFERROR(_xlfn.XLOOKUP($A46&amp;"|"&amp;$C46,Financials!$A$2:$A$201&amp;"|"&amp;Financials!$B$2:$B$201,Financials!$G$2:$G$201,""),"")</f>
        <v/>
      </c>
      <c r="R46" s="100">
        <f t="array" ref="R46">IFERROR(_xlfn.XLOOKUP($A46&amp;"|"&amp;$C46,Financials!$A$2:$A$201&amp;"|"&amp;Financials!$B$2:$B$201,Financials!$S$2:$S$201,""),"")</f>
        <v/>
      </c>
      <c r="S46" s="100">
        <f t="array" ref="S46">IFERROR(_xlfn.XLOOKUP($A46&amp;"|"&amp;$C46,Financials!$A$2:$A$201&amp;"|"&amp;Financials!$B$2:$B$201,Financials!$AC$2:$AC$201,""),"")</f>
        <v/>
      </c>
      <c r="T46" s="101">
        <f>IFERROR(P46/O46,"")</f>
        <v/>
      </c>
      <c r="U46" s="24">
        <f>IFERROR(R46/P46,"")</f>
        <v/>
      </c>
      <c r="V46" s="102">
        <f>IFERROR(O46/E46,"")</f>
        <v/>
      </c>
      <c r="W46" s="24">
        <f>IFERROR(L46/F46,"")</f>
        <v/>
      </c>
      <c r="X46" s="26">
        <f>IFERROR(IF(NOT(ISNUMBER($E46)),"",IF($E46&gt;=Scoring_Criteria!$D$4,5,IF($E46&gt;=Scoring_Criteria!$E$4,4,IF($E46&gt;=Scoring_Criteria!$F$4,3,IF($E46&gt;=Scoring_Criteria!$G$4,2,1))))),"")</f>
        <v/>
      </c>
      <c r="Y46" s="26">
        <f>IFERROR(IF(OR(NOT(ISNUMBER($F46)),NOT(ISNUMBER($E46)),$E46=0),"",IF(($F46/$E46)&gt;=Scoring_Criteria!$D$5,5,IF(($F46/$E46)&gt;=Scoring_Criteria!$E$5,4,IF(($F46/$E46)&gt;=Scoring_Criteria!$F$5,3,IF(($F46/$E46)&gt;=Scoring_Criteria!$G$5,2,1))))),"")</f>
        <v/>
      </c>
      <c r="Z46" s="26">
        <f>IFERROR(IF(AND(NOT(ISNUMBER($I46)),NOT(ISNUMBER($J46))),"",IF((IFERROR($I46,0)+IFERROR($J46,0))&gt;=Scoring_Criteria!$D$6,5,IF((IFERROR($I46,0)+IFERROR($J46,0))&gt;=Scoring_Criteria!$E$6,4,IF((IFERROR($I46,0)+IFERROR($J46,0))&gt;=Scoring_Criteria!$F$6,3,IF((IFERROR($I46,0)+IFERROR($J46,0))&gt;=Scoring_Criteria!$G$6,2,1))))),"")</f>
        <v/>
      </c>
      <c r="AA46" s="26">
        <f>IFERROR(IF(NOT(ISNUMBER($M46)),"",IF($M46&gt;=Scoring_Criteria!$D$7,5,IF($M46&gt;=Scoring_Criteria!$E$7,4,IF($M46&gt;=Scoring_Criteria!$F$7,3,IF($M46&gt;=Scoring_Criteria!$G$7,2,1))))),"")</f>
        <v/>
      </c>
      <c r="AB46" s="26">
        <f>IFERROR(IF(NOT(ISNUMBER($T46)),"",IF($T46&gt;=Scoring_Criteria!$D$8,5,IF($T46&gt;=Scoring_Criteria!$E$8,4,IF($T46&gt;=Scoring_Criteria!$F$8,3,IF($T46&gt;=Scoring_Criteria!$G$8,2,1))))),"")</f>
        <v/>
      </c>
      <c r="AC46" s="26">
        <f>IFERROR(IF(NOT(ISNUMBER($U46)),"",IF($U46&lt;=Scoring_Criteria!$D$9,5,IF($U46&lt;=Scoring_Criteria!$E$9,4,IF($U46&lt;=Scoring_Criteria!$F$9,3,IF($U46&lt;=Scoring_Criteria!$G$9,2,1))))),"")</f>
        <v/>
      </c>
      <c r="AD46" s="26">
        <f t="array" ref="AD46">IFERROR(IF(NOT(ISNUMBER(_xlfn.XLOOKUP($A46&amp;"|"&amp;$C46,Financials!$A$2:$A$201&amp;"|"&amp;Financials!$B$2:$B$201,Financials!$AD$2:$AD$201,""))),"",IF(_xlfn.XLOOKUP($A46&amp;"|"&amp;$C46,Financials!$A$2:$A$201&amp;"|"&amp;Financials!$B$2:$B$201,Financials!$AD$2:$AD$201,"")&gt;=Scoring_Criteria!$D$10,5,IF(_xlfn.XLOOKUP($A46&amp;"|"&amp;$C46,Financials!$A$2:$A$201&amp;"|"&amp;Financials!$B$2:$B$201,Financials!$AD$2:$AD$201,"")&gt;=Scoring_Criteria!$E$10,4,IF(_xlfn.XLOOKUP($A46&amp;"|"&amp;$C46,Financials!$A$2:$A$201&amp;"|"&amp;Financials!$B$2:$B$201,Financials!$AD$2:$AD$201,"")&gt;=Scoring_Criteria!$F$10,3,IF(_xlfn.XLOOKUP($A46&amp;"|"&amp;$C46,Financials!$A$2:$A$201&amp;"|"&amp;Financials!$B$2:$B$201,Financials!$AD$2:$AD$201,"")&gt;=Scoring_Criteria!$G$10,2,1))))),"")</f>
        <v/>
      </c>
      <c r="AE46" s="27" t="n"/>
      <c r="AF46" s="27" t="n"/>
      <c r="AG46" s="28">
        <f>IFERROR(IF(COUNTA(X46:AF46)=0,"",AVERAGE(X46:AF46)),"")</f>
        <v/>
      </c>
      <c r="AH46" s="29" t="n"/>
      <c r="AI46" s="29" t="n"/>
      <c r="AJ46" s="29" t="n"/>
      <c r="AK46" s="29" t="n"/>
      <c r="AL46" s="29" t="n"/>
      <c r="AM46" s="29" t="n"/>
      <c r="AN46" s="29" t="n"/>
      <c r="AO46" s="29" t="n"/>
      <c r="AP46" s="29" t="n"/>
      <c r="AQ46" s="29" t="n"/>
      <c r="AR46" s="29" t="n"/>
      <c r="AS46" s="29" t="n"/>
      <c r="AT46" s="29" t="n"/>
      <c r="AU46">
        <f>IFERROR(Validation_Summary!Q5,"")</f>
        <v/>
      </c>
    </row>
    <row r="47" ht="15" customHeight="1" s="67">
      <c r="A47" s="6" t="inlineStr">
        <is>
          <t>PT Perusahaan Perkebunan London Sumatra Indonesia Tbk</t>
        </is>
      </c>
      <c r="B47" s="19">
        <f t="array" ref="B47">IFERROR(_xlfn.XLOOKUP($A47&amp;"|"&amp;$C47,'Company_Master'!$A$2:$A$94&amp;"|"&amp;'Company_Master'!$D$2:$D$94,'Company_Master'!$B$2:$B$94,""),"")</f>
        <v/>
      </c>
      <c r="C47" s="98" t="n">
        <v>2022</v>
      </c>
      <c r="D47" s="19">
        <f t="array" ref="D47">IFERROR(_xlfn.XLOOKUP($A47&amp;"|"&amp;$C47,'Company_Master'!$A$2:$A$94&amp;"|"&amp;'Company_Master'!$D$2:$D$94,'Company_Master'!$H$2:$H$94,""),"")</f>
        <v/>
      </c>
      <c r="E47" s="98">
        <f t="array" ref="E47">IFERROR(_xlfn.XLOOKUP($A47&amp;"|"&amp;$C47,Asset_Operations!$A$2:$A$201&amp;"|"&amp;Asset_Operations!$BG$2:$BG$201,Asset_Operations!$B$2:$B$201,""),"")</f>
        <v/>
      </c>
      <c r="F47" s="98">
        <f t="array" ref="F47">IFERROR(_xlfn.XLOOKUP($A47&amp;"|"&amp;$C47,Asset_Operations!$A$2:$A$201&amp;"|"&amp;Asset_Operations!$BG$2:$BG$201,Asset_Operations!$E$2:$E$201,""),"")</f>
        <v/>
      </c>
      <c r="G47" s="98">
        <f t="array" ref="G47">IFERROR(_xlfn.XLOOKUP($A47&amp;"|"&amp;$C47,Asset_Operations!$A$2:$A$201&amp;"|"&amp;Asset_Operations!$BG$2:$BG$201,Asset_Operations!$I$2:$I$201,""),"")</f>
        <v/>
      </c>
      <c r="H47" s="98">
        <f t="array" ref="H47">IFERROR(_xlfn.XLOOKUP($A47&amp;"|"&amp;$C47,Asset_Operations!$A$2:$A$201&amp;"|"&amp;Asset_Operations!$BG$2:$BG$201,Asset_Operations!$J$2:$J$201,""),"")</f>
        <v/>
      </c>
      <c r="I47" s="98">
        <f t="array" ref="I47">IFERROR(_xlfn.XLOOKUP($A47&amp;"|"&amp;$C47,Asset_Operations!$A$2:$A$201&amp;"|"&amp;Asset_Operations!$BG$2:$BG$201,Asset_Operations!$O$2:$O$201,""),"")</f>
        <v/>
      </c>
      <c r="J47" s="98">
        <f t="array" ref="J47">IFERROR(_xlfn.XLOOKUP($A47&amp;"|"&amp;$C47,Asset_Operations!$A$2:$A$201&amp;"|"&amp;Asset_Operations!$BG$2:$BG$201,Asset_Operations!$S$2:$S$201,""),"")</f>
        <v/>
      </c>
      <c r="K47" s="98">
        <f t="array" ref="K47">IFERROR(_xlfn.XLOOKUP($A47&amp;"|"&amp;$C47,Asset_Operations!$A$2:$A$201&amp;"|"&amp;Asset_Operations!$BG$2:$BG$201,Asset_Operations!$AC$2:$AC$201,""),"")</f>
        <v/>
      </c>
      <c r="L47" s="98">
        <f t="array" ref="L47">IFERROR(_xlfn.XLOOKUP($A47&amp;"|"&amp;$C47,Asset_Operations!$A$2:$A$201&amp;"|"&amp;Asset_Operations!$BG$2:$BG$201,Asset_Operations!$AG$2:$AG$201,""),"")</f>
        <v/>
      </c>
      <c r="M47" s="98">
        <f t="array" ref="M47">IFERROR(_xlfn.XLOOKUP($A47&amp;"|"&amp;$C47,Asset_Operations!$A$2:$A$201&amp;"|"&amp;Asset_Operations!$BG$2:$BG$201,Asset_Operations!$AO$2:$AO$201,""),"")</f>
        <v/>
      </c>
      <c r="N47" s="99">
        <f t="array" ref="N47">IFERROR(_xlfn.XLOOKUP($A47&amp;"|"&amp;$C47,Asset_Operations!$A$2:$A$201&amp;"|"&amp;Asset_Operations!$BG$2:$BG$201,Asset_Operations!$AR$2:$AR$201,""),"")</f>
        <v/>
      </c>
      <c r="O47" s="100">
        <f t="array" ref="O47">IFERROR(_xlfn.XLOOKUP($A47&amp;"|"&amp;$C47,Financials!$A$2:$A$201&amp;"|"&amp;Financials!$B$2:$B$201,Financials!$C$2:$C$201,""),"")</f>
        <v/>
      </c>
      <c r="P47" s="100">
        <f t="array" ref="P47">IFERROR(_xlfn.XLOOKUP($A47&amp;"|"&amp;$C47,Financials!$A$2:$A$201&amp;"|"&amp;Financials!$B$2:$B$201,Financials!$E$2:$E$201,""),"")</f>
        <v/>
      </c>
      <c r="Q47" s="100">
        <f t="array" ref="Q47">IFERROR(_xlfn.XLOOKUP($A47&amp;"|"&amp;$C47,Financials!$A$2:$A$201&amp;"|"&amp;Financials!$B$2:$B$201,Financials!$G$2:$G$201,""),"")</f>
        <v/>
      </c>
      <c r="R47" s="100">
        <f t="array" ref="R47">IFERROR(_xlfn.XLOOKUP($A47&amp;"|"&amp;$C47,Financials!$A$2:$A$201&amp;"|"&amp;Financials!$B$2:$B$201,Financials!$S$2:$S$201,""),"")</f>
        <v/>
      </c>
      <c r="S47" s="100">
        <f t="array" ref="S47">IFERROR(_xlfn.XLOOKUP($A47&amp;"|"&amp;$C47,Financials!$A$2:$A$201&amp;"|"&amp;Financials!$B$2:$B$201,Financials!$AC$2:$AC$201,""),"")</f>
        <v/>
      </c>
      <c r="T47" s="101">
        <f>IFERROR(P47/O47,"")</f>
        <v/>
      </c>
      <c r="U47" s="24">
        <f>IFERROR(R47/P47,"")</f>
        <v/>
      </c>
      <c r="V47" s="102">
        <f>IFERROR(O47/E47,"")</f>
        <v/>
      </c>
      <c r="W47" s="24">
        <f>IFERROR(L47/F47,"")</f>
        <v/>
      </c>
      <c r="X47" s="26">
        <f>IFERROR(IF(NOT(ISNUMBER($E47)),"",IF($E47&gt;=Scoring_Criteria!$D$4,5,IF($E47&gt;=Scoring_Criteria!$E$4,4,IF($E47&gt;=Scoring_Criteria!$F$4,3,IF($E47&gt;=Scoring_Criteria!$G$4,2,1))))),"")</f>
        <v/>
      </c>
      <c r="Y47" s="26">
        <f>IFERROR(IF(OR(NOT(ISNUMBER($F47)),NOT(ISNUMBER($E47)),$E47=0),"",IF(($F47/$E47)&gt;=Scoring_Criteria!$D$5,5,IF(($F47/$E47)&gt;=Scoring_Criteria!$E$5,4,IF(($F47/$E47)&gt;=Scoring_Criteria!$F$5,3,IF(($F47/$E47)&gt;=Scoring_Criteria!$G$5,2,1))))),"")</f>
        <v/>
      </c>
      <c r="Z47" s="26">
        <f>IFERROR(IF(AND(NOT(ISNUMBER($I47)),NOT(ISNUMBER($J47))),"",IF((IFERROR($I47,0)+IFERROR($J47,0))&gt;=Scoring_Criteria!$D$6,5,IF((IFERROR($I47,0)+IFERROR($J47,0))&gt;=Scoring_Criteria!$E$6,4,IF((IFERROR($I47,0)+IFERROR($J47,0))&gt;=Scoring_Criteria!$F$6,3,IF((IFERROR($I47,0)+IFERROR($J47,0))&gt;=Scoring_Criteria!$G$6,2,1))))),"")</f>
        <v/>
      </c>
      <c r="AA47" s="26">
        <f>IFERROR(IF(NOT(ISNUMBER($M47)),"",IF($M47&gt;=Scoring_Criteria!$D$7,5,IF($M47&gt;=Scoring_Criteria!$E$7,4,IF($M47&gt;=Scoring_Criteria!$F$7,3,IF($M47&gt;=Scoring_Criteria!$G$7,2,1))))),"")</f>
        <v/>
      </c>
      <c r="AB47" s="26">
        <f>IFERROR(IF(NOT(ISNUMBER($T47)),"",IF($T47&gt;=Scoring_Criteria!$D$8,5,IF($T47&gt;=Scoring_Criteria!$E$8,4,IF($T47&gt;=Scoring_Criteria!$F$8,3,IF($T47&gt;=Scoring_Criteria!$G$8,2,1))))),"")</f>
        <v/>
      </c>
      <c r="AC47" s="26">
        <f>IFERROR(IF(NOT(ISNUMBER($U47)),"",IF($U47&lt;=Scoring_Criteria!$D$9,5,IF($U47&lt;=Scoring_Criteria!$E$9,4,IF($U47&lt;=Scoring_Criteria!$F$9,3,IF($U47&lt;=Scoring_Criteria!$G$9,2,1))))),"")</f>
        <v/>
      </c>
      <c r="AD47" s="26">
        <f t="array" ref="AD47">IFERROR(IF(NOT(ISNUMBER(_xlfn.XLOOKUP($A47&amp;"|"&amp;$C47,Financials!$A$2:$A$201&amp;"|"&amp;Financials!$B$2:$B$201,Financials!$AD$2:$AD$201,""))),"",IF(_xlfn.XLOOKUP($A47&amp;"|"&amp;$C47,Financials!$A$2:$A$201&amp;"|"&amp;Financials!$B$2:$B$201,Financials!$AD$2:$AD$201,"")&gt;=Scoring_Criteria!$D$10,5,IF(_xlfn.XLOOKUP($A47&amp;"|"&amp;$C47,Financials!$A$2:$A$201&amp;"|"&amp;Financials!$B$2:$B$201,Financials!$AD$2:$AD$201,"")&gt;=Scoring_Criteria!$E$10,4,IF(_xlfn.XLOOKUP($A47&amp;"|"&amp;$C47,Financials!$A$2:$A$201&amp;"|"&amp;Financials!$B$2:$B$201,Financials!$AD$2:$AD$201,"")&gt;=Scoring_Criteria!$F$10,3,IF(_xlfn.XLOOKUP($A47&amp;"|"&amp;$C47,Financials!$A$2:$A$201&amp;"|"&amp;Financials!$B$2:$B$201,Financials!$AD$2:$AD$201,"")&gt;=Scoring_Criteria!$G$10,2,1))))),"")</f>
        <v/>
      </c>
      <c r="AE47" s="27" t="n"/>
      <c r="AF47" s="27" t="n"/>
      <c r="AG47" s="28">
        <f>IFERROR(IF(COUNTA(X47:AF47)=0,"",AVERAGE(X47:AF47)),"")</f>
        <v/>
      </c>
      <c r="AH47" s="29" t="n"/>
      <c r="AI47" s="29" t="n"/>
      <c r="AJ47" s="29" t="n"/>
      <c r="AK47" s="29" t="n"/>
      <c r="AL47" s="29" t="n"/>
      <c r="AM47" s="29" t="n"/>
      <c r="AN47" s="29" t="n"/>
      <c r="AO47" s="29" t="n"/>
      <c r="AP47" s="29" t="n"/>
      <c r="AQ47" s="29" t="n"/>
      <c r="AR47" s="29" t="n"/>
      <c r="AS47" s="29" t="n"/>
      <c r="AT47" s="29" t="n"/>
      <c r="AU47">
        <f>IFERROR(Validation_Summary!Q5,"")</f>
        <v/>
      </c>
    </row>
    <row r="48" ht="15" customHeight="1" s="67">
      <c r="A48" s="6" t="inlineStr">
        <is>
          <t>PT Perusahaan Perkebunan London Sumatra Indonesia Tbk</t>
        </is>
      </c>
      <c r="B48" s="19">
        <f t="array" ref="B48">IFERROR(_xlfn.XLOOKUP($A48&amp;"|"&amp;$C48,'Company_Master'!$A$2:$A$94&amp;"|"&amp;'Company_Master'!$D$2:$D$94,'Company_Master'!$B$2:$B$94,""),"")</f>
        <v/>
      </c>
      <c r="C48" s="98" t="n">
        <v>2023</v>
      </c>
      <c r="D48" s="19">
        <f t="array" ref="D48">IFERROR(_xlfn.XLOOKUP($A48&amp;"|"&amp;$C48,'Company_Master'!$A$2:$A$94&amp;"|"&amp;'Company_Master'!$D$2:$D$94,'Company_Master'!$H$2:$H$94,""),"")</f>
        <v/>
      </c>
      <c r="E48" s="98">
        <f t="array" ref="E48">IFERROR(_xlfn.XLOOKUP($A48&amp;"|"&amp;$C48,Asset_Operations!$A$2:$A$201&amp;"|"&amp;Asset_Operations!$BG$2:$BG$201,Asset_Operations!$B$2:$B$201,""),"")</f>
        <v/>
      </c>
      <c r="F48" s="98">
        <f t="array" ref="F48">IFERROR(_xlfn.XLOOKUP($A48&amp;"|"&amp;$C48,Asset_Operations!$A$2:$A$201&amp;"|"&amp;Asset_Operations!$BG$2:$BG$201,Asset_Operations!$E$2:$E$201,""),"")</f>
        <v/>
      </c>
      <c r="G48" s="98">
        <f t="array" ref="G48">IFERROR(_xlfn.XLOOKUP($A48&amp;"|"&amp;$C48,Asset_Operations!$A$2:$A$201&amp;"|"&amp;Asset_Operations!$BG$2:$BG$201,Asset_Operations!$I$2:$I$201,""),"")</f>
        <v/>
      </c>
      <c r="H48" s="98">
        <f t="array" ref="H48">IFERROR(_xlfn.XLOOKUP($A48&amp;"|"&amp;$C48,Asset_Operations!$A$2:$A$201&amp;"|"&amp;Asset_Operations!$BG$2:$BG$201,Asset_Operations!$J$2:$J$201,""),"")</f>
        <v/>
      </c>
      <c r="I48" s="98">
        <f t="array" ref="I48">IFERROR(_xlfn.XLOOKUP($A48&amp;"|"&amp;$C48,Asset_Operations!$A$2:$A$201&amp;"|"&amp;Asset_Operations!$BG$2:$BG$201,Asset_Operations!$O$2:$O$201,""),"")</f>
        <v/>
      </c>
      <c r="J48" s="98">
        <f t="array" ref="J48">IFERROR(_xlfn.XLOOKUP($A48&amp;"|"&amp;$C48,Asset_Operations!$A$2:$A$201&amp;"|"&amp;Asset_Operations!$BG$2:$BG$201,Asset_Operations!$S$2:$S$201,""),"")</f>
        <v/>
      </c>
      <c r="K48" s="98">
        <f t="array" ref="K48">IFERROR(_xlfn.XLOOKUP($A48&amp;"|"&amp;$C48,Asset_Operations!$A$2:$A$201&amp;"|"&amp;Asset_Operations!$BG$2:$BG$201,Asset_Operations!$AC$2:$AC$201,""),"")</f>
        <v/>
      </c>
      <c r="L48" s="98">
        <f t="array" ref="L48">IFERROR(_xlfn.XLOOKUP($A48&amp;"|"&amp;$C48,Asset_Operations!$A$2:$A$201&amp;"|"&amp;Asset_Operations!$BG$2:$BG$201,Asset_Operations!$AG$2:$AG$201,""),"")</f>
        <v/>
      </c>
      <c r="M48" s="98">
        <f t="array" ref="M48">IFERROR(_xlfn.XLOOKUP($A48&amp;"|"&amp;$C48,Asset_Operations!$A$2:$A$201&amp;"|"&amp;Asset_Operations!$BG$2:$BG$201,Asset_Operations!$AO$2:$AO$201,""),"")</f>
        <v/>
      </c>
      <c r="N48" s="99">
        <f t="array" ref="N48">IFERROR(_xlfn.XLOOKUP($A48&amp;"|"&amp;$C48,Asset_Operations!$A$2:$A$201&amp;"|"&amp;Asset_Operations!$BG$2:$BG$201,Asset_Operations!$AR$2:$AR$201,""),"")</f>
        <v/>
      </c>
      <c r="O48" s="100">
        <f t="array" ref="O48">IFERROR(_xlfn.XLOOKUP($A48&amp;"|"&amp;$C48,Financials!$A$2:$A$201&amp;"|"&amp;Financials!$B$2:$B$201,Financials!$C$2:$C$201,""),"")</f>
        <v/>
      </c>
      <c r="P48" s="100">
        <f t="array" ref="P48">IFERROR(_xlfn.XLOOKUP($A48&amp;"|"&amp;$C48,Financials!$A$2:$A$201&amp;"|"&amp;Financials!$B$2:$B$201,Financials!$E$2:$E$201,""),"")</f>
        <v/>
      </c>
      <c r="Q48" s="100">
        <f t="array" ref="Q48">IFERROR(_xlfn.XLOOKUP($A48&amp;"|"&amp;$C48,Financials!$A$2:$A$201&amp;"|"&amp;Financials!$B$2:$B$201,Financials!$G$2:$G$201,""),"")</f>
        <v/>
      </c>
      <c r="R48" s="100">
        <f t="array" ref="R48">IFERROR(_xlfn.XLOOKUP($A48&amp;"|"&amp;$C48,Financials!$A$2:$A$201&amp;"|"&amp;Financials!$B$2:$B$201,Financials!$S$2:$S$201,""),"")</f>
        <v/>
      </c>
      <c r="S48" s="100">
        <f t="array" ref="S48">IFERROR(_xlfn.XLOOKUP($A48&amp;"|"&amp;$C48,Financials!$A$2:$A$201&amp;"|"&amp;Financials!$B$2:$B$201,Financials!$AC$2:$AC$201,""),"")</f>
        <v/>
      </c>
      <c r="T48" s="101">
        <f>IFERROR(P48/O48,"")</f>
        <v/>
      </c>
      <c r="U48" s="24">
        <f>IFERROR(R48/P48,"")</f>
        <v/>
      </c>
      <c r="V48" s="102">
        <f>IFERROR(O48/E48,"")</f>
        <v/>
      </c>
      <c r="W48" s="24">
        <f>IFERROR(L48/F48,"")</f>
        <v/>
      </c>
      <c r="X48" s="26">
        <f>IFERROR(IF(NOT(ISNUMBER($E48)),"",IF($E48&gt;=Scoring_Criteria!$D$4,5,IF($E48&gt;=Scoring_Criteria!$E$4,4,IF($E48&gt;=Scoring_Criteria!$F$4,3,IF($E48&gt;=Scoring_Criteria!$G$4,2,1))))),"")</f>
        <v/>
      </c>
      <c r="Y48" s="26">
        <f>IFERROR(IF(OR(NOT(ISNUMBER($F48)),NOT(ISNUMBER($E48)),$E48=0),"",IF(($F48/$E48)&gt;=Scoring_Criteria!$D$5,5,IF(($F48/$E48)&gt;=Scoring_Criteria!$E$5,4,IF(($F48/$E48)&gt;=Scoring_Criteria!$F$5,3,IF(($F48/$E48)&gt;=Scoring_Criteria!$G$5,2,1))))),"")</f>
        <v/>
      </c>
      <c r="Z48" s="26">
        <f>IFERROR(IF(AND(NOT(ISNUMBER($I48)),NOT(ISNUMBER($J48))),"",IF((IFERROR($I48,0)+IFERROR($J48,0))&gt;=Scoring_Criteria!$D$6,5,IF((IFERROR($I48,0)+IFERROR($J48,0))&gt;=Scoring_Criteria!$E$6,4,IF((IFERROR($I48,0)+IFERROR($J48,0))&gt;=Scoring_Criteria!$F$6,3,IF((IFERROR($I48,0)+IFERROR($J48,0))&gt;=Scoring_Criteria!$G$6,2,1))))),"")</f>
        <v/>
      </c>
      <c r="AA48" s="26">
        <f>IFERROR(IF(NOT(ISNUMBER($M48)),"",IF($M48&gt;=Scoring_Criteria!$D$7,5,IF($M48&gt;=Scoring_Criteria!$E$7,4,IF($M48&gt;=Scoring_Criteria!$F$7,3,IF($M48&gt;=Scoring_Criteria!$G$7,2,1))))),"")</f>
        <v/>
      </c>
      <c r="AB48" s="26">
        <f>IFERROR(IF(NOT(ISNUMBER($T48)),"",IF($T48&gt;=Scoring_Criteria!$D$8,5,IF($T48&gt;=Scoring_Criteria!$E$8,4,IF($T48&gt;=Scoring_Criteria!$F$8,3,IF($T48&gt;=Scoring_Criteria!$G$8,2,1))))),"")</f>
        <v/>
      </c>
      <c r="AC48" s="26">
        <f>IFERROR(IF(NOT(ISNUMBER($U48)),"",IF($U48&lt;=Scoring_Criteria!$D$9,5,IF($U48&lt;=Scoring_Criteria!$E$9,4,IF($U48&lt;=Scoring_Criteria!$F$9,3,IF($U48&lt;=Scoring_Criteria!$G$9,2,1))))),"")</f>
        <v/>
      </c>
      <c r="AD48" s="26">
        <f t="array" ref="AD48">IFERROR(IF(NOT(ISNUMBER(_xlfn.XLOOKUP($A48&amp;"|"&amp;$C48,Financials!$A$2:$A$201&amp;"|"&amp;Financials!$B$2:$B$201,Financials!$AD$2:$AD$201,""))),"",IF(_xlfn.XLOOKUP($A48&amp;"|"&amp;$C48,Financials!$A$2:$A$201&amp;"|"&amp;Financials!$B$2:$B$201,Financials!$AD$2:$AD$201,"")&gt;=Scoring_Criteria!$D$10,5,IF(_xlfn.XLOOKUP($A48&amp;"|"&amp;$C48,Financials!$A$2:$A$201&amp;"|"&amp;Financials!$B$2:$B$201,Financials!$AD$2:$AD$201,"")&gt;=Scoring_Criteria!$E$10,4,IF(_xlfn.XLOOKUP($A48&amp;"|"&amp;$C48,Financials!$A$2:$A$201&amp;"|"&amp;Financials!$B$2:$B$201,Financials!$AD$2:$AD$201,"")&gt;=Scoring_Criteria!$F$10,3,IF(_xlfn.XLOOKUP($A48&amp;"|"&amp;$C48,Financials!$A$2:$A$201&amp;"|"&amp;Financials!$B$2:$B$201,Financials!$AD$2:$AD$201,"")&gt;=Scoring_Criteria!$G$10,2,1))))),"")</f>
        <v/>
      </c>
      <c r="AE48" s="27" t="n"/>
      <c r="AF48" s="27" t="n"/>
      <c r="AG48" s="28">
        <f>IFERROR(IF(COUNTA(X48:AF48)=0,"",AVERAGE(X48:AF48)),"")</f>
        <v/>
      </c>
      <c r="AH48" s="29" t="n"/>
      <c r="AI48" s="29" t="n"/>
      <c r="AJ48" s="29" t="n"/>
      <c r="AK48" s="29" t="n"/>
      <c r="AL48" s="29" t="n"/>
      <c r="AM48" s="29" t="n"/>
      <c r="AN48" s="29" t="n"/>
      <c r="AO48" s="29" t="n"/>
      <c r="AP48" s="29" t="n"/>
      <c r="AQ48" s="29" t="n"/>
      <c r="AR48" s="29" t="n"/>
      <c r="AS48" s="29" t="n"/>
      <c r="AT48" s="29" t="n"/>
      <c r="AU48">
        <f>IFERROR(Validation_Summary!Q5,"")</f>
        <v/>
      </c>
    </row>
    <row r="49" ht="15" customHeight="1" s="67">
      <c r="A49" s="6" t="inlineStr">
        <is>
          <t>PT Perusahaan Perkebunan London Sumatra Indonesia Tbk</t>
        </is>
      </c>
      <c r="B49" s="19">
        <f t="array" ref="B49">IFERROR(_xlfn.XLOOKUP($A49&amp;"|"&amp;$C49,'Company_Master'!$A$2:$A$94&amp;"|"&amp;'Company_Master'!$D$2:$D$94,'Company_Master'!$B$2:$B$94,""),"")</f>
        <v/>
      </c>
      <c r="C49" s="98" t="n">
        <v>2024</v>
      </c>
      <c r="D49" s="19">
        <f t="array" ref="D49">IFERROR(_xlfn.XLOOKUP($A49&amp;"|"&amp;$C49,'Company_Master'!$A$2:$A$94&amp;"|"&amp;'Company_Master'!$D$2:$D$94,'Company_Master'!$H$2:$H$94,""),"")</f>
        <v/>
      </c>
      <c r="E49" s="98">
        <f t="array" ref="E49">IFERROR(_xlfn.XLOOKUP($A49&amp;"|"&amp;$C49,Asset_Operations!$A$2:$A$201&amp;"|"&amp;Asset_Operations!$BG$2:$BG$201,Asset_Operations!$B$2:$B$201,""),"")</f>
        <v/>
      </c>
      <c r="F49" s="98">
        <f t="array" ref="F49">IFERROR(_xlfn.XLOOKUP($A49&amp;"|"&amp;$C49,Asset_Operations!$A$2:$A$201&amp;"|"&amp;Asset_Operations!$BG$2:$BG$201,Asset_Operations!$E$2:$E$201,""),"")</f>
        <v/>
      </c>
      <c r="G49" s="98">
        <f t="array" ref="G49">IFERROR(_xlfn.XLOOKUP($A49&amp;"|"&amp;$C49,Asset_Operations!$A$2:$A$201&amp;"|"&amp;Asset_Operations!$BG$2:$BG$201,Asset_Operations!$I$2:$I$201,""),"")</f>
        <v/>
      </c>
      <c r="H49" s="98">
        <f t="array" ref="H49">IFERROR(_xlfn.XLOOKUP($A49&amp;"|"&amp;$C49,Asset_Operations!$A$2:$A$201&amp;"|"&amp;Asset_Operations!$BG$2:$BG$201,Asset_Operations!$J$2:$J$201,""),"")</f>
        <v/>
      </c>
      <c r="I49" s="98">
        <f t="array" ref="I49">IFERROR(_xlfn.XLOOKUP($A49&amp;"|"&amp;$C49,Asset_Operations!$A$2:$A$201&amp;"|"&amp;Asset_Operations!$BG$2:$BG$201,Asset_Operations!$O$2:$O$201,""),"")</f>
        <v/>
      </c>
      <c r="J49" s="98">
        <f t="array" ref="J49">IFERROR(_xlfn.XLOOKUP($A49&amp;"|"&amp;$C49,Asset_Operations!$A$2:$A$201&amp;"|"&amp;Asset_Operations!$BG$2:$BG$201,Asset_Operations!$S$2:$S$201,""),"")</f>
        <v/>
      </c>
      <c r="K49" s="98">
        <f t="array" ref="K49">IFERROR(_xlfn.XLOOKUP($A49&amp;"|"&amp;$C49,Asset_Operations!$A$2:$A$201&amp;"|"&amp;Asset_Operations!$BG$2:$BG$201,Asset_Operations!$AC$2:$AC$201,""),"")</f>
        <v/>
      </c>
      <c r="L49" s="98">
        <f t="array" ref="L49">IFERROR(_xlfn.XLOOKUP($A49&amp;"|"&amp;$C49,Asset_Operations!$A$2:$A$201&amp;"|"&amp;Asset_Operations!$BG$2:$BG$201,Asset_Operations!$AG$2:$AG$201,""),"")</f>
        <v/>
      </c>
      <c r="M49" s="98">
        <f t="array" ref="M49">IFERROR(_xlfn.XLOOKUP($A49&amp;"|"&amp;$C49,Asset_Operations!$A$2:$A$201&amp;"|"&amp;Asset_Operations!$BG$2:$BG$201,Asset_Operations!$AO$2:$AO$201,""),"")</f>
        <v/>
      </c>
      <c r="N49" s="99">
        <f t="array" ref="N49">IFERROR(_xlfn.XLOOKUP($A49&amp;"|"&amp;$C49,Asset_Operations!$A$2:$A$201&amp;"|"&amp;Asset_Operations!$BG$2:$BG$201,Asset_Operations!$AR$2:$AR$201,""),"")</f>
        <v/>
      </c>
      <c r="O49" s="100">
        <f t="array" ref="O49">IFERROR(_xlfn.XLOOKUP($A49&amp;"|"&amp;$C49,Financials!$A$2:$A$201&amp;"|"&amp;Financials!$B$2:$B$201,Financials!$C$2:$C$201,""),"")</f>
        <v/>
      </c>
      <c r="P49" s="100">
        <f t="array" ref="P49">IFERROR(_xlfn.XLOOKUP($A49&amp;"|"&amp;$C49,Financials!$A$2:$A$201&amp;"|"&amp;Financials!$B$2:$B$201,Financials!$E$2:$E$201,""),"")</f>
        <v/>
      </c>
      <c r="Q49" s="100">
        <f t="array" ref="Q49">IFERROR(_xlfn.XLOOKUP($A49&amp;"|"&amp;$C49,Financials!$A$2:$A$201&amp;"|"&amp;Financials!$B$2:$B$201,Financials!$G$2:$G$201,""),"")</f>
        <v/>
      </c>
      <c r="R49" s="100">
        <f t="array" ref="R49">IFERROR(_xlfn.XLOOKUP($A49&amp;"|"&amp;$C49,Financials!$A$2:$A$201&amp;"|"&amp;Financials!$B$2:$B$201,Financials!$S$2:$S$201,""),"")</f>
        <v/>
      </c>
      <c r="S49" s="100">
        <f t="array" ref="S49">IFERROR(_xlfn.XLOOKUP($A49&amp;"|"&amp;$C49,Financials!$A$2:$A$201&amp;"|"&amp;Financials!$B$2:$B$201,Financials!$AC$2:$AC$201,""),"")</f>
        <v/>
      </c>
      <c r="T49" s="101">
        <f>IFERROR(P49/O49,"")</f>
        <v/>
      </c>
      <c r="U49" s="24">
        <f>IFERROR(R49/P49,"")</f>
        <v/>
      </c>
      <c r="V49" s="102">
        <f>IFERROR(O49/E49,"")</f>
        <v/>
      </c>
      <c r="W49" s="24">
        <f>IFERROR(L49/F49,"")</f>
        <v/>
      </c>
      <c r="X49" s="26">
        <f>IFERROR(IF(NOT(ISNUMBER($E49)),"",IF($E49&gt;=Scoring_Criteria!$D$4,5,IF($E49&gt;=Scoring_Criteria!$E$4,4,IF($E49&gt;=Scoring_Criteria!$F$4,3,IF($E49&gt;=Scoring_Criteria!$G$4,2,1))))),"")</f>
        <v/>
      </c>
      <c r="Y49" s="26">
        <f>IFERROR(IF(OR(NOT(ISNUMBER($F49)),NOT(ISNUMBER($E49)),$E49=0),"",IF(($F49/$E49)&gt;=Scoring_Criteria!$D$5,5,IF(($F49/$E49)&gt;=Scoring_Criteria!$E$5,4,IF(($F49/$E49)&gt;=Scoring_Criteria!$F$5,3,IF(($F49/$E49)&gt;=Scoring_Criteria!$G$5,2,1))))),"")</f>
        <v/>
      </c>
      <c r="Z49" s="26">
        <f>IFERROR(IF(AND(NOT(ISNUMBER($I49)),NOT(ISNUMBER($J49))),"",IF((IFERROR($I49,0)+IFERROR($J49,0))&gt;=Scoring_Criteria!$D$6,5,IF((IFERROR($I49,0)+IFERROR($J49,0))&gt;=Scoring_Criteria!$E$6,4,IF((IFERROR($I49,0)+IFERROR($J49,0))&gt;=Scoring_Criteria!$F$6,3,IF((IFERROR($I49,0)+IFERROR($J49,0))&gt;=Scoring_Criteria!$G$6,2,1))))),"")</f>
        <v/>
      </c>
      <c r="AA49" s="26">
        <f>IFERROR(IF(NOT(ISNUMBER($M49)),"",IF($M49&gt;=Scoring_Criteria!$D$7,5,IF($M49&gt;=Scoring_Criteria!$E$7,4,IF($M49&gt;=Scoring_Criteria!$F$7,3,IF($M49&gt;=Scoring_Criteria!$G$7,2,1))))),"")</f>
        <v/>
      </c>
      <c r="AB49" s="26">
        <f>IFERROR(IF(NOT(ISNUMBER($T49)),"",IF($T49&gt;=Scoring_Criteria!$D$8,5,IF($T49&gt;=Scoring_Criteria!$E$8,4,IF($T49&gt;=Scoring_Criteria!$F$8,3,IF($T49&gt;=Scoring_Criteria!$G$8,2,1))))),"")</f>
        <v/>
      </c>
      <c r="AC49" s="26">
        <f>IFERROR(IF(NOT(ISNUMBER($U49)),"",IF($U49&lt;=Scoring_Criteria!$D$9,5,IF($U49&lt;=Scoring_Criteria!$E$9,4,IF($U49&lt;=Scoring_Criteria!$F$9,3,IF($U49&lt;=Scoring_Criteria!$G$9,2,1))))),"")</f>
        <v/>
      </c>
      <c r="AD49" s="26">
        <f t="array" ref="AD49">IFERROR(IF(NOT(ISNUMBER(_xlfn.XLOOKUP($A49&amp;"|"&amp;$C49,Financials!$A$2:$A$201&amp;"|"&amp;Financials!$B$2:$B$201,Financials!$AD$2:$AD$201,""))),"",IF(_xlfn.XLOOKUP($A49&amp;"|"&amp;$C49,Financials!$A$2:$A$201&amp;"|"&amp;Financials!$B$2:$B$201,Financials!$AD$2:$AD$201,"")&gt;=Scoring_Criteria!$D$10,5,IF(_xlfn.XLOOKUP($A49&amp;"|"&amp;$C49,Financials!$A$2:$A$201&amp;"|"&amp;Financials!$B$2:$B$201,Financials!$AD$2:$AD$201,"")&gt;=Scoring_Criteria!$E$10,4,IF(_xlfn.XLOOKUP($A49&amp;"|"&amp;$C49,Financials!$A$2:$A$201&amp;"|"&amp;Financials!$B$2:$B$201,Financials!$AD$2:$AD$201,"")&gt;=Scoring_Criteria!$F$10,3,IF(_xlfn.XLOOKUP($A49&amp;"|"&amp;$C49,Financials!$A$2:$A$201&amp;"|"&amp;Financials!$B$2:$B$201,Financials!$AD$2:$AD$201,"")&gt;=Scoring_Criteria!$G$10,2,1))))),"")</f>
        <v/>
      </c>
      <c r="AE49" s="27" t="n"/>
      <c r="AF49" s="27" t="n"/>
      <c r="AG49" s="28">
        <f>IFERROR(IF(COUNTA(X49:AF49)=0,"",AVERAGE(X49:AF49)),"")</f>
        <v/>
      </c>
      <c r="AH49" s="29" t="n"/>
      <c r="AI49" s="29" t="n"/>
      <c r="AJ49" s="29" t="n"/>
      <c r="AK49" s="29" t="n"/>
      <c r="AL49" s="29" t="n"/>
      <c r="AM49" s="29" t="n"/>
      <c r="AN49" s="29" t="n"/>
      <c r="AO49" s="29" t="n"/>
      <c r="AP49" s="29" t="n"/>
      <c r="AQ49" s="29" t="n"/>
      <c r="AR49" s="29" t="n"/>
      <c r="AS49" s="29" t="n"/>
      <c r="AT49" s="29" t="n"/>
      <c r="AU49">
        <f>IFERROR(Validation_Summary!Q5,"")</f>
        <v/>
      </c>
    </row>
    <row r="50" ht="15" customHeight="1" s="67">
      <c r="A50" s="6" t="inlineStr">
        <is>
          <t>PT Multi Agro Gemilang Plantation Tbk</t>
        </is>
      </c>
      <c r="B50" s="19">
        <f t="array" ref="B50">IFERROR(_xlfn.XLOOKUP($A50&amp;"|"&amp;$C50,'Company_Master'!$A$2:$A$94&amp;"|"&amp;'Company_Master'!$D$2:$D$94,'Company_Master'!$B$2:$B$94,""),"")</f>
        <v/>
      </c>
      <c r="C50" s="98" t="n">
        <v>2022</v>
      </c>
      <c r="D50" s="19">
        <f t="array" ref="D50">IFERROR(_xlfn.XLOOKUP($A50&amp;"|"&amp;$C50,'Company_Master'!$A$2:$A$94&amp;"|"&amp;'Company_Master'!$D$2:$D$94,'Company_Master'!$H$2:$H$94,""),"")</f>
        <v/>
      </c>
      <c r="E50" s="98">
        <f t="array" ref="E50">IFERROR(_xlfn.XLOOKUP($A50&amp;"|"&amp;$C50,Asset_Operations!$A$2:$A$201&amp;"|"&amp;Asset_Operations!$BG$2:$BG$201,Asset_Operations!$B$2:$B$201,""),"")</f>
        <v/>
      </c>
      <c r="F50" s="98">
        <f t="array" ref="F50">IFERROR(_xlfn.XLOOKUP($A50&amp;"|"&amp;$C50,Asset_Operations!$A$2:$A$201&amp;"|"&amp;Asset_Operations!$BG$2:$BG$201,Asset_Operations!$E$2:$E$201,""),"")</f>
        <v/>
      </c>
      <c r="G50" s="98">
        <f t="array" ref="G50">IFERROR(_xlfn.XLOOKUP($A50&amp;"|"&amp;$C50,Asset_Operations!$A$2:$A$201&amp;"|"&amp;Asset_Operations!$BG$2:$BG$201,Asset_Operations!$I$2:$I$201,""),"")</f>
        <v/>
      </c>
      <c r="H50" s="98">
        <f t="array" ref="H50">IFERROR(_xlfn.XLOOKUP($A50&amp;"|"&amp;$C50,Asset_Operations!$A$2:$A$201&amp;"|"&amp;Asset_Operations!$BG$2:$BG$201,Asset_Operations!$J$2:$J$201,""),"")</f>
        <v/>
      </c>
      <c r="I50" s="98">
        <f t="array" ref="I50">IFERROR(_xlfn.XLOOKUP($A50&amp;"|"&amp;$C50,Asset_Operations!$A$2:$A$201&amp;"|"&amp;Asset_Operations!$BG$2:$BG$201,Asset_Operations!$O$2:$O$201,""),"")</f>
        <v/>
      </c>
      <c r="J50" s="98">
        <f t="array" ref="J50">IFERROR(_xlfn.XLOOKUP($A50&amp;"|"&amp;$C50,Asset_Operations!$A$2:$A$201&amp;"|"&amp;Asset_Operations!$BG$2:$BG$201,Asset_Operations!$S$2:$S$201,""),"")</f>
        <v/>
      </c>
      <c r="K50" s="98">
        <f t="array" ref="K50">IFERROR(_xlfn.XLOOKUP($A50&amp;"|"&amp;$C50,Asset_Operations!$A$2:$A$201&amp;"|"&amp;Asset_Operations!$BG$2:$BG$201,Asset_Operations!$AC$2:$AC$201,""),"")</f>
        <v/>
      </c>
      <c r="L50" s="98">
        <f t="array" ref="L50">IFERROR(_xlfn.XLOOKUP($A50&amp;"|"&amp;$C50,Asset_Operations!$A$2:$A$201&amp;"|"&amp;Asset_Operations!$BG$2:$BG$201,Asset_Operations!$AG$2:$AG$201,""),"")</f>
        <v/>
      </c>
      <c r="M50" s="98">
        <f t="array" ref="M50">IFERROR(_xlfn.XLOOKUP($A50&amp;"|"&amp;$C50,Asset_Operations!$A$2:$A$201&amp;"|"&amp;Asset_Operations!$BG$2:$BG$201,Asset_Operations!$AO$2:$AO$201,""),"")</f>
        <v/>
      </c>
      <c r="N50" s="99">
        <f t="array" ref="N50">IFERROR(_xlfn.XLOOKUP($A50&amp;"|"&amp;$C50,Asset_Operations!$A$2:$A$201&amp;"|"&amp;Asset_Operations!$BG$2:$BG$201,Asset_Operations!$AR$2:$AR$201,""),"")</f>
        <v/>
      </c>
      <c r="O50" s="100">
        <f t="array" ref="O50">IFERROR(_xlfn.XLOOKUP($A50&amp;"|"&amp;$C50,Financials!$A$2:$A$201&amp;"|"&amp;Financials!$B$2:$B$201,Financials!$C$2:$C$201,""),"")</f>
        <v/>
      </c>
      <c r="P50" s="100">
        <f t="array" ref="P50">IFERROR(_xlfn.XLOOKUP($A50&amp;"|"&amp;$C50,Financials!$A$2:$A$201&amp;"|"&amp;Financials!$B$2:$B$201,Financials!$E$2:$E$201,""),"")</f>
        <v/>
      </c>
      <c r="Q50" s="100">
        <f t="array" ref="Q50">IFERROR(_xlfn.XLOOKUP($A50&amp;"|"&amp;$C50,Financials!$A$2:$A$201&amp;"|"&amp;Financials!$B$2:$B$201,Financials!$G$2:$G$201,""),"")</f>
        <v/>
      </c>
      <c r="R50" s="100">
        <f t="array" ref="R50">IFERROR(_xlfn.XLOOKUP($A50&amp;"|"&amp;$C50,Financials!$A$2:$A$201&amp;"|"&amp;Financials!$B$2:$B$201,Financials!$S$2:$S$201,""),"")</f>
        <v/>
      </c>
      <c r="S50" s="100">
        <f t="array" ref="S50">IFERROR(_xlfn.XLOOKUP($A50&amp;"|"&amp;$C50,Financials!$A$2:$A$201&amp;"|"&amp;Financials!$B$2:$B$201,Financials!$AC$2:$AC$201,""),"")</f>
        <v/>
      </c>
      <c r="T50" s="101">
        <f>IFERROR(P50/O50,"")</f>
        <v/>
      </c>
      <c r="U50" s="24">
        <f>IFERROR(R50/P50,"")</f>
        <v/>
      </c>
      <c r="V50" s="102">
        <f>IFERROR(O50/E50,"")</f>
        <v/>
      </c>
      <c r="W50" s="24">
        <f>IFERROR(L50/F50,"")</f>
        <v/>
      </c>
      <c r="X50" s="26">
        <f>IFERROR(IF(NOT(ISNUMBER($E50)),"",IF($E50&gt;=Scoring_Criteria!$D$4,5,IF($E50&gt;=Scoring_Criteria!$E$4,4,IF($E50&gt;=Scoring_Criteria!$F$4,3,IF($E50&gt;=Scoring_Criteria!$G$4,2,1))))),"")</f>
        <v/>
      </c>
      <c r="Y50" s="26">
        <f>IFERROR(IF(OR(NOT(ISNUMBER($F50)),NOT(ISNUMBER($E50)),$E50=0),"",IF(($F50/$E50)&gt;=Scoring_Criteria!$D$5,5,IF(($F50/$E50)&gt;=Scoring_Criteria!$E$5,4,IF(($F50/$E50)&gt;=Scoring_Criteria!$F$5,3,IF(($F50/$E50)&gt;=Scoring_Criteria!$G$5,2,1))))),"")</f>
        <v/>
      </c>
      <c r="Z50" s="26">
        <f>IFERROR(IF(AND(NOT(ISNUMBER($I50)),NOT(ISNUMBER($J50))),"",IF((IFERROR($I50,0)+IFERROR($J50,0))&gt;=Scoring_Criteria!$D$6,5,IF((IFERROR($I50,0)+IFERROR($J50,0))&gt;=Scoring_Criteria!$E$6,4,IF((IFERROR($I50,0)+IFERROR($J50,0))&gt;=Scoring_Criteria!$F$6,3,IF((IFERROR($I50,0)+IFERROR($J50,0))&gt;=Scoring_Criteria!$G$6,2,1))))),"")</f>
        <v/>
      </c>
      <c r="AA50" s="26">
        <f>IFERROR(IF(NOT(ISNUMBER($M50)),"",IF($M50&gt;=Scoring_Criteria!$D$7,5,IF($M50&gt;=Scoring_Criteria!$E$7,4,IF($M50&gt;=Scoring_Criteria!$F$7,3,IF($M50&gt;=Scoring_Criteria!$G$7,2,1))))),"")</f>
        <v/>
      </c>
      <c r="AB50" s="26">
        <f>IFERROR(IF(NOT(ISNUMBER($T50)),"",IF($T50&gt;=Scoring_Criteria!$D$8,5,IF($T50&gt;=Scoring_Criteria!$E$8,4,IF($T50&gt;=Scoring_Criteria!$F$8,3,IF($T50&gt;=Scoring_Criteria!$G$8,2,1))))),"")</f>
        <v/>
      </c>
      <c r="AC50" s="26">
        <f>IFERROR(IF(NOT(ISNUMBER($U50)),"",IF($U50&lt;=Scoring_Criteria!$D$9,5,IF($U50&lt;=Scoring_Criteria!$E$9,4,IF($U50&lt;=Scoring_Criteria!$F$9,3,IF($U50&lt;=Scoring_Criteria!$G$9,2,1))))),"")</f>
        <v/>
      </c>
      <c r="AD50" s="26">
        <f t="array" ref="AD50">IFERROR(IF(NOT(ISNUMBER(_xlfn.XLOOKUP($A50&amp;"|"&amp;$C50,Financials!$A$2:$A$201&amp;"|"&amp;Financials!$B$2:$B$201,Financials!$AD$2:$AD$201,""))),"",IF(_xlfn.XLOOKUP($A50&amp;"|"&amp;$C50,Financials!$A$2:$A$201&amp;"|"&amp;Financials!$B$2:$B$201,Financials!$AD$2:$AD$201,"")&gt;=Scoring_Criteria!$D$10,5,IF(_xlfn.XLOOKUP($A50&amp;"|"&amp;$C50,Financials!$A$2:$A$201&amp;"|"&amp;Financials!$B$2:$B$201,Financials!$AD$2:$AD$201,"")&gt;=Scoring_Criteria!$E$10,4,IF(_xlfn.XLOOKUP($A50&amp;"|"&amp;$C50,Financials!$A$2:$A$201&amp;"|"&amp;Financials!$B$2:$B$201,Financials!$AD$2:$AD$201,"")&gt;=Scoring_Criteria!$F$10,3,IF(_xlfn.XLOOKUP($A50&amp;"|"&amp;$C50,Financials!$A$2:$A$201&amp;"|"&amp;Financials!$B$2:$B$201,Financials!$AD$2:$AD$201,"")&gt;=Scoring_Criteria!$G$10,2,1))))),"")</f>
        <v/>
      </c>
      <c r="AE50" s="27" t="n"/>
      <c r="AF50" s="27" t="n"/>
      <c r="AG50" s="28">
        <f>IFERROR(IF(COUNTA(X50:AF50)=0,"",AVERAGE(X50:AF50)),"")</f>
        <v/>
      </c>
      <c r="AH50" s="29" t="n"/>
      <c r="AI50" s="29" t="n"/>
      <c r="AJ50" s="29" t="n"/>
      <c r="AK50" s="29" t="n"/>
      <c r="AL50" s="29" t="n"/>
      <c r="AM50" s="29" t="n"/>
      <c r="AN50" s="29" t="n"/>
      <c r="AO50" s="29" t="n"/>
      <c r="AP50" s="29" t="n"/>
      <c r="AQ50" s="29" t="n"/>
      <c r="AR50" s="29" t="n"/>
      <c r="AS50" s="29" t="n"/>
      <c r="AT50" s="29" t="n"/>
      <c r="AU50">
        <f>IFERROR(Validation_Summary!Q5,"")</f>
        <v/>
      </c>
    </row>
    <row r="51" ht="15" customHeight="1" s="67">
      <c r="A51" s="6" t="inlineStr">
        <is>
          <t>PT Mahkota Group Tbk</t>
        </is>
      </c>
      <c r="B51" s="19">
        <f t="array" ref="B51">IFERROR(_xlfn.XLOOKUP($A51&amp;"|"&amp;$C51,'Company_Master'!$A$2:$A$94&amp;"|"&amp;'Company_Master'!$D$2:$D$94,'Company_Master'!$B$2:$B$94,""),"")</f>
        <v/>
      </c>
      <c r="C51" s="98" t="n">
        <v>2022</v>
      </c>
      <c r="D51" s="19">
        <f t="array" ref="D51">IFERROR(_xlfn.XLOOKUP($A51&amp;"|"&amp;$C51,'Company_Master'!$A$2:$A$94&amp;"|"&amp;'Company_Master'!$D$2:$D$94,'Company_Master'!$H$2:$H$94,""),"")</f>
        <v/>
      </c>
      <c r="E51" s="98">
        <f t="array" ref="E51">IFERROR(_xlfn.XLOOKUP($A51&amp;"|"&amp;$C51,Asset_Operations!$A$2:$A$201&amp;"|"&amp;Asset_Operations!$BG$2:$BG$201,Asset_Operations!$B$2:$B$201,""),"")</f>
        <v/>
      </c>
      <c r="F51" s="98">
        <f t="array" ref="F51">IFERROR(_xlfn.XLOOKUP($A51&amp;"|"&amp;$C51,Asset_Operations!$A$2:$A$201&amp;"|"&amp;Asset_Operations!$BG$2:$BG$201,Asset_Operations!$E$2:$E$201,""),"")</f>
        <v/>
      </c>
      <c r="G51" s="98">
        <f t="array" ref="G51">IFERROR(_xlfn.XLOOKUP($A51&amp;"|"&amp;$C51,Asset_Operations!$A$2:$A$201&amp;"|"&amp;Asset_Operations!$BG$2:$BG$201,Asset_Operations!$I$2:$I$201,""),"")</f>
        <v/>
      </c>
      <c r="H51" s="98">
        <f t="array" ref="H51">IFERROR(_xlfn.XLOOKUP($A51&amp;"|"&amp;$C51,Asset_Operations!$A$2:$A$201&amp;"|"&amp;Asset_Operations!$BG$2:$BG$201,Asset_Operations!$J$2:$J$201,""),"")</f>
        <v/>
      </c>
      <c r="I51" s="98">
        <f t="array" ref="I51">IFERROR(_xlfn.XLOOKUP($A51&amp;"|"&amp;$C51,Asset_Operations!$A$2:$A$201&amp;"|"&amp;Asset_Operations!$BG$2:$BG$201,Asset_Operations!$O$2:$O$201,""),"")</f>
        <v/>
      </c>
      <c r="J51" s="98">
        <f t="array" ref="J51">IFERROR(_xlfn.XLOOKUP($A51&amp;"|"&amp;$C51,Asset_Operations!$A$2:$A$201&amp;"|"&amp;Asset_Operations!$BG$2:$BG$201,Asset_Operations!$S$2:$S$201,""),"")</f>
        <v/>
      </c>
      <c r="K51" s="98">
        <f t="array" ref="K51">IFERROR(_xlfn.XLOOKUP($A51&amp;"|"&amp;$C51,Asset_Operations!$A$2:$A$201&amp;"|"&amp;Asset_Operations!$BG$2:$BG$201,Asset_Operations!$AC$2:$AC$201,""),"")</f>
        <v/>
      </c>
      <c r="L51" s="98">
        <f t="array" ref="L51">IFERROR(_xlfn.XLOOKUP($A51&amp;"|"&amp;$C51,Asset_Operations!$A$2:$A$201&amp;"|"&amp;Asset_Operations!$BG$2:$BG$201,Asset_Operations!$AG$2:$AG$201,""),"")</f>
        <v/>
      </c>
      <c r="M51" s="98">
        <f t="array" ref="M51">IFERROR(_xlfn.XLOOKUP($A51&amp;"|"&amp;$C51,Asset_Operations!$A$2:$A$201&amp;"|"&amp;Asset_Operations!$BG$2:$BG$201,Asset_Operations!$AO$2:$AO$201,""),"")</f>
        <v/>
      </c>
      <c r="N51" s="99">
        <f t="array" ref="N51">IFERROR(_xlfn.XLOOKUP($A51&amp;"|"&amp;$C51,Asset_Operations!$A$2:$A$201&amp;"|"&amp;Asset_Operations!$BG$2:$BG$201,Asset_Operations!$AR$2:$AR$201,""),"")</f>
        <v/>
      </c>
      <c r="O51" s="100">
        <f t="array" ref="O51">IFERROR(_xlfn.XLOOKUP($A51&amp;"|"&amp;$C51,Financials!$A$2:$A$201&amp;"|"&amp;Financials!$B$2:$B$201,Financials!$C$2:$C$201,""),"")</f>
        <v/>
      </c>
      <c r="P51" s="100">
        <f t="array" ref="P51">IFERROR(_xlfn.XLOOKUP($A51&amp;"|"&amp;$C51,Financials!$A$2:$A$201&amp;"|"&amp;Financials!$B$2:$B$201,Financials!$E$2:$E$201,""),"")</f>
        <v/>
      </c>
      <c r="Q51" s="100">
        <f t="array" ref="Q51">IFERROR(_xlfn.XLOOKUP($A51&amp;"|"&amp;$C51,Financials!$A$2:$A$201&amp;"|"&amp;Financials!$B$2:$B$201,Financials!$G$2:$G$201,""),"")</f>
        <v/>
      </c>
      <c r="R51" s="100">
        <f t="array" ref="R51">IFERROR(_xlfn.XLOOKUP($A51&amp;"|"&amp;$C51,Financials!$A$2:$A$201&amp;"|"&amp;Financials!$B$2:$B$201,Financials!$S$2:$S$201,""),"")</f>
        <v/>
      </c>
      <c r="S51" s="100">
        <f t="array" ref="S51">IFERROR(_xlfn.XLOOKUP($A51&amp;"|"&amp;$C51,Financials!$A$2:$A$201&amp;"|"&amp;Financials!$B$2:$B$201,Financials!$AC$2:$AC$201,""),"")</f>
        <v/>
      </c>
      <c r="T51" s="101">
        <f>IFERROR(P51/O51,"")</f>
        <v/>
      </c>
      <c r="U51" s="24">
        <f>IFERROR(R51/P51,"")</f>
        <v/>
      </c>
      <c r="V51" s="102">
        <f>IFERROR(O51/E51,"")</f>
        <v/>
      </c>
      <c r="W51" s="24">
        <f>IFERROR(L51/F51,"")</f>
        <v/>
      </c>
      <c r="X51" s="26">
        <f>IFERROR(IF(NOT(ISNUMBER($E51)),"",IF($E51&gt;=Scoring_Criteria!$D$4,5,IF($E51&gt;=Scoring_Criteria!$E$4,4,IF($E51&gt;=Scoring_Criteria!$F$4,3,IF($E51&gt;=Scoring_Criteria!$G$4,2,1))))),"")</f>
        <v/>
      </c>
      <c r="Y51" s="26">
        <f>IFERROR(IF(OR(NOT(ISNUMBER($F51)),NOT(ISNUMBER($E51)),$E51=0),"",IF(($F51/$E51)&gt;=Scoring_Criteria!$D$5,5,IF(($F51/$E51)&gt;=Scoring_Criteria!$E$5,4,IF(($F51/$E51)&gt;=Scoring_Criteria!$F$5,3,IF(($F51/$E51)&gt;=Scoring_Criteria!$G$5,2,1))))),"")</f>
        <v/>
      </c>
      <c r="Z51" s="26">
        <f>IFERROR(IF(AND(NOT(ISNUMBER($I51)),NOT(ISNUMBER($J51))),"",IF((IFERROR($I51,0)+IFERROR($J51,0))&gt;=Scoring_Criteria!$D$6,5,IF((IFERROR($I51,0)+IFERROR($J51,0))&gt;=Scoring_Criteria!$E$6,4,IF((IFERROR($I51,0)+IFERROR($J51,0))&gt;=Scoring_Criteria!$F$6,3,IF((IFERROR($I51,0)+IFERROR($J51,0))&gt;=Scoring_Criteria!$G$6,2,1))))),"")</f>
        <v/>
      </c>
      <c r="AA51" s="26">
        <f>IFERROR(IF(NOT(ISNUMBER($M51)),"",IF($M51&gt;=Scoring_Criteria!$D$7,5,IF($M51&gt;=Scoring_Criteria!$E$7,4,IF($M51&gt;=Scoring_Criteria!$F$7,3,IF($M51&gt;=Scoring_Criteria!$G$7,2,1))))),"")</f>
        <v/>
      </c>
      <c r="AB51" s="26">
        <f>IFERROR(IF(NOT(ISNUMBER($T51)),"",IF($T51&gt;=Scoring_Criteria!$D$8,5,IF($T51&gt;=Scoring_Criteria!$E$8,4,IF($T51&gt;=Scoring_Criteria!$F$8,3,IF($T51&gt;=Scoring_Criteria!$G$8,2,1))))),"")</f>
        <v/>
      </c>
      <c r="AC51" s="26">
        <f>IFERROR(IF(NOT(ISNUMBER($U51)),"",IF($U51&lt;=Scoring_Criteria!$D$9,5,IF($U51&lt;=Scoring_Criteria!$E$9,4,IF($U51&lt;=Scoring_Criteria!$F$9,3,IF($U51&lt;=Scoring_Criteria!$G$9,2,1))))),"")</f>
        <v/>
      </c>
      <c r="AD51" s="26">
        <f t="array" ref="AD51">IFERROR(IF(NOT(ISNUMBER(_xlfn.XLOOKUP($A51&amp;"|"&amp;$C51,Financials!$A$2:$A$201&amp;"|"&amp;Financials!$B$2:$B$201,Financials!$AD$2:$AD$201,""))),"",IF(_xlfn.XLOOKUP($A51&amp;"|"&amp;$C51,Financials!$A$2:$A$201&amp;"|"&amp;Financials!$B$2:$B$201,Financials!$AD$2:$AD$201,"")&gt;=Scoring_Criteria!$D$10,5,IF(_xlfn.XLOOKUP($A51&amp;"|"&amp;$C51,Financials!$A$2:$A$201&amp;"|"&amp;Financials!$B$2:$B$201,Financials!$AD$2:$AD$201,"")&gt;=Scoring_Criteria!$E$10,4,IF(_xlfn.XLOOKUP($A51&amp;"|"&amp;$C51,Financials!$A$2:$A$201&amp;"|"&amp;Financials!$B$2:$B$201,Financials!$AD$2:$AD$201,"")&gt;=Scoring_Criteria!$F$10,3,IF(_xlfn.XLOOKUP($A51&amp;"|"&amp;$C51,Financials!$A$2:$A$201&amp;"|"&amp;Financials!$B$2:$B$201,Financials!$AD$2:$AD$201,"")&gt;=Scoring_Criteria!$G$10,2,1))))),"")</f>
        <v/>
      </c>
      <c r="AE51" s="27" t="n"/>
      <c r="AF51" s="27" t="n"/>
      <c r="AG51" s="28">
        <f>IFERROR(IF(COUNTA(X51:AF51)=0,"",AVERAGE(X51:AF51)),"")</f>
        <v/>
      </c>
      <c r="AH51" s="29" t="n"/>
      <c r="AI51" s="29" t="n"/>
      <c r="AJ51" s="29" t="n"/>
      <c r="AK51" s="29" t="n"/>
      <c r="AL51" s="29" t="n"/>
      <c r="AM51" s="29" t="n"/>
      <c r="AN51" s="29" t="n"/>
      <c r="AO51" s="29" t="n"/>
      <c r="AP51" s="29" t="n"/>
      <c r="AQ51" s="29" t="n"/>
      <c r="AR51" s="29" t="n"/>
      <c r="AS51" s="29" t="n"/>
      <c r="AT51" s="29" t="n"/>
      <c r="AU51">
        <f>IFERROR(Validation_Summary!Q5,"")</f>
        <v/>
      </c>
    </row>
    <row r="52" ht="15" customHeight="1" s="67">
      <c r="A52" s="6" t="inlineStr">
        <is>
          <t>PT Mahkota Group Tbk</t>
        </is>
      </c>
      <c r="B52" s="19">
        <f t="array" ref="B52">IFERROR(_xlfn.XLOOKUP($A52&amp;"|"&amp;$C52,'Company_Master'!$A$2:$A$94&amp;"|"&amp;'Company_Master'!$D$2:$D$94,'Company_Master'!$B$2:$B$94,""),"")</f>
        <v/>
      </c>
      <c r="C52" s="98" t="n">
        <v>2023</v>
      </c>
      <c r="D52" s="19">
        <f t="array" ref="D52">IFERROR(_xlfn.XLOOKUP($A52&amp;"|"&amp;$C52,'Company_Master'!$A$2:$A$94&amp;"|"&amp;'Company_Master'!$D$2:$D$94,'Company_Master'!$H$2:$H$94,""),"")</f>
        <v/>
      </c>
      <c r="E52" s="98">
        <f t="array" ref="E52">IFERROR(_xlfn.XLOOKUP($A52&amp;"|"&amp;$C52,Asset_Operations!$A$2:$A$201&amp;"|"&amp;Asset_Operations!$BG$2:$BG$201,Asset_Operations!$B$2:$B$201,""),"")</f>
        <v/>
      </c>
      <c r="F52" s="98">
        <f t="array" ref="F52">IFERROR(_xlfn.XLOOKUP($A52&amp;"|"&amp;$C52,Asset_Operations!$A$2:$A$201&amp;"|"&amp;Asset_Operations!$BG$2:$BG$201,Asset_Operations!$E$2:$E$201,""),"")</f>
        <v/>
      </c>
      <c r="G52" s="98">
        <f t="array" ref="G52">IFERROR(_xlfn.XLOOKUP($A52&amp;"|"&amp;$C52,Asset_Operations!$A$2:$A$201&amp;"|"&amp;Asset_Operations!$BG$2:$BG$201,Asset_Operations!$I$2:$I$201,""),"")</f>
        <v/>
      </c>
      <c r="H52" s="98">
        <f t="array" ref="H52">IFERROR(_xlfn.XLOOKUP($A52&amp;"|"&amp;$C52,Asset_Operations!$A$2:$A$201&amp;"|"&amp;Asset_Operations!$BG$2:$BG$201,Asset_Operations!$J$2:$J$201,""),"")</f>
        <v/>
      </c>
      <c r="I52" s="98">
        <f t="array" ref="I52">IFERROR(_xlfn.XLOOKUP($A52&amp;"|"&amp;$C52,Asset_Operations!$A$2:$A$201&amp;"|"&amp;Asset_Operations!$BG$2:$BG$201,Asset_Operations!$O$2:$O$201,""),"")</f>
        <v/>
      </c>
      <c r="J52" s="98">
        <f t="array" ref="J52">IFERROR(_xlfn.XLOOKUP($A52&amp;"|"&amp;$C52,Asset_Operations!$A$2:$A$201&amp;"|"&amp;Asset_Operations!$BG$2:$BG$201,Asset_Operations!$S$2:$S$201,""),"")</f>
        <v/>
      </c>
      <c r="K52" s="98">
        <f t="array" ref="K52">IFERROR(_xlfn.XLOOKUP($A52&amp;"|"&amp;$C52,Asset_Operations!$A$2:$A$201&amp;"|"&amp;Asset_Operations!$BG$2:$BG$201,Asset_Operations!$AC$2:$AC$201,""),"")</f>
        <v/>
      </c>
      <c r="L52" s="98">
        <f t="array" ref="L52">IFERROR(_xlfn.XLOOKUP($A52&amp;"|"&amp;$C52,Asset_Operations!$A$2:$A$201&amp;"|"&amp;Asset_Operations!$BG$2:$BG$201,Asset_Operations!$AG$2:$AG$201,""),"")</f>
        <v/>
      </c>
      <c r="M52" s="98">
        <f t="array" ref="M52">IFERROR(_xlfn.XLOOKUP($A52&amp;"|"&amp;$C52,Asset_Operations!$A$2:$A$201&amp;"|"&amp;Asset_Operations!$BG$2:$BG$201,Asset_Operations!$AO$2:$AO$201,""),"")</f>
        <v/>
      </c>
      <c r="N52" s="99">
        <f t="array" ref="N52">IFERROR(_xlfn.XLOOKUP($A52&amp;"|"&amp;$C52,Asset_Operations!$A$2:$A$201&amp;"|"&amp;Asset_Operations!$BG$2:$BG$201,Asset_Operations!$AR$2:$AR$201,""),"")</f>
        <v/>
      </c>
      <c r="O52" s="100">
        <f t="array" ref="O52">IFERROR(_xlfn.XLOOKUP($A52&amp;"|"&amp;$C52,Financials!$A$2:$A$201&amp;"|"&amp;Financials!$B$2:$B$201,Financials!$C$2:$C$201,""),"")</f>
        <v/>
      </c>
      <c r="P52" s="100">
        <f t="array" ref="P52">IFERROR(_xlfn.XLOOKUP($A52&amp;"|"&amp;$C52,Financials!$A$2:$A$201&amp;"|"&amp;Financials!$B$2:$B$201,Financials!$E$2:$E$201,""),"")</f>
        <v/>
      </c>
      <c r="Q52" s="100">
        <f t="array" ref="Q52">IFERROR(_xlfn.XLOOKUP($A52&amp;"|"&amp;$C52,Financials!$A$2:$A$201&amp;"|"&amp;Financials!$B$2:$B$201,Financials!$G$2:$G$201,""),"")</f>
        <v/>
      </c>
      <c r="R52" s="100">
        <f t="array" ref="R52">IFERROR(_xlfn.XLOOKUP($A52&amp;"|"&amp;$C52,Financials!$A$2:$A$201&amp;"|"&amp;Financials!$B$2:$B$201,Financials!$S$2:$S$201,""),"")</f>
        <v/>
      </c>
      <c r="S52" s="100">
        <f t="array" ref="S52">IFERROR(_xlfn.XLOOKUP($A52&amp;"|"&amp;$C52,Financials!$A$2:$A$201&amp;"|"&amp;Financials!$B$2:$B$201,Financials!$AC$2:$AC$201,""),"")</f>
        <v/>
      </c>
      <c r="T52" s="101">
        <f>IFERROR(P52/O52,"")</f>
        <v/>
      </c>
      <c r="U52" s="24">
        <f>IFERROR(R52/P52,"")</f>
        <v/>
      </c>
      <c r="V52" s="102">
        <f>IFERROR(O52/E52,"")</f>
        <v/>
      </c>
      <c r="W52" s="24">
        <f>IFERROR(L52/F52,"")</f>
        <v/>
      </c>
      <c r="X52" s="26">
        <f>IFERROR(IF(NOT(ISNUMBER($E52)),"",IF($E52&gt;=Scoring_Criteria!$D$4,5,IF($E52&gt;=Scoring_Criteria!$E$4,4,IF($E52&gt;=Scoring_Criteria!$F$4,3,IF($E52&gt;=Scoring_Criteria!$G$4,2,1))))),"")</f>
        <v/>
      </c>
      <c r="Y52" s="26">
        <f>IFERROR(IF(OR(NOT(ISNUMBER($F52)),NOT(ISNUMBER($E52)),$E52=0),"",IF(($F52/$E52)&gt;=Scoring_Criteria!$D$5,5,IF(($F52/$E52)&gt;=Scoring_Criteria!$E$5,4,IF(($F52/$E52)&gt;=Scoring_Criteria!$F$5,3,IF(($F52/$E52)&gt;=Scoring_Criteria!$G$5,2,1))))),"")</f>
        <v/>
      </c>
      <c r="Z52" s="26">
        <f>IFERROR(IF(AND(NOT(ISNUMBER($I52)),NOT(ISNUMBER($J52))),"",IF((IFERROR($I52,0)+IFERROR($J52,0))&gt;=Scoring_Criteria!$D$6,5,IF((IFERROR($I52,0)+IFERROR($J52,0))&gt;=Scoring_Criteria!$E$6,4,IF((IFERROR($I52,0)+IFERROR($J52,0))&gt;=Scoring_Criteria!$F$6,3,IF((IFERROR($I52,0)+IFERROR($J52,0))&gt;=Scoring_Criteria!$G$6,2,1))))),"")</f>
        <v/>
      </c>
      <c r="AA52" s="26">
        <f>IFERROR(IF(NOT(ISNUMBER($M52)),"",IF($M52&gt;=Scoring_Criteria!$D$7,5,IF($M52&gt;=Scoring_Criteria!$E$7,4,IF($M52&gt;=Scoring_Criteria!$F$7,3,IF($M52&gt;=Scoring_Criteria!$G$7,2,1))))),"")</f>
        <v/>
      </c>
      <c r="AB52" s="26">
        <f>IFERROR(IF(NOT(ISNUMBER($T52)),"",IF($T52&gt;=Scoring_Criteria!$D$8,5,IF($T52&gt;=Scoring_Criteria!$E$8,4,IF($T52&gt;=Scoring_Criteria!$F$8,3,IF($T52&gt;=Scoring_Criteria!$G$8,2,1))))),"")</f>
        <v/>
      </c>
      <c r="AC52" s="26">
        <f>IFERROR(IF(NOT(ISNUMBER($U52)),"",IF($U52&lt;=Scoring_Criteria!$D$9,5,IF($U52&lt;=Scoring_Criteria!$E$9,4,IF($U52&lt;=Scoring_Criteria!$F$9,3,IF($U52&lt;=Scoring_Criteria!$G$9,2,1))))),"")</f>
        <v/>
      </c>
      <c r="AD52" s="26">
        <f t="array" ref="AD52">IFERROR(IF(NOT(ISNUMBER(_xlfn.XLOOKUP($A52&amp;"|"&amp;$C52,Financials!$A$2:$A$201&amp;"|"&amp;Financials!$B$2:$B$201,Financials!$AD$2:$AD$201,""))),"",IF(_xlfn.XLOOKUP($A52&amp;"|"&amp;$C52,Financials!$A$2:$A$201&amp;"|"&amp;Financials!$B$2:$B$201,Financials!$AD$2:$AD$201,"")&gt;=Scoring_Criteria!$D$10,5,IF(_xlfn.XLOOKUP($A52&amp;"|"&amp;$C52,Financials!$A$2:$A$201&amp;"|"&amp;Financials!$B$2:$B$201,Financials!$AD$2:$AD$201,"")&gt;=Scoring_Criteria!$E$10,4,IF(_xlfn.XLOOKUP($A52&amp;"|"&amp;$C52,Financials!$A$2:$A$201&amp;"|"&amp;Financials!$B$2:$B$201,Financials!$AD$2:$AD$201,"")&gt;=Scoring_Criteria!$F$10,3,IF(_xlfn.XLOOKUP($A52&amp;"|"&amp;$C52,Financials!$A$2:$A$201&amp;"|"&amp;Financials!$B$2:$B$201,Financials!$AD$2:$AD$201,"")&gt;=Scoring_Criteria!$G$10,2,1))))),"")</f>
        <v/>
      </c>
      <c r="AE52" s="27" t="n"/>
      <c r="AF52" s="27" t="n"/>
      <c r="AG52" s="28">
        <f>IFERROR(IF(COUNTA(X52:AF52)=0,"",AVERAGE(X52:AF52)),"")</f>
        <v/>
      </c>
      <c r="AH52" s="29" t="n"/>
      <c r="AI52" s="29" t="n"/>
      <c r="AJ52" s="29" t="n"/>
      <c r="AK52" s="29" t="n"/>
      <c r="AL52" s="29" t="n"/>
      <c r="AM52" s="29" t="n"/>
      <c r="AN52" s="29" t="n"/>
      <c r="AO52" s="29" t="n"/>
      <c r="AP52" s="29" t="n"/>
      <c r="AQ52" s="29" t="n"/>
      <c r="AR52" s="29" t="n"/>
      <c r="AS52" s="29" t="n"/>
      <c r="AT52" s="29" t="n"/>
      <c r="AU52">
        <f>IFERROR(Validation_Summary!Q5,"")</f>
        <v/>
      </c>
    </row>
    <row r="53" ht="15" customHeight="1" s="67">
      <c r="A53" s="6" t="inlineStr">
        <is>
          <t>PT Mahkota Group Tbk</t>
        </is>
      </c>
      <c r="B53" s="19">
        <f t="array" ref="B53">IFERROR(_xlfn.XLOOKUP($A53&amp;"|"&amp;$C53,'Company_Master'!$A$2:$A$94&amp;"|"&amp;'Company_Master'!$D$2:$D$94,'Company_Master'!$B$2:$B$94,""),"")</f>
        <v/>
      </c>
      <c r="C53" s="98" t="n">
        <v>2024</v>
      </c>
      <c r="D53" s="19">
        <f t="array" ref="D53">IFERROR(_xlfn.XLOOKUP($A53&amp;"|"&amp;$C53,'Company_Master'!$A$2:$A$94&amp;"|"&amp;'Company_Master'!$D$2:$D$94,'Company_Master'!$H$2:$H$94,""),"")</f>
        <v/>
      </c>
      <c r="E53" s="98">
        <f t="array" ref="E53">IFERROR(_xlfn.XLOOKUP($A53&amp;"|"&amp;$C53,Asset_Operations!$A$2:$A$201&amp;"|"&amp;Asset_Operations!$BG$2:$BG$201,Asset_Operations!$B$2:$B$201,""),"")</f>
        <v/>
      </c>
      <c r="F53" s="98">
        <f t="array" ref="F53">IFERROR(_xlfn.XLOOKUP($A53&amp;"|"&amp;$C53,Asset_Operations!$A$2:$A$201&amp;"|"&amp;Asset_Operations!$BG$2:$BG$201,Asset_Operations!$E$2:$E$201,""),"")</f>
        <v/>
      </c>
      <c r="G53" s="98">
        <f t="array" ref="G53">IFERROR(_xlfn.XLOOKUP($A53&amp;"|"&amp;$C53,Asset_Operations!$A$2:$A$201&amp;"|"&amp;Asset_Operations!$BG$2:$BG$201,Asset_Operations!$I$2:$I$201,""),"")</f>
        <v/>
      </c>
      <c r="H53" s="98">
        <f t="array" ref="H53">IFERROR(_xlfn.XLOOKUP($A53&amp;"|"&amp;$C53,Asset_Operations!$A$2:$A$201&amp;"|"&amp;Asset_Operations!$BG$2:$BG$201,Asset_Operations!$J$2:$J$201,""),"")</f>
        <v/>
      </c>
      <c r="I53" s="98">
        <f t="array" ref="I53">IFERROR(_xlfn.XLOOKUP($A53&amp;"|"&amp;$C53,Asset_Operations!$A$2:$A$201&amp;"|"&amp;Asset_Operations!$BG$2:$BG$201,Asset_Operations!$O$2:$O$201,""),"")</f>
        <v/>
      </c>
      <c r="J53" s="98">
        <f t="array" ref="J53">IFERROR(_xlfn.XLOOKUP($A53&amp;"|"&amp;$C53,Asset_Operations!$A$2:$A$201&amp;"|"&amp;Asset_Operations!$BG$2:$BG$201,Asset_Operations!$S$2:$S$201,""),"")</f>
        <v/>
      </c>
      <c r="K53" s="98">
        <f t="array" ref="K53">IFERROR(_xlfn.XLOOKUP($A53&amp;"|"&amp;$C53,Asset_Operations!$A$2:$A$201&amp;"|"&amp;Asset_Operations!$BG$2:$BG$201,Asset_Operations!$AC$2:$AC$201,""),"")</f>
        <v/>
      </c>
      <c r="L53" s="98">
        <f t="array" ref="L53">IFERROR(_xlfn.XLOOKUP($A53&amp;"|"&amp;$C53,Asset_Operations!$A$2:$A$201&amp;"|"&amp;Asset_Operations!$BG$2:$BG$201,Asset_Operations!$AG$2:$AG$201,""),"")</f>
        <v/>
      </c>
      <c r="M53" s="98">
        <f t="array" ref="M53">IFERROR(_xlfn.XLOOKUP($A53&amp;"|"&amp;$C53,Asset_Operations!$A$2:$A$201&amp;"|"&amp;Asset_Operations!$BG$2:$BG$201,Asset_Operations!$AO$2:$AO$201,""),"")</f>
        <v/>
      </c>
      <c r="N53" s="99">
        <f t="array" ref="N53">IFERROR(_xlfn.XLOOKUP($A53&amp;"|"&amp;$C53,Asset_Operations!$A$2:$A$201&amp;"|"&amp;Asset_Operations!$BG$2:$BG$201,Asset_Operations!$AR$2:$AR$201,""),"")</f>
        <v/>
      </c>
      <c r="O53" s="100">
        <f t="array" ref="O53">IFERROR(_xlfn.XLOOKUP($A53&amp;"|"&amp;$C53,Financials!$A$2:$A$201&amp;"|"&amp;Financials!$B$2:$B$201,Financials!$C$2:$C$201,""),"")</f>
        <v/>
      </c>
      <c r="P53" s="100">
        <f t="array" ref="P53">IFERROR(_xlfn.XLOOKUP($A53&amp;"|"&amp;$C53,Financials!$A$2:$A$201&amp;"|"&amp;Financials!$B$2:$B$201,Financials!$E$2:$E$201,""),"")</f>
        <v/>
      </c>
      <c r="Q53" s="100">
        <f t="array" ref="Q53">IFERROR(_xlfn.XLOOKUP($A53&amp;"|"&amp;$C53,Financials!$A$2:$A$201&amp;"|"&amp;Financials!$B$2:$B$201,Financials!$G$2:$G$201,""),"")</f>
        <v/>
      </c>
      <c r="R53" s="100">
        <f t="array" ref="R53">IFERROR(_xlfn.XLOOKUP($A53&amp;"|"&amp;$C53,Financials!$A$2:$A$201&amp;"|"&amp;Financials!$B$2:$B$201,Financials!$S$2:$S$201,""),"")</f>
        <v/>
      </c>
      <c r="S53" s="100">
        <f t="array" ref="S53">IFERROR(_xlfn.XLOOKUP($A53&amp;"|"&amp;$C53,Financials!$A$2:$A$201&amp;"|"&amp;Financials!$B$2:$B$201,Financials!$AC$2:$AC$201,""),"")</f>
        <v/>
      </c>
      <c r="T53" s="101">
        <f>IFERROR(P53/O53,"")</f>
        <v/>
      </c>
      <c r="U53" s="24">
        <f>IFERROR(R53/P53,"")</f>
        <v/>
      </c>
      <c r="V53" s="102">
        <f>IFERROR(O53/E53,"")</f>
        <v/>
      </c>
      <c r="W53" s="24">
        <f>IFERROR(L53/F53,"")</f>
        <v/>
      </c>
      <c r="X53" s="26">
        <f>IFERROR(IF(NOT(ISNUMBER($E53)),"",IF($E53&gt;=Scoring_Criteria!$D$4,5,IF($E53&gt;=Scoring_Criteria!$E$4,4,IF($E53&gt;=Scoring_Criteria!$F$4,3,IF($E53&gt;=Scoring_Criteria!$G$4,2,1))))),"")</f>
        <v/>
      </c>
      <c r="Y53" s="26">
        <f>IFERROR(IF(OR(NOT(ISNUMBER($F53)),NOT(ISNUMBER($E53)),$E53=0),"",IF(($F53/$E53)&gt;=Scoring_Criteria!$D$5,5,IF(($F53/$E53)&gt;=Scoring_Criteria!$E$5,4,IF(($F53/$E53)&gt;=Scoring_Criteria!$F$5,3,IF(($F53/$E53)&gt;=Scoring_Criteria!$G$5,2,1))))),"")</f>
        <v/>
      </c>
      <c r="Z53" s="26">
        <f>IFERROR(IF(AND(NOT(ISNUMBER($I53)),NOT(ISNUMBER($J53))),"",IF((IFERROR($I53,0)+IFERROR($J53,0))&gt;=Scoring_Criteria!$D$6,5,IF((IFERROR($I53,0)+IFERROR($J53,0))&gt;=Scoring_Criteria!$E$6,4,IF((IFERROR($I53,0)+IFERROR($J53,0))&gt;=Scoring_Criteria!$F$6,3,IF((IFERROR($I53,0)+IFERROR($J53,0))&gt;=Scoring_Criteria!$G$6,2,1))))),"")</f>
        <v/>
      </c>
      <c r="AA53" s="26">
        <f>IFERROR(IF(NOT(ISNUMBER($M53)),"",IF($M53&gt;=Scoring_Criteria!$D$7,5,IF($M53&gt;=Scoring_Criteria!$E$7,4,IF($M53&gt;=Scoring_Criteria!$F$7,3,IF($M53&gt;=Scoring_Criteria!$G$7,2,1))))),"")</f>
        <v/>
      </c>
      <c r="AB53" s="26">
        <f>IFERROR(IF(NOT(ISNUMBER($T53)),"",IF($T53&gt;=Scoring_Criteria!$D$8,5,IF($T53&gt;=Scoring_Criteria!$E$8,4,IF($T53&gt;=Scoring_Criteria!$F$8,3,IF($T53&gt;=Scoring_Criteria!$G$8,2,1))))),"")</f>
        <v/>
      </c>
      <c r="AC53" s="26">
        <f>IFERROR(IF(NOT(ISNUMBER($U53)),"",IF($U53&lt;=Scoring_Criteria!$D$9,5,IF($U53&lt;=Scoring_Criteria!$E$9,4,IF($U53&lt;=Scoring_Criteria!$F$9,3,IF($U53&lt;=Scoring_Criteria!$G$9,2,1))))),"")</f>
        <v/>
      </c>
      <c r="AD53" s="26">
        <f t="array" ref="AD53">IFERROR(IF(NOT(ISNUMBER(_xlfn.XLOOKUP($A53&amp;"|"&amp;$C53,Financials!$A$2:$A$201&amp;"|"&amp;Financials!$B$2:$B$201,Financials!$AD$2:$AD$201,""))),"",IF(_xlfn.XLOOKUP($A53&amp;"|"&amp;$C53,Financials!$A$2:$A$201&amp;"|"&amp;Financials!$B$2:$B$201,Financials!$AD$2:$AD$201,"")&gt;=Scoring_Criteria!$D$10,5,IF(_xlfn.XLOOKUP($A53&amp;"|"&amp;$C53,Financials!$A$2:$A$201&amp;"|"&amp;Financials!$B$2:$B$201,Financials!$AD$2:$AD$201,"")&gt;=Scoring_Criteria!$E$10,4,IF(_xlfn.XLOOKUP($A53&amp;"|"&amp;$C53,Financials!$A$2:$A$201&amp;"|"&amp;Financials!$B$2:$B$201,Financials!$AD$2:$AD$201,"")&gt;=Scoring_Criteria!$F$10,3,IF(_xlfn.XLOOKUP($A53&amp;"|"&amp;$C53,Financials!$A$2:$A$201&amp;"|"&amp;Financials!$B$2:$B$201,Financials!$AD$2:$AD$201,"")&gt;=Scoring_Criteria!$G$10,2,1))))),"")</f>
        <v/>
      </c>
      <c r="AE53" s="27" t="n"/>
      <c r="AF53" s="27" t="n"/>
      <c r="AG53" s="28">
        <f>IFERROR(IF(COUNTA(X53:AF53)=0,"",AVERAGE(X53:AF53)),"")</f>
        <v/>
      </c>
      <c r="AH53" s="29" t="n"/>
      <c r="AI53" s="29" t="n"/>
      <c r="AJ53" s="29" t="n"/>
      <c r="AK53" s="29" t="n"/>
      <c r="AL53" s="29" t="n"/>
      <c r="AM53" s="29" t="n"/>
      <c r="AN53" s="29" t="n"/>
      <c r="AO53" s="29" t="n"/>
      <c r="AP53" s="29" t="n"/>
      <c r="AQ53" s="29" t="n"/>
      <c r="AR53" s="29" t="n"/>
      <c r="AS53" s="29" t="n"/>
      <c r="AT53" s="29" t="n"/>
      <c r="AU53">
        <f>IFERROR(Validation_Summary!Q5,"")</f>
        <v/>
      </c>
    </row>
    <row r="54" ht="15" customHeight="1" s="67">
      <c r="A54" s="6" t="inlineStr">
        <is>
          <t>PT Menthobi Karyatama Raya Tbk</t>
        </is>
      </c>
      <c r="B54" s="19">
        <f t="array" ref="B54">IFERROR(_xlfn.XLOOKUP($A54&amp;"|"&amp;$C54,'Company_Master'!$A$2:$A$94&amp;"|"&amp;'Company_Master'!$D$2:$D$94,'Company_Master'!$B$2:$B$94,""),"")</f>
        <v/>
      </c>
      <c r="C54" s="98" t="n">
        <v>2022</v>
      </c>
      <c r="D54" s="19">
        <f t="array" ref="D54">IFERROR(_xlfn.XLOOKUP($A54&amp;"|"&amp;$C54,'Company_Master'!$A$2:$A$94&amp;"|"&amp;'Company_Master'!$D$2:$D$94,'Company_Master'!$H$2:$H$94,""),"")</f>
        <v/>
      </c>
      <c r="E54" s="98">
        <f t="array" ref="E54">IFERROR(_xlfn.XLOOKUP($A54&amp;"|"&amp;$C54,Asset_Operations!$A$2:$A$201&amp;"|"&amp;Asset_Operations!$BG$2:$BG$201,Asset_Operations!$B$2:$B$201,""),"")</f>
        <v/>
      </c>
      <c r="F54" s="98">
        <f t="array" ref="F54">IFERROR(_xlfn.XLOOKUP($A54&amp;"|"&amp;$C54,Asset_Operations!$A$2:$A$201&amp;"|"&amp;Asset_Operations!$BG$2:$BG$201,Asset_Operations!$E$2:$E$201,""),"")</f>
        <v/>
      </c>
      <c r="G54" s="98">
        <f t="array" ref="G54">IFERROR(_xlfn.XLOOKUP($A54&amp;"|"&amp;$C54,Asset_Operations!$A$2:$A$201&amp;"|"&amp;Asset_Operations!$BG$2:$BG$201,Asset_Operations!$I$2:$I$201,""),"")</f>
        <v/>
      </c>
      <c r="H54" s="98">
        <f t="array" ref="H54">IFERROR(_xlfn.XLOOKUP($A54&amp;"|"&amp;$C54,Asset_Operations!$A$2:$A$201&amp;"|"&amp;Asset_Operations!$BG$2:$BG$201,Asset_Operations!$J$2:$J$201,""),"")</f>
        <v/>
      </c>
      <c r="I54" s="98">
        <f t="array" ref="I54">IFERROR(_xlfn.XLOOKUP($A54&amp;"|"&amp;$C54,Asset_Operations!$A$2:$A$201&amp;"|"&amp;Asset_Operations!$BG$2:$BG$201,Asset_Operations!$O$2:$O$201,""),"")</f>
        <v/>
      </c>
      <c r="J54" s="98">
        <f t="array" ref="J54">IFERROR(_xlfn.XLOOKUP($A54&amp;"|"&amp;$C54,Asset_Operations!$A$2:$A$201&amp;"|"&amp;Asset_Operations!$BG$2:$BG$201,Asset_Operations!$S$2:$S$201,""),"")</f>
        <v/>
      </c>
      <c r="K54" s="98">
        <f t="array" ref="K54">IFERROR(_xlfn.XLOOKUP($A54&amp;"|"&amp;$C54,Asset_Operations!$A$2:$A$201&amp;"|"&amp;Asset_Operations!$BG$2:$BG$201,Asset_Operations!$AC$2:$AC$201,""),"")</f>
        <v/>
      </c>
      <c r="L54" s="98">
        <f t="array" ref="L54">IFERROR(_xlfn.XLOOKUP($A54&amp;"|"&amp;$C54,Asset_Operations!$A$2:$A$201&amp;"|"&amp;Asset_Operations!$BG$2:$BG$201,Asset_Operations!$AG$2:$AG$201,""),"")</f>
        <v/>
      </c>
      <c r="M54" s="98">
        <f t="array" ref="M54">IFERROR(_xlfn.XLOOKUP($A54&amp;"|"&amp;$C54,Asset_Operations!$A$2:$A$201&amp;"|"&amp;Asset_Operations!$BG$2:$BG$201,Asset_Operations!$AO$2:$AO$201,""),"")</f>
        <v/>
      </c>
      <c r="N54" s="99">
        <f t="array" ref="N54">IFERROR(_xlfn.XLOOKUP($A54&amp;"|"&amp;$C54,Asset_Operations!$A$2:$A$201&amp;"|"&amp;Asset_Operations!$BG$2:$BG$201,Asset_Operations!$AR$2:$AR$201,""),"")</f>
        <v/>
      </c>
      <c r="O54" s="100">
        <f t="array" ref="O54">IFERROR(_xlfn.XLOOKUP($A54&amp;"|"&amp;$C54,Financials!$A$2:$A$201&amp;"|"&amp;Financials!$B$2:$B$201,Financials!$C$2:$C$201,""),"")</f>
        <v/>
      </c>
      <c r="P54" s="100">
        <f t="array" ref="P54">IFERROR(_xlfn.XLOOKUP($A54&amp;"|"&amp;$C54,Financials!$A$2:$A$201&amp;"|"&amp;Financials!$B$2:$B$201,Financials!$E$2:$E$201,""),"")</f>
        <v/>
      </c>
      <c r="Q54" s="100">
        <f t="array" ref="Q54">IFERROR(_xlfn.XLOOKUP($A54&amp;"|"&amp;$C54,Financials!$A$2:$A$201&amp;"|"&amp;Financials!$B$2:$B$201,Financials!$G$2:$G$201,""),"")</f>
        <v/>
      </c>
      <c r="R54" s="100">
        <f t="array" ref="R54">IFERROR(_xlfn.XLOOKUP($A54&amp;"|"&amp;$C54,Financials!$A$2:$A$201&amp;"|"&amp;Financials!$B$2:$B$201,Financials!$S$2:$S$201,""),"")</f>
        <v/>
      </c>
      <c r="S54" s="100">
        <f t="array" ref="S54">IFERROR(_xlfn.XLOOKUP($A54&amp;"|"&amp;$C54,Financials!$A$2:$A$201&amp;"|"&amp;Financials!$B$2:$B$201,Financials!$AC$2:$AC$201,""),"")</f>
        <v/>
      </c>
      <c r="T54" s="101">
        <f>IFERROR(P54/O54,"")</f>
        <v/>
      </c>
      <c r="U54" s="24">
        <f>IFERROR(R54/P54,"")</f>
        <v/>
      </c>
      <c r="V54" s="102">
        <f>IFERROR(O54/E54,"")</f>
        <v/>
      </c>
      <c r="W54" s="24">
        <f>IFERROR(L54/F54,"")</f>
        <v/>
      </c>
      <c r="X54" s="26">
        <f>IFERROR(IF(NOT(ISNUMBER($E54)),"",IF($E54&gt;=Scoring_Criteria!$D$4,5,IF($E54&gt;=Scoring_Criteria!$E$4,4,IF($E54&gt;=Scoring_Criteria!$F$4,3,IF($E54&gt;=Scoring_Criteria!$G$4,2,1))))),"")</f>
        <v/>
      </c>
      <c r="Y54" s="26">
        <f>IFERROR(IF(OR(NOT(ISNUMBER($F54)),NOT(ISNUMBER($E54)),$E54=0),"",IF(($F54/$E54)&gt;=Scoring_Criteria!$D$5,5,IF(($F54/$E54)&gt;=Scoring_Criteria!$E$5,4,IF(($F54/$E54)&gt;=Scoring_Criteria!$F$5,3,IF(($F54/$E54)&gt;=Scoring_Criteria!$G$5,2,1))))),"")</f>
        <v/>
      </c>
      <c r="Z54" s="26">
        <f>IFERROR(IF(AND(NOT(ISNUMBER($I54)),NOT(ISNUMBER($J54))),"",IF((IFERROR($I54,0)+IFERROR($J54,0))&gt;=Scoring_Criteria!$D$6,5,IF((IFERROR($I54,0)+IFERROR($J54,0))&gt;=Scoring_Criteria!$E$6,4,IF((IFERROR($I54,0)+IFERROR($J54,0))&gt;=Scoring_Criteria!$F$6,3,IF((IFERROR($I54,0)+IFERROR($J54,0))&gt;=Scoring_Criteria!$G$6,2,1))))),"")</f>
        <v/>
      </c>
      <c r="AA54" s="26">
        <f>IFERROR(IF(NOT(ISNUMBER($M54)),"",IF($M54&gt;=Scoring_Criteria!$D$7,5,IF($M54&gt;=Scoring_Criteria!$E$7,4,IF($M54&gt;=Scoring_Criteria!$F$7,3,IF($M54&gt;=Scoring_Criteria!$G$7,2,1))))),"")</f>
        <v/>
      </c>
      <c r="AB54" s="26">
        <f>IFERROR(IF(NOT(ISNUMBER($T54)),"",IF($T54&gt;=Scoring_Criteria!$D$8,5,IF($T54&gt;=Scoring_Criteria!$E$8,4,IF($T54&gt;=Scoring_Criteria!$F$8,3,IF($T54&gt;=Scoring_Criteria!$G$8,2,1))))),"")</f>
        <v/>
      </c>
      <c r="AC54" s="26">
        <f>IFERROR(IF(NOT(ISNUMBER($U54)),"",IF($U54&lt;=Scoring_Criteria!$D$9,5,IF($U54&lt;=Scoring_Criteria!$E$9,4,IF($U54&lt;=Scoring_Criteria!$F$9,3,IF($U54&lt;=Scoring_Criteria!$G$9,2,1))))),"")</f>
        <v/>
      </c>
      <c r="AD54" s="26">
        <f t="array" ref="AD54">IFERROR(IF(NOT(ISNUMBER(_xlfn.XLOOKUP($A54&amp;"|"&amp;$C54,Financials!$A$2:$A$201&amp;"|"&amp;Financials!$B$2:$B$201,Financials!$AD$2:$AD$201,""))),"",IF(_xlfn.XLOOKUP($A54&amp;"|"&amp;$C54,Financials!$A$2:$A$201&amp;"|"&amp;Financials!$B$2:$B$201,Financials!$AD$2:$AD$201,"")&gt;=Scoring_Criteria!$D$10,5,IF(_xlfn.XLOOKUP($A54&amp;"|"&amp;$C54,Financials!$A$2:$A$201&amp;"|"&amp;Financials!$B$2:$B$201,Financials!$AD$2:$AD$201,"")&gt;=Scoring_Criteria!$E$10,4,IF(_xlfn.XLOOKUP($A54&amp;"|"&amp;$C54,Financials!$A$2:$A$201&amp;"|"&amp;Financials!$B$2:$B$201,Financials!$AD$2:$AD$201,"")&gt;=Scoring_Criteria!$F$10,3,IF(_xlfn.XLOOKUP($A54&amp;"|"&amp;$C54,Financials!$A$2:$A$201&amp;"|"&amp;Financials!$B$2:$B$201,Financials!$AD$2:$AD$201,"")&gt;=Scoring_Criteria!$G$10,2,1))))),"")</f>
        <v/>
      </c>
      <c r="AE54" s="27" t="n"/>
      <c r="AF54" s="27" t="n"/>
      <c r="AG54" s="28">
        <f>IFERROR(IF(COUNTA(X54:AF54)=0,"",AVERAGE(X54:AF54)),"")</f>
        <v/>
      </c>
      <c r="AH54" s="29" t="n"/>
      <c r="AI54" s="29" t="n"/>
      <c r="AJ54" s="29" t="n"/>
      <c r="AK54" s="29" t="n"/>
      <c r="AL54" s="29" t="n"/>
      <c r="AM54" s="29" t="n"/>
      <c r="AN54" s="29" t="n"/>
      <c r="AO54" s="29" t="n"/>
      <c r="AP54" s="29" t="n"/>
      <c r="AQ54" s="29" t="n"/>
      <c r="AR54" s="29" t="n"/>
      <c r="AS54" s="29" t="n"/>
      <c r="AT54" s="29" t="n"/>
      <c r="AU54">
        <f>IFERROR(Validation_Summary!Q5,"")</f>
        <v/>
      </c>
    </row>
    <row r="55" ht="15" customHeight="1" s="67">
      <c r="A55" s="6" t="inlineStr">
        <is>
          <t>PT Menthobi Karyatama Raya Tbk</t>
        </is>
      </c>
      <c r="B55" s="19">
        <f t="array" ref="B55">IFERROR(_xlfn.XLOOKUP($A55&amp;"|"&amp;$C55,'Company_Master'!$A$2:$A$94&amp;"|"&amp;'Company_Master'!$D$2:$D$94,'Company_Master'!$B$2:$B$94,""),"")</f>
        <v/>
      </c>
      <c r="C55" s="98" t="n">
        <v>2023</v>
      </c>
      <c r="D55" s="19">
        <f t="array" ref="D55">IFERROR(_xlfn.XLOOKUP($A55&amp;"|"&amp;$C55,'Company_Master'!$A$2:$A$94&amp;"|"&amp;'Company_Master'!$D$2:$D$94,'Company_Master'!$H$2:$H$94,""),"")</f>
        <v/>
      </c>
      <c r="E55" s="98">
        <f t="array" ref="E55">IFERROR(_xlfn.XLOOKUP($A55&amp;"|"&amp;$C55,Asset_Operations!$A$2:$A$201&amp;"|"&amp;Asset_Operations!$BG$2:$BG$201,Asset_Operations!$B$2:$B$201,""),"")</f>
        <v/>
      </c>
      <c r="F55" s="98">
        <f t="array" ref="F55">IFERROR(_xlfn.XLOOKUP($A55&amp;"|"&amp;$C55,Asset_Operations!$A$2:$A$201&amp;"|"&amp;Asset_Operations!$BG$2:$BG$201,Asset_Operations!$E$2:$E$201,""),"")</f>
        <v/>
      </c>
      <c r="G55" s="98">
        <f t="array" ref="G55">IFERROR(_xlfn.XLOOKUP($A55&amp;"|"&amp;$C55,Asset_Operations!$A$2:$A$201&amp;"|"&amp;Asset_Operations!$BG$2:$BG$201,Asset_Operations!$I$2:$I$201,""),"")</f>
        <v/>
      </c>
      <c r="H55" s="98">
        <f t="array" ref="H55">IFERROR(_xlfn.XLOOKUP($A55&amp;"|"&amp;$C55,Asset_Operations!$A$2:$A$201&amp;"|"&amp;Asset_Operations!$BG$2:$BG$201,Asset_Operations!$J$2:$J$201,""),"")</f>
        <v/>
      </c>
      <c r="I55" s="98">
        <f t="array" ref="I55">IFERROR(_xlfn.XLOOKUP($A55&amp;"|"&amp;$C55,Asset_Operations!$A$2:$A$201&amp;"|"&amp;Asset_Operations!$BG$2:$BG$201,Asset_Operations!$O$2:$O$201,""),"")</f>
        <v/>
      </c>
      <c r="J55" s="98">
        <f t="array" ref="J55">IFERROR(_xlfn.XLOOKUP($A55&amp;"|"&amp;$C55,Asset_Operations!$A$2:$A$201&amp;"|"&amp;Asset_Operations!$BG$2:$BG$201,Asset_Operations!$S$2:$S$201,""),"")</f>
        <v/>
      </c>
      <c r="K55" s="98">
        <f t="array" ref="K55">IFERROR(_xlfn.XLOOKUP($A55&amp;"|"&amp;$C55,Asset_Operations!$A$2:$A$201&amp;"|"&amp;Asset_Operations!$BG$2:$BG$201,Asset_Operations!$AC$2:$AC$201,""),"")</f>
        <v/>
      </c>
      <c r="L55" s="98">
        <f t="array" ref="L55">IFERROR(_xlfn.XLOOKUP($A55&amp;"|"&amp;$C55,Asset_Operations!$A$2:$A$201&amp;"|"&amp;Asset_Operations!$BG$2:$BG$201,Asset_Operations!$AG$2:$AG$201,""),"")</f>
        <v/>
      </c>
      <c r="M55" s="98">
        <f t="array" ref="M55">IFERROR(_xlfn.XLOOKUP($A55&amp;"|"&amp;$C55,Asset_Operations!$A$2:$A$201&amp;"|"&amp;Asset_Operations!$BG$2:$BG$201,Asset_Operations!$AO$2:$AO$201,""),"")</f>
        <v/>
      </c>
      <c r="N55" s="99">
        <f t="array" ref="N55">IFERROR(_xlfn.XLOOKUP($A55&amp;"|"&amp;$C55,Asset_Operations!$A$2:$A$201&amp;"|"&amp;Asset_Operations!$BG$2:$BG$201,Asset_Operations!$AR$2:$AR$201,""),"")</f>
        <v/>
      </c>
      <c r="O55" s="100">
        <f t="array" ref="O55">IFERROR(_xlfn.XLOOKUP($A55&amp;"|"&amp;$C55,Financials!$A$2:$A$201&amp;"|"&amp;Financials!$B$2:$B$201,Financials!$C$2:$C$201,""),"")</f>
        <v/>
      </c>
      <c r="P55" s="100">
        <f t="array" ref="P55">IFERROR(_xlfn.XLOOKUP($A55&amp;"|"&amp;$C55,Financials!$A$2:$A$201&amp;"|"&amp;Financials!$B$2:$B$201,Financials!$E$2:$E$201,""),"")</f>
        <v/>
      </c>
      <c r="Q55" s="100">
        <f t="array" ref="Q55">IFERROR(_xlfn.XLOOKUP($A55&amp;"|"&amp;$C55,Financials!$A$2:$A$201&amp;"|"&amp;Financials!$B$2:$B$201,Financials!$G$2:$G$201,""),"")</f>
        <v/>
      </c>
      <c r="R55" s="100">
        <f t="array" ref="R55">IFERROR(_xlfn.XLOOKUP($A55&amp;"|"&amp;$C55,Financials!$A$2:$A$201&amp;"|"&amp;Financials!$B$2:$B$201,Financials!$S$2:$S$201,""),"")</f>
        <v/>
      </c>
      <c r="S55" s="100">
        <f t="array" ref="S55">IFERROR(_xlfn.XLOOKUP($A55&amp;"|"&amp;$C55,Financials!$A$2:$A$201&amp;"|"&amp;Financials!$B$2:$B$201,Financials!$AC$2:$AC$201,""),"")</f>
        <v/>
      </c>
      <c r="T55" s="101">
        <f>IFERROR(P55/O55,"")</f>
        <v/>
      </c>
      <c r="U55" s="24">
        <f>IFERROR(R55/P55,"")</f>
        <v/>
      </c>
      <c r="V55" s="102">
        <f>IFERROR(O55/E55,"")</f>
        <v/>
      </c>
      <c r="W55" s="24">
        <f>IFERROR(L55/F55,"")</f>
        <v/>
      </c>
      <c r="X55" s="26">
        <f>IFERROR(IF(NOT(ISNUMBER($E55)),"",IF($E55&gt;=Scoring_Criteria!$D$4,5,IF($E55&gt;=Scoring_Criteria!$E$4,4,IF($E55&gt;=Scoring_Criteria!$F$4,3,IF($E55&gt;=Scoring_Criteria!$G$4,2,1))))),"")</f>
        <v/>
      </c>
      <c r="Y55" s="26">
        <f>IFERROR(IF(OR(NOT(ISNUMBER($F55)),NOT(ISNUMBER($E55)),$E55=0),"",IF(($F55/$E55)&gt;=Scoring_Criteria!$D$5,5,IF(($F55/$E55)&gt;=Scoring_Criteria!$E$5,4,IF(($F55/$E55)&gt;=Scoring_Criteria!$F$5,3,IF(($F55/$E55)&gt;=Scoring_Criteria!$G$5,2,1))))),"")</f>
        <v/>
      </c>
      <c r="Z55" s="26">
        <f>IFERROR(IF(AND(NOT(ISNUMBER($I55)),NOT(ISNUMBER($J55))),"",IF((IFERROR($I55,0)+IFERROR($J55,0))&gt;=Scoring_Criteria!$D$6,5,IF((IFERROR($I55,0)+IFERROR($J55,0))&gt;=Scoring_Criteria!$E$6,4,IF((IFERROR($I55,0)+IFERROR($J55,0))&gt;=Scoring_Criteria!$F$6,3,IF((IFERROR($I55,0)+IFERROR($J55,0))&gt;=Scoring_Criteria!$G$6,2,1))))),"")</f>
        <v/>
      </c>
      <c r="AA55" s="26">
        <f>IFERROR(IF(NOT(ISNUMBER($M55)),"",IF($M55&gt;=Scoring_Criteria!$D$7,5,IF($M55&gt;=Scoring_Criteria!$E$7,4,IF($M55&gt;=Scoring_Criteria!$F$7,3,IF($M55&gt;=Scoring_Criteria!$G$7,2,1))))),"")</f>
        <v/>
      </c>
      <c r="AB55" s="26">
        <f>IFERROR(IF(NOT(ISNUMBER($T55)),"",IF($T55&gt;=Scoring_Criteria!$D$8,5,IF($T55&gt;=Scoring_Criteria!$E$8,4,IF($T55&gt;=Scoring_Criteria!$F$8,3,IF($T55&gt;=Scoring_Criteria!$G$8,2,1))))),"")</f>
        <v/>
      </c>
      <c r="AC55" s="26">
        <f>IFERROR(IF(NOT(ISNUMBER($U55)),"",IF($U55&lt;=Scoring_Criteria!$D$9,5,IF($U55&lt;=Scoring_Criteria!$E$9,4,IF($U55&lt;=Scoring_Criteria!$F$9,3,IF($U55&lt;=Scoring_Criteria!$G$9,2,1))))),"")</f>
        <v/>
      </c>
      <c r="AD55" s="26">
        <f t="array" ref="AD55">IFERROR(IF(NOT(ISNUMBER(_xlfn.XLOOKUP($A55&amp;"|"&amp;$C55,Financials!$A$2:$A$201&amp;"|"&amp;Financials!$B$2:$B$201,Financials!$AD$2:$AD$201,""))),"",IF(_xlfn.XLOOKUP($A55&amp;"|"&amp;$C55,Financials!$A$2:$A$201&amp;"|"&amp;Financials!$B$2:$B$201,Financials!$AD$2:$AD$201,"")&gt;=Scoring_Criteria!$D$10,5,IF(_xlfn.XLOOKUP($A55&amp;"|"&amp;$C55,Financials!$A$2:$A$201&amp;"|"&amp;Financials!$B$2:$B$201,Financials!$AD$2:$AD$201,"")&gt;=Scoring_Criteria!$E$10,4,IF(_xlfn.XLOOKUP($A55&amp;"|"&amp;$C55,Financials!$A$2:$A$201&amp;"|"&amp;Financials!$B$2:$B$201,Financials!$AD$2:$AD$201,"")&gt;=Scoring_Criteria!$F$10,3,IF(_xlfn.XLOOKUP($A55&amp;"|"&amp;$C55,Financials!$A$2:$A$201&amp;"|"&amp;Financials!$B$2:$B$201,Financials!$AD$2:$AD$201,"")&gt;=Scoring_Criteria!$G$10,2,1))))),"")</f>
        <v/>
      </c>
      <c r="AE55" s="27" t="n"/>
      <c r="AF55" s="27" t="n"/>
      <c r="AG55" s="28">
        <f>IFERROR(IF(COUNTA(X55:AF55)=0,"",AVERAGE(X55:AF55)),"")</f>
        <v/>
      </c>
      <c r="AH55" s="29" t="n"/>
      <c r="AI55" s="29" t="n"/>
      <c r="AJ55" s="29" t="n"/>
      <c r="AK55" s="29" t="n"/>
      <c r="AL55" s="29" t="n"/>
      <c r="AM55" s="29" t="n"/>
      <c r="AN55" s="29" t="n"/>
      <c r="AO55" s="29" t="n"/>
      <c r="AP55" s="29" t="n"/>
      <c r="AQ55" s="29" t="n"/>
      <c r="AR55" s="29" t="n"/>
      <c r="AS55" s="29" t="n"/>
      <c r="AT55" s="29" t="n"/>
      <c r="AU55">
        <f>IFERROR(Validation_Summary!Q5,"")</f>
        <v/>
      </c>
    </row>
    <row r="56" ht="15" customHeight="1" s="67">
      <c r="A56" s="6" t="inlineStr">
        <is>
          <t>PT Menthobi Karyatama Raya Tbk</t>
        </is>
      </c>
      <c r="B56" s="19">
        <f t="array" ref="B56">IFERROR(_xlfn.XLOOKUP($A56&amp;"|"&amp;$C56,'Company_Master'!$A$2:$A$94&amp;"|"&amp;'Company_Master'!$D$2:$D$94,'Company_Master'!$B$2:$B$94,""),"")</f>
        <v/>
      </c>
      <c r="C56" s="98" t="n">
        <v>2024</v>
      </c>
      <c r="D56" s="19">
        <f t="array" ref="D56">IFERROR(_xlfn.XLOOKUP($A56&amp;"|"&amp;$C56,'Company_Master'!$A$2:$A$94&amp;"|"&amp;'Company_Master'!$D$2:$D$94,'Company_Master'!$H$2:$H$94,""),"")</f>
        <v/>
      </c>
      <c r="E56" s="98">
        <f t="array" ref="E56">IFERROR(_xlfn.XLOOKUP($A56&amp;"|"&amp;$C56,Asset_Operations!$A$2:$A$201&amp;"|"&amp;Asset_Operations!$BG$2:$BG$201,Asset_Operations!$B$2:$B$201,""),"")</f>
        <v/>
      </c>
      <c r="F56" s="98">
        <f t="array" ref="F56">IFERROR(_xlfn.XLOOKUP($A56&amp;"|"&amp;$C56,Asset_Operations!$A$2:$A$201&amp;"|"&amp;Asset_Operations!$BG$2:$BG$201,Asset_Operations!$E$2:$E$201,""),"")</f>
        <v/>
      </c>
      <c r="G56" s="98">
        <f t="array" ref="G56">IFERROR(_xlfn.XLOOKUP($A56&amp;"|"&amp;$C56,Asset_Operations!$A$2:$A$201&amp;"|"&amp;Asset_Operations!$BG$2:$BG$201,Asset_Operations!$I$2:$I$201,""),"")</f>
        <v/>
      </c>
      <c r="H56" s="98">
        <f t="array" ref="H56">IFERROR(_xlfn.XLOOKUP($A56&amp;"|"&amp;$C56,Asset_Operations!$A$2:$A$201&amp;"|"&amp;Asset_Operations!$BG$2:$BG$201,Asset_Operations!$J$2:$J$201,""),"")</f>
        <v/>
      </c>
      <c r="I56" s="98">
        <f t="array" ref="I56">IFERROR(_xlfn.XLOOKUP($A56&amp;"|"&amp;$C56,Asset_Operations!$A$2:$A$201&amp;"|"&amp;Asset_Operations!$BG$2:$BG$201,Asset_Operations!$O$2:$O$201,""),"")</f>
        <v/>
      </c>
      <c r="J56" s="98">
        <f t="array" ref="J56">IFERROR(_xlfn.XLOOKUP($A56&amp;"|"&amp;$C56,Asset_Operations!$A$2:$A$201&amp;"|"&amp;Asset_Operations!$BG$2:$BG$201,Asset_Operations!$S$2:$S$201,""),"")</f>
        <v/>
      </c>
      <c r="K56" s="98">
        <f t="array" ref="K56">IFERROR(_xlfn.XLOOKUP($A56&amp;"|"&amp;$C56,Asset_Operations!$A$2:$A$201&amp;"|"&amp;Asset_Operations!$BG$2:$BG$201,Asset_Operations!$AC$2:$AC$201,""),"")</f>
        <v/>
      </c>
      <c r="L56" s="98">
        <f t="array" ref="L56">IFERROR(_xlfn.XLOOKUP($A56&amp;"|"&amp;$C56,Asset_Operations!$A$2:$A$201&amp;"|"&amp;Asset_Operations!$BG$2:$BG$201,Asset_Operations!$AG$2:$AG$201,""),"")</f>
        <v/>
      </c>
      <c r="M56" s="98">
        <f t="array" ref="M56">IFERROR(_xlfn.XLOOKUP($A56&amp;"|"&amp;$C56,Asset_Operations!$A$2:$A$201&amp;"|"&amp;Asset_Operations!$BG$2:$BG$201,Asset_Operations!$AO$2:$AO$201,""),"")</f>
        <v/>
      </c>
      <c r="N56" s="99">
        <f t="array" ref="N56">IFERROR(_xlfn.XLOOKUP($A56&amp;"|"&amp;$C56,Asset_Operations!$A$2:$A$201&amp;"|"&amp;Asset_Operations!$BG$2:$BG$201,Asset_Operations!$AR$2:$AR$201,""),"")</f>
        <v/>
      </c>
      <c r="O56" s="100">
        <f t="array" ref="O56">IFERROR(_xlfn.XLOOKUP($A56&amp;"|"&amp;$C56,Financials!$A$2:$A$201&amp;"|"&amp;Financials!$B$2:$B$201,Financials!$C$2:$C$201,""),"")</f>
        <v/>
      </c>
      <c r="P56" s="100">
        <f t="array" ref="P56">IFERROR(_xlfn.XLOOKUP($A56&amp;"|"&amp;$C56,Financials!$A$2:$A$201&amp;"|"&amp;Financials!$B$2:$B$201,Financials!$E$2:$E$201,""),"")</f>
        <v/>
      </c>
      <c r="Q56" s="100">
        <f t="array" ref="Q56">IFERROR(_xlfn.XLOOKUP($A56&amp;"|"&amp;$C56,Financials!$A$2:$A$201&amp;"|"&amp;Financials!$B$2:$B$201,Financials!$G$2:$G$201,""),"")</f>
        <v/>
      </c>
      <c r="R56" s="100">
        <f t="array" ref="R56">IFERROR(_xlfn.XLOOKUP($A56&amp;"|"&amp;$C56,Financials!$A$2:$A$201&amp;"|"&amp;Financials!$B$2:$B$201,Financials!$S$2:$S$201,""),"")</f>
        <v/>
      </c>
      <c r="S56" s="100">
        <f t="array" ref="S56">IFERROR(_xlfn.XLOOKUP($A56&amp;"|"&amp;$C56,Financials!$A$2:$A$201&amp;"|"&amp;Financials!$B$2:$B$201,Financials!$AC$2:$AC$201,""),"")</f>
        <v/>
      </c>
      <c r="T56" s="101">
        <f>IFERROR(P56/O56,"")</f>
        <v/>
      </c>
      <c r="U56" s="24">
        <f>IFERROR(R56/P56,"")</f>
        <v/>
      </c>
      <c r="V56" s="102">
        <f>IFERROR(O56/E56,"")</f>
        <v/>
      </c>
      <c r="W56" s="24">
        <f>IFERROR(L56/F56,"")</f>
        <v/>
      </c>
      <c r="X56" s="26">
        <f>IFERROR(IF(NOT(ISNUMBER($E56)),"",IF($E56&gt;=Scoring_Criteria!$D$4,5,IF($E56&gt;=Scoring_Criteria!$E$4,4,IF($E56&gt;=Scoring_Criteria!$F$4,3,IF($E56&gt;=Scoring_Criteria!$G$4,2,1))))),"")</f>
        <v/>
      </c>
      <c r="Y56" s="26">
        <f>IFERROR(IF(OR(NOT(ISNUMBER($F56)),NOT(ISNUMBER($E56)),$E56=0),"",IF(($F56/$E56)&gt;=Scoring_Criteria!$D$5,5,IF(($F56/$E56)&gt;=Scoring_Criteria!$E$5,4,IF(($F56/$E56)&gt;=Scoring_Criteria!$F$5,3,IF(($F56/$E56)&gt;=Scoring_Criteria!$G$5,2,1))))),"")</f>
        <v/>
      </c>
      <c r="Z56" s="26">
        <f>IFERROR(IF(AND(NOT(ISNUMBER($I56)),NOT(ISNUMBER($J56))),"",IF((IFERROR($I56,0)+IFERROR($J56,0))&gt;=Scoring_Criteria!$D$6,5,IF((IFERROR($I56,0)+IFERROR($J56,0))&gt;=Scoring_Criteria!$E$6,4,IF((IFERROR($I56,0)+IFERROR($J56,0))&gt;=Scoring_Criteria!$F$6,3,IF((IFERROR($I56,0)+IFERROR($J56,0))&gt;=Scoring_Criteria!$G$6,2,1))))),"")</f>
        <v/>
      </c>
      <c r="AA56" s="26">
        <f>IFERROR(IF(NOT(ISNUMBER($M56)),"",IF($M56&gt;=Scoring_Criteria!$D$7,5,IF($M56&gt;=Scoring_Criteria!$E$7,4,IF($M56&gt;=Scoring_Criteria!$F$7,3,IF($M56&gt;=Scoring_Criteria!$G$7,2,1))))),"")</f>
        <v/>
      </c>
      <c r="AB56" s="26">
        <f>IFERROR(IF(NOT(ISNUMBER($T56)),"",IF($T56&gt;=Scoring_Criteria!$D$8,5,IF($T56&gt;=Scoring_Criteria!$E$8,4,IF($T56&gt;=Scoring_Criteria!$F$8,3,IF($T56&gt;=Scoring_Criteria!$G$8,2,1))))),"")</f>
        <v/>
      </c>
      <c r="AC56" s="26">
        <f>IFERROR(IF(NOT(ISNUMBER($U56)),"",IF($U56&lt;=Scoring_Criteria!$D$9,5,IF($U56&lt;=Scoring_Criteria!$E$9,4,IF($U56&lt;=Scoring_Criteria!$F$9,3,IF($U56&lt;=Scoring_Criteria!$G$9,2,1))))),"")</f>
        <v/>
      </c>
      <c r="AD56" s="26">
        <f t="array" ref="AD56">IFERROR(IF(NOT(ISNUMBER(_xlfn.XLOOKUP($A56&amp;"|"&amp;$C56,Financials!$A$2:$A$201&amp;"|"&amp;Financials!$B$2:$B$201,Financials!$AD$2:$AD$201,""))),"",IF(_xlfn.XLOOKUP($A56&amp;"|"&amp;$C56,Financials!$A$2:$A$201&amp;"|"&amp;Financials!$B$2:$B$201,Financials!$AD$2:$AD$201,"")&gt;=Scoring_Criteria!$D$10,5,IF(_xlfn.XLOOKUP($A56&amp;"|"&amp;$C56,Financials!$A$2:$A$201&amp;"|"&amp;Financials!$B$2:$B$201,Financials!$AD$2:$AD$201,"")&gt;=Scoring_Criteria!$E$10,4,IF(_xlfn.XLOOKUP($A56&amp;"|"&amp;$C56,Financials!$A$2:$A$201&amp;"|"&amp;Financials!$B$2:$B$201,Financials!$AD$2:$AD$201,"")&gt;=Scoring_Criteria!$F$10,3,IF(_xlfn.XLOOKUP($A56&amp;"|"&amp;$C56,Financials!$A$2:$A$201&amp;"|"&amp;Financials!$B$2:$B$201,Financials!$AD$2:$AD$201,"")&gt;=Scoring_Criteria!$G$10,2,1))))),"")</f>
        <v/>
      </c>
      <c r="AE56" s="27" t="n"/>
      <c r="AF56" s="27" t="n"/>
      <c r="AG56" s="28">
        <f>IFERROR(IF(COUNTA(X56:AF56)=0,"",AVERAGE(X56:AF56)),"")</f>
        <v/>
      </c>
      <c r="AH56" s="29" t="n"/>
      <c r="AI56" s="29" t="n"/>
      <c r="AJ56" s="29" t="n"/>
      <c r="AK56" s="29" t="n"/>
      <c r="AL56" s="29" t="n"/>
      <c r="AM56" s="29" t="n"/>
      <c r="AN56" s="29" t="n"/>
      <c r="AO56" s="29" t="n"/>
      <c r="AP56" s="29" t="n"/>
      <c r="AQ56" s="29" t="n"/>
      <c r="AR56" s="29" t="n"/>
      <c r="AS56" s="29" t="n"/>
      <c r="AT56" s="29" t="n"/>
      <c r="AU56">
        <f>IFERROR(Validation_Summary!Q5,"")</f>
        <v/>
      </c>
    </row>
    <row r="57" ht="15" customHeight="1" s="67">
      <c r="A57" s="6" t="inlineStr">
        <is>
          <t>PT Nusantara Sawit Sejahtera Tbk</t>
        </is>
      </c>
      <c r="B57" s="19">
        <f t="array" ref="B57">IFERROR(_xlfn.XLOOKUP($A57&amp;"|"&amp;$C57,'Company_Master'!$A$2:$A$94&amp;"|"&amp;'Company_Master'!$D$2:$D$94,'Company_Master'!$B$2:$B$94,""),"")</f>
        <v/>
      </c>
      <c r="C57" s="98" t="n">
        <v>2022</v>
      </c>
      <c r="D57" s="19">
        <f t="array" ref="D57">IFERROR(_xlfn.XLOOKUP($A57&amp;"|"&amp;$C57,'Company_Master'!$A$2:$A$94&amp;"|"&amp;'Company_Master'!$D$2:$D$94,'Company_Master'!$H$2:$H$94,""),"")</f>
        <v/>
      </c>
      <c r="E57" s="98">
        <f t="array" ref="E57">IFERROR(_xlfn.XLOOKUP($A57&amp;"|"&amp;$C57,Asset_Operations!$A$2:$A$201&amp;"|"&amp;Asset_Operations!$BG$2:$BG$201,Asset_Operations!$B$2:$B$201,""),"")</f>
        <v/>
      </c>
      <c r="F57" s="98">
        <f t="array" ref="F57">IFERROR(_xlfn.XLOOKUP($A57&amp;"|"&amp;$C57,Asset_Operations!$A$2:$A$201&amp;"|"&amp;Asset_Operations!$BG$2:$BG$201,Asset_Operations!$E$2:$E$201,""),"")</f>
        <v/>
      </c>
      <c r="G57" s="98">
        <f t="array" ref="G57">IFERROR(_xlfn.XLOOKUP($A57&amp;"|"&amp;$C57,Asset_Operations!$A$2:$A$201&amp;"|"&amp;Asset_Operations!$BG$2:$BG$201,Asset_Operations!$I$2:$I$201,""),"")</f>
        <v/>
      </c>
      <c r="H57" s="98">
        <f t="array" ref="H57">IFERROR(_xlfn.XLOOKUP($A57&amp;"|"&amp;$C57,Asset_Operations!$A$2:$A$201&amp;"|"&amp;Asset_Operations!$BG$2:$BG$201,Asset_Operations!$J$2:$J$201,""),"")</f>
        <v/>
      </c>
      <c r="I57" s="98">
        <f t="array" ref="I57">IFERROR(_xlfn.XLOOKUP($A57&amp;"|"&amp;$C57,Asset_Operations!$A$2:$A$201&amp;"|"&amp;Asset_Operations!$BG$2:$BG$201,Asset_Operations!$O$2:$O$201,""),"")</f>
        <v/>
      </c>
      <c r="J57" s="98">
        <f t="array" ref="J57">IFERROR(_xlfn.XLOOKUP($A57&amp;"|"&amp;$C57,Asset_Operations!$A$2:$A$201&amp;"|"&amp;Asset_Operations!$BG$2:$BG$201,Asset_Operations!$S$2:$S$201,""),"")</f>
        <v/>
      </c>
      <c r="K57" s="98">
        <f t="array" ref="K57">IFERROR(_xlfn.XLOOKUP($A57&amp;"|"&amp;$C57,Asset_Operations!$A$2:$A$201&amp;"|"&amp;Asset_Operations!$BG$2:$BG$201,Asset_Operations!$AC$2:$AC$201,""),"")</f>
        <v/>
      </c>
      <c r="L57" s="98">
        <f t="array" ref="L57">IFERROR(_xlfn.XLOOKUP($A57&amp;"|"&amp;$C57,Asset_Operations!$A$2:$A$201&amp;"|"&amp;Asset_Operations!$BG$2:$BG$201,Asset_Operations!$AG$2:$AG$201,""),"")</f>
        <v/>
      </c>
      <c r="M57" s="98">
        <f t="array" ref="M57">IFERROR(_xlfn.XLOOKUP($A57&amp;"|"&amp;$C57,Asset_Operations!$A$2:$A$201&amp;"|"&amp;Asset_Operations!$BG$2:$BG$201,Asset_Operations!$AO$2:$AO$201,""),"")</f>
        <v/>
      </c>
      <c r="N57" s="99">
        <f t="array" ref="N57">IFERROR(_xlfn.XLOOKUP($A57&amp;"|"&amp;$C57,Asset_Operations!$A$2:$A$201&amp;"|"&amp;Asset_Operations!$BG$2:$BG$201,Asset_Operations!$AR$2:$AR$201,""),"")</f>
        <v/>
      </c>
      <c r="O57" s="100">
        <f t="array" ref="O57">IFERROR(_xlfn.XLOOKUP($A57&amp;"|"&amp;$C57,Financials!$A$2:$A$201&amp;"|"&amp;Financials!$B$2:$B$201,Financials!$C$2:$C$201,""),"")</f>
        <v/>
      </c>
      <c r="P57" s="100">
        <f t="array" ref="P57">IFERROR(_xlfn.XLOOKUP($A57&amp;"|"&amp;$C57,Financials!$A$2:$A$201&amp;"|"&amp;Financials!$B$2:$B$201,Financials!$E$2:$E$201,""),"")</f>
        <v/>
      </c>
      <c r="Q57" s="100">
        <f t="array" ref="Q57">IFERROR(_xlfn.XLOOKUP($A57&amp;"|"&amp;$C57,Financials!$A$2:$A$201&amp;"|"&amp;Financials!$B$2:$B$201,Financials!$G$2:$G$201,""),"")</f>
        <v/>
      </c>
      <c r="R57" s="100">
        <f t="array" ref="R57">IFERROR(_xlfn.XLOOKUP($A57&amp;"|"&amp;$C57,Financials!$A$2:$A$201&amp;"|"&amp;Financials!$B$2:$B$201,Financials!$S$2:$S$201,""),"")</f>
        <v/>
      </c>
      <c r="S57" s="100">
        <f t="array" ref="S57">IFERROR(_xlfn.XLOOKUP($A57&amp;"|"&amp;$C57,Financials!$A$2:$A$201&amp;"|"&amp;Financials!$B$2:$B$201,Financials!$AC$2:$AC$201,""),"")</f>
        <v/>
      </c>
      <c r="T57" s="101">
        <f>IFERROR(P57/O57,"")</f>
        <v/>
      </c>
      <c r="U57" s="24">
        <f>IFERROR(R57/P57,"")</f>
        <v/>
      </c>
      <c r="V57" s="102">
        <f>IFERROR(O57/E57,"")</f>
        <v/>
      </c>
      <c r="W57" s="24">
        <f>IFERROR(L57/F57,"")</f>
        <v/>
      </c>
      <c r="X57" s="26">
        <f>IFERROR(IF(NOT(ISNUMBER($E57)),"",IF($E57&gt;=Scoring_Criteria!$D$4,5,IF($E57&gt;=Scoring_Criteria!$E$4,4,IF($E57&gt;=Scoring_Criteria!$F$4,3,IF($E57&gt;=Scoring_Criteria!$G$4,2,1))))),"")</f>
        <v/>
      </c>
      <c r="Y57" s="26">
        <f>IFERROR(IF(OR(NOT(ISNUMBER($F57)),NOT(ISNUMBER($E57)),$E57=0),"",IF(($F57/$E57)&gt;=Scoring_Criteria!$D$5,5,IF(($F57/$E57)&gt;=Scoring_Criteria!$E$5,4,IF(($F57/$E57)&gt;=Scoring_Criteria!$F$5,3,IF(($F57/$E57)&gt;=Scoring_Criteria!$G$5,2,1))))),"")</f>
        <v/>
      </c>
      <c r="Z57" s="26">
        <f>IFERROR(IF(AND(NOT(ISNUMBER($I57)),NOT(ISNUMBER($J57))),"",IF((IFERROR($I57,0)+IFERROR($J57,0))&gt;=Scoring_Criteria!$D$6,5,IF((IFERROR($I57,0)+IFERROR($J57,0))&gt;=Scoring_Criteria!$E$6,4,IF((IFERROR($I57,0)+IFERROR($J57,0))&gt;=Scoring_Criteria!$F$6,3,IF((IFERROR($I57,0)+IFERROR($J57,0))&gt;=Scoring_Criteria!$G$6,2,1))))),"")</f>
        <v/>
      </c>
      <c r="AA57" s="26">
        <f>IFERROR(IF(NOT(ISNUMBER($M57)),"",IF($M57&gt;=Scoring_Criteria!$D$7,5,IF($M57&gt;=Scoring_Criteria!$E$7,4,IF($M57&gt;=Scoring_Criteria!$F$7,3,IF($M57&gt;=Scoring_Criteria!$G$7,2,1))))),"")</f>
        <v/>
      </c>
      <c r="AB57" s="26">
        <f>IFERROR(IF(NOT(ISNUMBER($T57)),"",IF($T57&gt;=Scoring_Criteria!$D$8,5,IF($T57&gt;=Scoring_Criteria!$E$8,4,IF($T57&gt;=Scoring_Criteria!$F$8,3,IF($T57&gt;=Scoring_Criteria!$G$8,2,1))))),"")</f>
        <v/>
      </c>
      <c r="AC57" s="26">
        <f>IFERROR(IF(NOT(ISNUMBER($U57)),"",IF($U57&lt;=Scoring_Criteria!$D$9,5,IF($U57&lt;=Scoring_Criteria!$E$9,4,IF($U57&lt;=Scoring_Criteria!$F$9,3,IF($U57&lt;=Scoring_Criteria!$G$9,2,1))))),"")</f>
        <v/>
      </c>
      <c r="AD57" s="26">
        <f t="array" ref="AD57">IFERROR(IF(NOT(ISNUMBER(_xlfn.XLOOKUP($A57&amp;"|"&amp;$C57,Financials!$A$2:$A$201&amp;"|"&amp;Financials!$B$2:$B$201,Financials!$AD$2:$AD$201,""))),"",IF(_xlfn.XLOOKUP($A57&amp;"|"&amp;$C57,Financials!$A$2:$A$201&amp;"|"&amp;Financials!$B$2:$B$201,Financials!$AD$2:$AD$201,"")&gt;=Scoring_Criteria!$D$10,5,IF(_xlfn.XLOOKUP($A57&amp;"|"&amp;$C57,Financials!$A$2:$A$201&amp;"|"&amp;Financials!$B$2:$B$201,Financials!$AD$2:$AD$201,"")&gt;=Scoring_Criteria!$E$10,4,IF(_xlfn.XLOOKUP($A57&amp;"|"&amp;$C57,Financials!$A$2:$A$201&amp;"|"&amp;Financials!$B$2:$B$201,Financials!$AD$2:$AD$201,"")&gt;=Scoring_Criteria!$F$10,3,IF(_xlfn.XLOOKUP($A57&amp;"|"&amp;$C57,Financials!$A$2:$A$201&amp;"|"&amp;Financials!$B$2:$B$201,Financials!$AD$2:$AD$201,"")&gt;=Scoring_Criteria!$G$10,2,1))))),"")</f>
        <v/>
      </c>
      <c r="AE57" s="27" t="n"/>
      <c r="AF57" s="27" t="n"/>
      <c r="AG57" s="28">
        <f>IFERROR(IF(COUNTA(X57:AF57)=0,"",AVERAGE(X57:AF57)),"")</f>
        <v/>
      </c>
      <c r="AH57" s="29" t="n"/>
      <c r="AI57" s="29" t="n"/>
      <c r="AJ57" s="29" t="n"/>
      <c r="AK57" s="29" t="n"/>
      <c r="AL57" s="29" t="n"/>
      <c r="AM57" s="29" t="n"/>
      <c r="AN57" s="29" t="n"/>
      <c r="AO57" s="29" t="n"/>
      <c r="AP57" s="29" t="n"/>
      <c r="AQ57" s="29" t="n"/>
      <c r="AR57" s="29" t="n"/>
      <c r="AS57" s="29" t="n"/>
      <c r="AT57" s="29" t="n"/>
      <c r="AU57">
        <f>IFERROR(Validation_Summary!Q5,"")</f>
        <v/>
      </c>
    </row>
    <row r="58" ht="15" customHeight="1" s="67">
      <c r="A58" s="6" t="inlineStr">
        <is>
          <t>PT Nusantara Sawit Sejahtera Tbk</t>
        </is>
      </c>
      <c r="B58" s="19">
        <f t="array" ref="B58">IFERROR(_xlfn.XLOOKUP($A58&amp;"|"&amp;$C58,'Company_Master'!$A$2:$A$94&amp;"|"&amp;'Company_Master'!$D$2:$D$94,'Company_Master'!$B$2:$B$94,""),"")</f>
        <v/>
      </c>
      <c r="C58" s="98" t="n">
        <v>2023</v>
      </c>
      <c r="D58" s="19">
        <f t="array" ref="D58">IFERROR(_xlfn.XLOOKUP($A58&amp;"|"&amp;$C58,'Company_Master'!$A$2:$A$94&amp;"|"&amp;'Company_Master'!$D$2:$D$94,'Company_Master'!$H$2:$H$94,""),"")</f>
        <v/>
      </c>
      <c r="E58" s="98">
        <f t="array" ref="E58">IFERROR(_xlfn.XLOOKUP($A58&amp;"|"&amp;$C58,Asset_Operations!$A$2:$A$201&amp;"|"&amp;Asset_Operations!$BG$2:$BG$201,Asset_Operations!$B$2:$B$201,""),"")</f>
        <v/>
      </c>
      <c r="F58" s="98">
        <f t="array" ref="F58">IFERROR(_xlfn.XLOOKUP($A58&amp;"|"&amp;$C58,Asset_Operations!$A$2:$A$201&amp;"|"&amp;Asset_Operations!$BG$2:$BG$201,Asset_Operations!$E$2:$E$201,""),"")</f>
        <v/>
      </c>
      <c r="G58" s="98">
        <f t="array" ref="G58">IFERROR(_xlfn.XLOOKUP($A58&amp;"|"&amp;$C58,Asset_Operations!$A$2:$A$201&amp;"|"&amp;Asset_Operations!$BG$2:$BG$201,Asset_Operations!$I$2:$I$201,""),"")</f>
        <v/>
      </c>
      <c r="H58" s="98">
        <f t="array" ref="H58">IFERROR(_xlfn.XLOOKUP($A58&amp;"|"&amp;$C58,Asset_Operations!$A$2:$A$201&amp;"|"&amp;Asset_Operations!$BG$2:$BG$201,Asset_Operations!$J$2:$J$201,""),"")</f>
        <v/>
      </c>
      <c r="I58" s="98">
        <f t="array" ref="I58">IFERROR(_xlfn.XLOOKUP($A58&amp;"|"&amp;$C58,Asset_Operations!$A$2:$A$201&amp;"|"&amp;Asset_Operations!$BG$2:$BG$201,Asset_Operations!$O$2:$O$201,""),"")</f>
        <v/>
      </c>
      <c r="J58" s="98">
        <f t="array" ref="J58">IFERROR(_xlfn.XLOOKUP($A58&amp;"|"&amp;$C58,Asset_Operations!$A$2:$A$201&amp;"|"&amp;Asset_Operations!$BG$2:$BG$201,Asset_Operations!$S$2:$S$201,""),"")</f>
        <v/>
      </c>
      <c r="K58" s="98">
        <f t="array" ref="K58">IFERROR(_xlfn.XLOOKUP($A58&amp;"|"&amp;$C58,Asset_Operations!$A$2:$A$201&amp;"|"&amp;Asset_Operations!$BG$2:$BG$201,Asset_Operations!$AC$2:$AC$201,""),"")</f>
        <v/>
      </c>
      <c r="L58" s="98">
        <f t="array" ref="L58">IFERROR(_xlfn.XLOOKUP($A58&amp;"|"&amp;$C58,Asset_Operations!$A$2:$A$201&amp;"|"&amp;Asset_Operations!$BG$2:$BG$201,Asset_Operations!$AG$2:$AG$201,""),"")</f>
        <v/>
      </c>
      <c r="M58" s="98">
        <f t="array" ref="M58">IFERROR(_xlfn.XLOOKUP($A58&amp;"|"&amp;$C58,Asset_Operations!$A$2:$A$201&amp;"|"&amp;Asset_Operations!$BG$2:$BG$201,Asset_Operations!$AO$2:$AO$201,""),"")</f>
        <v/>
      </c>
      <c r="N58" s="99">
        <f t="array" ref="N58">IFERROR(_xlfn.XLOOKUP($A58&amp;"|"&amp;$C58,Asset_Operations!$A$2:$A$201&amp;"|"&amp;Asset_Operations!$BG$2:$BG$201,Asset_Operations!$AR$2:$AR$201,""),"")</f>
        <v/>
      </c>
      <c r="O58" s="100">
        <f t="array" ref="O58">IFERROR(_xlfn.XLOOKUP($A58&amp;"|"&amp;$C58,Financials!$A$2:$A$201&amp;"|"&amp;Financials!$B$2:$B$201,Financials!$C$2:$C$201,""),"")</f>
        <v/>
      </c>
      <c r="P58" s="100">
        <f t="array" ref="P58">IFERROR(_xlfn.XLOOKUP($A58&amp;"|"&amp;$C58,Financials!$A$2:$A$201&amp;"|"&amp;Financials!$B$2:$B$201,Financials!$E$2:$E$201,""),"")</f>
        <v/>
      </c>
      <c r="Q58" s="100">
        <f t="array" ref="Q58">IFERROR(_xlfn.XLOOKUP($A58&amp;"|"&amp;$C58,Financials!$A$2:$A$201&amp;"|"&amp;Financials!$B$2:$B$201,Financials!$G$2:$G$201,""),"")</f>
        <v/>
      </c>
      <c r="R58" s="100">
        <f t="array" ref="R58">IFERROR(_xlfn.XLOOKUP($A58&amp;"|"&amp;$C58,Financials!$A$2:$A$201&amp;"|"&amp;Financials!$B$2:$B$201,Financials!$S$2:$S$201,""),"")</f>
        <v/>
      </c>
      <c r="S58" s="100">
        <f t="array" ref="S58">IFERROR(_xlfn.XLOOKUP($A58&amp;"|"&amp;$C58,Financials!$A$2:$A$201&amp;"|"&amp;Financials!$B$2:$B$201,Financials!$AC$2:$AC$201,""),"")</f>
        <v/>
      </c>
      <c r="T58" s="101">
        <f>IFERROR(P58/O58,"")</f>
        <v/>
      </c>
      <c r="U58" s="24">
        <f>IFERROR(R58/P58,"")</f>
        <v/>
      </c>
      <c r="V58" s="102">
        <f>IFERROR(O58/E58,"")</f>
        <v/>
      </c>
      <c r="W58" s="24">
        <f>IFERROR(L58/F58,"")</f>
        <v/>
      </c>
      <c r="X58" s="26">
        <f>IFERROR(IF(NOT(ISNUMBER($E58)),"",IF($E58&gt;=Scoring_Criteria!$D$4,5,IF($E58&gt;=Scoring_Criteria!$E$4,4,IF($E58&gt;=Scoring_Criteria!$F$4,3,IF($E58&gt;=Scoring_Criteria!$G$4,2,1))))),"")</f>
        <v/>
      </c>
      <c r="Y58" s="26">
        <f>IFERROR(IF(OR(NOT(ISNUMBER($F58)),NOT(ISNUMBER($E58)),$E58=0),"",IF(($F58/$E58)&gt;=Scoring_Criteria!$D$5,5,IF(($F58/$E58)&gt;=Scoring_Criteria!$E$5,4,IF(($F58/$E58)&gt;=Scoring_Criteria!$F$5,3,IF(($F58/$E58)&gt;=Scoring_Criteria!$G$5,2,1))))),"")</f>
        <v/>
      </c>
      <c r="Z58" s="26">
        <f>IFERROR(IF(AND(NOT(ISNUMBER($I58)),NOT(ISNUMBER($J58))),"",IF((IFERROR($I58,0)+IFERROR($J58,0))&gt;=Scoring_Criteria!$D$6,5,IF((IFERROR($I58,0)+IFERROR($J58,0))&gt;=Scoring_Criteria!$E$6,4,IF((IFERROR($I58,0)+IFERROR($J58,0))&gt;=Scoring_Criteria!$F$6,3,IF((IFERROR($I58,0)+IFERROR($J58,0))&gt;=Scoring_Criteria!$G$6,2,1))))),"")</f>
        <v/>
      </c>
      <c r="AA58" s="26">
        <f>IFERROR(IF(NOT(ISNUMBER($M58)),"",IF($M58&gt;=Scoring_Criteria!$D$7,5,IF($M58&gt;=Scoring_Criteria!$E$7,4,IF($M58&gt;=Scoring_Criteria!$F$7,3,IF($M58&gt;=Scoring_Criteria!$G$7,2,1))))),"")</f>
        <v/>
      </c>
      <c r="AB58" s="26">
        <f>IFERROR(IF(NOT(ISNUMBER($T58)),"",IF($T58&gt;=Scoring_Criteria!$D$8,5,IF($T58&gt;=Scoring_Criteria!$E$8,4,IF($T58&gt;=Scoring_Criteria!$F$8,3,IF($T58&gt;=Scoring_Criteria!$G$8,2,1))))),"")</f>
        <v/>
      </c>
      <c r="AC58" s="26">
        <f>IFERROR(IF(NOT(ISNUMBER($U58)),"",IF($U58&lt;=Scoring_Criteria!$D$9,5,IF($U58&lt;=Scoring_Criteria!$E$9,4,IF($U58&lt;=Scoring_Criteria!$F$9,3,IF($U58&lt;=Scoring_Criteria!$G$9,2,1))))),"")</f>
        <v/>
      </c>
      <c r="AD58" s="26">
        <f t="array" ref="AD58">IFERROR(IF(NOT(ISNUMBER(_xlfn.XLOOKUP($A58&amp;"|"&amp;$C58,Financials!$A$2:$A$201&amp;"|"&amp;Financials!$B$2:$B$201,Financials!$AD$2:$AD$201,""))),"",IF(_xlfn.XLOOKUP($A58&amp;"|"&amp;$C58,Financials!$A$2:$A$201&amp;"|"&amp;Financials!$B$2:$B$201,Financials!$AD$2:$AD$201,"")&gt;=Scoring_Criteria!$D$10,5,IF(_xlfn.XLOOKUP($A58&amp;"|"&amp;$C58,Financials!$A$2:$A$201&amp;"|"&amp;Financials!$B$2:$B$201,Financials!$AD$2:$AD$201,"")&gt;=Scoring_Criteria!$E$10,4,IF(_xlfn.XLOOKUP($A58&amp;"|"&amp;$C58,Financials!$A$2:$A$201&amp;"|"&amp;Financials!$B$2:$B$201,Financials!$AD$2:$AD$201,"")&gt;=Scoring_Criteria!$F$10,3,IF(_xlfn.XLOOKUP($A58&amp;"|"&amp;$C58,Financials!$A$2:$A$201&amp;"|"&amp;Financials!$B$2:$B$201,Financials!$AD$2:$AD$201,"")&gt;=Scoring_Criteria!$G$10,2,1))))),"")</f>
        <v/>
      </c>
      <c r="AE58" s="27" t="n"/>
      <c r="AF58" s="27" t="n"/>
      <c r="AG58" s="28">
        <f>IFERROR(IF(COUNTA(X58:AF58)=0,"",AVERAGE(X58:AF58)),"")</f>
        <v/>
      </c>
      <c r="AH58" s="29" t="n"/>
      <c r="AI58" s="29" t="n"/>
      <c r="AJ58" s="29" t="n"/>
      <c r="AK58" s="29" t="n"/>
      <c r="AL58" s="29" t="n"/>
      <c r="AM58" s="29" t="n"/>
      <c r="AN58" s="29" t="n"/>
      <c r="AO58" s="29" t="n"/>
      <c r="AP58" s="29" t="n"/>
      <c r="AQ58" s="29" t="n"/>
      <c r="AR58" s="29" t="n"/>
      <c r="AS58" s="29" t="n"/>
      <c r="AT58" s="29" t="n"/>
      <c r="AU58">
        <f>IFERROR(Validation_Summary!Q5,"")</f>
        <v/>
      </c>
    </row>
    <row r="59" ht="15" customHeight="1" s="67">
      <c r="A59" s="6" t="inlineStr">
        <is>
          <t>PT Nusantara Sawit Sejahtera Tbk</t>
        </is>
      </c>
      <c r="B59" s="19">
        <f t="array" ref="B59">IFERROR(_xlfn.XLOOKUP($A59&amp;"|"&amp;$C59,'Company_Master'!$A$2:$A$94&amp;"|"&amp;'Company_Master'!$D$2:$D$94,'Company_Master'!$B$2:$B$94,""),"")</f>
        <v/>
      </c>
      <c r="C59" s="98" t="n">
        <v>2024</v>
      </c>
      <c r="D59" s="19">
        <f t="array" ref="D59">IFERROR(_xlfn.XLOOKUP($A59&amp;"|"&amp;$C59,'Company_Master'!$A$2:$A$94&amp;"|"&amp;'Company_Master'!$D$2:$D$94,'Company_Master'!$H$2:$H$94,""),"")</f>
        <v/>
      </c>
      <c r="E59" s="98">
        <f t="array" ref="E59">IFERROR(_xlfn.XLOOKUP($A59&amp;"|"&amp;$C59,Asset_Operations!$A$2:$A$201&amp;"|"&amp;Asset_Operations!$BG$2:$BG$201,Asset_Operations!$B$2:$B$201,""),"")</f>
        <v/>
      </c>
      <c r="F59" s="98">
        <f t="array" ref="F59">IFERROR(_xlfn.XLOOKUP($A59&amp;"|"&amp;$C59,Asset_Operations!$A$2:$A$201&amp;"|"&amp;Asset_Operations!$BG$2:$BG$201,Asset_Operations!$E$2:$E$201,""),"")</f>
        <v/>
      </c>
      <c r="G59" s="98">
        <f t="array" ref="G59">IFERROR(_xlfn.XLOOKUP($A59&amp;"|"&amp;$C59,Asset_Operations!$A$2:$A$201&amp;"|"&amp;Asset_Operations!$BG$2:$BG$201,Asset_Operations!$I$2:$I$201,""),"")</f>
        <v/>
      </c>
      <c r="H59" s="98">
        <f t="array" ref="H59">IFERROR(_xlfn.XLOOKUP($A59&amp;"|"&amp;$C59,Asset_Operations!$A$2:$A$201&amp;"|"&amp;Asset_Operations!$BG$2:$BG$201,Asset_Operations!$J$2:$J$201,""),"")</f>
        <v/>
      </c>
      <c r="I59" s="98">
        <f t="array" ref="I59">IFERROR(_xlfn.XLOOKUP($A59&amp;"|"&amp;$C59,Asset_Operations!$A$2:$A$201&amp;"|"&amp;Asset_Operations!$BG$2:$BG$201,Asset_Operations!$O$2:$O$201,""),"")</f>
        <v/>
      </c>
      <c r="J59" s="98">
        <f t="array" ref="J59">IFERROR(_xlfn.XLOOKUP($A59&amp;"|"&amp;$C59,Asset_Operations!$A$2:$A$201&amp;"|"&amp;Asset_Operations!$BG$2:$BG$201,Asset_Operations!$S$2:$S$201,""),"")</f>
        <v/>
      </c>
      <c r="K59" s="98">
        <f t="array" ref="K59">IFERROR(_xlfn.XLOOKUP($A59&amp;"|"&amp;$C59,Asset_Operations!$A$2:$A$201&amp;"|"&amp;Asset_Operations!$BG$2:$BG$201,Asset_Operations!$AC$2:$AC$201,""),"")</f>
        <v/>
      </c>
      <c r="L59" s="98">
        <f t="array" ref="L59">IFERROR(_xlfn.XLOOKUP($A59&amp;"|"&amp;$C59,Asset_Operations!$A$2:$A$201&amp;"|"&amp;Asset_Operations!$BG$2:$BG$201,Asset_Operations!$AG$2:$AG$201,""),"")</f>
        <v/>
      </c>
      <c r="M59" s="98">
        <f t="array" ref="M59">IFERROR(_xlfn.XLOOKUP($A59&amp;"|"&amp;$C59,Asset_Operations!$A$2:$A$201&amp;"|"&amp;Asset_Operations!$BG$2:$BG$201,Asset_Operations!$AO$2:$AO$201,""),"")</f>
        <v/>
      </c>
      <c r="N59" s="99">
        <f t="array" ref="N59">IFERROR(_xlfn.XLOOKUP($A59&amp;"|"&amp;$C59,Asset_Operations!$A$2:$A$201&amp;"|"&amp;Asset_Operations!$BG$2:$BG$201,Asset_Operations!$AR$2:$AR$201,""),"")</f>
        <v/>
      </c>
      <c r="O59" s="100">
        <f t="array" ref="O59">IFERROR(_xlfn.XLOOKUP($A59&amp;"|"&amp;$C59,Financials!$A$2:$A$201&amp;"|"&amp;Financials!$B$2:$B$201,Financials!$C$2:$C$201,""),"")</f>
        <v/>
      </c>
      <c r="P59" s="100">
        <f t="array" ref="P59">IFERROR(_xlfn.XLOOKUP($A59&amp;"|"&amp;$C59,Financials!$A$2:$A$201&amp;"|"&amp;Financials!$B$2:$B$201,Financials!$E$2:$E$201,""),"")</f>
        <v/>
      </c>
      <c r="Q59" s="100">
        <f t="array" ref="Q59">IFERROR(_xlfn.XLOOKUP($A59&amp;"|"&amp;$C59,Financials!$A$2:$A$201&amp;"|"&amp;Financials!$B$2:$B$201,Financials!$G$2:$G$201,""),"")</f>
        <v/>
      </c>
      <c r="R59" s="100">
        <f t="array" ref="R59">IFERROR(_xlfn.XLOOKUP($A59&amp;"|"&amp;$C59,Financials!$A$2:$A$201&amp;"|"&amp;Financials!$B$2:$B$201,Financials!$S$2:$S$201,""),"")</f>
        <v/>
      </c>
      <c r="S59" s="100">
        <f t="array" ref="S59">IFERROR(_xlfn.XLOOKUP($A59&amp;"|"&amp;$C59,Financials!$A$2:$A$201&amp;"|"&amp;Financials!$B$2:$B$201,Financials!$AC$2:$AC$201,""),"")</f>
        <v/>
      </c>
      <c r="T59" s="101">
        <f>IFERROR(P59/O59,"")</f>
        <v/>
      </c>
      <c r="U59" s="24">
        <f>IFERROR(R59/P59,"")</f>
        <v/>
      </c>
      <c r="V59" s="102">
        <f>IFERROR(O59/E59,"")</f>
        <v/>
      </c>
      <c r="W59" s="24">
        <f>IFERROR(L59/F59,"")</f>
        <v/>
      </c>
      <c r="X59" s="26">
        <f>IFERROR(IF(NOT(ISNUMBER($E59)),"",IF($E59&gt;=Scoring_Criteria!$D$4,5,IF($E59&gt;=Scoring_Criteria!$E$4,4,IF($E59&gt;=Scoring_Criteria!$F$4,3,IF($E59&gt;=Scoring_Criteria!$G$4,2,1))))),"")</f>
        <v/>
      </c>
      <c r="Y59" s="26">
        <f>IFERROR(IF(OR(NOT(ISNUMBER($F59)),NOT(ISNUMBER($E59)),$E59=0),"",IF(($F59/$E59)&gt;=Scoring_Criteria!$D$5,5,IF(($F59/$E59)&gt;=Scoring_Criteria!$E$5,4,IF(($F59/$E59)&gt;=Scoring_Criteria!$F$5,3,IF(($F59/$E59)&gt;=Scoring_Criteria!$G$5,2,1))))),"")</f>
        <v/>
      </c>
      <c r="Z59" s="26">
        <f>IFERROR(IF(AND(NOT(ISNUMBER($I59)),NOT(ISNUMBER($J59))),"",IF((IFERROR($I59,0)+IFERROR($J59,0))&gt;=Scoring_Criteria!$D$6,5,IF((IFERROR($I59,0)+IFERROR($J59,0))&gt;=Scoring_Criteria!$E$6,4,IF((IFERROR($I59,0)+IFERROR($J59,0))&gt;=Scoring_Criteria!$F$6,3,IF((IFERROR($I59,0)+IFERROR($J59,0))&gt;=Scoring_Criteria!$G$6,2,1))))),"")</f>
        <v/>
      </c>
      <c r="AA59" s="26">
        <f>IFERROR(IF(NOT(ISNUMBER($M59)),"",IF($M59&gt;=Scoring_Criteria!$D$7,5,IF($M59&gt;=Scoring_Criteria!$E$7,4,IF($M59&gt;=Scoring_Criteria!$F$7,3,IF($M59&gt;=Scoring_Criteria!$G$7,2,1))))),"")</f>
        <v/>
      </c>
      <c r="AB59" s="26">
        <f>IFERROR(IF(NOT(ISNUMBER($T59)),"",IF($T59&gt;=Scoring_Criteria!$D$8,5,IF($T59&gt;=Scoring_Criteria!$E$8,4,IF($T59&gt;=Scoring_Criteria!$F$8,3,IF($T59&gt;=Scoring_Criteria!$G$8,2,1))))),"")</f>
        <v/>
      </c>
      <c r="AC59" s="26">
        <f>IFERROR(IF(NOT(ISNUMBER($U59)),"",IF($U59&lt;=Scoring_Criteria!$D$9,5,IF($U59&lt;=Scoring_Criteria!$E$9,4,IF($U59&lt;=Scoring_Criteria!$F$9,3,IF($U59&lt;=Scoring_Criteria!$G$9,2,1))))),"")</f>
        <v/>
      </c>
      <c r="AD59" s="26">
        <f t="array" ref="AD59">IFERROR(IF(NOT(ISNUMBER(_xlfn.XLOOKUP($A59&amp;"|"&amp;$C59,Financials!$A$2:$A$201&amp;"|"&amp;Financials!$B$2:$B$201,Financials!$AD$2:$AD$201,""))),"",IF(_xlfn.XLOOKUP($A59&amp;"|"&amp;$C59,Financials!$A$2:$A$201&amp;"|"&amp;Financials!$B$2:$B$201,Financials!$AD$2:$AD$201,"")&gt;=Scoring_Criteria!$D$10,5,IF(_xlfn.XLOOKUP($A59&amp;"|"&amp;$C59,Financials!$A$2:$A$201&amp;"|"&amp;Financials!$B$2:$B$201,Financials!$AD$2:$AD$201,"")&gt;=Scoring_Criteria!$E$10,4,IF(_xlfn.XLOOKUP($A59&amp;"|"&amp;$C59,Financials!$A$2:$A$201&amp;"|"&amp;Financials!$B$2:$B$201,Financials!$AD$2:$AD$201,"")&gt;=Scoring_Criteria!$F$10,3,IF(_xlfn.XLOOKUP($A59&amp;"|"&amp;$C59,Financials!$A$2:$A$201&amp;"|"&amp;Financials!$B$2:$B$201,Financials!$AD$2:$AD$201,"")&gt;=Scoring_Criteria!$G$10,2,1))))),"")</f>
        <v/>
      </c>
      <c r="AE59" s="27" t="n"/>
      <c r="AF59" s="27" t="n"/>
      <c r="AG59" s="28">
        <f>IFERROR(IF(COUNTA(X59:AF59)=0,"",AVERAGE(X59:AF59)),"")</f>
        <v/>
      </c>
      <c r="AH59" s="29" t="n"/>
      <c r="AI59" s="29" t="n"/>
      <c r="AJ59" s="29" t="n"/>
      <c r="AK59" s="29" t="n"/>
      <c r="AL59" s="29" t="n"/>
      <c r="AM59" s="29" t="n"/>
      <c r="AN59" s="29" t="n"/>
      <c r="AO59" s="29" t="n"/>
      <c r="AP59" s="29" t="n"/>
      <c r="AQ59" s="29" t="n"/>
      <c r="AR59" s="29" t="n"/>
      <c r="AS59" s="29" t="n"/>
      <c r="AT59" s="29" t="n"/>
      <c r="AU59">
        <f>IFERROR(Validation_Summary!Q5,"")</f>
        <v/>
      </c>
    </row>
    <row r="60" ht="15" customHeight="1" s="67">
      <c r="A60" s="6" t="inlineStr">
        <is>
          <t>PT Indo Oil Perkasa Tbk</t>
        </is>
      </c>
      <c r="B60" s="19">
        <f t="array" ref="B60">IFERROR(_xlfn.XLOOKUP($A60&amp;"|"&amp;$C60,'Company_Master'!$A$2:$A$94&amp;"|"&amp;'Company_Master'!$D$2:$D$94,'Company_Master'!$B$2:$B$94,""),"")</f>
        <v/>
      </c>
      <c r="C60" s="98" t="n">
        <v>2022</v>
      </c>
      <c r="D60" s="19">
        <f t="array" ref="D60">IFERROR(_xlfn.XLOOKUP($A60&amp;"|"&amp;$C60,'Company_Master'!$A$2:$A$94&amp;"|"&amp;'Company_Master'!$D$2:$D$94,'Company_Master'!$H$2:$H$94,""),"")</f>
        <v/>
      </c>
      <c r="E60" s="98">
        <f t="array" ref="E60">IFERROR(_xlfn.XLOOKUP($A60&amp;"|"&amp;$C60,Asset_Operations!$A$2:$A$201&amp;"|"&amp;Asset_Operations!$BG$2:$BG$201,Asset_Operations!$B$2:$B$201,""),"")</f>
        <v/>
      </c>
      <c r="F60" s="98">
        <f t="array" ref="F60">IFERROR(_xlfn.XLOOKUP($A60&amp;"|"&amp;$C60,Asset_Operations!$A$2:$A$201&amp;"|"&amp;Asset_Operations!$BG$2:$BG$201,Asset_Operations!$E$2:$E$201,""),"")</f>
        <v/>
      </c>
      <c r="G60" s="98">
        <f t="array" ref="G60">IFERROR(_xlfn.XLOOKUP($A60&amp;"|"&amp;$C60,Asset_Operations!$A$2:$A$201&amp;"|"&amp;Asset_Operations!$BG$2:$BG$201,Asset_Operations!$I$2:$I$201,""),"")</f>
        <v/>
      </c>
      <c r="H60" s="98">
        <f t="array" ref="H60">IFERROR(_xlfn.XLOOKUP($A60&amp;"|"&amp;$C60,Asset_Operations!$A$2:$A$201&amp;"|"&amp;Asset_Operations!$BG$2:$BG$201,Asset_Operations!$J$2:$J$201,""),"")</f>
        <v/>
      </c>
      <c r="I60" s="98">
        <f t="array" ref="I60">IFERROR(_xlfn.XLOOKUP($A60&amp;"|"&amp;$C60,Asset_Operations!$A$2:$A$201&amp;"|"&amp;Asset_Operations!$BG$2:$BG$201,Asset_Operations!$O$2:$O$201,""),"")</f>
        <v/>
      </c>
      <c r="J60" s="98">
        <f t="array" ref="J60">IFERROR(_xlfn.XLOOKUP($A60&amp;"|"&amp;$C60,Asset_Operations!$A$2:$A$201&amp;"|"&amp;Asset_Operations!$BG$2:$BG$201,Asset_Operations!$S$2:$S$201,""),"")</f>
        <v/>
      </c>
      <c r="K60" s="98">
        <f t="array" ref="K60">IFERROR(_xlfn.XLOOKUP($A60&amp;"|"&amp;$C60,Asset_Operations!$A$2:$A$201&amp;"|"&amp;Asset_Operations!$BG$2:$BG$201,Asset_Operations!$AC$2:$AC$201,""),"")</f>
        <v/>
      </c>
      <c r="L60" s="98">
        <f t="array" ref="L60">IFERROR(_xlfn.XLOOKUP($A60&amp;"|"&amp;$C60,Asset_Operations!$A$2:$A$201&amp;"|"&amp;Asset_Operations!$BG$2:$BG$201,Asset_Operations!$AG$2:$AG$201,""),"")</f>
        <v/>
      </c>
      <c r="M60" s="98">
        <f t="array" ref="M60">IFERROR(_xlfn.XLOOKUP($A60&amp;"|"&amp;$C60,Asset_Operations!$A$2:$A$201&amp;"|"&amp;Asset_Operations!$BG$2:$BG$201,Asset_Operations!$AO$2:$AO$201,""),"")</f>
        <v/>
      </c>
      <c r="N60" s="99">
        <f t="array" ref="N60">IFERROR(_xlfn.XLOOKUP($A60&amp;"|"&amp;$C60,Asset_Operations!$A$2:$A$201&amp;"|"&amp;Asset_Operations!$BG$2:$BG$201,Asset_Operations!$AR$2:$AR$201,""),"")</f>
        <v/>
      </c>
      <c r="O60" s="100">
        <f t="array" ref="O60">IFERROR(_xlfn.XLOOKUP($A60&amp;"|"&amp;$C60,Financials!$A$2:$A$201&amp;"|"&amp;Financials!$B$2:$B$201,Financials!$C$2:$C$201,""),"")</f>
        <v/>
      </c>
      <c r="P60" s="100">
        <f t="array" ref="P60">IFERROR(_xlfn.XLOOKUP($A60&amp;"|"&amp;$C60,Financials!$A$2:$A$201&amp;"|"&amp;Financials!$B$2:$B$201,Financials!$E$2:$E$201,""),"")</f>
        <v/>
      </c>
      <c r="Q60" s="100">
        <f t="array" ref="Q60">IFERROR(_xlfn.XLOOKUP($A60&amp;"|"&amp;$C60,Financials!$A$2:$A$201&amp;"|"&amp;Financials!$B$2:$B$201,Financials!$G$2:$G$201,""),"")</f>
        <v/>
      </c>
      <c r="R60" s="100">
        <f t="array" ref="R60">IFERROR(_xlfn.XLOOKUP($A60&amp;"|"&amp;$C60,Financials!$A$2:$A$201&amp;"|"&amp;Financials!$B$2:$B$201,Financials!$S$2:$S$201,""),"")</f>
        <v/>
      </c>
      <c r="S60" s="100">
        <f t="array" ref="S60">IFERROR(_xlfn.XLOOKUP($A60&amp;"|"&amp;$C60,Financials!$A$2:$A$201&amp;"|"&amp;Financials!$B$2:$B$201,Financials!$AC$2:$AC$201,""),"")</f>
        <v/>
      </c>
      <c r="T60" s="101">
        <f>IFERROR(P60/O60,"")</f>
        <v/>
      </c>
      <c r="U60" s="24">
        <f>IFERROR(R60/P60,"")</f>
        <v/>
      </c>
      <c r="V60" s="102">
        <f>IFERROR(O60/E60,"")</f>
        <v/>
      </c>
      <c r="W60" s="24">
        <f>IFERROR(L60/F60,"")</f>
        <v/>
      </c>
      <c r="X60" s="26">
        <f>IFERROR(IF(NOT(ISNUMBER($E60)),"",IF($E60&gt;=Scoring_Criteria!$D$4,5,IF($E60&gt;=Scoring_Criteria!$E$4,4,IF($E60&gt;=Scoring_Criteria!$F$4,3,IF($E60&gt;=Scoring_Criteria!$G$4,2,1))))),"")</f>
        <v/>
      </c>
      <c r="Y60" s="26">
        <f>IFERROR(IF(OR(NOT(ISNUMBER($F60)),NOT(ISNUMBER($E60)),$E60=0),"",IF(($F60/$E60)&gt;=Scoring_Criteria!$D$5,5,IF(($F60/$E60)&gt;=Scoring_Criteria!$E$5,4,IF(($F60/$E60)&gt;=Scoring_Criteria!$F$5,3,IF(($F60/$E60)&gt;=Scoring_Criteria!$G$5,2,1))))),"")</f>
        <v/>
      </c>
      <c r="Z60" s="26">
        <f>IFERROR(IF(AND(NOT(ISNUMBER($I60)),NOT(ISNUMBER($J60))),"",IF((IFERROR($I60,0)+IFERROR($J60,0))&gt;=Scoring_Criteria!$D$6,5,IF((IFERROR($I60,0)+IFERROR($J60,0))&gt;=Scoring_Criteria!$E$6,4,IF((IFERROR($I60,0)+IFERROR($J60,0))&gt;=Scoring_Criteria!$F$6,3,IF((IFERROR($I60,0)+IFERROR($J60,0))&gt;=Scoring_Criteria!$G$6,2,1))))),"")</f>
        <v/>
      </c>
      <c r="AA60" s="26">
        <f>IFERROR(IF(NOT(ISNUMBER($M60)),"",IF($M60&gt;=Scoring_Criteria!$D$7,5,IF($M60&gt;=Scoring_Criteria!$E$7,4,IF($M60&gt;=Scoring_Criteria!$F$7,3,IF($M60&gt;=Scoring_Criteria!$G$7,2,1))))),"")</f>
        <v/>
      </c>
      <c r="AB60" s="26">
        <f>IFERROR(IF(NOT(ISNUMBER($T60)),"",IF($T60&gt;=Scoring_Criteria!$D$8,5,IF($T60&gt;=Scoring_Criteria!$E$8,4,IF($T60&gt;=Scoring_Criteria!$F$8,3,IF($T60&gt;=Scoring_Criteria!$G$8,2,1))))),"")</f>
        <v/>
      </c>
      <c r="AC60" s="26">
        <f>IFERROR(IF(NOT(ISNUMBER($U60)),"",IF($U60&lt;=Scoring_Criteria!$D$9,5,IF($U60&lt;=Scoring_Criteria!$E$9,4,IF($U60&lt;=Scoring_Criteria!$F$9,3,IF($U60&lt;=Scoring_Criteria!$G$9,2,1))))),"")</f>
        <v/>
      </c>
      <c r="AD60" s="26">
        <f t="array" ref="AD60">IFERROR(IF(NOT(ISNUMBER(_xlfn.XLOOKUP($A60&amp;"|"&amp;$C60,Financials!$A$2:$A$201&amp;"|"&amp;Financials!$B$2:$B$201,Financials!$AD$2:$AD$201,""))),"",IF(_xlfn.XLOOKUP($A60&amp;"|"&amp;$C60,Financials!$A$2:$A$201&amp;"|"&amp;Financials!$B$2:$B$201,Financials!$AD$2:$AD$201,"")&gt;=Scoring_Criteria!$D$10,5,IF(_xlfn.XLOOKUP($A60&amp;"|"&amp;$C60,Financials!$A$2:$A$201&amp;"|"&amp;Financials!$B$2:$B$201,Financials!$AD$2:$AD$201,"")&gt;=Scoring_Criteria!$E$10,4,IF(_xlfn.XLOOKUP($A60&amp;"|"&amp;$C60,Financials!$A$2:$A$201&amp;"|"&amp;Financials!$B$2:$B$201,Financials!$AD$2:$AD$201,"")&gt;=Scoring_Criteria!$F$10,3,IF(_xlfn.XLOOKUP($A60&amp;"|"&amp;$C60,Financials!$A$2:$A$201&amp;"|"&amp;Financials!$B$2:$B$201,Financials!$AD$2:$AD$201,"")&gt;=Scoring_Criteria!$G$10,2,1))))),"")</f>
        <v/>
      </c>
      <c r="AE60" s="27" t="n"/>
      <c r="AF60" s="27" t="n"/>
      <c r="AG60" s="28">
        <f>IFERROR(IF(COUNTA(X60:AF60)=0,"",AVERAGE(X60:AF60)),"")</f>
        <v/>
      </c>
      <c r="AH60" s="29" t="n"/>
      <c r="AI60" s="29" t="n"/>
      <c r="AJ60" s="29" t="n"/>
      <c r="AK60" s="29" t="n"/>
      <c r="AL60" s="29" t="n"/>
      <c r="AM60" s="29" t="n"/>
      <c r="AN60" s="29" t="n"/>
      <c r="AO60" s="29" t="n"/>
      <c r="AP60" s="29" t="n"/>
      <c r="AQ60" s="29" t="n"/>
      <c r="AR60" s="29" t="n"/>
      <c r="AS60" s="29" t="n"/>
      <c r="AT60" s="29" t="n"/>
      <c r="AU60">
        <f>IFERROR(Validation_Summary!Q5,"")</f>
        <v/>
      </c>
    </row>
    <row r="61" ht="15" customHeight="1" s="67">
      <c r="A61" s="6" t="inlineStr">
        <is>
          <t>PT Indo Oil Perkasa Tbk</t>
        </is>
      </c>
      <c r="B61" s="19">
        <f t="array" ref="B61">IFERROR(_xlfn.XLOOKUP($A61&amp;"|"&amp;$C61,'Company_Master'!$A$2:$A$94&amp;"|"&amp;'Company_Master'!$D$2:$D$94,'Company_Master'!$B$2:$B$94,""),"")</f>
        <v/>
      </c>
      <c r="C61" s="98" t="n">
        <v>2023</v>
      </c>
      <c r="D61" s="19">
        <f t="array" ref="D61">IFERROR(_xlfn.XLOOKUP($A61&amp;"|"&amp;$C61,'Company_Master'!$A$2:$A$94&amp;"|"&amp;'Company_Master'!$D$2:$D$94,'Company_Master'!$H$2:$H$94,""),"")</f>
        <v/>
      </c>
      <c r="E61" s="98">
        <f t="array" ref="E61">IFERROR(_xlfn.XLOOKUP($A61&amp;"|"&amp;$C61,Asset_Operations!$A$2:$A$201&amp;"|"&amp;Asset_Operations!$BG$2:$BG$201,Asset_Operations!$B$2:$B$201,""),"")</f>
        <v/>
      </c>
      <c r="F61" s="98">
        <f t="array" ref="F61">IFERROR(_xlfn.XLOOKUP($A61&amp;"|"&amp;$C61,Asset_Operations!$A$2:$A$201&amp;"|"&amp;Asset_Operations!$BG$2:$BG$201,Asset_Operations!$E$2:$E$201,""),"")</f>
        <v/>
      </c>
      <c r="G61" s="98">
        <f t="array" ref="G61">IFERROR(_xlfn.XLOOKUP($A61&amp;"|"&amp;$C61,Asset_Operations!$A$2:$A$201&amp;"|"&amp;Asset_Operations!$BG$2:$BG$201,Asset_Operations!$I$2:$I$201,""),"")</f>
        <v/>
      </c>
      <c r="H61" s="98">
        <f t="array" ref="H61">IFERROR(_xlfn.XLOOKUP($A61&amp;"|"&amp;$C61,Asset_Operations!$A$2:$A$201&amp;"|"&amp;Asset_Operations!$BG$2:$BG$201,Asset_Operations!$J$2:$J$201,""),"")</f>
        <v/>
      </c>
      <c r="I61" s="98">
        <f t="array" ref="I61">IFERROR(_xlfn.XLOOKUP($A61&amp;"|"&amp;$C61,Asset_Operations!$A$2:$A$201&amp;"|"&amp;Asset_Operations!$BG$2:$BG$201,Asset_Operations!$O$2:$O$201,""),"")</f>
        <v/>
      </c>
      <c r="J61" s="98">
        <f t="array" ref="J61">IFERROR(_xlfn.XLOOKUP($A61&amp;"|"&amp;$C61,Asset_Operations!$A$2:$A$201&amp;"|"&amp;Asset_Operations!$BG$2:$BG$201,Asset_Operations!$S$2:$S$201,""),"")</f>
        <v/>
      </c>
      <c r="K61" s="98">
        <f t="array" ref="K61">IFERROR(_xlfn.XLOOKUP($A61&amp;"|"&amp;$C61,Asset_Operations!$A$2:$A$201&amp;"|"&amp;Asset_Operations!$BG$2:$BG$201,Asset_Operations!$AC$2:$AC$201,""),"")</f>
        <v/>
      </c>
      <c r="L61" s="98">
        <f t="array" ref="L61">IFERROR(_xlfn.XLOOKUP($A61&amp;"|"&amp;$C61,Asset_Operations!$A$2:$A$201&amp;"|"&amp;Asset_Operations!$BG$2:$BG$201,Asset_Operations!$AG$2:$AG$201,""),"")</f>
        <v/>
      </c>
      <c r="M61" s="98">
        <f t="array" ref="M61">IFERROR(_xlfn.XLOOKUP($A61&amp;"|"&amp;$C61,Asset_Operations!$A$2:$A$201&amp;"|"&amp;Asset_Operations!$BG$2:$BG$201,Asset_Operations!$AO$2:$AO$201,""),"")</f>
        <v/>
      </c>
      <c r="N61" s="99">
        <f t="array" ref="N61">IFERROR(_xlfn.XLOOKUP($A61&amp;"|"&amp;$C61,Asset_Operations!$A$2:$A$201&amp;"|"&amp;Asset_Operations!$BG$2:$BG$201,Asset_Operations!$AR$2:$AR$201,""),"")</f>
        <v/>
      </c>
      <c r="O61" s="100">
        <f t="array" ref="O61">IFERROR(_xlfn.XLOOKUP($A61&amp;"|"&amp;$C61,Financials!$A$2:$A$201&amp;"|"&amp;Financials!$B$2:$B$201,Financials!$C$2:$C$201,""),"")</f>
        <v/>
      </c>
      <c r="P61" s="100">
        <f t="array" ref="P61">IFERROR(_xlfn.XLOOKUP($A61&amp;"|"&amp;$C61,Financials!$A$2:$A$201&amp;"|"&amp;Financials!$B$2:$B$201,Financials!$E$2:$E$201,""),"")</f>
        <v/>
      </c>
      <c r="Q61" s="100">
        <f t="array" ref="Q61">IFERROR(_xlfn.XLOOKUP($A61&amp;"|"&amp;$C61,Financials!$A$2:$A$201&amp;"|"&amp;Financials!$B$2:$B$201,Financials!$G$2:$G$201,""),"")</f>
        <v/>
      </c>
      <c r="R61" s="100">
        <f t="array" ref="R61">IFERROR(_xlfn.XLOOKUP($A61&amp;"|"&amp;$C61,Financials!$A$2:$A$201&amp;"|"&amp;Financials!$B$2:$B$201,Financials!$S$2:$S$201,""),"")</f>
        <v/>
      </c>
      <c r="S61" s="100">
        <f t="array" ref="S61">IFERROR(_xlfn.XLOOKUP($A61&amp;"|"&amp;$C61,Financials!$A$2:$A$201&amp;"|"&amp;Financials!$B$2:$B$201,Financials!$AC$2:$AC$201,""),"")</f>
        <v/>
      </c>
      <c r="T61" s="101">
        <f>IFERROR(P61/O61,"")</f>
        <v/>
      </c>
      <c r="U61" s="24">
        <f>IFERROR(R61/P61,"")</f>
        <v/>
      </c>
      <c r="V61" s="102">
        <f>IFERROR(O61/E61,"")</f>
        <v/>
      </c>
      <c r="W61" s="24">
        <f>IFERROR(L61/F61,"")</f>
        <v/>
      </c>
      <c r="X61" s="26">
        <f>IFERROR(IF(NOT(ISNUMBER($E61)),"",IF($E61&gt;=Scoring_Criteria!$D$4,5,IF($E61&gt;=Scoring_Criteria!$E$4,4,IF($E61&gt;=Scoring_Criteria!$F$4,3,IF($E61&gt;=Scoring_Criteria!$G$4,2,1))))),"")</f>
        <v/>
      </c>
      <c r="Y61" s="26">
        <f>IFERROR(IF(OR(NOT(ISNUMBER($F61)),NOT(ISNUMBER($E61)),$E61=0),"",IF(($F61/$E61)&gt;=Scoring_Criteria!$D$5,5,IF(($F61/$E61)&gt;=Scoring_Criteria!$E$5,4,IF(($F61/$E61)&gt;=Scoring_Criteria!$F$5,3,IF(($F61/$E61)&gt;=Scoring_Criteria!$G$5,2,1))))),"")</f>
        <v/>
      </c>
      <c r="Z61" s="26">
        <f>IFERROR(IF(AND(NOT(ISNUMBER($I61)),NOT(ISNUMBER($J61))),"",IF((IFERROR($I61,0)+IFERROR($J61,0))&gt;=Scoring_Criteria!$D$6,5,IF((IFERROR($I61,0)+IFERROR($J61,0))&gt;=Scoring_Criteria!$E$6,4,IF((IFERROR($I61,0)+IFERROR($J61,0))&gt;=Scoring_Criteria!$F$6,3,IF((IFERROR($I61,0)+IFERROR($J61,0))&gt;=Scoring_Criteria!$G$6,2,1))))),"")</f>
        <v/>
      </c>
      <c r="AA61" s="26">
        <f>IFERROR(IF(NOT(ISNUMBER($M61)),"",IF($M61&gt;=Scoring_Criteria!$D$7,5,IF($M61&gt;=Scoring_Criteria!$E$7,4,IF($M61&gt;=Scoring_Criteria!$F$7,3,IF($M61&gt;=Scoring_Criteria!$G$7,2,1))))),"")</f>
        <v/>
      </c>
      <c r="AB61" s="26">
        <f>IFERROR(IF(NOT(ISNUMBER($T61)),"",IF($T61&gt;=Scoring_Criteria!$D$8,5,IF($T61&gt;=Scoring_Criteria!$E$8,4,IF($T61&gt;=Scoring_Criteria!$F$8,3,IF($T61&gt;=Scoring_Criteria!$G$8,2,1))))),"")</f>
        <v/>
      </c>
      <c r="AC61" s="26">
        <f>IFERROR(IF(NOT(ISNUMBER($U61)),"",IF($U61&lt;=Scoring_Criteria!$D$9,5,IF($U61&lt;=Scoring_Criteria!$E$9,4,IF($U61&lt;=Scoring_Criteria!$F$9,3,IF($U61&lt;=Scoring_Criteria!$G$9,2,1))))),"")</f>
        <v/>
      </c>
      <c r="AD61" s="26">
        <f t="array" ref="AD61">IFERROR(IF(NOT(ISNUMBER(_xlfn.XLOOKUP($A61&amp;"|"&amp;$C61,Financials!$A$2:$A$201&amp;"|"&amp;Financials!$B$2:$B$201,Financials!$AD$2:$AD$201,""))),"",IF(_xlfn.XLOOKUP($A61&amp;"|"&amp;$C61,Financials!$A$2:$A$201&amp;"|"&amp;Financials!$B$2:$B$201,Financials!$AD$2:$AD$201,"")&gt;=Scoring_Criteria!$D$10,5,IF(_xlfn.XLOOKUP($A61&amp;"|"&amp;$C61,Financials!$A$2:$A$201&amp;"|"&amp;Financials!$B$2:$B$201,Financials!$AD$2:$AD$201,"")&gt;=Scoring_Criteria!$E$10,4,IF(_xlfn.XLOOKUP($A61&amp;"|"&amp;$C61,Financials!$A$2:$A$201&amp;"|"&amp;Financials!$B$2:$B$201,Financials!$AD$2:$AD$201,"")&gt;=Scoring_Criteria!$F$10,3,IF(_xlfn.XLOOKUP($A61&amp;"|"&amp;$C61,Financials!$A$2:$A$201&amp;"|"&amp;Financials!$B$2:$B$201,Financials!$AD$2:$AD$201,"")&gt;=Scoring_Criteria!$G$10,2,1))))),"")</f>
        <v/>
      </c>
      <c r="AE61" s="27" t="n"/>
      <c r="AF61" s="27" t="n"/>
      <c r="AG61" s="28">
        <f>IFERROR(IF(COUNTA(X61:AF61)=0,"",AVERAGE(X61:AF61)),"")</f>
        <v/>
      </c>
      <c r="AH61" s="29" t="n"/>
      <c r="AI61" s="29" t="n"/>
      <c r="AJ61" s="29" t="n"/>
      <c r="AK61" s="29" t="n"/>
      <c r="AL61" s="29" t="n"/>
      <c r="AM61" s="29" t="n"/>
      <c r="AN61" s="29" t="n"/>
      <c r="AO61" s="29" t="n"/>
      <c r="AP61" s="29" t="n"/>
      <c r="AQ61" s="29" t="n"/>
      <c r="AR61" s="29" t="n"/>
      <c r="AS61" s="29" t="n"/>
      <c r="AT61" s="29" t="n"/>
      <c r="AU61">
        <f>IFERROR(Validation_Summary!Q5,"")</f>
        <v/>
      </c>
    </row>
    <row r="62" ht="15" customHeight="1" s="67">
      <c r="A62" s="6" t="inlineStr">
        <is>
          <t>PT Indo Oil Perkasa Tbk</t>
        </is>
      </c>
      <c r="B62" s="19">
        <f t="array" ref="B62">IFERROR(_xlfn.XLOOKUP($A62&amp;"|"&amp;$C62,'Company_Master'!$A$2:$A$94&amp;"|"&amp;'Company_Master'!$D$2:$D$94,'Company_Master'!$B$2:$B$94,""),"")</f>
        <v/>
      </c>
      <c r="C62" s="98" t="n">
        <v>2024</v>
      </c>
      <c r="D62" s="19">
        <f t="array" ref="D62">IFERROR(_xlfn.XLOOKUP($A62&amp;"|"&amp;$C62,'Company_Master'!$A$2:$A$94&amp;"|"&amp;'Company_Master'!$D$2:$D$94,'Company_Master'!$H$2:$H$94,""),"")</f>
        <v/>
      </c>
      <c r="E62" s="98">
        <f t="array" ref="E62">IFERROR(_xlfn.XLOOKUP($A62&amp;"|"&amp;$C62,Asset_Operations!$A$2:$A$201&amp;"|"&amp;Asset_Operations!$BG$2:$BG$201,Asset_Operations!$B$2:$B$201,""),"")</f>
        <v/>
      </c>
      <c r="F62" s="98">
        <f t="array" ref="F62">IFERROR(_xlfn.XLOOKUP($A62&amp;"|"&amp;$C62,Asset_Operations!$A$2:$A$201&amp;"|"&amp;Asset_Operations!$BG$2:$BG$201,Asset_Operations!$E$2:$E$201,""),"")</f>
        <v/>
      </c>
      <c r="G62" s="98">
        <f t="array" ref="G62">IFERROR(_xlfn.XLOOKUP($A62&amp;"|"&amp;$C62,Asset_Operations!$A$2:$A$201&amp;"|"&amp;Asset_Operations!$BG$2:$BG$201,Asset_Operations!$I$2:$I$201,""),"")</f>
        <v/>
      </c>
      <c r="H62" s="98">
        <f t="array" ref="H62">IFERROR(_xlfn.XLOOKUP($A62&amp;"|"&amp;$C62,Asset_Operations!$A$2:$A$201&amp;"|"&amp;Asset_Operations!$BG$2:$BG$201,Asset_Operations!$J$2:$J$201,""),"")</f>
        <v/>
      </c>
      <c r="I62" s="98">
        <f t="array" ref="I62">IFERROR(_xlfn.XLOOKUP($A62&amp;"|"&amp;$C62,Asset_Operations!$A$2:$A$201&amp;"|"&amp;Asset_Operations!$BG$2:$BG$201,Asset_Operations!$O$2:$O$201,""),"")</f>
        <v/>
      </c>
      <c r="J62" s="98">
        <f t="array" ref="J62">IFERROR(_xlfn.XLOOKUP($A62&amp;"|"&amp;$C62,Asset_Operations!$A$2:$A$201&amp;"|"&amp;Asset_Operations!$BG$2:$BG$201,Asset_Operations!$S$2:$S$201,""),"")</f>
        <v/>
      </c>
      <c r="K62" s="98">
        <f t="array" ref="K62">IFERROR(_xlfn.XLOOKUP($A62&amp;"|"&amp;$C62,Asset_Operations!$A$2:$A$201&amp;"|"&amp;Asset_Operations!$BG$2:$BG$201,Asset_Operations!$AC$2:$AC$201,""),"")</f>
        <v/>
      </c>
      <c r="L62" s="98">
        <f t="array" ref="L62">IFERROR(_xlfn.XLOOKUP($A62&amp;"|"&amp;$C62,Asset_Operations!$A$2:$A$201&amp;"|"&amp;Asset_Operations!$BG$2:$BG$201,Asset_Operations!$AG$2:$AG$201,""),"")</f>
        <v/>
      </c>
      <c r="M62" s="98">
        <f t="array" ref="M62">IFERROR(_xlfn.XLOOKUP($A62&amp;"|"&amp;$C62,Asset_Operations!$A$2:$A$201&amp;"|"&amp;Asset_Operations!$BG$2:$BG$201,Asset_Operations!$AO$2:$AO$201,""),"")</f>
        <v/>
      </c>
      <c r="N62" s="99">
        <f t="array" ref="N62">IFERROR(_xlfn.XLOOKUP($A62&amp;"|"&amp;$C62,Asset_Operations!$A$2:$A$201&amp;"|"&amp;Asset_Operations!$BG$2:$BG$201,Asset_Operations!$AR$2:$AR$201,""),"")</f>
        <v/>
      </c>
      <c r="O62" s="100">
        <f t="array" ref="O62">IFERROR(_xlfn.XLOOKUP($A62&amp;"|"&amp;$C62,Financials!$A$2:$A$201&amp;"|"&amp;Financials!$B$2:$B$201,Financials!$C$2:$C$201,""),"")</f>
        <v/>
      </c>
      <c r="P62" s="100">
        <f t="array" ref="P62">IFERROR(_xlfn.XLOOKUP($A62&amp;"|"&amp;$C62,Financials!$A$2:$A$201&amp;"|"&amp;Financials!$B$2:$B$201,Financials!$E$2:$E$201,""),"")</f>
        <v/>
      </c>
      <c r="Q62" s="100">
        <f t="array" ref="Q62">IFERROR(_xlfn.XLOOKUP($A62&amp;"|"&amp;$C62,Financials!$A$2:$A$201&amp;"|"&amp;Financials!$B$2:$B$201,Financials!$G$2:$G$201,""),"")</f>
        <v/>
      </c>
      <c r="R62" s="100">
        <f t="array" ref="R62">IFERROR(_xlfn.XLOOKUP($A62&amp;"|"&amp;$C62,Financials!$A$2:$A$201&amp;"|"&amp;Financials!$B$2:$B$201,Financials!$S$2:$S$201,""),"")</f>
        <v/>
      </c>
      <c r="S62" s="100">
        <f t="array" ref="S62">IFERROR(_xlfn.XLOOKUP($A62&amp;"|"&amp;$C62,Financials!$A$2:$A$201&amp;"|"&amp;Financials!$B$2:$B$201,Financials!$AC$2:$AC$201,""),"")</f>
        <v/>
      </c>
      <c r="T62" s="101">
        <f>IFERROR(P62/O62,"")</f>
        <v/>
      </c>
      <c r="U62" s="24">
        <f>IFERROR(R62/P62,"")</f>
        <v/>
      </c>
      <c r="V62" s="102">
        <f>IFERROR(O62/E62,"")</f>
        <v/>
      </c>
      <c r="W62" s="24">
        <f>IFERROR(L62/F62,"")</f>
        <v/>
      </c>
      <c r="X62" s="26">
        <f>IFERROR(IF(NOT(ISNUMBER($E62)),"",IF($E62&gt;=Scoring_Criteria!$D$4,5,IF($E62&gt;=Scoring_Criteria!$E$4,4,IF($E62&gt;=Scoring_Criteria!$F$4,3,IF($E62&gt;=Scoring_Criteria!$G$4,2,1))))),"")</f>
        <v/>
      </c>
      <c r="Y62" s="26">
        <f>IFERROR(IF(OR(NOT(ISNUMBER($F62)),NOT(ISNUMBER($E62)),$E62=0),"",IF(($F62/$E62)&gt;=Scoring_Criteria!$D$5,5,IF(($F62/$E62)&gt;=Scoring_Criteria!$E$5,4,IF(($F62/$E62)&gt;=Scoring_Criteria!$F$5,3,IF(($F62/$E62)&gt;=Scoring_Criteria!$G$5,2,1))))),"")</f>
        <v/>
      </c>
      <c r="Z62" s="26">
        <f>IFERROR(IF(AND(NOT(ISNUMBER($I62)),NOT(ISNUMBER($J62))),"",IF((IFERROR($I62,0)+IFERROR($J62,0))&gt;=Scoring_Criteria!$D$6,5,IF((IFERROR($I62,0)+IFERROR($J62,0))&gt;=Scoring_Criteria!$E$6,4,IF((IFERROR($I62,0)+IFERROR($J62,0))&gt;=Scoring_Criteria!$F$6,3,IF((IFERROR($I62,0)+IFERROR($J62,0))&gt;=Scoring_Criteria!$G$6,2,1))))),"")</f>
        <v/>
      </c>
      <c r="AA62" s="26">
        <f>IFERROR(IF(NOT(ISNUMBER($M62)),"",IF($M62&gt;=Scoring_Criteria!$D$7,5,IF($M62&gt;=Scoring_Criteria!$E$7,4,IF($M62&gt;=Scoring_Criteria!$F$7,3,IF($M62&gt;=Scoring_Criteria!$G$7,2,1))))),"")</f>
        <v/>
      </c>
      <c r="AB62" s="26">
        <f>IFERROR(IF(NOT(ISNUMBER($T62)),"",IF($T62&gt;=Scoring_Criteria!$D$8,5,IF($T62&gt;=Scoring_Criteria!$E$8,4,IF($T62&gt;=Scoring_Criteria!$F$8,3,IF($T62&gt;=Scoring_Criteria!$G$8,2,1))))),"")</f>
        <v/>
      </c>
      <c r="AC62" s="26">
        <f>IFERROR(IF(NOT(ISNUMBER($U62)),"",IF($U62&lt;=Scoring_Criteria!$D$9,5,IF($U62&lt;=Scoring_Criteria!$E$9,4,IF($U62&lt;=Scoring_Criteria!$F$9,3,IF($U62&lt;=Scoring_Criteria!$G$9,2,1))))),"")</f>
        <v/>
      </c>
      <c r="AD62" s="26">
        <f t="array" ref="AD62">IFERROR(IF(NOT(ISNUMBER(_xlfn.XLOOKUP($A62&amp;"|"&amp;$C62,Financials!$A$2:$A$201&amp;"|"&amp;Financials!$B$2:$B$201,Financials!$AD$2:$AD$201,""))),"",IF(_xlfn.XLOOKUP($A62&amp;"|"&amp;$C62,Financials!$A$2:$A$201&amp;"|"&amp;Financials!$B$2:$B$201,Financials!$AD$2:$AD$201,"")&gt;=Scoring_Criteria!$D$10,5,IF(_xlfn.XLOOKUP($A62&amp;"|"&amp;$C62,Financials!$A$2:$A$201&amp;"|"&amp;Financials!$B$2:$B$201,Financials!$AD$2:$AD$201,"")&gt;=Scoring_Criteria!$E$10,4,IF(_xlfn.XLOOKUP($A62&amp;"|"&amp;$C62,Financials!$A$2:$A$201&amp;"|"&amp;Financials!$B$2:$B$201,Financials!$AD$2:$AD$201,"")&gt;=Scoring_Criteria!$F$10,3,IF(_xlfn.XLOOKUP($A62&amp;"|"&amp;$C62,Financials!$A$2:$A$201&amp;"|"&amp;Financials!$B$2:$B$201,Financials!$AD$2:$AD$201,"")&gt;=Scoring_Criteria!$G$10,2,1))))),"")</f>
        <v/>
      </c>
      <c r="AE62" s="27" t="n"/>
      <c r="AF62" s="27" t="n"/>
      <c r="AG62" s="28">
        <f>IFERROR(IF(COUNTA(X62:AF62)=0,"",AVERAGE(X62:AF62)),"")</f>
        <v/>
      </c>
      <c r="AH62" s="29" t="n"/>
      <c r="AI62" s="29" t="n"/>
      <c r="AJ62" s="29" t="n"/>
      <c r="AK62" s="29" t="n"/>
      <c r="AL62" s="29" t="n"/>
      <c r="AM62" s="29" t="n"/>
      <c r="AN62" s="29" t="n"/>
      <c r="AO62" s="29" t="n"/>
      <c r="AP62" s="29" t="n"/>
      <c r="AQ62" s="29" t="n"/>
      <c r="AR62" s="29" t="n"/>
      <c r="AS62" s="29" t="n"/>
      <c r="AT62" s="29" t="n"/>
      <c r="AU62">
        <f>IFERROR(Validation_Summary!Q5,"")</f>
        <v/>
      </c>
    </row>
    <row r="63" ht="15" customHeight="1" s="67">
      <c r="A63" s="6" t="inlineStr">
        <is>
          <t>PT Pradiksi Gunatama Tbk</t>
        </is>
      </c>
      <c r="B63" s="19">
        <f t="array" ref="B63">IFERROR(_xlfn.XLOOKUP($A63&amp;"|"&amp;$C63,'Company_Master'!$A$2:$A$94&amp;"|"&amp;'Company_Master'!$D$2:$D$94,'Company_Master'!$B$2:$B$94,""),"")</f>
        <v/>
      </c>
      <c r="C63" s="98" t="n">
        <v>2022</v>
      </c>
      <c r="D63" s="19">
        <f t="array" ref="D63">IFERROR(_xlfn.XLOOKUP($A63&amp;"|"&amp;$C63,'Company_Master'!$A$2:$A$94&amp;"|"&amp;'Company_Master'!$D$2:$D$94,'Company_Master'!$H$2:$H$94,""),"")</f>
        <v/>
      </c>
      <c r="E63" s="98">
        <f t="array" ref="E63">IFERROR(_xlfn.XLOOKUP($A63&amp;"|"&amp;$C63,Asset_Operations!$A$2:$A$201&amp;"|"&amp;Asset_Operations!$BG$2:$BG$201,Asset_Operations!$B$2:$B$201,""),"")</f>
        <v/>
      </c>
      <c r="F63" s="98">
        <f t="array" ref="F63">IFERROR(_xlfn.XLOOKUP($A63&amp;"|"&amp;$C63,Asset_Operations!$A$2:$A$201&amp;"|"&amp;Asset_Operations!$BG$2:$BG$201,Asset_Operations!$E$2:$E$201,""),"")</f>
        <v/>
      </c>
      <c r="G63" s="98">
        <f t="array" ref="G63">IFERROR(_xlfn.XLOOKUP($A63&amp;"|"&amp;$C63,Asset_Operations!$A$2:$A$201&amp;"|"&amp;Asset_Operations!$BG$2:$BG$201,Asset_Operations!$I$2:$I$201,""),"")</f>
        <v/>
      </c>
      <c r="H63" s="98">
        <f t="array" ref="H63">IFERROR(_xlfn.XLOOKUP($A63&amp;"|"&amp;$C63,Asset_Operations!$A$2:$A$201&amp;"|"&amp;Asset_Operations!$BG$2:$BG$201,Asset_Operations!$J$2:$J$201,""),"")</f>
        <v/>
      </c>
      <c r="I63" s="98">
        <f t="array" ref="I63">IFERROR(_xlfn.XLOOKUP($A63&amp;"|"&amp;$C63,Asset_Operations!$A$2:$A$201&amp;"|"&amp;Asset_Operations!$BG$2:$BG$201,Asset_Operations!$O$2:$O$201,""),"")</f>
        <v/>
      </c>
      <c r="J63" s="98">
        <f t="array" ref="J63">IFERROR(_xlfn.XLOOKUP($A63&amp;"|"&amp;$C63,Asset_Operations!$A$2:$A$201&amp;"|"&amp;Asset_Operations!$BG$2:$BG$201,Asset_Operations!$S$2:$S$201,""),"")</f>
        <v/>
      </c>
      <c r="K63" s="98">
        <f t="array" ref="K63">IFERROR(_xlfn.XLOOKUP($A63&amp;"|"&amp;$C63,Asset_Operations!$A$2:$A$201&amp;"|"&amp;Asset_Operations!$BG$2:$BG$201,Asset_Operations!$AC$2:$AC$201,""),"")</f>
        <v/>
      </c>
      <c r="L63" s="98">
        <f t="array" ref="L63">IFERROR(_xlfn.XLOOKUP($A63&amp;"|"&amp;$C63,Asset_Operations!$A$2:$A$201&amp;"|"&amp;Asset_Operations!$BG$2:$BG$201,Asset_Operations!$AG$2:$AG$201,""),"")</f>
        <v/>
      </c>
      <c r="M63" s="98">
        <f t="array" ref="M63">IFERROR(_xlfn.XLOOKUP($A63&amp;"|"&amp;$C63,Asset_Operations!$A$2:$A$201&amp;"|"&amp;Asset_Operations!$BG$2:$BG$201,Asset_Operations!$AO$2:$AO$201,""),"")</f>
        <v/>
      </c>
      <c r="N63" s="99">
        <f t="array" ref="N63">IFERROR(_xlfn.XLOOKUP($A63&amp;"|"&amp;$C63,Asset_Operations!$A$2:$A$201&amp;"|"&amp;Asset_Operations!$BG$2:$BG$201,Asset_Operations!$AR$2:$AR$201,""),"")</f>
        <v/>
      </c>
      <c r="O63" s="100">
        <f t="array" ref="O63">IFERROR(_xlfn.XLOOKUP($A63&amp;"|"&amp;$C63,Financials!$A$2:$A$201&amp;"|"&amp;Financials!$B$2:$B$201,Financials!$C$2:$C$201,""),"")</f>
        <v/>
      </c>
      <c r="P63" s="100">
        <f t="array" ref="P63">IFERROR(_xlfn.XLOOKUP($A63&amp;"|"&amp;$C63,Financials!$A$2:$A$201&amp;"|"&amp;Financials!$B$2:$B$201,Financials!$E$2:$E$201,""),"")</f>
        <v/>
      </c>
      <c r="Q63" s="100">
        <f t="array" ref="Q63">IFERROR(_xlfn.XLOOKUP($A63&amp;"|"&amp;$C63,Financials!$A$2:$A$201&amp;"|"&amp;Financials!$B$2:$B$201,Financials!$G$2:$G$201,""),"")</f>
        <v/>
      </c>
      <c r="R63" s="100">
        <f t="array" ref="R63">IFERROR(_xlfn.XLOOKUP($A63&amp;"|"&amp;$C63,Financials!$A$2:$A$201&amp;"|"&amp;Financials!$B$2:$B$201,Financials!$S$2:$S$201,""),"")</f>
        <v/>
      </c>
      <c r="S63" s="100">
        <f t="array" ref="S63">IFERROR(_xlfn.XLOOKUP($A63&amp;"|"&amp;$C63,Financials!$A$2:$A$201&amp;"|"&amp;Financials!$B$2:$B$201,Financials!$AC$2:$AC$201,""),"")</f>
        <v/>
      </c>
      <c r="T63" s="101">
        <f>IFERROR(P63/O63,"")</f>
        <v/>
      </c>
      <c r="U63" s="24">
        <f>IFERROR(R63/P63,"")</f>
        <v/>
      </c>
      <c r="V63" s="102">
        <f>IFERROR(O63/E63,"")</f>
        <v/>
      </c>
      <c r="W63" s="24">
        <f>IFERROR(L63/F63,"")</f>
        <v/>
      </c>
      <c r="X63" s="26">
        <f>IFERROR(IF(NOT(ISNUMBER($E63)),"",IF($E63&gt;=Scoring_Criteria!$D$4,5,IF($E63&gt;=Scoring_Criteria!$E$4,4,IF($E63&gt;=Scoring_Criteria!$F$4,3,IF($E63&gt;=Scoring_Criteria!$G$4,2,1))))),"")</f>
        <v/>
      </c>
      <c r="Y63" s="26">
        <f>IFERROR(IF(OR(NOT(ISNUMBER($F63)),NOT(ISNUMBER($E63)),$E63=0),"",IF(($F63/$E63)&gt;=Scoring_Criteria!$D$5,5,IF(($F63/$E63)&gt;=Scoring_Criteria!$E$5,4,IF(($F63/$E63)&gt;=Scoring_Criteria!$F$5,3,IF(($F63/$E63)&gt;=Scoring_Criteria!$G$5,2,1))))),"")</f>
        <v/>
      </c>
      <c r="Z63" s="26">
        <f>IFERROR(IF(AND(NOT(ISNUMBER($I63)),NOT(ISNUMBER($J63))),"",IF((IFERROR($I63,0)+IFERROR($J63,0))&gt;=Scoring_Criteria!$D$6,5,IF((IFERROR($I63,0)+IFERROR($J63,0))&gt;=Scoring_Criteria!$E$6,4,IF((IFERROR($I63,0)+IFERROR($J63,0))&gt;=Scoring_Criteria!$F$6,3,IF((IFERROR($I63,0)+IFERROR($J63,0))&gt;=Scoring_Criteria!$G$6,2,1))))),"")</f>
        <v/>
      </c>
      <c r="AA63" s="26">
        <f>IFERROR(IF(NOT(ISNUMBER($M63)),"",IF($M63&gt;=Scoring_Criteria!$D$7,5,IF($M63&gt;=Scoring_Criteria!$E$7,4,IF($M63&gt;=Scoring_Criteria!$F$7,3,IF($M63&gt;=Scoring_Criteria!$G$7,2,1))))),"")</f>
        <v/>
      </c>
      <c r="AB63" s="26">
        <f>IFERROR(IF(NOT(ISNUMBER($T63)),"",IF($T63&gt;=Scoring_Criteria!$D$8,5,IF($T63&gt;=Scoring_Criteria!$E$8,4,IF($T63&gt;=Scoring_Criteria!$F$8,3,IF($T63&gt;=Scoring_Criteria!$G$8,2,1))))),"")</f>
        <v/>
      </c>
      <c r="AC63" s="26">
        <f>IFERROR(IF(NOT(ISNUMBER($U63)),"",IF($U63&lt;=Scoring_Criteria!$D$9,5,IF($U63&lt;=Scoring_Criteria!$E$9,4,IF($U63&lt;=Scoring_Criteria!$F$9,3,IF($U63&lt;=Scoring_Criteria!$G$9,2,1))))),"")</f>
        <v/>
      </c>
      <c r="AD63" s="26">
        <f t="array" ref="AD63">IFERROR(IF(NOT(ISNUMBER(_xlfn.XLOOKUP($A63&amp;"|"&amp;$C63,Financials!$A$2:$A$201&amp;"|"&amp;Financials!$B$2:$B$201,Financials!$AD$2:$AD$201,""))),"",IF(_xlfn.XLOOKUP($A63&amp;"|"&amp;$C63,Financials!$A$2:$A$201&amp;"|"&amp;Financials!$B$2:$B$201,Financials!$AD$2:$AD$201,"")&gt;=Scoring_Criteria!$D$10,5,IF(_xlfn.XLOOKUP($A63&amp;"|"&amp;$C63,Financials!$A$2:$A$201&amp;"|"&amp;Financials!$B$2:$B$201,Financials!$AD$2:$AD$201,"")&gt;=Scoring_Criteria!$E$10,4,IF(_xlfn.XLOOKUP($A63&amp;"|"&amp;$C63,Financials!$A$2:$A$201&amp;"|"&amp;Financials!$B$2:$B$201,Financials!$AD$2:$AD$201,"")&gt;=Scoring_Criteria!$F$10,3,IF(_xlfn.XLOOKUP($A63&amp;"|"&amp;$C63,Financials!$A$2:$A$201&amp;"|"&amp;Financials!$B$2:$B$201,Financials!$AD$2:$AD$201,"")&gt;=Scoring_Criteria!$G$10,2,1))))),"")</f>
        <v/>
      </c>
      <c r="AE63" s="27" t="n"/>
      <c r="AF63" s="27" t="n"/>
      <c r="AG63" s="28">
        <f>IFERROR(IF(COUNTA(X63:AF63)=0,"",AVERAGE(X63:AF63)),"")</f>
        <v/>
      </c>
      <c r="AH63" s="29" t="n"/>
      <c r="AI63" s="29" t="n"/>
      <c r="AJ63" s="29" t="n"/>
      <c r="AK63" s="29" t="n"/>
      <c r="AL63" s="29" t="n"/>
      <c r="AM63" s="29" t="n"/>
      <c r="AN63" s="29" t="n"/>
      <c r="AO63" s="29" t="n"/>
      <c r="AP63" s="29" t="n"/>
      <c r="AQ63" s="29" t="n"/>
      <c r="AR63" s="29" t="n"/>
      <c r="AS63" s="29" t="n"/>
      <c r="AT63" s="29" t="n"/>
      <c r="AU63">
        <f>IFERROR(Validation_Summary!Q5,"")</f>
        <v/>
      </c>
    </row>
    <row r="64" ht="15" customHeight="1" s="67">
      <c r="A64" s="6" t="inlineStr">
        <is>
          <t>PT Pradiksi Gunatama Tbk</t>
        </is>
      </c>
      <c r="B64" s="19">
        <f t="array" ref="B64">IFERROR(_xlfn.XLOOKUP($A64&amp;"|"&amp;$C64,'Company_Master'!$A$2:$A$94&amp;"|"&amp;'Company_Master'!$D$2:$D$94,'Company_Master'!$B$2:$B$94,""),"")</f>
        <v/>
      </c>
      <c r="C64" s="98" t="n">
        <v>2023</v>
      </c>
      <c r="D64" s="19">
        <f t="array" ref="D64">IFERROR(_xlfn.XLOOKUP($A64&amp;"|"&amp;$C64,'Company_Master'!$A$2:$A$94&amp;"|"&amp;'Company_Master'!$D$2:$D$94,'Company_Master'!$H$2:$H$94,""),"")</f>
        <v/>
      </c>
      <c r="E64" s="98">
        <f t="array" ref="E64">IFERROR(_xlfn.XLOOKUP($A64&amp;"|"&amp;$C64,Asset_Operations!$A$2:$A$201&amp;"|"&amp;Asset_Operations!$BG$2:$BG$201,Asset_Operations!$B$2:$B$201,""),"")</f>
        <v/>
      </c>
      <c r="F64" s="98">
        <f t="array" ref="F64">IFERROR(_xlfn.XLOOKUP($A64&amp;"|"&amp;$C64,Asset_Operations!$A$2:$A$201&amp;"|"&amp;Asset_Operations!$BG$2:$BG$201,Asset_Operations!$E$2:$E$201,""),"")</f>
        <v/>
      </c>
      <c r="G64" s="98">
        <f t="array" ref="G64">IFERROR(_xlfn.XLOOKUP($A64&amp;"|"&amp;$C64,Asset_Operations!$A$2:$A$201&amp;"|"&amp;Asset_Operations!$BG$2:$BG$201,Asset_Operations!$I$2:$I$201,""),"")</f>
        <v/>
      </c>
      <c r="H64" s="98">
        <f t="array" ref="H64">IFERROR(_xlfn.XLOOKUP($A64&amp;"|"&amp;$C64,Asset_Operations!$A$2:$A$201&amp;"|"&amp;Asset_Operations!$BG$2:$BG$201,Asset_Operations!$J$2:$J$201,""),"")</f>
        <v/>
      </c>
      <c r="I64" s="98">
        <f t="array" ref="I64">IFERROR(_xlfn.XLOOKUP($A64&amp;"|"&amp;$C64,Asset_Operations!$A$2:$A$201&amp;"|"&amp;Asset_Operations!$BG$2:$BG$201,Asset_Operations!$O$2:$O$201,""),"")</f>
        <v/>
      </c>
      <c r="J64" s="98">
        <f t="array" ref="J64">IFERROR(_xlfn.XLOOKUP($A64&amp;"|"&amp;$C64,Asset_Operations!$A$2:$A$201&amp;"|"&amp;Asset_Operations!$BG$2:$BG$201,Asset_Operations!$S$2:$S$201,""),"")</f>
        <v/>
      </c>
      <c r="K64" s="98">
        <f t="array" ref="K64">IFERROR(_xlfn.XLOOKUP($A64&amp;"|"&amp;$C64,Asset_Operations!$A$2:$A$201&amp;"|"&amp;Asset_Operations!$BG$2:$BG$201,Asset_Operations!$AC$2:$AC$201,""),"")</f>
        <v/>
      </c>
      <c r="L64" s="98">
        <f t="array" ref="L64">IFERROR(_xlfn.XLOOKUP($A64&amp;"|"&amp;$C64,Asset_Operations!$A$2:$A$201&amp;"|"&amp;Asset_Operations!$BG$2:$BG$201,Asset_Operations!$AG$2:$AG$201,""),"")</f>
        <v/>
      </c>
      <c r="M64" s="98">
        <f t="array" ref="M64">IFERROR(_xlfn.XLOOKUP($A64&amp;"|"&amp;$C64,Asset_Operations!$A$2:$A$201&amp;"|"&amp;Asset_Operations!$BG$2:$BG$201,Asset_Operations!$AO$2:$AO$201,""),"")</f>
        <v/>
      </c>
      <c r="N64" s="99">
        <f t="array" ref="N64">IFERROR(_xlfn.XLOOKUP($A64&amp;"|"&amp;$C64,Asset_Operations!$A$2:$A$201&amp;"|"&amp;Asset_Operations!$BG$2:$BG$201,Asset_Operations!$AR$2:$AR$201,""),"")</f>
        <v/>
      </c>
      <c r="O64" s="100">
        <f t="array" ref="O64">IFERROR(_xlfn.XLOOKUP($A64&amp;"|"&amp;$C64,Financials!$A$2:$A$201&amp;"|"&amp;Financials!$B$2:$B$201,Financials!$C$2:$C$201,""),"")</f>
        <v/>
      </c>
      <c r="P64" s="100">
        <f t="array" ref="P64">IFERROR(_xlfn.XLOOKUP($A64&amp;"|"&amp;$C64,Financials!$A$2:$A$201&amp;"|"&amp;Financials!$B$2:$B$201,Financials!$E$2:$E$201,""),"")</f>
        <v/>
      </c>
      <c r="Q64" s="100">
        <f t="array" ref="Q64">IFERROR(_xlfn.XLOOKUP($A64&amp;"|"&amp;$C64,Financials!$A$2:$A$201&amp;"|"&amp;Financials!$B$2:$B$201,Financials!$G$2:$G$201,""),"")</f>
        <v/>
      </c>
      <c r="R64" s="100">
        <f t="array" ref="R64">IFERROR(_xlfn.XLOOKUP($A64&amp;"|"&amp;$C64,Financials!$A$2:$A$201&amp;"|"&amp;Financials!$B$2:$B$201,Financials!$S$2:$S$201,""),"")</f>
        <v/>
      </c>
      <c r="S64" s="100">
        <f t="array" ref="S64">IFERROR(_xlfn.XLOOKUP($A64&amp;"|"&amp;$C64,Financials!$A$2:$A$201&amp;"|"&amp;Financials!$B$2:$B$201,Financials!$AC$2:$AC$201,""),"")</f>
        <v/>
      </c>
      <c r="T64" s="101">
        <f>IFERROR(P64/O64,"")</f>
        <v/>
      </c>
      <c r="U64" s="24">
        <f>IFERROR(R64/P64,"")</f>
        <v/>
      </c>
      <c r="V64" s="102">
        <f>IFERROR(O64/E64,"")</f>
        <v/>
      </c>
      <c r="W64" s="24">
        <f>IFERROR(L64/F64,"")</f>
        <v/>
      </c>
      <c r="X64" s="26">
        <f>IFERROR(IF(NOT(ISNUMBER($E64)),"",IF($E64&gt;=Scoring_Criteria!$D$4,5,IF($E64&gt;=Scoring_Criteria!$E$4,4,IF($E64&gt;=Scoring_Criteria!$F$4,3,IF($E64&gt;=Scoring_Criteria!$G$4,2,1))))),"")</f>
        <v/>
      </c>
      <c r="Y64" s="26">
        <f>IFERROR(IF(OR(NOT(ISNUMBER($F64)),NOT(ISNUMBER($E64)),$E64=0),"",IF(($F64/$E64)&gt;=Scoring_Criteria!$D$5,5,IF(($F64/$E64)&gt;=Scoring_Criteria!$E$5,4,IF(($F64/$E64)&gt;=Scoring_Criteria!$F$5,3,IF(($F64/$E64)&gt;=Scoring_Criteria!$G$5,2,1))))),"")</f>
        <v/>
      </c>
      <c r="Z64" s="26">
        <f>IFERROR(IF(AND(NOT(ISNUMBER($I64)),NOT(ISNUMBER($J64))),"",IF((IFERROR($I64,0)+IFERROR($J64,0))&gt;=Scoring_Criteria!$D$6,5,IF((IFERROR($I64,0)+IFERROR($J64,0))&gt;=Scoring_Criteria!$E$6,4,IF((IFERROR($I64,0)+IFERROR($J64,0))&gt;=Scoring_Criteria!$F$6,3,IF((IFERROR($I64,0)+IFERROR($J64,0))&gt;=Scoring_Criteria!$G$6,2,1))))),"")</f>
        <v/>
      </c>
      <c r="AA64" s="26">
        <f>IFERROR(IF(NOT(ISNUMBER($M64)),"",IF($M64&gt;=Scoring_Criteria!$D$7,5,IF($M64&gt;=Scoring_Criteria!$E$7,4,IF($M64&gt;=Scoring_Criteria!$F$7,3,IF($M64&gt;=Scoring_Criteria!$G$7,2,1))))),"")</f>
        <v/>
      </c>
      <c r="AB64" s="26">
        <f>IFERROR(IF(NOT(ISNUMBER($T64)),"",IF($T64&gt;=Scoring_Criteria!$D$8,5,IF($T64&gt;=Scoring_Criteria!$E$8,4,IF($T64&gt;=Scoring_Criteria!$F$8,3,IF($T64&gt;=Scoring_Criteria!$G$8,2,1))))),"")</f>
        <v/>
      </c>
      <c r="AC64" s="26">
        <f>IFERROR(IF(NOT(ISNUMBER($U64)),"",IF($U64&lt;=Scoring_Criteria!$D$9,5,IF($U64&lt;=Scoring_Criteria!$E$9,4,IF($U64&lt;=Scoring_Criteria!$F$9,3,IF($U64&lt;=Scoring_Criteria!$G$9,2,1))))),"")</f>
        <v/>
      </c>
      <c r="AD64" s="26">
        <f t="array" ref="AD64">IFERROR(IF(NOT(ISNUMBER(_xlfn.XLOOKUP($A64&amp;"|"&amp;$C64,Financials!$A$2:$A$201&amp;"|"&amp;Financials!$B$2:$B$201,Financials!$AD$2:$AD$201,""))),"",IF(_xlfn.XLOOKUP($A64&amp;"|"&amp;$C64,Financials!$A$2:$A$201&amp;"|"&amp;Financials!$B$2:$B$201,Financials!$AD$2:$AD$201,"")&gt;=Scoring_Criteria!$D$10,5,IF(_xlfn.XLOOKUP($A64&amp;"|"&amp;$C64,Financials!$A$2:$A$201&amp;"|"&amp;Financials!$B$2:$B$201,Financials!$AD$2:$AD$201,"")&gt;=Scoring_Criteria!$E$10,4,IF(_xlfn.XLOOKUP($A64&amp;"|"&amp;$C64,Financials!$A$2:$A$201&amp;"|"&amp;Financials!$B$2:$B$201,Financials!$AD$2:$AD$201,"")&gt;=Scoring_Criteria!$F$10,3,IF(_xlfn.XLOOKUP($A64&amp;"|"&amp;$C64,Financials!$A$2:$A$201&amp;"|"&amp;Financials!$B$2:$B$201,Financials!$AD$2:$AD$201,"")&gt;=Scoring_Criteria!$G$10,2,1))))),"")</f>
        <v/>
      </c>
      <c r="AE64" s="27" t="n"/>
      <c r="AF64" s="27" t="n"/>
      <c r="AG64" s="28">
        <f>IFERROR(IF(COUNTA(X64:AF64)=0,"",AVERAGE(X64:AF64)),"")</f>
        <v/>
      </c>
      <c r="AH64" s="29" t="n"/>
      <c r="AI64" s="29" t="n"/>
      <c r="AJ64" s="29" t="n"/>
      <c r="AK64" s="29" t="n"/>
      <c r="AL64" s="29" t="n"/>
      <c r="AM64" s="29" t="n"/>
      <c r="AN64" s="29" t="n"/>
      <c r="AO64" s="29" t="n"/>
      <c r="AP64" s="29" t="n"/>
      <c r="AQ64" s="29" t="n"/>
      <c r="AR64" s="29" t="n"/>
      <c r="AS64" s="29" t="n"/>
      <c r="AT64" s="29" t="n"/>
      <c r="AU64">
        <f>IFERROR(Validation_Summary!Q5,"")</f>
        <v/>
      </c>
    </row>
    <row r="65" ht="15" customHeight="1" s="67">
      <c r="A65" s="6" t="inlineStr">
        <is>
          <t>PT Pradiksi Gunatama Tbk</t>
        </is>
      </c>
      <c r="B65" s="19">
        <f t="array" ref="B65">IFERROR(_xlfn.XLOOKUP($A65&amp;"|"&amp;$C65,'Company_Master'!$A$2:$A$94&amp;"|"&amp;'Company_Master'!$D$2:$D$94,'Company_Master'!$B$2:$B$94,""),"")</f>
        <v/>
      </c>
      <c r="C65" s="98" t="n">
        <v>2024</v>
      </c>
      <c r="D65" s="19">
        <f t="array" ref="D65">IFERROR(_xlfn.XLOOKUP($A65&amp;"|"&amp;$C65,'Company_Master'!$A$2:$A$94&amp;"|"&amp;'Company_Master'!$D$2:$D$94,'Company_Master'!$H$2:$H$94,""),"")</f>
        <v/>
      </c>
      <c r="E65" s="98">
        <f t="array" ref="E65">IFERROR(_xlfn.XLOOKUP($A65&amp;"|"&amp;$C65,Asset_Operations!$A$2:$A$201&amp;"|"&amp;Asset_Operations!$BG$2:$BG$201,Asset_Operations!$B$2:$B$201,""),"")</f>
        <v/>
      </c>
      <c r="F65" s="98">
        <f t="array" ref="F65">IFERROR(_xlfn.XLOOKUP($A65&amp;"|"&amp;$C65,Asset_Operations!$A$2:$A$201&amp;"|"&amp;Asset_Operations!$BG$2:$BG$201,Asset_Operations!$E$2:$E$201,""),"")</f>
        <v/>
      </c>
      <c r="G65" s="98">
        <f t="array" ref="G65">IFERROR(_xlfn.XLOOKUP($A65&amp;"|"&amp;$C65,Asset_Operations!$A$2:$A$201&amp;"|"&amp;Asset_Operations!$BG$2:$BG$201,Asset_Operations!$I$2:$I$201,""),"")</f>
        <v/>
      </c>
      <c r="H65" s="98">
        <f t="array" ref="H65">IFERROR(_xlfn.XLOOKUP($A65&amp;"|"&amp;$C65,Asset_Operations!$A$2:$A$201&amp;"|"&amp;Asset_Operations!$BG$2:$BG$201,Asset_Operations!$J$2:$J$201,""),"")</f>
        <v/>
      </c>
      <c r="I65" s="98">
        <f t="array" ref="I65">IFERROR(_xlfn.XLOOKUP($A65&amp;"|"&amp;$C65,Asset_Operations!$A$2:$A$201&amp;"|"&amp;Asset_Operations!$BG$2:$BG$201,Asset_Operations!$O$2:$O$201,""),"")</f>
        <v/>
      </c>
      <c r="J65" s="98">
        <f t="array" ref="J65">IFERROR(_xlfn.XLOOKUP($A65&amp;"|"&amp;$C65,Asset_Operations!$A$2:$A$201&amp;"|"&amp;Asset_Operations!$BG$2:$BG$201,Asset_Operations!$S$2:$S$201,""),"")</f>
        <v/>
      </c>
      <c r="K65" s="98">
        <f t="array" ref="K65">IFERROR(_xlfn.XLOOKUP($A65&amp;"|"&amp;$C65,Asset_Operations!$A$2:$A$201&amp;"|"&amp;Asset_Operations!$BG$2:$BG$201,Asset_Operations!$AC$2:$AC$201,""),"")</f>
        <v/>
      </c>
      <c r="L65" s="98">
        <f t="array" ref="L65">IFERROR(_xlfn.XLOOKUP($A65&amp;"|"&amp;$C65,Asset_Operations!$A$2:$A$201&amp;"|"&amp;Asset_Operations!$BG$2:$BG$201,Asset_Operations!$AG$2:$AG$201,""),"")</f>
        <v/>
      </c>
      <c r="M65" s="98">
        <f t="array" ref="M65">IFERROR(_xlfn.XLOOKUP($A65&amp;"|"&amp;$C65,Asset_Operations!$A$2:$A$201&amp;"|"&amp;Asset_Operations!$BG$2:$BG$201,Asset_Operations!$AO$2:$AO$201,""),"")</f>
        <v/>
      </c>
      <c r="N65" s="99">
        <f t="array" ref="N65">IFERROR(_xlfn.XLOOKUP($A65&amp;"|"&amp;$C65,Asset_Operations!$A$2:$A$201&amp;"|"&amp;Asset_Operations!$BG$2:$BG$201,Asset_Operations!$AR$2:$AR$201,""),"")</f>
        <v/>
      </c>
      <c r="O65" s="100">
        <f t="array" ref="O65">IFERROR(_xlfn.XLOOKUP($A65&amp;"|"&amp;$C65,Financials!$A$2:$A$201&amp;"|"&amp;Financials!$B$2:$B$201,Financials!$C$2:$C$201,""),"")</f>
        <v/>
      </c>
      <c r="P65" s="100">
        <f t="array" ref="P65">IFERROR(_xlfn.XLOOKUP($A65&amp;"|"&amp;$C65,Financials!$A$2:$A$201&amp;"|"&amp;Financials!$B$2:$B$201,Financials!$E$2:$E$201,""),"")</f>
        <v/>
      </c>
      <c r="Q65" s="100">
        <f t="array" ref="Q65">IFERROR(_xlfn.XLOOKUP($A65&amp;"|"&amp;$C65,Financials!$A$2:$A$201&amp;"|"&amp;Financials!$B$2:$B$201,Financials!$G$2:$G$201,""),"")</f>
        <v/>
      </c>
      <c r="R65" s="100">
        <f t="array" ref="R65">IFERROR(_xlfn.XLOOKUP($A65&amp;"|"&amp;$C65,Financials!$A$2:$A$201&amp;"|"&amp;Financials!$B$2:$B$201,Financials!$S$2:$S$201,""),"")</f>
        <v/>
      </c>
      <c r="S65" s="100">
        <f t="array" ref="S65">IFERROR(_xlfn.XLOOKUP($A65&amp;"|"&amp;$C65,Financials!$A$2:$A$201&amp;"|"&amp;Financials!$B$2:$B$201,Financials!$AC$2:$AC$201,""),"")</f>
        <v/>
      </c>
      <c r="T65" s="101">
        <f>IFERROR(P65/O65,"")</f>
        <v/>
      </c>
      <c r="U65" s="24">
        <f>IFERROR(R65/P65,"")</f>
        <v/>
      </c>
      <c r="V65" s="102">
        <f>IFERROR(O65/E65,"")</f>
        <v/>
      </c>
      <c r="W65" s="24">
        <f>IFERROR(L65/F65,"")</f>
        <v/>
      </c>
      <c r="X65" s="26">
        <f>IFERROR(IF(NOT(ISNUMBER($E65)),"",IF($E65&gt;=Scoring_Criteria!$D$4,5,IF($E65&gt;=Scoring_Criteria!$E$4,4,IF($E65&gt;=Scoring_Criteria!$F$4,3,IF($E65&gt;=Scoring_Criteria!$G$4,2,1))))),"")</f>
        <v/>
      </c>
      <c r="Y65" s="26">
        <f>IFERROR(IF(OR(NOT(ISNUMBER($F65)),NOT(ISNUMBER($E65)),$E65=0),"",IF(($F65/$E65)&gt;=Scoring_Criteria!$D$5,5,IF(($F65/$E65)&gt;=Scoring_Criteria!$E$5,4,IF(($F65/$E65)&gt;=Scoring_Criteria!$F$5,3,IF(($F65/$E65)&gt;=Scoring_Criteria!$G$5,2,1))))),"")</f>
        <v/>
      </c>
      <c r="Z65" s="26">
        <f>IFERROR(IF(AND(NOT(ISNUMBER($I65)),NOT(ISNUMBER($J65))),"",IF((IFERROR($I65,0)+IFERROR($J65,0))&gt;=Scoring_Criteria!$D$6,5,IF((IFERROR($I65,0)+IFERROR($J65,0))&gt;=Scoring_Criteria!$E$6,4,IF((IFERROR($I65,0)+IFERROR($J65,0))&gt;=Scoring_Criteria!$F$6,3,IF((IFERROR($I65,0)+IFERROR($J65,0))&gt;=Scoring_Criteria!$G$6,2,1))))),"")</f>
        <v/>
      </c>
      <c r="AA65" s="26">
        <f>IFERROR(IF(NOT(ISNUMBER($M65)),"",IF($M65&gt;=Scoring_Criteria!$D$7,5,IF($M65&gt;=Scoring_Criteria!$E$7,4,IF($M65&gt;=Scoring_Criteria!$F$7,3,IF($M65&gt;=Scoring_Criteria!$G$7,2,1))))),"")</f>
        <v/>
      </c>
      <c r="AB65" s="26">
        <f>IFERROR(IF(NOT(ISNUMBER($T65)),"",IF($T65&gt;=Scoring_Criteria!$D$8,5,IF($T65&gt;=Scoring_Criteria!$E$8,4,IF($T65&gt;=Scoring_Criteria!$F$8,3,IF($T65&gt;=Scoring_Criteria!$G$8,2,1))))),"")</f>
        <v/>
      </c>
      <c r="AC65" s="26">
        <f>IFERROR(IF(NOT(ISNUMBER($U65)),"",IF($U65&lt;=Scoring_Criteria!$D$9,5,IF($U65&lt;=Scoring_Criteria!$E$9,4,IF($U65&lt;=Scoring_Criteria!$F$9,3,IF($U65&lt;=Scoring_Criteria!$G$9,2,1))))),"")</f>
        <v/>
      </c>
      <c r="AD65" s="26">
        <f t="array" ref="AD65">IFERROR(IF(NOT(ISNUMBER(_xlfn.XLOOKUP($A65&amp;"|"&amp;$C65,Financials!$A$2:$A$201&amp;"|"&amp;Financials!$B$2:$B$201,Financials!$AD$2:$AD$201,""))),"",IF(_xlfn.XLOOKUP($A65&amp;"|"&amp;$C65,Financials!$A$2:$A$201&amp;"|"&amp;Financials!$B$2:$B$201,Financials!$AD$2:$AD$201,"")&gt;=Scoring_Criteria!$D$10,5,IF(_xlfn.XLOOKUP($A65&amp;"|"&amp;$C65,Financials!$A$2:$A$201&amp;"|"&amp;Financials!$B$2:$B$201,Financials!$AD$2:$AD$201,"")&gt;=Scoring_Criteria!$E$10,4,IF(_xlfn.XLOOKUP($A65&amp;"|"&amp;$C65,Financials!$A$2:$A$201&amp;"|"&amp;Financials!$B$2:$B$201,Financials!$AD$2:$AD$201,"")&gt;=Scoring_Criteria!$F$10,3,IF(_xlfn.XLOOKUP($A65&amp;"|"&amp;$C65,Financials!$A$2:$A$201&amp;"|"&amp;Financials!$B$2:$B$201,Financials!$AD$2:$AD$201,"")&gt;=Scoring_Criteria!$G$10,2,1))))),"")</f>
        <v/>
      </c>
      <c r="AE65" s="27" t="n"/>
      <c r="AF65" s="27" t="n"/>
      <c r="AG65" s="28">
        <f>IFERROR(IF(COUNTA(X65:AF65)=0,"",AVERAGE(X65:AF65)),"")</f>
        <v/>
      </c>
      <c r="AH65" s="29" t="n"/>
      <c r="AI65" s="29" t="n"/>
      <c r="AJ65" s="29" t="n"/>
      <c r="AK65" s="29" t="n"/>
      <c r="AL65" s="29" t="n"/>
      <c r="AM65" s="29" t="n"/>
      <c r="AN65" s="29" t="n"/>
      <c r="AO65" s="29" t="n"/>
      <c r="AP65" s="29" t="n"/>
      <c r="AQ65" s="29" t="n"/>
      <c r="AR65" s="29" t="n"/>
      <c r="AS65" s="29" t="n"/>
      <c r="AT65" s="29" t="n"/>
      <c r="AU65">
        <f>IFERROR(Validation_Summary!Q5,"")</f>
        <v/>
      </c>
    </row>
    <row r="66" ht="15" customHeight="1" s="67">
      <c r="A66" s="6" t="inlineStr">
        <is>
          <t>PT Pinago Utama Tbk</t>
        </is>
      </c>
      <c r="B66" s="19">
        <f t="array" ref="B66">IFERROR(_xlfn.XLOOKUP($A66&amp;"|"&amp;$C66,'Company_Master'!$A$2:$A$94&amp;"|"&amp;'Company_Master'!$D$2:$D$94,'Company_Master'!$B$2:$B$94,""),"")</f>
        <v/>
      </c>
      <c r="C66" s="98" t="n">
        <v>2022</v>
      </c>
      <c r="D66" s="19">
        <f t="array" ref="D66">IFERROR(_xlfn.XLOOKUP($A66&amp;"|"&amp;$C66,'Company_Master'!$A$2:$A$94&amp;"|"&amp;'Company_Master'!$D$2:$D$94,'Company_Master'!$H$2:$H$94,""),"")</f>
        <v/>
      </c>
      <c r="E66" s="98">
        <f t="array" ref="E66">IFERROR(_xlfn.XLOOKUP($A66&amp;"|"&amp;$C66,Asset_Operations!$A$2:$A$201&amp;"|"&amp;Asset_Operations!$BG$2:$BG$201,Asset_Operations!$B$2:$B$201,""),"")</f>
        <v/>
      </c>
      <c r="F66" s="98">
        <f t="array" ref="F66">IFERROR(_xlfn.XLOOKUP($A66&amp;"|"&amp;$C66,Asset_Operations!$A$2:$A$201&amp;"|"&amp;Asset_Operations!$BG$2:$BG$201,Asset_Operations!$E$2:$E$201,""),"")</f>
        <v/>
      </c>
      <c r="G66" s="98">
        <f t="array" ref="G66">IFERROR(_xlfn.XLOOKUP($A66&amp;"|"&amp;$C66,Asset_Operations!$A$2:$A$201&amp;"|"&amp;Asset_Operations!$BG$2:$BG$201,Asset_Operations!$I$2:$I$201,""),"")</f>
        <v/>
      </c>
      <c r="H66" s="98">
        <f t="array" ref="H66">IFERROR(_xlfn.XLOOKUP($A66&amp;"|"&amp;$C66,Asset_Operations!$A$2:$A$201&amp;"|"&amp;Asset_Operations!$BG$2:$BG$201,Asset_Operations!$J$2:$J$201,""),"")</f>
        <v/>
      </c>
      <c r="I66" s="98">
        <f t="array" ref="I66">IFERROR(_xlfn.XLOOKUP($A66&amp;"|"&amp;$C66,Asset_Operations!$A$2:$A$201&amp;"|"&amp;Asset_Operations!$BG$2:$BG$201,Asset_Operations!$O$2:$O$201,""),"")</f>
        <v/>
      </c>
      <c r="J66" s="98">
        <f t="array" ref="J66">IFERROR(_xlfn.XLOOKUP($A66&amp;"|"&amp;$C66,Asset_Operations!$A$2:$A$201&amp;"|"&amp;Asset_Operations!$BG$2:$BG$201,Asset_Operations!$S$2:$S$201,""),"")</f>
        <v/>
      </c>
      <c r="K66" s="98">
        <f t="array" ref="K66">IFERROR(_xlfn.XLOOKUP($A66&amp;"|"&amp;$C66,Asset_Operations!$A$2:$A$201&amp;"|"&amp;Asset_Operations!$BG$2:$BG$201,Asset_Operations!$AC$2:$AC$201,""),"")</f>
        <v/>
      </c>
      <c r="L66" s="98">
        <f t="array" ref="L66">IFERROR(_xlfn.XLOOKUP($A66&amp;"|"&amp;$C66,Asset_Operations!$A$2:$A$201&amp;"|"&amp;Asset_Operations!$BG$2:$BG$201,Asset_Operations!$AG$2:$AG$201,""),"")</f>
        <v/>
      </c>
      <c r="M66" s="98">
        <f t="array" ref="M66">IFERROR(_xlfn.XLOOKUP($A66&amp;"|"&amp;$C66,Asset_Operations!$A$2:$A$201&amp;"|"&amp;Asset_Operations!$BG$2:$BG$201,Asset_Operations!$AO$2:$AO$201,""),"")</f>
        <v/>
      </c>
      <c r="N66" s="99">
        <f t="array" ref="N66">IFERROR(_xlfn.XLOOKUP($A66&amp;"|"&amp;$C66,Asset_Operations!$A$2:$A$201&amp;"|"&amp;Asset_Operations!$BG$2:$BG$201,Asset_Operations!$AR$2:$AR$201,""),"")</f>
        <v/>
      </c>
      <c r="O66" s="100">
        <f t="array" ref="O66">IFERROR(_xlfn.XLOOKUP($A66&amp;"|"&amp;$C66,Financials!$A$2:$A$201&amp;"|"&amp;Financials!$B$2:$B$201,Financials!$C$2:$C$201,""),"")</f>
        <v/>
      </c>
      <c r="P66" s="100">
        <f t="array" ref="P66">IFERROR(_xlfn.XLOOKUP($A66&amp;"|"&amp;$C66,Financials!$A$2:$A$201&amp;"|"&amp;Financials!$B$2:$B$201,Financials!$E$2:$E$201,""),"")</f>
        <v/>
      </c>
      <c r="Q66" s="100">
        <f t="array" ref="Q66">IFERROR(_xlfn.XLOOKUP($A66&amp;"|"&amp;$C66,Financials!$A$2:$A$201&amp;"|"&amp;Financials!$B$2:$B$201,Financials!$G$2:$G$201,""),"")</f>
        <v/>
      </c>
      <c r="R66" s="100">
        <f t="array" ref="R66">IFERROR(_xlfn.XLOOKUP($A66&amp;"|"&amp;$C66,Financials!$A$2:$A$201&amp;"|"&amp;Financials!$B$2:$B$201,Financials!$S$2:$S$201,""),"")</f>
        <v/>
      </c>
      <c r="S66" s="100">
        <f t="array" ref="S66">IFERROR(_xlfn.XLOOKUP($A66&amp;"|"&amp;$C66,Financials!$A$2:$A$201&amp;"|"&amp;Financials!$B$2:$B$201,Financials!$AC$2:$AC$201,""),"")</f>
        <v/>
      </c>
      <c r="T66" s="101">
        <f>IFERROR(P66/O66,"")</f>
        <v/>
      </c>
      <c r="U66" s="24">
        <f>IFERROR(R66/P66,"")</f>
        <v/>
      </c>
      <c r="V66" s="102">
        <f>IFERROR(O66/E66,"")</f>
        <v/>
      </c>
      <c r="W66" s="24">
        <f>IFERROR(L66/F66,"")</f>
        <v/>
      </c>
      <c r="X66" s="26">
        <f>IFERROR(IF(NOT(ISNUMBER($E66)),"",IF($E66&gt;=Scoring_Criteria!$D$4,5,IF($E66&gt;=Scoring_Criteria!$E$4,4,IF($E66&gt;=Scoring_Criteria!$F$4,3,IF($E66&gt;=Scoring_Criteria!$G$4,2,1))))),"")</f>
        <v/>
      </c>
      <c r="Y66" s="26">
        <f>IFERROR(IF(OR(NOT(ISNUMBER($F66)),NOT(ISNUMBER($E66)),$E66=0),"",IF(($F66/$E66)&gt;=Scoring_Criteria!$D$5,5,IF(($F66/$E66)&gt;=Scoring_Criteria!$E$5,4,IF(($F66/$E66)&gt;=Scoring_Criteria!$F$5,3,IF(($F66/$E66)&gt;=Scoring_Criteria!$G$5,2,1))))),"")</f>
        <v/>
      </c>
      <c r="Z66" s="26">
        <f>IFERROR(IF(AND(NOT(ISNUMBER($I66)),NOT(ISNUMBER($J66))),"",IF((IFERROR($I66,0)+IFERROR($J66,0))&gt;=Scoring_Criteria!$D$6,5,IF((IFERROR($I66,0)+IFERROR($J66,0))&gt;=Scoring_Criteria!$E$6,4,IF((IFERROR($I66,0)+IFERROR($J66,0))&gt;=Scoring_Criteria!$F$6,3,IF((IFERROR($I66,0)+IFERROR($J66,0))&gt;=Scoring_Criteria!$G$6,2,1))))),"")</f>
        <v/>
      </c>
      <c r="AA66" s="26">
        <f>IFERROR(IF(NOT(ISNUMBER($M66)),"",IF($M66&gt;=Scoring_Criteria!$D$7,5,IF($M66&gt;=Scoring_Criteria!$E$7,4,IF($M66&gt;=Scoring_Criteria!$F$7,3,IF($M66&gt;=Scoring_Criteria!$G$7,2,1))))),"")</f>
        <v/>
      </c>
      <c r="AB66" s="26">
        <f>IFERROR(IF(NOT(ISNUMBER($T66)),"",IF($T66&gt;=Scoring_Criteria!$D$8,5,IF($T66&gt;=Scoring_Criteria!$E$8,4,IF($T66&gt;=Scoring_Criteria!$F$8,3,IF($T66&gt;=Scoring_Criteria!$G$8,2,1))))),"")</f>
        <v/>
      </c>
      <c r="AC66" s="26">
        <f>IFERROR(IF(NOT(ISNUMBER($U66)),"",IF($U66&lt;=Scoring_Criteria!$D$9,5,IF($U66&lt;=Scoring_Criteria!$E$9,4,IF($U66&lt;=Scoring_Criteria!$F$9,3,IF($U66&lt;=Scoring_Criteria!$G$9,2,1))))),"")</f>
        <v/>
      </c>
      <c r="AD66" s="26">
        <f t="array" ref="AD66">IFERROR(IF(NOT(ISNUMBER(_xlfn.XLOOKUP($A66&amp;"|"&amp;$C66,Financials!$A$2:$A$201&amp;"|"&amp;Financials!$B$2:$B$201,Financials!$AD$2:$AD$201,""))),"",IF(_xlfn.XLOOKUP($A66&amp;"|"&amp;$C66,Financials!$A$2:$A$201&amp;"|"&amp;Financials!$B$2:$B$201,Financials!$AD$2:$AD$201,"")&gt;=Scoring_Criteria!$D$10,5,IF(_xlfn.XLOOKUP($A66&amp;"|"&amp;$C66,Financials!$A$2:$A$201&amp;"|"&amp;Financials!$B$2:$B$201,Financials!$AD$2:$AD$201,"")&gt;=Scoring_Criteria!$E$10,4,IF(_xlfn.XLOOKUP($A66&amp;"|"&amp;$C66,Financials!$A$2:$A$201&amp;"|"&amp;Financials!$B$2:$B$201,Financials!$AD$2:$AD$201,"")&gt;=Scoring_Criteria!$F$10,3,IF(_xlfn.XLOOKUP($A66&amp;"|"&amp;$C66,Financials!$A$2:$A$201&amp;"|"&amp;Financials!$B$2:$B$201,Financials!$AD$2:$AD$201,"")&gt;=Scoring_Criteria!$G$10,2,1))))),"")</f>
        <v/>
      </c>
      <c r="AE66" s="27" t="n"/>
      <c r="AF66" s="27" t="n"/>
      <c r="AG66" s="28">
        <f>IFERROR(IF(COUNTA(X66:AF66)=0,"",AVERAGE(X66:AF66)),"")</f>
        <v/>
      </c>
      <c r="AH66" s="29" t="n"/>
      <c r="AI66" s="29" t="n"/>
      <c r="AJ66" s="29" t="n"/>
      <c r="AK66" s="29" t="n"/>
      <c r="AL66" s="29" t="n"/>
      <c r="AM66" s="29" t="n"/>
      <c r="AN66" s="29" t="n"/>
      <c r="AO66" s="29" t="n"/>
      <c r="AP66" s="29" t="n"/>
      <c r="AQ66" s="29" t="n"/>
      <c r="AR66" s="29" t="n"/>
      <c r="AS66" s="29" t="n"/>
      <c r="AT66" s="29" t="n"/>
      <c r="AU66">
        <f>IFERROR(Validation_Summary!Q5,"")</f>
        <v/>
      </c>
    </row>
    <row r="67" ht="15" customHeight="1" s="67">
      <c r="A67" s="6" t="inlineStr">
        <is>
          <t>PT Pinago Utama Tbk</t>
        </is>
      </c>
      <c r="B67" s="19">
        <f t="array" ref="B67">IFERROR(_xlfn.XLOOKUP($A67&amp;"|"&amp;$C67,'Company_Master'!$A$2:$A$94&amp;"|"&amp;'Company_Master'!$D$2:$D$94,'Company_Master'!$B$2:$B$94,""),"")</f>
        <v/>
      </c>
      <c r="C67" s="98" t="n">
        <v>2023</v>
      </c>
      <c r="D67" s="19">
        <f t="array" ref="D67">IFERROR(_xlfn.XLOOKUP($A67&amp;"|"&amp;$C67,'Company_Master'!$A$2:$A$94&amp;"|"&amp;'Company_Master'!$D$2:$D$94,'Company_Master'!$H$2:$H$94,""),"")</f>
        <v/>
      </c>
      <c r="E67" s="98">
        <f t="array" ref="E67">IFERROR(_xlfn.XLOOKUP($A67&amp;"|"&amp;$C67,Asset_Operations!$A$2:$A$201&amp;"|"&amp;Asset_Operations!$BG$2:$BG$201,Asset_Operations!$B$2:$B$201,""),"")</f>
        <v/>
      </c>
      <c r="F67" s="98">
        <f t="array" ref="F67">IFERROR(_xlfn.XLOOKUP($A67&amp;"|"&amp;$C67,Asset_Operations!$A$2:$A$201&amp;"|"&amp;Asset_Operations!$BG$2:$BG$201,Asset_Operations!$E$2:$E$201,""),"")</f>
        <v/>
      </c>
      <c r="G67" s="98">
        <f t="array" ref="G67">IFERROR(_xlfn.XLOOKUP($A67&amp;"|"&amp;$C67,Asset_Operations!$A$2:$A$201&amp;"|"&amp;Asset_Operations!$BG$2:$BG$201,Asset_Operations!$I$2:$I$201,""),"")</f>
        <v/>
      </c>
      <c r="H67" s="98">
        <f t="array" ref="H67">IFERROR(_xlfn.XLOOKUP($A67&amp;"|"&amp;$C67,Asset_Operations!$A$2:$A$201&amp;"|"&amp;Asset_Operations!$BG$2:$BG$201,Asset_Operations!$J$2:$J$201,""),"")</f>
        <v/>
      </c>
      <c r="I67" s="98">
        <f t="array" ref="I67">IFERROR(_xlfn.XLOOKUP($A67&amp;"|"&amp;$C67,Asset_Operations!$A$2:$A$201&amp;"|"&amp;Asset_Operations!$BG$2:$BG$201,Asset_Operations!$O$2:$O$201,""),"")</f>
        <v/>
      </c>
      <c r="J67" s="98">
        <f t="array" ref="J67">IFERROR(_xlfn.XLOOKUP($A67&amp;"|"&amp;$C67,Asset_Operations!$A$2:$A$201&amp;"|"&amp;Asset_Operations!$BG$2:$BG$201,Asset_Operations!$S$2:$S$201,""),"")</f>
        <v/>
      </c>
      <c r="K67" s="98">
        <f t="array" ref="K67">IFERROR(_xlfn.XLOOKUP($A67&amp;"|"&amp;$C67,Asset_Operations!$A$2:$A$201&amp;"|"&amp;Asset_Operations!$BG$2:$BG$201,Asset_Operations!$AC$2:$AC$201,""),"")</f>
        <v/>
      </c>
      <c r="L67" s="98">
        <f t="array" ref="L67">IFERROR(_xlfn.XLOOKUP($A67&amp;"|"&amp;$C67,Asset_Operations!$A$2:$A$201&amp;"|"&amp;Asset_Operations!$BG$2:$BG$201,Asset_Operations!$AG$2:$AG$201,""),"")</f>
        <v/>
      </c>
      <c r="M67" s="98">
        <f t="array" ref="M67">IFERROR(_xlfn.XLOOKUP($A67&amp;"|"&amp;$C67,Asset_Operations!$A$2:$A$201&amp;"|"&amp;Asset_Operations!$BG$2:$BG$201,Asset_Operations!$AO$2:$AO$201,""),"")</f>
        <v/>
      </c>
      <c r="N67" s="99">
        <f t="array" ref="N67">IFERROR(_xlfn.XLOOKUP($A67&amp;"|"&amp;$C67,Asset_Operations!$A$2:$A$201&amp;"|"&amp;Asset_Operations!$BG$2:$BG$201,Asset_Operations!$AR$2:$AR$201,""),"")</f>
        <v/>
      </c>
      <c r="O67" s="100">
        <f t="array" ref="O67">IFERROR(_xlfn.XLOOKUP($A67&amp;"|"&amp;$C67,Financials!$A$2:$A$201&amp;"|"&amp;Financials!$B$2:$B$201,Financials!$C$2:$C$201,""),"")</f>
        <v/>
      </c>
      <c r="P67" s="100">
        <f t="array" ref="P67">IFERROR(_xlfn.XLOOKUP($A67&amp;"|"&amp;$C67,Financials!$A$2:$A$201&amp;"|"&amp;Financials!$B$2:$B$201,Financials!$E$2:$E$201,""),"")</f>
        <v/>
      </c>
      <c r="Q67" s="100">
        <f t="array" ref="Q67">IFERROR(_xlfn.XLOOKUP($A67&amp;"|"&amp;$C67,Financials!$A$2:$A$201&amp;"|"&amp;Financials!$B$2:$B$201,Financials!$G$2:$G$201,""),"")</f>
        <v/>
      </c>
      <c r="R67" s="100">
        <f t="array" ref="R67">IFERROR(_xlfn.XLOOKUP($A67&amp;"|"&amp;$C67,Financials!$A$2:$A$201&amp;"|"&amp;Financials!$B$2:$B$201,Financials!$S$2:$S$201,""),"")</f>
        <v/>
      </c>
      <c r="S67" s="100">
        <f t="array" ref="S67">IFERROR(_xlfn.XLOOKUP($A67&amp;"|"&amp;$C67,Financials!$A$2:$A$201&amp;"|"&amp;Financials!$B$2:$B$201,Financials!$AC$2:$AC$201,""),"")</f>
        <v/>
      </c>
      <c r="T67" s="101">
        <f>IFERROR(P67/O67,"")</f>
        <v/>
      </c>
      <c r="U67" s="24">
        <f>IFERROR(R67/P67,"")</f>
        <v/>
      </c>
      <c r="V67" s="102">
        <f>IFERROR(O67/E67,"")</f>
        <v/>
      </c>
      <c r="W67" s="24">
        <f>IFERROR(L67/F67,"")</f>
        <v/>
      </c>
      <c r="X67" s="26">
        <f>IFERROR(IF(NOT(ISNUMBER($E67)),"",IF($E67&gt;=Scoring_Criteria!$D$4,5,IF($E67&gt;=Scoring_Criteria!$E$4,4,IF($E67&gt;=Scoring_Criteria!$F$4,3,IF($E67&gt;=Scoring_Criteria!$G$4,2,1))))),"")</f>
        <v/>
      </c>
      <c r="Y67" s="26">
        <f>IFERROR(IF(OR(NOT(ISNUMBER($F67)),NOT(ISNUMBER($E67)),$E67=0),"",IF(($F67/$E67)&gt;=Scoring_Criteria!$D$5,5,IF(($F67/$E67)&gt;=Scoring_Criteria!$E$5,4,IF(($F67/$E67)&gt;=Scoring_Criteria!$F$5,3,IF(($F67/$E67)&gt;=Scoring_Criteria!$G$5,2,1))))),"")</f>
        <v/>
      </c>
      <c r="Z67" s="26">
        <f>IFERROR(IF(AND(NOT(ISNUMBER($I67)),NOT(ISNUMBER($J67))),"",IF((IFERROR($I67,0)+IFERROR($J67,0))&gt;=Scoring_Criteria!$D$6,5,IF((IFERROR($I67,0)+IFERROR($J67,0))&gt;=Scoring_Criteria!$E$6,4,IF((IFERROR($I67,0)+IFERROR($J67,0))&gt;=Scoring_Criteria!$F$6,3,IF((IFERROR($I67,0)+IFERROR($J67,0))&gt;=Scoring_Criteria!$G$6,2,1))))),"")</f>
        <v/>
      </c>
      <c r="AA67" s="26">
        <f>IFERROR(IF(NOT(ISNUMBER($M67)),"",IF($M67&gt;=Scoring_Criteria!$D$7,5,IF($M67&gt;=Scoring_Criteria!$E$7,4,IF($M67&gt;=Scoring_Criteria!$F$7,3,IF($M67&gt;=Scoring_Criteria!$G$7,2,1))))),"")</f>
        <v/>
      </c>
      <c r="AB67" s="26">
        <f>IFERROR(IF(NOT(ISNUMBER($T67)),"",IF($T67&gt;=Scoring_Criteria!$D$8,5,IF($T67&gt;=Scoring_Criteria!$E$8,4,IF($T67&gt;=Scoring_Criteria!$F$8,3,IF($T67&gt;=Scoring_Criteria!$G$8,2,1))))),"")</f>
        <v/>
      </c>
      <c r="AC67" s="26">
        <f>IFERROR(IF(NOT(ISNUMBER($U67)),"",IF($U67&lt;=Scoring_Criteria!$D$9,5,IF($U67&lt;=Scoring_Criteria!$E$9,4,IF($U67&lt;=Scoring_Criteria!$F$9,3,IF($U67&lt;=Scoring_Criteria!$G$9,2,1))))),"")</f>
        <v/>
      </c>
      <c r="AD67" s="26">
        <f t="array" ref="AD67">IFERROR(IF(NOT(ISNUMBER(_xlfn.XLOOKUP($A67&amp;"|"&amp;$C67,Financials!$A$2:$A$201&amp;"|"&amp;Financials!$B$2:$B$201,Financials!$AD$2:$AD$201,""))),"",IF(_xlfn.XLOOKUP($A67&amp;"|"&amp;$C67,Financials!$A$2:$A$201&amp;"|"&amp;Financials!$B$2:$B$201,Financials!$AD$2:$AD$201,"")&gt;=Scoring_Criteria!$D$10,5,IF(_xlfn.XLOOKUP($A67&amp;"|"&amp;$C67,Financials!$A$2:$A$201&amp;"|"&amp;Financials!$B$2:$B$201,Financials!$AD$2:$AD$201,"")&gt;=Scoring_Criteria!$E$10,4,IF(_xlfn.XLOOKUP($A67&amp;"|"&amp;$C67,Financials!$A$2:$A$201&amp;"|"&amp;Financials!$B$2:$B$201,Financials!$AD$2:$AD$201,"")&gt;=Scoring_Criteria!$F$10,3,IF(_xlfn.XLOOKUP($A67&amp;"|"&amp;$C67,Financials!$A$2:$A$201&amp;"|"&amp;Financials!$B$2:$B$201,Financials!$AD$2:$AD$201,"")&gt;=Scoring_Criteria!$G$10,2,1))))),"")</f>
        <v/>
      </c>
      <c r="AE67" s="27" t="n"/>
      <c r="AF67" s="27" t="n"/>
      <c r="AG67" s="28">
        <f>IFERROR(IF(COUNTA(X67:AF67)=0,"",AVERAGE(X67:AF67)),"")</f>
        <v/>
      </c>
      <c r="AH67" s="29" t="n"/>
      <c r="AI67" s="29" t="n"/>
      <c r="AJ67" s="29" t="n"/>
      <c r="AK67" s="29" t="n"/>
      <c r="AL67" s="29" t="n"/>
      <c r="AM67" s="29" t="n"/>
      <c r="AN67" s="29" t="n"/>
      <c r="AO67" s="29" t="n"/>
      <c r="AP67" s="29" t="n"/>
      <c r="AQ67" s="29" t="n"/>
      <c r="AR67" s="29" t="n"/>
      <c r="AS67" s="29" t="n"/>
      <c r="AT67" s="29" t="n"/>
      <c r="AU67">
        <f>IFERROR(Validation_Summary!Q5,"")</f>
        <v/>
      </c>
    </row>
    <row r="68" ht="15" customHeight="1" s="67">
      <c r="A68" s="6" t="inlineStr">
        <is>
          <t>PT Pinago Utama Tbk</t>
        </is>
      </c>
      <c r="B68" s="19">
        <f t="array" ref="B68">IFERROR(_xlfn.XLOOKUP($A68&amp;"|"&amp;$C68,'Company_Master'!$A$2:$A$94&amp;"|"&amp;'Company_Master'!$D$2:$D$94,'Company_Master'!$B$2:$B$94,""),"")</f>
        <v/>
      </c>
      <c r="C68" s="98" t="n">
        <v>2024</v>
      </c>
      <c r="D68" s="19">
        <f t="array" ref="D68">IFERROR(_xlfn.XLOOKUP($A68&amp;"|"&amp;$C68,'Company_Master'!$A$2:$A$94&amp;"|"&amp;'Company_Master'!$D$2:$D$94,'Company_Master'!$H$2:$H$94,""),"")</f>
        <v/>
      </c>
      <c r="E68" s="98">
        <f t="array" ref="E68">IFERROR(_xlfn.XLOOKUP($A68&amp;"|"&amp;$C68,Asset_Operations!$A$2:$A$201&amp;"|"&amp;Asset_Operations!$BG$2:$BG$201,Asset_Operations!$B$2:$B$201,""),"")</f>
        <v/>
      </c>
      <c r="F68" s="98">
        <f t="array" ref="F68">IFERROR(_xlfn.XLOOKUP($A68&amp;"|"&amp;$C68,Asset_Operations!$A$2:$A$201&amp;"|"&amp;Asset_Operations!$BG$2:$BG$201,Asset_Operations!$E$2:$E$201,""),"")</f>
        <v/>
      </c>
      <c r="G68" s="98">
        <f t="array" ref="G68">IFERROR(_xlfn.XLOOKUP($A68&amp;"|"&amp;$C68,Asset_Operations!$A$2:$A$201&amp;"|"&amp;Asset_Operations!$BG$2:$BG$201,Asset_Operations!$I$2:$I$201,""),"")</f>
        <v/>
      </c>
      <c r="H68" s="98">
        <f t="array" ref="H68">IFERROR(_xlfn.XLOOKUP($A68&amp;"|"&amp;$C68,Asset_Operations!$A$2:$A$201&amp;"|"&amp;Asset_Operations!$BG$2:$BG$201,Asset_Operations!$J$2:$J$201,""),"")</f>
        <v/>
      </c>
      <c r="I68" s="98">
        <f t="array" ref="I68">IFERROR(_xlfn.XLOOKUP($A68&amp;"|"&amp;$C68,Asset_Operations!$A$2:$A$201&amp;"|"&amp;Asset_Operations!$BG$2:$BG$201,Asset_Operations!$O$2:$O$201,""),"")</f>
        <v/>
      </c>
      <c r="J68" s="98">
        <f t="array" ref="J68">IFERROR(_xlfn.XLOOKUP($A68&amp;"|"&amp;$C68,Asset_Operations!$A$2:$A$201&amp;"|"&amp;Asset_Operations!$BG$2:$BG$201,Asset_Operations!$S$2:$S$201,""),"")</f>
        <v/>
      </c>
      <c r="K68" s="98">
        <f t="array" ref="K68">IFERROR(_xlfn.XLOOKUP($A68&amp;"|"&amp;$C68,Asset_Operations!$A$2:$A$201&amp;"|"&amp;Asset_Operations!$BG$2:$BG$201,Asset_Operations!$AC$2:$AC$201,""),"")</f>
        <v/>
      </c>
      <c r="L68" s="98">
        <f t="array" ref="L68">IFERROR(_xlfn.XLOOKUP($A68&amp;"|"&amp;$C68,Asset_Operations!$A$2:$A$201&amp;"|"&amp;Asset_Operations!$BG$2:$BG$201,Asset_Operations!$AG$2:$AG$201,""),"")</f>
        <v/>
      </c>
      <c r="M68" s="98">
        <f t="array" ref="M68">IFERROR(_xlfn.XLOOKUP($A68&amp;"|"&amp;$C68,Asset_Operations!$A$2:$A$201&amp;"|"&amp;Asset_Operations!$BG$2:$BG$201,Asset_Operations!$AO$2:$AO$201,""),"")</f>
        <v/>
      </c>
      <c r="N68" s="99">
        <f t="array" ref="N68">IFERROR(_xlfn.XLOOKUP($A68&amp;"|"&amp;$C68,Asset_Operations!$A$2:$A$201&amp;"|"&amp;Asset_Operations!$BG$2:$BG$201,Asset_Operations!$AR$2:$AR$201,""),"")</f>
        <v/>
      </c>
      <c r="O68" s="100">
        <f t="array" ref="O68">IFERROR(_xlfn.XLOOKUP($A68&amp;"|"&amp;$C68,Financials!$A$2:$A$201&amp;"|"&amp;Financials!$B$2:$B$201,Financials!$C$2:$C$201,""),"")</f>
        <v/>
      </c>
      <c r="P68" s="100">
        <f t="array" ref="P68">IFERROR(_xlfn.XLOOKUP($A68&amp;"|"&amp;$C68,Financials!$A$2:$A$201&amp;"|"&amp;Financials!$B$2:$B$201,Financials!$E$2:$E$201,""),"")</f>
        <v/>
      </c>
      <c r="Q68" s="100">
        <f t="array" ref="Q68">IFERROR(_xlfn.XLOOKUP($A68&amp;"|"&amp;$C68,Financials!$A$2:$A$201&amp;"|"&amp;Financials!$B$2:$B$201,Financials!$G$2:$G$201,""),"")</f>
        <v/>
      </c>
      <c r="R68" s="100">
        <f t="array" ref="R68">IFERROR(_xlfn.XLOOKUP($A68&amp;"|"&amp;$C68,Financials!$A$2:$A$201&amp;"|"&amp;Financials!$B$2:$B$201,Financials!$S$2:$S$201,""),"")</f>
        <v/>
      </c>
      <c r="S68" s="100">
        <f t="array" ref="S68">IFERROR(_xlfn.XLOOKUP($A68&amp;"|"&amp;$C68,Financials!$A$2:$A$201&amp;"|"&amp;Financials!$B$2:$B$201,Financials!$AC$2:$AC$201,""),"")</f>
        <v/>
      </c>
      <c r="T68" s="101">
        <f>IFERROR(P68/O68,"")</f>
        <v/>
      </c>
      <c r="U68" s="24">
        <f>IFERROR(R68/P68,"")</f>
        <v/>
      </c>
      <c r="V68" s="102">
        <f>IFERROR(O68/E68,"")</f>
        <v/>
      </c>
      <c r="W68" s="24">
        <f>IFERROR(L68/F68,"")</f>
        <v/>
      </c>
      <c r="X68" s="26">
        <f>IFERROR(IF(NOT(ISNUMBER($E68)),"",IF($E68&gt;=Scoring_Criteria!$D$4,5,IF($E68&gt;=Scoring_Criteria!$E$4,4,IF($E68&gt;=Scoring_Criteria!$F$4,3,IF($E68&gt;=Scoring_Criteria!$G$4,2,1))))),"")</f>
        <v/>
      </c>
      <c r="Y68" s="26">
        <f>IFERROR(IF(OR(NOT(ISNUMBER($F68)),NOT(ISNUMBER($E68)),$E68=0),"",IF(($F68/$E68)&gt;=Scoring_Criteria!$D$5,5,IF(($F68/$E68)&gt;=Scoring_Criteria!$E$5,4,IF(($F68/$E68)&gt;=Scoring_Criteria!$F$5,3,IF(($F68/$E68)&gt;=Scoring_Criteria!$G$5,2,1))))),"")</f>
        <v/>
      </c>
      <c r="Z68" s="26">
        <f>IFERROR(IF(AND(NOT(ISNUMBER($I68)),NOT(ISNUMBER($J68))),"",IF((IFERROR($I68,0)+IFERROR($J68,0))&gt;=Scoring_Criteria!$D$6,5,IF((IFERROR($I68,0)+IFERROR($J68,0))&gt;=Scoring_Criteria!$E$6,4,IF((IFERROR($I68,0)+IFERROR($J68,0))&gt;=Scoring_Criteria!$F$6,3,IF((IFERROR($I68,0)+IFERROR($J68,0))&gt;=Scoring_Criteria!$G$6,2,1))))),"")</f>
        <v/>
      </c>
      <c r="AA68" s="26">
        <f>IFERROR(IF(NOT(ISNUMBER($M68)),"",IF($M68&gt;=Scoring_Criteria!$D$7,5,IF($M68&gt;=Scoring_Criteria!$E$7,4,IF($M68&gt;=Scoring_Criteria!$F$7,3,IF($M68&gt;=Scoring_Criteria!$G$7,2,1))))),"")</f>
        <v/>
      </c>
      <c r="AB68" s="26">
        <f>IFERROR(IF(NOT(ISNUMBER($T68)),"",IF($T68&gt;=Scoring_Criteria!$D$8,5,IF($T68&gt;=Scoring_Criteria!$E$8,4,IF($T68&gt;=Scoring_Criteria!$F$8,3,IF($T68&gt;=Scoring_Criteria!$G$8,2,1))))),"")</f>
        <v/>
      </c>
      <c r="AC68" s="26">
        <f>IFERROR(IF(NOT(ISNUMBER($U68)),"",IF($U68&lt;=Scoring_Criteria!$D$9,5,IF($U68&lt;=Scoring_Criteria!$E$9,4,IF($U68&lt;=Scoring_Criteria!$F$9,3,IF($U68&lt;=Scoring_Criteria!$G$9,2,1))))),"")</f>
        <v/>
      </c>
      <c r="AD68" s="26">
        <f t="array" ref="AD68">IFERROR(IF(NOT(ISNUMBER(_xlfn.XLOOKUP($A68&amp;"|"&amp;$C68,Financials!$A$2:$A$201&amp;"|"&amp;Financials!$B$2:$B$201,Financials!$AD$2:$AD$201,""))),"",IF(_xlfn.XLOOKUP($A68&amp;"|"&amp;$C68,Financials!$A$2:$A$201&amp;"|"&amp;Financials!$B$2:$B$201,Financials!$AD$2:$AD$201,"")&gt;=Scoring_Criteria!$D$10,5,IF(_xlfn.XLOOKUP($A68&amp;"|"&amp;$C68,Financials!$A$2:$A$201&amp;"|"&amp;Financials!$B$2:$B$201,Financials!$AD$2:$AD$201,"")&gt;=Scoring_Criteria!$E$10,4,IF(_xlfn.XLOOKUP($A68&amp;"|"&amp;$C68,Financials!$A$2:$A$201&amp;"|"&amp;Financials!$B$2:$B$201,Financials!$AD$2:$AD$201,"")&gt;=Scoring_Criteria!$F$10,3,IF(_xlfn.XLOOKUP($A68&amp;"|"&amp;$C68,Financials!$A$2:$A$201&amp;"|"&amp;Financials!$B$2:$B$201,Financials!$AD$2:$AD$201,"")&gt;=Scoring_Criteria!$G$10,2,1))))),"")</f>
        <v/>
      </c>
      <c r="AE68" s="27" t="n"/>
      <c r="AF68" s="27" t="n"/>
      <c r="AG68" s="28">
        <f>IFERROR(IF(COUNTA(X68:AF68)=0,"",AVERAGE(X68:AF68)),"")</f>
        <v/>
      </c>
      <c r="AH68" s="29" t="n"/>
      <c r="AI68" s="29" t="n"/>
      <c r="AJ68" s="29" t="n"/>
      <c r="AK68" s="29" t="n"/>
      <c r="AL68" s="29" t="n"/>
      <c r="AM68" s="29" t="n"/>
      <c r="AN68" s="29" t="n"/>
      <c r="AO68" s="29" t="n"/>
      <c r="AP68" s="29" t="n"/>
      <c r="AQ68" s="29" t="n"/>
      <c r="AR68" s="29" t="n"/>
      <c r="AS68" s="29" t="n"/>
      <c r="AT68" s="29" t="n"/>
      <c r="AU68">
        <f>IFERROR(Validation_Summary!Q5,"")</f>
        <v/>
      </c>
    </row>
    <row r="69" ht="15" customHeight="1" s="67">
      <c r="A69" s="6" t="inlineStr">
        <is>
          <t>PT Pulau Subur Tbk</t>
        </is>
      </c>
      <c r="B69" s="19">
        <f t="array" ref="B69">IFERROR(_xlfn.XLOOKUP($A69&amp;"|"&amp;$C69,'Company_Master'!$A$2:$A$94&amp;"|"&amp;'Company_Master'!$D$2:$D$94,'Company_Master'!$B$2:$B$94,""),"")</f>
        <v/>
      </c>
      <c r="C69" s="98" t="n">
        <v>2023</v>
      </c>
      <c r="D69" s="19">
        <f t="array" ref="D69">IFERROR(_xlfn.XLOOKUP($A69&amp;"|"&amp;$C69,'Company_Master'!$A$2:$A$94&amp;"|"&amp;'Company_Master'!$D$2:$D$94,'Company_Master'!$H$2:$H$94,""),"")</f>
        <v/>
      </c>
      <c r="E69" s="98">
        <f t="array" ref="E69">IFERROR(_xlfn.XLOOKUP($A69&amp;"|"&amp;$C69,Asset_Operations!$A$2:$A$201&amp;"|"&amp;Asset_Operations!$BG$2:$BG$201,Asset_Operations!$B$2:$B$201,""),"")</f>
        <v/>
      </c>
      <c r="F69" s="98">
        <f t="array" ref="F69">IFERROR(_xlfn.XLOOKUP($A69&amp;"|"&amp;$C69,Asset_Operations!$A$2:$A$201&amp;"|"&amp;Asset_Operations!$BG$2:$BG$201,Asset_Operations!$E$2:$E$201,""),"")</f>
        <v/>
      </c>
      <c r="G69" s="98">
        <f t="array" ref="G69">IFERROR(_xlfn.XLOOKUP($A69&amp;"|"&amp;$C69,Asset_Operations!$A$2:$A$201&amp;"|"&amp;Asset_Operations!$BG$2:$BG$201,Asset_Operations!$I$2:$I$201,""),"")</f>
        <v/>
      </c>
      <c r="H69" s="98">
        <f t="array" ref="H69">IFERROR(_xlfn.XLOOKUP($A69&amp;"|"&amp;$C69,Asset_Operations!$A$2:$A$201&amp;"|"&amp;Asset_Operations!$BG$2:$BG$201,Asset_Operations!$J$2:$J$201,""),"")</f>
        <v/>
      </c>
      <c r="I69" s="98">
        <f t="array" ref="I69">IFERROR(_xlfn.XLOOKUP($A69&amp;"|"&amp;$C69,Asset_Operations!$A$2:$A$201&amp;"|"&amp;Asset_Operations!$BG$2:$BG$201,Asset_Operations!$O$2:$O$201,""),"")</f>
        <v/>
      </c>
      <c r="J69" s="98">
        <f t="array" ref="J69">IFERROR(_xlfn.XLOOKUP($A69&amp;"|"&amp;$C69,Asset_Operations!$A$2:$A$201&amp;"|"&amp;Asset_Operations!$BG$2:$BG$201,Asset_Operations!$S$2:$S$201,""),"")</f>
        <v/>
      </c>
      <c r="K69" s="98">
        <f t="array" ref="K69">IFERROR(_xlfn.XLOOKUP($A69&amp;"|"&amp;$C69,Asset_Operations!$A$2:$A$201&amp;"|"&amp;Asset_Operations!$BG$2:$BG$201,Asset_Operations!$AC$2:$AC$201,""),"")</f>
        <v/>
      </c>
      <c r="L69" s="98">
        <f t="array" ref="L69">IFERROR(_xlfn.XLOOKUP($A69&amp;"|"&amp;$C69,Asset_Operations!$A$2:$A$201&amp;"|"&amp;Asset_Operations!$BG$2:$BG$201,Asset_Operations!$AG$2:$AG$201,""),"")</f>
        <v/>
      </c>
      <c r="M69" s="98">
        <f t="array" ref="M69">IFERROR(_xlfn.XLOOKUP($A69&amp;"|"&amp;$C69,Asset_Operations!$A$2:$A$201&amp;"|"&amp;Asset_Operations!$BG$2:$BG$201,Asset_Operations!$AO$2:$AO$201,""),"")</f>
        <v/>
      </c>
      <c r="N69" s="99">
        <f t="array" ref="N69">IFERROR(_xlfn.XLOOKUP($A69&amp;"|"&amp;$C69,Asset_Operations!$A$2:$A$201&amp;"|"&amp;Asset_Operations!$BG$2:$BG$201,Asset_Operations!$AR$2:$AR$201,""),"")</f>
        <v/>
      </c>
      <c r="O69" s="100">
        <f t="array" ref="O69">IFERROR(_xlfn.XLOOKUP($A69&amp;"|"&amp;$C69,Financials!$A$2:$A$201&amp;"|"&amp;Financials!$B$2:$B$201,Financials!$C$2:$C$201,""),"")</f>
        <v/>
      </c>
      <c r="P69" s="100">
        <f t="array" ref="P69">IFERROR(_xlfn.XLOOKUP($A69&amp;"|"&amp;$C69,Financials!$A$2:$A$201&amp;"|"&amp;Financials!$B$2:$B$201,Financials!$E$2:$E$201,""),"")</f>
        <v/>
      </c>
      <c r="Q69" s="100">
        <f t="array" ref="Q69">IFERROR(_xlfn.XLOOKUP($A69&amp;"|"&amp;$C69,Financials!$A$2:$A$201&amp;"|"&amp;Financials!$B$2:$B$201,Financials!$G$2:$G$201,""),"")</f>
        <v/>
      </c>
      <c r="R69" s="100">
        <f t="array" ref="R69">IFERROR(_xlfn.XLOOKUP($A69&amp;"|"&amp;$C69,Financials!$A$2:$A$201&amp;"|"&amp;Financials!$B$2:$B$201,Financials!$S$2:$S$201,""),"")</f>
        <v/>
      </c>
      <c r="S69" s="100">
        <f t="array" ref="S69">IFERROR(_xlfn.XLOOKUP($A69&amp;"|"&amp;$C69,Financials!$A$2:$A$201&amp;"|"&amp;Financials!$B$2:$B$201,Financials!$AC$2:$AC$201,""),"")</f>
        <v/>
      </c>
      <c r="T69" s="101">
        <f>IFERROR(P69/O69,"")</f>
        <v/>
      </c>
      <c r="U69" s="24">
        <f>IFERROR(R69/P69,"")</f>
        <v/>
      </c>
      <c r="V69" s="102">
        <f>IFERROR(O69/E69,"")</f>
        <v/>
      </c>
      <c r="W69" s="24">
        <f>IFERROR(L69/F69,"")</f>
        <v/>
      </c>
      <c r="X69" s="26">
        <f>IFERROR(IF(NOT(ISNUMBER($E69)),"",IF($E69&gt;=Scoring_Criteria!$D$4,5,IF($E69&gt;=Scoring_Criteria!$E$4,4,IF($E69&gt;=Scoring_Criteria!$F$4,3,IF($E69&gt;=Scoring_Criteria!$G$4,2,1))))),"")</f>
        <v/>
      </c>
      <c r="Y69" s="26">
        <f>IFERROR(IF(OR(NOT(ISNUMBER($F69)),NOT(ISNUMBER($E69)),$E69=0),"",IF(($F69/$E69)&gt;=Scoring_Criteria!$D$5,5,IF(($F69/$E69)&gt;=Scoring_Criteria!$E$5,4,IF(($F69/$E69)&gt;=Scoring_Criteria!$F$5,3,IF(($F69/$E69)&gt;=Scoring_Criteria!$G$5,2,1))))),"")</f>
        <v/>
      </c>
      <c r="Z69" s="26">
        <f>IFERROR(IF(AND(NOT(ISNUMBER($I69)),NOT(ISNUMBER($J69))),"",IF((IFERROR($I69,0)+IFERROR($J69,0))&gt;=Scoring_Criteria!$D$6,5,IF((IFERROR($I69,0)+IFERROR($J69,0))&gt;=Scoring_Criteria!$E$6,4,IF((IFERROR($I69,0)+IFERROR($J69,0))&gt;=Scoring_Criteria!$F$6,3,IF((IFERROR($I69,0)+IFERROR($J69,0))&gt;=Scoring_Criteria!$G$6,2,1))))),"")</f>
        <v/>
      </c>
      <c r="AA69" s="26">
        <f>IFERROR(IF(NOT(ISNUMBER($M69)),"",IF($M69&gt;=Scoring_Criteria!$D$7,5,IF($M69&gt;=Scoring_Criteria!$E$7,4,IF($M69&gt;=Scoring_Criteria!$F$7,3,IF($M69&gt;=Scoring_Criteria!$G$7,2,1))))),"")</f>
        <v/>
      </c>
      <c r="AB69" s="26">
        <f>IFERROR(IF(NOT(ISNUMBER($T69)),"",IF($T69&gt;=Scoring_Criteria!$D$8,5,IF($T69&gt;=Scoring_Criteria!$E$8,4,IF($T69&gt;=Scoring_Criteria!$F$8,3,IF($T69&gt;=Scoring_Criteria!$G$8,2,1))))),"")</f>
        <v/>
      </c>
      <c r="AC69" s="26">
        <f>IFERROR(IF(NOT(ISNUMBER($U69)),"",IF($U69&lt;=Scoring_Criteria!$D$9,5,IF($U69&lt;=Scoring_Criteria!$E$9,4,IF($U69&lt;=Scoring_Criteria!$F$9,3,IF($U69&lt;=Scoring_Criteria!$G$9,2,1))))),"")</f>
        <v/>
      </c>
      <c r="AD69" s="26">
        <f t="array" ref="AD69">IFERROR(IF(NOT(ISNUMBER(_xlfn.XLOOKUP($A69&amp;"|"&amp;$C69,Financials!$A$2:$A$201&amp;"|"&amp;Financials!$B$2:$B$201,Financials!$AD$2:$AD$201,""))),"",IF(_xlfn.XLOOKUP($A69&amp;"|"&amp;$C69,Financials!$A$2:$A$201&amp;"|"&amp;Financials!$B$2:$B$201,Financials!$AD$2:$AD$201,"")&gt;=Scoring_Criteria!$D$10,5,IF(_xlfn.XLOOKUP($A69&amp;"|"&amp;$C69,Financials!$A$2:$A$201&amp;"|"&amp;Financials!$B$2:$B$201,Financials!$AD$2:$AD$201,"")&gt;=Scoring_Criteria!$E$10,4,IF(_xlfn.XLOOKUP($A69&amp;"|"&amp;$C69,Financials!$A$2:$A$201&amp;"|"&amp;Financials!$B$2:$B$201,Financials!$AD$2:$AD$201,"")&gt;=Scoring_Criteria!$F$10,3,IF(_xlfn.XLOOKUP($A69&amp;"|"&amp;$C69,Financials!$A$2:$A$201&amp;"|"&amp;Financials!$B$2:$B$201,Financials!$AD$2:$AD$201,"")&gt;=Scoring_Criteria!$G$10,2,1))))),"")</f>
        <v/>
      </c>
      <c r="AE69" s="27" t="n"/>
      <c r="AF69" s="27" t="n"/>
      <c r="AG69" s="28">
        <f>IFERROR(IF(COUNTA(X69:AF69)=0,"",AVERAGE(X69:AF69)),"")</f>
        <v/>
      </c>
      <c r="AH69" s="29" t="n"/>
      <c r="AI69" s="29" t="n"/>
      <c r="AJ69" s="29" t="n"/>
      <c r="AK69" s="29" t="n"/>
      <c r="AL69" s="29" t="n"/>
      <c r="AM69" s="29" t="n"/>
      <c r="AN69" s="29" t="n"/>
      <c r="AO69" s="29" t="n"/>
      <c r="AP69" s="29" t="n"/>
      <c r="AQ69" s="29" t="n"/>
      <c r="AR69" s="29" t="n"/>
      <c r="AS69" s="29" t="n"/>
      <c r="AT69" s="29" t="n"/>
      <c r="AU69">
        <f>IFERROR(Validation_Summary!Q5,"")</f>
        <v/>
      </c>
    </row>
    <row r="70" ht="15" customHeight="1" s="67">
      <c r="A70" s="6" t="inlineStr">
        <is>
          <t>PT Pulau Subur Tbk</t>
        </is>
      </c>
      <c r="B70" s="19">
        <f t="array" ref="B70">IFERROR(_xlfn.XLOOKUP($A70&amp;"|"&amp;$C70,'Company_Master'!$A$2:$A$94&amp;"|"&amp;'Company_Master'!$D$2:$D$94,'Company_Master'!$B$2:$B$94,""),"")</f>
        <v/>
      </c>
      <c r="C70" s="98" t="n">
        <v>2024</v>
      </c>
      <c r="D70" s="19">
        <f t="array" ref="D70">IFERROR(_xlfn.XLOOKUP($A70&amp;"|"&amp;$C70,'Company_Master'!$A$2:$A$94&amp;"|"&amp;'Company_Master'!$D$2:$D$94,'Company_Master'!$H$2:$H$94,""),"")</f>
        <v/>
      </c>
      <c r="E70" s="98">
        <f t="array" ref="E70">IFERROR(_xlfn.XLOOKUP($A70&amp;"|"&amp;$C70,Asset_Operations!$A$2:$A$201&amp;"|"&amp;Asset_Operations!$BG$2:$BG$201,Asset_Operations!$B$2:$B$201,""),"")</f>
        <v/>
      </c>
      <c r="F70" s="98">
        <f t="array" ref="F70">IFERROR(_xlfn.XLOOKUP($A70&amp;"|"&amp;$C70,Asset_Operations!$A$2:$A$201&amp;"|"&amp;Asset_Operations!$BG$2:$BG$201,Asset_Operations!$E$2:$E$201,""),"")</f>
        <v/>
      </c>
      <c r="G70" s="98">
        <f t="array" ref="G70">IFERROR(_xlfn.XLOOKUP($A70&amp;"|"&amp;$C70,Asset_Operations!$A$2:$A$201&amp;"|"&amp;Asset_Operations!$BG$2:$BG$201,Asset_Operations!$I$2:$I$201,""),"")</f>
        <v/>
      </c>
      <c r="H70" s="98">
        <f t="array" ref="H70">IFERROR(_xlfn.XLOOKUP($A70&amp;"|"&amp;$C70,Asset_Operations!$A$2:$A$201&amp;"|"&amp;Asset_Operations!$BG$2:$BG$201,Asset_Operations!$J$2:$J$201,""),"")</f>
        <v/>
      </c>
      <c r="I70" s="98">
        <f t="array" ref="I70">IFERROR(_xlfn.XLOOKUP($A70&amp;"|"&amp;$C70,Asset_Operations!$A$2:$A$201&amp;"|"&amp;Asset_Operations!$BG$2:$BG$201,Asset_Operations!$O$2:$O$201,""),"")</f>
        <v/>
      </c>
      <c r="J70" s="98">
        <f t="array" ref="J70">IFERROR(_xlfn.XLOOKUP($A70&amp;"|"&amp;$C70,Asset_Operations!$A$2:$A$201&amp;"|"&amp;Asset_Operations!$BG$2:$BG$201,Asset_Operations!$S$2:$S$201,""),"")</f>
        <v/>
      </c>
      <c r="K70" s="98">
        <f t="array" ref="K70">IFERROR(_xlfn.XLOOKUP($A70&amp;"|"&amp;$C70,Asset_Operations!$A$2:$A$201&amp;"|"&amp;Asset_Operations!$BG$2:$BG$201,Asset_Operations!$AC$2:$AC$201,""),"")</f>
        <v/>
      </c>
      <c r="L70" s="98">
        <f t="array" ref="L70">IFERROR(_xlfn.XLOOKUP($A70&amp;"|"&amp;$C70,Asset_Operations!$A$2:$A$201&amp;"|"&amp;Asset_Operations!$BG$2:$BG$201,Asset_Operations!$AG$2:$AG$201,""),"")</f>
        <v/>
      </c>
      <c r="M70" s="98">
        <f t="array" ref="M70">IFERROR(_xlfn.XLOOKUP($A70&amp;"|"&amp;$C70,Asset_Operations!$A$2:$A$201&amp;"|"&amp;Asset_Operations!$BG$2:$BG$201,Asset_Operations!$AO$2:$AO$201,""),"")</f>
        <v/>
      </c>
      <c r="N70" s="99">
        <f t="array" ref="N70">IFERROR(_xlfn.XLOOKUP($A70&amp;"|"&amp;$C70,Asset_Operations!$A$2:$A$201&amp;"|"&amp;Asset_Operations!$BG$2:$BG$201,Asset_Operations!$AR$2:$AR$201,""),"")</f>
        <v/>
      </c>
      <c r="O70" s="100">
        <f t="array" ref="O70">IFERROR(_xlfn.XLOOKUP($A70&amp;"|"&amp;$C70,Financials!$A$2:$A$201&amp;"|"&amp;Financials!$B$2:$B$201,Financials!$C$2:$C$201,""),"")</f>
        <v/>
      </c>
      <c r="P70" s="100">
        <f t="array" ref="P70">IFERROR(_xlfn.XLOOKUP($A70&amp;"|"&amp;$C70,Financials!$A$2:$A$201&amp;"|"&amp;Financials!$B$2:$B$201,Financials!$E$2:$E$201,""),"")</f>
        <v/>
      </c>
      <c r="Q70" s="100">
        <f t="array" ref="Q70">IFERROR(_xlfn.XLOOKUP($A70&amp;"|"&amp;$C70,Financials!$A$2:$A$201&amp;"|"&amp;Financials!$B$2:$B$201,Financials!$G$2:$G$201,""),"")</f>
        <v/>
      </c>
      <c r="R70" s="100">
        <f t="array" ref="R70">IFERROR(_xlfn.XLOOKUP($A70&amp;"|"&amp;$C70,Financials!$A$2:$A$201&amp;"|"&amp;Financials!$B$2:$B$201,Financials!$S$2:$S$201,""),"")</f>
        <v/>
      </c>
      <c r="S70" s="100">
        <f t="array" ref="S70">IFERROR(_xlfn.XLOOKUP($A70&amp;"|"&amp;$C70,Financials!$A$2:$A$201&amp;"|"&amp;Financials!$B$2:$B$201,Financials!$AC$2:$AC$201,""),"")</f>
        <v/>
      </c>
      <c r="T70" s="101">
        <f>IFERROR(P70/O70,"")</f>
        <v/>
      </c>
      <c r="U70" s="24">
        <f>IFERROR(R70/P70,"")</f>
        <v/>
      </c>
      <c r="V70" s="102">
        <f>IFERROR(O70/E70,"")</f>
        <v/>
      </c>
      <c r="W70" s="24">
        <f>IFERROR(L70/F70,"")</f>
        <v/>
      </c>
      <c r="X70" s="26">
        <f>IFERROR(IF(NOT(ISNUMBER($E70)),"",IF($E70&gt;=Scoring_Criteria!$D$4,5,IF($E70&gt;=Scoring_Criteria!$E$4,4,IF($E70&gt;=Scoring_Criteria!$F$4,3,IF($E70&gt;=Scoring_Criteria!$G$4,2,1))))),"")</f>
        <v/>
      </c>
      <c r="Y70" s="26">
        <f>IFERROR(IF(OR(NOT(ISNUMBER($F70)),NOT(ISNUMBER($E70)),$E70=0),"",IF(($F70/$E70)&gt;=Scoring_Criteria!$D$5,5,IF(($F70/$E70)&gt;=Scoring_Criteria!$E$5,4,IF(($F70/$E70)&gt;=Scoring_Criteria!$F$5,3,IF(($F70/$E70)&gt;=Scoring_Criteria!$G$5,2,1))))),"")</f>
        <v/>
      </c>
      <c r="Z70" s="26">
        <f>IFERROR(IF(AND(NOT(ISNUMBER($I70)),NOT(ISNUMBER($J70))),"",IF((IFERROR($I70,0)+IFERROR($J70,0))&gt;=Scoring_Criteria!$D$6,5,IF((IFERROR($I70,0)+IFERROR($J70,0))&gt;=Scoring_Criteria!$E$6,4,IF((IFERROR($I70,0)+IFERROR($J70,0))&gt;=Scoring_Criteria!$F$6,3,IF((IFERROR($I70,0)+IFERROR($J70,0))&gt;=Scoring_Criteria!$G$6,2,1))))),"")</f>
        <v/>
      </c>
      <c r="AA70" s="26">
        <f>IFERROR(IF(NOT(ISNUMBER($M70)),"",IF($M70&gt;=Scoring_Criteria!$D$7,5,IF($M70&gt;=Scoring_Criteria!$E$7,4,IF($M70&gt;=Scoring_Criteria!$F$7,3,IF($M70&gt;=Scoring_Criteria!$G$7,2,1))))),"")</f>
        <v/>
      </c>
      <c r="AB70" s="26">
        <f>IFERROR(IF(NOT(ISNUMBER($T70)),"",IF($T70&gt;=Scoring_Criteria!$D$8,5,IF($T70&gt;=Scoring_Criteria!$E$8,4,IF($T70&gt;=Scoring_Criteria!$F$8,3,IF($T70&gt;=Scoring_Criteria!$G$8,2,1))))),"")</f>
        <v/>
      </c>
      <c r="AC70" s="26">
        <f>IFERROR(IF(NOT(ISNUMBER($U70)),"",IF($U70&lt;=Scoring_Criteria!$D$9,5,IF($U70&lt;=Scoring_Criteria!$E$9,4,IF($U70&lt;=Scoring_Criteria!$F$9,3,IF($U70&lt;=Scoring_Criteria!$G$9,2,1))))),"")</f>
        <v/>
      </c>
      <c r="AD70" s="26">
        <f t="array" ref="AD70">IFERROR(IF(NOT(ISNUMBER(_xlfn.XLOOKUP($A70&amp;"|"&amp;$C70,Financials!$A$2:$A$201&amp;"|"&amp;Financials!$B$2:$B$201,Financials!$AD$2:$AD$201,""))),"",IF(_xlfn.XLOOKUP($A70&amp;"|"&amp;$C70,Financials!$A$2:$A$201&amp;"|"&amp;Financials!$B$2:$B$201,Financials!$AD$2:$AD$201,"")&gt;=Scoring_Criteria!$D$10,5,IF(_xlfn.XLOOKUP($A70&amp;"|"&amp;$C70,Financials!$A$2:$A$201&amp;"|"&amp;Financials!$B$2:$B$201,Financials!$AD$2:$AD$201,"")&gt;=Scoring_Criteria!$E$10,4,IF(_xlfn.XLOOKUP($A70&amp;"|"&amp;$C70,Financials!$A$2:$A$201&amp;"|"&amp;Financials!$B$2:$B$201,Financials!$AD$2:$AD$201,"")&gt;=Scoring_Criteria!$F$10,3,IF(_xlfn.XLOOKUP($A70&amp;"|"&amp;$C70,Financials!$A$2:$A$201&amp;"|"&amp;Financials!$B$2:$B$201,Financials!$AD$2:$AD$201,"")&gt;=Scoring_Criteria!$G$10,2,1))))),"")</f>
        <v/>
      </c>
      <c r="AE70" s="27" t="n"/>
      <c r="AF70" s="27" t="n"/>
      <c r="AG70" s="28">
        <f>IFERROR(IF(COUNTA(X70:AF70)=0,"",AVERAGE(X70:AF70)),"")</f>
        <v/>
      </c>
      <c r="AH70" s="29" t="n"/>
      <c r="AI70" s="29" t="n"/>
      <c r="AJ70" s="29" t="n"/>
      <c r="AK70" s="29" t="n"/>
      <c r="AL70" s="29" t="n"/>
      <c r="AM70" s="29" t="n"/>
      <c r="AN70" s="29" t="n"/>
      <c r="AO70" s="29" t="n"/>
      <c r="AP70" s="29" t="n"/>
      <c r="AQ70" s="29" t="n"/>
      <c r="AR70" s="29" t="n"/>
      <c r="AS70" s="29" t="n"/>
      <c r="AT70" s="29" t="n"/>
      <c r="AU70">
        <f>IFERROR(Validation_Summary!Q5,"")</f>
        <v/>
      </c>
    </row>
    <row r="71" ht="15" customHeight="1" s="67">
      <c r="A71" s="6" t="inlineStr">
        <is>
          <t>PT Sampoerna Agro Tbk</t>
        </is>
      </c>
      <c r="B71" s="19">
        <f t="array" ref="B71">IFERROR(_xlfn.XLOOKUP($A71&amp;"|"&amp;$C71,'Company_Master'!$A$2:$A$94&amp;"|"&amp;'Company_Master'!$D$2:$D$94,'Company_Master'!$B$2:$B$94,""),"")</f>
        <v/>
      </c>
      <c r="C71" s="98" t="n">
        <v>2022</v>
      </c>
      <c r="D71" s="19">
        <f t="array" ref="D71">IFERROR(_xlfn.XLOOKUP($A71&amp;"|"&amp;$C71,'Company_Master'!$A$2:$A$94&amp;"|"&amp;'Company_Master'!$D$2:$D$94,'Company_Master'!$H$2:$H$94,""),"")</f>
        <v/>
      </c>
      <c r="E71" s="98">
        <f t="array" ref="E71">IFERROR(_xlfn.XLOOKUP($A71&amp;"|"&amp;$C71,Asset_Operations!$A$2:$A$201&amp;"|"&amp;Asset_Operations!$BG$2:$BG$201,Asset_Operations!$B$2:$B$201,""),"")</f>
        <v/>
      </c>
      <c r="F71" s="98">
        <f t="array" ref="F71">IFERROR(_xlfn.XLOOKUP($A71&amp;"|"&amp;$C71,Asset_Operations!$A$2:$A$201&amp;"|"&amp;Asset_Operations!$BG$2:$BG$201,Asset_Operations!$E$2:$E$201,""),"")</f>
        <v/>
      </c>
      <c r="G71" s="98">
        <f t="array" ref="G71">IFERROR(_xlfn.XLOOKUP($A71&amp;"|"&amp;$C71,Asset_Operations!$A$2:$A$201&amp;"|"&amp;Asset_Operations!$BG$2:$BG$201,Asset_Operations!$I$2:$I$201,""),"")</f>
        <v/>
      </c>
      <c r="H71" s="98">
        <f t="array" ref="H71">IFERROR(_xlfn.XLOOKUP($A71&amp;"|"&amp;$C71,Asset_Operations!$A$2:$A$201&amp;"|"&amp;Asset_Operations!$BG$2:$BG$201,Asset_Operations!$J$2:$J$201,""),"")</f>
        <v/>
      </c>
      <c r="I71" s="98">
        <f t="array" ref="I71">IFERROR(_xlfn.XLOOKUP($A71&amp;"|"&amp;$C71,Asset_Operations!$A$2:$A$201&amp;"|"&amp;Asset_Operations!$BG$2:$BG$201,Asset_Operations!$O$2:$O$201,""),"")</f>
        <v/>
      </c>
      <c r="J71" s="98">
        <f t="array" ref="J71">IFERROR(_xlfn.XLOOKUP($A71&amp;"|"&amp;$C71,Asset_Operations!$A$2:$A$201&amp;"|"&amp;Asset_Operations!$BG$2:$BG$201,Asset_Operations!$S$2:$S$201,""),"")</f>
        <v/>
      </c>
      <c r="K71" s="98">
        <f t="array" ref="K71">IFERROR(_xlfn.XLOOKUP($A71&amp;"|"&amp;$C71,Asset_Operations!$A$2:$A$201&amp;"|"&amp;Asset_Operations!$BG$2:$BG$201,Asset_Operations!$AC$2:$AC$201,""),"")</f>
        <v/>
      </c>
      <c r="L71" s="98">
        <f t="array" ref="L71">IFERROR(_xlfn.XLOOKUP($A71&amp;"|"&amp;$C71,Asset_Operations!$A$2:$A$201&amp;"|"&amp;Asset_Operations!$BG$2:$BG$201,Asset_Operations!$AG$2:$AG$201,""),"")</f>
        <v/>
      </c>
      <c r="M71" s="98">
        <f t="array" ref="M71">IFERROR(_xlfn.XLOOKUP($A71&amp;"|"&amp;$C71,Asset_Operations!$A$2:$A$201&amp;"|"&amp;Asset_Operations!$BG$2:$BG$201,Asset_Operations!$AO$2:$AO$201,""),"")</f>
        <v/>
      </c>
      <c r="N71" s="99">
        <f t="array" ref="N71">IFERROR(_xlfn.XLOOKUP($A71&amp;"|"&amp;$C71,Asset_Operations!$A$2:$A$201&amp;"|"&amp;Asset_Operations!$BG$2:$BG$201,Asset_Operations!$AR$2:$AR$201,""),"")</f>
        <v/>
      </c>
      <c r="O71" s="100">
        <f t="array" ref="O71">IFERROR(_xlfn.XLOOKUP($A71&amp;"|"&amp;$C71,Financials!$A$2:$A$201&amp;"|"&amp;Financials!$B$2:$B$201,Financials!$C$2:$C$201,""),"")</f>
        <v/>
      </c>
      <c r="P71" s="100">
        <f t="array" ref="P71">IFERROR(_xlfn.XLOOKUP($A71&amp;"|"&amp;$C71,Financials!$A$2:$A$201&amp;"|"&amp;Financials!$B$2:$B$201,Financials!$E$2:$E$201,""),"")</f>
        <v/>
      </c>
      <c r="Q71" s="100">
        <f t="array" ref="Q71">IFERROR(_xlfn.XLOOKUP($A71&amp;"|"&amp;$C71,Financials!$A$2:$A$201&amp;"|"&amp;Financials!$B$2:$B$201,Financials!$G$2:$G$201,""),"")</f>
        <v/>
      </c>
      <c r="R71" s="100">
        <f t="array" ref="R71">IFERROR(_xlfn.XLOOKUP($A71&amp;"|"&amp;$C71,Financials!$A$2:$A$201&amp;"|"&amp;Financials!$B$2:$B$201,Financials!$S$2:$S$201,""),"")</f>
        <v/>
      </c>
      <c r="S71" s="100">
        <f t="array" ref="S71">IFERROR(_xlfn.XLOOKUP($A71&amp;"|"&amp;$C71,Financials!$A$2:$A$201&amp;"|"&amp;Financials!$B$2:$B$201,Financials!$AC$2:$AC$201,""),"")</f>
        <v/>
      </c>
      <c r="T71" s="101">
        <f>IFERROR(P71/O71,"")</f>
        <v/>
      </c>
      <c r="U71" s="24">
        <f>IFERROR(R71/P71,"")</f>
        <v/>
      </c>
      <c r="V71" s="102">
        <f>IFERROR(O71/E71,"")</f>
        <v/>
      </c>
      <c r="W71" s="24">
        <f>IFERROR(L71/F71,"")</f>
        <v/>
      </c>
      <c r="X71" s="26">
        <f>IFERROR(IF(NOT(ISNUMBER($E71)),"",IF($E71&gt;=Scoring_Criteria!$D$4,5,IF($E71&gt;=Scoring_Criteria!$E$4,4,IF($E71&gt;=Scoring_Criteria!$F$4,3,IF($E71&gt;=Scoring_Criteria!$G$4,2,1))))),"")</f>
        <v/>
      </c>
      <c r="Y71" s="26">
        <f>IFERROR(IF(OR(NOT(ISNUMBER($F71)),NOT(ISNUMBER($E71)),$E71=0),"",IF(($F71/$E71)&gt;=Scoring_Criteria!$D$5,5,IF(($F71/$E71)&gt;=Scoring_Criteria!$E$5,4,IF(($F71/$E71)&gt;=Scoring_Criteria!$F$5,3,IF(($F71/$E71)&gt;=Scoring_Criteria!$G$5,2,1))))),"")</f>
        <v/>
      </c>
      <c r="Z71" s="26">
        <f>IFERROR(IF(AND(NOT(ISNUMBER($I71)),NOT(ISNUMBER($J71))),"",IF((IFERROR($I71,0)+IFERROR($J71,0))&gt;=Scoring_Criteria!$D$6,5,IF((IFERROR($I71,0)+IFERROR($J71,0))&gt;=Scoring_Criteria!$E$6,4,IF((IFERROR($I71,0)+IFERROR($J71,0))&gt;=Scoring_Criteria!$F$6,3,IF((IFERROR($I71,0)+IFERROR($J71,0))&gt;=Scoring_Criteria!$G$6,2,1))))),"")</f>
        <v/>
      </c>
      <c r="AA71" s="26">
        <f>IFERROR(IF(NOT(ISNUMBER($M71)),"",IF($M71&gt;=Scoring_Criteria!$D$7,5,IF($M71&gt;=Scoring_Criteria!$E$7,4,IF($M71&gt;=Scoring_Criteria!$F$7,3,IF($M71&gt;=Scoring_Criteria!$G$7,2,1))))),"")</f>
        <v/>
      </c>
      <c r="AB71" s="26">
        <f>IFERROR(IF(NOT(ISNUMBER($T71)),"",IF($T71&gt;=Scoring_Criteria!$D$8,5,IF($T71&gt;=Scoring_Criteria!$E$8,4,IF($T71&gt;=Scoring_Criteria!$F$8,3,IF($T71&gt;=Scoring_Criteria!$G$8,2,1))))),"")</f>
        <v/>
      </c>
      <c r="AC71" s="26">
        <f>IFERROR(IF(NOT(ISNUMBER($U71)),"",IF($U71&lt;=Scoring_Criteria!$D$9,5,IF($U71&lt;=Scoring_Criteria!$E$9,4,IF($U71&lt;=Scoring_Criteria!$F$9,3,IF($U71&lt;=Scoring_Criteria!$G$9,2,1))))),"")</f>
        <v/>
      </c>
      <c r="AD71" s="26">
        <f t="array" ref="AD71">IFERROR(IF(NOT(ISNUMBER(_xlfn.XLOOKUP($A71&amp;"|"&amp;$C71,Financials!$A$2:$A$201&amp;"|"&amp;Financials!$B$2:$B$201,Financials!$AD$2:$AD$201,""))),"",IF(_xlfn.XLOOKUP($A71&amp;"|"&amp;$C71,Financials!$A$2:$A$201&amp;"|"&amp;Financials!$B$2:$B$201,Financials!$AD$2:$AD$201,"")&gt;=Scoring_Criteria!$D$10,5,IF(_xlfn.XLOOKUP($A71&amp;"|"&amp;$C71,Financials!$A$2:$A$201&amp;"|"&amp;Financials!$B$2:$B$201,Financials!$AD$2:$AD$201,"")&gt;=Scoring_Criteria!$E$10,4,IF(_xlfn.XLOOKUP($A71&amp;"|"&amp;$C71,Financials!$A$2:$A$201&amp;"|"&amp;Financials!$B$2:$B$201,Financials!$AD$2:$AD$201,"")&gt;=Scoring_Criteria!$F$10,3,IF(_xlfn.XLOOKUP($A71&amp;"|"&amp;$C71,Financials!$A$2:$A$201&amp;"|"&amp;Financials!$B$2:$B$201,Financials!$AD$2:$AD$201,"")&gt;=Scoring_Criteria!$G$10,2,1))))),"")</f>
        <v/>
      </c>
      <c r="AE71" s="27" t="n"/>
      <c r="AF71" s="27" t="n"/>
      <c r="AG71" s="28">
        <f>IFERROR(IF(COUNTA(X71:AF71)=0,"",AVERAGE(X71:AF71)),"")</f>
        <v/>
      </c>
      <c r="AH71" s="29" t="n"/>
      <c r="AI71" s="29" t="n"/>
      <c r="AJ71" s="29" t="n"/>
      <c r="AK71" s="29" t="n"/>
      <c r="AL71" s="29" t="n"/>
      <c r="AM71" s="29" t="n"/>
      <c r="AN71" s="29" t="n"/>
      <c r="AO71" s="29" t="n"/>
      <c r="AP71" s="29" t="n"/>
      <c r="AQ71" s="29" t="n"/>
      <c r="AR71" s="29" t="n"/>
      <c r="AS71" s="29" t="n"/>
      <c r="AT71" s="29" t="n"/>
      <c r="AU71">
        <f>IFERROR(Validation_Summary!Q5,"")</f>
        <v/>
      </c>
    </row>
    <row r="72" ht="15" customHeight="1" s="67">
      <c r="A72" s="6" t="inlineStr">
        <is>
          <t>PT Sampoerna Agro Tbk</t>
        </is>
      </c>
      <c r="B72" s="19">
        <f t="array" ref="B72">IFERROR(_xlfn.XLOOKUP($A72&amp;"|"&amp;$C72,'Company_Master'!$A$2:$A$94&amp;"|"&amp;'Company_Master'!$D$2:$D$94,'Company_Master'!$B$2:$B$94,""),"")</f>
        <v/>
      </c>
      <c r="C72" s="98" t="n">
        <v>2023</v>
      </c>
      <c r="D72" s="19">
        <f t="array" ref="D72">IFERROR(_xlfn.XLOOKUP($A72&amp;"|"&amp;$C72,'Company_Master'!$A$2:$A$94&amp;"|"&amp;'Company_Master'!$D$2:$D$94,'Company_Master'!$H$2:$H$94,""),"")</f>
        <v/>
      </c>
      <c r="E72" s="98">
        <f t="array" ref="E72">IFERROR(_xlfn.XLOOKUP($A72&amp;"|"&amp;$C72,Asset_Operations!$A$2:$A$201&amp;"|"&amp;Asset_Operations!$BG$2:$BG$201,Asset_Operations!$B$2:$B$201,""),"")</f>
        <v/>
      </c>
      <c r="F72" s="98">
        <f t="array" ref="F72">IFERROR(_xlfn.XLOOKUP($A72&amp;"|"&amp;$C72,Asset_Operations!$A$2:$A$201&amp;"|"&amp;Asset_Operations!$BG$2:$BG$201,Asset_Operations!$E$2:$E$201,""),"")</f>
        <v/>
      </c>
      <c r="G72" s="98">
        <f t="array" ref="G72">IFERROR(_xlfn.XLOOKUP($A72&amp;"|"&amp;$C72,Asset_Operations!$A$2:$A$201&amp;"|"&amp;Asset_Operations!$BG$2:$BG$201,Asset_Operations!$I$2:$I$201,""),"")</f>
        <v/>
      </c>
      <c r="H72" s="98">
        <f t="array" ref="H72">IFERROR(_xlfn.XLOOKUP($A72&amp;"|"&amp;$C72,Asset_Operations!$A$2:$A$201&amp;"|"&amp;Asset_Operations!$BG$2:$BG$201,Asset_Operations!$J$2:$J$201,""),"")</f>
        <v/>
      </c>
      <c r="I72" s="98">
        <f t="array" ref="I72">IFERROR(_xlfn.XLOOKUP($A72&amp;"|"&amp;$C72,Asset_Operations!$A$2:$A$201&amp;"|"&amp;Asset_Operations!$BG$2:$BG$201,Asset_Operations!$O$2:$O$201,""),"")</f>
        <v/>
      </c>
      <c r="J72" s="98">
        <f t="array" ref="J72">IFERROR(_xlfn.XLOOKUP($A72&amp;"|"&amp;$C72,Asset_Operations!$A$2:$A$201&amp;"|"&amp;Asset_Operations!$BG$2:$BG$201,Asset_Operations!$S$2:$S$201,""),"")</f>
        <v/>
      </c>
      <c r="K72" s="98">
        <f t="array" ref="K72">IFERROR(_xlfn.XLOOKUP($A72&amp;"|"&amp;$C72,Asset_Operations!$A$2:$A$201&amp;"|"&amp;Asset_Operations!$BG$2:$BG$201,Asset_Operations!$AC$2:$AC$201,""),"")</f>
        <v/>
      </c>
      <c r="L72" s="98">
        <f t="array" ref="L72">IFERROR(_xlfn.XLOOKUP($A72&amp;"|"&amp;$C72,Asset_Operations!$A$2:$A$201&amp;"|"&amp;Asset_Operations!$BG$2:$BG$201,Asset_Operations!$AG$2:$AG$201,""),"")</f>
        <v/>
      </c>
      <c r="M72" s="98">
        <f t="array" ref="M72">IFERROR(_xlfn.XLOOKUP($A72&amp;"|"&amp;$C72,Asset_Operations!$A$2:$A$201&amp;"|"&amp;Asset_Operations!$BG$2:$BG$201,Asset_Operations!$AO$2:$AO$201,""),"")</f>
        <v/>
      </c>
      <c r="N72" s="99">
        <f t="array" ref="N72">IFERROR(_xlfn.XLOOKUP($A72&amp;"|"&amp;$C72,Asset_Operations!$A$2:$A$201&amp;"|"&amp;Asset_Operations!$BG$2:$BG$201,Asset_Operations!$AR$2:$AR$201,""),"")</f>
        <v/>
      </c>
      <c r="O72" s="100">
        <f t="array" ref="O72">IFERROR(_xlfn.XLOOKUP($A72&amp;"|"&amp;$C72,Financials!$A$2:$A$201&amp;"|"&amp;Financials!$B$2:$B$201,Financials!$C$2:$C$201,""),"")</f>
        <v/>
      </c>
      <c r="P72" s="100">
        <f t="array" ref="P72">IFERROR(_xlfn.XLOOKUP($A72&amp;"|"&amp;$C72,Financials!$A$2:$A$201&amp;"|"&amp;Financials!$B$2:$B$201,Financials!$E$2:$E$201,""),"")</f>
        <v/>
      </c>
      <c r="Q72" s="100">
        <f t="array" ref="Q72">IFERROR(_xlfn.XLOOKUP($A72&amp;"|"&amp;$C72,Financials!$A$2:$A$201&amp;"|"&amp;Financials!$B$2:$B$201,Financials!$G$2:$G$201,""),"")</f>
        <v/>
      </c>
      <c r="R72" s="100">
        <f t="array" ref="R72">IFERROR(_xlfn.XLOOKUP($A72&amp;"|"&amp;$C72,Financials!$A$2:$A$201&amp;"|"&amp;Financials!$B$2:$B$201,Financials!$S$2:$S$201,""),"")</f>
        <v/>
      </c>
      <c r="S72" s="100">
        <f t="array" ref="S72">IFERROR(_xlfn.XLOOKUP($A72&amp;"|"&amp;$C72,Financials!$A$2:$A$201&amp;"|"&amp;Financials!$B$2:$B$201,Financials!$AC$2:$AC$201,""),"")</f>
        <v/>
      </c>
      <c r="T72" s="101">
        <f>IFERROR(P72/O72,"")</f>
        <v/>
      </c>
      <c r="U72" s="24">
        <f>IFERROR(R72/P72,"")</f>
        <v/>
      </c>
      <c r="V72" s="102">
        <f>IFERROR(O72/E72,"")</f>
        <v/>
      </c>
      <c r="W72" s="24">
        <f>IFERROR(L72/F72,"")</f>
        <v/>
      </c>
      <c r="X72" s="26">
        <f>IFERROR(IF(NOT(ISNUMBER($E72)),"",IF($E72&gt;=Scoring_Criteria!$D$4,5,IF($E72&gt;=Scoring_Criteria!$E$4,4,IF($E72&gt;=Scoring_Criteria!$F$4,3,IF($E72&gt;=Scoring_Criteria!$G$4,2,1))))),"")</f>
        <v/>
      </c>
      <c r="Y72" s="26">
        <f>IFERROR(IF(OR(NOT(ISNUMBER($F72)),NOT(ISNUMBER($E72)),$E72=0),"",IF(($F72/$E72)&gt;=Scoring_Criteria!$D$5,5,IF(($F72/$E72)&gt;=Scoring_Criteria!$E$5,4,IF(($F72/$E72)&gt;=Scoring_Criteria!$F$5,3,IF(($F72/$E72)&gt;=Scoring_Criteria!$G$5,2,1))))),"")</f>
        <v/>
      </c>
      <c r="Z72" s="26">
        <f>IFERROR(IF(AND(NOT(ISNUMBER($I72)),NOT(ISNUMBER($J72))),"",IF((IFERROR($I72,0)+IFERROR($J72,0))&gt;=Scoring_Criteria!$D$6,5,IF((IFERROR($I72,0)+IFERROR($J72,0))&gt;=Scoring_Criteria!$E$6,4,IF((IFERROR($I72,0)+IFERROR($J72,0))&gt;=Scoring_Criteria!$F$6,3,IF((IFERROR($I72,0)+IFERROR($J72,0))&gt;=Scoring_Criteria!$G$6,2,1))))),"")</f>
        <v/>
      </c>
      <c r="AA72" s="26">
        <f>IFERROR(IF(NOT(ISNUMBER($M72)),"",IF($M72&gt;=Scoring_Criteria!$D$7,5,IF($M72&gt;=Scoring_Criteria!$E$7,4,IF($M72&gt;=Scoring_Criteria!$F$7,3,IF($M72&gt;=Scoring_Criteria!$G$7,2,1))))),"")</f>
        <v/>
      </c>
      <c r="AB72" s="26">
        <f>IFERROR(IF(NOT(ISNUMBER($T72)),"",IF($T72&gt;=Scoring_Criteria!$D$8,5,IF($T72&gt;=Scoring_Criteria!$E$8,4,IF($T72&gt;=Scoring_Criteria!$F$8,3,IF($T72&gt;=Scoring_Criteria!$G$8,2,1))))),"")</f>
        <v/>
      </c>
      <c r="AC72" s="26">
        <f>IFERROR(IF(NOT(ISNUMBER($U72)),"",IF($U72&lt;=Scoring_Criteria!$D$9,5,IF($U72&lt;=Scoring_Criteria!$E$9,4,IF($U72&lt;=Scoring_Criteria!$F$9,3,IF($U72&lt;=Scoring_Criteria!$G$9,2,1))))),"")</f>
        <v/>
      </c>
      <c r="AD72" s="26">
        <f t="array" ref="AD72">IFERROR(IF(NOT(ISNUMBER(_xlfn.XLOOKUP($A72&amp;"|"&amp;$C72,Financials!$A$2:$A$201&amp;"|"&amp;Financials!$B$2:$B$201,Financials!$AD$2:$AD$201,""))),"",IF(_xlfn.XLOOKUP($A72&amp;"|"&amp;$C72,Financials!$A$2:$A$201&amp;"|"&amp;Financials!$B$2:$B$201,Financials!$AD$2:$AD$201,"")&gt;=Scoring_Criteria!$D$10,5,IF(_xlfn.XLOOKUP($A72&amp;"|"&amp;$C72,Financials!$A$2:$A$201&amp;"|"&amp;Financials!$B$2:$B$201,Financials!$AD$2:$AD$201,"")&gt;=Scoring_Criteria!$E$10,4,IF(_xlfn.XLOOKUP($A72&amp;"|"&amp;$C72,Financials!$A$2:$A$201&amp;"|"&amp;Financials!$B$2:$B$201,Financials!$AD$2:$AD$201,"")&gt;=Scoring_Criteria!$F$10,3,IF(_xlfn.XLOOKUP($A72&amp;"|"&amp;$C72,Financials!$A$2:$A$201&amp;"|"&amp;Financials!$B$2:$B$201,Financials!$AD$2:$AD$201,"")&gt;=Scoring_Criteria!$G$10,2,1))))),"")</f>
        <v/>
      </c>
      <c r="AE72" s="27" t="n"/>
      <c r="AF72" s="27" t="n"/>
      <c r="AG72" s="28">
        <f>IFERROR(IF(COUNTA(X72:AF72)=0,"",AVERAGE(X72:AF72)),"")</f>
        <v/>
      </c>
      <c r="AH72" s="29" t="n"/>
      <c r="AI72" s="29" t="n"/>
      <c r="AJ72" s="29" t="n"/>
      <c r="AK72" s="29" t="n"/>
      <c r="AL72" s="29" t="n"/>
      <c r="AM72" s="29" t="n"/>
      <c r="AN72" s="29" t="n"/>
      <c r="AO72" s="29" t="n"/>
      <c r="AP72" s="29" t="n"/>
      <c r="AQ72" s="29" t="n"/>
      <c r="AR72" s="29" t="n"/>
      <c r="AS72" s="29" t="n"/>
      <c r="AT72" s="29" t="n"/>
      <c r="AU72">
        <f>IFERROR(Validation_Summary!Q5,"")</f>
        <v/>
      </c>
    </row>
    <row r="73" ht="15" customHeight="1" s="67">
      <c r="A73" s="6" t="inlineStr">
        <is>
          <t>PT Sampoerna Agro Tbk</t>
        </is>
      </c>
      <c r="B73" s="19">
        <f t="array" ref="B73">IFERROR(_xlfn.XLOOKUP($A73&amp;"|"&amp;$C73,'Company_Master'!$A$2:$A$94&amp;"|"&amp;'Company_Master'!$D$2:$D$94,'Company_Master'!$B$2:$B$94,""),"")</f>
        <v/>
      </c>
      <c r="C73" s="98" t="n">
        <v>2024</v>
      </c>
      <c r="D73" s="19">
        <f t="array" ref="D73">IFERROR(_xlfn.XLOOKUP($A73&amp;"|"&amp;$C73,'Company_Master'!$A$2:$A$94&amp;"|"&amp;'Company_Master'!$D$2:$D$94,'Company_Master'!$H$2:$H$94,""),"")</f>
        <v/>
      </c>
      <c r="E73" s="98">
        <f t="array" ref="E73">IFERROR(_xlfn.XLOOKUP($A73&amp;"|"&amp;$C73,Asset_Operations!$A$2:$A$201&amp;"|"&amp;Asset_Operations!$BG$2:$BG$201,Asset_Operations!$B$2:$B$201,""),"")</f>
        <v/>
      </c>
      <c r="F73" s="98">
        <f t="array" ref="F73">IFERROR(_xlfn.XLOOKUP($A73&amp;"|"&amp;$C73,Asset_Operations!$A$2:$A$201&amp;"|"&amp;Asset_Operations!$BG$2:$BG$201,Asset_Operations!$E$2:$E$201,""),"")</f>
        <v/>
      </c>
      <c r="G73" s="98">
        <f t="array" ref="G73">IFERROR(_xlfn.XLOOKUP($A73&amp;"|"&amp;$C73,Asset_Operations!$A$2:$A$201&amp;"|"&amp;Asset_Operations!$BG$2:$BG$201,Asset_Operations!$I$2:$I$201,""),"")</f>
        <v/>
      </c>
      <c r="H73" s="98">
        <f t="array" ref="H73">IFERROR(_xlfn.XLOOKUP($A73&amp;"|"&amp;$C73,Asset_Operations!$A$2:$A$201&amp;"|"&amp;Asset_Operations!$BG$2:$BG$201,Asset_Operations!$J$2:$J$201,""),"")</f>
        <v/>
      </c>
      <c r="I73" s="98">
        <f t="array" ref="I73">IFERROR(_xlfn.XLOOKUP($A73&amp;"|"&amp;$C73,Asset_Operations!$A$2:$A$201&amp;"|"&amp;Asset_Operations!$BG$2:$BG$201,Asset_Operations!$O$2:$O$201,""),"")</f>
        <v/>
      </c>
      <c r="J73" s="98">
        <f t="array" ref="J73">IFERROR(_xlfn.XLOOKUP($A73&amp;"|"&amp;$C73,Asset_Operations!$A$2:$A$201&amp;"|"&amp;Asset_Operations!$BG$2:$BG$201,Asset_Operations!$S$2:$S$201,""),"")</f>
        <v/>
      </c>
      <c r="K73" s="98">
        <f t="array" ref="K73">IFERROR(_xlfn.XLOOKUP($A73&amp;"|"&amp;$C73,Asset_Operations!$A$2:$A$201&amp;"|"&amp;Asset_Operations!$BG$2:$BG$201,Asset_Operations!$AC$2:$AC$201,""),"")</f>
        <v/>
      </c>
      <c r="L73" s="98">
        <f t="array" ref="L73">IFERROR(_xlfn.XLOOKUP($A73&amp;"|"&amp;$C73,Asset_Operations!$A$2:$A$201&amp;"|"&amp;Asset_Operations!$BG$2:$BG$201,Asset_Operations!$AG$2:$AG$201,""),"")</f>
        <v/>
      </c>
      <c r="M73" s="98">
        <f t="array" ref="M73">IFERROR(_xlfn.XLOOKUP($A73&amp;"|"&amp;$C73,Asset_Operations!$A$2:$A$201&amp;"|"&amp;Asset_Operations!$BG$2:$BG$201,Asset_Operations!$AO$2:$AO$201,""),"")</f>
        <v/>
      </c>
      <c r="N73" s="99">
        <f t="array" ref="N73">IFERROR(_xlfn.XLOOKUP($A73&amp;"|"&amp;$C73,Asset_Operations!$A$2:$A$201&amp;"|"&amp;Asset_Operations!$BG$2:$BG$201,Asset_Operations!$AR$2:$AR$201,""),"")</f>
        <v/>
      </c>
      <c r="O73" s="100">
        <f t="array" ref="O73">IFERROR(_xlfn.XLOOKUP($A73&amp;"|"&amp;$C73,Financials!$A$2:$A$201&amp;"|"&amp;Financials!$B$2:$B$201,Financials!$C$2:$C$201,""),"")</f>
        <v/>
      </c>
      <c r="P73" s="100">
        <f t="array" ref="P73">IFERROR(_xlfn.XLOOKUP($A73&amp;"|"&amp;$C73,Financials!$A$2:$A$201&amp;"|"&amp;Financials!$B$2:$B$201,Financials!$E$2:$E$201,""),"")</f>
        <v/>
      </c>
      <c r="Q73" s="100">
        <f t="array" ref="Q73">IFERROR(_xlfn.XLOOKUP($A73&amp;"|"&amp;$C73,Financials!$A$2:$A$201&amp;"|"&amp;Financials!$B$2:$B$201,Financials!$G$2:$G$201,""),"")</f>
        <v/>
      </c>
      <c r="R73" s="100">
        <f t="array" ref="R73">IFERROR(_xlfn.XLOOKUP($A73&amp;"|"&amp;$C73,Financials!$A$2:$A$201&amp;"|"&amp;Financials!$B$2:$B$201,Financials!$S$2:$S$201,""),"")</f>
        <v/>
      </c>
      <c r="S73" s="100">
        <f t="array" ref="S73">IFERROR(_xlfn.XLOOKUP($A73&amp;"|"&amp;$C73,Financials!$A$2:$A$201&amp;"|"&amp;Financials!$B$2:$B$201,Financials!$AC$2:$AC$201,""),"")</f>
        <v/>
      </c>
      <c r="T73" s="101">
        <f>IFERROR(P73/O73,"")</f>
        <v/>
      </c>
      <c r="U73" s="24">
        <f>IFERROR(R73/P73,"")</f>
        <v/>
      </c>
      <c r="V73" s="102">
        <f>IFERROR(O73/E73,"")</f>
        <v/>
      </c>
      <c r="W73" s="24">
        <f>IFERROR(L73/F73,"")</f>
        <v/>
      </c>
      <c r="X73" s="26">
        <f>IFERROR(IF(NOT(ISNUMBER($E73)),"",IF($E73&gt;=Scoring_Criteria!$D$4,5,IF($E73&gt;=Scoring_Criteria!$E$4,4,IF($E73&gt;=Scoring_Criteria!$F$4,3,IF($E73&gt;=Scoring_Criteria!$G$4,2,1))))),"")</f>
        <v/>
      </c>
      <c r="Y73" s="26">
        <f>IFERROR(IF(OR(NOT(ISNUMBER($F73)),NOT(ISNUMBER($E73)),$E73=0),"",IF(($F73/$E73)&gt;=Scoring_Criteria!$D$5,5,IF(($F73/$E73)&gt;=Scoring_Criteria!$E$5,4,IF(($F73/$E73)&gt;=Scoring_Criteria!$F$5,3,IF(($F73/$E73)&gt;=Scoring_Criteria!$G$5,2,1))))),"")</f>
        <v/>
      </c>
      <c r="Z73" s="26">
        <f>IFERROR(IF(AND(NOT(ISNUMBER($I73)),NOT(ISNUMBER($J73))),"",IF((IFERROR($I73,0)+IFERROR($J73,0))&gt;=Scoring_Criteria!$D$6,5,IF((IFERROR($I73,0)+IFERROR($J73,0))&gt;=Scoring_Criteria!$E$6,4,IF((IFERROR($I73,0)+IFERROR($J73,0))&gt;=Scoring_Criteria!$F$6,3,IF((IFERROR($I73,0)+IFERROR($J73,0))&gt;=Scoring_Criteria!$G$6,2,1))))),"")</f>
        <v/>
      </c>
      <c r="AA73" s="26">
        <f>IFERROR(IF(NOT(ISNUMBER($M73)),"",IF($M73&gt;=Scoring_Criteria!$D$7,5,IF($M73&gt;=Scoring_Criteria!$E$7,4,IF($M73&gt;=Scoring_Criteria!$F$7,3,IF($M73&gt;=Scoring_Criteria!$G$7,2,1))))),"")</f>
        <v/>
      </c>
      <c r="AB73" s="26">
        <f>IFERROR(IF(NOT(ISNUMBER($T73)),"",IF($T73&gt;=Scoring_Criteria!$D$8,5,IF($T73&gt;=Scoring_Criteria!$E$8,4,IF($T73&gt;=Scoring_Criteria!$F$8,3,IF($T73&gt;=Scoring_Criteria!$G$8,2,1))))),"")</f>
        <v/>
      </c>
      <c r="AC73" s="26">
        <f>IFERROR(IF(NOT(ISNUMBER($U73)),"",IF($U73&lt;=Scoring_Criteria!$D$9,5,IF($U73&lt;=Scoring_Criteria!$E$9,4,IF($U73&lt;=Scoring_Criteria!$F$9,3,IF($U73&lt;=Scoring_Criteria!$G$9,2,1))))),"")</f>
        <v/>
      </c>
      <c r="AD73" s="26">
        <f t="array" ref="AD73">IFERROR(IF(NOT(ISNUMBER(_xlfn.XLOOKUP($A73&amp;"|"&amp;$C73,Financials!$A$2:$A$201&amp;"|"&amp;Financials!$B$2:$B$201,Financials!$AD$2:$AD$201,""))),"",IF(_xlfn.XLOOKUP($A73&amp;"|"&amp;$C73,Financials!$A$2:$A$201&amp;"|"&amp;Financials!$B$2:$B$201,Financials!$AD$2:$AD$201,"")&gt;=Scoring_Criteria!$D$10,5,IF(_xlfn.XLOOKUP($A73&amp;"|"&amp;$C73,Financials!$A$2:$A$201&amp;"|"&amp;Financials!$B$2:$B$201,Financials!$AD$2:$AD$201,"")&gt;=Scoring_Criteria!$E$10,4,IF(_xlfn.XLOOKUP($A73&amp;"|"&amp;$C73,Financials!$A$2:$A$201&amp;"|"&amp;Financials!$B$2:$B$201,Financials!$AD$2:$AD$201,"")&gt;=Scoring_Criteria!$F$10,3,IF(_xlfn.XLOOKUP($A73&amp;"|"&amp;$C73,Financials!$A$2:$A$201&amp;"|"&amp;Financials!$B$2:$B$201,Financials!$AD$2:$AD$201,"")&gt;=Scoring_Criteria!$G$10,2,1))))),"")</f>
        <v/>
      </c>
      <c r="AE73" s="27" t="n"/>
      <c r="AF73" s="27" t="n"/>
      <c r="AG73" s="28">
        <f>IFERROR(IF(COUNTA(X73:AF73)=0,"",AVERAGE(X73:AF73)),"")</f>
        <v/>
      </c>
      <c r="AH73" s="29" t="n"/>
      <c r="AI73" s="29" t="n"/>
      <c r="AJ73" s="29" t="n"/>
      <c r="AK73" s="29" t="n"/>
      <c r="AL73" s="29" t="n"/>
      <c r="AM73" s="29" t="n"/>
      <c r="AN73" s="29" t="n"/>
      <c r="AO73" s="29" t="n"/>
      <c r="AP73" s="29" t="n"/>
      <c r="AQ73" s="29" t="n"/>
      <c r="AR73" s="29" t="n"/>
      <c r="AS73" s="29" t="n"/>
      <c r="AT73" s="29" t="n"/>
      <c r="AU73">
        <f>IFERROR(Validation_Summary!Q5,"")</f>
        <v/>
      </c>
    </row>
    <row r="74" ht="15" customHeight="1" s="67">
      <c r="A74" s="6" t="inlineStr">
        <is>
          <t>PT Salim Ivomas Pratama Tbk</t>
        </is>
      </c>
      <c r="B74" s="19">
        <f t="array" ref="B74">IFERROR(_xlfn.XLOOKUP($A74&amp;"|"&amp;$C74,'Company_Master'!$A$2:$A$94&amp;"|"&amp;'Company_Master'!$D$2:$D$94,'Company_Master'!$B$2:$B$94,""),"")</f>
        <v/>
      </c>
      <c r="C74" s="98" t="n">
        <v>2022</v>
      </c>
      <c r="D74" s="19">
        <f t="array" ref="D74">IFERROR(_xlfn.XLOOKUP($A74&amp;"|"&amp;$C74,'Company_Master'!$A$2:$A$94&amp;"|"&amp;'Company_Master'!$D$2:$D$94,'Company_Master'!$H$2:$H$94,""),"")</f>
        <v/>
      </c>
      <c r="E74" s="98">
        <f t="array" ref="E74">IFERROR(_xlfn.XLOOKUP($A74&amp;"|"&amp;$C74,Asset_Operations!$A$2:$A$201&amp;"|"&amp;Asset_Operations!$BG$2:$BG$201,Asset_Operations!$B$2:$B$201,""),"")</f>
        <v/>
      </c>
      <c r="F74" s="98">
        <f t="array" ref="F74">IFERROR(_xlfn.XLOOKUP($A74&amp;"|"&amp;$C74,Asset_Operations!$A$2:$A$201&amp;"|"&amp;Asset_Operations!$BG$2:$BG$201,Asset_Operations!$E$2:$E$201,""),"")</f>
        <v/>
      </c>
      <c r="G74" s="98">
        <f t="array" ref="G74">IFERROR(_xlfn.XLOOKUP($A74&amp;"|"&amp;$C74,Asset_Operations!$A$2:$A$201&amp;"|"&amp;Asset_Operations!$BG$2:$BG$201,Asset_Operations!$I$2:$I$201,""),"")</f>
        <v/>
      </c>
      <c r="H74" s="98">
        <f t="array" ref="H74">IFERROR(_xlfn.XLOOKUP($A74&amp;"|"&amp;$C74,Asset_Operations!$A$2:$A$201&amp;"|"&amp;Asset_Operations!$BG$2:$BG$201,Asset_Operations!$J$2:$J$201,""),"")</f>
        <v/>
      </c>
      <c r="I74" s="98">
        <f t="array" ref="I74">IFERROR(_xlfn.XLOOKUP($A74&amp;"|"&amp;$C74,Asset_Operations!$A$2:$A$201&amp;"|"&amp;Asset_Operations!$BG$2:$BG$201,Asset_Operations!$O$2:$O$201,""),"")</f>
        <v/>
      </c>
      <c r="J74" s="98">
        <f t="array" ref="J74">IFERROR(_xlfn.XLOOKUP($A74&amp;"|"&amp;$C74,Asset_Operations!$A$2:$A$201&amp;"|"&amp;Asset_Operations!$BG$2:$BG$201,Asset_Operations!$S$2:$S$201,""),"")</f>
        <v/>
      </c>
      <c r="K74" s="98">
        <f t="array" ref="K74">IFERROR(_xlfn.XLOOKUP($A74&amp;"|"&amp;$C74,Asset_Operations!$A$2:$A$201&amp;"|"&amp;Asset_Operations!$BG$2:$BG$201,Asset_Operations!$AC$2:$AC$201,""),"")</f>
        <v/>
      </c>
      <c r="L74" s="98">
        <f t="array" ref="L74">IFERROR(_xlfn.XLOOKUP($A74&amp;"|"&amp;$C74,Asset_Operations!$A$2:$A$201&amp;"|"&amp;Asset_Operations!$BG$2:$BG$201,Asset_Operations!$AG$2:$AG$201,""),"")</f>
        <v/>
      </c>
      <c r="M74" s="98">
        <f t="array" ref="M74">IFERROR(_xlfn.XLOOKUP($A74&amp;"|"&amp;$C74,Asset_Operations!$A$2:$A$201&amp;"|"&amp;Asset_Operations!$BG$2:$BG$201,Asset_Operations!$AO$2:$AO$201,""),"")</f>
        <v/>
      </c>
      <c r="N74" s="99">
        <f t="array" ref="N74">IFERROR(_xlfn.XLOOKUP($A74&amp;"|"&amp;$C74,Asset_Operations!$A$2:$A$201&amp;"|"&amp;Asset_Operations!$BG$2:$BG$201,Asset_Operations!$AR$2:$AR$201,""),"")</f>
        <v/>
      </c>
      <c r="O74" s="100">
        <f t="array" ref="O74">IFERROR(_xlfn.XLOOKUP($A74&amp;"|"&amp;$C74,Financials!$A$2:$A$201&amp;"|"&amp;Financials!$B$2:$B$201,Financials!$C$2:$C$201,""),"")</f>
        <v/>
      </c>
      <c r="P74" s="100">
        <f t="array" ref="P74">IFERROR(_xlfn.XLOOKUP($A74&amp;"|"&amp;$C74,Financials!$A$2:$A$201&amp;"|"&amp;Financials!$B$2:$B$201,Financials!$E$2:$E$201,""),"")</f>
        <v/>
      </c>
      <c r="Q74" s="100">
        <f t="array" ref="Q74">IFERROR(_xlfn.XLOOKUP($A74&amp;"|"&amp;$C74,Financials!$A$2:$A$201&amp;"|"&amp;Financials!$B$2:$B$201,Financials!$G$2:$G$201,""),"")</f>
        <v/>
      </c>
      <c r="R74" s="100">
        <f t="array" ref="R74">IFERROR(_xlfn.XLOOKUP($A74&amp;"|"&amp;$C74,Financials!$A$2:$A$201&amp;"|"&amp;Financials!$B$2:$B$201,Financials!$S$2:$S$201,""),"")</f>
        <v/>
      </c>
      <c r="S74" s="100">
        <f t="array" ref="S74">IFERROR(_xlfn.XLOOKUP($A74&amp;"|"&amp;$C74,Financials!$A$2:$A$201&amp;"|"&amp;Financials!$B$2:$B$201,Financials!$AC$2:$AC$201,""),"")</f>
        <v/>
      </c>
      <c r="T74" s="101">
        <f>IFERROR(P74/O74,"")</f>
        <v/>
      </c>
      <c r="U74" s="24">
        <f>IFERROR(R74/P74,"")</f>
        <v/>
      </c>
      <c r="V74" s="102">
        <f>IFERROR(O74/E74,"")</f>
        <v/>
      </c>
      <c r="W74" s="24">
        <f>IFERROR(L74/F74,"")</f>
        <v/>
      </c>
      <c r="X74" s="26">
        <f>IFERROR(IF(NOT(ISNUMBER($E74)),"",IF($E74&gt;=Scoring_Criteria!$D$4,5,IF($E74&gt;=Scoring_Criteria!$E$4,4,IF($E74&gt;=Scoring_Criteria!$F$4,3,IF($E74&gt;=Scoring_Criteria!$G$4,2,1))))),"")</f>
        <v/>
      </c>
      <c r="Y74" s="26">
        <f>IFERROR(IF(OR(NOT(ISNUMBER($F74)),NOT(ISNUMBER($E74)),$E74=0),"",IF(($F74/$E74)&gt;=Scoring_Criteria!$D$5,5,IF(($F74/$E74)&gt;=Scoring_Criteria!$E$5,4,IF(($F74/$E74)&gt;=Scoring_Criteria!$F$5,3,IF(($F74/$E74)&gt;=Scoring_Criteria!$G$5,2,1))))),"")</f>
        <v/>
      </c>
      <c r="Z74" s="26">
        <f>IFERROR(IF(AND(NOT(ISNUMBER($I74)),NOT(ISNUMBER($J74))),"",IF((IFERROR($I74,0)+IFERROR($J74,0))&gt;=Scoring_Criteria!$D$6,5,IF((IFERROR($I74,0)+IFERROR($J74,0))&gt;=Scoring_Criteria!$E$6,4,IF((IFERROR($I74,0)+IFERROR($J74,0))&gt;=Scoring_Criteria!$F$6,3,IF((IFERROR($I74,0)+IFERROR($J74,0))&gt;=Scoring_Criteria!$G$6,2,1))))),"")</f>
        <v/>
      </c>
      <c r="AA74" s="26">
        <f>IFERROR(IF(NOT(ISNUMBER($M74)),"",IF($M74&gt;=Scoring_Criteria!$D$7,5,IF($M74&gt;=Scoring_Criteria!$E$7,4,IF($M74&gt;=Scoring_Criteria!$F$7,3,IF($M74&gt;=Scoring_Criteria!$G$7,2,1))))),"")</f>
        <v/>
      </c>
      <c r="AB74" s="26">
        <f>IFERROR(IF(NOT(ISNUMBER($T74)),"",IF($T74&gt;=Scoring_Criteria!$D$8,5,IF($T74&gt;=Scoring_Criteria!$E$8,4,IF($T74&gt;=Scoring_Criteria!$F$8,3,IF($T74&gt;=Scoring_Criteria!$G$8,2,1))))),"")</f>
        <v/>
      </c>
      <c r="AC74" s="26">
        <f>IFERROR(IF(NOT(ISNUMBER($U74)),"",IF($U74&lt;=Scoring_Criteria!$D$9,5,IF($U74&lt;=Scoring_Criteria!$E$9,4,IF($U74&lt;=Scoring_Criteria!$F$9,3,IF($U74&lt;=Scoring_Criteria!$G$9,2,1))))),"")</f>
        <v/>
      </c>
      <c r="AD74" s="26">
        <f t="array" ref="AD74">IFERROR(IF(NOT(ISNUMBER(_xlfn.XLOOKUP($A74&amp;"|"&amp;$C74,Financials!$A$2:$A$201&amp;"|"&amp;Financials!$B$2:$B$201,Financials!$AD$2:$AD$201,""))),"",IF(_xlfn.XLOOKUP($A74&amp;"|"&amp;$C74,Financials!$A$2:$A$201&amp;"|"&amp;Financials!$B$2:$B$201,Financials!$AD$2:$AD$201,"")&gt;=Scoring_Criteria!$D$10,5,IF(_xlfn.XLOOKUP($A74&amp;"|"&amp;$C74,Financials!$A$2:$A$201&amp;"|"&amp;Financials!$B$2:$B$201,Financials!$AD$2:$AD$201,"")&gt;=Scoring_Criteria!$E$10,4,IF(_xlfn.XLOOKUP($A74&amp;"|"&amp;$C74,Financials!$A$2:$A$201&amp;"|"&amp;Financials!$B$2:$B$201,Financials!$AD$2:$AD$201,"")&gt;=Scoring_Criteria!$F$10,3,IF(_xlfn.XLOOKUP($A74&amp;"|"&amp;$C74,Financials!$A$2:$A$201&amp;"|"&amp;Financials!$B$2:$B$201,Financials!$AD$2:$AD$201,"")&gt;=Scoring_Criteria!$G$10,2,1))))),"")</f>
        <v/>
      </c>
      <c r="AE74" s="27" t="n"/>
      <c r="AF74" s="27" t="n"/>
      <c r="AG74" s="28">
        <f>IFERROR(IF(COUNTA(X74:AF74)=0,"",AVERAGE(X74:AF74)),"")</f>
        <v/>
      </c>
      <c r="AH74" s="29" t="n"/>
      <c r="AI74" s="29" t="n"/>
      <c r="AJ74" s="29" t="n"/>
      <c r="AK74" s="29" t="n"/>
      <c r="AL74" s="29" t="n"/>
      <c r="AM74" s="29" t="n"/>
      <c r="AN74" s="29" t="n"/>
      <c r="AO74" s="29" t="n"/>
      <c r="AP74" s="29" t="n"/>
      <c r="AQ74" s="29" t="n"/>
      <c r="AR74" s="29" t="n"/>
      <c r="AS74" s="29" t="n"/>
      <c r="AT74" s="29" t="n"/>
      <c r="AU74">
        <f>IFERROR(Validation_Summary!Q5,"")</f>
        <v/>
      </c>
    </row>
    <row r="75" ht="15" customHeight="1" s="67">
      <c r="A75" s="6" t="inlineStr">
        <is>
          <t>PT Salim Ivomas Pratama Tbk</t>
        </is>
      </c>
      <c r="B75" s="19">
        <f t="array" ref="B75">IFERROR(_xlfn.XLOOKUP($A75&amp;"|"&amp;$C75,'Company_Master'!$A$2:$A$94&amp;"|"&amp;'Company_Master'!$D$2:$D$94,'Company_Master'!$B$2:$B$94,""),"")</f>
        <v/>
      </c>
      <c r="C75" s="98" t="n">
        <v>2023</v>
      </c>
      <c r="D75" s="19">
        <f t="array" ref="D75">IFERROR(_xlfn.XLOOKUP($A75&amp;"|"&amp;$C75,'Company_Master'!$A$2:$A$94&amp;"|"&amp;'Company_Master'!$D$2:$D$94,'Company_Master'!$H$2:$H$94,""),"")</f>
        <v/>
      </c>
      <c r="E75" s="98">
        <f t="array" ref="E75">IFERROR(_xlfn.XLOOKUP($A75&amp;"|"&amp;$C75,Asset_Operations!$A$2:$A$201&amp;"|"&amp;Asset_Operations!$BG$2:$BG$201,Asset_Operations!$B$2:$B$201,""),"")</f>
        <v/>
      </c>
      <c r="F75" s="98">
        <f t="array" ref="F75">IFERROR(_xlfn.XLOOKUP($A75&amp;"|"&amp;$C75,Asset_Operations!$A$2:$A$201&amp;"|"&amp;Asset_Operations!$BG$2:$BG$201,Asset_Operations!$E$2:$E$201,""),"")</f>
        <v/>
      </c>
      <c r="G75" s="98">
        <f t="array" ref="G75">IFERROR(_xlfn.XLOOKUP($A75&amp;"|"&amp;$C75,Asset_Operations!$A$2:$A$201&amp;"|"&amp;Asset_Operations!$BG$2:$BG$201,Asset_Operations!$I$2:$I$201,""),"")</f>
        <v/>
      </c>
      <c r="H75" s="98">
        <f t="array" ref="H75">IFERROR(_xlfn.XLOOKUP($A75&amp;"|"&amp;$C75,Asset_Operations!$A$2:$A$201&amp;"|"&amp;Asset_Operations!$BG$2:$BG$201,Asset_Operations!$J$2:$J$201,""),"")</f>
        <v/>
      </c>
      <c r="I75" s="98">
        <f t="array" ref="I75">IFERROR(_xlfn.XLOOKUP($A75&amp;"|"&amp;$C75,Asset_Operations!$A$2:$A$201&amp;"|"&amp;Asset_Operations!$BG$2:$BG$201,Asset_Operations!$O$2:$O$201,""),"")</f>
        <v/>
      </c>
      <c r="J75" s="98">
        <f t="array" ref="J75">IFERROR(_xlfn.XLOOKUP($A75&amp;"|"&amp;$C75,Asset_Operations!$A$2:$A$201&amp;"|"&amp;Asset_Operations!$BG$2:$BG$201,Asset_Operations!$S$2:$S$201,""),"")</f>
        <v/>
      </c>
      <c r="K75" s="98">
        <f t="array" ref="K75">IFERROR(_xlfn.XLOOKUP($A75&amp;"|"&amp;$C75,Asset_Operations!$A$2:$A$201&amp;"|"&amp;Asset_Operations!$BG$2:$BG$201,Asset_Operations!$AC$2:$AC$201,""),"")</f>
        <v/>
      </c>
      <c r="L75" s="98">
        <f t="array" ref="L75">IFERROR(_xlfn.XLOOKUP($A75&amp;"|"&amp;$C75,Asset_Operations!$A$2:$A$201&amp;"|"&amp;Asset_Operations!$BG$2:$BG$201,Asset_Operations!$AG$2:$AG$201,""),"")</f>
        <v/>
      </c>
      <c r="M75" s="98">
        <f t="array" ref="M75">IFERROR(_xlfn.XLOOKUP($A75&amp;"|"&amp;$C75,Asset_Operations!$A$2:$A$201&amp;"|"&amp;Asset_Operations!$BG$2:$BG$201,Asset_Operations!$AO$2:$AO$201,""),"")</f>
        <v/>
      </c>
      <c r="N75" s="99">
        <f t="array" ref="N75">IFERROR(_xlfn.XLOOKUP($A75&amp;"|"&amp;$C75,Asset_Operations!$A$2:$A$201&amp;"|"&amp;Asset_Operations!$BG$2:$BG$201,Asset_Operations!$AR$2:$AR$201,""),"")</f>
        <v/>
      </c>
      <c r="O75" s="100">
        <f t="array" ref="O75">IFERROR(_xlfn.XLOOKUP($A75&amp;"|"&amp;$C75,Financials!$A$2:$A$201&amp;"|"&amp;Financials!$B$2:$B$201,Financials!$C$2:$C$201,""),"")</f>
        <v/>
      </c>
      <c r="P75" s="100">
        <f t="array" ref="P75">IFERROR(_xlfn.XLOOKUP($A75&amp;"|"&amp;$C75,Financials!$A$2:$A$201&amp;"|"&amp;Financials!$B$2:$B$201,Financials!$E$2:$E$201,""),"")</f>
        <v/>
      </c>
      <c r="Q75" s="100">
        <f t="array" ref="Q75">IFERROR(_xlfn.XLOOKUP($A75&amp;"|"&amp;$C75,Financials!$A$2:$A$201&amp;"|"&amp;Financials!$B$2:$B$201,Financials!$G$2:$G$201,""),"")</f>
        <v/>
      </c>
      <c r="R75" s="100">
        <f t="array" ref="R75">IFERROR(_xlfn.XLOOKUP($A75&amp;"|"&amp;$C75,Financials!$A$2:$A$201&amp;"|"&amp;Financials!$B$2:$B$201,Financials!$S$2:$S$201,""),"")</f>
        <v/>
      </c>
      <c r="S75" s="100">
        <f t="array" ref="S75">IFERROR(_xlfn.XLOOKUP($A75&amp;"|"&amp;$C75,Financials!$A$2:$A$201&amp;"|"&amp;Financials!$B$2:$B$201,Financials!$AC$2:$AC$201,""),"")</f>
        <v/>
      </c>
      <c r="T75" s="101">
        <f>IFERROR(P75/O75,"")</f>
        <v/>
      </c>
      <c r="U75" s="24">
        <f>IFERROR(R75/P75,"")</f>
        <v/>
      </c>
      <c r="V75" s="102">
        <f>IFERROR(O75/E75,"")</f>
        <v/>
      </c>
      <c r="W75" s="24">
        <f>IFERROR(L75/F75,"")</f>
        <v/>
      </c>
      <c r="X75" s="26">
        <f>IFERROR(IF(NOT(ISNUMBER($E75)),"",IF($E75&gt;=Scoring_Criteria!$D$4,5,IF($E75&gt;=Scoring_Criteria!$E$4,4,IF($E75&gt;=Scoring_Criteria!$F$4,3,IF($E75&gt;=Scoring_Criteria!$G$4,2,1))))),"")</f>
        <v/>
      </c>
      <c r="Y75" s="26">
        <f>IFERROR(IF(OR(NOT(ISNUMBER($F75)),NOT(ISNUMBER($E75)),$E75=0),"",IF(($F75/$E75)&gt;=Scoring_Criteria!$D$5,5,IF(($F75/$E75)&gt;=Scoring_Criteria!$E$5,4,IF(($F75/$E75)&gt;=Scoring_Criteria!$F$5,3,IF(($F75/$E75)&gt;=Scoring_Criteria!$G$5,2,1))))),"")</f>
        <v/>
      </c>
      <c r="Z75" s="26">
        <f>IFERROR(IF(AND(NOT(ISNUMBER($I75)),NOT(ISNUMBER($J75))),"",IF((IFERROR($I75,0)+IFERROR($J75,0))&gt;=Scoring_Criteria!$D$6,5,IF((IFERROR($I75,0)+IFERROR($J75,0))&gt;=Scoring_Criteria!$E$6,4,IF((IFERROR($I75,0)+IFERROR($J75,0))&gt;=Scoring_Criteria!$F$6,3,IF((IFERROR($I75,0)+IFERROR($J75,0))&gt;=Scoring_Criteria!$G$6,2,1))))),"")</f>
        <v/>
      </c>
      <c r="AA75" s="26">
        <f>IFERROR(IF(NOT(ISNUMBER($M75)),"",IF($M75&gt;=Scoring_Criteria!$D$7,5,IF($M75&gt;=Scoring_Criteria!$E$7,4,IF($M75&gt;=Scoring_Criteria!$F$7,3,IF($M75&gt;=Scoring_Criteria!$G$7,2,1))))),"")</f>
        <v/>
      </c>
      <c r="AB75" s="26">
        <f>IFERROR(IF(NOT(ISNUMBER($T75)),"",IF($T75&gt;=Scoring_Criteria!$D$8,5,IF($T75&gt;=Scoring_Criteria!$E$8,4,IF($T75&gt;=Scoring_Criteria!$F$8,3,IF($T75&gt;=Scoring_Criteria!$G$8,2,1))))),"")</f>
        <v/>
      </c>
      <c r="AC75" s="26">
        <f>IFERROR(IF(NOT(ISNUMBER($U75)),"",IF($U75&lt;=Scoring_Criteria!$D$9,5,IF($U75&lt;=Scoring_Criteria!$E$9,4,IF($U75&lt;=Scoring_Criteria!$F$9,3,IF($U75&lt;=Scoring_Criteria!$G$9,2,1))))),"")</f>
        <v/>
      </c>
      <c r="AD75" s="26">
        <f t="array" ref="AD75">IFERROR(IF(NOT(ISNUMBER(_xlfn.XLOOKUP($A75&amp;"|"&amp;$C75,Financials!$A$2:$A$201&amp;"|"&amp;Financials!$B$2:$B$201,Financials!$AD$2:$AD$201,""))),"",IF(_xlfn.XLOOKUP($A75&amp;"|"&amp;$C75,Financials!$A$2:$A$201&amp;"|"&amp;Financials!$B$2:$B$201,Financials!$AD$2:$AD$201,"")&gt;=Scoring_Criteria!$D$10,5,IF(_xlfn.XLOOKUP($A75&amp;"|"&amp;$C75,Financials!$A$2:$A$201&amp;"|"&amp;Financials!$B$2:$B$201,Financials!$AD$2:$AD$201,"")&gt;=Scoring_Criteria!$E$10,4,IF(_xlfn.XLOOKUP($A75&amp;"|"&amp;$C75,Financials!$A$2:$A$201&amp;"|"&amp;Financials!$B$2:$B$201,Financials!$AD$2:$AD$201,"")&gt;=Scoring_Criteria!$F$10,3,IF(_xlfn.XLOOKUP($A75&amp;"|"&amp;$C75,Financials!$A$2:$A$201&amp;"|"&amp;Financials!$B$2:$B$201,Financials!$AD$2:$AD$201,"")&gt;=Scoring_Criteria!$G$10,2,1))))),"")</f>
        <v/>
      </c>
      <c r="AE75" s="27" t="n"/>
      <c r="AF75" s="27" t="n"/>
      <c r="AG75" s="28">
        <f>IFERROR(IF(COUNTA(X75:AF75)=0,"",AVERAGE(X75:AF75)),"")</f>
        <v/>
      </c>
      <c r="AH75" s="29" t="n"/>
      <c r="AI75" s="29" t="n"/>
      <c r="AJ75" s="29" t="n"/>
      <c r="AK75" s="29" t="n"/>
      <c r="AL75" s="29" t="n"/>
      <c r="AM75" s="29" t="n"/>
      <c r="AN75" s="29" t="n"/>
      <c r="AO75" s="29" t="n"/>
      <c r="AP75" s="29" t="n"/>
      <c r="AQ75" s="29" t="n"/>
      <c r="AR75" s="29" t="n"/>
      <c r="AS75" s="29" t="n"/>
      <c r="AT75" s="29" t="n"/>
      <c r="AU75">
        <f>IFERROR(Validation_Summary!Q5,"")</f>
        <v/>
      </c>
    </row>
    <row r="76" ht="15" customHeight="1" s="67">
      <c r="A76" s="6" t="inlineStr">
        <is>
          <t>PT Salim Ivomas Pratama Tbk</t>
        </is>
      </c>
      <c r="B76" s="19">
        <f t="array" ref="B76">IFERROR(_xlfn.XLOOKUP($A76&amp;"|"&amp;$C76,'Company_Master'!$A$2:$A$94&amp;"|"&amp;'Company_Master'!$D$2:$D$94,'Company_Master'!$B$2:$B$94,""),"")</f>
        <v/>
      </c>
      <c r="C76" s="98" t="n">
        <v>2024</v>
      </c>
      <c r="D76" s="19">
        <f t="array" ref="D76">IFERROR(_xlfn.XLOOKUP($A76&amp;"|"&amp;$C76,'Company_Master'!$A$2:$A$94&amp;"|"&amp;'Company_Master'!$D$2:$D$94,'Company_Master'!$H$2:$H$94,""),"")</f>
        <v/>
      </c>
      <c r="E76" s="98">
        <f t="array" ref="E76">IFERROR(_xlfn.XLOOKUP($A76&amp;"|"&amp;$C76,Asset_Operations!$A$2:$A$201&amp;"|"&amp;Asset_Operations!$BG$2:$BG$201,Asset_Operations!$B$2:$B$201,""),"")</f>
        <v/>
      </c>
      <c r="F76" s="98">
        <f t="array" ref="F76">IFERROR(_xlfn.XLOOKUP($A76&amp;"|"&amp;$C76,Asset_Operations!$A$2:$A$201&amp;"|"&amp;Asset_Operations!$BG$2:$BG$201,Asset_Operations!$E$2:$E$201,""),"")</f>
        <v/>
      </c>
      <c r="G76" s="98">
        <f t="array" ref="G76">IFERROR(_xlfn.XLOOKUP($A76&amp;"|"&amp;$C76,Asset_Operations!$A$2:$A$201&amp;"|"&amp;Asset_Operations!$BG$2:$BG$201,Asset_Operations!$I$2:$I$201,""),"")</f>
        <v/>
      </c>
      <c r="H76" s="98">
        <f t="array" ref="H76">IFERROR(_xlfn.XLOOKUP($A76&amp;"|"&amp;$C76,Asset_Operations!$A$2:$A$201&amp;"|"&amp;Asset_Operations!$BG$2:$BG$201,Asset_Operations!$J$2:$J$201,""),"")</f>
        <v/>
      </c>
      <c r="I76" s="98">
        <f t="array" ref="I76">IFERROR(_xlfn.XLOOKUP($A76&amp;"|"&amp;$C76,Asset_Operations!$A$2:$A$201&amp;"|"&amp;Asset_Operations!$BG$2:$BG$201,Asset_Operations!$O$2:$O$201,""),"")</f>
        <v/>
      </c>
      <c r="J76" s="98">
        <f t="array" ref="J76">IFERROR(_xlfn.XLOOKUP($A76&amp;"|"&amp;$C76,Asset_Operations!$A$2:$A$201&amp;"|"&amp;Asset_Operations!$BG$2:$BG$201,Asset_Operations!$S$2:$S$201,""),"")</f>
        <v/>
      </c>
      <c r="K76" s="98">
        <f t="array" ref="K76">IFERROR(_xlfn.XLOOKUP($A76&amp;"|"&amp;$C76,Asset_Operations!$A$2:$A$201&amp;"|"&amp;Asset_Operations!$BG$2:$BG$201,Asset_Operations!$AC$2:$AC$201,""),"")</f>
        <v/>
      </c>
      <c r="L76" s="98">
        <f t="array" ref="L76">IFERROR(_xlfn.XLOOKUP($A76&amp;"|"&amp;$C76,Asset_Operations!$A$2:$A$201&amp;"|"&amp;Asset_Operations!$BG$2:$BG$201,Asset_Operations!$AG$2:$AG$201,""),"")</f>
        <v/>
      </c>
      <c r="M76" s="98">
        <f t="array" ref="M76">IFERROR(_xlfn.XLOOKUP($A76&amp;"|"&amp;$C76,Asset_Operations!$A$2:$A$201&amp;"|"&amp;Asset_Operations!$BG$2:$BG$201,Asset_Operations!$AO$2:$AO$201,""),"")</f>
        <v/>
      </c>
      <c r="N76" s="99">
        <f t="array" ref="N76">IFERROR(_xlfn.XLOOKUP($A76&amp;"|"&amp;$C76,Asset_Operations!$A$2:$A$201&amp;"|"&amp;Asset_Operations!$BG$2:$BG$201,Asset_Operations!$AR$2:$AR$201,""),"")</f>
        <v/>
      </c>
      <c r="O76" s="100">
        <f t="array" ref="O76">IFERROR(_xlfn.XLOOKUP($A76&amp;"|"&amp;$C76,Financials!$A$2:$A$201&amp;"|"&amp;Financials!$B$2:$B$201,Financials!$C$2:$C$201,""),"")</f>
        <v/>
      </c>
      <c r="P76" s="100">
        <f t="array" ref="P76">IFERROR(_xlfn.XLOOKUP($A76&amp;"|"&amp;$C76,Financials!$A$2:$A$201&amp;"|"&amp;Financials!$B$2:$B$201,Financials!$E$2:$E$201,""),"")</f>
        <v/>
      </c>
      <c r="Q76" s="100">
        <f t="array" ref="Q76">IFERROR(_xlfn.XLOOKUP($A76&amp;"|"&amp;$C76,Financials!$A$2:$A$201&amp;"|"&amp;Financials!$B$2:$B$201,Financials!$G$2:$G$201,""),"")</f>
        <v/>
      </c>
      <c r="R76" s="100">
        <f t="array" ref="R76">IFERROR(_xlfn.XLOOKUP($A76&amp;"|"&amp;$C76,Financials!$A$2:$A$201&amp;"|"&amp;Financials!$B$2:$B$201,Financials!$S$2:$S$201,""),"")</f>
        <v/>
      </c>
      <c r="S76" s="100">
        <f t="array" ref="S76">IFERROR(_xlfn.XLOOKUP($A76&amp;"|"&amp;$C76,Financials!$A$2:$A$201&amp;"|"&amp;Financials!$B$2:$B$201,Financials!$AC$2:$AC$201,""),"")</f>
        <v/>
      </c>
      <c r="T76" s="101">
        <f>IFERROR(P76/O76,"")</f>
        <v/>
      </c>
      <c r="U76" s="24">
        <f>IFERROR(R76/P76,"")</f>
        <v/>
      </c>
      <c r="V76" s="102">
        <f>IFERROR(O76/E76,"")</f>
        <v/>
      </c>
      <c r="W76" s="24">
        <f>IFERROR(L76/F76,"")</f>
        <v/>
      </c>
      <c r="X76" s="26">
        <f>IFERROR(IF(NOT(ISNUMBER($E76)),"",IF($E76&gt;=Scoring_Criteria!$D$4,5,IF($E76&gt;=Scoring_Criteria!$E$4,4,IF($E76&gt;=Scoring_Criteria!$F$4,3,IF($E76&gt;=Scoring_Criteria!$G$4,2,1))))),"")</f>
        <v/>
      </c>
      <c r="Y76" s="26">
        <f>IFERROR(IF(OR(NOT(ISNUMBER($F76)),NOT(ISNUMBER($E76)),$E76=0),"",IF(($F76/$E76)&gt;=Scoring_Criteria!$D$5,5,IF(($F76/$E76)&gt;=Scoring_Criteria!$E$5,4,IF(($F76/$E76)&gt;=Scoring_Criteria!$F$5,3,IF(($F76/$E76)&gt;=Scoring_Criteria!$G$5,2,1))))),"")</f>
        <v/>
      </c>
      <c r="Z76" s="26">
        <f>IFERROR(IF(AND(NOT(ISNUMBER($I76)),NOT(ISNUMBER($J76))),"",IF((IFERROR($I76,0)+IFERROR($J76,0))&gt;=Scoring_Criteria!$D$6,5,IF((IFERROR($I76,0)+IFERROR($J76,0))&gt;=Scoring_Criteria!$E$6,4,IF((IFERROR($I76,0)+IFERROR($J76,0))&gt;=Scoring_Criteria!$F$6,3,IF((IFERROR($I76,0)+IFERROR($J76,0))&gt;=Scoring_Criteria!$G$6,2,1))))),"")</f>
        <v/>
      </c>
      <c r="AA76" s="26">
        <f>IFERROR(IF(NOT(ISNUMBER($M76)),"",IF($M76&gt;=Scoring_Criteria!$D$7,5,IF($M76&gt;=Scoring_Criteria!$E$7,4,IF($M76&gt;=Scoring_Criteria!$F$7,3,IF($M76&gt;=Scoring_Criteria!$G$7,2,1))))),"")</f>
        <v/>
      </c>
      <c r="AB76" s="26">
        <f>IFERROR(IF(NOT(ISNUMBER($T76)),"",IF($T76&gt;=Scoring_Criteria!$D$8,5,IF($T76&gt;=Scoring_Criteria!$E$8,4,IF($T76&gt;=Scoring_Criteria!$F$8,3,IF($T76&gt;=Scoring_Criteria!$G$8,2,1))))),"")</f>
        <v/>
      </c>
      <c r="AC76" s="26">
        <f>IFERROR(IF(NOT(ISNUMBER($U76)),"",IF($U76&lt;=Scoring_Criteria!$D$9,5,IF($U76&lt;=Scoring_Criteria!$E$9,4,IF($U76&lt;=Scoring_Criteria!$F$9,3,IF($U76&lt;=Scoring_Criteria!$G$9,2,1))))),"")</f>
        <v/>
      </c>
      <c r="AD76" s="26">
        <f t="array" ref="AD76">IFERROR(IF(NOT(ISNUMBER(_xlfn.XLOOKUP($A76&amp;"|"&amp;$C76,Financials!$A$2:$A$201&amp;"|"&amp;Financials!$B$2:$B$201,Financials!$AD$2:$AD$201,""))),"",IF(_xlfn.XLOOKUP($A76&amp;"|"&amp;$C76,Financials!$A$2:$A$201&amp;"|"&amp;Financials!$B$2:$B$201,Financials!$AD$2:$AD$201,"")&gt;=Scoring_Criteria!$D$10,5,IF(_xlfn.XLOOKUP($A76&amp;"|"&amp;$C76,Financials!$A$2:$A$201&amp;"|"&amp;Financials!$B$2:$B$201,Financials!$AD$2:$AD$201,"")&gt;=Scoring_Criteria!$E$10,4,IF(_xlfn.XLOOKUP($A76&amp;"|"&amp;$C76,Financials!$A$2:$A$201&amp;"|"&amp;Financials!$B$2:$B$201,Financials!$AD$2:$AD$201,"")&gt;=Scoring_Criteria!$F$10,3,IF(_xlfn.XLOOKUP($A76&amp;"|"&amp;$C76,Financials!$A$2:$A$201&amp;"|"&amp;Financials!$B$2:$B$201,Financials!$AD$2:$AD$201,"")&gt;=Scoring_Criteria!$G$10,2,1))))),"")</f>
        <v/>
      </c>
      <c r="AE76" s="27" t="n"/>
      <c r="AF76" s="27" t="n"/>
      <c r="AG76" s="28">
        <f>IFERROR(IF(COUNTA(X76:AF76)=0,"",AVERAGE(X76:AF76)),"")</f>
        <v/>
      </c>
      <c r="AH76" s="29" t="n"/>
      <c r="AI76" s="29" t="n"/>
      <c r="AJ76" s="29" t="n"/>
      <c r="AK76" s="29" t="n"/>
      <c r="AL76" s="29" t="n"/>
      <c r="AM76" s="29" t="n"/>
      <c r="AN76" s="29" t="n"/>
      <c r="AO76" s="29" t="n"/>
      <c r="AP76" s="29" t="n"/>
      <c r="AQ76" s="29" t="n"/>
      <c r="AR76" s="29" t="n"/>
      <c r="AS76" s="29" t="n"/>
      <c r="AT76" s="29" t="n"/>
      <c r="AU76">
        <f>IFERROR(Validation_Summary!Q5,"")</f>
        <v/>
      </c>
    </row>
    <row r="77" ht="15" customHeight="1" s="67">
      <c r="A77" s="6" t="inlineStr">
        <is>
          <t>PT Sinar Mas Agro Resources and Technology Tbk</t>
        </is>
      </c>
      <c r="B77" s="19">
        <f t="array" ref="B77">IFERROR(_xlfn.XLOOKUP($A77&amp;"|"&amp;$C77,'Company_Master'!$A$2:$A$94&amp;"|"&amp;'Company_Master'!$D$2:$D$94,'Company_Master'!$B$2:$B$94,""),"")</f>
        <v/>
      </c>
      <c r="C77" s="98" t="n">
        <v>2022</v>
      </c>
      <c r="D77" s="19">
        <f t="array" ref="D77">IFERROR(_xlfn.XLOOKUP($A77&amp;"|"&amp;$C77,'Company_Master'!$A$2:$A$94&amp;"|"&amp;'Company_Master'!$D$2:$D$94,'Company_Master'!$H$2:$H$94,""),"")</f>
        <v/>
      </c>
      <c r="E77" s="98">
        <f t="array" ref="E77">IFERROR(_xlfn.XLOOKUP($A77&amp;"|"&amp;$C77,Asset_Operations!$A$2:$A$201&amp;"|"&amp;Asset_Operations!$BG$2:$BG$201,Asset_Operations!$B$2:$B$201,""),"")</f>
        <v/>
      </c>
      <c r="F77" s="98">
        <f t="array" ref="F77">IFERROR(_xlfn.XLOOKUP($A77&amp;"|"&amp;$C77,Asset_Operations!$A$2:$A$201&amp;"|"&amp;Asset_Operations!$BG$2:$BG$201,Asset_Operations!$E$2:$E$201,""),"")</f>
        <v/>
      </c>
      <c r="G77" s="98">
        <f t="array" ref="G77">IFERROR(_xlfn.XLOOKUP($A77&amp;"|"&amp;$C77,Asset_Operations!$A$2:$A$201&amp;"|"&amp;Asset_Operations!$BG$2:$BG$201,Asset_Operations!$I$2:$I$201,""),"")</f>
        <v/>
      </c>
      <c r="H77" s="98">
        <f t="array" ref="H77">IFERROR(_xlfn.XLOOKUP($A77&amp;"|"&amp;$C77,Asset_Operations!$A$2:$A$201&amp;"|"&amp;Asset_Operations!$BG$2:$BG$201,Asset_Operations!$J$2:$J$201,""),"")</f>
        <v/>
      </c>
      <c r="I77" s="98">
        <f t="array" ref="I77">IFERROR(_xlfn.XLOOKUP($A77&amp;"|"&amp;$C77,Asset_Operations!$A$2:$A$201&amp;"|"&amp;Asset_Operations!$BG$2:$BG$201,Asset_Operations!$O$2:$O$201,""),"")</f>
        <v/>
      </c>
      <c r="J77" s="98">
        <f t="array" ref="J77">IFERROR(_xlfn.XLOOKUP($A77&amp;"|"&amp;$C77,Asset_Operations!$A$2:$A$201&amp;"|"&amp;Asset_Operations!$BG$2:$BG$201,Asset_Operations!$S$2:$S$201,""),"")</f>
        <v/>
      </c>
      <c r="K77" s="98">
        <f t="array" ref="K77">IFERROR(_xlfn.XLOOKUP($A77&amp;"|"&amp;$C77,Asset_Operations!$A$2:$A$201&amp;"|"&amp;Asset_Operations!$BG$2:$BG$201,Asset_Operations!$AC$2:$AC$201,""),"")</f>
        <v/>
      </c>
      <c r="L77" s="98">
        <f t="array" ref="L77">IFERROR(_xlfn.XLOOKUP($A77&amp;"|"&amp;$C77,Asset_Operations!$A$2:$A$201&amp;"|"&amp;Asset_Operations!$BG$2:$BG$201,Asset_Operations!$AG$2:$AG$201,""),"")</f>
        <v/>
      </c>
      <c r="M77" s="98">
        <f t="array" ref="M77">IFERROR(_xlfn.XLOOKUP($A77&amp;"|"&amp;$C77,Asset_Operations!$A$2:$A$201&amp;"|"&amp;Asset_Operations!$BG$2:$BG$201,Asset_Operations!$AO$2:$AO$201,""),"")</f>
        <v/>
      </c>
      <c r="N77" s="99">
        <f t="array" ref="N77">IFERROR(_xlfn.XLOOKUP($A77&amp;"|"&amp;$C77,Asset_Operations!$A$2:$A$201&amp;"|"&amp;Asset_Operations!$BG$2:$BG$201,Asset_Operations!$AR$2:$AR$201,""),"")</f>
        <v/>
      </c>
      <c r="O77" s="100">
        <f t="array" ref="O77">IFERROR(_xlfn.XLOOKUP($A77&amp;"|"&amp;$C77,Financials!$A$2:$A$201&amp;"|"&amp;Financials!$B$2:$B$201,Financials!$C$2:$C$201,""),"")</f>
        <v/>
      </c>
      <c r="P77" s="100">
        <f t="array" ref="P77">IFERROR(_xlfn.XLOOKUP($A77&amp;"|"&amp;$C77,Financials!$A$2:$A$201&amp;"|"&amp;Financials!$B$2:$B$201,Financials!$E$2:$E$201,""),"")</f>
        <v/>
      </c>
      <c r="Q77" s="100">
        <f t="array" ref="Q77">IFERROR(_xlfn.XLOOKUP($A77&amp;"|"&amp;$C77,Financials!$A$2:$A$201&amp;"|"&amp;Financials!$B$2:$B$201,Financials!$G$2:$G$201,""),"")</f>
        <v/>
      </c>
      <c r="R77" s="100">
        <f t="array" ref="R77">IFERROR(_xlfn.XLOOKUP($A77&amp;"|"&amp;$C77,Financials!$A$2:$A$201&amp;"|"&amp;Financials!$B$2:$B$201,Financials!$S$2:$S$201,""),"")</f>
        <v/>
      </c>
      <c r="S77" s="100">
        <f t="array" ref="S77">IFERROR(_xlfn.XLOOKUP($A77&amp;"|"&amp;$C77,Financials!$A$2:$A$201&amp;"|"&amp;Financials!$B$2:$B$201,Financials!$AC$2:$AC$201,""),"")</f>
        <v/>
      </c>
      <c r="T77" s="101">
        <f>IFERROR(P77/O77,"")</f>
        <v/>
      </c>
      <c r="U77" s="24">
        <f>IFERROR(R77/P77,"")</f>
        <v/>
      </c>
      <c r="V77" s="102">
        <f>IFERROR(O77/E77,"")</f>
        <v/>
      </c>
      <c r="W77" s="24">
        <f>IFERROR(L77/F77,"")</f>
        <v/>
      </c>
      <c r="X77" s="26">
        <f>IFERROR(IF(NOT(ISNUMBER($E77)),"",IF($E77&gt;=Scoring_Criteria!$D$4,5,IF($E77&gt;=Scoring_Criteria!$E$4,4,IF($E77&gt;=Scoring_Criteria!$F$4,3,IF($E77&gt;=Scoring_Criteria!$G$4,2,1))))),"")</f>
        <v/>
      </c>
      <c r="Y77" s="26">
        <f>IFERROR(IF(OR(NOT(ISNUMBER($F77)),NOT(ISNUMBER($E77)),$E77=0),"",IF(($F77/$E77)&gt;=Scoring_Criteria!$D$5,5,IF(($F77/$E77)&gt;=Scoring_Criteria!$E$5,4,IF(($F77/$E77)&gt;=Scoring_Criteria!$F$5,3,IF(($F77/$E77)&gt;=Scoring_Criteria!$G$5,2,1))))),"")</f>
        <v/>
      </c>
      <c r="Z77" s="26">
        <f>IFERROR(IF(AND(NOT(ISNUMBER($I77)),NOT(ISNUMBER($J77))),"",IF((IFERROR($I77,0)+IFERROR($J77,0))&gt;=Scoring_Criteria!$D$6,5,IF((IFERROR($I77,0)+IFERROR($J77,0))&gt;=Scoring_Criteria!$E$6,4,IF((IFERROR($I77,0)+IFERROR($J77,0))&gt;=Scoring_Criteria!$F$6,3,IF((IFERROR($I77,0)+IFERROR($J77,0))&gt;=Scoring_Criteria!$G$6,2,1))))),"")</f>
        <v/>
      </c>
      <c r="AA77" s="26">
        <f>IFERROR(IF(NOT(ISNUMBER($M77)),"",IF($M77&gt;=Scoring_Criteria!$D$7,5,IF($M77&gt;=Scoring_Criteria!$E$7,4,IF($M77&gt;=Scoring_Criteria!$F$7,3,IF($M77&gt;=Scoring_Criteria!$G$7,2,1))))),"")</f>
        <v/>
      </c>
      <c r="AB77" s="26">
        <f>IFERROR(IF(NOT(ISNUMBER($T77)),"",IF($T77&gt;=Scoring_Criteria!$D$8,5,IF($T77&gt;=Scoring_Criteria!$E$8,4,IF($T77&gt;=Scoring_Criteria!$F$8,3,IF($T77&gt;=Scoring_Criteria!$G$8,2,1))))),"")</f>
        <v/>
      </c>
      <c r="AC77" s="26">
        <f>IFERROR(IF(NOT(ISNUMBER($U77)),"",IF($U77&lt;=Scoring_Criteria!$D$9,5,IF($U77&lt;=Scoring_Criteria!$E$9,4,IF($U77&lt;=Scoring_Criteria!$F$9,3,IF($U77&lt;=Scoring_Criteria!$G$9,2,1))))),"")</f>
        <v/>
      </c>
      <c r="AD77" s="26">
        <f t="array" ref="AD77">IFERROR(IF(NOT(ISNUMBER(_xlfn.XLOOKUP($A77&amp;"|"&amp;$C77,Financials!$A$2:$A$201&amp;"|"&amp;Financials!$B$2:$B$201,Financials!$AD$2:$AD$201,""))),"",IF(_xlfn.XLOOKUP($A77&amp;"|"&amp;$C77,Financials!$A$2:$A$201&amp;"|"&amp;Financials!$B$2:$B$201,Financials!$AD$2:$AD$201,"")&gt;=Scoring_Criteria!$D$10,5,IF(_xlfn.XLOOKUP($A77&amp;"|"&amp;$C77,Financials!$A$2:$A$201&amp;"|"&amp;Financials!$B$2:$B$201,Financials!$AD$2:$AD$201,"")&gt;=Scoring_Criteria!$E$10,4,IF(_xlfn.XLOOKUP($A77&amp;"|"&amp;$C77,Financials!$A$2:$A$201&amp;"|"&amp;Financials!$B$2:$B$201,Financials!$AD$2:$AD$201,"")&gt;=Scoring_Criteria!$F$10,3,IF(_xlfn.XLOOKUP($A77&amp;"|"&amp;$C77,Financials!$A$2:$A$201&amp;"|"&amp;Financials!$B$2:$B$201,Financials!$AD$2:$AD$201,"")&gt;=Scoring_Criteria!$G$10,2,1))))),"")</f>
        <v/>
      </c>
      <c r="AE77" s="27" t="n"/>
      <c r="AF77" s="27" t="n"/>
      <c r="AG77" s="28">
        <f>IFERROR(IF(COUNTA(X77:AF77)=0,"",AVERAGE(X77:AF77)),"")</f>
        <v/>
      </c>
      <c r="AH77" s="29" t="n"/>
      <c r="AI77" s="29" t="n"/>
      <c r="AJ77" s="29" t="n"/>
      <c r="AK77" s="29" t="n"/>
      <c r="AL77" s="29" t="n"/>
      <c r="AM77" s="29" t="n"/>
      <c r="AN77" s="29" t="n"/>
      <c r="AO77" s="29" t="n"/>
      <c r="AP77" s="29" t="n"/>
      <c r="AQ77" s="29" t="n"/>
      <c r="AR77" s="29" t="n"/>
      <c r="AS77" s="29" t="n"/>
      <c r="AT77" s="29" t="n"/>
      <c r="AU77">
        <f>IFERROR(Validation_Summary!Q5,"")</f>
        <v/>
      </c>
    </row>
    <row r="78" ht="15" customHeight="1" s="67">
      <c r="A78" s="6" t="inlineStr">
        <is>
          <t>PT Sinar Mas Agro Resources and Technology Tbk</t>
        </is>
      </c>
      <c r="B78" s="19">
        <f t="array" ref="B78">IFERROR(_xlfn.XLOOKUP($A78&amp;"|"&amp;$C78,'Company_Master'!$A$2:$A$94&amp;"|"&amp;'Company_Master'!$D$2:$D$94,'Company_Master'!$B$2:$B$94,""),"")</f>
        <v/>
      </c>
      <c r="C78" s="98" t="n">
        <v>2023</v>
      </c>
      <c r="D78" s="19">
        <f t="array" ref="D78">IFERROR(_xlfn.XLOOKUP($A78&amp;"|"&amp;$C78,'Company_Master'!$A$2:$A$94&amp;"|"&amp;'Company_Master'!$D$2:$D$94,'Company_Master'!$H$2:$H$94,""),"")</f>
        <v/>
      </c>
      <c r="E78" s="98">
        <f t="array" ref="E78">IFERROR(_xlfn.XLOOKUP($A78&amp;"|"&amp;$C78,Asset_Operations!$A$2:$A$201&amp;"|"&amp;Asset_Operations!$BG$2:$BG$201,Asset_Operations!$B$2:$B$201,""),"")</f>
        <v/>
      </c>
      <c r="F78" s="98">
        <f t="array" ref="F78">IFERROR(_xlfn.XLOOKUP($A78&amp;"|"&amp;$C78,Asset_Operations!$A$2:$A$201&amp;"|"&amp;Asset_Operations!$BG$2:$BG$201,Asset_Operations!$E$2:$E$201,""),"")</f>
        <v/>
      </c>
      <c r="G78" s="98">
        <f t="array" ref="G78">IFERROR(_xlfn.XLOOKUP($A78&amp;"|"&amp;$C78,Asset_Operations!$A$2:$A$201&amp;"|"&amp;Asset_Operations!$BG$2:$BG$201,Asset_Operations!$I$2:$I$201,""),"")</f>
        <v/>
      </c>
      <c r="H78" s="98">
        <f t="array" ref="H78">IFERROR(_xlfn.XLOOKUP($A78&amp;"|"&amp;$C78,Asset_Operations!$A$2:$A$201&amp;"|"&amp;Asset_Operations!$BG$2:$BG$201,Asset_Operations!$J$2:$J$201,""),"")</f>
        <v/>
      </c>
      <c r="I78" s="98">
        <f t="array" ref="I78">IFERROR(_xlfn.XLOOKUP($A78&amp;"|"&amp;$C78,Asset_Operations!$A$2:$A$201&amp;"|"&amp;Asset_Operations!$BG$2:$BG$201,Asset_Operations!$O$2:$O$201,""),"")</f>
        <v/>
      </c>
      <c r="J78" s="98">
        <f t="array" ref="J78">IFERROR(_xlfn.XLOOKUP($A78&amp;"|"&amp;$C78,Asset_Operations!$A$2:$A$201&amp;"|"&amp;Asset_Operations!$BG$2:$BG$201,Asset_Operations!$S$2:$S$201,""),"")</f>
        <v/>
      </c>
      <c r="K78" s="98">
        <f t="array" ref="K78">IFERROR(_xlfn.XLOOKUP($A78&amp;"|"&amp;$C78,Asset_Operations!$A$2:$A$201&amp;"|"&amp;Asset_Operations!$BG$2:$BG$201,Asset_Operations!$AC$2:$AC$201,""),"")</f>
        <v/>
      </c>
      <c r="L78" s="98">
        <f t="array" ref="L78">IFERROR(_xlfn.XLOOKUP($A78&amp;"|"&amp;$C78,Asset_Operations!$A$2:$A$201&amp;"|"&amp;Asset_Operations!$BG$2:$BG$201,Asset_Operations!$AG$2:$AG$201,""),"")</f>
        <v/>
      </c>
      <c r="M78" s="98">
        <f t="array" ref="M78">IFERROR(_xlfn.XLOOKUP($A78&amp;"|"&amp;$C78,Asset_Operations!$A$2:$A$201&amp;"|"&amp;Asset_Operations!$BG$2:$BG$201,Asset_Operations!$AO$2:$AO$201,""),"")</f>
        <v/>
      </c>
      <c r="N78" s="99">
        <f t="array" ref="N78">IFERROR(_xlfn.XLOOKUP($A78&amp;"|"&amp;$C78,Asset_Operations!$A$2:$A$201&amp;"|"&amp;Asset_Operations!$BG$2:$BG$201,Asset_Operations!$AR$2:$AR$201,""),"")</f>
        <v/>
      </c>
      <c r="O78" s="100">
        <f t="array" ref="O78">IFERROR(_xlfn.XLOOKUP($A78&amp;"|"&amp;$C78,Financials!$A$2:$A$201&amp;"|"&amp;Financials!$B$2:$B$201,Financials!$C$2:$C$201,""),"")</f>
        <v/>
      </c>
      <c r="P78" s="100">
        <f t="array" ref="P78">IFERROR(_xlfn.XLOOKUP($A78&amp;"|"&amp;$C78,Financials!$A$2:$A$201&amp;"|"&amp;Financials!$B$2:$B$201,Financials!$E$2:$E$201,""),"")</f>
        <v/>
      </c>
      <c r="Q78" s="100">
        <f t="array" ref="Q78">IFERROR(_xlfn.XLOOKUP($A78&amp;"|"&amp;$C78,Financials!$A$2:$A$201&amp;"|"&amp;Financials!$B$2:$B$201,Financials!$G$2:$G$201,""),"")</f>
        <v/>
      </c>
      <c r="R78" s="100">
        <f t="array" ref="R78">IFERROR(_xlfn.XLOOKUP($A78&amp;"|"&amp;$C78,Financials!$A$2:$A$201&amp;"|"&amp;Financials!$B$2:$B$201,Financials!$S$2:$S$201,""),"")</f>
        <v/>
      </c>
      <c r="S78" s="100">
        <f t="array" ref="S78">IFERROR(_xlfn.XLOOKUP($A78&amp;"|"&amp;$C78,Financials!$A$2:$A$201&amp;"|"&amp;Financials!$B$2:$B$201,Financials!$AC$2:$AC$201,""),"")</f>
        <v/>
      </c>
      <c r="T78" s="101">
        <f>IFERROR(P78/O78,"")</f>
        <v/>
      </c>
      <c r="U78" s="24">
        <f>IFERROR(R78/P78,"")</f>
        <v/>
      </c>
      <c r="V78" s="102">
        <f>IFERROR(O78/E78,"")</f>
        <v/>
      </c>
      <c r="W78" s="24">
        <f>IFERROR(L78/F78,"")</f>
        <v/>
      </c>
      <c r="X78" s="26">
        <f>IFERROR(IF(NOT(ISNUMBER($E78)),"",IF($E78&gt;=Scoring_Criteria!$D$4,5,IF($E78&gt;=Scoring_Criteria!$E$4,4,IF($E78&gt;=Scoring_Criteria!$F$4,3,IF($E78&gt;=Scoring_Criteria!$G$4,2,1))))),"")</f>
        <v/>
      </c>
      <c r="Y78" s="26">
        <f>IFERROR(IF(OR(NOT(ISNUMBER($F78)),NOT(ISNUMBER($E78)),$E78=0),"",IF(($F78/$E78)&gt;=Scoring_Criteria!$D$5,5,IF(($F78/$E78)&gt;=Scoring_Criteria!$E$5,4,IF(($F78/$E78)&gt;=Scoring_Criteria!$F$5,3,IF(($F78/$E78)&gt;=Scoring_Criteria!$G$5,2,1))))),"")</f>
        <v/>
      </c>
      <c r="Z78" s="26">
        <f>IFERROR(IF(AND(NOT(ISNUMBER($I78)),NOT(ISNUMBER($J78))),"",IF((IFERROR($I78,0)+IFERROR($J78,0))&gt;=Scoring_Criteria!$D$6,5,IF((IFERROR($I78,0)+IFERROR($J78,0))&gt;=Scoring_Criteria!$E$6,4,IF((IFERROR($I78,0)+IFERROR($J78,0))&gt;=Scoring_Criteria!$F$6,3,IF((IFERROR($I78,0)+IFERROR($J78,0))&gt;=Scoring_Criteria!$G$6,2,1))))),"")</f>
        <v/>
      </c>
      <c r="AA78" s="26">
        <f>IFERROR(IF(NOT(ISNUMBER($M78)),"",IF($M78&gt;=Scoring_Criteria!$D$7,5,IF($M78&gt;=Scoring_Criteria!$E$7,4,IF($M78&gt;=Scoring_Criteria!$F$7,3,IF($M78&gt;=Scoring_Criteria!$G$7,2,1))))),"")</f>
        <v/>
      </c>
      <c r="AB78" s="26">
        <f>IFERROR(IF(NOT(ISNUMBER($T78)),"",IF($T78&gt;=Scoring_Criteria!$D$8,5,IF($T78&gt;=Scoring_Criteria!$E$8,4,IF($T78&gt;=Scoring_Criteria!$F$8,3,IF($T78&gt;=Scoring_Criteria!$G$8,2,1))))),"")</f>
        <v/>
      </c>
      <c r="AC78" s="26">
        <f>IFERROR(IF(NOT(ISNUMBER($U78)),"",IF($U78&lt;=Scoring_Criteria!$D$9,5,IF($U78&lt;=Scoring_Criteria!$E$9,4,IF($U78&lt;=Scoring_Criteria!$F$9,3,IF($U78&lt;=Scoring_Criteria!$G$9,2,1))))),"")</f>
        <v/>
      </c>
      <c r="AD78" s="26">
        <f t="array" ref="AD78">IFERROR(IF(NOT(ISNUMBER(_xlfn.XLOOKUP($A78&amp;"|"&amp;$C78,Financials!$A$2:$A$201&amp;"|"&amp;Financials!$B$2:$B$201,Financials!$AD$2:$AD$201,""))),"",IF(_xlfn.XLOOKUP($A78&amp;"|"&amp;$C78,Financials!$A$2:$A$201&amp;"|"&amp;Financials!$B$2:$B$201,Financials!$AD$2:$AD$201,"")&gt;=Scoring_Criteria!$D$10,5,IF(_xlfn.XLOOKUP($A78&amp;"|"&amp;$C78,Financials!$A$2:$A$201&amp;"|"&amp;Financials!$B$2:$B$201,Financials!$AD$2:$AD$201,"")&gt;=Scoring_Criteria!$E$10,4,IF(_xlfn.XLOOKUP($A78&amp;"|"&amp;$C78,Financials!$A$2:$A$201&amp;"|"&amp;Financials!$B$2:$B$201,Financials!$AD$2:$AD$201,"")&gt;=Scoring_Criteria!$F$10,3,IF(_xlfn.XLOOKUP($A78&amp;"|"&amp;$C78,Financials!$A$2:$A$201&amp;"|"&amp;Financials!$B$2:$B$201,Financials!$AD$2:$AD$201,"")&gt;=Scoring_Criteria!$G$10,2,1))))),"")</f>
        <v/>
      </c>
      <c r="AE78" s="27" t="n"/>
      <c r="AF78" s="27" t="n"/>
      <c r="AG78" s="28">
        <f>IFERROR(IF(COUNTA(X78:AF78)=0,"",AVERAGE(X78:AF78)),"")</f>
        <v/>
      </c>
      <c r="AH78" s="29" t="n"/>
      <c r="AI78" s="29" t="n"/>
      <c r="AJ78" s="29" t="n"/>
      <c r="AK78" s="29" t="n"/>
      <c r="AL78" s="29" t="n"/>
      <c r="AM78" s="29" t="n"/>
      <c r="AN78" s="29" t="n"/>
      <c r="AO78" s="29" t="n"/>
      <c r="AP78" s="29" t="n"/>
      <c r="AQ78" s="29" t="n"/>
      <c r="AR78" s="29" t="n"/>
      <c r="AS78" s="29" t="n"/>
      <c r="AT78" s="29" t="n"/>
      <c r="AU78">
        <f>IFERROR(Validation_Summary!Q5,"")</f>
        <v/>
      </c>
    </row>
    <row r="79" ht="15" customHeight="1" s="67">
      <c r="A79" s="6" t="inlineStr">
        <is>
          <t>PT Sinar Mas Agro Resources and Technology Tbk</t>
        </is>
      </c>
      <c r="B79" s="19">
        <f t="array" ref="B79">IFERROR(_xlfn.XLOOKUP($A79&amp;"|"&amp;$C79,'Company_Master'!$A$2:$A$94&amp;"|"&amp;'Company_Master'!$D$2:$D$94,'Company_Master'!$B$2:$B$94,""),"")</f>
        <v/>
      </c>
      <c r="C79" s="98" t="n">
        <v>2024</v>
      </c>
      <c r="D79" s="19">
        <f t="array" ref="D79">IFERROR(_xlfn.XLOOKUP($A79&amp;"|"&amp;$C79,'Company_Master'!$A$2:$A$94&amp;"|"&amp;'Company_Master'!$D$2:$D$94,'Company_Master'!$H$2:$H$94,""),"")</f>
        <v/>
      </c>
      <c r="E79" s="98">
        <f t="array" ref="E79">IFERROR(_xlfn.XLOOKUP($A79&amp;"|"&amp;$C79,Asset_Operations!$A$2:$A$201&amp;"|"&amp;Asset_Operations!$BG$2:$BG$201,Asset_Operations!$B$2:$B$201,""),"")</f>
        <v/>
      </c>
      <c r="F79" s="98">
        <f t="array" ref="F79">IFERROR(_xlfn.XLOOKUP($A79&amp;"|"&amp;$C79,Asset_Operations!$A$2:$A$201&amp;"|"&amp;Asset_Operations!$BG$2:$BG$201,Asset_Operations!$E$2:$E$201,""),"")</f>
        <v/>
      </c>
      <c r="G79" s="98">
        <f t="array" ref="G79">IFERROR(_xlfn.XLOOKUP($A79&amp;"|"&amp;$C79,Asset_Operations!$A$2:$A$201&amp;"|"&amp;Asset_Operations!$BG$2:$BG$201,Asset_Operations!$I$2:$I$201,""),"")</f>
        <v/>
      </c>
      <c r="H79" s="98">
        <f t="array" ref="H79">IFERROR(_xlfn.XLOOKUP($A79&amp;"|"&amp;$C79,Asset_Operations!$A$2:$A$201&amp;"|"&amp;Asset_Operations!$BG$2:$BG$201,Asset_Operations!$J$2:$J$201,""),"")</f>
        <v/>
      </c>
      <c r="I79" s="98">
        <f t="array" ref="I79">IFERROR(_xlfn.XLOOKUP($A79&amp;"|"&amp;$C79,Asset_Operations!$A$2:$A$201&amp;"|"&amp;Asset_Operations!$BG$2:$BG$201,Asset_Operations!$O$2:$O$201,""),"")</f>
        <v/>
      </c>
      <c r="J79" s="98">
        <f t="array" ref="J79">IFERROR(_xlfn.XLOOKUP($A79&amp;"|"&amp;$C79,Asset_Operations!$A$2:$A$201&amp;"|"&amp;Asset_Operations!$BG$2:$BG$201,Asset_Operations!$S$2:$S$201,""),"")</f>
        <v/>
      </c>
      <c r="K79" s="98">
        <f t="array" ref="K79">IFERROR(_xlfn.XLOOKUP($A79&amp;"|"&amp;$C79,Asset_Operations!$A$2:$A$201&amp;"|"&amp;Asset_Operations!$BG$2:$BG$201,Asset_Operations!$AC$2:$AC$201,""),"")</f>
        <v/>
      </c>
      <c r="L79" s="98">
        <f t="array" ref="L79">IFERROR(_xlfn.XLOOKUP($A79&amp;"|"&amp;$C79,Asset_Operations!$A$2:$A$201&amp;"|"&amp;Asset_Operations!$BG$2:$BG$201,Asset_Operations!$AG$2:$AG$201,""),"")</f>
        <v/>
      </c>
      <c r="M79" s="98">
        <f t="array" ref="M79">IFERROR(_xlfn.XLOOKUP($A79&amp;"|"&amp;$C79,Asset_Operations!$A$2:$A$201&amp;"|"&amp;Asset_Operations!$BG$2:$BG$201,Asset_Operations!$AO$2:$AO$201,""),"")</f>
        <v/>
      </c>
      <c r="N79" s="99">
        <f t="array" ref="N79">IFERROR(_xlfn.XLOOKUP($A79&amp;"|"&amp;$C79,Asset_Operations!$A$2:$A$201&amp;"|"&amp;Asset_Operations!$BG$2:$BG$201,Asset_Operations!$AR$2:$AR$201,""),"")</f>
        <v/>
      </c>
      <c r="O79" s="100">
        <f t="array" ref="O79">IFERROR(_xlfn.XLOOKUP($A79&amp;"|"&amp;$C79,Financials!$A$2:$A$201&amp;"|"&amp;Financials!$B$2:$B$201,Financials!$C$2:$C$201,""),"")</f>
        <v/>
      </c>
      <c r="P79" s="100">
        <f t="array" ref="P79">IFERROR(_xlfn.XLOOKUP($A79&amp;"|"&amp;$C79,Financials!$A$2:$A$201&amp;"|"&amp;Financials!$B$2:$B$201,Financials!$E$2:$E$201,""),"")</f>
        <v/>
      </c>
      <c r="Q79" s="100">
        <f t="array" ref="Q79">IFERROR(_xlfn.XLOOKUP($A79&amp;"|"&amp;$C79,Financials!$A$2:$A$201&amp;"|"&amp;Financials!$B$2:$B$201,Financials!$G$2:$G$201,""),"")</f>
        <v/>
      </c>
      <c r="R79" s="100">
        <f t="array" ref="R79">IFERROR(_xlfn.XLOOKUP($A79&amp;"|"&amp;$C79,Financials!$A$2:$A$201&amp;"|"&amp;Financials!$B$2:$B$201,Financials!$S$2:$S$201,""),"")</f>
        <v/>
      </c>
      <c r="S79" s="100">
        <f t="array" ref="S79">IFERROR(_xlfn.XLOOKUP($A79&amp;"|"&amp;$C79,Financials!$A$2:$A$201&amp;"|"&amp;Financials!$B$2:$B$201,Financials!$AC$2:$AC$201,""),"")</f>
        <v/>
      </c>
      <c r="T79" s="101">
        <f>IFERROR(P79/O79,"")</f>
        <v/>
      </c>
      <c r="U79" s="24">
        <f>IFERROR(R79/P79,"")</f>
        <v/>
      </c>
      <c r="V79" s="102">
        <f>IFERROR(O79/E79,"")</f>
        <v/>
      </c>
      <c r="W79" s="24">
        <f>IFERROR(L79/F79,"")</f>
        <v/>
      </c>
      <c r="X79" s="26">
        <f>IFERROR(IF(NOT(ISNUMBER($E79)),"",IF($E79&gt;=Scoring_Criteria!$D$4,5,IF($E79&gt;=Scoring_Criteria!$E$4,4,IF($E79&gt;=Scoring_Criteria!$F$4,3,IF($E79&gt;=Scoring_Criteria!$G$4,2,1))))),"")</f>
        <v/>
      </c>
      <c r="Y79" s="26">
        <f>IFERROR(IF(OR(NOT(ISNUMBER($F79)),NOT(ISNUMBER($E79)),$E79=0),"",IF(($F79/$E79)&gt;=Scoring_Criteria!$D$5,5,IF(($F79/$E79)&gt;=Scoring_Criteria!$E$5,4,IF(($F79/$E79)&gt;=Scoring_Criteria!$F$5,3,IF(($F79/$E79)&gt;=Scoring_Criteria!$G$5,2,1))))),"")</f>
        <v/>
      </c>
      <c r="Z79" s="26">
        <f>IFERROR(IF(AND(NOT(ISNUMBER($I79)),NOT(ISNUMBER($J79))),"",IF((IFERROR($I79,0)+IFERROR($J79,0))&gt;=Scoring_Criteria!$D$6,5,IF((IFERROR($I79,0)+IFERROR($J79,0))&gt;=Scoring_Criteria!$E$6,4,IF((IFERROR($I79,0)+IFERROR($J79,0))&gt;=Scoring_Criteria!$F$6,3,IF((IFERROR($I79,0)+IFERROR($J79,0))&gt;=Scoring_Criteria!$G$6,2,1))))),"")</f>
        <v/>
      </c>
      <c r="AA79" s="26">
        <f>IFERROR(IF(NOT(ISNUMBER($M79)),"",IF($M79&gt;=Scoring_Criteria!$D$7,5,IF($M79&gt;=Scoring_Criteria!$E$7,4,IF($M79&gt;=Scoring_Criteria!$F$7,3,IF($M79&gt;=Scoring_Criteria!$G$7,2,1))))),"")</f>
        <v/>
      </c>
      <c r="AB79" s="26">
        <f>IFERROR(IF(NOT(ISNUMBER($T79)),"",IF($T79&gt;=Scoring_Criteria!$D$8,5,IF($T79&gt;=Scoring_Criteria!$E$8,4,IF($T79&gt;=Scoring_Criteria!$F$8,3,IF($T79&gt;=Scoring_Criteria!$G$8,2,1))))),"")</f>
        <v/>
      </c>
      <c r="AC79" s="26">
        <f>IFERROR(IF(NOT(ISNUMBER($U79)),"",IF($U79&lt;=Scoring_Criteria!$D$9,5,IF($U79&lt;=Scoring_Criteria!$E$9,4,IF($U79&lt;=Scoring_Criteria!$F$9,3,IF($U79&lt;=Scoring_Criteria!$G$9,2,1))))),"")</f>
        <v/>
      </c>
      <c r="AD79" s="26">
        <f t="array" ref="AD79">IFERROR(IF(NOT(ISNUMBER(_xlfn.XLOOKUP($A79&amp;"|"&amp;$C79,Financials!$A$2:$A$201&amp;"|"&amp;Financials!$B$2:$B$201,Financials!$AD$2:$AD$201,""))),"",IF(_xlfn.XLOOKUP($A79&amp;"|"&amp;$C79,Financials!$A$2:$A$201&amp;"|"&amp;Financials!$B$2:$B$201,Financials!$AD$2:$AD$201,"")&gt;=Scoring_Criteria!$D$10,5,IF(_xlfn.XLOOKUP($A79&amp;"|"&amp;$C79,Financials!$A$2:$A$201&amp;"|"&amp;Financials!$B$2:$B$201,Financials!$AD$2:$AD$201,"")&gt;=Scoring_Criteria!$E$10,4,IF(_xlfn.XLOOKUP($A79&amp;"|"&amp;$C79,Financials!$A$2:$A$201&amp;"|"&amp;Financials!$B$2:$B$201,Financials!$AD$2:$AD$201,"")&gt;=Scoring_Criteria!$F$10,3,IF(_xlfn.XLOOKUP($A79&amp;"|"&amp;$C79,Financials!$A$2:$A$201&amp;"|"&amp;Financials!$B$2:$B$201,Financials!$AD$2:$AD$201,"")&gt;=Scoring_Criteria!$G$10,2,1))))),"")</f>
        <v/>
      </c>
      <c r="AE79" s="27" t="n"/>
      <c r="AF79" s="27" t="n"/>
      <c r="AG79" s="28">
        <f>IFERROR(IF(COUNTA(X79:AF79)=0,"",AVERAGE(X79:AF79)),"")</f>
        <v/>
      </c>
      <c r="AH79" s="29" t="n"/>
      <c r="AI79" s="29" t="n"/>
      <c r="AJ79" s="29" t="n"/>
      <c r="AK79" s="29" t="n"/>
      <c r="AL79" s="29" t="n"/>
      <c r="AM79" s="29" t="n"/>
      <c r="AN79" s="29" t="n"/>
      <c r="AO79" s="29" t="n"/>
      <c r="AP79" s="29" t="n"/>
      <c r="AQ79" s="29" t="n"/>
      <c r="AR79" s="29" t="n"/>
      <c r="AS79" s="29" t="n"/>
      <c r="AT79" s="29" t="n"/>
      <c r="AU79">
        <f>IFERROR(Validation_Summary!Q5,"")</f>
        <v/>
      </c>
    </row>
    <row r="80" ht="15" customHeight="1" s="67">
      <c r="A80" s="6" t="inlineStr">
        <is>
          <t>PT Sawit Sumbermas Sarana Tbk</t>
        </is>
      </c>
      <c r="B80" s="19">
        <f t="array" ref="B80">IFERROR(_xlfn.XLOOKUP($A80&amp;"|"&amp;$C80,'Company_Master'!$A$2:$A$94&amp;"|"&amp;'Company_Master'!$D$2:$D$94,'Company_Master'!$B$2:$B$94,""),"")</f>
        <v/>
      </c>
      <c r="C80" s="98" t="n">
        <v>2023</v>
      </c>
      <c r="D80" s="19">
        <f t="array" ref="D80">IFERROR(_xlfn.XLOOKUP($A80&amp;"|"&amp;$C80,'Company_Master'!$A$2:$A$94&amp;"|"&amp;'Company_Master'!$D$2:$D$94,'Company_Master'!$H$2:$H$94,""),"")</f>
        <v/>
      </c>
      <c r="E80" s="98">
        <f t="array" ref="E80">IFERROR(_xlfn.XLOOKUP($A80&amp;"|"&amp;$C80,Asset_Operations!$A$2:$A$201&amp;"|"&amp;Asset_Operations!$BG$2:$BG$201,Asset_Operations!$B$2:$B$201,""),"")</f>
        <v/>
      </c>
      <c r="F80" s="98">
        <f t="array" ref="F80">IFERROR(_xlfn.XLOOKUP($A80&amp;"|"&amp;$C80,Asset_Operations!$A$2:$A$201&amp;"|"&amp;Asset_Operations!$BG$2:$BG$201,Asset_Operations!$E$2:$E$201,""),"")</f>
        <v/>
      </c>
      <c r="G80" s="98">
        <f t="array" ref="G80">IFERROR(_xlfn.XLOOKUP($A80&amp;"|"&amp;$C80,Asset_Operations!$A$2:$A$201&amp;"|"&amp;Asset_Operations!$BG$2:$BG$201,Asset_Operations!$I$2:$I$201,""),"")</f>
        <v/>
      </c>
      <c r="H80" s="98">
        <f t="array" ref="H80">IFERROR(_xlfn.XLOOKUP($A80&amp;"|"&amp;$C80,Asset_Operations!$A$2:$A$201&amp;"|"&amp;Asset_Operations!$BG$2:$BG$201,Asset_Operations!$J$2:$J$201,""),"")</f>
        <v/>
      </c>
      <c r="I80" s="98">
        <f t="array" ref="I80">IFERROR(_xlfn.XLOOKUP($A80&amp;"|"&amp;$C80,Asset_Operations!$A$2:$A$201&amp;"|"&amp;Asset_Operations!$BG$2:$BG$201,Asset_Operations!$O$2:$O$201,""),"")</f>
        <v/>
      </c>
      <c r="J80" s="98">
        <f t="array" ref="J80">IFERROR(_xlfn.XLOOKUP($A80&amp;"|"&amp;$C80,Asset_Operations!$A$2:$A$201&amp;"|"&amp;Asset_Operations!$BG$2:$BG$201,Asset_Operations!$S$2:$S$201,""),"")</f>
        <v/>
      </c>
      <c r="K80" s="98">
        <f t="array" ref="K80">IFERROR(_xlfn.XLOOKUP($A80&amp;"|"&amp;$C80,Asset_Operations!$A$2:$A$201&amp;"|"&amp;Asset_Operations!$BG$2:$BG$201,Asset_Operations!$AC$2:$AC$201,""),"")</f>
        <v/>
      </c>
      <c r="L80" s="98">
        <f t="array" ref="L80">IFERROR(_xlfn.XLOOKUP($A80&amp;"|"&amp;$C80,Asset_Operations!$A$2:$A$201&amp;"|"&amp;Asset_Operations!$BG$2:$BG$201,Asset_Operations!$AG$2:$AG$201,""),"")</f>
        <v/>
      </c>
      <c r="M80" s="98">
        <f t="array" ref="M80">IFERROR(_xlfn.XLOOKUP($A80&amp;"|"&amp;$C80,Asset_Operations!$A$2:$A$201&amp;"|"&amp;Asset_Operations!$BG$2:$BG$201,Asset_Operations!$AO$2:$AO$201,""),"")</f>
        <v/>
      </c>
      <c r="N80" s="99">
        <f t="array" ref="N80">IFERROR(_xlfn.XLOOKUP($A80&amp;"|"&amp;$C80,Asset_Operations!$A$2:$A$201&amp;"|"&amp;Asset_Operations!$BG$2:$BG$201,Asset_Operations!$AR$2:$AR$201,""),"")</f>
        <v/>
      </c>
      <c r="O80" s="100">
        <f t="array" ref="O80">IFERROR(_xlfn.XLOOKUP($A80&amp;"|"&amp;$C80,Financials!$A$2:$A$201&amp;"|"&amp;Financials!$B$2:$B$201,Financials!$C$2:$C$201,""),"")</f>
        <v/>
      </c>
      <c r="P80" s="100">
        <f t="array" ref="P80">IFERROR(_xlfn.XLOOKUP($A80&amp;"|"&amp;$C80,Financials!$A$2:$A$201&amp;"|"&amp;Financials!$B$2:$B$201,Financials!$E$2:$E$201,""),"")</f>
        <v/>
      </c>
      <c r="Q80" s="100">
        <f t="array" ref="Q80">IFERROR(_xlfn.XLOOKUP($A80&amp;"|"&amp;$C80,Financials!$A$2:$A$201&amp;"|"&amp;Financials!$B$2:$B$201,Financials!$G$2:$G$201,""),"")</f>
        <v/>
      </c>
      <c r="R80" s="100">
        <f t="array" ref="R80">IFERROR(_xlfn.XLOOKUP($A80&amp;"|"&amp;$C80,Financials!$A$2:$A$201&amp;"|"&amp;Financials!$B$2:$B$201,Financials!$S$2:$S$201,""),"")</f>
        <v/>
      </c>
      <c r="S80" s="100">
        <f t="array" ref="S80">IFERROR(_xlfn.XLOOKUP($A80&amp;"|"&amp;$C80,Financials!$A$2:$A$201&amp;"|"&amp;Financials!$B$2:$B$201,Financials!$AC$2:$AC$201,""),"")</f>
        <v/>
      </c>
      <c r="T80" s="101">
        <f>IFERROR(P80/O80,"")</f>
        <v/>
      </c>
      <c r="U80" s="24">
        <f>IFERROR(R80/P80,"")</f>
        <v/>
      </c>
      <c r="V80" s="102">
        <f>IFERROR(O80/E80,"")</f>
        <v/>
      </c>
      <c r="W80" s="24">
        <f>IFERROR(L80/F80,"")</f>
        <v/>
      </c>
      <c r="X80" s="26">
        <f>IFERROR(IF(NOT(ISNUMBER($E80)),"",IF($E80&gt;=Scoring_Criteria!$D$4,5,IF($E80&gt;=Scoring_Criteria!$E$4,4,IF($E80&gt;=Scoring_Criteria!$F$4,3,IF($E80&gt;=Scoring_Criteria!$G$4,2,1))))),"")</f>
        <v/>
      </c>
      <c r="Y80" s="26">
        <f>IFERROR(IF(OR(NOT(ISNUMBER($F80)),NOT(ISNUMBER($E80)),$E80=0),"",IF(($F80/$E80)&gt;=Scoring_Criteria!$D$5,5,IF(($F80/$E80)&gt;=Scoring_Criteria!$E$5,4,IF(($F80/$E80)&gt;=Scoring_Criteria!$F$5,3,IF(($F80/$E80)&gt;=Scoring_Criteria!$G$5,2,1))))),"")</f>
        <v/>
      </c>
      <c r="Z80" s="26">
        <f>IFERROR(IF(AND(NOT(ISNUMBER($I80)),NOT(ISNUMBER($J80))),"",IF((IFERROR($I80,0)+IFERROR($J80,0))&gt;=Scoring_Criteria!$D$6,5,IF((IFERROR($I80,0)+IFERROR($J80,0))&gt;=Scoring_Criteria!$E$6,4,IF((IFERROR($I80,0)+IFERROR($J80,0))&gt;=Scoring_Criteria!$F$6,3,IF((IFERROR($I80,0)+IFERROR($J80,0))&gt;=Scoring_Criteria!$G$6,2,1))))),"")</f>
        <v/>
      </c>
      <c r="AA80" s="26">
        <f>IFERROR(IF(NOT(ISNUMBER($M80)),"",IF($M80&gt;=Scoring_Criteria!$D$7,5,IF($M80&gt;=Scoring_Criteria!$E$7,4,IF($M80&gt;=Scoring_Criteria!$F$7,3,IF($M80&gt;=Scoring_Criteria!$G$7,2,1))))),"")</f>
        <v/>
      </c>
      <c r="AB80" s="26">
        <f>IFERROR(IF(NOT(ISNUMBER($T80)),"",IF($T80&gt;=Scoring_Criteria!$D$8,5,IF($T80&gt;=Scoring_Criteria!$E$8,4,IF($T80&gt;=Scoring_Criteria!$F$8,3,IF($T80&gt;=Scoring_Criteria!$G$8,2,1))))),"")</f>
        <v/>
      </c>
      <c r="AC80" s="26">
        <f>IFERROR(IF(NOT(ISNUMBER($U80)),"",IF($U80&lt;=Scoring_Criteria!$D$9,5,IF($U80&lt;=Scoring_Criteria!$E$9,4,IF($U80&lt;=Scoring_Criteria!$F$9,3,IF($U80&lt;=Scoring_Criteria!$G$9,2,1))))),"")</f>
        <v/>
      </c>
      <c r="AD80" s="26">
        <f t="array" ref="AD80">IFERROR(IF(NOT(ISNUMBER(_xlfn.XLOOKUP($A80&amp;"|"&amp;$C80,Financials!$A$2:$A$201&amp;"|"&amp;Financials!$B$2:$B$201,Financials!$AD$2:$AD$201,""))),"",IF(_xlfn.XLOOKUP($A80&amp;"|"&amp;$C80,Financials!$A$2:$A$201&amp;"|"&amp;Financials!$B$2:$B$201,Financials!$AD$2:$AD$201,"")&gt;=Scoring_Criteria!$D$10,5,IF(_xlfn.XLOOKUP($A80&amp;"|"&amp;$C80,Financials!$A$2:$A$201&amp;"|"&amp;Financials!$B$2:$B$201,Financials!$AD$2:$AD$201,"")&gt;=Scoring_Criteria!$E$10,4,IF(_xlfn.XLOOKUP($A80&amp;"|"&amp;$C80,Financials!$A$2:$A$201&amp;"|"&amp;Financials!$B$2:$B$201,Financials!$AD$2:$AD$201,"")&gt;=Scoring_Criteria!$F$10,3,IF(_xlfn.XLOOKUP($A80&amp;"|"&amp;$C80,Financials!$A$2:$A$201&amp;"|"&amp;Financials!$B$2:$B$201,Financials!$AD$2:$AD$201,"")&gt;=Scoring_Criteria!$G$10,2,1))))),"")</f>
        <v/>
      </c>
      <c r="AE80" s="27" t="n"/>
      <c r="AF80" s="27" t="n"/>
      <c r="AG80" s="28">
        <f>IFERROR(IF(COUNTA(X80:AF80)=0,"",AVERAGE(X80:AF80)),"")</f>
        <v/>
      </c>
      <c r="AH80" s="29" t="n"/>
      <c r="AI80" s="29" t="n"/>
      <c r="AJ80" s="29" t="n"/>
      <c r="AK80" s="29" t="n"/>
      <c r="AL80" s="29" t="n"/>
      <c r="AM80" s="29" t="n"/>
      <c r="AN80" s="29" t="n"/>
      <c r="AO80" s="29" t="n"/>
      <c r="AP80" s="29" t="n"/>
      <c r="AQ80" s="29" t="n"/>
      <c r="AR80" s="29" t="n"/>
      <c r="AS80" s="29" t="n"/>
      <c r="AT80" s="29" t="n"/>
      <c r="AU80">
        <f>IFERROR(Validation_Summary!Q5,"")</f>
        <v/>
      </c>
    </row>
    <row r="81" ht="15" customHeight="1" s="67">
      <c r="A81" s="6" t="inlineStr">
        <is>
          <t>PT Sawit Sumbermas Sarana Tbk</t>
        </is>
      </c>
      <c r="B81" s="19">
        <f t="array" ref="B81">IFERROR(_xlfn.XLOOKUP($A81&amp;"|"&amp;$C81,'Company_Master'!$A$2:$A$94&amp;"|"&amp;'Company_Master'!$D$2:$D$94,'Company_Master'!$B$2:$B$94,""),"")</f>
        <v/>
      </c>
      <c r="C81" s="98" t="n">
        <v>2024</v>
      </c>
      <c r="D81" s="19">
        <f t="array" ref="D81">IFERROR(_xlfn.XLOOKUP($A81&amp;"|"&amp;$C81,'Company_Master'!$A$2:$A$94&amp;"|"&amp;'Company_Master'!$D$2:$D$94,'Company_Master'!$H$2:$H$94,""),"")</f>
        <v/>
      </c>
      <c r="E81" s="98">
        <f t="array" ref="E81">IFERROR(_xlfn.XLOOKUP($A81&amp;"|"&amp;$C81,Asset_Operations!$A$2:$A$201&amp;"|"&amp;Asset_Operations!$BG$2:$BG$201,Asset_Operations!$B$2:$B$201,""),"")</f>
        <v/>
      </c>
      <c r="F81" s="98">
        <f t="array" ref="F81">IFERROR(_xlfn.XLOOKUP($A81&amp;"|"&amp;$C81,Asset_Operations!$A$2:$A$201&amp;"|"&amp;Asset_Operations!$BG$2:$BG$201,Asset_Operations!$E$2:$E$201,""),"")</f>
        <v/>
      </c>
      <c r="G81" s="98">
        <f t="array" ref="G81">IFERROR(_xlfn.XLOOKUP($A81&amp;"|"&amp;$C81,Asset_Operations!$A$2:$A$201&amp;"|"&amp;Asset_Operations!$BG$2:$BG$201,Asset_Operations!$I$2:$I$201,""),"")</f>
        <v/>
      </c>
      <c r="H81" s="98">
        <f t="array" ref="H81">IFERROR(_xlfn.XLOOKUP($A81&amp;"|"&amp;$C81,Asset_Operations!$A$2:$A$201&amp;"|"&amp;Asset_Operations!$BG$2:$BG$201,Asset_Operations!$J$2:$J$201,""),"")</f>
        <v/>
      </c>
      <c r="I81" s="98">
        <f t="array" ref="I81">IFERROR(_xlfn.XLOOKUP($A81&amp;"|"&amp;$C81,Asset_Operations!$A$2:$A$201&amp;"|"&amp;Asset_Operations!$BG$2:$BG$201,Asset_Operations!$O$2:$O$201,""),"")</f>
        <v/>
      </c>
      <c r="J81" s="98">
        <f t="array" ref="J81">IFERROR(_xlfn.XLOOKUP($A81&amp;"|"&amp;$C81,Asset_Operations!$A$2:$A$201&amp;"|"&amp;Asset_Operations!$BG$2:$BG$201,Asset_Operations!$S$2:$S$201,""),"")</f>
        <v/>
      </c>
      <c r="K81" s="98">
        <f t="array" ref="K81">IFERROR(_xlfn.XLOOKUP($A81&amp;"|"&amp;$C81,Asset_Operations!$A$2:$A$201&amp;"|"&amp;Asset_Operations!$BG$2:$BG$201,Asset_Operations!$AC$2:$AC$201,""),"")</f>
        <v/>
      </c>
      <c r="L81" s="98">
        <f t="array" ref="L81">IFERROR(_xlfn.XLOOKUP($A81&amp;"|"&amp;$C81,Asset_Operations!$A$2:$A$201&amp;"|"&amp;Asset_Operations!$BG$2:$BG$201,Asset_Operations!$AG$2:$AG$201,""),"")</f>
        <v/>
      </c>
      <c r="M81" s="98">
        <f t="array" ref="M81">IFERROR(_xlfn.XLOOKUP($A81&amp;"|"&amp;$C81,Asset_Operations!$A$2:$A$201&amp;"|"&amp;Asset_Operations!$BG$2:$BG$201,Asset_Operations!$AO$2:$AO$201,""),"")</f>
        <v/>
      </c>
      <c r="N81" s="99">
        <f t="array" ref="N81">IFERROR(_xlfn.XLOOKUP($A81&amp;"|"&amp;$C81,Asset_Operations!$A$2:$A$201&amp;"|"&amp;Asset_Operations!$BG$2:$BG$201,Asset_Operations!$AR$2:$AR$201,""),"")</f>
        <v/>
      </c>
      <c r="O81" s="100">
        <f t="array" ref="O81">IFERROR(_xlfn.XLOOKUP($A81&amp;"|"&amp;$C81,Financials!$A$2:$A$201&amp;"|"&amp;Financials!$B$2:$B$201,Financials!$C$2:$C$201,""),"")</f>
        <v/>
      </c>
      <c r="P81" s="100">
        <f t="array" ref="P81">IFERROR(_xlfn.XLOOKUP($A81&amp;"|"&amp;$C81,Financials!$A$2:$A$201&amp;"|"&amp;Financials!$B$2:$B$201,Financials!$E$2:$E$201,""),"")</f>
        <v/>
      </c>
      <c r="Q81" s="100">
        <f t="array" ref="Q81">IFERROR(_xlfn.XLOOKUP($A81&amp;"|"&amp;$C81,Financials!$A$2:$A$201&amp;"|"&amp;Financials!$B$2:$B$201,Financials!$G$2:$G$201,""),"")</f>
        <v/>
      </c>
      <c r="R81" s="100">
        <f t="array" ref="R81">IFERROR(_xlfn.XLOOKUP($A81&amp;"|"&amp;$C81,Financials!$A$2:$A$201&amp;"|"&amp;Financials!$B$2:$B$201,Financials!$S$2:$S$201,""),"")</f>
        <v/>
      </c>
      <c r="S81" s="100">
        <f t="array" ref="S81">IFERROR(_xlfn.XLOOKUP($A81&amp;"|"&amp;$C81,Financials!$A$2:$A$201&amp;"|"&amp;Financials!$B$2:$B$201,Financials!$AC$2:$AC$201,""),"")</f>
        <v/>
      </c>
      <c r="T81" s="101">
        <f>IFERROR(P81/O81,"")</f>
        <v/>
      </c>
      <c r="U81" s="24">
        <f>IFERROR(R81/P81,"")</f>
        <v/>
      </c>
      <c r="V81" s="102">
        <f>IFERROR(O81/E81,"")</f>
        <v/>
      </c>
      <c r="W81" s="24">
        <f>IFERROR(L81/F81,"")</f>
        <v/>
      </c>
      <c r="X81" s="26">
        <f>IFERROR(IF(NOT(ISNUMBER($E81)),"",IF($E81&gt;=Scoring_Criteria!$D$4,5,IF($E81&gt;=Scoring_Criteria!$E$4,4,IF($E81&gt;=Scoring_Criteria!$F$4,3,IF($E81&gt;=Scoring_Criteria!$G$4,2,1))))),"")</f>
        <v/>
      </c>
      <c r="Y81" s="26">
        <f>IFERROR(IF(OR(NOT(ISNUMBER($F81)),NOT(ISNUMBER($E81)),$E81=0),"",IF(($F81/$E81)&gt;=Scoring_Criteria!$D$5,5,IF(($F81/$E81)&gt;=Scoring_Criteria!$E$5,4,IF(($F81/$E81)&gt;=Scoring_Criteria!$F$5,3,IF(($F81/$E81)&gt;=Scoring_Criteria!$G$5,2,1))))),"")</f>
        <v/>
      </c>
      <c r="Z81" s="26">
        <f>IFERROR(IF(AND(NOT(ISNUMBER($I81)),NOT(ISNUMBER($J81))),"",IF((IFERROR($I81,0)+IFERROR($J81,0))&gt;=Scoring_Criteria!$D$6,5,IF((IFERROR($I81,0)+IFERROR($J81,0))&gt;=Scoring_Criteria!$E$6,4,IF((IFERROR($I81,0)+IFERROR($J81,0))&gt;=Scoring_Criteria!$F$6,3,IF((IFERROR($I81,0)+IFERROR($J81,0))&gt;=Scoring_Criteria!$G$6,2,1))))),"")</f>
        <v/>
      </c>
      <c r="AA81" s="26">
        <f>IFERROR(IF(NOT(ISNUMBER($M81)),"",IF($M81&gt;=Scoring_Criteria!$D$7,5,IF($M81&gt;=Scoring_Criteria!$E$7,4,IF($M81&gt;=Scoring_Criteria!$F$7,3,IF($M81&gt;=Scoring_Criteria!$G$7,2,1))))),"")</f>
        <v/>
      </c>
      <c r="AB81" s="26">
        <f>IFERROR(IF(NOT(ISNUMBER($T81)),"",IF($T81&gt;=Scoring_Criteria!$D$8,5,IF($T81&gt;=Scoring_Criteria!$E$8,4,IF($T81&gt;=Scoring_Criteria!$F$8,3,IF($T81&gt;=Scoring_Criteria!$G$8,2,1))))),"")</f>
        <v/>
      </c>
      <c r="AC81" s="26">
        <f>IFERROR(IF(NOT(ISNUMBER($U81)),"",IF($U81&lt;=Scoring_Criteria!$D$9,5,IF($U81&lt;=Scoring_Criteria!$E$9,4,IF($U81&lt;=Scoring_Criteria!$F$9,3,IF($U81&lt;=Scoring_Criteria!$G$9,2,1))))),"")</f>
        <v/>
      </c>
      <c r="AD81" s="26">
        <f t="array" ref="AD81">IFERROR(IF(NOT(ISNUMBER(_xlfn.XLOOKUP($A81&amp;"|"&amp;$C81,Financials!$A$2:$A$201&amp;"|"&amp;Financials!$B$2:$B$201,Financials!$AD$2:$AD$201,""))),"",IF(_xlfn.XLOOKUP($A81&amp;"|"&amp;$C81,Financials!$A$2:$A$201&amp;"|"&amp;Financials!$B$2:$B$201,Financials!$AD$2:$AD$201,"")&gt;=Scoring_Criteria!$D$10,5,IF(_xlfn.XLOOKUP($A81&amp;"|"&amp;$C81,Financials!$A$2:$A$201&amp;"|"&amp;Financials!$B$2:$B$201,Financials!$AD$2:$AD$201,"")&gt;=Scoring_Criteria!$E$10,4,IF(_xlfn.XLOOKUP($A81&amp;"|"&amp;$C81,Financials!$A$2:$A$201&amp;"|"&amp;Financials!$B$2:$B$201,Financials!$AD$2:$AD$201,"")&gt;=Scoring_Criteria!$F$10,3,IF(_xlfn.XLOOKUP($A81&amp;"|"&amp;$C81,Financials!$A$2:$A$201&amp;"|"&amp;Financials!$B$2:$B$201,Financials!$AD$2:$AD$201,"")&gt;=Scoring_Criteria!$G$10,2,1))))),"")</f>
        <v/>
      </c>
      <c r="AE81" s="27" t="n"/>
      <c r="AF81" s="27" t="n"/>
      <c r="AG81" s="28">
        <f>IFERROR(IF(COUNTA(X81:AF81)=0,"",AVERAGE(X81:AF81)),"")</f>
        <v/>
      </c>
      <c r="AH81" s="29" t="n"/>
      <c r="AI81" s="29" t="n"/>
      <c r="AJ81" s="29" t="n"/>
      <c r="AK81" s="29" t="n"/>
      <c r="AL81" s="29" t="n"/>
      <c r="AM81" s="29" t="n"/>
      <c r="AN81" s="29" t="n"/>
      <c r="AO81" s="29" t="n"/>
      <c r="AP81" s="29" t="n"/>
      <c r="AQ81" s="29" t="n"/>
      <c r="AR81" s="29" t="n"/>
      <c r="AS81" s="29" t="n"/>
      <c r="AT81" s="29" t="n"/>
      <c r="AU81">
        <f>IFERROR(Validation_Summary!Q5,"")</f>
        <v/>
      </c>
    </row>
    <row r="82" ht="15" customHeight="1" s="67">
      <c r="A82" s="6" t="inlineStr">
        <is>
          <t>PT Sawit Sumbermas Sarana Tbk</t>
        </is>
      </c>
      <c r="B82" s="19">
        <f t="array" ref="B82">IFERROR(_xlfn.XLOOKUP($A82&amp;"|"&amp;$C82,'Company_Master'!$A$2:$A$94&amp;"|"&amp;'Company_Master'!$D$2:$D$94,'Company_Master'!$B$2:$B$94,""),"")</f>
        <v/>
      </c>
      <c r="C82" s="98" t="n">
        <v>2025</v>
      </c>
      <c r="D82" s="19">
        <f t="array" ref="D82">IFERROR(_xlfn.XLOOKUP($A82&amp;"|"&amp;$C82,'Company_Master'!$A$2:$A$94&amp;"|"&amp;'Company_Master'!$D$2:$D$94,'Company_Master'!$H$2:$H$94,""),"")</f>
        <v/>
      </c>
      <c r="E82" s="98">
        <f t="array" ref="E82">IFERROR(_xlfn.XLOOKUP($A82&amp;"|"&amp;$C82,Asset_Operations!$A$2:$A$201&amp;"|"&amp;Asset_Operations!$BG$2:$BG$201,Asset_Operations!$B$2:$B$201,""),"")</f>
        <v/>
      </c>
      <c r="F82" s="98">
        <f t="array" ref="F82">IFERROR(_xlfn.XLOOKUP($A82&amp;"|"&amp;$C82,Asset_Operations!$A$2:$A$201&amp;"|"&amp;Asset_Operations!$BG$2:$BG$201,Asset_Operations!$E$2:$E$201,""),"")</f>
        <v/>
      </c>
      <c r="G82" s="98">
        <f t="array" ref="G82">IFERROR(_xlfn.XLOOKUP($A82&amp;"|"&amp;$C82,Asset_Operations!$A$2:$A$201&amp;"|"&amp;Asset_Operations!$BG$2:$BG$201,Asset_Operations!$I$2:$I$201,""),"")</f>
        <v/>
      </c>
      <c r="H82" s="98">
        <f t="array" ref="H82">IFERROR(_xlfn.XLOOKUP($A82&amp;"|"&amp;$C82,Asset_Operations!$A$2:$A$201&amp;"|"&amp;Asset_Operations!$BG$2:$BG$201,Asset_Operations!$J$2:$J$201,""),"")</f>
        <v/>
      </c>
      <c r="I82" s="98">
        <f t="array" ref="I82">IFERROR(_xlfn.XLOOKUP($A82&amp;"|"&amp;$C82,Asset_Operations!$A$2:$A$201&amp;"|"&amp;Asset_Operations!$BG$2:$BG$201,Asset_Operations!$O$2:$O$201,""),"")</f>
        <v/>
      </c>
      <c r="J82" s="98">
        <f t="array" ref="J82">IFERROR(_xlfn.XLOOKUP($A82&amp;"|"&amp;$C82,Asset_Operations!$A$2:$A$201&amp;"|"&amp;Asset_Operations!$BG$2:$BG$201,Asset_Operations!$S$2:$S$201,""),"")</f>
        <v/>
      </c>
      <c r="K82" s="98">
        <f t="array" ref="K82">IFERROR(_xlfn.XLOOKUP($A82&amp;"|"&amp;$C82,Asset_Operations!$A$2:$A$201&amp;"|"&amp;Asset_Operations!$BG$2:$BG$201,Asset_Operations!$AC$2:$AC$201,""),"")</f>
        <v/>
      </c>
      <c r="L82" s="98">
        <f t="array" ref="L82">IFERROR(_xlfn.XLOOKUP($A82&amp;"|"&amp;$C82,Asset_Operations!$A$2:$A$201&amp;"|"&amp;Asset_Operations!$BG$2:$BG$201,Asset_Operations!$AG$2:$AG$201,""),"")</f>
        <v/>
      </c>
      <c r="M82" s="98">
        <f t="array" ref="M82">IFERROR(_xlfn.XLOOKUP($A82&amp;"|"&amp;$C82,Asset_Operations!$A$2:$A$201&amp;"|"&amp;Asset_Operations!$BG$2:$BG$201,Asset_Operations!$AO$2:$AO$201,""),"")</f>
        <v/>
      </c>
      <c r="N82" s="99">
        <f t="array" ref="N82">IFERROR(_xlfn.XLOOKUP($A82&amp;"|"&amp;$C82,Asset_Operations!$A$2:$A$201&amp;"|"&amp;Asset_Operations!$BG$2:$BG$201,Asset_Operations!$AR$2:$AR$201,""),"")</f>
        <v/>
      </c>
      <c r="O82" s="100">
        <f t="array" ref="O82">IFERROR(_xlfn.XLOOKUP($A82&amp;"|"&amp;$C82,Financials!$A$2:$A$201&amp;"|"&amp;Financials!$B$2:$B$201,Financials!$C$2:$C$201,""),"")</f>
        <v/>
      </c>
      <c r="P82" s="100">
        <f t="array" ref="P82">IFERROR(_xlfn.XLOOKUP($A82&amp;"|"&amp;$C82,Financials!$A$2:$A$201&amp;"|"&amp;Financials!$B$2:$B$201,Financials!$E$2:$E$201,""),"")</f>
        <v/>
      </c>
      <c r="Q82" s="100">
        <f t="array" ref="Q82">IFERROR(_xlfn.XLOOKUP($A82&amp;"|"&amp;$C82,Financials!$A$2:$A$201&amp;"|"&amp;Financials!$B$2:$B$201,Financials!$G$2:$G$201,""),"")</f>
        <v/>
      </c>
      <c r="R82" s="100">
        <f t="array" ref="R82">IFERROR(_xlfn.XLOOKUP($A82&amp;"|"&amp;$C82,Financials!$A$2:$A$201&amp;"|"&amp;Financials!$B$2:$B$201,Financials!$S$2:$S$201,""),"")</f>
        <v/>
      </c>
      <c r="S82" s="100">
        <f t="array" ref="S82">IFERROR(_xlfn.XLOOKUP($A82&amp;"|"&amp;$C82,Financials!$A$2:$A$201&amp;"|"&amp;Financials!$B$2:$B$201,Financials!$AC$2:$AC$201,""),"")</f>
        <v/>
      </c>
      <c r="T82" s="101">
        <f>IFERROR(P82/O82,"")</f>
        <v/>
      </c>
      <c r="U82" s="24">
        <f>IFERROR(R82/P82,"")</f>
        <v/>
      </c>
      <c r="V82" s="102">
        <f>IFERROR(O82/E82,"")</f>
        <v/>
      </c>
      <c r="W82" s="24">
        <f>IFERROR(L82/F82,"")</f>
        <v/>
      </c>
      <c r="X82" s="26">
        <f>IFERROR(IF(NOT(ISNUMBER($E82)),"",IF($E82&gt;=Scoring_Criteria!$D$4,5,IF($E82&gt;=Scoring_Criteria!$E$4,4,IF($E82&gt;=Scoring_Criteria!$F$4,3,IF($E82&gt;=Scoring_Criteria!$G$4,2,1))))),"")</f>
        <v/>
      </c>
      <c r="Y82" s="26">
        <f>IFERROR(IF(OR(NOT(ISNUMBER($F82)),NOT(ISNUMBER($E82)),$E82=0),"",IF(($F82/$E82)&gt;=Scoring_Criteria!$D$5,5,IF(($F82/$E82)&gt;=Scoring_Criteria!$E$5,4,IF(($F82/$E82)&gt;=Scoring_Criteria!$F$5,3,IF(($F82/$E82)&gt;=Scoring_Criteria!$G$5,2,1))))),"")</f>
        <v/>
      </c>
      <c r="Z82" s="26">
        <f>IFERROR(IF(AND(NOT(ISNUMBER($I82)),NOT(ISNUMBER($J82))),"",IF((IFERROR($I82,0)+IFERROR($J82,0))&gt;=Scoring_Criteria!$D$6,5,IF((IFERROR($I82,0)+IFERROR($J82,0))&gt;=Scoring_Criteria!$E$6,4,IF((IFERROR($I82,0)+IFERROR($J82,0))&gt;=Scoring_Criteria!$F$6,3,IF((IFERROR($I82,0)+IFERROR($J82,0))&gt;=Scoring_Criteria!$G$6,2,1))))),"")</f>
        <v/>
      </c>
      <c r="AA82" s="26">
        <f>IFERROR(IF(NOT(ISNUMBER($M82)),"",IF($M82&gt;=Scoring_Criteria!$D$7,5,IF($M82&gt;=Scoring_Criteria!$E$7,4,IF($M82&gt;=Scoring_Criteria!$F$7,3,IF($M82&gt;=Scoring_Criteria!$G$7,2,1))))),"")</f>
        <v/>
      </c>
      <c r="AB82" s="26">
        <f>IFERROR(IF(NOT(ISNUMBER($T82)),"",IF($T82&gt;=Scoring_Criteria!$D$8,5,IF($T82&gt;=Scoring_Criteria!$E$8,4,IF($T82&gt;=Scoring_Criteria!$F$8,3,IF($T82&gt;=Scoring_Criteria!$G$8,2,1))))),"")</f>
        <v/>
      </c>
      <c r="AC82" s="26">
        <f>IFERROR(IF(NOT(ISNUMBER($U82)),"",IF($U82&lt;=Scoring_Criteria!$D$9,5,IF($U82&lt;=Scoring_Criteria!$E$9,4,IF($U82&lt;=Scoring_Criteria!$F$9,3,IF($U82&lt;=Scoring_Criteria!$G$9,2,1))))),"")</f>
        <v/>
      </c>
      <c r="AD82" s="26">
        <f t="array" ref="AD82">IFERROR(IF(NOT(ISNUMBER(_xlfn.XLOOKUP($A82&amp;"|"&amp;$C82,Financials!$A$2:$A$201&amp;"|"&amp;Financials!$B$2:$B$201,Financials!$AD$2:$AD$201,""))),"",IF(_xlfn.XLOOKUP($A82&amp;"|"&amp;$C82,Financials!$A$2:$A$201&amp;"|"&amp;Financials!$B$2:$B$201,Financials!$AD$2:$AD$201,"")&gt;=Scoring_Criteria!$D$10,5,IF(_xlfn.XLOOKUP($A82&amp;"|"&amp;$C82,Financials!$A$2:$A$201&amp;"|"&amp;Financials!$B$2:$B$201,Financials!$AD$2:$AD$201,"")&gt;=Scoring_Criteria!$E$10,4,IF(_xlfn.XLOOKUP($A82&amp;"|"&amp;$C82,Financials!$A$2:$A$201&amp;"|"&amp;Financials!$B$2:$B$201,Financials!$AD$2:$AD$201,"")&gt;=Scoring_Criteria!$F$10,3,IF(_xlfn.XLOOKUP($A82&amp;"|"&amp;$C82,Financials!$A$2:$A$201&amp;"|"&amp;Financials!$B$2:$B$201,Financials!$AD$2:$AD$201,"")&gt;=Scoring_Criteria!$G$10,2,1))))),"")</f>
        <v/>
      </c>
      <c r="AE82" s="27" t="n"/>
      <c r="AF82" s="27" t="n"/>
      <c r="AG82" s="28">
        <f>IFERROR(IF(COUNTA(X82:AF82)=0,"",AVERAGE(X82:AF82)),"")</f>
        <v/>
      </c>
      <c r="AH82" s="29" t="n"/>
      <c r="AI82" s="29" t="n"/>
      <c r="AJ82" s="29" t="n"/>
      <c r="AK82" s="29" t="n"/>
      <c r="AL82" s="29" t="n"/>
      <c r="AM82" s="29" t="n"/>
      <c r="AN82" s="29" t="n"/>
      <c r="AO82" s="29" t="n"/>
      <c r="AP82" s="29" t="n"/>
      <c r="AQ82" s="29" t="n"/>
      <c r="AR82" s="29" t="n"/>
      <c r="AS82" s="29" t="n"/>
      <c r="AT82" s="29" t="n"/>
      <c r="AU82">
        <f>IFERROR(Validation_Summary!Q5,"")</f>
        <v/>
      </c>
    </row>
    <row r="83" ht="15" customHeight="1" s="67">
      <c r="A83" s="6" t="inlineStr">
        <is>
          <t>PT Triputra Agro Persada Tbk</t>
        </is>
      </c>
      <c r="B83" s="19">
        <f t="array" ref="B83">IFERROR(_xlfn.XLOOKUP($A83&amp;"|"&amp;$C83,'Company_Master'!$A$2:$A$94&amp;"|"&amp;'Company_Master'!$D$2:$D$94,'Company_Master'!$B$2:$B$94,""),"")</f>
        <v/>
      </c>
      <c r="C83" s="98" t="n">
        <v>2023</v>
      </c>
      <c r="D83" s="19">
        <f t="array" ref="D83">IFERROR(_xlfn.XLOOKUP($A83&amp;"|"&amp;$C83,'Company_Master'!$A$2:$A$94&amp;"|"&amp;'Company_Master'!$D$2:$D$94,'Company_Master'!$H$2:$H$94,""),"")</f>
        <v/>
      </c>
      <c r="E83" s="98">
        <f t="array" ref="E83">IFERROR(_xlfn.XLOOKUP($A83&amp;"|"&amp;$C83,Asset_Operations!$A$2:$A$201&amp;"|"&amp;Asset_Operations!$BG$2:$BG$201,Asset_Operations!$B$2:$B$201,""),"")</f>
        <v/>
      </c>
      <c r="F83" s="98">
        <f t="array" ref="F83">IFERROR(_xlfn.XLOOKUP($A83&amp;"|"&amp;$C83,Asset_Operations!$A$2:$A$201&amp;"|"&amp;Asset_Operations!$BG$2:$BG$201,Asset_Operations!$E$2:$E$201,""),"")</f>
        <v/>
      </c>
      <c r="G83" s="98">
        <f t="array" ref="G83">IFERROR(_xlfn.XLOOKUP($A83&amp;"|"&amp;$C83,Asset_Operations!$A$2:$A$201&amp;"|"&amp;Asset_Operations!$BG$2:$BG$201,Asset_Operations!$I$2:$I$201,""),"")</f>
        <v/>
      </c>
      <c r="H83" s="98">
        <f t="array" ref="H83">IFERROR(_xlfn.XLOOKUP($A83&amp;"|"&amp;$C83,Asset_Operations!$A$2:$A$201&amp;"|"&amp;Asset_Operations!$BG$2:$BG$201,Asset_Operations!$J$2:$J$201,""),"")</f>
        <v/>
      </c>
      <c r="I83" s="98">
        <f t="array" ref="I83">IFERROR(_xlfn.XLOOKUP($A83&amp;"|"&amp;$C83,Asset_Operations!$A$2:$A$201&amp;"|"&amp;Asset_Operations!$BG$2:$BG$201,Asset_Operations!$O$2:$O$201,""),"")</f>
        <v/>
      </c>
      <c r="J83" s="98">
        <f t="array" ref="J83">IFERROR(_xlfn.XLOOKUP($A83&amp;"|"&amp;$C83,Asset_Operations!$A$2:$A$201&amp;"|"&amp;Asset_Operations!$BG$2:$BG$201,Asset_Operations!$S$2:$S$201,""),"")</f>
        <v/>
      </c>
      <c r="K83" s="98">
        <f t="array" ref="K83">IFERROR(_xlfn.XLOOKUP($A83&amp;"|"&amp;$C83,Asset_Operations!$A$2:$A$201&amp;"|"&amp;Asset_Operations!$BG$2:$BG$201,Asset_Operations!$AC$2:$AC$201,""),"")</f>
        <v/>
      </c>
      <c r="L83" s="98">
        <f t="array" ref="L83">IFERROR(_xlfn.XLOOKUP($A83&amp;"|"&amp;$C83,Asset_Operations!$A$2:$A$201&amp;"|"&amp;Asset_Operations!$BG$2:$BG$201,Asset_Operations!$AG$2:$AG$201,""),"")</f>
        <v/>
      </c>
      <c r="M83" s="98">
        <f t="array" ref="M83">IFERROR(_xlfn.XLOOKUP($A83&amp;"|"&amp;$C83,Asset_Operations!$A$2:$A$201&amp;"|"&amp;Asset_Operations!$BG$2:$BG$201,Asset_Operations!$AO$2:$AO$201,""),"")</f>
        <v/>
      </c>
      <c r="N83" s="99">
        <f t="array" ref="N83">IFERROR(_xlfn.XLOOKUP($A83&amp;"|"&amp;$C83,Asset_Operations!$A$2:$A$201&amp;"|"&amp;Asset_Operations!$BG$2:$BG$201,Asset_Operations!$AR$2:$AR$201,""),"")</f>
        <v/>
      </c>
      <c r="O83" s="100">
        <f t="array" ref="O83">IFERROR(_xlfn.XLOOKUP($A83&amp;"|"&amp;$C83,Financials!$A$2:$A$201&amp;"|"&amp;Financials!$B$2:$B$201,Financials!$C$2:$C$201,""),"")</f>
        <v/>
      </c>
      <c r="P83" s="100">
        <f t="array" ref="P83">IFERROR(_xlfn.XLOOKUP($A83&amp;"|"&amp;$C83,Financials!$A$2:$A$201&amp;"|"&amp;Financials!$B$2:$B$201,Financials!$E$2:$E$201,""),"")</f>
        <v/>
      </c>
      <c r="Q83" s="100">
        <f t="array" ref="Q83">IFERROR(_xlfn.XLOOKUP($A83&amp;"|"&amp;$C83,Financials!$A$2:$A$201&amp;"|"&amp;Financials!$B$2:$B$201,Financials!$G$2:$G$201,""),"")</f>
        <v/>
      </c>
      <c r="R83" s="100">
        <f t="array" ref="R83">IFERROR(_xlfn.XLOOKUP($A83&amp;"|"&amp;$C83,Financials!$A$2:$A$201&amp;"|"&amp;Financials!$B$2:$B$201,Financials!$S$2:$S$201,""),"")</f>
        <v/>
      </c>
      <c r="S83" s="100">
        <f t="array" ref="S83">IFERROR(_xlfn.XLOOKUP($A83&amp;"|"&amp;$C83,Financials!$A$2:$A$201&amp;"|"&amp;Financials!$B$2:$B$201,Financials!$AC$2:$AC$201,""),"")</f>
        <v/>
      </c>
      <c r="T83" s="101">
        <f>IFERROR(P83/O83,"")</f>
        <v/>
      </c>
      <c r="U83" s="24">
        <f>IFERROR(R83/P83,"")</f>
        <v/>
      </c>
      <c r="V83" s="102">
        <f>IFERROR(O83/E83,"")</f>
        <v/>
      </c>
      <c r="W83" s="24">
        <f>IFERROR(L83/F83,"")</f>
        <v/>
      </c>
      <c r="X83" s="26">
        <f>IFERROR(IF(NOT(ISNUMBER($E83)),"",IF($E83&gt;=Scoring_Criteria!$D$4,5,IF($E83&gt;=Scoring_Criteria!$E$4,4,IF($E83&gt;=Scoring_Criteria!$F$4,3,IF($E83&gt;=Scoring_Criteria!$G$4,2,1))))),"")</f>
        <v/>
      </c>
      <c r="Y83" s="26">
        <f>IFERROR(IF(OR(NOT(ISNUMBER($F83)),NOT(ISNUMBER($E83)),$E83=0),"",IF(($F83/$E83)&gt;=Scoring_Criteria!$D$5,5,IF(($F83/$E83)&gt;=Scoring_Criteria!$E$5,4,IF(($F83/$E83)&gt;=Scoring_Criteria!$F$5,3,IF(($F83/$E83)&gt;=Scoring_Criteria!$G$5,2,1))))),"")</f>
        <v/>
      </c>
      <c r="Z83" s="26">
        <f>IFERROR(IF(AND(NOT(ISNUMBER($I83)),NOT(ISNUMBER($J83))),"",IF((IFERROR($I83,0)+IFERROR($J83,0))&gt;=Scoring_Criteria!$D$6,5,IF((IFERROR($I83,0)+IFERROR($J83,0))&gt;=Scoring_Criteria!$E$6,4,IF((IFERROR($I83,0)+IFERROR($J83,0))&gt;=Scoring_Criteria!$F$6,3,IF((IFERROR($I83,0)+IFERROR($J83,0))&gt;=Scoring_Criteria!$G$6,2,1))))),"")</f>
        <v/>
      </c>
      <c r="AA83" s="26">
        <f>IFERROR(IF(NOT(ISNUMBER($M83)),"",IF($M83&gt;=Scoring_Criteria!$D$7,5,IF($M83&gt;=Scoring_Criteria!$E$7,4,IF($M83&gt;=Scoring_Criteria!$F$7,3,IF($M83&gt;=Scoring_Criteria!$G$7,2,1))))),"")</f>
        <v/>
      </c>
      <c r="AB83" s="26">
        <f>IFERROR(IF(NOT(ISNUMBER($T83)),"",IF($T83&gt;=Scoring_Criteria!$D$8,5,IF($T83&gt;=Scoring_Criteria!$E$8,4,IF($T83&gt;=Scoring_Criteria!$F$8,3,IF($T83&gt;=Scoring_Criteria!$G$8,2,1))))),"")</f>
        <v/>
      </c>
      <c r="AC83" s="26">
        <f>IFERROR(IF(NOT(ISNUMBER($U83)),"",IF($U83&lt;=Scoring_Criteria!$D$9,5,IF($U83&lt;=Scoring_Criteria!$E$9,4,IF($U83&lt;=Scoring_Criteria!$F$9,3,IF($U83&lt;=Scoring_Criteria!$G$9,2,1))))),"")</f>
        <v/>
      </c>
      <c r="AD83" s="26">
        <f t="array" ref="AD83">IFERROR(IF(NOT(ISNUMBER(_xlfn.XLOOKUP($A83&amp;"|"&amp;$C83,Financials!$A$2:$A$201&amp;"|"&amp;Financials!$B$2:$B$201,Financials!$AD$2:$AD$201,""))),"",IF(_xlfn.XLOOKUP($A83&amp;"|"&amp;$C83,Financials!$A$2:$A$201&amp;"|"&amp;Financials!$B$2:$B$201,Financials!$AD$2:$AD$201,"")&gt;=Scoring_Criteria!$D$10,5,IF(_xlfn.XLOOKUP($A83&amp;"|"&amp;$C83,Financials!$A$2:$A$201&amp;"|"&amp;Financials!$B$2:$B$201,Financials!$AD$2:$AD$201,"")&gt;=Scoring_Criteria!$E$10,4,IF(_xlfn.XLOOKUP($A83&amp;"|"&amp;$C83,Financials!$A$2:$A$201&amp;"|"&amp;Financials!$B$2:$B$201,Financials!$AD$2:$AD$201,"")&gt;=Scoring_Criteria!$F$10,3,IF(_xlfn.XLOOKUP($A83&amp;"|"&amp;$C83,Financials!$A$2:$A$201&amp;"|"&amp;Financials!$B$2:$B$201,Financials!$AD$2:$AD$201,"")&gt;=Scoring_Criteria!$G$10,2,1))))),"")</f>
        <v/>
      </c>
      <c r="AE83" s="27" t="n"/>
      <c r="AF83" s="27" t="n"/>
      <c r="AG83" s="28">
        <f>IFERROR(IF(COUNTA(X83:AF83)=0,"",AVERAGE(X83:AF83)),"")</f>
        <v/>
      </c>
      <c r="AH83" s="29" t="n"/>
      <c r="AI83" s="29" t="n"/>
      <c r="AJ83" s="29" t="n"/>
      <c r="AK83" s="29" t="n"/>
      <c r="AL83" s="29" t="n"/>
      <c r="AM83" s="29" t="n"/>
      <c r="AN83" s="29" t="n"/>
      <c r="AO83" s="29" t="n"/>
      <c r="AP83" s="29" t="n"/>
      <c r="AQ83" s="29" t="n"/>
      <c r="AR83" s="29" t="n"/>
      <c r="AS83" s="29" t="n"/>
      <c r="AT83" s="29" t="n"/>
      <c r="AU83">
        <f>IFERROR(Validation_Summary!Q5,"")</f>
        <v/>
      </c>
    </row>
    <row r="84" ht="15" customHeight="1" s="67">
      <c r="A84" s="6" t="inlineStr">
        <is>
          <t>PT Triputra Agro Persada Tbk</t>
        </is>
      </c>
      <c r="B84" s="19">
        <f t="array" ref="B84">IFERROR(_xlfn.XLOOKUP($A84&amp;"|"&amp;$C84,'Company_Master'!$A$2:$A$94&amp;"|"&amp;'Company_Master'!$D$2:$D$94,'Company_Master'!$B$2:$B$94,""),"")</f>
        <v/>
      </c>
      <c r="C84" s="98" t="n">
        <v>2024</v>
      </c>
      <c r="D84" s="19">
        <f t="array" ref="D84">IFERROR(_xlfn.XLOOKUP($A84&amp;"|"&amp;$C84,'Company_Master'!$A$2:$A$94&amp;"|"&amp;'Company_Master'!$D$2:$D$94,'Company_Master'!$H$2:$H$94,""),"")</f>
        <v/>
      </c>
      <c r="E84" s="98">
        <f t="array" ref="E84">IFERROR(_xlfn.XLOOKUP($A84&amp;"|"&amp;$C84,Asset_Operations!$A$2:$A$201&amp;"|"&amp;Asset_Operations!$BG$2:$BG$201,Asset_Operations!$B$2:$B$201,""),"")</f>
        <v/>
      </c>
      <c r="F84" s="98">
        <f t="array" ref="F84">IFERROR(_xlfn.XLOOKUP($A84&amp;"|"&amp;$C84,Asset_Operations!$A$2:$A$201&amp;"|"&amp;Asset_Operations!$BG$2:$BG$201,Asset_Operations!$E$2:$E$201,""),"")</f>
        <v/>
      </c>
      <c r="G84" s="98">
        <f t="array" ref="G84">IFERROR(_xlfn.XLOOKUP($A84&amp;"|"&amp;$C84,Asset_Operations!$A$2:$A$201&amp;"|"&amp;Asset_Operations!$BG$2:$BG$201,Asset_Operations!$I$2:$I$201,""),"")</f>
        <v/>
      </c>
      <c r="H84" s="98">
        <f t="array" ref="H84">IFERROR(_xlfn.XLOOKUP($A84&amp;"|"&amp;$C84,Asset_Operations!$A$2:$A$201&amp;"|"&amp;Asset_Operations!$BG$2:$BG$201,Asset_Operations!$J$2:$J$201,""),"")</f>
        <v/>
      </c>
      <c r="I84" s="98">
        <f t="array" ref="I84">IFERROR(_xlfn.XLOOKUP($A84&amp;"|"&amp;$C84,Asset_Operations!$A$2:$A$201&amp;"|"&amp;Asset_Operations!$BG$2:$BG$201,Asset_Operations!$O$2:$O$201,""),"")</f>
        <v/>
      </c>
      <c r="J84" s="98">
        <f t="array" ref="J84">IFERROR(_xlfn.XLOOKUP($A84&amp;"|"&amp;$C84,Asset_Operations!$A$2:$A$201&amp;"|"&amp;Asset_Operations!$BG$2:$BG$201,Asset_Operations!$S$2:$S$201,""),"")</f>
        <v/>
      </c>
      <c r="K84" s="98">
        <f t="array" ref="K84">IFERROR(_xlfn.XLOOKUP($A84&amp;"|"&amp;$C84,Asset_Operations!$A$2:$A$201&amp;"|"&amp;Asset_Operations!$BG$2:$BG$201,Asset_Operations!$AC$2:$AC$201,""),"")</f>
        <v/>
      </c>
      <c r="L84" s="98">
        <f t="array" ref="L84">IFERROR(_xlfn.XLOOKUP($A84&amp;"|"&amp;$C84,Asset_Operations!$A$2:$A$201&amp;"|"&amp;Asset_Operations!$BG$2:$BG$201,Asset_Operations!$AG$2:$AG$201,""),"")</f>
        <v/>
      </c>
      <c r="M84" s="98">
        <f t="array" ref="M84">IFERROR(_xlfn.XLOOKUP($A84&amp;"|"&amp;$C84,Asset_Operations!$A$2:$A$201&amp;"|"&amp;Asset_Operations!$BG$2:$BG$201,Asset_Operations!$AO$2:$AO$201,""),"")</f>
        <v/>
      </c>
      <c r="N84" s="99">
        <f t="array" ref="N84">IFERROR(_xlfn.XLOOKUP($A84&amp;"|"&amp;$C84,Asset_Operations!$A$2:$A$201&amp;"|"&amp;Asset_Operations!$BG$2:$BG$201,Asset_Operations!$AR$2:$AR$201,""),"")</f>
        <v/>
      </c>
      <c r="O84" s="100">
        <f t="array" ref="O84">IFERROR(_xlfn.XLOOKUP($A84&amp;"|"&amp;$C84,Financials!$A$2:$A$201&amp;"|"&amp;Financials!$B$2:$B$201,Financials!$C$2:$C$201,""),"")</f>
        <v/>
      </c>
      <c r="P84" s="100">
        <f t="array" ref="P84">IFERROR(_xlfn.XLOOKUP($A84&amp;"|"&amp;$C84,Financials!$A$2:$A$201&amp;"|"&amp;Financials!$B$2:$B$201,Financials!$E$2:$E$201,""),"")</f>
        <v/>
      </c>
      <c r="Q84" s="100">
        <f t="array" ref="Q84">IFERROR(_xlfn.XLOOKUP($A84&amp;"|"&amp;$C84,Financials!$A$2:$A$201&amp;"|"&amp;Financials!$B$2:$B$201,Financials!$G$2:$G$201,""),"")</f>
        <v/>
      </c>
      <c r="R84" s="100">
        <f t="array" ref="R84">IFERROR(_xlfn.XLOOKUP($A84&amp;"|"&amp;$C84,Financials!$A$2:$A$201&amp;"|"&amp;Financials!$B$2:$B$201,Financials!$S$2:$S$201,""),"")</f>
        <v/>
      </c>
      <c r="S84" s="100">
        <f t="array" ref="S84">IFERROR(_xlfn.XLOOKUP($A84&amp;"|"&amp;$C84,Financials!$A$2:$A$201&amp;"|"&amp;Financials!$B$2:$B$201,Financials!$AC$2:$AC$201,""),"")</f>
        <v/>
      </c>
      <c r="T84" s="101">
        <f>IFERROR(P84/O84,"")</f>
        <v/>
      </c>
      <c r="U84" s="24">
        <f>IFERROR(R84/P84,"")</f>
        <v/>
      </c>
      <c r="V84" s="102">
        <f>IFERROR(O84/E84,"")</f>
        <v/>
      </c>
      <c r="W84" s="24">
        <f>IFERROR(L84/F84,"")</f>
        <v/>
      </c>
      <c r="X84" s="26">
        <f>IFERROR(IF(NOT(ISNUMBER($E84)),"",IF($E84&gt;=Scoring_Criteria!$D$4,5,IF($E84&gt;=Scoring_Criteria!$E$4,4,IF($E84&gt;=Scoring_Criteria!$F$4,3,IF($E84&gt;=Scoring_Criteria!$G$4,2,1))))),"")</f>
        <v/>
      </c>
      <c r="Y84" s="26">
        <f>IFERROR(IF(OR(NOT(ISNUMBER($F84)),NOT(ISNUMBER($E84)),$E84=0),"",IF(($F84/$E84)&gt;=Scoring_Criteria!$D$5,5,IF(($F84/$E84)&gt;=Scoring_Criteria!$E$5,4,IF(($F84/$E84)&gt;=Scoring_Criteria!$F$5,3,IF(($F84/$E84)&gt;=Scoring_Criteria!$G$5,2,1))))),"")</f>
        <v/>
      </c>
      <c r="Z84" s="26">
        <f>IFERROR(IF(AND(NOT(ISNUMBER($I84)),NOT(ISNUMBER($J84))),"",IF((IFERROR($I84,0)+IFERROR($J84,0))&gt;=Scoring_Criteria!$D$6,5,IF((IFERROR($I84,0)+IFERROR($J84,0))&gt;=Scoring_Criteria!$E$6,4,IF((IFERROR($I84,0)+IFERROR($J84,0))&gt;=Scoring_Criteria!$F$6,3,IF((IFERROR($I84,0)+IFERROR($J84,0))&gt;=Scoring_Criteria!$G$6,2,1))))),"")</f>
        <v/>
      </c>
      <c r="AA84" s="26">
        <f>IFERROR(IF(NOT(ISNUMBER($M84)),"",IF($M84&gt;=Scoring_Criteria!$D$7,5,IF($M84&gt;=Scoring_Criteria!$E$7,4,IF($M84&gt;=Scoring_Criteria!$F$7,3,IF($M84&gt;=Scoring_Criteria!$G$7,2,1))))),"")</f>
        <v/>
      </c>
      <c r="AB84" s="26">
        <f>IFERROR(IF(NOT(ISNUMBER($T84)),"",IF($T84&gt;=Scoring_Criteria!$D$8,5,IF($T84&gt;=Scoring_Criteria!$E$8,4,IF($T84&gt;=Scoring_Criteria!$F$8,3,IF($T84&gt;=Scoring_Criteria!$G$8,2,1))))),"")</f>
        <v/>
      </c>
      <c r="AC84" s="26">
        <f>IFERROR(IF(NOT(ISNUMBER($U84)),"",IF($U84&lt;=Scoring_Criteria!$D$9,5,IF($U84&lt;=Scoring_Criteria!$E$9,4,IF($U84&lt;=Scoring_Criteria!$F$9,3,IF($U84&lt;=Scoring_Criteria!$G$9,2,1))))),"")</f>
        <v/>
      </c>
      <c r="AD84" s="26">
        <f t="array" ref="AD84">IFERROR(IF(NOT(ISNUMBER(_xlfn.XLOOKUP($A84&amp;"|"&amp;$C84,Financials!$A$2:$A$201&amp;"|"&amp;Financials!$B$2:$B$201,Financials!$AD$2:$AD$201,""))),"",IF(_xlfn.XLOOKUP($A84&amp;"|"&amp;$C84,Financials!$A$2:$A$201&amp;"|"&amp;Financials!$B$2:$B$201,Financials!$AD$2:$AD$201,"")&gt;=Scoring_Criteria!$D$10,5,IF(_xlfn.XLOOKUP($A84&amp;"|"&amp;$C84,Financials!$A$2:$A$201&amp;"|"&amp;Financials!$B$2:$B$201,Financials!$AD$2:$AD$201,"")&gt;=Scoring_Criteria!$E$10,4,IF(_xlfn.XLOOKUP($A84&amp;"|"&amp;$C84,Financials!$A$2:$A$201&amp;"|"&amp;Financials!$B$2:$B$201,Financials!$AD$2:$AD$201,"")&gt;=Scoring_Criteria!$F$10,3,IF(_xlfn.XLOOKUP($A84&amp;"|"&amp;$C84,Financials!$A$2:$A$201&amp;"|"&amp;Financials!$B$2:$B$201,Financials!$AD$2:$AD$201,"")&gt;=Scoring_Criteria!$G$10,2,1))))),"")</f>
        <v/>
      </c>
      <c r="AE84" s="27" t="n"/>
      <c r="AF84" s="27" t="n"/>
      <c r="AG84" s="28">
        <f>IFERROR(IF(COUNTA(X84:AF84)=0,"",AVERAGE(X84:AF84)),"")</f>
        <v/>
      </c>
      <c r="AH84" s="29" t="n"/>
      <c r="AI84" s="29" t="n"/>
      <c r="AJ84" s="29" t="n"/>
      <c r="AK84" s="29" t="n"/>
      <c r="AL84" s="29" t="n"/>
      <c r="AM84" s="29" t="n"/>
      <c r="AN84" s="29" t="n"/>
      <c r="AO84" s="29" t="n"/>
      <c r="AP84" s="29" t="n"/>
      <c r="AQ84" s="29" t="n"/>
      <c r="AR84" s="29" t="n"/>
      <c r="AS84" s="29" t="n"/>
      <c r="AT84" s="29" t="n"/>
      <c r="AU84">
        <f>IFERROR(Validation_Summary!Q5,"")</f>
        <v/>
      </c>
    </row>
    <row r="85" ht="15" customHeight="1" s="67">
      <c r="A85" s="6" t="inlineStr">
        <is>
          <t>PT Triputra Agro Persada Tbk</t>
        </is>
      </c>
      <c r="B85" s="19">
        <f t="array" ref="B85">IFERROR(_xlfn.XLOOKUP($A85&amp;"|"&amp;$C85,'Company_Master'!$A$2:$A$94&amp;"|"&amp;'Company_Master'!$D$2:$D$94,'Company_Master'!$B$2:$B$94,""),"")</f>
        <v/>
      </c>
      <c r="C85" s="98" t="n">
        <v>2025</v>
      </c>
      <c r="D85" s="19">
        <f t="array" ref="D85">IFERROR(_xlfn.XLOOKUP($A85&amp;"|"&amp;$C85,'Company_Master'!$A$2:$A$94&amp;"|"&amp;'Company_Master'!$D$2:$D$94,'Company_Master'!$H$2:$H$94,""),"")</f>
        <v/>
      </c>
      <c r="E85" s="98">
        <f t="array" ref="E85">IFERROR(_xlfn.XLOOKUP($A85&amp;"|"&amp;$C85,Asset_Operations!$A$2:$A$201&amp;"|"&amp;Asset_Operations!$BG$2:$BG$201,Asset_Operations!$B$2:$B$201,""),"")</f>
        <v/>
      </c>
      <c r="F85" s="98">
        <f t="array" ref="F85">IFERROR(_xlfn.XLOOKUP($A85&amp;"|"&amp;$C85,Asset_Operations!$A$2:$A$201&amp;"|"&amp;Asset_Operations!$BG$2:$BG$201,Asset_Operations!$E$2:$E$201,""),"")</f>
        <v/>
      </c>
      <c r="G85" s="98">
        <f t="array" ref="G85">IFERROR(_xlfn.XLOOKUP($A85&amp;"|"&amp;$C85,Asset_Operations!$A$2:$A$201&amp;"|"&amp;Asset_Operations!$BG$2:$BG$201,Asset_Operations!$I$2:$I$201,""),"")</f>
        <v/>
      </c>
      <c r="H85" s="98">
        <f t="array" ref="H85">IFERROR(_xlfn.XLOOKUP($A85&amp;"|"&amp;$C85,Asset_Operations!$A$2:$A$201&amp;"|"&amp;Asset_Operations!$BG$2:$BG$201,Asset_Operations!$J$2:$J$201,""),"")</f>
        <v/>
      </c>
      <c r="I85" s="98">
        <f t="array" ref="I85">IFERROR(_xlfn.XLOOKUP($A85&amp;"|"&amp;$C85,Asset_Operations!$A$2:$A$201&amp;"|"&amp;Asset_Operations!$BG$2:$BG$201,Asset_Operations!$O$2:$O$201,""),"")</f>
        <v/>
      </c>
      <c r="J85" s="98">
        <f t="array" ref="J85">IFERROR(_xlfn.XLOOKUP($A85&amp;"|"&amp;$C85,Asset_Operations!$A$2:$A$201&amp;"|"&amp;Asset_Operations!$BG$2:$BG$201,Asset_Operations!$S$2:$S$201,""),"")</f>
        <v/>
      </c>
      <c r="K85" s="98">
        <f t="array" ref="K85">IFERROR(_xlfn.XLOOKUP($A85&amp;"|"&amp;$C85,Asset_Operations!$A$2:$A$201&amp;"|"&amp;Asset_Operations!$BG$2:$BG$201,Asset_Operations!$AC$2:$AC$201,""),"")</f>
        <v/>
      </c>
      <c r="L85" s="98">
        <f t="array" ref="L85">IFERROR(_xlfn.XLOOKUP($A85&amp;"|"&amp;$C85,Asset_Operations!$A$2:$A$201&amp;"|"&amp;Asset_Operations!$BG$2:$BG$201,Asset_Operations!$AG$2:$AG$201,""),"")</f>
        <v/>
      </c>
      <c r="M85" s="98">
        <f t="array" ref="M85">IFERROR(_xlfn.XLOOKUP($A85&amp;"|"&amp;$C85,Asset_Operations!$A$2:$A$201&amp;"|"&amp;Asset_Operations!$BG$2:$BG$201,Asset_Operations!$AO$2:$AO$201,""),"")</f>
        <v/>
      </c>
      <c r="N85" s="99">
        <f t="array" ref="N85">IFERROR(_xlfn.XLOOKUP($A85&amp;"|"&amp;$C85,Asset_Operations!$A$2:$A$201&amp;"|"&amp;Asset_Operations!$BG$2:$BG$201,Asset_Operations!$AR$2:$AR$201,""),"")</f>
        <v/>
      </c>
      <c r="O85" s="100">
        <f t="array" ref="O85">IFERROR(_xlfn.XLOOKUP($A85&amp;"|"&amp;$C85,Financials!$A$2:$A$201&amp;"|"&amp;Financials!$B$2:$B$201,Financials!$C$2:$C$201,""),"")</f>
        <v/>
      </c>
      <c r="P85" s="100">
        <f t="array" ref="P85">IFERROR(_xlfn.XLOOKUP($A85&amp;"|"&amp;$C85,Financials!$A$2:$A$201&amp;"|"&amp;Financials!$B$2:$B$201,Financials!$E$2:$E$201,""),"")</f>
        <v/>
      </c>
      <c r="Q85" s="100">
        <f t="array" ref="Q85">IFERROR(_xlfn.XLOOKUP($A85&amp;"|"&amp;$C85,Financials!$A$2:$A$201&amp;"|"&amp;Financials!$B$2:$B$201,Financials!$G$2:$G$201,""),"")</f>
        <v/>
      </c>
      <c r="R85" s="100">
        <f t="array" ref="R85">IFERROR(_xlfn.XLOOKUP($A85&amp;"|"&amp;$C85,Financials!$A$2:$A$201&amp;"|"&amp;Financials!$B$2:$B$201,Financials!$S$2:$S$201,""),"")</f>
        <v/>
      </c>
      <c r="S85" s="100">
        <f t="array" ref="S85">IFERROR(_xlfn.XLOOKUP($A85&amp;"|"&amp;$C85,Financials!$A$2:$A$201&amp;"|"&amp;Financials!$B$2:$B$201,Financials!$AC$2:$AC$201,""),"")</f>
        <v/>
      </c>
      <c r="T85" s="101">
        <f>IFERROR(P85/O85,"")</f>
        <v/>
      </c>
      <c r="U85" s="24">
        <f>IFERROR(R85/P85,"")</f>
        <v/>
      </c>
      <c r="V85" s="102">
        <f>IFERROR(O85/E85,"")</f>
        <v/>
      </c>
      <c r="W85" s="24">
        <f>IFERROR(L85/F85,"")</f>
        <v/>
      </c>
      <c r="X85" s="26">
        <f>IFERROR(IF(NOT(ISNUMBER($E85)),"",IF($E85&gt;=Scoring_Criteria!$D$4,5,IF($E85&gt;=Scoring_Criteria!$E$4,4,IF($E85&gt;=Scoring_Criteria!$F$4,3,IF($E85&gt;=Scoring_Criteria!$G$4,2,1))))),"")</f>
        <v/>
      </c>
      <c r="Y85" s="26">
        <f>IFERROR(IF(OR(NOT(ISNUMBER($F85)),NOT(ISNUMBER($E85)),$E85=0),"",IF(($F85/$E85)&gt;=Scoring_Criteria!$D$5,5,IF(($F85/$E85)&gt;=Scoring_Criteria!$E$5,4,IF(($F85/$E85)&gt;=Scoring_Criteria!$F$5,3,IF(($F85/$E85)&gt;=Scoring_Criteria!$G$5,2,1))))),"")</f>
        <v/>
      </c>
      <c r="Z85" s="26">
        <f>IFERROR(IF(AND(NOT(ISNUMBER($I85)),NOT(ISNUMBER($J85))),"",IF((IFERROR($I85,0)+IFERROR($J85,0))&gt;=Scoring_Criteria!$D$6,5,IF((IFERROR($I85,0)+IFERROR($J85,0))&gt;=Scoring_Criteria!$E$6,4,IF((IFERROR($I85,0)+IFERROR($J85,0))&gt;=Scoring_Criteria!$F$6,3,IF((IFERROR($I85,0)+IFERROR($J85,0))&gt;=Scoring_Criteria!$G$6,2,1))))),"")</f>
        <v/>
      </c>
      <c r="AA85" s="26">
        <f>IFERROR(IF(NOT(ISNUMBER($M85)),"",IF($M85&gt;=Scoring_Criteria!$D$7,5,IF($M85&gt;=Scoring_Criteria!$E$7,4,IF($M85&gt;=Scoring_Criteria!$F$7,3,IF($M85&gt;=Scoring_Criteria!$G$7,2,1))))),"")</f>
        <v/>
      </c>
      <c r="AB85" s="26">
        <f>IFERROR(IF(NOT(ISNUMBER($T85)),"",IF($T85&gt;=Scoring_Criteria!$D$8,5,IF($T85&gt;=Scoring_Criteria!$E$8,4,IF($T85&gt;=Scoring_Criteria!$F$8,3,IF($T85&gt;=Scoring_Criteria!$G$8,2,1))))),"")</f>
        <v/>
      </c>
      <c r="AC85" s="26">
        <f>IFERROR(IF(NOT(ISNUMBER($U85)),"",IF($U85&lt;=Scoring_Criteria!$D$9,5,IF($U85&lt;=Scoring_Criteria!$E$9,4,IF($U85&lt;=Scoring_Criteria!$F$9,3,IF($U85&lt;=Scoring_Criteria!$G$9,2,1))))),"")</f>
        <v/>
      </c>
      <c r="AD85" s="26">
        <f t="array" ref="AD85">IFERROR(IF(NOT(ISNUMBER(_xlfn.XLOOKUP($A85&amp;"|"&amp;$C85,Financials!$A$2:$A$201&amp;"|"&amp;Financials!$B$2:$B$201,Financials!$AD$2:$AD$201,""))),"",IF(_xlfn.XLOOKUP($A85&amp;"|"&amp;$C85,Financials!$A$2:$A$201&amp;"|"&amp;Financials!$B$2:$B$201,Financials!$AD$2:$AD$201,"")&gt;=Scoring_Criteria!$D$10,5,IF(_xlfn.XLOOKUP($A85&amp;"|"&amp;$C85,Financials!$A$2:$A$201&amp;"|"&amp;Financials!$B$2:$B$201,Financials!$AD$2:$AD$201,"")&gt;=Scoring_Criteria!$E$10,4,IF(_xlfn.XLOOKUP($A85&amp;"|"&amp;$C85,Financials!$A$2:$A$201&amp;"|"&amp;Financials!$B$2:$B$201,Financials!$AD$2:$AD$201,"")&gt;=Scoring_Criteria!$F$10,3,IF(_xlfn.XLOOKUP($A85&amp;"|"&amp;$C85,Financials!$A$2:$A$201&amp;"|"&amp;Financials!$B$2:$B$201,Financials!$AD$2:$AD$201,"")&gt;=Scoring_Criteria!$G$10,2,1))))),"")</f>
        <v/>
      </c>
      <c r="AE85" s="27" t="n"/>
      <c r="AF85" s="27" t="n"/>
      <c r="AG85" s="28">
        <f>IFERROR(IF(COUNTA(X85:AF85)=0,"",AVERAGE(X85:AF85)),"")</f>
        <v/>
      </c>
      <c r="AH85" s="29" t="n"/>
      <c r="AI85" s="29" t="n"/>
      <c r="AJ85" s="29" t="n"/>
      <c r="AK85" s="29" t="n"/>
      <c r="AL85" s="29" t="n"/>
      <c r="AM85" s="29" t="n"/>
      <c r="AN85" s="29" t="n"/>
      <c r="AO85" s="29" t="n"/>
      <c r="AP85" s="29" t="n"/>
      <c r="AQ85" s="29" t="n"/>
      <c r="AR85" s="29" t="n"/>
      <c r="AS85" s="29" t="n"/>
      <c r="AT85" s="29" t="n"/>
      <c r="AU85">
        <f>IFERROR(Validation_Summary!Q5,"")</f>
        <v/>
      </c>
    </row>
    <row r="86" ht="15" customHeight="1" s="67">
      <c r="A86" s="6" t="inlineStr">
        <is>
          <t>PT Teladan Prima Agro Tbk</t>
        </is>
      </c>
      <c r="B86" s="19">
        <f t="array" ref="B86">IFERROR(_xlfn.XLOOKUP($A86&amp;"|"&amp;$C86,'Company_Master'!$A$2:$A$94&amp;"|"&amp;'Company_Master'!$D$2:$D$94,'Company_Master'!$B$2:$B$94,""),"")</f>
        <v/>
      </c>
      <c r="C86" s="98" t="n">
        <v>2023</v>
      </c>
      <c r="D86" s="19">
        <f t="array" ref="D86">IFERROR(_xlfn.XLOOKUP($A86&amp;"|"&amp;$C86,'Company_Master'!$A$2:$A$94&amp;"|"&amp;'Company_Master'!$D$2:$D$94,'Company_Master'!$H$2:$H$94,""),"")</f>
        <v/>
      </c>
      <c r="E86" s="98">
        <f t="array" ref="E86">IFERROR(_xlfn.XLOOKUP($A86&amp;"|"&amp;$C86,Asset_Operations!$A$2:$A$201&amp;"|"&amp;Asset_Operations!$BG$2:$BG$201,Asset_Operations!$B$2:$B$201,""),"")</f>
        <v/>
      </c>
      <c r="F86" s="98">
        <f t="array" ref="F86">IFERROR(_xlfn.XLOOKUP($A86&amp;"|"&amp;$C86,Asset_Operations!$A$2:$A$201&amp;"|"&amp;Asset_Operations!$BG$2:$BG$201,Asset_Operations!$E$2:$E$201,""),"")</f>
        <v/>
      </c>
      <c r="G86" s="98">
        <f t="array" ref="G86">IFERROR(_xlfn.XLOOKUP($A86&amp;"|"&amp;$C86,Asset_Operations!$A$2:$A$201&amp;"|"&amp;Asset_Operations!$BG$2:$BG$201,Asset_Operations!$I$2:$I$201,""),"")</f>
        <v/>
      </c>
      <c r="H86" s="98">
        <f t="array" ref="H86">IFERROR(_xlfn.XLOOKUP($A86&amp;"|"&amp;$C86,Asset_Operations!$A$2:$A$201&amp;"|"&amp;Asset_Operations!$BG$2:$BG$201,Asset_Operations!$J$2:$J$201,""),"")</f>
        <v/>
      </c>
      <c r="I86" s="98">
        <f t="array" ref="I86">IFERROR(_xlfn.XLOOKUP($A86&amp;"|"&amp;$C86,Asset_Operations!$A$2:$A$201&amp;"|"&amp;Asset_Operations!$BG$2:$BG$201,Asset_Operations!$O$2:$O$201,""),"")</f>
        <v/>
      </c>
      <c r="J86" s="98">
        <f t="array" ref="J86">IFERROR(_xlfn.XLOOKUP($A86&amp;"|"&amp;$C86,Asset_Operations!$A$2:$A$201&amp;"|"&amp;Asset_Operations!$BG$2:$BG$201,Asset_Operations!$S$2:$S$201,""),"")</f>
        <v/>
      </c>
      <c r="K86" s="98">
        <f t="array" ref="K86">IFERROR(_xlfn.XLOOKUP($A86&amp;"|"&amp;$C86,Asset_Operations!$A$2:$A$201&amp;"|"&amp;Asset_Operations!$BG$2:$BG$201,Asset_Operations!$AC$2:$AC$201,""),"")</f>
        <v/>
      </c>
      <c r="L86" s="98">
        <f t="array" ref="L86">IFERROR(_xlfn.XLOOKUP($A86&amp;"|"&amp;$C86,Asset_Operations!$A$2:$A$201&amp;"|"&amp;Asset_Operations!$BG$2:$BG$201,Asset_Operations!$AG$2:$AG$201,""),"")</f>
        <v/>
      </c>
      <c r="M86" s="98">
        <f t="array" ref="M86">IFERROR(_xlfn.XLOOKUP($A86&amp;"|"&amp;$C86,Asset_Operations!$A$2:$A$201&amp;"|"&amp;Asset_Operations!$BG$2:$BG$201,Asset_Operations!$AO$2:$AO$201,""),"")</f>
        <v/>
      </c>
      <c r="N86" s="99">
        <f t="array" ref="N86">IFERROR(_xlfn.XLOOKUP($A86&amp;"|"&amp;$C86,Asset_Operations!$A$2:$A$201&amp;"|"&amp;Asset_Operations!$BG$2:$BG$201,Asset_Operations!$AR$2:$AR$201,""),"")</f>
        <v/>
      </c>
      <c r="O86" s="100">
        <f t="array" ref="O86">IFERROR(_xlfn.XLOOKUP($A86&amp;"|"&amp;$C86,Financials!$A$2:$A$201&amp;"|"&amp;Financials!$B$2:$B$201,Financials!$C$2:$C$201,""),"")</f>
        <v/>
      </c>
      <c r="P86" s="100">
        <f t="array" ref="P86">IFERROR(_xlfn.XLOOKUP($A86&amp;"|"&amp;$C86,Financials!$A$2:$A$201&amp;"|"&amp;Financials!$B$2:$B$201,Financials!$E$2:$E$201,""),"")</f>
        <v/>
      </c>
      <c r="Q86" s="100">
        <f t="array" ref="Q86">IFERROR(_xlfn.XLOOKUP($A86&amp;"|"&amp;$C86,Financials!$A$2:$A$201&amp;"|"&amp;Financials!$B$2:$B$201,Financials!$G$2:$G$201,""),"")</f>
        <v/>
      </c>
      <c r="R86" s="100">
        <f t="array" ref="R86">IFERROR(_xlfn.XLOOKUP($A86&amp;"|"&amp;$C86,Financials!$A$2:$A$201&amp;"|"&amp;Financials!$B$2:$B$201,Financials!$S$2:$S$201,""),"")</f>
        <v/>
      </c>
      <c r="S86" s="100">
        <f t="array" ref="S86">IFERROR(_xlfn.XLOOKUP($A86&amp;"|"&amp;$C86,Financials!$A$2:$A$201&amp;"|"&amp;Financials!$B$2:$B$201,Financials!$AC$2:$AC$201,""),"")</f>
        <v/>
      </c>
      <c r="T86" s="101">
        <f>IFERROR(P86/O86,"")</f>
        <v/>
      </c>
      <c r="U86" s="24">
        <f>IFERROR(R86/P86,"")</f>
        <v/>
      </c>
      <c r="V86" s="102">
        <f>IFERROR(O86/E86,"")</f>
        <v/>
      </c>
      <c r="W86" s="24">
        <f>IFERROR(L86/F86,"")</f>
        <v/>
      </c>
      <c r="X86" s="26">
        <f>IFERROR(IF(NOT(ISNUMBER($E86)),"",IF($E86&gt;=Scoring_Criteria!$D$4,5,IF($E86&gt;=Scoring_Criteria!$E$4,4,IF($E86&gt;=Scoring_Criteria!$F$4,3,IF($E86&gt;=Scoring_Criteria!$G$4,2,1))))),"")</f>
        <v/>
      </c>
      <c r="Y86" s="26">
        <f>IFERROR(IF(OR(NOT(ISNUMBER($F86)),NOT(ISNUMBER($E86)),$E86=0),"",IF(($F86/$E86)&gt;=Scoring_Criteria!$D$5,5,IF(($F86/$E86)&gt;=Scoring_Criteria!$E$5,4,IF(($F86/$E86)&gt;=Scoring_Criteria!$F$5,3,IF(($F86/$E86)&gt;=Scoring_Criteria!$G$5,2,1))))),"")</f>
        <v/>
      </c>
      <c r="Z86" s="26">
        <f>IFERROR(IF(AND(NOT(ISNUMBER($I86)),NOT(ISNUMBER($J86))),"",IF((IFERROR($I86,0)+IFERROR($J86,0))&gt;=Scoring_Criteria!$D$6,5,IF((IFERROR($I86,0)+IFERROR($J86,0))&gt;=Scoring_Criteria!$E$6,4,IF((IFERROR($I86,0)+IFERROR($J86,0))&gt;=Scoring_Criteria!$F$6,3,IF((IFERROR($I86,0)+IFERROR($J86,0))&gt;=Scoring_Criteria!$G$6,2,1))))),"")</f>
        <v/>
      </c>
      <c r="AA86" s="26">
        <f>IFERROR(IF(NOT(ISNUMBER($M86)),"",IF($M86&gt;=Scoring_Criteria!$D$7,5,IF($M86&gt;=Scoring_Criteria!$E$7,4,IF($M86&gt;=Scoring_Criteria!$F$7,3,IF($M86&gt;=Scoring_Criteria!$G$7,2,1))))),"")</f>
        <v/>
      </c>
      <c r="AB86" s="26">
        <f>IFERROR(IF(NOT(ISNUMBER($T86)),"",IF($T86&gt;=Scoring_Criteria!$D$8,5,IF($T86&gt;=Scoring_Criteria!$E$8,4,IF($T86&gt;=Scoring_Criteria!$F$8,3,IF($T86&gt;=Scoring_Criteria!$G$8,2,1))))),"")</f>
        <v/>
      </c>
      <c r="AC86" s="26">
        <f>IFERROR(IF(NOT(ISNUMBER($U86)),"",IF($U86&lt;=Scoring_Criteria!$D$9,5,IF($U86&lt;=Scoring_Criteria!$E$9,4,IF($U86&lt;=Scoring_Criteria!$F$9,3,IF($U86&lt;=Scoring_Criteria!$G$9,2,1))))),"")</f>
        <v/>
      </c>
      <c r="AD86" s="26">
        <f t="array" ref="AD86">IFERROR(IF(NOT(ISNUMBER(_xlfn.XLOOKUP($A86&amp;"|"&amp;$C86,Financials!$A$2:$A$201&amp;"|"&amp;Financials!$B$2:$B$201,Financials!$AD$2:$AD$201,""))),"",IF(_xlfn.XLOOKUP($A86&amp;"|"&amp;$C86,Financials!$A$2:$A$201&amp;"|"&amp;Financials!$B$2:$B$201,Financials!$AD$2:$AD$201,"")&gt;=Scoring_Criteria!$D$10,5,IF(_xlfn.XLOOKUP($A86&amp;"|"&amp;$C86,Financials!$A$2:$A$201&amp;"|"&amp;Financials!$B$2:$B$201,Financials!$AD$2:$AD$201,"")&gt;=Scoring_Criteria!$E$10,4,IF(_xlfn.XLOOKUP($A86&amp;"|"&amp;$C86,Financials!$A$2:$A$201&amp;"|"&amp;Financials!$B$2:$B$201,Financials!$AD$2:$AD$201,"")&gt;=Scoring_Criteria!$F$10,3,IF(_xlfn.XLOOKUP($A86&amp;"|"&amp;$C86,Financials!$A$2:$A$201&amp;"|"&amp;Financials!$B$2:$B$201,Financials!$AD$2:$AD$201,"")&gt;=Scoring_Criteria!$G$10,2,1))))),"")</f>
        <v/>
      </c>
      <c r="AE86" s="27" t="n"/>
      <c r="AF86" s="27" t="n"/>
      <c r="AG86" s="28">
        <f>IFERROR(IF(COUNTA(X86:AF86)=0,"",AVERAGE(X86:AF86)),"")</f>
        <v/>
      </c>
      <c r="AH86" s="29" t="n"/>
      <c r="AI86" s="29" t="n"/>
      <c r="AJ86" s="29" t="n"/>
      <c r="AK86" s="29" t="n"/>
      <c r="AL86" s="29" t="n"/>
      <c r="AM86" s="29" t="n"/>
      <c r="AN86" s="29" t="n"/>
      <c r="AO86" s="29" t="n"/>
      <c r="AP86" s="29" t="n"/>
      <c r="AQ86" s="29" t="n"/>
      <c r="AR86" s="29" t="n"/>
      <c r="AS86" s="29" t="n"/>
      <c r="AT86" s="29" t="n"/>
      <c r="AU86">
        <f>IFERROR(Validation_Summary!Q5,"")</f>
        <v/>
      </c>
    </row>
    <row r="87" ht="15" customHeight="1" s="67">
      <c r="A87" s="6" t="inlineStr">
        <is>
          <t>PT Teladan Prima Agro Tbk</t>
        </is>
      </c>
      <c r="B87" s="19">
        <f t="array" ref="B87">IFERROR(_xlfn.XLOOKUP($A87&amp;"|"&amp;$C87,'Company_Master'!$A$2:$A$94&amp;"|"&amp;'Company_Master'!$D$2:$D$94,'Company_Master'!$B$2:$B$94,""),"")</f>
        <v/>
      </c>
      <c r="C87" s="98" t="n">
        <v>2024</v>
      </c>
      <c r="D87" s="19">
        <f t="array" ref="D87">IFERROR(_xlfn.XLOOKUP($A87&amp;"|"&amp;$C87,'Company_Master'!$A$2:$A$94&amp;"|"&amp;'Company_Master'!$D$2:$D$94,'Company_Master'!$H$2:$H$94,""),"")</f>
        <v/>
      </c>
      <c r="E87" s="98">
        <f t="array" ref="E87">IFERROR(_xlfn.XLOOKUP($A87&amp;"|"&amp;$C87,Asset_Operations!$A$2:$A$201&amp;"|"&amp;Asset_Operations!$BG$2:$BG$201,Asset_Operations!$B$2:$B$201,""),"")</f>
        <v/>
      </c>
      <c r="F87" s="98">
        <f t="array" ref="F87">IFERROR(_xlfn.XLOOKUP($A87&amp;"|"&amp;$C87,Asset_Operations!$A$2:$A$201&amp;"|"&amp;Asset_Operations!$BG$2:$BG$201,Asset_Operations!$E$2:$E$201,""),"")</f>
        <v/>
      </c>
      <c r="G87" s="98">
        <f t="array" ref="G87">IFERROR(_xlfn.XLOOKUP($A87&amp;"|"&amp;$C87,Asset_Operations!$A$2:$A$201&amp;"|"&amp;Asset_Operations!$BG$2:$BG$201,Asset_Operations!$I$2:$I$201,""),"")</f>
        <v/>
      </c>
      <c r="H87" s="98">
        <f t="array" ref="H87">IFERROR(_xlfn.XLOOKUP($A87&amp;"|"&amp;$C87,Asset_Operations!$A$2:$A$201&amp;"|"&amp;Asset_Operations!$BG$2:$BG$201,Asset_Operations!$J$2:$J$201,""),"")</f>
        <v/>
      </c>
      <c r="I87" s="98">
        <f t="array" ref="I87">IFERROR(_xlfn.XLOOKUP($A87&amp;"|"&amp;$C87,Asset_Operations!$A$2:$A$201&amp;"|"&amp;Asset_Operations!$BG$2:$BG$201,Asset_Operations!$O$2:$O$201,""),"")</f>
        <v/>
      </c>
      <c r="J87" s="98">
        <f t="array" ref="J87">IFERROR(_xlfn.XLOOKUP($A87&amp;"|"&amp;$C87,Asset_Operations!$A$2:$A$201&amp;"|"&amp;Asset_Operations!$BG$2:$BG$201,Asset_Operations!$S$2:$S$201,""),"")</f>
        <v/>
      </c>
      <c r="K87" s="98">
        <f t="array" ref="K87">IFERROR(_xlfn.XLOOKUP($A87&amp;"|"&amp;$C87,Asset_Operations!$A$2:$A$201&amp;"|"&amp;Asset_Operations!$BG$2:$BG$201,Asset_Operations!$AC$2:$AC$201,""),"")</f>
        <v/>
      </c>
      <c r="L87" s="98">
        <f t="array" ref="L87">IFERROR(_xlfn.XLOOKUP($A87&amp;"|"&amp;$C87,Asset_Operations!$A$2:$A$201&amp;"|"&amp;Asset_Operations!$BG$2:$BG$201,Asset_Operations!$AG$2:$AG$201,""),"")</f>
        <v/>
      </c>
      <c r="M87" s="98">
        <f t="array" ref="M87">IFERROR(_xlfn.XLOOKUP($A87&amp;"|"&amp;$C87,Asset_Operations!$A$2:$A$201&amp;"|"&amp;Asset_Operations!$BG$2:$BG$201,Asset_Operations!$AO$2:$AO$201,""),"")</f>
        <v/>
      </c>
      <c r="N87" s="99">
        <f t="array" ref="N87">IFERROR(_xlfn.XLOOKUP($A87&amp;"|"&amp;$C87,Asset_Operations!$A$2:$A$201&amp;"|"&amp;Asset_Operations!$BG$2:$BG$201,Asset_Operations!$AR$2:$AR$201,""),"")</f>
        <v/>
      </c>
      <c r="O87" s="100">
        <f t="array" ref="O87">IFERROR(_xlfn.XLOOKUP($A87&amp;"|"&amp;$C87,Financials!$A$2:$A$201&amp;"|"&amp;Financials!$B$2:$B$201,Financials!$C$2:$C$201,""),"")</f>
        <v/>
      </c>
      <c r="P87" s="100">
        <f t="array" ref="P87">IFERROR(_xlfn.XLOOKUP($A87&amp;"|"&amp;$C87,Financials!$A$2:$A$201&amp;"|"&amp;Financials!$B$2:$B$201,Financials!$E$2:$E$201,""),"")</f>
        <v/>
      </c>
      <c r="Q87" s="100">
        <f t="array" ref="Q87">IFERROR(_xlfn.XLOOKUP($A87&amp;"|"&amp;$C87,Financials!$A$2:$A$201&amp;"|"&amp;Financials!$B$2:$B$201,Financials!$G$2:$G$201,""),"")</f>
        <v/>
      </c>
      <c r="R87" s="100">
        <f t="array" ref="R87">IFERROR(_xlfn.XLOOKUP($A87&amp;"|"&amp;$C87,Financials!$A$2:$A$201&amp;"|"&amp;Financials!$B$2:$B$201,Financials!$S$2:$S$201,""),"")</f>
        <v/>
      </c>
      <c r="S87" s="100">
        <f t="array" ref="S87">IFERROR(_xlfn.XLOOKUP($A87&amp;"|"&amp;$C87,Financials!$A$2:$A$201&amp;"|"&amp;Financials!$B$2:$B$201,Financials!$AC$2:$AC$201,""),"")</f>
        <v/>
      </c>
      <c r="T87" s="101">
        <f>IFERROR(P87/O87,"")</f>
        <v/>
      </c>
      <c r="U87" s="24">
        <f>IFERROR(R87/P87,"")</f>
        <v/>
      </c>
      <c r="V87" s="102">
        <f>IFERROR(O87/E87,"")</f>
        <v/>
      </c>
      <c r="W87" s="24">
        <f>IFERROR(L87/F87,"")</f>
        <v/>
      </c>
      <c r="X87" s="26">
        <f>IFERROR(IF(NOT(ISNUMBER($E87)),"",IF($E87&gt;=Scoring_Criteria!$D$4,5,IF($E87&gt;=Scoring_Criteria!$E$4,4,IF($E87&gt;=Scoring_Criteria!$F$4,3,IF($E87&gt;=Scoring_Criteria!$G$4,2,1))))),"")</f>
        <v/>
      </c>
      <c r="Y87" s="26">
        <f>IFERROR(IF(OR(NOT(ISNUMBER($F87)),NOT(ISNUMBER($E87)),$E87=0),"",IF(($F87/$E87)&gt;=Scoring_Criteria!$D$5,5,IF(($F87/$E87)&gt;=Scoring_Criteria!$E$5,4,IF(($F87/$E87)&gt;=Scoring_Criteria!$F$5,3,IF(($F87/$E87)&gt;=Scoring_Criteria!$G$5,2,1))))),"")</f>
        <v/>
      </c>
      <c r="Z87" s="26">
        <f>IFERROR(IF(AND(NOT(ISNUMBER($I87)),NOT(ISNUMBER($J87))),"",IF((IFERROR($I87,0)+IFERROR($J87,0))&gt;=Scoring_Criteria!$D$6,5,IF((IFERROR($I87,0)+IFERROR($J87,0))&gt;=Scoring_Criteria!$E$6,4,IF((IFERROR($I87,0)+IFERROR($J87,0))&gt;=Scoring_Criteria!$F$6,3,IF((IFERROR($I87,0)+IFERROR($J87,0))&gt;=Scoring_Criteria!$G$6,2,1))))),"")</f>
        <v/>
      </c>
      <c r="AA87" s="26">
        <f>IFERROR(IF(NOT(ISNUMBER($M87)),"",IF($M87&gt;=Scoring_Criteria!$D$7,5,IF($M87&gt;=Scoring_Criteria!$E$7,4,IF($M87&gt;=Scoring_Criteria!$F$7,3,IF($M87&gt;=Scoring_Criteria!$G$7,2,1))))),"")</f>
        <v/>
      </c>
      <c r="AB87" s="26">
        <f>IFERROR(IF(NOT(ISNUMBER($T87)),"",IF($T87&gt;=Scoring_Criteria!$D$8,5,IF($T87&gt;=Scoring_Criteria!$E$8,4,IF($T87&gt;=Scoring_Criteria!$F$8,3,IF($T87&gt;=Scoring_Criteria!$G$8,2,1))))),"")</f>
        <v/>
      </c>
      <c r="AC87" s="26">
        <f>IFERROR(IF(NOT(ISNUMBER($U87)),"",IF($U87&lt;=Scoring_Criteria!$D$9,5,IF($U87&lt;=Scoring_Criteria!$E$9,4,IF($U87&lt;=Scoring_Criteria!$F$9,3,IF($U87&lt;=Scoring_Criteria!$G$9,2,1))))),"")</f>
        <v/>
      </c>
      <c r="AD87" s="26">
        <f t="array" ref="AD87">IFERROR(IF(NOT(ISNUMBER(_xlfn.XLOOKUP($A87&amp;"|"&amp;$C87,Financials!$A$2:$A$201&amp;"|"&amp;Financials!$B$2:$B$201,Financials!$AD$2:$AD$201,""))),"",IF(_xlfn.XLOOKUP($A87&amp;"|"&amp;$C87,Financials!$A$2:$A$201&amp;"|"&amp;Financials!$B$2:$B$201,Financials!$AD$2:$AD$201,"")&gt;=Scoring_Criteria!$D$10,5,IF(_xlfn.XLOOKUP($A87&amp;"|"&amp;$C87,Financials!$A$2:$A$201&amp;"|"&amp;Financials!$B$2:$B$201,Financials!$AD$2:$AD$201,"")&gt;=Scoring_Criteria!$E$10,4,IF(_xlfn.XLOOKUP($A87&amp;"|"&amp;$C87,Financials!$A$2:$A$201&amp;"|"&amp;Financials!$B$2:$B$201,Financials!$AD$2:$AD$201,"")&gt;=Scoring_Criteria!$F$10,3,IF(_xlfn.XLOOKUP($A87&amp;"|"&amp;$C87,Financials!$A$2:$A$201&amp;"|"&amp;Financials!$B$2:$B$201,Financials!$AD$2:$AD$201,"")&gt;=Scoring_Criteria!$G$10,2,1))))),"")</f>
        <v/>
      </c>
      <c r="AE87" s="27" t="n"/>
      <c r="AF87" s="27" t="n"/>
      <c r="AG87" s="28">
        <f>IFERROR(IF(COUNTA(X87:AF87)=0,"",AVERAGE(X87:AF87)),"")</f>
        <v/>
      </c>
      <c r="AH87" s="29" t="n"/>
      <c r="AI87" s="29" t="n"/>
      <c r="AJ87" s="29" t="n"/>
      <c r="AK87" s="29" t="n"/>
      <c r="AL87" s="29" t="n"/>
      <c r="AM87" s="29" t="n"/>
      <c r="AN87" s="29" t="n"/>
      <c r="AO87" s="29" t="n"/>
      <c r="AP87" s="29" t="n"/>
      <c r="AQ87" s="29" t="n"/>
      <c r="AR87" s="29" t="n"/>
      <c r="AS87" s="29" t="n"/>
      <c r="AT87" s="29" t="n"/>
      <c r="AU87">
        <f>IFERROR(Validation_Summary!Q5,"")</f>
        <v/>
      </c>
    </row>
    <row r="88" ht="15" customHeight="1" s="67">
      <c r="A88" s="6" t="inlineStr">
        <is>
          <t>PT Teladan Prima Agro Tbk</t>
        </is>
      </c>
      <c r="B88" s="19">
        <f t="array" ref="B88">IFERROR(_xlfn.XLOOKUP($A88&amp;"|"&amp;$C88,'Company_Master'!$A$2:$A$94&amp;"|"&amp;'Company_Master'!$D$2:$D$94,'Company_Master'!$B$2:$B$94,""),"")</f>
        <v/>
      </c>
      <c r="C88" s="98" t="n">
        <v>2025</v>
      </c>
      <c r="D88" s="19">
        <f t="array" ref="D88">IFERROR(_xlfn.XLOOKUP($A88&amp;"|"&amp;$C88,'Company_Master'!$A$2:$A$94&amp;"|"&amp;'Company_Master'!$D$2:$D$94,'Company_Master'!$H$2:$H$94,""),"")</f>
        <v/>
      </c>
      <c r="E88" s="98">
        <f t="array" ref="E88">IFERROR(_xlfn.XLOOKUP($A88&amp;"|"&amp;$C88,Asset_Operations!$A$2:$A$201&amp;"|"&amp;Asset_Operations!$BG$2:$BG$201,Asset_Operations!$B$2:$B$201,""),"")</f>
        <v/>
      </c>
      <c r="F88" s="98">
        <f t="array" ref="F88">IFERROR(_xlfn.XLOOKUP($A88&amp;"|"&amp;$C88,Asset_Operations!$A$2:$A$201&amp;"|"&amp;Asset_Operations!$BG$2:$BG$201,Asset_Operations!$E$2:$E$201,""),"")</f>
        <v/>
      </c>
      <c r="G88" s="98">
        <f t="array" ref="G88">IFERROR(_xlfn.XLOOKUP($A88&amp;"|"&amp;$C88,Asset_Operations!$A$2:$A$201&amp;"|"&amp;Asset_Operations!$BG$2:$BG$201,Asset_Operations!$I$2:$I$201,""),"")</f>
        <v/>
      </c>
      <c r="H88" s="98">
        <f t="array" ref="H88">IFERROR(_xlfn.XLOOKUP($A88&amp;"|"&amp;$C88,Asset_Operations!$A$2:$A$201&amp;"|"&amp;Asset_Operations!$BG$2:$BG$201,Asset_Operations!$J$2:$J$201,""),"")</f>
        <v/>
      </c>
      <c r="I88" s="98">
        <f t="array" ref="I88">IFERROR(_xlfn.XLOOKUP($A88&amp;"|"&amp;$C88,Asset_Operations!$A$2:$A$201&amp;"|"&amp;Asset_Operations!$BG$2:$BG$201,Asset_Operations!$O$2:$O$201,""),"")</f>
        <v/>
      </c>
      <c r="J88" s="98">
        <f t="array" ref="J88">IFERROR(_xlfn.XLOOKUP($A88&amp;"|"&amp;$C88,Asset_Operations!$A$2:$A$201&amp;"|"&amp;Asset_Operations!$BG$2:$BG$201,Asset_Operations!$S$2:$S$201,""),"")</f>
        <v/>
      </c>
      <c r="K88" s="98">
        <f t="array" ref="K88">IFERROR(_xlfn.XLOOKUP($A88&amp;"|"&amp;$C88,Asset_Operations!$A$2:$A$201&amp;"|"&amp;Asset_Operations!$BG$2:$BG$201,Asset_Operations!$AC$2:$AC$201,""),"")</f>
        <v/>
      </c>
      <c r="L88" s="98">
        <f t="array" ref="L88">IFERROR(_xlfn.XLOOKUP($A88&amp;"|"&amp;$C88,Asset_Operations!$A$2:$A$201&amp;"|"&amp;Asset_Operations!$BG$2:$BG$201,Asset_Operations!$AG$2:$AG$201,""),"")</f>
        <v/>
      </c>
      <c r="M88" s="98">
        <f t="array" ref="M88">IFERROR(_xlfn.XLOOKUP($A88&amp;"|"&amp;$C88,Asset_Operations!$A$2:$A$201&amp;"|"&amp;Asset_Operations!$BG$2:$BG$201,Asset_Operations!$AO$2:$AO$201,""),"")</f>
        <v/>
      </c>
      <c r="N88" s="99">
        <f t="array" ref="N88">IFERROR(_xlfn.XLOOKUP($A88&amp;"|"&amp;$C88,Asset_Operations!$A$2:$A$201&amp;"|"&amp;Asset_Operations!$BG$2:$BG$201,Asset_Operations!$AR$2:$AR$201,""),"")</f>
        <v/>
      </c>
      <c r="O88" s="100">
        <f t="array" ref="O88">IFERROR(_xlfn.XLOOKUP($A88&amp;"|"&amp;$C88,Financials!$A$2:$A$201&amp;"|"&amp;Financials!$B$2:$B$201,Financials!$C$2:$C$201,""),"")</f>
        <v/>
      </c>
      <c r="P88" s="100">
        <f t="array" ref="P88">IFERROR(_xlfn.XLOOKUP($A88&amp;"|"&amp;$C88,Financials!$A$2:$A$201&amp;"|"&amp;Financials!$B$2:$B$201,Financials!$E$2:$E$201,""),"")</f>
        <v/>
      </c>
      <c r="Q88" s="100">
        <f t="array" ref="Q88">IFERROR(_xlfn.XLOOKUP($A88&amp;"|"&amp;$C88,Financials!$A$2:$A$201&amp;"|"&amp;Financials!$B$2:$B$201,Financials!$G$2:$G$201,""),"")</f>
        <v/>
      </c>
      <c r="R88" s="100">
        <f t="array" ref="R88">IFERROR(_xlfn.XLOOKUP($A88&amp;"|"&amp;$C88,Financials!$A$2:$A$201&amp;"|"&amp;Financials!$B$2:$B$201,Financials!$S$2:$S$201,""),"")</f>
        <v/>
      </c>
      <c r="S88" s="100">
        <f t="array" ref="S88">IFERROR(_xlfn.XLOOKUP($A88&amp;"|"&amp;$C88,Financials!$A$2:$A$201&amp;"|"&amp;Financials!$B$2:$B$201,Financials!$AC$2:$AC$201,""),"")</f>
        <v/>
      </c>
      <c r="T88" s="101">
        <f>IFERROR(P88/O88,"")</f>
        <v/>
      </c>
      <c r="U88" s="24">
        <f>IFERROR(R88/P88,"")</f>
        <v/>
      </c>
      <c r="V88" s="102">
        <f>IFERROR(O88/E88,"")</f>
        <v/>
      </c>
      <c r="W88" s="24">
        <f>IFERROR(L88/F88,"")</f>
        <v/>
      </c>
      <c r="X88" s="26">
        <f>IFERROR(IF(NOT(ISNUMBER($E88)),"",IF($E88&gt;=Scoring_Criteria!$D$4,5,IF($E88&gt;=Scoring_Criteria!$E$4,4,IF($E88&gt;=Scoring_Criteria!$F$4,3,IF($E88&gt;=Scoring_Criteria!$G$4,2,1))))),"")</f>
        <v/>
      </c>
      <c r="Y88" s="26">
        <f>IFERROR(IF(OR(NOT(ISNUMBER($F88)),NOT(ISNUMBER($E88)),$E88=0),"",IF(($F88/$E88)&gt;=Scoring_Criteria!$D$5,5,IF(($F88/$E88)&gt;=Scoring_Criteria!$E$5,4,IF(($F88/$E88)&gt;=Scoring_Criteria!$F$5,3,IF(($F88/$E88)&gt;=Scoring_Criteria!$G$5,2,1))))),"")</f>
        <v/>
      </c>
      <c r="Z88" s="26">
        <f>IFERROR(IF(AND(NOT(ISNUMBER($I88)),NOT(ISNUMBER($J88))),"",IF((IFERROR($I88,0)+IFERROR($J88,0))&gt;=Scoring_Criteria!$D$6,5,IF((IFERROR($I88,0)+IFERROR($J88,0))&gt;=Scoring_Criteria!$E$6,4,IF((IFERROR($I88,0)+IFERROR($J88,0))&gt;=Scoring_Criteria!$F$6,3,IF((IFERROR($I88,0)+IFERROR($J88,0))&gt;=Scoring_Criteria!$G$6,2,1))))),"")</f>
        <v/>
      </c>
      <c r="AA88" s="26">
        <f>IFERROR(IF(NOT(ISNUMBER($M88)),"",IF($M88&gt;=Scoring_Criteria!$D$7,5,IF($M88&gt;=Scoring_Criteria!$E$7,4,IF($M88&gt;=Scoring_Criteria!$F$7,3,IF($M88&gt;=Scoring_Criteria!$G$7,2,1))))),"")</f>
        <v/>
      </c>
      <c r="AB88" s="26">
        <f>IFERROR(IF(NOT(ISNUMBER($T88)),"",IF($T88&gt;=Scoring_Criteria!$D$8,5,IF($T88&gt;=Scoring_Criteria!$E$8,4,IF($T88&gt;=Scoring_Criteria!$F$8,3,IF($T88&gt;=Scoring_Criteria!$G$8,2,1))))),"")</f>
        <v/>
      </c>
      <c r="AC88" s="26">
        <f>IFERROR(IF(NOT(ISNUMBER($U88)),"",IF($U88&lt;=Scoring_Criteria!$D$9,5,IF($U88&lt;=Scoring_Criteria!$E$9,4,IF($U88&lt;=Scoring_Criteria!$F$9,3,IF($U88&lt;=Scoring_Criteria!$G$9,2,1))))),"")</f>
        <v/>
      </c>
      <c r="AD88" s="26">
        <f t="array" ref="AD88">IFERROR(IF(NOT(ISNUMBER(_xlfn.XLOOKUP($A88&amp;"|"&amp;$C88,Financials!$A$2:$A$201&amp;"|"&amp;Financials!$B$2:$B$201,Financials!$AD$2:$AD$201,""))),"",IF(_xlfn.XLOOKUP($A88&amp;"|"&amp;$C88,Financials!$A$2:$A$201&amp;"|"&amp;Financials!$B$2:$B$201,Financials!$AD$2:$AD$201,"")&gt;=Scoring_Criteria!$D$10,5,IF(_xlfn.XLOOKUP($A88&amp;"|"&amp;$C88,Financials!$A$2:$A$201&amp;"|"&amp;Financials!$B$2:$B$201,Financials!$AD$2:$AD$201,"")&gt;=Scoring_Criteria!$E$10,4,IF(_xlfn.XLOOKUP($A88&amp;"|"&amp;$C88,Financials!$A$2:$A$201&amp;"|"&amp;Financials!$B$2:$B$201,Financials!$AD$2:$AD$201,"")&gt;=Scoring_Criteria!$F$10,3,IF(_xlfn.XLOOKUP($A88&amp;"|"&amp;$C88,Financials!$A$2:$A$201&amp;"|"&amp;Financials!$B$2:$B$201,Financials!$AD$2:$AD$201,"")&gt;=Scoring_Criteria!$G$10,2,1))))),"")</f>
        <v/>
      </c>
      <c r="AE88" s="27" t="n"/>
      <c r="AF88" s="27" t="n"/>
      <c r="AG88" s="28">
        <f>IFERROR(IF(COUNTA(X88:AF88)=0,"",AVERAGE(X88:AF88)),"")</f>
        <v/>
      </c>
      <c r="AH88" s="29" t="n"/>
      <c r="AI88" s="29" t="n"/>
      <c r="AJ88" s="29" t="n"/>
      <c r="AK88" s="29" t="n"/>
      <c r="AL88" s="29" t="n"/>
      <c r="AM88" s="29" t="n"/>
      <c r="AN88" s="29" t="n"/>
      <c r="AO88" s="29" t="n"/>
      <c r="AP88" s="29" t="n"/>
      <c r="AQ88" s="29" t="n"/>
      <c r="AR88" s="29" t="n"/>
      <c r="AS88" s="29" t="n"/>
      <c r="AT88" s="29" t="n"/>
      <c r="AU88">
        <f>IFERROR(Validation_Summary!Q5,"")</f>
        <v/>
      </c>
    </row>
    <row r="89" ht="15" customHeight="1" s="67">
      <c r="A89" s="6" t="inlineStr">
        <is>
          <t>PT Bakrie Sumatera Plantations Tbk</t>
        </is>
      </c>
      <c r="B89" s="19">
        <f t="array" ref="B89">IFERROR(_xlfn.XLOOKUP($A89&amp;"|"&amp;$C89,'Company_Master'!$A$2:$A$94&amp;"|"&amp;'Company_Master'!$D$2:$D$94,'Company_Master'!$B$2:$B$94,""),"")</f>
        <v/>
      </c>
      <c r="C89" s="98" t="n">
        <v>2022</v>
      </c>
      <c r="D89" s="19">
        <f t="array" ref="D89">IFERROR(_xlfn.XLOOKUP($A89&amp;"|"&amp;$C89,'Company_Master'!$A$2:$A$94&amp;"|"&amp;'Company_Master'!$D$2:$D$94,'Company_Master'!$H$2:$H$94,""),"")</f>
        <v/>
      </c>
      <c r="E89" s="98">
        <f t="array" ref="E89">IFERROR(_xlfn.XLOOKUP($A89&amp;"|"&amp;$C89,Asset_Operations!$A$2:$A$201&amp;"|"&amp;Asset_Operations!$BG$2:$BG$201,Asset_Operations!$B$2:$B$201,""),"")</f>
        <v/>
      </c>
      <c r="F89" s="98">
        <f t="array" ref="F89">IFERROR(_xlfn.XLOOKUP($A89&amp;"|"&amp;$C89,Asset_Operations!$A$2:$A$201&amp;"|"&amp;Asset_Operations!$BG$2:$BG$201,Asset_Operations!$E$2:$E$201,""),"")</f>
        <v/>
      </c>
      <c r="G89" s="98">
        <f t="array" ref="G89">IFERROR(_xlfn.XLOOKUP($A89&amp;"|"&amp;$C89,Asset_Operations!$A$2:$A$201&amp;"|"&amp;Asset_Operations!$BG$2:$BG$201,Asset_Operations!$I$2:$I$201,""),"")</f>
        <v/>
      </c>
      <c r="H89" s="98">
        <f t="array" ref="H89">IFERROR(_xlfn.XLOOKUP($A89&amp;"|"&amp;$C89,Asset_Operations!$A$2:$A$201&amp;"|"&amp;Asset_Operations!$BG$2:$BG$201,Asset_Operations!$J$2:$J$201,""),"")</f>
        <v/>
      </c>
      <c r="I89" s="98">
        <f t="array" ref="I89">IFERROR(_xlfn.XLOOKUP($A89&amp;"|"&amp;$C89,Asset_Operations!$A$2:$A$201&amp;"|"&amp;Asset_Operations!$BG$2:$BG$201,Asset_Operations!$O$2:$O$201,""),"")</f>
        <v/>
      </c>
      <c r="J89" s="98">
        <f t="array" ref="J89">IFERROR(_xlfn.XLOOKUP($A89&amp;"|"&amp;$C89,Asset_Operations!$A$2:$A$201&amp;"|"&amp;Asset_Operations!$BG$2:$BG$201,Asset_Operations!$S$2:$S$201,""),"")</f>
        <v/>
      </c>
      <c r="K89" s="98">
        <f t="array" ref="K89">IFERROR(_xlfn.XLOOKUP($A89&amp;"|"&amp;$C89,Asset_Operations!$A$2:$A$201&amp;"|"&amp;Asset_Operations!$BG$2:$BG$201,Asset_Operations!$AC$2:$AC$201,""),"")</f>
        <v/>
      </c>
      <c r="L89" s="98">
        <f t="array" ref="L89">IFERROR(_xlfn.XLOOKUP($A89&amp;"|"&amp;$C89,Asset_Operations!$A$2:$A$201&amp;"|"&amp;Asset_Operations!$BG$2:$BG$201,Asset_Operations!$AG$2:$AG$201,""),"")</f>
        <v/>
      </c>
      <c r="M89" s="98">
        <f t="array" ref="M89">IFERROR(_xlfn.XLOOKUP($A89&amp;"|"&amp;$C89,Asset_Operations!$A$2:$A$201&amp;"|"&amp;Asset_Operations!$BG$2:$BG$201,Asset_Operations!$AO$2:$AO$201,""),"")</f>
        <v/>
      </c>
      <c r="N89" s="99">
        <f t="array" ref="N89">IFERROR(_xlfn.XLOOKUP($A89&amp;"|"&amp;$C89,Asset_Operations!$A$2:$A$201&amp;"|"&amp;Asset_Operations!$BG$2:$BG$201,Asset_Operations!$AR$2:$AR$201,""),"")</f>
        <v/>
      </c>
      <c r="O89" s="100">
        <f t="array" ref="O89">IFERROR(_xlfn.XLOOKUP($A89&amp;"|"&amp;$C89,Financials!$A$2:$A$201&amp;"|"&amp;Financials!$B$2:$B$201,Financials!$C$2:$C$201,""),"")</f>
        <v/>
      </c>
      <c r="P89" s="100">
        <f t="array" ref="P89">IFERROR(_xlfn.XLOOKUP($A89&amp;"|"&amp;$C89,Financials!$A$2:$A$201&amp;"|"&amp;Financials!$B$2:$B$201,Financials!$E$2:$E$201,""),"")</f>
        <v/>
      </c>
      <c r="Q89" s="100">
        <f t="array" ref="Q89">IFERROR(_xlfn.XLOOKUP($A89&amp;"|"&amp;$C89,Financials!$A$2:$A$201&amp;"|"&amp;Financials!$B$2:$B$201,Financials!$G$2:$G$201,""),"")</f>
        <v/>
      </c>
      <c r="R89" s="100">
        <f t="array" ref="R89">IFERROR(_xlfn.XLOOKUP($A89&amp;"|"&amp;$C89,Financials!$A$2:$A$201&amp;"|"&amp;Financials!$B$2:$B$201,Financials!$S$2:$S$201,""),"")</f>
        <v/>
      </c>
      <c r="S89" s="100">
        <f t="array" ref="S89">IFERROR(_xlfn.XLOOKUP($A89&amp;"|"&amp;$C89,Financials!$A$2:$A$201&amp;"|"&amp;Financials!$B$2:$B$201,Financials!$AC$2:$AC$201,""),"")</f>
        <v/>
      </c>
      <c r="T89" s="101">
        <f>IFERROR(P89/O89,"")</f>
        <v/>
      </c>
      <c r="U89" s="24">
        <f>IFERROR(R89/P89,"")</f>
        <v/>
      </c>
      <c r="V89" s="102">
        <f>IFERROR(O89/E89,"")</f>
        <v/>
      </c>
      <c r="W89" s="24">
        <f>IFERROR(L89/F89,"")</f>
        <v/>
      </c>
      <c r="X89" s="26">
        <f>IFERROR(IF(NOT(ISNUMBER($E89)),"",IF($E89&gt;=Scoring_Criteria!$D$4,5,IF($E89&gt;=Scoring_Criteria!$E$4,4,IF($E89&gt;=Scoring_Criteria!$F$4,3,IF($E89&gt;=Scoring_Criteria!$G$4,2,1))))),"")</f>
        <v/>
      </c>
      <c r="Y89" s="26">
        <f>IFERROR(IF(OR(NOT(ISNUMBER($F89)),NOT(ISNUMBER($E89)),$E89=0),"",IF(($F89/$E89)&gt;=Scoring_Criteria!$D$5,5,IF(($F89/$E89)&gt;=Scoring_Criteria!$E$5,4,IF(($F89/$E89)&gt;=Scoring_Criteria!$F$5,3,IF(($F89/$E89)&gt;=Scoring_Criteria!$G$5,2,1))))),"")</f>
        <v/>
      </c>
      <c r="Z89" s="26">
        <f>IFERROR(IF(AND(NOT(ISNUMBER($I89)),NOT(ISNUMBER($J89))),"",IF((IFERROR($I89,0)+IFERROR($J89,0))&gt;=Scoring_Criteria!$D$6,5,IF((IFERROR($I89,0)+IFERROR($J89,0))&gt;=Scoring_Criteria!$E$6,4,IF((IFERROR($I89,0)+IFERROR($J89,0))&gt;=Scoring_Criteria!$F$6,3,IF((IFERROR($I89,0)+IFERROR($J89,0))&gt;=Scoring_Criteria!$G$6,2,1))))),"")</f>
        <v/>
      </c>
      <c r="AA89" s="26">
        <f>IFERROR(IF(NOT(ISNUMBER($M89)),"",IF($M89&gt;=Scoring_Criteria!$D$7,5,IF($M89&gt;=Scoring_Criteria!$E$7,4,IF($M89&gt;=Scoring_Criteria!$F$7,3,IF($M89&gt;=Scoring_Criteria!$G$7,2,1))))),"")</f>
        <v/>
      </c>
      <c r="AB89" s="26">
        <f>IFERROR(IF(NOT(ISNUMBER($T89)),"",IF($T89&gt;=Scoring_Criteria!$D$8,5,IF($T89&gt;=Scoring_Criteria!$E$8,4,IF($T89&gt;=Scoring_Criteria!$F$8,3,IF($T89&gt;=Scoring_Criteria!$G$8,2,1))))),"")</f>
        <v/>
      </c>
      <c r="AC89" s="26">
        <f>IFERROR(IF(NOT(ISNUMBER($U89)),"",IF($U89&lt;=Scoring_Criteria!$D$9,5,IF($U89&lt;=Scoring_Criteria!$E$9,4,IF($U89&lt;=Scoring_Criteria!$F$9,3,IF($U89&lt;=Scoring_Criteria!$G$9,2,1))))),"")</f>
        <v/>
      </c>
      <c r="AD89" s="26">
        <f t="array" ref="AD89">IFERROR(IF(NOT(ISNUMBER(_xlfn.XLOOKUP($A89&amp;"|"&amp;$C89,Financials!$A$2:$A$201&amp;"|"&amp;Financials!$B$2:$B$201,Financials!$AD$2:$AD$201,""))),"",IF(_xlfn.XLOOKUP($A89&amp;"|"&amp;$C89,Financials!$A$2:$A$201&amp;"|"&amp;Financials!$B$2:$B$201,Financials!$AD$2:$AD$201,"")&gt;=Scoring_Criteria!$D$10,5,IF(_xlfn.XLOOKUP($A89&amp;"|"&amp;$C89,Financials!$A$2:$A$201&amp;"|"&amp;Financials!$B$2:$B$201,Financials!$AD$2:$AD$201,"")&gt;=Scoring_Criteria!$E$10,4,IF(_xlfn.XLOOKUP($A89&amp;"|"&amp;$C89,Financials!$A$2:$A$201&amp;"|"&amp;Financials!$B$2:$B$201,Financials!$AD$2:$AD$201,"")&gt;=Scoring_Criteria!$F$10,3,IF(_xlfn.XLOOKUP($A89&amp;"|"&amp;$C89,Financials!$A$2:$A$201&amp;"|"&amp;Financials!$B$2:$B$201,Financials!$AD$2:$AD$201,"")&gt;=Scoring_Criteria!$G$10,2,1))))),"")</f>
        <v/>
      </c>
      <c r="AE89" s="27" t="n"/>
      <c r="AF89" s="27" t="n"/>
      <c r="AG89" s="28">
        <f>IFERROR(IF(COUNTA(X89:AF89)=0,"",AVERAGE(X89:AF89)),"")</f>
        <v/>
      </c>
      <c r="AH89" s="29" t="n"/>
      <c r="AI89" s="29" t="n"/>
      <c r="AJ89" s="29" t="n"/>
      <c r="AK89" s="29" t="n"/>
      <c r="AL89" s="29" t="n"/>
      <c r="AM89" s="29" t="n"/>
      <c r="AN89" s="29" t="n"/>
      <c r="AO89" s="29" t="n"/>
      <c r="AP89" s="29" t="n"/>
      <c r="AQ89" s="29" t="n"/>
      <c r="AR89" s="29" t="n"/>
      <c r="AS89" s="29" t="n"/>
      <c r="AT89" s="29" t="n"/>
      <c r="AU89">
        <f>IFERROR(Validation_Summary!Q5,"")</f>
        <v/>
      </c>
    </row>
    <row r="90" ht="15" customHeight="1" s="67">
      <c r="A90" s="6" t="inlineStr">
        <is>
          <t>PT Bakrie Sumatera Plantations Tbk</t>
        </is>
      </c>
      <c r="B90" s="19">
        <f t="array" ref="B90">IFERROR(_xlfn.XLOOKUP($A90&amp;"|"&amp;$C90,'Company_Master'!$A$2:$A$94&amp;"|"&amp;'Company_Master'!$D$2:$D$94,'Company_Master'!$B$2:$B$94,""),"")</f>
        <v/>
      </c>
      <c r="C90" s="98" t="n">
        <v>2023</v>
      </c>
      <c r="D90" s="19">
        <f t="array" ref="D90">IFERROR(_xlfn.XLOOKUP($A90&amp;"|"&amp;$C90,'Company_Master'!$A$2:$A$94&amp;"|"&amp;'Company_Master'!$D$2:$D$94,'Company_Master'!$H$2:$H$94,""),"")</f>
        <v/>
      </c>
      <c r="E90" s="98">
        <f t="array" ref="E90">IFERROR(_xlfn.XLOOKUP($A90&amp;"|"&amp;$C90,Asset_Operations!$A$2:$A$201&amp;"|"&amp;Asset_Operations!$BG$2:$BG$201,Asset_Operations!$B$2:$B$201,""),"")</f>
        <v/>
      </c>
      <c r="F90" s="98">
        <f t="array" ref="F90">IFERROR(_xlfn.XLOOKUP($A90&amp;"|"&amp;$C90,Asset_Operations!$A$2:$A$201&amp;"|"&amp;Asset_Operations!$BG$2:$BG$201,Asset_Operations!$E$2:$E$201,""),"")</f>
        <v/>
      </c>
      <c r="G90" s="98">
        <f t="array" ref="G90">IFERROR(_xlfn.XLOOKUP($A90&amp;"|"&amp;$C90,Asset_Operations!$A$2:$A$201&amp;"|"&amp;Asset_Operations!$BG$2:$BG$201,Asset_Operations!$I$2:$I$201,""),"")</f>
        <v/>
      </c>
      <c r="H90" s="98">
        <f t="array" ref="H90">IFERROR(_xlfn.XLOOKUP($A90&amp;"|"&amp;$C90,Asset_Operations!$A$2:$A$201&amp;"|"&amp;Asset_Operations!$BG$2:$BG$201,Asset_Operations!$J$2:$J$201,""),"")</f>
        <v/>
      </c>
      <c r="I90" s="98">
        <f t="array" ref="I90">IFERROR(_xlfn.XLOOKUP($A90&amp;"|"&amp;$C90,Asset_Operations!$A$2:$A$201&amp;"|"&amp;Asset_Operations!$BG$2:$BG$201,Asset_Operations!$O$2:$O$201,""),"")</f>
        <v/>
      </c>
      <c r="J90" s="98">
        <f t="array" ref="J90">IFERROR(_xlfn.XLOOKUP($A90&amp;"|"&amp;$C90,Asset_Operations!$A$2:$A$201&amp;"|"&amp;Asset_Operations!$BG$2:$BG$201,Asset_Operations!$S$2:$S$201,""),"")</f>
        <v/>
      </c>
      <c r="K90" s="98">
        <f t="array" ref="K90">IFERROR(_xlfn.XLOOKUP($A90&amp;"|"&amp;$C90,Asset_Operations!$A$2:$A$201&amp;"|"&amp;Asset_Operations!$BG$2:$BG$201,Asset_Operations!$AC$2:$AC$201,""),"")</f>
        <v/>
      </c>
      <c r="L90" s="98">
        <f t="array" ref="L90">IFERROR(_xlfn.XLOOKUP($A90&amp;"|"&amp;$C90,Asset_Operations!$A$2:$A$201&amp;"|"&amp;Asset_Operations!$BG$2:$BG$201,Asset_Operations!$AG$2:$AG$201,""),"")</f>
        <v/>
      </c>
      <c r="M90" s="98">
        <f t="array" ref="M90">IFERROR(_xlfn.XLOOKUP($A90&amp;"|"&amp;$C90,Asset_Operations!$A$2:$A$201&amp;"|"&amp;Asset_Operations!$BG$2:$BG$201,Asset_Operations!$AO$2:$AO$201,""),"")</f>
        <v/>
      </c>
      <c r="N90" s="99">
        <f t="array" ref="N90">IFERROR(_xlfn.XLOOKUP($A90&amp;"|"&amp;$C90,Asset_Operations!$A$2:$A$201&amp;"|"&amp;Asset_Operations!$BG$2:$BG$201,Asset_Operations!$AR$2:$AR$201,""),"")</f>
        <v/>
      </c>
      <c r="O90" s="100">
        <f t="array" ref="O90">IFERROR(_xlfn.XLOOKUP($A90&amp;"|"&amp;$C90,Financials!$A$2:$A$201&amp;"|"&amp;Financials!$B$2:$B$201,Financials!$C$2:$C$201,""),"")</f>
        <v/>
      </c>
      <c r="P90" s="100">
        <f t="array" ref="P90">IFERROR(_xlfn.XLOOKUP($A90&amp;"|"&amp;$C90,Financials!$A$2:$A$201&amp;"|"&amp;Financials!$B$2:$B$201,Financials!$E$2:$E$201,""),"")</f>
        <v/>
      </c>
      <c r="Q90" s="100">
        <f t="array" ref="Q90">IFERROR(_xlfn.XLOOKUP($A90&amp;"|"&amp;$C90,Financials!$A$2:$A$201&amp;"|"&amp;Financials!$B$2:$B$201,Financials!$G$2:$G$201,""),"")</f>
        <v/>
      </c>
      <c r="R90" s="100">
        <f t="array" ref="R90">IFERROR(_xlfn.XLOOKUP($A90&amp;"|"&amp;$C90,Financials!$A$2:$A$201&amp;"|"&amp;Financials!$B$2:$B$201,Financials!$S$2:$S$201,""),"")</f>
        <v/>
      </c>
      <c r="S90" s="100">
        <f t="array" ref="S90">IFERROR(_xlfn.XLOOKUP($A90&amp;"|"&amp;$C90,Financials!$A$2:$A$201&amp;"|"&amp;Financials!$B$2:$B$201,Financials!$AC$2:$AC$201,""),"")</f>
        <v/>
      </c>
      <c r="T90" s="101">
        <f>IFERROR(P90/O90,"")</f>
        <v/>
      </c>
      <c r="U90" s="24">
        <f>IFERROR(R90/P90,"")</f>
        <v/>
      </c>
      <c r="V90" s="102">
        <f>IFERROR(O90/E90,"")</f>
        <v/>
      </c>
      <c r="W90" s="24">
        <f>IFERROR(L90/F90,"")</f>
        <v/>
      </c>
      <c r="X90" s="26">
        <f>IFERROR(IF(NOT(ISNUMBER($E90)),"",IF($E90&gt;=Scoring_Criteria!$D$4,5,IF($E90&gt;=Scoring_Criteria!$E$4,4,IF($E90&gt;=Scoring_Criteria!$F$4,3,IF($E90&gt;=Scoring_Criteria!$G$4,2,1))))),"")</f>
        <v/>
      </c>
      <c r="Y90" s="26">
        <f>IFERROR(IF(OR(NOT(ISNUMBER($F90)),NOT(ISNUMBER($E90)),$E90=0),"",IF(($F90/$E90)&gt;=Scoring_Criteria!$D$5,5,IF(($F90/$E90)&gt;=Scoring_Criteria!$E$5,4,IF(($F90/$E90)&gt;=Scoring_Criteria!$F$5,3,IF(($F90/$E90)&gt;=Scoring_Criteria!$G$5,2,1))))),"")</f>
        <v/>
      </c>
      <c r="Z90" s="26">
        <f>IFERROR(IF(AND(NOT(ISNUMBER($I90)),NOT(ISNUMBER($J90))),"",IF((IFERROR($I90,0)+IFERROR($J90,0))&gt;=Scoring_Criteria!$D$6,5,IF((IFERROR($I90,0)+IFERROR($J90,0))&gt;=Scoring_Criteria!$E$6,4,IF((IFERROR($I90,0)+IFERROR($J90,0))&gt;=Scoring_Criteria!$F$6,3,IF((IFERROR($I90,0)+IFERROR($J90,0))&gt;=Scoring_Criteria!$G$6,2,1))))),"")</f>
        <v/>
      </c>
      <c r="AA90" s="26">
        <f>IFERROR(IF(NOT(ISNUMBER($M90)),"",IF($M90&gt;=Scoring_Criteria!$D$7,5,IF($M90&gt;=Scoring_Criteria!$E$7,4,IF($M90&gt;=Scoring_Criteria!$F$7,3,IF($M90&gt;=Scoring_Criteria!$G$7,2,1))))),"")</f>
        <v/>
      </c>
      <c r="AB90" s="26">
        <f>IFERROR(IF(NOT(ISNUMBER($T90)),"",IF($T90&gt;=Scoring_Criteria!$D$8,5,IF($T90&gt;=Scoring_Criteria!$E$8,4,IF($T90&gt;=Scoring_Criteria!$F$8,3,IF($T90&gt;=Scoring_Criteria!$G$8,2,1))))),"")</f>
        <v/>
      </c>
      <c r="AC90" s="26">
        <f>IFERROR(IF(NOT(ISNUMBER($U90)),"",IF($U90&lt;=Scoring_Criteria!$D$9,5,IF($U90&lt;=Scoring_Criteria!$E$9,4,IF($U90&lt;=Scoring_Criteria!$F$9,3,IF($U90&lt;=Scoring_Criteria!$G$9,2,1))))),"")</f>
        <v/>
      </c>
      <c r="AD90" s="26">
        <f t="array" ref="AD90">IFERROR(IF(NOT(ISNUMBER(_xlfn.XLOOKUP($A90&amp;"|"&amp;$C90,Financials!$A$2:$A$201&amp;"|"&amp;Financials!$B$2:$B$201,Financials!$AD$2:$AD$201,""))),"",IF(_xlfn.XLOOKUP($A90&amp;"|"&amp;$C90,Financials!$A$2:$A$201&amp;"|"&amp;Financials!$B$2:$B$201,Financials!$AD$2:$AD$201,"")&gt;=Scoring_Criteria!$D$10,5,IF(_xlfn.XLOOKUP($A90&amp;"|"&amp;$C90,Financials!$A$2:$A$201&amp;"|"&amp;Financials!$B$2:$B$201,Financials!$AD$2:$AD$201,"")&gt;=Scoring_Criteria!$E$10,4,IF(_xlfn.XLOOKUP($A90&amp;"|"&amp;$C90,Financials!$A$2:$A$201&amp;"|"&amp;Financials!$B$2:$B$201,Financials!$AD$2:$AD$201,"")&gt;=Scoring_Criteria!$F$10,3,IF(_xlfn.XLOOKUP($A90&amp;"|"&amp;$C90,Financials!$A$2:$A$201&amp;"|"&amp;Financials!$B$2:$B$201,Financials!$AD$2:$AD$201,"")&gt;=Scoring_Criteria!$G$10,2,1))))),"")</f>
        <v/>
      </c>
      <c r="AE90" s="27" t="n"/>
      <c r="AF90" s="27" t="n"/>
      <c r="AG90" s="28">
        <f>IFERROR(IF(COUNTA(X90:AF90)=0,"",AVERAGE(X90:AF90)),"")</f>
        <v/>
      </c>
      <c r="AH90" s="29" t="n"/>
      <c r="AI90" s="29" t="n"/>
      <c r="AJ90" s="29" t="n"/>
      <c r="AK90" s="29" t="n"/>
      <c r="AL90" s="29" t="n"/>
      <c r="AM90" s="29" t="n"/>
      <c r="AN90" s="29" t="n"/>
      <c r="AO90" s="29" t="n"/>
      <c r="AP90" s="29" t="n"/>
      <c r="AQ90" s="29" t="n"/>
      <c r="AR90" s="29" t="n"/>
      <c r="AS90" s="29" t="n"/>
      <c r="AT90" s="29" t="n"/>
      <c r="AU90">
        <f>IFERROR(Validation_Summary!Q5,"")</f>
        <v/>
      </c>
    </row>
    <row r="91" ht="15" customHeight="1" s="67">
      <c r="A91" s="6" t="inlineStr">
        <is>
          <t>PT Bakrie Sumatera Plantations Tbk</t>
        </is>
      </c>
      <c r="B91" s="19">
        <f t="array" ref="B91">IFERROR(_xlfn.XLOOKUP($A91&amp;"|"&amp;$C91,'Company_Master'!$A$2:$A$94&amp;"|"&amp;'Company_Master'!$D$2:$D$94,'Company_Master'!$B$2:$B$94,""),"")</f>
        <v/>
      </c>
      <c r="C91" s="98" t="n">
        <v>2024</v>
      </c>
      <c r="D91" s="19">
        <f t="array" ref="D91">IFERROR(_xlfn.XLOOKUP($A91&amp;"|"&amp;$C91,'Company_Master'!$A$2:$A$94&amp;"|"&amp;'Company_Master'!$D$2:$D$94,'Company_Master'!$H$2:$H$94,""),"")</f>
        <v/>
      </c>
      <c r="E91" s="98">
        <f t="array" ref="E91">IFERROR(_xlfn.XLOOKUP($A91&amp;"|"&amp;$C91,Asset_Operations!$A$2:$A$201&amp;"|"&amp;Asset_Operations!$BG$2:$BG$201,Asset_Operations!$B$2:$B$201,""),"")</f>
        <v/>
      </c>
      <c r="F91" s="98">
        <f t="array" ref="F91">IFERROR(_xlfn.XLOOKUP($A91&amp;"|"&amp;$C91,Asset_Operations!$A$2:$A$201&amp;"|"&amp;Asset_Operations!$BG$2:$BG$201,Asset_Operations!$E$2:$E$201,""),"")</f>
        <v/>
      </c>
      <c r="G91" s="98">
        <f t="array" ref="G91">IFERROR(_xlfn.XLOOKUP($A91&amp;"|"&amp;$C91,Asset_Operations!$A$2:$A$201&amp;"|"&amp;Asset_Operations!$BG$2:$BG$201,Asset_Operations!$I$2:$I$201,""),"")</f>
        <v/>
      </c>
      <c r="H91" s="98">
        <f t="array" ref="H91">IFERROR(_xlfn.XLOOKUP($A91&amp;"|"&amp;$C91,Asset_Operations!$A$2:$A$201&amp;"|"&amp;Asset_Operations!$BG$2:$BG$201,Asset_Operations!$J$2:$J$201,""),"")</f>
        <v/>
      </c>
      <c r="I91" s="98">
        <f t="array" ref="I91">IFERROR(_xlfn.XLOOKUP($A91&amp;"|"&amp;$C91,Asset_Operations!$A$2:$A$201&amp;"|"&amp;Asset_Operations!$BG$2:$BG$201,Asset_Operations!$O$2:$O$201,""),"")</f>
        <v/>
      </c>
      <c r="J91" s="98">
        <f t="array" ref="J91">IFERROR(_xlfn.XLOOKUP($A91&amp;"|"&amp;$C91,Asset_Operations!$A$2:$A$201&amp;"|"&amp;Asset_Operations!$BG$2:$BG$201,Asset_Operations!$S$2:$S$201,""),"")</f>
        <v/>
      </c>
      <c r="K91" s="98">
        <f t="array" ref="K91">IFERROR(_xlfn.XLOOKUP($A91&amp;"|"&amp;$C91,Asset_Operations!$A$2:$A$201&amp;"|"&amp;Asset_Operations!$BG$2:$BG$201,Asset_Operations!$AC$2:$AC$201,""),"")</f>
        <v/>
      </c>
      <c r="L91" s="98">
        <f t="array" ref="L91">IFERROR(_xlfn.XLOOKUP($A91&amp;"|"&amp;$C91,Asset_Operations!$A$2:$A$201&amp;"|"&amp;Asset_Operations!$BG$2:$BG$201,Asset_Operations!$AG$2:$AG$201,""),"")</f>
        <v/>
      </c>
      <c r="M91" s="98">
        <f t="array" ref="M91">IFERROR(_xlfn.XLOOKUP($A91&amp;"|"&amp;$C91,Asset_Operations!$A$2:$A$201&amp;"|"&amp;Asset_Operations!$BG$2:$BG$201,Asset_Operations!$AO$2:$AO$201,""),"")</f>
        <v/>
      </c>
      <c r="N91" s="99">
        <f t="array" ref="N91">IFERROR(_xlfn.XLOOKUP($A91&amp;"|"&amp;$C91,Asset_Operations!$A$2:$A$201&amp;"|"&amp;Asset_Operations!$BG$2:$BG$201,Asset_Operations!$AR$2:$AR$201,""),"")</f>
        <v/>
      </c>
      <c r="O91" s="100">
        <f t="array" ref="O91">IFERROR(_xlfn.XLOOKUP($A91&amp;"|"&amp;$C91,Financials!$A$2:$A$201&amp;"|"&amp;Financials!$B$2:$B$201,Financials!$C$2:$C$201,""),"")</f>
        <v/>
      </c>
      <c r="P91" s="100">
        <f t="array" ref="P91">IFERROR(_xlfn.XLOOKUP($A91&amp;"|"&amp;$C91,Financials!$A$2:$A$201&amp;"|"&amp;Financials!$B$2:$B$201,Financials!$E$2:$E$201,""),"")</f>
        <v/>
      </c>
      <c r="Q91" s="100">
        <f t="array" ref="Q91">IFERROR(_xlfn.XLOOKUP($A91&amp;"|"&amp;$C91,Financials!$A$2:$A$201&amp;"|"&amp;Financials!$B$2:$B$201,Financials!$G$2:$G$201,""),"")</f>
        <v/>
      </c>
      <c r="R91" s="100">
        <f t="array" ref="R91">IFERROR(_xlfn.XLOOKUP($A91&amp;"|"&amp;$C91,Financials!$A$2:$A$201&amp;"|"&amp;Financials!$B$2:$B$201,Financials!$S$2:$S$201,""),"")</f>
        <v/>
      </c>
      <c r="S91" s="100">
        <f t="array" ref="S91">IFERROR(_xlfn.XLOOKUP($A91&amp;"|"&amp;$C91,Financials!$A$2:$A$201&amp;"|"&amp;Financials!$B$2:$B$201,Financials!$AC$2:$AC$201,""),"")</f>
        <v/>
      </c>
      <c r="T91" s="101">
        <f>IFERROR(P91/O91,"")</f>
        <v/>
      </c>
      <c r="U91" s="24">
        <f>IFERROR(R91/P91,"")</f>
        <v/>
      </c>
      <c r="V91" s="102">
        <f>IFERROR(O91/E91,"")</f>
        <v/>
      </c>
      <c r="W91" s="24">
        <f>IFERROR(L91/F91,"")</f>
        <v/>
      </c>
      <c r="X91" s="26">
        <f>IFERROR(IF(NOT(ISNUMBER($E91)),"",IF($E91&gt;=Scoring_Criteria!$D$4,5,IF($E91&gt;=Scoring_Criteria!$E$4,4,IF($E91&gt;=Scoring_Criteria!$F$4,3,IF($E91&gt;=Scoring_Criteria!$G$4,2,1))))),"")</f>
        <v/>
      </c>
      <c r="Y91" s="26">
        <f>IFERROR(IF(OR(NOT(ISNUMBER($F91)),NOT(ISNUMBER($E91)),$E91=0),"",IF(($F91/$E91)&gt;=Scoring_Criteria!$D$5,5,IF(($F91/$E91)&gt;=Scoring_Criteria!$E$5,4,IF(($F91/$E91)&gt;=Scoring_Criteria!$F$5,3,IF(($F91/$E91)&gt;=Scoring_Criteria!$G$5,2,1))))),"")</f>
        <v/>
      </c>
      <c r="Z91" s="26">
        <f>IFERROR(IF(AND(NOT(ISNUMBER($I91)),NOT(ISNUMBER($J91))),"",IF((IFERROR($I91,0)+IFERROR($J91,0))&gt;=Scoring_Criteria!$D$6,5,IF((IFERROR($I91,0)+IFERROR($J91,0))&gt;=Scoring_Criteria!$E$6,4,IF((IFERROR($I91,0)+IFERROR($J91,0))&gt;=Scoring_Criteria!$F$6,3,IF((IFERROR($I91,0)+IFERROR($J91,0))&gt;=Scoring_Criteria!$G$6,2,1))))),"")</f>
        <v/>
      </c>
      <c r="AA91" s="26">
        <f>IFERROR(IF(NOT(ISNUMBER($M91)),"",IF($M91&gt;=Scoring_Criteria!$D$7,5,IF($M91&gt;=Scoring_Criteria!$E$7,4,IF($M91&gt;=Scoring_Criteria!$F$7,3,IF($M91&gt;=Scoring_Criteria!$G$7,2,1))))),"")</f>
        <v/>
      </c>
      <c r="AB91" s="26">
        <f>IFERROR(IF(NOT(ISNUMBER($T91)),"",IF($T91&gt;=Scoring_Criteria!$D$8,5,IF($T91&gt;=Scoring_Criteria!$E$8,4,IF($T91&gt;=Scoring_Criteria!$F$8,3,IF($T91&gt;=Scoring_Criteria!$G$8,2,1))))),"")</f>
        <v/>
      </c>
      <c r="AC91" s="26">
        <f>IFERROR(IF(NOT(ISNUMBER($U91)),"",IF($U91&lt;=Scoring_Criteria!$D$9,5,IF($U91&lt;=Scoring_Criteria!$E$9,4,IF($U91&lt;=Scoring_Criteria!$F$9,3,IF($U91&lt;=Scoring_Criteria!$G$9,2,1))))),"")</f>
        <v/>
      </c>
      <c r="AD91" s="26">
        <f t="array" ref="AD91">IFERROR(IF(NOT(ISNUMBER(_xlfn.XLOOKUP($A91&amp;"|"&amp;$C91,Financials!$A$2:$A$201&amp;"|"&amp;Financials!$B$2:$B$201,Financials!$AD$2:$AD$201,""))),"",IF(_xlfn.XLOOKUP($A91&amp;"|"&amp;$C91,Financials!$A$2:$A$201&amp;"|"&amp;Financials!$B$2:$B$201,Financials!$AD$2:$AD$201,"")&gt;=Scoring_Criteria!$D$10,5,IF(_xlfn.XLOOKUP($A91&amp;"|"&amp;$C91,Financials!$A$2:$A$201&amp;"|"&amp;Financials!$B$2:$B$201,Financials!$AD$2:$AD$201,"")&gt;=Scoring_Criteria!$E$10,4,IF(_xlfn.XLOOKUP($A91&amp;"|"&amp;$C91,Financials!$A$2:$A$201&amp;"|"&amp;Financials!$B$2:$B$201,Financials!$AD$2:$AD$201,"")&gt;=Scoring_Criteria!$F$10,3,IF(_xlfn.XLOOKUP($A91&amp;"|"&amp;$C91,Financials!$A$2:$A$201&amp;"|"&amp;Financials!$B$2:$B$201,Financials!$AD$2:$AD$201,"")&gt;=Scoring_Criteria!$G$10,2,1))))),"")</f>
        <v/>
      </c>
      <c r="AE91" s="27" t="n"/>
      <c r="AF91" s="27" t="n"/>
      <c r="AG91" s="28">
        <f>IFERROR(IF(COUNTA(X91:AF91)=0,"",AVERAGE(X91:AF91)),"")</f>
        <v/>
      </c>
      <c r="AH91" s="29" t="n"/>
      <c r="AI91" s="29" t="n"/>
      <c r="AJ91" s="29" t="n"/>
      <c r="AK91" s="29" t="n"/>
      <c r="AL91" s="29" t="n"/>
      <c r="AM91" s="29" t="n"/>
      <c r="AN91" s="29" t="n"/>
      <c r="AO91" s="29" t="n"/>
      <c r="AP91" s="29" t="n"/>
      <c r="AQ91" s="29" t="n"/>
      <c r="AR91" s="29" t="n"/>
      <c r="AS91" s="29" t="n"/>
      <c r="AT91" s="29" t="n"/>
      <c r="AU91">
        <f>IFERROR(Validation_Summary!Q5,"")</f>
        <v/>
      </c>
    </row>
    <row r="92" ht="15" customHeight="1" s="67">
      <c r="A92" s="6" t="inlineStr">
        <is>
          <t>PT Wahana Pronatural Tbk</t>
        </is>
      </c>
      <c r="B92" s="19">
        <f t="array" ref="B92">IFERROR(_xlfn.XLOOKUP($A92&amp;"|"&amp;$C92,'Company_Master'!$A$2:$A$94&amp;"|"&amp;'Company_Master'!$D$2:$D$94,'Company_Master'!$B$2:$B$94,""),"")</f>
        <v/>
      </c>
      <c r="C92" s="98" t="n">
        <v>2022</v>
      </c>
      <c r="D92" s="19">
        <f t="array" ref="D92">IFERROR(_xlfn.XLOOKUP($A92&amp;"|"&amp;$C92,'Company_Master'!$A$2:$A$94&amp;"|"&amp;'Company_Master'!$D$2:$D$94,'Company_Master'!$H$2:$H$94,""),"")</f>
        <v/>
      </c>
      <c r="E92" s="98">
        <f t="array" ref="E92">IFERROR(_xlfn.XLOOKUP($A92&amp;"|"&amp;$C92,Asset_Operations!$A$2:$A$201&amp;"|"&amp;Asset_Operations!$BG$2:$BG$201,Asset_Operations!$B$2:$B$201,""),"")</f>
        <v/>
      </c>
      <c r="F92" s="98">
        <f t="array" ref="F92">IFERROR(_xlfn.XLOOKUP($A92&amp;"|"&amp;$C92,Asset_Operations!$A$2:$A$201&amp;"|"&amp;Asset_Operations!$BG$2:$BG$201,Asset_Operations!$E$2:$E$201,""),"")</f>
        <v/>
      </c>
      <c r="G92" s="98">
        <f t="array" ref="G92">IFERROR(_xlfn.XLOOKUP($A92&amp;"|"&amp;$C92,Asset_Operations!$A$2:$A$201&amp;"|"&amp;Asset_Operations!$BG$2:$BG$201,Asset_Operations!$I$2:$I$201,""),"")</f>
        <v/>
      </c>
      <c r="H92" s="98">
        <f t="array" ref="H92">IFERROR(_xlfn.XLOOKUP($A92&amp;"|"&amp;$C92,Asset_Operations!$A$2:$A$201&amp;"|"&amp;Asset_Operations!$BG$2:$BG$201,Asset_Operations!$J$2:$J$201,""),"")</f>
        <v/>
      </c>
      <c r="I92" s="98">
        <f t="array" ref="I92">IFERROR(_xlfn.XLOOKUP($A92&amp;"|"&amp;$C92,Asset_Operations!$A$2:$A$201&amp;"|"&amp;Asset_Operations!$BG$2:$BG$201,Asset_Operations!$O$2:$O$201,""),"")</f>
        <v/>
      </c>
      <c r="J92" s="98">
        <f t="array" ref="J92">IFERROR(_xlfn.XLOOKUP($A92&amp;"|"&amp;$C92,Asset_Operations!$A$2:$A$201&amp;"|"&amp;Asset_Operations!$BG$2:$BG$201,Asset_Operations!$S$2:$S$201,""),"")</f>
        <v/>
      </c>
      <c r="K92" s="98">
        <f t="array" ref="K92">IFERROR(_xlfn.XLOOKUP($A92&amp;"|"&amp;$C92,Asset_Operations!$A$2:$A$201&amp;"|"&amp;Asset_Operations!$BG$2:$BG$201,Asset_Operations!$AC$2:$AC$201,""),"")</f>
        <v/>
      </c>
      <c r="L92" s="98">
        <f t="array" ref="L92">IFERROR(_xlfn.XLOOKUP($A92&amp;"|"&amp;$C92,Asset_Operations!$A$2:$A$201&amp;"|"&amp;Asset_Operations!$BG$2:$BG$201,Asset_Operations!$AG$2:$AG$201,""),"")</f>
        <v/>
      </c>
      <c r="M92" s="98">
        <f t="array" ref="M92">IFERROR(_xlfn.XLOOKUP($A92&amp;"|"&amp;$C92,Asset_Operations!$A$2:$A$201&amp;"|"&amp;Asset_Operations!$BG$2:$BG$201,Asset_Operations!$AO$2:$AO$201,""),"")</f>
        <v/>
      </c>
      <c r="N92" s="99">
        <f t="array" ref="N92">IFERROR(_xlfn.XLOOKUP($A92&amp;"|"&amp;$C92,Asset_Operations!$A$2:$A$201&amp;"|"&amp;Asset_Operations!$BG$2:$BG$201,Asset_Operations!$AR$2:$AR$201,""),"")</f>
        <v/>
      </c>
      <c r="O92" s="100">
        <f t="array" ref="O92">IFERROR(_xlfn.XLOOKUP($A92&amp;"|"&amp;$C92,Financials!$A$2:$A$201&amp;"|"&amp;Financials!$B$2:$B$201,Financials!$C$2:$C$201,""),"")</f>
        <v/>
      </c>
      <c r="P92" s="100">
        <f t="array" ref="P92">IFERROR(_xlfn.XLOOKUP($A92&amp;"|"&amp;$C92,Financials!$A$2:$A$201&amp;"|"&amp;Financials!$B$2:$B$201,Financials!$E$2:$E$201,""),"")</f>
        <v/>
      </c>
      <c r="Q92" s="100">
        <f t="array" ref="Q92">IFERROR(_xlfn.XLOOKUP($A92&amp;"|"&amp;$C92,Financials!$A$2:$A$201&amp;"|"&amp;Financials!$B$2:$B$201,Financials!$G$2:$G$201,""),"")</f>
        <v/>
      </c>
      <c r="R92" s="100">
        <f t="array" ref="R92">IFERROR(_xlfn.XLOOKUP($A92&amp;"|"&amp;$C92,Financials!$A$2:$A$201&amp;"|"&amp;Financials!$B$2:$B$201,Financials!$S$2:$S$201,""),"")</f>
        <v/>
      </c>
      <c r="S92" s="100">
        <f t="array" ref="S92">IFERROR(_xlfn.XLOOKUP($A92&amp;"|"&amp;$C92,Financials!$A$2:$A$201&amp;"|"&amp;Financials!$B$2:$B$201,Financials!$AC$2:$AC$201,""),"")</f>
        <v/>
      </c>
      <c r="T92" s="101">
        <f>IFERROR(P92/O92,"")</f>
        <v/>
      </c>
      <c r="U92" s="24">
        <f>IFERROR(R92/P92,"")</f>
        <v/>
      </c>
      <c r="V92" s="102">
        <f>IFERROR(O92/E92,"")</f>
        <v/>
      </c>
      <c r="W92" s="24">
        <f>IFERROR(L92/F92,"")</f>
        <v/>
      </c>
      <c r="X92" s="26">
        <f>IFERROR(IF(NOT(ISNUMBER($E92)),"",IF($E92&gt;=Scoring_Criteria!$D$4,5,IF($E92&gt;=Scoring_Criteria!$E$4,4,IF($E92&gt;=Scoring_Criteria!$F$4,3,IF($E92&gt;=Scoring_Criteria!$G$4,2,1))))),"")</f>
        <v/>
      </c>
      <c r="Y92" s="26">
        <f>IFERROR(IF(OR(NOT(ISNUMBER($F92)),NOT(ISNUMBER($E92)),$E92=0),"",IF(($F92/$E92)&gt;=Scoring_Criteria!$D$5,5,IF(($F92/$E92)&gt;=Scoring_Criteria!$E$5,4,IF(($F92/$E92)&gt;=Scoring_Criteria!$F$5,3,IF(($F92/$E92)&gt;=Scoring_Criteria!$G$5,2,1))))),"")</f>
        <v/>
      </c>
      <c r="Z92" s="26">
        <f>IFERROR(IF(AND(NOT(ISNUMBER($I92)),NOT(ISNUMBER($J92))),"",IF((IFERROR($I92,0)+IFERROR($J92,0))&gt;=Scoring_Criteria!$D$6,5,IF((IFERROR($I92,0)+IFERROR($J92,0))&gt;=Scoring_Criteria!$E$6,4,IF((IFERROR($I92,0)+IFERROR($J92,0))&gt;=Scoring_Criteria!$F$6,3,IF((IFERROR($I92,0)+IFERROR($J92,0))&gt;=Scoring_Criteria!$G$6,2,1))))),"")</f>
        <v/>
      </c>
      <c r="AA92" s="26">
        <f>IFERROR(IF(NOT(ISNUMBER($M92)),"",IF($M92&gt;=Scoring_Criteria!$D$7,5,IF($M92&gt;=Scoring_Criteria!$E$7,4,IF($M92&gt;=Scoring_Criteria!$F$7,3,IF($M92&gt;=Scoring_Criteria!$G$7,2,1))))),"")</f>
        <v/>
      </c>
      <c r="AB92" s="26">
        <f>IFERROR(IF(NOT(ISNUMBER($T92)),"",IF($T92&gt;=Scoring_Criteria!$D$8,5,IF($T92&gt;=Scoring_Criteria!$E$8,4,IF($T92&gt;=Scoring_Criteria!$F$8,3,IF($T92&gt;=Scoring_Criteria!$G$8,2,1))))),"")</f>
        <v/>
      </c>
      <c r="AC92" s="26">
        <f>IFERROR(IF(NOT(ISNUMBER($U92)),"",IF($U92&lt;=Scoring_Criteria!$D$9,5,IF($U92&lt;=Scoring_Criteria!$E$9,4,IF($U92&lt;=Scoring_Criteria!$F$9,3,IF($U92&lt;=Scoring_Criteria!$G$9,2,1))))),"")</f>
        <v/>
      </c>
      <c r="AD92" s="26">
        <f t="array" ref="AD92">IFERROR(IF(NOT(ISNUMBER(_xlfn.XLOOKUP($A92&amp;"|"&amp;$C92,Financials!$A$2:$A$201&amp;"|"&amp;Financials!$B$2:$B$201,Financials!$AD$2:$AD$201,""))),"",IF(_xlfn.XLOOKUP($A92&amp;"|"&amp;$C92,Financials!$A$2:$A$201&amp;"|"&amp;Financials!$B$2:$B$201,Financials!$AD$2:$AD$201,"")&gt;=Scoring_Criteria!$D$10,5,IF(_xlfn.XLOOKUP($A92&amp;"|"&amp;$C92,Financials!$A$2:$A$201&amp;"|"&amp;Financials!$B$2:$B$201,Financials!$AD$2:$AD$201,"")&gt;=Scoring_Criteria!$E$10,4,IF(_xlfn.XLOOKUP($A92&amp;"|"&amp;$C92,Financials!$A$2:$A$201&amp;"|"&amp;Financials!$B$2:$B$201,Financials!$AD$2:$AD$201,"")&gt;=Scoring_Criteria!$F$10,3,IF(_xlfn.XLOOKUP($A92&amp;"|"&amp;$C92,Financials!$A$2:$A$201&amp;"|"&amp;Financials!$B$2:$B$201,Financials!$AD$2:$AD$201,"")&gt;=Scoring_Criteria!$G$10,2,1))))),"")</f>
        <v/>
      </c>
      <c r="AE92" s="27" t="n"/>
      <c r="AF92" s="27" t="n"/>
      <c r="AG92" s="28">
        <f>IFERROR(IF(COUNTA(X92:AF92)=0,"",AVERAGE(X92:AF92)),"")</f>
        <v/>
      </c>
      <c r="AH92" s="29" t="n"/>
      <c r="AI92" s="29" t="n"/>
      <c r="AJ92" s="29" t="n"/>
      <c r="AK92" s="29" t="n"/>
      <c r="AL92" s="29" t="n"/>
      <c r="AM92" s="29" t="n"/>
      <c r="AN92" s="29" t="n"/>
      <c r="AO92" s="29" t="n"/>
      <c r="AP92" s="29" t="n"/>
      <c r="AQ92" s="29" t="n"/>
      <c r="AR92" s="29" t="n"/>
      <c r="AS92" s="29" t="n"/>
      <c r="AT92" s="29" t="n"/>
      <c r="AU92">
        <f>IFERROR(Validation_Summary!Q5,"")</f>
        <v/>
      </c>
    </row>
    <row r="93" ht="15" customHeight="1" s="67">
      <c r="A93" s="6" t="inlineStr">
        <is>
          <t>PT Wahana Pronatural Tbk</t>
        </is>
      </c>
      <c r="B93" s="19">
        <f t="array" ref="B93">IFERROR(_xlfn.XLOOKUP($A93&amp;"|"&amp;$C93,'Company_Master'!$A$2:$A$94&amp;"|"&amp;'Company_Master'!$D$2:$D$94,'Company_Master'!$B$2:$B$94,""),"")</f>
        <v/>
      </c>
      <c r="C93" s="98" t="n">
        <v>2023</v>
      </c>
      <c r="D93" s="19">
        <f t="array" ref="D93">IFERROR(_xlfn.XLOOKUP($A93&amp;"|"&amp;$C93,'Company_Master'!$A$2:$A$94&amp;"|"&amp;'Company_Master'!$D$2:$D$94,'Company_Master'!$H$2:$H$94,""),"")</f>
        <v/>
      </c>
      <c r="E93" s="98">
        <f t="array" ref="E93">IFERROR(_xlfn.XLOOKUP($A93&amp;"|"&amp;$C93,Asset_Operations!$A$2:$A$201&amp;"|"&amp;Asset_Operations!$BG$2:$BG$201,Asset_Operations!$B$2:$B$201,""),"")</f>
        <v/>
      </c>
      <c r="F93" s="98">
        <f t="array" ref="F93">IFERROR(_xlfn.XLOOKUP($A93&amp;"|"&amp;$C93,Asset_Operations!$A$2:$A$201&amp;"|"&amp;Asset_Operations!$BG$2:$BG$201,Asset_Operations!$E$2:$E$201,""),"")</f>
        <v/>
      </c>
      <c r="G93" s="98">
        <f t="array" ref="G93">IFERROR(_xlfn.XLOOKUP($A93&amp;"|"&amp;$C93,Asset_Operations!$A$2:$A$201&amp;"|"&amp;Asset_Operations!$BG$2:$BG$201,Asset_Operations!$I$2:$I$201,""),"")</f>
        <v/>
      </c>
      <c r="H93" s="98">
        <f t="array" ref="H93">IFERROR(_xlfn.XLOOKUP($A93&amp;"|"&amp;$C93,Asset_Operations!$A$2:$A$201&amp;"|"&amp;Asset_Operations!$BG$2:$BG$201,Asset_Operations!$J$2:$J$201,""),"")</f>
        <v/>
      </c>
      <c r="I93" s="98">
        <f t="array" ref="I93">IFERROR(_xlfn.XLOOKUP($A93&amp;"|"&amp;$C93,Asset_Operations!$A$2:$A$201&amp;"|"&amp;Asset_Operations!$BG$2:$BG$201,Asset_Operations!$O$2:$O$201,""),"")</f>
        <v/>
      </c>
      <c r="J93" s="98">
        <f t="array" ref="J93">IFERROR(_xlfn.XLOOKUP($A93&amp;"|"&amp;$C93,Asset_Operations!$A$2:$A$201&amp;"|"&amp;Asset_Operations!$BG$2:$BG$201,Asset_Operations!$S$2:$S$201,""),"")</f>
        <v/>
      </c>
      <c r="K93" s="98">
        <f t="array" ref="K93">IFERROR(_xlfn.XLOOKUP($A93&amp;"|"&amp;$C93,Asset_Operations!$A$2:$A$201&amp;"|"&amp;Asset_Operations!$BG$2:$BG$201,Asset_Operations!$AC$2:$AC$201,""),"")</f>
        <v/>
      </c>
      <c r="L93" s="98">
        <f t="array" ref="L93">IFERROR(_xlfn.XLOOKUP($A93&amp;"|"&amp;$C93,Asset_Operations!$A$2:$A$201&amp;"|"&amp;Asset_Operations!$BG$2:$BG$201,Asset_Operations!$AG$2:$AG$201,""),"")</f>
        <v/>
      </c>
      <c r="M93" s="98">
        <f t="array" ref="M93">IFERROR(_xlfn.XLOOKUP($A93&amp;"|"&amp;$C93,Asset_Operations!$A$2:$A$201&amp;"|"&amp;Asset_Operations!$BG$2:$BG$201,Asset_Operations!$AO$2:$AO$201,""),"")</f>
        <v/>
      </c>
      <c r="N93" s="99">
        <f t="array" ref="N93">IFERROR(_xlfn.XLOOKUP($A93&amp;"|"&amp;$C93,Asset_Operations!$A$2:$A$201&amp;"|"&amp;Asset_Operations!$BG$2:$BG$201,Asset_Operations!$AR$2:$AR$201,""),"")</f>
        <v/>
      </c>
      <c r="O93" s="100">
        <f t="array" ref="O93">IFERROR(_xlfn.XLOOKUP($A93&amp;"|"&amp;$C93,Financials!$A$2:$A$201&amp;"|"&amp;Financials!$B$2:$B$201,Financials!$C$2:$C$201,""),"")</f>
        <v/>
      </c>
      <c r="P93" s="100">
        <f t="array" ref="P93">IFERROR(_xlfn.XLOOKUP($A93&amp;"|"&amp;$C93,Financials!$A$2:$A$201&amp;"|"&amp;Financials!$B$2:$B$201,Financials!$E$2:$E$201,""),"")</f>
        <v/>
      </c>
      <c r="Q93" s="100">
        <f t="array" ref="Q93">IFERROR(_xlfn.XLOOKUP($A93&amp;"|"&amp;$C93,Financials!$A$2:$A$201&amp;"|"&amp;Financials!$B$2:$B$201,Financials!$G$2:$G$201,""),"")</f>
        <v/>
      </c>
      <c r="R93" s="100">
        <f t="array" ref="R93">IFERROR(_xlfn.XLOOKUP($A93&amp;"|"&amp;$C93,Financials!$A$2:$A$201&amp;"|"&amp;Financials!$B$2:$B$201,Financials!$S$2:$S$201,""),"")</f>
        <v/>
      </c>
      <c r="S93" s="100">
        <f t="array" ref="S93">IFERROR(_xlfn.XLOOKUP($A93&amp;"|"&amp;$C93,Financials!$A$2:$A$201&amp;"|"&amp;Financials!$B$2:$B$201,Financials!$AC$2:$AC$201,""),"")</f>
        <v/>
      </c>
      <c r="T93" s="101">
        <f>IFERROR(P93/O93,"")</f>
        <v/>
      </c>
      <c r="U93" s="24">
        <f>IFERROR(R93/P93,"")</f>
        <v/>
      </c>
      <c r="V93" s="102">
        <f>IFERROR(O93/E93,"")</f>
        <v/>
      </c>
      <c r="W93" s="24">
        <f>IFERROR(L93/F93,"")</f>
        <v/>
      </c>
      <c r="X93" s="26">
        <f>IFERROR(IF(NOT(ISNUMBER($E93)),"",IF($E93&gt;=Scoring_Criteria!$D$4,5,IF($E93&gt;=Scoring_Criteria!$E$4,4,IF($E93&gt;=Scoring_Criteria!$F$4,3,IF($E93&gt;=Scoring_Criteria!$G$4,2,1))))),"")</f>
        <v/>
      </c>
      <c r="Y93" s="26">
        <f>IFERROR(IF(OR(NOT(ISNUMBER($F93)),NOT(ISNUMBER($E93)),$E93=0),"",IF(($F93/$E93)&gt;=Scoring_Criteria!$D$5,5,IF(($F93/$E93)&gt;=Scoring_Criteria!$E$5,4,IF(($F93/$E93)&gt;=Scoring_Criteria!$F$5,3,IF(($F93/$E93)&gt;=Scoring_Criteria!$G$5,2,1))))),"")</f>
        <v/>
      </c>
      <c r="Z93" s="26">
        <f>IFERROR(IF(AND(NOT(ISNUMBER($I93)),NOT(ISNUMBER($J93))),"",IF((IFERROR($I93,0)+IFERROR($J93,0))&gt;=Scoring_Criteria!$D$6,5,IF((IFERROR($I93,0)+IFERROR($J93,0))&gt;=Scoring_Criteria!$E$6,4,IF((IFERROR($I93,0)+IFERROR($J93,0))&gt;=Scoring_Criteria!$F$6,3,IF((IFERROR($I93,0)+IFERROR($J93,0))&gt;=Scoring_Criteria!$G$6,2,1))))),"")</f>
        <v/>
      </c>
      <c r="AA93" s="26">
        <f>IFERROR(IF(NOT(ISNUMBER($M93)),"",IF($M93&gt;=Scoring_Criteria!$D$7,5,IF($M93&gt;=Scoring_Criteria!$E$7,4,IF($M93&gt;=Scoring_Criteria!$F$7,3,IF($M93&gt;=Scoring_Criteria!$G$7,2,1))))),"")</f>
        <v/>
      </c>
      <c r="AB93" s="26">
        <f>IFERROR(IF(NOT(ISNUMBER($T93)),"",IF($T93&gt;=Scoring_Criteria!$D$8,5,IF($T93&gt;=Scoring_Criteria!$E$8,4,IF($T93&gt;=Scoring_Criteria!$F$8,3,IF($T93&gt;=Scoring_Criteria!$G$8,2,1))))),"")</f>
        <v/>
      </c>
      <c r="AC93" s="26">
        <f>IFERROR(IF(NOT(ISNUMBER($U93)),"",IF($U93&lt;=Scoring_Criteria!$D$9,5,IF($U93&lt;=Scoring_Criteria!$E$9,4,IF($U93&lt;=Scoring_Criteria!$F$9,3,IF($U93&lt;=Scoring_Criteria!$G$9,2,1))))),"")</f>
        <v/>
      </c>
      <c r="AD93" s="26">
        <f t="array" ref="AD93">IFERROR(IF(NOT(ISNUMBER(_xlfn.XLOOKUP($A93&amp;"|"&amp;$C93,Financials!$A$2:$A$201&amp;"|"&amp;Financials!$B$2:$B$201,Financials!$AD$2:$AD$201,""))),"",IF(_xlfn.XLOOKUP($A93&amp;"|"&amp;$C93,Financials!$A$2:$A$201&amp;"|"&amp;Financials!$B$2:$B$201,Financials!$AD$2:$AD$201,"")&gt;=Scoring_Criteria!$D$10,5,IF(_xlfn.XLOOKUP($A93&amp;"|"&amp;$C93,Financials!$A$2:$A$201&amp;"|"&amp;Financials!$B$2:$B$201,Financials!$AD$2:$AD$201,"")&gt;=Scoring_Criteria!$E$10,4,IF(_xlfn.XLOOKUP($A93&amp;"|"&amp;$C93,Financials!$A$2:$A$201&amp;"|"&amp;Financials!$B$2:$B$201,Financials!$AD$2:$AD$201,"")&gt;=Scoring_Criteria!$F$10,3,IF(_xlfn.XLOOKUP($A93&amp;"|"&amp;$C93,Financials!$A$2:$A$201&amp;"|"&amp;Financials!$B$2:$B$201,Financials!$AD$2:$AD$201,"")&gt;=Scoring_Criteria!$G$10,2,1))))),"")</f>
        <v/>
      </c>
      <c r="AE93" s="27" t="n"/>
      <c r="AF93" s="27" t="n"/>
      <c r="AG93" s="28">
        <f>IFERROR(IF(COUNTA(X93:AF93)=0,"",AVERAGE(X93:AF93)),"")</f>
        <v/>
      </c>
      <c r="AH93" s="29" t="n"/>
      <c r="AI93" s="29" t="n"/>
      <c r="AJ93" s="29" t="n"/>
      <c r="AK93" s="29" t="n"/>
      <c r="AL93" s="29" t="n"/>
      <c r="AM93" s="29" t="n"/>
      <c r="AN93" s="29" t="n"/>
      <c r="AO93" s="29" t="n"/>
      <c r="AP93" s="29" t="n"/>
      <c r="AQ93" s="29" t="n"/>
      <c r="AR93" s="29" t="n"/>
      <c r="AS93" s="29" t="n"/>
      <c r="AT93" s="29" t="n"/>
      <c r="AU93">
        <f>IFERROR(Validation_Summary!Q5,"")</f>
        <v/>
      </c>
    </row>
    <row r="94" ht="15" customHeight="1" s="67">
      <c r="A94" s="6" t="inlineStr">
        <is>
          <t>PT Wahana Pronatural Tbk</t>
        </is>
      </c>
      <c r="B94" s="19">
        <f t="array" ref="B94">IFERROR(_xlfn.XLOOKUP($A94&amp;"|"&amp;$C94,'Company_Master'!$A$2:$A$94&amp;"|"&amp;'Company_Master'!$D$2:$D$94,'Company_Master'!$B$2:$B$94,""),"")</f>
        <v/>
      </c>
      <c r="C94" s="98" t="n">
        <v>2024</v>
      </c>
      <c r="D94" s="19">
        <f t="array" ref="D94">IFERROR(_xlfn.XLOOKUP($A94&amp;"|"&amp;$C94,'Company_Master'!$A$2:$A$94&amp;"|"&amp;'Company_Master'!$D$2:$D$94,'Company_Master'!$H$2:$H$94,""),"")</f>
        <v/>
      </c>
      <c r="E94" s="98">
        <f t="array" ref="E94">IFERROR(_xlfn.XLOOKUP($A94&amp;"|"&amp;$C94,Asset_Operations!$A$2:$A$201&amp;"|"&amp;Asset_Operations!$BG$2:$BG$201,Asset_Operations!$B$2:$B$201,""),"")</f>
        <v/>
      </c>
      <c r="F94" s="98">
        <f t="array" ref="F94">IFERROR(_xlfn.XLOOKUP($A94&amp;"|"&amp;$C94,Asset_Operations!$A$2:$A$201&amp;"|"&amp;Asset_Operations!$BG$2:$BG$201,Asset_Operations!$E$2:$E$201,""),"")</f>
        <v/>
      </c>
      <c r="G94" s="98">
        <f t="array" ref="G94">IFERROR(_xlfn.XLOOKUP($A94&amp;"|"&amp;$C94,Asset_Operations!$A$2:$A$201&amp;"|"&amp;Asset_Operations!$BG$2:$BG$201,Asset_Operations!$I$2:$I$201,""),"")</f>
        <v/>
      </c>
      <c r="H94" s="98">
        <f t="array" ref="H94">IFERROR(_xlfn.XLOOKUP($A94&amp;"|"&amp;$C94,Asset_Operations!$A$2:$A$201&amp;"|"&amp;Asset_Operations!$BG$2:$BG$201,Asset_Operations!$J$2:$J$201,""),"")</f>
        <v/>
      </c>
      <c r="I94" s="98">
        <f t="array" ref="I94">IFERROR(_xlfn.XLOOKUP($A94&amp;"|"&amp;$C94,Asset_Operations!$A$2:$A$201&amp;"|"&amp;Asset_Operations!$BG$2:$BG$201,Asset_Operations!$O$2:$O$201,""),"")</f>
        <v/>
      </c>
      <c r="J94" s="98">
        <f t="array" ref="J94">IFERROR(_xlfn.XLOOKUP($A94&amp;"|"&amp;$C94,Asset_Operations!$A$2:$A$201&amp;"|"&amp;Asset_Operations!$BG$2:$BG$201,Asset_Operations!$S$2:$S$201,""),"")</f>
        <v/>
      </c>
      <c r="K94" s="98">
        <f t="array" ref="K94">IFERROR(_xlfn.XLOOKUP($A94&amp;"|"&amp;$C94,Asset_Operations!$A$2:$A$201&amp;"|"&amp;Asset_Operations!$BG$2:$BG$201,Asset_Operations!$AC$2:$AC$201,""),"")</f>
        <v/>
      </c>
      <c r="L94" s="98">
        <f t="array" ref="L94">IFERROR(_xlfn.XLOOKUP($A94&amp;"|"&amp;$C94,Asset_Operations!$A$2:$A$201&amp;"|"&amp;Asset_Operations!$BG$2:$BG$201,Asset_Operations!$AG$2:$AG$201,""),"")</f>
        <v/>
      </c>
      <c r="M94" s="98">
        <f t="array" ref="M94">IFERROR(_xlfn.XLOOKUP($A94&amp;"|"&amp;$C94,Asset_Operations!$A$2:$A$201&amp;"|"&amp;Asset_Operations!$BG$2:$BG$201,Asset_Operations!$AO$2:$AO$201,""),"")</f>
        <v/>
      </c>
      <c r="N94" s="99">
        <f t="array" ref="N94">IFERROR(_xlfn.XLOOKUP($A94&amp;"|"&amp;$C94,Asset_Operations!$A$2:$A$201&amp;"|"&amp;Asset_Operations!$BG$2:$BG$201,Asset_Operations!$AR$2:$AR$201,""),"")</f>
        <v/>
      </c>
      <c r="O94" s="100">
        <f t="array" ref="O94">IFERROR(_xlfn.XLOOKUP($A94&amp;"|"&amp;$C94,Financials!$A$2:$A$201&amp;"|"&amp;Financials!$B$2:$B$201,Financials!$C$2:$C$201,""),"")</f>
        <v/>
      </c>
      <c r="P94" s="100">
        <f t="array" ref="P94">IFERROR(_xlfn.XLOOKUP($A94&amp;"|"&amp;$C94,Financials!$A$2:$A$201&amp;"|"&amp;Financials!$B$2:$B$201,Financials!$E$2:$E$201,""),"")</f>
        <v/>
      </c>
      <c r="Q94" s="100">
        <f t="array" ref="Q94">IFERROR(_xlfn.XLOOKUP($A94&amp;"|"&amp;$C94,Financials!$A$2:$A$201&amp;"|"&amp;Financials!$B$2:$B$201,Financials!$G$2:$G$201,""),"")</f>
        <v/>
      </c>
      <c r="R94" s="100">
        <f t="array" ref="R94">IFERROR(_xlfn.XLOOKUP($A94&amp;"|"&amp;$C94,Financials!$A$2:$A$201&amp;"|"&amp;Financials!$B$2:$B$201,Financials!$S$2:$S$201,""),"")</f>
        <v/>
      </c>
      <c r="S94" s="100">
        <f t="array" ref="S94">IFERROR(_xlfn.XLOOKUP($A94&amp;"|"&amp;$C94,Financials!$A$2:$A$201&amp;"|"&amp;Financials!$B$2:$B$201,Financials!$AC$2:$AC$201,""),"")</f>
        <v/>
      </c>
      <c r="T94" s="101">
        <f>IFERROR(P94/O94,"")</f>
        <v/>
      </c>
      <c r="U94" s="24">
        <f>IFERROR(R94/P94,"")</f>
        <v/>
      </c>
      <c r="V94" s="102">
        <f>IFERROR(O94/E94,"")</f>
        <v/>
      </c>
      <c r="W94" s="24">
        <f>IFERROR(L94/F94,"")</f>
        <v/>
      </c>
      <c r="X94" s="26">
        <f>IFERROR(IF(NOT(ISNUMBER($E94)),"",IF($E94&gt;=Scoring_Criteria!$D$4,5,IF($E94&gt;=Scoring_Criteria!$E$4,4,IF($E94&gt;=Scoring_Criteria!$F$4,3,IF($E94&gt;=Scoring_Criteria!$G$4,2,1))))),"")</f>
        <v/>
      </c>
      <c r="Y94" s="26">
        <f>IFERROR(IF(OR(NOT(ISNUMBER($F94)),NOT(ISNUMBER($E94)),$E94=0),"",IF(($F94/$E94)&gt;=Scoring_Criteria!$D$5,5,IF(($F94/$E94)&gt;=Scoring_Criteria!$E$5,4,IF(($F94/$E94)&gt;=Scoring_Criteria!$F$5,3,IF(($F94/$E94)&gt;=Scoring_Criteria!$G$5,2,1))))),"")</f>
        <v/>
      </c>
      <c r="Z94" s="26">
        <f>IFERROR(IF(AND(NOT(ISNUMBER($I94)),NOT(ISNUMBER($J94))),"",IF((IFERROR($I94,0)+IFERROR($J94,0))&gt;=Scoring_Criteria!$D$6,5,IF((IFERROR($I94,0)+IFERROR($J94,0))&gt;=Scoring_Criteria!$E$6,4,IF((IFERROR($I94,0)+IFERROR($J94,0))&gt;=Scoring_Criteria!$F$6,3,IF((IFERROR($I94,0)+IFERROR($J94,0))&gt;=Scoring_Criteria!$G$6,2,1))))),"")</f>
        <v/>
      </c>
      <c r="AA94" s="26">
        <f>IFERROR(IF(NOT(ISNUMBER($M94)),"",IF($M94&gt;=Scoring_Criteria!$D$7,5,IF($M94&gt;=Scoring_Criteria!$E$7,4,IF($M94&gt;=Scoring_Criteria!$F$7,3,IF($M94&gt;=Scoring_Criteria!$G$7,2,1))))),"")</f>
        <v/>
      </c>
      <c r="AB94" s="26">
        <f>IFERROR(IF(NOT(ISNUMBER($T94)),"",IF($T94&gt;=Scoring_Criteria!$D$8,5,IF($T94&gt;=Scoring_Criteria!$E$8,4,IF($T94&gt;=Scoring_Criteria!$F$8,3,IF($T94&gt;=Scoring_Criteria!$G$8,2,1))))),"")</f>
        <v/>
      </c>
      <c r="AC94" s="26">
        <f>IFERROR(IF(NOT(ISNUMBER($U94)),"",IF($U94&lt;=Scoring_Criteria!$D$9,5,IF($U94&lt;=Scoring_Criteria!$E$9,4,IF($U94&lt;=Scoring_Criteria!$F$9,3,IF($U94&lt;=Scoring_Criteria!$G$9,2,1))))),"")</f>
        <v/>
      </c>
      <c r="AD94" s="26">
        <f t="array" ref="AD94">IFERROR(IF(NOT(ISNUMBER(_xlfn.XLOOKUP($A94&amp;"|"&amp;$C94,Financials!$A$2:$A$201&amp;"|"&amp;Financials!$B$2:$B$201,Financials!$AD$2:$AD$201,""))),"",IF(_xlfn.XLOOKUP($A94&amp;"|"&amp;$C94,Financials!$A$2:$A$201&amp;"|"&amp;Financials!$B$2:$B$201,Financials!$AD$2:$AD$201,"")&gt;=Scoring_Criteria!$D$10,5,IF(_xlfn.XLOOKUP($A94&amp;"|"&amp;$C94,Financials!$A$2:$A$201&amp;"|"&amp;Financials!$B$2:$B$201,Financials!$AD$2:$AD$201,"")&gt;=Scoring_Criteria!$E$10,4,IF(_xlfn.XLOOKUP($A94&amp;"|"&amp;$C94,Financials!$A$2:$A$201&amp;"|"&amp;Financials!$B$2:$B$201,Financials!$AD$2:$AD$201,"")&gt;=Scoring_Criteria!$F$10,3,IF(_xlfn.XLOOKUP($A94&amp;"|"&amp;$C94,Financials!$A$2:$A$201&amp;"|"&amp;Financials!$B$2:$B$201,Financials!$AD$2:$AD$201,"")&gt;=Scoring_Criteria!$G$10,2,1))))),"")</f>
        <v/>
      </c>
      <c r="AE94" s="27" t="n"/>
      <c r="AF94" s="27" t="n"/>
      <c r="AG94" s="28">
        <f>IFERROR(IF(COUNTA(X94:AF94)=0,"",AVERAGE(X94:AF94)),"")</f>
        <v/>
      </c>
      <c r="AH94" s="29" t="n"/>
      <c r="AI94" s="29" t="n"/>
      <c r="AJ94" s="29" t="n"/>
      <c r="AK94" s="29" t="n"/>
      <c r="AL94" s="29" t="n"/>
      <c r="AM94" s="29" t="n"/>
      <c r="AN94" s="29" t="n"/>
      <c r="AO94" s="29" t="n"/>
      <c r="AP94" s="29" t="n"/>
      <c r="AQ94" s="29" t="n"/>
      <c r="AR94" s="29" t="n"/>
      <c r="AS94" s="29" t="n"/>
      <c r="AT94" s="29" t="n"/>
      <c r="AU94">
        <f>IFERROR(Validation_Summary!Q5,"")</f>
        <v/>
      </c>
    </row>
    <row r="95" ht="15" customHeight="1" s="67">
      <c r="A95" s="6" t="n"/>
      <c r="B95" s="19" t="n"/>
      <c r="C95" s="98" t="n"/>
      <c r="D95" s="19" t="n"/>
      <c r="E95" s="98" t="n"/>
      <c r="F95" s="98" t="n"/>
      <c r="G95" s="98" t="n"/>
      <c r="H95" s="98" t="n"/>
      <c r="I95" s="98" t="n"/>
      <c r="J95" s="98" t="n"/>
      <c r="K95" s="98" t="n"/>
      <c r="L95" s="98" t="n"/>
      <c r="M95" s="98" t="n"/>
      <c r="N95" s="99" t="n"/>
      <c r="O95" s="100" t="n"/>
      <c r="P95" s="100" t="n"/>
      <c r="Q95" s="100" t="n"/>
      <c r="R95" s="100" t="n"/>
      <c r="S95" s="100" t="n"/>
      <c r="T95" s="101" t="n"/>
      <c r="U95" s="24" t="n"/>
      <c r="V95" s="102" t="n"/>
      <c r="W95" s="24" t="n"/>
      <c r="X95" s="26" t="n"/>
      <c r="Y95" s="26" t="n"/>
      <c r="Z95" s="26" t="n"/>
      <c r="AA95" s="26" t="n"/>
      <c r="AB95" s="26" t="n"/>
      <c r="AC95" s="26" t="n"/>
      <c r="AD95" s="26" t="n"/>
      <c r="AE95" s="27" t="n"/>
      <c r="AF95" s="27" t="n"/>
      <c r="AG95" s="28" t="n"/>
      <c r="AH95" s="29" t="n"/>
      <c r="AI95" s="29" t="n"/>
      <c r="AJ95" s="29" t="n"/>
      <c r="AK95" s="29" t="n"/>
      <c r="AL95" s="29" t="n"/>
      <c r="AM95" s="29" t="n"/>
      <c r="AN95" s="29" t="n"/>
      <c r="AO95" s="29" t="n"/>
      <c r="AP95" s="29" t="n"/>
      <c r="AQ95" s="29" t="n"/>
      <c r="AR95" s="29" t="n"/>
      <c r="AS95" s="29" t="n"/>
      <c r="AT95" s="29" t="n"/>
    </row>
    <row r="96" ht="15" customHeight="1" s="67">
      <c r="A96" s="6" t="n"/>
      <c r="B96" s="19" t="n"/>
      <c r="C96" s="98" t="n"/>
      <c r="D96" s="19" t="n"/>
      <c r="E96" s="98" t="n"/>
      <c r="F96" s="98" t="n"/>
      <c r="G96" s="98" t="n"/>
      <c r="H96" s="98" t="n"/>
      <c r="I96" s="98" t="n"/>
      <c r="J96" s="98" t="n"/>
      <c r="K96" s="98" t="n"/>
      <c r="L96" s="98" t="n"/>
      <c r="M96" s="98" t="n"/>
      <c r="N96" s="99" t="n"/>
      <c r="O96" s="100" t="n"/>
      <c r="P96" s="100" t="n"/>
      <c r="Q96" s="100" t="n"/>
      <c r="R96" s="100" t="n"/>
      <c r="S96" s="100" t="n"/>
      <c r="T96" s="101" t="n"/>
      <c r="U96" s="24" t="n"/>
      <c r="V96" s="102" t="n"/>
      <c r="W96" s="24" t="n"/>
      <c r="X96" s="26" t="n"/>
      <c r="Y96" s="26" t="n"/>
      <c r="Z96" s="26" t="n"/>
      <c r="AA96" s="26" t="n"/>
      <c r="AB96" s="26" t="n"/>
      <c r="AC96" s="26" t="n"/>
      <c r="AD96" s="26" t="n"/>
      <c r="AE96" s="27" t="n"/>
      <c r="AF96" s="27" t="n"/>
      <c r="AG96" s="28" t="n"/>
      <c r="AH96" s="29" t="n"/>
      <c r="AI96" s="29" t="n"/>
      <c r="AJ96" s="29" t="n"/>
      <c r="AK96" s="29" t="n"/>
      <c r="AL96" s="29" t="n"/>
      <c r="AM96" s="29" t="n"/>
      <c r="AN96" s="29" t="n"/>
      <c r="AO96" s="29" t="n"/>
      <c r="AP96" s="29" t="n"/>
      <c r="AQ96" s="29" t="n"/>
      <c r="AR96" s="29" t="n"/>
      <c r="AS96" s="29" t="n"/>
      <c r="AT96" s="29" t="n"/>
    </row>
    <row r="97" ht="15" customHeight="1" s="67">
      <c r="A97" s="6" t="n"/>
      <c r="B97" s="19" t="n"/>
      <c r="C97" s="98" t="n"/>
      <c r="D97" s="19" t="n"/>
      <c r="E97" s="98" t="n"/>
      <c r="F97" s="98" t="n"/>
      <c r="G97" s="98" t="n"/>
      <c r="H97" s="98" t="n"/>
      <c r="I97" s="98" t="n"/>
      <c r="J97" s="98" t="n"/>
      <c r="K97" s="98" t="n"/>
      <c r="L97" s="98" t="n"/>
      <c r="M97" s="98" t="n"/>
      <c r="N97" s="99" t="n"/>
      <c r="O97" s="100" t="n"/>
      <c r="P97" s="100" t="n"/>
      <c r="Q97" s="100" t="n"/>
      <c r="R97" s="100" t="n"/>
      <c r="S97" s="100" t="n"/>
      <c r="T97" s="101" t="n"/>
      <c r="U97" s="24" t="n"/>
      <c r="V97" s="102" t="n"/>
      <c r="W97" s="24" t="n"/>
      <c r="X97" s="26" t="n"/>
      <c r="Y97" s="26" t="n"/>
      <c r="Z97" s="26" t="n"/>
      <c r="AA97" s="26" t="n"/>
      <c r="AB97" s="26" t="n"/>
      <c r="AC97" s="26" t="n"/>
      <c r="AD97" s="26" t="n"/>
      <c r="AE97" s="27" t="n"/>
      <c r="AF97" s="27" t="n"/>
      <c r="AG97" s="28" t="n"/>
      <c r="AH97" s="29" t="n"/>
      <c r="AI97" s="29" t="n"/>
      <c r="AJ97" s="29" t="n"/>
      <c r="AK97" s="29" t="n"/>
      <c r="AL97" s="29" t="n"/>
      <c r="AM97" s="29" t="n"/>
      <c r="AN97" s="29" t="n"/>
      <c r="AO97" s="29" t="n"/>
      <c r="AP97" s="29" t="n"/>
      <c r="AQ97" s="29" t="n"/>
      <c r="AR97" s="29" t="n"/>
      <c r="AS97" s="29" t="n"/>
      <c r="AT97" s="29" t="n"/>
    </row>
    <row r="98" ht="15" customHeight="1" s="67">
      <c r="A98" s="6" t="n"/>
      <c r="B98" s="19" t="n"/>
      <c r="C98" s="98" t="n"/>
      <c r="D98" s="19" t="n"/>
      <c r="E98" s="98" t="n"/>
      <c r="F98" s="98" t="n"/>
      <c r="G98" s="98" t="n"/>
      <c r="H98" s="98" t="n"/>
      <c r="I98" s="98" t="n"/>
      <c r="J98" s="98" t="n"/>
      <c r="K98" s="98" t="n"/>
      <c r="L98" s="98" t="n"/>
      <c r="M98" s="98" t="n"/>
      <c r="N98" s="99" t="n"/>
      <c r="O98" s="100" t="n"/>
      <c r="P98" s="100" t="n"/>
      <c r="Q98" s="100" t="n"/>
      <c r="R98" s="100" t="n"/>
      <c r="S98" s="100" t="n"/>
      <c r="T98" s="101" t="n"/>
      <c r="U98" s="24" t="n"/>
      <c r="V98" s="102" t="n"/>
      <c r="W98" s="24" t="n"/>
      <c r="X98" s="26" t="n"/>
      <c r="Y98" s="26" t="n"/>
      <c r="Z98" s="26" t="n"/>
      <c r="AA98" s="26" t="n"/>
      <c r="AB98" s="26" t="n"/>
      <c r="AC98" s="26" t="n"/>
      <c r="AD98" s="26" t="n"/>
      <c r="AE98" s="27" t="n"/>
      <c r="AF98" s="27" t="n"/>
      <c r="AG98" s="28" t="n"/>
      <c r="AH98" s="29" t="n"/>
      <c r="AI98" s="29" t="n"/>
      <c r="AJ98" s="29" t="n"/>
      <c r="AK98" s="29" t="n"/>
      <c r="AL98" s="29" t="n"/>
      <c r="AM98" s="29" t="n"/>
      <c r="AN98" s="29" t="n"/>
      <c r="AO98" s="29" t="n"/>
      <c r="AP98" s="29" t="n"/>
      <c r="AQ98" s="29" t="n"/>
      <c r="AR98" s="29" t="n"/>
      <c r="AS98" s="29" t="n"/>
      <c r="AT98" s="29" t="n"/>
    </row>
    <row r="99" ht="15" customHeight="1" s="67">
      <c r="A99" s="6" t="n"/>
      <c r="B99" s="19" t="n"/>
      <c r="C99" s="98" t="n"/>
      <c r="D99" s="19" t="n"/>
      <c r="E99" s="98" t="n"/>
      <c r="F99" s="98" t="n"/>
      <c r="G99" s="98" t="n"/>
      <c r="H99" s="98" t="n"/>
      <c r="I99" s="98" t="n"/>
      <c r="J99" s="98" t="n"/>
      <c r="K99" s="98" t="n"/>
      <c r="L99" s="98" t="n"/>
      <c r="M99" s="98" t="n"/>
      <c r="N99" s="99" t="n"/>
      <c r="O99" s="100" t="n"/>
      <c r="P99" s="100" t="n"/>
      <c r="Q99" s="100" t="n"/>
      <c r="R99" s="100" t="n"/>
      <c r="S99" s="100" t="n"/>
      <c r="T99" s="101" t="n"/>
      <c r="U99" s="24" t="n"/>
      <c r="V99" s="102" t="n"/>
      <c r="W99" s="24" t="n"/>
      <c r="X99" s="26" t="n"/>
      <c r="Y99" s="26" t="n"/>
      <c r="Z99" s="26" t="n"/>
      <c r="AA99" s="26" t="n"/>
      <c r="AB99" s="26" t="n"/>
      <c r="AC99" s="26" t="n"/>
      <c r="AD99" s="26" t="n"/>
      <c r="AE99" s="27" t="n"/>
      <c r="AF99" s="27" t="n"/>
      <c r="AG99" s="28" t="n"/>
      <c r="AH99" s="29" t="n"/>
      <c r="AI99" s="29" t="n"/>
      <c r="AJ99" s="29" t="n"/>
      <c r="AK99" s="29" t="n"/>
      <c r="AL99" s="29" t="n"/>
      <c r="AM99" s="29" t="n"/>
      <c r="AN99" s="29" t="n"/>
      <c r="AO99" s="29" t="n"/>
      <c r="AP99" s="29" t="n"/>
      <c r="AQ99" s="29" t="n"/>
      <c r="AR99" s="29" t="n"/>
      <c r="AS99" s="29" t="n"/>
      <c r="AT99" s="29" t="n"/>
    </row>
    <row r="100" ht="15" customHeight="1" s="67">
      <c r="A100" s="6" t="n"/>
      <c r="B100" s="19" t="n"/>
      <c r="C100" s="98" t="n"/>
      <c r="D100" s="19" t="n"/>
      <c r="E100" s="98" t="n"/>
      <c r="F100" s="98" t="n"/>
      <c r="G100" s="98" t="n"/>
      <c r="H100" s="98" t="n"/>
      <c r="I100" s="98" t="n"/>
      <c r="J100" s="98" t="n"/>
      <c r="K100" s="98" t="n"/>
      <c r="L100" s="98" t="n"/>
      <c r="M100" s="98" t="n"/>
      <c r="N100" s="99" t="n"/>
      <c r="O100" s="100" t="n"/>
      <c r="P100" s="100" t="n"/>
      <c r="Q100" s="100" t="n"/>
      <c r="R100" s="100" t="n"/>
      <c r="S100" s="100" t="n"/>
      <c r="T100" s="101" t="n"/>
      <c r="U100" s="24" t="n"/>
      <c r="V100" s="102" t="n"/>
      <c r="W100" s="24" t="n"/>
      <c r="X100" s="26" t="n"/>
      <c r="Y100" s="26" t="n"/>
      <c r="Z100" s="26" t="n"/>
      <c r="AA100" s="26" t="n"/>
      <c r="AB100" s="26" t="n"/>
      <c r="AC100" s="26" t="n"/>
      <c r="AD100" s="26" t="n"/>
      <c r="AE100" s="27" t="n"/>
      <c r="AF100" s="27" t="n"/>
      <c r="AG100" s="28" t="n"/>
      <c r="AH100" s="29" t="n"/>
      <c r="AI100" s="29" t="n"/>
      <c r="AJ100" s="29" t="n"/>
      <c r="AK100" s="29" t="n"/>
      <c r="AL100" s="29" t="n"/>
      <c r="AM100" s="29" t="n"/>
      <c r="AN100" s="29" t="n"/>
      <c r="AO100" s="29" t="n"/>
      <c r="AP100" s="29" t="n"/>
      <c r="AQ100" s="29" t="n"/>
      <c r="AR100" s="29" t="n"/>
      <c r="AS100" s="29" t="n"/>
      <c r="AT100" s="29" t="n"/>
    </row>
    <row r="101" ht="15" customHeight="1" s="67">
      <c r="A101" s="6" t="n"/>
      <c r="B101" s="19" t="n"/>
      <c r="C101" s="98" t="n"/>
      <c r="D101" s="19" t="n"/>
      <c r="E101" s="98" t="n"/>
      <c r="F101" s="98" t="n"/>
      <c r="G101" s="98" t="n"/>
      <c r="H101" s="98" t="n"/>
      <c r="I101" s="98" t="n"/>
      <c r="J101" s="98" t="n"/>
      <c r="K101" s="98" t="n"/>
      <c r="L101" s="98" t="n"/>
      <c r="M101" s="98" t="n"/>
      <c r="N101" s="99" t="n"/>
      <c r="O101" s="100" t="n"/>
      <c r="P101" s="100" t="n"/>
      <c r="Q101" s="100" t="n"/>
      <c r="R101" s="100" t="n"/>
      <c r="S101" s="100" t="n"/>
      <c r="T101" s="101" t="n"/>
      <c r="U101" s="24" t="n"/>
      <c r="V101" s="102" t="n"/>
      <c r="W101" s="24" t="n"/>
      <c r="X101" s="26" t="n"/>
      <c r="Y101" s="26" t="n"/>
      <c r="Z101" s="26" t="n"/>
      <c r="AA101" s="26" t="n"/>
      <c r="AB101" s="26" t="n"/>
      <c r="AC101" s="26" t="n"/>
      <c r="AD101" s="26" t="n"/>
      <c r="AE101" s="27" t="n"/>
      <c r="AF101" s="27" t="n"/>
      <c r="AG101" s="28" t="n"/>
      <c r="AH101" s="29" t="n"/>
      <c r="AI101" s="29" t="n"/>
      <c r="AJ101" s="29" t="n"/>
      <c r="AK101" s="29" t="n"/>
      <c r="AL101" s="29" t="n"/>
      <c r="AM101" s="29" t="n"/>
      <c r="AN101" s="29" t="n"/>
      <c r="AO101" s="29" t="n"/>
      <c r="AP101" s="29" t="n"/>
      <c r="AQ101" s="29" t="n"/>
      <c r="AR101" s="29" t="n"/>
      <c r="AS101" s="29" t="n"/>
      <c r="AT101" s="29" t="n"/>
    </row>
    <row r="102" ht="15" customHeight="1" s="67">
      <c r="A102" s="6" t="n"/>
      <c r="B102" s="19" t="n"/>
      <c r="C102" s="98" t="n"/>
      <c r="D102" s="19" t="n"/>
      <c r="E102" s="98" t="n"/>
      <c r="F102" s="98" t="n"/>
      <c r="G102" s="98" t="n"/>
      <c r="H102" s="98" t="n"/>
      <c r="I102" s="98" t="n"/>
      <c r="J102" s="98" t="n"/>
      <c r="K102" s="98" t="n"/>
      <c r="L102" s="98" t="n"/>
      <c r="M102" s="98" t="n"/>
      <c r="N102" s="99" t="n"/>
      <c r="O102" s="100" t="n"/>
      <c r="P102" s="100" t="n"/>
      <c r="Q102" s="100" t="n"/>
      <c r="R102" s="100" t="n"/>
      <c r="S102" s="100" t="n"/>
      <c r="T102" s="101" t="n"/>
      <c r="U102" s="24" t="n"/>
      <c r="V102" s="102" t="n"/>
      <c r="W102" s="24" t="n"/>
      <c r="X102" s="26" t="n"/>
      <c r="Y102" s="26" t="n"/>
      <c r="Z102" s="26" t="n"/>
      <c r="AA102" s="26" t="n"/>
      <c r="AB102" s="26" t="n"/>
      <c r="AC102" s="26" t="n"/>
      <c r="AD102" s="26" t="n"/>
      <c r="AE102" s="27" t="n"/>
      <c r="AF102" s="27" t="n"/>
      <c r="AG102" s="28" t="n"/>
      <c r="AH102" s="29" t="n"/>
      <c r="AI102" s="29" t="n"/>
      <c r="AJ102" s="29" t="n"/>
      <c r="AK102" s="29" t="n"/>
      <c r="AL102" s="29" t="n"/>
      <c r="AM102" s="29" t="n"/>
      <c r="AN102" s="29" t="n"/>
      <c r="AO102" s="29" t="n"/>
      <c r="AP102" s="29" t="n"/>
      <c r="AQ102" s="29" t="n"/>
      <c r="AR102" s="29" t="n"/>
      <c r="AS102" s="29" t="n"/>
      <c r="AT102" s="29" t="n"/>
    </row>
    <row r="103" ht="15" customHeight="1" s="67">
      <c r="A103" s="6" t="n"/>
      <c r="B103" s="19" t="n"/>
      <c r="C103" s="98" t="n"/>
      <c r="D103" s="19" t="n"/>
      <c r="E103" s="98" t="n"/>
      <c r="F103" s="98" t="n"/>
      <c r="G103" s="98" t="n"/>
      <c r="H103" s="98" t="n"/>
      <c r="I103" s="98" t="n"/>
      <c r="J103" s="98" t="n"/>
      <c r="K103" s="98" t="n"/>
      <c r="L103" s="98" t="n"/>
      <c r="M103" s="98" t="n"/>
      <c r="N103" s="99" t="n"/>
      <c r="O103" s="100" t="n"/>
      <c r="P103" s="100" t="n"/>
      <c r="Q103" s="100" t="n"/>
      <c r="R103" s="100" t="n"/>
      <c r="S103" s="100" t="n"/>
      <c r="T103" s="101" t="n"/>
      <c r="U103" s="24" t="n"/>
      <c r="V103" s="102" t="n"/>
      <c r="W103" s="24" t="n"/>
      <c r="X103" s="26" t="n"/>
      <c r="Y103" s="26" t="n"/>
      <c r="Z103" s="26" t="n"/>
      <c r="AA103" s="26" t="n"/>
      <c r="AB103" s="26" t="n"/>
      <c r="AC103" s="26" t="n"/>
      <c r="AD103" s="26" t="n"/>
      <c r="AE103" s="27" t="n"/>
      <c r="AF103" s="27" t="n"/>
      <c r="AG103" s="28" t="n"/>
      <c r="AH103" s="29" t="n"/>
      <c r="AI103" s="29" t="n"/>
      <c r="AJ103" s="29" t="n"/>
      <c r="AK103" s="29" t="n"/>
      <c r="AL103" s="29" t="n"/>
      <c r="AM103" s="29" t="n"/>
      <c r="AN103" s="29" t="n"/>
      <c r="AO103" s="29" t="n"/>
      <c r="AP103" s="29" t="n"/>
      <c r="AQ103" s="29" t="n"/>
      <c r="AR103" s="29" t="n"/>
      <c r="AS103" s="29" t="n"/>
      <c r="AT103" s="29" t="n"/>
    </row>
    <row r="104" ht="15" customHeight="1" s="67">
      <c r="A104" s="6" t="n"/>
      <c r="B104" s="19" t="n"/>
      <c r="C104" s="98" t="n"/>
      <c r="D104" s="19" t="n"/>
      <c r="E104" s="98" t="n"/>
      <c r="F104" s="98" t="n"/>
      <c r="G104" s="98" t="n"/>
      <c r="H104" s="98" t="n"/>
      <c r="I104" s="98" t="n"/>
      <c r="J104" s="98" t="n"/>
      <c r="K104" s="98" t="n"/>
      <c r="L104" s="98" t="n"/>
      <c r="M104" s="98" t="n"/>
      <c r="N104" s="99" t="n"/>
      <c r="O104" s="100" t="n"/>
      <c r="P104" s="100" t="n"/>
      <c r="Q104" s="100" t="n"/>
      <c r="R104" s="100" t="n"/>
      <c r="S104" s="100" t="n"/>
      <c r="T104" s="101" t="n"/>
      <c r="U104" s="24" t="n"/>
      <c r="V104" s="102" t="n"/>
      <c r="W104" s="24" t="n"/>
      <c r="X104" s="26" t="n"/>
      <c r="Y104" s="26" t="n"/>
      <c r="Z104" s="26" t="n"/>
      <c r="AA104" s="26" t="n"/>
      <c r="AB104" s="26" t="n"/>
      <c r="AC104" s="26" t="n"/>
      <c r="AD104" s="26" t="n"/>
      <c r="AE104" s="27" t="n"/>
      <c r="AF104" s="27" t="n"/>
      <c r="AG104" s="28" t="n"/>
      <c r="AH104" s="29" t="n"/>
      <c r="AI104" s="29" t="n"/>
      <c r="AJ104" s="29" t="n"/>
      <c r="AK104" s="29" t="n"/>
      <c r="AL104" s="29" t="n"/>
      <c r="AM104" s="29" t="n"/>
      <c r="AN104" s="29" t="n"/>
      <c r="AO104" s="29" t="n"/>
      <c r="AP104" s="29" t="n"/>
      <c r="AQ104" s="29" t="n"/>
      <c r="AR104" s="29" t="n"/>
      <c r="AS104" s="29" t="n"/>
      <c r="AT104" s="29" t="n"/>
    </row>
    <row r="105" ht="15" customHeight="1" s="67">
      <c r="A105" s="6" t="n"/>
      <c r="B105" s="19" t="n"/>
      <c r="C105" s="98" t="n"/>
      <c r="D105" s="19" t="n"/>
      <c r="E105" s="98" t="n"/>
      <c r="F105" s="98" t="n"/>
      <c r="G105" s="98" t="n"/>
      <c r="H105" s="98" t="n"/>
      <c r="I105" s="98" t="n"/>
      <c r="J105" s="98" t="n"/>
      <c r="K105" s="98" t="n"/>
      <c r="L105" s="98" t="n"/>
      <c r="M105" s="98" t="n"/>
      <c r="N105" s="99" t="n"/>
      <c r="O105" s="100" t="n"/>
      <c r="P105" s="100" t="n"/>
      <c r="Q105" s="100" t="n"/>
      <c r="R105" s="100" t="n"/>
      <c r="S105" s="100" t="n"/>
      <c r="T105" s="101" t="n"/>
      <c r="U105" s="24" t="n"/>
      <c r="V105" s="102" t="n"/>
      <c r="W105" s="24" t="n"/>
      <c r="X105" s="26" t="n"/>
      <c r="Y105" s="26" t="n"/>
      <c r="Z105" s="26" t="n"/>
      <c r="AA105" s="26" t="n"/>
      <c r="AB105" s="26" t="n"/>
      <c r="AC105" s="26" t="n"/>
      <c r="AD105" s="26" t="n"/>
      <c r="AE105" s="27" t="n"/>
      <c r="AF105" s="27" t="n"/>
      <c r="AG105" s="28" t="n"/>
      <c r="AH105" s="29" t="n"/>
      <c r="AI105" s="29" t="n"/>
      <c r="AJ105" s="29" t="n"/>
      <c r="AK105" s="29" t="n"/>
      <c r="AL105" s="29" t="n"/>
      <c r="AM105" s="29" t="n"/>
      <c r="AN105" s="29" t="n"/>
      <c r="AO105" s="29" t="n"/>
      <c r="AP105" s="29" t="n"/>
      <c r="AQ105" s="29" t="n"/>
      <c r="AR105" s="29" t="n"/>
      <c r="AS105" s="29" t="n"/>
      <c r="AT105" s="29" t="n"/>
    </row>
    <row r="106" ht="15" customHeight="1" s="67">
      <c r="A106" s="6" t="n"/>
      <c r="B106" s="19" t="n"/>
      <c r="C106" s="98" t="n"/>
      <c r="D106" s="19" t="n"/>
      <c r="E106" s="98" t="n"/>
      <c r="F106" s="98" t="n"/>
      <c r="G106" s="98" t="n"/>
      <c r="H106" s="98" t="n"/>
      <c r="I106" s="98" t="n"/>
      <c r="J106" s="98" t="n"/>
      <c r="K106" s="98" t="n"/>
      <c r="L106" s="98" t="n"/>
      <c r="M106" s="98" t="n"/>
      <c r="N106" s="99" t="n"/>
      <c r="O106" s="100" t="n"/>
      <c r="P106" s="100" t="n"/>
      <c r="Q106" s="100" t="n"/>
      <c r="R106" s="100" t="n"/>
      <c r="S106" s="100" t="n"/>
      <c r="T106" s="101" t="n"/>
      <c r="U106" s="24" t="n"/>
      <c r="V106" s="102" t="n"/>
      <c r="W106" s="24" t="n"/>
      <c r="X106" s="26" t="n"/>
      <c r="Y106" s="26" t="n"/>
      <c r="Z106" s="26" t="n"/>
      <c r="AA106" s="26" t="n"/>
      <c r="AB106" s="26" t="n"/>
      <c r="AC106" s="26" t="n"/>
      <c r="AD106" s="26" t="n"/>
      <c r="AE106" s="27" t="n"/>
      <c r="AF106" s="27" t="n"/>
      <c r="AG106" s="28" t="n"/>
      <c r="AH106" s="29" t="n"/>
      <c r="AI106" s="29" t="n"/>
      <c r="AJ106" s="29" t="n"/>
      <c r="AK106" s="29" t="n"/>
      <c r="AL106" s="29" t="n"/>
      <c r="AM106" s="29" t="n"/>
      <c r="AN106" s="29" t="n"/>
      <c r="AO106" s="29" t="n"/>
      <c r="AP106" s="29" t="n"/>
      <c r="AQ106" s="29" t="n"/>
      <c r="AR106" s="29" t="n"/>
      <c r="AS106" s="29" t="n"/>
      <c r="AT106" s="29" t="n"/>
    </row>
    <row r="107" ht="15" customHeight="1" s="67">
      <c r="A107" s="6" t="n"/>
      <c r="B107" s="19" t="n"/>
      <c r="C107" s="98" t="n"/>
      <c r="D107" s="19" t="n"/>
      <c r="E107" s="98" t="n"/>
      <c r="F107" s="98" t="n"/>
      <c r="G107" s="98" t="n"/>
      <c r="H107" s="98" t="n"/>
      <c r="I107" s="98" t="n"/>
      <c r="J107" s="98" t="n"/>
      <c r="K107" s="98" t="n"/>
      <c r="L107" s="98" t="n"/>
      <c r="M107" s="98" t="n"/>
      <c r="N107" s="99" t="n"/>
      <c r="O107" s="100" t="n"/>
      <c r="P107" s="100" t="n"/>
      <c r="Q107" s="100" t="n"/>
      <c r="R107" s="100" t="n"/>
      <c r="S107" s="100" t="n"/>
      <c r="T107" s="101" t="n"/>
      <c r="U107" s="24" t="n"/>
      <c r="V107" s="102" t="n"/>
      <c r="W107" s="24" t="n"/>
      <c r="X107" s="26" t="n"/>
      <c r="Y107" s="26" t="n"/>
      <c r="Z107" s="26" t="n"/>
      <c r="AA107" s="26" t="n"/>
      <c r="AB107" s="26" t="n"/>
      <c r="AC107" s="26" t="n"/>
      <c r="AD107" s="26" t="n"/>
      <c r="AE107" s="27" t="n"/>
      <c r="AF107" s="27" t="n"/>
      <c r="AG107" s="28" t="n"/>
      <c r="AH107" s="29" t="n"/>
      <c r="AI107" s="29" t="n"/>
      <c r="AJ107" s="29" t="n"/>
      <c r="AK107" s="29" t="n"/>
      <c r="AL107" s="29" t="n"/>
      <c r="AM107" s="29" t="n"/>
      <c r="AN107" s="29" t="n"/>
      <c r="AO107" s="29" t="n"/>
      <c r="AP107" s="29" t="n"/>
      <c r="AQ107" s="29" t="n"/>
      <c r="AR107" s="29" t="n"/>
      <c r="AS107" s="29" t="n"/>
      <c r="AT107" s="29" t="n"/>
    </row>
    <row r="108" ht="15" customHeight="1" s="67">
      <c r="A108" s="6" t="n"/>
      <c r="B108" s="19" t="n"/>
      <c r="C108" s="98" t="n"/>
      <c r="D108" s="19" t="n"/>
      <c r="E108" s="98" t="n"/>
      <c r="F108" s="98" t="n"/>
      <c r="G108" s="98" t="n"/>
      <c r="H108" s="98" t="n"/>
      <c r="I108" s="98" t="n"/>
      <c r="J108" s="98" t="n"/>
      <c r="K108" s="98" t="n"/>
      <c r="L108" s="98" t="n"/>
      <c r="M108" s="98" t="n"/>
      <c r="N108" s="99" t="n"/>
      <c r="O108" s="100" t="n"/>
      <c r="P108" s="100" t="n"/>
      <c r="Q108" s="100" t="n"/>
      <c r="R108" s="100" t="n"/>
      <c r="S108" s="100" t="n"/>
      <c r="T108" s="101" t="n"/>
      <c r="U108" s="24" t="n"/>
      <c r="V108" s="102" t="n"/>
      <c r="W108" s="24" t="n"/>
      <c r="X108" s="26" t="n"/>
      <c r="Y108" s="26" t="n"/>
      <c r="Z108" s="26" t="n"/>
      <c r="AA108" s="26" t="n"/>
      <c r="AB108" s="26" t="n"/>
      <c r="AC108" s="26" t="n"/>
      <c r="AD108" s="26" t="n"/>
      <c r="AE108" s="27" t="n"/>
      <c r="AF108" s="27" t="n"/>
      <c r="AG108" s="28" t="n"/>
      <c r="AH108" s="29" t="n"/>
      <c r="AI108" s="29" t="n"/>
      <c r="AJ108" s="29" t="n"/>
      <c r="AK108" s="29" t="n"/>
      <c r="AL108" s="29" t="n"/>
      <c r="AM108" s="29" t="n"/>
      <c r="AN108" s="29" t="n"/>
      <c r="AO108" s="29" t="n"/>
      <c r="AP108" s="29" t="n"/>
      <c r="AQ108" s="29" t="n"/>
      <c r="AR108" s="29" t="n"/>
      <c r="AS108" s="29" t="n"/>
      <c r="AT108" s="29" t="n"/>
    </row>
    <row r="109" ht="15" customHeight="1" s="67">
      <c r="A109" s="6" t="n"/>
      <c r="B109" s="19" t="n"/>
      <c r="C109" s="98" t="n"/>
      <c r="D109" s="19" t="n"/>
      <c r="E109" s="98" t="n"/>
      <c r="F109" s="98" t="n"/>
      <c r="G109" s="98" t="n"/>
      <c r="H109" s="98" t="n"/>
      <c r="I109" s="98" t="n"/>
      <c r="J109" s="98" t="n"/>
      <c r="K109" s="98" t="n"/>
      <c r="L109" s="98" t="n"/>
      <c r="M109" s="98" t="n"/>
      <c r="N109" s="99" t="n"/>
      <c r="O109" s="100" t="n"/>
      <c r="P109" s="100" t="n"/>
      <c r="Q109" s="100" t="n"/>
      <c r="R109" s="100" t="n"/>
      <c r="S109" s="100" t="n"/>
      <c r="T109" s="101" t="n"/>
      <c r="U109" s="24" t="n"/>
      <c r="V109" s="102" t="n"/>
      <c r="W109" s="24" t="n"/>
      <c r="X109" s="26" t="n"/>
      <c r="Y109" s="26" t="n"/>
      <c r="Z109" s="26" t="n"/>
      <c r="AA109" s="26" t="n"/>
      <c r="AB109" s="26" t="n"/>
      <c r="AC109" s="26" t="n"/>
      <c r="AD109" s="26" t="n"/>
      <c r="AE109" s="27" t="n"/>
      <c r="AF109" s="27" t="n"/>
      <c r="AG109" s="28" t="n"/>
      <c r="AH109" s="29" t="n"/>
      <c r="AI109" s="29" t="n"/>
      <c r="AJ109" s="29" t="n"/>
      <c r="AK109" s="29" t="n"/>
      <c r="AL109" s="29" t="n"/>
      <c r="AM109" s="29" t="n"/>
      <c r="AN109" s="29" t="n"/>
      <c r="AO109" s="29" t="n"/>
      <c r="AP109" s="29" t="n"/>
      <c r="AQ109" s="29" t="n"/>
      <c r="AR109" s="29" t="n"/>
      <c r="AS109" s="29" t="n"/>
      <c r="AT109" s="29" t="n"/>
    </row>
    <row r="110" ht="15" customHeight="1" s="67">
      <c r="A110" s="6" t="n"/>
      <c r="B110" s="19" t="n"/>
      <c r="C110" s="98" t="n"/>
      <c r="D110" s="19" t="n"/>
      <c r="E110" s="98" t="n"/>
      <c r="F110" s="98" t="n"/>
      <c r="G110" s="98" t="n"/>
      <c r="H110" s="98" t="n"/>
      <c r="I110" s="98" t="n"/>
      <c r="J110" s="98" t="n"/>
      <c r="K110" s="98" t="n"/>
      <c r="L110" s="98" t="n"/>
      <c r="M110" s="98" t="n"/>
      <c r="N110" s="99" t="n"/>
      <c r="O110" s="100" t="n"/>
      <c r="P110" s="100" t="n"/>
      <c r="Q110" s="100" t="n"/>
      <c r="R110" s="100" t="n"/>
      <c r="S110" s="100" t="n"/>
      <c r="T110" s="101" t="n"/>
      <c r="U110" s="24" t="n"/>
      <c r="V110" s="102" t="n"/>
      <c r="W110" s="24" t="n"/>
      <c r="X110" s="26" t="n"/>
      <c r="Y110" s="26" t="n"/>
      <c r="Z110" s="26" t="n"/>
      <c r="AA110" s="26" t="n"/>
      <c r="AB110" s="26" t="n"/>
      <c r="AC110" s="26" t="n"/>
      <c r="AD110" s="26" t="n"/>
      <c r="AE110" s="27" t="n"/>
      <c r="AF110" s="27" t="n"/>
      <c r="AG110" s="28" t="n"/>
      <c r="AH110" s="29" t="n"/>
      <c r="AI110" s="29" t="n"/>
      <c r="AJ110" s="29" t="n"/>
      <c r="AK110" s="29" t="n"/>
      <c r="AL110" s="29" t="n"/>
      <c r="AM110" s="29" t="n"/>
      <c r="AN110" s="29" t="n"/>
      <c r="AO110" s="29" t="n"/>
      <c r="AP110" s="29" t="n"/>
      <c r="AQ110" s="29" t="n"/>
      <c r="AR110" s="29" t="n"/>
      <c r="AS110" s="29" t="n"/>
      <c r="AT110" s="29" t="n"/>
    </row>
    <row r="111" ht="15" customHeight="1" s="67">
      <c r="A111" s="6" t="n"/>
      <c r="B111" s="19" t="n"/>
      <c r="C111" s="98" t="n"/>
      <c r="D111" s="19" t="n"/>
      <c r="E111" s="98" t="n"/>
      <c r="F111" s="98" t="n"/>
      <c r="G111" s="98" t="n"/>
      <c r="H111" s="98" t="n"/>
      <c r="I111" s="98" t="n"/>
      <c r="J111" s="98" t="n"/>
      <c r="K111" s="98" t="n"/>
      <c r="L111" s="98" t="n"/>
      <c r="M111" s="98" t="n"/>
      <c r="N111" s="99" t="n"/>
      <c r="O111" s="100" t="n"/>
      <c r="P111" s="100" t="n"/>
      <c r="Q111" s="100" t="n"/>
      <c r="R111" s="100" t="n"/>
      <c r="S111" s="100" t="n"/>
      <c r="T111" s="101" t="n"/>
      <c r="U111" s="24" t="n"/>
      <c r="V111" s="102" t="n"/>
      <c r="W111" s="24" t="n"/>
      <c r="X111" s="26" t="n"/>
      <c r="Y111" s="26" t="n"/>
      <c r="Z111" s="26" t="n"/>
      <c r="AA111" s="26" t="n"/>
      <c r="AB111" s="26" t="n"/>
      <c r="AC111" s="26" t="n"/>
      <c r="AD111" s="26" t="n"/>
      <c r="AE111" s="27" t="n"/>
      <c r="AF111" s="27" t="n"/>
      <c r="AG111" s="28" t="n"/>
      <c r="AH111" s="29" t="n"/>
      <c r="AI111" s="29" t="n"/>
      <c r="AJ111" s="29" t="n"/>
      <c r="AK111" s="29" t="n"/>
      <c r="AL111" s="29" t="n"/>
      <c r="AM111" s="29" t="n"/>
      <c r="AN111" s="29" t="n"/>
      <c r="AO111" s="29" t="n"/>
      <c r="AP111" s="29" t="n"/>
      <c r="AQ111" s="29" t="n"/>
      <c r="AR111" s="29" t="n"/>
      <c r="AS111" s="29" t="n"/>
      <c r="AT111" s="29" t="n"/>
    </row>
    <row r="112" ht="15" customHeight="1" s="67">
      <c r="A112" s="6" t="n"/>
      <c r="B112" s="19" t="n"/>
      <c r="C112" s="98" t="n"/>
      <c r="D112" s="19" t="n"/>
      <c r="E112" s="98" t="n"/>
      <c r="F112" s="98" t="n"/>
      <c r="G112" s="98" t="n"/>
      <c r="H112" s="98" t="n"/>
      <c r="I112" s="98" t="n"/>
      <c r="J112" s="98" t="n"/>
      <c r="K112" s="98" t="n"/>
      <c r="L112" s="98" t="n"/>
      <c r="M112" s="98" t="n"/>
      <c r="N112" s="99" t="n"/>
      <c r="O112" s="100" t="n"/>
      <c r="P112" s="100" t="n"/>
      <c r="Q112" s="100" t="n"/>
      <c r="R112" s="100" t="n"/>
      <c r="S112" s="100" t="n"/>
      <c r="T112" s="101" t="n"/>
      <c r="U112" s="24" t="n"/>
      <c r="V112" s="102" t="n"/>
      <c r="W112" s="24" t="n"/>
      <c r="X112" s="26" t="n"/>
      <c r="Y112" s="26" t="n"/>
      <c r="Z112" s="26" t="n"/>
      <c r="AA112" s="26" t="n"/>
      <c r="AB112" s="26" t="n"/>
      <c r="AC112" s="26" t="n"/>
      <c r="AD112" s="26" t="n"/>
      <c r="AE112" s="27" t="n"/>
      <c r="AF112" s="27" t="n"/>
      <c r="AG112" s="28" t="n"/>
      <c r="AH112" s="29" t="n"/>
      <c r="AI112" s="29" t="n"/>
      <c r="AJ112" s="29" t="n"/>
      <c r="AK112" s="29" t="n"/>
      <c r="AL112" s="29" t="n"/>
      <c r="AM112" s="29" t="n"/>
      <c r="AN112" s="29" t="n"/>
      <c r="AO112" s="29" t="n"/>
      <c r="AP112" s="29" t="n"/>
      <c r="AQ112" s="29" t="n"/>
      <c r="AR112" s="29" t="n"/>
      <c r="AS112" s="29" t="n"/>
      <c r="AT112" s="29" t="n"/>
    </row>
    <row r="113" ht="15" customHeight="1" s="67">
      <c r="A113" s="6" t="n"/>
      <c r="B113" s="19" t="n"/>
      <c r="C113" s="98" t="n"/>
      <c r="D113" s="19" t="n"/>
      <c r="E113" s="98" t="n"/>
      <c r="F113" s="98" t="n"/>
      <c r="G113" s="98" t="n"/>
      <c r="H113" s="98" t="n"/>
      <c r="I113" s="98" t="n"/>
      <c r="J113" s="98" t="n"/>
      <c r="K113" s="98" t="n"/>
      <c r="L113" s="98" t="n"/>
      <c r="M113" s="98" t="n"/>
      <c r="N113" s="99" t="n"/>
      <c r="O113" s="100" t="n"/>
      <c r="P113" s="100" t="n"/>
      <c r="Q113" s="100" t="n"/>
      <c r="R113" s="100" t="n"/>
      <c r="S113" s="100" t="n"/>
      <c r="T113" s="101" t="n"/>
      <c r="U113" s="24" t="n"/>
      <c r="V113" s="102" t="n"/>
      <c r="W113" s="24" t="n"/>
      <c r="X113" s="26" t="n"/>
      <c r="Y113" s="26" t="n"/>
      <c r="Z113" s="26" t="n"/>
      <c r="AA113" s="26" t="n"/>
      <c r="AB113" s="26" t="n"/>
      <c r="AC113" s="26" t="n"/>
      <c r="AD113" s="26" t="n"/>
      <c r="AE113" s="27" t="n"/>
      <c r="AF113" s="27" t="n"/>
      <c r="AG113" s="28" t="n"/>
      <c r="AH113" s="29" t="n"/>
      <c r="AI113" s="29" t="n"/>
      <c r="AJ113" s="29" t="n"/>
      <c r="AK113" s="29" t="n"/>
      <c r="AL113" s="29" t="n"/>
      <c r="AM113" s="29" t="n"/>
      <c r="AN113" s="29" t="n"/>
      <c r="AO113" s="29" t="n"/>
      <c r="AP113" s="29" t="n"/>
      <c r="AQ113" s="29" t="n"/>
      <c r="AR113" s="29" t="n"/>
      <c r="AS113" s="29" t="n"/>
      <c r="AT113" s="29" t="n"/>
    </row>
    <row r="114" ht="15" customHeight="1" s="67">
      <c r="A114" s="6" t="n"/>
      <c r="B114" s="19" t="n"/>
      <c r="C114" s="98" t="n"/>
      <c r="D114" s="19" t="n"/>
      <c r="E114" s="98" t="n"/>
      <c r="F114" s="98" t="n"/>
      <c r="G114" s="98" t="n"/>
      <c r="H114" s="98" t="n"/>
      <c r="I114" s="98" t="n"/>
      <c r="J114" s="98" t="n"/>
      <c r="K114" s="98" t="n"/>
      <c r="L114" s="98" t="n"/>
      <c r="M114" s="98" t="n"/>
      <c r="N114" s="99" t="n"/>
      <c r="O114" s="100" t="n"/>
      <c r="P114" s="100" t="n"/>
      <c r="Q114" s="100" t="n"/>
      <c r="R114" s="100" t="n"/>
      <c r="S114" s="100" t="n"/>
      <c r="T114" s="101" t="n"/>
      <c r="U114" s="24" t="n"/>
      <c r="V114" s="102" t="n"/>
      <c r="W114" s="24" t="n"/>
      <c r="X114" s="26" t="n"/>
      <c r="Y114" s="26" t="n"/>
      <c r="Z114" s="26" t="n"/>
      <c r="AA114" s="26" t="n"/>
      <c r="AB114" s="26" t="n"/>
      <c r="AC114" s="26" t="n"/>
      <c r="AD114" s="26" t="n"/>
      <c r="AE114" s="27" t="n"/>
      <c r="AF114" s="27" t="n"/>
      <c r="AG114" s="28" t="n"/>
      <c r="AH114" s="29" t="n"/>
      <c r="AI114" s="29" t="n"/>
      <c r="AJ114" s="29" t="n"/>
      <c r="AK114" s="29" t="n"/>
      <c r="AL114" s="29" t="n"/>
      <c r="AM114" s="29" t="n"/>
      <c r="AN114" s="29" t="n"/>
      <c r="AO114" s="29" t="n"/>
      <c r="AP114" s="29" t="n"/>
      <c r="AQ114" s="29" t="n"/>
      <c r="AR114" s="29" t="n"/>
      <c r="AS114" s="29" t="n"/>
      <c r="AT114" s="29" t="n"/>
    </row>
    <row r="115" ht="15" customHeight="1" s="67">
      <c r="A115" s="6" t="n"/>
      <c r="B115" s="19" t="n"/>
      <c r="C115" s="98" t="n"/>
      <c r="D115" s="19" t="n"/>
      <c r="E115" s="98" t="n"/>
      <c r="F115" s="98" t="n"/>
      <c r="G115" s="98" t="n"/>
      <c r="H115" s="98" t="n"/>
      <c r="I115" s="98" t="n"/>
      <c r="J115" s="98" t="n"/>
      <c r="K115" s="98" t="n"/>
      <c r="L115" s="98" t="n"/>
      <c r="M115" s="98" t="n"/>
      <c r="N115" s="99" t="n"/>
      <c r="O115" s="100" t="n"/>
      <c r="P115" s="100" t="n"/>
      <c r="Q115" s="100" t="n"/>
      <c r="R115" s="100" t="n"/>
      <c r="S115" s="100" t="n"/>
      <c r="T115" s="101" t="n"/>
      <c r="U115" s="24" t="n"/>
      <c r="V115" s="102" t="n"/>
      <c r="W115" s="24" t="n"/>
      <c r="X115" s="26" t="n"/>
      <c r="Y115" s="26" t="n"/>
      <c r="Z115" s="26" t="n"/>
      <c r="AA115" s="26" t="n"/>
      <c r="AB115" s="26" t="n"/>
      <c r="AC115" s="26" t="n"/>
      <c r="AD115" s="26" t="n"/>
      <c r="AE115" s="27" t="n"/>
      <c r="AF115" s="27" t="n"/>
      <c r="AG115" s="28" t="n"/>
      <c r="AH115" s="29" t="n"/>
      <c r="AI115" s="29" t="n"/>
      <c r="AJ115" s="29" t="n"/>
      <c r="AK115" s="29" t="n"/>
      <c r="AL115" s="29" t="n"/>
      <c r="AM115" s="29" t="n"/>
      <c r="AN115" s="29" t="n"/>
      <c r="AO115" s="29" t="n"/>
      <c r="AP115" s="29" t="n"/>
      <c r="AQ115" s="29" t="n"/>
      <c r="AR115" s="29" t="n"/>
      <c r="AS115" s="29" t="n"/>
      <c r="AT115" s="29" t="n"/>
    </row>
    <row r="116" ht="15" customHeight="1" s="67">
      <c r="A116" s="6" t="n"/>
      <c r="B116" s="19" t="n"/>
      <c r="C116" s="98" t="n"/>
      <c r="D116" s="19" t="n"/>
      <c r="E116" s="98" t="n"/>
      <c r="F116" s="98" t="n"/>
      <c r="G116" s="98" t="n"/>
      <c r="H116" s="98" t="n"/>
      <c r="I116" s="98" t="n"/>
      <c r="J116" s="98" t="n"/>
      <c r="K116" s="98" t="n"/>
      <c r="L116" s="98" t="n"/>
      <c r="M116" s="98" t="n"/>
      <c r="N116" s="99" t="n"/>
      <c r="O116" s="100" t="n"/>
      <c r="P116" s="100" t="n"/>
      <c r="Q116" s="100" t="n"/>
      <c r="R116" s="100" t="n"/>
      <c r="S116" s="100" t="n"/>
      <c r="T116" s="101" t="n"/>
      <c r="U116" s="24" t="n"/>
      <c r="V116" s="102" t="n"/>
      <c r="W116" s="24" t="n"/>
      <c r="X116" s="26" t="n"/>
      <c r="Y116" s="26" t="n"/>
      <c r="Z116" s="26" t="n"/>
      <c r="AA116" s="26" t="n"/>
      <c r="AB116" s="26" t="n"/>
      <c r="AC116" s="26" t="n"/>
      <c r="AD116" s="26" t="n"/>
      <c r="AE116" s="27" t="n"/>
      <c r="AF116" s="27" t="n"/>
      <c r="AG116" s="28" t="n"/>
      <c r="AH116" s="29" t="n"/>
      <c r="AI116" s="29" t="n"/>
      <c r="AJ116" s="29" t="n"/>
      <c r="AK116" s="29" t="n"/>
      <c r="AL116" s="29" t="n"/>
      <c r="AM116" s="29" t="n"/>
      <c r="AN116" s="29" t="n"/>
      <c r="AO116" s="29" t="n"/>
      <c r="AP116" s="29" t="n"/>
      <c r="AQ116" s="29" t="n"/>
      <c r="AR116" s="29" t="n"/>
      <c r="AS116" s="29" t="n"/>
      <c r="AT116" s="29" t="n"/>
    </row>
    <row r="117" ht="15" customHeight="1" s="67">
      <c r="A117" s="6" t="n"/>
      <c r="B117" s="19" t="n"/>
      <c r="C117" s="98" t="n"/>
      <c r="D117" s="19" t="n"/>
      <c r="E117" s="98" t="n"/>
      <c r="F117" s="98" t="n"/>
      <c r="G117" s="98" t="n"/>
      <c r="H117" s="98" t="n"/>
      <c r="I117" s="98" t="n"/>
      <c r="J117" s="98" t="n"/>
      <c r="K117" s="98" t="n"/>
      <c r="L117" s="98" t="n"/>
      <c r="M117" s="98" t="n"/>
      <c r="N117" s="99" t="n"/>
      <c r="O117" s="100" t="n"/>
      <c r="P117" s="100" t="n"/>
      <c r="Q117" s="100" t="n"/>
      <c r="R117" s="100" t="n"/>
      <c r="S117" s="100" t="n"/>
      <c r="T117" s="101" t="n"/>
      <c r="U117" s="24" t="n"/>
      <c r="V117" s="102" t="n"/>
      <c r="W117" s="24" t="n"/>
      <c r="X117" s="26" t="n"/>
      <c r="Y117" s="26" t="n"/>
      <c r="Z117" s="26" t="n"/>
      <c r="AA117" s="26" t="n"/>
      <c r="AB117" s="26" t="n"/>
      <c r="AC117" s="26" t="n"/>
      <c r="AD117" s="26" t="n"/>
      <c r="AE117" s="27" t="n"/>
      <c r="AF117" s="27" t="n"/>
      <c r="AG117" s="28" t="n"/>
      <c r="AH117" s="29" t="n"/>
      <c r="AI117" s="29" t="n"/>
      <c r="AJ117" s="29" t="n"/>
      <c r="AK117" s="29" t="n"/>
      <c r="AL117" s="29" t="n"/>
      <c r="AM117" s="29" t="n"/>
      <c r="AN117" s="29" t="n"/>
      <c r="AO117" s="29" t="n"/>
      <c r="AP117" s="29" t="n"/>
      <c r="AQ117" s="29" t="n"/>
      <c r="AR117" s="29" t="n"/>
      <c r="AS117" s="29" t="n"/>
      <c r="AT117" s="29" t="n"/>
    </row>
    <row r="118" ht="15" customHeight="1" s="67">
      <c r="A118" s="6" t="n"/>
      <c r="B118" s="19" t="n"/>
      <c r="C118" s="98" t="n"/>
      <c r="D118" s="19" t="n"/>
      <c r="E118" s="98" t="n"/>
      <c r="F118" s="98" t="n"/>
      <c r="G118" s="98" t="n"/>
      <c r="H118" s="98" t="n"/>
      <c r="I118" s="98" t="n"/>
      <c r="J118" s="98" t="n"/>
      <c r="K118" s="98" t="n"/>
      <c r="L118" s="98" t="n"/>
      <c r="M118" s="98" t="n"/>
      <c r="N118" s="99" t="n"/>
      <c r="O118" s="100" t="n"/>
      <c r="P118" s="100" t="n"/>
      <c r="Q118" s="100" t="n"/>
      <c r="R118" s="100" t="n"/>
      <c r="S118" s="100" t="n"/>
      <c r="T118" s="101" t="n"/>
      <c r="U118" s="24" t="n"/>
      <c r="V118" s="102" t="n"/>
      <c r="W118" s="24" t="n"/>
      <c r="X118" s="26" t="n"/>
      <c r="Y118" s="26" t="n"/>
      <c r="Z118" s="26" t="n"/>
      <c r="AA118" s="26" t="n"/>
      <c r="AB118" s="26" t="n"/>
      <c r="AC118" s="26" t="n"/>
      <c r="AD118" s="26" t="n"/>
      <c r="AE118" s="27" t="n"/>
      <c r="AF118" s="27" t="n"/>
      <c r="AG118" s="28" t="n"/>
      <c r="AH118" s="29" t="n"/>
      <c r="AI118" s="29" t="n"/>
      <c r="AJ118" s="29" t="n"/>
      <c r="AK118" s="29" t="n"/>
      <c r="AL118" s="29" t="n"/>
      <c r="AM118" s="29" t="n"/>
      <c r="AN118" s="29" t="n"/>
      <c r="AO118" s="29" t="n"/>
      <c r="AP118" s="29" t="n"/>
      <c r="AQ118" s="29" t="n"/>
      <c r="AR118" s="29" t="n"/>
      <c r="AS118" s="29" t="n"/>
      <c r="AT118" s="29" t="n"/>
    </row>
    <row r="119" ht="15" customHeight="1" s="67">
      <c r="A119" s="6" t="n"/>
      <c r="B119" s="19" t="n"/>
      <c r="C119" s="98" t="n"/>
      <c r="D119" s="19" t="n"/>
      <c r="E119" s="98" t="n"/>
      <c r="F119" s="98" t="n"/>
      <c r="G119" s="98" t="n"/>
      <c r="H119" s="98" t="n"/>
      <c r="I119" s="98" t="n"/>
      <c r="J119" s="98" t="n"/>
      <c r="K119" s="98" t="n"/>
      <c r="L119" s="98" t="n"/>
      <c r="M119" s="98" t="n"/>
      <c r="N119" s="99" t="n"/>
      <c r="O119" s="100" t="n"/>
      <c r="P119" s="100" t="n"/>
      <c r="Q119" s="100" t="n"/>
      <c r="R119" s="100" t="n"/>
      <c r="S119" s="100" t="n"/>
      <c r="T119" s="101" t="n"/>
      <c r="U119" s="24" t="n"/>
      <c r="V119" s="102" t="n"/>
      <c r="W119" s="24" t="n"/>
      <c r="X119" s="26" t="n"/>
      <c r="Y119" s="26" t="n"/>
      <c r="Z119" s="26" t="n"/>
      <c r="AA119" s="26" t="n"/>
      <c r="AB119" s="26" t="n"/>
      <c r="AC119" s="26" t="n"/>
      <c r="AD119" s="26" t="n"/>
      <c r="AE119" s="27" t="n"/>
      <c r="AF119" s="27" t="n"/>
      <c r="AG119" s="28" t="n"/>
      <c r="AH119" s="29" t="n"/>
      <c r="AI119" s="29" t="n"/>
      <c r="AJ119" s="29" t="n"/>
      <c r="AK119" s="29" t="n"/>
      <c r="AL119" s="29" t="n"/>
      <c r="AM119" s="29" t="n"/>
      <c r="AN119" s="29" t="n"/>
      <c r="AO119" s="29" t="n"/>
      <c r="AP119" s="29" t="n"/>
      <c r="AQ119" s="29" t="n"/>
      <c r="AR119" s="29" t="n"/>
      <c r="AS119" s="29" t="n"/>
      <c r="AT119" s="29" t="n"/>
    </row>
    <row r="120" ht="15" customHeight="1" s="67">
      <c r="A120" s="6" t="n"/>
      <c r="B120" s="19" t="n"/>
      <c r="C120" s="98" t="n"/>
      <c r="D120" s="19" t="n"/>
      <c r="E120" s="98" t="n"/>
      <c r="F120" s="98" t="n"/>
      <c r="G120" s="98" t="n"/>
      <c r="H120" s="98" t="n"/>
      <c r="I120" s="98" t="n"/>
      <c r="J120" s="98" t="n"/>
      <c r="K120" s="98" t="n"/>
      <c r="L120" s="98" t="n"/>
      <c r="M120" s="98" t="n"/>
      <c r="N120" s="99" t="n"/>
      <c r="O120" s="100" t="n"/>
      <c r="P120" s="100" t="n"/>
      <c r="Q120" s="100" t="n"/>
      <c r="R120" s="100" t="n"/>
      <c r="S120" s="100" t="n"/>
      <c r="T120" s="101" t="n"/>
      <c r="U120" s="24" t="n"/>
      <c r="V120" s="102" t="n"/>
      <c r="W120" s="24" t="n"/>
      <c r="X120" s="26" t="n"/>
      <c r="Y120" s="26" t="n"/>
      <c r="Z120" s="26" t="n"/>
      <c r="AA120" s="26" t="n"/>
      <c r="AB120" s="26" t="n"/>
      <c r="AC120" s="26" t="n"/>
      <c r="AD120" s="26" t="n"/>
      <c r="AE120" s="27" t="n"/>
      <c r="AF120" s="27" t="n"/>
      <c r="AG120" s="28" t="n"/>
      <c r="AH120" s="29" t="n"/>
      <c r="AI120" s="29" t="n"/>
      <c r="AJ120" s="29" t="n"/>
      <c r="AK120" s="29" t="n"/>
      <c r="AL120" s="29" t="n"/>
      <c r="AM120" s="29" t="n"/>
      <c r="AN120" s="29" t="n"/>
      <c r="AO120" s="29" t="n"/>
      <c r="AP120" s="29" t="n"/>
      <c r="AQ120" s="29" t="n"/>
      <c r="AR120" s="29" t="n"/>
      <c r="AS120" s="29" t="n"/>
      <c r="AT120" s="29" t="n"/>
    </row>
    <row r="121" ht="15" customHeight="1" s="67">
      <c r="A121" s="6" t="n"/>
      <c r="B121" s="19" t="n"/>
      <c r="C121" s="98" t="n"/>
      <c r="D121" s="19" t="n"/>
      <c r="E121" s="98" t="n"/>
      <c r="F121" s="98" t="n"/>
      <c r="G121" s="98" t="n"/>
      <c r="H121" s="98" t="n"/>
      <c r="I121" s="98" t="n"/>
      <c r="J121" s="98" t="n"/>
      <c r="K121" s="98" t="n"/>
      <c r="L121" s="98" t="n"/>
      <c r="M121" s="98" t="n"/>
      <c r="N121" s="99" t="n"/>
      <c r="O121" s="100" t="n"/>
      <c r="P121" s="100" t="n"/>
      <c r="Q121" s="100" t="n"/>
      <c r="R121" s="100" t="n"/>
      <c r="S121" s="100" t="n"/>
      <c r="T121" s="101" t="n"/>
      <c r="U121" s="24" t="n"/>
      <c r="V121" s="102" t="n"/>
      <c r="W121" s="24" t="n"/>
      <c r="X121" s="26" t="n"/>
      <c r="Y121" s="26" t="n"/>
      <c r="Z121" s="26" t="n"/>
      <c r="AA121" s="26" t="n"/>
      <c r="AB121" s="26" t="n"/>
      <c r="AC121" s="26" t="n"/>
      <c r="AD121" s="26" t="n"/>
      <c r="AE121" s="27" t="n"/>
      <c r="AF121" s="27" t="n"/>
      <c r="AG121" s="28" t="n"/>
      <c r="AH121" s="29" t="n"/>
      <c r="AI121" s="29" t="n"/>
      <c r="AJ121" s="29" t="n"/>
      <c r="AK121" s="29" t="n"/>
      <c r="AL121" s="29" t="n"/>
      <c r="AM121" s="29" t="n"/>
      <c r="AN121" s="29" t="n"/>
      <c r="AO121" s="29" t="n"/>
      <c r="AP121" s="29" t="n"/>
      <c r="AQ121" s="29" t="n"/>
      <c r="AR121" s="29" t="n"/>
      <c r="AS121" s="29" t="n"/>
      <c r="AT121" s="29" t="n"/>
    </row>
    <row r="122" ht="15" customHeight="1" s="67">
      <c r="A122" s="6" t="n"/>
      <c r="B122" s="19" t="n"/>
      <c r="C122" s="98" t="n"/>
      <c r="D122" s="19" t="n"/>
      <c r="E122" s="98" t="n"/>
      <c r="F122" s="98" t="n"/>
      <c r="G122" s="98" t="n"/>
      <c r="H122" s="98" t="n"/>
      <c r="I122" s="98" t="n"/>
      <c r="J122" s="98" t="n"/>
      <c r="K122" s="98" t="n"/>
      <c r="L122" s="98" t="n"/>
      <c r="M122" s="98" t="n"/>
      <c r="N122" s="99" t="n"/>
      <c r="O122" s="100" t="n"/>
      <c r="P122" s="100" t="n"/>
      <c r="Q122" s="100" t="n"/>
      <c r="R122" s="100" t="n"/>
      <c r="S122" s="100" t="n"/>
      <c r="T122" s="101" t="n"/>
      <c r="U122" s="24" t="n"/>
      <c r="V122" s="102" t="n"/>
      <c r="W122" s="24" t="n"/>
      <c r="X122" s="26" t="n"/>
      <c r="Y122" s="26" t="n"/>
      <c r="Z122" s="26" t="n"/>
      <c r="AA122" s="26" t="n"/>
      <c r="AB122" s="26" t="n"/>
      <c r="AC122" s="26" t="n"/>
      <c r="AD122" s="26" t="n"/>
      <c r="AE122" s="27" t="n"/>
      <c r="AF122" s="27" t="n"/>
      <c r="AG122" s="28" t="n"/>
      <c r="AH122" s="29" t="n"/>
      <c r="AI122" s="29" t="n"/>
      <c r="AJ122" s="29" t="n"/>
      <c r="AK122" s="29" t="n"/>
      <c r="AL122" s="29" t="n"/>
      <c r="AM122" s="29" t="n"/>
      <c r="AN122" s="29" t="n"/>
      <c r="AO122" s="29" t="n"/>
      <c r="AP122" s="29" t="n"/>
      <c r="AQ122" s="29" t="n"/>
      <c r="AR122" s="29" t="n"/>
      <c r="AS122" s="29" t="n"/>
      <c r="AT122" s="29" t="n"/>
    </row>
    <row r="123" ht="15" customHeight="1" s="67">
      <c r="A123" s="6" t="n"/>
      <c r="B123" s="19" t="n"/>
      <c r="C123" s="98" t="n"/>
      <c r="D123" s="19" t="n"/>
      <c r="E123" s="98" t="n"/>
      <c r="F123" s="98" t="n"/>
      <c r="G123" s="98" t="n"/>
      <c r="H123" s="98" t="n"/>
      <c r="I123" s="98" t="n"/>
      <c r="J123" s="98" t="n"/>
      <c r="K123" s="98" t="n"/>
      <c r="L123" s="98" t="n"/>
      <c r="M123" s="98" t="n"/>
      <c r="N123" s="99" t="n"/>
      <c r="O123" s="100" t="n"/>
      <c r="P123" s="100" t="n"/>
      <c r="Q123" s="100" t="n"/>
      <c r="R123" s="100" t="n"/>
      <c r="S123" s="100" t="n"/>
      <c r="T123" s="101" t="n"/>
      <c r="U123" s="24" t="n"/>
      <c r="V123" s="102" t="n"/>
      <c r="W123" s="24" t="n"/>
      <c r="X123" s="26" t="n"/>
      <c r="Y123" s="26" t="n"/>
      <c r="Z123" s="26" t="n"/>
      <c r="AA123" s="26" t="n"/>
      <c r="AB123" s="26" t="n"/>
      <c r="AC123" s="26" t="n"/>
      <c r="AD123" s="26" t="n"/>
      <c r="AE123" s="27" t="n"/>
      <c r="AF123" s="27" t="n"/>
      <c r="AG123" s="28" t="n"/>
      <c r="AH123" s="29" t="n"/>
      <c r="AI123" s="29" t="n"/>
      <c r="AJ123" s="29" t="n"/>
      <c r="AK123" s="29" t="n"/>
      <c r="AL123" s="29" t="n"/>
      <c r="AM123" s="29" t="n"/>
      <c r="AN123" s="29" t="n"/>
      <c r="AO123" s="29" t="n"/>
      <c r="AP123" s="29" t="n"/>
      <c r="AQ123" s="29" t="n"/>
      <c r="AR123" s="29" t="n"/>
      <c r="AS123" s="29" t="n"/>
      <c r="AT123" s="29" t="n"/>
    </row>
    <row r="124" ht="15" customHeight="1" s="67">
      <c r="A124" s="6" t="n"/>
      <c r="B124" s="19" t="n"/>
      <c r="C124" s="98" t="n"/>
      <c r="D124" s="19" t="n"/>
      <c r="E124" s="98" t="n"/>
      <c r="F124" s="98" t="n"/>
      <c r="G124" s="98" t="n"/>
      <c r="H124" s="98" t="n"/>
      <c r="I124" s="98" t="n"/>
      <c r="J124" s="98" t="n"/>
      <c r="K124" s="98" t="n"/>
      <c r="L124" s="98" t="n"/>
      <c r="M124" s="98" t="n"/>
      <c r="N124" s="99" t="n"/>
      <c r="O124" s="100" t="n"/>
      <c r="P124" s="100" t="n"/>
      <c r="Q124" s="100" t="n"/>
      <c r="R124" s="100" t="n"/>
      <c r="S124" s="100" t="n"/>
      <c r="T124" s="101" t="n"/>
      <c r="U124" s="24" t="n"/>
      <c r="V124" s="102" t="n"/>
      <c r="W124" s="24" t="n"/>
      <c r="X124" s="26" t="n"/>
      <c r="Y124" s="26" t="n"/>
      <c r="Z124" s="26" t="n"/>
      <c r="AA124" s="26" t="n"/>
      <c r="AB124" s="26" t="n"/>
      <c r="AC124" s="26" t="n"/>
      <c r="AD124" s="26" t="n"/>
      <c r="AE124" s="27" t="n"/>
      <c r="AF124" s="27" t="n"/>
      <c r="AG124" s="28" t="n"/>
      <c r="AH124" s="29" t="n"/>
      <c r="AI124" s="29" t="n"/>
      <c r="AJ124" s="29" t="n"/>
      <c r="AK124" s="29" t="n"/>
      <c r="AL124" s="29" t="n"/>
      <c r="AM124" s="29" t="n"/>
      <c r="AN124" s="29" t="n"/>
      <c r="AO124" s="29" t="n"/>
      <c r="AP124" s="29" t="n"/>
      <c r="AQ124" s="29" t="n"/>
      <c r="AR124" s="29" t="n"/>
      <c r="AS124" s="29" t="n"/>
      <c r="AT124" s="29" t="n"/>
    </row>
    <row r="125" ht="15" customHeight="1" s="67">
      <c r="A125" s="6" t="n"/>
      <c r="B125" s="19" t="n"/>
      <c r="C125" s="98" t="n"/>
      <c r="D125" s="19" t="n"/>
      <c r="E125" s="98" t="n"/>
      <c r="F125" s="98" t="n"/>
      <c r="G125" s="98" t="n"/>
      <c r="H125" s="98" t="n"/>
      <c r="I125" s="98" t="n"/>
      <c r="J125" s="98" t="n"/>
      <c r="K125" s="98" t="n"/>
      <c r="L125" s="98" t="n"/>
      <c r="M125" s="98" t="n"/>
      <c r="N125" s="99" t="n"/>
      <c r="O125" s="100" t="n"/>
      <c r="P125" s="100" t="n"/>
      <c r="Q125" s="100" t="n"/>
      <c r="R125" s="100" t="n"/>
      <c r="S125" s="100" t="n"/>
      <c r="T125" s="101" t="n"/>
      <c r="U125" s="24" t="n"/>
      <c r="V125" s="102" t="n"/>
      <c r="W125" s="24" t="n"/>
      <c r="X125" s="26" t="n"/>
      <c r="Y125" s="26" t="n"/>
      <c r="Z125" s="26" t="n"/>
      <c r="AA125" s="26" t="n"/>
      <c r="AB125" s="26" t="n"/>
      <c r="AC125" s="26" t="n"/>
      <c r="AD125" s="26" t="n"/>
      <c r="AE125" s="27" t="n"/>
      <c r="AF125" s="27" t="n"/>
      <c r="AG125" s="28" t="n"/>
      <c r="AH125" s="29" t="n"/>
      <c r="AI125" s="29" t="n"/>
      <c r="AJ125" s="29" t="n"/>
      <c r="AK125" s="29" t="n"/>
      <c r="AL125" s="29" t="n"/>
      <c r="AM125" s="29" t="n"/>
      <c r="AN125" s="29" t="n"/>
      <c r="AO125" s="29" t="n"/>
      <c r="AP125" s="29" t="n"/>
      <c r="AQ125" s="29" t="n"/>
      <c r="AR125" s="29" t="n"/>
      <c r="AS125" s="29" t="n"/>
      <c r="AT125" s="29" t="n"/>
    </row>
    <row r="126" ht="15" customHeight="1" s="67">
      <c r="A126" s="6" t="n"/>
      <c r="B126" s="19" t="n"/>
      <c r="C126" s="98" t="n"/>
      <c r="D126" s="19" t="n"/>
      <c r="E126" s="98" t="n"/>
      <c r="F126" s="98" t="n"/>
      <c r="G126" s="98" t="n"/>
      <c r="H126" s="98" t="n"/>
      <c r="I126" s="98" t="n"/>
      <c r="J126" s="98" t="n"/>
      <c r="K126" s="98" t="n"/>
      <c r="L126" s="98" t="n"/>
      <c r="M126" s="98" t="n"/>
      <c r="N126" s="99" t="n"/>
      <c r="O126" s="100" t="n"/>
      <c r="P126" s="100" t="n"/>
      <c r="Q126" s="100" t="n"/>
      <c r="R126" s="100" t="n"/>
      <c r="S126" s="100" t="n"/>
      <c r="T126" s="101" t="n"/>
      <c r="U126" s="24" t="n"/>
      <c r="V126" s="102" t="n"/>
      <c r="W126" s="24" t="n"/>
      <c r="X126" s="26" t="n"/>
      <c r="Y126" s="26" t="n"/>
      <c r="Z126" s="26" t="n"/>
      <c r="AA126" s="26" t="n"/>
      <c r="AB126" s="26" t="n"/>
      <c r="AC126" s="26" t="n"/>
      <c r="AD126" s="26" t="n"/>
      <c r="AE126" s="27" t="n"/>
      <c r="AF126" s="27" t="n"/>
      <c r="AG126" s="28" t="n"/>
      <c r="AH126" s="29" t="n"/>
      <c r="AI126" s="29" t="n"/>
      <c r="AJ126" s="29" t="n"/>
      <c r="AK126" s="29" t="n"/>
      <c r="AL126" s="29" t="n"/>
      <c r="AM126" s="29" t="n"/>
      <c r="AN126" s="29" t="n"/>
      <c r="AO126" s="29" t="n"/>
      <c r="AP126" s="29" t="n"/>
      <c r="AQ126" s="29" t="n"/>
      <c r="AR126" s="29" t="n"/>
      <c r="AS126" s="29" t="n"/>
      <c r="AT126" s="29" t="n"/>
    </row>
    <row r="127" ht="15" customHeight="1" s="67">
      <c r="A127" s="6" t="n"/>
      <c r="B127" s="19" t="n"/>
      <c r="C127" s="98" t="n"/>
      <c r="D127" s="19" t="n"/>
      <c r="E127" s="98" t="n"/>
      <c r="F127" s="98" t="n"/>
      <c r="G127" s="98" t="n"/>
      <c r="H127" s="98" t="n"/>
      <c r="I127" s="98" t="n"/>
      <c r="J127" s="98" t="n"/>
      <c r="K127" s="98" t="n"/>
      <c r="L127" s="98" t="n"/>
      <c r="M127" s="98" t="n"/>
      <c r="N127" s="99" t="n"/>
      <c r="O127" s="100" t="n"/>
      <c r="P127" s="100" t="n"/>
      <c r="Q127" s="100" t="n"/>
      <c r="R127" s="100" t="n"/>
      <c r="S127" s="100" t="n"/>
      <c r="T127" s="101" t="n"/>
      <c r="U127" s="24" t="n"/>
      <c r="V127" s="102" t="n"/>
      <c r="W127" s="24" t="n"/>
      <c r="X127" s="26" t="n"/>
      <c r="Y127" s="26" t="n"/>
      <c r="Z127" s="26" t="n"/>
      <c r="AA127" s="26" t="n"/>
      <c r="AB127" s="26" t="n"/>
      <c r="AC127" s="26" t="n"/>
      <c r="AD127" s="26" t="n"/>
      <c r="AE127" s="27" t="n"/>
      <c r="AF127" s="27" t="n"/>
      <c r="AG127" s="28" t="n"/>
      <c r="AH127" s="29" t="n"/>
      <c r="AI127" s="29" t="n"/>
      <c r="AJ127" s="29" t="n"/>
      <c r="AK127" s="29" t="n"/>
      <c r="AL127" s="29" t="n"/>
      <c r="AM127" s="29" t="n"/>
      <c r="AN127" s="29" t="n"/>
      <c r="AO127" s="29" t="n"/>
      <c r="AP127" s="29" t="n"/>
      <c r="AQ127" s="29" t="n"/>
      <c r="AR127" s="29" t="n"/>
      <c r="AS127" s="29" t="n"/>
      <c r="AT127" s="29" t="n"/>
    </row>
    <row r="128" ht="15" customHeight="1" s="67">
      <c r="A128" s="6" t="n"/>
      <c r="B128" s="19" t="n"/>
      <c r="C128" s="98" t="n"/>
      <c r="D128" s="19" t="n"/>
      <c r="E128" s="98" t="n"/>
      <c r="F128" s="98" t="n"/>
      <c r="G128" s="98" t="n"/>
      <c r="H128" s="98" t="n"/>
      <c r="I128" s="98" t="n"/>
      <c r="J128" s="98" t="n"/>
      <c r="K128" s="98" t="n"/>
      <c r="L128" s="98" t="n"/>
      <c r="M128" s="98" t="n"/>
      <c r="N128" s="99" t="n"/>
      <c r="O128" s="100" t="n"/>
      <c r="P128" s="100" t="n"/>
      <c r="Q128" s="100" t="n"/>
      <c r="R128" s="100" t="n"/>
      <c r="S128" s="100" t="n"/>
      <c r="T128" s="101" t="n"/>
      <c r="U128" s="24" t="n"/>
      <c r="V128" s="102" t="n"/>
      <c r="W128" s="24" t="n"/>
      <c r="X128" s="26" t="n"/>
      <c r="Y128" s="26" t="n"/>
      <c r="Z128" s="26" t="n"/>
      <c r="AA128" s="26" t="n"/>
      <c r="AB128" s="26" t="n"/>
      <c r="AC128" s="26" t="n"/>
      <c r="AD128" s="26" t="n"/>
      <c r="AE128" s="27" t="n"/>
      <c r="AF128" s="27" t="n"/>
      <c r="AG128" s="28" t="n"/>
      <c r="AH128" s="29" t="n"/>
      <c r="AI128" s="29" t="n"/>
      <c r="AJ128" s="29" t="n"/>
      <c r="AK128" s="29" t="n"/>
      <c r="AL128" s="29" t="n"/>
      <c r="AM128" s="29" t="n"/>
      <c r="AN128" s="29" t="n"/>
      <c r="AO128" s="29" t="n"/>
      <c r="AP128" s="29" t="n"/>
      <c r="AQ128" s="29" t="n"/>
      <c r="AR128" s="29" t="n"/>
      <c r="AS128" s="29" t="n"/>
      <c r="AT128" s="29" t="n"/>
    </row>
    <row r="129" ht="15" customHeight="1" s="67">
      <c r="A129" s="6" t="n"/>
      <c r="B129" s="19" t="n"/>
      <c r="C129" s="98" t="n"/>
      <c r="D129" s="19" t="n"/>
      <c r="E129" s="98" t="n"/>
      <c r="F129" s="98" t="n"/>
      <c r="G129" s="98" t="n"/>
      <c r="H129" s="98" t="n"/>
      <c r="I129" s="98" t="n"/>
      <c r="J129" s="98" t="n"/>
      <c r="K129" s="98" t="n"/>
      <c r="L129" s="98" t="n"/>
      <c r="M129" s="98" t="n"/>
      <c r="N129" s="99" t="n"/>
      <c r="O129" s="100" t="n"/>
      <c r="P129" s="100" t="n"/>
      <c r="Q129" s="100" t="n"/>
      <c r="R129" s="100" t="n"/>
      <c r="S129" s="100" t="n"/>
      <c r="T129" s="101" t="n"/>
      <c r="U129" s="24" t="n"/>
      <c r="V129" s="102" t="n"/>
      <c r="W129" s="24" t="n"/>
      <c r="X129" s="26" t="n"/>
      <c r="Y129" s="26" t="n"/>
      <c r="Z129" s="26" t="n"/>
      <c r="AA129" s="26" t="n"/>
      <c r="AB129" s="26" t="n"/>
      <c r="AC129" s="26" t="n"/>
      <c r="AD129" s="26" t="n"/>
      <c r="AE129" s="27" t="n"/>
      <c r="AF129" s="27" t="n"/>
      <c r="AG129" s="28" t="n"/>
      <c r="AH129" s="29" t="n"/>
      <c r="AI129" s="29" t="n"/>
      <c r="AJ129" s="29" t="n"/>
      <c r="AK129" s="29" t="n"/>
      <c r="AL129" s="29" t="n"/>
      <c r="AM129" s="29" t="n"/>
      <c r="AN129" s="29" t="n"/>
      <c r="AO129" s="29" t="n"/>
      <c r="AP129" s="29" t="n"/>
      <c r="AQ129" s="29" t="n"/>
      <c r="AR129" s="29" t="n"/>
      <c r="AS129" s="29" t="n"/>
      <c r="AT129" s="29" t="n"/>
    </row>
    <row r="130" ht="15" customHeight="1" s="67">
      <c r="A130" s="6" t="n"/>
      <c r="B130" s="19" t="n"/>
      <c r="C130" s="98" t="n"/>
      <c r="D130" s="19" t="n"/>
      <c r="E130" s="98" t="n"/>
      <c r="F130" s="98" t="n"/>
      <c r="G130" s="98" t="n"/>
      <c r="H130" s="98" t="n"/>
      <c r="I130" s="98" t="n"/>
      <c r="J130" s="98" t="n"/>
      <c r="K130" s="98" t="n"/>
      <c r="L130" s="98" t="n"/>
      <c r="M130" s="98" t="n"/>
      <c r="N130" s="99" t="n"/>
      <c r="O130" s="100" t="n"/>
      <c r="P130" s="100" t="n"/>
      <c r="Q130" s="100" t="n"/>
      <c r="R130" s="100" t="n"/>
      <c r="S130" s="100" t="n"/>
      <c r="T130" s="101" t="n"/>
      <c r="U130" s="24" t="n"/>
      <c r="V130" s="102" t="n"/>
      <c r="W130" s="24" t="n"/>
      <c r="X130" s="26" t="n"/>
      <c r="Y130" s="26" t="n"/>
      <c r="Z130" s="26" t="n"/>
      <c r="AA130" s="26" t="n"/>
      <c r="AB130" s="26" t="n"/>
      <c r="AC130" s="26" t="n"/>
      <c r="AD130" s="26" t="n"/>
      <c r="AE130" s="27" t="n"/>
      <c r="AF130" s="27" t="n"/>
      <c r="AG130" s="28" t="n"/>
      <c r="AH130" s="29" t="n"/>
      <c r="AI130" s="29" t="n"/>
      <c r="AJ130" s="29" t="n"/>
      <c r="AK130" s="29" t="n"/>
      <c r="AL130" s="29" t="n"/>
      <c r="AM130" s="29" t="n"/>
      <c r="AN130" s="29" t="n"/>
      <c r="AO130" s="29" t="n"/>
      <c r="AP130" s="29" t="n"/>
      <c r="AQ130" s="29" t="n"/>
      <c r="AR130" s="29" t="n"/>
      <c r="AS130" s="29" t="n"/>
      <c r="AT130" s="29" t="n"/>
    </row>
    <row r="131" ht="15" customHeight="1" s="67">
      <c r="A131" s="6" t="n"/>
      <c r="B131" s="19" t="n"/>
      <c r="C131" s="98" t="n"/>
      <c r="D131" s="19" t="n"/>
      <c r="E131" s="98" t="n"/>
      <c r="F131" s="98" t="n"/>
      <c r="G131" s="98" t="n"/>
      <c r="H131" s="98" t="n"/>
      <c r="I131" s="98" t="n"/>
      <c r="J131" s="98" t="n"/>
      <c r="K131" s="98" t="n"/>
      <c r="L131" s="98" t="n"/>
      <c r="M131" s="98" t="n"/>
      <c r="N131" s="99" t="n"/>
      <c r="O131" s="100" t="n"/>
      <c r="P131" s="100" t="n"/>
      <c r="Q131" s="100" t="n"/>
      <c r="R131" s="100" t="n"/>
      <c r="S131" s="100" t="n"/>
      <c r="T131" s="101" t="n"/>
      <c r="U131" s="24" t="n"/>
      <c r="V131" s="102" t="n"/>
      <c r="W131" s="24" t="n"/>
      <c r="X131" s="26" t="n"/>
      <c r="Y131" s="26" t="n"/>
      <c r="Z131" s="26" t="n"/>
      <c r="AA131" s="26" t="n"/>
      <c r="AB131" s="26" t="n"/>
      <c r="AC131" s="26" t="n"/>
      <c r="AD131" s="26" t="n"/>
      <c r="AE131" s="27" t="n"/>
      <c r="AF131" s="27" t="n"/>
      <c r="AG131" s="28" t="n"/>
      <c r="AH131" s="29" t="n"/>
      <c r="AI131" s="29" t="n"/>
      <c r="AJ131" s="29" t="n"/>
      <c r="AK131" s="29" t="n"/>
      <c r="AL131" s="29" t="n"/>
      <c r="AM131" s="29" t="n"/>
      <c r="AN131" s="29" t="n"/>
      <c r="AO131" s="29" t="n"/>
      <c r="AP131" s="29" t="n"/>
      <c r="AQ131" s="29" t="n"/>
      <c r="AR131" s="29" t="n"/>
      <c r="AS131" s="29" t="n"/>
      <c r="AT131" s="29" t="n"/>
    </row>
    <row r="132" ht="15" customHeight="1" s="67">
      <c r="A132" s="6" t="n"/>
      <c r="B132" s="19" t="n"/>
      <c r="C132" s="98" t="n"/>
      <c r="D132" s="19" t="n"/>
      <c r="E132" s="98" t="n"/>
      <c r="F132" s="98" t="n"/>
      <c r="G132" s="98" t="n"/>
      <c r="H132" s="98" t="n"/>
      <c r="I132" s="98" t="n"/>
      <c r="J132" s="98" t="n"/>
      <c r="K132" s="98" t="n"/>
      <c r="L132" s="98" t="n"/>
      <c r="M132" s="98" t="n"/>
      <c r="N132" s="99" t="n"/>
      <c r="O132" s="100" t="n"/>
      <c r="P132" s="100" t="n"/>
      <c r="Q132" s="100" t="n"/>
      <c r="R132" s="100" t="n"/>
      <c r="S132" s="100" t="n"/>
      <c r="T132" s="101" t="n"/>
      <c r="U132" s="24" t="n"/>
      <c r="V132" s="102" t="n"/>
      <c r="W132" s="24" t="n"/>
      <c r="X132" s="26" t="n"/>
      <c r="Y132" s="26" t="n"/>
      <c r="Z132" s="26" t="n"/>
      <c r="AA132" s="26" t="n"/>
      <c r="AB132" s="26" t="n"/>
      <c r="AC132" s="26" t="n"/>
      <c r="AD132" s="26" t="n"/>
      <c r="AE132" s="27" t="n"/>
      <c r="AF132" s="27" t="n"/>
      <c r="AG132" s="28" t="n"/>
      <c r="AH132" s="29" t="n"/>
      <c r="AI132" s="29" t="n"/>
      <c r="AJ132" s="29" t="n"/>
      <c r="AK132" s="29" t="n"/>
      <c r="AL132" s="29" t="n"/>
      <c r="AM132" s="29" t="n"/>
      <c r="AN132" s="29" t="n"/>
      <c r="AO132" s="29" t="n"/>
      <c r="AP132" s="29" t="n"/>
      <c r="AQ132" s="29" t="n"/>
      <c r="AR132" s="29" t="n"/>
      <c r="AS132" s="29" t="n"/>
      <c r="AT132" s="29" t="n"/>
    </row>
    <row r="133" ht="15" customHeight="1" s="67">
      <c r="A133" s="6" t="n"/>
      <c r="B133" s="19" t="n"/>
      <c r="C133" s="98" t="n"/>
      <c r="D133" s="19" t="n"/>
      <c r="E133" s="98" t="n"/>
      <c r="F133" s="98" t="n"/>
      <c r="G133" s="98" t="n"/>
      <c r="H133" s="98" t="n"/>
      <c r="I133" s="98" t="n"/>
      <c r="J133" s="98" t="n"/>
      <c r="K133" s="98" t="n"/>
      <c r="L133" s="98" t="n"/>
      <c r="M133" s="98" t="n"/>
      <c r="N133" s="99" t="n"/>
      <c r="O133" s="100" t="n"/>
      <c r="P133" s="100" t="n"/>
      <c r="Q133" s="100" t="n"/>
      <c r="R133" s="100" t="n"/>
      <c r="S133" s="100" t="n"/>
      <c r="T133" s="101" t="n"/>
      <c r="U133" s="24" t="n"/>
      <c r="V133" s="102" t="n"/>
      <c r="W133" s="24" t="n"/>
      <c r="X133" s="26" t="n"/>
      <c r="Y133" s="26" t="n"/>
      <c r="Z133" s="26" t="n"/>
      <c r="AA133" s="26" t="n"/>
      <c r="AB133" s="26" t="n"/>
      <c r="AC133" s="26" t="n"/>
      <c r="AD133" s="26" t="n"/>
      <c r="AE133" s="27" t="n"/>
      <c r="AF133" s="27" t="n"/>
      <c r="AG133" s="28" t="n"/>
      <c r="AH133" s="29" t="n"/>
      <c r="AI133" s="29" t="n"/>
      <c r="AJ133" s="29" t="n"/>
      <c r="AK133" s="29" t="n"/>
      <c r="AL133" s="29" t="n"/>
      <c r="AM133" s="29" t="n"/>
      <c r="AN133" s="29" t="n"/>
      <c r="AO133" s="29" t="n"/>
      <c r="AP133" s="29" t="n"/>
      <c r="AQ133" s="29" t="n"/>
      <c r="AR133" s="29" t="n"/>
      <c r="AS133" s="29" t="n"/>
      <c r="AT133" s="29" t="n"/>
    </row>
    <row r="134" ht="15" customHeight="1" s="67">
      <c r="A134" s="6" t="n"/>
      <c r="B134" s="19" t="n"/>
      <c r="C134" s="98" t="n"/>
      <c r="D134" s="19" t="n"/>
      <c r="E134" s="98" t="n"/>
      <c r="F134" s="98" t="n"/>
      <c r="G134" s="98" t="n"/>
      <c r="H134" s="98" t="n"/>
      <c r="I134" s="98" t="n"/>
      <c r="J134" s="98" t="n"/>
      <c r="K134" s="98" t="n"/>
      <c r="L134" s="98" t="n"/>
      <c r="M134" s="98" t="n"/>
      <c r="N134" s="99" t="n"/>
      <c r="O134" s="100" t="n"/>
      <c r="P134" s="100" t="n"/>
      <c r="Q134" s="100" t="n"/>
      <c r="R134" s="100" t="n"/>
      <c r="S134" s="100" t="n"/>
      <c r="T134" s="101" t="n"/>
      <c r="U134" s="24" t="n"/>
      <c r="V134" s="102" t="n"/>
      <c r="W134" s="24" t="n"/>
      <c r="X134" s="26" t="n"/>
      <c r="Y134" s="26" t="n"/>
      <c r="Z134" s="26" t="n"/>
      <c r="AA134" s="26" t="n"/>
      <c r="AB134" s="26" t="n"/>
      <c r="AC134" s="26" t="n"/>
      <c r="AD134" s="26" t="n"/>
      <c r="AE134" s="27" t="n"/>
      <c r="AF134" s="27" t="n"/>
      <c r="AG134" s="28" t="n"/>
      <c r="AH134" s="29" t="n"/>
      <c r="AI134" s="29" t="n"/>
      <c r="AJ134" s="29" t="n"/>
      <c r="AK134" s="29" t="n"/>
      <c r="AL134" s="29" t="n"/>
      <c r="AM134" s="29" t="n"/>
      <c r="AN134" s="29" t="n"/>
      <c r="AO134" s="29" t="n"/>
      <c r="AP134" s="29" t="n"/>
      <c r="AQ134" s="29" t="n"/>
      <c r="AR134" s="29" t="n"/>
      <c r="AS134" s="29" t="n"/>
      <c r="AT134" s="29" t="n"/>
    </row>
    <row r="135" ht="15" customHeight="1" s="67">
      <c r="A135" s="6" t="n"/>
      <c r="B135" s="19" t="n"/>
      <c r="C135" s="98" t="n"/>
      <c r="D135" s="19" t="n"/>
      <c r="E135" s="98" t="n"/>
      <c r="F135" s="98" t="n"/>
      <c r="G135" s="98" t="n"/>
      <c r="H135" s="98" t="n"/>
      <c r="I135" s="98" t="n"/>
      <c r="J135" s="98" t="n"/>
      <c r="K135" s="98" t="n"/>
      <c r="L135" s="98" t="n"/>
      <c r="M135" s="98" t="n"/>
      <c r="N135" s="99" t="n"/>
      <c r="O135" s="100" t="n"/>
      <c r="P135" s="100" t="n"/>
      <c r="Q135" s="100" t="n"/>
      <c r="R135" s="100" t="n"/>
      <c r="S135" s="100" t="n"/>
      <c r="T135" s="101" t="n"/>
      <c r="U135" s="24" t="n"/>
      <c r="V135" s="102" t="n"/>
      <c r="W135" s="24" t="n"/>
      <c r="X135" s="26" t="n"/>
      <c r="Y135" s="26" t="n"/>
      <c r="Z135" s="26" t="n"/>
      <c r="AA135" s="26" t="n"/>
      <c r="AB135" s="26" t="n"/>
      <c r="AC135" s="26" t="n"/>
      <c r="AD135" s="26" t="n"/>
      <c r="AE135" s="27" t="n"/>
      <c r="AF135" s="27" t="n"/>
      <c r="AG135" s="28" t="n"/>
      <c r="AH135" s="29" t="n"/>
      <c r="AI135" s="29" t="n"/>
      <c r="AJ135" s="29" t="n"/>
      <c r="AK135" s="29" t="n"/>
      <c r="AL135" s="29" t="n"/>
      <c r="AM135" s="29" t="n"/>
      <c r="AN135" s="29" t="n"/>
      <c r="AO135" s="29" t="n"/>
      <c r="AP135" s="29" t="n"/>
      <c r="AQ135" s="29" t="n"/>
      <c r="AR135" s="29" t="n"/>
      <c r="AS135" s="29" t="n"/>
      <c r="AT135" s="29" t="n"/>
    </row>
    <row r="136" ht="15" customHeight="1" s="67">
      <c r="A136" s="6" t="n"/>
      <c r="B136" s="19" t="n"/>
      <c r="C136" s="98" t="n"/>
      <c r="D136" s="19" t="n"/>
      <c r="E136" s="98" t="n"/>
      <c r="F136" s="98" t="n"/>
      <c r="G136" s="98" t="n"/>
      <c r="H136" s="98" t="n"/>
      <c r="I136" s="98" t="n"/>
      <c r="J136" s="98" t="n"/>
      <c r="K136" s="98" t="n"/>
      <c r="L136" s="98" t="n"/>
      <c r="M136" s="98" t="n"/>
      <c r="N136" s="99" t="n"/>
      <c r="O136" s="100" t="n"/>
      <c r="P136" s="100" t="n"/>
      <c r="Q136" s="100" t="n"/>
      <c r="R136" s="100" t="n"/>
      <c r="S136" s="100" t="n"/>
      <c r="T136" s="101" t="n"/>
      <c r="U136" s="24" t="n"/>
      <c r="V136" s="102" t="n"/>
      <c r="W136" s="24" t="n"/>
      <c r="X136" s="26" t="n"/>
      <c r="Y136" s="26" t="n"/>
      <c r="Z136" s="26" t="n"/>
      <c r="AA136" s="26" t="n"/>
      <c r="AB136" s="26" t="n"/>
      <c r="AC136" s="26" t="n"/>
      <c r="AD136" s="26" t="n"/>
      <c r="AE136" s="27" t="n"/>
      <c r="AF136" s="27" t="n"/>
      <c r="AG136" s="28" t="n"/>
      <c r="AH136" s="29" t="n"/>
      <c r="AI136" s="29" t="n"/>
      <c r="AJ136" s="29" t="n"/>
      <c r="AK136" s="29" t="n"/>
      <c r="AL136" s="29" t="n"/>
      <c r="AM136" s="29" t="n"/>
      <c r="AN136" s="29" t="n"/>
      <c r="AO136" s="29" t="n"/>
      <c r="AP136" s="29" t="n"/>
      <c r="AQ136" s="29" t="n"/>
      <c r="AR136" s="29" t="n"/>
      <c r="AS136" s="29" t="n"/>
      <c r="AT136" s="29" t="n"/>
    </row>
    <row r="137" ht="15" customHeight="1" s="67">
      <c r="A137" s="6" t="n"/>
      <c r="B137" s="19" t="n"/>
      <c r="C137" s="98" t="n"/>
      <c r="D137" s="19" t="n"/>
      <c r="E137" s="98" t="n"/>
      <c r="F137" s="98" t="n"/>
      <c r="G137" s="98" t="n"/>
      <c r="H137" s="98" t="n"/>
      <c r="I137" s="98" t="n"/>
      <c r="J137" s="98" t="n"/>
      <c r="K137" s="98" t="n"/>
      <c r="L137" s="98" t="n"/>
      <c r="M137" s="98" t="n"/>
      <c r="N137" s="99" t="n"/>
      <c r="O137" s="100" t="n"/>
      <c r="P137" s="100" t="n"/>
      <c r="Q137" s="100" t="n"/>
      <c r="R137" s="100" t="n"/>
      <c r="S137" s="100" t="n"/>
      <c r="T137" s="101" t="n"/>
      <c r="U137" s="24" t="n"/>
      <c r="V137" s="102" t="n"/>
      <c r="W137" s="24" t="n"/>
      <c r="X137" s="26" t="n"/>
      <c r="Y137" s="26" t="n"/>
      <c r="Z137" s="26" t="n"/>
      <c r="AA137" s="26" t="n"/>
      <c r="AB137" s="26" t="n"/>
      <c r="AC137" s="26" t="n"/>
      <c r="AD137" s="26" t="n"/>
      <c r="AE137" s="27" t="n"/>
      <c r="AF137" s="27" t="n"/>
      <c r="AG137" s="28" t="n"/>
      <c r="AH137" s="29" t="n"/>
      <c r="AI137" s="29" t="n"/>
      <c r="AJ137" s="29" t="n"/>
      <c r="AK137" s="29" t="n"/>
      <c r="AL137" s="29" t="n"/>
      <c r="AM137" s="29" t="n"/>
      <c r="AN137" s="29" t="n"/>
      <c r="AO137" s="29" t="n"/>
      <c r="AP137" s="29" t="n"/>
      <c r="AQ137" s="29" t="n"/>
      <c r="AR137" s="29" t="n"/>
      <c r="AS137" s="29" t="n"/>
      <c r="AT137" s="29" t="n"/>
    </row>
    <row r="138" ht="15" customHeight="1" s="67">
      <c r="A138" s="6" t="n"/>
      <c r="B138" s="19" t="n"/>
      <c r="C138" s="98" t="n"/>
      <c r="D138" s="19" t="n"/>
      <c r="E138" s="98" t="n"/>
      <c r="F138" s="98" t="n"/>
      <c r="G138" s="98" t="n"/>
      <c r="H138" s="98" t="n"/>
      <c r="I138" s="98" t="n"/>
      <c r="J138" s="98" t="n"/>
      <c r="K138" s="98" t="n"/>
      <c r="L138" s="98" t="n"/>
      <c r="M138" s="98" t="n"/>
      <c r="N138" s="99" t="n"/>
      <c r="O138" s="100" t="n"/>
      <c r="P138" s="100" t="n"/>
      <c r="Q138" s="100" t="n"/>
      <c r="R138" s="100" t="n"/>
      <c r="S138" s="100" t="n"/>
      <c r="T138" s="101" t="n"/>
      <c r="U138" s="24" t="n"/>
      <c r="V138" s="102" t="n"/>
      <c r="W138" s="24" t="n"/>
      <c r="X138" s="26" t="n"/>
      <c r="Y138" s="26" t="n"/>
      <c r="Z138" s="26" t="n"/>
      <c r="AA138" s="26" t="n"/>
      <c r="AB138" s="26" t="n"/>
      <c r="AC138" s="26" t="n"/>
      <c r="AD138" s="26" t="n"/>
      <c r="AE138" s="27" t="n"/>
      <c r="AF138" s="27" t="n"/>
      <c r="AG138" s="28" t="n"/>
      <c r="AH138" s="29" t="n"/>
      <c r="AI138" s="29" t="n"/>
      <c r="AJ138" s="29" t="n"/>
      <c r="AK138" s="29" t="n"/>
      <c r="AL138" s="29" t="n"/>
      <c r="AM138" s="29" t="n"/>
      <c r="AN138" s="29" t="n"/>
      <c r="AO138" s="29" t="n"/>
      <c r="AP138" s="29" t="n"/>
      <c r="AQ138" s="29" t="n"/>
      <c r="AR138" s="29" t="n"/>
      <c r="AS138" s="29" t="n"/>
      <c r="AT138" s="29" t="n"/>
    </row>
    <row r="139" ht="15" customHeight="1" s="67">
      <c r="A139" s="6" t="n"/>
      <c r="B139" s="19" t="n"/>
      <c r="C139" s="98" t="n"/>
      <c r="D139" s="19" t="n"/>
      <c r="E139" s="98" t="n"/>
      <c r="F139" s="98" t="n"/>
      <c r="G139" s="98" t="n"/>
      <c r="H139" s="98" t="n"/>
      <c r="I139" s="98" t="n"/>
      <c r="J139" s="98" t="n"/>
      <c r="K139" s="98" t="n"/>
      <c r="L139" s="98" t="n"/>
      <c r="M139" s="98" t="n"/>
      <c r="N139" s="99" t="n"/>
      <c r="O139" s="100" t="n"/>
      <c r="P139" s="100" t="n"/>
      <c r="Q139" s="100" t="n"/>
      <c r="R139" s="100" t="n"/>
      <c r="S139" s="100" t="n"/>
      <c r="T139" s="101" t="n"/>
      <c r="U139" s="24" t="n"/>
      <c r="V139" s="102" t="n"/>
      <c r="W139" s="24" t="n"/>
      <c r="X139" s="26" t="n"/>
      <c r="Y139" s="26" t="n"/>
      <c r="Z139" s="26" t="n"/>
      <c r="AA139" s="26" t="n"/>
      <c r="AB139" s="26" t="n"/>
      <c r="AC139" s="26" t="n"/>
      <c r="AD139" s="26" t="n"/>
      <c r="AE139" s="27" t="n"/>
      <c r="AF139" s="27" t="n"/>
      <c r="AG139" s="28" t="n"/>
      <c r="AH139" s="29" t="n"/>
      <c r="AI139" s="29" t="n"/>
      <c r="AJ139" s="29" t="n"/>
      <c r="AK139" s="29" t="n"/>
      <c r="AL139" s="29" t="n"/>
      <c r="AM139" s="29" t="n"/>
      <c r="AN139" s="29" t="n"/>
      <c r="AO139" s="29" t="n"/>
      <c r="AP139" s="29" t="n"/>
      <c r="AQ139" s="29" t="n"/>
      <c r="AR139" s="29" t="n"/>
      <c r="AS139" s="29" t="n"/>
      <c r="AT139" s="29" t="n"/>
    </row>
    <row r="140" ht="15" customHeight="1" s="67">
      <c r="A140" s="6" t="n"/>
      <c r="B140" s="19" t="n"/>
      <c r="C140" s="98" t="n"/>
      <c r="D140" s="19" t="n"/>
      <c r="E140" s="98" t="n"/>
      <c r="F140" s="98" t="n"/>
      <c r="G140" s="98" t="n"/>
      <c r="H140" s="98" t="n"/>
      <c r="I140" s="98" t="n"/>
      <c r="J140" s="98" t="n"/>
      <c r="K140" s="98" t="n"/>
      <c r="L140" s="98" t="n"/>
      <c r="M140" s="98" t="n"/>
      <c r="N140" s="99" t="n"/>
      <c r="O140" s="100" t="n"/>
      <c r="P140" s="100" t="n"/>
      <c r="Q140" s="100" t="n"/>
      <c r="R140" s="100" t="n"/>
      <c r="S140" s="100" t="n"/>
      <c r="T140" s="101" t="n"/>
      <c r="U140" s="24" t="n"/>
      <c r="V140" s="102" t="n"/>
      <c r="W140" s="24" t="n"/>
      <c r="X140" s="26" t="n"/>
      <c r="Y140" s="26" t="n"/>
      <c r="Z140" s="26" t="n"/>
      <c r="AA140" s="26" t="n"/>
      <c r="AB140" s="26" t="n"/>
      <c r="AC140" s="26" t="n"/>
      <c r="AD140" s="26" t="n"/>
      <c r="AE140" s="27" t="n"/>
      <c r="AF140" s="27" t="n"/>
      <c r="AG140" s="28" t="n"/>
      <c r="AH140" s="29" t="n"/>
      <c r="AI140" s="29" t="n"/>
      <c r="AJ140" s="29" t="n"/>
      <c r="AK140" s="29" t="n"/>
      <c r="AL140" s="29" t="n"/>
      <c r="AM140" s="29" t="n"/>
      <c r="AN140" s="29" t="n"/>
      <c r="AO140" s="29" t="n"/>
      <c r="AP140" s="29" t="n"/>
      <c r="AQ140" s="29" t="n"/>
      <c r="AR140" s="29" t="n"/>
      <c r="AS140" s="29" t="n"/>
      <c r="AT140" s="29" t="n"/>
    </row>
    <row r="141" ht="15" customHeight="1" s="67">
      <c r="A141" s="6" t="n"/>
      <c r="B141" s="19" t="n"/>
      <c r="C141" s="98" t="n"/>
      <c r="D141" s="19" t="n"/>
      <c r="E141" s="98" t="n"/>
      <c r="F141" s="98" t="n"/>
      <c r="G141" s="98" t="n"/>
      <c r="H141" s="98" t="n"/>
      <c r="I141" s="98" t="n"/>
      <c r="J141" s="98" t="n"/>
      <c r="K141" s="98" t="n"/>
      <c r="L141" s="98" t="n"/>
      <c r="M141" s="98" t="n"/>
      <c r="N141" s="99" t="n"/>
      <c r="O141" s="100" t="n"/>
      <c r="P141" s="100" t="n"/>
      <c r="Q141" s="100" t="n"/>
      <c r="R141" s="100" t="n"/>
      <c r="S141" s="100" t="n"/>
      <c r="T141" s="101" t="n"/>
      <c r="U141" s="24" t="n"/>
      <c r="V141" s="102" t="n"/>
      <c r="W141" s="24" t="n"/>
      <c r="X141" s="26" t="n"/>
      <c r="Y141" s="26" t="n"/>
      <c r="Z141" s="26" t="n"/>
      <c r="AA141" s="26" t="n"/>
      <c r="AB141" s="26" t="n"/>
      <c r="AC141" s="26" t="n"/>
      <c r="AD141" s="26" t="n"/>
      <c r="AE141" s="27" t="n"/>
      <c r="AF141" s="27" t="n"/>
      <c r="AG141" s="28" t="n"/>
      <c r="AH141" s="29" t="n"/>
      <c r="AI141" s="29" t="n"/>
      <c r="AJ141" s="29" t="n"/>
      <c r="AK141" s="29" t="n"/>
      <c r="AL141" s="29" t="n"/>
      <c r="AM141" s="29" t="n"/>
      <c r="AN141" s="29" t="n"/>
      <c r="AO141" s="29" t="n"/>
      <c r="AP141" s="29" t="n"/>
      <c r="AQ141" s="29" t="n"/>
      <c r="AR141" s="29" t="n"/>
      <c r="AS141" s="29" t="n"/>
      <c r="AT141" s="29" t="n"/>
    </row>
    <row r="142" ht="15" customHeight="1" s="67">
      <c r="A142" s="6" t="n"/>
      <c r="B142" s="19" t="n"/>
      <c r="C142" s="98" t="n"/>
      <c r="D142" s="19" t="n"/>
      <c r="E142" s="98" t="n"/>
      <c r="F142" s="98" t="n"/>
      <c r="G142" s="98" t="n"/>
      <c r="H142" s="98" t="n"/>
      <c r="I142" s="98" t="n"/>
      <c r="J142" s="98" t="n"/>
      <c r="K142" s="98" t="n"/>
      <c r="L142" s="98" t="n"/>
      <c r="M142" s="98" t="n"/>
      <c r="N142" s="99" t="n"/>
      <c r="O142" s="100" t="n"/>
      <c r="P142" s="100" t="n"/>
      <c r="Q142" s="100" t="n"/>
      <c r="R142" s="100" t="n"/>
      <c r="S142" s="100" t="n"/>
      <c r="T142" s="101" t="n"/>
      <c r="U142" s="24" t="n"/>
      <c r="V142" s="102" t="n"/>
      <c r="W142" s="24" t="n"/>
      <c r="X142" s="26" t="n"/>
      <c r="Y142" s="26" t="n"/>
      <c r="Z142" s="26" t="n"/>
      <c r="AA142" s="26" t="n"/>
      <c r="AB142" s="26" t="n"/>
      <c r="AC142" s="26" t="n"/>
      <c r="AD142" s="26" t="n"/>
      <c r="AE142" s="27" t="n"/>
      <c r="AF142" s="27" t="n"/>
      <c r="AG142" s="28" t="n"/>
      <c r="AH142" s="29" t="n"/>
      <c r="AI142" s="29" t="n"/>
      <c r="AJ142" s="29" t="n"/>
      <c r="AK142" s="29" t="n"/>
      <c r="AL142" s="29" t="n"/>
      <c r="AM142" s="29" t="n"/>
      <c r="AN142" s="29" t="n"/>
      <c r="AO142" s="29" t="n"/>
      <c r="AP142" s="29" t="n"/>
      <c r="AQ142" s="29" t="n"/>
      <c r="AR142" s="29" t="n"/>
      <c r="AS142" s="29" t="n"/>
      <c r="AT142" s="29" t="n"/>
    </row>
    <row r="143" ht="15" customHeight="1" s="67">
      <c r="A143" s="6" t="n"/>
      <c r="B143" s="19" t="n"/>
      <c r="C143" s="98" t="n"/>
      <c r="D143" s="19" t="n"/>
      <c r="E143" s="98" t="n"/>
      <c r="F143" s="98" t="n"/>
      <c r="G143" s="98" t="n"/>
      <c r="H143" s="98" t="n"/>
      <c r="I143" s="98" t="n"/>
      <c r="J143" s="98" t="n"/>
      <c r="K143" s="98" t="n"/>
      <c r="L143" s="98" t="n"/>
      <c r="M143" s="98" t="n"/>
      <c r="N143" s="99" t="n"/>
      <c r="O143" s="100" t="n"/>
      <c r="P143" s="100" t="n"/>
      <c r="Q143" s="100" t="n"/>
      <c r="R143" s="100" t="n"/>
      <c r="S143" s="100" t="n"/>
      <c r="T143" s="101" t="n"/>
      <c r="U143" s="24" t="n"/>
      <c r="V143" s="102" t="n"/>
      <c r="W143" s="24" t="n"/>
      <c r="X143" s="26" t="n"/>
      <c r="Y143" s="26" t="n"/>
      <c r="Z143" s="26" t="n"/>
      <c r="AA143" s="26" t="n"/>
      <c r="AB143" s="26" t="n"/>
      <c r="AC143" s="26" t="n"/>
      <c r="AD143" s="26" t="n"/>
      <c r="AE143" s="27" t="n"/>
      <c r="AF143" s="27" t="n"/>
      <c r="AG143" s="28" t="n"/>
      <c r="AH143" s="29" t="n"/>
      <c r="AI143" s="29" t="n"/>
      <c r="AJ143" s="29" t="n"/>
      <c r="AK143" s="29" t="n"/>
      <c r="AL143" s="29" t="n"/>
      <c r="AM143" s="29" t="n"/>
      <c r="AN143" s="29" t="n"/>
      <c r="AO143" s="29" t="n"/>
      <c r="AP143" s="29" t="n"/>
      <c r="AQ143" s="29" t="n"/>
      <c r="AR143" s="29" t="n"/>
      <c r="AS143" s="29" t="n"/>
      <c r="AT143" s="29" t="n"/>
    </row>
    <row r="144" ht="15" customHeight="1" s="67">
      <c r="A144" s="6" t="n"/>
      <c r="B144" s="19" t="n"/>
      <c r="C144" s="98" t="n"/>
      <c r="D144" s="19" t="n"/>
      <c r="E144" s="98" t="n"/>
      <c r="F144" s="98" t="n"/>
      <c r="G144" s="98" t="n"/>
      <c r="H144" s="98" t="n"/>
      <c r="I144" s="98" t="n"/>
      <c r="J144" s="98" t="n"/>
      <c r="K144" s="98" t="n"/>
      <c r="L144" s="98" t="n"/>
      <c r="M144" s="98" t="n"/>
      <c r="N144" s="99" t="n"/>
      <c r="O144" s="100" t="n"/>
      <c r="P144" s="100" t="n"/>
      <c r="Q144" s="100" t="n"/>
      <c r="R144" s="100" t="n"/>
      <c r="S144" s="100" t="n"/>
      <c r="T144" s="101" t="n"/>
      <c r="U144" s="24" t="n"/>
      <c r="V144" s="102" t="n"/>
      <c r="W144" s="24" t="n"/>
      <c r="X144" s="26" t="n"/>
      <c r="Y144" s="26" t="n"/>
      <c r="Z144" s="26" t="n"/>
      <c r="AA144" s="26" t="n"/>
      <c r="AB144" s="26" t="n"/>
      <c r="AC144" s="26" t="n"/>
      <c r="AD144" s="26" t="n"/>
      <c r="AE144" s="27" t="n"/>
      <c r="AF144" s="27" t="n"/>
      <c r="AG144" s="28" t="n"/>
      <c r="AH144" s="29" t="n"/>
      <c r="AI144" s="29" t="n"/>
      <c r="AJ144" s="29" t="n"/>
      <c r="AK144" s="29" t="n"/>
      <c r="AL144" s="29" t="n"/>
      <c r="AM144" s="29" t="n"/>
      <c r="AN144" s="29" t="n"/>
      <c r="AO144" s="29" t="n"/>
      <c r="AP144" s="29" t="n"/>
      <c r="AQ144" s="29" t="n"/>
      <c r="AR144" s="29" t="n"/>
      <c r="AS144" s="29" t="n"/>
      <c r="AT144" s="29" t="n"/>
    </row>
    <row r="145" ht="15" customHeight="1" s="67">
      <c r="A145" s="6" t="n"/>
      <c r="B145" s="19" t="n"/>
      <c r="C145" s="98" t="n"/>
      <c r="D145" s="19" t="n"/>
      <c r="E145" s="98" t="n"/>
      <c r="F145" s="98" t="n"/>
      <c r="G145" s="98" t="n"/>
      <c r="H145" s="98" t="n"/>
      <c r="I145" s="98" t="n"/>
      <c r="J145" s="98" t="n"/>
      <c r="K145" s="98" t="n"/>
      <c r="L145" s="98" t="n"/>
      <c r="M145" s="98" t="n"/>
      <c r="N145" s="99" t="n"/>
      <c r="O145" s="100" t="n"/>
      <c r="P145" s="100" t="n"/>
      <c r="Q145" s="100" t="n"/>
      <c r="R145" s="100" t="n"/>
      <c r="S145" s="100" t="n"/>
      <c r="T145" s="101" t="n"/>
      <c r="U145" s="24" t="n"/>
      <c r="V145" s="102" t="n"/>
      <c r="W145" s="24" t="n"/>
      <c r="X145" s="26" t="n"/>
      <c r="Y145" s="26" t="n"/>
      <c r="Z145" s="26" t="n"/>
      <c r="AA145" s="26" t="n"/>
      <c r="AB145" s="26" t="n"/>
      <c r="AC145" s="26" t="n"/>
      <c r="AD145" s="26" t="n"/>
      <c r="AE145" s="27" t="n"/>
      <c r="AF145" s="27" t="n"/>
      <c r="AG145" s="28" t="n"/>
      <c r="AH145" s="29" t="n"/>
      <c r="AI145" s="29" t="n"/>
      <c r="AJ145" s="29" t="n"/>
      <c r="AK145" s="29" t="n"/>
      <c r="AL145" s="29" t="n"/>
      <c r="AM145" s="29" t="n"/>
      <c r="AN145" s="29" t="n"/>
      <c r="AO145" s="29" t="n"/>
      <c r="AP145" s="29" t="n"/>
      <c r="AQ145" s="29" t="n"/>
      <c r="AR145" s="29" t="n"/>
      <c r="AS145" s="29" t="n"/>
      <c r="AT145" s="29" t="n"/>
    </row>
    <row r="146" ht="15" customHeight="1" s="67">
      <c r="A146" s="6" t="n"/>
      <c r="B146" s="19" t="n"/>
      <c r="C146" s="98" t="n"/>
      <c r="D146" s="19" t="n"/>
      <c r="E146" s="98" t="n"/>
      <c r="F146" s="98" t="n"/>
      <c r="G146" s="98" t="n"/>
      <c r="H146" s="98" t="n"/>
      <c r="I146" s="98" t="n"/>
      <c r="J146" s="98" t="n"/>
      <c r="K146" s="98" t="n"/>
      <c r="L146" s="98" t="n"/>
      <c r="M146" s="98" t="n"/>
      <c r="N146" s="99" t="n"/>
      <c r="O146" s="100" t="n"/>
      <c r="P146" s="100" t="n"/>
      <c r="Q146" s="100" t="n"/>
      <c r="R146" s="100" t="n"/>
      <c r="S146" s="100" t="n"/>
      <c r="T146" s="101" t="n"/>
      <c r="U146" s="24" t="n"/>
      <c r="V146" s="102" t="n"/>
      <c r="W146" s="24" t="n"/>
      <c r="X146" s="26" t="n"/>
      <c r="Y146" s="26" t="n"/>
      <c r="Z146" s="26" t="n"/>
      <c r="AA146" s="26" t="n"/>
      <c r="AB146" s="26" t="n"/>
      <c r="AC146" s="26" t="n"/>
      <c r="AD146" s="26" t="n"/>
      <c r="AE146" s="27" t="n"/>
      <c r="AF146" s="27" t="n"/>
      <c r="AG146" s="28" t="n"/>
      <c r="AH146" s="29" t="n"/>
      <c r="AI146" s="29" t="n"/>
      <c r="AJ146" s="29" t="n"/>
      <c r="AK146" s="29" t="n"/>
      <c r="AL146" s="29" t="n"/>
      <c r="AM146" s="29" t="n"/>
      <c r="AN146" s="29" t="n"/>
      <c r="AO146" s="29" t="n"/>
      <c r="AP146" s="29" t="n"/>
      <c r="AQ146" s="29" t="n"/>
      <c r="AR146" s="29" t="n"/>
      <c r="AS146" s="29" t="n"/>
      <c r="AT146" s="29" t="n"/>
    </row>
    <row r="147" ht="15" customHeight="1" s="67">
      <c r="A147" s="6" t="n"/>
      <c r="B147" s="19" t="n"/>
      <c r="C147" s="98" t="n"/>
      <c r="D147" s="19" t="n"/>
      <c r="E147" s="98" t="n"/>
      <c r="F147" s="98" t="n"/>
      <c r="G147" s="98" t="n"/>
      <c r="H147" s="98" t="n"/>
      <c r="I147" s="98" t="n"/>
      <c r="J147" s="98" t="n"/>
      <c r="K147" s="98" t="n"/>
      <c r="L147" s="98" t="n"/>
      <c r="M147" s="98" t="n"/>
      <c r="N147" s="99" t="n"/>
      <c r="O147" s="100" t="n"/>
      <c r="P147" s="100" t="n"/>
      <c r="Q147" s="100" t="n"/>
      <c r="R147" s="100" t="n"/>
      <c r="S147" s="100" t="n"/>
      <c r="T147" s="101" t="n"/>
      <c r="U147" s="24" t="n"/>
      <c r="V147" s="102" t="n"/>
      <c r="W147" s="24" t="n"/>
      <c r="X147" s="26" t="n"/>
      <c r="Y147" s="26" t="n"/>
      <c r="Z147" s="26" t="n"/>
      <c r="AA147" s="26" t="n"/>
      <c r="AB147" s="26" t="n"/>
      <c r="AC147" s="26" t="n"/>
      <c r="AD147" s="26" t="n"/>
      <c r="AE147" s="27" t="n"/>
      <c r="AF147" s="27" t="n"/>
      <c r="AG147" s="28" t="n"/>
      <c r="AH147" s="29" t="n"/>
      <c r="AI147" s="29" t="n"/>
      <c r="AJ147" s="29" t="n"/>
      <c r="AK147" s="29" t="n"/>
      <c r="AL147" s="29" t="n"/>
      <c r="AM147" s="29" t="n"/>
      <c r="AN147" s="29" t="n"/>
      <c r="AO147" s="29" t="n"/>
      <c r="AP147" s="29" t="n"/>
      <c r="AQ147" s="29" t="n"/>
      <c r="AR147" s="29" t="n"/>
      <c r="AS147" s="29" t="n"/>
      <c r="AT147" s="29" t="n"/>
    </row>
    <row r="148" ht="15" customHeight="1" s="67">
      <c r="A148" s="6" t="n"/>
      <c r="B148" s="19" t="n"/>
      <c r="C148" s="98" t="n"/>
      <c r="D148" s="19" t="n"/>
      <c r="E148" s="98" t="n"/>
      <c r="F148" s="98" t="n"/>
      <c r="G148" s="98" t="n"/>
      <c r="H148" s="98" t="n"/>
      <c r="I148" s="98" t="n"/>
      <c r="J148" s="98" t="n"/>
      <c r="K148" s="98" t="n"/>
      <c r="L148" s="98" t="n"/>
      <c r="M148" s="98" t="n"/>
      <c r="N148" s="99" t="n"/>
      <c r="O148" s="100" t="n"/>
      <c r="P148" s="100" t="n"/>
      <c r="Q148" s="100" t="n"/>
      <c r="R148" s="100" t="n"/>
      <c r="S148" s="100" t="n"/>
      <c r="T148" s="101" t="n"/>
      <c r="U148" s="24" t="n"/>
      <c r="V148" s="102" t="n"/>
      <c r="W148" s="24" t="n"/>
      <c r="X148" s="26" t="n"/>
      <c r="Y148" s="26" t="n"/>
      <c r="Z148" s="26" t="n"/>
      <c r="AA148" s="26" t="n"/>
      <c r="AB148" s="26" t="n"/>
      <c r="AC148" s="26" t="n"/>
      <c r="AD148" s="26" t="n"/>
      <c r="AE148" s="27" t="n"/>
      <c r="AF148" s="27" t="n"/>
      <c r="AG148" s="28" t="n"/>
      <c r="AH148" s="29" t="n"/>
      <c r="AI148" s="29" t="n"/>
      <c r="AJ148" s="29" t="n"/>
      <c r="AK148" s="29" t="n"/>
      <c r="AL148" s="29" t="n"/>
      <c r="AM148" s="29" t="n"/>
      <c r="AN148" s="29" t="n"/>
      <c r="AO148" s="29" t="n"/>
      <c r="AP148" s="29" t="n"/>
      <c r="AQ148" s="29" t="n"/>
      <c r="AR148" s="29" t="n"/>
      <c r="AS148" s="29" t="n"/>
      <c r="AT148" s="29" t="n"/>
    </row>
    <row r="149" ht="15" customHeight="1" s="67">
      <c r="A149" s="6" t="n"/>
      <c r="B149" s="19" t="n"/>
      <c r="C149" s="98" t="n"/>
      <c r="D149" s="19" t="n"/>
      <c r="E149" s="98" t="n"/>
      <c r="F149" s="98" t="n"/>
      <c r="G149" s="98" t="n"/>
      <c r="H149" s="98" t="n"/>
      <c r="I149" s="98" t="n"/>
      <c r="J149" s="98" t="n"/>
      <c r="K149" s="98" t="n"/>
      <c r="L149" s="98" t="n"/>
      <c r="M149" s="98" t="n"/>
      <c r="N149" s="99" t="n"/>
      <c r="O149" s="100" t="n"/>
      <c r="P149" s="100" t="n"/>
      <c r="Q149" s="100" t="n"/>
      <c r="R149" s="100" t="n"/>
      <c r="S149" s="100" t="n"/>
      <c r="T149" s="101" t="n"/>
      <c r="U149" s="24" t="n"/>
      <c r="V149" s="102" t="n"/>
      <c r="W149" s="24" t="n"/>
      <c r="X149" s="26" t="n"/>
      <c r="Y149" s="26" t="n"/>
      <c r="Z149" s="26" t="n"/>
      <c r="AA149" s="26" t="n"/>
      <c r="AB149" s="26" t="n"/>
      <c r="AC149" s="26" t="n"/>
      <c r="AD149" s="26" t="n"/>
      <c r="AE149" s="27" t="n"/>
      <c r="AF149" s="27" t="n"/>
      <c r="AG149" s="28" t="n"/>
      <c r="AH149" s="29" t="n"/>
      <c r="AI149" s="29" t="n"/>
      <c r="AJ149" s="29" t="n"/>
      <c r="AK149" s="29" t="n"/>
      <c r="AL149" s="29" t="n"/>
      <c r="AM149" s="29" t="n"/>
      <c r="AN149" s="29" t="n"/>
      <c r="AO149" s="29" t="n"/>
      <c r="AP149" s="29" t="n"/>
      <c r="AQ149" s="29" t="n"/>
      <c r="AR149" s="29" t="n"/>
      <c r="AS149" s="29" t="n"/>
      <c r="AT149" s="29" t="n"/>
    </row>
    <row r="150" ht="15" customHeight="1" s="67">
      <c r="A150" s="6" t="n"/>
      <c r="B150" s="19" t="n"/>
      <c r="C150" s="98" t="n"/>
      <c r="D150" s="19" t="n"/>
      <c r="E150" s="98" t="n"/>
      <c r="F150" s="98" t="n"/>
      <c r="G150" s="98" t="n"/>
      <c r="H150" s="98" t="n"/>
      <c r="I150" s="98" t="n"/>
      <c r="J150" s="98" t="n"/>
      <c r="K150" s="98" t="n"/>
      <c r="L150" s="98" t="n"/>
      <c r="M150" s="98" t="n"/>
      <c r="N150" s="99" t="n"/>
      <c r="O150" s="100" t="n"/>
      <c r="P150" s="100" t="n"/>
      <c r="Q150" s="100" t="n"/>
      <c r="R150" s="100" t="n"/>
      <c r="S150" s="100" t="n"/>
      <c r="T150" s="101" t="n"/>
      <c r="U150" s="24" t="n"/>
      <c r="V150" s="102" t="n"/>
      <c r="W150" s="24" t="n"/>
      <c r="X150" s="26" t="n"/>
      <c r="Y150" s="26" t="n"/>
      <c r="Z150" s="26" t="n"/>
      <c r="AA150" s="26" t="n"/>
      <c r="AB150" s="26" t="n"/>
      <c r="AC150" s="26" t="n"/>
      <c r="AD150" s="26" t="n"/>
      <c r="AE150" s="27" t="n"/>
      <c r="AF150" s="27" t="n"/>
      <c r="AG150" s="28" t="n"/>
      <c r="AH150" s="29" t="n"/>
      <c r="AI150" s="29" t="n"/>
      <c r="AJ150" s="29" t="n"/>
      <c r="AK150" s="29" t="n"/>
      <c r="AL150" s="29" t="n"/>
      <c r="AM150" s="29" t="n"/>
      <c r="AN150" s="29" t="n"/>
      <c r="AO150" s="29" t="n"/>
      <c r="AP150" s="29" t="n"/>
      <c r="AQ150" s="29" t="n"/>
      <c r="AR150" s="29" t="n"/>
      <c r="AS150" s="29" t="n"/>
      <c r="AT150" s="29" t="n"/>
    </row>
    <row r="151" ht="15" customHeight="1" s="67">
      <c r="A151" s="6" t="n"/>
      <c r="B151" s="19" t="n"/>
      <c r="C151" s="98" t="n"/>
      <c r="D151" s="19" t="n"/>
      <c r="E151" s="98" t="n"/>
      <c r="F151" s="98" t="n"/>
      <c r="G151" s="98" t="n"/>
      <c r="H151" s="98" t="n"/>
      <c r="I151" s="98" t="n"/>
      <c r="J151" s="98" t="n"/>
      <c r="K151" s="98" t="n"/>
      <c r="L151" s="98" t="n"/>
      <c r="M151" s="98" t="n"/>
      <c r="N151" s="99" t="n"/>
      <c r="O151" s="100" t="n"/>
      <c r="P151" s="100" t="n"/>
      <c r="Q151" s="100" t="n"/>
      <c r="R151" s="100" t="n"/>
      <c r="S151" s="100" t="n"/>
      <c r="T151" s="101" t="n"/>
      <c r="U151" s="24" t="n"/>
      <c r="V151" s="102" t="n"/>
      <c r="W151" s="24" t="n"/>
      <c r="X151" s="26" t="n"/>
      <c r="Y151" s="26" t="n"/>
      <c r="Z151" s="26" t="n"/>
      <c r="AA151" s="26" t="n"/>
      <c r="AB151" s="26" t="n"/>
      <c r="AC151" s="26" t="n"/>
      <c r="AD151" s="26" t="n"/>
      <c r="AE151" s="27" t="n"/>
      <c r="AF151" s="27" t="n"/>
      <c r="AG151" s="28" t="n"/>
      <c r="AH151" s="29" t="n"/>
      <c r="AI151" s="29" t="n"/>
      <c r="AJ151" s="29" t="n"/>
      <c r="AK151" s="29" t="n"/>
      <c r="AL151" s="29" t="n"/>
      <c r="AM151" s="29" t="n"/>
      <c r="AN151" s="29" t="n"/>
      <c r="AO151" s="29" t="n"/>
      <c r="AP151" s="29" t="n"/>
      <c r="AQ151" s="29" t="n"/>
      <c r="AR151" s="29" t="n"/>
      <c r="AS151" s="29" t="n"/>
      <c r="AT151" s="29" t="n"/>
    </row>
    <row r="152" ht="15" customHeight="1" s="67">
      <c r="A152" s="6" t="n"/>
      <c r="B152" s="19" t="n"/>
      <c r="C152" s="98" t="n"/>
      <c r="D152" s="19" t="n"/>
      <c r="E152" s="98" t="n"/>
      <c r="F152" s="98" t="n"/>
      <c r="G152" s="98" t="n"/>
      <c r="H152" s="98" t="n"/>
      <c r="I152" s="98" t="n"/>
      <c r="J152" s="98" t="n"/>
      <c r="K152" s="98" t="n"/>
      <c r="L152" s="98" t="n"/>
      <c r="M152" s="98" t="n"/>
      <c r="N152" s="99" t="n"/>
      <c r="O152" s="100" t="n"/>
      <c r="P152" s="100" t="n"/>
      <c r="Q152" s="100" t="n"/>
      <c r="R152" s="100" t="n"/>
      <c r="S152" s="100" t="n"/>
      <c r="T152" s="101" t="n"/>
      <c r="U152" s="24" t="n"/>
      <c r="V152" s="102" t="n"/>
      <c r="W152" s="24" t="n"/>
      <c r="X152" s="26" t="n"/>
      <c r="Y152" s="26" t="n"/>
      <c r="Z152" s="26" t="n"/>
      <c r="AA152" s="26" t="n"/>
      <c r="AB152" s="26" t="n"/>
      <c r="AC152" s="26" t="n"/>
      <c r="AD152" s="26" t="n"/>
      <c r="AE152" s="27" t="n"/>
      <c r="AF152" s="27" t="n"/>
      <c r="AG152" s="28" t="n"/>
      <c r="AH152" s="29" t="n"/>
      <c r="AI152" s="29" t="n"/>
      <c r="AJ152" s="29" t="n"/>
      <c r="AK152" s="29" t="n"/>
      <c r="AL152" s="29" t="n"/>
      <c r="AM152" s="29" t="n"/>
      <c r="AN152" s="29" t="n"/>
      <c r="AO152" s="29" t="n"/>
      <c r="AP152" s="29" t="n"/>
      <c r="AQ152" s="29" t="n"/>
      <c r="AR152" s="29" t="n"/>
      <c r="AS152" s="29" t="n"/>
      <c r="AT152" s="29" t="n"/>
    </row>
    <row r="153" ht="15" customHeight="1" s="67">
      <c r="A153" s="6" t="n"/>
      <c r="B153" s="19" t="n"/>
      <c r="C153" s="98" t="n"/>
      <c r="D153" s="19" t="n"/>
      <c r="E153" s="98" t="n"/>
      <c r="F153" s="98" t="n"/>
      <c r="G153" s="98" t="n"/>
      <c r="H153" s="98" t="n"/>
      <c r="I153" s="98" t="n"/>
      <c r="J153" s="98" t="n"/>
      <c r="K153" s="98" t="n"/>
      <c r="L153" s="98" t="n"/>
      <c r="M153" s="98" t="n"/>
      <c r="N153" s="99" t="n"/>
      <c r="O153" s="100" t="n"/>
      <c r="P153" s="100" t="n"/>
      <c r="Q153" s="100" t="n"/>
      <c r="R153" s="100" t="n"/>
      <c r="S153" s="100" t="n"/>
      <c r="T153" s="101" t="n"/>
      <c r="U153" s="24" t="n"/>
      <c r="V153" s="102" t="n"/>
      <c r="W153" s="24" t="n"/>
      <c r="X153" s="26" t="n"/>
      <c r="Y153" s="26" t="n"/>
      <c r="Z153" s="26" t="n"/>
      <c r="AA153" s="26" t="n"/>
      <c r="AB153" s="26" t="n"/>
      <c r="AC153" s="26" t="n"/>
      <c r="AD153" s="26" t="n"/>
      <c r="AE153" s="27" t="n"/>
      <c r="AF153" s="27" t="n"/>
      <c r="AG153" s="28" t="n"/>
      <c r="AH153" s="29" t="n"/>
      <c r="AI153" s="29" t="n"/>
      <c r="AJ153" s="29" t="n"/>
      <c r="AK153" s="29" t="n"/>
      <c r="AL153" s="29" t="n"/>
      <c r="AM153" s="29" t="n"/>
      <c r="AN153" s="29" t="n"/>
      <c r="AO153" s="29" t="n"/>
      <c r="AP153" s="29" t="n"/>
      <c r="AQ153" s="29" t="n"/>
      <c r="AR153" s="29" t="n"/>
      <c r="AS153" s="29" t="n"/>
      <c r="AT153" s="29" t="n"/>
    </row>
    <row r="154" ht="15" customHeight="1" s="67">
      <c r="A154" s="6" t="n"/>
      <c r="B154" s="19" t="n"/>
      <c r="C154" s="98" t="n"/>
      <c r="D154" s="19" t="n"/>
      <c r="E154" s="98" t="n"/>
      <c r="F154" s="98" t="n"/>
      <c r="G154" s="98" t="n"/>
      <c r="H154" s="98" t="n"/>
      <c r="I154" s="98" t="n"/>
      <c r="J154" s="98" t="n"/>
      <c r="K154" s="98" t="n"/>
      <c r="L154" s="98" t="n"/>
      <c r="M154" s="98" t="n"/>
      <c r="N154" s="99" t="n"/>
      <c r="O154" s="100" t="n"/>
      <c r="P154" s="100" t="n"/>
      <c r="Q154" s="100" t="n"/>
      <c r="R154" s="100" t="n"/>
      <c r="S154" s="100" t="n"/>
      <c r="T154" s="101" t="n"/>
      <c r="U154" s="24" t="n"/>
      <c r="V154" s="102" t="n"/>
      <c r="W154" s="24" t="n"/>
      <c r="X154" s="26" t="n"/>
      <c r="Y154" s="26" t="n"/>
      <c r="Z154" s="26" t="n"/>
      <c r="AA154" s="26" t="n"/>
      <c r="AB154" s="26" t="n"/>
      <c r="AC154" s="26" t="n"/>
      <c r="AD154" s="26" t="n"/>
      <c r="AE154" s="27" t="n"/>
      <c r="AF154" s="27" t="n"/>
      <c r="AG154" s="28" t="n"/>
      <c r="AH154" s="29" t="n"/>
      <c r="AI154" s="29" t="n"/>
      <c r="AJ154" s="29" t="n"/>
      <c r="AK154" s="29" t="n"/>
      <c r="AL154" s="29" t="n"/>
      <c r="AM154" s="29" t="n"/>
      <c r="AN154" s="29" t="n"/>
      <c r="AO154" s="29" t="n"/>
      <c r="AP154" s="29" t="n"/>
      <c r="AQ154" s="29" t="n"/>
      <c r="AR154" s="29" t="n"/>
      <c r="AS154" s="29" t="n"/>
      <c r="AT154" s="29" t="n"/>
    </row>
    <row r="155" ht="15" customHeight="1" s="67">
      <c r="A155" s="6" t="n"/>
      <c r="B155" s="19" t="n"/>
      <c r="C155" s="98" t="n"/>
      <c r="D155" s="19" t="n"/>
      <c r="E155" s="98" t="n"/>
      <c r="F155" s="98" t="n"/>
      <c r="G155" s="98" t="n"/>
      <c r="H155" s="98" t="n"/>
      <c r="I155" s="98" t="n"/>
      <c r="J155" s="98" t="n"/>
      <c r="K155" s="98" t="n"/>
      <c r="L155" s="98" t="n"/>
      <c r="M155" s="98" t="n"/>
      <c r="N155" s="99" t="n"/>
      <c r="O155" s="100" t="n"/>
      <c r="P155" s="100" t="n"/>
      <c r="Q155" s="100" t="n"/>
      <c r="R155" s="100" t="n"/>
      <c r="S155" s="100" t="n"/>
      <c r="T155" s="101" t="n"/>
      <c r="U155" s="24" t="n"/>
      <c r="V155" s="102" t="n"/>
      <c r="W155" s="24" t="n"/>
      <c r="X155" s="26" t="n"/>
      <c r="Y155" s="26" t="n"/>
      <c r="Z155" s="26" t="n"/>
      <c r="AA155" s="26" t="n"/>
      <c r="AB155" s="26" t="n"/>
      <c r="AC155" s="26" t="n"/>
      <c r="AD155" s="26" t="n"/>
      <c r="AE155" s="27" t="n"/>
      <c r="AF155" s="27" t="n"/>
      <c r="AG155" s="28" t="n"/>
      <c r="AH155" s="29" t="n"/>
      <c r="AI155" s="29" t="n"/>
      <c r="AJ155" s="29" t="n"/>
      <c r="AK155" s="29" t="n"/>
      <c r="AL155" s="29" t="n"/>
      <c r="AM155" s="29" t="n"/>
      <c r="AN155" s="29" t="n"/>
      <c r="AO155" s="29" t="n"/>
      <c r="AP155" s="29" t="n"/>
      <c r="AQ155" s="29" t="n"/>
      <c r="AR155" s="29" t="n"/>
      <c r="AS155" s="29" t="n"/>
      <c r="AT155" s="29" t="n"/>
    </row>
    <row r="156" ht="15" customHeight="1" s="67">
      <c r="A156" s="6" t="n"/>
      <c r="B156" s="19" t="n"/>
      <c r="C156" s="98" t="n"/>
      <c r="D156" s="19" t="n"/>
      <c r="E156" s="98" t="n"/>
      <c r="F156" s="98" t="n"/>
      <c r="G156" s="98" t="n"/>
      <c r="H156" s="98" t="n"/>
      <c r="I156" s="98" t="n"/>
      <c r="J156" s="98" t="n"/>
      <c r="K156" s="98" t="n"/>
      <c r="L156" s="98" t="n"/>
      <c r="M156" s="98" t="n"/>
      <c r="N156" s="99" t="n"/>
      <c r="O156" s="100" t="n"/>
      <c r="P156" s="100" t="n"/>
      <c r="Q156" s="100" t="n"/>
      <c r="R156" s="100" t="n"/>
      <c r="S156" s="100" t="n"/>
      <c r="T156" s="101" t="n"/>
      <c r="U156" s="24" t="n"/>
      <c r="V156" s="102" t="n"/>
      <c r="W156" s="24" t="n"/>
      <c r="X156" s="26" t="n"/>
      <c r="Y156" s="26" t="n"/>
      <c r="Z156" s="26" t="n"/>
      <c r="AA156" s="26" t="n"/>
      <c r="AB156" s="26" t="n"/>
      <c r="AC156" s="26" t="n"/>
      <c r="AD156" s="26" t="n"/>
      <c r="AE156" s="27" t="n"/>
      <c r="AF156" s="27" t="n"/>
      <c r="AG156" s="28" t="n"/>
      <c r="AH156" s="29" t="n"/>
      <c r="AI156" s="29" t="n"/>
      <c r="AJ156" s="29" t="n"/>
      <c r="AK156" s="29" t="n"/>
      <c r="AL156" s="29" t="n"/>
      <c r="AM156" s="29" t="n"/>
      <c r="AN156" s="29" t="n"/>
      <c r="AO156" s="29" t="n"/>
      <c r="AP156" s="29" t="n"/>
      <c r="AQ156" s="29" t="n"/>
      <c r="AR156" s="29" t="n"/>
      <c r="AS156" s="29" t="n"/>
      <c r="AT156" s="29" t="n"/>
    </row>
    <row r="157" ht="15" customHeight="1" s="67">
      <c r="A157" s="6" t="n"/>
      <c r="B157" s="19" t="n"/>
      <c r="C157" s="98" t="n"/>
      <c r="D157" s="19" t="n"/>
      <c r="E157" s="98" t="n"/>
      <c r="F157" s="98" t="n"/>
      <c r="G157" s="98" t="n"/>
      <c r="H157" s="98" t="n"/>
      <c r="I157" s="98" t="n"/>
      <c r="J157" s="98" t="n"/>
      <c r="K157" s="98" t="n"/>
      <c r="L157" s="98" t="n"/>
      <c r="M157" s="98" t="n"/>
      <c r="N157" s="99" t="n"/>
      <c r="O157" s="100" t="n"/>
      <c r="P157" s="100" t="n"/>
      <c r="Q157" s="100" t="n"/>
      <c r="R157" s="100" t="n"/>
      <c r="S157" s="100" t="n"/>
      <c r="T157" s="101" t="n"/>
      <c r="U157" s="24" t="n"/>
      <c r="V157" s="102" t="n"/>
      <c r="W157" s="24" t="n"/>
      <c r="X157" s="26" t="n"/>
      <c r="Y157" s="26" t="n"/>
      <c r="Z157" s="26" t="n"/>
      <c r="AA157" s="26" t="n"/>
      <c r="AB157" s="26" t="n"/>
      <c r="AC157" s="26" t="n"/>
      <c r="AD157" s="26" t="n"/>
      <c r="AE157" s="27" t="n"/>
      <c r="AF157" s="27" t="n"/>
      <c r="AG157" s="28" t="n"/>
      <c r="AH157" s="29" t="n"/>
      <c r="AI157" s="29" t="n"/>
      <c r="AJ157" s="29" t="n"/>
      <c r="AK157" s="29" t="n"/>
      <c r="AL157" s="29" t="n"/>
      <c r="AM157" s="29" t="n"/>
      <c r="AN157" s="29" t="n"/>
      <c r="AO157" s="29" t="n"/>
      <c r="AP157" s="29" t="n"/>
      <c r="AQ157" s="29" t="n"/>
      <c r="AR157" s="29" t="n"/>
      <c r="AS157" s="29" t="n"/>
      <c r="AT157" s="29" t="n"/>
    </row>
    <row r="158" ht="15" customHeight="1" s="67">
      <c r="A158" s="6" t="n"/>
      <c r="B158" s="19" t="n"/>
      <c r="C158" s="98" t="n"/>
      <c r="D158" s="19" t="n"/>
      <c r="E158" s="98" t="n"/>
      <c r="F158" s="98" t="n"/>
      <c r="G158" s="98" t="n"/>
      <c r="H158" s="98" t="n"/>
      <c r="I158" s="98" t="n"/>
      <c r="J158" s="98" t="n"/>
      <c r="K158" s="98" t="n"/>
      <c r="L158" s="98" t="n"/>
      <c r="M158" s="98" t="n"/>
      <c r="N158" s="99" t="n"/>
      <c r="O158" s="100" t="n"/>
      <c r="P158" s="100" t="n"/>
      <c r="Q158" s="100" t="n"/>
      <c r="R158" s="100" t="n"/>
      <c r="S158" s="100" t="n"/>
      <c r="T158" s="101" t="n"/>
      <c r="U158" s="24" t="n"/>
      <c r="V158" s="102" t="n"/>
      <c r="W158" s="24" t="n"/>
      <c r="X158" s="26" t="n"/>
      <c r="Y158" s="26" t="n"/>
      <c r="Z158" s="26" t="n"/>
      <c r="AA158" s="26" t="n"/>
      <c r="AB158" s="26" t="n"/>
      <c r="AC158" s="26" t="n"/>
      <c r="AD158" s="26" t="n"/>
      <c r="AE158" s="27" t="n"/>
      <c r="AF158" s="27" t="n"/>
      <c r="AG158" s="28" t="n"/>
      <c r="AH158" s="29" t="n"/>
      <c r="AI158" s="29" t="n"/>
      <c r="AJ158" s="29" t="n"/>
      <c r="AK158" s="29" t="n"/>
      <c r="AL158" s="29" t="n"/>
      <c r="AM158" s="29" t="n"/>
      <c r="AN158" s="29" t="n"/>
      <c r="AO158" s="29" t="n"/>
      <c r="AP158" s="29" t="n"/>
      <c r="AQ158" s="29" t="n"/>
      <c r="AR158" s="29" t="n"/>
      <c r="AS158" s="29" t="n"/>
      <c r="AT158" s="29" t="n"/>
    </row>
    <row r="159" ht="15" customHeight="1" s="67">
      <c r="A159" s="6" t="n"/>
      <c r="B159" s="19" t="n"/>
      <c r="C159" s="98" t="n"/>
      <c r="D159" s="19" t="n"/>
      <c r="E159" s="98" t="n"/>
      <c r="F159" s="98" t="n"/>
      <c r="G159" s="98" t="n"/>
      <c r="H159" s="98" t="n"/>
      <c r="I159" s="98" t="n"/>
      <c r="J159" s="98" t="n"/>
      <c r="K159" s="98" t="n"/>
      <c r="L159" s="98" t="n"/>
      <c r="M159" s="98" t="n"/>
      <c r="N159" s="99" t="n"/>
      <c r="O159" s="100" t="n"/>
      <c r="P159" s="100" t="n"/>
      <c r="Q159" s="100" t="n"/>
      <c r="R159" s="100" t="n"/>
      <c r="S159" s="100" t="n"/>
      <c r="T159" s="101" t="n"/>
      <c r="U159" s="24" t="n"/>
      <c r="V159" s="102" t="n"/>
      <c r="W159" s="24" t="n"/>
      <c r="X159" s="26" t="n"/>
      <c r="Y159" s="26" t="n"/>
      <c r="Z159" s="26" t="n"/>
      <c r="AA159" s="26" t="n"/>
      <c r="AB159" s="26" t="n"/>
      <c r="AC159" s="26" t="n"/>
      <c r="AD159" s="26" t="n"/>
      <c r="AE159" s="27" t="n"/>
      <c r="AF159" s="27" t="n"/>
      <c r="AG159" s="28" t="n"/>
      <c r="AH159" s="29" t="n"/>
      <c r="AI159" s="29" t="n"/>
      <c r="AJ159" s="29" t="n"/>
      <c r="AK159" s="29" t="n"/>
      <c r="AL159" s="29" t="n"/>
      <c r="AM159" s="29" t="n"/>
      <c r="AN159" s="29" t="n"/>
      <c r="AO159" s="29" t="n"/>
      <c r="AP159" s="29" t="n"/>
      <c r="AQ159" s="29" t="n"/>
      <c r="AR159" s="29" t="n"/>
      <c r="AS159" s="29" t="n"/>
      <c r="AT159" s="29" t="n"/>
    </row>
    <row r="160" ht="15" customHeight="1" s="67">
      <c r="A160" s="6" t="n"/>
      <c r="B160" s="19" t="n"/>
      <c r="C160" s="98" t="n"/>
      <c r="D160" s="19" t="n"/>
      <c r="E160" s="98" t="n"/>
      <c r="F160" s="98" t="n"/>
      <c r="G160" s="98" t="n"/>
      <c r="H160" s="98" t="n"/>
      <c r="I160" s="98" t="n"/>
      <c r="J160" s="98" t="n"/>
      <c r="K160" s="98" t="n"/>
      <c r="L160" s="98" t="n"/>
      <c r="M160" s="98" t="n"/>
      <c r="N160" s="99" t="n"/>
      <c r="O160" s="100" t="n"/>
      <c r="P160" s="100" t="n"/>
      <c r="Q160" s="100" t="n"/>
      <c r="R160" s="100" t="n"/>
      <c r="S160" s="100" t="n"/>
      <c r="T160" s="101" t="n"/>
      <c r="U160" s="24" t="n"/>
      <c r="V160" s="102" t="n"/>
      <c r="W160" s="24" t="n"/>
      <c r="X160" s="26" t="n"/>
      <c r="Y160" s="26" t="n"/>
      <c r="Z160" s="26" t="n"/>
      <c r="AA160" s="26" t="n"/>
      <c r="AB160" s="26" t="n"/>
      <c r="AC160" s="26" t="n"/>
      <c r="AD160" s="26" t="n"/>
      <c r="AE160" s="27" t="n"/>
      <c r="AF160" s="27" t="n"/>
      <c r="AG160" s="28" t="n"/>
      <c r="AH160" s="29" t="n"/>
      <c r="AI160" s="29" t="n"/>
      <c r="AJ160" s="29" t="n"/>
      <c r="AK160" s="29" t="n"/>
      <c r="AL160" s="29" t="n"/>
      <c r="AM160" s="29" t="n"/>
      <c r="AN160" s="29" t="n"/>
      <c r="AO160" s="29" t="n"/>
      <c r="AP160" s="29" t="n"/>
      <c r="AQ160" s="29" t="n"/>
      <c r="AR160" s="29" t="n"/>
      <c r="AS160" s="29" t="n"/>
      <c r="AT160" s="29" t="n"/>
    </row>
    <row r="161" ht="15" customHeight="1" s="67">
      <c r="A161" s="6" t="n"/>
      <c r="B161" s="19" t="n"/>
      <c r="C161" s="98" t="n"/>
      <c r="D161" s="19" t="n"/>
      <c r="E161" s="98" t="n"/>
      <c r="F161" s="98" t="n"/>
      <c r="G161" s="98" t="n"/>
      <c r="H161" s="98" t="n"/>
      <c r="I161" s="98" t="n"/>
      <c r="J161" s="98" t="n"/>
      <c r="K161" s="98" t="n"/>
      <c r="L161" s="98" t="n"/>
      <c r="M161" s="98" t="n"/>
      <c r="N161" s="99" t="n"/>
      <c r="O161" s="100" t="n"/>
      <c r="P161" s="100" t="n"/>
      <c r="Q161" s="100" t="n"/>
      <c r="R161" s="100" t="n"/>
      <c r="S161" s="100" t="n"/>
      <c r="T161" s="101" t="n"/>
      <c r="U161" s="24" t="n"/>
      <c r="V161" s="102" t="n"/>
      <c r="W161" s="24" t="n"/>
      <c r="X161" s="26" t="n"/>
      <c r="Y161" s="26" t="n"/>
      <c r="Z161" s="26" t="n"/>
      <c r="AA161" s="26" t="n"/>
      <c r="AB161" s="26" t="n"/>
      <c r="AC161" s="26" t="n"/>
      <c r="AD161" s="26" t="n"/>
      <c r="AE161" s="27" t="n"/>
      <c r="AF161" s="27" t="n"/>
      <c r="AG161" s="28" t="n"/>
      <c r="AH161" s="29" t="n"/>
      <c r="AI161" s="29" t="n"/>
      <c r="AJ161" s="29" t="n"/>
      <c r="AK161" s="29" t="n"/>
      <c r="AL161" s="29" t="n"/>
      <c r="AM161" s="29" t="n"/>
      <c r="AN161" s="29" t="n"/>
      <c r="AO161" s="29" t="n"/>
      <c r="AP161" s="29" t="n"/>
      <c r="AQ161" s="29" t="n"/>
      <c r="AR161" s="29" t="n"/>
      <c r="AS161" s="29" t="n"/>
      <c r="AT161" s="29" t="n"/>
    </row>
    <row r="162" ht="15" customHeight="1" s="67">
      <c r="A162" s="6" t="n"/>
      <c r="B162" s="19" t="n"/>
      <c r="C162" s="98" t="n"/>
      <c r="D162" s="19" t="n"/>
      <c r="E162" s="98" t="n"/>
      <c r="F162" s="98" t="n"/>
      <c r="G162" s="98" t="n"/>
      <c r="H162" s="98" t="n"/>
      <c r="I162" s="98" t="n"/>
      <c r="J162" s="98" t="n"/>
      <c r="K162" s="98" t="n"/>
      <c r="L162" s="98" t="n"/>
      <c r="M162" s="98" t="n"/>
      <c r="N162" s="99" t="n"/>
      <c r="O162" s="100" t="n"/>
      <c r="P162" s="100" t="n"/>
      <c r="Q162" s="100" t="n"/>
      <c r="R162" s="100" t="n"/>
      <c r="S162" s="100" t="n"/>
      <c r="T162" s="101" t="n"/>
      <c r="U162" s="24" t="n"/>
      <c r="V162" s="102" t="n"/>
      <c r="W162" s="24" t="n"/>
      <c r="X162" s="26" t="n"/>
      <c r="Y162" s="26" t="n"/>
      <c r="Z162" s="26" t="n"/>
      <c r="AA162" s="26" t="n"/>
      <c r="AB162" s="26" t="n"/>
      <c r="AC162" s="26" t="n"/>
      <c r="AD162" s="26" t="n"/>
      <c r="AE162" s="27" t="n"/>
      <c r="AF162" s="27" t="n"/>
      <c r="AG162" s="28" t="n"/>
      <c r="AH162" s="29" t="n"/>
      <c r="AI162" s="29" t="n"/>
      <c r="AJ162" s="29" t="n"/>
      <c r="AK162" s="29" t="n"/>
      <c r="AL162" s="29" t="n"/>
      <c r="AM162" s="29" t="n"/>
      <c r="AN162" s="29" t="n"/>
      <c r="AO162" s="29" t="n"/>
      <c r="AP162" s="29" t="n"/>
      <c r="AQ162" s="29" t="n"/>
      <c r="AR162" s="29" t="n"/>
      <c r="AS162" s="29" t="n"/>
      <c r="AT162" s="29" t="n"/>
    </row>
    <row r="163" ht="15" customHeight="1" s="67">
      <c r="A163" s="6" t="n"/>
      <c r="B163" s="19" t="n"/>
      <c r="C163" s="98" t="n"/>
      <c r="D163" s="19" t="n"/>
      <c r="E163" s="98" t="n"/>
      <c r="F163" s="98" t="n"/>
      <c r="G163" s="98" t="n"/>
      <c r="H163" s="98" t="n"/>
      <c r="I163" s="98" t="n"/>
      <c r="J163" s="98" t="n"/>
      <c r="K163" s="98" t="n"/>
      <c r="L163" s="98" t="n"/>
      <c r="M163" s="98" t="n"/>
      <c r="N163" s="99" t="n"/>
      <c r="O163" s="100" t="n"/>
      <c r="P163" s="100" t="n"/>
      <c r="Q163" s="100" t="n"/>
      <c r="R163" s="100" t="n"/>
      <c r="S163" s="100" t="n"/>
      <c r="T163" s="101" t="n"/>
      <c r="U163" s="24" t="n"/>
      <c r="V163" s="102" t="n"/>
      <c r="W163" s="24" t="n"/>
      <c r="X163" s="26" t="n"/>
      <c r="Y163" s="26" t="n"/>
      <c r="Z163" s="26" t="n"/>
      <c r="AA163" s="26" t="n"/>
      <c r="AB163" s="26" t="n"/>
      <c r="AC163" s="26" t="n"/>
      <c r="AD163" s="26" t="n"/>
      <c r="AE163" s="27" t="n"/>
      <c r="AF163" s="27" t="n"/>
      <c r="AG163" s="28" t="n"/>
      <c r="AH163" s="29" t="n"/>
      <c r="AI163" s="29" t="n"/>
      <c r="AJ163" s="29" t="n"/>
      <c r="AK163" s="29" t="n"/>
      <c r="AL163" s="29" t="n"/>
      <c r="AM163" s="29" t="n"/>
      <c r="AN163" s="29" t="n"/>
      <c r="AO163" s="29" t="n"/>
      <c r="AP163" s="29" t="n"/>
      <c r="AQ163" s="29" t="n"/>
      <c r="AR163" s="29" t="n"/>
      <c r="AS163" s="29" t="n"/>
      <c r="AT163" s="29" t="n"/>
    </row>
    <row r="164" ht="15" customHeight="1" s="67">
      <c r="A164" s="6" t="n"/>
      <c r="B164" s="19" t="n"/>
      <c r="C164" s="98" t="n"/>
      <c r="D164" s="19" t="n"/>
      <c r="E164" s="98" t="n"/>
      <c r="F164" s="98" t="n"/>
      <c r="G164" s="98" t="n"/>
      <c r="H164" s="98" t="n"/>
      <c r="I164" s="98" t="n"/>
      <c r="J164" s="98" t="n"/>
      <c r="K164" s="98" t="n"/>
      <c r="L164" s="98" t="n"/>
      <c r="M164" s="98" t="n"/>
      <c r="N164" s="99" t="n"/>
      <c r="O164" s="100" t="n"/>
      <c r="P164" s="100" t="n"/>
      <c r="Q164" s="100" t="n"/>
      <c r="R164" s="100" t="n"/>
      <c r="S164" s="100" t="n"/>
      <c r="T164" s="101" t="n"/>
      <c r="U164" s="24" t="n"/>
      <c r="V164" s="102" t="n"/>
      <c r="W164" s="24" t="n"/>
      <c r="X164" s="26" t="n"/>
      <c r="Y164" s="26" t="n"/>
      <c r="Z164" s="26" t="n"/>
      <c r="AA164" s="26" t="n"/>
      <c r="AB164" s="26" t="n"/>
      <c r="AC164" s="26" t="n"/>
      <c r="AD164" s="26" t="n"/>
      <c r="AE164" s="27" t="n"/>
      <c r="AF164" s="27" t="n"/>
      <c r="AG164" s="28" t="n"/>
      <c r="AH164" s="29" t="n"/>
      <c r="AI164" s="29" t="n"/>
      <c r="AJ164" s="29" t="n"/>
      <c r="AK164" s="29" t="n"/>
      <c r="AL164" s="29" t="n"/>
      <c r="AM164" s="29" t="n"/>
      <c r="AN164" s="29" t="n"/>
      <c r="AO164" s="29" t="n"/>
      <c r="AP164" s="29" t="n"/>
      <c r="AQ164" s="29" t="n"/>
      <c r="AR164" s="29" t="n"/>
      <c r="AS164" s="29" t="n"/>
      <c r="AT164" s="29" t="n"/>
    </row>
    <row r="165" ht="15" customHeight="1" s="67">
      <c r="A165" s="6" t="n"/>
      <c r="B165" s="19" t="n"/>
      <c r="C165" s="98" t="n"/>
      <c r="D165" s="19" t="n"/>
      <c r="E165" s="98" t="n"/>
      <c r="F165" s="98" t="n"/>
      <c r="G165" s="98" t="n"/>
      <c r="H165" s="98" t="n"/>
      <c r="I165" s="98" t="n"/>
      <c r="J165" s="98" t="n"/>
      <c r="K165" s="98" t="n"/>
      <c r="L165" s="98" t="n"/>
      <c r="M165" s="98" t="n"/>
      <c r="N165" s="99" t="n"/>
      <c r="O165" s="100" t="n"/>
      <c r="P165" s="100" t="n"/>
      <c r="Q165" s="100" t="n"/>
      <c r="R165" s="100" t="n"/>
      <c r="S165" s="100" t="n"/>
      <c r="T165" s="101" t="n"/>
      <c r="U165" s="24" t="n"/>
      <c r="V165" s="102" t="n"/>
      <c r="W165" s="24" t="n"/>
      <c r="X165" s="26" t="n"/>
      <c r="Y165" s="26" t="n"/>
      <c r="Z165" s="26" t="n"/>
      <c r="AA165" s="26" t="n"/>
      <c r="AB165" s="26" t="n"/>
      <c r="AC165" s="26" t="n"/>
      <c r="AD165" s="26" t="n"/>
      <c r="AE165" s="27" t="n"/>
      <c r="AF165" s="27" t="n"/>
      <c r="AG165" s="28" t="n"/>
      <c r="AH165" s="29" t="n"/>
      <c r="AI165" s="29" t="n"/>
      <c r="AJ165" s="29" t="n"/>
      <c r="AK165" s="29" t="n"/>
      <c r="AL165" s="29" t="n"/>
      <c r="AM165" s="29" t="n"/>
      <c r="AN165" s="29" t="n"/>
      <c r="AO165" s="29" t="n"/>
      <c r="AP165" s="29" t="n"/>
      <c r="AQ165" s="29" t="n"/>
      <c r="AR165" s="29" t="n"/>
      <c r="AS165" s="29" t="n"/>
      <c r="AT165" s="29" t="n"/>
    </row>
    <row r="166" ht="15" customHeight="1" s="67">
      <c r="A166" s="6" t="n"/>
      <c r="B166" s="19" t="n"/>
      <c r="C166" s="98" t="n"/>
      <c r="D166" s="19" t="n"/>
      <c r="E166" s="98" t="n"/>
      <c r="F166" s="98" t="n"/>
      <c r="G166" s="98" t="n"/>
      <c r="H166" s="98" t="n"/>
      <c r="I166" s="98" t="n"/>
      <c r="J166" s="98" t="n"/>
      <c r="K166" s="98" t="n"/>
      <c r="L166" s="98" t="n"/>
      <c r="M166" s="98" t="n"/>
      <c r="N166" s="99" t="n"/>
      <c r="O166" s="100" t="n"/>
      <c r="P166" s="100" t="n"/>
      <c r="Q166" s="100" t="n"/>
      <c r="R166" s="100" t="n"/>
      <c r="S166" s="100" t="n"/>
      <c r="T166" s="101" t="n"/>
      <c r="U166" s="24" t="n"/>
      <c r="V166" s="102" t="n"/>
      <c r="W166" s="24" t="n"/>
      <c r="X166" s="26" t="n"/>
      <c r="Y166" s="26" t="n"/>
      <c r="Z166" s="26" t="n"/>
      <c r="AA166" s="26" t="n"/>
      <c r="AB166" s="26" t="n"/>
      <c r="AC166" s="26" t="n"/>
      <c r="AD166" s="26" t="n"/>
      <c r="AE166" s="27" t="n"/>
      <c r="AF166" s="27" t="n"/>
      <c r="AG166" s="28" t="n"/>
      <c r="AH166" s="29" t="n"/>
      <c r="AI166" s="29" t="n"/>
      <c r="AJ166" s="29" t="n"/>
      <c r="AK166" s="29" t="n"/>
      <c r="AL166" s="29" t="n"/>
      <c r="AM166" s="29" t="n"/>
      <c r="AN166" s="29" t="n"/>
      <c r="AO166" s="29" t="n"/>
      <c r="AP166" s="29" t="n"/>
      <c r="AQ166" s="29" t="n"/>
      <c r="AR166" s="29" t="n"/>
      <c r="AS166" s="29" t="n"/>
      <c r="AT166" s="29" t="n"/>
    </row>
    <row r="167" ht="15" customHeight="1" s="67">
      <c r="A167" s="6" t="n"/>
      <c r="B167" s="19" t="n"/>
      <c r="C167" s="98" t="n"/>
      <c r="D167" s="19" t="n"/>
      <c r="E167" s="98" t="n"/>
      <c r="F167" s="98" t="n"/>
      <c r="G167" s="98" t="n"/>
      <c r="H167" s="98" t="n"/>
      <c r="I167" s="98" t="n"/>
      <c r="J167" s="98" t="n"/>
      <c r="K167" s="98" t="n"/>
      <c r="L167" s="98" t="n"/>
      <c r="M167" s="98" t="n"/>
      <c r="N167" s="99" t="n"/>
      <c r="O167" s="100" t="n"/>
      <c r="P167" s="100" t="n"/>
      <c r="Q167" s="100" t="n"/>
      <c r="R167" s="100" t="n"/>
      <c r="S167" s="100" t="n"/>
      <c r="T167" s="101" t="n"/>
      <c r="U167" s="24" t="n"/>
      <c r="V167" s="102" t="n"/>
      <c r="W167" s="24" t="n"/>
      <c r="X167" s="26" t="n"/>
      <c r="Y167" s="26" t="n"/>
      <c r="Z167" s="26" t="n"/>
      <c r="AA167" s="26" t="n"/>
      <c r="AB167" s="26" t="n"/>
      <c r="AC167" s="26" t="n"/>
      <c r="AD167" s="26" t="n"/>
      <c r="AE167" s="27" t="n"/>
      <c r="AF167" s="27" t="n"/>
      <c r="AG167" s="28" t="n"/>
      <c r="AH167" s="29" t="n"/>
      <c r="AI167" s="29" t="n"/>
      <c r="AJ167" s="29" t="n"/>
      <c r="AK167" s="29" t="n"/>
      <c r="AL167" s="29" t="n"/>
      <c r="AM167" s="29" t="n"/>
      <c r="AN167" s="29" t="n"/>
      <c r="AO167" s="29" t="n"/>
      <c r="AP167" s="29" t="n"/>
      <c r="AQ167" s="29" t="n"/>
      <c r="AR167" s="29" t="n"/>
      <c r="AS167" s="29" t="n"/>
      <c r="AT167" s="29" t="n"/>
    </row>
    <row r="168" ht="15" customHeight="1" s="67">
      <c r="A168" s="6" t="n"/>
      <c r="B168" s="19" t="n"/>
      <c r="C168" s="98" t="n"/>
      <c r="D168" s="19" t="n"/>
      <c r="E168" s="98" t="n"/>
      <c r="F168" s="98" t="n"/>
      <c r="G168" s="98" t="n"/>
      <c r="H168" s="98" t="n"/>
      <c r="I168" s="98" t="n"/>
      <c r="J168" s="98" t="n"/>
      <c r="K168" s="98" t="n"/>
      <c r="L168" s="98" t="n"/>
      <c r="M168" s="98" t="n"/>
      <c r="N168" s="99" t="n"/>
      <c r="O168" s="100" t="n"/>
      <c r="P168" s="100" t="n"/>
      <c r="Q168" s="100" t="n"/>
      <c r="R168" s="100" t="n"/>
      <c r="S168" s="100" t="n"/>
      <c r="T168" s="101" t="n"/>
      <c r="U168" s="24" t="n"/>
      <c r="V168" s="102" t="n"/>
      <c r="W168" s="24" t="n"/>
      <c r="X168" s="26" t="n"/>
      <c r="Y168" s="26" t="n"/>
      <c r="Z168" s="26" t="n"/>
      <c r="AA168" s="26" t="n"/>
      <c r="AB168" s="26" t="n"/>
      <c r="AC168" s="26" t="n"/>
      <c r="AD168" s="26" t="n"/>
      <c r="AE168" s="27" t="n"/>
      <c r="AF168" s="27" t="n"/>
      <c r="AG168" s="28" t="n"/>
      <c r="AH168" s="29" t="n"/>
      <c r="AI168" s="29" t="n"/>
      <c r="AJ168" s="29" t="n"/>
      <c r="AK168" s="29" t="n"/>
      <c r="AL168" s="29" t="n"/>
      <c r="AM168" s="29" t="n"/>
      <c r="AN168" s="29" t="n"/>
      <c r="AO168" s="29" t="n"/>
      <c r="AP168" s="29" t="n"/>
      <c r="AQ168" s="29" t="n"/>
      <c r="AR168" s="29" t="n"/>
      <c r="AS168" s="29" t="n"/>
      <c r="AT168" s="29" t="n"/>
    </row>
    <row r="169" ht="15" customHeight="1" s="67">
      <c r="A169" s="6" t="n"/>
      <c r="B169" s="19" t="n"/>
      <c r="C169" s="98" t="n"/>
      <c r="D169" s="19" t="n"/>
      <c r="E169" s="98" t="n"/>
      <c r="F169" s="98" t="n"/>
      <c r="G169" s="98" t="n"/>
      <c r="H169" s="98" t="n"/>
      <c r="I169" s="98" t="n"/>
      <c r="J169" s="98" t="n"/>
      <c r="K169" s="98" t="n"/>
      <c r="L169" s="98" t="n"/>
      <c r="M169" s="98" t="n"/>
      <c r="N169" s="99" t="n"/>
      <c r="O169" s="100" t="n"/>
      <c r="P169" s="100" t="n"/>
      <c r="Q169" s="100" t="n"/>
      <c r="R169" s="100" t="n"/>
      <c r="S169" s="100" t="n"/>
      <c r="T169" s="101" t="n"/>
      <c r="U169" s="24" t="n"/>
      <c r="V169" s="102" t="n"/>
      <c r="W169" s="24" t="n"/>
      <c r="X169" s="26" t="n"/>
      <c r="Y169" s="26" t="n"/>
      <c r="Z169" s="26" t="n"/>
      <c r="AA169" s="26" t="n"/>
      <c r="AB169" s="26" t="n"/>
      <c r="AC169" s="26" t="n"/>
      <c r="AD169" s="26" t="n"/>
      <c r="AE169" s="27" t="n"/>
      <c r="AF169" s="27" t="n"/>
      <c r="AG169" s="28" t="n"/>
      <c r="AH169" s="29" t="n"/>
      <c r="AI169" s="29" t="n"/>
      <c r="AJ169" s="29" t="n"/>
      <c r="AK169" s="29" t="n"/>
      <c r="AL169" s="29" t="n"/>
      <c r="AM169" s="29" t="n"/>
      <c r="AN169" s="29" t="n"/>
      <c r="AO169" s="29" t="n"/>
      <c r="AP169" s="29" t="n"/>
      <c r="AQ169" s="29" t="n"/>
      <c r="AR169" s="29" t="n"/>
      <c r="AS169" s="29" t="n"/>
      <c r="AT169" s="29" t="n"/>
    </row>
    <row r="170" ht="15" customHeight="1" s="67">
      <c r="A170" s="6" t="n"/>
      <c r="B170" s="19" t="n"/>
      <c r="C170" s="98" t="n"/>
      <c r="D170" s="19" t="n"/>
      <c r="E170" s="98" t="n"/>
      <c r="F170" s="98" t="n"/>
      <c r="G170" s="98" t="n"/>
      <c r="H170" s="98" t="n"/>
      <c r="I170" s="98" t="n"/>
      <c r="J170" s="98" t="n"/>
      <c r="K170" s="98" t="n"/>
      <c r="L170" s="98" t="n"/>
      <c r="M170" s="98" t="n"/>
      <c r="N170" s="99" t="n"/>
      <c r="O170" s="100" t="n"/>
      <c r="P170" s="100" t="n"/>
      <c r="Q170" s="100" t="n"/>
      <c r="R170" s="100" t="n"/>
      <c r="S170" s="100" t="n"/>
      <c r="T170" s="101" t="n"/>
      <c r="U170" s="24" t="n"/>
      <c r="V170" s="102" t="n"/>
      <c r="W170" s="24" t="n"/>
      <c r="X170" s="26" t="n"/>
      <c r="Y170" s="26" t="n"/>
      <c r="Z170" s="26" t="n"/>
      <c r="AA170" s="26" t="n"/>
      <c r="AB170" s="26" t="n"/>
      <c r="AC170" s="26" t="n"/>
      <c r="AD170" s="26" t="n"/>
      <c r="AE170" s="27" t="n"/>
      <c r="AF170" s="27" t="n"/>
      <c r="AG170" s="28" t="n"/>
      <c r="AH170" s="29" t="n"/>
      <c r="AI170" s="29" t="n"/>
      <c r="AJ170" s="29" t="n"/>
      <c r="AK170" s="29" t="n"/>
      <c r="AL170" s="29" t="n"/>
      <c r="AM170" s="29" t="n"/>
      <c r="AN170" s="29" t="n"/>
      <c r="AO170" s="29" t="n"/>
      <c r="AP170" s="29" t="n"/>
      <c r="AQ170" s="29" t="n"/>
      <c r="AR170" s="29" t="n"/>
      <c r="AS170" s="29" t="n"/>
      <c r="AT170" s="29" t="n"/>
    </row>
    <row r="171" ht="15" customHeight="1" s="67">
      <c r="A171" s="6" t="n"/>
      <c r="B171" s="19" t="n"/>
      <c r="C171" s="98" t="n"/>
      <c r="D171" s="19" t="n"/>
      <c r="E171" s="98" t="n"/>
      <c r="F171" s="98" t="n"/>
      <c r="G171" s="98" t="n"/>
      <c r="H171" s="98" t="n"/>
      <c r="I171" s="98" t="n"/>
      <c r="J171" s="98" t="n"/>
      <c r="K171" s="98" t="n"/>
      <c r="L171" s="98" t="n"/>
      <c r="M171" s="98" t="n"/>
      <c r="N171" s="99" t="n"/>
      <c r="O171" s="100" t="n"/>
      <c r="P171" s="100" t="n"/>
      <c r="Q171" s="100" t="n"/>
      <c r="R171" s="100" t="n"/>
      <c r="S171" s="100" t="n"/>
      <c r="T171" s="101" t="n"/>
      <c r="U171" s="24" t="n"/>
      <c r="V171" s="102" t="n"/>
      <c r="W171" s="24" t="n"/>
      <c r="X171" s="26" t="n"/>
      <c r="Y171" s="26" t="n"/>
      <c r="Z171" s="26" t="n"/>
      <c r="AA171" s="26" t="n"/>
      <c r="AB171" s="26" t="n"/>
      <c r="AC171" s="26" t="n"/>
      <c r="AD171" s="26" t="n"/>
      <c r="AE171" s="27" t="n"/>
      <c r="AF171" s="27" t="n"/>
      <c r="AG171" s="28" t="n"/>
      <c r="AH171" s="29" t="n"/>
      <c r="AI171" s="29" t="n"/>
      <c r="AJ171" s="29" t="n"/>
      <c r="AK171" s="29" t="n"/>
      <c r="AL171" s="29" t="n"/>
      <c r="AM171" s="29" t="n"/>
      <c r="AN171" s="29" t="n"/>
      <c r="AO171" s="29" t="n"/>
      <c r="AP171" s="29" t="n"/>
      <c r="AQ171" s="29" t="n"/>
      <c r="AR171" s="29" t="n"/>
      <c r="AS171" s="29" t="n"/>
      <c r="AT171" s="29" t="n"/>
    </row>
    <row r="172" ht="15" customHeight="1" s="67">
      <c r="A172" s="6" t="n"/>
      <c r="B172" s="19" t="n"/>
      <c r="C172" s="98" t="n"/>
      <c r="D172" s="19" t="n"/>
      <c r="E172" s="98" t="n"/>
      <c r="F172" s="98" t="n"/>
      <c r="G172" s="98" t="n"/>
      <c r="H172" s="98" t="n"/>
      <c r="I172" s="98" t="n"/>
      <c r="J172" s="98" t="n"/>
      <c r="K172" s="98" t="n"/>
      <c r="L172" s="98" t="n"/>
      <c r="M172" s="98" t="n"/>
      <c r="N172" s="99" t="n"/>
      <c r="O172" s="100" t="n"/>
      <c r="P172" s="100" t="n"/>
      <c r="Q172" s="100" t="n"/>
      <c r="R172" s="100" t="n"/>
      <c r="S172" s="100" t="n"/>
      <c r="T172" s="101" t="n"/>
      <c r="U172" s="24" t="n"/>
      <c r="V172" s="102" t="n"/>
      <c r="W172" s="24" t="n"/>
      <c r="X172" s="26" t="n"/>
      <c r="Y172" s="26" t="n"/>
      <c r="Z172" s="26" t="n"/>
      <c r="AA172" s="26" t="n"/>
      <c r="AB172" s="26" t="n"/>
      <c r="AC172" s="26" t="n"/>
      <c r="AD172" s="26" t="n"/>
      <c r="AE172" s="27" t="n"/>
      <c r="AF172" s="27" t="n"/>
      <c r="AG172" s="28" t="n"/>
      <c r="AH172" s="29" t="n"/>
      <c r="AI172" s="29" t="n"/>
      <c r="AJ172" s="29" t="n"/>
      <c r="AK172" s="29" t="n"/>
      <c r="AL172" s="29" t="n"/>
      <c r="AM172" s="29" t="n"/>
      <c r="AN172" s="29" t="n"/>
      <c r="AO172" s="29" t="n"/>
      <c r="AP172" s="29" t="n"/>
      <c r="AQ172" s="29" t="n"/>
      <c r="AR172" s="29" t="n"/>
      <c r="AS172" s="29" t="n"/>
      <c r="AT172" s="29" t="n"/>
    </row>
    <row r="173" ht="15" customHeight="1" s="67">
      <c r="A173" s="6" t="n"/>
      <c r="B173" s="19" t="n"/>
      <c r="C173" s="98" t="n"/>
      <c r="D173" s="19" t="n"/>
      <c r="E173" s="98" t="n"/>
      <c r="F173" s="98" t="n"/>
      <c r="G173" s="98" t="n"/>
      <c r="H173" s="98" t="n"/>
      <c r="I173" s="98" t="n"/>
      <c r="J173" s="98" t="n"/>
      <c r="K173" s="98" t="n"/>
      <c r="L173" s="98" t="n"/>
      <c r="M173" s="98" t="n"/>
      <c r="N173" s="99" t="n"/>
      <c r="O173" s="100" t="n"/>
      <c r="P173" s="100" t="n"/>
      <c r="Q173" s="100" t="n"/>
      <c r="R173" s="100" t="n"/>
      <c r="S173" s="100" t="n"/>
      <c r="T173" s="101" t="n"/>
      <c r="U173" s="24" t="n"/>
      <c r="V173" s="102" t="n"/>
      <c r="W173" s="24" t="n"/>
      <c r="X173" s="26" t="n"/>
      <c r="Y173" s="26" t="n"/>
      <c r="Z173" s="26" t="n"/>
      <c r="AA173" s="26" t="n"/>
      <c r="AB173" s="26" t="n"/>
      <c r="AC173" s="26" t="n"/>
      <c r="AD173" s="26" t="n"/>
      <c r="AE173" s="27" t="n"/>
      <c r="AF173" s="27" t="n"/>
      <c r="AG173" s="28" t="n"/>
      <c r="AH173" s="29" t="n"/>
      <c r="AI173" s="29" t="n"/>
      <c r="AJ173" s="29" t="n"/>
      <c r="AK173" s="29" t="n"/>
      <c r="AL173" s="29" t="n"/>
      <c r="AM173" s="29" t="n"/>
      <c r="AN173" s="29" t="n"/>
      <c r="AO173" s="29" t="n"/>
      <c r="AP173" s="29" t="n"/>
      <c r="AQ173" s="29" t="n"/>
      <c r="AR173" s="29" t="n"/>
      <c r="AS173" s="29" t="n"/>
      <c r="AT173" s="29" t="n"/>
    </row>
    <row r="174" ht="15" customHeight="1" s="67">
      <c r="A174" s="6" t="n"/>
      <c r="B174" s="19" t="n"/>
      <c r="C174" s="98" t="n"/>
      <c r="D174" s="19" t="n"/>
      <c r="E174" s="98" t="n"/>
      <c r="F174" s="98" t="n"/>
      <c r="G174" s="98" t="n"/>
      <c r="H174" s="98" t="n"/>
      <c r="I174" s="98" t="n"/>
      <c r="J174" s="98" t="n"/>
      <c r="K174" s="98" t="n"/>
      <c r="L174" s="98" t="n"/>
      <c r="M174" s="98" t="n"/>
      <c r="N174" s="99" t="n"/>
      <c r="O174" s="100" t="n"/>
      <c r="P174" s="100" t="n"/>
      <c r="Q174" s="100" t="n"/>
      <c r="R174" s="100" t="n"/>
      <c r="S174" s="100" t="n"/>
      <c r="T174" s="101" t="n"/>
      <c r="U174" s="24" t="n"/>
      <c r="V174" s="102" t="n"/>
      <c r="W174" s="24" t="n"/>
      <c r="X174" s="26" t="n"/>
      <c r="Y174" s="26" t="n"/>
      <c r="Z174" s="26" t="n"/>
      <c r="AA174" s="26" t="n"/>
      <c r="AB174" s="26" t="n"/>
      <c r="AC174" s="26" t="n"/>
      <c r="AD174" s="26" t="n"/>
      <c r="AE174" s="27" t="n"/>
      <c r="AF174" s="27" t="n"/>
      <c r="AG174" s="28" t="n"/>
      <c r="AH174" s="29" t="n"/>
      <c r="AI174" s="29" t="n"/>
      <c r="AJ174" s="29" t="n"/>
      <c r="AK174" s="29" t="n"/>
      <c r="AL174" s="29" t="n"/>
      <c r="AM174" s="29" t="n"/>
      <c r="AN174" s="29" t="n"/>
      <c r="AO174" s="29" t="n"/>
      <c r="AP174" s="29" t="n"/>
      <c r="AQ174" s="29" t="n"/>
      <c r="AR174" s="29" t="n"/>
      <c r="AS174" s="29" t="n"/>
      <c r="AT174" s="29" t="n"/>
    </row>
    <row r="175" ht="15" customHeight="1" s="67">
      <c r="A175" s="6" t="n"/>
      <c r="B175" s="19" t="n"/>
      <c r="C175" s="98" t="n"/>
      <c r="D175" s="19" t="n"/>
      <c r="E175" s="98" t="n"/>
      <c r="F175" s="98" t="n"/>
      <c r="G175" s="98" t="n"/>
      <c r="H175" s="98" t="n"/>
      <c r="I175" s="98" t="n"/>
      <c r="J175" s="98" t="n"/>
      <c r="K175" s="98" t="n"/>
      <c r="L175" s="98" t="n"/>
      <c r="M175" s="98" t="n"/>
      <c r="N175" s="99" t="n"/>
      <c r="O175" s="100" t="n"/>
      <c r="P175" s="100" t="n"/>
      <c r="Q175" s="100" t="n"/>
      <c r="R175" s="100" t="n"/>
      <c r="S175" s="100" t="n"/>
      <c r="T175" s="101" t="n"/>
      <c r="U175" s="24" t="n"/>
      <c r="V175" s="102" t="n"/>
      <c r="W175" s="24" t="n"/>
      <c r="X175" s="26" t="n"/>
      <c r="Y175" s="26" t="n"/>
      <c r="Z175" s="26" t="n"/>
      <c r="AA175" s="26" t="n"/>
      <c r="AB175" s="26" t="n"/>
      <c r="AC175" s="26" t="n"/>
      <c r="AD175" s="26" t="n"/>
      <c r="AE175" s="27" t="n"/>
      <c r="AF175" s="27" t="n"/>
      <c r="AG175" s="28" t="n"/>
      <c r="AH175" s="29" t="n"/>
      <c r="AI175" s="29" t="n"/>
      <c r="AJ175" s="29" t="n"/>
      <c r="AK175" s="29" t="n"/>
      <c r="AL175" s="29" t="n"/>
      <c r="AM175" s="29" t="n"/>
      <c r="AN175" s="29" t="n"/>
      <c r="AO175" s="29" t="n"/>
      <c r="AP175" s="29" t="n"/>
      <c r="AQ175" s="29" t="n"/>
      <c r="AR175" s="29" t="n"/>
      <c r="AS175" s="29" t="n"/>
      <c r="AT175" s="29" t="n"/>
    </row>
    <row r="176" ht="15" customHeight="1" s="67">
      <c r="A176" s="6" t="n"/>
      <c r="B176" s="19" t="n"/>
      <c r="C176" s="98" t="n"/>
      <c r="D176" s="19" t="n"/>
      <c r="E176" s="98" t="n"/>
      <c r="F176" s="98" t="n"/>
      <c r="G176" s="98" t="n"/>
      <c r="H176" s="98" t="n"/>
      <c r="I176" s="98" t="n"/>
      <c r="J176" s="98" t="n"/>
      <c r="K176" s="98" t="n"/>
      <c r="L176" s="98" t="n"/>
      <c r="M176" s="98" t="n"/>
      <c r="N176" s="99" t="n"/>
      <c r="O176" s="100" t="n"/>
      <c r="P176" s="100" t="n"/>
      <c r="Q176" s="100" t="n"/>
      <c r="R176" s="100" t="n"/>
      <c r="S176" s="100" t="n"/>
      <c r="T176" s="101" t="n"/>
      <c r="U176" s="24" t="n"/>
      <c r="V176" s="102" t="n"/>
      <c r="W176" s="24" t="n"/>
      <c r="X176" s="26" t="n"/>
      <c r="Y176" s="26" t="n"/>
      <c r="Z176" s="26" t="n"/>
      <c r="AA176" s="26" t="n"/>
      <c r="AB176" s="26" t="n"/>
      <c r="AC176" s="26" t="n"/>
      <c r="AD176" s="26" t="n"/>
      <c r="AE176" s="27" t="n"/>
      <c r="AF176" s="27" t="n"/>
      <c r="AG176" s="28" t="n"/>
      <c r="AH176" s="29" t="n"/>
      <c r="AI176" s="29" t="n"/>
      <c r="AJ176" s="29" t="n"/>
      <c r="AK176" s="29" t="n"/>
      <c r="AL176" s="29" t="n"/>
      <c r="AM176" s="29" t="n"/>
      <c r="AN176" s="29" t="n"/>
      <c r="AO176" s="29" t="n"/>
      <c r="AP176" s="29" t="n"/>
      <c r="AQ176" s="29" t="n"/>
      <c r="AR176" s="29" t="n"/>
      <c r="AS176" s="29" t="n"/>
      <c r="AT176" s="29" t="n"/>
    </row>
    <row r="177" ht="15" customHeight="1" s="67">
      <c r="A177" s="6" t="n"/>
      <c r="B177" s="19" t="n"/>
      <c r="C177" s="98" t="n"/>
      <c r="D177" s="19" t="n"/>
      <c r="E177" s="98" t="n"/>
      <c r="F177" s="98" t="n"/>
      <c r="G177" s="98" t="n"/>
      <c r="H177" s="98" t="n"/>
      <c r="I177" s="98" t="n"/>
      <c r="J177" s="98" t="n"/>
      <c r="K177" s="98" t="n"/>
      <c r="L177" s="98" t="n"/>
      <c r="M177" s="98" t="n"/>
      <c r="N177" s="99" t="n"/>
      <c r="O177" s="100" t="n"/>
      <c r="P177" s="100" t="n"/>
      <c r="Q177" s="100" t="n"/>
      <c r="R177" s="100" t="n"/>
      <c r="S177" s="100" t="n"/>
      <c r="T177" s="101" t="n"/>
      <c r="U177" s="24" t="n"/>
      <c r="V177" s="102" t="n"/>
      <c r="W177" s="24" t="n"/>
      <c r="X177" s="26" t="n"/>
      <c r="Y177" s="26" t="n"/>
      <c r="Z177" s="26" t="n"/>
      <c r="AA177" s="26" t="n"/>
      <c r="AB177" s="26" t="n"/>
      <c r="AC177" s="26" t="n"/>
      <c r="AD177" s="26" t="n"/>
      <c r="AE177" s="27" t="n"/>
      <c r="AF177" s="27" t="n"/>
      <c r="AG177" s="28" t="n"/>
      <c r="AH177" s="29" t="n"/>
      <c r="AI177" s="29" t="n"/>
      <c r="AJ177" s="29" t="n"/>
      <c r="AK177" s="29" t="n"/>
      <c r="AL177" s="29" t="n"/>
      <c r="AM177" s="29" t="n"/>
      <c r="AN177" s="29" t="n"/>
      <c r="AO177" s="29" t="n"/>
      <c r="AP177" s="29" t="n"/>
      <c r="AQ177" s="29" t="n"/>
      <c r="AR177" s="29" t="n"/>
      <c r="AS177" s="29" t="n"/>
      <c r="AT177" s="29" t="n"/>
    </row>
    <row r="178" ht="15" customHeight="1" s="67">
      <c r="A178" s="6" t="n"/>
      <c r="B178" s="19" t="n"/>
      <c r="C178" s="98" t="n"/>
      <c r="D178" s="19" t="n"/>
      <c r="E178" s="98" t="n"/>
      <c r="F178" s="98" t="n"/>
      <c r="G178" s="98" t="n"/>
      <c r="H178" s="98" t="n"/>
      <c r="I178" s="98" t="n"/>
      <c r="J178" s="98" t="n"/>
      <c r="K178" s="98" t="n"/>
      <c r="L178" s="98" t="n"/>
      <c r="M178" s="98" t="n"/>
      <c r="N178" s="99" t="n"/>
      <c r="O178" s="100" t="n"/>
      <c r="P178" s="100" t="n"/>
      <c r="Q178" s="100" t="n"/>
      <c r="R178" s="100" t="n"/>
      <c r="S178" s="100" t="n"/>
      <c r="T178" s="101" t="n"/>
      <c r="U178" s="24" t="n"/>
      <c r="V178" s="102" t="n"/>
      <c r="W178" s="24" t="n"/>
      <c r="X178" s="26" t="n"/>
      <c r="Y178" s="26" t="n"/>
      <c r="Z178" s="26" t="n"/>
      <c r="AA178" s="26" t="n"/>
      <c r="AB178" s="26" t="n"/>
      <c r="AC178" s="26" t="n"/>
      <c r="AD178" s="26" t="n"/>
      <c r="AE178" s="27" t="n"/>
      <c r="AF178" s="27" t="n"/>
      <c r="AG178" s="28" t="n"/>
      <c r="AH178" s="29" t="n"/>
      <c r="AI178" s="29" t="n"/>
      <c r="AJ178" s="29" t="n"/>
      <c r="AK178" s="29" t="n"/>
      <c r="AL178" s="29" t="n"/>
      <c r="AM178" s="29" t="n"/>
      <c r="AN178" s="29" t="n"/>
      <c r="AO178" s="29" t="n"/>
      <c r="AP178" s="29" t="n"/>
      <c r="AQ178" s="29" t="n"/>
      <c r="AR178" s="29" t="n"/>
      <c r="AS178" s="29" t="n"/>
      <c r="AT178" s="29" t="n"/>
    </row>
    <row r="179" ht="15" customHeight="1" s="67">
      <c r="A179" s="6" t="n"/>
      <c r="B179" s="19" t="n"/>
      <c r="C179" s="98" t="n"/>
      <c r="D179" s="19" t="n"/>
      <c r="E179" s="98" t="n"/>
      <c r="F179" s="98" t="n"/>
      <c r="G179" s="98" t="n"/>
      <c r="H179" s="98" t="n"/>
      <c r="I179" s="98" t="n"/>
      <c r="J179" s="98" t="n"/>
      <c r="K179" s="98" t="n"/>
      <c r="L179" s="98" t="n"/>
      <c r="M179" s="98" t="n"/>
      <c r="N179" s="99" t="n"/>
      <c r="O179" s="100" t="n"/>
      <c r="P179" s="100" t="n"/>
      <c r="Q179" s="100" t="n"/>
      <c r="R179" s="100" t="n"/>
      <c r="S179" s="100" t="n"/>
      <c r="T179" s="101" t="n"/>
      <c r="U179" s="24" t="n"/>
      <c r="V179" s="102" t="n"/>
      <c r="W179" s="24" t="n"/>
      <c r="X179" s="26" t="n"/>
      <c r="Y179" s="26" t="n"/>
      <c r="Z179" s="26" t="n"/>
      <c r="AA179" s="26" t="n"/>
      <c r="AB179" s="26" t="n"/>
      <c r="AC179" s="26" t="n"/>
      <c r="AD179" s="26" t="n"/>
      <c r="AE179" s="27" t="n"/>
      <c r="AF179" s="27" t="n"/>
      <c r="AG179" s="28" t="n"/>
      <c r="AH179" s="29" t="n"/>
      <c r="AI179" s="29" t="n"/>
      <c r="AJ179" s="29" t="n"/>
      <c r="AK179" s="29" t="n"/>
      <c r="AL179" s="29" t="n"/>
      <c r="AM179" s="29" t="n"/>
      <c r="AN179" s="29" t="n"/>
      <c r="AO179" s="29" t="n"/>
      <c r="AP179" s="29" t="n"/>
      <c r="AQ179" s="29" t="n"/>
      <c r="AR179" s="29" t="n"/>
      <c r="AS179" s="29" t="n"/>
      <c r="AT179" s="29" t="n"/>
    </row>
    <row r="180" ht="15" customHeight="1" s="67">
      <c r="A180" s="6" t="n"/>
      <c r="B180" s="19" t="n"/>
      <c r="C180" s="98" t="n"/>
      <c r="D180" s="19" t="n"/>
      <c r="E180" s="98" t="n"/>
      <c r="F180" s="98" t="n"/>
      <c r="G180" s="98" t="n"/>
      <c r="H180" s="98" t="n"/>
      <c r="I180" s="98" t="n"/>
      <c r="J180" s="98" t="n"/>
      <c r="K180" s="98" t="n"/>
      <c r="L180" s="98" t="n"/>
      <c r="M180" s="98" t="n"/>
      <c r="N180" s="99" t="n"/>
      <c r="O180" s="100" t="n"/>
      <c r="P180" s="100" t="n"/>
      <c r="Q180" s="100" t="n"/>
      <c r="R180" s="100" t="n"/>
      <c r="S180" s="100" t="n"/>
      <c r="T180" s="101" t="n"/>
      <c r="U180" s="24" t="n"/>
      <c r="V180" s="102" t="n"/>
      <c r="W180" s="24" t="n"/>
      <c r="X180" s="26" t="n"/>
      <c r="Y180" s="26" t="n"/>
      <c r="Z180" s="26" t="n"/>
      <c r="AA180" s="26" t="n"/>
      <c r="AB180" s="26" t="n"/>
      <c r="AC180" s="26" t="n"/>
      <c r="AD180" s="26" t="n"/>
      <c r="AE180" s="27" t="n"/>
      <c r="AF180" s="27" t="n"/>
      <c r="AG180" s="28" t="n"/>
      <c r="AH180" s="29" t="n"/>
      <c r="AI180" s="29" t="n"/>
      <c r="AJ180" s="29" t="n"/>
      <c r="AK180" s="29" t="n"/>
      <c r="AL180" s="29" t="n"/>
      <c r="AM180" s="29" t="n"/>
      <c r="AN180" s="29" t="n"/>
      <c r="AO180" s="29" t="n"/>
      <c r="AP180" s="29" t="n"/>
      <c r="AQ180" s="29" t="n"/>
      <c r="AR180" s="29" t="n"/>
      <c r="AS180" s="29" t="n"/>
      <c r="AT180" s="29" t="n"/>
    </row>
    <row r="181" ht="15" customHeight="1" s="67">
      <c r="A181" s="6" t="n"/>
      <c r="B181" s="19" t="n"/>
      <c r="C181" s="98" t="n"/>
      <c r="D181" s="19" t="n"/>
      <c r="E181" s="98" t="n"/>
      <c r="F181" s="98" t="n"/>
      <c r="G181" s="98" t="n"/>
      <c r="H181" s="98" t="n"/>
      <c r="I181" s="98" t="n"/>
      <c r="J181" s="98" t="n"/>
      <c r="K181" s="98" t="n"/>
      <c r="L181" s="98" t="n"/>
      <c r="M181" s="98" t="n"/>
      <c r="N181" s="99" t="n"/>
      <c r="O181" s="100" t="n"/>
      <c r="P181" s="100" t="n"/>
      <c r="Q181" s="100" t="n"/>
      <c r="R181" s="100" t="n"/>
      <c r="S181" s="100" t="n"/>
      <c r="T181" s="101" t="n"/>
      <c r="U181" s="24" t="n"/>
      <c r="V181" s="102" t="n"/>
      <c r="W181" s="24" t="n"/>
      <c r="X181" s="26" t="n"/>
      <c r="Y181" s="26" t="n"/>
      <c r="Z181" s="26" t="n"/>
      <c r="AA181" s="26" t="n"/>
      <c r="AB181" s="26" t="n"/>
      <c r="AC181" s="26" t="n"/>
      <c r="AD181" s="26" t="n"/>
      <c r="AE181" s="27" t="n"/>
      <c r="AF181" s="27" t="n"/>
      <c r="AG181" s="28" t="n"/>
      <c r="AH181" s="29" t="n"/>
      <c r="AI181" s="29" t="n"/>
      <c r="AJ181" s="29" t="n"/>
      <c r="AK181" s="29" t="n"/>
      <c r="AL181" s="29" t="n"/>
      <c r="AM181" s="29" t="n"/>
      <c r="AN181" s="29" t="n"/>
      <c r="AO181" s="29" t="n"/>
      <c r="AP181" s="29" t="n"/>
      <c r="AQ181" s="29" t="n"/>
      <c r="AR181" s="29" t="n"/>
      <c r="AS181" s="29" t="n"/>
      <c r="AT181" s="29" t="n"/>
    </row>
    <row r="182" ht="15" customHeight="1" s="67">
      <c r="A182" s="6" t="n"/>
      <c r="B182" s="19" t="n"/>
      <c r="C182" s="98" t="n"/>
      <c r="D182" s="19" t="n"/>
      <c r="E182" s="98" t="n"/>
      <c r="F182" s="98" t="n"/>
      <c r="G182" s="98" t="n"/>
      <c r="H182" s="98" t="n"/>
      <c r="I182" s="98" t="n"/>
      <c r="J182" s="98" t="n"/>
      <c r="K182" s="98" t="n"/>
      <c r="L182" s="98" t="n"/>
      <c r="M182" s="98" t="n"/>
      <c r="N182" s="99" t="n"/>
      <c r="O182" s="100" t="n"/>
      <c r="P182" s="100" t="n"/>
      <c r="Q182" s="100" t="n"/>
      <c r="R182" s="100" t="n"/>
      <c r="S182" s="100" t="n"/>
      <c r="T182" s="101" t="n"/>
      <c r="U182" s="24" t="n"/>
      <c r="V182" s="102" t="n"/>
      <c r="W182" s="24" t="n"/>
      <c r="X182" s="26" t="n"/>
      <c r="Y182" s="26" t="n"/>
      <c r="Z182" s="26" t="n"/>
      <c r="AA182" s="26" t="n"/>
      <c r="AB182" s="26" t="n"/>
      <c r="AC182" s="26" t="n"/>
      <c r="AD182" s="26" t="n"/>
      <c r="AE182" s="27" t="n"/>
      <c r="AF182" s="27" t="n"/>
      <c r="AG182" s="28" t="n"/>
      <c r="AH182" s="29" t="n"/>
      <c r="AI182" s="29" t="n"/>
      <c r="AJ182" s="29" t="n"/>
      <c r="AK182" s="29" t="n"/>
      <c r="AL182" s="29" t="n"/>
      <c r="AM182" s="29" t="n"/>
      <c r="AN182" s="29" t="n"/>
      <c r="AO182" s="29" t="n"/>
      <c r="AP182" s="29" t="n"/>
      <c r="AQ182" s="29" t="n"/>
      <c r="AR182" s="29" t="n"/>
      <c r="AS182" s="29" t="n"/>
      <c r="AT182" s="29" t="n"/>
    </row>
    <row r="183" ht="15" customHeight="1" s="67">
      <c r="A183" s="6" t="n"/>
      <c r="B183" s="19" t="n"/>
      <c r="C183" s="98" t="n"/>
      <c r="D183" s="19" t="n"/>
      <c r="E183" s="98" t="n"/>
      <c r="F183" s="98" t="n"/>
      <c r="G183" s="98" t="n"/>
      <c r="H183" s="98" t="n"/>
      <c r="I183" s="98" t="n"/>
      <c r="J183" s="98" t="n"/>
      <c r="K183" s="98" t="n"/>
      <c r="L183" s="98" t="n"/>
      <c r="M183" s="98" t="n"/>
      <c r="N183" s="99" t="n"/>
      <c r="O183" s="100" t="n"/>
      <c r="P183" s="100" t="n"/>
      <c r="Q183" s="100" t="n"/>
      <c r="R183" s="100" t="n"/>
      <c r="S183" s="100" t="n"/>
      <c r="T183" s="101" t="n"/>
      <c r="U183" s="24" t="n"/>
      <c r="V183" s="102" t="n"/>
      <c r="W183" s="24" t="n"/>
      <c r="X183" s="26" t="n"/>
      <c r="Y183" s="26" t="n"/>
      <c r="Z183" s="26" t="n"/>
      <c r="AA183" s="26" t="n"/>
      <c r="AB183" s="26" t="n"/>
      <c r="AC183" s="26" t="n"/>
      <c r="AD183" s="26" t="n"/>
      <c r="AE183" s="27" t="n"/>
      <c r="AF183" s="27" t="n"/>
      <c r="AG183" s="28" t="n"/>
      <c r="AH183" s="29" t="n"/>
      <c r="AI183" s="29" t="n"/>
      <c r="AJ183" s="29" t="n"/>
      <c r="AK183" s="29" t="n"/>
      <c r="AL183" s="29" t="n"/>
      <c r="AM183" s="29" t="n"/>
      <c r="AN183" s="29" t="n"/>
      <c r="AO183" s="29" t="n"/>
      <c r="AP183" s="29" t="n"/>
      <c r="AQ183" s="29" t="n"/>
      <c r="AR183" s="29" t="n"/>
      <c r="AS183" s="29" t="n"/>
      <c r="AT183" s="29" t="n"/>
    </row>
    <row r="184" ht="15" customHeight="1" s="67">
      <c r="A184" s="6" t="n"/>
      <c r="B184" s="19" t="n"/>
      <c r="C184" s="98" t="n"/>
      <c r="D184" s="19" t="n"/>
      <c r="E184" s="98" t="n"/>
      <c r="F184" s="98" t="n"/>
      <c r="G184" s="98" t="n"/>
      <c r="H184" s="98" t="n"/>
      <c r="I184" s="98" t="n"/>
      <c r="J184" s="98" t="n"/>
      <c r="K184" s="98" t="n"/>
      <c r="L184" s="98" t="n"/>
      <c r="M184" s="98" t="n"/>
      <c r="N184" s="99" t="n"/>
      <c r="O184" s="100" t="n"/>
      <c r="P184" s="100" t="n"/>
      <c r="Q184" s="100" t="n"/>
      <c r="R184" s="100" t="n"/>
      <c r="S184" s="100" t="n"/>
      <c r="T184" s="101" t="n"/>
      <c r="U184" s="24" t="n"/>
      <c r="V184" s="102" t="n"/>
      <c r="W184" s="24" t="n"/>
      <c r="X184" s="26" t="n"/>
      <c r="Y184" s="26" t="n"/>
      <c r="Z184" s="26" t="n"/>
      <c r="AA184" s="26" t="n"/>
      <c r="AB184" s="26" t="n"/>
      <c r="AC184" s="26" t="n"/>
      <c r="AD184" s="26" t="n"/>
      <c r="AE184" s="27" t="n"/>
      <c r="AF184" s="27" t="n"/>
      <c r="AG184" s="28" t="n"/>
      <c r="AH184" s="29" t="n"/>
      <c r="AI184" s="29" t="n"/>
      <c r="AJ184" s="29" t="n"/>
      <c r="AK184" s="29" t="n"/>
      <c r="AL184" s="29" t="n"/>
      <c r="AM184" s="29" t="n"/>
      <c r="AN184" s="29" t="n"/>
      <c r="AO184" s="29" t="n"/>
      <c r="AP184" s="29" t="n"/>
      <c r="AQ184" s="29" t="n"/>
      <c r="AR184" s="29" t="n"/>
      <c r="AS184" s="29" t="n"/>
      <c r="AT184" s="29" t="n"/>
    </row>
    <row r="185" ht="15" customHeight="1" s="67">
      <c r="A185" s="6" t="n"/>
      <c r="B185" s="19" t="n"/>
      <c r="C185" s="98" t="n"/>
      <c r="D185" s="19" t="n"/>
      <c r="E185" s="98" t="n"/>
      <c r="F185" s="98" t="n"/>
      <c r="G185" s="98" t="n"/>
      <c r="H185" s="98" t="n"/>
      <c r="I185" s="98" t="n"/>
      <c r="J185" s="98" t="n"/>
      <c r="K185" s="98" t="n"/>
      <c r="L185" s="98" t="n"/>
      <c r="M185" s="98" t="n"/>
      <c r="N185" s="99" t="n"/>
      <c r="O185" s="100" t="n"/>
      <c r="P185" s="100" t="n"/>
      <c r="Q185" s="100" t="n"/>
      <c r="R185" s="100" t="n"/>
      <c r="S185" s="100" t="n"/>
      <c r="T185" s="101" t="n"/>
      <c r="U185" s="24" t="n"/>
      <c r="V185" s="102" t="n"/>
      <c r="W185" s="24" t="n"/>
      <c r="X185" s="26" t="n"/>
      <c r="Y185" s="26" t="n"/>
      <c r="Z185" s="26" t="n"/>
      <c r="AA185" s="26" t="n"/>
      <c r="AB185" s="26" t="n"/>
      <c r="AC185" s="26" t="n"/>
      <c r="AD185" s="26" t="n"/>
      <c r="AE185" s="27" t="n"/>
      <c r="AF185" s="27" t="n"/>
      <c r="AG185" s="28" t="n"/>
      <c r="AH185" s="29" t="n"/>
      <c r="AI185" s="29" t="n"/>
      <c r="AJ185" s="29" t="n"/>
      <c r="AK185" s="29" t="n"/>
      <c r="AL185" s="29" t="n"/>
      <c r="AM185" s="29" t="n"/>
      <c r="AN185" s="29" t="n"/>
      <c r="AO185" s="29" t="n"/>
      <c r="AP185" s="29" t="n"/>
      <c r="AQ185" s="29" t="n"/>
      <c r="AR185" s="29" t="n"/>
      <c r="AS185" s="29" t="n"/>
      <c r="AT185" s="29" t="n"/>
    </row>
    <row r="186" ht="15" customHeight="1" s="67">
      <c r="A186" s="6" t="n"/>
      <c r="B186" s="19" t="n"/>
      <c r="C186" s="98" t="n"/>
      <c r="D186" s="19" t="n"/>
      <c r="E186" s="98" t="n"/>
      <c r="F186" s="98" t="n"/>
      <c r="G186" s="98" t="n"/>
      <c r="H186" s="98" t="n"/>
      <c r="I186" s="98" t="n"/>
      <c r="J186" s="98" t="n"/>
      <c r="K186" s="98" t="n"/>
      <c r="L186" s="98" t="n"/>
      <c r="M186" s="98" t="n"/>
      <c r="N186" s="99" t="n"/>
      <c r="O186" s="100" t="n"/>
      <c r="P186" s="100" t="n"/>
      <c r="Q186" s="100" t="n"/>
      <c r="R186" s="100" t="n"/>
      <c r="S186" s="100" t="n"/>
      <c r="T186" s="101" t="n"/>
      <c r="U186" s="24" t="n"/>
      <c r="V186" s="102" t="n"/>
      <c r="W186" s="24" t="n"/>
      <c r="X186" s="26" t="n"/>
      <c r="Y186" s="26" t="n"/>
      <c r="Z186" s="26" t="n"/>
      <c r="AA186" s="26" t="n"/>
      <c r="AB186" s="26" t="n"/>
      <c r="AC186" s="26" t="n"/>
      <c r="AD186" s="26" t="n"/>
      <c r="AE186" s="27" t="n"/>
      <c r="AF186" s="27" t="n"/>
      <c r="AG186" s="28" t="n"/>
      <c r="AH186" s="29" t="n"/>
      <c r="AI186" s="29" t="n"/>
      <c r="AJ186" s="29" t="n"/>
      <c r="AK186" s="29" t="n"/>
      <c r="AL186" s="29" t="n"/>
      <c r="AM186" s="29" t="n"/>
      <c r="AN186" s="29" t="n"/>
      <c r="AO186" s="29" t="n"/>
      <c r="AP186" s="29" t="n"/>
      <c r="AQ186" s="29" t="n"/>
      <c r="AR186" s="29" t="n"/>
      <c r="AS186" s="29" t="n"/>
      <c r="AT186" s="29" t="n"/>
    </row>
    <row r="187" ht="15" customHeight="1" s="67">
      <c r="A187" s="6" t="n"/>
      <c r="B187" s="19" t="n"/>
      <c r="C187" s="98" t="n"/>
      <c r="D187" s="19" t="n"/>
      <c r="E187" s="98" t="n"/>
      <c r="F187" s="98" t="n"/>
      <c r="G187" s="98" t="n"/>
      <c r="H187" s="98" t="n"/>
      <c r="I187" s="98" t="n"/>
      <c r="J187" s="98" t="n"/>
      <c r="K187" s="98" t="n"/>
      <c r="L187" s="98" t="n"/>
      <c r="M187" s="98" t="n"/>
      <c r="N187" s="99" t="n"/>
      <c r="O187" s="100" t="n"/>
      <c r="P187" s="100" t="n"/>
      <c r="Q187" s="100" t="n"/>
      <c r="R187" s="100" t="n"/>
      <c r="S187" s="100" t="n"/>
      <c r="T187" s="101" t="n"/>
      <c r="U187" s="24" t="n"/>
      <c r="V187" s="102" t="n"/>
      <c r="W187" s="24" t="n"/>
      <c r="X187" s="26" t="n"/>
      <c r="Y187" s="26" t="n"/>
      <c r="Z187" s="26" t="n"/>
      <c r="AA187" s="26" t="n"/>
      <c r="AB187" s="26" t="n"/>
      <c r="AC187" s="26" t="n"/>
      <c r="AD187" s="26" t="n"/>
      <c r="AE187" s="27" t="n"/>
      <c r="AF187" s="27" t="n"/>
      <c r="AG187" s="28" t="n"/>
      <c r="AH187" s="29" t="n"/>
      <c r="AI187" s="29" t="n"/>
      <c r="AJ187" s="29" t="n"/>
      <c r="AK187" s="29" t="n"/>
      <c r="AL187" s="29" t="n"/>
      <c r="AM187" s="29" t="n"/>
      <c r="AN187" s="29" t="n"/>
      <c r="AO187" s="29" t="n"/>
      <c r="AP187" s="29" t="n"/>
      <c r="AQ187" s="29" t="n"/>
      <c r="AR187" s="29" t="n"/>
      <c r="AS187" s="29" t="n"/>
      <c r="AT187" s="29" t="n"/>
    </row>
    <row r="188" ht="15" customHeight="1" s="67">
      <c r="A188" s="6" t="n"/>
      <c r="B188" s="19" t="n"/>
      <c r="C188" s="98" t="n"/>
      <c r="D188" s="19" t="n"/>
      <c r="E188" s="98" t="n"/>
      <c r="F188" s="98" t="n"/>
      <c r="G188" s="98" t="n"/>
      <c r="H188" s="98" t="n"/>
      <c r="I188" s="98" t="n"/>
      <c r="J188" s="98" t="n"/>
      <c r="K188" s="98" t="n"/>
      <c r="L188" s="98" t="n"/>
      <c r="M188" s="98" t="n"/>
      <c r="N188" s="99" t="n"/>
      <c r="O188" s="100" t="n"/>
      <c r="P188" s="100" t="n"/>
      <c r="Q188" s="100" t="n"/>
      <c r="R188" s="100" t="n"/>
      <c r="S188" s="100" t="n"/>
      <c r="T188" s="101" t="n"/>
      <c r="U188" s="24" t="n"/>
      <c r="V188" s="102" t="n"/>
      <c r="W188" s="24" t="n"/>
      <c r="X188" s="26" t="n"/>
      <c r="Y188" s="26" t="n"/>
      <c r="Z188" s="26" t="n"/>
      <c r="AA188" s="26" t="n"/>
      <c r="AB188" s="26" t="n"/>
      <c r="AC188" s="26" t="n"/>
      <c r="AD188" s="26" t="n"/>
      <c r="AE188" s="27" t="n"/>
      <c r="AF188" s="27" t="n"/>
      <c r="AG188" s="28" t="n"/>
      <c r="AH188" s="29" t="n"/>
      <c r="AI188" s="29" t="n"/>
      <c r="AJ188" s="29" t="n"/>
      <c r="AK188" s="29" t="n"/>
      <c r="AL188" s="29" t="n"/>
      <c r="AM188" s="29" t="n"/>
      <c r="AN188" s="29" t="n"/>
      <c r="AO188" s="29" t="n"/>
      <c r="AP188" s="29" t="n"/>
      <c r="AQ188" s="29" t="n"/>
      <c r="AR188" s="29" t="n"/>
      <c r="AS188" s="29" t="n"/>
      <c r="AT188" s="29" t="n"/>
    </row>
    <row r="189" ht="15" customHeight="1" s="67">
      <c r="A189" s="6" t="n"/>
      <c r="B189" s="19" t="n"/>
      <c r="C189" s="98" t="n"/>
      <c r="D189" s="19" t="n"/>
      <c r="E189" s="98" t="n"/>
      <c r="F189" s="98" t="n"/>
      <c r="G189" s="98" t="n"/>
      <c r="H189" s="98" t="n"/>
      <c r="I189" s="98" t="n"/>
      <c r="J189" s="98" t="n"/>
      <c r="K189" s="98" t="n"/>
      <c r="L189" s="98" t="n"/>
      <c r="M189" s="98" t="n"/>
      <c r="N189" s="99" t="n"/>
      <c r="O189" s="100" t="n"/>
      <c r="P189" s="100" t="n"/>
      <c r="Q189" s="100" t="n"/>
      <c r="R189" s="100" t="n"/>
      <c r="S189" s="100" t="n"/>
      <c r="T189" s="101" t="n"/>
      <c r="U189" s="24" t="n"/>
      <c r="V189" s="102" t="n"/>
      <c r="W189" s="24" t="n"/>
      <c r="X189" s="26" t="n"/>
      <c r="Y189" s="26" t="n"/>
      <c r="Z189" s="26" t="n"/>
      <c r="AA189" s="26" t="n"/>
      <c r="AB189" s="26" t="n"/>
      <c r="AC189" s="26" t="n"/>
      <c r="AD189" s="26" t="n"/>
      <c r="AE189" s="27" t="n"/>
      <c r="AF189" s="27" t="n"/>
      <c r="AG189" s="28" t="n"/>
      <c r="AH189" s="29" t="n"/>
      <c r="AI189" s="29" t="n"/>
      <c r="AJ189" s="29" t="n"/>
      <c r="AK189" s="29" t="n"/>
      <c r="AL189" s="29" t="n"/>
      <c r="AM189" s="29" t="n"/>
      <c r="AN189" s="29" t="n"/>
      <c r="AO189" s="29" t="n"/>
      <c r="AP189" s="29" t="n"/>
      <c r="AQ189" s="29" t="n"/>
      <c r="AR189" s="29" t="n"/>
      <c r="AS189" s="29" t="n"/>
      <c r="AT189" s="29" t="n"/>
    </row>
    <row r="190" ht="15" customHeight="1" s="67">
      <c r="A190" s="6" t="n"/>
      <c r="B190" s="19" t="n"/>
      <c r="C190" s="98" t="n"/>
      <c r="D190" s="19" t="n"/>
      <c r="E190" s="98" t="n"/>
      <c r="F190" s="98" t="n"/>
      <c r="G190" s="98" t="n"/>
      <c r="H190" s="98" t="n"/>
      <c r="I190" s="98" t="n"/>
      <c r="J190" s="98" t="n"/>
      <c r="K190" s="98" t="n"/>
      <c r="L190" s="98" t="n"/>
      <c r="M190" s="98" t="n"/>
      <c r="N190" s="99" t="n"/>
      <c r="O190" s="100" t="n"/>
      <c r="P190" s="100" t="n"/>
      <c r="Q190" s="100" t="n"/>
      <c r="R190" s="100" t="n"/>
      <c r="S190" s="100" t="n"/>
      <c r="T190" s="101" t="n"/>
      <c r="U190" s="24" t="n"/>
      <c r="V190" s="102" t="n"/>
      <c r="W190" s="24" t="n"/>
      <c r="X190" s="26" t="n"/>
      <c r="Y190" s="26" t="n"/>
      <c r="Z190" s="26" t="n"/>
      <c r="AA190" s="26" t="n"/>
      <c r="AB190" s="26" t="n"/>
      <c r="AC190" s="26" t="n"/>
      <c r="AD190" s="26" t="n"/>
      <c r="AE190" s="27" t="n"/>
      <c r="AF190" s="27" t="n"/>
      <c r="AG190" s="28" t="n"/>
      <c r="AH190" s="29" t="n"/>
      <c r="AI190" s="29" t="n"/>
      <c r="AJ190" s="29" t="n"/>
      <c r="AK190" s="29" t="n"/>
      <c r="AL190" s="29" t="n"/>
      <c r="AM190" s="29" t="n"/>
      <c r="AN190" s="29" t="n"/>
      <c r="AO190" s="29" t="n"/>
      <c r="AP190" s="29" t="n"/>
      <c r="AQ190" s="29" t="n"/>
      <c r="AR190" s="29" t="n"/>
      <c r="AS190" s="29" t="n"/>
      <c r="AT190" s="29" t="n"/>
    </row>
    <row r="191" ht="15" customHeight="1" s="67">
      <c r="A191" s="6" t="n"/>
      <c r="B191" s="19" t="n"/>
      <c r="C191" s="98" t="n"/>
      <c r="D191" s="19" t="n"/>
      <c r="E191" s="98" t="n"/>
      <c r="F191" s="98" t="n"/>
      <c r="G191" s="98" t="n"/>
      <c r="H191" s="98" t="n"/>
      <c r="I191" s="98" t="n"/>
      <c r="J191" s="98" t="n"/>
      <c r="K191" s="98" t="n"/>
      <c r="L191" s="98" t="n"/>
      <c r="M191" s="98" t="n"/>
      <c r="N191" s="99" t="n"/>
      <c r="O191" s="100" t="n"/>
      <c r="P191" s="100" t="n"/>
      <c r="Q191" s="100" t="n"/>
      <c r="R191" s="100" t="n"/>
      <c r="S191" s="100" t="n"/>
      <c r="T191" s="101" t="n"/>
      <c r="U191" s="24" t="n"/>
      <c r="V191" s="102" t="n"/>
      <c r="W191" s="24" t="n"/>
      <c r="X191" s="26" t="n"/>
      <c r="Y191" s="26" t="n"/>
      <c r="Z191" s="26" t="n"/>
      <c r="AA191" s="26" t="n"/>
      <c r="AB191" s="26" t="n"/>
      <c r="AC191" s="26" t="n"/>
      <c r="AD191" s="26" t="n"/>
      <c r="AE191" s="27" t="n"/>
      <c r="AF191" s="27" t="n"/>
      <c r="AG191" s="28" t="n"/>
      <c r="AH191" s="29" t="n"/>
      <c r="AI191" s="29" t="n"/>
      <c r="AJ191" s="29" t="n"/>
      <c r="AK191" s="29" t="n"/>
      <c r="AL191" s="29" t="n"/>
      <c r="AM191" s="29" t="n"/>
      <c r="AN191" s="29" t="n"/>
      <c r="AO191" s="29" t="n"/>
      <c r="AP191" s="29" t="n"/>
      <c r="AQ191" s="29" t="n"/>
      <c r="AR191" s="29" t="n"/>
      <c r="AS191" s="29" t="n"/>
      <c r="AT191" s="29" t="n"/>
    </row>
    <row r="192" ht="15" customHeight="1" s="67">
      <c r="A192" s="6" t="n"/>
      <c r="B192" s="19" t="n"/>
      <c r="C192" s="98" t="n"/>
      <c r="D192" s="19" t="n"/>
      <c r="E192" s="98" t="n"/>
      <c r="F192" s="98" t="n"/>
      <c r="G192" s="98" t="n"/>
      <c r="H192" s="98" t="n"/>
      <c r="I192" s="98" t="n"/>
      <c r="J192" s="98" t="n"/>
      <c r="K192" s="98" t="n"/>
      <c r="L192" s="98" t="n"/>
      <c r="M192" s="98" t="n"/>
      <c r="N192" s="99" t="n"/>
      <c r="O192" s="100" t="n"/>
      <c r="P192" s="100" t="n"/>
      <c r="Q192" s="100" t="n"/>
      <c r="R192" s="100" t="n"/>
      <c r="S192" s="100" t="n"/>
      <c r="T192" s="101" t="n"/>
      <c r="U192" s="24" t="n"/>
      <c r="V192" s="102" t="n"/>
      <c r="W192" s="24" t="n"/>
      <c r="X192" s="26" t="n"/>
      <c r="Y192" s="26" t="n"/>
      <c r="Z192" s="26" t="n"/>
      <c r="AA192" s="26" t="n"/>
      <c r="AB192" s="26" t="n"/>
      <c r="AC192" s="26" t="n"/>
      <c r="AD192" s="26" t="n"/>
      <c r="AE192" s="27" t="n"/>
      <c r="AF192" s="27" t="n"/>
      <c r="AG192" s="28" t="n"/>
      <c r="AH192" s="29" t="n"/>
      <c r="AI192" s="29" t="n"/>
      <c r="AJ192" s="29" t="n"/>
      <c r="AK192" s="29" t="n"/>
      <c r="AL192" s="29" t="n"/>
      <c r="AM192" s="29" t="n"/>
      <c r="AN192" s="29" t="n"/>
      <c r="AO192" s="29" t="n"/>
      <c r="AP192" s="29" t="n"/>
      <c r="AQ192" s="29" t="n"/>
      <c r="AR192" s="29" t="n"/>
      <c r="AS192" s="29" t="n"/>
      <c r="AT192" s="29" t="n"/>
    </row>
    <row r="193" ht="15" customHeight="1" s="67">
      <c r="A193" s="6" t="n"/>
      <c r="B193" s="19" t="n"/>
      <c r="C193" s="98" t="n"/>
      <c r="D193" s="19" t="n"/>
      <c r="E193" s="98" t="n"/>
      <c r="F193" s="98" t="n"/>
      <c r="G193" s="98" t="n"/>
      <c r="H193" s="98" t="n"/>
      <c r="I193" s="98" t="n"/>
      <c r="J193" s="98" t="n"/>
      <c r="K193" s="98" t="n"/>
      <c r="L193" s="98" t="n"/>
      <c r="M193" s="98" t="n"/>
      <c r="N193" s="99" t="n"/>
      <c r="O193" s="100" t="n"/>
      <c r="P193" s="100" t="n"/>
      <c r="Q193" s="100" t="n"/>
      <c r="R193" s="100" t="n"/>
      <c r="S193" s="100" t="n"/>
      <c r="T193" s="101" t="n"/>
      <c r="U193" s="24" t="n"/>
      <c r="V193" s="102" t="n"/>
      <c r="W193" s="24" t="n"/>
      <c r="X193" s="26" t="n"/>
      <c r="Y193" s="26" t="n"/>
      <c r="Z193" s="26" t="n"/>
      <c r="AA193" s="26" t="n"/>
      <c r="AB193" s="26" t="n"/>
      <c r="AC193" s="26" t="n"/>
      <c r="AD193" s="26" t="n"/>
      <c r="AE193" s="27" t="n"/>
      <c r="AF193" s="27" t="n"/>
      <c r="AG193" s="28" t="n"/>
      <c r="AH193" s="29" t="n"/>
      <c r="AI193" s="29" t="n"/>
      <c r="AJ193" s="29" t="n"/>
      <c r="AK193" s="29" t="n"/>
      <c r="AL193" s="29" t="n"/>
      <c r="AM193" s="29" t="n"/>
      <c r="AN193" s="29" t="n"/>
      <c r="AO193" s="29" t="n"/>
      <c r="AP193" s="29" t="n"/>
      <c r="AQ193" s="29" t="n"/>
      <c r="AR193" s="29" t="n"/>
      <c r="AS193" s="29" t="n"/>
      <c r="AT193" s="29" t="n"/>
    </row>
    <row r="194" ht="15" customHeight="1" s="67">
      <c r="A194" s="6" t="n"/>
      <c r="B194" s="19" t="n"/>
      <c r="C194" s="98" t="n"/>
      <c r="D194" s="19" t="n"/>
      <c r="E194" s="98" t="n"/>
      <c r="F194" s="98" t="n"/>
      <c r="G194" s="98" t="n"/>
      <c r="H194" s="98" t="n"/>
      <c r="I194" s="98" t="n"/>
      <c r="J194" s="98" t="n"/>
      <c r="K194" s="98" t="n"/>
      <c r="L194" s="98" t="n"/>
      <c r="M194" s="98" t="n"/>
      <c r="N194" s="99" t="n"/>
      <c r="O194" s="100" t="n"/>
      <c r="P194" s="100" t="n"/>
      <c r="Q194" s="100" t="n"/>
      <c r="R194" s="100" t="n"/>
      <c r="S194" s="100" t="n"/>
      <c r="T194" s="101" t="n"/>
      <c r="U194" s="24" t="n"/>
      <c r="V194" s="102" t="n"/>
      <c r="W194" s="24" t="n"/>
      <c r="X194" s="26" t="n"/>
      <c r="Y194" s="26" t="n"/>
      <c r="Z194" s="26" t="n"/>
      <c r="AA194" s="26" t="n"/>
      <c r="AB194" s="26" t="n"/>
      <c r="AC194" s="26" t="n"/>
      <c r="AD194" s="26" t="n"/>
      <c r="AE194" s="27" t="n"/>
      <c r="AF194" s="27" t="n"/>
      <c r="AG194" s="28" t="n"/>
      <c r="AH194" s="29" t="n"/>
      <c r="AI194" s="29" t="n"/>
      <c r="AJ194" s="29" t="n"/>
      <c r="AK194" s="29" t="n"/>
      <c r="AL194" s="29" t="n"/>
      <c r="AM194" s="29" t="n"/>
      <c r="AN194" s="29" t="n"/>
      <c r="AO194" s="29" t="n"/>
      <c r="AP194" s="29" t="n"/>
      <c r="AQ194" s="29" t="n"/>
      <c r="AR194" s="29" t="n"/>
      <c r="AS194" s="29" t="n"/>
      <c r="AT194" s="29" t="n"/>
    </row>
    <row r="195" ht="15" customHeight="1" s="67">
      <c r="A195" s="6" t="n"/>
      <c r="B195" s="19" t="n"/>
      <c r="C195" s="98" t="n"/>
      <c r="D195" s="19" t="n"/>
      <c r="E195" s="98" t="n"/>
      <c r="F195" s="98" t="n"/>
      <c r="G195" s="98" t="n"/>
      <c r="H195" s="98" t="n"/>
      <c r="I195" s="98" t="n"/>
      <c r="J195" s="98" t="n"/>
      <c r="K195" s="98" t="n"/>
      <c r="L195" s="98" t="n"/>
      <c r="M195" s="98" t="n"/>
      <c r="N195" s="99" t="n"/>
      <c r="O195" s="100" t="n"/>
      <c r="P195" s="100" t="n"/>
      <c r="Q195" s="100" t="n"/>
      <c r="R195" s="100" t="n"/>
      <c r="S195" s="100" t="n"/>
      <c r="T195" s="101" t="n"/>
      <c r="U195" s="24" t="n"/>
      <c r="V195" s="102" t="n"/>
      <c r="W195" s="24" t="n"/>
      <c r="X195" s="26" t="n"/>
      <c r="Y195" s="26" t="n"/>
      <c r="Z195" s="26" t="n"/>
      <c r="AA195" s="26" t="n"/>
      <c r="AB195" s="26" t="n"/>
      <c r="AC195" s="26" t="n"/>
      <c r="AD195" s="26" t="n"/>
      <c r="AE195" s="27" t="n"/>
      <c r="AF195" s="27" t="n"/>
      <c r="AG195" s="28" t="n"/>
      <c r="AH195" s="29" t="n"/>
      <c r="AI195" s="29" t="n"/>
      <c r="AJ195" s="29" t="n"/>
      <c r="AK195" s="29" t="n"/>
      <c r="AL195" s="29" t="n"/>
      <c r="AM195" s="29" t="n"/>
      <c r="AN195" s="29" t="n"/>
      <c r="AO195" s="29" t="n"/>
      <c r="AP195" s="29" t="n"/>
      <c r="AQ195" s="29" t="n"/>
      <c r="AR195" s="29" t="n"/>
      <c r="AS195" s="29" t="n"/>
      <c r="AT195" s="29" t="n"/>
    </row>
    <row r="196" ht="15" customHeight="1" s="67">
      <c r="A196" s="6" t="n"/>
      <c r="B196" s="19" t="n"/>
      <c r="C196" s="98" t="n"/>
      <c r="D196" s="19" t="n"/>
      <c r="E196" s="98" t="n"/>
      <c r="F196" s="98" t="n"/>
      <c r="G196" s="98" t="n"/>
      <c r="H196" s="98" t="n"/>
      <c r="I196" s="98" t="n"/>
      <c r="J196" s="98" t="n"/>
      <c r="K196" s="98" t="n"/>
      <c r="L196" s="98" t="n"/>
      <c r="M196" s="98" t="n"/>
      <c r="N196" s="99" t="n"/>
      <c r="O196" s="100" t="n"/>
      <c r="P196" s="100" t="n"/>
      <c r="Q196" s="100" t="n"/>
      <c r="R196" s="100" t="n"/>
      <c r="S196" s="100" t="n"/>
      <c r="T196" s="101" t="n"/>
      <c r="U196" s="24" t="n"/>
      <c r="V196" s="102" t="n"/>
      <c r="W196" s="24" t="n"/>
      <c r="X196" s="26" t="n"/>
      <c r="Y196" s="26" t="n"/>
      <c r="Z196" s="26" t="n"/>
      <c r="AA196" s="26" t="n"/>
      <c r="AB196" s="26" t="n"/>
      <c r="AC196" s="26" t="n"/>
      <c r="AD196" s="26" t="n"/>
      <c r="AE196" s="27" t="n"/>
      <c r="AF196" s="27" t="n"/>
      <c r="AG196" s="28" t="n"/>
      <c r="AH196" s="29" t="n"/>
      <c r="AI196" s="29" t="n"/>
      <c r="AJ196" s="29" t="n"/>
      <c r="AK196" s="29" t="n"/>
      <c r="AL196" s="29" t="n"/>
      <c r="AM196" s="29" t="n"/>
      <c r="AN196" s="29" t="n"/>
      <c r="AO196" s="29" t="n"/>
      <c r="AP196" s="29" t="n"/>
      <c r="AQ196" s="29" t="n"/>
      <c r="AR196" s="29" t="n"/>
      <c r="AS196" s="29" t="n"/>
      <c r="AT196" s="29" t="n"/>
    </row>
    <row r="197" ht="15" customHeight="1" s="67">
      <c r="A197" s="6" t="n"/>
      <c r="B197" s="19" t="n"/>
      <c r="C197" s="98" t="n"/>
      <c r="D197" s="19" t="n"/>
      <c r="E197" s="98" t="n"/>
      <c r="F197" s="98" t="n"/>
      <c r="G197" s="98" t="n"/>
      <c r="H197" s="98" t="n"/>
      <c r="I197" s="98" t="n"/>
      <c r="J197" s="98" t="n"/>
      <c r="K197" s="98" t="n"/>
      <c r="L197" s="98" t="n"/>
      <c r="M197" s="98" t="n"/>
      <c r="N197" s="99" t="n"/>
      <c r="O197" s="100" t="n"/>
      <c r="P197" s="100" t="n"/>
      <c r="Q197" s="100" t="n"/>
      <c r="R197" s="100" t="n"/>
      <c r="S197" s="100" t="n"/>
      <c r="T197" s="101" t="n"/>
      <c r="U197" s="24" t="n"/>
      <c r="V197" s="102" t="n"/>
      <c r="W197" s="24" t="n"/>
      <c r="X197" s="26" t="n"/>
      <c r="Y197" s="26" t="n"/>
      <c r="Z197" s="26" t="n"/>
      <c r="AA197" s="26" t="n"/>
      <c r="AB197" s="26" t="n"/>
      <c r="AC197" s="26" t="n"/>
      <c r="AD197" s="26" t="n"/>
      <c r="AE197" s="27" t="n"/>
      <c r="AF197" s="27" t="n"/>
      <c r="AG197" s="28" t="n"/>
      <c r="AH197" s="29" t="n"/>
      <c r="AI197" s="29" t="n"/>
      <c r="AJ197" s="29" t="n"/>
      <c r="AK197" s="29" t="n"/>
      <c r="AL197" s="29" t="n"/>
      <c r="AM197" s="29" t="n"/>
      <c r="AN197" s="29" t="n"/>
      <c r="AO197" s="29" t="n"/>
      <c r="AP197" s="29" t="n"/>
      <c r="AQ197" s="29" t="n"/>
      <c r="AR197" s="29" t="n"/>
      <c r="AS197" s="29" t="n"/>
      <c r="AT197" s="29" t="n"/>
    </row>
    <row r="198" ht="15" customHeight="1" s="67">
      <c r="A198" s="6" t="n"/>
      <c r="B198" s="19" t="n"/>
      <c r="C198" s="98" t="n"/>
      <c r="D198" s="19" t="n"/>
      <c r="E198" s="98" t="n"/>
      <c r="F198" s="98" t="n"/>
      <c r="G198" s="98" t="n"/>
      <c r="H198" s="98" t="n"/>
      <c r="I198" s="98" t="n"/>
      <c r="J198" s="98" t="n"/>
      <c r="K198" s="98" t="n"/>
      <c r="L198" s="98" t="n"/>
      <c r="M198" s="98" t="n"/>
      <c r="N198" s="99" t="n"/>
      <c r="O198" s="100" t="n"/>
      <c r="P198" s="100" t="n"/>
      <c r="Q198" s="100" t="n"/>
      <c r="R198" s="100" t="n"/>
      <c r="S198" s="100" t="n"/>
      <c r="T198" s="101" t="n"/>
      <c r="U198" s="24" t="n"/>
      <c r="V198" s="102" t="n"/>
      <c r="W198" s="24" t="n"/>
      <c r="X198" s="26" t="n"/>
      <c r="Y198" s="26" t="n"/>
      <c r="Z198" s="26" t="n"/>
      <c r="AA198" s="26" t="n"/>
      <c r="AB198" s="26" t="n"/>
      <c r="AC198" s="26" t="n"/>
      <c r="AD198" s="26" t="n"/>
      <c r="AE198" s="27" t="n"/>
      <c r="AF198" s="27" t="n"/>
      <c r="AG198" s="28" t="n"/>
      <c r="AH198" s="29" t="n"/>
      <c r="AI198" s="29" t="n"/>
      <c r="AJ198" s="29" t="n"/>
      <c r="AK198" s="29" t="n"/>
      <c r="AL198" s="29" t="n"/>
      <c r="AM198" s="29" t="n"/>
      <c r="AN198" s="29" t="n"/>
      <c r="AO198" s="29" t="n"/>
      <c r="AP198" s="29" t="n"/>
      <c r="AQ198" s="29" t="n"/>
      <c r="AR198" s="29" t="n"/>
      <c r="AS198" s="29" t="n"/>
      <c r="AT198" s="29" t="n"/>
    </row>
    <row r="199" ht="15" customHeight="1" s="67">
      <c r="A199" s="6" t="n"/>
      <c r="B199" s="19" t="n"/>
      <c r="C199" s="98" t="n"/>
      <c r="D199" s="19" t="n"/>
      <c r="E199" s="98" t="n"/>
      <c r="F199" s="98" t="n"/>
      <c r="G199" s="98" t="n"/>
      <c r="H199" s="98" t="n"/>
      <c r="I199" s="98" t="n"/>
      <c r="J199" s="98" t="n"/>
      <c r="K199" s="98" t="n"/>
      <c r="L199" s="98" t="n"/>
      <c r="M199" s="98" t="n"/>
      <c r="N199" s="99" t="n"/>
      <c r="O199" s="100" t="n"/>
      <c r="P199" s="100" t="n"/>
      <c r="Q199" s="100" t="n"/>
      <c r="R199" s="100" t="n"/>
      <c r="S199" s="100" t="n"/>
      <c r="T199" s="101" t="n"/>
      <c r="U199" s="24" t="n"/>
      <c r="V199" s="102" t="n"/>
      <c r="W199" s="24" t="n"/>
      <c r="X199" s="26" t="n"/>
      <c r="Y199" s="26" t="n"/>
      <c r="Z199" s="26" t="n"/>
      <c r="AA199" s="26" t="n"/>
      <c r="AB199" s="26" t="n"/>
      <c r="AC199" s="26" t="n"/>
      <c r="AD199" s="26" t="n"/>
      <c r="AE199" s="27" t="n"/>
      <c r="AF199" s="27" t="n"/>
      <c r="AG199" s="28" t="n"/>
      <c r="AH199" s="29" t="n"/>
      <c r="AI199" s="29" t="n"/>
      <c r="AJ199" s="29" t="n"/>
      <c r="AK199" s="29" t="n"/>
      <c r="AL199" s="29" t="n"/>
      <c r="AM199" s="29" t="n"/>
      <c r="AN199" s="29" t="n"/>
      <c r="AO199" s="29" t="n"/>
      <c r="AP199" s="29" t="n"/>
      <c r="AQ199" s="29" t="n"/>
      <c r="AR199" s="29" t="n"/>
      <c r="AS199" s="29" t="n"/>
      <c r="AT199" s="29" t="n"/>
    </row>
    <row r="200" ht="15" customHeight="1" s="67">
      <c r="A200" s="6" t="n"/>
      <c r="B200" s="19" t="n"/>
      <c r="C200" s="98" t="n"/>
      <c r="D200" s="19" t="n"/>
      <c r="E200" s="98" t="n"/>
      <c r="F200" s="98" t="n"/>
      <c r="G200" s="98" t="n"/>
      <c r="H200" s="98" t="n"/>
      <c r="I200" s="98" t="n"/>
      <c r="J200" s="98" t="n"/>
      <c r="K200" s="98" t="n"/>
      <c r="L200" s="98" t="n"/>
      <c r="M200" s="98" t="n"/>
      <c r="N200" s="99" t="n"/>
      <c r="O200" s="100" t="n"/>
      <c r="P200" s="100" t="n"/>
      <c r="Q200" s="100" t="n"/>
      <c r="R200" s="100" t="n"/>
      <c r="S200" s="100" t="n"/>
      <c r="T200" s="101" t="n"/>
      <c r="U200" s="24" t="n"/>
      <c r="V200" s="102" t="n"/>
      <c r="W200" s="24" t="n"/>
      <c r="X200" s="26" t="n"/>
      <c r="Y200" s="26" t="n"/>
      <c r="Z200" s="26" t="n"/>
      <c r="AA200" s="26" t="n"/>
      <c r="AB200" s="26" t="n"/>
      <c r="AC200" s="26" t="n"/>
      <c r="AD200" s="26" t="n"/>
      <c r="AE200" s="27" t="n"/>
      <c r="AF200" s="27" t="n"/>
      <c r="AG200" s="28" t="n"/>
      <c r="AH200" s="29" t="n"/>
      <c r="AI200" s="29" t="n"/>
      <c r="AJ200" s="29" t="n"/>
      <c r="AK200" s="29" t="n"/>
      <c r="AL200" s="29" t="n"/>
      <c r="AM200" s="29" t="n"/>
      <c r="AN200" s="29" t="n"/>
      <c r="AO200" s="29" t="n"/>
      <c r="AP200" s="29" t="n"/>
      <c r="AQ200" s="29" t="n"/>
      <c r="AR200" s="29" t="n"/>
      <c r="AS200" s="29" t="n"/>
      <c r="AT200" s="29" t="n"/>
    </row>
    <row r="201" ht="15" customHeight="1" s="67">
      <c r="A201" s="6" t="n"/>
      <c r="B201" s="19" t="n"/>
      <c r="C201" s="98" t="n"/>
      <c r="D201" s="19" t="n"/>
      <c r="E201" s="98" t="n"/>
      <c r="F201" s="98" t="n"/>
      <c r="G201" s="98" t="n"/>
      <c r="H201" s="98" t="n"/>
      <c r="I201" s="98" t="n"/>
      <c r="J201" s="98" t="n"/>
      <c r="K201" s="98" t="n"/>
      <c r="L201" s="98" t="n"/>
      <c r="M201" s="98" t="n"/>
      <c r="N201" s="99" t="n"/>
      <c r="O201" s="100" t="n"/>
      <c r="P201" s="100" t="n"/>
      <c r="Q201" s="100" t="n"/>
      <c r="R201" s="100" t="n"/>
      <c r="S201" s="100" t="n"/>
      <c r="T201" s="101" t="n"/>
      <c r="U201" s="24" t="n"/>
      <c r="V201" s="102" t="n"/>
      <c r="W201" s="24" t="n"/>
      <c r="X201" s="26" t="n"/>
      <c r="Y201" s="26" t="n"/>
      <c r="Z201" s="26" t="n"/>
      <c r="AA201" s="26" t="n"/>
      <c r="AB201" s="26" t="n"/>
      <c r="AC201" s="26" t="n"/>
      <c r="AD201" s="26" t="n"/>
      <c r="AE201" s="27" t="n"/>
      <c r="AF201" s="27" t="n"/>
      <c r="AG201" s="28" t="n"/>
      <c r="AH201" s="29" t="n"/>
      <c r="AI201" s="29" t="n"/>
      <c r="AJ201" s="29" t="n"/>
      <c r="AK201" s="29" t="n"/>
      <c r="AL201" s="29" t="n"/>
      <c r="AM201" s="29" t="n"/>
      <c r="AN201" s="29" t="n"/>
      <c r="AO201" s="29" t="n"/>
      <c r="AP201" s="29" t="n"/>
      <c r="AQ201" s="29" t="n"/>
      <c r="AR201" s="29" t="n"/>
      <c r="AS201" s="29" t="n"/>
      <c r="AT201" s="29" t="n"/>
    </row>
  </sheetData>
  <pageMargins left="0.75" right="0.75" top="1" bottom="1" header="0.511811023622047" footer="0.511811023622047"/>
  <pageSetup orientation="portrait" paperSize="9" horizontalDpi="300" verticalDpi="300"/>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1"/>
  <sheetViews>
    <sheetView zoomScaleNormal="100" workbookViewId="0">
      <selection activeCell="A1" sqref="A1:H1"/>
    </sheetView>
  </sheetViews>
  <sheetFormatPr baseColWidth="8" defaultColWidth="8.6640625" defaultRowHeight="14.4"/>
  <cols>
    <col width="22" customWidth="1" style="67" min="1" max="1"/>
    <col width="32" customWidth="1" style="67" min="2" max="2"/>
    <col width="12" customWidth="1" style="67" min="3" max="3"/>
    <col width="14" customWidth="1" style="67" min="4" max="8"/>
  </cols>
  <sheetData>
    <row r="1" ht="15" customHeight="1" s="67">
      <c r="A1" s="74" t="inlineStr">
        <is>
          <t>Scoring Criteria (1-5 scale, edit thresholds to recalibrate)</t>
        </is>
      </c>
    </row>
    <row r="3" ht="15" customHeight="1" s="67">
      <c r="A3" s="30" t="inlineStr">
        <is>
          <t>Score Item</t>
        </is>
      </c>
      <c r="B3" s="30" t="inlineStr">
        <is>
          <t>Metric</t>
        </is>
      </c>
      <c r="C3" s="30" t="inlineStr">
        <is>
          <t>Direction</t>
        </is>
      </c>
      <c r="D3" s="30" t="inlineStr">
        <is>
          <t>5 (best)</t>
        </is>
      </c>
      <c r="E3" s="30" t="inlineStr">
        <is>
          <t>4</t>
        </is>
      </c>
      <c r="F3" s="30" t="inlineStr">
        <is>
          <t>3</t>
        </is>
      </c>
      <c r="G3" s="30" t="inlineStr">
        <is>
          <t>2</t>
        </is>
      </c>
      <c r="H3" s="30" t="inlineStr">
        <is>
          <t>1 (worst)</t>
        </is>
      </c>
    </row>
    <row r="4" ht="15" customHeight="1" s="67">
      <c r="A4" s="31" t="inlineStr">
        <is>
          <t>Scale</t>
        </is>
      </c>
      <c r="B4" s="31" t="inlineStr">
        <is>
          <t>Planted Area Total (ha)</t>
        </is>
      </c>
      <c r="C4" s="31" t="inlineStr">
        <is>
          <t>higher</t>
        </is>
      </c>
      <c r="D4" s="32" t="n">
        <v>150000</v>
      </c>
      <c r="E4" s="32" t="n">
        <v>80000</v>
      </c>
      <c r="F4" s="32" t="n">
        <v>40000</v>
      </c>
      <c r="G4" s="32" t="n">
        <v>15000</v>
      </c>
      <c r="H4" s="32" t="n">
        <v>0</v>
      </c>
    </row>
    <row r="5" ht="15" customHeight="1" s="67">
      <c r="A5" s="31" t="inlineStr">
        <is>
          <t>Asset Quality</t>
        </is>
      </c>
      <c r="B5" s="31" t="inlineStr">
        <is>
          <t>Mature / Planted ratio</t>
        </is>
      </c>
      <c r="C5" s="31" t="inlineStr">
        <is>
          <t>higher</t>
        </is>
      </c>
      <c r="D5" s="103" t="n">
        <v>0.75</v>
      </c>
      <c r="E5" s="103" t="n">
        <v>0.65</v>
      </c>
      <c r="F5" s="103" t="n">
        <v>0.55</v>
      </c>
      <c r="G5" s="103" t="n">
        <v>0.45</v>
      </c>
      <c r="H5" s="32" t="n">
        <v>0</v>
      </c>
    </row>
    <row r="6" ht="15" customHeight="1" s="67">
      <c r="A6" s="31" t="inlineStr">
        <is>
          <t>Integration</t>
        </is>
      </c>
      <c r="B6" s="31" t="inlineStr">
        <is>
          <t>Mills + Refineries (#)</t>
        </is>
      </c>
      <c r="C6" s="31" t="inlineStr">
        <is>
          <t>higher</t>
        </is>
      </c>
      <c r="D6" s="32" t="n">
        <v>8</v>
      </c>
      <c r="E6" s="32" t="n">
        <v>6</v>
      </c>
      <c r="F6" s="32" t="n">
        <v>4</v>
      </c>
      <c r="G6" s="32" t="n">
        <v>2</v>
      </c>
      <c r="H6" s="32" t="n">
        <v>0</v>
      </c>
    </row>
    <row r="7" ht="15" customHeight="1" s="67">
      <c r="A7" s="31" t="inlineStr">
        <is>
          <t>Operational Eff.</t>
        </is>
      </c>
      <c r="B7" s="31" t="inlineStr">
        <is>
          <t>FFB Yield (t/ha)</t>
        </is>
      </c>
      <c r="C7" s="31" t="inlineStr">
        <is>
          <t>higher</t>
        </is>
      </c>
      <c r="D7" s="32" t="n">
        <v>22</v>
      </c>
      <c r="E7" s="32" t="n">
        <v>18</v>
      </c>
      <c r="F7" s="32" t="n">
        <v>14</v>
      </c>
      <c r="G7" s="32" t="n">
        <v>10</v>
      </c>
      <c r="H7" s="32" t="n">
        <v>0</v>
      </c>
    </row>
    <row r="8" ht="15" customHeight="1" s="67">
      <c r="A8" s="31" t="inlineStr">
        <is>
          <t>Profitability</t>
        </is>
      </c>
      <c r="B8" s="31" t="inlineStr">
        <is>
          <t>EBITDA Margin (%)</t>
        </is>
      </c>
      <c r="C8" s="31" t="inlineStr">
        <is>
          <t>higher</t>
        </is>
      </c>
      <c r="D8" s="103" t="n">
        <v>0.3</v>
      </c>
      <c r="E8" s="103" t="n">
        <v>0.2</v>
      </c>
      <c r="F8" s="103" t="n">
        <v>0.12</v>
      </c>
      <c r="G8" s="103" t="n">
        <v>0.05</v>
      </c>
      <c r="H8" s="32" t="n">
        <v>0</v>
      </c>
    </row>
    <row r="9" ht="15" customHeight="1" s="67">
      <c r="A9" s="31" t="inlineStr">
        <is>
          <t>Leverage</t>
        </is>
      </c>
      <c r="B9" s="31" t="inlineStr">
        <is>
          <t>Net Debt / EBITDA (x)</t>
        </is>
      </c>
      <c r="C9" s="31" t="inlineStr">
        <is>
          <t>lower</t>
        </is>
      </c>
      <c r="D9" s="32" t="n">
        <v>1</v>
      </c>
      <c r="E9" s="32" t="n">
        <v>2</v>
      </c>
      <c r="F9" s="32" t="n">
        <v>3</v>
      </c>
      <c r="G9" s="32" t="n">
        <v>4</v>
      </c>
      <c r="H9" s="32" t="n">
        <v>999</v>
      </c>
    </row>
    <row r="10" ht="15" customHeight="1" s="67">
      <c r="A10" s="31" t="inlineStr">
        <is>
          <t>Liquidity</t>
        </is>
      </c>
      <c r="B10" s="31" t="inlineStr">
        <is>
          <t>Current Ratio (x)</t>
        </is>
      </c>
      <c r="C10" s="31" t="inlineStr">
        <is>
          <t>higher</t>
        </is>
      </c>
      <c r="D10" s="32" t="n">
        <v>2</v>
      </c>
      <c r="E10" s="32" t="n">
        <v>1.5</v>
      </c>
      <c r="F10" s="32" t="n">
        <v>1.2</v>
      </c>
      <c r="G10" s="32" t="n">
        <v>1</v>
      </c>
      <c r="H10" s="32" t="n">
        <v>0</v>
      </c>
    </row>
    <row r="11" ht="15" customHeight="1" s="67">
      <c r="A11" s="31" t="inlineStr">
        <is>
          <t>ESG &amp; Legality</t>
        </is>
      </c>
      <c r="B11" s="31" t="inlineStr">
        <is>
          <t>Manual override (1-5)</t>
        </is>
      </c>
      <c r="C11" s="31" t="inlineStr">
        <is>
          <t>manual</t>
        </is>
      </c>
      <c r="D11" s="34" t="n"/>
      <c r="E11" s="34" t="n"/>
      <c r="F11" s="34" t="n"/>
      <c r="G11" s="34" t="n"/>
      <c r="H11" s="34" t="n"/>
    </row>
    <row r="12" ht="15" customHeight="1" s="67">
      <c r="A12" s="31" t="inlineStr">
        <is>
          <t>Dealability</t>
        </is>
      </c>
      <c r="B12" s="31" t="inlineStr">
        <is>
          <t>Manual override (1-5)</t>
        </is>
      </c>
      <c r="C12" s="31" t="inlineStr">
        <is>
          <t>manual</t>
        </is>
      </c>
      <c r="D12" s="34" t="n"/>
      <c r="E12" s="34" t="n"/>
      <c r="F12" s="34" t="n"/>
      <c r="G12" s="34" t="n"/>
      <c r="H12" s="34" t="n"/>
    </row>
    <row r="15" ht="15" customHeight="1" s="67">
      <c r="A15" s="35" t="inlineStr">
        <is>
          <t>Notes</t>
        </is>
      </c>
    </row>
    <row r="16" ht="15" customHeight="1" s="67">
      <c r="A16" s="75" t="inlineStr">
        <is>
          <t>• "higher" = larger value scores higher; thresholds in columns D-H are the floor to earn that score.</t>
        </is>
      </c>
    </row>
    <row r="17" ht="15" customHeight="1" s="67">
      <c r="A17" s="75" t="inlineStr">
        <is>
          <t>• "lower" = smaller value scores higher; thresholds are the ceiling (≤) to earn that score.</t>
        </is>
      </c>
    </row>
    <row r="18" ht="15" customHeight="1" s="67">
      <c r="A18" s="75" t="inlineStr">
        <is>
          <t>• "manual" = enter score (1-5) directly in Screening sheet AE/AF; no automatic calculation.</t>
        </is>
      </c>
    </row>
    <row r="19" ht="15" customHeight="1" s="67">
      <c r="A19" s="75" t="inlineStr">
        <is>
          <t>• Edit blue cells (D4:H10) to recalibrate. All Screening scores will recalculate automatically.</t>
        </is>
      </c>
    </row>
    <row r="20" ht="15" customHeight="1" s="67">
      <c r="A20" s="75" t="inlineStr">
        <is>
          <t>• Total Score = simple average of the 9 score columns (X~AF) on the Screening sheet.</t>
        </is>
      </c>
    </row>
    <row r="21">
      <c r="A21" s="75" t="inlineStr">
        <is>
          <t>• Row mapping (DO NOT REORDER): row 4=Scale, 5=AssetQ, 6=Integ, 7=OpEff, 8=Profit, 9=Lev, 10=Liq.</t>
        </is>
      </c>
    </row>
  </sheetData>
  <mergeCells count="7">
    <mergeCell ref="A18:H18"/>
    <mergeCell ref="A21:H21"/>
    <mergeCell ref="A20:H20"/>
    <mergeCell ref="A16:H16"/>
    <mergeCell ref="A19:H19"/>
    <mergeCell ref="A1:H1"/>
    <mergeCell ref="A17:H1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Q105"/>
  <sheetViews>
    <sheetView zoomScale="115" zoomScaleNormal="115" workbookViewId="0">
      <pane xSplit="2" ySplit="4" topLeftCell="C98" activePane="bottomRight" state="frozen"/>
      <selection pane="topRight" activeCell="A1" sqref="A1"/>
      <selection pane="bottomLeft" activeCell="A1" sqref="A1"/>
      <selection pane="bottomRight" activeCell="D10" sqref="D10"/>
    </sheetView>
  </sheetViews>
  <sheetFormatPr baseColWidth="8" defaultRowHeight="14.4"/>
  <cols>
    <col width="5" customWidth="1" style="67" min="1" max="1"/>
    <col width="32" customWidth="1" style="67" min="2" max="2"/>
    <col width="11" customWidth="1" style="67" min="3" max="14"/>
    <col width="9" customWidth="1" style="67" min="15" max="16"/>
    <col width="24" customWidth="1" style="67" min="17" max="17"/>
  </cols>
  <sheetData>
    <row r="1" ht="18" customHeight="1" s="67">
      <c r="A1" s="76" t="inlineStr">
        <is>
          <t>Per-Company Validation Summary</t>
        </is>
      </c>
    </row>
    <row r="2">
      <c r="A2" s="77" t="inlineStr">
        <is>
          <t>Status: ✓ Pass | ⚠ Issue Detected | — Not Checked (no data)</t>
        </is>
      </c>
    </row>
    <row r="4" ht="36" customHeight="1" s="67">
      <c r="A4" s="37" t="inlineStr">
        <is>
          <t>Row</t>
        </is>
      </c>
      <c r="B4" s="37" t="inlineStr">
        <is>
          <t>Company</t>
        </is>
      </c>
      <c r="C4" s="37" t="inlineStr">
        <is>
          <t>R1
면적합계</t>
        </is>
      </c>
      <c r="D4" s="37" t="inlineStr">
        <is>
          <t>R2
성숙도합계</t>
        </is>
      </c>
      <c r="E4" s="37" t="inlineStr">
        <is>
          <t>R3
OER범위</t>
        </is>
      </c>
      <c r="F4" s="37" t="inlineStr">
        <is>
          <t>R4
NetDebt부호</t>
        </is>
      </c>
      <c r="G4" s="37" t="inlineStr">
        <is>
          <t>R5
B/S균형</t>
        </is>
      </c>
      <c r="H4" s="37" t="inlineStr">
        <is>
          <t>R6
EBITDA≥EBIT</t>
        </is>
      </c>
      <c r="I4" s="37" t="inlineStr">
        <is>
          <t>R7
Rev=0/EBITDA&gt;0</t>
        </is>
      </c>
      <c r="J4" s="37" t="inlineStr">
        <is>
          <t>R8
LowConf</t>
        </is>
      </c>
      <c r="K4" s="37" t="inlineStr">
        <is>
          <t>R9
EBITDA정의</t>
        </is>
      </c>
      <c r="L4" s="37" t="inlineStr">
        <is>
          <t>R10
NetDebt정의</t>
        </is>
      </c>
      <c r="M4" s="37" t="inlineStr">
        <is>
          <t>R11
OER정의</t>
        </is>
      </c>
      <c r="N4" s="37" t="inlineStr">
        <is>
          <t>R12
Rev단위</t>
        </is>
      </c>
      <c r="O4" s="37" t="inlineStr">
        <is>
          <t>Issues</t>
        </is>
      </c>
      <c r="P4" s="37" t="inlineStr">
        <is>
          <t>Checks</t>
        </is>
      </c>
      <c r="Q4" s="37" t="inlineStr">
        <is>
          <t>Overall Status</t>
        </is>
      </c>
    </row>
    <row r="5">
      <c r="A5" s="47" t="n">
        <v>1</v>
      </c>
      <c r="B5" s="48">
        <f>IFERROR('Company_Master'!A2,"")</f>
        <v/>
      </c>
      <c r="C5" s="49">
        <f>IF(NOT(AND(IFERROR('Company_Master'!A2&lt;&gt;"",FALSE),OR(ISNUMBER(Asset_Operations!B2),ISNUMBER(Asset_Operations!C2),ISNUMBER(Asset_Operations!D2)))),"—",IF(IFERROR(AND(ISNUMBER(Asset_Operations!B2),ISNUMBER(Asset_Operations!C2),ISNUMBER(Asset_Operations!D2),Asset_Operations!B2&gt;0,ABS((Asset_Operations!C2+Asset_Operations!D2)-Asset_Operations!B2)/Asset_Operations!B2&gt;0.02),FALSE),"⚠","✓"))</f>
        <v/>
      </c>
      <c r="D5" s="49">
        <f>IF(NOT(AND(IFERROR('Company_Master'!A2&lt;&gt;"",FALSE),OR(ISNUMBER(Asset_Operations!B2),ISNUMBER(Asset_Operations!E2),ISNUMBER(Asset_Operations!F2)))),"—",IF(IFERROR(AND(ISNUMBER(Asset_Operations!B2),ISNUMBER(Asset_Operations!E2),ISNUMBER(Asset_Operations!F2),Asset_Operations!B2&gt;0,ABS((Asset_Operations!E2+Asset_Operations!F2)-Asset_Operations!B2)/Asset_Operations!B2&gt;0.02),FALSE),"⚠","✓"))</f>
        <v/>
      </c>
      <c r="E5" s="49">
        <f>IF(NOT(AND(IFERROR('Company_Master'!A2&lt;&gt;"",FALSE),ISNUMBER(Asset_Operations!AR2))),"—",IF(IFERROR(AND(ISNUMBER(Asset_Operations!AR2),OR(Asset_Operations!AR2&lt;0.15,Asset_Operations!AR2&gt;0.27)),FALSE),"⚠","✓"))</f>
        <v/>
      </c>
      <c r="F5" s="49">
        <f>IF(NOT(AND(IFERROR('Company_Master'!A2&lt;&gt;"",FALSE),AND(ISNUMBER(Financials!Q2),ISNUMBER(Financials!R2)))),"—",IF(IFERROR(AND(ISNUMBER(Financials!Q2),ISNUMBER(Financials!R2),ISNUMBER(Financials!S2),ABS((Financials!R2-Financials!Q2)-Financials!S2)/MAX(ABS(Financials!S2),1)&gt;0.05),FALSE),"⚠","✓"))</f>
        <v/>
      </c>
      <c r="G5" s="49">
        <f>IF(NOT(AND(IFERROR('Company_Master'!A2&lt;&gt;"",FALSE),AND(ISNUMBER(Financials!I2),ISNUMBER(Financials!L2),ISNUMBER(Financials!O2)))),"—",IF(IFERROR(AND(ISNUMBER(Financials!I2),ISNUMBER(Financials!L2),ISNUMBER(Financials!O2),Financials!I2&gt;0,ABS(Financials!I2-(Financials!L2+Financials!O2))/Financials!I2&gt;0.01),FALSE),"⚠","✓"))</f>
        <v/>
      </c>
      <c r="H5" s="49">
        <f>IF(NOT(AND(IFERROR('Company_Master'!A2&lt;&gt;"",FALSE),AND(ISNUMBER(Financials!E2),ISNUMBER(Financials!F2)))),"—",IF(IFERROR(AND(ISNUMBER(Financials!E2),ISNUMBER(Financials!F2),Financials!E2&lt;Financials!F2),FALSE),"⚠","✓"))</f>
        <v/>
      </c>
      <c r="I5" s="49">
        <f>IF(NOT(AND(IFERROR('Company_Master'!A2&lt;&gt;"",FALSE),AND(ISNUMBER(Financials!C2),ISNUMBER(Financials!E2)))),"—",IF(IFERROR(AND(ISNUMBER(Financials!C2),ISNUMBER(Financials!E2),Financials!C2=0,Financials!E2&gt;0),FALSE),"⚠","✓"))</f>
        <v/>
      </c>
      <c r="J5" s="49">
        <f>IF(NOT(AND(IFERROR('Company_Master'!A2&lt;&gt;"",FALSE),COUNTIF('Raw_Extract'!A:A,'Company_Master'!A2)&gt;0)),"—",IF(COUNTIFS('Raw_Extract'!A:A,'Company_Master'!A2,'Raw_Extract'!J:J,"Low")&gt;0,"⚠","✓"))</f>
        <v/>
      </c>
      <c r="K5" s="49">
        <f>IF(NOT(AND(IFERROR('Company_Master'!A2&lt;&gt;"",FALSE),AND(ISNUMBER(Financials!E2),ISNUMBER(Financials!AP2)))),"—",IF(IFERROR(AND(ISNUMBER(Financials!E2),ISNUMBER(Financials!AP2),Financials!E2&lt;&gt;0,ABS(Financials!E2-Financials!AP2)/ABS(Financials!E2)&gt;0.05),FALSE),"⚠","✓"))</f>
        <v/>
      </c>
      <c r="L5" s="49">
        <f>IF(NOT(AND(IFERROR('Company_Master'!A2&lt;&gt;"",FALSE),AND(ISNUMBER(Financials!AR2),ISNUMBER(Financials!S2)))),"—",IF(IFERROR(AND(ISNUMBER(Financials!AR2),ISNUMBER(Financials!S2),Financials!S2&lt;&gt;0,ABS(Financials!AR2-Financials!S2)/MAX(ABS(Financials!S2),1)&gt;0.05),FALSE),"⚠","✓"))</f>
        <v/>
      </c>
      <c r="M5" s="49">
        <f>IF(NOT(AND(IFERROR('Company_Master'!A2&lt;&gt;"",FALSE),AND(ISNUMBER(Asset_Operations!BE2),ISNUMBER(Asset_Operations!AR2)))),"—",IF(IFERROR(AND(ISNUMBER(Asset_Operations!BE2),ISNUMBER(Asset_Operations!AR2),ABS(Asset_Operations!BE2-Asset_Operations!AR2)&gt;0.05),FALSE),"⚠","✓"))</f>
        <v/>
      </c>
      <c r="N5" s="49">
        <f>IF(NOT(AND(IFERROR('Company_Master'!A2&lt;&gt;"",FALSE),ISNUMBER(Financials!C2))),"—",IF(IFERROR(AND(ISNUMBER(Financials!C2),OR(Financials!C2&lt;50,Financials!C2&gt;200000)),FALSE),"⚠","✓"))</f>
        <v/>
      </c>
      <c r="O5" s="50">
        <f>COUNTIF(C5:N5,"⚠")</f>
        <v/>
      </c>
      <c r="P5" s="50">
        <f>COUNTIF(C5:N5,"✓")</f>
        <v/>
      </c>
      <c r="Q5" s="46">
        <f>IF(NOT(IFERROR('Company_Master'!A2&lt;&gt;"",FALSE)),"",IF(O5&gt;0,"⚠ "&amp;O5&amp;" issue(s) detected",IF(P5=0,"— No data to validate","✓ All "&amp;P5&amp;" checks passed")))</f>
        <v/>
      </c>
    </row>
    <row r="6">
      <c r="A6" s="47" t="n">
        <v>2</v>
      </c>
      <c r="B6" s="48">
        <f>IFERROR('Company_Master'!A3,"")</f>
        <v/>
      </c>
      <c r="C6" s="49">
        <f>IF(NOT(AND(IFERROR('Company_Master'!A3&lt;&gt;"",FALSE),OR(ISNUMBER(Asset_Operations!B3),ISNUMBER(Asset_Operations!C3),ISNUMBER(Asset_Operations!D3)))),"—",IF(IFERROR(AND(ISNUMBER(Asset_Operations!B3),ISNUMBER(Asset_Operations!C3),ISNUMBER(Asset_Operations!D3),Asset_Operations!B3&gt;0,ABS((Asset_Operations!C3+Asset_Operations!D3)-Asset_Operations!B3)/Asset_Operations!B3&gt;0.02),FALSE),"⚠","✓"))</f>
        <v/>
      </c>
      <c r="D6" s="49">
        <f>IF(NOT(AND(IFERROR('Company_Master'!A3&lt;&gt;"",FALSE),OR(ISNUMBER(Asset_Operations!B3),ISNUMBER(Asset_Operations!E3),ISNUMBER(Asset_Operations!F3)))),"—",IF(IFERROR(AND(ISNUMBER(Asset_Operations!B3),ISNUMBER(Asset_Operations!E3),ISNUMBER(Asset_Operations!F3),Asset_Operations!B3&gt;0,ABS((Asset_Operations!E3+Asset_Operations!F3)-Asset_Operations!B3)/Asset_Operations!B3&gt;0.02),FALSE),"⚠","✓"))</f>
        <v/>
      </c>
      <c r="E6" s="49">
        <f>IF(NOT(AND(IFERROR('Company_Master'!A3&lt;&gt;"",FALSE),ISNUMBER(Asset_Operations!AR3))),"—",IF(IFERROR(AND(ISNUMBER(Asset_Operations!AR3),OR(Asset_Operations!AR3&lt;0.15,Asset_Operations!AR3&gt;0.27)),FALSE),"⚠","✓"))</f>
        <v/>
      </c>
      <c r="F6" s="49">
        <f>IF(NOT(AND(IFERROR('Company_Master'!A3&lt;&gt;"",FALSE),AND(ISNUMBER(Financials!Q3),ISNUMBER(Financials!R3)))),"—",IF(IFERROR(AND(ISNUMBER(Financials!Q3),ISNUMBER(Financials!R3),ISNUMBER(Financials!S3),ABS((Financials!R3-Financials!Q3)-Financials!S3)/MAX(ABS(Financials!S3),1)&gt;0.05),FALSE),"⚠","✓"))</f>
        <v/>
      </c>
      <c r="G6" s="49">
        <f>IF(NOT(AND(IFERROR('Company_Master'!A3&lt;&gt;"",FALSE),AND(ISNUMBER(Financials!I3),ISNUMBER(Financials!L3),ISNUMBER(Financials!O3)))),"—",IF(IFERROR(AND(ISNUMBER(Financials!I3),ISNUMBER(Financials!L3),ISNUMBER(Financials!O3),Financials!I3&gt;0,ABS(Financials!I3-(Financials!L3+Financials!O3))/Financials!I3&gt;0.01),FALSE),"⚠","✓"))</f>
        <v/>
      </c>
      <c r="H6" s="49">
        <f>IF(NOT(AND(IFERROR('Company_Master'!A3&lt;&gt;"",FALSE),AND(ISNUMBER(Financials!E3),ISNUMBER(Financials!F3)))),"—",IF(IFERROR(AND(ISNUMBER(Financials!E3),ISNUMBER(Financials!F3),Financials!E3&lt;Financials!F3),FALSE),"⚠","✓"))</f>
        <v/>
      </c>
      <c r="I6" s="49">
        <f>IF(NOT(AND(IFERROR('Company_Master'!A3&lt;&gt;"",FALSE),AND(ISNUMBER(Financials!C3),ISNUMBER(Financials!E3)))),"—",IF(IFERROR(AND(ISNUMBER(Financials!C3),ISNUMBER(Financials!E3),Financials!C3=0,Financials!E3&gt;0),FALSE),"⚠","✓"))</f>
        <v/>
      </c>
      <c r="J6" s="49">
        <f>IF(NOT(AND(IFERROR('Company_Master'!A3&lt;&gt;"",FALSE),COUNTIF('Raw_Extract'!A:A,'Company_Master'!A3)&gt;0)),"—",IF(COUNTIFS('Raw_Extract'!A:A,'Company_Master'!A3,'Raw_Extract'!J:J,"Low")&gt;0,"⚠","✓"))</f>
        <v/>
      </c>
      <c r="K6" s="49">
        <f>IF(NOT(AND(IFERROR('Company_Master'!A3&lt;&gt;"",FALSE),AND(ISNUMBER(Financials!E3),ISNUMBER(Financials!AP3)))),"—",IF(IFERROR(AND(ISNUMBER(Financials!E3),ISNUMBER(Financials!AP3),Financials!E3&lt;&gt;0,ABS(Financials!E3-Financials!AP3)/ABS(Financials!E3)&gt;0.05),FALSE),"⚠","✓"))</f>
        <v/>
      </c>
      <c r="L6" s="49">
        <f>IF(NOT(AND(IFERROR('Company_Master'!A3&lt;&gt;"",FALSE),AND(ISNUMBER(Financials!AR3),ISNUMBER(Financials!S3)))),"—",IF(IFERROR(AND(ISNUMBER(Financials!AR3),ISNUMBER(Financials!S3),Financials!S3&lt;&gt;0,ABS(Financials!AR3-Financials!S3)/MAX(ABS(Financials!S3),1)&gt;0.05),FALSE),"⚠","✓"))</f>
        <v/>
      </c>
      <c r="M6" s="49">
        <f>IF(NOT(AND(IFERROR('Company_Master'!A3&lt;&gt;"",FALSE),AND(ISNUMBER(Asset_Operations!BE3),ISNUMBER(Asset_Operations!AR3)))),"—",IF(IFERROR(AND(ISNUMBER(Asset_Operations!BE3),ISNUMBER(Asset_Operations!AR3),ABS(Asset_Operations!BE3-Asset_Operations!AR3)&gt;0.05),FALSE),"⚠","✓"))</f>
        <v/>
      </c>
      <c r="N6" s="49">
        <f>IF(NOT(AND(IFERROR('Company_Master'!A3&lt;&gt;"",FALSE),ISNUMBER(Financials!C3))),"—",IF(IFERROR(AND(ISNUMBER(Financials!C3),OR(Financials!C3&lt;50,Financials!C3&gt;200000)),FALSE),"⚠","✓"))</f>
        <v/>
      </c>
      <c r="O6" s="50">
        <f>COUNTIF(C6:N6,"⚠")</f>
        <v/>
      </c>
      <c r="P6" s="50">
        <f>COUNTIF(C6:N6,"✓")</f>
        <v/>
      </c>
      <c r="Q6" s="46">
        <f>IF(NOT(IFERROR('Company_Master'!A3&lt;&gt;"",FALSE)),"",IF(O6&gt;0,"⚠ "&amp;O6&amp;" issue(s) detected",IF(P6=0,"— No data to validate","✓ All "&amp;P6&amp;" checks passed")))</f>
        <v/>
      </c>
    </row>
    <row r="7">
      <c r="A7" s="47" t="n">
        <v>3</v>
      </c>
      <c r="B7" s="48">
        <f>IFERROR('Company_Master'!A4,"")</f>
        <v/>
      </c>
      <c r="C7" s="49">
        <f>IF(NOT(AND(IFERROR('Company_Master'!A4&lt;&gt;"",FALSE),OR(ISNUMBER(Asset_Operations!B4),ISNUMBER(Asset_Operations!C4),ISNUMBER(Asset_Operations!D4)))),"—",IF(IFERROR(AND(ISNUMBER(Asset_Operations!B4),ISNUMBER(Asset_Operations!C4),ISNUMBER(Asset_Operations!D4),Asset_Operations!B4&gt;0,ABS((Asset_Operations!C4+Asset_Operations!D4)-Asset_Operations!B4)/Asset_Operations!B4&gt;0.02),FALSE),"⚠","✓"))</f>
        <v/>
      </c>
      <c r="D7" s="49">
        <f>IF(NOT(AND(IFERROR('Company_Master'!A4&lt;&gt;"",FALSE),OR(ISNUMBER(Asset_Operations!B4),ISNUMBER(Asset_Operations!E4),ISNUMBER(Asset_Operations!F4)))),"—",IF(IFERROR(AND(ISNUMBER(Asset_Operations!B4),ISNUMBER(Asset_Operations!E4),ISNUMBER(Asset_Operations!F4),Asset_Operations!B4&gt;0,ABS((Asset_Operations!E4+Asset_Operations!F4)-Asset_Operations!B4)/Asset_Operations!B4&gt;0.02),FALSE),"⚠","✓"))</f>
        <v/>
      </c>
      <c r="E7" s="49">
        <f>IF(NOT(AND(IFERROR('Company_Master'!A4&lt;&gt;"",FALSE),ISNUMBER(Asset_Operations!AR4))),"—",IF(IFERROR(AND(ISNUMBER(Asset_Operations!AR4),OR(Asset_Operations!AR4&lt;0.15,Asset_Operations!AR4&gt;0.27)),FALSE),"⚠","✓"))</f>
        <v/>
      </c>
      <c r="F7" s="49">
        <f>IF(NOT(AND(IFERROR('Company_Master'!A4&lt;&gt;"",FALSE),AND(ISNUMBER(Financials!Q4),ISNUMBER(Financials!R4)))),"—",IF(IFERROR(AND(ISNUMBER(Financials!Q4),ISNUMBER(Financials!R4),ISNUMBER(Financials!S4),ABS((Financials!R4-Financials!Q4)-Financials!S4)/MAX(ABS(Financials!S4),1)&gt;0.05),FALSE),"⚠","✓"))</f>
        <v/>
      </c>
      <c r="G7" s="49">
        <f>IF(NOT(AND(IFERROR('Company_Master'!A4&lt;&gt;"",FALSE),AND(ISNUMBER(Financials!I4),ISNUMBER(Financials!L4),ISNUMBER(Financials!O4)))),"—",IF(IFERROR(AND(ISNUMBER(Financials!I4),ISNUMBER(Financials!L4),ISNUMBER(Financials!O4),Financials!I4&gt;0,ABS(Financials!I4-(Financials!L4+Financials!O4))/Financials!I4&gt;0.01),FALSE),"⚠","✓"))</f>
        <v/>
      </c>
      <c r="H7" s="49">
        <f>IF(NOT(AND(IFERROR('Company_Master'!A4&lt;&gt;"",FALSE),AND(ISNUMBER(Financials!E4),ISNUMBER(Financials!F4)))),"—",IF(IFERROR(AND(ISNUMBER(Financials!E4),ISNUMBER(Financials!F4),Financials!E4&lt;Financials!F4),FALSE),"⚠","✓"))</f>
        <v/>
      </c>
      <c r="I7" s="49">
        <f>IF(NOT(AND(IFERROR('Company_Master'!A4&lt;&gt;"",FALSE),AND(ISNUMBER(Financials!C4),ISNUMBER(Financials!E4)))),"—",IF(IFERROR(AND(ISNUMBER(Financials!C4),ISNUMBER(Financials!E4),Financials!C4=0,Financials!E4&gt;0),FALSE),"⚠","✓"))</f>
        <v/>
      </c>
      <c r="J7" s="49">
        <f>IF(NOT(AND(IFERROR('Company_Master'!A4&lt;&gt;"",FALSE),COUNTIF('Raw_Extract'!A:A,'Company_Master'!A4)&gt;0)),"—",IF(COUNTIFS('Raw_Extract'!A:A,'Company_Master'!A4,'Raw_Extract'!J:J,"Low")&gt;0,"⚠","✓"))</f>
        <v/>
      </c>
      <c r="K7" s="49">
        <f>IF(NOT(AND(IFERROR('Company_Master'!A4&lt;&gt;"",FALSE),AND(ISNUMBER(Financials!E4),ISNUMBER(Financials!AP4)))),"—",IF(IFERROR(AND(ISNUMBER(Financials!E4),ISNUMBER(Financials!AP4),Financials!E4&lt;&gt;0,ABS(Financials!E4-Financials!AP4)/ABS(Financials!E4)&gt;0.05),FALSE),"⚠","✓"))</f>
        <v/>
      </c>
      <c r="L7" s="49">
        <f>IF(NOT(AND(IFERROR('Company_Master'!A4&lt;&gt;"",FALSE),AND(ISNUMBER(Financials!AR4),ISNUMBER(Financials!S4)))),"—",IF(IFERROR(AND(ISNUMBER(Financials!AR4),ISNUMBER(Financials!S4),Financials!S4&lt;&gt;0,ABS(Financials!AR4-Financials!S4)/MAX(ABS(Financials!S4),1)&gt;0.05),FALSE),"⚠","✓"))</f>
        <v/>
      </c>
      <c r="M7" s="49">
        <f>IF(NOT(AND(IFERROR('Company_Master'!A4&lt;&gt;"",FALSE),AND(ISNUMBER(Asset_Operations!BE4),ISNUMBER(Asset_Operations!AR4)))),"—",IF(IFERROR(AND(ISNUMBER(Asset_Operations!BE4),ISNUMBER(Asset_Operations!AR4),ABS(Asset_Operations!BE4-Asset_Operations!AR4)&gt;0.05),FALSE),"⚠","✓"))</f>
        <v/>
      </c>
      <c r="N7" s="49">
        <f>IF(NOT(AND(IFERROR('Company_Master'!A4&lt;&gt;"",FALSE),ISNUMBER(Financials!C4))),"—",IF(IFERROR(AND(ISNUMBER(Financials!C4),OR(Financials!C4&lt;50,Financials!C4&gt;200000)),FALSE),"⚠","✓"))</f>
        <v/>
      </c>
      <c r="O7" s="50">
        <f>COUNTIF(C7:N7,"⚠")</f>
        <v/>
      </c>
      <c r="P7" s="50">
        <f>COUNTIF(C7:N7,"✓")</f>
        <v/>
      </c>
      <c r="Q7" s="46">
        <f>IF(NOT(IFERROR('Company_Master'!A4&lt;&gt;"",FALSE)),"",IF(O7&gt;0,"⚠ "&amp;O7&amp;" issue(s) detected",IF(P7=0,"— No data to validate","✓ All "&amp;P7&amp;" checks passed")))</f>
        <v/>
      </c>
    </row>
    <row r="8">
      <c r="A8" s="47" t="n">
        <v>4</v>
      </c>
      <c r="B8" s="48">
        <f>IFERROR('Company_Master'!A5,"")</f>
        <v/>
      </c>
      <c r="C8" s="49">
        <f>IF(NOT(AND(IFERROR('Company_Master'!A5&lt;&gt;"",FALSE),OR(ISNUMBER(Asset_Operations!B5),ISNUMBER(Asset_Operations!C5),ISNUMBER(Asset_Operations!D5)))),"—",IF(IFERROR(AND(ISNUMBER(Asset_Operations!B5),ISNUMBER(Asset_Operations!C5),ISNUMBER(Asset_Operations!D5),Asset_Operations!B5&gt;0,ABS((Asset_Operations!C5+Asset_Operations!D5)-Asset_Operations!B5)/Asset_Operations!B5&gt;0.02),FALSE),"⚠","✓"))</f>
        <v/>
      </c>
      <c r="D8" s="49">
        <f>IF(NOT(AND(IFERROR('Company_Master'!A5&lt;&gt;"",FALSE),OR(ISNUMBER(Asset_Operations!B5),ISNUMBER(Asset_Operations!E5),ISNUMBER(Asset_Operations!F5)))),"—",IF(IFERROR(AND(ISNUMBER(Asset_Operations!B5),ISNUMBER(Asset_Operations!E5),ISNUMBER(Asset_Operations!F5),Asset_Operations!B5&gt;0,ABS((Asset_Operations!E5+Asset_Operations!F5)-Asset_Operations!B5)/Asset_Operations!B5&gt;0.02),FALSE),"⚠","✓"))</f>
        <v/>
      </c>
      <c r="E8" s="49">
        <f>IF(NOT(AND(IFERROR('Company_Master'!A5&lt;&gt;"",FALSE),ISNUMBER(Asset_Operations!AR5))),"—",IF(IFERROR(AND(ISNUMBER(Asset_Operations!AR5),OR(Asset_Operations!AR5&lt;0.15,Asset_Operations!AR5&gt;0.27)),FALSE),"⚠","✓"))</f>
        <v/>
      </c>
      <c r="F8" s="49">
        <f>IF(NOT(AND(IFERROR('Company_Master'!A5&lt;&gt;"",FALSE),AND(ISNUMBER(Financials!Q5),ISNUMBER(Financials!R5)))),"—",IF(IFERROR(AND(ISNUMBER(Financials!Q5),ISNUMBER(Financials!R5),ISNUMBER(Financials!S5),ABS((Financials!R5-Financials!Q5)-Financials!S5)/MAX(ABS(Financials!S5),1)&gt;0.05),FALSE),"⚠","✓"))</f>
        <v/>
      </c>
      <c r="G8" s="49">
        <f>IF(NOT(AND(IFERROR('Company_Master'!A5&lt;&gt;"",FALSE),AND(ISNUMBER(Financials!I5),ISNUMBER(Financials!L5),ISNUMBER(Financials!O5)))),"—",IF(IFERROR(AND(ISNUMBER(Financials!I5),ISNUMBER(Financials!L5),ISNUMBER(Financials!O5),Financials!I5&gt;0,ABS(Financials!I5-(Financials!L5+Financials!O5))/Financials!I5&gt;0.01),FALSE),"⚠","✓"))</f>
        <v/>
      </c>
      <c r="H8" s="49">
        <f>IF(NOT(AND(IFERROR('Company_Master'!A5&lt;&gt;"",FALSE),AND(ISNUMBER(Financials!E5),ISNUMBER(Financials!F5)))),"—",IF(IFERROR(AND(ISNUMBER(Financials!E5),ISNUMBER(Financials!F5),Financials!E5&lt;Financials!F5),FALSE),"⚠","✓"))</f>
        <v/>
      </c>
      <c r="I8" s="49">
        <f>IF(NOT(AND(IFERROR('Company_Master'!A5&lt;&gt;"",FALSE),AND(ISNUMBER(Financials!C5),ISNUMBER(Financials!E5)))),"—",IF(IFERROR(AND(ISNUMBER(Financials!C5),ISNUMBER(Financials!E5),Financials!C5=0,Financials!E5&gt;0),FALSE),"⚠","✓"))</f>
        <v/>
      </c>
      <c r="J8" s="49">
        <f>IF(NOT(AND(IFERROR('Company_Master'!A5&lt;&gt;"",FALSE),COUNTIF('Raw_Extract'!A:A,'Company_Master'!A5)&gt;0)),"—",IF(COUNTIFS('Raw_Extract'!A:A,'Company_Master'!A5,'Raw_Extract'!J:J,"Low")&gt;0,"⚠","✓"))</f>
        <v/>
      </c>
      <c r="K8" s="49">
        <f>IF(NOT(AND(IFERROR('Company_Master'!A5&lt;&gt;"",FALSE),AND(ISNUMBER(Financials!E5),ISNUMBER(Financials!AP5)))),"—",IF(IFERROR(AND(ISNUMBER(Financials!E5),ISNUMBER(Financials!AP5),Financials!E5&lt;&gt;0,ABS(Financials!E5-Financials!AP5)/ABS(Financials!E5)&gt;0.05),FALSE),"⚠","✓"))</f>
        <v/>
      </c>
      <c r="L8" s="49">
        <f>IF(NOT(AND(IFERROR('Company_Master'!A5&lt;&gt;"",FALSE),AND(ISNUMBER(Financials!AR5),ISNUMBER(Financials!S5)))),"—",IF(IFERROR(AND(ISNUMBER(Financials!AR5),ISNUMBER(Financials!S5),Financials!S5&lt;&gt;0,ABS(Financials!AR5-Financials!S5)/MAX(ABS(Financials!S5),1)&gt;0.05),FALSE),"⚠","✓"))</f>
        <v/>
      </c>
      <c r="M8" s="49">
        <f>IF(NOT(AND(IFERROR('Company_Master'!A5&lt;&gt;"",FALSE),AND(ISNUMBER(Asset_Operations!BE5),ISNUMBER(Asset_Operations!AR5)))),"—",IF(IFERROR(AND(ISNUMBER(Asset_Operations!BE5),ISNUMBER(Asset_Operations!AR5),ABS(Asset_Operations!BE5-Asset_Operations!AR5)&gt;0.05),FALSE),"⚠","✓"))</f>
        <v/>
      </c>
      <c r="N8" s="49">
        <f>IF(NOT(AND(IFERROR('Company_Master'!A5&lt;&gt;"",FALSE),ISNUMBER(Financials!C5))),"—",IF(IFERROR(AND(ISNUMBER(Financials!C5),OR(Financials!C5&lt;50,Financials!C5&gt;200000)),FALSE),"⚠","✓"))</f>
        <v/>
      </c>
      <c r="O8" s="50">
        <f>COUNTIF(C8:N8,"⚠")</f>
        <v/>
      </c>
      <c r="P8" s="50">
        <f>COUNTIF(C8:N8,"✓")</f>
        <v/>
      </c>
      <c r="Q8" s="46">
        <f>IF(NOT(IFERROR('Company_Master'!A5&lt;&gt;"",FALSE)),"",IF(O8&gt;0,"⚠ "&amp;O8&amp;" issue(s) detected",IF(P8=0,"— No data to validate","✓ All "&amp;P8&amp;" checks passed")))</f>
        <v/>
      </c>
    </row>
    <row r="9">
      <c r="A9" s="47" t="n">
        <v>5</v>
      </c>
      <c r="B9" s="48">
        <f>IFERROR('Company_Master'!A6,"")</f>
        <v/>
      </c>
      <c r="C9" s="49">
        <f>IF(NOT(AND(IFERROR('Company_Master'!A6&lt;&gt;"",FALSE),OR(ISNUMBER(Asset_Operations!B6),ISNUMBER(Asset_Operations!C6),ISNUMBER(Asset_Operations!D6)))),"—",IF(IFERROR(AND(ISNUMBER(Asset_Operations!B6),ISNUMBER(Asset_Operations!C6),ISNUMBER(Asset_Operations!D6),Asset_Operations!B6&gt;0,ABS((Asset_Operations!C6+Asset_Operations!D6)-Asset_Operations!B6)/Asset_Operations!B6&gt;0.02),FALSE),"⚠","✓"))</f>
        <v/>
      </c>
      <c r="D9" s="49">
        <f>IF(NOT(AND(IFERROR('Company_Master'!A6&lt;&gt;"",FALSE),OR(ISNUMBER(Asset_Operations!B6),ISNUMBER(Asset_Operations!E6),ISNUMBER(Asset_Operations!F6)))),"—",IF(IFERROR(AND(ISNUMBER(Asset_Operations!B6),ISNUMBER(Asset_Operations!E6),ISNUMBER(Asset_Operations!F6),Asset_Operations!B6&gt;0,ABS((Asset_Operations!E6+Asset_Operations!F6)-Asset_Operations!B6)/Asset_Operations!B6&gt;0.02),FALSE),"⚠","✓"))</f>
        <v/>
      </c>
      <c r="E9" s="49">
        <f>IF(NOT(AND(IFERROR('Company_Master'!A6&lt;&gt;"",FALSE),ISNUMBER(Asset_Operations!AR6))),"—",IF(IFERROR(AND(ISNUMBER(Asset_Operations!AR6),OR(Asset_Operations!AR6&lt;0.15,Asset_Operations!AR6&gt;0.27)),FALSE),"⚠","✓"))</f>
        <v/>
      </c>
      <c r="F9" s="49">
        <f>IF(NOT(AND(IFERROR('Company_Master'!A6&lt;&gt;"",FALSE),AND(ISNUMBER(Financials!Q6),ISNUMBER(Financials!R6)))),"—",IF(IFERROR(AND(ISNUMBER(Financials!Q6),ISNUMBER(Financials!R6),ISNUMBER(Financials!S6),ABS((Financials!R6-Financials!Q6)-Financials!S6)/MAX(ABS(Financials!S6),1)&gt;0.05),FALSE),"⚠","✓"))</f>
        <v/>
      </c>
      <c r="G9" s="49">
        <f>IF(NOT(AND(IFERROR('Company_Master'!A6&lt;&gt;"",FALSE),AND(ISNUMBER(Financials!I6),ISNUMBER(Financials!L6),ISNUMBER(Financials!O6)))),"—",IF(IFERROR(AND(ISNUMBER(Financials!I6),ISNUMBER(Financials!L6),ISNUMBER(Financials!O6),Financials!I6&gt;0,ABS(Financials!I6-(Financials!L6+Financials!O6))/Financials!I6&gt;0.01),FALSE),"⚠","✓"))</f>
        <v/>
      </c>
      <c r="H9" s="49">
        <f>IF(NOT(AND(IFERROR('Company_Master'!A6&lt;&gt;"",FALSE),AND(ISNUMBER(Financials!E6),ISNUMBER(Financials!F6)))),"—",IF(IFERROR(AND(ISNUMBER(Financials!E6),ISNUMBER(Financials!F6),Financials!E6&lt;Financials!F6),FALSE),"⚠","✓"))</f>
        <v/>
      </c>
      <c r="I9" s="49">
        <f>IF(NOT(AND(IFERROR('Company_Master'!A6&lt;&gt;"",FALSE),AND(ISNUMBER(Financials!C6),ISNUMBER(Financials!E6)))),"—",IF(IFERROR(AND(ISNUMBER(Financials!C6),ISNUMBER(Financials!E6),Financials!C6=0,Financials!E6&gt;0),FALSE),"⚠","✓"))</f>
        <v/>
      </c>
      <c r="J9" s="49">
        <f>IF(NOT(AND(IFERROR('Company_Master'!A6&lt;&gt;"",FALSE),COUNTIF('Raw_Extract'!A:A,'Company_Master'!A6)&gt;0)),"—",IF(COUNTIFS('Raw_Extract'!A:A,'Company_Master'!A6,'Raw_Extract'!J:J,"Low")&gt;0,"⚠","✓"))</f>
        <v/>
      </c>
      <c r="K9" s="49">
        <f>IF(NOT(AND(IFERROR('Company_Master'!A6&lt;&gt;"",FALSE),AND(ISNUMBER(Financials!E6),ISNUMBER(Financials!AP6)))),"—",IF(IFERROR(AND(ISNUMBER(Financials!E6),ISNUMBER(Financials!AP6),Financials!E6&lt;&gt;0,ABS(Financials!E6-Financials!AP6)/ABS(Financials!E6)&gt;0.05),FALSE),"⚠","✓"))</f>
        <v/>
      </c>
      <c r="L9" s="49">
        <f>IF(NOT(AND(IFERROR('Company_Master'!A6&lt;&gt;"",FALSE),AND(ISNUMBER(Financials!AR6),ISNUMBER(Financials!S6)))),"—",IF(IFERROR(AND(ISNUMBER(Financials!AR6),ISNUMBER(Financials!S6),Financials!S6&lt;&gt;0,ABS(Financials!AR6-Financials!S6)/MAX(ABS(Financials!S6),1)&gt;0.05),FALSE),"⚠","✓"))</f>
        <v/>
      </c>
      <c r="M9" s="49">
        <f>IF(NOT(AND(IFERROR('Company_Master'!A6&lt;&gt;"",FALSE),AND(ISNUMBER(Asset_Operations!BE6),ISNUMBER(Asset_Operations!AR6)))),"—",IF(IFERROR(AND(ISNUMBER(Asset_Operations!BE6),ISNUMBER(Asset_Operations!AR6),ABS(Asset_Operations!BE6-Asset_Operations!AR6)&gt;0.05),FALSE),"⚠","✓"))</f>
        <v/>
      </c>
      <c r="N9" s="49">
        <f>IF(NOT(AND(IFERROR('Company_Master'!A6&lt;&gt;"",FALSE),ISNUMBER(Financials!C6))),"—",IF(IFERROR(AND(ISNUMBER(Financials!C6),OR(Financials!C6&lt;50,Financials!C6&gt;200000)),FALSE),"⚠","✓"))</f>
        <v/>
      </c>
      <c r="O9" s="50">
        <f>COUNTIF(C9:N9,"⚠")</f>
        <v/>
      </c>
      <c r="P9" s="50">
        <f>COUNTIF(C9:N9,"✓")</f>
        <v/>
      </c>
      <c r="Q9" s="46">
        <f>IF(NOT(IFERROR('Company_Master'!A6&lt;&gt;"",FALSE)),"",IF(O9&gt;0,"⚠ "&amp;O9&amp;" issue(s) detected",IF(P9=0,"— No data to validate","✓ All "&amp;P9&amp;" checks passed")))</f>
        <v/>
      </c>
    </row>
    <row r="10">
      <c r="A10" s="47" t="n">
        <v>6</v>
      </c>
      <c r="B10" s="48">
        <f>IFERROR('Company_Master'!A7,"")</f>
        <v/>
      </c>
      <c r="C10" s="49">
        <f>IF(NOT(AND(IFERROR('Company_Master'!A7&lt;&gt;"",FALSE),OR(ISNUMBER(Asset_Operations!B7),ISNUMBER(Asset_Operations!C7),ISNUMBER(Asset_Operations!D7)))),"—",IF(IFERROR(AND(ISNUMBER(Asset_Operations!B7),ISNUMBER(Asset_Operations!C7),ISNUMBER(Asset_Operations!D7),Asset_Operations!B7&gt;0,ABS((Asset_Operations!C7+Asset_Operations!D7)-Asset_Operations!B7)/Asset_Operations!B7&gt;0.02),FALSE),"⚠","✓"))</f>
        <v/>
      </c>
      <c r="D10" s="49">
        <f>IF(NOT(AND(IFERROR('Company_Master'!A7&lt;&gt;"",FALSE),OR(ISNUMBER(Asset_Operations!B7),ISNUMBER(Asset_Operations!E7),ISNUMBER(Asset_Operations!F7)))),"—",IF(IFERROR(AND(ISNUMBER(Asset_Operations!B7),ISNUMBER(Asset_Operations!E7),ISNUMBER(Asset_Operations!F7),Asset_Operations!B7&gt;0,ABS((Asset_Operations!E7+Asset_Operations!F7)-Asset_Operations!B7)/Asset_Operations!B7&gt;0.02),FALSE),"⚠","✓"))</f>
        <v/>
      </c>
      <c r="E10" s="49">
        <f>IF(NOT(AND(IFERROR('Company_Master'!A7&lt;&gt;"",FALSE),ISNUMBER(Asset_Operations!AR7))),"—",IF(IFERROR(AND(ISNUMBER(Asset_Operations!AR7),OR(Asset_Operations!AR7&lt;0.15,Asset_Operations!AR7&gt;0.27)),FALSE),"⚠","✓"))</f>
        <v/>
      </c>
      <c r="F10" s="49">
        <f>IF(NOT(AND(IFERROR('Company_Master'!A7&lt;&gt;"",FALSE),AND(ISNUMBER(Financials!Q7),ISNUMBER(Financials!R7)))),"—",IF(IFERROR(AND(ISNUMBER(Financials!Q7),ISNUMBER(Financials!R7),ISNUMBER(Financials!S7),ABS((Financials!R7-Financials!Q7)-Financials!S7)/MAX(ABS(Financials!S7),1)&gt;0.05),FALSE),"⚠","✓"))</f>
        <v/>
      </c>
      <c r="G10" s="49">
        <f>IF(NOT(AND(IFERROR('Company_Master'!A7&lt;&gt;"",FALSE),AND(ISNUMBER(Financials!I7),ISNUMBER(Financials!L7),ISNUMBER(Financials!O7)))),"—",IF(IFERROR(AND(ISNUMBER(Financials!I7),ISNUMBER(Financials!L7),ISNUMBER(Financials!O7),Financials!I7&gt;0,ABS(Financials!I7-(Financials!L7+Financials!O7))/Financials!I7&gt;0.01),FALSE),"⚠","✓"))</f>
        <v/>
      </c>
      <c r="H10" s="49">
        <f>IF(NOT(AND(IFERROR('Company_Master'!A7&lt;&gt;"",FALSE),AND(ISNUMBER(Financials!E7),ISNUMBER(Financials!F7)))),"—",IF(IFERROR(AND(ISNUMBER(Financials!E7),ISNUMBER(Financials!F7),Financials!E7&lt;Financials!F7),FALSE),"⚠","✓"))</f>
        <v/>
      </c>
      <c r="I10" s="49">
        <f>IF(NOT(AND(IFERROR('Company_Master'!A7&lt;&gt;"",FALSE),AND(ISNUMBER(Financials!C7),ISNUMBER(Financials!E7)))),"—",IF(IFERROR(AND(ISNUMBER(Financials!C7),ISNUMBER(Financials!E7),Financials!C7=0,Financials!E7&gt;0),FALSE),"⚠","✓"))</f>
        <v/>
      </c>
      <c r="J10" s="49">
        <f>IF(NOT(AND(IFERROR('Company_Master'!A7&lt;&gt;"",FALSE),COUNTIF('Raw_Extract'!A:A,'Company_Master'!A7)&gt;0)),"—",IF(COUNTIFS('Raw_Extract'!A:A,'Company_Master'!A7,'Raw_Extract'!J:J,"Low")&gt;0,"⚠","✓"))</f>
        <v/>
      </c>
      <c r="K10" s="49">
        <f>IF(NOT(AND(IFERROR('Company_Master'!A7&lt;&gt;"",FALSE),AND(ISNUMBER(Financials!E7),ISNUMBER(Financials!AP7)))),"—",IF(IFERROR(AND(ISNUMBER(Financials!E7),ISNUMBER(Financials!AP7),Financials!E7&lt;&gt;0,ABS(Financials!E7-Financials!AP7)/ABS(Financials!E7)&gt;0.05),FALSE),"⚠","✓"))</f>
        <v/>
      </c>
      <c r="L10" s="49">
        <f>IF(NOT(AND(IFERROR('Company_Master'!A7&lt;&gt;"",FALSE),AND(ISNUMBER(Financials!AR7),ISNUMBER(Financials!S7)))),"—",IF(IFERROR(AND(ISNUMBER(Financials!AR7),ISNUMBER(Financials!S7),Financials!S7&lt;&gt;0,ABS(Financials!AR7-Financials!S7)/MAX(ABS(Financials!S7),1)&gt;0.05),FALSE),"⚠","✓"))</f>
        <v/>
      </c>
      <c r="M10" s="49">
        <f>IF(NOT(AND(IFERROR('Company_Master'!A7&lt;&gt;"",FALSE),AND(ISNUMBER(Asset_Operations!BE7),ISNUMBER(Asset_Operations!AR7)))),"—",IF(IFERROR(AND(ISNUMBER(Asset_Operations!BE7),ISNUMBER(Asset_Operations!AR7),ABS(Asset_Operations!BE7-Asset_Operations!AR7)&gt;0.05),FALSE),"⚠","✓"))</f>
        <v/>
      </c>
      <c r="N10" s="49">
        <f>IF(NOT(AND(IFERROR('Company_Master'!A7&lt;&gt;"",FALSE),ISNUMBER(Financials!C7))),"—",IF(IFERROR(AND(ISNUMBER(Financials!C7),OR(Financials!C7&lt;50,Financials!C7&gt;200000)),FALSE),"⚠","✓"))</f>
        <v/>
      </c>
      <c r="O10" s="50">
        <f>COUNTIF(C10:N10,"⚠")</f>
        <v/>
      </c>
      <c r="P10" s="50">
        <f>COUNTIF(C10:N10,"✓")</f>
        <v/>
      </c>
      <c r="Q10" s="46">
        <f>IF(NOT(IFERROR('Company_Master'!A7&lt;&gt;"",FALSE)),"",IF(O10&gt;0,"⚠ "&amp;O10&amp;" issue(s) detected",IF(P10=0,"— No data to validate","✓ All "&amp;P10&amp;" checks passed")))</f>
        <v/>
      </c>
    </row>
    <row r="11">
      <c r="A11" s="47" t="n">
        <v>7</v>
      </c>
      <c r="B11" s="48">
        <f>IFERROR('Company_Master'!A8,"")</f>
        <v/>
      </c>
      <c r="C11" s="49">
        <f>IF(NOT(AND(IFERROR('Company_Master'!A8&lt;&gt;"",FALSE),OR(ISNUMBER(Asset_Operations!B8),ISNUMBER(Asset_Operations!C8),ISNUMBER(Asset_Operations!D8)))),"—",IF(IFERROR(AND(ISNUMBER(Asset_Operations!B8),ISNUMBER(Asset_Operations!C8),ISNUMBER(Asset_Operations!D8),Asset_Operations!B8&gt;0,ABS((Asset_Operations!C8+Asset_Operations!D8)-Asset_Operations!B8)/Asset_Operations!B8&gt;0.02),FALSE),"⚠","✓"))</f>
        <v/>
      </c>
      <c r="D11" s="49">
        <f>IF(NOT(AND(IFERROR('Company_Master'!A8&lt;&gt;"",FALSE),OR(ISNUMBER(Asset_Operations!B8),ISNUMBER(Asset_Operations!E8),ISNUMBER(Asset_Operations!F8)))),"—",IF(IFERROR(AND(ISNUMBER(Asset_Operations!B8),ISNUMBER(Asset_Operations!E8),ISNUMBER(Asset_Operations!F8),Asset_Operations!B8&gt;0,ABS((Asset_Operations!E8+Asset_Operations!F8)-Asset_Operations!B8)/Asset_Operations!B8&gt;0.02),FALSE),"⚠","✓"))</f>
        <v/>
      </c>
      <c r="E11" s="49">
        <f>IF(NOT(AND(IFERROR('Company_Master'!A8&lt;&gt;"",FALSE),ISNUMBER(Asset_Operations!AR8))),"—",IF(IFERROR(AND(ISNUMBER(Asset_Operations!AR8),OR(Asset_Operations!AR8&lt;0.15,Asset_Operations!AR8&gt;0.27)),FALSE),"⚠","✓"))</f>
        <v/>
      </c>
      <c r="F11" s="49">
        <f>IF(NOT(AND(IFERROR('Company_Master'!A8&lt;&gt;"",FALSE),AND(ISNUMBER(Financials!Q8),ISNUMBER(Financials!R8)))),"—",IF(IFERROR(AND(ISNUMBER(Financials!Q8),ISNUMBER(Financials!R8),ISNUMBER(Financials!S8),ABS((Financials!R8-Financials!Q8)-Financials!S8)/MAX(ABS(Financials!S8),1)&gt;0.05),FALSE),"⚠","✓"))</f>
        <v/>
      </c>
      <c r="G11" s="49">
        <f>IF(NOT(AND(IFERROR('Company_Master'!A8&lt;&gt;"",FALSE),AND(ISNUMBER(Financials!I8),ISNUMBER(Financials!L8),ISNUMBER(Financials!O8)))),"—",IF(IFERROR(AND(ISNUMBER(Financials!I8),ISNUMBER(Financials!L8),ISNUMBER(Financials!O8),Financials!I8&gt;0,ABS(Financials!I8-(Financials!L8+Financials!O8))/Financials!I8&gt;0.01),FALSE),"⚠","✓"))</f>
        <v/>
      </c>
      <c r="H11" s="49">
        <f>IF(NOT(AND(IFERROR('Company_Master'!A8&lt;&gt;"",FALSE),AND(ISNUMBER(Financials!E8),ISNUMBER(Financials!F8)))),"—",IF(IFERROR(AND(ISNUMBER(Financials!E8),ISNUMBER(Financials!F8),Financials!E8&lt;Financials!F8),FALSE),"⚠","✓"))</f>
        <v/>
      </c>
      <c r="I11" s="49">
        <f>IF(NOT(AND(IFERROR('Company_Master'!A8&lt;&gt;"",FALSE),AND(ISNUMBER(Financials!C8),ISNUMBER(Financials!E8)))),"—",IF(IFERROR(AND(ISNUMBER(Financials!C8),ISNUMBER(Financials!E8),Financials!C8=0,Financials!E8&gt;0),FALSE),"⚠","✓"))</f>
        <v/>
      </c>
      <c r="J11" s="49">
        <f>IF(NOT(AND(IFERROR('Company_Master'!A8&lt;&gt;"",FALSE),COUNTIF('Raw_Extract'!A:A,'Company_Master'!A8)&gt;0)),"—",IF(COUNTIFS('Raw_Extract'!A:A,'Company_Master'!A8,'Raw_Extract'!J:J,"Low")&gt;0,"⚠","✓"))</f>
        <v/>
      </c>
      <c r="K11" s="49">
        <f>IF(NOT(AND(IFERROR('Company_Master'!A8&lt;&gt;"",FALSE),AND(ISNUMBER(Financials!E8),ISNUMBER(Financials!AP8)))),"—",IF(IFERROR(AND(ISNUMBER(Financials!E8),ISNUMBER(Financials!AP8),Financials!E8&lt;&gt;0,ABS(Financials!E8-Financials!AP8)/ABS(Financials!E8)&gt;0.05),FALSE),"⚠","✓"))</f>
        <v/>
      </c>
      <c r="L11" s="49">
        <f>IF(NOT(AND(IFERROR('Company_Master'!A8&lt;&gt;"",FALSE),AND(ISNUMBER(Financials!AR8),ISNUMBER(Financials!S8)))),"—",IF(IFERROR(AND(ISNUMBER(Financials!AR8),ISNUMBER(Financials!S8),Financials!S8&lt;&gt;0,ABS(Financials!AR8-Financials!S8)/MAX(ABS(Financials!S8),1)&gt;0.05),FALSE),"⚠","✓"))</f>
        <v/>
      </c>
      <c r="M11" s="49">
        <f>IF(NOT(AND(IFERROR('Company_Master'!A8&lt;&gt;"",FALSE),AND(ISNUMBER(Asset_Operations!BE8),ISNUMBER(Asset_Operations!AR8)))),"—",IF(IFERROR(AND(ISNUMBER(Asset_Operations!BE8),ISNUMBER(Asset_Operations!AR8),ABS(Asset_Operations!BE8-Asset_Operations!AR8)&gt;0.05),FALSE),"⚠","✓"))</f>
        <v/>
      </c>
      <c r="N11" s="49">
        <f>IF(NOT(AND(IFERROR('Company_Master'!A8&lt;&gt;"",FALSE),ISNUMBER(Financials!C8))),"—",IF(IFERROR(AND(ISNUMBER(Financials!C8),OR(Financials!C8&lt;50,Financials!C8&gt;200000)),FALSE),"⚠","✓"))</f>
        <v/>
      </c>
      <c r="O11" s="50">
        <f>COUNTIF(C11:N11,"⚠")</f>
        <v/>
      </c>
      <c r="P11" s="50">
        <f>COUNTIF(C11:N11,"✓")</f>
        <v/>
      </c>
      <c r="Q11" s="46">
        <f>IF(NOT(IFERROR('Company_Master'!A8&lt;&gt;"",FALSE)),"",IF(O11&gt;0,"⚠ "&amp;O11&amp;" issue(s) detected",IF(P11=0,"— No data to validate","✓ All "&amp;P11&amp;" checks passed")))</f>
        <v/>
      </c>
    </row>
    <row r="12">
      <c r="A12" s="47" t="n">
        <v>8</v>
      </c>
      <c r="B12" s="48">
        <f>IFERROR('Company_Master'!A9,"")</f>
        <v/>
      </c>
      <c r="C12" s="49">
        <f>IF(NOT(AND(IFERROR('Company_Master'!A9&lt;&gt;"",FALSE),OR(ISNUMBER(Asset_Operations!B9),ISNUMBER(Asset_Operations!C9),ISNUMBER(Asset_Operations!D9)))),"—",IF(IFERROR(AND(ISNUMBER(Asset_Operations!B9),ISNUMBER(Asset_Operations!C9),ISNUMBER(Asset_Operations!D9),Asset_Operations!B9&gt;0,ABS((Asset_Operations!C9+Asset_Operations!D9)-Asset_Operations!B9)/Asset_Operations!B9&gt;0.02),FALSE),"⚠","✓"))</f>
        <v/>
      </c>
      <c r="D12" s="49">
        <f>IF(NOT(AND(IFERROR('Company_Master'!A9&lt;&gt;"",FALSE),OR(ISNUMBER(Asset_Operations!B9),ISNUMBER(Asset_Operations!E9),ISNUMBER(Asset_Operations!F9)))),"—",IF(IFERROR(AND(ISNUMBER(Asset_Operations!B9),ISNUMBER(Asset_Operations!E9),ISNUMBER(Asset_Operations!F9),Asset_Operations!B9&gt;0,ABS((Asset_Operations!E9+Asset_Operations!F9)-Asset_Operations!B9)/Asset_Operations!B9&gt;0.02),FALSE),"⚠","✓"))</f>
        <v/>
      </c>
      <c r="E12" s="49">
        <f>IF(NOT(AND(IFERROR('Company_Master'!A9&lt;&gt;"",FALSE),ISNUMBER(Asset_Operations!AR9))),"—",IF(IFERROR(AND(ISNUMBER(Asset_Operations!AR9),OR(Asset_Operations!AR9&lt;0.15,Asset_Operations!AR9&gt;0.27)),FALSE),"⚠","✓"))</f>
        <v/>
      </c>
      <c r="F12" s="49">
        <f>IF(NOT(AND(IFERROR('Company_Master'!A9&lt;&gt;"",FALSE),AND(ISNUMBER(Financials!Q9),ISNUMBER(Financials!R9)))),"—",IF(IFERROR(AND(ISNUMBER(Financials!Q9),ISNUMBER(Financials!R9),ISNUMBER(Financials!S9),ABS((Financials!R9-Financials!Q9)-Financials!S9)/MAX(ABS(Financials!S9),1)&gt;0.05),FALSE),"⚠","✓"))</f>
        <v/>
      </c>
      <c r="G12" s="49">
        <f>IF(NOT(AND(IFERROR('Company_Master'!A9&lt;&gt;"",FALSE),AND(ISNUMBER(Financials!I9),ISNUMBER(Financials!L9),ISNUMBER(Financials!O9)))),"—",IF(IFERROR(AND(ISNUMBER(Financials!I9),ISNUMBER(Financials!L9),ISNUMBER(Financials!O9),Financials!I9&gt;0,ABS(Financials!I9-(Financials!L9+Financials!O9))/Financials!I9&gt;0.01),FALSE),"⚠","✓"))</f>
        <v/>
      </c>
      <c r="H12" s="49">
        <f>IF(NOT(AND(IFERROR('Company_Master'!A9&lt;&gt;"",FALSE),AND(ISNUMBER(Financials!E9),ISNUMBER(Financials!F9)))),"—",IF(IFERROR(AND(ISNUMBER(Financials!E9),ISNUMBER(Financials!F9),Financials!E9&lt;Financials!F9),FALSE),"⚠","✓"))</f>
        <v/>
      </c>
      <c r="I12" s="49">
        <f>IF(NOT(AND(IFERROR('Company_Master'!A9&lt;&gt;"",FALSE),AND(ISNUMBER(Financials!C9),ISNUMBER(Financials!E9)))),"—",IF(IFERROR(AND(ISNUMBER(Financials!C9),ISNUMBER(Financials!E9),Financials!C9=0,Financials!E9&gt;0),FALSE),"⚠","✓"))</f>
        <v/>
      </c>
      <c r="J12" s="49">
        <f>IF(NOT(AND(IFERROR('Company_Master'!A9&lt;&gt;"",FALSE),COUNTIF('Raw_Extract'!A:A,'Company_Master'!A9)&gt;0)),"—",IF(COUNTIFS('Raw_Extract'!A:A,'Company_Master'!A9,'Raw_Extract'!J:J,"Low")&gt;0,"⚠","✓"))</f>
        <v/>
      </c>
      <c r="K12" s="49">
        <f>IF(NOT(AND(IFERROR('Company_Master'!A9&lt;&gt;"",FALSE),AND(ISNUMBER(Financials!E9),ISNUMBER(Financials!AP9)))),"—",IF(IFERROR(AND(ISNUMBER(Financials!E9),ISNUMBER(Financials!AP9),Financials!E9&lt;&gt;0,ABS(Financials!E9-Financials!AP9)/ABS(Financials!E9)&gt;0.05),FALSE),"⚠","✓"))</f>
        <v/>
      </c>
      <c r="L12" s="49">
        <f>IF(NOT(AND(IFERROR('Company_Master'!A9&lt;&gt;"",FALSE),AND(ISNUMBER(Financials!AR9),ISNUMBER(Financials!S9)))),"—",IF(IFERROR(AND(ISNUMBER(Financials!AR9),ISNUMBER(Financials!S9),Financials!S9&lt;&gt;0,ABS(Financials!AR9-Financials!S9)/MAX(ABS(Financials!S9),1)&gt;0.05),FALSE),"⚠","✓"))</f>
        <v/>
      </c>
      <c r="M12" s="49">
        <f>IF(NOT(AND(IFERROR('Company_Master'!A9&lt;&gt;"",FALSE),AND(ISNUMBER(Asset_Operations!BE9),ISNUMBER(Asset_Operations!AR9)))),"—",IF(IFERROR(AND(ISNUMBER(Asset_Operations!BE9),ISNUMBER(Asset_Operations!AR9),ABS(Asset_Operations!BE9-Asset_Operations!AR9)&gt;0.05),FALSE),"⚠","✓"))</f>
        <v/>
      </c>
      <c r="N12" s="49">
        <f>IF(NOT(AND(IFERROR('Company_Master'!A9&lt;&gt;"",FALSE),ISNUMBER(Financials!C9))),"—",IF(IFERROR(AND(ISNUMBER(Financials!C9),OR(Financials!C9&lt;50,Financials!C9&gt;200000)),FALSE),"⚠","✓"))</f>
        <v/>
      </c>
      <c r="O12" s="50">
        <f>COUNTIF(C12:N12,"⚠")</f>
        <v/>
      </c>
      <c r="P12" s="50">
        <f>COUNTIF(C12:N12,"✓")</f>
        <v/>
      </c>
      <c r="Q12" s="46">
        <f>IF(NOT(IFERROR('Company_Master'!A9&lt;&gt;"",FALSE)),"",IF(O12&gt;0,"⚠ "&amp;O12&amp;" issue(s) detected",IF(P12=0,"— No data to validate","✓ All "&amp;P12&amp;" checks passed")))</f>
        <v/>
      </c>
    </row>
    <row r="13">
      <c r="A13" s="47" t="n">
        <v>9</v>
      </c>
      <c r="B13" s="48">
        <f>IFERROR('Company_Master'!A10,"")</f>
        <v/>
      </c>
      <c r="C13" s="49">
        <f>IF(NOT(AND(IFERROR('Company_Master'!A10&lt;&gt;"",FALSE),OR(ISNUMBER(Asset_Operations!B10),ISNUMBER(Asset_Operations!C10),ISNUMBER(Asset_Operations!D10)))),"—",IF(IFERROR(AND(ISNUMBER(Asset_Operations!B10),ISNUMBER(Asset_Operations!C10),ISNUMBER(Asset_Operations!D10),Asset_Operations!B10&gt;0,ABS((Asset_Operations!C10+Asset_Operations!D10)-Asset_Operations!B10)/Asset_Operations!B10&gt;0.02),FALSE),"⚠","✓"))</f>
        <v/>
      </c>
      <c r="D13" s="49">
        <f>IF(NOT(AND(IFERROR('Company_Master'!A10&lt;&gt;"",FALSE),OR(ISNUMBER(Asset_Operations!B10),ISNUMBER(Asset_Operations!E10),ISNUMBER(Asset_Operations!F10)))),"—",IF(IFERROR(AND(ISNUMBER(Asset_Operations!B10),ISNUMBER(Asset_Operations!E10),ISNUMBER(Asset_Operations!F10),Asset_Operations!B10&gt;0,ABS((Asset_Operations!E10+Asset_Operations!F10)-Asset_Operations!B10)/Asset_Operations!B10&gt;0.02),FALSE),"⚠","✓"))</f>
        <v/>
      </c>
      <c r="E13" s="49">
        <f>IF(NOT(AND(IFERROR('Company_Master'!A10&lt;&gt;"",FALSE),ISNUMBER(Asset_Operations!AR10))),"—",IF(IFERROR(AND(ISNUMBER(Asset_Operations!AR10),OR(Asset_Operations!AR10&lt;0.15,Asset_Operations!AR10&gt;0.27)),FALSE),"⚠","✓"))</f>
        <v/>
      </c>
      <c r="F13" s="49">
        <f>IF(NOT(AND(IFERROR('Company_Master'!A10&lt;&gt;"",FALSE),AND(ISNUMBER(Financials!Q10),ISNUMBER(Financials!R10)))),"—",IF(IFERROR(AND(ISNUMBER(Financials!Q10),ISNUMBER(Financials!R10),ISNUMBER(Financials!S10),ABS((Financials!R10-Financials!Q10)-Financials!S10)/MAX(ABS(Financials!S10),1)&gt;0.05),FALSE),"⚠","✓"))</f>
        <v/>
      </c>
      <c r="G13" s="49">
        <f>IF(NOT(AND(IFERROR('Company_Master'!A10&lt;&gt;"",FALSE),AND(ISNUMBER(Financials!I10),ISNUMBER(Financials!L10),ISNUMBER(Financials!O10)))),"—",IF(IFERROR(AND(ISNUMBER(Financials!I10),ISNUMBER(Financials!L10),ISNUMBER(Financials!O10),Financials!I10&gt;0,ABS(Financials!I10-(Financials!L10+Financials!O10))/Financials!I10&gt;0.01),FALSE),"⚠","✓"))</f>
        <v/>
      </c>
      <c r="H13" s="49">
        <f>IF(NOT(AND(IFERROR('Company_Master'!A10&lt;&gt;"",FALSE),AND(ISNUMBER(Financials!E10),ISNUMBER(Financials!F10)))),"—",IF(IFERROR(AND(ISNUMBER(Financials!E10),ISNUMBER(Financials!F10),Financials!E10&lt;Financials!F10),FALSE),"⚠","✓"))</f>
        <v/>
      </c>
      <c r="I13" s="49">
        <f>IF(NOT(AND(IFERROR('Company_Master'!A10&lt;&gt;"",FALSE),AND(ISNUMBER(Financials!C10),ISNUMBER(Financials!E10)))),"—",IF(IFERROR(AND(ISNUMBER(Financials!C10),ISNUMBER(Financials!E10),Financials!C10=0,Financials!E10&gt;0),FALSE),"⚠","✓"))</f>
        <v/>
      </c>
      <c r="J13" s="49">
        <f>IF(NOT(AND(IFERROR('Company_Master'!A10&lt;&gt;"",FALSE),COUNTIF('Raw_Extract'!A:A,'Company_Master'!A10)&gt;0)),"—",IF(COUNTIFS('Raw_Extract'!A:A,'Company_Master'!A10,'Raw_Extract'!J:J,"Low")&gt;0,"⚠","✓"))</f>
        <v/>
      </c>
      <c r="K13" s="49">
        <f>IF(NOT(AND(IFERROR('Company_Master'!A10&lt;&gt;"",FALSE),AND(ISNUMBER(Financials!E10),ISNUMBER(Financials!AP10)))),"—",IF(IFERROR(AND(ISNUMBER(Financials!E10),ISNUMBER(Financials!AP10),Financials!E10&lt;&gt;0,ABS(Financials!E10-Financials!AP10)/ABS(Financials!E10)&gt;0.05),FALSE),"⚠","✓"))</f>
        <v/>
      </c>
      <c r="L13" s="49">
        <f>IF(NOT(AND(IFERROR('Company_Master'!A10&lt;&gt;"",FALSE),AND(ISNUMBER(Financials!AR10),ISNUMBER(Financials!S10)))),"—",IF(IFERROR(AND(ISNUMBER(Financials!AR10),ISNUMBER(Financials!S10),Financials!S10&lt;&gt;0,ABS(Financials!AR10-Financials!S10)/MAX(ABS(Financials!S10),1)&gt;0.05),FALSE),"⚠","✓"))</f>
        <v/>
      </c>
      <c r="M13" s="49">
        <f>IF(NOT(AND(IFERROR('Company_Master'!A10&lt;&gt;"",FALSE),AND(ISNUMBER(Asset_Operations!BE10),ISNUMBER(Asset_Operations!AR10)))),"—",IF(IFERROR(AND(ISNUMBER(Asset_Operations!BE10),ISNUMBER(Asset_Operations!AR10),ABS(Asset_Operations!BE10-Asset_Operations!AR10)&gt;0.05),FALSE),"⚠","✓"))</f>
        <v/>
      </c>
      <c r="N13" s="49">
        <f>IF(NOT(AND(IFERROR('Company_Master'!A10&lt;&gt;"",FALSE),ISNUMBER(Financials!C10))),"—",IF(IFERROR(AND(ISNUMBER(Financials!C10),OR(Financials!C10&lt;50,Financials!C10&gt;200000)),FALSE),"⚠","✓"))</f>
        <v/>
      </c>
      <c r="O13" s="50">
        <f>COUNTIF(C13:N13,"⚠")</f>
        <v/>
      </c>
      <c r="P13" s="50">
        <f>COUNTIF(C13:N13,"✓")</f>
        <v/>
      </c>
      <c r="Q13" s="46">
        <f>IF(NOT(IFERROR('Company_Master'!A10&lt;&gt;"",FALSE)),"",IF(O13&gt;0,"⚠ "&amp;O13&amp;" issue(s) detected",IF(P13=0,"— No data to validate","✓ All "&amp;P13&amp;" checks passed")))</f>
        <v/>
      </c>
    </row>
    <row r="14">
      <c r="A14" s="47" t="n">
        <v>10</v>
      </c>
      <c r="B14" s="48">
        <f>IFERROR('Company_Master'!A11,"")</f>
        <v/>
      </c>
      <c r="C14" s="49">
        <f>IF(NOT(AND(IFERROR('Company_Master'!A11&lt;&gt;"",FALSE),OR(ISNUMBER(Asset_Operations!B11),ISNUMBER(Asset_Operations!C11),ISNUMBER(Asset_Operations!D11)))),"—",IF(IFERROR(AND(ISNUMBER(Asset_Operations!B11),ISNUMBER(Asset_Operations!C11),ISNUMBER(Asset_Operations!D11),Asset_Operations!B11&gt;0,ABS((Asset_Operations!C11+Asset_Operations!D11)-Asset_Operations!B11)/Asset_Operations!B11&gt;0.02),FALSE),"⚠","✓"))</f>
        <v/>
      </c>
      <c r="D14" s="49">
        <f>IF(NOT(AND(IFERROR('Company_Master'!A11&lt;&gt;"",FALSE),OR(ISNUMBER(Asset_Operations!B11),ISNUMBER(Asset_Operations!E11),ISNUMBER(Asset_Operations!F11)))),"—",IF(IFERROR(AND(ISNUMBER(Asset_Operations!B11),ISNUMBER(Asset_Operations!E11),ISNUMBER(Asset_Operations!F11),Asset_Operations!B11&gt;0,ABS((Asset_Operations!E11+Asset_Operations!F11)-Asset_Operations!B11)/Asset_Operations!B11&gt;0.02),FALSE),"⚠","✓"))</f>
        <v/>
      </c>
      <c r="E14" s="49">
        <f>IF(NOT(AND(IFERROR('Company_Master'!A11&lt;&gt;"",FALSE),ISNUMBER(Asset_Operations!AR11))),"—",IF(IFERROR(AND(ISNUMBER(Asset_Operations!AR11),OR(Asset_Operations!AR11&lt;0.15,Asset_Operations!AR11&gt;0.27)),FALSE),"⚠","✓"))</f>
        <v/>
      </c>
      <c r="F14" s="49">
        <f>IF(NOT(AND(IFERROR('Company_Master'!A11&lt;&gt;"",FALSE),AND(ISNUMBER(Financials!Q11),ISNUMBER(Financials!R11)))),"—",IF(IFERROR(AND(ISNUMBER(Financials!Q11),ISNUMBER(Financials!R11),ISNUMBER(Financials!S11),ABS((Financials!R11-Financials!Q11)-Financials!S11)/MAX(ABS(Financials!S11),1)&gt;0.05),FALSE),"⚠","✓"))</f>
        <v/>
      </c>
      <c r="G14" s="49">
        <f>IF(NOT(AND(IFERROR('Company_Master'!A11&lt;&gt;"",FALSE),AND(ISNUMBER(Financials!I11),ISNUMBER(Financials!L11),ISNUMBER(Financials!O11)))),"—",IF(IFERROR(AND(ISNUMBER(Financials!I11),ISNUMBER(Financials!L11),ISNUMBER(Financials!O11),Financials!I11&gt;0,ABS(Financials!I11-(Financials!L11+Financials!O11))/Financials!I11&gt;0.01),FALSE),"⚠","✓"))</f>
        <v/>
      </c>
      <c r="H14" s="49">
        <f>IF(NOT(AND(IFERROR('Company_Master'!A11&lt;&gt;"",FALSE),AND(ISNUMBER(Financials!E11),ISNUMBER(Financials!F11)))),"—",IF(IFERROR(AND(ISNUMBER(Financials!E11),ISNUMBER(Financials!F11),Financials!E11&lt;Financials!F11),FALSE),"⚠","✓"))</f>
        <v/>
      </c>
      <c r="I14" s="49">
        <f>IF(NOT(AND(IFERROR('Company_Master'!A11&lt;&gt;"",FALSE),AND(ISNUMBER(Financials!C11),ISNUMBER(Financials!E11)))),"—",IF(IFERROR(AND(ISNUMBER(Financials!C11),ISNUMBER(Financials!E11),Financials!C11=0,Financials!E11&gt;0),FALSE),"⚠","✓"))</f>
        <v/>
      </c>
      <c r="J14" s="49">
        <f>IF(NOT(AND(IFERROR('Company_Master'!A11&lt;&gt;"",FALSE),COUNTIF('Raw_Extract'!A:A,'Company_Master'!A11)&gt;0)),"—",IF(COUNTIFS('Raw_Extract'!A:A,'Company_Master'!A11,'Raw_Extract'!J:J,"Low")&gt;0,"⚠","✓"))</f>
        <v/>
      </c>
      <c r="K14" s="49">
        <f>IF(NOT(AND(IFERROR('Company_Master'!A11&lt;&gt;"",FALSE),AND(ISNUMBER(Financials!E11),ISNUMBER(Financials!AP11)))),"—",IF(IFERROR(AND(ISNUMBER(Financials!E11),ISNUMBER(Financials!AP11),Financials!E11&lt;&gt;0,ABS(Financials!E11-Financials!AP11)/ABS(Financials!E11)&gt;0.05),FALSE),"⚠","✓"))</f>
        <v/>
      </c>
      <c r="L14" s="49">
        <f>IF(NOT(AND(IFERROR('Company_Master'!A11&lt;&gt;"",FALSE),AND(ISNUMBER(Financials!AR11),ISNUMBER(Financials!S11)))),"—",IF(IFERROR(AND(ISNUMBER(Financials!AR11),ISNUMBER(Financials!S11),Financials!S11&lt;&gt;0,ABS(Financials!AR11-Financials!S11)/MAX(ABS(Financials!S11),1)&gt;0.05),FALSE),"⚠","✓"))</f>
        <v/>
      </c>
      <c r="M14" s="49">
        <f>IF(NOT(AND(IFERROR('Company_Master'!A11&lt;&gt;"",FALSE),AND(ISNUMBER(Asset_Operations!BE11),ISNUMBER(Asset_Operations!AR11)))),"—",IF(IFERROR(AND(ISNUMBER(Asset_Operations!BE11),ISNUMBER(Asset_Operations!AR11),ABS(Asset_Operations!BE11-Asset_Operations!AR11)&gt;0.05),FALSE),"⚠","✓"))</f>
        <v/>
      </c>
      <c r="N14" s="49">
        <f>IF(NOT(AND(IFERROR('Company_Master'!A11&lt;&gt;"",FALSE),ISNUMBER(Financials!C11))),"—",IF(IFERROR(AND(ISNUMBER(Financials!C11),OR(Financials!C11&lt;50,Financials!C11&gt;200000)),FALSE),"⚠","✓"))</f>
        <v/>
      </c>
      <c r="O14" s="50">
        <f>COUNTIF(C14:N14,"⚠")</f>
        <v/>
      </c>
      <c r="P14" s="50">
        <f>COUNTIF(C14:N14,"✓")</f>
        <v/>
      </c>
      <c r="Q14" s="46">
        <f>IF(NOT(IFERROR('Company_Master'!A11&lt;&gt;"",FALSE)),"",IF(O14&gt;0,"⚠ "&amp;O14&amp;" issue(s) detected",IF(P14=0,"— No data to validate","✓ All "&amp;P14&amp;" checks passed")))</f>
        <v/>
      </c>
    </row>
    <row r="15">
      <c r="A15" s="47" t="n">
        <v>11</v>
      </c>
      <c r="B15" s="48">
        <f>IFERROR('Company_Master'!A12,"")</f>
        <v/>
      </c>
      <c r="C15" s="49">
        <f>IF(NOT(AND(IFERROR('Company_Master'!A12&lt;&gt;"",FALSE),OR(ISNUMBER(Asset_Operations!B12),ISNUMBER(Asset_Operations!C12),ISNUMBER(Asset_Operations!D12)))),"—",IF(IFERROR(AND(ISNUMBER(Asset_Operations!B12),ISNUMBER(Asset_Operations!C12),ISNUMBER(Asset_Operations!D12),Asset_Operations!B12&gt;0,ABS((Asset_Operations!C12+Asset_Operations!D12)-Asset_Operations!B12)/Asset_Operations!B12&gt;0.02),FALSE),"⚠","✓"))</f>
        <v/>
      </c>
      <c r="D15" s="49">
        <f>IF(NOT(AND(IFERROR('Company_Master'!A12&lt;&gt;"",FALSE),OR(ISNUMBER(Asset_Operations!B12),ISNUMBER(Asset_Operations!E12),ISNUMBER(Asset_Operations!F12)))),"—",IF(IFERROR(AND(ISNUMBER(Asset_Operations!B12),ISNUMBER(Asset_Operations!E12),ISNUMBER(Asset_Operations!F12),Asset_Operations!B12&gt;0,ABS((Asset_Operations!E12+Asset_Operations!F12)-Asset_Operations!B12)/Asset_Operations!B12&gt;0.02),FALSE),"⚠","✓"))</f>
        <v/>
      </c>
      <c r="E15" s="49">
        <f>IF(NOT(AND(IFERROR('Company_Master'!A12&lt;&gt;"",FALSE),ISNUMBER(Asset_Operations!AR12))),"—",IF(IFERROR(AND(ISNUMBER(Asset_Operations!AR12),OR(Asset_Operations!AR12&lt;0.15,Asset_Operations!AR12&gt;0.27)),FALSE),"⚠","✓"))</f>
        <v/>
      </c>
      <c r="F15" s="49">
        <f>IF(NOT(AND(IFERROR('Company_Master'!A12&lt;&gt;"",FALSE),AND(ISNUMBER(Financials!Q12),ISNUMBER(Financials!R12)))),"—",IF(IFERROR(AND(ISNUMBER(Financials!Q12),ISNUMBER(Financials!R12),ISNUMBER(Financials!S12),ABS((Financials!R12-Financials!Q12)-Financials!S12)/MAX(ABS(Financials!S12),1)&gt;0.05),FALSE),"⚠","✓"))</f>
        <v/>
      </c>
      <c r="G15" s="49">
        <f>IF(NOT(AND(IFERROR('Company_Master'!A12&lt;&gt;"",FALSE),AND(ISNUMBER(Financials!I12),ISNUMBER(Financials!L12),ISNUMBER(Financials!O12)))),"—",IF(IFERROR(AND(ISNUMBER(Financials!I12),ISNUMBER(Financials!L12),ISNUMBER(Financials!O12),Financials!I12&gt;0,ABS(Financials!I12-(Financials!L12+Financials!O12))/Financials!I12&gt;0.01),FALSE),"⚠","✓"))</f>
        <v/>
      </c>
      <c r="H15" s="49">
        <f>IF(NOT(AND(IFERROR('Company_Master'!A12&lt;&gt;"",FALSE),AND(ISNUMBER(Financials!E12),ISNUMBER(Financials!F12)))),"—",IF(IFERROR(AND(ISNUMBER(Financials!E12),ISNUMBER(Financials!F12),Financials!E12&lt;Financials!F12),FALSE),"⚠","✓"))</f>
        <v/>
      </c>
      <c r="I15" s="49">
        <f>IF(NOT(AND(IFERROR('Company_Master'!A12&lt;&gt;"",FALSE),AND(ISNUMBER(Financials!C12),ISNUMBER(Financials!E12)))),"—",IF(IFERROR(AND(ISNUMBER(Financials!C12),ISNUMBER(Financials!E12),Financials!C12=0,Financials!E12&gt;0),FALSE),"⚠","✓"))</f>
        <v/>
      </c>
      <c r="J15" s="49">
        <f>IF(NOT(AND(IFERROR('Company_Master'!A12&lt;&gt;"",FALSE),COUNTIF('Raw_Extract'!A:A,'Company_Master'!A12)&gt;0)),"—",IF(COUNTIFS('Raw_Extract'!A:A,'Company_Master'!A12,'Raw_Extract'!J:J,"Low")&gt;0,"⚠","✓"))</f>
        <v/>
      </c>
      <c r="K15" s="49">
        <f>IF(NOT(AND(IFERROR('Company_Master'!A12&lt;&gt;"",FALSE),AND(ISNUMBER(Financials!E12),ISNUMBER(Financials!AP12)))),"—",IF(IFERROR(AND(ISNUMBER(Financials!E12),ISNUMBER(Financials!AP12),Financials!E12&lt;&gt;0,ABS(Financials!E12-Financials!AP12)/ABS(Financials!E12)&gt;0.05),FALSE),"⚠","✓"))</f>
        <v/>
      </c>
      <c r="L15" s="49">
        <f>IF(NOT(AND(IFERROR('Company_Master'!A12&lt;&gt;"",FALSE),AND(ISNUMBER(Financials!AR12),ISNUMBER(Financials!S12)))),"—",IF(IFERROR(AND(ISNUMBER(Financials!AR12),ISNUMBER(Financials!S12),Financials!S12&lt;&gt;0,ABS(Financials!AR12-Financials!S12)/MAX(ABS(Financials!S12),1)&gt;0.05),FALSE),"⚠","✓"))</f>
        <v/>
      </c>
      <c r="M15" s="49">
        <f>IF(NOT(AND(IFERROR('Company_Master'!A12&lt;&gt;"",FALSE),AND(ISNUMBER(Asset_Operations!BE12),ISNUMBER(Asset_Operations!AR12)))),"—",IF(IFERROR(AND(ISNUMBER(Asset_Operations!BE12),ISNUMBER(Asset_Operations!AR12),ABS(Asset_Operations!BE12-Asset_Operations!AR12)&gt;0.05),FALSE),"⚠","✓"))</f>
        <v/>
      </c>
      <c r="N15" s="49">
        <f>IF(NOT(AND(IFERROR('Company_Master'!A12&lt;&gt;"",FALSE),ISNUMBER(Financials!C12))),"—",IF(IFERROR(AND(ISNUMBER(Financials!C12),OR(Financials!C12&lt;50,Financials!C12&gt;200000)),FALSE),"⚠","✓"))</f>
        <v/>
      </c>
      <c r="O15" s="50">
        <f>COUNTIF(C15:N15,"⚠")</f>
        <v/>
      </c>
      <c r="P15" s="50">
        <f>COUNTIF(C15:N15,"✓")</f>
        <v/>
      </c>
      <c r="Q15" s="46">
        <f>IF(NOT(IFERROR('Company_Master'!A12&lt;&gt;"",FALSE)),"",IF(O15&gt;0,"⚠ "&amp;O15&amp;" issue(s) detected",IF(P15=0,"— No data to validate","✓ All "&amp;P15&amp;" checks passed")))</f>
        <v/>
      </c>
    </row>
    <row r="16">
      <c r="A16" s="47" t="n">
        <v>12</v>
      </c>
      <c r="B16" s="48">
        <f>IFERROR('Company_Master'!A13,"")</f>
        <v/>
      </c>
      <c r="C16" s="49">
        <f>IF(NOT(AND(IFERROR('Company_Master'!A13&lt;&gt;"",FALSE),OR(ISNUMBER(Asset_Operations!B13),ISNUMBER(Asset_Operations!C13),ISNUMBER(Asset_Operations!D13)))),"—",IF(IFERROR(AND(ISNUMBER(Asset_Operations!B13),ISNUMBER(Asset_Operations!C13),ISNUMBER(Asset_Operations!D13),Asset_Operations!B13&gt;0,ABS((Asset_Operations!C13+Asset_Operations!D13)-Asset_Operations!B13)/Asset_Operations!B13&gt;0.02),FALSE),"⚠","✓"))</f>
        <v/>
      </c>
      <c r="D16" s="49">
        <f>IF(NOT(AND(IFERROR('Company_Master'!A13&lt;&gt;"",FALSE),OR(ISNUMBER(Asset_Operations!B13),ISNUMBER(Asset_Operations!E13),ISNUMBER(Asset_Operations!F13)))),"—",IF(IFERROR(AND(ISNUMBER(Asset_Operations!B13),ISNUMBER(Asset_Operations!E13),ISNUMBER(Asset_Operations!F13),Asset_Operations!B13&gt;0,ABS((Asset_Operations!E13+Asset_Operations!F13)-Asset_Operations!B13)/Asset_Operations!B13&gt;0.02),FALSE),"⚠","✓"))</f>
        <v/>
      </c>
      <c r="E16" s="49">
        <f>IF(NOT(AND(IFERROR('Company_Master'!A13&lt;&gt;"",FALSE),ISNUMBER(Asset_Operations!AR13))),"—",IF(IFERROR(AND(ISNUMBER(Asset_Operations!AR13),OR(Asset_Operations!AR13&lt;0.15,Asset_Operations!AR13&gt;0.27)),FALSE),"⚠","✓"))</f>
        <v/>
      </c>
      <c r="F16" s="49">
        <f>IF(NOT(AND(IFERROR('Company_Master'!A13&lt;&gt;"",FALSE),AND(ISNUMBER(Financials!Q13),ISNUMBER(Financials!R13)))),"—",IF(IFERROR(AND(ISNUMBER(Financials!Q13),ISNUMBER(Financials!R13),ISNUMBER(Financials!S13),ABS((Financials!R13-Financials!Q13)-Financials!S13)/MAX(ABS(Financials!S13),1)&gt;0.05),FALSE),"⚠","✓"))</f>
        <v/>
      </c>
      <c r="G16" s="49">
        <f>IF(NOT(AND(IFERROR('Company_Master'!A13&lt;&gt;"",FALSE),AND(ISNUMBER(Financials!I13),ISNUMBER(Financials!L13),ISNUMBER(Financials!O13)))),"—",IF(IFERROR(AND(ISNUMBER(Financials!I13),ISNUMBER(Financials!L13),ISNUMBER(Financials!O13),Financials!I13&gt;0,ABS(Financials!I13-(Financials!L13+Financials!O13))/Financials!I13&gt;0.01),FALSE),"⚠","✓"))</f>
        <v/>
      </c>
      <c r="H16" s="49">
        <f>IF(NOT(AND(IFERROR('Company_Master'!A13&lt;&gt;"",FALSE),AND(ISNUMBER(Financials!E13),ISNUMBER(Financials!F13)))),"—",IF(IFERROR(AND(ISNUMBER(Financials!E13),ISNUMBER(Financials!F13),Financials!E13&lt;Financials!F13),FALSE),"⚠","✓"))</f>
        <v/>
      </c>
      <c r="I16" s="49">
        <f>IF(NOT(AND(IFERROR('Company_Master'!A13&lt;&gt;"",FALSE),AND(ISNUMBER(Financials!C13),ISNUMBER(Financials!E13)))),"—",IF(IFERROR(AND(ISNUMBER(Financials!C13),ISNUMBER(Financials!E13),Financials!C13=0,Financials!E13&gt;0),FALSE),"⚠","✓"))</f>
        <v/>
      </c>
      <c r="J16" s="49">
        <f>IF(NOT(AND(IFERROR('Company_Master'!A13&lt;&gt;"",FALSE),COUNTIF('Raw_Extract'!A:A,'Company_Master'!A13)&gt;0)),"—",IF(COUNTIFS('Raw_Extract'!A:A,'Company_Master'!A13,'Raw_Extract'!J:J,"Low")&gt;0,"⚠","✓"))</f>
        <v/>
      </c>
      <c r="K16" s="49">
        <f>IF(NOT(AND(IFERROR('Company_Master'!A13&lt;&gt;"",FALSE),AND(ISNUMBER(Financials!E13),ISNUMBER(Financials!AP13)))),"—",IF(IFERROR(AND(ISNUMBER(Financials!E13),ISNUMBER(Financials!AP13),Financials!E13&lt;&gt;0,ABS(Financials!E13-Financials!AP13)/ABS(Financials!E13)&gt;0.05),FALSE),"⚠","✓"))</f>
        <v/>
      </c>
      <c r="L16" s="49">
        <f>IF(NOT(AND(IFERROR('Company_Master'!A13&lt;&gt;"",FALSE),AND(ISNUMBER(Financials!AR13),ISNUMBER(Financials!S13)))),"—",IF(IFERROR(AND(ISNUMBER(Financials!AR13),ISNUMBER(Financials!S13),Financials!S13&lt;&gt;0,ABS(Financials!AR13-Financials!S13)/MAX(ABS(Financials!S13),1)&gt;0.05),FALSE),"⚠","✓"))</f>
        <v/>
      </c>
      <c r="M16" s="49">
        <f>IF(NOT(AND(IFERROR('Company_Master'!A13&lt;&gt;"",FALSE),AND(ISNUMBER(Asset_Operations!BE13),ISNUMBER(Asset_Operations!AR13)))),"—",IF(IFERROR(AND(ISNUMBER(Asset_Operations!BE13),ISNUMBER(Asset_Operations!AR13),ABS(Asset_Operations!BE13-Asset_Operations!AR13)&gt;0.05),FALSE),"⚠","✓"))</f>
        <v/>
      </c>
      <c r="N16" s="49">
        <f>IF(NOT(AND(IFERROR('Company_Master'!A13&lt;&gt;"",FALSE),ISNUMBER(Financials!C13))),"—",IF(IFERROR(AND(ISNUMBER(Financials!C13),OR(Financials!C13&lt;50,Financials!C13&gt;200000)),FALSE),"⚠","✓"))</f>
        <v/>
      </c>
      <c r="O16" s="50">
        <f>COUNTIF(C16:N16,"⚠")</f>
        <v/>
      </c>
      <c r="P16" s="50">
        <f>COUNTIF(C16:N16,"✓")</f>
        <v/>
      </c>
      <c r="Q16" s="46">
        <f>IF(NOT(IFERROR('Company_Master'!A13&lt;&gt;"",FALSE)),"",IF(O16&gt;0,"⚠ "&amp;O16&amp;" issue(s) detected",IF(P16=0,"— No data to validate","✓ All "&amp;P16&amp;" checks passed")))</f>
        <v/>
      </c>
    </row>
    <row r="17">
      <c r="A17" s="47" t="n">
        <v>13</v>
      </c>
      <c r="B17" s="48">
        <f>IFERROR('Company_Master'!A14,"")</f>
        <v/>
      </c>
      <c r="C17" s="49">
        <f>IF(NOT(AND(IFERROR('Company_Master'!A14&lt;&gt;"",FALSE),OR(ISNUMBER(Asset_Operations!B14),ISNUMBER(Asset_Operations!C14),ISNUMBER(Asset_Operations!D14)))),"—",IF(IFERROR(AND(ISNUMBER(Asset_Operations!B14),ISNUMBER(Asset_Operations!C14),ISNUMBER(Asset_Operations!D14),Asset_Operations!B14&gt;0,ABS((Asset_Operations!C14+Asset_Operations!D14)-Asset_Operations!B14)/Asset_Operations!B14&gt;0.02),FALSE),"⚠","✓"))</f>
        <v/>
      </c>
      <c r="D17" s="49">
        <f>IF(NOT(AND(IFERROR('Company_Master'!A14&lt;&gt;"",FALSE),OR(ISNUMBER(Asset_Operations!B14),ISNUMBER(Asset_Operations!E14),ISNUMBER(Asset_Operations!F14)))),"—",IF(IFERROR(AND(ISNUMBER(Asset_Operations!B14),ISNUMBER(Asset_Operations!E14),ISNUMBER(Asset_Operations!F14),Asset_Operations!B14&gt;0,ABS((Asset_Operations!E14+Asset_Operations!F14)-Asset_Operations!B14)/Asset_Operations!B14&gt;0.02),FALSE),"⚠","✓"))</f>
        <v/>
      </c>
      <c r="E17" s="49">
        <f>IF(NOT(AND(IFERROR('Company_Master'!A14&lt;&gt;"",FALSE),ISNUMBER(Asset_Operations!AR14))),"—",IF(IFERROR(AND(ISNUMBER(Asset_Operations!AR14),OR(Asset_Operations!AR14&lt;0.15,Asset_Operations!AR14&gt;0.27)),FALSE),"⚠","✓"))</f>
        <v/>
      </c>
      <c r="F17" s="49">
        <f>IF(NOT(AND(IFERROR('Company_Master'!A14&lt;&gt;"",FALSE),AND(ISNUMBER(Financials!Q14),ISNUMBER(Financials!R14)))),"—",IF(IFERROR(AND(ISNUMBER(Financials!Q14),ISNUMBER(Financials!R14),ISNUMBER(Financials!S14),ABS((Financials!R14-Financials!Q14)-Financials!S14)/MAX(ABS(Financials!S14),1)&gt;0.05),FALSE),"⚠","✓"))</f>
        <v/>
      </c>
      <c r="G17" s="49">
        <f>IF(NOT(AND(IFERROR('Company_Master'!A14&lt;&gt;"",FALSE),AND(ISNUMBER(Financials!I14),ISNUMBER(Financials!L14),ISNUMBER(Financials!O14)))),"—",IF(IFERROR(AND(ISNUMBER(Financials!I14),ISNUMBER(Financials!L14),ISNUMBER(Financials!O14),Financials!I14&gt;0,ABS(Financials!I14-(Financials!L14+Financials!O14))/Financials!I14&gt;0.01),FALSE),"⚠","✓"))</f>
        <v/>
      </c>
      <c r="H17" s="49">
        <f>IF(NOT(AND(IFERROR('Company_Master'!A14&lt;&gt;"",FALSE),AND(ISNUMBER(Financials!E14),ISNUMBER(Financials!F14)))),"—",IF(IFERROR(AND(ISNUMBER(Financials!E14),ISNUMBER(Financials!F14),Financials!E14&lt;Financials!F14),FALSE),"⚠","✓"))</f>
        <v/>
      </c>
      <c r="I17" s="49">
        <f>IF(NOT(AND(IFERROR('Company_Master'!A14&lt;&gt;"",FALSE),AND(ISNUMBER(Financials!C14),ISNUMBER(Financials!E14)))),"—",IF(IFERROR(AND(ISNUMBER(Financials!C14),ISNUMBER(Financials!E14),Financials!C14=0,Financials!E14&gt;0),FALSE),"⚠","✓"))</f>
        <v/>
      </c>
      <c r="J17" s="49">
        <f>IF(NOT(AND(IFERROR('Company_Master'!A14&lt;&gt;"",FALSE),COUNTIF('Raw_Extract'!A:A,'Company_Master'!A14)&gt;0)),"—",IF(COUNTIFS('Raw_Extract'!A:A,'Company_Master'!A14,'Raw_Extract'!J:J,"Low")&gt;0,"⚠","✓"))</f>
        <v/>
      </c>
      <c r="K17" s="49">
        <f>IF(NOT(AND(IFERROR('Company_Master'!A14&lt;&gt;"",FALSE),AND(ISNUMBER(Financials!E14),ISNUMBER(Financials!AP14)))),"—",IF(IFERROR(AND(ISNUMBER(Financials!E14),ISNUMBER(Financials!AP14),Financials!E14&lt;&gt;0,ABS(Financials!E14-Financials!AP14)/ABS(Financials!E14)&gt;0.05),FALSE),"⚠","✓"))</f>
        <v/>
      </c>
      <c r="L17" s="49">
        <f>IF(NOT(AND(IFERROR('Company_Master'!A14&lt;&gt;"",FALSE),AND(ISNUMBER(Financials!AR14),ISNUMBER(Financials!S14)))),"—",IF(IFERROR(AND(ISNUMBER(Financials!AR14),ISNUMBER(Financials!S14),Financials!S14&lt;&gt;0,ABS(Financials!AR14-Financials!S14)/MAX(ABS(Financials!S14),1)&gt;0.05),FALSE),"⚠","✓"))</f>
        <v/>
      </c>
      <c r="M17" s="49">
        <f>IF(NOT(AND(IFERROR('Company_Master'!A14&lt;&gt;"",FALSE),AND(ISNUMBER(Asset_Operations!BE14),ISNUMBER(Asset_Operations!AR14)))),"—",IF(IFERROR(AND(ISNUMBER(Asset_Operations!BE14),ISNUMBER(Asset_Operations!AR14),ABS(Asset_Operations!BE14-Asset_Operations!AR14)&gt;0.05),FALSE),"⚠","✓"))</f>
        <v/>
      </c>
      <c r="N17" s="49">
        <f>IF(NOT(AND(IFERROR('Company_Master'!A14&lt;&gt;"",FALSE),ISNUMBER(Financials!C14))),"—",IF(IFERROR(AND(ISNUMBER(Financials!C14),OR(Financials!C14&lt;50,Financials!C14&gt;200000)),FALSE),"⚠","✓"))</f>
        <v/>
      </c>
      <c r="O17" s="50">
        <f>COUNTIF(C17:N17,"⚠")</f>
        <v/>
      </c>
      <c r="P17" s="50">
        <f>COUNTIF(C17:N17,"✓")</f>
        <v/>
      </c>
      <c r="Q17" s="46">
        <f>IF(NOT(IFERROR('Company_Master'!A14&lt;&gt;"",FALSE)),"",IF(O17&gt;0,"⚠ "&amp;O17&amp;" issue(s) detected",IF(P17=0,"— No data to validate","✓ All "&amp;P17&amp;" checks passed")))</f>
        <v/>
      </c>
    </row>
    <row r="18">
      <c r="A18" s="47" t="n">
        <v>14</v>
      </c>
      <c r="B18" s="48">
        <f>IFERROR('Company_Master'!A15,"")</f>
        <v/>
      </c>
      <c r="C18" s="49">
        <f>IF(NOT(AND(IFERROR('Company_Master'!A15&lt;&gt;"",FALSE),OR(ISNUMBER(Asset_Operations!B15),ISNUMBER(Asset_Operations!C15),ISNUMBER(Asset_Operations!D15)))),"—",IF(IFERROR(AND(ISNUMBER(Asset_Operations!B15),ISNUMBER(Asset_Operations!C15),ISNUMBER(Asset_Operations!D15),Asset_Operations!B15&gt;0,ABS((Asset_Operations!C15+Asset_Operations!D15)-Asset_Operations!B15)/Asset_Operations!B15&gt;0.02),FALSE),"⚠","✓"))</f>
        <v/>
      </c>
      <c r="D18" s="49">
        <f>IF(NOT(AND(IFERROR('Company_Master'!A15&lt;&gt;"",FALSE),OR(ISNUMBER(Asset_Operations!B15),ISNUMBER(Asset_Operations!E15),ISNUMBER(Asset_Operations!F15)))),"—",IF(IFERROR(AND(ISNUMBER(Asset_Operations!B15),ISNUMBER(Asset_Operations!E15),ISNUMBER(Asset_Operations!F15),Asset_Operations!B15&gt;0,ABS((Asset_Operations!E15+Asset_Operations!F15)-Asset_Operations!B15)/Asset_Operations!B15&gt;0.02),FALSE),"⚠","✓"))</f>
        <v/>
      </c>
      <c r="E18" s="49">
        <f>IF(NOT(AND(IFERROR('Company_Master'!A15&lt;&gt;"",FALSE),ISNUMBER(Asset_Operations!AR15))),"—",IF(IFERROR(AND(ISNUMBER(Asset_Operations!AR15),OR(Asset_Operations!AR15&lt;0.15,Asset_Operations!AR15&gt;0.27)),FALSE),"⚠","✓"))</f>
        <v/>
      </c>
      <c r="F18" s="49">
        <f>IF(NOT(AND(IFERROR('Company_Master'!A15&lt;&gt;"",FALSE),AND(ISNUMBER(Financials!Q15),ISNUMBER(Financials!R15)))),"—",IF(IFERROR(AND(ISNUMBER(Financials!Q15),ISNUMBER(Financials!R15),ISNUMBER(Financials!S15),ABS((Financials!R15-Financials!Q15)-Financials!S15)/MAX(ABS(Financials!S15),1)&gt;0.05),FALSE),"⚠","✓"))</f>
        <v/>
      </c>
      <c r="G18" s="49">
        <f>IF(NOT(AND(IFERROR('Company_Master'!A15&lt;&gt;"",FALSE),AND(ISNUMBER(Financials!I15),ISNUMBER(Financials!L15),ISNUMBER(Financials!O15)))),"—",IF(IFERROR(AND(ISNUMBER(Financials!I15),ISNUMBER(Financials!L15),ISNUMBER(Financials!O15),Financials!I15&gt;0,ABS(Financials!I15-(Financials!L15+Financials!O15))/Financials!I15&gt;0.01),FALSE),"⚠","✓"))</f>
        <v/>
      </c>
      <c r="H18" s="49">
        <f>IF(NOT(AND(IFERROR('Company_Master'!A15&lt;&gt;"",FALSE),AND(ISNUMBER(Financials!E15),ISNUMBER(Financials!F15)))),"—",IF(IFERROR(AND(ISNUMBER(Financials!E15),ISNUMBER(Financials!F15),Financials!E15&lt;Financials!F15),FALSE),"⚠","✓"))</f>
        <v/>
      </c>
      <c r="I18" s="49">
        <f>IF(NOT(AND(IFERROR('Company_Master'!A15&lt;&gt;"",FALSE),AND(ISNUMBER(Financials!C15),ISNUMBER(Financials!E15)))),"—",IF(IFERROR(AND(ISNUMBER(Financials!C15),ISNUMBER(Financials!E15),Financials!C15=0,Financials!E15&gt;0),FALSE),"⚠","✓"))</f>
        <v/>
      </c>
      <c r="J18" s="49">
        <f>IF(NOT(AND(IFERROR('Company_Master'!A15&lt;&gt;"",FALSE),COUNTIF('Raw_Extract'!A:A,'Company_Master'!A15)&gt;0)),"—",IF(COUNTIFS('Raw_Extract'!A:A,'Company_Master'!A15,'Raw_Extract'!J:J,"Low")&gt;0,"⚠","✓"))</f>
        <v/>
      </c>
      <c r="K18" s="49">
        <f>IF(NOT(AND(IFERROR('Company_Master'!A15&lt;&gt;"",FALSE),AND(ISNUMBER(Financials!E15),ISNUMBER(Financials!AP15)))),"—",IF(IFERROR(AND(ISNUMBER(Financials!E15),ISNUMBER(Financials!AP15),Financials!E15&lt;&gt;0,ABS(Financials!E15-Financials!AP15)/ABS(Financials!E15)&gt;0.05),FALSE),"⚠","✓"))</f>
        <v/>
      </c>
      <c r="L18" s="49">
        <f>IF(NOT(AND(IFERROR('Company_Master'!A15&lt;&gt;"",FALSE),AND(ISNUMBER(Financials!AR15),ISNUMBER(Financials!S15)))),"—",IF(IFERROR(AND(ISNUMBER(Financials!AR15),ISNUMBER(Financials!S15),Financials!S15&lt;&gt;0,ABS(Financials!AR15-Financials!S15)/MAX(ABS(Financials!S15),1)&gt;0.05),FALSE),"⚠","✓"))</f>
        <v/>
      </c>
      <c r="M18" s="49">
        <f>IF(NOT(AND(IFERROR('Company_Master'!A15&lt;&gt;"",FALSE),AND(ISNUMBER(Asset_Operations!BE15),ISNUMBER(Asset_Operations!AR15)))),"—",IF(IFERROR(AND(ISNUMBER(Asset_Operations!BE15),ISNUMBER(Asset_Operations!AR15),ABS(Asset_Operations!BE15-Asset_Operations!AR15)&gt;0.05),FALSE),"⚠","✓"))</f>
        <v/>
      </c>
      <c r="N18" s="49">
        <f>IF(NOT(AND(IFERROR('Company_Master'!A15&lt;&gt;"",FALSE),ISNUMBER(Financials!C15))),"—",IF(IFERROR(AND(ISNUMBER(Financials!C15),OR(Financials!C15&lt;50,Financials!C15&gt;200000)),FALSE),"⚠","✓"))</f>
        <v/>
      </c>
      <c r="O18" s="50">
        <f>COUNTIF(C18:N18,"⚠")</f>
        <v/>
      </c>
      <c r="P18" s="50">
        <f>COUNTIF(C18:N18,"✓")</f>
        <v/>
      </c>
      <c r="Q18" s="46">
        <f>IF(NOT(IFERROR('Company_Master'!A15&lt;&gt;"",FALSE)),"",IF(O18&gt;0,"⚠ "&amp;O18&amp;" issue(s) detected",IF(P18=0,"— No data to validate","✓ All "&amp;P18&amp;" checks passed")))</f>
        <v/>
      </c>
    </row>
    <row r="19">
      <c r="A19" s="47" t="n">
        <v>15</v>
      </c>
      <c r="B19" s="48">
        <f>IFERROR('Company_Master'!A16,"")</f>
        <v/>
      </c>
      <c r="C19" s="49">
        <f>IF(NOT(AND(IFERROR('Company_Master'!A16&lt;&gt;"",FALSE),OR(ISNUMBER(Asset_Operations!B16),ISNUMBER(Asset_Operations!C16),ISNUMBER(Asset_Operations!D16)))),"—",IF(IFERROR(AND(ISNUMBER(Asset_Operations!B16),ISNUMBER(Asset_Operations!C16),ISNUMBER(Asset_Operations!D16),Asset_Operations!B16&gt;0,ABS((Asset_Operations!C16+Asset_Operations!D16)-Asset_Operations!B16)/Asset_Operations!B16&gt;0.02),FALSE),"⚠","✓"))</f>
        <v/>
      </c>
      <c r="D19" s="49">
        <f>IF(NOT(AND(IFERROR('Company_Master'!A16&lt;&gt;"",FALSE),OR(ISNUMBER(Asset_Operations!B16),ISNUMBER(Asset_Operations!E16),ISNUMBER(Asset_Operations!F16)))),"—",IF(IFERROR(AND(ISNUMBER(Asset_Operations!B16),ISNUMBER(Asset_Operations!E16),ISNUMBER(Asset_Operations!F16),Asset_Operations!B16&gt;0,ABS((Asset_Operations!E16+Asset_Operations!F16)-Asset_Operations!B16)/Asset_Operations!B16&gt;0.02),FALSE),"⚠","✓"))</f>
        <v/>
      </c>
      <c r="E19" s="49">
        <f>IF(NOT(AND(IFERROR('Company_Master'!A16&lt;&gt;"",FALSE),ISNUMBER(Asset_Operations!AR16))),"—",IF(IFERROR(AND(ISNUMBER(Asset_Operations!AR16),OR(Asset_Operations!AR16&lt;0.15,Asset_Operations!AR16&gt;0.27)),FALSE),"⚠","✓"))</f>
        <v/>
      </c>
      <c r="F19" s="49">
        <f>IF(NOT(AND(IFERROR('Company_Master'!A16&lt;&gt;"",FALSE),AND(ISNUMBER(Financials!Q16),ISNUMBER(Financials!R16)))),"—",IF(IFERROR(AND(ISNUMBER(Financials!Q16),ISNUMBER(Financials!R16),ISNUMBER(Financials!S16),ABS((Financials!R16-Financials!Q16)-Financials!S16)/MAX(ABS(Financials!S16),1)&gt;0.05),FALSE),"⚠","✓"))</f>
        <v/>
      </c>
      <c r="G19" s="49">
        <f>IF(NOT(AND(IFERROR('Company_Master'!A16&lt;&gt;"",FALSE),AND(ISNUMBER(Financials!I16),ISNUMBER(Financials!L16),ISNUMBER(Financials!O16)))),"—",IF(IFERROR(AND(ISNUMBER(Financials!I16),ISNUMBER(Financials!L16),ISNUMBER(Financials!O16),Financials!I16&gt;0,ABS(Financials!I16-(Financials!L16+Financials!O16))/Financials!I16&gt;0.01),FALSE),"⚠","✓"))</f>
        <v/>
      </c>
      <c r="H19" s="49">
        <f>IF(NOT(AND(IFERROR('Company_Master'!A16&lt;&gt;"",FALSE),AND(ISNUMBER(Financials!E16),ISNUMBER(Financials!F16)))),"—",IF(IFERROR(AND(ISNUMBER(Financials!E16),ISNUMBER(Financials!F16),Financials!E16&lt;Financials!F16),FALSE),"⚠","✓"))</f>
        <v/>
      </c>
      <c r="I19" s="49">
        <f>IF(NOT(AND(IFERROR('Company_Master'!A16&lt;&gt;"",FALSE),AND(ISNUMBER(Financials!C16),ISNUMBER(Financials!E16)))),"—",IF(IFERROR(AND(ISNUMBER(Financials!C16),ISNUMBER(Financials!E16),Financials!C16=0,Financials!E16&gt;0),FALSE),"⚠","✓"))</f>
        <v/>
      </c>
      <c r="J19" s="49">
        <f>IF(NOT(AND(IFERROR('Company_Master'!A16&lt;&gt;"",FALSE),COUNTIF('Raw_Extract'!A:A,'Company_Master'!A16)&gt;0)),"—",IF(COUNTIFS('Raw_Extract'!A:A,'Company_Master'!A16,'Raw_Extract'!J:J,"Low")&gt;0,"⚠","✓"))</f>
        <v/>
      </c>
      <c r="K19" s="49">
        <f>IF(NOT(AND(IFERROR('Company_Master'!A16&lt;&gt;"",FALSE),AND(ISNUMBER(Financials!E16),ISNUMBER(Financials!AP16)))),"—",IF(IFERROR(AND(ISNUMBER(Financials!E16),ISNUMBER(Financials!AP16),Financials!E16&lt;&gt;0,ABS(Financials!E16-Financials!AP16)/ABS(Financials!E16)&gt;0.05),FALSE),"⚠","✓"))</f>
        <v/>
      </c>
      <c r="L19" s="49">
        <f>IF(NOT(AND(IFERROR('Company_Master'!A16&lt;&gt;"",FALSE),AND(ISNUMBER(Financials!AR16),ISNUMBER(Financials!S16)))),"—",IF(IFERROR(AND(ISNUMBER(Financials!AR16),ISNUMBER(Financials!S16),Financials!S16&lt;&gt;0,ABS(Financials!AR16-Financials!S16)/MAX(ABS(Financials!S16),1)&gt;0.05),FALSE),"⚠","✓"))</f>
        <v/>
      </c>
      <c r="M19" s="49">
        <f>IF(NOT(AND(IFERROR('Company_Master'!A16&lt;&gt;"",FALSE),AND(ISNUMBER(Asset_Operations!BE16),ISNUMBER(Asset_Operations!AR16)))),"—",IF(IFERROR(AND(ISNUMBER(Asset_Operations!BE16),ISNUMBER(Asset_Operations!AR16),ABS(Asset_Operations!BE16-Asset_Operations!AR16)&gt;0.05),FALSE),"⚠","✓"))</f>
        <v/>
      </c>
      <c r="N19" s="49">
        <f>IF(NOT(AND(IFERROR('Company_Master'!A16&lt;&gt;"",FALSE),ISNUMBER(Financials!C16))),"—",IF(IFERROR(AND(ISNUMBER(Financials!C16),OR(Financials!C16&lt;50,Financials!C16&gt;200000)),FALSE),"⚠","✓"))</f>
        <v/>
      </c>
      <c r="O19" s="50">
        <f>COUNTIF(C19:N19,"⚠")</f>
        <v/>
      </c>
      <c r="P19" s="50">
        <f>COUNTIF(C19:N19,"✓")</f>
        <v/>
      </c>
      <c r="Q19" s="46">
        <f>IF(NOT(IFERROR('Company_Master'!A16&lt;&gt;"",FALSE)),"",IF(O19&gt;0,"⚠ "&amp;O19&amp;" issue(s) detected",IF(P19=0,"— No data to validate","✓ All "&amp;P19&amp;" checks passed")))</f>
        <v/>
      </c>
    </row>
    <row r="20">
      <c r="A20" s="47" t="n">
        <v>16</v>
      </c>
      <c r="B20" s="48">
        <f>IFERROR('Company_Master'!A17,"")</f>
        <v/>
      </c>
      <c r="C20" s="49">
        <f>IF(NOT(AND(IFERROR('Company_Master'!A17&lt;&gt;"",FALSE),OR(ISNUMBER(Asset_Operations!B17),ISNUMBER(Asset_Operations!C17),ISNUMBER(Asset_Operations!D17)))),"—",IF(IFERROR(AND(ISNUMBER(Asset_Operations!B17),ISNUMBER(Asset_Operations!C17),ISNUMBER(Asset_Operations!D17),Asset_Operations!B17&gt;0,ABS((Asset_Operations!C17+Asset_Operations!D17)-Asset_Operations!B17)/Asset_Operations!B17&gt;0.02),FALSE),"⚠","✓"))</f>
        <v/>
      </c>
      <c r="D20" s="49">
        <f>IF(NOT(AND(IFERROR('Company_Master'!A17&lt;&gt;"",FALSE),OR(ISNUMBER(Asset_Operations!B17),ISNUMBER(Asset_Operations!E17),ISNUMBER(Asset_Operations!F17)))),"—",IF(IFERROR(AND(ISNUMBER(Asset_Operations!B17),ISNUMBER(Asset_Operations!E17),ISNUMBER(Asset_Operations!F17),Asset_Operations!B17&gt;0,ABS((Asset_Operations!E17+Asset_Operations!F17)-Asset_Operations!B17)/Asset_Operations!B17&gt;0.02),FALSE),"⚠","✓"))</f>
        <v/>
      </c>
      <c r="E20" s="49">
        <f>IF(NOT(AND(IFERROR('Company_Master'!A17&lt;&gt;"",FALSE),ISNUMBER(Asset_Operations!AR17))),"—",IF(IFERROR(AND(ISNUMBER(Asset_Operations!AR17),OR(Asset_Operations!AR17&lt;0.15,Asset_Operations!AR17&gt;0.27)),FALSE),"⚠","✓"))</f>
        <v/>
      </c>
      <c r="F20" s="49">
        <f>IF(NOT(AND(IFERROR('Company_Master'!A17&lt;&gt;"",FALSE),AND(ISNUMBER(Financials!Q17),ISNUMBER(Financials!R17)))),"—",IF(IFERROR(AND(ISNUMBER(Financials!Q17),ISNUMBER(Financials!R17),ISNUMBER(Financials!S17),ABS((Financials!R17-Financials!Q17)-Financials!S17)/MAX(ABS(Financials!S17),1)&gt;0.05),FALSE),"⚠","✓"))</f>
        <v/>
      </c>
      <c r="G20" s="49">
        <f>IF(NOT(AND(IFERROR('Company_Master'!A17&lt;&gt;"",FALSE),AND(ISNUMBER(Financials!I17),ISNUMBER(Financials!L17),ISNUMBER(Financials!O17)))),"—",IF(IFERROR(AND(ISNUMBER(Financials!I17),ISNUMBER(Financials!L17),ISNUMBER(Financials!O17),Financials!I17&gt;0,ABS(Financials!I17-(Financials!L17+Financials!O17))/Financials!I17&gt;0.01),FALSE),"⚠","✓"))</f>
        <v/>
      </c>
      <c r="H20" s="49">
        <f>IF(NOT(AND(IFERROR('Company_Master'!A17&lt;&gt;"",FALSE),AND(ISNUMBER(Financials!E17),ISNUMBER(Financials!F17)))),"—",IF(IFERROR(AND(ISNUMBER(Financials!E17),ISNUMBER(Financials!F17),Financials!E17&lt;Financials!F17),FALSE),"⚠","✓"))</f>
        <v/>
      </c>
      <c r="I20" s="49">
        <f>IF(NOT(AND(IFERROR('Company_Master'!A17&lt;&gt;"",FALSE),AND(ISNUMBER(Financials!C17),ISNUMBER(Financials!E17)))),"—",IF(IFERROR(AND(ISNUMBER(Financials!C17),ISNUMBER(Financials!E17),Financials!C17=0,Financials!E17&gt;0),FALSE),"⚠","✓"))</f>
        <v/>
      </c>
      <c r="J20" s="49">
        <f>IF(NOT(AND(IFERROR('Company_Master'!A17&lt;&gt;"",FALSE),COUNTIF('Raw_Extract'!A:A,'Company_Master'!A17)&gt;0)),"—",IF(COUNTIFS('Raw_Extract'!A:A,'Company_Master'!A17,'Raw_Extract'!J:J,"Low")&gt;0,"⚠","✓"))</f>
        <v/>
      </c>
      <c r="K20" s="49">
        <f>IF(NOT(AND(IFERROR('Company_Master'!A17&lt;&gt;"",FALSE),AND(ISNUMBER(Financials!E17),ISNUMBER(Financials!AP17)))),"—",IF(IFERROR(AND(ISNUMBER(Financials!E17),ISNUMBER(Financials!AP17),Financials!E17&lt;&gt;0,ABS(Financials!E17-Financials!AP17)/ABS(Financials!E17)&gt;0.05),FALSE),"⚠","✓"))</f>
        <v/>
      </c>
      <c r="L20" s="49">
        <f>IF(NOT(AND(IFERROR('Company_Master'!A17&lt;&gt;"",FALSE),AND(ISNUMBER(Financials!AR17),ISNUMBER(Financials!S17)))),"—",IF(IFERROR(AND(ISNUMBER(Financials!AR17),ISNUMBER(Financials!S17),Financials!S17&lt;&gt;0,ABS(Financials!AR17-Financials!S17)/MAX(ABS(Financials!S17),1)&gt;0.05),FALSE),"⚠","✓"))</f>
        <v/>
      </c>
      <c r="M20" s="49">
        <f>IF(NOT(AND(IFERROR('Company_Master'!A17&lt;&gt;"",FALSE),AND(ISNUMBER(Asset_Operations!BE17),ISNUMBER(Asset_Operations!AR17)))),"—",IF(IFERROR(AND(ISNUMBER(Asset_Operations!BE17),ISNUMBER(Asset_Operations!AR17),ABS(Asset_Operations!BE17-Asset_Operations!AR17)&gt;0.05),FALSE),"⚠","✓"))</f>
        <v/>
      </c>
      <c r="N20" s="49">
        <f>IF(NOT(AND(IFERROR('Company_Master'!A17&lt;&gt;"",FALSE),ISNUMBER(Financials!C17))),"—",IF(IFERROR(AND(ISNUMBER(Financials!C17),OR(Financials!C17&lt;50,Financials!C17&gt;200000)),FALSE),"⚠","✓"))</f>
        <v/>
      </c>
      <c r="O20" s="50">
        <f>COUNTIF(C20:N20,"⚠")</f>
        <v/>
      </c>
      <c r="P20" s="50">
        <f>COUNTIF(C20:N20,"✓")</f>
        <v/>
      </c>
      <c r="Q20" s="46">
        <f>IF(NOT(IFERROR('Company_Master'!A17&lt;&gt;"",FALSE)),"",IF(O20&gt;0,"⚠ "&amp;O20&amp;" issue(s) detected",IF(P20=0,"— No data to validate","✓ All "&amp;P20&amp;" checks passed")))</f>
        <v/>
      </c>
    </row>
    <row r="21">
      <c r="A21" s="47" t="n">
        <v>17</v>
      </c>
      <c r="B21" s="48">
        <f>IFERROR('Company_Master'!A18,"")</f>
        <v/>
      </c>
      <c r="C21" s="49">
        <f>IF(NOT(AND(IFERROR('Company_Master'!A18&lt;&gt;"",FALSE),OR(ISNUMBER(Asset_Operations!B18),ISNUMBER(Asset_Operations!C18),ISNUMBER(Asset_Operations!D18)))),"—",IF(IFERROR(AND(ISNUMBER(Asset_Operations!B18),ISNUMBER(Asset_Operations!C18),ISNUMBER(Asset_Operations!D18),Asset_Operations!B18&gt;0,ABS((Asset_Operations!C18+Asset_Operations!D18)-Asset_Operations!B18)/Asset_Operations!B18&gt;0.02),FALSE),"⚠","✓"))</f>
        <v/>
      </c>
      <c r="D21" s="49">
        <f>IF(NOT(AND(IFERROR('Company_Master'!A18&lt;&gt;"",FALSE),OR(ISNUMBER(Asset_Operations!B18),ISNUMBER(Asset_Operations!E18),ISNUMBER(Asset_Operations!F18)))),"—",IF(IFERROR(AND(ISNUMBER(Asset_Operations!B18),ISNUMBER(Asset_Operations!E18),ISNUMBER(Asset_Operations!F18),Asset_Operations!B18&gt;0,ABS((Asset_Operations!E18+Asset_Operations!F18)-Asset_Operations!B18)/Asset_Operations!B18&gt;0.02),FALSE),"⚠","✓"))</f>
        <v/>
      </c>
      <c r="E21" s="49">
        <f>IF(NOT(AND(IFERROR('Company_Master'!A18&lt;&gt;"",FALSE),ISNUMBER(Asset_Operations!AR18))),"—",IF(IFERROR(AND(ISNUMBER(Asset_Operations!AR18),OR(Asset_Operations!AR18&lt;0.15,Asset_Operations!AR18&gt;0.27)),FALSE),"⚠","✓"))</f>
        <v/>
      </c>
      <c r="F21" s="49">
        <f>IF(NOT(AND(IFERROR('Company_Master'!A18&lt;&gt;"",FALSE),AND(ISNUMBER(Financials!Q18),ISNUMBER(Financials!R18)))),"—",IF(IFERROR(AND(ISNUMBER(Financials!Q18),ISNUMBER(Financials!R18),ISNUMBER(Financials!S18),ABS((Financials!R18-Financials!Q18)-Financials!S18)/MAX(ABS(Financials!S18),1)&gt;0.05),FALSE),"⚠","✓"))</f>
        <v/>
      </c>
      <c r="G21" s="49">
        <f>IF(NOT(AND(IFERROR('Company_Master'!A18&lt;&gt;"",FALSE),AND(ISNUMBER(Financials!I18),ISNUMBER(Financials!L18),ISNUMBER(Financials!O18)))),"—",IF(IFERROR(AND(ISNUMBER(Financials!I18),ISNUMBER(Financials!L18),ISNUMBER(Financials!O18),Financials!I18&gt;0,ABS(Financials!I18-(Financials!L18+Financials!O18))/Financials!I18&gt;0.01),FALSE),"⚠","✓"))</f>
        <v/>
      </c>
      <c r="H21" s="49">
        <f>IF(NOT(AND(IFERROR('Company_Master'!A18&lt;&gt;"",FALSE),AND(ISNUMBER(Financials!E18),ISNUMBER(Financials!F18)))),"—",IF(IFERROR(AND(ISNUMBER(Financials!E18),ISNUMBER(Financials!F18),Financials!E18&lt;Financials!F18),FALSE),"⚠","✓"))</f>
        <v/>
      </c>
      <c r="I21" s="49">
        <f>IF(NOT(AND(IFERROR('Company_Master'!A18&lt;&gt;"",FALSE),AND(ISNUMBER(Financials!C18),ISNUMBER(Financials!E18)))),"—",IF(IFERROR(AND(ISNUMBER(Financials!C18),ISNUMBER(Financials!E18),Financials!C18=0,Financials!E18&gt;0),FALSE),"⚠","✓"))</f>
        <v/>
      </c>
      <c r="J21" s="49">
        <f>IF(NOT(AND(IFERROR('Company_Master'!A18&lt;&gt;"",FALSE),COUNTIF('Raw_Extract'!A:A,'Company_Master'!A18)&gt;0)),"—",IF(COUNTIFS('Raw_Extract'!A:A,'Company_Master'!A18,'Raw_Extract'!J:J,"Low")&gt;0,"⚠","✓"))</f>
        <v/>
      </c>
      <c r="K21" s="49">
        <f>IF(NOT(AND(IFERROR('Company_Master'!A18&lt;&gt;"",FALSE),AND(ISNUMBER(Financials!E18),ISNUMBER(Financials!AP18)))),"—",IF(IFERROR(AND(ISNUMBER(Financials!E18),ISNUMBER(Financials!AP18),Financials!E18&lt;&gt;0,ABS(Financials!E18-Financials!AP18)/ABS(Financials!E18)&gt;0.05),FALSE),"⚠","✓"))</f>
        <v/>
      </c>
      <c r="L21" s="49">
        <f>IF(NOT(AND(IFERROR('Company_Master'!A18&lt;&gt;"",FALSE),AND(ISNUMBER(Financials!AR18),ISNUMBER(Financials!S18)))),"—",IF(IFERROR(AND(ISNUMBER(Financials!AR18),ISNUMBER(Financials!S18),Financials!S18&lt;&gt;0,ABS(Financials!AR18-Financials!S18)/MAX(ABS(Financials!S18),1)&gt;0.05),FALSE),"⚠","✓"))</f>
        <v/>
      </c>
      <c r="M21" s="49">
        <f>IF(NOT(AND(IFERROR('Company_Master'!A18&lt;&gt;"",FALSE),AND(ISNUMBER(Asset_Operations!BE18),ISNUMBER(Asset_Operations!AR18)))),"—",IF(IFERROR(AND(ISNUMBER(Asset_Operations!BE18),ISNUMBER(Asset_Operations!AR18),ABS(Asset_Operations!BE18-Asset_Operations!AR18)&gt;0.05),FALSE),"⚠","✓"))</f>
        <v/>
      </c>
      <c r="N21" s="49">
        <f>IF(NOT(AND(IFERROR('Company_Master'!A18&lt;&gt;"",FALSE),ISNUMBER(Financials!C18))),"—",IF(IFERROR(AND(ISNUMBER(Financials!C18),OR(Financials!C18&lt;50,Financials!C18&gt;200000)),FALSE),"⚠","✓"))</f>
        <v/>
      </c>
      <c r="O21" s="50">
        <f>COUNTIF(C21:N21,"⚠")</f>
        <v/>
      </c>
      <c r="P21" s="50">
        <f>COUNTIF(C21:N21,"✓")</f>
        <v/>
      </c>
      <c r="Q21" s="46">
        <f>IF(NOT(IFERROR('Company_Master'!A18&lt;&gt;"",FALSE)),"",IF(O21&gt;0,"⚠ "&amp;O21&amp;" issue(s) detected",IF(P21=0,"— No data to validate","✓ All "&amp;P21&amp;" checks passed")))</f>
        <v/>
      </c>
    </row>
    <row r="22">
      <c r="A22" s="47" t="n">
        <v>18</v>
      </c>
      <c r="B22" s="48">
        <f>IFERROR('Company_Master'!A19,"")</f>
        <v/>
      </c>
      <c r="C22" s="49">
        <f>IF(NOT(AND(IFERROR('Company_Master'!A19&lt;&gt;"",FALSE),OR(ISNUMBER(Asset_Operations!B19),ISNUMBER(Asset_Operations!C19),ISNUMBER(Asset_Operations!D19)))),"—",IF(IFERROR(AND(ISNUMBER(Asset_Operations!B19),ISNUMBER(Asset_Operations!C19),ISNUMBER(Asset_Operations!D19),Asset_Operations!B19&gt;0,ABS((Asset_Operations!C19+Asset_Operations!D19)-Asset_Operations!B19)/Asset_Operations!B19&gt;0.02),FALSE),"⚠","✓"))</f>
        <v/>
      </c>
      <c r="D22" s="49">
        <f>IF(NOT(AND(IFERROR('Company_Master'!A19&lt;&gt;"",FALSE),OR(ISNUMBER(Asset_Operations!B19),ISNUMBER(Asset_Operations!E19),ISNUMBER(Asset_Operations!F19)))),"—",IF(IFERROR(AND(ISNUMBER(Asset_Operations!B19),ISNUMBER(Asset_Operations!E19),ISNUMBER(Asset_Operations!F19),Asset_Operations!B19&gt;0,ABS((Asset_Operations!E19+Asset_Operations!F19)-Asset_Operations!B19)/Asset_Operations!B19&gt;0.02),FALSE),"⚠","✓"))</f>
        <v/>
      </c>
      <c r="E22" s="49">
        <f>IF(NOT(AND(IFERROR('Company_Master'!A19&lt;&gt;"",FALSE),ISNUMBER(Asset_Operations!AR19))),"—",IF(IFERROR(AND(ISNUMBER(Asset_Operations!AR19),OR(Asset_Operations!AR19&lt;0.15,Asset_Operations!AR19&gt;0.27)),FALSE),"⚠","✓"))</f>
        <v/>
      </c>
      <c r="F22" s="49">
        <f>IF(NOT(AND(IFERROR('Company_Master'!A19&lt;&gt;"",FALSE),AND(ISNUMBER(Financials!Q19),ISNUMBER(Financials!R19)))),"—",IF(IFERROR(AND(ISNUMBER(Financials!Q19),ISNUMBER(Financials!R19),ISNUMBER(Financials!S19),ABS((Financials!R19-Financials!Q19)-Financials!S19)/MAX(ABS(Financials!S19),1)&gt;0.05),FALSE),"⚠","✓"))</f>
        <v/>
      </c>
      <c r="G22" s="49">
        <f>IF(NOT(AND(IFERROR('Company_Master'!A19&lt;&gt;"",FALSE),AND(ISNUMBER(Financials!I19),ISNUMBER(Financials!L19),ISNUMBER(Financials!O19)))),"—",IF(IFERROR(AND(ISNUMBER(Financials!I19),ISNUMBER(Financials!L19),ISNUMBER(Financials!O19),Financials!I19&gt;0,ABS(Financials!I19-(Financials!L19+Financials!O19))/Financials!I19&gt;0.01),FALSE),"⚠","✓"))</f>
        <v/>
      </c>
      <c r="H22" s="49">
        <f>IF(NOT(AND(IFERROR('Company_Master'!A19&lt;&gt;"",FALSE),AND(ISNUMBER(Financials!E19),ISNUMBER(Financials!F19)))),"—",IF(IFERROR(AND(ISNUMBER(Financials!E19),ISNUMBER(Financials!F19),Financials!E19&lt;Financials!F19),FALSE),"⚠","✓"))</f>
        <v/>
      </c>
      <c r="I22" s="49">
        <f>IF(NOT(AND(IFERROR('Company_Master'!A19&lt;&gt;"",FALSE),AND(ISNUMBER(Financials!C19),ISNUMBER(Financials!E19)))),"—",IF(IFERROR(AND(ISNUMBER(Financials!C19),ISNUMBER(Financials!E19),Financials!C19=0,Financials!E19&gt;0),FALSE),"⚠","✓"))</f>
        <v/>
      </c>
      <c r="J22" s="49">
        <f>IF(NOT(AND(IFERROR('Company_Master'!A19&lt;&gt;"",FALSE),COUNTIF('Raw_Extract'!A:A,'Company_Master'!A19)&gt;0)),"—",IF(COUNTIFS('Raw_Extract'!A:A,'Company_Master'!A19,'Raw_Extract'!J:J,"Low")&gt;0,"⚠","✓"))</f>
        <v/>
      </c>
      <c r="K22" s="49">
        <f>IF(NOT(AND(IFERROR('Company_Master'!A19&lt;&gt;"",FALSE),AND(ISNUMBER(Financials!E19),ISNUMBER(Financials!AP19)))),"—",IF(IFERROR(AND(ISNUMBER(Financials!E19),ISNUMBER(Financials!AP19),Financials!E19&lt;&gt;0,ABS(Financials!E19-Financials!AP19)/ABS(Financials!E19)&gt;0.05),FALSE),"⚠","✓"))</f>
        <v/>
      </c>
      <c r="L22" s="49">
        <f>IF(NOT(AND(IFERROR('Company_Master'!A19&lt;&gt;"",FALSE),AND(ISNUMBER(Financials!AR19),ISNUMBER(Financials!S19)))),"—",IF(IFERROR(AND(ISNUMBER(Financials!AR19),ISNUMBER(Financials!S19),Financials!S19&lt;&gt;0,ABS(Financials!AR19-Financials!S19)/MAX(ABS(Financials!S19),1)&gt;0.05),FALSE),"⚠","✓"))</f>
        <v/>
      </c>
      <c r="M22" s="49">
        <f>IF(NOT(AND(IFERROR('Company_Master'!A19&lt;&gt;"",FALSE),AND(ISNUMBER(Asset_Operations!BE19),ISNUMBER(Asset_Operations!AR19)))),"—",IF(IFERROR(AND(ISNUMBER(Asset_Operations!BE19),ISNUMBER(Asset_Operations!AR19),ABS(Asset_Operations!BE19-Asset_Operations!AR19)&gt;0.05),FALSE),"⚠","✓"))</f>
        <v/>
      </c>
      <c r="N22" s="49">
        <f>IF(NOT(AND(IFERROR('Company_Master'!A19&lt;&gt;"",FALSE),ISNUMBER(Financials!C19))),"—",IF(IFERROR(AND(ISNUMBER(Financials!C19),OR(Financials!C19&lt;50,Financials!C19&gt;200000)),FALSE),"⚠","✓"))</f>
        <v/>
      </c>
      <c r="O22" s="50">
        <f>COUNTIF(C22:N22,"⚠")</f>
        <v/>
      </c>
      <c r="P22" s="50">
        <f>COUNTIF(C22:N22,"✓")</f>
        <v/>
      </c>
      <c r="Q22" s="46">
        <f>IF(NOT(IFERROR('Company_Master'!A19&lt;&gt;"",FALSE)),"",IF(O22&gt;0,"⚠ "&amp;O22&amp;" issue(s) detected",IF(P22=0,"— No data to validate","✓ All "&amp;P22&amp;" checks passed")))</f>
        <v/>
      </c>
    </row>
    <row r="23">
      <c r="A23" s="47" t="n">
        <v>19</v>
      </c>
      <c r="B23" s="48">
        <f>IFERROR('Company_Master'!A20,"")</f>
        <v/>
      </c>
      <c r="C23" s="49">
        <f>IF(NOT(AND(IFERROR('Company_Master'!A20&lt;&gt;"",FALSE),OR(ISNUMBER(Asset_Operations!B20),ISNUMBER(Asset_Operations!C20),ISNUMBER(Asset_Operations!D20)))),"—",IF(IFERROR(AND(ISNUMBER(Asset_Operations!B20),ISNUMBER(Asset_Operations!C20),ISNUMBER(Asset_Operations!D20),Asset_Operations!B20&gt;0,ABS((Asset_Operations!C20+Asset_Operations!D20)-Asset_Operations!B20)/Asset_Operations!B20&gt;0.02),FALSE),"⚠","✓"))</f>
        <v/>
      </c>
      <c r="D23" s="49">
        <f>IF(NOT(AND(IFERROR('Company_Master'!A20&lt;&gt;"",FALSE),OR(ISNUMBER(Asset_Operations!B20),ISNUMBER(Asset_Operations!E20),ISNUMBER(Asset_Operations!F20)))),"—",IF(IFERROR(AND(ISNUMBER(Asset_Operations!B20),ISNUMBER(Asset_Operations!E20),ISNUMBER(Asset_Operations!F20),Asset_Operations!B20&gt;0,ABS((Asset_Operations!E20+Asset_Operations!F20)-Asset_Operations!B20)/Asset_Operations!B20&gt;0.02),FALSE),"⚠","✓"))</f>
        <v/>
      </c>
      <c r="E23" s="49">
        <f>IF(NOT(AND(IFERROR('Company_Master'!A20&lt;&gt;"",FALSE),ISNUMBER(Asset_Operations!AR20))),"—",IF(IFERROR(AND(ISNUMBER(Asset_Operations!AR20),OR(Asset_Operations!AR20&lt;0.15,Asset_Operations!AR20&gt;0.27)),FALSE),"⚠","✓"))</f>
        <v/>
      </c>
      <c r="F23" s="49">
        <f>IF(NOT(AND(IFERROR('Company_Master'!A20&lt;&gt;"",FALSE),AND(ISNUMBER(Financials!Q20),ISNUMBER(Financials!R20)))),"—",IF(IFERROR(AND(ISNUMBER(Financials!Q20),ISNUMBER(Financials!R20),ISNUMBER(Financials!S20),ABS((Financials!R20-Financials!Q20)-Financials!S20)/MAX(ABS(Financials!S20),1)&gt;0.05),FALSE),"⚠","✓"))</f>
        <v/>
      </c>
      <c r="G23" s="49">
        <f>IF(NOT(AND(IFERROR('Company_Master'!A20&lt;&gt;"",FALSE),AND(ISNUMBER(Financials!I20),ISNUMBER(Financials!L20),ISNUMBER(Financials!O20)))),"—",IF(IFERROR(AND(ISNUMBER(Financials!I20),ISNUMBER(Financials!L20),ISNUMBER(Financials!O20),Financials!I20&gt;0,ABS(Financials!I20-(Financials!L20+Financials!O20))/Financials!I20&gt;0.01),FALSE),"⚠","✓"))</f>
        <v/>
      </c>
      <c r="H23" s="49">
        <f>IF(NOT(AND(IFERROR('Company_Master'!A20&lt;&gt;"",FALSE),AND(ISNUMBER(Financials!E20),ISNUMBER(Financials!F20)))),"—",IF(IFERROR(AND(ISNUMBER(Financials!E20),ISNUMBER(Financials!F20),Financials!E20&lt;Financials!F20),FALSE),"⚠","✓"))</f>
        <v/>
      </c>
      <c r="I23" s="49">
        <f>IF(NOT(AND(IFERROR('Company_Master'!A20&lt;&gt;"",FALSE),AND(ISNUMBER(Financials!C20),ISNUMBER(Financials!E20)))),"—",IF(IFERROR(AND(ISNUMBER(Financials!C20),ISNUMBER(Financials!E20),Financials!C20=0,Financials!E20&gt;0),FALSE),"⚠","✓"))</f>
        <v/>
      </c>
      <c r="J23" s="49">
        <f>IF(NOT(AND(IFERROR('Company_Master'!A20&lt;&gt;"",FALSE),COUNTIF('Raw_Extract'!A:A,'Company_Master'!A20)&gt;0)),"—",IF(COUNTIFS('Raw_Extract'!A:A,'Company_Master'!A20,'Raw_Extract'!J:J,"Low")&gt;0,"⚠","✓"))</f>
        <v/>
      </c>
      <c r="K23" s="49">
        <f>IF(NOT(AND(IFERROR('Company_Master'!A20&lt;&gt;"",FALSE),AND(ISNUMBER(Financials!E20),ISNUMBER(Financials!AP20)))),"—",IF(IFERROR(AND(ISNUMBER(Financials!E20),ISNUMBER(Financials!AP20),Financials!E20&lt;&gt;0,ABS(Financials!E20-Financials!AP20)/ABS(Financials!E20)&gt;0.05),FALSE),"⚠","✓"))</f>
        <v/>
      </c>
      <c r="L23" s="49">
        <f>IF(NOT(AND(IFERROR('Company_Master'!A20&lt;&gt;"",FALSE),AND(ISNUMBER(Financials!AR20),ISNUMBER(Financials!S20)))),"—",IF(IFERROR(AND(ISNUMBER(Financials!AR20),ISNUMBER(Financials!S20),Financials!S20&lt;&gt;0,ABS(Financials!AR20-Financials!S20)/MAX(ABS(Financials!S20),1)&gt;0.05),FALSE),"⚠","✓"))</f>
        <v/>
      </c>
      <c r="M23" s="49">
        <f>IF(NOT(AND(IFERROR('Company_Master'!A20&lt;&gt;"",FALSE),AND(ISNUMBER(Asset_Operations!BE20),ISNUMBER(Asset_Operations!AR20)))),"—",IF(IFERROR(AND(ISNUMBER(Asset_Operations!BE20),ISNUMBER(Asset_Operations!AR20),ABS(Asset_Operations!BE20-Asset_Operations!AR20)&gt;0.05),FALSE),"⚠","✓"))</f>
        <v/>
      </c>
      <c r="N23" s="49">
        <f>IF(NOT(AND(IFERROR('Company_Master'!A20&lt;&gt;"",FALSE),ISNUMBER(Financials!C20))),"—",IF(IFERROR(AND(ISNUMBER(Financials!C20),OR(Financials!C20&lt;50,Financials!C20&gt;200000)),FALSE),"⚠","✓"))</f>
        <v/>
      </c>
      <c r="O23" s="50">
        <f>COUNTIF(C23:N23,"⚠")</f>
        <v/>
      </c>
      <c r="P23" s="50">
        <f>COUNTIF(C23:N23,"✓")</f>
        <v/>
      </c>
      <c r="Q23" s="46">
        <f>IF(NOT(IFERROR('Company_Master'!A20&lt;&gt;"",FALSE)),"",IF(O23&gt;0,"⚠ "&amp;O23&amp;" issue(s) detected",IF(P23=0,"— No data to validate","✓ All "&amp;P23&amp;" checks passed")))</f>
        <v/>
      </c>
    </row>
    <row r="24">
      <c r="A24" s="47" t="n">
        <v>20</v>
      </c>
      <c r="B24" s="48">
        <f>IFERROR('Company_Master'!A21,"")</f>
        <v/>
      </c>
      <c r="C24" s="49">
        <f>IF(NOT(AND(IFERROR('Company_Master'!A21&lt;&gt;"",FALSE),OR(ISNUMBER(Asset_Operations!B21),ISNUMBER(Asset_Operations!C21),ISNUMBER(Asset_Operations!D21)))),"—",IF(IFERROR(AND(ISNUMBER(Asset_Operations!B21),ISNUMBER(Asset_Operations!C21),ISNUMBER(Asset_Operations!D21),Asset_Operations!B21&gt;0,ABS((Asset_Operations!C21+Asset_Operations!D21)-Asset_Operations!B21)/Asset_Operations!B21&gt;0.02),FALSE),"⚠","✓"))</f>
        <v/>
      </c>
      <c r="D24" s="49">
        <f>IF(NOT(AND(IFERROR('Company_Master'!A21&lt;&gt;"",FALSE),OR(ISNUMBER(Asset_Operations!B21),ISNUMBER(Asset_Operations!E21),ISNUMBER(Asset_Operations!F21)))),"—",IF(IFERROR(AND(ISNUMBER(Asset_Operations!B21),ISNUMBER(Asset_Operations!E21),ISNUMBER(Asset_Operations!F21),Asset_Operations!B21&gt;0,ABS((Asset_Operations!E21+Asset_Operations!F21)-Asset_Operations!B21)/Asset_Operations!B21&gt;0.02),FALSE),"⚠","✓"))</f>
        <v/>
      </c>
      <c r="E24" s="49">
        <f>IF(NOT(AND(IFERROR('Company_Master'!A21&lt;&gt;"",FALSE),ISNUMBER(Asset_Operations!AR21))),"—",IF(IFERROR(AND(ISNUMBER(Asset_Operations!AR21),OR(Asset_Operations!AR21&lt;0.15,Asset_Operations!AR21&gt;0.27)),FALSE),"⚠","✓"))</f>
        <v/>
      </c>
      <c r="F24" s="49">
        <f>IF(NOT(AND(IFERROR('Company_Master'!A21&lt;&gt;"",FALSE),AND(ISNUMBER(Financials!Q21),ISNUMBER(Financials!R21)))),"—",IF(IFERROR(AND(ISNUMBER(Financials!Q21),ISNUMBER(Financials!R21),ISNUMBER(Financials!S21),ABS((Financials!R21-Financials!Q21)-Financials!S21)/MAX(ABS(Financials!S21),1)&gt;0.05),FALSE),"⚠","✓"))</f>
        <v/>
      </c>
      <c r="G24" s="49">
        <f>IF(NOT(AND(IFERROR('Company_Master'!A21&lt;&gt;"",FALSE),AND(ISNUMBER(Financials!I21),ISNUMBER(Financials!L21),ISNUMBER(Financials!O21)))),"—",IF(IFERROR(AND(ISNUMBER(Financials!I21),ISNUMBER(Financials!L21),ISNUMBER(Financials!O21),Financials!I21&gt;0,ABS(Financials!I21-(Financials!L21+Financials!O21))/Financials!I21&gt;0.01),FALSE),"⚠","✓"))</f>
        <v/>
      </c>
      <c r="H24" s="49">
        <f>IF(NOT(AND(IFERROR('Company_Master'!A21&lt;&gt;"",FALSE),AND(ISNUMBER(Financials!E21),ISNUMBER(Financials!F21)))),"—",IF(IFERROR(AND(ISNUMBER(Financials!E21),ISNUMBER(Financials!F21),Financials!E21&lt;Financials!F21),FALSE),"⚠","✓"))</f>
        <v/>
      </c>
      <c r="I24" s="49">
        <f>IF(NOT(AND(IFERROR('Company_Master'!A21&lt;&gt;"",FALSE),AND(ISNUMBER(Financials!C21),ISNUMBER(Financials!E21)))),"—",IF(IFERROR(AND(ISNUMBER(Financials!C21),ISNUMBER(Financials!E21),Financials!C21=0,Financials!E21&gt;0),FALSE),"⚠","✓"))</f>
        <v/>
      </c>
      <c r="J24" s="49">
        <f>IF(NOT(AND(IFERROR('Company_Master'!A21&lt;&gt;"",FALSE),COUNTIF('Raw_Extract'!A:A,'Company_Master'!A21)&gt;0)),"—",IF(COUNTIFS('Raw_Extract'!A:A,'Company_Master'!A21,'Raw_Extract'!J:J,"Low")&gt;0,"⚠","✓"))</f>
        <v/>
      </c>
      <c r="K24" s="49">
        <f>IF(NOT(AND(IFERROR('Company_Master'!A21&lt;&gt;"",FALSE),AND(ISNUMBER(Financials!E21),ISNUMBER(Financials!AP21)))),"—",IF(IFERROR(AND(ISNUMBER(Financials!E21),ISNUMBER(Financials!AP21),Financials!E21&lt;&gt;0,ABS(Financials!E21-Financials!AP21)/ABS(Financials!E21)&gt;0.05),FALSE),"⚠","✓"))</f>
        <v/>
      </c>
      <c r="L24" s="49">
        <f>IF(NOT(AND(IFERROR('Company_Master'!A21&lt;&gt;"",FALSE),AND(ISNUMBER(Financials!AR21),ISNUMBER(Financials!S21)))),"—",IF(IFERROR(AND(ISNUMBER(Financials!AR21),ISNUMBER(Financials!S21),Financials!S21&lt;&gt;0,ABS(Financials!AR21-Financials!S21)/MAX(ABS(Financials!S21),1)&gt;0.05),FALSE),"⚠","✓"))</f>
        <v/>
      </c>
      <c r="M24" s="49">
        <f>IF(NOT(AND(IFERROR('Company_Master'!A21&lt;&gt;"",FALSE),AND(ISNUMBER(Asset_Operations!BE21),ISNUMBER(Asset_Operations!AR21)))),"—",IF(IFERROR(AND(ISNUMBER(Asset_Operations!BE21),ISNUMBER(Asset_Operations!AR21),ABS(Asset_Operations!BE21-Asset_Operations!AR21)&gt;0.05),FALSE),"⚠","✓"))</f>
        <v/>
      </c>
      <c r="N24" s="49">
        <f>IF(NOT(AND(IFERROR('Company_Master'!A21&lt;&gt;"",FALSE),ISNUMBER(Financials!C21))),"—",IF(IFERROR(AND(ISNUMBER(Financials!C21),OR(Financials!C21&lt;50,Financials!C21&gt;200000)),FALSE),"⚠","✓"))</f>
        <v/>
      </c>
      <c r="O24" s="50">
        <f>COUNTIF(C24:N24,"⚠")</f>
        <v/>
      </c>
      <c r="P24" s="50">
        <f>COUNTIF(C24:N24,"✓")</f>
        <v/>
      </c>
      <c r="Q24" s="46">
        <f>IF(NOT(IFERROR('Company_Master'!A21&lt;&gt;"",FALSE)),"",IF(O24&gt;0,"⚠ "&amp;O24&amp;" issue(s) detected",IF(P24=0,"— No data to validate","✓ All "&amp;P24&amp;" checks passed")))</f>
        <v/>
      </c>
    </row>
    <row r="25">
      <c r="A25" s="47" t="n">
        <v>21</v>
      </c>
      <c r="B25" s="48">
        <f>IFERROR('Company_Master'!A22,"")</f>
        <v/>
      </c>
      <c r="C25" s="49">
        <f>IF(NOT(AND(IFERROR('Company_Master'!A22&lt;&gt;"",FALSE),OR(ISNUMBER(Asset_Operations!B22),ISNUMBER(Asset_Operations!C22),ISNUMBER(Asset_Operations!D22)))),"—",IF(IFERROR(AND(ISNUMBER(Asset_Operations!B22),ISNUMBER(Asset_Operations!C22),ISNUMBER(Asset_Operations!D22),Asset_Operations!B22&gt;0,ABS((Asset_Operations!C22+Asset_Operations!D22)-Asset_Operations!B22)/Asset_Operations!B22&gt;0.02),FALSE),"⚠","✓"))</f>
        <v/>
      </c>
      <c r="D25" s="49">
        <f>IF(NOT(AND(IFERROR('Company_Master'!A22&lt;&gt;"",FALSE),OR(ISNUMBER(Asset_Operations!B22),ISNUMBER(Asset_Operations!E22),ISNUMBER(Asset_Operations!F22)))),"—",IF(IFERROR(AND(ISNUMBER(Asset_Operations!B22),ISNUMBER(Asset_Operations!E22),ISNUMBER(Asset_Operations!F22),Asset_Operations!B22&gt;0,ABS((Asset_Operations!E22+Asset_Operations!F22)-Asset_Operations!B22)/Asset_Operations!B22&gt;0.02),FALSE),"⚠","✓"))</f>
        <v/>
      </c>
      <c r="E25" s="49">
        <f>IF(NOT(AND(IFERROR('Company_Master'!A22&lt;&gt;"",FALSE),ISNUMBER(Asset_Operations!AR22))),"—",IF(IFERROR(AND(ISNUMBER(Asset_Operations!AR22),OR(Asset_Operations!AR22&lt;0.15,Asset_Operations!AR22&gt;0.27)),FALSE),"⚠","✓"))</f>
        <v/>
      </c>
      <c r="F25" s="49">
        <f>IF(NOT(AND(IFERROR('Company_Master'!A22&lt;&gt;"",FALSE),AND(ISNUMBER(Financials!Q22),ISNUMBER(Financials!R22)))),"—",IF(IFERROR(AND(ISNUMBER(Financials!Q22),ISNUMBER(Financials!R22),ISNUMBER(Financials!S22),ABS((Financials!R22-Financials!Q22)-Financials!S22)/MAX(ABS(Financials!S22),1)&gt;0.05),FALSE),"⚠","✓"))</f>
        <v/>
      </c>
      <c r="G25" s="49">
        <f>IF(NOT(AND(IFERROR('Company_Master'!A22&lt;&gt;"",FALSE),AND(ISNUMBER(Financials!I22),ISNUMBER(Financials!L22),ISNUMBER(Financials!O22)))),"—",IF(IFERROR(AND(ISNUMBER(Financials!I22),ISNUMBER(Financials!L22),ISNUMBER(Financials!O22),Financials!I22&gt;0,ABS(Financials!I22-(Financials!L22+Financials!O22))/Financials!I22&gt;0.01),FALSE),"⚠","✓"))</f>
        <v/>
      </c>
      <c r="H25" s="49">
        <f>IF(NOT(AND(IFERROR('Company_Master'!A22&lt;&gt;"",FALSE),AND(ISNUMBER(Financials!E22),ISNUMBER(Financials!F22)))),"—",IF(IFERROR(AND(ISNUMBER(Financials!E22),ISNUMBER(Financials!F22),Financials!E22&lt;Financials!F22),FALSE),"⚠","✓"))</f>
        <v/>
      </c>
      <c r="I25" s="49">
        <f>IF(NOT(AND(IFERROR('Company_Master'!A22&lt;&gt;"",FALSE),AND(ISNUMBER(Financials!C22),ISNUMBER(Financials!E22)))),"—",IF(IFERROR(AND(ISNUMBER(Financials!C22),ISNUMBER(Financials!E22),Financials!C22=0,Financials!E22&gt;0),FALSE),"⚠","✓"))</f>
        <v/>
      </c>
      <c r="J25" s="49">
        <f>IF(NOT(AND(IFERROR('Company_Master'!A22&lt;&gt;"",FALSE),COUNTIF('Raw_Extract'!A:A,'Company_Master'!A22)&gt;0)),"—",IF(COUNTIFS('Raw_Extract'!A:A,'Company_Master'!A22,'Raw_Extract'!J:J,"Low")&gt;0,"⚠","✓"))</f>
        <v/>
      </c>
      <c r="K25" s="49">
        <f>IF(NOT(AND(IFERROR('Company_Master'!A22&lt;&gt;"",FALSE),AND(ISNUMBER(Financials!E22),ISNUMBER(Financials!AP22)))),"—",IF(IFERROR(AND(ISNUMBER(Financials!E22),ISNUMBER(Financials!AP22),Financials!E22&lt;&gt;0,ABS(Financials!E22-Financials!AP22)/ABS(Financials!E22)&gt;0.05),FALSE),"⚠","✓"))</f>
        <v/>
      </c>
      <c r="L25" s="49">
        <f>IF(NOT(AND(IFERROR('Company_Master'!A22&lt;&gt;"",FALSE),AND(ISNUMBER(Financials!AR22),ISNUMBER(Financials!S22)))),"—",IF(IFERROR(AND(ISNUMBER(Financials!AR22),ISNUMBER(Financials!S22),Financials!S22&lt;&gt;0,ABS(Financials!AR22-Financials!S22)/MAX(ABS(Financials!S22),1)&gt;0.05),FALSE),"⚠","✓"))</f>
        <v/>
      </c>
      <c r="M25" s="49">
        <f>IF(NOT(AND(IFERROR('Company_Master'!A22&lt;&gt;"",FALSE),AND(ISNUMBER(Asset_Operations!BE22),ISNUMBER(Asset_Operations!AR22)))),"—",IF(IFERROR(AND(ISNUMBER(Asset_Operations!BE22),ISNUMBER(Asset_Operations!AR22),ABS(Asset_Operations!BE22-Asset_Operations!AR22)&gt;0.05),FALSE),"⚠","✓"))</f>
        <v/>
      </c>
      <c r="N25" s="49">
        <f>IF(NOT(AND(IFERROR('Company_Master'!A22&lt;&gt;"",FALSE),ISNUMBER(Financials!C22))),"—",IF(IFERROR(AND(ISNUMBER(Financials!C22),OR(Financials!C22&lt;50,Financials!C22&gt;200000)),FALSE),"⚠","✓"))</f>
        <v/>
      </c>
      <c r="O25" s="50">
        <f>COUNTIF(C25:N25,"⚠")</f>
        <v/>
      </c>
      <c r="P25" s="50">
        <f>COUNTIF(C25:N25,"✓")</f>
        <v/>
      </c>
      <c r="Q25" s="46">
        <f>IF(NOT(IFERROR('Company_Master'!A22&lt;&gt;"",FALSE)),"",IF(O25&gt;0,"⚠ "&amp;O25&amp;" issue(s) detected",IF(P25=0,"— No data to validate","✓ All "&amp;P25&amp;" checks passed")))</f>
        <v/>
      </c>
    </row>
    <row r="26">
      <c r="A26" s="47" t="n">
        <v>22</v>
      </c>
      <c r="B26" s="48">
        <f>IFERROR('Company_Master'!A23,"")</f>
        <v/>
      </c>
      <c r="C26" s="49">
        <f>IF(NOT(AND(IFERROR('Company_Master'!A23&lt;&gt;"",FALSE),OR(ISNUMBER(Asset_Operations!B23),ISNUMBER(Asset_Operations!C23),ISNUMBER(Asset_Operations!D23)))),"—",IF(IFERROR(AND(ISNUMBER(Asset_Operations!B23),ISNUMBER(Asset_Operations!C23),ISNUMBER(Asset_Operations!D23),Asset_Operations!B23&gt;0,ABS((Asset_Operations!C23+Asset_Operations!D23)-Asset_Operations!B23)/Asset_Operations!B23&gt;0.02),FALSE),"⚠","✓"))</f>
        <v/>
      </c>
      <c r="D26" s="49">
        <f>IF(NOT(AND(IFERROR('Company_Master'!A23&lt;&gt;"",FALSE),OR(ISNUMBER(Asset_Operations!B23),ISNUMBER(Asset_Operations!E23),ISNUMBER(Asset_Operations!F23)))),"—",IF(IFERROR(AND(ISNUMBER(Asset_Operations!B23),ISNUMBER(Asset_Operations!E23),ISNUMBER(Asset_Operations!F23),Asset_Operations!B23&gt;0,ABS((Asset_Operations!E23+Asset_Operations!F23)-Asset_Operations!B23)/Asset_Operations!B23&gt;0.02),FALSE),"⚠","✓"))</f>
        <v/>
      </c>
      <c r="E26" s="49">
        <f>IF(NOT(AND(IFERROR('Company_Master'!A23&lt;&gt;"",FALSE),ISNUMBER(Asset_Operations!AR23))),"—",IF(IFERROR(AND(ISNUMBER(Asset_Operations!AR23),OR(Asset_Operations!AR23&lt;0.15,Asset_Operations!AR23&gt;0.27)),FALSE),"⚠","✓"))</f>
        <v/>
      </c>
      <c r="F26" s="49">
        <f>IF(NOT(AND(IFERROR('Company_Master'!A23&lt;&gt;"",FALSE),AND(ISNUMBER(Financials!Q23),ISNUMBER(Financials!R23)))),"—",IF(IFERROR(AND(ISNUMBER(Financials!Q23),ISNUMBER(Financials!R23),ISNUMBER(Financials!S23),ABS((Financials!R23-Financials!Q23)-Financials!S23)/MAX(ABS(Financials!S23),1)&gt;0.05),FALSE),"⚠","✓"))</f>
        <v/>
      </c>
      <c r="G26" s="49">
        <f>IF(NOT(AND(IFERROR('Company_Master'!A23&lt;&gt;"",FALSE),AND(ISNUMBER(Financials!I23),ISNUMBER(Financials!L23),ISNUMBER(Financials!O23)))),"—",IF(IFERROR(AND(ISNUMBER(Financials!I23),ISNUMBER(Financials!L23),ISNUMBER(Financials!O23),Financials!I23&gt;0,ABS(Financials!I23-(Financials!L23+Financials!O23))/Financials!I23&gt;0.01),FALSE),"⚠","✓"))</f>
        <v/>
      </c>
      <c r="H26" s="49">
        <f>IF(NOT(AND(IFERROR('Company_Master'!A23&lt;&gt;"",FALSE),AND(ISNUMBER(Financials!E23),ISNUMBER(Financials!F23)))),"—",IF(IFERROR(AND(ISNUMBER(Financials!E23),ISNUMBER(Financials!F23),Financials!E23&lt;Financials!F23),FALSE),"⚠","✓"))</f>
        <v/>
      </c>
      <c r="I26" s="49">
        <f>IF(NOT(AND(IFERROR('Company_Master'!A23&lt;&gt;"",FALSE),AND(ISNUMBER(Financials!C23),ISNUMBER(Financials!E23)))),"—",IF(IFERROR(AND(ISNUMBER(Financials!C23),ISNUMBER(Financials!E23),Financials!C23=0,Financials!E23&gt;0),FALSE),"⚠","✓"))</f>
        <v/>
      </c>
      <c r="J26" s="49">
        <f>IF(NOT(AND(IFERROR('Company_Master'!A23&lt;&gt;"",FALSE),COUNTIF('Raw_Extract'!A:A,'Company_Master'!A23)&gt;0)),"—",IF(COUNTIFS('Raw_Extract'!A:A,'Company_Master'!A23,'Raw_Extract'!J:J,"Low")&gt;0,"⚠","✓"))</f>
        <v/>
      </c>
      <c r="K26" s="49">
        <f>IF(NOT(AND(IFERROR('Company_Master'!A23&lt;&gt;"",FALSE),AND(ISNUMBER(Financials!E23),ISNUMBER(Financials!AP23)))),"—",IF(IFERROR(AND(ISNUMBER(Financials!E23),ISNUMBER(Financials!AP23),Financials!E23&lt;&gt;0,ABS(Financials!E23-Financials!AP23)/ABS(Financials!E23)&gt;0.05),FALSE),"⚠","✓"))</f>
        <v/>
      </c>
      <c r="L26" s="49">
        <f>IF(NOT(AND(IFERROR('Company_Master'!A23&lt;&gt;"",FALSE),AND(ISNUMBER(Financials!AR23),ISNUMBER(Financials!S23)))),"—",IF(IFERROR(AND(ISNUMBER(Financials!AR23),ISNUMBER(Financials!S23),Financials!S23&lt;&gt;0,ABS(Financials!AR23-Financials!S23)/MAX(ABS(Financials!S23),1)&gt;0.05),FALSE),"⚠","✓"))</f>
        <v/>
      </c>
      <c r="M26" s="49">
        <f>IF(NOT(AND(IFERROR('Company_Master'!A23&lt;&gt;"",FALSE),AND(ISNUMBER(Asset_Operations!BE23),ISNUMBER(Asset_Operations!AR23)))),"—",IF(IFERROR(AND(ISNUMBER(Asset_Operations!BE23),ISNUMBER(Asset_Operations!AR23),ABS(Asset_Operations!BE23-Asset_Operations!AR23)&gt;0.05),FALSE),"⚠","✓"))</f>
        <v/>
      </c>
      <c r="N26" s="49">
        <f>IF(NOT(AND(IFERROR('Company_Master'!A23&lt;&gt;"",FALSE),ISNUMBER(Financials!C23))),"—",IF(IFERROR(AND(ISNUMBER(Financials!C23),OR(Financials!C23&lt;50,Financials!C23&gt;200000)),FALSE),"⚠","✓"))</f>
        <v/>
      </c>
      <c r="O26" s="50">
        <f>COUNTIF(C26:N26,"⚠")</f>
        <v/>
      </c>
      <c r="P26" s="50">
        <f>COUNTIF(C26:N26,"✓")</f>
        <v/>
      </c>
      <c r="Q26" s="46">
        <f>IF(NOT(IFERROR('Company_Master'!A23&lt;&gt;"",FALSE)),"",IF(O26&gt;0,"⚠ "&amp;O26&amp;" issue(s) detected",IF(P26=0,"— No data to validate","✓ All "&amp;P26&amp;" checks passed")))</f>
        <v/>
      </c>
    </row>
    <row r="27">
      <c r="A27" s="47" t="n">
        <v>23</v>
      </c>
      <c r="B27" s="48">
        <f>IFERROR('Company_Master'!A24,"")</f>
        <v/>
      </c>
      <c r="C27" s="49">
        <f>IF(NOT(AND(IFERROR('Company_Master'!A24&lt;&gt;"",FALSE),OR(ISNUMBER(Asset_Operations!B24),ISNUMBER(Asset_Operations!C24),ISNUMBER(Asset_Operations!D24)))),"—",IF(IFERROR(AND(ISNUMBER(Asset_Operations!B24),ISNUMBER(Asset_Operations!C24),ISNUMBER(Asset_Operations!D24),Asset_Operations!B24&gt;0,ABS((Asset_Operations!C24+Asset_Operations!D24)-Asset_Operations!B24)/Asset_Operations!B24&gt;0.02),FALSE),"⚠","✓"))</f>
        <v/>
      </c>
      <c r="D27" s="49">
        <f>IF(NOT(AND(IFERROR('Company_Master'!A24&lt;&gt;"",FALSE),OR(ISNUMBER(Asset_Operations!B24),ISNUMBER(Asset_Operations!E24),ISNUMBER(Asset_Operations!F24)))),"—",IF(IFERROR(AND(ISNUMBER(Asset_Operations!B24),ISNUMBER(Asset_Operations!E24),ISNUMBER(Asset_Operations!F24),Asset_Operations!B24&gt;0,ABS((Asset_Operations!E24+Asset_Operations!F24)-Asset_Operations!B24)/Asset_Operations!B24&gt;0.02),FALSE),"⚠","✓"))</f>
        <v/>
      </c>
      <c r="E27" s="49">
        <f>IF(NOT(AND(IFERROR('Company_Master'!A24&lt;&gt;"",FALSE),ISNUMBER(Asset_Operations!AR24))),"—",IF(IFERROR(AND(ISNUMBER(Asset_Operations!AR24),OR(Asset_Operations!AR24&lt;0.15,Asset_Operations!AR24&gt;0.27)),FALSE),"⚠","✓"))</f>
        <v/>
      </c>
      <c r="F27" s="49">
        <f>IF(NOT(AND(IFERROR('Company_Master'!A24&lt;&gt;"",FALSE),AND(ISNUMBER(Financials!Q24),ISNUMBER(Financials!R24)))),"—",IF(IFERROR(AND(ISNUMBER(Financials!Q24),ISNUMBER(Financials!R24),ISNUMBER(Financials!S24),ABS((Financials!R24-Financials!Q24)-Financials!S24)/MAX(ABS(Financials!S24),1)&gt;0.05),FALSE),"⚠","✓"))</f>
        <v/>
      </c>
      <c r="G27" s="49">
        <f>IF(NOT(AND(IFERROR('Company_Master'!A24&lt;&gt;"",FALSE),AND(ISNUMBER(Financials!I24),ISNUMBER(Financials!L24),ISNUMBER(Financials!O24)))),"—",IF(IFERROR(AND(ISNUMBER(Financials!I24),ISNUMBER(Financials!L24),ISNUMBER(Financials!O24),Financials!I24&gt;0,ABS(Financials!I24-(Financials!L24+Financials!O24))/Financials!I24&gt;0.01),FALSE),"⚠","✓"))</f>
        <v/>
      </c>
      <c r="H27" s="49">
        <f>IF(NOT(AND(IFERROR('Company_Master'!A24&lt;&gt;"",FALSE),AND(ISNUMBER(Financials!E24),ISNUMBER(Financials!F24)))),"—",IF(IFERROR(AND(ISNUMBER(Financials!E24),ISNUMBER(Financials!F24),Financials!E24&lt;Financials!F24),FALSE),"⚠","✓"))</f>
        <v/>
      </c>
      <c r="I27" s="49">
        <f>IF(NOT(AND(IFERROR('Company_Master'!A24&lt;&gt;"",FALSE),AND(ISNUMBER(Financials!C24),ISNUMBER(Financials!E24)))),"—",IF(IFERROR(AND(ISNUMBER(Financials!C24),ISNUMBER(Financials!E24),Financials!C24=0,Financials!E24&gt;0),FALSE),"⚠","✓"))</f>
        <v/>
      </c>
      <c r="J27" s="49">
        <f>IF(NOT(AND(IFERROR('Company_Master'!A24&lt;&gt;"",FALSE),COUNTIF('Raw_Extract'!A:A,'Company_Master'!A24)&gt;0)),"—",IF(COUNTIFS('Raw_Extract'!A:A,'Company_Master'!A24,'Raw_Extract'!J:J,"Low")&gt;0,"⚠","✓"))</f>
        <v/>
      </c>
      <c r="K27" s="49">
        <f>IF(NOT(AND(IFERROR('Company_Master'!A24&lt;&gt;"",FALSE),AND(ISNUMBER(Financials!E24),ISNUMBER(Financials!AP24)))),"—",IF(IFERROR(AND(ISNUMBER(Financials!E24),ISNUMBER(Financials!AP24),Financials!E24&lt;&gt;0,ABS(Financials!E24-Financials!AP24)/ABS(Financials!E24)&gt;0.05),FALSE),"⚠","✓"))</f>
        <v/>
      </c>
      <c r="L27" s="49">
        <f>IF(NOT(AND(IFERROR('Company_Master'!A24&lt;&gt;"",FALSE),AND(ISNUMBER(Financials!AR24),ISNUMBER(Financials!S24)))),"—",IF(IFERROR(AND(ISNUMBER(Financials!AR24),ISNUMBER(Financials!S24),Financials!S24&lt;&gt;0,ABS(Financials!AR24-Financials!S24)/MAX(ABS(Financials!S24),1)&gt;0.05),FALSE),"⚠","✓"))</f>
        <v/>
      </c>
      <c r="M27" s="49">
        <f>IF(NOT(AND(IFERROR('Company_Master'!A24&lt;&gt;"",FALSE),AND(ISNUMBER(Asset_Operations!BE24),ISNUMBER(Asset_Operations!AR24)))),"—",IF(IFERROR(AND(ISNUMBER(Asset_Operations!BE24),ISNUMBER(Asset_Operations!AR24),ABS(Asset_Operations!BE24-Asset_Operations!AR24)&gt;0.05),FALSE),"⚠","✓"))</f>
        <v/>
      </c>
      <c r="N27" s="49">
        <f>IF(NOT(AND(IFERROR('Company_Master'!A24&lt;&gt;"",FALSE),ISNUMBER(Financials!C24))),"—",IF(IFERROR(AND(ISNUMBER(Financials!C24),OR(Financials!C24&lt;50,Financials!C24&gt;200000)),FALSE),"⚠","✓"))</f>
        <v/>
      </c>
      <c r="O27" s="50">
        <f>COUNTIF(C27:N27,"⚠")</f>
        <v/>
      </c>
      <c r="P27" s="50">
        <f>COUNTIF(C27:N27,"✓")</f>
        <v/>
      </c>
      <c r="Q27" s="46">
        <f>IF(NOT(IFERROR('Company_Master'!A24&lt;&gt;"",FALSE)),"",IF(O27&gt;0,"⚠ "&amp;O27&amp;" issue(s) detected",IF(P27=0,"— No data to validate","✓ All "&amp;P27&amp;" checks passed")))</f>
        <v/>
      </c>
    </row>
    <row r="28">
      <c r="A28" s="47" t="n">
        <v>24</v>
      </c>
      <c r="B28" s="48">
        <f>IFERROR('Company_Master'!A25,"")</f>
        <v/>
      </c>
      <c r="C28" s="49">
        <f>IF(NOT(AND(IFERROR('Company_Master'!A25&lt;&gt;"",FALSE),OR(ISNUMBER(Asset_Operations!B25),ISNUMBER(Asset_Operations!C25),ISNUMBER(Asset_Operations!D25)))),"—",IF(IFERROR(AND(ISNUMBER(Asset_Operations!B25),ISNUMBER(Asset_Operations!C25),ISNUMBER(Asset_Operations!D25),Asset_Operations!B25&gt;0,ABS((Asset_Operations!C25+Asset_Operations!D25)-Asset_Operations!B25)/Asset_Operations!B25&gt;0.02),FALSE),"⚠","✓"))</f>
        <v/>
      </c>
      <c r="D28" s="49">
        <f>IF(NOT(AND(IFERROR('Company_Master'!A25&lt;&gt;"",FALSE),OR(ISNUMBER(Asset_Operations!B25),ISNUMBER(Asset_Operations!E25),ISNUMBER(Asset_Operations!F25)))),"—",IF(IFERROR(AND(ISNUMBER(Asset_Operations!B25),ISNUMBER(Asset_Operations!E25),ISNUMBER(Asset_Operations!F25),Asset_Operations!B25&gt;0,ABS((Asset_Operations!E25+Asset_Operations!F25)-Asset_Operations!B25)/Asset_Operations!B25&gt;0.02),FALSE),"⚠","✓"))</f>
        <v/>
      </c>
      <c r="E28" s="49">
        <f>IF(NOT(AND(IFERROR('Company_Master'!A25&lt;&gt;"",FALSE),ISNUMBER(Asset_Operations!AR25))),"—",IF(IFERROR(AND(ISNUMBER(Asset_Operations!AR25),OR(Asset_Operations!AR25&lt;0.15,Asset_Operations!AR25&gt;0.27)),FALSE),"⚠","✓"))</f>
        <v/>
      </c>
      <c r="F28" s="49">
        <f>IF(NOT(AND(IFERROR('Company_Master'!A25&lt;&gt;"",FALSE),AND(ISNUMBER(Financials!Q25),ISNUMBER(Financials!R25)))),"—",IF(IFERROR(AND(ISNUMBER(Financials!Q25),ISNUMBER(Financials!R25),ISNUMBER(Financials!S25),ABS((Financials!R25-Financials!Q25)-Financials!S25)/MAX(ABS(Financials!S25),1)&gt;0.05),FALSE),"⚠","✓"))</f>
        <v/>
      </c>
      <c r="G28" s="49">
        <f>IF(NOT(AND(IFERROR('Company_Master'!A25&lt;&gt;"",FALSE),AND(ISNUMBER(Financials!I25),ISNUMBER(Financials!L25),ISNUMBER(Financials!O25)))),"—",IF(IFERROR(AND(ISNUMBER(Financials!I25),ISNUMBER(Financials!L25),ISNUMBER(Financials!O25),Financials!I25&gt;0,ABS(Financials!I25-(Financials!L25+Financials!O25))/Financials!I25&gt;0.01),FALSE),"⚠","✓"))</f>
        <v/>
      </c>
      <c r="H28" s="49">
        <f>IF(NOT(AND(IFERROR('Company_Master'!A25&lt;&gt;"",FALSE),AND(ISNUMBER(Financials!E25),ISNUMBER(Financials!F25)))),"—",IF(IFERROR(AND(ISNUMBER(Financials!E25),ISNUMBER(Financials!F25),Financials!E25&lt;Financials!F25),FALSE),"⚠","✓"))</f>
        <v/>
      </c>
      <c r="I28" s="49">
        <f>IF(NOT(AND(IFERROR('Company_Master'!A25&lt;&gt;"",FALSE),AND(ISNUMBER(Financials!C25),ISNUMBER(Financials!E25)))),"—",IF(IFERROR(AND(ISNUMBER(Financials!C25),ISNUMBER(Financials!E25),Financials!C25=0,Financials!E25&gt;0),FALSE),"⚠","✓"))</f>
        <v/>
      </c>
      <c r="J28" s="49">
        <f>IF(NOT(AND(IFERROR('Company_Master'!A25&lt;&gt;"",FALSE),COUNTIF('Raw_Extract'!A:A,'Company_Master'!A25)&gt;0)),"—",IF(COUNTIFS('Raw_Extract'!A:A,'Company_Master'!A25,'Raw_Extract'!J:J,"Low")&gt;0,"⚠","✓"))</f>
        <v/>
      </c>
      <c r="K28" s="49">
        <f>IF(NOT(AND(IFERROR('Company_Master'!A25&lt;&gt;"",FALSE),AND(ISNUMBER(Financials!E25),ISNUMBER(Financials!AP25)))),"—",IF(IFERROR(AND(ISNUMBER(Financials!E25),ISNUMBER(Financials!AP25),Financials!E25&lt;&gt;0,ABS(Financials!E25-Financials!AP25)/ABS(Financials!E25)&gt;0.05),FALSE),"⚠","✓"))</f>
        <v/>
      </c>
      <c r="L28" s="49">
        <f>IF(NOT(AND(IFERROR('Company_Master'!A25&lt;&gt;"",FALSE),AND(ISNUMBER(Financials!AR25),ISNUMBER(Financials!S25)))),"—",IF(IFERROR(AND(ISNUMBER(Financials!AR25),ISNUMBER(Financials!S25),Financials!S25&lt;&gt;0,ABS(Financials!AR25-Financials!S25)/MAX(ABS(Financials!S25),1)&gt;0.05),FALSE),"⚠","✓"))</f>
        <v/>
      </c>
      <c r="M28" s="49">
        <f>IF(NOT(AND(IFERROR('Company_Master'!A25&lt;&gt;"",FALSE),AND(ISNUMBER(Asset_Operations!BE25),ISNUMBER(Asset_Operations!AR25)))),"—",IF(IFERROR(AND(ISNUMBER(Asset_Operations!BE25),ISNUMBER(Asset_Operations!AR25),ABS(Asset_Operations!BE25-Asset_Operations!AR25)&gt;0.05),FALSE),"⚠","✓"))</f>
        <v/>
      </c>
      <c r="N28" s="49">
        <f>IF(NOT(AND(IFERROR('Company_Master'!A25&lt;&gt;"",FALSE),ISNUMBER(Financials!C25))),"—",IF(IFERROR(AND(ISNUMBER(Financials!C25),OR(Financials!C25&lt;50,Financials!C25&gt;200000)),FALSE),"⚠","✓"))</f>
        <v/>
      </c>
      <c r="O28" s="50">
        <f>COUNTIF(C28:N28,"⚠")</f>
        <v/>
      </c>
      <c r="P28" s="50">
        <f>COUNTIF(C28:N28,"✓")</f>
        <v/>
      </c>
      <c r="Q28" s="46">
        <f>IF(NOT(IFERROR('Company_Master'!A25&lt;&gt;"",FALSE)),"",IF(O28&gt;0,"⚠ "&amp;O28&amp;" issue(s) detected",IF(P28=0,"— No data to validate","✓ All "&amp;P28&amp;" checks passed")))</f>
        <v/>
      </c>
    </row>
    <row r="29">
      <c r="A29" s="47" t="n">
        <v>25</v>
      </c>
      <c r="B29" s="48">
        <f>IFERROR('Company_Master'!A26,"")</f>
        <v/>
      </c>
      <c r="C29" s="49">
        <f>IF(NOT(AND(IFERROR('Company_Master'!A26&lt;&gt;"",FALSE),OR(ISNUMBER(Asset_Operations!B26),ISNUMBER(Asset_Operations!C26),ISNUMBER(Asset_Operations!D26)))),"—",IF(IFERROR(AND(ISNUMBER(Asset_Operations!B26),ISNUMBER(Asset_Operations!C26),ISNUMBER(Asset_Operations!D26),Asset_Operations!B26&gt;0,ABS((Asset_Operations!C26+Asset_Operations!D26)-Asset_Operations!B26)/Asset_Operations!B26&gt;0.02),FALSE),"⚠","✓"))</f>
        <v/>
      </c>
      <c r="D29" s="49">
        <f>IF(NOT(AND(IFERROR('Company_Master'!A26&lt;&gt;"",FALSE),OR(ISNUMBER(Asset_Operations!B26),ISNUMBER(Asset_Operations!E26),ISNUMBER(Asset_Operations!F26)))),"—",IF(IFERROR(AND(ISNUMBER(Asset_Operations!B26),ISNUMBER(Asset_Operations!E26),ISNUMBER(Asset_Operations!F26),Asset_Operations!B26&gt;0,ABS((Asset_Operations!E26+Asset_Operations!F26)-Asset_Operations!B26)/Asset_Operations!B26&gt;0.02),FALSE),"⚠","✓"))</f>
        <v/>
      </c>
      <c r="E29" s="49">
        <f>IF(NOT(AND(IFERROR('Company_Master'!A26&lt;&gt;"",FALSE),ISNUMBER(Asset_Operations!AR26))),"—",IF(IFERROR(AND(ISNUMBER(Asset_Operations!AR26),OR(Asset_Operations!AR26&lt;0.15,Asset_Operations!AR26&gt;0.27)),FALSE),"⚠","✓"))</f>
        <v/>
      </c>
      <c r="F29" s="49">
        <f>IF(NOT(AND(IFERROR('Company_Master'!A26&lt;&gt;"",FALSE),AND(ISNUMBER(Financials!Q26),ISNUMBER(Financials!R26)))),"—",IF(IFERROR(AND(ISNUMBER(Financials!Q26),ISNUMBER(Financials!R26),ISNUMBER(Financials!S26),ABS((Financials!R26-Financials!Q26)-Financials!S26)/MAX(ABS(Financials!S26),1)&gt;0.05),FALSE),"⚠","✓"))</f>
        <v/>
      </c>
      <c r="G29" s="49">
        <f>IF(NOT(AND(IFERROR('Company_Master'!A26&lt;&gt;"",FALSE),AND(ISNUMBER(Financials!I26),ISNUMBER(Financials!L26),ISNUMBER(Financials!O26)))),"—",IF(IFERROR(AND(ISNUMBER(Financials!I26),ISNUMBER(Financials!L26),ISNUMBER(Financials!O26),Financials!I26&gt;0,ABS(Financials!I26-(Financials!L26+Financials!O26))/Financials!I26&gt;0.01),FALSE),"⚠","✓"))</f>
        <v/>
      </c>
      <c r="H29" s="49">
        <f>IF(NOT(AND(IFERROR('Company_Master'!A26&lt;&gt;"",FALSE),AND(ISNUMBER(Financials!E26),ISNUMBER(Financials!F26)))),"—",IF(IFERROR(AND(ISNUMBER(Financials!E26),ISNUMBER(Financials!F26),Financials!E26&lt;Financials!F26),FALSE),"⚠","✓"))</f>
        <v/>
      </c>
      <c r="I29" s="49">
        <f>IF(NOT(AND(IFERROR('Company_Master'!A26&lt;&gt;"",FALSE),AND(ISNUMBER(Financials!C26),ISNUMBER(Financials!E26)))),"—",IF(IFERROR(AND(ISNUMBER(Financials!C26),ISNUMBER(Financials!E26),Financials!C26=0,Financials!E26&gt;0),FALSE),"⚠","✓"))</f>
        <v/>
      </c>
      <c r="J29" s="49">
        <f>IF(NOT(AND(IFERROR('Company_Master'!A26&lt;&gt;"",FALSE),COUNTIF('Raw_Extract'!A:A,'Company_Master'!A26)&gt;0)),"—",IF(COUNTIFS('Raw_Extract'!A:A,'Company_Master'!A26,'Raw_Extract'!J:J,"Low")&gt;0,"⚠","✓"))</f>
        <v/>
      </c>
      <c r="K29" s="49">
        <f>IF(NOT(AND(IFERROR('Company_Master'!A26&lt;&gt;"",FALSE),AND(ISNUMBER(Financials!E26),ISNUMBER(Financials!AP26)))),"—",IF(IFERROR(AND(ISNUMBER(Financials!E26),ISNUMBER(Financials!AP26),Financials!E26&lt;&gt;0,ABS(Financials!E26-Financials!AP26)/ABS(Financials!E26)&gt;0.05),FALSE),"⚠","✓"))</f>
        <v/>
      </c>
      <c r="L29" s="49">
        <f>IF(NOT(AND(IFERROR('Company_Master'!A26&lt;&gt;"",FALSE),AND(ISNUMBER(Financials!AR26),ISNUMBER(Financials!S26)))),"—",IF(IFERROR(AND(ISNUMBER(Financials!AR26),ISNUMBER(Financials!S26),Financials!S26&lt;&gt;0,ABS(Financials!AR26-Financials!S26)/MAX(ABS(Financials!S26),1)&gt;0.05),FALSE),"⚠","✓"))</f>
        <v/>
      </c>
      <c r="M29" s="49">
        <f>IF(NOT(AND(IFERROR('Company_Master'!A26&lt;&gt;"",FALSE),AND(ISNUMBER(Asset_Operations!BE26),ISNUMBER(Asset_Operations!AR26)))),"—",IF(IFERROR(AND(ISNUMBER(Asset_Operations!BE26),ISNUMBER(Asset_Operations!AR26),ABS(Asset_Operations!BE26-Asset_Operations!AR26)&gt;0.05),FALSE),"⚠","✓"))</f>
        <v/>
      </c>
      <c r="N29" s="49">
        <f>IF(NOT(AND(IFERROR('Company_Master'!A26&lt;&gt;"",FALSE),ISNUMBER(Financials!C26))),"—",IF(IFERROR(AND(ISNUMBER(Financials!C26),OR(Financials!C26&lt;50,Financials!C26&gt;200000)),FALSE),"⚠","✓"))</f>
        <v/>
      </c>
      <c r="O29" s="50">
        <f>COUNTIF(C29:N29,"⚠")</f>
        <v/>
      </c>
      <c r="P29" s="50">
        <f>COUNTIF(C29:N29,"✓")</f>
        <v/>
      </c>
      <c r="Q29" s="46">
        <f>IF(NOT(IFERROR('Company_Master'!A26&lt;&gt;"",FALSE)),"",IF(O29&gt;0,"⚠ "&amp;O29&amp;" issue(s) detected",IF(P29=0,"— No data to validate","✓ All "&amp;P29&amp;" checks passed")))</f>
        <v/>
      </c>
    </row>
    <row r="30">
      <c r="A30" s="47" t="n">
        <v>26</v>
      </c>
      <c r="B30" s="48">
        <f>IFERROR('Company_Master'!A27,"")</f>
        <v/>
      </c>
      <c r="C30" s="49">
        <f>IF(NOT(AND(IFERROR('Company_Master'!A27&lt;&gt;"",FALSE),OR(ISNUMBER(Asset_Operations!B27),ISNUMBER(Asset_Operations!C27),ISNUMBER(Asset_Operations!D27)))),"—",IF(IFERROR(AND(ISNUMBER(Asset_Operations!B27),ISNUMBER(Asset_Operations!C27),ISNUMBER(Asset_Operations!D27),Asset_Operations!B27&gt;0,ABS((Asset_Operations!C27+Asset_Operations!D27)-Asset_Operations!B27)/Asset_Operations!B27&gt;0.02),FALSE),"⚠","✓"))</f>
        <v/>
      </c>
      <c r="D30" s="49">
        <f>IF(NOT(AND(IFERROR('Company_Master'!A27&lt;&gt;"",FALSE),OR(ISNUMBER(Asset_Operations!B27),ISNUMBER(Asset_Operations!E27),ISNUMBER(Asset_Operations!F27)))),"—",IF(IFERROR(AND(ISNUMBER(Asset_Operations!B27),ISNUMBER(Asset_Operations!E27),ISNUMBER(Asset_Operations!F27),Asset_Operations!B27&gt;0,ABS((Asset_Operations!E27+Asset_Operations!F27)-Asset_Operations!B27)/Asset_Operations!B27&gt;0.02),FALSE),"⚠","✓"))</f>
        <v/>
      </c>
      <c r="E30" s="49">
        <f>IF(NOT(AND(IFERROR('Company_Master'!A27&lt;&gt;"",FALSE),ISNUMBER(Asset_Operations!AR27))),"—",IF(IFERROR(AND(ISNUMBER(Asset_Operations!AR27),OR(Asset_Operations!AR27&lt;0.15,Asset_Operations!AR27&gt;0.27)),FALSE),"⚠","✓"))</f>
        <v/>
      </c>
      <c r="F30" s="49">
        <f>IF(NOT(AND(IFERROR('Company_Master'!A27&lt;&gt;"",FALSE),AND(ISNUMBER(Financials!Q27),ISNUMBER(Financials!R27)))),"—",IF(IFERROR(AND(ISNUMBER(Financials!Q27),ISNUMBER(Financials!R27),ISNUMBER(Financials!S27),ABS((Financials!R27-Financials!Q27)-Financials!S27)/MAX(ABS(Financials!S27),1)&gt;0.05),FALSE),"⚠","✓"))</f>
        <v/>
      </c>
      <c r="G30" s="49">
        <f>IF(NOT(AND(IFERROR('Company_Master'!A27&lt;&gt;"",FALSE),AND(ISNUMBER(Financials!I27),ISNUMBER(Financials!L27),ISNUMBER(Financials!O27)))),"—",IF(IFERROR(AND(ISNUMBER(Financials!I27),ISNUMBER(Financials!L27),ISNUMBER(Financials!O27),Financials!I27&gt;0,ABS(Financials!I27-(Financials!L27+Financials!O27))/Financials!I27&gt;0.01),FALSE),"⚠","✓"))</f>
        <v/>
      </c>
      <c r="H30" s="49">
        <f>IF(NOT(AND(IFERROR('Company_Master'!A27&lt;&gt;"",FALSE),AND(ISNUMBER(Financials!E27),ISNUMBER(Financials!F27)))),"—",IF(IFERROR(AND(ISNUMBER(Financials!E27),ISNUMBER(Financials!F27),Financials!E27&lt;Financials!F27),FALSE),"⚠","✓"))</f>
        <v/>
      </c>
      <c r="I30" s="49">
        <f>IF(NOT(AND(IFERROR('Company_Master'!A27&lt;&gt;"",FALSE),AND(ISNUMBER(Financials!C27),ISNUMBER(Financials!E27)))),"—",IF(IFERROR(AND(ISNUMBER(Financials!C27),ISNUMBER(Financials!E27),Financials!C27=0,Financials!E27&gt;0),FALSE),"⚠","✓"))</f>
        <v/>
      </c>
      <c r="J30" s="49">
        <f>IF(NOT(AND(IFERROR('Company_Master'!A27&lt;&gt;"",FALSE),COUNTIF('Raw_Extract'!A:A,'Company_Master'!A27)&gt;0)),"—",IF(COUNTIFS('Raw_Extract'!A:A,'Company_Master'!A27,'Raw_Extract'!J:J,"Low")&gt;0,"⚠","✓"))</f>
        <v/>
      </c>
      <c r="K30" s="49">
        <f>IF(NOT(AND(IFERROR('Company_Master'!A27&lt;&gt;"",FALSE),AND(ISNUMBER(Financials!E27),ISNUMBER(Financials!AP27)))),"—",IF(IFERROR(AND(ISNUMBER(Financials!E27),ISNUMBER(Financials!AP27),Financials!E27&lt;&gt;0,ABS(Financials!E27-Financials!AP27)/ABS(Financials!E27)&gt;0.05),FALSE),"⚠","✓"))</f>
        <v/>
      </c>
      <c r="L30" s="49">
        <f>IF(NOT(AND(IFERROR('Company_Master'!A27&lt;&gt;"",FALSE),AND(ISNUMBER(Financials!AR27),ISNUMBER(Financials!S27)))),"—",IF(IFERROR(AND(ISNUMBER(Financials!AR27),ISNUMBER(Financials!S27),Financials!S27&lt;&gt;0,ABS(Financials!AR27-Financials!S27)/MAX(ABS(Financials!S27),1)&gt;0.05),FALSE),"⚠","✓"))</f>
        <v/>
      </c>
      <c r="M30" s="49">
        <f>IF(NOT(AND(IFERROR('Company_Master'!A27&lt;&gt;"",FALSE),AND(ISNUMBER(Asset_Operations!BE27),ISNUMBER(Asset_Operations!AR27)))),"—",IF(IFERROR(AND(ISNUMBER(Asset_Operations!BE27),ISNUMBER(Asset_Operations!AR27),ABS(Asset_Operations!BE27-Asset_Operations!AR27)&gt;0.05),FALSE),"⚠","✓"))</f>
        <v/>
      </c>
      <c r="N30" s="49">
        <f>IF(NOT(AND(IFERROR('Company_Master'!A27&lt;&gt;"",FALSE),ISNUMBER(Financials!C27))),"—",IF(IFERROR(AND(ISNUMBER(Financials!C27),OR(Financials!C27&lt;50,Financials!C27&gt;200000)),FALSE),"⚠","✓"))</f>
        <v/>
      </c>
      <c r="O30" s="50">
        <f>COUNTIF(C30:N30,"⚠")</f>
        <v/>
      </c>
      <c r="P30" s="50">
        <f>COUNTIF(C30:N30,"✓")</f>
        <v/>
      </c>
      <c r="Q30" s="46">
        <f>IF(NOT(IFERROR('Company_Master'!A27&lt;&gt;"",FALSE)),"",IF(O30&gt;0,"⚠ "&amp;O30&amp;" issue(s) detected",IF(P30=0,"— No data to validate","✓ All "&amp;P30&amp;" checks passed")))</f>
        <v/>
      </c>
    </row>
    <row r="31">
      <c r="A31" s="47" t="n">
        <v>27</v>
      </c>
      <c r="B31" s="48">
        <f>IFERROR('Company_Master'!A28,"")</f>
        <v/>
      </c>
      <c r="C31" s="49">
        <f>IF(NOT(AND(IFERROR('Company_Master'!A28&lt;&gt;"",FALSE),OR(ISNUMBER(Asset_Operations!B28),ISNUMBER(Asset_Operations!C28),ISNUMBER(Asset_Operations!D28)))),"—",IF(IFERROR(AND(ISNUMBER(Asset_Operations!B28),ISNUMBER(Asset_Operations!C28),ISNUMBER(Asset_Operations!D28),Asset_Operations!B28&gt;0,ABS((Asset_Operations!C28+Asset_Operations!D28)-Asset_Operations!B28)/Asset_Operations!B28&gt;0.02),FALSE),"⚠","✓"))</f>
        <v/>
      </c>
      <c r="D31" s="49">
        <f>IF(NOT(AND(IFERROR('Company_Master'!A28&lt;&gt;"",FALSE),OR(ISNUMBER(Asset_Operations!B28),ISNUMBER(Asset_Operations!E28),ISNUMBER(Asset_Operations!F28)))),"—",IF(IFERROR(AND(ISNUMBER(Asset_Operations!B28),ISNUMBER(Asset_Operations!E28),ISNUMBER(Asset_Operations!F28),Asset_Operations!B28&gt;0,ABS((Asset_Operations!E28+Asset_Operations!F28)-Asset_Operations!B28)/Asset_Operations!B28&gt;0.02),FALSE),"⚠","✓"))</f>
        <v/>
      </c>
      <c r="E31" s="49">
        <f>IF(NOT(AND(IFERROR('Company_Master'!A28&lt;&gt;"",FALSE),ISNUMBER(Asset_Operations!AR28))),"—",IF(IFERROR(AND(ISNUMBER(Asset_Operations!AR28),OR(Asset_Operations!AR28&lt;0.15,Asset_Operations!AR28&gt;0.27)),FALSE),"⚠","✓"))</f>
        <v/>
      </c>
      <c r="F31" s="49">
        <f>IF(NOT(AND(IFERROR('Company_Master'!A28&lt;&gt;"",FALSE),AND(ISNUMBER(Financials!Q28),ISNUMBER(Financials!R28)))),"—",IF(IFERROR(AND(ISNUMBER(Financials!Q28),ISNUMBER(Financials!R28),ISNUMBER(Financials!S28),ABS((Financials!R28-Financials!Q28)-Financials!S28)/MAX(ABS(Financials!S28),1)&gt;0.05),FALSE),"⚠","✓"))</f>
        <v/>
      </c>
      <c r="G31" s="49">
        <f>IF(NOT(AND(IFERROR('Company_Master'!A28&lt;&gt;"",FALSE),AND(ISNUMBER(Financials!I28),ISNUMBER(Financials!L28),ISNUMBER(Financials!O28)))),"—",IF(IFERROR(AND(ISNUMBER(Financials!I28),ISNUMBER(Financials!L28),ISNUMBER(Financials!O28),Financials!I28&gt;0,ABS(Financials!I28-(Financials!L28+Financials!O28))/Financials!I28&gt;0.01),FALSE),"⚠","✓"))</f>
        <v/>
      </c>
      <c r="H31" s="49">
        <f>IF(NOT(AND(IFERROR('Company_Master'!A28&lt;&gt;"",FALSE),AND(ISNUMBER(Financials!E28),ISNUMBER(Financials!F28)))),"—",IF(IFERROR(AND(ISNUMBER(Financials!E28),ISNUMBER(Financials!F28),Financials!E28&lt;Financials!F28),FALSE),"⚠","✓"))</f>
        <v/>
      </c>
      <c r="I31" s="49">
        <f>IF(NOT(AND(IFERROR('Company_Master'!A28&lt;&gt;"",FALSE),AND(ISNUMBER(Financials!C28),ISNUMBER(Financials!E28)))),"—",IF(IFERROR(AND(ISNUMBER(Financials!C28),ISNUMBER(Financials!E28),Financials!C28=0,Financials!E28&gt;0),FALSE),"⚠","✓"))</f>
        <v/>
      </c>
      <c r="J31" s="49">
        <f>IF(NOT(AND(IFERROR('Company_Master'!A28&lt;&gt;"",FALSE),COUNTIF('Raw_Extract'!A:A,'Company_Master'!A28)&gt;0)),"—",IF(COUNTIFS('Raw_Extract'!A:A,'Company_Master'!A28,'Raw_Extract'!J:J,"Low")&gt;0,"⚠","✓"))</f>
        <v/>
      </c>
      <c r="K31" s="49">
        <f>IF(NOT(AND(IFERROR('Company_Master'!A28&lt;&gt;"",FALSE),AND(ISNUMBER(Financials!E28),ISNUMBER(Financials!AP28)))),"—",IF(IFERROR(AND(ISNUMBER(Financials!E28),ISNUMBER(Financials!AP28),Financials!E28&lt;&gt;0,ABS(Financials!E28-Financials!AP28)/ABS(Financials!E28)&gt;0.05),FALSE),"⚠","✓"))</f>
        <v/>
      </c>
      <c r="L31" s="49">
        <f>IF(NOT(AND(IFERROR('Company_Master'!A28&lt;&gt;"",FALSE),AND(ISNUMBER(Financials!AR28),ISNUMBER(Financials!S28)))),"—",IF(IFERROR(AND(ISNUMBER(Financials!AR28),ISNUMBER(Financials!S28),Financials!S28&lt;&gt;0,ABS(Financials!AR28-Financials!S28)/MAX(ABS(Financials!S28),1)&gt;0.05),FALSE),"⚠","✓"))</f>
        <v/>
      </c>
      <c r="M31" s="49">
        <f>IF(NOT(AND(IFERROR('Company_Master'!A28&lt;&gt;"",FALSE),AND(ISNUMBER(Asset_Operations!BE28),ISNUMBER(Asset_Operations!AR28)))),"—",IF(IFERROR(AND(ISNUMBER(Asset_Operations!BE28),ISNUMBER(Asset_Operations!AR28),ABS(Asset_Operations!BE28-Asset_Operations!AR28)&gt;0.05),FALSE),"⚠","✓"))</f>
        <v/>
      </c>
      <c r="N31" s="49">
        <f>IF(NOT(AND(IFERROR('Company_Master'!A28&lt;&gt;"",FALSE),ISNUMBER(Financials!C28))),"—",IF(IFERROR(AND(ISNUMBER(Financials!C28),OR(Financials!C28&lt;50,Financials!C28&gt;200000)),FALSE),"⚠","✓"))</f>
        <v/>
      </c>
      <c r="O31" s="50">
        <f>COUNTIF(C31:N31,"⚠")</f>
        <v/>
      </c>
      <c r="P31" s="50">
        <f>COUNTIF(C31:N31,"✓")</f>
        <v/>
      </c>
      <c r="Q31" s="46">
        <f>IF(NOT(IFERROR('Company_Master'!A28&lt;&gt;"",FALSE)),"",IF(O31&gt;0,"⚠ "&amp;O31&amp;" issue(s) detected",IF(P31=0,"— No data to validate","✓ All "&amp;P31&amp;" checks passed")))</f>
        <v/>
      </c>
    </row>
    <row r="32">
      <c r="A32" s="47" t="n">
        <v>28</v>
      </c>
      <c r="B32" s="48">
        <f>IFERROR('Company_Master'!A29,"")</f>
        <v/>
      </c>
      <c r="C32" s="49">
        <f>IF(NOT(AND(IFERROR('Company_Master'!A29&lt;&gt;"",FALSE),OR(ISNUMBER(Asset_Operations!B29),ISNUMBER(Asset_Operations!C29),ISNUMBER(Asset_Operations!D29)))),"—",IF(IFERROR(AND(ISNUMBER(Asset_Operations!B29),ISNUMBER(Asset_Operations!C29),ISNUMBER(Asset_Operations!D29),Asset_Operations!B29&gt;0,ABS((Asset_Operations!C29+Asset_Operations!D29)-Asset_Operations!B29)/Asset_Operations!B29&gt;0.02),FALSE),"⚠","✓"))</f>
        <v/>
      </c>
      <c r="D32" s="49">
        <f>IF(NOT(AND(IFERROR('Company_Master'!A29&lt;&gt;"",FALSE),OR(ISNUMBER(Asset_Operations!B29),ISNUMBER(Asset_Operations!E29),ISNUMBER(Asset_Operations!F29)))),"—",IF(IFERROR(AND(ISNUMBER(Asset_Operations!B29),ISNUMBER(Asset_Operations!E29),ISNUMBER(Asset_Operations!F29),Asset_Operations!B29&gt;0,ABS((Asset_Operations!E29+Asset_Operations!F29)-Asset_Operations!B29)/Asset_Operations!B29&gt;0.02),FALSE),"⚠","✓"))</f>
        <v/>
      </c>
      <c r="E32" s="49">
        <f>IF(NOT(AND(IFERROR('Company_Master'!A29&lt;&gt;"",FALSE),ISNUMBER(Asset_Operations!AR29))),"—",IF(IFERROR(AND(ISNUMBER(Asset_Operations!AR29),OR(Asset_Operations!AR29&lt;0.15,Asset_Operations!AR29&gt;0.27)),FALSE),"⚠","✓"))</f>
        <v/>
      </c>
      <c r="F32" s="49">
        <f>IF(NOT(AND(IFERROR('Company_Master'!A29&lt;&gt;"",FALSE),AND(ISNUMBER(Financials!Q29),ISNUMBER(Financials!R29)))),"—",IF(IFERROR(AND(ISNUMBER(Financials!Q29),ISNUMBER(Financials!R29),ISNUMBER(Financials!S29),ABS((Financials!R29-Financials!Q29)-Financials!S29)/MAX(ABS(Financials!S29),1)&gt;0.05),FALSE),"⚠","✓"))</f>
        <v/>
      </c>
      <c r="G32" s="49">
        <f>IF(NOT(AND(IFERROR('Company_Master'!A29&lt;&gt;"",FALSE),AND(ISNUMBER(Financials!I29),ISNUMBER(Financials!L29),ISNUMBER(Financials!O29)))),"—",IF(IFERROR(AND(ISNUMBER(Financials!I29),ISNUMBER(Financials!L29),ISNUMBER(Financials!O29),Financials!I29&gt;0,ABS(Financials!I29-(Financials!L29+Financials!O29))/Financials!I29&gt;0.01),FALSE),"⚠","✓"))</f>
        <v/>
      </c>
      <c r="H32" s="49">
        <f>IF(NOT(AND(IFERROR('Company_Master'!A29&lt;&gt;"",FALSE),AND(ISNUMBER(Financials!E29),ISNUMBER(Financials!F29)))),"—",IF(IFERROR(AND(ISNUMBER(Financials!E29),ISNUMBER(Financials!F29),Financials!E29&lt;Financials!F29),FALSE),"⚠","✓"))</f>
        <v/>
      </c>
      <c r="I32" s="49">
        <f>IF(NOT(AND(IFERROR('Company_Master'!A29&lt;&gt;"",FALSE),AND(ISNUMBER(Financials!C29),ISNUMBER(Financials!E29)))),"—",IF(IFERROR(AND(ISNUMBER(Financials!C29),ISNUMBER(Financials!E29),Financials!C29=0,Financials!E29&gt;0),FALSE),"⚠","✓"))</f>
        <v/>
      </c>
      <c r="J32" s="49">
        <f>IF(NOT(AND(IFERROR('Company_Master'!A29&lt;&gt;"",FALSE),COUNTIF('Raw_Extract'!A:A,'Company_Master'!A29)&gt;0)),"—",IF(COUNTIFS('Raw_Extract'!A:A,'Company_Master'!A29,'Raw_Extract'!J:J,"Low")&gt;0,"⚠","✓"))</f>
        <v/>
      </c>
      <c r="K32" s="49">
        <f>IF(NOT(AND(IFERROR('Company_Master'!A29&lt;&gt;"",FALSE),AND(ISNUMBER(Financials!E29),ISNUMBER(Financials!AP29)))),"—",IF(IFERROR(AND(ISNUMBER(Financials!E29),ISNUMBER(Financials!AP29),Financials!E29&lt;&gt;0,ABS(Financials!E29-Financials!AP29)/ABS(Financials!E29)&gt;0.05),FALSE),"⚠","✓"))</f>
        <v/>
      </c>
      <c r="L32" s="49">
        <f>IF(NOT(AND(IFERROR('Company_Master'!A29&lt;&gt;"",FALSE),AND(ISNUMBER(Financials!AR29),ISNUMBER(Financials!S29)))),"—",IF(IFERROR(AND(ISNUMBER(Financials!AR29),ISNUMBER(Financials!S29),Financials!S29&lt;&gt;0,ABS(Financials!AR29-Financials!S29)/MAX(ABS(Financials!S29),1)&gt;0.05),FALSE),"⚠","✓"))</f>
        <v/>
      </c>
      <c r="M32" s="49">
        <f>IF(NOT(AND(IFERROR('Company_Master'!A29&lt;&gt;"",FALSE),AND(ISNUMBER(Asset_Operations!BE29),ISNUMBER(Asset_Operations!AR29)))),"—",IF(IFERROR(AND(ISNUMBER(Asset_Operations!BE29),ISNUMBER(Asset_Operations!AR29),ABS(Asset_Operations!BE29-Asset_Operations!AR29)&gt;0.05),FALSE),"⚠","✓"))</f>
        <v/>
      </c>
      <c r="N32" s="49">
        <f>IF(NOT(AND(IFERROR('Company_Master'!A29&lt;&gt;"",FALSE),ISNUMBER(Financials!C29))),"—",IF(IFERROR(AND(ISNUMBER(Financials!C29),OR(Financials!C29&lt;50,Financials!C29&gt;200000)),FALSE),"⚠","✓"))</f>
        <v/>
      </c>
      <c r="O32" s="50">
        <f>COUNTIF(C32:N32,"⚠")</f>
        <v/>
      </c>
      <c r="P32" s="50">
        <f>COUNTIF(C32:N32,"✓")</f>
        <v/>
      </c>
      <c r="Q32" s="46">
        <f>IF(NOT(IFERROR('Company_Master'!A29&lt;&gt;"",FALSE)),"",IF(O32&gt;0,"⚠ "&amp;O32&amp;" issue(s) detected",IF(P32=0,"— No data to validate","✓ All "&amp;P32&amp;" checks passed")))</f>
        <v/>
      </c>
    </row>
    <row r="33">
      <c r="A33" s="47" t="n">
        <v>29</v>
      </c>
      <c r="B33" s="48">
        <f>IFERROR('Company_Master'!A30,"")</f>
        <v/>
      </c>
      <c r="C33" s="49">
        <f>IF(NOT(AND(IFERROR('Company_Master'!A30&lt;&gt;"",FALSE),OR(ISNUMBER(Asset_Operations!B30),ISNUMBER(Asset_Operations!C30),ISNUMBER(Asset_Operations!D30)))),"—",IF(IFERROR(AND(ISNUMBER(Asset_Operations!B30),ISNUMBER(Asset_Operations!C30),ISNUMBER(Asset_Operations!D30),Asset_Operations!B30&gt;0,ABS((Asset_Operations!C30+Asset_Operations!D30)-Asset_Operations!B30)/Asset_Operations!B30&gt;0.02),FALSE),"⚠","✓"))</f>
        <v/>
      </c>
      <c r="D33" s="49">
        <f>IF(NOT(AND(IFERROR('Company_Master'!A30&lt;&gt;"",FALSE),OR(ISNUMBER(Asset_Operations!B30),ISNUMBER(Asset_Operations!E30),ISNUMBER(Asset_Operations!F30)))),"—",IF(IFERROR(AND(ISNUMBER(Asset_Operations!B30),ISNUMBER(Asset_Operations!E30),ISNUMBER(Asset_Operations!F30),Asset_Operations!B30&gt;0,ABS((Asset_Operations!E30+Asset_Operations!F30)-Asset_Operations!B30)/Asset_Operations!B30&gt;0.02),FALSE),"⚠","✓"))</f>
        <v/>
      </c>
      <c r="E33" s="49">
        <f>IF(NOT(AND(IFERROR('Company_Master'!A30&lt;&gt;"",FALSE),ISNUMBER(Asset_Operations!AR30))),"—",IF(IFERROR(AND(ISNUMBER(Asset_Operations!AR30),OR(Asset_Operations!AR30&lt;0.15,Asset_Operations!AR30&gt;0.27)),FALSE),"⚠","✓"))</f>
        <v/>
      </c>
      <c r="F33" s="49">
        <f>IF(NOT(AND(IFERROR('Company_Master'!A30&lt;&gt;"",FALSE),AND(ISNUMBER(Financials!Q30),ISNUMBER(Financials!R30)))),"—",IF(IFERROR(AND(ISNUMBER(Financials!Q30),ISNUMBER(Financials!R30),ISNUMBER(Financials!S30),ABS((Financials!R30-Financials!Q30)-Financials!S30)/MAX(ABS(Financials!S30),1)&gt;0.05),FALSE),"⚠","✓"))</f>
        <v/>
      </c>
      <c r="G33" s="49">
        <f>IF(NOT(AND(IFERROR('Company_Master'!A30&lt;&gt;"",FALSE),AND(ISNUMBER(Financials!I30),ISNUMBER(Financials!L30),ISNUMBER(Financials!O30)))),"—",IF(IFERROR(AND(ISNUMBER(Financials!I30),ISNUMBER(Financials!L30),ISNUMBER(Financials!O30),Financials!I30&gt;0,ABS(Financials!I30-(Financials!L30+Financials!O30))/Financials!I30&gt;0.01),FALSE),"⚠","✓"))</f>
        <v/>
      </c>
      <c r="H33" s="49">
        <f>IF(NOT(AND(IFERROR('Company_Master'!A30&lt;&gt;"",FALSE),AND(ISNUMBER(Financials!E30),ISNUMBER(Financials!F30)))),"—",IF(IFERROR(AND(ISNUMBER(Financials!E30),ISNUMBER(Financials!F30),Financials!E30&lt;Financials!F30),FALSE),"⚠","✓"))</f>
        <v/>
      </c>
      <c r="I33" s="49">
        <f>IF(NOT(AND(IFERROR('Company_Master'!A30&lt;&gt;"",FALSE),AND(ISNUMBER(Financials!C30),ISNUMBER(Financials!E30)))),"—",IF(IFERROR(AND(ISNUMBER(Financials!C30),ISNUMBER(Financials!E30),Financials!C30=0,Financials!E30&gt;0),FALSE),"⚠","✓"))</f>
        <v/>
      </c>
      <c r="J33" s="49">
        <f>IF(NOT(AND(IFERROR('Company_Master'!A30&lt;&gt;"",FALSE),COUNTIF('Raw_Extract'!A:A,'Company_Master'!A30)&gt;0)),"—",IF(COUNTIFS('Raw_Extract'!A:A,'Company_Master'!A30,'Raw_Extract'!J:J,"Low")&gt;0,"⚠","✓"))</f>
        <v/>
      </c>
      <c r="K33" s="49">
        <f>IF(NOT(AND(IFERROR('Company_Master'!A30&lt;&gt;"",FALSE),AND(ISNUMBER(Financials!E30),ISNUMBER(Financials!AP30)))),"—",IF(IFERROR(AND(ISNUMBER(Financials!E30),ISNUMBER(Financials!AP30),Financials!E30&lt;&gt;0,ABS(Financials!E30-Financials!AP30)/ABS(Financials!E30)&gt;0.05),FALSE),"⚠","✓"))</f>
        <v/>
      </c>
      <c r="L33" s="49">
        <f>IF(NOT(AND(IFERROR('Company_Master'!A30&lt;&gt;"",FALSE),AND(ISNUMBER(Financials!AR30),ISNUMBER(Financials!S30)))),"—",IF(IFERROR(AND(ISNUMBER(Financials!AR30),ISNUMBER(Financials!S30),Financials!S30&lt;&gt;0,ABS(Financials!AR30-Financials!S30)/MAX(ABS(Financials!S30),1)&gt;0.05),FALSE),"⚠","✓"))</f>
        <v/>
      </c>
      <c r="M33" s="49">
        <f>IF(NOT(AND(IFERROR('Company_Master'!A30&lt;&gt;"",FALSE),AND(ISNUMBER(Asset_Operations!BE30),ISNUMBER(Asset_Operations!AR30)))),"—",IF(IFERROR(AND(ISNUMBER(Asset_Operations!BE30),ISNUMBER(Asset_Operations!AR30),ABS(Asset_Operations!BE30-Asset_Operations!AR30)&gt;0.05),FALSE),"⚠","✓"))</f>
        <v/>
      </c>
      <c r="N33" s="49">
        <f>IF(NOT(AND(IFERROR('Company_Master'!A30&lt;&gt;"",FALSE),ISNUMBER(Financials!C30))),"—",IF(IFERROR(AND(ISNUMBER(Financials!C30),OR(Financials!C30&lt;50,Financials!C30&gt;200000)),FALSE),"⚠","✓"))</f>
        <v/>
      </c>
      <c r="O33" s="50">
        <f>COUNTIF(C33:N33,"⚠")</f>
        <v/>
      </c>
      <c r="P33" s="50">
        <f>COUNTIF(C33:N33,"✓")</f>
        <v/>
      </c>
      <c r="Q33" s="46">
        <f>IF(NOT(IFERROR('Company_Master'!A30&lt;&gt;"",FALSE)),"",IF(O33&gt;0,"⚠ "&amp;O33&amp;" issue(s) detected",IF(P33=0,"— No data to validate","✓ All "&amp;P33&amp;" checks passed")))</f>
        <v/>
      </c>
    </row>
    <row r="34">
      <c r="A34" s="47" t="n">
        <v>30</v>
      </c>
      <c r="B34" s="48">
        <f>IFERROR('Company_Master'!A31,"")</f>
        <v/>
      </c>
      <c r="C34" s="49">
        <f>IF(NOT(AND(IFERROR('Company_Master'!A31&lt;&gt;"",FALSE),OR(ISNUMBER(Asset_Operations!B31),ISNUMBER(Asset_Operations!C31),ISNUMBER(Asset_Operations!D31)))),"—",IF(IFERROR(AND(ISNUMBER(Asset_Operations!B31),ISNUMBER(Asset_Operations!C31),ISNUMBER(Asset_Operations!D31),Asset_Operations!B31&gt;0,ABS((Asset_Operations!C31+Asset_Operations!D31)-Asset_Operations!B31)/Asset_Operations!B31&gt;0.02),FALSE),"⚠","✓"))</f>
        <v/>
      </c>
      <c r="D34" s="49">
        <f>IF(NOT(AND(IFERROR('Company_Master'!A31&lt;&gt;"",FALSE),OR(ISNUMBER(Asset_Operations!B31),ISNUMBER(Asset_Operations!E31),ISNUMBER(Asset_Operations!F31)))),"—",IF(IFERROR(AND(ISNUMBER(Asset_Operations!B31),ISNUMBER(Asset_Operations!E31),ISNUMBER(Asset_Operations!F31),Asset_Operations!B31&gt;0,ABS((Asset_Operations!E31+Asset_Operations!F31)-Asset_Operations!B31)/Asset_Operations!B31&gt;0.02),FALSE),"⚠","✓"))</f>
        <v/>
      </c>
      <c r="E34" s="49">
        <f>IF(NOT(AND(IFERROR('Company_Master'!A31&lt;&gt;"",FALSE),ISNUMBER(Asset_Operations!AR31))),"—",IF(IFERROR(AND(ISNUMBER(Asset_Operations!AR31),OR(Asset_Operations!AR31&lt;0.15,Asset_Operations!AR31&gt;0.27)),FALSE),"⚠","✓"))</f>
        <v/>
      </c>
      <c r="F34" s="49">
        <f>IF(NOT(AND(IFERROR('Company_Master'!A31&lt;&gt;"",FALSE),AND(ISNUMBER(Financials!Q31),ISNUMBER(Financials!R31)))),"—",IF(IFERROR(AND(ISNUMBER(Financials!Q31),ISNUMBER(Financials!R31),ISNUMBER(Financials!S31),ABS((Financials!R31-Financials!Q31)-Financials!S31)/MAX(ABS(Financials!S31),1)&gt;0.05),FALSE),"⚠","✓"))</f>
        <v/>
      </c>
      <c r="G34" s="49">
        <f>IF(NOT(AND(IFERROR('Company_Master'!A31&lt;&gt;"",FALSE),AND(ISNUMBER(Financials!I31),ISNUMBER(Financials!L31),ISNUMBER(Financials!O31)))),"—",IF(IFERROR(AND(ISNUMBER(Financials!I31),ISNUMBER(Financials!L31),ISNUMBER(Financials!O31),Financials!I31&gt;0,ABS(Financials!I31-(Financials!L31+Financials!O31))/Financials!I31&gt;0.01),FALSE),"⚠","✓"))</f>
        <v/>
      </c>
      <c r="H34" s="49">
        <f>IF(NOT(AND(IFERROR('Company_Master'!A31&lt;&gt;"",FALSE),AND(ISNUMBER(Financials!E31),ISNUMBER(Financials!F31)))),"—",IF(IFERROR(AND(ISNUMBER(Financials!E31),ISNUMBER(Financials!F31),Financials!E31&lt;Financials!F31),FALSE),"⚠","✓"))</f>
        <v/>
      </c>
      <c r="I34" s="49">
        <f>IF(NOT(AND(IFERROR('Company_Master'!A31&lt;&gt;"",FALSE),AND(ISNUMBER(Financials!C31),ISNUMBER(Financials!E31)))),"—",IF(IFERROR(AND(ISNUMBER(Financials!C31),ISNUMBER(Financials!E31),Financials!C31=0,Financials!E31&gt;0),FALSE),"⚠","✓"))</f>
        <v/>
      </c>
      <c r="J34" s="49">
        <f>IF(NOT(AND(IFERROR('Company_Master'!A31&lt;&gt;"",FALSE),COUNTIF('Raw_Extract'!A:A,'Company_Master'!A31)&gt;0)),"—",IF(COUNTIFS('Raw_Extract'!A:A,'Company_Master'!A31,'Raw_Extract'!J:J,"Low")&gt;0,"⚠","✓"))</f>
        <v/>
      </c>
      <c r="K34" s="49">
        <f>IF(NOT(AND(IFERROR('Company_Master'!A31&lt;&gt;"",FALSE),AND(ISNUMBER(Financials!E31),ISNUMBER(Financials!AP31)))),"—",IF(IFERROR(AND(ISNUMBER(Financials!E31),ISNUMBER(Financials!AP31),Financials!E31&lt;&gt;0,ABS(Financials!E31-Financials!AP31)/ABS(Financials!E31)&gt;0.05),FALSE),"⚠","✓"))</f>
        <v/>
      </c>
      <c r="L34" s="49">
        <f>IF(NOT(AND(IFERROR('Company_Master'!A31&lt;&gt;"",FALSE),AND(ISNUMBER(Financials!AR31),ISNUMBER(Financials!S31)))),"—",IF(IFERROR(AND(ISNUMBER(Financials!AR31),ISNUMBER(Financials!S31),Financials!S31&lt;&gt;0,ABS(Financials!AR31-Financials!S31)/MAX(ABS(Financials!S31),1)&gt;0.05),FALSE),"⚠","✓"))</f>
        <v/>
      </c>
      <c r="M34" s="49">
        <f>IF(NOT(AND(IFERROR('Company_Master'!A31&lt;&gt;"",FALSE),AND(ISNUMBER(Asset_Operations!BE31),ISNUMBER(Asset_Operations!AR31)))),"—",IF(IFERROR(AND(ISNUMBER(Asset_Operations!BE31),ISNUMBER(Asset_Operations!AR31),ABS(Asset_Operations!BE31-Asset_Operations!AR31)&gt;0.05),FALSE),"⚠","✓"))</f>
        <v/>
      </c>
      <c r="N34" s="49">
        <f>IF(NOT(AND(IFERROR('Company_Master'!A31&lt;&gt;"",FALSE),ISNUMBER(Financials!C31))),"—",IF(IFERROR(AND(ISNUMBER(Financials!C31),OR(Financials!C31&lt;50,Financials!C31&gt;200000)),FALSE),"⚠","✓"))</f>
        <v/>
      </c>
      <c r="O34" s="50">
        <f>COUNTIF(C34:N34,"⚠")</f>
        <v/>
      </c>
      <c r="P34" s="50">
        <f>COUNTIF(C34:N34,"✓")</f>
        <v/>
      </c>
      <c r="Q34" s="46">
        <f>IF(NOT(IFERROR('Company_Master'!A31&lt;&gt;"",FALSE)),"",IF(O34&gt;0,"⚠ "&amp;O34&amp;" issue(s) detected",IF(P34=0,"— No data to validate","✓ All "&amp;P34&amp;" checks passed")))</f>
        <v/>
      </c>
    </row>
    <row r="35">
      <c r="A35" t="n">
        <v>31</v>
      </c>
      <c r="B35">
        <f>IFERROR('Company_Master'!A32,"")</f>
        <v/>
      </c>
      <c r="C35">
        <f>IF(NOT(AND(IFERROR('Company_Master'!A32&lt;&gt;"",FALSE),OR(ISNUMBER(Asset_Operations!B32),ISNUMBER(Asset_Operations!C32),ISNUMBER(Asset_Operations!D32)))),"—",IF(IFERROR(AND(ISNUMBER(Asset_Operations!B32),ISNUMBER(Asset_Operations!C32),ISNUMBER(Asset_Operations!D32),Asset_Operations!B32&gt;0,ABS((Asset_Operations!C32+Asset_Operations!D32)-Asset_Operations!B32)/Asset_Operations!B32&gt;0.02),FALSE),"⚠","✓"))</f>
        <v/>
      </c>
      <c r="D35">
        <f>IF(NOT(AND(IFERROR('Company_Master'!A32&lt;&gt;"",FALSE),OR(ISNUMBER(Asset_Operations!B32),ISNUMBER(Asset_Operations!E32),ISNUMBER(Asset_Operations!F32)))),"—",IF(IFERROR(AND(ISNUMBER(Asset_Operations!B32),ISNUMBER(Asset_Operations!E32),ISNUMBER(Asset_Operations!F32),Asset_Operations!B32&gt;0,ABS((Asset_Operations!E32+Asset_Operations!F32)-Asset_Operations!B32)/Asset_Operations!B32&gt;0.02),FALSE),"⚠","✓"))</f>
        <v/>
      </c>
      <c r="E35">
        <f>IF(NOT(AND(IFERROR('Company_Master'!A32&lt;&gt;"",FALSE),ISNUMBER(Asset_Operations!AR32))),"—",IF(IFERROR(AND(ISNUMBER(Asset_Operations!AR32),OR(Asset_Operations!AR32&lt;0.15,Asset_Operations!AR32&gt;0.27)),FALSE),"⚠","✓"))</f>
        <v/>
      </c>
      <c r="F35">
        <f>IF(NOT(AND(IFERROR('Company_Master'!A32&lt;&gt;"",FALSE),AND(ISNUMBER(Financials!Q32),ISNUMBER(Financials!R32)))),"—",IF(IFERROR(AND(ISNUMBER(Financials!Q32),ISNUMBER(Financials!R32),ISNUMBER(Financials!S32),ABS((Financials!R32-Financials!Q32)-Financials!S32)/MAX(ABS(Financials!S32),1)&gt;0.05),FALSE),"⚠","✓"))</f>
        <v/>
      </c>
      <c r="G35">
        <f>IF(NOT(AND(IFERROR('Company_Master'!A32&lt;&gt;"",FALSE),AND(ISNUMBER(Financials!I32),ISNUMBER(Financials!L32),ISNUMBER(Financials!O32)))),"—",IF(IFERROR(AND(ISNUMBER(Financials!I32),ISNUMBER(Financials!L32),ISNUMBER(Financials!O32),Financials!I32&gt;0,ABS(Financials!I32-(Financials!L32+Financials!O32))/Financials!I32&gt;0.01),FALSE),"⚠","✓"))</f>
        <v/>
      </c>
      <c r="H35">
        <f>IF(NOT(AND(IFERROR('Company_Master'!A32&lt;&gt;"",FALSE),AND(ISNUMBER(Financials!E32),ISNUMBER(Financials!F32)))),"—",IF(IFERROR(AND(ISNUMBER(Financials!E32),ISNUMBER(Financials!F32),Financials!E32&lt;Financials!F32),FALSE),"⚠","✓"))</f>
        <v/>
      </c>
      <c r="I35">
        <f>IF(NOT(AND(IFERROR('Company_Master'!A32&lt;&gt;"",FALSE),AND(ISNUMBER(Financials!C32),ISNUMBER(Financials!E32)))),"—",IF(IFERROR(AND(ISNUMBER(Financials!C32),ISNUMBER(Financials!E32),Financials!C32=0,Financials!E32&gt;0),FALSE),"⚠","✓"))</f>
        <v/>
      </c>
      <c r="J35">
        <f>IF(NOT(AND(IFERROR('Company_Master'!A32&lt;&gt;"",FALSE),COUNTIF('Raw_Extract'!A:A,'Company_Master'!A32)&gt;0)),"—",IF(COUNTIFS('Raw_Extract'!A:A,'Company_Master'!A32,'Raw_Extract'!J:J,"Low")&gt;0,"⚠","✓"))</f>
        <v/>
      </c>
      <c r="K35">
        <f>IF(NOT(AND(IFERROR('Company_Master'!A32&lt;&gt;"",FALSE),AND(ISNUMBER(Financials!E32),ISNUMBER(Financials!AP32)))),"—",IF(IFERROR(AND(ISNUMBER(Financials!E32),ISNUMBER(Financials!AP32),Financials!E32&lt;&gt;0,ABS(Financials!E32-Financials!AP32)/ABS(Financials!E32)&gt;0.05),FALSE),"⚠","✓"))</f>
        <v/>
      </c>
      <c r="L35">
        <f>IF(NOT(AND(IFERROR('Company_Master'!A32&lt;&gt;"",FALSE),AND(ISNUMBER(Financials!AR32),ISNUMBER(Financials!S32)))),"—",IF(IFERROR(AND(ISNUMBER(Financials!AR32),ISNUMBER(Financials!S32),Financials!S32&lt;&gt;0,ABS(Financials!AR32-Financials!S32)/MAX(ABS(Financials!S32),1)&gt;0.05),FALSE),"⚠","✓"))</f>
        <v/>
      </c>
      <c r="M35">
        <f>IF(NOT(AND(IFERROR('Company_Master'!A32&lt;&gt;"",FALSE),AND(ISNUMBER(Asset_Operations!BE32),ISNUMBER(Asset_Operations!AR32)))),"—",IF(IFERROR(AND(ISNUMBER(Asset_Operations!BE32),ISNUMBER(Asset_Operations!AR32),ABS(Asset_Operations!BE32-Asset_Operations!AR32)&gt;0.05),FALSE),"⚠","✓"))</f>
        <v/>
      </c>
      <c r="N35">
        <f>IF(NOT(AND(IFERROR('Company_Master'!A32&lt;&gt;"",FALSE),ISNUMBER(Financials!C32))),"—",IF(IFERROR(AND(ISNUMBER(Financials!C32),OR(Financials!C32&lt;50,Financials!C32&gt;200000)),FALSE),"⚠","✓"))</f>
        <v/>
      </c>
      <c r="O35">
        <f>COUNTIF(C35:N35,"⚠")</f>
        <v/>
      </c>
      <c r="P35">
        <f>COUNTIF(C35:N35,"✓")</f>
        <v/>
      </c>
      <c r="Q35">
        <f>IF(NOT(IFERROR('Company_Master'!A32&lt;&gt;"",FALSE)),"",IF(O35&gt;0,"⚠ "&amp;O35&amp;" issue(s) detected",IF(P35=0,"— No data to validate","✓ All "&amp;P35&amp;" checks passed")))</f>
        <v/>
      </c>
    </row>
    <row r="36">
      <c r="A36" t="n">
        <v>32</v>
      </c>
      <c r="B36">
        <f>IFERROR('Company_Master'!A33,"")</f>
        <v/>
      </c>
      <c r="C36">
        <f>IF(NOT(AND(IFERROR('Company_Master'!A33&lt;&gt;"",FALSE),OR(ISNUMBER(Asset_Operations!B33),ISNUMBER(Asset_Operations!C33),ISNUMBER(Asset_Operations!D33)))),"—",IF(IFERROR(AND(ISNUMBER(Asset_Operations!B33),ISNUMBER(Asset_Operations!C33),ISNUMBER(Asset_Operations!D33),Asset_Operations!B33&gt;0,ABS((Asset_Operations!C33+Asset_Operations!D33)-Asset_Operations!B33)/Asset_Operations!B33&gt;0.02),FALSE),"⚠","✓"))</f>
        <v/>
      </c>
      <c r="D36">
        <f>IF(NOT(AND(IFERROR('Company_Master'!A33&lt;&gt;"",FALSE),OR(ISNUMBER(Asset_Operations!B33),ISNUMBER(Asset_Operations!E33),ISNUMBER(Asset_Operations!F33)))),"—",IF(IFERROR(AND(ISNUMBER(Asset_Operations!B33),ISNUMBER(Asset_Operations!E33),ISNUMBER(Asset_Operations!F33),Asset_Operations!B33&gt;0,ABS((Asset_Operations!E33+Asset_Operations!F33)-Asset_Operations!B33)/Asset_Operations!B33&gt;0.02),FALSE),"⚠","✓"))</f>
        <v/>
      </c>
      <c r="E36">
        <f>IF(NOT(AND(IFERROR('Company_Master'!A33&lt;&gt;"",FALSE),ISNUMBER(Asset_Operations!AR33))),"—",IF(IFERROR(AND(ISNUMBER(Asset_Operations!AR33),OR(Asset_Operations!AR33&lt;0.15,Asset_Operations!AR33&gt;0.27)),FALSE),"⚠","✓"))</f>
        <v/>
      </c>
      <c r="F36">
        <f>IF(NOT(AND(IFERROR('Company_Master'!A33&lt;&gt;"",FALSE),AND(ISNUMBER(Financials!Q33),ISNUMBER(Financials!R33)))),"—",IF(IFERROR(AND(ISNUMBER(Financials!Q33),ISNUMBER(Financials!R33),ISNUMBER(Financials!S33),ABS((Financials!R33-Financials!Q33)-Financials!S33)/MAX(ABS(Financials!S33),1)&gt;0.05),FALSE),"⚠","✓"))</f>
        <v/>
      </c>
      <c r="G36">
        <f>IF(NOT(AND(IFERROR('Company_Master'!A33&lt;&gt;"",FALSE),AND(ISNUMBER(Financials!I33),ISNUMBER(Financials!L33),ISNUMBER(Financials!O33)))),"—",IF(IFERROR(AND(ISNUMBER(Financials!I33),ISNUMBER(Financials!L33),ISNUMBER(Financials!O33),Financials!I33&gt;0,ABS(Financials!I33-(Financials!L33+Financials!O33))/Financials!I33&gt;0.01),FALSE),"⚠","✓"))</f>
        <v/>
      </c>
      <c r="H36">
        <f>IF(NOT(AND(IFERROR('Company_Master'!A33&lt;&gt;"",FALSE),AND(ISNUMBER(Financials!E33),ISNUMBER(Financials!F33)))),"—",IF(IFERROR(AND(ISNUMBER(Financials!E33),ISNUMBER(Financials!F33),Financials!E33&lt;Financials!F33),FALSE),"⚠","✓"))</f>
        <v/>
      </c>
      <c r="I36">
        <f>IF(NOT(AND(IFERROR('Company_Master'!A33&lt;&gt;"",FALSE),AND(ISNUMBER(Financials!C33),ISNUMBER(Financials!E33)))),"—",IF(IFERROR(AND(ISNUMBER(Financials!C33),ISNUMBER(Financials!E33),Financials!C33=0,Financials!E33&gt;0),FALSE),"⚠","✓"))</f>
        <v/>
      </c>
      <c r="J36">
        <f>IF(NOT(AND(IFERROR('Company_Master'!A33&lt;&gt;"",FALSE),COUNTIF('Raw_Extract'!A:A,'Company_Master'!A33)&gt;0)),"—",IF(COUNTIFS('Raw_Extract'!A:A,'Company_Master'!A33,'Raw_Extract'!J:J,"Low")&gt;0,"⚠","✓"))</f>
        <v/>
      </c>
      <c r="K36">
        <f>IF(NOT(AND(IFERROR('Company_Master'!A33&lt;&gt;"",FALSE),AND(ISNUMBER(Financials!E33),ISNUMBER(Financials!AP33)))),"—",IF(IFERROR(AND(ISNUMBER(Financials!E33),ISNUMBER(Financials!AP33),Financials!E33&lt;&gt;0,ABS(Financials!E33-Financials!AP33)/ABS(Financials!E33)&gt;0.05),FALSE),"⚠","✓"))</f>
        <v/>
      </c>
      <c r="L36">
        <f>IF(NOT(AND(IFERROR('Company_Master'!A33&lt;&gt;"",FALSE),AND(ISNUMBER(Financials!AR33),ISNUMBER(Financials!S33)))),"—",IF(IFERROR(AND(ISNUMBER(Financials!AR33),ISNUMBER(Financials!S33),Financials!S33&lt;&gt;0,ABS(Financials!AR33-Financials!S33)/MAX(ABS(Financials!S33),1)&gt;0.05),FALSE),"⚠","✓"))</f>
        <v/>
      </c>
      <c r="M36">
        <f>IF(NOT(AND(IFERROR('Company_Master'!A33&lt;&gt;"",FALSE),AND(ISNUMBER(Asset_Operations!BE33),ISNUMBER(Asset_Operations!AR33)))),"—",IF(IFERROR(AND(ISNUMBER(Asset_Operations!BE33),ISNUMBER(Asset_Operations!AR33),ABS(Asset_Operations!BE33-Asset_Operations!AR33)&gt;0.05),FALSE),"⚠","✓"))</f>
        <v/>
      </c>
      <c r="N36">
        <f>IF(NOT(AND(IFERROR('Company_Master'!A33&lt;&gt;"",FALSE),ISNUMBER(Financials!C33))),"—",IF(IFERROR(AND(ISNUMBER(Financials!C33),OR(Financials!C33&lt;50,Financials!C33&gt;200000)),FALSE),"⚠","✓"))</f>
        <v/>
      </c>
      <c r="O36">
        <f>COUNTIF(C36:N36,"⚠")</f>
        <v/>
      </c>
      <c r="P36">
        <f>COUNTIF(C36:N36,"✓")</f>
        <v/>
      </c>
      <c r="Q36">
        <f>IF(NOT(IFERROR('Company_Master'!A33&lt;&gt;"",FALSE)),"",IF(O36&gt;0,"⚠ "&amp;O36&amp;" issue(s) detected",IF(P36=0,"— No data to validate","✓ All "&amp;P36&amp;" checks passed")))</f>
        <v/>
      </c>
    </row>
    <row r="37">
      <c r="A37" s="35" t="n">
        <v>33</v>
      </c>
      <c r="B37">
        <f>IFERROR('Company_Master'!A34,"")</f>
        <v/>
      </c>
      <c r="C37">
        <f>IF(NOT(AND(IFERROR('Company_Master'!A34&lt;&gt;"",FALSE),OR(ISNUMBER(Asset_Operations!B34),ISNUMBER(Asset_Operations!C34),ISNUMBER(Asset_Operations!D34)))),"—",IF(IFERROR(AND(ISNUMBER(Asset_Operations!B34),ISNUMBER(Asset_Operations!C34),ISNUMBER(Asset_Operations!D34),Asset_Operations!B34&gt;0,ABS((Asset_Operations!C34+Asset_Operations!D34)-Asset_Operations!B34)/Asset_Operations!B34&gt;0.02),FALSE),"⚠","✓"))</f>
        <v/>
      </c>
      <c r="D37">
        <f>IF(NOT(AND(IFERROR('Company_Master'!A34&lt;&gt;"",FALSE),OR(ISNUMBER(Asset_Operations!B34),ISNUMBER(Asset_Operations!E34),ISNUMBER(Asset_Operations!F34)))),"—",IF(IFERROR(AND(ISNUMBER(Asset_Operations!B34),ISNUMBER(Asset_Operations!E34),ISNUMBER(Asset_Operations!F34),Asset_Operations!B34&gt;0,ABS((Asset_Operations!E34+Asset_Operations!F34)-Asset_Operations!B34)/Asset_Operations!B34&gt;0.02),FALSE),"⚠","✓"))</f>
        <v/>
      </c>
      <c r="E37">
        <f>IF(NOT(AND(IFERROR('Company_Master'!A34&lt;&gt;"",FALSE),ISNUMBER(Asset_Operations!AR34))),"—",IF(IFERROR(AND(ISNUMBER(Asset_Operations!AR34),OR(Asset_Operations!AR34&lt;0.15,Asset_Operations!AR34&gt;0.27)),FALSE),"⚠","✓"))</f>
        <v/>
      </c>
      <c r="F37">
        <f>IF(NOT(AND(IFERROR('Company_Master'!A34&lt;&gt;"",FALSE),AND(ISNUMBER(Financials!Q34),ISNUMBER(Financials!R34)))),"—",IF(IFERROR(AND(ISNUMBER(Financials!Q34),ISNUMBER(Financials!R34),ISNUMBER(Financials!S34),ABS((Financials!R34-Financials!Q34)-Financials!S34)/MAX(ABS(Financials!S34),1)&gt;0.05),FALSE),"⚠","✓"))</f>
        <v/>
      </c>
      <c r="G37">
        <f>IF(NOT(AND(IFERROR('Company_Master'!A34&lt;&gt;"",FALSE),AND(ISNUMBER(Financials!I34),ISNUMBER(Financials!L34),ISNUMBER(Financials!O34)))),"—",IF(IFERROR(AND(ISNUMBER(Financials!I34),ISNUMBER(Financials!L34),ISNUMBER(Financials!O34),Financials!I34&gt;0,ABS(Financials!I34-(Financials!L34+Financials!O34))/Financials!I34&gt;0.01),FALSE),"⚠","✓"))</f>
        <v/>
      </c>
      <c r="H37">
        <f>IF(NOT(AND(IFERROR('Company_Master'!A34&lt;&gt;"",FALSE),AND(ISNUMBER(Financials!E34),ISNUMBER(Financials!F34)))),"—",IF(IFERROR(AND(ISNUMBER(Financials!E34),ISNUMBER(Financials!F34),Financials!E34&lt;Financials!F34),FALSE),"⚠","✓"))</f>
        <v/>
      </c>
      <c r="I37">
        <f>IF(NOT(AND(IFERROR('Company_Master'!A34&lt;&gt;"",FALSE),AND(ISNUMBER(Financials!C34),ISNUMBER(Financials!E34)))),"—",IF(IFERROR(AND(ISNUMBER(Financials!C34),ISNUMBER(Financials!E34),Financials!C34=0,Financials!E34&gt;0),FALSE),"⚠","✓"))</f>
        <v/>
      </c>
      <c r="J37">
        <f>IF(NOT(AND(IFERROR('Company_Master'!A34&lt;&gt;"",FALSE),COUNTIF('Raw_Extract'!A:A,'Company_Master'!A34)&gt;0)),"—",IF(COUNTIFS('Raw_Extract'!A:A,'Company_Master'!A34,'Raw_Extract'!J:J,"Low")&gt;0,"⚠","✓"))</f>
        <v/>
      </c>
      <c r="K37">
        <f>IF(NOT(AND(IFERROR('Company_Master'!A34&lt;&gt;"",FALSE),AND(ISNUMBER(Financials!E34),ISNUMBER(Financials!AP34)))),"—",IF(IFERROR(AND(ISNUMBER(Financials!E34),ISNUMBER(Financials!AP34),Financials!E34&lt;&gt;0,ABS(Financials!E34-Financials!AP34)/ABS(Financials!E34)&gt;0.05),FALSE),"⚠","✓"))</f>
        <v/>
      </c>
      <c r="L37">
        <f>IF(NOT(AND(IFERROR('Company_Master'!A34&lt;&gt;"",FALSE),AND(ISNUMBER(Financials!AR34),ISNUMBER(Financials!S34)))),"—",IF(IFERROR(AND(ISNUMBER(Financials!AR34),ISNUMBER(Financials!S34),Financials!S34&lt;&gt;0,ABS(Financials!AR34-Financials!S34)/MAX(ABS(Financials!S34),1)&gt;0.05),FALSE),"⚠","✓"))</f>
        <v/>
      </c>
      <c r="M37">
        <f>IF(NOT(AND(IFERROR('Company_Master'!A34&lt;&gt;"",FALSE),AND(ISNUMBER(Asset_Operations!BE34),ISNUMBER(Asset_Operations!AR34)))),"—",IF(IFERROR(AND(ISNUMBER(Asset_Operations!BE34),ISNUMBER(Asset_Operations!AR34),ABS(Asset_Operations!BE34-Asset_Operations!AR34)&gt;0.05),FALSE),"⚠","✓"))</f>
        <v/>
      </c>
      <c r="N37">
        <f>IF(NOT(AND(IFERROR('Company_Master'!A34&lt;&gt;"",FALSE),ISNUMBER(Financials!C34))),"—",IF(IFERROR(AND(ISNUMBER(Financials!C34),OR(Financials!C34&lt;50,Financials!C34&gt;200000)),FALSE),"⚠","✓"))</f>
        <v/>
      </c>
      <c r="O37">
        <f>COUNTIF(C37:N37,"⚠")</f>
        <v/>
      </c>
      <c r="P37">
        <f>COUNTIF(C37:N37,"✓")</f>
        <v/>
      </c>
      <c r="Q37">
        <f>IF(NOT(IFERROR('Company_Master'!A34&lt;&gt;"",FALSE)),"",IF(O37&gt;0,"⚠ "&amp;O37&amp;" issue(s) detected",IF(P37=0,"— No data to validate","✓ All "&amp;P37&amp;" checks passed")))</f>
        <v/>
      </c>
    </row>
    <row r="38">
      <c r="A38" s="75" t="n">
        <v>34</v>
      </c>
      <c r="B38">
        <f>IFERROR('Company_Master'!A35,"")</f>
        <v/>
      </c>
      <c r="C38">
        <f>IF(NOT(AND(IFERROR('Company_Master'!A35&lt;&gt;"",FALSE),OR(ISNUMBER(Asset_Operations!B35),ISNUMBER(Asset_Operations!C35),ISNUMBER(Asset_Operations!D35)))),"—",IF(IFERROR(AND(ISNUMBER(Asset_Operations!B35),ISNUMBER(Asset_Operations!C35),ISNUMBER(Asset_Operations!D35),Asset_Operations!B35&gt;0,ABS((Asset_Operations!C35+Asset_Operations!D35)-Asset_Operations!B35)/Asset_Operations!B35&gt;0.02),FALSE),"⚠","✓"))</f>
        <v/>
      </c>
      <c r="D38">
        <f>IF(NOT(AND(IFERROR('Company_Master'!A35&lt;&gt;"",FALSE),OR(ISNUMBER(Asset_Operations!B35),ISNUMBER(Asset_Operations!E35),ISNUMBER(Asset_Operations!F35)))),"—",IF(IFERROR(AND(ISNUMBER(Asset_Operations!B35),ISNUMBER(Asset_Operations!E35),ISNUMBER(Asset_Operations!F35),Asset_Operations!B35&gt;0,ABS((Asset_Operations!E35+Asset_Operations!F35)-Asset_Operations!B35)/Asset_Operations!B35&gt;0.02),FALSE),"⚠","✓"))</f>
        <v/>
      </c>
      <c r="E38">
        <f>IF(NOT(AND(IFERROR('Company_Master'!A35&lt;&gt;"",FALSE),ISNUMBER(Asset_Operations!AR35))),"—",IF(IFERROR(AND(ISNUMBER(Asset_Operations!AR35),OR(Asset_Operations!AR35&lt;0.15,Asset_Operations!AR35&gt;0.27)),FALSE),"⚠","✓"))</f>
        <v/>
      </c>
      <c r="F38">
        <f>IF(NOT(AND(IFERROR('Company_Master'!A35&lt;&gt;"",FALSE),AND(ISNUMBER(Financials!Q35),ISNUMBER(Financials!R35)))),"—",IF(IFERROR(AND(ISNUMBER(Financials!Q35),ISNUMBER(Financials!R35),ISNUMBER(Financials!S35),ABS((Financials!R35-Financials!Q35)-Financials!S35)/MAX(ABS(Financials!S35),1)&gt;0.05),FALSE),"⚠","✓"))</f>
        <v/>
      </c>
      <c r="G38">
        <f>IF(NOT(AND(IFERROR('Company_Master'!A35&lt;&gt;"",FALSE),AND(ISNUMBER(Financials!I35),ISNUMBER(Financials!L35),ISNUMBER(Financials!O35)))),"—",IF(IFERROR(AND(ISNUMBER(Financials!I35),ISNUMBER(Financials!L35),ISNUMBER(Financials!O35),Financials!I35&gt;0,ABS(Financials!I35-(Financials!L35+Financials!O35))/Financials!I35&gt;0.01),FALSE),"⚠","✓"))</f>
        <v/>
      </c>
      <c r="H38">
        <f>IF(NOT(AND(IFERROR('Company_Master'!A35&lt;&gt;"",FALSE),AND(ISNUMBER(Financials!E35),ISNUMBER(Financials!F35)))),"—",IF(IFERROR(AND(ISNUMBER(Financials!E35),ISNUMBER(Financials!F35),Financials!E35&lt;Financials!F35),FALSE),"⚠","✓"))</f>
        <v/>
      </c>
      <c r="I38">
        <f>IF(NOT(AND(IFERROR('Company_Master'!A35&lt;&gt;"",FALSE),AND(ISNUMBER(Financials!C35),ISNUMBER(Financials!E35)))),"—",IF(IFERROR(AND(ISNUMBER(Financials!C35),ISNUMBER(Financials!E35),Financials!C35=0,Financials!E35&gt;0),FALSE),"⚠","✓"))</f>
        <v/>
      </c>
      <c r="J38">
        <f>IF(NOT(AND(IFERROR('Company_Master'!A35&lt;&gt;"",FALSE),COUNTIF('Raw_Extract'!A:A,'Company_Master'!A35)&gt;0)),"—",IF(COUNTIFS('Raw_Extract'!A:A,'Company_Master'!A35,'Raw_Extract'!J:J,"Low")&gt;0,"⚠","✓"))</f>
        <v/>
      </c>
      <c r="K38">
        <f>IF(NOT(AND(IFERROR('Company_Master'!A35&lt;&gt;"",FALSE),AND(ISNUMBER(Financials!E35),ISNUMBER(Financials!AP35)))),"—",IF(IFERROR(AND(ISNUMBER(Financials!E35),ISNUMBER(Financials!AP35),Financials!E35&lt;&gt;0,ABS(Financials!E35-Financials!AP35)/ABS(Financials!E35)&gt;0.05),FALSE),"⚠","✓"))</f>
        <v/>
      </c>
      <c r="L38">
        <f>IF(NOT(AND(IFERROR('Company_Master'!A35&lt;&gt;"",FALSE),AND(ISNUMBER(Financials!AR35),ISNUMBER(Financials!S35)))),"—",IF(IFERROR(AND(ISNUMBER(Financials!AR35),ISNUMBER(Financials!S35),Financials!S35&lt;&gt;0,ABS(Financials!AR35-Financials!S35)/MAX(ABS(Financials!S35),1)&gt;0.05),FALSE),"⚠","✓"))</f>
        <v/>
      </c>
      <c r="M38">
        <f>IF(NOT(AND(IFERROR('Company_Master'!A35&lt;&gt;"",FALSE),AND(ISNUMBER(Asset_Operations!BE35),ISNUMBER(Asset_Operations!AR35)))),"—",IF(IFERROR(AND(ISNUMBER(Asset_Operations!BE35),ISNUMBER(Asset_Operations!AR35),ABS(Asset_Operations!BE35-Asset_Operations!AR35)&gt;0.05),FALSE),"⚠","✓"))</f>
        <v/>
      </c>
      <c r="N38">
        <f>IF(NOT(AND(IFERROR('Company_Master'!A35&lt;&gt;"",FALSE),ISNUMBER(Financials!C35))),"—",IF(IFERROR(AND(ISNUMBER(Financials!C35),OR(Financials!C35&lt;50,Financials!C35&gt;200000)),FALSE),"⚠","✓"))</f>
        <v/>
      </c>
      <c r="O38">
        <f>COUNTIF(C38:N38,"⚠")</f>
        <v/>
      </c>
      <c r="P38">
        <f>COUNTIF(C38:N38,"✓")</f>
        <v/>
      </c>
      <c r="Q38">
        <f>IF(NOT(IFERROR('Company_Master'!A35&lt;&gt;"",FALSE)),"",IF(O38&gt;0,"⚠ "&amp;O38&amp;" issue(s) detected",IF(P38=0,"— No data to validate","✓ All "&amp;P38&amp;" checks passed")))</f>
        <v/>
      </c>
    </row>
    <row r="39">
      <c r="A39" s="75" t="n">
        <v>35</v>
      </c>
      <c r="B39">
        <f>IFERROR('Company_Master'!A36,"")</f>
        <v/>
      </c>
      <c r="C39">
        <f>IF(NOT(AND(IFERROR('Company_Master'!A36&lt;&gt;"",FALSE),OR(ISNUMBER(Asset_Operations!B36),ISNUMBER(Asset_Operations!C36),ISNUMBER(Asset_Operations!D36)))),"—",IF(IFERROR(AND(ISNUMBER(Asset_Operations!B36),ISNUMBER(Asset_Operations!C36),ISNUMBER(Asset_Operations!D36),Asset_Operations!B36&gt;0,ABS((Asset_Operations!C36+Asset_Operations!D36)-Asset_Operations!B36)/Asset_Operations!B36&gt;0.02),FALSE),"⚠","✓"))</f>
        <v/>
      </c>
      <c r="D39">
        <f>IF(NOT(AND(IFERROR('Company_Master'!A36&lt;&gt;"",FALSE),OR(ISNUMBER(Asset_Operations!B36),ISNUMBER(Asset_Operations!E36),ISNUMBER(Asset_Operations!F36)))),"—",IF(IFERROR(AND(ISNUMBER(Asset_Operations!B36),ISNUMBER(Asset_Operations!E36),ISNUMBER(Asset_Operations!F36),Asset_Operations!B36&gt;0,ABS((Asset_Operations!E36+Asset_Operations!F36)-Asset_Operations!B36)/Asset_Operations!B36&gt;0.02),FALSE),"⚠","✓"))</f>
        <v/>
      </c>
      <c r="E39">
        <f>IF(NOT(AND(IFERROR('Company_Master'!A36&lt;&gt;"",FALSE),ISNUMBER(Asset_Operations!AR36))),"—",IF(IFERROR(AND(ISNUMBER(Asset_Operations!AR36),OR(Asset_Operations!AR36&lt;0.15,Asset_Operations!AR36&gt;0.27)),FALSE),"⚠","✓"))</f>
        <v/>
      </c>
      <c r="F39">
        <f>IF(NOT(AND(IFERROR('Company_Master'!A36&lt;&gt;"",FALSE),AND(ISNUMBER(Financials!Q36),ISNUMBER(Financials!R36)))),"—",IF(IFERROR(AND(ISNUMBER(Financials!Q36),ISNUMBER(Financials!R36),ISNUMBER(Financials!S36),ABS((Financials!R36-Financials!Q36)-Financials!S36)/MAX(ABS(Financials!S36),1)&gt;0.05),FALSE),"⚠","✓"))</f>
        <v/>
      </c>
      <c r="G39">
        <f>IF(NOT(AND(IFERROR('Company_Master'!A36&lt;&gt;"",FALSE),AND(ISNUMBER(Financials!I36),ISNUMBER(Financials!L36),ISNUMBER(Financials!O36)))),"—",IF(IFERROR(AND(ISNUMBER(Financials!I36),ISNUMBER(Financials!L36),ISNUMBER(Financials!O36),Financials!I36&gt;0,ABS(Financials!I36-(Financials!L36+Financials!O36))/Financials!I36&gt;0.01),FALSE),"⚠","✓"))</f>
        <v/>
      </c>
      <c r="H39">
        <f>IF(NOT(AND(IFERROR('Company_Master'!A36&lt;&gt;"",FALSE),AND(ISNUMBER(Financials!E36),ISNUMBER(Financials!F36)))),"—",IF(IFERROR(AND(ISNUMBER(Financials!E36),ISNUMBER(Financials!F36),Financials!E36&lt;Financials!F36),FALSE),"⚠","✓"))</f>
        <v/>
      </c>
      <c r="I39">
        <f>IF(NOT(AND(IFERROR('Company_Master'!A36&lt;&gt;"",FALSE),AND(ISNUMBER(Financials!C36),ISNUMBER(Financials!E36)))),"—",IF(IFERROR(AND(ISNUMBER(Financials!C36),ISNUMBER(Financials!E36),Financials!C36=0,Financials!E36&gt;0),FALSE),"⚠","✓"))</f>
        <v/>
      </c>
      <c r="J39">
        <f>IF(NOT(AND(IFERROR('Company_Master'!A36&lt;&gt;"",FALSE),COUNTIF('Raw_Extract'!A:A,'Company_Master'!A36)&gt;0)),"—",IF(COUNTIFS('Raw_Extract'!A:A,'Company_Master'!A36,'Raw_Extract'!J:J,"Low")&gt;0,"⚠","✓"))</f>
        <v/>
      </c>
      <c r="K39">
        <f>IF(NOT(AND(IFERROR('Company_Master'!A36&lt;&gt;"",FALSE),AND(ISNUMBER(Financials!E36),ISNUMBER(Financials!AP36)))),"—",IF(IFERROR(AND(ISNUMBER(Financials!E36),ISNUMBER(Financials!AP36),Financials!E36&lt;&gt;0,ABS(Financials!E36-Financials!AP36)/ABS(Financials!E36)&gt;0.05),FALSE),"⚠","✓"))</f>
        <v/>
      </c>
      <c r="L39">
        <f>IF(NOT(AND(IFERROR('Company_Master'!A36&lt;&gt;"",FALSE),AND(ISNUMBER(Financials!AR36),ISNUMBER(Financials!S36)))),"—",IF(IFERROR(AND(ISNUMBER(Financials!AR36),ISNUMBER(Financials!S36),Financials!S36&lt;&gt;0,ABS(Financials!AR36-Financials!S36)/MAX(ABS(Financials!S36),1)&gt;0.05),FALSE),"⚠","✓"))</f>
        <v/>
      </c>
      <c r="M39">
        <f>IF(NOT(AND(IFERROR('Company_Master'!A36&lt;&gt;"",FALSE),AND(ISNUMBER(Asset_Operations!BE36),ISNUMBER(Asset_Operations!AR36)))),"—",IF(IFERROR(AND(ISNUMBER(Asset_Operations!BE36),ISNUMBER(Asset_Operations!AR36),ABS(Asset_Operations!BE36-Asset_Operations!AR36)&gt;0.05),FALSE),"⚠","✓"))</f>
        <v/>
      </c>
      <c r="N39">
        <f>IF(NOT(AND(IFERROR('Company_Master'!A36&lt;&gt;"",FALSE),ISNUMBER(Financials!C36))),"—",IF(IFERROR(AND(ISNUMBER(Financials!C36),OR(Financials!C36&lt;50,Financials!C36&gt;200000)),FALSE),"⚠","✓"))</f>
        <v/>
      </c>
      <c r="O39">
        <f>COUNTIF(C39:N39,"⚠")</f>
        <v/>
      </c>
      <c r="P39">
        <f>COUNTIF(C39:N39,"✓")</f>
        <v/>
      </c>
      <c r="Q39">
        <f>IF(NOT(IFERROR('Company_Master'!A36&lt;&gt;"",FALSE)),"",IF(O39&gt;0,"⚠ "&amp;O39&amp;" issue(s) detected",IF(P39=0,"— No data to validate","✓ All "&amp;P39&amp;" checks passed")))</f>
        <v/>
      </c>
    </row>
    <row r="40">
      <c r="A40" s="75" t="n">
        <v>36</v>
      </c>
      <c r="B40">
        <f>IFERROR('Company_Master'!A37,"")</f>
        <v/>
      </c>
      <c r="C40">
        <f>IF(NOT(AND(IFERROR('Company_Master'!A37&lt;&gt;"",FALSE),OR(ISNUMBER(Asset_Operations!B37),ISNUMBER(Asset_Operations!C37),ISNUMBER(Asset_Operations!D37)))),"—",IF(IFERROR(AND(ISNUMBER(Asset_Operations!B37),ISNUMBER(Asset_Operations!C37),ISNUMBER(Asset_Operations!D37),Asset_Operations!B37&gt;0,ABS((Asset_Operations!C37+Asset_Operations!D37)-Asset_Operations!B37)/Asset_Operations!B37&gt;0.02),FALSE),"⚠","✓"))</f>
        <v/>
      </c>
      <c r="D40">
        <f>IF(NOT(AND(IFERROR('Company_Master'!A37&lt;&gt;"",FALSE),OR(ISNUMBER(Asset_Operations!B37),ISNUMBER(Asset_Operations!E37),ISNUMBER(Asset_Operations!F37)))),"—",IF(IFERROR(AND(ISNUMBER(Asset_Operations!B37),ISNUMBER(Asset_Operations!E37),ISNUMBER(Asset_Operations!F37),Asset_Operations!B37&gt;0,ABS((Asset_Operations!E37+Asset_Operations!F37)-Asset_Operations!B37)/Asset_Operations!B37&gt;0.02),FALSE),"⚠","✓"))</f>
        <v/>
      </c>
      <c r="E40">
        <f>IF(NOT(AND(IFERROR('Company_Master'!A37&lt;&gt;"",FALSE),ISNUMBER(Asset_Operations!AR37))),"—",IF(IFERROR(AND(ISNUMBER(Asset_Operations!AR37),OR(Asset_Operations!AR37&lt;0.15,Asset_Operations!AR37&gt;0.27)),FALSE),"⚠","✓"))</f>
        <v/>
      </c>
      <c r="F40">
        <f>IF(NOT(AND(IFERROR('Company_Master'!A37&lt;&gt;"",FALSE),AND(ISNUMBER(Financials!Q37),ISNUMBER(Financials!R37)))),"—",IF(IFERROR(AND(ISNUMBER(Financials!Q37),ISNUMBER(Financials!R37),ISNUMBER(Financials!S37),ABS((Financials!R37-Financials!Q37)-Financials!S37)/MAX(ABS(Financials!S37),1)&gt;0.05),FALSE),"⚠","✓"))</f>
        <v/>
      </c>
      <c r="G40">
        <f>IF(NOT(AND(IFERROR('Company_Master'!A37&lt;&gt;"",FALSE),AND(ISNUMBER(Financials!I37),ISNUMBER(Financials!L37),ISNUMBER(Financials!O37)))),"—",IF(IFERROR(AND(ISNUMBER(Financials!I37),ISNUMBER(Financials!L37),ISNUMBER(Financials!O37),Financials!I37&gt;0,ABS(Financials!I37-(Financials!L37+Financials!O37))/Financials!I37&gt;0.01),FALSE),"⚠","✓"))</f>
        <v/>
      </c>
      <c r="H40">
        <f>IF(NOT(AND(IFERROR('Company_Master'!A37&lt;&gt;"",FALSE),AND(ISNUMBER(Financials!E37),ISNUMBER(Financials!F37)))),"—",IF(IFERROR(AND(ISNUMBER(Financials!E37),ISNUMBER(Financials!F37),Financials!E37&lt;Financials!F37),FALSE),"⚠","✓"))</f>
        <v/>
      </c>
      <c r="I40">
        <f>IF(NOT(AND(IFERROR('Company_Master'!A37&lt;&gt;"",FALSE),AND(ISNUMBER(Financials!C37),ISNUMBER(Financials!E37)))),"—",IF(IFERROR(AND(ISNUMBER(Financials!C37),ISNUMBER(Financials!E37),Financials!C37=0,Financials!E37&gt;0),FALSE),"⚠","✓"))</f>
        <v/>
      </c>
      <c r="J40">
        <f>IF(NOT(AND(IFERROR('Company_Master'!A37&lt;&gt;"",FALSE),COUNTIF('Raw_Extract'!A:A,'Company_Master'!A37)&gt;0)),"—",IF(COUNTIFS('Raw_Extract'!A:A,'Company_Master'!A37,'Raw_Extract'!J:J,"Low")&gt;0,"⚠","✓"))</f>
        <v/>
      </c>
      <c r="K40">
        <f>IF(NOT(AND(IFERROR('Company_Master'!A37&lt;&gt;"",FALSE),AND(ISNUMBER(Financials!E37),ISNUMBER(Financials!AP37)))),"—",IF(IFERROR(AND(ISNUMBER(Financials!E37),ISNUMBER(Financials!AP37),Financials!E37&lt;&gt;0,ABS(Financials!E37-Financials!AP37)/ABS(Financials!E37)&gt;0.05),FALSE),"⚠","✓"))</f>
        <v/>
      </c>
      <c r="L40">
        <f>IF(NOT(AND(IFERROR('Company_Master'!A37&lt;&gt;"",FALSE),AND(ISNUMBER(Financials!AR37),ISNUMBER(Financials!S37)))),"—",IF(IFERROR(AND(ISNUMBER(Financials!AR37),ISNUMBER(Financials!S37),Financials!S37&lt;&gt;0,ABS(Financials!AR37-Financials!S37)/MAX(ABS(Financials!S37),1)&gt;0.05),FALSE),"⚠","✓"))</f>
        <v/>
      </c>
      <c r="M40">
        <f>IF(NOT(AND(IFERROR('Company_Master'!A37&lt;&gt;"",FALSE),AND(ISNUMBER(Asset_Operations!BE37),ISNUMBER(Asset_Operations!AR37)))),"—",IF(IFERROR(AND(ISNUMBER(Asset_Operations!BE37),ISNUMBER(Asset_Operations!AR37),ABS(Asset_Operations!BE37-Asset_Operations!AR37)&gt;0.05),FALSE),"⚠","✓"))</f>
        <v/>
      </c>
      <c r="N40">
        <f>IF(NOT(AND(IFERROR('Company_Master'!A37&lt;&gt;"",FALSE),ISNUMBER(Financials!C37))),"—",IF(IFERROR(AND(ISNUMBER(Financials!C37),OR(Financials!C37&lt;50,Financials!C37&gt;200000)),FALSE),"⚠","✓"))</f>
        <v/>
      </c>
      <c r="O40">
        <f>COUNTIF(C40:N40,"⚠")</f>
        <v/>
      </c>
      <c r="P40">
        <f>COUNTIF(C40:N40,"✓")</f>
        <v/>
      </c>
      <c r="Q40">
        <f>IF(NOT(IFERROR('Company_Master'!A37&lt;&gt;"",FALSE)),"",IF(O40&gt;0,"⚠ "&amp;O40&amp;" issue(s) detected",IF(P40=0,"— No data to validate","✓ All "&amp;P40&amp;" checks passed")))</f>
        <v/>
      </c>
    </row>
    <row r="41">
      <c r="A41" s="75" t="n">
        <v>37</v>
      </c>
      <c r="B41">
        <f>IFERROR('Company_Master'!A38,"")</f>
        <v/>
      </c>
      <c r="C41">
        <f>IF(NOT(AND(IFERROR('Company_Master'!A38&lt;&gt;"",FALSE),OR(ISNUMBER(Asset_Operations!B38),ISNUMBER(Asset_Operations!C38),ISNUMBER(Asset_Operations!D38)))),"—",IF(IFERROR(AND(ISNUMBER(Asset_Operations!B38),ISNUMBER(Asset_Operations!C38),ISNUMBER(Asset_Operations!D38),Asset_Operations!B38&gt;0,ABS((Asset_Operations!C38+Asset_Operations!D38)-Asset_Operations!B38)/Asset_Operations!B38&gt;0.02),FALSE),"⚠","✓"))</f>
        <v/>
      </c>
      <c r="D41">
        <f>IF(NOT(AND(IFERROR('Company_Master'!A38&lt;&gt;"",FALSE),OR(ISNUMBER(Asset_Operations!B38),ISNUMBER(Asset_Operations!E38),ISNUMBER(Asset_Operations!F38)))),"—",IF(IFERROR(AND(ISNUMBER(Asset_Operations!B38),ISNUMBER(Asset_Operations!E38),ISNUMBER(Asset_Operations!F38),Asset_Operations!B38&gt;0,ABS((Asset_Operations!E38+Asset_Operations!F38)-Asset_Operations!B38)/Asset_Operations!B38&gt;0.02),FALSE),"⚠","✓"))</f>
        <v/>
      </c>
      <c r="E41">
        <f>IF(NOT(AND(IFERROR('Company_Master'!A38&lt;&gt;"",FALSE),ISNUMBER(Asset_Operations!AR38))),"—",IF(IFERROR(AND(ISNUMBER(Asset_Operations!AR38),OR(Asset_Operations!AR38&lt;0.15,Asset_Operations!AR38&gt;0.27)),FALSE),"⚠","✓"))</f>
        <v/>
      </c>
      <c r="F41">
        <f>IF(NOT(AND(IFERROR('Company_Master'!A38&lt;&gt;"",FALSE),AND(ISNUMBER(Financials!Q38),ISNUMBER(Financials!R38)))),"—",IF(IFERROR(AND(ISNUMBER(Financials!Q38),ISNUMBER(Financials!R38),ISNUMBER(Financials!S38),ABS((Financials!R38-Financials!Q38)-Financials!S38)/MAX(ABS(Financials!S38),1)&gt;0.05),FALSE),"⚠","✓"))</f>
        <v/>
      </c>
      <c r="G41">
        <f>IF(NOT(AND(IFERROR('Company_Master'!A38&lt;&gt;"",FALSE),AND(ISNUMBER(Financials!I38),ISNUMBER(Financials!L38),ISNUMBER(Financials!O38)))),"—",IF(IFERROR(AND(ISNUMBER(Financials!I38),ISNUMBER(Financials!L38),ISNUMBER(Financials!O38),Financials!I38&gt;0,ABS(Financials!I38-(Financials!L38+Financials!O38))/Financials!I38&gt;0.01),FALSE),"⚠","✓"))</f>
        <v/>
      </c>
      <c r="H41">
        <f>IF(NOT(AND(IFERROR('Company_Master'!A38&lt;&gt;"",FALSE),AND(ISNUMBER(Financials!E38),ISNUMBER(Financials!F38)))),"—",IF(IFERROR(AND(ISNUMBER(Financials!E38),ISNUMBER(Financials!F38),Financials!E38&lt;Financials!F38),FALSE),"⚠","✓"))</f>
        <v/>
      </c>
      <c r="I41">
        <f>IF(NOT(AND(IFERROR('Company_Master'!A38&lt;&gt;"",FALSE),AND(ISNUMBER(Financials!C38),ISNUMBER(Financials!E38)))),"—",IF(IFERROR(AND(ISNUMBER(Financials!C38),ISNUMBER(Financials!E38),Financials!C38=0,Financials!E38&gt;0),FALSE),"⚠","✓"))</f>
        <v/>
      </c>
      <c r="J41">
        <f>IF(NOT(AND(IFERROR('Company_Master'!A38&lt;&gt;"",FALSE),COUNTIF('Raw_Extract'!A:A,'Company_Master'!A38)&gt;0)),"—",IF(COUNTIFS('Raw_Extract'!A:A,'Company_Master'!A38,'Raw_Extract'!J:J,"Low")&gt;0,"⚠","✓"))</f>
        <v/>
      </c>
      <c r="K41">
        <f>IF(NOT(AND(IFERROR('Company_Master'!A38&lt;&gt;"",FALSE),AND(ISNUMBER(Financials!E38),ISNUMBER(Financials!AP38)))),"—",IF(IFERROR(AND(ISNUMBER(Financials!E38),ISNUMBER(Financials!AP38),Financials!E38&lt;&gt;0,ABS(Financials!E38-Financials!AP38)/ABS(Financials!E38)&gt;0.05),FALSE),"⚠","✓"))</f>
        <v/>
      </c>
      <c r="L41">
        <f>IF(NOT(AND(IFERROR('Company_Master'!A38&lt;&gt;"",FALSE),AND(ISNUMBER(Financials!AR38),ISNUMBER(Financials!S38)))),"—",IF(IFERROR(AND(ISNUMBER(Financials!AR38),ISNUMBER(Financials!S38),Financials!S38&lt;&gt;0,ABS(Financials!AR38-Financials!S38)/MAX(ABS(Financials!S38),1)&gt;0.05),FALSE),"⚠","✓"))</f>
        <v/>
      </c>
      <c r="M41">
        <f>IF(NOT(AND(IFERROR('Company_Master'!A38&lt;&gt;"",FALSE),AND(ISNUMBER(Asset_Operations!BE38),ISNUMBER(Asset_Operations!AR38)))),"—",IF(IFERROR(AND(ISNUMBER(Asset_Operations!BE38),ISNUMBER(Asset_Operations!AR38),ABS(Asset_Operations!BE38-Asset_Operations!AR38)&gt;0.05),FALSE),"⚠","✓"))</f>
        <v/>
      </c>
      <c r="N41">
        <f>IF(NOT(AND(IFERROR('Company_Master'!A38&lt;&gt;"",FALSE),ISNUMBER(Financials!C38))),"—",IF(IFERROR(AND(ISNUMBER(Financials!C38),OR(Financials!C38&lt;50,Financials!C38&gt;200000)),FALSE),"⚠","✓"))</f>
        <v/>
      </c>
      <c r="O41">
        <f>COUNTIF(C41:N41,"⚠")</f>
        <v/>
      </c>
      <c r="P41">
        <f>COUNTIF(C41:N41,"✓")</f>
        <v/>
      </c>
      <c r="Q41">
        <f>IF(NOT(IFERROR('Company_Master'!A38&lt;&gt;"",FALSE)),"",IF(O41&gt;0,"⚠ "&amp;O41&amp;" issue(s) detected",IF(P41=0,"— No data to validate","✓ All "&amp;P41&amp;" checks passed")))</f>
        <v/>
      </c>
    </row>
    <row r="42">
      <c r="A42" s="75" t="n">
        <v>38</v>
      </c>
      <c r="B42">
        <f>IFERROR('Company_Master'!A39,"")</f>
        <v/>
      </c>
      <c r="C42">
        <f>IF(NOT(AND(IFERROR('Company_Master'!A39&lt;&gt;"",FALSE),OR(ISNUMBER(Asset_Operations!B39),ISNUMBER(Asset_Operations!C39),ISNUMBER(Asset_Operations!D39)))),"—",IF(IFERROR(AND(ISNUMBER(Asset_Operations!B39),ISNUMBER(Asset_Operations!C39),ISNUMBER(Asset_Operations!D39),Asset_Operations!B39&gt;0,ABS((Asset_Operations!C39+Asset_Operations!D39)-Asset_Operations!B39)/Asset_Operations!B39&gt;0.02),FALSE),"⚠","✓"))</f>
        <v/>
      </c>
      <c r="D42">
        <f>IF(NOT(AND(IFERROR('Company_Master'!A39&lt;&gt;"",FALSE),OR(ISNUMBER(Asset_Operations!B39),ISNUMBER(Asset_Operations!E39),ISNUMBER(Asset_Operations!F39)))),"—",IF(IFERROR(AND(ISNUMBER(Asset_Operations!B39),ISNUMBER(Asset_Operations!E39),ISNUMBER(Asset_Operations!F39),Asset_Operations!B39&gt;0,ABS((Asset_Operations!E39+Asset_Operations!F39)-Asset_Operations!B39)/Asset_Operations!B39&gt;0.02),FALSE),"⚠","✓"))</f>
        <v/>
      </c>
      <c r="E42">
        <f>IF(NOT(AND(IFERROR('Company_Master'!A39&lt;&gt;"",FALSE),ISNUMBER(Asset_Operations!AR39))),"—",IF(IFERROR(AND(ISNUMBER(Asset_Operations!AR39),OR(Asset_Operations!AR39&lt;0.15,Asset_Operations!AR39&gt;0.27)),FALSE),"⚠","✓"))</f>
        <v/>
      </c>
      <c r="F42">
        <f>IF(NOT(AND(IFERROR('Company_Master'!A39&lt;&gt;"",FALSE),AND(ISNUMBER(Financials!Q39),ISNUMBER(Financials!R39)))),"—",IF(IFERROR(AND(ISNUMBER(Financials!Q39),ISNUMBER(Financials!R39),ISNUMBER(Financials!S39),ABS((Financials!R39-Financials!Q39)-Financials!S39)/MAX(ABS(Financials!S39),1)&gt;0.05),FALSE),"⚠","✓"))</f>
        <v/>
      </c>
      <c r="G42">
        <f>IF(NOT(AND(IFERROR('Company_Master'!A39&lt;&gt;"",FALSE),AND(ISNUMBER(Financials!I39),ISNUMBER(Financials!L39),ISNUMBER(Financials!O39)))),"—",IF(IFERROR(AND(ISNUMBER(Financials!I39),ISNUMBER(Financials!L39),ISNUMBER(Financials!O39),Financials!I39&gt;0,ABS(Financials!I39-(Financials!L39+Financials!O39))/Financials!I39&gt;0.01),FALSE),"⚠","✓"))</f>
        <v/>
      </c>
      <c r="H42">
        <f>IF(NOT(AND(IFERROR('Company_Master'!A39&lt;&gt;"",FALSE),AND(ISNUMBER(Financials!E39),ISNUMBER(Financials!F39)))),"—",IF(IFERROR(AND(ISNUMBER(Financials!E39),ISNUMBER(Financials!F39),Financials!E39&lt;Financials!F39),FALSE),"⚠","✓"))</f>
        <v/>
      </c>
      <c r="I42">
        <f>IF(NOT(AND(IFERROR('Company_Master'!A39&lt;&gt;"",FALSE),AND(ISNUMBER(Financials!C39),ISNUMBER(Financials!E39)))),"—",IF(IFERROR(AND(ISNUMBER(Financials!C39),ISNUMBER(Financials!E39),Financials!C39=0,Financials!E39&gt;0),FALSE),"⚠","✓"))</f>
        <v/>
      </c>
      <c r="J42">
        <f>IF(NOT(AND(IFERROR('Company_Master'!A39&lt;&gt;"",FALSE),COUNTIF('Raw_Extract'!A:A,'Company_Master'!A39)&gt;0)),"—",IF(COUNTIFS('Raw_Extract'!A:A,'Company_Master'!A39,'Raw_Extract'!J:J,"Low")&gt;0,"⚠","✓"))</f>
        <v/>
      </c>
      <c r="K42">
        <f>IF(NOT(AND(IFERROR('Company_Master'!A39&lt;&gt;"",FALSE),AND(ISNUMBER(Financials!E39),ISNUMBER(Financials!AP39)))),"—",IF(IFERROR(AND(ISNUMBER(Financials!E39),ISNUMBER(Financials!AP39),Financials!E39&lt;&gt;0,ABS(Financials!E39-Financials!AP39)/ABS(Financials!E39)&gt;0.05),FALSE),"⚠","✓"))</f>
        <v/>
      </c>
      <c r="L42">
        <f>IF(NOT(AND(IFERROR('Company_Master'!A39&lt;&gt;"",FALSE),AND(ISNUMBER(Financials!AR39),ISNUMBER(Financials!S39)))),"—",IF(IFERROR(AND(ISNUMBER(Financials!AR39),ISNUMBER(Financials!S39),Financials!S39&lt;&gt;0,ABS(Financials!AR39-Financials!S39)/MAX(ABS(Financials!S39),1)&gt;0.05),FALSE),"⚠","✓"))</f>
        <v/>
      </c>
      <c r="M42">
        <f>IF(NOT(AND(IFERROR('Company_Master'!A39&lt;&gt;"",FALSE),AND(ISNUMBER(Asset_Operations!BE39),ISNUMBER(Asset_Operations!AR39)))),"—",IF(IFERROR(AND(ISNUMBER(Asset_Operations!BE39),ISNUMBER(Asset_Operations!AR39),ABS(Asset_Operations!BE39-Asset_Operations!AR39)&gt;0.05),FALSE),"⚠","✓"))</f>
        <v/>
      </c>
      <c r="N42">
        <f>IF(NOT(AND(IFERROR('Company_Master'!A39&lt;&gt;"",FALSE),ISNUMBER(Financials!C39))),"—",IF(IFERROR(AND(ISNUMBER(Financials!C39),OR(Financials!C39&lt;50,Financials!C39&gt;200000)),FALSE),"⚠","✓"))</f>
        <v/>
      </c>
      <c r="O42">
        <f>COUNTIF(C42:N42,"⚠")</f>
        <v/>
      </c>
      <c r="P42">
        <f>COUNTIF(C42:N42,"✓")</f>
        <v/>
      </c>
      <c r="Q42">
        <f>IF(NOT(IFERROR('Company_Master'!A39&lt;&gt;"",FALSE)),"",IF(O42&gt;0,"⚠ "&amp;O42&amp;" issue(s) detected",IF(P42=0,"— No data to validate","✓ All "&amp;P42&amp;" checks passed")))</f>
        <v/>
      </c>
    </row>
    <row r="43">
      <c r="A43" s="75" t="n">
        <v>39</v>
      </c>
      <c r="B43">
        <f>IFERROR('Company_Master'!A40,"")</f>
        <v/>
      </c>
      <c r="C43">
        <f>IF(NOT(AND(IFERROR('Company_Master'!A40&lt;&gt;"",FALSE),OR(ISNUMBER(Asset_Operations!B40),ISNUMBER(Asset_Operations!C40),ISNUMBER(Asset_Operations!D40)))),"—",IF(IFERROR(AND(ISNUMBER(Asset_Operations!B40),ISNUMBER(Asset_Operations!C40),ISNUMBER(Asset_Operations!D40),Asset_Operations!B40&gt;0,ABS((Asset_Operations!C40+Asset_Operations!D40)-Asset_Operations!B40)/Asset_Operations!B40&gt;0.02),FALSE),"⚠","✓"))</f>
        <v/>
      </c>
      <c r="D43">
        <f>IF(NOT(AND(IFERROR('Company_Master'!A40&lt;&gt;"",FALSE),OR(ISNUMBER(Asset_Operations!B40),ISNUMBER(Asset_Operations!E40),ISNUMBER(Asset_Operations!F40)))),"—",IF(IFERROR(AND(ISNUMBER(Asset_Operations!B40),ISNUMBER(Asset_Operations!E40),ISNUMBER(Asset_Operations!F40),Asset_Operations!B40&gt;0,ABS((Asset_Operations!E40+Asset_Operations!F40)-Asset_Operations!B40)/Asset_Operations!B40&gt;0.02),FALSE),"⚠","✓"))</f>
        <v/>
      </c>
      <c r="E43">
        <f>IF(NOT(AND(IFERROR('Company_Master'!A40&lt;&gt;"",FALSE),ISNUMBER(Asset_Operations!AR40))),"—",IF(IFERROR(AND(ISNUMBER(Asset_Operations!AR40),OR(Asset_Operations!AR40&lt;0.15,Asset_Operations!AR40&gt;0.27)),FALSE),"⚠","✓"))</f>
        <v/>
      </c>
      <c r="F43">
        <f>IF(NOT(AND(IFERROR('Company_Master'!A40&lt;&gt;"",FALSE),AND(ISNUMBER(Financials!Q40),ISNUMBER(Financials!R40)))),"—",IF(IFERROR(AND(ISNUMBER(Financials!Q40),ISNUMBER(Financials!R40),ISNUMBER(Financials!S40),ABS((Financials!R40-Financials!Q40)-Financials!S40)/MAX(ABS(Financials!S40),1)&gt;0.05),FALSE),"⚠","✓"))</f>
        <v/>
      </c>
      <c r="G43">
        <f>IF(NOT(AND(IFERROR('Company_Master'!A40&lt;&gt;"",FALSE),AND(ISNUMBER(Financials!I40),ISNUMBER(Financials!L40),ISNUMBER(Financials!O40)))),"—",IF(IFERROR(AND(ISNUMBER(Financials!I40),ISNUMBER(Financials!L40),ISNUMBER(Financials!O40),Financials!I40&gt;0,ABS(Financials!I40-(Financials!L40+Financials!O40))/Financials!I40&gt;0.01),FALSE),"⚠","✓"))</f>
        <v/>
      </c>
      <c r="H43">
        <f>IF(NOT(AND(IFERROR('Company_Master'!A40&lt;&gt;"",FALSE),AND(ISNUMBER(Financials!E40),ISNUMBER(Financials!F40)))),"—",IF(IFERROR(AND(ISNUMBER(Financials!E40),ISNUMBER(Financials!F40),Financials!E40&lt;Financials!F40),FALSE),"⚠","✓"))</f>
        <v/>
      </c>
      <c r="I43">
        <f>IF(NOT(AND(IFERROR('Company_Master'!A40&lt;&gt;"",FALSE),AND(ISNUMBER(Financials!C40),ISNUMBER(Financials!E40)))),"—",IF(IFERROR(AND(ISNUMBER(Financials!C40),ISNUMBER(Financials!E40),Financials!C40=0,Financials!E40&gt;0),FALSE),"⚠","✓"))</f>
        <v/>
      </c>
      <c r="J43">
        <f>IF(NOT(AND(IFERROR('Company_Master'!A40&lt;&gt;"",FALSE),COUNTIF('Raw_Extract'!A:A,'Company_Master'!A40)&gt;0)),"—",IF(COUNTIFS('Raw_Extract'!A:A,'Company_Master'!A40,'Raw_Extract'!J:J,"Low")&gt;0,"⚠","✓"))</f>
        <v/>
      </c>
      <c r="K43">
        <f>IF(NOT(AND(IFERROR('Company_Master'!A40&lt;&gt;"",FALSE),AND(ISNUMBER(Financials!E40),ISNUMBER(Financials!AP40)))),"—",IF(IFERROR(AND(ISNUMBER(Financials!E40),ISNUMBER(Financials!AP40),Financials!E40&lt;&gt;0,ABS(Financials!E40-Financials!AP40)/ABS(Financials!E40)&gt;0.05),FALSE),"⚠","✓"))</f>
        <v/>
      </c>
      <c r="L43">
        <f>IF(NOT(AND(IFERROR('Company_Master'!A40&lt;&gt;"",FALSE),AND(ISNUMBER(Financials!AR40),ISNUMBER(Financials!S40)))),"—",IF(IFERROR(AND(ISNUMBER(Financials!AR40),ISNUMBER(Financials!S40),Financials!S40&lt;&gt;0,ABS(Financials!AR40-Financials!S40)/MAX(ABS(Financials!S40),1)&gt;0.05),FALSE),"⚠","✓"))</f>
        <v/>
      </c>
      <c r="M43">
        <f>IF(NOT(AND(IFERROR('Company_Master'!A40&lt;&gt;"",FALSE),AND(ISNUMBER(Asset_Operations!BE40),ISNUMBER(Asset_Operations!AR40)))),"—",IF(IFERROR(AND(ISNUMBER(Asset_Operations!BE40),ISNUMBER(Asset_Operations!AR40),ABS(Asset_Operations!BE40-Asset_Operations!AR40)&gt;0.05),FALSE),"⚠","✓"))</f>
        <v/>
      </c>
      <c r="N43">
        <f>IF(NOT(AND(IFERROR('Company_Master'!A40&lt;&gt;"",FALSE),ISNUMBER(Financials!C40))),"—",IF(IFERROR(AND(ISNUMBER(Financials!C40),OR(Financials!C40&lt;50,Financials!C40&gt;200000)),FALSE),"⚠","✓"))</f>
        <v/>
      </c>
      <c r="O43">
        <f>COUNTIF(C43:N43,"⚠")</f>
        <v/>
      </c>
      <c r="P43">
        <f>COUNTIF(C43:N43,"✓")</f>
        <v/>
      </c>
      <c r="Q43">
        <f>IF(NOT(IFERROR('Company_Master'!A40&lt;&gt;"",FALSE)),"",IF(O43&gt;0,"⚠ "&amp;O43&amp;" issue(s) detected",IF(P43=0,"— No data to validate","✓ All "&amp;P43&amp;" checks passed")))</f>
        <v/>
      </c>
    </row>
    <row r="44">
      <c r="A44" t="n">
        <v>40</v>
      </c>
      <c r="B44">
        <f>IFERROR('Company_Master'!A41,"")</f>
        <v/>
      </c>
      <c r="C44">
        <f>IF(NOT(AND(IFERROR('Company_Master'!A41&lt;&gt;"",FALSE),OR(ISNUMBER(Asset_Operations!B41),ISNUMBER(Asset_Operations!C41),ISNUMBER(Asset_Operations!D41)))),"—",IF(IFERROR(AND(ISNUMBER(Asset_Operations!B41),ISNUMBER(Asset_Operations!C41),ISNUMBER(Asset_Operations!D41),Asset_Operations!B41&gt;0,ABS((Asset_Operations!C41+Asset_Operations!D41)-Asset_Operations!B41)/Asset_Operations!B41&gt;0.02),FALSE),"⚠","✓"))</f>
        <v/>
      </c>
      <c r="D44">
        <f>IF(NOT(AND(IFERROR('Company_Master'!A41&lt;&gt;"",FALSE),OR(ISNUMBER(Asset_Operations!B41),ISNUMBER(Asset_Operations!E41),ISNUMBER(Asset_Operations!F41)))),"—",IF(IFERROR(AND(ISNUMBER(Asset_Operations!B41),ISNUMBER(Asset_Operations!E41),ISNUMBER(Asset_Operations!F41),Asset_Operations!B41&gt;0,ABS((Asset_Operations!E41+Asset_Operations!F41)-Asset_Operations!B41)/Asset_Operations!B41&gt;0.02),FALSE),"⚠","✓"))</f>
        <v/>
      </c>
      <c r="E44">
        <f>IF(NOT(AND(IFERROR('Company_Master'!A41&lt;&gt;"",FALSE),ISNUMBER(Asset_Operations!AR41))),"—",IF(IFERROR(AND(ISNUMBER(Asset_Operations!AR41),OR(Asset_Operations!AR41&lt;0.15,Asset_Operations!AR41&gt;0.27)),FALSE),"⚠","✓"))</f>
        <v/>
      </c>
      <c r="F44">
        <f>IF(NOT(AND(IFERROR('Company_Master'!A41&lt;&gt;"",FALSE),AND(ISNUMBER(Financials!Q41),ISNUMBER(Financials!R41)))),"—",IF(IFERROR(AND(ISNUMBER(Financials!Q41),ISNUMBER(Financials!R41),ISNUMBER(Financials!S41),ABS((Financials!R41-Financials!Q41)-Financials!S41)/MAX(ABS(Financials!S41),1)&gt;0.05),FALSE),"⚠","✓"))</f>
        <v/>
      </c>
      <c r="G44">
        <f>IF(NOT(AND(IFERROR('Company_Master'!A41&lt;&gt;"",FALSE),AND(ISNUMBER(Financials!I41),ISNUMBER(Financials!L41),ISNUMBER(Financials!O41)))),"—",IF(IFERROR(AND(ISNUMBER(Financials!I41),ISNUMBER(Financials!L41),ISNUMBER(Financials!O41),Financials!I41&gt;0,ABS(Financials!I41-(Financials!L41+Financials!O41))/Financials!I41&gt;0.01),FALSE),"⚠","✓"))</f>
        <v/>
      </c>
      <c r="H44">
        <f>IF(NOT(AND(IFERROR('Company_Master'!A41&lt;&gt;"",FALSE),AND(ISNUMBER(Financials!E41),ISNUMBER(Financials!F41)))),"—",IF(IFERROR(AND(ISNUMBER(Financials!E41),ISNUMBER(Financials!F41),Financials!E41&lt;Financials!F41),FALSE),"⚠","✓"))</f>
        <v/>
      </c>
      <c r="I44">
        <f>IF(NOT(AND(IFERROR('Company_Master'!A41&lt;&gt;"",FALSE),AND(ISNUMBER(Financials!C41),ISNUMBER(Financials!E41)))),"—",IF(IFERROR(AND(ISNUMBER(Financials!C41),ISNUMBER(Financials!E41),Financials!C41=0,Financials!E41&gt;0),FALSE),"⚠","✓"))</f>
        <v/>
      </c>
      <c r="J44">
        <f>IF(NOT(AND(IFERROR('Company_Master'!A41&lt;&gt;"",FALSE),COUNTIF('Raw_Extract'!A:A,'Company_Master'!A41)&gt;0)),"—",IF(COUNTIFS('Raw_Extract'!A:A,'Company_Master'!A41,'Raw_Extract'!J:J,"Low")&gt;0,"⚠","✓"))</f>
        <v/>
      </c>
      <c r="K44">
        <f>IF(NOT(AND(IFERROR('Company_Master'!A41&lt;&gt;"",FALSE),AND(ISNUMBER(Financials!E41),ISNUMBER(Financials!AP41)))),"—",IF(IFERROR(AND(ISNUMBER(Financials!E41),ISNUMBER(Financials!AP41),Financials!E41&lt;&gt;0,ABS(Financials!E41-Financials!AP41)/ABS(Financials!E41)&gt;0.05),FALSE),"⚠","✓"))</f>
        <v/>
      </c>
      <c r="L44">
        <f>IF(NOT(AND(IFERROR('Company_Master'!A41&lt;&gt;"",FALSE),AND(ISNUMBER(Financials!AR41),ISNUMBER(Financials!S41)))),"—",IF(IFERROR(AND(ISNUMBER(Financials!AR41),ISNUMBER(Financials!S41),Financials!S41&lt;&gt;0,ABS(Financials!AR41-Financials!S41)/MAX(ABS(Financials!S41),1)&gt;0.05),FALSE),"⚠","✓"))</f>
        <v/>
      </c>
      <c r="M44">
        <f>IF(NOT(AND(IFERROR('Company_Master'!A41&lt;&gt;"",FALSE),AND(ISNUMBER(Asset_Operations!BE41),ISNUMBER(Asset_Operations!AR41)))),"—",IF(IFERROR(AND(ISNUMBER(Asset_Operations!BE41),ISNUMBER(Asset_Operations!AR41),ABS(Asset_Operations!BE41-Asset_Operations!AR41)&gt;0.05),FALSE),"⚠","✓"))</f>
        <v/>
      </c>
      <c r="N44">
        <f>IF(NOT(AND(IFERROR('Company_Master'!A41&lt;&gt;"",FALSE),ISNUMBER(Financials!C41))),"—",IF(IFERROR(AND(ISNUMBER(Financials!C41),OR(Financials!C41&lt;50,Financials!C41&gt;200000)),FALSE),"⚠","✓"))</f>
        <v/>
      </c>
      <c r="O44">
        <f>COUNTIF(C44:N44,"⚠")</f>
        <v/>
      </c>
      <c r="P44">
        <f>COUNTIF(C44:N44,"✓")</f>
        <v/>
      </c>
      <c r="Q44">
        <f>IF(NOT(IFERROR('Company_Master'!A41&lt;&gt;"",FALSE)),"",IF(O44&gt;0,"⚠ "&amp;O44&amp;" issue(s) detected",IF(P44=0,"— No data to validate","✓ All "&amp;P44&amp;" checks passed")))</f>
        <v/>
      </c>
    </row>
    <row r="45">
      <c r="A45" t="n">
        <v>41</v>
      </c>
      <c r="B45">
        <f>IFERROR('Company_Master'!A42,"")</f>
        <v/>
      </c>
      <c r="C45">
        <f>IF(NOT(AND(IFERROR('Company_Master'!A42&lt;&gt;"",FALSE),OR(ISNUMBER(Asset_Operations!B42),ISNUMBER(Asset_Operations!C42),ISNUMBER(Asset_Operations!D42)))),"—",IF(IFERROR(AND(ISNUMBER(Asset_Operations!B42),ISNUMBER(Asset_Operations!C42),ISNUMBER(Asset_Operations!D42),Asset_Operations!B42&gt;0,ABS((Asset_Operations!C42+Asset_Operations!D42)-Asset_Operations!B42)/Asset_Operations!B42&gt;0.02),FALSE),"⚠","✓"))</f>
        <v/>
      </c>
      <c r="D45">
        <f>IF(NOT(AND(IFERROR('Company_Master'!A42&lt;&gt;"",FALSE),OR(ISNUMBER(Asset_Operations!B42),ISNUMBER(Asset_Operations!E42),ISNUMBER(Asset_Operations!F42)))),"—",IF(IFERROR(AND(ISNUMBER(Asset_Operations!B42),ISNUMBER(Asset_Operations!E42),ISNUMBER(Asset_Operations!F42),Asset_Operations!B42&gt;0,ABS((Asset_Operations!E42+Asset_Operations!F42)-Asset_Operations!B42)/Asset_Operations!B42&gt;0.02),FALSE),"⚠","✓"))</f>
        <v/>
      </c>
      <c r="E45">
        <f>IF(NOT(AND(IFERROR('Company_Master'!A42&lt;&gt;"",FALSE),ISNUMBER(Asset_Operations!AR42))),"—",IF(IFERROR(AND(ISNUMBER(Asset_Operations!AR42),OR(Asset_Operations!AR42&lt;0.15,Asset_Operations!AR42&gt;0.27)),FALSE),"⚠","✓"))</f>
        <v/>
      </c>
      <c r="F45">
        <f>IF(NOT(AND(IFERROR('Company_Master'!A42&lt;&gt;"",FALSE),AND(ISNUMBER(Financials!Q42),ISNUMBER(Financials!R42)))),"—",IF(IFERROR(AND(ISNUMBER(Financials!Q42),ISNUMBER(Financials!R42),ISNUMBER(Financials!S42),ABS((Financials!R42-Financials!Q42)-Financials!S42)/MAX(ABS(Financials!S42),1)&gt;0.05),FALSE),"⚠","✓"))</f>
        <v/>
      </c>
      <c r="G45">
        <f>IF(NOT(AND(IFERROR('Company_Master'!A42&lt;&gt;"",FALSE),AND(ISNUMBER(Financials!I42),ISNUMBER(Financials!L42),ISNUMBER(Financials!O42)))),"—",IF(IFERROR(AND(ISNUMBER(Financials!I42),ISNUMBER(Financials!L42),ISNUMBER(Financials!O42),Financials!I42&gt;0,ABS(Financials!I42-(Financials!L42+Financials!O42))/Financials!I42&gt;0.01),FALSE),"⚠","✓"))</f>
        <v/>
      </c>
      <c r="H45">
        <f>IF(NOT(AND(IFERROR('Company_Master'!A42&lt;&gt;"",FALSE),AND(ISNUMBER(Financials!E42),ISNUMBER(Financials!F42)))),"—",IF(IFERROR(AND(ISNUMBER(Financials!E42),ISNUMBER(Financials!F42),Financials!E42&lt;Financials!F42),FALSE),"⚠","✓"))</f>
        <v/>
      </c>
      <c r="I45">
        <f>IF(NOT(AND(IFERROR('Company_Master'!A42&lt;&gt;"",FALSE),AND(ISNUMBER(Financials!C42),ISNUMBER(Financials!E42)))),"—",IF(IFERROR(AND(ISNUMBER(Financials!C42),ISNUMBER(Financials!E42),Financials!C42=0,Financials!E42&gt;0),FALSE),"⚠","✓"))</f>
        <v/>
      </c>
      <c r="J45">
        <f>IF(NOT(AND(IFERROR('Company_Master'!A42&lt;&gt;"",FALSE),COUNTIF('Raw_Extract'!A:A,'Company_Master'!A42)&gt;0)),"—",IF(COUNTIFS('Raw_Extract'!A:A,'Company_Master'!A42,'Raw_Extract'!J:J,"Low")&gt;0,"⚠","✓"))</f>
        <v/>
      </c>
      <c r="K45">
        <f>IF(NOT(AND(IFERROR('Company_Master'!A42&lt;&gt;"",FALSE),AND(ISNUMBER(Financials!E42),ISNUMBER(Financials!AP42)))),"—",IF(IFERROR(AND(ISNUMBER(Financials!E42),ISNUMBER(Financials!AP42),Financials!E42&lt;&gt;0,ABS(Financials!E42-Financials!AP42)/ABS(Financials!E42)&gt;0.05),FALSE),"⚠","✓"))</f>
        <v/>
      </c>
      <c r="L45">
        <f>IF(NOT(AND(IFERROR('Company_Master'!A42&lt;&gt;"",FALSE),AND(ISNUMBER(Financials!AR42),ISNUMBER(Financials!S42)))),"—",IF(IFERROR(AND(ISNUMBER(Financials!AR42),ISNUMBER(Financials!S42),Financials!S42&lt;&gt;0,ABS(Financials!AR42-Financials!S42)/MAX(ABS(Financials!S42),1)&gt;0.05),FALSE),"⚠","✓"))</f>
        <v/>
      </c>
      <c r="M45">
        <f>IF(NOT(AND(IFERROR('Company_Master'!A42&lt;&gt;"",FALSE),AND(ISNUMBER(Asset_Operations!BE42),ISNUMBER(Asset_Operations!AR42)))),"—",IF(IFERROR(AND(ISNUMBER(Asset_Operations!BE42),ISNUMBER(Asset_Operations!AR42),ABS(Asset_Operations!BE42-Asset_Operations!AR42)&gt;0.05),FALSE),"⚠","✓"))</f>
        <v/>
      </c>
      <c r="N45">
        <f>IF(NOT(AND(IFERROR('Company_Master'!A42&lt;&gt;"",FALSE),ISNUMBER(Financials!C42))),"—",IF(IFERROR(AND(ISNUMBER(Financials!C42),OR(Financials!C42&lt;50,Financials!C42&gt;200000)),FALSE),"⚠","✓"))</f>
        <v/>
      </c>
      <c r="O45">
        <f>COUNTIF(C45:N45,"⚠")</f>
        <v/>
      </c>
      <c r="P45">
        <f>COUNTIF(C45:N45,"✓")</f>
        <v/>
      </c>
      <c r="Q45">
        <f>IF(NOT(IFERROR('Company_Master'!A42&lt;&gt;"",FALSE)),"",IF(O45&gt;0,"⚠ "&amp;O45&amp;" issue(s) detected",IF(P45=0,"— No data to validate","✓ All "&amp;P45&amp;" checks passed")))</f>
        <v/>
      </c>
    </row>
    <row r="46">
      <c r="A46" t="n">
        <v>42</v>
      </c>
      <c r="B46">
        <f>IFERROR('Company_Master'!A43,"")</f>
        <v/>
      </c>
      <c r="C46">
        <f>IF(NOT(AND(IFERROR('Company_Master'!A43&lt;&gt;"",FALSE),OR(ISNUMBER(Asset_Operations!B43),ISNUMBER(Asset_Operations!C43),ISNUMBER(Asset_Operations!D43)))),"—",IF(IFERROR(AND(ISNUMBER(Asset_Operations!B43),ISNUMBER(Asset_Operations!C43),ISNUMBER(Asset_Operations!D43),Asset_Operations!B43&gt;0,ABS((Asset_Operations!C43+Asset_Operations!D43)-Asset_Operations!B43)/Asset_Operations!B43&gt;0.02),FALSE),"⚠","✓"))</f>
        <v/>
      </c>
      <c r="D46">
        <f>IF(NOT(AND(IFERROR('Company_Master'!A43&lt;&gt;"",FALSE),OR(ISNUMBER(Asset_Operations!B43),ISNUMBER(Asset_Operations!E43),ISNUMBER(Asset_Operations!F43)))),"—",IF(IFERROR(AND(ISNUMBER(Asset_Operations!B43),ISNUMBER(Asset_Operations!E43),ISNUMBER(Asset_Operations!F43),Asset_Operations!B43&gt;0,ABS((Asset_Operations!E43+Asset_Operations!F43)-Asset_Operations!B43)/Asset_Operations!B43&gt;0.02),FALSE),"⚠","✓"))</f>
        <v/>
      </c>
      <c r="E46">
        <f>IF(NOT(AND(IFERROR('Company_Master'!A43&lt;&gt;"",FALSE),ISNUMBER(Asset_Operations!AR43))),"—",IF(IFERROR(AND(ISNUMBER(Asset_Operations!AR43),OR(Asset_Operations!AR43&lt;0.15,Asset_Operations!AR43&gt;0.27)),FALSE),"⚠","✓"))</f>
        <v/>
      </c>
      <c r="F46">
        <f>IF(NOT(AND(IFERROR('Company_Master'!A43&lt;&gt;"",FALSE),AND(ISNUMBER(Financials!Q43),ISNUMBER(Financials!R43)))),"—",IF(IFERROR(AND(ISNUMBER(Financials!Q43),ISNUMBER(Financials!R43),ISNUMBER(Financials!S43),ABS((Financials!R43-Financials!Q43)-Financials!S43)/MAX(ABS(Financials!S43),1)&gt;0.05),FALSE),"⚠","✓"))</f>
        <v/>
      </c>
      <c r="G46">
        <f>IF(NOT(AND(IFERROR('Company_Master'!A43&lt;&gt;"",FALSE),AND(ISNUMBER(Financials!I43),ISNUMBER(Financials!L43),ISNUMBER(Financials!O43)))),"—",IF(IFERROR(AND(ISNUMBER(Financials!I43),ISNUMBER(Financials!L43),ISNUMBER(Financials!O43),Financials!I43&gt;0,ABS(Financials!I43-(Financials!L43+Financials!O43))/Financials!I43&gt;0.01),FALSE),"⚠","✓"))</f>
        <v/>
      </c>
      <c r="H46">
        <f>IF(NOT(AND(IFERROR('Company_Master'!A43&lt;&gt;"",FALSE),AND(ISNUMBER(Financials!E43),ISNUMBER(Financials!F43)))),"—",IF(IFERROR(AND(ISNUMBER(Financials!E43),ISNUMBER(Financials!F43),Financials!E43&lt;Financials!F43),FALSE),"⚠","✓"))</f>
        <v/>
      </c>
      <c r="I46">
        <f>IF(NOT(AND(IFERROR('Company_Master'!A43&lt;&gt;"",FALSE),AND(ISNUMBER(Financials!C43),ISNUMBER(Financials!E43)))),"—",IF(IFERROR(AND(ISNUMBER(Financials!C43),ISNUMBER(Financials!E43),Financials!C43=0,Financials!E43&gt;0),FALSE),"⚠","✓"))</f>
        <v/>
      </c>
      <c r="J46">
        <f>IF(NOT(AND(IFERROR('Company_Master'!A43&lt;&gt;"",FALSE),COUNTIF('Raw_Extract'!A:A,'Company_Master'!A43)&gt;0)),"—",IF(COUNTIFS('Raw_Extract'!A:A,'Company_Master'!A43,'Raw_Extract'!J:J,"Low")&gt;0,"⚠","✓"))</f>
        <v/>
      </c>
      <c r="K46">
        <f>IF(NOT(AND(IFERROR('Company_Master'!A43&lt;&gt;"",FALSE),AND(ISNUMBER(Financials!E43),ISNUMBER(Financials!AP43)))),"—",IF(IFERROR(AND(ISNUMBER(Financials!E43),ISNUMBER(Financials!AP43),Financials!E43&lt;&gt;0,ABS(Financials!E43-Financials!AP43)/ABS(Financials!E43)&gt;0.05),FALSE),"⚠","✓"))</f>
        <v/>
      </c>
      <c r="L46">
        <f>IF(NOT(AND(IFERROR('Company_Master'!A43&lt;&gt;"",FALSE),AND(ISNUMBER(Financials!AR43),ISNUMBER(Financials!S43)))),"—",IF(IFERROR(AND(ISNUMBER(Financials!AR43),ISNUMBER(Financials!S43),Financials!S43&lt;&gt;0,ABS(Financials!AR43-Financials!S43)/MAX(ABS(Financials!S43),1)&gt;0.05),FALSE),"⚠","✓"))</f>
        <v/>
      </c>
      <c r="M46">
        <f>IF(NOT(AND(IFERROR('Company_Master'!A43&lt;&gt;"",FALSE),AND(ISNUMBER(Asset_Operations!BE43),ISNUMBER(Asset_Operations!AR43)))),"—",IF(IFERROR(AND(ISNUMBER(Asset_Operations!BE43),ISNUMBER(Asset_Operations!AR43),ABS(Asset_Operations!BE43-Asset_Operations!AR43)&gt;0.05),FALSE),"⚠","✓"))</f>
        <v/>
      </c>
      <c r="N46">
        <f>IF(NOT(AND(IFERROR('Company_Master'!A43&lt;&gt;"",FALSE),ISNUMBER(Financials!C43))),"—",IF(IFERROR(AND(ISNUMBER(Financials!C43),OR(Financials!C43&lt;50,Financials!C43&gt;200000)),FALSE),"⚠","✓"))</f>
        <v/>
      </c>
      <c r="O46">
        <f>COUNTIF(C46:N46,"⚠")</f>
        <v/>
      </c>
      <c r="P46">
        <f>COUNTIF(C46:N46,"✓")</f>
        <v/>
      </c>
      <c r="Q46">
        <f>IF(NOT(IFERROR('Company_Master'!A43&lt;&gt;"",FALSE)),"",IF(O46&gt;0,"⚠ "&amp;O46&amp;" issue(s) detected",IF(P46=0,"— No data to validate","✓ All "&amp;P46&amp;" checks passed")))</f>
        <v/>
      </c>
    </row>
    <row r="47">
      <c r="A47" t="n">
        <v>43</v>
      </c>
      <c r="B47">
        <f>IFERROR('Company_Master'!A44,"")</f>
        <v/>
      </c>
      <c r="C47">
        <f>IF(NOT(AND(IFERROR('Company_Master'!A44&lt;&gt;"",FALSE),OR(ISNUMBER(Asset_Operations!B44),ISNUMBER(Asset_Operations!C44),ISNUMBER(Asset_Operations!D44)))),"—",IF(IFERROR(AND(ISNUMBER(Asset_Operations!B44),ISNUMBER(Asset_Operations!C44),ISNUMBER(Asset_Operations!D44),Asset_Operations!B44&gt;0,ABS((Asset_Operations!C44+Asset_Operations!D44)-Asset_Operations!B44)/Asset_Operations!B44&gt;0.02),FALSE),"⚠","✓"))</f>
        <v/>
      </c>
      <c r="D47">
        <f>IF(NOT(AND(IFERROR('Company_Master'!A44&lt;&gt;"",FALSE),OR(ISNUMBER(Asset_Operations!B44),ISNUMBER(Asset_Operations!E44),ISNUMBER(Asset_Operations!F44)))),"—",IF(IFERROR(AND(ISNUMBER(Asset_Operations!B44),ISNUMBER(Asset_Operations!E44),ISNUMBER(Asset_Operations!F44),Asset_Operations!B44&gt;0,ABS((Asset_Operations!E44+Asset_Operations!F44)-Asset_Operations!B44)/Asset_Operations!B44&gt;0.02),FALSE),"⚠","✓"))</f>
        <v/>
      </c>
      <c r="E47">
        <f>IF(NOT(AND(IFERROR('Company_Master'!A44&lt;&gt;"",FALSE),ISNUMBER(Asset_Operations!AR44))),"—",IF(IFERROR(AND(ISNUMBER(Asset_Operations!AR44),OR(Asset_Operations!AR44&lt;0.15,Asset_Operations!AR44&gt;0.27)),FALSE),"⚠","✓"))</f>
        <v/>
      </c>
      <c r="F47">
        <f>IF(NOT(AND(IFERROR('Company_Master'!A44&lt;&gt;"",FALSE),AND(ISNUMBER(Financials!Q44),ISNUMBER(Financials!R44)))),"—",IF(IFERROR(AND(ISNUMBER(Financials!Q44),ISNUMBER(Financials!R44),ISNUMBER(Financials!S44),ABS((Financials!R44-Financials!Q44)-Financials!S44)/MAX(ABS(Financials!S44),1)&gt;0.05),FALSE),"⚠","✓"))</f>
        <v/>
      </c>
      <c r="G47">
        <f>IF(NOT(AND(IFERROR('Company_Master'!A44&lt;&gt;"",FALSE),AND(ISNUMBER(Financials!I44),ISNUMBER(Financials!L44),ISNUMBER(Financials!O44)))),"—",IF(IFERROR(AND(ISNUMBER(Financials!I44),ISNUMBER(Financials!L44),ISNUMBER(Financials!O44),Financials!I44&gt;0,ABS(Financials!I44-(Financials!L44+Financials!O44))/Financials!I44&gt;0.01),FALSE),"⚠","✓"))</f>
        <v/>
      </c>
      <c r="H47">
        <f>IF(NOT(AND(IFERROR('Company_Master'!A44&lt;&gt;"",FALSE),AND(ISNUMBER(Financials!E44),ISNUMBER(Financials!F44)))),"—",IF(IFERROR(AND(ISNUMBER(Financials!E44),ISNUMBER(Financials!F44),Financials!E44&lt;Financials!F44),FALSE),"⚠","✓"))</f>
        <v/>
      </c>
      <c r="I47">
        <f>IF(NOT(AND(IFERROR('Company_Master'!A44&lt;&gt;"",FALSE),AND(ISNUMBER(Financials!C44),ISNUMBER(Financials!E44)))),"—",IF(IFERROR(AND(ISNUMBER(Financials!C44),ISNUMBER(Financials!E44),Financials!C44=0,Financials!E44&gt;0),FALSE),"⚠","✓"))</f>
        <v/>
      </c>
      <c r="J47">
        <f>IF(NOT(AND(IFERROR('Company_Master'!A44&lt;&gt;"",FALSE),COUNTIF('Raw_Extract'!A:A,'Company_Master'!A44)&gt;0)),"—",IF(COUNTIFS('Raw_Extract'!A:A,'Company_Master'!A44,'Raw_Extract'!J:J,"Low")&gt;0,"⚠","✓"))</f>
        <v/>
      </c>
      <c r="K47">
        <f>IF(NOT(AND(IFERROR('Company_Master'!A44&lt;&gt;"",FALSE),AND(ISNUMBER(Financials!E44),ISNUMBER(Financials!AP44)))),"—",IF(IFERROR(AND(ISNUMBER(Financials!E44),ISNUMBER(Financials!AP44),Financials!E44&lt;&gt;0,ABS(Financials!E44-Financials!AP44)/ABS(Financials!E44)&gt;0.05),FALSE),"⚠","✓"))</f>
        <v/>
      </c>
      <c r="L47">
        <f>IF(NOT(AND(IFERROR('Company_Master'!A44&lt;&gt;"",FALSE),AND(ISNUMBER(Financials!AR44),ISNUMBER(Financials!S44)))),"—",IF(IFERROR(AND(ISNUMBER(Financials!AR44),ISNUMBER(Financials!S44),Financials!S44&lt;&gt;0,ABS(Financials!AR44-Financials!S44)/MAX(ABS(Financials!S44),1)&gt;0.05),FALSE),"⚠","✓"))</f>
        <v/>
      </c>
      <c r="M47">
        <f>IF(NOT(AND(IFERROR('Company_Master'!A44&lt;&gt;"",FALSE),AND(ISNUMBER(Asset_Operations!BE44),ISNUMBER(Asset_Operations!AR44)))),"—",IF(IFERROR(AND(ISNUMBER(Asset_Operations!BE44),ISNUMBER(Asset_Operations!AR44),ABS(Asset_Operations!BE44-Asset_Operations!AR44)&gt;0.05),FALSE),"⚠","✓"))</f>
        <v/>
      </c>
      <c r="N47">
        <f>IF(NOT(AND(IFERROR('Company_Master'!A44&lt;&gt;"",FALSE),ISNUMBER(Financials!C44))),"—",IF(IFERROR(AND(ISNUMBER(Financials!C44),OR(Financials!C44&lt;50,Financials!C44&gt;200000)),FALSE),"⚠","✓"))</f>
        <v/>
      </c>
      <c r="O47">
        <f>COUNTIF(C47:N47,"⚠")</f>
        <v/>
      </c>
      <c r="P47">
        <f>COUNTIF(C47:N47,"✓")</f>
        <v/>
      </c>
      <c r="Q47">
        <f>IF(NOT(IFERROR('Company_Master'!A44&lt;&gt;"",FALSE)),"",IF(O47&gt;0,"⚠ "&amp;O47&amp;" issue(s) detected",IF(P47=0,"— No data to validate","✓ All "&amp;P47&amp;" checks passed")))</f>
        <v/>
      </c>
    </row>
    <row r="48">
      <c r="A48" t="n">
        <v>44</v>
      </c>
      <c r="B48">
        <f>IFERROR('Company_Master'!A45,"")</f>
        <v/>
      </c>
      <c r="C48">
        <f>IF(NOT(AND(IFERROR('Company_Master'!A45&lt;&gt;"",FALSE),OR(ISNUMBER(Asset_Operations!B45),ISNUMBER(Asset_Operations!C45),ISNUMBER(Asset_Operations!D45)))),"—",IF(IFERROR(AND(ISNUMBER(Asset_Operations!B45),ISNUMBER(Asset_Operations!C45),ISNUMBER(Asset_Operations!D45),Asset_Operations!B45&gt;0,ABS((Asset_Operations!C45+Asset_Operations!D45)-Asset_Operations!B45)/Asset_Operations!B45&gt;0.02),FALSE),"⚠","✓"))</f>
        <v/>
      </c>
      <c r="D48">
        <f>IF(NOT(AND(IFERROR('Company_Master'!A45&lt;&gt;"",FALSE),OR(ISNUMBER(Asset_Operations!B45),ISNUMBER(Asset_Operations!E45),ISNUMBER(Asset_Operations!F45)))),"—",IF(IFERROR(AND(ISNUMBER(Asset_Operations!B45),ISNUMBER(Asset_Operations!E45),ISNUMBER(Asset_Operations!F45),Asset_Operations!B45&gt;0,ABS((Asset_Operations!E45+Asset_Operations!F45)-Asset_Operations!B45)/Asset_Operations!B45&gt;0.02),FALSE),"⚠","✓"))</f>
        <v/>
      </c>
      <c r="E48">
        <f>IF(NOT(AND(IFERROR('Company_Master'!A45&lt;&gt;"",FALSE),ISNUMBER(Asset_Operations!AR45))),"—",IF(IFERROR(AND(ISNUMBER(Asset_Operations!AR45),OR(Asset_Operations!AR45&lt;0.15,Asset_Operations!AR45&gt;0.27)),FALSE),"⚠","✓"))</f>
        <v/>
      </c>
      <c r="F48">
        <f>IF(NOT(AND(IFERROR('Company_Master'!A45&lt;&gt;"",FALSE),AND(ISNUMBER(Financials!Q45),ISNUMBER(Financials!R45)))),"—",IF(IFERROR(AND(ISNUMBER(Financials!Q45),ISNUMBER(Financials!R45),ISNUMBER(Financials!S45),ABS((Financials!R45-Financials!Q45)-Financials!S45)/MAX(ABS(Financials!S45),1)&gt;0.05),FALSE),"⚠","✓"))</f>
        <v/>
      </c>
      <c r="G48">
        <f>IF(NOT(AND(IFERROR('Company_Master'!A45&lt;&gt;"",FALSE),AND(ISNUMBER(Financials!I45),ISNUMBER(Financials!L45),ISNUMBER(Financials!O45)))),"—",IF(IFERROR(AND(ISNUMBER(Financials!I45),ISNUMBER(Financials!L45),ISNUMBER(Financials!O45),Financials!I45&gt;0,ABS(Financials!I45-(Financials!L45+Financials!O45))/Financials!I45&gt;0.01),FALSE),"⚠","✓"))</f>
        <v/>
      </c>
      <c r="H48">
        <f>IF(NOT(AND(IFERROR('Company_Master'!A45&lt;&gt;"",FALSE),AND(ISNUMBER(Financials!E45),ISNUMBER(Financials!F45)))),"—",IF(IFERROR(AND(ISNUMBER(Financials!E45),ISNUMBER(Financials!F45),Financials!E45&lt;Financials!F45),FALSE),"⚠","✓"))</f>
        <v/>
      </c>
      <c r="I48">
        <f>IF(NOT(AND(IFERROR('Company_Master'!A45&lt;&gt;"",FALSE),AND(ISNUMBER(Financials!C45),ISNUMBER(Financials!E45)))),"—",IF(IFERROR(AND(ISNUMBER(Financials!C45),ISNUMBER(Financials!E45),Financials!C45=0,Financials!E45&gt;0),FALSE),"⚠","✓"))</f>
        <v/>
      </c>
      <c r="J48">
        <f>IF(NOT(AND(IFERROR('Company_Master'!A45&lt;&gt;"",FALSE),COUNTIF('Raw_Extract'!A:A,'Company_Master'!A45)&gt;0)),"—",IF(COUNTIFS('Raw_Extract'!A:A,'Company_Master'!A45,'Raw_Extract'!J:J,"Low")&gt;0,"⚠","✓"))</f>
        <v/>
      </c>
      <c r="K48">
        <f>IF(NOT(AND(IFERROR('Company_Master'!A45&lt;&gt;"",FALSE),AND(ISNUMBER(Financials!E45),ISNUMBER(Financials!AP45)))),"—",IF(IFERROR(AND(ISNUMBER(Financials!E45),ISNUMBER(Financials!AP45),Financials!E45&lt;&gt;0,ABS(Financials!E45-Financials!AP45)/ABS(Financials!E45)&gt;0.05),FALSE),"⚠","✓"))</f>
        <v/>
      </c>
      <c r="L48">
        <f>IF(NOT(AND(IFERROR('Company_Master'!A45&lt;&gt;"",FALSE),AND(ISNUMBER(Financials!AR45),ISNUMBER(Financials!S45)))),"—",IF(IFERROR(AND(ISNUMBER(Financials!AR45),ISNUMBER(Financials!S45),Financials!S45&lt;&gt;0,ABS(Financials!AR45-Financials!S45)/MAX(ABS(Financials!S45),1)&gt;0.05),FALSE),"⚠","✓"))</f>
        <v/>
      </c>
      <c r="M48">
        <f>IF(NOT(AND(IFERROR('Company_Master'!A45&lt;&gt;"",FALSE),AND(ISNUMBER(Asset_Operations!BE45),ISNUMBER(Asset_Operations!AR45)))),"—",IF(IFERROR(AND(ISNUMBER(Asset_Operations!BE45),ISNUMBER(Asset_Operations!AR45),ABS(Asset_Operations!BE45-Asset_Operations!AR45)&gt;0.05),FALSE),"⚠","✓"))</f>
        <v/>
      </c>
      <c r="N48">
        <f>IF(NOT(AND(IFERROR('Company_Master'!A45&lt;&gt;"",FALSE),ISNUMBER(Financials!C45))),"—",IF(IFERROR(AND(ISNUMBER(Financials!C45),OR(Financials!C45&lt;50,Financials!C45&gt;200000)),FALSE),"⚠","✓"))</f>
        <v/>
      </c>
      <c r="O48">
        <f>COUNTIF(C48:N48,"⚠")</f>
        <v/>
      </c>
      <c r="P48">
        <f>COUNTIF(C48:N48,"✓")</f>
        <v/>
      </c>
      <c r="Q48">
        <f>IF(NOT(IFERROR('Company_Master'!A45&lt;&gt;"",FALSE)),"",IF(O48&gt;0,"⚠ "&amp;O48&amp;" issue(s) detected",IF(P48=0,"— No data to validate","✓ All "&amp;P48&amp;" checks passed")))</f>
        <v/>
      </c>
    </row>
    <row r="49">
      <c r="A49" t="n">
        <v>45</v>
      </c>
      <c r="B49">
        <f>IFERROR('Company_Master'!A46,"")</f>
        <v/>
      </c>
      <c r="C49">
        <f>IF(NOT(AND(IFERROR('Company_Master'!A46&lt;&gt;"",FALSE),OR(ISNUMBER(Asset_Operations!B46),ISNUMBER(Asset_Operations!C46),ISNUMBER(Asset_Operations!D46)))),"—",IF(IFERROR(AND(ISNUMBER(Asset_Operations!B46),ISNUMBER(Asset_Operations!C46),ISNUMBER(Asset_Operations!D46),Asset_Operations!B46&gt;0,ABS((Asset_Operations!C46+Asset_Operations!D46)-Asset_Operations!B46)/Asset_Operations!B46&gt;0.02),FALSE),"⚠","✓"))</f>
        <v/>
      </c>
      <c r="D49">
        <f>IF(NOT(AND(IFERROR('Company_Master'!A46&lt;&gt;"",FALSE),OR(ISNUMBER(Asset_Operations!B46),ISNUMBER(Asset_Operations!E46),ISNUMBER(Asset_Operations!F46)))),"—",IF(IFERROR(AND(ISNUMBER(Asset_Operations!B46),ISNUMBER(Asset_Operations!E46),ISNUMBER(Asset_Operations!F46),Asset_Operations!B46&gt;0,ABS((Asset_Operations!E46+Asset_Operations!F46)-Asset_Operations!B46)/Asset_Operations!B46&gt;0.02),FALSE),"⚠","✓"))</f>
        <v/>
      </c>
      <c r="E49">
        <f>IF(NOT(AND(IFERROR('Company_Master'!A46&lt;&gt;"",FALSE),ISNUMBER(Asset_Operations!AR46))),"—",IF(IFERROR(AND(ISNUMBER(Asset_Operations!AR46),OR(Asset_Operations!AR46&lt;0.15,Asset_Operations!AR46&gt;0.27)),FALSE),"⚠","✓"))</f>
        <v/>
      </c>
      <c r="F49">
        <f>IF(NOT(AND(IFERROR('Company_Master'!A46&lt;&gt;"",FALSE),AND(ISNUMBER(Financials!Q46),ISNUMBER(Financials!R46)))),"—",IF(IFERROR(AND(ISNUMBER(Financials!Q46),ISNUMBER(Financials!R46),ISNUMBER(Financials!S46),ABS((Financials!R46-Financials!Q46)-Financials!S46)/MAX(ABS(Financials!S46),1)&gt;0.05),FALSE),"⚠","✓"))</f>
        <v/>
      </c>
      <c r="G49">
        <f>IF(NOT(AND(IFERROR('Company_Master'!A46&lt;&gt;"",FALSE),AND(ISNUMBER(Financials!I46),ISNUMBER(Financials!L46),ISNUMBER(Financials!O46)))),"—",IF(IFERROR(AND(ISNUMBER(Financials!I46),ISNUMBER(Financials!L46),ISNUMBER(Financials!O46),Financials!I46&gt;0,ABS(Financials!I46-(Financials!L46+Financials!O46))/Financials!I46&gt;0.01),FALSE),"⚠","✓"))</f>
        <v/>
      </c>
      <c r="H49">
        <f>IF(NOT(AND(IFERROR('Company_Master'!A46&lt;&gt;"",FALSE),AND(ISNUMBER(Financials!E46),ISNUMBER(Financials!F46)))),"—",IF(IFERROR(AND(ISNUMBER(Financials!E46),ISNUMBER(Financials!F46),Financials!E46&lt;Financials!F46),FALSE),"⚠","✓"))</f>
        <v/>
      </c>
      <c r="I49">
        <f>IF(NOT(AND(IFERROR('Company_Master'!A46&lt;&gt;"",FALSE),AND(ISNUMBER(Financials!C46),ISNUMBER(Financials!E46)))),"—",IF(IFERROR(AND(ISNUMBER(Financials!C46),ISNUMBER(Financials!E46),Financials!C46=0,Financials!E46&gt;0),FALSE),"⚠","✓"))</f>
        <v/>
      </c>
      <c r="J49">
        <f>IF(NOT(AND(IFERROR('Company_Master'!A46&lt;&gt;"",FALSE),COUNTIF('Raw_Extract'!A:A,'Company_Master'!A46)&gt;0)),"—",IF(COUNTIFS('Raw_Extract'!A:A,'Company_Master'!A46,'Raw_Extract'!J:J,"Low")&gt;0,"⚠","✓"))</f>
        <v/>
      </c>
      <c r="K49">
        <f>IF(NOT(AND(IFERROR('Company_Master'!A46&lt;&gt;"",FALSE),AND(ISNUMBER(Financials!E46),ISNUMBER(Financials!AP46)))),"—",IF(IFERROR(AND(ISNUMBER(Financials!E46),ISNUMBER(Financials!AP46),Financials!E46&lt;&gt;0,ABS(Financials!E46-Financials!AP46)/ABS(Financials!E46)&gt;0.05),FALSE),"⚠","✓"))</f>
        <v/>
      </c>
      <c r="L49">
        <f>IF(NOT(AND(IFERROR('Company_Master'!A46&lt;&gt;"",FALSE),AND(ISNUMBER(Financials!AR46),ISNUMBER(Financials!S46)))),"—",IF(IFERROR(AND(ISNUMBER(Financials!AR46),ISNUMBER(Financials!S46),Financials!S46&lt;&gt;0,ABS(Financials!AR46-Financials!S46)/MAX(ABS(Financials!S46),1)&gt;0.05),FALSE),"⚠","✓"))</f>
        <v/>
      </c>
      <c r="M49">
        <f>IF(NOT(AND(IFERROR('Company_Master'!A46&lt;&gt;"",FALSE),AND(ISNUMBER(Asset_Operations!BE46),ISNUMBER(Asset_Operations!AR46)))),"—",IF(IFERROR(AND(ISNUMBER(Asset_Operations!BE46),ISNUMBER(Asset_Operations!AR46),ABS(Asset_Operations!BE46-Asset_Operations!AR46)&gt;0.05),FALSE),"⚠","✓"))</f>
        <v/>
      </c>
      <c r="N49">
        <f>IF(NOT(AND(IFERROR('Company_Master'!A46&lt;&gt;"",FALSE),ISNUMBER(Financials!C46))),"—",IF(IFERROR(AND(ISNUMBER(Financials!C46),OR(Financials!C46&lt;50,Financials!C46&gt;200000)),FALSE),"⚠","✓"))</f>
        <v/>
      </c>
      <c r="O49">
        <f>COUNTIF(C49:N49,"⚠")</f>
        <v/>
      </c>
      <c r="P49">
        <f>COUNTIF(C49:N49,"✓")</f>
        <v/>
      </c>
      <c r="Q49">
        <f>IF(NOT(IFERROR('Company_Master'!A46&lt;&gt;"",FALSE)),"",IF(O49&gt;0,"⚠ "&amp;O49&amp;" issue(s) detected",IF(P49=0,"— No data to validate","✓ All "&amp;P49&amp;" checks passed")))</f>
        <v/>
      </c>
    </row>
    <row r="50">
      <c r="A50" t="n">
        <v>46</v>
      </c>
      <c r="B50">
        <f>IFERROR('Company_Master'!A47,"")</f>
        <v/>
      </c>
      <c r="C50">
        <f>IF(NOT(AND(IFERROR('Company_Master'!A47&lt;&gt;"",FALSE),OR(ISNUMBER(Asset_Operations!B47),ISNUMBER(Asset_Operations!C47),ISNUMBER(Asset_Operations!D47)))),"—",IF(IFERROR(AND(ISNUMBER(Asset_Operations!B47),ISNUMBER(Asset_Operations!C47),ISNUMBER(Asset_Operations!D47),Asset_Operations!B47&gt;0,ABS((Asset_Operations!C47+Asset_Operations!D47)-Asset_Operations!B47)/Asset_Operations!B47&gt;0.02),FALSE),"⚠","✓"))</f>
        <v/>
      </c>
      <c r="D50">
        <f>IF(NOT(AND(IFERROR('Company_Master'!A47&lt;&gt;"",FALSE),OR(ISNUMBER(Asset_Operations!B47),ISNUMBER(Asset_Operations!E47),ISNUMBER(Asset_Operations!F47)))),"—",IF(IFERROR(AND(ISNUMBER(Asset_Operations!B47),ISNUMBER(Asset_Operations!E47),ISNUMBER(Asset_Operations!F47),Asset_Operations!B47&gt;0,ABS((Asset_Operations!E47+Asset_Operations!F47)-Asset_Operations!B47)/Asset_Operations!B47&gt;0.02),FALSE),"⚠","✓"))</f>
        <v/>
      </c>
      <c r="E50">
        <f>IF(NOT(AND(IFERROR('Company_Master'!A47&lt;&gt;"",FALSE),ISNUMBER(Asset_Operations!AR47))),"—",IF(IFERROR(AND(ISNUMBER(Asset_Operations!AR47),OR(Asset_Operations!AR47&lt;0.15,Asset_Operations!AR47&gt;0.27)),FALSE),"⚠","✓"))</f>
        <v/>
      </c>
      <c r="F50">
        <f>IF(NOT(AND(IFERROR('Company_Master'!A47&lt;&gt;"",FALSE),AND(ISNUMBER(Financials!Q47),ISNUMBER(Financials!R47)))),"—",IF(IFERROR(AND(ISNUMBER(Financials!Q47),ISNUMBER(Financials!R47),ISNUMBER(Financials!S47),ABS((Financials!R47-Financials!Q47)-Financials!S47)/MAX(ABS(Financials!S47),1)&gt;0.05),FALSE),"⚠","✓"))</f>
        <v/>
      </c>
      <c r="G50">
        <f>IF(NOT(AND(IFERROR('Company_Master'!A47&lt;&gt;"",FALSE),AND(ISNUMBER(Financials!I47),ISNUMBER(Financials!L47),ISNUMBER(Financials!O47)))),"—",IF(IFERROR(AND(ISNUMBER(Financials!I47),ISNUMBER(Financials!L47),ISNUMBER(Financials!O47),Financials!I47&gt;0,ABS(Financials!I47-(Financials!L47+Financials!O47))/Financials!I47&gt;0.01),FALSE),"⚠","✓"))</f>
        <v/>
      </c>
      <c r="H50">
        <f>IF(NOT(AND(IFERROR('Company_Master'!A47&lt;&gt;"",FALSE),AND(ISNUMBER(Financials!E47),ISNUMBER(Financials!F47)))),"—",IF(IFERROR(AND(ISNUMBER(Financials!E47),ISNUMBER(Financials!F47),Financials!E47&lt;Financials!F47),FALSE),"⚠","✓"))</f>
        <v/>
      </c>
      <c r="I50">
        <f>IF(NOT(AND(IFERROR('Company_Master'!A47&lt;&gt;"",FALSE),AND(ISNUMBER(Financials!C47),ISNUMBER(Financials!E47)))),"—",IF(IFERROR(AND(ISNUMBER(Financials!C47),ISNUMBER(Financials!E47),Financials!C47=0,Financials!E47&gt;0),FALSE),"⚠","✓"))</f>
        <v/>
      </c>
      <c r="J50">
        <f>IF(NOT(AND(IFERROR('Company_Master'!A47&lt;&gt;"",FALSE),COUNTIF('Raw_Extract'!A:A,'Company_Master'!A47)&gt;0)),"—",IF(COUNTIFS('Raw_Extract'!A:A,'Company_Master'!A47,'Raw_Extract'!J:J,"Low")&gt;0,"⚠","✓"))</f>
        <v/>
      </c>
      <c r="K50">
        <f>IF(NOT(AND(IFERROR('Company_Master'!A47&lt;&gt;"",FALSE),AND(ISNUMBER(Financials!E47),ISNUMBER(Financials!AP47)))),"—",IF(IFERROR(AND(ISNUMBER(Financials!E47),ISNUMBER(Financials!AP47),Financials!E47&lt;&gt;0,ABS(Financials!E47-Financials!AP47)/ABS(Financials!E47)&gt;0.05),FALSE),"⚠","✓"))</f>
        <v/>
      </c>
      <c r="L50">
        <f>IF(NOT(AND(IFERROR('Company_Master'!A47&lt;&gt;"",FALSE),AND(ISNUMBER(Financials!AR47),ISNUMBER(Financials!S47)))),"—",IF(IFERROR(AND(ISNUMBER(Financials!AR47),ISNUMBER(Financials!S47),Financials!S47&lt;&gt;0,ABS(Financials!AR47-Financials!S47)/MAX(ABS(Financials!S47),1)&gt;0.05),FALSE),"⚠","✓"))</f>
        <v/>
      </c>
      <c r="M50">
        <f>IF(NOT(AND(IFERROR('Company_Master'!A47&lt;&gt;"",FALSE),AND(ISNUMBER(Asset_Operations!BE47),ISNUMBER(Asset_Operations!AR47)))),"—",IF(IFERROR(AND(ISNUMBER(Asset_Operations!BE47),ISNUMBER(Asset_Operations!AR47),ABS(Asset_Operations!BE47-Asset_Operations!AR47)&gt;0.05),FALSE),"⚠","✓"))</f>
        <v/>
      </c>
      <c r="N50">
        <f>IF(NOT(AND(IFERROR('Company_Master'!A47&lt;&gt;"",FALSE),ISNUMBER(Financials!C47))),"—",IF(IFERROR(AND(ISNUMBER(Financials!C47),OR(Financials!C47&lt;50,Financials!C47&gt;200000)),FALSE),"⚠","✓"))</f>
        <v/>
      </c>
      <c r="O50">
        <f>COUNTIF(C50:N50,"⚠")</f>
        <v/>
      </c>
      <c r="P50">
        <f>COUNTIF(C50:N50,"✓")</f>
        <v/>
      </c>
      <c r="Q50">
        <f>IF(NOT(IFERROR('Company_Master'!A47&lt;&gt;"",FALSE)),"",IF(O50&gt;0,"⚠ "&amp;O50&amp;" issue(s) detected",IF(P50=0,"— No data to validate","✓ All "&amp;P50&amp;" checks passed")))</f>
        <v/>
      </c>
    </row>
    <row r="51">
      <c r="A51" t="n">
        <v>47</v>
      </c>
      <c r="B51">
        <f>IFERROR('Company_Master'!A48,"")</f>
        <v/>
      </c>
      <c r="C51">
        <f>IF(NOT(AND(IFERROR('Company_Master'!A48&lt;&gt;"",FALSE),OR(ISNUMBER(Asset_Operations!B48),ISNUMBER(Asset_Operations!C48),ISNUMBER(Asset_Operations!D48)))),"—",IF(IFERROR(AND(ISNUMBER(Asset_Operations!B48),ISNUMBER(Asset_Operations!C48),ISNUMBER(Asset_Operations!D48),Asset_Operations!B48&gt;0,ABS((Asset_Operations!C48+Asset_Operations!D48)-Asset_Operations!B48)/Asset_Operations!B48&gt;0.02),FALSE),"⚠","✓"))</f>
        <v/>
      </c>
      <c r="D51">
        <f>IF(NOT(AND(IFERROR('Company_Master'!A48&lt;&gt;"",FALSE),OR(ISNUMBER(Asset_Operations!B48),ISNUMBER(Asset_Operations!E48),ISNUMBER(Asset_Operations!F48)))),"—",IF(IFERROR(AND(ISNUMBER(Asset_Operations!B48),ISNUMBER(Asset_Operations!E48),ISNUMBER(Asset_Operations!F48),Asset_Operations!B48&gt;0,ABS((Asset_Operations!E48+Asset_Operations!F48)-Asset_Operations!B48)/Asset_Operations!B48&gt;0.02),FALSE),"⚠","✓"))</f>
        <v/>
      </c>
      <c r="E51">
        <f>IF(NOT(AND(IFERROR('Company_Master'!A48&lt;&gt;"",FALSE),ISNUMBER(Asset_Operations!AR48))),"—",IF(IFERROR(AND(ISNUMBER(Asset_Operations!AR48),OR(Asset_Operations!AR48&lt;0.15,Asset_Operations!AR48&gt;0.27)),FALSE),"⚠","✓"))</f>
        <v/>
      </c>
      <c r="F51">
        <f>IF(NOT(AND(IFERROR('Company_Master'!A48&lt;&gt;"",FALSE),AND(ISNUMBER(Financials!Q48),ISNUMBER(Financials!R48)))),"—",IF(IFERROR(AND(ISNUMBER(Financials!Q48),ISNUMBER(Financials!R48),ISNUMBER(Financials!S48),ABS((Financials!R48-Financials!Q48)-Financials!S48)/MAX(ABS(Financials!S48),1)&gt;0.05),FALSE),"⚠","✓"))</f>
        <v/>
      </c>
      <c r="G51">
        <f>IF(NOT(AND(IFERROR('Company_Master'!A48&lt;&gt;"",FALSE),AND(ISNUMBER(Financials!I48),ISNUMBER(Financials!L48),ISNUMBER(Financials!O48)))),"—",IF(IFERROR(AND(ISNUMBER(Financials!I48),ISNUMBER(Financials!L48),ISNUMBER(Financials!O48),Financials!I48&gt;0,ABS(Financials!I48-(Financials!L48+Financials!O48))/Financials!I48&gt;0.01),FALSE),"⚠","✓"))</f>
        <v/>
      </c>
      <c r="H51">
        <f>IF(NOT(AND(IFERROR('Company_Master'!A48&lt;&gt;"",FALSE),AND(ISNUMBER(Financials!E48),ISNUMBER(Financials!F48)))),"—",IF(IFERROR(AND(ISNUMBER(Financials!E48),ISNUMBER(Financials!F48),Financials!E48&lt;Financials!F48),FALSE),"⚠","✓"))</f>
        <v/>
      </c>
      <c r="I51">
        <f>IF(NOT(AND(IFERROR('Company_Master'!A48&lt;&gt;"",FALSE),AND(ISNUMBER(Financials!C48),ISNUMBER(Financials!E48)))),"—",IF(IFERROR(AND(ISNUMBER(Financials!C48),ISNUMBER(Financials!E48),Financials!C48=0,Financials!E48&gt;0),FALSE),"⚠","✓"))</f>
        <v/>
      </c>
      <c r="J51">
        <f>IF(NOT(AND(IFERROR('Company_Master'!A48&lt;&gt;"",FALSE),COUNTIF('Raw_Extract'!A:A,'Company_Master'!A48)&gt;0)),"—",IF(COUNTIFS('Raw_Extract'!A:A,'Company_Master'!A48,'Raw_Extract'!J:J,"Low")&gt;0,"⚠","✓"))</f>
        <v/>
      </c>
      <c r="K51">
        <f>IF(NOT(AND(IFERROR('Company_Master'!A48&lt;&gt;"",FALSE),AND(ISNUMBER(Financials!E48),ISNUMBER(Financials!AP48)))),"—",IF(IFERROR(AND(ISNUMBER(Financials!E48),ISNUMBER(Financials!AP48),Financials!E48&lt;&gt;0,ABS(Financials!E48-Financials!AP48)/ABS(Financials!E48)&gt;0.05),FALSE),"⚠","✓"))</f>
        <v/>
      </c>
      <c r="L51">
        <f>IF(NOT(AND(IFERROR('Company_Master'!A48&lt;&gt;"",FALSE),AND(ISNUMBER(Financials!AR48),ISNUMBER(Financials!S48)))),"—",IF(IFERROR(AND(ISNUMBER(Financials!AR48),ISNUMBER(Financials!S48),Financials!S48&lt;&gt;0,ABS(Financials!AR48-Financials!S48)/MAX(ABS(Financials!S48),1)&gt;0.05),FALSE),"⚠","✓"))</f>
        <v/>
      </c>
      <c r="M51">
        <f>IF(NOT(AND(IFERROR('Company_Master'!A48&lt;&gt;"",FALSE),AND(ISNUMBER(Asset_Operations!BE48),ISNUMBER(Asset_Operations!AR48)))),"—",IF(IFERROR(AND(ISNUMBER(Asset_Operations!BE48),ISNUMBER(Asset_Operations!AR48),ABS(Asset_Operations!BE48-Asset_Operations!AR48)&gt;0.05),FALSE),"⚠","✓"))</f>
        <v/>
      </c>
      <c r="N51">
        <f>IF(NOT(AND(IFERROR('Company_Master'!A48&lt;&gt;"",FALSE),ISNUMBER(Financials!C48))),"—",IF(IFERROR(AND(ISNUMBER(Financials!C48),OR(Financials!C48&lt;50,Financials!C48&gt;200000)),FALSE),"⚠","✓"))</f>
        <v/>
      </c>
      <c r="O51">
        <f>COUNTIF(C51:N51,"⚠")</f>
        <v/>
      </c>
      <c r="P51">
        <f>COUNTIF(C51:N51,"✓")</f>
        <v/>
      </c>
      <c r="Q51">
        <f>IF(NOT(IFERROR('Company_Master'!A48&lt;&gt;"",FALSE)),"",IF(O51&gt;0,"⚠ "&amp;O51&amp;" issue(s) detected",IF(P51=0,"— No data to validate","✓ All "&amp;P51&amp;" checks passed")))</f>
        <v/>
      </c>
    </row>
    <row r="52">
      <c r="A52" t="n">
        <v>48</v>
      </c>
      <c r="B52">
        <f>IFERROR('Company_Master'!A49,"")</f>
        <v/>
      </c>
      <c r="C52">
        <f>IF(NOT(AND(IFERROR('Company_Master'!A49&lt;&gt;"",FALSE),OR(ISNUMBER(Asset_Operations!B49),ISNUMBER(Asset_Operations!C49),ISNUMBER(Asset_Operations!D49)))),"—",IF(IFERROR(AND(ISNUMBER(Asset_Operations!B49),ISNUMBER(Asset_Operations!C49),ISNUMBER(Asset_Operations!D49),Asset_Operations!B49&gt;0,ABS((Asset_Operations!C49+Asset_Operations!D49)-Asset_Operations!B49)/Asset_Operations!B49&gt;0.02),FALSE),"⚠","✓"))</f>
        <v/>
      </c>
      <c r="D52">
        <f>IF(NOT(AND(IFERROR('Company_Master'!A49&lt;&gt;"",FALSE),OR(ISNUMBER(Asset_Operations!B49),ISNUMBER(Asset_Operations!E49),ISNUMBER(Asset_Operations!F49)))),"—",IF(IFERROR(AND(ISNUMBER(Asset_Operations!B49),ISNUMBER(Asset_Operations!E49),ISNUMBER(Asset_Operations!F49),Asset_Operations!B49&gt;0,ABS((Asset_Operations!E49+Asset_Operations!F49)-Asset_Operations!B49)/Asset_Operations!B49&gt;0.02),FALSE),"⚠","✓"))</f>
        <v/>
      </c>
      <c r="E52">
        <f>IF(NOT(AND(IFERROR('Company_Master'!A49&lt;&gt;"",FALSE),ISNUMBER(Asset_Operations!AR49))),"—",IF(IFERROR(AND(ISNUMBER(Asset_Operations!AR49),OR(Asset_Operations!AR49&lt;0.15,Asset_Operations!AR49&gt;0.27)),FALSE),"⚠","✓"))</f>
        <v/>
      </c>
      <c r="F52">
        <f>IF(NOT(AND(IFERROR('Company_Master'!A49&lt;&gt;"",FALSE),AND(ISNUMBER(Financials!Q49),ISNUMBER(Financials!R49)))),"—",IF(IFERROR(AND(ISNUMBER(Financials!Q49),ISNUMBER(Financials!R49),ISNUMBER(Financials!S49),ABS((Financials!R49-Financials!Q49)-Financials!S49)/MAX(ABS(Financials!S49),1)&gt;0.05),FALSE),"⚠","✓"))</f>
        <v/>
      </c>
      <c r="G52">
        <f>IF(NOT(AND(IFERROR('Company_Master'!A49&lt;&gt;"",FALSE),AND(ISNUMBER(Financials!I49),ISNUMBER(Financials!L49),ISNUMBER(Financials!O49)))),"—",IF(IFERROR(AND(ISNUMBER(Financials!I49),ISNUMBER(Financials!L49),ISNUMBER(Financials!O49),Financials!I49&gt;0,ABS(Financials!I49-(Financials!L49+Financials!O49))/Financials!I49&gt;0.01),FALSE),"⚠","✓"))</f>
        <v/>
      </c>
      <c r="H52">
        <f>IF(NOT(AND(IFERROR('Company_Master'!A49&lt;&gt;"",FALSE),AND(ISNUMBER(Financials!E49),ISNUMBER(Financials!F49)))),"—",IF(IFERROR(AND(ISNUMBER(Financials!E49),ISNUMBER(Financials!F49),Financials!E49&lt;Financials!F49),FALSE),"⚠","✓"))</f>
        <v/>
      </c>
      <c r="I52">
        <f>IF(NOT(AND(IFERROR('Company_Master'!A49&lt;&gt;"",FALSE),AND(ISNUMBER(Financials!C49),ISNUMBER(Financials!E49)))),"—",IF(IFERROR(AND(ISNUMBER(Financials!C49),ISNUMBER(Financials!E49),Financials!C49=0,Financials!E49&gt;0),FALSE),"⚠","✓"))</f>
        <v/>
      </c>
      <c r="J52">
        <f>IF(NOT(AND(IFERROR('Company_Master'!A49&lt;&gt;"",FALSE),COUNTIF('Raw_Extract'!A:A,'Company_Master'!A49)&gt;0)),"—",IF(COUNTIFS('Raw_Extract'!A:A,'Company_Master'!A49,'Raw_Extract'!J:J,"Low")&gt;0,"⚠","✓"))</f>
        <v/>
      </c>
      <c r="K52">
        <f>IF(NOT(AND(IFERROR('Company_Master'!A49&lt;&gt;"",FALSE),AND(ISNUMBER(Financials!E49),ISNUMBER(Financials!AP49)))),"—",IF(IFERROR(AND(ISNUMBER(Financials!E49),ISNUMBER(Financials!AP49),Financials!E49&lt;&gt;0,ABS(Financials!E49-Financials!AP49)/ABS(Financials!E49)&gt;0.05),FALSE),"⚠","✓"))</f>
        <v/>
      </c>
      <c r="L52">
        <f>IF(NOT(AND(IFERROR('Company_Master'!A49&lt;&gt;"",FALSE),AND(ISNUMBER(Financials!AR49),ISNUMBER(Financials!S49)))),"—",IF(IFERROR(AND(ISNUMBER(Financials!AR49),ISNUMBER(Financials!S49),Financials!S49&lt;&gt;0,ABS(Financials!AR49-Financials!S49)/MAX(ABS(Financials!S49),1)&gt;0.05),FALSE),"⚠","✓"))</f>
        <v/>
      </c>
      <c r="M52">
        <f>IF(NOT(AND(IFERROR('Company_Master'!A49&lt;&gt;"",FALSE),AND(ISNUMBER(Asset_Operations!BE49),ISNUMBER(Asset_Operations!AR49)))),"—",IF(IFERROR(AND(ISNUMBER(Asset_Operations!BE49),ISNUMBER(Asset_Operations!AR49),ABS(Asset_Operations!BE49-Asset_Operations!AR49)&gt;0.05),FALSE),"⚠","✓"))</f>
        <v/>
      </c>
      <c r="N52">
        <f>IF(NOT(AND(IFERROR('Company_Master'!A49&lt;&gt;"",FALSE),ISNUMBER(Financials!C49))),"—",IF(IFERROR(AND(ISNUMBER(Financials!C49),OR(Financials!C49&lt;50,Financials!C49&gt;200000)),FALSE),"⚠","✓"))</f>
        <v/>
      </c>
      <c r="O52">
        <f>COUNTIF(C52:N52,"⚠")</f>
        <v/>
      </c>
      <c r="P52">
        <f>COUNTIF(C52:N52,"✓")</f>
        <v/>
      </c>
      <c r="Q52">
        <f>IF(NOT(IFERROR('Company_Master'!A49&lt;&gt;"",FALSE)),"",IF(O52&gt;0,"⚠ "&amp;O52&amp;" issue(s) detected",IF(P52=0,"— No data to validate","✓ All "&amp;P52&amp;" checks passed")))</f>
        <v/>
      </c>
    </row>
    <row r="53">
      <c r="A53" t="n">
        <v>49</v>
      </c>
      <c r="B53">
        <f>IFERROR('Company_Master'!A50,"")</f>
        <v/>
      </c>
      <c r="C53">
        <f>IF(NOT(AND(IFERROR('Company_Master'!A50&lt;&gt;"",FALSE),OR(ISNUMBER(Asset_Operations!B50),ISNUMBER(Asset_Operations!C50),ISNUMBER(Asset_Operations!D50)))),"—",IF(IFERROR(AND(ISNUMBER(Asset_Operations!B50),ISNUMBER(Asset_Operations!C50),ISNUMBER(Asset_Operations!D50),Asset_Operations!B50&gt;0,ABS((Asset_Operations!C50+Asset_Operations!D50)-Asset_Operations!B50)/Asset_Operations!B50&gt;0.02),FALSE),"⚠","✓"))</f>
        <v/>
      </c>
      <c r="D53">
        <f>IF(NOT(AND(IFERROR('Company_Master'!A50&lt;&gt;"",FALSE),OR(ISNUMBER(Asset_Operations!B50),ISNUMBER(Asset_Operations!E50),ISNUMBER(Asset_Operations!F50)))),"—",IF(IFERROR(AND(ISNUMBER(Asset_Operations!B50),ISNUMBER(Asset_Operations!E50),ISNUMBER(Asset_Operations!F50),Asset_Operations!B50&gt;0,ABS((Asset_Operations!E50+Asset_Operations!F50)-Asset_Operations!B50)/Asset_Operations!B50&gt;0.02),FALSE),"⚠","✓"))</f>
        <v/>
      </c>
      <c r="E53">
        <f>IF(NOT(AND(IFERROR('Company_Master'!A50&lt;&gt;"",FALSE),ISNUMBER(Asset_Operations!AR50))),"—",IF(IFERROR(AND(ISNUMBER(Asset_Operations!AR50),OR(Asset_Operations!AR50&lt;0.15,Asset_Operations!AR50&gt;0.27)),FALSE),"⚠","✓"))</f>
        <v/>
      </c>
      <c r="F53">
        <f>IF(NOT(AND(IFERROR('Company_Master'!A50&lt;&gt;"",FALSE),AND(ISNUMBER(Financials!Q50),ISNUMBER(Financials!R50)))),"—",IF(IFERROR(AND(ISNUMBER(Financials!Q50),ISNUMBER(Financials!R50),ISNUMBER(Financials!S50),ABS((Financials!R50-Financials!Q50)-Financials!S50)/MAX(ABS(Financials!S50),1)&gt;0.05),FALSE),"⚠","✓"))</f>
        <v/>
      </c>
      <c r="G53">
        <f>IF(NOT(AND(IFERROR('Company_Master'!A50&lt;&gt;"",FALSE),AND(ISNUMBER(Financials!I50),ISNUMBER(Financials!L50),ISNUMBER(Financials!O50)))),"—",IF(IFERROR(AND(ISNUMBER(Financials!I50),ISNUMBER(Financials!L50),ISNUMBER(Financials!O50),Financials!I50&gt;0,ABS(Financials!I50-(Financials!L50+Financials!O50))/Financials!I50&gt;0.01),FALSE),"⚠","✓"))</f>
        <v/>
      </c>
      <c r="H53">
        <f>IF(NOT(AND(IFERROR('Company_Master'!A50&lt;&gt;"",FALSE),AND(ISNUMBER(Financials!E50),ISNUMBER(Financials!F50)))),"—",IF(IFERROR(AND(ISNUMBER(Financials!E50),ISNUMBER(Financials!F50),Financials!E50&lt;Financials!F50),FALSE),"⚠","✓"))</f>
        <v/>
      </c>
      <c r="I53">
        <f>IF(NOT(AND(IFERROR('Company_Master'!A50&lt;&gt;"",FALSE),AND(ISNUMBER(Financials!C50),ISNUMBER(Financials!E50)))),"—",IF(IFERROR(AND(ISNUMBER(Financials!C50),ISNUMBER(Financials!E50),Financials!C50=0,Financials!E50&gt;0),FALSE),"⚠","✓"))</f>
        <v/>
      </c>
      <c r="J53">
        <f>IF(NOT(AND(IFERROR('Company_Master'!A50&lt;&gt;"",FALSE),COUNTIF('Raw_Extract'!A:A,'Company_Master'!A50)&gt;0)),"—",IF(COUNTIFS('Raw_Extract'!A:A,'Company_Master'!A50,'Raw_Extract'!J:J,"Low")&gt;0,"⚠","✓"))</f>
        <v/>
      </c>
      <c r="K53">
        <f>IF(NOT(AND(IFERROR('Company_Master'!A50&lt;&gt;"",FALSE),AND(ISNUMBER(Financials!E50),ISNUMBER(Financials!AP50)))),"—",IF(IFERROR(AND(ISNUMBER(Financials!E50),ISNUMBER(Financials!AP50),Financials!E50&lt;&gt;0,ABS(Financials!E50-Financials!AP50)/ABS(Financials!E50)&gt;0.05),FALSE),"⚠","✓"))</f>
        <v/>
      </c>
      <c r="L53">
        <f>IF(NOT(AND(IFERROR('Company_Master'!A50&lt;&gt;"",FALSE),AND(ISNUMBER(Financials!AR50),ISNUMBER(Financials!S50)))),"—",IF(IFERROR(AND(ISNUMBER(Financials!AR50),ISNUMBER(Financials!S50),Financials!S50&lt;&gt;0,ABS(Financials!AR50-Financials!S50)/MAX(ABS(Financials!S50),1)&gt;0.05),FALSE),"⚠","✓"))</f>
        <v/>
      </c>
      <c r="M53">
        <f>IF(NOT(AND(IFERROR('Company_Master'!A50&lt;&gt;"",FALSE),AND(ISNUMBER(Asset_Operations!BE50),ISNUMBER(Asset_Operations!AR50)))),"—",IF(IFERROR(AND(ISNUMBER(Asset_Operations!BE50),ISNUMBER(Asset_Operations!AR50),ABS(Asset_Operations!BE50-Asset_Operations!AR50)&gt;0.05),FALSE),"⚠","✓"))</f>
        <v/>
      </c>
      <c r="N53">
        <f>IF(NOT(AND(IFERROR('Company_Master'!A50&lt;&gt;"",FALSE),ISNUMBER(Financials!C50))),"—",IF(IFERROR(AND(ISNUMBER(Financials!C50),OR(Financials!C50&lt;50,Financials!C50&gt;200000)),FALSE),"⚠","✓"))</f>
        <v/>
      </c>
      <c r="O53">
        <f>COUNTIF(C53:N53,"⚠")</f>
        <v/>
      </c>
      <c r="P53">
        <f>COUNTIF(C53:N53,"✓")</f>
        <v/>
      </c>
      <c r="Q53">
        <f>IF(NOT(IFERROR('Company_Master'!A50&lt;&gt;"",FALSE)),"",IF(O53&gt;0,"⚠ "&amp;O53&amp;" issue(s) detected",IF(P53=0,"— No data to validate","✓ All "&amp;P53&amp;" checks passed")))</f>
        <v/>
      </c>
    </row>
    <row r="54">
      <c r="A54" t="n">
        <v>50</v>
      </c>
      <c r="B54">
        <f>IFERROR('Company_Master'!A51,"")</f>
        <v/>
      </c>
      <c r="C54">
        <f>IF(NOT(AND(IFERROR('Company_Master'!A51&lt;&gt;"",FALSE),OR(ISNUMBER(Asset_Operations!B51),ISNUMBER(Asset_Operations!C51),ISNUMBER(Asset_Operations!D51)))),"—",IF(IFERROR(AND(ISNUMBER(Asset_Operations!B51),ISNUMBER(Asset_Operations!C51),ISNUMBER(Asset_Operations!D51),Asset_Operations!B51&gt;0,ABS((Asset_Operations!C51+Asset_Operations!D51)-Asset_Operations!B51)/Asset_Operations!B51&gt;0.02),FALSE),"⚠","✓"))</f>
        <v/>
      </c>
      <c r="D54">
        <f>IF(NOT(AND(IFERROR('Company_Master'!A51&lt;&gt;"",FALSE),OR(ISNUMBER(Asset_Operations!B51),ISNUMBER(Asset_Operations!E51),ISNUMBER(Asset_Operations!F51)))),"—",IF(IFERROR(AND(ISNUMBER(Asset_Operations!B51),ISNUMBER(Asset_Operations!E51),ISNUMBER(Asset_Operations!F51),Asset_Operations!B51&gt;0,ABS((Asset_Operations!E51+Asset_Operations!F51)-Asset_Operations!B51)/Asset_Operations!B51&gt;0.02),FALSE),"⚠","✓"))</f>
        <v/>
      </c>
      <c r="E54">
        <f>IF(NOT(AND(IFERROR('Company_Master'!A51&lt;&gt;"",FALSE),ISNUMBER(Asset_Operations!AR51))),"—",IF(IFERROR(AND(ISNUMBER(Asset_Operations!AR51),OR(Asset_Operations!AR51&lt;0.15,Asset_Operations!AR51&gt;0.27)),FALSE),"⚠","✓"))</f>
        <v/>
      </c>
      <c r="F54">
        <f>IF(NOT(AND(IFERROR('Company_Master'!A51&lt;&gt;"",FALSE),AND(ISNUMBER(Financials!Q51),ISNUMBER(Financials!R51)))),"—",IF(IFERROR(AND(ISNUMBER(Financials!Q51),ISNUMBER(Financials!R51),ISNUMBER(Financials!S51),ABS((Financials!R51-Financials!Q51)-Financials!S51)/MAX(ABS(Financials!S51),1)&gt;0.05),FALSE),"⚠","✓"))</f>
        <v/>
      </c>
      <c r="G54">
        <f>IF(NOT(AND(IFERROR('Company_Master'!A51&lt;&gt;"",FALSE),AND(ISNUMBER(Financials!I51),ISNUMBER(Financials!L51),ISNUMBER(Financials!O51)))),"—",IF(IFERROR(AND(ISNUMBER(Financials!I51),ISNUMBER(Financials!L51),ISNUMBER(Financials!O51),Financials!I51&gt;0,ABS(Financials!I51-(Financials!L51+Financials!O51))/Financials!I51&gt;0.01),FALSE),"⚠","✓"))</f>
        <v/>
      </c>
      <c r="H54">
        <f>IF(NOT(AND(IFERROR('Company_Master'!A51&lt;&gt;"",FALSE),AND(ISNUMBER(Financials!E51),ISNUMBER(Financials!F51)))),"—",IF(IFERROR(AND(ISNUMBER(Financials!E51),ISNUMBER(Financials!F51),Financials!E51&lt;Financials!F51),FALSE),"⚠","✓"))</f>
        <v/>
      </c>
      <c r="I54">
        <f>IF(NOT(AND(IFERROR('Company_Master'!A51&lt;&gt;"",FALSE),AND(ISNUMBER(Financials!C51),ISNUMBER(Financials!E51)))),"—",IF(IFERROR(AND(ISNUMBER(Financials!C51),ISNUMBER(Financials!E51),Financials!C51=0,Financials!E51&gt;0),FALSE),"⚠","✓"))</f>
        <v/>
      </c>
      <c r="J54">
        <f>IF(NOT(AND(IFERROR('Company_Master'!A51&lt;&gt;"",FALSE),COUNTIF('Raw_Extract'!A:A,'Company_Master'!A51)&gt;0)),"—",IF(COUNTIFS('Raw_Extract'!A:A,'Company_Master'!A51,'Raw_Extract'!J:J,"Low")&gt;0,"⚠","✓"))</f>
        <v/>
      </c>
      <c r="K54">
        <f>IF(NOT(AND(IFERROR('Company_Master'!A51&lt;&gt;"",FALSE),AND(ISNUMBER(Financials!E51),ISNUMBER(Financials!AP51)))),"—",IF(IFERROR(AND(ISNUMBER(Financials!E51),ISNUMBER(Financials!AP51),Financials!E51&lt;&gt;0,ABS(Financials!E51-Financials!AP51)/ABS(Financials!E51)&gt;0.05),FALSE),"⚠","✓"))</f>
        <v/>
      </c>
      <c r="L54">
        <f>IF(NOT(AND(IFERROR('Company_Master'!A51&lt;&gt;"",FALSE),AND(ISNUMBER(Financials!AR51),ISNUMBER(Financials!S51)))),"—",IF(IFERROR(AND(ISNUMBER(Financials!AR51),ISNUMBER(Financials!S51),Financials!S51&lt;&gt;0,ABS(Financials!AR51-Financials!S51)/MAX(ABS(Financials!S51),1)&gt;0.05),FALSE),"⚠","✓"))</f>
        <v/>
      </c>
      <c r="M54">
        <f>IF(NOT(AND(IFERROR('Company_Master'!A51&lt;&gt;"",FALSE),AND(ISNUMBER(Asset_Operations!BE51),ISNUMBER(Asset_Operations!AR51)))),"—",IF(IFERROR(AND(ISNUMBER(Asset_Operations!BE51),ISNUMBER(Asset_Operations!AR51),ABS(Asset_Operations!BE51-Asset_Operations!AR51)&gt;0.05),FALSE),"⚠","✓"))</f>
        <v/>
      </c>
      <c r="N54">
        <f>IF(NOT(AND(IFERROR('Company_Master'!A51&lt;&gt;"",FALSE),ISNUMBER(Financials!C51))),"—",IF(IFERROR(AND(ISNUMBER(Financials!C51),OR(Financials!C51&lt;50,Financials!C51&gt;200000)),FALSE),"⚠","✓"))</f>
        <v/>
      </c>
      <c r="O54">
        <f>COUNTIF(C54:N54,"⚠")</f>
        <v/>
      </c>
      <c r="P54">
        <f>COUNTIF(C54:N54,"✓")</f>
        <v/>
      </c>
      <c r="Q54">
        <f>IF(NOT(IFERROR('Company_Master'!A51&lt;&gt;"",FALSE)),"",IF(O54&gt;0,"⚠ "&amp;O54&amp;" issue(s) detected",IF(P54=0,"— No data to validate","✓ All "&amp;P54&amp;" checks passed")))</f>
        <v/>
      </c>
    </row>
    <row r="55">
      <c r="A55" t="n">
        <v>51</v>
      </c>
      <c r="B55">
        <f>IFERROR('Company_Master'!A52,"")</f>
        <v/>
      </c>
      <c r="C55">
        <f>IF(NOT(AND(IFERROR('Company_Master'!A52&lt;&gt;"",FALSE),OR(ISNUMBER(Asset_Operations!B52),ISNUMBER(Asset_Operations!C52),ISNUMBER(Asset_Operations!D52)))),"—",IF(IFERROR(AND(ISNUMBER(Asset_Operations!B52),ISNUMBER(Asset_Operations!C52),ISNUMBER(Asset_Operations!D52),Asset_Operations!B52&gt;0,ABS((Asset_Operations!C52+Asset_Operations!D52)-Asset_Operations!B52)/Asset_Operations!B52&gt;0.02),FALSE),"⚠","✓"))</f>
        <v/>
      </c>
      <c r="D55">
        <f>IF(NOT(AND(IFERROR('Company_Master'!A52&lt;&gt;"",FALSE),OR(ISNUMBER(Asset_Operations!B52),ISNUMBER(Asset_Operations!E52),ISNUMBER(Asset_Operations!F52)))),"—",IF(IFERROR(AND(ISNUMBER(Asset_Operations!B52),ISNUMBER(Asset_Operations!E52),ISNUMBER(Asset_Operations!F52),Asset_Operations!B52&gt;0,ABS((Asset_Operations!E52+Asset_Operations!F52)-Asset_Operations!B52)/Asset_Operations!B52&gt;0.02),FALSE),"⚠","✓"))</f>
        <v/>
      </c>
      <c r="E55">
        <f>IF(NOT(AND(IFERROR('Company_Master'!A52&lt;&gt;"",FALSE),ISNUMBER(Asset_Operations!AR52))),"—",IF(IFERROR(AND(ISNUMBER(Asset_Operations!AR52),OR(Asset_Operations!AR52&lt;0.15,Asset_Operations!AR52&gt;0.27)),FALSE),"⚠","✓"))</f>
        <v/>
      </c>
      <c r="F55">
        <f>IF(NOT(AND(IFERROR('Company_Master'!A52&lt;&gt;"",FALSE),AND(ISNUMBER(Financials!Q52),ISNUMBER(Financials!R52)))),"—",IF(IFERROR(AND(ISNUMBER(Financials!Q52),ISNUMBER(Financials!R52),ISNUMBER(Financials!S52),ABS((Financials!R52-Financials!Q52)-Financials!S52)/MAX(ABS(Financials!S52),1)&gt;0.05),FALSE),"⚠","✓"))</f>
        <v/>
      </c>
      <c r="G55">
        <f>IF(NOT(AND(IFERROR('Company_Master'!A52&lt;&gt;"",FALSE),AND(ISNUMBER(Financials!I52),ISNUMBER(Financials!L52),ISNUMBER(Financials!O52)))),"—",IF(IFERROR(AND(ISNUMBER(Financials!I52),ISNUMBER(Financials!L52),ISNUMBER(Financials!O52),Financials!I52&gt;0,ABS(Financials!I52-(Financials!L52+Financials!O52))/Financials!I52&gt;0.01),FALSE),"⚠","✓"))</f>
        <v/>
      </c>
      <c r="H55">
        <f>IF(NOT(AND(IFERROR('Company_Master'!A52&lt;&gt;"",FALSE),AND(ISNUMBER(Financials!E52),ISNUMBER(Financials!F52)))),"—",IF(IFERROR(AND(ISNUMBER(Financials!E52),ISNUMBER(Financials!F52),Financials!E52&lt;Financials!F52),FALSE),"⚠","✓"))</f>
        <v/>
      </c>
      <c r="I55">
        <f>IF(NOT(AND(IFERROR('Company_Master'!A52&lt;&gt;"",FALSE),AND(ISNUMBER(Financials!C52),ISNUMBER(Financials!E52)))),"—",IF(IFERROR(AND(ISNUMBER(Financials!C52),ISNUMBER(Financials!E52),Financials!C52=0,Financials!E52&gt;0),FALSE),"⚠","✓"))</f>
        <v/>
      </c>
      <c r="J55">
        <f>IF(NOT(AND(IFERROR('Company_Master'!A52&lt;&gt;"",FALSE),COUNTIF('Raw_Extract'!A:A,'Company_Master'!A52)&gt;0)),"—",IF(COUNTIFS('Raw_Extract'!A:A,'Company_Master'!A52,'Raw_Extract'!J:J,"Low")&gt;0,"⚠","✓"))</f>
        <v/>
      </c>
      <c r="K55">
        <f>IF(NOT(AND(IFERROR('Company_Master'!A52&lt;&gt;"",FALSE),AND(ISNUMBER(Financials!E52),ISNUMBER(Financials!AP52)))),"—",IF(IFERROR(AND(ISNUMBER(Financials!E52),ISNUMBER(Financials!AP52),Financials!E52&lt;&gt;0,ABS(Financials!E52-Financials!AP52)/ABS(Financials!E52)&gt;0.05),FALSE),"⚠","✓"))</f>
        <v/>
      </c>
      <c r="L55">
        <f>IF(NOT(AND(IFERROR('Company_Master'!A52&lt;&gt;"",FALSE),AND(ISNUMBER(Financials!AR52),ISNUMBER(Financials!S52)))),"—",IF(IFERROR(AND(ISNUMBER(Financials!AR52),ISNUMBER(Financials!S52),Financials!S52&lt;&gt;0,ABS(Financials!AR52-Financials!S52)/MAX(ABS(Financials!S52),1)&gt;0.05),FALSE),"⚠","✓"))</f>
        <v/>
      </c>
      <c r="M55">
        <f>IF(NOT(AND(IFERROR('Company_Master'!A52&lt;&gt;"",FALSE),AND(ISNUMBER(Asset_Operations!BE52),ISNUMBER(Asset_Operations!AR52)))),"—",IF(IFERROR(AND(ISNUMBER(Asset_Operations!BE52),ISNUMBER(Asset_Operations!AR52),ABS(Asset_Operations!BE52-Asset_Operations!AR52)&gt;0.05),FALSE),"⚠","✓"))</f>
        <v/>
      </c>
      <c r="N55">
        <f>IF(NOT(AND(IFERROR('Company_Master'!A52&lt;&gt;"",FALSE),ISNUMBER(Financials!C52))),"—",IF(IFERROR(AND(ISNUMBER(Financials!C52),OR(Financials!C52&lt;50,Financials!C52&gt;200000)),FALSE),"⚠","✓"))</f>
        <v/>
      </c>
      <c r="O55">
        <f>COUNTIF(C55:N55,"⚠")</f>
        <v/>
      </c>
      <c r="P55">
        <f>COUNTIF(C55:N55,"✓")</f>
        <v/>
      </c>
      <c r="Q55">
        <f>IF(NOT(IFERROR('Company_Master'!A52&lt;&gt;"",FALSE)),"",IF(O55&gt;0,"⚠ "&amp;O55&amp;" issue(s) detected",IF(P55=0,"— No data to validate","✓ All "&amp;P55&amp;" checks passed")))</f>
        <v/>
      </c>
    </row>
    <row r="56">
      <c r="A56" t="n">
        <v>52</v>
      </c>
      <c r="B56">
        <f>IFERROR('Company_Master'!A53,"")</f>
        <v/>
      </c>
      <c r="C56">
        <f>IF(NOT(AND(IFERROR('Company_Master'!A53&lt;&gt;"",FALSE),OR(ISNUMBER(Asset_Operations!B53),ISNUMBER(Asset_Operations!C53),ISNUMBER(Asset_Operations!D53)))),"—",IF(IFERROR(AND(ISNUMBER(Asset_Operations!B53),ISNUMBER(Asset_Operations!C53),ISNUMBER(Asset_Operations!D53),Asset_Operations!B53&gt;0,ABS((Asset_Operations!C53+Asset_Operations!D53)-Asset_Operations!B53)/Asset_Operations!B53&gt;0.02),FALSE),"⚠","✓"))</f>
        <v/>
      </c>
      <c r="D56">
        <f>IF(NOT(AND(IFERROR('Company_Master'!A53&lt;&gt;"",FALSE),OR(ISNUMBER(Asset_Operations!B53),ISNUMBER(Asset_Operations!E53),ISNUMBER(Asset_Operations!F53)))),"—",IF(IFERROR(AND(ISNUMBER(Asset_Operations!B53),ISNUMBER(Asset_Operations!E53),ISNUMBER(Asset_Operations!F53),Asset_Operations!B53&gt;0,ABS((Asset_Operations!E53+Asset_Operations!F53)-Asset_Operations!B53)/Asset_Operations!B53&gt;0.02),FALSE),"⚠","✓"))</f>
        <v/>
      </c>
      <c r="E56">
        <f>IF(NOT(AND(IFERROR('Company_Master'!A53&lt;&gt;"",FALSE),ISNUMBER(Asset_Operations!AR53))),"—",IF(IFERROR(AND(ISNUMBER(Asset_Operations!AR53),OR(Asset_Operations!AR53&lt;0.15,Asset_Operations!AR53&gt;0.27)),FALSE),"⚠","✓"))</f>
        <v/>
      </c>
      <c r="F56">
        <f>IF(NOT(AND(IFERROR('Company_Master'!A53&lt;&gt;"",FALSE),AND(ISNUMBER(Financials!Q53),ISNUMBER(Financials!R53)))),"—",IF(IFERROR(AND(ISNUMBER(Financials!Q53),ISNUMBER(Financials!R53),ISNUMBER(Financials!S53),ABS((Financials!R53-Financials!Q53)-Financials!S53)/MAX(ABS(Financials!S53),1)&gt;0.05),FALSE),"⚠","✓"))</f>
        <v/>
      </c>
      <c r="G56">
        <f>IF(NOT(AND(IFERROR('Company_Master'!A53&lt;&gt;"",FALSE),AND(ISNUMBER(Financials!I53),ISNUMBER(Financials!L53),ISNUMBER(Financials!O53)))),"—",IF(IFERROR(AND(ISNUMBER(Financials!I53),ISNUMBER(Financials!L53),ISNUMBER(Financials!O53),Financials!I53&gt;0,ABS(Financials!I53-(Financials!L53+Financials!O53))/Financials!I53&gt;0.01),FALSE),"⚠","✓"))</f>
        <v/>
      </c>
      <c r="H56">
        <f>IF(NOT(AND(IFERROR('Company_Master'!A53&lt;&gt;"",FALSE),AND(ISNUMBER(Financials!E53),ISNUMBER(Financials!F53)))),"—",IF(IFERROR(AND(ISNUMBER(Financials!E53),ISNUMBER(Financials!F53),Financials!E53&lt;Financials!F53),FALSE),"⚠","✓"))</f>
        <v/>
      </c>
      <c r="I56">
        <f>IF(NOT(AND(IFERROR('Company_Master'!A53&lt;&gt;"",FALSE),AND(ISNUMBER(Financials!C53),ISNUMBER(Financials!E53)))),"—",IF(IFERROR(AND(ISNUMBER(Financials!C53),ISNUMBER(Financials!E53),Financials!C53=0,Financials!E53&gt;0),FALSE),"⚠","✓"))</f>
        <v/>
      </c>
      <c r="J56">
        <f>IF(NOT(AND(IFERROR('Company_Master'!A53&lt;&gt;"",FALSE),COUNTIF('Raw_Extract'!A:A,'Company_Master'!A53)&gt;0)),"—",IF(COUNTIFS('Raw_Extract'!A:A,'Company_Master'!A53,'Raw_Extract'!J:J,"Low")&gt;0,"⚠","✓"))</f>
        <v/>
      </c>
      <c r="K56">
        <f>IF(NOT(AND(IFERROR('Company_Master'!A53&lt;&gt;"",FALSE),AND(ISNUMBER(Financials!E53),ISNUMBER(Financials!AP53)))),"—",IF(IFERROR(AND(ISNUMBER(Financials!E53),ISNUMBER(Financials!AP53),Financials!E53&lt;&gt;0,ABS(Financials!E53-Financials!AP53)/ABS(Financials!E53)&gt;0.05),FALSE),"⚠","✓"))</f>
        <v/>
      </c>
      <c r="L56">
        <f>IF(NOT(AND(IFERROR('Company_Master'!A53&lt;&gt;"",FALSE),AND(ISNUMBER(Financials!AR53),ISNUMBER(Financials!S53)))),"—",IF(IFERROR(AND(ISNUMBER(Financials!AR53),ISNUMBER(Financials!S53),Financials!S53&lt;&gt;0,ABS(Financials!AR53-Financials!S53)/MAX(ABS(Financials!S53),1)&gt;0.05),FALSE),"⚠","✓"))</f>
        <v/>
      </c>
      <c r="M56">
        <f>IF(NOT(AND(IFERROR('Company_Master'!A53&lt;&gt;"",FALSE),AND(ISNUMBER(Asset_Operations!BE53),ISNUMBER(Asset_Operations!AR53)))),"—",IF(IFERROR(AND(ISNUMBER(Asset_Operations!BE53),ISNUMBER(Asset_Operations!AR53),ABS(Asset_Operations!BE53-Asset_Operations!AR53)&gt;0.05),FALSE),"⚠","✓"))</f>
        <v/>
      </c>
      <c r="N56">
        <f>IF(NOT(AND(IFERROR('Company_Master'!A53&lt;&gt;"",FALSE),ISNUMBER(Financials!C53))),"—",IF(IFERROR(AND(ISNUMBER(Financials!C53),OR(Financials!C53&lt;50,Financials!C53&gt;200000)),FALSE),"⚠","✓"))</f>
        <v/>
      </c>
      <c r="O56">
        <f>COUNTIF(C56:N56,"⚠")</f>
        <v/>
      </c>
      <c r="P56">
        <f>COUNTIF(C56:N56,"✓")</f>
        <v/>
      </c>
      <c r="Q56">
        <f>IF(NOT(IFERROR('Company_Master'!A53&lt;&gt;"",FALSE)),"",IF(O56&gt;0,"⚠ "&amp;O56&amp;" issue(s) detected",IF(P56=0,"— No data to validate","✓ All "&amp;P56&amp;" checks passed")))</f>
        <v/>
      </c>
    </row>
    <row r="57">
      <c r="A57" t="n">
        <v>53</v>
      </c>
      <c r="B57">
        <f>IFERROR('Company_Master'!A54,"")</f>
        <v/>
      </c>
      <c r="C57">
        <f>IF(NOT(AND(IFERROR('Company_Master'!A54&lt;&gt;"",FALSE),OR(ISNUMBER(Asset_Operations!B54),ISNUMBER(Asset_Operations!C54),ISNUMBER(Asset_Operations!D54)))),"—",IF(IFERROR(AND(ISNUMBER(Asset_Operations!B54),ISNUMBER(Asset_Operations!C54),ISNUMBER(Asset_Operations!D54),Asset_Operations!B54&gt;0,ABS((Asset_Operations!C54+Asset_Operations!D54)-Asset_Operations!B54)/Asset_Operations!B54&gt;0.02),FALSE),"⚠","✓"))</f>
        <v/>
      </c>
      <c r="D57">
        <f>IF(NOT(AND(IFERROR('Company_Master'!A54&lt;&gt;"",FALSE),OR(ISNUMBER(Asset_Operations!B54),ISNUMBER(Asset_Operations!E54),ISNUMBER(Asset_Operations!F54)))),"—",IF(IFERROR(AND(ISNUMBER(Asset_Operations!B54),ISNUMBER(Asset_Operations!E54),ISNUMBER(Asset_Operations!F54),Asset_Operations!B54&gt;0,ABS((Asset_Operations!E54+Asset_Operations!F54)-Asset_Operations!B54)/Asset_Operations!B54&gt;0.02),FALSE),"⚠","✓"))</f>
        <v/>
      </c>
      <c r="E57">
        <f>IF(NOT(AND(IFERROR('Company_Master'!A54&lt;&gt;"",FALSE),ISNUMBER(Asset_Operations!AR54))),"—",IF(IFERROR(AND(ISNUMBER(Asset_Operations!AR54),OR(Asset_Operations!AR54&lt;0.15,Asset_Operations!AR54&gt;0.27)),FALSE),"⚠","✓"))</f>
        <v/>
      </c>
      <c r="F57">
        <f>IF(NOT(AND(IFERROR('Company_Master'!A54&lt;&gt;"",FALSE),AND(ISNUMBER(Financials!Q54),ISNUMBER(Financials!R54)))),"—",IF(IFERROR(AND(ISNUMBER(Financials!Q54),ISNUMBER(Financials!R54),ISNUMBER(Financials!S54),ABS((Financials!R54-Financials!Q54)-Financials!S54)/MAX(ABS(Financials!S54),1)&gt;0.05),FALSE),"⚠","✓"))</f>
        <v/>
      </c>
      <c r="G57">
        <f>IF(NOT(AND(IFERROR('Company_Master'!A54&lt;&gt;"",FALSE),AND(ISNUMBER(Financials!I54),ISNUMBER(Financials!L54),ISNUMBER(Financials!O54)))),"—",IF(IFERROR(AND(ISNUMBER(Financials!I54),ISNUMBER(Financials!L54),ISNUMBER(Financials!O54),Financials!I54&gt;0,ABS(Financials!I54-(Financials!L54+Financials!O54))/Financials!I54&gt;0.01),FALSE),"⚠","✓"))</f>
        <v/>
      </c>
      <c r="H57">
        <f>IF(NOT(AND(IFERROR('Company_Master'!A54&lt;&gt;"",FALSE),AND(ISNUMBER(Financials!E54),ISNUMBER(Financials!F54)))),"—",IF(IFERROR(AND(ISNUMBER(Financials!E54),ISNUMBER(Financials!F54),Financials!E54&lt;Financials!F54),FALSE),"⚠","✓"))</f>
        <v/>
      </c>
      <c r="I57">
        <f>IF(NOT(AND(IFERROR('Company_Master'!A54&lt;&gt;"",FALSE),AND(ISNUMBER(Financials!C54),ISNUMBER(Financials!E54)))),"—",IF(IFERROR(AND(ISNUMBER(Financials!C54),ISNUMBER(Financials!E54),Financials!C54=0,Financials!E54&gt;0),FALSE),"⚠","✓"))</f>
        <v/>
      </c>
      <c r="J57">
        <f>IF(NOT(AND(IFERROR('Company_Master'!A54&lt;&gt;"",FALSE),COUNTIF('Raw_Extract'!A:A,'Company_Master'!A54)&gt;0)),"—",IF(COUNTIFS('Raw_Extract'!A:A,'Company_Master'!A54,'Raw_Extract'!J:J,"Low")&gt;0,"⚠","✓"))</f>
        <v/>
      </c>
      <c r="K57">
        <f>IF(NOT(AND(IFERROR('Company_Master'!A54&lt;&gt;"",FALSE),AND(ISNUMBER(Financials!E54),ISNUMBER(Financials!AP54)))),"—",IF(IFERROR(AND(ISNUMBER(Financials!E54),ISNUMBER(Financials!AP54),Financials!E54&lt;&gt;0,ABS(Financials!E54-Financials!AP54)/ABS(Financials!E54)&gt;0.05),FALSE),"⚠","✓"))</f>
        <v/>
      </c>
      <c r="L57">
        <f>IF(NOT(AND(IFERROR('Company_Master'!A54&lt;&gt;"",FALSE),AND(ISNUMBER(Financials!AR54),ISNUMBER(Financials!S54)))),"—",IF(IFERROR(AND(ISNUMBER(Financials!AR54),ISNUMBER(Financials!S54),Financials!S54&lt;&gt;0,ABS(Financials!AR54-Financials!S54)/MAX(ABS(Financials!S54),1)&gt;0.05),FALSE),"⚠","✓"))</f>
        <v/>
      </c>
      <c r="M57">
        <f>IF(NOT(AND(IFERROR('Company_Master'!A54&lt;&gt;"",FALSE),AND(ISNUMBER(Asset_Operations!BE54),ISNUMBER(Asset_Operations!AR54)))),"—",IF(IFERROR(AND(ISNUMBER(Asset_Operations!BE54),ISNUMBER(Asset_Operations!AR54),ABS(Asset_Operations!BE54-Asset_Operations!AR54)&gt;0.05),FALSE),"⚠","✓"))</f>
        <v/>
      </c>
      <c r="N57">
        <f>IF(NOT(AND(IFERROR('Company_Master'!A54&lt;&gt;"",FALSE),ISNUMBER(Financials!C54))),"—",IF(IFERROR(AND(ISNUMBER(Financials!C54),OR(Financials!C54&lt;50,Financials!C54&gt;200000)),FALSE),"⚠","✓"))</f>
        <v/>
      </c>
      <c r="O57">
        <f>COUNTIF(C57:N57,"⚠")</f>
        <v/>
      </c>
      <c r="P57">
        <f>COUNTIF(C57:N57,"✓")</f>
        <v/>
      </c>
      <c r="Q57">
        <f>IF(NOT(IFERROR('Company_Master'!A54&lt;&gt;"",FALSE)),"",IF(O57&gt;0,"⚠ "&amp;O57&amp;" issue(s) detected",IF(P57=0,"— No data to validate","✓ All "&amp;P57&amp;" checks passed")))</f>
        <v/>
      </c>
    </row>
    <row r="58">
      <c r="A58" t="n">
        <v>54</v>
      </c>
      <c r="B58">
        <f>IFERROR('Company_Master'!A55,"")</f>
        <v/>
      </c>
      <c r="C58">
        <f>IF(NOT(AND(IFERROR('Company_Master'!A55&lt;&gt;"",FALSE),OR(ISNUMBER(Asset_Operations!B55),ISNUMBER(Asset_Operations!C55),ISNUMBER(Asset_Operations!D55)))),"—",IF(IFERROR(AND(ISNUMBER(Asset_Operations!B55),ISNUMBER(Asset_Operations!C55),ISNUMBER(Asset_Operations!D55),Asset_Operations!B55&gt;0,ABS((Asset_Operations!C55+Asset_Operations!D55)-Asset_Operations!B55)/Asset_Operations!B55&gt;0.02),FALSE),"⚠","✓"))</f>
        <v/>
      </c>
      <c r="D58">
        <f>IF(NOT(AND(IFERROR('Company_Master'!A55&lt;&gt;"",FALSE),OR(ISNUMBER(Asset_Operations!B55),ISNUMBER(Asset_Operations!E55),ISNUMBER(Asset_Operations!F55)))),"—",IF(IFERROR(AND(ISNUMBER(Asset_Operations!B55),ISNUMBER(Asset_Operations!E55),ISNUMBER(Asset_Operations!F55),Asset_Operations!B55&gt;0,ABS((Asset_Operations!E55+Asset_Operations!F55)-Asset_Operations!B55)/Asset_Operations!B55&gt;0.02),FALSE),"⚠","✓"))</f>
        <v/>
      </c>
      <c r="E58">
        <f>IF(NOT(AND(IFERROR('Company_Master'!A55&lt;&gt;"",FALSE),ISNUMBER(Asset_Operations!AR55))),"—",IF(IFERROR(AND(ISNUMBER(Asset_Operations!AR55),OR(Asset_Operations!AR55&lt;0.15,Asset_Operations!AR55&gt;0.27)),FALSE),"⚠","✓"))</f>
        <v/>
      </c>
      <c r="F58">
        <f>IF(NOT(AND(IFERROR('Company_Master'!A55&lt;&gt;"",FALSE),AND(ISNUMBER(Financials!Q55),ISNUMBER(Financials!R55)))),"—",IF(IFERROR(AND(ISNUMBER(Financials!Q55),ISNUMBER(Financials!R55),ISNUMBER(Financials!S55),ABS((Financials!R55-Financials!Q55)-Financials!S55)/MAX(ABS(Financials!S55),1)&gt;0.05),FALSE),"⚠","✓"))</f>
        <v/>
      </c>
      <c r="G58">
        <f>IF(NOT(AND(IFERROR('Company_Master'!A55&lt;&gt;"",FALSE),AND(ISNUMBER(Financials!I55),ISNUMBER(Financials!L55),ISNUMBER(Financials!O55)))),"—",IF(IFERROR(AND(ISNUMBER(Financials!I55),ISNUMBER(Financials!L55),ISNUMBER(Financials!O55),Financials!I55&gt;0,ABS(Financials!I55-(Financials!L55+Financials!O55))/Financials!I55&gt;0.01),FALSE),"⚠","✓"))</f>
        <v/>
      </c>
      <c r="H58">
        <f>IF(NOT(AND(IFERROR('Company_Master'!A55&lt;&gt;"",FALSE),AND(ISNUMBER(Financials!E55),ISNUMBER(Financials!F55)))),"—",IF(IFERROR(AND(ISNUMBER(Financials!E55),ISNUMBER(Financials!F55),Financials!E55&lt;Financials!F55),FALSE),"⚠","✓"))</f>
        <v/>
      </c>
      <c r="I58">
        <f>IF(NOT(AND(IFERROR('Company_Master'!A55&lt;&gt;"",FALSE),AND(ISNUMBER(Financials!C55),ISNUMBER(Financials!E55)))),"—",IF(IFERROR(AND(ISNUMBER(Financials!C55),ISNUMBER(Financials!E55),Financials!C55=0,Financials!E55&gt;0),FALSE),"⚠","✓"))</f>
        <v/>
      </c>
      <c r="J58">
        <f>IF(NOT(AND(IFERROR('Company_Master'!A55&lt;&gt;"",FALSE),COUNTIF('Raw_Extract'!A:A,'Company_Master'!A55)&gt;0)),"—",IF(COUNTIFS('Raw_Extract'!A:A,'Company_Master'!A55,'Raw_Extract'!J:J,"Low")&gt;0,"⚠","✓"))</f>
        <v/>
      </c>
      <c r="K58">
        <f>IF(NOT(AND(IFERROR('Company_Master'!A55&lt;&gt;"",FALSE),AND(ISNUMBER(Financials!E55),ISNUMBER(Financials!AP55)))),"—",IF(IFERROR(AND(ISNUMBER(Financials!E55),ISNUMBER(Financials!AP55),Financials!E55&lt;&gt;0,ABS(Financials!E55-Financials!AP55)/ABS(Financials!E55)&gt;0.05),FALSE),"⚠","✓"))</f>
        <v/>
      </c>
      <c r="L58">
        <f>IF(NOT(AND(IFERROR('Company_Master'!A55&lt;&gt;"",FALSE),AND(ISNUMBER(Financials!AR55),ISNUMBER(Financials!S55)))),"—",IF(IFERROR(AND(ISNUMBER(Financials!AR55),ISNUMBER(Financials!S55),Financials!S55&lt;&gt;0,ABS(Financials!AR55-Financials!S55)/MAX(ABS(Financials!S55),1)&gt;0.05),FALSE),"⚠","✓"))</f>
        <v/>
      </c>
      <c r="M58">
        <f>IF(NOT(AND(IFERROR('Company_Master'!A55&lt;&gt;"",FALSE),AND(ISNUMBER(Asset_Operations!BE55),ISNUMBER(Asset_Operations!AR55)))),"—",IF(IFERROR(AND(ISNUMBER(Asset_Operations!BE55),ISNUMBER(Asset_Operations!AR55),ABS(Asset_Operations!BE55-Asset_Operations!AR55)&gt;0.05),FALSE),"⚠","✓"))</f>
        <v/>
      </c>
      <c r="N58">
        <f>IF(NOT(AND(IFERROR('Company_Master'!A55&lt;&gt;"",FALSE),ISNUMBER(Financials!C55))),"—",IF(IFERROR(AND(ISNUMBER(Financials!C55),OR(Financials!C55&lt;50,Financials!C55&gt;200000)),FALSE),"⚠","✓"))</f>
        <v/>
      </c>
      <c r="O58">
        <f>COUNTIF(C58:N58,"⚠")</f>
        <v/>
      </c>
      <c r="P58">
        <f>COUNTIF(C58:N58,"✓")</f>
        <v/>
      </c>
      <c r="Q58">
        <f>IF(NOT(IFERROR('Company_Master'!A55&lt;&gt;"",FALSE)),"",IF(O58&gt;0,"⚠ "&amp;O58&amp;" issue(s) detected",IF(P58=0,"— No data to validate","✓ All "&amp;P58&amp;" checks passed")))</f>
        <v/>
      </c>
    </row>
    <row r="59">
      <c r="A59" t="n">
        <v>55</v>
      </c>
      <c r="B59">
        <f>IFERROR('Company_Master'!A56,"")</f>
        <v/>
      </c>
      <c r="C59">
        <f>IF(NOT(AND(IFERROR('Company_Master'!A56&lt;&gt;"",FALSE),OR(ISNUMBER(Asset_Operations!B56),ISNUMBER(Asset_Operations!C56),ISNUMBER(Asset_Operations!D56)))),"—",IF(IFERROR(AND(ISNUMBER(Asset_Operations!B56),ISNUMBER(Asset_Operations!C56),ISNUMBER(Asset_Operations!D56),Asset_Operations!B56&gt;0,ABS((Asset_Operations!C56+Asset_Operations!D56)-Asset_Operations!B56)/Asset_Operations!B56&gt;0.02),FALSE),"⚠","✓"))</f>
        <v/>
      </c>
      <c r="D59">
        <f>IF(NOT(AND(IFERROR('Company_Master'!A56&lt;&gt;"",FALSE),OR(ISNUMBER(Asset_Operations!B56),ISNUMBER(Asset_Operations!E56),ISNUMBER(Asset_Operations!F56)))),"—",IF(IFERROR(AND(ISNUMBER(Asset_Operations!B56),ISNUMBER(Asset_Operations!E56),ISNUMBER(Asset_Operations!F56),Asset_Operations!B56&gt;0,ABS((Asset_Operations!E56+Asset_Operations!F56)-Asset_Operations!B56)/Asset_Operations!B56&gt;0.02),FALSE),"⚠","✓"))</f>
        <v/>
      </c>
      <c r="E59">
        <f>IF(NOT(AND(IFERROR('Company_Master'!A56&lt;&gt;"",FALSE),ISNUMBER(Asset_Operations!AR56))),"—",IF(IFERROR(AND(ISNUMBER(Asset_Operations!AR56),OR(Asset_Operations!AR56&lt;0.15,Asset_Operations!AR56&gt;0.27)),FALSE),"⚠","✓"))</f>
        <v/>
      </c>
      <c r="F59">
        <f>IF(NOT(AND(IFERROR('Company_Master'!A56&lt;&gt;"",FALSE),AND(ISNUMBER(Financials!Q56),ISNUMBER(Financials!R56)))),"—",IF(IFERROR(AND(ISNUMBER(Financials!Q56),ISNUMBER(Financials!R56),ISNUMBER(Financials!S56),ABS((Financials!R56-Financials!Q56)-Financials!S56)/MAX(ABS(Financials!S56),1)&gt;0.05),FALSE),"⚠","✓"))</f>
        <v/>
      </c>
      <c r="G59">
        <f>IF(NOT(AND(IFERROR('Company_Master'!A56&lt;&gt;"",FALSE),AND(ISNUMBER(Financials!I56),ISNUMBER(Financials!L56),ISNUMBER(Financials!O56)))),"—",IF(IFERROR(AND(ISNUMBER(Financials!I56),ISNUMBER(Financials!L56),ISNUMBER(Financials!O56),Financials!I56&gt;0,ABS(Financials!I56-(Financials!L56+Financials!O56))/Financials!I56&gt;0.01),FALSE),"⚠","✓"))</f>
        <v/>
      </c>
      <c r="H59">
        <f>IF(NOT(AND(IFERROR('Company_Master'!A56&lt;&gt;"",FALSE),AND(ISNUMBER(Financials!E56),ISNUMBER(Financials!F56)))),"—",IF(IFERROR(AND(ISNUMBER(Financials!E56),ISNUMBER(Financials!F56),Financials!E56&lt;Financials!F56),FALSE),"⚠","✓"))</f>
        <v/>
      </c>
      <c r="I59">
        <f>IF(NOT(AND(IFERROR('Company_Master'!A56&lt;&gt;"",FALSE),AND(ISNUMBER(Financials!C56),ISNUMBER(Financials!E56)))),"—",IF(IFERROR(AND(ISNUMBER(Financials!C56),ISNUMBER(Financials!E56),Financials!C56=0,Financials!E56&gt;0),FALSE),"⚠","✓"))</f>
        <v/>
      </c>
      <c r="J59">
        <f>IF(NOT(AND(IFERROR('Company_Master'!A56&lt;&gt;"",FALSE),COUNTIF('Raw_Extract'!A:A,'Company_Master'!A56)&gt;0)),"—",IF(COUNTIFS('Raw_Extract'!A:A,'Company_Master'!A56,'Raw_Extract'!J:J,"Low")&gt;0,"⚠","✓"))</f>
        <v/>
      </c>
      <c r="K59">
        <f>IF(NOT(AND(IFERROR('Company_Master'!A56&lt;&gt;"",FALSE),AND(ISNUMBER(Financials!E56),ISNUMBER(Financials!AP56)))),"—",IF(IFERROR(AND(ISNUMBER(Financials!E56),ISNUMBER(Financials!AP56),Financials!E56&lt;&gt;0,ABS(Financials!E56-Financials!AP56)/ABS(Financials!E56)&gt;0.05),FALSE),"⚠","✓"))</f>
        <v/>
      </c>
      <c r="L59">
        <f>IF(NOT(AND(IFERROR('Company_Master'!A56&lt;&gt;"",FALSE),AND(ISNUMBER(Financials!AR56),ISNUMBER(Financials!S56)))),"—",IF(IFERROR(AND(ISNUMBER(Financials!AR56),ISNUMBER(Financials!S56),Financials!S56&lt;&gt;0,ABS(Financials!AR56-Financials!S56)/MAX(ABS(Financials!S56),1)&gt;0.05),FALSE),"⚠","✓"))</f>
        <v/>
      </c>
      <c r="M59">
        <f>IF(NOT(AND(IFERROR('Company_Master'!A56&lt;&gt;"",FALSE),AND(ISNUMBER(Asset_Operations!BE56),ISNUMBER(Asset_Operations!AR56)))),"—",IF(IFERROR(AND(ISNUMBER(Asset_Operations!BE56),ISNUMBER(Asset_Operations!AR56),ABS(Asset_Operations!BE56-Asset_Operations!AR56)&gt;0.05),FALSE),"⚠","✓"))</f>
        <v/>
      </c>
      <c r="N59">
        <f>IF(NOT(AND(IFERROR('Company_Master'!A56&lt;&gt;"",FALSE),ISNUMBER(Financials!C56))),"—",IF(IFERROR(AND(ISNUMBER(Financials!C56),OR(Financials!C56&lt;50,Financials!C56&gt;200000)),FALSE),"⚠","✓"))</f>
        <v/>
      </c>
      <c r="O59">
        <f>COUNTIF(C59:N59,"⚠")</f>
        <v/>
      </c>
      <c r="P59">
        <f>COUNTIF(C59:N59,"✓")</f>
        <v/>
      </c>
      <c r="Q59">
        <f>IF(NOT(IFERROR('Company_Master'!A56&lt;&gt;"",FALSE)),"",IF(O59&gt;0,"⚠ "&amp;O59&amp;" issue(s) detected",IF(P59=0,"— No data to validate","✓ All "&amp;P59&amp;" checks passed")))</f>
        <v/>
      </c>
    </row>
    <row r="60">
      <c r="A60" t="n">
        <v>56</v>
      </c>
      <c r="B60">
        <f>IFERROR('Company_Master'!A57,"")</f>
        <v/>
      </c>
      <c r="C60">
        <f>IF(NOT(AND(IFERROR('Company_Master'!A57&lt;&gt;"",FALSE),OR(ISNUMBER(Asset_Operations!B57),ISNUMBER(Asset_Operations!C57),ISNUMBER(Asset_Operations!D57)))),"—",IF(IFERROR(AND(ISNUMBER(Asset_Operations!B57),ISNUMBER(Asset_Operations!C57),ISNUMBER(Asset_Operations!D57),Asset_Operations!B57&gt;0,ABS((Asset_Operations!C57+Asset_Operations!D57)-Asset_Operations!B57)/Asset_Operations!B57&gt;0.02),FALSE),"⚠","✓"))</f>
        <v/>
      </c>
      <c r="D60">
        <f>IF(NOT(AND(IFERROR('Company_Master'!A57&lt;&gt;"",FALSE),OR(ISNUMBER(Asset_Operations!B57),ISNUMBER(Asset_Operations!E57),ISNUMBER(Asset_Operations!F57)))),"—",IF(IFERROR(AND(ISNUMBER(Asset_Operations!B57),ISNUMBER(Asset_Operations!E57),ISNUMBER(Asset_Operations!F57),Asset_Operations!B57&gt;0,ABS((Asset_Operations!E57+Asset_Operations!F57)-Asset_Operations!B57)/Asset_Operations!B57&gt;0.02),FALSE),"⚠","✓"))</f>
        <v/>
      </c>
      <c r="E60">
        <f>IF(NOT(AND(IFERROR('Company_Master'!A57&lt;&gt;"",FALSE),ISNUMBER(Asset_Operations!AR57))),"—",IF(IFERROR(AND(ISNUMBER(Asset_Operations!AR57),OR(Asset_Operations!AR57&lt;0.15,Asset_Operations!AR57&gt;0.27)),FALSE),"⚠","✓"))</f>
        <v/>
      </c>
      <c r="F60">
        <f>IF(NOT(AND(IFERROR('Company_Master'!A57&lt;&gt;"",FALSE),AND(ISNUMBER(Financials!Q57),ISNUMBER(Financials!R57)))),"—",IF(IFERROR(AND(ISNUMBER(Financials!Q57),ISNUMBER(Financials!R57),ISNUMBER(Financials!S57),ABS((Financials!R57-Financials!Q57)-Financials!S57)/MAX(ABS(Financials!S57),1)&gt;0.05),FALSE),"⚠","✓"))</f>
        <v/>
      </c>
      <c r="G60">
        <f>IF(NOT(AND(IFERROR('Company_Master'!A57&lt;&gt;"",FALSE),AND(ISNUMBER(Financials!I57),ISNUMBER(Financials!L57),ISNUMBER(Financials!O57)))),"—",IF(IFERROR(AND(ISNUMBER(Financials!I57),ISNUMBER(Financials!L57),ISNUMBER(Financials!O57),Financials!I57&gt;0,ABS(Financials!I57-(Financials!L57+Financials!O57))/Financials!I57&gt;0.01),FALSE),"⚠","✓"))</f>
        <v/>
      </c>
      <c r="H60">
        <f>IF(NOT(AND(IFERROR('Company_Master'!A57&lt;&gt;"",FALSE),AND(ISNUMBER(Financials!E57),ISNUMBER(Financials!F57)))),"—",IF(IFERROR(AND(ISNUMBER(Financials!E57),ISNUMBER(Financials!F57),Financials!E57&lt;Financials!F57),FALSE),"⚠","✓"))</f>
        <v/>
      </c>
      <c r="I60">
        <f>IF(NOT(AND(IFERROR('Company_Master'!A57&lt;&gt;"",FALSE),AND(ISNUMBER(Financials!C57),ISNUMBER(Financials!E57)))),"—",IF(IFERROR(AND(ISNUMBER(Financials!C57),ISNUMBER(Financials!E57),Financials!C57=0,Financials!E57&gt;0),FALSE),"⚠","✓"))</f>
        <v/>
      </c>
      <c r="J60">
        <f>IF(NOT(AND(IFERROR('Company_Master'!A57&lt;&gt;"",FALSE),COUNTIF('Raw_Extract'!A:A,'Company_Master'!A57)&gt;0)),"—",IF(COUNTIFS('Raw_Extract'!A:A,'Company_Master'!A57,'Raw_Extract'!J:J,"Low")&gt;0,"⚠","✓"))</f>
        <v/>
      </c>
      <c r="K60">
        <f>IF(NOT(AND(IFERROR('Company_Master'!A57&lt;&gt;"",FALSE),AND(ISNUMBER(Financials!E57),ISNUMBER(Financials!AP57)))),"—",IF(IFERROR(AND(ISNUMBER(Financials!E57),ISNUMBER(Financials!AP57),Financials!E57&lt;&gt;0,ABS(Financials!E57-Financials!AP57)/ABS(Financials!E57)&gt;0.05),FALSE),"⚠","✓"))</f>
        <v/>
      </c>
      <c r="L60">
        <f>IF(NOT(AND(IFERROR('Company_Master'!A57&lt;&gt;"",FALSE),AND(ISNUMBER(Financials!AR57),ISNUMBER(Financials!S57)))),"—",IF(IFERROR(AND(ISNUMBER(Financials!AR57),ISNUMBER(Financials!S57),Financials!S57&lt;&gt;0,ABS(Financials!AR57-Financials!S57)/MAX(ABS(Financials!S57),1)&gt;0.05),FALSE),"⚠","✓"))</f>
        <v/>
      </c>
      <c r="M60">
        <f>IF(NOT(AND(IFERROR('Company_Master'!A57&lt;&gt;"",FALSE),AND(ISNUMBER(Asset_Operations!BE57),ISNUMBER(Asset_Operations!AR57)))),"—",IF(IFERROR(AND(ISNUMBER(Asset_Operations!BE57),ISNUMBER(Asset_Operations!AR57),ABS(Asset_Operations!BE57-Asset_Operations!AR57)&gt;0.05),FALSE),"⚠","✓"))</f>
        <v/>
      </c>
      <c r="N60">
        <f>IF(NOT(AND(IFERROR('Company_Master'!A57&lt;&gt;"",FALSE),ISNUMBER(Financials!C57))),"—",IF(IFERROR(AND(ISNUMBER(Financials!C57),OR(Financials!C57&lt;50,Financials!C57&gt;200000)),FALSE),"⚠","✓"))</f>
        <v/>
      </c>
      <c r="O60">
        <f>COUNTIF(C60:N60,"⚠")</f>
        <v/>
      </c>
      <c r="P60">
        <f>COUNTIF(C60:N60,"✓")</f>
        <v/>
      </c>
      <c r="Q60">
        <f>IF(NOT(IFERROR('Company_Master'!A57&lt;&gt;"",FALSE)),"",IF(O60&gt;0,"⚠ "&amp;O60&amp;" issue(s) detected",IF(P60=0,"— No data to validate","✓ All "&amp;P60&amp;" checks passed")))</f>
        <v/>
      </c>
    </row>
    <row r="61">
      <c r="A61" t="n">
        <v>57</v>
      </c>
      <c r="B61">
        <f>IFERROR('Company_Master'!A58,"")</f>
        <v/>
      </c>
      <c r="C61">
        <f>IF(NOT(AND(IFERROR('Company_Master'!A58&lt;&gt;"",FALSE),OR(ISNUMBER(Asset_Operations!B58),ISNUMBER(Asset_Operations!C58),ISNUMBER(Asset_Operations!D58)))),"—",IF(IFERROR(AND(ISNUMBER(Asset_Operations!B58),ISNUMBER(Asset_Operations!C58),ISNUMBER(Asset_Operations!D58),Asset_Operations!B58&gt;0,ABS((Asset_Operations!C58+Asset_Operations!D58)-Asset_Operations!B58)/Asset_Operations!B58&gt;0.02),FALSE),"⚠","✓"))</f>
        <v/>
      </c>
      <c r="D61">
        <f>IF(NOT(AND(IFERROR('Company_Master'!A58&lt;&gt;"",FALSE),OR(ISNUMBER(Asset_Operations!B58),ISNUMBER(Asset_Operations!E58),ISNUMBER(Asset_Operations!F58)))),"—",IF(IFERROR(AND(ISNUMBER(Asset_Operations!B58),ISNUMBER(Asset_Operations!E58),ISNUMBER(Asset_Operations!F58),Asset_Operations!B58&gt;0,ABS((Asset_Operations!E58+Asset_Operations!F58)-Asset_Operations!B58)/Asset_Operations!B58&gt;0.02),FALSE),"⚠","✓"))</f>
        <v/>
      </c>
      <c r="E61">
        <f>IF(NOT(AND(IFERROR('Company_Master'!A58&lt;&gt;"",FALSE),ISNUMBER(Asset_Operations!AR58))),"—",IF(IFERROR(AND(ISNUMBER(Asset_Operations!AR58),OR(Asset_Operations!AR58&lt;0.15,Asset_Operations!AR58&gt;0.27)),FALSE),"⚠","✓"))</f>
        <v/>
      </c>
      <c r="F61">
        <f>IF(NOT(AND(IFERROR('Company_Master'!A58&lt;&gt;"",FALSE),AND(ISNUMBER(Financials!Q58),ISNUMBER(Financials!R58)))),"—",IF(IFERROR(AND(ISNUMBER(Financials!Q58),ISNUMBER(Financials!R58),ISNUMBER(Financials!S58),ABS((Financials!R58-Financials!Q58)-Financials!S58)/MAX(ABS(Financials!S58),1)&gt;0.05),FALSE),"⚠","✓"))</f>
        <v/>
      </c>
      <c r="G61">
        <f>IF(NOT(AND(IFERROR('Company_Master'!A58&lt;&gt;"",FALSE),AND(ISNUMBER(Financials!I58),ISNUMBER(Financials!L58),ISNUMBER(Financials!O58)))),"—",IF(IFERROR(AND(ISNUMBER(Financials!I58),ISNUMBER(Financials!L58),ISNUMBER(Financials!O58),Financials!I58&gt;0,ABS(Financials!I58-(Financials!L58+Financials!O58))/Financials!I58&gt;0.01),FALSE),"⚠","✓"))</f>
        <v/>
      </c>
      <c r="H61">
        <f>IF(NOT(AND(IFERROR('Company_Master'!A58&lt;&gt;"",FALSE),AND(ISNUMBER(Financials!E58),ISNUMBER(Financials!F58)))),"—",IF(IFERROR(AND(ISNUMBER(Financials!E58),ISNUMBER(Financials!F58),Financials!E58&lt;Financials!F58),FALSE),"⚠","✓"))</f>
        <v/>
      </c>
      <c r="I61">
        <f>IF(NOT(AND(IFERROR('Company_Master'!A58&lt;&gt;"",FALSE),AND(ISNUMBER(Financials!C58),ISNUMBER(Financials!E58)))),"—",IF(IFERROR(AND(ISNUMBER(Financials!C58),ISNUMBER(Financials!E58),Financials!C58=0,Financials!E58&gt;0),FALSE),"⚠","✓"))</f>
        <v/>
      </c>
      <c r="J61">
        <f>IF(NOT(AND(IFERROR('Company_Master'!A58&lt;&gt;"",FALSE),COUNTIF('Raw_Extract'!A:A,'Company_Master'!A58)&gt;0)),"—",IF(COUNTIFS('Raw_Extract'!A:A,'Company_Master'!A58,'Raw_Extract'!J:J,"Low")&gt;0,"⚠","✓"))</f>
        <v/>
      </c>
      <c r="K61">
        <f>IF(NOT(AND(IFERROR('Company_Master'!A58&lt;&gt;"",FALSE),AND(ISNUMBER(Financials!E58),ISNUMBER(Financials!AP58)))),"—",IF(IFERROR(AND(ISNUMBER(Financials!E58),ISNUMBER(Financials!AP58),Financials!E58&lt;&gt;0,ABS(Financials!E58-Financials!AP58)/ABS(Financials!E58)&gt;0.05),FALSE),"⚠","✓"))</f>
        <v/>
      </c>
      <c r="L61">
        <f>IF(NOT(AND(IFERROR('Company_Master'!A58&lt;&gt;"",FALSE),AND(ISNUMBER(Financials!AR58),ISNUMBER(Financials!S58)))),"—",IF(IFERROR(AND(ISNUMBER(Financials!AR58),ISNUMBER(Financials!S58),Financials!S58&lt;&gt;0,ABS(Financials!AR58-Financials!S58)/MAX(ABS(Financials!S58),1)&gt;0.05),FALSE),"⚠","✓"))</f>
        <v/>
      </c>
      <c r="M61">
        <f>IF(NOT(AND(IFERROR('Company_Master'!A58&lt;&gt;"",FALSE),AND(ISNUMBER(Asset_Operations!BE58),ISNUMBER(Asset_Operations!AR58)))),"—",IF(IFERROR(AND(ISNUMBER(Asset_Operations!BE58),ISNUMBER(Asset_Operations!AR58),ABS(Asset_Operations!BE58-Asset_Operations!AR58)&gt;0.05),FALSE),"⚠","✓"))</f>
        <v/>
      </c>
      <c r="N61">
        <f>IF(NOT(AND(IFERROR('Company_Master'!A58&lt;&gt;"",FALSE),ISNUMBER(Financials!C58))),"—",IF(IFERROR(AND(ISNUMBER(Financials!C58),OR(Financials!C58&lt;50,Financials!C58&gt;200000)),FALSE),"⚠","✓"))</f>
        <v/>
      </c>
      <c r="O61">
        <f>COUNTIF(C61:N61,"⚠")</f>
        <v/>
      </c>
      <c r="P61">
        <f>COUNTIF(C61:N61,"✓")</f>
        <v/>
      </c>
      <c r="Q61">
        <f>IF(NOT(IFERROR('Company_Master'!A58&lt;&gt;"",FALSE)),"",IF(O61&gt;0,"⚠ "&amp;O61&amp;" issue(s) detected",IF(P61=0,"— No data to validate","✓ All "&amp;P61&amp;" checks passed")))</f>
        <v/>
      </c>
    </row>
    <row r="62">
      <c r="A62" t="n">
        <v>58</v>
      </c>
      <c r="B62">
        <f>IFERROR('Company_Master'!A59,"")</f>
        <v/>
      </c>
      <c r="C62">
        <f>IF(NOT(AND(IFERROR('Company_Master'!A59&lt;&gt;"",FALSE),OR(ISNUMBER(Asset_Operations!B59),ISNUMBER(Asset_Operations!C59),ISNUMBER(Asset_Operations!D59)))),"—",IF(IFERROR(AND(ISNUMBER(Asset_Operations!B59),ISNUMBER(Asset_Operations!C59),ISNUMBER(Asset_Operations!D59),Asset_Operations!B59&gt;0,ABS((Asset_Operations!C59+Asset_Operations!D59)-Asset_Operations!B59)/Asset_Operations!B59&gt;0.02),FALSE),"⚠","✓"))</f>
        <v/>
      </c>
      <c r="D62">
        <f>IF(NOT(AND(IFERROR('Company_Master'!A59&lt;&gt;"",FALSE),OR(ISNUMBER(Asset_Operations!B59),ISNUMBER(Asset_Operations!E59),ISNUMBER(Asset_Operations!F59)))),"—",IF(IFERROR(AND(ISNUMBER(Asset_Operations!B59),ISNUMBER(Asset_Operations!E59),ISNUMBER(Asset_Operations!F59),Asset_Operations!B59&gt;0,ABS((Asset_Operations!E59+Asset_Operations!F59)-Asset_Operations!B59)/Asset_Operations!B59&gt;0.02),FALSE),"⚠","✓"))</f>
        <v/>
      </c>
      <c r="E62">
        <f>IF(NOT(AND(IFERROR('Company_Master'!A59&lt;&gt;"",FALSE),ISNUMBER(Asset_Operations!AR59))),"—",IF(IFERROR(AND(ISNUMBER(Asset_Operations!AR59),OR(Asset_Operations!AR59&lt;0.15,Asset_Operations!AR59&gt;0.27)),FALSE),"⚠","✓"))</f>
        <v/>
      </c>
      <c r="F62">
        <f>IF(NOT(AND(IFERROR('Company_Master'!A59&lt;&gt;"",FALSE),AND(ISNUMBER(Financials!Q59),ISNUMBER(Financials!R59)))),"—",IF(IFERROR(AND(ISNUMBER(Financials!Q59),ISNUMBER(Financials!R59),ISNUMBER(Financials!S59),ABS((Financials!R59-Financials!Q59)-Financials!S59)/MAX(ABS(Financials!S59),1)&gt;0.05),FALSE),"⚠","✓"))</f>
        <v/>
      </c>
      <c r="G62">
        <f>IF(NOT(AND(IFERROR('Company_Master'!A59&lt;&gt;"",FALSE),AND(ISNUMBER(Financials!I59),ISNUMBER(Financials!L59),ISNUMBER(Financials!O59)))),"—",IF(IFERROR(AND(ISNUMBER(Financials!I59),ISNUMBER(Financials!L59),ISNUMBER(Financials!O59),Financials!I59&gt;0,ABS(Financials!I59-(Financials!L59+Financials!O59))/Financials!I59&gt;0.01),FALSE),"⚠","✓"))</f>
        <v/>
      </c>
      <c r="H62">
        <f>IF(NOT(AND(IFERROR('Company_Master'!A59&lt;&gt;"",FALSE),AND(ISNUMBER(Financials!E59),ISNUMBER(Financials!F59)))),"—",IF(IFERROR(AND(ISNUMBER(Financials!E59),ISNUMBER(Financials!F59),Financials!E59&lt;Financials!F59),FALSE),"⚠","✓"))</f>
        <v/>
      </c>
      <c r="I62">
        <f>IF(NOT(AND(IFERROR('Company_Master'!A59&lt;&gt;"",FALSE),AND(ISNUMBER(Financials!C59),ISNUMBER(Financials!E59)))),"—",IF(IFERROR(AND(ISNUMBER(Financials!C59),ISNUMBER(Financials!E59),Financials!C59=0,Financials!E59&gt;0),FALSE),"⚠","✓"))</f>
        <v/>
      </c>
      <c r="J62">
        <f>IF(NOT(AND(IFERROR('Company_Master'!A59&lt;&gt;"",FALSE),COUNTIF('Raw_Extract'!A:A,'Company_Master'!A59)&gt;0)),"—",IF(COUNTIFS('Raw_Extract'!A:A,'Company_Master'!A59,'Raw_Extract'!J:J,"Low")&gt;0,"⚠","✓"))</f>
        <v/>
      </c>
      <c r="K62">
        <f>IF(NOT(AND(IFERROR('Company_Master'!A59&lt;&gt;"",FALSE),AND(ISNUMBER(Financials!E59),ISNUMBER(Financials!AP59)))),"—",IF(IFERROR(AND(ISNUMBER(Financials!E59),ISNUMBER(Financials!AP59),Financials!E59&lt;&gt;0,ABS(Financials!E59-Financials!AP59)/ABS(Financials!E59)&gt;0.05),FALSE),"⚠","✓"))</f>
        <v/>
      </c>
      <c r="L62">
        <f>IF(NOT(AND(IFERROR('Company_Master'!A59&lt;&gt;"",FALSE),AND(ISNUMBER(Financials!AR59),ISNUMBER(Financials!S59)))),"—",IF(IFERROR(AND(ISNUMBER(Financials!AR59),ISNUMBER(Financials!S59),Financials!S59&lt;&gt;0,ABS(Financials!AR59-Financials!S59)/MAX(ABS(Financials!S59),1)&gt;0.05),FALSE),"⚠","✓"))</f>
        <v/>
      </c>
      <c r="M62">
        <f>IF(NOT(AND(IFERROR('Company_Master'!A59&lt;&gt;"",FALSE),AND(ISNUMBER(Asset_Operations!BE59),ISNUMBER(Asset_Operations!AR59)))),"—",IF(IFERROR(AND(ISNUMBER(Asset_Operations!BE59),ISNUMBER(Asset_Operations!AR59),ABS(Asset_Operations!BE59-Asset_Operations!AR59)&gt;0.05),FALSE),"⚠","✓"))</f>
        <v/>
      </c>
      <c r="N62">
        <f>IF(NOT(AND(IFERROR('Company_Master'!A59&lt;&gt;"",FALSE),ISNUMBER(Financials!C59))),"—",IF(IFERROR(AND(ISNUMBER(Financials!C59),OR(Financials!C59&lt;50,Financials!C59&gt;200000)),FALSE),"⚠","✓"))</f>
        <v/>
      </c>
      <c r="O62">
        <f>COUNTIF(C62:N62,"⚠")</f>
        <v/>
      </c>
      <c r="P62">
        <f>COUNTIF(C62:N62,"✓")</f>
        <v/>
      </c>
      <c r="Q62">
        <f>IF(NOT(IFERROR('Company_Master'!A59&lt;&gt;"",FALSE)),"",IF(O62&gt;0,"⚠ "&amp;O62&amp;" issue(s) detected",IF(P62=0,"— No data to validate","✓ All "&amp;P62&amp;" checks passed")))</f>
        <v/>
      </c>
    </row>
    <row r="63">
      <c r="A63" t="n">
        <v>59</v>
      </c>
      <c r="B63">
        <f>IFERROR('Company_Master'!A60,"")</f>
        <v/>
      </c>
      <c r="C63">
        <f>IF(NOT(AND(IFERROR('Company_Master'!A60&lt;&gt;"",FALSE),OR(ISNUMBER(Asset_Operations!B60),ISNUMBER(Asset_Operations!C60),ISNUMBER(Asset_Operations!D60)))),"—",IF(IFERROR(AND(ISNUMBER(Asset_Operations!B60),ISNUMBER(Asset_Operations!C60),ISNUMBER(Asset_Operations!D60),Asset_Operations!B60&gt;0,ABS((Asset_Operations!C60+Asset_Operations!D60)-Asset_Operations!B60)/Asset_Operations!B60&gt;0.02),FALSE),"⚠","✓"))</f>
        <v/>
      </c>
      <c r="D63">
        <f>IF(NOT(AND(IFERROR('Company_Master'!A60&lt;&gt;"",FALSE),OR(ISNUMBER(Asset_Operations!B60),ISNUMBER(Asset_Operations!E60),ISNUMBER(Asset_Operations!F60)))),"—",IF(IFERROR(AND(ISNUMBER(Asset_Operations!B60),ISNUMBER(Asset_Operations!E60),ISNUMBER(Asset_Operations!F60),Asset_Operations!B60&gt;0,ABS((Asset_Operations!E60+Asset_Operations!F60)-Asset_Operations!B60)/Asset_Operations!B60&gt;0.02),FALSE),"⚠","✓"))</f>
        <v/>
      </c>
      <c r="E63">
        <f>IF(NOT(AND(IFERROR('Company_Master'!A60&lt;&gt;"",FALSE),ISNUMBER(Asset_Operations!AR60))),"—",IF(IFERROR(AND(ISNUMBER(Asset_Operations!AR60),OR(Asset_Operations!AR60&lt;0.15,Asset_Operations!AR60&gt;0.27)),FALSE),"⚠","✓"))</f>
        <v/>
      </c>
      <c r="F63">
        <f>IF(NOT(AND(IFERROR('Company_Master'!A60&lt;&gt;"",FALSE),AND(ISNUMBER(Financials!Q60),ISNUMBER(Financials!R60)))),"—",IF(IFERROR(AND(ISNUMBER(Financials!Q60),ISNUMBER(Financials!R60),ISNUMBER(Financials!S60),ABS((Financials!R60-Financials!Q60)-Financials!S60)/MAX(ABS(Financials!S60),1)&gt;0.05),FALSE),"⚠","✓"))</f>
        <v/>
      </c>
      <c r="G63">
        <f>IF(NOT(AND(IFERROR('Company_Master'!A60&lt;&gt;"",FALSE),AND(ISNUMBER(Financials!I60),ISNUMBER(Financials!L60),ISNUMBER(Financials!O60)))),"—",IF(IFERROR(AND(ISNUMBER(Financials!I60),ISNUMBER(Financials!L60),ISNUMBER(Financials!O60),Financials!I60&gt;0,ABS(Financials!I60-(Financials!L60+Financials!O60))/Financials!I60&gt;0.01),FALSE),"⚠","✓"))</f>
        <v/>
      </c>
      <c r="H63">
        <f>IF(NOT(AND(IFERROR('Company_Master'!A60&lt;&gt;"",FALSE),AND(ISNUMBER(Financials!E60),ISNUMBER(Financials!F60)))),"—",IF(IFERROR(AND(ISNUMBER(Financials!E60),ISNUMBER(Financials!F60),Financials!E60&lt;Financials!F60),FALSE),"⚠","✓"))</f>
        <v/>
      </c>
      <c r="I63">
        <f>IF(NOT(AND(IFERROR('Company_Master'!A60&lt;&gt;"",FALSE),AND(ISNUMBER(Financials!C60),ISNUMBER(Financials!E60)))),"—",IF(IFERROR(AND(ISNUMBER(Financials!C60),ISNUMBER(Financials!E60),Financials!C60=0,Financials!E60&gt;0),FALSE),"⚠","✓"))</f>
        <v/>
      </c>
      <c r="J63">
        <f>IF(NOT(AND(IFERROR('Company_Master'!A60&lt;&gt;"",FALSE),COUNTIF('Raw_Extract'!A:A,'Company_Master'!A60)&gt;0)),"—",IF(COUNTIFS('Raw_Extract'!A:A,'Company_Master'!A60,'Raw_Extract'!J:J,"Low")&gt;0,"⚠","✓"))</f>
        <v/>
      </c>
      <c r="K63">
        <f>IF(NOT(AND(IFERROR('Company_Master'!A60&lt;&gt;"",FALSE),AND(ISNUMBER(Financials!E60),ISNUMBER(Financials!AP60)))),"—",IF(IFERROR(AND(ISNUMBER(Financials!E60),ISNUMBER(Financials!AP60),Financials!E60&lt;&gt;0,ABS(Financials!E60-Financials!AP60)/ABS(Financials!E60)&gt;0.05),FALSE),"⚠","✓"))</f>
        <v/>
      </c>
      <c r="L63">
        <f>IF(NOT(AND(IFERROR('Company_Master'!A60&lt;&gt;"",FALSE),AND(ISNUMBER(Financials!AR60),ISNUMBER(Financials!S60)))),"—",IF(IFERROR(AND(ISNUMBER(Financials!AR60),ISNUMBER(Financials!S60),Financials!S60&lt;&gt;0,ABS(Financials!AR60-Financials!S60)/MAX(ABS(Financials!S60),1)&gt;0.05),FALSE),"⚠","✓"))</f>
        <v/>
      </c>
      <c r="M63">
        <f>IF(NOT(AND(IFERROR('Company_Master'!A60&lt;&gt;"",FALSE),AND(ISNUMBER(Asset_Operations!BE60),ISNUMBER(Asset_Operations!AR60)))),"—",IF(IFERROR(AND(ISNUMBER(Asset_Operations!BE60),ISNUMBER(Asset_Operations!AR60),ABS(Asset_Operations!BE60-Asset_Operations!AR60)&gt;0.05),FALSE),"⚠","✓"))</f>
        <v/>
      </c>
      <c r="N63">
        <f>IF(NOT(AND(IFERROR('Company_Master'!A60&lt;&gt;"",FALSE),ISNUMBER(Financials!C60))),"—",IF(IFERROR(AND(ISNUMBER(Financials!C60),OR(Financials!C60&lt;50,Financials!C60&gt;200000)),FALSE),"⚠","✓"))</f>
        <v/>
      </c>
      <c r="O63">
        <f>COUNTIF(C63:N63,"⚠")</f>
        <v/>
      </c>
      <c r="P63">
        <f>COUNTIF(C63:N63,"✓")</f>
        <v/>
      </c>
      <c r="Q63">
        <f>IF(NOT(IFERROR('Company_Master'!A60&lt;&gt;"",FALSE)),"",IF(O63&gt;0,"⚠ "&amp;O63&amp;" issue(s) detected",IF(P63=0,"— No data to validate","✓ All "&amp;P63&amp;" checks passed")))</f>
        <v/>
      </c>
    </row>
    <row r="64">
      <c r="A64" t="n">
        <v>60</v>
      </c>
      <c r="B64">
        <f>IFERROR('Company_Master'!A61,"")</f>
        <v/>
      </c>
      <c r="C64">
        <f>IF(NOT(AND(IFERROR('Company_Master'!A61&lt;&gt;"",FALSE),OR(ISNUMBER(Asset_Operations!B61),ISNUMBER(Asset_Operations!C61),ISNUMBER(Asset_Operations!D61)))),"—",IF(IFERROR(AND(ISNUMBER(Asset_Operations!B61),ISNUMBER(Asset_Operations!C61),ISNUMBER(Asset_Operations!D61),Asset_Operations!B61&gt;0,ABS((Asset_Operations!C61+Asset_Operations!D61)-Asset_Operations!B61)/Asset_Operations!B61&gt;0.02),FALSE),"⚠","✓"))</f>
        <v/>
      </c>
      <c r="D64">
        <f>IF(NOT(AND(IFERROR('Company_Master'!A61&lt;&gt;"",FALSE),OR(ISNUMBER(Asset_Operations!B61),ISNUMBER(Asset_Operations!E61),ISNUMBER(Asset_Operations!F61)))),"—",IF(IFERROR(AND(ISNUMBER(Asset_Operations!B61),ISNUMBER(Asset_Operations!E61),ISNUMBER(Asset_Operations!F61),Asset_Operations!B61&gt;0,ABS((Asset_Operations!E61+Asset_Operations!F61)-Asset_Operations!B61)/Asset_Operations!B61&gt;0.02),FALSE),"⚠","✓"))</f>
        <v/>
      </c>
      <c r="E64">
        <f>IF(NOT(AND(IFERROR('Company_Master'!A61&lt;&gt;"",FALSE),ISNUMBER(Asset_Operations!AR61))),"—",IF(IFERROR(AND(ISNUMBER(Asset_Operations!AR61),OR(Asset_Operations!AR61&lt;0.15,Asset_Operations!AR61&gt;0.27)),FALSE),"⚠","✓"))</f>
        <v/>
      </c>
      <c r="F64">
        <f>IF(NOT(AND(IFERROR('Company_Master'!A61&lt;&gt;"",FALSE),AND(ISNUMBER(Financials!Q61),ISNUMBER(Financials!R61)))),"—",IF(IFERROR(AND(ISNUMBER(Financials!Q61),ISNUMBER(Financials!R61),ISNUMBER(Financials!S61),ABS((Financials!R61-Financials!Q61)-Financials!S61)/MAX(ABS(Financials!S61),1)&gt;0.05),FALSE),"⚠","✓"))</f>
        <v/>
      </c>
      <c r="G64">
        <f>IF(NOT(AND(IFERROR('Company_Master'!A61&lt;&gt;"",FALSE),AND(ISNUMBER(Financials!I61),ISNUMBER(Financials!L61),ISNUMBER(Financials!O61)))),"—",IF(IFERROR(AND(ISNUMBER(Financials!I61),ISNUMBER(Financials!L61),ISNUMBER(Financials!O61),Financials!I61&gt;0,ABS(Financials!I61-(Financials!L61+Financials!O61))/Financials!I61&gt;0.01),FALSE),"⚠","✓"))</f>
        <v/>
      </c>
      <c r="H64">
        <f>IF(NOT(AND(IFERROR('Company_Master'!A61&lt;&gt;"",FALSE),AND(ISNUMBER(Financials!E61),ISNUMBER(Financials!F61)))),"—",IF(IFERROR(AND(ISNUMBER(Financials!E61),ISNUMBER(Financials!F61),Financials!E61&lt;Financials!F61),FALSE),"⚠","✓"))</f>
        <v/>
      </c>
      <c r="I64">
        <f>IF(NOT(AND(IFERROR('Company_Master'!A61&lt;&gt;"",FALSE),AND(ISNUMBER(Financials!C61),ISNUMBER(Financials!E61)))),"—",IF(IFERROR(AND(ISNUMBER(Financials!C61),ISNUMBER(Financials!E61),Financials!C61=0,Financials!E61&gt;0),FALSE),"⚠","✓"))</f>
        <v/>
      </c>
      <c r="J64">
        <f>IF(NOT(AND(IFERROR('Company_Master'!A61&lt;&gt;"",FALSE),COUNTIF('Raw_Extract'!A:A,'Company_Master'!A61)&gt;0)),"—",IF(COUNTIFS('Raw_Extract'!A:A,'Company_Master'!A61,'Raw_Extract'!J:J,"Low")&gt;0,"⚠","✓"))</f>
        <v/>
      </c>
      <c r="K64">
        <f>IF(NOT(AND(IFERROR('Company_Master'!A61&lt;&gt;"",FALSE),AND(ISNUMBER(Financials!E61),ISNUMBER(Financials!AP61)))),"—",IF(IFERROR(AND(ISNUMBER(Financials!E61),ISNUMBER(Financials!AP61),Financials!E61&lt;&gt;0,ABS(Financials!E61-Financials!AP61)/ABS(Financials!E61)&gt;0.05),FALSE),"⚠","✓"))</f>
        <v/>
      </c>
      <c r="L64">
        <f>IF(NOT(AND(IFERROR('Company_Master'!A61&lt;&gt;"",FALSE),AND(ISNUMBER(Financials!AR61),ISNUMBER(Financials!S61)))),"—",IF(IFERROR(AND(ISNUMBER(Financials!AR61),ISNUMBER(Financials!S61),Financials!S61&lt;&gt;0,ABS(Financials!AR61-Financials!S61)/MAX(ABS(Financials!S61),1)&gt;0.05),FALSE),"⚠","✓"))</f>
        <v/>
      </c>
      <c r="M64">
        <f>IF(NOT(AND(IFERROR('Company_Master'!A61&lt;&gt;"",FALSE),AND(ISNUMBER(Asset_Operations!BE61),ISNUMBER(Asset_Operations!AR61)))),"—",IF(IFERROR(AND(ISNUMBER(Asset_Operations!BE61),ISNUMBER(Asset_Operations!AR61),ABS(Asset_Operations!BE61-Asset_Operations!AR61)&gt;0.05),FALSE),"⚠","✓"))</f>
        <v/>
      </c>
      <c r="N64">
        <f>IF(NOT(AND(IFERROR('Company_Master'!A61&lt;&gt;"",FALSE),ISNUMBER(Financials!C61))),"—",IF(IFERROR(AND(ISNUMBER(Financials!C61),OR(Financials!C61&lt;50,Financials!C61&gt;200000)),FALSE),"⚠","✓"))</f>
        <v/>
      </c>
      <c r="O64">
        <f>COUNTIF(C64:N64,"⚠")</f>
        <v/>
      </c>
      <c r="P64">
        <f>COUNTIF(C64:N64,"✓")</f>
        <v/>
      </c>
      <c r="Q64">
        <f>IF(NOT(IFERROR('Company_Master'!A61&lt;&gt;"",FALSE)),"",IF(O64&gt;0,"⚠ "&amp;O64&amp;" issue(s) detected",IF(P64=0,"— No data to validate","✓ All "&amp;P64&amp;" checks passed")))</f>
        <v/>
      </c>
    </row>
    <row r="65">
      <c r="A65" t="n">
        <v>61</v>
      </c>
      <c r="B65">
        <f>IFERROR('Company_Master'!A62,"")</f>
        <v/>
      </c>
      <c r="C65">
        <f>IF(NOT(AND(IFERROR('Company_Master'!A62&lt;&gt;"",FALSE),OR(ISNUMBER(Asset_Operations!B62),ISNUMBER(Asset_Operations!C62),ISNUMBER(Asset_Operations!D62)))),"—",IF(IFERROR(AND(ISNUMBER(Asset_Operations!B62),ISNUMBER(Asset_Operations!C62),ISNUMBER(Asset_Operations!D62),Asset_Operations!B62&gt;0,ABS((Asset_Operations!C62+Asset_Operations!D62)-Asset_Operations!B62)/Asset_Operations!B62&gt;0.02),FALSE),"⚠","✓"))</f>
        <v/>
      </c>
      <c r="D65">
        <f>IF(NOT(AND(IFERROR('Company_Master'!A62&lt;&gt;"",FALSE),OR(ISNUMBER(Asset_Operations!B62),ISNUMBER(Asset_Operations!E62),ISNUMBER(Asset_Operations!F62)))),"—",IF(IFERROR(AND(ISNUMBER(Asset_Operations!B62),ISNUMBER(Asset_Operations!E62),ISNUMBER(Asset_Operations!F62),Asset_Operations!B62&gt;0,ABS((Asset_Operations!E62+Asset_Operations!F62)-Asset_Operations!B62)/Asset_Operations!B62&gt;0.02),FALSE),"⚠","✓"))</f>
        <v/>
      </c>
      <c r="E65">
        <f>IF(NOT(AND(IFERROR('Company_Master'!A62&lt;&gt;"",FALSE),ISNUMBER(Asset_Operations!AR62))),"—",IF(IFERROR(AND(ISNUMBER(Asset_Operations!AR62),OR(Asset_Operations!AR62&lt;0.15,Asset_Operations!AR62&gt;0.27)),FALSE),"⚠","✓"))</f>
        <v/>
      </c>
      <c r="F65">
        <f>IF(NOT(AND(IFERROR('Company_Master'!A62&lt;&gt;"",FALSE),AND(ISNUMBER(Financials!Q62),ISNUMBER(Financials!R62)))),"—",IF(IFERROR(AND(ISNUMBER(Financials!Q62),ISNUMBER(Financials!R62),ISNUMBER(Financials!S62),ABS((Financials!R62-Financials!Q62)-Financials!S62)/MAX(ABS(Financials!S62),1)&gt;0.05),FALSE),"⚠","✓"))</f>
        <v/>
      </c>
      <c r="G65">
        <f>IF(NOT(AND(IFERROR('Company_Master'!A62&lt;&gt;"",FALSE),AND(ISNUMBER(Financials!I62),ISNUMBER(Financials!L62),ISNUMBER(Financials!O62)))),"—",IF(IFERROR(AND(ISNUMBER(Financials!I62),ISNUMBER(Financials!L62),ISNUMBER(Financials!O62),Financials!I62&gt;0,ABS(Financials!I62-(Financials!L62+Financials!O62))/Financials!I62&gt;0.01),FALSE),"⚠","✓"))</f>
        <v/>
      </c>
      <c r="H65">
        <f>IF(NOT(AND(IFERROR('Company_Master'!A62&lt;&gt;"",FALSE),AND(ISNUMBER(Financials!E62),ISNUMBER(Financials!F62)))),"—",IF(IFERROR(AND(ISNUMBER(Financials!E62),ISNUMBER(Financials!F62),Financials!E62&lt;Financials!F62),FALSE),"⚠","✓"))</f>
        <v/>
      </c>
      <c r="I65">
        <f>IF(NOT(AND(IFERROR('Company_Master'!A62&lt;&gt;"",FALSE),AND(ISNUMBER(Financials!C62),ISNUMBER(Financials!E62)))),"—",IF(IFERROR(AND(ISNUMBER(Financials!C62),ISNUMBER(Financials!E62),Financials!C62=0,Financials!E62&gt;0),FALSE),"⚠","✓"))</f>
        <v/>
      </c>
      <c r="J65">
        <f>IF(NOT(AND(IFERROR('Company_Master'!A62&lt;&gt;"",FALSE),COUNTIF('Raw_Extract'!A:A,'Company_Master'!A62)&gt;0)),"—",IF(COUNTIFS('Raw_Extract'!A:A,'Company_Master'!A62,'Raw_Extract'!J:J,"Low")&gt;0,"⚠","✓"))</f>
        <v/>
      </c>
      <c r="K65">
        <f>IF(NOT(AND(IFERROR('Company_Master'!A62&lt;&gt;"",FALSE),AND(ISNUMBER(Financials!E62),ISNUMBER(Financials!AP62)))),"—",IF(IFERROR(AND(ISNUMBER(Financials!E62),ISNUMBER(Financials!AP62),Financials!E62&lt;&gt;0,ABS(Financials!E62-Financials!AP62)/ABS(Financials!E62)&gt;0.05),FALSE),"⚠","✓"))</f>
        <v/>
      </c>
      <c r="L65">
        <f>IF(NOT(AND(IFERROR('Company_Master'!A62&lt;&gt;"",FALSE),AND(ISNUMBER(Financials!AR62),ISNUMBER(Financials!S62)))),"—",IF(IFERROR(AND(ISNUMBER(Financials!AR62),ISNUMBER(Financials!S62),Financials!S62&lt;&gt;0,ABS(Financials!AR62-Financials!S62)/MAX(ABS(Financials!S62),1)&gt;0.05),FALSE),"⚠","✓"))</f>
        <v/>
      </c>
      <c r="M65">
        <f>IF(NOT(AND(IFERROR('Company_Master'!A62&lt;&gt;"",FALSE),AND(ISNUMBER(Asset_Operations!BE62),ISNUMBER(Asset_Operations!AR62)))),"—",IF(IFERROR(AND(ISNUMBER(Asset_Operations!BE62),ISNUMBER(Asset_Operations!AR62),ABS(Asset_Operations!BE62-Asset_Operations!AR62)&gt;0.05),FALSE),"⚠","✓"))</f>
        <v/>
      </c>
      <c r="N65">
        <f>IF(NOT(AND(IFERROR('Company_Master'!A62&lt;&gt;"",FALSE),ISNUMBER(Financials!C62))),"—",IF(IFERROR(AND(ISNUMBER(Financials!C62),OR(Financials!C62&lt;50,Financials!C62&gt;200000)),FALSE),"⚠","✓"))</f>
        <v/>
      </c>
      <c r="O65">
        <f>COUNTIF(C65:N65,"⚠")</f>
        <v/>
      </c>
      <c r="P65">
        <f>COUNTIF(C65:N65,"✓")</f>
        <v/>
      </c>
      <c r="Q65">
        <f>IF(NOT(IFERROR('Company_Master'!A62&lt;&gt;"",FALSE)),"",IF(O65&gt;0,"⚠ "&amp;O65&amp;" issue(s) detected",IF(P65=0,"— No data to validate","✓ All "&amp;P65&amp;" checks passed")))</f>
        <v/>
      </c>
    </row>
    <row r="66">
      <c r="A66" t="n">
        <v>62</v>
      </c>
      <c r="B66">
        <f>IFERROR('Company_Master'!A63,"")</f>
        <v/>
      </c>
      <c r="C66">
        <f>IF(NOT(AND(IFERROR('Company_Master'!A63&lt;&gt;"",FALSE),OR(ISNUMBER(Asset_Operations!B63),ISNUMBER(Asset_Operations!C63),ISNUMBER(Asset_Operations!D63)))),"—",IF(IFERROR(AND(ISNUMBER(Asset_Operations!B63),ISNUMBER(Asset_Operations!C63),ISNUMBER(Asset_Operations!D63),Asset_Operations!B63&gt;0,ABS((Asset_Operations!C63+Asset_Operations!D63)-Asset_Operations!B63)/Asset_Operations!B63&gt;0.02),FALSE),"⚠","✓"))</f>
        <v/>
      </c>
      <c r="D66">
        <f>IF(NOT(AND(IFERROR('Company_Master'!A63&lt;&gt;"",FALSE),OR(ISNUMBER(Asset_Operations!B63),ISNUMBER(Asset_Operations!E63),ISNUMBER(Asset_Operations!F63)))),"—",IF(IFERROR(AND(ISNUMBER(Asset_Operations!B63),ISNUMBER(Asset_Operations!E63),ISNUMBER(Asset_Operations!F63),Asset_Operations!B63&gt;0,ABS((Asset_Operations!E63+Asset_Operations!F63)-Asset_Operations!B63)/Asset_Operations!B63&gt;0.02),FALSE),"⚠","✓"))</f>
        <v/>
      </c>
      <c r="E66">
        <f>IF(NOT(AND(IFERROR('Company_Master'!A63&lt;&gt;"",FALSE),ISNUMBER(Asset_Operations!AR63))),"—",IF(IFERROR(AND(ISNUMBER(Asset_Operations!AR63),OR(Asset_Operations!AR63&lt;0.15,Asset_Operations!AR63&gt;0.27)),FALSE),"⚠","✓"))</f>
        <v/>
      </c>
      <c r="F66">
        <f>IF(NOT(AND(IFERROR('Company_Master'!A63&lt;&gt;"",FALSE),AND(ISNUMBER(Financials!Q63),ISNUMBER(Financials!R63)))),"—",IF(IFERROR(AND(ISNUMBER(Financials!Q63),ISNUMBER(Financials!R63),ISNUMBER(Financials!S63),ABS((Financials!R63-Financials!Q63)-Financials!S63)/MAX(ABS(Financials!S63),1)&gt;0.05),FALSE),"⚠","✓"))</f>
        <v/>
      </c>
      <c r="G66">
        <f>IF(NOT(AND(IFERROR('Company_Master'!A63&lt;&gt;"",FALSE),AND(ISNUMBER(Financials!I63),ISNUMBER(Financials!L63),ISNUMBER(Financials!O63)))),"—",IF(IFERROR(AND(ISNUMBER(Financials!I63),ISNUMBER(Financials!L63),ISNUMBER(Financials!O63),Financials!I63&gt;0,ABS(Financials!I63-(Financials!L63+Financials!O63))/Financials!I63&gt;0.01),FALSE),"⚠","✓"))</f>
        <v/>
      </c>
      <c r="H66">
        <f>IF(NOT(AND(IFERROR('Company_Master'!A63&lt;&gt;"",FALSE),AND(ISNUMBER(Financials!E63),ISNUMBER(Financials!F63)))),"—",IF(IFERROR(AND(ISNUMBER(Financials!E63),ISNUMBER(Financials!F63),Financials!E63&lt;Financials!F63),FALSE),"⚠","✓"))</f>
        <v/>
      </c>
      <c r="I66">
        <f>IF(NOT(AND(IFERROR('Company_Master'!A63&lt;&gt;"",FALSE),AND(ISNUMBER(Financials!C63),ISNUMBER(Financials!E63)))),"—",IF(IFERROR(AND(ISNUMBER(Financials!C63),ISNUMBER(Financials!E63),Financials!C63=0,Financials!E63&gt;0),FALSE),"⚠","✓"))</f>
        <v/>
      </c>
      <c r="J66">
        <f>IF(NOT(AND(IFERROR('Company_Master'!A63&lt;&gt;"",FALSE),COUNTIF('Raw_Extract'!A:A,'Company_Master'!A63)&gt;0)),"—",IF(COUNTIFS('Raw_Extract'!A:A,'Company_Master'!A63,'Raw_Extract'!J:J,"Low")&gt;0,"⚠","✓"))</f>
        <v/>
      </c>
      <c r="K66">
        <f>IF(NOT(AND(IFERROR('Company_Master'!A63&lt;&gt;"",FALSE),AND(ISNUMBER(Financials!E63),ISNUMBER(Financials!AP63)))),"—",IF(IFERROR(AND(ISNUMBER(Financials!E63),ISNUMBER(Financials!AP63),Financials!E63&lt;&gt;0,ABS(Financials!E63-Financials!AP63)/ABS(Financials!E63)&gt;0.05),FALSE),"⚠","✓"))</f>
        <v/>
      </c>
      <c r="L66">
        <f>IF(NOT(AND(IFERROR('Company_Master'!A63&lt;&gt;"",FALSE),AND(ISNUMBER(Financials!AR63),ISNUMBER(Financials!S63)))),"—",IF(IFERROR(AND(ISNUMBER(Financials!AR63),ISNUMBER(Financials!S63),Financials!S63&lt;&gt;0,ABS(Financials!AR63-Financials!S63)/MAX(ABS(Financials!S63),1)&gt;0.05),FALSE),"⚠","✓"))</f>
        <v/>
      </c>
      <c r="M66">
        <f>IF(NOT(AND(IFERROR('Company_Master'!A63&lt;&gt;"",FALSE),AND(ISNUMBER(Asset_Operations!BE63),ISNUMBER(Asset_Operations!AR63)))),"—",IF(IFERROR(AND(ISNUMBER(Asset_Operations!BE63),ISNUMBER(Asset_Operations!AR63),ABS(Asset_Operations!BE63-Asset_Operations!AR63)&gt;0.05),FALSE),"⚠","✓"))</f>
        <v/>
      </c>
      <c r="N66">
        <f>IF(NOT(AND(IFERROR('Company_Master'!A63&lt;&gt;"",FALSE),ISNUMBER(Financials!C63))),"—",IF(IFERROR(AND(ISNUMBER(Financials!C63),OR(Financials!C63&lt;50,Financials!C63&gt;200000)),FALSE),"⚠","✓"))</f>
        <v/>
      </c>
      <c r="O66">
        <f>COUNTIF(C66:N66,"⚠")</f>
        <v/>
      </c>
      <c r="P66">
        <f>COUNTIF(C66:N66,"✓")</f>
        <v/>
      </c>
      <c r="Q66">
        <f>IF(NOT(IFERROR('Company_Master'!A63&lt;&gt;"",FALSE)),"",IF(O66&gt;0,"⚠ "&amp;O66&amp;" issue(s) detected",IF(P66=0,"— No data to validate","✓ All "&amp;P66&amp;" checks passed")))</f>
        <v/>
      </c>
    </row>
    <row r="67">
      <c r="A67" t="n">
        <v>63</v>
      </c>
      <c r="B67">
        <f>IFERROR('Company_Master'!A64,"")</f>
        <v/>
      </c>
      <c r="C67">
        <f>IF(NOT(AND(IFERROR('Company_Master'!A64&lt;&gt;"",FALSE),OR(ISNUMBER(Asset_Operations!B64),ISNUMBER(Asset_Operations!C64),ISNUMBER(Asset_Operations!D64)))),"—",IF(IFERROR(AND(ISNUMBER(Asset_Operations!B64),ISNUMBER(Asset_Operations!C64),ISNUMBER(Asset_Operations!D64),Asset_Operations!B64&gt;0,ABS((Asset_Operations!C64+Asset_Operations!D64)-Asset_Operations!B64)/Asset_Operations!B64&gt;0.02),FALSE),"⚠","✓"))</f>
        <v/>
      </c>
      <c r="D67">
        <f>IF(NOT(AND(IFERROR('Company_Master'!A64&lt;&gt;"",FALSE),OR(ISNUMBER(Asset_Operations!B64),ISNUMBER(Asset_Operations!E64),ISNUMBER(Asset_Operations!F64)))),"—",IF(IFERROR(AND(ISNUMBER(Asset_Operations!B64),ISNUMBER(Asset_Operations!E64),ISNUMBER(Asset_Operations!F64),Asset_Operations!B64&gt;0,ABS((Asset_Operations!E64+Asset_Operations!F64)-Asset_Operations!B64)/Asset_Operations!B64&gt;0.02),FALSE),"⚠","✓"))</f>
        <v/>
      </c>
      <c r="E67">
        <f>IF(NOT(AND(IFERROR('Company_Master'!A64&lt;&gt;"",FALSE),ISNUMBER(Asset_Operations!AR64))),"—",IF(IFERROR(AND(ISNUMBER(Asset_Operations!AR64),OR(Asset_Operations!AR64&lt;0.15,Asset_Operations!AR64&gt;0.27)),FALSE),"⚠","✓"))</f>
        <v/>
      </c>
      <c r="F67">
        <f>IF(NOT(AND(IFERROR('Company_Master'!A64&lt;&gt;"",FALSE),AND(ISNUMBER(Financials!Q64),ISNUMBER(Financials!R64)))),"—",IF(IFERROR(AND(ISNUMBER(Financials!Q64),ISNUMBER(Financials!R64),ISNUMBER(Financials!S64),ABS((Financials!R64-Financials!Q64)-Financials!S64)/MAX(ABS(Financials!S64),1)&gt;0.05),FALSE),"⚠","✓"))</f>
        <v/>
      </c>
      <c r="G67">
        <f>IF(NOT(AND(IFERROR('Company_Master'!A64&lt;&gt;"",FALSE),AND(ISNUMBER(Financials!I64),ISNUMBER(Financials!L64),ISNUMBER(Financials!O64)))),"—",IF(IFERROR(AND(ISNUMBER(Financials!I64),ISNUMBER(Financials!L64),ISNUMBER(Financials!O64),Financials!I64&gt;0,ABS(Financials!I64-(Financials!L64+Financials!O64))/Financials!I64&gt;0.01),FALSE),"⚠","✓"))</f>
        <v/>
      </c>
      <c r="H67">
        <f>IF(NOT(AND(IFERROR('Company_Master'!A64&lt;&gt;"",FALSE),AND(ISNUMBER(Financials!E64),ISNUMBER(Financials!F64)))),"—",IF(IFERROR(AND(ISNUMBER(Financials!E64),ISNUMBER(Financials!F64),Financials!E64&lt;Financials!F64),FALSE),"⚠","✓"))</f>
        <v/>
      </c>
      <c r="I67">
        <f>IF(NOT(AND(IFERROR('Company_Master'!A64&lt;&gt;"",FALSE),AND(ISNUMBER(Financials!C64),ISNUMBER(Financials!E64)))),"—",IF(IFERROR(AND(ISNUMBER(Financials!C64),ISNUMBER(Financials!E64),Financials!C64=0,Financials!E64&gt;0),FALSE),"⚠","✓"))</f>
        <v/>
      </c>
      <c r="J67">
        <f>IF(NOT(AND(IFERROR('Company_Master'!A64&lt;&gt;"",FALSE),COUNTIF('Raw_Extract'!A:A,'Company_Master'!A64)&gt;0)),"—",IF(COUNTIFS('Raw_Extract'!A:A,'Company_Master'!A64,'Raw_Extract'!J:J,"Low")&gt;0,"⚠","✓"))</f>
        <v/>
      </c>
      <c r="K67">
        <f>IF(NOT(AND(IFERROR('Company_Master'!A64&lt;&gt;"",FALSE),AND(ISNUMBER(Financials!E64),ISNUMBER(Financials!AP64)))),"—",IF(IFERROR(AND(ISNUMBER(Financials!E64),ISNUMBER(Financials!AP64),Financials!E64&lt;&gt;0,ABS(Financials!E64-Financials!AP64)/ABS(Financials!E64)&gt;0.05),FALSE),"⚠","✓"))</f>
        <v/>
      </c>
      <c r="L67">
        <f>IF(NOT(AND(IFERROR('Company_Master'!A64&lt;&gt;"",FALSE),AND(ISNUMBER(Financials!AR64),ISNUMBER(Financials!S64)))),"—",IF(IFERROR(AND(ISNUMBER(Financials!AR64),ISNUMBER(Financials!S64),Financials!S64&lt;&gt;0,ABS(Financials!AR64-Financials!S64)/MAX(ABS(Financials!S64),1)&gt;0.05),FALSE),"⚠","✓"))</f>
        <v/>
      </c>
      <c r="M67">
        <f>IF(NOT(AND(IFERROR('Company_Master'!A64&lt;&gt;"",FALSE),AND(ISNUMBER(Asset_Operations!BE64),ISNUMBER(Asset_Operations!AR64)))),"—",IF(IFERROR(AND(ISNUMBER(Asset_Operations!BE64),ISNUMBER(Asset_Operations!AR64),ABS(Asset_Operations!BE64-Asset_Operations!AR64)&gt;0.05),FALSE),"⚠","✓"))</f>
        <v/>
      </c>
      <c r="N67">
        <f>IF(NOT(AND(IFERROR('Company_Master'!A64&lt;&gt;"",FALSE),ISNUMBER(Financials!C64))),"—",IF(IFERROR(AND(ISNUMBER(Financials!C64),OR(Financials!C64&lt;50,Financials!C64&gt;200000)),FALSE),"⚠","✓"))</f>
        <v/>
      </c>
      <c r="O67">
        <f>COUNTIF(C67:N67,"⚠")</f>
        <v/>
      </c>
      <c r="P67">
        <f>COUNTIF(C67:N67,"✓")</f>
        <v/>
      </c>
      <c r="Q67">
        <f>IF(NOT(IFERROR('Company_Master'!A64&lt;&gt;"",FALSE)),"",IF(O67&gt;0,"⚠ "&amp;O67&amp;" issue(s) detected",IF(P67=0,"— No data to validate","✓ All "&amp;P67&amp;" checks passed")))</f>
        <v/>
      </c>
    </row>
    <row r="68">
      <c r="A68" t="n">
        <v>64</v>
      </c>
      <c r="B68">
        <f>IFERROR('Company_Master'!A65,"")</f>
        <v/>
      </c>
      <c r="C68">
        <f>IF(NOT(AND(IFERROR('Company_Master'!A65&lt;&gt;"",FALSE),OR(ISNUMBER(Asset_Operations!B65),ISNUMBER(Asset_Operations!C65),ISNUMBER(Asset_Operations!D65)))),"—",IF(IFERROR(AND(ISNUMBER(Asset_Operations!B65),ISNUMBER(Asset_Operations!C65),ISNUMBER(Asset_Operations!D65),Asset_Operations!B65&gt;0,ABS((Asset_Operations!C65+Asset_Operations!D65)-Asset_Operations!B65)/Asset_Operations!B65&gt;0.02),FALSE),"⚠","✓"))</f>
        <v/>
      </c>
      <c r="D68">
        <f>IF(NOT(AND(IFERROR('Company_Master'!A65&lt;&gt;"",FALSE),OR(ISNUMBER(Asset_Operations!B65),ISNUMBER(Asset_Operations!E65),ISNUMBER(Asset_Operations!F65)))),"—",IF(IFERROR(AND(ISNUMBER(Asset_Operations!B65),ISNUMBER(Asset_Operations!E65),ISNUMBER(Asset_Operations!F65),Asset_Operations!B65&gt;0,ABS((Asset_Operations!E65+Asset_Operations!F65)-Asset_Operations!B65)/Asset_Operations!B65&gt;0.02),FALSE),"⚠","✓"))</f>
        <v/>
      </c>
      <c r="E68">
        <f>IF(NOT(AND(IFERROR('Company_Master'!A65&lt;&gt;"",FALSE),ISNUMBER(Asset_Operations!AR65))),"—",IF(IFERROR(AND(ISNUMBER(Asset_Operations!AR65),OR(Asset_Operations!AR65&lt;0.15,Asset_Operations!AR65&gt;0.27)),FALSE),"⚠","✓"))</f>
        <v/>
      </c>
      <c r="F68">
        <f>IF(NOT(AND(IFERROR('Company_Master'!A65&lt;&gt;"",FALSE),AND(ISNUMBER(Financials!Q65),ISNUMBER(Financials!R65)))),"—",IF(IFERROR(AND(ISNUMBER(Financials!Q65),ISNUMBER(Financials!R65),ISNUMBER(Financials!S65),ABS((Financials!R65-Financials!Q65)-Financials!S65)/MAX(ABS(Financials!S65),1)&gt;0.05),FALSE),"⚠","✓"))</f>
        <v/>
      </c>
      <c r="G68">
        <f>IF(NOT(AND(IFERROR('Company_Master'!A65&lt;&gt;"",FALSE),AND(ISNUMBER(Financials!I65),ISNUMBER(Financials!L65),ISNUMBER(Financials!O65)))),"—",IF(IFERROR(AND(ISNUMBER(Financials!I65),ISNUMBER(Financials!L65),ISNUMBER(Financials!O65),Financials!I65&gt;0,ABS(Financials!I65-(Financials!L65+Financials!O65))/Financials!I65&gt;0.01),FALSE),"⚠","✓"))</f>
        <v/>
      </c>
      <c r="H68">
        <f>IF(NOT(AND(IFERROR('Company_Master'!A65&lt;&gt;"",FALSE),AND(ISNUMBER(Financials!E65),ISNUMBER(Financials!F65)))),"—",IF(IFERROR(AND(ISNUMBER(Financials!E65),ISNUMBER(Financials!F65),Financials!E65&lt;Financials!F65),FALSE),"⚠","✓"))</f>
        <v/>
      </c>
      <c r="I68">
        <f>IF(NOT(AND(IFERROR('Company_Master'!A65&lt;&gt;"",FALSE),AND(ISNUMBER(Financials!C65),ISNUMBER(Financials!E65)))),"—",IF(IFERROR(AND(ISNUMBER(Financials!C65),ISNUMBER(Financials!E65),Financials!C65=0,Financials!E65&gt;0),FALSE),"⚠","✓"))</f>
        <v/>
      </c>
      <c r="J68">
        <f>IF(NOT(AND(IFERROR('Company_Master'!A65&lt;&gt;"",FALSE),COUNTIF('Raw_Extract'!A:A,'Company_Master'!A65)&gt;0)),"—",IF(COUNTIFS('Raw_Extract'!A:A,'Company_Master'!A65,'Raw_Extract'!J:J,"Low")&gt;0,"⚠","✓"))</f>
        <v/>
      </c>
      <c r="K68">
        <f>IF(NOT(AND(IFERROR('Company_Master'!A65&lt;&gt;"",FALSE),AND(ISNUMBER(Financials!E65),ISNUMBER(Financials!AP65)))),"—",IF(IFERROR(AND(ISNUMBER(Financials!E65),ISNUMBER(Financials!AP65),Financials!E65&lt;&gt;0,ABS(Financials!E65-Financials!AP65)/ABS(Financials!E65)&gt;0.05),FALSE),"⚠","✓"))</f>
        <v/>
      </c>
      <c r="L68">
        <f>IF(NOT(AND(IFERROR('Company_Master'!A65&lt;&gt;"",FALSE),AND(ISNUMBER(Financials!AR65),ISNUMBER(Financials!S65)))),"—",IF(IFERROR(AND(ISNUMBER(Financials!AR65),ISNUMBER(Financials!S65),Financials!S65&lt;&gt;0,ABS(Financials!AR65-Financials!S65)/MAX(ABS(Financials!S65),1)&gt;0.05),FALSE),"⚠","✓"))</f>
        <v/>
      </c>
      <c r="M68">
        <f>IF(NOT(AND(IFERROR('Company_Master'!A65&lt;&gt;"",FALSE),AND(ISNUMBER(Asset_Operations!BE65),ISNUMBER(Asset_Operations!AR65)))),"—",IF(IFERROR(AND(ISNUMBER(Asset_Operations!BE65),ISNUMBER(Asset_Operations!AR65),ABS(Asset_Operations!BE65-Asset_Operations!AR65)&gt;0.05),FALSE),"⚠","✓"))</f>
        <v/>
      </c>
      <c r="N68">
        <f>IF(NOT(AND(IFERROR('Company_Master'!A65&lt;&gt;"",FALSE),ISNUMBER(Financials!C65))),"—",IF(IFERROR(AND(ISNUMBER(Financials!C65),OR(Financials!C65&lt;50,Financials!C65&gt;200000)),FALSE),"⚠","✓"))</f>
        <v/>
      </c>
      <c r="O68">
        <f>COUNTIF(C68:N68,"⚠")</f>
        <v/>
      </c>
      <c r="P68">
        <f>COUNTIF(C68:N68,"✓")</f>
        <v/>
      </c>
      <c r="Q68">
        <f>IF(NOT(IFERROR('Company_Master'!A65&lt;&gt;"",FALSE)),"",IF(O68&gt;0,"⚠ "&amp;O68&amp;" issue(s) detected",IF(P68=0,"— No data to validate","✓ All "&amp;P68&amp;" checks passed")))</f>
        <v/>
      </c>
    </row>
    <row r="69">
      <c r="A69" t="n">
        <v>65</v>
      </c>
      <c r="B69">
        <f>IFERROR('Company_Master'!A66,"")</f>
        <v/>
      </c>
      <c r="C69">
        <f>IF(NOT(AND(IFERROR('Company_Master'!A66&lt;&gt;"",FALSE),OR(ISNUMBER(Asset_Operations!B66),ISNUMBER(Asset_Operations!C66),ISNUMBER(Asset_Operations!D66)))),"—",IF(IFERROR(AND(ISNUMBER(Asset_Operations!B66),ISNUMBER(Asset_Operations!C66),ISNUMBER(Asset_Operations!D66),Asset_Operations!B66&gt;0,ABS((Asset_Operations!C66+Asset_Operations!D66)-Asset_Operations!B66)/Asset_Operations!B66&gt;0.02),FALSE),"⚠","✓"))</f>
        <v/>
      </c>
      <c r="D69">
        <f>IF(NOT(AND(IFERROR('Company_Master'!A66&lt;&gt;"",FALSE),OR(ISNUMBER(Asset_Operations!B66),ISNUMBER(Asset_Operations!E66),ISNUMBER(Asset_Operations!F66)))),"—",IF(IFERROR(AND(ISNUMBER(Asset_Operations!B66),ISNUMBER(Asset_Operations!E66),ISNUMBER(Asset_Operations!F66),Asset_Operations!B66&gt;0,ABS((Asset_Operations!E66+Asset_Operations!F66)-Asset_Operations!B66)/Asset_Operations!B66&gt;0.02),FALSE),"⚠","✓"))</f>
        <v/>
      </c>
      <c r="E69">
        <f>IF(NOT(AND(IFERROR('Company_Master'!A66&lt;&gt;"",FALSE),ISNUMBER(Asset_Operations!AR66))),"—",IF(IFERROR(AND(ISNUMBER(Asset_Operations!AR66),OR(Asset_Operations!AR66&lt;0.15,Asset_Operations!AR66&gt;0.27)),FALSE),"⚠","✓"))</f>
        <v/>
      </c>
      <c r="F69">
        <f>IF(NOT(AND(IFERROR('Company_Master'!A66&lt;&gt;"",FALSE),AND(ISNUMBER(Financials!Q66),ISNUMBER(Financials!R66)))),"—",IF(IFERROR(AND(ISNUMBER(Financials!Q66),ISNUMBER(Financials!R66),ISNUMBER(Financials!S66),ABS((Financials!R66-Financials!Q66)-Financials!S66)/MAX(ABS(Financials!S66),1)&gt;0.05),FALSE),"⚠","✓"))</f>
        <v/>
      </c>
      <c r="G69">
        <f>IF(NOT(AND(IFERROR('Company_Master'!A66&lt;&gt;"",FALSE),AND(ISNUMBER(Financials!I66),ISNUMBER(Financials!L66),ISNUMBER(Financials!O66)))),"—",IF(IFERROR(AND(ISNUMBER(Financials!I66),ISNUMBER(Financials!L66),ISNUMBER(Financials!O66),Financials!I66&gt;0,ABS(Financials!I66-(Financials!L66+Financials!O66))/Financials!I66&gt;0.01),FALSE),"⚠","✓"))</f>
        <v/>
      </c>
      <c r="H69">
        <f>IF(NOT(AND(IFERROR('Company_Master'!A66&lt;&gt;"",FALSE),AND(ISNUMBER(Financials!E66),ISNUMBER(Financials!F66)))),"—",IF(IFERROR(AND(ISNUMBER(Financials!E66),ISNUMBER(Financials!F66),Financials!E66&lt;Financials!F66),FALSE),"⚠","✓"))</f>
        <v/>
      </c>
      <c r="I69">
        <f>IF(NOT(AND(IFERROR('Company_Master'!A66&lt;&gt;"",FALSE),AND(ISNUMBER(Financials!C66),ISNUMBER(Financials!E66)))),"—",IF(IFERROR(AND(ISNUMBER(Financials!C66),ISNUMBER(Financials!E66),Financials!C66=0,Financials!E66&gt;0),FALSE),"⚠","✓"))</f>
        <v/>
      </c>
      <c r="J69">
        <f>IF(NOT(AND(IFERROR('Company_Master'!A66&lt;&gt;"",FALSE),COUNTIF('Raw_Extract'!A:A,'Company_Master'!A66)&gt;0)),"—",IF(COUNTIFS('Raw_Extract'!A:A,'Company_Master'!A66,'Raw_Extract'!J:J,"Low")&gt;0,"⚠","✓"))</f>
        <v/>
      </c>
      <c r="K69">
        <f>IF(NOT(AND(IFERROR('Company_Master'!A66&lt;&gt;"",FALSE),AND(ISNUMBER(Financials!E66),ISNUMBER(Financials!AP66)))),"—",IF(IFERROR(AND(ISNUMBER(Financials!E66),ISNUMBER(Financials!AP66),Financials!E66&lt;&gt;0,ABS(Financials!E66-Financials!AP66)/ABS(Financials!E66)&gt;0.05),FALSE),"⚠","✓"))</f>
        <v/>
      </c>
      <c r="L69">
        <f>IF(NOT(AND(IFERROR('Company_Master'!A66&lt;&gt;"",FALSE),AND(ISNUMBER(Financials!AR66),ISNUMBER(Financials!S66)))),"—",IF(IFERROR(AND(ISNUMBER(Financials!AR66),ISNUMBER(Financials!S66),Financials!S66&lt;&gt;0,ABS(Financials!AR66-Financials!S66)/MAX(ABS(Financials!S66),1)&gt;0.05),FALSE),"⚠","✓"))</f>
        <v/>
      </c>
      <c r="M69">
        <f>IF(NOT(AND(IFERROR('Company_Master'!A66&lt;&gt;"",FALSE),AND(ISNUMBER(Asset_Operations!BE66),ISNUMBER(Asset_Operations!AR66)))),"—",IF(IFERROR(AND(ISNUMBER(Asset_Operations!BE66),ISNUMBER(Asset_Operations!AR66),ABS(Asset_Operations!BE66-Asset_Operations!AR66)&gt;0.05),FALSE),"⚠","✓"))</f>
        <v/>
      </c>
      <c r="N69">
        <f>IF(NOT(AND(IFERROR('Company_Master'!A66&lt;&gt;"",FALSE),ISNUMBER(Financials!C66))),"—",IF(IFERROR(AND(ISNUMBER(Financials!C66),OR(Financials!C66&lt;50,Financials!C66&gt;200000)),FALSE),"⚠","✓"))</f>
        <v/>
      </c>
      <c r="O69">
        <f>COUNTIF(C69:N69,"⚠")</f>
        <v/>
      </c>
      <c r="P69">
        <f>COUNTIF(C69:N69,"✓")</f>
        <v/>
      </c>
      <c r="Q69">
        <f>IF(NOT(IFERROR('Company_Master'!A66&lt;&gt;"",FALSE)),"",IF(O69&gt;0,"⚠ "&amp;O69&amp;" issue(s) detected",IF(P69=0,"— No data to validate","✓ All "&amp;P69&amp;" checks passed")))</f>
        <v/>
      </c>
    </row>
    <row r="70">
      <c r="A70" t="n">
        <v>66</v>
      </c>
      <c r="B70">
        <f>IFERROR('Company_Master'!A67,"")</f>
        <v/>
      </c>
      <c r="C70">
        <f>IF(NOT(AND(IFERROR('Company_Master'!A67&lt;&gt;"",FALSE),OR(ISNUMBER(Asset_Operations!B67),ISNUMBER(Asset_Operations!C67),ISNUMBER(Asset_Operations!D67)))),"—",IF(IFERROR(AND(ISNUMBER(Asset_Operations!B67),ISNUMBER(Asset_Operations!C67),ISNUMBER(Asset_Operations!D67),Asset_Operations!B67&gt;0,ABS((Asset_Operations!C67+Asset_Operations!D67)-Asset_Operations!B67)/Asset_Operations!B67&gt;0.02),FALSE),"⚠","✓"))</f>
        <v/>
      </c>
      <c r="D70">
        <f>IF(NOT(AND(IFERROR('Company_Master'!A67&lt;&gt;"",FALSE),OR(ISNUMBER(Asset_Operations!B67),ISNUMBER(Asset_Operations!E67),ISNUMBER(Asset_Operations!F67)))),"—",IF(IFERROR(AND(ISNUMBER(Asset_Operations!B67),ISNUMBER(Asset_Operations!E67),ISNUMBER(Asset_Operations!F67),Asset_Operations!B67&gt;0,ABS((Asset_Operations!E67+Asset_Operations!F67)-Asset_Operations!B67)/Asset_Operations!B67&gt;0.02),FALSE),"⚠","✓"))</f>
        <v/>
      </c>
      <c r="E70">
        <f>IF(NOT(AND(IFERROR('Company_Master'!A67&lt;&gt;"",FALSE),ISNUMBER(Asset_Operations!AR67))),"—",IF(IFERROR(AND(ISNUMBER(Asset_Operations!AR67),OR(Asset_Operations!AR67&lt;0.15,Asset_Operations!AR67&gt;0.27)),FALSE),"⚠","✓"))</f>
        <v/>
      </c>
      <c r="F70">
        <f>IF(NOT(AND(IFERROR('Company_Master'!A67&lt;&gt;"",FALSE),AND(ISNUMBER(Financials!Q67),ISNUMBER(Financials!R67)))),"—",IF(IFERROR(AND(ISNUMBER(Financials!Q67),ISNUMBER(Financials!R67),ISNUMBER(Financials!S67),ABS((Financials!R67-Financials!Q67)-Financials!S67)/MAX(ABS(Financials!S67),1)&gt;0.05),FALSE),"⚠","✓"))</f>
        <v/>
      </c>
      <c r="G70">
        <f>IF(NOT(AND(IFERROR('Company_Master'!A67&lt;&gt;"",FALSE),AND(ISNUMBER(Financials!I67),ISNUMBER(Financials!L67),ISNUMBER(Financials!O67)))),"—",IF(IFERROR(AND(ISNUMBER(Financials!I67),ISNUMBER(Financials!L67),ISNUMBER(Financials!O67),Financials!I67&gt;0,ABS(Financials!I67-(Financials!L67+Financials!O67))/Financials!I67&gt;0.01),FALSE),"⚠","✓"))</f>
        <v/>
      </c>
      <c r="H70">
        <f>IF(NOT(AND(IFERROR('Company_Master'!A67&lt;&gt;"",FALSE),AND(ISNUMBER(Financials!E67),ISNUMBER(Financials!F67)))),"—",IF(IFERROR(AND(ISNUMBER(Financials!E67),ISNUMBER(Financials!F67),Financials!E67&lt;Financials!F67),FALSE),"⚠","✓"))</f>
        <v/>
      </c>
      <c r="I70">
        <f>IF(NOT(AND(IFERROR('Company_Master'!A67&lt;&gt;"",FALSE),AND(ISNUMBER(Financials!C67),ISNUMBER(Financials!E67)))),"—",IF(IFERROR(AND(ISNUMBER(Financials!C67),ISNUMBER(Financials!E67),Financials!C67=0,Financials!E67&gt;0),FALSE),"⚠","✓"))</f>
        <v/>
      </c>
      <c r="J70">
        <f>IF(NOT(AND(IFERROR('Company_Master'!A67&lt;&gt;"",FALSE),COUNTIF('Raw_Extract'!A:A,'Company_Master'!A67)&gt;0)),"—",IF(COUNTIFS('Raw_Extract'!A:A,'Company_Master'!A67,'Raw_Extract'!J:J,"Low")&gt;0,"⚠","✓"))</f>
        <v/>
      </c>
      <c r="K70">
        <f>IF(NOT(AND(IFERROR('Company_Master'!A67&lt;&gt;"",FALSE),AND(ISNUMBER(Financials!E67),ISNUMBER(Financials!AP67)))),"—",IF(IFERROR(AND(ISNUMBER(Financials!E67),ISNUMBER(Financials!AP67),Financials!E67&lt;&gt;0,ABS(Financials!E67-Financials!AP67)/ABS(Financials!E67)&gt;0.05),FALSE),"⚠","✓"))</f>
        <v/>
      </c>
      <c r="L70">
        <f>IF(NOT(AND(IFERROR('Company_Master'!A67&lt;&gt;"",FALSE),AND(ISNUMBER(Financials!AR67),ISNUMBER(Financials!S67)))),"—",IF(IFERROR(AND(ISNUMBER(Financials!AR67),ISNUMBER(Financials!S67),Financials!S67&lt;&gt;0,ABS(Financials!AR67-Financials!S67)/MAX(ABS(Financials!S67),1)&gt;0.05),FALSE),"⚠","✓"))</f>
        <v/>
      </c>
      <c r="M70">
        <f>IF(NOT(AND(IFERROR('Company_Master'!A67&lt;&gt;"",FALSE),AND(ISNUMBER(Asset_Operations!BE67),ISNUMBER(Asset_Operations!AR67)))),"—",IF(IFERROR(AND(ISNUMBER(Asset_Operations!BE67),ISNUMBER(Asset_Operations!AR67),ABS(Asset_Operations!BE67-Asset_Operations!AR67)&gt;0.05),FALSE),"⚠","✓"))</f>
        <v/>
      </c>
      <c r="N70">
        <f>IF(NOT(AND(IFERROR('Company_Master'!A67&lt;&gt;"",FALSE),ISNUMBER(Financials!C67))),"—",IF(IFERROR(AND(ISNUMBER(Financials!C67),OR(Financials!C67&lt;50,Financials!C67&gt;200000)),FALSE),"⚠","✓"))</f>
        <v/>
      </c>
      <c r="O70">
        <f>COUNTIF(C70:N70,"⚠")</f>
        <v/>
      </c>
      <c r="P70">
        <f>COUNTIF(C70:N70,"✓")</f>
        <v/>
      </c>
      <c r="Q70">
        <f>IF(NOT(IFERROR('Company_Master'!A67&lt;&gt;"",FALSE)),"",IF(O70&gt;0,"⚠ "&amp;O70&amp;" issue(s) detected",IF(P70=0,"— No data to validate","✓ All "&amp;P70&amp;" checks passed")))</f>
        <v/>
      </c>
    </row>
    <row r="71">
      <c r="A71" t="n">
        <v>67</v>
      </c>
      <c r="B71">
        <f>IFERROR('Company_Master'!A68,"")</f>
        <v/>
      </c>
      <c r="C71">
        <f>IF(NOT(AND(IFERROR('Company_Master'!A68&lt;&gt;"",FALSE),OR(ISNUMBER(Asset_Operations!B68),ISNUMBER(Asset_Operations!C68),ISNUMBER(Asset_Operations!D68)))),"—",IF(IFERROR(AND(ISNUMBER(Asset_Operations!B68),ISNUMBER(Asset_Operations!C68),ISNUMBER(Asset_Operations!D68),Asset_Operations!B68&gt;0,ABS((Asset_Operations!C68+Asset_Operations!D68)-Asset_Operations!B68)/Asset_Operations!B68&gt;0.02),FALSE),"⚠","✓"))</f>
        <v/>
      </c>
      <c r="D71">
        <f>IF(NOT(AND(IFERROR('Company_Master'!A68&lt;&gt;"",FALSE),OR(ISNUMBER(Asset_Operations!B68),ISNUMBER(Asset_Operations!E68),ISNUMBER(Asset_Operations!F68)))),"—",IF(IFERROR(AND(ISNUMBER(Asset_Operations!B68),ISNUMBER(Asset_Operations!E68),ISNUMBER(Asset_Operations!F68),Asset_Operations!B68&gt;0,ABS((Asset_Operations!E68+Asset_Operations!F68)-Asset_Operations!B68)/Asset_Operations!B68&gt;0.02),FALSE),"⚠","✓"))</f>
        <v/>
      </c>
      <c r="E71">
        <f>IF(NOT(AND(IFERROR('Company_Master'!A68&lt;&gt;"",FALSE),ISNUMBER(Asset_Operations!AR68))),"—",IF(IFERROR(AND(ISNUMBER(Asset_Operations!AR68),OR(Asset_Operations!AR68&lt;0.15,Asset_Operations!AR68&gt;0.27)),FALSE),"⚠","✓"))</f>
        <v/>
      </c>
      <c r="F71">
        <f>IF(NOT(AND(IFERROR('Company_Master'!A68&lt;&gt;"",FALSE),AND(ISNUMBER(Financials!Q68),ISNUMBER(Financials!R68)))),"—",IF(IFERROR(AND(ISNUMBER(Financials!Q68),ISNUMBER(Financials!R68),ISNUMBER(Financials!S68),ABS((Financials!R68-Financials!Q68)-Financials!S68)/MAX(ABS(Financials!S68),1)&gt;0.05),FALSE),"⚠","✓"))</f>
        <v/>
      </c>
      <c r="G71">
        <f>IF(NOT(AND(IFERROR('Company_Master'!A68&lt;&gt;"",FALSE),AND(ISNUMBER(Financials!I68),ISNUMBER(Financials!L68),ISNUMBER(Financials!O68)))),"—",IF(IFERROR(AND(ISNUMBER(Financials!I68),ISNUMBER(Financials!L68),ISNUMBER(Financials!O68),Financials!I68&gt;0,ABS(Financials!I68-(Financials!L68+Financials!O68))/Financials!I68&gt;0.01),FALSE),"⚠","✓"))</f>
        <v/>
      </c>
      <c r="H71">
        <f>IF(NOT(AND(IFERROR('Company_Master'!A68&lt;&gt;"",FALSE),AND(ISNUMBER(Financials!E68),ISNUMBER(Financials!F68)))),"—",IF(IFERROR(AND(ISNUMBER(Financials!E68),ISNUMBER(Financials!F68),Financials!E68&lt;Financials!F68),FALSE),"⚠","✓"))</f>
        <v/>
      </c>
      <c r="I71">
        <f>IF(NOT(AND(IFERROR('Company_Master'!A68&lt;&gt;"",FALSE),AND(ISNUMBER(Financials!C68),ISNUMBER(Financials!E68)))),"—",IF(IFERROR(AND(ISNUMBER(Financials!C68),ISNUMBER(Financials!E68),Financials!C68=0,Financials!E68&gt;0),FALSE),"⚠","✓"))</f>
        <v/>
      </c>
      <c r="J71">
        <f>IF(NOT(AND(IFERROR('Company_Master'!A68&lt;&gt;"",FALSE),COUNTIF('Raw_Extract'!A:A,'Company_Master'!A68)&gt;0)),"—",IF(COUNTIFS('Raw_Extract'!A:A,'Company_Master'!A68,'Raw_Extract'!J:J,"Low")&gt;0,"⚠","✓"))</f>
        <v/>
      </c>
      <c r="K71">
        <f>IF(NOT(AND(IFERROR('Company_Master'!A68&lt;&gt;"",FALSE),AND(ISNUMBER(Financials!E68),ISNUMBER(Financials!AP68)))),"—",IF(IFERROR(AND(ISNUMBER(Financials!E68),ISNUMBER(Financials!AP68),Financials!E68&lt;&gt;0,ABS(Financials!E68-Financials!AP68)/ABS(Financials!E68)&gt;0.05),FALSE),"⚠","✓"))</f>
        <v/>
      </c>
      <c r="L71">
        <f>IF(NOT(AND(IFERROR('Company_Master'!A68&lt;&gt;"",FALSE),AND(ISNUMBER(Financials!AR68),ISNUMBER(Financials!S68)))),"—",IF(IFERROR(AND(ISNUMBER(Financials!AR68),ISNUMBER(Financials!S68),Financials!S68&lt;&gt;0,ABS(Financials!AR68-Financials!S68)/MAX(ABS(Financials!S68),1)&gt;0.05),FALSE),"⚠","✓"))</f>
        <v/>
      </c>
      <c r="M71">
        <f>IF(NOT(AND(IFERROR('Company_Master'!A68&lt;&gt;"",FALSE),AND(ISNUMBER(Asset_Operations!BE68),ISNUMBER(Asset_Operations!AR68)))),"—",IF(IFERROR(AND(ISNUMBER(Asset_Operations!BE68),ISNUMBER(Asset_Operations!AR68),ABS(Asset_Operations!BE68-Asset_Operations!AR68)&gt;0.05),FALSE),"⚠","✓"))</f>
        <v/>
      </c>
      <c r="N71">
        <f>IF(NOT(AND(IFERROR('Company_Master'!A68&lt;&gt;"",FALSE),ISNUMBER(Financials!C68))),"—",IF(IFERROR(AND(ISNUMBER(Financials!C68),OR(Financials!C68&lt;50,Financials!C68&gt;200000)),FALSE),"⚠","✓"))</f>
        <v/>
      </c>
      <c r="O71">
        <f>COUNTIF(C71:N71,"⚠")</f>
        <v/>
      </c>
      <c r="P71">
        <f>COUNTIF(C71:N71,"✓")</f>
        <v/>
      </c>
      <c r="Q71">
        <f>IF(NOT(IFERROR('Company_Master'!A68&lt;&gt;"",FALSE)),"",IF(O71&gt;0,"⚠ "&amp;O71&amp;" issue(s) detected",IF(P71=0,"— No data to validate","✓ All "&amp;P71&amp;" checks passed")))</f>
        <v/>
      </c>
    </row>
    <row r="72">
      <c r="A72" t="n">
        <v>68</v>
      </c>
      <c r="B72">
        <f>IFERROR('Company_Master'!A69,"")</f>
        <v/>
      </c>
      <c r="C72">
        <f>IF(NOT(AND(IFERROR('Company_Master'!A69&lt;&gt;"",FALSE),OR(ISNUMBER(Asset_Operations!B69),ISNUMBER(Asset_Operations!C69),ISNUMBER(Asset_Operations!D69)))),"—",IF(IFERROR(AND(ISNUMBER(Asset_Operations!B69),ISNUMBER(Asset_Operations!C69),ISNUMBER(Asset_Operations!D69),Asset_Operations!B69&gt;0,ABS((Asset_Operations!C69+Asset_Operations!D69)-Asset_Operations!B69)/Asset_Operations!B69&gt;0.02),FALSE),"⚠","✓"))</f>
        <v/>
      </c>
      <c r="D72">
        <f>IF(NOT(AND(IFERROR('Company_Master'!A69&lt;&gt;"",FALSE),OR(ISNUMBER(Asset_Operations!B69),ISNUMBER(Asset_Operations!E69),ISNUMBER(Asset_Operations!F69)))),"—",IF(IFERROR(AND(ISNUMBER(Asset_Operations!B69),ISNUMBER(Asset_Operations!E69),ISNUMBER(Asset_Operations!F69),Asset_Operations!B69&gt;0,ABS((Asset_Operations!E69+Asset_Operations!F69)-Asset_Operations!B69)/Asset_Operations!B69&gt;0.02),FALSE),"⚠","✓"))</f>
        <v/>
      </c>
      <c r="E72">
        <f>IF(NOT(AND(IFERROR('Company_Master'!A69&lt;&gt;"",FALSE),ISNUMBER(Asset_Operations!AR69))),"—",IF(IFERROR(AND(ISNUMBER(Asset_Operations!AR69),OR(Asset_Operations!AR69&lt;0.15,Asset_Operations!AR69&gt;0.27)),FALSE),"⚠","✓"))</f>
        <v/>
      </c>
      <c r="F72">
        <f>IF(NOT(AND(IFERROR('Company_Master'!A69&lt;&gt;"",FALSE),AND(ISNUMBER(Financials!Q69),ISNUMBER(Financials!R69)))),"—",IF(IFERROR(AND(ISNUMBER(Financials!Q69),ISNUMBER(Financials!R69),ISNUMBER(Financials!S69),ABS((Financials!R69-Financials!Q69)-Financials!S69)/MAX(ABS(Financials!S69),1)&gt;0.05),FALSE),"⚠","✓"))</f>
        <v/>
      </c>
      <c r="G72">
        <f>IF(NOT(AND(IFERROR('Company_Master'!A69&lt;&gt;"",FALSE),AND(ISNUMBER(Financials!I69),ISNUMBER(Financials!L69),ISNUMBER(Financials!O69)))),"—",IF(IFERROR(AND(ISNUMBER(Financials!I69),ISNUMBER(Financials!L69),ISNUMBER(Financials!O69),Financials!I69&gt;0,ABS(Financials!I69-(Financials!L69+Financials!O69))/Financials!I69&gt;0.01),FALSE),"⚠","✓"))</f>
        <v/>
      </c>
      <c r="H72">
        <f>IF(NOT(AND(IFERROR('Company_Master'!A69&lt;&gt;"",FALSE),AND(ISNUMBER(Financials!E69),ISNUMBER(Financials!F69)))),"—",IF(IFERROR(AND(ISNUMBER(Financials!E69),ISNUMBER(Financials!F69),Financials!E69&lt;Financials!F69),FALSE),"⚠","✓"))</f>
        <v/>
      </c>
      <c r="I72">
        <f>IF(NOT(AND(IFERROR('Company_Master'!A69&lt;&gt;"",FALSE),AND(ISNUMBER(Financials!C69),ISNUMBER(Financials!E69)))),"—",IF(IFERROR(AND(ISNUMBER(Financials!C69),ISNUMBER(Financials!E69),Financials!C69=0,Financials!E69&gt;0),FALSE),"⚠","✓"))</f>
        <v/>
      </c>
      <c r="J72">
        <f>IF(NOT(AND(IFERROR('Company_Master'!A69&lt;&gt;"",FALSE),COUNTIF('Raw_Extract'!A:A,'Company_Master'!A69)&gt;0)),"—",IF(COUNTIFS('Raw_Extract'!A:A,'Company_Master'!A69,'Raw_Extract'!J:J,"Low")&gt;0,"⚠","✓"))</f>
        <v/>
      </c>
      <c r="K72">
        <f>IF(NOT(AND(IFERROR('Company_Master'!A69&lt;&gt;"",FALSE),AND(ISNUMBER(Financials!E69),ISNUMBER(Financials!AP69)))),"—",IF(IFERROR(AND(ISNUMBER(Financials!E69),ISNUMBER(Financials!AP69),Financials!E69&lt;&gt;0,ABS(Financials!E69-Financials!AP69)/ABS(Financials!E69)&gt;0.05),FALSE),"⚠","✓"))</f>
        <v/>
      </c>
      <c r="L72">
        <f>IF(NOT(AND(IFERROR('Company_Master'!A69&lt;&gt;"",FALSE),AND(ISNUMBER(Financials!AR69),ISNUMBER(Financials!S69)))),"—",IF(IFERROR(AND(ISNUMBER(Financials!AR69),ISNUMBER(Financials!S69),Financials!S69&lt;&gt;0,ABS(Financials!AR69-Financials!S69)/MAX(ABS(Financials!S69),1)&gt;0.05),FALSE),"⚠","✓"))</f>
        <v/>
      </c>
      <c r="M72">
        <f>IF(NOT(AND(IFERROR('Company_Master'!A69&lt;&gt;"",FALSE),AND(ISNUMBER(Asset_Operations!BE69),ISNUMBER(Asset_Operations!AR69)))),"—",IF(IFERROR(AND(ISNUMBER(Asset_Operations!BE69),ISNUMBER(Asset_Operations!AR69),ABS(Asset_Operations!BE69-Asset_Operations!AR69)&gt;0.05),FALSE),"⚠","✓"))</f>
        <v/>
      </c>
      <c r="N72">
        <f>IF(NOT(AND(IFERROR('Company_Master'!A69&lt;&gt;"",FALSE),ISNUMBER(Financials!C69))),"—",IF(IFERROR(AND(ISNUMBER(Financials!C69),OR(Financials!C69&lt;50,Financials!C69&gt;200000)),FALSE),"⚠","✓"))</f>
        <v/>
      </c>
      <c r="O72">
        <f>COUNTIF(C72:N72,"⚠")</f>
        <v/>
      </c>
      <c r="P72">
        <f>COUNTIF(C72:N72,"✓")</f>
        <v/>
      </c>
      <c r="Q72">
        <f>IF(NOT(IFERROR('Company_Master'!A69&lt;&gt;"",FALSE)),"",IF(O72&gt;0,"⚠ "&amp;O72&amp;" issue(s) detected",IF(P72=0,"— No data to validate","✓ All "&amp;P72&amp;" checks passed")))</f>
        <v/>
      </c>
    </row>
    <row r="73">
      <c r="A73" t="n">
        <v>69</v>
      </c>
      <c r="B73">
        <f>IFERROR('Company_Master'!A70,"")</f>
        <v/>
      </c>
      <c r="C73">
        <f>IF(NOT(AND(IFERROR('Company_Master'!A70&lt;&gt;"",FALSE),OR(ISNUMBER(Asset_Operations!B70),ISNUMBER(Asset_Operations!C70),ISNUMBER(Asset_Operations!D70)))),"—",IF(IFERROR(AND(ISNUMBER(Asset_Operations!B70),ISNUMBER(Asset_Operations!C70),ISNUMBER(Asset_Operations!D70),Asset_Operations!B70&gt;0,ABS((Asset_Operations!C70+Asset_Operations!D70)-Asset_Operations!B70)/Asset_Operations!B70&gt;0.02),FALSE),"⚠","✓"))</f>
        <v/>
      </c>
      <c r="D73">
        <f>IF(NOT(AND(IFERROR('Company_Master'!A70&lt;&gt;"",FALSE),OR(ISNUMBER(Asset_Operations!B70),ISNUMBER(Asset_Operations!E70),ISNUMBER(Asset_Operations!F70)))),"—",IF(IFERROR(AND(ISNUMBER(Asset_Operations!B70),ISNUMBER(Asset_Operations!E70),ISNUMBER(Asset_Operations!F70),Asset_Operations!B70&gt;0,ABS((Asset_Operations!E70+Asset_Operations!F70)-Asset_Operations!B70)/Asset_Operations!B70&gt;0.02),FALSE),"⚠","✓"))</f>
        <v/>
      </c>
      <c r="E73">
        <f>IF(NOT(AND(IFERROR('Company_Master'!A70&lt;&gt;"",FALSE),ISNUMBER(Asset_Operations!AR70))),"—",IF(IFERROR(AND(ISNUMBER(Asset_Operations!AR70),OR(Asset_Operations!AR70&lt;0.15,Asset_Operations!AR70&gt;0.27)),FALSE),"⚠","✓"))</f>
        <v/>
      </c>
      <c r="F73">
        <f>IF(NOT(AND(IFERROR('Company_Master'!A70&lt;&gt;"",FALSE),AND(ISNUMBER(Financials!Q70),ISNUMBER(Financials!R70)))),"—",IF(IFERROR(AND(ISNUMBER(Financials!Q70),ISNUMBER(Financials!R70),ISNUMBER(Financials!S70),ABS((Financials!R70-Financials!Q70)-Financials!S70)/MAX(ABS(Financials!S70),1)&gt;0.05),FALSE),"⚠","✓"))</f>
        <v/>
      </c>
      <c r="G73">
        <f>IF(NOT(AND(IFERROR('Company_Master'!A70&lt;&gt;"",FALSE),AND(ISNUMBER(Financials!I70),ISNUMBER(Financials!L70),ISNUMBER(Financials!O70)))),"—",IF(IFERROR(AND(ISNUMBER(Financials!I70),ISNUMBER(Financials!L70),ISNUMBER(Financials!O70),Financials!I70&gt;0,ABS(Financials!I70-(Financials!L70+Financials!O70))/Financials!I70&gt;0.01),FALSE),"⚠","✓"))</f>
        <v/>
      </c>
      <c r="H73">
        <f>IF(NOT(AND(IFERROR('Company_Master'!A70&lt;&gt;"",FALSE),AND(ISNUMBER(Financials!E70),ISNUMBER(Financials!F70)))),"—",IF(IFERROR(AND(ISNUMBER(Financials!E70),ISNUMBER(Financials!F70),Financials!E70&lt;Financials!F70),FALSE),"⚠","✓"))</f>
        <v/>
      </c>
      <c r="I73">
        <f>IF(NOT(AND(IFERROR('Company_Master'!A70&lt;&gt;"",FALSE),AND(ISNUMBER(Financials!C70),ISNUMBER(Financials!E70)))),"—",IF(IFERROR(AND(ISNUMBER(Financials!C70),ISNUMBER(Financials!E70),Financials!C70=0,Financials!E70&gt;0),FALSE),"⚠","✓"))</f>
        <v/>
      </c>
      <c r="J73">
        <f>IF(NOT(AND(IFERROR('Company_Master'!A70&lt;&gt;"",FALSE),COUNTIF('Raw_Extract'!A:A,'Company_Master'!A70)&gt;0)),"—",IF(COUNTIFS('Raw_Extract'!A:A,'Company_Master'!A70,'Raw_Extract'!J:J,"Low")&gt;0,"⚠","✓"))</f>
        <v/>
      </c>
      <c r="K73">
        <f>IF(NOT(AND(IFERROR('Company_Master'!A70&lt;&gt;"",FALSE),AND(ISNUMBER(Financials!E70),ISNUMBER(Financials!AP70)))),"—",IF(IFERROR(AND(ISNUMBER(Financials!E70),ISNUMBER(Financials!AP70),Financials!E70&lt;&gt;0,ABS(Financials!E70-Financials!AP70)/ABS(Financials!E70)&gt;0.05),FALSE),"⚠","✓"))</f>
        <v/>
      </c>
      <c r="L73">
        <f>IF(NOT(AND(IFERROR('Company_Master'!A70&lt;&gt;"",FALSE),AND(ISNUMBER(Financials!AR70),ISNUMBER(Financials!S70)))),"—",IF(IFERROR(AND(ISNUMBER(Financials!AR70),ISNUMBER(Financials!S70),Financials!S70&lt;&gt;0,ABS(Financials!AR70-Financials!S70)/MAX(ABS(Financials!S70),1)&gt;0.05),FALSE),"⚠","✓"))</f>
        <v/>
      </c>
      <c r="M73">
        <f>IF(NOT(AND(IFERROR('Company_Master'!A70&lt;&gt;"",FALSE),AND(ISNUMBER(Asset_Operations!BE70),ISNUMBER(Asset_Operations!AR70)))),"—",IF(IFERROR(AND(ISNUMBER(Asset_Operations!BE70),ISNUMBER(Asset_Operations!AR70),ABS(Asset_Operations!BE70-Asset_Operations!AR70)&gt;0.05),FALSE),"⚠","✓"))</f>
        <v/>
      </c>
      <c r="N73">
        <f>IF(NOT(AND(IFERROR('Company_Master'!A70&lt;&gt;"",FALSE),ISNUMBER(Financials!C70))),"—",IF(IFERROR(AND(ISNUMBER(Financials!C70),OR(Financials!C70&lt;50,Financials!C70&gt;200000)),FALSE),"⚠","✓"))</f>
        <v/>
      </c>
      <c r="O73">
        <f>COUNTIF(C73:N73,"⚠")</f>
        <v/>
      </c>
      <c r="P73">
        <f>COUNTIF(C73:N73,"✓")</f>
        <v/>
      </c>
      <c r="Q73">
        <f>IF(NOT(IFERROR('Company_Master'!A70&lt;&gt;"",FALSE)),"",IF(O73&gt;0,"⚠ "&amp;O73&amp;" issue(s) detected",IF(P73=0,"— No data to validate","✓ All "&amp;P73&amp;" checks passed")))</f>
        <v/>
      </c>
    </row>
    <row r="74">
      <c r="A74" t="n">
        <v>70</v>
      </c>
      <c r="B74">
        <f>IFERROR('Company_Master'!A71,"")</f>
        <v/>
      </c>
      <c r="C74">
        <f>IF(NOT(AND(IFERROR('Company_Master'!A71&lt;&gt;"",FALSE),OR(ISNUMBER(Asset_Operations!B71),ISNUMBER(Asset_Operations!C71),ISNUMBER(Asset_Operations!D71)))),"—",IF(IFERROR(AND(ISNUMBER(Asset_Operations!B71),ISNUMBER(Asset_Operations!C71),ISNUMBER(Asset_Operations!D71),Asset_Operations!B71&gt;0,ABS((Asset_Operations!C71+Asset_Operations!D71)-Asset_Operations!B71)/Asset_Operations!B71&gt;0.02),FALSE),"⚠","✓"))</f>
        <v/>
      </c>
      <c r="D74">
        <f>IF(NOT(AND(IFERROR('Company_Master'!A71&lt;&gt;"",FALSE),OR(ISNUMBER(Asset_Operations!B71),ISNUMBER(Asset_Operations!E71),ISNUMBER(Asset_Operations!F71)))),"—",IF(IFERROR(AND(ISNUMBER(Asset_Operations!B71),ISNUMBER(Asset_Operations!E71),ISNUMBER(Asset_Operations!F71),Asset_Operations!B71&gt;0,ABS((Asset_Operations!E71+Asset_Operations!F71)-Asset_Operations!B71)/Asset_Operations!B71&gt;0.02),FALSE),"⚠","✓"))</f>
        <v/>
      </c>
      <c r="E74">
        <f>IF(NOT(AND(IFERROR('Company_Master'!A71&lt;&gt;"",FALSE),ISNUMBER(Asset_Operations!AR71))),"—",IF(IFERROR(AND(ISNUMBER(Asset_Operations!AR71),OR(Asset_Operations!AR71&lt;0.15,Asset_Operations!AR71&gt;0.27)),FALSE),"⚠","✓"))</f>
        <v/>
      </c>
      <c r="F74">
        <f>IF(NOT(AND(IFERROR('Company_Master'!A71&lt;&gt;"",FALSE),AND(ISNUMBER(Financials!Q71),ISNUMBER(Financials!R71)))),"—",IF(IFERROR(AND(ISNUMBER(Financials!Q71),ISNUMBER(Financials!R71),ISNUMBER(Financials!S71),ABS((Financials!R71-Financials!Q71)-Financials!S71)/MAX(ABS(Financials!S71),1)&gt;0.05),FALSE),"⚠","✓"))</f>
        <v/>
      </c>
      <c r="G74">
        <f>IF(NOT(AND(IFERROR('Company_Master'!A71&lt;&gt;"",FALSE),AND(ISNUMBER(Financials!I71),ISNUMBER(Financials!L71),ISNUMBER(Financials!O71)))),"—",IF(IFERROR(AND(ISNUMBER(Financials!I71),ISNUMBER(Financials!L71),ISNUMBER(Financials!O71),Financials!I71&gt;0,ABS(Financials!I71-(Financials!L71+Financials!O71))/Financials!I71&gt;0.01),FALSE),"⚠","✓"))</f>
        <v/>
      </c>
      <c r="H74">
        <f>IF(NOT(AND(IFERROR('Company_Master'!A71&lt;&gt;"",FALSE),AND(ISNUMBER(Financials!E71),ISNUMBER(Financials!F71)))),"—",IF(IFERROR(AND(ISNUMBER(Financials!E71),ISNUMBER(Financials!F71),Financials!E71&lt;Financials!F71),FALSE),"⚠","✓"))</f>
        <v/>
      </c>
      <c r="I74">
        <f>IF(NOT(AND(IFERROR('Company_Master'!A71&lt;&gt;"",FALSE),AND(ISNUMBER(Financials!C71),ISNUMBER(Financials!E71)))),"—",IF(IFERROR(AND(ISNUMBER(Financials!C71),ISNUMBER(Financials!E71),Financials!C71=0,Financials!E71&gt;0),FALSE),"⚠","✓"))</f>
        <v/>
      </c>
      <c r="J74">
        <f>IF(NOT(AND(IFERROR('Company_Master'!A71&lt;&gt;"",FALSE),COUNTIF('Raw_Extract'!A:A,'Company_Master'!A71)&gt;0)),"—",IF(COUNTIFS('Raw_Extract'!A:A,'Company_Master'!A71,'Raw_Extract'!J:J,"Low")&gt;0,"⚠","✓"))</f>
        <v/>
      </c>
      <c r="K74">
        <f>IF(NOT(AND(IFERROR('Company_Master'!A71&lt;&gt;"",FALSE),AND(ISNUMBER(Financials!E71),ISNUMBER(Financials!AP71)))),"—",IF(IFERROR(AND(ISNUMBER(Financials!E71),ISNUMBER(Financials!AP71),Financials!E71&lt;&gt;0,ABS(Financials!E71-Financials!AP71)/ABS(Financials!E71)&gt;0.05),FALSE),"⚠","✓"))</f>
        <v/>
      </c>
      <c r="L74">
        <f>IF(NOT(AND(IFERROR('Company_Master'!A71&lt;&gt;"",FALSE),AND(ISNUMBER(Financials!AR71),ISNUMBER(Financials!S71)))),"—",IF(IFERROR(AND(ISNUMBER(Financials!AR71),ISNUMBER(Financials!S71),Financials!S71&lt;&gt;0,ABS(Financials!AR71-Financials!S71)/MAX(ABS(Financials!S71),1)&gt;0.05),FALSE),"⚠","✓"))</f>
        <v/>
      </c>
      <c r="M74">
        <f>IF(NOT(AND(IFERROR('Company_Master'!A71&lt;&gt;"",FALSE),AND(ISNUMBER(Asset_Operations!BE71),ISNUMBER(Asset_Operations!AR71)))),"—",IF(IFERROR(AND(ISNUMBER(Asset_Operations!BE71),ISNUMBER(Asset_Operations!AR71),ABS(Asset_Operations!BE71-Asset_Operations!AR71)&gt;0.05),FALSE),"⚠","✓"))</f>
        <v/>
      </c>
      <c r="N74">
        <f>IF(NOT(AND(IFERROR('Company_Master'!A71&lt;&gt;"",FALSE),ISNUMBER(Financials!C71))),"—",IF(IFERROR(AND(ISNUMBER(Financials!C71),OR(Financials!C71&lt;50,Financials!C71&gt;200000)),FALSE),"⚠","✓"))</f>
        <v/>
      </c>
      <c r="O74">
        <f>COUNTIF(C74:N74,"⚠")</f>
        <v/>
      </c>
      <c r="P74">
        <f>COUNTIF(C74:N74,"✓")</f>
        <v/>
      </c>
      <c r="Q74">
        <f>IF(NOT(IFERROR('Company_Master'!A71&lt;&gt;"",FALSE)),"",IF(O74&gt;0,"⚠ "&amp;O74&amp;" issue(s) detected",IF(P74=0,"— No data to validate","✓ All "&amp;P74&amp;" checks passed")))</f>
        <v/>
      </c>
    </row>
    <row r="75">
      <c r="A75" t="n">
        <v>71</v>
      </c>
      <c r="B75">
        <f>IFERROR('Company_Master'!A72,"")</f>
        <v/>
      </c>
      <c r="C75">
        <f>IF(NOT(AND(IFERROR('Company_Master'!A72&lt;&gt;"",FALSE),OR(ISNUMBER(Asset_Operations!B72),ISNUMBER(Asset_Operations!C72),ISNUMBER(Asset_Operations!D72)))),"—",IF(IFERROR(AND(ISNUMBER(Asset_Operations!B72),ISNUMBER(Asset_Operations!C72),ISNUMBER(Asset_Operations!D72),Asset_Operations!B72&gt;0,ABS((Asset_Operations!C72+Asset_Operations!D72)-Asset_Operations!B72)/Asset_Operations!B72&gt;0.02),FALSE),"⚠","✓"))</f>
        <v/>
      </c>
      <c r="D75">
        <f>IF(NOT(AND(IFERROR('Company_Master'!A72&lt;&gt;"",FALSE),OR(ISNUMBER(Asset_Operations!B72),ISNUMBER(Asset_Operations!E72),ISNUMBER(Asset_Operations!F72)))),"—",IF(IFERROR(AND(ISNUMBER(Asset_Operations!B72),ISNUMBER(Asset_Operations!E72),ISNUMBER(Asset_Operations!F72),Asset_Operations!B72&gt;0,ABS((Asset_Operations!E72+Asset_Operations!F72)-Asset_Operations!B72)/Asset_Operations!B72&gt;0.02),FALSE),"⚠","✓"))</f>
        <v/>
      </c>
      <c r="E75">
        <f>IF(NOT(AND(IFERROR('Company_Master'!A72&lt;&gt;"",FALSE),ISNUMBER(Asset_Operations!AR72))),"—",IF(IFERROR(AND(ISNUMBER(Asset_Operations!AR72),OR(Asset_Operations!AR72&lt;0.15,Asset_Operations!AR72&gt;0.27)),FALSE),"⚠","✓"))</f>
        <v/>
      </c>
      <c r="F75">
        <f>IF(NOT(AND(IFERROR('Company_Master'!A72&lt;&gt;"",FALSE),AND(ISNUMBER(Financials!Q72),ISNUMBER(Financials!R72)))),"—",IF(IFERROR(AND(ISNUMBER(Financials!Q72),ISNUMBER(Financials!R72),ISNUMBER(Financials!S72),ABS((Financials!R72-Financials!Q72)-Financials!S72)/MAX(ABS(Financials!S72),1)&gt;0.05),FALSE),"⚠","✓"))</f>
        <v/>
      </c>
      <c r="G75">
        <f>IF(NOT(AND(IFERROR('Company_Master'!A72&lt;&gt;"",FALSE),AND(ISNUMBER(Financials!I72),ISNUMBER(Financials!L72),ISNUMBER(Financials!O72)))),"—",IF(IFERROR(AND(ISNUMBER(Financials!I72),ISNUMBER(Financials!L72),ISNUMBER(Financials!O72),Financials!I72&gt;0,ABS(Financials!I72-(Financials!L72+Financials!O72))/Financials!I72&gt;0.01),FALSE),"⚠","✓"))</f>
        <v/>
      </c>
      <c r="H75">
        <f>IF(NOT(AND(IFERROR('Company_Master'!A72&lt;&gt;"",FALSE),AND(ISNUMBER(Financials!E72),ISNUMBER(Financials!F72)))),"—",IF(IFERROR(AND(ISNUMBER(Financials!E72),ISNUMBER(Financials!F72),Financials!E72&lt;Financials!F72),FALSE),"⚠","✓"))</f>
        <v/>
      </c>
      <c r="I75">
        <f>IF(NOT(AND(IFERROR('Company_Master'!A72&lt;&gt;"",FALSE),AND(ISNUMBER(Financials!C72),ISNUMBER(Financials!E72)))),"—",IF(IFERROR(AND(ISNUMBER(Financials!C72),ISNUMBER(Financials!E72),Financials!C72=0,Financials!E72&gt;0),FALSE),"⚠","✓"))</f>
        <v/>
      </c>
      <c r="J75">
        <f>IF(NOT(AND(IFERROR('Company_Master'!A72&lt;&gt;"",FALSE),COUNTIF('Raw_Extract'!A:A,'Company_Master'!A72)&gt;0)),"—",IF(COUNTIFS('Raw_Extract'!A:A,'Company_Master'!A72,'Raw_Extract'!J:J,"Low")&gt;0,"⚠","✓"))</f>
        <v/>
      </c>
      <c r="K75">
        <f>IF(NOT(AND(IFERROR('Company_Master'!A72&lt;&gt;"",FALSE),AND(ISNUMBER(Financials!E72),ISNUMBER(Financials!AP72)))),"—",IF(IFERROR(AND(ISNUMBER(Financials!E72),ISNUMBER(Financials!AP72),Financials!E72&lt;&gt;0,ABS(Financials!E72-Financials!AP72)/ABS(Financials!E72)&gt;0.05),FALSE),"⚠","✓"))</f>
        <v/>
      </c>
      <c r="L75">
        <f>IF(NOT(AND(IFERROR('Company_Master'!A72&lt;&gt;"",FALSE),AND(ISNUMBER(Financials!AR72),ISNUMBER(Financials!S72)))),"—",IF(IFERROR(AND(ISNUMBER(Financials!AR72),ISNUMBER(Financials!S72),Financials!S72&lt;&gt;0,ABS(Financials!AR72-Financials!S72)/MAX(ABS(Financials!S72),1)&gt;0.05),FALSE),"⚠","✓"))</f>
        <v/>
      </c>
      <c r="M75">
        <f>IF(NOT(AND(IFERROR('Company_Master'!A72&lt;&gt;"",FALSE),AND(ISNUMBER(Asset_Operations!BE72),ISNUMBER(Asset_Operations!AR72)))),"—",IF(IFERROR(AND(ISNUMBER(Asset_Operations!BE72),ISNUMBER(Asset_Operations!AR72),ABS(Asset_Operations!BE72-Asset_Operations!AR72)&gt;0.05),FALSE),"⚠","✓"))</f>
        <v/>
      </c>
      <c r="N75">
        <f>IF(NOT(AND(IFERROR('Company_Master'!A72&lt;&gt;"",FALSE),ISNUMBER(Financials!C72))),"—",IF(IFERROR(AND(ISNUMBER(Financials!C72),OR(Financials!C72&lt;50,Financials!C72&gt;200000)),FALSE),"⚠","✓"))</f>
        <v/>
      </c>
      <c r="O75">
        <f>COUNTIF(C75:N75,"⚠")</f>
        <v/>
      </c>
      <c r="P75">
        <f>COUNTIF(C75:N75,"✓")</f>
        <v/>
      </c>
      <c r="Q75">
        <f>IF(NOT(IFERROR('Company_Master'!A72&lt;&gt;"",FALSE)),"",IF(O75&gt;0,"⚠ "&amp;O75&amp;" issue(s) detected",IF(P75=0,"— No data to validate","✓ All "&amp;P75&amp;" checks passed")))</f>
        <v/>
      </c>
    </row>
    <row r="76">
      <c r="A76" t="n">
        <v>72</v>
      </c>
      <c r="B76">
        <f>IFERROR('Company_Master'!A73,"")</f>
        <v/>
      </c>
      <c r="C76">
        <f>IF(NOT(AND(IFERROR('Company_Master'!A73&lt;&gt;"",FALSE),OR(ISNUMBER(Asset_Operations!B73),ISNUMBER(Asset_Operations!C73),ISNUMBER(Asset_Operations!D73)))),"—",IF(IFERROR(AND(ISNUMBER(Asset_Operations!B73),ISNUMBER(Asset_Operations!C73),ISNUMBER(Asset_Operations!D73),Asset_Operations!B73&gt;0,ABS((Asset_Operations!C73+Asset_Operations!D73)-Asset_Operations!B73)/Asset_Operations!B73&gt;0.02),FALSE),"⚠","✓"))</f>
        <v/>
      </c>
      <c r="D76">
        <f>IF(NOT(AND(IFERROR('Company_Master'!A73&lt;&gt;"",FALSE),OR(ISNUMBER(Asset_Operations!B73),ISNUMBER(Asset_Operations!E73),ISNUMBER(Asset_Operations!F73)))),"—",IF(IFERROR(AND(ISNUMBER(Asset_Operations!B73),ISNUMBER(Asset_Operations!E73),ISNUMBER(Asset_Operations!F73),Asset_Operations!B73&gt;0,ABS((Asset_Operations!E73+Asset_Operations!F73)-Asset_Operations!B73)/Asset_Operations!B73&gt;0.02),FALSE),"⚠","✓"))</f>
        <v/>
      </c>
      <c r="E76">
        <f>IF(NOT(AND(IFERROR('Company_Master'!A73&lt;&gt;"",FALSE),ISNUMBER(Asset_Operations!AR73))),"—",IF(IFERROR(AND(ISNUMBER(Asset_Operations!AR73),OR(Asset_Operations!AR73&lt;0.15,Asset_Operations!AR73&gt;0.27)),FALSE),"⚠","✓"))</f>
        <v/>
      </c>
      <c r="F76">
        <f>IF(NOT(AND(IFERROR('Company_Master'!A73&lt;&gt;"",FALSE),AND(ISNUMBER(Financials!Q73),ISNUMBER(Financials!R73)))),"—",IF(IFERROR(AND(ISNUMBER(Financials!Q73),ISNUMBER(Financials!R73),ISNUMBER(Financials!S73),ABS((Financials!R73-Financials!Q73)-Financials!S73)/MAX(ABS(Financials!S73),1)&gt;0.05),FALSE),"⚠","✓"))</f>
        <v/>
      </c>
      <c r="G76">
        <f>IF(NOT(AND(IFERROR('Company_Master'!A73&lt;&gt;"",FALSE),AND(ISNUMBER(Financials!I73),ISNUMBER(Financials!L73),ISNUMBER(Financials!O73)))),"—",IF(IFERROR(AND(ISNUMBER(Financials!I73),ISNUMBER(Financials!L73),ISNUMBER(Financials!O73),Financials!I73&gt;0,ABS(Financials!I73-(Financials!L73+Financials!O73))/Financials!I73&gt;0.01),FALSE),"⚠","✓"))</f>
        <v/>
      </c>
      <c r="H76">
        <f>IF(NOT(AND(IFERROR('Company_Master'!A73&lt;&gt;"",FALSE),AND(ISNUMBER(Financials!E73),ISNUMBER(Financials!F73)))),"—",IF(IFERROR(AND(ISNUMBER(Financials!E73),ISNUMBER(Financials!F73),Financials!E73&lt;Financials!F73),FALSE),"⚠","✓"))</f>
        <v/>
      </c>
      <c r="I76">
        <f>IF(NOT(AND(IFERROR('Company_Master'!A73&lt;&gt;"",FALSE),AND(ISNUMBER(Financials!C73),ISNUMBER(Financials!E73)))),"—",IF(IFERROR(AND(ISNUMBER(Financials!C73),ISNUMBER(Financials!E73),Financials!C73=0,Financials!E73&gt;0),FALSE),"⚠","✓"))</f>
        <v/>
      </c>
      <c r="J76">
        <f>IF(NOT(AND(IFERROR('Company_Master'!A73&lt;&gt;"",FALSE),COUNTIF('Raw_Extract'!A:A,'Company_Master'!A73)&gt;0)),"—",IF(COUNTIFS('Raw_Extract'!A:A,'Company_Master'!A73,'Raw_Extract'!J:J,"Low")&gt;0,"⚠","✓"))</f>
        <v/>
      </c>
      <c r="K76">
        <f>IF(NOT(AND(IFERROR('Company_Master'!A73&lt;&gt;"",FALSE),AND(ISNUMBER(Financials!E73),ISNUMBER(Financials!AP73)))),"—",IF(IFERROR(AND(ISNUMBER(Financials!E73),ISNUMBER(Financials!AP73),Financials!E73&lt;&gt;0,ABS(Financials!E73-Financials!AP73)/ABS(Financials!E73)&gt;0.05),FALSE),"⚠","✓"))</f>
        <v/>
      </c>
      <c r="L76">
        <f>IF(NOT(AND(IFERROR('Company_Master'!A73&lt;&gt;"",FALSE),AND(ISNUMBER(Financials!AR73),ISNUMBER(Financials!S73)))),"—",IF(IFERROR(AND(ISNUMBER(Financials!AR73),ISNUMBER(Financials!S73),Financials!S73&lt;&gt;0,ABS(Financials!AR73-Financials!S73)/MAX(ABS(Financials!S73),1)&gt;0.05),FALSE),"⚠","✓"))</f>
        <v/>
      </c>
      <c r="M76">
        <f>IF(NOT(AND(IFERROR('Company_Master'!A73&lt;&gt;"",FALSE),AND(ISNUMBER(Asset_Operations!BE73),ISNUMBER(Asset_Operations!AR73)))),"—",IF(IFERROR(AND(ISNUMBER(Asset_Operations!BE73),ISNUMBER(Asset_Operations!AR73),ABS(Asset_Operations!BE73-Asset_Operations!AR73)&gt;0.05),FALSE),"⚠","✓"))</f>
        <v/>
      </c>
      <c r="N76">
        <f>IF(NOT(AND(IFERROR('Company_Master'!A73&lt;&gt;"",FALSE),ISNUMBER(Financials!C73))),"—",IF(IFERROR(AND(ISNUMBER(Financials!C73),OR(Financials!C73&lt;50,Financials!C73&gt;200000)),FALSE),"⚠","✓"))</f>
        <v/>
      </c>
      <c r="O76">
        <f>COUNTIF(C76:N76,"⚠")</f>
        <v/>
      </c>
      <c r="P76">
        <f>COUNTIF(C76:N76,"✓")</f>
        <v/>
      </c>
      <c r="Q76">
        <f>IF(NOT(IFERROR('Company_Master'!A73&lt;&gt;"",FALSE)),"",IF(O76&gt;0,"⚠ "&amp;O76&amp;" issue(s) detected",IF(P76=0,"— No data to validate","✓ All "&amp;P76&amp;" checks passed")))</f>
        <v/>
      </c>
    </row>
    <row r="77">
      <c r="A77" t="n">
        <v>73</v>
      </c>
      <c r="B77">
        <f>IFERROR('Company_Master'!A74,"")</f>
        <v/>
      </c>
      <c r="C77">
        <f>IF(NOT(AND(IFERROR('Company_Master'!A74&lt;&gt;"",FALSE),OR(ISNUMBER(Asset_Operations!B74),ISNUMBER(Asset_Operations!C74),ISNUMBER(Asset_Operations!D74)))),"—",IF(IFERROR(AND(ISNUMBER(Asset_Operations!B74),ISNUMBER(Asset_Operations!C74),ISNUMBER(Asset_Operations!D74),Asset_Operations!B74&gt;0,ABS((Asset_Operations!C74+Asset_Operations!D74)-Asset_Operations!B74)/Asset_Operations!B74&gt;0.02),FALSE),"⚠","✓"))</f>
        <v/>
      </c>
      <c r="D77">
        <f>IF(NOT(AND(IFERROR('Company_Master'!A74&lt;&gt;"",FALSE),OR(ISNUMBER(Asset_Operations!B74),ISNUMBER(Asset_Operations!E74),ISNUMBER(Asset_Operations!F74)))),"—",IF(IFERROR(AND(ISNUMBER(Asset_Operations!B74),ISNUMBER(Asset_Operations!E74),ISNUMBER(Asset_Operations!F74),Asset_Operations!B74&gt;0,ABS((Asset_Operations!E74+Asset_Operations!F74)-Asset_Operations!B74)/Asset_Operations!B74&gt;0.02),FALSE),"⚠","✓"))</f>
        <v/>
      </c>
      <c r="E77">
        <f>IF(NOT(AND(IFERROR('Company_Master'!A74&lt;&gt;"",FALSE),ISNUMBER(Asset_Operations!AR74))),"—",IF(IFERROR(AND(ISNUMBER(Asset_Operations!AR74),OR(Asset_Operations!AR74&lt;0.15,Asset_Operations!AR74&gt;0.27)),FALSE),"⚠","✓"))</f>
        <v/>
      </c>
      <c r="F77">
        <f>IF(NOT(AND(IFERROR('Company_Master'!A74&lt;&gt;"",FALSE),AND(ISNUMBER(Financials!Q74),ISNUMBER(Financials!R74)))),"—",IF(IFERROR(AND(ISNUMBER(Financials!Q74),ISNUMBER(Financials!R74),ISNUMBER(Financials!S74),ABS((Financials!R74-Financials!Q74)-Financials!S74)/MAX(ABS(Financials!S74),1)&gt;0.05),FALSE),"⚠","✓"))</f>
        <v/>
      </c>
      <c r="G77">
        <f>IF(NOT(AND(IFERROR('Company_Master'!A74&lt;&gt;"",FALSE),AND(ISNUMBER(Financials!I74),ISNUMBER(Financials!L74),ISNUMBER(Financials!O74)))),"—",IF(IFERROR(AND(ISNUMBER(Financials!I74),ISNUMBER(Financials!L74),ISNUMBER(Financials!O74),Financials!I74&gt;0,ABS(Financials!I74-(Financials!L74+Financials!O74))/Financials!I74&gt;0.01),FALSE),"⚠","✓"))</f>
        <v/>
      </c>
      <c r="H77">
        <f>IF(NOT(AND(IFERROR('Company_Master'!A74&lt;&gt;"",FALSE),AND(ISNUMBER(Financials!E74),ISNUMBER(Financials!F74)))),"—",IF(IFERROR(AND(ISNUMBER(Financials!E74),ISNUMBER(Financials!F74),Financials!E74&lt;Financials!F74),FALSE),"⚠","✓"))</f>
        <v/>
      </c>
      <c r="I77">
        <f>IF(NOT(AND(IFERROR('Company_Master'!A74&lt;&gt;"",FALSE),AND(ISNUMBER(Financials!C74),ISNUMBER(Financials!E74)))),"—",IF(IFERROR(AND(ISNUMBER(Financials!C74),ISNUMBER(Financials!E74),Financials!C74=0,Financials!E74&gt;0),FALSE),"⚠","✓"))</f>
        <v/>
      </c>
      <c r="J77">
        <f>IF(NOT(AND(IFERROR('Company_Master'!A74&lt;&gt;"",FALSE),COUNTIF('Raw_Extract'!A:A,'Company_Master'!A74)&gt;0)),"—",IF(COUNTIFS('Raw_Extract'!A:A,'Company_Master'!A74,'Raw_Extract'!J:J,"Low")&gt;0,"⚠","✓"))</f>
        <v/>
      </c>
      <c r="K77">
        <f>IF(NOT(AND(IFERROR('Company_Master'!A74&lt;&gt;"",FALSE),AND(ISNUMBER(Financials!E74),ISNUMBER(Financials!AP74)))),"—",IF(IFERROR(AND(ISNUMBER(Financials!E74),ISNUMBER(Financials!AP74),Financials!E74&lt;&gt;0,ABS(Financials!E74-Financials!AP74)/ABS(Financials!E74)&gt;0.05),FALSE),"⚠","✓"))</f>
        <v/>
      </c>
      <c r="L77">
        <f>IF(NOT(AND(IFERROR('Company_Master'!A74&lt;&gt;"",FALSE),AND(ISNUMBER(Financials!AR74),ISNUMBER(Financials!S74)))),"—",IF(IFERROR(AND(ISNUMBER(Financials!AR74),ISNUMBER(Financials!S74),Financials!S74&lt;&gt;0,ABS(Financials!AR74-Financials!S74)/MAX(ABS(Financials!S74),1)&gt;0.05),FALSE),"⚠","✓"))</f>
        <v/>
      </c>
      <c r="M77">
        <f>IF(NOT(AND(IFERROR('Company_Master'!A74&lt;&gt;"",FALSE),AND(ISNUMBER(Asset_Operations!BE74),ISNUMBER(Asset_Operations!AR74)))),"—",IF(IFERROR(AND(ISNUMBER(Asset_Operations!BE74),ISNUMBER(Asset_Operations!AR74),ABS(Asset_Operations!BE74-Asset_Operations!AR74)&gt;0.05),FALSE),"⚠","✓"))</f>
        <v/>
      </c>
      <c r="N77">
        <f>IF(NOT(AND(IFERROR('Company_Master'!A74&lt;&gt;"",FALSE),ISNUMBER(Financials!C74))),"—",IF(IFERROR(AND(ISNUMBER(Financials!C74),OR(Financials!C74&lt;50,Financials!C74&gt;200000)),FALSE),"⚠","✓"))</f>
        <v/>
      </c>
      <c r="O77">
        <f>COUNTIF(C77:N77,"⚠")</f>
        <v/>
      </c>
      <c r="P77">
        <f>COUNTIF(C77:N77,"✓")</f>
        <v/>
      </c>
      <c r="Q77">
        <f>IF(NOT(IFERROR('Company_Master'!A74&lt;&gt;"",FALSE)),"",IF(O77&gt;0,"⚠ "&amp;O77&amp;" issue(s) detected",IF(P77=0,"— No data to validate","✓ All "&amp;P77&amp;" checks passed")))</f>
        <v/>
      </c>
    </row>
    <row r="78">
      <c r="A78" t="n">
        <v>74</v>
      </c>
      <c r="B78">
        <f>IFERROR('Company_Master'!A75,"")</f>
        <v/>
      </c>
      <c r="C78">
        <f>IF(NOT(AND(IFERROR('Company_Master'!A75&lt;&gt;"",FALSE),OR(ISNUMBER(Asset_Operations!B75),ISNUMBER(Asset_Operations!C75),ISNUMBER(Asset_Operations!D75)))),"—",IF(IFERROR(AND(ISNUMBER(Asset_Operations!B75),ISNUMBER(Asset_Operations!C75),ISNUMBER(Asset_Operations!D75),Asset_Operations!B75&gt;0,ABS((Asset_Operations!C75+Asset_Operations!D75)-Asset_Operations!B75)/Asset_Operations!B75&gt;0.02),FALSE),"⚠","✓"))</f>
        <v/>
      </c>
      <c r="D78">
        <f>IF(NOT(AND(IFERROR('Company_Master'!A75&lt;&gt;"",FALSE),OR(ISNUMBER(Asset_Operations!B75),ISNUMBER(Asset_Operations!E75),ISNUMBER(Asset_Operations!F75)))),"—",IF(IFERROR(AND(ISNUMBER(Asset_Operations!B75),ISNUMBER(Asset_Operations!E75),ISNUMBER(Asset_Operations!F75),Asset_Operations!B75&gt;0,ABS((Asset_Operations!E75+Asset_Operations!F75)-Asset_Operations!B75)/Asset_Operations!B75&gt;0.02),FALSE),"⚠","✓"))</f>
        <v/>
      </c>
      <c r="E78">
        <f>IF(NOT(AND(IFERROR('Company_Master'!A75&lt;&gt;"",FALSE),ISNUMBER(Asset_Operations!AR75))),"—",IF(IFERROR(AND(ISNUMBER(Asset_Operations!AR75),OR(Asset_Operations!AR75&lt;0.15,Asset_Operations!AR75&gt;0.27)),FALSE),"⚠","✓"))</f>
        <v/>
      </c>
      <c r="F78">
        <f>IF(NOT(AND(IFERROR('Company_Master'!A75&lt;&gt;"",FALSE),AND(ISNUMBER(Financials!Q75),ISNUMBER(Financials!R75)))),"—",IF(IFERROR(AND(ISNUMBER(Financials!Q75),ISNUMBER(Financials!R75),ISNUMBER(Financials!S75),ABS((Financials!R75-Financials!Q75)-Financials!S75)/MAX(ABS(Financials!S75),1)&gt;0.05),FALSE),"⚠","✓"))</f>
        <v/>
      </c>
      <c r="G78">
        <f>IF(NOT(AND(IFERROR('Company_Master'!A75&lt;&gt;"",FALSE),AND(ISNUMBER(Financials!I75),ISNUMBER(Financials!L75),ISNUMBER(Financials!O75)))),"—",IF(IFERROR(AND(ISNUMBER(Financials!I75),ISNUMBER(Financials!L75),ISNUMBER(Financials!O75),Financials!I75&gt;0,ABS(Financials!I75-(Financials!L75+Financials!O75))/Financials!I75&gt;0.01),FALSE),"⚠","✓"))</f>
        <v/>
      </c>
      <c r="H78">
        <f>IF(NOT(AND(IFERROR('Company_Master'!A75&lt;&gt;"",FALSE),AND(ISNUMBER(Financials!E75),ISNUMBER(Financials!F75)))),"—",IF(IFERROR(AND(ISNUMBER(Financials!E75),ISNUMBER(Financials!F75),Financials!E75&lt;Financials!F75),FALSE),"⚠","✓"))</f>
        <v/>
      </c>
      <c r="I78">
        <f>IF(NOT(AND(IFERROR('Company_Master'!A75&lt;&gt;"",FALSE),AND(ISNUMBER(Financials!C75),ISNUMBER(Financials!E75)))),"—",IF(IFERROR(AND(ISNUMBER(Financials!C75),ISNUMBER(Financials!E75),Financials!C75=0,Financials!E75&gt;0),FALSE),"⚠","✓"))</f>
        <v/>
      </c>
      <c r="J78">
        <f>IF(NOT(AND(IFERROR('Company_Master'!A75&lt;&gt;"",FALSE),COUNTIF('Raw_Extract'!A:A,'Company_Master'!A75)&gt;0)),"—",IF(COUNTIFS('Raw_Extract'!A:A,'Company_Master'!A75,'Raw_Extract'!J:J,"Low")&gt;0,"⚠","✓"))</f>
        <v/>
      </c>
      <c r="K78">
        <f>IF(NOT(AND(IFERROR('Company_Master'!A75&lt;&gt;"",FALSE),AND(ISNUMBER(Financials!E75),ISNUMBER(Financials!AP75)))),"—",IF(IFERROR(AND(ISNUMBER(Financials!E75),ISNUMBER(Financials!AP75),Financials!E75&lt;&gt;0,ABS(Financials!E75-Financials!AP75)/ABS(Financials!E75)&gt;0.05),FALSE),"⚠","✓"))</f>
        <v/>
      </c>
      <c r="L78">
        <f>IF(NOT(AND(IFERROR('Company_Master'!A75&lt;&gt;"",FALSE),AND(ISNUMBER(Financials!AR75),ISNUMBER(Financials!S75)))),"—",IF(IFERROR(AND(ISNUMBER(Financials!AR75),ISNUMBER(Financials!S75),Financials!S75&lt;&gt;0,ABS(Financials!AR75-Financials!S75)/MAX(ABS(Financials!S75),1)&gt;0.05),FALSE),"⚠","✓"))</f>
        <v/>
      </c>
      <c r="M78">
        <f>IF(NOT(AND(IFERROR('Company_Master'!A75&lt;&gt;"",FALSE),AND(ISNUMBER(Asset_Operations!BE75),ISNUMBER(Asset_Operations!AR75)))),"—",IF(IFERROR(AND(ISNUMBER(Asset_Operations!BE75),ISNUMBER(Asset_Operations!AR75),ABS(Asset_Operations!BE75-Asset_Operations!AR75)&gt;0.05),FALSE),"⚠","✓"))</f>
        <v/>
      </c>
      <c r="N78">
        <f>IF(NOT(AND(IFERROR('Company_Master'!A75&lt;&gt;"",FALSE),ISNUMBER(Financials!C75))),"—",IF(IFERROR(AND(ISNUMBER(Financials!C75),OR(Financials!C75&lt;50,Financials!C75&gt;200000)),FALSE),"⚠","✓"))</f>
        <v/>
      </c>
      <c r="O78">
        <f>COUNTIF(C78:N78,"⚠")</f>
        <v/>
      </c>
      <c r="P78">
        <f>COUNTIF(C78:N78,"✓")</f>
        <v/>
      </c>
      <c r="Q78">
        <f>IF(NOT(IFERROR('Company_Master'!A75&lt;&gt;"",FALSE)),"",IF(O78&gt;0,"⚠ "&amp;O78&amp;" issue(s) detected",IF(P78=0,"— No data to validate","✓ All "&amp;P78&amp;" checks passed")))</f>
        <v/>
      </c>
    </row>
    <row r="79">
      <c r="A79" t="n">
        <v>75</v>
      </c>
      <c r="B79">
        <f>IFERROR('Company_Master'!A76,"")</f>
        <v/>
      </c>
      <c r="C79">
        <f>IF(NOT(AND(IFERROR('Company_Master'!A76&lt;&gt;"",FALSE),OR(ISNUMBER(Asset_Operations!B76),ISNUMBER(Asset_Operations!C76),ISNUMBER(Asset_Operations!D76)))),"—",IF(IFERROR(AND(ISNUMBER(Asset_Operations!B76),ISNUMBER(Asset_Operations!C76),ISNUMBER(Asset_Operations!D76),Asset_Operations!B76&gt;0,ABS((Asset_Operations!C76+Asset_Operations!D76)-Asset_Operations!B76)/Asset_Operations!B76&gt;0.02),FALSE),"⚠","✓"))</f>
        <v/>
      </c>
      <c r="D79">
        <f>IF(NOT(AND(IFERROR('Company_Master'!A76&lt;&gt;"",FALSE),OR(ISNUMBER(Asset_Operations!B76),ISNUMBER(Asset_Operations!E76),ISNUMBER(Asset_Operations!F76)))),"—",IF(IFERROR(AND(ISNUMBER(Asset_Operations!B76),ISNUMBER(Asset_Operations!E76),ISNUMBER(Asset_Operations!F76),Asset_Operations!B76&gt;0,ABS((Asset_Operations!E76+Asset_Operations!F76)-Asset_Operations!B76)/Asset_Operations!B76&gt;0.02),FALSE),"⚠","✓"))</f>
        <v/>
      </c>
      <c r="E79">
        <f>IF(NOT(AND(IFERROR('Company_Master'!A76&lt;&gt;"",FALSE),ISNUMBER(Asset_Operations!AR76))),"—",IF(IFERROR(AND(ISNUMBER(Asset_Operations!AR76),OR(Asset_Operations!AR76&lt;0.15,Asset_Operations!AR76&gt;0.27)),FALSE),"⚠","✓"))</f>
        <v/>
      </c>
      <c r="F79">
        <f>IF(NOT(AND(IFERROR('Company_Master'!A76&lt;&gt;"",FALSE),AND(ISNUMBER(Financials!Q76),ISNUMBER(Financials!R76)))),"—",IF(IFERROR(AND(ISNUMBER(Financials!Q76),ISNUMBER(Financials!R76),ISNUMBER(Financials!S76),ABS((Financials!R76-Financials!Q76)-Financials!S76)/MAX(ABS(Financials!S76),1)&gt;0.05),FALSE),"⚠","✓"))</f>
        <v/>
      </c>
      <c r="G79">
        <f>IF(NOT(AND(IFERROR('Company_Master'!A76&lt;&gt;"",FALSE),AND(ISNUMBER(Financials!I76),ISNUMBER(Financials!L76),ISNUMBER(Financials!O76)))),"—",IF(IFERROR(AND(ISNUMBER(Financials!I76),ISNUMBER(Financials!L76),ISNUMBER(Financials!O76),Financials!I76&gt;0,ABS(Financials!I76-(Financials!L76+Financials!O76))/Financials!I76&gt;0.01),FALSE),"⚠","✓"))</f>
        <v/>
      </c>
      <c r="H79">
        <f>IF(NOT(AND(IFERROR('Company_Master'!A76&lt;&gt;"",FALSE),AND(ISNUMBER(Financials!E76),ISNUMBER(Financials!F76)))),"—",IF(IFERROR(AND(ISNUMBER(Financials!E76),ISNUMBER(Financials!F76),Financials!E76&lt;Financials!F76),FALSE),"⚠","✓"))</f>
        <v/>
      </c>
      <c r="I79">
        <f>IF(NOT(AND(IFERROR('Company_Master'!A76&lt;&gt;"",FALSE),AND(ISNUMBER(Financials!C76),ISNUMBER(Financials!E76)))),"—",IF(IFERROR(AND(ISNUMBER(Financials!C76),ISNUMBER(Financials!E76),Financials!C76=0,Financials!E76&gt;0),FALSE),"⚠","✓"))</f>
        <v/>
      </c>
      <c r="J79">
        <f>IF(NOT(AND(IFERROR('Company_Master'!A76&lt;&gt;"",FALSE),COUNTIF('Raw_Extract'!A:A,'Company_Master'!A76)&gt;0)),"—",IF(COUNTIFS('Raw_Extract'!A:A,'Company_Master'!A76,'Raw_Extract'!J:J,"Low")&gt;0,"⚠","✓"))</f>
        <v/>
      </c>
      <c r="K79">
        <f>IF(NOT(AND(IFERROR('Company_Master'!A76&lt;&gt;"",FALSE),AND(ISNUMBER(Financials!E76),ISNUMBER(Financials!AP76)))),"—",IF(IFERROR(AND(ISNUMBER(Financials!E76),ISNUMBER(Financials!AP76),Financials!E76&lt;&gt;0,ABS(Financials!E76-Financials!AP76)/ABS(Financials!E76)&gt;0.05),FALSE),"⚠","✓"))</f>
        <v/>
      </c>
      <c r="L79">
        <f>IF(NOT(AND(IFERROR('Company_Master'!A76&lt;&gt;"",FALSE),AND(ISNUMBER(Financials!AR76),ISNUMBER(Financials!S76)))),"—",IF(IFERROR(AND(ISNUMBER(Financials!AR76),ISNUMBER(Financials!S76),Financials!S76&lt;&gt;0,ABS(Financials!AR76-Financials!S76)/MAX(ABS(Financials!S76),1)&gt;0.05),FALSE),"⚠","✓"))</f>
        <v/>
      </c>
      <c r="M79">
        <f>IF(NOT(AND(IFERROR('Company_Master'!A76&lt;&gt;"",FALSE),AND(ISNUMBER(Asset_Operations!BE76),ISNUMBER(Asset_Operations!AR76)))),"—",IF(IFERROR(AND(ISNUMBER(Asset_Operations!BE76),ISNUMBER(Asset_Operations!AR76),ABS(Asset_Operations!BE76-Asset_Operations!AR76)&gt;0.05),FALSE),"⚠","✓"))</f>
        <v/>
      </c>
      <c r="N79">
        <f>IF(NOT(AND(IFERROR('Company_Master'!A76&lt;&gt;"",FALSE),ISNUMBER(Financials!C76))),"—",IF(IFERROR(AND(ISNUMBER(Financials!C76),OR(Financials!C76&lt;50,Financials!C76&gt;200000)),FALSE),"⚠","✓"))</f>
        <v/>
      </c>
      <c r="O79">
        <f>COUNTIF(C79:N79,"⚠")</f>
        <v/>
      </c>
      <c r="P79">
        <f>COUNTIF(C79:N79,"✓")</f>
        <v/>
      </c>
      <c r="Q79">
        <f>IF(NOT(IFERROR('Company_Master'!A76&lt;&gt;"",FALSE)),"",IF(O79&gt;0,"⚠ "&amp;O79&amp;" issue(s) detected",IF(P79=0,"— No data to validate","✓ All "&amp;P79&amp;" checks passed")))</f>
        <v/>
      </c>
    </row>
    <row r="80">
      <c r="A80" t="n">
        <v>76</v>
      </c>
      <c r="B80">
        <f>IFERROR('Company_Master'!A77,"")</f>
        <v/>
      </c>
      <c r="C80">
        <f>IF(NOT(AND(IFERROR('Company_Master'!A77&lt;&gt;"",FALSE),OR(ISNUMBER(Asset_Operations!B77),ISNUMBER(Asset_Operations!C77),ISNUMBER(Asset_Operations!D77)))),"—",IF(IFERROR(AND(ISNUMBER(Asset_Operations!B77),ISNUMBER(Asset_Operations!C77),ISNUMBER(Asset_Operations!D77),Asset_Operations!B77&gt;0,ABS((Asset_Operations!C77+Asset_Operations!D77)-Asset_Operations!B77)/Asset_Operations!B77&gt;0.02),FALSE),"⚠","✓"))</f>
        <v/>
      </c>
      <c r="D80">
        <f>IF(NOT(AND(IFERROR('Company_Master'!A77&lt;&gt;"",FALSE),OR(ISNUMBER(Asset_Operations!B77),ISNUMBER(Asset_Operations!E77),ISNUMBER(Asset_Operations!F77)))),"—",IF(IFERROR(AND(ISNUMBER(Asset_Operations!B77),ISNUMBER(Asset_Operations!E77),ISNUMBER(Asset_Operations!F77),Asset_Operations!B77&gt;0,ABS((Asset_Operations!E77+Asset_Operations!F77)-Asset_Operations!B77)/Asset_Operations!B77&gt;0.02),FALSE),"⚠","✓"))</f>
        <v/>
      </c>
      <c r="E80">
        <f>IF(NOT(AND(IFERROR('Company_Master'!A77&lt;&gt;"",FALSE),ISNUMBER(Asset_Operations!AR77))),"—",IF(IFERROR(AND(ISNUMBER(Asset_Operations!AR77),OR(Asset_Operations!AR77&lt;0.15,Asset_Operations!AR77&gt;0.27)),FALSE),"⚠","✓"))</f>
        <v/>
      </c>
      <c r="F80">
        <f>IF(NOT(AND(IFERROR('Company_Master'!A77&lt;&gt;"",FALSE),AND(ISNUMBER(Financials!Q77),ISNUMBER(Financials!R77)))),"—",IF(IFERROR(AND(ISNUMBER(Financials!Q77),ISNUMBER(Financials!R77),ISNUMBER(Financials!S77),ABS((Financials!R77-Financials!Q77)-Financials!S77)/MAX(ABS(Financials!S77),1)&gt;0.05),FALSE),"⚠","✓"))</f>
        <v/>
      </c>
      <c r="G80">
        <f>IF(NOT(AND(IFERROR('Company_Master'!A77&lt;&gt;"",FALSE),AND(ISNUMBER(Financials!I77),ISNUMBER(Financials!L77),ISNUMBER(Financials!O77)))),"—",IF(IFERROR(AND(ISNUMBER(Financials!I77),ISNUMBER(Financials!L77),ISNUMBER(Financials!O77),Financials!I77&gt;0,ABS(Financials!I77-(Financials!L77+Financials!O77))/Financials!I77&gt;0.01),FALSE),"⚠","✓"))</f>
        <v/>
      </c>
      <c r="H80">
        <f>IF(NOT(AND(IFERROR('Company_Master'!A77&lt;&gt;"",FALSE),AND(ISNUMBER(Financials!E77),ISNUMBER(Financials!F77)))),"—",IF(IFERROR(AND(ISNUMBER(Financials!E77),ISNUMBER(Financials!F77),Financials!E77&lt;Financials!F77),FALSE),"⚠","✓"))</f>
        <v/>
      </c>
      <c r="I80">
        <f>IF(NOT(AND(IFERROR('Company_Master'!A77&lt;&gt;"",FALSE),AND(ISNUMBER(Financials!C77),ISNUMBER(Financials!E77)))),"—",IF(IFERROR(AND(ISNUMBER(Financials!C77),ISNUMBER(Financials!E77),Financials!C77=0,Financials!E77&gt;0),FALSE),"⚠","✓"))</f>
        <v/>
      </c>
      <c r="J80">
        <f>IF(NOT(AND(IFERROR('Company_Master'!A77&lt;&gt;"",FALSE),COUNTIF('Raw_Extract'!A:A,'Company_Master'!A77)&gt;0)),"—",IF(COUNTIFS('Raw_Extract'!A:A,'Company_Master'!A77,'Raw_Extract'!J:J,"Low")&gt;0,"⚠","✓"))</f>
        <v/>
      </c>
      <c r="K80">
        <f>IF(NOT(AND(IFERROR('Company_Master'!A77&lt;&gt;"",FALSE),AND(ISNUMBER(Financials!E77),ISNUMBER(Financials!AP77)))),"—",IF(IFERROR(AND(ISNUMBER(Financials!E77),ISNUMBER(Financials!AP77),Financials!E77&lt;&gt;0,ABS(Financials!E77-Financials!AP77)/ABS(Financials!E77)&gt;0.05),FALSE),"⚠","✓"))</f>
        <v/>
      </c>
      <c r="L80">
        <f>IF(NOT(AND(IFERROR('Company_Master'!A77&lt;&gt;"",FALSE),AND(ISNUMBER(Financials!AR77),ISNUMBER(Financials!S77)))),"—",IF(IFERROR(AND(ISNUMBER(Financials!AR77),ISNUMBER(Financials!S77),Financials!S77&lt;&gt;0,ABS(Financials!AR77-Financials!S77)/MAX(ABS(Financials!S77),1)&gt;0.05),FALSE),"⚠","✓"))</f>
        <v/>
      </c>
      <c r="M80">
        <f>IF(NOT(AND(IFERROR('Company_Master'!A77&lt;&gt;"",FALSE),AND(ISNUMBER(Asset_Operations!BE77),ISNUMBER(Asset_Operations!AR77)))),"—",IF(IFERROR(AND(ISNUMBER(Asset_Operations!BE77),ISNUMBER(Asset_Operations!AR77),ABS(Asset_Operations!BE77-Asset_Operations!AR77)&gt;0.05),FALSE),"⚠","✓"))</f>
        <v/>
      </c>
      <c r="N80">
        <f>IF(NOT(AND(IFERROR('Company_Master'!A77&lt;&gt;"",FALSE),ISNUMBER(Financials!C77))),"—",IF(IFERROR(AND(ISNUMBER(Financials!C77),OR(Financials!C77&lt;50,Financials!C77&gt;200000)),FALSE),"⚠","✓"))</f>
        <v/>
      </c>
      <c r="O80">
        <f>COUNTIF(C80:N80,"⚠")</f>
        <v/>
      </c>
      <c r="P80">
        <f>COUNTIF(C80:N80,"✓")</f>
        <v/>
      </c>
      <c r="Q80">
        <f>IF(NOT(IFERROR('Company_Master'!A77&lt;&gt;"",FALSE)),"",IF(O80&gt;0,"⚠ "&amp;O80&amp;" issue(s) detected",IF(P80=0,"— No data to validate","✓ All "&amp;P80&amp;" checks passed")))</f>
        <v/>
      </c>
    </row>
    <row r="81">
      <c r="A81" t="n">
        <v>77</v>
      </c>
      <c r="B81">
        <f>IFERROR('Company_Master'!A78,"")</f>
        <v/>
      </c>
      <c r="C81">
        <f>IF(NOT(AND(IFERROR('Company_Master'!A78&lt;&gt;"",FALSE),OR(ISNUMBER(Asset_Operations!B78),ISNUMBER(Asset_Operations!C78),ISNUMBER(Asset_Operations!D78)))),"—",IF(IFERROR(AND(ISNUMBER(Asset_Operations!B78),ISNUMBER(Asset_Operations!C78),ISNUMBER(Asset_Operations!D78),Asset_Operations!B78&gt;0,ABS((Asset_Operations!C78+Asset_Operations!D78)-Asset_Operations!B78)/Asset_Operations!B78&gt;0.02),FALSE),"⚠","✓"))</f>
        <v/>
      </c>
      <c r="D81">
        <f>IF(NOT(AND(IFERROR('Company_Master'!A78&lt;&gt;"",FALSE),OR(ISNUMBER(Asset_Operations!B78),ISNUMBER(Asset_Operations!E78),ISNUMBER(Asset_Operations!F78)))),"—",IF(IFERROR(AND(ISNUMBER(Asset_Operations!B78),ISNUMBER(Asset_Operations!E78),ISNUMBER(Asset_Operations!F78),Asset_Operations!B78&gt;0,ABS((Asset_Operations!E78+Asset_Operations!F78)-Asset_Operations!B78)/Asset_Operations!B78&gt;0.02),FALSE),"⚠","✓"))</f>
        <v/>
      </c>
      <c r="E81">
        <f>IF(NOT(AND(IFERROR('Company_Master'!A78&lt;&gt;"",FALSE),ISNUMBER(Asset_Operations!AR78))),"—",IF(IFERROR(AND(ISNUMBER(Asset_Operations!AR78),OR(Asset_Operations!AR78&lt;0.15,Asset_Operations!AR78&gt;0.27)),FALSE),"⚠","✓"))</f>
        <v/>
      </c>
      <c r="F81">
        <f>IF(NOT(AND(IFERROR('Company_Master'!A78&lt;&gt;"",FALSE),AND(ISNUMBER(Financials!Q78),ISNUMBER(Financials!R78)))),"—",IF(IFERROR(AND(ISNUMBER(Financials!Q78),ISNUMBER(Financials!R78),ISNUMBER(Financials!S78),ABS((Financials!R78-Financials!Q78)-Financials!S78)/MAX(ABS(Financials!S78),1)&gt;0.05),FALSE),"⚠","✓"))</f>
        <v/>
      </c>
      <c r="G81">
        <f>IF(NOT(AND(IFERROR('Company_Master'!A78&lt;&gt;"",FALSE),AND(ISNUMBER(Financials!I78),ISNUMBER(Financials!L78),ISNUMBER(Financials!O78)))),"—",IF(IFERROR(AND(ISNUMBER(Financials!I78),ISNUMBER(Financials!L78),ISNUMBER(Financials!O78),Financials!I78&gt;0,ABS(Financials!I78-(Financials!L78+Financials!O78))/Financials!I78&gt;0.01),FALSE),"⚠","✓"))</f>
        <v/>
      </c>
      <c r="H81">
        <f>IF(NOT(AND(IFERROR('Company_Master'!A78&lt;&gt;"",FALSE),AND(ISNUMBER(Financials!E78),ISNUMBER(Financials!F78)))),"—",IF(IFERROR(AND(ISNUMBER(Financials!E78),ISNUMBER(Financials!F78),Financials!E78&lt;Financials!F78),FALSE),"⚠","✓"))</f>
        <v/>
      </c>
      <c r="I81">
        <f>IF(NOT(AND(IFERROR('Company_Master'!A78&lt;&gt;"",FALSE),AND(ISNUMBER(Financials!C78),ISNUMBER(Financials!E78)))),"—",IF(IFERROR(AND(ISNUMBER(Financials!C78),ISNUMBER(Financials!E78),Financials!C78=0,Financials!E78&gt;0),FALSE),"⚠","✓"))</f>
        <v/>
      </c>
      <c r="J81">
        <f>IF(NOT(AND(IFERROR('Company_Master'!A78&lt;&gt;"",FALSE),COUNTIF('Raw_Extract'!A:A,'Company_Master'!A78)&gt;0)),"—",IF(COUNTIFS('Raw_Extract'!A:A,'Company_Master'!A78,'Raw_Extract'!J:J,"Low")&gt;0,"⚠","✓"))</f>
        <v/>
      </c>
      <c r="K81">
        <f>IF(NOT(AND(IFERROR('Company_Master'!A78&lt;&gt;"",FALSE),AND(ISNUMBER(Financials!E78),ISNUMBER(Financials!AP78)))),"—",IF(IFERROR(AND(ISNUMBER(Financials!E78),ISNUMBER(Financials!AP78),Financials!E78&lt;&gt;0,ABS(Financials!E78-Financials!AP78)/ABS(Financials!E78)&gt;0.05),FALSE),"⚠","✓"))</f>
        <v/>
      </c>
      <c r="L81">
        <f>IF(NOT(AND(IFERROR('Company_Master'!A78&lt;&gt;"",FALSE),AND(ISNUMBER(Financials!AR78),ISNUMBER(Financials!S78)))),"—",IF(IFERROR(AND(ISNUMBER(Financials!AR78),ISNUMBER(Financials!S78),Financials!S78&lt;&gt;0,ABS(Financials!AR78-Financials!S78)/MAX(ABS(Financials!S78),1)&gt;0.05),FALSE),"⚠","✓"))</f>
        <v/>
      </c>
      <c r="M81">
        <f>IF(NOT(AND(IFERROR('Company_Master'!A78&lt;&gt;"",FALSE),AND(ISNUMBER(Asset_Operations!BE78),ISNUMBER(Asset_Operations!AR78)))),"—",IF(IFERROR(AND(ISNUMBER(Asset_Operations!BE78),ISNUMBER(Asset_Operations!AR78),ABS(Asset_Operations!BE78-Asset_Operations!AR78)&gt;0.05),FALSE),"⚠","✓"))</f>
        <v/>
      </c>
      <c r="N81">
        <f>IF(NOT(AND(IFERROR('Company_Master'!A78&lt;&gt;"",FALSE),ISNUMBER(Financials!C78))),"—",IF(IFERROR(AND(ISNUMBER(Financials!C78),OR(Financials!C78&lt;50,Financials!C78&gt;200000)),FALSE),"⚠","✓"))</f>
        <v/>
      </c>
      <c r="O81">
        <f>COUNTIF(C81:N81,"⚠")</f>
        <v/>
      </c>
      <c r="P81">
        <f>COUNTIF(C81:N81,"✓")</f>
        <v/>
      </c>
      <c r="Q81">
        <f>IF(NOT(IFERROR('Company_Master'!A78&lt;&gt;"",FALSE)),"",IF(O81&gt;0,"⚠ "&amp;O81&amp;" issue(s) detected",IF(P81=0,"— No data to validate","✓ All "&amp;P81&amp;" checks passed")))</f>
        <v/>
      </c>
    </row>
    <row r="82">
      <c r="A82" t="n">
        <v>78</v>
      </c>
      <c r="B82">
        <f>IFERROR('Company_Master'!A79,"")</f>
        <v/>
      </c>
      <c r="C82">
        <f>IF(NOT(AND(IFERROR('Company_Master'!A79&lt;&gt;"",FALSE),OR(ISNUMBER(Asset_Operations!B79),ISNUMBER(Asset_Operations!C79),ISNUMBER(Asset_Operations!D79)))),"—",IF(IFERROR(AND(ISNUMBER(Asset_Operations!B79),ISNUMBER(Asset_Operations!C79),ISNUMBER(Asset_Operations!D79),Asset_Operations!B79&gt;0,ABS((Asset_Operations!C79+Asset_Operations!D79)-Asset_Operations!B79)/Asset_Operations!B79&gt;0.02),FALSE),"⚠","✓"))</f>
        <v/>
      </c>
      <c r="D82">
        <f>IF(NOT(AND(IFERROR('Company_Master'!A79&lt;&gt;"",FALSE),OR(ISNUMBER(Asset_Operations!B79),ISNUMBER(Asset_Operations!E79),ISNUMBER(Asset_Operations!F79)))),"—",IF(IFERROR(AND(ISNUMBER(Asset_Operations!B79),ISNUMBER(Asset_Operations!E79),ISNUMBER(Asset_Operations!F79),Asset_Operations!B79&gt;0,ABS((Asset_Operations!E79+Asset_Operations!F79)-Asset_Operations!B79)/Asset_Operations!B79&gt;0.02),FALSE),"⚠","✓"))</f>
        <v/>
      </c>
      <c r="E82">
        <f>IF(NOT(AND(IFERROR('Company_Master'!A79&lt;&gt;"",FALSE),ISNUMBER(Asset_Operations!AR79))),"—",IF(IFERROR(AND(ISNUMBER(Asset_Operations!AR79),OR(Asset_Operations!AR79&lt;0.15,Asset_Operations!AR79&gt;0.27)),FALSE),"⚠","✓"))</f>
        <v/>
      </c>
      <c r="F82">
        <f>IF(NOT(AND(IFERROR('Company_Master'!A79&lt;&gt;"",FALSE),AND(ISNUMBER(Financials!Q79),ISNUMBER(Financials!R79)))),"—",IF(IFERROR(AND(ISNUMBER(Financials!Q79),ISNUMBER(Financials!R79),ISNUMBER(Financials!S79),ABS((Financials!R79-Financials!Q79)-Financials!S79)/MAX(ABS(Financials!S79),1)&gt;0.05),FALSE),"⚠","✓"))</f>
        <v/>
      </c>
      <c r="G82">
        <f>IF(NOT(AND(IFERROR('Company_Master'!A79&lt;&gt;"",FALSE),AND(ISNUMBER(Financials!I79),ISNUMBER(Financials!L79),ISNUMBER(Financials!O79)))),"—",IF(IFERROR(AND(ISNUMBER(Financials!I79),ISNUMBER(Financials!L79),ISNUMBER(Financials!O79),Financials!I79&gt;0,ABS(Financials!I79-(Financials!L79+Financials!O79))/Financials!I79&gt;0.01),FALSE),"⚠","✓"))</f>
        <v/>
      </c>
      <c r="H82">
        <f>IF(NOT(AND(IFERROR('Company_Master'!A79&lt;&gt;"",FALSE),AND(ISNUMBER(Financials!E79),ISNUMBER(Financials!F79)))),"—",IF(IFERROR(AND(ISNUMBER(Financials!E79),ISNUMBER(Financials!F79),Financials!E79&lt;Financials!F79),FALSE),"⚠","✓"))</f>
        <v/>
      </c>
      <c r="I82">
        <f>IF(NOT(AND(IFERROR('Company_Master'!A79&lt;&gt;"",FALSE),AND(ISNUMBER(Financials!C79),ISNUMBER(Financials!E79)))),"—",IF(IFERROR(AND(ISNUMBER(Financials!C79),ISNUMBER(Financials!E79),Financials!C79=0,Financials!E79&gt;0),FALSE),"⚠","✓"))</f>
        <v/>
      </c>
      <c r="J82">
        <f>IF(NOT(AND(IFERROR('Company_Master'!A79&lt;&gt;"",FALSE),COUNTIF('Raw_Extract'!A:A,'Company_Master'!A79)&gt;0)),"—",IF(COUNTIFS('Raw_Extract'!A:A,'Company_Master'!A79,'Raw_Extract'!J:J,"Low")&gt;0,"⚠","✓"))</f>
        <v/>
      </c>
      <c r="K82">
        <f>IF(NOT(AND(IFERROR('Company_Master'!A79&lt;&gt;"",FALSE),AND(ISNUMBER(Financials!E79),ISNUMBER(Financials!AP79)))),"—",IF(IFERROR(AND(ISNUMBER(Financials!E79),ISNUMBER(Financials!AP79),Financials!E79&lt;&gt;0,ABS(Financials!E79-Financials!AP79)/ABS(Financials!E79)&gt;0.05),FALSE),"⚠","✓"))</f>
        <v/>
      </c>
      <c r="L82">
        <f>IF(NOT(AND(IFERROR('Company_Master'!A79&lt;&gt;"",FALSE),AND(ISNUMBER(Financials!AR79),ISNUMBER(Financials!S79)))),"—",IF(IFERROR(AND(ISNUMBER(Financials!AR79),ISNUMBER(Financials!S79),Financials!S79&lt;&gt;0,ABS(Financials!AR79-Financials!S79)/MAX(ABS(Financials!S79),1)&gt;0.05),FALSE),"⚠","✓"))</f>
        <v/>
      </c>
      <c r="M82">
        <f>IF(NOT(AND(IFERROR('Company_Master'!A79&lt;&gt;"",FALSE),AND(ISNUMBER(Asset_Operations!BE79),ISNUMBER(Asset_Operations!AR79)))),"—",IF(IFERROR(AND(ISNUMBER(Asset_Operations!BE79),ISNUMBER(Asset_Operations!AR79),ABS(Asset_Operations!BE79-Asset_Operations!AR79)&gt;0.05),FALSE),"⚠","✓"))</f>
        <v/>
      </c>
      <c r="N82">
        <f>IF(NOT(AND(IFERROR('Company_Master'!A79&lt;&gt;"",FALSE),ISNUMBER(Financials!C79))),"—",IF(IFERROR(AND(ISNUMBER(Financials!C79),OR(Financials!C79&lt;50,Financials!C79&gt;200000)),FALSE),"⚠","✓"))</f>
        <v/>
      </c>
      <c r="O82">
        <f>COUNTIF(C82:N82,"⚠")</f>
        <v/>
      </c>
      <c r="P82">
        <f>COUNTIF(C82:N82,"✓")</f>
        <v/>
      </c>
      <c r="Q82">
        <f>IF(NOT(IFERROR('Company_Master'!A79&lt;&gt;"",FALSE)),"",IF(O82&gt;0,"⚠ "&amp;O82&amp;" issue(s) detected",IF(P82=0,"— No data to validate","✓ All "&amp;P82&amp;" checks passed")))</f>
        <v/>
      </c>
    </row>
    <row r="83">
      <c r="A83" t="n">
        <v>79</v>
      </c>
      <c r="B83">
        <f>IFERROR('Company_Master'!A80,"")</f>
        <v/>
      </c>
      <c r="C83">
        <f>IF(NOT(AND(IFERROR('Company_Master'!A80&lt;&gt;"",FALSE),OR(ISNUMBER(Asset_Operations!B80),ISNUMBER(Asset_Operations!C80),ISNUMBER(Asset_Operations!D80)))),"—",IF(IFERROR(AND(ISNUMBER(Asset_Operations!B80),ISNUMBER(Asset_Operations!C80),ISNUMBER(Asset_Operations!D80),Asset_Operations!B80&gt;0,ABS((Asset_Operations!C80+Asset_Operations!D80)-Asset_Operations!B80)/Asset_Operations!B80&gt;0.02),FALSE),"⚠","✓"))</f>
        <v/>
      </c>
      <c r="D83">
        <f>IF(NOT(AND(IFERROR('Company_Master'!A80&lt;&gt;"",FALSE),OR(ISNUMBER(Asset_Operations!B80),ISNUMBER(Asset_Operations!E80),ISNUMBER(Asset_Operations!F80)))),"—",IF(IFERROR(AND(ISNUMBER(Asset_Operations!B80),ISNUMBER(Asset_Operations!E80),ISNUMBER(Asset_Operations!F80),Asset_Operations!B80&gt;0,ABS((Asset_Operations!E80+Asset_Operations!F80)-Asset_Operations!B80)/Asset_Operations!B80&gt;0.02),FALSE),"⚠","✓"))</f>
        <v/>
      </c>
      <c r="E83">
        <f>IF(NOT(AND(IFERROR('Company_Master'!A80&lt;&gt;"",FALSE),ISNUMBER(Asset_Operations!AR80))),"—",IF(IFERROR(AND(ISNUMBER(Asset_Operations!AR80),OR(Asset_Operations!AR80&lt;0.15,Asset_Operations!AR80&gt;0.27)),FALSE),"⚠","✓"))</f>
        <v/>
      </c>
      <c r="F83">
        <f>IF(NOT(AND(IFERROR('Company_Master'!A80&lt;&gt;"",FALSE),AND(ISNUMBER(Financials!Q80),ISNUMBER(Financials!R80)))),"—",IF(IFERROR(AND(ISNUMBER(Financials!Q80),ISNUMBER(Financials!R80),ISNUMBER(Financials!S80),ABS((Financials!R80-Financials!Q80)-Financials!S80)/MAX(ABS(Financials!S80),1)&gt;0.05),FALSE),"⚠","✓"))</f>
        <v/>
      </c>
      <c r="G83">
        <f>IF(NOT(AND(IFERROR('Company_Master'!A80&lt;&gt;"",FALSE),AND(ISNUMBER(Financials!I80),ISNUMBER(Financials!L80),ISNUMBER(Financials!O80)))),"—",IF(IFERROR(AND(ISNUMBER(Financials!I80),ISNUMBER(Financials!L80),ISNUMBER(Financials!O80),Financials!I80&gt;0,ABS(Financials!I80-(Financials!L80+Financials!O80))/Financials!I80&gt;0.01),FALSE),"⚠","✓"))</f>
        <v/>
      </c>
      <c r="H83">
        <f>IF(NOT(AND(IFERROR('Company_Master'!A80&lt;&gt;"",FALSE),AND(ISNUMBER(Financials!E80),ISNUMBER(Financials!F80)))),"—",IF(IFERROR(AND(ISNUMBER(Financials!E80),ISNUMBER(Financials!F80),Financials!E80&lt;Financials!F80),FALSE),"⚠","✓"))</f>
        <v/>
      </c>
      <c r="I83">
        <f>IF(NOT(AND(IFERROR('Company_Master'!A80&lt;&gt;"",FALSE),AND(ISNUMBER(Financials!C80),ISNUMBER(Financials!E80)))),"—",IF(IFERROR(AND(ISNUMBER(Financials!C80),ISNUMBER(Financials!E80),Financials!C80=0,Financials!E80&gt;0),FALSE),"⚠","✓"))</f>
        <v/>
      </c>
      <c r="J83">
        <f>IF(NOT(AND(IFERROR('Company_Master'!A80&lt;&gt;"",FALSE),COUNTIF('Raw_Extract'!A:A,'Company_Master'!A80)&gt;0)),"—",IF(COUNTIFS('Raw_Extract'!A:A,'Company_Master'!A80,'Raw_Extract'!J:J,"Low")&gt;0,"⚠","✓"))</f>
        <v/>
      </c>
      <c r="K83">
        <f>IF(NOT(AND(IFERROR('Company_Master'!A80&lt;&gt;"",FALSE),AND(ISNUMBER(Financials!E80),ISNUMBER(Financials!AP80)))),"—",IF(IFERROR(AND(ISNUMBER(Financials!E80),ISNUMBER(Financials!AP80),Financials!E80&lt;&gt;0,ABS(Financials!E80-Financials!AP80)/ABS(Financials!E80)&gt;0.05),FALSE),"⚠","✓"))</f>
        <v/>
      </c>
      <c r="L83">
        <f>IF(NOT(AND(IFERROR('Company_Master'!A80&lt;&gt;"",FALSE),AND(ISNUMBER(Financials!AR80),ISNUMBER(Financials!S80)))),"—",IF(IFERROR(AND(ISNUMBER(Financials!AR80),ISNUMBER(Financials!S80),Financials!S80&lt;&gt;0,ABS(Financials!AR80-Financials!S80)/MAX(ABS(Financials!S80),1)&gt;0.05),FALSE),"⚠","✓"))</f>
        <v/>
      </c>
      <c r="M83">
        <f>IF(NOT(AND(IFERROR('Company_Master'!A80&lt;&gt;"",FALSE),AND(ISNUMBER(Asset_Operations!BE80),ISNUMBER(Asset_Operations!AR80)))),"—",IF(IFERROR(AND(ISNUMBER(Asset_Operations!BE80),ISNUMBER(Asset_Operations!AR80),ABS(Asset_Operations!BE80-Asset_Operations!AR80)&gt;0.05),FALSE),"⚠","✓"))</f>
        <v/>
      </c>
      <c r="N83">
        <f>IF(NOT(AND(IFERROR('Company_Master'!A80&lt;&gt;"",FALSE),ISNUMBER(Financials!C80))),"—",IF(IFERROR(AND(ISNUMBER(Financials!C80),OR(Financials!C80&lt;50,Financials!C80&gt;200000)),FALSE),"⚠","✓"))</f>
        <v/>
      </c>
      <c r="O83">
        <f>COUNTIF(C83:N83,"⚠")</f>
        <v/>
      </c>
      <c r="P83">
        <f>COUNTIF(C83:N83,"✓")</f>
        <v/>
      </c>
      <c r="Q83">
        <f>IF(NOT(IFERROR('Company_Master'!A80&lt;&gt;"",FALSE)),"",IF(O83&gt;0,"⚠ "&amp;O83&amp;" issue(s) detected",IF(P83=0,"— No data to validate","✓ All "&amp;P83&amp;" checks passed")))</f>
        <v/>
      </c>
    </row>
    <row r="84">
      <c r="A84" t="n">
        <v>80</v>
      </c>
      <c r="B84">
        <f>IFERROR('Company_Master'!A81,"")</f>
        <v/>
      </c>
      <c r="C84">
        <f>IF(NOT(AND(IFERROR('Company_Master'!A81&lt;&gt;"",FALSE),OR(ISNUMBER(Asset_Operations!B81),ISNUMBER(Asset_Operations!C81),ISNUMBER(Asset_Operations!D81)))),"—",IF(IFERROR(AND(ISNUMBER(Asset_Operations!B81),ISNUMBER(Asset_Operations!C81),ISNUMBER(Asset_Operations!D81),Asset_Operations!B81&gt;0,ABS((Asset_Operations!C81+Asset_Operations!D81)-Asset_Operations!B81)/Asset_Operations!B81&gt;0.02),FALSE),"⚠","✓"))</f>
        <v/>
      </c>
      <c r="D84">
        <f>IF(NOT(AND(IFERROR('Company_Master'!A81&lt;&gt;"",FALSE),OR(ISNUMBER(Asset_Operations!B81),ISNUMBER(Asset_Operations!E81),ISNUMBER(Asset_Operations!F81)))),"—",IF(IFERROR(AND(ISNUMBER(Asset_Operations!B81),ISNUMBER(Asset_Operations!E81),ISNUMBER(Asset_Operations!F81),Asset_Operations!B81&gt;0,ABS((Asset_Operations!E81+Asset_Operations!F81)-Asset_Operations!B81)/Asset_Operations!B81&gt;0.02),FALSE),"⚠","✓"))</f>
        <v/>
      </c>
      <c r="E84">
        <f>IF(NOT(AND(IFERROR('Company_Master'!A81&lt;&gt;"",FALSE),ISNUMBER(Asset_Operations!AR81))),"—",IF(IFERROR(AND(ISNUMBER(Asset_Operations!AR81),OR(Asset_Operations!AR81&lt;0.15,Asset_Operations!AR81&gt;0.27)),FALSE),"⚠","✓"))</f>
        <v/>
      </c>
      <c r="F84">
        <f>IF(NOT(AND(IFERROR('Company_Master'!A81&lt;&gt;"",FALSE),AND(ISNUMBER(Financials!Q81),ISNUMBER(Financials!R81)))),"—",IF(IFERROR(AND(ISNUMBER(Financials!Q81),ISNUMBER(Financials!R81),ISNUMBER(Financials!S81),ABS((Financials!R81-Financials!Q81)-Financials!S81)/MAX(ABS(Financials!S81),1)&gt;0.05),FALSE),"⚠","✓"))</f>
        <v/>
      </c>
      <c r="G84">
        <f>IF(NOT(AND(IFERROR('Company_Master'!A81&lt;&gt;"",FALSE),AND(ISNUMBER(Financials!I81),ISNUMBER(Financials!L81),ISNUMBER(Financials!O81)))),"—",IF(IFERROR(AND(ISNUMBER(Financials!I81),ISNUMBER(Financials!L81),ISNUMBER(Financials!O81),Financials!I81&gt;0,ABS(Financials!I81-(Financials!L81+Financials!O81))/Financials!I81&gt;0.01),FALSE),"⚠","✓"))</f>
        <v/>
      </c>
      <c r="H84">
        <f>IF(NOT(AND(IFERROR('Company_Master'!A81&lt;&gt;"",FALSE),AND(ISNUMBER(Financials!E81),ISNUMBER(Financials!F81)))),"—",IF(IFERROR(AND(ISNUMBER(Financials!E81),ISNUMBER(Financials!F81),Financials!E81&lt;Financials!F81),FALSE),"⚠","✓"))</f>
        <v/>
      </c>
      <c r="I84">
        <f>IF(NOT(AND(IFERROR('Company_Master'!A81&lt;&gt;"",FALSE),AND(ISNUMBER(Financials!C81),ISNUMBER(Financials!E81)))),"—",IF(IFERROR(AND(ISNUMBER(Financials!C81),ISNUMBER(Financials!E81),Financials!C81=0,Financials!E81&gt;0),FALSE),"⚠","✓"))</f>
        <v/>
      </c>
      <c r="J84">
        <f>IF(NOT(AND(IFERROR('Company_Master'!A81&lt;&gt;"",FALSE),COUNTIF('Raw_Extract'!A:A,'Company_Master'!A81)&gt;0)),"—",IF(COUNTIFS('Raw_Extract'!A:A,'Company_Master'!A81,'Raw_Extract'!J:J,"Low")&gt;0,"⚠","✓"))</f>
        <v/>
      </c>
      <c r="K84">
        <f>IF(NOT(AND(IFERROR('Company_Master'!A81&lt;&gt;"",FALSE),AND(ISNUMBER(Financials!E81),ISNUMBER(Financials!AP81)))),"—",IF(IFERROR(AND(ISNUMBER(Financials!E81),ISNUMBER(Financials!AP81),Financials!E81&lt;&gt;0,ABS(Financials!E81-Financials!AP81)/ABS(Financials!E81)&gt;0.05),FALSE),"⚠","✓"))</f>
        <v/>
      </c>
      <c r="L84">
        <f>IF(NOT(AND(IFERROR('Company_Master'!A81&lt;&gt;"",FALSE),AND(ISNUMBER(Financials!AR81),ISNUMBER(Financials!S81)))),"—",IF(IFERROR(AND(ISNUMBER(Financials!AR81),ISNUMBER(Financials!S81),Financials!S81&lt;&gt;0,ABS(Financials!AR81-Financials!S81)/MAX(ABS(Financials!S81),1)&gt;0.05),FALSE),"⚠","✓"))</f>
        <v/>
      </c>
      <c r="M84">
        <f>IF(NOT(AND(IFERROR('Company_Master'!A81&lt;&gt;"",FALSE),AND(ISNUMBER(Asset_Operations!BE81),ISNUMBER(Asset_Operations!AR81)))),"—",IF(IFERROR(AND(ISNUMBER(Asset_Operations!BE81),ISNUMBER(Asset_Operations!AR81),ABS(Asset_Operations!BE81-Asset_Operations!AR81)&gt;0.05),FALSE),"⚠","✓"))</f>
        <v/>
      </c>
      <c r="N84">
        <f>IF(NOT(AND(IFERROR('Company_Master'!A81&lt;&gt;"",FALSE),ISNUMBER(Financials!C81))),"—",IF(IFERROR(AND(ISNUMBER(Financials!C81),OR(Financials!C81&lt;50,Financials!C81&gt;200000)),FALSE),"⚠","✓"))</f>
        <v/>
      </c>
      <c r="O84">
        <f>COUNTIF(C84:N84,"⚠")</f>
        <v/>
      </c>
      <c r="P84">
        <f>COUNTIF(C84:N84,"✓")</f>
        <v/>
      </c>
      <c r="Q84">
        <f>IF(NOT(IFERROR('Company_Master'!A81&lt;&gt;"",FALSE)),"",IF(O84&gt;0,"⚠ "&amp;O84&amp;" issue(s) detected",IF(P84=0,"— No data to validate","✓ All "&amp;P84&amp;" checks passed")))</f>
        <v/>
      </c>
    </row>
    <row r="85">
      <c r="A85" t="n">
        <v>81</v>
      </c>
      <c r="B85">
        <f>IFERROR('Company_Master'!A82,"")</f>
        <v/>
      </c>
      <c r="C85">
        <f>IF(NOT(AND(IFERROR('Company_Master'!A82&lt;&gt;"",FALSE),OR(ISNUMBER(Asset_Operations!B82),ISNUMBER(Asset_Operations!C82),ISNUMBER(Asset_Operations!D82)))),"—",IF(IFERROR(AND(ISNUMBER(Asset_Operations!B82),ISNUMBER(Asset_Operations!C82),ISNUMBER(Asset_Operations!D82),Asset_Operations!B82&gt;0,ABS((Asset_Operations!C82+Asset_Operations!D82)-Asset_Operations!B82)/Asset_Operations!B82&gt;0.02),FALSE),"⚠","✓"))</f>
        <v/>
      </c>
      <c r="D85">
        <f>IF(NOT(AND(IFERROR('Company_Master'!A82&lt;&gt;"",FALSE),OR(ISNUMBER(Asset_Operations!B82),ISNUMBER(Asset_Operations!E82),ISNUMBER(Asset_Operations!F82)))),"—",IF(IFERROR(AND(ISNUMBER(Asset_Operations!B82),ISNUMBER(Asset_Operations!E82),ISNUMBER(Asset_Operations!F82),Asset_Operations!B82&gt;0,ABS((Asset_Operations!E82+Asset_Operations!F82)-Asset_Operations!B82)/Asset_Operations!B82&gt;0.02),FALSE),"⚠","✓"))</f>
        <v/>
      </c>
      <c r="E85">
        <f>IF(NOT(AND(IFERROR('Company_Master'!A82&lt;&gt;"",FALSE),ISNUMBER(Asset_Operations!AR82))),"—",IF(IFERROR(AND(ISNUMBER(Asset_Operations!AR82),OR(Asset_Operations!AR82&lt;0.15,Asset_Operations!AR82&gt;0.27)),FALSE),"⚠","✓"))</f>
        <v/>
      </c>
      <c r="F85">
        <f>IF(NOT(AND(IFERROR('Company_Master'!A82&lt;&gt;"",FALSE),AND(ISNUMBER(Financials!Q82),ISNUMBER(Financials!R82)))),"—",IF(IFERROR(AND(ISNUMBER(Financials!Q82),ISNUMBER(Financials!R82),ISNUMBER(Financials!S82),ABS((Financials!R82-Financials!Q82)-Financials!S82)/MAX(ABS(Financials!S82),1)&gt;0.05),FALSE),"⚠","✓"))</f>
        <v/>
      </c>
      <c r="G85">
        <f>IF(NOT(AND(IFERROR('Company_Master'!A82&lt;&gt;"",FALSE),AND(ISNUMBER(Financials!I82),ISNUMBER(Financials!L82),ISNUMBER(Financials!O82)))),"—",IF(IFERROR(AND(ISNUMBER(Financials!I82),ISNUMBER(Financials!L82),ISNUMBER(Financials!O82),Financials!I82&gt;0,ABS(Financials!I82-(Financials!L82+Financials!O82))/Financials!I82&gt;0.01),FALSE),"⚠","✓"))</f>
        <v/>
      </c>
      <c r="H85">
        <f>IF(NOT(AND(IFERROR('Company_Master'!A82&lt;&gt;"",FALSE),AND(ISNUMBER(Financials!E82),ISNUMBER(Financials!F82)))),"—",IF(IFERROR(AND(ISNUMBER(Financials!E82),ISNUMBER(Financials!F82),Financials!E82&lt;Financials!F82),FALSE),"⚠","✓"))</f>
        <v/>
      </c>
      <c r="I85">
        <f>IF(NOT(AND(IFERROR('Company_Master'!A82&lt;&gt;"",FALSE),AND(ISNUMBER(Financials!C82),ISNUMBER(Financials!E82)))),"—",IF(IFERROR(AND(ISNUMBER(Financials!C82),ISNUMBER(Financials!E82),Financials!C82=0,Financials!E82&gt;0),FALSE),"⚠","✓"))</f>
        <v/>
      </c>
      <c r="J85">
        <f>IF(NOT(AND(IFERROR('Company_Master'!A82&lt;&gt;"",FALSE),COUNTIF('Raw_Extract'!A:A,'Company_Master'!A82)&gt;0)),"—",IF(COUNTIFS('Raw_Extract'!A:A,'Company_Master'!A82,'Raw_Extract'!J:J,"Low")&gt;0,"⚠","✓"))</f>
        <v/>
      </c>
      <c r="K85">
        <f>IF(NOT(AND(IFERROR('Company_Master'!A82&lt;&gt;"",FALSE),AND(ISNUMBER(Financials!E82),ISNUMBER(Financials!AP82)))),"—",IF(IFERROR(AND(ISNUMBER(Financials!E82),ISNUMBER(Financials!AP82),Financials!E82&lt;&gt;0,ABS(Financials!E82-Financials!AP82)/ABS(Financials!E82)&gt;0.05),FALSE),"⚠","✓"))</f>
        <v/>
      </c>
      <c r="L85">
        <f>IF(NOT(AND(IFERROR('Company_Master'!A82&lt;&gt;"",FALSE),AND(ISNUMBER(Financials!AR82),ISNUMBER(Financials!S82)))),"—",IF(IFERROR(AND(ISNUMBER(Financials!AR82),ISNUMBER(Financials!S82),Financials!S82&lt;&gt;0,ABS(Financials!AR82-Financials!S82)/MAX(ABS(Financials!S82),1)&gt;0.05),FALSE),"⚠","✓"))</f>
        <v/>
      </c>
      <c r="M85">
        <f>IF(NOT(AND(IFERROR('Company_Master'!A82&lt;&gt;"",FALSE),AND(ISNUMBER(Asset_Operations!BE82),ISNUMBER(Asset_Operations!AR82)))),"—",IF(IFERROR(AND(ISNUMBER(Asset_Operations!BE82),ISNUMBER(Asset_Operations!AR82),ABS(Asset_Operations!BE82-Asset_Operations!AR82)&gt;0.05),FALSE),"⚠","✓"))</f>
        <v/>
      </c>
      <c r="N85">
        <f>IF(NOT(AND(IFERROR('Company_Master'!A82&lt;&gt;"",FALSE),ISNUMBER(Financials!C82))),"—",IF(IFERROR(AND(ISNUMBER(Financials!C82),OR(Financials!C82&lt;50,Financials!C82&gt;200000)),FALSE),"⚠","✓"))</f>
        <v/>
      </c>
      <c r="O85">
        <f>COUNTIF(C85:N85,"⚠")</f>
        <v/>
      </c>
      <c r="P85">
        <f>COUNTIF(C85:N85,"✓")</f>
        <v/>
      </c>
      <c r="Q85">
        <f>IF(NOT(IFERROR('Company_Master'!A82&lt;&gt;"",FALSE)),"",IF(O85&gt;0,"⚠ "&amp;O85&amp;" issue(s) detected",IF(P85=0,"— No data to validate","✓ All "&amp;P85&amp;" checks passed")))</f>
        <v/>
      </c>
    </row>
    <row r="86">
      <c r="A86" t="n">
        <v>82</v>
      </c>
      <c r="B86">
        <f>IFERROR('Company_Master'!A83,"")</f>
        <v/>
      </c>
      <c r="C86">
        <f>IF(NOT(AND(IFERROR('Company_Master'!A83&lt;&gt;"",FALSE),OR(ISNUMBER(Asset_Operations!B83),ISNUMBER(Asset_Operations!C83),ISNUMBER(Asset_Operations!D83)))),"—",IF(IFERROR(AND(ISNUMBER(Asset_Operations!B83),ISNUMBER(Asset_Operations!C83),ISNUMBER(Asset_Operations!D83),Asset_Operations!B83&gt;0,ABS((Asset_Operations!C83+Asset_Operations!D83)-Asset_Operations!B83)/Asset_Operations!B83&gt;0.02),FALSE),"⚠","✓"))</f>
        <v/>
      </c>
      <c r="D86">
        <f>IF(NOT(AND(IFERROR('Company_Master'!A83&lt;&gt;"",FALSE),OR(ISNUMBER(Asset_Operations!B83),ISNUMBER(Asset_Operations!E83),ISNUMBER(Asset_Operations!F83)))),"—",IF(IFERROR(AND(ISNUMBER(Asset_Operations!B83),ISNUMBER(Asset_Operations!E83),ISNUMBER(Asset_Operations!F83),Asset_Operations!B83&gt;0,ABS((Asset_Operations!E83+Asset_Operations!F83)-Asset_Operations!B83)/Asset_Operations!B83&gt;0.02),FALSE),"⚠","✓"))</f>
        <v/>
      </c>
      <c r="E86">
        <f>IF(NOT(AND(IFERROR('Company_Master'!A83&lt;&gt;"",FALSE),ISNUMBER(Asset_Operations!AR83))),"—",IF(IFERROR(AND(ISNUMBER(Asset_Operations!AR83),OR(Asset_Operations!AR83&lt;0.15,Asset_Operations!AR83&gt;0.27)),FALSE),"⚠","✓"))</f>
        <v/>
      </c>
      <c r="F86">
        <f>IF(NOT(AND(IFERROR('Company_Master'!A83&lt;&gt;"",FALSE),AND(ISNUMBER(Financials!Q83),ISNUMBER(Financials!R83)))),"—",IF(IFERROR(AND(ISNUMBER(Financials!Q83),ISNUMBER(Financials!R83),ISNUMBER(Financials!S83),ABS((Financials!R83-Financials!Q83)-Financials!S83)/MAX(ABS(Financials!S83),1)&gt;0.05),FALSE),"⚠","✓"))</f>
        <v/>
      </c>
      <c r="G86">
        <f>IF(NOT(AND(IFERROR('Company_Master'!A83&lt;&gt;"",FALSE),AND(ISNUMBER(Financials!I83),ISNUMBER(Financials!L83),ISNUMBER(Financials!O83)))),"—",IF(IFERROR(AND(ISNUMBER(Financials!I83),ISNUMBER(Financials!L83),ISNUMBER(Financials!O83),Financials!I83&gt;0,ABS(Financials!I83-(Financials!L83+Financials!O83))/Financials!I83&gt;0.01),FALSE),"⚠","✓"))</f>
        <v/>
      </c>
      <c r="H86">
        <f>IF(NOT(AND(IFERROR('Company_Master'!A83&lt;&gt;"",FALSE),AND(ISNUMBER(Financials!E83),ISNUMBER(Financials!F83)))),"—",IF(IFERROR(AND(ISNUMBER(Financials!E83),ISNUMBER(Financials!F83),Financials!E83&lt;Financials!F83),FALSE),"⚠","✓"))</f>
        <v/>
      </c>
      <c r="I86">
        <f>IF(NOT(AND(IFERROR('Company_Master'!A83&lt;&gt;"",FALSE),AND(ISNUMBER(Financials!C83),ISNUMBER(Financials!E83)))),"—",IF(IFERROR(AND(ISNUMBER(Financials!C83),ISNUMBER(Financials!E83),Financials!C83=0,Financials!E83&gt;0),FALSE),"⚠","✓"))</f>
        <v/>
      </c>
      <c r="J86">
        <f>IF(NOT(AND(IFERROR('Company_Master'!A83&lt;&gt;"",FALSE),COUNTIF('Raw_Extract'!A:A,'Company_Master'!A83)&gt;0)),"—",IF(COUNTIFS('Raw_Extract'!A:A,'Company_Master'!A83,'Raw_Extract'!J:J,"Low")&gt;0,"⚠","✓"))</f>
        <v/>
      </c>
      <c r="K86">
        <f>IF(NOT(AND(IFERROR('Company_Master'!A83&lt;&gt;"",FALSE),AND(ISNUMBER(Financials!E83),ISNUMBER(Financials!AP83)))),"—",IF(IFERROR(AND(ISNUMBER(Financials!E83),ISNUMBER(Financials!AP83),Financials!E83&lt;&gt;0,ABS(Financials!E83-Financials!AP83)/ABS(Financials!E83)&gt;0.05),FALSE),"⚠","✓"))</f>
        <v/>
      </c>
      <c r="L86">
        <f>IF(NOT(AND(IFERROR('Company_Master'!A83&lt;&gt;"",FALSE),AND(ISNUMBER(Financials!AR83),ISNUMBER(Financials!S83)))),"—",IF(IFERROR(AND(ISNUMBER(Financials!AR83),ISNUMBER(Financials!S83),Financials!S83&lt;&gt;0,ABS(Financials!AR83-Financials!S83)/MAX(ABS(Financials!S83),1)&gt;0.05),FALSE),"⚠","✓"))</f>
        <v/>
      </c>
      <c r="M86">
        <f>IF(NOT(AND(IFERROR('Company_Master'!A83&lt;&gt;"",FALSE),AND(ISNUMBER(Asset_Operations!BE83),ISNUMBER(Asset_Operations!AR83)))),"—",IF(IFERROR(AND(ISNUMBER(Asset_Operations!BE83),ISNUMBER(Asset_Operations!AR83),ABS(Asset_Operations!BE83-Asset_Operations!AR83)&gt;0.05),FALSE),"⚠","✓"))</f>
        <v/>
      </c>
      <c r="N86">
        <f>IF(NOT(AND(IFERROR('Company_Master'!A83&lt;&gt;"",FALSE),ISNUMBER(Financials!C83))),"—",IF(IFERROR(AND(ISNUMBER(Financials!C83),OR(Financials!C83&lt;50,Financials!C83&gt;200000)),FALSE),"⚠","✓"))</f>
        <v/>
      </c>
      <c r="O86">
        <f>COUNTIF(C86:N86,"⚠")</f>
        <v/>
      </c>
      <c r="P86">
        <f>COUNTIF(C86:N86,"✓")</f>
        <v/>
      </c>
      <c r="Q86">
        <f>IF(NOT(IFERROR('Company_Master'!A83&lt;&gt;"",FALSE)),"",IF(O86&gt;0,"⚠ "&amp;O86&amp;" issue(s) detected",IF(P86=0,"— No data to validate","✓ All "&amp;P86&amp;" checks passed")))</f>
        <v/>
      </c>
    </row>
    <row r="87">
      <c r="A87" t="n">
        <v>83</v>
      </c>
      <c r="B87">
        <f>IFERROR('Company_Master'!A84,"")</f>
        <v/>
      </c>
      <c r="C87">
        <f>IF(NOT(AND(IFERROR('Company_Master'!A84&lt;&gt;"",FALSE),OR(ISNUMBER(Asset_Operations!B84),ISNUMBER(Asset_Operations!C84),ISNUMBER(Asset_Operations!D84)))),"—",IF(IFERROR(AND(ISNUMBER(Asset_Operations!B84),ISNUMBER(Asset_Operations!C84),ISNUMBER(Asset_Operations!D84),Asset_Operations!B84&gt;0,ABS((Asset_Operations!C84+Asset_Operations!D84)-Asset_Operations!B84)/Asset_Operations!B84&gt;0.02),FALSE),"⚠","✓"))</f>
        <v/>
      </c>
      <c r="D87">
        <f>IF(NOT(AND(IFERROR('Company_Master'!A84&lt;&gt;"",FALSE),OR(ISNUMBER(Asset_Operations!B84),ISNUMBER(Asset_Operations!E84),ISNUMBER(Asset_Operations!F84)))),"—",IF(IFERROR(AND(ISNUMBER(Asset_Operations!B84),ISNUMBER(Asset_Operations!E84),ISNUMBER(Asset_Operations!F84),Asset_Operations!B84&gt;0,ABS((Asset_Operations!E84+Asset_Operations!F84)-Asset_Operations!B84)/Asset_Operations!B84&gt;0.02),FALSE),"⚠","✓"))</f>
        <v/>
      </c>
      <c r="E87">
        <f>IF(NOT(AND(IFERROR('Company_Master'!A84&lt;&gt;"",FALSE),ISNUMBER(Asset_Operations!AR84))),"—",IF(IFERROR(AND(ISNUMBER(Asset_Operations!AR84),OR(Asset_Operations!AR84&lt;0.15,Asset_Operations!AR84&gt;0.27)),FALSE),"⚠","✓"))</f>
        <v/>
      </c>
      <c r="F87">
        <f>IF(NOT(AND(IFERROR('Company_Master'!A84&lt;&gt;"",FALSE),AND(ISNUMBER(Financials!Q84),ISNUMBER(Financials!R84)))),"—",IF(IFERROR(AND(ISNUMBER(Financials!Q84),ISNUMBER(Financials!R84),ISNUMBER(Financials!S84),ABS((Financials!R84-Financials!Q84)-Financials!S84)/MAX(ABS(Financials!S84),1)&gt;0.05),FALSE),"⚠","✓"))</f>
        <v/>
      </c>
      <c r="G87">
        <f>IF(NOT(AND(IFERROR('Company_Master'!A84&lt;&gt;"",FALSE),AND(ISNUMBER(Financials!I84),ISNUMBER(Financials!L84),ISNUMBER(Financials!O84)))),"—",IF(IFERROR(AND(ISNUMBER(Financials!I84),ISNUMBER(Financials!L84),ISNUMBER(Financials!O84),Financials!I84&gt;0,ABS(Financials!I84-(Financials!L84+Financials!O84))/Financials!I84&gt;0.01),FALSE),"⚠","✓"))</f>
        <v/>
      </c>
      <c r="H87">
        <f>IF(NOT(AND(IFERROR('Company_Master'!A84&lt;&gt;"",FALSE),AND(ISNUMBER(Financials!E84),ISNUMBER(Financials!F84)))),"—",IF(IFERROR(AND(ISNUMBER(Financials!E84),ISNUMBER(Financials!F84),Financials!E84&lt;Financials!F84),FALSE),"⚠","✓"))</f>
        <v/>
      </c>
      <c r="I87">
        <f>IF(NOT(AND(IFERROR('Company_Master'!A84&lt;&gt;"",FALSE),AND(ISNUMBER(Financials!C84),ISNUMBER(Financials!E84)))),"—",IF(IFERROR(AND(ISNUMBER(Financials!C84),ISNUMBER(Financials!E84),Financials!C84=0,Financials!E84&gt;0),FALSE),"⚠","✓"))</f>
        <v/>
      </c>
      <c r="J87">
        <f>IF(NOT(AND(IFERROR('Company_Master'!A84&lt;&gt;"",FALSE),COUNTIF('Raw_Extract'!A:A,'Company_Master'!A84)&gt;0)),"—",IF(COUNTIFS('Raw_Extract'!A:A,'Company_Master'!A84,'Raw_Extract'!J:J,"Low")&gt;0,"⚠","✓"))</f>
        <v/>
      </c>
      <c r="K87">
        <f>IF(NOT(AND(IFERROR('Company_Master'!A84&lt;&gt;"",FALSE),AND(ISNUMBER(Financials!E84),ISNUMBER(Financials!AP84)))),"—",IF(IFERROR(AND(ISNUMBER(Financials!E84),ISNUMBER(Financials!AP84),Financials!E84&lt;&gt;0,ABS(Financials!E84-Financials!AP84)/ABS(Financials!E84)&gt;0.05),FALSE),"⚠","✓"))</f>
        <v/>
      </c>
      <c r="L87">
        <f>IF(NOT(AND(IFERROR('Company_Master'!A84&lt;&gt;"",FALSE),AND(ISNUMBER(Financials!AR84),ISNUMBER(Financials!S84)))),"—",IF(IFERROR(AND(ISNUMBER(Financials!AR84),ISNUMBER(Financials!S84),Financials!S84&lt;&gt;0,ABS(Financials!AR84-Financials!S84)/MAX(ABS(Financials!S84),1)&gt;0.05),FALSE),"⚠","✓"))</f>
        <v/>
      </c>
      <c r="M87">
        <f>IF(NOT(AND(IFERROR('Company_Master'!A84&lt;&gt;"",FALSE),AND(ISNUMBER(Asset_Operations!BE84),ISNUMBER(Asset_Operations!AR84)))),"—",IF(IFERROR(AND(ISNUMBER(Asset_Operations!BE84),ISNUMBER(Asset_Operations!AR84),ABS(Asset_Operations!BE84-Asset_Operations!AR84)&gt;0.05),FALSE),"⚠","✓"))</f>
        <v/>
      </c>
      <c r="N87">
        <f>IF(NOT(AND(IFERROR('Company_Master'!A84&lt;&gt;"",FALSE),ISNUMBER(Financials!C84))),"—",IF(IFERROR(AND(ISNUMBER(Financials!C84),OR(Financials!C84&lt;50,Financials!C84&gt;200000)),FALSE),"⚠","✓"))</f>
        <v/>
      </c>
      <c r="O87">
        <f>COUNTIF(C87:N87,"⚠")</f>
        <v/>
      </c>
      <c r="P87">
        <f>COUNTIF(C87:N87,"✓")</f>
        <v/>
      </c>
      <c r="Q87">
        <f>IF(NOT(IFERROR('Company_Master'!A84&lt;&gt;"",FALSE)),"",IF(O87&gt;0,"⚠ "&amp;O87&amp;" issue(s) detected",IF(P87=0,"— No data to validate","✓ All "&amp;P87&amp;" checks passed")))</f>
        <v/>
      </c>
    </row>
    <row r="88">
      <c r="A88" t="n">
        <v>84</v>
      </c>
      <c r="B88">
        <f>IFERROR('Company_Master'!A85,"")</f>
        <v/>
      </c>
      <c r="C88">
        <f>IF(NOT(AND(IFERROR('Company_Master'!A85&lt;&gt;"",FALSE),OR(ISNUMBER(Asset_Operations!B85),ISNUMBER(Asset_Operations!C85),ISNUMBER(Asset_Operations!D85)))),"—",IF(IFERROR(AND(ISNUMBER(Asset_Operations!B85),ISNUMBER(Asset_Operations!C85),ISNUMBER(Asset_Operations!D85),Asset_Operations!B85&gt;0,ABS((Asset_Operations!C85+Asset_Operations!D85)-Asset_Operations!B85)/Asset_Operations!B85&gt;0.02),FALSE),"⚠","✓"))</f>
        <v/>
      </c>
      <c r="D88">
        <f>IF(NOT(AND(IFERROR('Company_Master'!A85&lt;&gt;"",FALSE),OR(ISNUMBER(Asset_Operations!B85),ISNUMBER(Asset_Operations!E85),ISNUMBER(Asset_Operations!F85)))),"—",IF(IFERROR(AND(ISNUMBER(Asset_Operations!B85),ISNUMBER(Asset_Operations!E85),ISNUMBER(Asset_Operations!F85),Asset_Operations!B85&gt;0,ABS((Asset_Operations!E85+Asset_Operations!F85)-Asset_Operations!B85)/Asset_Operations!B85&gt;0.02),FALSE),"⚠","✓"))</f>
        <v/>
      </c>
      <c r="E88">
        <f>IF(NOT(AND(IFERROR('Company_Master'!A85&lt;&gt;"",FALSE),ISNUMBER(Asset_Operations!AR85))),"—",IF(IFERROR(AND(ISNUMBER(Asset_Operations!AR85),OR(Asset_Operations!AR85&lt;0.15,Asset_Operations!AR85&gt;0.27)),FALSE),"⚠","✓"))</f>
        <v/>
      </c>
      <c r="F88">
        <f>IF(NOT(AND(IFERROR('Company_Master'!A85&lt;&gt;"",FALSE),AND(ISNUMBER(Financials!Q85),ISNUMBER(Financials!R85)))),"—",IF(IFERROR(AND(ISNUMBER(Financials!Q85),ISNUMBER(Financials!R85),ISNUMBER(Financials!S85),ABS((Financials!R85-Financials!Q85)-Financials!S85)/MAX(ABS(Financials!S85),1)&gt;0.05),FALSE),"⚠","✓"))</f>
        <v/>
      </c>
      <c r="G88">
        <f>IF(NOT(AND(IFERROR('Company_Master'!A85&lt;&gt;"",FALSE),AND(ISNUMBER(Financials!I85),ISNUMBER(Financials!L85),ISNUMBER(Financials!O85)))),"—",IF(IFERROR(AND(ISNUMBER(Financials!I85),ISNUMBER(Financials!L85),ISNUMBER(Financials!O85),Financials!I85&gt;0,ABS(Financials!I85-(Financials!L85+Financials!O85))/Financials!I85&gt;0.01),FALSE),"⚠","✓"))</f>
        <v/>
      </c>
      <c r="H88">
        <f>IF(NOT(AND(IFERROR('Company_Master'!A85&lt;&gt;"",FALSE),AND(ISNUMBER(Financials!E85),ISNUMBER(Financials!F85)))),"—",IF(IFERROR(AND(ISNUMBER(Financials!E85),ISNUMBER(Financials!F85),Financials!E85&lt;Financials!F85),FALSE),"⚠","✓"))</f>
        <v/>
      </c>
      <c r="I88">
        <f>IF(NOT(AND(IFERROR('Company_Master'!A85&lt;&gt;"",FALSE),AND(ISNUMBER(Financials!C85),ISNUMBER(Financials!E85)))),"—",IF(IFERROR(AND(ISNUMBER(Financials!C85),ISNUMBER(Financials!E85),Financials!C85=0,Financials!E85&gt;0),FALSE),"⚠","✓"))</f>
        <v/>
      </c>
      <c r="J88">
        <f>IF(NOT(AND(IFERROR('Company_Master'!A85&lt;&gt;"",FALSE),COUNTIF('Raw_Extract'!A:A,'Company_Master'!A85)&gt;0)),"—",IF(COUNTIFS('Raw_Extract'!A:A,'Company_Master'!A85,'Raw_Extract'!J:J,"Low")&gt;0,"⚠","✓"))</f>
        <v/>
      </c>
      <c r="K88">
        <f>IF(NOT(AND(IFERROR('Company_Master'!A85&lt;&gt;"",FALSE),AND(ISNUMBER(Financials!E85),ISNUMBER(Financials!AP85)))),"—",IF(IFERROR(AND(ISNUMBER(Financials!E85),ISNUMBER(Financials!AP85),Financials!E85&lt;&gt;0,ABS(Financials!E85-Financials!AP85)/ABS(Financials!E85)&gt;0.05),FALSE),"⚠","✓"))</f>
        <v/>
      </c>
      <c r="L88">
        <f>IF(NOT(AND(IFERROR('Company_Master'!A85&lt;&gt;"",FALSE),AND(ISNUMBER(Financials!AR85),ISNUMBER(Financials!S85)))),"—",IF(IFERROR(AND(ISNUMBER(Financials!AR85),ISNUMBER(Financials!S85),Financials!S85&lt;&gt;0,ABS(Financials!AR85-Financials!S85)/MAX(ABS(Financials!S85),1)&gt;0.05),FALSE),"⚠","✓"))</f>
        <v/>
      </c>
      <c r="M88">
        <f>IF(NOT(AND(IFERROR('Company_Master'!A85&lt;&gt;"",FALSE),AND(ISNUMBER(Asset_Operations!BE85),ISNUMBER(Asset_Operations!AR85)))),"—",IF(IFERROR(AND(ISNUMBER(Asset_Operations!BE85),ISNUMBER(Asset_Operations!AR85),ABS(Asset_Operations!BE85-Asset_Operations!AR85)&gt;0.05),FALSE),"⚠","✓"))</f>
        <v/>
      </c>
      <c r="N88">
        <f>IF(NOT(AND(IFERROR('Company_Master'!A85&lt;&gt;"",FALSE),ISNUMBER(Financials!C85))),"—",IF(IFERROR(AND(ISNUMBER(Financials!C85),OR(Financials!C85&lt;50,Financials!C85&gt;200000)),FALSE),"⚠","✓"))</f>
        <v/>
      </c>
      <c r="O88">
        <f>COUNTIF(C88:N88,"⚠")</f>
        <v/>
      </c>
      <c r="P88">
        <f>COUNTIF(C88:N88,"✓")</f>
        <v/>
      </c>
      <c r="Q88">
        <f>IF(NOT(IFERROR('Company_Master'!A85&lt;&gt;"",FALSE)),"",IF(O88&gt;0,"⚠ "&amp;O88&amp;" issue(s) detected",IF(P88=0,"— No data to validate","✓ All "&amp;P88&amp;" checks passed")))</f>
        <v/>
      </c>
    </row>
    <row r="89">
      <c r="A89" t="n">
        <v>85</v>
      </c>
      <c r="B89">
        <f>IFERROR('Company_Master'!A86,"")</f>
        <v/>
      </c>
      <c r="C89">
        <f>IF(NOT(AND(IFERROR('Company_Master'!A86&lt;&gt;"",FALSE),OR(ISNUMBER(Asset_Operations!B86),ISNUMBER(Asset_Operations!C86),ISNUMBER(Asset_Operations!D86)))),"—",IF(IFERROR(AND(ISNUMBER(Asset_Operations!B86),ISNUMBER(Asset_Operations!C86),ISNUMBER(Asset_Operations!D86),Asset_Operations!B86&gt;0,ABS((Asset_Operations!C86+Asset_Operations!D86)-Asset_Operations!B86)/Asset_Operations!B86&gt;0.02),FALSE),"⚠","✓"))</f>
        <v/>
      </c>
      <c r="D89">
        <f>IF(NOT(AND(IFERROR('Company_Master'!A86&lt;&gt;"",FALSE),OR(ISNUMBER(Asset_Operations!B86),ISNUMBER(Asset_Operations!E86),ISNUMBER(Asset_Operations!F86)))),"—",IF(IFERROR(AND(ISNUMBER(Asset_Operations!B86),ISNUMBER(Asset_Operations!E86),ISNUMBER(Asset_Operations!F86),Asset_Operations!B86&gt;0,ABS((Asset_Operations!E86+Asset_Operations!F86)-Asset_Operations!B86)/Asset_Operations!B86&gt;0.02),FALSE),"⚠","✓"))</f>
        <v/>
      </c>
      <c r="E89">
        <f>IF(NOT(AND(IFERROR('Company_Master'!A86&lt;&gt;"",FALSE),ISNUMBER(Asset_Operations!AR86))),"—",IF(IFERROR(AND(ISNUMBER(Asset_Operations!AR86),OR(Asset_Operations!AR86&lt;0.15,Asset_Operations!AR86&gt;0.27)),FALSE),"⚠","✓"))</f>
        <v/>
      </c>
      <c r="F89">
        <f>IF(NOT(AND(IFERROR('Company_Master'!A86&lt;&gt;"",FALSE),AND(ISNUMBER(Financials!Q86),ISNUMBER(Financials!R86)))),"—",IF(IFERROR(AND(ISNUMBER(Financials!Q86),ISNUMBER(Financials!R86),ISNUMBER(Financials!S86),ABS((Financials!R86-Financials!Q86)-Financials!S86)/MAX(ABS(Financials!S86),1)&gt;0.05),FALSE),"⚠","✓"))</f>
        <v/>
      </c>
      <c r="G89">
        <f>IF(NOT(AND(IFERROR('Company_Master'!A86&lt;&gt;"",FALSE),AND(ISNUMBER(Financials!I86),ISNUMBER(Financials!L86),ISNUMBER(Financials!O86)))),"—",IF(IFERROR(AND(ISNUMBER(Financials!I86),ISNUMBER(Financials!L86),ISNUMBER(Financials!O86),Financials!I86&gt;0,ABS(Financials!I86-(Financials!L86+Financials!O86))/Financials!I86&gt;0.01),FALSE),"⚠","✓"))</f>
        <v/>
      </c>
      <c r="H89">
        <f>IF(NOT(AND(IFERROR('Company_Master'!A86&lt;&gt;"",FALSE),AND(ISNUMBER(Financials!E86),ISNUMBER(Financials!F86)))),"—",IF(IFERROR(AND(ISNUMBER(Financials!E86),ISNUMBER(Financials!F86),Financials!E86&lt;Financials!F86),FALSE),"⚠","✓"))</f>
        <v/>
      </c>
      <c r="I89">
        <f>IF(NOT(AND(IFERROR('Company_Master'!A86&lt;&gt;"",FALSE),AND(ISNUMBER(Financials!C86),ISNUMBER(Financials!E86)))),"—",IF(IFERROR(AND(ISNUMBER(Financials!C86),ISNUMBER(Financials!E86),Financials!C86=0,Financials!E86&gt;0),FALSE),"⚠","✓"))</f>
        <v/>
      </c>
      <c r="J89">
        <f>IF(NOT(AND(IFERROR('Company_Master'!A86&lt;&gt;"",FALSE),COUNTIF('Raw_Extract'!A:A,'Company_Master'!A86)&gt;0)),"—",IF(COUNTIFS('Raw_Extract'!A:A,'Company_Master'!A86,'Raw_Extract'!J:J,"Low")&gt;0,"⚠","✓"))</f>
        <v/>
      </c>
      <c r="K89">
        <f>IF(NOT(AND(IFERROR('Company_Master'!A86&lt;&gt;"",FALSE),AND(ISNUMBER(Financials!E86),ISNUMBER(Financials!AP86)))),"—",IF(IFERROR(AND(ISNUMBER(Financials!E86),ISNUMBER(Financials!AP86),Financials!E86&lt;&gt;0,ABS(Financials!E86-Financials!AP86)/ABS(Financials!E86)&gt;0.05),FALSE),"⚠","✓"))</f>
        <v/>
      </c>
      <c r="L89">
        <f>IF(NOT(AND(IFERROR('Company_Master'!A86&lt;&gt;"",FALSE),AND(ISNUMBER(Financials!AR86),ISNUMBER(Financials!S86)))),"—",IF(IFERROR(AND(ISNUMBER(Financials!AR86),ISNUMBER(Financials!S86),Financials!S86&lt;&gt;0,ABS(Financials!AR86-Financials!S86)/MAX(ABS(Financials!S86),1)&gt;0.05),FALSE),"⚠","✓"))</f>
        <v/>
      </c>
      <c r="M89">
        <f>IF(NOT(AND(IFERROR('Company_Master'!A86&lt;&gt;"",FALSE),AND(ISNUMBER(Asset_Operations!BE86),ISNUMBER(Asset_Operations!AR86)))),"—",IF(IFERROR(AND(ISNUMBER(Asset_Operations!BE86),ISNUMBER(Asset_Operations!AR86),ABS(Asset_Operations!BE86-Asset_Operations!AR86)&gt;0.05),FALSE),"⚠","✓"))</f>
        <v/>
      </c>
      <c r="N89">
        <f>IF(NOT(AND(IFERROR('Company_Master'!A86&lt;&gt;"",FALSE),ISNUMBER(Financials!C86))),"—",IF(IFERROR(AND(ISNUMBER(Financials!C86),OR(Financials!C86&lt;50,Financials!C86&gt;200000)),FALSE),"⚠","✓"))</f>
        <v/>
      </c>
      <c r="O89">
        <f>COUNTIF(C89:N89,"⚠")</f>
        <v/>
      </c>
      <c r="P89">
        <f>COUNTIF(C89:N89,"✓")</f>
        <v/>
      </c>
      <c r="Q89">
        <f>IF(NOT(IFERROR('Company_Master'!A86&lt;&gt;"",FALSE)),"",IF(O89&gt;0,"⚠ "&amp;O89&amp;" issue(s) detected",IF(P89=0,"— No data to validate","✓ All "&amp;P89&amp;" checks passed")))</f>
        <v/>
      </c>
    </row>
    <row r="90">
      <c r="A90" t="n">
        <v>86</v>
      </c>
      <c r="B90">
        <f>IFERROR('Company_Master'!A87,"")</f>
        <v/>
      </c>
      <c r="C90">
        <f>IF(NOT(AND(IFERROR('Company_Master'!A87&lt;&gt;"",FALSE),OR(ISNUMBER(Asset_Operations!B87),ISNUMBER(Asset_Operations!C87),ISNUMBER(Asset_Operations!D87)))),"—",IF(IFERROR(AND(ISNUMBER(Asset_Operations!B87),ISNUMBER(Asset_Operations!C87),ISNUMBER(Asset_Operations!D87),Asset_Operations!B87&gt;0,ABS((Asset_Operations!C87+Asset_Operations!D87)-Asset_Operations!B87)/Asset_Operations!B87&gt;0.02),FALSE),"⚠","✓"))</f>
        <v/>
      </c>
      <c r="D90">
        <f>IF(NOT(AND(IFERROR('Company_Master'!A87&lt;&gt;"",FALSE),OR(ISNUMBER(Asset_Operations!B87),ISNUMBER(Asset_Operations!E87),ISNUMBER(Asset_Operations!F87)))),"—",IF(IFERROR(AND(ISNUMBER(Asset_Operations!B87),ISNUMBER(Asset_Operations!E87),ISNUMBER(Asset_Operations!F87),Asset_Operations!B87&gt;0,ABS((Asset_Operations!E87+Asset_Operations!F87)-Asset_Operations!B87)/Asset_Operations!B87&gt;0.02),FALSE),"⚠","✓"))</f>
        <v/>
      </c>
      <c r="E90">
        <f>IF(NOT(AND(IFERROR('Company_Master'!A87&lt;&gt;"",FALSE),ISNUMBER(Asset_Operations!AR87))),"—",IF(IFERROR(AND(ISNUMBER(Asset_Operations!AR87),OR(Asset_Operations!AR87&lt;0.15,Asset_Operations!AR87&gt;0.27)),FALSE),"⚠","✓"))</f>
        <v/>
      </c>
      <c r="F90">
        <f>IF(NOT(AND(IFERROR('Company_Master'!A87&lt;&gt;"",FALSE),AND(ISNUMBER(Financials!Q87),ISNUMBER(Financials!R87)))),"—",IF(IFERROR(AND(ISNUMBER(Financials!Q87),ISNUMBER(Financials!R87),ISNUMBER(Financials!S87),ABS((Financials!R87-Financials!Q87)-Financials!S87)/MAX(ABS(Financials!S87),1)&gt;0.05),FALSE),"⚠","✓"))</f>
        <v/>
      </c>
      <c r="G90">
        <f>IF(NOT(AND(IFERROR('Company_Master'!A87&lt;&gt;"",FALSE),AND(ISNUMBER(Financials!I87),ISNUMBER(Financials!L87),ISNUMBER(Financials!O87)))),"—",IF(IFERROR(AND(ISNUMBER(Financials!I87),ISNUMBER(Financials!L87),ISNUMBER(Financials!O87),Financials!I87&gt;0,ABS(Financials!I87-(Financials!L87+Financials!O87))/Financials!I87&gt;0.01),FALSE),"⚠","✓"))</f>
        <v/>
      </c>
      <c r="H90">
        <f>IF(NOT(AND(IFERROR('Company_Master'!A87&lt;&gt;"",FALSE),AND(ISNUMBER(Financials!E87),ISNUMBER(Financials!F87)))),"—",IF(IFERROR(AND(ISNUMBER(Financials!E87),ISNUMBER(Financials!F87),Financials!E87&lt;Financials!F87),FALSE),"⚠","✓"))</f>
        <v/>
      </c>
      <c r="I90">
        <f>IF(NOT(AND(IFERROR('Company_Master'!A87&lt;&gt;"",FALSE),AND(ISNUMBER(Financials!C87),ISNUMBER(Financials!E87)))),"—",IF(IFERROR(AND(ISNUMBER(Financials!C87),ISNUMBER(Financials!E87),Financials!C87=0,Financials!E87&gt;0),FALSE),"⚠","✓"))</f>
        <v/>
      </c>
      <c r="J90">
        <f>IF(NOT(AND(IFERROR('Company_Master'!A87&lt;&gt;"",FALSE),COUNTIF('Raw_Extract'!A:A,'Company_Master'!A87)&gt;0)),"—",IF(COUNTIFS('Raw_Extract'!A:A,'Company_Master'!A87,'Raw_Extract'!J:J,"Low")&gt;0,"⚠","✓"))</f>
        <v/>
      </c>
      <c r="K90">
        <f>IF(NOT(AND(IFERROR('Company_Master'!A87&lt;&gt;"",FALSE),AND(ISNUMBER(Financials!E87),ISNUMBER(Financials!AP87)))),"—",IF(IFERROR(AND(ISNUMBER(Financials!E87),ISNUMBER(Financials!AP87),Financials!E87&lt;&gt;0,ABS(Financials!E87-Financials!AP87)/ABS(Financials!E87)&gt;0.05),FALSE),"⚠","✓"))</f>
        <v/>
      </c>
      <c r="L90">
        <f>IF(NOT(AND(IFERROR('Company_Master'!A87&lt;&gt;"",FALSE),AND(ISNUMBER(Financials!AR87),ISNUMBER(Financials!S87)))),"—",IF(IFERROR(AND(ISNUMBER(Financials!AR87),ISNUMBER(Financials!S87),Financials!S87&lt;&gt;0,ABS(Financials!AR87-Financials!S87)/MAX(ABS(Financials!S87),1)&gt;0.05),FALSE),"⚠","✓"))</f>
        <v/>
      </c>
      <c r="M90">
        <f>IF(NOT(AND(IFERROR('Company_Master'!A87&lt;&gt;"",FALSE),AND(ISNUMBER(Asset_Operations!BE87),ISNUMBER(Asset_Operations!AR87)))),"—",IF(IFERROR(AND(ISNUMBER(Asset_Operations!BE87),ISNUMBER(Asset_Operations!AR87),ABS(Asset_Operations!BE87-Asset_Operations!AR87)&gt;0.05),FALSE),"⚠","✓"))</f>
        <v/>
      </c>
      <c r="N90">
        <f>IF(NOT(AND(IFERROR('Company_Master'!A87&lt;&gt;"",FALSE),ISNUMBER(Financials!C87))),"—",IF(IFERROR(AND(ISNUMBER(Financials!C87),OR(Financials!C87&lt;50,Financials!C87&gt;200000)),FALSE),"⚠","✓"))</f>
        <v/>
      </c>
      <c r="O90">
        <f>COUNTIF(C90:N90,"⚠")</f>
        <v/>
      </c>
      <c r="P90">
        <f>COUNTIF(C90:N90,"✓")</f>
        <v/>
      </c>
      <c r="Q90">
        <f>IF(NOT(IFERROR('Company_Master'!A87&lt;&gt;"",FALSE)),"",IF(O90&gt;0,"⚠ "&amp;O90&amp;" issue(s) detected",IF(P90=0,"— No data to validate","✓ All "&amp;P90&amp;" checks passed")))</f>
        <v/>
      </c>
    </row>
    <row r="91">
      <c r="A91" t="n">
        <v>87</v>
      </c>
      <c r="B91">
        <f>IFERROR('Company_Master'!A88,"")</f>
        <v/>
      </c>
      <c r="C91">
        <f>IF(NOT(AND(IFERROR('Company_Master'!A88&lt;&gt;"",FALSE),OR(ISNUMBER(Asset_Operations!B88),ISNUMBER(Asset_Operations!C88),ISNUMBER(Asset_Operations!D88)))),"—",IF(IFERROR(AND(ISNUMBER(Asset_Operations!B88),ISNUMBER(Asset_Operations!C88),ISNUMBER(Asset_Operations!D88),Asset_Operations!B88&gt;0,ABS((Asset_Operations!C88+Asset_Operations!D88)-Asset_Operations!B88)/Asset_Operations!B88&gt;0.02),FALSE),"⚠","✓"))</f>
        <v/>
      </c>
      <c r="D91">
        <f>IF(NOT(AND(IFERROR('Company_Master'!A88&lt;&gt;"",FALSE),OR(ISNUMBER(Asset_Operations!B88),ISNUMBER(Asset_Operations!E88),ISNUMBER(Asset_Operations!F88)))),"—",IF(IFERROR(AND(ISNUMBER(Asset_Operations!B88),ISNUMBER(Asset_Operations!E88),ISNUMBER(Asset_Operations!F88),Asset_Operations!B88&gt;0,ABS((Asset_Operations!E88+Asset_Operations!F88)-Asset_Operations!B88)/Asset_Operations!B88&gt;0.02),FALSE),"⚠","✓"))</f>
        <v/>
      </c>
      <c r="E91">
        <f>IF(NOT(AND(IFERROR('Company_Master'!A88&lt;&gt;"",FALSE),ISNUMBER(Asset_Operations!AR88))),"—",IF(IFERROR(AND(ISNUMBER(Asset_Operations!AR88),OR(Asset_Operations!AR88&lt;0.15,Asset_Operations!AR88&gt;0.27)),FALSE),"⚠","✓"))</f>
        <v/>
      </c>
      <c r="F91">
        <f>IF(NOT(AND(IFERROR('Company_Master'!A88&lt;&gt;"",FALSE),AND(ISNUMBER(Financials!Q88),ISNUMBER(Financials!R88)))),"—",IF(IFERROR(AND(ISNUMBER(Financials!Q88),ISNUMBER(Financials!R88),ISNUMBER(Financials!S88),ABS((Financials!R88-Financials!Q88)-Financials!S88)/MAX(ABS(Financials!S88),1)&gt;0.05),FALSE),"⚠","✓"))</f>
        <v/>
      </c>
      <c r="G91">
        <f>IF(NOT(AND(IFERROR('Company_Master'!A88&lt;&gt;"",FALSE),AND(ISNUMBER(Financials!I88),ISNUMBER(Financials!L88),ISNUMBER(Financials!O88)))),"—",IF(IFERROR(AND(ISNUMBER(Financials!I88),ISNUMBER(Financials!L88),ISNUMBER(Financials!O88),Financials!I88&gt;0,ABS(Financials!I88-(Financials!L88+Financials!O88))/Financials!I88&gt;0.01),FALSE),"⚠","✓"))</f>
        <v/>
      </c>
      <c r="H91">
        <f>IF(NOT(AND(IFERROR('Company_Master'!A88&lt;&gt;"",FALSE),AND(ISNUMBER(Financials!E88),ISNUMBER(Financials!F88)))),"—",IF(IFERROR(AND(ISNUMBER(Financials!E88),ISNUMBER(Financials!F88),Financials!E88&lt;Financials!F88),FALSE),"⚠","✓"))</f>
        <v/>
      </c>
      <c r="I91">
        <f>IF(NOT(AND(IFERROR('Company_Master'!A88&lt;&gt;"",FALSE),AND(ISNUMBER(Financials!C88),ISNUMBER(Financials!E88)))),"—",IF(IFERROR(AND(ISNUMBER(Financials!C88),ISNUMBER(Financials!E88),Financials!C88=0,Financials!E88&gt;0),FALSE),"⚠","✓"))</f>
        <v/>
      </c>
      <c r="J91">
        <f>IF(NOT(AND(IFERROR('Company_Master'!A88&lt;&gt;"",FALSE),COUNTIF('Raw_Extract'!A:A,'Company_Master'!A88)&gt;0)),"—",IF(COUNTIFS('Raw_Extract'!A:A,'Company_Master'!A88,'Raw_Extract'!J:J,"Low")&gt;0,"⚠","✓"))</f>
        <v/>
      </c>
      <c r="K91">
        <f>IF(NOT(AND(IFERROR('Company_Master'!A88&lt;&gt;"",FALSE),AND(ISNUMBER(Financials!E88),ISNUMBER(Financials!AP88)))),"—",IF(IFERROR(AND(ISNUMBER(Financials!E88),ISNUMBER(Financials!AP88),Financials!E88&lt;&gt;0,ABS(Financials!E88-Financials!AP88)/ABS(Financials!E88)&gt;0.05),FALSE),"⚠","✓"))</f>
        <v/>
      </c>
      <c r="L91">
        <f>IF(NOT(AND(IFERROR('Company_Master'!A88&lt;&gt;"",FALSE),AND(ISNUMBER(Financials!AR88),ISNUMBER(Financials!S88)))),"—",IF(IFERROR(AND(ISNUMBER(Financials!AR88),ISNUMBER(Financials!S88),Financials!S88&lt;&gt;0,ABS(Financials!AR88-Financials!S88)/MAX(ABS(Financials!S88),1)&gt;0.05),FALSE),"⚠","✓"))</f>
        <v/>
      </c>
      <c r="M91">
        <f>IF(NOT(AND(IFERROR('Company_Master'!A88&lt;&gt;"",FALSE),AND(ISNUMBER(Asset_Operations!BE88),ISNUMBER(Asset_Operations!AR88)))),"—",IF(IFERROR(AND(ISNUMBER(Asset_Operations!BE88),ISNUMBER(Asset_Operations!AR88),ABS(Asset_Operations!BE88-Asset_Operations!AR88)&gt;0.05),FALSE),"⚠","✓"))</f>
        <v/>
      </c>
      <c r="N91">
        <f>IF(NOT(AND(IFERROR('Company_Master'!A88&lt;&gt;"",FALSE),ISNUMBER(Financials!C88))),"—",IF(IFERROR(AND(ISNUMBER(Financials!C88),OR(Financials!C88&lt;50,Financials!C88&gt;200000)),FALSE),"⚠","✓"))</f>
        <v/>
      </c>
      <c r="O91">
        <f>COUNTIF(C91:N91,"⚠")</f>
        <v/>
      </c>
      <c r="P91">
        <f>COUNTIF(C91:N91,"✓")</f>
        <v/>
      </c>
      <c r="Q91">
        <f>IF(NOT(IFERROR('Company_Master'!A88&lt;&gt;"",FALSE)),"",IF(O91&gt;0,"⚠ "&amp;O91&amp;" issue(s) detected",IF(P91=0,"— No data to validate","✓ All "&amp;P91&amp;" checks passed")))</f>
        <v/>
      </c>
    </row>
    <row r="92">
      <c r="A92" t="n">
        <v>88</v>
      </c>
      <c r="B92">
        <f>IFERROR('Company_Master'!A89,"")</f>
        <v/>
      </c>
      <c r="C92">
        <f>IF(NOT(AND(IFERROR('Company_Master'!A89&lt;&gt;"",FALSE),OR(ISNUMBER(Asset_Operations!B89),ISNUMBER(Asset_Operations!C89),ISNUMBER(Asset_Operations!D89)))),"—",IF(IFERROR(AND(ISNUMBER(Asset_Operations!B89),ISNUMBER(Asset_Operations!C89),ISNUMBER(Asset_Operations!D89),Asset_Operations!B89&gt;0,ABS((Asset_Operations!C89+Asset_Operations!D89)-Asset_Operations!B89)/Asset_Operations!B89&gt;0.02),FALSE),"⚠","✓"))</f>
        <v/>
      </c>
      <c r="D92">
        <f>IF(NOT(AND(IFERROR('Company_Master'!A89&lt;&gt;"",FALSE),OR(ISNUMBER(Asset_Operations!B89),ISNUMBER(Asset_Operations!E89),ISNUMBER(Asset_Operations!F89)))),"—",IF(IFERROR(AND(ISNUMBER(Asset_Operations!B89),ISNUMBER(Asset_Operations!E89),ISNUMBER(Asset_Operations!F89),Asset_Operations!B89&gt;0,ABS((Asset_Operations!E89+Asset_Operations!F89)-Asset_Operations!B89)/Asset_Operations!B89&gt;0.02),FALSE),"⚠","✓"))</f>
        <v/>
      </c>
      <c r="E92">
        <f>IF(NOT(AND(IFERROR('Company_Master'!A89&lt;&gt;"",FALSE),ISNUMBER(Asset_Operations!AR89))),"—",IF(IFERROR(AND(ISNUMBER(Asset_Operations!AR89),OR(Asset_Operations!AR89&lt;0.15,Asset_Operations!AR89&gt;0.27)),FALSE),"⚠","✓"))</f>
        <v/>
      </c>
      <c r="F92">
        <f>IF(NOT(AND(IFERROR('Company_Master'!A89&lt;&gt;"",FALSE),AND(ISNUMBER(Financials!Q89),ISNUMBER(Financials!R89)))),"—",IF(IFERROR(AND(ISNUMBER(Financials!Q89),ISNUMBER(Financials!R89),ISNUMBER(Financials!S89),ABS((Financials!R89-Financials!Q89)-Financials!S89)/MAX(ABS(Financials!S89),1)&gt;0.05),FALSE),"⚠","✓"))</f>
        <v/>
      </c>
      <c r="G92">
        <f>IF(NOT(AND(IFERROR('Company_Master'!A89&lt;&gt;"",FALSE),AND(ISNUMBER(Financials!I89),ISNUMBER(Financials!L89),ISNUMBER(Financials!O89)))),"—",IF(IFERROR(AND(ISNUMBER(Financials!I89),ISNUMBER(Financials!L89),ISNUMBER(Financials!O89),Financials!I89&gt;0,ABS(Financials!I89-(Financials!L89+Financials!O89))/Financials!I89&gt;0.01),FALSE),"⚠","✓"))</f>
        <v/>
      </c>
      <c r="H92">
        <f>IF(NOT(AND(IFERROR('Company_Master'!A89&lt;&gt;"",FALSE),AND(ISNUMBER(Financials!E89),ISNUMBER(Financials!F89)))),"—",IF(IFERROR(AND(ISNUMBER(Financials!E89),ISNUMBER(Financials!F89),Financials!E89&lt;Financials!F89),FALSE),"⚠","✓"))</f>
        <v/>
      </c>
      <c r="I92">
        <f>IF(NOT(AND(IFERROR('Company_Master'!A89&lt;&gt;"",FALSE),AND(ISNUMBER(Financials!C89),ISNUMBER(Financials!E89)))),"—",IF(IFERROR(AND(ISNUMBER(Financials!C89),ISNUMBER(Financials!E89),Financials!C89=0,Financials!E89&gt;0),FALSE),"⚠","✓"))</f>
        <v/>
      </c>
      <c r="J92">
        <f>IF(NOT(AND(IFERROR('Company_Master'!A89&lt;&gt;"",FALSE),COUNTIF('Raw_Extract'!A:A,'Company_Master'!A89)&gt;0)),"—",IF(COUNTIFS('Raw_Extract'!A:A,'Company_Master'!A89,'Raw_Extract'!J:J,"Low")&gt;0,"⚠","✓"))</f>
        <v/>
      </c>
      <c r="K92">
        <f>IF(NOT(AND(IFERROR('Company_Master'!A89&lt;&gt;"",FALSE),AND(ISNUMBER(Financials!E89),ISNUMBER(Financials!AP89)))),"—",IF(IFERROR(AND(ISNUMBER(Financials!E89),ISNUMBER(Financials!AP89),Financials!E89&lt;&gt;0,ABS(Financials!E89-Financials!AP89)/ABS(Financials!E89)&gt;0.05),FALSE),"⚠","✓"))</f>
        <v/>
      </c>
      <c r="L92">
        <f>IF(NOT(AND(IFERROR('Company_Master'!A89&lt;&gt;"",FALSE),AND(ISNUMBER(Financials!AR89),ISNUMBER(Financials!S89)))),"—",IF(IFERROR(AND(ISNUMBER(Financials!AR89),ISNUMBER(Financials!S89),Financials!S89&lt;&gt;0,ABS(Financials!AR89-Financials!S89)/MAX(ABS(Financials!S89),1)&gt;0.05),FALSE),"⚠","✓"))</f>
        <v/>
      </c>
      <c r="M92">
        <f>IF(NOT(AND(IFERROR('Company_Master'!A89&lt;&gt;"",FALSE),AND(ISNUMBER(Asset_Operations!BE89),ISNUMBER(Asset_Operations!AR89)))),"—",IF(IFERROR(AND(ISNUMBER(Asset_Operations!BE89),ISNUMBER(Asset_Operations!AR89),ABS(Asset_Operations!BE89-Asset_Operations!AR89)&gt;0.05),FALSE),"⚠","✓"))</f>
        <v/>
      </c>
      <c r="N92">
        <f>IF(NOT(AND(IFERROR('Company_Master'!A89&lt;&gt;"",FALSE),ISNUMBER(Financials!C89))),"—",IF(IFERROR(AND(ISNUMBER(Financials!C89),OR(Financials!C89&lt;50,Financials!C89&gt;200000)),FALSE),"⚠","✓"))</f>
        <v/>
      </c>
      <c r="O92">
        <f>COUNTIF(C92:N92,"⚠")</f>
        <v/>
      </c>
      <c r="P92">
        <f>COUNTIF(C92:N92,"✓")</f>
        <v/>
      </c>
      <c r="Q92">
        <f>IF(NOT(IFERROR('Company_Master'!A89&lt;&gt;"",FALSE)),"",IF(O92&gt;0,"⚠ "&amp;O92&amp;" issue(s) detected",IF(P92=0,"— No data to validate","✓ All "&amp;P92&amp;" checks passed")))</f>
        <v/>
      </c>
    </row>
    <row r="93">
      <c r="A93" t="n">
        <v>89</v>
      </c>
      <c r="B93">
        <f>IFERROR('Company_Master'!A90,"")</f>
        <v/>
      </c>
      <c r="C93">
        <f>IF(NOT(AND(IFERROR('Company_Master'!A90&lt;&gt;"",FALSE),OR(ISNUMBER(Asset_Operations!B90),ISNUMBER(Asset_Operations!C90),ISNUMBER(Asset_Operations!D90)))),"—",IF(IFERROR(AND(ISNUMBER(Asset_Operations!B90),ISNUMBER(Asset_Operations!C90),ISNUMBER(Asset_Operations!D90),Asset_Operations!B90&gt;0,ABS((Asset_Operations!C90+Asset_Operations!D90)-Asset_Operations!B90)/Asset_Operations!B90&gt;0.02),FALSE),"⚠","✓"))</f>
        <v/>
      </c>
      <c r="D93">
        <f>IF(NOT(AND(IFERROR('Company_Master'!A90&lt;&gt;"",FALSE),OR(ISNUMBER(Asset_Operations!B90),ISNUMBER(Asset_Operations!E90),ISNUMBER(Asset_Operations!F90)))),"—",IF(IFERROR(AND(ISNUMBER(Asset_Operations!B90),ISNUMBER(Asset_Operations!E90),ISNUMBER(Asset_Operations!F90),Asset_Operations!B90&gt;0,ABS((Asset_Operations!E90+Asset_Operations!F90)-Asset_Operations!B90)/Asset_Operations!B90&gt;0.02),FALSE),"⚠","✓"))</f>
        <v/>
      </c>
      <c r="E93">
        <f>IF(NOT(AND(IFERROR('Company_Master'!A90&lt;&gt;"",FALSE),ISNUMBER(Asset_Operations!AR90))),"—",IF(IFERROR(AND(ISNUMBER(Asset_Operations!AR90),OR(Asset_Operations!AR90&lt;0.15,Asset_Operations!AR90&gt;0.27)),FALSE),"⚠","✓"))</f>
        <v/>
      </c>
      <c r="F93">
        <f>IF(NOT(AND(IFERROR('Company_Master'!A90&lt;&gt;"",FALSE),AND(ISNUMBER(Financials!Q90),ISNUMBER(Financials!R90)))),"—",IF(IFERROR(AND(ISNUMBER(Financials!Q90),ISNUMBER(Financials!R90),ISNUMBER(Financials!S90),ABS((Financials!R90-Financials!Q90)-Financials!S90)/MAX(ABS(Financials!S90),1)&gt;0.05),FALSE),"⚠","✓"))</f>
        <v/>
      </c>
      <c r="G93">
        <f>IF(NOT(AND(IFERROR('Company_Master'!A90&lt;&gt;"",FALSE),AND(ISNUMBER(Financials!I90),ISNUMBER(Financials!L90),ISNUMBER(Financials!O90)))),"—",IF(IFERROR(AND(ISNUMBER(Financials!I90),ISNUMBER(Financials!L90),ISNUMBER(Financials!O90),Financials!I90&gt;0,ABS(Financials!I90-(Financials!L90+Financials!O90))/Financials!I90&gt;0.01),FALSE),"⚠","✓"))</f>
        <v/>
      </c>
      <c r="H93">
        <f>IF(NOT(AND(IFERROR('Company_Master'!A90&lt;&gt;"",FALSE),AND(ISNUMBER(Financials!E90),ISNUMBER(Financials!F90)))),"—",IF(IFERROR(AND(ISNUMBER(Financials!E90),ISNUMBER(Financials!F90),Financials!E90&lt;Financials!F90),FALSE),"⚠","✓"))</f>
        <v/>
      </c>
      <c r="I93">
        <f>IF(NOT(AND(IFERROR('Company_Master'!A90&lt;&gt;"",FALSE),AND(ISNUMBER(Financials!C90),ISNUMBER(Financials!E90)))),"—",IF(IFERROR(AND(ISNUMBER(Financials!C90),ISNUMBER(Financials!E90),Financials!C90=0,Financials!E90&gt;0),FALSE),"⚠","✓"))</f>
        <v/>
      </c>
      <c r="J93">
        <f>IF(NOT(AND(IFERROR('Company_Master'!A90&lt;&gt;"",FALSE),COUNTIF('Raw_Extract'!A:A,'Company_Master'!A90)&gt;0)),"—",IF(COUNTIFS('Raw_Extract'!A:A,'Company_Master'!A90,'Raw_Extract'!J:J,"Low")&gt;0,"⚠","✓"))</f>
        <v/>
      </c>
      <c r="K93">
        <f>IF(NOT(AND(IFERROR('Company_Master'!A90&lt;&gt;"",FALSE),AND(ISNUMBER(Financials!E90),ISNUMBER(Financials!AP90)))),"—",IF(IFERROR(AND(ISNUMBER(Financials!E90),ISNUMBER(Financials!AP90),Financials!E90&lt;&gt;0,ABS(Financials!E90-Financials!AP90)/ABS(Financials!E90)&gt;0.05),FALSE),"⚠","✓"))</f>
        <v/>
      </c>
      <c r="L93">
        <f>IF(NOT(AND(IFERROR('Company_Master'!A90&lt;&gt;"",FALSE),AND(ISNUMBER(Financials!AR90),ISNUMBER(Financials!S90)))),"—",IF(IFERROR(AND(ISNUMBER(Financials!AR90),ISNUMBER(Financials!S90),Financials!S90&lt;&gt;0,ABS(Financials!AR90-Financials!S90)/MAX(ABS(Financials!S90),1)&gt;0.05),FALSE),"⚠","✓"))</f>
        <v/>
      </c>
      <c r="M93">
        <f>IF(NOT(AND(IFERROR('Company_Master'!A90&lt;&gt;"",FALSE),AND(ISNUMBER(Asset_Operations!BE90),ISNUMBER(Asset_Operations!AR90)))),"—",IF(IFERROR(AND(ISNUMBER(Asset_Operations!BE90),ISNUMBER(Asset_Operations!AR90),ABS(Asset_Operations!BE90-Asset_Operations!AR90)&gt;0.05),FALSE),"⚠","✓"))</f>
        <v/>
      </c>
      <c r="N93">
        <f>IF(NOT(AND(IFERROR('Company_Master'!A90&lt;&gt;"",FALSE),ISNUMBER(Financials!C90))),"—",IF(IFERROR(AND(ISNUMBER(Financials!C90),OR(Financials!C90&lt;50,Financials!C90&gt;200000)),FALSE),"⚠","✓"))</f>
        <v/>
      </c>
      <c r="O93">
        <f>COUNTIF(C93:N93,"⚠")</f>
        <v/>
      </c>
      <c r="P93">
        <f>COUNTIF(C93:N93,"✓")</f>
        <v/>
      </c>
      <c r="Q93">
        <f>IF(NOT(IFERROR('Company_Master'!A90&lt;&gt;"",FALSE)),"",IF(O93&gt;0,"⚠ "&amp;O93&amp;" issue(s) detected",IF(P93=0,"— No data to validate","✓ All "&amp;P93&amp;" checks passed")))</f>
        <v/>
      </c>
    </row>
    <row r="94">
      <c r="A94" t="n">
        <v>90</v>
      </c>
      <c r="B94">
        <f>IFERROR('Company_Master'!A91,"")</f>
        <v/>
      </c>
      <c r="C94">
        <f>IF(NOT(AND(IFERROR('Company_Master'!A91&lt;&gt;"",FALSE),OR(ISNUMBER(Asset_Operations!B91),ISNUMBER(Asset_Operations!C91),ISNUMBER(Asset_Operations!D91)))),"—",IF(IFERROR(AND(ISNUMBER(Asset_Operations!B91),ISNUMBER(Asset_Operations!C91),ISNUMBER(Asset_Operations!D91),Asset_Operations!B91&gt;0,ABS((Asset_Operations!C91+Asset_Operations!D91)-Asset_Operations!B91)/Asset_Operations!B91&gt;0.02),FALSE),"⚠","✓"))</f>
        <v/>
      </c>
      <c r="D94">
        <f>IF(NOT(AND(IFERROR('Company_Master'!A91&lt;&gt;"",FALSE),OR(ISNUMBER(Asset_Operations!B91),ISNUMBER(Asset_Operations!E91),ISNUMBER(Asset_Operations!F91)))),"—",IF(IFERROR(AND(ISNUMBER(Asset_Operations!B91),ISNUMBER(Asset_Operations!E91),ISNUMBER(Asset_Operations!F91),Asset_Operations!B91&gt;0,ABS((Asset_Operations!E91+Asset_Operations!F91)-Asset_Operations!B91)/Asset_Operations!B91&gt;0.02),FALSE),"⚠","✓"))</f>
        <v/>
      </c>
      <c r="E94">
        <f>IF(NOT(AND(IFERROR('Company_Master'!A91&lt;&gt;"",FALSE),ISNUMBER(Asset_Operations!AR91))),"—",IF(IFERROR(AND(ISNUMBER(Asset_Operations!AR91),OR(Asset_Operations!AR91&lt;0.15,Asset_Operations!AR91&gt;0.27)),FALSE),"⚠","✓"))</f>
        <v/>
      </c>
      <c r="F94">
        <f>IF(NOT(AND(IFERROR('Company_Master'!A91&lt;&gt;"",FALSE),AND(ISNUMBER(Financials!Q91),ISNUMBER(Financials!R91)))),"—",IF(IFERROR(AND(ISNUMBER(Financials!Q91),ISNUMBER(Financials!R91),ISNUMBER(Financials!S91),ABS((Financials!R91-Financials!Q91)-Financials!S91)/MAX(ABS(Financials!S91),1)&gt;0.05),FALSE),"⚠","✓"))</f>
        <v/>
      </c>
      <c r="G94">
        <f>IF(NOT(AND(IFERROR('Company_Master'!A91&lt;&gt;"",FALSE),AND(ISNUMBER(Financials!I91),ISNUMBER(Financials!L91),ISNUMBER(Financials!O91)))),"—",IF(IFERROR(AND(ISNUMBER(Financials!I91),ISNUMBER(Financials!L91),ISNUMBER(Financials!O91),Financials!I91&gt;0,ABS(Financials!I91-(Financials!L91+Financials!O91))/Financials!I91&gt;0.01),FALSE),"⚠","✓"))</f>
        <v/>
      </c>
      <c r="H94">
        <f>IF(NOT(AND(IFERROR('Company_Master'!A91&lt;&gt;"",FALSE),AND(ISNUMBER(Financials!E91),ISNUMBER(Financials!F91)))),"—",IF(IFERROR(AND(ISNUMBER(Financials!E91),ISNUMBER(Financials!F91),Financials!E91&lt;Financials!F91),FALSE),"⚠","✓"))</f>
        <v/>
      </c>
      <c r="I94">
        <f>IF(NOT(AND(IFERROR('Company_Master'!A91&lt;&gt;"",FALSE),AND(ISNUMBER(Financials!C91),ISNUMBER(Financials!E91)))),"—",IF(IFERROR(AND(ISNUMBER(Financials!C91),ISNUMBER(Financials!E91),Financials!C91=0,Financials!E91&gt;0),FALSE),"⚠","✓"))</f>
        <v/>
      </c>
      <c r="J94">
        <f>IF(NOT(AND(IFERROR('Company_Master'!A91&lt;&gt;"",FALSE),COUNTIF('Raw_Extract'!A:A,'Company_Master'!A91)&gt;0)),"—",IF(COUNTIFS('Raw_Extract'!A:A,'Company_Master'!A91,'Raw_Extract'!J:J,"Low")&gt;0,"⚠","✓"))</f>
        <v/>
      </c>
      <c r="K94">
        <f>IF(NOT(AND(IFERROR('Company_Master'!A91&lt;&gt;"",FALSE),AND(ISNUMBER(Financials!E91),ISNUMBER(Financials!AP91)))),"—",IF(IFERROR(AND(ISNUMBER(Financials!E91),ISNUMBER(Financials!AP91),Financials!E91&lt;&gt;0,ABS(Financials!E91-Financials!AP91)/ABS(Financials!E91)&gt;0.05),FALSE),"⚠","✓"))</f>
        <v/>
      </c>
      <c r="L94">
        <f>IF(NOT(AND(IFERROR('Company_Master'!A91&lt;&gt;"",FALSE),AND(ISNUMBER(Financials!AR91),ISNUMBER(Financials!S91)))),"—",IF(IFERROR(AND(ISNUMBER(Financials!AR91),ISNUMBER(Financials!S91),Financials!S91&lt;&gt;0,ABS(Financials!AR91-Financials!S91)/MAX(ABS(Financials!S91),1)&gt;0.05),FALSE),"⚠","✓"))</f>
        <v/>
      </c>
      <c r="M94">
        <f>IF(NOT(AND(IFERROR('Company_Master'!A91&lt;&gt;"",FALSE),AND(ISNUMBER(Asset_Operations!BE91),ISNUMBER(Asset_Operations!AR91)))),"—",IF(IFERROR(AND(ISNUMBER(Asset_Operations!BE91),ISNUMBER(Asset_Operations!AR91),ABS(Asset_Operations!BE91-Asset_Operations!AR91)&gt;0.05),FALSE),"⚠","✓"))</f>
        <v/>
      </c>
      <c r="N94">
        <f>IF(NOT(AND(IFERROR('Company_Master'!A91&lt;&gt;"",FALSE),ISNUMBER(Financials!C91))),"—",IF(IFERROR(AND(ISNUMBER(Financials!C91),OR(Financials!C91&lt;50,Financials!C91&gt;200000)),FALSE),"⚠","✓"))</f>
        <v/>
      </c>
      <c r="O94">
        <f>COUNTIF(C94:N94,"⚠")</f>
        <v/>
      </c>
      <c r="P94">
        <f>COUNTIF(C94:N94,"✓")</f>
        <v/>
      </c>
      <c r="Q94">
        <f>IF(NOT(IFERROR('Company_Master'!A91&lt;&gt;"",FALSE)),"",IF(O94&gt;0,"⚠ "&amp;O94&amp;" issue(s) detected",IF(P94=0,"— No data to validate","✓ All "&amp;P94&amp;" checks passed")))</f>
        <v/>
      </c>
    </row>
    <row r="95">
      <c r="A95" t="n">
        <v>91</v>
      </c>
      <c r="B95">
        <f>IFERROR('Company_Master'!A92,"")</f>
        <v/>
      </c>
      <c r="C95">
        <f>IF(NOT(AND(IFERROR('Company_Master'!A92&lt;&gt;"",FALSE),OR(ISNUMBER(Asset_Operations!B92),ISNUMBER(Asset_Operations!C92),ISNUMBER(Asset_Operations!D92)))),"—",IF(IFERROR(AND(ISNUMBER(Asset_Operations!B92),ISNUMBER(Asset_Operations!C92),ISNUMBER(Asset_Operations!D92),Asset_Operations!B92&gt;0,ABS((Asset_Operations!C92+Asset_Operations!D92)-Asset_Operations!B92)/Asset_Operations!B92&gt;0.02),FALSE),"⚠","✓"))</f>
        <v/>
      </c>
      <c r="D95">
        <f>IF(NOT(AND(IFERROR('Company_Master'!A92&lt;&gt;"",FALSE),OR(ISNUMBER(Asset_Operations!B92),ISNUMBER(Asset_Operations!E92),ISNUMBER(Asset_Operations!F92)))),"—",IF(IFERROR(AND(ISNUMBER(Asset_Operations!B92),ISNUMBER(Asset_Operations!E92),ISNUMBER(Asset_Operations!F92),Asset_Operations!B92&gt;0,ABS((Asset_Operations!E92+Asset_Operations!F92)-Asset_Operations!B92)/Asset_Operations!B92&gt;0.02),FALSE),"⚠","✓"))</f>
        <v/>
      </c>
      <c r="E95">
        <f>IF(NOT(AND(IFERROR('Company_Master'!A92&lt;&gt;"",FALSE),ISNUMBER(Asset_Operations!AR92))),"—",IF(IFERROR(AND(ISNUMBER(Asset_Operations!AR92),OR(Asset_Operations!AR92&lt;0.15,Asset_Operations!AR92&gt;0.27)),FALSE),"⚠","✓"))</f>
        <v/>
      </c>
      <c r="F95">
        <f>IF(NOT(AND(IFERROR('Company_Master'!A92&lt;&gt;"",FALSE),AND(ISNUMBER(Financials!Q92),ISNUMBER(Financials!R92)))),"—",IF(IFERROR(AND(ISNUMBER(Financials!Q92),ISNUMBER(Financials!R92),ISNUMBER(Financials!S92),ABS((Financials!R92-Financials!Q92)-Financials!S92)/MAX(ABS(Financials!S92),1)&gt;0.05),FALSE),"⚠","✓"))</f>
        <v/>
      </c>
      <c r="G95">
        <f>IF(NOT(AND(IFERROR('Company_Master'!A92&lt;&gt;"",FALSE),AND(ISNUMBER(Financials!I92),ISNUMBER(Financials!L92),ISNUMBER(Financials!O92)))),"—",IF(IFERROR(AND(ISNUMBER(Financials!I92),ISNUMBER(Financials!L92),ISNUMBER(Financials!O92),Financials!I92&gt;0,ABS(Financials!I92-(Financials!L92+Financials!O92))/Financials!I92&gt;0.01),FALSE),"⚠","✓"))</f>
        <v/>
      </c>
      <c r="H95">
        <f>IF(NOT(AND(IFERROR('Company_Master'!A92&lt;&gt;"",FALSE),AND(ISNUMBER(Financials!E92),ISNUMBER(Financials!F92)))),"—",IF(IFERROR(AND(ISNUMBER(Financials!E92),ISNUMBER(Financials!F92),Financials!E92&lt;Financials!F92),FALSE),"⚠","✓"))</f>
        <v/>
      </c>
      <c r="I95">
        <f>IF(NOT(AND(IFERROR('Company_Master'!A92&lt;&gt;"",FALSE),AND(ISNUMBER(Financials!C92),ISNUMBER(Financials!E92)))),"—",IF(IFERROR(AND(ISNUMBER(Financials!C92),ISNUMBER(Financials!E92),Financials!C92=0,Financials!E92&gt;0),FALSE),"⚠","✓"))</f>
        <v/>
      </c>
      <c r="J95">
        <f>IF(NOT(AND(IFERROR('Company_Master'!A92&lt;&gt;"",FALSE),COUNTIF('Raw_Extract'!A:A,'Company_Master'!A92)&gt;0)),"—",IF(COUNTIFS('Raw_Extract'!A:A,'Company_Master'!A92,'Raw_Extract'!J:J,"Low")&gt;0,"⚠","✓"))</f>
        <v/>
      </c>
      <c r="K95">
        <f>IF(NOT(AND(IFERROR('Company_Master'!A92&lt;&gt;"",FALSE),AND(ISNUMBER(Financials!E92),ISNUMBER(Financials!AP92)))),"—",IF(IFERROR(AND(ISNUMBER(Financials!E92),ISNUMBER(Financials!AP92),Financials!E92&lt;&gt;0,ABS(Financials!E92-Financials!AP92)/ABS(Financials!E92)&gt;0.05),FALSE),"⚠","✓"))</f>
        <v/>
      </c>
      <c r="L95">
        <f>IF(NOT(AND(IFERROR('Company_Master'!A92&lt;&gt;"",FALSE),AND(ISNUMBER(Financials!AR92),ISNUMBER(Financials!S92)))),"—",IF(IFERROR(AND(ISNUMBER(Financials!AR92),ISNUMBER(Financials!S92),Financials!S92&lt;&gt;0,ABS(Financials!AR92-Financials!S92)/MAX(ABS(Financials!S92),1)&gt;0.05),FALSE),"⚠","✓"))</f>
        <v/>
      </c>
      <c r="M95">
        <f>IF(NOT(AND(IFERROR('Company_Master'!A92&lt;&gt;"",FALSE),AND(ISNUMBER(Asset_Operations!BE92),ISNUMBER(Asset_Operations!AR92)))),"—",IF(IFERROR(AND(ISNUMBER(Asset_Operations!BE92),ISNUMBER(Asset_Operations!AR92),ABS(Asset_Operations!BE92-Asset_Operations!AR92)&gt;0.05),FALSE),"⚠","✓"))</f>
        <v/>
      </c>
      <c r="N95">
        <f>IF(NOT(AND(IFERROR('Company_Master'!A92&lt;&gt;"",FALSE),ISNUMBER(Financials!C92))),"—",IF(IFERROR(AND(ISNUMBER(Financials!C92),OR(Financials!C92&lt;50,Financials!C92&gt;200000)),FALSE),"⚠","✓"))</f>
        <v/>
      </c>
      <c r="O95">
        <f>COUNTIF(C95:N95,"⚠")</f>
        <v/>
      </c>
      <c r="P95">
        <f>COUNTIF(C95:N95,"✓")</f>
        <v/>
      </c>
      <c r="Q95">
        <f>IF(NOT(IFERROR('Company_Master'!A92&lt;&gt;"",FALSE)),"",IF(O95&gt;0,"⚠ "&amp;O95&amp;" issue(s) detected",IF(P95=0,"— No data to validate","✓ All "&amp;P95&amp;" checks passed")))</f>
        <v/>
      </c>
    </row>
    <row r="96">
      <c r="A96" t="n">
        <v>92</v>
      </c>
      <c r="B96">
        <f>IFERROR('Company_Master'!A93,"")</f>
        <v/>
      </c>
      <c r="C96">
        <f>IF(NOT(AND(IFERROR('Company_Master'!A93&lt;&gt;"",FALSE),OR(ISNUMBER(Asset_Operations!B93),ISNUMBER(Asset_Operations!C93),ISNUMBER(Asset_Operations!D93)))),"—",IF(IFERROR(AND(ISNUMBER(Asset_Operations!B93),ISNUMBER(Asset_Operations!C93),ISNUMBER(Asset_Operations!D93),Asset_Operations!B93&gt;0,ABS((Asset_Operations!C93+Asset_Operations!D93)-Asset_Operations!B93)/Asset_Operations!B93&gt;0.02),FALSE),"⚠","✓"))</f>
        <v/>
      </c>
      <c r="D96">
        <f>IF(NOT(AND(IFERROR('Company_Master'!A93&lt;&gt;"",FALSE),OR(ISNUMBER(Asset_Operations!B93),ISNUMBER(Asset_Operations!E93),ISNUMBER(Asset_Operations!F93)))),"—",IF(IFERROR(AND(ISNUMBER(Asset_Operations!B93),ISNUMBER(Asset_Operations!E93),ISNUMBER(Asset_Operations!F93),Asset_Operations!B93&gt;0,ABS((Asset_Operations!E93+Asset_Operations!F93)-Asset_Operations!B93)/Asset_Operations!B93&gt;0.02),FALSE),"⚠","✓"))</f>
        <v/>
      </c>
      <c r="E96">
        <f>IF(NOT(AND(IFERROR('Company_Master'!A93&lt;&gt;"",FALSE),ISNUMBER(Asset_Operations!AR93))),"—",IF(IFERROR(AND(ISNUMBER(Asset_Operations!AR93),OR(Asset_Operations!AR93&lt;0.15,Asset_Operations!AR93&gt;0.27)),FALSE),"⚠","✓"))</f>
        <v/>
      </c>
      <c r="F96">
        <f>IF(NOT(AND(IFERROR('Company_Master'!A93&lt;&gt;"",FALSE),AND(ISNUMBER(Financials!Q93),ISNUMBER(Financials!R93)))),"—",IF(IFERROR(AND(ISNUMBER(Financials!Q93),ISNUMBER(Financials!R93),ISNUMBER(Financials!S93),ABS((Financials!R93-Financials!Q93)-Financials!S93)/MAX(ABS(Financials!S93),1)&gt;0.05),FALSE),"⚠","✓"))</f>
        <v/>
      </c>
      <c r="G96">
        <f>IF(NOT(AND(IFERROR('Company_Master'!A93&lt;&gt;"",FALSE),AND(ISNUMBER(Financials!I93),ISNUMBER(Financials!L93),ISNUMBER(Financials!O93)))),"—",IF(IFERROR(AND(ISNUMBER(Financials!I93),ISNUMBER(Financials!L93),ISNUMBER(Financials!O93),Financials!I93&gt;0,ABS(Financials!I93-(Financials!L93+Financials!O93))/Financials!I93&gt;0.01),FALSE),"⚠","✓"))</f>
        <v/>
      </c>
      <c r="H96">
        <f>IF(NOT(AND(IFERROR('Company_Master'!A93&lt;&gt;"",FALSE),AND(ISNUMBER(Financials!E93),ISNUMBER(Financials!F93)))),"—",IF(IFERROR(AND(ISNUMBER(Financials!E93),ISNUMBER(Financials!F93),Financials!E93&lt;Financials!F93),FALSE),"⚠","✓"))</f>
        <v/>
      </c>
      <c r="I96">
        <f>IF(NOT(AND(IFERROR('Company_Master'!A93&lt;&gt;"",FALSE),AND(ISNUMBER(Financials!C93),ISNUMBER(Financials!E93)))),"—",IF(IFERROR(AND(ISNUMBER(Financials!C93),ISNUMBER(Financials!E93),Financials!C93=0,Financials!E93&gt;0),FALSE),"⚠","✓"))</f>
        <v/>
      </c>
      <c r="J96">
        <f>IF(NOT(AND(IFERROR('Company_Master'!A93&lt;&gt;"",FALSE),COUNTIF('Raw_Extract'!A:A,'Company_Master'!A93)&gt;0)),"—",IF(COUNTIFS('Raw_Extract'!A:A,'Company_Master'!A93,'Raw_Extract'!J:J,"Low")&gt;0,"⚠","✓"))</f>
        <v/>
      </c>
      <c r="K96">
        <f>IF(NOT(AND(IFERROR('Company_Master'!A93&lt;&gt;"",FALSE),AND(ISNUMBER(Financials!E93),ISNUMBER(Financials!AP93)))),"—",IF(IFERROR(AND(ISNUMBER(Financials!E93),ISNUMBER(Financials!AP93),Financials!E93&lt;&gt;0,ABS(Financials!E93-Financials!AP93)/ABS(Financials!E93)&gt;0.05),FALSE),"⚠","✓"))</f>
        <v/>
      </c>
      <c r="L96">
        <f>IF(NOT(AND(IFERROR('Company_Master'!A93&lt;&gt;"",FALSE),AND(ISNUMBER(Financials!AR93),ISNUMBER(Financials!S93)))),"—",IF(IFERROR(AND(ISNUMBER(Financials!AR93),ISNUMBER(Financials!S93),Financials!S93&lt;&gt;0,ABS(Financials!AR93-Financials!S93)/MAX(ABS(Financials!S93),1)&gt;0.05),FALSE),"⚠","✓"))</f>
        <v/>
      </c>
      <c r="M96">
        <f>IF(NOT(AND(IFERROR('Company_Master'!A93&lt;&gt;"",FALSE),AND(ISNUMBER(Asset_Operations!BE93),ISNUMBER(Asset_Operations!AR93)))),"—",IF(IFERROR(AND(ISNUMBER(Asset_Operations!BE93),ISNUMBER(Asset_Operations!AR93),ABS(Asset_Operations!BE93-Asset_Operations!AR93)&gt;0.05),FALSE),"⚠","✓"))</f>
        <v/>
      </c>
      <c r="N96">
        <f>IF(NOT(AND(IFERROR('Company_Master'!A93&lt;&gt;"",FALSE),ISNUMBER(Financials!C93))),"—",IF(IFERROR(AND(ISNUMBER(Financials!C93),OR(Financials!C93&lt;50,Financials!C93&gt;200000)),FALSE),"⚠","✓"))</f>
        <v/>
      </c>
      <c r="O96">
        <f>COUNTIF(C96:N96,"⚠")</f>
        <v/>
      </c>
      <c r="P96">
        <f>COUNTIF(C96:N96,"✓")</f>
        <v/>
      </c>
      <c r="Q96">
        <f>IF(NOT(IFERROR('Company_Master'!A93&lt;&gt;"",FALSE)),"",IF(O96&gt;0,"⚠ "&amp;O96&amp;" issue(s) detected",IF(P96=0,"— No data to validate","✓ All "&amp;P96&amp;" checks passed")))</f>
        <v/>
      </c>
    </row>
    <row r="97">
      <c r="A97" t="n">
        <v>93</v>
      </c>
      <c r="B97">
        <f>IFERROR('Company_Master'!A94,"")</f>
        <v/>
      </c>
      <c r="C97">
        <f>IF(NOT(AND(IFERROR('Company_Master'!A94&lt;&gt;"",FALSE),OR(ISNUMBER(Asset_Operations!B94),ISNUMBER(Asset_Operations!C94),ISNUMBER(Asset_Operations!D94)))),"—",IF(IFERROR(AND(ISNUMBER(Asset_Operations!B94),ISNUMBER(Asset_Operations!C94),ISNUMBER(Asset_Operations!D94),Asset_Operations!B94&gt;0,ABS((Asset_Operations!C94+Asset_Operations!D94)-Asset_Operations!B94)/Asset_Operations!B94&gt;0.02),FALSE),"⚠","✓"))</f>
        <v/>
      </c>
      <c r="D97">
        <f>IF(NOT(AND(IFERROR('Company_Master'!A94&lt;&gt;"",FALSE),OR(ISNUMBER(Asset_Operations!B94),ISNUMBER(Asset_Operations!E94),ISNUMBER(Asset_Operations!F94)))),"—",IF(IFERROR(AND(ISNUMBER(Asset_Operations!B94),ISNUMBER(Asset_Operations!E94),ISNUMBER(Asset_Operations!F94),Asset_Operations!B94&gt;0,ABS((Asset_Operations!E94+Asset_Operations!F94)-Asset_Operations!B94)/Asset_Operations!B94&gt;0.02),FALSE),"⚠","✓"))</f>
        <v/>
      </c>
      <c r="E97">
        <f>IF(NOT(AND(IFERROR('Company_Master'!A94&lt;&gt;"",FALSE),ISNUMBER(Asset_Operations!AR94))),"—",IF(IFERROR(AND(ISNUMBER(Asset_Operations!AR94),OR(Asset_Operations!AR94&lt;0.15,Asset_Operations!AR94&gt;0.27)),FALSE),"⚠","✓"))</f>
        <v/>
      </c>
      <c r="F97">
        <f>IF(NOT(AND(IFERROR('Company_Master'!A94&lt;&gt;"",FALSE),AND(ISNUMBER(Financials!Q94),ISNUMBER(Financials!R94)))),"—",IF(IFERROR(AND(ISNUMBER(Financials!Q94),ISNUMBER(Financials!R94),ISNUMBER(Financials!S94),ABS((Financials!R94-Financials!Q94)-Financials!S94)/MAX(ABS(Financials!S94),1)&gt;0.05),FALSE),"⚠","✓"))</f>
        <v/>
      </c>
      <c r="G97">
        <f>IF(NOT(AND(IFERROR('Company_Master'!A94&lt;&gt;"",FALSE),AND(ISNUMBER(Financials!I94),ISNUMBER(Financials!L94),ISNUMBER(Financials!O94)))),"—",IF(IFERROR(AND(ISNUMBER(Financials!I94),ISNUMBER(Financials!L94),ISNUMBER(Financials!O94),Financials!I94&gt;0,ABS(Financials!I94-(Financials!L94+Financials!O94))/Financials!I94&gt;0.01),FALSE),"⚠","✓"))</f>
        <v/>
      </c>
      <c r="H97">
        <f>IF(NOT(AND(IFERROR('Company_Master'!A94&lt;&gt;"",FALSE),AND(ISNUMBER(Financials!E94),ISNUMBER(Financials!F94)))),"—",IF(IFERROR(AND(ISNUMBER(Financials!E94),ISNUMBER(Financials!F94),Financials!E94&lt;Financials!F94),FALSE),"⚠","✓"))</f>
        <v/>
      </c>
      <c r="I97">
        <f>IF(NOT(AND(IFERROR('Company_Master'!A94&lt;&gt;"",FALSE),AND(ISNUMBER(Financials!C94),ISNUMBER(Financials!E94)))),"—",IF(IFERROR(AND(ISNUMBER(Financials!C94),ISNUMBER(Financials!E94),Financials!C94=0,Financials!E94&gt;0),FALSE),"⚠","✓"))</f>
        <v/>
      </c>
      <c r="J97">
        <f>IF(NOT(AND(IFERROR('Company_Master'!A94&lt;&gt;"",FALSE),COUNTIF('Raw_Extract'!A:A,'Company_Master'!A94)&gt;0)),"—",IF(COUNTIFS('Raw_Extract'!A:A,'Company_Master'!A94,'Raw_Extract'!J:J,"Low")&gt;0,"⚠","✓"))</f>
        <v/>
      </c>
      <c r="K97">
        <f>IF(NOT(AND(IFERROR('Company_Master'!A94&lt;&gt;"",FALSE),AND(ISNUMBER(Financials!E94),ISNUMBER(Financials!AP94)))),"—",IF(IFERROR(AND(ISNUMBER(Financials!E94),ISNUMBER(Financials!AP94),Financials!E94&lt;&gt;0,ABS(Financials!E94-Financials!AP94)/ABS(Financials!E94)&gt;0.05),FALSE),"⚠","✓"))</f>
        <v/>
      </c>
      <c r="L97">
        <f>IF(NOT(AND(IFERROR('Company_Master'!A94&lt;&gt;"",FALSE),AND(ISNUMBER(Financials!AR94),ISNUMBER(Financials!S94)))),"—",IF(IFERROR(AND(ISNUMBER(Financials!AR94),ISNUMBER(Financials!S94),Financials!S94&lt;&gt;0,ABS(Financials!AR94-Financials!S94)/MAX(ABS(Financials!S94),1)&gt;0.05),FALSE),"⚠","✓"))</f>
        <v/>
      </c>
      <c r="M97">
        <f>IF(NOT(AND(IFERROR('Company_Master'!A94&lt;&gt;"",FALSE),AND(ISNUMBER(Asset_Operations!BE94),ISNUMBER(Asset_Operations!AR94)))),"—",IF(IFERROR(AND(ISNUMBER(Asset_Operations!BE94),ISNUMBER(Asset_Operations!AR94),ABS(Asset_Operations!BE94-Asset_Operations!AR94)&gt;0.05),FALSE),"⚠","✓"))</f>
        <v/>
      </c>
      <c r="N97">
        <f>IF(NOT(AND(IFERROR('Company_Master'!A94&lt;&gt;"",FALSE),ISNUMBER(Financials!C94))),"—",IF(IFERROR(AND(ISNUMBER(Financials!C94),OR(Financials!C94&lt;50,Financials!C94&gt;200000)),FALSE),"⚠","✓"))</f>
        <v/>
      </c>
      <c r="O97">
        <f>COUNTIF(C97:N97,"⚠")</f>
        <v/>
      </c>
      <c r="P97">
        <f>COUNTIF(C97:N97,"✓")</f>
        <v/>
      </c>
      <c r="Q97">
        <f>IF(NOT(IFERROR('Company_Master'!A94&lt;&gt;"",FALSE)),"",IF(O97&gt;0,"⚠ "&amp;O97&amp;" issue(s) detected",IF(P97=0,"— No data to validate","✓ All "&amp;P97&amp;" checks passed")))</f>
        <v/>
      </c>
    </row>
    <row r="99">
      <c r="A99" s="35" t="inlineStr">
        <is>
          <t>How to read</t>
        </is>
      </c>
    </row>
    <row r="100">
      <c r="A100" s="75" t="inlineStr">
        <is>
          <t>• ✓ = Rule was checked AND data passed validation</t>
        </is>
      </c>
    </row>
    <row r="101">
      <c r="A101" s="75" t="inlineStr">
        <is>
          <t>• ⚠ = Rule was checked AND a problem was detected (see Validation_Flags sheet for details)</t>
        </is>
      </c>
    </row>
    <row r="102">
      <c r="A102" s="75" t="inlineStr">
        <is>
          <t>• — = Rule could not be checked because required data is missing (e.g., downstream company has no plantation data for R1-R3)</t>
        </is>
      </c>
    </row>
    <row r="103">
      <c r="A103" s="75" t="inlineStr">
        <is>
          <t>• Overall Status: "✓ All N checks passed" means the company has clean data for every applicable rule</t>
        </is>
      </c>
    </row>
    <row r="104">
      <c r="A104" s="75" t="inlineStr">
        <is>
          <t>• Overall Status: "— No data to validate" means none of the rules had enough input data</t>
        </is>
      </c>
    </row>
    <row r="105">
      <c r="A105" s="75" t="inlineStr">
        <is>
          <t>• Press F9 in Excel to refresh after changing data</t>
        </is>
      </c>
    </row>
  </sheetData>
  <mergeCells count="8">
    <mergeCell ref="A100:Q100"/>
    <mergeCell ref="A105:Q105"/>
    <mergeCell ref="A1:P1"/>
    <mergeCell ref="A101:Q101"/>
    <mergeCell ref="A104:Q104"/>
    <mergeCell ref="A102:Q102"/>
    <mergeCell ref="A103:Q103"/>
    <mergeCell ref="A2:P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4"/>
  <sheetViews>
    <sheetView topLeftCell="A427" workbookViewId="0">
      <selection activeCell="A1" sqref="A1"/>
    </sheetView>
  </sheetViews>
  <sheetFormatPr baseColWidth="8" defaultRowHeight="14.4"/>
  <cols>
    <col width="11" bestFit="1" customWidth="1" style="67" min="1" max="1"/>
    <col width="34" bestFit="1" customWidth="1" style="67" min="4" max="4"/>
    <col width="13.77734375" bestFit="1" customWidth="1" style="67" min="5" max="5"/>
    <col width="14.88671875" bestFit="1" customWidth="1" style="67" min="6" max="6"/>
    <col width="73.21875" bestFit="1" customWidth="1" style="67" min="7" max="7"/>
  </cols>
  <sheetData>
    <row r="1">
      <c r="A1" t="inlineStr">
        <is>
          <t>Date</t>
        </is>
      </c>
      <c r="B1" t="inlineStr">
        <is>
          <t>Ticker</t>
        </is>
      </c>
      <c r="C1" t="inlineStr">
        <is>
          <t>Year</t>
        </is>
      </c>
      <c r="D1" t="inlineStr">
        <is>
          <t>Field</t>
        </is>
      </c>
      <c r="E1" t="inlineStr">
        <is>
          <t>Previous Value</t>
        </is>
      </c>
      <c r="F1" t="inlineStr">
        <is>
          <t>Backfilled Value</t>
        </is>
      </c>
      <c r="G1" t="inlineStr">
        <is>
          <t>Source</t>
        </is>
      </c>
    </row>
    <row r="2">
      <c r="A2" t="inlineStr">
        <is>
          <t>2026-04-19</t>
        </is>
      </c>
      <c r="B2" t="inlineStr">
        <is>
          <t>AALI</t>
        </is>
      </c>
      <c r="C2" t="n">
        <v>2023</v>
      </c>
      <c r="D2" t="inlineStr">
        <is>
          <t>ebit</t>
        </is>
      </c>
      <c r="F2" t="n">
        <v>1251.22</v>
      </c>
      <c r="G2" t="inlineStr">
        <is>
          <t>NotebookLM</t>
        </is>
      </c>
    </row>
    <row r="3">
      <c r="A3" t="inlineStr">
        <is>
          <t>2026-04-19</t>
        </is>
      </c>
      <c r="B3" t="inlineStr">
        <is>
          <t>AALI</t>
        </is>
      </c>
      <c r="C3" t="n">
        <v>2023</v>
      </c>
      <c r="D3" t="inlineStr">
        <is>
          <t>cash</t>
        </is>
      </c>
      <c r="F3" t="n">
        <v>2089.51</v>
      </c>
      <c r="G3" t="inlineStr">
        <is>
          <t>NotebookLM</t>
        </is>
      </c>
    </row>
    <row r="4">
      <c r="A4" t="inlineStr">
        <is>
          <t>2026-04-19</t>
        </is>
      </c>
      <c r="B4" t="inlineStr">
        <is>
          <t>AALI</t>
        </is>
      </c>
      <c r="C4" t="n">
        <v>2023</v>
      </c>
      <c r="D4" t="inlineStr">
        <is>
          <t>gross_debt</t>
        </is>
      </c>
      <c r="F4" t="n">
        <v>4005.05</v>
      </c>
      <c r="G4" t="inlineStr">
        <is>
          <t>NotebookLM</t>
        </is>
      </c>
    </row>
    <row r="5">
      <c r="A5" t="inlineStr">
        <is>
          <t>2026-04-19</t>
        </is>
      </c>
      <c r="B5" t="inlineStr">
        <is>
          <t>AALI</t>
        </is>
      </c>
      <c r="C5" t="n">
        <v>2023</v>
      </c>
      <c r="D5" t="inlineStr">
        <is>
          <t>cfo</t>
        </is>
      </c>
      <c r="F5" t="n">
        <v>2538.74</v>
      </c>
      <c r="G5" t="inlineStr">
        <is>
          <t>NotebookLM</t>
        </is>
      </c>
    </row>
    <row r="6">
      <c r="A6" t="inlineStr">
        <is>
          <t>2026-04-19</t>
        </is>
      </c>
      <c r="B6" t="inlineStr">
        <is>
          <t>AALI</t>
        </is>
      </c>
      <c r="C6" t="n">
        <v>2023</v>
      </c>
      <c r="D6" t="inlineStr">
        <is>
          <t>capex</t>
        </is>
      </c>
      <c r="F6" t="n">
        <v>1236.34</v>
      </c>
      <c r="G6" t="inlineStr">
        <is>
          <t>NotebookLM</t>
        </is>
      </c>
    </row>
    <row r="7">
      <c r="A7" t="inlineStr">
        <is>
          <t>2026-04-19</t>
        </is>
      </c>
      <c r="B7" t="inlineStr">
        <is>
          <t>BISI</t>
        </is>
      </c>
      <c r="C7" t="n">
        <v>2023</v>
      </c>
      <c r="D7" t="inlineStr">
        <is>
          <t>gross_debt</t>
        </is>
      </c>
      <c r="F7" t="n">
        <v>0</v>
      </c>
      <c r="G7" t="inlineStr">
        <is>
          <t>NotebookLM</t>
        </is>
      </c>
    </row>
    <row r="8">
      <c r="A8" t="inlineStr">
        <is>
          <t>2026-04-19</t>
        </is>
      </c>
      <c r="B8" t="inlineStr">
        <is>
          <t>BISI</t>
        </is>
      </c>
      <c r="C8" t="n">
        <v>2024</v>
      </c>
      <c r="D8" t="inlineStr">
        <is>
          <t>gross_debt</t>
        </is>
      </c>
      <c r="F8" t="n">
        <v>0</v>
      </c>
      <c r="G8" t="inlineStr">
        <is>
          <t>NotebookLM</t>
        </is>
      </c>
    </row>
    <row r="9">
      <c r="A9" t="inlineStr">
        <is>
          <t>2026-04-19</t>
        </is>
      </c>
      <c r="B9" t="inlineStr">
        <is>
          <t>BTEK</t>
        </is>
      </c>
      <c r="C9" t="n">
        <v>2022</v>
      </c>
      <c r="D9" t="inlineStr">
        <is>
          <t>eps</t>
        </is>
      </c>
      <c r="F9" t="n">
        <v>-2.88</v>
      </c>
      <c r="G9" t="inlineStr">
        <is>
          <t>NotebookLM</t>
        </is>
      </c>
    </row>
    <row r="10">
      <c r="A10" t="inlineStr">
        <is>
          <t>2026-04-19</t>
        </is>
      </c>
      <c r="B10" t="inlineStr">
        <is>
          <t>BWPT</t>
        </is>
      </c>
      <c r="C10" t="n">
        <v>2023</v>
      </c>
      <c r="D10" t="inlineStr">
        <is>
          <t>cash</t>
        </is>
      </c>
      <c r="F10" t="n">
        <v>25.37</v>
      </c>
      <c r="G10" t="inlineStr">
        <is>
          <t>NotebookLM</t>
        </is>
      </c>
    </row>
    <row r="11">
      <c r="A11" t="inlineStr">
        <is>
          <t>2026-04-19</t>
        </is>
      </c>
      <c r="B11" t="inlineStr">
        <is>
          <t>BWPT</t>
        </is>
      </c>
      <c r="C11" t="n">
        <v>2023</v>
      </c>
      <c r="D11" t="inlineStr">
        <is>
          <t>gross_debt</t>
        </is>
      </c>
      <c r="F11" t="n">
        <v>7777.55</v>
      </c>
      <c r="G11" t="inlineStr">
        <is>
          <t>NotebookLM</t>
        </is>
      </c>
    </row>
    <row r="12">
      <c r="A12" t="inlineStr">
        <is>
          <t>2026-04-19</t>
        </is>
      </c>
      <c r="B12" t="inlineStr">
        <is>
          <t>MGRO</t>
        </is>
      </c>
      <c r="C12" t="n">
        <v>2022</v>
      </c>
      <c r="D12" t="inlineStr">
        <is>
          <t>capex</t>
        </is>
      </c>
      <c r="F12" t="n">
        <v>124.96</v>
      </c>
      <c r="G12" t="inlineStr">
        <is>
          <t>NotebookLM</t>
        </is>
      </c>
    </row>
    <row r="13">
      <c r="A13" t="inlineStr">
        <is>
          <t>2026-04-19</t>
        </is>
      </c>
      <c r="B13" t="inlineStr">
        <is>
          <t>MKTR</t>
        </is>
      </c>
      <c r="C13" t="n">
        <v>2023</v>
      </c>
      <c r="D13" t="inlineStr">
        <is>
          <t>capex</t>
        </is>
      </c>
      <c r="F13" t="n">
        <v>371.81</v>
      </c>
      <c r="G13" t="inlineStr">
        <is>
          <t>NotebookLM</t>
        </is>
      </c>
    </row>
    <row r="14">
      <c r="A14" t="inlineStr">
        <is>
          <t>2026-04-19</t>
        </is>
      </c>
      <c r="B14" t="inlineStr">
        <is>
          <t>NSSS</t>
        </is>
      </c>
      <c r="C14" t="n">
        <v>2022</v>
      </c>
      <c r="D14" t="inlineStr">
        <is>
          <t>ebit</t>
        </is>
      </c>
      <c r="F14" t="n">
        <v>313.18</v>
      </c>
      <c r="G14" t="inlineStr">
        <is>
          <t>NotebookLM</t>
        </is>
      </c>
    </row>
    <row r="15">
      <c r="A15" t="inlineStr">
        <is>
          <t>2026-04-19</t>
        </is>
      </c>
      <c r="B15" t="inlineStr">
        <is>
          <t>NSSS</t>
        </is>
      </c>
      <c r="C15" t="n">
        <v>2022</v>
      </c>
      <c r="D15" t="inlineStr">
        <is>
          <t>gross_debt</t>
        </is>
      </c>
      <c r="F15" t="n">
        <v>2104.6</v>
      </c>
      <c r="G15" t="inlineStr">
        <is>
          <t>NotebookLM</t>
        </is>
      </c>
    </row>
    <row r="16">
      <c r="A16" t="inlineStr">
        <is>
          <t>2026-04-19</t>
        </is>
      </c>
      <c r="B16" t="inlineStr">
        <is>
          <t>NSSS</t>
        </is>
      </c>
      <c r="C16" t="n">
        <v>2022</v>
      </c>
      <c r="D16" t="inlineStr">
        <is>
          <t>capex</t>
        </is>
      </c>
      <c r="F16" t="n">
        <v>103.49</v>
      </c>
      <c r="G16" t="inlineStr">
        <is>
          <t>NotebookLM</t>
        </is>
      </c>
    </row>
    <row r="17">
      <c r="A17" t="inlineStr">
        <is>
          <t>2026-04-19</t>
        </is>
      </c>
      <c r="B17" t="inlineStr">
        <is>
          <t>NSSS</t>
        </is>
      </c>
      <c r="C17" t="n">
        <v>2023</v>
      </c>
      <c r="D17" t="inlineStr">
        <is>
          <t>ebit</t>
        </is>
      </c>
      <c r="F17" t="n">
        <v>202.81</v>
      </c>
      <c r="G17" t="inlineStr">
        <is>
          <t>NotebookLM</t>
        </is>
      </c>
    </row>
    <row r="18">
      <c r="A18" t="inlineStr">
        <is>
          <t>2026-04-19</t>
        </is>
      </c>
      <c r="B18" t="inlineStr">
        <is>
          <t>NSSS</t>
        </is>
      </c>
      <c r="C18" t="n">
        <v>2023</v>
      </c>
      <c r="D18" t="inlineStr">
        <is>
          <t>gross_debt</t>
        </is>
      </c>
      <c r="F18" t="n">
        <v>2110.01</v>
      </c>
      <c r="G18" t="inlineStr">
        <is>
          <t>NotebookLM</t>
        </is>
      </c>
    </row>
    <row r="19">
      <c r="A19" t="inlineStr">
        <is>
          <t>2026-04-19</t>
        </is>
      </c>
      <c r="B19" t="inlineStr">
        <is>
          <t>NSSS</t>
        </is>
      </c>
      <c r="C19" t="n">
        <v>2023</v>
      </c>
      <c r="D19" t="inlineStr">
        <is>
          <t>capex</t>
        </is>
      </c>
      <c r="F19" t="n">
        <v>329.88</v>
      </c>
      <c r="G19" t="inlineStr">
        <is>
          <t>NotebookLM</t>
        </is>
      </c>
    </row>
    <row r="20">
      <c r="A20" t="inlineStr">
        <is>
          <t>2026-04-19</t>
        </is>
      </c>
      <c r="B20" t="inlineStr">
        <is>
          <t>TLDN</t>
        </is>
      </c>
      <c r="C20" t="n">
        <v>2025</v>
      </c>
      <c r="D20" t="inlineStr">
        <is>
          <t>gross_debt</t>
        </is>
      </c>
      <c r="F20" t="n">
        <v>955.74</v>
      </c>
      <c r="G20" t="inlineStr">
        <is>
          <t>NotebookLM</t>
        </is>
      </c>
    </row>
    <row r="21">
      <c r="A21" t="inlineStr">
        <is>
          <t>2026-04-19</t>
        </is>
      </c>
      <c r="B21" t="inlineStr">
        <is>
          <t>UNSP</t>
        </is>
      </c>
      <c r="C21" t="n">
        <v>2022</v>
      </c>
      <c r="D21" t="inlineStr">
        <is>
          <t>gross_debt</t>
        </is>
      </c>
      <c r="F21" t="n">
        <v>5937.42</v>
      </c>
      <c r="G21" t="inlineStr">
        <is>
          <t>NotebookLM</t>
        </is>
      </c>
    </row>
    <row r="22">
      <c r="A22" t="inlineStr">
        <is>
          <t>2026-04-19</t>
        </is>
      </c>
      <c r="B22" t="inlineStr">
        <is>
          <t>UNSP</t>
        </is>
      </c>
      <c r="C22" t="n">
        <v>2022</v>
      </c>
      <c r="D22" t="inlineStr">
        <is>
          <t>capex</t>
        </is>
      </c>
      <c r="F22" t="n">
        <v>329.08</v>
      </c>
      <c r="G22" t="inlineStr">
        <is>
          <t>NotebookLM</t>
        </is>
      </c>
    </row>
    <row r="23">
      <c r="A23" t="inlineStr">
        <is>
          <t>2026-04-19</t>
        </is>
      </c>
      <c r="B23" t="inlineStr">
        <is>
          <t>AALI</t>
        </is>
      </c>
      <c r="C23" t="n">
        <v>2023</v>
      </c>
      <c r="D23" t="inlineStr">
        <is>
          <t>ops.mill_capacity_tph</t>
        </is>
      </c>
      <c r="F23" t="n">
        <v>1570</v>
      </c>
      <c r="G23" t="inlineStr">
        <is>
          <t>NotebookLM</t>
        </is>
      </c>
    </row>
    <row r="24">
      <c r="A24" t="inlineStr">
        <is>
          <t>2026-04-19</t>
        </is>
      </c>
      <c r="B24" t="inlineStr">
        <is>
          <t>AALI</t>
        </is>
      </c>
      <c r="C24" t="n">
        <v>2024</v>
      </c>
      <c r="D24" t="inlineStr">
        <is>
          <t>ops.mill_capacity_tph</t>
        </is>
      </c>
      <c r="F24" t="n">
        <v>1570</v>
      </c>
      <c r="G24" t="inlineStr">
        <is>
          <t>NotebookLM</t>
        </is>
      </c>
    </row>
    <row r="25">
      <c r="A25" t="inlineStr">
        <is>
          <t>2026-04-19</t>
        </is>
      </c>
      <c r="B25" t="inlineStr">
        <is>
          <t>AALI</t>
        </is>
      </c>
      <c r="C25" t="n">
        <v>2025</v>
      </c>
      <c r="D25" t="inlineStr">
        <is>
          <t>ops.mill_capacity_tph</t>
        </is>
      </c>
      <c r="F25" t="n">
        <v>1655</v>
      </c>
      <c r="G25" t="inlineStr">
        <is>
          <t>NotebookLM</t>
        </is>
      </c>
    </row>
    <row r="26">
      <c r="A26" t="inlineStr">
        <is>
          <t>2026-04-19</t>
        </is>
      </c>
      <c r="B26" t="inlineStr">
        <is>
          <t>ANDI</t>
        </is>
      </c>
      <c r="C26" t="n">
        <v>2022</v>
      </c>
      <c r="D26" t="inlineStr">
        <is>
          <t>ops.mature_area_ha</t>
        </is>
      </c>
      <c r="F26" t="n">
        <v>5040.63</v>
      </c>
      <c r="G26" t="inlineStr">
        <is>
          <t>NotebookLM</t>
        </is>
      </c>
    </row>
    <row r="27">
      <c r="A27" t="inlineStr">
        <is>
          <t>2026-04-19</t>
        </is>
      </c>
      <c r="B27" t="inlineStr">
        <is>
          <t>ANDI</t>
        </is>
      </c>
      <c r="C27" t="n">
        <v>2023</v>
      </c>
      <c r="D27" t="inlineStr">
        <is>
          <t>ops.planted_area_total_ha</t>
        </is>
      </c>
      <c r="F27" t="n">
        <v>10006.31</v>
      </c>
      <c r="G27" t="inlineStr">
        <is>
          <t>NotebookLM</t>
        </is>
      </c>
    </row>
    <row r="28">
      <c r="A28" t="inlineStr">
        <is>
          <t>2026-04-19</t>
        </is>
      </c>
      <c r="B28" t="inlineStr">
        <is>
          <t>ANDI</t>
        </is>
      </c>
      <c r="C28" t="n">
        <v>2023</v>
      </c>
      <c r="D28" t="inlineStr">
        <is>
          <t>ops.nucleus_area_ha</t>
        </is>
      </c>
      <c r="F28" t="n">
        <v>5040.63</v>
      </c>
      <c r="G28" t="inlineStr">
        <is>
          <t>NotebookLM</t>
        </is>
      </c>
    </row>
    <row r="29">
      <c r="A29" t="inlineStr">
        <is>
          <t>2026-04-19</t>
        </is>
      </c>
      <c r="B29" t="inlineStr">
        <is>
          <t>ANDI</t>
        </is>
      </c>
      <c r="C29" t="n">
        <v>2023</v>
      </c>
      <c r="D29" t="inlineStr">
        <is>
          <t>ops.plasma_area_ha</t>
        </is>
      </c>
      <c r="F29" t="n">
        <v>4965.68</v>
      </c>
      <c r="G29" t="inlineStr">
        <is>
          <t>NotebookLM</t>
        </is>
      </c>
    </row>
    <row r="30">
      <c r="A30" t="inlineStr">
        <is>
          <t>2026-04-19</t>
        </is>
      </c>
      <c r="B30" t="inlineStr">
        <is>
          <t>ANDI</t>
        </is>
      </c>
      <c r="C30" t="n">
        <v>2023</v>
      </c>
      <c r="D30" t="inlineStr">
        <is>
          <t>ops.mature_area_ha</t>
        </is>
      </c>
      <c r="F30" t="n">
        <v>5040.63</v>
      </c>
      <c r="G30" t="inlineStr">
        <is>
          <t>NotebookLM</t>
        </is>
      </c>
    </row>
    <row r="31">
      <c r="A31" t="inlineStr">
        <is>
          <t>2026-04-19</t>
        </is>
      </c>
      <c r="B31" t="inlineStr">
        <is>
          <t>ANDI</t>
        </is>
      </c>
      <c r="C31" t="n">
        <v>2023</v>
      </c>
      <c r="D31" t="inlineStr">
        <is>
          <t>ops.kernel_crushing_count</t>
        </is>
      </c>
      <c r="F31" t="n">
        <v>0</v>
      </c>
      <c r="G31" t="inlineStr">
        <is>
          <t>NotebookLM</t>
        </is>
      </c>
    </row>
    <row r="32">
      <c r="A32" t="inlineStr">
        <is>
          <t>2026-04-19</t>
        </is>
      </c>
      <c r="B32" t="inlineStr">
        <is>
          <t>ANDI</t>
        </is>
      </c>
      <c r="C32" t="n">
        <v>2023</v>
      </c>
      <c r="D32" t="inlineStr">
        <is>
          <t>ops.cpo_refinery_count</t>
        </is>
      </c>
      <c r="F32" t="n">
        <v>0</v>
      </c>
      <c r="G32" t="inlineStr">
        <is>
          <t>NotebookLM</t>
        </is>
      </c>
    </row>
    <row r="33">
      <c r="A33" t="inlineStr">
        <is>
          <t>2026-04-19</t>
        </is>
      </c>
      <c r="B33" t="inlineStr">
        <is>
          <t>ANDI</t>
        </is>
      </c>
      <c r="C33" t="n">
        <v>2024</v>
      </c>
      <c r="D33" t="inlineStr">
        <is>
          <t>ops.planted_area_total_ha</t>
        </is>
      </c>
      <c r="F33" t="n">
        <v>9709.24</v>
      </c>
      <c r="G33" t="inlineStr">
        <is>
          <t>NotebookLM</t>
        </is>
      </c>
    </row>
    <row r="34">
      <c r="A34" t="inlineStr">
        <is>
          <t>2026-04-19</t>
        </is>
      </c>
      <c r="B34" t="inlineStr">
        <is>
          <t>ANDI</t>
        </is>
      </c>
      <c r="C34" t="n">
        <v>2024</v>
      </c>
      <c r="D34" t="inlineStr">
        <is>
          <t>ops.nucleus_area_ha</t>
        </is>
      </c>
      <c r="F34" t="n">
        <v>4743.56</v>
      </c>
      <c r="G34" t="inlineStr">
        <is>
          <t>NotebookLM</t>
        </is>
      </c>
    </row>
    <row r="35">
      <c r="A35" t="inlineStr">
        <is>
          <t>2026-04-19</t>
        </is>
      </c>
      <c r="B35" t="inlineStr">
        <is>
          <t>ANDI</t>
        </is>
      </c>
      <c r="C35" t="n">
        <v>2024</v>
      </c>
      <c r="D35" t="inlineStr">
        <is>
          <t>ops.plasma_area_ha</t>
        </is>
      </c>
      <c r="F35" t="n">
        <v>4965.68</v>
      </c>
      <c r="G35" t="inlineStr">
        <is>
          <t>NotebookLM</t>
        </is>
      </c>
    </row>
    <row r="36">
      <c r="A36" t="inlineStr">
        <is>
          <t>2026-04-19</t>
        </is>
      </c>
      <c r="B36" t="inlineStr">
        <is>
          <t>ANDI</t>
        </is>
      </c>
      <c r="C36" t="n">
        <v>2024</v>
      </c>
      <c r="D36" t="inlineStr">
        <is>
          <t>ops.mature_area_ha</t>
        </is>
      </c>
      <c r="F36" t="n">
        <v>4558.21</v>
      </c>
      <c r="G36" t="inlineStr">
        <is>
          <t>NotebookLM</t>
        </is>
      </c>
    </row>
    <row r="37">
      <c r="A37" t="inlineStr">
        <is>
          <t>2026-04-19</t>
        </is>
      </c>
      <c r="B37" t="inlineStr">
        <is>
          <t>ANDI</t>
        </is>
      </c>
      <c r="C37" t="n">
        <v>2024</v>
      </c>
      <c r="D37" t="inlineStr">
        <is>
          <t>ops.immature_area_ha</t>
        </is>
      </c>
      <c r="F37" t="n">
        <v>185.35</v>
      </c>
      <c r="G37" t="inlineStr">
        <is>
          <t>NotebookLM</t>
        </is>
      </c>
    </row>
    <row r="38">
      <c r="A38" t="inlineStr">
        <is>
          <t>2026-04-19</t>
        </is>
      </c>
      <c r="B38" t="inlineStr">
        <is>
          <t>ANDI</t>
        </is>
      </c>
      <c r="C38" t="n">
        <v>2024</v>
      </c>
      <c r="D38" t="inlineStr">
        <is>
          <t>ops.kernel_crushing_count</t>
        </is>
      </c>
      <c r="F38" t="n">
        <v>0</v>
      </c>
      <c r="G38" t="inlineStr">
        <is>
          <t>NotebookLM</t>
        </is>
      </c>
    </row>
    <row r="39">
      <c r="A39" t="inlineStr">
        <is>
          <t>2026-04-19</t>
        </is>
      </c>
      <c r="B39" t="inlineStr">
        <is>
          <t>ANDI</t>
        </is>
      </c>
      <c r="C39" t="n">
        <v>2024</v>
      </c>
      <c r="D39" t="inlineStr">
        <is>
          <t>ops.cpo_refinery_count</t>
        </is>
      </c>
      <c r="F39" t="n">
        <v>0</v>
      </c>
      <c r="G39" t="inlineStr">
        <is>
          <t>NotebookLM</t>
        </is>
      </c>
    </row>
    <row r="40">
      <c r="A40" t="inlineStr">
        <is>
          <t>2026-04-19</t>
        </is>
      </c>
      <c r="B40" t="inlineStr">
        <is>
          <t>ANDI</t>
        </is>
      </c>
      <c r="C40" t="n">
        <v>2024</v>
      </c>
      <c r="D40" t="inlineStr">
        <is>
          <t>ops.domestic_sales_pct</t>
        </is>
      </c>
      <c r="F40" t="n">
        <v>1</v>
      </c>
      <c r="G40" t="inlineStr">
        <is>
          <t>NotebookLM</t>
        </is>
      </c>
    </row>
    <row r="41">
      <c r="A41" t="inlineStr">
        <is>
          <t>2026-04-19</t>
        </is>
      </c>
      <c r="B41" t="inlineStr">
        <is>
          <t>ANDI</t>
        </is>
      </c>
      <c r="C41" t="n">
        <v>2024</v>
      </c>
      <c r="D41" t="inlineStr">
        <is>
          <t>ops.export_sales_pct</t>
        </is>
      </c>
      <c r="F41" t="n">
        <v>0</v>
      </c>
      <c r="G41" t="inlineStr">
        <is>
          <t>NotebookLM</t>
        </is>
      </c>
    </row>
    <row r="42">
      <c r="A42" t="inlineStr">
        <is>
          <t>2026-04-19</t>
        </is>
      </c>
      <c r="B42" t="inlineStr">
        <is>
          <t>ANJT</t>
        </is>
      </c>
      <c r="C42" t="n">
        <v>2022</v>
      </c>
      <c r="D42" t="inlineStr">
        <is>
          <t>ops.immature_area_ha</t>
        </is>
      </c>
      <c r="F42" t="n">
        <v>7338</v>
      </c>
      <c r="G42" t="inlineStr">
        <is>
          <t>NotebookLM</t>
        </is>
      </c>
    </row>
    <row r="43">
      <c r="A43" t="inlineStr">
        <is>
          <t>2026-04-19</t>
        </is>
      </c>
      <c r="B43" t="inlineStr">
        <is>
          <t>ANJT</t>
        </is>
      </c>
      <c r="C43" t="n">
        <v>2022</v>
      </c>
      <c r="D43" t="inlineStr">
        <is>
          <t>ops.avg_tree_age_years</t>
        </is>
      </c>
      <c r="F43" t="n">
        <v>12.9</v>
      </c>
      <c r="G43" t="inlineStr">
        <is>
          <t>NotebookLM</t>
        </is>
      </c>
    </row>
    <row r="44">
      <c r="A44" t="inlineStr">
        <is>
          <t>2026-04-19</t>
        </is>
      </c>
      <c r="B44" t="inlineStr">
        <is>
          <t>ANJT</t>
        </is>
      </c>
      <c r="C44" t="n">
        <v>2022</v>
      </c>
      <c r="D44" t="inlineStr">
        <is>
          <t>ops.cpo_refinery_count</t>
        </is>
      </c>
      <c r="F44" t="n">
        <v>0</v>
      </c>
      <c r="G44" t="inlineStr">
        <is>
          <t>NotebookLM</t>
        </is>
      </c>
    </row>
    <row r="45">
      <c r="A45" t="inlineStr">
        <is>
          <t>2026-04-19</t>
        </is>
      </c>
      <c r="B45" t="inlineStr">
        <is>
          <t>ANJT</t>
        </is>
      </c>
      <c r="C45" t="n">
        <v>2022</v>
      </c>
      <c r="D45" t="inlineStr">
        <is>
          <t>ops.domestic_sales_pct</t>
        </is>
      </c>
      <c r="F45" t="n">
        <v>0.9967</v>
      </c>
      <c r="G45" t="inlineStr">
        <is>
          <t>NotebookLM</t>
        </is>
      </c>
    </row>
    <row r="46">
      <c r="A46" t="inlineStr">
        <is>
          <t>2026-04-19</t>
        </is>
      </c>
      <c r="B46" t="inlineStr">
        <is>
          <t>ANJT</t>
        </is>
      </c>
      <c r="C46" t="n">
        <v>2022</v>
      </c>
      <c r="D46" t="inlineStr">
        <is>
          <t>ops.export_sales_pct</t>
        </is>
      </c>
      <c r="F46" t="n">
        <v>0.0033</v>
      </c>
      <c r="G46" t="inlineStr">
        <is>
          <t>NotebookLM</t>
        </is>
      </c>
    </row>
    <row r="47">
      <c r="A47" t="inlineStr">
        <is>
          <t>2026-04-19</t>
        </is>
      </c>
      <c r="B47" t="inlineStr">
        <is>
          <t>ANJT</t>
        </is>
      </c>
      <c r="C47" t="n">
        <v>2023</v>
      </c>
      <c r="D47" t="inlineStr">
        <is>
          <t>ops.immature_area_ha</t>
        </is>
      </c>
      <c r="F47" t="n">
        <v>5174</v>
      </c>
      <c r="G47" t="inlineStr">
        <is>
          <t>NotebookLM</t>
        </is>
      </c>
    </row>
    <row r="48">
      <c r="A48" t="inlineStr">
        <is>
          <t>2026-04-19</t>
        </is>
      </c>
      <c r="B48" t="inlineStr">
        <is>
          <t>ANJT</t>
        </is>
      </c>
      <c r="C48" t="n">
        <v>2023</v>
      </c>
      <c r="D48" t="inlineStr">
        <is>
          <t>ops.avg_tree_age_years</t>
        </is>
      </c>
      <c r="F48" t="n">
        <v>13</v>
      </c>
      <c r="G48" t="inlineStr">
        <is>
          <t>NotebookLM</t>
        </is>
      </c>
    </row>
    <row r="49">
      <c r="A49" t="inlineStr">
        <is>
          <t>2026-04-19</t>
        </is>
      </c>
      <c r="B49" t="inlineStr">
        <is>
          <t>ANJT</t>
        </is>
      </c>
      <c r="C49" t="n">
        <v>2023</v>
      </c>
      <c r="D49" t="inlineStr">
        <is>
          <t>ops.cpo_refinery_count</t>
        </is>
      </c>
      <c r="F49" t="n">
        <v>0</v>
      </c>
      <c r="G49" t="inlineStr">
        <is>
          <t>NotebookLM</t>
        </is>
      </c>
    </row>
    <row r="50">
      <c r="A50" t="inlineStr">
        <is>
          <t>2026-04-19</t>
        </is>
      </c>
      <c r="B50" t="inlineStr">
        <is>
          <t>ANJT</t>
        </is>
      </c>
      <c r="C50" t="n">
        <v>2023</v>
      </c>
      <c r="D50" t="inlineStr">
        <is>
          <t>ops.domestic_sales_pct</t>
        </is>
      </c>
      <c r="F50" t="n">
        <v>0.9976</v>
      </c>
      <c r="G50" t="inlineStr">
        <is>
          <t>NotebookLM</t>
        </is>
      </c>
    </row>
    <row r="51">
      <c r="A51" t="inlineStr">
        <is>
          <t>2026-04-19</t>
        </is>
      </c>
      <c r="B51" t="inlineStr">
        <is>
          <t>ANJT</t>
        </is>
      </c>
      <c r="C51" t="n">
        <v>2023</v>
      </c>
      <c r="D51" t="inlineStr">
        <is>
          <t>ops.export_sales_pct</t>
        </is>
      </c>
      <c r="F51" t="n">
        <v>0.0024</v>
      </c>
      <c r="G51" t="inlineStr">
        <is>
          <t>NotebookLM</t>
        </is>
      </c>
    </row>
    <row r="52">
      <c r="A52" t="inlineStr">
        <is>
          <t>2026-04-19</t>
        </is>
      </c>
      <c r="B52" t="inlineStr">
        <is>
          <t>ANJT</t>
        </is>
      </c>
      <c r="C52" t="n">
        <v>2024</v>
      </c>
      <c r="D52" t="inlineStr">
        <is>
          <t>ops.immature_area_ha</t>
        </is>
      </c>
      <c r="F52" t="n">
        <v>6212</v>
      </c>
      <c r="G52" t="inlineStr">
        <is>
          <t>NotebookLM</t>
        </is>
      </c>
    </row>
    <row r="53">
      <c r="A53" t="inlineStr">
        <is>
          <t>2026-04-19</t>
        </is>
      </c>
      <c r="B53" t="inlineStr">
        <is>
          <t>ANJT</t>
        </is>
      </c>
      <c r="C53" t="n">
        <v>2024</v>
      </c>
      <c r="D53" t="inlineStr">
        <is>
          <t>ops.cpo_refinery_count</t>
        </is>
      </c>
      <c r="F53" t="n">
        <v>0</v>
      </c>
      <c r="G53" t="inlineStr">
        <is>
          <t>NotebookLM</t>
        </is>
      </c>
    </row>
    <row r="54">
      <c r="A54" t="inlineStr">
        <is>
          <t>2026-04-19</t>
        </is>
      </c>
      <c r="B54" t="inlineStr">
        <is>
          <t>BWPT</t>
        </is>
      </c>
      <c r="C54" t="n">
        <v>2023</v>
      </c>
      <c r="D54" t="inlineStr">
        <is>
          <t>ops.kernel_crushing_count</t>
        </is>
      </c>
      <c r="F54" t="n">
        <v>0</v>
      </c>
      <c r="G54" t="inlineStr">
        <is>
          <t>NotebookLM</t>
        </is>
      </c>
    </row>
    <row r="55">
      <c r="A55" t="inlineStr">
        <is>
          <t>2026-04-19</t>
        </is>
      </c>
      <c r="B55" t="inlineStr">
        <is>
          <t>BWPT</t>
        </is>
      </c>
      <c r="C55" t="n">
        <v>2023</v>
      </c>
      <c r="D55" t="inlineStr">
        <is>
          <t>ops.cpo_refinery_count</t>
        </is>
      </c>
      <c r="F55" t="n">
        <v>0</v>
      </c>
      <c r="G55" t="inlineStr">
        <is>
          <t>NotebookLM</t>
        </is>
      </c>
    </row>
    <row r="56">
      <c r="A56" t="inlineStr">
        <is>
          <t>2026-04-19</t>
        </is>
      </c>
      <c r="B56" t="inlineStr">
        <is>
          <t>BWPT</t>
        </is>
      </c>
      <c r="C56" t="n">
        <v>2023</v>
      </c>
      <c r="D56" t="inlineStr">
        <is>
          <t>ops.domestic_sales_pct</t>
        </is>
      </c>
      <c r="F56" t="n">
        <v>1</v>
      </c>
      <c r="G56" t="inlineStr">
        <is>
          <t>NotebookLM</t>
        </is>
      </c>
    </row>
    <row r="57">
      <c r="A57" t="inlineStr">
        <is>
          <t>2026-04-19</t>
        </is>
      </c>
      <c r="B57" t="inlineStr">
        <is>
          <t>BWPT</t>
        </is>
      </c>
      <c r="C57" t="n">
        <v>2023</v>
      </c>
      <c r="D57" t="inlineStr">
        <is>
          <t>ops.export_sales_pct</t>
        </is>
      </c>
      <c r="F57" t="n">
        <v>0</v>
      </c>
      <c r="G57" t="inlineStr">
        <is>
          <t>NotebookLM</t>
        </is>
      </c>
    </row>
    <row r="58">
      <c r="A58" t="inlineStr">
        <is>
          <t>2026-04-19</t>
        </is>
      </c>
      <c r="B58" t="inlineStr">
        <is>
          <t>BWPT</t>
        </is>
      </c>
      <c r="C58" t="n">
        <v>2024</v>
      </c>
      <c r="D58" t="inlineStr">
        <is>
          <t>ops.mature_area_ha</t>
        </is>
      </c>
      <c r="F58" t="n">
        <v>86729</v>
      </c>
      <c r="G58" t="inlineStr">
        <is>
          <t>NotebookLM</t>
        </is>
      </c>
    </row>
    <row r="59">
      <c r="A59" t="inlineStr">
        <is>
          <t>2026-04-19</t>
        </is>
      </c>
      <c r="B59" t="inlineStr">
        <is>
          <t>BWPT</t>
        </is>
      </c>
      <c r="C59" t="n">
        <v>2024</v>
      </c>
      <c r="D59" t="inlineStr">
        <is>
          <t>ops.immature_area_ha</t>
        </is>
      </c>
      <c r="F59" t="n">
        <v>271</v>
      </c>
      <c r="G59" t="inlineStr">
        <is>
          <t>NotebookLM</t>
        </is>
      </c>
    </row>
    <row r="60">
      <c r="A60" t="inlineStr">
        <is>
          <t>2026-04-19</t>
        </is>
      </c>
      <c r="B60" t="inlineStr">
        <is>
          <t>BWPT</t>
        </is>
      </c>
      <c r="C60" t="n">
        <v>2024</v>
      </c>
      <c r="D60" t="inlineStr">
        <is>
          <t>ops.kernel_crushing_count</t>
        </is>
      </c>
      <c r="F60" t="n">
        <v>0</v>
      </c>
      <c r="G60" t="inlineStr">
        <is>
          <t>NotebookLM</t>
        </is>
      </c>
    </row>
    <row r="61">
      <c r="A61" t="inlineStr">
        <is>
          <t>2026-04-19</t>
        </is>
      </c>
      <c r="B61" t="inlineStr">
        <is>
          <t>BWPT</t>
        </is>
      </c>
      <c r="C61" t="n">
        <v>2024</v>
      </c>
      <c r="D61" t="inlineStr">
        <is>
          <t>ops.cpo_refinery_count</t>
        </is>
      </c>
      <c r="F61" t="n">
        <v>0</v>
      </c>
      <c r="G61" t="inlineStr">
        <is>
          <t>NotebookLM</t>
        </is>
      </c>
    </row>
    <row r="62">
      <c r="A62" t="inlineStr">
        <is>
          <t>2026-04-19</t>
        </is>
      </c>
      <c r="B62" t="inlineStr">
        <is>
          <t>BWPT</t>
        </is>
      </c>
      <c r="C62" t="n">
        <v>2024</v>
      </c>
      <c r="D62" t="inlineStr">
        <is>
          <t>ops.oer_reported_pct</t>
        </is>
      </c>
      <c r="F62" t="n">
        <v>0.236</v>
      </c>
      <c r="G62" t="inlineStr">
        <is>
          <t>NotebookLM</t>
        </is>
      </c>
    </row>
    <row r="63">
      <c r="A63" t="inlineStr">
        <is>
          <t>2026-04-19</t>
        </is>
      </c>
      <c r="B63" t="inlineStr">
        <is>
          <t>BWPT</t>
        </is>
      </c>
      <c r="C63" t="n">
        <v>2025</v>
      </c>
      <c r="D63" t="inlineStr">
        <is>
          <t>ops.mature_area_ha</t>
        </is>
      </c>
      <c r="F63" t="n">
        <v>74068</v>
      </c>
      <c r="G63" t="inlineStr">
        <is>
          <t>NotebookLM</t>
        </is>
      </c>
    </row>
    <row r="64">
      <c r="A64" t="inlineStr">
        <is>
          <t>2026-04-19</t>
        </is>
      </c>
      <c r="B64" t="inlineStr">
        <is>
          <t>BWPT</t>
        </is>
      </c>
      <c r="C64" t="n">
        <v>2025</v>
      </c>
      <c r="D64" t="inlineStr">
        <is>
          <t>ops.immature_area_ha</t>
        </is>
      </c>
      <c r="F64" t="n">
        <v>271</v>
      </c>
      <c r="G64" t="inlineStr">
        <is>
          <t>NotebookLM</t>
        </is>
      </c>
    </row>
    <row r="65">
      <c r="A65" t="inlineStr">
        <is>
          <t>2026-04-19</t>
        </is>
      </c>
      <c r="B65" t="inlineStr">
        <is>
          <t>CSRA</t>
        </is>
      </c>
      <c r="C65" t="n">
        <v>2022</v>
      </c>
      <c r="D65" t="inlineStr">
        <is>
          <t>ops.kernel_crushing_count</t>
        </is>
      </c>
      <c r="F65" t="n">
        <v>0</v>
      </c>
      <c r="G65" t="inlineStr">
        <is>
          <t>NotebookLM</t>
        </is>
      </c>
    </row>
    <row r="66">
      <c r="A66" t="inlineStr">
        <is>
          <t>2026-04-19</t>
        </is>
      </c>
      <c r="B66" t="inlineStr">
        <is>
          <t>CSRA</t>
        </is>
      </c>
      <c r="C66" t="n">
        <v>2022</v>
      </c>
      <c r="D66" t="inlineStr">
        <is>
          <t>ops.cpo_refinery_count</t>
        </is>
      </c>
      <c r="F66" t="n">
        <v>0</v>
      </c>
      <c r="G66" t="inlineStr">
        <is>
          <t>NotebookLM</t>
        </is>
      </c>
    </row>
    <row r="67">
      <c r="A67" t="inlineStr">
        <is>
          <t>2026-04-19</t>
        </is>
      </c>
      <c r="B67" t="inlineStr">
        <is>
          <t>CSRA</t>
        </is>
      </c>
      <c r="C67" t="n">
        <v>2022</v>
      </c>
      <c r="D67" t="inlineStr">
        <is>
          <t>ops.domestic_sales_pct</t>
        </is>
      </c>
      <c r="F67" t="n">
        <v>1</v>
      </c>
      <c r="G67" t="inlineStr">
        <is>
          <t>NotebookLM</t>
        </is>
      </c>
    </row>
    <row r="68">
      <c r="A68" t="inlineStr">
        <is>
          <t>2026-04-19</t>
        </is>
      </c>
      <c r="B68" t="inlineStr">
        <is>
          <t>CSRA</t>
        </is>
      </c>
      <c r="C68" t="n">
        <v>2022</v>
      </c>
      <c r="D68" t="inlineStr">
        <is>
          <t>ops.export_sales_pct</t>
        </is>
      </c>
      <c r="F68" t="n">
        <v>0</v>
      </c>
      <c r="G68" t="inlineStr">
        <is>
          <t>NotebookLM</t>
        </is>
      </c>
    </row>
    <row r="69">
      <c r="A69" t="inlineStr">
        <is>
          <t>2026-04-19</t>
        </is>
      </c>
      <c r="B69" t="inlineStr">
        <is>
          <t>CSRA</t>
        </is>
      </c>
      <c r="C69" t="n">
        <v>2023</v>
      </c>
      <c r="D69" t="inlineStr">
        <is>
          <t>ops.plasma_area_ha</t>
        </is>
      </c>
      <c r="F69" t="n">
        <v>183.71</v>
      </c>
      <c r="G69" t="inlineStr">
        <is>
          <t>NotebookLM</t>
        </is>
      </c>
    </row>
    <row r="70">
      <c r="A70" t="inlineStr">
        <is>
          <t>2026-04-19</t>
        </is>
      </c>
      <c r="B70" t="inlineStr">
        <is>
          <t>CSRA</t>
        </is>
      </c>
      <c r="C70" t="n">
        <v>2023</v>
      </c>
      <c r="D70" t="inlineStr">
        <is>
          <t>ops.kernel_crushing_count</t>
        </is>
      </c>
      <c r="F70" t="n">
        <v>0</v>
      </c>
      <c r="G70" t="inlineStr">
        <is>
          <t>NotebookLM</t>
        </is>
      </c>
    </row>
    <row r="71">
      <c r="A71" t="inlineStr">
        <is>
          <t>2026-04-19</t>
        </is>
      </c>
      <c r="B71" t="inlineStr">
        <is>
          <t>CSRA</t>
        </is>
      </c>
      <c r="C71" t="n">
        <v>2023</v>
      </c>
      <c r="D71" t="inlineStr">
        <is>
          <t>ops.cpo_refinery_count</t>
        </is>
      </c>
      <c r="F71" t="n">
        <v>0</v>
      </c>
      <c r="G71" t="inlineStr">
        <is>
          <t>NotebookLM</t>
        </is>
      </c>
    </row>
    <row r="72">
      <c r="A72" t="inlineStr">
        <is>
          <t>2026-04-19</t>
        </is>
      </c>
      <c r="B72" t="inlineStr">
        <is>
          <t>CSRA</t>
        </is>
      </c>
      <c r="C72" t="n">
        <v>2023</v>
      </c>
      <c r="D72" t="inlineStr">
        <is>
          <t>ops.domestic_sales_pct</t>
        </is>
      </c>
      <c r="F72" t="n">
        <v>1</v>
      </c>
      <c r="G72" t="inlineStr">
        <is>
          <t>NotebookLM</t>
        </is>
      </c>
    </row>
    <row r="73">
      <c r="A73" t="inlineStr">
        <is>
          <t>2026-04-19</t>
        </is>
      </c>
      <c r="B73" t="inlineStr">
        <is>
          <t>CSRA</t>
        </is>
      </c>
      <c r="C73" t="n">
        <v>2023</v>
      </c>
      <c r="D73" t="inlineStr">
        <is>
          <t>ops.export_sales_pct</t>
        </is>
      </c>
      <c r="F73" t="n">
        <v>0</v>
      </c>
      <c r="G73" t="inlineStr">
        <is>
          <t>NotebookLM</t>
        </is>
      </c>
    </row>
    <row r="74">
      <c r="A74" t="inlineStr">
        <is>
          <t>2026-04-19</t>
        </is>
      </c>
      <c r="B74" t="inlineStr">
        <is>
          <t>CSRA</t>
        </is>
      </c>
      <c r="C74" t="n">
        <v>2024</v>
      </c>
      <c r="D74" t="inlineStr">
        <is>
          <t>ops.plasma_area_ha</t>
        </is>
      </c>
      <c r="F74" t="n">
        <v>868.8</v>
      </c>
      <c r="G74" t="inlineStr">
        <is>
          <t>NotebookLM</t>
        </is>
      </c>
    </row>
    <row r="75">
      <c r="A75" t="inlineStr">
        <is>
          <t>2026-04-19</t>
        </is>
      </c>
      <c r="B75" t="inlineStr">
        <is>
          <t>CSRA</t>
        </is>
      </c>
      <c r="C75" t="n">
        <v>2024</v>
      </c>
      <c r="D75" t="inlineStr">
        <is>
          <t>ops.kernel_crushing_count</t>
        </is>
      </c>
      <c r="F75" t="n">
        <v>0</v>
      </c>
      <c r="G75" t="inlineStr">
        <is>
          <t>NotebookLM</t>
        </is>
      </c>
    </row>
    <row r="76">
      <c r="A76" t="inlineStr">
        <is>
          <t>2026-04-19</t>
        </is>
      </c>
      <c r="B76" t="inlineStr">
        <is>
          <t>CSRA</t>
        </is>
      </c>
      <c r="C76" t="n">
        <v>2024</v>
      </c>
      <c r="D76" t="inlineStr">
        <is>
          <t>ops.cpo_refinery_count</t>
        </is>
      </c>
      <c r="F76" t="n">
        <v>0</v>
      </c>
      <c r="G76" t="inlineStr">
        <is>
          <t>NotebookLM</t>
        </is>
      </c>
    </row>
    <row r="77">
      <c r="A77" t="inlineStr">
        <is>
          <t>2026-04-19</t>
        </is>
      </c>
      <c r="B77" t="inlineStr">
        <is>
          <t>CSRA</t>
        </is>
      </c>
      <c r="C77" t="n">
        <v>2024</v>
      </c>
      <c r="D77" t="inlineStr">
        <is>
          <t>ops.domestic_sales_pct</t>
        </is>
      </c>
      <c r="F77" t="n">
        <v>1</v>
      </c>
      <c r="G77" t="inlineStr">
        <is>
          <t>NotebookLM</t>
        </is>
      </c>
    </row>
    <row r="78">
      <c r="A78" t="inlineStr">
        <is>
          <t>2026-04-19</t>
        </is>
      </c>
      <c r="B78" t="inlineStr">
        <is>
          <t>CSRA</t>
        </is>
      </c>
      <c r="C78" t="n">
        <v>2024</v>
      </c>
      <c r="D78" t="inlineStr">
        <is>
          <t>ops.export_sales_pct</t>
        </is>
      </c>
      <c r="F78" t="n">
        <v>0</v>
      </c>
      <c r="G78" t="inlineStr">
        <is>
          <t>NotebookLM</t>
        </is>
      </c>
    </row>
    <row r="79">
      <c r="A79" t="inlineStr">
        <is>
          <t>2026-04-19</t>
        </is>
      </c>
      <c r="B79" t="inlineStr">
        <is>
          <t>DSNG</t>
        </is>
      </c>
      <c r="C79" t="n">
        <v>2022</v>
      </c>
      <c r="D79" t="inlineStr">
        <is>
          <t>ops.mature_area_ha</t>
        </is>
      </c>
      <c r="F79" t="n">
        <v>104000</v>
      </c>
      <c r="G79" t="inlineStr">
        <is>
          <t>NotebookLM</t>
        </is>
      </c>
    </row>
    <row r="80">
      <c r="A80" t="inlineStr">
        <is>
          <t>2026-04-19</t>
        </is>
      </c>
      <c r="B80" t="inlineStr">
        <is>
          <t>DSNG</t>
        </is>
      </c>
      <c r="C80" t="n">
        <v>2022</v>
      </c>
      <c r="D80" t="inlineStr">
        <is>
          <t>ops.immature_area_ha</t>
        </is>
      </c>
      <c r="F80" t="n">
        <v>8800</v>
      </c>
      <c r="G80" t="inlineStr">
        <is>
          <t>NotebookLM</t>
        </is>
      </c>
    </row>
    <row r="81">
      <c r="A81" t="inlineStr">
        <is>
          <t>2026-04-19</t>
        </is>
      </c>
      <c r="B81" t="inlineStr">
        <is>
          <t>DSNG</t>
        </is>
      </c>
      <c r="C81" t="n">
        <v>2022</v>
      </c>
      <c r="D81" t="inlineStr">
        <is>
          <t>ops.avg_tree_age_years</t>
        </is>
      </c>
      <c r="F81" t="n">
        <v>12.8</v>
      </c>
      <c r="G81" t="inlineStr">
        <is>
          <t>NotebookLM</t>
        </is>
      </c>
    </row>
    <row r="82">
      <c r="A82" t="inlineStr">
        <is>
          <t>2026-04-19</t>
        </is>
      </c>
      <c r="B82" t="inlineStr">
        <is>
          <t>DSNG</t>
        </is>
      </c>
      <c r="C82" t="n">
        <v>2022</v>
      </c>
      <c r="D82" t="inlineStr">
        <is>
          <t>ops.cpo_refinery_count</t>
        </is>
      </c>
      <c r="F82" t="n">
        <v>0</v>
      </c>
      <c r="G82" t="inlineStr">
        <is>
          <t>NotebookLM</t>
        </is>
      </c>
    </row>
    <row r="83">
      <c r="A83" t="inlineStr">
        <is>
          <t>2026-04-19</t>
        </is>
      </c>
      <c r="B83" t="inlineStr">
        <is>
          <t>DSNG</t>
        </is>
      </c>
      <c r="C83" t="n">
        <v>2022</v>
      </c>
      <c r="D83" t="inlineStr">
        <is>
          <t>ops.domestic_sales_pct</t>
        </is>
      </c>
      <c r="F83" t="n">
        <v>1</v>
      </c>
      <c r="G83" t="inlineStr">
        <is>
          <t>NotebookLM</t>
        </is>
      </c>
    </row>
    <row r="84">
      <c r="A84" t="inlineStr">
        <is>
          <t>2026-04-19</t>
        </is>
      </c>
      <c r="B84" t="inlineStr">
        <is>
          <t>DSNG</t>
        </is>
      </c>
      <c r="C84" t="n">
        <v>2022</v>
      </c>
      <c r="D84" t="inlineStr">
        <is>
          <t>ops.export_sales_pct</t>
        </is>
      </c>
      <c r="F84" t="n">
        <v>0</v>
      </c>
      <c r="G84" t="inlineStr">
        <is>
          <t>NotebookLM</t>
        </is>
      </c>
    </row>
    <row r="85">
      <c r="A85" t="inlineStr">
        <is>
          <t>2026-04-19</t>
        </is>
      </c>
      <c r="B85" t="inlineStr">
        <is>
          <t>DSNG</t>
        </is>
      </c>
      <c r="C85" t="n">
        <v>2023</v>
      </c>
      <c r="D85" t="inlineStr">
        <is>
          <t>ops.mature_area_ha</t>
        </is>
      </c>
      <c r="F85" t="n">
        <v>105700</v>
      </c>
      <c r="G85" t="inlineStr">
        <is>
          <t>NotebookLM</t>
        </is>
      </c>
    </row>
    <row r="86">
      <c r="A86" t="inlineStr">
        <is>
          <t>2026-04-19</t>
        </is>
      </c>
      <c r="B86" t="inlineStr">
        <is>
          <t>DSNG</t>
        </is>
      </c>
      <c r="C86" t="n">
        <v>2023</v>
      </c>
      <c r="D86" t="inlineStr">
        <is>
          <t>ops.immature_area_ha</t>
        </is>
      </c>
      <c r="F86" t="n">
        <v>7000</v>
      </c>
      <c r="G86" t="inlineStr">
        <is>
          <t>NotebookLM</t>
        </is>
      </c>
    </row>
    <row r="87">
      <c r="A87" t="inlineStr">
        <is>
          <t>2026-04-19</t>
        </is>
      </c>
      <c r="B87" t="inlineStr">
        <is>
          <t>DSNG</t>
        </is>
      </c>
      <c r="C87" t="n">
        <v>2023</v>
      </c>
      <c r="D87" t="inlineStr">
        <is>
          <t>ops.cpo_refinery_count</t>
        </is>
      </c>
      <c r="F87" t="n">
        <v>0</v>
      </c>
      <c r="G87" t="inlineStr">
        <is>
          <t>NotebookLM</t>
        </is>
      </c>
    </row>
    <row r="88">
      <c r="A88" t="inlineStr">
        <is>
          <t>2026-04-19</t>
        </is>
      </c>
      <c r="B88" t="inlineStr">
        <is>
          <t>DSNG</t>
        </is>
      </c>
      <c r="C88" t="n">
        <v>2023</v>
      </c>
      <c r="D88" t="inlineStr">
        <is>
          <t>ops.third_party_ffb_t</t>
        </is>
      </c>
      <c r="F88" t="n">
        <v>582738</v>
      </c>
      <c r="G88" t="inlineStr">
        <is>
          <t>NotebookLM</t>
        </is>
      </c>
    </row>
    <row r="89">
      <c r="A89" t="inlineStr">
        <is>
          <t>2026-04-19</t>
        </is>
      </c>
      <c r="B89" t="inlineStr">
        <is>
          <t>DSNG</t>
        </is>
      </c>
      <c r="C89" t="n">
        <v>2023</v>
      </c>
      <c r="D89" t="inlineStr">
        <is>
          <t>ops.domestic_sales_pct</t>
        </is>
      </c>
      <c r="F89" t="n">
        <v>1</v>
      </c>
      <c r="G89" t="inlineStr">
        <is>
          <t>NotebookLM</t>
        </is>
      </c>
    </row>
    <row r="90">
      <c r="A90" t="inlineStr">
        <is>
          <t>2026-04-19</t>
        </is>
      </c>
      <c r="B90" t="inlineStr">
        <is>
          <t>DSNG</t>
        </is>
      </c>
      <c r="C90" t="n">
        <v>2023</v>
      </c>
      <c r="D90" t="inlineStr">
        <is>
          <t>ops.export_sales_pct</t>
        </is>
      </c>
      <c r="F90" t="n">
        <v>0</v>
      </c>
      <c r="G90" t="inlineStr">
        <is>
          <t>NotebookLM</t>
        </is>
      </c>
    </row>
    <row r="91">
      <c r="A91" t="inlineStr">
        <is>
          <t>2026-04-19</t>
        </is>
      </c>
      <c r="B91" t="inlineStr">
        <is>
          <t>DSNG</t>
        </is>
      </c>
      <c r="C91" t="n">
        <v>2024</v>
      </c>
      <c r="D91" t="inlineStr">
        <is>
          <t>ops.immature_area_ha</t>
        </is>
      </c>
      <c r="F91" t="n">
        <v>6599</v>
      </c>
      <c r="G91" t="inlineStr">
        <is>
          <t>NotebookLM</t>
        </is>
      </c>
    </row>
    <row r="92">
      <c r="A92" t="inlineStr">
        <is>
          <t>2026-04-19</t>
        </is>
      </c>
      <c r="B92" t="inlineStr">
        <is>
          <t>DSNG</t>
        </is>
      </c>
      <c r="C92" t="n">
        <v>2024</v>
      </c>
      <c r="D92" t="inlineStr">
        <is>
          <t>ops.avg_tree_age_years</t>
        </is>
      </c>
      <c r="F92" t="n">
        <v>14</v>
      </c>
      <c r="G92" t="inlineStr">
        <is>
          <t>NotebookLM</t>
        </is>
      </c>
    </row>
    <row r="93">
      <c r="A93" t="inlineStr">
        <is>
          <t>2026-04-19</t>
        </is>
      </c>
      <c r="B93" t="inlineStr">
        <is>
          <t>DSNG</t>
        </is>
      </c>
      <c r="C93" t="n">
        <v>2024</v>
      </c>
      <c r="D93" t="inlineStr">
        <is>
          <t>ops.cpo_refinery_count</t>
        </is>
      </c>
      <c r="F93" t="n">
        <v>0</v>
      </c>
      <c r="G93" t="inlineStr">
        <is>
          <t>NotebookLM</t>
        </is>
      </c>
    </row>
    <row r="94">
      <c r="A94" t="inlineStr">
        <is>
          <t>2026-04-19</t>
        </is>
      </c>
      <c r="B94" t="inlineStr">
        <is>
          <t>DSNG</t>
        </is>
      </c>
      <c r="C94" t="n">
        <v>2024</v>
      </c>
      <c r="D94" t="inlineStr">
        <is>
          <t>ops.third_party_ffb_t</t>
        </is>
      </c>
      <c r="F94" t="n">
        <v>405349</v>
      </c>
      <c r="G94" t="inlineStr">
        <is>
          <t>NotebookLM</t>
        </is>
      </c>
    </row>
    <row r="95">
      <c r="A95" t="inlineStr">
        <is>
          <t>2026-04-19</t>
        </is>
      </c>
      <c r="B95" t="inlineStr">
        <is>
          <t>DSNG</t>
        </is>
      </c>
      <c r="C95" t="n">
        <v>2024</v>
      </c>
      <c r="D95" t="inlineStr">
        <is>
          <t>ops.domestic_sales_pct</t>
        </is>
      </c>
      <c r="F95" t="n">
        <v>1</v>
      </c>
      <c r="G95" t="inlineStr">
        <is>
          <t>NotebookLM</t>
        </is>
      </c>
    </row>
    <row r="96">
      <c r="A96" t="inlineStr">
        <is>
          <t>2026-04-19</t>
        </is>
      </c>
      <c r="B96" t="inlineStr">
        <is>
          <t>DSNG</t>
        </is>
      </c>
      <c r="C96" t="n">
        <v>2024</v>
      </c>
      <c r="D96" t="inlineStr">
        <is>
          <t>ops.export_sales_pct</t>
        </is>
      </c>
      <c r="F96" t="n">
        <v>0</v>
      </c>
      <c r="G96" t="inlineStr">
        <is>
          <t>NotebookLM</t>
        </is>
      </c>
    </row>
    <row r="97">
      <c r="A97" t="inlineStr">
        <is>
          <t>2026-04-19</t>
        </is>
      </c>
      <c r="B97" t="inlineStr">
        <is>
          <t>FAPA</t>
        </is>
      </c>
      <c r="C97" t="n">
        <v>2022</v>
      </c>
      <c r="D97" t="inlineStr">
        <is>
          <t>ops.nucleus_area_ha</t>
        </is>
      </c>
      <c r="F97" t="n">
        <v>77384</v>
      </c>
      <c r="G97" t="inlineStr">
        <is>
          <t>NotebookLM</t>
        </is>
      </c>
    </row>
    <row r="98">
      <c r="A98" t="inlineStr">
        <is>
          <t>2026-04-19</t>
        </is>
      </c>
      <c r="B98" t="inlineStr">
        <is>
          <t>FAPA</t>
        </is>
      </c>
      <c r="C98" t="n">
        <v>2022</v>
      </c>
      <c r="D98" t="inlineStr">
        <is>
          <t>ops.plasma_area_ha</t>
        </is>
      </c>
      <c r="F98" t="n">
        <v>11368</v>
      </c>
      <c r="G98" t="inlineStr">
        <is>
          <t>NotebookLM</t>
        </is>
      </c>
    </row>
    <row r="99">
      <c r="A99" t="inlineStr">
        <is>
          <t>2026-04-19</t>
        </is>
      </c>
      <c r="B99" t="inlineStr">
        <is>
          <t>FAPA</t>
        </is>
      </c>
      <c r="C99" t="n">
        <v>2022</v>
      </c>
      <c r="D99" t="inlineStr">
        <is>
          <t>ops.cpo_refinery_count</t>
        </is>
      </c>
      <c r="F99" t="n">
        <v>0</v>
      </c>
      <c r="G99" t="inlineStr">
        <is>
          <t>NotebookLM</t>
        </is>
      </c>
    </row>
    <row r="100">
      <c r="A100" t="inlineStr">
        <is>
          <t>2026-04-19</t>
        </is>
      </c>
      <c r="B100" t="inlineStr">
        <is>
          <t>FAPA</t>
        </is>
      </c>
      <c r="C100" t="n">
        <v>2022</v>
      </c>
      <c r="D100" t="inlineStr">
        <is>
          <t>ops.domestic_sales_pct</t>
        </is>
      </c>
      <c r="F100" t="n">
        <v>1</v>
      </c>
      <c r="G100" t="inlineStr">
        <is>
          <t>NotebookLM</t>
        </is>
      </c>
    </row>
    <row r="101">
      <c r="A101" t="inlineStr">
        <is>
          <t>2026-04-19</t>
        </is>
      </c>
      <c r="B101" t="inlineStr">
        <is>
          <t>FAPA</t>
        </is>
      </c>
      <c r="C101" t="n">
        <v>2022</v>
      </c>
      <c r="D101" t="inlineStr">
        <is>
          <t>ops.export_sales_pct</t>
        </is>
      </c>
      <c r="F101" t="n">
        <v>0</v>
      </c>
      <c r="G101" t="inlineStr">
        <is>
          <t>NotebookLM</t>
        </is>
      </c>
    </row>
    <row r="102">
      <c r="A102" t="inlineStr">
        <is>
          <t>2026-04-19</t>
        </is>
      </c>
      <c r="B102" t="inlineStr">
        <is>
          <t>FAPA</t>
        </is>
      </c>
      <c r="C102" t="n">
        <v>2023</v>
      </c>
      <c r="D102" t="inlineStr">
        <is>
          <t>ops.nucleus_area_ha</t>
        </is>
      </c>
      <c r="F102" t="n">
        <v>77434</v>
      </c>
      <c r="G102" t="inlineStr">
        <is>
          <t>NotebookLM</t>
        </is>
      </c>
    </row>
    <row r="103">
      <c r="A103" t="inlineStr">
        <is>
          <t>2026-04-19</t>
        </is>
      </c>
      <c r="B103" t="inlineStr">
        <is>
          <t>FAPA</t>
        </is>
      </c>
      <c r="C103" t="n">
        <v>2023</v>
      </c>
      <c r="D103" t="inlineStr">
        <is>
          <t>ops.plasma_area_ha</t>
        </is>
      </c>
      <c r="F103" t="n">
        <v>11318</v>
      </c>
      <c r="G103" t="inlineStr">
        <is>
          <t>NotebookLM</t>
        </is>
      </c>
    </row>
    <row r="104">
      <c r="A104" t="inlineStr">
        <is>
          <t>2026-04-19</t>
        </is>
      </c>
      <c r="B104" t="inlineStr">
        <is>
          <t>FAPA</t>
        </is>
      </c>
      <c r="C104" t="n">
        <v>2023</v>
      </c>
      <c r="D104" t="inlineStr">
        <is>
          <t>ops.avg_tree_age_years</t>
        </is>
      </c>
      <c r="F104" t="n">
        <v>11.9</v>
      </c>
      <c r="G104" t="inlineStr">
        <is>
          <t>NotebookLM</t>
        </is>
      </c>
    </row>
    <row r="105">
      <c r="A105" t="inlineStr">
        <is>
          <t>2026-04-19</t>
        </is>
      </c>
      <c r="B105" t="inlineStr">
        <is>
          <t>FAPA</t>
        </is>
      </c>
      <c r="C105" t="n">
        <v>2023</v>
      </c>
      <c r="D105" t="inlineStr">
        <is>
          <t>ops.cpo_refinery_count</t>
        </is>
      </c>
      <c r="F105" t="n">
        <v>0</v>
      </c>
      <c r="G105" t="inlineStr">
        <is>
          <t>NotebookLM</t>
        </is>
      </c>
    </row>
    <row r="106">
      <c r="A106" t="inlineStr">
        <is>
          <t>2026-04-19</t>
        </is>
      </c>
      <c r="B106" t="inlineStr">
        <is>
          <t>FAPA</t>
        </is>
      </c>
      <c r="C106" t="n">
        <v>2023</v>
      </c>
      <c r="D106" t="inlineStr">
        <is>
          <t>ops.domestic_sales_pct</t>
        </is>
      </c>
      <c r="F106" t="n">
        <v>1</v>
      </c>
      <c r="G106" t="inlineStr">
        <is>
          <t>NotebookLM</t>
        </is>
      </c>
    </row>
    <row r="107">
      <c r="A107" t="inlineStr">
        <is>
          <t>2026-04-19</t>
        </is>
      </c>
      <c r="B107" t="inlineStr">
        <is>
          <t>FAPA</t>
        </is>
      </c>
      <c r="C107" t="n">
        <v>2023</v>
      </c>
      <c r="D107" t="inlineStr">
        <is>
          <t>ops.export_sales_pct</t>
        </is>
      </c>
      <c r="F107" t="n">
        <v>0</v>
      </c>
      <c r="G107" t="inlineStr">
        <is>
          <t>NotebookLM</t>
        </is>
      </c>
    </row>
    <row r="108">
      <c r="A108" t="inlineStr">
        <is>
          <t>2026-04-19</t>
        </is>
      </c>
      <c r="B108" t="inlineStr">
        <is>
          <t>FAPA</t>
        </is>
      </c>
      <c r="C108" t="n">
        <v>2024</v>
      </c>
      <c r="D108" t="inlineStr">
        <is>
          <t>ops.nucleus_area_ha</t>
        </is>
      </c>
      <c r="F108" t="n">
        <v>78315</v>
      </c>
      <c r="G108" t="inlineStr">
        <is>
          <t>NotebookLM</t>
        </is>
      </c>
    </row>
    <row r="109">
      <c r="A109" t="inlineStr">
        <is>
          <t>2026-04-19</t>
        </is>
      </c>
      <c r="B109" t="inlineStr">
        <is>
          <t>FAPA</t>
        </is>
      </c>
      <c r="C109" t="n">
        <v>2024</v>
      </c>
      <c r="D109" t="inlineStr">
        <is>
          <t>ops.plasma_area_ha</t>
        </is>
      </c>
      <c r="F109" t="n">
        <v>10386</v>
      </c>
      <c r="G109" t="inlineStr">
        <is>
          <t>NotebookLM</t>
        </is>
      </c>
    </row>
    <row r="110">
      <c r="A110" t="inlineStr">
        <is>
          <t>2026-04-19</t>
        </is>
      </c>
      <c r="B110" t="inlineStr">
        <is>
          <t>FAPA</t>
        </is>
      </c>
      <c r="C110" t="n">
        <v>2024</v>
      </c>
      <c r="D110" t="inlineStr">
        <is>
          <t>ops.avg_tree_age_years</t>
        </is>
      </c>
      <c r="F110" t="n">
        <v>13</v>
      </c>
      <c r="G110" t="inlineStr">
        <is>
          <t>NotebookLM</t>
        </is>
      </c>
    </row>
    <row r="111">
      <c r="A111" t="inlineStr">
        <is>
          <t>2026-04-19</t>
        </is>
      </c>
      <c r="B111" t="inlineStr">
        <is>
          <t>FAPA</t>
        </is>
      </c>
      <c r="C111" t="n">
        <v>2024</v>
      </c>
      <c r="D111" t="inlineStr">
        <is>
          <t>ops.cpo_refinery_count</t>
        </is>
      </c>
      <c r="F111" t="n">
        <v>0</v>
      </c>
      <c r="G111" t="inlineStr">
        <is>
          <t>NotebookLM</t>
        </is>
      </c>
    </row>
    <row r="112">
      <c r="A112" t="inlineStr">
        <is>
          <t>2026-04-19</t>
        </is>
      </c>
      <c r="B112" t="inlineStr">
        <is>
          <t>FAPA</t>
        </is>
      </c>
      <c r="C112" t="n">
        <v>2024</v>
      </c>
      <c r="D112" t="inlineStr">
        <is>
          <t>ops.domestic_sales_pct</t>
        </is>
      </c>
      <c r="F112" t="n">
        <v>1</v>
      </c>
      <c r="G112" t="inlineStr">
        <is>
          <t>NotebookLM</t>
        </is>
      </c>
    </row>
    <row r="113">
      <c r="A113" t="inlineStr">
        <is>
          <t>2026-04-19</t>
        </is>
      </c>
      <c r="B113" t="inlineStr">
        <is>
          <t>FAPA</t>
        </is>
      </c>
      <c r="C113" t="n">
        <v>2024</v>
      </c>
      <c r="D113" t="inlineStr">
        <is>
          <t>ops.export_sales_pct</t>
        </is>
      </c>
      <c r="F113" t="n">
        <v>0</v>
      </c>
      <c r="G113" t="inlineStr">
        <is>
          <t>NotebookLM</t>
        </is>
      </c>
    </row>
    <row r="114">
      <c r="A114" t="inlineStr">
        <is>
          <t>2026-04-19</t>
        </is>
      </c>
      <c r="B114" t="inlineStr">
        <is>
          <t>GZCO</t>
        </is>
      </c>
      <c r="C114" t="n">
        <v>2022</v>
      </c>
      <c r="D114" t="inlineStr">
        <is>
          <t>ops.export_sales_pct</t>
        </is>
      </c>
      <c r="F114" t="n">
        <v>0</v>
      </c>
      <c r="G114" t="inlineStr">
        <is>
          <t>NotebookLM</t>
        </is>
      </c>
    </row>
    <row r="115">
      <c r="A115" t="inlineStr">
        <is>
          <t>2026-04-19</t>
        </is>
      </c>
      <c r="B115" t="inlineStr">
        <is>
          <t>GZCO</t>
        </is>
      </c>
      <c r="C115" t="n">
        <v>2023</v>
      </c>
      <c r="D115" t="inlineStr">
        <is>
          <t>ops.export_sales_pct</t>
        </is>
      </c>
      <c r="F115" t="n">
        <v>0</v>
      </c>
      <c r="G115" t="inlineStr">
        <is>
          <t>NotebookLM</t>
        </is>
      </c>
    </row>
    <row r="116">
      <c r="A116" t="inlineStr">
        <is>
          <t>2026-04-19</t>
        </is>
      </c>
      <c r="B116" t="inlineStr">
        <is>
          <t>GZCO</t>
        </is>
      </c>
      <c r="C116" t="n">
        <v>2024</v>
      </c>
      <c r="D116" t="inlineStr">
        <is>
          <t>ops.export_sales_pct</t>
        </is>
      </c>
      <c r="F116" t="n">
        <v>0</v>
      </c>
      <c r="G116" t="inlineStr">
        <is>
          <t>NotebookLM</t>
        </is>
      </c>
    </row>
    <row r="117">
      <c r="A117" t="inlineStr">
        <is>
          <t>2026-04-19</t>
        </is>
      </c>
      <c r="B117" t="inlineStr">
        <is>
          <t>JARR</t>
        </is>
      </c>
      <c r="C117" t="n">
        <v>2022</v>
      </c>
      <c r="D117" t="inlineStr">
        <is>
          <t>ops.nucleus_area_ha</t>
        </is>
      </c>
      <c r="F117" t="n">
        <v>10264.87</v>
      </c>
      <c r="G117" t="inlineStr">
        <is>
          <t>NotebookLM</t>
        </is>
      </c>
    </row>
    <row r="118">
      <c r="A118" t="inlineStr">
        <is>
          <t>2026-04-19</t>
        </is>
      </c>
      <c r="B118" t="inlineStr">
        <is>
          <t>JARR</t>
        </is>
      </c>
      <c r="C118" t="n">
        <v>2022</v>
      </c>
      <c r="D118" t="inlineStr">
        <is>
          <t>ops.plasma_area_ha</t>
        </is>
      </c>
      <c r="F118" t="n">
        <v>518.12</v>
      </c>
      <c r="G118" t="inlineStr">
        <is>
          <t>NotebookLM</t>
        </is>
      </c>
    </row>
    <row r="119">
      <c r="A119" t="inlineStr">
        <is>
          <t>2026-04-19</t>
        </is>
      </c>
      <c r="B119" t="inlineStr">
        <is>
          <t>JARR</t>
        </is>
      </c>
      <c r="C119" t="n">
        <v>2022</v>
      </c>
      <c r="D119" t="inlineStr">
        <is>
          <t>ops.cpo_refinery_count</t>
        </is>
      </c>
      <c r="F119" t="n">
        <v>1</v>
      </c>
      <c r="G119" t="inlineStr">
        <is>
          <t>NotebookLM</t>
        </is>
      </c>
    </row>
    <row r="120">
      <c r="A120" t="inlineStr">
        <is>
          <t>2026-04-19</t>
        </is>
      </c>
      <c r="B120" t="inlineStr">
        <is>
          <t>JARR</t>
        </is>
      </c>
      <c r="C120" t="n">
        <v>2022</v>
      </c>
      <c r="D120" t="inlineStr">
        <is>
          <t>ops.third_party_ffb_t</t>
        </is>
      </c>
      <c r="F120" t="n">
        <v>0</v>
      </c>
      <c r="G120" t="inlineStr">
        <is>
          <t>NotebookLM</t>
        </is>
      </c>
    </row>
    <row r="121">
      <c r="A121" t="inlineStr">
        <is>
          <t>2026-04-19</t>
        </is>
      </c>
      <c r="B121" t="inlineStr">
        <is>
          <t>JARR</t>
        </is>
      </c>
      <c r="C121" t="n">
        <v>2022</v>
      </c>
      <c r="D121" t="inlineStr">
        <is>
          <t>ops.cpo_production_t</t>
        </is>
      </c>
      <c r="F121" t="n">
        <v>0</v>
      </c>
      <c r="G121" t="inlineStr">
        <is>
          <t>NotebookLM</t>
        </is>
      </c>
    </row>
    <row r="122">
      <c r="A122" t="inlineStr">
        <is>
          <t>2026-04-19</t>
        </is>
      </c>
      <c r="B122" t="inlineStr">
        <is>
          <t>JARR</t>
        </is>
      </c>
      <c r="C122" t="n">
        <v>2022</v>
      </c>
      <c r="D122" t="inlineStr">
        <is>
          <t>ops.kernel_production_t</t>
        </is>
      </c>
      <c r="F122" t="n">
        <v>0</v>
      </c>
      <c r="G122" t="inlineStr">
        <is>
          <t>NotebookLM</t>
        </is>
      </c>
    </row>
    <row r="123">
      <c r="A123" t="inlineStr">
        <is>
          <t>2026-04-19</t>
        </is>
      </c>
      <c r="B123" t="inlineStr">
        <is>
          <t>JARR</t>
        </is>
      </c>
      <c r="C123" t="n">
        <v>2022</v>
      </c>
      <c r="D123" t="inlineStr">
        <is>
          <t>ops.domestic_sales_pct</t>
        </is>
      </c>
      <c r="F123" t="n">
        <v>0.85</v>
      </c>
      <c r="G123" t="inlineStr">
        <is>
          <t>NotebookLM</t>
        </is>
      </c>
    </row>
    <row r="124">
      <c r="A124" t="inlineStr">
        <is>
          <t>2026-04-19</t>
        </is>
      </c>
      <c r="B124" t="inlineStr">
        <is>
          <t>JARR</t>
        </is>
      </c>
      <c r="C124" t="n">
        <v>2022</v>
      </c>
      <c r="D124" t="inlineStr">
        <is>
          <t>ops.export_sales_pct</t>
        </is>
      </c>
      <c r="F124" t="n">
        <v>0.15</v>
      </c>
      <c r="G124" t="inlineStr">
        <is>
          <t>NotebookLM</t>
        </is>
      </c>
    </row>
    <row r="125">
      <c r="A125" t="inlineStr">
        <is>
          <t>2026-04-19</t>
        </is>
      </c>
      <c r="B125" t="inlineStr">
        <is>
          <t>JARR</t>
        </is>
      </c>
      <c r="C125" t="n">
        <v>2023</v>
      </c>
      <c r="D125" t="inlineStr">
        <is>
          <t>ops.nucleus_area_ha</t>
        </is>
      </c>
      <c r="F125" t="n">
        <v>17964.7</v>
      </c>
      <c r="G125" t="inlineStr">
        <is>
          <t>NotebookLM</t>
        </is>
      </c>
    </row>
    <row r="126">
      <c r="A126" t="inlineStr">
        <is>
          <t>2026-04-19</t>
        </is>
      </c>
      <c r="B126" t="inlineStr">
        <is>
          <t>JARR</t>
        </is>
      </c>
      <c r="C126" t="n">
        <v>2023</v>
      </c>
      <c r="D126" t="inlineStr">
        <is>
          <t>ops.plasma_area_ha</t>
        </is>
      </c>
      <c r="F126" t="n">
        <v>518.12</v>
      </c>
      <c r="G126" t="inlineStr">
        <is>
          <t>NotebookLM</t>
        </is>
      </c>
    </row>
    <row r="127">
      <c r="A127" t="inlineStr">
        <is>
          <t>2026-04-19</t>
        </is>
      </c>
      <c r="B127" t="inlineStr">
        <is>
          <t>JARR</t>
        </is>
      </c>
      <c r="C127" t="n">
        <v>2023</v>
      </c>
      <c r="D127" t="inlineStr">
        <is>
          <t>ops.cpo_refinery_count</t>
        </is>
      </c>
      <c r="F127" t="n">
        <v>1</v>
      </c>
      <c r="G127" t="inlineStr">
        <is>
          <t>NotebookLM</t>
        </is>
      </c>
    </row>
    <row r="128">
      <c r="A128" t="inlineStr">
        <is>
          <t>2026-04-19</t>
        </is>
      </c>
      <c r="B128" t="inlineStr">
        <is>
          <t>JARR</t>
        </is>
      </c>
      <c r="C128" t="n">
        <v>2024</v>
      </c>
      <c r="D128" t="inlineStr">
        <is>
          <t>ops.nucleus_area_ha</t>
        </is>
      </c>
      <c r="F128" t="n">
        <v>17707.97</v>
      </c>
      <c r="G128" t="inlineStr">
        <is>
          <t>NotebookLM</t>
        </is>
      </c>
    </row>
    <row r="129">
      <c r="A129" t="inlineStr">
        <is>
          <t>2026-04-19</t>
        </is>
      </c>
      <c r="B129" t="inlineStr">
        <is>
          <t>JARR</t>
        </is>
      </c>
      <c r="C129" t="n">
        <v>2024</v>
      </c>
      <c r="D129" t="inlineStr">
        <is>
          <t>ops.plasma_area_ha</t>
        </is>
      </c>
      <c r="F129" t="n">
        <v>518.12</v>
      </c>
      <c r="G129" t="inlineStr">
        <is>
          <t>NotebookLM</t>
        </is>
      </c>
    </row>
    <row r="130">
      <c r="A130" t="inlineStr">
        <is>
          <t>2026-04-19</t>
        </is>
      </c>
      <c r="B130" t="inlineStr">
        <is>
          <t>JARR</t>
        </is>
      </c>
      <c r="C130" t="n">
        <v>2024</v>
      </c>
      <c r="D130" t="inlineStr">
        <is>
          <t>ops.cpo_refinery_count</t>
        </is>
      </c>
      <c r="F130" t="n">
        <v>1</v>
      </c>
      <c r="G130" t="inlineStr">
        <is>
          <t>NotebookLM</t>
        </is>
      </c>
    </row>
    <row r="131">
      <c r="A131" t="inlineStr">
        <is>
          <t>2026-04-19</t>
        </is>
      </c>
      <c r="B131" t="inlineStr">
        <is>
          <t>JARR</t>
        </is>
      </c>
      <c r="C131" t="n">
        <v>2024</v>
      </c>
      <c r="D131" t="inlineStr">
        <is>
          <t>ops.cpo_production_t</t>
        </is>
      </c>
      <c r="F131" t="n">
        <v>40318</v>
      </c>
      <c r="G131" t="inlineStr">
        <is>
          <t>NotebookLM</t>
        </is>
      </c>
    </row>
    <row r="132">
      <c r="A132" t="inlineStr">
        <is>
          <t>2026-04-19</t>
        </is>
      </c>
      <c r="B132" t="inlineStr">
        <is>
          <t>JARR</t>
        </is>
      </c>
      <c r="C132" t="n">
        <v>2024</v>
      </c>
      <c r="D132" t="inlineStr">
        <is>
          <t>ops.kernel_production_t</t>
        </is>
      </c>
      <c r="F132" t="n">
        <v>7888</v>
      </c>
      <c r="G132" t="inlineStr">
        <is>
          <t>NotebookLM</t>
        </is>
      </c>
    </row>
    <row r="133">
      <c r="A133" t="inlineStr">
        <is>
          <t>2026-04-19</t>
        </is>
      </c>
      <c r="B133" t="inlineStr">
        <is>
          <t>JARR</t>
        </is>
      </c>
      <c r="C133" t="n">
        <v>2024</v>
      </c>
      <c r="D133" t="inlineStr">
        <is>
          <t>ops.avg_cpo_selling_price_rp_per_kg</t>
        </is>
      </c>
      <c r="F133" t="n">
        <v>13120</v>
      </c>
      <c r="G133" t="inlineStr">
        <is>
          <t>NotebookLM</t>
        </is>
      </c>
    </row>
    <row r="134">
      <c r="A134" t="inlineStr">
        <is>
          <t>2026-04-19</t>
        </is>
      </c>
      <c r="B134" t="inlineStr">
        <is>
          <t>JARR</t>
        </is>
      </c>
      <c r="C134" t="n">
        <v>2024</v>
      </c>
      <c r="D134" t="inlineStr">
        <is>
          <t>ops.domestic_sales_pct</t>
        </is>
      </c>
      <c r="F134" t="n">
        <v>1</v>
      </c>
      <c r="G134" t="inlineStr">
        <is>
          <t>NotebookLM</t>
        </is>
      </c>
    </row>
    <row r="135">
      <c r="A135" t="inlineStr">
        <is>
          <t>2026-04-19</t>
        </is>
      </c>
      <c r="B135" t="inlineStr">
        <is>
          <t>JARR</t>
        </is>
      </c>
      <c r="C135" t="n">
        <v>2024</v>
      </c>
      <c r="D135" t="inlineStr">
        <is>
          <t>ops.export_sales_pct</t>
        </is>
      </c>
      <c r="F135" t="n">
        <v>0</v>
      </c>
      <c r="G135" t="inlineStr">
        <is>
          <t>NotebookLM</t>
        </is>
      </c>
    </row>
    <row r="136">
      <c r="A136" t="inlineStr">
        <is>
          <t>2026-04-19</t>
        </is>
      </c>
      <c r="B136" t="inlineStr">
        <is>
          <t>JAWA</t>
        </is>
      </c>
      <c r="C136" t="n">
        <v>2022</v>
      </c>
      <c r="D136" t="inlineStr">
        <is>
          <t>ops.third_party_ffb_t</t>
        </is>
      </c>
      <c r="F136" t="n">
        <v>153717</v>
      </c>
      <c r="G136" t="inlineStr">
        <is>
          <t>NotebookLM</t>
        </is>
      </c>
    </row>
    <row r="137">
      <c r="A137" t="inlineStr">
        <is>
          <t>2026-04-19</t>
        </is>
      </c>
      <c r="B137" t="inlineStr">
        <is>
          <t>JAWA</t>
        </is>
      </c>
      <c r="C137" t="n">
        <v>2023</v>
      </c>
      <c r="D137" t="inlineStr">
        <is>
          <t>ops.mill_capacity_tph</t>
        </is>
      </c>
      <c r="F137" t="n">
        <v>90</v>
      </c>
      <c r="G137" t="inlineStr">
        <is>
          <t>NotebookLM</t>
        </is>
      </c>
    </row>
    <row r="138">
      <c r="A138" t="inlineStr">
        <is>
          <t>2026-04-19</t>
        </is>
      </c>
      <c r="B138" t="inlineStr">
        <is>
          <t>JAWA</t>
        </is>
      </c>
      <c r="C138" t="n">
        <v>2023</v>
      </c>
      <c r="D138" t="inlineStr">
        <is>
          <t>ops.third_party_ffb_t</t>
        </is>
      </c>
      <c r="F138" t="n">
        <v>160058</v>
      </c>
      <c r="G138" t="inlineStr">
        <is>
          <t>NotebookLM</t>
        </is>
      </c>
    </row>
    <row r="139">
      <c r="A139" t="inlineStr">
        <is>
          <t>2026-04-19</t>
        </is>
      </c>
      <c r="B139" t="inlineStr">
        <is>
          <t>JAWA</t>
        </is>
      </c>
      <c r="C139" t="n">
        <v>2024</v>
      </c>
      <c r="D139" t="inlineStr">
        <is>
          <t>ops.mill_capacity_tph</t>
        </is>
      </c>
      <c r="F139" t="n">
        <v>90</v>
      </c>
      <c r="G139" t="inlineStr">
        <is>
          <t>NotebookLM</t>
        </is>
      </c>
    </row>
    <row r="140">
      <c r="A140" t="inlineStr">
        <is>
          <t>2026-04-19</t>
        </is>
      </c>
      <c r="B140" t="inlineStr">
        <is>
          <t>JAWA</t>
        </is>
      </c>
      <c r="C140" t="n">
        <v>2024</v>
      </c>
      <c r="D140" t="inlineStr">
        <is>
          <t>ops.third_party_ffb_t</t>
        </is>
      </c>
      <c r="F140" t="n">
        <v>121298</v>
      </c>
      <c r="G140" t="inlineStr">
        <is>
          <t>NotebookLM</t>
        </is>
      </c>
    </row>
    <row r="141">
      <c r="A141" t="inlineStr">
        <is>
          <t>2026-04-19</t>
        </is>
      </c>
      <c r="B141" t="inlineStr">
        <is>
          <t>LSIP</t>
        </is>
      </c>
      <c r="C141" t="n">
        <v>2022</v>
      </c>
      <c r="D141" t="inlineStr">
        <is>
          <t>ops.avg_tree_age_years</t>
        </is>
      </c>
      <c r="F141" t="n">
        <v>19</v>
      </c>
      <c r="G141" t="inlineStr">
        <is>
          <t>NotebookLM</t>
        </is>
      </c>
    </row>
    <row r="142">
      <c r="A142" t="inlineStr">
        <is>
          <t>2026-04-19</t>
        </is>
      </c>
      <c r="B142" t="inlineStr">
        <is>
          <t>LSIP</t>
        </is>
      </c>
      <c r="C142" t="n">
        <v>2022</v>
      </c>
      <c r="D142" t="inlineStr">
        <is>
          <t>ops.domestic_sales_pct</t>
        </is>
      </c>
      <c r="F142" t="n">
        <v>0.9493</v>
      </c>
      <c r="G142" t="inlineStr">
        <is>
          <t>NotebookLM</t>
        </is>
      </c>
    </row>
    <row r="143">
      <c r="A143" t="inlineStr">
        <is>
          <t>2026-04-19</t>
        </is>
      </c>
      <c r="B143" t="inlineStr">
        <is>
          <t>LSIP</t>
        </is>
      </c>
      <c r="C143" t="n">
        <v>2022</v>
      </c>
      <c r="D143" t="inlineStr">
        <is>
          <t>ops.export_sales_pct</t>
        </is>
      </c>
      <c r="F143" t="n">
        <v>0.0507</v>
      </c>
      <c r="G143" t="inlineStr">
        <is>
          <t>NotebookLM</t>
        </is>
      </c>
    </row>
    <row r="144">
      <c r="A144" t="inlineStr">
        <is>
          <t>2026-04-19</t>
        </is>
      </c>
      <c r="B144" t="inlineStr">
        <is>
          <t>LSIP</t>
        </is>
      </c>
      <c r="C144" t="n">
        <v>2023</v>
      </c>
      <c r="D144" t="inlineStr">
        <is>
          <t>ops.domestic_sales_pct</t>
        </is>
      </c>
      <c r="F144" t="n">
        <v>0.9847</v>
      </c>
      <c r="G144" t="inlineStr">
        <is>
          <t>NotebookLM</t>
        </is>
      </c>
    </row>
    <row r="145">
      <c r="A145" t="inlineStr">
        <is>
          <t>2026-04-19</t>
        </is>
      </c>
      <c r="B145" t="inlineStr">
        <is>
          <t>LSIP</t>
        </is>
      </c>
      <c r="C145" t="n">
        <v>2023</v>
      </c>
      <c r="D145" t="inlineStr">
        <is>
          <t>ops.export_sales_pct</t>
        </is>
      </c>
      <c r="F145" t="n">
        <v>0.0153</v>
      </c>
      <c r="G145" t="inlineStr">
        <is>
          <t>NotebookLM</t>
        </is>
      </c>
    </row>
    <row r="146">
      <c r="A146" t="inlineStr">
        <is>
          <t>2026-04-19</t>
        </is>
      </c>
      <c r="B146" t="inlineStr">
        <is>
          <t>LSIP</t>
        </is>
      </c>
      <c r="C146" t="n">
        <v>2024</v>
      </c>
      <c r="D146" t="inlineStr">
        <is>
          <t>ops.avg_tree_age_years</t>
        </is>
      </c>
      <c r="F146" t="n">
        <v>19</v>
      </c>
      <c r="G146" t="inlineStr">
        <is>
          <t>NotebookLM</t>
        </is>
      </c>
    </row>
    <row r="147">
      <c r="A147" t="inlineStr">
        <is>
          <t>2026-04-19</t>
        </is>
      </c>
      <c r="B147" t="inlineStr">
        <is>
          <t>LSIP</t>
        </is>
      </c>
      <c r="C147" t="n">
        <v>2024</v>
      </c>
      <c r="D147" t="inlineStr">
        <is>
          <t>ops.domestic_sales_pct</t>
        </is>
      </c>
      <c r="F147" t="n">
        <v>0.9847</v>
      </c>
      <c r="G147" t="inlineStr">
        <is>
          <t>NotebookLM</t>
        </is>
      </c>
    </row>
    <row r="148">
      <c r="A148" t="inlineStr">
        <is>
          <t>2026-04-19</t>
        </is>
      </c>
      <c r="B148" t="inlineStr">
        <is>
          <t>LSIP</t>
        </is>
      </c>
      <c r="C148" t="n">
        <v>2024</v>
      </c>
      <c r="D148" t="inlineStr">
        <is>
          <t>ops.export_sales_pct</t>
        </is>
      </c>
      <c r="F148" t="n">
        <v>0.0153</v>
      </c>
      <c r="G148" t="inlineStr">
        <is>
          <t>NotebookLM</t>
        </is>
      </c>
    </row>
    <row r="149">
      <c r="A149" t="inlineStr">
        <is>
          <t>2026-04-19</t>
        </is>
      </c>
      <c r="B149" t="inlineStr">
        <is>
          <t>MGRO</t>
        </is>
      </c>
      <c r="C149" t="n">
        <v>2022</v>
      </c>
      <c r="D149" t="inlineStr">
        <is>
          <t>ops.planted_area_total_ha</t>
        </is>
      </c>
      <c r="F149" t="n">
        <v>391.29</v>
      </c>
      <c r="G149" t="inlineStr">
        <is>
          <t>NotebookLM</t>
        </is>
      </c>
    </row>
    <row r="150">
      <c r="A150" t="inlineStr">
        <is>
          <t>2026-04-19</t>
        </is>
      </c>
      <c r="B150" t="inlineStr">
        <is>
          <t>MGRO</t>
        </is>
      </c>
      <c r="C150" t="n">
        <v>2022</v>
      </c>
      <c r="D150" t="inlineStr">
        <is>
          <t>ops.nucleus_area_ha</t>
        </is>
      </c>
      <c r="F150" t="n">
        <v>391.29</v>
      </c>
      <c r="G150" t="inlineStr">
        <is>
          <t>NotebookLM</t>
        </is>
      </c>
    </row>
    <row r="151">
      <c r="A151" t="inlineStr">
        <is>
          <t>2026-04-19</t>
        </is>
      </c>
      <c r="B151" t="inlineStr">
        <is>
          <t>MGRO</t>
        </is>
      </c>
      <c r="C151" t="n">
        <v>2022</v>
      </c>
      <c r="D151" t="inlineStr">
        <is>
          <t>ops.mature_area_ha</t>
        </is>
      </c>
      <c r="F151" t="n">
        <v>169.72</v>
      </c>
      <c r="G151" t="inlineStr">
        <is>
          <t>NotebookLM</t>
        </is>
      </c>
    </row>
    <row r="152">
      <c r="A152" t="inlineStr">
        <is>
          <t>2026-04-19</t>
        </is>
      </c>
      <c r="B152" t="inlineStr">
        <is>
          <t>MGRO</t>
        </is>
      </c>
      <c r="C152" t="n">
        <v>2022</v>
      </c>
      <c r="D152" t="inlineStr">
        <is>
          <t>ops.immature_area_ha</t>
        </is>
      </c>
      <c r="F152" t="n">
        <v>221.57</v>
      </c>
      <c r="G152" t="inlineStr">
        <is>
          <t>NotebookLM</t>
        </is>
      </c>
    </row>
    <row r="153">
      <c r="A153" t="inlineStr">
        <is>
          <t>2026-04-19</t>
        </is>
      </c>
      <c r="B153" t="inlineStr">
        <is>
          <t>MGRO</t>
        </is>
      </c>
      <c r="C153" t="n">
        <v>2022</v>
      </c>
      <c r="D153" t="inlineStr">
        <is>
          <t>ops.mill_capacity_tph</t>
        </is>
      </c>
      <c r="F153" t="n">
        <v>240</v>
      </c>
      <c r="G153" t="inlineStr">
        <is>
          <t>NotebookLM</t>
        </is>
      </c>
    </row>
    <row r="154">
      <c r="A154" t="inlineStr">
        <is>
          <t>2026-04-19</t>
        </is>
      </c>
      <c r="B154" t="inlineStr">
        <is>
          <t>MGRO</t>
        </is>
      </c>
      <c r="C154" t="n">
        <v>2022</v>
      </c>
      <c r="D154" t="inlineStr">
        <is>
          <t>ops.kernel_crushing_count</t>
        </is>
      </c>
      <c r="F154" t="n">
        <v>1</v>
      </c>
      <c r="G154" t="inlineStr">
        <is>
          <t>NotebookLM</t>
        </is>
      </c>
    </row>
    <row r="155">
      <c r="A155" t="inlineStr">
        <is>
          <t>2026-04-19</t>
        </is>
      </c>
      <c r="B155" t="inlineStr">
        <is>
          <t>MGRO</t>
        </is>
      </c>
      <c r="C155" t="n">
        <v>2022</v>
      </c>
      <c r="D155" t="inlineStr">
        <is>
          <t>ops.domestic_sales_pct</t>
        </is>
      </c>
      <c r="F155" t="n">
        <v>0.76</v>
      </c>
      <c r="G155" t="inlineStr">
        <is>
          <t>NotebookLM</t>
        </is>
      </c>
    </row>
    <row r="156">
      <c r="A156" t="inlineStr">
        <is>
          <t>2026-04-19</t>
        </is>
      </c>
      <c r="B156" t="inlineStr">
        <is>
          <t>MGRO</t>
        </is>
      </c>
      <c r="C156" t="n">
        <v>2022</v>
      </c>
      <c r="D156" t="inlineStr">
        <is>
          <t>ops.export_sales_pct</t>
        </is>
      </c>
      <c r="F156" t="n">
        <v>0.24</v>
      </c>
      <c r="G156" t="inlineStr">
        <is>
          <t>NotebookLM</t>
        </is>
      </c>
    </row>
    <row r="157">
      <c r="A157" t="inlineStr">
        <is>
          <t>2026-04-19</t>
        </is>
      </c>
      <c r="B157" t="inlineStr">
        <is>
          <t>MGRO</t>
        </is>
      </c>
      <c r="C157" t="n">
        <v>2023</v>
      </c>
      <c r="D157" t="inlineStr">
        <is>
          <t>ops.nucleus_area_ha</t>
        </is>
      </c>
      <c r="F157" t="n">
        <v>427.88</v>
      </c>
      <c r="G157" t="inlineStr">
        <is>
          <t>NotebookLM</t>
        </is>
      </c>
    </row>
    <row r="158">
      <c r="A158" t="inlineStr">
        <is>
          <t>2026-04-19</t>
        </is>
      </c>
      <c r="B158" t="inlineStr">
        <is>
          <t>MGRO</t>
        </is>
      </c>
      <c r="C158" t="n">
        <v>2023</v>
      </c>
      <c r="D158" t="inlineStr">
        <is>
          <t>ops.mature_area_ha</t>
        </is>
      </c>
      <c r="F158" t="n">
        <v>166.92</v>
      </c>
      <c r="G158" t="inlineStr">
        <is>
          <t>NotebookLM</t>
        </is>
      </c>
    </row>
    <row r="159">
      <c r="A159" t="inlineStr">
        <is>
          <t>2026-04-19</t>
        </is>
      </c>
      <c r="B159" t="inlineStr">
        <is>
          <t>MGRO</t>
        </is>
      </c>
      <c r="C159" t="n">
        <v>2023</v>
      </c>
      <c r="D159" t="inlineStr">
        <is>
          <t>ops.immature_area_ha</t>
        </is>
      </c>
      <c r="F159" t="n">
        <v>260.96</v>
      </c>
      <c r="G159" t="inlineStr">
        <is>
          <t>NotebookLM</t>
        </is>
      </c>
    </row>
    <row r="160">
      <c r="A160" t="inlineStr">
        <is>
          <t>2026-04-19</t>
        </is>
      </c>
      <c r="B160" t="inlineStr">
        <is>
          <t>MGRO</t>
        </is>
      </c>
      <c r="C160" t="n">
        <v>2023</v>
      </c>
      <c r="D160" t="inlineStr">
        <is>
          <t>ops.mill_capacity_tph</t>
        </is>
      </c>
      <c r="F160" t="n">
        <v>240</v>
      </c>
      <c r="G160" t="inlineStr">
        <is>
          <t>NotebookLM</t>
        </is>
      </c>
    </row>
    <row r="161">
      <c r="A161" t="inlineStr">
        <is>
          <t>2026-04-19</t>
        </is>
      </c>
      <c r="B161" t="inlineStr">
        <is>
          <t>MGRO</t>
        </is>
      </c>
      <c r="C161" t="n">
        <v>2023</v>
      </c>
      <c r="D161" t="inlineStr">
        <is>
          <t>ops.kernel_crushing_count</t>
        </is>
      </c>
      <c r="F161" t="n">
        <v>1</v>
      </c>
      <c r="G161" t="inlineStr">
        <is>
          <t>NotebookLM</t>
        </is>
      </c>
    </row>
    <row r="162">
      <c r="A162" t="inlineStr">
        <is>
          <t>2026-04-19</t>
        </is>
      </c>
      <c r="B162" t="inlineStr">
        <is>
          <t>MGRO</t>
        </is>
      </c>
      <c r="C162" t="n">
        <v>2023</v>
      </c>
      <c r="D162" t="inlineStr">
        <is>
          <t>ops.domestic_sales_pct</t>
        </is>
      </c>
      <c r="F162" t="n">
        <v>0.85</v>
      </c>
      <c r="G162" t="inlineStr">
        <is>
          <t>NotebookLM</t>
        </is>
      </c>
    </row>
    <row r="163">
      <c r="A163" t="inlineStr">
        <is>
          <t>2026-04-19</t>
        </is>
      </c>
      <c r="B163" t="inlineStr">
        <is>
          <t>MGRO</t>
        </is>
      </c>
      <c r="C163" t="n">
        <v>2023</v>
      </c>
      <c r="D163" t="inlineStr">
        <is>
          <t>ops.export_sales_pct</t>
        </is>
      </c>
      <c r="F163" t="n">
        <v>0.15</v>
      </c>
      <c r="G163" t="inlineStr">
        <is>
          <t>NotebookLM</t>
        </is>
      </c>
    </row>
    <row r="164">
      <c r="A164" t="inlineStr">
        <is>
          <t>2026-04-19</t>
        </is>
      </c>
      <c r="B164" t="inlineStr">
        <is>
          <t>MGRO</t>
        </is>
      </c>
      <c r="C164" t="n">
        <v>2024</v>
      </c>
      <c r="D164" t="inlineStr">
        <is>
          <t>ops.nucleus_area_ha</t>
        </is>
      </c>
      <c r="F164" t="n">
        <v>477.85</v>
      </c>
      <c r="G164" t="inlineStr">
        <is>
          <t>NotebookLM</t>
        </is>
      </c>
    </row>
    <row r="165">
      <c r="A165" t="inlineStr">
        <is>
          <t>2026-04-19</t>
        </is>
      </c>
      <c r="B165" t="inlineStr">
        <is>
          <t>MGRO</t>
        </is>
      </c>
      <c r="C165" t="n">
        <v>2024</v>
      </c>
      <c r="D165" t="inlineStr">
        <is>
          <t>ops.mill_capacity_tph</t>
        </is>
      </c>
      <c r="F165" t="n">
        <v>360</v>
      </c>
      <c r="G165" t="inlineStr">
        <is>
          <t>NotebookLM</t>
        </is>
      </c>
    </row>
    <row r="166">
      <c r="A166" t="inlineStr">
        <is>
          <t>2026-04-19</t>
        </is>
      </c>
      <c r="B166" t="inlineStr">
        <is>
          <t>MGRO</t>
        </is>
      </c>
      <c r="C166" t="n">
        <v>2024</v>
      </c>
      <c r="D166" t="inlineStr">
        <is>
          <t>ops.kernel_crushing_count</t>
        </is>
      </c>
      <c r="F166" t="n">
        <v>1</v>
      </c>
      <c r="G166" t="inlineStr">
        <is>
          <t>NotebookLM</t>
        </is>
      </c>
    </row>
    <row r="167">
      <c r="A167" t="inlineStr">
        <is>
          <t>2026-04-19</t>
        </is>
      </c>
      <c r="B167" t="inlineStr">
        <is>
          <t>MGRO</t>
        </is>
      </c>
      <c r="C167" t="n">
        <v>2024</v>
      </c>
      <c r="D167" t="inlineStr">
        <is>
          <t>ops.domestic_sales_pct</t>
        </is>
      </c>
      <c r="F167" t="n">
        <v>0.76</v>
      </c>
      <c r="G167" t="inlineStr">
        <is>
          <t>NotebookLM</t>
        </is>
      </c>
    </row>
    <row r="168">
      <c r="A168" t="inlineStr">
        <is>
          <t>2026-04-19</t>
        </is>
      </c>
      <c r="B168" t="inlineStr">
        <is>
          <t>MGRO</t>
        </is>
      </c>
      <c r="C168" t="n">
        <v>2024</v>
      </c>
      <c r="D168" t="inlineStr">
        <is>
          <t>ops.export_sales_pct</t>
        </is>
      </c>
      <c r="F168" t="n">
        <v>0.24</v>
      </c>
      <c r="G168" t="inlineStr">
        <is>
          <t>NotebookLM</t>
        </is>
      </c>
    </row>
    <row r="169">
      <c r="A169" t="inlineStr">
        <is>
          <t>2026-04-19</t>
        </is>
      </c>
      <c r="B169" t="inlineStr">
        <is>
          <t>MKTR</t>
        </is>
      </c>
      <c r="C169" t="n">
        <v>2022</v>
      </c>
      <c r="D169" t="inlineStr">
        <is>
          <t>ops.planted_area_total_ha</t>
        </is>
      </c>
      <c r="F169" t="n">
        <v>8000</v>
      </c>
      <c r="G169" t="inlineStr">
        <is>
          <t>NotebookLM</t>
        </is>
      </c>
    </row>
    <row r="170">
      <c r="A170" t="inlineStr">
        <is>
          <t>2026-04-19</t>
        </is>
      </c>
      <c r="B170" t="inlineStr">
        <is>
          <t>MKTR</t>
        </is>
      </c>
      <c r="C170" t="n">
        <v>2022</v>
      </c>
      <c r="D170" t="inlineStr">
        <is>
          <t>ops.avg_tree_age_years</t>
        </is>
      </c>
      <c r="F170" t="n">
        <v>10</v>
      </c>
      <c r="G170" t="inlineStr">
        <is>
          <t>NotebookLM</t>
        </is>
      </c>
    </row>
    <row r="171">
      <c r="A171" t="inlineStr">
        <is>
          <t>2026-04-19</t>
        </is>
      </c>
      <c r="B171" t="inlineStr">
        <is>
          <t>MKTR</t>
        </is>
      </c>
      <c r="C171" t="n">
        <v>2022</v>
      </c>
      <c r="D171" t="inlineStr">
        <is>
          <t>ops.kernel_crushing_count</t>
        </is>
      </c>
      <c r="F171" t="n">
        <v>0</v>
      </c>
      <c r="G171" t="inlineStr">
        <is>
          <t>NotebookLM</t>
        </is>
      </c>
    </row>
    <row r="172">
      <c r="A172" t="inlineStr">
        <is>
          <t>2026-04-19</t>
        </is>
      </c>
      <c r="B172" t="inlineStr">
        <is>
          <t>MKTR</t>
        </is>
      </c>
      <c r="C172" t="n">
        <v>2022</v>
      </c>
      <c r="D172" t="inlineStr">
        <is>
          <t>ops.cpo_refinery_count</t>
        </is>
      </c>
      <c r="F172" t="n">
        <v>0</v>
      </c>
      <c r="G172" t="inlineStr">
        <is>
          <t>NotebookLM</t>
        </is>
      </c>
    </row>
    <row r="173">
      <c r="A173" t="inlineStr">
        <is>
          <t>2026-04-19</t>
        </is>
      </c>
      <c r="B173" t="inlineStr">
        <is>
          <t>MKTR</t>
        </is>
      </c>
      <c r="C173" t="n">
        <v>2023</v>
      </c>
      <c r="D173" t="inlineStr">
        <is>
          <t>ops.nucleus_area_ha</t>
        </is>
      </c>
      <c r="F173" t="n">
        <v>6000</v>
      </c>
      <c r="G173" t="inlineStr">
        <is>
          <t>NotebookLM</t>
        </is>
      </c>
    </row>
    <row r="174">
      <c r="A174" t="inlineStr">
        <is>
          <t>2026-04-19</t>
        </is>
      </c>
      <c r="B174" t="inlineStr">
        <is>
          <t>MKTR</t>
        </is>
      </c>
      <c r="C174" t="n">
        <v>2023</v>
      </c>
      <c r="D174" t="inlineStr">
        <is>
          <t>ops.avg_tree_age_years</t>
        </is>
      </c>
      <c r="F174" t="n">
        <v>10</v>
      </c>
      <c r="G174" t="inlineStr">
        <is>
          <t>NotebookLM</t>
        </is>
      </c>
    </row>
    <row r="175">
      <c r="A175" t="inlineStr">
        <is>
          <t>2026-04-19</t>
        </is>
      </c>
      <c r="B175" t="inlineStr">
        <is>
          <t>MKTR</t>
        </is>
      </c>
      <c r="C175" t="n">
        <v>2023</v>
      </c>
      <c r="D175" t="inlineStr">
        <is>
          <t>ops.kernel_crushing_count</t>
        </is>
      </c>
      <c r="F175" t="n">
        <v>0</v>
      </c>
      <c r="G175" t="inlineStr">
        <is>
          <t>NotebookLM</t>
        </is>
      </c>
    </row>
    <row r="176">
      <c r="A176" t="inlineStr">
        <is>
          <t>2026-04-19</t>
        </is>
      </c>
      <c r="B176" t="inlineStr">
        <is>
          <t>MKTR</t>
        </is>
      </c>
      <c r="C176" t="n">
        <v>2023</v>
      </c>
      <c r="D176" t="inlineStr">
        <is>
          <t>ops.cpo_refinery_count</t>
        </is>
      </c>
      <c r="F176" t="n">
        <v>0</v>
      </c>
      <c r="G176" t="inlineStr">
        <is>
          <t>NotebookLM</t>
        </is>
      </c>
    </row>
    <row r="177">
      <c r="A177" t="inlineStr">
        <is>
          <t>2026-04-19</t>
        </is>
      </c>
      <c r="B177" t="inlineStr">
        <is>
          <t>MKTR</t>
        </is>
      </c>
      <c r="C177" t="n">
        <v>2024</v>
      </c>
      <c r="D177" t="inlineStr">
        <is>
          <t>ops.planted_area_total_ha</t>
        </is>
      </c>
      <c r="F177" t="n">
        <v>7424.11</v>
      </c>
      <c r="G177" t="inlineStr">
        <is>
          <t>NotebookLM</t>
        </is>
      </c>
    </row>
    <row r="178">
      <c r="A178" t="inlineStr">
        <is>
          <t>2026-04-19</t>
        </is>
      </c>
      <c r="B178" t="inlineStr">
        <is>
          <t>MKTR</t>
        </is>
      </c>
      <c r="C178" t="n">
        <v>2024</v>
      </c>
      <c r="D178" t="inlineStr">
        <is>
          <t>ops.nucleus_area_ha</t>
        </is>
      </c>
      <c r="F178" t="n">
        <v>6000</v>
      </c>
      <c r="G178" t="inlineStr">
        <is>
          <t>NotebookLM</t>
        </is>
      </c>
    </row>
    <row r="179">
      <c r="A179" t="inlineStr">
        <is>
          <t>2026-04-19</t>
        </is>
      </c>
      <c r="B179" t="inlineStr">
        <is>
          <t>MKTR</t>
        </is>
      </c>
      <c r="C179" t="n">
        <v>2024</v>
      </c>
      <c r="D179" t="inlineStr">
        <is>
          <t>ops.avg_tree_age_years</t>
        </is>
      </c>
      <c r="F179" t="n">
        <v>10</v>
      </c>
      <c r="G179" t="inlineStr">
        <is>
          <t>NotebookLM</t>
        </is>
      </c>
    </row>
    <row r="180">
      <c r="A180" t="inlineStr">
        <is>
          <t>2026-04-19</t>
        </is>
      </c>
      <c r="B180" t="inlineStr">
        <is>
          <t>MKTR</t>
        </is>
      </c>
      <c r="C180" t="n">
        <v>2024</v>
      </c>
      <c r="D180" t="inlineStr">
        <is>
          <t>ops.cpo_refinery_count</t>
        </is>
      </c>
      <c r="F180" t="n">
        <v>0</v>
      </c>
      <c r="G180" t="inlineStr">
        <is>
          <t>NotebookLM</t>
        </is>
      </c>
    </row>
    <row r="181">
      <c r="A181" t="inlineStr">
        <is>
          <t>2026-04-19</t>
        </is>
      </c>
      <c r="B181" t="inlineStr">
        <is>
          <t>NSSS</t>
        </is>
      </c>
      <c r="C181" t="n">
        <v>2022</v>
      </c>
      <c r="D181" t="inlineStr">
        <is>
          <t>ops.kernel_crushing_count</t>
        </is>
      </c>
      <c r="F181" t="n">
        <v>0</v>
      </c>
      <c r="G181" t="inlineStr">
        <is>
          <t>NotebookLM</t>
        </is>
      </c>
    </row>
    <row r="182">
      <c r="A182" t="inlineStr">
        <is>
          <t>2026-04-19</t>
        </is>
      </c>
      <c r="B182" t="inlineStr">
        <is>
          <t>NSSS</t>
        </is>
      </c>
      <c r="C182" t="n">
        <v>2022</v>
      </c>
      <c r="D182" t="inlineStr">
        <is>
          <t>ops.cpo_refinery_count</t>
        </is>
      </c>
      <c r="F182" t="n">
        <v>0</v>
      </c>
      <c r="G182" t="inlineStr">
        <is>
          <t>NotebookLM</t>
        </is>
      </c>
    </row>
    <row r="183">
      <c r="A183" t="inlineStr">
        <is>
          <t>2026-04-19</t>
        </is>
      </c>
      <c r="B183" t="inlineStr">
        <is>
          <t>NSSS</t>
        </is>
      </c>
      <c r="C183" t="n">
        <v>2022</v>
      </c>
      <c r="D183" t="inlineStr">
        <is>
          <t>ops.domestic_sales_pct</t>
        </is>
      </c>
      <c r="F183" t="n">
        <v>1</v>
      </c>
      <c r="G183" t="inlineStr">
        <is>
          <t>NotebookLM</t>
        </is>
      </c>
    </row>
    <row r="184">
      <c r="A184" t="inlineStr">
        <is>
          <t>2026-04-19</t>
        </is>
      </c>
      <c r="B184" t="inlineStr">
        <is>
          <t>NSSS</t>
        </is>
      </c>
      <c r="C184" t="n">
        <v>2022</v>
      </c>
      <c r="D184" t="inlineStr">
        <is>
          <t>ops.export_sales_pct</t>
        </is>
      </c>
      <c r="F184" t="n">
        <v>0</v>
      </c>
      <c r="G184" t="inlineStr">
        <is>
          <t>NotebookLM</t>
        </is>
      </c>
    </row>
    <row r="185">
      <c r="A185" t="inlineStr">
        <is>
          <t>2026-04-19</t>
        </is>
      </c>
      <c r="B185" t="inlineStr">
        <is>
          <t>NSSS</t>
        </is>
      </c>
      <c r="C185" t="n">
        <v>2023</v>
      </c>
      <c r="D185" t="inlineStr">
        <is>
          <t>ops.nucleus_area_ha</t>
        </is>
      </c>
      <c r="F185" t="n">
        <v>26767</v>
      </c>
      <c r="G185" t="inlineStr">
        <is>
          <t>NotebookLM</t>
        </is>
      </c>
    </row>
    <row r="186">
      <c r="A186" t="inlineStr">
        <is>
          <t>2026-04-19</t>
        </is>
      </c>
      <c r="B186" t="inlineStr">
        <is>
          <t>NSSS</t>
        </is>
      </c>
      <c r="C186" t="n">
        <v>2023</v>
      </c>
      <c r="D186" t="inlineStr">
        <is>
          <t>ops.plasma_area_ha</t>
        </is>
      </c>
      <c r="F186" t="n">
        <v>1382</v>
      </c>
      <c r="G186" t="inlineStr">
        <is>
          <t>NotebookLM</t>
        </is>
      </c>
    </row>
    <row r="187">
      <c r="A187" t="inlineStr">
        <is>
          <t>2026-04-19</t>
        </is>
      </c>
      <c r="B187" t="inlineStr">
        <is>
          <t>NSSS</t>
        </is>
      </c>
      <c r="C187" t="n">
        <v>2023</v>
      </c>
      <c r="D187" t="inlineStr">
        <is>
          <t>ops.mature_area_ha</t>
        </is>
      </c>
      <c r="F187" t="n">
        <v>26175</v>
      </c>
      <c r="G187" t="inlineStr">
        <is>
          <t>NotebookLM</t>
        </is>
      </c>
    </row>
    <row r="188">
      <c r="A188" t="inlineStr">
        <is>
          <t>2026-04-19</t>
        </is>
      </c>
      <c r="B188" t="inlineStr">
        <is>
          <t>NSSS</t>
        </is>
      </c>
      <c r="C188" t="n">
        <v>2023</v>
      </c>
      <c r="D188" t="inlineStr">
        <is>
          <t>ops.immature_area_ha</t>
        </is>
      </c>
      <c r="F188" t="n">
        <v>1972</v>
      </c>
      <c r="G188" t="inlineStr">
        <is>
          <t>NotebookLM</t>
        </is>
      </c>
    </row>
    <row r="189">
      <c r="A189" t="inlineStr">
        <is>
          <t>2026-04-19</t>
        </is>
      </c>
      <c r="B189" t="inlineStr">
        <is>
          <t>NSSS</t>
        </is>
      </c>
      <c r="C189" t="n">
        <v>2023</v>
      </c>
      <c r="D189" t="inlineStr">
        <is>
          <t>ops.kernel_crushing_count</t>
        </is>
      </c>
      <c r="F189" t="n">
        <v>0</v>
      </c>
      <c r="G189" t="inlineStr">
        <is>
          <t>NotebookLM</t>
        </is>
      </c>
    </row>
    <row r="190">
      <c r="A190" t="inlineStr">
        <is>
          <t>2026-04-19</t>
        </is>
      </c>
      <c r="B190" t="inlineStr">
        <is>
          <t>NSSS</t>
        </is>
      </c>
      <c r="C190" t="n">
        <v>2023</v>
      </c>
      <c r="D190" t="inlineStr">
        <is>
          <t>ops.cpo_refinery_count</t>
        </is>
      </c>
      <c r="F190" t="n">
        <v>0</v>
      </c>
      <c r="G190" t="inlineStr">
        <is>
          <t>NotebookLM</t>
        </is>
      </c>
    </row>
    <row r="191">
      <c r="A191" t="inlineStr">
        <is>
          <t>2026-04-19</t>
        </is>
      </c>
      <c r="B191" t="inlineStr">
        <is>
          <t>NSSS</t>
        </is>
      </c>
      <c r="C191" t="n">
        <v>2023</v>
      </c>
      <c r="D191" t="inlineStr">
        <is>
          <t>ops.domestic_sales_pct</t>
        </is>
      </c>
      <c r="F191" t="n">
        <v>1</v>
      </c>
      <c r="G191" t="inlineStr">
        <is>
          <t>NotebookLM</t>
        </is>
      </c>
    </row>
    <row r="192">
      <c r="A192" t="inlineStr">
        <is>
          <t>2026-04-19</t>
        </is>
      </c>
      <c r="B192" t="inlineStr">
        <is>
          <t>NSSS</t>
        </is>
      </c>
      <c r="C192" t="n">
        <v>2023</v>
      </c>
      <c r="D192" t="inlineStr">
        <is>
          <t>ops.export_sales_pct</t>
        </is>
      </c>
      <c r="F192" t="n">
        <v>0</v>
      </c>
      <c r="G192" t="inlineStr">
        <is>
          <t>NotebookLM</t>
        </is>
      </c>
    </row>
    <row r="193">
      <c r="A193" t="inlineStr">
        <is>
          <t>2026-04-19</t>
        </is>
      </c>
      <c r="B193" t="inlineStr">
        <is>
          <t>NSSS</t>
        </is>
      </c>
      <c r="C193" t="n">
        <v>2024</v>
      </c>
      <c r="D193" t="inlineStr">
        <is>
          <t>ops.avg_tree_age_years</t>
        </is>
      </c>
      <c r="F193" t="n">
        <v>9.800000000000001</v>
      </c>
      <c r="G193" t="inlineStr">
        <is>
          <t>NotebookLM</t>
        </is>
      </c>
    </row>
    <row r="194">
      <c r="A194" t="inlineStr">
        <is>
          <t>2026-04-19</t>
        </is>
      </c>
      <c r="B194" t="inlineStr">
        <is>
          <t>NSSS</t>
        </is>
      </c>
      <c r="C194" t="n">
        <v>2024</v>
      </c>
      <c r="D194" t="inlineStr">
        <is>
          <t>ops.kernel_crushing_count</t>
        </is>
      </c>
      <c r="F194" t="n">
        <v>0</v>
      </c>
      <c r="G194" t="inlineStr">
        <is>
          <t>NotebookLM</t>
        </is>
      </c>
    </row>
    <row r="195">
      <c r="A195" t="inlineStr">
        <is>
          <t>2026-04-19</t>
        </is>
      </c>
      <c r="B195" t="inlineStr">
        <is>
          <t>NSSS</t>
        </is>
      </c>
      <c r="C195" t="n">
        <v>2024</v>
      </c>
      <c r="D195" t="inlineStr">
        <is>
          <t>ops.cpo_refinery_count</t>
        </is>
      </c>
      <c r="F195" t="n">
        <v>0</v>
      </c>
      <c r="G195" t="inlineStr">
        <is>
          <t>NotebookLM</t>
        </is>
      </c>
    </row>
    <row r="196">
      <c r="A196" t="inlineStr">
        <is>
          <t>2026-04-19</t>
        </is>
      </c>
      <c r="B196" t="inlineStr">
        <is>
          <t>NSSS</t>
        </is>
      </c>
      <c r="C196" t="n">
        <v>2024</v>
      </c>
      <c r="D196" t="inlineStr">
        <is>
          <t>ops.domestic_sales_pct</t>
        </is>
      </c>
      <c r="F196" t="n">
        <v>1</v>
      </c>
      <c r="G196" t="inlineStr">
        <is>
          <t>NotebookLM</t>
        </is>
      </c>
    </row>
    <row r="197">
      <c r="A197" t="inlineStr">
        <is>
          <t>2026-04-19</t>
        </is>
      </c>
      <c r="B197" t="inlineStr">
        <is>
          <t>NSSS</t>
        </is>
      </c>
      <c r="C197" t="n">
        <v>2024</v>
      </c>
      <c r="D197" t="inlineStr">
        <is>
          <t>ops.export_sales_pct</t>
        </is>
      </c>
      <c r="F197" t="n">
        <v>0</v>
      </c>
      <c r="G197" t="inlineStr">
        <is>
          <t>NotebookLM</t>
        </is>
      </c>
    </row>
    <row r="198">
      <c r="A198" t="inlineStr">
        <is>
          <t>2026-04-19</t>
        </is>
      </c>
      <c r="B198" t="inlineStr">
        <is>
          <t>PGUN</t>
        </is>
      </c>
      <c r="C198" t="n">
        <v>2022</v>
      </c>
      <c r="D198" t="inlineStr">
        <is>
          <t>ops.plasma_area_ha</t>
        </is>
      </c>
      <c r="F198" t="n">
        <v>3194.15</v>
      </c>
      <c r="G198" t="inlineStr">
        <is>
          <t>NotebookLM</t>
        </is>
      </c>
    </row>
    <row r="199">
      <c r="A199" t="inlineStr">
        <is>
          <t>2026-04-19</t>
        </is>
      </c>
      <c r="B199" t="inlineStr">
        <is>
          <t>PGUN</t>
        </is>
      </c>
      <c r="C199" t="n">
        <v>2022</v>
      </c>
      <c r="D199" t="inlineStr">
        <is>
          <t>ops.immature_area_ha</t>
        </is>
      </c>
      <c r="F199" t="n">
        <v>4480.66</v>
      </c>
      <c r="G199" t="inlineStr">
        <is>
          <t>NotebookLM</t>
        </is>
      </c>
    </row>
    <row r="200">
      <c r="A200" t="inlineStr">
        <is>
          <t>2026-04-19</t>
        </is>
      </c>
      <c r="B200" t="inlineStr">
        <is>
          <t>PGUN</t>
        </is>
      </c>
      <c r="C200" t="n">
        <v>2022</v>
      </c>
      <c r="D200" t="inlineStr">
        <is>
          <t>ops.kernel_crushing_count</t>
        </is>
      </c>
      <c r="F200" t="n">
        <v>0</v>
      </c>
      <c r="G200" t="inlineStr">
        <is>
          <t>NotebookLM</t>
        </is>
      </c>
    </row>
    <row r="201">
      <c r="A201" t="inlineStr">
        <is>
          <t>2026-04-19</t>
        </is>
      </c>
      <c r="B201" t="inlineStr">
        <is>
          <t>PGUN</t>
        </is>
      </c>
      <c r="C201" t="n">
        <v>2022</v>
      </c>
      <c r="D201" t="inlineStr">
        <is>
          <t>ops.cpo_refinery_count</t>
        </is>
      </c>
      <c r="F201" t="n">
        <v>0</v>
      </c>
      <c r="G201" t="inlineStr">
        <is>
          <t>NotebookLM</t>
        </is>
      </c>
    </row>
    <row r="202">
      <c r="A202" t="inlineStr">
        <is>
          <t>2026-04-19</t>
        </is>
      </c>
      <c r="B202" t="inlineStr">
        <is>
          <t>PGUN</t>
        </is>
      </c>
      <c r="C202" t="n">
        <v>2022</v>
      </c>
      <c r="D202" t="inlineStr">
        <is>
          <t>ops.avg_cpo_selling_price_rp_per_kg</t>
        </is>
      </c>
      <c r="F202" t="n">
        <v>12732</v>
      </c>
      <c r="G202" t="inlineStr">
        <is>
          <t>NotebookLM</t>
        </is>
      </c>
    </row>
    <row r="203">
      <c r="A203" t="inlineStr">
        <is>
          <t>2026-04-19</t>
        </is>
      </c>
      <c r="B203" t="inlineStr">
        <is>
          <t>PGUN</t>
        </is>
      </c>
      <c r="C203" t="n">
        <v>2022</v>
      </c>
      <c r="D203" t="inlineStr">
        <is>
          <t>ops.export_sales_pct</t>
        </is>
      </c>
      <c r="F203" t="n">
        <v>0</v>
      </c>
      <c r="G203" t="inlineStr">
        <is>
          <t>NotebookLM</t>
        </is>
      </c>
    </row>
    <row r="204">
      <c r="A204" t="inlineStr">
        <is>
          <t>2026-04-19</t>
        </is>
      </c>
      <c r="B204" t="inlineStr">
        <is>
          <t>PGUN</t>
        </is>
      </c>
      <c r="C204" t="n">
        <v>2023</v>
      </c>
      <c r="D204" t="inlineStr">
        <is>
          <t>ops.plasma_area_ha</t>
        </is>
      </c>
      <c r="F204" t="n">
        <v>3578.7</v>
      </c>
      <c r="G204" t="inlineStr">
        <is>
          <t>NotebookLM</t>
        </is>
      </c>
    </row>
    <row r="205">
      <c r="A205" t="inlineStr">
        <is>
          <t>2026-04-19</t>
        </is>
      </c>
      <c r="B205" t="inlineStr">
        <is>
          <t>PGUN</t>
        </is>
      </c>
      <c r="C205" t="n">
        <v>2023</v>
      </c>
      <c r="D205" t="inlineStr">
        <is>
          <t>ops.immature_area_ha</t>
        </is>
      </c>
      <c r="F205" t="n">
        <v>3336.21</v>
      </c>
      <c r="G205" t="inlineStr">
        <is>
          <t>NotebookLM</t>
        </is>
      </c>
    </row>
    <row r="206">
      <c r="A206" t="inlineStr">
        <is>
          <t>2026-04-19</t>
        </is>
      </c>
      <c r="B206" t="inlineStr">
        <is>
          <t>PGUN</t>
        </is>
      </c>
      <c r="C206" t="n">
        <v>2023</v>
      </c>
      <c r="D206" t="inlineStr">
        <is>
          <t>ops.kernel_crushing_count</t>
        </is>
      </c>
      <c r="F206" t="n">
        <v>0</v>
      </c>
      <c r="G206" t="inlineStr">
        <is>
          <t>NotebookLM</t>
        </is>
      </c>
    </row>
    <row r="207">
      <c r="A207" t="inlineStr">
        <is>
          <t>2026-04-19</t>
        </is>
      </c>
      <c r="B207" t="inlineStr">
        <is>
          <t>PGUN</t>
        </is>
      </c>
      <c r="C207" t="n">
        <v>2023</v>
      </c>
      <c r="D207" t="inlineStr">
        <is>
          <t>ops.cpo_refinery_count</t>
        </is>
      </c>
      <c r="F207" t="n">
        <v>0</v>
      </c>
      <c r="G207" t="inlineStr">
        <is>
          <t>NotebookLM</t>
        </is>
      </c>
    </row>
    <row r="208">
      <c r="A208" t="inlineStr">
        <is>
          <t>2026-04-19</t>
        </is>
      </c>
      <c r="B208" t="inlineStr">
        <is>
          <t>PGUN</t>
        </is>
      </c>
      <c r="C208" t="n">
        <v>2023</v>
      </c>
      <c r="D208" t="inlineStr">
        <is>
          <t>ops.ffb_production_t</t>
        </is>
      </c>
      <c r="F208" t="n">
        <v>306497</v>
      </c>
      <c r="G208" t="inlineStr">
        <is>
          <t>NotebookLM</t>
        </is>
      </c>
    </row>
    <row r="209">
      <c r="A209" t="inlineStr">
        <is>
          <t>2026-04-19</t>
        </is>
      </c>
      <c r="B209" t="inlineStr">
        <is>
          <t>PGUN</t>
        </is>
      </c>
      <c r="C209" t="n">
        <v>2023</v>
      </c>
      <c r="D209" t="inlineStr">
        <is>
          <t>ops.avg_cpo_selling_price_rp_per_kg</t>
        </is>
      </c>
      <c r="F209" t="n">
        <v>10900</v>
      </c>
      <c r="G209" t="inlineStr">
        <is>
          <t>NotebookLM</t>
        </is>
      </c>
    </row>
    <row r="210">
      <c r="A210" t="inlineStr">
        <is>
          <t>2026-04-19</t>
        </is>
      </c>
      <c r="B210" t="inlineStr">
        <is>
          <t>PGUN</t>
        </is>
      </c>
      <c r="C210" t="n">
        <v>2023</v>
      </c>
      <c r="D210" t="inlineStr">
        <is>
          <t>ops.export_sales_pct</t>
        </is>
      </c>
      <c r="F210" t="n">
        <v>0</v>
      </c>
      <c r="G210" t="inlineStr">
        <is>
          <t>NotebookLM</t>
        </is>
      </c>
    </row>
    <row r="211">
      <c r="A211" t="inlineStr">
        <is>
          <t>2026-04-19</t>
        </is>
      </c>
      <c r="B211" t="inlineStr">
        <is>
          <t>PGUN</t>
        </is>
      </c>
      <c r="C211" t="n">
        <v>2024</v>
      </c>
      <c r="D211" t="inlineStr">
        <is>
          <t>ops.kernel_crushing_count</t>
        </is>
      </c>
      <c r="F211" t="n">
        <v>0</v>
      </c>
      <c r="G211" t="inlineStr">
        <is>
          <t>NotebookLM</t>
        </is>
      </c>
    </row>
    <row r="212">
      <c r="A212" t="inlineStr">
        <is>
          <t>2026-04-19</t>
        </is>
      </c>
      <c r="B212" t="inlineStr">
        <is>
          <t>PGUN</t>
        </is>
      </c>
      <c r="C212" t="n">
        <v>2024</v>
      </c>
      <c r="D212" t="inlineStr">
        <is>
          <t>ops.cpo_refinery_count</t>
        </is>
      </c>
      <c r="F212" t="n">
        <v>0</v>
      </c>
      <c r="G212" t="inlineStr">
        <is>
          <t>NotebookLM</t>
        </is>
      </c>
    </row>
    <row r="213">
      <c r="A213" t="inlineStr">
        <is>
          <t>2026-04-19</t>
        </is>
      </c>
      <c r="B213" t="inlineStr">
        <is>
          <t>PGUN</t>
        </is>
      </c>
      <c r="C213" t="n">
        <v>2024</v>
      </c>
      <c r="D213" t="inlineStr">
        <is>
          <t>ops.export_sales_pct</t>
        </is>
      </c>
      <c r="F213" t="n">
        <v>0</v>
      </c>
      <c r="G213" t="inlineStr">
        <is>
          <t>NotebookLM</t>
        </is>
      </c>
    </row>
    <row r="214">
      <c r="A214" t="inlineStr">
        <is>
          <t>2026-04-19</t>
        </is>
      </c>
      <c r="B214" t="inlineStr">
        <is>
          <t>PNGO</t>
        </is>
      </c>
      <c r="C214" t="n">
        <v>2022</v>
      </c>
      <c r="D214" t="inlineStr">
        <is>
          <t>ops.avg_tree_age_years</t>
        </is>
      </c>
      <c r="F214" t="n">
        <v>14</v>
      </c>
      <c r="G214" t="inlineStr">
        <is>
          <t>NotebookLM</t>
        </is>
      </c>
    </row>
    <row r="215">
      <c r="A215" t="inlineStr">
        <is>
          <t>2026-04-19</t>
        </is>
      </c>
      <c r="B215" t="inlineStr">
        <is>
          <t>PNGO</t>
        </is>
      </c>
      <c r="C215" t="n">
        <v>2022</v>
      </c>
      <c r="D215" t="inlineStr">
        <is>
          <t>ops.kernel_crushing_count</t>
        </is>
      </c>
      <c r="F215" t="n">
        <v>0</v>
      </c>
      <c r="G215" t="inlineStr">
        <is>
          <t>NotebookLM</t>
        </is>
      </c>
    </row>
    <row r="216">
      <c r="A216" t="inlineStr">
        <is>
          <t>2026-04-19</t>
        </is>
      </c>
      <c r="B216" t="inlineStr">
        <is>
          <t>PNGO</t>
        </is>
      </c>
      <c r="C216" t="n">
        <v>2022</v>
      </c>
      <c r="D216" t="inlineStr">
        <is>
          <t>ops.cpo_refinery_count</t>
        </is>
      </c>
      <c r="F216" t="n">
        <v>0</v>
      </c>
      <c r="G216" t="inlineStr">
        <is>
          <t>NotebookLM</t>
        </is>
      </c>
    </row>
    <row r="217">
      <c r="A217" t="inlineStr">
        <is>
          <t>2026-04-19</t>
        </is>
      </c>
      <c r="B217" t="inlineStr">
        <is>
          <t>PNGO</t>
        </is>
      </c>
      <c r="C217" t="n">
        <v>2023</v>
      </c>
      <c r="D217" t="inlineStr">
        <is>
          <t>ops.kernel_crushing_count</t>
        </is>
      </c>
      <c r="F217" t="n">
        <v>0</v>
      </c>
      <c r="G217" t="inlineStr">
        <is>
          <t>NotebookLM</t>
        </is>
      </c>
    </row>
    <row r="218">
      <c r="A218" t="inlineStr">
        <is>
          <t>2026-04-19</t>
        </is>
      </c>
      <c r="B218" t="inlineStr">
        <is>
          <t>PNGO</t>
        </is>
      </c>
      <c r="C218" t="n">
        <v>2023</v>
      </c>
      <c r="D218" t="inlineStr">
        <is>
          <t>ops.cpo_refinery_count</t>
        </is>
      </c>
      <c r="F218" t="n">
        <v>0</v>
      </c>
      <c r="G218" t="inlineStr">
        <is>
          <t>NotebookLM</t>
        </is>
      </c>
    </row>
    <row r="219">
      <c r="A219" t="inlineStr">
        <is>
          <t>2026-04-19</t>
        </is>
      </c>
      <c r="B219" t="inlineStr">
        <is>
          <t>PNGO</t>
        </is>
      </c>
      <c r="C219" t="n">
        <v>2024</v>
      </c>
      <c r="D219" t="inlineStr">
        <is>
          <t>ops.kernel_crushing_count</t>
        </is>
      </c>
      <c r="F219" t="n">
        <v>0</v>
      </c>
      <c r="G219" t="inlineStr">
        <is>
          <t>NotebookLM</t>
        </is>
      </c>
    </row>
    <row r="220">
      <c r="A220" t="inlineStr">
        <is>
          <t>2026-04-19</t>
        </is>
      </c>
      <c r="B220" t="inlineStr">
        <is>
          <t>PNGO</t>
        </is>
      </c>
      <c r="C220" t="n">
        <v>2024</v>
      </c>
      <c r="D220" t="inlineStr">
        <is>
          <t>ops.cpo_refinery_count</t>
        </is>
      </c>
      <c r="F220" t="n">
        <v>0</v>
      </c>
      <c r="G220" t="inlineStr">
        <is>
          <t>NotebookLM</t>
        </is>
      </c>
    </row>
    <row r="221">
      <c r="A221" t="inlineStr">
        <is>
          <t>2026-04-19</t>
        </is>
      </c>
      <c r="B221" t="inlineStr">
        <is>
          <t>PTPS</t>
        </is>
      </c>
      <c r="C221" t="n">
        <v>2023</v>
      </c>
      <c r="D221" t="inlineStr">
        <is>
          <t>ops.mature_area_ha</t>
        </is>
      </c>
      <c r="F221" t="n">
        <v>995.75</v>
      </c>
      <c r="G221" t="inlineStr">
        <is>
          <t>NotebookLM</t>
        </is>
      </c>
    </row>
    <row r="222">
      <c r="A222" t="inlineStr">
        <is>
          <t>2026-04-19</t>
        </is>
      </c>
      <c r="B222" t="inlineStr">
        <is>
          <t>PTPS</t>
        </is>
      </c>
      <c r="C222" t="n">
        <v>2023</v>
      </c>
      <c r="D222" t="inlineStr">
        <is>
          <t>ops.immature_area_ha</t>
        </is>
      </c>
      <c r="F222" t="n">
        <v>94.89</v>
      </c>
      <c r="G222" t="inlineStr">
        <is>
          <t>NotebookLM</t>
        </is>
      </c>
    </row>
    <row r="223">
      <c r="A223" t="inlineStr">
        <is>
          <t>2026-04-19</t>
        </is>
      </c>
      <c r="B223" t="inlineStr">
        <is>
          <t>PTPS</t>
        </is>
      </c>
      <c r="C223" t="n">
        <v>2024</v>
      </c>
      <c r="D223" t="inlineStr">
        <is>
          <t>ops.mature_area_ha</t>
        </is>
      </c>
      <c r="F223" t="n">
        <v>995.75</v>
      </c>
      <c r="G223" t="inlineStr">
        <is>
          <t>NotebookLM</t>
        </is>
      </c>
    </row>
    <row r="224">
      <c r="A224" t="inlineStr">
        <is>
          <t>2026-04-19</t>
        </is>
      </c>
      <c r="B224" t="inlineStr">
        <is>
          <t>PTPS</t>
        </is>
      </c>
      <c r="C224" t="n">
        <v>2024</v>
      </c>
      <c r="D224" t="inlineStr">
        <is>
          <t>ops.immature_area_ha</t>
        </is>
      </c>
      <c r="F224" t="n">
        <v>94.89</v>
      </c>
      <c r="G224" t="inlineStr">
        <is>
          <t>NotebookLM</t>
        </is>
      </c>
    </row>
    <row r="225">
      <c r="A225" t="inlineStr">
        <is>
          <t>2026-04-19</t>
        </is>
      </c>
      <c r="B225" t="inlineStr">
        <is>
          <t>PTPS</t>
        </is>
      </c>
      <c r="C225" t="n">
        <v>2024</v>
      </c>
      <c r="D225" t="inlineStr">
        <is>
          <t>ops.cpo_production_t</t>
        </is>
      </c>
      <c r="F225" t="n">
        <v>0</v>
      </c>
      <c r="G225" t="inlineStr">
        <is>
          <t>NotebookLM</t>
        </is>
      </c>
    </row>
    <row r="226">
      <c r="A226" t="inlineStr">
        <is>
          <t>2026-04-19</t>
        </is>
      </c>
      <c r="B226" t="inlineStr">
        <is>
          <t>PTPS</t>
        </is>
      </c>
      <c r="C226" t="n">
        <v>2024</v>
      </c>
      <c r="D226" t="inlineStr">
        <is>
          <t>ops.kernel_production_t</t>
        </is>
      </c>
      <c r="F226" t="n">
        <v>0</v>
      </c>
      <c r="G226" t="inlineStr">
        <is>
          <t>NotebookLM</t>
        </is>
      </c>
    </row>
    <row r="227">
      <c r="A227" t="inlineStr">
        <is>
          <t>2026-04-19</t>
        </is>
      </c>
      <c r="B227" t="inlineStr">
        <is>
          <t>SGRO</t>
        </is>
      </c>
      <c r="C227" t="n">
        <v>2022</v>
      </c>
      <c r="D227" t="inlineStr">
        <is>
          <t>ops.mature_area_ha</t>
        </is>
      </c>
      <c r="F227" t="n">
        <v>122047.2</v>
      </c>
      <c r="G227" t="inlineStr">
        <is>
          <t>NotebookLM</t>
        </is>
      </c>
    </row>
    <row r="228">
      <c r="A228" t="inlineStr">
        <is>
          <t>2026-04-19</t>
        </is>
      </c>
      <c r="B228" t="inlineStr">
        <is>
          <t>SGRO</t>
        </is>
      </c>
      <c r="C228" t="n">
        <v>2022</v>
      </c>
      <c r="D228" t="inlineStr">
        <is>
          <t>ops.immature_area_ha</t>
        </is>
      </c>
      <c r="F228" t="n">
        <v>10612.8</v>
      </c>
      <c r="G228" t="inlineStr">
        <is>
          <t>NotebookLM</t>
        </is>
      </c>
    </row>
    <row r="229">
      <c r="A229" t="inlineStr">
        <is>
          <t>2026-04-19</t>
        </is>
      </c>
      <c r="B229" t="inlineStr">
        <is>
          <t>SGRO</t>
        </is>
      </c>
      <c r="C229" t="n">
        <v>2022</v>
      </c>
      <c r="D229" t="inlineStr">
        <is>
          <t>ops.cpo_refinery_count</t>
        </is>
      </c>
      <c r="F229" t="n">
        <v>0</v>
      </c>
      <c r="G229" t="inlineStr">
        <is>
          <t>NotebookLM</t>
        </is>
      </c>
    </row>
    <row r="230">
      <c r="A230" t="inlineStr">
        <is>
          <t>2026-04-19</t>
        </is>
      </c>
      <c r="B230" t="inlineStr">
        <is>
          <t>SGRO</t>
        </is>
      </c>
      <c r="C230" t="n">
        <v>2022</v>
      </c>
      <c r="D230" t="inlineStr">
        <is>
          <t>ops.third_party_ffb_t</t>
        </is>
      </c>
      <c r="F230" t="n">
        <v>133952</v>
      </c>
      <c r="G230" t="inlineStr">
        <is>
          <t>NotebookLM</t>
        </is>
      </c>
    </row>
    <row r="231">
      <c r="A231" t="inlineStr">
        <is>
          <t>2026-04-19</t>
        </is>
      </c>
      <c r="B231" t="inlineStr">
        <is>
          <t>SGRO</t>
        </is>
      </c>
      <c r="C231" t="n">
        <v>2022</v>
      </c>
      <c r="D231" t="inlineStr">
        <is>
          <t>ops.domestic_sales_pct</t>
        </is>
      </c>
      <c r="F231" t="n">
        <v>1</v>
      </c>
      <c r="G231" t="inlineStr">
        <is>
          <t>NotebookLM</t>
        </is>
      </c>
    </row>
    <row r="232">
      <c r="A232" t="inlineStr">
        <is>
          <t>2026-04-19</t>
        </is>
      </c>
      <c r="B232" t="inlineStr">
        <is>
          <t>SGRO</t>
        </is>
      </c>
      <c r="C232" t="n">
        <v>2022</v>
      </c>
      <c r="D232" t="inlineStr">
        <is>
          <t>ops.export_sales_pct</t>
        </is>
      </c>
      <c r="F232" t="n">
        <v>0</v>
      </c>
      <c r="G232" t="inlineStr">
        <is>
          <t>NotebookLM</t>
        </is>
      </c>
    </row>
    <row r="233">
      <c r="A233" t="inlineStr">
        <is>
          <t>2026-04-19</t>
        </is>
      </c>
      <c r="B233" t="inlineStr">
        <is>
          <t>SGRO</t>
        </is>
      </c>
      <c r="C233" t="n">
        <v>2023</v>
      </c>
      <c r="D233" t="inlineStr">
        <is>
          <t>ops.mature_area_ha</t>
        </is>
      </c>
      <c r="F233" t="n">
        <v>117624.18</v>
      </c>
      <c r="G233" t="inlineStr">
        <is>
          <t>NotebookLM</t>
        </is>
      </c>
    </row>
    <row r="234">
      <c r="A234" t="inlineStr">
        <is>
          <t>2026-04-19</t>
        </is>
      </c>
      <c r="B234" t="inlineStr">
        <is>
          <t>SGRO</t>
        </is>
      </c>
      <c r="C234" t="n">
        <v>2023</v>
      </c>
      <c r="D234" t="inlineStr">
        <is>
          <t>ops.immature_area_ha</t>
        </is>
      </c>
      <c r="F234" t="n">
        <v>14537.82</v>
      </c>
      <c r="G234" t="inlineStr">
        <is>
          <t>NotebookLM</t>
        </is>
      </c>
    </row>
    <row r="235">
      <c r="A235" t="inlineStr">
        <is>
          <t>2026-04-19</t>
        </is>
      </c>
      <c r="B235" t="inlineStr">
        <is>
          <t>SGRO</t>
        </is>
      </c>
      <c r="C235" t="n">
        <v>2023</v>
      </c>
      <c r="D235" t="inlineStr">
        <is>
          <t>ops.kernel_crushing_count</t>
        </is>
      </c>
      <c r="F235" t="n">
        <v>0</v>
      </c>
      <c r="G235" t="inlineStr">
        <is>
          <t>NotebookLM</t>
        </is>
      </c>
    </row>
    <row r="236">
      <c r="A236" t="inlineStr">
        <is>
          <t>2026-04-19</t>
        </is>
      </c>
      <c r="B236" t="inlineStr">
        <is>
          <t>SGRO</t>
        </is>
      </c>
      <c r="C236" t="n">
        <v>2023</v>
      </c>
      <c r="D236" t="inlineStr">
        <is>
          <t>ops.cpo_refinery_count</t>
        </is>
      </c>
      <c r="F236" t="n">
        <v>0</v>
      </c>
      <c r="G236" t="inlineStr">
        <is>
          <t>NotebookLM</t>
        </is>
      </c>
    </row>
    <row r="237">
      <c r="A237" t="inlineStr">
        <is>
          <t>2026-04-19</t>
        </is>
      </c>
      <c r="B237" t="inlineStr">
        <is>
          <t>SGRO</t>
        </is>
      </c>
      <c r="C237" t="n">
        <v>2023</v>
      </c>
      <c r="D237" t="inlineStr">
        <is>
          <t>ops.third_party_ffb_t</t>
        </is>
      </c>
      <c r="F237" t="n">
        <v>171015.66</v>
      </c>
      <c r="G237" t="inlineStr">
        <is>
          <t>NotebookLM</t>
        </is>
      </c>
    </row>
    <row r="238">
      <c r="A238" t="inlineStr">
        <is>
          <t>2026-04-19</t>
        </is>
      </c>
      <c r="B238" t="inlineStr">
        <is>
          <t>SGRO</t>
        </is>
      </c>
      <c r="C238" t="n">
        <v>2023</v>
      </c>
      <c r="D238" t="inlineStr">
        <is>
          <t>ops.domestic_sales_pct</t>
        </is>
      </c>
      <c r="F238" t="n">
        <v>1</v>
      </c>
      <c r="G238" t="inlineStr">
        <is>
          <t>NotebookLM</t>
        </is>
      </c>
    </row>
    <row r="239">
      <c r="A239" t="inlineStr">
        <is>
          <t>2026-04-19</t>
        </is>
      </c>
      <c r="B239" t="inlineStr">
        <is>
          <t>SGRO</t>
        </is>
      </c>
      <c r="C239" t="n">
        <v>2023</v>
      </c>
      <c r="D239" t="inlineStr">
        <is>
          <t>ops.export_sales_pct</t>
        </is>
      </c>
      <c r="F239" t="n">
        <v>0</v>
      </c>
      <c r="G239" t="inlineStr">
        <is>
          <t>NotebookLM</t>
        </is>
      </c>
    </row>
    <row r="240">
      <c r="A240" t="inlineStr">
        <is>
          <t>2026-04-19</t>
        </is>
      </c>
      <c r="B240" t="inlineStr">
        <is>
          <t>SGRO</t>
        </is>
      </c>
      <c r="C240" t="n">
        <v>2024</v>
      </c>
      <c r="D240" t="inlineStr">
        <is>
          <t>ops.kernel_crushing_count</t>
        </is>
      </c>
      <c r="F240" t="n">
        <v>0</v>
      </c>
      <c r="G240" t="inlineStr">
        <is>
          <t>NotebookLM</t>
        </is>
      </c>
    </row>
    <row r="241">
      <c r="A241" t="inlineStr">
        <is>
          <t>2026-04-19</t>
        </is>
      </c>
      <c r="B241" t="inlineStr">
        <is>
          <t>SGRO</t>
        </is>
      </c>
      <c r="C241" t="n">
        <v>2024</v>
      </c>
      <c r="D241" t="inlineStr">
        <is>
          <t>ops.cpo_refinery_count</t>
        </is>
      </c>
      <c r="F241" t="n">
        <v>0</v>
      </c>
      <c r="G241" t="inlineStr">
        <is>
          <t>NotebookLM</t>
        </is>
      </c>
    </row>
    <row r="242">
      <c r="A242" t="inlineStr">
        <is>
          <t>2026-04-19</t>
        </is>
      </c>
      <c r="B242" t="inlineStr">
        <is>
          <t>SIMP</t>
        </is>
      </c>
      <c r="C242" t="n">
        <v>2022</v>
      </c>
      <c r="D242" t="inlineStr">
        <is>
          <t>ops.avg_tree_age_years</t>
        </is>
      </c>
      <c r="F242" t="n">
        <v>18</v>
      </c>
      <c r="G242" t="inlineStr">
        <is>
          <t>NotebookLM</t>
        </is>
      </c>
    </row>
    <row r="243">
      <c r="A243" t="inlineStr">
        <is>
          <t>2026-04-19</t>
        </is>
      </c>
      <c r="B243" t="inlineStr">
        <is>
          <t>SIMP</t>
        </is>
      </c>
      <c r="C243" t="n">
        <v>2022</v>
      </c>
      <c r="D243" t="inlineStr">
        <is>
          <t>ops.third_party_ffb_t</t>
        </is>
      </c>
      <c r="F243" t="n">
        <v>929000</v>
      </c>
      <c r="G243" t="inlineStr">
        <is>
          <t>NotebookLM</t>
        </is>
      </c>
    </row>
    <row r="244">
      <c r="A244" t="inlineStr">
        <is>
          <t>2026-04-19</t>
        </is>
      </c>
      <c r="B244" t="inlineStr">
        <is>
          <t>SIMP</t>
        </is>
      </c>
      <c r="C244" t="n">
        <v>2022</v>
      </c>
      <c r="D244" t="inlineStr">
        <is>
          <t>ops.avg_cpo_selling_price_rp_per_kg</t>
        </is>
      </c>
      <c r="F244" t="n">
        <v>12341</v>
      </c>
      <c r="G244" t="inlineStr">
        <is>
          <t>NotebookLM</t>
        </is>
      </c>
    </row>
    <row r="245">
      <c r="A245" t="inlineStr">
        <is>
          <t>2026-04-19</t>
        </is>
      </c>
      <c r="B245" t="inlineStr">
        <is>
          <t>SIMP</t>
        </is>
      </c>
      <c r="C245" t="n">
        <v>2022</v>
      </c>
      <c r="D245" t="inlineStr">
        <is>
          <t>ops.oer_reported_pct</t>
        </is>
      </c>
      <c r="F245" t="n">
        <v>0.21</v>
      </c>
      <c r="G245" t="inlineStr">
        <is>
          <t>NotebookLM</t>
        </is>
      </c>
    </row>
    <row r="246">
      <c r="A246" t="inlineStr">
        <is>
          <t>2026-04-19</t>
        </is>
      </c>
      <c r="B246" t="inlineStr">
        <is>
          <t>SIMP</t>
        </is>
      </c>
      <c r="C246" t="n">
        <v>2023</v>
      </c>
      <c r="D246" t="inlineStr">
        <is>
          <t>ops.avg_tree_age_years</t>
        </is>
      </c>
      <c r="F246" t="n">
        <v>19</v>
      </c>
      <c r="G246" t="inlineStr">
        <is>
          <t>NotebookLM</t>
        </is>
      </c>
    </row>
    <row r="247">
      <c r="A247" t="inlineStr">
        <is>
          <t>2026-04-19</t>
        </is>
      </c>
      <c r="B247" t="inlineStr">
        <is>
          <t>SIMP</t>
        </is>
      </c>
      <c r="C247" t="n">
        <v>2023</v>
      </c>
      <c r="D247" t="inlineStr">
        <is>
          <t>ops.third_party_ffb_t</t>
        </is>
      </c>
      <c r="F247" t="n">
        <v>848000</v>
      </c>
      <c r="G247" t="inlineStr">
        <is>
          <t>NotebookLM</t>
        </is>
      </c>
    </row>
    <row r="248">
      <c r="A248" t="inlineStr">
        <is>
          <t>2026-04-19</t>
        </is>
      </c>
      <c r="B248" t="inlineStr">
        <is>
          <t>SIMP</t>
        </is>
      </c>
      <c r="C248" t="n">
        <v>2023</v>
      </c>
      <c r="D248" t="inlineStr">
        <is>
          <t>ops.avg_cpo_selling_price_rp_per_kg</t>
        </is>
      </c>
      <c r="F248" t="n">
        <v>11273</v>
      </c>
      <c r="G248" t="inlineStr">
        <is>
          <t>NotebookLM</t>
        </is>
      </c>
    </row>
    <row r="249">
      <c r="A249" t="inlineStr">
        <is>
          <t>2026-04-19</t>
        </is>
      </c>
      <c r="B249" t="inlineStr">
        <is>
          <t>SIMP</t>
        </is>
      </c>
      <c r="C249" t="n">
        <v>2023</v>
      </c>
      <c r="D249" t="inlineStr">
        <is>
          <t>ops.domestic_sales_pct</t>
        </is>
      </c>
      <c r="F249" t="n">
        <v>0.86</v>
      </c>
      <c r="G249" t="inlineStr">
        <is>
          <t>NotebookLM</t>
        </is>
      </c>
    </row>
    <row r="250">
      <c r="A250" t="inlineStr">
        <is>
          <t>2026-04-19</t>
        </is>
      </c>
      <c r="B250" t="inlineStr">
        <is>
          <t>SIMP</t>
        </is>
      </c>
      <c r="C250" t="n">
        <v>2023</v>
      </c>
      <c r="D250" t="inlineStr">
        <is>
          <t>ops.export_sales_pct</t>
        </is>
      </c>
      <c r="F250" t="n">
        <v>0.14</v>
      </c>
      <c r="G250" t="inlineStr">
        <is>
          <t>NotebookLM</t>
        </is>
      </c>
    </row>
    <row r="251">
      <c r="A251" t="inlineStr">
        <is>
          <t>2026-04-19</t>
        </is>
      </c>
      <c r="B251" t="inlineStr">
        <is>
          <t>SIMP</t>
        </is>
      </c>
      <c r="C251" t="n">
        <v>2023</v>
      </c>
      <c r="D251" t="inlineStr">
        <is>
          <t>ops.oer_reported_pct</t>
        </is>
      </c>
      <c r="F251" t="n">
        <v>0.1949</v>
      </c>
      <c r="G251" t="inlineStr">
        <is>
          <t>NotebookLM</t>
        </is>
      </c>
    </row>
    <row r="252">
      <c r="A252" t="inlineStr">
        <is>
          <t>2026-04-19</t>
        </is>
      </c>
      <c r="B252" t="inlineStr">
        <is>
          <t>SIMP</t>
        </is>
      </c>
      <c r="C252" t="n">
        <v>2024</v>
      </c>
      <c r="D252" t="inlineStr">
        <is>
          <t>ops.third_party_ffb_t</t>
        </is>
      </c>
      <c r="F252" t="n">
        <v>887000</v>
      </c>
      <c r="G252" t="inlineStr">
        <is>
          <t>NotebookLM</t>
        </is>
      </c>
    </row>
    <row r="253">
      <c r="A253" t="inlineStr">
        <is>
          <t>2026-04-19</t>
        </is>
      </c>
      <c r="B253" t="inlineStr">
        <is>
          <t>SIMP</t>
        </is>
      </c>
      <c r="C253" t="n">
        <v>2024</v>
      </c>
      <c r="D253" t="inlineStr">
        <is>
          <t>ops.domestic_sales_pct</t>
        </is>
      </c>
      <c r="F253" t="n">
        <v>0.861</v>
      </c>
      <c r="G253" t="inlineStr">
        <is>
          <t>NotebookLM</t>
        </is>
      </c>
    </row>
    <row r="254">
      <c r="A254" t="inlineStr">
        <is>
          <t>2026-04-19</t>
        </is>
      </c>
      <c r="B254" t="inlineStr">
        <is>
          <t>SIMP</t>
        </is>
      </c>
      <c r="C254" t="n">
        <v>2024</v>
      </c>
      <c r="D254" t="inlineStr">
        <is>
          <t>ops.export_sales_pct</t>
        </is>
      </c>
      <c r="F254" t="n">
        <v>0.139</v>
      </c>
      <c r="G254" t="inlineStr">
        <is>
          <t>NotebookLM</t>
        </is>
      </c>
    </row>
    <row r="255">
      <c r="A255" t="inlineStr">
        <is>
          <t>2026-04-19</t>
        </is>
      </c>
      <c r="B255" t="inlineStr">
        <is>
          <t>SMAR</t>
        </is>
      </c>
      <c r="C255" t="n">
        <v>2022</v>
      </c>
      <c r="D255" t="inlineStr">
        <is>
          <t>ops.cpo_refinery_count</t>
        </is>
      </c>
      <c r="F255" t="n">
        <v>4</v>
      </c>
      <c r="G255" t="inlineStr">
        <is>
          <t>NotebookLM</t>
        </is>
      </c>
    </row>
    <row r="256">
      <c r="A256" t="inlineStr">
        <is>
          <t>2026-04-19</t>
        </is>
      </c>
      <c r="B256" t="inlineStr">
        <is>
          <t>SMAR</t>
        </is>
      </c>
      <c r="C256" t="n">
        <v>2023</v>
      </c>
      <c r="D256" t="inlineStr">
        <is>
          <t>ops.mature_area_ha</t>
        </is>
      </c>
      <c r="F256" t="n">
        <v>126343</v>
      </c>
      <c r="G256" t="inlineStr">
        <is>
          <t>NotebookLM</t>
        </is>
      </c>
    </row>
    <row r="257">
      <c r="A257" t="inlineStr">
        <is>
          <t>2026-04-19</t>
        </is>
      </c>
      <c r="B257" t="inlineStr">
        <is>
          <t>SMAR</t>
        </is>
      </c>
      <c r="C257" t="n">
        <v>2023</v>
      </c>
      <c r="D257" t="inlineStr">
        <is>
          <t>ops.immature_area_ha</t>
        </is>
      </c>
      <c r="F257" t="n">
        <v>7834</v>
      </c>
      <c r="G257" t="inlineStr">
        <is>
          <t>NotebookLM</t>
        </is>
      </c>
    </row>
    <row r="258">
      <c r="A258" t="inlineStr">
        <is>
          <t>2026-04-19</t>
        </is>
      </c>
      <c r="B258" t="inlineStr">
        <is>
          <t>SMAR</t>
        </is>
      </c>
      <c r="C258" t="n">
        <v>2023</v>
      </c>
      <c r="D258" t="inlineStr">
        <is>
          <t>ops.cpo_refinery_count</t>
        </is>
      </c>
      <c r="F258" t="n">
        <v>4</v>
      </c>
      <c r="G258" t="inlineStr">
        <is>
          <t>NotebookLM</t>
        </is>
      </c>
    </row>
    <row r="259">
      <c r="A259" t="inlineStr">
        <is>
          <t>2026-04-19</t>
        </is>
      </c>
      <c r="B259" t="inlineStr">
        <is>
          <t>SMAR</t>
        </is>
      </c>
      <c r="C259" t="n">
        <v>2023</v>
      </c>
      <c r="D259" t="inlineStr">
        <is>
          <t>ops.third_party_ffb_t</t>
        </is>
      </c>
      <c r="F259" t="n">
        <v>314528</v>
      </c>
      <c r="G259" t="inlineStr">
        <is>
          <t>NotebookLM</t>
        </is>
      </c>
    </row>
    <row r="260">
      <c r="A260" t="inlineStr">
        <is>
          <t>2026-04-19</t>
        </is>
      </c>
      <c r="B260" t="inlineStr">
        <is>
          <t>SMAR</t>
        </is>
      </c>
      <c r="C260" t="n">
        <v>2023</v>
      </c>
      <c r="D260" t="inlineStr">
        <is>
          <t>ops.domestic_sales_pct</t>
        </is>
      </c>
      <c r="F260" t="n">
        <v>0.5653</v>
      </c>
      <c r="G260" t="inlineStr">
        <is>
          <t>NotebookLM</t>
        </is>
      </c>
    </row>
    <row r="261">
      <c r="A261" t="inlineStr">
        <is>
          <t>2026-04-19</t>
        </is>
      </c>
      <c r="B261" t="inlineStr">
        <is>
          <t>SMAR</t>
        </is>
      </c>
      <c r="C261" t="n">
        <v>2023</v>
      </c>
      <c r="D261" t="inlineStr">
        <is>
          <t>ops.export_sales_pct</t>
        </is>
      </c>
      <c r="F261" t="n">
        <v>0.4347</v>
      </c>
      <c r="G261" t="inlineStr">
        <is>
          <t>NotebookLM</t>
        </is>
      </c>
    </row>
    <row r="262">
      <c r="A262" t="inlineStr">
        <is>
          <t>2026-04-19</t>
        </is>
      </c>
      <c r="B262" t="inlineStr">
        <is>
          <t>SMAR</t>
        </is>
      </c>
      <c r="C262" t="n">
        <v>2024</v>
      </c>
      <c r="D262" t="inlineStr">
        <is>
          <t>ops.kernel_crushing_count</t>
        </is>
      </c>
      <c r="F262" t="n">
        <v>4</v>
      </c>
      <c r="G262" t="inlineStr">
        <is>
          <t>NotebookLM</t>
        </is>
      </c>
    </row>
    <row r="263">
      <c r="A263" t="inlineStr">
        <is>
          <t>2026-04-19</t>
        </is>
      </c>
      <c r="B263" t="inlineStr">
        <is>
          <t>SMAR</t>
        </is>
      </c>
      <c r="C263" t="n">
        <v>2024</v>
      </c>
      <c r="D263" t="inlineStr">
        <is>
          <t>ops.cpo_refinery_count</t>
        </is>
      </c>
      <c r="F263" t="n">
        <v>4</v>
      </c>
      <c r="G263" t="inlineStr">
        <is>
          <t>NotebookLM</t>
        </is>
      </c>
    </row>
    <row r="264">
      <c r="A264" t="inlineStr">
        <is>
          <t>2026-04-19</t>
        </is>
      </c>
      <c r="B264" t="inlineStr">
        <is>
          <t>SMAR</t>
        </is>
      </c>
      <c r="C264" t="n">
        <v>2024</v>
      </c>
      <c r="D264" t="inlineStr">
        <is>
          <t>ops.domestic_sales_pct</t>
        </is>
      </c>
      <c r="F264" t="n">
        <v>0.58</v>
      </c>
      <c r="G264" t="inlineStr">
        <is>
          <t>NotebookLM</t>
        </is>
      </c>
    </row>
    <row r="265">
      <c r="A265" t="inlineStr">
        <is>
          <t>2026-04-19</t>
        </is>
      </c>
      <c r="B265" t="inlineStr">
        <is>
          <t>SMAR</t>
        </is>
      </c>
      <c r="C265" t="n">
        <v>2024</v>
      </c>
      <c r="D265" t="inlineStr">
        <is>
          <t>ops.export_sales_pct</t>
        </is>
      </c>
      <c r="F265" t="n">
        <v>0.42</v>
      </c>
      <c r="G265" t="inlineStr">
        <is>
          <t>NotebookLM</t>
        </is>
      </c>
    </row>
    <row r="266">
      <c r="A266" t="inlineStr">
        <is>
          <t>2026-04-19</t>
        </is>
      </c>
      <c r="B266" t="inlineStr">
        <is>
          <t>SSMS</t>
        </is>
      </c>
      <c r="C266" t="n">
        <v>2025</v>
      </c>
      <c r="D266" t="inlineStr">
        <is>
          <t>ops.domestic_sales_pct</t>
        </is>
      </c>
      <c r="F266" t="n">
        <v>0.2583</v>
      </c>
      <c r="G266" t="inlineStr">
        <is>
          <t>NotebookLM</t>
        </is>
      </c>
    </row>
    <row r="267">
      <c r="A267" t="inlineStr">
        <is>
          <t>2026-04-19</t>
        </is>
      </c>
      <c r="B267" t="inlineStr">
        <is>
          <t>SSMS</t>
        </is>
      </c>
      <c r="C267" t="n">
        <v>2025</v>
      </c>
      <c r="D267" t="inlineStr">
        <is>
          <t>ops.export_sales_pct</t>
        </is>
      </c>
      <c r="F267" t="n">
        <v>0.7417</v>
      </c>
      <c r="G267" t="inlineStr">
        <is>
          <t>NotebookLM</t>
        </is>
      </c>
    </row>
    <row r="268">
      <c r="A268" t="inlineStr">
        <is>
          <t>2026-04-19</t>
        </is>
      </c>
      <c r="B268" t="inlineStr">
        <is>
          <t>TLDN</t>
        </is>
      </c>
      <c r="C268" t="n">
        <v>2023</v>
      </c>
      <c r="D268" t="inlineStr">
        <is>
          <t>ops.mature_area_ha</t>
        </is>
      </c>
      <c r="F268" t="n">
        <v>59937</v>
      </c>
      <c r="G268" t="inlineStr">
        <is>
          <t>NotebookLM</t>
        </is>
      </c>
    </row>
    <row r="269">
      <c r="A269" t="inlineStr">
        <is>
          <t>2026-04-19</t>
        </is>
      </c>
      <c r="B269" t="inlineStr">
        <is>
          <t>TLDN</t>
        </is>
      </c>
      <c r="C269" t="n">
        <v>2023</v>
      </c>
      <c r="D269" t="inlineStr">
        <is>
          <t>ops.immature_area_ha</t>
        </is>
      </c>
      <c r="F269" t="n">
        <v>560</v>
      </c>
      <c r="G269" t="inlineStr">
        <is>
          <t>NotebookLM</t>
        </is>
      </c>
    </row>
    <row r="270">
      <c r="A270" t="inlineStr">
        <is>
          <t>2026-04-19</t>
        </is>
      </c>
      <c r="B270" t="inlineStr">
        <is>
          <t>TLDN</t>
        </is>
      </c>
      <c r="C270" t="n">
        <v>2023</v>
      </c>
      <c r="D270" t="inlineStr">
        <is>
          <t>ops.kernel_crushing_count</t>
        </is>
      </c>
      <c r="F270" t="n">
        <v>0</v>
      </c>
      <c r="G270" t="inlineStr">
        <is>
          <t>NotebookLM</t>
        </is>
      </c>
    </row>
    <row r="271">
      <c r="A271" t="inlineStr">
        <is>
          <t>2026-04-19</t>
        </is>
      </c>
      <c r="B271" t="inlineStr">
        <is>
          <t>TLDN</t>
        </is>
      </c>
      <c r="C271" t="n">
        <v>2023</v>
      </c>
      <c r="D271" t="inlineStr">
        <is>
          <t>ops.cpo_refinery_count</t>
        </is>
      </c>
      <c r="F271" t="n">
        <v>0</v>
      </c>
      <c r="G271" t="inlineStr">
        <is>
          <t>NotebookLM</t>
        </is>
      </c>
    </row>
    <row r="272">
      <c r="A272" t="inlineStr">
        <is>
          <t>2026-04-19</t>
        </is>
      </c>
      <c r="B272" t="inlineStr">
        <is>
          <t>TLDN</t>
        </is>
      </c>
      <c r="C272" t="n">
        <v>2023</v>
      </c>
      <c r="D272" t="inlineStr">
        <is>
          <t>ops.third_party_ffb_t</t>
        </is>
      </c>
      <c r="F272" t="n">
        <v>196484</v>
      </c>
      <c r="G272" t="inlineStr">
        <is>
          <t>NotebookLM</t>
        </is>
      </c>
    </row>
    <row r="273">
      <c r="A273" t="inlineStr">
        <is>
          <t>2026-04-19</t>
        </is>
      </c>
      <c r="B273" t="inlineStr">
        <is>
          <t>TLDN</t>
        </is>
      </c>
      <c r="C273" t="n">
        <v>2023</v>
      </c>
      <c r="D273" t="inlineStr">
        <is>
          <t>ops.domestic_sales_pct</t>
        </is>
      </c>
      <c r="F273" t="n">
        <v>1</v>
      </c>
      <c r="G273" t="inlineStr">
        <is>
          <t>NotebookLM</t>
        </is>
      </c>
    </row>
    <row r="274">
      <c r="A274" t="inlineStr">
        <is>
          <t>2026-04-19</t>
        </is>
      </c>
      <c r="B274" t="inlineStr">
        <is>
          <t>TLDN</t>
        </is>
      </c>
      <c r="C274" t="n">
        <v>2023</v>
      </c>
      <c r="D274" t="inlineStr">
        <is>
          <t>ops.export_sales_pct</t>
        </is>
      </c>
      <c r="F274" t="n">
        <v>0</v>
      </c>
      <c r="G274" t="inlineStr">
        <is>
          <t>NotebookLM</t>
        </is>
      </c>
    </row>
    <row r="275">
      <c r="A275" t="inlineStr">
        <is>
          <t>2026-04-19</t>
        </is>
      </c>
      <c r="B275" t="inlineStr">
        <is>
          <t>TLDN</t>
        </is>
      </c>
      <c r="C275" t="n">
        <v>2024</v>
      </c>
      <c r="D275" t="inlineStr">
        <is>
          <t>ops.mature_area_ha</t>
        </is>
      </c>
      <c r="F275" t="n">
        <v>59165</v>
      </c>
      <c r="G275" t="inlineStr">
        <is>
          <t>NotebookLM</t>
        </is>
      </c>
    </row>
    <row r="276">
      <c r="A276" t="inlineStr">
        <is>
          <t>2026-04-19</t>
        </is>
      </c>
      <c r="B276" t="inlineStr">
        <is>
          <t>TLDN</t>
        </is>
      </c>
      <c r="C276" t="n">
        <v>2024</v>
      </c>
      <c r="D276" t="inlineStr">
        <is>
          <t>ops.immature_area_ha</t>
        </is>
      </c>
      <c r="F276" t="n">
        <v>260</v>
      </c>
      <c r="G276" t="inlineStr">
        <is>
          <t>NotebookLM</t>
        </is>
      </c>
    </row>
    <row r="277">
      <c r="A277" t="inlineStr">
        <is>
          <t>2026-04-19</t>
        </is>
      </c>
      <c r="B277" t="inlineStr">
        <is>
          <t>TLDN</t>
        </is>
      </c>
      <c r="C277" t="n">
        <v>2024</v>
      </c>
      <c r="D277" t="inlineStr">
        <is>
          <t>ops.cpo_refinery_count</t>
        </is>
      </c>
      <c r="F277" t="n">
        <v>0</v>
      </c>
      <c r="G277" t="inlineStr">
        <is>
          <t>NotebookLM</t>
        </is>
      </c>
    </row>
    <row r="278">
      <c r="A278" t="inlineStr">
        <is>
          <t>2026-04-19</t>
        </is>
      </c>
      <c r="B278" t="inlineStr">
        <is>
          <t>TLDN</t>
        </is>
      </c>
      <c r="C278" t="n">
        <v>2024</v>
      </c>
      <c r="D278" t="inlineStr">
        <is>
          <t>ops.third_party_ffb_t</t>
        </is>
      </c>
      <c r="F278" t="n">
        <v>162383</v>
      </c>
      <c r="G278" t="inlineStr">
        <is>
          <t>NotebookLM</t>
        </is>
      </c>
    </row>
    <row r="279">
      <c r="A279" t="inlineStr">
        <is>
          <t>2026-04-19</t>
        </is>
      </c>
      <c r="B279" t="inlineStr">
        <is>
          <t>TLDN</t>
        </is>
      </c>
      <c r="C279" t="n">
        <v>2024</v>
      </c>
      <c r="D279" t="inlineStr">
        <is>
          <t>ops.domestic_sales_pct</t>
        </is>
      </c>
      <c r="F279" t="n">
        <v>1</v>
      </c>
      <c r="G279" t="inlineStr">
        <is>
          <t>NotebookLM</t>
        </is>
      </c>
    </row>
    <row r="280">
      <c r="A280" t="inlineStr">
        <is>
          <t>2026-04-19</t>
        </is>
      </c>
      <c r="B280" t="inlineStr">
        <is>
          <t>TLDN</t>
        </is>
      </c>
      <c r="C280" t="n">
        <v>2024</v>
      </c>
      <c r="D280" t="inlineStr">
        <is>
          <t>ops.export_sales_pct</t>
        </is>
      </c>
      <c r="F280" t="n">
        <v>0</v>
      </c>
      <c r="G280" t="inlineStr">
        <is>
          <t>NotebookLM</t>
        </is>
      </c>
    </row>
    <row r="281">
      <c r="A281" t="inlineStr">
        <is>
          <t>2026-04-19</t>
        </is>
      </c>
      <c r="B281" t="inlineStr">
        <is>
          <t>TLDN</t>
        </is>
      </c>
      <c r="C281" t="n">
        <v>2025</v>
      </c>
      <c r="D281" t="inlineStr">
        <is>
          <t>ops.mature_area_ha</t>
        </is>
      </c>
      <c r="F281" t="n">
        <v>63975</v>
      </c>
      <c r="G281" t="inlineStr">
        <is>
          <t>NotebookLM</t>
        </is>
      </c>
    </row>
    <row r="282">
      <c r="A282" t="inlineStr">
        <is>
          <t>2026-04-19</t>
        </is>
      </c>
      <c r="B282" t="inlineStr">
        <is>
          <t>TLDN</t>
        </is>
      </c>
      <c r="C282" t="n">
        <v>2025</v>
      </c>
      <c r="D282" t="inlineStr">
        <is>
          <t>ops.immature_area_ha</t>
        </is>
      </c>
      <c r="F282" t="n">
        <v>455</v>
      </c>
      <c r="G282" t="inlineStr">
        <is>
          <t>NotebookLM</t>
        </is>
      </c>
    </row>
    <row r="283">
      <c r="A283" t="inlineStr">
        <is>
          <t>2026-04-19</t>
        </is>
      </c>
      <c r="B283" t="inlineStr">
        <is>
          <t>TLDN</t>
        </is>
      </c>
      <c r="C283" t="n">
        <v>2025</v>
      </c>
      <c r="D283" t="inlineStr">
        <is>
          <t>ops.cpo_refinery_count</t>
        </is>
      </c>
      <c r="F283" t="n">
        <v>0</v>
      </c>
      <c r="G283" t="inlineStr">
        <is>
          <t>NotebookLM</t>
        </is>
      </c>
    </row>
    <row r="284">
      <c r="A284" t="inlineStr">
        <is>
          <t>2026-04-19</t>
        </is>
      </c>
      <c r="B284" t="inlineStr">
        <is>
          <t>TLDN</t>
        </is>
      </c>
      <c r="C284" t="n">
        <v>2025</v>
      </c>
      <c r="D284" t="inlineStr">
        <is>
          <t>ops.third_party_ffb_t</t>
        </is>
      </c>
      <c r="F284" t="n">
        <v>192405</v>
      </c>
      <c r="G284" t="inlineStr">
        <is>
          <t>NotebookLM</t>
        </is>
      </c>
    </row>
    <row r="285">
      <c r="A285" t="inlineStr">
        <is>
          <t>2026-04-19</t>
        </is>
      </c>
      <c r="B285" t="inlineStr">
        <is>
          <t>TLDN</t>
        </is>
      </c>
      <c r="C285" t="n">
        <v>2025</v>
      </c>
      <c r="D285" t="inlineStr">
        <is>
          <t>ops.domestic_sales_pct</t>
        </is>
      </c>
      <c r="F285" t="n">
        <v>1</v>
      </c>
      <c r="G285" t="inlineStr">
        <is>
          <t>NotebookLM</t>
        </is>
      </c>
    </row>
    <row r="286">
      <c r="A286" t="inlineStr">
        <is>
          <t>2026-04-19</t>
        </is>
      </c>
      <c r="B286" t="inlineStr">
        <is>
          <t>TLDN</t>
        </is>
      </c>
      <c r="C286" t="n">
        <v>2025</v>
      </c>
      <c r="D286" t="inlineStr">
        <is>
          <t>ops.export_sales_pct</t>
        </is>
      </c>
      <c r="F286" t="n">
        <v>0</v>
      </c>
      <c r="G286" t="inlineStr">
        <is>
          <t>NotebookLM</t>
        </is>
      </c>
    </row>
    <row r="287">
      <c r="A287" t="inlineStr">
        <is>
          <t>2026-04-19</t>
        </is>
      </c>
      <c r="B287" t="inlineStr">
        <is>
          <t>UNSP</t>
        </is>
      </c>
      <c r="C287" t="n">
        <v>2022</v>
      </c>
      <c r="D287" t="inlineStr">
        <is>
          <t>ops.domestic_sales_pct</t>
        </is>
      </c>
      <c r="F287" t="n">
        <v>0.6934</v>
      </c>
      <c r="G287" t="inlineStr">
        <is>
          <t>NotebookLM</t>
        </is>
      </c>
    </row>
    <row r="288">
      <c r="A288" t="inlineStr">
        <is>
          <t>2026-04-19</t>
        </is>
      </c>
      <c r="B288" t="inlineStr">
        <is>
          <t>UNSP</t>
        </is>
      </c>
      <c r="C288" t="n">
        <v>2022</v>
      </c>
      <c r="D288" t="inlineStr">
        <is>
          <t>ops.export_sales_pct</t>
        </is>
      </c>
      <c r="F288" t="n">
        <v>0.3066</v>
      </c>
      <c r="G288" t="inlineStr">
        <is>
          <t>NotebookLM</t>
        </is>
      </c>
    </row>
    <row r="289">
      <c r="A289" t="inlineStr">
        <is>
          <t>2026-04-19</t>
        </is>
      </c>
      <c r="B289" t="inlineStr">
        <is>
          <t>UNSP</t>
        </is>
      </c>
      <c r="C289" t="n">
        <v>2023</v>
      </c>
      <c r="D289" t="inlineStr">
        <is>
          <t>ops.domestic_sales_pct</t>
        </is>
      </c>
      <c r="F289" t="n">
        <v>0.9369</v>
      </c>
      <c r="G289" t="inlineStr">
        <is>
          <t>NotebookLM</t>
        </is>
      </c>
    </row>
    <row r="290">
      <c r="A290" t="inlineStr">
        <is>
          <t>2026-04-19</t>
        </is>
      </c>
      <c r="B290" t="inlineStr">
        <is>
          <t>UNSP</t>
        </is>
      </c>
      <c r="C290" t="n">
        <v>2023</v>
      </c>
      <c r="D290" t="inlineStr">
        <is>
          <t>ops.export_sales_pct</t>
        </is>
      </c>
      <c r="F290" t="n">
        <v>0.0631</v>
      </c>
      <c r="G290" t="inlineStr">
        <is>
          <t>NotebookLM</t>
        </is>
      </c>
    </row>
    <row r="291">
      <c r="A291" t="inlineStr">
        <is>
          <t>2026-04-19</t>
        </is>
      </c>
      <c r="B291" t="inlineStr">
        <is>
          <t>UNSP</t>
        </is>
      </c>
      <c r="C291" t="n">
        <v>2024</v>
      </c>
      <c r="D291" t="inlineStr">
        <is>
          <t>ops.domestic_sales_pct</t>
        </is>
      </c>
      <c r="F291" t="n">
        <v>0.9738</v>
      </c>
      <c r="G291" t="inlineStr">
        <is>
          <t>NotebookLM</t>
        </is>
      </c>
    </row>
    <row r="292">
      <c r="A292" t="inlineStr">
        <is>
          <t>2026-04-19</t>
        </is>
      </c>
      <c r="B292" t="inlineStr">
        <is>
          <t>UNSP</t>
        </is>
      </c>
      <c r="C292" t="n">
        <v>2024</v>
      </c>
      <c r="D292" t="inlineStr">
        <is>
          <t>ops.export_sales_pct</t>
        </is>
      </c>
      <c r="F292" t="n">
        <v>0.0262</v>
      </c>
      <c r="G292" t="inlineStr">
        <is>
          <t>NotebookLM</t>
        </is>
      </c>
    </row>
    <row r="293">
      <c r="A293" t="inlineStr">
        <is>
          <t>2026-04-19</t>
        </is>
      </c>
      <c r="B293" t="inlineStr">
        <is>
          <t>SSMS</t>
        </is>
      </c>
      <c r="C293" t="n">
        <v>2023</v>
      </c>
      <c r="D293" t="inlineStr">
        <is>
          <t>financial.net_profit</t>
        </is>
      </c>
      <c r="E293" t="n">
        <v>344</v>
      </c>
      <c r="F293" t="n">
        <v>518</v>
      </c>
      <c r="G293" t="inlineStr">
        <is>
          <t>MATERIAL_OVERRIDE (Financial, diff +50.6%)</t>
        </is>
      </c>
    </row>
    <row r="294">
      <c r="A294" t="inlineStr">
        <is>
          <t>2026-04-19</t>
        </is>
      </c>
      <c r="B294" t="inlineStr">
        <is>
          <t>SSMS</t>
        </is>
      </c>
      <c r="C294" t="n">
        <v>2025</v>
      </c>
      <c r="D294" t="inlineStr">
        <is>
          <t>financial.net_profit</t>
        </is>
      </c>
      <c r="E294" t="n">
        <v>1393</v>
      </c>
      <c r="F294" t="n">
        <v>1203</v>
      </c>
      <c r="G294" t="inlineStr">
        <is>
          <t>MATERIAL_OVERRIDE (Financial, diff -13.6%)</t>
        </is>
      </c>
    </row>
    <row r="295">
      <c r="A295" t="inlineStr">
        <is>
          <t>2026-04-19</t>
        </is>
      </c>
      <c r="B295" t="inlineStr">
        <is>
          <t>LSIP</t>
        </is>
      </c>
      <c r="C295" t="n">
        <v>2022</v>
      </c>
      <c r="D295" t="inlineStr">
        <is>
          <t>operations.planted_area_total_ha</t>
        </is>
      </c>
      <c r="E295" t="n">
        <v>111240</v>
      </c>
      <c r="F295" t="n">
        <v>146304</v>
      </c>
      <c r="G295" t="inlineStr">
        <is>
          <t>MATERIAL_OVERRIDE (Operations, diff +31.5%)</t>
        </is>
      </c>
    </row>
    <row r="296">
      <c r="A296" t="inlineStr">
        <is>
          <t>2026-04-19</t>
        </is>
      </c>
      <c r="B296" t="inlineStr">
        <is>
          <t>LSIP</t>
        </is>
      </c>
      <c r="C296" t="n">
        <v>2022</v>
      </c>
      <c r="D296" t="inlineStr">
        <is>
          <t>operations.ffb_production_t</t>
        </is>
      </c>
      <c r="E296" t="n">
        <v>1417000</v>
      </c>
      <c r="F296" t="n">
        <v>1174000</v>
      </c>
      <c r="G296" t="inlineStr">
        <is>
          <t>MATERIAL_OVERRIDE (Operations, diff -17.1%)</t>
        </is>
      </c>
    </row>
    <row r="297">
      <c r="A297" t="inlineStr">
        <is>
          <t>2026-04-19</t>
        </is>
      </c>
      <c r="B297" t="inlineStr">
        <is>
          <t>LSIP</t>
        </is>
      </c>
      <c r="C297" t="n">
        <v>2023</v>
      </c>
      <c r="D297" t="inlineStr">
        <is>
          <t>operations.planted_area_total_ha</t>
        </is>
      </c>
      <c r="E297" t="n">
        <v>111940</v>
      </c>
      <c r="F297" t="n">
        <v>147357</v>
      </c>
      <c r="G297" t="inlineStr">
        <is>
          <t>MATERIAL_OVERRIDE (Operations, diff +31.6%)</t>
        </is>
      </c>
    </row>
    <row r="298">
      <c r="A298" t="inlineStr">
        <is>
          <t>2026-04-19</t>
        </is>
      </c>
      <c r="B298" t="inlineStr">
        <is>
          <t>LSIP</t>
        </is>
      </c>
      <c r="C298" t="n">
        <v>2023</v>
      </c>
      <c r="D298" t="inlineStr">
        <is>
          <t>operations.ffb_production_t</t>
        </is>
      </c>
      <c r="E298" t="n">
        <v>1377000</v>
      </c>
      <c r="F298" t="n">
        <v>1177000</v>
      </c>
      <c r="G298" t="inlineStr">
        <is>
          <t>MATERIAL_OVERRIDE (Operations, diff -14.5%)</t>
        </is>
      </c>
    </row>
    <row r="299">
      <c r="A299" t="inlineStr">
        <is>
          <t>2026-04-19</t>
        </is>
      </c>
      <c r="B299" t="inlineStr">
        <is>
          <t>LSIP</t>
        </is>
      </c>
      <c r="C299" t="n">
        <v>2024</v>
      </c>
      <c r="D299" t="inlineStr">
        <is>
          <t>operations.planted_area_total_ha</t>
        </is>
      </c>
      <c r="E299" t="n">
        <v>111367</v>
      </c>
      <c r="F299" t="n">
        <v>147146</v>
      </c>
      <c r="G299" t="inlineStr">
        <is>
          <t>MATERIAL_OVERRIDE (Operations, diff +32.1%)</t>
        </is>
      </c>
    </row>
    <row r="300">
      <c r="A300" t="inlineStr">
        <is>
          <t>2026-04-19</t>
        </is>
      </c>
      <c r="B300" t="inlineStr">
        <is>
          <t>LSIP</t>
        </is>
      </c>
      <c r="C300" t="n">
        <v>2024</v>
      </c>
      <c r="D300" t="inlineStr">
        <is>
          <t>operations.mature_area_ha</t>
        </is>
      </c>
      <c r="E300" t="n">
        <v>103036</v>
      </c>
      <c r="F300" t="n">
        <v>84941</v>
      </c>
      <c r="G300" t="inlineStr">
        <is>
          <t>MATERIAL_OVERRIDE (Operations, diff -17.6%)</t>
        </is>
      </c>
    </row>
    <row r="301">
      <c r="A301" t="inlineStr">
        <is>
          <t>2026-04-19</t>
        </is>
      </c>
      <c r="B301" t="inlineStr">
        <is>
          <t>LSIP</t>
        </is>
      </c>
      <c r="C301" t="n">
        <v>2024</v>
      </c>
      <c r="D301" t="inlineStr">
        <is>
          <t>operations.immature_area_ha</t>
        </is>
      </c>
      <c r="E301" t="n">
        <v>8331</v>
      </c>
      <c r="F301" t="n">
        <v>6211</v>
      </c>
      <c r="G301" t="inlineStr">
        <is>
          <t>MATERIAL_OVERRIDE (Operations, diff -25.4%)</t>
        </is>
      </c>
    </row>
    <row r="302">
      <c r="A302" t="inlineStr">
        <is>
          <t>2026-04-19</t>
        </is>
      </c>
      <c r="B302" t="inlineStr">
        <is>
          <t>LSIP</t>
        </is>
      </c>
      <c r="C302" t="n">
        <v>2024</v>
      </c>
      <c r="D302" t="inlineStr">
        <is>
          <t>operations.ffb_production_t</t>
        </is>
      </c>
      <c r="E302" t="n">
        <v>1345000</v>
      </c>
      <c r="F302" t="n">
        <v>1173000</v>
      </c>
      <c r="G302" t="inlineStr">
        <is>
          <t>MATERIAL_OVERRIDE (Operations, diff -12.8%)</t>
        </is>
      </c>
    </row>
    <row r="303">
      <c r="A303" t="inlineStr">
        <is>
          <t>2026-04-19</t>
        </is>
      </c>
      <c r="B303" t="inlineStr">
        <is>
          <t>SGRO</t>
        </is>
      </c>
      <c r="C303" t="n">
        <v>2022</v>
      </c>
      <c r="D303" t="inlineStr">
        <is>
          <t>operations.planted_area_total_ha</t>
        </is>
      </c>
      <c r="E303" t="n">
        <v>168142</v>
      </c>
      <c r="F303" t="n">
        <v>132660</v>
      </c>
      <c r="G303" t="inlineStr">
        <is>
          <t>MATERIAL_OVERRIDE (Operations, diff -21.1%)</t>
        </is>
      </c>
    </row>
    <row r="304">
      <c r="A304" t="inlineStr">
        <is>
          <t>2026-04-19</t>
        </is>
      </c>
      <c r="B304" t="inlineStr">
        <is>
          <t>SGRO</t>
        </is>
      </c>
      <c r="C304" t="n">
        <v>2022</v>
      </c>
      <c r="D304" t="inlineStr">
        <is>
          <t>operations.nucleus_area_ha</t>
        </is>
      </c>
      <c r="E304" t="n">
        <v>117461</v>
      </c>
      <c r="F304" t="n">
        <v>82973</v>
      </c>
      <c r="G304" t="inlineStr">
        <is>
          <t>MATERIAL_OVERRIDE (Operations, diff -29.4%)</t>
        </is>
      </c>
    </row>
    <row r="305">
      <c r="A305" t="inlineStr">
        <is>
          <t>2026-04-19</t>
        </is>
      </c>
      <c r="B305" t="inlineStr">
        <is>
          <t>SGRO</t>
        </is>
      </c>
      <c r="C305" t="n">
        <v>2022</v>
      </c>
      <c r="D305" t="inlineStr">
        <is>
          <t>operations.avg_tree_age_years</t>
        </is>
      </c>
      <c r="E305" t="n">
        <v>14</v>
      </c>
      <c r="F305" t="n">
        <v>15.12</v>
      </c>
      <c r="G305" t="inlineStr">
        <is>
          <t>MATERIAL_OVERRIDE (Operations, diff +8.0%)</t>
        </is>
      </c>
    </row>
    <row r="306">
      <c r="A306" t="inlineStr">
        <is>
          <t>2026-04-19</t>
        </is>
      </c>
      <c r="B306" t="inlineStr">
        <is>
          <t>SGRO</t>
        </is>
      </c>
      <c r="C306" t="n">
        <v>2022</v>
      </c>
      <c r="D306" t="inlineStr">
        <is>
          <t>operations.ffb_production_t</t>
        </is>
      </c>
      <c r="E306" t="n">
        <v>1862586</v>
      </c>
      <c r="F306" t="n">
        <v>1242866</v>
      </c>
      <c r="G306" t="inlineStr">
        <is>
          <t>MATERIAL_OVERRIDE (Operations, diff -33.3%)</t>
        </is>
      </c>
    </row>
    <row r="307">
      <c r="A307" t="inlineStr">
        <is>
          <t>2026-04-19</t>
        </is>
      </c>
      <c r="B307" t="inlineStr">
        <is>
          <t>SGRO</t>
        </is>
      </c>
      <c r="C307" t="n">
        <v>2023</v>
      </c>
      <c r="D307" t="inlineStr">
        <is>
          <t>operations.planted_area_total_ha</t>
        </is>
      </c>
      <c r="E307" t="n">
        <v>167637</v>
      </c>
      <c r="F307" t="n">
        <v>132162</v>
      </c>
      <c r="G307" t="inlineStr">
        <is>
          <t>MATERIAL_OVERRIDE (Operations, diff -21.2%)</t>
        </is>
      </c>
    </row>
    <row r="308">
      <c r="A308" t="inlineStr">
        <is>
          <t>2026-04-19</t>
        </is>
      </c>
      <c r="B308" t="inlineStr">
        <is>
          <t>SGRO</t>
        </is>
      </c>
      <c r="C308" t="n">
        <v>2023</v>
      </c>
      <c r="D308" t="inlineStr">
        <is>
          <t>operations.nucleus_area_ha</t>
        </is>
      </c>
      <c r="E308" t="n">
        <v>117598</v>
      </c>
      <c r="F308" t="n">
        <v>82123</v>
      </c>
      <c r="G308" t="inlineStr">
        <is>
          <t>MATERIAL_OVERRIDE (Operations, diff -30.2%)</t>
        </is>
      </c>
    </row>
    <row r="309">
      <c r="A309" t="inlineStr">
        <is>
          <t>2026-04-19</t>
        </is>
      </c>
      <c r="B309" t="inlineStr">
        <is>
          <t>SGRO</t>
        </is>
      </c>
      <c r="C309" t="n">
        <v>2023</v>
      </c>
      <c r="D309" t="inlineStr">
        <is>
          <t>operations.ffb_production_t</t>
        </is>
      </c>
      <c r="E309" t="n">
        <v>1900174</v>
      </c>
      <c r="F309" t="n">
        <v>1259629</v>
      </c>
      <c r="G309" t="inlineStr">
        <is>
          <t>MATERIAL_OVERRIDE (Operations, diff -33.7%)</t>
        </is>
      </c>
    </row>
    <row r="310">
      <c r="A310" t="inlineStr">
        <is>
          <t>2026-04-19</t>
        </is>
      </c>
      <c r="B310" t="inlineStr">
        <is>
          <t>SGRO</t>
        </is>
      </c>
      <c r="C310" t="n">
        <v>2024</v>
      </c>
      <c r="D310" t="inlineStr">
        <is>
          <t>operations.planted_area_total_ha</t>
        </is>
      </c>
      <c r="E310" t="n">
        <v>164721</v>
      </c>
      <c r="F310" t="n">
        <v>128290</v>
      </c>
      <c r="G310" t="inlineStr">
        <is>
          <t>MATERIAL_OVERRIDE (Operations, diff -22.1%)</t>
        </is>
      </c>
    </row>
    <row r="311">
      <c r="A311" t="inlineStr">
        <is>
          <t>2026-04-19</t>
        </is>
      </c>
      <c r="B311" t="inlineStr">
        <is>
          <t>SGRO</t>
        </is>
      </c>
      <c r="C311" t="n">
        <v>2024</v>
      </c>
      <c r="D311" t="inlineStr">
        <is>
          <t>operations.nucleus_area_ha</t>
        </is>
      </c>
      <c r="E311" t="n">
        <v>118164</v>
      </c>
      <c r="F311" t="n">
        <v>81733</v>
      </c>
      <c r="G311" t="inlineStr">
        <is>
          <t>MATERIAL_OVERRIDE (Operations, diff -30.8%)</t>
        </is>
      </c>
    </row>
    <row r="312">
      <c r="A312" t="inlineStr">
        <is>
          <t>2026-04-19</t>
        </is>
      </c>
      <c r="B312" t="inlineStr">
        <is>
          <t>SGRO</t>
        </is>
      </c>
      <c r="C312" t="n">
        <v>2024</v>
      </c>
      <c r="D312" t="inlineStr">
        <is>
          <t>operations.ffb_production_t</t>
        </is>
      </c>
      <c r="E312" t="n">
        <v>1726376</v>
      </c>
      <c r="F312" t="n">
        <v>1167927</v>
      </c>
      <c r="G312" t="inlineStr">
        <is>
          <t>MATERIAL_OVERRIDE (Operations, diff -32.3%)</t>
        </is>
      </c>
    </row>
    <row r="313">
      <c r="A313" t="inlineStr">
        <is>
          <t>2026-04-19</t>
        </is>
      </c>
      <c r="B313" t="inlineStr">
        <is>
          <t>SIMP</t>
        </is>
      </c>
      <c r="C313" t="n">
        <v>2022</v>
      </c>
      <c r="D313" t="inlineStr">
        <is>
          <t>operations.planted_area_total_ha</t>
        </is>
      </c>
      <c r="E313" t="n">
        <v>294488</v>
      </c>
      <c r="F313" t="n">
        <v>385039</v>
      </c>
      <c r="G313" t="inlineStr">
        <is>
          <t>MATERIAL_OVERRIDE (Operations, diff +30.7%)</t>
        </is>
      </c>
    </row>
    <row r="314">
      <c r="A314" t="inlineStr">
        <is>
          <t>2026-04-19</t>
        </is>
      </c>
      <c r="B314" t="inlineStr">
        <is>
          <t>SIMP</t>
        </is>
      </c>
      <c r="C314" t="n">
        <v>2022</v>
      </c>
      <c r="D314" t="inlineStr">
        <is>
          <t>operations.nucleus_area_ha</t>
        </is>
      </c>
      <c r="E314" t="n">
        <v>294488</v>
      </c>
      <c r="F314" t="n">
        <v>244768</v>
      </c>
      <c r="G314" t="inlineStr">
        <is>
          <t>MATERIAL_OVERRIDE (Operations, diff -16.9%)</t>
        </is>
      </c>
    </row>
    <row r="315">
      <c r="A315" t="inlineStr">
        <is>
          <t>2026-04-19</t>
        </is>
      </c>
      <c r="B315" t="inlineStr">
        <is>
          <t>SIMP</t>
        </is>
      </c>
      <c r="C315" t="n">
        <v>2022</v>
      </c>
      <c r="D315" t="inlineStr">
        <is>
          <t>operations.mature_area_ha</t>
        </is>
      </c>
      <c r="E315" t="n">
        <v>248538</v>
      </c>
      <c r="F315" t="n">
        <v>218064</v>
      </c>
      <c r="G315" t="inlineStr">
        <is>
          <t>MATERIAL_OVERRIDE (Operations, diff -12.3%)</t>
        </is>
      </c>
    </row>
    <row r="316">
      <c r="A316" t="inlineStr">
        <is>
          <t>2026-04-19</t>
        </is>
      </c>
      <c r="B316" t="inlineStr">
        <is>
          <t>SIMP</t>
        </is>
      </c>
      <c r="C316" t="n">
        <v>2022</v>
      </c>
      <c r="D316" t="inlineStr">
        <is>
          <t>operations.immature_area_ha</t>
        </is>
      </c>
      <c r="E316" t="n">
        <v>31894</v>
      </c>
      <c r="F316" t="n">
        <v>26704</v>
      </c>
      <c r="G316" t="inlineStr">
        <is>
          <t>MATERIAL_OVERRIDE (Operations, diff -16.3%)</t>
        </is>
      </c>
    </row>
    <row r="317">
      <c r="A317" t="inlineStr">
        <is>
          <t>2026-04-19</t>
        </is>
      </c>
      <c r="B317" t="inlineStr">
        <is>
          <t>SIMP</t>
        </is>
      </c>
      <c r="C317" t="n">
        <v>2022</v>
      </c>
      <c r="D317" t="inlineStr">
        <is>
          <t>operations.ffb_production_t</t>
        </is>
      </c>
      <c r="E317" t="n">
        <v>3741000</v>
      </c>
      <c r="F317" t="n">
        <v>2812000</v>
      </c>
      <c r="G317" t="inlineStr">
        <is>
          <t>MATERIAL_OVERRIDE (Operations, diff -24.8%)</t>
        </is>
      </c>
    </row>
    <row r="318">
      <c r="A318" t="inlineStr">
        <is>
          <t>2026-04-19</t>
        </is>
      </c>
      <c r="B318" t="inlineStr">
        <is>
          <t>SIMP</t>
        </is>
      </c>
      <c r="C318" t="n">
        <v>2023</v>
      </c>
      <c r="D318" t="inlineStr">
        <is>
          <t>operations.planted_area_total_ha</t>
        </is>
      </c>
      <c r="E318" t="n">
        <v>293429</v>
      </c>
      <c r="F318" t="n">
        <v>335204</v>
      </c>
      <c r="G318" t="inlineStr">
        <is>
          <t>MATERIAL_OVERRIDE (Operations, diff +14.2%)</t>
        </is>
      </c>
    </row>
    <row r="319">
      <c r="A319" t="inlineStr">
        <is>
          <t>2026-04-19</t>
        </is>
      </c>
      <c r="B319" t="inlineStr">
        <is>
          <t>SIMP</t>
        </is>
      </c>
      <c r="C319" t="n">
        <v>2023</v>
      </c>
      <c r="D319" t="inlineStr">
        <is>
          <t>operations.nucleus_area_ha</t>
        </is>
      </c>
      <c r="E319" t="n">
        <v>293429</v>
      </c>
      <c r="F319" t="n">
        <v>244337</v>
      </c>
      <c r="G319" t="inlineStr">
        <is>
          <t>MATERIAL_OVERRIDE (Operations, diff -16.7%)</t>
        </is>
      </c>
    </row>
    <row r="320">
      <c r="A320" t="inlineStr">
        <is>
          <t>2026-04-19</t>
        </is>
      </c>
      <c r="B320" t="inlineStr">
        <is>
          <t>SIMP</t>
        </is>
      </c>
      <c r="C320" t="n">
        <v>2023</v>
      </c>
      <c r="D320" t="inlineStr">
        <is>
          <t>operations.mature_area_ha</t>
        </is>
      </c>
      <c r="E320" t="n">
        <v>250978</v>
      </c>
      <c r="F320" t="n">
        <v>220531</v>
      </c>
      <c r="G320" t="inlineStr">
        <is>
          <t>MATERIAL_OVERRIDE (Operations, diff -12.1%)</t>
        </is>
      </c>
    </row>
    <row r="321">
      <c r="A321" t="inlineStr">
        <is>
          <t>2026-04-19</t>
        </is>
      </c>
      <c r="B321" t="inlineStr">
        <is>
          <t>SIMP</t>
        </is>
      </c>
      <c r="C321" t="n">
        <v>2023</v>
      </c>
      <c r="D321" t="inlineStr">
        <is>
          <t>operations.immature_area_ha</t>
        </is>
      </c>
      <c r="E321" t="n">
        <v>29067</v>
      </c>
      <c r="F321" t="n">
        <v>23806</v>
      </c>
      <c r="G321" t="inlineStr">
        <is>
          <t>MATERIAL_OVERRIDE (Operations, diff -18.1%)</t>
        </is>
      </c>
    </row>
    <row r="322">
      <c r="A322" t="inlineStr">
        <is>
          <t>2026-04-19</t>
        </is>
      </c>
      <c r="B322" t="inlineStr">
        <is>
          <t>SIMP</t>
        </is>
      </c>
      <c r="C322" t="n">
        <v>2023</v>
      </c>
      <c r="D322" t="inlineStr">
        <is>
          <t>operations.ffb_production_t</t>
        </is>
      </c>
      <c r="E322" t="n">
        <v>3632000</v>
      </c>
      <c r="F322" t="n">
        <v>2784000</v>
      </c>
      <c r="G322" t="inlineStr">
        <is>
          <t>MATERIAL_OVERRIDE (Operations, diff -23.3%)</t>
        </is>
      </c>
    </row>
    <row r="323">
      <c r="A323" t="inlineStr">
        <is>
          <t>2026-04-19</t>
        </is>
      </c>
      <c r="B323" t="inlineStr">
        <is>
          <t>SIMP</t>
        </is>
      </c>
      <c r="C323" t="n">
        <v>2024</v>
      </c>
      <c r="D323" t="inlineStr">
        <is>
          <t>operations.planted_area_total_ha</t>
        </is>
      </c>
      <c r="E323" t="n">
        <v>288649</v>
      </c>
      <c r="F323" t="n">
        <v>332731</v>
      </c>
      <c r="G323" t="inlineStr">
        <is>
          <t>MATERIAL_OVERRIDE (Operations, diff +15.3%)</t>
        </is>
      </c>
    </row>
    <row r="324">
      <c r="A324" t="inlineStr">
        <is>
          <t>2026-04-19</t>
        </is>
      </c>
      <c r="B324" t="inlineStr">
        <is>
          <t>SIMP</t>
        </is>
      </c>
      <c r="C324" t="n">
        <v>2024</v>
      </c>
      <c r="D324" t="inlineStr">
        <is>
          <t>operations.nucleus_area_ha</t>
        </is>
      </c>
      <c r="E324" t="n">
        <v>288649</v>
      </c>
      <c r="F324" t="n">
        <v>241208</v>
      </c>
      <c r="G324" t="inlineStr">
        <is>
          <t>MATERIAL_OVERRIDE (Operations, diff -16.4%)</t>
        </is>
      </c>
    </row>
    <row r="325">
      <c r="A325" t="inlineStr">
        <is>
          <t>2026-04-19</t>
        </is>
      </c>
      <c r="B325" t="inlineStr">
        <is>
          <t>SIMP</t>
        </is>
      </c>
      <c r="C325" t="n">
        <v>2024</v>
      </c>
      <c r="D325" t="inlineStr">
        <is>
          <t>operations.mature_area_ha</t>
        </is>
      </c>
      <c r="E325" t="n">
        <v>249644</v>
      </c>
      <c r="F325" t="n">
        <v>220318</v>
      </c>
      <c r="G325" t="inlineStr">
        <is>
          <t>MATERIAL_OVERRIDE (Operations, diff -11.7%)</t>
        </is>
      </c>
    </row>
    <row r="326">
      <c r="A326" t="inlineStr">
        <is>
          <t>2026-04-19</t>
        </is>
      </c>
      <c r="B326" t="inlineStr">
        <is>
          <t>SIMP</t>
        </is>
      </c>
      <c r="C326" t="n">
        <v>2024</v>
      </c>
      <c r="D326" t="inlineStr">
        <is>
          <t>operations.immature_area_ha</t>
        </is>
      </c>
      <c r="E326" t="n">
        <v>25422</v>
      </c>
      <c r="F326" t="n">
        <v>20890</v>
      </c>
      <c r="G326" t="inlineStr">
        <is>
          <t>MATERIAL_OVERRIDE (Operations, diff -17.8%)</t>
        </is>
      </c>
    </row>
    <row r="327">
      <c r="A327" t="inlineStr">
        <is>
          <t>2026-04-19</t>
        </is>
      </c>
      <c r="B327" t="inlineStr">
        <is>
          <t>SIMP</t>
        </is>
      </c>
      <c r="C327" t="n">
        <v>2024</v>
      </c>
      <c r="D327" t="inlineStr">
        <is>
          <t>operations.ffb_production_t</t>
        </is>
      </c>
      <c r="E327" t="n">
        <v>3645000</v>
      </c>
      <c r="F327" t="n">
        <v>2758000</v>
      </c>
      <c r="G327" t="inlineStr">
        <is>
          <t>MATERIAL_OVERRIDE (Operations, diff -24.3%)</t>
        </is>
      </c>
    </row>
    <row r="328">
      <c r="A328" t="inlineStr">
        <is>
          <t>2026-04-19</t>
        </is>
      </c>
      <c r="B328" t="inlineStr">
        <is>
          <t>SSMS</t>
        </is>
      </c>
      <c r="C328" t="n">
        <v>2023</v>
      </c>
      <c r="D328" t="inlineStr">
        <is>
          <t>operations.planted_area_total_ha</t>
        </is>
      </c>
      <c r="E328" t="n">
        <v>115880</v>
      </c>
      <c r="F328" t="n">
        <v>82465.72</v>
      </c>
      <c r="G328" t="inlineStr">
        <is>
          <t>MATERIAL_OVERRIDE (Operations, diff -28.8%)</t>
        </is>
      </c>
    </row>
    <row r="329">
      <c r="A329" t="inlineStr">
        <is>
          <t>2026-04-19</t>
        </is>
      </c>
      <c r="B329" t="inlineStr">
        <is>
          <t>SSMS</t>
        </is>
      </c>
      <c r="C329" t="n">
        <v>2023</v>
      </c>
      <c r="D329" t="inlineStr">
        <is>
          <t>operations.nucleus_area_ha</t>
        </is>
      </c>
      <c r="E329" t="n">
        <v>93534</v>
      </c>
      <c r="F329" t="n">
        <v>69167.06</v>
      </c>
      <c r="G329" t="inlineStr">
        <is>
          <t>MATERIAL_OVERRIDE (Operations, diff -26.1%)</t>
        </is>
      </c>
    </row>
    <row r="330">
      <c r="A330" t="inlineStr">
        <is>
          <t>2026-04-19</t>
        </is>
      </c>
      <c r="B330" t="inlineStr">
        <is>
          <t>SSMS</t>
        </is>
      </c>
      <c r="C330" t="n">
        <v>2023</v>
      </c>
      <c r="D330" t="inlineStr">
        <is>
          <t>operations.plasma_area_ha</t>
        </is>
      </c>
      <c r="E330" t="n">
        <v>22346</v>
      </c>
      <c r="F330" t="n">
        <v>13238.67</v>
      </c>
      <c r="G330" t="inlineStr">
        <is>
          <t>MATERIAL_OVERRIDE (Operations, diff -40.8%)</t>
        </is>
      </c>
    </row>
    <row r="331">
      <c r="A331" t="inlineStr">
        <is>
          <t>2026-04-19</t>
        </is>
      </c>
      <c r="B331" t="inlineStr">
        <is>
          <t>SSMS</t>
        </is>
      </c>
      <c r="C331" t="n">
        <v>2023</v>
      </c>
      <c r="D331" t="inlineStr">
        <is>
          <t>operations.ffb_production_t</t>
        </is>
      </c>
      <c r="E331" t="n">
        <v>2388459</v>
      </c>
      <c r="F331" t="n">
        <v>1723170</v>
      </c>
      <c r="G331" t="inlineStr">
        <is>
          <t>MATERIAL_OVERRIDE (Operations, diff -27.9%)</t>
        </is>
      </c>
    </row>
    <row r="332">
      <c r="A332" t="inlineStr">
        <is>
          <t>2026-04-19</t>
        </is>
      </c>
      <c r="B332" t="inlineStr">
        <is>
          <t>SSMS</t>
        </is>
      </c>
      <c r="C332" t="n">
        <v>2024</v>
      </c>
      <c r="D332" t="inlineStr">
        <is>
          <t>operations.ffb_production_t</t>
        </is>
      </c>
      <c r="E332" t="n">
        <v>2185514</v>
      </c>
      <c r="F332" t="n">
        <v>1562446</v>
      </c>
      <c r="G332" t="inlineStr">
        <is>
          <t>MATERIAL_OVERRIDE (Operations, diff -28.5%)</t>
        </is>
      </c>
    </row>
    <row r="333">
      <c r="A333" t="inlineStr">
        <is>
          <t>2026-04-19</t>
        </is>
      </c>
      <c r="B333" t="inlineStr">
        <is>
          <t>SSMS</t>
        </is>
      </c>
      <c r="C333" t="n">
        <v>2025</v>
      </c>
      <c r="D333" t="inlineStr">
        <is>
          <t>operations.ffb_production_t</t>
        </is>
      </c>
      <c r="E333" t="n">
        <v>2403164</v>
      </c>
      <c r="F333" t="n">
        <v>1628452</v>
      </c>
      <c r="G333" t="inlineStr">
        <is>
          <t>MATERIAL_OVERRIDE (Operations, diff -32.2%)</t>
        </is>
      </c>
    </row>
    <row r="334">
      <c r="A334" t="inlineStr">
        <is>
          <t>2026-04-19</t>
        </is>
      </c>
      <c r="B334" t="inlineStr">
        <is>
          <t>TAPG</t>
        </is>
      </c>
      <c r="C334" t="n">
        <v>2023</v>
      </c>
      <c r="D334" t="inlineStr">
        <is>
          <t>operations.mature_area_ha</t>
        </is>
      </c>
      <c r="E334" t="n">
        <v>129221</v>
      </c>
      <c r="F334" t="n">
        <v>150281</v>
      </c>
      <c r="G334" t="inlineStr">
        <is>
          <t>MATERIAL_OVERRIDE (Operations, diff +16.3%)</t>
        </is>
      </c>
    </row>
    <row r="335">
      <c r="A335" t="inlineStr">
        <is>
          <t>2026-04-19</t>
        </is>
      </c>
      <c r="B335" t="inlineStr">
        <is>
          <t>TAPG</t>
        </is>
      </c>
      <c r="C335" t="n">
        <v>2023</v>
      </c>
      <c r="D335" t="inlineStr">
        <is>
          <t>operations.immature_area_ha</t>
        </is>
      </c>
      <c r="E335" t="n">
        <v>7164</v>
      </c>
      <c r="F335" t="n">
        <v>10263</v>
      </c>
      <c r="G335" t="inlineStr">
        <is>
          <t>MATERIAL_OVERRIDE (Operations, diff +43.3%)</t>
        </is>
      </c>
    </row>
    <row r="336">
      <c r="A336" t="inlineStr">
        <is>
          <t>2026-04-19</t>
        </is>
      </c>
      <c r="B336" t="inlineStr">
        <is>
          <t>TAPG</t>
        </is>
      </c>
      <c r="C336" t="n">
        <v>2023</v>
      </c>
      <c r="D336" t="inlineStr">
        <is>
          <t>operations.ffb_production_t</t>
        </is>
      </c>
      <c r="E336" t="n">
        <v>3399000</v>
      </c>
      <c r="F336" t="n">
        <v>3050000</v>
      </c>
      <c r="G336" t="inlineStr">
        <is>
          <t>MATERIAL_OVERRIDE (Operations, diff -10.3%)</t>
        </is>
      </c>
    </row>
    <row r="337">
      <c r="A337" t="inlineStr">
        <is>
          <t>2026-04-19</t>
        </is>
      </c>
      <c r="B337" t="inlineStr">
        <is>
          <t>TAPG</t>
        </is>
      </c>
      <c r="C337" t="n">
        <v>2024</v>
      </c>
      <c r="D337" t="inlineStr">
        <is>
          <t>operations.mature_area_ha</t>
        </is>
      </c>
      <c r="E337" t="n">
        <v>128178</v>
      </c>
      <c r="F337" t="n">
        <v>150149</v>
      </c>
      <c r="G337" t="inlineStr">
        <is>
          <t>MATERIAL_OVERRIDE (Operations, diff +17.1%)</t>
        </is>
      </c>
    </row>
    <row r="338">
      <c r="A338" t="inlineStr">
        <is>
          <t>2026-04-19</t>
        </is>
      </c>
      <c r="B338" t="inlineStr">
        <is>
          <t>TAPG</t>
        </is>
      </c>
      <c r="C338" t="n">
        <v>2024</v>
      </c>
      <c r="D338" t="inlineStr">
        <is>
          <t>operations.immature_area_ha</t>
        </is>
      </c>
      <c r="E338" t="n">
        <v>7416</v>
      </c>
      <c r="F338" t="n">
        <v>10649</v>
      </c>
      <c r="G338" t="inlineStr">
        <is>
          <t>MATERIAL_OVERRIDE (Operations, diff +43.6%)</t>
        </is>
      </c>
    </row>
    <row r="339">
      <c r="A339" t="inlineStr">
        <is>
          <t>2026-04-19</t>
        </is>
      </c>
      <c r="B339" t="inlineStr">
        <is>
          <t>TAPG</t>
        </is>
      </c>
      <c r="C339" t="n">
        <v>2024</v>
      </c>
      <c r="D339" t="inlineStr">
        <is>
          <t>operations.ffb_production_t</t>
        </is>
      </c>
      <c r="E339" t="n">
        <v>3276000</v>
      </c>
      <c r="F339" t="n">
        <v>2946000</v>
      </c>
      <c r="G339" t="inlineStr">
        <is>
          <t>MATERIAL_OVERRIDE (Operations, diff -10.1%)</t>
        </is>
      </c>
    </row>
    <row r="340">
      <c r="A340" t="inlineStr">
        <is>
          <t>2026-04-19</t>
        </is>
      </c>
      <c r="B340" t="inlineStr">
        <is>
          <t>TAPG</t>
        </is>
      </c>
      <c r="C340" t="n">
        <v>2025</v>
      </c>
      <c r="D340" t="inlineStr">
        <is>
          <t>operations.mature_area_ha</t>
        </is>
      </c>
      <c r="E340" t="n">
        <v>125201</v>
      </c>
      <c r="F340" t="n">
        <v>148648</v>
      </c>
      <c r="G340" t="inlineStr">
        <is>
          <t>MATERIAL_OVERRIDE (Operations, diff +18.7%)</t>
        </is>
      </c>
    </row>
    <row r="341">
      <c r="A341" t="inlineStr">
        <is>
          <t>2026-04-19</t>
        </is>
      </c>
      <c r="B341" t="inlineStr">
        <is>
          <t>TAPG</t>
        </is>
      </c>
      <c r="C341" t="n">
        <v>2025</v>
      </c>
      <c r="D341" t="inlineStr">
        <is>
          <t>operations.immature_area_ha</t>
        </is>
      </c>
      <c r="E341" t="n">
        <v>7613</v>
      </c>
      <c r="F341" t="n">
        <v>11059</v>
      </c>
      <c r="G341" t="inlineStr">
        <is>
          <t>MATERIAL_OVERRIDE (Operations, diff +45.3%)</t>
        </is>
      </c>
    </row>
    <row r="342">
      <c r="A342" t="inlineStr">
        <is>
          <t>2026-04-19</t>
        </is>
      </c>
      <c r="B342" t="inlineStr">
        <is>
          <t>TAPG</t>
        </is>
      </c>
      <c r="C342" t="n">
        <v>2025</v>
      </c>
      <c r="D342" t="inlineStr">
        <is>
          <t>operations.ffb_production_t</t>
        </is>
      </c>
      <c r="E342" t="n">
        <v>3425000</v>
      </c>
      <c r="F342" t="n">
        <v>3040000</v>
      </c>
      <c r="G342" t="inlineStr">
        <is>
          <t>MATERIAL_OVERRIDE (Operations, diff -11.2%)</t>
        </is>
      </c>
    </row>
    <row r="343">
      <c r="A343" t="inlineStr">
        <is>
          <t>2026-04-19</t>
        </is>
      </c>
      <c r="B343" t="inlineStr">
        <is>
          <t>SSMS</t>
        </is>
      </c>
      <c r="C343" t="n">
        <v>2023</v>
      </c>
      <c r="D343" t="inlineStr">
        <is>
          <t>financial.net_profit</t>
        </is>
      </c>
      <c r="E343" t="n">
        <v>518</v>
      </c>
      <c r="F343" t="n">
        <v>344</v>
      </c>
      <c r="G343" t="inlineStr">
        <is>
          <t>ROLLBACK (was MATERIAL_OVERRIDE — reconfirm showed definitional variance)</t>
        </is>
      </c>
    </row>
    <row r="344">
      <c r="A344" t="inlineStr">
        <is>
          <t>2026-04-19</t>
        </is>
      </c>
      <c r="B344" t="inlineStr">
        <is>
          <t>SSMS</t>
        </is>
      </c>
      <c r="C344" t="n">
        <v>2025</v>
      </c>
      <c r="D344" t="inlineStr">
        <is>
          <t>financial.net_profit</t>
        </is>
      </c>
      <c r="E344" t="n">
        <v>1203</v>
      </c>
      <c r="F344" t="n">
        <v>1393</v>
      </c>
      <c r="G344" t="inlineStr">
        <is>
          <t>ROLLBACK (was MATERIAL_OVERRIDE — reconfirm showed definitional variance)</t>
        </is>
      </c>
    </row>
    <row r="345">
      <c r="A345" t="inlineStr">
        <is>
          <t>2026-04-19</t>
        </is>
      </c>
      <c r="B345" t="inlineStr">
        <is>
          <t>LSIP</t>
        </is>
      </c>
      <c r="C345" t="n">
        <v>2022</v>
      </c>
      <c r="D345" t="inlineStr">
        <is>
          <t>operations.planted_area_total_ha</t>
        </is>
      </c>
      <c r="E345" t="n">
        <v>146304</v>
      </c>
      <c r="F345" t="n">
        <v>111240</v>
      </c>
      <c r="G345" t="inlineStr">
        <is>
          <t>ROLLBACK (was MATERIAL_OVERRIDE — reconfirm showed definitional variance)</t>
        </is>
      </c>
    </row>
    <row r="346">
      <c r="A346" t="inlineStr">
        <is>
          <t>2026-04-19</t>
        </is>
      </c>
      <c r="B346" t="inlineStr">
        <is>
          <t>LSIP</t>
        </is>
      </c>
      <c r="C346" t="n">
        <v>2022</v>
      </c>
      <c r="D346" t="inlineStr">
        <is>
          <t>operations.ffb_production_t</t>
        </is>
      </c>
      <c r="E346" t="n">
        <v>1174000</v>
      </c>
      <c r="F346" t="n">
        <v>1417000</v>
      </c>
      <c r="G346" t="inlineStr">
        <is>
          <t>ROLLBACK (was MATERIAL_OVERRIDE — reconfirm showed definitional variance)</t>
        </is>
      </c>
    </row>
    <row r="347">
      <c r="A347" t="inlineStr">
        <is>
          <t>2026-04-19</t>
        </is>
      </c>
      <c r="B347" t="inlineStr">
        <is>
          <t>LSIP</t>
        </is>
      </c>
      <c r="C347" t="n">
        <v>2023</v>
      </c>
      <c r="D347" t="inlineStr">
        <is>
          <t>operations.planted_area_total_ha</t>
        </is>
      </c>
      <c r="E347" t="n">
        <v>147357</v>
      </c>
      <c r="F347" t="n">
        <v>111940</v>
      </c>
      <c r="G347" t="inlineStr">
        <is>
          <t>ROLLBACK (was MATERIAL_OVERRIDE — reconfirm showed definitional variance)</t>
        </is>
      </c>
    </row>
    <row r="348">
      <c r="A348" t="inlineStr">
        <is>
          <t>2026-04-19</t>
        </is>
      </c>
      <c r="B348" t="inlineStr">
        <is>
          <t>LSIP</t>
        </is>
      </c>
      <c r="C348" t="n">
        <v>2023</v>
      </c>
      <c r="D348" t="inlineStr">
        <is>
          <t>operations.ffb_production_t</t>
        </is>
      </c>
      <c r="E348" t="n">
        <v>1177000</v>
      </c>
      <c r="F348" t="n">
        <v>1377000</v>
      </c>
      <c r="G348" t="inlineStr">
        <is>
          <t>ROLLBACK (was MATERIAL_OVERRIDE — reconfirm showed definitional variance)</t>
        </is>
      </c>
    </row>
    <row r="349">
      <c r="A349" t="inlineStr">
        <is>
          <t>2026-04-19</t>
        </is>
      </c>
      <c r="B349" t="inlineStr">
        <is>
          <t>LSIP</t>
        </is>
      </c>
      <c r="C349" t="n">
        <v>2024</v>
      </c>
      <c r="D349" t="inlineStr">
        <is>
          <t>operations.planted_area_total_ha</t>
        </is>
      </c>
      <c r="E349" t="n">
        <v>147146</v>
      </c>
      <c r="F349" t="n">
        <v>111367</v>
      </c>
      <c r="G349" t="inlineStr">
        <is>
          <t>ROLLBACK (was MATERIAL_OVERRIDE — reconfirm showed definitional variance)</t>
        </is>
      </c>
    </row>
    <row r="350">
      <c r="A350" t="inlineStr">
        <is>
          <t>2026-04-19</t>
        </is>
      </c>
      <c r="B350" t="inlineStr">
        <is>
          <t>LSIP</t>
        </is>
      </c>
      <c r="C350" t="n">
        <v>2024</v>
      </c>
      <c r="D350" t="inlineStr">
        <is>
          <t>operations.mature_area_ha</t>
        </is>
      </c>
      <c r="E350" t="n">
        <v>84941</v>
      </c>
      <c r="F350" t="n">
        <v>103036</v>
      </c>
      <c r="G350" t="inlineStr">
        <is>
          <t>ROLLBACK (was MATERIAL_OVERRIDE — reconfirm showed definitional variance)</t>
        </is>
      </c>
    </row>
    <row r="351">
      <c r="A351" t="inlineStr">
        <is>
          <t>2026-04-19</t>
        </is>
      </c>
      <c r="B351" t="inlineStr">
        <is>
          <t>LSIP</t>
        </is>
      </c>
      <c r="C351" t="n">
        <v>2024</v>
      </c>
      <c r="D351" t="inlineStr">
        <is>
          <t>operations.immature_area_ha</t>
        </is>
      </c>
      <c r="E351" t="n">
        <v>6211</v>
      </c>
      <c r="F351" t="n">
        <v>8331</v>
      </c>
      <c r="G351" t="inlineStr">
        <is>
          <t>ROLLBACK (was MATERIAL_OVERRIDE — reconfirm showed definitional variance)</t>
        </is>
      </c>
    </row>
    <row r="352">
      <c r="A352" t="inlineStr">
        <is>
          <t>2026-04-19</t>
        </is>
      </c>
      <c r="B352" t="inlineStr">
        <is>
          <t>LSIP</t>
        </is>
      </c>
      <c r="C352" t="n">
        <v>2024</v>
      </c>
      <c r="D352" t="inlineStr">
        <is>
          <t>operations.ffb_production_t</t>
        </is>
      </c>
      <c r="E352" t="n">
        <v>1173000</v>
      </c>
      <c r="F352" t="n">
        <v>1345000</v>
      </c>
      <c r="G352" t="inlineStr">
        <is>
          <t>ROLLBACK (was MATERIAL_OVERRIDE — reconfirm showed definitional variance)</t>
        </is>
      </c>
    </row>
    <row r="353">
      <c r="A353" t="inlineStr">
        <is>
          <t>2026-04-19</t>
        </is>
      </c>
      <c r="B353" t="inlineStr">
        <is>
          <t>SGRO</t>
        </is>
      </c>
      <c r="C353" t="n">
        <v>2022</v>
      </c>
      <c r="D353" t="inlineStr">
        <is>
          <t>operations.planted_area_total_ha</t>
        </is>
      </c>
      <c r="E353" t="n">
        <v>132660</v>
      </c>
      <c r="F353" t="n">
        <v>168142</v>
      </c>
      <c r="G353" t="inlineStr">
        <is>
          <t>ROLLBACK (was MATERIAL_OVERRIDE — reconfirm showed definitional variance)</t>
        </is>
      </c>
    </row>
    <row r="354">
      <c r="A354" t="inlineStr">
        <is>
          <t>2026-04-19</t>
        </is>
      </c>
      <c r="B354" t="inlineStr">
        <is>
          <t>SGRO</t>
        </is>
      </c>
      <c r="C354" t="n">
        <v>2022</v>
      </c>
      <c r="D354" t="inlineStr">
        <is>
          <t>operations.nucleus_area_ha</t>
        </is>
      </c>
      <c r="E354" t="n">
        <v>82973</v>
      </c>
      <c r="F354" t="n">
        <v>117461</v>
      </c>
      <c r="G354" t="inlineStr">
        <is>
          <t>ROLLBACK (was MATERIAL_OVERRIDE — reconfirm showed definitional variance)</t>
        </is>
      </c>
    </row>
    <row r="355">
      <c r="A355" t="inlineStr">
        <is>
          <t>2026-04-19</t>
        </is>
      </c>
      <c r="B355" t="inlineStr">
        <is>
          <t>SGRO</t>
        </is>
      </c>
      <c r="C355" t="n">
        <v>2022</v>
      </c>
      <c r="D355" t="inlineStr">
        <is>
          <t>operations.avg_tree_age_years</t>
        </is>
      </c>
      <c r="E355" t="n">
        <v>15.12</v>
      </c>
      <c r="F355" t="n">
        <v>14</v>
      </c>
      <c r="G355" t="inlineStr">
        <is>
          <t>ROLLBACK (was MATERIAL_OVERRIDE — reconfirm showed definitional variance)</t>
        </is>
      </c>
    </row>
    <row r="356">
      <c r="A356" t="inlineStr">
        <is>
          <t>2026-04-19</t>
        </is>
      </c>
      <c r="B356" t="inlineStr">
        <is>
          <t>SGRO</t>
        </is>
      </c>
      <c r="C356" t="n">
        <v>2022</v>
      </c>
      <c r="D356" t="inlineStr">
        <is>
          <t>operations.ffb_production_t</t>
        </is>
      </c>
      <c r="E356" t="n">
        <v>1242866</v>
      </c>
      <c r="F356" t="n">
        <v>1862586</v>
      </c>
      <c r="G356" t="inlineStr">
        <is>
          <t>ROLLBACK (was MATERIAL_OVERRIDE — reconfirm showed definitional variance)</t>
        </is>
      </c>
    </row>
    <row r="357">
      <c r="A357" t="inlineStr">
        <is>
          <t>2026-04-19</t>
        </is>
      </c>
      <c r="B357" t="inlineStr">
        <is>
          <t>SGRO</t>
        </is>
      </c>
      <c r="C357" t="n">
        <v>2023</v>
      </c>
      <c r="D357" t="inlineStr">
        <is>
          <t>operations.planted_area_total_ha</t>
        </is>
      </c>
      <c r="E357" t="n">
        <v>132162</v>
      </c>
      <c r="F357" t="n">
        <v>167637</v>
      </c>
      <c r="G357" t="inlineStr">
        <is>
          <t>ROLLBACK (was MATERIAL_OVERRIDE — reconfirm showed definitional variance)</t>
        </is>
      </c>
    </row>
    <row r="358">
      <c r="A358" t="inlineStr">
        <is>
          <t>2026-04-19</t>
        </is>
      </c>
      <c r="B358" t="inlineStr">
        <is>
          <t>SGRO</t>
        </is>
      </c>
      <c r="C358" t="n">
        <v>2023</v>
      </c>
      <c r="D358" t="inlineStr">
        <is>
          <t>operations.nucleus_area_ha</t>
        </is>
      </c>
      <c r="E358" t="n">
        <v>82123</v>
      </c>
      <c r="F358" t="n">
        <v>117598</v>
      </c>
      <c r="G358" t="inlineStr">
        <is>
          <t>ROLLBACK (was MATERIAL_OVERRIDE — reconfirm showed definitional variance)</t>
        </is>
      </c>
    </row>
    <row r="359">
      <c r="A359" t="inlineStr">
        <is>
          <t>2026-04-19</t>
        </is>
      </c>
      <c r="B359" t="inlineStr">
        <is>
          <t>SGRO</t>
        </is>
      </c>
      <c r="C359" t="n">
        <v>2023</v>
      </c>
      <c r="D359" t="inlineStr">
        <is>
          <t>operations.ffb_production_t</t>
        </is>
      </c>
      <c r="E359" t="n">
        <v>1259629</v>
      </c>
      <c r="F359" t="n">
        <v>1900174</v>
      </c>
      <c r="G359" t="inlineStr">
        <is>
          <t>ROLLBACK (was MATERIAL_OVERRIDE — reconfirm showed definitional variance)</t>
        </is>
      </c>
    </row>
    <row r="360">
      <c r="A360" t="inlineStr">
        <is>
          <t>2026-04-19</t>
        </is>
      </c>
      <c r="B360" t="inlineStr">
        <is>
          <t>SGRO</t>
        </is>
      </c>
      <c r="C360" t="n">
        <v>2024</v>
      </c>
      <c r="D360" t="inlineStr">
        <is>
          <t>operations.planted_area_total_ha</t>
        </is>
      </c>
      <c r="E360" t="n">
        <v>128290</v>
      </c>
      <c r="F360" t="n">
        <v>164721</v>
      </c>
      <c r="G360" t="inlineStr">
        <is>
          <t>ROLLBACK (was MATERIAL_OVERRIDE — reconfirm showed definitional variance)</t>
        </is>
      </c>
    </row>
    <row r="361">
      <c r="A361" t="inlineStr">
        <is>
          <t>2026-04-19</t>
        </is>
      </c>
      <c r="B361" t="inlineStr">
        <is>
          <t>SGRO</t>
        </is>
      </c>
      <c r="C361" t="n">
        <v>2024</v>
      </c>
      <c r="D361" t="inlineStr">
        <is>
          <t>operations.nucleus_area_ha</t>
        </is>
      </c>
      <c r="E361" t="n">
        <v>81733</v>
      </c>
      <c r="F361" t="n">
        <v>118164</v>
      </c>
      <c r="G361" t="inlineStr">
        <is>
          <t>ROLLBACK (was MATERIAL_OVERRIDE — reconfirm showed definitional variance)</t>
        </is>
      </c>
    </row>
    <row r="362">
      <c r="A362" t="inlineStr">
        <is>
          <t>2026-04-19</t>
        </is>
      </c>
      <c r="B362" t="inlineStr">
        <is>
          <t>SGRO</t>
        </is>
      </c>
      <c r="C362" t="n">
        <v>2024</v>
      </c>
      <c r="D362" t="inlineStr">
        <is>
          <t>operations.ffb_production_t</t>
        </is>
      </c>
      <c r="E362" t="n">
        <v>1167927</v>
      </c>
      <c r="F362" t="n">
        <v>1726376</v>
      </c>
      <c r="G362" t="inlineStr">
        <is>
          <t>ROLLBACK (was MATERIAL_OVERRIDE — reconfirm showed definitional variance)</t>
        </is>
      </c>
    </row>
    <row r="363">
      <c r="A363" t="inlineStr">
        <is>
          <t>2026-04-19</t>
        </is>
      </c>
      <c r="B363" t="inlineStr">
        <is>
          <t>SIMP</t>
        </is>
      </c>
      <c r="C363" t="n">
        <v>2022</v>
      </c>
      <c r="D363" t="inlineStr">
        <is>
          <t>operations.planted_area_total_ha</t>
        </is>
      </c>
      <c r="E363" t="n">
        <v>385039</v>
      </c>
      <c r="F363" t="n">
        <v>294488</v>
      </c>
      <c r="G363" t="inlineStr">
        <is>
          <t>ROLLBACK (was MATERIAL_OVERRIDE — reconfirm showed definitional variance)</t>
        </is>
      </c>
    </row>
    <row r="364">
      <c r="A364" t="inlineStr">
        <is>
          <t>2026-04-19</t>
        </is>
      </c>
      <c r="B364" t="inlineStr">
        <is>
          <t>SIMP</t>
        </is>
      </c>
      <c r="C364" t="n">
        <v>2022</v>
      </c>
      <c r="D364" t="inlineStr">
        <is>
          <t>operations.nucleus_area_ha</t>
        </is>
      </c>
      <c r="E364" t="n">
        <v>244768</v>
      </c>
      <c r="F364" t="n">
        <v>294488</v>
      </c>
      <c r="G364" t="inlineStr">
        <is>
          <t>ROLLBACK (was MATERIAL_OVERRIDE — reconfirm showed definitional variance)</t>
        </is>
      </c>
    </row>
    <row r="365">
      <c r="A365" t="inlineStr">
        <is>
          <t>2026-04-19</t>
        </is>
      </c>
      <c r="B365" t="inlineStr">
        <is>
          <t>SIMP</t>
        </is>
      </c>
      <c r="C365" t="n">
        <v>2022</v>
      </c>
      <c r="D365" t="inlineStr">
        <is>
          <t>operations.mature_area_ha</t>
        </is>
      </c>
      <c r="E365" t="n">
        <v>218064</v>
      </c>
      <c r="F365" t="n">
        <v>248538</v>
      </c>
      <c r="G365" t="inlineStr">
        <is>
          <t>ROLLBACK (was MATERIAL_OVERRIDE — reconfirm showed definitional variance)</t>
        </is>
      </c>
    </row>
    <row r="366">
      <c r="A366" t="inlineStr">
        <is>
          <t>2026-04-19</t>
        </is>
      </c>
      <c r="B366" t="inlineStr">
        <is>
          <t>SIMP</t>
        </is>
      </c>
      <c r="C366" t="n">
        <v>2022</v>
      </c>
      <c r="D366" t="inlineStr">
        <is>
          <t>operations.immature_area_ha</t>
        </is>
      </c>
      <c r="E366" t="n">
        <v>26704</v>
      </c>
      <c r="F366" t="n">
        <v>31894</v>
      </c>
      <c r="G366" t="inlineStr">
        <is>
          <t>ROLLBACK (was MATERIAL_OVERRIDE — reconfirm showed definitional variance)</t>
        </is>
      </c>
    </row>
    <row r="367">
      <c r="A367" t="inlineStr">
        <is>
          <t>2026-04-19</t>
        </is>
      </c>
      <c r="B367" t="inlineStr">
        <is>
          <t>SIMP</t>
        </is>
      </c>
      <c r="C367" t="n">
        <v>2022</v>
      </c>
      <c r="D367" t="inlineStr">
        <is>
          <t>operations.ffb_production_t</t>
        </is>
      </c>
      <c r="E367" t="n">
        <v>2812000</v>
      </c>
      <c r="F367" t="n">
        <v>3741000</v>
      </c>
      <c r="G367" t="inlineStr">
        <is>
          <t>ROLLBACK (was MATERIAL_OVERRIDE — reconfirm showed definitional variance)</t>
        </is>
      </c>
    </row>
    <row r="368">
      <c r="A368" t="inlineStr">
        <is>
          <t>2026-04-19</t>
        </is>
      </c>
      <c r="B368" t="inlineStr">
        <is>
          <t>SIMP</t>
        </is>
      </c>
      <c r="C368" t="n">
        <v>2023</v>
      </c>
      <c r="D368" t="inlineStr">
        <is>
          <t>operations.planted_area_total_ha</t>
        </is>
      </c>
      <c r="E368" t="n">
        <v>335204</v>
      </c>
      <c r="F368" t="n">
        <v>293429</v>
      </c>
      <c r="G368" t="inlineStr">
        <is>
          <t>ROLLBACK (was MATERIAL_OVERRIDE — reconfirm showed definitional variance)</t>
        </is>
      </c>
    </row>
    <row r="369">
      <c r="A369" t="inlineStr">
        <is>
          <t>2026-04-19</t>
        </is>
      </c>
      <c r="B369" t="inlineStr">
        <is>
          <t>SIMP</t>
        </is>
      </c>
      <c r="C369" t="n">
        <v>2023</v>
      </c>
      <c r="D369" t="inlineStr">
        <is>
          <t>operations.nucleus_area_ha</t>
        </is>
      </c>
      <c r="E369" t="n">
        <v>244337</v>
      </c>
      <c r="F369" t="n">
        <v>293429</v>
      </c>
      <c r="G369" t="inlineStr">
        <is>
          <t>ROLLBACK (was MATERIAL_OVERRIDE — reconfirm showed definitional variance)</t>
        </is>
      </c>
    </row>
    <row r="370">
      <c r="A370" t="inlineStr">
        <is>
          <t>2026-04-19</t>
        </is>
      </c>
      <c r="B370" t="inlineStr">
        <is>
          <t>SIMP</t>
        </is>
      </c>
      <c r="C370" t="n">
        <v>2023</v>
      </c>
      <c r="D370" t="inlineStr">
        <is>
          <t>operations.mature_area_ha</t>
        </is>
      </c>
      <c r="E370" t="n">
        <v>220531</v>
      </c>
      <c r="F370" t="n">
        <v>250978</v>
      </c>
      <c r="G370" t="inlineStr">
        <is>
          <t>ROLLBACK (was MATERIAL_OVERRIDE — reconfirm showed definitional variance)</t>
        </is>
      </c>
    </row>
    <row r="371">
      <c r="A371" t="inlineStr">
        <is>
          <t>2026-04-19</t>
        </is>
      </c>
      <c r="B371" t="inlineStr">
        <is>
          <t>SIMP</t>
        </is>
      </c>
      <c r="C371" t="n">
        <v>2023</v>
      </c>
      <c r="D371" t="inlineStr">
        <is>
          <t>operations.immature_area_ha</t>
        </is>
      </c>
      <c r="E371" t="n">
        <v>23806</v>
      </c>
      <c r="F371" t="n">
        <v>29067</v>
      </c>
      <c r="G371" t="inlineStr">
        <is>
          <t>ROLLBACK (was MATERIAL_OVERRIDE — reconfirm showed definitional variance)</t>
        </is>
      </c>
    </row>
    <row r="372">
      <c r="A372" t="inlineStr">
        <is>
          <t>2026-04-19</t>
        </is>
      </c>
      <c r="B372" t="inlineStr">
        <is>
          <t>SIMP</t>
        </is>
      </c>
      <c r="C372" t="n">
        <v>2023</v>
      </c>
      <c r="D372" t="inlineStr">
        <is>
          <t>operations.ffb_production_t</t>
        </is>
      </c>
      <c r="E372" t="n">
        <v>2784000</v>
      </c>
      <c r="F372" t="n">
        <v>3632000</v>
      </c>
      <c r="G372" t="inlineStr">
        <is>
          <t>ROLLBACK (was MATERIAL_OVERRIDE — reconfirm showed definitional variance)</t>
        </is>
      </c>
    </row>
    <row r="373">
      <c r="A373" t="inlineStr">
        <is>
          <t>2026-04-19</t>
        </is>
      </c>
      <c r="B373" t="inlineStr">
        <is>
          <t>SIMP</t>
        </is>
      </c>
      <c r="C373" t="n">
        <v>2024</v>
      </c>
      <c r="D373" t="inlineStr">
        <is>
          <t>operations.planted_area_total_ha</t>
        </is>
      </c>
      <c r="E373" t="n">
        <v>332731</v>
      </c>
      <c r="F373" t="n">
        <v>288649</v>
      </c>
      <c r="G373" t="inlineStr">
        <is>
          <t>ROLLBACK (was MATERIAL_OVERRIDE — reconfirm showed definitional variance)</t>
        </is>
      </c>
    </row>
    <row r="374">
      <c r="A374" t="inlineStr">
        <is>
          <t>2026-04-19</t>
        </is>
      </c>
      <c r="B374" t="inlineStr">
        <is>
          <t>SIMP</t>
        </is>
      </c>
      <c r="C374" t="n">
        <v>2024</v>
      </c>
      <c r="D374" t="inlineStr">
        <is>
          <t>operations.nucleus_area_ha</t>
        </is>
      </c>
      <c r="E374" t="n">
        <v>241208</v>
      </c>
      <c r="F374" t="n">
        <v>288649</v>
      </c>
      <c r="G374" t="inlineStr">
        <is>
          <t>ROLLBACK (was MATERIAL_OVERRIDE — reconfirm showed definitional variance)</t>
        </is>
      </c>
    </row>
    <row r="375">
      <c r="A375" t="inlineStr">
        <is>
          <t>2026-04-19</t>
        </is>
      </c>
      <c r="B375" t="inlineStr">
        <is>
          <t>SIMP</t>
        </is>
      </c>
      <c r="C375" t="n">
        <v>2024</v>
      </c>
      <c r="D375" t="inlineStr">
        <is>
          <t>operations.mature_area_ha</t>
        </is>
      </c>
      <c r="E375" t="n">
        <v>220318</v>
      </c>
      <c r="F375" t="n">
        <v>249644</v>
      </c>
      <c r="G375" t="inlineStr">
        <is>
          <t>ROLLBACK (was MATERIAL_OVERRIDE — reconfirm showed definitional variance)</t>
        </is>
      </c>
    </row>
    <row r="376">
      <c r="A376" t="inlineStr">
        <is>
          <t>2026-04-19</t>
        </is>
      </c>
      <c r="B376" t="inlineStr">
        <is>
          <t>SIMP</t>
        </is>
      </c>
      <c r="C376" t="n">
        <v>2024</v>
      </c>
      <c r="D376" t="inlineStr">
        <is>
          <t>operations.immature_area_ha</t>
        </is>
      </c>
      <c r="E376" t="n">
        <v>20890</v>
      </c>
      <c r="F376" t="n">
        <v>25422</v>
      </c>
      <c r="G376" t="inlineStr">
        <is>
          <t>ROLLBACK (was MATERIAL_OVERRIDE — reconfirm showed definitional variance)</t>
        </is>
      </c>
    </row>
    <row r="377">
      <c r="A377" t="inlineStr">
        <is>
          <t>2026-04-19</t>
        </is>
      </c>
      <c r="B377" t="inlineStr">
        <is>
          <t>SIMP</t>
        </is>
      </c>
      <c r="C377" t="n">
        <v>2024</v>
      </c>
      <c r="D377" t="inlineStr">
        <is>
          <t>operations.ffb_production_t</t>
        </is>
      </c>
      <c r="E377" t="n">
        <v>2758000</v>
      </c>
      <c r="F377" t="n">
        <v>3645000</v>
      </c>
      <c r="G377" t="inlineStr">
        <is>
          <t>ROLLBACK (was MATERIAL_OVERRIDE — reconfirm showed definitional variance)</t>
        </is>
      </c>
    </row>
    <row r="378">
      <c r="A378" t="inlineStr">
        <is>
          <t>2026-04-19</t>
        </is>
      </c>
      <c r="B378" t="inlineStr">
        <is>
          <t>SSMS</t>
        </is>
      </c>
      <c r="C378" t="n">
        <v>2023</v>
      </c>
      <c r="D378" t="inlineStr">
        <is>
          <t>operations.planted_area_total_ha</t>
        </is>
      </c>
      <c r="E378" t="n">
        <v>82465.72</v>
      </c>
      <c r="F378" t="n">
        <v>115880</v>
      </c>
      <c r="G378" t="inlineStr">
        <is>
          <t>ROLLBACK (was MATERIAL_OVERRIDE — reconfirm showed definitional variance)</t>
        </is>
      </c>
    </row>
    <row r="379">
      <c r="A379" t="inlineStr">
        <is>
          <t>2026-04-19</t>
        </is>
      </c>
      <c r="B379" t="inlineStr">
        <is>
          <t>SSMS</t>
        </is>
      </c>
      <c r="C379" t="n">
        <v>2023</v>
      </c>
      <c r="D379" t="inlineStr">
        <is>
          <t>operations.nucleus_area_ha</t>
        </is>
      </c>
      <c r="E379" t="n">
        <v>69167.06</v>
      </c>
      <c r="F379" t="n">
        <v>93534</v>
      </c>
      <c r="G379" t="inlineStr">
        <is>
          <t>ROLLBACK (was MATERIAL_OVERRIDE — reconfirm showed definitional variance)</t>
        </is>
      </c>
    </row>
    <row r="380">
      <c r="A380" t="inlineStr">
        <is>
          <t>2026-04-19</t>
        </is>
      </c>
      <c r="B380" t="inlineStr">
        <is>
          <t>SSMS</t>
        </is>
      </c>
      <c r="C380" t="n">
        <v>2023</v>
      </c>
      <c r="D380" t="inlineStr">
        <is>
          <t>operations.plasma_area_ha</t>
        </is>
      </c>
      <c r="E380" t="n">
        <v>13238.67</v>
      </c>
      <c r="F380" t="n">
        <v>22346</v>
      </c>
      <c r="G380" t="inlineStr">
        <is>
          <t>ROLLBACK (was MATERIAL_OVERRIDE — reconfirm showed definitional variance)</t>
        </is>
      </c>
    </row>
    <row r="381">
      <c r="A381" t="inlineStr">
        <is>
          <t>2026-04-19</t>
        </is>
      </c>
      <c r="B381" t="inlineStr">
        <is>
          <t>SSMS</t>
        </is>
      </c>
      <c r="C381" t="n">
        <v>2023</v>
      </c>
      <c r="D381" t="inlineStr">
        <is>
          <t>operations.ffb_production_t</t>
        </is>
      </c>
      <c r="E381" t="n">
        <v>1723170</v>
      </c>
      <c r="F381" t="n">
        <v>2388459</v>
      </c>
      <c r="G381" t="inlineStr">
        <is>
          <t>ROLLBACK (was MATERIAL_OVERRIDE — reconfirm showed definitional variance)</t>
        </is>
      </c>
    </row>
    <row r="382">
      <c r="A382" t="inlineStr">
        <is>
          <t>2026-04-19</t>
        </is>
      </c>
      <c r="B382" t="inlineStr">
        <is>
          <t>SSMS</t>
        </is>
      </c>
      <c r="C382" t="n">
        <v>2024</v>
      </c>
      <c r="D382" t="inlineStr">
        <is>
          <t>operations.ffb_production_t</t>
        </is>
      </c>
      <c r="E382" t="n">
        <v>1562446</v>
      </c>
      <c r="F382" t="n">
        <v>2185514</v>
      </c>
      <c r="G382" t="inlineStr">
        <is>
          <t>ROLLBACK (was MATERIAL_OVERRIDE — reconfirm showed definitional variance)</t>
        </is>
      </c>
    </row>
    <row r="383">
      <c r="A383" t="inlineStr">
        <is>
          <t>2026-04-19</t>
        </is>
      </c>
      <c r="B383" t="inlineStr">
        <is>
          <t>SSMS</t>
        </is>
      </c>
      <c r="C383" t="n">
        <v>2025</v>
      </c>
      <c r="D383" t="inlineStr">
        <is>
          <t>operations.ffb_production_t</t>
        </is>
      </c>
      <c r="E383" t="n">
        <v>1628452</v>
      </c>
      <c r="F383" t="n">
        <v>2403164</v>
      </c>
      <c r="G383" t="inlineStr">
        <is>
          <t>ROLLBACK (was MATERIAL_OVERRIDE — reconfirm showed definitional variance)</t>
        </is>
      </c>
    </row>
    <row r="384">
      <c r="A384" t="inlineStr">
        <is>
          <t>2026-04-19</t>
        </is>
      </c>
      <c r="B384" t="inlineStr">
        <is>
          <t>TAPG</t>
        </is>
      </c>
      <c r="C384" t="n">
        <v>2023</v>
      </c>
      <c r="D384" t="inlineStr">
        <is>
          <t>operations.mature_area_ha</t>
        </is>
      </c>
      <c r="E384" t="n">
        <v>150281</v>
      </c>
      <c r="F384" t="n">
        <v>129221</v>
      </c>
      <c r="G384" t="inlineStr">
        <is>
          <t>ROLLBACK (was MATERIAL_OVERRIDE — reconfirm showed definitional variance)</t>
        </is>
      </c>
    </row>
    <row r="385">
      <c r="A385" t="inlineStr">
        <is>
          <t>2026-04-19</t>
        </is>
      </c>
      <c r="B385" t="inlineStr">
        <is>
          <t>TAPG</t>
        </is>
      </c>
      <c r="C385" t="n">
        <v>2023</v>
      </c>
      <c r="D385" t="inlineStr">
        <is>
          <t>operations.immature_area_ha</t>
        </is>
      </c>
      <c r="E385" t="n">
        <v>10263</v>
      </c>
      <c r="F385" t="n">
        <v>7164</v>
      </c>
      <c r="G385" t="inlineStr">
        <is>
          <t>ROLLBACK (was MATERIAL_OVERRIDE — reconfirm showed definitional variance)</t>
        </is>
      </c>
    </row>
    <row r="386">
      <c r="A386" t="inlineStr">
        <is>
          <t>2026-04-19</t>
        </is>
      </c>
      <c r="B386" t="inlineStr">
        <is>
          <t>TAPG</t>
        </is>
      </c>
      <c r="C386" t="n">
        <v>2023</v>
      </c>
      <c r="D386" t="inlineStr">
        <is>
          <t>operations.ffb_production_t</t>
        </is>
      </c>
      <c r="E386" t="n">
        <v>3050000</v>
      </c>
      <c r="F386" t="n">
        <v>3399000</v>
      </c>
      <c r="G386" t="inlineStr">
        <is>
          <t>ROLLBACK (was MATERIAL_OVERRIDE — reconfirm showed definitional variance)</t>
        </is>
      </c>
    </row>
    <row r="387">
      <c r="A387" t="inlineStr">
        <is>
          <t>2026-04-19</t>
        </is>
      </c>
      <c r="B387" t="inlineStr">
        <is>
          <t>TAPG</t>
        </is>
      </c>
      <c r="C387" t="n">
        <v>2024</v>
      </c>
      <c r="D387" t="inlineStr">
        <is>
          <t>operations.mature_area_ha</t>
        </is>
      </c>
      <c r="E387" t="n">
        <v>150149</v>
      </c>
      <c r="F387" t="n">
        <v>128178</v>
      </c>
      <c r="G387" t="inlineStr">
        <is>
          <t>ROLLBACK (was MATERIAL_OVERRIDE — reconfirm showed definitional variance)</t>
        </is>
      </c>
    </row>
    <row r="388">
      <c r="A388" t="inlineStr">
        <is>
          <t>2026-04-19</t>
        </is>
      </c>
      <c r="B388" t="inlineStr">
        <is>
          <t>TAPG</t>
        </is>
      </c>
      <c r="C388" t="n">
        <v>2024</v>
      </c>
      <c r="D388" t="inlineStr">
        <is>
          <t>operations.immature_area_ha</t>
        </is>
      </c>
      <c r="E388" t="n">
        <v>10649</v>
      </c>
      <c r="F388" t="n">
        <v>7416</v>
      </c>
      <c r="G388" t="inlineStr">
        <is>
          <t>ROLLBACK (was MATERIAL_OVERRIDE — reconfirm showed definitional variance)</t>
        </is>
      </c>
    </row>
    <row r="389">
      <c r="A389" t="inlineStr">
        <is>
          <t>2026-04-19</t>
        </is>
      </c>
      <c r="B389" t="inlineStr">
        <is>
          <t>TAPG</t>
        </is>
      </c>
      <c r="C389" t="n">
        <v>2024</v>
      </c>
      <c r="D389" t="inlineStr">
        <is>
          <t>operations.ffb_production_t</t>
        </is>
      </c>
      <c r="E389" t="n">
        <v>2946000</v>
      </c>
      <c r="F389" t="n">
        <v>3276000</v>
      </c>
      <c r="G389" t="inlineStr">
        <is>
          <t>ROLLBACK (was MATERIAL_OVERRIDE — reconfirm showed definitional variance)</t>
        </is>
      </c>
    </row>
    <row r="390">
      <c r="A390" t="inlineStr">
        <is>
          <t>2026-04-19</t>
        </is>
      </c>
      <c r="B390" t="inlineStr">
        <is>
          <t>TAPG</t>
        </is>
      </c>
      <c r="C390" t="n">
        <v>2025</v>
      </c>
      <c r="D390" t="inlineStr">
        <is>
          <t>operations.mature_area_ha</t>
        </is>
      </c>
      <c r="E390" t="n">
        <v>148648</v>
      </c>
      <c r="F390" t="n">
        <v>125201</v>
      </c>
      <c r="G390" t="inlineStr">
        <is>
          <t>ROLLBACK (was MATERIAL_OVERRIDE — reconfirm showed definitional variance)</t>
        </is>
      </c>
    </row>
    <row r="391">
      <c r="A391" t="inlineStr">
        <is>
          <t>2026-04-19</t>
        </is>
      </c>
      <c r="B391" t="inlineStr">
        <is>
          <t>TAPG</t>
        </is>
      </c>
      <c r="C391" t="n">
        <v>2025</v>
      </c>
      <c r="D391" t="inlineStr">
        <is>
          <t>operations.immature_area_ha</t>
        </is>
      </c>
      <c r="E391" t="n">
        <v>11059</v>
      </c>
      <c r="F391" t="n">
        <v>7613</v>
      </c>
      <c r="G391" t="inlineStr">
        <is>
          <t>ROLLBACK (was MATERIAL_OVERRIDE — reconfirm showed definitional variance)</t>
        </is>
      </c>
    </row>
    <row r="392">
      <c r="A392" t="inlineStr">
        <is>
          <t>2026-04-19</t>
        </is>
      </c>
      <c r="B392" t="inlineStr">
        <is>
          <t>TAPG</t>
        </is>
      </c>
      <c r="C392" t="n">
        <v>2025</v>
      </c>
      <c r="D392" t="inlineStr">
        <is>
          <t>operations.ffb_production_t</t>
        </is>
      </c>
      <c r="E392" t="n">
        <v>3040000</v>
      </c>
      <c r="F392" t="n">
        <v>3425000</v>
      </c>
      <c r="G392" t="inlineStr">
        <is>
          <t>ROLLBACK (was MATERIAL_OVERRIDE — reconfirm showed definitional variance)</t>
        </is>
      </c>
    </row>
    <row r="393">
      <c r="A393" t="inlineStr">
        <is>
          <t>2026-04-19</t>
        </is>
      </c>
      <c r="B393" t="inlineStr">
        <is>
          <t>BTEK</t>
        </is>
      </c>
      <c r="C393" t="n">
        <v>2022</v>
      </c>
      <c r="D393" t="inlineStr">
        <is>
          <t>fin.net_profit</t>
        </is>
      </c>
      <c r="E393" t="n">
        <v>-358.68</v>
      </c>
      <c r="F393" t="n">
        <v>-133.47</v>
      </c>
      <c r="G393" t="inlineStr">
        <is>
          <t>RECONFIRMED_OVERRIDE (diff 62.8% vs precise NLM)</t>
        </is>
      </c>
    </row>
    <row r="394">
      <c r="A394" t="inlineStr">
        <is>
          <t>2026-04-19</t>
        </is>
      </c>
      <c r="B394" t="inlineStr">
        <is>
          <t>BTEK</t>
        </is>
      </c>
      <c r="C394" t="n">
        <v>2022</v>
      </c>
      <c r="D394" t="inlineStr">
        <is>
          <t>fin.profit_parent</t>
        </is>
      </c>
      <c r="E394" t="n">
        <v>-358.68</v>
      </c>
      <c r="F394" t="n">
        <v>-133.47</v>
      </c>
      <c r="G394" t="inlineStr">
        <is>
          <t>RECONFIRMED_OVERRIDE (diff 62.8% vs precise NLM)</t>
        </is>
      </c>
    </row>
    <row r="395">
      <c r="A395" t="inlineStr">
        <is>
          <t>2026-04-19</t>
        </is>
      </c>
      <c r="B395" t="inlineStr">
        <is>
          <t>BTEK</t>
        </is>
      </c>
      <c r="C395" t="n">
        <v>2023</v>
      </c>
      <c r="D395" t="inlineStr">
        <is>
          <t>fin.profit_parent</t>
        </is>
      </c>
      <c r="E395" t="n">
        <v>-114.05</v>
      </c>
      <c r="F395" t="n">
        <v>-114.05</v>
      </c>
      <c r="G395" t="inlineStr">
        <is>
          <t>CONFIRMED_XLSX (NLM match within 0.0%)</t>
        </is>
      </c>
    </row>
    <row r="396">
      <c r="A396" t="inlineStr">
        <is>
          <t>2026-04-19</t>
        </is>
      </c>
      <c r="B396" t="inlineStr">
        <is>
          <t>BWPT</t>
        </is>
      </c>
      <c r="C396" t="n">
        <v>2025</v>
      </c>
      <c r="D396" t="inlineStr">
        <is>
          <t>fin.cash</t>
        </is>
      </c>
      <c r="E396" t="n">
        <v>139.79</v>
      </c>
      <c r="F396" t="n">
        <v>139.79</v>
      </c>
      <c r="G396" t="inlineStr">
        <is>
          <t>CONFIRMED_XLSX (NLM match within 0.0%)</t>
        </is>
      </c>
    </row>
    <row r="397">
      <c r="A397" t="inlineStr">
        <is>
          <t>2026-04-19</t>
        </is>
      </c>
      <c r="B397" t="inlineStr">
        <is>
          <t>DSNG</t>
        </is>
      </c>
      <c r="C397" t="n">
        <v>2022</v>
      </c>
      <c r="D397" t="inlineStr">
        <is>
          <t>fin.cash</t>
        </is>
      </c>
      <c r="E397" t="n">
        <v>359.349</v>
      </c>
      <c r="F397" t="n">
        <v>359.349</v>
      </c>
      <c r="G397" t="inlineStr">
        <is>
          <t>CONFIRMED_XLSX (NLM match within 0.0%)</t>
        </is>
      </c>
    </row>
    <row r="398">
      <c r="A398" t="inlineStr">
        <is>
          <t>2026-04-19</t>
        </is>
      </c>
      <c r="B398" t="inlineStr">
        <is>
          <t>DSNG</t>
        </is>
      </c>
      <c r="C398" t="n">
        <v>2024</v>
      </c>
      <c r="D398" t="inlineStr">
        <is>
          <t>fin.cash</t>
        </is>
      </c>
      <c r="E398" t="n">
        <v>557.023</v>
      </c>
      <c r="F398" t="n">
        <v>557.023</v>
      </c>
      <c r="G398" t="inlineStr">
        <is>
          <t>AMBIGUOUS (precise definition not confirmable by NLM)</t>
        </is>
      </c>
    </row>
    <row r="399">
      <c r="A399" t="inlineStr">
        <is>
          <t>2026-04-19</t>
        </is>
      </c>
      <c r="B399" t="inlineStr">
        <is>
          <t>GZCO</t>
        </is>
      </c>
      <c r="C399" t="n">
        <v>2023</v>
      </c>
      <c r="D399" t="inlineStr">
        <is>
          <t>fin.net_profit</t>
        </is>
      </c>
      <c r="E399" t="n">
        <v>2.4</v>
      </c>
      <c r="F399" t="n">
        <v>2.4</v>
      </c>
      <c r="G399" t="inlineStr">
        <is>
          <t>CONFIRMED_XLSX (NLM match within 0.6%)</t>
        </is>
      </c>
    </row>
    <row r="400">
      <c r="A400" t="inlineStr">
        <is>
          <t>2026-04-19</t>
        </is>
      </c>
      <c r="B400" t="inlineStr">
        <is>
          <t>MAGP</t>
        </is>
      </c>
      <c r="C400" t="n">
        <v>2022</v>
      </c>
      <c r="D400" t="inlineStr">
        <is>
          <t>fin.cash</t>
        </is>
      </c>
      <c r="E400" t="n">
        <v>2.38</v>
      </c>
      <c r="F400" t="n">
        <v>2.38</v>
      </c>
      <c r="G400" t="inlineStr">
        <is>
          <t>AMBIGUOUS (precise definition not confirmable by NLM)</t>
        </is>
      </c>
    </row>
    <row r="401">
      <c r="A401" t="inlineStr">
        <is>
          <t>2026-04-19</t>
        </is>
      </c>
      <c r="B401" t="inlineStr">
        <is>
          <t>NSSS</t>
        </is>
      </c>
      <c r="C401" t="n">
        <v>2022</v>
      </c>
      <c r="D401" t="inlineStr">
        <is>
          <t>fin.eps</t>
        </is>
      </c>
      <c r="E401" t="n">
        <v>3</v>
      </c>
      <c r="F401" t="n">
        <v>3.47</v>
      </c>
      <c r="G401" t="inlineStr">
        <is>
          <t>RECONFIRMED_OVERRIDE (diff 15.7% vs precise NLM)</t>
        </is>
      </c>
    </row>
    <row r="402">
      <c r="A402" t="inlineStr">
        <is>
          <t>2026-04-19</t>
        </is>
      </c>
      <c r="B402" t="inlineStr">
        <is>
          <t>SMAR</t>
        </is>
      </c>
      <c r="C402" t="n">
        <v>2022</v>
      </c>
      <c r="D402" t="inlineStr">
        <is>
          <t>fin.gross_profit</t>
        </is>
      </c>
      <c r="E402" t="n">
        <v>13312</v>
      </c>
      <c r="F402" t="n">
        <v>13312</v>
      </c>
      <c r="G402" t="inlineStr">
        <is>
          <t>AMBIGUOUS (precise definition not confirmable by NLM)</t>
        </is>
      </c>
    </row>
    <row r="403">
      <c r="A403" t="inlineStr">
        <is>
          <t>2026-04-19</t>
        </is>
      </c>
      <c r="B403" t="inlineStr">
        <is>
          <t>SSMS</t>
        </is>
      </c>
      <c r="C403" t="n">
        <v>2023</v>
      </c>
      <c r="D403" t="inlineStr">
        <is>
          <t>fin.net_profit</t>
        </is>
      </c>
      <c r="E403" t="n">
        <v>344</v>
      </c>
      <c r="F403" t="n">
        <v>344</v>
      </c>
      <c r="G403" t="inlineStr">
        <is>
          <t>CONFIRMED_XLSX (NLM match within 0.0%)</t>
        </is>
      </c>
    </row>
    <row r="404">
      <c r="A404" t="inlineStr">
        <is>
          <t>2026-04-19</t>
        </is>
      </c>
      <c r="B404" t="inlineStr">
        <is>
          <t>SSMS</t>
        </is>
      </c>
      <c r="C404" t="n">
        <v>2025</v>
      </c>
      <c r="D404" t="inlineStr">
        <is>
          <t>fin.net_profit</t>
        </is>
      </c>
      <c r="E404" t="n">
        <v>1393</v>
      </c>
      <c r="F404" t="n">
        <v>1393</v>
      </c>
      <c r="G404" t="inlineStr">
        <is>
          <t>CONFIRMED_XLSX (NLM match within 0.0%)</t>
        </is>
      </c>
    </row>
    <row r="405">
      <c r="A405" t="inlineStr">
        <is>
          <t>2026-04-19</t>
        </is>
      </c>
      <c r="B405" t="inlineStr">
        <is>
          <t>WAPO</t>
        </is>
      </c>
      <c r="C405" t="n">
        <v>2023</v>
      </c>
      <c r="D405" t="inlineStr">
        <is>
          <t>fin.net_profit</t>
        </is>
      </c>
      <c r="E405" t="n">
        <v>0.22</v>
      </c>
      <c r="F405" t="n">
        <v>0.236</v>
      </c>
      <c r="G405" t="inlineStr">
        <is>
          <t>RECONFIRMED_OVERRIDE (diff 7.3% vs precise NLM)</t>
        </is>
      </c>
    </row>
    <row r="406">
      <c r="A406" t="inlineStr">
        <is>
          <t>2026-04-19</t>
        </is>
      </c>
      <c r="B406" t="inlineStr">
        <is>
          <t>WAPO</t>
        </is>
      </c>
      <c r="C406" t="n">
        <v>2023</v>
      </c>
      <c r="D406" t="inlineStr">
        <is>
          <t>fin.profit_parent</t>
        </is>
      </c>
      <c r="E406" t="n">
        <v>0.22</v>
      </c>
      <c r="F406" t="n">
        <v>0.236</v>
      </c>
      <c r="G406" t="inlineStr">
        <is>
          <t>RECONFIRMED_OVERRIDE (diff 7.3% vs precise NLM)</t>
        </is>
      </c>
    </row>
    <row r="407">
      <c r="A407" t="inlineStr">
        <is>
          <t>2026-04-19</t>
        </is>
      </c>
      <c r="B407" t="inlineStr">
        <is>
          <t>WAPO</t>
        </is>
      </c>
      <c r="C407" t="n">
        <v>2023</v>
      </c>
      <c r="D407" t="inlineStr">
        <is>
          <t>fin.cash</t>
        </is>
      </c>
      <c r="E407" t="n">
        <v>9.07</v>
      </c>
      <c r="F407" t="n">
        <v>9.07</v>
      </c>
      <c r="G407" t="inlineStr">
        <is>
          <t>CONFIRMED_XLSX (NLM match within 0.0%)</t>
        </is>
      </c>
    </row>
    <row r="408">
      <c r="A408" t="inlineStr">
        <is>
          <t>2026-04-19</t>
        </is>
      </c>
      <c r="B408" t="inlineStr">
        <is>
          <t>WAPO</t>
        </is>
      </c>
      <c r="C408" t="n">
        <v>2024</v>
      </c>
      <c r="D408" t="inlineStr">
        <is>
          <t>fin.net_profit</t>
        </is>
      </c>
      <c r="E408" t="n">
        <v>0.72</v>
      </c>
      <c r="F408" t="n">
        <v>0.784</v>
      </c>
      <c r="G408" t="inlineStr">
        <is>
          <t>RECONFIRMED_OVERRIDE (diff 8.9% vs precise NLM)</t>
        </is>
      </c>
    </row>
    <row r="409">
      <c r="A409" t="inlineStr">
        <is>
          <t>2026-04-19</t>
        </is>
      </c>
      <c r="B409" t="inlineStr">
        <is>
          <t>WAPO</t>
        </is>
      </c>
      <c r="C409" t="n">
        <v>2024</v>
      </c>
      <c r="D409" t="inlineStr">
        <is>
          <t>fin.profit_parent</t>
        </is>
      </c>
      <c r="E409" t="n">
        <v>0.72</v>
      </c>
      <c r="F409" t="n">
        <v>0.784</v>
      </c>
      <c r="G409" t="inlineStr">
        <is>
          <t>RECONFIRMED_OVERRIDE (diff 8.9% vs precise NLM)</t>
        </is>
      </c>
    </row>
    <row r="410">
      <c r="A410" t="inlineStr">
        <is>
          <t>2026-04-19</t>
        </is>
      </c>
      <c r="B410" t="inlineStr">
        <is>
          <t>WAPO</t>
        </is>
      </c>
      <c r="C410" t="n">
        <v>2024</v>
      </c>
      <c r="D410" t="inlineStr">
        <is>
          <t>fin.cash</t>
        </is>
      </c>
      <c r="E410" t="n">
        <v>8.57</v>
      </c>
      <c r="F410" t="n">
        <v>10.77</v>
      </c>
      <c r="G410" t="inlineStr">
        <is>
          <t>RECONFIRMED_OVERRIDE (diff 25.7% vs precise NLM)</t>
        </is>
      </c>
    </row>
    <row r="411">
      <c r="A411" t="inlineStr">
        <is>
          <t>2026-04-19</t>
        </is>
      </c>
      <c r="B411" t="inlineStr">
        <is>
          <t>AALI</t>
        </is>
      </c>
      <c r="C411" t="n">
        <v>2023</v>
      </c>
      <c r="D411" t="inlineStr">
        <is>
          <t>ops.ffb_production_t</t>
        </is>
      </c>
      <c r="E411" t="n">
        <v>4353645</v>
      </c>
      <c r="F411" t="n">
        <v>3312149</v>
      </c>
      <c r="G411" t="inlineStr">
        <is>
          <t>RECONFIRMED_OVERRIDE (diff 23.9% vs precise NLM)</t>
        </is>
      </c>
    </row>
    <row r="412">
      <c r="A412" t="inlineStr">
        <is>
          <t>2026-04-19</t>
        </is>
      </c>
      <c r="B412" t="inlineStr">
        <is>
          <t>AALI</t>
        </is>
      </c>
      <c r="C412" t="n">
        <v>2024</v>
      </c>
      <c r="D412" t="inlineStr">
        <is>
          <t>ops.ffb_production_t</t>
        </is>
      </c>
      <c r="E412" t="n">
        <v>3734458</v>
      </c>
      <c r="F412" t="n">
        <v>3002685</v>
      </c>
      <c r="G412" t="inlineStr">
        <is>
          <t>RECONFIRMED_OVERRIDE (diff 19.6% vs precise NLM)</t>
        </is>
      </c>
    </row>
    <row r="413">
      <c r="A413" t="inlineStr">
        <is>
          <t>2026-04-19</t>
        </is>
      </c>
      <c r="B413" t="inlineStr">
        <is>
          <t>AALI</t>
        </is>
      </c>
      <c r="C413" t="n">
        <v>2025</v>
      </c>
      <c r="D413" t="inlineStr">
        <is>
          <t>ops.ffb_production_t</t>
        </is>
      </c>
      <c r="E413" t="n">
        <v>3821559</v>
      </c>
      <c r="F413" t="n">
        <v>3009024</v>
      </c>
      <c r="G413" t="inlineStr">
        <is>
          <t>RECONFIRMED_OVERRIDE (diff 21.3% vs precise NLM)</t>
        </is>
      </c>
    </row>
    <row r="414">
      <c r="A414" t="inlineStr">
        <is>
          <t>2026-04-19</t>
        </is>
      </c>
      <c r="B414" t="inlineStr">
        <is>
          <t>BWPT</t>
        </is>
      </c>
      <c r="C414" t="n">
        <v>2023</v>
      </c>
      <c r="D414" t="inlineStr">
        <is>
          <t>ops.ffb_production_t</t>
        </is>
      </c>
      <c r="E414" t="n">
        <v>1084941</v>
      </c>
      <c r="F414" t="n">
        <v>975251</v>
      </c>
      <c r="G414" t="inlineStr">
        <is>
          <t>RECONFIRMED_OVERRIDE (diff 10.1% vs precise NLM)</t>
        </is>
      </c>
    </row>
    <row r="415">
      <c r="A415" t="inlineStr">
        <is>
          <t>2026-04-19</t>
        </is>
      </c>
      <c r="B415" t="inlineStr">
        <is>
          <t>CSRA</t>
        </is>
      </c>
      <c r="C415" t="n">
        <v>2024</v>
      </c>
      <c r="D415" t="inlineStr">
        <is>
          <t>ops.immature_area_ha</t>
        </is>
      </c>
      <c r="E415" t="n">
        <v>2636.7</v>
      </c>
      <c r="F415" t="n">
        <v>2636.7</v>
      </c>
      <c r="G415" t="inlineStr">
        <is>
          <t>CONFIRMED_XLSX (NLM match within 0.0%)</t>
        </is>
      </c>
    </row>
    <row r="416">
      <c r="A416" t="inlineStr">
        <is>
          <t>2026-04-19</t>
        </is>
      </c>
      <c r="B416" t="inlineStr">
        <is>
          <t>DSNG</t>
        </is>
      </c>
      <c r="C416" t="n">
        <v>2023</v>
      </c>
      <c r="D416" t="inlineStr">
        <is>
          <t>ops.ffb_production_t</t>
        </is>
      </c>
      <c r="E416" t="n">
        <v>2271821</v>
      </c>
      <c r="F416" t="n">
        <v>2271821</v>
      </c>
      <c r="G416" t="inlineStr">
        <is>
          <t>AMBIGUOUS (precise definition not confirmable by NLM)</t>
        </is>
      </c>
    </row>
    <row r="417">
      <c r="A417" t="inlineStr">
        <is>
          <t>2026-04-19</t>
        </is>
      </c>
      <c r="B417" t="inlineStr">
        <is>
          <t>DSNG</t>
        </is>
      </c>
      <c r="C417" t="n">
        <v>2024</v>
      </c>
      <c r="D417" t="inlineStr">
        <is>
          <t>ops.ffb_production_t</t>
        </is>
      </c>
      <c r="E417" t="n">
        <v>2109737</v>
      </c>
      <c r="F417" t="n">
        <v>2109737</v>
      </c>
      <c r="G417" t="inlineStr">
        <is>
          <t>AMBIGUOUS (precise definition not confirmable by NLM)</t>
        </is>
      </c>
    </row>
    <row r="418">
      <c r="A418" t="inlineStr">
        <is>
          <t>2026-04-19</t>
        </is>
      </c>
      <c r="B418" t="inlineStr">
        <is>
          <t>FAPA</t>
        </is>
      </c>
      <c r="C418" t="n">
        <v>2023</v>
      </c>
      <c r="D418" t="inlineStr">
        <is>
          <t>ops.mills_count</t>
        </is>
      </c>
      <c r="E418" t="n">
        <v>5</v>
      </c>
      <c r="F418" t="n">
        <v>6</v>
      </c>
      <c r="G418" t="inlineStr">
        <is>
          <t>RECONFIRMED_OVERRIDE (diff 20.0% vs precise NLM)</t>
        </is>
      </c>
    </row>
    <row r="419">
      <c r="A419" t="inlineStr">
        <is>
          <t>2026-04-19</t>
        </is>
      </c>
      <c r="B419" t="inlineStr">
        <is>
          <t>FAPA</t>
        </is>
      </c>
      <c r="C419" t="n">
        <v>2024</v>
      </c>
      <c r="D419" t="inlineStr">
        <is>
          <t>ops.mills_count</t>
        </is>
      </c>
      <c r="E419" t="n">
        <v>5</v>
      </c>
      <c r="F419" t="n">
        <v>6</v>
      </c>
      <c r="G419" t="inlineStr">
        <is>
          <t>RECONFIRMED_OVERRIDE (diff 20.0% vs precise NLM)</t>
        </is>
      </c>
    </row>
    <row r="420">
      <c r="A420" t="inlineStr">
        <is>
          <t>2026-04-19</t>
        </is>
      </c>
      <c r="B420" t="inlineStr">
        <is>
          <t>JARR</t>
        </is>
      </c>
      <c r="C420" t="n">
        <v>2022</v>
      </c>
      <c r="D420" t="inlineStr">
        <is>
          <t>ops.planted_area_total_ha</t>
        </is>
      </c>
      <c r="E420" t="n">
        <v>10264.87</v>
      </c>
      <c r="F420" t="n">
        <v>10782.99</v>
      </c>
      <c r="G420" t="inlineStr">
        <is>
          <t>RECONFIRMED_OVERRIDE (diff 5.0% vs precise NLM)</t>
        </is>
      </c>
    </row>
    <row r="421">
      <c r="A421" t="inlineStr">
        <is>
          <t>2026-04-19</t>
        </is>
      </c>
      <c r="B421" t="inlineStr">
        <is>
          <t>JARR</t>
        </is>
      </c>
      <c r="C421" t="n">
        <v>2022</v>
      </c>
      <c r="D421" t="inlineStr">
        <is>
          <t>ops.mill_capacity_tph</t>
        </is>
      </c>
      <c r="E421" t="n">
        <v>60</v>
      </c>
      <c r="F421" t="n">
        <v>0</v>
      </c>
      <c r="G421" t="inlineStr">
        <is>
          <t>RECONFIRMED_OVERRIDE (diff 100.0% vs precise NLM)</t>
        </is>
      </c>
    </row>
    <row r="422">
      <c r="A422" t="inlineStr">
        <is>
          <t>2026-04-19</t>
        </is>
      </c>
      <c r="B422" t="inlineStr">
        <is>
          <t>JAWA</t>
        </is>
      </c>
      <c r="C422" t="n">
        <v>2022</v>
      </c>
      <c r="D422" t="inlineStr">
        <is>
          <t>ops.planted_area_total_ha</t>
        </is>
      </c>
      <c r="E422" t="n">
        <v>44027</v>
      </c>
      <c r="F422" t="n">
        <v>27919</v>
      </c>
      <c r="G422" t="inlineStr">
        <is>
          <t>RECONFIRMED_OVERRIDE (diff 36.6% vs precise NLM)</t>
        </is>
      </c>
    </row>
    <row r="423">
      <c r="A423" t="inlineStr">
        <is>
          <t>2026-04-19</t>
        </is>
      </c>
      <c r="B423" t="inlineStr">
        <is>
          <t>JAWA</t>
        </is>
      </c>
      <c r="C423" t="n">
        <v>2022</v>
      </c>
      <c r="D423" t="inlineStr">
        <is>
          <t>ops.nucleus_area_ha</t>
        </is>
      </c>
      <c r="E423" t="n">
        <v>37515</v>
      </c>
      <c r="F423" t="n">
        <v>21407</v>
      </c>
      <c r="G423" t="inlineStr">
        <is>
          <t>RECONFIRMED_OVERRIDE (diff 42.9% vs precise NLM)</t>
        </is>
      </c>
    </row>
    <row r="424">
      <c r="A424" t="inlineStr">
        <is>
          <t>2026-04-19</t>
        </is>
      </c>
      <c r="B424" t="inlineStr">
        <is>
          <t>JAWA</t>
        </is>
      </c>
      <c r="C424" t="n">
        <v>2023</v>
      </c>
      <c r="D424" t="inlineStr">
        <is>
          <t>ops.planted_area_total_ha</t>
        </is>
      </c>
      <c r="E424" t="n">
        <v>44027</v>
      </c>
      <c r="F424" t="n">
        <v>27919</v>
      </c>
      <c r="G424" t="inlineStr">
        <is>
          <t>RECONFIRMED_OVERRIDE (diff 36.6% vs precise NLM)</t>
        </is>
      </c>
    </row>
    <row r="425">
      <c r="A425" t="inlineStr">
        <is>
          <t>2026-04-19</t>
        </is>
      </c>
      <c r="B425" t="inlineStr">
        <is>
          <t>JAWA</t>
        </is>
      </c>
      <c r="C425" t="n">
        <v>2023</v>
      </c>
      <c r="D425" t="inlineStr">
        <is>
          <t>ops.nucleus_area_ha</t>
        </is>
      </c>
      <c r="E425" t="n">
        <v>37515</v>
      </c>
      <c r="F425" t="n">
        <v>21407</v>
      </c>
      <c r="G425" t="inlineStr">
        <is>
          <t>RECONFIRMED_OVERRIDE (diff 42.9% vs precise NLM)</t>
        </is>
      </c>
    </row>
    <row r="426">
      <c r="A426" t="inlineStr">
        <is>
          <t>2026-04-19</t>
        </is>
      </c>
      <c r="B426" t="inlineStr">
        <is>
          <t>JAWA</t>
        </is>
      </c>
      <c r="C426" t="n">
        <v>2024</v>
      </c>
      <c r="D426" t="inlineStr">
        <is>
          <t>ops.planted_area_total_ha</t>
        </is>
      </c>
      <c r="E426" t="n">
        <v>43987</v>
      </c>
      <c r="F426" t="n">
        <v>27918</v>
      </c>
      <c r="G426" t="inlineStr">
        <is>
          <t>RECONFIRMED_OVERRIDE (diff 36.5% vs precise NLM)</t>
        </is>
      </c>
    </row>
    <row r="427">
      <c r="A427" t="inlineStr">
        <is>
          <t>2026-04-19</t>
        </is>
      </c>
      <c r="B427" t="inlineStr">
        <is>
          <t>JAWA</t>
        </is>
      </c>
      <c r="C427" t="n">
        <v>2024</v>
      </c>
      <c r="D427" t="inlineStr">
        <is>
          <t>ops.nucleus_area_ha</t>
        </is>
      </c>
      <c r="E427" t="n">
        <v>37475</v>
      </c>
      <c r="F427" t="n">
        <v>21407</v>
      </c>
      <c r="G427" t="inlineStr">
        <is>
          <t>RECONFIRMED_OVERRIDE (diff 42.9% vs precise NLM)</t>
        </is>
      </c>
    </row>
    <row r="428">
      <c r="A428" t="inlineStr">
        <is>
          <t>2026-04-19</t>
        </is>
      </c>
      <c r="B428" t="inlineStr">
        <is>
          <t>LSIP</t>
        </is>
      </c>
      <c r="C428" t="n">
        <v>2022</v>
      </c>
      <c r="D428" t="inlineStr">
        <is>
          <t>ops.planted_area_total_ha</t>
        </is>
      </c>
      <c r="E428" t="n">
        <v>111240</v>
      </c>
      <c r="F428" t="n">
        <v>111240</v>
      </c>
      <c r="G428" t="inlineStr">
        <is>
          <t>AMBIGUOUS (precise definition not confirmable by NLM)</t>
        </is>
      </c>
    </row>
    <row r="429">
      <c r="A429" t="inlineStr">
        <is>
          <t>2026-04-19</t>
        </is>
      </c>
      <c r="B429" t="inlineStr">
        <is>
          <t>LSIP</t>
        </is>
      </c>
      <c r="C429" t="n">
        <v>2022</v>
      </c>
      <c r="D429" t="inlineStr">
        <is>
          <t>ops.ffb_production_t</t>
        </is>
      </c>
      <c r="E429" t="n">
        <v>1417000</v>
      </c>
      <c r="F429" t="n">
        <v>1174000</v>
      </c>
      <c r="G429" t="inlineStr">
        <is>
          <t>RECONFIRMED_OVERRIDE (diff 17.1% vs precise NLM)</t>
        </is>
      </c>
    </row>
    <row r="430">
      <c r="A430" t="inlineStr">
        <is>
          <t>2026-04-19</t>
        </is>
      </c>
      <c r="B430" t="inlineStr">
        <is>
          <t>LSIP</t>
        </is>
      </c>
      <c r="C430" t="n">
        <v>2023</v>
      </c>
      <c r="D430" t="inlineStr">
        <is>
          <t>ops.planted_area_total_ha</t>
        </is>
      </c>
      <c r="E430" t="n">
        <v>111940</v>
      </c>
      <c r="F430" t="n">
        <v>111940</v>
      </c>
      <c r="G430" t="inlineStr">
        <is>
          <t>AMBIGUOUS (precise definition not confirmable by NLM)</t>
        </is>
      </c>
    </row>
    <row r="431">
      <c r="A431" t="inlineStr">
        <is>
          <t>2026-04-19</t>
        </is>
      </c>
      <c r="B431" t="inlineStr">
        <is>
          <t>LSIP</t>
        </is>
      </c>
      <c r="C431" t="n">
        <v>2023</v>
      </c>
      <c r="D431" t="inlineStr">
        <is>
          <t>ops.ffb_production_t</t>
        </is>
      </c>
      <c r="E431" t="n">
        <v>1377000</v>
      </c>
      <c r="F431" t="n">
        <v>1177000</v>
      </c>
      <c r="G431" t="inlineStr">
        <is>
          <t>RECONFIRMED_OVERRIDE (diff 14.5% vs precise NLM)</t>
        </is>
      </c>
    </row>
    <row r="432">
      <c r="A432" t="inlineStr">
        <is>
          <t>2026-04-19</t>
        </is>
      </c>
      <c r="B432" t="inlineStr">
        <is>
          <t>LSIP</t>
        </is>
      </c>
      <c r="C432" t="n">
        <v>2024</v>
      </c>
      <c r="D432" t="inlineStr">
        <is>
          <t>ops.planted_area_total_ha</t>
        </is>
      </c>
      <c r="E432" t="n">
        <v>111367</v>
      </c>
      <c r="F432" t="n">
        <v>111367</v>
      </c>
      <c r="G432" t="inlineStr">
        <is>
          <t>AMBIGUOUS (precise definition not confirmable by NLM)</t>
        </is>
      </c>
    </row>
    <row r="433">
      <c r="A433" t="inlineStr">
        <is>
          <t>2026-04-19</t>
        </is>
      </c>
      <c r="B433" t="inlineStr">
        <is>
          <t>LSIP</t>
        </is>
      </c>
      <c r="C433" t="n">
        <v>2024</v>
      </c>
      <c r="D433" t="inlineStr">
        <is>
          <t>ops.mature_area_ha</t>
        </is>
      </c>
      <c r="E433" t="n">
        <v>103036</v>
      </c>
      <c r="F433" t="n">
        <v>84941</v>
      </c>
      <c r="G433" t="inlineStr">
        <is>
          <t>RECONFIRMED_OVERRIDE (diff 17.6% vs precise NLM)</t>
        </is>
      </c>
    </row>
    <row r="434">
      <c r="A434" t="inlineStr">
        <is>
          <t>2026-04-19</t>
        </is>
      </c>
      <c r="B434" t="inlineStr">
        <is>
          <t>LSIP</t>
        </is>
      </c>
      <c r="C434" t="n">
        <v>2024</v>
      </c>
      <c r="D434" t="inlineStr">
        <is>
          <t>ops.immature_area_ha</t>
        </is>
      </c>
      <c r="E434" t="n">
        <v>8331</v>
      </c>
      <c r="F434" t="n">
        <v>6211</v>
      </c>
      <c r="G434" t="inlineStr">
        <is>
          <t>RECONFIRMED_OVERRIDE (diff 25.4% vs precise NLM)</t>
        </is>
      </c>
    </row>
    <row r="435">
      <c r="A435" t="inlineStr">
        <is>
          <t>2026-04-19</t>
        </is>
      </c>
      <c r="B435" t="inlineStr">
        <is>
          <t>LSIP</t>
        </is>
      </c>
      <c r="C435" t="n">
        <v>2024</v>
      </c>
      <c r="D435" t="inlineStr">
        <is>
          <t>ops.ffb_production_t</t>
        </is>
      </c>
      <c r="E435" t="n">
        <v>1345000</v>
      </c>
      <c r="F435" t="n">
        <v>1173000</v>
      </c>
      <c r="G435" t="inlineStr">
        <is>
          <t>RECONFIRMED_OVERRIDE (diff 12.8% vs precise NLM)</t>
        </is>
      </c>
    </row>
    <row r="436">
      <c r="A436" t="inlineStr">
        <is>
          <t>2026-04-19</t>
        </is>
      </c>
      <c r="B436" t="inlineStr">
        <is>
          <t>MGRO</t>
        </is>
      </c>
      <c r="C436" t="n">
        <v>2022</v>
      </c>
      <c r="D436" t="inlineStr">
        <is>
          <t>ops.mills_count</t>
        </is>
      </c>
      <c r="E436" t="n">
        <v>4</v>
      </c>
      <c r="F436" t="n">
        <v>5</v>
      </c>
      <c r="G436" t="inlineStr">
        <is>
          <t>RECONFIRMED_OVERRIDE (diff 25.0% vs precise NLM)</t>
        </is>
      </c>
    </row>
    <row r="437">
      <c r="A437" t="inlineStr">
        <is>
          <t>2026-04-19</t>
        </is>
      </c>
      <c r="B437" t="inlineStr">
        <is>
          <t>MGRO</t>
        </is>
      </c>
      <c r="C437" t="n">
        <v>2023</v>
      </c>
      <c r="D437" t="inlineStr">
        <is>
          <t>ops.mills_count</t>
        </is>
      </c>
      <c r="E437" t="n">
        <v>4</v>
      </c>
      <c r="F437" t="n">
        <v>5</v>
      </c>
      <c r="G437" t="inlineStr">
        <is>
          <t>RECONFIRMED_OVERRIDE (diff 25.0% vs precise NLM)</t>
        </is>
      </c>
    </row>
    <row r="438">
      <c r="A438" t="inlineStr">
        <is>
          <t>2026-04-19</t>
        </is>
      </c>
      <c r="B438" t="inlineStr">
        <is>
          <t>MGRO</t>
        </is>
      </c>
      <c r="C438" t="n">
        <v>2023</v>
      </c>
      <c r="D438" t="inlineStr">
        <is>
          <t>ops.ffb_production_t</t>
        </is>
      </c>
      <c r="E438" t="n">
        <v>694591</v>
      </c>
      <c r="F438" t="n">
        <v>694.59</v>
      </c>
      <c r="G438" t="inlineStr">
        <is>
          <t>RECONFIRMED_OVERRIDE (diff 99.9% vs precise NLM)</t>
        </is>
      </c>
    </row>
    <row r="439">
      <c r="A439" t="inlineStr">
        <is>
          <t>2026-04-19</t>
        </is>
      </c>
      <c r="B439" t="inlineStr">
        <is>
          <t>MGRO</t>
        </is>
      </c>
      <c r="C439" t="n">
        <v>2024</v>
      </c>
      <c r="D439" t="inlineStr">
        <is>
          <t>ops.mills_count</t>
        </is>
      </c>
      <c r="E439" t="n">
        <v>4</v>
      </c>
      <c r="F439" t="n">
        <v>6</v>
      </c>
      <c r="G439" t="inlineStr">
        <is>
          <t>RECONFIRMED_OVERRIDE (diff 50.0% vs precise NLM)</t>
        </is>
      </c>
    </row>
    <row r="440">
      <c r="A440" t="inlineStr">
        <is>
          <t>2026-04-19</t>
        </is>
      </c>
      <c r="B440" t="inlineStr">
        <is>
          <t>MGRO</t>
        </is>
      </c>
      <c r="C440" t="n">
        <v>2024</v>
      </c>
      <c r="D440" t="inlineStr">
        <is>
          <t>ops.ffb_production_t</t>
        </is>
      </c>
      <c r="E440" t="n">
        <v>486707</v>
      </c>
      <c r="F440" t="n">
        <v>487</v>
      </c>
      <c r="G440" t="inlineStr">
        <is>
          <t>RECONFIRMED_OVERRIDE (diff 99.9% vs precise NLM)</t>
        </is>
      </c>
    </row>
    <row r="441">
      <c r="A441" t="inlineStr">
        <is>
          <t>2026-04-19</t>
        </is>
      </c>
      <c r="B441" t="inlineStr">
        <is>
          <t>MKTR</t>
        </is>
      </c>
      <c r="C441" t="n">
        <v>2023</v>
      </c>
      <c r="D441" t="inlineStr">
        <is>
          <t>ops.mill_capacity_tph</t>
        </is>
      </c>
      <c r="E441" t="n">
        <v>30</v>
      </c>
      <c r="F441" t="n">
        <v>60</v>
      </c>
      <c r="G441" t="inlineStr">
        <is>
          <t>RECONFIRMED_OVERRIDE (diff 100.0% vs precise NLM)</t>
        </is>
      </c>
    </row>
    <row r="442">
      <c r="A442" t="inlineStr">
        <is>
          <t>2026-04-19</t>
        </is>
      </c>
      <c r="B442" t="inlineStr">
        <is>
          <t>MKTR</t>
        </is>
      </c>
      <c r="C442" t="n">
        <v>2023</v>
      </c>
      <c r="D442" t="inlineStr">
        <is>
          <t>ops.kernel_production_t</t>
        </is>
      </c>
      <c r="E442" t="n">
        <v>10211</v>
      </c>
      <c r="F442" t="n">
        <v>11149</v>
      </c>
      <c r="G442" t="inlineStr">
        <is>
          <t>RECONFIRMED_OVERRIDE (diff 9.2% vs precise NLM)</t>
        </is>
      </c>
    </row>
    <row r="443">
      <c r="A443" t="inlineStr">
        <is>
          <t>2026-04-19</t>
        </is>
      </c>
      <c r="B443" t="inlineStr">
        <is>
          <t>MKTR</t>
        </is>
      </c>
      <c r="C443" t="n">
        <v>2023</v>
      </c>
      <c r="D443" t="inlineStr">
        <is>
          <t>ops.oer_reported_pct</t>
        </is>
      </c>
      <c r="E443" t="n">
        <v>0.1912</v>
      </c>
      <c r="F443" t="n">
        <v>0.1912</v>
      </c>
      <c r="G443" t="inlineStr">
        <is>
          <t>AMBIGUOUS (precise definition not confirmable by NLM)</t>
        </is>
      </c>
    </row>
    <row r="444">
      <c r="A444" t="inlineStr">
        <is>
          <t>2026-04-19</t>
        </is>
      </c>
      <c r="B444" t="inlineStr">
        <is>
          <t>NSSS</t>
        </is>
      </c>
      <c r="C444" t="n">
        <v>2023</v>
      </c>
      <c r="D444" t="inlineStr">
        <is>
          <t>ops.mills_count</t>
        </is>
      </c>
      <c r="E444" t="n">
        <v>2</v>
      </c>
      <c r="F444" t="n">
        <v>2</v>
      </c>
      <c r="G444" t="inlineStr">
        <is>
          <t>CONFIRMED_XLSX (NLM match within 0.0%)</t>
        </is>
      </c>
    </row>
    <row r="445">
      <c r="A445" t="inlineStr">
        <is>
          <t>2026-04-19</t>
        </is>
      </c>
      <c r="B445" t="inlineStr">
        <is>
          <t>NSSS</t>
        </is>
      </c>
      <c r="C445" t="n">
        <v>2023</v>
      </c>
      <c r="D445" t="inlineStr">
        <is>
          <t>ops.mill_capacity_tph</t>
        </is>
      </c>
      <c r="E445" t="n">
        <v>120</v>
      </c>
      <c r="F445" t="n">
        <v>120</v>
      </c>
      <c r="G445" t="inlineStr">
        <is>
          <t>CONFIRMED_XLSX (NLM match within 0.0%)</t>
        </is>
      </c>
    </row>
    <row r="446">
      <c r="A446" t="inlineStr">
        <is>
          <t>2026-04-19</t>
        </is>
      </c>
      <c r="B446" t="inlineStr">
        <is>
          <t>PGUN</t>
        </is>
      </c>
      <c r="C446" t="n">
        <v>2022</v>
      </c>
      <c r="D446" t="inlineStr">
        <is>
          <t>ops.nucleus_area_ha</t>
        </is>
      </c>
      <c r="E446" t="n">
        <v>20267</v>
      </c>
      <c r="F446" t="n">
        <v>16877.18</v>
      </c>
      <c r="G446" t="inlineStr">
        <is>
          <t>RECONFIRMED_OVERRIDE (diff 16.7% vs precise NLM)</t>
        </is>
      </c>
    </row>
    <row r="447">
      <c r="A447" t="inlineStr">
        <is>
          <t>2026-04-19</t>
        </is>
      </c>
      <c r="B447" t="inlineStr">
        <is>
          <t>PGUN</t>
        </is>
      </c>
      <c r="C447" t="n">
        <v>2022</v>
      </c>
      <c r="D447" t="inlineStr">
        <is>
          <t>ops.mature_area_ha</t>
        </is>
      </c>
      <c r="E447" t="n">
        <v>19417</v>
      </c>
      <c r="F447" t="n">
        <v>12396.52</v>
      </c>
      <c r="G447" t="inlineStr">
        <is>
          <t>RECONFIRMED_OVERRIDE (diff 36.2% vs precise NLM)</t>
        </is>
      </c>
    </row>
    <row r="448">
      <c r="A448" t="inlineStr">
        <is>
          <t>2026-04-19</t>
        </is>
      </c>
      <c r="B448" t="inlineStr">
        <is>
          <t>PGUN</t>
        </is>
      </c>
      <c r="C448" t="n">
        <v>2023</v>
      </c>
      <c r="D448" t="inlineStr">
        <is>
          <t>ops.planted_area_total_ha</t>
        </is>
      </c>
      <c r="E448" t="n">
        <v>20267</v>
      </c>
      <c r="F448" t="n">
        <v>26945.33</v>
      </c>
      <c r="G448" t="inlineStr">
        <is>
          <t>RECONFIRMED_OVERRIDE (diff 33.0% vs precise NLM)</t>
        </is>
      </c>
    </row>
    <row r="449">
      <c r="A449" t="inlineStr">
        <is>
          <t>2026-04-19</t>
        </is>
      </c>
      <c r="B449" t="inlineStr">
        <is>
          <t>PGUN</t>
        </is>
      </c>
      <c r="C449" t="n">
        <v>2023</v>
      </c>
      <c r="D449" t="inlineStr">
        <is>
          <t>ops.nucleus_area_ha</t>
        </is>
      </c>
      <c r="E449" t="n">
        <v>20267</v>
      </c>
      <c r="F449" t="n">
        <v>23366.63</v>
      </c>
      <c r="G449" t="inlineStr">
        <is>
          <t>RECONFIRMED_OVERRIDE (diff 15.3% vs precise NLM)</t>
        </is>
      </c>
    </row>
    <row r="450">
      <c r="A450" t="inlineStr">
        <is>
          <t>2026-04-19</t>
        </is>
      </c>
      <c r="B450" t="inlineStr">
        <is>
          <t>PGUN</t>
        </is>
      </c>
      <c r="C450" t="n">
        <v>2024</v>
      </c>
      <c r="D450" t="inlineStr">
        <is>
          <t>ops.planted_area_total_ha</t>
        </is>
      </c>
      <c r="E450" t="n">
        <v>22782</v>
      </c>
      <c r="F450" t="n">
        <v>26620.92</v>
      </c>
      <c r="G450" t="inlineStr">
        <is>
          <t>RECONFIRMED_OVERRIDE (diff 16.9% vs precise NLM)</t>
        </is>
      </c>
    </row>
    <row r="451">
      <c r="A451" t="inlineStr">
        <is>
          <t>2026-04-19</t>
        </is>
      </c>
      <c r="B451" t="inlineStr">
        <is>
          <t>PNGO</t>
        </is>
      </c>
      <c r="C451" t="n">
        <v>2022</v>
      </c>
      <c r="D451" t="inlineStr">
        <is>
          <t>ops.planted_area_total_ha</t>
        </is>
      </c>
      <c r="E451" t="n">
        <v>13324</v>
      </c>
      <c r="F451" t="n">
        <v>13324</v>
      </c>
      <c r="G451" t="inlineStr">
        <is>
          <t>AMBIGUOUS (precise definition not confirmable by NLM)</t>
        </is>
      </c>
    </row>
    <row r="452">
      <c r="A452" t="inlineStr">
        <is>
          <t>2026-04-19</t>
        </is>
      </c>
      <c r="B452" t="inlineStr">
        <is>
          <t>PNGO</t>
        </is>
      </c>
      <c r="C452" t="n">
        <v>2023</v>
      </c>
      <c r="D452" t="inlineStr">
        <is>
          <t>ops.planted_area_total_ha</t>
        </is>
      </c>
      <c r="E452" t="n">
        <v>13834</v>
      </c>
      <c r="F452" t="n">
        <v>13834</v>
      </c>
      <c r="G452" t="inlineStr">
        <is>
          <t>AMBIGUOUS (precise definition not confirmable by NLM)</t>
        </is>
      </c>
    </row>
    <row r="453">
      <c r="A453" t="inlineStr">
        <is>
          <t>2026-04-19</t>
        </is>
      </c>
      <c r="B453" t="inlineStr">
        <is>
          <t>SGRO</t>
        </is>
      </c>
      <c r="C453" t="n">
        <v>2022</v>
      </c>
      <c r="D453" t="inlineStr">
        <is>
          <t>ops.planted_area_total_ha</t>
        </is>
      </c>
      <c r="E453" t="n">
        <v>168142</v>
      </c>
      <c r="F453" t="n">
        <v>132660</v>
      </c>
      <c r="G453" t="inlineStr">
        <is>
          <t>RECONFIRMED_OVERRIDE (diff 21.1% vs precise NLM)</t>
        </is>
      </c>
    </row>
    <row r="454">
      <c r="A454" t="inlineStr">
        <is>
          <t>2026-04-19</t>
        </is>
      </c>
      <c r="B454" t="inlineStr">
        <is>
          <t>SGRO</t>
        </is>
      </c>
      <c r="C454" t="n">
        <v>2022</v>
      </c>
      <c r="D454" t="inlineStr">
        <is>
          <t>ops.nucleus_area_ha</t>
        </is>
      </c>
      <c r="E454" t="n">
        <v>117461</v>
      </c>
      <c r="F454" t="n">
        <v>82973</v>
      </c>
      <c r="G454" t="inlineStr">
        <is>
          <t>RECONFIRMED_OVERRIDE (diff 29.4% vs precise NLM)</t>
        </is>
      </c>
    </row>
    <row r="455">
      <c r="A455" t="inlineStr">
        <is>
          <t>2026-04-19</t>
        </is>
      </c>
      <c r="B455" t="inlineStr">
        <is>
          <t>SGRO</t>
        </is>
      </c>
      <c r="C455" t="n">
        <v>2022</v>
      </c>
      <c r="D455" t="inlineStr">
        <is>
          <t>ops.avg_tree_age_years</t>
        </is>
      </c>
      <c r="E455" t="n">
        <v>14</v>
      </c>
      <c r="F455" t="n">
        <v>14</v>
      </c>
      <c r="G455" t="inlineStr">
        <is>
          <t>AMBIGUOUS (precise definition not confirmable by NLM)</t>
        </is>
      </c>
    </row>
    <row r="456">
      <c r="A456" t="inlineStr">
        <is>
          <t>2026-04-19</t>
        </is>
      </c>
      <c r="B456" t="inlineStr">
        <is>
          <t>SGRO</t>
        </is>
      </c>
      <c r="C456" t="n">
        <v>2022</v>
      </c>
      <c r="D456" t="inlineStr">
        <is>
          <t>ops.ffb_production_t</t>
        </is>
      </c>
      <c r="E456" t="n">
        <v>1862586</v>
      </c>
      <c r="F456" t="n">
        <v>1242866</v>
      </c>
      <c r="G456" t="inlineStr">
        <is>
          <t>RECONFIRMED_OVERRIDE (diff 33.3% vs precise NLM)</t>
        </is>
      </c>
    </row>
    <row r="457">
      <c r="A457" t="inlineStr">
        <is>
          <t>2026-04-19</t>
        </is>
      </c>
      <c r="B457" t="inlineStr">
        <is>
          <t>SGRO</t>
        </is>
      </c>
      <c r="C457" t="n">
        <v>2023</v>
      </c>
      <c r="D457" t="inlineStr">
        <is>
          <t>ops.planted_area_total_ha</t>
        </is>
      </c>
      <c r="E457" t="n">
        <v>167637</v>
      </c>
      <c r="F457" t="n">
        <v>132162</v>
      </c>
      <c r="G457" t="inlineStr">
        <is>
          <t>RECONFIRMED_OVERRIDE (diff 21.2% vs precise NLM)</t>
        </is>
      </c>
    </row>
    <row r="458">
      <c r="A458" t="inlineStr">
        <is>
          <t>2026-04-19</t>
        </is>
      </c>
      <c r="B458" t="inlineStr">
        <is>
          <t>SGRO</t>
        </is>
      </c>
      <c r="C458" t="n">
        <v>2023</v>
      </c>
      <c r="D458" t="inlineStr">
        <is>
          <t>ops.nucleus_area_ha</t>
        </is>
      </c>
      <c r="E458" t="n">
        <v>117598</v>
      </c>
      <c r="F458" t="n">
        <v>82123</v>
      </c>
      <c r="G458" t="inlineStr">
        <is>
          <t>RECONFIRMED_OVERRIDE (diff 30.2% vs precise NLM)</t>
        </is>
      </c>
    </row>
    <row r="459">
      <c r="A459" t="inlineStr">
        <is>
          <t>2026-04-19</t>
        </is>
      </c>
      <c r="B459" t="inlineStr">
        <is>
          <t>SGRO</t>
        </is>
      </c>
      <c r="C459" t="n">
        <v>2023</v>
      </c>
      <c r="D459" t="inlineStr">
        <is>
          <t>ops.ffb_production_t</t>
        </is>
      </c>
      <c r="E459" t="n">
        <v>1900174</v>
      </c>
      <c r="F459" t="n">
        <v>1259629</v>
      </c>
      <c r="G459" t="inlineStr">
        <is>
          <t>RECONFIRMED_OVERRIDE (diff 33.7% vs precise NLM)</t>
        </is>
      </c>
    </row>
    <row r="460">
      <c r="A460" t="inlineStr">
        <is>
          <t>2026-04-19</t>
        </is>
      </c>
      <c r="B460" t="inlineStr">
        <is>
          <t>SGRO</t>
        </is>
      </c>
      <c r="C460" t="n">
        <v>2024</v>
      </c>
      <c r="D460" t="inlineStr">
        <is>
          <t>ops.planted_area_total_ha</t>
        </is>
      </c>
      <c r="E460" t="n">
        <v>164721</v>
      </c>
      <c r="F460" t="n">
        <v>128290</v>
      </c>
      <c r="G460" t="inlineStr">
        <is>
          <t>RECONFIRMED_OVERRIDE (diff 22.1% vs precise NLM)</t>
        </is>
      </c>
    </row>
    <row r="461">
      <c r="A461" t="inlineStr">
        <is>
          <t>2026-04-19</t>
        </is>
      </c>
      <c r="B461" t="inlineStr">
        <is>
          <t>SGRO</t>
        </is>
      </c>
      <c r="C461" t="n">
        <v>2024</v>
      </c>
      <c r="D461" t="inlineStr">
        <is>
          <t>ops.nucleus_area_ha</t>
        </is>
      </c>
      <c r="E461" t="n">
        <v>118164</v>
      </c>
      <c r="F461" t="n">
        <v>81733</v>
      </c>
      <c r="G461" t="inlineStr">
        <is>
          <t>RECONFIRMED_OVERRIDE (diff 30.8% vs precise NLM)</t>
        </is>
      </c>
    </row>
    <row r="462">
      <c r="A462" t="inlineStr">
        <is>
          <t>2026-04-19</t>
        </is>
      </c>
      <c r="B462" t="inlineStr">
        <is>
          <t>SGRO</t>
        </is>
      </c>
      <c r="C462" t="n">
        <v>2024</v>
      </c>
      <c r="D462" t="inlineStr">
        <is>
          <t>ops.ffb_production_t</t>
        </is>
      </c>
      <c r="E462" t="n">
        <v>1726376</v>
      </c>
      <c r="F462" t="n">
        <v>1167927</v>
      </c>
      <c r="G462" t="inlineStr">
        <is>
          <t>RECONFIRMED_OVERRIDE (diff 32.3% vs precise NLM)</t>
        </is>
      </c>
    </row>
    <row r="463">
      <c r="A463" t="inlineStr">
        <is>
          <t>2026-04-19</t>
        </is>
      </c>
      <c r="B463" t="inlineStr">
        <is>
          <t>SIMP</t>
        </is>
      </c>
      <c r="C463" t="n">
        <v>2022</v>
      </c>
      <c r="D463" t="inlineStr">
        <is>
          <t>ops.planted_area_total_ha</t>
        </is>
      </c>
      <c r="E463" t="n">
        <v>294488</v>
      </c>
      <c r="F463" t="n">
        <v>294488</v>
      </c>
      <c r="G463" t="inlineStr">
        <is>
          <t>AMBIGUOUS (precise definition not confirmable by NLM)</t>
        </is>
      </c>
    </row>
    <row r="464">
      <c r="A464" t="inlineStr">
        <is>
          <t>2026-04-19</t>
        </is>
      </c>
      <c r="B464" t="inlineStr">
        <is>
          <t>SIMP</t>
        </is>
      </c>
      <c r="C464" t="n">
        <v>2022</v>
      </c>
      <c r="D464" t="inlineStr">
        <is>
          <t>ops.nucleus_area_ha</t>
        </is>
      </c>
      <c r="E464" t="n">
        <v>294488</v>
      </c>
      <c r="F464" t="n">
        <v>244768</v>
      </c>
      <c r="G464" t="inlineStr">
        <is>
          <t>RECONFIRMED_OVERRIDE (diff 16.9% vs precise NLM)</t>
        </is>
      </c>
    </row>
    <row r="465">
      <c r="A465" t="inlineStr">
        <is>
          <t>2026-04-19</t>
        </is>
      </c>
      <c r="B465" t="inlineStr">
        <is>
          <t>SIMP</t>
        </is>
      </c>
      <c r="C465" t="n">
        <v>2022</v>
      </c>
      <c r="D465" t="inlineStr">
        <is>
          <t>ops.mature_area_ha</t>
        </is>
      </c>
      <c r="E465" t="n">
        <v>248538</v>
      </c>
      <c r="F465" t="n">
        <v>218064</v>
      </c>
      <c r="G465" t="inlineStr">
        <is>
          <t>RECONFIRMED_OVERRIDE (diff 12.3% vs precise NLM)</t>
        </is>
      </c>
    </row>
    <row r="466">
      <c r="A466" t="inlineStr">
        <is>
          <t>2026-04-19</t>
        </is>
      </c>
      <c r="B466" t="inlineStr">
        <is>
          <t>SIMP</t>
        </is>
      </c>
      <c r="C466" t="n">
        <v>2022</v>
      </c>
      <c r="D466" t="inlineStr">
        <is>
          <t>ops.immature_area_ha</t>
        </is>
      </c>
      <c r="E466" t="n">
        <v>31894</v>
      </c>
      <c r="F466" t="n">
        <v>26704</v>
      </c>
      <c r="G466" t="inlineStr">
        <is>
          <t>RECONFIRMED_OVERRIDE (diff 16.3% vs precise NLM)</t>
        </is>
      </c>
    </row>
    <row r="467">
      <c r="A467" t="inlineStr">
        <is>
          <t>2026-04-19</t>
        </is>
      </c>
      <c r="B467" t="inlineStr">
        <is>
          <t>SIMP</t>
        </is>
      </c>
      <c r="C467" t="n">
        <v>2022</v>
      </c>
      <c r="D467" t="inlineStr">
        <is>
          <t>ops.ffb_production_t</t>
        </is>
      </c>
      <c r="E467" t="n">
        <v>3741000</v>
      </c>
      <c r="F467" t="n">
        <v>2812000</v>
      </c>
      <c r="G467" t="inlineStr">
        <is>
          <t>RECONFIRMED_OVERRIDE (diff 24.8% vs precise NLM)</t>
        </is>
      </c>
    </row>
    <row r="468">
      <c r="A468" t="inlineStr">
        <is>
          <t>2026-04-19</t>
        </is>
      </c>
      <c r="B468" t="inlineStr">
        <is>
          <t>SIMP</t>
        </is>
      </c>
      <c r="C468" t="n">
        <v>2023</v>
      </c>
      <c r="D468" t="inlineStr">
        <is>
          <t>ops.planted_area_total_ha</t>
        </is>
      </c>
      <c r="E468" t="n">
        <v>293429</v>
      </c>
      <c r="F468" t="n">
        <v>293429</v>
      </c>
      <c r="G468" t="inlineStr">
        <is>
          <t>AMBIGUOUS (precise definition not confirmable by NLM)</t>
        </is>
      </c>
    </row>
    <row r="469">
      <c r="A469" t="inlineStr">
        <is>
          <t>2026-04-19</t>
        </is>
      </c>
      <c r="B469" t="inlineStr">
        <is>
          <t>SIMP</t>
        </is>
      </c>
      <c r="C469" t="n">
        <v>2023</v>
      </c>
      <c r="D469" t="inlineStr">
        <is>
          <t>ops.nucleus_area_ha</t>
        </is>
      </c>
      <c r="E469" t="n">
        <v>293429</v>
      </c>
      <c r="F469" t="n">
        <v>244337</v>
      </c>
      <c r="G469" t="inlineStr">
        <is>
          <t>RECONFIRMED_OVERRIDE (diff 16.7% vs precise NLM)</t>
        </is>
      </c>
    </row>
    <row r="470">
      <c r="A470" t="inlineStr">
        <is>
          <t>2026-04-19</t>
        </is>
      </c>
      <c r="B470" t="inlineStr">
        <is>
          <t>SIMP</t>
        </is>
      </c>
      <c r="C470" t="n">
        <v>2023</v>
      </c>
      <c r="D470" t="inlineStr">
        <is>
          <t>ops.mature_area_ha</t>
        </is>
      </c>
      <c r="E470" t="n">
        <v>250978</v>
      </c>
      <c r="F470" t="n">
        <v>220531</v>
      </c>
      <c r="G470" t="inlineStr">
        <is>
          <t>RECONFIRMED_OVERRIDE (diff 12.1% vs precise NLM)</t>
        </is>
      </c>
    </row>
    <row r="471">
      <c r="A471" t="inlineStr">
        <is>
          <t>2026-04-19</t>
        </is>
      </c>
      <c r="B471" t="inlineStr">
        <is>
          <t>SIMP</t>
        </is>
      </c>
      <c r="C471" t="n">
        <v>2023</v>
      </c>
      <c r="D471" t="inlineStr">
        <is>
          <t>ops.immature_area_ha</t>
        </is>
      </c>
      <c r="E471" t="n">
        <v>29067</v>
      </c>
      <c r="F471" t="n">
        <v>23806</v>
      </c>
      <c r="G471" t="inlineStr">
        <is>
          <t>RECONFIRMED_OVERRIDE (diff 18.1% vs precise NLM)</t>
        </is>
      </c>
    </row>
    <row r="472">
      <c r="A472" t="inlineStr">
        <is>
          <t>2026-04-19</t>
        </is>
      </c>
      <c r="B472" t="inlineStr">
        <is>
          <t>SIMP</t>
        </is>
      </c>
      <c r="C472" t="n">
        <v>2023</v>
      </c>
      <c r="D472" t="inlineStr">
        <is>
          <t>ops.ffb_production_t</t>
        </is>
      </c>
      <c r="E472" t="n">
        <v>3632000</v>
      </c>
      <c r="F472" t="n">
        <v>2784000</v>
      </c>
      <c r="G472" t="inlineStr">
        <is>
          <t>RECONFIRMED_OVERRIDE (diff 23.3% vs precise NLM)</t>
        </is>
      </c>
    </row>
    <row r="473">
      <c r="A473" t="inlineStr">
        <is>
          <t>2026-04-19</t>
        </is>
      </c>
      <c r="B473" t="inlineStr">
        <is>
          <t>SIMP</t>
        </is>
      </c>
      <c r="C473" t="n">
        <v>2024</v>
      </c>
      <c r="D473" t="inlineStr">
        <is>
          <t>ops.planted_area_total_ha</t>
        </is>
      </c>
      <c r="E473" t="n">
        <v>288649</v>
      </c>
      <c r="F473" t="n">
        <v>288649</v>
      </c>
      <c r="G473" t="inlineStr">
        <is>
          <t>AMBIGUOUS (precise definition not confirmable by NLM)</t>
        </is>
      </c>
    </row>
    <row r="474">
      <c r="A474" t="inlineStr">
        <is>
          <t>2026-04-19</t>
        </is>
      </c>
      <c r="B474" t="inlineStr">
        <is>
          <t>SIMP</t>
        </is>
      </c>
      <c r="C474" t="n">
        <v>2024</v>
      </c>
      <c r="D474" t="inlineStr">
        <is>
          <t>ops.nucleus_area_ha</t>
        </is>
      </c>
      <c r="E474" t="n">
        <v>288649</v>
      </c>
      <c r="F474" t="n">
        <v>241208</v>
      </c>
      <c r="G474" t="inlineStr">
        <is>
          <t>RECONFIRMED_OVERRIDE (diff 16.4% vs precise NLM)</t>
        </is>
      </c>
    </row>
    <row r="475">
      <c r="A475" t="inlineStr">
        <is>
          <t>2026-04-19</t>
        </is>
      </c>
      <c r="B475" t="inlineStr">
        <is>
          <t>SIMP</t>
        </is>
      </c>
      <c r="C475" t="n">
        <v>2024</v>
      </c>
      <c r="D475" t="inlineStr">
        <is>
          <t>ops.mature_area_ha</t>
        </is>
      </c>
      <c r="E475" t="n">
        <v>249644</v>
      </c>
      <c r="F475" t="n">
        <v>220318</v>
      </c>
      <c r="G475" t="inlineStr">
        <is>
          <t>RECONFIRMED_OVERRIDE (diff 11.7% vs precise NLM)</t>
        </is>
      </c>
    </row>
    <row r="476">
      <c r="A476" t="inlineStr">
        <is>
          <t>2026-04-19</t>
        </is>
      </c>
      <c r="B476" t="inlineStr">
        <is>
          <t>SIMP</t>
        </is>
      </c>
      <c r="C476" t="n">
        <v>2024</v>
      </c>
      <c r="D476" t="inlineStr">
        <is>
          <t>ops.immature_area_ha</t>
        </is>
      </c>
      <c r="E476" t="n">
        <v>25422</v>
      </c>
      <c r="F476" t="n">
        <v>20890</v>
      </c>
      <c r="G476" t="inlineStr">
        <is>
          <t>RECONFIRMED_OVERRIDE (diff 17.8% vs precise NLM)</t>
        </is>
      </c>
    </row>
    <row r="477">
      <c r="A477" t="inlineStr">
        <is>
          <t>2026-04-19</t>
        </is>
      </c>
      <c r="B477" t="inlineStr">
        <is>
          <t>SIMP</t>
        </is>
      </c>
      <c r="C477" t="n">
        <v>2024</v>
      </c>
      <c r="D477" t="inlineStr">
        <is>
          <t>ops.ffb_production_t</t>
        </is>
      </c>
      <c r="E477" t="n">
        <v>3645000</v>
      </c>
      <c r="F477" t="n">
        <v>2758000</v>
      </c>
      <c r="G477" t="inlineStr">
        <is>
          <t>RECONFIRMED_OVERRIDE (diff 24.3% vs precise NLM)</t>
        </is>
      </c>
    </row>
    <row r="478">
      <c r="A478" t="inlineStr">
        <is>
          <t>2026-04-19</t>
        </is>
      </c>
      <c r="B478" t="inlineStr">
        <is>
          <t>SMAR</t>
        </is>
      </c>
      <c r="C478" t="n">
        <v>2022</v>
      </c>
      <c r="D478" t="inlineStr">
        <is>
          <t>ops.ffb_production_t</t>
        </is>
      </c>
      <c r="E478" t="n">
        <v>2480000</v>
      </c>
      <c r="F478" t="n">
        <v>1950842</v>
      </c>
      <c r="G478" t="inlineStr">
        <is>
          <t>RECONFIRMED_OVERRIDE (diff 21.3% vs precise NLM)</t>
        </is>
      </c>
    </row>
    <row r="479">
      <c r="A479" t="inlineStr">
        <is>
          <t>2026-04-19</t>
        </is>
      </c>
      <c r="B479" t="inlineStr">
        <is>
          <t>SMAR</t>
        </is>
      </c>
      <c r="C479" t="n">
        <v>2023</v>
      </c>
      <c r="D479" t="inlineStr">
        <is>
          <t>ops.ffb_production_t</t>
        </is>
      </c>
      <c r="E479" t="n">
        <v>2410000</v>
      </c>
      <c r="F479" t="n">
        <v>1849591</v>
      </c>
      <c r="G479" t="inlineStr">
        <is>
          <t>RECONFIRMED_OVERRIDE (diff 23.3% vs precise NLM)</t>
        </is>
      </c>
    </row>
    <row r="480">
      <c r="A480" t="inlineStr">
        <is>
          <t>2026-04-19</t>
        </is>
      </c>
      <c r="B480" t="inlineStr">
        <is>
          <t>SMAR</t>
        </is>
      </c>
      <c r="C480" t="n">
        <v>2023</v>
      </c>
      <c r="D480" t="inlineStr">
        <is>
          <t>ops.avg_cpo_selling_price_rp_per_kg</t>
        </is>
      </c>
      <c r="E480" t="n">
        <v>13734</v>
      </c>
      <c r="F480" t="n">
        <v>13734</v>
      </c>
      <c r="G480" t="inlineStr">
        <is>
          <t>CONFIRMED_XLSX (NLM match within 0.0%)</t>
        </is>
      </c>
    </row>
    <row r="481">
      <c r="A481" t="inlineStr">
        <is>
          <t>2026-04-19</t>
        </is>
      </c>
      <c r="B481" t="inlineStr">
        <is>
          <t>SMAR</t>
        </is>
      </c>
      <c r="C481" t="n">
        <v>2024</v>
      </c>
      <c r="D481" t="inlineStr">
        <is>
          <t>ops.ffb_production_t</t>
        </is>
      </c>
      <c r="E481" t="n">
        <v>2242000</v>
      </c>
      <c r="F481" t="n">
        <v>1741349</v>
      </c>
      <c r="G481" t="inlineStr">
        <is>
          <t>RECONFIRMED_OVERRIDE (diff 22.3% vs precise NLM)</t>
        </is>
      </c>
    </row>
    <row r="482">
      <c r="A482" t="inlineStr">
        <is>
          <t>2026-04-19</t>
        </is>
      </c>
      <c r="B482" t="inlineStr">
        <is>
          <t>SSMS</t>
        </is>
      </c>
      <c r="C482" t="n">
        <v>2023</v>
      </c>
      <c r="D482" t="inlineStr">
        <is>
          <t>ops.planted_area_total_ha</t>
        </is>
      </c>
      <c r="E482" t="n">
        <v>115880</v>
      </c>
      <c r="F482" t="n">
        <v>82465.72</v>
      </c>
      <c r="G482" t="inlineStr">
        <is>
          <t>RECONFIRMED_OVERRIDE (diff 28.8% vs precise NLM)</t>
        </is>
      </c>
    </row>
    <row r="483">
      <c r="A483" t="inlineStr">
        <is>
          <t>2026-04-19</t>
        </is>
      </c>
      <c r="B483" t="inlineStr">
        <is>
          <t>SSMS</t>
        </is>
      </c>
      <c r="C483" t="n">
        <v>2023</v>
      </c>
      <c r="D483" t="inlineStr">
        <is>
          <t>ops.nucleus_area_ha</t>
        </is>
      </c>
      <c r="E483" t="n">
        <v>93534</v>
      </c>
      <c r="F483" t="n">
        <v>69167.06</v>
      </c>
      <c r="G483" t="inlineStr">
        <is>
          <t>RECONFIRMED_OVERRIDE (diff 26.1% vs precise NLM)</t>
        </is>
      </c>
    </row>
    <row r="484">
      <c r="A484" t="inlineStr">
        <is>
          <t>2026-04-19</t>
        </is>
      </c>
      <c r="B484" t="inlineStr">
        <is>
          <t>SSMS</t>
        </is>
      </c>
      <c r="C484" t="n">
        <v>2023</v>
      </c>
      <c r="D484" t="inlineStr">
        <is>
          <t>ops.plasma_area_ha</t>
        </is>
      </c>
      <c r="E484" t="n">
        <v>22346</v>
      </c>
      <c r="F484" t="n">
        <v>13238.67</v>
      </c>
      <c r="G484" t="inlineStr">
        <is>
          <t>RECONFIRMED_OVERRIDE (diff 40.8% vs precise NLM)</t>
        </is>
      </c>
    </row>
    <row r="485">
      <c r="A485" t="inlineStr">
        <is>
          <t>2026-04-19</t>
        </is>
      </c>
      <c r="B485" t="inlineStr">
        <is>
          <t>SSMS</t>
        </is>
      </c>
      <c r="C485" t="n">
        <v>2023</v>
      </c>
      <c r="D485" t="inlineStr">
        <is>
          <t>ops.ffb_production_t</t>
        </is>
      </c>
      <c r="E485" t="n">
        <v>2388459</v>
      </c>
      <c r="F485" t="n">
        <v>1723170</v>
      </c>
      <c r="G485" t="inlineStr">
        <is>
          <t>RECONFIRMED_OVERRIDE (diff 27.9% vs precise NLM)</t>
        </is>
      </c>
    </row>
    <row r="486">
      <c r="A486" t="inlineStr">
        <is>
          <t>2026-04-19</t>
        </is>
      </c>
      <c r="B486" t="inlineStr">
        <is>
          <t>SSMS</t>
        </is>
      </c>
      <c r="C486" t="n">
        <v>2024</v>
      </c>
      <c r="D486" t="inlineStr">
        <is>
          <t>ops.ffb_production_t</t>
        </is>
      </c>
      <c r="E486" t="n">
        <v>2185514</v>
      </c>
      <c r="F486" t="n">
        <v>1562446</v>
      </c>
      <c r="G486" t="inlineStr">
        <is>
          <t>RECONFIRMED_OVERRIDE (diff 28.5% vs precise NLM)</t>
        </is>
      </c>
    </row>
    <row r="487">
      <c r="A487" t="inlineStr">
        <is>
          <t>2026-04-19</t>
        </is>
      </c>
      <c r="B487" t="inlineStr">
        <is>
          <t>SSMS</t>
        </is>
      </c>
      <c r="C487" t="n">
        <v>2025</v>
      </c>
      <c r="D487" t="inlineStr">
        <is>
          <t>ops.ffb_production_t</t>
        </is>
      </c>
      <c r="E487" t="n">
        <v>2403164</v>
      </c>
      <c r="F487" t="n">
        <v>1628452</v>
      </c>
      <c r="G487" t="inlineStr">
        <is>
          <t>RECONFIRMED_OVERRIDE (diff 32.2% vs precise NLM)</t>
        </is>
      </c>
    </row>
    <row r="488">
      <c r="A488" t="inlineStr">
        <is>
          <t>2026-04-19</t>
        </is>
      </c>
      <c r="B488" t="inlineStr">
        <is>
          <t>TAPG</t>
        </is>
      </c>
      <c r="C488" t="n">
        <v>2023</v>
      </c>
      <c r="D488" t="inlineStr">
        <is>
          <t>ops.mature_area_ha</t>
        </is>
      </c>
      <c r="E488" t="n">
        <v>129221</v>
      </c>
      <c r="F488" t="n">
        <v>129221</v>
      </c>
      <c r="G488" t="inlineStr">
        <is>
          <t>CONFIRMED_XLSX (NLM match within 0.0%)</t>
        </is>
      </c>
    </row>
    <row r="489">
      <c r="A489" t="inlineStr">
        <is>
          <t>2026-04-19</t>
        </is>
      </c>
      <c r="B489" t="inlineStr">
        <is>
          <t>TAPG</t>
        </is>
      </c>
      <c r="C489" t="n">
        <v>2023</v>
      </c>
      <c r="D489" t="inlineStr">
        <is>
          <t>ops.immature_area_ha</t>
        </is>
      </c>
      <c r="E489" t="n">
        <v>7164</v>
      </c>
      <c r="F489" t="n">
        <v>7164</v>
      </c>
      <c r="G489" t="inlineStr">
        <is>
          <t>CONFIRMED_XLSX (NLM match within 0.0%)</t>
        </is>
      </c>
    </row>
    <row r="490">
      <c r="A490" t="inlineStr">
        <is>
          <t>2026-04-19</t>
        </is>
      </c>
      <c r="B490" t="inlineStr">
        <is>
          <t>TAPG</t>
        </is>
      </c>
      <c r="C490" t="n">
        <v>2023</v>
      </c>
      <c r="D490" t="inlineStr">
        <is>
          <t>ops.ffb_production_t</t>
        </is>
      </c>
      <c r="E490" t="n">
        <v>3399000</v>
      </c>
      <c r="F490" t="n">
        <v>3050000</v>
      </c>
      <c r="G490" t="inlineStr">
        <is>
          <t>RECONFIRMED_OVERRIDE (diff 10.3% vs precise NLM)</t>
        </is>
      </c>
    </row>
    <row r="491">
      <c r="A491" t="inlineStr">
        <is>
          <t>2026-04-19</t>
        </is>
      </c>
      <c r="B491" t="inlineStr">
        <is>
          <t>TAPG</t>
        </is>
      </c>
      <c r="C491" t="n">
        <v>2024</v>
      </c>
      <c r="D491" t="inlineStr">
        <is>
          <t>ops.mature_area_ha</t>
        </is>
      </c>
      <c r="E491" t="n">
        <v>128178</v>
      </c>
      <c r="F491" t="n">
        <v>128178</v>
      </c>
      <c r="G491" t="inlineStr">
        <is>
          <t>CONFIRMED_XLSX (NLM match within 0.0%)</t>
        </is>
      </c>
    </row>
    <row r="492">
      <c r="A492" t="inlineStr">
        <is>
          <t>2026-04-19</t>
        </is>
      </c>
      <c r="B492" t="inlineStr">
        <is>
          <t>TAPG</t>
        </is>
      </c>
      <c r="C492" t="n">
        <v>2024</v>
      </c>
      <c r="D492" t="inlineStr">
        <is>
          <t>ops.immature_area_ha</t>
        </is>
      </c>
      <c r="E492" t="n">
        <v>7416</v>
      </c>
      <c r="F492" t="n">
        <v>7416</v>
      </c>
      <c r="G492" t="inlineStr">
        <is>
          <t>CONFIRMED_XLSX (NLM match within 0.0%)</t>
        </is>
      </c>
    </row>
    <row r="493">
      <c r="A493" t="inlineStr">
        <is>
          <t>2026-04-19</t>
        </is>
      </c>
      <c r="B493" t="inlineStr">
        <is>
          <t>TAPG</t>
        </is>
      </c>
      <c r="C493" t="n">
        <v>2024</v>
      </c>
      <c r="D493" t="inlineStr">
        <is>
          <t>ops.ffb_production_t</t>
        </is>
      </c>
      <c r="E493" t="n">
        <v>3276000</v>
      </c>
      <c r="F493" t="n">
        <v>2946000</v>
      </c>
      <c r="G493" t="inlineStr">
        <is>
          <t>RECONFIRMED_OVERRIDE (diff 10.1% vs precise NLM)</t>
        </is>
      </c>
    </row>
    <row r="494">
      <c r="A494" t="inlineStr">
        <is>
          <t>2026-04-19</t>
        </is>
      </c>
      <c r="B494" t="inlineStr">
        <is>
          <t>TAPG</t>
        </is>
      </c>
      <c r="C494" t="n">
        <v>2025</v>
      </c>
      <c r="D494" t="inlineStr">
        <is>
          <t>ops.mature_area_ha</t>
        </is>
      </c>
      <c r="E494" t="n">
        <v>125201</v>
      </c>
      <c r="F494" t="n">
        <v>125201</v>
      </c>
      <c r="G494" t="inlineStr">
        <is>
          <t>CONFIRMED_XLSX (NLM match within 0.0%)</t>
        </is>
      </c>
    </row>
    <row r="495">
      <c r="A495" t="inlineStr">
        <is>
          <t>2026-04-19</t>
        </is>
      </c>
      <c r="B495" t="inlineStr">
        <is>
          <t>TAPG</t>
        </is>
      </c>
      <c r="C495" t="n">
        <v>2025</v>
      </c>
      <c r="D495" t="inlineStr">
        <is>
          <t>ops.immature_area_ha</t>
        </is>
      </c>
      <c r="E495" t="n">
        <v>7613</v>
      </c>
      <c r="F495" t="n">
        <v>7613</v>
      </c>
      <c r="G495" t="inlineStr">
        <is>
          <t>CONFIRMED_XLSX (NLM match within 0.0%)</t>
        </is>
      </c>
    </row>
    <row r="496">
      <c r="A496" t="inlineStr">
        <is>
          <t>2026-04-19</t>
        </is>
      </c>
      <c r="B496" t="inlineStr">
        <is>
          <t>TAPG</t>
        </is>
      </c>
      <c r="C496" t="n">
        <v>2025</v>
      </c>
      <c r="D496" t="inlineStr">
        <is>
          <t>ops.ffb_production_t</t>
        </is>
      </c>
      <c r="E496" t="n">
        <v>3425000</v>
      </c>
      <c r="F496" t="n">
        <v>3040000</v>
      </c>
      <c r="G496" t="inlineStr">
        <is>
          <t>RECONFIRMED_OVERRIDE (diff 11.2% vs precise NLM)</t>
        </is>
      </c>
    </row>
    <row r="497">
      <c r="A497" t="inlineStr">
        <is>
          <t>2026-04-19</t>
        </is>
      </c>
      <c r="B497" t="inlineStr">
        <is>
          <t>TLDN</t>
        </is>
      </c>
      <c r="C497" t="n">
        <v>2023</v>
      </c>
      <c r="D497" t="inlineStr">
        <is>
          <t>ops.ffb_production_t</t>
        </is>
      </c>
      <c r="E497" t="n">
        <v>1213068</v>
      </c>
      <c r="F497" t="n">
        <v>1068338</v>
      </c>
      <c r="G497" t="inlineStr">
        <is>
          <t>RECONFIRMED_OVERRIDE (diff 11.9% vs precise NLM)</t>
        </is>
      </c>
    </row>
    <row r="498">
      <c r="A498" t="inlineStr">
        <is>
          <t>2026-04-19</t>
        </is>
      </c>
      <c r="B498" t="inlineStr">
        <is>
          <t>TLDN</t>
        </is>
      </c>
      <c r="C498" t="n">
        <v>2024</v>
      </c>
      <c r="D498" t="inlineStr">
        <is>
          <t>ops.ffb_production_t</t>
        </is>
      </c>
      <c r="E498" t="n">
        <v>1219294</v>
      </c>
      <c r="F498" t="n">
        <v>1071173</v>
      </c>
      <c r="G498" t="inlineStr">
        <is>
          <t>RECONFIRMED_OVERRIDE (diff 12.1% vs precise NLM)</t>
        </is>
      </c>
    </row>
    <row r="499">
      <c r="A499" t="inlineStr">
        <is>
          <t>2026-04-19</t>
        </is>
      </c>
      <c r="B499" t="inlineStr">
        <is>
          <t>TLDN</t>
        </is>
      </c>
      <c r="C499" t="n">
        <v>2025</v>
      </c>
      <c r="D499" t="inlineStr">
        <is>
          <t>ops.ffb_production_t</t>
        </is>
      </c>
      <c r="E499" t="n">
        <v>1271034</v>
      </c>
      <c r="F499" t="n">
        <v>1109558</v>
      </c>
      <c r="G499" t="inlineStr">
        <is>
          <t>RECONFIRMED_OVERRIDE (diff 12.7% vs precise NLM)</t>
        </is>
      </c>
    </row>
    <row r="500">
      <c r="A500" t="inlineStr">
        <is>
          <t>2026-04-19</t>
        </is>
      </c>
      <c r="B500" t="inlineStr">
        <is>
          <t>UNSP</t>
        </is>
      </c>
      <c r="C500" t="n">
        <v>2022</v>
      </c>
      <c r="D500" t="inlineStr">
        <is>
          <t>ops.planted_area_total_ha</t>
        </is>
      </c>
      <c r="E500" t="n">
        <v>67591</v>
      </c>
      <c r="F500" t="n">
        <v>52192</v>
      </c>
      <c r="G500" t="inlineStr">
        <is>
          <t>RECONFIRMED_OVERRIDE (diff 22.8% vs precise NLM)</t>
        </is>
      </c>
    </row>
    <row r="501">
      <c r="A501" t="inlineStr">
        <is>
          <t>2026-04-19</t>
        </is>
      </c>
      <c r="B501" t="inlineStr">
        <is>
          <t>UNSP</t>
        </is>
      </c>
      <c r="C501" t="n">
        <v>2022</v>
      </c>
      <c r="D501" t="inlineStr">
        <is>
          <t>ops.mature_area_ha</t>
        </is>
      </c>
      <c r="E501" t="n">
        <v>61245</v>
      </c>
      <c r="F501" t="n">
        <v>45968</v>
      </c>
      <c r="G501" t="inlineStr">
        <is>
          <t>RECONFIRMED_OVERRIDE (diff 24.9% vs precise NLM)</t>
        </is>
      </c>
    </row>
    <row r="502">
      <c r="A502" t="inlineStr">
        <is>
          <t>2026-04-19</t>
        </is>
      </c>
      <c r="B502" t="inlineStr">
        <is>
          <t>UNSP</t>
        </is>
      </c>
      <c r="C502" t="n">
        <v>2023</v>
      </c>
      <c r="D502" t="inlineStr">
        <is>
          <t>ops.planted_area_total_ha</t>
        </is>
      </c>
      <c r="E502" t="n">
        <v>69713</v>
      </c>
      <c r="F502" t="n">
        <v>54828</v>
      </c>
      <c r="G502" t="inlineStr">
        <is>
          <t>RECONFIRMED_OVERRIDE (diff 21.4% vs precise NLM)</t>
        </is>
      </c>
    </row>
    <row r="503">
      <c r="A503" t="inlineStr">
        <is>
          <t>2026-04-19</t>
        </is>
      </c>
      <c r="B503" t="inlineStr">
        <is>
          <t>UNSP</t>
        </is>
      </c>
      <c r="C503" t="n">
        <v>2023</v>
      </c>
      <c r="D503" t="inlineStr">
        <is>
          <t>ops.mature_area_ha</t>
        </is>
      </c>
      <c r="E503" t="n">
        <v>62677</v>
      </c>
      <c r="F503" t="n">
        <v>62677</v>
      </c>
      <c r="G503" t="inlineStr">
        <is>
          <t>AMBIGUOUS (precise definition not confirmable by NLM)</t>
        </is>
      </c>
    </row>
    <row r="504">
      <c r="A504" t="inlineStr">
        <is>
          <t>2026-04-19</t>
        </is>
      </c>
      <c r="B504" t="inlineStr">
        <is>
          <t>UNSP</t>
        </is>
      </c>
      <c r="C504" t="n">
        <v>2023</v>
      </c>
      <c r="D504" t="inlineStr">
        <is>
          <t>ops.immature_area_ha</t>
        </is>
      </c>
      <c r="E504" t="n">
        <v>7036</v>
      </c>
      <c r="F504" t="n">
        <v>7036</v>
      </c>
      <c r="G504" t="inlineStr">
        <is>
          <t>AMBIGUOUS (precise definition not confirmable by NLM)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46"/>
  <sheetViews>
    <sheetView workbookViewId="0">
      <pane ySplit="6" topLeftCell="A7" activePane="bottomLeft" state="frozen"/>
      <selection pane="bottomLeft" activeCell="A1" sqref="A1"/>
    </sheetView>
  </sheetViews>
  <sheetFormatPr baseColWidth="8" defaultRowHeight="14.4"/>
  <cols>
    <col width="4" customWidth="1" style="67" min="1" max="1"/>
    <col width="14" customWidth="1" style="67" min="2" max="2"/>
    <col width="9" customWidth="1" style="67" min="3" max="3"/>
    <col width="8" customWidth="1" style="67" min="4" max="5"/>
    <col width="28" customWidth="1" style="67" min="6" max="6"/>
    <col width="18" customWidth="1" style="67" min="7" max="8"/>
    <col width="12" customWidth="1" style="67" min="9" max="9"/>
    <col width="50" customWidth="1" style="67" min="10" max="10"/>
  </cols>
  <sheetData>
    <row r="1" ht="25.95" customHeight="1" s="67">
      <c r="A1" s="78" t="inlineStr">
        <is>
          <t>검증 필요 항목 — 최종 조정 후 남은 리뷰</t>
        </is>
      </c>
    </row>
    <row r="2" ht="28.05" customHeight="1" s="67">
      <c r="A2" s="51" t="inlineStr">
        <is>
          <t>A</t>
        </is>
      </c>
      <c r="B2" s="79" t="inlineStr">
        <is>
          <t>MUST VERIFY — NLM이 정밀한 정의로 확인 불가 → 원 PDF에서 직접 검증 필요</t>
        </is>
      </c>
      <c r="C2" s="80" t="n"/>
      <c r="D2" s="80" t="n"/>
      <c r="E2" s="80" t="n"/>
      <c r="F2" s="80" t="n"/>
      <c r="G2" s="80" t="n"/>
      <c r="H2" s="80" t="n"/>
      <c r="I2" s="81" t="n"/>
      <c r="J2" s="52" t="inlineStr">
        <is>
          <t>17건</t>
        </is>
      </c>
    </row>
    <row r="3" ht="28.05" customHeight="1" s="67">
      <c r="A3" s="53" t="inlineStr">
        <is>
          <t>B</t>
        </is>
      </c>
      <c r="B3" s="83" t="inlineStr">
        <is>
          <t>SANITY CHECK — NLM 재쿼리 기준 xlsx 값이 업데이트됨 → 변경 사항 확인 권장</t>
        </is>
      </c>
      <c r="C3" s="80" t="n"/>
      <c r="D3" s="80" t="n"/>
      <c r="E3" s="80" t="n"/>
      <c r="F3" s="80" t="n"/>
      <c r="G3" s="80" t="n"/>
      <c r="H3" s="80" t="n"/>
      <c r="I3" s="81" t="n"/>
      <c r="J3" s="54" t="inlineStr">
        <is>
          <t>78건</t>
        </is>
      </c>
    </row>
    <row r="4" ht="28.05" customHeight="1" s="67">
      <c r="A4" s="55" t="inlineStr">
        <is>
          <t>C</t>
        </is>
      </c>
      <c r="B4" s="82" t="inlineStr">
        <is>
          <t>OPTIONAL — 방법론(capex/debt 정의) + USD 리포터 환율 시점 차이. 원 xlsx 유지</t>
        </is>
      </c>
      <c r="C4" s="80" t="n"/>
      <c r="D4" s="80" t="n"/>
      <c r="E4" s="80" t="n"/>
      <c r="F4" s="80" t="n"/>
      <c r="G4" s="80" t="n"/>
      <c r="H4" s="80" t="n"/>
      <c r="I4" s="81" t="n"/>
      <c r="J4" s="56" t="inlineStr">
        <is>
          <t>145건</t>
        </is>
      </c>
    </row>
    <row r="6" ht="25.95" customHeight="1" s="67">
      <c r="A6" s="57" t="inlineStr">
        <is>
          <t>구분</t>
        </is>
      </c>
      <c r="B6" s="57" t="inlineStr">
        <is>
          <t>Action</t>
        </is>
      </c>
      <c r="C6" s="57" t="inlineStr">
        <is>
          <t>Group</t>
        </is>
      </c>
      <c r="D6" s="57" t="inlineStr">
        <is>
          <t>Ticker</t>
        </is>
      </c>
      <c r="E6" s="57" t="inlineStr">
        <is>
          <t>Year</t>
        </is>
      </c>
      <c r="F6" s="57" t="inlineStr">
        <is>
          <t>Field</t>
        </is>
      </c>
      <c r="G6" s="57" t="inlineStr">
        <is>
          <t>현재 xlsx 값</t>
        </is>
      </c>
      <c r="H6" s="57" t="inlineStr">
        <is>
          <t>NLM 값</t>
        </is>
      </c>
      <c r="I6" s="57" t="inlineStr">
        <is>
          <t>Diff %</t>
        </is>
      </c>
      <c r="J6" s="57" t="inlineStr">
        <is>
          <t>비고</t>
        </is>
      </c>
    </row>
    <row r="7">
      <c r="A7" s="58" t="inlineStr">
        <is>
          <t>A</t>
        </is>
      </c>
      <c r="B7" s="59" t="inlineStr">
        <is>
          <t>MUST VERIFY</t>
        </is>
      </c>
      <c r="C7" s="59" t="inlineStr">
        <is>
          <t>Ops</t>
        </is>
      </c>
      <c r="D7" s="59" t="inlineStr">
        <is>
          <t>DSNG</t>
        </is>
      </c>
      <c r="E7" s="59" t="n">
        <v>2023</v>
      </c>
      <c r="F7" s="59" t="inlineStr">
        <is>
          <t>ffb_production_t</t>
        </is>
      </c>
      <c r="G7" s="59" t="n">
        <v>2271821</v>
      </c>
      <c r="H7" s="59" t="inlineStr">
        <is>
          <t>—</t>
        </is>
      </c>
      <c r="I7" s="59" t="inlineStr">
        <is>
          <t>—</t>
        </is>
      </c>
      <c r="J7" s="59" t="inlineStr">
        <is>
          <t>PDF 원문 확인 — NLM이 정밀 정의로 값 확정 불가</t>
        </is>
      </c>
    </row>
    <row r="8">
      <c r="A8" s="58" t="inlineStr">
        <is>
          <t>A</t>
        </is>
      </c>
      <c r="B8" s="59" t="inlineStr">
        <is>
          <t>MUST VERIFY</t>
        </is>
      </c>
      <c r="C8" s="59" t="inlineStr">
        <is>
          <t>Fin</t>
        </is>
      </c>
      <c r="D8" s="59" t="inlineStr">
        <is>
          <t>DSNG</t>
        </is>
      </c>
      <c r="E8" s="59" t="n">
        <v>2024</v>
      </c>
      <c r="F8" s="59" t="inlineStr">
        <is>
          <t>cash</t>
        </is>
      </c>
      <c r="G8" s="59" t="n">
        <v>557.023</v>
      </c>
      <c r="H8" s="59" t="inlineStr">
        <is>
          <t>—</t>
        </is>
      </c>
      <c r="I8" s="59" t="inlineStr">
        <is>
          <t>—</t>
        </is>
      </c>
      <c r="J8" s="59" t="inlineStr">
        <is>
          <t>PDF 원문 확인 — NLM이 정밀 정의로 값 확정 불가</t>
        </is>
      </c>
    </row>
    <row r="9">
      <c r="A9" s="58" t="inlineStr">
        <is>
          <t>A</t>
        </is>
      </c>
      <c r="B9" s="59" t="inlineStr">
        <is>
          <t>MUST VERIFY</t>
        </is>
      </c>
      <c r="C9" s="59" t="inlineStr">
        <is>
          <t>Ops</t>
        </is>
      </c>
      <c r="D9" s="59" t="inlineStr">
        <is>
          <t>DSNG</t>
        </is>
      </c>
      <c r="E9" s="59" t="n">
        <v>2024</v>
      </c>
      <c r="F9" s="59" t="inlineStr">
        <is>
          <t>ffb_production_t</t>
        </is>
      </c>
      <c r="G9" s="59" t="n">
        <v>2109737</v>
      </c>
      <c r="H9" s="59" t="inlineStr">
        <is>
          <t>—</t>
        </is>
      </c>
      <c r="I9" s="59" t="inlineStr">
        <is>
          <t>—</t>
        </is>
      </c>
      <c r="J9" s="59" t="inlineStr">
        <is>
          <t>PDF 원문 확인 — NLM이 정밀 정의로 값 확정 불가</t>
        </is>
      </c>
    </row>
    <row r="10">
      <c r="A10" s="58" t="inlineStr">
        <is>
          <t>A</t>
        </is>
      </c>
      <c r="B10" s="59" t="inlineStr">
        <is>
          <t>MUST VERIFY</t>
        </is>
      </c>
      <c r="C10" s="59" t="inlineStr">
        <is>
          <t>Ops</t>
        </is>
      </c>
      <c r="D10" s="59" t="inlineStr">
        <is>
          <t>LSIP</t>
        </is>
      </c>
      <c r="E10" s="59" t="n">
        <v>2022</v>
      </c>
      <c r="F10" s="59" t="inlineStr">
        <is>
          <t>planted_area_total_ha</t>
        </is>
      </c>
      <c r="G10" s="59" t="n">
        <v>111240</v>
      </c>
      <c r="H10" s="59" t="inlineStr">
        <is>
          <t>—</t>
        </is>
      </c>
      <c r="I10" s="59" t="inlineStr">
        <is>
          <t>—</t>
        </is>
      </c>
      <c r="J10" s="59" t="inlineStr">
        <is>
          <t>PDF 원문 확인 — NLM이 정밀 정의로 값 확정 불가</t>
        </is>
      </c>
    </row>
    <row r="11">
      <c r="A11" s="58" t="inlineStr">
        <is>
          <t>A</t>
        </is>
      </c>
      <c r="B11" s="59" t="inlineStr">
        <is>
          <t>MUST VERIFY</t>
        </is>
      </c>
      <c r="C11" s="59" t="inlineStr">
        <is>
          <t>Ops</t>
        </is>
      </c>
      <c r="D11" s="59" t="inlineStr">
        <is>
          <t>LSIP</t>
        </is>
      </c>
      <c r="E11" s="59" t="n">
        <v>2023</v>
      </c>
      <c r="F11" s="59" t="inlineStr">
        <is>
          <t>planted_area_total_ha</t>
        </is>
      </c>
      <c r="G11" s="59" t="n">
        <v>111940</v>
      </c>
      <c r="H11" s="59" t="inlineStr">
        <is>
          <t>—</t>
        </is>
      </c>
      <c r="I11" s="59" t="inlineStr">
        <is>
          <t>—</t>
        </is>
      </c>
      <c r="J11" s="59" t="inlineStr">
        <is>
          <t>PDF 원문 확인 — NLM이 정밀 정의로 값 확정 불가</t>
        </is>
      </c>
    </row>
    <row r="12">
      <c r="A12" s="58" t="inlineStr">
        <is>
          <t>A</t>
        </is>
      </c>
      <c r="B12" s="59" t="inlineStr">
        <is>
          <t>MUST VERIFY</t>
        </is>
      </c>
      <c r="C12" s="59" t="inlineStr">
        <is>
          <t>Ops</t>
        </is>
      </c>
      <c r="D12" s="59" t="inlineStr">
        <is>
          <t>LSIP</t>
        </is>
      </c>
      <c r="E12" s="59" t="n">
        <v>2024</v>
      </c>
      <c r="F12" s="59" t="inlineStr">
        <is>
          <t>planted_area_total_ha</t>
        </is>
      </c>
      <c r="G12" s="59" t="n">
        <v>111367</v>
      </c>
      <c r="H12" s="59" t="inlineStr">
        <is>
          <t>—</t>
        </is>
      </c>
      <c r="I12" s="59" t="inlineStr">
        <is>
          <t>—</t>
        </is>
      </c>
      <c r="J12" s="59" t="inlineStr">
        <is>
          <t>PDF 원문 확인 — NLM이 정밀 정의로 값 확정 불가</t>
        </is>
      </c>
    </row>
    <row r="13">
      <c r="A13" s="58" t="inlineStr">
        <is>
          <t>A</t>
        </is>
      </c>
      <c r="B13" s="59" t="inlineStr">
        <is>
          <t>MUST VERIFY</t>
        </is>
      </c>
      <c r="C13" s="59" t="inlineStr">
        <is>
          <t>Fin</t>
        </is>
      </c>
      <c r="D13" s="59" t="inlineStr">
        <is>
          <t>MAGP</t>
        </is>
      </c>
      <c r="E13" s="59" t="n">
        <v>2022</v>
      </c>
      <c r="F13" s="59" t="inlineStr">
        <is>
          <t>cash</t>
        </is>
      </c>
      <c r="G13" s="59" t="n">
        <v>2.38</v>
      </c>
      <c r="H13" s="59" t="inlineStr">
        <is>
          <t>—</t>
        </is>
      </c>
      <c r="I13" s="59" t="inlineStr">
        <is>
          <t>—</t>
        </is>
      </c>
      <c r="J13" s="59" t="inlineStr">
        <is>
          <t>PDF 원문 확인 — NLM이 정밀 정의로 값 확정 불가</t>
        </is>
      </c>
    </row>
    <row r="14">
      <c r="A14" s="58" t="inlineStr">
        <is>
          <t>A</t>
        </is>
      </c>
      <c r="B14" s="59" t="inlineStr">
        <is>
          <t>MUST VERIFY</t>
        </is>
      </c>
      <c r="C14" s="59" t="inlineStr">
        <is>
          <t>Ops</t>
        </is>
      </c>
      <c r="D14" s="59" t="inlineStr">
        <is>
          <t>MKTR</t>
        </is>
      </c>
      <c r="E14" s="59" t="n">
        <v>2023</v>
      </c>
      <c r="F14" s="59" t="inlineStr">
        <is>
          <t>oer_reported_pct</t>
        </is>
      </c>
      <c r="G14" s="59" t="n">
        <v>0.1912</v>
      </c>
      <c r="H14" s="59" t="inlineStr">
        <is>
          <t>—</t>
        </is>
      </c>
      <c r="I14" s="59" t="inlineStr">
        <is>
          <t>—</t>
        </is>
      </c>
      <c r="J14" s="59" t="inlineStr">
        <is>
          <t>PDF 원문 확인 — NLM이 정밀 정의로 값 확정 불가</t>
        </is>
      </c>
    </row>
    <row r="15">
      <c r="A15" s="58" t="inlineStr">
        <is>
          <t>A</t>
        </is>
      </c>
      <c r="B15" s="59" t="inlineStr">
        <is>
          <t>MUST VERIFY</t>
        </is>
      </c>
      <c r="C15" s="59" t="inlineStr">
        <is>
          <t>Ops</t>
        </is>
      </c>
      <c r="D15" s="59" t="inlineStr">
        <is>
          <t>PNGO</t>
        </is>
      </c>
      <c r="E15" s="59" t="n">
        <v>2022</v>
      </c>
      <c r="F15" s="59" t="inlineStr">
        <is>
          <t>planted_area_total_ha</t>
        </is>
      </c>
      <c r="G15" s="59" t="n">
        <v>13324</v>
      </c>
      <c r="H15" s="59" t="inlineStr">
        <is>
          <t>—</t>
        </is>
      </c>
      <c r="I15" s="59" t="inlineStr">
        <is>
          <t>—</t>
        </is>
      </c>
      <c r="J15" s="59" t="inlineStr">
        <is>
          <t>PDF 원문 확인 — NLM이 정밀 정의로 값 확정 불가</t>
        </is>
      </c>
    </row>
    <row r="16">
      <c r="A16" s="58" t="inlineStr">
        <is>
          <t>A</t>
        </is>
      </c>
      <c r="B16" s="59" t="inlineStr">
        <is>
          <t>MUST VERIFY</t>
        </is>
      </c>
      <c r="C16" s="59" t="inlineStr">
        <is>
          <t>Ops</t>
        </is>
      </c>
      <c r="D16" s="59" t="inlineStr">
        <is>
          <t>PNGO</t>
        </is>
      </c>
      <c r="E16" s="59" t="n">
        <v>2023</v>
      </c>
      <c r="F16" s="59" t="inlineStr">
        <is>
          <t>planted_area_total_ha</t>
        </is>
      </c>
      <c r="G16" s="59" t="n">
        <v>13834</v>
      </c>
      <c r="H16" s="59" t="inlineStr">
        <is>
          <t>—</t>
        </is>
      </c>
      <c r="I16" s="59" t="inlineStr">
        <is>
          <t>—</t>
        </is>
      </c>
      <c r="J16" s="59" t="inlineStr">
        <is>
          <t>PDF 원문 확인 — NLM이 정밀 정의로 값 확정 불가</t>
        </is>
      </c>
    </row>
    <row r="17">
      <c r="A17" s="58" t="inlineStr">
        <is>
          <t>A</t>
        </is>
      </c>
      <c r="B17" s="59" t="inlineStr">
        <is>
          <t>MUST VERIFY</t>
        </is>
      </c>
      <c r="C17" s="59" t="inlineStr">
        <is>
          <t>Ops</t>
        </is>
      </c>
      <c r="D17" s="59" t="inlineStr">
        <is>
          <t>SGRO</t>
        </is>
      </c>
      <c r="E17" s="59" t="n">
        <v>2022</v>
      </c>
      <c r="F17" s="59" t="inlineStr">
        <is>
          <t>avg_tree_age_years</t>
        </is>
      </c>
      <c r="G17" s="59" t="n">
        <v>14</v>
      </c>
      <c r="H17" s="59" t="inlineStr">
        <is>
          <t>—</t>
        </is>
      </c>
      <c r="I17" s="59" t="inlineStr">
        <is>
          <t>—</t>
        </is>
      </c>
      <c r="J17" s="59" t="inlineStr">
        <is>
          <t>PDF 원문 확인 — NLM이 정밀 정의로 값 확정 불가</t>
        </is>
      </c>
    </row>
    <row r="18">
      <c r="A18" s="58" t="inlineStr">
        <is>
          <t>A</t>
        </is>
      </c>
      <c r="B18" s="59" t="inlineStr">
        <is>
          <t>MUST VERIFY</t>
        </is>
      </c>
      <c r="C18" s="59" t="inlineStr">
        <is>
          <t>Ops</t>
        </is>
      </c>
      <c r="D18" s="59" t="inlineStr">
        <is>
          <t>SIMP</t>
        </is>
      </c>
      <c r="E18" s="59" t="n">
        <v>2022</v>
      </c>
      <c r="F18" s="59" t="inlineStr">
        <is>
          <t>planted_area_total_ha</t>
        </is>
      </c>
      <c r="G18" s="59" t="n">
        <v>294488</v>
      </c>
      <c r="H18" s="59" t="inlineStr">
        <is>
          <t>—</t>
        </is>
      </c>
      <c r="I18" s="59" t="inlineStr">
        <is>
          <t>—</t>
        </is>
      </c>
      <c r="J18" s="59" t="inlineStr">
        <is>
          <t>PDF 원문 확인 — NLM이 정밀 정의로 값 확정 불가</t>
        </is>
      </c>
    </row>
    <row r="19">
      <c r="A19" s="58" t="inlineStr">
        <is>
          <t>A</t>
        </is>
      </c>
      <c r="B19" s="59" t="inlineStr">
        <is>
          <t>MUST VERIFY</t>
        </is>
      </c>
      <c r="C19" s="59" t="inlineStr">
        <is>
          <t>Ops</t>
        </is>
      </c>
      <c r="D19" s="59" t="inlineStr">
        <is>
          <t>SIMP</t>
        </is>
      </c>
      <c r="E19" s="59" t="n">
        <v>2023</v>
      </c>
      <c r="F19" s="59" t="inlineStr">
        <is>
          <t>planted_area_total_ha</t>
        </is>
      </c>
      <c r="G19" s="59" t="n">
        <v>293429</v>
      </c>
      <c r="H19" s="59" t="inlineStr">
        <is>
          <t>—</t>
        </is>
      </c>
      <c r="I19" s="59" t="inlineStr">
        <is>
          <t>—</t>
        </is>
      </c>
      <c r="J19" s="59" t="inlineStr">
        <is>
          <t>PDF 원문 확인 — NLM이 정밀 정의로 값 확정 불가</t>
        </is>
      </c>
    </row>
    <row r="20">
      <c r="A20" s="58" t="inlineStr">
        <is>
          <t>A</t>
        </is>
      </c>
      <c r="B20" s="59" t="inlineStr">
        <is>
          <t>MUST VERIFY</t>
        </is>
      </c>
      <c r="C20" s="59" t="inlineStr">
        <is>
          <t>Ops</t>
        </is>
      </c>
      <c r="D20" s="59" t="inlineStr">
        <is>
          <t>SIMP</t>
        </is>
      </c>
      <c r="E20" s="59" t="n">
        <v>2024</v>
      </c>
      <c r="F20" s="59" t="inlineStr">
        <is>
          <t>planted_area_total_ha</t>
        </is>
      </c>
      <c r="G20" s="59" t="n">
        <v>288649</v>
      </c>
      <c r="H20" s="59" t="inlineStr">
        <is>
          <t>—</t>
        </is>
      </c>
      <c r="I20" s="59" t="inlineStr">
        <is>
          <t>—</t>
        </is>
      </c>
      <c r="J20" s="59" t="inlineStr">
        <is>
          <t>PDF 원문 확인 — NLM이 정밀 정의로 값 확정 불가</t>
        </is>
      </c>
    </row>
    <row r="21">
      <c r="A21" s="58" t="inlineStr">
        <is>
          <t>A</t>
        </is>
      </c>
      <c r="B21" s="59" t="inlineStr">
        <is>
          <t>MUST VERIFY</t>
        </is>
      </c>
      <c r="C21" s="59" t="inlineStr">
        <is>
          <t>Fin</t>
        </is>
      </c>
      <c r="D21" s="59" t="inlineStr">
        <is>
          <t>SMAR</t>
        </is>
      </c>
      <c r="E21" s="59" t="n">
        <v>2022</v>
      </c>
      <c r="F21" s="59" t="inlineStr">
        <is>
          <t>gross_profit</t>
        </is>
      </c>
      <c r="G21" s="59" t="n">
        <v>13312</v>
      </c>
      <c r="H21" s="59" t="inlineStr">
        <is>
          <t>—</t>
        </is>
      </c>
      <c r="I21" s="59" t="inlineStr">
        <is>
          <t>—</t>
        </is>
      </c>
      <c r="J21" s="59" t="inlineStr">
        <is>
          <t>PDF 원문 확인 — NLM이 정밀 정의로 값 확정 불가</t>
        </is>
      </c>
    </row>
    <row r="22">
      <c r="A22" s="58" t="inlineStr">
        <is>
          <t>A</t>
        </is>
      </c>
      <c r="B22" s="59" t="inlineStr">
        <is>
          <t>MUST VERIFY</t>
        </is>
      </c>
      <c r="C22" s="59" t="inlineStr">
        <is>
          <t>Ops</t>
        </is>
      </c>
      <c r="D22" s="59" t="inlineStr">
        <is>
          <t>UNSP</t>
        </is>
      </c>
      <c r="E22" s="59" t="n">
        <v>2023</v>
      </c>
      <c r="F22" s="59" t="inlineStr">
        <is>
          <t>mature_area_ha</t>
        </is>
      </c>
      <c r="G22" s="59" t="n">
        <v>62677</v>
      </c>
      <c r="H22" s="59" t="inlineStr">
        <is>
          <t>—</t>
        </is>
      </c>
      <c r="I22" s="59" t="inlineStr">
        <is>
          <t>—</t>
        </is>
      </c>
      <c r="J22" s="59" t="inlineStr">
        <is>
          <t>PDF 원문 확인 — NLM이 정밀 정의로 값 확정 불가</t>
        </is>
      </c>
    </row>
    <row r="23">
      <c r="A23" s="58" t="inlineStr">
        <is>
          <t>A</t>
        </is>
      </c>
      <c r="B23" s="59" t="inlineStr">
        <is>
          <t>MUST VERIFY</t>
        </is>
      </c>
      <c r="C23" s="59" t="inlineStr">
        <is>
          <t>Ops</t>
        </is>
      </c>
      <c r="D23" s="59" t="inlineStr">
        <is>
          <t>UNSP</t>
        </is>
      </c>
      <c r="E23" s="59" t="n">
        <v>2023</v>
      </c>
      <c r="F23" s="59" t="inlineStr">
        <is>
          <t>immature_area_ha</t>
        </is>
      </c>
      <c r="G23" s="59" t="n">
        <v>7036</v>
      </c>
      <c r="H23" s="59" t="inlineStr">
        <is>
          <t>—</t>
        </is>
      </c>
      <c r="I23" s="59" t="inlineStr">
        <is>
          <t>—</t>
        </is>
      </c>
      <c r="J23" s="59" t="inlineStr">
        <is>
          <t>PDF 원문 확인 — NLM이 정밀 정의로 값 확정 불가</t>
        </is>
      </c>
    </row>
    <row r="24">
      <c r="A24" s="60" t="inlineStr">
        <is>
          <t>B</t>
        </is>
      </c>
      <c r="B24" s="61" t="inlineStr">
        <is>
          <t>SANITY CHECK</t>
        </is>
      </c>
      <c r="C24" s="61" t="inlineStr">
        <is>
          <t>Ops</t>
        </is>
      </c>
      <c r="D24" s="61" t="inlineStr">
        <is>
          <t>AALI</t>
        </is>
      </c>
      <c r="E24" s="61" t="n">
        <v>2023</v>
      </c>
      <c r="F24" s="61" t="inlineStr">
        <is>
          <t>ffb_production_t</t>
        </is>
      </c>
      <c r="G24" s="61" t="n">
        <v>3312149</v>
      </c>
      <c r="H24" s="61" t="n">
        <v>3312149</v>
      </c>
      <c r="I24" s="61" t="inlineStr">
        <is>
          <t>23.9%</t>
        </is>
      </c>
      <c r="J24" s="61" t="inlineStr">
        <is>
          <t>NLM 재쿼리 값으로 업데이트 (원 xlsx: 4353645)</t>
        </is>
      </c>
    </row>
    <row r="25">
      <c r="A25" s="60" t="inlineStr">
        <is>
          <t>B</t>
        </is>
      </c>
      <c r="B25" s="61" t="inlineStr">
        <is>
          <t>SANITY CHECK</t>
        </is>
      </c>
      <c r="C25" s="61" t="inlineStr">
        <is>
          <t>Ops</t>
        </is>
      </c>
      <c r="D25" s="61" t="inlineStr">
        <is>
          <t>AALI</t>
        </is>
      </c>
      <c r="E25" s="61" t="n">
        <v>2024</v>
      </c>
      <c r="F25" s="61" t="inlineStr">
        <is>
          <t>ffb_production_t</t>
        </is>
      </c>
      <c r="G25" s="61" t="n">
        <v>3002685</v>
      </c>
      <c r="H25" s="61" t="n">
        <v>3002685</v>
      </c>
      <c r="I25" s="61" t="inlineStr">
        <is>
          <t>19.6%</t>
        </is>
      </c>
      <c r="J25" s="61" t="inlineStr">
        <is>
          <t>NLM 재쿼리 값으로 업데이트 (원 xlsx: 3734458)</t>
        </is>
      </c>
    </row>
    <row r="26">
      <c r="A26" s="60" t="inlineStr">
        <is>
          <t>B</t>
        </is>
      </c>
      <c r="B26" s="61" t="inlineStr">
        <is>
          <t>SANITY CHECK</t>
        </is>
      </c>
      <c r="C26" s="61" t="inlineStr">
        <is>
          <t>Ops</t>
        </is>
      </c>
      <c r="D26" s="61" t="inlineStr">
        <is>
          <t>AALI</t>
        </is>
      </c>
      <c r="E26" s="61" t="n">
        <v>2025</v>
      </c>
      <c r="F26" s="61" t="inlineStr">
        <is>
          <t>ffb_production_t</t>
        </is>
      </c>
      <c r="G26" s="61" t="n">
        <v>3009024</v>
      </c>
      <c r="H26" s="61" t="n">
        <v>3009024</v>
      </c>
      <c r="I26" s="61" t="inlineStr">
        <is>
          <t>21.3%</t>
        </is>
      </c>
      <c r="J26" s="61" t="inlineStr">
        <is>
          <t>NLM 재쿼리 값으로 업데이트 (원 xlsx: 3821559)</t>
        </is>
      </c>
    </row>
    <row r="27">
      <c r="A27" s="60" t="inlineStr">
        <is>
          <t>B</t>
        </is>
      </c>
      <c r="B27" s="61" t="inlineStr">
        <is>
          <t>SANITY CHECK</t>
        </is>
      </c>
      <c r="C27" s="61" t="inlineStr">
        <is>
          <t>Fin</t>
        </is>
      </c>
      <c r="D27" s="61" t="inlineStr">
        <is>
          <t>BTEK</t>
        </is>
      </c>
      <c r="E27" s="61" t="n">
        <v>2022</v>
      </c>
      <c r="F27" s="61" t="inlineStr">
        <is>
          <t>net_profit</t>
        </is>
      </c>
      <c r="G27" s="61" t="n">
        <v>-133.47</v>
      </c>
      <c r="H27" s="61" t="n">
        <v>-133.47</v>
      </c>
      <c r="I27" s="61" t="inlineStr">
        <is>
          <t>62.8%</t>
        </is>
      </c>
      <c r="J27" s="61" t="inlineStr">
        <is>
          <t>NLM 재쿼리 값으로 업데이트 (원 xlsx: -358.68)</t>
        </is>
      </c>
    </row>
    <row r="28">
      <c r="A28" s="60" t="inlineStr">
        <is>
          <t>B</t>
        </is>
      </c>
      <c r="B28" s="61" t="inlineStr">
        <is>
          <t>SANITY CHECK</t>
        </is>
      </c>
      <c r="C28" s="61" t="inlineStr">
        <is>
          <t>Fin</t>
        </is>
      </c>
      <c r="D28" s="61" t="inlineStr">
        <is>
          <t>BTEK</t>
        </is>
      </c>
      <c r="E28" s="61" t="n">
        <v>2022</v>
      </c>
      <c r="F28" s="61" t="inlineStr">
        <is>
          <t>profit_parent</t>
        </is>
      </c>
      <c r="G28" s="61" t="n">
        <v>-133.47</v>
      </c>
      <c r="H28" s="61" t="n">
        <v>-133.47</v>
      </c>
      <c r="I28" s="61" t="inlineStr">
        <is>
          <t>62.8%</t>
        </is>
      </c>
      <c r="J28" s="61" t="inlineStr">
        <is>
          <t>NLM 재쿼리 값으로 업데이트 (원 xlsx: -358.68)</t>
        </is>
      </c>
    </row>
    <row r="29">
      <c r="A29" s="60" t="inlineStr">
        <is>
          <t>B</t>
        </is>
      </c>
      <c r="B29" s="61" t="inlineStr">
        <is>
          <t>SANITY CHECK</t>
        </is>
      </c>
      <c r="C29" s="61" t="inlineStr">
        <is>
          <t>Ops</t>
        </is>
      </c>
      <c r="D29" s="61" t="inlineStr">
        <is>
          <t>BWPT</t>
        </is>
      </c>
      <c r="E29" s="61" t="n">
        <v>2023</v>
      </c>
      <c r="F29" s="61" t="inlineStr">
        <is>
          <t>ffb_production_t</t>
        </is>
      </c>
      <c r="G29" s="61" t="n">
        <v>975251</v>
      </c>
      <c r="H29" s="61" t="n">
        <v>975251</v>
      </c>
      <c r="I29" s="61" t="inlineStr">
        <is>
          <t>10.1%</t>
        </is>
      </c>
      <c r="J29" s="61" t="inlineStr">
        <is>
          <t>NLM 재쿼리 값으로 업데이트 (원 xlsx: 1084941)</t>
        </is>
      </c>
    </row>
    <row r="30">
      <c r="A30" s="60" t="inlineStr">
        <is>
          <t>B</t>
        </is>
      </c>
      <c r="B30" s="61" t="inlineStr">
        <is>
          <t>SANITY CHECK</t>
        </is>
      </c>
      <c r="C30" s="61" t="inlineStr">
        <is>
          <t>Ops</t>
        </is>
      </c>
      <c r="D30" s="61" t="inlineStr">
        <is>
          <t>FAPA</t>
        </is>
      </c>
      <c r="E30" s="61" t="n">
        <v>2023</v>
      </c>
      <c r="F30" s="61" t="inlineStr">
        <is>
          <t>mills_count</t>
        </is>
      </c>
      <c r="G30" s="61" t="n">
        <v>6</v>
      </c>
      <c r="H30" s="61" t="n">
        <v>6</v>
      </c>
      <c r="I30" s="61" t="inlineStr">
        <is>
          <t>20.0%</t>
        </is>
      </c>
      <c r="J30" s="61" t="inlineStr">
        <is>
          <t>NLM 재쿼리 값으로 업데이트 (원 xlsx: 5)</t>
        </is>
      </c>
    </row>
    <row r="31">
      <c r="A31" s="60" t="inlineStr">
        <is>
          <t>B</t>
        </is>
      </c>
      <c r="B31" s="61" t="inlineStr">
        <is>
          <t>SANITY CHECK</t>
        </is>
      </c>
      <c r="C31" s="61" t="inlineStr">
        <is>
          <t>Ops</t>
        </is>
      </c>
      <c r="D31" s="61" t="inlineStr">
        <is>
          <t>FAPA</t>
        </is>
      </c>
      <c r="E31" s="61" t="n">
        <v>2024</v>
      </c>
      <c r="F31" s="61" t="inlineStr">
        <is>
          <t>mills_count</t>
        </is>
      </c>
      <c r="G31" s="61" t="n">
        <v>6</v>
      </c>
      <c r="H31" s="61" t="n">
        <v>6</v>
      </c>
      <c r="I31" s="61" t="inlineStr">
        <is>
          <t>20.0%</t>
        </is>
      </c>
      <c r="J31" s="61" t="inlineStr">
        <is>
          <t>NLM 재쿼리 값으로 업데이트 (원 xlsx: 5)</t>
        </is>
      </c>
    </row>
    <row r="32">
      <c r="A32" s="60" t="inlineStr">
        <is>
          <t>B</t>
        </is>
      </c>
      <c r="B32" s="61" t="inlineStr">
        <is>
          <t>SANITY CHECK</t>
        </is>
      </c>
      <c r="C32" s="61" t="inlineStr">
        <is>
          <t>Ops</t>
        </is>
      </c>
      <c r="D32" s="61" t="inlineStr">
        <is>
          <t>JARR</t>
        </is>
      </c>
      <c r="E32" s="61" t="n">
        <v>2022</v>
      </c>
      <c r="F32" s="61" t="inlineStr">
        <is>
          <t>planted_area_total_ha</t>
        </is>
      </c>
      <c r="G32" s="61" t="n">
        <v>10782.99</v>
      </c>
      <c r="H32" s="61" t="n">
        <v>10782.99</v>
      </c>
      <c r="I32" s="61" t="inlineStr">
        <is>
          <t>5.0%</t>
        </is>
      </c>
      <c r="J32" s="61" t="inlineStr">
        <is>
          <t>NLM 재쿼리 값으로 업데이트 (원 xlsx: 10264.87)</t>
        </is>
      </c>
    </row>
    <row r="33">
      <c r="A33" s="60" t="inlineStr">
        <is>
          <t>B</t>
        </is>
      </c>
      <c r="B33" s="61" t="inlineStr">
        <is>
          <t>SANITY CHECK</t>
        </is>
      </c>
      <c r="C33" s="61" t="inlineStr">
        <is>
          <t>Ops</t>
        </is>
      </c>
      <c r="D33" s="61" t="inlineStr">
        <is>
          <t>JARR</t>
        </is>
      </c>
      <c r="E33" s="61" t="n">
        <v>2022</v>
      </c>
      <c r="F33" s="61" t="inlineStr">
        <is>
          <t>mill_capacity_tph</t>
        </is>
      </c>
      <c r="G33" s="61" t="n">
        <v>0</v>
      </c>
      <c r="H33" s="61" t="n">
        <v>0</v>
      </c>
      <c r="I33" s="61" t="inlineStr">
        <is>
          <t>100.0%</t>
        </is>
      </c>
      <c r="J33" s="61" t="inlineStr">
        <is>
          <t>NLM 재쿼리 값으로 업데이트 (원 xlsx: 60)</t>
        </is>
      </c>
    </row>
    <row r="34">
      <c r="A34" s="60" t="inlineStr">
        <is>
          <t>B</t>
        </is>
      </c>
      <c r="B34" s="61" t="inlineStr">
        <is>
          <t>SANITY CHECK</t>
        </is>
      </c>
      <c r="C34" s="61" t="inlineStr">
        <is>
          <t>Ops</t>
        </is>
      </c>
      <c r="D34" s="61" t="inlineStr">
        <is>
          <t>JAWA</t>
        </is>
      </c>
      <c r="E34" s="61" t="n">
        <v>2022</v>
      </c>
      <c r="F34" s="61" t="inlineStr">
        <is>
          <t>planted_area_total_ha</t>
        </is>
      </c>
      <c r="G34" s="61" t="n">
        <v>27919</v>
      </c>
      <c r="H34" s="61" t="n">
        <v>27919</v>
      </c>
      <c r="I34" s="61" t="inlineStr">
        <is>
          <t>36.6%</t>
        </is>
      </c>
      <c r="J34" s="61" t="inlineStr">
        <is>
          <t>NLM 재쿼리 값으로 업데이트 (원 xlsx: 44027)</t>
        </is>
      </c>
    </row>
    <row r="35">
      <c r="A35" s="60" t="inlineStr">
        <is>
          <t>B</t>
        </is>
      </c>
      <c r="B35" s="61" t="inlineStr">
        <is>
          <t>SANITY CHECK</t>
        </is>
      </c>
      <c r="C35" s="61" t="inlineStr">
        <is>
          <t>Ops</t>
        </is>
      </c>
      <c r="D35" s="61" t="inlineStr">
        <is>
          <t>JAWA</t>
        </is>
      </c>
      <c r="E35" s="61" t="n">
        <v>2022</v>
      </c>
      <c r="F35" s="61" t="inlineStr">
        <is>
          <t>nucleus_area_ha</t>
        </is>
      </c>
      <c r="G35" s="61" t="n">
        <v>21407</v>
      </c>
      <c r="H35" s="61" t="n">
        <v>21407</v>
      </c>
      <c r="I35" s="61" t="inlineStr">
        <is>
          <t>42.9%</t>
        </is>
      </c>
      <c r="J35" s="61" t="inlineStr">
        <is>
          <t>NLM 재쿼리 값으로 업데이트 (원 xlsx: 37515)</t>
        </is>
      </c>
    </row>
    <row r="36">
      <c r="A36" s="60" t="inlineStr">
        <is>
          <t>B</t>
        </is>
      </c>
      <c r="B36" s="61" t="inlineStr">
        <is>
          <t>SANITY CHECK</t>
        </is>
      </c>
      <c r="C36" s="61" t="inlineStr">
        <is>
          <t>Ops</t>
        </is>
      </c>
      <c r="D36" s="61" t="inlineStr">
        <is>
          <t>JAWA</t>
        </is>
      </c>
      <c r="E36" s="61" t="n">
        <v>2023</v>
      </c>
      <c r="F36" s="61" t="inlineStr">
        <is>
          <t>planted_area_total_ha</t>
        </is>
      </c>
      <c r="G36" s="61" t="n">
        <v>27919</v>
      </c>
      <c r="H36" s="61" t="n">
        <v>27919</v>
      </c>
      <c r="I36" s="61" t="inlineStr">
        <is>
          <t>36.6%</t>
        </is>
      </c>
      <c r="J36" s="61" t="inlineStr">
        <is>
          <t>NLM 재쿼리 값으로 업데이트 (원 xlsx: 44027)</t>
        </is>
      </c>
    </row>
    <row r="37">
      <c r="A37" s="60" t="inlineStr">
        <is>
          <t>B</t>
        </is>
      </c>
      <c r="B37" s="61" t="inlineStr">
        <is>
          <t>SANITY CHECK</t>
        </is>
      </c>
      <c r="C37" s="61" t="inlineStr">
        <is>
          <t>Ops</t>
        </is>
      </c>
      <c r="D37" s="61" t="inlineStr">
        <is>
          <t>JAWA</t>
        </is>
      </c>
      <c r="E37" s="61" t="n">
        <v>2023</v>
      </c>
      <c r="F37" s="61" t="inlineStr">
        <is>
          <t>nucleus_area_ha</t>
        </is>
      </c>
      <c r="G37" s="61" t="n">
        <v>21407</v>
      </c>
      <c r="H37" s="61" t="n">
        <v>21407</v>
      </c>
      <c r="I37" s="61" t="inlineStr">
        <is>
          <t>42.9%</t>
        </is>
      </c>
      <c r="J37" s="61" t="inlineStr">
        <is>
          <t>NLM 재쿼리 값으로 업데이트 (원 xlsx: 37515)</t>
        </is>
      </c>
    </row>
    <row r="38">
      <c r="A38" s="60" t="inlineStr">
        <is>
          <t>B</t>
        </is>
      </c>
      <c r="B38" s="61" t="inlineStr">
        <is>
          <t>SANITY CHECK</t>
        </is>
      </c>
      <c r="C38" s="61" t="inlineStr">
        <is>
          <t>Ops</t>
        </is>
      </c>
      <c r="D38" s="61" t="inlineStr">
        <is>
          <t>JAWA</t>
        </is>
      </c>
      <c r="E38" s="61" t="n">
        <v>2024</v>
      </c>
      <c r="F38" s="61" t="inlineStr">
        <is>
          <t>planted_area_total_ha</t>
        </is>
      </c>
      <c r="G38" s="61" t="n">
        <v>27918</v>
      </c>
      <c r="H38" s="61" t="n">
        <v>27918</v>
      </c>
      <c r="I38" s="61" t="inlineStr">
        <is>
          <t>36.5%</t>
        </is>
      </c>
      <c r="J38" s="61" t="inlineStr">
        <is>
          <t>NLM 재쿼리 값으로 업데이트 (원 xlsx: 43987)</t>
        </is>
      </c>
    </row>
    <row r="39">
      <c r="A39" s="60" t="inlineStr">
        <is>
          <t>B</t>
        </is>
      </c>
      <c r="B39" s="61" t="inlineStr">
        <is>
          <t>SANITY CHECK</t>
        </is>
      </c>
      <c r="C39" s="61" t="inlineStr">
        <is>
          <t>Ops</t>
        </is>
      </c>
      <c r="D39" s="61" t="inlineStr">
        <is>
          <t>JAWA</t>
        </is>
      </c>
      <c r="E39" s="61" t="n">
        <v>2024</v>
      </c>
      <c r="F39" s="61" t="inlineStr">
        <is>
          <t>nucleus_area_ha</t>
        </is>
      </c>
      <c r="G39" s="61" t="n">
        <v>21407</v>
      </c>
      <c r="H39" s="61" t="n">
        <v>21407</v>
      </c>
      <c r="I39" s="61" t="inlineStr">
        <is>
          <t>42.9%</t>
        </is>
      </c>
      <c r="J39" s="61" t="inlineStr">
        <is>
          <t>NLM 재쿼리 값으로 업데이트 (원 xlsx: 37475)</t>
        </is>
      </c>
    </row>
    <row r="40">
      <c r="A40" s="60" t="inlineStr">
        <is>
          <t>B</t>
        </is>
      </c>
      <c r="B40" s="61" t="inlineStr">
        <is>
          <t>SANITY CHECK</t>
        </is>
      </c>
      <c r="C40" s="61" t="inlineStr">
        <is>
          <t>Ops</t>
        </is>
      </c>
      <c r="D40" s="61" t="inlineStr">
        <is>
          <t>LSIP</t>
        </is>
      </c>
      <c r="E40" s="61" t="n">
        <v>2022</v>
      </c>
      <c r="F40" s="61" t="inlineStr">
        <is>
          <t>ffb_production_t</t>
        </is>
      </c>
      <c r="G40" s="61" t="n">
        <v>1174000</v>
      </c>
      <c r="H40" s="61" t="n">
        <v>1174000</v>
      </c>
      <c r="I40" s="61" t="inlineStr">
        <is>
          <t>17.1%</t>
        </is>
      </c>
      <c r="J40" s="61" t="inlineStr">
        <is>
          <t>NLM 재쿼리 값으로 업데이트 (원 xlsx: 1417000)</t>
        </is>
      </c>
    </row>
    <row r="41">
      <c r="A41" s="60" t="inlineStr">
        <is>
          <t>B</t>
        </is>
      </c>
      <c r="B41" s="61" t="inlineStr">
        <is>
          <t>SANITY CHECK</t>
        </is>
      </c>
      <c r="C41" s="61" t="inlineStr">
        <is>
          <t>Ops</t>
        </is>
      </c>
      <c r="D41" s="61" t="inlineStr">
        <is>
          <t>LSIP</t>
        </is>
      </c>
      <c r="E41" s="61" t="n">
        <v>2023</v>
      </c>
      <c r="F41" s="61" t="inlineStr">
        <is>
          <t>ffb_production_t</t>
        </is>
      </c>
      <c r="G41" s="61" t="n">
        <v>1177000</v>
      </c>
      <c r="H41" s="61" t="n">
        <v>1177000</v>
      </c>
      <c r="I41" s="61" t="inlineStr">
        <is>
          <t>14.5%</t>
        </is>
      </c>
      <c r="J41" s="61" t="inlineStr">
        <is>
          <t>NLM 재쿼리 값으로 업데이트 (원 xlsx: 1377000)</t>
        </is>
      </c>
    </row>
    <row r="42">
      <c r="A42" s="60" t="inlineStr">
        <is>
          <t>B</t>
        </is>
      </c>
      <c r="B42" s="61" t="inlineStr">
        <is>
          <t>SANITY CHECK</t>
        </is>
      </c>
      <c r="C42" s="61" t="inlineStr">
        <is>
          <t>Ops</t>
        </is>
      </c>
      <c r="D42" s="61" t="inlineStr">
        <is>
          <t>LSIP</t>
        </is>
      </c>
      <c r="E42" s="61" t="n">
        <v>2024</v>
      </c>
      <c r="F42" s="61" t="inlineStr">
        <is>
          <t>mature_area_ha</t>
        </is>
      </c>
      <c r="G42" s="61" t="n">
        <v>84941</v>
      </c>
      <c r="H42" s="61" t="n">
        <v>84941</v>
      </c>
      <c r="I42" s="61" t="inlineStr">
        <is>
          <t>17.6%</t>
        </is>
      </c>
      <c r="J42" s="61" t="inlineStr">
        <is>
          <t>NLM 재쿼리 값으로 업데이트 (원 xlsx: 103036)</t>
        </is>
      </c>
    </row>
    <row r="43">
      <c r="A43" s="60" t="inlineStr">
        <is>
          <t>B</t>
        </is>
      </c>
      <c r="B43" s="61" t="inlineStr">
        <is>
          <t>SANITY CHECK</t>
        </is>
      </c>
      <c r="C43" s="61" t="inlineStr">
        <is>
          <t>Ops</t>
        </is>
      </c>
      <c r="D43" s="61" t="inlineStr">
        <is>
          <t>LSIP</t>
        </is>
      </c>
      <c r="E43" s="61" t="n">
        <v>2024</v>
      </c>
      <c r="F43" s="61" t="inlineStr">
        <is>
          <t>immature_area_ha</t>
        </is>
      </c>
      <c r="G43" s="61" t="n">
        <v>6211</v>
      </c>
      <c r="H43" s="61" t="n">
        <v>6211</v>
      </c>
      <c r="I43" s="61" t="inlineStr">
        <is>
          <t>25.4%</t>
        </is>
      </c>
      <c r="J43" s="61" t="inlineStr">
        <is>
          <t>NLM 재쿼리 값으로 업데이트 (원 xlsx: 8331)</t>
        </is>
      </c>
    </row>
    <row r="44">
      <c r="A44" s="60" t="inlineStr">
        <is>
          <t>B</t>
        </is>
      </c>
      <c r="B44" s="61" t="inlineStr">
        <is>
          <t>SANITY CHECK</t>
        </is>
      </c>
      <c r="C44" s="61" t="inlineStr">
        <is>
          <t>Ops</t>
        </is>
      </c>
      <c r="D44" s="61" t="inlineStr">
        <is>
          <t>LSIP</t>
        </is>
      </c>
      <c r="E44" s="61" t="n">
        <v>2024</v>
      </c>
      <c r="F44" s="61" t="inlineStr">
        <is>
          <t>ffb_production_t</t>
        </is>
      </c>
      <c r="G44" s="61" t="n">
        <v>1173000</v>
      </c>
      <c r="H44" s="61" t="n">
        <v>1173000</v>
      </c>
      <c r="I44" s="61" t="inlineStr">
        <is>
          <t>12.8%</t>
        </is>
      </c>
      <c r="J44" s="61" t="inlineStr">
        <is>
          <t>NLM 재쿼리 값으로 업데이트 (원 xlsx: 1345000)</t>
        </is>
      </c>
    </row>
    <row r="45">
      <c r="A45" s="60" t="inlineStr">
        <is>
          <t>B</t>
        </is>
      </c>
      <c r="B45" s="61" t="inlineStr">
        <is>
          <t>SANITY CHECK</t>
        </is>
      </c>
      <c r="C45" s="61" t="inlineStr">
        <is>
          <t>Ops</t>
        </is>
      </c>
      <c r="D45" s="61" t="inlineStr">
        <is>
          <t>MGRO</t>
        </is>
      </c>
      <c r="E45" s="61" t="n">
        <v>2022</v>
      </c>
      <c r="F45" s="61" t="inlineStr">
        <is>
          <t>mills_count</t>
        </is>
      </c>
      <c r="G45" s="61" t="n">
        <v>5</v>
      </c>
      <c r="H45" s="61" t="n">
        <v>5</v>
      </c>
      <c r="I45" s="61" t="inlineStr">
        <is>
          <t>25.0%</t>
        </is>
      </c>
      <c r="J45" s="61" t="inlineStr">
        <is>
          <t>NLM 재쿼리 값으로 업데이트 (원 xlsx: 4)</t>
        </is>
      </c>
    </row>
    <row r="46">
      <c r="A46" s="60" t="inlineStr">
        <is>
          <t>B</t>
        </is>
      </c>
      <c r="B46" s="61" t="inlineStr">
        <is>
          <t>SANITY CHECK</t>
        </is>
      </c>
      <c r="C46" s="61" t="inlineStr">
        <is>
          <t>Ops</t>
        </is>
      </c>
      <c r="D46" s="61" t="inlineStr">
        <is>
          <t>MGRO</t>
        </is>
      </c>
      <c r="E46" s="61" t="n">
        <v>2023</v>
      </c>
      <c r="F46" s="61" t="inlineStr">
        <is>
          <t>mills_count</t>
        </is>
      </c>
      <c r="G46" s="61" t="n">
        <v>5</v>
      </c>
      <c r="H46" s="61" t="n">
        <v>5</v>
      </c>
      <c r="I46" s="61" t="inlineStr">
        <is>
          <t>25.0%</t>
        </is>
      </c>
      <c r="J46" s="61" t="inlineStr">
        <is>
          <t>NLM 재쿼리 값으로 업데이트 (원 xlsx: 4)</t>
        </is>
      </c>
    </row>
    <row r="47">
      <c r="A47" s="60" t="inlineStr">
        <is>
          <t>B</t>
        </is>
      </c>
      <c r="B47" s="61" t="inlineStr">
        <is>
          <t>SANITY CHECK</t>
        </is>
      </c>
      <c r="C47" s="61" t="inlineStr">
        <is>
          <t>Ops</t>
        </is>
      </c>
      <c r="D47" s="61" t="inlineStr">
        <is>
          <t>MGRO</t>
        </is>
      </c>
      <c r="E47" s="61" t="n">
        <v>2023</v>
      </c>
      <c r="F47" s="61" t="inlineStr">
        <is>
          <t>ffb_production_t</t>
        </is>
      </c>
      <c r="G47" s="61" t="n">
        <v>694.59</v>
      </c>
      <c r="H47" s="61" t="n">
        <v>694.59</v>
      </c>
      <c r="I47" s="61" t="inlineStr">
        <is>
          <t>99.9%</t>
        </is>
      </c>
      <c r="J47" s="61" t="inlineStr">
        <is>
          <t>NLM 재쿼리 값으로 업데이트 (원 xlsx: 694591)</t>
        </is>
      </c>
    </row>
    <row r="48">
      <c r="A48" s="60" t="inlineStr">
        <is>
          <t>B</t>
        </is>
      </c>
      <c r="B48" s="61" t="inlineStr">
        <is>
          <t>SANITY CHECK</t>
        </is>
      </c>
      <c r="C48" s="61" t="inlineStr">
        <is>
          <t>Ops</t>
        </is>
      </c>
      <c r="D48" s="61" t="inlineStr">
        <is>
          <t>MGRO</t>
        </is>
      </c>
      <c r="E48" s="61" t="n">
        <v>2024</v>
      </c>
      <c r="F48" s="61" t="inlineStr">
        <is>
          <t>mills_count</t>
        </is>
      </c>
      <c r="G48" s="61" t="n">
        <v>6</v>
      </c>
      <c r="H48" s="61" t="n">
        <v>6</v>
      </c>
      <c r="I48" s="61" t="inlineStr">
        <is>
          <t>50.0%</t>
        </is>
      </c>
      <c r="J48" s="61" t="inlineStr">
        <is>
          <t>NLM 재쿼리 값으로 업데이트 (원 xlsx: 4)</t>
        </is>
      </c>
    </row>
    <row r="49">
      <c r="A49" s="60" t="inlineStr">
        <is>
          <t>B</t>
        </is>
      </c>
      <c r="B49" s="61" t="inlineStr">
        <is>
          <t>SANITY CHECK</t>
        </is>
      </c>
      <c r="C49" s="61" t="inlineStr">
        <is>
          <t>Ops</t>
        </is>
      </c>
      <c r="D49" s="61" t="inlineStr">
        <is>
          <t>MGRO</t>
        </is>
      </c>
      <c r="E49" s="61" t="n">
        <v>2024</v>
      </c>
      <c r="F49" s="61" t="inlineStr">
        <is>
          <t>ffb_production_t</t>
        </is>
      </c>
      <c r="G49" s="61" t="n">
        <v>487</v>
      </c>
      <c r="H49" s="61" t="n">
        <v>487</v>
      </c>
      <c r="I49" s="61" t="inlineStr">
        <is>
          <t>99.9%</t>
        </is>
      </c>
      <c r="J49" s="61" t="inlineStr">
        <is>
          <t>NLM 재쿼리 값으로 업데이트 (원 xlsx: 486707)</t>
        </is>
      </c>
    </row>
    <row r="50">
      <c r="A50" s="60" t="inlineStr">
        <is>
          <t>B</t>
        </is>
      </c>
      <c r="B50" s="61" t="inlineStr">
        <is>
          <t>SANITY CHECK</t>
        </is>
      </c>
      <c r="C50" s="61" t="inlineStr">
        <is>
          <t>Ops</t>
        </is>
      </c>
      <c r="D50" s="61" t="inlineStr">
        <is>
          <t>MKTR</t>
        </is>
      </c>
      <c r="E50" s="61" t="n">
        <v>2023</v>
      </c>
      <c r="F50" s="61" t="inlineStr">
        <is>
          <t>mill_capacity_tph</t>
        </is>
      </c>
      <c r="G50" s="61" t="n">
        <v>60</v>
      </c>
      <c r="H50" s="61" t="n">
        <v>60</v>
      </c>
      <c r="I50" s="61" t="inlineStr">
        <is>
          <t>100.0%</t>
        </is>
      </c>
      <c r="J50" s="61" t="inlineStr">
        <is>
          <t>NLM 재쿼리 값으로 업데이트 (원 xlsx: 30)</t>
        </is>
      </c>
    </row>
    <row r="51">
      <c r="A51" s="60" t="inlineStr">
        <is>
          <t>B</t>
        </is>
      </c>
      <c r="B51" s="61" t="inlineStr">
        <is>
          <t>SANITY CHECK</t>
        </is>
      </c>
      <c r="C51" s="61" t="inlineStr">
        <is>
          <t>Ops</t>
        </is>
      </c>
      <c r="D51" s="61" t="inlineStr">
        <is>
          <t>MKTR</t>
        </is>
      </c>
      <c r="E51" s="61" t="n">
        <v>2023</v>
      </c>
      <c r="F51" s="61" t="inlineStr">
        <is>
          <t>kernel_production_t</t>
        </is>
      </c>
      <c r="G51" s="61" t="n">
        <v>11149</v>
      </c>
      <c r="H51" s="61" t="n">
        <v>11149</v>
      </c>
      <c r="I51" s="61" t="inlineStr">
        <is>
          <t>9.2%</t>
        </is>
      </c>
      <c r="J51" s="61" t="inlineStr">
        <is>
          <t>NLM 재쿼리 값으로 업데이트 (원 xlsx: 10211)</t>
        </is>
      </c>
    </row>
    <row r="52">
      <c r="A52" s="60" t="inlineStr">
        <is>
          <t>B</t>
        </is>
      </c>
      <c r="B52" s="61" t="inlineStr">
        <is>
          <t>SANITY CHECK</t>
        </is>
      </c>
      <c r="C52" s="61" t="inlineStr">
        <is>
          <t>Fin</t>
        </is>
      </c>
      <c r="D52" s="61" t="inlineStr">
        <is>
          <t>NSSS</t>
        </is>
      </c>
      <c r="E52" s="61" t="n">
        <v>2022</v>
      </c>
      <c r="F52" s="61" t="inlineStr">
        <is>
          <t>eps</t>
        </is>
      </c>
      <c r="G52" s="61" t="n">
        <v>3.47</v>
      </c>
      <c r="H52" s="61" t="n">
        <v>3.47</v>
      </c>
      <c r="I52" s="61" t="inlineStr">
        <is>
          <t>15.7%</t>
        </is>
      </c>
      <c r="J52" s="61" t="inlineStr">
        <is>
          <t>NLM 재쿼리 값으로 업데이트 (원 xlsx: 3)</t>
        </is>
      </c>
    </row>
    <row r="53">
      <c r="A53" s="60" t="inlineStr">
        <is>
          <t>B</t>
        </is>
      </c>
      <c r="B53" s="61" t="inlineStr">
        <is>
          <t>SANITY CHECK</t>
        </is>
      </c>
      <c r="C53" s="61" t="inlineStr">
        <is>
          <t>Ops</t>
        </is>
      </c>
      <c r="D53" s="61" t="inlineStr">
        <is>
          <t>PGUN</t>
        </is>
      </c>
      <c r="E53" s="61" t="n">
        <v>2022</v>
      </c>
      <c r="F53" s="61" t="inlineStr">
        <is>
          <t>nucleus_area_ha</t>
        </is>
      </c>
      <c r="G53" s="61" t="n">
        <v>16877.18</v>
      </c>
      <c r="H53" s="61" t="n">
        <v>16877.18</v>
      </c>
      <c r="I53" s="61" t="inlineStr">
        <is>
          <t>16.7%</t>
        </is>
      </c>
      <c r="J53" s="61" t="inlineStr">
        <is>
          <t>NLM 재쿼리 값으로 업데이트 (원 xlsx: 20267)</t>
        </is>
      </c>
    </row>
    <row r="54">
      <c r="A54" s="60" t="inlineStr">
        <is>
          <t>B</t>
        </is>
      </c>
      <c r="B54" s="61" t="inlineStr">
        <is>
          <t>SANITY CHECK</t>
        </is>
      </c>
      <c r="C54" s="61" t="inlineStr">
        <is>
          <t>Ops</t>
        </is>
      </c>
      <c r="D54" s="61" t="inlineStr">
        <is>
          <t>PGUN</t>
        </is>
      </c>
      <c r="E54" s="61" t="n">
        <v>2022</v>
      </c>
      <c r="F54" s="61" t="inlineStr">
        <is>
          <t>mature_area_ha</t>
        </is>
      </c>
      <c r="G54" s="61" t="n">
        <v>12396.52</v>
      </c>
      <c r="H54" s="61" t="n">
        <v>12396.52</v>
      </c>
      <c r="I54" s="61" t="inlineStr">
        <is>
          <t>36.2%</t>
        </is>
      </c>
      <c r="J54" s="61" t="inlineStr">
        <is>
          <t>NLM 재쿼리 값으로 업데이트 (원 xlsx: 19417)</t>
        </is>
      </c>
    </row>
    <row r="55">
      <c r="A55" s="60" t="inlineStr">
        <is>
          <t>B</t>
        </is>
      </c>
      <c r="B55" s="61" t="inlineStr">
        <is>
          <t>SANITY CHECK</t>
        </is>
      </c>
      <c r="C55" s="61" t="inlineStr">
        <is>
          <t>Ops</t>
        </is>
      </c>
      <c r="D55" s="61" t="inlineStr">
        <is>
          <t>PGUN</t>
        </is>
      </c>
      <c r="E55" s="61" t="n">
        <v>2023</v>
      </c>
      <c r="F55" s="61" t="inlineStr">
        <is>
          <t>planted_area_total_ha</t>
        </is>
      </c>
      <c r="G55" s="61" t="n">
        <v>26945.33</v>
      </c>
      <c r="H55" s="61" t="n">
        <v>26945.33</v>
      </c>
      <c r="I55" s="61" t="inlineStr">
        <is>
          <t>33.0%</t>
        </is>
      </c>
      <c r="J55" s="61" t="inlineStr">
        <is>
          <t>NLM 재쿼리 값으로 업데이트 (원 xlsx: 20267)</t>
        </is>
      </c>
    </row>
    <row r="56">
      <c r="A56" s="60" t="inlineStr">
        <is>
          <t>B</t>
        </is>
      </c>
      <c r="B56" s="61" t="inlineStr">
        <is>
          <t>SANITY CHECK</t>
        </is>
      </c>
      <c r="C56" s="61" t="inlineStr">
        <is>
          <t>Ops</t>
        </is>
      </c>
      <c r="D56" s="61" t="inlineStr">
        <is>
          <t>PGUN</t>
        </is>
      </c>
      <c r="E56" s="61" t="n">
        <v>2023</v>
      </c>
      <c r="F56" s="61" t="inlineStr">
        <is>
          <t>nucleus_area_ha</t>
        </is>
      </c>
      <c r="G56" s="61" t="n">
        <v>23366.63</v>
      </c>
      <c r="H56" s="61" t="n">
        <v>23366.63</v>
      </c>
      <c r="I56" s="61" t="inlineStr">
        <is>
          <t>15.3%</t>
        </is>
      </c>
      <c r="J56" s="61" t="inlineStr">
        <is>
          <t>NLM 재쿼리 값으로 업데이트 (원 xlsx: 20267)</t>
        </is>
      </c>
    </row>
    <row r="57">
      <c r="A57" s="60" t="inlineStr">
        <is>
          <t>B</t>
        </is>
      </c>
      <c r="B57" s="61" t="inlineStr">
        <is>
          <t>SANITY CHECK</t>
        </is>
      </c>
      <c r="C57" s="61" t="inlineStr">
        <is>
          <t>Ops</t>
        </is>
      </c>
      <c r="D57" s="61" t="inlineStr">
        <is>
          <t>PGUN</t>
        </is>
      </c>
      <c r="E57" s="61" t="n">
        <v>2024</v>
      </c>
      <c r="F57" s="61" t="inlineStr">
        <is>
          <t>planted_area_total_ha</t>
        </is>
      </c>
      <c r="G57" s="61" t="n">
        <v>26620.92</v>
      </c>
      <c r="H57" s="61" t="n">
        <v>26620.92</v>
      </c>
      <c r="I57" s="61" t="inlineStr">
        <is>
          <t>16.9%</t>
        </is>
      </c>
      <c r="J57" s="61" t="inlineStr">
        <is>
          <t>NLM 재쿼리 값으로 업데이트 (원 xlsx: 22782)</t>
        </is>
      </c>
    </row>
    <row r="58">
      <c r="A58" s="60" t="inlineStr">
        <is>
          <t>B</t>
        </is>
      </c>
      <c r="B58" s="61" t="inlineStr">
        <is>
          <t>SANITY CHECK</t>
        </is>
      </c>
      <c r="C58" s="61" t="inlineStr">
        <is>
          <t>Ops</t>
        </is>
      </c>
      <c r="D58" s="61" t="inlineStr">
        <is>
          <t>SGRO</t>
        </is>
      </c>
      <c r="E58" s="61" t="n">
        <v>2022</v>
      </c>
      <c r="F58" s="61" t="inlineStr">
        <is>
          <t>planted_area_total_ha</t>
        </is>
      </c>
      <c r="G58" s="61" t="n">
        <v>132660</v>
      </c>
      <c r="H58" s="61" t="n">
        <v>132660</v>
      </c>
      <c r="I58" s="61" t="inlineStr">
        <is>
          <t>21.1%</t>
        </is>
      </c>
      <c r="J58" s="61" t="inlineStr">
        <is>
          <t>NLM 재쿼리 값으로 업데이트 (원 xlsx: 168142)</t>
        </is>
      </c>
    </row>
    <row r="59">
      <c r="A59" s="60" t="inlineStr">
        <is>
          <t>B</t>
        </is>
      </c>
      <c r="B59" s="61" t="inlineStr">
        <is>
          <t>SANITY CHECK</t>
        </is>
      </c>
      <c r="C59" s="61" t="inlineStr">
        <is>
          <t>Ops</t>
        </is>
      </c>
      <c r="D59" s="61" t="inlineStr">
        <is>
          <t>SGRO</t>
        </is>
      </c>
      <c r="E59" s="61" t="n">
        <v>2022</v>
      </c>
      <c r="F59" s="61" t="inlineStr">
        <is>
          <t>nucleus_area_ha</t>
        </is>
      </c>
      <c r="G59" s="61" t="n">
        <v>82973</v>
      </c>
      <c r="H59" s="61" t="n">
        <v>82973</v>
      </c>
      <c r="I59" s="61" t="inlineStr">
        <is>
          <t>29.4%</t>
        </is>
      </c>
      <c r="J59" s="61" t="inlineStr">
        <is>
          <t>NLM 재쿼리 값으로 업데이트 (원 xlsx: 117461)</t>
        </is>
      </c>
    </row>
    <row r="60">
      <c r="A60" s="60" t="inlineStr">
        <is>
          <t>B</t>
        </is>
      </c>
      <c r="B60" s="61" t="inlineStr">
        <is>
          <t>SANITY CHECK</t>
        </is>
      </c>
      <c r="C60" s="61" t="inlineStr">
        <is>
          <t>Ops</t>
        </is>
      </c>
      <c r="D60" s="61" t="inlineStr">
        <is>
          <t>SGRO</t>
        </is>
      </c>
      <c r="E60" s="61" t="n">
        <v>2022</v>
      </c>
      <c r="F60" s="61" t="inlineStr">
        <is>
          <t>ffb_production_t</t>
        </is>
      </c>
      <c r="G60" s="61" t="n">
        <v>1242866</v>
      </c>
      <c r="H60" s="61" t="n">
        <v>1242866</v>
      </c>
      <c r="I60" s="61" t="inlineStr">
        <is>
          <t>33.3%</t>
        </is>
      </c>
      <c r="J60" s="61" t="inlineStr">
        <is>
          <t>NLM 재쿼리 값으로 업데이트 (원 xlsx: 1862586)</t>
        </is>
      </c>
    </row>
    <row r="61">
      <c r="A61" s="60" t="inlineStr">
        <is>
          <t>B</t>
        </is>
      </c>
      <c r="B61" s="61" t="inlineStr">
        <is>
          <t>SANITY CHECK</t>
        </is>
      </c>
      <c r="C61" s="61" t="inlineStr">
        <is>
          <t>Ops</t>
        </is>
      </c>
      <c r="D61" s="61" t="inlineStr">
        <is>
          <t>SGRO</t>
        </is>
      </c>
      <c r="E61" s="61" t="n">
        <v>2023</v>
      </c>
      <c r="F61" s="61" t="inlineStr">
        <is>
          <t>planted_area_total_ha</t>
        </is>
      </c>
      <c r="G61" s="61" t="n">
        <v>132162</v>
      </c>
      <c r="H61" s="61" t="n">
        <v>132162</v>
      </c>
      <c r="I61" s="61" t="inlineStr">
        <is>
          <t>21.2%</t>
        </is>
      </c>
      <c r="J61" s="61" t="inlineStr">
        <is>
          <t>NLM 재쿼리 값으로 업데이트 (원 xlsx: 167637)</t>
        </is>
      </c>
    </row>
    <row r="62">
      <c r="A62" s="60" t="inlineStr">
        <is>
          <t>B</t>
        </is>
      </c>
      <c r="B62" s="61" t="inlineStr">
        <is>
          <t>SANITY CHECK</t>
        </is>
      </c>
      <c r="C62" s="61" t="inlineStr">
        <is>
          <t>Ops</t>
        </is>
      </c>
      <c r="D62" s="61" t="inlineStr">
        <is>
          <t>SGRO</t>
        </is>
      </c>
      <c r="E62" s="61" t="n">
        <v>2023</v>
      </c>
      <c r="F62" s="61" t="inlineStr">
        <is>
          <t>nucleus_area_ha</t>
        </is>
      </c>
      <c r="G62" s="61" t="n">
        <v>82123</v>
      </c>
      <c r="H62" s="61" t="n">
        <v>82123</v>
      </c>
      <c r="I62" s="61" t="inlineStr">
        <is>
          <t>30.2%</t>
        </is>
      </c>
      <c r="J62" s="61" t="inlineStr">
        <is>
          <t>NLM 재쿼리 값으로 업데이트 (원 xlsx: 117598)</t>
        </is>
      </c>
    </row>
    <row r="63">
      <c r="A63" s="60" t="inlineStr">
        <is>
          <t>B</t>
        </is>
      </c>
      <c r="B63" s="61" t="inlineStr">
        <is>
          <t>SANITY CHECK</t>
        </is>
      </c>
      <c r="C63" s="61" t="inlineStr">
        <is>
          <t>Ops</t>
        </is>
      </c>
      <c r="D63" s="61" t="inlineStr">
        <is>
          <t>SGRO</t>
        </is>
      </c>
      <c r="E63" s="61" t="n">
        <v>2023</v>
      </c>
      <c r="F63" s="61" t="inlineStr">
        <is>
          <t>ffb_production_t</t>
        </is>
      </c>
      <c r="G63" s="61" t="n">
        <v>1259629</v>
      </c>
      <c r="H63" s="61" t="n">
        <v>1259629</v>
      </c>
      <c r="I63" s="61" t="inlineStr">
        <is>
          <t>33.7%</t>
        </is>
      </c>
      <c r="J63" s="61" t="inlineStr">
        <is>
          <t>NLM 재쿼리 값으로 업데이트 (원 xlsx: 1900174)</t>
        </is>
      </c>
    </row>
    <row r="64">
      <c r="A64" s="60" t="inlineStr">
        <is>
          <t>B</t>
        </is>
      </c>
      <c r="B64" s="61" t="inlineStr">
        <is>
          <t>SANITY CHECK</t>
        </is>
      </c>
      <c r="C64" s="61" t="inlineStr">
        <is>
          <t>Ops</t>
        </is>
      </c>
      <c r="D64" s="61" t="inlineStr">
        <is>
          <t>SGRO</t>
        </is>
      </c>
      <c r="E64" s="61" t="n">
        <v>2024</v>
      </c>
      <c r="F64" s="61" t="inlineStr">
        <is>
          <t>planted_area_total_ha</t>
        </is>
      </c>
      <c r="G64" s="61" t="n">
        <v>128290</v>
      </c>
      <c r="H64" s="61" t="n">
        <v>128290</v>
      </c>
      <c r="I64" s="61" t="inlineStr">
        <is>
          <t>22.1%</t>
        </is>
      </c>
      <c r="J64" s="61" t="inlineStr">
        <is>
          <t>NLM 재쿼리 값으로 업데이트 (원 xlsx: 164721)</t>
        </is>
      </c>
    </row>
    <row r="65">
      <c r="A65" s="60" t="inlineStr">
        <is>
          <t>B</t>
        </is>
      </c>
      <c r="B65" s="61" t="inlineStr">
        <is>
          <t>SANITY CHECK</t>
        </is>
      </c>
      <c r="C65" s="61" t="inlineStr">
        <is>
          <t>Ops</t>
        </is>
      </c>
      <c r="D65" s="61" t="inlineStr">
        <is>
          <t>SGRO</t>
        </is>
      </c>
      <c r="E65" s="61" t="n">
        <v>2024</v>
      </c>
      <c r="F65" s="61" t="inlineStr">
        <is>
          <t>nucleus_area_ha</t>
        </is>
      </c>
      <c r="G65" s="61" t="n">
        <v>81733</v>
      </c>
      <c r="H65" s="61" t="n">
        <v>81733</v>
      </c>
      <c r="I65" s="61" t="inlineStr">
        <is>
          <t>30.8%</t>
        </is>
      </c>
      <c r="J65" s="61" t="inlineStr">
        <is>
          <t>NLM 재쿼리 값으로 업데이트 (원 xlsx: 118164)</t>
        </is>
      </c>
    </row>
    <row r="66">
      <c r="A66" s="60" t="inlineStr">
        <is>
          <t>B</t>
        </is>
      </c>
      <c r="B66" s="61" t="inlineStr">
        <is>
          <t>SANITY CHECK</t>
        </is>
      </c>
      <c r="C66" s="61" t="inlineStr">
        <is>
          <t>Ops</t>
        </is>
      </c>
      <c r="D66" s="61" t="inlineStr">
        <is>
          <t>SGRO</t>
        </is>
      </c>
      <c r="E66" s="61" t="n">
        <v>2024</v>
      </c>
      <c r="F66" s="61" t="inlineStr">
        <is>
          <t>ffb_production_t</t>
        </is>
      </c>
      <c r="G66" s="61" t="n">
        <v>1167927</v>
      </c>
      <c r="H66" s="61" t="n">
        <v>1167927</v>
      </c>
      <c r="I66" s="61" t="inlineStr">
        <is>
          <t>32.3%</t>
        </is>
      </c>
      <c r="J66" s="61" t="inlineStr">
        <is>
          <t>NLM 재쿼리 값으로 업데이트 (원 xlsx: 1726376)</t>
        </is>
      </c>
    </row>
    <row r="67">
      <c r="A67" s="60" t="inlineStr">
        <is>
          <t>B</t>
        </is>
      </c>
      <c r="B67" s="61" t="inlineStr">
        <is>
          <t>SANITY CHECK</t>
        </is>
      </c>
      <c r="C67" s="61" t="inlineStr">
        <is>
          <t>Ops</t>
        </is>
      </c>
      <c r="D67" s="61" t="inlineStr">
        <is>
          <t>SIMP</t>
        </is>
      </c>
      <c r="E67" s="61" t="n">
        <v>2022</v>
      </c>
      <c r="F67" s="61" t="inlineStr">
        <is>
          <t>nucleus_area_ha</t>
        </is>
      </c>
      <c r="G67" s="61" t="n">
        <v>244768</v>
      </c>
      <c r="H67" s="61" t="n">
        <v>244768</v>
      </c>
      <c r="I67" s="61" t="inlineStr">
        <is>
          <t>16.9%</t>
        </is>
      </c>
      <c r="J67" s="61" t="inlineStr">
        <is>
          <t>NLM 재쿼리 값으로 업데이트 (원 xlsx: 294488)</t>
        </is>
      </c>
    </row>
    <row r="68">
      <c r="A68" s="60" t="inlineStr">
        <is>
          <t>B</t>
        </is>
      </c>
      <c r="B68" s="61" t="inlineStr">
        <is>
          <t>SANITY CHECK</t>
        </is>
      </c>
      <c r="C68" s="61" t="inlineStr">
        <is>
          <t>Ops</t>
        </is>
      </c>
      <c r="D68" s="61" t="inlineStr">
        <is>
          <t>SIMP</t>
        </is>
      </c>
      <c r="E68" s="61" t="n">
        <v>2022</v>
      </c>
      <c r="F68" s="61" t="inlineStr">
        <is>
          <t>mature_area_ha</t>
        </is>
      </c>
      <c r="G68" s="61" t="n">
        <v>218064</v>
      </c>
      <c r="H68" s="61" t="n">
        <v>218064</v>
      </c>
      <c r="I68" s="61" t="inlineStr">
        <is>
          <t>12.3%</t>
        </is>
      </c>
      <c r="J68" s="61" t="inlineStr">
        <is>
          <t>NLM 재쿼리 값으로 업데이트 (원 xlsx: 248538)</t>
        </is>
      </c>
    </row>
    <row r="69">
      <c r="A69" s="60" t="inlineStr">
        <is>
          <t>B</t>
        </is>
      </c>
      <c r="B69" s="61" t="inlineStr">
        <is>
          <t>SANITY CHECK</t>
        </is>
      </c>
      <c r="C69" s="61" t="inlineStr">
        <is>
          <t>Ops</t>
        </is>
      </c>
      <c r="D69" s="61" t="inlineStr">
        <is>
          <t>SIMP</t>
        </is>
      </c>
      <c r="E69" s="61" t="n">
        <v>2022</v>
      </c>
      <c r="F69" s="61" t="inlineStr">
        <is>
          <t>immature_area_ha</t>
        </is>
      </c>
      <c r="G69" s="61" t="n">
        <v>26704</v>
      </c>
      <c r="H69" s="61" t="n">
        <v>26704</v>
      </c>
      <c r="I69" s="61" t="inlineStr">
        <is>
          <t>16.3%</t>
        </is>
      </c>
      <c r="J69" s="61" t="inlineStr">
        <is>
          <t>NLM 재쿼리 값으로 업데이트 (원 xlsx: 31894)</t>
        </is>
      </c>
    </row>
    <row r="70">
      <c r="A70" s="60" t="inlineStr">
        <is>
          <t>B</t>
        </is>
      </c>
      <c r="B70" s="61" t="inlineStr">
        <is>
          <t>SANITY CHECK</t>
        </is>
      </c>
      <c r="C70" s="61" t="inlineStr">
        <is>
          <t>Ops</t>
        </is>
      </c>
      <c r="D70" s="61" t="inlineStr">
        <is>
          <t>SIMP</t>
        </is>
      </c>
      <c r="E70" s="61" t="n">
        <v>2022</v>
      </c>
      <c r="F70" s="61" t="inlineStr">
        <is>
          <t>ffb_production_t</t>
        </is>
      </c>
      <c r="G70" s="61" t="n">
        <v>2812000</v>
      </c>
      <c r="H70" s="61" t="n">
        <v>2812000</v>
      </c>
      <c r="I70" s="61" t="inlineStr">
        <is>
          <t>24.8%</t>
        </is>
      </c>
      <c r="J70" s="61" t="inlineStr">
        <is>
          <t>NLM 재쿼리 값으로 업데이트 (원 xlsx: 3741000)</t>
        </is>
      </c>
    </row>
    <row r="71">
      <c r="A71" s="60" t="inlineStr">
        <is>
          <t>B</t>
        </is>
      </c>
      <c r="B71" s="61" t="inlineStr">
        <is>
          <t>SANITY CHECK</t>
        </is>
      </c>
      <c r="C71" s="61" t="inlineStr">
        <is>
          <t>Ops</t>
        </is>
      </c>
      <c r="D71" s="61" t="inlineStr">
        <is>
          <t>SIMP</t>
        </is>
      </c>
      <c r="E71" s="61" t="n">
        <v>2023</v>
      </c>
      <c r="F71" s="61" t="inlineStr">
        <is>
          <t>nucleus_area_ha</t>
        </is>
      </c>
      <c r="G71" s="61" t="n">
        <v>244337</v>
      </c>
      <c r="H71" s="61" t="n">
        <v>244337</v>
      </c>
      <c r="I71" s="61" t="inlineStr">
        <is>
          <t>16.7%</t>
        </is>
      </c>
      <c r="J71" s="61" t="inlineStr">
        <is>
          <t>NLM 재쿼리 값으로 업데이트 (원 xlsx: 293429)</t>
        </is>
      </c>
    </row>
    <row r="72">
      <c r="A72" s="60" t="inlineStr">
        <is>
          <t>B</t>
        </is>
      </c>
      <c r="B72" s="61" t="inlineStr">
        <is>
          <t>SANITY CHECK</t>
        </is>
      </c>
      <c r="C72" s="61" t="inlineStr">
        <is>
          <t>Ops</t>
        </is>
      </c>
      <c r="D72" s="61" t="inlineStr">
        <is>
          <t>SIMP</t>
        </is>
      </c>
      <c r="E72" s="61" t="n">
        <v>2023</v>
      </c>
      <c r="F72" s="61" t="inlineStr">
        <is>
          <t>mature_area_ha</t>
        </is>
      </c>
      <c r="G72" s="61" t="n">
        <v>220531</v>
      </c>
      <c r="H72" s="61" t="n">
        <v>220531</v>
      </c>
      <c r="I72" s="61" t="inlineStr">
        <is>
          <t>12.1%</t>
        </is>
      </c>
      <c r="J72" s="61" t="inlineStr">
        <is>
          <t>NLM 재쿼리 값으로 업데이트 (원 xlsx: 250978)</t>
        </is>
      </c>
    </row>
    <row r="73">
      <c r="A73" s="60" t="inlineStr">
        <is>
          <t>B</t>
        </is>
      </c>
      <c r="B73" s="61" t="inlineStr">
        <is>
          <t>SANITY CHECK</t>
        </is>
      </c>
      <c r="C73" s="61" t="inlineStr">
        <is>
          <t>Ops</t>
        </is>
      </c>
      <c r="D73" s="61" t="inlineStr">
        <is>
          <t>SIMP</t>
        </is>
      </c>
      <c r="E73" s="61" t="n">
        <v>2023</v>
      </c>
      <c r="F73" s="61" t="inlineStr">
        <is>
          <t>immature_area_ha</t>
        </is>
      </c>
      <c r="G73" s="61" t="n">
        <v>23806</v>
      </c>
      <c r="H73" s="61" t="n">
        <v>23806</v>
      </c>
      <c r="I73" s="61" t="inlineStr">
        <is>
          <t>18.1%</t>
        </is>
      </c>
      <c r="J73" s="61" t="inlineStr">
        <is>
          <t>NLM 재쿼리 값으로 업데이트 (원 xlsx: 29067)</t>
        </is>
      </c>
    </row>
    <row r="74">
      <c r="A74" s="60" t="inlineStr">
        <is>
          <t>B</t>
        </is>
      </c>
      <c r="B74" s="61" t="inlineStr">
        <is>
          <t>SANITY CHECK</t>
        </is>
      </c>
      <c r="C74" s="61" t="inlineStr">
        <is>
          <t>Ops</t>
        </is>
      </c>
      <c r="D74" s="61" t="inlineStr">
        <is>
          <t>SIMP</t>
        </is>
      </c>
      <c r="E74" s="61" t="n">
        <v>2023</v>
      </c>
      <c r="F74" s="61" t="inlineStr">
        <is>
          <t>ffb_production_t</t>
        </is>
      </c>
      <c r="G74" s="61" t="n">
        <v>2784000</v>
      </c>
      <c r="H74" s="61" t="n">
        <v>2784000</v>
      </c>
      <c r="I74" s="61" t="inlineStr">
        <is>
          <t>23.3%</t>
        </is>
      </c>
      <c r="J74" s="61" t="inlineStr">
        <is>
          <t>NLM 재쿼리 값으로 업데이트 (원 xlsx: 3632000)</t>
        </is>
      </c>
    </row>
    <row r="75">
      <c r="A75" s="60" t="inlineStr">
        <is>
          <t>B</t>
        </is>
      </c>
      <c r="B75" s="61" t="inlineStr">
        <is>
          <t>SANITY CHECK</t>
        </is>
      </c>
      <c r="C75" s="61" t="inlineStr">
        <is>
          <t>Ops</t>
        </is>
      </c>
      <c r="D75" s="61" t="inlineStr">
        <is>
          <t>SIMP</t>
        </is>
      </c>
      <c r="E75" s="61" t="n">
        <v>2024</v>
      </c>
      <c r="F75" s="61" t="inlineStr">
        <is>
          <t>nucleus_area_ha</t>
        </is>
      </c>
      <c r="G75" s="61" t="n">
        <v>241208</v>
      </c>
      <c r="H75" s="61" t="n">
        <v>241208</v>
      </c>
      <c r="I75" s="61" t="inlineStr">
        <is>
          <t>16.4%</t>
        </is>
      </c>
      <c r="J75" s="61" t="inlineStr">
        <is>
          <t>NLM 재쿼리 값으로 업데이트 (원 xlsx: 288649)</t>
        </is>
      </c>
    </row>
    <row r="76">
      <c r="A76" s="60" t="inlineStr">
        <is>
          <t>B</t>
        </is>
      </c>
      <c r="B76" s="61" t="inlineStr">
        <is>
          <t>SANITY CHECK</t>
        </is>
      </c>
      <c r="C76" s="61" t="inlineStr">
        <is>
          <t>Ops</t>
        </is>
      </c>
      <c r="D76" s="61" t="inlineStr">
        <is>
          <t>SIMP</t>
        </is>
      </c>
      <c r="E76" s="61" t="n">
        <v>2024</v>
      </c>
      <c r="F76" s="61" t="inlineStr">
        <is>
          <t>mature_area_ha</t>
        </is>
      </c>
      <c r="G76" s="61" t="n">
        <v>220318</v>
      </c>
      <c r="H76" s="61" t="n">
        <v>220318</v>
      </c>
      <c r="I76" s="61" t="inlineStr">
        <is>
          <t>11.7%</t>
        </is>
      </c>
      <c r="J76" s="61" t="inlineStr">
        <is>
          <t>NLM 재쿼리 값으로 업데이트 (원 xlsx: 249644)</t>
        </is>
      </c>
    </row>
    <row r="77">
      <c r="A77" s="60" t="inlineStr">
        <is>
          <t>B</t>
        </is>
      </c>
      <c r="B77" s="61" t="inlineStr">
        <is>
          <t>SANITY CHECK</t>
        </is>
      </c>
      <c r="C77" s="61" t="inlineStr">
        <is>
          <t>Ops</t>
        </is>
      </c>
      <c r="D77" s="61" t="inlineStr">
        <is>
          <t>SIMP</t>
        </is>
      </c>
      <c r="E77" s="61" t="n">
        <v>2024</v>
      </c>
      <c r="F77" s="61" t="inlineStr">
        <is>
          <t>immature_area_ha</t>
        </is>
      </c>
      <c r="G77" s="61" t="n">
        <v>20890</v>
      </c>
      <c r="H77" s="61" t="n">
        <v>20890</v>
      </c>
      <c r="I77" s="61" t="inlineStr">
        <is>
          <t>17.8%</t>
        </is>
      </c>
      <c r="J77" s="61" t="inlineStr">
        <is>
          <t>NLM 재쿼리 값으로 업데이트 (원 xlsx: 25422)</t>
        </is>
      </c>
    </row>
    <row r="78">
      <c r="A78" s="60" t="inlineStr">
        <is>
          <t>B</t>
        </is>
      </c>
      <c r="B78" s="61" t="inlineStr">
        <is>
          <t>SANITY CHECK</t>
        </is>
      </c>
      <c r="C78" s="61" t="inlineStr">
        <is>
          <t>Ops</t>
        </is>
      </c>
      <c r="D78" s="61" t="inlineStr">
        <is>
          <t>SIMP</t>
        </is>
      </c>
      <c r="E78" s="61" t="n">
        <v>2024</v>
      </c>
      <c r="F78" s="61" t="inlineStr">
        <is>
          <t>ffb_production_t</t>
        </is>
      </c>
      <c r="G78" s="61" t="n">
        <v>2758000</v>
      </c>
      <c r="H78" s="61" t="n">
        <v>2758000</v>
      </c>
      <c r="I78" s="61" t="inlineStr">
        <is>
          <t>24.3%</t>
        </is>
      </c>
      <c r="J78" s="61" t="inlineStr">
        <is>
          <t>NLM 재쿼리 값으로 업데이트 (원 xlsx: 3645000)</t>
        </is>
      </c>
    </row>
    <row r="79">
      <c r="A79" s="60" t="inlineStr">
        <is>
          <t>B</t>
        </is>
      </c>
      <c r="B79" s="61" t="inlineStr">
        <is>
          <t>SANITY CHECK</t>
        </is>
      </c>
      <c r="C79" s="61" t="inlineStr">
        <is>
          <t>Ops</t>
        </is>
      </c>
      <c r="D79" s="61" t="inlineStr">
        <is>
          <t>SMAR</t>
        </is>
      </c>
      <c r="E79" s="61" t="n">
        <v>2022</v>
      </c>
      <c r="F79" s="61" t="inlineStr">
        <is>
          <t>ffb_production_t</t>
        </is>
      </c>
      <c r="G79" s="61" t="n">
        <v>1950842</v>
      </c>
      <c r="H79" s="61" t="n">
        <v>1950842</v>
      </c>
      <c r="I79" s="61" t="inlineStr">
        <is>
          <t>21.3%</t>
        </is>
      </c>
      <c r="J79" s="61" t="inlineStr">
        <is>
          <t>NLM 재쿼리 값으로 업데이트 (원 xlsx: 2480000)</t>
        </is>
      </c>
    </row>
    <row r="80">
      <c r="A80" s="60" t="inlineStr">
        <is>
          <t>B</t>
        </is>
      </c>
      <c r="B80" s="61" t="inlineStr">
        <is>
          <t>SANITY CHECK</t>
        </is>
      </c>
      <c r="C80" s="61" t="inlineStr">
        <is>
          <t>Ops</t>
        </is>
      </c>
      <c r="D80" s="61" t="inlineStr">
        <is>
          <t>SMAR</t>
        </is>
      </c>
      <c r="E80" s="61" t="n">
        <v>2023</v>
      </c>
      <c r="F80" s="61" t="inlineStr">
        <is>
          <t>ffb_production_t</t>
        </is>
      </c>
      <c r="G80" s="61" t="n">
        <v>1849591</v>
      </c>
      <c r="H80" s="61" t="n">
        <v>1849591</v>
      </c>
      <c r="I80" s="61" t="inlineStr">
        <is>
          <t>23.3%</t>
        </is>
      </c>
      <c r="J80" s="61" t="inlineStr">
        <is>
          <t>NLM 재쿼리 값으로 업데이트 (원 xlsx: 2410000)</t>
        </is>
      </c>
    </row>
    <row r="81">
      <c r="A81" s="60" t="inlineStr">
        <is>
          <t>B</t>
        </is>
      </c>
      <c r="B81" s="61" t="inlineStr">
        <is>
          <t>SANITY CHECK</t>
        </is>
      </c>
      <c r="C81" s="61" t="inlineStr">
        <is>
          <t>Ops</t>
        </is>
      </c>
      <c r="D81" s="61" t="inlineStr">
        <is>
          <t>SMAR</t>
        </is>
      </c>
      <c r="E81" s="61" t="n">
        <v>2024</v>
      </c>
      <c r="F81" s="61" t="inlineStr">
        <is>
          <t>ffb_production_t</t>
        </is>
      </c>
      <c r="G81" s="61" t="n">
        <v>1741349</v>
      </c>
      <c r="H81" s="61" t="n">
        <v>1741349</v>
      </c>
      <c r="I81" s="61" t="inlineStr">
        <is>
          <t>22.3%</t>
        </is>
      </c>
      <c r="J81" s="61" t="inlineStr">
        <is>
          <t>NLM 재쿼리 값으로 업데이트 (원 xlsx: 2242000)</t>
        </is>
      </c>
    </row>
    <row r="82">
      <c r="A82" s="60" t="inlineStr">
        <is>
          <t>B</t>
        </is>
      </c>
      <c r="B82" s="61" t="inlineStr">
        <is>
          <t>SANITY CHECK</t>
        </is>
      </c>
      <c r="C82" s="61" t="inlineStr">
        <is>
          <t>Ops</t>
        </is>
      </c>
      <c r="D82" s="61" t="inlineStr">
        <is>
          <t>SSMS</t>
        </is>
      </c>
      <c r="E82" s="61" t="n">
        <v>2023</v>
      </c>
      <c r="F82" s="61" t="inlineStr">
        <is>
          <t>planted_area_total_ha</t>
        </is>
      </c>
      <c r="G82" s="61" t="n">
        <v>82465.72</v>
      </c>
      <c r="H82" s="61" t="n">
        <v>82465.72</v>
      </c>
      <c r="I82" s="61" t="inlineStr">
        <is>
          <t>28.8%</t>
        </is>
      </c>
      <c r="J82" s="61" t="inlineStr">
        <is>
          <t>NLM 재쿼리 값으로 업데이트 (원 xlsx: 115880)</t>
        </is>
      </c>
    </row>
    <row r="83">
      <c r="A83" s="60" t="inlineStr">
        <is>
          <t>B</t>
        </is>
      </c>
      <c r="B83" s="61" t="inlineStr">
        <is>
          <t>SANITY CHECK</t>
        </is>
      </c>
      <c r="C83" s="61" t="inlineStr">
        <is>
          <t>Ops</t>
        </is>
      </c>
      <c r="D83" s="61" t="inlineStr">
        <is>
          <t>SSMS</t>
        </is>
      </c>
      <c r="E83" s="61" t="n">
        <v>2023</v>
      </c>
      <c r="F83" s="61" t="inlineStr">
        <is>
          <t>nucleus_area_ha</t>
        </is>
      </c>
      <c r="G83" s="61" t="n">
        <v>69167.06</v>
      </c>
      <c r="H83" s="61" t="n">
        <v>69167.06</v>
      </c>
      <c r="I83" s="61" t="inlineStr">
        <is>
          <t>26.1%</t>
        </is>
      </c>
      <c r="J83" s="61" t="inlineStr">
        <is>
          <t>NLM 재쿼리 값으로 업데이트 (원 xlsx: 93534)</t>
        </is>
      </c>
    </row>
    <row r="84">
      <c r="A84" s="60" t="inlineStr">
        <is>
          <t>B</t>
        </is>
      </c>
      <c r="B84" s="61" t="inlineStr">
        <is>
          <t>SANITY CHECK</t>
        </is>
      </c>
      <c r="C84" s="61" t="inlineStr">
        <is>
          <t>Ops</t>
        </is>
      </c>
      <c r="D84" s="61" t="inlineStr">
        <is>
          <t>SSMS</t>
        </is>
      </c>
      <c r="E84" s="61" t="n">
        <v>2023</v>
      </c>
      <c r="F84" s="61" t="inlineStr">
        <is>
          <t>plasma_area_ha</t>
        </is>
      </c>
      <c r="G84" s="61" t="n">
        <v>13238.67</v>
      </c>
      <c r="H84" s="61" t="n">
        <v>13238.67</v>
      </c>
      <c r="I84" s="61" t="inlineStr">
        <is>
          <t>40.8%</t>
        </is>
      </c>
      <c r="J84" s="61" t="inlineStr">
        <is>
          <t>NLM 재쿼리 값으로 업데이트 (원 xlsx: 22346)</t>
        </is>
      </c>
    </row>
    <row r="85">
      <c r="A85" s="60" t="inlineStr">
        <is>
          <t>B</t>
        </is>
      </c>
      <c r="B85" s="61" t="inlineStr">
        <is>
          <t>SANITY CHECK</t>
        </is>
      </c>
      <c r="C85" s="61" t="inlineStr">
        <is>
          <t>Ops</t>
        </is>
      </c>
      <c r="D85" s="61" t="inlineStr">
        <is>
          <t>SSMS</t>
        </is>
      </c>
      <c r="E85" s="61" t="n">
        <v>2023</v>
      </c>
      <c r="F85" s="61" t="inlineStr">
        <is>
          <t>ffb_production_t</t>
        </is>
      </c>
      <c r="G85" s="61" t="n">
        <v>1723170</v>
      </c>
      <c r="H85" s="61" t="n">
        <v>1723170</v>
      </c>
      <c r="I85" s="61" t="inlineStr">
        <is>
          <t>27.9%</t>
        </is>
      </c>
      <c r="J85" s="61" t="inlineStr">
        <is>
          <t>NLM 재쿼리 값으로 업데이트 (원 xlsx: 2388459)</t>
        </is>
      </c>
    </row>
    <row r="86">
      <c r="A86" s="60" t="inlineStr">
        <is>
          <t>B</t>
        </is>
      </c>
      <c r="B86" s="61" t="inlineStr">
        <is>
          <t>SANITY CHECK</t>
        </is>
      </c>
      <c r="C86" s="61" t="inlineStr">
        <is>
          <t>Ops</t>
        </is>
      </c>
      <c r="D86" s="61" t="inlineStr">
        <is>
          <t>SSMS</t>
        </is>
      </c>
      <c r="E86" s="61" t="n">
        <v>2024</v>
      </c>
      <c r="F86" s="61" t="inlineStr">
        <is>
          <t>ffb_production_t</t>
        </is>
      </c>
      <c r="G86" s="61" t="n">
        <v>1562446</v>
      </c>
      <c r="H86" s="61" t="n">
        <v>1562446</v>
      </c>
      <c r="I86" s="61" t="inlineStr">
        <is>
          <t>28.5%</t>
        </is>
      </c>
      <c r="J86" s="61" t="inlineStr">
        <is>
          <t>NLM 재쿼리 값으로 업데이트 (원 xlsx: 2185514)</t>
        </is>
      </c>
    </row>
    <row r="87">
      <c r="A87" s="60" t="inlineStr">
        <is>
          <t>B</t>
        </is>
      </c>
      <c r="B87" s="61" t="inlineStr">
        <is>
          <t>SANITY CHECK</t>
        </is>
      </c>
      <c r="C87" s="61" t="inlineStr">
        <is>
          <t>Ops</t>
        </is>
      </c>
      <c r="D87" s="61" t="inlineStr">
        <is>
          <t>SSMS</t>
        </is>
      </c>
      <c r="E87" s="61" t="n">
        <v>2025</v>
      </c>
      <c r="F87" s="61" t="inlineStr">
        <is>
          <t>ffb_production_t</t>
        </is>
      </c>
      <c r="G87" s="61" t="n">
        <v>1628452</v>
      </c>
      <c r="H87" s="61" t="n">
        <v>1628452</v>
      </c>
      <c r="I87" s="61" t="inlineStr">
        <is>
          <t>32.2%</t>
        </is>
      </c>
      <c r="J87" s="61" t="inlineStr">
        <is>
          <t>NLM 재쿼리 값으로 업데이트 (원 xlsx: 2403164)</t>
        </is>
      </c>
    </row>
    <row r="88">
      <c r="A88" s="60" t="inlineStr">
        <is>
          <t>B</t>
        </is>
      </c>
      <c r="B88" s="61" t="inlineStr">
        <is>
          <t>SANITY CHECK</t>
        </is>
      </c>
      <c r="C88" s="61" t="inlineStr">
        <is>
          <t>Ops</t>
        </is>
      </c>
      <c r="D88" s="61" t="inlineStr">
        <is>
          <t>TAPG</t>
        </is>
      </c>
      <c r="E88" s="61" t="n">
        <v>2023</v>
      </c>
      <c r="F88" s="61" t="inlineStr">
        <is>
          <t>ffb_production_t</t>
        </is>
      </c>
      <c r="G88" s="61" t="n">
        <v>3050000</v>
      </c>
      <c r="H88" s="61" t="n">
        <v>3050000</v>
      </c>
      <c r="I88" s="61" t="inlineStr">
        <is>
          <t>10.3%</t>
        </is>
      </c>
      <c r="J88" s="61" t="inlineStr">
        <is>
          <t>NLM 재쿼리 값으로 업데이트 (원 xlsx: 3399000)</t>
        </is>
      </c>
    </row>
    <row r="89">
      <c r="A89" s="60" t="inlineStr">
        <is>
          <t>B</t>
        </is>
      </c>
      <c r="B89" s="61" t="inlineStr">
        <is>
          <t>SANITY CHECK</t>
        </is>
      </c>
      <c r="C89" s="61" t="inlineStr">
        <is>
          <t>Ops</t>
        </is>
      </c>
      <c r="D89" s="61" t="inlineStr">
        <is>
          <t>TAPG</t>
        </is>
      </c>
      <c r="E89" s="61" t="n">
        <v>2024</v>
      </c>
      <c r="F89" s="61" t="inlineStr">
        <is>
          <t>ffb_production_t</t>
        </is>
      </c>
      <c r="G89" s="61" t="n">
        <v>2946000</v>
      </c>
      <c r="H89" s="61" t="n">
        <v>2946000</v>
      </c>
      <c r="I89" s="61" t="inlineStr">
        <is>
          <t>10.1%</t>
        </is>
      </c>
      <c r="J89" s="61" t="inlineStr">
        <is>
          <t>NLM 재쿼리 값으로 업데이트 (원 xlsx: 3276000)</t>
        </is>
      </c>
    </row>
    <row r="90">
      <c r="A90" s="60" t="inlineStr">
        <is>
          <t>B</t>
        </is>
      </c>
      <c r="B90" s="61" t="inlineStr">
        <is>
          <t>SANITY CHECK</t>
        </is>
      </c>
      <c r="C90" s="61" t="inlineStr">
        <is>
          <t>Ops</t>
        </is>
      </c>
      <c r="D90" s="61" t="inlineStr">
        <is>
          <t>TAPG</t>
        </is>
      </c>
      <c r="E90" s="61" t="n">
        <v>2025</v>
      </c>
      <c r="F90" s="61" t="inlineStr">
        <is>
          <t>ffb_production_t</t>
        </is>
      </c>
      <c r="G90" s="61" t="n">
        <v>3040000</v>
      </c>
      <c r="H90" s="61" t="n">
        <v>3040000</v>
      </c>
      <c r="I90" s="61" t="inlineStr">
        <is>
          <t>11.2%</t>
        </is>
      </c>
      <c r="J90" s="61" t="inlineStr">
        <is>
          <t>NLM 재쿼리 값으로 업데이트 (원 xlsx: 3425000)</t>
        </is>
      </c>
    </row>
    <row r="91">
      <c r="A91" s="60" t="inlineStr">
        <is>
          <t>B</t>
        </is>
      </c>
      <c r="B91" s="61" t="inlineStr">
        <is>
          <t>SANITY CHECK</t>
        </is>
      </c>
      <c r="C91" s="61" t="inlineStr">
        <is>
          <t>Ops</t>
        </is>
      </c>
      <c r="D91" s="61" t="inlineStr">
        <is>
          <t>TLDN</t>
        </is>
      </c>
      <c r="E91" s="61" t="n">
        <v>2023</v>
      </c>
      <c r="F91" s="61" t="inlineStr">
        <is>
          <t>ffb_production_t</t>
        </is>
      </c>
      <c r="G91" s="61" t="n">
        <v>1068338</v>
      </c>
      <c r="H91" s="61" t="n">
        <v>1068338</v>
      </c>
      <c r="I91" s="61" t="inlineStr">
        <is>
          <t>11.9%</t>
        </is>
      </c>
      <c r="J91" s="61" t="inlineStr">
        <is>
          <t>NLM 재쿼리 값으로 업데이트 (원 xlsx: 1213068)</t>
        </is>
      </c>
    </row>
    <row r="92">
      <c r="A92" s="60" t="inlineStr">
        <is>
          <t>B</t>
        </is>
      </c>
      <c r="B92" s="61" t="inlineStr">
        <is>
          <t>SANITY CHECK</t>
        </is>
      </c>
      <c r="C92" s="61" t="inlineStr">
        <is>
          <t>Ops</t>
        </is>
      </c>
      <c r="D92" s="61" t="inlineStr">
        <is>
          <t>TLDN</t>
        </is>
      </c>
      <c r="E92" s="61" t="n">
        <v>2024</v>
      </c>
      <c r="F92" s="61" t="inlineStr">
        <is>
          <t>ffb_production_t</t>
        </is>
      </c>
      <c r="G92" s="61" t="n">
        <v>1071173</v>
      </c>
      <c r="H92" s="61" t="n">
        <v>1071173</v>
      </c>
      <c r="I92" s="61" t="inlineStr">
        <is>
          <t>12.1%</t>
        </is>
      </c>
      <c r="J92" s="61" t="inlineStr">
        <is>
          <t>NLM 재쿼리 값으로 업데이트 (원 xlsx: 1219294)</t>
        </is>
      </c>
    </row>
    <row r="93">
      <c r="A93" s="60" t="inlineStr">
        <is>
          <t>B</t>
        </is>
      </c>
      <c r="B93" s="61" t="inlineStr">
        <is>
          <t>SANITY CHECK</t>
        </is>
      </c>
      <c r="C93" s="61" t="inlineStr">
        <is>
          <t>Ops</t>
        </is>
      </c>
      <c r="D93" s="61" t="inlineStr">
        <is>
          <t>TLDN</t>
        </is>
      </c>
      <c r="E93" s="61" t="n">
        <v>2025</v>
      </c>
      <c r="F93" s="61" t="inlineStr">
        <is>
          <t>ffb_production_t</t>
        </is>
      </c>
      <c r="G93" s="61" t="n">
        <v>1109558</v>
      </c>
      <c r="H93" s="61" t="n">
        <v>1109558</v>
      </c>
      <c r="I93" s="61" t="inlineStr">
        <is>
          <t>12.7%</t>
        </is>
      </c>
      <c r="J93" s="61" t="inlineStr">
        <is>
          <t>NLM 재쿼리 값으로 업데이트 (원 xlsx: 1271034)</t>
        </is>
      </c>
    </row>
    <row r="94">
      <c r="A94" s="60" t="inlineStr">
        <is>
          <t>B</t>
        </is>
      </c>
      <c r="B94" s="61" t="inlineStr">
        <is>
          <t>SANITY CHECK</t>
        </is>
      </c>
      <c r="C94" s="61" t="inlineStr">
        <is>
          <t>Ops</t>
        </is>
      </c>
      <c r="D94" s="61" t="inlineStr">
        <is>
          <t>UNSP</t>
        </is>
      </c>
      <c r="E94" s="61" t="n">
        <v>2022</v>
      </c>
      <c r="F94" s="61" t="inlineStr">
        <is>
          <t>planted_area_total_ha</t>
        </is>
      </c>
      <c r="G94" s="61" t="n">
        <v>52192</v>
      </c>
      <c r="H94" s="61" t="n">
        <v>52192</v>
      </c>
      <c r="I94" s="61" t="inlineStr">
        <is>
          <t>22.8%</t>
        </is>
      </c>
      <c r="J94" s="61" t="inlineStr">
        <is>
          <t>NLM 재쿼리 값으로 업데이트 (원 xlsx: 67591)</t>
        </is>
      </c>
    </row>
    <row r="95">
      <c r="A95" s="60" t="inlineStr">
        <is>
          <t>B</t>
        </is>
      </c>
      <c r="B95" s="61" t="inlineStr">
        <is>
          <t>SANITY CHECK</t>
        </is>
      </c>
      <c r="C95" s="61" t="inlineStr">
        <is>
          <t>Ops</t>
        </is>
      </c>
      <c r="D95" s="61" t="inlineStr">
        <is>
          <t>UNSP</t>
        </is>
      </c>
      <c r="E95" s="61" t="n">
        <v>2022</v>
      </c>
      <c r="F95" s="61" t="inlineStr">
        <is>
          <t>mature_area_ha</t>
        </is>
      </c>
      <c r="G95" s="61" t="n">
        <v>45968</v>
      </c>
      <c r="H95" s="61" t="n">
        <v>45968</v>
      </c>
      <c r="I95" s="61" t="inlineStr">
        <is>
          <t>24.9%</t>
        </is>
      </c>
      <c r="J95" s="61" t="inlineStr">
        <is>
          <t>NLM 재쿼리 값으로 업데이트 (원 xlsx: 61245)</t>
        </is>
      </c>
    </row>
    <row r="96">
      <c r="A96" s="60" t="inlineStr">
        <is>
          <t>B</t>
        </is>
      </c>
      <c r="B96" s="61" t="inlineStr">
        <is>
          <t>SANITY CHECK</t>
        </is>
      </c>
      <c r="C96" s="61" t="inlineStr">
        <is>
          <t>Ops</t>
        </is>
      </c>
      <c r="D96" s="61" t="inlineStr">
        <is>
          <t>UNSP</t>
        </is>
      </c>
      <c r="E96" s="61" t="n">
        <v>2023</v>
      </c>
      <c r="F96" s="61" t="inlineStr">
        <is>
          <t>planted_area_total_ha</t>
        </is>
      </c>
      <c r="G96" s="61" t="n">
        <v>54828</v>
      </c>
      <c r="H96" s="61" t="n">
        <v>54828</v>
      </c>
      <c r="I96" s="61" t="inlineStr">
        <is>
          <t>21.4%</t>
        </is>
      </c>
      <c r="J96" s="61" t="inlineStr">
        <is>
          <t>NLM 재쿼리 값으로 업데이트 (원 xlsx: 69713)</t>
        </is>
      </c>
    </row>
    <row r="97">
      <c r="A97" s="60" t="inlineStr">
        <is>
          <t>B</t>
        </is>
      </c>
      <c r="B97" s="61" t="inlineStr">
        <is>
          <t>SANITY CHECK</t>
        </is>
      </c>
      <c r="C97" s="61" t="inlineStr">
        <is>
          <t>Fin</t>
        </is>
      </c>
      <c r="D97" s="61" t="inlineStr">
        <is>
          <t>WAPO</t>
        </is>
      </c>
      <c r="E97" s="61" t="n">
        <v>2023</v>
      </c>
      <c r="F97" s="61" t="inlineStr">
        <is>
          <t>net_profit</t>
        </is>
      </c>
      <c r="G97" s="61" t="n">
        <v>0.236</v>
      </c>
      <c r="H97" s="61" t="n">
        <v>0.236</v>
      </c>
      <c r="I97" s="61" t="inlineStr">
        <is>
          <t>7.3%</t>
        </is>
      </c>
      <c r="J97" s="61" t="inlineStr">
        <is>
          <t>NLM 재쿼리 값으로 업데이트 (원 xlsx: 0.22)</t>
        </is>
      </c>
    </row>
    <row r="98">
      <c r="A98" s="60" t="inlineStr">
        <is>
          <t>B</t>
        </is>
      </c>
      <c r="B98" s="61" t="inlineStr">
        <is>
          <t>SANITY CHECK</t>
        </is>
      </c>
      <c r="C98" s="61" t="inlineStr">
        <is>
          <t>Fin</t>
        </is>
      </c>
      <c r="D98" s="61" t="inlineStr">
        <is>
          <t>WAPO</t>
        </is>
      </c>
      <c r="E98" s="61" t="n">
        <v>2023</v>
      </c>
      <c r="F98" s="61" t="inlineStr">
        <is>
          <t>profit_parent</t>
        </is>
      </c>
      <c r="G98" s="61" t="n">
        <v>0.236</v>
      </c>
      <c r="H98" s="61" t="n">
        <v>0.236</v>
      </c>
      <c r="I98" s="61" t="inlineStr">
        <is>
          <t>7.3%</t>
        </is>
      </c>
      <c r="J98" s="61" t="inlineStr">
        <is>
          <t>NLM 재쿼리 값으로 업데이트 (원 xlsx: 0.22)</t>
        </is>
      </c>
    </row>
    <row r="99">
      <c r="A99" s="60" t="inlineStr">
        <is>
          <t>B</t>
        </is>
      </c>
      <c r="B99" s="61" t="inlineStr">
        <is>
          <t>SANITY CHECK</t>
        </is>
      </c>
      <c r="C99" s="61" t="inlineStr">
        <is>
          <t>Fin</t>
        </is>
      </c>
      <c r="D99" s="61" t="inlineStr">
        <is>
          <t>WAPO</t>
        </is>
      </c>
      <c r="E99" s="61" t="n">
        <v>2024</v>
      </c>
      <c r="F99" s="61" t="inlineStr">
        <is>
          <t>net_profit</t>
        </is>
      </c>
      <c r="G99" s="61" t="n">
        <v>0.784</v>
      </c>
      <c r="H99" s="61" t="n">
        <v>0.784</v>
      </c>
      <c r="I99" s="61" t="inlineStr">
        <is>
          <t>8.9%</t>
        </is>
      </c>
      <c r="J99" s="61" t="inlineStr">
        <is>
          <t>NLM 재쿼리 값으로 업데이트 (원 xlsx: 0.72)</t>
        </is>
      </c>
    </row>
    <row r="100">
      <c r="A100" s="60" t="inlineStr">
        <is>
          <t>B</t>
        </is>
      </c>
      <c r="B100" s="61" t="inlineStr">
        <is>
          <t>SANITY CHECK</t>
        </is>
      </c>
      <c r="C100" s="61" t="inlineStr">
        <is>
          <t>Fin</t>
        </is>
      </c>
      <c r="D100" s="61" t="inlineStr">
        <is>
          <t>WAPO</t>
        </is>
      </c>
      <c r="E100" s="61" t="n">
        <v>2024</v>
      </c>
      <c r="F100" s="61" t="inlineStr">
        <is>
          <t>profit_parent</t>
        </is>
      </c>
      <c r="G100" s="61" t="n">
        <v>0.784</v>
      </c>
      <c r="H100" s="61" t="n">
        <v>0.784</v>
      </c>
      <c r="I100" s="61" t="inlineStr">
        <is>
          <t>8.9%</t>
        </is>
      </c>
      <c r="J100" s="61" t="inlineStr">
        <is>
          <t>NLM 재쿼리 값으로 업데이트 (원 xlsx: 0.72)</t>
        </is>
      </c>
    </row>
    <row r="101">
      <c r="A101" s="60" t="inlineStr">
        <is>
          <t>B</t>
        </is>
      </c>
      <c r="B101" s="61" t="inlineStr">
        <is>
          <t>SANITY CHECK</t>
        </is>
      </c>
      <c r="C101" s="61" t="inlineStr">
        <is>
          <t>Fin</t>
        </is>
      </c>
      <c r="D101" s="61" t="inlineStr">
        <is>
          <t>WAPO</t>
        </is>
      </c>
      <c r="E101" s="61" t="n">
        <v>2024</v>
      </c>
      <c r="F101" s="61" t="inlineStr">
        <is>
          <t>cash</t>
        </is>
      </c>
      <c r="G101" s="61" t="n">
        <v>10.77</v>
      </c>
      <c r="H101" s="61" t="n">
        <v>10.77</v>
      </c>
      <c r="I101" s="61" t="inlineStr">
        <is>
          <t>25.7%</t>
        </is>
      </c>
      <c r="J101" s="61" t="inlineStr">
        <is>
          <t>NLM 재쿼리 값으로 업데이트 (원 xlsx: 8.57)</t>
        </is>
      </c>
    </row>
    <row r="102" ht="28.8" customHeight="1" s="67">
      <c r="A102" s="62" t="inlineStr">
        <is>
          <t>C</t>
        </is>
      </c>
      <c r="B102" s="63" t="inlineStr">
        <is>
          <t>OPTIONAL</t>
        </is>
      </c>
      <c r="C102" s="63" t="inlineStr">
        <is>
          <t>Fin</t>
        </is>
      </c>
      <c r="D102" s="63" t="inlineStr">
        <is>
          <t>ANDI</t>
        </is>
      </c>
      <c r="E102" s="63" t="n">
        <v>2022</v>
      </c>
      <c r="F102" s="63" t="inlineStr">
        <is>
          <t>capex</t>
        </is>
      </c>
      <c r="G102" s="63" t="inlineStr">
        <is>
          <t>29.78</t>
        </is>
      </c>
      <c r="H102" s="63" t="inlineStr">
        <is>
          <t>134.42</t>
        </is>
      </c>
      <c r="I102" s="63" t="inlineStr">
        <is>
          <t>+351.4%</t>
        </is>
      </c>
      <c r="J102" s="63" t="inlineStr">
        <is>
          <t>방법론 차이(capex/debt 정의 등) — 업데이트 원하면 xlsx 수동 변경</t>
        </is>
      </c>
    </row>
    <row r="103" ht="28.8" customHeight="1" s="67">
      <c r="A103" s="62" t="inlineStr">
        <is>
          <t>C</t>
        </is>
      </c>
      <c r="B103" s="63" t="inlineStr">
        <is>
          <t>OPTIONAL</t>
        </is>
      </c>
      <c r="C103" s="63" t="inlineStr">
        <is>
          <t>Fin</t>
        </is>
      </c>
      <c r="D103" s="63" t="inlineStr">
        <is>
          <t>BISI</t>
        </is>
      </c>
      <c r="E103" s="63" t="n">
        <v>2024</v>
      </c>
      <c r="F103" s="63" t="inlineStr">
        <is>
          <t>capex</t>
        </is>
      </c>
      <c r="G103" s="63" t="inlineStr">
        <is>
          <t>95</t>
        </is>
      </c>
      <c r="H103" s="63" t="inlineStr">
        <is>
          <t>136.03</t>
        </is>
      </c>
      <c r="I103" s="63" t="inlineStr">
        <is>
          <t>+43.2%</t>
        </is>
      </c>
      <c r="J103" s="63" t="inlineStr">
        <is>
          <t>방법론 차이(capex/debt 정의 등) — 업데이트 원하면 xlsx 수동 변경</t>
        </is>
      </c>
    </row>
    <row r="104" ht="28.8" customHeight="1" s="67">
      <c r="A104" s="62" t="inlineStr">
        <is>
          <t>C</t>
        </is>
      </c>
      <c r="B104" s="63" t="inlineStr">
        <is>
          <t>OPTIONAL</t>
        </is>
      </c>
      <c r="C104" s="63" t="inlineStr">
        <is>
          <t>Fin</t>
        </is>
      </c>
      <c r="D104" s="63" t="inlineStr">
        <is>
          <t>BTEK</t>
        </is>
      </c>
      <c r="E104" s="63" t="n">
        <v>2022</v>
      </c>
      <c r="F104" s="63" t="inlineStr">
        <is>
          <t>capex</t>
        </is>
      </c>
      <c r="G104" s="63" t="inlineStr">
        <is>
          <t>0.2</t>
        </is>
      </c>
      <c r="H104" s="63" t="inlineStr">
        <is>
          <t>50.17</t>
        </is>
      </c>
      <c r="I104" s="63" t="inlineStr">
        <is>
          <t>+24985.0%</t>
        </is>
      </c>
      <c r="J104" s="63" t="inlineStr">
        <is>
          <t>방법론 차이(capex/debt 정의 등) — 업데이트 원하면 xlsx 수동 변경</t>
        </is>
      </c>
    </row>
    <row r="105" ht="28.8" customHeight="1" s="67">
      <c r="A105" s="62" t="inlineStr">
        <is>
          <t>C</t>
        </is>
      </c>
      <c r="B105" s="63" t="inlineStr">
        <is>
          <t>OPTIONAL</t>
        </is>
      </c>
      <c r="C105" s="63" t="inlineStr">
        <is>
          <t>Fin</t>
        </is>
      </c>
      <c r="D105" s="63" t="inlineStr">
        <is>
          <t>BTEK</t>
        </is>
      </c>
      <c r="E105" s="63" t="n">
        <v>2022</v>
      </c>
      <c r="F105" s="63" t="inlineStr">
        <is>
          <t>cfo</t>
        </is>
      </c>
      <c r="G105" s="63" t="inlineStr">
        <is>
          <t>22.56</t>
        </is>
      </c>
      <c r="H105" s="63" t="inlineStr">
        <is>
          <t>-22.56</t>
        </is>
      </c>
      <c r="I105" s="63" t="inlineStr">
        <is>
          <t>-200.0%</t>
        </is>
      </c>
      <c r="J105" s="63" t="inlineStr">
        <is>
          <t>방법론 차이(capex/debt 정의 등) — 업데이트 원하면 xlsx 수동 변경</t>
        </is>
      </c>
    </row>
    <row r="106" ht="28.8" customHeight="1" s="67">
      <c r="A106" s="62" t="inlineStr">
        <is>
          <t>C</t>
        </is>
      </c>
      <c r="B106" s="63" t="inlineStr">
        <is>
          <t>OPTIONAL</t>
        </is>
      </c>
      <c r="C106" s="63" t="inlineStr">
        <is>
          <t>Fin</t>
        </is>
      </c>
      <c r="D106" s="63" t="inlineStr">
        <is>
          <t>BTEK</t>
        </is>
      </c>
      <c r="E106" s="63" t="n">
        <v>2022</v>
      </c>
      <c r="F106" s="63" t="inlineStr">
        <is>
          <t>gross_debt</t>
        </is>
      </c>
      <c r="G106" s="63" t="inlineStr">
        <is>
          <t>2478.57</t>
        </is>
      </c>
      <c r="H106" s="63" t="inlineStr">
        <is>
          <t>2930.2</t>
        </is>
      </c>
      <c r="I106" s="63" t="inlineStr">
        <is>
          <t>+18.2%</t>
        </is>
      </c>
      <c r="J106" s="63" t="inlineStr">
        <is>
          <t>방법론 차이(capex/debt 정의 등) — 업데이트 원하면 xlsx 수동 변경</t>
        </is>
      </c>
    </row>
    <row r="107" ht="28.8" customHeight="1" s="67">
      <c r="A107" s="62" t="inlineStr">
        <is>
          <t>C</t>
        </is>
      </c>
      <c r="B107" s="63" t="inlineStr">
        <is>
          <t>OPTIONAL</t>
        </is>
      </c>
      <c r="C107" s="63" t="inlineStr">
        <is>
          <t>Fin</t>
        </is>
      </c>
      <c r="D107" s="63" t="inlineStr">
        <is>
          <t>BTEK</t>
        </is>
      </c>
      <c r="E107" s="63" t="n">
        <v>2023</v>
      </c>
      <c r="F107" s="63" t="inlineStr">
        <is>
          <t>capex</t>
        </is>
      </c>
      <c r="G107" s="63" t="inlineStr">
        <is>
          <t>69.21</t>
        </is>
      </c>
      <c r="H107" s="63" t="inlineStr">
        <is>
          <t>47.72</t>
        </is>
      </c>
      <c r="I107" s="63" t="inlineStr">
        <is>
          <t>-31.1%</t>
        </is>
      </c>
      <c r="J107" s="63" t="inlineStr">
        <is>
          <t>방법론 차이(capex/debt 정의 등) — 업데이트 원하면 xlsx 수동 변경</t>
        </is>
      </c>
    </row>
    <row r="108" ht="28.8" customHeight="1" s="67">
      <c r="A108" s="62" t="inlineStr">
        <is>
          <t>C</t>
        </is>
      </c>
      <c r="B108" s="63" t="inlineStr">
        <is>
          <t>OPTIONAL</t>
        </is>
      </c>
      <c r="C108" s="63" t="inlineStr">
        <is>
          <t>Fin</t>
        </is>
      </c>
      <c r="D108" s="63" t="inlineStr">
        <is>
          <t>BTEK</t>
        </is>
      </c>
      <c r="E108" s="63" t="n">
        <v>2023</v>
      </c>
      <c r="F108" s="63" t="inlineStr">
        <is>
          <t>cfo</t>
        </is>
      </c>
      <c r="G108" s="63" t="inlineStr">
        <is>
          <t>138.15</t>
        </is>
      </c>
      <c r="H108" s="63" t="inlineStr">
        <is>
          <t>-138.15</t>
        </is>
      </c>
      <c r="I108" s="63" t="inlineStr">
        <is>
          <t>-200.0%</t>
        </is>
      </c>
      <c r="J108" s="63" t="inlineStr">
        <is>
          <t>방법론 차이(capex/debt 정의 등) — 업데이트 원하면 xlsx 수동 변경</t>
        </is>
      </c>
    </row>
    <row r="109" ht="28.8" customHeight="1" s="67">
      <c r="A109" s="62" t="inlineStr">
        <is>
          <t>C</t>
        </is>
      </c>
      <c r="B109" s="63" t="inlineStr">
        <is>
          <t>OPTIONAL</t>
        </is>
      </c>
      <c r="C109" s="63" t="inlineStr">
        <is>
          <t>Fin</t>
        </is>
      </c>
      <c r="D109" s="63" t="inlineStr">
        <is>
          <t>BTEK</t>
        </is>
      </c>
      <c r="E109" s="63" t="n">
        <v>2023</v>
      </c>
      <c r="F109" s="63" t="inlineStr">
        <is>
          <t>gross_debt</t>
        </is>
      </c>
      <c r="G109" s="63" t="inlineStr">
        <is>
          <t>2413.69</t>
        </is>
      </c>
      <c r="H109" s="63" t="inlineStr">
        <is>
          <t>2543.33</t>
        </is>
      </c>
      <c r="I109" s="63" t="inlineStr">
        <is>
          <t>+5.4%</t>
        </is>
      </c>
      <c r="J109" s="63" t="inlineStr">
        <is>
          <t>방법론 차이(capex/debt 정의 등) — 업데이트 원하면 xlsx 수동 변경</t>
        </is>
      </c>
    </row>
    <row r="110" ht="28.8" customHeight="1" s="67">
      <c r="A110" s="62" t="inlineStr">
        <is>
          <t>C</t>
        </is>
      </c>
      <c r="B110" s="63" t="inlineStr">
        <is>
          <t>OPTIONAL</t>
        </is>
      </c>
      <c r="C110" s="63" t="inlineStr">
        <is>
          <t>Fin</t>
        </is>
      </c>
      <c r="D110" s="63" t="inlineStr">
        <is>
          <t>BTEK</t>
        </is>
      </c>
      <c r="E110" s="63" t="n">
        <v>2024</v>
      </c>
      <c r="F110" s="63" t="inlineStr">
        <is>
          <t>gross_debt</t>
        </is>
      </c>
      <c r="G110" s="63" t="inlineStr">
        <is>
          <t>2346</t>
        </is>
      </c>
      <c r="H110" s="63" t="inlineStr">
        <is>
          <t>3431.56</t>
        </is>
      </c>
      <c r="I110" s="63" t="inlineStr">
        <is>
          <t>+46.3%</t>
        </is>
      </c>
      <c r="J110" s="63" t="inlineStr">
        <is>
          <t>방법론 차이(capex/debt 정의 등) — 업데이트 원하면 xlsx 수동 변경</t>
        </is>
      </c>
    </row>
    <row r="111" ht="28.8" customHeight="1" s="67">
      <c r="A111" s="62" t="inlineStr">
        <is>
          <t>C</t>
        </is>
      </c>
      <c r="B111" s="63" t="inlineStr">
        <is>
          <t>OPTIONAL</t>
        </is>
      </c>
      <c r="C111" s="63" t="inlineStr">
        <is>
          <t>Fin</t>
        </is>
      </c>
      <c r="D111" s="63" t="inlineStr">
        <is>
          <t>BWPT</t>
        </is>
      </c>
      <c r="E111" s="63" t="n">
        <v>2024</v>
      </c>
      <c r="F111" s="63" t="inlineStr">
        <is>
          <t>capex</t>
        </is>
      </c>
      <c r="G111" s="63" t="inlineStr">
        <is>
          <t>86.04</t>
        </is>
      </c>
      <c r="H111" s="63" t="inlineStr">
        <is>
          <t>119.72</t>
        </is>
      </c>
      <c r="I111" s="63" t="inlineStr">
        <is>
          <t>+39.1%</t>
        </is>
      </c>
      <c r="J111" s="63" t="inlineStr">
        <is>
          <t>방법론 차이(capex/debt 정의 등) — 업데이트 원하면 xlsx 수동 변경</t>
        </is>
      </c>
    </row>
    <row r="112" ht="28.8" customHeight="1" s="67">
      <c r="A112" s="62" t="inlineStr">
        <is>
          <t>C</t>
        </is>
      </c>
      <c r="B112" s="63" t="inlineStr">
        <is>
          <t>OPTIONAL</t>
        </is>
      </c>
      <c r="C112" s="63" t="inlineStr">
        <is>
          <t>Fin</t>
        </is>
      </c>
      <c r="D112" s="63" t="inlineStr">
        <is>
          <t>BWPT</t>
        </is>
      </c>
      <c r="E112" s="63" t="n">
        <v>2024</v>
      </c>
      <c r="F112" s="63" t="inlineStr">
        <is>
          <t>gross_debt</t>
        </is>
      </c>
      <c r="G112" s="63" t="inlineStr">
        <is>
          <t>3959.18</t>
        </is>
      </c>
      <c r="H112" s="63" t="inlineStr">
        <is>
          <t>4432.02</t>
        </is>
      </c>
      <c r="I112" s="63" t="inlineStr">
        <is>
          <t>+11.9%</t>
        </is>
      </c>
      <c r="J112" s="63" t="inlineStr">
        <is>
          <t>방법론 차이(capex/debt 정의 등) — 업데이트 원하면 xlsx 수동 변경</t>
        </is>
      </c>
    </row>
    <row r="113" ht="28.8" customHeight="1" s="67">
      <c r="A113" s="62" t="inlineStr">
        <is>
          <t>C</t>
        </is>
      </c>
      <c r="B113" s="63" t="inlineStr">
        <is>
          <t>OPTIONAL</t>
        </is>
      </c>
      <c r="C113" s="63" t="inlineStr">
        <is>
          <t>Fin</t>
        </is>
      </c>
      <c r="D113" s="63" t="inlineStr">
        <is>
          <t>BWPT</t>
        </is>
      </c>
      <c r="E113" s="63" t="n">
        <v>2025</v>
      </c>
      <c r="F113" s="63" t="inlineStr">
        <is>
          <t>capex</t>
        </is>
      </c>
      <c r="G113" s="63" t="inlineStr">
        <is>
          <t>331.04</t>
        </is>
      </c>
      <c r="H113" s="63" t="inlineStr">
        <is>
          <t>182.21</t>
        </is>
      </c>
      <c r="I113" s="63" t="inlineStr">
        <is>
          <t>-45.0%</t>
        </is>
      </c>
      <c r="J113" s="63" t="inlineStr">
        <is>
          <t>방법론 차이(capex/debt 정의 등) — 업데이트 원하면 xlsx 수동 변경</t>
        </is>
      </c>
    </row>
    <row r="114" ht="28.8" customHeight="1" s="67">
      <c r="A114" s="62" t="inlineStr">
        <is>
          <t>C</t>
        </is>
      </c>
      <c r="B114" s="63" t="inlineStr">
        <is>
          <t>OPTIONAL</t>
        </is>
      </c>
      <c r="C114" s="63" t="inlineStr">
        <is>
          <t>Fin</t>
        </is>
      </c>
      <c r="D114" s="63" t="inlineStr">
        <is>
          <t>BWPT</t>
        </is>
      </c>
      <c r="E114" s="63" t="n">
        <v>2025</v>
      </c>
      <c r="F114" s="63" t="inlineStr">
        <is>
          <t>gross_debt</t>
        </is>
      </c>
      <c r="G114" s="63" t="inlineStr">
        <is>
          <t>4034.49</t>
        </is>
      </c>
      <c r="H114" s="63" t="inlineStr">
        <is>
          <t>4259.25</t>
        </is>
      </c>
      <c r="I114" s="63" t="inlineStr">
        <is>
          <t>+5.6%</t>
        </is>
      </c>
      <c r="J114" s="63" t="inlineStr">
        <is>
          <t>방법론 차이(capex/debt 정의 등) — 업데이트 원하면 xlsx 수동 변경</t>
        </is>
      </c>
    </row>
    <row r="115" ht="28.8" customHeight="1" s="67">
      <c r="A115" s="62" t="inlineStr">
        <is>
          <t>C</t>
        </is>
      </c>
      <c r="B115" s="63" t="inlineStr">
        <is>
          <t>OPTIONAL</t>
        </is>
      </c>
      <c r="C115" s="63" t="inlineStr">
        <is>
          <t>Fin</t>
        </is>
      </c>
      <c r="D115" s="63" t="inlineStr">
        <is>
          <t>CBUT</t>
        </is>
      </c>
      <c r="E115" s="63" t="n">
        <v>2025</v>
      </c>
      <c r="F115" s="63" t="inlineStr">
        <is>
          <t>capex</t>
        </is>
      </c>
      <c r="G115" s="63" t="inlineStr">
        <is>
          <t>258.905</t>
        </is>
      </c>
      <c r="H115" s="63" t="inlineStr">
        <is>
          <t>276.56</t>
        </is>
      </c>
      <c r="I115" s="63" t="inlineStr">
        <is>
          <t>+6.8%</t>
        </is>
      </c>
      <c r="J115" s="63" t="inlineStr">
        <is>
          <t>방법론 차이(capex/debt 정의 등) — 업데이트 원하면 xlsx 수동 변경</t>
        </is>
      </c>
    </row>
    <row r="116" ht="28.8" customHeight="1" s="67">
      <c r="A116" s="62" t="inlineStr">
        <is>
          <t>C</t>
        </is>
      </c>
      <c r="B116" s="63" t="inlineStr">
        <is>
          <t>OPTIONAL</t>
        </is>
      </c>
      <c r="C116" s="63" t="inlineStr">
        <is>
          <t>Fin</t>
        </is>
      </c>
      <c r="D116" s="63" t="inlineStr">
        <is>
          <t>DSNG</t>
        </is>
      </c>
      <c r="E116" s="63" t="n">
        <v>2022</v>
      </c>
      <c r="F116" s="63" t="inlineStr">
        <is>
          <t>capex</t>
        </is>
      </c>
      <c r="G116" s="63" t="inlineStr">
        <is>
          <t>1197.756</t>
        </is>
      </c>
      <c r="H116" s="63" t="inlineStr">
        <is>
          <t>1069.48</t>
        </is>
      </c>
      <c r="I116" s="63" t="inlineStr">
        <is>
          <t>-10.7%</t>
        </is>
      </c>
      <c r="J116" s="63" t="inlineStr">
        <is>
          <t>방법론 차이(capex/debt 정의 등) — 업데이트 원하면 xlsx 수동 변경</t>
        </is>
      </c>
    </row>
    <row r="117" ht="28.8" customHeight="1" s="67">
      <c r="A117" s="62" t="inlineStr">
        <is>
          <t>C</t>
        </is>
      </c>
      <c r="B117" s="63" t="inlineStr">
        <is>
          <t>OPTIONAL</t>
        </is>
      </c>
      <c r="C117" s="63" t="inlineStr">
        <is>
          <t>Fin</t>
        </is>
      </c>
      <c r="D117" s="63" t="inlineStr">
        <is>
          <t>DSNG</t>
        </is>
      </c>
      <c r="E117" s="63" t="n">
        <v>2022</v>
      </c>
      <c r="F117" s="63" t="inlineStr">
        <is>
          <t>gross_debt</t>
        </is>
      </c>
      <c r="G117" s="63" t="inlineStr">
        <is>
          <t>4926.946</t>
        </is>
      </c>
      <c r="H117" s="63" t="inlineStr">
        <is>
          <t>6181.39</t>
        </is>
      </c>
      <c r="I117" s="63" t="inlineStr">
        <is>
          <t>+25.5%</t>
        </is>
      </c>
      <c r="J117" s="63" t="inlineStr">
        <is>
          <t>방법론 차이(capex/debt 정의 등) — 업데이트 원하면 xlsx 수동 변경</t>
        </is>
      </c>
    </row>
    <row r="118" ht="28.8" customHeight="1" s="67">
      <c r="A118" s="62" t="inlineStr">
        <is>
          <t>C</t>
        </is>
      </c>
      <c r="B118" s="63" t="inlineStr">
        <is>
          <t>OPTIONAL</t>
        </is>
      </c>
      <c r="C118" s="63" t="inlineStr">
        <is>
          <t>Fin</t>
        </is>
      </c>
      <c r="D118" s="63" t="inlineStr">
        <is>
          <t>DSNG</t>
        </is>
      </c>
      <c r="E118" s="63" t="n">
        <v>2023</v>
      </c>
      <c r="F118" s="63" t="inlineStr">
        <is>
          <t>capex</t>
        </is>
      </c>
      <c r="G118" s="63" t="inlineStr">
        <is>
          <t>1382.461</t>
        </is>
      </c>
      <c r="H118" s="63" t="inlineStr">
        <is>
          <t>1674.43</t>
        </is>
      </c>
      <c r="I118" s="63" t="inlineStr">
        <is>
          <t>+21.1%</t>
        </is>
      </c>
      <c r="J118" s="63" t="inlineStr">
        <is>
          <t>방법론 차이(capex/debt 정의 등) — 업데이트 원하면 xlsx 수동 변경</t>
        </is>
      </c>
    </row>
    <row r="119" ht="28.8" customHeight="1" s="67">
      <c r="A119" s="62" t="inlineStr">
        <is>
          <t>C</t>
        </is>
      </c>
      <c r="B119" s="63" t="inlineStr">
        <is>
          <t>OPTIONAL</t>
        </is>
      </c>
      <c r="C119" s="63" t="inlineStr">
        <is>
          <t>Fin</t>
        </is>
      </c>
      <c r="D119" s="63" t="inlineStr">
        <is>
          <t>DSNG</t>
        </is>
      </c>
      <c r="E119" s="63" t="n">
        <v>2023</v>
      </c>
      <c r="F119" s="63" t="inlineStr">
        <is>
          <t>gross_debt</t>
        </is>
      </c>
      <c r="G119" s="63" t="inlineStr">
        <is>
          <t>5075.615</t>
        </is>
      </c>
      <c r="H119" s="63" t="inlineStr">
        <is>
          <t>5402.37</t>
        </is>
      </c>
      <c r="I119" s="63" t="inlineStr">
        <is>
          <t>+6.4%</t>
        </is>
      </c>
      <c r="J119" s="63" t="inlineStr">
        <is>
          <t>방법론 차이(capex/debt 정의 등) — 업데이트 원하면 xlsx 수동 변경</t>
        </is>
      </c>
    </row>
    <row r="120" ht="28.8" customHeight="1" s="67">
      <c r="A120" s="62" t="inlineStr">
        <is>
          <t>C</t>
        </is>
      </c>
      <c r="B120" s="63" t="inlineStr">
        <is>
          <t>OPTIONAL</t>
        </is>
      </c>
      <c r="C120" s="63" t="inlineStr">
        <is>
          <t>Fin</t>
        </is>
      </c>
      <c r="D120" s="63" t="inlineStr">
        <is>
          <t>DSNG</t>
        </is>
      </c>
      <c r="E120" s="63" t="n">
        <v>2024</v>
      </c>
      <c r="F120" s="63" t="inlineStr">
        <is>
          <t>capex</t>
        </is>
      </c>
      <c r="G120" s="63" t="inlineStr">
        <is>
          <t>1092.101</t>
        </is>
      </c>
      <c r="H120" s="63" t="inlineStr">
        <is>
          <t>1182.58</t>
        </is>
      </c>
      <c r="I120" s="63" t="inlineStr">
        <is>
          <t>+8.3%</t>
        </is>
      </c>
      <c r="J120" s="63" t="inlineStr">
        <is>
          <t>방법론 차이(capex/debt 정의 등) — 업데이트 원하면 xlsx 수동 변경</t>
        </is>
      </c>
    </row>
    <row r="121" ht="28.8" customHeight="1" s="67">
      <c r="A121" s="62" t="inlineStr">
        <is>
          <t>C</t>
        </is>
      </c>
      <c r="B121" s="63" t="inlineStr">
        <is>
          <t>OPTIONAL</t>
        </is>
      </c>
      <c r="C121" s="63" t="inlineStr">
        <is>
          <t>Fin</t>
        </is>
      </c>
      <c r="D121" s="63" t="inlineStr">
        <is>
          <t>FAPA</t>
        </is>
      </c>
      <c r="E121" s="63" t="n">
        <v>2022</v>
      </c>
      <c r="F121" s="63" t="inlineStr">
        <is>
          <t>capex</t>
        </is>
      </c>
      <c r="G121" s="63" t="inlineStr">
        <is>
          <t>468.859</t>
        </is>
      </c>
      <c r="H121" s="63" t="inlineStr">
        <is>
          <t>552.26</t>
        </is>
      </c>
      <c r="I121" s="63" t="inlineStr">
        <is>
          <t>+17.8%</t>
        </is>
      </c>
      <c r="J121" s="63" t="inlineStr">
        <is>
          <t>방법론 차이(capex/debt 정의 등) — 업데이트 원하면 xlsx 수동 변경</t>
        </is>
      </c>
    </row>
    <row r="122" ht="28.8" customHeight="1" s="67">
      <c r="A122" s="62" t="inlineStr">
        <is>
          <t>C</t>
        </is>
      </c>
      <c r="B122" s="63" t="inlineStr">
        <is>
          <t>OPTIONAL</t>
        </is>
      </c>
      <c r="C122" s="63" t="inlineStr">
        <is>
          <t>Fin</t>
        </is>
      </c>
      <c r="D122" s="63" t="inlineStr">
        <is>
          <t>FAPA</t>
        </is>
      </c>
      <c r="E122" s="63" t="n">
        <v>2023</v>
      </c>
      <c r="F122" s="63" t="inlineStr">
        <is>
          <t>capex</t>
        </is>
      </c>
      <c r="G122" s="63" t="inlineStr">
        <is>
          <t>478.938</t>
        </is>
      </c>
      <c r="H122" s="63" t="inlineStr">
        <is>
          <t>434.86</t>
        </is>
      </c>
      <c r="I122" s="63" t="inlineStr">
        <is>
          <t>-9.2%</t>
        </is>
      </c>
      <c r="J122" s="63" t="inlineStr">
        <is>
          <t>방법론 차이(capex/debt 정의 등) — 업데이트 원하면 xlsx 수동 변경</t>
        </is>
      </c>
    </row>
    <row r="123" ht="28.8" customHeight="1" s="67">
      <c r="A123" s="62" t="inlineStr">
        <is>
          <t>C</t>
        </is>
      </c>
      <c r="B123" s="63" t="inlineStr">
        <is>
          <t>OPTIONAL</t>
        </is>
      </c>
      <c r="C123" s="63" t="inlineStr">
        <is>
          <t>Fin</t>
        </is>
      </c>
      <c r="D123" s="63" t="inlineStr">
        <is>
          <t>FAPA</t>
        </is>
      </c>
      <c r="E123" s="63" t="n">
        <v>2024</v>
      </c>
      <c r="F123" s="63" t="inlineStr">
        <is>
          <t>capex</t>
        </is>
      </c>
      <c r="G123" s="63" t="inlineStr">
        <is>
          <t>516.223</t>
        </is>
      </c>
      <c r="H123" s="63" t="inlineStr">
        <is>
          <t>487.78</t>
        </is>
      </c>
      <c r="I123" s="63" t="inlineStr">
        <is>
          <t>-5.5%</t>
        </is>
      </c>
      <c r="J123" s="63" t="inlineStr">
        <is>
          <t>방법론 차이(capex/debt 정의 등) — 업데이트 원하면 xlsx 수동 변경</t>
        </is>
      </c>
    </row>
    <row r="124" ht="28.8" customHeight="1" s="67">
      <c r="A124" s="62" t="inlineStr">
        <is>
          <t>C</t>
        </is>
      </c>
      <c r="B124" s="63" t="inlineStr">
        <is>
          <t>OPTIONAL</t>
        </is>
      </c>
      <c r="C124" s="63" t="inlineStr">
        <is>
          <t>Fin</t>
        </is>
      </c>
      <c r="D124" s="63" t="inlineStr">
        <is>
          <t>GUNA</t>
        </is>
      </c>
      <c r="E124" s="63" t="n">
        <v>2024</v>
      </c>
      <c r="F124" s="63" t="inlineStr">
        <is>
          <t>capex</t>
        </is>
      </c>
      <c r="G124" s="63" t="inlineStr">
        <is>
          <t>134</t>
        </is>
      </c>
      <c r="H124" s="63" t="inlineStr">
        <is>
          <t>114.47</t>
        </is>
      </c>
      <c r="I124" s="63" t="inlineStr">
        <is>
          <t>-14.6%</t>
        </is>
      </c>
      <c r="J124" s="63" t="inlineStr">
        <is>
          <t>방법론 차이(capex/debt 정의 등) — 업데이트 원하면 xlsx 수동 변경</t>
        </is>
      </c>
    </row>
    <row r="125" ht="28.8" customHeight="1" s="67">
      <c r="A125" s="62" t="inlineStr">
        <is>
          <t>C</t>
        </is>
      </c>
      <c r="B125" s="63" t="inlineStr">
        <is>
          <t>OPTIONAL</t>
        </is>
      </c>
      <c r="C125" s="63" t="inlineStr">
        <is>
          <t>Fin</t>
        </is>
      </c>
      <c r="D125" s="63" t="inlineStr">
        <is>
          <t>GZCO</t>
        </is>
      </c>
      <c r="E125" s="63" t="n">
        <v>2022</v>
      </c>
      <c r="F125" s="63" t="inlineStr">
        <is>
          <t>cfo</t>
        </is>
      </c>
      <c r="G125" s="63" t="inlineStr">
        <is>
          <t>178.7</t>
        </is>
      </c>
      <c r="H125" s="63" t="inlineStr">
        <is>
          <t>202.1</t>
        </is>
      </c>
      <c r="I125" s="63" t="inlineStr">
        <is>
          <t>+13.1%</t>
        </is>
      </c>
      <c r="J125" s="63" t="inlineStr">
        <is>
          <t>방법론 차이(capex/debt 정의 등) — 업데이트 원하면 xlsx 수동 변경</t>
        </is>
      </c>
    </row>
    <row r="126" ht="28.8" customHeight="1" s="67">
      <c r="A126" s="62" t="inlineStr">
        <is>
          <t>C</t>
        </is>
      </c>
      <c r="B126" s="63" t="inlineStr">
        <is>
          <t>OPTIONAL</t>
        </is>
      </c>
      <c r="C126" s="63" t="inlineStr">
        <is>
          <t>Fin</t>
        </is>
      </c>
      <c r="D126" s="63" t="inlineStr">
        <is>
          <t>GZCO</t>
        </is>
      </c>
      <c r="E126" s="63" t="n">
        <v>2023</v>
      </c>
      <c r="F126" s="63" t="inlineStr">
        <is>
          <t>capex</t>
        </is>
      </c>
      <c r="G126" s="63" t="inlineStr">
        <is>
          <t>93.2</t>
        </is>
      </c>
      <c r="H126" s="63" t="inlineStr">
        <is>
          <t>33.37</t>
        </is>
      </c>
      <c r="I126" s="63" t="inlineStr">
        <is>
          <t>-64.2%</t>
        </is>
      </c>
      <c r="J126" s="63" t="inlineStr">
        <is>
          <t>방법론 차이(capex/debt 정의 등) — 업데이트 원하면 xlsx 수동 변경</t>
        </is>
      </c>
    </row>
    <row r="127" ht="28.8" customHeight="1" s="67">
      <c r="A127" s="62" t="inlineStr">
        <is>
          <t>C</t>
        </is>
      </c>
      <c r="B127" s="63" t="inlineStr">
        <is>
          <t>OPTIONAL</t>
        </is>
      </c>
      <c r="C127" s="63" t="inlineStr">
        <is>
          <t>Fin</t>
        </is>
      </c>
      <c r="D127" s="63" t="inlineStr">
        <is>
          <t>GZCO</t>
        </is>
      </c>
      <c r="E127" s="63" t="n">
        <v>2024</v>
      </c>
      <c r="F127" s="63" t="inlineStr">
        <is>
          <t>cfo</t>
        </is>
      </c>
      <c r="G127" s="63" t="inlineStr">
        <is>
          <t>169.6</t>
        </is>
      </c>
      <c r="H127" s="63" t="inlineStr">
        <is>
          <t>130.75</t>
        </is>
      </c>
      <c r="I127" s="63" t="inlineStr">
        <is>
          <t>-22.9%</t>
        </is>
      </c>
      <c r="J127" s="63" t="inlineStr">
        <is>
          <t>방법론 차이(capex/debt 정의 등) — 업데이트 원하면 xlsx 수동 변경</t>
        </is>
      </c>
    </row>
    <row r="128" ht="28.8" customHeight="1" s="67">
      <c r="A128" s="62" t="inlineStr">
        <is>
          <t>C</t>
        </is>
      </c>
      <c r="B128" s="63" t="inlineStr">
        <is>
          <t>OPTIONAL</t>
        </is>
      </c>
      <c r="C128" s="63" t="inlineStr">
        <is>
          <t>Fin</t>
        </is>
      </c>
      <c r="D128" s="63" t="inlineStr">
        <is>
          <t>IPPE</t>
        </is>
      </c>
      <c r="E128" s="63" t="n">
        <v>2023</v>
      </c>
      <c r="F128" s="63" t="inlineStr">
        <is>
          <t>capex</t>
        </is>
      </c>
      <c r="G128" s="63" t="inlineStr">
        <is>
          <t>7.55</t>
        </is>
      </c>
      <c r="H128" s="63" t="inlineStr">
        <is>
          <t>17.5</t>
        </is>
      </c>
      <c r="I128" s="63" t="inlineStr">
        <is>
          <t>+131.8%</t>
        </is>
      </c>
      <c r="J128" s="63" t="inlineStr">
        <is>
          <t>방법론 차이(capex/debt 정의 등) — 업데이트 원하면 xlsx 수동 변경</t>
        </is>
      </c>
    </row>
    <row r="129" ht="28.8" customHeight="1" s="67">
      <c r="A129" s="62" t="inlineStr">
        <is>
          <t>C</t>
        </is>
      </c>
      <c r="B129" s="63" t="inlineStr">
        <is>
          <t>OPTIONAL</t>
        </is>
      </c>
      <c r="C129" s="63" t="inlineStr">
        <is>
          <t>Fin</t>
        </is>
      </c>
      <c r="D129" s="63" t="inlineStr">
        <is>
          <t>IPPE</t>
        </is>
      </c>
      <c r="E129" s="63" t="n">
        <v>2023</v>
      </c>
      <c r="F129" s="63" t="inlineStr">
        <is>
          <t>gross_debt</t>
        </is>
      </c>
      <c r="G129" s="63" t="inlineStr">
        <is>
          <t>6.56</t>
        </is>
      </c>
      <c r="H129" s="63" t="inlineStr">
        <is>
          <t>8.55</t>
        </is>
      </c>
      <c r="I129" s="63" t="inlineStr">
        <is>
          <t>+30.3%</t>
        </is>
      </c>
      <c r="J129" s="63" t="inlineStr">
        <is>
          <t>방법론 차이(capex/debt 정의 등) — 업데이트 원하면 xlsx 수동 변경</t>
        </is>
      </c>
    </row>
    <row r="130" ht="28.8" customHeight="1" s="67">
      <c r="A130" s="62" t="inlineStr">
        <is>
          <t>C</t>
        </is>
      </c>
      <c r="B130" s="63" t="inlineStr">
        <is>
          <t>OPTIONAL</t>
        </is>
      </c>
      <c r="C130" s="63" t="inlineStr">
        <is>
          <t>Fin</t>
        </is>
      </c>
      <c r="D130" s="63" t="inlineStr">
        <is>
          <t>JARR</t>
        </is>
      </c>
      <c r="E130" s="63" t="n">
        <v>2022</v>
      </c>
      <c r="F130" s="63" t="inlineStr">
        <is>
          <t>capex</t>
        </is>
      </c>
      <c r="G130" s="63" t="inlineStr">
        <is>
          <t>275</t>
        </is>
      </c>
      <c r="H130" s="63" t="inlineStr">
        <is>
          <t>344.87</t>
        </is>
      </c>
      <c r="I130" s="63" t="inlineStr">
        <is>
          <t>+25.4%</t>
        </is>
      </c>
      <c r="J130" s="63" t="inlineStr">
        <is>
          <t>방법론 차이(capex/debt 정의 등) — 업데이트 원하면 xlsx 수동 변경</t>
        </is>
      </c>
    </row>
    <row r="131" ht="28.8" customHeight="1" s="67">
      <c r="A131" s="62" t="inlineStr">
        <is>
          <t>C</t>
        </is>
      </c>
      <c r="B131" s="63" t="inlineStr">
        <is>
          <t>OPTIONAL</t>
        </is>
      </c>
      <c r="C131" s="63" t="inlineStr">
        <is>
          <t>Fin</t>
        </is>
      </c>
      <c r="D131" s="63" t="inlineStr">
        <is>
          <t>JARR</t>
        </is>
      </c>
      <c r="E131" s="63" t="n">
        <v>2023</v>
      </c>
      <c r="F131" s="63" t="inlineStr">
        <is>
          <t>capex</t>
        </is>
      </c>
      <c r="G131" s="63" t="inlineStr">
        <is>
          <t>440</t>
        </is>
      </c>
      <c r="H131" s="63" t="inlineStr">
        <is>
          <t>290.92</t>
        </is>
      </c>
      <c r="I131" s="63" t="inlineStr">
        <is>
          <t>-33.9%</t>
        </is>
      </c>
      <c r="J131" s="63" t="inlineStr">
        <is>
          <t>방법론 차이(capex/debt 정의 등) — 업데이트 원하면 xlsx 수동 변경</t>
        </is>
      </c>
    </row>
    <row r="132" ht="28.8" customHeight="1" s="67">
      <c r="A132" s="62" t="inlineStr">
        <is>
          <t>C</t>
        </is>
      </c>
      <c r="B132" s="63" t="inlineStr">
        <is>
          <t>OPTIONAL</t>
        </is>
      </c>
      <c r="C132" s="63" t="inlineStr">
        <is>
          <t>Fin</t>
        </is>
      </c>
      <c r="D132" s="63" t="inlineStr">
        <is>
          <t>JARR</t>
        </is>
      </c>
      <c r="E132" s="63" t="n">
        <v>2024</v>
      </c>
      <c r="F132" s="63" t="inlineStr">
        <is>
          <t>capex</t>
        </is>
      </c>
      <c r="G132" s="63" t="inlineStr">
        <is>
          <t>15</t>
        </is>
      </c>
      <c r="H132" s="63" t="inlineStr">
        <is>
          <t>266.78</t>
        </is>
      </c>
      <c r="I132" s="63" t="inlineStr">
        <is>
          <t>+1678.5%</t>
        </is>
      </c>
      <c r="J132" s="63" t="inlineStr">
        <is>
          <t>방법론 차이(capex/debt 정의 등) — 업데이트 원하면 xlsx 수동 변경</t>
        </is>
      </c>
    </row>
    <row r="133" ht="28.8" customHeight="1" s="67">
      <c r="A133" s="62" t="inlineStr">
        <is>
          <t>C</t>
        </is>
      </c>
      <c r="B133" s="63" t="inlineStr">
        <is>
          <t>OPTIONAL</t>
        </is>
      </c>
      <c r="C133" s="63" t="inlineStr">
        <is>
          <t>Fin</t>
        </is>
      </c>
      <c r="D133" s="63" t="inlineStr">
        <is>
          <t>JAWA</t>
        </is>
      </c>
      <c r="E133" s="63" t="n">
        <v>2022</v>
      </c>
      <c r="F133" s="63" t="inlineStr">
        <is>
          <t>capex</t>
        </is>
      </c>
      <c r="G133" s="63" t="inlineStr">
        <is>
          <t>54</t>
        </is>
      </c>
      <c r="H133" s="63" t="inlineStr">
        <is>
          <t>38.66</t>
        </is>
      </c>
      <c r="I133" s="63" t="inlineStr">
        <is>
          <t>-28.4%</t>
        </is>
      </c>
      <c r="J133" s="63" t="inlineStr">
        <is>
          <t>방법론 차이(capex/debt 정의 등) — 업데이트 원하면 xlsx 수동 변경</t>
        </is>
      </c>
    </row>
    <row r="134" ht="28.8" customHeight="1" s="67">
      <c r="A134" s="62" t="inlineStr">
        <is>
          <t>C</t>
        </is>
      </c>
      <c r="B134" s="63" t="inlineStr">
        <is>
          <t>OPTIONAL</t>
        </is>
      </c>
      <c r="C134" s="63" t="inlineStr">
        <is>
          <t>Fin</t>
        </is>
      </c>
      <c r="D134" s="63" t="inlineStr">
        <is>
          <t>JAWA</t>
        </is>
      </c>
      <c r="E134" s="63" t="n">
        <v>2022</v>
      </c>
      <c r="F134" s="63" t="inlineStr">
        <is>
          <t>gross_debt</t>
        </is>
      </c>
      <c r="G134" s="63" t="inlineStr">
        <is>
          <t>2235</t>
        </is>
      </c>
      <c r="H134" s="63" t="inlineStr">
        <is>
          <t>3642.17</t>
        </is>
      </c>
      <c r="I134" s="63" t="inlineStr">
        <is>
          <t>+63.0%</t>
        </is>
      </c>
      <c r="J134" s="63" t="inlineStr">
        <is>
          <t>방법론 차이(capex/debt 정의 등) — 업데이트 원하면 xlsx 수동 변경</t>
        </is>
      </c>
    </row>
    <row r="135" ht="28.8" customHeight="1" s="67">
      <c r="A135" s="62" t="inlineStr">
        <is>
          <t>C</t>
        </is>
      </c>
      <c r="B135" s="63" t="inlineStr">
        <is>
          <t>OPTIONAL</t>
        </is>
      </c>
      <c r="C135" s="63" t="inlineStr">
        <is>
          <t>Fin</t>
        </is>
      </c>
      <c r="D135" s="63" t="inlineStr">
        <is>
          <t>JAWA</t>
        </is>
      </c>
      <c r="E135" s="63" t="n">
        <v>2023</v>
      </c>
      <c r="F135" s="63" t="inlineStr">
        <is>
          <t>capex</t>
        </is>
      </c>
      <c r="G135" s="63" t="inlineStr">
        <is>
          <t>81</t>
        </is>
      </c>
      <c r="H135" s="63" t="inlineStr">
        <is>
          <t>143.45</t>
        </is>
      </c>
      <c r="I135" s="63" t="inlineStr">
        <is>
          <t>+77.1%</t>
        </is>
      </c>
      <c r="J135" s="63" t="inlineStr">
        <is>
          <t>방법론 차이(capex/debt 정의 등) — 업데이트 원하면 xlsx 수동 변경</t>
        </is>
      </c>
    </row>
    <row r="136" ht="28.8" customHeight="1" s="67">
      <c r="A136" s="62" t="inlineStr">
        <is>
          <t>C</t>
        </is>
      </c>
      <c r="B136" s="63" t="inlineStr">
        <is>
          <t>OPTIONAL</t>
        </is>
      </c>
      <c r="C136" s="63" t="inlineStr">
        <is>
          <t>Fin</t>
        </is>
      </c>
      <c r="D136" s="63" t="inlineStr">
        <is>
          <t>JAWA</t>
        </is>
      </c>
      <c r="E136" s="63" t="n">
        <v>2023</v>
      </c>
      <c r="F136" s="63" t="inlineStr">
        <is>
          <t>ebit</t>
        </is>
      </c>
      <c r="G136" s="63" t="inlineStr">
        <is>
          <t>-73</t>
        </is>
      </c>
      <c r="H136" s="63" t="inlineStr">
        <is>
          <t>-303.85</t>
        </is>
      </c>
      <c r="I136" s="63" t="inlineStr">
        <is>
          <t>-316.2%</t>
        </is>
      </c>
      <c r="J136" s="63" t="inlineStr">
        <is>
          <t>방법론 차이(capex/debt 정의 등) — 업데이트 원하면 xlsx 수동 변경</t>
        </is>
      </c>
    </row>
    <row r="137" ht="28.8" customHeight="1" s="67">
      <c r="A137" s="62" t="inlineStr">
        <is>
          <t>C</t>
        </is>
      </c>
      <c r="B137" s="63" t="inlineStr">
        <is>
          <t>OPTIONAL</t>
        </is>
      </c>
      <c r="C137" s="63" t="inlineStr">
        <is>
          <t>Fin</t>
        </is>
      </c>
      <c r="D137" s="63" t="inlineStr">
        <is>
          <t>JAWA</t>
        </is>
      </c>
      <c r="E137" s="63" t="n">
        <v>2023</v>
      </c>
      <c r="F137" s="63" t="inlineStr">
        <is>
          <t>gross_debt</t>
        </is>
      </c>
      <c r="G137" s="63" t="inlineStr">
        <is>
          <t>1964</t>
        </is>
      </c>
      <c r="H137" s="63" t="inlineStr">
        <is>
          <t>3921.83</t>
        </is>
      </c>
      <c r="I137" s="63" t="inlineStr">
        <is>
          <t>+99.7%</t>
        </is>
      </c>
      <c r="J137" s="63" t="inlineStr">
        <is>
          <t>방법론 차이(capex/debt 정의 등) — 업데이트 원하면 xlsx 수동 변경</t>
        </is>
      </c>
    </row>
    <row r="138" ht="28.8" customHeight="1" s="67">
      <c r="A138" s="62" t="inlineStr">
        <is>
          <t>C</t>
        </is>
      </c>
      <c r="B138" s="63" t="inlineStr">
        <is>
          <t>OPTIONAL</t>
        </is>
      </c>
      <c r="C138" s="63" t="inlineStr">
        <is>
          <t>Fin</t>
        </is>
      </c>
      <c r="D138" s="63" t="inlineStr">
        <is>
          <t>JAWA</t>
        </is>
      </c>
      <c r="E138" s="63" t="n">
        <v>2024</v>
      </c>
      <c r="F138" s="63" t="inlineStr">
        <is>
          <t>capex</t>
        </is>
      </c>
      <c r="G138" s="63" t="inlineStr">
        <is>
          <t>87</t>
        </is>
      </c>
      <c r="H138" s="63" t="inlineStr">
        <is>
          <t>119.24</t>
        </is>
      </c>
      <c r="I138" s="63" t="inlineStr">
        <is>
          <t>+37.1%</t>
        </is>
      </c>
      <c r="J138" s="63" t="inlineStr">
        <is>
          <t>방법론 차이(capex/debt 정의 등) — 업데이트 원하면 xlsx 수동 변경</t>
        </is>
      </c>
    </row>
    <row r="139" ht="28.8" customHeight="1" s="67">
      <c r="A139" s="62" t="inlineStr">
        <is>
          <t>C</t>
        </is>
      </c>
      <c r="B139" s="63" t="inlineStr">
        <is>
          <t>OPTIONAL</t>
        </is>
      </c>
      <c r="C139" s="63" t="inlineStr">
        <is>
          <t>Fin</t>
        </is>
      </c>
      <c r="D139" s="63" t="inlineStr">
        <is>
          <t>JAWA</t>
        </is>
      </c>
      <c r="E139" s="63" t="n">
        <v>2024</v>
      </c>
      <c r="F139" s="63" t="inlineStr">
        <is>
          <t>ebit</t>
        </is>
      </c>
      <c r="G139" s="63" t="inlineStr">
        <is>
          <t>51</t>
        </is>
      </c>
      <c r="H139" s="63" t="inlineStr">
        <is>
          <t>-193.73</t>
        </is>
      </c>
      <c r="I139" s="63" t="inlineStr">
        <is>
          <t>-479.9%</t>
        </is>
      </c>
      <c r="J139" s="63" t="inlineStr">
        <is>
          <t>방법론 차이(capex/debt 정의 등) — 업데이트 원하면 xlsx 수동 변경</t>
        </is>
      </c>
    </row>
    <row r="140" ht="28.8" customHeight="1" s="67">
      <c r="A140" s="62" t="inlineStr">
        <is>
          <t>C</t>
        </is>
      </c>
      <c r="B140" s="63" t="inlineStr">
        <is>
          <t>OPTIONAL</t>
        </is>
      </c>
      <c r="C140" s="63" t="inlineStr">
        <is>
          <t>Fin</t>
        </is>
      </c>
      <c r="D140" s="63" t="inlineStr">
        <is>
          <t>LSIP</t>
        </is>
      </c>
      <c r="E140" s="63" t="n">
        <v>2024</v>
      </c>
      <c r="F140" s="63" t="inlineStr">
        <is>
          <t>gross_debt</t>
        </is>
      </c>
      <c r="G140" s="63" t="inlineStr">
        <is>
          <t>0</t>
        </is>
      </c>
      <c r="H140" s="63" t="inlineStr">
        <is>
          <t>4.86</t>
        </is>
      </c>
      <c r="I140" s="63" t="inlineStr">
        <is>
          <t>+486000.0%</t>
        </is>
      </c>
      <c r="J140" s="63" t="inlineStr">
        <is>
          <t>방법론 차이(capex/debt 정의 등) — 업데이트 원하면 xlsx 수동 변경</t>
        </is>
      </c>
    </row>
    <row r="141" ht="28.8" customHeight="1" s="67">
      <c r="A141" s="62" t="inlineStr">
        <is>
          <t>C</t>
        </is>
      </c>
      <c r="B141" s="63" t="inlineStr">
        <is>
          <t>OPTIONAL</t>
        </is>
      </c>
      <c r="C141" s="63" t="inlineStr">
        <is>
          <t>Fin</t>
        </is>
      </c>
      <c r="D141" s="63" t="inlineStr">
        <is>
          <t>MAGP</t>
        </is>
      </c>
      <c r="E141" s="63" t="n">
        <v>2022</v>
      </c>
      <c r="F141" s="63" t="inlineStr">
        <is>
          <t>cfo</t>
        </is>
      </c>
      <c r="G141" s="63" t="inlineStr">
        <is>
          <t>1.62</t>
        </is>
      </c>
      <c r="H141" s="63" t="inlineStr">
        <is>
          <t>0.58</t>
        </is>
      </c>
      <c r="I141" s="63" t="inlineStr">
        <is>
          <t>-64.2%</t>
        </is>
      </c>
      <c r="J141" s="63" t="inlineStr">
        <is>
          <t>방법론 차이(capex/debt 정의 등) — 업데이트 원하면 xlsx 수동 변경</t>
        </is>
      </c>
    </row>
    <row r="142" ht="28.8" customHeight="1" s="67">
      <c r="A142" s="62" t="inlineStr">
        <is>
          <t>C</t>
        </is>
      </c>
      <c r="B142" s="63" t="inlineStr">
        <is>
          <t>OPTIONAL</t>
        </is>
      </c>
      <c r="C142" s="63" t="inlineStr">
        <is>
          <t>Fin</t>
        </is>
      </c>
      <c r="D142" s="63" t="inlineStr">
        <is>
          <t>MAGP</t>
        </is>
      </c>
      <c r="E142" s="63" t="n">
        <v>2022</v>
      </c>
      <c r="F142" s="63" t="inlineStr">
        <is>
          <t>ebit</t>
        </is>
      </c>
      <c r="G142" s="63" t="inlineStr">
        <is>
          <t>-4.31</t>
        </is>
      </c>
      <c r="H142" s="63" t="inlineStr">
        <is>
          <t>-10.57</t>
        </is>
      </c>
      <c r="I142" s="63" t="inlineStr">
        <is>
          <t>-145.2%</t>
        </is>
      </c>
      <c r="J142" s="63" t="inlineStr">
        <is>
          <t>방법론 차이(capex/debt 정의 등) — 업데이트 원하면 xlsx 수동 변경</t>
        </is>
      </c>
    </row>
    <row r="143" ht="28.8" customHeight="1" s="67">
      <c r="A143" s="62" t="inlineStr">
        <is>
          <t>C</t>
        </is>
      </c>
      <c r="B143" s="63" t="inlineStr">
        <is>
          <t>OPTIONAL</t>
        </is>
      </c>
      <c r="C143" s="63" t="inlineStr">
        <is>
          <t>Fin</t>
        </is>
      </c>
      <c r="D143" s="63" t="inlineStr">
        <is>
          <t>MAGP</t>
        </is>
      </c>
      <c r="E143" s="63" t="n">
        <v>2022</v>
      </c>
      <c r="F143" s="63" t="inlineStr">
        <is>
          <t>gross_debt</t>
        </is>
      </c>
      <c r="G143" s="63" t="inlineStr">
        <is>
          <t>358.71</t>
        </is>
      </c>
      <c r="H143" s="63" t="inlineStr">
        <is>
          <t>240.91</t>
        </is>
      </c>
      <c r="I143" s="63" t="inlineStr">
        <is>
          <t>-32.8%</t>
        </is>
      </c>
      <c r="J143" s="63" t="inlineStr">
        <is>
          <t>방법론 차이(capex/debt 정의 등) — 업데이트 원하면 xlsx 수동 변경</t>
        </is>
      </c>
    </row>
    <row r="144" ht="28.8" customHeight="1" s="67">
      <c r="A144" s="62" t="inlineStr">
        <is>
          <t>C</t>
        </is>
      </c>
      <c r="B144" s="63" t="inlineStr">
        <is>
          <t>OPTIONAL</t>
        </is>
      </c>
      <c r="C144" s="63" t="inlineStr">
        <is>
          <t>Fin</t>
        </is>
      </c>
      <c r="D144" s="63" t="inlineStr">
        <is>
          <t>MGRO</t>
        </is>
      </c>
      <c r="E144" s="63" t="n">
        <v>2022</v>
      </c>
      <c r="F144" s="63" t="inlineStr">
        <is>
          <t>ebit</t>
        </is>
      </c>
      <c r="G144" s="63" t="inlineStr">
        <is>
          <t>100.54</t>
        </is>
      </c>
      <c r="H144" s="63" t="inlineStr">
        <is>
          <t>88.98</t>
        </is>
      </c>
      <c r="I144" s="63" t="inlineStr">
        <is>
          <t>-11.5%</t>
        </is>
      </c>
      <c r="J144" s="63" t="inlineStr">
        <is>
          <t>방법론 차이(capex/debt 정의 등) — 업데이트 원하면 xlsx 수동 변경</t>
        </is>
      </c>
    </row>
    <row r="145" ht="28.8" customHeight="1" s="67">
      <c r="A145" s="62" t="inlineStr">
        <is>
          <t>C</t>
        </is>
      </c>
      <c r="B145" s="63" t="inlineStr">
        <is>
          <t>OPTIONAL</t>
        </is>
      </c>
      <c r="C145" s="63" t="inlineStr">
        <is>
          <t>Fin</t>
        </is>
      </c>
      <c r="D145" s="63" t="inlineStr">
        <is>
          <t>MGRO</t>
        </is>
      </c>
      <c r="E145" s="63" t="n">
        <v>2023</v>
      </c>
      <c r="F145" s="63" t="inlineStr">
        <is>
          <t>capex</t>
        </is>
      </c>
      <c r="G145" s="63" t="inlineStr">
        <is>
          <t>180.81</t>
        </is>
      </c>
      <c r="H145" s="63" t="inlineStr">
        <is>
          <t>124.96</t>
        </is>
      </c>
      <c r="I145" s="63" t="inlineStr">
        <is>
          <t>-30.9%</t>
        </is>
      </c>
      <c r="J145" s="63" t="inlineStr">
        <is>
          <t>방법론 차이(capex/debt 정의 등) — 업데이트 원하면 xlsx 수동 변경</t>
        </is>
      </c>
    </row>
    <row r="146" ht="28.8" customHeight="1" s="67">
      <c r="A146" s="62" t="inlineStr">
        <is>
          <t>C</t>
        </is>
      </c>
      <c r="B146" s="63" t="inlineStr">
        <is>
          <t>OPTIONAL</t>
        </is>
      </c>
      <c r="C146" s="63" t="inlineStr">
        <is>
          <t>Fin</t>
        </is>
      </c>
      <c r="D146" s="63" t="inlineStr">
        <is>
          <t>MKTR</t>
        </is>
      </c>
      <c r="E146" s="63" t="n">
        <v>2022</v>
      </c>
      <c r="F146" s="63" t="inlineStr">
        <is>
          <t>ebit</t>
        </is>
      </c>
      <c r="G146" s="63" t="inlineStr">
        <is>
          <t>115.15</t>
        </is>
      </c>
      <c r="H146" s="63" t="inlineStr">
        <is>
          <t>121.81</t>
        </is>
      </c>
      <c r="I146" s="63" t="inlineStr">
        <is>
          <t>+5.8%</t>
        </is>
      </c>
      <c r="J146" s="63" t="inlineStr">
        <is>
          <t>방법론 차이(capex/debt 정의 등) — 업데이트 원하면 xlsx 수동 변경</t>
        </is>
      </c>
    </row>
    <row r="147" ht="28.8" customHeight="1" s="67">
      <c r="A147" s="62" t="inlineStr">
        <is>
          <t>C</t>
        </is>
      </c>
      <c r="B147" s="63" t="inlineStr">
        <is>
          <t>OPTIONAL</t>
        </is>
      </c>
      <c r="C147" s="63" t="inlineStr">
        <is>
          <t>Fin</t>
        </is>
      </c>
      <c r="D147" s="63" t="inlineStr">
        <is>
          <t>MKTR</t>
        </is>
      </c>
      <c r="E147" s="63" t="n">
        <v>2023</v>
      </c>
      <c r="F147" s="63" t="inlineStr">
        <is>
          <t>gross_debt</t>
        </is>
      </c>
      <c r="G147" s="63" t="inlineStr">
        <is>
          <t>662.84</t>
        </is>
      </c>
      <c r="H147" s="63" t="inlineStr">
        <is>
          <t>565.84</t>
        </is>
      </c>
      <c r="I147" s="63" t="inlineStr">
        <is>
          <t>-14.6%</t>
        </is>
      </c>
      <c r="J147" s="63" t="inlineStr">
        <is>
          <t>방법론 차이(capex/debt 정의 등) — 업데이트 원하면 xlsx 수동 변경</t>
        </is>
      </c>
    </row>
    <row r="148" ht="28.8" customHeight="1" s="67">
      <c r="A148" s="62" t="inlineStr">
        <is>
          <t>C</t>
        </is>
      </c>
      <c r="B148" s="63" t="inlineStr">
        <is>
          <t>OPTIONAL</t>
        </is>
      </c>
      <c r="C148" s="63" t="inlineStr">
        <is>
          <t>Fin</t>
        </is>
      </c>
      <c r="D148" s="63" t="inlineStr">
        <is>
          <t>NSSS</t>
        </is>
      </c>
      <c r="E148" s="63" t="n">
        <v>2022</v>
      </c>
      <c r="F148" s="63" t="inlineStr">
        <is>
          <t>cfo</t>
        </is>
      </c>
      <c r="G148" s="63" t="inlineStr">
        <is>
          <t>47</t>
        </is>
      </c>
      <c r="H148" s="63" t="inlineStr">
        <is>
          <t>31.97</t>
        </is>
      </c>
      <c r="I148" s="63" t="inlineStr">
        <is>
          <t>-32.0%</t>
        </is>
      </c>
      <c r="J148" s="63" t="inlineStr">
        <is>
          <t>방법론 차이(capex/debt 정의 등) — 업데이트 원하면 xlsx 수동 변경</t>
        </is>
      </c>
    </row>
    <row r="149" ht="28.8" customHeight="1" s="67">
      <c r="A149" s="62" t="inlineStr">
        <is>
          <t>C</t>
        </is>
      </c>
      <c r="B149" s="63" t="inlineStr">
        <is>
          <t>OPTIONAL</t>
        </is>
      </c>
      <c r="C149" s="63" t="inlineStr">
        <is>
          <t>Fin</t>
        </is>
      </c>
      <c r="D149" s="63" t="inlineStr">
        <is>
          <t>NSSS</t>
        </is>
      </c>
      <c r="E149" s="63" t="n">
        <v>2024</v>
      </c>
      <c r="F149" s="63" t="inlineStr">
        <is>
          <t>capex</t>
        </is>
      </c>
      <c r="G149" s="63" t="inlineStr">
        <is>
          <t>75</t>
        </is>
      </c>
      <c r="H149" s="63" t="inlineStr">
        <is>
          <t>359.81</t>
        </is>
      </c>
      <c r="I149" s="63" t="inlineStr">
        <is>
          <t>+379.7%</t>
        </is>
      </c>
      <c r="J149" s="63" t="inlineStr">
        <is>
          <t>방법론 차이(capex/debt 정의 등) — 업데이트 원하면 xlsx 수동 변경</t>
        </is>
      </c>
    </row>
    <row r="150" ht="28.8" customHeight="1" s="67">
      <c r="A150" s="62" t="inlineStr">
        <is>
          <t>C</t>
        </is>
      </c>
      <c r="B150" s="63" t="inlineStr">
        <is>
          <t>OPTIONAL</t>
        </is>
      </c>
      <c r="C150" s="63" t="inlineStr">
        <is>
          <t>Fin</t>
        </is>
      </c>
      <c r="D150" s="63" t="inlineStr">
        <is>
          <t>OILS</t>
        </is>
      </c>
      <c r="E150" s="63" t="n">
        <v>2022</v>
      </c>
      <c r="F150" s="63" t="inlineStr">
        <is>
          <t>gross_debt</t>
        </is>
      </c>
      <c r="G150" s="63" t="inlineStr">
        <is>
          <t>51.36</t>
        </is>
      </c>
      <c r="H150" s="63" t="inlineStr">
        <is>
          <t>75.19</t>
        </is>
      </c>
      <c r="I150" s="63" t="inlineStr">
        <is>
          <t>+46.4%</t>
        </is>
      </c>
      <c r="J150" s="63" t="inlineStr">
        <is>
          <t>방법론 차이(capex/debt 정의 등) — 업데이트 원하면 xlsx 수동 변경</t>
        </is>
      </c>
    </row>
    <row r="151" ht="28.8" customHeight="1" s="67">
      <c r="A151" s="62" t="inlineStr">
        <is>
          <t>C</t>
        </is>
      </c>
      <c r="B151" s="63" t="inlineStr">
        <is>
          <t>OPTIONAL</t>
        </is>
      </c>
      <c r="C151" s="63" t="inlineStr">
        <is>
          <t>Fin</t>
        </is>
      </c>
      <c r="D151" s="63" t="inlineStr">
        <is>
          <t>OILS</t>
        </is>
      </c>
      <c r="E151" s="63" t="n">
        <v>2023</v>
      </c>
      <c r="F151" s="63" t="inlineStr">
        <is>
          <t>gross_debt</t>
        </is>
      </c>
      <c r="G151" s="63" t="inlineStr">
        <is>
          <t>80.8</t>
        </is>
      </c>
      <c r="H151" s="63" t="inlineStr">
        <is>
          <t>92.4</t>
        </is>
      </c>
      <c r="I151" s="63" t="inlineStr">
        <is>
          <t>+14.4%</t>
        </is>
      </c>
      <c r="J151" s="63" t="inlineStr">
        <is>
          <t>방법론 차이(capex/debt 정의 등) — 업데이트 원하면 xlsx 수동 변경</t>
        </is>
      </c>
    </row>
    <row r="152" ht="28.8" customHeight="1" s="67">
      <c r="A152" s="62" t="inlineStr">
        <is>
          <t>C</t>
        </is>
      </c>
      <c r="B152" s="63" t="inlineStr">
        <is>
          <t>OPTIONAL</t>
        </is>
      </c>
      <c r="C152" s="63" t="inlineStr">
        <is>
          <t>Fin</t>
        </is>
      </c>
      <c r="D152" s="63" t="inlineStr">
        <is>
          <t>OILS</t>
        </is>
      </c>
      <c r="E152" s="63" t="n">
        <v>2024</v>
      </c>
      <c r="F152" s="63" t="inlineStr">
        <is>
          <t>gross_debt</t>
        </is>
      </c>
      <c r="G152" s="63" t="inlineStr">
        <is>
          <t>86.87</t>
        </is>
      </c>
      <c r="H152" s="63" t="inlineStr">
        <is>
          <t>93.9</t>
        </is>
      </c>
      <c r="I152" s="63" t="inlineStr">
        <is>
          <t>+8.1%</t>
        </is>
      </c>
      <c r="J152" s="63" t="inlineStr">
        <is>
          <t>방법론 차이(capex/debt 정의 등) — 업데이트 원하면 xlsx 수동 변경</t>
        </is>
      </c>
    </row>
    <row r="153" ht="28.8" customHeight="1" s="67">
      <c r="A153" s="62" t="inlineStr">
        <is>
          <t>C</t>
        </is>
      </c>
      <c r="B153" s="63" t="inlineStr">
        <is>
          <t>OPTIONAL</t>
        </is>
      </c>
      <c r="C153" s="63" t="inlineStr">
        <is>
          <t>Fin</t>
        </is>
      </c>
      <c r="D153" s="63" t="inlineStr">
        <is>
          <t>PGUN</t>
        </is>
      </c>
      <c r="E153" s="63" t="n">
        <v>2022</v>
      </c>
      <c r="F153" s="63" t="inlineStr">
        <is>
          <t>capex</t>
        </is>
      </c>
      <c r="G153" s="63" t="inlineStr">
        <is>
          <t>77.07</t>
        </is>
      </c>
      <c r="H153" s="63" t="inlineStr">
        <is>
          <t>70.19</t>
        </is>
      </c>
      <c r="I153" s="63" t="inlineStr">
        <is>
          <t>-8.9%</t>
        </is>
      </c>
      <c r="J153" s="63" t="inlineStr">
        <is>
          <t>방법론 차이(capex/debt 정의 등) — 업데이트 원하면 xlsx 수동 변경</t>
        </is>
      </c>
    </row>
    <row r="154" ht="28.8" customHeight="1" s="67">
      <c r="A154" s="62" t="inlineStr">
        <is>
          <t>C</t>
        </is>
      </c>
      <c r="B154" s="63" t="inlineStr">
        <is>
          <t>OPTIONAL</t>
        </is>
      </c>
      <c r="C154" s="63" t="inlineStr">
        <is>
          <t>Fin</t>
        </is>
      </c>
      <c r="D154" s="63" t="inlineStr">
        <is>
          <t>PGUN</t>
        </is>
      </c>
      <c r="E154" s="63" t="n">
        <v>2022</v>
      </c>
      <c r="F154" s="63" t="inlineStr">
        <is>
          <t>cfo</t>
        </is>
      </c>
      <c r="G154" s="63" t="inlineStr">
        <is>
          <t>213.08</t>
        </is>
      </c>
      <c r="H154" s="63" t="inlineStr">
        <is>
          <t>75.59</t>
        </is>
      </c>
      <c r="I154" s="63" t="inlineStr">
        <is>
          <t>-64.5%</t>
        </is>
      </c>
      <c r="J154" s="63" t="inlineStr">
        <is>
          <t>방법론 차이(capex/debt 정의 등) — 업데이트 원하면 xlsx 수동 변경</t>
        </is>
      </c>
    </row>
    <row r="155" ht="28.8" customHeight="1" s="67">
      <c r="A155" s="62" t="inlineStr">
        <is>
          <t>C</t>
        </is>
      </c>
      <c r="B155" s="63" t="inlineStr">
        <is>
          <t>OPTIONAL</t>
        </is>
      </c>
      <c r="C155" s="63" t="inlineStr">
        <is>
          <t>Fin</t>
        </is>
      </c>
      <c r="D155" s="63" t="inlineStr">
        <is>
          <t>PGUN</t>
        </is>
      </c>
      <c r="E155" s="63" t="n">
        <v>2022</v>
      </c>
      <c r="F155" s="63" t="inlineStr">
        <is>
          <t>gross_debt</t>
        </is>
      </c>
      <c r="G155" s="63" t="inlineStr">
        <is>
          <t>692.08</t>
        </is>
      </c>
      <c r="H155" s="63" t="inlineStr">
        <is>
          <t>569.84</t>
        </is>
      </c>
      <c r="I155" s="63" t="inlineStr">
        <is>
          <t>-17.7%</t>
        </is>
      </c>
      <c r="J155" s="63" t="inlineStr">
        <is>
          <t>방법론 차이(capex/debt 정의 등) — 업데이트 원하면 xlsx 수동 변경</t>
        </is>
      </c>
    </row>
    <row r="156" ht="28.8" customHeight="1" s="67">
      <c r="A156" s="62" t="inlineStr">
        <is>
          <t>C</t>
        </is>
      </c>
      <c r="B156" s="63" t="inlineStr">
        <is>
          <t>OPTIONAL</t>
        </is>
      </c>
      <c r="C156" s="63" t="inlineStr">
        <is>
          <t>Fin</t>
        </is>
      </c>
      <c r="D156" s="63" t="inlineStr">
        <is>
          <t>PGUN</t>
        </is>
      </c>
      <c r="E156" s="63" t="n">
        <v>2024</v>
      </c>
      <c r="F156" s="63" t="inlineStr">
        <is>
          <t>capex</t>
        </is>
      </c>
      <c r="G156" s="63" t="inlineStr">
        <is>
          <t>39.46</t>
        </is>
      </c>
      <c r="H156" s="63" t="inlineStr">
        <is>
          <t>238.23</t>
        </is>
      </c>
      <c r="I156" s="63" t="inlineStr">
        <is>
          <t>+503.7%</t>
        </is>
      </c>
      <c r="J156" s="63" t="inlineStr">
        <is>
          <t>방법론 차이(capex/debt 정의 등) — 업데이트 원하면 xlsx 수동 변경</t>
        </is>
      </c>
    </row>
    <row r="157" ht="28.8" customHeight="1" s="67">
      <c r="A157" s="62" t="inlineStr">
        <is>
          <t>C</t>
        </is>
      </c>
      <c r="B157" s="63" t="inlineStr">
        <is>
          <t>OPTIONAL</t>
        </is>
      </c>
      <c r="C157" s="63" t="inlineStr">
        <is>
          <t>Fin</t>
        </is>
      </c>
      <c r="D157" s="63" t="inlineStr">
        <is>
          <t>PNGO</t>
        </is>
      </c>
      <c r="E157" s="63" t="n">
        <v>2022</v>
      </c>
      <c r="F157" s="63" t="inlineStr">
        <is>
          <t>capex</t>
        </is>
      </c>
      <c r="G157" s="63" t="inlineStr">
        <is>
          <t>65</t>
        </is>
      </c>
      <c r="H157" s="63" t="inlineStr">
        <is>
          <t>83.0</t>
        </is>
      </c>
      <c r="I157" s="63" t="inlineStr">
        <is>
          <t>+27.7%</t>
        </is>
      </c>
      <c r="J157" s="63" t="inlineStr">
        <is>
          <t>방법론 차이(capex/debt 정의 등) — 업데이트 원하면 xlsx 수동 변경</t>
        </is>
      </c>
    </row>
    <row r="158" ht="28.8" customHeight="1" s="67">
      <c r="A158" s="62" t="inlineStr">
        <is>
          <t>C</t>
        </is>
      </c>
      <c r="B158" s="63" t="inlineStr">
        <is>
          <t>OPTIONAL</t>
        </is>
      </c>
      <c r="C158" s="63" t="inlineStr">
        <is>
          <t>Fin</t>
        </is>
      </c>
      <c r="D158" s="63" t="inlineStr">
        <is>
          <t>PNGO</t>
        </is>
      </c>
      <c r="E158" s="63" t="n">
        <v>2022</v>
      </c>
      <c r="F158" s="63" t="inlineStr">
        <is>
          <t>gross_debt</t>
        </is>
      </c>
      <c r="G158" s="63" t="inlineStr">
        <is>
          <t>685</t>
        </is>
      </c>
      <c r="H158" s="63" t="inlineStr">
        <is>
          <t>597.55</t>
        </is>
      </c>
      <c r="I158" s="63" t="inlineStr">
        <is>
          <t>-12.8%</t>
        </is>
      </c>
      <c r="J158" s="63" t="inlineStr">
        <is>
          <t>방법론 차이(capex/debt 정의 등) — 업데이트 원하면 xlsx 수동 변경</t>
        </is>
      </c>
    </row>
    <row r="159" ht="28.8" customHeight="1" s="67">
      <c r="A159" s="62" t="inlineStr">
        <is>
          <t>C</t>
        </is>
      </c>
      <c r="B159" s="63" t="inlineStr">
        <is>
          <t>OPTIONAL</t>
        </is>
      </c>
      <c r="C159" s="63" t="inlineStr">
        <is>
          <t>Ops</t>
        </is>
      </c>
      <c r="D159" s="63" t="inlineStr">
        <is>
          <t>PNGO</t>
        </is>
      </c>
      <c r="E159" s="63" t="n">
        <v>2022</v>
      </c>
      <c r="F159" s="63" t="inlineStr">
        <is>
          <t>third_party_ffb_t</t>
        </is>
      </c>
      <c r="G159" s="63" t="inlineStr">
        <is>
          <t>279009</t>
        </is>
      </c>
      <c r="H159" s="63" t="inlineStr">
        <is>
          <t>298686.0</t>
        </is>
      </c>
      <c r="I159" s="63" t="inlineStr">
        <is>
          <t>+7.1%</t>
        </is>
      </c>
      <c r="J159" s="63" t="inlineStr">
        <is>
          <t>방법론 차이(capex/debt 정의 등) — 업데이트 원하면 xlsx 수동 변경</t>
        </is>
      </c>
    </row>
    <row r="160" ht="28.8" customHeight="1" s="67">
      <c r="A160" s="62" t="inlineStr">
        <is>
          <t>C</t>
        </is>
      </c>
      <c r="B160" s="63" t="inlineStr">
        <is>
          <t>OPTIONAL</t>
        </is>
      </c>
      <c r="C160" s="63" t="inlineStr">
        <is>
          <t>Ops</t>
        </is>
      </c>
      <c r="D160" s="63" t="inlineStr">
        <is>
          <t>PNGO</t>
        </is>
      </c>
      <c r="E160" s="63" t="n">
        <v>2023</v>
      </c>
      <c r="F160" s="63" t="inlineStr">
        <is>
          <t>third_party_ffb_t</t>
        </is>
      </c>
      <c r="G160" s="63" t="inlineStr">
        <is>
          <t>227544</t>
        </is>
      </c>
      <c r="H160" s="63" t="inlineStr">
        <is>
          <t>258511.0</t>
        </is>
      </c>
      <c r="I160" s="63" t="inlineStr">
        <is>
          <t>+13.6%</t>
        </is>
      </c>
      <c r="J160" s="63" t="inlineStr">
        <is>
          <t>방법론 차이(capex/debt 정의 등) — 업데이트 원하면 xlsx 수동 변경</t>
        </is>
      </c>
    </row>
    <row r="161" ht="28.8" customHeight="1" s="67">
      <c r="A161" s="62" t="inlineStr">
        <is>
          <t>C</t>
        </is>
      </c>
      <c r="B161" s="63" t="inlineStr">
        <is>
          <t>OPTIONAL</t>
        </is>
      </c>
      <c r="C161" s="63" t="inlineStr">
        <is>
          <t>Ops</t>
        </is>
      </c>
      <c r="D161" s="63" t="inlineStr">
        <is>
          <t>PNGO</t>
        </is>
      </c>
      <c r="E161" s="63" t="n">
        <v>2024</v>
      </c>
      <c r="F161" s="63" t="inlineStr">
        <is>
          <t>third_party_ffb_t</t>
        </is>
      </c>
      <c r="G161" s="63" t="inlineStr">
        <is>
          <t>225533</t>
        </is>
      </c>
      <c r="H161" s="63" t="inlineStr">
        <is>
          <t>270083.0</t>
        </is>
      </c>
      <c r="I161" s="63" t="inlineStr">
        <is>
          <t>+19.8%</t>
        </is>
      </c>
      <c r="J161" s="63" t="inlineStr">
        <is>
          <t>방법론 차이(capex/debt 정의 등) — 업데이트 원하면 xlsx 수동 변경</t>
        </is>
      </c>
    </row>
    <row r="162" ht="28.8" customHeight="1" s="67">
      <c r="A162" s="62" t="inlineStr">
        <is>
          <t>C</t>
        </is>
      </c>
      <c r="B162" s="63" t="inlineStr">
        <is>
          <t>OPTIONAL</t>
        </is>
      </c>
      <c r="C162" s="63" t="inlineStr">
        <is>
          <t>Fin</t>
        </is>
      </c>
      <c r="D162" s="63" t="inlineStr">
        <is>
          <t>PTPS</t>
        </is>
      </c>
      <c r="E162" s="63" t="n">
        <v>2023</v>
      </c>
      <c r="F162" s="63" t="inlineStr">
        <is>
          <t>capex</t>
        </is>
      </c>
      <c r="G162" s="63" t="inlineStr">
        <is>
          <t>10.45</t>
        </is>
      </c>
      <c r="H162" s="63" t="inlineStr">
        <is>
          <t>4.93</t>
        </is>
      </c>
      <c r="I162" s="63" t="inlineStr">
        <is>
          <t>-52.8%</t>
        </is>
      </c>
      <c r="J162" s="63" t="inlineStr">
        <is>
          <t>방법론 차이(capex/debt 정의 등) — 업데이트 원하면 xlsx 수동 변경</t>
        </is>
      </c>
    </row>
    <row r="163" ht="28.8" customHeight="1" s="67">
      <c r="A163" s="62" t="inlineStr">
        <is>
          <t>C</t>
        </is>
      </c>
      <c r="B163" s="63" t="inlineStr">
        <is>
          <t>OPTIONAL</t>
        </is>
      </c>
      <c r="C163" s="63" t="inlineStr">
        <is>
          <t>Fin</t>
        </is>
      </c>
      <c r="D163" s="63" t="inlineStr">
        <is>
          <t>PTPS</t>
        </is>
      </c>
      <c r="E163" s="63" t="n">
        <v>2024</v>
      </c>
      <c r="F163" s="63" t="inlineStr">
        <is>
          <t>capex</t>
        </is>
      </c>
      <c r="G163" s="63" t="inlineStr">
        <is>
          <t>44.6</t>
        </is>
      </c>
      <c r="H163" s="63" t="inlineStr">
        <is>
          <t>33.13</t>
        </is>
      </c>
      <c r="I163" s="63" t="inlineStr">
        <is>
          <t>-25.7%</t>
        </is>
      </c>
      <c r="J163" s="63" t="inlineStr">
        <is>
          <t>방법론 차이(capex/debt 정의 등) — 업데이트 원하면 xlsx 수동 변경</t>
        </is>
      </c>
    </row>
    <row r="164" ht="28.8" customHeight="1" s="67">
      <c r="A164" s="62" t="inlineStr">
        <is>
          <t>C</t>
        </is>
      </c>
      <c r="B164" s="63" t="inlineStr">
        <is>
          <t>OPTIONAL</t>
        </is>
      </c>
      <c r="C164" s="63" t="inlineStr">
        <is>
          <t>Fin</t>
        </is>
      </c>
      <c r="D164" s="63" t="inlineStr">
        <is>
          <t>PTPS</t>
        </is>
      </c>
      <c r="E164" s="63" t="n">
        <v>2024</v>
      </c>
      <c r="F164" s="63" t="inlineStr">
        <is>
          <t>gross_debt</t>
        </is>
      </c>
      <c r="G164" s="63" t="inlineStr">
        <is>
          <t>1.01</t>
        </is>
      </c>
      <c r="H164" s="63" t="inlineStr">
        <is>
          <t>2.11</t>
        </is>
      </c>
      <c r="I164" s="63" t="inlineStr">
        <is>
          <t>+108.9%</t>
        </is>
      </c>
      <c r="J164" s="63" t="inlineStr">
        <is>
          <t>방법론 차이(capex/debt 정의 등) — 업데이트 원하면 xlsx 수동 변경</t>
        </is>
      </c>
    </row>
    <row r="165" ht="28.8" customHeight="1" s="67">
      <c r="A165" s="62" t="inlineStr">
        <is>
          <t>C</t>
        </is>
      </c>
      <c r="B165" s="63" t="inlineStr">
        <is>
          <t>OPTIONAL</t>
        </is>
      </c>
      <c r="C165" s="63" t="inlineStr">
        <is>
          <t>Fin</t>
        </is>
      </c>
      <c r="D165" s="63" t="inlineStr">
        <is>
          <t>SGRO</t>
        </is>
      </c>
      <c r="E165" s="63" t="n">
        <v>2022</v>
      </c>
      <c r="F165" s="63" t="inlineStr">
        <is>
          <t>gross_debt</t>
        </is>
      </c>
      <c r="G165" s="63" t="inlineStr">
        <is>
          <t>3082</t>
        </is>
      </c>
      <c r="H165" s="63" t="inlineStr">
        <is>
          <t>3619.24</t>
        </is>
      </c>
      <c r="I165" s="63" t="inlineStr">
        <is>
          <t>+17.4%</t>
        </is>
      </c>
      <c r="J165" s="63" t="inlineStr">
        <is>
          <t>방법론 차이(capex/debt 정의 등) — 업데이트 원하면 xlsx 수동 변경</t>
        </is>
      </c>
    </row>
    <row r="166" ht="28.8" customHeight="1" s="67">
      <c r="A166" s="62" t="inlineStr">
        <is>
          <t>C</t>
        </is>
      </c>
      <c r="B166" s="63" t="inlineStr">
        <is>
          <t>OPTIONAL</t>
        </is>
      </c>
      <c r="C166" s="63" t="inlineStr">
        <is>
          <t>Fin</t>
        </is>
      </c>
      <c r="D166" s="63" t="inlineStr">
        <is>
          <t>SGRO</t>
        </is>
      </c>
      <c r="E166" s="63" t="n">
        <v>2023</v>
      </c>
      <c r="F166" s="63" t="inlineStr">
        <is>
          <t>gross_debt</t>
        </is>
      </c>
      <c r="G166" s="63" t="inlineStr">
        <is>
          <t>2837</t>
        </is>
      </c>
      <c r="H166" s="63" t="inlineStr">
        <is>
          <t>3195.87</t>
        </is>
      </c>
      <c r="I166" s="63" t="inlineStr">
        <is>
          <t>+12.6%</t>
        </is>
      </c>
      <c r="J166" s="63" t="inlineStr">
        <is>
          <t>방법론 차이(capex/debt 정의 등) — 업데이트 원하면 xlsx 수동 변경</t>
        </is>
      </c>
    </row>
    <row r="167" ht="28.8" customHeight="1" s="67">
      <c r="A167" s="62" t="inlineStr">
        <is>
          <t>C</t>
        </is>
      </c>
      <c r="B167" s="63" t="inlineStr">
        <is>
          <t>OPTIONAL</t>
        </is>
      </c>
      <c r="C167" s="63" t="inlineStr">
        <is>
          <t>Fin</t>
        </is>
      </c>
      <c r="D167" s="63" t="inlineStr">
        <is>
          <t>SGRO</t>
        </is>
      </c>
      <c r="E167" s="63" t="n">
        <v>2024</v>
      </c>
      <c r="F167" s="63" t="inlineStr">
        <is>
          <t>gross_debt</t>
        </is>
      </c>
      <c r="G167" s="63" t="inlineStr">
        <is>
          <t>2882</t>
        </is>
      </c>
      <c r="H167" s="63" t="inlineStr">
        <is>
          <t>3076.55</t>
        </is>
      </c>
      <c r="I167" s="63" t="inlineStr">
        <is>
          <t>+6.8%</t>
        </is>
      </c>
      <c r="J167" s="63" t="inlineStr">
        <is>
          <t>방법론 차이(capex/debt 정의 등) — 업데이트 원하면 xlsx 수동 변경</t>
        </is>
      </c>
    </row>
    <row r="168" ht="28.8" customHeight="1" s="67">
      <c r="A168" s="62" t="inlineStr">
        <is>
          <t>C</t>
        </is>
      </c>
      <c r="B168" s="63" t="inlineStr">
        <is>
          <t>OPTIONAL</t>
        </is>
      </c>
      <c r="C168" s="63" t="inlineStr">
        <is>
          <t>Fin</t>
        </is>
      </c>
      <c r="D168" s="63" t="inlineStr">
        <is>
          <t>SIMP</t>
        </is>
      </c>
      <c r="E168" s="63" t="n">
        <v>2024</v>
      </c>
      <c r="F168" s="63" t="inlineStr">
        <is>
          <t>capex</t>
        </is>
      </c>
      <c r="G168" s="63" t="inlineStr">
        <is>
          <t>1264</t>
        </is>
      </c>
      <c r="H168" s="63" t="inlineStr">
        <is>
          <t>1048.75</t>
        </is>
      </c>
      <c r="I168" s="63" t="inlineStr">
        <is>
          <t>-17.0%</t>
        </is>
      </c>
      <c r="J168" s="63" t="inlineStr">
        <is>
          <t>방법론 차이(capex/debt 정의 등) — 업데이트 원하면 xlsx 수동 변경</t>
        </is>
      </c>
    </row>
    <row r="169" ht="28.8" customHeight="1" s="67">
      <c r="A169" s="62" t="inlineStr">
        <is>
          <t>C</t>
        </is>
      </c>
      <c r="B169" s="63" t="inlineStr">
        <is>
          <t>OPTIONAL</t>
        </is>
      </c>
      <c r="C169" s="63" t="inlineStr">
        <is>
          <t>Fin</t>
        </is>
      </c>
      <c r="D169" s="63" t="inlineStr">
        <is>
          <t>SMAR</t>
        </is>
      </c>
      <c r="E169" s="63" t="n">
        <v>2022</v>
      </c>
      <c r="F169" s="63" t="inlineStr">
        <is>
          <t>ebit</t>
        </is>
      </c>
      <c r="G169" s="63" t="inlineStr">
        <is>
          <t>6601</t>
        </is>
      </c>
      <c r="H169" s="63" t="inlineStr">
        <is>
          <t>7634.27</t>
        </is>
      </c>
      <c r="I169" s="63" t="inlineStr">
        <is>
          <t>+15.7%</t>
        </is>
      </c>
      <c r="J169" s="63" t="inlineStr">
        <is>
          <t>방법론 차이(capex/debt 정의 등) — 업데이트 원하면 xlsx 수동 변경</t>
        </is>
      </c>
    </row>
    <row r="170" ht="28.8" customHeight="1" s="67">
      <c r="A170" s="62" t="inlineStr">
        <is>
          <t>C</t>
        </is>
      </c>
      <c r="B170" s="63" t="inlineStr">
        <is>
          <t>OPTIONAL</t>
        </is>
      </c>
      <c r="C170" s="63" t="inlineStr">
        <is>
          <t>Fin</t>
        </is>
      </c>
      <c r="D170" s="63" t="inlineStr">
        <is>
          <t>SMAR</t>
        </is>
      </c>
      <c r="E170" s="63" t="n">
        <v>2023</v>
      </c>
      <c r="F170" s="63" t="inlineStr">
        <is>
          <t>capex</t>
        </is>
      </c>
      <c r="G170" s="63" t="inlineStr">
        <is>
          <t>1847</t>
        </is>
      </c>
      <c r="H170" s="63" t="inlineStr">
        <is>
          <t>2082.32</t>
        </is>
      </c>
      <c r="I170" s="63" t="inlineStr">
        <is>
          <t>+12.7%</t>
        </is>
      </c>
      <c r="J170" s="63" t="inlineStr">
        <is>
          <t>방법론 차이(capex/debt 정의 등) — 업데이트 원하면 xlsx 수동 변경</t>
        </is>
      </c>
    </row>
    <row r="171" ht="28.8" customHeight="1" s="67">
      <c r="A171" s="62" t="inlineStr">
        <is>
          <t>C</t>
        </is>
      </c>
      <c r="B171" s="63" t="inlineStr">
        <is>
          <t>OPTIONAL</t>
        </is>
      </c>
      <c r="C171" s="63" t="inlineStr">
        <is>
          <t>Fin</t>
        </is>
      </c>
      <c r="D171" s="63" t="inlineStr">
        <is>
          <t>SSMS</t>
        </is>
      </c>
      <c r="E171" s="63" t="n">
        <v>2023</v>
      </c>
      <c r="F171" s="63" t="inlineStr">
        <is>
          <t>capex</t>
        </is>
      </c>
      <c r="G171" s="63" t="inlineStr">
        <is>
          <t>103</t>
        </is>
      </c>
      <c r="H171" s="63" t="inlineStr">
        <is>
          <t>367</t>
        </is>
      </c>
      <c r="I171" s="63" t="inlineStr">
        <is>
          <t>+256.3%</t>
        </is>
      </c>
      <c r="J171" s="63" t="inlineStr">
        <is>
          <t>방법론 차이(capex/debt 정의 등) — 업데이트 원하면 xlsx 수동 변경</t>
        </is>
      </c>
    </row>
    <row r="172" ht="28.8" customHeight="1" s="67">
      <c r="A172" s="62" t="inlineStr">
        <is>
          <t>C</t>
        </is>
      </c>
      <c r="B172" s="63" t="inlineStr">
        <is>
          <t>OPTIONAL</t>
        </is>
      </c>
      <c r="C172" s="63" t="inlineStr">
        <is>
          <t>Fin</t>
        </is>
      </c>
      <c r="D172" s="63" t="inlineStr">
        <is>
          <t>SSMS</t>
        </is>
      </c>
      <c r="E172" s="63" t="n">
        <v>2023</v>
      </c>
      <c r="F172" s="63" t="inlineStr">
        <is>
          <t>gross_debt</t>
        </is>
      </c>
      <c r="G172" s="63" t="inlineStr">
        <is>
          <t>8102</t>
        </is>
      </c>
      <c r="H172" s="63" t="inlineStr">
        <is>
          <t>6180</t>
        </is>
      </c>
      <c r="I172" s="63" t="inlineStr">
        <is>
          <t>-23.7%</t>
        </is>
      </c>
      <c r="J172" s="63" t="inlineStr">
        <is>
          <t>방법론 차이(capex/debt 정의 등) — 업데이트 원하면 xlsx 수동 변경</t>
        </is>
      </c>
    </row>
    <row r="173" ht="28.8" customHeight="1" s="67">
      <c r="A173" s="62" t="inlineStr">
        <is>
          <t>C</t>
        </is>
      </c>
      <c r="B173" s="63" t="inlineStr">
        <is>
          <t>OPTIONAL</t>
        </is>
      </c>
      <c r="C173" s="63" t="inlineStr">
        <is>
          <t>Ops</t>
        </is>
      </c>
      <c r="D173" s="63" t="inlineStr">
        <is>
          <t>SSMS</t>
        </is>
      </c>
      <c r="E173" s="63" t="n">
        <v>2023</v>
      </c>
      <c r="F173" s="63" t="inlineStr">
        <is>
          <t>third_party_ffb_t</t>
        </is>
      </c>
      <c r="G173" s="63" t="inlineStr">
        <is>
          <t>571063</t>
        </is>
      </c>
      <c r="H173" s="63" t="inlineStr">
        <is>
          <t>665289</t>
        </is>
      </c>
      <c r="I173" s="63" t="inlineStr">
        <is>
          <t>+16.5%</t>
        </is>
      </c>
      <c r="J173" s="63" t="inlineStr">
        <is>
          <t>방법론 차이(capex/debt 정의 등) — 업데이트 원하면 xlsx 수동 변경</t>
        </is>
      </c>
    </row>
    <row r="174" ht="28.8" customHeight="1" s="67">
      <c r="A174" s="62" t="inlineStr">
        <is>
          <t>C</t>
        </is>
      </c>
      <c r="B174" s="63" t="inlineStr">
        <is>
          <t>OPTIONAL</t>
        </is>
      </c>
      <c r="C174" s="63" t="inlineStr">
        <is>
          <t>Fin</t>
        </is>
      </c>
      <c r="D174" s="63" t="inlineStr">
        <is>
          <t>SSMS</t>
        </is>
      </c>
      <c r="E174" s="63" t="n">
        <v>2024</v>
      </c>
      <c r="F174" s="63" t="inlineStr">
        <is>
          <t>capex</t>
        </is>
      </c>
      <c r="G174" s="63" t="inlineStr">
        <is>
          <t>19</t>
        </is>
      </c>
      <c r="H174" s="63" t="inlineStr">
        <is>
          <t>120</t>
        </is>
      </c>
      <c r="I174" s="63" t="inlineStr">
        <is>
          <t>+531.6%</t>
        </is>
      </c>
      <c r="J174" s="63" t="inlineStr">
        <is>
          <t>방법론 차이(capex/debt 정의 등) — 업데이트 원하면 xlsx 수동 변경</t>
        </is>
      </c>
    </row>
    <row r="175" ht="28.8" customHeight="1" s="67">
      <c r="A175" s="62" t="inlineStr">
        <is>
          <t>C</t>
        </is>
      </c>
      <c r="B175" s="63" t="inlineStr">
        <is>
          <t>OPTIONAL</t>
        </is>
      </c>
      <c r="C175" s="63" t="inlineStr">
        <is>
          <t>Ops</t>
        </is>
      </c>
      <c r="D175" s="63" t="inlineStr">
        <is>
          <t>SSMS</t>
        </is>
      </c>
      <c r="E175" s="63" t="n">
        <v>2024</v>
      </c>
      <c r="F175" s="63" t="inlineStr">
        <is>
          <t>third_party_ffb_t</t>
        </is>
      </c>
      <c r="G175" s="63" t="inlineStr">
        <is>
          <t>488647</t>
        </is>
      </c>
      <c r="H175" s="63" t="inlineStr">
        <is>
          <t>623068</t>
        </is>
      </c>
      <c r="I175" s="63" t="inlineStr">
        <is>
          <t>+27.5%</t>
        </is>
      </c>
      <c r="J175" s="63" t="inlineStr">
        <is>
          <t>방법론 차이(capex/debt 정의 등) — 업데이트 원하면 xlsx 수동 변경</t>
        </is>
      </c>
    </row>
    <row r="176" ht="28.8" customHeight="1" s="67">
      <c r="A176" s="62" t="inlineStr">
        <is>
          <t>C</t>
        </is>
      </c>
      <c r="B176" s="63" t="inlineStr">
        <is>
          <t>OPTIONAL</t>
        </is>
      </c>
      <c r="C176" s="63" t="inlineStr">
        <is>
          <t>Fin</t>
        </is>
      </c>
      <c r="D176" s="63" t="inlineStr">
        <is>
          <t>SSMS</t>
        </is>
      </c>
      <c r="E176" s="63" t="n">
        <v>2025</v>
      </c>
      <c r="F176" s="63" t="inlineStr">
        <is>
          <t>capex</t>
        </is>
      </c>
      <c r="G176" s="63" t="inlineStr">
        <is>
          <t>402</t>
        </is>
      </c>
      <c r="H176" s="63" t="inlineStr">
        <is>
          <t>642</t>
        </is>
      </c>
      <c r="I176" s="63" t="inlineStr">
        <is>
          <t>+59.7%</t>
        </is>
      </c>
      <c r="J176" s="63" t="inlineStr">
        <is>
          <t>방법론 차이(capex/debt 정의 등) — 업데이트 원하면 xlsx 수동 변경</t>
        </is>
      </c>
    </row>
    <row r="177" ht="28.8" customHeight="1" s="67">
      <c r="A177" s="62" t="inlineStr">
        <is>
          <t>C</t>
        </is>
      </c>
      <c r="B177" s="63" t="inlineStr">
        <is>
          <t>OPTIONAL</t>
        </is>
      </c>
      <c r="C177" s="63" t="inlineStr">
        <is>
          <t>Fin</t>
        </is>
      </c>
      <c r="D177" s="63" t="inlineStr">
        <is>
          <t>SSMS</t>
        </is>
      </c>
      <c r="E177" s="63" t="n">
        <v>2025</v>
      </c>
      <c r="F177" s="63" t="inlineStr">
        <is>
          <t>gross_debt</t>
        </is>
      </c>
      <c r="G177" s="63" t="inlineStr">
        <is>
          <t>8139</t>
        </is>
      </c>
      <c r="H177" s="63" t="inlineStr">
        <is>
          <t>6959</t>
        </is>
      </c>
      <c r="I177" s="63" t="inlineStr">
        <is>
          <t>-14.5%</t>
        </is>
      </c>
      <c r="J177" s="63" t="inlineStr">
        <is>
          <t>방법론 차이(capex/debt 정의 등) — 업데이트 원하면 xlsx 수동 변경</t>
        </is>
      </c>
    </row>
    <row r="178" ht="28.8" customHeight="1" s="67">
      <c r="A178" s="62" t="inlineStr">
        <is>
          <t>C</t>
        </is>
      </c>
      <c r="B178" s="63" t="inlineStr">
        <is>
          <t>OPTIONAL</t>
        </is>
      </c>
      <c r="C178" s="63" t="inlineStr">
        <is>
          <t>Fin</t>
        </is>
      </c>
      <c r="D178" s="63" t="inlineStr">
        <is>
          <t>TAPG</t>
        </is>
      </c>
      <c r="E178" s="63" t="n">
        <v>2023</v>
      </c>
      <c r="F178" s="63" t="inlineStr">
        <is>
          <t>capex</t>
        </is>
      </c>
      <c r="G178" s="63" t="inlineStr">
        <is>
          <t>802</t>
        </is>
      </c>
      <c r="H178" s="63" t="inlineStr">
        <is>
          <t>859</t>
        </is>
      </c>
      <c r="I178" s="63" t="inlineStr">
        <is>
          <t>+7.1%</t>
        </is>
      </c>
      <c r="J178" s="63" t="inlineStr">
        <is>
          <t>방법론 차이(capex/debt 정의 등) — 업데이트 원하면 xlsx 수동 변경</t>
        </is>
      </c>
    </row>
    <row r="179" ht="28.8" customHeight="1" s="67">
      <c r="A179" s="62" t="inlineStr">
        <is>
          <t>C</t>
        </is>
      </c>
      <c r="B179" s="63" t="inlineStr">
        <is>
          <t>OPTIONAL</t>
        </is>
      </c>
      <c r="C179" s="63" t="inlineStr">
        <is>
          <t>Fin</t>
        </is>
      </c>
      <c r="D179" s="63" t="inlineStr">
        <is>
          <t>TLDN</t>
        </is>
      </c>
      <c r="E179" s="63" t="n">
        <v>2023</v>
      </c>
      <c r="F179" s="63" t="inlineStr">
        <is>
          <t>capex</t>
        </is>
      </c>
      <c r="G179" s="63" t="inlineStr">
        <is>
          <t>386</t>
        </is>
      </c>
      <c r="H179" s="63" t="inlineStr">
        <is>
          <t>434.11</t>
        </is>
      </c>
      <c r="I179" s="63" t="inlineStr">
        <is>
          <t>+12.5%</t>
        </is>
      </c>
      <c r="J179" s="63" t="inlineStr">
        <is>
          <t>방법론 차이(capex/debt 정의 등) — 업데이트 원하면 xlsx 수동 변경</t>
        </is>
      </c>
    </row>
    <row r="180" ht="28.8" customHeight="1" s="67">
      <c r="A180" s="62" t="inlineStr">
        <is>
          <t>C</t>
        </is>
      </c>
      <c r="B180" s="63" t="inlineStr">
        <is>
          <t>OPTIONAL</t>
        </is>
      </c>
      <c r="C180" s="63" t="inlineStr">
        <is>
          <t>Fin</t>
        </is>
      </c>
      <c r="D180" s="63" t="inlineStr">
        <is>
          <t>TLDN</t>
        </is>
      </c>
      <c r="E180" s="63" t="n">
        <v>2023</v>
      </c>
      <c r="F180" s="63" t="inlineStr">
        <is>
          <t>gross_debt</t>
        </is>
      </c>
      <c r="G180" s="63" t="inlineStr">
        <is>
          <t>964</t>
        </is>
      </c>
      <c r="H180" s="63" t="inlineStr">
        <is>
          <t>1575.8</t>
        </is>
      </c>
      <c r="I180" s="63" t="inlineStr">
        <is>
          <t>+63.5%</t>
        </is>
      </c>
      <c r="J180" s="63" t="inlineStr">
        <is>
          <t>방법론 차이(capex/debt 정의 등) — 업데이트 원하면 xlsx 수동 변경</t>
        </is>
      </c>
    </row>
    <row r="181" ht="28.8" customHeight="1" s="67">
      <c r="A181" s="62" t="inlineStr">
        <is>
          <t>C</t>
        </is>
      </c>
      <c r="B181" s="63" t="inlineStr">
        <is>
          <t>OPTIONAL</t>
        </is>
      </c>
      <c r="C181" s="63" t="inlineStr">
        <is>
          <t>Fin</t>
        </is>
      </c>
      <c r="D181" s="63" t="inlineStr">
        <is>
          <t>TLDN</t>
        </is>
      </c>
      <c r="E181" s="63" t="n">
        <v>2024</v>
      </c>
      <c r="F181" s="63" t="inlineStr">
        <is>
          <t>gross_debt</t>
        </is>
      </c>
      <c r="G181" s="63" t="inlineStr">
        <is>
          <t>520</t>
        </is>
      </c>
      <c r="H181" s="63" t="inlineStr">
        <is>
          <t>1492.71</t>
        </is>
      </c>
      <c r="I181" s="63" t="inlineStr">
        <is>
          <t>+187.1%</t>
        </is>
      </c>
      <c r="J181" s="63" t="inlineStr">
        <is>
          <t>방법론 차이(capex/debt 정의 등) — 업데이트 원하면 xlsx 수동 변경</t>
        </is>
      </c>
    </row>
    <row r="182" ht="28.8" customHeight="1" s="67">
      <c r="A182" s="62" t="inlineStr">
        <is>
          <t>C</t>
        </is>
      </c>
      <c r="B182" s="63" t="inlineStr">
        <is>
          <t>OPTIONAL</t>
        </is>
      </c>
      <c r="C182" s="63" t="inlineStr">
        <is>
          <t>Fin</t>
        </is>
      </c>
      <c r="D182" s="63" t="inlineStr">
        <is>
          <t>TLDN</t>
        </is>
      </c>
      <c r="E182" s="63" t="n">
        <v>2025</v>
      </c>
      <c r="F182" s="63" t="inlineStr">
        <is>
          <t>capex</t>
        </is>
      </c>
      <c r="G182" s="63" t="inlineStr">
        <is>
          <t>596</t>
        </is>
      </c>
      <c r="H182" s="63" t="inlineStr">
        <is>
          <t>499.21</t>
        </is>
      </c>
      <c r="I182" s="63" t="inlineStr">
        <is>
          <t>-16.2%</t>
        </is>
      </c>
      <c r="J182" s="63" t="inlineStr">
        <is>
          <t>방법론 차이(capex/debt 정의 등) — 업데이트 원하면 xlsx 수동 변경</t>
        </is>
      </c>
    </row>
    <row r="183" ht="28.8" customHeight="1" s="67">
      <c r="A183" s="62" t="inlineStr">
        <is>
          <t>C</t>
        </is>
      </c>
      <c r="B183" s="63" t="inlineStr">
        <is>
          <t>OPTIONAL</t>
        </is>
      </c>
      <c r="C183" s="63" t="inlineStr">
        <is>
          <t>Fin</t>
        </is>
      </c>
      <c r="D183" s="63" t="inlineStr">
        <is>
          <t>UNSP</t>
        </is>
      </c>
      <c r="E183" s="63" t="n">
        <v>2023</v>
      </c>
      <c r="F183" s="63" t="inlineStr">
        <is>
          <t>ebit</t>
        </is>
      </c>
      <c r="G183" s="63" t="inlineStr">
        <is>
          <t>43</t>
        </is>
      </c>
      <c r="H183" s="63" t="inlineStr">
        <is>
          <t>-358.82</t>
        </is>
      </c>
      <c r="I183" s="63" t="inlineStr">
        <is>
          <t>-934.5%</t>
        </is>
      </c>
      <c r="J183" s="63" t="inlineStr">
        <is>
          <t>방법론 차이(capex/debt 정의 등) — 업데이트 원하면 xlsx 수동 변경</t>
        </is>
      </c>
    </row>
    <row r="184" ht="28.8" customHeight="1" s="67">
      <c r="A184" s="62" t="inlineStr">
        <is>
          <t>C</t>
        </is>
      </c>
      <c r="B184" s="63" t="inlineStr">
        <is>
          <t>OPTIONAL</t>
        </is>
      </c>
      <c r="C184" s="63" t="inlineStr">
        <is>
          <t>Fin</t>
        </is>
      </c>
      <c r="D184" s="63" t="inlineStr">
        <is>
          <t>UNSP</t>
        </is>
      </c>
      <c r="E184" s="63" t="n">
        <v>2023</v>
      </c>
      <c r="F184" s="63" t="inlineStr">
        <is>
          <t>gross_debt</t>
        </is>
      </c>
      <c r="G184" s="63" t="inlineStr">
        <is>
          <t>4493</t>
        </is>
      </c>
      <c r="H184" s="63" t="inlineStr">
        <is>
          <t>5763.15</t>
        </is>
      </c>
      <c r="I184" s="63" t="inlineStr">
        <is>
          <t>+28.3%</t>
        </is>
      </c>
      <c r="J184" s="63" t="inlineStr">
        <is>
          <t>방법론 차이(capex/debt 정의 등) — 업데이트 원하면 xlsx 수동 변경</t>
        </is>
      </c>
    </row>
    <row r="185" ht="28.8" customHeight="1" s="67">
      <c r="A185" s="62" t="inlineStr">
        <is>
          <t>C</t>
        </is>
      </c>
      <c r="B185" s="63" t="inlineStr">
        <is>
          <t>OPTIONAL</t>
        </is>
      </c>
      <c r="C185" s="63" t="inlineStr">
        <is>
          <t>Fin</t>
        </is>
      </c>
      <c r="D185" s="63" t="inlineStr">
        <is>
          <t>UNSP</t>
        </is>
      </c>
      <c r="E185" s="63" t="n">
        <v>2024</v>
      </c>
      <c r="F185" s="63" t="inlineStr">
        <is>
          <t>ebit</t>
        </is>
      </c>
      <c r="G185" s="63" t="inlineStr">
        <is>
          <t>209</t>
        </is>
      </c>
      <c r="H185" s="63" t="inlineStr">
        <is>
          <t>234.6</t>
        </is>
      </c>
      <c r="I185" s="63" t="inlineStr">
        <is>
          <t>+12.2%</t>
        </is>
      </c>
      <c r="J185" s="63" t="inlineStr">
        <is>
          <t>방법론 차이(capex/debt 정의 등) — 업데이트 원하면 xlsx 수동 변경</t>
        </is>
      </c>
    </row>
    <row r="186" ht="28.8" customHeight="1" s="67">
      <c r="A186" s="62" t="inlineStr">
        <is>
          <t>C</t>
        </is>
      </c>
      <c r="B186" s="63" t="inlineStr">
        <is>
          <t>OPTIONAL</t>
        </is>
      </c>
      <c r="C186" s="63" t="inlineStr">
        <is>
          <t>Fin</t>
        </is>
      </c>
      <c r="D186" s="63" t="inlineStr">
        <is>
          <t>WAPO</t>
        </is>
      </c>
      <c r="E186" s="63" t="n">
        <v>2022</v>
      </c>
      <c r="F186" s="63" t="inlineStr">
        <is>
          <t>capex</t>
        </is>
      </c>
      <c r="G186" s="63" t="inlineStr">
        <is>
          <t>0</t>
        </is>
      </c>
      <c r="H186" s="63" t="inlineStr">
        <is>
          <t>0.05</t>
        </is>
      </c>
      <c r="I186" s="63" t="inlineStr">
        <is>
          <t>+5000.0%</t>
        </is>
      </c>
      <c r="J186" s="63" t="inlineStr">
        <is>
          <t>방법론 차이(capex/debt 정의 등) — 업데이트 원하면 xlsx 수동 변경</t>
        </is>
      </c>
    </row>
    <row r="187" ht="28.8" customHeight="1" s="67">
      <c r="A187" s="62" t="inlineStr">
        <is>
          <t>C</t>
        </is>
      </c>
      <c r="B187" s="63" t="inlineStr">
        <is>
          <t>OPTIONAL</t>
        </is>
      </c>
      <c r="C187" s="63" t="inlineStr">
        <is>
          <t>Fin</t>
        </is>
      </c>
      <c r="D187" s="63" t="inlineStr">
        <is>
          <t>WAPO</t>
        </is>
      </c>
      <c r="E187" s="63" t="n">
        <v>2022</v>
      </c>
      <c r="F187" s="63" t="inlineStr">
        <is>
          <t>gross_debt</t>
        </is>
      </c>
      <c r="G187" s="63" t="inlineStr">
        <is>
          <t>0</t>
        </is>
      </c>
      <c r="H187" s="63" t="inlineStr">
        <is>
          <t>0.19</t>
        </is>
      </c>
      <c r="I187" s="63" t="inlineStr">
        <is>
          <t>+19000.0%</t>
        </is>
      </c>
      <c r="J187" s="63" t="inlineStr">
        <is>
          <t>방법론 차이(capex/debt 정의 등) — 업데이트 원하면 xlsx 수동 변경</t>
        </is>
      </c>
    </row>
    <row r="188" ht="28.8" customHeight="1" s="67">
      <c r="A188" s="62" t="inlineStr">
        <is>
          <t>C</t>
        </is>
      </c>
      <c r="B188" s="63" t="inlineStr">
        <is>
          <t>OPTIONAL</t>
        </is>
      </c>
      <c r="C188" s="63" t="inlineStr">
        <is>
          <t>Fin</t>
        </is>
      </c>
      <c r="D188" s="63" t="inlineStr">
        <is>
          <t>WAPO</t>
        </is>
      </c>
      <c r="E188" s="63" t="n">
        <v>2023</v>
      </c>
      <c r="F188" s="63" t="inlineStr">
        <is>
          <t>capex</t>
        </is>
      </c>
      <c r="G188" s="63" t="inlineStr">
        <is>
          <t>2.94</t>
        </is>
      </c>
      <c r="H188" s="63" t="inlineStr">
        <is>
          <t>1.06</t>
        </is>
      </c>
      <c r="I188" s="63" t="inlineStr">
        <is>
          <t>-63.9%</t>
        </is>
      </c>
      <c r="J188" s="63" t="inlineStr">
        <is>
          <t>방법론 차이(capex/debt 정의 등) — 업데이트 원하면 xlsx 수동 변경</t>
        </is>
      </c>
    </row>
    <row r="189" ht="28.8" customHeight="1" s="67">
      <c r="A189" s="62" t="inlineStr">
        <is>
          <t>C</t>
        </is>
      </c>
      <c r="B189" s="63" t="inlineStr">
        <is>
          <t>OPTIONAL</t>
        </is>
      </c>
      <c r="C189" s="63" t="inlineStr">
        <is>
          <t>Fin</t>
        </is>
      </c>
      <c r="D189" s="63" t="inlineStr">
        <is>
          <t>WAPO</t>
        </is>
      </c>
      <c r="E189" s="63" t="n">
        <v>2023</v>
      </c>
      <c r="F189" s="63" t="inlineStr">
        <is>
          <t>cfo</t>
        </is>
      </c>
      <c r="G189" s="63" t="inlineStr">
        <is>
          <t>9.63</t>
        </is>
      </c>
      <c r="H189" s="63" t="inlineStr">
        <is>
          <t>5.28</t>
        </is>
      </c>
      <c r="I189" s="63" t="inlineStr">
        <is>
          <t>-45.2%</t>
        </is>
      </c>
      <c r="J189" s="63" t="inlineStr">
        <is>
          <t>방법론 차이(capex/debt 정의 등) — 업데이트 원하면 xlsx 수동 변경</t>
        </is>
      </c>
    </row>
    <row r="190" ht="28.8" customHeight="1" s="67">
      <c r="A190" s="62" t="inlineStr">
        <is>
          <t>C</t>
        </is>
      </c>
      <c r="B190" s="63" t="inlineStr">
        <is>
          <t>OPTIONAL</t>
        </is>
      </c>
      <c r="C190" s="63" t="inlineStr">
        <is>
          <t>Fin</t>
        </is>
      </c>
      <c r="D190" s="63" t="inlineStr">
        <is>
          <t>WAPO</t>
        </is>
      </c>
      <c r="E190" s="63" t="n">
        <v>2023</v>
      </c>
      <c r="F190" s="63" t="inlineStr">
        <is>
          <t>gross_debt</t>
        </is>
      </c>
      <c r="G190" s="63" t="inlineStr">
        <is>
          <t>0</t>
        </is>
      </c>
      <c r="H190" s="63" t="inlineStr">
        <is>
          <t>0.1</t>
        </is>
      </c>
      <c r="I190" s="63" t="inlineStr">
        <is>
          <t>+10000.0%</t>
        </is>
      </c>
      <c r="J190" s="63" t="inlineStr">
        <is>
          <t>방법론 차이(capex/debt 정의 등) — 업데이트 원하면 xlsx 수동 변경</t>
        </is>
      </c>
    </row>
    <row r="191" ht="28.8" customHeight="1" s="67">
      <c r="A191" s="62" t="inlineStr">
        <is>
          <t>C</t>
        </is>
      </c>
      <c r="B191" s="63" t="inlineStr">
        <is>
          <t>OPTIONAL</t>
        </is>
      </c>
      <c r="C191" s="63" t="inlineStr">
        <is>
          <t>Fin</t>
        </is>
      </c>
      <c r="D191" s="63" t="inlineStr">
        <is>
          <t>WAPO</t>
        </is>
      </c>
      <c r="E191" s="63" t="n">
        <v>2024</v>
      </c>
      <c r="F191" s="63" t="inlineStr">
        <is>
          <t>capex</t>
        </is>
      </c>
      <c r="G191" s="63" t="inlineStr">
        <is>
          <t>2.33</t>
        </is>
      </c>
      <c r="H191" s="63" t="inlineStr">
        <is>
          <t>0.29</t>
        </is>
      </c>
      <c r="I191" s="63" t="inlineStr">
        <is>
          <t>-87.6%</t>
        </is>
      </c>
      <c r="J191" s="63" t="inlineStr">
        <is>
          <t>방법론 차이(capex/debt 정의 등) — 업데이트 원하면 xlsx 수동 변경</t>
        </is>
      </c>
    </row>
    <row r="192" ht="28.8" customHeight="1" s="67">
      <c r="A192" s="64" t="inlineStr">
        <is>
          <t>C</t>
        </is>
      </c>
      <c r="B192" s="65" t="inlineStr">
        <is>
          <t>OPTIONAL</t>
        </is>
      </c>
      <c r="C192" s="65" t="inlineStr">
        <is>
          <t>Fin</t>
        </is>
      </c>
      <c r="D192" s="65" t="inlineStr">
        <is>
          <t>ANJT</t>
        </is>
      </c>
      <c r="E192" s="65" t="n">
        <v>2022</v>
      </c>
      <c r="F192" s="65" t="inlineStr">
        <is>
          <t>capex</t>
        </is>
      </c>
      <c r="G192" s="65" t="inlineStr">
        <is>
          <t>524</t>
        </is>
      </c>
      <c r="H192" s="65" t="inlineStr">
        <is>
          <t>563.84</t>
        </is>
      </c>
      <c r="I192" s="65" t="inlineStr">
        <is>
          <t>+7.6%</t>
        </is>
      </c>
      <c r="J192" s="65" t="inlineStr">
        <is>
          <t>USD 리포터 환율 시점(year-end vs avg) 차이 — 일반적으로 OK</t>
        </is>
      </c>
    </row>
    <row r="193" ht="28.8" customHeight="1" s="67">
      <c r="A193" s="64" t="inlineStr">
        <is>
          <t>C</t>
        </is>
      </c>
      <c r="B193" s="65" t="inlineStr">
        <is>
          <t>OPTIONAL</t>
        </is>
      </c>
      <c r="C193" s="65" t="inlineStr">
        <is>
          <t>Fin</t>
        </is>
      </c>
      <c r="D193" s="65" t="inlineStr">
        <is>
          <t>ANJT</t>
        </is>
      </c>
      <c r="E193" s="65" t="n">
        <v>2022</v>
      </c>
      <c r="F193" s="65" t="inlineStr">
        <is>
          <t>ebit</t>
        </is>
      </c>
      <c r="G193" s="65" t="inlineStr">
        <is>
          <t>523</t>
        </is>
      </c>
      <c r="H193" s="65" t="inlineStr">
        <is>
          <t>644.72</t>
        </is>
      </c>
      <c r="I193" s="65" t="inlineStr">
        <is>
          <t>+23.3%</t>
        </is>
      </c>
      <c r="J193" s="65" t="inlineStr">
        <is>
          <t>USD 리포터 환율 시점(year-end vs avg) 차이 — 일반적으로 OK</t>
        </is>
      </c>
    </row>
    <row r="194" ht="28.8" customHeight="1" s="67">
      <c r="A194" s="64" t="inlineStr">
        <is>
          <t>C</t>
        </is>
      </c>
      <c r="B194" s="65" t="inlineStr">
        <is>
          <t>OPTIONAL</t>
        </is>
      </c>
      <c r="C194" s="65" t="inlineStr">
        <is>
          <t>Ops</t>
        </is>
      </c>
      <c r="D194" s="65" t="inlineStr">
        <is>
          <t>ANJT</t>
        </is>
      </c>
      <c r="E194" s="65" t="n">
        <v>2022</v>
      </c>
      <c r="F194" s="65" t="inlineStr">
        <is>
          <t>mature_area_ha</t>
        </is>
      </c>
      <c r="G194" s="65" t="inlineStr">
        <is>
          <t>42200</t>
        </is>
      </c>
      <c r="H194" s="65" t="inlineStr">
        <is>
          <t>46360</t>
        </is>
      </c>
      <c r="I194" s="65" t="inlineStr">
        <is>
          <t>+9.9%</t>
        </is>
      </c>
      <c r="J194" s="65" t="inlineStr">
        <is>
          <t>USD 리포터 환율 시점(year-end vs avg) 차이 — 일반적으로 OK</t>
        </is>
      </c>
    </row>
    <row r="195" ht="28.8" customHeight="1" s="67">
      <c r="A195" s="64" t="inlineStr">
        <is>
          <t>C</t>
        </is>
      </c>
      <c r="B195" s="65" t="inlineStr">
        <is>
          <t>OPTIONAL</t>
        </is>
      </c>
      <c r="C195" s="65" t="inlineStr">
        <is>
          <t>Ops</t>
        </is>
      </c>
      <c r="D195" s="65" t="inlineStr">
        <is>
          <t>ANJT</t>
        </is>
      </c>
      <c r="E195" s="65" t="n">
        <v>2022</v>
      </c>
      <c r="F195" s="65" t="inlineStr">
        <is>
          <t>nucleus_area_ha</t>
        </is>
      </c>
      <c r="G195" s="65" t="inlineStr">
        <is>
          <t>43700</t>
        </is>
      </c>
      <c r="H195" s="65" t="inlineStr">
        <is>
          <t>49409</t>
        </is>
      </c>
      <c r="I195" s="65" t="inlineStr">
        <is>
          <t>+13.1%</t>
        </is>
      </c>
      <c r="J195" s="65" t="inlineStr">
        <is>
          <t>USD 리포터 환율 시점(year-end vs avg) 차이 — 일반적으로 OK</t>
        </is>
      </c>
    </row>
    <row r="196" ht="28.8" customHeight="1" s="67">
      <c r="A196" s="64" t="inlineStr">
        <is>
          <t>C</t>
        </is>
      </c>
      <c r="B196" s="65" t="inlineStr">
        <is>
          <t>OPTIONAL</t>
        </is>
      </c>
      <c r="C196" s="65" t="inlineStr">
        <is>
          <t>Ops</t>
        </is>
      </c>
      <c r="D196" s="65" t="inlineStr">
        <is>
          <t>ANJT</t>
        </is>
      </c>
      <c r="E196" s="65" t="n">
        <v>2022</v>
      </c>
      <c r="F196" s="65" t="inlineStr">
        <is>
          <t>planted_area_total_ha</t>
        </is>
      </c>
      <c r="G196" s="65" t="inlineStr">
        <is>
          <t>49409</t>
        </is>
      </c>
      <c r="H196" s="65" t="inlineStr">
        <is>
          <t>53698</t>
        </is>
      </c>
      <c r="I196" s="65" t="inlineStr">
        <is>
          <t>+8.7%</t>
        </is>
      </c>
      <c r="J196" s="65" t="inlineStr">
        <is>
          <t>USD 리포터 환율 시점(year-end vs avg) 차이 — 일반적으로 OK</t>
        </is>
      </c>
    </row>
    <row r="197" ht="28.8" customHeight="1" s="67">
      <c r="A197" s="64" t="inlineStr">
        <is>
          <t>C</t>
        </is>
      </c>
      <c r="B197" s="65" t="inlineStr">
        <is>
          <t>OPTIONAL</t>
        </is>
      </c>
      <c r="C197" s="65" t="inlineStr">
        <is>
          <t>Ops</t>
        </is>
      </c>
      <c r="D197" s="65" t="inlineStr">
        <is>
          <t>ANJT</t>
        </is>
      </c>
      <c r="E197" s="65" t="n">
        <v>2022</v>
      </c>
      <c r="F197" s="65" t="inlineStr">
        <is>
          <t>plasma_area_ha</t>
        </is>
      </c>
      <c r="G197" s="65" t="inlineStr">
        <is>
          <t>5709</t>
        </is>
      </c>
      <c r="H197" s="65" t="inlineStr">
        <is>
          <t>4289</t>
        </is>
      </c>
      <c r="I197" s="65" t="inlineStr">
        <is>
          <t>-24.9%</t>
        </is>
      </c>
      <c r="J197" s="65" t="inlineStr">
        <is>
          <t>USD 리포터 환율 시점(year-end vs avg) 차이 — 일반적으로 OK</t>
        </is>
      </c>
    </row>
    <row r="198" ht="28.8" customHeight="1" s="67">
      <c r="A198" s="64" t="inlineStr">
        <is>
          <t>C</t>
        </is>
      </c>
      <c r="B198" s="65" t="inlineStr">
        <is>
          <t>OPTIONAL</t>
        </is>
      </c>
      <c r="C198" s="65" t="inlineStr">
        <is>
          <t>Fin</t>
        </is>
      </c>
      <c r="D198" s="65" t="inlineStr">
        <is>
          <t>ANJT</t>
        </is>
      </c>
      <c r="E198" s="65" t="n">
        <v>2023</v>
      </c>
      <c r="F198" s="65" t="inlineStr">
        <is>
          <t>ebit</t>
        </is>
      </c>
      <c r="G198" s="65" t="inlineStr">
        <is>
          <t>229</t>
        </is>
      </c>
      <c r="H198" s="65" t="inlineStr">
        <is>
          <t>294.63</t>
        </is>
      </c>
      <c r="I198" s="65" t="inlineStr">
        <is>
          <t>+28.7%</t>
        </is>
      </c>
      <c r="J198" s="65" t="inlineStr">
        <is>
          <t>USD 리포터 환율 시점(year-end vs avg) 차이 — 일반적으로 OK</t>
        </is>
      </c>
    </row>
    <row r="199" ht="28.8" customHeight="1" s="67">
      <c r="A199" s="64" t="inlineStr">
        <is>
          <t>C</t>
        </is>
      </c>
      <c r="B199" s="65" t="inlineStr">
        <is>
          <t>OPTIONAL</t>
        </is>
      </c>
      <c r="C199" s="65" t="inlineStr">
        <is>
          <t>Ops</t>
        </is>
      </c>
      <c r="D199" s="65" t="inlineStr">
        <is>
          <t>ANJT</t>
        </is>
      </c>
      <c r="E199" s="65" t="n">
        <v>2023</v>
      </c>
      <c r="F199" s="65" t="inlineStr">
        <is>
          <t>kernel_production_t</t>
        </is>
      </c>
      <c r="G199" s="65" t="inlineStr">
        <is>
          <t>57477</t>
        </is>
      </c>
      <c r="H199" s="65" t="inlineStr">
        <is>
          <t>52432</t>
        </is>
      </c>
      <c r="I199" s="65" t="inlineStr">
        <is>
          <t>-8.8%</t>
        </is>
      </c>
      <c r="J199" s="65" t="inlineStr">
        <is>
          <t>USD 리포터 환율 시점(year-end vs avg) 차이 — 일반적으로 OK</t>
        </is>
      </c>
    </row>
    <row r="200" ht="28.8" customHeight="1" s="67">
      <c r="A200" s="64" t="inlineStr">
        <is>
          <t>C</t>
        </is>
      </c>
      <c r="B200" s="65" t="inlineStr">
        <is>
          <t>OPTIONAL</t>
        </is>
      </c>
      <c r="C200" s="65" t="inlineStr">
        <is>
          <t>Ops</t>
        </is>
      </c>
      <c r="D200" s="65" t="inlineStr">
        <is>
          <t>ANJT</t>
        </is>
      </c>
      <c r="E200" s="65" t="n">
        <v>2023</v>
      </c>
      <c r="F200" s="65" t="inlineStr">
        <is>
          <t>mature_area_ha</t>
        </is>
      </c>
      <c r="G200" s="65" t="inlineStr">
        <is>
          <t>43400</t>
        </is>
      </c>
      <c r="H200" s="65" t="inlineStr">
        <is>
          <t>48347</t>
        </is>
      </c>
      <c r="I200" s="65" t="inlineStr">
        <is>
          <t>+11.4%</t>
        </is>
      </c>
      <c r="J200" s="65" t="inlineStr">
        <is>
          <t>USD 리포터 환율 시점(year-end vs avg) 차이 — 일반적으로 OK</t>
        </is>
      </c>
    </row>
    <row r="201" ht="28.8" customHeight="1" s="67">
      <c r="A201" s="64" t="inlineStr">
        <is>
          <t>C</t>
        </is>
      </c>
      <c r="B201" s="65" t="inlineStr">
        <is>
          <t>OPTIONAL</t>
        </is>
      </c>
      <c r="C201" s="65" t="inlineStr">
        <is>
          <t>Ops</t>
        </is>
      </c>
      <c r="D201" s="65" t="inlineStr">
        <is>
          <t>ANJT</t>
        </is>
      </c>
      <c r="E201" s="65" t="n">
        <v>2023</v>
      </c>
      <c r="F201" s="65" t="inlineStr">
        <is>
          <t>nucleus_area_ha</t>
        </is>
      </c>
      <c r="G201" s="65" t="inlineStr">
        <is>
          <t>43400</t>
        </is>
      </c>
      <c r="H201" s="65" t="inlineStr">
        <is>
          <t>48516</t>
        </is>
      </c>
      <c r="I201" s="65" t="inlineStr">
        <is>
          <t>+11.8%</t>
        </is>
      </c>
      <c r="J201" s="65" t="inlineStr">
        <is>
          <t>USD 리포터 환율 시점(year-end vs avg) 차이 — 일반적으로 OK</t>
        </is>
      </c>
    </row>
    <row r="202" ht="28.8" customHeight="1" s="67">
      <c r="A202" s="64" t="inlineStr">
        <is>
          <t>C</t>
        </is>
      </c>
      <c r="B202" s="65" t="inlineStr">
        <is>
          <t>OPTIONAL</t>
        </is>
      </c>
      <c r="C202" s="65" t="inlineStr">
        <is>
          <t>Ops</t>
        </is>
      </c>
      <c r="D202" s="65" t="inlineStr">
        <is>
          <t>ANJT</t>
        </is>
      </c>
      <c r="E202" s="65" t="n">
        <v>2023</v>
      </c>
      <c r="F202" s="65" t="inlineStr">
        <is>
          <t>planted_area_total_ha</t>
        </is>
      </c>
      <c r="G202" s="65" t="inlineStr">
        <is>
          <t>48516</t>
        </is>
      </c>
      <c r="H202" s="65" t="inlineStr">
        <is>
          <t>53521</t>
        </is>
      </c>
      <c r="I202" s="65" t="inlineStr">
        <is>
          <t>+10.3%</t>
        </is>
      </c>
      <c r="J202" s="65" t="inlineStr">
        <is>
          <t>USD 리포터 환율 시점(year-end vs avg) 차이 — 일반적으로 OK</t>
        </is>
      </c>
    </row>
    <row r="203" ht="28.8" customHeight="1" s="67">
      <c r="A203" s="64" t="inlineStr">
        <is>
          <t>C</t>
        </is>
      </c>
      <c r="B203" s="65" t="inlineStr">
        <is>
          <t>OPTIONAL</t>
        </is>
      </c>
      <c r="C203" s="65" t="inlineStr">
        <is>
          <t>Fin</t>
        </is>
      </c>
      <c r="D203" s="65" t="inlineStr">
        <is>
          <t>ANJT</t>
        </is>
      </c>
      <c r="E203" s="65" t="n">
        <v>2024</v>
      </c>
      <c r="F203" s="65" t="inlineStr">
        <is>
          <t>capex</t>
        </is>
      </c>
      <c r="G203" s="65" t="inlineStr">
        <is>
          <t>452</t>
        </is>
      </c>
      <c r="H203" s="65" t="inlineStr">
        <is>
          <t>360.61</t>
        </is>
      </c>
      <c r="I203" s="65" t="inlineStr">
        <is>
          <t>-20.2%</t>
        </is>
      </c>
      <c r="J203" s="65" t="inlineStr">
        <is>
          <t>USD 리포터 환율 시점(year-end vs avg) 차이 — 일반적으로 OK</t>
        </is>
      </c>
    </row>
    <row r="204" ht="28.8" customHeight="1" s="67">
      <c r="A204" s="64" t="inlineStr">
        <is>
          <t>C</t>
        </is>
      </c>
      <c r="B204" s="65" t="inlineStr">
        <is>
          <t>OPTIONAL</t>
        </is>
      </c>
      <c r="C204" s="65" t="inlineStr">
        <is>
          <t>Fin</t>
        </is>
      </c>
      <c r="D204" s="65" t="inlineStr">
        <is>
          <t>ANJT</t>
        </is>
      </c>
      <c r="E204" s="65" t="n">
        <v>2024</v>
      </c>
      <c r="F204" s="65" t="inlineStr">
        <is>
          <t>cfo</t>
        </is>
      </c>
      <c r="G204" s="65" t="inlineStr">
        <is>
          <t>705</t>
        </is>
      </c>
      <c r="H204" s="65" t="inlineStr">
        <is>
          <t>592.17</t>
        </is>
      </c>
      <c r="I204" s="65" t="inlineStr">
        <is>
          <t>-16.0%</t>
        </is>
      </c>
      <c r="J204" s="65" t="inlineStr">
        <is>
          <t>USD 리포터 환율 시점(year-end vs avg) 차이 — 일반적으로 OK</t>
        </is>
      </c>
    </row>
    <row r="205" ht="28.8" customHeight="1" s="67">
      <c r="A205" s="64" t="inlineStr">
        <is>
          <t>C</t>
        </is>
      </c>
      <c r="B205" s="65" t="inlineStr">
        <is>
          <t>OPTIONAL</t>
        </is>
      </c>
      <c r="C205" s="65" t="inlineStr">
        <is>
          <t>Fin</t>
        </is>
      </c>
      <c r="D205" s="65" t="inlineStr">
        <is>
          <t>ANJT</t>
        </is>
      </c>
      <c r="E205" s="65" t="n">
        <v>2024</v>
      </c>
      <c r="F205" s="65" t="inlineStr">
        <is>
          <t>ebit</t>
        </is>
      </c>
      <c r="G205" s="65" t="inlineStr">
        <is>
          <t>389</t>
        </is>
      </c>
      <c r="H205" s="65" t="inlineStr">
        <is>
          <t>427.44</t>
        </is>
      </c>
      <c r="I205" s="65" t="inlineStr">
        <is>
          <t>+9.9%</t>
        </is>
      </c>
      <c r="J205" s="65" t="inlineStr">
        <is>
          <t>USD 리포터 환율 시점(year-end vs avg) 차이 — 일반적으로 OK</t>
        </is>
      </c>
    </row>
    <row r="206" ht="28.8" customHeight="1" s="67">
      <c r="A206" s="64" t="inlineStr">
        <is>
          <t>C</t>
        </is>
      </c>
      <c r="B206" s="65" t="inlineStr">
        <is>
          <t>OPTIONAL</t>
        </is>
      </c>
      <c r="C206" s="65" t="inlineStr">
        <is>
          <t>Ops</t>
        </is>
      </c>
      <c r="D206" s="65" t="inlineStr">
        <is>
          <t>ANJT</t>
        </is>
      </c>
      <c r="E206" s="65" t="n">
        <v>2024</v>
      </c>
      <c r="F206" s="65" t="inlineStr">
        <is>
          <t>kernel_production_t</t>
        </is>
      </c>
      <c r="G206" s="65" t="inlineStr">
        <is>
          <t>51889</t>
        </is>
      </c>
      <c r="H206" s="65" t="inlineStr">
        <is>
          <t>47668</t>
        </is>
      </c>
      <c r="I206" s="65" t="inlineStr">
        <is>
          <t>-8.1%</t>
        </is>
      </c>
      <c r="J206" s="65" t="inlineStr">
        <is>
          <t>USD 리포터 환율 시점(year-end vs avg) 차이 — 일반적으로 OK</t>
        </is>
      </c>
    </row>
    <row r="207" ht="28.8" customHeight="1" s="67">
      <c r="A207" s="64" t="inlineStr">
        <is>
          <t>C</t>
        </is>
      </c>
      <c r="B207" s="65" t="inlineStr">
        <is>
          <t>OPTIONAL</t>
        </is>
      </c>
      <c r="C207" s="65" t="inlineStr">
        <is>
          <t>Ops</t>
        </is>
      </c>
      <c r="D207" s="65" t="inlineStr">
        <is>
          <t>ANJT</t>
        </is>
      </c>
      <c r="E207" s="65" t="n">
        <v>2024</v>
      </c>
      <c r="F207" s="65" t="inlineStr">
        <is>
          <t>mature_area_ha</t>
        </is>
      </c>
      <c r="G207" s="65" t="inlineStr">
        <is>
          <t>42176</t>
        </is>
      </c>
      <c r="H207" s="65" t="inlineStr">
        <is>
          <t>47145</t>
        </is>
      </c>
      <c r="I207" s="65" t="inlineStr">
        <is>
          <t>+11.8%</t>
        </is>
      </c>
      <c r="J207" s="65" t="inlineStr">
        <is>
          <t>USD 리포터 환율 시점(year-end vs avg) 차이 — 일반적으로 OK</t>
        </is>
      </c>
    </row>
    <row r="208" ht="28.8" customHeight="1" s="67">
      <c r="A208" s="64" t="inlineStr">
        <is>
          <t>C</t>
        </is>
      </c>
      <c r="B208" s="65" t="inlineStr">
        <is>
          <t>OPTIONAL</t>
        </is>
      </c>
      <c r="C208" s="65" t="inlineStr">
        <is>
          <t>Fin</t>
        </is>
      </c>
      <c r="D208" s="65" t="inlineStr">
        <is>
          <t>FISH</t>
        </is>
      </c>
      <c r="E208" s="65" t="n">
        <v>2022</v>
      </c>
      <c r="F208" s="65" t="inlineStr">
        <is>
          <t>capex</t>
        </is>
      </c>
      <c r="G208" s="65" t="inlineStr">
        <is>
          <t>94.7</t>
        </is>
      </c>
      <c r="H208" s="65" t="inlineStr">
        <is>
          <t>0.96</t>
        </is>
      </c>
      <c r="I208" s="65" t="inlineStr">
        <is>
          <t>-99.0%</t>
        </is>
      </c>
      <c r="J208" s="65" t="inlineStr">
        <is>
          <t>USD 리포터 환율 시점(year-end vs avg) 차이 — 일반적으로 OK</t>
        </is>
      </c>
    </row>
    <row r="209" ht="28.8" customHeight="1" s="67">
      <c r="A209" s="64" t="inlineStr">
        <is>
          <t>C</t>
        </is>
      </c>
      <c r="B209" s="65" t="inlineStr">
        <is>
          <t>OPTIONAL</t>
        </is>
      </c>
      <c r="C209" s="65" t="inlineStr">
        <is>
          <t>Fin</t>
        </is>
      </c>
      <c r="D209" s="65" t="inlineStr">
        <is>
          <t>FISH</t>
        </is>
      </c>
      <c r="E209" s="65" t="n">
        <v>2022</v>
      </c>
      <c r="F209" s="65" t="inlineStr">
        <is>
          <t>cash</t>
        </is>
      </c>
      <c r="G209" s="65" t="inlineStr">
        <is>
          <t>811.1</t>
        </is>
      </c>
      <c r="H209" s="65" t="inlineStr">
        <is>
          <t>12.91</t>
        </is>
      </c>
      <c r="I209" s="65" t="inlineStr">
        <is>
          <t>-98.4%</t>
        </is>
      </c>
      <c r="J209" s="65" t="inlineStr">
        <is>
          <t>USD 리포터 환율 시점(year-end vs avg) 차이 — 일반적으로 OK</t>
        </is>
      </c>
    </row>
    <row r="210" ht="28.8" customHeight="1" s="67">
      <c r="A210" s="64" t="inlineStr">
        <is>
          <t>C</t>
        </is>
      </c>
      <c r="B210" s="65" t="inlineStr">
        <is>
          <t>OPTIONAL</t>
        </is>
      </c>
      <c r="C210" s="65" t="inlineStr">
        <is>
          <t>Fin</t>
        </is>
      </c>
      <c r="D210" s="65" t="inlineStr">
        <is>
          <t>FISH</t>
        </is>
      </c>
      <c r="E210" s="65" t="n">
        <v>2022</v>
      </c>
      <c r="F210" s="65" t="inlineStr">
        <is>
          <t>cfo</t>
        </is>
      </c>
      <c r="G210" s="65" t="inlineStr">
        <is>
          <t>366.1</t>
        </is>
      </c>
      <c r="H210" s="65" t="inlineStr">
        <is>
          <t>5.79</t>
        </is>
      </c>
      <c r="I210" s="65" t="inlineStr">
        <is>
          <t>-98.4%</t>
        </is>
      </c>
      <c r="J210" s="65" t="inlineStr">
        <is>
          <t>USD 리포터 환율 시점(year-end vs avg) 차이 — 일반적으로 OK</t>
        </is>
      </c>
    </row>
    <row r="211" ht="28.8" customHeight="1" s="67">
      <c r="A211" s="64" t="inlineStr">
        <is>
          <t>C</t>
        </is>
      </c>
      <c r="B211" s="65" t="inlineStr">
        <is>
          <t>OPTIONAL</t>
        </is>
      </c>
      <c r="C211" s="65" t="inlineStr">
        <is>
          <t>Fin</t>
        </is>
      </c>
      <c r="D211" s="65" t="inlineStr">
        <is>
          <t>FISH</t>
        </is>
      </c>
      <c r="E211" s="65" t="n">
        <v>2022</v>
      </c>
      <c r="F211" s="65" t="inlineStr">
        <is>
          <t>ebit</t>
        </is>
      </c>
      <c r="G211" s="65" t="inlineStr">
        <is>
          <t>748</t>
        </is>
      </c>
      <c r="H211" s="65" t="inlineStr">
        <is>
          <t>11.82</t>
        </is>
      </c>
      <c r="I211" s="65" t="inlineStr">
        <is>
          <t>-98.4%</t>
        </is>
      </c>
      <c r="J211" s="65" t="inlineStr">
        <is>
          <t>USD 리포터 환율 시점(year-end vs avg) 차이 — 일반적으로 OK</t>
        </is>
      </c>
    </row>
    <row r="212" ht="28.8" customHeight="1" s="67">
      <c r="A212" s="64" t="inlineStr">
        <is>
          <t>C</t>
        </is>
      </c>
      <c r="B212" s="65" t="inlineStr">
        <is>
          <t>OPTIONAL</t>
        </is>
      </c>
      <c r="C212" s="65" t="inlineStr">
        <is>
          <t>Fin</t>
        </is>
      </c>
      <c r="D212" s="65" t="inlineStr">
        <is>
          <t>FISH</t>
        </is>
      </c>
      <c r="E212" s="65" t="n">
        <v>2022</v>
      </c>
      <c r="F212" s="65" t="inlineStr">
        <is>
          <t>eps</t>
        </is>
      </c>
      <c r="G212" s="65" t="inlineStr">
        <is>
          <t>995</t>
        </is>
      </c>
      <c r="H212" s="65" t="inlineStr">
        <is>
          <t>15721967.52</t>
        </is>
      </c>
      <c r="I212" s="65" t="inlineStr">
        <is>
          <t>+1579997.2%</t>
        </is>
      </c>
      <c r="J212" s="65" t="inlineStr">
        <is>
          <t>USD 리포터 환율 시점(year-end vs avg) 차이 — 일반적으로 OK</t>
        </is>
      </c>
    </row>
    <row r="213" ht="28.8" customHeight="1" s="67">
      <c r="A213" s="64" t="inlineStr">
        <is>
          <t>C</t>
        </is>
      </c>
      <c r="B213" s="65" t="inlineStr">
        <is>
          <t>OPTIONAL</t>
        </is>
      </c>
      <c r="C213" s="65" t="inlineStr">
        <is>
          <t>Fin</t>
        </is>
      </c>
      <c r="D213" s="65" t="inlineStr">
        <is>
          <t>FISH</t>
        </is>
      </c>
      <c r="E213" s="65" t="n">
        <v>2022</v>
      </c>
      <c r="F213" s="65" t="inlineStr">
        <is>
          <t>gross_debt</t>
        </is>
      </c>
      <c r="G213" s="65" t="inlineStr">
        <is>
          <t>2085</t>
        </is>
      </c>
      <c r="H213" s="65" t="inlineStr">
        <is>
          <t>33.19</t>
        </is>
      </c>
      <c r="I213" s="65" t="inlineStr">
        <is>
          <t>-98.4%</t>
        </is>
      </c>
      <c r="J213" s="65" t="inlineStr">
        <is>
          <t>USD 리포터 환율 시점(year-end vs avg) 차이 — 일반적으로 OK</t>
        </is>
      </c>
    </row>
    <row r="214" ht="28.8" customHeight="1" s="67">
      <c r="A214" s="64" t="inlineStr">
        <is>
          <t>C</t>
        </is>
      </c>
      <c r="B214" s="65" t="inlineStr">
        <is>
          <t>OPTIONAL</t>
        </is>
      </c>
      <c r="C214" s="65" t="inlineStr">
        <is>
          <t>Fin</t>
        </is>
      </c>
      <c r="D214" s="65" t="inlineStr">
        <is>
          <t>FISH</t>
        </is>
      </c>
      <c r="E214" s="65" t="n">
        <v>2022</v>
      </c>
      <c r="F214" s="65" t="inlineStr">
        <is>
          <t>gross_profit</t>
        </is>
      </c>
      <c r="G214" s="65" t="inlineStr">
        <is>
          <t>1243.4</t>
        </is>
      </c>
      <c r="H214" s="65" t="inlineStr">
        <is>
          <t>19.65</t>
        </is>
      </c>
      <c r="I214" s="65" t="inlineStr">
        <is>
          <t>-98.4%</t>
        </is>
      </c>
      <c r="J214" s="65" t="inlineStr">
        <is>
          <t>USD 리포터 환율 시점(year-end vs avg) 차이 — 일반적으로 OK</t>
        </is>
      </c>
    </row>
    <row r="215" ht="28.8" customHeight="1" s="67">
      <c r="A215" s="64" t="inlineStr">
        <is>
          <t>C</t>
        </is>
      </c>
      <c r="B215" s="65" t="inlineStr">
        <is>
          <t>OPTIONAL</t>
        </is>
      </c>
      <c r="C215" s="65" t="inlineStr">
        <is>
          <t>Fin</t>
        </is>
      </c>
      <c r="D215" s="65" t="inlineStr">
        <is>
          <t>FISH</t>
        </is>
      </c>
      <c r="E215" s="65" t="n">
        <v>2022</v>
      </c>
      <c r="F215" s="65" t="inlineStr">
        <is>
          <t>net_profit</t>
        </is>
      </c>
      <c r="G215" s="65" t="inlineStr">
        <is>
          <t>486.4</t>
        </is>
      </c>
      <c r="H215" s="65" t="inlineStr">
        <is>
          <t>7.69</t>
        </is>
      </c>
      <c r="I215" s="65" t="inlineStr">
        <is>
          <t>-98.4%</t>
        </is>
      </c>
      <c r="J215" s="65" t="inlineStr">
        <is>
          <t>USD 리포터 환율 시점(year-end vs avg) 차이 — 일반적으로 OK</t>
        </is>
      </c>
    </row>
    <row r="216" ht="28.8" customHeight="1" s="67">
      <c r="A216" s="64" t="inlineStr">
        <is>
          <t>C</t>
        </is>
      </c>
      <c r="B216" s="65" t="inlineStr">
        <is>
          <t>OPTIONAL</t>
        </is>
      </c>
      <c r="C216" s="65" t="inlineStr">
        <is>
          <t>Fin</t>
        </is>
      </c>
      <c r="D216" s="65" t="inlineStr">
        <is>
          <t>FISH</t>
        </is>
      </c>
      <c r="E216" s="65" t="n">
        <v>2022</v>
      </c>
      <c r="F216" s="65" t="inlineStr">
        <is>
          <t>profit_parent</t>
        </is>
      </c>
      <c r="G216" s="65" t="inlineStr">
        <is>
          <t>478.8</t>
        </is>
      </c>
      <c r="H216" s="65" t="inlineStr">
        <is>
          <t>7.57</t>
        </is>
      </c>
      <c r="I216" s="65" t="inlineStr">
        <is>
          <t>-98.4%</t>
        </is>
      </c>
      <c r="J216" s="65" t="inlineStr">
        <is>
          <t>USD 리포터 환율 시점(year-end vs avg) 차이 — 일반적으로 OK</t>
        </is>
      </c>
    </row>
    <row r="217" ht="28.8" customHeight="1" s="67">
      <c r="A217" s="64" t="inlineStr">
        <is>
          <t>C</t>
        </is>
      </c>
      <c r="B217" s="65" t="inlineStr">
        <is>
          <t>OPTIONAL</t>
        </is>
      </c>
      <c r="C217" s="65" t="inlineStr">
        <is>
          <t>Fin</t>
        </is>
      </c>
      <c r="D217" s="65" t="inlineStr">
        <is>
          <t>FISH</t>
        </is>
      </c>
      <c r="E217" s="65" t="n">
        <v>2022</v>
      </c>
      <c r="F217" s="65" t="inlineStr">
        <is>
          <t>revenue</t>
        </is>
      </c>
      <c r="G217" s="65" t="inlineStr">
        <is>
          <t>23242</t>
        </is>
      </c>
      <c r="H217" s="65" t="inlineStr">
        <is>
          <t>367.27</t>
        </is>
      </c>
      <c r="I217" s="65" t="inlineStr">
        <is>
          <t>-98.4%</t>
        </is>
      </c>
      <c r="J217" s="65" t="inlineStr">
        <is>
          <t>USD 리포터 환율 시점(year-end vs avg) 차이 — 일반적으로 OK</t>
        </is>
      </c>
    </row>
    <row r="218" ht="28.8" customHeight="1" s="67">
      <c r="A218" s="64" t="inlineStr">
        <is>
          <t>C</t>
        </is>
      </c>
      <c r="B218" s="65" t="inlineStr">
        <is>
          <t>OPTIONAL</t>
        </is>
      </c>
      <c r="C218" s="65" t="inlineStr">
        <is>
          <t>Fin</t>
        </is>
      </c>
      <c r="D218" s="65" t="inlineStr">
        <is>
          <t>FISH</t>
        </is>
      </c>
      <c r="E218" s="65" t="n">
        <v>2022</v>
      </c>
      <c r="F218" s="65" t="inlineStr">
        <is>
          <t>total_assets</t>
        </is>
      </c>
      <c r="G218" s="65" t="inlineStr">
        <is>
          <t>7185.9</t>
        </is>
      </c>
      <c r="H218" s="65" t="inlineStr">
        <is>
          <t>114.38</t>
        </is>
      </c>
      <c r="I218" s="65" t="inlineStr">
        <is>
          <t>-98.4%</t>
        </is>
      </c>
      <c r="J218" s="65" t="inlineStr">
        <is>
          <t>USD 리포터 환율 시점(year-end vs avg) 차이 — 일반적으로 OK</t>
        </is>
      </c>
    </row>
    <row r="219" ht="28.8" customHeight="1" s="67">
      <c r="A219" s="64" t="inlineStr">
        <is>
          <t>C</t>
        </is>
      </c>
      <c r="B219" s="65" t="inlineStr">
        <is>
          <t>OPTIONAL</t>
        </is>
      </c>
      <c r="C219" s="65" t="inlineStr">
        <is>
          <t>Fin</t>
        </is>
      </c>
      <c r="D219" s="65" t="inlineStr">
        <is>
          <t>FISH</t>
        </is>
      </c>
      <c r="E219" s="65" t="n">
        <v>2022</v>
      </c>
      <c r="F219" s="65" t="inlineStr">
        <is>
          <t>total_equity</t>
        </is>
      </c>
      <c r="G219" s="65" t="inlineStr">
        <is>
          <t>2605.8</t>
        </is>
      </c>
      <c r="H219" s="65" t="inlineStr">
        <is>
          <t>41.49</t>
        </is>
      </c>
      <c r="I219" s="65" t="inlineStr">
        <is>
          <t>-98.4%</t>
        </is>
      </c>
      <c r="J219" s="65" t="inlineStr">
        <is>
          <t>USD 리포터 환율 시점(year-end vs avg) 차이 — 일반적으로 OK</t>
        </is>
      </c>
    </row>
    <row r="220" ht="28.8" customHeight="1" s="67">
      <c r="A220" s="64" t="inlineStr">
        <is>
          <t>C</t>
        </is>
      </c>
      <c r="B220" s="65" t="inlineStr">
        <is>
          <t>OPTIONAL</t>
        </is>
      </c>
      <c r="C220" s="65" t="inlineStr">
        <is>
          <t>Fin</t>
        </is>
      </c>
      <c r="D220" s="65" t="inlineStr">
        <is>
          <t>FISH</t>
        </is>
      </c>
      <c r="E220" s="65" t="n">
        <v>2022</v>
      </c>
      <c r="F220" s="65" t="inlineStr">
        <is>
          <t>total_liabilities</t>
        </is>
      </c>
      <c r="G220" s="65" t="inlineStr">
        <is>
          <t>4578.1</t>
        </is>
      </c>
      <c r="H220" s="65" t="inlineStr">
        <is>
          <t>72.89</t>
        </is>
      </c>
      <c r="I220" s="65" t="inlineStr">
        <is>
          <t>-98.4%</t>
        </is>
      </c>
      <c r="J220" s="65" t="inlineStr">
        <is>
          <t>USD 리포터 환율 시점(year-end vs avg) 차이 — 일반적으로 OK</t>
        </is>
      </c>
    </row>
    <row r="221" ht="28.8" customHeight="1" s="67">
      <c r="A221" s="64" t="inlineStr">
        <is>
          <t>C</t>
        </is>
      </c>
      <c r="B221" s="65" t="inlineStr">
        <is>
          <t>OPTIONAL</t>
        </is>
      </c>
      <c r="C221" s="65" t="inlineStr">
        <is>
          <t>Fin</t>
        </is>
      </c>
      <c r="D221" s="65" t="inlineStr">
        <is>
          <t>FISH</t>
        </is>
      </c>
      <c r="E221" s="65" t="n">
        <v>2023</v>
      </c>
      <c r="F221" s="65" t="inlineStr">
        <is>
          <t>capex</t>
        </is>
      </c>
      <c r="G221" s="65" t="inlineStr">
        <is>
          <t>225</t>
        </is>
      </c>
      <c r="H221" s="65" t="inlineStr">
        <is>
          <t>4.38</t>
        </is>
      </c>
      <c r="I221" s="65" t="inlineStr">
        <is>
          <t>-98.1%</t>
        </is>
      </c>
      <c r="J221" s="65" t="inlineStr">
        <is>
          <t>USD 리포터 환율 시점(year-end vs avg) 차이 — 일반적으로 OK</t>
        </is>
      </c>
    </row>
    <row r="222" ht="28.8" customHeight="1" s="67">
      <c r="A222" s="64" t="inlineStr">
        <is>
          <t>C</t>
        </is>
      </c>
      <c r="B222" s="65" t="inlineStr">
        <is>
          <t>OPTIONAL</t>
        </is>
      </c>
      <c r="C222" s="65" t="inlineStr">
        <is>
          <t>Fin</t>
        </is>
      </c>
      <c r="D222" s="65" t="inlineStr">
        <is>
          <t>FISH</t>
        </is>
      </c>
      <c r="E222" s="65" t="n">
        <v>2023</v>
      </c>
      <c r="F222" s="65" t="inlineStr">
        <is>
          <t>cash</t>
        </is>
      </c>
      <c r="G222" s="65" t="inlineStr">
        <is>
          <t>977</t>
        </is>
      </c>
      <c r="H222" s="65" t="inlineStr">
        <is>
          <t>15.06</t>
        </is>
      </c>
      <c r="I222" s="65" t="inlineStr">
        <is>
          <t>-98.5%</t>
        </is>
      </c>
      <c r="J222" s="65" t="inlineStr">
        <is>
          <t>USD 리포터 환율 시점(year-end vs avg) 차이 — 일반적으로 OK</t>
        </is>
      </c>
    </row>
    <row r="223" ht="28.8" customHeight="1" s="67">
      <c r="A223" s="64" t="inlineStr">
        <is>
          <t>C</t>
        </is>
      </c>
      <c r="B223" s="65" t="inlineStr">
        <is>
          <t>OPTIONAL</t>
        </is>
      </c>
      <c r="C223" s="65" t="inlineStr">
        <is>
          <t>Fin</t>
        </is>
      </c>
      <c r="D223" s="65" t="inlineStr">
        <is>
          <t>FISH</t>
        </is>
      </c>
      <c r="E223" s="65" t="n">
        <v>2023</v>
      </c>
      <c r="F223" s="65" t="inlineStr">
        <is>
          <t>cfo</t>
        </is>
      </c>
      <c r="G223" s="65" t="inlineStr">
        <is>
          <t>586</t>
        </is>
      </c>
      <c r="H223" s="65" t="inlineStr">
        <is>
          <t>9.14</t>
        </is>
      </c>
      <c r="I223" s="65" t="inlineStr">
        <is>
          <t>-98.4%</t>
        </is>
      </c>
      <c r="J223" s="65" t="inlineStr">
        <is>
          <t>USD 리포터 환율 시점(year-end vs avg) 차이 — 일반적으로 OK</t>
        </is>
      </c>
    </row>
    <row r="224" ht="28.8" customHeight="1" s="67">
      <c r="A224" s="64" t="inlineStr">
        <is>
          <t>C</t>
        </is>
      </c>
      <c r="B224" s="65" t="inlineStr">
        <is>
          <t>OPTIONAL</t>
        </is>
      </c>
      <c r="C224" s="65" t="inlineStr">
        <is>
          <t>Fin</t>
        </is>
      </c>
      <c r="D224" s="65" t="inlineStr">
        <is>
          <t>FISH</t>
        </is>
      </c>
      <c r="E224" s="65" t="n">
        <v>2023</v>
      </c>
      <c r="F224" s="65" t="inlineStr">
        <is>
          <t>ebit</t>
        </is>
      </c>
      <c r="G224" s="65" t="inlineStr">
        <is>
          <t>656</t>
        </is>
      </c>
      <c r="H224" s="65" t="inlineStr">
        <is>
          <t>10.23</t>
        </is>
      </c>
      <c r="I224" s="65" t="inlineStr">
        <is>
          <t>-98.4%</t>
        </is>
      </c>
      <c r="J224" s="65" t="inlineStr">
        <is>
          <t>USD 리포터 환율 시점(year-end vs avg) 차이 — 일반적으로 OK</t>
        </is>
      </c>
    </row>
    <row r="225" ht="28.8" customHeight="1" s="67">
      <c r="A225" s="64" t="inlineStr">
        <is>
          <t>C</t>
        </is>
      </c>
      <c r="B225" s="65" t="inlineStr">
        <is>
          <t>OPTIONAL</t>
        </is>
      </c>
      <c r="C225" s="65" t="inlineStr">
        <is>
          <t>Fin</t>
        </is>
      </c>
      <c r="D225" s="65" t="inlineStr">
        <is>
          <t>FISH</t>
        </is>
      </c>
      <c r="E225" s="65" t="n">
        <v>2023</v>
      </c>
      <c r="F225" s="65" t="inlineStr">
        <is>
          <t>eps</t>
        </is>
      </c>
      <c r="G225" s="65" t="inlineStr">
        <is>
          <t>762</t>
        </is>
      </c>
      <c r="H225" s="65" t="inlineStr">
        <is>
          <t>11882652.8</t>
        </is>
      </c>
      <c r="I225" s="65" t="inlineStr">
        <is>
          <t>+1559303.3%</t>
        </is>
      </c>
      <c r="J225" s="65" t="inlineStr">
        <is>
          <t>USD 리포터 환율 시점(year-end vs avg) 차이 — 일반적으로 OK</t>
        </is>
      </c>
    </row>
    <row r="226" ht="28.8" customHeight="1" s="67">
      <c r="A226" s="64" t="inlineStr">
        <is>
          <t>C</t>
        </is>
      </c>
      <c r="B226" s="65" t="inlineStr">
        <is>
          <t>OPTIONAL</t>
        </is>
      </c>
      <c r="C226" s="65" t="inlineStr">
        <is>
          <t>Fin</t>
        </is>
      </c>
      <c r="D226" s="65" t="inlineStr">
        <is>
          <t>FISH</t>
        </is>
      </c>
      <c r="E226" s="65" t="n">
        <v>2023</v>
      </c>
      <c r="F226" s="65" t="inlineStr">
        <is>
          <t>gross_debt</t>
        </is>
      </c>
      <c r="G226" s="65" t="inlineStr">
        <is>
          <t>2212</t>
        </is>
      </c>
      <c r="H226" s="65" t="inlineStr">
        <is>
          <t>26.05</t>
        </is>
      </c>
      <c r="I226" s="65" t="inlineStr">
        <is>
          <t>-98.8%</t>
        </is>
      </c>
      <c r="J226" s="65" t="inlineStr">
        <is>
          <t>USD 리포터 환율 시점(year-end vs avg) 차이 — 일반적으로 OK</t>
        </is>
      </c>
    </row>
    <row r="227" ht="28.8" customHeight="1" s="67">
      <c r="A227" s="64" t="inlineStr">
        <is>
          <t>C</t>
        </is>
      </c>
      <c r="B227" s="65" t="inlineStr">
        <is>
          <t>OPTIONAL</t>
        </is>
      </c>
      <c r="C227" s="65" t="inlineStr">
        <is>
          <t>Fin</t>
        </is>
      </c>
      <c r="D227" s="65" t="inlineStr">
        <is>
          <t>FISH</t>
        </is>
      </c>
      <c r="E227" s="65" t="n">
        <v>2023</v>
      </c>
      <c r="F227" s="65" t="inlineStr">
        <is>
          <t>gross_profit</t>
        </is>
      </c>
      <c r="G227" s="65" t="inlineStr">
        <is>
          <t>1083</t>
        </is>
      </c>
      <c r="H227" s="65" t="inlineStr">
        <is>
          <t>16.89</t>
        </is>
      </c>
      <c r="I227" s="65" t="inlineStr">
        <is>
          <t>-98.4%</t>
        </is>
      </c>
      <c r="J227" s="65" t="inlineStr">
        <is>
          <t>USD 리포터 환율 시점(year-end vs avg) 차이 — 일반적으로 OK</t>
        </is>
      </c>
    </row>
    <row r="228" ht="28.8" customHeight="1" s="67">
      <c r="A228" s="64" t="inlineStr">
        <is>
          <t>C</t>
        </is>
      </c>
      <c r="B228" s="65" t="inlineStr">
        <is>
          <t>OPTIONAL</t>
        </is>
      </c>
      <c r="C228" s="65" t="inlineStr">
        <is>
          <t>Fin</t>
        </is>
      </c>
      <c r="D228" s="65" t="inlineStr">
        <is>
          <t>FISH</t>
        </is>
      </c>
      <c r="E228" s="65" t="n">
        <v>2023</v>
      </c>
      <c r="F228" s="65" t="inlineStr">
        <is>
          <t>net_profit</t>
        </is>
      </c>
      <c r="G228" s="65" t="inlineStr">
        <is>
          <t>377</t>
        </is>
      </c>
      <c r="H228" s="65" t="inlineStr">
        <is>
          <t>5.88</t>
        </is>
      </c>
      <c r="I228" s="65" t="inlineStr">
        <is>
          <t>-98.4%</t>
        </is>
      </c>
      <c r="J228" s="65" t="inlineStr">
        <is>
          <t>USD 리포터 환율 시점(year-end vs avg) 차이 — 일반적으로 OK</t>
        </is>
      </c>
    </row>
    <row r="229" ht="28.8" customHeight="1" s="67">
      <c r="A229" s="64" t="inlineStr">
        <is>
          <t>C</t>
        </is>
      </c>
      <c r="B229" s="65" t="inlineStr">
        <is>
          <t>OPTIONAL</t>
        </is>
      </c>
      <c r="C229" s="65" t="inlineStr">
        <is>
          <t>Fin</t>
        </is>
      </c>
      <c r="D229" s="65" t="inlineStr">
        <is>
          <t>FISH</t>
        </is>
      </c>
      <c r="E229" s="65" t="n">
        <v>2023</v>
      </c>
      <c r="F229" s="65" t="inlineStr">
        <is>
          <t>profit_parent</t>
        </is>
      </c>
      <c r="G229" s="65" t="inlineStr">
        <is>
          <t>368</t>
        </is>
      </c>
      <c r="H229" s="65" t="inlineStr">
        <is>
          <t>5.75</t>
        </is>
      </c>
      <c r="I229" s="65" t="inlineStr">
        <is>
          <t>-98.4%</t>
        </is>
      </c>
      <c r="J229" s="65" t="inlineStr">
        <is>
          <t>USD 리포터 환율 시점(year-end vs avg) 차이 — 일반적으로 OK</t>
        </is>
      </c>
    </row>
    <row r="230" ht="28.8" customHeight="1" s="67">
      <c r="A230" s="64" t="inlineStr">
        <is>
          <t>C</t>
        </is>
      </c>
      <c r="B230" s="65" t="inlineStr">
        <is>
          <t>OPTIONAL</t>
        </is>
      </c>
      <c r="C230" s="65" t="inlineStr">
        <is>
          <t>Fin</t>
        </is>
      </c>
      <c r="D230" s="65" t="inlineStr">
        <is>
          <t>FISH</t>
        </is>
      </c>
      <c r="E230" s="65" t="n">
        <v>2023</v>
      </c>
      <c r="F230" s="65" t="inlineStr">
        <is>
          <t>revenue</t>
        </is>
      </c>
      <c r="G230" s="65" t="inlineStr">
        <is>
          <t>21349</t>
        </is>
      </c>
      <c r="H230" s="65" t="inlineStr">
        <is>
          <t>332.96</t>
        </is>
      </c>
      <c r="I230" s="65" t="inlineStr">
        <is>
          <t>-98.4%</t>
        </is>
      </c>
      <c r="J230" s="65" t="inlineStr">
        <is>
          <t>USD 리포터 환율 시점(year-end vs avg) 차이 — 일반적으로 OK</t>
        </is>
      </c>
    </row>
    <row r="231" ht="28.8" customHeight="1" s="67">
      <c r="A231" s="64" t="inlineStr">
        <is>
          <t>C</t>
        </is>
      </c>
      <c r="B231" s="65" t="inlineStr">
        <is>
          <t>OPTIONAL</t>
        </is>
      </c>
      <c r="C231" s="65" t="inlineStr">
        <is>
          <t>Fin</t>
        </is>
      </c>
      <c r="D231" s="65" t="inlineStr">
        <is>
          <t>FISH</t>
        </is>
      </c>
      <c r="E231" s="65" t="n">
        <v>2023</v>
      </c>
      <c r="F231" s="65" t="inlineStr">
        <is>
          <t>total_assets</t>
        </is>
      </c>
      <c r="G231" s="65" t="inlineStr">
        <is>
          <t>7567</t>
        </is>
      </c>
      <c r="H231" s="65" t="inlineStr">
        <is>
          <t>116.65</t>
        </is>
      </c>
      <c r="I231" s="65" t="inlineStr">
        <is>
          <t>-98.5%</t>
        </is>
      </c>
      <c r="J231" s="65" t="inlineStr">
        <is>
          <t>USD 리포터 환율 시점(year-end vs avg) 차이 — 일반적으로 OK</t>
        </is>
      </c>
    </row>
    <row r="232" ht="28.8" customHeight="1" s="67">
      <c r="A232" s="64" t="inlineStr">
        <is>
          <t>C</t>
        </is>
      </c>
      <c r="B232" s="65" t="inlineStr">
        <is>
          <t>OPTIONAL</t>
        </is>
      </c>
      <c r="C232" s="65" t="inlineStr">
        <is>
          <t>Fin</t>
        </is>
      </c>
      <c r="D232" s="65" t="inlineStr">
        <is>
          <t>FISH</t>
        </is>
      </c>
      <c r="E232" s="65" t="n">
        <v>2023</v>
      </c>
      <c r="F232" s="65" t="inlineStr">
        <is>
          <t>total_equity</t>
        </is>
      </c>
      <c r="G232" s="65" t="inlineStr">
        <is>
          <t>2755</t>
        </is>
      </c>
      <c r="H232" s="65" t="inlineStr">
        <is>
          <t>42.46</t>
        </is>
      </c>
      <c r="I232" s="65" t="inlineStr">
        <is>
          <t>-98.5%</t>
        </is>
      </c>
      <c r="J232" s="65" t="inlineStr">
        <is>
          <t>USD 리포터 환율 시점(year-end vs avg) 차이 — 일반적으로 OK</t>
        </is>
      </c>
    </row>
    <row r="233" ht="28.8" customHeight="1" s="67">
      <c r="A233" s="64" t="inlineStr">
        <is>
          <t>C</t>
        </is>
      </c>
      <c r="B233" s="65" t="inlineStr">
        <is>
          <t>OPTIONAL</t>
        </is>
      </c>
      <c r="C233" s="65" t="inlineStr">
        <is>
          <t>Fin</t>
        </is>
      </c>
      <c r="D233" s="65" t="inlineStr">
        <is>
          <t>FISH</t>
        </is>
      </c>
      <c r="E233" s="65" t="n">
        <v>2023</v>
      </c>
      <c r="F233" s="65" t="inlineStr">
        <is>
          <t>total_liabilities</t>
        </is>
      </c>
      <c r="G233" s="65" t="inlineStr">
        <is>
          <t>4813</t>
        </is>
      </c>
      <c r="H233" s="65" t="inlineStr">
        <is>
          <t>74.19</t>
        </is>
      </c>
      <c r="I233" s="65" t="inlineStr">
        <is>
          <t>-98.5%</t>
        </is>
      </c>
      <c r="J233" s="65" t="inlineStr">
        <is>
          <t>USD 리포터 환율 시점(year-end vs avg) 차이 — 일반적으로 OK</t>
        </is>
      </c>
    </row>
    <row r="234" ht="28.8" customHeight="1" s="67">
      <c r="A234" s="64" t="inlineStr">
        <is>
          <t>C</t>
        </is>
      </c>
      <c r="B234" s="65" t="inlineStr">
        <is>
          <t>OPTIONAL</t>
        </is>
      </c>
      <c r="C234" s="65" t="inlineStr">
        <is>
          <t>Fin</t>
        </is>
      </c>
      <c r="D234" s="65" t="inlineStr">
        <is>
          <t>FISH</t>
        </is>
      </c>
      <c r="E234" s="65" t="n">
        <v>2024</v>
      </c>
      <c r="F234" s="65" t="inlineStr">
        <is>
          <t>capex</t>
        </is>
      </c>
      <c r="G234" s="65" t="inlineStr">
        <is>
          <t>171</t>
        </is>
      </c>
      <c r="H234" s="65" t="inlineStr">
        <is>
          <t>3.04</t>
        </is>
      </c>
      <c r="I234" s="65" t="inlineStr">
        <is>
          <t>-98.2%</t>
        </is>
      </c>
      <c r="J234" s="65" t="inlineStr">
        <is>
          <t>USD 리포터 환율 시점(year-end vs avg) 차이 — 일반적으로 OK</t>
        </is>
      </c>
    </row>
    <row r="235" ht="28.8" customHeight="1" s="67">
      <c r="A235" s="64" t="inlineStr">
        <is>
          <t>C</t>
        </is>
      </c>
      <c r="B235" s="65" t="inlineStr">
        <is>
          <t>OPTIONAL</t>
        </is>
      </c>
      <c r="C235" s="65" t="inlineStr">
        <is>
          <t>Fin</t>
        </is>
      </c>
      <c r="D235" s="65" t="inlineStr">
        <is>
          <t>FISH</t>
        </is>
      </c>
      <c r="E235" s="65" t="n">
        <v>2024</v>
      </c>
      <c r="F235" s="65" t="inlineStr">
        <is>
          <t>cash</t>
        </is>
      </c>
      <c r="G235" s="65" t="inlineStr">
        <is>
          <t>1235</t>
        </is>
      </c>
      <c r="H235" s="65" t="inlineStr">
        <is>
          <t>19.96</t>
        </is>
      </c>
      <c r="I235" s="65" t="inlineStr">
        <is>
          <t>-98.4%</t>
        </is>
      </c>
      <c r="J235" s="65" t="inlineStr">
        <is>
          <t>USD 리포터 환율 시점(year-end vs avg) 차이 — 일반적으로 OK</t>
        </is>
      </c>
    </row>
    <row r="236" ht="28.8" customHeight="1" s="67">
      <c r="A236" s="64" t="inlineStr">
        <is>
          <t>C</t>
        </is>
      </c>
      <c r="B236" s="65" t="inlineStr">
        <is>
          <t>OPTIONAL</t>
        </is>
      </c>
      <c r="C236" s="65" t="inlineStr">
        <is>
          <t>Fin</t>
        </is>
      </c>
      <c r="D236" s="65" t="inlineStr">
        <is>
          <t>FISH</t>
        </is>
      </c>
      <c r="E236" s="65" t="n">
        <v>2024</v>
      </c>
      <c r="F236" s="65" t="inlineStr">
        <is>
          <t>cfo</t>
        </is>
      </c>
      <c r="G236" s="65" t="inlineStr">
        <is>
          <t>830</t>
        </is>
      </c>
      <c r="H236" s="65" t="inlineStr">
        <is>
          <t>13.68</t>
        </is>
      </c>
      <c r="I236" s="65" t="inlineStr">
        <is>
          <t>-98.4%</t>
        </is>
      </c>
      <c r="J236" s="65" t="inlineStr">
        <is>
          <t>USD 리포터 환율 시점(year-end vs avg) 차이 — 일반적으로 OK</t>
        </is>
      </c>
    </row>
    <row r="237" ht="28.8" customHeight="1" s="67">
      <c r="A237" s="64" t="inlineStr">
        <is>
          <t>C</t>
        </is>
      </c>
      <c r="B237" s="65" t="inlineStr">
        <is>
          <t>OPTIONAL</t>
        </is>
      </c>
      <c r="C237" s="65" t="inlineStr">
        <is>
          <t>Fin</t>
        </is>
      </c>
      <c r="D237" s="65" t="inlineStr">
        <is>
          <t>FISH</t>
        </is>
      </c>
      <c r="E237" s="65" t="n">
        <v>2024</v>
      </c>
      <c r="F237" s="65" t="inlineStr">
        <is>
          <t>ebit</t>
        </is>
      </c>
      <c r="G237" s="65" t="inlineStr">
        <is>
          <t>367</t>
        </is>
      </c>
      <c r="H237" s="65" t="inlineStr">
        <is>
          <t>6.04</t>
        </is>
      </c>
      <c r="I237" s="65" t="inlineStr">
        <is>
          <t>-98.4%</t>
        </is>
      </c>
      <c r="J237" s="65" t="inlineStr">
        <is>
          <t>USD 리포터 환율 시점(year-end vs avg) 차이 — 일반적으로 OK</t>
        </is>
      </c>
    </row>
    <row r="238" ht="28.8" customHeight="1" s="67">
      <c r="A238" s="64" t="inlineStr">
        <is>
          <t>C</t>
        </is>
      </c>
      <c r="B238" s="65" t="inlineStr">
        <is>
          <t>OPTIONAL</t>
        </is>
      </c>
      <c r="C238" s="65" t="inlineStr">
        <is>
          <t>Fin</t>
        </is>
      </c>
      <c r="D238" s="65" t="inlineStr">
        <is>
          <t>FISH</t>
        </is>
      </c>
      <c r="E238" s="65" t="n">
        <v>2024</v>
      </c>
      <c r="F238" s="65" t="inlineStr">
        <is>
          <t>eps</t>
        </is>
      </c>
      <c r="G238" s="65" t="inlineStr">
        <is>
          <t>285</t>
        </is>
      </c>
      <c r="H238" s="65" t="inlineStr">
        <is>
          <t>4749203.7</t>
        </is>
      </c>
      <c r="I238" s="65" t="inlineStr">
        <is>
          <t>+1666287.3%</t>
        </is>
      </c>
      <c r="J238" s="65" t="inlineStr">
        <is>
          <t>USD 리포터 환율 시점(year-end vs avg) 차이 — 일반적으로 OK</t>
        </is>
      </c>
    </row>
    <row r="239" ht="28.8" customHeight="1" s="67">
      <c r="A239" s="64" t="inlineStr">
        <is>
          <t>C</t>
        </is>
      </c>
      <c r="B239" s="65" t="inlineStr">
        <is>
          <t>OPTIONAL</t>
        </is>
      </c>
      <c r="C239" s="65" t="inlineStr">
        <is>
          <t>Fin</t>
        </is>
      </c>
      <c r="D239" s="65" t="inlineStr">
        <is>
          <t>FISH</t>
        </is>
      </c>
      <c r="E239" s="65" t="n">
        <v>2024</v>
      </c>
      <c r="F239" s="65" t="inlineStr">
        <is>
          <t>gross_debt</t>
        </is>
      </c>
      <c r="G239" s="65" t="inlineStr">
        <is>
          <t>2027</t>
        </is>
      </c>
      <c r="H239" s="65" t="inlineStr">
        <is>
          <t>30.52</t>
        </is>
      </c>
      <c r="I239" s="65" t="inlineStr">
        <is>
          <t>-98.5%</t>
        </is>
      </c>
      <c r="J239" s="65" t="inlineStr">
        <is>
          <t>USD 리포터 환율 시점(year-end vs avg) 차이 — 일반적으로 OK</t>
        </is>
      </c>
    </row>
    <row r="240" ht="28.8" customHeight="1" s="67">
      <c r="A240" s="64" t="inlineStr">
        <is>
          <t>C</t>
        </is>
      </c>
      <c r="B240" s="65" t="inlineStr">
        <is>
          <t>OPTIONAL</t>
        </is>
      </c>
      <c r="C240" s="65" t="inlineStr">
        <is>
          <t>Fin</t>
        </is>
      </c>
      <c r="D240" s="65" t="inlineStr">
        <is>
          <t>FISH</t>
        </is>
      </c>
      <c r="E240" s="65" t="n">
        <v>2024</v>
      </c>
      <c r="F240" s="65" t="inlineStr">
        <is>
          <t>gross_profit</t>
        </is>
      </c>
      <c r="G240" s="65" t="inlineStr">
        <is>
          <t>845</t>
        </is>
      </c>
      <c r="H240" s="65" t="inlineStr">
        <is>
          <t>13.92</t>
        </is>
      </c>
      <c r="I240" s="65" t="inlineStr">
        <is>
          <t>-98.4%</t>
        </is>
      </c>
      <c r="J240" s="65" t="inlineStr">
        <is>
          <t>USD 리포터 환율 시점(year-end vs avg) 차이 — 일반적으로 OK</t>
        </is>
      </c>
    </row>
    <row r="241" ht="28.8" customHeight="1" s="67">
      <c r="A241" s="64" t="inlineStr">
        <is>
          <t>C</t>
        </is>
      </c>
      <c r="B241" s="65" t="inlineStr">
        <is>
          <t>OPTIONAL</t>
        </is>
      </c>
      <c r="C241" s="65" t="inlineStr">
        <is>
          <t>Fin</t>
        </is>
      </c>
      <c r="D241" s="65" t="inlineStr">
        <is>
          <t>FISH</t>
        </is>
      </c>
      <c r="E241" s="65" t="n">
        <v>2024</v>
      </c>
      <c r="F241" s="65" t="inlineStr">
        <is>
          <t>net_profit</t>
        </is>
      </c>
      <c r="G241" s="65" t="inlineStr">
        <is>
          <t>152</t>
        </is>
      </c>
      <c r="H241" s="65" t="inlineStr">
        <is>
          <t>2.51</t>
        </is>
      </c>
      <c r="I241" s="65" t="inlineStr">
        <is>
          <t>-98.4%</t>
        </is>
      </c>
      <c r="J241" s="65" t="inlineStr">
        <is>
          <t>USD 리포터 환율 시점(year-end vs avg) 차이 — 일반적으로 OK</t>
        </is>
      </c>
    </row>
    <row r="242" ht="28.8" customHeight="1" s="67">
      <c r="A242" s="64" t="inlineStr">
        <is>
          <t>C</t>
        </is>
      </c>
      <c r="B242" s="65" t="inlineStr">
        <is>
          <t>OPTIONAL</t>
        </is>
      </c>
      <c r="C242" s="65" t="inlineStr">
        <is>
          <t>Fin</t>
        </is>
      </c>
      <c r="D242" s="65" t="inlineStr">
        <is>
          <t>FISH</t>
        </is>
      </c>
      <c r="E242" s="65" t="n">
        <v>2024</v>
      </c>
      <c r="F242" s="65" t="inlineStr">
        <is>
          <t>profit_parent</t>
        </is>
      </c>
      <c r="G242" s="65" t="inlineStr">
        <is>
          <t>138</t>
        </is>
      </c>
      <c r="H242" s="65" t="inlineStr">
        <is>
          <t>2.28</t>
        </is>
      </c>
      <c r="I242" s="65" t="inlineStr">
        <is>
          <t>-98.3%</t>
        </is>
      </c>
      <c r="J242" s="65" t="inlineStr">
        <is>
          <t>USD 리포터 환율 시점(year-end vs avg) 차이 — 일반적으로 OK</t>
        </is>
      </c>
    </row>
    <row r="243" ht="28.8" customHeight="1" s="67">
      <c r="A243" s="64" t="inlineStr">
        <is>
          <t>C</t>
        </is>
      </c>
      <c r="B243" s="65" t="inlineStr">
        <is>
          <t>OPTIONAL</t>
        </is>
      </c>
      <c r="C243" s="65" t="inlineStr">
        <is>
          <t>Fin</t>
        </is>
      </c>
      <c r="D243" s="65" t="inlineStr">
        <is>
          <t>FISH</t>
        </is>
      </c>
      <c r="E243" s="65" t="n">
        <v>2024</v>
      </c>
      <c r="F243" s="65" t="inlineStr">
        <is>
          <t>revenue</t>
        </is>
      </c>
      <c r="G243" s="65" t="inlineStr">
        <is>
          <t>20495</t>
        </is>
      </c>
      <c r="H243" s="65" t="inlineStr">
        <is>
          <t>337.65</t>
        </is>
      </c>
      <c r="I243" s="65" t="inlineStr">
        <is>
          <t>-98.4%</t>
        </is>
      </c>
      <c r="J243" s="65" t="inlineStr">
        <is>
          <t>USD 리포터 환율 시점(year-end vs avg) 차이 — 일반적으로 OK</t>
        </is>
      </c>
    </row>
    <row r="244" ht="28.8" customHeight="1" s="67">
      <c r="A244" s="64" t="inlineStr">
        <is>
          <t>C</t>
        </is>
      </c>
      <c r="B244" s="65" t="inlineStr">
        <is>
          <t>OPTIONAL</t>
        </is>
      </c>
      <c r="C244" s="65" t="inlineStr">
        <is>
          <t>Fin</t>
        </is>
      </c>
      <c r="D244" s="65" t="inlineStr">
        <is>
          <t>FISH</t>
        </is>
      </c>
      <c r="E244" s="65" t="n">
        <v>2024</v>
      </c>
      <c r="F244" s="65" t="inlineStr">
        <is>
          <t>total_assets</t>
        </is>
      </c>
      <c r="G244" s="65" t="inlineStr">
        <is>
          <t>8439</t>
        </is>
      </c>
      <c r="H244" s="65" t="inlineStr">
        <is>
          <t>136.39</t>
        </is>
      </c>
      <c r="I244" s="65" t="inlineStr">
        <is>
          <t>-98.4%</t>
        </is>
      </c>
      <c r="J244" s="65" t="inlineStr">
        <is>
          <t>USD 리포터 환율 시점(year-end vs avg) 차이 — 일반적으로 OK</t>
        </is>
      </c>
    </row>
    <row r="245" ht="28.8" customHeight="1" s="67">
      <c r="A245" s="64" t="inlineStr">
        <is>
          <t>C</t>
        </is>
      </c>
      <c r="B245" s="65" t="inlineStr">
        <is>
          <t>OPTIONAL</t>
        </is>
      </c>
      <c r="C245" s="65" t="inlineStr">
        <is>
          <t>Fin</t>
        </is>
      </c>
      <c r="D245" s="65" t="inlineStr">
        <is>
          <t>FISH</t>
        </is>
      </c>
      <c r="E245" s="65" t="n">
        <v>2024</v>
      </c>
      <c r="F245" s="65" t="inlineStr">
        <is>
          <t>total_equity</t>
        </is>
      </c>
      <c r="G245" s="65" t="inlineStr">
        <is>
          <t>2828</t>
        </is>
      </c>
      <c r="H245" s="65" t="inlineStr">
        <is>
          <t>45.7</t>
        </is>
      </c>
      <c r="I245" s="65" t="inlineStr">
        <is>
          <t>-98.4%</t>
        </is>
      </c>
      <c r="J245" s="65" t="inlineStr">
        <is>
          <t>USD 리포터 환율 시점(year-end vs avg) 차이 — 일반적으로 OK</t>
        </is>
      </c>
    </row>
    <row r="246" ht="28.8" customHeight="1" s="67">
      <c r="A246" s="64" t="inlineStr">
        <is>
          <t>C</t>
        </is>
      </c>
      <c r="B246" s="65" t="inlineStr">
        <is>
          <t>OPTIONAL</t>
        </is>
      </c>
      <c r="C246" s="65" t="inlineStr">
        <is>
          <t>Fin</t>
        </is>
      </c>
      <c r="D246" s="65" t="inlineStr">
        <is>
          <t>FISH</t>
        </is>
      </c>
      <c r="E246" s="65" t="n">
        <v>2024</v>
      </c>
      <c r="F246" s="65" t="inlineStr">
        <is>
          <t>total_liabilities</t>
        </is>
      </c>
      <c r="G246" s="65" t="inlineStr">
        <is>
          <t>5611</t>
        </is>
      </c>
      <c r="H246" s="65" t="inlineStr">
        <is>
          <t>90.69</t>
        </is>
      </c>
      <c r="I246" s="65" t="inlineStr">
        <is>
          <t>-98.4%</t>
        </is>
      </c>
      <c r="J246" s="65" t="inlineStr">
        <is>
          <t>USD 리포터 환율 시점(year-end vs avg) 차이 — 일반적으로 OK</t>
        </is>
      </c>
    </row>
  </sheetData>
  <mergeCells count="4">
    <mergeCell ref="A1:J1"/>
    <mergeCell ref="B2:I2"/>
    <mergeCell ref="B4:I4"/>
    <mergeCell ref="B3:I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Ticker</t>
        </is>
      </c>
      <c r="B1" t="inlineStr">
        <is>
          <t>Company</t>
        </is>
      </c>
      <c r="C1" t="inlineStr">
        <is>
          <t>Revenue Q1 2026</t>
        </is>
      </c>
      <c r="D1" t="inlineStr">
        <is>
          <t>Net Profit Q1 2026</t>
        </is>
      </c>
      <c r="E1" t="inlineStr">
        <is>
          <t>Total Assets</t>
        </is>
      </c>
      <c r="F1" t="inlineStr">
        <is>
          <t>Total Liabilities</t>
        </is>
      </c>
      <c r="G1" t="inlineStr">
        <is>
          <t>Total Equity</t>
        </is>
      </c>
      <c r="H1" t="inlineStr">
        <is>
          <t>Cash</t>
        </is>
      </c>
      <c r="I1" t="inlineStr">
        <is>
          <t>Source</t>
        </is>
      </c>
      <c r="J1" t="inlineStr">
        <is>
          <t>Conv ID</t>
        </is>
      </c>
    </row>
    <row r="2">
      <c r="A2" t="inlineStr">
        <is>
          <t>AALI</t>
        </is>
      </c>
      <c r="B2" t="inlineStr">
        <is>
          <t>PT Astra Agro Lestari Tbk</t>
        </is>
      </c>
      <c r="C2" t="n">
        <v>7501.811</v>
      </c>
      <c r="D2" t="n">
        <v>388.401</v>
      </c>
      <c r="E2" t="n">
        <v>27893.355</v>
      </c>
      <c r="F2" t="n">
        <v>3359.838</v>
      </c>
      <c r="G2" t="n">
        <v>24533.517</v>
      </c>
      <c r="H2" t="n">
        <v>4703.854</v>
      </c>
      <c r="I2" t="inlineStr">
        <is>
          <t>NotebookLM verified 2026-05-16</t>
        </is>
      </c>
      <c r="J2" t="inlineStr">
        <is>
          <t>6293806a-27bb</t>
        </is>
      </c>
    </row>
    <row r="3">
      <c r="A3" t="inlineStr">
        <is>
          <t>ANDI</t>
        </is>
      </c>
      <c r="B3" t="inlineStr">
        <is>
          <t>PT Andira Agro Tbk</t>
        </is>
      </c>
      <c r="C3" t="n">
        <v>24.741</v>
      </c>
      <c r="D3" t="n">
        <v>-7.186</v>
      </c>
      <c r="E3" t="n">
        <v>273.841</v>
      </c>
      <c r="F3" t="n">
        <v>162.398</v>
      </c>
      <c r="G3" t="n">
        <v>111.443</v>
      </c>
      <c r="H3" t="n">
        <v>2.052</v>
      </c>
      <c r="I3" t="inlineStr">
        <is>
          <t>NotebookLM verified 2026-05-16</t>
        </is>
      </c>
      <c r="J3" t="inlineStr">
        <is>
          <t>6293806a-27bb</t>
        </is>
      </c>
    </row>
    <row r="4">
      <c r="A4" t="inlineStr">
        <is>
          <t>BISI</t>
        </is>
      </c>
      <c r="B4" t="inlineStr">
        <is>
          <t>PT BISI International Tbk</t>
        </is>
      </c>
      <c r="C4" t="n">
        <v>387.083</v>
      </c>
      <c r="D4" t="n">
        <v>47.007</v>
      </c>
      <c r="E4" t="n">
        <v>3765.121</v>
      </c>
      <c r="F4" t="n">
        <v>221.678</v>
      </c>
      <c r="G4" t="n">
        <v>3543.443</v>
      </c>
      <c r="H4" t="n">
        <v>224.18</v>
      </c>
      <c r="I4" t="inlineStr">
        <is>
          <t>NotebookLM verified 2026-05-16</t>
        </is>
      </c>
      <c r="J4" t="inlineStr">
        <is>
          <t>6293806a-27bb</t>
        </is>
      </c>
    </row>
    <row r="5">
      <c r="A5" t="inlineStr">
        <is>
          <t>BTEK</t>
        </is>
      </c>
      <c r="B5" t="inlineStr">
        <is>
          <t>PT Bumi Teknokultura Unggul Tbk</t>
        </is>
      </c>
      <c r="C5" t="n">
        <v>4.647</v>
      </c>
      <c r="D5" t="n">
        <v>-15.666</v>
      </c>
      <c r="E5" t="n">
        <v>3527.196</v>
      </c>
      <c r="F5" t="n">
        <v>3264.134</v>
      </c>
      <c r="G5" t="n">
        <v>263.063</v>
      </c>
      <c r="H5" t="n">
        <v>13.233</v>
      </c>
      <c r="I5" t="inlineStr">
        <is>
          <t>NotebookLM verified 2026-05-16</t>
        </is>
      </c>
      <c r="J5" t="inlineStr">
        <is>
          <t>6293806a-27bb</t>
        </is>
      </c>
    </row>
    <row r="6">
      <c r="A6" t="inlineStr">
        <is>
          <t>BWPT</t>
        </is>
      </c>
      <c r="B6" t="inlineStr">
        <is>
          <t>PT Eagle High Plantations Tbk</t>
        </is>
      </c>
      <c r="C6" t="n">
        <v>1377.614</v>
      </c>
      <c r="D6" t="n">
        <v>84.95699999999999</v>
      </c>
      <c r="E6" t="n">
        <v>9183.422</v>
      </c>
      <c r="F6" t="n">
        <v>6199.86</v>
      </c>
      <c r="G6" t="n">
        <v>2912.07</v>
      </c>
      <c r="H6" t="n">
        <v>297.161</v>
      </c>
      <c r="I6" t="inlineStr">
        <is>
          <t>NotebookLM verified 2026-05-16</t>
        </is>
      </c>
      <c r="J6" t="inlineStr">
        <is>
          <t>6293806a-27bb</t>
        </is>
      </c>
    </row>
    <row r="7">
      <c r="A7" t="inlineStr">
        <is>
          <t>CBUT</t>
        </is>
      </c>
      <c r="B7" t="inlineStr">
        <is>
          <t>PT Citra Borneo Utama Tbk</t>
        </is>
      </c>
      <c r="C7" t="n">
        <v>3377.149</v>
      </c>
      <c r="D7" t="n">
        <v>45.976</v>
      </c>
      <c r="E7" t="n">
        <v>4035.432</v>
      </c>
      <c r="F7" t="n">
        <v>2870.73</v>
      </c>
      <c r="G7" t="n">
        <v>1164.702</v>
      </c>
      <c r="H7" t="n">
        <v>342.315</v>
      </c>
      <c r="I7" t="inlineStr">
        <is>
          <t>NotebookLM verified 2026-05-16</t>
        </is>
      </c>
      <c r="J7" t="inlineStr">
        <is>
          <t>6293806a-27bb</t>
        </is>
      </c>
    </row>
    <row r="8">
      <c r="A8" t="inlineStr">
        <is>
          <t>DSNG</t>
        </is>
      </c>
      <c r="B8" t="inlineStr">
        <is>
          <t>PT Dharma Satya Nusantara Tbk</t>
        </is>
      </c>
      <c r="C8" t="n">
        <v>2886.35</v>
      </c>
      <c r="F8" t="n">
        <v>5694.196</v>
      </c>
      <c r="H8" t="n">
        <v>635.773</v>
      </c>
      <c r="I8" t="inlineStr">
        <is>
          <t>NotebookLM verified 2026-05-16</t>
        </is>
      </c>
      <c r="J8" t="inlineStr">
        <is>
          <t>6293806a-27bb</t>
        </is>
      </c>
    </row>
    <row r="9">
      <c r="A9" t="inlineStr">
        <is>
          <t>FAPA</t>
        </is>
      </c>
      <c r="B9" t="inlineStr">
        <is>
          <t>PT FAP Agri Tbk</t>
        </is>
      </c>
      <c r="C9" t="n">
        <v>2005.843</v>
      </c>
      <c r="D9" t="n">
        <v>263.038</v>
      </c>
      <c r="E9" t="n">
        <v>10342.871</v>
      </c>
      <c r="F9" t="n">
        <v>6189.489</v>
      </c>
      <c r="G9" t="n">
        <v>4153.382</v>
      </c>
      <c r="H9" t="n">
        <v>1055.276</v>
      </c>
      <c r="I9" t="inlineStr">
        <is>
          <t>NotebookLM verified 2026-05-16</t>
        </is>
      </c>
      <c r="J9" t="inlineStr">
        <is>
          <t>6293806a-27bb</t>
        </is>
      </c>
    </row>
    <row r="10">
      <c r="A10" t="inlineStr">
        <is>
          <t>GUNA</t>
        </is>
      </c>
      <c r="B10" t="inlineStr">
        <is>
          <t>PT Gunanusa Eramandiri Tbk</t>
        </is>
      </c>
      <c r="I10" t="inlineStr">
        <is>
          <t>NotebookLM verified 2026-05-16</t>
        </is>
      </c>
      <c r="J10" t="inlineStr">
        <is>
          <t>df2febbc-8def</t>
        </is>
      </c>
    </row>
    <row r="11">
      <c r="A11" t="inlineStr">
        <is>
          <t>GZCO</t>
        </is>
      </c>
      <c r="B11" t="inlineStr">
        <is>
          <t>PT Gozco Plantations Tbk</t>
        </is>
      </c>
      <c r="C11" t="n">
        <v>139.426</v>
      </c>
      <c r="D11" t="n">
        <v>-5.063</v>
      </c>
      <c r="E11" t="n">
        <v>2169.656</v>
      </c>
      <c r="F11" t="n">
        <v>943.159</v>
      </c>
      <c r="G11" t="n">
        <v>1226.497</v>
      </c>
      <c r="H11" t="n">
        <v>98.23</v>
      </c>
      <c r="I11" t="inlineStr">
        <is>
          <t>NotebookLM verified 2026-05-16</t>
        </is>
      </c>
      <c r="J11" t="inlineStr">
        <is>
          <t>df2febbc-8def</t>
        </is>
      </c>
    </row>
    <row r="12">
      <c r="A12" t="inlineStr">
        <is>
          <t>JARR</t>
        </is>
      </c>
      <c r="B12" t="inlineStr">
        <is>
          <t>PT Jhonlin Agro Raya Tbk</t>
        </is>
      </c>
      <c r="C12" t="n">
        <v>776.514</v>
      </c>
      <c r="D12" t="n">
        <v>41.331</v>
      </c>
      <c r="E12" t="n">
        <v>3960.311</v>
      </c>
      <c r="F12" t="n">
        <v>2001.977</v>
      </c>
      <c r="G12" t="n">
        <v>1958.334</v>
      </c>
      <c r="H12" t="n">
        <v>463.049</v>
      </c>
      <c r="I12" t="inlineStr">
        <is>
          <t>NotebookLM verified 2026-05-16</t>
        </is>
      </c>
      <c r="J12" t="inlineStr">
        <is>
          <t>df2febbc-8def</t>
        </is>
      </c>
    </row>
    <row r="13">
      <c r="A13" t="inlineStr">
        <is>
          <t>JAWA</t>
        </is>
      </c>
      <c r="B13" t="inlineStr">
        <is>
          <t>PT Jaya Agra Wattie Tbk</t>
        </is>
      </c>
      <c r="C13" t="n">
        <v>354.572</v>
      </c>
      <c r="D13" t="n">
        <v>-23.092</v>
      </c>
      <c r="E13" t="n">
        <v>3969.386</v>
      </c>
      <c r="F13" t="n">
        <v>2636.564</v>
      </c>
      <c r="G13" t="n">
        <v>1332.822</v>
      </c>
      <c r="H13" t="n">
        <v>0.018</v>
      </c>
      <c r="I13" t="inlineStr">
        <is>
          <t>NotebookLM verified 2026-05-16</t>
        </is>
      </c>
      <c r="J13" t="inlineStr">
        <is>
          <t>df2febbc-8def</t>
        </is>
      </c>
    </row>
    <row r="14">
      <c r="A14" t="inlineStr">
        <is>
          <t>LSIP</t>
        </is>
      </c>
      <c r="B14" t="inlineStr">
        <is>
          <t>PT Perusahaan Perkebunan London Sumatra Indonesia Tbk</t>
        </is>
      </c>
      <c r="C14" t="n">
        <v>1326.929</v>
      </c>
      <c r="D14" t="n">
        <v>394.103</v>
      </c>
      <c r="G14" t="n">
        <v>14389.2</v>
      </c>
      <c r="H14" t="n">
        <v>7830.497</v>
      </c>
      <c r="I14" t="inlineStr">
        <is>
          <t>NotebookLM verified 2026-05-16</t>
        </is>
      </c>
      <c r="J14" t="inlineStr">
        <is>
          <t>df2febbc-8def</t>
        </is>
      </c>
    </row>
    <row r="15">
      <c r="A15" t="inlineStr">
        <is>
          <t>NSSS</t>
        </is>
      </c>
      <c r="B15" t="inlineStr">
        <is>
          <t>PT Nusantara Sawit Sejahtera Tbk</t>
        </is>
      </c>
      <c r="C15" t="n">
        <v>517.129</v>
      </c>
      <c r="H15" t="n">
        <v>831.819</v>
      </c>
      <c r="I15" t="inlineStr">
        <is>
          <t>NotebookLM verified 2026-05-16</t>
        </is>
      </c>
      <c r="J15" t="inlineStr">
        <is>
          <t>804c97e4-b270</t>
        </is>
      </c>
    </row>
    <row r="16">
      <c r="A16" t="inlineStr">
        <is>
          <t>PGUN</t>
        </is>
      </c>
      <c r="B16" t="inlineStr">
        <is>
          <t>PT Pradiksi Gunatama Tbk</t>
        </is>
      </c>
      <c r="C16" t="n">
        <v>166.543</v>
      </c>
      <c r="D16" t="n">
        <v>32.479</v>
      </c>
      <c r="E16" t="n">
        <v>2508.057</v>
      </c>
      <c r="F16" t="n">
        <v>557.135</v>
      </c>
      <c r="G16" t="n">
        <v>1950.921</v>
      </c>
      <c r="H16" t="n">
        <v>17.711</v>
      </c>
      <c r="I16" t="inlineStr">
        <is>
          <t>NotebookLM verified 2026-05-16</t>
        </is>
      </c>
      <c r="J16" t="inlineStr">
        <is>
          <t>804c97e4-b270</t>
        </is>
      </c>
    </row>
    <row r="17">
      <c r="A17" t="inlineStr">
        <is>
          <t>PNGO</t>
        </is>
      </c>
      <c r="B17" t="inlineStr">
        <is>
          <t>PT Pinago Utama Tbk</t>
        </is>
      </c>
      <c r="C17" t="n">
        <v>571.633</v>
      </c>
      <c r="D17" t="n">
        <v>39.712</v>
      </c>
      <c r="E17" t="n">
        <v>1688.657</v>
      </c>
      <c r="F17" t="n">
        <v>545.292</v>
      </c>
      <c r="G17" t="n">
        <v>1143.365</v>
      </c>
      <c r="H17" t="n">
        <v>62.748</v>
      </c>
      <c r="I17" t="inlineStr">
        <is>
          <t>NotebookLM verified 2026-05-16</t>
        </is>
      </c>
      <c r="J17" t="inlineStr">
        <is>
          <t>804c97e4-b270</t>
        </is>
      </c>
    </row>
    <row r="18">
      <c r="A18" t="inlineStr">
        <is>
          <t>PSGO</t>
        </is>
      </c>
      <c r="B18" t="inlineStr">
        <is>
          <t>PT Palma Serasih Tbk</t>
        </is>
      </c>
      <c r="C18" t="n">
        <v>527.946</v>
      </c>
      <c r="D18" t="n">
        <v>77.95999999999999</v>
      </c>
      <c r="G18" t="n">
        <v>2807.325</v>
      </c>
      <c r="H18" t="n">
        <v>441.806</v>
      </c>
      <c r="I18" t="inlineStr">
        <is>
          <t>NotebookLM verified 2026-05-16</t>
        </is>
      </c>
      <c r="J18" t="inlineStr">
        <is>
          <t>804c97e4-b270</t>
        </is>
      </c>
    </row>
    <row r="19">
      <c r="A19" t="inlineStr">
        <is>
          <t>SGRO</t>
        </is>
      </c>
      <c r="B19" t="inlineStr">
        <is>
          <t>PT Sampoerna Agro Tbk</t>
        </is>
      </c>
      <c r="C19" t="n">
        <v>1256.531</v>
      </c>
      <c r="D19" t="n">
        <v>107.93</v>
      </c>
      <c r="G19" t="n">
        <v>5146.386</v>
      </c>
      <c r="I19" t="inlineStr">
        <is>
          <t>NotebookLM verified 2026-05-16</t>
        </is>
      </c>
      <c r="J19" t="inlineStr">
        <is>
          <t>804c97e4-b270</t>
        </is>
      </c>
    </row>
    <row r="20">
      <c r="A20" t="inlineStr">
        <is>
          <t>SIMP</t>
        </is>
      </c>
      <c r="B20" t="inlineStr">
        <is>
          <t>PT Salim Ivomas Pratama Tbk</t>
        </is>
      </c>
      <c r="D20" t="n">
        <v>0.61</v>
      </c>
      <c r="E20" t="n">
        <v>41.868</v>
      </c>
      <c r="F20" t="n">
        <v>14.689</v>
      </c>
      <c r="G20" t="n">
        <v>27.179</v>
      </c>
      <c r="H20" t="n">
        <v>9.281000000000001</v>
      </c>
      <c r="I20" t="inlineStr">
        <is>
          <t>NotebookLM verified 2026-05-16</t>
        </is>
      </c>
      <c r="J20" t="inlineStr">
        <is>
          <t>804c97e4-b270</t>
        </is>
      </c>
    </row>
    <row r="21">
      <c r="A21" t="inlineStr">
        <is>
          <t>SMAR</t>
        </is>
      </c>
      <c r="B21" t="inlineStr">
        <is>
          <t>PT Sinar Mas Agro Resources and Technology Tbk</t>
        </is>
      </c>
      <c r="C21" t="n">
        <v>20734.239</v>
      </c>
      <c r="D21" t="n">
        <v>829.478</v>
      </c>
      <c r="E21" t="n">
        <v>45893.595</v>
      </c>
      <c r="F21" t="n">
        <v>22609.592</v>
      </c>
      <c r="G21" t="n">
        <v>23284.003</v>
      </c>
      <c r="H21" t="n">
        <v>1915.304</v>
      </c>
      <c r="I21" t="inlineStr">
        <is>
          <t>NotebookLM verified 2026-05-16</t>
        </is>
      </c>
      <c r="J21" t="inlineStr">
        <is>
          <t>804c97e4-b270</t>
        </is>
      </c>
    </row>
    <row r="22">
      <c r="A22" t="inlineStr">
        <is>
          <t>TAPG</t>
        </is>
      </c>
      <c r="B22" t="inlineStr">
        <is>
          <t>PT Triputra Agro Persada Tbk</t>
        </is>
      </c>
      <c r="C22" t="n">
        <v>2492.197</v>
      </c>
      <c r="D22" t="n">
        <v>767.263</v>
      </c>
      <c r="E22" t="n">
        <v>15226.088</v>
      </c>
      <c r="F22" t="n">
        <v>2771.581</v>
      </c>
      <c r="G22" t="n">
        <v>12454.507</v>
      </c>
      <c r="H22" t="n">
        <v>2797.577</v>
      </c>
      <c r="I22" t="inlineStr">
        <is>
          <t>NotebookLM verified 2026-05-16</t>
        </is>
      </c>
      <c r="J22" t="inlineStr">
        <is>
          <t>b403636a-de05</t>
        </is>
      </c>
    </row>
    <row r="23">
      <c r="A23" t="inlineStr">
        <is>
          <t>TLDN</t>
        </is>
      </c>
      <c r="B23" t="inlineStr">
        <is>
          <t>PT Teladan Prima Agro Tbk</t>
        </is>
      </c>
      <c r="D23" t="n">
        <v>181.772</v>
      </c>
      <c r="E23" t="n">
        <v>6280.971</v>
      </c>
      <c r="F23" t="n">
        <v>2454.29</v>
      </c>
      <c r="G23" t="n">
        <v>3826.68</v>
      </c>
      <c r="H23" t="n">
        <v>695.169</v>
      </c>
      <c r="I23" t="inlineStr">
        <is>
          <t>NotebookLM verified 2026-05-16</t>
        </is>
      </c>
      <c r="J23" t="inlineStr">
        <is>
          <t>b403636a-de05</t>
        </is>
      </c>
    </row>
    <row r="24">
      <c r="A24" t="inlineStr">
        <is>
          <t>UNSP</t>
        </is>
      </c>
      <c r="B24" t="inlineStr">
        <is>
          <t>PT Bakrie Sumatera Plantations Tbk</t>
        </is>
      </c>
      <c r="C24" t="n">
        <v>561.076</v>
      </c>
      <c r="D24" t="n">
        <v>3.241</v>
      </c>
      <c r="E24" t="n">
        <v>3584.043</v>
      </c>
      <c r="F24" t="n">
        <v>8853.232</v>
      </c>
      <c r="G24" t="n">
        <v>-5269.189</v>
      </c>
      <c r="H24" t="n">
        <v>120.585</v>
      </c>
      <c r="I24" t="inlineStr">
        <is>
          <t>NotebookLM verified 2026-05-16</t>
        </is>
      </c>
      <c r="J24" t="inlineStr">
        <is>
          <t>b403636a-de05</t>
        </is>
      </c>
    </row>
    <row r="25">
      <c r="A25" t="inlineStr">
        <is>
          <t>WAPO</t>
        </is>
      </c>
      <c r="B25" t="inlineStr">
        <is>
          <t>PT Wahana Pronatural Tbk</t>
        </is>
      </c>
      <c r="C25" t="n">
        <v>206.545940932</v>
      </c>
      <c r="D25" t="n">
        <v>0.616080414</v>
      </c>
      <c r="E25" t="n">
        <v>143.087842752</v>
      </c>
      <c r="F25" t="n">
        <v>82.17296083799999</v>
      </c>
      <c r="G25" t="n">
        <v>60.914881914</v>
      </c>
      <c r="H25" t="n">
        <v>7.31600637</v>
      </c>
      <c r="I25" t="inlineStr">
        <is>
          <t>NotebookLM verified 2026-05-16</t>
        </is>
      </c>
      <c r="J25" t="inlineStr">
        <is>
          <t>b403636a-de05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2026-04-17T05:48:07Z</dcterms:created>
  <dcterms:modified xmlns:dcterms="http://purl.org/dc/terms/" xmlns:xsi="http://www.w3.org/2001/XMLSchema-instance" xsi:type="dcterms:W3CDTF">2026-05-16T16:50:15Z</dcterms:modified>
  <cp:lastModifiedBy>문윤석</cp:lastModifiedBy>
  <cp:revision>0</cp:revision>
</cp:coreProperties>
</file>